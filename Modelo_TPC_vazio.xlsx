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'Monitoramento'!$A$1:$AK$533</definedName>
    <definedName name="_xlnm.Print_Area" localSheetId="2">'Consol Mensal'!$A$1:$AA$73</definedName>
    <definedName name="_xlnm.Print_Area" localSheetId="5">'Config'!$A$1:$T$97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38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09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7" borderId="7" xfId="0" applyNumberFormat="1" applyFont="1" applyFill="1" applyBorder="1" applyAlignment="1">
      <alignment horizontal="left" vertical="center" indent="1"/>
    </xf>
    <xf numFmtId="0" fontId="14" fillId="7" borderId="8" xfId="0" applyNumberFormat="1" applyFont="1" applyFill="1" applyBorder="1" applyAlignment="1">
      <alignment horizontal="left" vertical="center" indent="1"/>
    </xf>
    <xf numFmtId="0" fontId="14" fillId="7" borderId="9" xfId="0" applyNumberFormat="1" applyFont="1" applyFill="1" applyBorder="1" applyAlignment="1">
      <alignment horizontal="left" vertical="center" indent="1"/>
    </xf>
    <xf numFmtId="0" fontId="15" fillId="8" borderId="0" xfId="0" applyNumberFormat="1" applyFont="1" applyFill="1" applyBorder="1" applyAlignment="1">
      <alignment horizontal="left" vertical="center" wrapText="1" indent="1"/>
    </xf>
    <xf numFmtId="0" fontId="16" fillId="10" borderId="0" xfId="0" applyNumberFormat="1" applyFont="1" applyFill="1" applyBorder="1" applyAlignment="1">
      <alignment horizontal="left" vertical="center" wrapText="1" indent="1"/>
    </xf>
    <xf numFmtId="0" fontId="17" fillId="0" borderId="0" xfId="0" applyNumberFormat="1" applyFont="1" applyFill="1" applyBorder="1" applyAlignment="1">
      <alignment horizontal="left" vertical="center"/>
    </xf>
    <xf numFmtId="0" fontId="2" fillId="11" borderId="0" xfId="0" applyNumberFormat="1" applyFont="1" applyFill="1" applyBorder="1" applyAlignment="1">
      <alignment horizontal="center" vertical="center" wrapText="1"/>
    </xf>
    <xf numFmtId="0" fontId="18" fillId="8" borderId="5" xfId="0" applyNumberFormat="1" applyFont="1" applyFill="1" applyBorder="1" applyAlignment="1">
      <alignment horizontal="left" vertical="center"/>
    </xf>
    <xf numFmtId="0" fontId="18" fillId="8" borderId="5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center" vertical="center"/>
    </xf>
    <xf numFmtId="0" fontId="20" fillId="12" borderId="0" xfId="0" applyNumberFormat="1" applyFont="1" applyFill="1" applyBorder="1" applyAlignment="1">
      <alignment horizontal="left" vertical="center" indent="1"/>
    </xf>
    <xf numFmtId="0" fontId="21" fillId="9" borderId="5" xfId="0" applyNumberFormat="1" applyFont="1" applyFill="1" applyBorder="1" applyAlignment="1">
      <alignment horizontal="center" vertical="center"/>
    </xf>
    <xf numFmtId="0" fontId="21" fillId="9" borderId="5" xfId="0" applyNumberFormat="1" applyFont="1" applyFill="1" applyBorder="1" applyAlignment="1">
      <alignment horizontal="left" vertical="center"/>
    </xf>
    <xf numFmtId="0" fontId="22" fillId="8" borderId="5" xfId="0" applyNumberFormat="1" applyFont="1" applyFill="1" applyBorder="1" applyAlignment="1">
      <alignment horizontal="left" vertical="center"/>
    </xf>
    <xf numFmtId="0" fontId="23" fillId="3" borderId="0" xfId="0" applyNumberFormat="1" applyFont="1" applyFill="1" applyBorder="1" applyAlignment="1">
      <alignment horizontal="center" vertical="center" wrapText="1"/>
    </xf>
    <xf numFmtId="0" fontId="23" fillId="4" borderId="0" xfId="0" applyNumberFormat="1" applyFont="1" applyFill="1" applyBorder="1" applyAlignment="1">
      <alignment horizontal="center" vertical="center" wrapText="1"/>
    </xf>
    <xf numFmtId="0" fontId="23" fillId="5" borderId="0" xfId="0" applyNumberFormat="1" applyFont="1" applyFill="1" applyBorder="1" applyAlignment="1">
      <alignment horizontal="center" vertical="center" wrapText="1"/>
    </xf>
    <xf numFmtId="0" fontId="23" fillId="6" borderId="0" xfId="0" applyNumberFormat="1" applyFont="1" applyFill="1" applyBorder="1" applyAlignment="1">
      <alignment horizontal="center" vertical="center" wrapTex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0" fontId="21" fillId="9" borderId="10" xfId="0" applyNumberFormat="1" applyFont="1" applyFill="1" applyBorder="1" applyAlignment="1">
      <alignment horizontal="left" vertical="center"/>
    </xf>
    <xf numFmtId="0" fontId="21" fillId="9" borderId="11" xfId="0" applyNumberFormat="1" applyFont="1" applyFill="1" applyBorder="1" applyAlignment="1">
      <alignment horizontal="left" vertical="center"/>
    </xf>
    <xf numFmtId="0" fontId="21" fillId="9" borderId="12" xfId="0" applyNumberFormat="1" applyFont="1" applyFill="1" applyBorder="1" applyAlignment="1">
      <alignment horizontal="left" vertical="center"/>
    </xf>
    <xf numFmtId="0" fontId="18" fillId="8" borderId="10" xfId="0" applyNumberFormat="1" applyFont="1" applyFill="1" applyBorder="1" applyAlignment="1">
      <alignment horizontal="left" vertical="center"/>
    </xf>
    <xf numFmtId="0" fontId="18" fillId="8" borderId="11" xfId="0" applyNumberFormat="1" applyFont="1" applyFill="1" applyBorder="1" applyAlignment="1">
      <alignment horizontal="left" vertical="center"/>
    </xf>
    <xf numFmtId="0" fontId="18" fillId="8" borderId="12" xfId="0" applyNumberFormat="1" applyFont="1" applyFill="1" applyBorder="1" applyAlignment="1">
      <alignment horizontal="left" vertical="center"/>
    </xf>
    <xf numFmtId="3" fontId="18" fillId="8" borderId="5" xfId="0" applyNumberFormat="1" applyFont="1" applyFill="1" applyBorder="1" applyAlignment="1">
      <alignment horizontal="right" vertical="center"/>
    </xf>
    <xf numFmtId="9" fontId="18" fillId="8" borderId="5" xfId="0" applyNumberFormat="1" applyFont="1" applyFill="1" applyBorder="1" applyAlignment="1">
      <alignment horizontal="right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0" fillId="13" borderId="13" xfId="0" applyNumberFormat="1" applyFont="1" applyFill="1" applyBorder="1" applyAlignment="1">
      <alignment horizontal="center" vertical="center"/>
    </xf>
    <xf numFmtId="0" fontId="0" fillId="12" borderId="13" xfId="0" applyNumberFormat="1" applyFont="1" applyFill="1" applyBorder="1" applyAlignment="1">
      <alignment horizontal="center" vertical="center"/>
    </xf>
    <xf numFmtId="0" fontId="24" fillId="12" borderId="13" xfId="0" applyNumberFormat="1" applyFont="1" applyFill="1" applyBorder="1" applyAlignment="1">
      <alignment horizontal="center" vertical="center"/>
    </xf>
    <xf numFmtId="0" fontId="25" fillId="0" borderId="0" xfId="0" applyNumberFormat="1" applyFont="1" applyFill="1" applyBorder="1" applyAlignment="1">
      <alignment horizontal="right" vertical="center" indent="1"/>
    </xf>
    <xf numFmtId="0" fontId="26" fillId="8" borderId="14" xfId="0" applyNumberFormat="1" applyFont="1" applyFill="1" applyBorder="1" applyAlignment="1" applyProtection="1">
      <alignment horizontal="center" vertical="center"/>
      <protection locked="0"/>
    </xf>
    <xf numFmtId="0" fontId="26" fillId="8" borderId="15" xfId="0" applyNumberFormat="1" applyFont="1" applyFill="1" applyBorder="1" applyAlignment="1" applyProtection="1">
      <alignment horizontal="center" vertical="center"/>
      <protection locked="0"/>
    </xf>
    <xf numFmtId="0" fontId="26" fillId="8" borderId="16" xfId="0" applyNumberFormat="1" applyFont="1" applyFill="1" applyBorder="1" applyAlignment="1" applyProtection="1">
      <alignment horizontal="center" vertical="center"/>
      <protection locked="0"/>
    </xf>
    <xf numFmtId="164" fontId="27" fillId="8" borderId="14" xfId="0" applyNumberFormat="1" applyFont="1" applyFill="1" applyBorder="1" applyAlignment="1" applyProtection="1">
      <alignment horizontal="center" vertical="center"/>
      <protection locked="0"/>
    </xf>
    <xf numFmtId="164" fontId="27" fillId="8" borderId="15" xfId="0" applyNumberFormat="1" applyFont="1" applyFill="1" applyBorder="1" applyAlignment="1" applyProtection="1">
      <alignment horizontal="center" vertical="center"/>
      <protection locked="0"/>
    </xf>
    <xf numFmtId="164" fontId="27" fillId="8" borderId="16" xfId="0" applyNumberFormat="1" applyFont="1" applyFill="1" applyBorder="1" applyAlignment="1" applyProtection="1">
      <alignment horizontal="center" vertical="center"/>
      <protection locked="0"/>
    </xf>
    <xf numFmtId="0" fontId="28" fillId="0" borderId="0" xfId="0" applyNumberFormat="1" applyFont="1" applyFill="1" applyBorder="1" applyAlignment="1">
      <alignment horizontal="center" vertical="center"/>
    </xf>
    <xf numFmtId="0" fontId="29" fillId="0" borderId="0" xfId="0" applyNumberFormat="1" applyFont="1" applyFill="1" applyBorder="1" applyAlignment="1">
      <alignment horizontal="right" vertical="center"/>
    </xf>
    <xf numFmtId="0" fontId="0" fillId="14" borderId="17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18" xfId="0" applyNumberFormat="1" applyFont="1" applyFill="1" applyBorder="1" applyAlignment="1">
      <alignment horizontal="center" vertical="center"/>
    </xf>
    <xf numFmtId="0" fontId="0" fillId="14" borderId="19" xfId="0" applyNumberFormat="1" applyFont="1" applyFill="1" applyBorder="1" applyAlignment="1">
      <alignment horizontal="center" vertical="center"/>
    </xf>
    <xf numFmtId="0" fontId="0" fillId="14" borderId="20" xfId="0" applyNumberFormat="1" applyFont="1" applyFill="1" applyBorder="1" applyAlignment="1">
      <alignment horizontal="center" vertical="center"/>
    </xf>
    <xf numFmtId="0" fontId="0" fillId="14" borderId="21" xfId="0" applyNumberFormat="1" applyFont="1" applyFill="1" applyBorder="1" applyAlignment="1">
      <alignment horizontal="center" vertical="center"/>
    </xf>
    <xf numFmtId="0" fontId="0" fillId="3" borderId="22" xfId="0" applyNumberFormat="1" applyFont="1" applyFill="1" applyBorder="1" applyAlignment="1">
      <alignment horizontal="center" vertical="center"/>
    </xf>
    <xf numFmtId="0" fontId="30" fillId="3" borderId="22" xfId="0" applyNumberFormat="1" applyFont="1" applyFill="1" applyBorder="1" applyAlignment="1">
      <alignment horizontal="center" vertical="center" wrapText="1"/>
    </xf>
    <xf numFmtId="3" fontId="31" fillId="14" borderId="0" xfId="0" applyNumberFormat="1" applyFont="1" applyFill="1" applyBorder="1" applyAlignment="1">
      <alignment horizontal="center" vertical="center"/>
    </xf>
    <xf numFmtId="0" fontId="32" fillId="14" borderId="0" xfId="0" applyNumberFormat="1" applyFont="1" applyFill="1" applyBorder="1" applyAlignment="1">
      <alignment horizontal="center" vertical="center"/>
    </xf>
    <xf numFmtId="0" fontId="33" fillId="14" borderId="0" xfId="0" applyNumberFormat="1" applyFont="1" applyFill="1" applyBorder="1" applyAlignment="1">
      <alignment horizontal="center" vertical="center" wrapText="1"/>
    </xf>
    <xf numFmtId="169" fontId="34" fillId="14" borderId="20" xfId="0" applyNumberFormat="1" applyFont="1" applyFill="1" applyBorder="1" applyAlignment="1">
      <alignment horizontal="center" vertical="center"/>
    </xf>
    <xf numFmtId="0" fontId="0" fillId="4" borderId="22" xfId="0" applyNumberFormat="1" applyFont="1" applyFill="1" applyBorder="1" applyAlignment="1">
      <alignment horizontal="center" vertical="center"/>
    </xf>
    <xf numFmtId="0" fontId="30" fillId="4" borderId="22" xfId="0" applyNumberFormat="1" applyFont="1" applyFill="1" applyBorder="1" applyAlignment="1">
      <alignment horizontal="center" vertical="center" wrapText="1"/>
    </xf>
    <xf numFmtId="0" fontId="0" fillId="5" borderId="22" xfId="0" applyNumberFormat="1" applyFont="1" applyFill="1" applyBorder="1" applyAlignment="1">
      <alignment horizontal="center" vertical="center"/>
    </xf>
    <xf numFmtId="0" fontId="30" fillId="5" borderId="22" xfId="0" applyNumberFormat="1" applyFont="1" applyFill="1" applyBorder="1" applyAlignment="1">
      <alignment horizontal="center" vertical="center" wrapText="1"/>
    </xf>
    <xf numFmtId="0" fontId="35" fillId="14" borderId="23" xfId="0" applyNumberFormat="1" applyFont="1" applyFill="1" applyBorder="1" applyAlignment="1">
      <alignment horizontal="left" vertical="center" indent="1"/>
    </xf>
    <xf numFmtId="3" fontId="30" fillId="14" borderId="23" xfId="0" applyNumberFormat="1" applyFont="1" applyFill="1" applyBorder="1" applyAlignment="1">
      <alignment horizontal="right" vertical="center" indent="1"/>
    </xf>
    <xf numFmtId="0" fontId="35" fillId="14" borderId="0" xfId="0" applyNumberFormat="1" applyFont="1" applyFill="1" applyBorder="1" applyAlignment="1">
      <alignment horizontal="left" vertical="center" indent="1"/>
    </xf>
    <xf numFmtId="3" fontId="30" fillId="14" borderId="0" xfId="0" applyNumberFormat="1" applyFont="1" applyFill="1" applyBorder="1" applyAlignment="1">
      <alignment horizontal="right" vertical="center" indent="1"/>
    </xf>
    <xf numFmtId="170" fontId="30" fillId="14" borderId="23" xfId="0" applyNumberFormat="1" applyFont="1" applyFill="1" applyBorder="1" applyAlignment="1">
      <alignment horizontal="right" vertical="center" indent="1"/>
    </xf>
    <xf numFmtId="167" fontId="30" fillId="14" borderId="23" xfId="0" applyNumberFormat="1" applyFont="1" applyFill="1" applyBorder="1" applyAlignment="1">
      <alignment horizontal="right" vertical="center" indent="1"/>
    </xf>
    <xf numFmtId="171" fontId="30" fillId="14" borderId="23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center" vertical="center" wrapText="1"/>
    </xf>
    <xf numFmtId="0" fontId="0" fillId="6" borderId="22" xfId="0" applyNumberFormat="1" applyFont="1" applyFill="1" applyBorder="1" applyAlignment="1">
      <alignment horizontal="center" vertical="center"/>
    </xf>
    <xf numFmtId="0" fontId="30" fillId="6" borderId="22" xfId="0" applyNumberFormat="1" applyFont="1" applyFill="1" applyBorder="1" applyAlignment="1">
      <alignment horizontal="center" vertical="center" wrapText="1"/>
    </xf>
    <xf numFmtId="0" fontId="30" fillId="14" borderId="0" xfId="0" applyNumberFormat="1" applyFont="1" applyFill="1" applyBorder="1" applyAlignment="1">
      <alignment horizontal="right" vertical="center" indent="1"/>
    </xf>
    <xf numFmtId="0" fontId="36" fillId="0" borderId="0" xfId="0" applyNumberFormat="1" applyFont="1" applyFill="1" applyBorder="1" applyAlignment="1">
      <alignment horizontal="left" vertical="center"/>
    </xf>
    <xf numFmtId="0" fontId="14" fillId="12" borderId="13" xfId="0" applyNumberFormat="1" applyFont="1" applyFill="1" applyBorder="1" applyAlignment="1">
      <alignment horizontal="center" vertical="center"/>
    </xf>
    <xf numFmtId="0" fontId="14" fillId="12" borderId="13" xfId="0" applyNumberFormat="1" applyFont="1" applyFill="1" applyBorder="1" applyAlignment="1" applyProtection="1">
      <alignment horizontal="right" vertical="center" indent="1"/>
      <protection locked="0"/>
    </xf>
    <xf numFmtId="0" fontId="8" fillId="0" borderId="24" xfId="0" applyNumberFormat="1" applyFont="1" applyFill="1" applyBorder="1" applyAlignment="1">
      <alignment horizontal="center" vertical="center"/>
    </xf>
    <xf numFmtId="0" fontId="8" fillId="0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7" xfId="0" applyNumberFormat="1" applyFont="1" applyFill="1" applyBorder="1" applyAlignment="1">
      <alignment horizontal="center" vertical="center"/>
    </xf>
    <xf numFmtId="0" fontId="8" fillId="2" borderId="28" xfId="0" applyNumberFormat="1" applyFont="1" applyFill="1" applyBorder="1" applyAlignment="1">
      <alignment horizontal="center" vertical="center"/>
    </xf>
    <xf numFmtId="0" fontId="8" fillId="2" borderId="29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37" fillId="15" borderId="7" xfId="0" applyNumberFormat="1" applyFont="1" applyFill="1" applyBorder="1" applyAlignment="1">
      <alignment horizontal="center" vertical="center"/>
    </xf>
    <xf numFmtId="0" fontId="37" fillId="15" borderId="8" xfId="0" applyNumberFormat="1" applyFont="1" applyFill="1" applyBorder="1" applyAlignment="1">
      <alignment horizontal="center" vertical="center"/>
    </xf>
    <xf numFmtId="0" fontId="37" fillId="15" borderId="9" xfId="0" applyNumberFormat="1" applyFont="1" applyFill="1" applyBorder="1" applyAlignment="1">
      <alignment horizontal="center" vertical="center"/>
    </xf>
    <xf numFmtId="0" fontId="8" fillId="15" borderId="24" xfId="0" applyNumberFormat="1" applyFont="1" applyFill="1" applyBorder="1" applyAlignment="1">
      <alignment horizontal="center" vertical="center"/>
    </xf>
    <xf numFmtId="0" fontId="8" fillId="15" borderId="25" xfId="0" applyNumberFormat="1" applyFont="1" applyFill="1" applyBorder="1" applyAlignment="1">
      <alignment horizontal="center" vertical="center"/>
    </xf>
    <xf numFmtId="172" fontId="0" fillId="16" borderId="30" xfId="0" applyNumberFormat="1" applyFont="1" applyFill="1" applyBorder="1" applyAlignment="1">
      <alignment horizontal="center" vertical="center"/>
    </xf>
    <xf numFmtId="172" fontId="0" fillId="16" borderId="31" xfId="0" applyNumberFormat="1" applyFont="1" applyFill="1" applyBorder="1" applyAlignment="1">
      <alignment horizontal="center" vertical="center"/>
    </xf>
    <xf numFmtId="172" fontId="0" fillId="16" borderId="32" xfId="0" applyNumberFormat="1" applyFont="1" applyFill="1" applyBorder="1" applyAlignment="1">
      <alignment horizontal="center" vertical="center"/>
    </xf>
    <xf numFmtId="0" fontId="8" fillId="3" borderId="27" xfId="0" applyNumberFormat="1" applyFont="1" applyFill="1" applyBorder="1" applyAlignment="1">
      <alignment horizontal="center" vertical="center"/>
    </xf>
    <xf numFmtId="3" fontId="8" fillId="3" borderId="24" xfId="0" applyNumberFormat="1" applyFont="1" applyFill="1" applyBorder="1" applyAlignment="1">
      <alignment horizontal="center" vertical="center"/>
    </xf>
    <xf numFmtId="0" fontId="0" fillId="3" borderId="33" xfId="0" applyNumberFormat="1" applyFont="1" applyFill="1" applyBorder="1" applyAlignment="1">
      <alignment horizontal="center" vertical="center"/>
    </xf>
    <xf numFmtId="3" fontId="0" fillId="3" borderId="34" xfId="0" applyNumberFormat="1" applyFont="1" applyFill="1" applyBorder="1" applyAlignment="1">
      <alignment horizontal="center" vertical="center"/>
    </xf>
    <xf numFmtId="3" fontId="0" fillId="3" borderId="35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8" fillId="3" borderId="37" xfId="0" applyNumberFormat="1" applyFont="1" applyFill="1" applyBorder="1" applyAlignment="1">
      <alignment horizontal="center" vertical="center"/>
    </xf>
    <xf numFmtId="0" fontId="8" fillId="3" borderId="29" xfId="0" applyNumberFormat="1" applyFont="1" applyFill="1" applyBorder="1" applyAlignment="1">
      <alignment horizontal="center" vertical="center"/>
    </xf>
    <xf numFmtId="3" fontId="8" fillId="3" borderId="25" xfId="0" applyNumberFormat="1" applyFont="1" applyFill="1" applyBorder="1" applyAlignment="1">
      <alignment horizontal="center" vertical="center"/>
    </xf>
    <xf numFmtId="0" fontId="0" fillId="3" borderId="13" xfId="0" applyNumberFormat="1" applyFont="1" applyFill="1" applyBorder="1" applyAlignment="1">
      <alignment horizontal="center" vertical="center"/>
    </xf>
    <xf numFmtId="3" fontId="0" fillId="3" borderId="38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0" fontId="8" fillId="4" borderId="27" xfId="0" applyNumberFormat="1" applyFont="1" applyFill="1" applyBorder="1" applyAlignment="1">
      <alignment horizontal="center" vertical="center"/>
    </xf>
    <xf numFmtId="3" fontId="8" fillId="4" borderId="24" xfId="0" applyNumberFormat="1" applyFont="1" applyFill="1" applyBorder="1" applyAlignment="1">
      <alignment horizontal="center" vertical="center"/>
    </xf>
    <xf numFmtId="0" fontId="0" fillId="4" borderId="33" xfId="0" applyNumberFormat="1" applyFont="1" applyFill="1" applyBorder="1" applyAlignment="1">
      <alignment horizontal="center" vertical="center"/>
    </xf>
    <xf numFmtId="3" fontId="0" fillId="4" borderId="34" xfId="0" applyNumberFormat="1" applyFont="1" applyFill="1" applyBorder="1" applyAlignment="1">
      <alignment horizontal="center" vertical="center"/>
    </xf>
    <xf numFmtId="3" fontId="0" fillId="4" borderId="35" xfId="0" applyNumberFormat="1" applyFont="1" applyFill="1" applyBorder="1" applyAlignment="1">
      <alignment horizontal="center" vertical="center"/>
    </xf>
    <xf numFmtId="3" fontId="0" fillId="4" borderId="36" xfId="0" applyNumberFormat="1" applyFont="1" applyFill="1" applyBorder="1" applyAlignment="1">
      <alignment horizontal="center" vertical="center"/>
    </xf>
    <xf numFmtId="3" fontId="8" fillId="4" borderId="37" xfId="0" applyNumberFormat="1" applyFont="1" applyFill="1" applyBorder="1" applyAlignment="1">
      <alignment horizontal="center" vertical="center"/>
    </xf>
    <xf numFmtId="0" fontId="8" fillId="4" borderId="29" xfId="0" applyNumberFormat="1" applyFont="1" applyFill="1" applyBorder="1" applyAlignment="1">
      <alignment horizontal="center" vertical="center"/>
    </xf>
    <xf numFmtId="3" fontId="8" fillId="4" borderId="25" xfId="0" applyNumberFormat="1" applyFont="1" applyFill="1" applyBorder="1" applyAlignment="1">
      <alignment horizontal="center" vertical="center"/>
    </xf>
    <xf numFmtId="0" fontId="0" fillId="4" borderId="13" xfId="0" applyNumberFormat="1" applyFont="1" applyFill="1" applyBorder="1" applyAlignment="1">
      <alignment horizontal="center" vertical="center"/>
    </xf>
    <xf numFmtId="3" fontId="0" fillId="4" borderId="38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0" fontId="8" fillId="5" borderId="27" xfId="0" applyNumberFormat="1" applyFont="1" applyFill="1" applyBorder="1" applyAlignment="1">
      <alignment horizontal="center" vertical="center"/>
    </xf>
    <xf numFmtId="3" fontId="8" fillId="5" borderId="24" xfId="0" applyNumberFormat="1" applyFont="1" applyFill="1" applyBorder="1" applyAlignment="1">
      <alignment horizontal="center" vertical="center"/>
    </xf>
    <xf numFmtId="0" fontId="0" fillId="5" borderId="33" xfId="0" applyNumberFormat="1" applyFont="1" applyFill="1" applyBorder="1" applyAlignment="1">
      <alignment horizontal="center" vertical="center"/>
    </xf>
    <xf numFmtId="3" fontId="0" fillId="5" borderId="34" xfId="0" applyNumberFormat="1" applyFont="1" applyFill="1" applyBorder="1" applyAlignment="1">
      <alignment horizontal="center" vertical="center"/>
    </xf>
    <xf numFmtId="3" fontId="0" fillId="5" borderId="35" xfId="0" applyNumberFormat="1" applyFont="1" applyFill="1" applyBorder="1" applyAlignment="1">
      <alignment horizontal="center" vertical="center"/>
    </xf>
    <xf numFmtId="3" fontId="0" fillId="5" borderId="36" xfId="0" applyNumberFormat="1" applyFont="1" applyFill="1" applyBorder="1" applyAlignment="1">
      <alignment horizontal="center" vertical="center"/>
    </xf>
    <xf numFmtId="3" fontId="8" fillId="5" borderId="37" xfId="0" applyNumberFormat="1" applyFont="1" applyFill="1" applyBorder="1" applyAlignment="1">
      <alignment horizontal="center" vertical="center"/>
    </xf>
    <xf numFmtId="0" fontId="8" fillId="5" borderId="41" xfId="0" applyNumberFormat="1" applyFont="1" applyFill="1" applyBorder="1" applyAlignment="1">
      <alignment horizontal="center" vertical="center"/>
    </xf>
    <xf numFmtId="3" fontId="8" fillId="5" borderId="42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3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8" fillId="5" borderId="46" xfId="0" applyNumberFormat="1" applyFont="1" applyFill="1" applyBorder="1" applyAlignment="1">
      <alignment horizontal="center" vertical="center"/>
    </xf>
    <xf numFmtId="0" fontId="8" fillId="5" borderId="29" xfId="0" applyNumberFormat="1" applyFont="1" applyFill="1" applyBorder="1" applyAlignment="1">
      <alignment horizontal="center" vertical="center"/>
    </xf>
    <xf numFmtId="3" fontId="8" fillId="5" borderId="25" xfId="0" applyNumberFormat="1" applyFont="1" applyFill="1" applyBorder="1" applyAlignment="1">
      <alignment horizontal="center" vertical="center"/>
    </xf>
    <xf numFmtId="0" fontId="0" fillId="5" borderId="13" xfId="0" applyNumberFormat="1" applyFont="1" applyFill="1" applyBorder="1" applyAlignment="1">
      <alignment horizontal="center" vertical="center"/>
    </xf>
    <xf numFmtId="3" fontId="0" fillId="5" borderId="38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0" fontId="8" fillId="3" borderId="41" xfId="0" applyNumberFormat="1" applyFont="1" applyFill="1" applyBorder="1" applyAlignment="1">
      <alignment horizontal="center" vertical="center"/>
    </xf>
    <xf numFmtId="3" fontId="8" fillId="3" borderId="42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3" xfId="0" applyNumberFormat="1" applyFont="1" applyFill="1" applyBorder="1" applyAlignment="1">
      <alignment horizontal="center" vertical="center"/>
    </xf>
    <xf numFmtId="3" fontId="0" fillId="3" borderId="44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3" fontId="8" fillId="3" borderId="46" xfId="0" applyNumberFormat="1" applyFont="1" applyFill="1" applyBorder="1" applyAlignment="1">
      <alignment horizontal="center" vertical="center"/>
    </xf>
    <xf numFmtId="9" fontId="8" fillId="3" borderId="25" xfId="0" applyNumberFormat="1" applyFont="1" applyFill="1" applyBorder="1" applyAlignment="1">
      <alignment horizontal="center" vertical="center"/>
    </xf>
    <xf numFmtId="9" fontId="0" fillId="3" borderId="38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40" xfId="0" applyNumberFormat="1" applyFont="1" applyFill="1" applyBorder="1" applyAlignment="1">
      <alignment horizontal="center" vertical="center"/>
    </xf>
    <xf numFmtId="0" fontId="8" fillId="6" borderId="27" xfId="0" applyNumberFormat="1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0" fontId="0" fillId="6" borderId="33" xfId="0" applyNumberFormat="1" applyFont="1" applyFill="1" applyBorder="1" applyAlignment="1">
      <alignment horizontal="center" vertical="center"/>
    </xf>
    <xf numFmtId="3" fontId="0" fillId="6" borderId="34" xfId="0" applyNumberFormat="1" applyFont="1" applyFill="1" applyBorder="1" applyAlignment="1">
      <alignment horizontal="center" vertical="center"/>
    </xf>
    <xf numFmtId="3" fontId="0" fillId="6" borderId="35" xfId="0" applyNumberFormat="1" applyFont="1" applyFill="1" applyBorder="1" applyAlignment="1">
      <alignment horizontal="center" vertical="center"/>
    </xf>
    <xf numFmtId="3" fontId="0" fillId="6" borderId="36" xfId="0" applyNumberFormat="1" applyFont="1" applyFill="1" applyBorder="1" applyAlignment="1">
      <alignment horizontal="center" vertical="center"/>
    </xf>
    <xf numFmtId="3" fontId="8" fillId="6" borderId="37" xfId="0" applyNumberFormat="1" applyFont="1" applyFill="1" applyBorder="1" applyAlignment="1">
      <alignment horizontal="center" vertical="center"/>
    </xf>
    <xf numFmtId="0" fontId="8" fillId="6" borderId="41" xfId="0" applyNumberFormat="1" applyFont="1" applyFill="1" applyBorder="1" applyAlignment="1">
      <alignment horizontal="center" vertical="center"/>
    </xf>
    <xf numFmtId="3" fontId="8" fillId="6" borderId="42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3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8" fillId="6" borderId="46" xfId="0" applyNumberFormat="1" applyFont="1" applyFill="1" applyBorder="1" applyAlignment="1">
      <alignment horizontal="center" vertical="center"/>
    </xf>
    <xf numFmtId="0" fontId="8" fillId="6" borderId="29" xfId="0" applyNumberFormat="1" applyFont="1" applyFill="1" applyBorder="1" applyAlignment="1">
      <alignment horizontal="center" vertical="center"/>
    </xf>
    <xf numFmtId="3" fontId="8" fillId="6" borderId="25" xfId="0" applyNumberFormat="1" applyFont="1" applyFill="1" applyBorder="1" applyAlignment="1">
      <alignment horizontal="center" vertical="center"/>
    </xf>
    <xf numFmtId="0" fontId="0" fillId="6" borderId="13" xfId="0" applyNumberFormat="1" applyFont="1" applyFill="1" applyBorder="1" applyAlignment="1">
      <alignment horizontal="center" vertical="center"/>
    </xf>
    <xf numFmtId="3" fontId="0" fillId="6" borderId="38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0" fontId="8" fillId="3" borderId="24" xfId="0" applyNumberFormat="1" applyFont="1" applyFill="1" applyBorder="1" applyAlignment="1">
      <alignment horizontal="center" vertical="center"/>
    </xf>
    <xf numFmtId="0" fontId="8" fillId="3" borderId="25" xfId="0" applyNumberFormat="1" applyFont="1" applyFill="1" applyBorder="1" applyAlignment="1">
      <alignment horizontal="center" vertical="center"/>
    </xf>
    <xf numFmtId="0" fontId="8" fillId="4" borderId="24" xfId="0" applyNumberFormat="1" applyFont="1" applyFill="1" applyBorder="1" applyAlignment="1">
      <alignment horizontal="center" vertical="center"/>
    </xf>
    <xf numFmtId="0" fontId="8" fillId="4" borderId="25" xfId="0" applyNumberFormat="1" applyFont="1" applyFill="1" applyBorder="1" applyAlignment="1">
      <alignment horizontal="center" vertical="center"/>
    </xf>
    <xf numFmtId="0" fontId="8" fillId="5" borderId="24" xfId="0" applyNumberFormat="1" applyFont="1" applyFill="1" applyBorder="1" applyAlignment="1">
      <alignment horizontal="center" vertical="center"/>
    </xf>
    <xf numFmtId="0" fontId="8" fillId="5" borderId="42" xfId="0" applyNumberFormat="1" applyFont="1" applyFill="1" applyBorder="1" applyAlignment="1">
      <alignment horizontal="center" vertical="center"/>
    </xf>
    <xf numFmtId="0" fontId="8" fillId="5" borderId="25" xfId="0" applyNumberFormat="1" applyFont="1" applyFill="1" applyBorder="1" applyAlignment="1">
      <alignment horizontal="center" vertical="center"/>
    </xf>
    <xf numFmtId="0" fontId="8" fillId="3" borderId="42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42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5" fillId="0" borderId="24" xfId="0" applyNumberFormat="1" applyFont="1" applyFill="1" applyBorder="1" applyAlignment="1">
      <alignment horizontal="center" vertical="center" wrapText="1"/>
    </xf>
    <xf numFmtId="0" fontId="5" fillId="0" borderId="42" xfId="0" applyNumberFormat="1" applyFont="1" applyFill="1" applyBorder="1" applyAlignment="1">
      <alignment horizontal="center" vertical="center" wrapText="1"/>
    </xf>
    <xf numFmtId="0" fontId="5" fillId="0" borderId="25" xfId="0" applyNumberFormat="1" applyFont="1" applyFill="1" applyBorder="1" applyAlignment="1">
      <alignment horizontal="center" vertical="center" wrapText="1"/>
    </xf>
    <xf numFmtId="173" fontId="0" fillId="3" borderId="38" xfId="0" applyNumberFormat="1" applyFont="1" applyFill="1" applyBorder="1" applyAlignment="1">
      <alignment horizontal="center" vertical="center"/>
    </xf>
    <xf numFmtId="173" fontId="0" fillId="3" borderId="39" xfId="0" applyNumberFormat="1" applyFont="1" applyFill="1" applyBorder="1" applyAlignment="1">
      <alignment horizontal="center" vertical="center"/>
    </xf>
    <xf numFmtId="173" fontId="0" fillId="3" borderId="40" xfId="0" applyNumberFormat="1" applyFont="1" applyFill="1" applyBorder="1" applyAlignment="1">
      <alignment horizontal="center" vertical="center"/>
    </xf>
    <xf numFmtId="173" fontId="8" fillId="3" borderId="25" xfId="0" applyNumberFormat="1" applyFont="1" applyFill="1" applyBorder="1" applyAlignment="1">
      <alignment horizontal="center" vertical="center"/>
    </xf>
    <xf numFmtId="0" fontId="8" fillId="4" borderId="41" xfId="0" applyNumberFormat="1" applyFont="1" applyFill="1" applyBorder="1" applyAlignment="1">
      <alignment horizontal="center" vertical="center"/>
    </xf>
    <xf numFmtId="3" fontId="8" fillId="4" borderId="42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3" xfId="0" applyNumberFormat="1" applyFont="1" applyFill="1" applyBorder="1" applyAlignment="1">
      <alignment horizontal="center" vertical="center"/>
    </xf>
    <xf numFmtId="3" fontId="0" fillId="4" borderId="44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3" fontId="8" fillId="4" borderId="46" xfId="0" applyNumberFormat="1" applyFont="1" applyFill="1" applyBorder="1" applyAlignment="1">
      <alignment horizontal="center" vertical="center"/>
    </xf>
    <xf numFmtId="173" fontId="0" fillId="4" borderId="38" xfId="0" applyNumberFormat="1" applyFont="1" applyFill="1" applyBorder="1" applyAlignment="1">
      <alignment horizontal="center" vertical="center"/>
    </xf>
    <xf numFmtId="173" fontId="0" fillId="4" borderId="39" xfId="0" applyNumberFormat="1" applyFont="1" applyFill="1" applyBorder="1" applyAlignment="1">
      <alignment horizontal="center" vertical="center"/>
    </xf>
    <xf numFmtId="173" fontId="0" fillId="4" borderId="40" xfId="0" applyNumberFormat="1" applyFont="1" applyFill="1" applyBorder="1" applyAlignment="1">
      <alignment horizontal="center" vertical="center"/>
    </xf>
    <xf numFmtId="173" fontId="8" fillId="4" borderId="25" xfId="0" applyNumberFormat="1" applyFont="1" applyFill="1" applyBorder="1" applyAlignment="1">
      <alignment horizontal="center" vertical="center"/>
    </xf>
    <xf numFmtId="0" fontId="8" fillId="4" borderId="42" xfId="0" applyNumberFormat="1" applyFont="1" applyFill="1" applyBorder="1" applyAlignment="1">
      <alignment horizontal="center" vertical="center"/>
    </xf>
    <xf numFmtId="0" fontId="20" fillId="7" borderId="7" xfId="0" applyNumberFormat="1" applyFont="1" applyFill="1" applyBorder="1" applyAlignment="1">
      <alignment horizontal="left" vertical="center" indent="1"/>
    </xf>
    <xf numFmtId="0" fontId="20" fillId="7" borderId="8" xfId="0" applyNumberFormat="1" applyFont="1" applyFill="1" applyBorder="1" applyAlignment="1">
      <alignment horizontal="left" vertical="center" indent="1"/>
    </xf>
    <xf numFmtId="0" fontId="20" fillId="7" borderId="9" xfId="0" applyNumberFormat="1" applyFont="1" applyFill="1" applyBorder="1" applyAlignment="1">
      <alignment horizontal="left" vertical="center" indent="1"/>
    </xf>
    <xf numFmtId="173" fontId="0" fillId="3" borderId="43" xfId="0" applyNumberFormat="1" applyFont="1" applyFill="1" applyBorder="1" applyAlignment="1">
      <alignment horizontal="center" vertical="center"/>
    </xf>
    <xf numFmtId="173" fontId="0" fillId="3" borderId="44" xfId="0" applyNumberFormat="1" applyFont="1" applyFill="1" applyBorder="1" applyAlignment="1">
      <alignment horizontal="center" vertical="center"/>
    </xf>
    <xf numFmtId="173" fontId="0" fillId="3" borderId="45" xfId="0" applyNumberFormat="1" applyFont="1" applyFill="1" applyBorder="1" applyAlignment="1">
      <alignment horizontal="center" vertical="center"/>
    </xf>
    <xf numFmtId="173" fontId="8" fillId="3" borderId="46" xfId="0" applyNumberFormat="1" applyFont="1" applyFill="1" applyBorder="1" applyAlignment="1">
      <alignment horizontal="center" vertical="center"/>
    </xf>
    <xf numFmtId="0" fontId="32" fillId="0" borderId="0" xfId="0" applyNumberFormat="1" applyFont="1" applyFill="1" applyBorder="1" applyAlignment="1">
      <alignment horizontal="right" vertical="center"/>
    </xf>
    <xf numFmtId="0" fontId="30" fillId="0" borderId="47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33" xfId="0" applyNumberFormat="1" applyFont="1" applyFill="1" applyBorder="1" applyAlignment="1">
      <alignment horizontal="left" vertical="center" indent="1"/>
    </xf>
    <xf numFmtId="0" fontId="8" fillId="3" borderId="48" xfId="0" applyNumberFormat="1" applyFont="1" applyFill="1" applyBorder="1" applyAlignment="1">
      <alignment horizontal="left" vertical="center" indent="1"/>
    </xf>
    <xf numFmtId="3" fontId="8" fillId="3" borderId="33" xfId="0" applyNumberFormat="1" applyFont="1" applyFill="1" applyBorder="1" applyAlignment="1">
      <alignment horizontal="center" vertical="center"/>
    </xf>
    <xf numFmtId="3" fontId="8" fillId="3" borderId="48" xfId="0" applyNumberFormat="1" applyFont="1" applyFill="1" applyBorder="1" applyAlignment="1">
      <alignment horizontal="center" vertical="center"/>
    </xf>
    <xf numFmtId="3" fontId="37" fillId="3" borderId="33" xfId="0" applyNumberFormat="1" applyFont="1" applyFill="1" applyBorder="1" applyAlignment="1">
      <alignment horizontal="center" vertical="center"/>
    </xf>
    <xf numFmtId="3" fontId="37" fillId="3" borderId="48" xfId="0" applyNumberFormat="1" applyFont="1" applyFill="1" applyBorder="1" applyAlignment="1">
      <alignment horizontal="center" vertical="center"/>
    </xf>
    <xf numFmtId="168" fontId="0" fillId="3" borderId="33" xfId="0" applyNumberFormat="1" applyFont="1" applyFill="1" applyBorder="1" applyAlignment="1">
      <alignment horizontal="center" vertical="center"/>
    </xf>
    <xf numFmtId="168" fontId="0" fillId="3" borderId="48" xfId="0" applyNumberFormat="1" applyFont="1" applyFill="1" applyBorder="1" applyAlignment="1">
      <alignment horizontal="center" vertical="center"/>
    </xf>
    <xf numFmtId="3" fontId="0" fillId="3" borderId="33" xfId="0" applyNumberFormat="1" applyFont="1" applyFill="1" applyBorder="1" applyAlignment="1">
      <alignment horizontal="center" vertical="center"/>
    </xf>
    <xf numFmtId="3" fontId="0" fillId="3" borderId="48" xfId="0" applyNumberFormat="1" applyFont="1" applyFill="1" applyBorder="1" applyAlignment="1">
      <alignment horizontal="center" vertical="center"/>
    </xf>
    <xf numFmtId="174" fontId="8" fillId="3" borderId="33" xfId="0" applyNumberFormat="1" applyFont="1" applyFill="1" applyBorder="1" applyAlignment="1">
      <alignment horizontal="center" vertical="center"/>
    </xf>
    <xf numFmtId="174" fontId="8" fillId="3" borderId="48" xfId="0" applyNumberFormat="1" applyFont="1" applyFill="1" applyBorder="1" applyAlignment="1">
      <alignment horizontal="center" vertical="center"/>
    </xf>
    <xf numFmtId="9" fontId="0" fillId="3" borderId="33" xfId="0" applyNumberFormat="1" applyFont="1" applyFill="1" applyBorder="1" applyAlignment="1">
      <alignment horizontal="center" vertical="center"/>
    </xf>
    <xf numFmtId="9" fontId="0" fillId="3" borderId="48" xfId="0" applyNumberFormat="1" applyFont="1" applyFill="1" applyBorder="1" applyAlignment="1">
      <alignment horizontal="center" vertical="center"/>
    </xf>
    <xf numFmtId="0" fontId="5" fillId="3" borderId="33" xfId="0" applyNumberFormat="1" applyFont="1" applyFill="1" applyBorder="1" applyAlignment="1">
      <alignment horizontal="center" vertical="center"/>
    </xf>
    <xf numFmtId="0" fontId="5" fillId="3" borderId="48" xfId="0" applyNumberFormat="1" applyFont="1" applyFill="1" applyBorder="1" applyAlignment="1">
      <alignment horizontal="center" vertical="center"/>
    </xf>
    <xf numFmtId="0" fontId="5" fillId="3" borderId="27" xfId="0" applyNumberFormat="1" applyFont="1" applyFill="1" applyBorder="1" applyAlignment="1">
      <alignment horizontal="center" vertical="center"/>
    </xf>
    <xf numFmtId="0" fontId="8" fillId="3" borderId="49" xfId="0" applyNumberFormat="1" applyFont="1" applyFill="1" applyBorder="1" applyAlignment="1">
      <alignment horizontal="left" vertical="center" indent="1"/>
    </xf>
    <xf numFmtId="0" fontId="8" fillId="3" borderId="50" xfId="0" applyNumberFormat="1" applyFont="1" applyFill="1" applyBorder="1" applyAlignment="1">
      <alignment horizontal="left" vertical="center" indent="1"/>
    </xf>
    <xf numFmtId="3" fontId="8" fillId="3" borderId="49" xfId="0" applyNumberFormat="1" applyFont="1" applyFill="1" applyBorder="1" applyAlignment="1">
      <alignment horizontal="center" vertical="center"/>
    </xf>
    <xf numFmtId="3" fontId="8" fillId="3" borderId="50" xfId="0" applyNumberFormat="1" applyFont="1" applyFill="1" applyBorder="1" applyAlignment="1">
      <alignment horizontal="center" vertical="center"/>
    </xf>
    <xf numFmtId="3" fontId="37" fillId="3" borderId="49" xfId="0" applyNumberFormat="1" applyFont="1" applyFill="1" applyBorder="1" applyAlignment="1">
      <alignment horizontal="center" vertical="center"/>
    </xf>
    <xf numFmtId="3" fontId="37" fillId="3" borderId="50" xfId="0" applyNumberFormat="1" applyFont="1" applyFill="1" applyBorder="1" applyAlignment="1">
      <alignment horizontal="center" vertical="center"/>
    </xf>
    <xf numFmtId="168" fontId="0" fillId="3" borderId="49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174" fontId="8" fillId="3" borderId="49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9" fontId="0" fillId="3" borderId="49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0" fontId="5" fillId="3" borderId="49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168" fontId="37" fillId="3" borderId="49" xfId="0" applyNumberFormat="1" applyFont="1" applyFill="1" applyBorder="1" applyAlignment="1">
      <alignment horizontal="center" vertical="center"/>
    </xf>
    <xf numFmtId="168" fontId="37" fillId="3" borderId="50" xfId="0" applyNumberFormat="1" applyFont="1" applyFill="1" applyBorder="1" applyAlignment="1">
      <alignment horizontal="center" vertical="center"/>
    </xf>
    <xf numFmtId="0" fontId="8" fillId="3" borderId="52" xfId="0" applyNumberFormat="1" applyFont="1" applyFill="1" applyBorder="1" applyAlignment="1">
      <alignment horizontal="left" vertical="center" indent="1"/>
    </xf>
    <xf numFmtId="0" fontId="8" fillId="3" borderId="53" xfId="0" applyNumberFormat="1" applyFont="1" applyFill="1" applyBorder="1" applyAlignment="1">
      <alignment horizontal="left" vertical="center" indent="1"/>
    </xf>
    <xf numFmtId="3" fontId="8" fillId="3" borderId="52" xfId="0" applyNumberFormat="1" applyFont="1" applyFill="1" applyBorder="1" applyAlignment="1">
      <alignment horizontal="center" vertical="center"/>
    </xf>
    <xf numFmtId="3" fontId="8" fillId="3" borderId="53" xfId="0" applyNumberFormat="1" applyFont="1" applyFill="1" applyBorder="1" applyAlignment="1">
      <alignment horizontal="center" vertical="center"/>
    </xf>
    <xf numFmtId="3" fontId="37" fillId="3" borderId="52" xfId="0" applyNumberFormat="1" applyFont="1" applyFill="1" applyBorder="1" applyAlignment="1">
      <alignment horizontal="center" vertical="center"/>
    </xf>
    <xf numFmtId="3" fontId="37" fillId="3" borderId="53" xfId="0" applyNumberFormat="1" applyFont="1" applyFill="1" applyBorder="1" applyAlignment="1">
      <alignment horizontal="center" vertical="center"/>
    </xf>
    <xf numFmtId="168" fontId="0" fillId="3" borderId="52" xfId="0" applyNumberFormat="1" applyFont="1" applyFill="1" applyBorder="1" applyAlignment="1">
      <alignment horizontal="center" vertical="center"/>
    </xf>
    <xf numFmtId="168" fontId="0" fillId="3" borderId="53" xfId="0" applyNumberFormat="1" applyFont="1" applyFill="1" applyBorder="1" applyAlignment="1">
      <alignment horizontal="center" vertical="center"/>
    </xf>
    <xf numFmtId="3" fontId="0" fillId="3" borderId="52" xfId="0" applyNumberFormat="1" applyFont="1" applyFill="1" applyBorder="1" applyAlignment="1">
      <alignment horizontal="center" vertical="center"/>
    </xf>
    <xf numFmtId="3" fontId="0" fillId="3" borderId="53" xfId="0" applyNumberFormat="1" applyFont="1" applyFill="1" applyBorder="1" applyAlignment="1">
      <alignment horizontal="center" vertical="center"/>
    </xf>
    <xf numFmtId="174" fontId="8" fillId="3" borderId="52" xfId="0" applyNumberFormat="1" applyFont="1" applyFill="1" applyBorder="1" applyAlignment="1">
      <alignment horizontal="center" vertical="center"/>
    </xf>
    <xf numFmtId="174" fontId="8" fillId="3" borderId="53" xfId="0" applyNumberFormat="1" applyFont="1" applyFill="1" applyBorder="1" applyAlignment="1">
      <alignment horizontal="center" vertical="center"/>
    </xf>
    <xf numFmtId="9" fontId="0" fillId="3" borderId="52" xfId="0" applyNumberFormat="1" applyFont="1" applyFill="1" applyBorder="1" applyAlignment="1">
      <alignment horizontal="center" vertical="center"/>
    </xf>
    <xf numFmtId="9" fontId="0" fillId="3" borderId="53" xfId="0" applyNumberFormat="1" applyFont="1" applyFill="1" applyBorder="1" applyAlignment="1">
      <alignment horizontal="center" vertical="center"/>
    </xf>
    <xf numFmtId="0" fontId="5" fillId="3" borderId="52" xfId="0" applyNumberFormat="1" applyFont="1" applyFill="1" applyBorder="1" applyAlignment="1">
      <alignment horizontal="center" vertical="center"/>
    </xf>
    <xf numFmtId="0" fontId="5" fillId="3" borderId="53" xfId="0" applyNumberFormat="1" applyFont="1" applyFill="1" applyBorder="1" applyAlignment="1">
      <alignment horizontal="center" vertical="center"/>
    </xf>
    <xf numFmtId="0" fontId="5" fillId="3" borderId="54" xfId="0" applyNumberFormat="1" applyFont="1" applyFill="1" applyBorder="1" applyAlignment="1">
      <alignment horizontal="center" vertical="center"/>
    </xf>
    <xf numFmtId="0" fontId="8" fillId="4" borderId="33" xfId="0" applyNumberFormat="1" applyFont="1" applyFill="1" applyBorder="1" applyAlignment="1">
      <alignment horizontal="left" vertical="center" indent="1"/>
    </xf>
    <xf numFmtId="0" fontId="8" fillId="4" borderId="48" xfId="0" applyNumberFormat="1" applyFont="1" applyFill="1" applyBorder="1" applyAlignment="1">
      <alignment horizontal="left" vertical="center" indent="1"/>
    </xf>
    <xf numFmtId="3" fontId="8" fillId="4" borderId="33" xfId="0" applyNumberFormat="1" applyFont="1" applyFill="1" applyBorder="1" applyAlignment="1">
      <alignment horizontal="center" vertical="center"/>
    </xf>
    <xf numFmtId="3" fontId="8" fillId="4" borderId="48" xfId="0" applyNumberFormat="1" applyFont="1" applyFill="1" applyBorder="1" applyAlignment="1">
      <alignment horizontal="center" vertical="center"/>
    </xf>
    <xf numFmtId="3" fontId="37" fillId="4" borderId="33" xfId="0" applyNumberFormat="1" applyFont="1" applyFill="1" applyBorder="1" applyAlignment="1">
      <alignment horizontal="center" vertical="center"/>
    </xf>
    <xf numFmtId="3" fontId="37" fillId="4" borderId="48" xfId="0" applyNumberFormat="1" applyFont="1" applyFill="1" applyBorder="1" applyAlignment="1">
      <alignment horizontal="center" vertical="center"/>
    </xf>
    <xf numFmtId="168" fontId="0" fillId="4" borderId="33" xfId="0" applyNumberFormat="1" applyFont="1" applyFill="1" applyBorder="1" applyAlignment="1">
      <alignment horizontal="center" vertical="center"/>
    </xf>
    <xf numFmtId="168" fontId="0" fillId="4" borderId="48" xfId="0" applyNumberFormat="1" applyFont="1" applyFill="1" applyBorder="1" applyAlignment="1">
      <alignment horizontal="center" vertical="center"/>
    </xf>
    <xf numFmtId="3" fontId="0" fillId="4" borderId="33" xfId="0" applyNumberFormat="1" applyFont="1" applyFill="1" applyBorder="1" applyAlignment="1">
      <alignment horizontal="center" vertical="center"/>
    </xf>
    <xf numFmtId="3" fontId="0" fillId="4" borderId="48" xfId="0" applyNumberFormat="1" applyFont="1" applyFill="1" applyBorder="1" applyAlignment="1">
      <alignment horizontal="center" vertical="center"/>
    </xf>
    <xf numFmtId="174" fontId="8" fillId="4" borderId="33" xfId="0" applyNumberFormat="1" applyFont="1" applyFill="1" applyBorder="1" applyAlignment="1">
      <alignment horizontal="center" vertical="center"/>
    </xf>
    <xf numFmtId="174" fontId="8" fillId="4" borderId="48" xfId="0" applyNumberFormat="1" applyFont="1" applyFill="1" applyBorder="1" applyAlignment="1">
      <alignment horizontal="center" vertical="center"/>
    </xf>
    <xf numFmtId="9" fontId="0" fillId="4" borderId="33" xfId="0" applyNumberFormat="1" applyFont="1" applyFill="1" applyBorder="1" applyAlignment="1">
      <alignment horizontal="center" vertical="center"/>
    </xf>
    <xf numFmtId="9" fontId="0" fillId="4" borderId="48" xfId="0" applyNumberFormat="1" applyFont="1" applyFill="1" applyBorder="1" applyAlignment="1">
      <alignment horizontal="center" vertical="center"/>
    </xf>
    <xf numFmtId="0" fontId="5" fillId="4" borderId="33" xfId="0" applyNumberFormat="1" applyFont="1" applyFill="1" applyBorder="1" applyAlignment="1">
      <alignment horizontal="center" vertical="center"/>
    </xf>
    <xf numFmtId="0" fontId="5" fillId="4" borderId="48" xfId="0" applyNumberFormat="1" applyFont="1" applyFill="1" applyBorder="1" applyAlignment="1">
      <alignment horizontal="center" vertical="center"/>
    </xf>
    <xf numFmtId="0" fontId="5" fillId="4" borderId="27" xfId="0" applyNumberFormat="1" applyFont="1" applyFill="1" applyBorder="1" applyAlignment="1">
      <alignment horizontal="center" vertical="center"/>
    </xf>
    <xf numFmtId="0" fontId="8" fillId="4" borderId="49" xfId="0" applyNumberFormat="1" applyFont="1" applyFill="1" applyBorder="1" applyAlignment="1">
      <alignment horizontal="left" vertical="center" indent="1"/>
    </xf>
    <xf numFmtId="0" fontId="8" fillId="4" borderId="50" xfId="0" applyNumberFormat="1" applyFont="1" applyFill="1" applyBorder="1" applyAlignment="1">
      <alignment horizontal="left" vertical="center" indent="1"/>
    </xf>
    <xf numFmtId="3" fontId="8" fillId="4" borderId="49" xfId="0" applyNumberFormat="1" applyFont="1" applyFill="1" applyBorder="1" applyAlignment="1">
      <alignment horizontal="center" vertical="center"/>
    </xf>
    <xf numFmtId="3" fontId="8" fillId="4" borderId="50" xfId="0" applyNumberFormat="1" applyFont="1" applyFill="1" applyBorder="1" applyAlignment="1">
      <alignment horizontal="center" vertical="center"/>
    </xf>
    <xf numFmtId="3" fontId="37" fillId="4" borderId="49" xfId="0" applyNumberFormat="1" applyFont="1" applyFill="1" applyBorder="1" applyAlignment="1">
      <alignment horizontal="center" vertical="center"/>
    </xf>
    <xf numFmtId="3" fontId="37" fillId="4" borderId="50" xfId="0" applyNumberFormat="1" applyFont="1" applyFill="1" applyBorder="1" applyAlignment="1">
      <alignment horizontal="center" vertical="center"/>
    </xf>
    <xf numFmtId="168" fontId="0" fillId="4" borderId="49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174" fontId="8" fillId="4" borderId="49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9" fontId="0" fillId="4" borderId="49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0" fontId="5" fillId="4" borderId="49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8" fillId="4" borderId="52" xfId="0" applyNumberFormat="1" applyFont="1" applyFill="1" applyBorder="1" applyAlignment="1">
      <alignment horizontal="left" vertical="center" indent="1"/>
    </xf>
    <xf numFmtId="0" fontId="8" fillId="4" borderId="53" xfId="0" applyNumberFormat="1" applyFont="1" applyFill="1" applyBorder="1" applyAlignment="1">
      <alignment horizontal="left" vertical="center" indent="1"/>
    </xf>
    <xf numFmtId="3" fontId="8" fillId="4" borderId="52" xfId="0" applyNumberFormat="1" applyFont="1" applyFill="1" applyBorder="1" applyAlignment="1">
      <alignment horizontal="center" vertical="center"/>
    </xf>
    <xf numFmtId="3" fontId="8" fillId="4" borderId="53" xfId="0" applyNumberFormat="1" applyFont="1" applyFill="1" applyBorder="1" applyAlignment="1">
      <alignment horizontal="center" vertical="center"/>
    </xf>
    <xf numFmtId="168" fontId="37" fillId="4" borderId="52" xfId="0" applyNumberFormat="1" applyFont="1" applyFill="1" applyBorder="1" applyAlignment="1">
      <alignment horizontal="center" vertical="center"/>
    </xf>
    <xf numFmtId="168" fontId="37" fillId="4" borderId="53" xfId="0" applyNumberFormat="1" applyFont="1" applyFill="1" applyBorder="1" applyAlignment="1">
      <alignment horizontal="center" vertical="center"/>
    </xf>
    <xf numFmtId="168" fontId="0" fillId="4" borderId="52" xfId="0" applyNumberFormat="1" applyFont="1" applyFill="1" applyBorder="1" applyAlignment="1">
      <alignment horizontal="center" vertical="center"/>
    </xf>
    <xf numFmtId="168" fontId="0" fillId="4" borderId="53" xfId="0" applyNumberFormat="1" applyFont="1" applyFill="1" applyBorder="1" applyAlignment="1">
      <alignment horizontal="center" vertical="center"/>
    </xf>
    <xf numFmtId="174" fontId="8" fillId="4" borderId="52" xfId="0" applyNumberFormat="1" applyFont="1" applyFill="1" applyBorder="1" applyAlignment="1">
      <alignment horizontal="center" vertical="center"/>
    </xf>
    <xf numFmtId="174" fontId="8" fillId="4" borderId="53" xfId="0" applyNumberFormat="1" applyFont="1" applyFill="1" applyBorder="1" applyAlignment="1">
      <alignment horizontal="center" vertical="center"/>
    </xf>
    <xf numFmtId="9" fontId="0" fillId="4" borderId="52" xfId="0" applyNumberFormat="1" applyFont="1" applyFill="1" applyBorder="1" applyAlignment="1">
      <alignment horizontal="center" vertical="center"/>
    </xf>
    <xf numFmtId="9" fontId="0" fillId="4" borderId="53" xfId="0" applyNumberFormat="1" applyFont="1" applyFill="1" applyBorder="1" applyAlignment="1">
      <alignment horizontal="center" vertical="center"/>
    </xf>
    <xf numFmtId="0" fontId="5" fillId="4" borderId="52" xfId="0" applyNumberFormat="1" applyFont="1" applyFill="1" applyBorder="1" applyAlignment="1">
      <alignment horizontal="center" vertical="center"/>
    </xf>
    <xf numFmtId="0" fontId="5" fillId="4" borderId="53" xfId="0" applyNumberFormat="1" applyFont="1" applyFill="1" applyBorder="1" applyAlignment="1">
      <alignment horizontal="center" vertical="center"/>
    </xf>
    <xf numFmtId="0" fontId="5" fillId="4" borderId="54" xfId="0" applyNumberFormat="1" applyFont="1" applyFill="1" applyBorder="1" applyAlignment="1">
      <alignment horizontal="center" vertical="center"/>
    </xf>
    <xf numFmtId="0" fontId="8" fillId="5" borderId="33" xfId="0" applyNumberFormat="1" applyFont="1" applyFill="1" applyBorder="1" applyAlignment="1">
      <alignment horizontal="left" vertical="center" indent="1"/>
    </xf>
    <xf numFmtId="0" fontId="8" fillId="5" borderId="48" xfId="0" applyNumberFormat="1" applyFont="1" applyFill="1" applyBorder="1" applyAlignment="1">
      <alignment horizontal="left" vertical="center" indent="1"/>
    </xf>
    <xf numFmtId="3" fontId="8" fillId="5" borderId="33" xfId="0" applyNumberFormat="1" applyFont="1" applyFill="1" applyBorder="1" applyAlignment="1">
      <alignment horizontal="center" vertical="center"/>
    </xf>
    <xf numFmtId="3" fontId="8" fillId="5" borderId="48" xfId="0" applyNumberFormat="1" applyFont="1" applyFill="1" applyBorder="1" applyAlignment="1">
      <alignment horizontal="center" vertical="center"/>
    </xf>
    <xf numFmtId="3" fontId="37" fillId="5" borderId="33" xfId="0" applyNumberFormat="1" applyFont="1" applyFill="1" applyBorder="1" applyAlignment="1">
      <alignment horizontal="center" vertical="center"/>
    </xf>
    <xf numFmtId="3" fontId="37" fillId="5" borderId="48" xfId="0" applyNumberFormat="1" applyFont="1" applyFill="1" applyBorder="1" applyAlignment="1">
      <alignment horizontal="center" vertical="center"/>
    </xf>
    <xf numFmtId="168" fontId="0" fillId="5" borderId="33" xfId="0" applyNumberFormat="1" applyFont="1" applyFill="1" applyBorder="1" applyAlignment="1">
      <alignment horizontal="center" vertical="center"/>
    </xf>
    <xf numFmtId="168" fontId="0" fillId="5" borderId="48" xfId="0" applyNumberFormat="1" applyFont="1" applyFill="1" applyBorder="1" applyAlignment="1">
      <alignment horizontal="center" vertical="center"/>
    </xf>
    <xf numFmtId="3" fontId="0" fillId="5" borderId="33" xfId="0" applyNumberFormat="1" applyFont="1" applyFill="1" applyBorder="1" applyAlignment="1">
      <alignment horizontal="center" vertical="center"/>
    </xf>
    <xf numFmtId="3" fontId="0" fillId="5" borderId="48" xfId="0" applyNumberFormat="1" applyFont="1" applyFill="1" applyBorder="1" applyAlignment="1">
      <alignment horizontal="center" vertical="center"/>
    </xf>
    <xf numFmtId="174" fontId="8" fillId="5" borderId="33" xfId="0" applyNumberFormat="1" applyFont="1" applyFill="1" applyBorder="1" applyAlignment="1">
      <alignment horizontal="center" vertical="center"/>
    </xf>
    <xf numFmtId="174" fontId="8" fillId="5" borderId="48" xfId="0" applyNumberFormat="1" applyFont="1" applyFill="1" applyBorder="1" applyAlignment="1">
      <alignment horizontal="center" vertical="center"/>
    </xf>
    <xf numFmtId="9" fontId="0" fillId="5" borderId="33" xfId="0" applyNumberFormat="1" applyFont="1" applyFill="1" applyBorder="1" applyAlignment="1">
      <alignment horizontal="center" vertical="center"/>
    </xf>
    <xf numFmtId="9" fontId="0" fillId="5" borderId="48" xfId="0" applyNumberFormat="1" applyFont="1" applyFill="1" applyBorder="1" applyAlignment="1">
      <alignment horizontal="center" vertical="center"/>
    </xf>
    <xf numFmtId="0" fontId="5" fillId="5" borderId="33" xfId="0" applyNumberFormat="1" applyFont="1" applyFill="1" applyBorder="1" applyAlignment="1">
      <alignment horizontal="center" vertical="center"/>
    </xf>
    <xf numFmtId="0" fontId="5" fillId="5" borderId="48" xfId="0" applyNumberFormat="1" applyFont="1" applyFill="1" applyBorder="1" applyAlignment="1">
      <alignment horizontal="center" vertical="center"/>
    </xf>
    <xf numFmtId="0" fontId="5" fillId="5" borderId="27" xfId="0" applyNumberFormat="1" applyFont="1" applyFill="1" applyBorder="1" applyAlignment="1">
      <alignment horizontal="center" vertical="center"/>
    </xf>
    <xf numFmtId="0" fontId="8" fillId="5" borderId="49" xfId="0" applyNumberFormat="1" applyFont="1" applyFill="1" applyBorder="1" applyAlignment="1">
      <alignment horizontal="left" vertical="center" indent="1"/>
    </xf>
    <xf numFmtId="0" fontId="8" fillId="5" borderId="50" xfId="0" applyNumberFormat="1" applyFont="1" applyFill="1" applyBorder="1" applyAlignment="1">
      <alignment horizontal="left" vertical="center" indent="1"/>
    </xf>
    <xf numFmtId="3" fontId="8" fillId="5" borderId="49" xfId="0" applyNumberFormat="1" applyFont="1" applyFill="1" applyBorder="1" applyAlignment="1">
      <alignment horizontal="center" vertical="center"/>
    </xf>
    <xf numFmtId="3" fontId="8" fillId="5" borderId="50" xfId="0" applyNumberFormat="1" applyFont="1" applyFill="1" applyBorder="1" applyAlignment="1">
      <alignment horizontal="center" vertical="center"/>
    </xf>
    <xf numFmtId="3" fontId="37" fillId="5" borderId="49" xfId="0" applyNumberFormat="1" applyFont="1" applyFill="1" applyBorder="1" applyAlignment="1">
      <alignment horizontal="center" vertical="center"/>
    </xf>
    <xf numFmtId="3" fontId="37" fillId="5" borderId="50" xfId="0" applyNumberFormat="1" applyFont="1" applyFill="1" applyBorder="1" applyAlignment="1">
      <alignment horizontal="center" vertical="center"/>
    </xf>
    <xf numFmtId="168" fontId="0" fillId="5" borderId="49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174" fontId="8" fillId="5" borderId="49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9" fontId="0" fillId="5" borderId="49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0" fontId="5" fillId="5" borderId="49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0" fontId="8" fillId="5" borderId="52" xfId="0" applyNumberFormat="1" applyFont="1" applyFill="1" applyBorder="1" applyAlignment="1">
      <alignment horizontal="left" vertical="center" indent="1"/>
    </xf>
    <xf numFmtId="0" fontId="8" fillId="5" borderId="53" xfId="0" applyNumberFormat="1" applyFont="1" applyFill="1" applyBorder="1" applyAlignment="1">
      <alignment horizontal="left" vertical="center" indent="1"/>
    </xf>
    <xf numFmtId="3" fontId="8" fillId="5" borderId="52" xfId="0" applyNumberFormat="1" applyFont="1" applyFill="1" applyBorder="1" applyAlignment="1">
      <alignment horizontal="center" vertical="center"/>
    </xf>
    <xf numFmtId="3" fontId="8" fillId="5" borderId="53" xfId="0" applyNumberFormat="1" applyFont="1" applyFill="1" applyBorder="1" applyAlignment="1">
      <alignment horizontal="center" vertical="center"/>
    </xf>
    <xf numFmtId="3" fontId="37" fillId="5" borderId="52" xfId="0" applyNumberFormat="1" applyFont="1" applyFill="1" applyBorder="1" applyAlignment="1">
      <alignment horizontal="center" vertical="center"/>
    </xf>
    <xf numFmtId="3" fontId="37" fillId="5" borderId="53" xfId="0" applyNumberFormat="1" applyFont="1" applyFill="1" applyBorder="1" applyAlignment="1">
      <alignment horizontal="center" vertical="center"/>
    </xf>
    <xf numFmtId="168" fontId="0" fillId="5" borderId="52" xfId="0" applyNumberFormat="1" applyFont="1" applyFill="1" applyBorder="1" applyAlignment="1">
      <alignment horizontal="center" vertical="center"/>
    </xf>
    <xf numFmtId="168" fontId="0" fillId="5" borderId="53" xfId="0" applyNumberFormat="1" applyFont="1" applyFill="1" applyBorder="1" applyAlignment="1">
      <alignment horizontal="center" vertical="center"/>
    </xf>
    <xf numFmtId="3" fontId="0" fillId="5" borderId="52" xfId="0" applyNumberFormat="1" applyFont="1" applyFill="1" applyBorder="1" applyAlignment="1">
      <alignment horizontal="center" vertical="center"/>
    </xf>
    <xf numFmtId="3" fontId="0" fillId="5" borderId="53" xfId="0" applyNumberFormat="1" applyFont="1" applyFill="1" applyBorder="1" applyAlignment="1">
      <alignment horizontal="center" vertical="center"/>
    </xf>
    <xf numFmtId="174" fontId="8" fillId="5" borderId="52" xfId="0" applyNumberFormat="1" applyFont="1" applyFill="1" applyBorder="1" applyAlignment="1">
      <alignment horizontal="center" vertical="center"/>
    </xf>
    <xf numFmtId="174" fontId="8" fillId="5" borderId="53" xfId="0" applyNumberFormat="1" applyFont="1" applyFill="1" applyBorder="1" applyAlignment="1">
      <alignment horizontal="center" vertical="center"/>
    </xf>
    <xf numFmtId="9" fontId="0" fillId="5" borderId="52" xfId="0" applyNumberFormat="1" applyFont="1" applyFill="1" applyBorder="1" applyAlignment="1">
      <alignment horizontal="center" vertical="center"/>
    </xf>
    <xf numFmtId="9" fontId="0" fillId="5" borderId="53" xfId="0" applyNumberFormat="1" applyFont="1" applyFill="1" applyBorder="1" applyAlignment="1">
      <alignment horizontal="center" vertical="center"/>
    </xf>
    <xf numFmtId="0" fontId="5" fillId="5" borderId="52" xfId="0" applyNumberFormat="1" applyFont="1" applyFill="1" applyBorder="1" applyAlignment="1">
      <alignment horizontal="center" vertical="center"/>
    </xf>
    <xf numFmtId="0" fontId="5" fillId="5" borderId="53" xfId="0" applyNumberFormat="1" applyFont="1" applyFill="1" applyBorder="1" applyAlignment="1">
      <alignment horizontal="center" vertical="center"/>
    </xf>
    <xf numFmtId="0" fontId="5" fillId="5" borderId="54" xfId="0" applyNumberFormat="1" applyFont="1" applyFill="1" applyBorder="1" applyAlignment="1">
      <alignment horizontal="center" vertical="center"/>
    </xf>
    <xf numFmtId="166" fontId="37" fillId="3" borderId="33" xfId="0" applyNumberFormat="1" applyFont="1" applyFill="1" applyBorder="1" applyAlignment="1">
      <alignment horizontal="center" vertical="center"/>
    </xf>
    <xf numFmtId="166" fontId="37" fillId="3" borderId="48" xfId="0" applyNumberFormat="1" applyFont="1" applyFill="1" applyBorder="1" applyAlignment="1">
      <alignment horizontal="center" vertical="center"/>
    </xf>
    <xf numFmtId="166" fontId="0" fillId="3" borderId="33" xfId="0" applyNumberFormat="1" applyFont="1" applyFill="1" applyBorder="1" applyAlignment="1">
      <alignment horizontal="center" vertical="center"/>
    </xf>
    <xf numFmtId="166" fontId="0" fillId="3" borderId="48" xfId="0" applyNumberFormat="1" applyFont="1" applyFill="1" applyBorder="1" applyAlignment="1">
      <alignment horizontal="center" vertical="center"/>
    </xf>
    <xf numFmtId="9" fontId="8" fillId="3" borderId="52" xfId="0" applyNumberFormat="1" applyFont="1" applyFill="1" applyBorder="1" applyAlignment="1">
      <alignment horizontal="center" vertical="center"/>
    </xf>
    <xf numFmtId="9" fontId="8" fillId="3" borderId="53" xfId="0" applyNumberFormat="1" applyFont="1" applyFill="1" applyBorder="1" applyAlignment="1">
      <alignment horizontal="center" vertical="center"/>
    </xf>
    <xf numFmtId="167" fontId="37" fillId="3" borderId="52" xfId="0" applyNumberFormat="1" applyFont="1" applyFill="1" applyBorder="1" applyAlignment="1">
      <alignment horizontal="center" vertical="center"/>
    </xf>
    <xf numFmtId="167" fontId="37" fillId="3" borderId="53" xfId="0" applyNumberFormat="1" applyFont="1" applyFill="1" applyBorder="1" applyAlignment="1">
      <alignment horizontal="center" vertical="center"/>
    </xf>
    <xf numFmtId="167" fontId="0" fillId="3" borderId="52" xfId="0" applyNumberFormat="1" applyFont="1" applyFill="1" applyBorder="1" applyAlignment="1">
      <alignment horizontal="center" vertical="center"/>
    </xf>
    <xf numFmtId="167" fontId="0" fillId="3" borderId="53" xfId="0" applyNumberFormat="1" applyFont="1" applyFill="1" applyBorder="1" applyAlignment="1">
      <alignment horizontal="center" vertical="center"/>
    </xf>
    <xf numFmtId="0" fontId="8" fillId="6" borderId="33" xfId="0" applyNumberFormat="1" applyFont="1" applyFill="1" applyBorder="1" applyAlignment="1">
      <alignment horizontal="left" vertical="center" indent="1"/>
    </xf>
    <xf numFmtId="0" fontId="8" fillId="6" borderId="48" xfId="0" applyNumberFormat="1" applyFont="1" applyFill="1" applyBorder="1" applyAlignment="1">
      <alignment horizontal="left" vertical="center" indent="1"/>
    </xf>
    <xf numFmtId="3" fontId="8" fillId="6" borderId="33" xfId="0" applyNumberFormat="1" applyFont="1" applyFill="1" applyBorder="1" applyAlignment="1">
      <alignment horizontal="center" vertical="center"/>
    </xf>
    <xf numFmtId="3" fontId="8" fillId="6" borderId="48" xfId="0" applyNumberFormat="1" applyFont="1" applyFill="1" applyBorder="1" applyAlignment="1">
      <alignment horizontal="center" vertical="center"/>
    </xf>
    <xf numFmtId="3" fontId="37" fillId="6" borderId="33" xfId="0" applyNumberFormat="1" applyFont="1" applyFill="1" applyBorder="1" applyAlignment="1">
      <alignment horizontal="center" vertical="center"/>
    </xf>
    <xf numFmtId="3" fontId="37" fillId="6" borderId="48" xfId="0" applyNumberFormat="1" applyFont="1" applyFill="1" applyBorder="1" applyAlignment="1">
      <alignment horizontal="center" vertical="center"/>
    </xf>
    <xf numFmtId="168" fontId="0" fillId="6" borderId="33" xfId="0" applyNumberFormat="1" applyFont="1" applyFill="1" applyBorder="1" applyAlignment="1">
      <alignment horizontal="center" vertical="center"/>
    </xf>
    <xf numFmtId="168" fontId="0" fillId="6" borderId="48" xfId="0" applyNumberFormat="1" applyFont="1" applyFill="1" applyBorder="1" applyAlignment="1">
      <alignment horizontal="center" vertical="center"/>
    </xf>
    <xf numFmtId="3" fontId="0" fillId="6" borderId="33" xfId="0" applyNumberFormat="1" applyFont="1" applyFill="1" applyBorder="1" applyAlignment="1">
      <alignment horizontal="center" vertical="center"/>
    </xf>
    <xf numFmtId="3" fontId="0" fillId="6" borderId="48" xfId="0" applyNumberFormat="1" applyFont="1" applyFill="1" applyBorder="1" applyAlignment="1">
      <alignment horizontal="center" vertical="center"/>
    </xf>
    <xf numFmtId="174" fontId="8" fillId="6" borderId="33" xfId="0" applyNumberFormat="1" applyFont="1" applyFill="1" applyBorder="1" applyAlignment="1">
      <alignment horizontal="center" vertical="center"/>
    </xf>
    <xf numFmtId="174" fontId="8" fillId="6" borderId="48" xfId="0" applyNumberFormat="1" applyFont="1" applyFill="1" applyBorder="1" applyAlignment="1">
      <alignment horizontal="center" vertical="center"/>
    </xf>
    <xf numFmtId="9" fontId="0" fillId="6" borderId="33" xfId="0" applyNumberFormat="1" applyFont="1" applyFill="1" applyBorder="1" applyAlignment="1">
      <alignment horizontal="center" vertical="center"/>
    </xf>
    <xf numFmtId="9" fontId="0" fillId="6" borderId="48" xfId="0" applyNumberFormat="1" applyFont="1" applyFill="1" applyBorder="1" applyAlignment="1">
      <alignment horizontal="center" vertical="center"/>
    </xf>
    <xf numFmtId="0" fontId="5" fillId="6" borderId="33" xfId="0" applyNumberFormat="1" applyFont="1" applyFill="1" applyBorder="1" applyAlignment="1">
      <alignment horizontal="center" vertical="center"/>
    </xf>
    <xf numFmtId="0" fontId="5" fillId="6" borderId="48" xfId="0" applyNumberFormat="1" applyFont="1" applyFill="1" applyBorder="1" applyAlignment="1">
      <alignment horizontal="center" vertical="center"/>
    </xf>
    <xf numFmtId="0" fontId="5" fillId="6" borderId="27" xfId="0" applyNumberFormat="1" applyFont="1" applyFill="1" applyBorder="1" applyAlignment="1">
      <alignment horizontal="center" vertical="center"/>
    </xf>
    <xf numFmtId="0" fontId="8" fillId="6" borderId="49" xfId="0" applyNumberFormat="1" applyFont="1" applyFill="1" applyBorder="1" applyAlignment="1">
      <alignment horizontal="left" vertical="center" indent="1"/>
    </xf>
    <xf numFmtId="0" fontId="8" fillId="6" borderId="50" xfId="0" applyNumberFormat="1" applyFont="1" applyFill="1" applyBorder="1" applyAlignment="1">
      <alignment horizontal="left" vertical="center" indent="1"/>
    </xf>
    <xf numFmtId="3" fontId="8" fillId="6" borderId="49" xfId="0" applyNumberFormat="1" applyFont="1" applyFill="1" applyBorder="1" applyAlignment="1">
      <alignment horizontal="center" vertical="center"/>
    </xf>
    <xf numFmtId="3" fontId="8" fillId="6" borderId="50" xfId="0" applyNumberFormat="1" applyFont="1" applyFill="1" applyBorder="1" applyAlignment="1">
      <alignment horizontal="center" vertical="center"/>
    </xf>
    <xf numFmtId="3" fontId="37" fillId="6" borderId="49" xfId="0" applyNumberFormat="1" applyFont="1" applyFill="1" applyBorder="1" applyAlignment="1">
      <alignment horizontal="center" vertical="center"/>
    </xf>
    <xf numFmtId="3" fontId="37" fillId="6" borderId="50" xfId="0" applyNumberFormat="1" applyFont="1" applyFill="1" applyBorder="1" applyAlignment="1">
      <alignment horizontal="center" vertical="center"/>
    </xf>
    <xf numFmtId="168" fontId="0" fillId="6" borderId="49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174" fontId="8" fillId="6" borderId="49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9" fontId="0" fillId="6" borderId="49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0" fontId="5" fillId="6" borderId="49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8" fillId="6" borderId="52" xfId="0" applyNumberFormat="1" applyFont="1" applyFill="1" applyBorder="1" applyAlignment="1">
      <alignment horizontal="left" vertical="center" indent="1"/>
    </xf>
    <xf numFmtId="0" fontId="8" fillId="6" borderId="53" xfId="0" applyNumberFormat="1" applyFont="1" applyFill="1" applyBorder="1" applyAlignment="1">
      <alignment horizontal="left" vertical="center" indent="1"/>
    </xf>
    <xf numFmtId="3" fontId="8" fillId="6" borderId="52" xfId="0" applyNumberFormat="1" applyFont="1" applyFill="1" applyBorder="1" applyAlignment="1">
      <alignment horizontal="center" vertical="center"/>
    </xf>
    <xf numFmtId="3" fontId="8" fillId="6" borderId="53" xfId="0" applyNumberFormat="1" applyFont="1" applyFill="1" applyBorder="1" applyAlignment="1">
      <alignment horizontal="center" vertical="center"/>
    </xf>
    <xf numFmtId="3" fontId="37" fillId="6" borderId="52" xfId="0" applyNumberFormat="1" applyFont="1" applyFill="1" applyBorder="1" applyAlignment="1">
      <alignment horizontal="center" vertical="center"/>
    </xf>
    <xf numFmtId="3" fontId="37" fillId="6" borderId="53" xfId="0" applyNumberFormat="1" applyFont="1" applyFill="1" applyBorder="1" applyAlignment="1">
      <alignment horizontal="center" vertical="center"/>
    </xf>
    <xf numFmtId="168" fontId="0" fillId="6" borderId="52" xfId="0" applyNumberFormat="1" applyFont="1" applyFill="1" applyBorder="1" applyAlignment="1">
      <alignment horizontal="center" vertical="center"/>
    </xf>
    <xf numFmtId="168" fontId="0" fillId="6" borderId="53" xfId="0" applyNumberFormat="1" applyFont="1" applyFill="1" applyBorder="1" applyAlignment="1">
      <alignment horizontal="center" vertical="center"/>
    </xf>
    <xf numFmtId="3" fontId="0" fillId="6" borderId="52" xfId="0" applyNumberFormat="1" applyFont="1" applyFill="1" applyBorder="1" applyAlignment="1">
      <alignment horizontal="center" vertical="center"/>
    </xf>
    <xf numFmtId="3" fontId="0" fillId="6" borderId="53" xfId="0" applyNumberFormat="1" applyFont="1" applyFill="1" applyBorder="1" applyAlignment="1">
      <alignment horizontal="center" vertical="center"/>
    </xf>
    <xf numFmtId="174" fontId="8" fillId="6" borderId="52" xfId="0" applyNumberFormat="1" applyFont="1" applyFill="1" applyBorder="1" applyAlignment="1">
      <alignment horizontal="center" vertical="center"/>
    </xf>
    <xf numFmtId="174" fontId="8" fillId="6" borderId="53" xfId="0" applyNumberFormat="1" applyFont="1" applyFill="1" applyBorder="1" applyAlignment="1">
      <alignment horizontal="center" vertical="center"/>
    </xf>
    <xf numFmtId="9" fontId="0" fillId="6" borderId="52" xfId="0" applyNumberFormat="1" applyFont="1" applyFill="1" applyBorder="1" applyAlignment="1">
      <alignment horizontal="center" vertical="center"/>
    </xf>
    <xf numFmtId="9" fontId="0" fillId="6" borderId="53" xfId="0" applyNumberFormat="1" applyFont="1" applyFill="1" applyBorder="1" applyAlignment="1">
      <alignment horizontal="center" vertical="center"/>
    </xf>
    <xf numFmtId="0" fontId="5" fillId="6" borderId="52" xfId="0" applyNumberFormat="1" applyFont="1" applyFill="1" applyBorder="1" applyAlignment="1">
      <alignment horizontal="center" vertical="center"/>
    </xf>
    <xf numFmtId="0" fontId="5" fillId="6" borderId="53" xfId="0" applyNumberFormat="1" applyFont="1" applyFill="1" applyBorder="1" applyAlignment="1">
      <alignment horizontal="center" vertical="center"/>
    </xf>
    <xf numFmtId="0" fontId="5" fillId="6" borderId="54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0" fontId="8" fillId="3" borderId="55" xfId="0" applyNumberFormat="1" applyFont="1" applyFill="1" applyBorder="1" applyAlignment="1">
      <alignment horizontal="center" vertical="center"/>
    </xf>
    <xf numFmtId="0" fontId="8" fillId="3" borderId="28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0" fontId="8" fillId="4" borderId="55" xfId="0" applyNumberFormat="1" applyFont="1" applyFill="1" applyBorder="1" applyAlignment="1">
      <alignment horizontal="center" vertical="center"/>
    </xf>
    <xf numFmtId="0" fontId="8" fillId="4" borderId="28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0" fontId="8" fillId="5" borderId="55" xfId="0" applyNumberFormat="1" applyFont="1" applyFill="1" applyBorder="1" applyAlignment="1">
      <alignment horizontal="center" vertical="center"/>
    </xf>
    <xf numFmtId="0" fontId="8" fillId="5" borderId="28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0" fontId="8" fillId="6" borderId="55" xfId="0" applyNumberFormat="1" applyFont="1" applyFill="1" applyBorder="1" applyAlignment="1">
      <alignment horizontal="center" vertical="center"/>
    </xf>
    <xf numFmtId="0" fontId="8" fillId="6" borderId="28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56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Config!$D$82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Config!$D$83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Config!$D$87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calculos!$BB$343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calculos!$W$12:$W$42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calculos!$AN$343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calculos!$AO$343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calculos!$AV$343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calculos!$AW$343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calculos!$AN$343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calculos!$AX$91:$AX$95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calculos!$AO$343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calculos!$AY$91:$AY$95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calculos!$AV$343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calculos!$AZ$91:$AZ$95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calculos!$AW$343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calculos!$BA$91:$BA$95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AG3" totalsRowShown="0">
  <autoFilter ref="A2:AG3"/>
  <tableColumns count="33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Itens Recebido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Linhas NF"/>
    <tableColumn id="17" name="OUT Caixas Expedidas"/>
    <tableColumn id="18" name="OUT Pallets Movimentados"/>
    <tableColumn id="19" name="OUT Toneladas Movimentadas"/>
    <tableColumn id="20" name="NC Incidentes"/>
    <tableColumn id="21" name="NC No show"/>
    <tableColumn id="22" name="NC Backlog"/>
    <tableColumn id="23" name="Posições Disponíveis"/>
    <tableColumn id="24" name="Posições Ocupadas"/>
    <tableColumn id="25" name="Efetivo Op."/>
    <tableColumn id="26" name="Falta"/>
    <tableColumn id="27" name="Folga"/>
    <tableColumn id="28" name="Férias"/>
    <tableColumn id="29" name="Desligamento"/>
    <tableColumn id="30" name="Desvios Comportamentais"/>
    <tableColumn id="31" name="Acidentes CAF"/>
    <tableColumn id="32" name="Acidentes SAF"/>
    <tableColumn id="33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97"/>
      <c r="B1" s="97"/>
      <c r="C1" s="97"/>
      <c r="D1" s="97"/>
      <c r="E1" s="97"/>
      <c r="F1" s="97"/>
      <c r="G1" s="99" t="str">
        <f>"DASHBOARD · INDICADORES OPERACIONAIS"&amp;IF(calculos!$E$2="",""," · "&amp;calculos!$E$2)</f>
        <v>DASHBOARD · INDICADORES OPERACIONAIS · TPC</v>
      </c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3" ht="26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L3" s="100" t="inlineStr">
        <is>
          <t xml:space="preserve">PERÍODO  ▸</t>
        </is>
      </c>
      <c r="M3" s="100"/>
      <c r="N3" s="100"/>
      <c r="O3" s="100"/>
      <c r="Q3" s="104">
        <v>46296</v>
      </c>
      <c r="R3" s="105"/>
      <c r="S3" s="106"/>
      <c r="T3" s="107" t="inlineStr">
        <is>
          <t xml:space="preserve">até</t>
        </is>
      </c>
      <c r="V3" s="104">
        <v>46326</v>
      </c>
      <c r="W3" s="105"/>
      <c r="X3" s="106"/>
    </row>
    <row r="4" ht="16" customHeight="1">
      <c r="B4" s="108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</row>
    <row r="6" ht="46" customHeight="1">
      <c r="B6" s="115"/>
      <c r="C6" s="116" t="str">
        <f>Config!$D$60&amp;""</f>
        <v>RECEBIMENTO (IN)</v>
      </c>
      <c r="D6" s="116"/>
      <c r="E6" s="116"/>
      <c r="G6" s="121"/>
      <c r="H6" s="122" t="str">
        <f>Config!$D$62&amp;""</f>
        <v>EXPEDIÇÃO (OUT)</v>
      </c>
      <c r="I6" s="122"/>
      <c r="J6" s="122"/>
      <c r="L6" s="123"/>
      <c r="M6" s="124" t="str">
        <f>Config!$D$64&amp;""</f>
        <v>NC OPERACIONAL</v>
      </c>
      <c r="N6" s="124"/>
      <c r="O6" s="124"/>
      <c r="Q6" s="115"/>
      <c r="R6" s="116" t="str">
        <f>Config!$D$68&amp;""</f>
        <v>ÍNDICE DE OCUPAÇÃO (P.P)</v>
      </c>
      <c r="S6" s="116"/>
      <c r="T6" s="116"/>
      <c r="V6" s="133"/>
      <c r="W6" s="134" t="str">
        <f>Config!$D$74&amp;""</f>
        <v>GENTE</v>
      </c>
      <c r="X6" s="134"/>
      <c r="Y6" s="134"/>
    </row>
    <row r="7" ht="20" customHeight="1">
      <c r="B7" s="117">
        <f>IF(calculos!$AX$343="Não se aplica","—",calculos!$B$303)</f>
        <v>0</v>
      </c>
      <c r="C7" s="117"/>
      <c r="D7" s="117"/>
      <c r="E7" s="117"/>
      <c r="G7" s="117">
        <f>IF(calculos!$AY$343="Não se aplica","—",calculos!$B$306)</f>
        <v>0</v>
      </c>
      <c r="H7" s="117"/>
      <c r="I7" s="117"/>
      <c r="J7" s="117"/>
      <c r="L7" s="117">
        <f>calculos!$B$309</f>
        <v>0</v>
      </c>
      <c r="M7" s="117"/>
      <c r="N7" s="117"/>
      <c r="O7" s="117"/>
      <c r="Q7" s="125" t="str">
        <f>IF(OR(calculos!$AZ$343="Completo",calculos!$AZ$343=""),calculos!$BA$343&amp;"","")</f>
        <v>ARMAZÉM</v>
      </c>
      <c r="R7" s="125"/>
      <c r="S7" s="129" t="str">
        <f>IF(OR(calculos!$AZ$343="Completo",calculos!$AZ$343=""),calculos!$B$313,"")</f>
        <v/>
      </c>
      <c r="T7" s="129"/>
      <c r="V7" s="125" t="str">
        <f>Config!$D$75&amp;""</f>
        <v>EFETIVO</v>
      </c>
      <c r="W7" s="125"/>
      <c r="X7" s="126" t="str">
        <f>calculos!$B$316</f>
        <v/>
      </c>
      <c r="Y7" s="126"/>
    </row>
    <row r="8" ht="20" customHeight="1">
      <c r="B8" s="117"/>
      <c r="C8" s="117"/>
      <c r="D8" s="117"/>
      <c r="E8" s="117"/>
      <c r="G8" s="117"/>
      <c r="H8" s="117"/>
      <c r="I8" s="117"/>
      <c r="J8" s="117"/>
      <c r="L8" s="117"/>
      <c r="M8" s="117"/>
      <c r="N8" s="117"/>
      <c r="O8" s="117"/>
      <c r="Q8" s="125" t="str">
        <f>IF(calculos!$AZ$343="Não se aplica","",Config!$D$71&amp;"")</f>
        <v>OCUPADA</v>
      </c>
      <c r="R8" s="125"/>
      <c r="S8" s="129" t="str">
        <f>IF(calculos!$AZ$343="Não se aplica","",calculos!$B$312)</f>
        <v/>
      </c>
      <c r="T8" s="129"/>
      <c r="V8" s="125" t="str">
        <f>Config!$D$76&amp;""</f>
        <v>ABSENTEÍSMO (H/H)</v>
      </c>
      <c r="W8" s="125"/>
      <c r="X8" s="130" t="str">
        <f>calculos!$B$319</f>
        <v/>
      </c>
      <c r="Y8" s="130"/>
    </row>
    <row r="9" ht="20" customHeight="1">
      <c r="B9" s="117"/>
      <c r="C9" s="117"/>
      <c r="D9" s="117"/>
      <c r="E9" s="117"/>
      <c r="G9" s="117"/>
      <c r="H9" s="117"/>
      <c r="I9" s="117"/>
      <c r="J9" s="117"/>
      <c r="L9" s="117"/>
      <c r="M9" s="117"/>
      <c r="N9" s="117"/>
      <c r="O9" s="117"/>
      <c r="Q9" s="125" t="str">
        <f>IF(OR(calculos!$AZ$343="Completo",calculos!$AZ$343=""),Config!$D$72&amp;"","")</f>
        <v>TX OCUPAÇÃO</v>
      </c>
      <c r="R9" s="125"/>
      <c r="S9" s="130" t="str">
        <f>IF(OR(calculos!$AZ$343="Completo",calculos!$AZ$343=""),calculos!$B$314,"")</f>
        <v/>
      </c>
      <c r="T9" s="130"/>
      <c r="V9" s="125" t="str">
        <f>Config!$D$77&amp;""</f>
        <v>FÉRIAS</v>
      </c>
      <c r="W9" s="125"/>
      <c r="X9" s="126">
        <f>calculos!$B$321</f>
        <v>0</v>
      </c>
      <c r="Y9" s="126"/>
    </row>
    <row r="10" ht="20" customHeight="1">
      <c r="B10" s="118" t="str">
        <f>IF(calculos!$AX$343="Não se aplica","não se aplica a este cliente",Config!$D$61&amp;"")</f>
        <v>veículos recebidos</v>
      </c>
      <c r="C10" s="118"/>
      <c r="D10" s="118"/>
      <c r="E10" s="118"/>
      <c r="G10" s="118" t="str">
        <f>IF(calculos!$AY$343="Não se aplica","não se aplica a este cliente",Config!$D$63&amp;"")</f>
        <v>veículos expedidos</v>
      </c>
      <c r="H10" s="118"/>
      <c r="I10" s="118"/>
      <c r="J10" s="118"/>
      <c r="L10" s="118" t="str">
        <f>Config!$D$65&amp;""</f>
        <v>incidentes no período</v>
      </c>
      <c r="M10" s="118"/>
      <c r="N10" s="118"/>
      <c r="O10" s="118"/>
      <c r="Q10" s="125" t="str">
        <f>IF(OR(calculos!$AZ$343="Completo",calculos!$AZ$343=""),Config!$D$73&amp;"","")</f>
        <v>OCIOSIDADE</v>
      </c>
      <c r="R10" s="125"/>
      <c r="S10" s="131" t="str">
        <f>IF(OR(calculos!$AZ$343="Completo",calculos!$AZ$343=""),calculos!$B$315,"")</f>
        <v/>
      </c>
      <c r="T10" s="131"/>
      <c r="V10" s="125" t="str">
        <f>Config!$D$78&amp;""</f>
        <v>TURNOVER</v>
      </c>
      <c r="W10" s="125"/>
      <c r="X10" s="130" t="str">
        <f>calculos!$B$323</f>
        <v/>
      </c>
      <c r="Y10" s="130"/>
    </row>
    <row r="11" ht="20" customHeight="1">
      <c r="B11" s="119" t="str">
        <f>IF(calculos!$AX$343="Não se aplica","",calculos!$B$341)</f>
        <v>0 pallets movimentados</v>
      </c>
      <c r="C11" s="119"/>
      <c r="D11" s="119"/>
      <c r="E11" s="119"/>
      <c r="G11" s="119" t="str">
        <f>IF(calculos!$AY$343="Não se aplica","",calculos!$F$341)</f>
        <v>0 pallets movimentados</v>
      </c>
      <c r="H11" s="119"/>
      <c r="I11" s="119"/>
      <c r="J11" s="119"/>
      <c r="L11" s="125" t="str">
        <f>Config!$D$66&amp;""</f>
        <v>NO SHOW</v>
      </c>
      <c r="M11" s="125"/>
      <c r="N11" s="126">
        <f>calculos!$B$310</f>
        <v>0</v>
      </c>
      <c r="O11" s="126"/>
      <c r="Q11" s="132" t="str">
        <f>IF(calculos!$AZ$343="Não se aplica","não se aplica a este cliente",IF(calculos!$AZ$343="Só ocupadas","só posições ocupadas · sem contrato (Spot / Cross)",IF(ISNUMBER(calculos!$B$314),"taxa de ocupação · "&amp;IF(calculos!$B$314&gt;1,"excede o contratado",IF(calculos!$B$314&gt;=calculos!$B$6,"ocupação alta",IF(calculos!$B$314&gt;=calculos!$B$5,"ocupação média","ociosidade alta"))),"")))</f>
        <v/>
      </c>
      <c r="R11" s="132"/>
      <c r="S11" s="132"/>
      <c r="T11" s="132"/>
      <c r="V11" s="125" t="str">
        <f>Config!$D$79&amp;""</f>
        <v>DESVIOS COMPORTAM.</v>
      </c>
      <c r="W11" s="125"/>
      <c r="X11" s="126">
        <f>calculos!$B$324</f>
        <v>0</v>
      </c>
      <c r="Y11" s="126"/>
    </row>
    <row r="12" ht="20" customHeight="1">
      <c r="B12" s="119" t="str">
        <f>IF(calculos!$AX$343="Não se aplica","",calculos!$D$341)</f>
        <v>0,0 t movimentadas</v>
      </c>
      <c r="C12" s="119"/>
      <c r="D12" s="119"/>
      <c r="E12" s="119"/>
      <c r="G12" s="119" t="str">
        <f>IF(calculos!$AY$343="Não se aplica","",calculos!$H$341)</f>
        <v>0,0 t movimentadas</v>
      </c>
      <c r="H12" s="119"/>
      <c r="I12" s="119"/>
      <c r="J12" s="119"/>
      <c r="L12" s="127" t="str">
        <f>Config!$D$67&amp;""</f>
        <v>BACKLOG</v>
      </c>
      <c r="M12" s="127"/>
      <c r="N12" s="128" t="str">
        <f>calculos!$B$311</f>
        <v/>
      </c>
      <c r="O12" s="128"/>
      <c r="Q12" s="132"/>
      <c r="R12" s="132"/>
      <c r="S12" s="132"/>
      <c r="T12" s="132"/>
      <c r="V12" s="127" t="str">
        <f>Config!$D$80&amp;""</f>
        <v>ACIDENTES (CAF/SAF)</v>
      </c>
      <c r="W12" s="127"/>
      <c r="X12" s="135" t="str">
        <f>N(calculos!$B$325)&amp;" / "&amp;N(calculos!$B$326)</f>
        <v>0 / 0</v>
      </c>
      <c r="Y12" s="135"/>
    </row>
    <row r="13" ht="18" customHeight="1">
      <c r="B13" s="120" t="str">
        <f>IF(calculos!$AX$343="Não se aplica","",calculos!$D$303)</f>
        <v/>
      </c>
      <c r="C13" s="120"/>
      <c r="D13" s="120"/>
      <c r="E13" s="120"/>
      <c r="G13" s="120" t="str">
        <f>IF(calculos!$AY$343="Não se aplica","",calculos!$D$306)</f>
        <v/>
      </c>
      <c r="H13" s="120"/>
      <c r="I13" s="120"/>
      <c r="J13" s="120"/>
      <c r="L13" s="120" t="str">
        <f>calculos!$D$309</f>
        <v/>
      </c>
      <c r="M13" s="120"/>
      <c r="N13" s="120"/>
      <c r="O13" s="120"/>
      <c r="Q13" s="120" t="str">
        <f>IF(AND(calculos!$AZ$343&lt;&gt;"Completo",calculos!$AZ$343&lt;&gt;""),"",calculos!$D$314)</f>
        <v/>
      </c>
      <c r="R13" s="120"/>
      <c r="S13" s="120"/>
      <c r="T13" s="120"/>
      <c r="V13" s="120" t="str">
        <f>calculos!$D$316</f>
        <v/>
      </c>
      <c r="W13" s="120"/>
      <c r="X13" s="120"/>
      <c r="Y13" s="120"/>
    </row>
    <row r="65">
      <c r="B65" s="136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</row>
  </sheetData>
  <sheetProtection password="CC78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N(calculos!$B$324)&gt;0</formula>
    </cfRule>
  </conditionalFormatting>
  <conditionalFormatting sqref="X11">
    <cfRule type="expression" dxfId="7" priority="11">
      <formula>N(calculos!$B$324)=0</formula>
    </cfRule>
  </conditionalFormatting>
  <conditionalFormatting sqref="X12">
    <cfRule type="expression" dxfId="8" priority="12" stopIfTrue="1">
      <formula>N(calculos!$B$325)+N(calculos!$B$326)&gt;0</formula>
    </cfRule>
  </conditionalFormatting>
  <conditionalFormatting sqref="X12">
    <cfRule type="expression" dxfId="7" priority="13">
      <formula>N(calculos!$B$325)+N(calculos!$B$326)=0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33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MONITORAMENTO DIÁRIO DE PERFORMANCE · TPC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8" t="inlineStr">
        <is>
          <t xml:space="preserve">OUTUBRO · 2026</t>
        </is>
      </c>
      <c r="AF1" s="138"/>
      <c r="AG1" s="138"/>
      <c r="AH1" s="138"/>
      <c r="AI1" s="138"/>
      <c r="AJ1" s="138"/>
      <c r="AK1" s="138"/>
    </row>
    <row r="2" ht="19.5" customHeight="1">
      <c r="A2" s="139" t="inlineStr">
        <is>
          <t xml:space="preserve">CLIENTE</t>
        </is>
      </c>
      <c r="B2" s="141" t="inlineStr">
        <is>
          <t xml:space="preserve">INDICADORES</t>
        </is>
      </c>
      <c r="C2" s="142"/>
      <c r="D2" s="145" t="inlineStr">
        <is>
          <t xml:space="preserve">META</t>
        </is>
      </c>
      <c r="F2" s="147" t="inlineStr">
        <is>
          <t xml:space="preserve">REALIZADO P/DIA</t>
        </is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K2" s="150" t="inlineStr">
        <is>
          <t xml:space="preserve">MÊS</t>
        </is>
      </c>
    </row>
    <row r="3" ht="13.5" customHeight="1">
      <c r="A3" s="140"/>
      <c r="B3" s="143"/>
      <c r="C3" s="144"/>
      <c r="D3" s="146"/>
      <c r="F3" s="152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53">
        <f>IF(F3="","",IF(MONTH(F3+1)=MONTH($F$3),F3+1,""))</f>
        <v>46297</v>
      </c>
      <c r="H3" s="153">
        <f>IF(G3="","",IF(MONTH(G3+1)=MONTH($F$3),G3+1,""))</f>
        <v>46298</v>
      </c>
      <c r="I3" s="153">
        <f>IF(H3="","",IF(MONTH(H3+1)=MONTH($F$3),H3+1,""))</f>
        <v>46299</v>
      </c>
      <c r="J3" s="153">
        <f>IF(I3="","",IF(MONTH(I3+1)=MONTH($F$3),I3+1,""))</f>
        <v>46300</v>
      </c>
      <c r="K3" s="153">
        <f>IF(J3="","",IF(MONTH(J3+1)=MONTH($F$3),J3+1,""))</f>
        <v>46301</v>
      </c>
      <c r="L3" s="153">
        <f>IF(K3="","",IF(MONTH(K3+1)=MONTH($F$3),K3+1,""))</f>
        <v>46302</v>
      </c>
      <c r="M3" s="153">
        <f>IF(L3="","",IF(MONTH(L3+1)=MONTH($F$3),L3+1,""))</f>
        <v>46303</v>
      </c>
      <c r="N3" s="153">
        <f>IF(M3="","",IF(MONTH(M3+1)=MONTH($F$3),M3+1,""))</f>
        <v>46304</v>
      </c>
      <c r="O3" s="153">
        <f>IF(N3="","",IF(MONTH(N3+1)=MONTH($F$3),N3+1,""))</f>
        <v>46305</v>
      </c>
      <c r="P3" s="153">
        <f>IF(O3="","",IF(MONTH(O3+1)=MONTH($F$3),O3+1,""))</f>
        <v>46306</v>
      </c>
      <c r="Q3" s="153">
        <f>IF(P3="","",IF(MONTH(P3+1)=MONTH($F$3),P3+1,""))</f>
        <v>46307</v>
      </c>
      <c r="R3" s="153">
        <f>IF(Q3="","",IF(MONTH(Q3+1)=MONTH($F$3),Q3+1,""))</f>
        <v>46308</v>
      </c>
      <c r="S3" s="153">
        <f>IF(R3="","",IF(MONTH(R3+1)=MONTH($F$3),R3+1,""))</f>
        <v>46309</v>
      </c>
      <c r="T3" s="153">
        <f>IF(S3="","",IF(MONTH(S3+1)=MONTH($F$3),S3+1,""))</f>
        <v>46310</v>
      </c>
      <c r="U3" s="153">
        <f>IF(T3="","",IF(MONTH(T3+1)=MONTH($F$3),T3+1,""))</f>
        <v>46311</v>
      </c>
      <c r="V3" s="153">
        <f>IF(U3="","",IF(MONTH(U3+1)=MONTH($F$3),U3+1,""))</f>
        <v>46312</v>
      </c>
      <c r="W3" s="153">
        <f>IF(V3="","",IF(MONTH(V3+1)=MONTH($F$3),V3+1,""))</f>
        <v>46313</v>
      </c>
      <c r="X3" s="153">
        <f>IF(W3="","",IF(MONTH(W3+1)=MONTH($F$3),W3+1,""))</f>
        <v>46314</v>
      </c>
      <c r="Y3" s="153">
        <f>IF(X3="","",IF(MONTH(X3+1)=MONTH($F$3),X3+1,""))</f>
        <v>46315</v>
      </c>
      <c r="Z3" s="153">
        <f>IF(Y3="","",IF(MONTH(Y3+1)=MONTH($F$3),Y3+1,""))</f>
        <v>46316</v>
      </c>
      <c r="AA3" s="153">
        <f>IF(Z3="","",IF(MONTH(Z3+1)=MONTH($F$3),Z3+1,""))</f>
        <v>46317</v>
      </c>
      <c r="AB3" s="153">
        <f>IF(AA3="","",IF(MONTH(AA3+1)=MONTH($F$3),AA3+1,""))</f>
        <v>46318</v>
      </c>
      <c r="AC3" s="153">
        <f>IF(AB3="","",IF(MONTH(AB3+1)=MONTH($F$3),AB3+1,""))</f>
        <v>46319</v>
      </c>
      <c r="AD3" s="153">
        <f>IF(AC3="","",IF(MONTH(AC3+1)=MONTH($F$3),AC3+1,""))</f>
        <v>46320</v>
      </c>
      <c r="AE3" s="153">
        <f>IF(AD3="","",IF(MONTH(AD3+1)=MONTH($F$3),AD3+1,""))</f>
        <v>46321</v>
      </c>
      <c r="AF3" s="153">
        <f>IF(AE3="","",IF(MONTH(AE3+1)=MONTH($F$3),AE3+1,""))</f>
        <v>46322</v>
      </c>
      <c r="AG3" s="153">
        <f>IF(AF3="","",IF(MONTH(AF3+1)=MONTH($F$3),AF3+1,""))</f>
        <v>46323</v>
      </c>
      <c r="AH3" s="153">
        <f>IF(AG3="","",IF(MONTH(AG3+1)=MONTH($F$3),AG3+1,""))</f>
        <v>46324</v>
      </c>
      <c r="AI3" s="153">
        <f>IF(AH3="","",IF(MONTH(AH3+1)=MONTH($F$3),AH3+1,""))</f>
        <v>46325</v>
      </c>
      <c r="AJ3" s="154">
        <f>IF(AI3="","",IF(MONTH(AI3+1)=MONTH($F$3),AI3+1,""))</f>
        <v>46326</v>
      </c>
      <c r="AK3" s="151"/>
    </row>
    <row r="5" ht="15.75" customHeight="1">
      <c r="A5" s="243" t="inlineStr">
        <is>
          <t xml:space="preserve">Alpargatas</t>
        </is>
      </c>
      <c r="B5" s="232" t="inlineStr">
        <is>
          <t xml:space="preserve">IN</t>
        </is>
      </c>
      <c r="C5" s="155" t="inlineStr">
        <is>
          <t xml:space="preserve">Veículos Recebidos</t>
        </is>
      </c>
      <c r="D5" s="156" t="str">
        <f>IFERROR(1/(1/INDEX(BD!$AJ$23:$BD$23,MATCH($A$5,BD!$AJ$22:$BD$22,0))),"")</f>
        <v/>
      </c>
      <c r="E5" s="157"/>
      <c r="F5" s="158" t="str">
        <f>IF(F$3="","",IF(COUNTIFS(BD!$A$3:$A$5001,F$3,BD!$B$3:$B$5001,$A$5,BD!$C$3:$C$5001,"&lt;&gt;")=0,"",SUMIFS(BD!$C$3:$C$5001,BD!$A$3:$A$5001,F$3,BD!$B$3:$B$5001,$A$5)))</f>
        <v/>
      </c>
      <c r="G5" s="159" t="str">
        <f>IF(G$3="","",IF(COUNTIFS(BD!$A$3:$A$5001,G$3,BD!$B$3:$B$5001,$A$5,BD!$C$3:$C$5001,"&lt;&gt;")=0,"",SUMIFS(BD!$C$3:$C$5001,BD!$A$3:$A$5001,G$3,BD!$B$3:$B$5001,$A$5)))</f>
        <v/>
      </c>
      <c r="H5" s="159" t="str">
        <f>IF(H$3="","",IF(COUNTIFS(BD!$A$3:$A$5001,H$3,BD!$B$3:$B$5001,$A$5,BD!$C$3:$C$5001,"&lt;&gt;")=0,"",SUMIFS(BD!$C$3:$C$5001,BD!$A$3:$A$5001,H$3,BD!$B$3:$B$5001,$A$5)))</f>
        <v/>
      </c>
      <c r="I5" s="159" t="str">
        <f>IF(I$3="","",IF(COUNTIFS(BD!$A$3:$A$5001,I$3,BD!$B$3:$B$5001,$A$5,BD!$C$3:$C$5001,"&lt;&gt;")=0,"",SUMIFS(BD!$C$3:$C$5001,BD!$A$3:$A$5001,I$3,BD!$B$3:$B$5001,$A$5)))</f>
        <v/>
      </c>
      <c r="J5" s="159" t="str">
        <f>IF(J$3="","",IF(COUNTIFS(BD!$A$3:$A$5001,J$3,BD!$B$3:$B$5001,$A$5,BD!$C$3:$C$5001,"&lt;&gt;")=0,"",SUMIFS(BD!$C$3:$C$5001,BD!$A$3:$A$5001,J$3,BD!$B$3:$B$5001,$A$5)))</f>
        <v/>
      </c>
      <c r="K5" s="159" t="str">
        <f>IF(K$3="","",IF(COUNTIFS(BD!$A$3:$A$5001,K$3,BD!$B$3:$B$5001,$A$5,BD!$C$3:$C$5001,"&lt;&gt;")=0,"",SUMIFS(BD!$C$3:$C$5001,BD!$A$3:$A$5001,K$3,BD!$B$3:$B$5001,$A$5)))</f>
        <v/>
      </c>
      <c r="L5" s="159" t="str">
        <f>IF(L$3="","",IF(COUNTIFS(BD!$A$3:$A$5001,L$3,BD!$B$3:$B$5001,$A$5,BD!$C$3:$C$5001,"&lt;&gt;")=0,"",SUMIFS(BD!$C$3:$C$5001,BD!$A$3:$A$5001,L$3,BD!$B$3:$B$5001,$A$5)))</f>
        <v/>
      </c>
      <c r="M5" s="159" t="str">
        <f>IF(M$3="","",IF(COUNTIFS(BD!$A$3:$A$5001,M$3,BD!$B$3:$B$5001,$A$5,BD!$C$3:$C$5001,"&lt;&gt;")=0,"",SUMIFS(BD!$C$3:$C$5001,BD!$A$3:$A$5001,M$3,BD!$B$3:$B$5001,$A$5)))</f>
        <v/>
      </c>
      <c r="N5" s="159" t="str">
        <f>IF(N$3="","",IF(COUNTIFS(BD!$A$3:$A$5001,N$3,BD!$B$3:$B$5001,$A$5,BD!$C$3:$C$5001,"&lt;&gt;")=0,"",SUMIFS(BD!$C$3:$C$5001,BD!$A$3:$A$5001,N$3,BD!$B$3:$B$5001,$A$5)))</f>
        <v/>
      </c>
      <c r="O5" s="159" t="str">
        <f>IF(O$3="","",IF(COUNTIFS(BD!$A$3:$A$5001,O$3,BD!$B$3:$B$5001,$A$5,BD!$C$3:$C$5001,"&lt;&gt;")=0,"",SUMIFS(BD!$C$3:$C$5001,BD!$A$3:$A$5001,O$3,BD!$B$3:$B$5001,$A$5)))</f>
        <v/>
      </c>
      <c r="P5" s="159" t="str">
        <f>IF(P$3="","",IF(COUNTIFS(BD!$A$3:$A$5001,P$3,BD!$B$3:$B$5001,$A$5,BD!$C$3:$C$5001,"&lt;&gt;")=0,"",SUMIFS(BD!$C$3:$C$5001,BD!$A$3:$A$5001,P$3,BD!$B$3:$B$5001,$A$5)))</f>
        <v/>
      </c>
      <c r="Q5" s="159" t="str">
        <f>IF(Q$3="","",IF(COUNTIFS(BD!$A$3:$A$5001,Q$3,BD!$B$3:$B$5001,$A$5,BD!$C$3:$C$5001,"&lt;&gt;")=0,"",SUMIFS(BD!$C$3:$C$5001,BD!$A$3:$A$5001,Q$3,BD!$B$3:$B$5001,$A$5)))</f>
        <v/>
      </c>
      <c r="R5" s="159" t="str">
        <f>IF(R$3="","",IF(COUNTIFS(BD!$A$3:$A$5001,R$3,BD!$B$3:$B$5001,$A$5,BD!$C$3:$C$5001,"&lt;&gt;")=0,"",SUMIFS(BD!$C$3:$C$5001,BD!$A$3:$A$5001,R$3,BD!$B$3:$B$5001,$A$5)))</f>
        <v/>
      </c>
      <c r="S5" s="159" t="str">
        <f>IF(S$3="","",IF(COUNTIFS(BD!$A$3:$A$5001,S$3,BD!$B$3:$B$5001,$A$5,BD!$C$3:$C$5001,"&lt;&gt;")=0,"",SUMIFS(BD!$C$3:$C$5001,BD!$A$3:$A$5001,S$3,BD!$B$3:$B$5001,$A$5)))</f>
        <v/>
      </c>
      <c r="T5" s="159" t="str">
        <f>IF(T$3="","",IF(COUNTIFS(BD!$A$3:$A$5001,T$3,BD!$B$3:$B$5001,$A$5,BD!$C$3:$C$5001,"&lt;&gt;")=0,"",SUMIFS(BD!$C$3:$C$5001,BD!$A$3:$A$5001,T$3,BD!$B$3:$B$5001,$A$5)))</f>
        <v/>
      </c>
      <c r="U5" s="159" t="str">
        <f>IF(U$3="","",IF(COUNTIFS(BD!$A$3:$A$5001,U$3,BD!$B$3:$B$5001,$A$5,BD!$C$3:$C$5001,"&lt;&gt;")=0,"",SUMIFS(BD!$C$3:$C$5001,BD!$A$3:$A$5001,U$3,BD!$B$3:$B$5001,$A$5)))</f>
        <v/>
      </c>
      <c r="V5" s="159" t="str">
        <f>IF(V$3="","",IF(COUNTIFS(BD!$A$3:$A$5001,V$3,BD!$B$3:$B$5001,$A$5,BD!$C$3:$C$5001,"&lt;&gt;")=0,"",SUMIFS(BD!$C$3:$C$5001,BD!$A$3:$A$5001,V$3,BD!$B$3:$B$5001,$A$5)))</f>
        <v/>
      </c>
      <c r="W5" s="159" t="str">
        <f>IF(W$3="","",IF(COUNTIFS(BD!$A$3:$A$5001,W$3,BD!$B$3:$B$5001,$A$5,BD!$C$3:$C$5001,"&lt;&gt;")=0,"",SUMIFS(BD!$C$3:$C$5001,BD!$A$3:$A$5001,W$3,BD!$B$3:$B$5001,$A$5)))</f>
        <v/>
      </c>
      <c r="X5" s="159" t="str">
        <f>IF(X$3="","",IF(COUNTIFS(BD!$A$3:$A$5001,X$3,BD!$B$3:$B$5001,$A$5,BD!$C$3:$C$5001,"&lt;&gt;")=0,"",SUMIFS(BD!$C$3:$C$5001,BD!$A$3:$A$5001,X$3,BD!$B$3:$B$5001,$A$5)))</f>
        <v/>
      </c>
      <c r="Y5" s="159" t="str">
        <f>IF(Y$3="","",IF(COUNTIFS(BD!$A$3:$A$5001,Y$3,BD!$B$3:$B$5001,$A$5,BD!$C$3:$C$5001,"&lt;&gt;")=0,"",SUMIFS(BD!$C$3:$C$5001,BD!$A$3:$A$5001,Y$3,BD!$B$3:$B$5001,$A$5)))</f>
        <v/>
      </c>
      <c r="Z5" s="159" t="str">
        <f>IF(Z$3="","",IF(COUNTIFS(BD!$A$3:$A$5001,Z$3,BD!$B$3:$B$5001,$A$5,BD!$C$3:$C$5001,"&lt;&gt;")=0,"",SUMIFS(BD!$C$3:$C$5001,BD!$A$3:$A$5001,Z$3,BD!$B$3:$B$5001,$A$5)))</f>
        <v/>
      </c>
      <c r="AA5" s="159" t="str">
        <f>IF(AA$3="","",IF(COUNTIFS(BD!$A$3:$A$5001,AA$3,BD!$B$3:$B$5001,$A$5,BD!$C$3:$C$5001,"&lt;&gt;")=0,"",SUMIFS(BD!$C$3:$C$5001,BD!$A$3:$A$5001,AA$3,BD!$B$3:$B$5001,$A$5)))</f>
        <v/>
      </c>
      <c r="AB5" s="159" t="str">
        <f>IF(AB$3="","",IF(COUNTIFS(BD!$A$3:$A$5001,AB$3,BD!$B$3:$B$5001,$A$5,BD!$C$3:$C$5001,"&lt;&gt;")=0,"",SUMIFS(BD!$C$3:$C$5001,BD!$A$3:$A$5001,AB$3,BD!$B$3:$B$5001,$A$5)))</f>
        <v/>
      </c>
      <c r="AC5" s="159" t="str">
        <f>IF(AC$3="","",IF(COUNTIFS(BD!$A$3:$A$5001,AC$3,BD!$B$3:$B$5001,$A$5,BD!$C$3:$C$5001,"&lt;&gt;")=0,"",SUMIFS(BD!$C$3:$C$5001,BD!$A$3:$A$5001,AC$3,BD!$B$3:$B$5001,$A$5)))</f>
        <v/>
      </c>
      <c r="AD5" s="159" t="str">
        <f>IF(AD$3="","",IF(COUNTIFS(BD!$A$3:$A$5001,AD$3,BD!$B$3:$B$5001,$A$5,BD!$C$3:$C$5001,"&lt;&gt;")=0,"",SUMIFS(BD!$C$3:$C$5001,BD!$A$3:$A$5001,AD$3,BD!$B$3:$B$5001,$A$5)))</f>
        <v/>
      </c>
      <c r="AE5" s="159" t="str">
        <f>IF(AE$3="","",IF(COUNTIFS(BD!$A$3:$A$5001,AE$3,BD!$B$3:$B$5001,$A$5,BD!$C$3:$C$5001,"&lt;&gt;")=0,"",SUMIFS(BD!$C$3:$C$5001,BD!$A$3:$A$5001,AE$3,BD!$B$3:$B$5001,$A$5)))</f>
        <v/>
      </c>
      <c r="AF5" s="159" t="str">
        <f>IF(AF$3="","",IF(COUNTIFS(BD!$A$3:$A$5001,AF$3,BD!$B$3:$B$5001,$A$5,BD!$C$3:$C$5001,"&lt;&gt;")=0,"",SUMIFS(BD!$C$3:$C$5001,BD!$A$3:$A$5001,AF$3,BD!$B$3:$B$5001,$A$5)))</f>
        <v/>
      </c>
      <c r="AG5" s="159" t="str">
        <f>IF(AG$3="","",IF(COUNTIFS(BD!$A$3:$A$5001,AG$3,BD!$B$3:$B$5001,$A$5,BD!$C$3:$C$5001,"&lt;&gt;")=0,"",SUMIFS(BD!$C$3:$C$5001,BD!$A$3:$A$5001,AG$3,BD!$B$3:$B$5001,$A$5)))</f>
        <v/>
      </c>
      <c r="AH5" s="159" t="str">
        <f>IF(AH$3="","",IF(COUNTIFS(BD!$A$3:$A$5001,AH$3,BD!$B$3:$B$5001,$A$5,BD!$C$3:$C$5001,"&lt;&gt;")=0,"",SUMIFS(BD!$C$3:$C$5001,BD!$A$3:$A$5001,AH$3,BD!$B$3:$B$5001,$A$5)))</f>
        <v/>
      </c>
      <c r="AI5" s="159" t="str">
        <f>IF(AI$3="","",IF(COUNTIFS(BD!$A$3:$A$5001,AI$3,BD!$B$3:$B$5001,$A$5,BD!$C$3:$C$5001,"&lt;&gt;")=0,"",SUMIFS(BD!$C$3:$C$5001,BD!$A$3:$A$5001,AI$3,BD!$B$3:$B$5001,$A$5)))</f>
        <v/>
      </c>
      <c r="AJ5" s="160" t="str">
        <f>IF(AJ$3="","",IF(COUNTIFS(BD!$A$3:$A$5001,AJ$3,BD!$B$3:$B$5001,$A$5,BD!$C$3:$C$5001,"&lt;&gt;")=0,"",SUMIFS(BD!$C$3:$C$5001,BD!$A$3:$A$5001,AJ$3,BD!$B$3:$B$5001,$A$5)))</f>
        <v/>
      </c>
      <c r="AK5" s="161" t="str">
        <f>IF(COUNT(F5:AJ5)=0,"",SUM(F5:AJ5))</f>
        <v/>
      </c>
    </row>
    <row r="6" ht="15.75" customHeight="1">
      <c r="A6" s="244"/>
      <c r="B6" s="233"/>
      <c r="C6" s="162" t="inlineStr">
        <is>
          <t xml:space="preserve">Caixas Movimentadas</t>
        </is>
      </c>
      <c r="D6" s="163" t="str">
        <f>IFERROR(1/(1/INDEX(BD!$AJ$27:$BD$27,MATCH($A$5,BD!$AJ$22:$BD$22,0))),"")</f>
        <v/>
      </c>
      <c r="E6" s="164"/>
      <c r="F6" s="165" t="str">
        <f>IF(F$3="","",IF(COUNTIFS(BD!$A$3:$A$5001,F$3,BD!$B$3:$B$5001,$A$5,BD!$G$3:$G$5001,"&lt;&gt;")=0,"",SUMIFS(BD!$G$3:$G$5001,BD!$A$3:$A$5001,F$3,BD!$B$3:$B$5001,$A$5)))</f>
        <v/>
      </c>
      <c r="G6" s="166" t="str">
        <f>IF(G$3="","",IF(COUNTIFS(BD!$A$3:$A$5001,G$3,BD!$B$3:$B$5001,$A$5,BD!$G$3:$G$5001,"&lt;&gt;")=0,"",SUMIFS(BD!$G$3:$G$5001,BD!$A$3:$A$5001,G$3,BD!$B$3:$B$5001,$A$5)))</f>
        <v/>
      </c>
      <c r="H6" s="166" t="str">
        <f>IF(H$3="","",IF(COUNTIFS(BD!$A$3:$A$5001,H$3,BD!$B$3:$B$5001,$A$5,BD!$G$3:$G$5001,"&lt;&gt;")=0,"",SUMIFS(BD!$G$3:$G$5001,BD!$A$3:$A$5001,H$3,BD!$B$3:$B$5001,$A$5)))</f>
        <v/>
      </c>
      <c r="I6" s="166" t="str">
        <f>IF(I$3="","",IF(COUNTIFS(BD!$A$3:$A$5001,I$3,BD!$B$3:$B$5001,$A$5,BD!$G$3:$G$5001,"&lt;&gt;")=0,"",SUMIFS(BD!$G$3:$G$5001,BD!$A$3:$A$5001,I$3,BD!$B$3:$B$5001,$A$5)))</f>
        <v/>
      </c>
      <c r="J6" s="166" t="str">
        <f>IF(J$3="","",IF(COUNTIFS(BD!$A$3:$A$5001,J$3,BD!$B$3:$B$5001,$A$5,BD!$G$3:$G$5001,"&lt;&gt;")=0,"",SUMIFS(BD!$G$3:$G$5001,BD!$A$3:$A$5001,J$3,BD!$B$3:$B$5001,$A$5)))</f>
        <v/>
      </c>
      <c r="K6" s="166" t="str">
        <f>IF(K$3="","",IF(COUNTIFS(BD!$A$3:$A$5001,K$3,BD!$B$3:$B$5001,$A$5,BD!$G$3:$G$5001,"&lt;&gt;")=0,"",SUMIFS(BD!$G$3:$G$5001,BD!$A$3:$A$5001,K$3,BD!$B$3:$B$5001,$A$5)))</f>
        <v/>
      </c>
      <c r="L6" s="166" t="str">
        <f>IF(L$3="","",IF(COUNTIFS(BD!$A$3:$A$5001,L$3,BD!$B$3:$B$5001,$A$5,BD!$G$3:$G$5001,"&lt;&gt;")=0,"",SUMIFS(BD!$G$3:$G$5001,BD!$A$3:$A$5001,L$3,BD!$B$3:$B$5001,$A$5)))</f>
        <v/>
      </c>
      <c r="M6" s="166" t="str">
        <f>IF(M$3="","",IF(COUNTIFS(BD!$A$3:$A$5001,M$3,BD!$B$3:$B$5001,$A$5,BD!$G$3:$G$5001,"&lt;&gt;")=0,"",SUMIFS(BD!$G$3:$G$5001,BD!$A$3:$A$5001,M$3,BD!$B$3:$B$5001,$A$5)))</f>
        <v/>
      </c>
      <c r="N6" s="166" t="str">
        <f>IF(N$3="","",IF(COUNTIFS(BD!$A$3:$A$5001,N$3,BD!$B$3:$B$5001,$A$5,BD!$G$3:$G$5001,"&lt;&gt;")=0,"",SUMIFS(BD!$G$3:$G$5001,BD!$A$3:$A$5001,N$3,BD!$B$3:$B$5001,$A$5)))</f>
        <v/>
      </c>
      <c r="O6" s="166" t="str">
        <f>IF(O$3="","",IF(COUNTIFS(BD!$A$3:$A$5001,O$3,BD!$B$3:$B$5001,$A$5,BD!$G$3:$G$5001,"&lt;&gt;")=0,"",SUMIFS(BD!$G$3:$G$5001,BD!$A$3:$A$5001,O$3,BD!$B$3:$B$5001,$A$5)))</f>
        <v/>
      </c>
      <c r="P6" s="166" t="str">
        <f>IF(P$3="","",IF(COUNTIFS(BD!$A$3:$A$5001,P$3,BD!$B$3:$B$5001,$A$5,BD!$G$3:$G$5001,"&lt;&gt;")=0,"",SUMIFS(BD!$G$3:$G$5001,BD!$A$3:$A$5001,P$3,BD!$B$3:$B$5001,$A$5)))</f>
        <v/>
      </c>
      <c r="Q6" s="166" t="str">
        <f>IF(Q$3="","",IF(COUNTIFS(BD!$A$3:$A$5001,Q$3,BD!$B$3:$B$5001,$A$5,BD!$G$3:$G$5001,"&lt;&gt;")=0,"",SUMIFS(BD!$G$3:$G$5001,BD!$A$3:$A$5001,Q$3,BD!$B$3:$B$5001,$A$5)))</f>
        <v/>
      </c>
      <c r="R6" s="166" t="str">
        <f>IF(R$3="","",IF(COUNTIFS(BD!$A$3:$A$5001,R$3,BD!$B$3:$B$5001,$A$5,BD!$G$3:$G$5001,"&lt;&gt;")=0,"",SUMIFS(BD!$G$3:$G$5001,BD!$A$3:$A$5001,R$3,BD!$B$3:$B$5001,$A$5)))</f>
        <v/>
      </c>
      <c r="S6" s="166" t="str">
        <f>IF(S$3="","",IF(COUNTIFS(BD!$A$3:$A$5001,S$3,BD!$B$3:$B$5001,$A$5,BD!$G$3:$G$5001,"&lt;&gt;")=0,"",SUMIFS(BD!$G$3:$G$5001,BD!$A$3:$A$5001,S$3,BD!$B$3:$B$5001,$A$5)))</f>
        <v/>
      </c>
      <c r="T6" s="166" t="str">
        <f>IF(T$3="","",IF(COUNTIFS(BD!$A$3:$A$5001,T$3,BD!$B$3:$B$5001,$A$5,BD!$G$3:$G$5001,"&lt;&gt;")=0,"",SUMIFS(BD!$G$3:$G$5001,BD!$A$3:$A$5001,T$3,BD!$B$3:$B$5001,$A$5)))</f>
        <v/>
      </c>
      <c r="U6" s="166" t="str">
        <f>IF(U$3="","",IF(COUNTIFS(BD!$A$3:$A$5001,U$3,BD!$B$3:$B$5001,$A$5,BD!$G$3:$G$5001,"&lt;&gt;")=0,"",SUMIFS(BD!$G$3:$G$5001,BD!$A$3:$A$5001,U$3,BD!$B$3:$B$5001,$A$5)))</f>
        <v/>
      </c>
      <c r="V6" s="166" t="str">
        <f>IF(V$3="","",IF(COUNTIFS(BD!$A$3:$A$5001,V$3,BD!$B$3:$B$5001,$A$5,BD!$G$3:$G$5001,"&lt;&gt;")=0,"",SUMIFS(BD!$G$3:$G$5001,BD!$A$3:$A$5001,V$3,BD!$B$3:$B$5001,$A$5)))</f>
        <v/>
      </c>
      <c r="W6" s="166" t="str">
        <f>IF(W$3="","",IF(COUNTIFS(BD!$A$3:$A$5001,W$3,BD!$B$3:$B$5001,$A$5,BD!$G$3:$G$5001,"&lt;&gt;")=0,"",SUMIFS(BD!$G$3:$G$5001,BD!$A$3:$A$5001,W$3,BD!$B$3:$B$5001,$A$5)))</f>
        <v/>
      </c>
      <c r="X6" s="166" t="str">
        <f>IF(X$3="","",IF(COUNTIFS(BD!$A$3:$A$5001,X$3,BD!$B$3:$B$5001,$A$5,BD!$G$3:$G$5001,"&lt;&gt;")=0,"",SUMIFS(BD!$G$3:$G$5001,BD!$A$3:$A$5001,X$3,BD!$B$3:$B$5001,$A$5)))</f>
        <v/>
      </c>
      <c r="Y6" s="166" t="str">
        <f>IF(Y$3="","",IF(COUNTIFS(BD!$A$3:$A$5001,Y$3,BD!$B$3:$B$5001,$A$5,BD!$G$3:$G$5001,"&lt;&gt;")=0,"",SUMIFS(BD!$G$3:$G$5001,BD!$A$3:$A$5001,Y$3,BD!$B$3:$B$5001,$A$5)))</f>
        <v/>
      </c>
      <c r="Z6" s="166" t="str">
        <f>IF(Z$3="","",IF(COUNTIFS(BD!$A$3:$A$5001,Z$3,BD!$B$3:$B$5001,$A$5,BD!$G$3:$G$5001,"&lt;&gt;")=0,"",SUMIFS(BD!$G$3:$G$5001,BD!$A$3:$A$5001,Z$3,BD!$B$3:$B$5001,$A$5)))</f>
        <v/>
      </c>
      <c r="AA6" s="166" t="str">
        <f>IF(AA$3="","",IF(COUNTIFS(BD!$A$3:$A$5001,AA$3,BD!$B$3:$B$5001,$A$5,BD!$G$3:$G$5001,"&lt;&gt;")=0,"",SUMIFS(BD!$G$3:$G$5001,BD!$A$3:$A$5001,AA$3,BD!$B$3:$B$5001,$A$5)))</f>
        <v/>
      </c>
      <c r="AB6" s="166" t="str">
        <f>IF(AB$3="","",IF(COUNTIFS(BD!$A$3:$A$5001,AB$3,BD!$B$3:$B$5001,$A$5,BD!$G$3:$G$5001,"&lt;&gt;")=0,"",SUMIFS(BD!$G$3:$G$5001,BD!$A$3:$A$5001,AB$3,BD!$B$3:$B$5001,$A$5)))</f>
        <v/>
      </c>
      <c r="AC6" s="166" t="str">
        <f>IF(AC$3="","",IF(COUNTIFS(BD!$A$3:$A$5001,AC$3,BD!$B$3:$B$5001,$A$5,BD!$G$3:$G$5001,"&lt;&gt;")=0,"",SUMIFS(BD!$G$3:$G$5001,BD!$A$3:$A$5001,AC$3,BD!$B$3:$B$5001,$A$5)))</f>
        <v/>
      </c>
      <c r="AD6" s="166" t="str">
        <f>IF(AD$3="","",IF(COUNTIFS(BD!$A$3:$A$5001,AD$3,BD!$B$3:$B$5001,$A$5,BD!$G$3:$G$5001,"&lt;&gt;")=0,"",SUMIFS(BD!$G$3:$G$5001,BD!$A$3:$A$5001,AD$3,BD!$B$3:$B$5001,$A$5)))</f>
        <v/>
      </c>
      <c r="AE6" s="166" t="str">
        <f>IF(AE$3="","",IF(COUNTIFS(BD!$A$3:$A$5001,AE$3,BD!$B$3:$B$5001,$A$5,BD!$G$3:$G$5001,"&lt;&gt;")=0,"",SUMIFS(BD!$G$3:$G$5001,BD!$A$3:$A$5001,AE$3,BD!$B$3:$B$5001,$A$5)))</f>
        <v/>
      </c>
      <c r="AF6" s="166" t="str">
        <f>IF(AF$3="","",IF(COUNTIFS(BD!$A$3:$A$5001,AF$3,BD!$B$3:$B$5001,$A$5,BD!$G$3:$G$5001,"&lt;&gt;")=0,"",SUMIFS(BD!$G$3:$G$5001,BD!$A$3:$A$5001,AF$3,BD!$B$3:$B$5001,$A$5)))</f>
        <v/>
      </c>
      <c r="AG6" s="166" t="str">
        <f>IF(AG$3="","",IF(COUNTIFS(BD!$A$3:$A$5001,AG$3,BD!$B$3:$B$5001,$A$5,BD!$G$3:$G$5001,"&lt;&gt;")=0,"",SUMIFS(BD!$G$3:$G$5001,BD!$A$3:$A$5001,AG$3,BD!$B$3:$B$5001,$A$5)))</f>
        <v/>
      </c>
      <c r="AH6" s="166" t="str">
        <f>IF(AH$3="","",IF(COUNTIFS(BD!$A$3:$A$5001,AH$3,BD!$B$3:$B$5001,$A$5,BD!$G$3:$G$5001,"&lt;&gt;")=0,"",SUMIFS(BD!$G$3:$G$5001,BD!$A$3:$A$5001,AH$3,BD!$B$3:$B$5001,$A$5)))</f>
        <v/>
      </c>
      <c r="AI6" s="166" t="str">
        <f>IF(AI$3="","",IF(COUNTIFS(BD!$A$3:$A$5001,AI$3,BD!$B$3:$B$5001,$A$5,BD!$G$3:$G$5001,"&lt;&gt;")=0,"",SUMIFS(BD!$G$3:$G$5001,BD!$A$3:$A$5001,AI$3,BD!$B$3:$B$5001,$A$5)))</f>
        <v/>
      </c>
      <c r="AJ6" s="167" t="str">
        <f>IF(AJ$3="","",IF(COUNTIFS(BD!$A$3:$A$5001,AJ$3,BD!$B$3:$B$5001,$A$5,BD!$G$3:$G$5001,"&lt;&gt;")=0,"",SUMIFS(BD!$G$3:$G$5001,BD!$A$3:$A$5001,AJ$3,BD!$B$3:$B$5001,$A$5)))</f>
        <v/>
      </c>
      <c r="AK6" s="163" t="str">
        <f>IF(COUNT(F6:AJ6)=0,"",SUM(F6:AJ6))</f>
        <v/>
      </c>
    </row>
    <row r="7" ht="15.75" customHeight="1">
      <c r="A7" s="244"/>
      <c r="B7" s="234" t="inlineStr">
        <is>
          <t xml:space="preserve">OUT</t>
        </is>
      </c>
      <c r="C7" s="168" t="inlineStr">
        <is>
          <t xml:space="preserve">Veículos Expedidos</t>
        </is>
      </c>
      <c r="D7" s="169" t="str">
        <f>IFERROR(1/(1/INDEX(BD!$AJ$32:$BD$32,MATCH($A$5,BD!$AJ$22:$BD$22,0))),"")</f>
        <v/>
      </c>
      <c r="E7" s="170"/>
      <c r="F7" s="171" t="str">
        <f>IF(F$3="","",IF(COUNTIFS(BD!$A$3:$A$5001,F$3,BD!$B$3:$B$5001,$A$5,BD!$L$3:$L$5001,"&lt;&gt;")=0,"",SUMIFS(BD!$L$3:$L$5001,BD!$A$3:$A$5001,F$3,BD!$B$3:$B$5001,$A$5)))</f>
        <v/>
      </c>
      <c r="G7" s="172" t="str">
        <f>IF(G$3="","",IF(COUNTIFS(BD!$A$3:$A$5001,G$3,BD!$B$3:$B$5001,$A$5,BD!$L$3:$L$5001,"&lt;&gt;")=0,"",SUMIFS(BD!$L$3:$L$5001,BD!$A$3:$A$5001,G$3,BD!$B$3:$B$5001,$A$5)))</f>
        <v/>
      </c>
      <c r="H7" s="172" t="str">
        <f>IF(H$3="","",IF(COUNTIFS(BD!$A$3:$A$5001,H$3,BD!$B$3:$B$5001,$A$5,BD!$L$3:$L$5001,"&lt;&gt;")=0,"",SUMIFS(BD!$L$3:$L$5001,BD!$A$3:$A$5001,H$3,BD!$B$3:$B$5001,$A$5)))</f>
        <v/>
      </c>
      <c r="I7" s="172" t="str">
        <f>IF(I$3="","",IF(COUNTIFS(BD!$A$3:$A$5001,I$3,BD!$B$3:$B$5001,$A$5,BD!$L$3:$L$5001,"&lt;&gt;")=0,"",SUMIFS(BD!$L$3:$L$5001,BD!$A$3:$A$5001,I$3,BD!$B$3:$B$5001,$A$5)))</f>
        <v/>
      </c>
      <c r="J7" s="172" t="str">
        <f>IF(J$3="","",IF(COUNTIFS(BD!$A$3:$A$5001,J$3,BD!$B$3:$B$5001,$A$5,BD!$L$3:$L$5001,"&lt;&gt;")=0,"",SUMIFS(BD!$L$3:$L$5001,BD!$A$3:$A$5001,J$3,BD!$B$3:$B$5001,$A$5)))</f>
        <v/>
      </c>
      <c r="K7" s="172" t="str">
        <f>IF(K$3="","",IF(COUNTIFS(BD!$A$3:$A$5001,K$3,BD!$B$3:$B$5001,$A$5,BD!$L$3:$L$5001,"&lt;&gt;")=0,"",SUMIFS(BD!$L$3:$L$5001,BD!$A$3:$A$5001,K$3,BD!$B$3:$B$5001,$A$5)))</f>
        <v/>
      </c>
      <c r="L7" s="172" t="str">
        <f>IF(L$3="","",IF(COUNTIFS(BD!$A$3:$A$5001,L$3,BD!$B$3:$B$5001,$A$5,BD!$L$3:$L$5001,"&lt;&gt;")=0,"",SUMIFS(BD!$L$3:$L$5001,BD!$A$3:$A$5001,L$3,BD!$B$3:$B$5001,$A$5)))</f>
        <v/>
      </c>
      <c r="M7" s="172" t="str">
        <f>IF(M$3="","",IF(COUNTIFS(BD!$A$3:$A$5001,M$3,BD!$B$3:$B$5001,$A$5,BD!$L$3:$L$5001,"&lt;&gt;")=0,"",SUMIFS(BD!$L$3:$L$5001,BD!$A$3:$A$5001,M$3,BD!$B$3:$B$5001,$A$5)))</f>
        <v/>
      </c>
      <c r="N7" s="172" t="str">
        <f>IF(N$3="","",IF(COUNTIFS(BD!$A$3:$A$5001,N$3,BD!$B$3:$B$5001,$A$5,BD!$L$3:$L$5001,"&lt;&gt;")=0,"",SUMIFS(BD!$L$3:$L$5001,BD!$A$3:$A$5001,N$3,BD!$B$3:$B$5001,$A$5)))</f>
        <v/>
      </c>
      <c r="O7" s="172" t="str">
        <f>IF(O$3="","",IF(COUNTIFS(BD!$A$3:$A$5001,O$3,BD!$B$3:$B$5001,$A$5,BD!$L$3:$L$5001,"&lt;&gt;")=0,"",SUMIFS(BD!$L$3:$L$5001,BD!$A$3:$A$5001,O$3,BD!$B$3:$B$5001,$A$5)))</f>
        <v/>
      </c>
      <c r="P7" s="172" t="str">
        <f>IF(P$3="","",IF(COUNTIFS(BD!$A$3:$A$5001,P$3,BD!$B$3:$B$5001,$A$5,BD!$L$3:$L$5001,"&lt;&gt;")=0,"",SUMIFS(BD!$L$3:$L$5001,BD!$A$3:$A$5001,P$3,BD!$B$3:$B$5001,$A$5)))</f>
        <v/>
      </c>
      <c r="Q7" s="172" t="str">
        <f>IF(Q$3="","",IF(COUNTIFS(BD!$A$3:$A$5001,Q$3,BD!$B$3:$B$5001,$A$5,BD!$L$3:$L$5001,"&lt;&gt;")=0,"",SUMIFS(BD!$L$3:$L$5001,BD!$A$3:$A$5001,Q$3,BD!$B$3:$B$5001,$A$5)))</f>
        <v/>
      </c>
      <c r="R7" s="172" t="str">
        <f>IF(R$3="","",IF(COUNTIFS(BD!$A$3:$A$5001,R$3,BD!$B$3:$B$5001,$A$5,BD!$L$3:$L$5001,"&lt;&gt;")=0,"",SUMIFS(BD!$L$3:$L$5001,BD!$A$3:$A$5001,R$3,BD!$B$3:$B$5001,$A$5)))</f>
        <v/>
      </c>
      <c r="S7" s="172" t="str">
        <f>IF(S$3="","",IF(COUNTIFS(BD!$A$3:$A$5001,S$3,BD!$B$3:$B$5001,$A$5,BD!$L$3:$L$5001,"&lt;&gt;")=0,"",SUMIFS(BD!$L$3:$L$5001,BD!$A$3:$A$5001,S$3,BD!$B$3:$B$5001,$A$5)))</f>
        <v/>
      </c>
      <c r="T7" s="172" t="str">
        <f>IF(T$3="","",IF(COUNTIFS(BD!$A$3:$A$5001,T$3,BD!$B$3:$B$5001,$A$5,BD!$L$3:$L$5001,"&lt;&gt;")=0,"",SUMIFS(BD!$L$3:$L$5001,BD!$A$3:$A$5001,T$3,BD!$B$3:$B$5001,$A$5)))</f>
        <v/>
      </c>
      <c r="U7" s="172" t="str">
        <f>IF(U$3="","",IF(COUNTIFS(BD!$A$3:$A$5001,U$3,BD!$B$3:$B$5001,$A$5,BD!$L$3:$L$5001,"&lt;&gt;")=0,"",SUMIFS(BD!$L$3:$L$5001,BD!$A$3:$A$5001,U$3,BD!$B$3:$B$5001,$A$5)))</f>
        <v/>
      </c>
      <c r="V7" s="172" t="str">
        <f>IF(V$3="","",IF(COUNTIFS(BD!$A$3:$A$5001,V$3,BD!$B$3:$B$5001,$A$5,BD!$L$3:$L$5001,"&lt;&gt;")=0,"",SUMIFS(BD!$L$3:$L$5001,BD!$A$3:$A$5001,V$3,BD!$B$3:$B$5001,$A$5)))</f>
        <v/>
      </c>
      <c r="W7" s="172" t="str">
        <f>IF(W$3="","",IF(COUNTIFS(BD!$A$3:$A$5001,W$3,BD!$B$3:$B$5001,$A$5,BD!$L$3:$L$5001,"&lt;&gt;")=0,"",SUMIFS(BD!$L$3:$L$5001,BD!$A$3:$A$5001,W$3,BD!$B$3:$B$5001,$A$5)))</f>
        <v/>
      </c>
      <c r="X7" s="172" t="str">
        <f>IF(X$3="","",IF(COUNTIFS(BD!$A$3:$A$5001,X$3,BD!$B$3:$B$5001,$A$5,BD!$L$3:$L$5001,"&lt;&gt;")=0,"",SUMIFS(BD!$L$3:$L$5001,BD!$A$3:$A$5001,X$3,BD!$B$3:$B$5001,$A$5)))</f>
        <v/>
      </c>
      <c r="Y7" s="172" t="str">
        <f>IF(Y$3="","",IF(COUNTIFS(BD!$A$3:$A$5001,Y$3,BD!$B$3:$B$5001,$A$5,BD!$L$3:$L$5001,"&lt;&gt;")=0,"",SUMIFS(BD!$L$3:$L$5001,BD!$A$3:$A$5001,Y$3,BD!$B$3:$B$5001,$A$5)))</f>
        <v/>
      </c>
      <c r="Z7" s="172" t="str">
        <f>IF(Z$3="","",IF(COUNTIFS(BD!$A$3:$A$5001,Z$3,BD!$B$3:$B$5001,$A$5,BD!$L$3:$L$5001,"&lt;&gt;")=0,"",SUMIFS(BD!$L$3:$L$5001,BD!$A$3:$A$5001,Z$3,BD!$B$3:$B$5001,$A$5)))</f>
        <v/>
      </c>
      <c r="AA7" s="172" t="str">
        <f>IF(AA$3="","",IF(COUNTIFS(BD!$A$3:$A$5001,AA$3,BD!$B$3:$B$5001,$A$5,BD!$L$3:$L$5001,"&lt;&gt;")=0,"",SUMIFS(BD!$L$3:$L$5001,BD!$A$3:$A$5001,AA$3,BD!$B$3:$B$5001,$A$5)))</f>
        <v/>
      </c>
      <c r="AB7" s="172" t="str">
        <f>IF(AB$3="","",IF(COUNTIFS(BD!$A$3:$A$5001,AB$3,BD!$B$3:$B$5001,$A$5,BD!$L$3:$L$5001,"&lt;&gt;")=0,"",SUMIFS(BD!$L$3:$L$5001,BD!$A$3:$A$5001,AB$3,BD!$B$3:$B$5001,$A$5)))</f>
        <v/>
      </c>
      <c r="AC7" s="172" t="str">
        <f>IF(AC$3="","",IF(COUNTIFS(BD!$A$3:$A$5001,AC$3,BD!$B$3:$B$5001,$A$5,BD!$L$3:$L$5001,"&lt;&gt;")=0,"",SUMIFS(BD!$L$3:$L$5001,BD!$A$3:$A$5001,AC$3,BD!$B$3:$B$5001,$A$5)))</f>
        <v/>
      </c>
      <c r="AD7" s="172" t="str">
        <f>IF(AD$3="","",IF(COUNTIFS(BD!$A$3:$A$5001,AD$3,BD!$B$3:$B$5001,$A$5,BD!$L$3:$L$5001,"&lt;&gt;")=0,"",SUMIFS(BD!$L$3:$L$5001,BD!$A$3:$A$5001,AD$3,BD!$B$3:$B$5001,$A$5)))</f>
        <v/>
      </c>
      <c r="AE7" s="172" t="str">
        <f>IF(AE$3="","",IF(COUNTIFS(BD!$A$3:$A$5001,AE$3,BD!$B$3:$B$5001,$A$5,BD!$L$3:$L$5001,"&lt;&gt;")=0,"",SUMIFS(BD!$L$3:$L$5001,BD!$A$3:$A$5001,AE$3,BD!$B$3:$B$5001,$A$5)))</f>
        <v/>
      </c>
      <c r="AF7" s="172" t="str">
        <f>IF(AF$3="","",IF(COUNTIFS(BD!$A$3:$A$5001,AF$3,BD!$B$3:$B$5001,$A$5,BD!$L$3:$L$5001,"&lt;&gt;")=0,"",SUMIFS(BD!$L$3:$L$5001,BD!$A$3:$A$5001,AF$3,BD!$B$3:$B$5001,$A$5)))</f>
        <v/>
      </c>
      <c r="AG7" s="172" t="str">
        <f>IF(AG$3="","",IF(COUNTIFS(BD!$A$3:$A$5001,AG$3,BD!$B$3:$B$5001,$A$5,BD!$L$3:$L$5001,"&lt;&gt;")=0,"",SUMIFS(BD!$L$3:$L$5001,BD!$A$3:$A$5001,AG$3,BD!$B$3:$B$5001,$A$5)))</f>
        <v/>
      </c>
      <c r="AH7" s="172" t="str">
        <f>IF(AH$3="","",IF(COUNTIFS(BD!$A$3:$A$5001,AH$3,BD!$B$3:$B$5001,$A$5,BD!$L$3:$L$5001,"&lt;&gt;")=0,"",SUMIFS(BD!$L$3:$L$5001,BD!$A$3:$A$5001,AH$3,BD!$B$3:$B$5001,$A$5)))</f>
        <v/>
      </c>
      <c r="AI7" s="172" t="str">
        <f>IF(AI$3="","",IF(COUNTIFS(BD!$A$3:$A$5001,AI$3,BD!$B$3:$B$5001,$A$5,BD!$L$3:$L$5001,"&lt;&gt;")=0,"",SUMIFS(BD!$L$3:$L$5001,BD!$A$3:$A$5001,AI$3,BD!$B$3:$B$5001,$A$5)))</f>
        <v/>
      </c>
      <c r="AJ7" s="173" t="str">
        <f>IF(AJ$3="","",IF(COUNTIFS(BD!$A$3:$A$5001,AJ$3,BD!$B$3:$B$5001,$A$5,BD!$L$3:$L$5001,"&lt;&gt;")=0,"",SUMIFS(BD!$L$3:$L$5001,BD!$A$3:$A$5001,AJ$3,BD!$B$3:$B$5001,$A$5)))</f>
        <v/>
      </c>
      <c r="AK7" s="174" t="str">
        <f>IF(COUNT(F7:AJ7)=0,"",SUM(F7:AJ7))</f>
        <v/>
      </c>
    </row>
    <row r="8" ht="15.75" customHeight="1">
      <c r="A8" s="244"/>
      <c r="B8" s="235"/>
      <c r="C8" s="175" t="inlineStr">
        <is>
          <t xml:space="preserve">Caixas Expedidas</t>
        </is>
      </c>
      <c r="D8" s="176" t="str">
        <f>IFERROR(1/(1/INDEX(BD!$AJ$37:$BD$37,MATCH($A$5,BD!$AJ$22:$BD$22,0))),"")</f>
        <v/>
      </c>
      <c r="E8" s="177"/>
      <c r="F8" s="178" t="str">
        <f>IF(F$3="","",IF(COUNTIFS(BD!$A$3:$A$5001,F$3,BD!$B$3:$B$5001,$A$5,BD!$Q$3:$Q$5001,"&lt;&gt;")=0,"",SUMIFS(BD!$Q$3:$Q$5001,BD!$A$3:$A$5001,F$3,BD!$B$3:$B$5001,$A$5)))</f>
        <v/>
      </c>
      <c r="G8" s="179" t="str">
        <f>IF(G$3="","",IF(COUNTIFS(BD!$A$3:$A$5001,G$3,BD!$B$3:$B$5001,$A$5,BD!$Q$3:$Q$5001,"&lt;&gt;")=0,"",SUMIFS(BD!$Q$3:$Q$5001,BD!$A$3:$A$5001,G$3,BD!$B$3:$B$5001,$A$5)))</f>
        <v/>
      </c>
      <c r="H8" s="179" t="str">
        <f>IF(H$3="","",IF(COUNTIFS(BD!$A$3:$A$5001,H$3,BD!$B$3:$B$5001,$A$5,BD!$Q$3:$Q$5001,"&lt;&gt;")=0,"",SUMIFS(BD!$Q$3:$Q$5001,BD!$A$3:$A$5001,H$3,BD!$B$3:$B$5001,$A$5)))</f>
        <v/>
      </c>
      <c r="I8" s="179" t="str">
        <f>IF(I$3="","",IF(COUNTIFS(BD!$A$3:$A$5001,I$3,BD!$B$3:$B$5001,$A$5,BD!$Q$3:$Q$5001,"&lt;&gt;")=0,"",SUMIFS(BD!$Q$3:$Q$5001,BD!$A$3:$A$5001,I$3,BD!$B$3:$B$5001,$A$5)))</f>
        <v/>
      </c>
      <c r="J8" s="179" t="str">
        <f>IF(J$3="","",IF(COUNTIFS(BD!$A$3:$A$5001,J$3,BD!$B$3:$B$5001,$A$5,BD!$Q$3:$Q$5001,"&lt;&gt;")=0,"",SUMIFS(BD!$Q$3:$Q$5001,BD!$A$3:$A$5001,J$3,BD!$B$3:$B$5001,$A$5)))</f>
        <v/>
      </c>
      <c r="K8" s="179" t="str">
        <f>IF(K$3="","",IF(COUNTIFS(BD!$A$3:$A$5001,K$3,BD!$B$3:$B$5001,$A$5,BD!$Q$3:$Q$5001,"&lt;&gt;")=0,"",SUMIFS(BD!$Q$3:$Q$5001,BD!$A$3:$A$5001,K$3,BD!$B$3:$B$5001,$A$5)))</f>
        <v/>
      </c>
      <c r="L8" s="179" t="str">
        <f>IF(L$3="","",IF(COUNTIFS(BD!$A$3:$A$5001,L$3,BD!$B$3:$B$5001,$A$5,BD!$Q$3:$Q$5001,"&lt;&gt;")=0,"",SUMIFS(BD!$Q$3:$Q$5001,BD!$A$3:$A$5001,L$3,BD!$B$3:$B$5001,$A$5)))</f>
        <v/>
      </c>
      <c r="M8" s="179" t="str">
        <f>IF(M$3="","",IF(COUNTIFS(BD!$A$3:$A$5001,M$3,BD!$B$3:$B$5001,$A$5,BD!$Q$3:$Q$5001,"&lt;&gt;")=0,"",SUMIFS(BD!$Q$3:$Q$5001,BD!$A$3:$A$5001,M$3,BD!$B$3:$B$5001,$A$5)))</f>
        <v/>
      </c>
      <c r="N8" s="179" t="str">
        <f>IF(N$3="","",IF(COUNTIFS(BD!$A$3:$A$5001,N$3,BD!$B$3:$B$5001,$A$5,BD!$Q$3:$Q$5001,"&lt;&gt;")=0,"",SUMIFS(BD!$Q$3:$Q$5001,BD!$A$3:$A$5001,N$3,BD!$B$3:$B$5001,$A$5)))</f>
        <v/>
      </c>
      <c r="O8" s="179" t="str">
        <f>IF(O$3="","",IF(COUNTIFS(BD!$A$3:$A$5001,O$3,BD!$B$3:$B$5001,$A$5,BD!$Q$3:$Q$5001,"&lt;&gt;")=0,"",SUMIFS(BD!$Q$3:$Q$5001,BD!$A$3:$A$5001,O$3,BD!$B$3:$B$5001,$A$5)))</f>
        <v/>
      </c>
      <c r="P8" s="179" t="str">
        <f>IF(P$3="","",IF(COUNTIFS(BD!$A$3:$A$5001,P$3,BD!$B$3:$B$5001,$A$5,BD!$Q$3:$Q$5001,"&lt;&gt;")=0,"",SUMIFS(BD!$Q$3:$Q$5001,BD!$A$3:$A$5001,P$3,BD!$B$3:$B$5001,$A$5)))</f>
        <v/>
      </c>
      <c r="Q8" s="179" t="str">
        <f>IF(Q$3="","",IF(COUNTIFS(BD!$A$3:$A$5001,Q$3,BD!$B$3:$B$5001,$A$5,BD!$Q$3:$Q$5001,"&lt;&gt;")=0,"",SUMIFS(BD!$Q$3:$Q$5001,BD!$A$3:$A$5001,Q$3,BD!$B$3:$B$5001,$A$5)))</f>
        <v/>
      </c>
      <c r="R8" s="179" t="str">
        <f>IF(R$3="","",IF(COUNTIFS(BD!$A$3:$A$5001,R$3,BD!$B$3:$B$5001,$A$5,BD!$Q$3:$Q$5001,"&lt;&gt;")=0,"",SUMIFS(BD!$Q$3:$Q$5001,BD!$A$3:$A$5001,R$3,BD!$B$3:$B$5001,$A$5)))</f>
        <v/>
      </c>
      <c r="S8" s="179" t="str">
        <f>IF(S$3="","",IF(COUNTIFS(BD!$A$3:$A$5001,S$3,BD!$B$3:$B$5001,$A$5,BD!$Q$3:$Q$5001,"&lt;&gt;")=0,"",SUMIFS(BD!$Q$3:$Q$5001,BD!$A$3:$A$5001,S$3,BD!$B$3:$B$5001,$A$5)))</f>
        <v/>
      </c>
      <c r="T8" s="179" t="str">
        <f>IF(T$3="","",IF(COUNTIFS(BD!$A$3:$A$5001,T$3,BD!$B$3:$B$5001,$A$5,BD!$Q$3:$Q$5001,"&lt;&gt;")=0,"",SUMIFS(BD!$Q$3:$Q$5001,BD!$A$3:$A$5001,T$3,BD!$B$3:$B$5001,$A$5)))</f>
        <v/>
      </c>
      <c r="U8" s="179" t="str">
        <f>IF(U$3="","",IF(COUNTIFS(BD!$A$3:$A$5001,U$3,BD!$B$3:$B$5001,$A$5,BD!$Q$3:$Q$5001,"&lt;&gt;")=0,"",SUMIFS(BD!$Q$3:$Q$5001,BD!$A$3:$A$5001,U$3,BD!$B$3:$B$5001,$A$5)))</f>
        <v/>
      </c>
      <c r="V8" s="179" t="str">
        <f>IF(V$3="","",IF(COUNTIFS(BD!$A$3:$A$5001,V$3,BD!$B$3:$B$5001,$A$5,BD!$Q$3:$Q$5001,"&lt;&gt;")=0,"",SUMIFS(BD!$Q$3:$Q$5001,BD!$A$3:$A$5001,V$3,BD!$B$3:$B$5001,$A$5)))</f>
        <v/>
      </c>
      <c r="W8" s="179" t="str">
        <f>IF(W$3="","",IF(COUNTIFS(BD!$A$3:$A$5001,W$3,BD!$B$3:$B$5001,$A$5,BD!$Q$3:$Q$5001,"&lt;&gt;")=0,"",SUMIFS(BD!$Q$3:$Q$5001,BD!$A$3:$A$5001,W$3,BD!$B$3:$B$5001,$A$5)))</f>
        <v/>
      </c>
      <c r="X8" s="179" t="str">
        <f>IF(X$3="","",IF(COUNTIFS(BD!$A$3:$A$5001,X$3,BD!$B$3:$B$5001,$A$5,BD!$Q$3:$Q$5001,"&lt;&gt;")=0,"",SUMIFS(BD!$Q$3:$Q$5001,BD!$A$3:$A$5001,X$3,BD!$B$3:$B$5001,$A$5)))</f>
        <v/>
      </c>
      <c r="Y8" s="179" t="str">
        <f>IF(Y$3="","",IF(COUNTIFS(BD!$A$3:$A$5001,Y$3,BD!$B$3:$B$5001,$A$5,BD!$Q$3:$Q$5001,"&lt;&gt;")=0,"",SUMIFS(BD!$Q$3:$Q$5001,BD!$A$3:$A$5001,Y$3,BD!$B$3:$B$5001,$A$5)))</f>
        <v/>
      </c>
      <c r="Z8" s="179" t="str">
        <f>IF(Z$3="","",IF(COUNTIFS(BD!$A$3:$A$5001,Z$3,BD!$B$3:$B$5001,$A$5,BD!$Q$3:$Q$5001,"&lt;&gt;")=0,"",SUMIFS(BD!$Q$3:$Q$5001,BD!$A$3:$A$5001,Z$3,BD!$B$3:$B$5001,$A$5)))</f>
        <v/>
      </c>
      <c r="AA8" s="179" t="str">
        <f>IF(AA$3="","",IF(COUNTIFS(BD!$A$3:$A$5001,AA$3,BD!$B$3:$B$5001,$A$5,BD!$Q$3:$Q$5001,"&lt;&gt;")=0,"",SUMIFS(BD!$Q$3:$Q$5001,BD!$A$3:$A$5001,AA$3,BD!$B$3:$B$5001,$A$5)))</f>
        <v/>
      </c>
      <c r="AB8" s="179" t="str">
        <f>IF(AB$3="","",IF(COUNTIFS(BD!$A$3:$A$5001,AB$3,BD!$B$3:$B$5001,$A$5,BD!$Q$3:$Q$5001,"&lt;&gt;")=0,"",SUMIFS(BD!$Q$3:$Q$5001,BD!$A$3:$A$5001,AB$3,BD!$B$3:$B$5001,$A$5)))</f>
        <v/>
      </c>
      <c r="AC8" s="179" t="str">
        <f>IF(AC$3="","",IF(COUNTIFS(BD!$A$3:$A$5001,AC$3,BD!$B$3:$B$5001,$A$5,BD!$Q$3:$Q$5001,"&lt;&gt;")=0,"",SUMIFS(BD!$Q$3:$Q$5001,BD!$A$3:$A$5001,AC$3,BD!$B$3:$B$5001,$A$5)))</f>
        <v/>
      </c>
      <c r="AD8" s="179" t="str">
        <f>IF(AD$3="","",IF(COUNTIFS(BD!$A$3:$A$5001,AD$3,BD!$B$3:$B$5001,$A$5,BD!$Q$3:$Q$5001,"&lt;&gt;")=0,"",SUMIFS(BD!$Q$3:$Q$5001,BD!$A$3:$A$5001,AD$3,BD!$B$3:$B$5001,$A$5)))</f>
        <v/>
      </c>
      <c r="AE8" s="179" t="str">
        <f>IF(AE$3="","",IF(COUNTIFS(BD!$A$3:$A$5001,AE$3,BD!$B$3:$B$5001,$A$5,BD!$Q$3:$Q$5001,"&lt;&gt;")=0,"",SUMIFS(BD!$Q$3:$Q$5001,BD!$A$3:$A$5001,AE$3,BD!$B$3:$B$5001,$A$5)))</f>
        <v/>
      </c>
      <c r="AF8" s="179" t="str">
        <f>IF(AF$3="","",IF(COUNTIFS(BD!$A$3:$A$5001,AF$3,BD!$B$3:$B$5001,$A$5,BD!$Q$3:$Q$5001,"&lt;&gt;")=0,"",SUMIFS(BD!$Q$3:$Q$5001,BD!$A$3:$A$5001,AF$3,BD!$B$3:$B$5001,$A$5)))</f>
        <v/>
      </c>
      <c r="AG8" s="179" t="str">
        <f>IF(AG$3="","",IF(COUNTIFS(BD!$A$3:$A$5001,AG$3,BD!$B$3:$B$5001,$A$5,BD!$Q$3:$Q$5001,"&lt;&gt;")=0,"",SUMIFS(BD!$Q$3:$Q$5001,BD!$A$3:$A$5001,AG$3,BD!$B$3:$B$5001,$A$5)))</f>
        <v/>
      </c>
      <c r="AH8" s="179" t="str">
        <f>IF(AH$3="","",IF(COUNTIFS(BD!$A$3:$A$5001,AH$3,BD!$B$3:$B$5001,$A$5,BD!$Q$3:$Q$5001,"&lt;&gt;")=0,"",SUMIFS(BD!$Q$3:$Q$5001,BD!$A$3:$A$5001,AH$3,BD!$B$3:$B$5001,$A$5)))</f>
        <v/>
      </c>
      <c r="AI8" s="179" t="str">
        <f>IF(AI$3="","",IF(COUNTIFS(BD!$A$3:$A$5001,AI$3,BD!$B$3:$B$5001,$A$5,BD!$Q$3:$Q$5001,"&lt;&gt;")=0,"",SUMIFS(BD!$Q$3:$Q$5001,BD!$A$3:$A$5001,AI$3,BD!$B$3:$B$5001,$A$5)))</f>
        <v/>
      </c>
      <c r="AJ8" s="180" t="str">
        <f>IF(AJ$3="","",IF(COUNTIFS(BD!$A$3:$A$5001,AJ$3,BD!$B$3:$B$5001,$A$5,BD!$Q$3:$Q$5001,"&lt;&gt;")=0,"",SUMIFS(BD!$Q$3:$Q$5001,BD!$A$3:$A$5001,AJ$3,BD!$B$3:$B$5001,$A$5)))</f>
        <v/>
      </c>
      <c r="AK8" s="176" t="str">
        <f>IF(COUNT(F8:AJ8)=0,"",SUM(F8:AJ8))</f>
        <v/>
      </c>
    </row>
    <row r="9" ht="15.75" customHeight="1">
      <c r="A9" s="244"/>
      <c r="B9" s="236" t="inlineStr">
        <is>
          <t xml:space="preserve">NC</t>
        </is>
      </c>
      <c r="C9" s="181" t="inlineStr">
        <is>
          <t xml:space="preserve">Incidentes</t>
        </is>
      </c>
      <c r="D9" s="182" t="str">
        <f>IFERROR(1/(1/INDEX(BD!$AJ$40:$BD$40,MATCH($A$5,BD!$AJ$22:$BD$22,0))),"")</f>
        <v/>
      </c>
      <c r="E9" s="183"/>
      <c r="F9" s="184" t="str">
        <f>IF(F$3="","",IF(COUNTIFS(BD!$A$3:$A$5001,F$3,BD!$B$3:$B$5001,$A$5,BD!$T$3:$T$5001,"&lt;&gt;")=0,"",SUMIFS(BD!$T$3:$T$5001,BD!$A$3:$A$5001,F$3,BD!$B$3:$B$5001,$A$5)))</f>
        <v/>
      </c>
      <c r="G9" s="185" t="str">
        <f>IF(G$3="","",IF(COUNTIFS(BD!$A$3:$A$5001,G$3,BD!$B$3:$B$5001,$A$5,BD!$T$3:$T$5001,"&lt;&gt;")=0,"",SUMIFS(BD!$T$3:$T$5001,BD!$A$3:$A$5001,G$3,BD!$B$3:$B$5001,$A$5)))</f>
        <v/>
      </c>
      <c r="H9" s="185" t="str">
        <f>IF(H$3="","",IF(COUNTIFS(BD!$A$3:$A$5001,H$3,BD!$B$3:$B$5001,$A$5,BD!$T$3:$T$5001,"&lt;&gt;")=0,"",SUMIFS(BD!$T$3:$T$5001,BD!$A$3:$A$5001,H$3,BD!$B$3:$B$5001,$A$5)))</f>
        <v/>
      </c>
      <c r="I9" s="185" t="str">
        <f>IF(I$3="","",IF(COUNTIFS(BD!$A$3:$A$5001,I$3,BD!$B$3:$B$5001,$A$5,BD!$T$3:$T$5001,"&lt;&gt;")=0,"",SUMIFS(BD!$T$3:$T$5001,BD!$A$3:$A$5001,I$3,BD!$B$3:$B$5001,$A$5)))</f>
        <v/>
      </c>
      <c r="J9" s="185" t="str">
        <f>IF(J$3="","",IF(COUNTIFS(BD!$A$3:$A$5001,J$3,BD!$B$3:$B$5001,$A$5,BD!$T$3:$T$5001,"&lt;&gt;")=0,"",SUMIFS(BD!$T$3:$T$5001,BD!$A$3:$A$5001,J$3,BD!$B$3:$B$5001,$A$5)))</f>
        <v/>
      </c>
      <c r="K9" s="185" t="str">
        <f>IF(K$3="","",IF(COUNTIFS(BD!$A$3:$A$5001,K$3,BD!$B$3:$B$5001,$A$5,BD!$T$3:$T$5001,"&lt;&gt;")=0,"",SUMIFS(BD!$T$3:$T$5001,BD!$A$3:$A$5001,K$3,BD!$B$3:$B$5001,$A$5)))</f>
        <v/>
      </c>
      <c r="L9" s="185" t="str">
        <f>IF(L$3="","",IF(COUNTIFS(BD!$A$3:$A$5001,L$3,BD!$B$3:$B$5001,$A$5,BD!$T$3:$T$5001,"&lt;&gt;")=0,"",SUMIFS(BD!$T$3:$T$5001,BD!$A$3:$A$5001,L$3,BD!$B$3:$B$5001,$A$5)))</f>
        <v/>
      </c>
      <c r="M9" s="185" t="str">
        <f>IF(M$3="","",IF(COUNTIFS(BD!$A$3:$A$5001,M$3,BD!$B$3:$B$5001,$A$5,BD!$T$3:$T$5001,"&lt;&gt;")=0,"",SUMIFS(BD!$T$3:$T$5001,BD!$A$3:$A$5001,M$3,BD!$B$3:$B$5001,$A$5)))</f>
        <v/>
      </c>
      <c r="N9" s="185" t="str">
        <f>IF(N$3="","",IF(COUNTIFS(BD!$A$3:$A$5001,N$3,BD!$B$3:$B$5001,$A$5,BD!$T$3:$T$5001,"&lt;&gt;")=0,"",SUMIFS(BD!$T$3:$T$5001,BD!$A$3:$A$5001,N$3,BD!$B$3:$B$5001,$A$5)))</f>
        <v/>
      </c>
      <c r="O9" s="185" t="str">
        <f>IF(O$3="","",IF(COUNTIFS(BD!$A$3:$A$5001,O$3,BD!$B$3:$B$5001,$A$5,BD!$T$3:$T$5001,"&lt;&gt;")=0,"",SUMIFS(BD!$T$3:$T$5001,BD!$A$3:$A$5001,O$3,BD!$B$3:$B$5001,$A$5)))</f>
        <v/>
      </c>
      <c r="P9" s="185" t="str">
        <f>IF(P$3="","",IF(COUNTIFS(BD!$A$3:$A$5001,P$3,BD!$B$3:$B$5001,$A$5,BD!$T$3:$T$5001,"&lt;&gt;")=0,"",SUMIFS(BD!$T$3:$T$5001,BD!$A$3:$A$5001,P$3,BD!$B$3:$B$5001,$A$5)))</f>
        <v/>
      </c>
      <c r="Q9" s="185" t="str">
        <f>IF(Q$3="","",IF(COUNTIFS(BD!$A$3:$A$5001,Q$3,BD!$B$3:$B$5001,$A$5,BD!$T$3:$T$5001,"&lt;&gt;")=0,"",SUMIFS(BD!$T$3:$T$5001,BD!$A$3:$A$5001,Q$3,BD!$B$3:$B$5001,$A$5)))</f>
        <v/>
      </c>
      <c r="R9" s="185" t="str">
        <f>IF(R$3="","",IF(COUNTIFS(BD!$A$3:$A$5001,R$3,BD!$B$3:$B$5001,$A$5,BD!$T$3:$T$5001,"&lt;&gt;")=0,"",SUMIFS(BD!$T$3:$T$5001,BD!$A$3:$A$5001,R$3,BD!$B$3:$B$5001,$A$5)))</f>
        <v/>
      </c>
      <c r="S9" s="185" t="str">
        <f>IF(S$3="","",IF(COUNTIFS(BD!$A$3:$A$5001,S$3,BD!$B$3:$B$5001,$A$5,BD!$T$3:$T$5001,"&lt;&gt;")=0,"",SUMIFS(BD!$T$3:$T$5001,BD!$A$3:$A$5001,S$3,BD!$B$3:$B$5001,$A$5)))</f>
        <v/>
      </c>
      <c r="T9" s="185" t="str">
        <f>IF(T$3="","",IF(COUNTIFS(BD!$A$3:$A$5001,T$3,BD!$B$3:$B$5001,$A$5,BD!$T$3:$T$5001,"&lt;&gt;")=0,"",SUMIFS(BD!$T$3:$T$5001,BD!$A$3:$A$5001,T$3,BD!$B$3:$B$5001,$A$5)))</f>
        <v/>
      </c>
      <c r="U9" s="185" t="str">
        <f>IF(U$3="","",IF(COUNTIFS(BD!$A$3:$A$5001,U$3,BD!$B$3:$B$5001,$A$5,BD!$T$3:$T$5001,"&lt;&gt;")=0,"",SUMIFS(BD!$T$3:$T$5001,BD!$A$3:$A$5001,U$3,BD!$B$3:$B$5001,$A$5)))</f>
        <v/>
      </c>
      <c r="V9" s="185" t="str">
        <f>IF(V$3="","",IF(COUNTIFS(BD!$A$3:$A$5001,V$3,BD!$B$3:$B$5001,$A$5,BD!$T$3:$T$5001,"&lt;&gt;")=0,"",SUMIFS(BD!$T$3:$T$5001,BD!$A$3:$A$5001,V$3,BD!$B$3:$B$5001,$A$5)))</f>
        <v/>
      </c>
      <c r="W9" s="185" t="str">
        <f>IF(W$3="","",IF(COUNTIFS(BD!$A$3:$A$5001,W$3,BD!$B$3:$B$5001,$A$5,BD!$T$3:$T$5001,"&lt;&gt;")=0,"",SUMIFS(BD!$T$3:$T$5001,BD!$A$3:$A$5001,W$3,BD!$B$3:$B$5001,$A$5)))</f>
        <v/>
      </c>
      <c r="X9" s="185" t="str">
        <f>IF(X$3="","",IF(COUNTIFS(BD!$A$3:$A$5001,X$3,BD!$B$3:$B$5001,$A$5,BD!$T$3:$T$5001,"&lt;&gt;")=0,"",SUMIFS(BD!$T$3:$T$5001,BD!$A$3:$A$5001,X$3,BD!$B$3:$B$5001,$A$5)))</f>
        <v/>
      </c>
      <c r="Y9" s="185" t="str">
        <f>IF(Y$3="","",IF(COUNTIFS(BD!$A$3:$A$5001,Y$3,BD!$B$3:$B$5001,$A$5,BD!$T$3:$T$5001,"&lt;&gt;")=0,"",SUMIFS(BD!$T$3:$T$5001,BD!$A$3:$A$5001,Y$3,BD!$B$3:$B$5001,$A$5)))</f>
        <v/>
      </c>
      <c r="Z9" s="185" t="str">
        <f>IF(Z$3="","",IF(COUNTIFS(BD!$A$3:$A$5001,Z$3,BD!$B$3:$B$5001,$A$5,BD!$T$3:$T$5001,"&lt;&gt;")=0,"",SUMIFS(BD!$T$3:$T$5001,BD!$A$3:$A$5001,Z$3,BD!$B$3:$B$5001,$A$5)))</f>
        <v/>
      </c>
      <c r="AA9" s="185" t="str">
        <f>IF(AA$3="","",IF(COUNTIFS(BD!$A$3:$A$5001,AA$3,BD!$B$3:$B$5001,$A$5,BD!$T$3:$T$5001,"&lt;&gt;")=0,"",SUMIFS(BD!$T$3:$T$5001,BD!$A$3:$A$5001,AA$3,BD!$B$3:$B$5001,$A$5)))</f>
        <v/>
      </c>
      <c r="AB9" s="185" t="str">
        <f>IF(AB$3="","",IF(COUNTIFS(BD!$A$3:$A$5001,AB$3,BD!$B$3:$B$5001,$A$5,BD!$T$3:$T$5001,"&lt;&gt;")=0,"",SUMIFS(BD!$T$3:$T$5001,BD!$A$3:$A$5001,AB$3,BD!$B$3:$B$5001,$A$5)))</f>
        <v/>
      </c>
      <c r="AC9" s="185" t="str">
        <f>IF(AC$3="","",IF(COUNTIFS(BD!$A$3:$A$5001,AC$3,BD!$B$3:$B$5001,$A$5,BD!$T$3:$T$5001,"&lt;&gt;")=0,"",SUMIFS(BD!$T$3:$T$5001,BD!$A$3:$A$5001,AC$3,BD!$B$3:$B$5001,$A$5)))</f>
        <v/>
      </c>
      <c r="AD9" s="185" t="str">
        <f>IF(AD$3="","",IF(COUNTIFS(BD!$A$3:$A$5001,AD$3,BD!$B$3:$B$5001,$A$5,BD!$T$3:$T$5001,"&lt;&gt;")=0,"",SUMIFS(BD!$T$3:$T$5001,BD!$A$3:$A$5001,AD$3,BD!$B$3:$B$5001,$A$5)))</f>
        <v/>
      </c>
      <c r="AE9" s="185" t="str">
        <f>IF(AE$3="","",IF(COUNTIFS(BD!$A$3:$A$5001,AE$3,BD!$B$3:$B$5001,$A$5,BD!$T$3:$T$5001,"&lt;&gt;")=0,"",SUMIFS(BD!$T$3:$T$5001,BD!$A$3:$A$5001,AE$3,BD!$B$3:$B$5001,$A$5)))</f>
        <v/>
      </c>
      <c r="AF9" s="185" t="str">
        <f>IF(AF$3="","",IF(COUNTIFS(BD!$A$3:$A$5001,AF$3,BD!$B$3:$B$5001,$A$5,BD!$T$3:$T$5001,"&lt;&gt;")=0,"",SUMIFS(BD!$T$3:$T$5001,BD!$A$3:$A$5001,AF$3,BD!$B$3:$B$5001,$A$5)))</f>
        <v/>
      </c>
      <c r="AG9" s="185" t="str">
        <f>IF(AG$3="","",IF(COUNTIFS(BD!$A$3:$A$5001,AG$3,BD!$B$3:$B$5001,$A$5,BD!$T$3:$T$5001,"&lt;&gt;")=0,"",SUMIFS(BD!$T$3:$T$5001,BD!$A$3:$A$5001,AG$3,BD!$B$3:$B$5001,$A$5)))</f>
        <v/>
      </c>
      <c r="AH9" s="185" t="str">
        <f>IF(AH$3="","",IF(COUNTIFS(BD!$A$3:$A$5001,AH$3,BD!$B$3:$B$5001,$A$5,BD!$T$3:$T$5001,"&lt;&gt;")=0,"",SUMIFS(BD!$T$3:$T$5001,BD!$A$3:$A$5001,AH$3,BD!$B$3:$B$5001,$A$5)))</f>
        <v/>
      </c>
      <c r="AI9" s="185" t="str">
        <f>IF(AI$3="","",IF(COUNTIFS(BD!$A$3:$A$5001,AI$3,BD!$B$3:$B$5001,$A$5,BD!$T$3:$T$5001,"&lt;&gt;")=0,"",SUMIFS(BD!$T$3:$T$5001,BD!$A$3:$A$5001,AI$3,BD!$B$3:$B$5001,$A$5)))</f>
        <v/>
      </c>
      <c r="AJ9" s="186" t="str">
        <f>IF(AJ$3="","",IF(COUNTIFS(BD!$A$3:$A$5001,AJ$3,BD!$B$3:$B$5001,$A$5,BD!$T$3:$T$5001,"&lt;&gt;")=0,"",SUMIFS(BD!$T$3:$T$5001,BD!$A$3:$A$5001,AJ$3,BD!$B$3:$B$5001,$A$5)))</f>
        <v/>
      </c>
      <c r="AK9" s="187" t="str">
        <f>IF(COUNT(F9:AJ9)=0,"",SUM(F9:AJ9))</f>
        <v/>
      </c>
    </row>
    <row r="10" ht="15.75" customHeight="1">
      <c r="A10" s="244"/>
      <c r="B10" s="237"/>
      <c r="C10" s="188" t="inlineStr">
        <is>
          <t xml:space="preserve">No show</t>
        </is>
      </c>
      <c r="D10" s="189" t="str">
        <f>IFERROR(1/(1/INDEX(BD!$AJ$41:$BD$41,MATCH($A$5,BD!$AJ$22:$BD$22,0))),"")</f>
        <v/>
      </c>
      <c r="E10" s="190"/>
      <c r="F10" s="191" t="str">
        <f>IF(F$3="","",IF(COUNTIFS(BD!$A$3:$A$5001,F$3,BD!$B$3:$B$5001,$A$5,BD!$U$3:$U$5001,"&lt;&gt;")=0,"",SUMIFS(BD!$U$3:$U$5001,BD!$A$3:$A$5001,F$3,BD!$B$3:$B$5001,$A$5)))</f>
        <v/>
      </c>
      <c r="G10" s="192" t="str">
        <f>IF(G$3="","",IF(COUNTIFS(BD!$A$3:$A$5001,G$3,BD!$B$3:$B$5001,$A$5,BD!$U$3:$U$5001,"&lt;&gt;")=0,"",SUMIFS(BD!$U$3:$U$5001,BD!$A$3:$A$5001,G$3,BD!$B$3:$B$5001,$A$5)))</f>
        <v/>
      </c>
      <c r="H10" s="192" t="str">
        <f>IF(H$3="","",IF(COUNTIFS(BD!$A$3:$A$5001,H$3,BD!$B$3:$B$5001,$A$5,BD!$U$3:$U$5001,"&lt;&gt;")=0,"",SUMIFS(BD!$U$3:$U$5001,BD!$A$3:$A$5001,H$3,BD!$B$3:$B$5001,$A$5)))</f>
        <v/>
      </c>
      <c r="I10" s="192" t="str">
        <f>IF(I$3="","",IF(COUNTIFS(BD!$A$3:$A$5001,I$3,BD!$B$3:$B$5001,$A$5,BD!$U$3:$U$5001,"&lt;&gt;")=0,"",SUMIFS(BD!$U$3:$U$5001,BD!$A$3:$A$5001,I$3,BD!$B$3:$B$5001,$A$5)))</f>
        <v/>
      </c>
      <c r="J10" s="192" t="str">
        <f>IF(J$3="","",IF(COUNTIFS(BD!$A$3:$A$5001,J$3,BD!$B$3:$B$5001,$A$5,BD!$U$3:$U$5001,"&lt;&gt;")=0,"",SUMIFS(BD!$U$3:$U$5001,BD!$A$3:$A$5001,J$3,BD!$B$3:$B$5001,$A$5)))</f>
        <v/>
      </c>
      <c r="K10" s="192" t="str">
        <f>IF(K$3="","",IF(COUNTIFS(BD!$A$3:$A$5001,K$3,BD!$B$3:$B$5001,$A$5,BD!$U$3:$U$5001,"&lt;&gt;")=0,"",SUMIFS(BD!$U$3:$U$5001,BD!$A$3:$A$5001,K$3,BD!$B$3:$B$5001,$A$5)))</f>
        <v/>
      </c>
      <c r="L10" s="192" t="str">
        <f>IF(L$3="","",IF(COUNTIFS(BD!$A$3:$A$5001,L$3,BD!$B$3:$B$5001,$A$5,BD!$U$3:$U$5001,"&lt;&gt;")=0,"",SUMIFS(BD!$U$3:$U$5001,BD!$A$3:$A$5001,L$3,BD!$B$3:$B$5001,$A$5)))</f>
        <v/>
      </c>
      <c r="M10" s="192" t="str">
        <f>IF(M$3="","",IF(COUNTIFS(BD!$A$3:$A$5001,M$3,BD!$B$3:$B$5001,$A$5,BD!$U$3:$U$5001,"&lt;&gt;")=0,"",SUMIFS(BD!$U$3:$U$5001,BD!$A$3:$A$5001,M$3,BD!$B$3:$B$5001,$A$5)))</f>
        <v/>
      </c>
      <c r="N10" s="192" t="str">
        <f>IF(N$3="","",IF(COUNTIFS(BD!$A$3:$A$5001,N$3,BD!$B$3:$B$5001,$A$5,BD!$U$3:$U$5001,"&lt;&gt;")=0,"",SUMIFS(BD!$U$3:$U$5001,BD!$A$3:$A$5001,N$3,BD!$B$3:$B$5001,$A$5)))</f>
        <v/>
      </c>
      <c r="O10" s="192" t="str">
        <f>IF(O$3="","",IF(COUNTIFS(BD!$A$3:$A$5001,O$3,BD!$B$3:$B$5001,$A$5,BD!$U$3:$U$5001,"&lt;&gt;")=0,"",SUMIFS(BD!$U$3:$U$5001,BD!$A$3:$A$5001,O$3,BD!$B$3:$B$5001,$A$5)))</f>
        <v/>
      </c>
      <c r="P10" s="192" t="str">
        <f>IF(P$3="","",IF(COUNTIFS(BD!$A$3:$A$5001,P$3,BD!$B$3:$B$5001,$A$5,BD!$U$3:$U$5001,"&lt;&gt;")=0,"",SUMIFS(BD!$U$3:$U$5001,BD!$A$3:$A$5001,P$3,BD!$B$3:$B$5001,$A$5)))</f>
        <v/>
      </c>
      <c r="Q10" s="192" t="str">
        <f>IF(Q$3="","",IF(COUNTIFS(BD!$A$3:$A$5001,Q$3,BD!$B$3:$B$5001,$A$5,BD!$U$3:$U$5001,"&lt;&gt;")=0,"",SUMIFS(BD!$U$3:$U$5001,BD!$A$3:$A$5001,Q$3,BD!$B$3:$B$5001,$A$5)))</f>
        <v/>
      </c>
      <c r="R10" s="192" t="str">
        <f>IF(R$3="","",IF(COUNTIFS(BD!$A$3:$A$5001,R$3,BD!$B$3:$B$5001,$A$5,BD!$U$3:$U$5001,"&lt;&gt;")=0,"",SUMIFS(BD!$U$3:$U$5001,BD!$A$3:$A$5001,R$3,BD!$B$3:$B$5001,$A$5)))</f>
        <v/>
      </c>
      <c r="S10" s="192" t="str">
        <f>IF(S$3="","",IF(COUNTIFS(BD!$A$3:$A$5001,S$3,BD!$B$3:$B$5001,$A$5,BD!$U$3:$U$5001,"&lt;&gt;")=0,"",SUMIFS(BD!$U$3:$U$5001,BD!$A$3:$A$5001,S$3,BD!$B$3:$B$5001,$A$5)))</f>
        <v/>
      </c>
      <c r="T10" s="192" t="str">
        <f>IF(T$3="","",IF(COUNTIFS(BD!$A$3:$A$5001,T$3,BD!$B$3:$B$5001,$A$5,BD!$U$3:$U$5001,"&lt;&gt;")=0,"",SUMIFS(BD!$U$3:$U$5001,BD!$A$3:$A$5001,T$3,BD!$B$3:$B$5001,$A$5)))</f>
        <v/>
      </c>
      <c r="U10" s="192" t="str">
        <f>IF(U$3="","",IF(COUNTIFS(BD!$A$3:$A$5001,U$3,BD!$B$3:$B$5001,$A$5,BD!$U$3:$U$5001,"&lt;&gt;")=0,"",SUMIFS(BD!$U$3:$U$5001,BD!$A$3:$A$5001,U$3,BD!$B$3:$B$5001,$A$5)))</f>
        <v/>
      </c>
      <c r="V10" s="192" t="str">
        <f>IF(V$3="","",IF(COUNTIFS(BD!$A$3:$A$5001,V$3,BD!$B$3:$B$5001,$A$5,BD!$U$3:$U$5001,"&lt;&gt;")=0,"",SUMIFS(BD!$U$3:$U$5001,BD!$A$3:$A$5001,V$3,BD!$B$3:$B$5001,$A$5)))</f>
        <v/>
      </c>
      <c r="W10" s="192" t="str">
        <f>IF(W$3="","",IF(COUNTIFS(BD!$A$3:$A$5001,W$3,BD!$B$3:$B$5001,$A$5,BD!$U$3:$U$5001,"&lt;&gt;")=0,"",SUMIFS(BD!$U$3:$U$5001,BD!$A$3:$A$5001,W$3,BD!$B$3:$B$5001,$A$5)))</f>
        <v/>
      </c>
      <c r="X10" s="192" t="str">
        <f>IF(X$3="","",IF(COUNTIFS(BD!$A$3:$A$5001,X$3,BD!$B$3:$B$5001,$A$5,BD!$U$3:$U$5001,"&lt;&gt;")=0,"",SUMIFS(BD!$U$3:$U$5001,BD!$A$3:$A$5001,X$3,BD!$B$3:$B$5001,$A$5)))</f>
        <v/>
      </c>
      <c r="Y10" s="192" t="str">
        <f>IF(Y$3="","",IF(COUNTIFS(BD!$A$3:$A$5001,Y$3,BD!$B$3:$B$5001,$A$5,BD!$U$3:$U$5001,"&lt;&gt;")=0,"",SUMIFS(BD!$U$3:$U$5001,BD!$A$3:$A$5001,Y$3,BD!$B$3:$B$5001,$A$5)))</f>
        <v/>
      </c>
      <c r="Z10" s="192" t="str">
        <f>IF(Z$3="","",IF(COUNTIFS(BD!$A$3:$A$5001,Z$3,BD!$B$3:$B$5001,$A$5,BD!$U$3:$U$5001,"&lt;&gt;")=0,"",SUMIFS(BD!$U$3:$U$5001,BD!$A$3:$A$5001,Z$3,BD!$B$3:$B$5001,$A$5)))</f>
        <v/>
      </c>
      <c r="AA10" s="192" t="str">
        <f>IF(AA$3="","",IF(COUNTIFS(BD!$A$3:$A$5001,AA$3,BD!$B$3:$B$5001,$A$5,BD!$U$3:$U$5001,"&lt;&gt;")=0,"",SUMIFS(BD!$U$3:$U$5001,BD!$A$3:$A$5001,AA$3,BD!$B$3:$B$5001,$A$5)))</f>
        <v/>
      </c>
      <c r="AB10" s="192" t="str">
        <f>IF(AB$3="","",IF(COUNTIFS(BD!$A$3:$A$5001,AB$3,BD!$B$3:$B$5001,$A$5,BD!$U$3:$U$5001,"&lt;&gt;")=0,"",SUMIFS(BD!$U$3:$U$5001,BD!$A$3:$A$5001,AB$3,BD!$B$3:$B$5001,$A$5)))</f>
        <v/>
      </c>
      <c r="AC10" s="192" t="str">
        <f>IF(AC$3="","",IF(COUNTIFS(BD!$A$3:$A$5001,AC$3,BD!$B$3:$B$5001,$A$5,BD!$U$3:$U$5001,"&lt;&gt;")=0,"",SUMIFS(BD!$U$3:$U$5001,BD!$A$3:$A$5001,AC$3,BD!$B$3:$B$5001,$A$5)))</f>
        <v/>
      </c>
      <c r="AD10" s="192" t="str">
        <f>IF(AD$3="","",IF(COUNTIFS(BD!$A$3:$A$5001,AD$3,BD!$B$3:$B$5001,$A$5,BD!$U$3:$U$5001,"&lt;&gt;")=0,"",SUMIFS(BD!$U$3:$U$5001,BD!$A$3:$A$5001,AD$3,BD!$B$3:$B$5001,$A$5)))</f>
        <v/>
      </c>
      <c r="AE10" s="192" t="str">
        <f>IF(AE$3="","",IF(COUNTIFS(BD!$A$3:$A$5001,AE$3,BD!$B$3:$B$5001,$A$5,BD!$U$3:$U$5001,"&lt;&gt;")=0,"",SUMIFS(BD!$U$3:$U$5001,BD!$A$3:$A$5001,AE$3,BD!$B$3:$B$5001,$A$5)))</f>
        <v/>
      </c>
      <c r="AF10" s="192" t="str">
        <f>IF(AF$3="","",IF(COUNTIFS(BD!$A$3:$A$5001,AF$3,BD!$B$3:$B$5001,$A$5,BD!$U$3:$U$5001,"&lt;&gt;")=0,"",SUMIFS(BD!$U$3:$U$5001,BD!$A$3:$A$5001,AF$3,BD!$B$3:$B$5001,$A$5)))</f>
        <v/>
      </c>
      <c r="AG10" s="192" t="str">
        <f>IF(AG$3="","",IF(COUNTIFS(BD!$A$3:$A$5001,AG$3,BD!$B$3:$B$5001,$A$5,BD!$U$3:$U$5001,"&lt;&gt;")=0,"",SUMIFS(BD!$U$3:$U$5001,BD!$A$3:$A$5001,AG$3,BD!$B$3:$B$5001,$A$5)))</f>
        <v/>
      </c>
      <c r="AH10" s="192" t="str">
        <f>IF(AH$3="","",IF(COUNTIFS(BD!$A$3:$A$5001,AH$3,BD!$B$3:$B$5001,$A$5,BD!$U$3:$U$5001,"&lt;&gt;")=0,"",SUMIFS(BD!$U$3:$U$5001,BD!$A$3:$A$5001,AH$3,BD!$B$3:$B$5001,$A$5)))</f>
        <v/>
      </c>
      <c r="AI10" s="192" t="str">
        <f>IF(AI$3="","",IF(COUNTIFS(BD!$A$3:$A$5001,AI$3,BD!$B$3:$B$5001,$A$5,BD!$U$3:$U$5001,"&lt;&gt;")=0,"",SUMIFS(BD!$U$3:$U$5001,BD!$A$3:$A$5001,AI$3,BD!$B$3:$B$5001,$A$5)))</f>
        <v/>
      </c>
      <c r="AJ10" s="193" t="str">
        <f>IF(AJ$3="","",IF(COUNTIFS(BD!$A$3:$A$5001,AJ$3,BD!$B$3:$B$5001,$A$5,BD!$U$3:$U$5001,"&lt;&gt;")=0,"",SUMIFS(BD!$U$3:$U$5001,BD!$A$3:$A$5001,AJ$3,BD!$B$3:$B$5001,$A$5)))</f>
        <v/>
      </c>
      <c r="AK10" s="194" t="str">
        <f>IF(COUNT(F10:AJ10)=0,"",SUM(F10:AJ10))</f>
        <v/>
      </c>
    </row>
    <row r="11" ht="15.75" customHeight="1">
      <c r="A11" s="244"/>
      <c r="B11" s="238"/>
      <c r="C11" s="195" t="inlineStr">
        <is>
          <t xml:space="preserve">Backlog</t>
        </is>
      </c>
      <c r="D11" s="196" t="str">
        <f>IFERROR(1/(1/INDEX(BD!$AJ$42:$BD$42,MATCH($A$5,BD!$AJ$22:$BD$22,0))),"")</f>
        <v/>
      </c>
      <c r="E11" s="197"/>
      <c r="F11" s="198" t="str">
        <f>IF(F$3="","",IF(COUNTIFS(BD!$A$3:$A$5001,F$3,BD!$B$3:$B$5001,$A$5,BD!$V$3:$V$5001,"&lt;&gt;")=0,"",SUMIFS(BD!$V$3:$V$5001,BD!$A$3:$A$5001,F$3,BD!$B$3:$B$5001,$A$5)))</f>
        <v/>
      </c>
      <c r="G11" s="199" t="str">
        <f>IF(G$3="","",IF(COUNTIFS(BD!$A$3:$A$5001,G$3,BD!$B$3:$B$5001,$A$5,BD!$V$3:$V$5001,"&lt;&gt;")=0,"",SUMIFS(BD!$V$3:$V$5001,BD!$A$3:$A$5001,G$3,BD!$B$3:$B$5001,$A$5)))</f>
        <v/>
      </c>
      <c r="H11" s="199" t="str">
        <f>IF(H$3="","",IF(COUNTIFS(BD!$A$3:$A$5001,H$3,BD!$B$3:$B$5001,$A$5,BD!$V$3:$V$5001,"&lt;&gt;")=0,"",SUMIFS(BD!$V$3:$V$5001,BD!$A$3:$A$5001,H$3,BD!$B$3:$B$5001,$A$5)))</f>
        <v/>
      </c>
      <c r="I11" s="199" t="str">
        <f>IF(I$3="","",IF(COUNTIFS(BD!$A$3:$A$5001,I$3,BD!$B$3:$B$5001,$A$5,BD!$V$3:$V$5001,"&lt;&gt;")=0,"",SUMIFS(BD!$V$3:$V$5001,BD!$A$3:$A$5001,I$3,BD!$B$3:$B$5001,$A$5)))</f>
        <v/>
      </c>
      <c r="J11" s="199" t="str">
        <f>IF(J$3="","",IF(COUNTIFS(BD!$A$3:$A$5001,J$3,BD!$B$3:$B$5001,$A$5,BD!$V$3:$V$5001,"&lt;&gt;")=0,"",SUMIFS(BD!$V$3:$V$5001,BD!$A$3:$A$5001,J$3,BD!$B$3:$B$5001,$A$5)))</f>
        <v/>
      </c>
      <c r="K11" s="199" t="str">
        <f>IF(K$3="","",IF(COUNTIFS(BD!$A$3:$A$5001,K$3,BD!$B$3:$B$5001,$A$5,BD!$V$3:$V$5001,"&lt;&gt;")=0,"",SUMIFS(BD!$V$3:$V$5001,BD!$A$3:$A$5001,K$3,BD!$B$3:$B$5001,$A$5)))</f>
        <v/>
      </c>
      <c r="L11" s="199" t="str">
        <f>IF(L$3="","",IF(COUNTIFS(BD!$A$3:$A$5001,L$3,BD!$B$3:$B$5001,$A$5,BD!$V$3:$V$5001,"&lt;&gt;")=0,"",SUMIFS(BD!$V$3:$V$5001,BD!$A$3:$A$5001,L$3,BD!$B$3:$B$5001,$A$5)))</f>
        <v/>
      </c>
      <c r="M11" s="199" t="str">
        <f>IF(M$3="","",IF(COUNTIFS(BD!$A$3:$A$5001,M$3,BD!$B$3:$B$5001,$A$5,BD!$V$3:$V$5001,"&lt;&gt;")=0,"",SUMIFS(BD!$V$3:$V$5001,BD!$A$3:$A$5001,M$3,BD!$B$3:$B$5001,$A$5)))</f>
        <v/>
      </c>
      <c r="N11" s="199" t="str">
        <f>IF(N$3="","",IF(COUNTIFS(BD!$A$3:$A$5001,N$3,BD!$B$3:$B$5001,$A$5,BD!$V$3:$V$5001,"&lt;&gt;")=0,"",SUMIFS(BD!$V$3:$V$5001,BD!$A$3:$A$5001,N$3,BD!$B$3:$B$5001,$A$5)))</f>
        <v/>
      </c>
      <c r="O11" s="199" t="str">
        <f>IF(O$3="","",IF(COUNTIFS(BD!$A$3:$A$5001,O$3,BD!$B$3:$B$5001,$A$5,BD!$V$3:$V$5001,"&lt;&gt;")=0,"",SUMIFS(BD!$V$3:$V$5001,BD!$A$3:$A$5001,O$3,BD!$B$3:$B$5001,$A$5)))</f>
        <v/>
      </c>
      <c r="P11" s="199" t="str">
        <f>IF(P$3="","",IF(COUNTIFS(BD!$A$3:$A$5001,P$3,BD!$B$3:$B$5001,$A$5,BD!$V$3:$V$5001,"&lt;&gt;")=0,"",SUMIFS(BD!$V$3:$V$5001,BD!$A$3:$A$5001,P$3,BD!$B$3:$B$5001,$A$5)))</f>
        <v/>
      </c>
      <c r="Q11" s="199" t="str">
        <f>IF(Q$3="","",IF(COUNTIFS(BD!$A$3:$A$5001,Q$3,BD!$B$3:$B$5001,$A$5,BD!$V$3:$V$5001,"&lt;&gt;")=0,"",SUMIFS(BD!$V$3:$V$5001,BD!$A$3:$A$5001,Q$3,BD!$B$3:$B$5001,$A$5)))</f>
        <v/>
      </c>
      <c r="R11" s="199" t="str">
        <f>IF(R$3="","",IF(COUNTIFS(BD!$A$3:$A$5001,R$3,BD!$B$3:$B$5001,$A$5,BD!$V$3:$V$5001,"&lt;&gt;")=0,"",SUMIFS(BD!$V$3:$V$5001,BD!$A$3:$A$5001,R$3,BD!$B$3:$B$5001,$A$5)))</f>
        <v/>
      </c>
      <c r="S11" s="199" t="str">
        <f>IF(S$3="","",IF(COUNTIFS(BD!$A$3:$A$5001,S$3,BD!$B$3:$B$5001,$A$5,BD!$V$3:$V$5001,"&lt;&gt;")=0,"",SUMIFS(BD!$V$3:$V$5001,BD!$A$3:$A$5001,S$3,BD!$B$3:$B$5001,$A$5)))</f>
        <v/>
      </c>
      <c r="T11" s="199" t="str">
        <f>IF(T$3="","",IF(COUNTIFS(BD!$A$3:$A$5001,T$3,BD!$B$3:$B$5001,$A$5,BD!$V$3:$V$5001,"&lt;&gt;")=0,"",SUMIFS(BD!$V$3:$V$5001,BD!$A$3:$A$5001,T$3,BD!$B$3:$B$5001,$A$5)))</f>
        <v/>
      </c>
      <c r="U11" s="199" t="str">
        <f>IF(U$3="","",IF(COUNTIFS(BD!$A$3:$A$5001,U$3,BD!$B$3:$B$5001,$A$5,BD!$V$3:$V$5001,"&lt;&gt;")=0,"",SUMIFS(BD!$V$3:$V$5001,BD!$A$3:$A$5001,U$3,BD!$B$3:$B$5001,$A$5)))</f>
        <v/>
      </c>
      <c r="V11" s="199" t="str">
        <f>IF(V$3="","",IF(COUNTIFS(BD!$A$3:$A$5001,V$3,BD!$B$3:$B$5001,$A$5,BD!$V$3:$V$5001,"&lt;&gt;")=0,"",SUMIFS(BD!$V$3:$V$5001,BD!$A$3:$A$5001,V$3,BD!$B$3:$B$5001,$A$5)))</f>
        <v/>
      </c>
      <c r="W11" s="199" t="str">
        <f>IF(W$3="","",IF(COUNTIFS(BD!$A$3:$A$5001,W$3,BD!$B$3:$B$5001,$A$5,BD!$V$3:$V$5001,"&lt;&gt;")=0,"",SUMIFS(BD!$V$3:$V$5001,BD!$A$3:$A$5001,W$3,BD!$B$3:$B$5001,$A$5)))</f>
        <v/>
      </c>
      <c r="X11" s="199" t="str">
        <f>IF(X$3="","",IF(COUNTIFS(BD!$A$3:$A$5001,X$3,BD!$B$3:$B$5001,$A$5,BD!$V$3:$V$5001,"&lt;&gt;")=0,"",SUMIFS(BD!$V$3:$V$5001,BD!$A$3:$A$5001,X$3,BD!$B$3:$B$5001,$A$5)))</f>
        <v/>
      </c>
      <c r="Y11" s="199" t="str">
        <f>IF(Y$3="","",IF(COUNTIFS(BD!$A$3:$A$5001,Y$3,BD!$B$3:$B$5001,$A$5,BD!$V$3:$V$5001,"&lt;&gt;")=0,"",SUMIFS(BD!$V$3:$V$5001,BD!$A$3:$A$5001,Y$3,BD!$B$3:$B$5001,$A$5)))</f>
        <v/>
      </c>
      <c r="Z11" s="199" t="str">
        <f>IF(Z$3="","",IF(COUNTIFS(BD!$A$3:$A$5001,Z$3,BD!$B$3:$B$5001,$A$5,BD!$V$3:$V$5001,"&lt;&gt;")=0,"",SUMIFS(BD!$V$3:$V$5001,BD!$A$3:$A$5001,Z$3,BD!$B$3:$B$5001,$A$5)))</f>
        <v/>
      </c>
      <c r="AA11" s="199" t="str">
        <f>IF(AA$3="","",IF(COUNTIFS(BD!$A$3:$A$5001,AA$3,BD!$B$3:$B$5001,$A$5,BD!$V$3:$V$5001,"&lt;&gt;")=0,"",SUMIFS(BD!$V$3:$V$5001,BD!$A$3:$A$5001,AA$3,BD!$B$3:$B$5001,$A$5)))</f>
        <v/>
      </c>
      <c r="AB11" s="199" t="str">
        <f>IF(AB$3="","",IF(COUNTIFS(BD!$A$3:$A$5001,AB$3,BD!$B$3:$B$5001,$A$5,BD!$V$3:$V$5001,"&lt;&gt;")=0,"",SUMIFS(BD!$V$3:$V$5001,BD!$A$3:$A$5001,AB$3,BD!$B$3:$B$5001,$A$5)))</f>
        <v/>
      </c>
      <c r="AC11" s="199" t="str">
        <f>IF(AC$3="","",IF(COUNTIFS(BD!$A$3:$A$5001,AC$3,BD!$B$3:$B$5001,$A$5,BD!$V$3:$V$5001,"&lt;&gt;")=0,"",SUMIFS(BD!$V$3:$V$5001,BD!$A$3:$A$5001,AC$3,BD!$B$3:$B$5001,$A$5)))</f>
        <v/>
      </c>
      <c r="AD11" s="199" t="str">
        <f>IF(AD$3="","",IF(COUNTIFS(BD!$A$3:$A$5001,AD$3,BD!$B$3:$B$5001,$A$5,BD!$V$3:$V$5001,"&lt;&gt;")=0,"",SUMIFS(BD!$V$3:$V$5001,BD!$A$3:$A$5001,AD$3,BD!$B$3:$B$5001,$A$5)))</f>
        <v/>
      </c>
      <c r="AE11" s="199" t="str">
        <f>IF(AE$3="","",IF(COUNTIFS(BD!$A$3:$A$5001,AE$3,BD!$B$3:$B$5001,$A$5,BD!$V$3:$V$5001,"&lt;&gt;")=0,"",SUMIFS(BD!$V$3:$V$5001,BD!$A$3:$A$5001,AE$3,BD!$B$3:$B$5001,$A$5)))</f>
        <v/>
      </c>
      <c r="AF11" s="199" t="str">
        <f>IF(AF$3="","",IF(COUNTIFS(BD!$A$3:$A$5001,AF$3,BD!$B$3:$B$5001,$A$5,BD!$V$3:$V$5001,"&lt;&gt;")=0,"",SUMIFS(BD!$V$3:$V$5001,BD!$A$3:$A$5001,AF$3,BD!$B$3:$B$5001,$A$5)))</f>
        <v/>
      </c>
      <c r="AG11" s="199" t="str">
        <f>IF(AG$3="","",IF(COUNTIFS(BD!$A$3:$A$5001,AG$3,BD!$B$3:$B$5001,$A$5,BD!$V$3:$V$5001,"&lt;&gt;")=0,"",SUMIFS(BD!$V$3:$V$5001,BD!$A$3:$A$5001,AG$3,BD!$B$3:$B$5001,$A$5)))</f>
        <v/>
      </c>
      <c r="AH11" s="199" t="str">
        <f>IF(AH$3="","",IF(COUNTIFS(BD!$A$3:$A$5001,AH$3,BD!$B$3:$B$5001,$A$5,BD!$V$3:$V$5001,"&lt;&gt;")=0,"",SUMIFS(BD!$V$3:$V$5001,BD!$A$3:$A$5001,AH$3,BD!$B$3:$B$5001,$A$5)))</f>
        <v/>
      </c>
      <c r="AI11" s="199" t="str">
        <f>IF(AI$3="","",IF(COUNTIFS(BD!$A$3:$A$5001,AI$3,BD!$B$3:$B$5001,$A$5,BD!$V$3:$V$5001,"&lt;&gt;")=0,"",SUMIFS(BD!$V$3:$V$5001,BD!$A$3:$A$5001,AI$3,BD!$B$3:$B$5001,$A$5)))</f>
        <v/>
      </c>
      <c r="AJ11" s="200" t="str">
        <f>IF(AJ$3="","",IF(COUNTIFS(BD!$A$3:$A$5001,AJ$3,BD!$B$3:$B$5001,$A$5,BD!$V$3:$V$5001,"&lt;&gt;")=0,"",SUMIFS(BD!$V$3:$V$5001,BD!$A$3:$A$5001,AJ$3,BD!$B$3:$B$5001,$A$5)))</f>
        <v/>
      </c>
      <c r="AK11" s="196" t="str">
        <f>IFERROR(LOOKUP(9.99E+307,F11:AJ11),"")</f>
        <v/>
      </c>
    </row>
    <row r="12" ht="15.75" customHeight="1">
      <c r="A12" s="244"/>
      <c r="B12" s="232" t="inlineStr">
        <is>
          <t xml:space="preserve">OCUPAÇÃO (P.P)</t>
        </is>
      </c>
      <c r="C12" s="155" t="inlineStr">
        <is>
          <t xml:space="preserve">Posições Disponíveis</t>
        </is>
      </c>
      <c r="D12" s="156" t="str">
        <f>IFERROR(1/(1/INDEX(BD!$AJ$43:$BD$43,MATCH($A$5,BD!$AJ$22:$BD$22,0))),"")</f>
        <v/>
      </c>
      <c r="E12" s="157"/>
      <c r="F12" s="158" t="str">
        <f>IF(F$3="","",IF(COUNTIFS(BD!$A$3:$A$5001,F$3,BD!$B$3:$B$5001,$A$5,BD!$W$3:$W$5001,"&lt;&gt;")=0,"",SUMIFS(BD!$W$3:$W$5001,BD!$A$3:$A$5001,F$3,BD!$B$3:$B$5001,$A$5)))</f>
        <v/>
      </c>
      <c r="G12" s="159" t="str">
        <f>IF(G$3="","",IF(COUNTIFS(BD!$A$3:$A$5001,G$3,BD!$B$3:$B$5001,$A$5,BD!$W$3:$W$5001,"&lt;&gt;")=0,"",SUMIFS(BD!$W$3:$W$5001,BD!$A$3:$A$5001,G$3,BD!$B$3:$B$5001,$A$5)))</f>
        <v/>
      </c>
      <c r="H12" s="159" t="str">
        <f>IF(H$3="","",IF(COUNTIFS(BD!$A$3:$A$5001,H$3,BD!$B$3:$B$5001,$A$5,BD!$W$3:$W$5001,"&lt;&gt;")=0,"",SUMIFS(BD!$W$3:$W$5001,BD!$A$3:$A$5001,H$3,BD!$B$3:$B$5001,$A$5)))</f>
        <v/>
      </c>
      <c r="I12" s="159" t="str">
        <f>IF(I$3="","",IF(COUNTIFS(BD!$A$3:$A$5001,I$3,BD!$B$3:$B$5001,$A$5,BD!$W$3:$W$5001,"&lt;&gt;")=0,"",SUMIFS(BD!$W$3:$W$5001,BD!$A$3:$A$5001,I$3,BD!$B$3:$B$5001,$A$5)))</f>
        <v/>
      </c>
      <c r="J12" s="159" t="str">
        <f>IF(J$3="","",IF(COUNTIFS(BD!$A$3:$A$5001,J$3,BD!$B$3:$B$5001,$A$5,BD!$W$3:$W$5001,"&lt;&gt;")=0,"",SUMIFS(BD!$W$3:$W$5001,BD!$A$3:$A$5001,J$3,BD!$B$3:$B$5001,$A$5)))</f>
        <v/>
      </c>
      <c r="K12" s="159" t="str">
        <f>IF(K$3="","",IF(COUNTIFS(BD!$A$3:$A$5001,K$3,BD!$B$3:$B$5001,$A$5,BD!$W$3:$W$5001,"&lt;&gt;")=0,"",SUMIFS(BD!$W$3:$W$5001,BD!$A$3:$A$5001,K$3,BD!$B$3:$B$5001,$A$5)))</f>
        <v/>
      </c>
      <c r="L12" s="159" t="str">
        <f>IF(L$3="","",IF(COUNTIFS(BD!$A$3:$A$5001,L$3,BD!$B$3:$B$5001,$A$5,BD!$W$3:$W$5001,"&lt;&gt;")=0,"",SUMIFS(BD!$W$3:$W$5001,BD!$A$3:$A$5001,L$3,BD!$B$3:$B$5001,$A$5)))</f>
        <v/>
      </c>
      <c r="M12" s="159" t="str">
        <f>IF(M$3="","",IF(COUNTIFS(BD!$A$3:$A$5001,M$3,BD!$B$3:$B$5001,$A$5,BD!$W$3:$W$5001,"&lt;&gt;")=0,"",SUMIFS(BD!$W$3:$W$5001,BD!$A$3:$A$5001,M$3,BD!$B$3:$B$5001,$A$5)))</f>
        <v/>
      </c>
      <c r="N12" s="159" t="str">
        <f>IF(N$3="","",IF(COUNTIFS(BD!$A$3:$A$5001,N$3,BD!$B$3:$B$5001,$A$5,BD!$W$3:$W$5001,"&lt;&gt;")=0,"",SUMIFS(BD!$W$3:$W$5001,BD!$A$3:$A$5001,N$3,BD!$B$3:$B$5001,$A$5)))</f>
        <v/>
      </c>
      <c r="O12" s="159" t="str">
        <f>IF(O$3="","",IF(COUNTIFS(BD!$A$3:$A$5001,O$3,BD!$B$3:$B$5001,$A$5,BD!$W$3:$W$5001,"&lt;&gt;")=0,"",SUMIFS(BD!$W$3:$W$5001,BD!$A$3:$A$5001,O$3,BD!$B$3:$B$5001,$A$5)))</f>
        <v/>
      </c>
      <c r="P12" s="159" t="str">
        <f>IF(P$3="","",IF(COUNTIFS(BD!$A$3:$A$5001,P$3,BD!$B$3:$B$5001,$A$5,BD!$W$3:$W$5001,"&lt;&gt;")=0,"",SUMIFS(BD!$W$3:$W$5001,BD!$A$3:$A$5001,P$3,BD!$B$3:$B$5001,$A$5)))</f>
        <v/>
      </c>
      <c r="Q12" s="159" t="str">
        <f>IF(Q$3="","",IF(COUNTIFS(BD!$A$3:$A$5001,Q$3,BD!$B$3:$B$5001,$A$5,BD!$W$3:$W$5001,"&lt;&gt;")=0,"",SUMIFS(BD!$W$3:$W$5001,BD!$A$3:$A$5001,Q$3,BD!$B$3:$B$5001,$A$5)))</f>
        <v/>
      </c>
      <c r="R12" s="159" t="str">
        <f>IF(R$3="","",IF(COUNTIFS(BD!$A$3:$A$5001,R$3,BD!$B$3:$B$5001,$A$5,BD!$W$3:$W$5001,"&lt;&gt;")=0,"",SUMIFS(BD!$W$3:$W$5001,BD!$A$3:$A$5001,R$3,BD!$B$3:$B$5001,$A$5)))</f>
        <v/>
      </c>
      <c r="S12" s="159" t="str">
        <f>IF(S$3="","",IF(COUNTIFS(BD!$A$3:$A$5001,S$3,BD!$B$3:$B$5001,$A$5,BD!$W$3:$W$5001,"&lt;&gt;")=0,"",SUMIFS(BD!$W$3:$W$5001,BD!$A$3:$A$5001,S$3,BD!$B$3:$B$5001,$A$5)))</f>
        <v/>
      </c>
      <c r="T12" s="159" t="str">
        <f>IF(T$3="","",IF(COUNTIFS(BD!$A$3:$A$5001,T$3,BD!$B$3:$B$5001,$A$5,BD!$W$3:$W$5001,"&lt;&gt;")=0,"",SUMIFS(BD!$W$3:$W$5001,BD!$A$3:$A$5001,T$3,BD!$B$3:$B$5001,$A$5)))</f>
        <v/>
      </c>
      <c r="U12" s="159" t="str">
        <f>IF(U$3="","",IF(COUNTIFS(BD!$A$3:$A$5001,U$3,BD!$B$3:$B$5001,$A$5,BD!$W$3:$W$5001,"&lt;&gt;")=0,"",SUMIFS(BD!$W$3:$W$5001,BD!$A$3:$A$5001,U$3,BD!$B$3:$B$5001,$A$5)))</f>
        <v/>
      </c>
      <c r="V12" s="159" t="str">
        <f>IF(V$3="","",IF(COUNTIFS(BD!$A$3:$A$5001,V$3,BD!$B$3:$B$5001,$A$5,BD!$W$3:$W$5001,"&lt;&gt;")=0,"",SUMIFS(BD!$W$3:$W$5001,BD!$A$3:$A$5001,V$3,BD!$B$3:$B$5001,$A$5)))</f>
        <v/>
      </c>
      <c r="W12" s="159" t="str">
        <f>IF(W$3="","",IF(COUNTIFS(BD!$A$3:$A$5001,W$3,BD!$B$3:$B$5001,$A$5,BD!$W$3:$W$5001,"&lt;&gt;")=0,"",SUMIFS(BD!$W$3:$W$5001,BD!$A$3:$A$5001,W$3,BD!$B$3:$B$5001,$A$5)))</f>
        <v/>
      </c>
      <c r="X12" s="159" t="str">
        <f>IF(X$3="","",IF(COUNTIFS(BD!$A$3:$A$5001,X$3,BD!$B$3:$B$5001,$A$5,BD!$W$3:$W$5001,"&lt;&gt;")=0,"",SUMIFS(BD!$W$3:$W$5001,BD!$A$3:$A$5001,X$3,BD!$B$3:$B$5001,$A$5)))</f>
        <v/>
      </c>
      <c r="Y12" s="159" t="str">
        <f>IF(Y$3="","",IF(COUNTIFS(BD!$A$3:$A$5001,Y$3,BD!$B$3:$B$5001,$A$5,BD!$W$3:$W$5001,"&lt;&gt;")=0,"",SUMIFS(BD!$W$3:$W$5001,BD!$A$3:$A$5001,Y$3,BD!$B$3:$B$5001,$A$5)))</f>
        <v/>
      </c>
      <c r="Z12" s="159" t="str">
        <f>IF(Z$3="","",IF(COUNTIFS(BD!$A$3:$A$5001,Z$3,BD!$B$3:$B$5001,$A$5,BD!$W$3:$W$5001,"&lt;&gt;")=0,"",SUMIFS(BD!$W$3:$W$5001,BD!$A$3:$A$5001,Z$3,BD!$B$3:$B$5001,$A$5)))</f>
        <v/>
      </c>
      <c r="AA12" s="159" t="str">
        <f>IF(AA$3="","",IF(COUNTIFS(BD!$A$3:$A$5001,AA$3,BD!$B$3:$B$5001,$A$5,BD!$W$3:$W$5001,"&lt;&gt;")=0,"",SUMIFS(BD!$W$3:$W$5001,BD!$A$3:$A$5001,AA$3,BD!$B$3:$B$5001,$A$5)))</f>
        <v/>
      </c>
      <c r="AB12" s="159" t="str">
        <f>IF(AB$3="","",IF(COUNTIFS(BD!$A$3:$A$5001,AB$3,BD!$B$3:$B$5001,$A$5,BD!$W$3:$W$5001,"&lt;&gt;")=0,"",SUMIFS(BD!$W$3:$W$5001,BD!$A$3:$A$5001,AB$3,BD!$B$3:$B$5001,$A$5)))</f>
        <v/>
      </c>
      <c r="AC12" s="159" t="str">
        <f>IF(AC$3="","",IF(COUNTIFS(BD!$A$3:$A$5001,AC$3,BD!$B$3:$B$5001,$A$5,BD!$W$3:$W$5001,"&lt;&gt;")=0,"",SUMIFS(BD!$W$3:$W$5001,BD!$A$3:$A$5001,AC$3,BD!$B$3:$B$5001,$A$5)))</f>
        <v/>
      </c>
      <c r="AD12" s="159" t="str">
        <f>IF(AD$3="","",IF(COUNTIFS(BD!$A$3:$A$5001,AD$3,BD!$B$3:$B$5001,$A$5,BD!$W$3:$W$5001,"&lt;&gt;")=0,"",SUMIFS(BD!$W$3:$W$5001,BD!$A$3:$A$5001,AD$3,BD!$B$3:$B$5001,$A$5)))</f>
        <v/>
      </c>
      <c r="AE12" s="159" t="str">
        <f>IF(AE$3="","",IF(COUNTIFS(BD!$A$3:$A$5001,AE$3,BD!$B$3:$B$5001,$A$5,BD!$W$3:$W$5001,"&lt;&gt;")=0,"",SUMIFS(BD!$W$3:$W$5001,BD!$A$3:$A$5001,AE$3,BD!$B$3:$B$5001,$A$5)))</f>
        <v/>
      </c>
      <c r="AF12" s="159" t="str">
        <f>IF(AF$3="","",IF(COUNTIFS(BD!$A$3:$A$5001,AF$3,BD!$B$3:$B$5001,$A$5,BD!$W$3:$W$5001,"&lt;&gt;")=0,"",SUMIFS(BD!$W$3:$W$5001,BD!$A$3:$A$5001,AF$3,BD!$B$3:$B$5001,$A$5)))</f>
        <v/>
      </c>
      <c r="AG12" s="159" t="str">
        <f>IF(AG$3="","",IF(COUNTIFS(BD!$A$3:$A$5001,AG$3,BD!$B$3:$B$5001,$A$5,BD!$W$3:$W$5001,"&lt;&gt;")=0,"",SUMIFS(BD!$W$3:$W$5001,BD!$A$3:$A$5001,AG$3,BD!$B$3:$B$5001,$A$5)))</f>
        <v/>
      </c>
      <c r="AH12" s="159" t="str">
        <f>IF(AH$3="","",IF(COUNTIFS(BD!$A$3:$A$5001,AH$3,BD!$B$3:$B$5001,$A$5,BD!$W$3:$W$5001,"&lt;&gt;")=0,"",SUMIFS(BD!$W$3:$W$5001,BD!$A$3:$A$5001,AH$3,BD!$B$3:$B$5001,$A$5)))</f>
        <v/>
      </c>
      <c r="AI12" s="159" t="str">
        <f>IF(AI$3="","",IF(COUNTIFS(BD!$A$3:$A$5001,AI$3,BD!$B$3:$B$5001,$A$5,BD!$W$3:$W$5001,"&lt;&gt;")=0,"",SUMIFS(BD!$W$3:$W$5001,BD!$A$3:$A$5001,AI$3,BD!$B$3:$B$5001,$A$5)))</f>
        <v/>
      </c>
      <c r="AJ12" s="160" t="str">
        <f>IF(AJ$3="","",IF(COUNTIFS(BD!$A$3:$A$5001,AJ$3,BD!$B$3:$B$5001,$A$5,BD!$W$3:$W$5001,"&lt;&gt;")=0,"",SUMIFS(BD!$W$3:$W$5001,BD!$A$3:$A$5001,AJ$3,BD!$B$3:$B$5001,$A$5)))</f>
        <v/>
      </c>
      <c r="AK12" s="161" t="str">
        <f>IF(COUNT(F12:AJ12)&gt;0,LOOKUP(9.99E+307,F12:AJ12),IFERROR(IF(INDEX(BD!$AG$3:$AG$5001,MATCH($A$5,BD!$B$3:$B$5001,0))&amp;""="Contrato","",INDEX(BD!$AG$3:$AG$5001,MATCH($A$5,BD!$B$3:$B$5001,0))&amp;""),""))</f>
        <v/>
      </c>
    </row>
    <row r="13" ht="15.75" customHeight="1">
      <c r="A13" s="244"/>
      <c r="B13" s="239"/>
      <c r="C13" s="201" t="inlineStr">
        <is>
          <t xml:space="preserve">Posições Ocupadas</t>
        </is>
      </c>
      <c r="D13" s="202" t="str">
        <f>IFERROR(1/(1/INDEX(BD!$AJ$44:$BD$44,MATCH($A$5,BD!$AJ$22:$BD$22,0))),"")</f>
        <v/>
      </c>
      <c r="E13" s="203"/>
      <c r="F13" s="204" t="str">
        <f>IF(F$3="","",IF(COUNTIFS(BD!$A$3:$A$5001,F$3,BD!$B$3:$B$5001,$A$5,BD!$X$3:$X$5001,"&lt;&gt;")=0,"",SUMIFS(BD!$X$3:$X$5001,BD!$A$3:$A$5001,F$3,BD!$B$3:$B$5001,$A$5)))</f>
        <v/>
      </c>
      <c r="G13" s="205" t="str">
        <f>IF(G$3="","",IF(COUNTIFS(BD!$A$3:$A$5001,G$3,BD!$B$3:$B$5001,$A$5,BD!$X$3:$X$5001,"&lt;&gt;")=0,"",SUMIFS(BD!$X$3:$X$5001,BD!$A$3:$A$5001,G$3,BD!$B$3:$B$5001,$A$5)))</f>
        <v/>
      </c>
      <c r="H13" s="205" t="str">
        <f>IF(H$3="","",IF(COUNTIFS(BD!$A$3:$A$5001,H$3,BD!$B$3:$B$5001,$A$5,BD!$X$3:$X$5001,"&lt;&gt;")=0,"",SUMIFS(BD!$X$3:$X$5001,BD!$A$3:$A$5001,H$3,BD!$B$3:$B$5001,$A$5)))</f>
        <v/>
      </c>
      <c r="I13" s="205" t="str">
        <f>IF(I$3="","",IF(COUNTIFS(BD!$A$3:$A$5001,I$3,BD!$B$3:$B$5001,$A$5,BD!$X$3:$X$5001,"&lt;&gt;")=0,"",SUMIFS(BD!$X$3:$X$5001,BD!$A$3:$A$5001,I$3,BD!$B$3:$B$5001,$A$5)))</f>
        <v/>
      </c>
      <c r="J13" s="205" t="str">
        <f>IF(J$3="","",IF(COUNTIFS(BD!$A$3:$A$5001,J$3,BD!$B$3:$B$5001,$A$5,BD!$X$3:$X$5001,"&lt;&gt;")=0,"",SUMIFS(BD!$X$3:$X$5001,BD!$A$3:$A$5001,J$3,BD!$B$3:$B$5001,$A$5)))</f>
        <v/>
      </c>
      <c r="K13" s="205" t="str">
        <f>IF(K$3="","",IF(COUNTIFS(BD!$A$3:$A$5001,K$3,BD!$B$3:$B$5001,$A$5,BD!$X$3:$X$5001,"&lt;&gt;")=0,"",SUMIFS(BD!$X$3:$X$5001,BD!$A$3:$A$5001,K$3,BD!$B$3:$B$5001,$A$5)))</f>
        <v/>
      </c>
      <c r="L13" s="205" t="str">
        <f>IF(L$3="","",IF(COUNTIFS(BD!$A$3:$A$5001,L$3,BD!$B$3:$B$5001,$A$5,BD!$X$3:$X$5001,"&lt;&gt;")=0,"",SUMIFS(BD!$X$3:$X$5001,BD!$A$3:$A$5001,L$3,BD!$B$3:$B$5001,$A$5)))</f>
        <v/>
      </c>
      <c r="M13" s="205" t="str">
        <f>IF(M$3="","",IF(COUNTIFS(BD!$A$3:$A$5001,M$3,BD!$B$3:$B$5001,$A$5,BD!$X$3:$X$5001,"&lt;&gt;")=0,"",SUMIFS(BD!$X$3:$X$5001,BD!$A$3:$A$5001,M$3,BD!$B$3:$B$5001,$A$5)))</f>
        <v/>
      </c>
      <c r="N13" s="205" t="str">
        <f>IF(N$3="","",IF(COUNTIFS(BD!$A$3:$A$5001,N$3,BD!$B$3:$B$5001,$A$5,BD!$X$3:$X$5001,"&lt;&gt;")=0,"",SUMIFS(BD!$X$3:$X$5001,BD!$A$3:$A$5001,N$3,BD!$B$3:$B$5001,$A$5)))</f>
        <v/>
      </c>
      <c r="O13" s="205" t="str">
        <f>IF(O$3="","",IF(COUNTIFS(BD!$A$3:$A$5001,O$3,BD!$B$3:$B$5001,$A$5,BD!$X$3:$X$5001,"&lt;&gt;")=0,"",SUMIFS(BD!$X$3:$X$5001,BD!$A$3:$A$5001,O$3,BD!$B$3:$B$5001,$A$5)))</f>
        <v/>
      </c>
      <c r="P13" s="205" t="str">
        <f>IF(P$3="","",IF(COUNTIFS(BD!$A$3:$A$5001,P$3,BD!$B$3:$B$5001,$A$5,BD!$X$3:$X$5001,"&lt;&gt;")=0,"",SUMIFS(BD!$X$3:$X$5001,BD!$A$3:$A$5001,P$3,BD!$B$3:$B$5001,$A$5)))</f>
        <v/>
      </c>
      <c r="Q13" s="205" t="str">
        <f>IF(Q$3="","",IF(COUNTIFS(BD!$A$3:$A$5001,Q$3,BD!$B$3:$B$5001,$A$5,BD!$X$3:$X$5001,"&lt;&gt;")=0,"",SUMIFS(BD!$X$3:$X$5001,BD!$A$3:$A$5001,Q$3,BD!$B$3:$B$5001,$A$5)))</f>
        <v/>
      </c>
      <c r="R13" s="205" t="str">
        <f>IF(R$3="","",IF(COUNTIFS(BD!$A$3:$A$5001,R$3,BD!$B$3:$B$5001,$A$5,BD!$X$3:$X$5001,"&lt;&gt;")=0,"",SUMIFS(BD!$X$3:$X$5001,BD!$A$3:$A$5001,R$3,BD!$B$3:$B$5001,$A$5)))</f>
        <v/>
      </c>
      <c r="S13" s="205" t="str">
        <f>IF(S$3="","",IF(COUNTIFS(BD!$A$3:$A$5001,S$3,BD!$B$3:$B$5001,$A$5,BD!$X$3:$X$5001,"&lt;&gt;")=0,"",SUMIFS(BD!$X$3:$X$5001,BD!$A$3:$A$5001,S$3,BD!$B$3:$B$5001,$A$5)))</f>
        <v/>
      </c>
      <c r="T13" s="205" t="str">
        <f>IF(T$3="","",IF(COUNTIFS(BD!$A$3:$A$5001,T$3,BD!$B$3:$B$5001,$A$5,BD!$X$3:$X$5001,"&lt;&gt;")=0,"",SUMIFS(BD!$X$3:$X$5001,BD!$A$3:$A$5001,T$3,BD!$B$3:$B$5001,$A$5)))</f>
        <v/>
      </c>
      <c r="U13" s="205" t="str">
        <f>IF(U$3="","",IF(COUNTIFS(BD!$A$3:$A$5001,U$3,BD!$B$3:$B$5001,$A$5,BD!$X$3:$X$5001,"&lt;&gt;")=0,"",SUMIFS(BD!$X$3:$X$5001,BD!$A$3:$A$5001,U$3,BD!$B$3:$B$5001,$A$5)))</f>
        <v/>
      </c>
      <c r="V13" s="205" t="str">
        <f>IF(V$3="","",IF(COUNTIFS(BD!$A$3:$A$5001,V$3,BD!$B$3:$B$5001,$A$5,BD!$X$3:$X$5001,"&lt;&gt;")=0,"",SUMIFS(BD!$X$3:$X$5001,BD!$A$3:$A$5001,V$3,BD!$B$3:$B$5001,$A$5)))</f>
        <v/>
      </c>
      <c r="W13" s="205" t="str">
        <f>IF(W$3="","",IF(COUNTIFS(BD!$A$3:$A$5001,W$3,BD!$B$3:$B$5001,$A$5,BD!$X$3:$X$5001,"&lt;&gt;")=0,"",SUMIFS(BD!$X$3:$X$5001,BD!$A$3:$A$5001,W$3,BD!$B$3:$B$5001,$A$5)))</f>
        <v/>
      </c>
      <c r="X13" s="205" t="str">
        <f>IF(X$3="","",IF(COUNTIFS(BD!$A$3:$A$5001,X$3,BD!$B$3:$B$5001,$A$5,BD!$X$3:$X$5001,"&lt;&gt;")=0,"",SUMIFS(BD!$X$3:$X$5001,BD!$A$3:$A$5001,X$3,BD!$B$3:$B$5001,$A$5)))</f>
        <v/>
      </c>
      <c r="Y13" s="205" t="str">
        <f>IF(Y$3="","",IF(COUNTIFS(BD!$A$3:$A$5001,Y$3,BD!$B$3:$B$5001,$A$5,BD!$X$3:$X$5001,"&lt;&gt;")=0,"",SUMIFS(BD!$X$3:$X$5001,BD!$A$3:$A$5001,Y$3,BD!$B$3:$B$5001,$A$5)))</f>
        <v/>
      </c>
      <c r="Z13" s="205" t="str">
        <f>IF(Z$3="","",IF(COUNTIFS(BD!$A$3:$A$5001,Z$3,BD!$B$3:$B$5001,$A$5,BD!$X$3:$X$5001,"&lt;&gt;")=0,"",SUMIFS(BD!$X$3:$X$5001,BD!$A$3:$A$5001,Z$3,BD!$B$3:$B$5001,$A$5)))</f>
        <v/>
      </c>
      <c r="AA13" s="205" t="str">
        <f>IF(AA$3="","",IF(COUNTIFS(BD!$A$3:$A$5001,AA$3,BD!$B$3:$B$5001,$A$5,BD!$X$3:$X$5001,"&lt;&gt;")=0,"",SUMIFS(BD!$X$3:$X$5001,BD!$A$3:$A$5001,AA$3,BD!$B$3:$B$5001,$A$5)))</f>
        <v/>
      </c>
      <c r="AB13" s="205" t="str">
        <f>IF(AB$3="","",IF(COUNTIFS(BD!$A$3:$A$5001,AB$3,BD!$B$3:$B$5001,$A$5,BD!$X$3:$X$5001,"&lt;&gt;")=0,"",SUMIFS(BD!$X$3:$X$5001,BD!$A$3:$A$5001,AB$3,BD!$B$3:$B$5001,$A$5)))</f>
        <v/>
      </c>
      <c r="AC13" s="205" t="str">
        <f>IF(AC$3="","",IF(COUNTIFS(BD!$A$3:$A$5001,AC$3,BD!$B$3:$B$5001,$A$5,BD!$X$3:$X$5001,"&lt;&gt;")=0,"",SUMIFS(BD!$X$3:$X$5001,BD!$A$3:$A$5001,AC$3,BD!$B$3:$B$5001,$A$5)))</f>
        <v/>
      </c>
      <c r="AD13" s="205" t="str">
        <f>IF(AD$3="","",IF(COUNTIFS(BD!$A$3:$A$5001,AD$3,BD!$B$3:$B$5001,$A$5,BD!$X$3:$X$5001,"&lt;&gt;")=0,"",SUMIFS(BD!$X$3:$X$5001,BD!$A$3:$A$5001,AD$3,BD!$B$3:$B$5001,$A$5)))</f>
        <v/>
      </c>
      <c r="AE13" s="205" t="str">
        <f>IF(AE$3="","",IF(COUNTIFS(BD!$A$3:$A$5001,AE$3,BD!$B$3:$B$5001,$A$5,BD!$X$3:$X$5001,"&lt;&gt;")=0,"",SUMIFS(BD!$X$3:$X$5001,BD!$A$3:$A$5001,AE$3,BD!$B$3:$B$5001,$A$5)))</f>
        <v/>
      </c>
      <c r="AF13" s="205" t="str">
        <f>IF(AF$3="","",IF(COUNTIFS(BD!$A$3:$A$5001,AF$3,BD!$B$3:$B$5001,$A$5,BD!$X$3:$X$5001,"&lt;&gt;")=0,"",SUMIFS(BD!$X$3:$X$5001,BD!$A$3:$A$5001,AF$3,BD!$B$3:$B$5001,$A$5)))</f>
        <v/>
      </c>
      <c r="AG13" s="205" t="str">
        <f>IF(AG$3="","",IF(COUNTIFS(BD!$A$3:$A$5001,AG$3,BD!$B$3:$B$5001,$A$5,BD!$X$3:$X$5001,"&lt;&gt;")=0,"",SUMIFS(BD!$X$3:$X$5001,BD!$A$3:$A$5001,AG$3,BD!$B$3:$B$5001,$A$5)))</f>
        <v/>
      </c>
      <c r="AH13" s="205" t="str">
        <f>IF(AH$3="","",IF(COUNTIFS(BD!$A$3:$A$5001,AH$3,BD!$B$3:$B$5001,$A$5,BD!$X$3:$X$5001,"&lt;&gt;")=0,"",SUMIFS(BD!$X$3:$X$5001,BD!$A$3:$A$5001,AH$3,BD!$B$3:$B$5001,$A$5)))</f>
        <v/>
      </c>
      <c r="AI13" s="205" t="str">
        <f>IF(AI$3="","",IF(COUNTIFS(BD!$A$3:$A$5001,AI$3,BD!$B$3:$B$5001,$A$5,BD!$X$3:$X$5001,"&lt;&gt;")=0,"",SUMIFS(BD!$X$3:$X$5001,BD!$A$3:$A$5001,AI$3,BD!$B$3:$B$5001,$A$5)))</f>
        <v/>
      </c>
      <c r="AJ13" s="206" t="str">
        <f>IF(AJ$3="","",IF(COUNTIFS(BD!$A$3:$A$5001,AJ$3,BD!$B$3:$B$5001,$A$5,BD!$X$3:$X$5001,"&lt;&gt;")=0,"",SUMIFS(BD!$X$3:$X$5001,BD!$A$3:$A$5001,AJ$3,BD!$B$3:$B$5001,$A$5)))</f>
        <v/>
      </c>
      <c r="AK13" s="207" t="str">
        <f>IFERROR(LOOKUP(9.99E+307,F13:AJ13),"")</f>
        <v/>
      </c>
    </row>
    <row r="14" ht="15.75" customHeight="1">
      <c r="A14" s="244"/>
      <c r="B14" s="233"/>
      <c r="C14" s="162" t="inlineStr">
        <is>
          <t xml:space="preserve">Taxa de Ocupação</t>
        </is>
      </c>
      <c r="D14" s="208" t="str">
        <f>IFERROR(1/(1/INDEX(BD!$AJ$45:$BD$45,MATCH($A$5,BD!$AJ$22:$BD$22,0))),"")</f>
        <v/>
      </c>
      <c r="E14" s="164"/>
      <c r="F14" s="209" t="str">
        <f>IF(AND(ISNUMBER(F12),ISNUMBER(F13)),IF(F12&gt;0,F13/F12,""),"")</f>
        <v/>
      </c>
      <c r="G14" s="210" t="str">
        <f>IF(AND(ISNUMBER(G12),ISNUMBER(G13)),IF(G12&gt;0,G13/G12,""),"")</f>
        <v/>
      </c>
      <c r="H14" s="210" t="str">
        <f>IF(AND(ISNUMBER(H12),ISNUMBER(H13)),IF(H12&gt;0,H13/H12,""),"")</f>
        <v/>
      </c>
      <c r="I14" s="210" t="str">
        <f>IF(AND(ISNUMBER(I12),ISNUMBER(I13)),IF(I12&gt;0,I13/I12,""),"")</f>
        <v/>
      </c>
      <c r="J14" s="210" t="str">
        <f>IF(AND(ISNUMBER(J12),ISNUMBER(J13)),IF(J12&gt;0,J13/J12,""),"")</f>
        <v/>
      </c>
      <c r="K14" s="210" t="str">
        <f>IF(AND(ISNUMBER(K12),ISNUMBER(K13)),IF(K12&gt;0,K13/K12,""),"")</f>
        <v/>
      </c>
      <c r="L14" s="210" t="str">
        <f>IF(AND(ISNUMBER(L12),ISNUMBER(L13)),IF(L12&gt;0,L13/L12,""),"")</f>
        <v/>
      </c>
      <c r="M14" s="210" t="str">
        <f>IF(AND(ISNUMBER(M12),ISNUMBER(M13)),IF(M12&gt;0,M13/M12,""),"")</f>
        <v/>
      </c>
      <c r="N14" s="210" t="str">
        <f>IF(AND(ISNUMBER(N12),ISNUMBER(N13)),IF(N12&gt;0,N13/N12,""),"")</f>
        <v/>
      </c>
      <c r="O14" s="210" t="str">
        <f>IF(AND(ISNUMBER(O12),ISNUMBER(O13)),IF(O12&gt;0,O13/O12,""),"")</f>
        <v/>
      </c>
      <c r="P14" s="210" t="str">
        <f>IF(AND(ISNUMBER(P12),ISNUMBER(P13)),IF(P12&gt;0,P13/P12,""),"")</f>
        <v/>
      </c>
      <c r="Q14" s="210" t="str">
        <f>IF(AND(ISNUMBER(Q12),ISNUMBER(Q13)),IF(Q12&gt;0,Q13/Q12,""),"")</f>
        <v/>
      </c>
      <c r="R14" s="210" t="str">
        <f>IF(AND(ISNUMBER(R12),ISNUMBER(R13)),IF(R12&gt;0,R13/R12,""),"")</f>
        <v/>
      </c>
      <c r="S14" s="210" t="str">
        <f>IF(AND(ISNUMBER(S12),ISNUMBER(S13)),IF(S12&gt;0,S13/S12,""),"")</f>
        <v/>
      </c>
      <c r="T14" s="210" t="str">
        <f>IF(AND(ISNUMBER(T12),ISNUMBER(T13)),IF(T12&gt;0,T13/T12,""),"")</f>
        <v/>
      </c>
      <c r="U14" s="210" t="str">
        <f>IF(AND(ISNUMBER(U12),ISNUMBER(U13)),IF(U12&gt;0,U13/U12,""),"")</f>
        <v/>
      </c>
      <c r="V14" s="210" t="str">
        <f>IF(AND(ISNUMBER(V12),ISNUMBER(V13)),IF(V12&gt;0,V13/V12,""),"")</f>
        <v/>
      </c>
      <c r="W14" s="210" t="str">
        <f>IF(AND(ISNUMBER(W12),ISNUMBER(W13)),IF(W12&gt;0,W13/W12,""),"")</f>
        <v/>
      </c>
      <c r="X14" s="210" t="str">
        <f>IF(AND(ISNUMBER(X12),ISNUMBER(X13)),IF(X12&gt;0,X13/X12,""),"")</f>
        <v/>
      </c>
      <c r="Y14" s="210" t="str">
        <f>IF(AND(ISNUMBER(Y12),ISNUMBER(Y13)),IF(Y12&gt;0,Y13/Y12,""),"")</f>
        <v/>
      </c>
      <c r="Z14" s="210" t="str">
        <f>IF(AND(ISNUMBER(Z12),ISNUMBER(Z13)),IF(Z12&gt;0,Z13/Z12,""),"")</f>
        <v/>
      </c>
      <c r="AA14" s="210" t="str">
        <f>IF(AND(ISNUMBER(AA12),ISNUMBER(AA13)),IF(AA12&gt;0,AA13/AA12,""),"")</f>
        <v/>
      </c>
      <c r="AB14" s="210" t="str">
        <f>IF(AND(ISNUMBER(AB12),ISNUMBER(AB13)),IF(AB12&gt;0,AB13/AB12,""),"")</f>
        <v/>
      </c>
      <c r="AC14" s="210" t="str">
        <f>IF(AND(ISNUMBER(AC12),ISNUMBER(AC13)),IF(AC12&gt;0,AC13/AC12,""),"")</f>
        <v/>
      </c>
      <c r="AD14" s="210" t="str">
        <f>IF(AND(ISNUMBER(AD12),ISNUMBER(AD13)),IF(AD12&gt;0,AD13/AD12,""),"")</f>
        <v/>
      </c>
      <c r="AE14" s="210" t="str">
        <f>IF(AND(ISNUMBER(AE12),ISNUMBER(AE13)),IF(AE12&gt;0,AE13/AE12,""),"")</f>
        <v/>
      </c>
      <c r="AF14" s="210" t="str">
        <f>IF(AND(ISNUMBER(AF12),ISNUMBER(AF13)),IF(AF12&gt;0,AF13/AF12,""),"")</f>
        <v/>
      </c>
      <c r="AG14" s="210" t="str">
        <f>IF(AND(ISNUMBER(AG12),ISNUMBER(AG13)),IF(AG12&gt;0,AG13/AG12,""),"")</f>
        <v/>
      </c>
      <c r="AH14" s="210" t="str">
        <f>IF(AND(ISNUMBER(AH12),ISNUMBER(AH13)),IF(AH12&gt;0,AH13/AH12,""),"")</f>
        <v/>
      </c>
      <c r="AI14" s="210" t="str">
        <f>IF(AND(ISNUMBER(AI12),ISNUMBER(AI13)),IF(AI12&gt;0,AI13/AI12,""),"")</f>
        <v/>
      </c>
      <c r="AJ14" s="211" t="str">
        <f>IF(AND(ISNUMBER(AJ12),ISNUMBER(AJ13)),IF(AJ12&gt;0,AJ13/AJ12,""),"")</f>
        <v/>
      </c>
      <c r="AK14" s="208" t="str">
        <f>IF(AND(ISNUMBER(AK12),ISNUMBER(AK13)),IF(AK12&gt;0,AK13/AK12,""),"")</f>
        <v/>
      </c>
    </row>
    <row r="15" ht="15.75" customHeight="1">
      <c r="A15" s="244"/>
      <c r="B15" s="240" t="inlineStr">
        <is>
          <t xml:space="preserve">GENTE</t>
        </is>
      </c>
      <c r="C15" s="212" t="inlineStr">
        <is>
          <t xml:space="preserve">Efetivo Op.</t>
        </is>
      </c>
      <c r="D15" s="213" t="str">
        <f>IFERROR(1/(1/INDEX(BD!$AJ$46:$BD$46,MATCH($A$5,BD!$AJ$22:$BD$22,0))),"")</f>
        <v/>
      </c>
      <c r="E15" s="214"/>
      <c r="F15" s="215" t="str">
        <f>IF(F$3="","",IF(COUNTIFS(BD!$A$3:$A$5001,F$3,BD!$B$3:$B$5001,$A$5,BD!$Y$3:$Y$5001,"&lt;&gt;")=0,"",SUMIFS(BD!$Y$3:$Y$5001,BD!$A$3:$A$5001,F$3,BD!$B$3:$B$5001,$A$5)))</f>
        <v/>
      </c>
      <c r="G15" s="216" t="str">
        <f>IF(G$3="","",IF(COUNTIFS(BD!$A$3:$A$5001,G$3,BD!$B$3:$B$5001,$A$5,BD!$Y$3:$Y$5001,"&lt;&gt;")=0,"",SUMIFS(BD!$Y$3:$Y$5001,BD!$A$3:$A$5001,G$3,BD!$B$3:$B$5001,$A$5)))</f>
        <v/>
      </c>
      <c r="H15" s="216" t="str">
        <f>IF(H$3="","",IF(COUNTIFS(BD!$A$3:$A$5001,H$3,BD!$B$3:$B$5001,$A$5,BD!$Y$3:$Y$5001,"&lt;&gt;")=0,"",SUMIFS(BD!$Y$3:$Y$5001,BD!$A$3:$A$5001,H$3,BD!$B$3:$B$5001,$A$5)))</f>
        <v/>
      </c>
      <c r="I15" s="216" t="str">
        <f>IF(I$3="","",IF(COUNTIFS(BD!$A$3:$A$5001,I$3,BD!$B$3:$B$5001,$A$5,BD!$Y$3:$Y$5001,"&lt;&gt;")=0,"",SUMIFS(BD!$Y$3:$Y$5001,BD!$A$3:$A$5001,I$3,BD!$B$3:$B$5001,$A$5)))</f>
        <v/>
      </c>
      <c r="J15" s="216" t="str">
        <f>IF(J$3="","",IF(COUNTIFS(BD!$A$3:$A$5001,J$3,BD!$B$3:$B$5001,$A$5,BD!$Y$3:$Y$5001,"&lt;&gt;")=0,"",SUMIFS(BD!$Y$3:$Y$5001,BD!$A$3:$A$5001,J$3,BD!$B$3:$B$5001,$A$5)))</f>
        <v/>
      </c>
      <c r="K15" s="216" t="str">
        <f>IF(K$3="","",IF(COUNTIFS(BD!$A$3:$A$5001,K$3,BD!$B$3:$B$5001,$A$5,BD!$Y$3:$Y$5001,"&lt;&gt;")=0,"",SUMIFS(BD!$Y$3:$Y$5001,BD!$A$3:$A$5001,K$3,BD!$B$3:$B$5001,$A$5)))</f>
        <v/>
      </c>
      <c r="L15" s="216" t="str">
        <f>IF(L$3="","",IF(COUNTIFS(BD!$A$3:$A$5001,L$3,BD!$B$3:$B$5001,$A$5,BD!$Y$3:$Y$5001,"&lt;&gt;")=0,"",SUMIFS(BD!$Y$3:$Y$5001,BD!$A$3:$A$5001,L$3,BD!$B$3:$B$5001,$A$5)))</f>
        <v/>
      </c>
      <c r="M15" s="216" t="str">
        <f>IF(M$3="","",IF(COUNTIFS(BD!$A$3:$A$5001,M$3,BD!$B$3:$B$5001,$A$5,BD!$Y$3:$Y$5001,"&lt;&gt;")=0,"",SUMIFS(BD!$Y$3:$Y$5001,BD!$A$3:$A$5001,M$3,BD!$B$3:$B$5001,$A$5)))</f>
        <v/>
      </c>
      <c r="N15" s="216" t="str">
        <f>IF(N$3="","",IF(COUNTIFS(BD!$A$3:$A$5001,N$3,BD!$B$3:$B$5001,$A$5,BD!$Y$3:$Y$5001,"&lt;&gt;")=0,"",SUMIFS(BD!$Y$3:$Y$5001,BD!$A$3:$A$5001,N$3,BD!$B$3:$B$5001,$A$5)))</f>
        <v/>
      </c>
      <c r="O15" s="216" t="str">
        <f>IF(O$3="","",IF(COUNTIFS(BD!$A$3:$A$5001,O$3,BD!$B$3:$B$5001,$A$5,BD!$Y$3:$Y$5001,"&lt;&gt;")=0,"",SUMIFS(BD!$Y$3:$Y$5001,BD!$A$3:$A$5001,O$3,BD!$B$3:$B$5001,$A$5)))</f>
        <v/>
      </c>
      <c r="P15" s="216" t="str">
        <f>IF(P$3="","",IF(COUNTIFS(BD!$A$3:$A$5001,P$3,BD!$B$3:$B$5001,$A$5,BD!$Y$3:$Y$5001,"&lt;&gt;")=0,"",SUMIFS(BD!$Y$3:$Y$5001,BD!$A$3:$A$5001,P$3,BD!$B$3:$B$5001,$A$5)))</f>
        <v/>
      </c>
      <c r="Q15" s="216" t="str">
        <f>IF(Q$3="","",IF(COUNTIFS(BD!$A$3:$A$5001,Q$3,BD!$B$3:$B$5001,$A$5,BD!$Y$3:$Y$5001,"&lt;&gt;")=0,"",SUMIFS(BD!$Y$3:$Y$5001,BD!$A$3:$A$5001,Q$3,BD!$B$3:$B$5001,$A$5)))</f>
        <v/>
      </c>
      <c r="R15" s="216" t="str">
        <f>IF(R$3="","",IF(COUNTIFS(BD!$A$3:$A$5001,R$3,BD!$B$3:$B$5001,$A$5,BD!$Y$3:$Y$5001,"&lt;&gt;")=0,"",SUMIFS(BD!$Y$3:$Y$5001,BD!$A$3:$A$5001,R$3,BD!$B$3:$B$5001,$A$5)))</f>
        <v/>
      </c>
      <c r="S15" s="216" t="str">
        <f>IF(S$3="","",IF(COUNTIFS(BD!$A$3:$A$5001,S$3,BD!$B$3:$B$5001,$A$5,BD!$Y$3:$Y$5001,"&lt;&gt;")=0,"",SUMIFS(BD!$Y$3:$Y$5001,BD!$A$3:$A$5001,S$3,BD!$B$3:$B$5001,$A$5)))</f>
        <v/>
      </c>
      <c r="T15" s="216" t="str">
        <f>IF(T$3="","",IF(COUNTIFS(BD!$A$3:$A$5001,T$3,BD!$B$3:$B$5001,$A$5,BD!$Y$3:$Y$5001,"&lt;&gt;")=0,"",SUMIFS(BD!$Y$3:$Y$5001,BD!$A$3:$A$5001,T$3,BD!$B$3:$B$5001,$A$5)))</f>
        <v/>
      </c>
      <c r="U15" s="216" t="str">
        <f>IF(U$3="","",IF(COUNTIFS(BD!$A$3:$A$5001,U$3,BD!$B$3:$B$5001,$A$5,BD!$Y$3:$Y$5001,"&lt;&gt;")=0,"",SUMIFS(BD!$Y$3:$Y$5001,BD!$A$3:$A$5001,U$3,BD!$B$3:$B$5001,$A$5)))</f>
        <v/>
      </c>
      <c r="V15" s="216" t="str">
        <f>IF(V$3="","",IF(COUNTIFS(BD!$A$3:$A$5001,V$3,BD!$B$3:$B$5001,$A$5,BD!$Y$3:$Y$5001,"&lt;&gt;")=0,"",SUMIFS(BD!$Y$3:$Y$5001,BD!$A$3:$A$5001,V$3,BD!$B$3:$B$5001,$A$5)))</f>
        <v/>
      </c>
      <c r="W15" s="216" t="str">
        <f>IF(W$3="","",IF(COUNTIFS(BD!$A$3:$A$5001,W$3,BD!$B$3:$B$5001,$A$5,BD!$Y$3:$Y$5001,"&lt;&gt;")=0,"",SUMIFS(BD!$Y$3:$Y$5001,BD!$A$3:$A$5001,W$3,BD!$B$3:$B$5001,$A$5)))</f>
        <v/>
      </c>
      <c r="X15" s="216" t="str">
        <f>IF(X$3="","",IF(COUNTIFS(BD!$A$3:$A$5001,X$3,BD!$B$3:$B$5001,$A$5,BD!$Y$3:$Y$5001,"&lt;&gt;")=0,"",SUMIFS(BD!$Y$3:$Y$5001,BD!$A$3:$A$5001,X$3,BD!$B$3:$B$5001,$A$5)))</f>
        <v/>
      </c>
      <c r="Y15" s="216" t="str">
        <f>IF(Y$3="","",IF(COUNTIFS(BD!$A$3:$A$5001,Y$3,BD!$B$3:$B$5001,$A$5,BD!$Y$3:$Y$5001,"&lt;&gt;")=0,"",SUMIFS(BD!$Y$3:$Y$5001,BD!$A$3:$A$5001,Y$3,BD!$B$3:$B$5001,$A$5)))</f>
        <v/>
      </c>
      <c r="Z15" s="216" t="str">
        <f>IF(Z$3="","",IF(COUNTIFS(BD!$A$3:$A$5001,Z$3,BD!$B$3:$B$5001,$A$5,BD!$Y$3:$Y$5001,"&lt;&gt;")=0,"",SUMIFS(BD!$Y$3:$Y$5001,BD!$A$3:$A$5001,Z$3,BD!$B$3:$B$5001,$A$5)))</f>
        <v/>
      </c>
      <c r="AA15" s="216" t="str">
        <f>IF(AA$3="","",IF(COUNTIFS(BD!$A$3:$A$5001,AA$3,BD!$B$3:$B$5001,$A$5,BD!$Y$3:$Y$5001,"&lt;&gt;")=0,"",SUMIFS(BD!$Y$3:$Y$5001,BD!$A$3:$A$5001,AA$3,BD!$B$3:$B$5001,$A$5)))</f>
        <v/>
      </c>
      <c r="AB15" s="216" t="str">
        <f>IF(AB$3="","",IF(COUNTIFS(BD!$A$3:$A$5001,AB$3,BD!$B$3:$B$5001,$A$5,BD!$Y$3:$Y$5001,"&lt;&gt;")=0,"",SUMIFS(BD!$Y$3:$Y$5001,BD!$A$3:$A$5001,AB$3,BD!$B$3:$B$5001,$A$5)))</f>
        <v/>
      </c>
      <c r="AC15" s="216" t="str">
        <f>IF(AC$3="","",IF(COUNTIFS(BD!$A$3:$A$5001,AC$3,BD!$B$3:$B$5001,$A$5,BD!$Y$3:$Y$5001,"&lt;&gt;")=0,"",SUMIFS(BD!$Y$3:$Y$5001,BD!$A$3:$A$5001,AC$3,BD!$B$3:$B$5001,$A$5)))</f>
        <v/>
      </c>
      <c r="AD15" s="216" t="str">
        <f>IF(AD$3="","",IF(COUNTIFS(BD!$A$3:$A$5001,AD$3,BD!$B$3:$B$5001,$A$5,BD!$Y$3:$Y$5001,"&lt;&gt;")=0,"",SUMIFS(BD!$Y$3:$Y$5001,BD!$A$3:$A$5001,AD$3,BD!$B$3:$B$5001,$A$5)))</f>
        <v/>
      </c>
      <c r="AE15" s="216" t="str">
        <f>IF(AE$3="","",IF(COUNTIFS(BD!$A$3:$A$5001,AE$3,BD!$B$3:$B$5001,$A$5,BD!$Y$3:$Y$5001,"&lt;&gt;")=0,"",SUMIFS(BD!$Y$3:$Y$5001,BD!$A$3:$A$5001,AE$3,BD!$B$3:$B$5001,$A$5)))</f>
        <v/>
      </c>
      <c r="AF15" s="216" t="str">
        <f>IF(AF$3="","",IF(COUNTIFS(BD!$A$3:$A$5001,AF$3,BD!$B$3:$B$5001,$A$5,BD!$Y$3:$Y$5001,"&lt;&gt;")=0,"",SUMIFS(BD!$Y$3:$Y$5001,BD!$A$3:$A$5001,AF$3,BD!$B$3:$B$5001,$A$5)))</f>
        <v/>
      </c>
      <c r="AG15" s="216" t="str">
        <f>IF(AG$3="","",IF(COUNTIFS(BD!$A$3:$A$5001,AG$3,BD!$B$3:$B$5001,$A$5,BD!$Y$3:$Y$5001,"&lt;&gt;")=0,"",SUMIFS(BD!$Y$3:$Y$5001,BD!$A$3:$A$5001,AG$3,BD!$B$3:$B$5001,$A$5)))</f>
        <v/>
      </c>
      <c r="AH15" s="216" t="str">
        <f>IF(AH$3="","",IF(COUNTIFS(BD!$A$3:$A$5001,AH$3,BD!$B$3:$B$5001,$A$5,BD!$Y$3:$Y$5001,"&lt;&gt;")=0,"",SUMIFS(BD!$Y$3:$Y$5001,BD!$A$3:$A$5001,AH$3,BD!$B$3:$B$5001,$A$5)))</f>
        <v/>
      </c>
      <c r="AI15" s="216" t="str">
        <f>IF(AI$3="","",IF(COUNTIFS(BD!$A$3:$A$5001,AI$3,BD!$B$3:$B$5001,$A$5,BD!$Y$3:$Y$5001,"&lt;&gt;")=0,"",SUMIFS(BD!$Y$3:$Y$5001,BD!$A$3:$A$5001,AI$3,BD!$B$3:$B$5001,$A$5)))</f>
        <v/>
      </c>
      <c r="AJ15" s="217" t="str">
        <f>IF(AJ$3="","",IF(COUNTIFS(BD!$A$3:$A$5001,AJ$3,BD!$B$3:$B$5001,$A$5,BD!$Y$3:$Y$5001,"&lt;&gt;")=0,"",SUMIFS(BD!$Y$3:$Y$5001,BD!$A$3:$A$5001,AJ$3,BD!$B$3:$B$5001,$A$5)))</f>
        <v/>
      </c>
      <c r="AK15" s="218" t="str">
        <f>IFERROR(LOOKUP(9.99E+307,F15:AJ15),"")</f>
        <v/>
      </c>
    </row>
    <row r="16" ht="15.75" customHeight="1">
      <c r="A16" s="244"/>
      <c r="B16" s="241"/>
      <c r="C16" s="219" t="inlineStr">
        <is>
          <t xml:space="preserve">Falta</t>
        </is>
      </c>
      <c r="D16" s="220" t="str">
        <f>IFERROR(1/(1/INDEX(BD!$AJ$47:$BD$47,MATCH($A$5,BD!$AJ$22:$BD$22,0))),"")</f>
        <v/>
      </c>
      <c r="E16" s="221"/>
      <c r="F16" s="222" t="str">
        <f>IF(F$3="","",IF(COUNTIFS(BD!$A$3:$A$5001,F$3,BD!$B$3:$B$5001,$A$5,BD!$Z$3:$Z$5001,"&lt;&gt;")=0,"",SUMIFS(BD!$Z$3:$Z$5001,BD!$A$3:$A$5001,F$3,BD!$B$3:$B$5001,$A$5)))</f>
        <v/>
      </c>
      <c r="G16" s="223" t="str">
        <f>IF(G$3="","",IF(COUNTIFS(BD!$A$3:$A$5001,G$3,BD!$B$3:$B$5001,$A$5,BD!$Z$3:$Z$5001,"&lt;&gt;")=0,"",SUMIFS(BD!$Z$3:$Z$5001,BD!$A$3:$A$5001,G$3,BD!$B$3:$B$5001,$A$5)))</f>
        <v/>
      </c>
      <c r="H16" s="223" t="str">
        <f>IF(H$3="","",IF(COUNTIFS(BD!$A$3:$A$5001,H$3,BD!$B$3:$B$5001,$A$5,BD!$Z$3:$Z$5001,"&lt;&gt;")=0,"",SUMIFS(BD!$Z$3:$Z$5001,BD!$A$3:$A$5001,H$3,BD!$B$3:$B$5001,$A$5)))</f>
        <v/>
      </c>
      <c r="I16" s="223" t="str">
        <f>IF(I$3="","",IF(COUNTIFS(BD!$A$3:$A$5001,I$3,BD!$B$3:$B$5001,$A$5,BD!$Z$3:$Z$5001,"&lt;&gt;")=0,"",SUMIFS(BD!$Z$3:$Z$5001,BD!$A$3:$A$5001,I$3,BD!$B$3:$B$5001,$A$5)))</f>
        <v/>
      </c>
      <c r="J16" s="223" t="str">
        <f>IF(J$3="","",IF(COUNTIFS(BD!$A$3:$A$5001,J$3,BD!$B$3:$B$5001,$A$5,BD!$Z$3:$Z$5001,"&lt;&gt;")=0,"",SUMIFS(BD!$Z$3:$Z$5001,BD!$A$3:$A$5001,J$3,BD!$B$3:$B$5001,$A$5)))</f>
        <v/>
      </c>
      <c r="K16" s="223" t="str">
        <f>IF(K$3="","",IF(COUNTIFS(BD!$A$3:$A$5001,K$3,BD!$B$3:$B$5001,$A$5,BD!$Z$3:$Z$5001,"&lt;&gt;")=0,"",SUMIFS(BD!$Z$3:$Z$5001,BD!$A$3:$A$5001,K$3,BD!$B$3:$B$5001,$A$5)))</f>
        <v/>
      </c>
      <c r="L16" s="223" t="str">
        <f>IF(L$3="","",IF(COUNTIFS(BD!$A$3:$A$5001,L$3,BD!$B$3:$B$5001,$A$5,BD!$Z$3:$Z$5001,"&lt;&gt;")=0,"",SUMIFS(BD!$Z$3:$Z$5001,BD!$A$3:$A$5001,L$3,BD!$B$3:$B$5001,$A$5)))</f>
        <v/>
      </c>
      <c r="M16" s="223" t="str">
        <f>IF(M$3="","",IF(COUNTIFS(BD!$A$3:$A$5001,M$3,BD!$B$3:$B$5001,$A$5,BD!$Z$3:$Z$5001,"&lt;&gt;")=0,"",SUMIFS(BD!$Z$3:$Z$5001,BD!$A$3:$A$5001,M$3,BD!$B$3:$B$5001,$A$5)))</f>
        <v/>
      </c>
      <c r="N16" s="223" t="str">
        <f>IF(N$3="","",IF(COUNTIFS(BD!$A$3:$A$5001,N$3,BD!$B$3:$B$5001,$A$5,BD!$Z$3:$Z$5001,"&lt;&gt;")=0,"",SUMIFS(BD!$Z$3:$Z$5001,BD!$A$3:$A$5001,N$3,BD!$B$3:$B$5001,$A$5)))</f>
        <v/>
      </c>
      <c r="O16" s="223" t="str">
        <f>IF(O$3="","",IF(COUNTIFS(BD!$A$3:$A$5001,O$3,BD!$B$3:$B$5001,$A$5,BD!$Z$3:$Z$5001,"&lt;&gt;")=0,"",SUMIFS(BD!$Z$3:$Z$5001,BD!$A$3:$A$5001,O$3,BD!$B$3:$B$5001,$A$5)))</f>
        <v/>
      </c>
      <c r="P16" s="223" t="str">
        <f>IF(P$3="","",IF(COUNTIFS(BD!$A$3:$A$5001,P$3,BD!$B$3:$B$5001,$A$5,BD!$Z$3:$Z$5001,"&lt;&gt;")=0,"",SUMIFS(BD!$Z$3:$Z$5001,BD!$A$3:$A$5001,P$3,BD!$B$3:$B$5001,$A$5)))</f>
        <v/>
      </c>
      <c r="Q16" s="223" t="str">
        <f>IF(Q$3="","",IF(COUNTIFS(BD!$A$3:$A$5001,Q$3,BD!$B$3:$B$5001,$A$5,BD!$Z$3:$Z$5001,"&lt;&gt;")=0,"",SUMIFS(BD!$Z$3:$Z$5001,BD!$A$3:$A$5001,Q$3,BD!$B$3:$B$5001,$A$5)))</f>
        <v/>
      </c>
      <c r="R16" s="223" t="str">
        <f>IF(R$3="","",IF(COUNTIFS(BD!$A$3:$A$5001,R$3,BD!$B$3:$B$5001,$A$5,BD!$Z$3:$Z$5001,"&lt;&gt;")=0,"",SUMIFS(BD!$Z$3:$Z$5001,BD!$A$3:$A$5001,R$3,BD!$B$3:$B$5001,$A$5)))</f>
        <v/>
      </c>
      <c r="S16" s="223" t="str">
        <f>IF(S$3="","",IF(COUNTIFS(BD!$A$3:$A$5001,S$3,BD!$B$3:$B$5001,$A$5,BD!$Z$3:$Z$5001,"&lt;&gt;")=0,"",SUMIFS(BD!$Z$3:$Z$5001,BD!$A$3:$A$5001,S$3,BD!$B$3:$B$5001,$A$5)))</f>
        <v/>
      </c>
      <c r="T16" s="223" t="str">
        <f>IF(T$3="","",IF(COUNTIFS(BD!$A$3:$A$5001,T$3,BD!$B$3:$B$5001,$A$5,BD!$Z$3:$Z$5001,"&lt;&gt;")=0,"",SUMIFS(BD!$Z$3:$Z$5001,BD!$A$3:$A$5001,T$3,BD!$B$3:$B$5001,$A$5)))</f>
        <v/>
      </c>
      <c r="U16" s="223" t="str">
        <f>IF(U$3="","",IF(COUNTIFS(BD!$A$3:$A$5001,U$3,BD!$B$3:$B$5001,$A$5,BD!$Z$3:$Z$5001,"&lt;&gt;")=0,"",SUMIFS(BD!$Z$3:$Z$5001,BD!$A$3:$A$5001,U$3,BD!$B$3:$B$5001,$A$5)))</f>
        <v/>
      </c>
      <c r="V16" s="223" t="str">
        <f>IF(V$3="","",IF(COUNTIFS(BD!$A$3:$A$5001,V$3,BD!$B$3:$B$5001,$A$5,BD!$Z$3:$Z$5001,"&lt;&gt;")=0,"",SUMIFS(BD!$Z$3:$Z$5001,BD!$A$3:$A$5001,V$3,BD!$B$3:$B$5001,$A$5)))</f>
        <v/>
      </c>
      <c r="W16" s="223" t="str">
        <f>IF(W$3="","",IF(COUNTIFS(BD!$A$3:$A$5001,W$3,BD!$B$3:$B$5001,$A$5,BD!$Z$3:$Z$5001,"&lt;&gt;")=0,"",SUMIFS(BD!$Z$3:$Z$5001,BD!$A$3:$A$5001,W$3,BD!$B$3:$B$5001,$A$5)))</f>
        <v/>
      </c>
      <c r="X16" s="223" t="str">
        <f>IF(X$3="","",IF(COUNTIFS(BD!$A$3:$A$5001,X$3,BD!$B$3:$B$5001,$A$5,BD!$Z$3:$Z$5001,"&lt;&gt;")=0,"",SUMIFS(BD!$Z$3:$Z$5001,BD!$A$3:$A$5001,X$3,BD!$B$3:$B$5001,$A$5)))</f>
        <v/>
      </c>
      <c r="Y16" s="223" t="str">
        <f>IF(Y$3="","",IF(COUNTIFS(BD!$A$3:$A$5001,Y$3,BD!$B$3:$B$5001,$A$5,BD!$Z$3:$Z$5001,"&lt;&gt;")=0,"",SUMIFS(BD!$Z$3:$Z$5001,BD!$A$3:$A$5001,Y$3,BD!$B$3:$B$5001,$A$5)))</f>
        <v/>
      </c>
      <c r="Z16" s="223" t="str">
        <f>IF(Z$3="","",IF(COUNTIFS(BD!$A$3:$A$5001,Z$3,BD!$B$3:$B$5001,$A$5,BD!$Z$3:$Z$5001,"&lt;&gt;")=0,"",SUMIFS(BD!$Z$3:$Z$5001,BD!$A$3:$A$5001,Z$3,BD!$B$3:$B$5001,$A$5)))</f>
        <v/>
      </c>
      <c r="AA16" s="223" t="str">
        <f>IF(AA$3="","",IF(COUNTIFS(BD!$A$3:$A$5001,AA$3,BD!$B$3:$B$5001,$A$5,BD!$Z$3:$Z$5001,"&lt;&gt;")=0,"",SUMIFS(BD!$Z$3:$Z$5001,BD!$A$3:$A$5001,AA$3,BD!$B$3:$B$5001,$A$5)))</f>
        <v/>
      </c>
      <c r="AB16" s="223" t="str">
        <f>IF(AB$3="","",IF(COUNTIFS(BD!$A$3:$A$5001,AB$3,BD!$B$3:$B$5001,$A$5,BD!$Z$3:$Z$5001,"&lt;&gt;")=0,"",SUMIFS(BD!$Z$3:$Z$5001,BD!$A$3:$A$5001,AB$3,BD!$B$3:$B$5001,$A$5)))</f>
        <v/>
      </c>
      <c r="AC16" s="223" t="str">
        <f>IF(AC$3="","",IF(COUNTIFS(BD!$A$3:$A$5001,AC$3,BD!$B$3:$B$5001,$A$5,BD!$Z$3:$Z$5001,"&lt;&gt;")=0,"",SUMIFS(BD!$Z$3:$Z$5001,BD!$A$3:$A$5001,AC$3,BD!$B$3:$B$5001,$A$5)))</f>
        <v/>
      </c>
      <c r="AD16" s="223" t="str">
        <f>IF(AD$3="","",IF(COUNTIFS(BD!$A$3:$A$5001,AD$3,BD!$B$3:$B$5001,$A$5,BD!$Z$3:$Z$5001,"&lt;&gt;")=0,"",SUMIFS(BD!$Z$3:$Z$5001,BD!$A$3:$A$5001,AD$3,BD!$B$3:$B$5001,$A$5)))</f>
        <v/>
      </c>
      <c r="AE16" s="223" t="str">
        <f>IF(AE$3="","",IF(COUNTIFS(BD!$A$3:$A$5001,AE$3,BD!$B$3:$B$5001,$A$5,BD!$Z$3:$Z$5001,"&lt;&gt;")=0,"",SUMIFS(BD!$Z$3:$Z$5001,BD!$A$3:$A$5001,AE$3,BD!$B$3:$B$5001,$A$5)))</f>
        <v/>
      </c>
      <c r="AF16" s="223" t="str">
        <f>IF(AF$3="","",IF(COUNTIFS(BD!$A$3:$A$5001,AF$3,BD!$B$3:$B$5001,$A$5,BD!$Z$3:$Z$5001,"&lt;&gt;")=0,"",SUMIFS(BD!$Z$3:$Z$5001,BD!$A$3:$A$5001,AF$3,BD!$B$3:$B$5001,$A$5)))</f>
        <v/>
      </c>
      <c r="AG16" s="223" t="str">
        <f>IF(AG$3="","",IF(COUNTIFS(BD!$A$3:$A$5001,AG$3,BD!$B$3:$B$5001,$A$5,BD!$Z$3:$Z$5001,"&lt;&gt;")=0,"",SUMIFS(BD!$Z$3:$Z$5001,BD!$A$3:$A$5001,AG$3,BD!$B$3:$B$5001,$A$5)))</f>
        <v/>
      </c>
      <c r="AH16" s="223" t="str">
        <f>IF(AH$3="","",IF(COUNTIFS(BD!$A$3:$A$5001,AH$3,BD!$B$3:$B$5001,$A$5,BD!$Z$3:$Z$5001,"&lt;&gt;")=0,"",SUMIFS(BD!$Z$3:$Z$5001,BD!$A$3:$A$5001,AH$3,BD!$B$3:$B$5001,$A$5)))</f>
        <v/>
      </c>
      <c r="AI16" s="223" t="str">
        <f>IF(AI$3="","",IF(COUNTIFS(BD!$A$3:$A$5001,AI$3,BD!$B$3:$B$5001,$A$5,BD!$Z$3:$Z$5001,"&lt;&gt;")=0,"",SUMIFS(BD!$Z$3:$Z$5001,BD!$A$3:$A$5001,AI$3,BD!$B$3:$B$5001,$A$5)))</f>
        <v/>
      </c>
      <c r="AJ16" s="224" t="str">
        <f>IF(AJ$3="","",IF(COUNTIFS(BD!$A$3:$A$5001,AJ$3,BD!$B$3:$B$5001,$A$5,BD!$Z$3:$Z$5001,"&lt;&gt;")=0,"",SUMIFS(BD!$Z$3:$Z$5001,BD!$A$3:$A$5001,AJ$3,BD!$B$3:$B$5001,$A$5)))</f>
        <v/>
      </c>
      <c r="AK16" s="225" t="str">
        <f>IF(COUNT(F16:AJ16)=0,"",SUM(F16:AJ16))</f>
        <v/>
      </c>
    </row>
    <row r="17" ht="15.75" customHeight="1">
      <c r="A17" s="244"/>
      <c r="B17" s="241"/>
      <c r="C17" s="219" t="inlineStr">
        <is>
          <t xml:space="preserve">Folga</t>
        </is>
      </c>
      <c r="D17" s="220" t="str">
        <f>IFERROR(1/(1/INDEX(BD!$AJ$48:$BD$48,MATCH($A$5,BD!$AJ$22:$BD$22,0))),"")</f>
        <v/>
      </c>
      <c r="E17" s="221"/>
      <c r="F17" s="222" t="str">
        <f>IF(F$3="","",IF(COUNTIFS(BD!$A$3:$A$5001,F$3,BD!$B$3:$B$5001,$A$5,BD!$AA$3:$AA$5001,"&lt;&gt;")=0,"",SUMIFS(BD!$AA$3:$AA$5001,BD!$A$3:$A$5001,F$3,BD!$B$3:$B$5001,$A$5)))</f>
        <v/>
      </c>
      <c r="G17" s="223" t="str">
        <f>IF(G$3="","",IF(COUNTIFS(BD!$A$3:$A$5001,G$3,BD!$B$3:$B$5001,$A$5,BD!$AA$3:$AA$5001,"&lt;&gt;")=0,"",SUMIFS(BD!$AA$3:$AA$5001,BD!$A$3:$A$5001,G$3,BD!$B$3:$B$5001,$A$5)))</f>
        <v/>
      </c>
      <c r="H17" s="223" t="str">
        <f>IF(H$3="","",IF(COUNTIFS(BD!$A$3:$A$5001,H$3,BD!$B$3:$B$5001,$A$5,BD!$AA$3:$AA$5001,"&lt;&gt;")=0,"",SUMIFS(BD!$AA$3:$AA$5001,BD!$A$3:$A$5001,H$3,BD!$B$3:$B$5001,$A$5)))</f>
        <v/>
      </c>
      <c r="I17" s="223" t="str">
        <f>IF(I$3="","",IF(COUNTIFS(BD!$A$3:$A$5001,I$3,BD!$B$3:$B$5001,$A$5,BD!$AA$3:$AA$5001,"&lt;&gt;")=0,"",SUMIFS(BD!$AA$3:$AA$5001,BD!$A$3:$A$5001,I$3,BD!$B$3:$B$5001,$A$5)))</f>
        <v/>
      </c>
      <c r="J17" s="223" t="str">
        <f>IF(J$3="","",IF(COUNTIFS(BD!$A$3:$A$5001,J$3,BD!$B$3:$B$5001,$A$5,BD!$AA$3:$AA$5001,"&lt;&gt;")=0,"",SUMIFS(BD!$AA$3:$AA$5001,BD!$A$3:$A$5001,J$3,BD!$B$3:$B$5001,$A$5)))</f>
        <v/>
      </c>
      <c r="K17" s="223" t="str">
        <f>IF(K$3="","",IF(COUNTIFS(BD!$A$3:$A$5001,K$3,BD!$B$3:$B$5001,$A$5,BD!$AA$3:$AA$5001,"&lt;&gt;")=0,"",SUMIFS(BD!$AA$3:$AA$5001,BD!$A$3:$A$5001,K$3,BD!$B$3:$B$5001,$A$5)))</f>
        <v/>
      </c>
      <c r="L17" s="223" t="str">
        <f>IF(L$3="","",IF(COUNTIFS(BD!$A$3:$A$5001,L$3,BD!$B$3:$B$5001,$A$5,BD!$AA$3:$AA$5001,"&lt;&gt;")=0,"",SUMIFS(BD!$AA$3:$AA$5001,BD!$A$3:$A$5001,L$3,BD!$B$3:$B$5001,$A$5)))</f>
        <v/>
      </c>
      <c r="M17" s="223" t="str">
        <f>IF(M$3="","",IF(COUNTIFS(BD!$A$3:$A$5001,M$3,BD!$B$3:$B$5001,$A$5,BD!$AA$3:$AA$5001,"&lt;&gt;")=0,"",SUMIFS(BD!$AA$3:$AA$5001,BD!$A$3:$A$5001,M$3,BD!$B$3:$B$5001,$A$5)))</f>
        <v/>
      </c>
      <c r="N17" s="223" t="str">
        <f>IF(N$3="","",IF(COUNTIFS(BD!$A$3:$A$5001,N$3,BD!$B$3:$B$5001,$A$5,BD!$AA$3:$AA$5001,"&lt;&gt;")=0,"",SUMIFS(BD!$AA$3:$AA$5001,BD!$A$3:$A$5001,N$3,BD!$B$3:$B$5001,$A$5)))</f>
        <v/>
      </c>
      <c r="O17" s="223" t="str">
        <f>IF(O$3="","",IF(COUNTIFS(BD!$A$3:$A$5001,O$3,BD!$B$3:$B$5001,$A$5,BD!$AA$3:$AA$5001,"&lt;&gt;")=0,"",SUMIFS(BD!$AA$3:$AA$5001,BD!$A$3:$A$5001,O$3,BD!$B$3:$B$5001,$A$5)))</f>
        <v/>
      </c>
      <c r="P17" s="223" t="str">
        <f>IF(P$3="","",IF(COUNTIFS(BD!$A$3:$A$5001,P$3,BD!$B$3:$B$5001,$A$5,BD!$AA$3:$AA$5001,"&lt;&gt;")=0,"",SUMIFS(BD!$AA$3:$AA$5001,BD!$A$3:$A$5001,P$3,BD!$B$3:$B$5001,$A$5)))</f>
        <v/>
      </c>
      <c r="Q17" s="223" t="str">
        <f>IF(Q$3="","",IF(COUNTIFS(BD!$A$3:$A$5001,Q$3,BD!$B$3:$B$5001,$A$5,BD!$AA$3:$AA$5001,"&lt;&gt;")=0,"",SUMIFS(BD!$AA$3:$AA$5001,BD!$A$3:$A$5001,Q$3,BD!$B$3:$B$5001,$A$5)))</f>
        <v/>
      </c>
      <c r="R17" s="223" t="str">
        <f>IF(R$3="","",IF(COUNTIFS(BD!$A$3:$A$5001,R$3,BD!$B$3:$B$5001,$A$5,BD!$AA$3:$AA$5001,"&lt;&gt;")=0,"",SUMIFS(BD!$AA$3:$AA$5001,BD!$A$3:$A$5001,R$3,BD!$B$3:$B$5001,$A$5)))</f>
        <v/>
      </c>
      <c r="S17" s="223" t="str">
        <f>IF(S$3="","",IF(COUNTIFS(BD!$A$3:$A$5001,S$3,BD!$B$3:$B$5001,$A$5,BD!$AA$3:$AA$5001,"&lt;&gt;")=0,"",SUMIFS(BD!$AA$3:$AA$5001,BD!$A$3:$A$5001,S$3,BD!$B$3:$B$5001,$A$5)))</f>
        <v/>
      </c>
      <c r="T17" s="223" t="str">
        <f>IF(T$3="","",IF(COUNTIFS(BD!$A$3:$A$5001,T$3,BD!$B$3:$B$5001,$A$5,BD!$AA$3:$AA$5001,"&lt;&gt;")=0,"",SUMIFS(BD!$AA$3:$AA$5001,BD!$A$3:$A$5001,T$3,BD!$B$3:$B$5001,$A$5)))</f>
        <v/>
      </c>
      <c r="U17" s="223" t="str">
        <f>IF(U$3="","",IF(COUNTIFS(BD!$A$3:$A$5001,U$3,BD!$B$3:$B$5001,$A$5,BD!$AA$3:$AA$5001,"&lt;&gt;")=0,"",SUMIFS(BD!$AA$3:$AA$5001,BD!$A$3:$A$5001,U$3,BD!$B$3:$B$5001,$A$5)))</f>
        <v/>
      </c>
      <c r="V17" s="223" t="str">
        <f>IF(V$3="","",IF(COUNTIFS(BD!$A$3:$A$5001,V$3,BD!$B$3:$B$5001,$A$5,BD!$AA$3:$AA$5001,"&lt;&gt;")=0,"",SUMIFS(BD!$AA$3:$AA$5001,BD!$A$3:$A$5001,V$3,BD!$B$3:$B$5001,$A$5)))</f>
        <v/>
      </c>
      <c r="W17" s="223" t="str">
        <f>IF(W$3="","",IF(COUNTIFS(BD!$A$3:$A$5001,W$3,BD!$B$3:$B$5001,$A$5,BD!$AA$3:$AA$5001,"&lt;&gt;")=0,"",SUMIFS(BD!$AA$3:$AA$5001,BD!$A$3:$A$5001,W$3,BD!$B$3:$B$5001,$A$5)))</f>
        <v/>
      </c>
      <c r="X17" s="223" t="str">
        <f>IF(X$3="","",IF(COUNTIFS(BD!$A$3:$A$5001,X$3,BD!$B$3:$B$5001,$A$5,BD!$AA$3:$AA$5001,"&lt;&gt;")=0,"",SUMIFS(BD!$AA$3:$AA$5001,BD!$A$3:$A$5001,X$3,BD!$B$3:$B$5001,$A$5)))</f>
        <v/>
      </c>
      <c r="Y17" s="223" t="str">
        <f>IF(Y$3="","",IF(COUNTIFS(BD!$A$3:$A$5001,Y$3,BD!$B$3:$B$5001,$A$5,BD!$AA$3:$AA$5001,"&lt;&gt;")=0,"",SUMIFS(BD!$AA$3:$AA$5001,BD!$A$3:$A$5001,Y$3,BD!$B$3:$B$5001,$A$5)))</f>
        <v/>
      </c>
      <c r="Z17" s="223" t="str">
        <f>IF(Z$3="","",IF(COUNTIFS(BD!$A$3:$A$5001,Z$3,BD!$B$3:$B$5001,$A$5,BD!$AA$3:$AA$5001,"&lt;&gt;")=0,"",SUMIFS(BD!$AA$3:$AA$5001,BD!$A$3:$A$5001,Z$3,BD!$B$3:$B$5001,$A$5)))</f>
        <v/>
      </c>
      <c r="AA17" s="223" t="str">
        <f>IF(AA$3="","",IF(COUNTIFS(BD!$A$3:$A$5001,AA$3,BD!$B$3:$B$5001,$A$5,BD!$AA$3:$AA$5001,"&lt;&gt;")=0,"",SUMIFS(BD!$AA$3:$AA$5001,BD!$A$3:$A$5001,AA$3,BD!$B$3:$B$5001,$A$5)))</f>
        <v/>
      </c>
      <c r="AB17" s="223" t="str">
        <f>IF(AB$3="","",IF(COUNTIFS(BD!$A$3:$A$5001,AB$3,BD!$B$3:$B$5001,$A$5,BD!$AA$3:$AA$5001,"&lt;&gt;")=0,"",SUMIFS(BD!$AA$3:$AA$5001,BD!$A$3:$A$5001,AB$3,BD!$B$3:$B$5001,$A$5)))</f>
        <v/>
      </c>
      <c r="AC17" s="223" t="str">
        <f>IF(AC$3="","",IF(COUNTIFS(BD!$A$3:$A$5001,AC$3,BD!$B$3:$B$5001,$A$5,BD!$AA$3:$AA$5001,"&lt;&gt;")=0,"",SUMIFS(BD!$AA$3:$AA$5001,BD!$A$3:$A$5001,AC$3,BD!$B$3:$B$5001,$A$5)))</f>
        <v/>
      </c>
      <c r="AD17" s="223" t="str">
        <f>IF(AD$3="","",IF(COUNTIFS(BD!$A$3:$A$5001,AD$3,BD!$B$3:$B$5001,$A$5,BD!$AA$3:$AA$5001,"&lt;&gt;")=0,"",SUMIFS(BD!$AA$3:$AA$5001,BD!$A$3:$A$5001,AD$3,BD!$B$3:$B$5001,$A$5)))</f>
        <v/>
      </c>
      <c r="AE17" s="223" t="str">
        <f>IF(AE$3="","",IF(COUNTIFS(BD!$A$3:$A$5001,AE$3,BD!$B$3:$B$5001,$A$5,BD!$AA$3:$AA$5001,"&lt;&gt;")=0,"",SUMIFS(BD!$AA$3:$AA$5001,BD!$A$3:$A$5001,AE$3,BD!$B$3:$B$5001,$A$5)))</f>
        <v/>
      </c>
      <c r="AF17" s="223" t="str">
        <f>IF(AF$3="","",IF(COUNTIFS(BD!$A$3:$A$5001,AF$3,BD!$B$3:$B$5001,$A$5,BD!$AA$3:$AA$5001,"&lt;&gt;")=0,"",SUMIFS(BD!$AA$3:$AA$5001,BD!$A$3:$A$5001,AF$3,BD!$B$3:$B$5001,$A$5)))</f>
        <v/>
      </c>
      <c r="AG17" s="223" t="str">
        <f>IF(AG$3="","",IF(COUNTIFS(BD!$A$3:$A$5001,AG$3,BD!$B$3:$B$5001,$A$5,BD!$AA$3:$AA$5001,"&lt;&gt;")=0,"",SUMIFS(BD!$AA$3:$AA$5001,BD!$A$3:$A$5001,AG$3,BD!$B$3:$B$5001,$A$5)))</f>
        <v/>
      </c>
      <c r="AH17" s="223" t="str">
        <f>IF(AH$3="","",IF(COUNTIFS(BD!$A$3:$A$5001,AH$3,BD!$B$3:$B$5001,$A$5,BD!$AA$3:$AA$5001,"&lt;&gt;")=0,"",SUMIFS(BD!$AA$3:$AA$5001,BD!$A$3:$A$5001,AH$3,BD!$B$3:$B$5001,$A$5)))</f>
        <v/>
      </c>
      <c r="AI17" s="223" t="str">
        <f>IF(AI$3="","",IF(COUNTIFS(BD!$A$3:$A$5001,AI$3,BD!$B$3:$B$5001,$A$5,BD!$AA$3:$AA$5001,"&lt;&gt;")=0,"",SUMIFS(BD!$AA$3:$AA$5001,BD!$A$3:$A$5001,AI$3,BD!$B$3:$B$5001,$A$5)))</f>
        <v/>
      </c>
      <c r="AJ17" s="224" t="str">
        <f>IF(AJ$3="","",IF(COUNTIFS(BD!$A$3:$A$5001,AJ$3,BD!$B$3:$B$5001,$A$5,BD!$AA$3:$AA$5001,"&lt;&gt;")=0,"",SUMIFS(BD!$AA$3:$AA$5001,BD!$A$3:$A$5001,AJ$3,BD!$B$3:$B$5001,$A$5)))</f>
        <v/>
      </c>
      <c r="AK17" s="225" t="str">
        <f>IF(COUNT(F17:AJ17)=0,"",SUM(F17:AJ17))</f>
        <v/>
      </c>
    </row>
    <row r="18" ht="15.75" customHeight="1">
      <c r="A18" s="244"/>
      <c r="B18" s="241"/>
      <c r="C18" s="219" t="inlineStr">
        <is>
          <t xml:space="preserve">Férias</t>
        </is>
      </c>
      <c r="D18" s="220" t="str">
        <f>IFERROR(1/(1/INDEX(BD!$AJ$49:$BD$49,MATCH($A$5,BD!$AJ$22:$BD$22,0))),"")</f>
        <v/>
      </c>
      <c r="E18" s="221"/>
      <c r="F18" s="222" t="str">
        <f>IF(F$3="","",IF(COUNTIFS(BD!$A$3:$A$5001,F$3,BD!$B$3:$B$5001,$A$5,BD!$AB$3:$AB$5001,"&lt;&gt;")=0,"",SUMIFS(BD!$AB$3:$AB$5001,BD!$A$3:$A$5001,F$3,BD!$B$3:$B$5001,$A$5)))</f>
        <v/>
      </c>
      <c r="G18" s="223" t="str">
        <f>IF(G$3="","",IF(COUNTIFS(BD!$A$3:$A$5001,G$3,BD!$B$3:$B$5001,$A$5,BD!$AB$3:$AB$5001,"&lt;&gt;")=0,"",SUMIFS(BD!$AB$3:$AB$5001,BD!$A$3:$A$5001,G$3,BD!$B$3:$B$5001,$A$5)))</f>
        <v/>
      </c>
      <c r="H18" s="223" t="str">
        <f>IF(H$3="","",IF(COUNTIFS(BD!$A$3:$A$5001,H$3,BD!$B$3:$B$5001,$A$5,BD!$AB$3:$AB$5001,"&lt;&gt;")=0,"",SUMIFS(BD!$AB$3:$AB$5001,BD!$A$3:$A$5001,H$3,BD!$B$3:$B$5001,$A$5)))</f>
        <v/>
      </c>
      <c r="I18" s="223" t="str">
        <f>IF(I$3="","",IF(COUNTIFS(BD!$A$3:$A$5001,I$3,BD!$B$3:$B$5001,$A$5,BD!$AB$3:$AB$5001,"&lt;&gt;")=0,"",SUMIFS(BD!$AB$3:$AB$5001,BD!$A$3:$A$5001,I$3,BD!$B$3:$B$5001,$A$5)))</f>
        <v/>
      </c>
      <c r="J18" s="223" t="str">
        <f>IF(J$3="","",IF(COUNTIFS(BD!$A$3:$A$5001,J$3,BD!$B$3:$B$5001,$A$5,BD!$AB$3:$AB$5001,"&lt;&gt;")=0,"",SUMIFS(BD!$AB$3:$AB$5001,BD!$A$3:$A$5001,J$3,BD!$B$3:$B$5001,$A$5)))</f>
        <v/>
      </c>
      <c r="K18" s="223" t="str">
        <f>IF(K$3="","",IF(COUNTIFS(BD!$A$3:$A$5001,K$3,BD!$B$3:$B$5001,$A$5,BD!$AB$3:$AB$5001,"&lt;&gt;")=0,"",SUMIFS(BD!$AB$3:$AB$5001,BD!$A$3:$A$5001,K$3,BD!$B$3:$B$5001,$A$5)))</f>
        <v/>
      </c>
      <c r="L18" s="223" t="str">
        <f>IF(L$3="","",IF(COUNTIFS(BD!$A$3:$A$5001,L$3,BD!$B$3:$B$5001,$A$5,BD!$AB$3:$AB$5001,"&lt;&gt;")=0,"",SUMIFS(BD!$AB$3:$AB$5001,BD!$A$3:$A$5001,L$3,BD!$B$3:$B$5001,$A$5)))</f>
        <v/>
      </c>
      <c r="M18" s="223" t="str">
        <f>IF(M$3="","",IF(COUNTIFS(BD!$A$3:$A$5001,M$3,BD!$B$3:$B$5001,$A$5,BD!$AB$3:$AB$5001,"&lt;&gt;")=0,"",SUMIFS(BD!$AB$3:$AB$5001,BD!$A$3:$A$5001,M$3,BD!$B$3:$B$5001,$A$5)))</f>
        <v/>
      </c>
      <c r="N18" s="223" t="str">
        <f>IF(N$3="","",IF(COUNTIFS(BD!$A$3:$A$5001,N$3,BD!$B$3:$B$5001,$A$5,BD!$AB$3:$AB$5001,"&lt;&gt;")=0,"",SUMIFS(BD!$AB$3:$AB$5001,BD!$A$3:$A$5001,N$3,BD!$B$3:$B$5001,$A$5)))</f>
        <v/>
      </c>
      <c r="O18" s="223" t="str">
        <f>IF(O$3="","",IF(COUNTIFS(BD!$A$3:$A$5001,O$3,BD!$B$3:$B$5001,$A$5,BD!$AB$3:$AB$5001,"&lt;&gt;")=0,"",SUMIFS(BD!$AB$3:$AB$5001,BD!$A$3:$A$5001,O$3,BD!$B$3:$B$5001,$A$5)))</f>
        <v/>
      </c>
      <c r="P18" s="223" t="str">
        <f>IF(P$3="","",IF(COUNTIFS(BD!$A$3:$A$5001,P$3,BD!$B$3:$B$5001,$A$5,BD!$AB$3:$AB$5001,"&lt;&gt;")=0,"",SUMIFS(BD!$AB$3:$AB$5001,BD!$A$3:$A$5001,P$3,BD!$B$3:$B$5001,$A$5)))</f>
        <v/>
      </c>
      <c r="Q18" s="223" t="str">
        <f>IF(Q$3="","",IF(COUNTIFS(BD!$A$3:$A$5001,Q$3,BD!$B$3:$B$5001,$A$5,BD!$AB$3:$AB$5001,"&lt;&gt;")=0,"",SUMIFS(BD!$AB$3:$AB$5001,BD!$A$3:$A$5001,Q$3,BD!$B$3:$B$5001,$A$5)))</f>
        <v/>
      </c>
      <c r="R18" s="223" t="str">
        <f>IF(R$3="","",IF(COUNTIFS(BD!$A$3:$A$5001,R$3,BD!$B$3:$B$5001,$A$5,BD!$AB$3:$AB$5001,"&lt;&gt;")=0,"",SUMIFS(BD!$AB$3:$AB$5001,BD!$A$3:$A$5001,R$3,BD!$B$3:$B$5001,$A$5)))</f>
        <v/>
      </c>
      <c r="S18" s="223" t="str">
        <f>IF(S$3="","",IF(COUNTIFS(BD!$A$3:$A$5001,S$3,BD!$B$3:$B$5001,$A$5,BD!$AB$3:$AB$5001,"&lt;&gt;")=0,"",SUMIFS(BD!$AB$3:$AB$5001,BD!$A$3:$A$5001,S$3,BD!$B$3:$B$5001,$A$5)))</f>
        <v/>
      </c>
      <c r="T18" s="223" t="str">
        <f>IF(T$3="","",IF(COUNTIFS(BD!$A$3:$A$5001,T$3,BD!$B$3:$B$5001,$A$5,BD!$AB$3:$AB$5001,"&lt;&gt;")=0,"",SUMIFS(BD!$AB$3:$AB$5001,BD!$A$3:$A$5001,T$3,BD!$B$3:$B$5001,$A$5)))</f>
        <v/>
      </c>
      <c r="U18" s="223" t="str">
        <f>IF(U$3="","",IF(COUNTIFS(BD!$A$3:$A$5001,U$3,BD!$B$3:$B$5001,$A$5,BD!$AB$3:$AB$5001,"&lt;&gt;")=0,"",SUMIFS(BD!$AB$3:$AB$5001,BD!$A$3:$A$5001,U$3,BD!$B$3:$B$5001,$A$5)))</f>
        <v/>
      </c>
      <c r="V18" s="223" t="str">
        <f>IF(V$3="","",IF(COUNTIFS(BD!$A$3:$A$5001,V$3,BD!$B$3:$B$5001,$A$5,BD!$AB$3:$AB$5001,"&lt;&gt;")=0,"",SUMIFS(BD!$AB$3:$AB$5001,BD!$A$3:$A$5001,V$3,BD!$B$3:$B$5001,$A$5)))</f>
        <v/>
      </c>
      <c r="W18" s="223" t="str">
        <f>IF(W$3="","",IF(COUNTIFS(BD!$A$3:$A$5001,W$3,BD!$B$3:$B$5001,$A$5,BD!$AB$3:$AB$5001,"&lt;&gt;")=0,"",SUMIFS(BD!$AB$3:$AB$5001,BD!$A$3:$A$5001,W$3,BD!$B$3:$B$5001,$A$5)))</f>
        <v/>
      </c>
      <c r="X18" s="223" t="str">
        <f>IF(X$3="","",IF(COUNTIFS(BD!$A$3:$A$5001,X$3,BD!$B$3:$B$5001,$A$5,BD!$AB$3:$AB$5001,"&lt;&gt;")=0,"",SUMIFS(BD!$AB$3:$AB$5001,BD!$A$3:$A$5001,X$3,BD!$B$3:$B$5001,$A$5)))</f>
        <v/>
      </c>
      <c r="Y18" s="223" t="str">
        <f>IF(Y$3="","",IF(COUNTIFS(BD!$A$3:$A$5001,Y$3,BD!$B$3:$B$5001,$A$5,BD!$AB$3:$AB$5001,"&lt;&gt;")=0,"",SUMIFS(BD!$AB$3:$AB$5001,BD!$A$3:$A$5001,Y$3,BD!$B$3:$B$5001,$A$5)))</f>
        <v/>
      </c>
      <c r="Z18" s="223" t="str">
        <f>IF(Z$3="","",IF(COUNTIFS(BD!$A$3:$A$5001,Z$3,BD!$B$3:$B$5001,$A$5,BD!$AB$3:$AB$5001,"&lt;&gt;")=0,"",SUMIFS(BD!$AB$3:$AB$5001,BD!$A$3:$A$5001,Z$3,BD!$B$3:$B$5001,$A$5)))</f>
        <v/>
      </c>
      <c r="AA18" s="223" t="str">
        <f>IF(AA$3="","",IF(COUNTIFS(BD!$A$3:$A$5001,AA$3,BD!$B$3:$B$5001,$A$5,BD!$AB$3:$AB$5001,"&lt;&gt;")=0,"",SUMIFS(BD!$AB$3:$AB$5001,BD!$A$3:$A$5001,AA$3,BD!$B$3:$B$5001,$A$5)))</f>
        <v/>
      </c>
      <c r="AB18" s="223" t="str">
        <f>IF(AB$3="","",IF(COUNTIFS(BD!$A$3:$A$5001,AB$3,BD!$B$3:$B$5001,$A$5,BD!$AB$3:$AB$5001,"&lt;&gt;")=0,"",SUMIFS(BD!$AB$3:$AB$5001,BD!$A$3:$A$5001,AB$3,BD!$B$3:$B$5001,$A$5)))</f>
        <v/>
      </c>
      <c r="AC18" s="223" t="str">
        <f>IF(AC$3="","",IF(COUNTIFS(BD!$A$3:$A$5001,AC$3,BD!$B$3:$B$5001,$A$5,BD!$AB$3:$AB$5001,"&lt;&gt;")=0,"",SUMIFS(BD!$AB$3:$AB$5001,BD!$A$3:$A$5001,AC$3,BD!$B$3:$B$5001,$A$5)))</f>
        <v/>
      </c>
      <c r="AD18" s="223" t="str">
        <f>IF(AD$3="","",IF(COUNTIFS(BD!$A$3:$A$5001,AD$3,BD!$B$3:$B$5001,$A$5,BD!$AB$3:$AB$5001,"&lt;&gt;")=0,"",SUMIFS(BD!$AB$3:$AB$5001,BD!$A$3:$A$5001,AD$3,BD!$B$3:$B$5001,$A$5)))</f>
        <v/>
      </c>
      <c r="AE18" s="223" t="str">
        <f>IF(AE$3="","",IF(COUNTIFS(BD!$A$3:$A$5001,AE$3,BD!$B$3:$B$5001,$A$5,BD!$AB$3:$AB$5001,"&lt;&gt;")=0,"",SUMIFS(BD!$AB$3:$AB$5001,BD!$A$3:$A$5001,AE$3,BD!$B$3:$B$5001,$A$5)))</f>
        <v/>
      </c>
      <c r="AF18" s="223" t="str">
        <f>IF(AF$3="","",IF(COUNTIFS(BD!$A$3:$A$5001,AF$3,BD!$B$3:$B$5001,$A$5,BD!$AB$3:$AB$5001,"&lt;&gt;")=0,"",SUMIFS(BD!$AB$3:$AB$5001,BD!$A$3:$A$5001,AF$3,BD!$B$3:$B$5001,$A$5)))</f>
        <v/>
      </c>
      <c r="AG18" s="223" t="str">
        <f>IF(AG$3="","",IF(COUNTIFS(BD!$A$3:$A$5001,AG$3,BD!$B$3:$B$5001,$A$5,BD!$AB$3:$AB$5001,"&lt;&gt;")=0,"",SUMIFS(BD!$AB$3:$AB$5001,BD!$A$3:$A$5001,AG$3,BD!$B$3:$B$5001,$A$5)))</f>
        <v/>
      </c>
      <c r="AH18" s="223" t="str">
        <f>IF(AH$3="","",IF(COUNTIFS(BD!$A$3:$A$5001,AH$3,BD!$B$3:$B$5001,$A$5,BD!$AB$3:$AB$5001,"&lt;&gt;")=0,"",SUMIFS(BD!$AB$3:$AB$5001,BD!$A$3:$A$5001,AH$3,BD!$B$3:$B$5001,$A$5)))</f>
        <v/>
      </c>
      <c r="AI18" s="223" t="str">
        <f>IF(AI$3="","",IF(COUNTIFS(BD!$A$3:$A$5001,AI$3,BD!$B$3:$B$5001,$A$5,BD!$AB$3:$AB$5001,"&lt;&gt;")=0,"",SUMIFS(BD!$AB$3:$AB$5001,BD!$A$3:$A$5001,AI$3,BD!$B$3:$B$5001,$A$5)))</f>
        <v/>
      </c>
      <c r="AJ18" s="224" t="str">
        <f>IF(AJ$3="","",IF(COUNTIFS(BD!$A$3:$A$5001,AJ$3,BD!$B$3:$B$5001,$A$5,BD!$AB$3:$AB$5001,"&lt;&gt;")=0,"",SUMIFS(BD!$AB$3:$AB$5001,BD!$A$3:$A$5001,AJ$3,BD!$B$3:$B$5001,$A$5)))</f>
        <v/>
      </c>
      <c r="AK18" s="225" t="str">
        <f>IF(COUNT(F18:AJ18)=0,"",SUM(F18:AJ18))</f>
        <v/>
      </c>
    </row>
    <row r="19" ht="15.75" customHeight="1">
      <c r="A19" s="244"/>
      <c r="B19" s="241"/>
      <c r="C19" s="219" t="inlineStr">
        <is>
          <t xml:space="preserve">Desligamento</t>
        </is>
      </c>
      <c r="D19" s="220" t="str">
        <f>IFERROR(1/(1/INDEX(BD!$AJ$50:$BD$50,MATCH($A$5,BD!$AJ$22:$BD$22,0))),"")</f>
        <v/>
      </c>
      <c r="E19" s="221"/>
      <c r="F19" s="222" t="str">
        <f>IF(F$3="","",IF(COUNTIFS(BD!$A$3:$A$5001,F$3,BD!$B$3:$B$5001,$A$5,BD!$AC$3:$AC$5001,"&lt;&gt;")=0,"",SUMIFS(BD!$AC$3:$AC$5001,BD!$A$3:$A$5001,F$3,BD!$B$3:$B$5001,$A$5)))</f>
        <v/>
      </c>
      <c r="G19" s="223" t="str">
        <f>IF(G$3="","",IF(COUNTIFS(BD!$A$3:$A$5001,G$3,BD!$B$3:$B$5001,$A$5,BD!$AC$3:$AC$5001,"&lt;&gt;")=0,"",SUMIFS(BD!$AC$3:$AC$5001,BD!$A$3:$A$5001,G$3,BD!$B$3:$B$5001,$A$5)))</f>
        <v/>
      </c>
      <c r="H19" s="223" t="str">
        <f>IF(H$3="","",IF(COUNTIFS(BD!$A$3:$A$5001,H$3,BD!$B$3:$B$5001,$A$5,BD!$AC$3:$AC$5001,"&lt;&gt;")=0,"",SUMIFS(BD!$AC$3:$AC$5001,BD!$A$3:$A$5001,H$3,BD!$B$3:$B$5001,$A$5)))</f>
        <v/>
      </c>
      <c r="I19" s="223" t="str">
        <f>IF(I$3="","",IF(COUNTIFS(BD!$A$3:$A$5001,I$3,BD!$B$3:$B$5001,$A$5,BD!$AC$3:$AC$5001,"&lt;&gt;")=0,"",SUMIFS(BD!$AC$3:$AC$5001,BD!$A$3:$A$5001,I$3,BD!$B$3:$B$5001,$A$5)))</f>
        <v/>
      </c>
      <c r="J19" s="223" t="str">
        <f>IF(J$3="","",IF(COUNTIFS(BD!$A$3:$A$5001,J$3,BD!$B$3:$B$5001,$A$5,BD!$AC$3:$AC$5001,"&lt;&gt;")=0,"",SUMIFS(BD!$AC$3:$AC$5001,BD!$A$3:$A$5001,J$3,BD!$B$3:$B$5001,$A$5)))</f>
        <v/>
      </c>
      <c r="K19" s="223" t="str">
        <f>IF(K$3="","",IF(COUNTIFS(BD!$A$3:$A$5001,K$3,BD!$B$3:$B$5001,$A$5,BD!$AC$3:$AC$5001,"&lt;&gt;")=0,"",SUMIFS(BD!$AC$3:$AC$5001,BD!$A$3:$A$5001,K$3,BD!$B$3:$B$5001,$A$5)))</f>
        <v/>
      </c>
      <c r="L19" s="223" t="str">
        <f>IF(L$3="","",IF(COUNTIFS(BD!$A$3:$A$5001,L$3,BD!$B$3:$B$5001,$A$5,BD!$AC$3:$AC$5001,"&lt;&gt;")=0,"",SUMIFS(BD!$AC$3:$AC$5001,BD!$A$3:$A$5001,L$3,BD!$B$3:$B$5001,$A$5)))</f>
        <v/>
      </c>
      <c r="M19" s="223" t="str">
        <f>IF(M$3="","",IF(COUNTIFS(BD!$A$3:$A$5001,M$3,BD!$B$3:$B$5001,$A$5,BD!$AC$3:$AC$5001,"&lt;&gt;")=0,"",SUMIFS(BD!$AC$3:$AC$5001,BD!$A$3:$A$5001,M$3,BD!$B$3:$B$5001,$A$5)))</f>
        <v/>
      </c>
      <c r="N19" s="223" t="str">
        <f>IF(N$3="","",IF(COUNTIFS(BD!$A$3:$A$5001,N$3,BD!$B$3:$B$5001,$A$5,BD!$AC$3:$AC$5001,"&lt;&gt;")=0,"",SUMIFS(BD!$AC$3:$AC$5001,BD!$A$3:$A$5001,N$3,BD!$B$3:$B$5001,$A$5)))</f>
        <v/>
      </c>
      <c r="O19" s="223" t="str">
        <f>IF(O$3="","",IF(COUNTIFS(BD!$A$3:$A$5001,O$3,BD!$B$3:$B$5001,$A$5,BD!$AC$3:$AC$5001,"&lt;&gt;")=0,"",SUMIFS(BD!$AC$3:$AC$5001,BD!$A$3:$A$5001,O$3,BD!$B$3:$B$5001,$A$5)))</f>
        <v/>
      </c>
      <c r="P19" s="223" t="str">
        <f>IF(P$3="","",IF(COUNTIFS(BD!$A$3:$A$5001,P$3,BD!$B$3:$B$5001,$A$5,BD!$AC$3:$AC$5001,"&lt;&gt;")=0,"",SUMIFS(BD!$AC$3:$AC$5001,BD!$A$3:$A$5001,P$3,BD!$B$3:$B$5001,$A$5)))</f>
        <v/>
      </c>
      <c r="Q19" s="223" t="str">
        <f>IF(Q$3="","",IF(COUNTIFS(BD!$A$3:$A$5001,Q$3,BD!$B$3:$B$5001,$A$5,BD!$AC$3:$AC$5001,"&lt;&gt;")=0,"",SUMIFS(BD!$AC$3:$AC$5001,BD!$A$3:$A$5001,Q$3,BD!$B$3:$B$5001,$A$5)))</f>
        <v/>
      </c>
      <c r="R19" s="223" t="str">
        <f>IF(R$3="","",IF(COUNTIFS(BD!$A$3:$A$5001,R$3,BD!$B$3:$B$5001,$A$5,BD!$AC$3:$AC$5001,"&lt;&gt;")=0,"",SUMIFS(BD!$AC$3:$AC$5001,BD!$A$3:$A$5001,R$3,BD!$B$3:$B$5001,$A$5)))</f>
        <v/>
      </c>
      <c r="S19" s="223" t="str">
        <f>IF(S$3="","",IF(COUNTIFS(BD!$A$3:$A$5001,S$3,BD!$B$3:$B$5001,$A$5,BD!$AC$3:$AC$5001,"&lt;&gt;")=0,"",SUMIFS(BD!$AC$3:$AC$5001,BD!$A$3:$A$5001,S$3,BD!$B$3:$B$5001,$A$5)))</f>
        <v/>
      </c>
      <c r="T19" s="223" t="str">
        <f>IF(T$3="","",IF(COUNTIFS(BD!$A$3:$A$5001,T$3,BD!$B$3:$B$5001,$A$5,BD!$AC$3:$AC$5001,"&lt;&gt;")=0,"",SUMIFS(BD!$AC$3:$AC$5001,BD!$A$3:$A$5001,T$3,BD!$B$3:$B$5001,$A$5)))</f>
        <v/>
      </c>
      <c r="U19" s="223" t="str">
        <f>IF(U$3="","",IF(COUNTIFS(BD!$A$3:$A$5001,U$3,BD!$B$3:$B$5001,$A$5,BD!$AC$3:$AC$5001,"&lt;&gt;")=0,"",SUMIFS(BD!$AC$3:$AC$5001,BD!$A$3:$A$5001,U$3,BD!$B$3:$B$5001,$A$5)))</f>
        <v/>
      </c>
      <c r="V19" s="223" t="str">
        <f>IF(V$3="","",IF(COUNTIFS(BD!$A$3:$A$5001,V$3,BD!$B$3:$B$5001,$A$5,BD!$AC$3:$AC$5001,"&lt;&gt;")=0,"",SUMIFS(BD!$AC$3:$AC$5001,BD!$A$3:$A$5001,V$3,BD!$B$3:$B$5001,$A$5)))</f>
        <v/>
      </c>
      <c r="W19" s="223" t="str">
        <f>IF(W$3="","",IF(COUNTIFS(BD!$A$3:$A$5001,W$3,BD!$B$3:$B$5001,$A$5,BD!$AC$3:$AC$5001,"&lt;&gt;")=0,"",SUMIFS(BD!$AC$3:$AC$5001,BD!$A$3:$A$5001,W$3,BD!$B$3:$B$5001,$A$5)))</f>
        <v/>
      </c>
      <c r="X19" s="223" t="str">
        <f>IF(X$3="","",IF(COUNTIFS(BD!$A$3:$A$5001,X$3,BD!$B$3:$B$5001,$A$5,BD!$AC$3:$AC$5001,"&lt;&gt;")=0,"",SUMIFS(BD!$AC$3:$AC$5001,BD!$A$3:$A$5001,X$3,BD!$B$3:$B$5001,$A$5)))</f>
        <v/>
      </c>
      <c r="Y19" s="223" t="str">
        <f>IF(Y$3="","",IF(COUNTIFS(BD!$A$3:$A$5001,Y$3,BD!$B$3:$B$5001,$A$5,BD!$AC$3:$AC$5001,"&lt;&gt;")=0,"",SUMIFS(BD!$AC$3:$AC$5001,BD!$A$3:$A$5001,Y$3,BD!$B$3:$B$5001,$A$5)))</f>
        <v/>
      </c>
      <c r="Z19" s="223" t="str">
        <f>IF(Z$3="","",IF(COUNTIFS(BD!$A$3:$A$5001,Z$3,BD!$B$3:$B$5001,$A$5,BD!$AC$3:$AC$5001,"&lt;&gt;")=0,"",SUMIFS(BD!$AC$3:$AC$5001,BD!$A$3:$A$5001,Z$3,BD!$B$3:$B$5001,$A$5)))</f>
        <v/>
      </c>
      <c r="AA19" s="223" t="str">
        <f>IF(AA$3="","",IF(COUNTIFS(BD!$A$3:$A$5001,AA$3,BD!$B$3:$B$5001,$A$5,BD!$AC$3:$AC$5001,"&lt;&gt;")=0,"",SUMIFS(BD!$AC$3:$AC$5001,BD!$A$3:$A$5001,AA$3,BD!$B$3:$B$5001,$A$5)))</f>
        <v/>
      </c>
      <c r="AB19" s="223" t="str">
        <f>IF(AB$3="","",IF(COUNTIFS(BD!$A$3:$A$5001,AB$3,BD!$B$3:$B$5001,$A$5,BD!$AC$3:$AC$5001,"&lt;&gt;")=0,"",SUMIFS(BD!$AC$3:$AC$5001,BD!$A$3:$A$5001,AB$3,BD!$B$3:$B$5001,$A$5)))</f>
        <v/>
      </c>
      <c r="AC19" s="223" t="str">
        <f>IF(AC$3="","",IF(COUNTIFS(BD!$A$3:$A$5001,AC$3,BD!$B$3:$B$5001,$A$5,BD!$AC$3:$AC$5001,"&lt;&gt;")=0,"",SUMIFS(BD!$AC$3:$AC$5001,BD!$A$3:$A$5001,AC$3,BD!$B$3:$B$5001,$A$5)))</f>
        <v/>
      </c>
      <c r="AD19" s="223" t="str">
        <f>IF(AD$3="","",IF(COUNTIFS(BD!$A$3:$A$5001,AD$3,BD!$B$3:$B$5001,$A$5,BD!$AC$3:$AC$5001,"&lt;&gt;")=0,"",SUMIFS(BD!$AC$3:$AC$5001,BD!$A$3:$A$5001,AD$3,BD!$B$3:$B$5001,$A$5)))</f>
        <v/>
      </c>
      <c r="AE19" s="223" t="str">
        <f>IF(AE$3="","",IF(COUNTIFS(BD!$A$3:$A$5001,AE$3,BD!$B$3:$B$5001,$A$5,BD!$AC$3:$AC$5001,"&lt;&gt;")=0,"",SUMIFS(BD!$AC$3:$AC$5001,BD!$A$3:$A$5001,AE$3,BD!$B$3:$B$5001,$A$5)))</f>
        <v/>
      </c>
      <c r="AF19" s="223" t="str">
        <f>IF(AF$3="","",IF(COUNTIFS(BD!$A$3:$A$5001,AF$3,BD!$B$3:$B$5001,$A$5,BD!$AC$3:$AC$5001,"&lt;&gt;")=0,"",SUMIFS(BD!$AC$3:$AC$5001,BD!$A$3:$A$5001,AF$3,BD!$B$3:$B$5001,$A$5)))</f>
        <v/>
      </c>
      <c r="AG19" s="223" t="str">
        <f>IF(AG$3="","",IF(COUNTIFS(BD!$A$3:$A$5001,AG$3,BD!$B$3:$B$5001,$A$5,BD!$AC$3:$AC$5001,"&lt;&gt;")=0,"",SUMIFS(BD!$AC$3:$AC$5001,BD!$A$3:$A$5001,AG$3,BD!$B$3:$B$5001,$A$5)))</f>
        <v/>
      </c>
      <c r="AH19" s="223" t="str">
        <f>IF(AH$3="","",IF(COUNTIFS(BD!$A$3:$A$5001,AH$3,BD!$B$3:$B$5001,$A$5,BD!$AC$3:$AC$5001,"&lt;&gt;")=0,"",SUMIFS(BD!$AC$3:$AC$5001,BD!$A$3:$A$5001,AH$3,BD!$B$3:$B$5001,$A$5)))</f>
        <v/>
      </c>
      <c r="AI19" s="223" t="str">
        <f>IF(AI$3="","",IF(COUNTIFS(BD!$A$3:$A$5001,AI$3,BD!$B$3:$B$5001,$A$5,BD!$AC$3:$AC$5001,"&lt;&gt;")=0,"",SUMIFS(BD!$AC$3:$AC$5001,BD!$A$3:$A$5001,AI$3,BD!$B$3:$B$5001,$A$5)))</f>
        <v/>
      </c>
      <c r="AJ19" s="224" t="str">
        <f>IF(AJ$3="","",IF(COUNTIFS(BD!$A$3:$A$5001,AJ$3,BD!$B$3:$B$5001,$A$5,BD!$AC$3:$AC$5001,"&lt;&gt;")=0,"",SUMIFS(BD!$AC$3:$AC$5001,BD!$A$3:$A$5001,AJ$3,BD!$B$3:$B$5001,$A$5)))</f>
        <v/>
      </c>
      <c r="AK19" s="225" t="str">
        <f>IF(COUNT(F19:AJ19)=0,"",SUM(F19:AJ19))</f>
        <v/>
      </c>
    </row>
    <row r="20" ht="15.75" customHeight="1">
      <c r="A20" s="244"/>
      <c r="B20" s="241"/>
      <c r="C20" s="219" t="inlineStr">
        <is>
          <t xml:space="preserve">Desvios Comportamentais</t>
        </is>
      </c>
      <c r="D20" s="220" t="str">
        <f>IFERROR(1/(1/INDEX(BD!$AJ$51:$BD$51,MATCH($A$5,BD!$AJ$22:$BD$22,0))),"")</f>
        <v/>
      </c>
      <c r="E20" s="221"/>
      <c r="F20" s="222" t="str">
        <f>IF(F$3="","",IF(COUNTIFS(BD!$A$3:$A$5001,F$3,BD!$B$3:$B$5001,$A$5,BD!$AD$3:$AD$5001,"&lt;&gt;")=0,"",SUMIFS(BD!$AD$3:$AD$5001,BD!$A$3:$A$5001,F$3,BD!$B$3:$B$5001,$A$5)))</f>
        <v/>
      </c>
      <c r="G20" s="223" t="str">
        <f>IF(G$3="","",IF(COUNTIFS(BD!$A$3:$A$5001,G$3,BD!$B$3:$B$5001,$A$5,BD!$AD$3:$AD$5001,"&lt;&gt;")=0,"",SUMIFS(BD!$AD$3:$AD$5001,BD!$A$3:$A$5001,G$3,BD!$B$3:$B$5001,$A$5)))</f>
        <v/>
      </c>
      <c r="H20" s="223" t="str">
        <f>IF(H$3="","",IF(COUNTIFS(BD!$A$3:$A$5001,H$3,BD!$B$3:$B$5001,$A$5,BD!$AD$3:$AD$5001,"&lt;&gt;")=0,"",SUMIFS(BD!$AD$3:$AD$5001,BD!$A$3:$A$5001,H$3,BD!$B$3:$B$5001,$A$5)))</f>
        <v/>
      </c>
      <c r="I20" s="223" t="str">
        <f>IF(I$3="","",IF(COUNTIFS(BD!$A$3:$A$5001,I$3,BD!$B$3:$B$5001,$A$5,BD!$AD$3:$AD$5001,"&lt;&gt;")=0,"",SUMIFS(BD!$AD$3:$AD$5001,BD!$A$3:$A$5001,I$3,BD!$B$3:$B$5001,$A$5)))</f>
        <v/>
      </c>
      <c r="J20" s="223" t="str">
        <f>IF(J$3="","",IF(COUNTIFS(BD!$A$3:$A$5001,J$3,BD!$B$3:$B$5001,$A$5,BD!$AD$3:$AD$5001,"&lt;&gt;")=0,"",SUMIFS(BD!$AD$3:$AD$5001,BD!$A$3:$A$5001,J$3,BD!$B$3:$B$5001,$A$5)))</f>
        <v/>
      </c>
      <c r="K20" s="223" t="str">
        <f>IF(K$3="","",IF(COUNTIFS(BD!$A$3:$A$5001,K$3,BD!$B$3:$B$5001,$A$5,BD!$AD$3:$AD$5001,"&lt;&gt;")=0,"",SUMIFS(BD!$AD$3:$AD$5001,BD!$A$3:$A$5001,K$3,BD!$B$3:$B$5001,$A$5)))</f>
        <v/>
      </c>
      <c r="L20" s="223" t="str">
        <f>IF(L$3="","",IF(COUNTIFS(BD!$A$3:$A$5001,L$3,BD!$B$3:$B$5001,$A$5,BD!$AD$3:$AD$5001,"&lt;&gt;")=0,"",SUMIFS(BD!$AD$3:$AD$5001,BD!$A$3:$A$5001,L$3,BD!$B$3:$B$5001,$A$5)))</f>
        <v/>
      </c>
      <c r="M20" s="223" t="str">
        <f>IF(M$3="","",IF(COUNTIFS(BD!$A$3:$A$5001,M$3,BD!$B$3:$B$5001,$A$5,BD!$AD$3:$AD$5001,"&lt;&gt;")=0,"",SUMIFS(BD!$AD$3:$AD$5001,BD!$A$3:$A$5001,M$3,BD!$B$3:$B$5001,$A$5)))</f>
        <v/>
      </c>
      <c r="N20" s="223" t="str">
        <f>IF(N$3="","",IF(COUNTIFS(BD!$A$3:$A$5001,N$3,BD!$B$3:$B$5001,$A$5,BD!$AD$3:$AD$5001,"&lt;&gt;")=0,"",SUMIFS(BD!$AD$3:$AD$5001,BD!$A$3:$A$5001,N$3,BD!$B$3:$B$5001,$A$5)))</f>
        <v/>
      </c>
      <c r="O20" s="223" t="str">
        <f>IF(O$3="","",IF(COUNTIFS(BD!$A$3:$A$5001,O$3,BD!$B$3:$B$5001,$A$5,BD!$AD$3:$AD$5001,"&lt;&gt;")=0,"",SUMIFS(BD!$AD$3:$AD$5001,BD!$A$3:$A$5001,O$3,BD!$B$3:$B$5001,$A$5)))</f>
        <v/>
      </c>
      <c r="P20" s="223" t="str">
        <f>IF(P$3="","",IF(COUNTIFS(BD!$A$3:$A$5001,P$3,BD!$B$3:$B$5001,$A$5,BD!$AD$3:$AD$5001,"&lt;&gt;")=0,"",SUMIFS(BD!$AD$3:$AD$5001,BD!$A$3:$A$5001,P$3,BD!$B$3:$B$5001,$A$5)))</f>
        <v/>
      </c>
      <c r="Q20" s="223" t="str">
        <f>IF(Q$3="","",IF(COUNTIFS(BD!$A$3:$A$5001,Q$3,BD!$B$3:$B$5001,$A$5,BD!$AD$3:$AD$5001,"&lt;&gt;")=0,"",SUMIFS(BD!$AD$3:$AD$5001,BD!$A$3:$A$5001,Q$3,BD!$B$3:$B$5001,$A$5)))</f>
        <v/>
      </c>
      <c r="R20" s="223" t="str">
        <f>IF(R$3="","",IF(COUNTIFS(BD!$A$3:$A$5001,R$3,BD!$B$3:$B$5001,$A$5,BD!$AD$3:$AD$5001,"&lt;&gt;")=0,"",SUMIFS(BD!$AD$3:$AD$5001,BD!$A$3:$A$5001,R$3,BD!$B$3:$B$5001,$A$5)))</f>
        <v/>
      </c>
      <c r="S20" s="223" t="str">
        <f>IF(S$3="","",IF(COUNTIFS(BD!$A$3:$A$5001,S$3,BD!$B$3:$B$5001,$A$5,BD!$AD$3:$AD$5001,"&lt;&gt;")=0,"",SUMIFS(BD!$AD$3:$AD$5001,BD!$A$3:$A$5001,S$3,BD!$B$3:$B$5001,$A$5)))</f>
        <v/>
      </c>
      <c r="T20" s="223" t="str">
        <f>IF(T$3="","",IF(COUNTIFS(BD!$A$3:$A$5001,T$3,BD!$B$3:$B$5001,$A$5,BD!$AD$3:$AD$5001,"&lt;&gt;")=0,"",SUMIFS(BD!$AD$3:$AD$5001,BD!$A$3:$A$5001,T$3,BD!$B$3:$B$5001,$A$5)))</f>
        <v/>
      </c>
      <c r="U20" s="223" t="str">
        <f>IF(U$3="","",IF(COUNTIFS(BD!$A$3:$A$5001,U$3,BD!$B$3:$B$5001,$A$5,BD!$AD$3:$AD$5001,"&lt;&gt;")=0,"",SUMIFS(BD!$AD$3:$AD$5001,BD!$A$3:$A$5001,U$3,BD!$B$3:$B$5001,$A$5)))</f>
        <v/>
      </c>
      <c r="V20" s="223" t="str">
        <f>IF(V$3="","",IF(COUNTIFS(BD!$A$3:$A$5001,V$3,BD!$B$3:$B$5001,$A$5,BD!$AD$3:$AD$5001,"&lt;&gt;")=0,"",SUMIFS(BD!$AD$3:$AD$5001,BD!$A$3:$A$5001,V$3,BD!$B$3:$B$5001,$A$5)))</f>
        <v/>
      </c>
      <c r="W20" s="223" t="str">
        <f>IF(W$3="","",IF(COUNTIFS(BD!$A$3:$A$5001,W$3,BD!$B$3:$B$5001,$A$5,BD!$AD$3:$AD$5001,"&lt;&gt;")=0,"",SUMIFS(BD!$AD$3:$AD$5001,BD!$A$3:$A$5001,W$3,BD!$B$3:$B$5001,$A$5)))</f>
        <v/>
      </c>
      <c r="X20" s="223" t="str">
        <f>IF(X$3="","",IF(COUNTIFS(BD!$A$3:$A$5001,X$3,BD!$B$3:$B$5001,$A$5,BD!$AD$3:$AD$5001,"&lt;&gt;")=0,"",SUMIFS(BD!$AD$3:$AD$5001,BD!$A$3:$A$5001,X$3,BD!$B$3:$B$5001,$A$5)))</f>
        <v/>
      </c>
      <c r="Y20" s="223" t="str">
        <f>IF(Y$3="","",IF(COUNTIFS(BD!$A$3:$A$5001,Y$3,BD!$B$3:$B$5001,$A$5,BD!$AD$3:$AD$5001,"&lt;&gt;")=0,"",SUMIFS(BD!$AD$3:$AD$5001,BD!$A$3:$A$5001,Y$3,BD!$B$3:$B$5001,$A$5)))</f>
        <v/>
      </c>
      <c r="Z20" s="223" t="str">
        <f>IF(Z$3="","",IF(COUNTIFS(BD!$A$3:$A$5001,Z$3,BD!$B$3:$B$5001,$A$5,BD!$AD$3:$AD$5001,"&lt;&gt;")=0,"",SUMIFS(BD!$AD$3:$AD$5001,BD!$A$3:$A$5001,Z$3,BD!$B$3:$B$5001,$A$5)))</f>
        <v/>
      </c>
      <c r="AA20" s="223" t="str">
        <f>IF(AA$3="","",IF(COUNTIFS(BD!$A$3:$A$5001,AA$3,BD!$B$3:$B$5001,$A$5,BD!$AD$3:$AD$5001,"&lt;&gt;")=0,"",SUMIFS(BD!$AD$3:$AD$5001,BD!$A$3:$A$5001,AA$3,BD!$B$3:$B$5001,$A$5)))</f>
        <v/>
      </c>
      <c r="AB20" s="223" t="str">
        <f>IF(AB$3="","",IF(COUNTIFS(BD!$A$3:$A$5001,AB$3,BD!$B$3:$B$5001,$A$5,BD!$AD$3:$AD$5001,"&lt;&gt;")=0,"",SUMIFS(BD!$AD$3:$AD$5001,BD!$A$3:$A$5001,AB$3,BD!$B$3:$B$5001,$A$5)))</f>
        <v/>
      </c>
      <c r="AC20" s="223" t="str">
        <f>IF(AC$3="","",IF(COUNTIFS(BD!$A$3:$A$5001,AC$3,BD!$B$3:$B$5001,$A$5,BD!$AD$3:$AD$5001,"&lt;&gt;")=0,"",SUMIFS(BD!$AD$3:$AD$5001,BD!$A$3:$A$5001,AC$3,BD!$B$3:$B$5001,$A$5)))</f>
        <v/>
      </c>
      <c r="AD20" s="223" t="str">
        <f>IF(AD$3="","",IF(COUNTIFS(BD!$A$3:$A$5001,AD$3,BD!$B$3:$B$5001,$A$5,BD!$AD$3:$AD$5001,"&lt;&gt;")=0,"",SUMIFS(BD!$AD$3:$AD$5001,BD!$A$3:$A$5001,AD$3,BD!$B$3:$B$5001,$A$5)))</f>
        <v/>
      </c>
      <c r="AE20" s="223" t="str">
        <f>IF(AE$3="","",IF(COUNTIFS(BD!$A$3:$A$5001,AE$3,BD!$B$3:$B$5001,$A$5,BD!$AD$3:$AD$5001,"&lt;&gt;")=0,"",SUMIFS(BD!$AD$3:$AD$5001,BD!$A$3:$A$5001,AE$3,BD!$B$3:$B$5001,$A$5)))</f>
        <v/>
      </c>
      <c r="AF20" s="223" t="str">
        <f>IF(AF$3="","",IF(COUNTIFS(BD!$A$3:$A$5001,AF$3,BD!$B$3:$B$5001,$A$5,BD!$AD$3:$AD$5001,"&lt;&gt;")=0,"",SUMIFS(BD!$AD$3:$AD$5001,BD!$A$3:$A$5001,AF$3,BD!$B$3:$B$5001,$A$5)))</f>
        <v/>
      </c>
      <c r="AG20" s="223" t="str">
        <f>IF(AG$3="","",IF(COUNTIFS(BD!$A$3:$A$5001,AG$3,BD!$B$3:$B$5001,$A$5,BD!$AD$3:$AD$5001,"&lt;&gt;")=0,"",SUMIFS(BD!$AD$3:$AD$5001,BD!$A$3:$A$5001,AG$3,BD!$B$3:$B$5001,$A$5)))</f>
        <v/>
      </c>
      <c r="AH20" s="223" t="str">
        <f>IF(AH$3="","",IF(COUNTIFS(BD!$A$3:$A$5001,AH$3,BD!$B$3:$B$5001,$A$5,BD!$AD$3:$AD$5001,"&lt;&gt;")=0,"",SUMIFS(BD!$AD$3:$AD$5001,BD!$A$3:$A$5001,AH$3,BD!$B$3:$B$5001,$A$5)))</f>
        <v/>
      </c>
      <c r="AI20" s="223" t="str">
        <f>IF(AI$3="","",IF(COUNTIFS(BD!$A$3:$A$5001,AI$3,BD!$B$3:$B$5001,$A$5,BD!$AD$3:$AD$5001,"&lt;&gt;")=0,"",SUMIFS(BD!$AD$3:$AD$5001,BD!$A$3:$A$5001,AI$3,BD!$B$3:$B$5001,$A$5)))</f>
        <v/>
      </c>
      <c r="AJ20" s="224" t="str">
        <f>IF(AJ$3="","",IF(COUNTIFS(BD!$A$3:$A$5001,AJ$3,BD!$B$3:$B$5001,$A$5,BD!$AD$3:$AD$5001,"&lt;&gt;")=0,"",SUMIFS(BD!$AD$3:$AD$5001,BD!$A$3:$A$5001,AJ$3,BD!$B$3:$B$5001,$A$5)))</f>
        <v/>
      </c>
      <c r="AK20" s="225" t="str">
        <f>IF(COUNT(F20:AJ20)=0,"",SUM(F20:AJ20))</f>
        <v/>
      </c>
    </row>
    <row r="21" ht="15.75" customHeight="1">
      <c r="A21" s="244"/>
      <c r="B21" s="241"/>
      <c r="C21" s="219" t="inlineStr">
        <is>
          <t xml:space="preserve">Acidentes CAF</t>
        </is>
      </c>
      <c r="D21" s="220" t="str">
        <f>IFERROR(1/(1/INDEX(BD!$AJ$52:$BD$52,MATCH($A$5,BD!$AJ$22:$BD$22,0))),"")</f>
        <v/>
      </c>
      <c r="E21" s="221"/>
      <c r="F21" s="222" t="str">
        <f>IF(F$3="","",IF(COUNTIFS(BD!$A$3:$A$5001,F$3,BD!$B$3:$B$5001,$A$5,BD!$AE$3:$AE$5001,"&lt;&gt;")=0,"",SUMIFS(BD!$AE$3:$AE$5001,BD!$A$3:$A$5001,F$3,BD!$B$3:$B$5001,$A$5)))</f>
        <v/>
      </c>
      <c r="G21" s="223" t="str">
        <f>IF(G$3="","",IF(COUNTIFS(BD!$A$3:$A$5001,G$3,BD!$B$3:$B$5001,$A$5,BD!$AE$3:$AE$5001,"&lt;&gt;")=0,"",SUMIFS(BD!$AE$3:$AE$5001,BD!$A$3:$A$5001,G$3,BD!$B$3:$B$5001,$A$5)))</f>
        <v/>
      </c>
      <c r="H21" s="223" t="str">
        <f>IF(H$3="","",IF(COUNTIFS(BD!$A$3:$A$5001,H$3,BD!$B$3:$B$5001,$A$5,BD!$AE$3:$AE$5001,"&lt;&gt;")=0,"",SUMIFS(BD!$AE$3:$AE$5001,BD!$A$3:$A$5001,H$3,BD!$B$3:$B$5001,$A$5)))</f>
        <v/>
      </c>
      <c r="I21" s="223" t="str">
        <f>IF(I$3="","",IF(COUNTIFS(BD!$A$3:$A$5001,I$3,BD!$B$3:$B$5001,$A$5,BD!$AE$3:$AE$5001,"&lt;&gt;")=0,"",SUMIFS(BD!$AE$3:$AE$5001,BD!$A$3:$A$5001,I$3,BD!$B$3:$B$5001,$A$5)))</f>
        <v/>
      </c>
      <c r="J21" s="223" t="str">
        <f>IF(J$3="","",IF(COUNTIFS(BD!$A$3:$A$5001,J$3,BD!$B$3:$B$5001,$A$5,BD!$AE$3:$AE$5001,"&lt;&gt;")=0,"",SUMIFS(BD!$AE$3:$AE$5001,BD!$A$3:$A$5001,J$3,BD!$B$3:$B$5001,$A$5)))</f>
        <v/>
      </c>
      <c r="K21" s="223" t="str">
        <f>IF(K$3="","",IF(COUNTIFS(BD!$A$3:$A$5001,K$3,BD!$B$3:$B$5001,$A$5,BD!$AE$3:$AE$5001,"&lt;&gt;")=0,"",SUMIFS(BD!$AE$3:$AE$5001,BD!$A$3:$A$5001,K$3,BD!$B$3:$B$5001,$A$5)))</f>
        <v/>
      </c>
      <c r="L21" s="223" t="str">
        <f>IF(L$3="","",IF(COUNTIFS(BD!$A$3:$A$5001,L$3,BD!$B$3:$B$5001,$A$5,BD!$AE$3:$AE$5001,"&lt;&gt;")=0,"",SUMIFS(BD!$AE$3:$AE$5001,BD!$A$3:$A$5001,L$3,BD!$B$3:$B$5001,$A$5)))</f>
        <v/>
      </c>
      <c r="M21" s="223" t="str">
        <f>IF(M$3="","",IF(COUNTIFS(BD!$A$3:$A$5001,M$3,BD!$B$3:$B$5001,$A$5,BD!$AE$3:$AE$5001,"&lt;&gt;")=0,"",SUMIFS(BD!$AE$3:$AE$5001,BD!$A$3:$A$5001,M$3,BD!$B$3:$B$5001,$A$5)))</f>
        <v/>
      </c>
      <c r="N21" s="223" t="str">
        <f>IF(N$3="","",IF(COUNTIFS(BD!$A$3:$A$5001,N$3,BD!$B$3:$B$5001,$A$5,BD!$AE$3:$AE$5001,"&lt;&gt;")=0,"",SUMIFS(BD!$AE$3:$AE$5001,BD!$A$3:$A$5001,N$3,BD!$B$3:$B$5001,$A$5)))</f>
        <v/>
      </c>
      <c r="O21" s="223" t="str">
        <f>IF(O$3="","",IF(COUNTIFS(BD!$A$3:$A$5001,O$3,BD!$B$3:$B$5001,$A$5,BD!$AE$3:$AE$5001,"&lt;&gt;")=0,"",SUMIFS(BD!$AE$3:$AE$5001,BD!$A$3:$A$5001,O$3,BD!$B$3:$B$5001,$A$5)))</f>
        <v/>
      </c>
      <c r="P21" s="223" t="str">
        <f>IF(P$3="","",IF(COUNTIFS(BD!$A$3:$A$5001,P$3,BD!$B$3:$B$5001,$A$5,BD!$AE$3:$AE$5001,"&lt;&gt;")=0,"",SUMIFS(BD!$AE$3:$AE$5001,BD!$A$3:$A$5001,P$3,BD!$B$3:$B$5001,$A$5)))</f>
        <v/>
      </c>
      <c r="Q21" s="223" t="str">
        <f>IF(Q$3="","",IF(COUNTIFS(BD!$A$3:$A$5001,Q$3,BD!$B$3:$B$5001,$A$5,BD!$AE$3:$AE$5001,"&lt;&gt;")=0,"",SUMIFS(BD!$AE$3:$AE$5001,BD!$A$3:$A$5001,Q$3,BD!$B$3:$B$5001,$A$5)))</f>
        <v/>
      </c>
      <c r="R21" s="223" t="str">
        <f>IF(R$3="","",IF(COUNTIFS(BD!$A$3:$A$5001,R$3,BD!$B$3:$B$5001,$A$5,BD!$AE$3:$AE$5001,"&lt;&gt;")=0,"",SUMIFS(BD!$AE$3:$AE$5001,BD!$A$3:$A$5001,R$3,BD!$B$3:$B$5001,$A$5)))</f>
        <v/>
      </c>
      <c r="S21" s="223" t="str">
        <f>IF(S$3="","",IF(COUNTIFS(BD!$A$3:$A$5001,S$3,BD!$B$3:$B$5001,$A$5,BD!$AE$3:$AE$5001,"&lt;&gt;")=0,"",SUMIFS(BD!$AE$3:$AE$5001,BD!$A$3:$A$5001,S$3,BD!$B$3:$B$5001,$A$5)))</f>
        <v/>
      </c>
      <c r="T21" s="223" t="str">
        <f>IF(T$3="","",IF(COUNTIFS(BD!$A$3:$A$5001,T$3,BD!$B$3:$B$5001,$A$5,BD!$AE$3:$AE$5001,"&lt;&gt;")=0,"",SUMIFS(BD!$AE$3:$AE$5001,BD!$A$3:$A$5001,T$3,BD!$B$3:$B$5001,$A$5)))</f>
        <v/>
      </c>
      <c r="U21" s="223" t="str">
        <f>IF(U$3="","",IF(COUNTIFS(BD!$A$3:$A$5001,U$3,BD!$B$3:$B$5001,$A$5,BD!$AE$3:$AE$5001,"&lt;&gt;")=0,"",SUMIFS(BD!$AE$3:$AE$5001,BD!$A$3:$A$5001,U$3,BD!$B$3:$B$5001,$A$5)))</f>
        <v/>
      </c>
      <c r="V21" s="223" t="str">
        <f>IF(V$3="","",IF(COUNTIFS(BD!$A$3:$A$5001,V$3,BD!$B$3:$B$5001,$A$5,BD!$AE$3:$AE$5001,"&lt;&gt;")=0,"",SUMIFS(BD!$AE$3:$AE$5001,BD!$A$3:$A$5001,V$3,BD!$B$3:$B$5001,$A$5)))</f>
        <v/>
      </c>
      <c r="W21" s="223" t="str">
        <f>IF(W$3="","",IF(COUNTIFS(BD!$A$3:$A$5001,W$3,BD!$B$3:$B$5001,$A$5,BD!$AE$3:$AE$5001,"&lt;&gt;")=0,"",SUMIFS(BD!$AE$3:$AE$5001,BD!$A$3:$A$5001,W$3,BD!$B$3:$B$5001,$A$5)))</f>
        <v/>
      </c>
      <c r="X21" s="223" t="str">
        <f>IF(X$3="","",IF(COUNTIFS(BD!$A$3:$A$5001,X$3,BD!$B$3:$B$5001,$A$5,BD!$AE$3:$AE$5001,"&lt;&gt;")=0,"",SUMIFS(BD!$AE$3:$AE$5001,BD!$A$3:$A$5001,X$3,BD!$B$3:$B$5001,$A$5)))</f>
        <v/>
      </c>
      <c r="Y21" s="223" t="str">
        <f>IF(Y$3="","",IF(COUNTIFS(BD!$A$3:$A$5001,Y$3,BD!$B$3:$B$5001,$A$5,BD!$AE$3:$AE$5001,"&lt;&gt;")=0,"",SUMIFS(BD!$AE$3:$AE$5001,BD!$A$3:$A$5001,Y$3,BD!$B$3:$B$5001,$A$5)))</f>
        <v/>
      </c>
      <c r="Z21" s="223" t="str">
        <f>IF(Z$3="","",IF(COUNTIFS(BD!$A$3:$A$5001,Z$3,BD!$B$3:$B$5001,$A$5,BD!$AE$3:$AE$5001,"&lt;&gt;")=0,"",SUMIFS(BD!$AE$3:$AE$5001,BD!$A$3:$A$5001,Z$3,BD!$B$3:$B$5001,$A$5)))</f>
        <v/>
      </c>
      <c r="AA21" s="223" t="str">
        <f>IF(AA$3="","",IF(COUNTIFS(BD!$A$3:$A$5001,AA$3,BD!$B$3:$B$5001,$A$5,BD!$AE$3:$AE$5001,"&lt;&gt;")=0,"",SUMIFS(BD!$AE$3:$AE$5001,BD!$A$3:$A$5001,AA$3,BD!$B$3:$B$5001,$A$5)))</f>
        <v/>
      </c>
      <c r="AB21" s="223" t="str">
        <f>IF(AB$3="","",IF(COUNTIFS(BD!$A$3:$A$5001,AB$3,BD!$B$3:$B$5001,$A$5,BD!$AE$3:$AE$5001,"&lt;&gt;")=0,"",SUMIFS(BD!$AE$3:$AE$5001,BD!$A$3:$A$5001,AB$3,BD!$B$3:$B$5001,$A$5)))</f>
        <v/>
      </c>
      <c r="AC21" s="223" t="str">
        <f>IF(AC$3="","",IF(COUNTIFS(BD!$A$3:$A$5001,AC$3,BD!$B$3:$B$5001,$A$5,BD!$AE$3:$AE$5001,"&lt;&gt;")=0,"",SUMIFS(BD!$AE$3:$AE$5001,BD!$A$3:$A$5001,AC$3,BD!$B$3:$B$5001,$A$5)))</f>
        <v/>
      </c>
      <c r="AD21" s="223" t="str">
        <f>IF(AD$3="","",IF(COUNTIFS(BD!$A$3:$A$5001,AD$3,BD!$B$3:$B$5001,$A$5,BD!$AE$3:$AE$5001,"&lt;&gt;")=0,"",SUMIFS(BD!$AE$3:$AE$5001,BD!$A$3:$A$5001,AD$3,BD!$B$3:$B$5001,$A$5)))</f>
        <v/>
      </c>
      <c r="AE21" s="223" t="str">
        <f>IF(AE$3="","",IF(COUNTIFS(BD!$A$3:$A$5001,AE$3,BD!$B$3:$B$5001,$A$5,BD!$AE$3:$AE$5001,"&lt;&gt;")=0,"",SUMIFS(BD!$AE$3:$AE$5001,BD!$A$3:$A$5001,AE$3,BD!$B$3:$B$5001,$A$5)))</f>
        <v/>
      </c>
      <c r="AF21" s="223" t="str">
        <f>IF(AF$3="","",IF(COUNTIFS(BD!$A$3:$A$5001,AF$3,BD!$B$3:$B$5001,$A$5,BD!$AE$3:$AE$5001,"&lt;&gt;")=0,"",SUMIFS(BD!$AE$3:$AE$5001,BD!$A$3:$A$5001,AF$3,BD!$B$3:$B$5001,$A$5)))</f>
        <v/>
      </c>
      <c r="AG21" s="223" t="str">
        <f>IF(AG$3="","",IF(COUNTIFS(BD!$A$3:$A$5001,AG$3,BD!$B$3:$B$5001,$A$5,BD!$AE$3:$AE$5001,"&lt;&gt;")=0,"",SUMIFS(BD!$AE$3:$AE$5001,BD!$A$3:$A$5001,AG$3,BD!$B$3:$B$5001,$A$5)))</f>
        <v/>
      </c>
      <c r="AH21" s="223" t="str">
        <f>IF(AH$3="","",IF(COUNTIFS(BD!$A$3:$A$5001,AH$3,BD!$B$3:$B$5001,$A$5,BD!$AE$3:$AE$5001,"&lt;&gt;")=0,"",SUMIFS(BD!$AE$3:$AE$5001,BD!$A$3:$A$5001,AH$3,BD!$B$3:$B$5001,$A$5)))</f>
        <v/>
      </c>
      <c r="AI21" s="223" t="str">
        <f>IF(AI$3="","",IF(COUNTIFS(BD!$A$3:$A$5001,AI$3,BD!$B$3:$B$5001,$A$5,BD!$AE$3:$AE$5001,"&lt;&gt;")=0,"",SUMIFS(BD!$AE$3:$AE$5001,BD!$A$3:$A$5001,AI$3,BD!$B$3:$B$5001,$A$5)))</f>
        <v/>
      </c>
      <c r="AJ21" s="224" t="str">
        <f>IF(AJ$3="","",IF(COUNTIFS(BD!$A$3:$A$5001,AJ$3,BD!$B$3:$B$5001,$A$5,BD!$AE$3:$AE$5001,"&lt;&gt;")=0,"",SUMIFS(BD!$AE$3:$AE$5001,BD!$A$3:$A$5001,AJ$3,BD!$B$3:$B$5001,$A$5)))</f>
        <v/>
      </c>
      <c r="AK21" s="225" t="str">
        <f>IF(COUNT(F21:AJ21)=0,"",SUM(F21:AJ21))</f>
        <v/>
      </c>
    </row>
    <row r="22" ht="15.75" customHeight="1">
      <c r="A22" s="245"/>
      <c r="B22" s="242"/>
      <c r="C22" s="226" t="inlineStr">
        <is>
          <t xml:space="preserve">Acidentes SAF</t>
        </is>
      </c>
      <c r="D22" s="227" t="str">
        <f>IFERROR(1/(1/INDEX(BD!$AJ$53:$BD$53,MATCH($A$5,BD!$AJ$22:$BD$22,0))),"")</f>
        <v/>
      </c>
      <c r="E22" s="228"/>
      <c r="F22" s="229" t="str">
        <f>IF(F$3="","",IF(COUNTIFS(BD!$A$3:$A$5001,F$3,BD!$B$3:$B$5001,$A$5,BD!$AF$3:$AF$5001,"&lt;&gt;")=0,"",SUMIFS(BD!$AF$3:$AF$5001,BD!$A$3:$A$5001,F$3,BD!$B$3:$B$5001,$A$5)))</f>
        <v/>
      </c>
      <c r="G22" s="230" t="str">
        <f>IF(G$3="","",IF(COUNTIFS(BD!$A$3:$A$5001,G$3,BD!$B$3:$B$5001,$A$5,BD!$AF$3:$AF$5001,"&lt;&gt;")=0,"",SUMIFS(BD!$AF$3:$AF$5001,BD!$A$3:$A$5001,G$3,BD!$B$3:$B$5001,$A$5)))</f>
        <v/>
      </c>
      <c r="H22" s="230" t="str">
        <f>IF(H$3="","",IF(COUNTIFS(BD!$A$3:$A$5001,H$3,BD!$B$3:$B$5001,$A$5,BD!$AF$3:$AF$5001,"&lt;&gt;")=0,"",SUMIFS(BD!$AF$3:$AF$5001,BD!$A$3:$A$5001,H$3,BD!$B$3:$B$5001,$A$5)))</f>
        <v/>
      </c>
      <c r="I22" s="230" t="str">
        <f>IF(I$3="","",IF(COUNTIFS(BD!$A$3:$A$5001,I$3,BD!$B$3:$B$5001,$A$5,BD!$AF$3:$AF$5001,"&lt;&gt;")=0,"",SUMIFS(BD!$AF$3:$AF$5001,BD!$A$3:$A$5001,I$3,BD!$B$3:$B$5001,$A$5)))</f>
        <v/>
      </c>
      <c r="J22" s="230" t="str">
        <f>IF(J$3="","",IF(COUNTIFS(BD!$A$3:$A$5001,J$3,BD!$B$3:$B$5001,$A$5,BD!$AF$3:$AF$5001,"&lt;&gt;")=0,"",SUMIFS(BD!$AF$3:$AF$5001,BD!$A$3:$A$5001,J$3,BD!$B$3:$B$5001,$A$5)))</f>
        <v/>
      </c>
      <c r="K22" s="230" t="str">
        <f>IF(K$3="","",IF(COUNTIFS(BD!$A$3:$A$5001,K$3,BD!$B$3:$B$5001,$A$5,BD!$AF$3:$AF$5001,"&lt;&gt;")=0,"",SUMIFS(BD!$AF$3:$AF$5001,BD!$A$3:$A$5001,K$3,BD!$B$3:$B$5001,$A$5)))</f>
        <v/>
      </c>
      <c r="L22" s="230" t="str">
        <f>IF(L$3="","",IF(COUNTIFS(BD!$A$3:$A$5001,L$3,BD!$B$3:$B$5001,$A$5,BD!$AF$3:$AF$5001,"&lt;&gt;")=0,"",SUMIFS(BD!$AF$3:$AF$5001,BD!$A$3:$A$5001,L$3,BD!$B$3:$B$5001,$A$5)))</f>
        <v/>
      </c>
      <c r="M22" s="230" t="str">
        <f>IF(M$3="","",IF(COUNTIFS(BD!$A$3:$A$5001,M$3,BD!$B$3:$B$5001,$A$5,BD!$AF$3:$AF$5001,"&lt;&gt;")=0,"",SUMIFS(BD!$AF$3:$AF$5001,BD!$A$3:$A$5001,M$3,BD!$B$3:$B$5001,$A$5)))</f>
        <v/>
      </c>
      <c r="N22" s="230" t="str">
        <f>IF(N$3="","",IF(COUNTIFS(BD!$A$3:$A$5001,N$3,BD!$B$3:$B$5001,$A$5,BD!$AF$3:$AF$5001,"&lt;&gt;")=0,"",SUMIFS(BD!$AF$3:$AF$5001,BD!$A$3:$A$5001,N$3,BD!$B$3:$B$5001,$A$5)))</f>
        <v/>
      </c>
      <c r="O22" s="230" t="str">
        <f>IF(O$3="","",IF(COUNTIFS(BD!$A$3:$A$5001,O$3,BD!$B$3:$B$5001,$A$5,BD!$AF$3:$AF$5001,"&lt;&gt;")=0,"",SUMIFS(BD!$AF$3:$AF$5001,BD!$A$3:$A$5001,O$3,BD!$B$3:$B$5001,$A$5)))</f>
        <v/>
      </c>
      <c r="P22" s="230" t="str">
        <f>IF(P$3="","",IF(COUNTIFS(BD!$A$3:$A$5001,P$3,BD!$B$3:$B$5001,$A$5,BD!$AF$3:$AF$5001,"&lt;&gt;")=0,"",SUMIFS(BD!$AF$3:$AF$5001,BD!$A$3:$A$5001,P$3,BD!$B$3:$B$5001,$A$5)))</f>
        <v/>
      </c>
      <c r="Q22" s="230" t="str">
        <f>IF(Q$3="","",IF(COUNTIFS(BD!$A$3:$A$5001,Q$3,BD!$B$3:$B$5001,$A$5,BD!$AF$3:$AF$5001,"&lt;&gt;")=0,"",SUMIFS(BD!$AF$3:$AF$5001,BD!$A$3:$A$5001,Q$3,BD!$B$3:$B$5001,$A$5)))</f>
        <v/>
      </c>
      <c r="R22" s="230" t="str">
        <f>IF(R$3="","",IF(COUNTIFS(BD!$A$3:$A$5001,R$3,BD!$B$3:$B$5001,$A$5,BD!$AF$3:$AF$5001,"&lt;&gt;")=0,"",SUMIFS(BD!$AF$3:$AF$5001,BD!$A$3:$A$5001,R$3,BD!$B$3:$B$5001,$A$5)))</f>
        <v/>
      </c>
      <c r="S22" s="230" t="str">
        <f>IF(S$3="","",IF(COUNTIFS(BD!$A$3:$A$5001,S$3,BD!$B$3:$B$5001,$A$5,BD!$AF$3:$AF$5001,"&lt;&gt;")=0,"",SUMIFS(BD!$AF$3:$AF$5001,BD!$A$3:$A$5001,S$3,BD!$B$3:$B$5001,$A$5)))</f>
        <v/>
      </c>
      <c r="T22" s="230" t="str">
        <f>IF(T$3="","",IF(COUNTIFS(BD!$A$3:$A$5001,T$3,BD!$B$3:$B$5001,$A$5,BD!$AF$3:$AF$5001,"&lt;&gt;")=0,"",SUMIFS(BD!$AF$3:$AF$5001,BD!$A$3:$A$5001,T$3,BD!$B$3:$B$5001,$A$5)))</f>
        <v/>
      </c>
      <c r="U22" s="230" t="str">
        <f>IF(U$3="","",IF(COUNTIFS(BD!$A$3:$A$5001,U$3,BD!$B$3:$B$5001,$A$5,BD!$AF$3:$AF$5001,"&lt;&gt;")=0,"",SUMIFS(BD!$AF$3:$AF$5001,BD!$A$3:$A$5001,U$3,BD!$B$3:$B$5001,$A$5)))</f>
        <v/>
      </c>
      <c r="V22" s="230" t="str">
        <f>IF(V$3="","",IF(COUNTIFS(BD!$A$3:$A$5001,V$3,BD!$B$3:$B$5001,$A$5,BD!$AF$3:$AF$5001,"&lt;&gt;")=0,"",SUMIFS(BD!$AF$3:$AF$5001,BD!$A$3:$A$5001,V$3,BD!$B$3:$B$5001,$A$5)))</f>
        <v/>
      </c>
      <c r="W22" s="230" t="str">
        <f>IF(W$3="","",IF(COUNTIFS(BD!$A$3:$A$5001,W$3,BD!$B$3:$B$5001,$A$5,BD!$AF$3:$AF$5001,"&lt;&gt;")=0,"",SUMIFS(BD!$AF$3:$AF$5001,BD!$A$3:$A$5001,W$3,BD!$B$3:$B$5001,$A$5)))</f>
        <v/>
      </c>
      <c r="X22" s="230" t="str">
        <f>IF(X$3="","",IF(COUNTIFS(BD!$A$3:$A$5001,X$3,BD!$B$3:$B$5001,$A$5,BD!$AF$3:$AF$5001,"&lt;&gt;")=0,"",SUMIFS(BD!$AF$3:$AF$5001,BD!$A$3:$A$5001,X$3,BD!$B$3:$B$5001,$A$5)))</f>
        <v/>
      </c>
      <c r="Y22" s="230" t="str">
        <f>IF(Y$3="","",IF(COUNTIFS(BD!$A$3:$A$5001,Y$3,BD!$B$3:$B$5001,$A$5,BD!$AF$3:$AF$5001,"&lt;&gt;")=0,"",SUMIFS(BD!$AF$3:$AF$5001,BD!$A$3:$A$5001,Y$3,BD!$B$3:$B$5001,$A$5)))</f>
        <v/>
      </c>
      <c r="Z22" s="230" t="str">
        <f>IF(Z$3="","",IF(COUNTIFS(BD!$A$3:$A$5001,Z$3,BD!$B$3:$B$5001,$A$5,BD!$AF$3:$AF$5001,"&lt;&gt;")=0,"",SUMIFS(BD!$AF$3:$AF$5001,BD!$A$3:$A$5001,Z$3,BD!$B$3:$B$5001,$A$5)))</f>
        <v/>
      </c>
      <c r="AA22" s="230" t="str">
        <f>IF(AA$3="","",IF(COUNTIFS(BD!$A$3:$A$5001,AA$3,BD!$B$3:$B$5001,$A$5,BD!$AF$3:$AF$5001,"&lt;&gt;")=0,"",SUMIFS(BD!$AF$3:$AF$5001,BD!$A$3:$A$5001,AA$3,BD!$B$3:$B$5001,$A$5)))</f>
        <v/>
      </c>
      <c r="AB22" s="230" t="str">
        <f>IF(AB$3="","",IF(COUNTIFS(BD!$A$3:$A$5001,AB$3,BD!$B$3:$B$5001,$A$5,BD!$AF$3:$AF$5001,"&lt;&gt;")=0,"",SUMIFS(BD!$AF$3:$AF$5001,BD!$A$3:$A$5001,AB$3,BD!$B$3:$B$5001,$A$5)))</f>
        <v/>
      </c>
      <c r="AC22" s="230" t="str">
        <f>IF(AC$3="","",IF(COUNTIFS(BD!$A$3:$A$5001,AC$3,BD!$B$3:$B$5001,$A$5,BD!$AF$3:$AF$5001,"&lt;&gt;")=0,"",SUMIFS(BD!$AF$3:$AF$5001,BD!$A$3:$A$5001,AC$3,BD!$B$3:$B$5001,$A$5)))</f>
        <v/>
      </c>
      <c r="AD22" s="230" t="str">
        <f>IF(AD$3="","",IF(COUNTIFS(BD!$A$3:$A$5001,AD$3,BD!$B$3:$B$5001,$A$5,BD!$AF$3:$AF$5001,"&lt;&gt;")=0,"",SUMIFS(BD!$AF$3:$AF$5001,BD!$A$3:$A$5001,AD$3,BD!$B$3:$B$5001,$A$5)))</f>
        <v/>
      </c>
      <c r="AE22" s="230" t="str">
        <f>IF(AE$3="","",IF(COUNTIFS(BD!$A$3:$A$5001,AE$3,BD!$B$3:$B$5001,$A$5,BD!$AF$3:$AF$5001,"&lt;&gt;")=0,"",SUMIFS(BD!$AF$3:$AF$5001,BD!$A$3:$A$5001,AE$3,BD!$B$3:$B$5001,$A$5)))</f>
        <v/>
      </c>
      <c r="AF22" s="230" t="str">
        <f>IF(AF$3="","",IF(COUNTIFS(BD!$A$3:$A$5001,AF$3,BD!$B$3:$B$5001,$A$5,BD!$AF$3:$AF$5001,"&lt;&gt;")=0,"",SUMIFS(BD!$AF$3:$AF$5001,BD!$A$3:$A$5001,AF$3,BD!$B$3:$B$5001,$A$5)))</f>
        <v/>
      </c>
      <c r="AG22" s="230" t="str">
        <f>IF(AG$3="","",IF(COUNTIFS(BD!$A$3:$A$5001,AG$3,BD!$B$3:$B$5001,$A$5,BD!$AF$3:$AF$5001,"&lt;&gt;")=0,"",SUMIFS(BD!$AF$3:$AF$5001,BD!$A$3:$A$5001,AG$3,BD!$B$3:$B$5001,$A$5)))</f>
        <v/>
      </c>
      <c r="AH22" s="230" t="str">
        <f>IF(AH$3="","",IF(COUNTIFS(BD!$A$3:$A$5001,AH$3,BD!$B$3:$B$5001,$A$5,BD!$AF$3:$AF$5001,"&lt;&gt;")=0,"",SUMIFS(BD!$AF$3:$AF$5001,BD!$A$3:$A$5001,AH$3,BD!$B$3:$B$5001,$A$5)))</f>
        <v/>
      </c>
      <c r="AI22" s="230" t="str">
        <f>IF(AI$3="","",IF(COUNTIFS(BD!$A$3:$A$5001,AI$3,BD!$B$3:$B$5001,$A$5,BD!$AF$3:$AF$5001,"&lt;&gt;")=0,"",SUMIFS(BD!$AF$3:$AF$5001,BD!$A$3:$A$5001,AI$3,BD!$B$3:$B$5001,$A$5)))</f>
        <v/>
      </c>
      <c r="AJ22" s="231" t="str">
        <f>IF(AJ$3="","",IF(COUNTIFS(BD!$A$3:$A$5001,AJ$3,BD!$B$3:$B$5001,$A$5,BD!$AF$3:$AF$5001,"&lt;&gt;")=0,"",SUMIFS(BD!$AF$3:$AF$5001,BD!$A$3:$A$5001,AJ$3,BD!$B$3:$B$5001,$A$5)))</f>
        <v/>
      </c>
      <c r="AK22" s="227" t="str">
        <f>IF(COUNT(F22:AJ22)=0,"",SUM(F22:AJ22))</f>
        <v/>
      </c>
    </row>
    <row r="24" ht="15.75" customHeight="1">
      <c r="A24" s="243" t="inlineStr">
        <is>
          <t xml:space="preserve">Basf</t>
        </is>
      </c>
      <c r="B24" s="232" t="inlineStr">
        <is>
          <t xml:space="preserve">IN</t>
        </is>
      </c>
      <c r="C24" s="155" t="inlineStr">
        <is>
          <t xml:space="preserve">Veículos Recebidos</t>
        </is>
      </c>
      <c r="D24" s="156" t="str">
        <f>IFERROR(1/(1/INDEX(BD!$AJ$23:$BD$23,MATCH($A$24,BD!$AJ$22:$BD$22,0))),"")</f>
        <v/>
      </c>
      <c r="E24" s="157"/>
      <c r="F24" s="158" t="str">
        <f>IF(F$3="","",IF(COUNTIFS(BD!$A$3:$A$5001,F$3,BD!$B$3:$B$5001,$A$24,BD!$C$3:$C$5001,"&lt;&gt;")=0,"",SUMIFS(BD!$C$3:$C$5001,BD!$A$3:$A$5001,F$3,BD!$B$3:$B$5001,$A$24)))</f>
        <v/>
      </c>
      <c r="G24" s="159" t="str">
        <f>IF(G$3="","",IF(COUNTIFS(BD!$A$3:$A$5001,G$3,BD!$B$3:$B$5001,$A$24,BD!$C$3:$C$5001,"&lt;&gt;")=0,"",SUMIFS(BD!$C$3:$C$5001,BD!$A$3:$A$5001,G$3,BD!$B$3:$B$5001,$A$24)))</f>
        <v/>
      </c>
      <c r="H24" s="159" t="str">
        <f>IF(H$3="","",IF(COUNTIFS(BD!$A$3:$A$5001,H$3,BD!$B$3:$B$5001,$A$24,BD!$C$3:$C$5001,"&lt;&gt;")=0,"",SUMIFS(BD!$C$3:$C$5001,BD!$A$3:$A$5001,H$3,BD!$B$3:$B$5001,$A$24)))</f>
        <v/>
      </c>
      <c r="I24" s="159" t="str">
        <f>IF(I$3="","",IF(COUNTIFS(BD!$A$3:$A$5001,I$3,BD!$B$3:$B$5001,$A$24,BD!$C$3:$C$5001,"&lt;&gt;")=0,"",SUMIFS(BD!$C$3:$C$5001,BD!$A$3:$A$5001,I$3,BD!$B$3:$B$5001,$A$24)))</f>
        <v/>
      </c>
      <c r="J24" s="159" t="str">
        <f>IF(J$3="","",IF(COUNTIFS(BD!$A$3:$A$5001,J$3,BD!$B$3:$B$5001,$A$24,BD!$C$3:$C$5001,"&lt;&gt;")=0,"",SUMIFS(BD!$C$3:$C$5001,BD!$A$3:$A$5001,J$3,BD!$B$3:$B$5001,$A$24)))</f>
        <v/>
      </c>
      <c r="K24" s="159" t="str">
        <f>IF(K$3="","",IF(COUNTIFS(BD!$A$3:$A$5001,K$3,BD!$B$3:$B$5001,$A$24,BD!$C$3:$C$5001,"&lt;&gt;")=0,"",SUMIFS(BD!$C$3:$C$5001,BD!$A$3:$A$5001,K$3,BD!$B$3:$B$5001,$A$24)))</f>
        <v/>
      </c>
      <c r="L24" s="159" t="str">
        <f>IF(L$3="","",IF(COUNTIFS(BD!$A$3:$A$5001,L$3,BD!$B$3:$B$5001,$A$24,BD!$C$3:$C$5001,"&lt;&gt;")=0,"",SUMIFS(BD!$C$3:$C$5001,BD!$A$3:$A$5001,L$3,BD!$B$3:$B$5001,$A$24)))</f>
        <v/>
      </c>
      <c r="M24" s="159" t="str">
        <f>IF(M$3="","",IF(COUNTIFS(BD!$A$3:$A$5001,M$3,BD!$B$3:$B$5001,$A$24,BD!$C$3:$C$5001,"&lt;&gt;")=0,"",SUMIFS(BD!$C$3:$C$5001,BD!$A$3:$A$5001,M$3,BD!$B$3:$B$5001,$A$24)))</f>
        <v/>
      </c>
      <c r="N24" s="159" t="str">
        <f>IF(N$3="","",IF(COUNTIFS(BD!$A$3:$A$5001,N$3,BD!$B$3:$B$5001,$A$24,BD!$C$3:$C$5001,"&lt;&gt;")=0,"",SUMIFS(BD!$C$3:$C$5001,BD!$A$3:$A$5001,N$3,BD!$B$3:$B$5001,$A$24)))</f>
        <v/>
      </c>
      <c r="O24" s="159" t="str">
        <f>IF(O$3="","",IF(COUNTIFS(BD!$A$3:$A$5001,O$3,BD!$B$3:$B$5001,$A$24,BD!$C$3:$C$5001,"&lt;&gt;")=0,"",SUMIFS(BD!$C$3:$C$5001,BD!$A$3:$A$5001,O$3,BD!$B$3:$B$5001,$A$24)))</f>
        <v/>
      </c>
      <c r="P24" s="159" t="str">
        <f>IF(P$3="","",IF(COUNTIFS(BD!$A$3:$A$5001,P$3,BD!$B$3:$B$5001,$A$24,BD!$C$3:$C$5001,"&lt;&gt;")=0,"",SUMIFS(BD!$C$3:$C$5001,BD!$A$3:$A$5001,P$3,BD!$B$3:$B$5001,$A$24)))</f>
        <v/>
      </c>
      <c r="Q24" s="159" t="str">
        <f>IF(Q$3="","",IF(COUNTIFS(BD!$A$3:$A$5001,Q$3,BD!$B$3:$B$5001,$A$24,BD!$C$3:$C$5001,"&lt;&gt;")=0,"",SUMIFS(BD!$C$3:$C$5001,BD!$A$3:$A$5001,Q$3,BD!$B$3:$B$5001,$A$24)))</f>
        <v/>
      </c>
      <c r="R24" s="159" t="str">
        <f>IF(R$3="","",IF(COUNTIFS(BD!$A$3:$A$5001,R$3,BD!$B$3:$B$5001,$A$24,BD!$C$3:$C$5001,"&lt;&gt;")=0,"",SUMIFS(BD!$C$3:$C$5001,BD!$A$3:$A$5001,R$3,BD!$B$3:$B$5001,$A$24)))</f>
        <v/>
      </c>
      <c r="S24" s="159" t="str">
        <f>IF(S$3="","",IF(COUNTIFS(BD!$A$3:$A$5001,S$3,BD!$B$3:$B$5001,$A$24,BD!$C$3:$C$5001,"&lt;&gt;")=0,"",SUMIFS(BD!$C$3:$C$5001,BD!$A$3:$A$5001,S$3,BD!$B$3:$B$5001,$A$24)))</f>
        <v/>
      </c>
      <c r="T24" s="159" t="str">
        <f>IF(T$3="","",IF(COUNTIFS(BD!$A$3:$A$5001,T$3,BD!$B$3:$B$5001,$A$24,BD!$C$3:$C$5001,"&lt;&gt;")=0,"",SUMIFS(BD!$C$3:$C$5001,BD!$A$3:$A$5001,T$3,BD!$B$3:$B$5001,$A$24)))</f>
        <v/>
      </c>
      <c r="U24" s="159" t="str">
        <f>IF(U$3="","",IF(COUNTIFS(BD!$A$3:$A$5001,U$3,BD!$B$3:$B$5001,$A$24,BD!$C$3:$C$5001,"&lt;&gt;")=0,"",SUMIFS(BD!$C$3:$C$5001,BD!$A$3:$A$5001,U$3,BD!$B$3:$B$5001,$A$24)))</f>
        <v/>
      </c>
      <c r="V24" s="159" t="str">
        <f>IF(V$3="","",IF(COUNTIFS(BD!$A$3:$A$5001,V$3,BD!$B$3:$B$5001,$A$24,BD!$C$3:$C$5001,"&lt;&gt;")=0,"",SUMIFS(BD!$C$3:$C$5001,BD!$A$3:$A$5001,V$3,BD!$B$3:$B$5001,$A$24)))</f>
        <v/>
      </c>
      <c r="W24" s="159" t="str">
        <f>IF(W$3="","",IF(COUNTIFS(BD!$A$3:$A$5001,W$3,BD!$B$3:$B$5001,$A$24,BD!$C$3:$C$5001,"&lt;&gt;")=0,"",SUMIFS(BD!$C$3:$C$5001,BD!$A$3:$A$5001,W$3,BD!$B$3:$B$5001,$A$24)))</f>
        <v/>
      </c>
      <c r="X24" s="159" t="str">
        <f>IF(X$3="","",IF(COUNTIFS(BD!$A$3:$A$5001,X$3,BD!$B$3:$B$5001,$A$24,BD!$C$3:$C$5001,"&lt;&gt;")=0,"",SUMIFS(BD!$C$3:$C$5001,BD!$A$3:$A$5001,X$3,BD!$B$3:$B$5001,$A$24)))</f>
        <v/>
      </c>
      <c r="Y24" s="159" t="str">
        <f>IF(Y$3="","",IF(COUNTIFS(BD!$A$3:$A$5001,Y$3,BD!$B$3:$B$5001,$A$24,BD!$C$3:$C$5001,"&lt;&gt;")=0,"",SUMIFS(BD!$C$3:$C$5001,BD!$A$3:$A$5001,Y$3,BD!$B$3:$B$5001,$A$24)))</f>
        <v/>
      </c>
      <c r="Z24" s="159" t="str">
        <f>IF(Z$3="","",IF(COUNTIFS(BD!$A$3:$A$5001,Z$3,BD!$B$3:$B$5001,$A$24,BD!$C$3:$C$5001,"&lt;&gt;")=0,"",SUMIFS(BD!$C$3:$C$5001,BD!$A$3:$A$5001,Z$3,BD!$B$3:$B$5001,$A$24)))</f>
        <v/>
      </c>
      <c r="AA24" s="159" t="str">
        <f>IF(AA$3="","",IF(COUNTIFS(BD!$A$3:$A$5001,AA$3,BD!$B$3:$B$5001,$A$24,BD!$C$3:$C$5001,"&lt;&gt;")=0,"",SUMIFS(BD!$C$3:$C$5001,BD!$A$3:$A$5001,AA$3,BD!$B$3:$B$5001,$A$24)))</f>
        <v/>
      </c>
      <c r="AB24" s="159" t="str">
        <f>IF(AB$3="","",IF(COUNTIFS(BD!$A$3:$A$5001,AB$3,BD!$B$3:$B$5001,$A$24,BD!$C$3:$C$5001,"&lt;&gt;")=0,"",SUMIFS(BD!$C$3:$C$5001,BD!$A$3:$A$5001,AB$3,BD!$B$3:$B$5001,$A$24)))</f>
        <v/>
      </c>
      <c r="AC24" s="159" t="str">
        <f>IF(AC$3="","",IF(COUNTIFS(BD!$A$3:$A$5001,AC$3,BD!$B$3:$B$5001,$A$24,BD!$C$3:$C$5001,"&lt;&gt;")=0,"",SUMIFS(BD!$C$3:$C$5001,BD!$A$3:$A$5001,AC$3,BD!$B$3:$B$5001,$A$24)))</f>
        <v/>
      </c>
      <c r="AD24" s="159" t="str">
        <f>IF(AD$3="","",IF(COUNTIFS(BD!$A$3:$A$5001,AD$3,BD!$B$3:$B$5001,$A$24,BD!$C$3:$C$5001,"&lt;&gt;")=0,"",SUMIFS(BD!$C$3:$C$5001,BD!$A$3:$A$5001,AD$3,BD!$B$3:$B$5001,$A$24)))</f>
        <v/>
      </c>
      <c r="AE24" s="159" t="str">
        <f>IF(AE$3="","",IF(COUNTIFS(BD!$A$3:$A$5001,AE$3,BD!$B$3:$B$5001,$A$24,BD!$C$3:$C$5001,"&lt;&gt;")=0,"",SUMIFS(BD!$C$3:$C$5001,BD!$A$3:$A$5001,AE$3,BD!$B$3:$B$5001,$A$24)))</f>
        <v/>
      </c>
      <c r="AF24" s="159" t="str">
        <f>IF(AF$3="","",IF(COUNTIFS(BD!$A$3:$A$5001,AF$3,BD!$B$3:$B$5001,$A$24,BD!$C$3:$C$5001,"&lt;&gt;")=0,"",SUMIFS(BD!$C$3:$C$5001,BD!$A$3:$A$5001,AF$3,BD!$B$3:$B$5001,$A$24)))</f>
        <v/>
      </c>
      <c r="AG24" s="159" t="str">
        <f>IF(AG$3="","",IF(COUNTIFS(BD!$A$3:$A$5001,AG$3,BD!$B$3:$B$5001,$A$24,BD!$C$3:$C$5001,"&lt;&gt;")=0,"",SUMIFS(BD!$C$3:$C$5001,BD!$A$3:$A$5001,AG$3,BD!$B$3:$B$5001,$A$24)))</f>
        <v/>
      </c>
      <c r="AH24" s="159" t="str">
        <f>IF(AH$3="","",IF(COUNTIFS(BD!$A$3:$A$5001,AH$3,BD!$B$3:$B$5001,$A$24,BD!$C$3:$C$5001,"&lt;&gt;")=0,"",SUMIFS(BD!$C$3:$C$5001,BD!$A$3:$A$5001,AH$3,BD!$B$3:$B$5001,$A$24)))</f>
        <v/>
      </c>
      <c r="AI24" s="159" t="str">
        <f>IF(AI$3="","",IF(COUNTIFS(BD!$A$3:$A$5001,AI$3,BD!$B$3:$B$5001,$A$24,BD!$C$3:$C$5001,"&lt;&gt;")=0,"",SUMIFS(BD!$C$3:$C$5001,BD!$A$3:$A$5001,AI$3,BD!$B$3:$B$5001,$A$24)))</f>
        <v/>
      </c>
      <c r="AJ24" s="160" t="str">
        <f>IF(AJ$3="","",IF(COUNTIFS(BD!$A$3:$A$5001,AJ$3,BD!$B$3:$B$5001,$A$24,BD!$C$3:$C$5001,"&lt;&gt;")=0,"",SUMIFS(BD!$C$3:$C$5001,BD!$A$3:$A$5001,AJ$3,BD!$B$3:$B$5001,$A$24)))</f>
        <v/>
      </c>
      <c r="AK24" s="161" t="str">
        <f>IF(COUNT(F24:AJ24)=0,"",SUM(F24:AJ24))</f>
        <v/>
      </c>
    </row>
    <row r="25" ht="15.75" customHeight="1">
      <c r="A25" s="244"/>
      <c r="B25" s="239"/>
      <c r="C25" s="201" t="inlineStr">
        <is>
          <t xml:space="preserve">Pallets Movimentados</t>
        </is>
      </c>
      <c r="D25" s="202" t="str">
        <f>IFERROR(1/(1/INDEX(BD!$AJ$24:$BD$24,MATCH($A$24,BD!$AJ$22:$BD$22,0))),"")</f>
        <v/>
      </c>
      <c r="E25" s="203"/>
      <c r="F25" s="204" t="str">
        <f>IF(F$3="","",IF(COUNTIFS(BD!$A$3:$A$5001,F$3,BD!$B$3:$B$5001,$A$24,BD!$D$3:$D$5001,"&lt;&gt;")=0,"",SUMIFS(BD!$D$3:$D$5001,BD!$A$3:$A$5001,F$3,BD!$B$3:$B$5001,$A$24)))</f>
        <v/>
      </c>
      <c r="G25" s="205" t="str">
        <f>IF(G$3="","",IF(COUNTIFS(BD!$A$3:$A$5001,G$3,BD!$B$3:$B$5001,$A$24,BD!$D$3:$D$5001,"&lt;&gt;")=0,"",SUMIFS(BD!$D$3:$D$5001,BD!$A$3:$A$5001,G$3,BD!$B$3:$B$5001,$A$24)))</f>
        <v/>
      </c>
      <c r="H25" s="205" t="str">
        <f>IF(H$3="","",IF(COUNTIFS(BD!$A$3:$A$5001,H$3,BD!$B$3:$B$5001,$A$24,BD!$D$3:$D$5001,"&lt;&gt;")=0,"",SUMIFS(BD!$D$3:$D$5001,BD!$A$3:$A$5001,H$3,BD!$B$3:$B$5001,$A$24)))</f>
        <v/>
      </c>
      <c r="I25" s="205" t="str">
        <f>IF(I$3="","",IF(COUNTIFS(BD!$A$3:$A$5001,I$3,BD!$B$3:$B$5001,$A$24,BD!$D$3:$D$5001,"&lt;&gt;")=0,"",SUMIFS(BD!$D$3:$D$5001,BD!$A$3:$A$5001,I$3,BD!$B$3:$B$5001,$A$24)))</f>
        <v/>
      </c>
      <c r="J25" s="205" t="str">
        <f>IF(J$3="","",IF(COUNTIFS(BD!$A$3:$A$5001,J$3,BD!$B$3:$B$5001,$A$24,BD!$D$3:$D$5001,"&lt;&gt;")=0,"",SUMIFS(BD!$D$3:$D$5001,BD!$A$3:$A$5001,J$3,BD!$B$3:$B$5001,$A$24)))</f>
        <v/>
      </c>
      <c r="K25" s="205" t="str">
        <f>IF(K$3="","",IF(COUNTIFS(BD!$A$3:$A$5001,K$3,BD!$B$3:$B$5001,$A$24,BD!$D$3:$D$5001,"&lt;&gt;")=0,"",SUMIFS(BD!$D$3:$D$5001,BD!$A$3:$A$5001,K$3,BD!$B$3:$B$5001,$A$24)))</f>
        <v/>
      </c>
      <c r="L25" s="205" t="str">
        <f>IF(L$3="","",IF(COUNTIFS(BD!$A$3:$A$5001,L$3,BD!$B$3:$B$5001,$A$24,BD!$D$3:$D$5001,"&lt;&gt;")=0,"",SUMIFS(BD!$D$3:$D$5001,BD!$A$3:$A$5001,L$3,BD!$B$3:$B$5001,$A$24)))</f>
        <v/>
      </c>
      <c r="M25" s="205" t="str">
        <f>IF(M$3="","",IF(COUNTIFS(BD!$A$3:$A$5001,M$3,BD!$B$3:$B$5001,$A$24,BD!$D$3:$D$5001,"&lt;&gt;")=0,"",SUMIFS(BD!$D$3:$D$5001,BD!$A$3:$A$5001,M$3,BD!$B$3:$B$5001,$A$24)))</f>
        <v/>
      </c>
      <c r="N25" s="205" t="str">
        <f>IF(N$3="","",IF(COUNTIFS(BD!$A$3:$A$5001,N$3,BD!$B$3:$B$5001,$A$24,BD!$D$3:$D$5001,"&lt;&gt;")=0,"",SUMIFS(BD!$D$3:$D$5001,BD!$A$3:$A$5001,N$3,BD!$B$3:$B$5001,$A$24)))</f>
        <v/>
      </c>
      <c r="O25" s="205" t="str">
        <f>IF(O$3="","",IF(COUNTIFS(BD!$A$3:$A$5001,O$3,BD!$B$3:$B$5001,$A$24,BD!$D$3:$D$5001,"&lt;&gt;")=0,"",SUMIFS(BD!$D$3:$D$5001,BD!$A$3:$A$5001,O$3,BD!$B$3:$B$5001,$A$24)))</f>
        <v/>
      </c>
      <c r="P25" s="205" t="str">
        <f>IF(P$3="","",IF(COUNTIFS(BD!$A$3:$A$5001,P$3,BD!$B$3:$B$5001,$A$24,BD!$D$3:$D$5001,"&lt;&gt;")=0,"",SUMIFS(BD!$D$3:$D$5001,BD!$A$3:$A$5001,P$3,BD!$B$3:$B$5001,$A$24)))</f>
        <v/>
      </c>
      <c r="Q25" s="205" t="str">
        <f>IF(Q$3="","",IF(COUNTIFS(BD!$A$3:$A$5001,Q$3,BD!$B$3:$B$5001,$A$24,BD!$D$3:$D$5001,"&lt;&gt;")=0,"",SUMIFS(BD!$D$3:$D$5001,BD!$A$3:$A$5001,Q$3,BD!$B$3:$B$5001,$A$24)))</f>
        <v/>
      </c>
      <c r="R25" s="205" t="str">
        <f>IF(R$3="","",IF(COUNTIFS(BD!$A$3:$A$5001,R$3,BD!$B$3:$B$5001,$A$24,BD!$D$3:$D$5001,"&lt;&gt;")=0,"",SUMIFS(BD!$D$3:$D$5001,BD!$A$3:$A$5001,R$3,BD!$B$3:$B$5001,$A$24)))</f>
        <v/>
      </c>
      <c r="S25" s="205" t="str">
        <f>IF(S$3="","",IF(COUNTIFS(BD!$A$3:$A$5001,S$3,BD!$B$3:$B$5001,$A$24,BD!$D$3:$D$5001,"&lt;&gt;")=0,"",SUMIFS(BD!$D$3:$D$5001,BD!$A$3:$A$5001,S$3,BD!$B$3:$B$5001,$A$24)))</f>
        <v/>
      </c>
      <c r="T25" s="205" t="str">
        <f>IF(T$3="","",IF(COUNTIFS(BD!$A$3:$A$5001,T$3,BD!$B$3:$B$5001,$A$24,BD!$D$3:$D$5001,"&lt;&gt;")=0,"",SUMIFS(BD!$D$3:$D$5001,BD!$A$3:$A$5001,T$3,BD!$B$3:$B$5001,$A$24)))</f>
        <v/>
      </c>
      <c r="U25" s="205" t="str">
        <f>IF(U$3="","",IF(COUNTIFS(BD!$A$3:$A$5001,U$3,BD!$B$3:$B$5001,$A$24,BD!$D$3:$D$5001,"&lt;&gt;")=0,"",SUMIFS(BD!$D$3:$D$5001,BD!$A$3:$A$5001,U$3,BD!$B$3:$B$5001,$A$24)))</f>
        <v/>
      </c>
      <c r="V25" s="205" t="str">
        <f>IF(V$3="","",IF(COUNTIFS(BD!$A$3:$A$5001,V$3,BD!$B$3:$B$5001,$A$24,BD!$D$3:$D$5001,"&lt;&gt;")=0,"",SUMIFS(BD!$D$3:$D$5001,BD!$A$3:$A$5001,V$3,BD!$B$3:$B$5001,$A$24)))</f>
        <v/>
      </c>
      <c r="W25" s="205" t="str">
        <f>IF(W$3="","",IF(COUNTIFS(BD!$A$3:$A$5001,W$3,BD!$B$3:$B$5001,$A$24,BD!$D$3:$D$5001,"&lt;&gt;")=0,"",SUMIFS(BD!$D$3:$D$5001,BD!$A$3:$A$5001,W$3,BD!$B$3:$B$5001,$A$24)))</f>
        <v/>
      </c>
      <c r="X25" s="205" t="str">
        <f>IF(X$3="","",IF(COUNTIFS(BD!$A$3:$A$5001,X$3,BD!$B$3:$B$5001,$A$24,BD!$D$3:$D$5001,"&lt;&gt;")=0,"",SUMIFS(BD!$D$3:$D$5001,BD!$A$3:$A$5001,X$3,BD!$B$3:$B$5001,$A$24)))</f>
        <v/>
      </c>
      <c r="Y25" s="205" t="str">
        <f>IF(Y$3="","",IF(COUNTIFS(BD!$A$3:$A$5001,Y$3,BD!$B$3:$B$5001,$A$24,BD!$D$3:$D$5001,"&lt;&gt;")=0,"",SUMIFS(BD!$D$3:$D$5001,BD!$A$3:$A$5001,Y$3,BD!$B$3:$B$5001,$A$24)))</f>
        <v/>
      </c>
      <c r="Z25" s="205" t="str">
        <f>IF(Z$3="","",IF(COUNTIFS(BD!$A$3:$A$5001,Z$3,BD!$B$3:$B$5001,$A$24,BD!$D$3:$D$5001,"&lt;&gt;")=0,"",SUMIFS(BD!$D$3:$D$5001,BD!$A$3:$A$5001,Z$3,BD!$B$3:$B$5001,$A$24)))</f>
        <v/>
      </c>
      <c r="AA25" s="205" t="str">
        <f>IF(AA$3="","",IF(COUNTIFS(BD!$A$3:$A$5001,AA$3,BD!$B$3:$B$5001,$A$24,BD!$D$3:$D$5001,"&lt;&gt;")=0,"",SUMIFS(BD!$D$3:$D$5001,BD!$A$3:$A$5001,AA$3,BD!$B$3:$B$5001,$A$24)))</f>
        <v/>
      </c>
      <c r="AB25" s="205" t="str">
        <f>IF(AB$3="","",IF(COUNTIFS(BD!$A$3:$A$5001,AB$3,BD!$B$3:$B$5001,$A$24,BD!$D$3:$D$5001,"&lt;&gt;")=0,"",SUMIFS(BD!$D$3:$D$5001,BD!$A$3:$A$5001,AB$3,BD!$B$3:$B$5001,$A$24)))</f>
        <v/>
      </c>
      <c r="AC25" s="205" t="str">
        <f>IF(AC$3="","",IF(COUNTIFS(BD!$A$3:$A$5001,AC$3,BD!$B$3:$B$5001,$A$24,BD!$D$3:$D$5001,"&lt;&gt;")=0,"",SUMIFS(BD!$D$3:$D$5001,BD!$A$3:$A$5001,AC$3,BD!$B$3:$B$5001,$A$24)))</f>
        <v/>
      </c>
      <c r="AD25" s="205" t="str">
        <f>IF(AD$3="","",IF(COUNTIFS(BD!$A$3:$A$5001,AD$3,BD!$B$3:$B$5001,$A$24,BD!$D$3:$D$5001,"&lt;&gt;")=0,"",SUMIFS(BD!$D$3:$D$5001,BD!$A$3:$A$5001,AD$3,BD!$B$3:$B$5001,$A$24)))</f>
        <v/>
      </c>
      <c r="AE25" s="205" t="str">
        <f>IF(AE$3="","",IF(COUNTIFS(BD!$A$3:$A$5001,AE$3,BD!$B$3:$B$5001,$A$24,BD!$D$3:$D$5001,"&lt;&gt;")=0,"",SUMIFS(BD!$D$3:$D$5001,BD!$A$3:$A$5001,AE$3,BD!$B$3:$B$5001,$A$24)))</f>
        <v/>
      </c>
      <c r="AF25" s="205" t="str">
        <f>IF(AF$3="","",IF(COUNTIFS(BD!$A$3:$A$5001,AF$3,BD!$B$3:$B$5001,$A$24,BD!$D$3:$D$5001,"&lt;&gt;")=0,"",SUMIFS(BD!$D$3:$D$5001,BD!$A$3:$A$5001,AF$3,BD!$B$3:$B$5001,$A$24)))</f>
        <v/>
      </c>
      <c r="AG25" s="205" t="str">
        <f>IF(AG$3="","",IF(COUNTIFS(BD!$A$3:$A$5001,AG$3,BD!$B$3:$B$5001,$A$24,BD!$D$3:$D$5001,"&lt;&gt;")=0,"",SUMIFS(BD!$D$3:$D$5001,BD!$A$3:$A$5001,AG$3,BD!$B$3:$B$5001,$A$24)))</f>
        <v/>
      </c>
      <c r="AH25" s="205" t="str">
        <f>IF(AH$3="","",IF(COUNTIFS(BD!$A$3:$A$5001,AH$3,BD!$B$3:$B$5001,$A$24,BD!$D$3:$D$5001,"&lt;&gt;")=0,"",SUMIFS(BD!$D$3:$D$5001,BD!$A$3:$A$5001,AH$3,BD!$B$3:$B$5001,$A$24)))</f>
        <v/>
      </c>
      <c r="AI25" s="205" t="str">
        <f>IF(AI$3="","",IF(COUNTIFS(BD!$A$3:$A$5001,AI$3,BD!$B$3:$B$5001,$A$24,BD!$D$3:$D$5001,"&lt;&gt;")=0,"",SUMIFS(BD!$D$3:$D$5001,BD!$A$3:$A$5001,AI$3,BD!$B$3:$B$5001,$A$24)))</f>
        <v/>
      </c>
      <c r="AJ25" s="206" t="str">
        <f>IF(AJ$3="","",IF(COUNTIFS(BD!$A$3:$A$5001,AJ$3,BD!$B$3:$B$5001,$A$24,BD!$D$3:$D$5001,"&lt;&gt;")=0,"",SUMIFS(BD!$D$3:$D$5001,BD!$A$3:$A$5001,AJ$3,BD!$B$3:$B$5001,$A$24)))</f>
        <v/>
      </c>
      <c r="AK25" s="207" t="str">
        <f>IF(COUNT(F25:AJ25)=0,"",SUM(F25:AJ25))</f>
        <v/>
      </c>
    </row>
    <row r="26" ht="15.75" customHeight="1">
      <c r="A26" s="244"/>
      <c r="B26" s="233"/>
      <c r="C26" s="162" t="inlineStr">
        <is>
          <t xml:space="preserve">Toneladas Movimentadas</t>
        </is>
      </c>
      <c r="D26" s="163" t="str">
        <f>IFERROR(1/(1/INDEX(BD!$AJ$25:$BD$25,MATCH($A$24,BD!$AJ$22:$BD$22,0))),"")</f>
        <v/>
      </c>
      <c r="E26" s="164"/>
      <c r="F26" s="246" t="str">
        <f>IF(F$3="","",IF(COUNTIFS(BD!$A$3:$A$5001,F$3,BD!$B$3:$B$5001,$A$24,BD!$E$3:$E$5001,"&lt;&gt;")=0,"",SUMIFS(BD!$E$3:$E$5001,BD!$A$3:$A$5001,F$3,BD!$B$3:$B$5001,$A$24)))</f>
        <v/>
      </c>
      <c r="G26" s="247" t="str">
        <f>IF(G$3="","",IF(COUNTIFS(BD!$A$3:$A$5001,G$3,BD!$B$3:$B$5001,$A$24,BD!$E$3:$E$5001,"&lt;&gt;")=0,"",SUMIFS(BD!$E$3:$E$5001,BD!$A$3:$A$5001,G$3,BD!$B$3:$B$5001,$A$24)))</f>
        <v/>
      </c>
      <c r="H26" s="247" t="str">
        <f>IF(H$3="","",IF(COUNTIFS(BD!$A$3:$A$5001,H$3,BD!$B$3:$B$5001,$A$24,BD!$E$3:$E$5001,"&lt;&gt;")=0,"",SUMIFS(BD!$E$3:$E$5001,BD!$A$3:$A$5001,H$3,BD!$B$3:$B$5001,$A$24)))</f>
        <v/>
      </c>
      <c r="I26" s="247" t="str">
        <f>IF(I$3="","",IF(COUNTIFS(BD!$A$3:$A$5001,I$3,BD!$B$3:$B$5001,$A$24,BD!$E$3:$E$5001,"&lt;&gt;")=0,"",SUMIFS(BD!$E$3:$E$5001,BD!$A$3:$A$5001,I$3,BD!$B$3:$B$5001,$A$24)))</f>
        <v/>
      </c>
      <c r="J26" s="247" t="str">
        <f>IF(J$3="","",IF(COUNTIFS(BD!$A$3:$A$5001,J$3,BD!$B$3:$B$5001,$A$24,BD!$E$3:$E$5001,"&lt;&gt;")=0,"",SUMIFS(BD!$E$3:$E$5001,BD!$A$3:$A$5001,J$3,BD!$B$3:$B$5001,$A$24)))</f>
        <v/>
      </c>
      <c r="K26" s="247" t="str">
        <f>IF(K$3="","",IF(COUNTIFS(BD!$A$3:$A$5001,K$3,BD!$B$3:$B$5001,$A$24,BD!$E$3:$E$5001,"&lt;&gt;")=0,"",SUMIFS(BD!$E$3:$E$5001,BD!$A$3:$A$5001,K$3,BD!$B$3:$B$5001,$A$24)))</f>
        <v/>
      </c>
      <c r="L26" s="247" t="str">
        <f>IF(L$3="","",IF(COUNTIFS(BD!$A$3:$A$5001,L$3,BD!$B$3:$B$5001,$A$24,BD!$E$3:$E$5001,"&lt;&gt;")=0,"",SUMIFS(BD!$E$3:$E$5001,BD!$A$3:$A$5001,L$3,BD!$B$3:$B$5001,$A$24)))</f>
        <v/>
      </c>
      <c r="M26" s="247" t="str">
        <f>IF(M$3="","",IF(COUNTIFS(BD!$A$3:$A$5001,M$3,BD!$B$3:$B$5001,$A$24,BD!$E$3:$E$5001,"&lt;&gt;")=0,"",SUMIFS(BD!$E$3:$E$5001,BD!$A$3:$A$5001,M$3,BD!$B$3:$B$5001,$A$24)))</f>
        <v/>
      </c>
      <c r="N26" s="247" t="str">
        <f>IF(N$3="","",IF(COUNTIFS(BD!$A$3:$A$5001,N$3,BD!$B$3:$B$5001,$A$24,BD!$E$3:$E$5001,"&lt;&gt;")=0,"",SUMIFS(BD!$E$3:$E$5001,BD!$A$3:$A$5001,N$3,BD!$B$3:$B$5001,$A$24)))</f>
        <v/>
      </c>
      <c r="O26" s="247" t="str">
        <f>IF(O$3="","",IF(COUNTIFS(BD!$A$3:$A$5001,O$3,BD!$B$3:$B$5001,$A$24,BD!$E$3:$E$5001,"&lt;&gt;")=0,"",SUMIFS(BD!$E$3:$E$5001,BD!$A$3:$A$5001,O$3,BD!$B$3:$B$5001,$A$24)))</f>
        <v/>
      </c>
      <c r="P26" s="247" t="str">
        <f>IF(P$3="","",IF(COUNTIFS(BD!$A$3:$A$5001,P$3,BD!$B$3:$B$5001,$A$24,BD!$E$3:$E$5001,"&lt;&gt;")=0,"",SUMIFS(BD!$E$3:$E$5001,BD!$A$3:$A$5001,P$3,BD!$B$3:$B$5001,$A$24)))</f>
        <v/>
      </c>
      <c r="Q26" s="247" t="str">
        <f>IF(Q$3="","",IF(COUNTIFS(BD!$A$3:$A$5001,Q$3,BD!$B$3:$B$5001,$A$24,BD!$E$3:$E$5001,"&lt;&gt;")=0,"",SUMIFS(BD!$E$3:$E$5001,BD!$A$3:$A$5001,Q$3,BD!$B$3:$B$5001,$A$24)))</f>
        <v/>
      </c>
      <c r="R26" s="247" t="str">
        <f>IF(R$3="","",IF(COUNTIFS(BD!$A$3:$A$5001,R$3,BD!$B$3:$B$5001,$A$24,BD!$E$3:$E$5001,"&lt;&gt;")=0,"",SUMIFS(BD!$E$3:$E$5001,BD!$A$3:$A$5001,R$3,BD!$B$3:$B$5001,$A$24)))</f>
        <v/>
      </c>
      <c r="S26" s="247" t="str">
        <f>IF(S$3="","",IF(COUNTIFS(BD!$A$3:$A$5001,S$3,BD!$B$3:$B$5001,$A$24,BD!$E$3:$E$5001,"&lt;&gt;")=0,"",SUMIFS(BD!$E$3:$E$5001,BD!$A$3:$A$5001,S$3,BD!$B$3:$B$5001,$A$24)))</f>
        <v/>
      </c>
      <c r="T26" s="247" t="str">
        <f>IF(T$3="","",IF(COUNTIFS(BD!$A$3:$A$5001,T$3,BD!$B$3:$B$5001,$A$24,BD!$E$3:$E$5001,"&lt;&gt;")=0,"",SUMIFS(BD!$E$3:$E$5001,BD!$A$3:$A$5001,T$3,BD!$B$3:$B$5001,$A$24)))</f>
        <v/>
      </c>
      <c r="U26" s="247" t="str">
        <f>IF(U$3="","",IF(COUNTIFS(BD!$A$3:$A$5001,U$3,BD!$B$3:$B$5001,$A$24,BD!$E$3:$E$5001,"&lt;&gt;")=0,"",SUMIFS(BD!$E$3:$E$5001,BD!$A$3:$A$5001,U$3,BD!$B$3:$B$5001,$A$24)))</f>
        <v/>
      </c>
      <c r="V26" s="247" t="str">
        <f>IF(V$3="","",IF(COUNTIFS(BD!$A$3:$A$5001,V$3,BD!$B$3:$B$5001,$A$24,BD!$E$3:$E$5001,"&lt;&gt;")=0,"",SUMIFS(BD!$E$3:$E$5001,BD!$A$3:$A$5001,V$3,BD!$B$3:$B$5001,$A$24)))</f>
        <v/>
      </c>
      <c r="W26" s="247" t="str">
        <f>IF(W$3="","",IF(COUNTIFS(BD!$A$3:$A$5001,W$3,BD!$B$3:$B$5001,$A$24,BD!$E$3:$E$5001,"&lt;&gt;")=0,"",SUMIFS(BD!$E$3:$E$5001,BD!$A$3:$A$5001,W$3,BD!$B$3:$B$5001,$A$24)))</f>
        <v/>
      </c>
      <c r="X26" s="247" t="str">
        <f>IF(X$3="","",IF(COUNTIFS(BD!$A$3:$A$5001,X$3,BD!$B$3:$B$5001,$A$24,BD!$E$3:$E$5001,"&lt;&gt;")=0,"",SUMIFS(BD!$E$3:$E$5001,BD!$A$3:$A$5001,X$3,BD!$B$3:$B$5001,$A$24)))</f>
        <v/>
      </c>
      <c r="Y26" s="247" t="str">
        <f>IF(Y$3="","",IF(COUNTIFS(BD!$A$3:$A$5001,Y$3,BD!$B$3:$B$5001,$A$24,BD!$E$3:$E$5001,"&lt;&gt;")=0,"",SUMIFS(BD!$E$3:$E$5001,BD!$A$3:$A$5001,Y$3,BD!$B$3:$B$5001,$A$24)))</f>
        <v/>
      </c>
      <c r="Z26" s="247" t="str">
        <f>IF(Z$3="","",IF(COUNTIFS(BD!$A$3:$A$5001,Z$3,BD!$B$3:$B$5001,$A$24,BD!$E$3:$E$5001,"&lt;&gt;")=0,"",SUMIFS(BD!$E$3:$E$5001,BD!$A$3:$A$5001,Z$3,BD!$B$3:$B$5001,$A$24)))</f>
        <v/>
      </c>
      <c r="AA26" s="247" t="str">
        <f>IF(AA$3="","",IF(COUNTIFS(BD!$A$3:$A$5001,AA$3,BD!$B$3:$B$5001,$A$24,BD!$E$3:$E$5001,"&lt;&gt;")=0,"",SUMIFS(BD!$E$3:$E$5001,BD!$A$3:$A$5001,AA$3,BD!$B$3:$B$5001,$A$24)))</f>
        <v/>
      </c>
      <c r="AB26" s="247" t="str">
        <f>IF(AB$3="","",IF(COUNTIFS(BD!$A$3:$A$5001,AB$3,BD!$B$3:$B$5001,$A$24,BD!$E$3:$E$5001,"&lt;&gt;")=0,"",SUMIFS(BD!$E$3:$E$5001,BD!$A$3:$A$5001,AB$3,BD!$B$3:$B$5001,$A$24)))</f>
        <v/>
      </c>
      <c r="AC26" s="247" t="str">
        <f>IF(AC$3="","",IF(COUNTIFS(BD!$A$3:$A$5001,AC$3,BD!$B$3:$B$5001,$A$24,BD!$E$3:$E$5001,"&lt;&gt;")=0,"",SUMIFS(BD!$E$3:$E$5001,BD!$A$3:$A$5001,AC$3,BD!$B$3:$B$5001,$A$24)))</f>
        <v/>
      </c>
      <c r="AD26" s="247" t="str">
        <f>IF(AD$3="","",IF(COUNTIFS(BD!$A$3:$A$5001,AD$3,BD!$B$3:$B$5001,$A$24,BD!$E$3:$E$5001,"&lt;&gt;")=0,"",SUMIFS(BD!$E$3:$E$5001,BD!$A$3:$A$5001,AD$3,BD!$B$3:$B$5001,$A$24)))</f>
        <v/>
      </c>
      <c r="AE26" s="247" t="str">
        <f>IF(AE$3="","",IF(COUNTIFS(BD!$A$3:$A$5001,AE$3,BD!$B$3:$B$5001,$A$24,BD!$E$3:$E$5001,"&lt;&gt;")=0,"",SUMIFS(BD!$E$3:$E$5001,BD!$A$3:$A$5001,AE$3,BD!$B$3:$B$5001,$A$24)))</f>
        <v/>
      </c>
      <c r="AF26" s="247" t="str">
        <f>IF(AF$3="","",IF(COUNTIFS(BD!$A$3:$A$5001,AF$3,BD!$B$3:$B$5001,$A$24,BD!$E$3:$E$5001,"&lt;&gt;")=0,"",SUMIFS(BD!$E$3:$E$5001,BD!$A$3:$A$5001,AF$3,BD!$B$3:$B$5001,$A$24)))</f>
        <v/>
      </c>
      <c r="AG26" s="247" t="str">
        <f>IF(AG$3="","",IF(COUNTIFS(BD!$A$3:$A$5001,AG$3,BD!$B$3:$B$5001,$A$24,BD!$E$3:$E$5001,"&lt;&gt;")=0,"",SUMIFS(BD!$E$3:$E$5001,BD!$A$3:$A$5001,AG$3,BD!$B$3:$B$5001,$A$24)))</f>
        <v/>
      </c>
      <c r="AH26" s="247" t="str">
        <f>IF(AH$3="","",IF(COUNTIFS(BD!$A$3:$A$5001,AH$3,BD!$B$3:$B$5001,$A$24,BD!$E$3:$E$5001,"&lt;&gt;")=0,"",SUMIFS(BD!$E$3:$E$5001,BD!$A$3:$A$5001,AH$3,BD!$B$3:$B$5001,$A$24)))</f>
        <v/>
      </c>
      <c r="AI26" s="247" t="str">
        <f>IF(AI$3="","",IF(COUNTIFS(BD!$A$3:$A$5001,AI$3,BD!$B$3:$B$5001,$A$24,BD!$E$3:$E$5001,"&lt;&gt;")=0,"",SUMIFS(BD!$E$3:$E$5001,BD!$A$3:$A$5001,AI$3,BD!$B$3:$B$5001,$A$24)))</f>
        <v/>
      </c>
      <c r="AJ26" s="248" t="str">
        <f>IF(AJ$3="","",IF(COUNTIFS(BD!$A$3:$A$5001,AJ$3,BD!$B$3:$B$5001,$A$24,BD!$E$3:$E$5001,"&lt;&gt;")=0,"",SUMIFS(BD!$E$3:$E$5001,BD!$A$3:$A$5001,AJ$3,BD!$B$3:$B$5001,$A$24)))</f>
        <v/>
      </c>
      <c r="AK26" s="249" t="str">
        <f>IF(COUNT(F26:AJ26)=0,"",SUM(F26:AJ26))</f>
        <v/>
      </c>
    </row>
    <row r="27" ht="15.75" customHeight="1">
      <c r="A27" s="244"/>
      <c r="B27" s="234" t="inlineStr">
        <is>
          <t xml:space="preserve">OUT</t>
        </is>
      </c>
      <c r="C27" s="168" t="inlineStr">
        <is>
          <t xml:space="preserve">Veículos Expedidos</t>
        </is>
      </c>
      <c r="D27" s="169" t="str">
        <f>IFERROR(1/(1/INDEX(BD!$AJ$32:$BD$32,MATCH($A$24,BD!$AJ$22:$BD$22,0))),"")</f>
        <v/>
      </c>
      <c r="E27" s="170"/>
      <c r="F27" s="171" t="str">
        <f>IF(F$3="","",IF(COUNTIFS(BD!$A$3:$A$5001,F$3,BD!$B$3:$B$5001,$A$24,BD!$L$3:$L$5001,"&lt;&gt;")=0,"",SUMIFS(BD!$L$3:$L$5001,BD!$A$3:$A$5001,F$3,BD!$B$3:$B$5001,$A$24)))</f>
        <v/>
      </c>
      <c r="G27" s="172" t="str">
        <f>IF(G$3="","",IF(COUNTIFS(BD!$A$3:$A$5001,G$3,BD!$B$3:$B$5001,$A$24,BD!$L$3:$L$5001,"&lt;&gt;")=0,"",SUMIFS(BD!$L$3:$L$5001,BD!$A$3:$A$5001,G$3,BD!$B$3:$B$5001,$A$24)))</f>
        <v/>
      </c>
      <c r="H27" s="172" t="str">
        <f>IF(H$3="","",IF(COUNTIFS(BD!$A$3:$A$5001,H$3,BD!$B$3:$B$5001,$A$24,BD!$L$3:$L$5001,"&lt;&gt;")=0,"",SUMIFS(BD!$L$3:$L$5001,BD!$A$3:$A$5001,H$3,BD!$B$3:$B$5001,$A$24)))</f>
        <v/>
      </c>
      <c r="I27" s="172" t="str">
        <f>IF(I$3="","",IF(COUNTIFS(BD!$A$3:$A$5001,I$3,BD!$B$3:$B$5001,$A$24,BD!$L$3:$L$5001,"&lt;&gt;")=0,"",SUMIFS(BD!$L$3:$L$5001,BD!$A$3:$A$5001,I$3,BD!$B$3:$B$5001,$A$24)))</f>
        <v/>
      </c>
      <c r="J27" s="172" t="str">
        <f>IF(J$3="","",IF(COUNTIFS(BD!$A$3:$A$5001,J$3,BD!$B$3:$B$5001,$A$24,BD!$L$3:$L$5001,"&lt;&gt;")=0,"",SUMIFS(BD!$L$3:$L$5001,BD!$A$3:$A$5001,J$3,BD!$B$3:$B$5001,$A$24)))</f>
        <v/>
      </c>
      <c r="K27" s="172" t="str">
        <f>IF(K$3="","",IF(COUNTIFS(BD!$A$3:$A$5001,K$3,BD!$B$3:$B$5001,$A$24,BD!$L$3:$L$5001,"&lt;&gt;")=0,"",SUMIFS(BD!$L$3:$L$5001,BD!$A$3:$A$5001,K$3,BD!$B$3:$B$5001,$A$24)))</f>
        <v/>
      </c>
      <c r="L27" s="172" t="str">
        <f>IF(L$3="","",IF(COUNTIFS(BD!$A$3:$A$5001,L$3,BD!$B$3:$B$5001,$A$24,BD!$L$3:$L$5001,"&lt;&gt;")=0,"",SUMIFS(BD!$L$3:$L$5001,BD!$A$3:$A$5001,L$3,BD!$B$3:$B$5001,$A$24)))</f>
        <v/>
      </c>
      <c r="M27" s="172" t="str">
        <f>IF(M$3="","",IF(COUNTIFS(BD!$A$3:$A$5001,M$3,BD!$B$3:$B$5001,$A$24,BD!$L$3:$L$5001,"&lt;&gt;")=0,"",SUMIFS(BD!$L$3:$L$5001,BD!$A$3:$A$5001,M$3,BD!$B$3:$B$5001,$A$24)))</f>
        <v/>
      </c>
      <c r="N27" s="172" t="str">
        <f>IF(N$3="","",IF(COUNTIFS(BD!$A$3:$A$5001,N$3,BD!$B$3:$B$5001,$A$24,BD!$L$3:$L$5001,"&lt;&gt;")=0,"",SUMIFS(BD!$L$3:$L$5001,BD!$A$3:$A$5001,N$3,BD!$B$3:$B$5001,$A$24)))</f>
        <v/>
      </c>
      <c r="O27" s="172" t="str">
        <f>IF(O$3="","",IF(COUNTIFS(BD!$A$3:$A$5001,O$3,BD!$B$3:$B$5001,$A$24,BD!$L$3:$L$5001,"&lt;&gt;")=0,"",SUMIFS(BD!$L$3:$L$5001,BD!$A$3:$A$5001,O$3,BD!$B$3:$B$5001,$A$24)))</f>
        <v/>
      </c>
      <c r="P27" s="172" t="str">
        <f>IF(P$3="","",IF(COUNTIFS(BD!$A$3:$A$5001,P$3,BD!$B$3:$B$5001,$A$24,BD!$L$3:$L$5001,"&lt;&gt;")=0,"",SUMIFS(BD!$L$3:$L$5001,BD!$A$3:$A$5001,P$3,BD!$B$3:$B$5001,$A$24)))</f>
        <v/>
      </c>
      <c r="Q27" s="172" t="str">
        <f>IF(Q$3="","",IF(COUNTIFS(BD!$A$3:$A$5001,Q$3,BD!$B$3:$B$5001,$A$24,BD!$L$3:$L$5001,"&lt;&gt;")=0,"",SUMIFS(BD!$L$3:$L$5001,BD!$A$3:$A$5001,Q$3,BD!$B$3:$B$5001,$A$24)))</f>
        <v/>
      </c>
      <c r="R27" s="172" t="str">
        <f>IF(R$3="","",IF(COUNTIFS(BD!$A$3:$A$5001,R$3,BD!$B$3:$B$5001,$A$24,BD!$L$3:$L$5001,"&lt;&gt;")=0,"",SUMIFS(BD!$L$3:$L$5001,BD!$A$3:$A$5001,R$3,BD!$B$3:$B$5001,$A$24)))</f>
        <v/>
      </c>
      <c r="S27" s="172" t="str">
        <f>IF(S$3="","",IF(COUNTIFS(BD!$A$3:$A$5001,S$3,BD!$B$3:$B$5001,$A$24,BD!$L$3:$L$5001,"&lt;&gt;")=0,"",SUMIFS(BD!$L$3:$L$5001,BD!$A$3:$A$5001,S$3,BD!$B$3:$B$5001,$A$24)))</f>
        <v/>
      </c>
      <c r="T27" s="172" t="str">
        <f>IF(T$3="","",IF(COUNTIFS(BD!$A$3:$A$5001,T$3,BD!$B$3:$B$5001,$A$24,BD!$L$3:$L$5001,"&lt;&gt;")=0,"",SUMIFS(BD!$L$3:$L$5001,BD!$A$3:$A$5001,T$3,BD!$B$3:$B$5001,$A$24)))</f>
        <v/>
      </c>
      <c r="U27" s="172" t="str">
        <f>IF(U$3="","",IF(COUNTIFS(BD!$A$3:$A$5001,U$3,BD!$B$3:$B$5001,$A$24,BD!$L$3:$L$5001,"&lt;&gt;")=0,"",SUMIFS(BD!$L$3:$L$5001,BD!$A$3:$A$5001,U$3,BD!$B$3:$B$5001,$A$24)))</f>
        <v/>
      </c>
      <c r="V27" s="172" t="str">
        <f>IF(V$3="","",IF(COUNTIFS(BD!$A$3:$A$5001,V$3,BD!$B$3:$B$5001,$A$24,BD!$L$3:$L$5001,"&lt;&gt;")=0,"",SUMIFS(BD!$L$3:$L$5001,BD!$A$3:$A$5001,V$3,BD!$B$3:$B$5001,$A$24)))</f>
        <v/>
      </c>
      <c r="W27" s="172" t="str">
        <f>IF(W$3="","",IF(COUNTIFS(BD!$A$3:$A$5001,W$3,BD!$B$3:$B$5001,$A$24,BD!$L$3:$L$5001,"&lt;&gt;")=0,"",SUMIFS(BD!$L$3:$L$5001,BD!$A$3:$A$5001,W$3,BD!$B$3:$B$5001,$A$24)))</f>
        <v/>
      </c>
      <c r="X27" s="172" t="str">
        <f>IF(X$3="","",IF(COUNTIFS(BD!$A$3:$A$5001,X$3,BD!$B$3:$B$5001,$A$24,BD!$L$3:$L$5001,"&lt;&gt;")=0,"",SUMIFS(BD!$L$3:$L$5001,BD!$A$3:$A$5001,X$3,BD!$B$3:$B$5001,$A$24)))</f>
        <v/>
      </c>
      <c r="Y27" s="172" t="str">
        <f>IF(Y$3="","",IF(COUNTIFS(BD!$A$3:$A$5001,Y$3,BD!$B$3:$B$5001,$A$24,BD!$L$3:$L$5001,"&lt;&gt;")=0,"",SUMIFS(BD!$L$3:$L$5001,BD!$A$3:$A$5001,Y$3,BD!$B$3:$B$5001,$A$24)))</f>
        <v/>
      </c>
      <c r="Z27" s="172" t="str">
        <f>IF(Z$3="","",IF(COUNTIFS(BD!$A$3:$A$5001,Z$3,BD!$B$3:$B$5001,$A$24,BD!$L$3:$L$5001,"&lt;&gt;")=0,"",SUMIFS(BD!$L$3:$L$5001,BD!$A$3:$A$5001,Z$3,BD!$B$3:$B$5001,$A$24)))</f>
        <v/>
      </c>
      <c r="AA27" s="172" t="str">
        <f>IF(AA$3="","",IF(COUNTIFS(BD!$A$3:$A$5001,AA$3,BD!$B$3:$B$5001,$A$24,BD!$L$3:$L$5001,"&lt;&gt;")=0,"",SUMIFS(BD!$L$3:$L$5001,BD!$A$3:$A$5001,AA$3,BD!$B$3:$B$5001,$A$24)))</f>
        <v/>
      </c>
      <c r="AB27" s="172" t="str">
        <f>IF(AB$3="","",IF(COUNTIFS(BD!$A$3:$A$5001,AB$3,BD!$B$3:$B$5001,$A$24,BD!$L$3:$L$5001,"&lt;&gt;")=0,"",SUMIFS(BD!$L$3:$L$5001,BD!$A$3:$A$5001,AB$3,BD!$B$3:$B$5001,$A$24)))</f>
        <v/>
      </c>
      <c r="AC27" s="172" t="str">
        <f>IF(AC$3="","",IF(COUNTIFS(BD!$A$3:$A$5001,AC$3,BD!$B$3:$B$5001,$A$24,BD!$L$3:$L$5001,"&lt;&gt;")=0,"",SUMIFS(BD!$L$3:$L$5001,BD!$A$3:$A$5001,AC$3,BD!$B$3:$B$5001,$A$24)))</f>
        <v/>
      </c>
      <c r="AD27" s="172" t="str">
        <f>IF(AD$3="","",IF(COUNTIFS(BD!$A$3:$A$5001,AD$3,BD!$B$3:$B$5001,$A$24,BD!$L$3:$L$5001,"&lt;&gt;")=0,"",SUMIFS(BD!$L$3:$L$5001,BD!$A$3:$A$5001,AD$3,BD!$B$3:$B$5001,$A$24)))</f>
        <v/>
      </c>
      <c r="AE27" s="172" t="str">
        <f>IF(AE$3="","",IF(COUNTIFS(BD!$A$3:$A$5001,AE$3,BD!$B$3:$B$5001,$A$24,BD!$L$3:$L$5001,"&lt;&gt;")=0,"",SUMIFS(BD!$L$3:$L$5001,BD!$A$3:$A$5001,AE$3,BD!$B$3:$B$5001,$A$24)))</f>
        <v/>
      </c>
      <c r="AF27" s="172" t="str">
        <f>IF(AF$3="","",IF(COUNTIFS(BD!$A$3:$A$5001,AF$3,BD!$B$3:$B$5001,$A$24,BD!$L$3:$L$5001,"&lt;&gt;")=0,"",SUMIFS(BD!$L$3:$L$5001,BD!$A$3:$A$5001,AF$3,BD!$B$3:$B$5001,$A$24)))</f>
        <v/>
      </c>
      <c r="AG27" s="172" t="str">
        <f>IF(AG$3="","",IF(COUNTIFS(BD!$A$3:$A$5001,AG$3,BD!$B$3:$B$5001,$A$24,BD!$L$3:$L$5001,"&lt;&gt;")=0,"",SUMIFS(BD!$L$3:$L$5001,BD!$A$3:$A$5001,AG$3,BD!$B$3:$B$5001,$A$24)))</f>
        <v/>
      </c>
      <c r="AH27" s="172" t="str">
        <f>IF(AH$3="","",IF(COUNTIFS(BD!$A$3:$A$5001,AH$3,BD!$B$3:$B$5001,$A$24,BD!$L$3:$L$5001,"&lt;&gt;")=0,"",SUMIFS(BD!$L$3:$L$5001,BD!$A$3:$A$5001,AH$3,BD!$B$3:$B$5001,$A$24)))</f>
        <v/>
      </c>
      <c r="AI27" s="172" t="str">
        <f>IF(AI$3="","",IF(COUNTIFS(BD!$A$3:$A$5001,AI$3,BD!$B$3:$B$5001,$A$24,BD!$L$3:$L$5001,"&lt;&gt;")=0,"",SUMIFS(BD!$L$3:$L$5001,BD!$A$3:$A$5001,AI$3,BD!$B$3:$B$5001,$A$24)))</f>
        <v/>
      </c>
      <c r="AJ27" s="173" t="str">
        <f>IF(AJ$3="","",IF(COUNTIFS(BD!$A$3:$A$5001,AJ$3,BD!$B$3:$B$5001,$A$24,BD!$L$3:$L$5001,"&lt;&gt;")=0,"",SUMIFS(BD!$L$3:$L$5001,BD!$A$3:$A$5001,AJ$3,BD!$B$3:$B$5001,$A$24)))</f>
        <v/>
      </c>
      <c r="AK27" s="174" t="str">
        <f>IF(COUNT(F27:AJ27)=0,"",SUM(F27:AJ27))</f>
        <v/>
      </c>
    </row>
    <row r="28" ht="15.75" customHeight="1">
      <c r="A28" s="244"/>
      <c r="B28" s="261"/>
      <c r="C28" s="250" t="inlineStr">
        <is>
          <t xml:space="preserve">Pallets Movimentados</t>
        </is>
      </c>
      <c r="D28" s="251" t="str">
        <f>IFERROR(1/(1/INDEX(BD!$AJ$38:$BD$38,MATCH($A$24,BD!$AJ$22:$BD$22,0))),"")</f>
        <v/>
      </c>
      <c r="E28" s="252"/>
      <c r="F28" s="253" t="str">
        <f>IF(F$3="","",IF(COUNTIFS(BD!$A$3:$A$5001,F$3,BD!$B$3:$B$5001,$A$24,BD!$R$3:$R$5001,"&lt;&gt;")=0,"",SUMIFS(BD!$R$3:$R$5001,BD!$A$3:$A$5001,F$3,BD!$B$3:$B$5001,$A$24)))</f>
        <v/>
      </c>
      <c r="G28" s="254" t="str">
        <f>IF(G$3="","",IF(COUNTIFS(BD!$A$3:$A$5001,G$3,BD!$B$3:$B$5001,$A$24,BD!$R$3:$R$5001,"&lt;&gt;")=0,"",SUMIFS(BD!$R$3:$R$5001,BD!$A$3:$A$5001,G$3,BD!$B$3:$B$5001,$A$24)))</f>
        <v/>
      </c>
      <c r="H28" s="254" t="str">
        <f>IF(H$3="","",IF(COUNTIFS(BD!$A$3:$A$5001,H$3,BD!$B$3:$B$5001,$A$24,BD!$R$3:$R$5001,"&lt;&gt;")=0,"",SUMIFS(BD!$R$3:$R$5001,BD!$A$3:$A$5001,H$3,BD!$B$3:$B$5001,$A$24)))</f>
        <v/>
      </c>
      <c r="I28" s="254" t="str">
        <f>IF(I$3="","",IF(COUNTIFS(BD!$A$3:$A$5001,I$3,BD!$B$3:$B$5001,$A$24,BD!$R$3:$R$5001,"&lt;&gt;")=0,"",SUMIFS(BD!$R$3:$R$5001,BD!$A$3:$A$5001,I$3,BD!$B$3:$B$5001,$A$24)))</f>
        <v/>
      </c>
      <c r="J28" s="254" t="str">
        <f>IF(J$3="","",IF(COUNTIFS(BD!$A$3:$A$5001,J$3,BD!$B$3:$B$5001,$A$24,BD!$R$3:$R$5001,"&lt;&gt;")=0,"",SUMIFS(BD!$R$3:$R$5001,BD!$A$3:$A$5001,J$3,BD!$B$3:$B$5001,$A$24)))</f>
        <v/>
      </c>
      <c r="K28" s="254" t="str">
        <f>IF(K$3="","",IF(COUNTIFS(BD!$A$3:$A$5001,K$3,BD!$B$3:$B$5001,$A$24,BD!$R$3:$R$5001,"&lt;&gt;")=0,"",SUMIFS(BD!$R$3:$R$5001,BD!$A$3:$A$5001,K$3,BD!$B$3:$B$5001,$A$24)))</f>
        <v/>
      </c>
      <c r="L28" s="254" t="str">
        <f>IF(L$3="","",IF(COUNTIFS(BD!$A$3:$A$5001,L$3,BD!$B$3:$B$5001,$A$24,BD!$R$3:$R$5001,"&lt;&gt;")=0,"",SUMIFS(BD!$R$3:$R$5001,BD!$A$3:$A$5001,L$3,BD!$B$3:$B$5001,$A$24)))</f>
        <v/>
      </c>
      <c r="M28" s="254" t="str">
        <f>IF(M$3="","",IF(COUNTIFS(BD!$A$3:$A$5001,M$3,BD!$B$3:$B$5001,$A$24,BD!$R$3:$R$5001,"&lt;&gt;")=0,"",SUMIFS(BD!$R$3:$R$5001,BD!$A$3:$A$5001,M$3,BD!$B$3:$B$5001,$A$24)))</f>
        <v/>
      </c>
      <c r="N28" s="254" t="str">
        <f>IF(N$3="","",IF(COUNTIFS(BD!$A$3:$A$5001,N$3,BD!$B$3:$B$5001,$A$24,BD!$R$3:$R$5001,"&lt;&gt;")=0,"",SUMIFS(BD!$R$3:$R$5001,BD!$A$3:$A$5001,N$3,BD!$B$3:$B$5001,$A$24)))</f>
        <v/>
      </c>
      <c r="O28" s="254" t="str">
        <f>IF(O$3="","",IF(COUNTIFS(BD!$A$3:$A$5001,O$3,BD!$B$3:$B$5001,$A$24,BD!$R$3:$R$5001,"&lt;&gt;")=0,"",SUMIFS(BD!$R$3:$R$5001,BD!$A$3:$A$5001,O$3,BD!$B$3:$B$5001,$A$24)))</f>
        <v/>
      </c>
      <c r="P28" s="254" t="str">
        <f>IF(P$3="","",IF(COUNTIFS(BD!$A$3:$A$5001,P$3,BD!$B$3:$B$5001,$A$24,BD!$R$3:$R$5001,"&lt;&gt;")=0,"",SUMIFS(BD!$R$3:$R$5001,BD!$A$3:$A$5001,P$3,BD!$B$3:$B$5001,$A$24)))</f>
        <v/>
      </c>
      <c r="Q28" s="254" t="str">
        <f>IF(Q$3="","",IF(COUNTIFS(BD!$A$3:$A$5001,Q$3,BD!$B$3:$B$5001,$A$24,BD!$R$3:$R$5001,"&lt;&gt;")=0,"",SUMIFS(BD!$R$3:$R$5001,BD!$A$3:$A$5001,Q$3,BD!$B$3:$B$5001,$A$24)))</f>
        <v/>
      </c>
      <c r="R28" s="254" t="str">
        <f>IF(R$3="","",IF(COUNTIFS(BD!$A$3:$A$5001,R$3,BD!$B$3:$B$5001,$A$24,BD!$R$3:$R$5001,"&lt;&gt;")=0,"",SUMIFS(BD!$R$3:$R$5001,BD!$A$3:$A$5001,R$3,BD!$B$3:$B$5001,$A$24)))</f>
        <v/>
      </c>
      <c r="S28" s="254" t="str">
        <f>IF(S$3="","",IF(COUNTIFS(BD!$A$3:$A$5001,S$3,BD!$B$3:$B$5001,$A$24,BD!$R$3:$R$5001,"&lt;&gt;")=0,"",SUMIFS(BD!$R$3:$R$5001,BD!$A$3:$A$5001,S$3,BD!$B$3:$B$5001,$A$24)))</f>
        <v/>
      </c>
      <c r="T28" s="254" t="str">
        <f>IF(T$3="","",IF(COUNTIFS(BD!$A$3:$A$5001,T$3,BD!$B$3:$B$5001,$A$24,BD!$R$3:$R$5001,"&lt;&gt;")=0,"",SUMIFS(BD!$R$3:$R$5001,BD!$A$3:$A$5001,T$3,BD!$B$3:$B$5001,$A$24)))</f>
        <v/>
      </c>
      <c r="U28" s="254" t="str">
        <f>IF(U$3="","",IF(COUNTIFS(BD!$A$3:$A$5001,U$3,BD!$B$3:$B$5001,$A$24,BD!$R$3:$R$5001,"&lt;&gt;")=0,"",SUMIFS(BD!$R$3:$R$5001,BD!$A$3:$A$5001,U$3,BD!$B$3:$B$5001,$A$24)))</f>
        <v/>
      </c>
      <c r="V28" s="254" t="str">
        <f>IF(V$3="","",IF(COUNTIFS(BD!$A$3:$A$5001,V$3,BD!$B$3:$B$5001,$A$24,BD!$R$3:$R$5001,"&lt;&gt;")=0,"",SUMIFS(BD!$R$3:$R$5001,BD!$A$3:$A$5001,V$3,BD!$B$3:$B$5001,$A$24)))</f>
        <v/>
      </c>
      <c r="W28" s="254" t="str">
        <f>IF(W$3="","",IF(COUNTIFS(BD!$A$3:$A$5001,W$3,BD!$B$3:$B$5001,$A$24,BD!$R$3:$R$5001,"&lt;&gt;")=0,"",SUMIFS(BD!$R$3:$R$5001,BD!$A$3:$A$5001,W$3,BD!$B$3:$B$5001,$A$24)))</f>
        <v/>
      </c>
      <c r="X28" s="254" t="str">
        <f>IF(X$3="","",IF(COUNTIFS(BD!$A$3:$A$5001,X$3,BD!$B$3:$B$5001,$A$24,BD!$R$3:$R$5001,"&lt;&gt;")=0,"",SUMIFS(BD!$R$3:$R$5001,BD!$A$3:$A$5001,X$3,BD!$B$3:$B$5001,$A$24)))</f>
        <v/>
      </c>
      <c r="Y28" s="254" t="str">
        <f>IF(Y$3="","",IF(COUNTIFS(BD!$A$3:$A$5001,Y$3,BD!$B$3:$B$5001,$A$24,BD!$R$3:$R$5001,"&lt;&gt;")=0,"",SUMIFS(BD!$R$3:$R$5001,BD!$A$3:$A$5001,Y$3,BD!$B$3:$B$5001,$A$24)))</f>
        <v/>
      </c>
      <c r="Z28" s="254" t="str">
        <f>IF(Z$3="","",IF(COUNTIFS(BD!$A$3:$A$5001,Z$3,BD!$B$3:$B$5001,$A$24,BD!$R$3:$R$5001,"&lt;&gt;")=0,"",SUMIFS(BD!$R$3:$R$5001,BD!$A$3:$A$5001,Z$3,BD!$B$3:$B$5001,$A$24)))</f>
        <v/>
      </c>
      <c r="AA28" s="254" t="str">
        <f>IF(AA$3="","",IF(COUNTIFS(BD!$A$3:$A$5001,AA$3,BD!$B$3:$B$5001,$A$24,BD!$R$3:$R$5001,"&lt;&gt;")=0,"",SUMIFS(BD!$R$3:$R$5001,BD!$A$3:$A$5001,AA$3,BD!$B$3:$B$5001,$A$24)))</f>
        <v/>
      </c>
      <c r="AB28" s="254" t="str">
        <f>IF(AB$3="","",IF(COUNTIFS(BD!$A$3:$A$5001,AB$3,BD!$B$3:$B$5001,$A$24,BD!$R$3:$R$5001,"&lt;&gt;")=0,"",SUMIFS(BD!$R$3:$R$5001,BD!$A$3:$A$5001,AB$3,BD!$B$3:$B$5001,$A$24)))</f>
        <v/>
      </c>
      <c r="AC28" s="254" t="str">
        <f>IF(AC$3="","",IF(COUNTIFS(BD!$A$3:$A$5001,AC$3,BD!$B$3:$B$5001,$A$24,BD!$R$3:$R$5001,"&lt;&gt;")=0,"",SUMIFS(BD!$R$3:$R$5001,BD!$A$3:$A$5001,AC$3,BD!$B$3:$B$5001,$A$24)))</f>
        <v/>
      </c>
      <c r="AD28" s="254" t="str">
        <f>IF(AD$3="","",IF(COUNTIFS(BD!$A$3:$A$5001,AD$3,BD!$B$3:$B$5001,$A$24,BD!$R$3:$R$5001,"&lt;&gt;")=0,"",SUMIFS(BD!$R$3:$R$5001,BD!$A$3:$A$5001,AD$3,BD!$B$3:$B$5001,$A$24)))</f>
        <v/>
      </c>
      <c r="AE28" s="254" t="str">
        <f>IF(AE$3="","",IF(COUNTIFS(BD!$A$3:$A$5001,AE$3,BD!$B$3:$B$5001,$A$24,BD!$R$3:$R$5001,"&lt;&gt;")=0,"",SUMIFS(BD!$R$3:$R$5001,BD!$A$3:$A$5001,AE$3,BD!$B$3:$B$5001,$A$24)))</f>
        <v/>
      </c>
      <c r="AF28" s="254" t="str">
        <f>IF(AF$3="","",IF(COUNTIFS(BD!$A$3:$A$5001,AF$3,BD!$B$3:$B$5001,$A$24,BD!$R$3:$R$5001,"&lt;&gt;")=0,"",SUMIFS(BD!$R$3:$R$5001,BD!$A$3:$A$5001,AF$3,BD!$B$3:$B$5001,$A$24)))</f>
        <v/>
      </c>
      <c r="AG28" s="254" t="str">
        <f>IF(AG$3="","",IF(COUNTIFS(BD!$A$3:$A$5001,AG$3,BD!$B$3:$B$5001,$A$24,BD!$R$3:$R$5001,"&lt;&gt;")=0,"",SUMIFS(BD!$R$3:$R$5001,BD!$A$3:$A$5001,AG$3,BD!$B$3:$B$5001,$A$24)))</f>
        <v/>
      </c>
      <c r="AH28" s="254" t="str">
        <f>IF(AH$3="","",IF(COUNTIFS(BD!$A$3:$A$5001,AH$3,BD!$B$3:$B$5001,$A$24,BD!$R$3:$R$5001,"&lt;&gt;")=0,"",SUMIFS(BD!$R$3:$R$5001,BD!$A$3:$A$5001,AH$3,BD!$B$3:$B$5001,$A$24)))</f>
        <v/>
      </c>
      <c r="AI28" s="254" t="str">
        <f>IF(AI$3="","",IF(COUNTIFS(BD!$A$3:$A$5001,AI$3,BD!$B$3:$B$5001,$A$24,BD!$R$3:$R$5001,"&lt;&gt;")=0,"",SUMIFS(BD!$R$3:$R$5001,BD!$A$3:$A$5001,AI$3,BD!$B$3:$B$5001,$A$24)))</f>
        <v/>
      </c>
      <c r="AJ28" s="255" t="str">
        <f>IF(AJ$3="","",IF(COUNTIFS(BD!$A$3:$A$5001,AJ$3,BD!$B$3:$B$5001,$A$24,BD!$R$3:$R$5001,"&lt;&gt;")=0,"",SUMIFS(BD!$R$3:$R$5001,BD!$A$3:$A$5001,AJ$3,BD!$B$3:$B$5001,$A$24)))</f>
        <v/>
      </c>
      <c r="AK28" s="256" t="str">
        <f>IF(COUNT(F28:AJ28)=0,"",SUM(F28:AJ28))</f>
        <v/>
      </c>
    </row>
    <row r="29" ht="15.75" customHeight="1">
      <c r="A29" s="244"/>
      <c r="B29" s="235"/>
      <c r="C29" s="175" t="inlineStr">
        <is>
          <t xml:space="preserve">Toneladas Movimentadas</t>
        </is>
      </c>
      <c r="D29" s="176" t="str">
        <f>IFERROR(1/(1/INDEX(BD!$AJ$39:$BD$39,MATCH($A$24,BD!$AJ$22:$BD$22,0))),"")</f>
        <v/>
      </c>
      <c r="E29" s="177"/>
      <c r="F29" s="257" t="str">
        <f>IF(F$3="","",IF(COUNTIFS(BD!$A$3:$A$5001,F$3,BD!$B$3:$B$5001,$A$24,BD!$S$3:$S$5001,"&lt;&gt;")=0,"",SUMIFS(BD!$S$3:$S$5001,BD!$A$3:$A$5001,F$3,BD!$B$3:$B$5001,$A$24)))</f>
        <v/>
      </c>
      <c r="G29" s="258" t="str">
        <f>IF(G$3="","",IF(COUNTIFS(BD!$A$3:$A$5001,G$3,BD!$B$3:$B$5001,$A$24,BD!$S$3:$S$5001,"&lt;&gt;")=0,"",SUMIFS(BD!$S$3:$S$5001,BD!$A$3:$A$5001,G$3,BD!$B$3:$B$5001,$A$24)))</f>
        <v/>
      </c>
      <c r="H29" s="258" t="str">
        <f>IF(H$3="","",IF(COUNTIFS(BD!$A$3:$A$5001,H$3,BD!$B$3:$B$5001,$A$24,BD!$S$3:$S$5001,"&lt;&gt;")=0,"",SUMIFS(BD!$S$3:$S$5001,BD!$A$3:$A$5001,H$3,BD!$B$3:$B$5001,$A$24)))</f>
        <v/>
      </c>
      <c r="I29" s="258" t="str">
        <f>IF(I$3="","",IF(COUNTIFS(BD!$A$3:$A$5001,I$3,BD!$B$3:$B$5001,$A$24,BD!$S$3:$S$5001,"&lt;&gt;")=0,"",SUMIFS(BD!$S$3:$S$5001,BD!$A$3:$A$5001,I$3,BD!$B$3:$B$5001,$A$24)))</f>
        <v/>
      </c>
      <c r="J29" s="258" t="str">
        <f>IF(J$3="","",IF(COUNTIFS(BD!$A$3:$A$5001,J$3,BD!$B$3:$B$5001,$A$24,BD!$S$3:$S$5001,"&lt;&gt;")=0,"",SUMIFS(BD!$S$3:$S$5001,BD!$A$3:$A$5001,J$3,BD!$B$3:$B$5001,$A$24)))</f>
        <v/>
      </c>
      <c r="K29" s="258" t="str">
        <f>IF(K$3="","",IF(COUNTIFS(BD!$A$3:$A$5001,K$3,BD!$B$3:$B$5001,$A$24,BD!$S$3:$S$5001,"&lt;&gt;")=0,"",SUMIFS(BD!$S$3:$S$5001,BD!$A$3:$A$5001,K$3,BD!$B$3:$B$5001,$A$24)))</f>
        <v/>
      </c>
      <c r="L29" s="258" t="str">
        <f>IF(L$3="","",IF(COUNTIFS(BD!$A$3:$A$5001,L$3,BD!$B$3:$B$5001,$A$24,BD!$S$3:$S$5001,"&lt;&gt;")=0,"",SUMIFS(BD!$S$3:$S$5001,BD!$A$3:$A$5001,L$3,BD!$B$3:$B$5001,$A$24)))</f>
        <v/>
      </c>
      <c r="M29" s="258" t="str">
        <f>IF(M$3="","",IF(COUNTIFS(BD!$A$3:$A$5001,M$3,BD!$B$3:$B$5001,$A$24,BD!$S$3:$S$5001,"&lt;&gt;")=0,"",SUMIFS(BD!$S$3:$S$5001,BD!$A$3:$A$5001,M$3,BD!$B$3:$B$5001,$A$24)))</f>
        <v/>
      </c>
      <c r="N29" s="258" t="str">
        <f>IF(N$3="","",IF(COUNTIFS(BD!$A$3:$A$5001,N$3,BD!$B$3:$B$5001,$A$24,BD!$S$3:$S$5001,"&lt;&gt;")=0,"",SUMIFS(BD!$S$3:$S$5001,BD!$A$3:$A$5001,N$3,BD!$B$3:$B$5001,$A$24)))</f>
        <v/>
      </c>
      <c r="O29" s="258" t="str">
        <f>IF(O$3="","",IF(COUNTIFS(BD!$A$3:$A$5001,O$3,BD!$B$3:$B$5001,$A$24,BD!$S$3:$S$5001,"&lt;&gt;")=0,"",SUMIFS(BD!$S$3:$S$5001,BD!$A$3:$A$5001,O$3,BD!$B$3:$B$5001,$A$24)))</f>
        <v/>
      </c>
      <c r="P29" s="258" t="str">
        <f>IF(P$3="","",IF(COUNTIFS(BD!$A$3:$A$5001,P$3,BD!$B$3:$B$5001,$A$24,BD!$S$3:$S$5001,"&lt;&gt;")=0,"",SUMIFS(BD!$S$3:$S$5001,BD!$A$3:$A$5001,P$3,BD!$B$3:$B$5001,$A$24)))</f>
        <v/>
      </c>
      <c r="Q29" s="258" t="str">
        <f>IF(Q$3="","",IF(COUNTIFS(BD!$A$3:$A$5001,Q$3,BD!$B$3:$B$5001,$A$24,BD!$S$3:$S$5001,"&lt;&gt;")=0,"",SUMIFS(BD!$S$3:$S$5001,BD!$A$3:$A$5001,Q$3,BD!$B$3:$B$5001,$A$24)))</f>
        <v/>
      </c>
      <c r="R29" s="258" t="str">
        <f>IF(R$3="","",IF(COUNTIFS(BD!$A$3:$A$5001,R$3,BD!$B$3:$B$5001,$A$24,BD!$S$3:$S$5001,"&lt;&gt;")=0,"",SUMIFS(BD!$S$3:$S$5001,BD!$A$3:$A$5001,R$3,BD!$B$3:$B$5001,$A$24)))</f>
        <v/>
      </c>
      <c r="S29" s="258" t="str">
        <f>IF(S$3="","",IF(COUNTIFS(BD!$A$3:$A$5001,S$3,BD!$B$3:$B$5001,$A$24,BD!$S$3:$S$5001,"&lt;&gt;")=0,"",SUMIFS(BD!$S$3:$S$5001,BD!$A$3:$A$5001,S$3,BD!$B$3:$B$5001,$A$24)))</f>
        <v/>
      </c>
      <c r="T29" s="258" t="str">
        <f>IF(T$3="","",IF(COUNTIFS(BD!$A$3:$A$5001,T$3,BD!$B$3:$B$5001,$A$24,BD!$S$3:$S$5001,"&lt;&gt;")=0,"",SUMIFS(BD!$S$3:$S$5001,BD!$A$3:$A$5001,T$3,BD!$B$3:$B$5001,$A$24)))</f>
        <v/>
      </c>
      <c r="U29" s="258" t="str">
        <f>IF(U$3="","",IF(COUNTIFS(BD!$A$3:$A$5001,U$3,BD!$B$3:$B$5001,$A$24,BD!$S$3:$S$5001,"&lt;&gt;")=0,"",SUMIFS(BD!$S$3:$S$5001,BD!$A$3:$A$5001,U$3,BD!$B$3:$B$5001,$A$24)))</f>
        <v/>
      </c>
      <c r="V29" s="258" t="str">
        <f>IF(V$3="","",IF(COUNTIFS(BD!$A$3:$A$5001,V$3,BD!$B$3:$B$5001,$A$24,BD!$S$3:$S$5001,"&lt;&gt;")=0,"",SUMIFS(BD!$S$3:$S$5001,BD!$A$3:$A$5001,V$3,BD!$B$3:$B$5001,$A$24)))</f>
        <v/>
      </c>
      <c r="W29" s="258" t="str">
        <f>IF(W$3="","",IF(COUNTIFS(BD!$A$3:$A$5001,W$3,BD!$B$3:$B$5001,$A$24,BD!$S$3:$S$5001,"&lt;&gt;")=0,"",SUMIFS(BD!$S$3:$S$5001,BD!$A$3:$A$5001,W$3,BD!$B$3:$B$5001,$A$24)))</f>
        <v/>
      </c>
      <c r="X29" s="258" t="str">
        <f>IF(X$3="","",IF(COUNTIFS(BD!$A$3:$A$5001,X$3,BD!$B$3:$B$5001,$A$24,BD!$S$3:$S$5001,"&lt;&gt;")=0,"",SUMIFS(BD!$S$3:$S$5001,BD!$A$3:$A$5001,X$3,BD!$B$3:$B$5001,$A$24)))</f>
        <v/>
      </c>
      <c r="Y29" s="258" t="str">
        <f>IF(Y$3="","",IF(COUNTIFS(BD!$A$3:$A$5001,Y$3,BD!$B$3:$B$5001,$A$24,BD!$S$3:$S$5001,"&lt;&gt;")=0,"",SUMIFS(BD!$S$3:$S$5001,BD!$A$3:$A$5001,Y$3,BD!$B$3:$B$5001,$A$24)))</f>
        <v/>
      </c>
      <c r="Z29" s="258" t="str">
        <f>IF(Z$3="","",IF(COUNTIFS(BD!$A$3:$A$5001,Z$3,BD!$B$3:$B$5001,$A$24,BD!$S$3:$S$5001,"&lt;&gt;")=0,"",SUMIFS(BD!$S$3:$S$5001,BD!$A$3:$A$5001,Z$3,BD!$B$3:$B$5001,$A$24)))</f>
        <v/>
      </c>
      <c r="AA29" s="258" t="str">
        <f>IF(AA$3="","",IF(COUNTIFS(BD!$A$3:$A$5001,AA$3,BD!$B$3:$B$5001,$A$24,BD!$S$3:$S$5001,"&lt;&gt;")=0,"",SUMIFS(BD!$S$3:$S$5001,BD!$A$3:$A$5001,AA$3,BD!$B$3:$B$5001,$A$24)))</f>
        <v/>
      </c>
      <c r="AB29" s="258" t="str">
        <f>IF(AB$3="","",IF(COUNTIFS(BD!$A$3:$A$5001,AB$3,BD!$B$3:$B$5001,$A$24,BD!$S$3:$S$5001,"&lt;&gt;")=0,"",SUMIFS(BD!$S$3:$S$5001,BD!$A$3:$A$5001,AB$3,BD!$B$3:$B$5001,$A$24)))</f>
        <v/>
      </c>
      <c r="AC29" s="258" t="str">
        <f>IF(AC$3="","",IF(COUNTIFS(BD!$A$3:$A$5001,AC$3,BD!$B$3:$B$5001,$A$24,BD!$S$3:$S$5001,"&lt;&gt;")=0,"",SUMIFS(BD!$S$3:$S$5001,BD!$A$3:$A$5001,AC$3,BD!$B$3:$B$5001,$A$24)))</f>
        <v/>
      </c>
      <c r="AD29" s="258" t="str">
        <f>IF(AD$3="","",IF(COUNTIFS(BD!$A$3:$A$5001,AD$3,BD!$B$3:$B$5001,$A$24,BD!$S$3:$S$5001,"&lt;&gt;")=0,"",SUMIFS(BD!$S$3:$S$5001,BD!$A$3:$A$5001,AD$3,BD!$B$3:$B$5001,$A$24)))</f>
        <v/>
      </c>
      <c r="AE29" s="258" t="str">
        <f>IF(AE$3="","",IF(COUNTIFS(BD!$A$3:$A$5001,AE$3,BD!$B$3:$B$5001,$A$24,BD!$S$3:$S$5001,"&lt;&gt;")=0,"",SUMIFS(BD!$S$3:$S$5001,BD!$A$3:$A$5001,AE$3,BD!$B$3:$B$5001,$A$24)))</f>
        <v/>
      </c>
      <c r="AF29" s="258" t="str">
        <f>IF(AF$3="","",IF(COUNTIFS(BD!$A$3:$A$5001,AF$3,BD!$B$3:$B$5001,$A$24,BD!$S$3:$S$5001,"&lt;&gt;")=0,"",SUMIFS(BD!$S$3:$S$5001,BD!$A$3:$A$5001,AF$3,BD!$B$3:$B$5001,$A$24)))</f>
        <v/>
      </c>
      <c r="AG29" s="258" t="str">
        <f>IF(AG$3="","",IF(COUNTIFS(BD!$A$3:$A$5001,AG$3,BD!$B$3:$B$5001,$A$24,BD!$S$3:$S$5001,"&lt;&gt;")=0,"",SUMIFS(BD!$S$3:$S$5001,BD!$A$3:$A$5001,AG$3,BD!$B$3:$B$5001,$A$24)))</f>
        <v/>
      </c>
      <c r="AH29" s="258" t="str">
        <f>IF(AH$3="","",IF(COUNTIFS(BD!$A$3:$A$5001,AH$3,BD!$B$3:$B$5001,$A$24,BD!$S$3:$S$5001,"&lt;&gt;")=0,"",SUMIFS(BD!$S$3:$S$5001,BD!$A$3:$A$5001,AH$3,BD!$B$3:$B$5001,$A$24)))</f>
        <v/>
      </c>
      <c r="AI29" s="258" t="str">
        <f>IF(AI$3="","",IF(COUNTIFS(BD!$A$3:$A$5001,AI$3,BD!$B$3:$B$5001,$A$24,BD!$S$3:$S$5001,"&lt;&gt;")=0,"",SUMIFS(BD!$S$3:$S$5001,BD!$A$3:$A$5001,AI$3,BD!$B$3:$B$5001,$A$24)))</f>
        <v/>
      </c>
      <c r="AJ29" s="259" t="str">
        <f>IF(AJ$3="","",IF(COUNTIFS(BD!$A$3:$A$5001,AJ$3,BD!$B$3:$B$5001,$A$24,BD!$S$3:$S$5001,"&lt;&gt;")=0,"",SUMIFS(BD!$S$3:$S$5001,BD!$A$3:$A$5001,AJ$3,BD!$B$3:$B$5001,$A$24)))</f>
        <v/>
      </c>
      <c r="AK29" s="260" t="str">
        <f>IF(COUNT(F29:AJ29)=0,"",SUM(F29:AJ29))</f>
        <v/>
      </c>
    </row>
    <row r="30" ht="15.75" customHeight="1">
      <c r="A30" s="244"/>
      <c r="B30" s="236" t="inlineStr">
        <is>
          <t xml:space="preserve">NC</t>
        </is>
      </c>
      <c r="C30" s="181" t="inlineStr">
        <is>
          <t xml:space="preserve">Incidentes</t>
        </is>
      </c>
      <c r="D30" s="182" t="str">
        <f>IFERROR(1/(1/INDEX(BD!$AJ$40:$BD$40,MATCH($A$24,BD!$AJ$22:$BD$22,0))),"")</f>
        <v/>
      </c>
      <c r="E30" s="183"/>
      <c r="F30" s="184" t="str">
        <f>IF(F$3="","",IF(COUNTIFS(BD!$A$3:$A$5001,F$3,BD!$B$3:$B$5001,$A$24,BD!$T$3:$T$5001,"&lt;&gt;")=0,"",SUMIFS(BD!$T$3:$T$5001,BD!$A$3:$A$5001,F$3,BD!$B$3:$B$5001,$A$24)))</f>
        <v/>
      </c>
      <c r="G30" s="185" t="str">
        <f>IF(G$3="","",IF(COUNTIFS(BD!$A$3:$A$5001,G$3,BD!$B$3:$B$5001,$A$24,BD!$T$3:$T$5001,"&lt;&gt;")=0,"",SUMIFS(BD!$T$3:$T$5001,BD!$A$3:$A$5001,G$3,BD!$B$3:$B$5001,$A$24)))</f>
        <v/>
      </c>
      <c r="H30" s="185" t="str">
        <f>IF(H$3="","",IF(COUNTIFS(BD!$A$3:$A$5001,H$3,BD!$B$3:$B$5001,$A$24,BD!$T$3:$T$5001,"&lt;&gt;")=0,"",SUMIFS(BD!$T$3:$T$5001,BD!$A$3:$A$5001,H$3,BD!$B$3:$B$5001,$A$24)))</f>
        <v/>
      </c>
      <c r="I30" s="185" t="str">
        <f>IF(I$3="","",IF(COUNTIFS(BD!$A$3:$A$5001,I$3,BD!$B$3:$B$5001,$A$24,BD!$T$3:$T$5001,"&lt;&gt;")=0,"",SUMIFS(BD!$T$3:$T$5001,BD!$A$3:$A$5001,I$3,BD!$B$3:$B$5001,$A$24)))</f>
        <v/>
      </c>
      <c r="J30" s="185" t="str">
        <f>IF(J$3="","",IF(COUNTIFS(BD!$A$3:$A$5001,J$3,BD!$B$3:$B$5001,$A$24,BD!$T$3:$T$5001,"&lt;&gt;")=0,"",SUMIFS(BD!$T$3:$T$5001,BD!$A$3:$A$5001,J$3,BD!$B$3:$B$5001,$A$24)))</f>
        <v/>
      </c>
      <c r="K30" s="185" t="str">
        <f>IF(K$3="","",IF(COUNTIFS(BD!$A$3:$A$5001,K$3,BD!$B$3:$B$5001,$A$24,BD!$T$3:$T$5001,"&lt;&gt;")=0,"",SUMIFS(BD!$T$3:$T$5001,BD!$A$3:$A$5001,K$3,BD!$B$3:$B$5001,$A$24)))</f>
        <v/>
      </c>
      <c r="L30" s="185" t="str">
        <f>IF(L$3="","",IF(COUNTIFS(BD!$A$3:$A$5001,L$3,BD!$B$3:$B$5001,$A$24,BD!$T$3:$T$5001,"&lt;&gt;")=0,"",SUMIFS(BD!$T$3:$T$5001,BD!$A$3:$A$5001,L$3,BD!$B$3:$B$5001,$A$24)))</f>
        <v/>
      </c>
      <c r="M30" s="185" t="str">
        <f>IF(M$3="","",IF(COUNTIFS(BD!$A$3:$A$5001,M$3,BD!$B$3:$B$5001,$A$24,BD!$T$3:$T$5001,"&lt;&gt;")=0,"",SUMIFS(BD!$T$3:$T$5001,BD!$A$3:$A$5001,M$3,BD!$B$3:$B$5001,$A$24)))</f>
        <v/>
      </c>
      <c r="N30" s="185" t="str">
        <f>IF(N$3="","",IF(COUNTIFS(BD!$A$3:$A$5001,N$3,BD!$B$3:$B$5001,$A$24,BD!$T$3:$T$5001,"&lt;&gt;")=0,"",SUMIFS(BD!$T$3:$T$5001,BD!$A$3:$A$5001,N$3,BD!$B$3:$B$5001,$A$24)))</f>
        <v/>
      </c>
      <c r="O30" s="185" t="str">
        <f>IF(O$3="","",IF(COUNTIFS(BD!$A$3:$A$5001,O$3,BD!$B$3:$B$5001,$A$24,BD!$T$3:$T$5001,"&lt;&gt;")=0,"",SUMIFS(BD!$T$3:$T$5001,BD!$A$3:$A$5001,O$3,BD!$B$3:$B$5001,$A$24)))</f>
        <v/>
      </c>
      <c r="P30" s="185" t="str">
        <f>IF(P$3="","",IF(COUNTIFS(BD!$A$3:$A$5001,P$3,BD!$B$3:$B$5001,$A$24,BD!$T$3:$T$5001,"&lt;&gt;")=0,"",SUMIFS(BD!$T$3:$T$5001,BD!$A$3:$A$5001,P$3,BD!$B$3:$B$5001,$A$24)))</f>
        <v/>
      </c>
      <c r="Q30" s="185" t="str">
        <f>IF(Q$3="","",IF(COUNTIFS(BD!$A$3:$A$5001,Q$3,BD!$B$3:$B$5001,$A$24,BD!$T$3:$T$5001,"&lt;&gt;")=0,"",SUMIFS(BD!$T$3:$T$5001,BD!$A$3:$A$5001,Q$3,BD!$B$3:$B$5001,$A$24)))</f>
        <v/>
      </c>
      <c r="R30" s="185" t="str">
        <f>IF(R$3="","",IF(COUNTIFS(BD!$A$3:$A$5001,R$3,BD!$B$3:$B$5001,$A$24,BD!$T$3:$T$5001,"&lt;&gt;")=0,"",SUMIFS(BD!$T$3:$T$5001,BD!$A$3:$A$5001,R$3,BD!$B$3:$B$5001,$A$24)))</f>
        <v/>
      </c>
      <c r="S30" s="185" t="str">
        <f>IF(S$3="","",IF(COUNTIFS(BD!$A$3:$A$5001,S$3,BD!$B$3:$B$5001,$A$24,BD!$T$3:$T$5001,"&lt;&gt;")=0,"",SUMIFS(BD!$T$3:$T$5001,BD!$A$3:$A$5001,S$3,BD!$B$3:$B$5001,$A$24)))</f>
        <v/>
      </c>
      <c r="T30" s="185" t="str">
        <f>IF(T$3="","",IF(COUNTIFS(BD!$A$3:$A$5001,T$3,BD!$B$3:$B$5001,$A$24,BD!$T$3:$T$5001,"&lt;&gt;")=0,"",SUMIFS(BD!$T$3:$T$5001,BD!$A$3:$A$5001,T$3,BD!$B$3:$B$5001,$A$24)))</f>
        <v/>
      </c>
      <c r="U30" s="185" t="str">
        <f>IF(U$3="","",IF(COUNTIFS(BD!$A$3:$A$5001,U$3,BD!$B$3:$B$5001,$A$24,BD!$T$3:$T$5001,"&lt;&gt;")=0,"",SUMIFS(BD!$T$3:$T$5001,BD!$A$3:$A$5001,U$3,BD!$B$3:$B$5001,$A$24)))</f>
        <v/>
      </c>
      <c r="V30" s="185" t="str">
        <f>IF(V$3="","",IF(COUNTIFS(BD!$A$3:$A$5001,V$3,BD!$B$3:$B$5001,$A$24,BD!$T$3:$T$5001,"&lt;&gt;")=0,"",SUMIFS(BD!$T$3:$T$5001,BD!$A$3:$A$5001,V$3,BD!$B$3:$B$5001,$A$24)))</f>
        <v/>
      </c>
      <c r="W30" s="185" t="str">
        <f>IF(W$3="","",IF(COUNTIFS(BD!$A$3:$A$5001,W$3,BD!$B$3:$B$5001,$A$24,BD!$T$3:$T$5001,"&lt;&gt;")=0,"",SUMIFS(BD!$T$3:$T$5001,BD!$A$3:$A$5001,W$3,BD!$B$3:$B$5001,$A$24)))</f>
        <v/>
      </c>
      <c r="X30" s="185" t="str">
        <f>IF(X$3="","",IF(COUNTIFS(BD!$A$3:$A$5001,X$3,BD!$B$3:$B$5001,$A$24,BD!$T$3:$T$5001,"&lt;&gt;")=0,"",SUMIFS(BD!$T$3:$T$5001,BD!$A$3:$A$5001,X$3,BD!$B$3:$B$5001,$A$24)))</f>
        <v/>
      </c>
      <c r="Y30" s="185" t="str">
        <f>IF(Y$3="","",IF(COUNTIFS(BD!$A$3:$A$5001,Y$3,BD!$B$3:$B$5001,$A$24,BD!$T$3:$T$5001,"&lt;&gt;")=0,"",SUMIFS(BD!$T$3:$T$5001,BD!$A$3:$A$5001,Y$3,BD!$B$3:$B$5001,$A$24)))</f>
        <v/>
      </c>
      <c r="Z30" s="185" t="str">
        <f>IF(Z$3="","",IF(COUNTIFS(BD!$A$3:$A$5001,Z$3,BD!$B$3:$B$5001,$A$24,BD!$T$3:$T$5001,"&lt;&gt;")=0,"",SUMIFS(BD!$T$3:$T$5001,BD!$A$3:$A$5001,Z$3,BD!$B$3:$B$5001,$A$24)))</f>
        <v/>
      </c>
      <c r="AA30" s="185" t="str">
        <f>IF(AA$3="","",IF(COUNTIFS(BD!$A$3:$A$5001,AA$3,BD!$B$3:$B$5001,$A$24,BD!$T$3:$T$5001,"&lt;&gt;")=0,"",SUMIFS(BD!$T$3:$T$5001,BD!$A$3:$A$5001,AA$3,BD!$B$3:$B$5001,$A$24)))</f>
        <v/>
      </c>
      <c r="AB30" s="185" t="str">
        <f>IF(AB$3="","",IF(COUNTIFS(BD!$A$3:$A$5001,AB$3,BD!$B$3:$B$5001,$A$24,BD!$T$3:$T$5001,"&lt;&gt;")=0,"",SUMIFS(BD!$T$3:$T$5001,BD!$A$3:$A$5001,AB$3,BD!$B$3:$B$5001,$A$24)))</f>
        <v/>
      </c>
      <c r="AC30" s="185" t="str">
        <f>IF(AC$3="","",IF(COUNTIFS(BD!$A$3:$A$5001,AC$3,BD!$B$3:$B$5001,$A$24,BD!$T$3:$T$5001,"&lt;&gt;")=0,"",SUMIFS(BD!$T$3:$T$5001,BD!$A$3:$A$5001,AC$3,BD!$B$3:$B$5001,$A$24)))</f>
        <v/>
      </c>
      <c r="AD30" s="185" t="str">
        <f>IF(AD$3="","",IF(COUNTIFS(BD!$A$3:$A$5001,AD$3,BD!$B$3:$B$5001,$A$24,BD!$T$3:$T$5001,"&lt;&gt;")=0,"",SUMIFS(BD!$T$3:$T$5001,BD!$A$3:$A$5001,AD$3,BD!$B$3:$B$5001,$A$24)))</f>
        <v/>
      </c>
      <c r="AE30" s="185" t="str">
        <f>IF(AE$3="","",IF(COUNTIFS(BD!$A$3:$A$5001,AE$3,BD!$B$3:$B$5001,$A$24,BD!$T$3:$T$5001,"&lt;&gt;")=0,"",SUMIFS(BD!$T$3:$T$5001,BD!$A$3:$A$5001,AE$3,BD!$B$3:$B$5001,$A$24)))</f>
        <v/>
      </c>
      <c r="AF30" s="185" t="str">
        <f>IF(AF$3="","",IF(COUNTIFS(BD!$A$3:$A$5001,AF$3,BD!$B$3:$B$5001,$A$24,BD!$T$3:$T$5001,"&lt;&gt;")=0,"",SUMIFS(BD!$T$3:$T$5001,BD!$A$3:$A$5001,AF$3,BD!$B$3:$B$5001,$A$24)))</f>
        <v/>
      </c>
      <c r="AG30" s="185" t="str">
        <f>IF(AG$3="","",IF(COUNTIFS(BD!$A$3:$A$5001,AG$3,BD!$B$3:$B$5001,$A$24,BD!$T$3:$T$5001,"&lt;&gt;")=0,"",SUMIFS(BD!$T$3:$T$5001,BD!$A$3:$A$5001,AG$3,BD!$B$3:$B$5001,$A$24)))</f>
        <v/>
      </c>
      <c r="AH30" s="185" t="str">
        <f>IF(AH$3="","",IF(COUNTIFS(BD!$A$3:$A$5001,AH$3,BD!$B$3:$B$5001,$A$24,BD!$T$3:$T$5001,"&lt;&gt;")=0,"",SUMIFS(BD!$T$3:$T$5001,BD!$A$3:$A$5001,AH$3,BD!$B$3:$B$5001,$A$24)))</f>
        <v/>
      </c>
      <c r="AI30" s="185" t="str">
        <f>IF(AI$3="","",IF(COUNTIFS(BD!$A$3:$A$5001,AI$3,BD!$B$3:$B$5001,$A$24,BD!$T$3:$T$5001,"&lt;&gt;")=0,"",SUMIFS(BD!$T$3:$T$5001,BD!$A$3:$A$5001,AI$3,BD!$B$3:$B$5001,$A$24)))</f>
        <v/>
      </c>
      <c r="AJ30" s="186" t="str">
        <f>IF(AJ$3="","",IF(COUNTIFS(BD!$A$3:$A$5001,AJ$3,BD!$B$3:$B$5001,$A$24,BD!$T$3:$T$5001,"&lt;&gt;")=0,"",SUMIFS(BD!$T$3:$T$5001,BD!$A$3:$A$5001,AJ$3,BD!$B$3:$B$5001,$A$24)))</f>
        <v/>
      </c>
      <c r="AK30" s="187" t="str">
        <f>IF(COUNT(F30:AJ30)=0,"",SUM(F30:AJ30))</f>
        <v/>
      </c>
    </row>
    <row r="31" ht="15.75" customHeight="1">
      <c r="A31" s="244"/>
      <c r="B31" s="237"/>
      <c r="C31" s="188" t="inlineStr">
        <is>
          <t xml:space="preserve">No show</t>
        </is>
      </c>
      <c r="D31" s="189" t="str">
        <f>IFERROR(1/(1/INDEX(BD!$AJ$41:$BD$41,MATCH($A$24,BD!$AJ$22:$BD$22,0))),"")</f>
        <v/>
      </c>
      <c r="E31" s="190"/>
      <c r="F31" s="191" t="str">
        <f>IF(F$3="","",IF(COUNTIFS(BD!$A$3:$A$5001,F$3,BD!$B$3:$B$5001,$A$24,BD!$U$3:$U$5001,"&lt;&gt;")=0,"",SUMIFS(BD!$U$3:$U$5001,BD!$A$3:$A$5001,F$3,BD!$B$3:$B$5001,$A$24)))</f>
        <v/>
      </c>
      <c r="G31" s="192" t="str">
        <f>IF(G$3="","",IF(COUNTIFS(BD!$A$3:$A$5001,G$3,BD!$B$3:$B$5001,$A$24,BD!$U$3:$U$5001,"&lt;&gt;")=0,"",SUMIFS(BD!$U$3:$U$5001,BD!$A$3:$A$5001,G$3,BD!$B$3:$B$5001,$A$24)))</f>
        <v/>
      </c>
      <c r="H31" s="192" t="str">
        <f>IF(H$3="","",IF(COUNTIFS(BD!$A$3:$A$5001,H$3,BD!$B$3:$B$5001,$A$24,BD!$U$3:$U$5001,"&lt;&gt;")=0,"",SUMIFS(BD!$U$3:$U$5001,BD!$A$3:$A$5001,H$3,BD!$B$3:$B$5001,$A$24)))</f>
        <v/>
      </c>
      <c r="I31" s="192" t="str">
        <f>IF(I$3="","",IF(COUNTIFS(BD!$A$3:$A$5001,I$3,BD!$B$3:$B$5001,$A$24,BD!$U$3:$U$5001,"&lt;&gt;")=0,"",SUMIFS(BD!$U$3:$U$5001,BD!$A$3:$A$5001,I$3,BD!$B$3:$B$5001,$A$24)))</f>
        <v/>
      </c>
      <c r="J31" s="192" t="str">
        <f>IF(J$3="","",IF(COUNTIFS(BD!$A$3:$A$5001,J$3,BD!$B$3:$B$5001,$A$24,BD!$U$3:$U$5001,"&lt;&gt;")=0,"",SUMIFS(BD!$U$3:$U$5001,BD!$A$3:$A$5001,J$3,BD!$B$3:$B$5001,$A$24)))</f>
        <v/>
      </c>
      <c r="K31" s="192" t="str">
        <f>IF(K$3="","",IF(COUNTIFS(BD!$A$3:$A$5001,K$3,BD!$B$3:$B$5001,$A$24,BD!$U$3:$U$5001,"&lt;&gt;")=0,"",SUMIFS(BD!$U$3:$U$5001,BD!$A$3:$A$5001,K$3,BD!$B$3:$B$5001,$A$24)))</f>
        <v/>
      </c>
      <c r="L31" s="192" t="str">
        <f>IF(L$3="","",IF(COUNTIFS(BD!$A$3:$A$5001,L$3,BD!$B$3:$B$5001,$A$24,BD!$U$3:$U$5001,"&lt;&gt;")=0,"",SUMIFS(BD!$U$3:$U$5001,BD!$A$3:$A$5001,L$3,BD!$B$3:$B$5001,$A$24)))</f>
        <v/>
      </c>
      <c r="M31" s="192" t="str">
        <f>IF(M$3="","",IF(COUNTIFS(BD!$A$3:$A$5001,M$3,BD!$B$3:$B$5001,$A$24,BD!$U$3:$U$5001,"&lt;&gt;")=0,"",SUMIFS(BD!$U$3:$U$5001,BD!$A$3:$A$5001,M$3,BD!$B$3:$B$5001,$A$24)))</f>
        <v/>
      </c>
      <c r="N31" s="192" t="str">
        <f>IF(N$3="","",IF(COUNTIFS(BD!$A$3:$A$5001,N$3,BD!$B$3:$B$5001,$A$24,BD!$U$3:$U$5001,"&lt;&gt;")=0,"",SUMIFS(BD!$U$3:$U$5001,BD!$A$3:$A$5001,N$3,BD!$B$3:$B$5001,$A$24)))</f>
        <v/>
      </c>
      <c r="O31" s="192" t="str">
        <f>IF(O$3="","",IF(COUNTIFS(BD!$A$3:$A$5001,O$3,BD!$B$3:$B$5001,$A$24,BD!$U$3:$U$5001,"&lt;&gt;")=0,"",SUMIFS(BD!$U$3:$U$5001,BD!$A$3:$A$5001,O$3,BD!$B$3:$B$5001,$A$24)))</f>
        <v/>
      </c>
      <c r="P31" s="192" t="str">
        <f>IF(P$3="","",IF(COUNTIFS(BD!$A$3:$A$5001,P$3,BD!$B$3:$B$5001,$A$24,BD!$U$3:$U$5001,"&lt;&gt;")=0,"",SUMIFS(BD!$U$3:$U$5001,BD!$A$3:$A$5001,P$3,BD!$B$3:$B$5001,$A$24)))</f>
        <v/>
      </c>
      <c r="Q31" s="192" t="str">
        <f>IF(Q$3="","",IF(COUNTIFS(BD!$A$3:$A$5001,Q$3,BD!$B$3:$B$5001,$A$24,BD!$U$3:$U$5001,"&lt;&gt;")=0,"",SUMIFS(BD!$U$3:$U$5001,BD!$A$3:$A$5001,Q$3,BD!$B$3:$B$5001,$A$24)))</f>
        <v/>
      </c>
      <c r="R31" s="192" t="str">
        <f>IF(R$3="","",IF(COUNTIFS(BD!$A$3:$A$5001,R$3,BD!$B$3:$B$5001,$A$24,BD!$U$3:$U$5001,"&lt;&gt;")=0,"",SUMIFS(BD!$U$3:$U$5001,BD!$A$3:$A$5001,R$3,BD!$B$3:$B$5001,$A$24)))</f>
        <v/>
      </c>
      <c r="S31" s="192" t="str">
        <f>IF(S$3="","",IF(COUNTIFS(BD!$A$3:$A$5001,S$3,BD!$B$3:$B$5001,$A$24,BD!$U$3:$U$5001,"&lt;&gt;")=0,"",SUMIFS(BD!$U$3:$U$5001,BD!$A$3:$A$5001,S$3,BD!$B$3:$B$5001,$A$24)))</f>
        <v/>
      </c>
      <c r="T31" s="192" t="str">
        <f>IF(T$3="","",IF(COUNTIFS(BD!$A$3:$A$5001,T$3,BD!$B$3:$B$5001,$A$24,BD!$U$3:$U$5001,"&lt;&gt;")=0,"",SUMIFS(BD!$U$3:$U$5001,BD!$A$3:$A$5001,T$3,BD!$B$3:$B$5001,$A$24)))</f>
        <v/>
      </c>
      <c r="U31" s="192" t="str">
        <f>IF(U$3="","",IF(COUNTIFS(BD!$A$3:$A$5001,U$3,BD!$B$3:$B$5001,$A$24,BD!$U$3:$U$5001,"&lt;&gt;")=0,"",SUMIFS(BD!$U$3:$U$5001,BD!$A$3:$A$5001,U$3,BD!$B$3:$B$5001,$A$24)))</f>
        <v/>
      </c>
      <c r="V31" s="192" t="str">
        <f>IF(V$3="","",IF(COUNTIFS(BD!$A$3:$A$5001,V$3,BD!$B$3:$B$5001,$A$24,BD!$U$3:$U$5001,"&lt;&gt;")=0,"",SUMIFS(BD!$U$3:$U$5001,BD!$A$3:$A$5001,V$3,BD!$B$3:$B$5001,$A$24)))</f>
        <v/>
      </c>
      <c r="W31" s="192" t="str">
        <f>IF(W$3="","",IF(COUNTIFS(BD!$A$3:$A$5001,W$3,BD!$B$3:$B$5001,$A$24,BD!$U$3:$U$5001,"&lt;&gt;")=0,"",SUMIFS(BD!$U$3:$U$5001,BD!$A$3:$A$5001,W$3,BD!$B$3:$B$5001,$A$24)))</f>
        <v/>
      </c>
      <c r="X31" s="192" t="str">
        <f>IF(X$3="","",IF(COUNTIFS(BD!$A$3:$A$5001,X$3,BD!$B$3:$B$5001,$A$24,BD!$U$3:$U$5001,"&lt;&gt;")=0,"",SUMIFS(BD!$U$3:$U$5001,BD!$A$3:$A$5001,X$3,BD!$B$3:$B$5001,$A$24)))</f>
        <v/>
      </c>
      <c r="Y31" s="192" t="str">
        <f>IF(Y$3="","",IF(COUNTIFS(BD!$A$3:$A$5001,Y$3,BD!$B$3:$B$5001,$A$24,BD!$U$3:$U$5001,"&lt;&gt;")=0,"",SUMIFS(BD!$U$3:$U$5001,BD!$A$3:$A$5001,Y$3,BD!$B$3:$B$5001,$A$24)))</f>
        <v/>
      </c>
      <c r="Z31" s="192" t="str">
        <f>IF(Z$3="","",IF(COUNTIFS(BD!$A$3:$A$5001,Z$3,BD!$B$3:$B$5001,$A$24,BD!$U$3:$U$5001,"&lt;&gt;")=0,"",SUMIFS(BD!$U$3:$U$5001,BD!$A$3:$A$5001,Z$3,BD!$B$3:$B$5001,$A$24)))</f>
        <v/>
      </c>
      <c r="AA31" s="192" t="str">
        <f>IF(AA$3="","",IF(COUNTIFS(BD!$A$3:$A$5001,AA$3,BD!$B$3:$B$5001,$A$24,BD!$U$3:$U$5001,"&lt;&gt;")=0,"",SUMIFS(BD!$U$3:$U$5001,BD!$A$3:$A$5001,AA$3,BD!$B$3:$B$5001,$A$24)))</f>
        <v/>
      </c>
      <c r="AB31" s="192" t="str">
        <f>IF(AB$3="","",IF(COUNTIFS(BD!$A$3:$A$5001,AB$3,BD!$B$3:$B$5001,$A$24,BD!$U$3:$U$5001,"&lt;&gt;")=0,"",SUMIFS(BD!$U$3:$U$5001,BD!$A$3:$A$5001,AB$3,BD!$B$3:$B$5001,$A$24)))</f>
        <v/>
      </c>
      <c r="AC31" s="192" t="str">
        <f>IF(AC$3="","",IF(COUNTIFS(BD!$A$3:$A$5001,AC$3,BD!$B$3:$B$5001,$A$24,BD!$U$3:$U$5001,"&lt;&gt;")=0,"",SUMIFS(BD!$U$3:$U$5001,BD!$A$3:$A$5001,AC$3,BD!$B$3:$B$5001,$A$24)))</f>
        <v/>
      </c>
      <c r="AD31" s="192" t="str">
        <f>IF(AD$3="","",IF(COUNTIFS(BD!$A$3:$A$5001,AD$3,BD!$B$3:$B$5001,$A$24,BD!$U$3:$U$5001,"&lt;&gt;")=0,"",SUMIFS(BD!$U$3:$U$5001,BD!$A$3:$A$5001,AD$3,BD!$B$3:$B$5001,$A$24)))</f>
        <v/>
      </c>
      <c r="AE31" s="192" t="str">
        <f>IF(AE$3="","",IF(COUNTIFS(BD!$A$3:$A$5001,AE$3,BD!$B$3:$B$5001,$A$24,BD!$U$3:$U$5001,"&lt;&gt;")=0,"",SUMIFS(BD!$U$3:$U$5001,BD!$A$3:$A$5001,AE$3,BD!$B$3:$B$5001,$A$24)))</f>
        <v/>
      </c>
      <c r="AF31" s="192" t="str">
        <f>IF(AF$3="","",IF(COUNTIFS(BD!$A$3:$A$5001,AF$3,BD!$B$3:$B$5001,$A$24,BD!$U$3:$U$5001,"&lt;&gt;")=0,"",SUMIFS(BD!$U$3:$U$5001,BD!$A$3:$A$5001,AF$3,BD!$B$3:$B$5001,$A$24)))</f>
        <v/>
      </c>
      <c r="AG31" s="192" t="str">
        <f>IF(AG$3="","",IF(COUNTIFS(BD!$A$3:$A$5001,AG$3,BD!$B$3:$B$5001,$A$24,BD!$U$3:$U$5001,"&lt;&gt;")=0,"",SUMIFS(BD!$U$3:$U$5001,BD!$A$3:$A$5001,AG$3,BD!$B$3:$B$5001,$A$24)))</f>
        <v/>
      </c>
      <c r="AH31" s="192" t="str">
        <f>IF(AH$3="","",IF(COUNTIFS(BD!$A$3:$A$5001,AH$3,BD!$B$3:$B$5001,$A$24,BD!$U$3:$U$5001,"&lt;&gt;")=0,"",SUMIFS(BD!$U$3:$U$5001,BD!$A$3:$A$5001,AH$3,BD!$B$3:$B$5001,$A$24)))</f>
        <v/>
      </c>
      <c r="AI31" s="192" t="str">
        <f>IF(AI$3="","",IF(COUNTIFS(BD!$A$3:$A$5001,AI$3,BD!$B$3:$B$5001,$A$24,BD!$U$3:$U$5001,"&lt;&gt;")=0,"",SUMIFS(BD!$U$3:$U$5001,BD!$A$3:$A$5001,AI$3,BD!$B$3:$B$5001,$A$24)))</f>
        <v/>
      </c>
      <c r="AJ31" s="193" t="str">
        <f>IF(AJ$3="","",IF(COUNTIFS(BD!$A$3:$A$5001,AJ$3,BD!$B$3:$B$5001,$A$24,BD!$U$3:$U$5001,"&lt;&gt;")=0,"",SUMIFS(BD!$U$3:$U$5001,BD!$A$3:$A$5001,AJ$3,BD!$B$3:$B$5001,$A$24)))</f>
        <v/>
      </c>
      <c r="AK31" s="194" t="str">
        <f>IF(COUNT(F31:AJ31)=0,"",SUM(F31:AJ31))</f>
        <v/>
      </c>
    </row>
    <row r="32" ht="15.75" customHeight="1">
      <c r="A32" s="244"/>
      <c r="B32" s="238"/>
      <c r="C32" s="195" t="inlineStr">
        <is>
          <t xml:space="preserve">Backlog</t>
        </is>
      </c>
      <c r="D32" s="196" t="str">
        <f>IFERROR(1/(1/INDEX(BD!$AJ$42:$BD$42,MATCH($A$24,BD!$AJ$22:$BD$22,0))),"")</f>
        <v/>
      </c>
      <c r="E32" s="197"/>
      <c r="F32" s="198" t="str">
        <f>IF(F$3="","",IF(COUNTIFS(BD!$A$3:$A$5001,F$3,BD!$B$3:$B$5001,$A$24,BD!$V$3:$V$5001,"&lt;&gt;")=0,"",SUMIFS(BD!$V$3:$V$5001,BD!$A$3:$A$5001,F$3,BD!$B$3:$B$5001,$A$24)))</f>
        <v/>
      </c>
      <c r="G32" s="199" t="str">
        <f>IF(G$3="","",IF(COUNTIFS(BD!$A$3:$A$5001,G$3,BD!$B$3:$B$5001,$A$24,BD!$V$3:$V$5001,"&lt;&gt;")=0,"",SUMIFS(BD!$V$3:$V$5001,BD!$A$3:$A$5001,G$3,BD!$B$3:$B$5001,$A$24)))</f>
        <v/>
      </c>
      <c r="H32" s="199" t="str">
        <f>IF(H$3="","",IF(COUNTIFS(BD!$A$3:$A$5001,H$3,BD!$B$3:$B$5001,$A$24,BD!$V$3:$V$5001,"&lt;&gt;")=0,"",SUMIFS(BD!$V$3:$V$5001,BD!$A$3:$A$5001,H$3,BD!$B$3:$B$5001,$A$24)))</f>
        <v/>
      </c>
      <c r="I32" s="199" t="str">
        <f>IF(I$3="","",IF(COUNTIFS(BD!$A$3:$A$5001,I$3,BD!$B$3:$B$5001,$A$24,BD!$V$3:$V$5001,"&lt;&gt;")=0,"",SUMIFS(BD!$V$3:$V$5001,BD!$A$3:$A$5001,I$3,BD!$B$3:$B$5001,$A$24)))</f>
        <v/>
      </c>
      <c r="J32" s="199" t="str">
        <f>IF(J$3="","",IF(COUNTIFS(BD!$A$3:$A$5001,J$3,BD!$B$3:$B$5001,$A$24,BD!$V$3:$V$5001,"&lt;&gt;")=0,"",SUMIFS(BD!$V$3:$V$5001,BD!$A$3:$A$5001,J$3,BD!$B$3:$B$5001,$A$24)))</f>
        <v/>
      </c>
      <c r="K32" s="199" t="str">
        <f>IF(K$3="","",IF(COUNTIFS(BD!$A$3:$A$5001,K$3,BD!$B$3:$B$5001,$A$24,BD!$V$3:$V$5001,"&lt;&gt;")=0,"",SUMIFS(BD!$V$3:$V$5001,BD!$A$3:$A$5001,K$3,BD!$B$3:$B$5001,$A$24)))</f>
        <v/>
      </c>
      <c r="L32" s="199" t="str">
        <f>IF(L$3="","",IF(COUNTIFS(BD!$A$3:$A$5001,L$3,BD!$B$3:$B$5001,$A$24,BD!$V$3:$V$5001,"&lt;&gt;")=0,"",SUMIFS(BD!$V$3:$V$5001,BD!$A$3:$A$5001,L$3,BD!$B$3:$B$5001,$A$24)))</f>
        <v/>
      </c>
      <c r="M32" s="199" t="str">
        <f>IF(M$3="","",IF(COUNTIFS(BD!$A$3:$A$5001,M$3,BD!$B$3:$B$5001,$A$24,BD!$V$3:$V$5001,"&lt;&gt;")=0,"",SUMIFS(BD!$V$3:$V$5001,BD!$A$3:$A$5001,M$3,BD!$B$3:$B$5001,$A$24)))</f>
        <v/>
      </c>
      <c r="N32" s="199" t="str">
        <f>IF(N$3="","",IF(COUNTIFS(BD!$A$3:$A$5001,N$3,BD!$B$3:$B$5001,$A$24,BD!$V$3:$V$5001,"&lt;&gt;")=0,"",SUMIFS(BD!$V$3:$V$5001,BD!$A$3:$A$5001,N$3,BD!$B$3:$B$5001,$A$24)))</f>
        <v/>
      </c>
      <c r="O32" s="199" t="str">
        <f>IF(O$3="","",IF(COUNTIFS(BD!$A$3:$A$5001,O$3,BD!$B$3:$B$5001,$A$24,BD!$V$3:$V$5001,"&lt;&gt;")=0,"",SUMIFS(BD!$V$3:$V$5001,BD!$A$3:$A$5001,O$3,BD!$B$3:$B$5001,$A$24)))</f>
        <v/>
      </c>
      <c r="P32" s="199" t="str">
        <f>IF(P$3="","",IF(COUNTIFS(BD!$A$3:$A$5001,P$3,BD!$B$3:$B$5001,$A$24,BD!$V$3:$V$5001,"&lt;&gt;")=0,"",SUMIFS(BD!$V$3:$V$5001,BD!$A$3:$A$5001,P$3,BD!$B$3:$B$5001,$A$24)))</f>
        <v/>
      </c>
      <c r="Q32" s="199" t="str">
        <f>IF(Q$3="","",IF(COUNTIFS(BD!$A$3:$A$5001,Q$3,BD!$B$3:$B$5001,$A$24,BD!$V$3:$V$5001,"&lt;&gt;")=0,"",SUMIFS(BD!$V$3:$V$5001,BD!$A$3:$A$5001,Q$3,BD!$B$3:$B$5001,$A$24)))</f>
        <v/>
      </c>
      <c r="R32" s="199" t="str">
        <f>IF(R$3="","",IF(COUNTIFS(BD!$A$3:$A$5001,R$3,BD!$B$3:$B$5001,$A$24,BD!$V$3:$V$5001,"&lt;&gt;")=0,"",SUMIFS(BD!$V$3:$V$5001,BD!$A$3:$A$5001,R$3,BD!$B$3:$B$5001,$A$24)))</f>
        <v/>
      </c>
      <c r="S32" s="199" t="str">
        <f>IF(S$3="","",IF(COUNTIFS(BD!$A$3:$A$5001,S$3,BD!$B$3:$B$5001,$A$24,BD!$V$3:$V$5001,"&lt;&gt;")=0,"",SUMIFS(BD!$V$3:$V$5001,BD!$A$3:$A$5001,S$3,BD!$B$3:$B$5001,$A$24)))</f>
        <v/>
      </c>
      <c r="T32" s="199" t="str">
        <f>IF(T$3="","",IF(COUNTIFS(BD!$A$3:$A$5001,T$3,BD!$B$3:$B$5001,$A$24,BD!$V$3:$V$5001,"&lt;&gt;")=0,"",SUMIFS(BD!$V$3:$V$5001,BD!$A$3:$A$5001,T$3,BD!$B$3:$B$5001,$A$24)))</f>
        <v/>
      </c>
      <c r="U32" s="199" t="str">
        <f>IF(U$3="","",IF(COUNTIFS(BD!$A$3:$A$5001,U$3,BD!$B$3:$B$5001,$A$24,BD!$V$3:$V$5001,"&lt;&gt;")=0,"",SUMIFS(BD!$V$3:$V$5001,BD!$A$3:$A$5001,U$3,BD!$B$3:$B$5001,$A$24)))</f>
        <v/>
      </c>
      <c r="V32" s="199" t="str">
        <f>IF(V$3="","",IF(COUNTIFS(BD!$A$3:$A$5001,V$3,BD!$B$3:$B$5001,$A$24,BD!$V$3:$V$5001,"&lt;&gt;")=0,"",SUMIFS(BD!$V$3:$V$5001,BD!$A$3:$A$5001,V$3,BD!$B$3:$B$5001,$A$24)))</f>
        <v/>
      </c>
      <c r="W32" s="199" t="str">
        <f>IF(W$3="","",IF(COUNTIFS(BD!$A$3:$A$5001,W$3,BD!$B$3:$B$5001,$A$24,BD!$V$3:$V$5001,"&lt;&gt;")=0,"",SUMIFS(BD!$V$3:$V$5001,BD!$A$3:$A$5001,W$3,BD!$B$3:$B$5001,$A$24)))</f>
        <v/>
      </c>
      <c r="X32" s="199" t="str">
        <f>IF(X$3="","",IF(COUNTIFS(BD!$A$3:$A$5001,X$3,BD!$B$3:$B$5001,$A$24,BD!$V$3:$V$5001,"&lt;&gt;")=0,"",SUMIFS(BD!$V$3:$V$5001,BD!$A$3:$A$5001,X$3,BD!$B$3:$B$5001,$A$24)))</f>
        <v/>
      </c>
      <c r="Y32" s="199" t="str">
        <f>IF(Y$3="","",IF(COUNTIFS(BD!$A$3:$A$5001,Y$3,BD!$B$3:$B$5001,$A$24,BD!$V$3:$V$5001,"&lt;&gt;")=0,"",SUMIFS(BD!$V$3:$V$5001,BD!$A$3:$A$5001,Y$3,BD!$B$3:$B$5001,$A$24)))</f>
        <v/>
      </c>
      <c r="Z32" s="199" t="str">
        <f>IF(Z$3="","",IF(COUNTIFS(BD!$A$3:$A$5001,Z$3,BD!$B$3:$B$5001,$A$24,BD!$V$3:$V$5001,"&lt;&gt;")=0,"",SUMIFS(BD!$V$3:$V$5001,BD!$A$3:$A$5001,Z$3,BD!$B$3:$B$5001,$A$24)))</f>
        <v/>
      </c>
      <c r="AA32" s="199" t="str">
        <f>IF(AA$3="","",IF(COUNTIFS(BD!$A$3:$A$5001,AA$3,BD!$B$3:$B$5001,$A$24,BD!$V$3:$V$5001,"&lt;&gt;")=0,"",SUMIFS(BD!$V$3:$V$5001,BD!$A$3:$A$5001,AA$3,BD!$B$3:$B$5001,$A$24)))</f>
        <v/>
      </c>
      <c r="AB32" s="199" t="str">
        <f>IF(AB$3="","",IF(COUNTIFS(BD!$A$3:$A$5001,AB$3,BD!$B$3:$B$5001,$A$24,BD!$V$3:$V$5001,"&lt;&gt;")=0,"",SUMIFS(BD!$V$3:$V$5001,BD!$A$3:$A$5001,AB$3,BD!$B$3:$B$5001,$A$24)))</f>
        <v/>
      </c>
      <c r="AC32" s="199" t="str">
        <f>IF(AC$3="","",IF(COUNTIFS(BD!$A$3:$A$5001,AC$3,BD!$B$3:$B$5001,$A$24,BD!$V$3:$V$5001,"&lt;&gt;")=0,"",SUMIFS(BD!$V$3:$V$5001,BD!$A$3:$A$5001,AC$3,BD!$B$3:$B$5001,$A$24)))</f>
        <v/>
      </c>
      <c r="AD32" s="199" t="str">
        <f>IF(AD$3="","",IF(COUNTIFS(BD!$A$3:$A$5001,AD$3,BD!$B$3:$B$5001,$A$24,BD!$V$3:$V$5001,"&lt;&gt;")=0,"",SUMIFS(BD!$V$3:$V$5001,BD!$A$3:$A$5001,AD$3,BD!$B$3:$B$5001,$A$24)))</f>
        <v/>
      </c>
      <c r="AE32" s="199" t="str">
        <f>IF(AE$3="","",IF(COUNTIFS(BD!$A$3:$A$5001,AE$3,BD!$B$3:$B$5001,$A$24,BD!$V$3:$V$5001,"&lt;&gt;")=0,"",SUMIFS(BD!$V$3:$V$5001,BD!$A$3:$A$5001,AE$3,BD!$B$3:$B$5001,$A$24)))</f>
        <v/>
      </c>
      <c r="AF32" s="199" t="str">
        <f>IF(AF$3="","",IF(COUNTIFS(BD!$A$3:$A$5001,AF$3,BD!$B$3:$B$5001,$A$24,BD!$V$3:$V$5001,"&lt;&gt;")=0,"",SUMIFS(BD!$V$3:$V$5001,BD!$A$3:$A$5001,AF$3,BD!$B$3:$B$5001,$A$24)))</f>
        <v/>
      </c>
      <c r="AG32" s="199" t="str">
        <f>IF(AG$3="","",IF(COUNTIFS(BD!$A$3:$A$5001,AG$3,BD!$B$3:$B$5001,$A$24,BD!$V$3:$V$5001,"&lt;&gt;")=0,"",SUMIFS(BD!$V$3:$V$5001,BD!$A$3:$A$5001,AG$3,BD!$B$3:$B$5001,$A$24)))</f>
        <v/>
      </c>
      <c r="AH32" s="199" t="str">
        <f>IF(AH$3="","",IF(COUNTIFS(BD!$A$3:$A$5001,AH$3,BD!$B$3:$B$5001,$A$24,BD!$V$3:$V$5001,"&lt;&gt;")=0,"",SUMIFS(BD!$V$3:$V$5001,BD!$A$3:$A$5001,AH$3,BD!$B$3:$B$5001,$A$24)))</f>
        <v/>
      </c>
      <c r="AI32" s="199" t="str">
        <f>IF(AI$3="","",IF(COUNTIFS(BD!$A$3:$A$5001,AI$3,BD!$B$3:$B$5001,$A$24,BD!$V$3:$V$5001,"&lt;&gt;")=0,"",SUMIFS(BD!$V$3:$V$5001,BD!$A$3:$A$5001,AI$3,BD!$B$3:$B$5001,$A$24)))</f>
        <v/>
      </c>
      <c r="AJ32" s="200" t="str">
        <f>IF(AJ$3="","",IF(COUNTIFS(BD!$A$3:$A$5001,AJ$3,BD!$B$3:$B$5001,$A$24,BD!$V$3:$V$5001,"&lt;&gt;")=0,"",SUMIFS(BD!$V$3:$V$5001,BD!$A$3:$A$5001,AJ$3,BD!$B$3:$B$5001,$A$24)))</f>
        <v/>
      </c>
      <c r="AK32" s="196" t="str">
        <f>IFERROR(LOOKUP(9.99E+307,F32:AJ32),"")</f>
        <v/>
      </c>
    </row>
    <row r="33" ht="15.75" customHeight="1">
      <c r="A33" s="244"/>
      <c r="B33" s="232" t="inlineStr">
        <is>
          <t xml:space="preserve">OCUPAÇÃO (P.P)</t>
        </is>
      </c>
      <c r="C33" s="155" t="inlineStr">
        <is>
          <t xml:space="preserve">Posições Disponíveis</t>
        </is>
      </c>
      <c r="D33" s="156" t="str">
        <f>IFERROR(1/(1/INDEX(BD!$AJ$43:$BD$43,MATCH($A$24,BD!$AJ$22:$BD$22,0))),"")</f>
        <v/>
      </c>
      <c r="E33" s="157"/>
      <c r="F33" s="158" t="str">
        <f>IF(F$3="","",IF(COUNTIFS(BD!$A$3:$A$5001,F$3,BD!$B$3:$B$5001,$A$24,BD!$W$3:$W$5001,"&lt;&gt;")=0,"",SUMIFS(BD!$W$3:$W$5001,BD!$A$3:$A$5001,F$3,BD!$B$3:$B$5001,$A$24)))</f>
        <v/>
      </c>
      <c r="G33" s="159" t="str">
        <f>IF(G$3="","",IF(COUNTIFS(BD!$A$3:$A$5001,G$3,BD!$B$3:$B$5001,$A$24,BD!$W$3:$W$5001,"&lt;&gt;")=0,"",SUMIFS(BD!$W$3:$W$5001,BD!$A$3:$A$5001,G$3,BD!$B$3:$B$5001,$A$24)))</f>
        <v/>
      </c>
      <c r="H33" s="159" t="str">
        <f>IF(H$3="","",IF(COUNTIFS(BD!$A$3:$A$5001,H$3,BD!$B$3:$B$5001,$A$24,BD!$W$3:$W$5001,"&lt;&gt;")=0,"",SUMIFS(BD!$W$3:$W$5001,BD!$A$3:$A$5001,H$3,BD!$B$3:$B$5001,$A$24)))</f>
        <v/>
      </c>
      <c r="I33" s="159" t="str">
        <f>IF(I$3="","",IF(COUNTIFS(BD!$A$3:$A$5001,I$3,BD!$B$3:$B$5001,$A$24,BD!$W$3:$W$5001,"&lt;&gt;")=0,"",SUMIFS(BD!$W$3:$W$5001,BD!$A$3:$A$5001,I$3,BD!$B$3:$B$5001,$A$24)))</f>
        <v/>
      </c>
      <c r="J33" s="159" t="str">
        <f>IF(J$3="","",IF(COUNTIFS(BD!$A$3:$A$5001,J$3,BD!$B$3:$B$5001,$A$24,BD!$W$3:$W$5001,"&lt;&gt;")=0,"",SUMIFS(BD!$W$3:$W$5001,BD!$A$3:$A$5001,J$3,BD!$B$3:$B$5001,$A$24)))</f>
        <v/>
      </c>
      <c r="K33" s="159" t="str">
        <f>IF(K$3="","",IF(COUNTIFS(BD!$A$3:$A$5001,K$3,BD!$B$3:$B$5001,$A$24,BD!$W$3:$W$5001,"&lt;&gt;")=0,"",SUMIFS(BD!$W$3:$W$5001,BD!$A$3:$A$5001,K$3,BD!$B$3:$B$5001,$A$24)))</f>
        <v/>
      </c>
      <c r="L33" s="159" t="str">
        <f>IF(L$3="","",IF(COUNTIFS(BD!$A$3:$A$5001,L$3,BD!$B$3:$B$5001,$A$24,BD!$W$3:$W$5001,"&lt;&gt;")=0,"",SUMIFS(BD!$W$3:$W$5001,BD!$A$3:$A$5001,L$3,BD!$B$3:$B$5001,$A$24)))</f>
        <v/>
      </c>
      <c r="M33" s="159" t="str">
        <f>IF(M$3="","",IF(COUNTIFS(BD!$A$3:$A$5001,M$3,BD!$B$3:$B$5001,$A$24,BD!$W$3:$W$5001,"&lt;&gt;")=0,"",SUMIFS(BD!$W$3:$W$5001,BD!$A$3:$A$5001,M$3,BD!$B$3:$B$5001,$A$24)))</f>
        <v/>
      </c>
      <c r="N33" s="159" t="str">
        <f>IF(N$3="","",IF(COUNTIFS(BD!$A$3:$A$5001,N$3,BD!$B$3:$B$5001,$A$24,BD!$W$3:$W$5001,"&lt;&gt;")=0,"",SUMIFS(BD!$W$3:$W$5001,BD!$A$3:$A$5001,N$3,BD!$B$3:$B$5001,$A$24)))</f>
        <v/>
      </c>
      <c r="O33" s="159" t="str">
        <f>IF(O$3="","",IF(COUNTIFS(BD!$A$3:$A$5001,O$3,BD!$B$3:$B$5001,$A$24,BD!$W$3:$W$5001,"&lt;&gt;")=0,"",SUMIFS(BD!$W$3:$W$5001,BD!$A$3:$A$5001,O$3,BD!$B$3:$B$5001,$A$24)))</f>
        <v/>
      </c>
      <c r="P33" s="159" t="str">
        <f>IF(P$3="","",IF(COUNTIFS(BD!$A$3:$A$5001,P$3,BD!$B$3:$B$5001,$A$24,BD!$W$3:$W$5001,"&lt;&gt;")=0,"",SUMIFS(BD!$W$3:$W$5001,BD!$A$3:$A$5001,P$3,BD!$B$3:$B$5001,$A$24)))</f>
        <v/>
      </c>
      <c r="Q33" s="159" t="str">
        <f>IF(Q$3="","",IF(COUNTIFS(BD!$A$3:$A$5001,Q$3,BD!$B$3:$B$5001,$A$24,BD!$W$3:$W$5001,"&lt;&gt;")=0,"",SUMIFS(BD!$W$3:$W$5001,BD!$A$3:$A$5001,Q$3,BD!$B$3:$B$5001,$A$24)))</f>
        <v/>
      </c>
      <c r="R33" s="159" t="str">
        <f>IF(R$3="","",IF(COUNTIFS(BD!$A$3:$A$5001,R$3,BD!$B$3:$B$5001,$A$24,BD!$W$3:$W$5001,"&lt;&gt;")=0,"",SUMIFS(BD!$W$3:$W$5001,BD!$A$3:$A$5001,R$3,BD!$B$3:$B$5001,$A$24)))</f>
        <v/>
      </c>
      <c r="S33" s="159" t="str">
        <f>IF(S$3="","",IF(COUNTIFS(BD!$A$3:$A$5001,S$3,BD!$B$3:$B$5001,$A$24,BD!$W$3:$W$5001,"&lt;&gt;")=0,"",SUMIFS(BD!$W$3:$W$5001,BD!$A$3:$A$5001,S$3,BD!$B$3:$B$5001,$A$24)))</f>
        <v/>
      </c>
      <c r="T33" s="159" t="str">
        <f>IF(T$3="","",IF(COUNTIFS(BD!$A$3:$A$5001,T$3,BD!$B$3:$B$5001,$A$24,BD!$W$3:$W$5001,"&lt;&gt;")=0,"",SUMIFS(BD!$W$3:$W$5001,BD!$A$3:$A$5001,T$3,BD!$B$3:$B$5001,$A$24)))</f>
        <v/>
      </c>
      <c r="U33" s="159" t="str">
        <f>IF(U$3="","",IF(COUNTIFS(BD!$A$3:$A$5001,U$3,BD!$B$3:$B$5001,$A$24,BD!$W$3:$W$5001,"&lt;&gt;")=0,"",SUMIFS(BD!$W$3:$W$5001,BD!$A$3:$A$5001,U$3,BD!$B$3:$B$5001,$A$24)))</f>
        <v/>
      </c>
      <c r="V33" s="159" t="str">
        <f>IF(V$3="","",IF(COUNTIFS(BD!$A$3:$A$5001,V$3,BD!$B$3:$B$5001,$A$24,BD!$W$3:$W$5001,"&lt;&gt;")=0,"",SUMIFS(BD!$W$3:$W$5001,BD!$A$3:$A$5001,V$3,BD!$B$3:$B$5001,$A$24)))</f>
        <v/>
      </c>
      <c r="W33" s="159" t="str">
        <f>IF(W$3="","",IF(COUNTIFS(BD!$A$3:$A$5001,W$3,BD!$B$3:$B$5001,$A$24,BD!$W$3:$W$5001,"&lt;&gt;")=0,"",SUMIFS(BD!$W$3:$W$5001,BD!$A$3:$A$5001,W$3,BD!$B$3:$B$5001,$A$24)))</f>
        <v/>
      </c>
      <c r="X33" s="159" t="str">
        <f>IF(X$3="","",IF(COUNTIFS(BD!$A$3:$A$5001,X$3,BD!$B$3:$B$5001,$A$24,BD!$W$3:$W$5001,"&lt;&gt;")=0,"",SUMIFS(BD!$W$3:$W$5001,BD!$A$3:$A$5001,X$3,BD!$B$3:$B$5001,$A$24)))</f>
        <v/>
      </c>
      <c r="Y33" s="159" t="str">
        <f>IF(Y$3="","",IF(COUNTIFS(BD!$A$3:$A$5001,Y$3,BD!$B$3:$B$5001,$A$24,BD!$W$3:$W$5001,"&lt;&gt;")=0,"",SUMIFS(BD!$W$3:$W$5001,BD!$A$3:$A$5001,Y$3,BD!$B$3:$B$5001,$A$24)))</f>
        <v/>
      </c>
      <c r="Z33" s="159" t="str">
        <f>IF(Z$3="","",IF(COUNTIFS(BD!$A$3:$A$5001,Z$3,BD!$B$3:$B$5001,$A$24,BD!$W$3:$W$5001,"&lt;&gt;")=0,"",SUMIFS(BD!$W$3:$W$5001,BD!$A$3:$A$5001,Z$3,BD!$B$3:$B$5001,$A$24)))</f>
        <v/>
      </c>
      <c r="AA33" s="159" t="str">
        <f>IF(AA$3="","",IF(COUNTIFS(BD!$A$3:$A$5001,AA$3,BD!$B$3:$B$5001,$A$24,BD!$W$3:$W$5001,"&lt;&gt;")=0,"",SUMIFS(BD!$W$3:$W$5001,BD!$A$3:$A$5001,AA$3,BD!$B$3:$B$5001,$A$24)))</f>
        <v/>
      </c>
      <c r="AB33" s="159" t="str">
        <f>IF(AB$3="","",IF(COUNTIFS(BD!$A$3:$A$5001,AB$3,BD!$B$3:$B$5001,$A$24,BD!$W$3:$W$5001,"&lt;&gt;")=0,"",SUMIFS(BD!$W$3:$W$5001,BD!$A$3:$A$5001,AB$3,BD!$B$3:$B$5001,$A$24)))</f>
        <v/>
      </c>
      <c r="AC33" s="159" t="str">
        <f>IF(AC$3="","",IF(COUNTIFS(BD!$A$3:$A$5001,AC$3,BD!$B$3:$B$5001,$A$24,BD!$W$3:$W$5001,"&lt;&gt;")=0,"",SUMIFS(BD!$W$3:$W$5001,BD!$A$3:$A$5001,AC$3,BD!$B$3:$B$5001,$A$24)))</f>
        <v/>
      </c>
      <c r="AD33" s="159" t="str">
        <f>IF(AD$3="","",IF(COUNTIFS(BD!$A$3:$A$5001,AD$3,BD!$B$3:$B$5001,$A$24,BD!$W$3:$W$5001,"&lt;&gt;")=0,"",SUMIFS(BD!$W$3:$W$5001,BD!$A$3:$A$5001,AD$3,BD!$B$3:$B$5001,$A$24)))</f>
        <v/>
      </c>
      <c r="AE33" s="159" t="str">
        <f>IF(AE$3="","",IF(COUNTIFS(BD!$A$3:$A$5001,AE$3,BD!$B$3:$B$5001,$A$24,BD!$W$3:$W$5001,"&lt;&gt;")=0,"",SUMIFS(BD!$W$3:$W$5001,BD!$A$3:$A$5001,AE$3,BD!$B$3:$B$5001,$A$24)))</f>
        <v/>
      </c>
      <c r="AF33" s="159" t="str">
        <f>IF(AF$3="","",IF(COUNTIFS(BD!$A$3:$A$5001,AF$3,BD!$B$3:$B$5001,$A$24,BD!$W$3:$W$5001,"&lt;&gt;")=0,"",SUMIFS(BD!$W$3:$W$5001,BD!$A$3:$A$5001,AF$3,BD!$B$3:$B$5001,$A$24)))</f>
        <v/>
      </c>
      <c r="AG33" s="159" t="str">
        <f>IF(AG$3="","",IF(COUNTIFS(BD!$A$3:$A$5001,AG$3,BD!$B$3:$B$5001,$A$24,BD!$W$3:$W$5001,"&lt;&gt;")=0,"",SUMIFS(BD!$W$3:$W$5001,BD!$A$3:$A$5001,AG$3,BD!$B$3:$B$5001,$A$24)))</f>
        <v/>
      </c>
      <c r="AH33" s="159" t="str">
        <f>IF(AH$3="","",IF(COUNTIFS(BD!$A$3:$A$5001,AH$3,BD!$B$3:$B$5001,$A$24,BD!$W$3:$W$5001,"&lt;&gt;")=0,"",SUMIFS(BD!$W$3:$W$5001,BD!$A$3:$A$5001,AH$3,BD!$B$3:$B$5001,$A$24)))</f>
        <v/>
      </c>
      <c r="AI33" s="159" t="str">
        <f>IF(AI$3="","",IF(COUNTIFS(BD!$A$3:$A$5001,AI$3,BD!$B$3:$B$5001,$A$24,BD!$W$3:$W$5001,"&lt;&gt;")=0,"",SUMIFS(BD!$W$3:$W$5001,BD!$A$3:$A$5001,AI$3,BD!$B$3:$B$5001,$A$24)))</f>
        <v/>
      </c>
      <c r="AJ33" s="160" t="str">
        <f>IF(AJ$3="","",IF(COUNTIFS(BD!$A$3:$A$5001,AJ$3,BD!$B$3:$B$5001,$A$24,BD!$W$3:$W$5001,"&lt;&gt;")=0,"",SUMIFS(BD!$W$3:$W$5001,BD!$A$3:$A$5001,AJ$3,BD!$B$3:$B$5001,$A$24)))</f>
        <v/>
      </c>
      <c r="AK33" s="161" t="str">
        <f>IF(COUNT(F33:AJ33)&gt;0,LOOKUP(9.99E+307,F33:AJ33),IFERROR(IF(INDEX(BD!$AG$3:$AG$5001,MATCH($A$24,BD!$B$3:$B$5001,0))&amp;""="Contrato","",INDEX(BD!$AG$3:$AG$5001,MATCH($A$24,BD!$B$3:$B$5001,0))&amp;""),""))</f>
        <v/>
      </c>
    </row>
    <row r="34" ht="15.75" customHeight="1">
      <c r="A34" s="244"/>
      <c r="B34" s="239"/>
      <c r="C34" s="201" t="inlineStr">
        <is>
          <t xml:space="preserve">Posições Ocupadas</t>
        </is>
      </c>
      <c r="D34" s="202" t="str">
        <f>IFERROR(1/(1/INDEX(BD!$AJ$44:$BD$44,MATCH($A$24,BD!$AJ$22:$BD$22,0))),"")</f>
        <v/>
      </c>
      <c r="E34" s="203"/>
      <c r="F34" s="204" t="str">
        <f>IF(F$3="","",IF(COUNTIFS(BD!$A$3:$A$5001,F$3,BD!$B$3:$B$5001,$A$24,BD!$X$3:$X$5001,"&lt;&gt;")=0,"",SUMIFS(BD!$X$3:$X$5001,BD!$A$3:$A$5001,F$3,BD!$B$3:$B$5001,$A$24)))</f>
        <v/>
      </c>
      <c r="G34" s="205" t="str">
        <f>IF(G$3="","",IF(COUNTIFS(BD!$A$3:$A$5001,G$3,BD!$B$3:$B$5001,$A$24,BD!$X$3:$X$5001,"&lt;&gt;")=0,"",SUMIFS(BD!$X$3:$X$5001,BD!$A$3:$A$5001,G$3,BD!$B$3:$B$5001,$A$24)))</f>
        <v/>
      </c>
      <c r="H34" s="205" t="str">
        <f>IF(H$3="","",IF(COUNTIFS(BD!$A$3:$A$5001,H$3,BD!$B$3:$B$5001,$A$24,BD!$X$3:$X$5001,"&lt;&gt;")=0,"",SUMIFS(BD!$X$3:$X$5001,BD!$A$3:$A$5001,H$3,BD!$B$3:$B$5001,$A$24)))</f>
        <v/>
      </c>
      <c r="I34" s="205" t="str">
        <f>IF(I$3="","",IF(COUNTIFS(BD!$A$3:$A$5001,I$3,BD!$B$3:$B$5001,$A$24,BD!$X$3:$X$5001,"&lt;&gt;")=0,"",SUMIFS(BD!$X$3:$X$5001,BD!$A$3:$A$5001,I$3,BD!$B$3:$B$5001,$A$24)))</f>
        <v/>
      </c>
      <c r="J34" s="205" t="str">
        <f>IF(J$3="","",IF(COUNTIFS(BD!$A$3:$A$5001,J$3,BD!$B$3:$B$5001,$A$24,BD!$X$3:$X$5001,"&lt;&gt;")=0,"",SUMIFS(BD!$X$3:$X$5001,BD!$A$3:$A$5001,J$3,BD!$B$3:$B$5001,$A$24)))</f>
        <v/>
      </c>
      <c r="K34" s="205" t="str">
        <f>IF(K$3="","",IF(COUNTIFS(BD!$A$3:$A$5001,K$3,BD!$B$3:$B$5001,$A$24,BD!$X$3:$X$5001,"&lt;&gt;")=0,"",SUMIFS(BD!$X$3:$X$5001,BD!$A$3:$A$5001,K$3,BD!$B$3:$B$5001,$A$24)))</f>
        <v/>
      </c>
      <c r="L34" s="205" t="str">
        <f>IF(L$3="","",IF(COUNTIFS(BD!$A$3:$A$5001,L$3,BD!$B$3:$B$5001,$A$24,BD!$X$3:$X$5001,"&lt;&gt;")=0,"",SUMIFS(BD!$X$3:$X$5001,BD!$A$3:$A$5001,L$3,BD!$B$3:$B$5001,$A$24)))</f>
        <v/>
      </c>
      <c r="M34" s="205" t="str">
        <f>IF(M$3="","",IF(COUNTIFS(BD!$A$3:$A$5001,M$3,BD!$B$3:$B$5001,$A$24,BD!$X$3:$X$5001,"&lt;&gt;")=0,"",SUMIFS(BD!$X$3:$X$5001,BD!$A$3:$A$5001,M$3,BD!$B$3:$B$5001,$A$24)))</f>
        <v/>
      </c>
      <c r="N34" s="205" t="str">
        <f>IF(N$3="","",IF(COUNTIFS(BD!$A$3:$A$5001,N$3,BD!$B$3:$B$5001,$A$24,BD!$X$3:$X$5001,"&lt;&gt;")=0,"",SUMIFS(BD!$X$3:$X$5001,BD!$A$3:$A$5001,N$3,BD!$B$3:$B$5001,$A$24)))</f>
        <v/>
      </c>
      <c r="O34" s="205" t="str">
        <f>IF(O$3="","",IF(COUNTIFS(BD!$A$3:$A$5001,O$3,BD!$B$3:$B$5001,$A$24,BD!$X$3:$X$5001,"&lt;&gt;")=0,"",SUMIFS(BD!$X$3:$X$5001,BD!$A$3:$A$5001,O$3,BD!$B$3:$B$5001,$A$24)))</f>
        <v/>
      </c>
      <c r="P34" s="205" t="str">
        <f>IF(P$3="","",IF(COUNTIFS(BD!$A$3:$A$5001,P$3,BD!$B$3:$B$5001,$A$24,BD!$X$3:$X$5001,"&lt;&gt;")=0,"",SUMIFS(BD!$X$3:$X$5001,BD!$A$3:$A$5001,P$3,BD!$B$3:$B$5001,$A$24)))</f>
        <v/>
      </c>
      <c r="Q34" s="205" t="str">
        <f>IF(Q$3="","",IF(COUNTIFS(BD!$A$3:$A$5001,Q$3,BD!$B$3:$B$5001,$A$24,BD!$X$3:$X$5001,"&lt;&gt;")=0,"",SUMIFS(BD!$X$3:$X$5001,BD!$A$3:$A$5001,Q$3,BD!$B$3:$B$5001,$A$24)))</f>
        <v/>
      </c>
      <c r="R34" s="205" t="str">
        <f>IF(R$3="","",IF(COUNTIFS(BD!$A$3:$A$5001,R$3,BD!$B$3:$B$5001,$A$24,BD!$X$3:$X$5001,"&lt;&gt;")=0,"",SUMIFS(BD!$X$3:$X$5001,BD!$A$3:$A$5001,R$3,BD!$B$3:$B$5001,$A$24)))</f>
        <v/>
      </c>
      <c r="S34" s="205" t="str">
        <f>IF(S$3="","",IF(COUNTIFS(BD!$A$3:$A$5001,S$3,BD!$B$3:$B$5001,$A$24,BD!$X$3:$X$5001,"&lt;&gt;")=0,"",SUMIFS(BD!$X$3:$X$5001,BD!$A$3:$A$5001,S$3,BD!$B$3:$B$5001,$A$24)))</f>
        <v/>
      </c>
      <c r="T34" s="205" t="str">
        <f>IF(T$3="","",IF(COUNTIFS(BD!$A$3:$A$5001,T$3,BD!$B$3:$B$5001,$A$24,BD!$X$3:$X$5001,"&lt;&gt;")=0,"",SUMIFS(BD!$X$3:$X$5001,BD!$A$3:$A$5001,T$3,BD!$B$3:$B$5001,$A$24)))</f>
        <v/>
      </c>
      <c r="U34" s="205" t="str">
        <f>IF(U$3="","",IF(COUNTIFS(BD!$A$3:$A$5001,U$3,BD!$B$3:$B$5001,$A$24,BD!$X$3:$X$5001,"&lt;&gt;")=0,"",SUMIFS(BD!$X$3:$X$5001,BD!$A$3:$A$5001,U$3,BD!$B$3:$B$5001,$A$24)))</f>
        <v/>
      </c>
      <c r="V34" s="205" t="str">
        <f>IF(V$3="","",IF(COUNTIFS(BD!$A$3:$A$5001,V$3,BD!$B$3:$B$5001,$A$24,BD!$X$3:$X$5001,"&lt;&gt;")=0,"",SUMIFS(BD!$X$3:$X$5001,BD!$A$3:$A$5001,V$3,BD!$B$3:$B$5001,$A$24)))</f>
        <v/>
      </c>
      <c r="W34" s="205" t="str">
        <f>IF(W$3="","",IF(COUNTIFS(BD!$A$3:$A$5001,W$3,BD!$B$3:$B$5001,$A$24,BD!$X$3:$X$5001,"&lt;&gt;")=0,"",SUMIFS(BD!$X$3:$X$5001,BD!$A$3:$A$5001,W$3,BD!$B$3:$B$5001,$A$24)))</f>
        <v/>
      </c>
      <c r="X34" s="205" t="str">
        <f>IF(X$3="","",IF(COUNTIFS(BD!$A$3:$A$5001,X$3,BD!$B$3:$B$5001,$A$24,BD!$X$3:$X$5001,"&lt;&gt;")=0,"",SUMIFS(BD!$X$3:$X$5001,BD!$A$3:$A$5001,X$3,BD!$B$3:$B$5001,$A$24)))</f>
        <v/>
      </c>
      <c r="Y34" s="205" t="str">
        <f>IF(Y$3="","",IF(COUNTIFS(BD!$A$3:$A$5001,Y$3,BD!$B$3:$B$5001,$A$24,BD!$X$3:$X$5001,"&lt;&gt;")=0,"",SUMIFS(BD!$X$3:$X$5001,BD!$A$3:$A$5001,Y$3,BD!$B$3:$B$5001,$A$24)))</f>
        <v/>
      </c>
      <c r="Z34" s="205" t="str">
        <f>IF(Z$3="","",IF(COUNTIFS(BD!$A$3:$A$5001,Z$3,BD!$B$3:$B$5001,$A$24,BD!$X$3:$X$5001,"&lt;&gt;")=0,"",SUMIFS(BD!$X$3:$X$5001,BD!$A$3:$A$5001,Z$3,BD!$B$3:$B$5001,$A$24)))</f>
        <v/>
      </c>
      <c r="AA34" s="205" t="str">
        <f>IF(AA$3="","",IF(COUNTIFS(BD!$A$3:$A$5001,AA$3,BD!$B$3:$B$5001,$A$24,BD!$X$3:$X$5001,"&lt;&gt;")=0,"",SUMIFS(BD!$X$3:$X$5001,BD!$A$3:$A$5001,AA$3,BD!$B$3:$B$5001,$A$24)))</f>
        <v/>
      </c>
      <c r="AB34" s="205" t="str">
        <f>IF(AB$3="","",IF(COUNTIFS(BD!$A$3:$A$5001,AB$3,BD!$B$3:$B$5001,$A$24,BD!$X$3:$X$5001,"&lt;&gt;")=0,"",SUMIFS(BD!$X$3:$X$5001,BD!$A$3:$A$5001,AB$3,BD!$B$3:$B$5001,$A$24)))</f>
        <v/>
      </c>
      <c r="AC34" s="205" t="str">
        <f>IF(AC$3="","",IF(COUNTIFS(BD!$A$3:$A$5001,AC$3,BD!$B$3:$B$5001,$A$24,BD!$X$3:$X$5001,"&lt;&gt;")=0,"",SUMIFS(BD!$X$3:$X$5001,BD!$A$3:$A$5001,AC$3,BD!$B$3:$B$5001,$A$24)))</f>
        <v/>
      </c>
      <c r="AD34" s="205" t="str">
        <f>IF(AD$3="","",IF(COUNTIFS(BD!$A$3:$A$5001,AD$3,BD!$B$3:$B$5001,$A$24,BD!$X$3:$X$5001,"&lt;&gt;")=0,"",SUMIFS(BD!$X$3:$X$5001,BD!$A$3:$A$5001,AD$3,BD!$B$3:$B$5001,$A$24)))</f>
        <v/>
      </c>
      <c r="AE34" s="205" t="str">
        <f>IF(AE$3="","",IF(COUNTIFS(BD!$A$3:$A$5001,AE$3,BD!$B$3:$B$5001,$A$24,BD!$X$3:$X$5001,"&lt;&gt;")=0,"",SUMIFS(BD!$X$3:$X$5001,BD!$A$3:$A$5001,AE$3,BD!$B$3:$B$5001,$A$24)))</f>
        <v/>
      </c>
      <c r="AF34" s="205" t="str">
        <f>IF(AF$3="","",IF(COUNTIFS(BD!$A$3:$A$5001,AF$3,BD!$B$3:$B$5001,$A$24,BD!$X$3:$X$5001,"&lt;&gt;")=0,"",SUMIFS(BD!$X$3:$X$5001,BD!$A$3:$A$5001,AF$3,BD!$B$3:$B$5001,$A$24)))</f>
        <v/>
      </c>
      <c r="AG34" s="205" t="str">
        <f>IF(AG$3="","",IF(COUNTIFS(BD!$A$3:$A$5001,AG$3,BD!$B$3:$B$5001,$A$24,BD!$X$3:$X$5001,"&lt;&gt;")=0,"",SUMIFS(BD!$X$3:$X$5001,BD!$A$3:$A$5001,AG$3,BD!$B$3:$B$5001,$A$24)))</f>
        <v/>
      </c>
      <c r="AH34" s="205" t="str">
        <f>IF(AH$3="","",IF(COUNTIFS(BD!$A$3:$A$5001,AH$3,BD!$B$3:$B$5001,$A$24,BD!$X$3:$X$5001,"&lt;&gt;")=0,"",SUMIFS(BD!$X$3:$X$5001,BD!$A$3:$A$5001,AH$3,BD!$B$3:$B$5001,$A$24)))</f>
        <v/>
      </c>
      <c r="AI34" s="205" t="str">
        <f>IF(AI$3="","",IF(COUNTIFS(BD!$A$3:$A$5001,AI$3,BD!$B$3:$B$5001,$A$24,BD!$X$3:$X$5001,"&lt;&gt;")=0,"",SUMIFS(BD!$X$3:$X$5001,BD!$A$3:$A$5001,AI$3,BD!$B$3:$B$5001,$A$24)))</f>
        <v/>
      </c>
      <c r="AJ34" s="206" t="str">
        <f>IF(AJ$3="","",IF(COUNTIFS(BD!$A$3:$A$5001,AJ$3,BD!$B$3:$B$5001,$A$24,BD!$X$3:$X$5001,"&lt;&gt;")=0,"",SUMIFS(BD!$X$3:$X$5001,BD!$A$3:$A$5001,AJ$3,BD!$B$3:$B$5001,$A$24)))</f>
        <v/>
      </c>
      <c r="AK34" s="207" t="str">
        <f>IFERROR(LOOKUP(9.99E+307,F34:AJ34),"")</f>
        <v/>
      </c>
    </row>
    <row r="35" ht="15.75" customHeight="1">
      <c r="A35" s="244"/>
      <c r="B35" s="233"/>
      <c r="C35" s="162" t="inlineStr">
        <is>
          <t xml:space="preserve">Taxa de Ocupação</t>
        </is>
      </c>
      <c r="D35" s="208" t="str">
        <f>IFERROR(1/(1/INDEX(BD!$AJ$45:$BD$45,MATCH($A$24,BD!$AJ$22:$BD$22,0))),"")</f>
        <v/>
      </c>
      <c r="E35" s="164"/>
      <c r="F35" s="209" t="str">
        <f>IF(AND(ISNUMBER(F33),ISNUMBER(F34)),IF(F33&gt;0,F34/F33,""),"")</f>
        <v/>
      </c>
      <c r="G35" s="210" t="str">
        <f>IF(AND(ISNUMBER(G33),ISNUMBER(G34)),IF(G33&gt;0,G34/G33,""),"")</f>
        <v/>
      </c>
      <c r="H35" s="210" t="str">
        <f>IF(AND(ISNUMBER(H33),ISNUMBER(H34)),IF(H33&gt;0,H34/H33,""),"")</f>
        <v/>
      </c>
      <c r="I35" s="210" t="str">
        <f>IF(AND(ISNUMBER(I33),ISNUMBER(I34)),IF(I33&gt;0,I34/I33,""),"")</f>
        <v/>
      </c>
      <c r="J35" s="210" t="str">
        <f>IF(AND(ISNUMBER(J33),ISNUMBER(J34)),IF(J33&gt;0,J34/J33,""),"")</f>
        <v/>
      </c>
      <c r="K35" s="210" t="str">
        <f>IF(AND(ISNUMBER(K33),ISNUMBER(K34)),IF(K33&gt;0,K34/K33,""),"")</f>
        <v/>
      </c>
      <c r="L35" s="210" t="str">
        <f>IF(AND(ISNUMBER(L33),ISNUMBER(L34)),IF(L33&gt;0,L34/L33,""),"")</f>
        <v/>
      </c>
      <c r="M35" s="210" t="str">
        <f>IF(AND(ISNUMBER(M33),ISNUMBER(M34)),IF(M33&gt;0,M34/M33,""),"")</f>
        <v/>
      </c>
      <c r="N35" s="210" t="str">
        <f>IF(AND(ISNUMBER(N33),ISNUMBER(N34)),IF(N33&gt;0,N34/N33,""),"")</f>
        <v/>
      </c>
      <c r="O35" s="210" t="str">
        <f>IF(AND(ISNUMBER(O33),ISNUMBER(O34)),IF(O33&gt;0,O34/O33,""),"")</f>
        <v/>
      </c>
      <c r="P35" s="210" t="str">
        <f>IF(AND(ISNUMBER(P33),ISNUMBER(P34)),IF(P33&gt;0,P34/P33,""),"")</f>
        <v/>
      </c>
      <c r="Q35" s="210" t="str">
        <f>IF(AND(ISNUMBER(Q33),ISNUMBER(Q34)),IF(Q33&gt;0,Q34/Q33,""),"")</f>
        <v/>
      </c>
      <c r="R35" s="210" t="str">
        <f>IF(AND(ISNUMBER(R33),ISNUMBER(R34)),IF(R33&gt;0,R34/R33,""),"")</f>
        <v/>
      </c>
      <c r="S35" s="210" t="str">
        <f>IF(AND(ISNUMBER(S33),ISNUMBER(S34)),IF(S33&gt;0,S34/S33,""),"")</f>
        <v/>
      </c>
      <c r="T35" s="210" t="str">
        <f>IF(AND(ISNUMBER(T33),ISNUMBER(T34)),IF(T33&gt;0,T34/T33,""),"")</f>
        <v/>
      </c>
      <c r="U35" s="210" t="str">
        <f>IF(AND(ISNUMBER(U33),ISNUMBER(U34)),IF(U33&gt;0,U34/U33,""),"")</f>
        <v/>
      </c>
      <c r="V35" s="210" t="str">
        <f>IF(AND(ISNUMBER(V33),ISNUMBER(V34)),IF(V33&gt;0,V34/V33,""),"")</f>
        <v/>
      </c>
      <c r="W35" s="210" t="str">
        <f>IF(AND(ISNUMBER(W33),ISNUMBER(W34)),IF(W33&gt;0,W34/W33,""),"")</f>
        <v/>
      </c>
      <c r="X35" s="210" t="str">
        <f>IF(AND(ISNUMBER(X33),ISNUMBER(X34)),IF(X33&gt;0,X34/X33,""),"")</f>
        <v/>
      </c>
      <c r="Y35" s="210" t="str">
        <f>IF(AND(ISNUMBER(Y33),ISNUMBER(Y34)),IF(Y33&gt;0,Y34/Y33,""),"")</f>
        <v/>
      </c>
      <c r="Z35" s="210" t="str">
        <f>IF(AND(ISNUMBER(Z33),ISNUMBER(Z34)),IF(Z33&gt;0,Z34/Z33,""),"")</f>
        <v/>
      </c>
      <c r="AA35" s="210" t="str">
        <f>IF(AND(ISNUMBER(AA33),ISNUMBER(AA34)),IF(AA33&gt;0,AA34/AA33,""),"")</f>
        <v/>
      </c>
      <c r="AB35" s="210" t="str">
        <f>IF(AND(ISNUMBER(AB33),ISNUMBER(AB34)),IF(AB33&gt;0,AB34/AB33,""),"")</f>
        <v/>
      </c>
      <c r="AC35" s="210" t="str">
        <f>IF(AND(ISNUMBER(AC33),ISNUMBER(AC34)),IF(AC33&gt;0,AC34/AC33,""),"")</f>
        <v/>
      </c>
      <c r="AD35" s="210" t="str">
        <f>IF(AND(ISNUMBER(AD33),ISNUMBER(AD34)),IF(AD33&gt;0,AD34/AD33,""),"")</f>
        <v/>
      </c>
      <c r="AE35" s="210" t="str">
        <f>IF(AND(ISNUMBER(AE33),ISNUMBER(AE34)),IF(AE33&gt;0,AE34/AE33,""),"")</f>
        <v/>
      </c>
      <c r="AF35" s="210" t="str">
        <f>IF(AND(ISNUMBER(AF33),ISNUMBER(AF34)),IF(AF33&gt;0,AF34/AF33,""),"")</f>
        <v/>
      </c>
      <c r="AG35" s="210" t="str">
        <f>IF(AND(ISNUMBER(AG33),ISNUMBER(AG34)),IF(AG33&gt;0,AG34/AG33,""),"")</f>
        <v/>
      </c>
      <c r="AH35" s="210" t="str">
        <f>IF(AND(ISNUMBER(AH33),ISNUMBER(AH34)),IF(AH33&gt;0,AH34/AH33,""),"")</f>
        <v/>
      </c>
      <c r="AI35" s="210" t="str">
        <f>IF(AND(ISNUMBER(AI33),ISNUMBER(AI34)),IF(AI33&gt;0,AI34/AI33,""),"")</f>
        <v/>
      </c>
      <c r="AJ35" s="211" t="str">
        <f>IF(AND(ISNUMBER(AJ33),ISNUMBER(AJ34)),IF(AJ33&gt;0,AJ34/AJ33,""),"")</f>
        <v/>
      </c>
      <c r="AK35" s="208" t="str">
        <f>IF(AND(ISNUMBER(AK33),ISNUMBER(AK34)),IF(AK33&gt;0,AK34/AK33,""),"")</f>
        <v/>
      </c>
    </row>
    <row r="36" ht="15.75" customHeight="1">
      <c r="A36" s="244"/>
      <c r="B36" s="240" t="inlineStr">
        <is>
          <t xml:space="preserve">GENTE</t>
        </is>
      </c>
      <c r="C36" s="212" t="inlineStr">
        <is>
          <t xml:space="preserve">Efetivo Op.</t>
        </is>
      </c>
      <c r="D36" s="213" t="str">
        <f>IFERROR(1/(1/INDEX(BD!$AJ$46:$BD$46,MATCH($A$24,BD!$AJ$22:$BD$22,0))),"")</f>
        <v/>
      </c>
      <c r="E36" s="214"/>
      <c r="F36" s="215" t="str">
        <f>IF(F$3="","",IF(COUNTIFS(BD!$A$3:$A$5001,F$3,BD!$B$3:$B$5001,$A$24,BD!$Y$3:$Y$5001,"&lt;&gt;")=0,"",SUMIFS(BD!$Y$3:$Y$5001,BD!$A$3:$A$5001,F$3,BD!$B$3:$B$5001,$A$24)))</f>
        <v/>
      </c>
      <c r="G36" s="216" t="str">
        <f>IF(G$3="","",IF(COUNTIFS(BD!$A$3:$A$5001,G$3,BD!$B$3:$B$5001,$A$24,BD!$Y$3:$Y$5001,"&lt;&gt;")=0,"",SUMIFS(BD!$Y$3:$Y$5001,BD!$A$3:$A$5001,G$3,BD!$B$3:$B$5001,$A$24)))</f>
        <v/>
      </c>
      <c r="H36" s="216" t="str">
        <f>IF(H$3="","",IF(COUNTIFS(BD!$A$3:$A$5001,H$3,BD!$B$3:$B$5001,$A$24,BD!$Y$3:$Y$5001,"&lt;&gt;")=0,"",SUMIFS(BD!$Y$3:$Y$5001,BD!$A$3:$A$5001,H$3,BD!$B$3:$B$5001,$A$24)))</f>
        <v/>
      </c>
      <c r="I36" s="216" t="str">
        <f>IF(I$3="","",IF(COUNTIFS(BD!$A$3:$A$5001,I$3,BD!$B$3:$B$5001,$A$24,BD!$Y$3:$Y$5001,"&lt;&gt;")=0,"",SUMIFS(BD!$Y$3:$Y$5001,BD!$A$3:$A$5001,I$3,BD!$B$3:$B$5001,$A$24)))</f>
        <v/>
      </c>
      <c r="J36" s="216" t="str">
        <f>IF(J$3="","",IF(COUNTIFS(BD!$A$3:$A$5001,J$3,BD!$B$3:$B$5001,$A$24,BD!$Y$3:$Y$5001,"&lt;&gt;")=0,"",SUMIFS(BD!$Y$3:$Y$5001,BD!$A$3:$A$5001,J$3,BD!$B$3:$B$5001,$A$24)))</f>
        <v/>
      </c>
      <c r="K36" s="216" t="str">
        <f>IF(K$3="","",IF(COUNTIFS(BD!$A$3:$A$5001,K$3,BD!$B$3:$B$5001,$A$24,BD!$Y$3:$Y$5001,"&lt;&gt;")=0,"",SUMIFS(BD!$Y$3:$Y$5001,BD!$A$3:$A$5001,K$3,BD!$B$3:$B$5001,$A$24)))</f>
        <v/>
      </c>
      <c r="L36" s="216" t="str">
        <f>IF(L$3="","",IF(COUNTIFS(BD!$A$3:$A$5001,L$3,BD!$B$3:$B$5001,$A$24,BD!$Y$3:$Y$5001,"&lt;&gt;")=0,"",SUMIFS(BD!$Y$3:$Y$5001,BD!$A$3:$A$5001,L$3,BD!$B$3:$B$5001,$A$24)))</f>
        <v/>
      </c>
      <c r="M36" s="216" t="str">
        <f>IF(M$3="","",IF(COUNTIFS(BD!$A$3:$A$5001,M$3,BD!$B$3:$B$5001,$A$24,BD!$Y$3:$Y$5001,"&lt;&gt;")=0,"",SUMIFS(BD!$Y$3:$Y$5001,BD!$A$3:$A$5001,M$3,BD!$B$3:$B$5001,$A$24)))</f>
        <v/>
      </c>
      <c r="N36" s="216" t="str">
        <f>IF(N$3="","",IF(COUNTIFS(BD!$A$3:$A$5001,N$3,BD!$B$3:$B$5001,$A$24,BD!$Y$3:$Y$5001,"&lt;&gt;")=0,"",SUMIFS(BD!$Y$3:$Y$5001,BD!$A$3:$A$5001,N$3,BD!$B$3:$B$5001,$A$24)))</f>
        <v/>
      </c>
      <c r="O36" s="216" t="str">
        <f>IF(O$3="","",IF(COUNTIFS(BD!$A$3:$A$5001,O$3,BD!$B$3:$B$5001,$A$24,BD!$Y$3:$Y$5001,"&lt;&gt;")=0,"",SUMIFS(BD!$Y$3:$Y$5001,BD!$A$3:$A$5001,O$3,BD!$B$3:$B$5001,$A$24)))</f>
        <v/>
      </c>
      <c r="P36" s="216" t="str">
        <f>IF(P$3="","",IF(COUNTIFS(BD!$A$3:$A$5001,P$3,BD!$B$3:$B$5001,$A$24,BD!$Y$3:$Y$5001,"&lt;&gt;")=0,"",SUMIFS(BD!$Y$3:$Y$5001,BD!$A$3:$A$5001,P$3,BD!$B$3:$B$5001,$A$24)))</f>
        <v/>
      </c>
      <c r="Q36" s="216" t="str">
        <f>IF(Q$3="","",IF(COUNTIFS(BD!$A$3:$A$5001,Q$3,BD!$B$3:$B$5001,$A$24,BD!$Y$3:$Y$5001,"&lt;&gt;")=0,"",SUMIFS(BD!$Y$3:$Y$5001,BD!$A$3:$A$5001,Q$3,BD!$B$3:$B$5001,$A$24)))</f>
        <v/>
      </c>
      <c r="R36" s="216" t="str">
        <f>IF(R$3="","",IF(COUNTIFS(BD!$A$3:$A$5001,R$3,BD!$B$3:$B$5001,$A$24,BD!$Y$3:$Y$5001,"&lt;&gt;")=0,"",SUMIFS(BD!$Y$3:$Y$5001,BD!$A$3:$A$5001,R$3,BD!$B$3:$B$5001,$A$24)))</f>
        <v/>
      </c>
      <c r="S36" s="216" t="str">
        <f>IF(S$3="","",IF(COUNTIFS(BD!$A$3:$A$5001,S$3,BD!$B$3:$B$5001,$A$24,BD!$Y$3:$Y$5001,"&lt;&gt;")=0,"",SUMIFS(BD!$Y$3:$Y$5001,BD!$A$3:$A$5001,S$3,BD!$B$3:$B$5001,$A$24)))</f>
        <v/>
      </c>
      <c r="T36" s="216" t="str">
        <f>IF(T$3="","",IF(COUNTIFS(BD!$A$3:$A$5001,T$3,BD!$B$3:$B$5001,$A$24,BD!$Y$3:$Y$5001,"&lt;&gt;")=0,"",SUMIFS(BD!$Y$3:$Y$5001,BD!$A$3:$A$5001,T$3,BD!$B$3:$B$5001,$A$24)))</f>
        <v/>
      </c>
      <c r="U36" s="216" t="str">
        <f>IF(U$3="","",IF(COUNTIFS(BD!$A$3:$A$5001,U$3,BD!$B$3:$B$5001,$A$24,BD!$Y$3:$Y$5001,"&lt;&gt;")=0,"",SUMIFS(BD!$Y$3:$Y$5001,BD!$A$3:$A$5001,U$3,BD!$B$3:$B$5001,$A$24)))</f>
        <v/>
      </c>
      <c r="V36" s="216" t="str">
        <f>IF(V$3="","",IF(COUNTIFS(BD!$A$3:$A$5001,V$3,BD!$B$3:$B$5001,$A$24,BD!$Y$3:$Y$5001,"&lt;&gt;")=0,"",SUMIFS(BD!$Y$3:$Y$5001,BD!$A$3:$A$5001,V$3,BD!$B$3:$B$5001,$A$24)))</f>
        <v/>
      </c>
      <c r="W36" s="216" t="str">
        <f>IF(W$3="","",IF(COUNTIFS(BD!$A$3:$A$5001,W$3,BD!$B$3:$B$5001,$A$24,BD!$Y$3:$Y$5001,"&lt;&gt;")=0,"",SUMIFS(BD!$Y$3:$Y$5001,BD!$A$3:$A$5001,W$3,BD!$B$3:$B$5001,$A$24)))</f>
        <v/>
      </c>
      <c r="X36" s="216" t="str">
        <f>IF(X$3="","",IF(COUNTIFS(BD!$A$3:$A$5001,X$3,BD!$B$3:$B$5001,$A$24,BD!$Y$3:$Y$5001,"&lt;&gt;")=0,"",SUMIFS(BD!$Y$3:$Y$5001,BD!$A$3:$A$5001,X$3,BD!$B$3:$B$5001,$A$24)))</f>
        <v/>
      </c>
      <c r="Y36" s="216" t="str">
        <f>IF(Y$3="","",IF(COUNTIFS(BD!$A$3:$A$5001,Y$3,BD!$B$3:$B$5001,$A$24,BD!$Y$3:$Y$5001,"&lt;&gt;")=0,"",SUMIFS(BD!$Y$3:$Y$5001,BD!$A$3:$A$5001,Y$3,BD!$B$3:$B$5001,$A$24)))</f>
        <v/>
      </c>
      <c r="Z36" s="216" t="str">
        <f>IF(Z$3="","",IF(COUNTIFS(BD!$A$3:$A$5001,Z$3,BD!$B$3:$B$5001,$A$24,BD!$Y$3:$Y$5001,"&lt;&gt;")=0,"",SUMIFS(BD!$Y$3:$Y$5001,BD!$A$3:$A$5001,Z$3,BD!$B$3:$B$5001,$A$24)))</f>
        <v/>
      </c>
      <c r="AA36" s="216" t="str">
        <f>IF(AA$3="","",IF(COUNTIFS(BD!$A$3:$A$5001,AA$3,BD!$B$3:$B$5001,$A$24,BD!$Y$3:$Y$5001,"&lt;&gt;")=0,"",SUMIFS(BD!$Y$3:$Y$5001,BD!$A$3:$A$5001,AA$3,BD!$B$3:$B$5001,$A$24)))</f>
        <v/>
      </c>
      <c r="AB36" s="216" t="str">
        <f>IF(AB$3="","",IF(COUNTIFS(BD!$A$3:$A$5001,AB$3,BD!$B$3:$B$5001,$A$24,BD!$Y$3:$Y$5001,"&lt;&gt;")=0,"",SUMIFS(BD!$Y$3:$Y$5001,BD!$A$3:$A$5001,AB$3,BD!$B$3:$B$5001,$A$24)))</f>
        <v/>
      </c>
      <c r="AC36" s="216" t="str">
        <f>IF(AC$3="","",IF(COUNTIFS(BD!$A$3:$A$5001,AC$3,BD!$B$3:$B$5001,$A$24,BD!$Y$3:$Y$5001,"&lt;&gt;")=0,"",SUMIFS(BD!$Y$3:$Y$5001,BD!$A$3:$A$5001,AC$3,BD!$B$3:$B$5001,$A$24)))</f>
        <v/>
      </c>
      <c r="AD36" s="216" t="str">
        <f>IF(AD$3="","",IF(COUNTIFS(BD!$A$3:$A$5001,AD$3,BD!$B$3:$B$5001,$A$24,BD!$Y$3:$Y$5001,"&lt;&gt;")=0,"",SUMIFS(BD!$Y$3:$Y$5001,BD!$A$3:$A$5001,AD$3,BD!$B$3:$B$5001,$A$24)))</f>
        <v/>
      </c>
      <c r="AE36" s="216" t="str">
        <f>IF(AE$3="","",IF(COUNTIFS(BD!$A$3:$A$5001,AE$3,BD!$B$3:$B$5001,$A$24,BD!$Y$3:$Y$5001,"&lt;&gt;")=0,"",SUMIFS(BD!$Y$3:$Y$5001,BD!$A$3:$A$5001,AE$3,BD!$B$3:$B$5001,$A$24)))</f>
        <v/>
      </c>
      <c r="AF36" s="216" t="str">
        <f>IF(AF$3="","",IF(COUNTIFS(BD!$A$3:$A$5001,AF$3,BD!$B$3:$B$5001,$A$24,BD!$Y$3:$Y$5001,"&lt;&gt;")=0,"",SUMIFS(BD!$Y$3:$Y$5001,BD!$A$3:$A$5001,AF$3,BD!$B$3:$B$5001,$A$24)))</f>
        <v/>
      </c>
      <c r="AG36" s="216" t="str">
        <f>IF(AG$3="","",IF(COUNTIFS(BD!$A$3:$A$5001,AG$3,BD!$B$3:$B$5001,$A$24,BD!$Y$3:$Y$5001,"&lt;&gt;")=0,"",SUMIFS(BD!$Y$3:$Y$5001,BD!$A$3:$A$5001,AG$3,BD!$B$3:$B$5001,$A$24)))</f>
        <v/>
      </c>
      <c r="AH36" s="216" t="str">
        <f>IF(AH$3="","",IF(COUNTIFS(BD!$A$3:$A$5001,AH$3,BD!$B$3:$B$5001,$A$24,BD!$Y$3:$Y$5001,"&lt;&gt;")=0,"",SUMIFS(BD!$Y$3:$Y$5001,BD!$A$3:$A$5001,AH$3,BD!$B$3:$B$5001,$A$24)))</f>
        <v/>
      </c>
      <c r="AI36" s="216" t="str">
        <f>IF(AI$3="","",IF(COUNTIFS(BD!$A$3:$A$5001,AI$3,BD!$B$3:$B$5001,$A$24,BD!$Y$3:$Y$5001,"&lt;&gt;")=0,"",SUMIFS(BD!$Y$3:$Y$5001,BD!$A$3:$A$5001,AI$3,BD!$B$3:$B$5001,$A$24)))</f>
        <v/>
      </c>
      <c r="AJ36" s="217" t="str">
        <f>IF(AJ$3="","",IF(COUNTIFS(BD!$A$3:$A$5001,AJ$3,BD!$B$3:$B$5001,$A$24,BD!$Y$3:$Y$5001,"&lt;&gt;")=0,"",SUMIFS(BD!$Y$3:$Y$5001,BD!$A$3:$A$5001,AJ$3,BD!$B$3:$B$5001,$A$24)))</f>
        <v/>
      </c>
      <c r="AK36" s="218" t="str">
        <f>IFERROR(LOOKUP(9.99E+307,F36:AJ36),"")</f>
        <v/>
      </c>
    </row>
    <row r="37" ht="15.75" customHeight="1">
      <c r="A37" s="244"/>
      <c r="B37" s="241"/>
      <c r="C37" s="219" t="inlineStr">
        <is>
          <t xml:space="preserve">Falta</t>
        </is>
      </c>
      <c r="D37" s="220" t="str">
        <f>IFERROR(1/(1/INDEX(BD!$AJ$47:$BD$47,MATCH($A$24,BD!$AJ$22:$BD$22,0))),"")</f>
        <v/>
      </c>
      <c r="E37" s="221"/>
      <c r="F37" s="222" t="str">
        <f>IF(F$3="","",IF(COUNTIFS(BD!$A$3:$A$5001,F$3,BD!$B$3:$B$5001,$A$24,BD!$Z$3:$Z$5001,"&lt;&gt;")=0,"",SUMIFS(BD!$Z$3:$Z$5001,BD!$A$3:$A$5001,F$3,BD!$B$3:$B$5001,$A$24)))</f>
        <v/>
      </c>
      <c r="G37" s="223" t="str">
        <f>IF(G$3="","",IF(COUNTIFS(BD!$A$3:$A$5001,G$3,BD!$B$3:$B$5001,$A$24,BD!$Z$3:$Z$5001,"&lt;&gt;")=0,"",SUMIFS(BD!$Z$3:$Z$5001,BD!$A$3:$A$5001,G$3,BD!$B$3:$B$5001,$A$24)))</f>
        <v/>
      </c>
      <c r="H37" s="223" t="str">
        <f>IF(H$3="","",IF(COUNTIFS(BD!$A$3:$A$5001,H$3,BD!$B$3:$B$5001,$A$24,BD!$Z$3:$Z$5001,"&lt;&gt;")=0,"",SUMIFS(BD!$Z$3:$Z$5001,BD!$A$3:$A$5001,H$3,BD!$B$3:$B$5001,$A$24)))</f>
        <v/>
      </c>
      <c r="I37" s="223" t="str">
        <f>IF(I$3="","",IF(COUNTIFS(BD!$A$3:$A$5001,I$3,BD!$B$3:$B$5001,$A$24,BD!$Z$3:$Z$5001,"&lt;&gt;")=0,"",SUMIFS(BD!$Z$3:$Z$5001,BD!$A$3:$A$5001,I$3,BD!$B$3:$B$5001,$A$24)))</f>
        <v/>
      </c>
      <c r="J37" s="223" t="str">
        <f>IF(J$3="","",IF(COUNTIFS(BD!$A$3:$A$5001,J$3,BD!$B$3:$B$5001,$A$24,BD!$Z$3:$Z$5001,"&lt;&gt;")=0,"",SUMIFS(BD!$Z$3:$Z$5001,BD!$A$3:$A$5001,J$3,BD!$B$3:$B$5001,$A$24)))</f>
        <v/>
      </c>
      <c r="K37" s="223" t="str">
        <f>IF(K$3="","",IF(COUNTIFS(BD!$A$3:$A$5001,K$3,BD!$B$3:$B$5001,$A$24,BD!$Z$3:$Z$5001,"&lt;&gt;")=0,"",SUMIFS(BD!$Z$3:$Z$5001,BD!$A$3:$A$5001,K$3,BD!$B$3:$B$5001,$A$24)))</f>
        <v/>
      </c>
      <c r="L37" s="223" t="str">
        <f>IF(L$3="","",IF(COUNTIFS(BD!$A$3:$A$5001,L$3,BD!$B$3:$B$5001,$A$24,BD!$Z$3:$Z$5001,"&lt;&gt;")=0,"",SUMIFS(BD!$Z$3:$Z$5001,BD!$A$3:$A$5001,L$3,BD!$B$3:$B$5001,$A$24)))</f>
        <v/>
      </c>
      <c r="M37" s="223" t="str">
        <f>IF(M$3="","",IF(COUNTIFS(BD!$A$3:$A$5001,M$3,BD!$B$3:$B$5001,$A$24,BD!$Z$3:$Z$5001,"&lt;&gt;")=0,"",SUMIFS(BD!$Z$3:$Z$5001,BD!$A$3:$A$5001,M$3,BD!$B$3:$B$5001,$A$24)))</f>
        <v/>
      </c>
      <c r="N37" s="223" t="str">
        <f>IF(N$3="","",IF(COUNTIFS(BD!$A$3:$A$5001,N$3,BD!$B$3:$B$5001,$A$24,BD!$Z$3:$Z$5001,"&lt;&gt;")=0,"",SUMIFS(BD!$Z$3:$Z$5001,BD!$A$3:$A$5001,N$3,BD!$B$3:$B$5001,$A$24)))</f>
        <v/>
      </c>
      <c r="O37" s="223" t="str">
        <f>IF(O$3="","",IF(COUNTIFS(BD!$A$3:$A$5001,O$3,BD!$B$3:$B$5001,$A$24,BD!$Z$3:$Z$5001,"&lt;&gt;")=0,"",SUMIFS(BD!$Z$3:$Z$5001,BD!$A$3:$A$5001,O$3,BD!$B$3:$B$5001,$A$24)))</f>
        <v/>
      </c>
      <c r="P37" s="223" t="str">
        <f>IF(P$3="","",IF(COUNTIFS(BD!$A$3:$A$5001,P$3,BD!$B$3:$B$5001,$A$24,BD!$Z$3:$Z$5001,"&lt;&gt;")=0,"",SUMIFS(BD!$Z$3:$Z$5001,BD!$A$3:$A$5001,P$3,BD!$B$3:$B$5001,$A$24)))</f>
        <v/>
      </c>
      <c r="Q37" s="223" t="str">
        <f>IF(Q$3="","",IF(COUNTIFS(BD!$A$3:$A$5001,Q$3,BD!$B$3:$B$5001,$A$24,BD!$Z$3:$Z$5001,"&lt;&gt;")=0,"",SUMIFS(BD!$Z$3:$Z$5001,BD!$A$3:$A$5001,Q$3,BD!$B$3:$B$5001,$A$24)))</f>
        <v/>
      </c>
      <c r="R37" s="223" t="str">
        <f>IF(R$3="","",IF(COUNTIFS(BD!$A$3:$A$5001,R$3,BD!$B$3:$B$5001,$A$24,BD!$Z$3:$Z$5001,"&lt;&gt;")=0,"",SUMIFS(BD!$Z$3:$Z$5001,BD!$A$3:$A$5001,R$3,BD!$B$3:$B$5001,$A$24)))</f>
        <v/>
      </c>
      <c r="S37" s="223" t="str">
        <f>IF(S$3="","",IF(COUNTIFS(BD!$A$3:$A$5001,S$3,BD!$B$3:$B$5001,$A$24,BD!$Z$3:$Z$5001,"&lt;&gt;")=0,"",SUMIFS(BD!$Z$3:$Z$5001,BD!$A$3:$A$5001,S$3,BD!$B$3:$B$5001,$A$24)))</f>
        <v/>
      </c>
      <c r="T37" s="223" t="str">
        <f>IF(T$3="","",IF(COUNTIFS(BD!$A$3:$A$5001,T$3,BD!$B$3:$B$5001,$A$24,BD!$Z$3:$Z$5001,"&lt;&gt;")=0,"",SUMIFS(BD!$Z$3:$Z$5001,BD!$A$3:$A$5001,T$3,BD!$B$3:$B$5001,$A$24)))</f>
        <v/>
      </c>
      <c r="U37" s="223" t="str">
        <f>IF(U$3="","",IF(COUNTIFS(BD!$A$3:$A$5001,U$3,BD!$B$3:$B$5001,$A$24,BD!$Z$3:$Z$5001,"&lt;&gt;")=0,"",SUMIFS(BD!$Z$3:$Z$5001,BD!$A$3:$A$5001,U$3,BD!$B$3:$B$5001,$A$24)))</f>
        <v/>
      </c>
      <c r="V37" s="223" t="str">
        <f>IF(V$3="","",IF(COUNTIFS(BD!$A$3:$A$5001,V$3,BD!$B$3:$B$5001,$A$24,BD!$Z$3:$Z$5001,"&lt;&gt;")=0,"",SUMIFS(BD!$Z$3:$Z$5001,BD!$A$3:$A$5001,V$3,BD!$B$3:$B$5001,$A$24)))</f>
        <v/>
      </c>
      <c r="W37" s="223" t="str">
        <f>IF(W$3="","",IF(COUNTIFS(BD!$A$3:$A$5001,W$3,BD!$B$3:$B$5001,$A$24,BD!$Z$3:$Z$5001,"&lt;&gt;")=0,"",SUMIFS(BD!$Z$3:$Z$5001,BD!$A$3:$A$5001,W$3,BD!$B$3:$B$5001,$A$24)))</f>
        <v/>
      </c>
      <c r="X37" s="223" t="str">
        <f>IF(X$3="","",IF(COUNTIFS(BD!$A$3:$A$5001,X$3,BD!$B$3:$B$5001,$A$24,BD!$Z$3:$Z$5001,"&lt;&gt;")=0,"",SUMIFS(BD!$Z$3:$Z$5001,BD!$A$3:$A$5001,X$3,BD!$B$3:$B$5001,$A$24)))</f>
        <v/>
      </c>
      <c r="Y37" s="223" t="str">
        <f>IF(Y$3="","",IF(COUNTIFS(BD!$A$3:$A$5001,Y$3,BD!$B$3:$B$5001,$A$24,BD!$Z$3:$Z$5001,"&lt;&gt;")=0,"",SUMIFS(BD!$Z$3:$Z$5001,BD!$A$3:$A$5001,Y$3,BD!$B$3:$B$5001,$A$24)))</f>
        <v/>
      </c>
      <c r="Z37" s="223" t="str">
        <f>IF(Z$3="","",IF(COUNTIFS(BD!$A$3:$A$5001,Z$3,BD!$B$3:$B$5001,$A$24,BD!$Z$3:$Z$5001,"&lt;&gt;")=0,"",SUMIFS(BD!$Z$3:$Z$5001,BD!$A$3:$A$5001,Z$3,BD!$B$3:$B$5001,$A$24)))</f>
        <v/>
      </c>
      <c r="AA37" s="223" t="str">
        <f>IF(AA$3="","",IF(COUNTIFS(BD!$A$3:$A$5001,AA$3,BD!$B$3:$B$5001,$A$24,BD!$Z$3:$Z$5001,"&lt;&gt;")=0,"",SUMIFS(BD!$Z$3:$Z$5001,BD!$A$3:$A$5001,AA$3,BD!$B$3:$B$5001,$A$24)))</f>
        <v/>
      </c>
      <c r="AB37" s="223" t="str">
        <f>IF(AB$3="","",IF(COUNTIFS(BD!$A$3:$A$5001,AB$3,BD!$B$3:$B$5001,$A$24,BD!$Z$3:$Z$5001,"&lt;&gt;")=0,"",SUMIFS(BD!$Z$3:$Z$5001,BD!$A$3:$A$5001,AB$3,BD!$B$3:$B$5001,$A$24)))</f>
        <v/>
      </c>
      <c r="AC37" s="223" t="str">
        <f>IF(AC$3="","",IF(COUNTIFS(BD!$A$3:$A$5001,AC$3,BD!$B$3:$B$5001,$A$24,BD!$Z$3:$Z$5001,"&lt;&gt;")=0,"",SUMIFS(BD!$Z$3:$Z$5001,BD!$A$3:$A$5001,AC$3,BD!$B$3:$B$5001,$A$24)))</f>
        <v/>
      </c>
      <c r="AD37" s="223" t="str">
        <f>IF(AD$3="","",IF(COUNTIFS(BD!$A$3:$A$5001,AD$3,BD!$B$3:$B$5001,$A$24,BD!$Z$3:$Z$5001,"&lt;&gt;")=0,"",SUMIFS(BD!$Z$3:$Z$5001,BD!$A$3:$A$5001,AD$3,BD!$B$3:$B$5001,$A$24)))</f>
        <v/>
      </c>
      <c r="AE37" s="223" t="str">
        <f>IF(AE$3="","",IF(COUNTIFS(BD!$A$3:$A$5001,AE$3,BD!$B$3:$B$5001,$A$24,BD!$Z$3:$Z$5001,"&lt;&gt;")=0,"",SUMIFS(BD!$Z$3:$Z$5001,BD!$A$3:$A$5001,AE$3,BD!$B$3:$B$5001,$A$24)))</f>
        <v/>
      </c>
      <c r="AF37" s="223" t="str">
        <f>IF(AF$3="","",IF(COUNTIFS(BD!$A$3:$A$5001,AF$3,BD!$B$3:$B$5001,$A$24,BD!$Z$3:$Z$5001,"&lt;&gt;")=0,"",SUMIFS(BD!$Z$3:$Z$5001,BD!$A$3:$A$5001,AF$3,BD!$B$3:$B$5001,$A$24)))</f>
        <v/>
      </c>
      <c r="AG37" s="223" t="str">
        <f>IF(AG$3="","",IF(COUNTIFS(BD!$A$3:$A$5001,AG$3,BD!$B$3:$B$5001,$A$24,BD!$Z$3:$Z$5001,"&lt;&gt;")=0,"",SUMIFS(BD!$Z$3:$Z$5001,BD!$A$3:$A$5001,AG$3,BD!$B$3:$B$5001,$A$24)))</f>
        <v/>
      </c>
      <c r="AH37" s="223" t="str">
        <f>IF(AH$3="","",IF(COUNTIFS(BD!$A$3:$A$5001,AH$3,BD!$B$3:$B$5001,$A$24,BD!$Z$3:$Z$5001,"&lt;&gt;")=0,"",SUMIFS(BD!$Z$3:$Z$5001,BD!$A$3:$A$5001,AH$3,BD!$B$3:$B$5001,$A$24)))</f>
        <v/>
      </c>
      <c r="AI37" s="223" t="str">
        <f>IF(AI$3="","",IF(COUNTIFS(BD!$A$3:$A$5001,AI$3,BD!$B$3:$B$5001,$A$24,BD!$Z$3:$Z$5001,"&lt;&gt;")=0,"",SUMIFS(BD!$Z$3:$Z$5001,BD!$A$3:$A$5001,AI$3,BD!$B$3:$B$5001,$A$24)))</f>
        <v/>
      </c>
      <c r="AJ37" s="224" t="str">
        <f>IF(AJ$3="","",IF(COUNTIFS(BD!$A$3:$A$5001,AJ$3,BD!$B$3:$B$5001,$A$24,BD!$Z$3:$Z$5001,"&lt;&gt;")=0,"",SUMIFS(BD!$Z$3:$Z$5001,BD!$A$3:$A$5001,AJ$3,BD!$B$3:$B$5001,$A$24)))</f>
        <v/>
      </c>
      <c r="AK37" s="225" t="str">
        <f>IF(COUNT(F37:AJ37)=0,"",SUM(F37:AJ37))</f>
        <v/>
      </c>
    </row>
    <row r="38" ht="15.75" customHeight="1">
      <c r="A38" s="244"/>
      <c r="B38" s="241"/>
      <c r="C38" s="219" t="inlineStr">
        <is>
          <t xml:space="preserve">Folga</t>
        </is>
      </c>
      <c r="D38" s="220" t="str">
        <f>IFERROR(1/(1/INDEX(BD!$AJ$48:$BD$48,MATCH($A$24,BD!$AJ$22:$BD$22,0))),"")</f>
        <v/>
      </c>
      <c r="E38" s="221"/>
      <c r="F38" s="222" t="str">
        <f>IF(F$3="","",IF(COUNTIFS(BD!$A$3:$A$5001,F$3,BD!$B$3:$B$5001,$A$24,BD!$AA$3:$AA$5001,"&lt;&gt;")=0,"",SUMIFS(BD!$AA$3:$AA$5001,BD!$A$3:$A$5001,F$3,BD!$B$3:$B$5001,$A$24)))</f>
        <v/>
      </c>
      <c r="G38" s="223" t="str">
        <f>IF(G$3="","",IF(COUNTIFS(BD!$A$3:$A$5001,G$3,BD!$B$3:$B$5001,$A$24,BD!$AA$3:$AA$5001,"&lt;&gt;")=0,"",SUMIFS(BD!$AA$3:$AA$5001,BD!$A$3:$A$5001,G$3,BD!$B$3:$B$5001,$A$24)))</f>
        <v/>
      </c>
      <c r="H38" s="223" t="str">
        <f>IF(H$3="","",IF(COUNTIFS(BD!$A$3:$A$5001,H$3,BD!$B$3:$B$5001,$A$24,BD!$AA$3:$AA$5001,"&lt;&gt;")=0,"",SUMIFS(BD!$AA$3:$AA$5001,BD!$A$3:$A$5001,H$3,BD!$B$3:$B$5001,$A$24)))</f>
        <v/>
      </c>
      <c r="I38" s="223" t="str">
        <f>IF(I$3="","",IF(COUNTIFS(BD!$A$3:$A$5001,I$3,BD!$B$3:$B$5001,$A$24,BD!$AA$3:$AA$5001,"&lt;&gt;")=0,"",SUMIFS(BD!$AA$3:$AA$5001,BD!$A$3:$A$5001,I$3,BD!$B$3:$B$5001,$A$24)))</f>
        <v/>
      </c>
      <c r="J38" s="223" t="str">
        <f>IF(J$3="","",IF(COUNTIFS(BD!$A$3:$A$5001,J$3,BD!$B$3:$B$5001,$A$24,BD!$AA$3:$AA$5001,"&lt;&gt;")=0,"",SUMIFS(BD!$AA$3:$AA$5001,BD!$A$3:$A$5001,J$3,BD!$B$3:$B$5001,$A$24)))</f>
        <v/>
      </c>
      <c r="K38" s="223" t="str">
        <f>IF(K$3="","",IF(COUNTIFS(BD!$A$3:$A$5001,K$3,BD!$B$3:$B$5001,$A$24,BD!$AA$3:$AA$5001,"&lt;&gt;")=0,"",SUMIFS(BD!$AA$3:$AA$5001,BD!$A$3:$A$5001,K$3,BD!$B$3:$B$5001,$A$24)))</f>
        <v/>
      </c>
      <c r="L38" s="223" t="str">
        <f>IF(L$3="","",IF(COUNTIFS(BD!$A$3:$A$5001,L$3,BD!$B$3:$B$5001,$A$24,BD!$AA$3:$AA$5001,"&lt;&gt;")=0,"",SUMIFS(BD!$AA$3:$AA$5001,BD!$A$3:$A$5001,L$3,BD!$B$3:$B$5001,$A$24)))</f>
        <v/>
      </c>
      <c r="M38" s="223" t="str">
        <f>IF(M$3="","",IF(COUNTIFS(BD!$A$3:$A$5001,M$3,BD!$B$3:$B$5001,$A$24,BD!$AA$3:$AA$5001,"&lt;&gt;")=0,"",SUMIFS(BD!$AA$3:$AA$5001,BD!$A$3:$A$5001,M$3,BD!$B$3:$B$5001,$A$24)))</f>
        <v/>
      </c>
      <c r="N38" s="223" t="str">
        <f>IF(N$3="","",IF(COUNTIFS(BD!$A$3:$A$5001,N$3,BD!$B$3:$B$5001,$A$24,BD!$AA$3:$AA$5001,"&lt;&gt;")=0,"",SUMIFS(BD!$AA$3:$AA$5001,BD!$A$3:$A$5001,N$3,BD!$B$3:$B$5001,$A$24)))</f>
        <v/>
      </c>
      <c r="O38" s="223" t="str">
        <f>IF(O$3="","",IF(COUNTIFS(BD!$A$3:$A$5001,O$3,BD!$B$3:$B$5001,$A$24,BD!$AA$3:$AA$5001,"&lt;&gt;")=0,"",SUMIFS(BD!$AA$3:$AA$5001,BD!$A$3:$A$5001,O$3,BD!$B$3:$B$5001,$A$24)))</f>
        <v/>
      </c>
      <c r="P38" s="223" t="str">
        <f>IF(P$3="","",IF(COUNTIFS(BD!$A$3:$A$5001,P$3,BD!$B$3:$B$5001,$A$24,BD!$AA$3:$AA$5001,"&lt;&gt;")=0,"",SUMIFS(BD!$AA$3:$AA$5001,BD!$A$3:$A$5001,P$3,BD!$B$3:$B$5001,$A$24)))</f>
        <v/>
      </c>
      <c r="Q38" s="223" t="str">
        <f>IF(Q$3="","",IF(COUNTIFS(BD!$A$3:$A$5001,Q$3,BD!$B$3:$B$5001,$A$24,BD!$AA$3:$AA$5001,"&lt;&gt;")=0,"",SUMIFS(BD!$AA$3:$AA$5001,BD!$A$3:$A$5001,Q$3,BD!$B$3:$B$5001,$A$24)))</f>
        <v/>
      </c>
      <c r="R38" s="223" t="str">
        <f>IF(R$3="","",IF(COUNTIFS(BD!$A$3:$A$5001,R$3,BD!$B$3:$B$5001,$A$24,BD!$AA$3:$AA$5001,"&lt;&gt;")=0,"",SUMIFS(BD!$AA$3:$AA$5001,BD!$A$3:$A$5001,R$3,BD!$B$3:$B$5001,$A$24)))</f>
        <v/>
      </c>
      <c r="S38" s="223" t="str">
        <f>IF(S$3="","",IF(COUNTIFS(BD!$A$3:$A$5001,S$3,BD!$B$3:$B$5001,$A$24,BD!$AA$3:$AA$5001,"&lt;&gt;")=0,"",SUMIFS(BD!$AA$3:$AA$5001,BD!$A$3:$A$5001,S$3,BD!$B$3:$B$5001,$A$24)))</f>
        <v/>
      </c>
      <c r="T38" s="223" t="str">
        <f>IF(T$3="","",IF(COUNTIFS(BD!$A$3:$A$5001,T$3,BD!$B$3:$B$5001,$A$24,BD!$AA$3:$AA$5001,"&lt;&gt;")=0,"",SUMIFS(BD!$AA$3:$AA$5001,BD!$A$3:$A$5001,T$3,BD!$B$3:$B$5001,$A$24)))</f>
        <v/>
      </c>
      <c r="U38" s="223" t="str">
        <f>IF(U$3="","",IF(COUNTIFS(BD!$A$3:$A$5001,U$3,BD!$B$3:$B$5001,$A$24,BD!$AA$3:$AA$5001,"&lt;&gt;")=0,"",SUMIFS(BD!$AA$3:$AA$5001,BD!$A$3:$A$5001,U$3,BD!$B$3:$B$5001,$A$24)))</f>
        <v/>
      </c>
      <c r="V38" s="223" t="str">
        <f>IF(V$3="","",IF(COUNTIFS(BD!$A$3:$A$5001,V$3,BD!$B$3:$B$5001,$A$24,BD!$AA$3:$AA$5001,"&lt;&gt;")=0,"",SUMIFS(BD!$AA$3:$AA$5001,BD!$A$3:$A$5001,V$3,BD!$B$3:$B$5001,$A$24)))</f>
        <v/>
      </c>
      <c r="W38" s="223" t="str">
        <f>IF(W$3="","",IF(COUNTIFS(BD!$A$3:$A$5001,W$3,BD!$B$3:$B$5001,$A$24,BD!$AA$3:$AA$5001,"&lt;&gt;")=0,"",SUMIFS(BD!$AA$3:$AA$5001,BD!$A$3:$A$5001,W$3,BD!$B$3:$B$5001,$A$24)))</f>
        <v/>
      </c>
      <c r="X38" s="223" t="str">
        <f>IF(X$3="","",IF(COUNTIFS(BD!$A$3:$A$5001,X$3,BD!$B$3:$B$5001,$A$24,BD!$AA$3:$AA$5001,"&lt;&gt;")=0,"",SUMIFS(BD!$AA$3:$AA$5001,BD!$A$3:$A$5001,X$3,BD!$B$3:$B$5001,$A$24)))</f>
        <v/>
      </c>
      <c r="Y38" s="223" t="str">
        <f>IF(Y$3="","",IF(COUNTIFS(BD!$A$3:$A$5001,Y$3,BD!$B$3:$B$5001,$A$24,BD!$AA$3:$AA$5001,"&lt;&gt;")=0,"",SUMIFS(BD!$AA$3:$AA$5001,BD!$A$3:$A$5001,Y$3,BD!$B$3:$B$5001,$A$24)))</f>
        <v/>
      </c>
      <c r="Z38" s="223" t="str">
        <f>IF(Z$3="","",IF(COUNTIFS(BD!$A$3:$A$5001,Z$3,BD!$B$3:$B$5001,$A$24,BD!$AA$3:$AA$5001,"&lt;&gt;")=0,"",SUMIFS(BD!$AA$3:$AA$5001,BD!$A$3:$A$5001,Z$3,BD!$B$3:$B$5001,$A$24)))</f>
        <v/>
      </c>
      <c r="AA38" s="223" t="str">
        <f>IF(AA$3="","",IF(COUNTIFS(BD!$A$3:$A$5001,AA$3,BD!$B$3:$B$5001,$A$24,BD!$AA$3:$AA$5001,"&lt;&gt;")=0,"",SUMIFS(BD!$AA$3:$AA$5001,BD!$A$3:$A$5001,AA$3,BD!$B$3:$B$5001,$A$24)))</f>
        <v/>
      </c>
      <c r="AB38" s="223" t="str">
        <f>IF(AB$3="","",IF(COUNTIFS(BD!$A$3:$A$5001,AB$3,BD!$B$3:$B$5001,$A$24,BD!$AA$3:$AA$5001,"&lt;&gt;")=0,"",SUMIFS(BD!$AA$3:$AA$5001,BD!$A$3:$A$5001,AB$3,BD!$B$3:$B$5001,$A$24)))</f>
        <v/>
      </c>
      <c r="AC38" s="223" t="str">
        <f>IF(AC$3="","",IF(COUNTIFS(BD!$A$3:$A$5001,AC$3,BD!$B$3:$B$5001,$A$24,BD!$AA$3:$AA$5001,"&lt;&gt;")=0,"",SUMIFS(BD!$AA$3:$AA$5001,BD!$A$3:$A$5001,AC$3,BD!$B$3:$B$5001,$A$24)))</f>
        <v/>
      </c>
      <c r="AD38" s="223" t="str">
        <f>IF(AD$3="","",IF(COUNTIFS(BD!$A$3:$A$5001,AD$3,BD!$B$3:$B$5001,$A$24,BD!$AA$3:$AA$5001,"&lt;&gt;")=0,"",SUMIFS(BD!$AA$3:$AA$5001,BD!$A$3:$A$5001,AD$3,BD!$B$3:$B$5001,$A$24)))</f>
        <v/>
      </c>
      <c r="AE38" s="223" t="str">
        <f>IF(AE$3="","",IF(COUNTIFS(BD!$A$3:$A$5001,AE$3,BD!$B$3:$B$5001,$A$24,BD!$AA$3:$AA$5001,"&lt;&gt;")=0,"",SUMIFS(BD!$AA$3:$AA$5001,BD!$A$3:$A$5001,AE$3,BD!$B$3:$B$5001,$A$24)))</f>
        <v/>
      </c>
      <c r="AF38" s="223" t="str">
        <f>IF(AF$3="","",IF(COUNTIFS(BD!$A$3:$A$5001,AF$3,BD!$B$3:$B$5001,$A$24,BD!$AA$3:$AA$5001,"&lt;&gt;")=0,"",SUMIFS(BD!$AA$3:$AA$5001,BD!$A$3:$A$5001,AF$3,BD!$B$3:$B$5001,$A$24)))</f>
        <v/>
      </c>
      <c r="AG38" s="223" t="str">
        <f>IF(AG$3="","",IF(COUNTIFS(BD!$A$3:$A$5001,AG$3,BD!$B$3:$B$5001,$A$24,BD!$AA$3:$AA$5001,"&lt;&gt;")=0,"",SUMIFS(BD!$AA$3:$AA$5001,BD!$A$3:$A$5001,AG$3,BD!$B$3:$B$5001,$A$24)))</f>
        <v/>
      </c>
      <c r="AH38" s="223" t="str">
        <f>IF(AH$3="","",IF(COUNTIFS(BD!$A$3:$A$5001,AH$3,BD!$B$3:$B$5001,$A$24,BD!$AA$3:$AA$5001,"&lt;&gt;")=0,"",SUMIFS(BD!$AA$3:$AA$5001,BD!$A$3:$A$5001,AH$3,BD!$B$3:$B$5001,$A$24)))</f>
        <v/>
      </c>
      <c r="AI38" s="223" t="str">
        <f>IF(AI$3="","",IF(COUNTIFS(BD!$A$3:$A$5001,AI$3,BD!$B$3:$B$5001,$A$24,BD!$AA$3:$AA$5001,"&lt;&gt;")=0,"",SUMIFS(BD!$AA$3:$AA$5001,BD!$A$3:$A$5001,AI$3,BD!$B$3:$B$5001,$A$24)))</f>
        <v/>
      </c>
      <c r="AJ38" s="224" t="str">
        <f>IF(AJ$3="","",IF(COUNTIFS(BD!$A$3:$A$5001,AJ$3,BD!$B$3:$B$5001,$A$24,BD!$AA$3:$AA$5001,"&lt;&gt;")=0,"",SUMIFS(BD!$AA$3:$AA$5001,BD!$A$3:$A$5001,AJ$3,BD!$B$3:$B$5001,$A$24)))</f>
        <v/>
      </c>
      <c r="AK38" s="225" t="str">
        <f>IF(COUNT(F38:AJ38)=0,"",SUM(F38:AJ38))</f>
        <v/>
      </c>
    </row>
    <row r="39" ht="15.75" customHeight="1">
      <c r="A39" s="244"/>
      <c r="B39" s="241"/>
      <c r="C39" s="219" t="inlineStr">
        <is>
          <t xml:space="preserve">Férias</t>
        </is>
      </c>
      <c r="D39" s="220" t="str">
        <f>IFERROR(1/(1/INDEX(BD!$AJ$49:$BD$49,MATCH($A$24,BD!$AJ$22:$BD$22,0))),"")</f>
        <v/>
      </c>
      <c r="E39" s="221"/>
      <c r="F39" s="222" t="str">
        <f>IF(F$3="","",IF(COUNTIFS(BD!$A$3:$A$5001,F$3,BD!$B$3:$B$5001,$A$24,BD!$AB$3:$AB$5001,"&lt;&gt;")=0,"",SUMIFS(BD!$AB$3:$AB$5001,BD!$A$3:$A$5001,F$3,BD!$B$3:$B$5001,$A$24)))</f>
        <v/>
      </c>
      <c r="G39" s="223" t="str">
        <f>IF(G$3="","",IF(COUNTIFS(BD!$A$3:$A$5001,G$3,BD!$B$3:$B$5001,$A$24,BD!$AB$3:$AB$5001,"&lt;&gt;")=0,"",SUMIFS(BD!$AB$3:$AB$5001,BD!$A$3:$A$5001,G$3,BD!$B$3:$B$5001,$A$24)))</f>
        <v/>
      </c>
      <c r="H39" s="223" t="str">
        <f>IF(H$3="","",IF(COUNTIFS(BD!$A$3:$A$5001,H$3,BD!$B$3:$B$5001,$A$24,BD!$AB$3:$AB$5001,"&lt;&gt;")=0,"",SUMIFS(BD!$AB$3:$AB$5001,BD!$A$3:$A$5001,H$3,BD!$B$3:$B$5001,$A$24)))</f>
        <v/>
      </c>
      <c r="I39" s="223" t="str">
        <f>IF(I$3="","",IF(COUNTIFS(BD!$A$3:$A$5001,I$3,BD!$B$3:$B$5001,$A$24,BD!$AB$3:$AB$5001,"&lt;&gt;")=0,"",SUMIFS(BD!$AB$3:$AB$5001,BD!$A$3:$A$5001,I$3,BD!$B$3:$B$5001,$A$24)))</f>
        <v/>
      </c>
      <c r="J39" s="223" t="str">
        <f>IF(J$3="","",IF(COUNTIFS(BD!$A$3:$A$5001,J$3,BD!$B$3:$B$5001,$A$24,BD!$AB$3:$AB$5001,"&lt;&gt;")=0,"",SUMIFS(BD!$AB$3:$AB$5001,BD!$A$3:$A$5001,J$3,BD!$B$3:$B$5001,$A$24)))</f>
        <v/>
      </c>
      <c r="K39" s="223" t="str">
        <f>IF(K$3="","",IF(COUNTIFS(BD!$A$3:$A$5001,K$3,BD!$B$3:$B$5001,$A$24,BD!$AB$3:$AB$5001,"&lt;&gt;")=0,"",SUMIFS(BD!$AB$3:$AB$5001,BD!$A$3:$A$5001,K$3,BD!$B$3:$B$5001,$A$24)))</f>
        <v/>
      </c>
      <c r="L39" s="223" t="str">
        <f>IF(L$3="","",IF(COUNTIFS(BD!$A$3:$A$5001,L$3,BD!$B$3:$B$5001,$A$24,BD!$AB$3:$AB$5001,"&lt;&gt;")=0,"",SUMIFS(BD!$AB$3:$AB$5001,BD!$A$3:$A$5001,L$3,BD!$B$3:$B$5001,$A$24)))</f>
        <v/>
      </c>
      <c r="M39" s="223" t="str">
        <f>IF(M$3="","",IF(COUNTIFS(BD!$A$3:$A$5001,M$3,BD!$B$3:$B$5001,$A$24,BD!$AB$3:$AB$5001,"&lt;&gt;")=0,"",SUMIFS(BD!$AB$3:$AB$5001,BD!$A$3:$A$5001,M$3,BD!$B$3:$B$5001,$A$24)))</f>
        <v/>
      </c>
      <c r="N39" s="223" t="str">
        <f>IF(N$3="","",IF(COUNTIFS(BD!$A$3:$A$5001,N$3,BD!$B$3:$B$5001,$A$24,BD!$AB$3:$AB$5001,"&lt;&gt;")=0,"",SUMIFS(BD!$AB$3:$AB$5001,BD!$A$3:$A$5001,N$3,BD!$B$3:$B$5001,$A$24)))</f>
        <v/>
      </c>
      <c r="O39" s="223" t="str">
        <f>IF(O$3="","",IF(COUNTIFS(BD!$A$3:$A$5001,O$3,BD!$B$3:$B$5001,$A$24,BD!$AB$3:$AB$5001,"&lt;&gt;")=0,"",SUMIFS(BD!$AB$3:$AB$5001,BD!$A$3:$A$5001,O$3,BD!$B$3:$B$5001,$A$24)))</f>
        <v/>
      </c>
      <c r="P39" s="223" t="str">
        <f>IF(P$3="","",IF(COUNTIFS(BD!$A$3:$A$5001,P$3,BD!$B$3:$B$5001,$A$24,BD!$AB$3:$AB$5001,"&lt;&gt;")=0,"",SUMIFS(BD!$AB$3:$AB$5001,BD!$A$3:$A$5001,P$3,BD!$B$3:$B$5001,$A$24)))</f>
        <v/>
      </c>
      <c r="Q39" s="223" t="str">
        <f>IF(Q$3="","",IF(COUNTIFS(BD!$A$3:$A$5001,Q$3,BD!$B$3:$B$5001,$A$24,BD!$AB$3:$AB$5001,"&lt;&gt;")=0,"",SUMIFS(BD!$AB$3:$AB$5001,BD!$A$3:$A$5001,Q$3,BD!$B$3:$B$5001,$A$24)))</f>
        <v/>
      </c>
      <c r="R39" s="223" t="str">
        <f>IF(R$3="","",IF(COUNTIFS(BD!$A$3:$A$5001,R$3,BD!$B$3:$B$5001,$A$24,BD!$AB$3:$AB$5001,"&lt;&gt;")=0,"",SUMIFS(BD!$AB$3:$AB$5001,BD!$A$3:$A$5001,R$3,BD!$B$3:$B$5001,$A$24)))</f>
        <v/>
      </c>
      <c r="S39" s="223" t="str">
        <f>IF(S$3="","",IF(COUNTIFS(BD!$A$3:$A$5001,S$3,BD!$B$3:$B$5001,$A$24,BD!$AB$3:$AB$5001,"&lt;&gt;")=0,"",SUMIFS(BD!$AB$3:$AB$5001,BD!$A$3:$A$5001,S$3,BD!$B$3:$B$5001,$A$24)))</f>
        <v/>
      </c>
      <c r="T39" s="223" t="str">
        <f>IF(T$3="","",IF(COUNTIFS(BD!$A$3:$A$5001,T$3,BD!$B$3:$B$5001,$A$24,BD!$AB$3:$AB$5001,"&lt;&gt;")=0,"",SUMIFS(BD!$AB$3:$AB$5001,BD!$A$3:$A$5001,T$3,BD!$B$3:$B$5001,$A$24)))</f>
        <v/>
      </c>
      <c r="U39" s="223" t="str">
        <f>IF(U$3="","",IF(COUNTIFS(BD!$A$3:$A$5001,U$3,BD!$B$3:$B$5001,$A$24,BD!$AB$3:$AB$5001,"&lt;&gt;")=0,"",SUMIFS(BD!$AB$3:$AB$5001,BD!$A$3:$A$5001,U$3,BD!$B$3:$B$5001,$A$24)))</f>
        <v/>
      </c>
      <c r="V39" s="223" t="str">
        <f>IF(V$3="","",IF(COUNTIFS(BD!$A$3:$A$5001,V$3,BD!$B$3:$B$5001,$A$24,BD!$AB$3:$AB$5001,"&lt;&gt;")=0,"",SUMIFS(BD!$AB$3:$AB$5001,BD!$A$3:$A$5001,V$3,BD!$B$3:$B$5001,$A$24)))</f>
        <v/>
      </c>
      <c r="W39" s="223" t="str">
        <f>IF(W$3="","",IF(COUNTIFS(BD!$A$3:$A$5001,W$3,BD!$B$3:$B$5001,$A$24,BD!$AB$3:$AB$5001,"&lt;&gt;")=0,"",SUMIFS(BD!$AB$3:$AB$5001,BD!$A$3:$A$5001,W$3,BD!$B$3:$B$5001,$A$24)))</f>
        <v/>
      </c>
      <c r="X39" s="223" t="str">
        <f>IF(X$3="","",IF(COUNTIFS(BD!$A$3:$A$5001,X$3,BD!$B$3:$B$5001,$A$24,BD!$AB$3:$AB$5001,"&lt;&gt;")=0,"",SUMIFS(BD!$AB$3:$AB$5001,BD!$A$3:$A$5001,X$3,BD!$B$3:$B$5001,$A$24)))</f>
        <v/>
      </c>
      <c r="Y39" s="223" t="str">
        <f>IF(Y$3="","",IF(COUNTIFS(BD!$A$3:$A$5001,Y$3,BD!$B$3:$B$5001,$A$24,BD!$AB$3:$AB$5001,"&lt;&gt;")=0,"",SUMIFS(BD!$AB$3:$AB$5001,BD!$A$3:$A$5001,Y$3,BD!$B$3:$B$5001,$A$24)))</f>
        <v/>
      </c>
      <c r="Z39" s="223" t="str">
        <f>IF(Z$3="","",IF(COUNTIFS(BD!$A$3:$A$5001,Z$3,BD!$B$3:$B$5001,$A$24,BD!$AB$3:$AB$5001,"&lt;&gt;")=0,"",SUMIFS(BD!$AB$3:$AB$5001,BD!$A$3:$A$5001,Z$3,BD!$B$3:$B$5001,$A$24)))</f>
        <v/>
      </c>
      <c r="AA39" s="223" t="str">
        <f>IF(AA$3="","",IF(COUNTIFS(BD!$A$3:$A$5001,AA$3,BD!$B$3:$B$5001,$A$24,BD!$AB$3:$AB$5001,"&lt;&gt;")=0,"",SUMIFS(BD!$AB$3:$AB$5001,BD!$A$3:$A$5001,AA$3,BD!$B$3:$B$5001,$A$24)))</f>
        <v/>
      </c>
      <c r="AB39" s="223" t="str">
        <f>IF(AB$3="","",IF(COUNTIFS(BD!$A$3:$A$5001,AB$3,BD!$B$3:$B$5001,$A$24,BD!$AB$3:$AB$5001,"&lt;&gt;")=0,"",SUMIFS(BD!$AB$3:$AB$5001,BD!$A$3:$A$5001,AB$3,BD!$B$3:$B$5001,$A$24)))</f>
        <v/>
      </c>
      <c r="AC39" s="223" t="str">
        <f>IF(AC$3="","",IF(COUNTIFS(BD!$A$3:$A$5001,AC$3,BD!$B$3:$B$5001,$A$24,BD!$AB$3:$AB$5001,"&lt;&gt;")=0,"",SUMIFS(BD!$AB$3:$AB$5001,BD!$A$3:$A$5001,AC$3,BD!$B$3:$B$5001,$A$24)))</f>
        <v/>
      </c>
      <c r="AD39" s="223" t="str">
        <f>IF(AD$3="","",IF(COUNTIFS(BD!$A$3:$A$5001,AD$3,BD!$B$3:$B$5001,$A$24,BD!$AB$3:$AB$5001,"&lt;&gt;")=0,"",SUMIFS(BD!$AB$3:$AB$5001,BD!$A$3:$A$5001,AD$3,BD!$B$3:$B$5001,$A$24)))</f>
        <v/>
      </c>
      <c r="AE39" s="223" t="str">
        <f>IF(AE$3="","",IF(COUNTIFS(BD!$A$3:$A$5001,AE$3,BD!$B$3:$B$5001,$A$24,BD!$AB$3:$AB$5001,"&lt;&gt;")=0,"",SUMIFS(BD!$AB$3:$AB$5001,BD!$A$3:$A$5001,AE$3,BD!$B$3:$B$5001,$A$24)))</f>
        <v/>
      </c>
      <c r="AF39" s="223" t="str">
        <f>IF(AF$3="","",IF(COUNTIFS(BD!$A$3:$A$5001,AF$3,BD!$B$3:$B$5001,$A$24,BD!$AB$3:$AB$5001,"&lt;&gt;")=0,"",SUMIFS(BD!$AB$3:$AB$5001,BD!$A$3:$A$5001,AF$3,BD!$B$3:$B$5001,$A$24)))</f>
        <v/>
      </c>
      <c r="AG39" s="223" t="str">
        <f>IF(AG$3="","",IF(COUNTIFS(BD!$A$3:$A$5001,AG$3,BD!$B$3:$B$5001,$A$24,BD!$AB$3:$AB$5001,"&lt;&gt;")=0,"",SUMIFS(BD!$AB$3:$AB$5001,BD!$A$3:$A$5001,AG$3,BD!$B$3:$B$5001,$A$24)))</f>
        <v/>
      </c>
      <c r="AH39" s="223" t="str">
        <f>IF(AH$3="","",IF(COUNTIFS(BD!$A$3:$A$5001,AH$3,BD!$B$3:$B$5001,$A$24,BD!$AB$3:$AB$5001,"&lt;&gt;")=0,"",SUMIFS(BD!$AB$3:$AB$5001,BD!$A$3:$A$5001,AH$3,BD!$B$3:$B$5001,$A$24)))</f>
        <v/>
      </c>
      <c r="AI39" s="223" t="str">
        <f>IF(AI$3="","",IF(COUNTIFS(BD!$A$3:$A$5001,AI$3,BD!$B$3:$B$5001,$A$24,BD!$AB$3:$AB$5001,"&lt;&gt;")=0,"",SUMIFS(BD!$AB$3:$AB$5001,BD!$A$3:$A$5001,AI$3,BD!$B$3:$B$5001,$A$24)))</f>
        <v/>
      </c>
      <c r="AJ39" s="224" t="str">
        <f>IF(AJ$3="","",IF(COUNTIFS(BD!$A$3:$A$5001,AJ$3,BD!$B$3:$B$5001,$A$24,BD!$AB$3:$AB$5001,"&lt;&gt;")=0,"",SUMIFS(BD!$AB$3:$AB$5001,BD!$A$3:$A$5001,AJ$3,BD!$B$3:$B$5001,$A$24)))</f>
        <v/>
      </c>
      <c r="AK39" s="225" t="str">
        <f>IF(COUNT(F39:AJ39)=0,"",SUM(F39:AJ39))</f>
        <v/>
      </c>
    </row>
    <row r="40" ht="15.75" customHeight="1">
      <c r="A40" s="244"/>
      <c r="B40" s="241"/>
      <c r="C40" s="219" t="inlineStr">
        <is>
          <t xml:space="preserve">Desligamento</t>
        </is>
      </c>
      <c r="D40" s="220" t="str">
        <f>IFERROR(1/(1/INDEX(BD!$AJ$50:$BD$50,MATCH($A$24,BD!$AJ$22:$BD$22,0))),"")</f>
        <v/>
      </c>
      <c r="E40" s="221"/>
      <c r="F40" s="222" t="str">
        <f>IF(F$3="","",IF(COUNTIFS(BD!$A$3:$A$5001,F$3,BD!$B$3:$B$5001,$A$24,BD!$AC$3:$AC$5001,"&lt;&gt;")=0,"",SUMIFS(BD!$AC$3:$AC$5001,BD!$A$3:$A$5001,F$3,BD!$B$3:$B$5001,$A$24)))</f>
        <v/>
      </c>
      <c r="G40" s="223" t="str">
        <f>IF(G$3="","",IF(COUNTIFS(BD!$A$3:$A$5001,G$3,BD!$B$3:$B$5001,$A$24,BD!$AC$3:$AC$5001,"&lt;&gt;")=0,"",SUMIFS(BD!$AC$3:$AC$5001,BD!$A$3:$A$5001,G$3,BD!$B$3:$B$5001,$A$24)))</f>
        <v/>
      </c>
      <c r="H40" s="223" t="str">
        <f>IF(H$3="","",IF(COUNTIFS(BD!$A$3:$A$5001,H$3,BD!$B$3:$B$5001,$A$24,BD!$AC$3:$AC$5001,"&lt;&gt;")=0,"",SUMIFS(BD!$AC$3:$AC$5001,BD!$A$3:$A$5001,H$3,BD!$B$3:$B$5001,$A$24)))</f>
        <v/>
      </c>
      <c r="I40" s="223" t="str">
        <f>IF(I$3="","",IF(COUNTIFS(BD!$A$3:$A$5001,I$3,BD!$B$3:$B$5001,$A$24,BD!$AC$3:$AC$5001,"&lt;&gt;")=0,"",SUMIFS(BD!$AC$3:$AC$5001,BD!$A$3:$A$5001,I$3,BD!$B$3:$B$5001,$A$24)))</f>
        <v/>
      </c>
      <c r="J40" s="223" t="str">
        <f>IF(J$3="","",IF(COUNTIFS(BD!$A$3:$A$5001,J$3,BD!$B$3:$B$5001,$A$24,BD!$AC$3:$AC$5001,"&lt;&gt;")=0,"",SUMIFS(BD!$AC$3:$AC$5001,BD!$A$3:$A$5001,J$3,BD!$B$3:$B$5001,$A$24)))</f>
        <v/>
      </c>
      <c r="K40" s="223" t="str">
        <f>IF(K$3="","",IF(COUNTIFS(BD!$A$3:$A$5001,K$3,BD!$B$3:$B$5001,$A$24,BD!$AC$3:$AC$5001,"&lt;&gt;")=0,"",SUMIFS(BD!$AC$3:$AC$5001,BD!$A$3:$A$5001,K$3,BD!$B$3:$B$5001,$A$24)))</f>
        <v/>
      </c>
      <c r="L40" s="223" t="str">
        <f>IF(L$3="","",IF(COUNTIFS(BD!$A$3:$A$5001,L$3,BD!$B$3:$B$5001,$A$24,BD!$AC$3:$AC$5001,"&lt;&gt;")=0,"",SUMIFS(BD!$AC$3:$AC$5001,BD!$A$3:$A$5001,L$3,BD!$B$3:$B$5001,$A$24)))</f>
        <v/>
      </c>
      <c r="M40" s="223" t="str">
        <f>IF(M$3="","",IF(COUNTIFS(BD!$A$3:$A$5001,M$3,BD!$B$3:$B$5001,$A$24,BD!$AC$3:$AC$5001,"&lt;&gt;")=0,"",SUMIFS(BD!$AC$3:$AC$5001,BD!$A$3:$A$5001,M$3,BD!$B$3:$B$5001,$A$24)))</f>
        <v/>
      </c>
      <c r="N40" s="223" t="str">
        <f>IF(N$3="","",IF(COUNTIFS(BD!$A$3:$A$5001,N$3,BD!$B$3:$B$5001,$A$24,BD!$AC$3:$AC$5001,"&lt;&gt;")=0,"",SUMIFS(BD!$AC$3:$AC$5001,BD!$A$3:$A$5001,N$3,BD!$B$3:$B$5001,$A$24)))</f>
        <v/>
      </c>
      <c r="O40" s="223" t="str">
        <f>IF(O$3="","",IF(COUNTIFS(BD!$A$3:$A$5001,O$3,BD!$B$3:$B$5001,$A$24,BD!$AC$3:$AC$5001,"&lt;&gt;")=0,"",SUMIFS(BD!$AC$3:$AC$5001,BD!$A$3:$A$5001,O$3,BD!$B$3:$B$5001,$A$24)))</f>
        <v/>
      </c>
      <c r="P40" s="223" t="str">
        <f>IF(P$3="","",IF(COUNTIFS(BD!$A$3:$A$5001,P$3,BD!$B$3:$B$5001,$A$24,BD!$AC$3:$AC$5001,"&lt;&gt;")=0,"",SUMIFS(BD!$AC$3:$AC$5001,BD!$A$3:$A$5001,P$3,BD!$B$3:$B$5001,$A$24)))</f>
        <v/>
      </c>
      <c r="Q40" s="223" t="str">
        <f>IF(Q$3="","",IF(COUNTIFS(BD!$A$3:$A$5001,Q$3,BD!$B$3:$B$5001,$A$24,BD!$AC$3:$AC$5001,"&lt;&gt;")=0,"",SUMIFS(BD!$AC$3:$AC$5001,BD!$A$3:$A$5001,Q$3,BD!$B$3:$B$5001,$A$24)))</f>
        <v/>
      </c>
      <c r="R40" s="223" t="str">
        <f>IF(R$3="","",IF(COUNTIFS(BD!$A$3:$A$5001,R$3,BD!$B$3:$B$5001,$A$24,BD!$AC$3:$AC$5001,"&lt;&gt;")=0,"",SUMIFS(BD!$AC$3:$AC$5001,BD!$A$3:$A$5001,R$3,BD!$B$3:$B$5001,$A$24)))</f>
        <v/>
      </c>
      <c r="S40" s="223" t="str">
        <f>IF(S$3="","",IF(COUNTIFS(BD!$A$3:$A$5001,S$3,BD!$B$3:$B$5001,$A$24,BD!$AC$3:$AC$5001,"&lt;&gt;")=0,"",SUMIFS(BD!$AC$3:$AC$5001,BD!$A$3:$A$5001,S$3,BD!$B$3:$B$5001,$A$24)))</f>
        <v/>
      </c>
      <c r="T40" s="223" t="str">
        <f>IF(T$3="","",IF(COUNTIFS(BD!$A$3:$A$5001,T$3,BD!$B$3:$B$5001,$A$24,BD!$AC$3:$AC$5001,"&lt;&gt;")=0,"",SUMIFS(BD!$AC$3:$AC$5001,BD!$A$3:$A$5001,T$3,BD!$B$3:$B$5001,$A$24)))</f>
        <v/>
      </c>
      <c r="U40" s="223" t="str">
        <f>IF(U$3="","",IF(COUNTIFS(BD!$A$3:$A$5001,U$3,BD!$B$3:$B$5001,$A$24,BD!$AC$3:$AC$5001,"&lt;&gt;")=0,"",SUMIFS(BD!$AC$3:$AC$5001,BD!$A$3:$A$5001,U$3,BD!$B$3:$B$5001,$A$24)))</f>
        <v/>
      </c>
      <c r="V40" s="223" t="str">
        <f>IF(V$3="","",IF(COUNTIFS(BD!$A$3:$A$5001,V$3,BD!$B$3:$B$5001,$A$24,BD!$AC$3:$AC$5001,"&lt;&gt;")=0,"",SUMIFS(BD!$AC$3:$AC$5001,BD!$A$3:$A$5001,V$3,BD!$B$3:$B$5001,$A$24)))</f>
        <v/>
      </c>
      <c r="W40" s="223" t="str">
        <f>IF(W$3="","",IF(COUNTIFS(BD!$A$3:$A$5001,W$3,BD!$B$3:$B$5001,$A$24,BD!$AC$3:$AC$5001,"&lt;&gt;")=0,"",SUMIFS(BD!$AC$3:$AC$5001,BD!$A$3:$A$5001,W$3,BD!$B$3:$B$5001,$A$24)))</f>
        <v/>
      </c>
      <c r="X40" s="223" t="str">
        <f>IF(X$3="","",IF(COUNTIFS(BD!$A$3:$A$5001,X$3,BD!$B$3:$B$5001,$A$24,BD!$AC$3:$AC$5001,"&lt;&gt;")=0,"",SUMIFS(BD!$AC$3:$AC$5001,BD!$A$3:$A$5001,X$3,BD!$B$3:$B$5001,$A$24)))</f>
        <v/>
      </c>
      <c r="Y40" s="223" t="str">
        <f>IF(Y$3="","",IF(COUNTIFS(BD!$A$3:$A$5001,Y$3,BD!$B$3:$B$5001,$A$24,BD!$AC$3:$AC$5001,"&lt;&gt;")=0,"",SUMIFS(BD!$AC$3:$AC$5001,BD!$A$3:$A$5001,Y$3,BD!$B$3:$B$5001,$A$24)))</f>
        <v/>
      </c>
      <c r="Z40" s="223" t="str">
        <f>IF(Z$3="","",IF(COUNTIFS(BD!$A$3:$A$5001,Z$3,BD!$B$3:$B$5001,$A$24,BD!$AC$3:$AC$5001,"&lt;&gt;")=0,"",SUMIFS(BD!$AC$3:$AC$5001,BD!$A$3:$A$5001,Z$3,BD!$B$3:$B$5001,$A$24)))</f>
        <v/>
      </c>
      <c r="AA40" s="223" t="str">
        <f>IF(AA$3="","",IF(COUNTIFS(BD!$A$3:$A$5001,AA$3,BD!$B$3:$B$5001,$A$24,BD!$AC$3:$AC$5001,"&lt;&gt;")=0,"",SUMIFS(BD!$AC$3:$AC$5001,BD!$A$3:$A$5001,AA$3,BD!$B$3:$B$5001,$A$24)))</f>
        <v/>
      </c>
      <c r="AB40" s="223" t="str">
        <f>IF(AB$3="","",IF(COUNTIFS(BD!$A$3:$A$5001,AB$3,BD!$B$3:$B$5001,$A$24,BD!$AC$3:$AC$5001,"&lt;&gt;")=0,"",SUMIFS(BD!$AC$3:$AC$5001,BD!$A$3:$A$5001,AB$3,BD!$B$3:$B$5001,$A$24)))</f>
        <v/>
      </c>
      <c r="AC40" s="223" t="str">
        <f>IF(AC$3="","",IF(COUNTIFS(BD!$A$3:$A$5001,AC$3,BD!$B$3:$B$5001,$A$24,BD!$AC$3:$AC$5001,"&lt;&gt;")=0,"",SUMIFS(BD!$AC$3:$AC$5001,BD!$A$3:$A$5001,AC$3,BD!$B$3:$B$5001,$A$24)))</f>
        <v/>
      </c>
      <c r="AD40" s="223" t="str">
        <f>IF(AD$3="","",IF(COUNTIFS(BD!$A$3:$A$5001,AD$3,BD!$B$3:$B$5001,$A$24,BD!$AC$3:$AC$5001,"&lt;&gt;")=0,"",SUMIFS(BD!$AC$3:$AC$5001,BD!$A$3:$A$5001,AD$3,BD!$B$3:$B$5001,$A$24)))</f>
        <v/>
      </c>
      <c r="AE40" s="223" t="str">
        <f>IF(AE$3="","",IF(COUNTIFS(BD!$A$3:$A$5001,AE$3,BD!$B$3:$B$5001,$A$24,BD!$AC$3:$AC$5001,"&lt;&gt;")=0,"",SUMIFS(BD!$AC$3:$AC$5001,BD!$A$3:$A$5001,AE$3,BD!$B$3:$B$5001,$A$24)))</f>
        <v/>
      </c>
      <c r="AF40" s="223" t="str">
        <f>IF(AF$3="","",IF(COUNTIFS(BD!$A$3:$A$5001,AF$3,BD!$B$3:$B$5001,$A$24,BD!$AC$3:$AC$5001,"&lt;&gt;")=0,"",SUMIFS(BD!$AC$3:$AC$5001,BD!$A$3:$A$5001,AF$3,BD!$B$3:$B$5001,$A$24)))</f>
        <v/>
      </c>
      <c r="AG40" s="223" t="str">
        <f>IF(AG$3="","",IF(COUNTIFS(BD!$A$3:$A$5001,AG$3,BD!$B$3:$B$5001,$A$24,BD!$AC$3:$AC$5001,"&lt;&gt;")=0,"",SUMIFS(BD!$AC$3:$AC$5001,BD!$A$3:$A$5001,AG$3,BD!$B$3:$B$5001,$A$24)))</f>
        <v/>
      </c>
      <c r="AH40" s="223" t="str">
        <f>IF(AH$3="","",IF(COUNTIFS(BD!$A$3:$A$5001,AH$3,BD!$B$3:$B$5001,$A$24,BD!$AC$3:$AC$5001,"&lt;&gt;")=0,"",SUMIFS(BD!$AC$3:$AC$5001,BD!$A$3:$A$5001,AH$3,BD!$B$3:$B$5001,$A$24)))</f>
        <v/>
      </c>
      <c r="AI40" s="223" t="str">
        <f>IF(AI$3="","",IF(COUNTIFS(BD!$A$3:$A$5001,AI$3,BD!$B$3:$B$5001,$A$24,BD!$AC$3:$AC$5001,"&lt;&gt;")=0,"",SUMIFS(BD!$AC$3:$AC$5001,BD!$A$3:$A$5001,AI$3,BD!$B$3:$B$5001,$A$24)))</f>
        <v/>
      </c>
      <c r="AJ40" s="224" t="str">
        <f>IF(AJ$3="","",IF(COUNTIFS(BD!$A$3:$A$5001,AJ$3,BD!$B$3:$B$5001,$A$24,BD!$AC$3:$AC$5001,"&lt;&gt;")=0,"",SUMIFS(BD!$AC$3:$AC$5001,BD!$A$3:$A$5001,AJ$3,BD!$B$3:$B$5001,$A$24)))</f>
        <v/>
      </c>
      <c r="AK40" s="225" t="str">
        <f>IF(COUNT(F40:AJ40)=0,"",SUM(F40:AJ40))</f>
        <v/>
      </c>
    </row>
    <row r="41" ht="15.75" customHeight="1">
      <c r="A41" s="244"/>
      <c r="B41" s="241"/>
      <c r="C41" s="219" t="inlineStr">
        <is>
          <t xml:space="preserve">Desvios Comportamentais</t>
        </is>
      </c>
      <c r="D41" s="220" t="str">
        <f>IFERROR(1/(1/INDEX(BD!$AJ$51:$BD$51,MATCH($A$24,BD!$AJ$22:$BD$22,0))),"")</f>
        <v/>
      </c>
      <c r="E41" s="221"/>
      <c r="F41" s="222" t="str">
        <f>IF(F$3="","",IF(COUNTIFS(BD!$A$3:$A$5001,F$3,BD!$B$3:$B$5001,$A$24,BD!$AD$3:$AD$5001,"&lt;&gt;")=0,"",SUMIFS(BD!$AD$3:$AD$5001,BD!$A$3:$A$5001,F$3,BD!$B$3:$B$5001,$A$24)))</f>
        <v/>
      </c>
      <c r="G41" s="223" t="str">
        <f>IF(G$3="","",IF(COUNTIFS(BD!$A$3:$A$5001,G$3,BD!$B$3:$B$5001,$A$24,BD!$AD$3:$AD$5001,"&lt;&gt;")=0,"",SUMIFS(BD!$AD$3:$AD$5001,BD!$A$3:$A$5001,G$3,BD!$B$3:$B$5001,$A$24)))</f>
        <v/>
      </c>
      <c r="H41" s="223" t="str">
        <f>IF(H$3="","",IF(COUNTIFS(BD!$A$3:$A$5001,H$3,BD!$B$3:$B$5001,$A$24,BD!$AD$3:$AD$5001,"&lt;&gt;")=0,"",SUMIFS(BD!$AD$3:$AD$5001,BD!$A$3:$A$5001,H$3,BD!$B$3:$B$5001,$A$24)))</f>
        <v/>
      </c>
      <c r="I41" s="223" t="str">
        <f>IF(I$3="","",IF(COUNTIFS(BD!$A$3:$A$5001,I$3,BD!$B$3:$B$5001,$A$24,BD!$AD$3:$AD$5001,"&lt;&gt;")=0,"",SUMIFS(BD!$AD$3:$AD$5001,BD!$A$3:$A$5001,I$3,BD!$B$3:$B$5001,$A$24)))</f>
        <v/>
      </c>
      <c r="J41" s="223" t="str">
        <f>IF(J$3="","",IF(COUNTIFS(BD!$A$3:$A$5001,J$3,BD!$B$3:$B$5001,$A$24,BD!$AD$3:$AD$5001,"&lt;&gt;")=0,"",SUMIFS(BD!$AD$3:$AD$5001,BD!$A$3:$A$5001,J$3,BD!$B$3:$B$5001,$A$24)))</f>
        <v/>
      </c>
      <c r="K41" s="223" t="str">
        <f>IF(K$3="","",IF(COUNTIFS(BD!$A$3:$A$5001,K$3,BD!$B$3:$B$5001,$A$24,BD!$AD$3:$AD$5001,"&lt;&gt;")=0,"",SUMIFS(BD!$AD$3:$AD$5001,BD!$A$3:$A$5001,K$3,BD!$B$3:$B$5001,$A$24)))</f>
        <v/>
      </c>
      <c r="L41" s="223" t="str">
        <f>IF(L$3="","",IF(COUNTIFS(BD!$A$3:$A$5001,L$3,BD!$B$3:$B$5001,$A$24,BD!$AD$3:$AD$5001,"&lt;&gt;")=0,"",SUMIFS(BD!$AD$3:$AD$5001,BD!$A$3:$A$5001,L$3,BD!$B$3:$B$5001,$A$24)))</f>
        <v/>
      </c>
      <c r="M41" s="223" t="str">
        <f>IF(M$3="","",IF(COUNTIFS(BD!$A$3:$A$5001,M$3,BD!$B$3:$B$5001,$A$24,BD!$AD$3:$AD$5001,"&lt;&gt;")=0,"",SUMIFS(BD!$AD$3:$AD$5001,BD!$A$3:$A$5001,M$3,BD!$B$3:$B$5001,$A$24)))</f>
        <v/>
      </c>
      <c r="N41" s="223" t="str">
        <f>IF(N$3="","",IF(COUNTIFS(BD!$A$3:$A$5001,N$3,BD!$B$3:$B$5001,$A$24,BD!$AD$3:$AD$5001,"&lt;&gt;")=0,"",SUMIFS(BD!$AD$3:$AD$5001,BD!$A$3:$A$5001,N$3,BD!$B$3:$B$5001,$A$24)))</f>
        <v/>
      </c>
      <c r="O41" s="223" t="str">
        <f>IF(O$3="","",IF(COUNTIFS(BD!$A$3:$A$5001,O$3,BD!$B$3:$B$5001,$A$24,BD!$AD$3:$AD$5001,"&lt;&gt;")=0,"",SUMIFS(BD!$AD$3:$AD$5001,BD!$A$3:$A$5001,O$3,BD!$B$3:$B$5001,$A$24)))</f>
        <v/>
      </c>
      <c r="P41" s="223" t="str">
        <f>IF(P$3="","",IF(COUNTIFS(BD!$A$3:$A$5001,P$3,BD!$B$3:$B$5001,$A$24,BD!$AD$3:$AD$5001,"&lt;&gt;")=0,"",SUMIFS(BD!$AD$3:$AD$5001,BD!$A$3:$A$5001,P$3,BD!$B$3:$B$5001,$A$24)))</f>
        <v/>
      </c>
      <c r="Q41" s="223" t="str">
        <f>IF(Q$3="","",IF(COUNTIFS(BD!$A$3:$A$5001,Q$3,BD!$B$3:$B$5001,$A$24,BD!$AD$3:$AD$5001,"&lt;&gt;")=0,"",SUMIFS(BD!$AD$3:$AD$5001,BD!$A$3:$A$5001,Q$3,BD!$B$3:$B$5001,$A$24)))</f>
        <v/>
      </c>
      <c r="R41" s="223" t="str">
        <f>IF(R$3="","",IF(COUNTIFS(BD!$A$3:$A$5001,R$3,BD!$B$3:$B$5001,$A$24,BD!$AD$3:$AD$5001,"&lt;&gt;")=0,"",SUMIFS(BD!$AD$3:$AD$5001,BD!$A$3:$A$5001,R$3,BD!$B$3:$B$5001,$A$24)))</f>
        <v/>
      </c>
      <c r="S41" s="223" t="str">
        <f>IF(S$3="","",IF(COUNTIFS(BD!$A$3:$A$5001,S$3,BD!$B$3:$B$5001,$A$24,BD!$AD$3:$AD$5001,"&lt;&gt;")=0,"",SUMIFS(BD!$AD$3:$AD$5001,BD!$A$3:$A$5001,S$3,BD!$B$3:$B$5001,$A$24)))</f>
        <v/>
      </c>
      <c r="T41" s="223" t="str">
        <f>IF(T$3="","",IF(COUNTIFS(BD!$A$3:$A$5001,T$3,BD!$B$3:$B$5001,$A$24,BD!$AD$3:$AD$5001,"&lt;&gt;")=0,"",SUMIFS(BD!$AD$3:$AD$5001,BD!$A$3:$A$5001,T$3,BD!$B$3:$B$5001,$A$24)))</f>
        <v/>
      </c>
      <c r="U41" s="223" t="str">
        <f>IF(U$3="","",IF(COUNTIFS(BD!$A$3:$A$5001,U$3,BD!$B$3:$B$5001,$A$24,BD!$AD$3:$AD$5001,"&lt;&gt;")=0,"",SUMIFS(BD!$AD$3:$AD$5001,BD!$A$3:$A$5001,U$3,BD!$B$3:$B$5001,$A$24)))</f>
        <v/>
      </c>
      <c r="V41" s="223" t="str">
        <f>IF(V$3="","",IF(COUNTIFS(BD!$A$3:$A$5001,V$3,BD!$B$3:$B$5001,$A$24,BD!$AD$3:$AD$5001,"&lt;&gt;")=0,"",SUMIFS(BD!$AD$3:$AD$5001,BD!$A$3:$A$5001,V$3,BD!$B$3:$B$5001,$A$24)))</f>
        <v/>
      </c>
      <c r="W41" s="223" t="str">
        <f>IF(W$3="","",IF(COUNTIFS(BD!$A$3:$A$5001,W$3,BD!$B$3:$B$5001,$A$24,BD!$AD$3:$AD$5001,"&lt;&gt;")=0,"",SUMIFS(BD!$AD$3:$AD$5001,BD!$A$3:$A$5001,W$3,BD!$B$3:$B$5001,$A$24)))</f>
        <v/>
      </c>
      <c r="X41" s="223" t="str">
        <f>IF(X$3="","",IF(COUNTIFS(BD!$A$3:$A$5001,X$3,BD!$B$3:$B$5001,$A$24,BD!$AD$3:$AD$5001,"&lt;&gt;")=0,"",SUMIFS(BD!$AD$3:$AD$5001,BD!$A$3:$A$5001,X$3,BD!$B$3:$B$5001,$A$24)))</f>
        <v/>
      </c>
      <c r="Y41" s="223" t="str">
        <f>IF(Y$3="","",IF(COUNTIFS(BD!$A$3:$A$5001,Y$3,BD!$B$3:$B$5001,$A$24,BD!$AD$3:$AD$5001,"&lt;&gt;")=0,"",SUMIFS(BD!$AD$3:$AD$5001,BD!$A$3:$A$5001,Y$3,BD!$B$3:$B$5001,$A$24)))</f>
        <v/>
      </c>
      <c r="Z41" s="223" t="str">
        <f>IF(Z$3="","",IF(COUNTIFS(BD!$A$3:$A$5001,Z$3,BD!$B$3:$B$5001,$A$24,BD!$AD$3:$AD$5001,"&lt;&gt;")=0,"",SUMIFS(BD!$AD$3:$AD$5001,BD!$A$3:$A$5001,Z$3,BD!$B$3:$B$5001,$A$24)))</f>
        <v/>
      </c>
      <c r="AA41" s="223" t="str">
        <f>IF(AA$3="","",IF(COUNTIFS(BD!$A$3:$A$5001,AA$3,BD!$B$3:$B$5001,$A$24,BD!$AD$3:$AD$5001,"&lt;&gt;")=0,"",SUMIFS(BD!$AD$3:$AD$5001,BD!$A$3:$A$5001,AA$3,BD!$B$3:$B$5001,$A$24)))</f>
        <v/>
      </c>
      <c r="AB41" s="223" t="str">
        <f>IF(AB$3="","",IF(COUNTIFS(BD!$A$3:$A$5001,AB$3,BD!$B$3:$B$5001,$A$24,BD!$AD$3:$AD$5001,"&lt;&gt;")=0,"",SUMIFS(BD!$AD$3:$AD$5001,BD!$A$3:$A$5001,AB$3,BD!$B$3:$B$5001,$A$24)))</f>
        <v/>
      </c>
      <c r="AC41" s="223" t="str">
        <f>IF(AC$3="","",IF(COUNTIFS(BD!$A$3:$A$5001,AC$3,BD!$B$3:$B$5001,$A$24,BD!$AD$3:$AD$5001,"&lt;&gt;")=0,"",SUMIFS(BD!$AD$3:$AD$5001,BD!$A$3:$A$5001,AC$3,BD!$B$3:$B$5001,$A$24)))</f>
        <v/>
      </c>
      <c r="AD41" s="223" t="str">
        <f>IF(AD$3="","",IF(COUNTIFS(BD!$A$3:$A$5001,AD$3,BD!$B$3:$B$5001,$A$24,BD!$AD$3:$AD$5001,"&lt;&gt;")=0,"",SUMIFS(BD!$AD$3:$AD$5001,BD!$A$3:$A$5001,AD$3,BD!$B$3:$B$5001,$A$24)))</f>
        <v/>
      </c>
      <c r="AE41" s="223" t="str">
        <f>IF(AE$3="","",IF(COUNTIFS(BD!$A$3:$A$5001,AE$3,BD!$B$3:$B$5001,$A$24,BD!$AD$3:$AD$5001,"&lt;&gt;")=0,"",SUMIFS(BD!$AD$3:$AD$5001,BD!$A$3:$A$5001,AE$3,BD!$B$3:$B$5001,$A$24)))</f>
        <v/>
      </c>
      <c r="AF41" s="223" t="str">
        <f>IF(AF$3="","",IF(COUNTIFS(BD!$A$3:$A$5001,AF$3,BD!$B$3:$B$5001,$A$24,BD!$AD$3:$AD$5001,"&lt;&gt;")=0,"",SUMIFS(BD!$AD$3:$AD$5001,BD!$A$3:$A$5001,AF$3,BD!$B$3:$B$5001,$A$24)))</f>
        <v/>
      </c>
      <c r="AG41" s="223" t="str">
        <f>IF(AG$3="","",IF(COUNTIFS(BD!$A$3:$A$5001,AG$3,BD!$B$3:$B$5001,$A$24,BD!$AD$3:$AD$5001,"&lt;&gt;")=0,"",SUMIFS(BD!$AD$3:$AD$5001,BD!$A$3:$A$5001,AG$3,BD!$B$3:$B$5001,$A$24)))</f>
        <v/>
      </c>
      <c r="AH41" s="223" t="str">
        <f>IF(AH$3="","",IF(COUNTIFS(BD!$A$3:$A$5001,AH$3,BD!$B$3:$B$5001,$A$24,BD!$AD$3:$AD$5001,"&lt;&gt;")=0,"",SUMIFS(BD!$AD$3:$AD$5001,BD!$A$3:$A$5001,AH$3,BD!$B$3:$B$5001,$A$24)))</f>
        <v/>
      </c>
      <c r="AI41" s="223" t="str">
        <f>IF(AI$3="","",IF(COUNTIFS(BD!$A$3:$A$5001,AI$3,BD!$B$3:$B$5001,$A$24,BD!$AD$3:$AD$5001,"&lt;&gt;")=0,"",SUMIFS(BD!$AD$3:$AD$5001,BD!$A$3:$A$5001,AI$3,BD!$B$3:$B$5001,$A$24)))</f>
        <v/>
      </c>
      <c r="AJ41" s="224" t="str">
        <f>IF(AJ$3="","",IF(COUNTIFS(BD!$A$3:$A$5001,AJ$3,BD!$B$3:$B$5001,$A$24,BD!$AD$3:$AD$5001,"&lt;&gt;")=0,"",SUMIFS(BD!$AD$3:$AD$5001,BD!$A$3:$A$5001,AJ$3,BD!$B$3:$B$5001,$A$24)))</f>
        <v/>
      </c>
      <c r="AK41" s="225" t="str">
        <f>IF(COUNT(F41:AJ41)=0,"",SUM(F41:AJ41))</f>
        <v/>
      </c>
    </row>
    <row r="42" ht="15.75" customHeight="1">
      <c r="A42" s="244"/>
      <c r="B42" s="241"/>
      <c r="C42" s="219" t="inlineStr">
        <is>
          <t xml:space="preserve">Acidentes CAF</t>
        </is>
      </c>
      <c r="D42" s="220" t="str">
        <f>IFERROR(1/(1/INDEX(BD!$AJ$52:$BD$52,MATCH($A$24,BD!$AJ$22:$BD$22,0))),"")</f>
        <v/>
      </c>
      <c r="E42" s="221"/>
      <c r="F42" s="222" t="str">
        <f>IF(F$3="","",IF(COUNTIFS(BD!$A$3:$A$5001,F$3,BD!$B$3:$B$5001,$A$24,BD!$AE$3:$AE$5001,"&lt;&gt;")=0,"",SUMIFS(BD!$AE$3:$AE$5001,BD!$A$3:$A$5001,F$3,BD!$B$3:$B$5001,$A$24)))</f>
        <v/>
      </c>
      <c r="G42" s="223" t="str">
        <f>IF(G$3="","",IF(COUNTIFS(BD!$A$3:$A$5001,G$3,BD!$B$3:$B$5001,$A$24,BD!$AE$3:$AE$5001,"&lt;&gt;")=0,"",SUMIFS(BD!$AE$3:$AE$5001,BD!$A$3:$A$5001,G$3,BD!$B$3:$B$5001,$A$24)))</f>
        <v/>
      </c>
      <c r="H42" s="223" t="str">
        <f>IF(H$3="","",IF(COUNTIFS(BD!$A$3:$A$5001,H$3,BD!$B$3:$B$5001,$A$24,BD!$AE$3:$AE$5001,"&lt;&gt;")=0,"",SUMIFS(BD!$AE$3:$AE$5001,BD!$A$3:$A$5001,H$3,BD!$B$3:$B$5001,$A$24)))</f>
        <v/>
      </c>
      <c r="I42" s="223" t="str">
        <f>IF(I$3="","",IF(COUNTIFS(BD!$A$3:$A$5001,I$3,BD!$B$3:$B$5001,$A$24,BD!$AE$3:$AE$5001,"&lt;&gt;")=0,"",SUMIFS(BD!$AE$3:$AE$5001,BD!$A$3:$A$5001,I$3,BD!$B$3:$B$5001,$A$24)))</f>
        <v/>
      </c>
      <c r="J42" s="223" t="str">
        <f>IF(J$3="","",IF(COUNTIFS(BD!$A$3:$A$5001,J$3,BD!$B$3:$B$5001,$A$24,BD!$AE$3:$AE$5001,"&lt;&gt;")=0,"",SUMIFS(BD!$AE$3:$AE$5001,BD!$A$3:$A$5001,J$3,BD!$B$3:$B$5001,$A$24)))</f>
        <v/>
      </c>
      <c r="K42" s="223" t="str">
        <f>IF(K$3="","",IF(COUNTIFS(BD!$A$3:$A$5001,K$3,BD!$B$3:$B$5001,$A$24,BD!$AE$3:$AE$5001,"&lt;&gt;")=0,"",SUMIFS(BD!$AE$3:$AE$5001,BD!$A$3:$A$5001,K$3,BD!$B$3:$B$5001,$A$24)))</f>
        <v/>
      </c>
      <c r="L42" s="223" t="str">
        <f>IF(L$3="","",IF(COUNTIFS(BD!$A$3:$A$5001,L$3,BD!$B$3:$B$5001,$A$24,BD!$AE$3:$AE$5001,"&lt;&gt;")=0,"",SUMIFS(BD!$AE$3:$AE$5001,BD!$A$3:$A$5001,L$3,BD!$B$3:$B$5001,$A$24)))</f>
        <v/>
      </c>
      <c r="M42" s="223" t="str">
        <f>IF(M$3="","",IF(COUNTIFS(BD!$A$3:$A$5001,M$3,BD!$B$3:$B$5001,$A$24,BD!$AE$3:$AE$5001,"&lt;&gt;")=0,"",SUMIFS(BD!$AE$3:$AE$5001,BD!$A$3:$A$5001,M$3,BD!$B$3:$B$5001,$A$24)))</f>
        <v/>
      </c>
      <c r="N42" s="223" t="str">
        <f>IF(N$3="","",IF(COUNTIFS(BD!$A$3:$A$5001,N$3,BD!$B$3:$B$5001,$A$24,BD!$AE$3:$AE$5001,"&lt;&gt;")=0,"",SUMIFS(BD!$AE$3:$AE$5001,BD!$A$3:$A$5001,N$3,BD!$B$3:$B$5001,$A$24)))</f>
        <v/>
      </c>
      <c r="O42" s="223" t="str">
        <f>IF(O$3="","",IF(COUNTIFS(BD!$A$3:$A$5001,O$3,BD!$B$3:$B$5001,$A$24,BD!$AE$3:$AE$5001,"&lt;&gt;")=0,"",SUMIFS(BD!$AE$3:$AE$5001,BD!$A$3:$A$5001,O$3,BD!$B$3:$B$5001,$A$24)))</f>
        <v/>
      </c>
      <c r="P42" s="223" t="str">
        <f>IF(P$3="","",IF(COUNTIFS(BD!$A$3:$A$5001,P$3,BD!$B$3:$B$5001,$A$24,BD!$AE$3:$AE$5001,"&lt;&gt;")=0,"",SUMIFS(BD!$AE$3:$AE$5001,BD!$A$3:$A$5001,P$3,BD!$B$3:$B$5001,$A$24)))</f>
        <v/>
      </c>
      <c r="Q42" s="223" t="str">
        <f>IF(Q$3="","",IF(COUNTIFS(BD!$A$3:$A$5001,Q$3,BD!$B$3:$B$5001,$A$24,BD!$AE$3:$AE$5001,"&lt;&gt;")=0,"",SUMIFS(BD!$AE$3:$AE$5001,BD!$A$3:$A$5001,Q$3,BD!$B$3:$B$5001,$A$24)))</f>
        <v/>
      </c>
      <c r="R42" s="223" t="str">
        <f>IF(R$3="","",IF(COUNTIFS(BD!$A$3:$A$5001,R$3,BD!$B$3:$B$5001,$A$24,BD!$AE$3:$AE$5001,"&lt;&gt;")=0,"",SUMIFS(BD!$AE$3:$AE$5001,BD!$A$3:$A$5001,R$3,BD!$B$3:$B$5001,$A$24)))</f>
        <v/>
      </c>
      <c r="S42" s="223" t="str">
        <f>IF(S$3="","",IF(COUNTIFS(BD!$A$3:$A$5001,S$3,BD!$B$3:$B$5001,$A$24,BD!$AE$3:$AE$5001,"&lt;&gt;")=0,"",SUMIFS(BD!$AE$3:$AE$5001,BD!$A$3:$A$5001,S$3,BD!$B$3:$B$5001,$A$24)))</f>
        <v/>
      </c>
      <c r="T42" s="223" t="str">
        <f>IF(T$3="","",IF(COUNTIFS(BD!$A$3:$A$5001,T$3,BD!$B$3:$B$5001,$A$24,BD!$AE$3:$AE$5001,"&lt;&gt;")=0,"",SUMIFS(BD!$AE$3:$AE$5001,BD!$A$3:$A$5001,T$3,BD!$B$3:$B$5001,$A$24)))</f>
        <v/>
      </c>
      <c r="U42" s="223" t="str">
        <f>IF(U$3="","",IF(COUNTIFS(BD!$A$3:$A$5001,U$3,BD!$B$3:$B$5001,$A$24,BD!$AE$3:$AE$5001,"&lt;&gt;")=0,"",SUMIFS(BD!$AE$3:$AE$5001,BD!$A$3:$A$5001,U$3,BD!$B$3:$B$5001,$A$24)))</f>
        <v/>
      </c>
      <c r="V42" s="223" t="str">
        <f>IF(V$3="","",IF(COUNTIFS(BD!$A$3:$A$5001,V$3,BD!$B$3:$B$5001,$A$24,BD!$AE$3:$AE$5001,"&lt;&gt;")=0,"",SUMIFS(BD!$AE$3:$AE$5001,BD!$A$3:$A$5001,V$3,BD!$B$3:$B$5001,$A$24)))</f>
        <v/>
      </c>
      <c r="W42" s="223" t="str">
        <f>IF(W$3="","",IF(COUNTIFS(BD!$A$3:$A$5001,W$3,BD!$B$3:$B$5001,$A$24,BD!$AE$3:$AE$5001,"&lt;&gt;")=0,"",SUMIFS(BD!$AE$3:$AE$5001,BD!$A$3:$A$5001,W$3,BD!$B$3:$B$5001,$A$24)))</f>
        <v/>
      </c>
      <c r="X42" s="223" t="str">
        <f>IF(X$3="","",IF(COUNTIFS(BD!$A$3:$A$5001,X$3,BD!$B$3:$B$5001,$A$24,BD!$AE$3:$AE$5001,"&lt;&gt;")=0,"",SUMIFS(BD!$AE$3:$AE$5001,BD!$A$3:$A$5001,X$3,BD!$B$3:$B$5001,$A$24)))</f>
        <v/>
      </c>
      <c r="Y42" s="223" t="str">
        <f>IF(Y$3="","",IF(COUNTIFS(BD!$A$3:$A$5001,Y$3,BD!$B$3:$B$5001,$A$24,BD!$AE$3:$AE$5001,"&lt;&gt;")=0,"",SUMIFS(BD!$AE$3:$AE$5001,BD!$A$3:$A$5001,Y$3,BD!$B$3:$B$5001,$A$24)))</f>
        <v/>
      </c>
      <c r="Z42" s="223" t="str">
        <f>IF(Z$3="","",IF(COUNTIFS(BD!$A$3:$A$5001,Z$3,BD!$B$3:$B$5001,$A$24,BD!$AE$3:$AE$5001,"&lt;&gt;")=0,"",SUMIFS(BD!$AE$3:$AE$5001,BD!$A$3:$A$5001,Z$3,BD!$B$3:$B$5001,$A$24)))</f>
        <v/>
      </c>
      <c r="AA42" s="223" t="str">
        <f>IF(AA$3="","",IF(COUNTIFS(BD!$A$3:$A$5001,AA$3,BD!$B$3:$B$5001,$A$24,BD!$AE$3:$AE$5001,"&lt;&gt;")=0,"",SUMIFS(BD!$AE$3:$AE$5001,BD!$A$3:$A$5001,AA$3,BD!$B$3:$B$5001,$A$24)))</f>
        <v/>
      </c>
      <c r="AB42" s="223" t="str">
        <f>IF(AB$3="","",IF(COUNTIFS(BD!$A$3:$A$5001,AB$3,BD!$B$3:$B$5001,$A$24,BD!$AE$3:$AE$5001,"&lt;&gt;")=0,"",SUMIFS(BD!$AE$3:$AE$5001,BD!$A$3:$A$5001,AB$3,BD!$B$3:$B$5001,$A$24)))</f>
        <v/>
      </c>
      <c r="AC42" s="223" t="str">
        <f>IF(AC$3="","",IF(COUNTIFS(BD!$A$3:$A$5001,AC$3,BD!$B$3:$B$5001,$A$24,BD!$AE$3:$AE$5001,"&lt;&gt;")=0,"",SUMIFS(BD!$AE$3:$AE$5001,BD!$A$3:$A$5001,AC$3,BD!$B$3:$B$5001,$A$24)))</f>
        <v/>
      </c>
      <c r="AD42" s="223" t="str">
        <f>IF(AD$3="","",IF(COUNTIFS(BD!$A$3:$A$5001,AD$3,BD!$B$3:$B$5001,$A$24,BD!$AE$3:$AE$5001,"&lt;&gt;")=0,"",SUMIFS(BD!$AE$3:$AE$5001,BD!$A$3:$A$5001,AD$3,BD!$B$3:$B$5001,$A$24)))</f>
        <v/>
      </c>
      <c r="AE42" s="223" t="str">
        <f>IF(AE$3="","",IF(COUNTIFS(BD!$A$3:$A$5001,AE$3,BD!$B$3:$B$5001,$A$24,BD!$AE$3:$AE$5001,"&lt;&gt;")=0,"",SUMIFS(BD!$AE$3:$AE$5001,BD!$A$3:$A$5001,AE$3,BD!$B$3:$B$5001,$A$24)))</f>
        <v/>
      </c>
      <c r="AF42" s="223" t="str">
        <f>IF(AF$3="","",IF(COUNTIFS(BD!$A$3:$A$5001,AF$3,BD!$B$3:$B$5001,$A$24,BD!$AE$3:$AE$5001,"&lt;&gt;")=0,"",SUMIFS(BD!$AE$3:$AE$5001,BD!$A$3:$A$5001,AF$3,BD!$B$3:$B$5001,$A$24)))</f>
        <v/>
      </c>
      <c r="AG42" s="223" t="str">
        <f>IF(AG$3="","",IF(COUNTIFS(BD!$A$3:$A$5001,AG$3,BD!$B$3:$B$5001,$A$24,BD!$AE$3:$AE$5001,"&lt;&gt;")=0,"",SUMIFS(BD!$AE$3:$AE$5001,BD!$A$3:$A$5001,AG$3,BD!$B$3:$B$5001,$A$24)))</f>
        <v/>
      </c>
      <c r="AH42" s="223" t="str">
        <f>IF(AH$3="","",IF(COUNTIFS(BD!$A$3:$A$5001,AH$3,BD!$B$3:$B$5001,$A$24,BD!$AE$3:$AE$5001,"&lt;&gt;")=0,"",SUMIFS(BD!$AE$3:$AE$5001,BD!$A$3:$A$5001,AH$3,BD!$B$3:$B$5001,$A$24)))</f>
        <v/>
      </c>
      <c r="AI42" s="223" t="str">
        <f>IF(AI$3="","",IF(COUNTIFS(BD!$A$3:$A$5001,AI$3,BD!$B$3:$B$5001,$A$24,BD!$AE$3:$AE$5001,"&lt;&gt;")=0,"",SUMIFS(BD!$AE$3:$AE$5001,BD!$A$3:$A$5001,AI$3,BD!$B$3:$B$5001,$A$24)))</f>
        <v/>
      </c>
      <c r="AJ42" s="224" t="str">
        <f>IF(AJ$3="","",IF(COUNTIFS(BD!$A$3:$A$5001,AJ$3,BD!$B$3:$B$5001,$A$24,BD!$AE$3:$AE$5001,"&lt;&gt;")=0,"",SUMIFS(BD!$AE$3:$AE$5001,BD!$A$3:$A$5001,AJ$3,BD!$B$3:$B$5001,$A$24)))</f>
        <v/>
      </c>
      <c r="AK42" s="225" t="str">
        <f>IF(COUNT(F42:AJ42)=0,"",SUM(F42:AJ42))</f>
        <v/>
      </c>
    </row>
    <row r="43" ht="15.75" customHeight="1">
      <c r="A43" s="245"/>
      <c r="B43" s="242"/>
      <c r="C43" s="226" t="inlineStr">
        <is>
          <t xml:space="preserve">Acidentes SAF</t>
        </is>
      </c>
      <c r="D43" s="227" t="str">
        <f>IFERROR(1/(1/INDEX(BD!$AJ$53:$BD$53,MATCH($A$24,BD!$AJ$22:$BD$22,0))),"")</f>
        <v/>
      </c>
      <c r="E43" s="228"/>
      <c r="F43" s="229" t="str">
        <f>IF(F$3="","",IF(COUNTIFS(BD!$A$3:$A$5001,F$3,BD!$B$3:$B$5001,$A$24,BD!$AF$3:$AF$5001,"&lt;&gt;")=0,"",SUMIFS(BD!$AF$3:$AF$5001,BD!$A$3:$A$5001,F$3,BD!$B$3:$B$5001,$A$24)))</f>
        <v/>
      </c>
      <c r="G43" s="230" t="str">
        <f>IF(G$3="","",IF(COUNTIFS(BD!$A$3:$A$5001,G$3,BD!$B$3:$B$5001,$A$24,BD!$AF$3:$AF$5001,"&lt;&gt;")=0,"",SUMIFS(BD!$AF$3:$AF$5001,BD!$A$3:$A$5001,G$3,BD!$B$3:$B$5001,$A$24)))</f>
        <v/>
      </c>
      <c r="H43" s="230" t="str">
        <f>IF(H$3="","",IF(COUNTIFS(BD!$A$3:$A$5001,H$3,BD!$B$3:$B$5001,$A$24,BD!$AF$3:$AF$5001,"&lt;&gt;")=0,"",SUMIFS(BD!$AF$3:$AF$5001,BD!$A$3:$A$5001,H$3,BD!$B$3:$B$5001,$A$24)))</f>
        <v/>
      </c>
      <c r="I43" s="230" t="str">
        <f>IF(I$3="","",IF(COUNTIFS(BD!$A$3:$A$5001,I$3,BD!$B$3:$B$5001,$A$24,BD!$AF$3:$AF$5001,"&lt;&gt;")=0,"",SUMIFS(BD!$AF$3:$AF$5001,BD!$A$3:$A$5001,I$3,BD!$B$3:$B$5001,$A$24)))</f>
        <v/>
      </c>
      <c r="J43" s="230" t="str">
        <f>IF(J$3="","",IF(COUNTIFS(BD!$A$3:$A$5001,J$3,BD!$B$3:$B$5001,$A$24,BD!$AF$3:$AF$5001,"&lt;&gt;")=0,"",SUMIFS(BD!$AF$3:$AF$5001,BD!$A$3:$A$5001,J$3,BD!$B$3:$B$5001,$A$24)))</f>
        <v/>
      </c>
      <c r="K43" s="230" t="str">
        <f>IF(K$3="","",IF(COUNTIFS(BD!$A$3:$A$5001,K$3,BD!$B$3:$B$5001,$A$24,BD!$AF$3:$AF$5001,"&lt;&gt;")=0,"",SUMIFS(BD!$AF$3:$AF$5001,BD!$A$3:$A$5001,K$3,BD!$B$3:$B$5001,$A$24)))</f>
        <v/>
      </c>
      <c r="L43" s="230" t="str">
        <f>IF(L$3="","",IF(COUNTIFS(BD!$A$3:$A$5001,L$3,BD!$B$3:$B$5001,$A$24,BD!$AF$3:$AF$5001,"&lt;&gt;")=0,"",SUMIFS(BD!$AF$3:$AF$5001,BD!$A$3:$A$5001,L$3,BD!$B$3:$B$5001,$A$24)))</f>
        <v/>
      </c>
      <c r="M43" s="230" t="str">
        <f>IF(M$3="","",IF(COUNTIFS(BD!$A$3:$A$5001,M$3,BD!$B$3:$B$5001,$A$24,BD!$AF$3:$AF$5001,"&lt;&gt;")=0,"",SUMIFS(BD!$AF$3:$AF$5001,BD!$A$3:$A$5001,M$3,BD!$B$3:$B$5001,$A$24)))</f>
        <v/>
      </c>
      <c r="N43" s="230" t="str">
        <f>IF(N$3="","",IF(COUNTIFS(BD!$A$3:$A$5001,N$3,BD!$B$3:$B$5001,$A$24,BD!$AF$3:$AF$5001,"&lt;&gt;")=0,"",SUMIFS(BD!$AF$3:$AF$5001,BD!$A$3:$A$5001,N$3,BD!$B$3:$B$5001,$A$24)))</f>
        <v/>
      </c>
      <c r="O43" s="230" t="str">
        <f>IF(O$3="","",IF(COUNTIFS(BD!$A$3:$A$5001,O$3,BD!$B$3:$B$5001,$A$24,BD!$AF$3:$AF$5001,"&lt;&gt;")=0,"",SUMIFS(BD!$AF$3:$AF$5001,BD!$A$3:$A$5001,O$3,BD!$B$3:$B$5001,$A$24)))</f>
        <v/>
      </c>
      <c r="P43" s="230" t="str">
        <f>IF(P$3="","",IF(COUNTIFS(BD!$A$3:$A$5001,P$3,BD!$B$3:$B$5001,$A$24,BD!$AF$3:$AF$5001,"&lt;&gt;")=0,"",SUMIFS(BD!$AF$3:$AF$5001,BD!$A$3:$A$5001,P$3,BD!$B$3:$B$5001,$A$24)))</f>
        <v/>
      </c>
      <c r="Q43" s="230" t="str">
        <f>IF(Q$3="","",IF(COUNTIFS(BD!$A$3:$A$5001,Q$3,BD!$B$3:$B$5001,$A$24,BD!$AF$3:$AF$5001,"&lt;&gt;")=0,"",SUMIFS(BD!$AF$3:$AF$5001,BD!$A$3:$A$5001,Q$3,BD!$B$3:$B$5001,$A$24)))</f>
        <v/>
      </c>
      <c r="R43" s="230" t="str">
        <f>IF(R$3="","",IF(COUNTIFS(BD!$A$3:$A$5001,R$3,BD!$B$3:$B$5001,$A$24,BD!$AF$3:$AF$5001,"&lt;&gt;")=0,"",SUMIFS(BD!$AF$3:$AF$5001,BD!$A$3:$A$5001,R$3,BD!$B$3:$B$5001,$A$24)))</f>
        <v/>
      </c>
      <c r="S43" s="230" t="str">
        <f>IF(S$3="","",IF(COUNTIFS(BD!$A$3:$A$5001,S$3,BD!$B$3:$B$5001,$A$24,BD!$AF$3:$AF$5001,"&lt;&gt;")=0,"",SUMIFS(BD!$AF$3:$AF$5001,BD!$A$3:$A$5001,S$3,BD!$B$3:$B$5001,$A$24)))</f>
        <v/>
      </c>
      <c r="T43" s="230" t="str">
        <f>IF(T$3="","",IF(COUNTIFS(BD!$A$3:$A$5001,T$3,BD!$B$3:$B$5001,$A$24,BD!$AF$3:$AF$5001,"&lt;&gt;")=0,"",SUMIFS(BD!$AF$3:$AF$5001,BD!$A$3:$A$5001,T$3,BD!$B$3:$B$5001,$A$24)))</f>
        <v/>
      </c>
      <c r="U43" s="230" t="str">
        <f>IF(U$3="","",IF(COUNTIFS(BD!$A$3:$A$5001,U$3,BD!$B$3:$B$5001,$A$24,BD!$AF$3:$AF$5001,"&lt;&gt;")=0,"",SUMIFS(BD!$AF$3:$AF$5001,BD!$A$3:$A$5001,U$3,BD!$B$3:$B$5001,$A$24)))</f>
        <v/>
      </c>
      <c r="V43" s="230" t="str">
        <f>IF(V$3="","",IF(COUNTIFS(BD!$A$3:$A$5001,V$3,BD!$B$3:$B$5001,$A$24,BD!$AF$3:$AF$5001,"&lt;&gt;")=0,"",SUMIFS(BD!$AF$3:$AF$5001,BD!$A$3:$A$5001,V$3,BD!$B$3:$B$5001,$A$24)))</f>
        <v/>
      </c>
      <c r="W43" s="230" t="str">
        <f>IF(W$3="","",IF(COUNTIFS(BD!$A$3:$A$5001,W$3,BD!$B$3:$B$5001,$A$24,BD!$AF$3:$AF$5001,"&lt;&gt;")=0,"",SUMIFS(BD!$AF$3:$AF$5001,BD!$A$3:$A$5001,W$3,BD!$B$3:$B$5001,$A$24)))</f>
        <v/>
      </c>
      <c r="X43" s="230" t="str">
        <f>IF(X$3="","",IF(COUNTIFS(BD!$A$3:$A$5001,X$3,BD!$B$3:$B$5001,$A$24,BD!$AF$3:$AF$5001,"&lt;&gt;")=0,"",SUMIFS(BD!$AF$3:$AF$5001,BD!$A$3:$A$5001,X$3,BD!$B$3:$B$5001,$A$24)))</f>
        <v/>
      </c>
      <c r="Y43" s="230" t="str">
        <f>IF(Y$3="","",IF(COUNTIFS(BD!$A$3:$A$5001,Y$3,BD!$B$3:$B$5001,$A$24,BD!$AF$3:$AF$5001,"&lt;&gt;")=0,"",SUMIFS(BD!$AF$3:$AF$5001,BD!$A$3:$A$5001,Y$3,BD!$B$3:$B$5001,$A$24)))</f>
        <v/>
      </c>
      <c r="Z43" s="230" t="str">
        <f>IF(Z$3="","",IF(COUNTIFS(BD!$A$3:$A$5001,Z$3,BD!$B$3:$B$5001,$A$24,BD!$AF$3:$AF$5001,"&lt;&gt;")=0,"",SUMIFS(BD!$AF$3:$AF$5001,BD!$A$3:$A$5001,Z$3,BD!$B$3:$B$5001,$A$24)))</f>
        <v/>
      </c>
      <c r="AA43" s="230" t="str">
        <f>IF(AA$3="","",IF(COUNTIFS(BD!$A$3:$A$5001,AA$3,BD!$B$3:$B$5001,$A$24,BD!$AF$3:$AF$5001,"&lt;&gt;")=0,"",SUMIFS(BD!$AF$3:$AF$5001,BD!$A$3:$A$5001,AA$3,BD!$B$3:$B$5001,$A$24)))</f>
        <v/>
      </c>
      <c r="AB43" s="230" t="str">
        <f>IF(AB$3="","",IF(COUNTIFS(BD!$A$3:$A$5001,AB$3,BD!$B$3:$B$5001,$A$24,BD!$AF$3:$AF$5001,"&lt;&gt;")=0,"",SUMIFS(BD!$AF$3:$AF$5001,BD!$A$3:$A$5001,AB$3,BD!$B$3:$B$5001,$A$24)))</f>
        <v/>
      </c>
      <c r="AC43" s="230" t="str">
        <f>IF(AC$3="","",IF(COUNTIFS(BD!$A$3:$A$5001,AC$3,BD!$B$3:$B$5001,$A$24,BD!$AF$3:$AF$5001,"&lt;&gt;")=0,"",SUMIFS(BD!$AF$3:$AF$5001,BD!$A$3:$A$5001,AC$3,BD!$B$3:$B$5001,$A$24)))</f>
        <v/>
      </c>
      <c r="AD43" s="230" t="str">
        <f>IF(AD$3="","",IF(COUNTIFS(BD!$A$3:$A$5001,AD$3,BD!$B$3:$B$5001,$A$24,BD!$AF$3:$AF$5001,"&lt;&gt;")=0,"",SUMIFS(BD!$AF$3:$AF$5001,BD!$A$3:$A$5001,AD$3,BD!$B$3:$B$5001,$A$24)))</f>
        <v/>
      </c>
      <c r="AE43" s="230" t="str">
        <f>IF(AE$3="","",IF(COUNTIFS(BD!$A$3:$A$5001,AE$3,BD!$B$3:$B$5001,$A$24,BD!$AF$3:$AF$5001,"&lt;&gt;")=0,"",SUMIFS(BD!$AF$3:$AF$5001,BD!$A$3:$A$5001,AE$3,BD!$B$3:$B$5001,$A$24)))</f>
        <v/>
      </c>
      <c r="AF43" s="230" t="str">
        <f>IF(AF$3="","",IF(COUNTIFS(BD!$A$3:$A$5001,AF$3,BD!$B$3:$B$5001,$A$24,BD!$AF$3:$AF$5001,"&lt;&gt;")=0,"",SUMIFS(BD!$AF$3:$AF$5001,BD!$A$3:$A$5001,AF$3,BD!$B$3:$B$5001,$A$24)))</f>
        <v/>
      </c>
      <c r="AG43" s="230" t="str">
        <f>IF(AG$3="","",IF(COUNTIFS(BD!$A$3:$A$5001,AG$3,BD!$B$3:$B$5001,$A$24,BD!$AF$3:$AF$5001,"&lt;&gt;")=0,"",SUMIFS(BD!$AF$3:$AF$5001,BD!$A$3:$A$5001,AG$3,BD!$B$3:$B$5001,$A$24)))</f>
        <v/>
      </c>
      <c r="AH43" s="230" t="str">
        <f>IF(AH$3="","",IF(COUNTIFS(BD!$A$3:$A$5001,AH$3,BD!$B$3:$B$5001,$A$24,BD!$AF$3:$AF$5001,"&lt;&gt;")=0,"",SUMIFS(BD!$AF$3:$AF$5001,BD!$A$3:$A$5001,AH$3,BD!$B$3:$B$5001,$A$24)))</f>
        <v/>
      </c>
      <c r="AI43" s="230" t="str">
        <f>IF(AI$3="","",IF(COUNTIFS(BD!$A$3:$A$5001,AI$3,BD!$B$3:$B$5001,$A$24,BD!$AF$3:$AF$5001,"&lt;&gt;")=0,"",SUMIFS(BD!$AF$3:$AF$5001,BD!$A$3:$A$5001,AI$3,BD!$B$3:$B$5001,$A$24)))</f>
        <v/>
      </c>
      <c r="AJ43" s="231" t="str">
        <f>IF(AJ$3="","",IF(COUNTIFS(BD!$A$3:$A$5001,AJ$3,BD!$B$3:$B$5001,$A$24,BD!$AF$3:$AF$5001,"&lt;&gt;")=0,"",SUMIFS(BD!$AF$3:$AF$5001,BD!$A$3:$A$5001,AJ$3,BD!$B$3:$B$5001,$A$24)))</f>
        <v/>
      </c>
      <c r="AK43" s="227" t="str">
        <f>IF(COUNT(F43:AJ43)=0,"",SUM(F43:AJ43))</f>
        <v/>
      </c>
    </row>
    <row r="45" ht="15.75" customHeight="1">
      <c r="A45" s="243" t="inlineStr">
        <is>
          <t xml:space="preserve">Beautybiz</t>
        </is>
      </c>
      <c r="B45" s="232" t="inlineStr">
        <is>
          <t xml:space="preserve">IN</t>
        </is>
      </c>
      <c r="C45" s="155" t="inlineStr">
        <is>
          <t xml:space="preserve">Veículos Recebidos</t>
        </is>
      </c>
      <c r="D45" s="156" t="str">
        <f>IFERROR(1/(1/INDEX(BD!$AJ$23:$BD$23,MATCH($A$45,BD!$AJ$22:$BD$22,0))),"")</f>
        <v/>
      </c>
      <c r="E45" s="157"/>
      <c r="F45" s="158" t="str">
        <f>IF(F$3="","",IF(COUNTIFS(BD!$A$3:$A$5001,F$3,BD!$B$3:$B$5001,$A$45,BD!$C$3:$C$5001,"&lt;&gt;")=0,"",SUMIFS(BD!$C$3:$C$5001,BD!$A$3:$A$5001,F$3,BD!$B$3:$B$5001,$A$45)))</f>
        <v/>
      </c>
      <c r="G45" s="159" t="str">
        <f>IF(G$3="","",IF(COUNTIFS(BD!$A$3:$A$5001,G$3,BD!$B$3:$B$5001,$A$45,BD!$C$3:$C$5001,"&lt;&gt;")=0,"",SUMIFS(BD!$C$3:$C$5001,BD!$A$3:$A$5001,G$3,BD!$B$3:$B$5001,$A$45)))</f>
        <v/>
      </c>
      <c r="H45" s="159" t="str">
        <f>IF(H$3="","",IF(COUNTIFS(BD!$A$3:$A$5001,H$3,BD!$B$3:$B$5001,$A$45,BD!$C$3:$C$5001,"&lt;&gt;")=0,"",SUMIFS(BD!$C$3:$C$5001,BD!$A$3:$A$5001,H$3,BD!$B$3:$B$5001,$A$45)))</f>
        <v/>
      </c>
      <c r="I45" s="159" t="str">
        <f>IF(I$3="","",IF(COUNTIFS(BD!$A$3:$A$5001,I$3,BD!$B$3:$B$5001,$A$45,BD!$C$3:$C$5001,"&lt;&gt;")=0,"",SUMIFS(BD!$C$3:$C$5001,BD!$A$3:$A$5001,I$3,BD!$B$3:$B$5001,$A$45)))</f>
        <v/>
      </c>
      <c r="J45" s="159" t="str">
        <f>IF(J$3="","",IF(COUNTIFS(BD!$A$3:$A$5001,J$3,BD!$B$3:$B$5001,$A$45,BD!$C$3:$C$5001,"&lt;&gt;")=0,"",SUMIFS(BD!$C$3:$C$5001,BD!$A$3:$A$5001,J$3,BD!$B$3:$B$5001,$A$45)))</f>
        <v/>
      </c>
      <c r="K45" s="159" t="str">
        <f>IF(K$3="","",IF(COUNTIFS(BD!$A$3:$A$5001,K$3,BD!$B$3:$B$5001,$A$45,BD!$C$3:$C$5001,"&lt;&gt;")=0,"",SUMIFS(BD!$C$3:$C$5001,BD!$A$3:$A$5001,K$3,BD!$B$3:$B$5001,$A$45)))</f>
        <v/>
      </c>
      <c r="L45" s="159" t="str">
        <f>IF(L$3="","",IF(COUNTIFS(BD!$A$3:$A$5001,L$3,BD!$B$3:$B$5001,$A$45,BD!$C$3:$C$5001,"&lt;&gt;")=0,"",SUMIFS(BD!$C$3:$C$5001,BD!$A$3:$A$5001,L$3,BD!$B$3:$B$5001,$A$45)))</f>
        <v/>
      </c>
      <c r="M45" s="159" t="str">
        <f>IF(M$3="","",IF(COUNTIFS(BD!$A$3:$A$5001,M$3,BD!$B$3:$B$5001,$A$45,BD!$C$3:$C$5001,"&lt;&gt;")=0,"",SUMIFS(BD!$C$3:$C$5001,BD!$A$3:$A$5001,M$3,BD!$B$3:$B$5001,$A$45)))</f>
        <v/>
      </c>
      <c r="N45" s="159" t="str">
        <f>IF(N$3="","",IF(COUNTIFS(BD!$A$3:$A$5001,N$3,BD!$B$3:$B$5001,$A$45,BD!$C$3:$C$5001,"&lt;&gt;")=0,"",SUMIFS(BD!$C$3:$C$5001,BD!$A$3:$A$5001,N$3,BD!$B$3:$B$5001,$A$45)))</f>
        <v/>
      </c>
      <c r="O45" s="159" t="str">
        <f>IF(O$3="","",IF(COUNTIFS(BD!$A$3:$A$5001,O$3,BD!$B$3:$B$5001,$A$45,BD!$C$3:$C$5001,"&lt;&gt;")=0,"",SUMIFS(BD!$C$3:$C$5001,BD!$A$3:$A$5001,O$3,BD!$B$3:$B$5001,$A$45)))</f>
        <v/>
      </c>
      <c r="P45" s="159" t="str">
        <f>IF(P$3="","",IF(COUNTIFS(BD!$A$3:$A$5001,P$3,BD!$B$3:$B$5001,$A$45,BD!$C$3:$C$5001,"&lt;&gt;")=0,"",SUMIFS(BD!$C$3:$C$5001,BD!$A$3:$A$5001,P$3,BD!$B$3:$B$5001,$A$45)))</f>
        <v/>
      </c>
      <c r="Q45" s="159" t="str">
        <f>IF(Q$3="","",IF(COUNTIFS(BD!$A$3:$A$5001,Q$3,BD!$B$3:$B$5001,$A$45,BD!$C$3:$C$5001,"&lt;&gt;")=0,"",SUMIFS(BD!$C$3:$C$5001,BD!$A$3:$A$5001,Q$3,BD!$B$3:$B$5001,$A$45)))</f>
        <v/>
      </c>
      <c r="R45" s="159" t="str">
        <f>IF(R$3="","",IF(COUNTIFS(BD!$A$3:$A$5001,R$3,BD!$B$3:$B$5001,$A$45,BD!$C$3:$C$5001,"&lt;&gt;")=0,"",SUMIFS(BD!$C$3:$C$5001,BD!$A$3:$A$5001,R$3,BD!$B$3:$B$5001,$A$45)))</f>
        <v/>
      </c>
      <c r="S45" s="159" t="str">
        <f>IF(S$3="","",IF(COUNTIFS(BD!$A$3:$A$5001,S$3,BD!$B$3:$B$5001,$A$45,BD!$C$3:$C$5001,"&lt;&gt;")=0,"",SUMIFS(BD!$C$3:$C$5001,BD!$A$3:$A$5001,S$3,BD!$B$3:$B$5001,$A$45)))</f>
        <v/>
      </c>
      <c r="T45" s="159" t="str">
        <f>IF(T$3="","",IF(COUNTIFS(BD!$A$3:$A$5001,T$3,BD!$B$3:$B$5001,$A$45,BD!$C$3:$C$5001,"&lt;&gt;")=0,"",SUMIFS(BD!$C$3:$C$5001,BD!$A$3:$A$5001,T$3,BD!$B$3:$B$5001,$A$45)))</f>
        <v/>
      </c>
      <c r="U45" s="159" t="str">
        <f>IF(U$3="","",IF(COUNTIFS(BD!$A$3:$A$5001,U$3,BD!$B$3:$B$5001,$A$45,BD!$C$3:$C$5001,"&lt;&gt;")=0,"",SUMIFS(BD!$C$3:$C$5001,BD!$A$3:$A$5001,U$3,BD!$B$3:$B$5001,$A$45)))</f>
        <v/>
      </c>
      <c r="V45" s="159" t="str">
        <f>IF(V$3="","",IF(COUNTIFS(BD!$A$3:$A$5001,V$3,BD!$B$3:$B$5001,$A$45,BD!$C$3:$C$5001,"&lt;&gt;")=0,"",SUMIFS(BD!$C$3:$C$5001,BD!$A$3:$A$5001,V$3,BD!$B$3:$B$5001,$A$45)))</f>
        <v/>
      </c>
      <c r="W45" s="159" t="str">
        <f>IF(W$3="","",IF(COUNTIFS(BD!$A$3:$A$5001,W$3,BD!$B$3:$B$5001,$A$45,BD!$C$3:$C$5001,"&lt;&gt;")=0,"",SUMIFS(BD!$C$3:$C$5001,BD!$A$3:$A$5001,W$3,BD!$B$3:$B$5001,$A$45)))</f>
        <v/>
      </c>
      <c r="X45" s="159" t="str">
        <f>IF(X$3="","",IF(COUNTIFS(BD!$A$3:$A$5001,X$3,BD!$B$3:$B$5001,$A$45,BD!$C$3:$C$5001,"&lt;&gt;")=0,"",SUMIFS(BD!$C$3:$C$5001,BD!$A$3:$A$5001,X$3,BD!$B$3:$B$5001,$A$45)))</f>
        <v/>
      </c>
      <c r="Y45" s="159" t="str">
        <f>IF(Y$3="","",IF(COUNTIFS(BD!$A$3:$A$5001,Y$3,BD!$B$3:$B$5001,$A$45,BD!$C$3:$C$5001,"&lt;&gt;")=0,"",SUMIFS(BD!$C$3:$C$5001,BD!$A$3:$A$5001,Y$3,BD!$B$3:$B$5001,$A$45)))</f>
        <v/>
      </c>
      <c r="Z45" s="159" t="str">
        <f>IF(Z$3="","",IF(COUNTIFS(BD!$A$3:$A$5001,Z$3,BD!$B$3:$B$5001,$A$45,BD!$C$3:$C$5001,"&lt;&gt;")=0,"",SUMIFS(BD!$C$3:$C$5001,BD!$A$3:$A$5001,Z$3,BD!$B$3:$B$5001,$A$45)))</f>
        <v/>
      </c>
      <c r="AA45" s="159" t="str">
        <f>IF(AA$3="","",IF(COUNTIFS(BD!$A$3:$A$5001,AA$3,BD!$B$3:$B$5001,$A$45,BD!$C$3:$C$5001,"&lt;&gt;")=0,"",SUMIFS(BD!$C$3:$C$5001,BD!$A$3:$A$5001,AA$3,BD!$B$3:$B$5001,$A$45)))</f>
        <v/>
      </c>
      <c r="AB45" s="159" t="str">
        <f>IF(AB$3="","",IF(COUNTIFS(BD!$A$3:$A$5001,AB$3,BD!$B$3:$B$5001,$A$45,BD!$C$3:$C$5001,"&lt;&gt;")=0,"",SUMIFS(BD!$C$3:$C$5001,BD!$A$3:$A$5001,AB$3,BD!$B$3:$B$5001,$A$45)))</f>
        <v/>
      </c>
      <c r="AC45" s="159" t="str">
        <f>IF(AC$3="","",IF(COUNTIFS(BD!$A$3:$A$5001,AC$3,BD!$B$3:$B$5001,$A$45,BD!$C$3:$C$5001,"&lt;&gt;")=0,"",SUMIFS(BD!$C$3:$C$5001,BD!$A$3:$A$5001,AC$3,BD!$B$3:$B$5001,$A$45)))</f>
        <v/>
      </c>
      <c r="AD45" s="159" t="str">
        <f>IF(AD$3="","",IF(COUNTIFS(BD!$A$3:$A$5001,AD$3,BD!$B$3:$B$5001,$A$45,BD!$C$3:$C$5001,"&lt;&gt;")=0,"",SUMIFS(BD!$C$3:$C$5001,BD!$A$3:$A$5001,AD$3,BD!$B$3:$B$5001,$A$45)))</f>
        <v/>
      </c>
      <c r="AE45" s="159" t="str">
        <f>IF(AE$3="","",IF(COUNTIFS(BD!$A$3:$A$5001,AE$3,BD!$B$3:$B$5001,$A$45,BD!$C$3:$C$5001,"&lt;&gt;")=0,"",SUMIFS(BD!$C$3:$C$5001,BD!$A$3:$A$5001,AE$3,BD!$B$3:$B$5001,$A$45)))</f>
        <v/>
      </c>
      <c r="AF45" s="159" t="str">
        <f>IF(AF$3="","",IF(COUNTIFS(BD!$A$3:$A$5001,AF$3,BD!$B$3:$B$5001,$A$45,BD!$C$3:$C$5001,"&lt;&gt;")=0,"",SUMIFS(BD!$C$3:$C$5001,BD!$A$3:$A$5001,AF$3,BD!$B$3:$B$5001,$A$45)))</f>
        <v/>
      </c>
      <c r="AG45" s="159" t="str">
        <f>IF(AG$3="","",IF(COUNTIFS(BD!$A$3:$A$5001,AG$3,BD!$B$3:$B$5001,$A$45,BD!$C$3:$C$5001,"&lt;&gt;")=0,"",SUMIFS(BD!$C$3:$C$5001,BD!$A$3:$A$5001,AG$3,BD!$B$3:$B$5001,$A$45)))</f>
        <v/>
      </c>
      <c r="AH45" s="159" t="str">
        <f>IF(AH$3="","",IF(COUNTIFS(BD!$A$3:$A$5001,AH$3,BD!$B$3:$B$5001,$A$45,BD!$C$3:$C$5001,"&lt;&gt;")=0,"",SUMIFS(BD!$C$3:$C$5001,BD!$A$3:$A$5001,AH$3,BD!$B$3:$B$5001,$A$45)))</f>
        <v/>
      </c>
      <c r="AI45" s="159" t="str">
        <f>IF(AI$3="","",IF(COUNTIFS(BD!$A$3:$A$5001,AI$3,BD!$B$3:$B$5001,$A$45,BD!$C$3:$C$5001,"&lt;&gt;")=0,"",SUMIFS(BD!$C$3:$C$5001,BD!$A$3:$A$5001,AI$3,BD!$B$3:$B$5001,$A$45)))</f>
        <v/>
      </c>
      <c r="AJ45" s="160" t="str">
        <f>IF(AJ$3="","",IF(COUNTIFS(BD!$A$3:$A$5001,AJ$3,BD!$B$3:$B$5001,$A$45,BD!$C$3:$C$5001,"&lt;&gt;")=0,"",SUMIFS(BD!$C$3:$C$5001,BD!$A$3:$A$5001,AJ$3,BD!$B$3:$B$5001,$A$45)))</f>
        <v/>
      </c>
      <c r="AK45" s="161" t="str">
        <f>IF(COUNT(F45:AJ45)=0,"",SUM(F45:AJ45))</f>
        <v/>
      </c>
    </row>
    <row r="46" ht="15.75" customHeight="1">
      <c r="A46" s="244"/>
      <c r="B46" s="239"/>
      <c r="C46" s="201" t="inlineStr">
        <is>
          <t xml:space="preserve">Pallets Movimentados</t>
        </is>
      </c>
      <c r="D46" s="202" t="str">
        <f>IFERROR(1/(1/INDEX(BD!$AJ$24:$BD$24,MATCH($A$45,BD!$AJ$22:$BD$22,0))),"")</f>
        <v/>
      </c>
      <c r="E46" s="203"/>
      <c r="F46" s="204" t="str">
        <f>IF(F$3="","",IF(COUNTIFS(BD!$A$3:$A$5001,F$3,BD!$B$3:$B$5001,$A$45,BD!$D$3:$D$5001,"&lt;&gt;")=0,"",SUMIFS(BD!$D$3:$D$5001,BD!$A$3:$A$5001,F$3,BD!$B$3:$B$5001,$A$45)))</f>
        <v/>
      </c>
      <c r="G46" s="205" t="str">
        <f>IF(G$3="","",IF(COUNTIFS(BD!$A$3:$A$5001,G$3,BD!$B$3:$B$5001,$A$45,BD!$D$3:$D$5001,"&lt;&gt;")=0,"",SUMIFS(BD!$D$3:$D$5001,BD!$A$3:$A$5001,G$3,BD!$B$3:$B$5001,$A$45)))</f>
        <v/>
      </c>
      <c r="H46" s="205" t="str">
        <f>IF(H$3="","",IF(COUNTIFS(BD!$A$3:$A$5001,H$3,BD!$B$3:$B$5001,$A$45,BD!$D$3:$D$5001,"&lt;&gt;")=0,"",SUMIFS(BD!$D$3:$D$5001,BD!$A$3:$A$5001,H$3,BD!$B$3:$B$5001,$A$45)))</f>
        <v/>
      </c>
      <c r="I46" s="205" t="str">
        <f>IF(I$3="","",IF(COUNTIFS(BD!$A$3:$A$5001,I$3,BD!$B$3:$B$5001,$A$45,BD!$D$3:$D$5001,"&lt;&gt;")=0,"",SUMIFS(BD!$D$3:$D$5001,BD!$A$3:$A$5001,I$3,BD!$B$3:$B$5001,$A$45)))</f>
        <v/>
      </c>
      <c r="J46" s="205" t="str">
        <f>IF(J$3="","",IF(COUNTIFS(BD!$A$3:$A$5001,J$3,BD!$B$3:$B$5001,$A$45,BD!$D$3:$D$5001,"&lt;&gt;")=0,"",SUMIFS(BD!$D$3:$D$5001,BD!$A$3:$A$5001,J$3,BD!$B$3:$B$5001,$A$45)))</f>
        <v/>
      </c>
      <c r="K46" s="205" t="str">
        <f>IF(K$3="","",IF(COUNTIFS(BD!$A$3:$A$5001,K$3,BD!$B$3:$B$5001,$A$45,BD!$D$3:$D$5001,"&lt;&gt;")=0,"",SUMIFS(BD!$D$3:$D$5001,BD!$A$3:$A$5001,K$3,BD!$B$3:$B$5001,$A$45)))</f>
        <v/>
      </c>
      <c r="L46" s="205" t="str">
        <f>IF(L$3="","",IF(COUNTIFS(BD!$A$3:$A$5001,L$3,BD!$B$3:$B$5001,$A$45,BD!$D$3:$D$5001,"&lt;&gt;")=0,"",SUMIFS(BD!$D$3:$D$5001,BD!$A$3:$A$5001,L$3,BD!$B$3:$B$5001,$A$45)))</f>
        <v/>
      </c>
      <c r="M46" s="205" t="str">
        <f>IF(M$3="","",IF(COUNTIFS(BD!$A$3:$A$5001,M$3,BD!$B$3:$B$5001,$A$45,BD!$D$3:$D$5001,"&lt;&gt;")=0,"",SUMIFS(BD!$D$3:$D$5001,BD!$A$3:$A$5001,M$3,BD!$B$3:$B$5001,$A$45)))</f>
        <v/>
      </c>
      <c r="N46" s="205" t="str">
        <f>IF(N$3="","",IF(COUNTIFS(BD!$A$3:$A$5001,N$3,BD!$B$3:$B$5001,$A$45,BD!$D$3:$D$5001,"&lt;&gt;")=0,"",SUMIFS(BD!$D$3:$D$5001,BD!$A$3:$A$5001,N$3,BD!$B$3:$B$5001,$A$45)))</f>
        <v/>
      </c>
      <c r="O46" s="205" t="str">
        <f>IF(O$3="","",IF(COUNTIFS(BD!$A$3:$A$5001,O$3,BD!$B$3:$B$5001,$A$45,BD!$D$3:$D$5001,"&lt;&gt;")=0,"",SUMIFS(BD!$D$3:$D$5001,BD!$A$3:$A$5001,O$3,BD!$B$3:$B$5001,$A$45)))</f>
        <v/>
      </c>
      <c r="P46" s="205" t="str">
        <f>IF(P$3="","",IF(COUNTIFS(BD!$A$3:$A$5001,P$3,BD!$B$3:$B$5001,$A$45,BD!$D$3:$D$5001,"&lt;&gt;")=0,"",SUMIFS(BD!$D$3:$D$5001,BD!$A$3:$A$5001,P$3,BD!$B$3:$B$5001,$A$45)))</f>
        <v/>
      </c>
      <c r="Q46" s="205" t="str">
        <f>IF(Q$3="","",IF(COUNTIFS(BD!$A$3:$A$5001,Q$3,BD!$B$3:$B$5001,$A$45,BD!$D$3:$D$5001,"&lt;&gt;")=0,"",SUMIFS(BD!$D$3:$D$5001,BD!$A$3:$A$5001,Q$3,BD!$B$3:$B$5001,$A$45)))</f>
        <v/>
      </c>
      <c r="R46" s="205" t="str">
        <f>IF(R$3="","",IF(COUNTIFS(BD!$A$3:$A$5001,R$3,BD!$B$3:$B$5001,$A$45,BD!$D$3:$D$5001,"&lt;&gt;")=0,"",SUMIFS(BD!$D$3:$D$5001,BD!$A$3:$A$5001,R$3,BD!$B$3:$B$5001,$A$45)))</f>
        <v/>
      </c>
      <c r="S46" s="205" t="str">
        <f>IF(S$3="","",IF(COUNTIFS(BD!$A$3:$A$5001,S$3,BD!$B$3:$B$5001,$A$45,BD!$D$3:$D$5001,"&lt;&gt;")=0,"",SUMIFS(BD!$D$3:$D$5001,BD!$A$3:$A$5001,S$3,BD!$B$3:$B$5001,$A$45)))</f>
        <v/>
      </c>
      <c r="T46" s="205" t="str">
        <f>IF(T$3="","",IF(COUNTIFS(BD!$A$3:$A$5001,T$3,BD!$B$3:$B$5001,$A$45,BD!$D$3:$D$5001,"&lt;&gt;")=0,"",SUMIFS(BD!$D$3:$D$5001,BD!$A$3:$A$5001,T$3,BD!$B$3:$B$5001,$A$45)))</f>
        <v/>
      </c>
      <c r="U46" s="205" t="str">
        <f>IF(U$3="","",IF(COUNTIFS(BD!$A$3:$A$5001,U$3,BD!$B$3:$B$5001,$A$45,BD!$D$3:$D$5001,"&lt;&gt;")=0,"",SUMIFS(BD!$D$3:$D$5001,BD!$A$3:$A$5001,U$3,BD!$B$3:$B$5001,$A$45)))</f>
        <v/>
      </c>
      <c r="V46" s="205" t="str">
        <f>IF(V$3="","",IF(COUNTIFS(BD!$A$3:$A$5001,V$3,BD!$B$3:$B$5001,$A$45,BD!$D$3:$D$5001,"&lt;&gt;")=0,"",SUMIFS(BD!$D$3:$D$5001,BD!$A$3:$A$5001,V$3,BD!$B$3:$B$5001,$A$45)))</f>
        <v/>
      </c>
      <c r="W46" s="205" t="str">
        <f>IF(W$3="","",IF(COUNTIFS(BD!$A$3:$A$5001,W$3,BD!$B$3:$B$5001,$A$45,BD!$D$3:$D$5001,"&lt;&gt;")=0,"",SUMIFS(BD!$D$3:$D$5001,BD!$A$3:$A$5001,W$3,BD!$B$3:$B$5001,$A$45)))</f>
        <v/>
      </c>
      <c r="X46" s="205" t="str">
        <f>IF(X$3="","",IF(COUNTIFS(BD!$A$3:$A$5001,X$3,BD!$B$3:$B$5001,$A$45,BD!$D$3:$D$5001,"&lt;&gt;")=0,"",SUMIFS(BD!$D$3:$D$5001,BD!$A$3:$A$5001,X$3,BD!$B$3:$B$5001,$A$45)))</f>
        <v/>
      </c>
      <c r="Y46" s="205" t="str">
        <f>IF(Y$3="","",IF(COUNTIFS(BD!$A$3:$A$5001,Y$3,BD!$B$3:$B$5001,$A$45,BD!$D$3:$D$5001,"&lt;&gt;")=0,"",SUMIFS(BD!$D$3:$D$5001,BD!$A$3:$A$5001,Y$3,BD!$B$3:$B$5001,$A$45)))</f>
        <v/>
      </c>
      <c r="Z46" s="205" t="str">
        <f>IF(Z$3="","",IF(COUNTIFS(BD!$A$3:$A$5001,Z$3,BD!$B$3:$B$5001,$A$45,BD!$D$3:$D$5001,"&lt;&gt;")=0,"",SUMIFS(BD!$D$3:$D$5001,BD!$A$3:$A$5001,Z$3,BD!$B$3:$B$5001,$A$45)))</f>
        <v/>
      </c>
      <c r="AA46" s="205" t="str">
        <f>IF(AA$3="","",IF(COUNTIFS(BD!$A$3:$A$5001,AA$3,BD!$B$3:$B$5001,$A$45,BD!$D$3:$D$5001,"&lt;&gt;")=0,"",SUMIFS(BD!$D$3:$D$5001,BD!$A$3:$A$5001,AA$3,BD!$B$3:$B$5001,$A$45)))</f>
        <v/>
      </c>
      <c r="AB46" s="205" t="str">
        <f>IF(AB$3="","",IF(COUNTIFS(BD!$A$3:$A$5001,AB$3,BD!$B$3:$B$5001,$A$45,BD!$D$3:$D$5001,"&lt;&gt;")=0,"",SUMIFS(BD!$D$3:$D$5001,BD!$A$3:$A$5001,AB$3,BD!$B$3:$B$5001,$A$45)))</f>
        <v/>
      </c>
      <c r="AC46" s="205" t="str">
        <f>IF(AC$3="","",IF(COUNTIFS(BD!$A$3:$A$5001,AC$3,BD!$B$3:$B$5001,$A$45,BD!$D$3:$D$5001,"&lt;&gt;")=0,"",SUMIFS(BD!$D$3:$D$5001,BD!$A$3:$A$5001,AC$3,BD!$B$3:$B$5001,$A$45)))</f>
        <v/>
      </c>
      <c r="AD46" s="205" t="str">
        <f>IF(AD$3="","",IF(COUNTIFS(BD!$A$3:$A$5001,AD$3,BD!$B$3:$B$5001,$A$45,BD!$D$3:$D$5001,"&lt;&gt;")=0,"",SUMIFS(BD!$D$3:$D$5001,BD!$A$3:$A$5001,AD$3,BD!$B$3:$B$5001,$A$45)))</f>
        <v/>
      </c>
      <c r="AE46" s="205" t="str">
        <f>IF(AE$3="","",IF(COUNTIFS(BD!$A$3:$A$5001,AE$3,BD!$B$3:$B$5001,$A$45,BD!$D$3:$D$5001,"&lt;&gt;")=0,"",SUMIFS(BD!$D$3:$D$5001,BD!$A$3:$A$5001,AE$3,BD!$B$3:$B$5001,$A$45)))</f>
        <v/>
      </c>
      <c r="AF46" s="205" t="str">
        <f>IF(AF$3="","",IF(COUNTIFS(BD!$A$3:$A$5001,AF$3,BD!$B$3:$B$5001,$A$45,BD!$D$3:$D$5001,"&lt;&gt;")=0,"",SUMIFS(BD!$D$3:$D$5001,BD!$A$3:$A$5001,AF$3,BD!$B$3:$B$5001,$A$45)))</f>
        <v/>
      </c>
      <c r="AG46" s="205" t="str">
        <f>IF(AG$3="","",IF(COUNTIFS(BD!$A$3:$A$5001,AG$3,BD!$B$3:$B$5001,$A$45,BD!$D$3:$D$5001,"&lt;&gt;")=0,"",SUMIFS(BD!$D$3:$D$5001,BD!$A$3:$A$5001,AG$3,BD!$B$3:$B$5001,$A$45)))</f>
        <v/>
      </c>
      <c r="AH46" s="205" t="str">
        <f>IF(AH$3="","",IF(COUNTIFS(BD!$A$3:$A$5001,AH$3,BD!$B$3:$B$5001,$A$45,BD!$D$3:$D$5001,"&lt;&gt;")=0,"",SUMIFS(BD!$D$3:$D$5001,BD!$A$3:$A$5001,AH$3,BD!$B$3:$B$5001,$A$45)))</f>
        <v/>
      </c>
      <c r="AI46" s="205" t="str">
        <f>IF(AI$3="","",IF(COUNTIFS(BD!$A$3:$A$5001,AI$3,BD!$B$3:$B$5001,$A$45,BD!$D$3:$D$5001,"&lt;&gt;")=0,"",SUMIFS(BD!$D$3:$D$5001,BD!$A$3:$A$5001,AI$3,BD!$B$3:$B$5001,$A$45)))</f>
        <v/>
      </c>
      <c r="AJ46" s="206" t="str">
        <f>IF(AJ$3="","",IF(COUNTIFS(BD!$A$3:$A$5001,AJ$3,BD!$B$3:$B$5001,$A$45,BD!$D$3:$D$5001,"&lt;&gt;")=0,"",SUMIFS(BD!$D$3:$D$5001,BD!$A$3:$A$5001,AJ$3,BD!$B$3:$B$5001,$A$45)))</f>
        <v/>
      </c>
      <c r="AK46" s="207" t="str">
        <f>IF(COUNT(F46:AJ46)=0,"",SUM(F46:AJ46))</f>
        <v/>
      </c>
    </row>
    <row r="47" ht="15.75" customHeight="1">
      <c r="A47" s="244"/>
      <c r="B47" s="233"/>
      <c r="C47" s="162" t="inlineStr">
        <is>
          <t xml:space="preserve">Caixas Movimentadas</t>
        </is>
      </c>
      <c r="D47" s="163" t="str">
        <f>IFERROR(1/(1/INDEX(BD!$AJ$27:$BD$27,MATCH($A$45,BD!$AJ$22:$BD$22,0))),"")</f>
        <v/>
      </c>
      <c r="E47" s="164"/>
      <c r="F47" s="165" t="str">
        <f>IF(F$3="","",IF(COUNTIFS(BD!$A$3:$A$5001,F$3,BD!$B$3:$B$5001,$A$45,BD!$G$3:$G$5001,"&lt;&gt;")=0,"",SUMIFS(BD!$G$3:$G$5001,BD!$A$3:$A$5001,F$3,BD!$B$3:$B$5001,$A$45)))</f>
        <v/>
      </c>
      <c r="G47" s="166" t="str">
        <f>IF(G$3="","",IF(COUNTIFS(BD!$A$3:$A$5001,G$3,BD!$B$3:$B$5001,$A$45,BD!$G$3:$G$5001,"&lt;&gt;")=0,"",SUMIFS(BD!$G$3:$G$5001,BD!$A$3:$A$5001,G$3,BD!$B$3:$B$5001,$A$45)))</f>
        <v/>
      </c>
      <c r="H47" s="166" t="str">
        <f>IF(H$3="","",IF(COUNTIFS(BD!$A$3:$A$5001,H$3,BD!$B$3:$B$5001,$A$45,BD!$G$3:$G$5001,"&lt;&gt;")=0,"",SUMIFS(BD!$G$3:$G$5001,BD!$A$3:$A$5001,H$3,BD!$B$3:$B$5001,$A$45)))</f>
        <v/>
      </c>
      <c r="I47" s="166" t="str">
        <f>IF(I$3="","",IF(COUNTIFS(BD!$A$3:$A$5001,I$3,BD!$B$3:$B$5001,$A$45,BD!$G$3:$G$5001,"&lt;&gt;")=0,"",SUMIFS(BD!$G$3:$G$5001,BD!$A$3:$A$5001,I$3,BD!$B$3:$B$5001,$A$45)))</f>
        <v/>
      </c>
      <c r="J47" s="166" t="str">
        <f>IF(J$3="","",IF(COUNTIFS(BD!$A$3:$A$5001,J$3,BD!$B$3:$B$5001,$A$45,BD!$G$3:$G$5001,"&lt;&gt;")=0,"",SUMIFS(BD!$G$3:$G$5001,BD!$A$3:$A$5001,J$3,BD!$B$3:$B$5001,$A$45)))</f>
        <v/>
      </c>
      <c r="K47" s="166" t="str">
        <f>IF(K$3="","",IF(COUNTIFS(BD!$A$3:$A$5001,K$3,BD!$B$3:$B$5001,$A$45,BD!$G$3:$G$5001,"&lt;&gt;")=0,"",SUMIFS(BD!$G$3:$G$5001,BD!$A$3:$A$5001,K$3,BD!$B$3:$B$5001,$A$45)))</f>
        <v/>
      </c>
      <c r="L47" s="166" t="str">
        <f>IF(L$3="","",IF(COUNTIFS(BD!$A$3:$A$5001,L$3,BD!$B$3:$B$5001,$A$45,BD!$G$3:$G$5001,"&lt;&gt;")=0,"",SUMIFS(BD!$G$3:$G$5001,BD!$A$3:$A$5001,L$3,BD!$B$3:$B$5001,$A$45)))</f>
        <v/>
      </c>
      <c r="M47" s="166" t="str">
        <f>IF(M$3="","",IF(COUNTIFS(BD!$A$3:$A$5001,M$3,BD!$B$3:$B$5001,$A$45,BD!$G$3:$G$5001,"&lt;&gt;")=0,"",SUMIFS(BD!$G$3:$G$5001,BD!$A$3:$A$5001,M$3,BD!$B$3:$B$5001,$A$45)))</f>
        <v/>
      </c>
      <c r="N47" s="166" t="str">
        <f>IF(N$3="","",IF(COUNTIFS(BD!$A$3:$A$5001,N$3,BD!$B$3:$B$5001,$A$45,BD!$G$3:$G$5001,"&lt;&gt;")=0,"",SUMIFS(BD!$G$3:$G$5001,BD!$A$3:$A$5001,N$3,BD!$B$3:$B$5001,$A$45)))</f>
        <v/>
      </c>
      <c r="O47" s="166" t="str">
        <f>IF(O$3="","",IF(COUNTIFS(BD!$A$3:$A$5001,O$3,BD!$B$3:$B$5001,$A$45,BD!$G$3:$G$5001,"&lt;&gt;")=0,"",SUMIFS(BD!$G$3:$G$5001,BD!$A$3:$A$5001,O$3,BD!$B$3:$B$5001,$A$45)))</f>
        <v/>
      </c>
      <c r="P47" s="166" t="str">
        <f>IF(P$3="","",IF(COUNTIFS(BD!$A$3:$A$5001,P$3,BD!$B$3:$B$5001,$A$45,BD!$G$3:$G$5001,"&lt;&gt;")=0,"",SUMIFS(BD!$G$3:$G$5001,BD!$A$3:$A$5001,P$3,BD!$B$3:$B$5001,$A$45)))</f>
        <v/>
      </c>
      <c r="Q47" s="166" t="str">
        <f>IF(Q$3="","",IF(COUNTIFS(BD!$A$3:$A$5001,Q$3,BD!$B$3:$B$5001,$A$45,BD!$G$3:$G$5001,"&lt;&gt;")=0,"",SUMIFS(BD!$G$3:$G$5001,BD!$A$3:$A$5001,Q$3,BD!$B$3:$B$5001,$A$45)))</f>
        <v/>
      </c>
      <c r="R47" s="166" t="str">
        <f>IF(R$3="","",IF(COUNTIFS(BD!$A$3:$A$5001,R$3,BD!$B$3:$B$5001,$A$45,BD!$G$3:$G$5001,"&lt;&gt;")=0,"",SUMIFS(BD!$G$3:$G$5001,BD!$A$3:$A$5001,R$3,BD!$B$3:$B$5001,$A$45)))</f>
        <v/>
      </c>
      <c r="S47" s="166" t="str">
        <f>IF(S$3="","",IF(COUNTIFS(BD!$A$3:$A$5001,S$3,BD!$B$3:$B$5001,$A$45,BD!$G$3:$G$5001,"&lt;&gt;")=0,"",SUMIFS(BD!$G$3:$G$5001,BD!$A$3:$A$5001,S$3,BD!$B$3:$B$5001,$A$45)))</f>
        <v/>
      </c>
      <c r="T47" s="166" t="str">
        <f>IF(T$3="","",IF(COUNTIFS(BD!$A$3:$A$5001,T$3,BD!$B$3:$B$5001,$A$45,BD!$G$3:$G$5001,"&lt;&gt;")=0,"",SUMIFS(BD!$G$3:$G$5001,BD!$A$3:$A$5001,T$3,BD!$B$3:$B$5001,$A$45)))</f>
        <v/>
      </c>
      <c r="U47" s="166" t="str">
        <f>IF(U$3="","",IF(COUNTIFS(BD!$A$3:$A$5001,U$3,BD!$B$3:$B$5001,$A$45,BD!$G$3:$G$5001,"&lt;&gt;")=0,"",SUMIFS(BD!$G$3:$G$5001,BD!$A$3:$A$5001,U$3,BD!$B$3:$B$5001,$A$45)))</f>
        <v/>
      </c>
      <c r="V47" s="166" t="str">
        <f>IF(V$3="","",IF(COUNTIFS(BD!$A$3:$A$5001,V$3,BD!$B$3:$B$5001,$A$45,BD!$G$3:$G$5001,"&lt;&gt;")=0,"",SUMIFS(BD!$G$3:$G$5001,BD!$A$3:$A$5001,V$3,BD!$B$3:$B$5001,$A$45)))</f>
        <v/>
      </c>
      <c r="W47" s="166" t="str">
        <f>IF(W$3="","",IF(COUNTIFS(BD!$A$3:$A$5001,W$3,BD!$B$3:$B$5001,$A$45,BD!$G$3:$G$5001,"&lt;&gt;")=0,"",SUMIFS(BD!$G$3:$G$5001,BD!$A$3:$A$5001,W$3,BD!$B$3:$B$5001,$A$45)))</f>
        <v/>
      </c>
      <c r="X47" s="166" t="str">
        <f>IF(X$3="","",IF(COUNTIFS(BD!$A$3:$A$5001,X$3,BD!$B$3:$B$5001,$A$45,BD!$G$3:$G$5001,"&lt;&gt;")=0,"",SUMIFS(BD!$G$3:$G$5001,BD!$A$3:$A$5001,X$3,BD!$B$3:$B$5001,$A$45)))</f>
        <v/>
      </c>
      <c r="Y47" s="166" t="str">
        <f>IF(Y$3="","",IF(COUNTIFS(BD!$A$3:$A$5001,Y$3,BD!$B$3:$B$5001,$A$45,BD!$G$3:$G$5001,"&lt;&gt;")=0,"",SUMIFS(BD!$G$3:$G$5001,BD!$A$3:$A$5001,Y$3,BD!$B$3:$B$5001,$A$45)))</f>
        <v/>
      </c>
      <c r="Z47" s="166" t="str">
        <f>IF(Z$3="","",IF(COUNTIFS(BD!$A$3:$A$5001,Z$3,BD!$B$3:$B$5001,$A$45,BD!$G$3:$G$5001,"&lt;&gt;")=0,"",SUMIFS(BD!$G$3:$G$5001,BD!$A$3:$A$5001,Z$3,BD!$B$3:$B$5001,$A$45)))</f>
        <v/>
      </c>
      <c r="AA47" s="166" t="str">
        <f>IF(AA$3="","",IF(COUNTIFS(BD!$A$3:$A$5001,AA$3,BD!$B$3:$B$5001,$A$45,BD!$G$3:$G$5001,"&lt;&gt;")=0,"",SUMIFS(BD!$G$3:$G$5001,BD!$A$3:$A$5001,AA$3,BD!$B$3:$B$5001,$A$45)))</f>
        <v/>
      </c>
      <c r="AB47" s="166" t="str">
        <f>IF(AB$3="","",IF(COUNTIFS(BD!$A$3:$A$5001,AB$3,BD!$B$3:$B$5001,$A$45,BD!$G$3:$G$5001,"&lt;&gt;")=0,"",SUMIFS(BD!$G$3:$G$5001,BD!$A$3:$A$5001,AB$3,BD!$B$3:$B$5001,$A$45)))</f>
        <v/>
      </c>
      <c r="AC47" s="166" t="str">
        <f>IF(AC$3="","",IF(COUNTIFS(BD!$A$3:$A$5001,AC$3,BD!$B$3:$B$5001,$A$45,BD!$G$3:$G$5001,"&lt;&gt;")=0,"",SUMIFS(BD!$G$3:$G$5001,BD!$A$3:$A$5001,AC$3,BD!$B$3:$B$5001,$A$45)))</f>
        <v/>
      </c>
      <c r="AD47" s="166" t="str">
        <f>IF(AD$3="","",IF(COUNTIFS(BD!$A$3:$A$5001,AD$3,BD!$B$3:$B$5001,$A$45,BD!$G$3:$G$5001,"&lt;&gt;")=0,"",SUMIFS(BD!$G$3:$G$5001,BD!$A$3:$A$5001,AD$3,BD!$B$3:$B$5001,$A$45)))</f>
        <v/>
      </c>
      <c r="AE47" s="166" t="str">
        <f>IF(AE$3="","",IF(COUNTIFS(BD!$A$3:$A$5001,AE$3,BD!$B$3:$B$5001,$A$45,BD!$G$3:$G$5001,"&lt;&gt;")=0,"",SUMIFS(BD!$G$3:$G$5001,BD!$A$3:$A$5001,AE$3,BD!$B$3:$B$5001,$A$45)))</f>
        <v/>
      </c>
      <c r="AF47" s="166" t="str">
        <f>IF(AF$3="","",IF(COUNTIFS(BD!$A$3:$A$5001,AF$3,BD!$B$3:$B$5001,$A$45,BD!$G$3:$G$5001,"&lt;&gt;")=0,"",SUMIFS(BD!$G$3:$G$5001,BD!$A$3:$A$5001,AF$3,BD!$B$3:$B$5001,$A$45)))</f>
        <v/>
      </c>
      <c r="AG47" s="166" t="str">
        <f>IF(AG$3="","",IF(COUNTIFS(BD!$A$3:$A$5001,AG$3,BD!$B$3:$B$5001,$A$45,BD!$G$3:$G$5001,"&lt;&gt;")=0,"",SUMIFS(BD!$G$3:$G$5001,BD!$A$3:$A$5001,AG$3,BD!$B$3:$B$5001,$A$45)))</f>
        <v/>
      </c>
      <c r="AH47" s="166" t="str">
        <f>IF(AH$3="","",IF(COUNTIFS(BD!$A$3:$A$5001,AH$3,BD!$B$3:$B$5001,$A$45,BD!$G$3:$G$5001,"&lt;&gt;")=0,"",SUMIFS(BD!$G$3:$G$5001,BD!$A$3:$A$5001,AH$3,BD!$B$3:$B$5001,$A$45)))</f>
        <v/>
      </c>
      <c r="AI47" s="166" t="str">
        <f>IF(AI$3="","",IF(COUNTIFS(BD!$A$3:$A$5001,AI$3,BD!$B$3:$B$5001,$A$45,BD!$G$3:$G$5001,"&lt;&gt;")=0,"",SUMIFS(BD!$G$3:$G$5001,BD!$A$3:$A$5001,AI$3,BD!$B$3:$B$5001,$A$45)))</f>
        <v/>
      </c>
      <c r="AJ47" s="167" t="str">
        <f>IF(AJ$3="","",IF(COUNTIFS(BD!$A$3:$A$5001,AJ$3,BD!$B$3:$B$5001,$A$45,BD!$G$3:$G$5001,"&lt;&gt;")=0,"",SUMIFS(BD!$G$3:$G$5001,BD!$A$3:$A$5001,AJ$3,BD!$B$3:$B$5001,$A$45)))</f>
        <v/>
      </c>
      <c r="AK47" s="163" t="str">
        <f>IF(COUNT(F47:AJ47)=0,"",SUM(F47:AJ47))</f>
        <v/>
      </c>
    </row>
    <row r="48" ht="15.75" customHeight="1">
      <c r="A48" s="244"/>
      <c r="B48" s="234" t="inlineStr">
        <is>
          <t xml:space="preserve">OUT</t>
        </is>
      </c>
      <c r="C48" s="168" t="inlineStr">
        <is>
          <t xml:space="preserve">Veículos Expedidos</t>
        </is>
      </c>
      <c r="D48" s="169" t="str">
        <f>IFERROR(1/(1/INDEX(BD!$AJ$32:$BD$32,MATCH($A$45,BD!$AJ$22:$BD$22,0))),"")</f>
        <v/>
      </c>
      <c r="E48" s="170"/>
      <c r="F48" s="171" t="str">
        <f>IF(F$3="","",IF(COUNTIFS(BD!$A$3:$A$5001,F$3,BD!$B$3:$B$5001,$A$45,BD!$L$3:$L$5001,"&lt;&gt;")=0,"",SUMIFS(BD!$L$3:$L$5001,BD!$A$3:$A$5001,F$3,BD!$B$3:$B$5001,$A$45)))</f>
        <v/>
      </c>
      <c r="G48" s="172" t="str">
        <f>IF(G$3="","",IF(COUNTIFS(BD!$A$3:$A$5001,G$3,BD!$B$3:$B$5001,$A$45,BD!$L$3:$L$5001,"&lt;&gt;")=0,"",SUMIFS(BD!$L$3:$L$5001,BD!$A$3:$A$5001,G$3,BD!$B$3:$B$5001,$A$45)))</f>
        <v/>
      </c>
      <c r="H48" s="172" t="str">
        <f>IF(H$3="","",IF(COUNTIFS(BD!$A$3:$A$5001,H$3,BD!$B$3:$B$5001,$A$45,BD!$L$3:$L$5001,"&lt;&gt;")=0,"",SUMIFS(BD!$L$3:$L$5001,BD!$A$3:$A$5001,H$3,BD!$B$3:$B$5001,$A$45)))</f>
        <v/>
      </c>
      <c r="I48" s="172" t="str">
        <f>IF(I$3="","",IF(COUNTIFS(BD!$A$3:$A$5001,I$3,BD!$B$3:$B$5001,$A$45,BD!$L$3:$L$5001,"&lt;&gt;")=0,"",SUMIFS(BD!$L$3:$L$5001,BD!$A$3:$A$5001,I$3,BD!$B$3:$B$5001,$A$45)))</f>
        <v/>
      </c>
      <c r="J48" s="172" t="str">
        <f>IF(J$3="","",IF(COUNTIFS(BD!$A$3:$A$5001,J$3,BD!$B$3:$B$5001,$A$45,BD!$L$3:$L$5001,"&lt;&gt;")=0,"",SUMIFS(BD!$L$3:$L$5001,BD!$A$3:$A$5001,J$3,BD!$B$3:$B$5001,$A$45)))</f>
        <v/>
      </c>
      <c r="K48" s="172" t="str">
        <f>IF(K$3="","",IF(COUNTIFS(BD!$A$3:$A$5001,K$3,BD!$B$3:$B$5001,$A$45,BD!$L$3:$L$5001,"&lt;&gt;")=0,"",SUMIFS(BD!$L$3:$L$5001,BD!$A$3:$A$5001,K$3,BD!$B$3:$B$5001,$A$45)))</f>
        <v/>
      </c>
      <c r="L48" s="172" t="str">
        <f>IF(L$3="","",IF(COUNTIFS(BD!$A$3:$A$5001,L$3,BD!$B$3:$B$5001,$A$45,BD!$L$3:$L$5001,"&lt;&gt;")=0,"",SUMIFS(BD!$L$3:$L$5001,BD!$A$3:$A$5001,L$3,BD!$B$3:$B$5001,$A$45)))</f>
        <v/>
      </c>
      <c r="M48" s="172" t="str">
        <f>IF(M$3="","",IF(COUNTIFS(BD!$A$3:$A$5001,M$3,BD!$B$3:$B$5001,$A$45,BD!$L$3:$L$5001,"&lt;&gt;")=0,"",SUMIFS(BD!$L$3:$L$5001,BD!$A$3:$A$5001,M$3,BD!$B$3:$B$5001,$A$45)))</f>
        <v/>
      </c>
      <c r="N48" s="172" t="str">
        <f>IF(N$3="","",IF(COUNTIFS(BD!$A$3:$A$5001,N$3,BD!$B$3:$B$5001,$A$45,BD!$L$3:$L$5001,"&lt;&gt;")=0,"",SUMIFS(BD!$L$3:$L$5001,BD!$A$3:$A$5001,N$3,BD!$B$3:$B$5001,$A$45)))</f>
        <v/>
      </c>
      <c r="O48" s="172" t="str">
        <f>IF(O$3="","",IF(COUNTIFS(BD!$A$3:$A$5001,O$3,BD!$B$3:$B$5001,$A$45,BD!$L$3:$L$5001,"&lt;&gt;")=0,"",SUMIFS(BD!$L$3:$L$5001,BD!$A$3:$A$5001,O$3,BD!$B$3:$B$5001,$A$45)))</f>
        <v/>
      </c>
      <c r="P48" s="172" t="str">
        <f>IF(P$3="","",IF(COUNTIFS(BD!$A$3:$A$5001,P$3,BD!$B$3:$B$5001,$A$45,BD!$L$3:$L$5001,"&lt;&gt;")=0,"",SUMIFS(BD!$L$3:$L$5001,BD!$A$3:$A$5001,P$3,BD!$B$3:$B$5001,$A$45)))</f>
        <v/>
      </c>
      <c r="Q48" s="172" t="str">
        <f>IF(Q$3="","",IF(COUNTIFS(BD!$A$3:$A$5001,Q$3,BD!$B$3:$B$5001,$A$45,BD!$L$3:$L$5001,"&lt;&gt;")=0,"",SUMIFS(BD!$L$3:$L$5001,BD!$A$3:$A$5001,Q$3,BD!$B$3:$B$5001,$A$45)))</f>
        <v/>
      </c>
      <c r="R48" s="172" t="str">
        <f>IF(R$3="","",IF(COUNTIFS(BD!$A$3:$A$5001,R$3,BD!$B$3:$B$5001,$A$45,BD!$L$3:$L$5001,"&lt;&gt;")=0,"",SUMIFS(BD!$L$3:$L$5001,BD!$A$3:$A$5001,R$3,BD!$B$3:$B$5001,$A$45)))</f>
        <v/>
      </c>
      <c r="S48" s="172" t="str">
        <f>IF(S$3="","",IF(COUNTIFS(BD!$A$3:$A$5001,S$3,BD!$B$3:$B$5001,$A$45,BD!$L$3:$L$5001,"&lt;&gt;")=0,"",SUMIFS(BD!$L$3:$L$5001,BD!$A$3:$A$5001,S$3,BD!$B$3:$B$5001,$A$45)))</f>
        <v/>
      </c>
      <c r="T48" s="172" t="str">
        <f>IF(T$3="","",IF(COUNTIFS(BD!$A$3:$A$5001,T$3,BD!$B$3:$B$5001,$A$45,BD!$L$3:$L$5001,"&lt;&gt;")=0,"",SUMIFS(BD!$L$3:$L$5001,BD!$A$3:$A$5001,T$3,BD!$B$3:$B$5001,$A$45)))</f>
        <v/>
      </c>
      <c r="U48" s="172" t="str">
        <f>IF(U$3="","",IF(COUNTIFS(BD!$A$3:$A$5001,U$3,BD!$B$3:$B$5001,$A$45,BD!$L$3:$L$5001,"&lt;&gt;")=0,"",SUMIFS(BD!$L$3:$L$5001,BD!$A$3:$A$5001,U$3,BD!$B$3:$B$5001,$A$45)))</f>
        <v/>
      </c>
      <c r="V48" s="172" t="str">
        <f>IF(V$3="","",IF(COUNTIFS(BD!$A$3:$A$5001,V$3,BD!$B$3:$B$5001,$A$45,BD!$L$3:$L$5001,"&lt;&gt;")=0,"",SUMIFS(BD!$L$3:$L$5001,BD!$A$3:$A$5001,V$3,BD!$B$3:$B$5001,$A$45)))</f>
        <v/>
      </c>
      <c r="W48" s="172" t="str">
        <f>IF(W$3="","",IF(COUNTIFS(BD!$A$3:$A$5001,W$3,BD!$B$3:$B$5001,$A$45,BD!$L$3:$L$5001,"&lt;&gt;")=0,"",SUMIFS(BD!$L$3:$L$5001,BD!$A$3:$A$5001,W$3,BD!$B$3:$B$5001,$A$45)))</f>
        <v/>
      </c>
      <c r="X48" s="172" t="str">
        <f>IF(X$3="","",IF(COUNTIFS(BD!$A$3:$A$5001,X$3,BD!$B$3:$B$5001,$A$45,BD!$L$3:$L$5001,"&lt;&gt;")=0,"",SUMIFS(BD!$L$3:$L$5001,BD!$A$3:$A$5001,X$3,BD!$B$3:$B$5001,$A$45)))</f>
        <v/>
      </c>
      <c r="Y48" s="172" t="str">
        <f>IF(Y$3="","",IF(COUNTIFS(BD!$A$3:$A$5001,Y$3,BD!$B$3:$B$5001,$A$45,BD!$L$3:$L$5001,"&lt;&gt;")=0,"",SUMIFS(BD!$L$3:$L$5001,BD!$A$3:$A$5001,Y$3,BD!$B$3:$B$5001,$A$45)))</f>
        <v/>
      </c>
      <c r="Z48" s="172" t="str">
        <f>IF(Z$3="","",IF(COUNTIFS(BD!$A$3:$A$5001,Z$3,BD!$B$3:$B$5001,$A$45,BD!$L$3:$L$5001,"&lt;&gt;")=0,"",SUMIFS(BD!$L$3:$L$5001,BD!$A$3:$A$5001,Z$3,BD!$B$3:$B$5001,$A$45)))</f>
        <v/>
      </c>
      <c r="AA48" s="172" t="str">
        <f>IF(AA$3="","",IF(COUNTIFS(BD!$A$3:$A$5001,AA$3,BD!$B$3:$B$5001,$A$45,BD!$L$3:$L$5001,"&lt;&gt;")=0,"",SUMIFS(BD!$L$3:$L$5001,BD!$A$3:$A$5001,AA$3,BD!$B$3:$B$5001,$A$45)))</f>
        <v/>
      </c>
      <c r="AB48" s="172" t="str">
        <f>IF(AB$3="","",IF(COUNTIFS(BD!$A$3:$A$5001,AB$3,BD!$B$3:$B$5001,$A$45,BD!$L$3:$L$5001,"&lt;&gt;")=0,"",SUMIFS(BD!$L$3:$L$5001,BD!$A$3:$A$5001,AB$3,BD!$B$3:$B$5001,$A$45)))</f>
        <v/>
      </c>
      <c r="AC48" s="172" t="str">
        <f>IF(AC$3="","",IF(COUNTIFS(BD!$A$3:$A$5001,AC$3,BD!$B$3:$B$5001,$A$45,BD!$L$3:$L$5001,"&lt;&gt;")=0,"",SUMIFS(BD!$L$3:$L$5001,BD!$A$3:$A$5001,AC$3,BD!$B$3:$B$5001,$A$45)))</f>
        <v/>
      </c>
      <c r="AD48" s="172" t="str">
        <f>IF(AD$3="","",IF(COUNTIFS(BD!$A$3:$A$5001,AD$3,BD!$B$3:$B$5001,$A$45,BD!$L$3:$L$5001,"&lt;&gt;")=0,"",SUMIFS(BD!$L$3:$L$5001,BD!$A$3:$A$5001,AD$3,BD!$B$3:$B$5001,$A$45)))</f>
        <v/>
      </c>
      <c r="AE48" s="172" t="str">
        <f>IF(AE$3="","",IF(COUNTIFS(BD!$A$3:$A$5001,AE$3,BD!$B$3:$B$5001,$A$45,BD!$L$3:$L$5001,"&lt;&gt;")=0,"",SUMIFS(BD!$L$3:$L$5001,BD!$A$3:$A$5001,AE$3,BD!$B$3:$B$5001,$A$45)))</f>
        <v/>
      </c>
      <c r="AF48" s="172" t="str">
        <f>IF(AF$3="","",IF(COUNTIFS(BD!$A$3:$A$5001,AF$3,BD!$B$3:$B$5001,$A$45,BD!$L$3:$L$5001,"&lt;&gt;")=0,"",SUMIFS(BD!$L$3:$L$5001,BD!$A$3:$A$5001,AF$3,BD!$B$3:$B$5001,$A$45)))</f>
        <v/>
      </c>
      <c r="AG48" s="172" t="str">
        <f>IF(AG$3="","",IF(COUNTIFS(BD!$A$3:$A$5001,AG$3,BD!$B$3:$B$5001,$A$45,BD!$L$3:$L$5001,"&lt;&gt;")=0,"",SUMIFS(BD!$L$3:$L$5001,BD!$A$3:$A$5001,AG$3,BD!$B$3:$B$5001,$A$45)))</f>
        <v/>
      </c>
      <c r="AH48" s="172" t="str">
        <f>IF(AH$3="","",IF(COUNTIFS(BD!$A$3:$A$5001,AH$3,BD!$B$3:$B$5001,$A$45,BD!$L$3:$L$5001,"&lt;&gt;")=0,"",SUMIFS(BD!$L$3:$L$5001,BD!$A$3:$A$5001,AH$3,BD!$B$3:$B$5001,$A$45)))</f>
        <v/>
      </c>
      <c r="AI48" s="172" t="str">
        <f>IF(AI$3="","",IF(COUNTIFS(BD!$A$3:$A$5001,AI$3,BD!$B$3:$B$5001,$A$45,BD!$L$3:$L$5001,"&lt;&gt;")=0,"",SUMIFS(BD!$L$3:$L$5001,BD!$A$3:$A$5001,AI$3,BD!$B$3:$B$5001,$A$45)))</f>
        <v/>
      </c>
      <c r="AJ48" s="173" t="str">
        <f>IF(AJ$3="","",IF(COUNTIFS(BD!$A$3:$A$5001,AJ$3,BD!$B$3:$B$5001,$A$45,BD!$L$3:$L$5001,"&lt;&gt;")=0,"",SUMIFS(BD!$L$3:$L$5001,BD!$A$3:$A$5001,AJ$3,BD!$B$3:$B$5001,$A$45)))</f>
        <v/>
      </c>
      <c r="AK48" s="174" t="str">
        <f>IF(COUNT(F48:AJ48)=0,"",SUM(F48:AJ48))</f>
        <v/>
      </c>
    </row>
    <row r="49" ht="15.75" customHeight="1">
      <c r="A49" s="244"/>
      <c r="B49" s="261"/>
      <c r="C49" s="250" t="inlineStr">
        <is>
          <t xml:space="preserve">Pallets Movimentados</t>
        </is>
      </c>
      <c r="D49" s="251" t="str">
        <f>IFERROR(1/(1/INDEX(BD!$AJ$38:$BD$38,MATCH($A$45,BD!$AJ$22:$BD$22,0))),"")</f>
        <v/>
      </c>
      <c r="E49" s="252"/>
      <c r="F49" s="253" t="str">
        <f>IF(F$3="","",IF(COUNTIFS(BD!$A$3:$A$5001,F$3,BD!$B$3:$B$5001,$A$45,BD!$R$3:$R$5001,"&lt;&gt;")=0,"",SUMIFS(BD!$R$3:$R$5001,BD!$A$3:$A$5001,F$3,BD!$B$3:$B$5001,$A$45)))</f>
        <v/>
      </c>
      <c r="G49" s="254" t="str">
        <f>IF(G$3="","",IF(COUNTIFS(BD!$A$3:$A$5001,G$3,BD!$B$3:$B$5001,$A$45,BD!$R$3:$R$5001,"&lt;&gt;")=0,"",SUMIFS(BD!$R$3:$R$5001,BD!$A$3:$A$5001,G$3,BD!$B$3:$B$5001,$A$45)))</f>
        <v/>
      </c>
      <c r="H49" s="254" t="str">
        <f>IF(H$3="","",IF(COUNTIFS(BD!$A$3:$A$5001,H$3,BD!$B$3:$B$5001,$A$45,BD!$R$3:$R$5001,"&lt;&gt;")=0,"",SUMIFS(BD!$R$3:$R$5001,BD!$A$3:$A$5001,H$3,BD!$B$3:$B$5001,$A$45)))</f>
        <v/>
      </c>
      <c r="I49" s="254" t="str">
        <f>IF(I$3="","",IF(COUNTIFS(BD!$A$3:$A$5001,I$3,BD!$B$3:$B$5001,$A$45,BD!$R$3:$R$5001,"&lt;&gt;")=0,"",SUMIFS(BD!$R$3:$R$5001,BD!$A$3:$A$5001,I$3,BD!$B$3:$B$5001,$A$45)))</f>
        <v/>
      </c>
      <c r="J49" s="254" t="str">
        <f>IF(J$3="","",IF(COUNTIFS(BD!$A$3:$A$5001,J$3,BD!$B$3:$B$5001,$A$45,BD!$R$3:$R$5001,"&lt;&gt;")=0,"",SUMIFS(BD!$R$3:$R$5001,BD!$A$3:$A$5001,J$3,BD!$B$3:$B$5001,$A$45)))</f>
        <v/>
      </c>
      <c r="K49" s="254" t="str">
        <f>IF(K$3="","",IF(COUNTIFS(BD!$A$3:$A$5001,K$3,BD!$B$3:$B$5001,$A$45,BD!$R$3:$R$5001,"&lt;&gt;")=0,"",SUMIFS(BD!$R$3:$R$5001,BD!$A$3:$A$5001,K$3,BD!$B$3:$B$5001,$A$45)))</f>
        <v/>
      </c>
      <c r="L49" s="254" t="str">
        <f>IF(L$3="","",IF(COUNTIFS(BD!$A$3:$A$5001,L$3,BD!$B$3:$B$5001,$A$45,BD!$R$3:$R$5001,"&lt;&gt;")=0,"",SUMIFS(BD!$R$3:$R$5001,BD!$A$3:$A$5001,L$3,BD!$B$3:$B$5001,$A$45)))</f>
        <v/>
      </c>
      <c r="M49" s="254" t="str">
        <f>IF(M$3="","",IF(COUNTIFS(BD!$A$3:$A$5001,M$3,BD!$B$3:$B$5001,$A$45,BD!$R$3:$R$5001,"&lt;&gt;")=0,"",SUMIFS(BD!$R$3:$R$5001,BD!$A$3:$A$5001,M$3,BD!$B$3:$B$5001,$A$45)))</f>
        <v/>
      </c>
      <c r="N49" s="254" t="str">
        <f>IF(N$3="","",IF(COUNTIFS(BD!$A$3:$A$5001,N$3,BD!$B$3:$B$5001,$A$45,BD!$R$3:$R$5001,"&lt;&gt;")=0,"",SUMIFS(BD!$R$3:$R$5001,BD!$A$3:$A$5001,N$3,BD!$B$3:$B$5001,$A$45)))</f>
        <v/>
      </c>
      <c r="O49" s="254" t="str">
        <f>IF(O$3="","",IF(COUNTIFS(BD!$A$3:$A$5001,O$3,BD!$B$3:$B$5001,$A$45,BD!$R$3:$R$5001,"&lt;&gt;")=0,"",SUMIFS(BD!$R$3:$R$5001,BD!$A$3:$A$5001,O$3,BD!$B$3:$B$5001,$A$45)))</f>
        <v/>
      </c>
      <c r="P49" s="254" t="str">
        <f>IF(P$3="","",IF(COUNTIFS(BD!$A$3:$A$5001,P$3,BD!$B$3:$B$5001,$A$45,BD!$R$3:$R$5001,"&lt;&gt;")=0,"",SUMIFS(BD!$R$3:$R$5001,BD!$A$3:$A$5001,P$3,BD!$B$3:$B$5001,$A$45)))</f>
        <v/>
      </c>
      <c r="Q49" s="254" t="str">
        <f>IF(Q$3="","",IF(COUNTIFS(BD!$A$3:$A$5001,Q$3,BD!$B$3:$B$5001,$A$45,BD!$R$3:$R$5001,"&lt;&gt;")=0,"",SUMIFS(BD!$R$3:$R$5001,BD!$A$3:$A$5001,Q$3,BD!$B$3:$B$5001,$A$45)))</f>
        <v/>
      </c>
      <c r="R49" s="254" t="str">
        <f>IF(R$3="","",IF(COUNTIFS(BD!$A$3:$A$5001,R$3,BD!$B$3:$B$5001,$A$45,BD!$R$3:$R$5001,"&lt;&gt;")=0,"",SUMIFS(BD!$R$3:$R$5001,BD!$A$3:$A$5001,R$3,BD!$B$3:$B$5001,$A$45)))</f>
        <v/>
      </c>
      <c r="S49" s="254" t="str">
        <f>IF(S$3="","",IF(COUNTIFS(BD!$A$3:$A$5001,S$3,BD!$B$3:$B$5001,$A$45,BD!$R$3:$R$5001,"&lt;&gt;")=0,"",SUMIFS(BD!$R$3:$R$5001,BD!$A$3:$A$5001,S$3,BD!$B$3:$B$5001,$A$45)))</f>
        <v/>
      </c>
      <c r="T49" s="254" t="str">
        <f>IF(T$3="","",IF(COUNTIFS(BD!$A$3:$A$5001,T$3,BD!$B$3:$B$5001,$A$45,BD!$R$3:$R$5001,"&lt;&gt;")=0,"",SUMIFS(BD!$R$3:$R$5001,BD!$A$3:$A$5001,T$3,BD!$B$3:$B$5001,$A$45)))</f>
        <v/>
      </c>
      <c r="U49" s="254" t="str">
        <f>IF(U$3="","",IF(COUNTIFS(BD!$A$3:$A$5001,U$3,BD!$B$3:$B$5001,$A$45,BD!$R$3:$R$5001,"&lt;&gt;")=0,"",SUMIFS(BD!$R$3:$R$5001,BD!$A$3:$A$5001,U$3,BD!$B$3:$B$5001,$A$45)))</f>
        <v/>
      </c>
      <c r="V49" s="254" t="str">
        <f>IF(V$3="","",IF(COUNTIFS(BD!$A$3:$A$5001,V$3,BD!$B$3:$B$5001,$A$45,BD!$R$3:$R$5001,"&lt;&gt;")=0,"",SUMIFS(BD!$R$3:$R$5001,BD!$A$3:$A$5001,V$3,BD!$B$3:$B$5001,$A$45)))</f>
        <v/>
      </c>
      <c r="W49" s="254" t="str">
        <f>IF(W$3="","",IF(COUNTIFS(BD!$A$3:$A$5001,W$3,BD!$B$3:$B$5001,$A$45,BD!$R$3:$R$5001,"&lt;&gt;")=0,"",SUMIFS(BD!$R$3:$R$5001,BD!$A$3:$A$5001,W$3,BD!$B$3:$B$5001,$A$45)))</f>
        <v/>
      </c>
      <c r="X49" s="254" t="str">
        <f>IF(X$3="","",IF(COUNTIFS(BD!$A$3:$A$5001,X$3,BD!$B$3:$B$5001,$A$45,BD!$R$3:$R$5001,"&lt;&gt;")=0,"",SUMIFS(BD!$R$3:$R$5001,BD!$A$3:$A$5001,X$3,BD!$B$3:$B$5001,$A$45)))</f>
        <v/>
      </c>
      <c r="Y49" s="254" t="str">
        <f>IF(Y$3="","",IF(COUNTIFS(BD!$A$3:$A$5001,Y$3,BD!$B$3:$B$5001,$A$45,BD!$R$3:$R$5001,"&lt;&gt;")=0,"",SUMIFS(BD!$R$3:$R$5001,BD!$A$3:$A$5001,Y$3,BD!$B$3:$B$5001,$A$45)))</f>
        <v/>
      </c>
      <c r="Z49" s="254" t="str">
        <f>IF(Z$3="","",IF(COUNTIFS(BD!$A$3:$A$5001,Z$3,BD!$B$3:$B$5001,$A$45,BD!$R$3:$R$5001,"&lt;&gt;")=0,"",SUMIFS(BD!$R$3:$R$5001,BD!$A$3:$A$5001,Z$3,BD!$B$3:$B$5001,$A$45)))</f>
        <v/>
      </c>
      <c r="AA49" s="254" t="str">
        <f>IF(AA$3="","",IF(COUNTIFS(BD!$A$3:$A$5001,AA$3,BD!$B$3:$B$5001,$A$45,BD!$R$3:$R$5001,"&lt;&gt;")=0,"",SUMIFS(BD!$R$3:$R$5001,BD!$A$3:$A$5001,AA$3,BD!$B$3:$B$5001,$A$45)))</f>
        <v/>
      </c>
      <c r="AB49" s="254" t="str">
        <f>IF(AB$3="","",IF(COUNTIFS(BD!$A$3:$A$5001,AB$3,BD!$B$3:$B$5001,$A$45,BD!$R$3:$R$5001,"&lt;&gt;")=0,"",SUMIFS(BD!$R$3:$R$5001,BD!$A$3:$A$5001,AB$3,BD!$B$3:$B$5001,$A$45)))</f>
        <v/>
      </c>
      <c r="AC49" s="254" t="str">
        <f>IF(AC$3="","",IF(COUNTIFS(BD!$A$3:$A$5001,AC$3,BD!$B$3:$B$5001,$A$45,BD!$R$3:$R$5001,"&lt;&gt;")=0,"",SUMIFS(BD!$R$3:$R$5001,BD!$A$3:$A$5001,AC$3,BD!$B$3:$B$5001,$A$45)))</f>
        <v/>
      </c>
      <c r="AD49" s="254" t="str">
        <f>IF(AD$3="","",IF(COUNTIFS(BD!$A$3:$A$5001,AD$3,BD!$B$3:$B$5001,$A$45,BD!$R$3:$R$5001,"&lt;&gt;")=0,"",SUMIFS(BD!$R$3:$R$5001,BD!$A$3:$A$5001,AD$3,BD!$B$3:$B$5001,$A$45)))</f>
        <v/>
      </c>
      <c r="AE49" s="254" t="str">
        <f>IF(AE$3="","",IF(COUNTIFS(BD!$A$3:$A$5001,AE$3,BD!$B$3:$B$5001,$A$45,BD!$R$3:$R$5001,"&lt;&gt;")=0,"",SUMIFS(BD!$R$3:$R$5001,BD!$A$3:$A$5001,AE$3,BD!$B$3:$B$5001,$A$45)))</f>
        <v/>
      </c>
      <c r="AF49" s="254" t="str">
        <f>IF(AF$3="","",IF(COUNTIFS(BD!$A$3:$A$5001,AF$3,BD!$B$3:$B$5001,$A$45,BD!$R$3:$R$5001,"&lt;&gt;")=0,"",SUMIFS(BD!$R$3:$R$5001,BD!$A$3:$A$5001,AF$3,BD!$B$3:$B$5001,$A$45)))</f>
        <v/>
      </c>
      <c r="AG49" s="254" t="str">
        <f>IF(AG$3="","",IF(COUNTIFS(BD!$A$3:$A$5001,AG$3,BD!$B$3:$B$5001,$A$45,BD!$R$3:$R$5001,"&lt;&gt;")=0,"",SUMIFS(BD!$R$3:$R$5001,BD!$A$3:$A$5001,AG$3,BD!$B$3:$B$5001,$A$45)))</f>
        <v/>
      </c>
      <c r="AH49" s="254" t="str">
        <f>IF(AH$3="","",IF(COUNTIFS(BD!$A$3:$A$5001,AH$3,BD!$B$3:$B$5001,$A$45,BD!$R$3:$R$5001,"&lt;&gt;")=0,"",SUMIFS(BD!$R$3:$R$5001,BD!$A$3:$A$5001,AH$3,BD!$B$3:$B$5001,$A$45)))</f>
        <v/>
      </c>
      <c r="AI49" s="254" t="str">
        <f>IF(AI$3="","",IF(COUNTIFS(BD!$A$3:$A$5001,AI$3,BD!$B$3:$B$5001,$A$45,BD!$R$3:$R$5001,"&lt;&gt;")=0,"",SUMIFS(BD!$R$3:$R$5001,BD!$A$3:$A$5001,AI$3,BD!$B$3:$B$5001,$A$45)))</f>
        <v/>
      </c>
      <c r="AJ49" s="255" t="str">
        <f>IF(AJ$3="","",IF(COUNTIFS(BD!$A$3:$A$5001,AJ$3,BD!$B$3:$B$5001,$A$45,BD!$R$3:$R$5001,"&lt;&gt;")=0,"",SUMIFS(BD!$R$3:$R$5001,BD!$A$3:$A$5001,AJ$3,BD!$B$3:$B$5001,$A$45)))</f>
        <v/>
      </c>
      <c r="AK49" s="256" t="str">
        <f>IF(COUNT(F49:AJ49)=0,"",SUM(F49:AJ49))</f>
        <v/>
      </c>
    </row>
    <row r="50" ht="15.75" customHeight="1">
      <c r="A50" s="244"/>
      <c r="B50" s="235"/>
      <c r="C50" s="175" t="inlineStr">
        <is>
          <t xml:space="preserve">Pedidos Expedidos</t>
        </is>
      </c>
      <c r="D50" s="176" t="str">
        <f>IFERROR(1/(1/INDEX(BD!$AJ$33:$BD$33,MATCH($A$45,BD!$AJ$22:$BD$22,0))),"")</f>
        <v/>
      </c>
      <c r="E50" s="177"/>
      <c r="F50" s="178" t="str">
        <f>IF(F$3="","",IF(COUNTIFS(BD!$A$3:$A$5001,F$3,BD!$B$3:$B$5001,$A$45,BD!$M$3:$M$5001,"&lt;&gt;")=0,"",SUMIFS(BD!$M$3:$M$5001,BD!$A$3:$A$5001,F$3,BD!$B$3:$B$5001,$A$45)))</f>
        <v/>
      </c>
      <c r="G50" s="179" t="str">
        <f>IF(G$3="","",IF(COUNTIFS(BD!$A$3:$A$5001,G$3,BD!$B$3:$B$5001,$A$45,BD!$M$3:$M$5001,"&lt;&gt;")=0,"",SUMIFS(BD!$M$3:$M$5001,BD!$A$3:$A$5001,G$3,BD!$B$3:$B$5001,$A$45)))</f>
        <v/>
      </c>
      <c r="H50" s="179" t="str">
        <f>IF(H$3="","",IF(COUNTIFS(BD!$A$3:$A$5001,H$3,BD!$B$3:$B$5001,$A$45,BD!$M$3:$M$5001,"&lt;&gt;")=0,"",SUMIFS(BD!$M$3:$M$5001,BD!$A$3:$A$5001,H$3,BD!$B$3:$B$5001,$A$45)))</f>
        <v/>
      </c>
      <c r="I50" s="179" t="str">
        <f>IF(I$3="","",IF(COUNTIFS(BD!$A$3:$A$5001,I$3,BD!$B$3:$B$5001,$A$45,BD!$M$3:$M$5001,"&lt;&gt;")=0,"",SUMIFS(BD!$M$3:$M$5001,BD!$A$3:$A$5001,I$3,BD!$B$3:$B$5001,$A$45)))</f>
        <v/>
      </c>
      <c r="J50" s="179" t="str">
        <f>IF(J$3="","",IF(COUNTIFS(BD!$A$3:$A$5001,J$3,BD!$B$3:$B$5001,$A$45,BD!$M$3:$M$5001,"&lt;&gt;")=0,"",SUMIFS(BD!$M$3:$M$5001,BD!$A$3:$A$5001,J$3,BD!$B$3:$B$5001,$A$45)))</f>
        <v/>
      </c>
      <c r="K50" s="179" t="str">
        <f>IF(K$3="","",IF(COUNTIFS(BD!$A$3:$A$5001,K$3,BD!$B$3:$B$5001,$A$45,BD!$M$3:$M$5001,"&lt;&gt;")=0,"",SUMIFS(BD!$M$3:$M$5001,BD!$A$3:$A$5001,K$3,BD!$B$3:$B$5001,$A$45)))</f>
        <v/>
      </c>
      <c r="L50" s="179" t="str">
        <f>IF(L$3="","",IF(COUNTIFS(BD!$A$3:$A$5001,L$3,BD!$B$3:$B$5001,$A$45,BD!$M$3:$M$5001,"&lt;&gt;")=0,"",SUMIFS(BD!$M$3:$M$5001,BD!$A$3:$A$5001,L$3,BD!$B$3:$B$5001,$A$45)))</f>
        <v/>
      </c>
      <c r="M50" s="179" t="str">
        <f>IF(M$3="","",IF(COUNTIFS(BD!$A$3:$A$5001,M$3,BD!$B$3:$B$5001,$A$45,BD!$M$3:$M$5001,"&lt;&gt;")=0,"",SUMIFS(BD!$M$3:$M$5001,BD!$A$3:$A$5001,M$3,BD!$B$3:$B$5001,$A$45)))</f>
        <v/>
      </c>
      <c r="N50" s="179" t="str">
        <f>IF(N$3="","",IF(COUNTIFS(BD!$A$3:$A$5001,N$3,BD!$B$3:$B$5001,$A$45,BD!$M$3:$M$5001,"&lt;&gt;")=0,"",SUMIFS(BD!$M$3:$M$5001,BD!$A$3:$A$5001,N$3,BD!$B$3:$B$5001,$A$45)))</f>
        <v/>
      </c>
      <c r="O50" s="179" t="str">
        <f>IF(O$3="","",IF(COUNTIFS(BD!$A$3:$A$5001,O$3,BD!$B$3:$B$5001,$A$45,BD!$M$3:$M$5001,"&lt;&gt;")=0,"",SUMIFS(BD!$M$3:$M$5001,BD!$A$3:$A$5001,O$3,BD!$B$3:$B$5001,$A$45)))</f>
        <v/>
      </c>
      <c r="P50" s="179" t="str">
        <f>IF(P$3="","",IF(COUNTIFS(BD!$A$3:$A$5001,P$3,BD!$B$3:$B$5001,$A$45,BD!$M$3:$M$5001,"&lt;&gt;")=0,"",SUMIFS(BD!$M$3:$M$5001,BD!$A$3:$A$5001,P$3,BD!$B$3:$B$5001,$A$45)))</f>
        <v/>
      </c>
      <c r="Q50" s="179" t="str">
        <f>IF(Q$3="","",IF(COUNTIFS(BD!$A$3:$A$5001,Q$3,BD!$B$3:$B$5001,$A$45,BD!$M$3:$M$5001,"&lt;&gt;")=0,"",SUMIFS(BD!$M$3:$M$5001,BD!$A$3:$A$5001,Q$3,BD!$B$3:$B$5001,$A$45)))</f>
        <v/>
      </c>
      <c r="R50" s="179" t="str">
        <f>IF(R$3="","",IF(COUNTIFS(BD!$A$3:$A$5001,R$3,BD!$B$3:$B$5001,$A$45,BD!$M$3:$M$5001,"&lt;&gt;")=0,"",SUMIFS(BD!$M$3:$M$5001,BD!$A$3:$A$5001,R$3,BD!$B$3:$B$5001,$A$45)))</f>
        <v/>
      </c>
      <c r="S50" s="179" t="str">
        <f>IF(S$3="","",IF(COUNTIFS(BD!$A$3:$A$5001,S$3,BD!$B$3:$B$5001,$A$45,BD!$M$3:$M$5001,"&lt;&gt;")=0,"",SUMIFS(BD!$M$3:$M$5001,BD!$A$3:$A$5001,S$3,BD!$B$3:$B$5001,$A$45)))</f>
        <v/>
      </c>
      <c r="T50" s="179" t="str">
        <f>IF(T$3="","",IF(COUNTIFS(BD!$A$3:$A$5001,T$3,BD!$B$3:$B$5001,$A$45,BD!$M$3:$M$5001,"&lt;&gt;")=0,"",SUMIFS(BD!$M$3:$M$5001,BD!$A$3:$A$5001,T$3,BD!$B$3:$B$5001,$A$45)))</f>
        <v/>
      </c>
      <c r="U50" s="179" t="str">
        <f>IF(U$3="","",IF(COUNTIFS(BD!$A$3:$A$5001,U$3,BD!$B$3:$B$5001,$A$45,BD!$M$3:$M$5001,"&lt;&gt;")=0,"",SUMIFS(BD!$M$3:$M$5001,BD!$A$3:$A$5001,U$3,BD!$B$3:$B$5001,$A$45)))</f>
        <v/>
      </c>
      <c r="V50" s="179" t="str">
        <f>IF(V$3="","",IF(COUNTIFS(BD!$A$3:$A$5001,V$3,BD!$B$3:$B$5001,$A$45,BD!$M$3:$M$5001,"&lt;&gt;")=0,"",SUMIFS(BD!$M$3:$M$5001,BD!$A$3:$A$5001,V$3,BD!$B$3:$B$5001,$A$45)))</f>
        <v/>
      </c>
      <c r="W50" s="179" t="str">
        <f>IF(W$3="","",IF(COUNTIFS(BD!$A$3:$A$5001,W$3,BD!$B$3:$B$5001,$A$45,BD!$M$3:$M$5001,"&lt;&gt;")=0,"",SUMIFS(BD!$M$3:$M$5001,BD!$A$3:$A$5001,W$3,BD!$B$3:$B$5001,$A$45)))</f>
        <v/>
      </c>
      <c r="X50" s="179" t="str">
        <f>IF(X$3="","",IF(COUNTIFS(BD!$A$3:$A$5001,X$3,BD!$B$3:$B$5001,$A$45,BD!$M$3:$M$5001,"&lt;&gt;")=0,"",SUMIFS(BD!$M$3:$M$5001,BD!$A$3:$A$5001,X$3,BD!$B$3:$B$5001,$A$45)))</f>
        <v/>
      </c>
      <c r="Y50" s="179" t="str">
        <f>IF(Y$3="","",IF(COUNTIFS(BD!$A$3:$A$5001,Y$3,BD!$B$3:$B$5001,$A$45,BD!$M$3:$M$5001,"&lt;&gt;")=0,"",SUMIFS(BD!$M$3:$M$5001,BD!$A$3:$A$5001,Y$3,BD!$B$3:$B$5001,$A$45)))</f>
        <v/>
      </c>
      <c r="Z50" s="179" t="str">
        <f>IF(Z$3="","",IF(COUNTIFS(BD!$A$3:$A$5001,Z$3,BD!$B$3:$B$5001,$A$45,BD!$M$3:$M$5001,"&lt;&gt;")=0,"",SUMIFS(BD!$M$3:$M$5001,BD!$A$3:$A$5001,Z$3,BD!$B$3:$B$5001,$A$45)))</f>
        <v/>
      </c>
      <c r="AA50" s="179" t="str">
        <f>IF(AA$3="","",IF(COUNTIFS(BD!$A$3:$A$5001,AA$3,BD!$B$3:$B$5001,$A$45,BD!$M$3:$M$5001,"&lt;&gt;")=0,"",SUMIFS(BD!$M$3:$M$5001,BD!$A$3:$A$5001,AA$3,BD!$B$3:$B$5001,$A$45)))</f>
        <v/>
      </c>
      <c r="AB50" s="179" t="str">
        <f>IF(AB$3="","",IF(COUNTIFS(BD!$A$3:$A$5001,AB$3,BD!$B$3:$B$5001,$A$45,BD!$M$3:$M$5001,"&lt;&gt;")=0,"",SUMIFS(BD!$M$3:$M$5001,BD!$A$3:$A$5001,AB$3,BD!$B$3:$B$5001,$A$45)))</f>
        <v/>
      </c>
      <c r="AC50" s="179" t="str">
        <f>IF(AC$3="","",IF(COUNTIFS(BD!$A$3:$A$5001,AC$3,BD!$B$3:$B$5001,$A$45,BD!$M$3:$M$5001,"&lt;&gt;")=0,"",SUMIFS(BD!$M$3:$M$5001,BD!$A$3:$A$5001,AC$3,BD!$B$3:$B$5001,$A$45)))</f>
        <v/>
      </c>
      <c r="AD50" s="179" t="str">
        <f>IF(AD$3="","",IF(COUNTIFS(BD!$A$3:$A$5001,AD$3,BD!$B$3:$B$5001,$A$45,BD!$M$3:$M$5001,"&lt;&gt;")=0,"",SUMIFS(BD!$M$3:$M$5001,BD!$A$3:$A$5001,AD$3,BD!$B$3:$B$5001,$A$45)))</f>
        <v/>
      </c>
      <c r="AE50" s="179" t="str">
        <f>IF(AE$3="","",IF(COUNTIFS(BD!$A$3:$A$5001,AE$3,BD!$B$3:$B$5001,$A$45,BD!$M$3:$M$5001,"&lt;&gt;")=0,"",SUMIFS(BD!$M$3:$M$5001,BD!$A$3:$A$5001,AE$3,BD!$B$3:$B$5001,$A$45)))</f>
        <v/>
      </c>
      <c r="AF50" s="179" t="str">
        <f>IF(AF$3="","",IF(COUNTIFS(BD!$A$3:$A$5001,AF$3,BD!$B$3:$B$5001,$A$45,BD!$M$3:$M$5001,"&lt;&gt;")=0,"",SUMIFS(BD!$M$3:$M$5001,BD!$A$3:$A$5001,AF$3,BD!$B$3:$B$5001,$A$45)))</f>
        <v/>
      </c>
      <c r="AG50" s="179" t="str">
        <f>IF(AG$3="","",IF(COUNTIFS(BD!$A$3:$A$5001,AG$3,BD!$B$3:$B$5001,$A$45,BD!$M$3:$M$5001,"&lt;&gt;")=0,"",SUMIFS(BD!$M$3:$M$5001,BD!$A$3:$A$5001,AG$3,BD!$B$3:$B$5001,$A$45)))</f>
        <v/>
      </c>
      <c r="AH50" s="179" t="str">
        <f>IF(AH$3="","",IF(COUNTIFS(BD!$A$3:$A$5001,AH$3,BD!$B$3:$B$5001,$A$45,BD!$M$3:$M$5001,"&lt;&gt;")=0,"",SUMIFS(BD!$M$3:$M$5001,BD!$A$3:$A$5001,AH$3,BD!$B$3:$B$5001,$A$45)))</f>
        <v/>
      </c>
      <c r="AI50" s="179" t="str">
        <f>IF(AI$3="","",IF(COUNTIFS(BD!$A$3:$A$5001,AI$3,BD!$B$3:$B$5001,$A$45,BD!$M$3:$M$5001,"&lt;&gt;")=0,"",SUMIFS(BD!$M$3:$M$5001,BD!$A$3:$A$5001,AI$3,BD!$B$3:$B$5001,$A$45)))</f>
        <v/>
      </c>
      <c r="AJ50" s="180" t="str">
        <f>IF(AJ$3="","",IF(COUNTIFS(BD!$A$3:$A$5001,AJ$3,BD!$B$3:$B$5001,$A$45,BD!$M$3:$M$5001,"&lt;&gt;")=0,"",SUMIFS(BD!$M$3:$M$5001,BD!$A$3:$A$5001,AJ$3,BD!$B$3:$B$5001,$A$45)))</f>
        <v/>
      </c>
      <c r="AK50" s="176" t="str">
        <f>IF(COUNT(F50:AJ50)=0,"",SUM(F50:AJ50))</f>
        <v/>
      </c>
    </row>
    <row r="51" ht="15.75" customHeight="1">
      <c r="A51" s="244"/>
      <c r="B51" s="236" t="inlineStr">
        <is>
          <t xml:space="preserve">NC</t>
        </is>
      </c>
      <c r="C51" s="181" t="inlineStr">
        <is>
          <t xml:space="preserve">Incidentes</t>
        </is>
      </c>
      <c r="D51" s="182" t="str">
        <f>IFERROR(1/(1/INDEX(BD!$AJ$40:$BD$40,MATCH($A$45,BD!$AJ$22:$BD$22,0))),"")</f>
        <v/>
      </c>
      <c r="E51" s="183"/>
      <c r="F51" s="184" t="str">
        <f>IF(F$3="","",IF(COUNTIFS(BD!$A$3:$A$5001,F$3,BD!$B$3:$B$5001,$A$45,BD!$T$3:$T$5001,"&lt;&gt;")=0,"",SUMIFS(BD!$T$3:$T$5001,BD!$A$3:$A$5001,F$3,BD!$B$3:$B$5001,$A$45)))</f>
        <v/>
      </c>
      <c r="G51" s="185" t="str">
        <f>IF(G$3="","",IF(COUNTIFS(BD!$A$3:$A$5001,G$3,BD!$B$3:$B$5001,$A$45,BD!$T$3:$T$5001,"&lt;&gt;")=0,"",SUMIFS(BD!$T$3:$T$5001,BD!$A$3:$A$5001,G$3,BD!$B$3:$B$5001,$A$45)))</f>
        <v/>
      </c>
      <c r="H51" s="185" t="str">
        <f>IF(H$3="","",IF(COUNTIFS(BD!$A$3:$A$5001,H$3,BD!$B$3:$B$5001,$A$45,BD!$T$3:$T$5001,"&lt;&gt;")=0,"",SUMIFS(BD!$T$3:$T$5001,BD!$A$3:$A$5001,H$3,BD!$B$3:$B$5001,$A$45)))</f>
        <v/>
      </c>
      <c r="I51" s="185" t="str">
        <f>IF(I$3="","",IF(COUNTIFS(BD!$A$3:$A$5001,I$3,BD!$B$3:$B$5001,$A$45,BD!$T$3:$T$5001,"&lt;&gt;")=0,"",SUMIFS(BD!$T$3:$T$5001,BD!$A$3:$A$5001,I$3,BD!$B$3:$B$5001,$A$45)))</f>
        <v/>
      </c>
      <c r="J51" s="185" t="str">
        <f>IF(J$3="","",IF(COUNTIFS(BD!$A$3:$A$5001,J$3,BD!$B$3:$B$5001,$A$45,BD!$T$3:$T$5001,"&lt;&gt;")=0,"",SUMIFS(BD!$T$3:$T$5001,BD!$A$3:$A$5001,J$3,BD!$B$3:$B$5001,$A$45)))</f>
        <v/>
      </c>
      <c r="K51" s="185" t="str">
        <f>IF(K$3="","",IF(COUNTIFS(BD!$A$3:$A$5001,K$3,BD!$B$3:$B$5001,$A$45,BD!$T$3:$T$5001,"&lt;&gt;")=0,"",SUMIFS(BD!$T$3:$T$5001,BD!$A$3:$A$5001,K$3,BD!$B$3:$B$5001,$A$45)))</f>
        <v/>
      </c>
      <c r="L51" s="185" t="str">
        <f>IF(L$3="","",IF(COUNTIFS(BD!$A$3:$A$5001,L$3,BD!$B$3:$B$5001,$A$45,BD!$T$3:$T$5001,"&lt;&gt;")=0,"",SUMIFS(BD!$T$3:$T$5001,BD!$A$3:$A$5001,L$3,BD!$B$3:$B$5001,$A$45)))</f>
        <v/>
      </c>
      <c r="M51" s="185" t="str">
        <f>IF(M$3="","",IF(COUNTIFS(BD!$A$3:$A$5001,M$3,BD!$B$3:$B$5001,$A$45,BD!$T$3:$T$5001,"&lt;&gt;")=0,"",SUMIFS(BD!$T$3:$T$5001,BD!$A$3:$A$5001,M$3,BD!$B$3:$B$5001,$A$45)))</f>
        <v/>
      </c>
      <c r="N51" s="185" t="str">
        <f>IF(N$3="","",IF(COUNTIFS(BD!$A$3:$A$5001,N$3,BD!$B$3:$B$5001,$A$45,BD!$T$3:$T$5001,"&lt;&gt;")=0,"",SUMIFS(BD!$T$3:$T$5001,BD!$A$3:$A$5001,N$3,BD!$B$3:$B$5001,$A$45)))</f>
        <v/>
      </c>
      <c r="O51" s="185" t="str">
        <f>IF(O$3="","",IF(COUNTIFS(BD!$A$3:$A$5001,O$3,BD!$B$3:$B$5001,$A$45,BD!$T$3:$T$5001,"&lt;&gt;")=0,"",SUMIFS(BD!$T$3:$T$5001,BD!$A$3:$A$5001,O$3,BD!$B$3:$B$5001,$A$45)))</f>
        <v/>
      </c>
      <c r="P51" s="185" t="str">
        <f>IF(P$3="","",IF(COUNTIFS(BD!$A$3:$A$5001,P$3,BD!$B$3:$B$5001,$A$45,BD!$T$3:$T$5001,"&lt;&gt;")=0,"",SUMIFS(BD!$T$3:$T$5001,BD!$A$3:$A$5001,P$3,BD!$B$3:$B$5001,$A$45)))</f>
        <v/>
      </c>
      <c r="Q51" s="185" t="str">
        <f>IF(Q$3="","",IF(COUNTIFS(BD!$A$3:$A$5001,Q$3,BD!$B$3:$B$5001,$A$45,BD!$T$3:$T$5001,"&lt;&gt;")=0,"",SUMIFS(BD!$T$3:$T$5001,BD!$A$3:$A$5001,Q$3,BD!$B$3:$B$5001,$A$45)))</f>
        <v/>
      </c>
      <c r="R51" s="185" t="str">
        <f>IF(R$3="","",IF(COUNTIFS(BD!$A$3:$A$5001,R$3,BD!$B$3:$B$5001,$A$45,BD!$T$3:$T$5001,"&lt;&gt;")=0,"",SUMIFS(BD!$T$3:$T$5001,BD!$A$3:$A$5001,R$3,BD!$B$3:$B$5001,$A$45)))</f>
        <v/>
      </c>
      <c r="S51" s="185" t="str">
        <f>IF(S$3="","",IF(COUNTIFS(BD!$A$3:$A$5001,S$3,BD!$B$3:$B$5001,$A$45,BD!$T$3:$T$5001,"&lt;&gt;")=0,"",SUMIFS(BD!$T$3:$T$5001,BD!$A$3:$A$5001,S$3,BD!$B$3:$B$5001,$A$45)))</f>
        <v/>
      </c>
      <c r="T51" s="185" t="str">
        <f>IF(T$3="","",IF(COUNTIFS(BD!$A$3:$A$5001,T$3,BD!$B$3:$B$5001,$A$45,BD!$T$3:$T$5001,"&lt;&gt;")=0,"",SUMIFS(BD!$T$3:$T$5001,BD!$A$3:$A$5001,T$3,BD!$B$3:$B$5001,$A$45)))</f>
        <v/>
      </c>
      <c r="U51" s="185" t="str">
        <f>IF(U$3="","",IF(COUNTIFS(BD!$A$3:$A$5001,U$3,BD!$B$3:$B$5001,$A$45,BD!$T$3:$T$5001,"&lt;&gt;")=0,"",SUMIFS(BD!$T$3:$T$5001,BD!$A$3:$A$5001,U$3,BD!$B$3:$B$5001,$A$45)))</f>
        <v/>
      </c>
      <c r="V51" s="185" t="str">
        <f>IF(V$3="","",IF(COUNTIFS(BD!$A$3:$A$5001,V$3,BD!$B$3:$B$5001,$A$45,BD!$T$3:$T$5001,"&lt;&gt;")=0,"",SUMIFS(BD!$T$3:$T$5001,BD!$A$3:$A$5001,V$3,BD!$B$3:$B$5001,$A$45)))</f>
        <v/>
      </c>
      <c r="W51" s="185" t="str">
        <f>IF(W$3="","",IF(COUNTIFS(BD!$A$3:$A$5001,W$3,BD!$B$3:$B$5001,$A$45,BD!$T$3:$T$5001,"&lt;&gt;")=0,"",SUMIFS(BD!$T$3:$T$5001,BD!$A$3:$A$5001,W$3,BD!$B$3:$B$5001,$A$45)))</f>
        <v/>
      </c>
      <c r="X51" s="185" t="str">
        <f>IF(X$3="","",IF(COUNTIFS(BD!$A$3:$A$5001,X$3,BD!$B$3:$B$5001,$A$45,BD!$T$3:$T$5001,"&lt;&gt;")=0,"",SUMIFS(BD!$T$3:$T$5001,BD!$A$3:$A$5001,X$3,BD!$B$3:$B$5001,$A$45)))</f>
        <v/>
      </c>
      <c r="Y51" s="185" t="str">
        <f>IF(Y$3="","",IF(COUNTIFS(BD!$A$3:$A$5001,Y$3,BD!$B$3:$B$5001,$A$45,BD!$T$3:$T$5001,"&lt;&gt;")=0,"",SUMIFS(BD!$T$3:$T$5001,BD!$A$3:$A$5001,Y$3,BD!$B$3:$B$5001,$A$45)))</f>
        <v/>
      </c>
      <c r="Z51" s="185" t="str">
        <f>IF(Z$3="","",IF(COUNTIFS(BD!$A$3:$A$5001,Z$3,BD!$B$3:$B$5001,$A$45,BD!$T$3:$T$5001,"&lt;&gt;")=0,"",SUMIFS(BD!$T$3:$T$5001,BD!$A$3:$A$5001,Z$3,BD!$B$3:$B$5001,$A$45)))</f>
        <v/>
      </c>
      <c r="AA51" s="185" t="str">
        <f>IF(AA$3="","",IF(COUNTIFS(BD!$A$3:$A$5001,AA$3,BD!$B$3:$B$5001,$A$45,BD!$T$3:$T$5001,"&lt;&gt;")=0,"",SUMIFS(BD!$T$3:$T$5001,BD!$A$3:$A$5001,AA$3,BD!$B$3:$B$5001,$A$45)))</f>
        <v/>
      </c>
      <c r="AB51" s="185" t="str">
        <f>IF(AB$3="","",IF(COUNTIFS(BD!$A$3:$A$5001,AB$3,BD!$B$3:$B$5001,$A$45,BD!$T$3:$T$5001,"&lt;&gt;")=0,"",SUMIFS(BD!$T$3:$T$5001,BD!$A$3:$A$5001,AB$3,BD!$B$3:$B$5001,$A$45)))</f>
        <v/>
      </c>
      <c r="AC51" s="185" t="str">
        <f>IF(AC$3="","",IF(COUNTIFS(BD!$A$3:$A$5001,AC$3,BD!$B$3:$B$5001,$A$45,BD!$T$3:$T$5001,"&lt;&gt;")=0,"",SUMIFS(BD!$T$3:$T$5001,BD!$A$3:$A$5001,AC$3,BD!$B$3:$B$5001,$A$45)))</f>
        <v/>
      </c>
      <c r="AD51" s="185" t="str">
        <f>IF(AD$3="","",IF(COUNTIFS(BD!$A$3:$A$5001,AD$3,BD!$B$3:$B$5001,$A$45,BD!$T$3:$T$5001,"&lt;&gt;")=0,"",SUMIFS(BD!$T$3:$T$5001,BD!$A$3:$A$5001,AD$3,BD!$B$3:$B$5001,$A$45)))</f>
        <v/>
      </c>
      <c r="AE51" s="185" t="str">
        <f>IF(AE$3="","",IF(COUNTIFS(BD!$A$3:$A$5001,AE$3,BD!$B$3:$B$5001,$A$45,BD!$T$3:$T$5001,"&lt;&gt;")=0,"",SUMIFS(BD!$T$3:$T$5001,BD!$A$3:$A$5001,AE$3,BD!$B$3:$B$5001,$A$45)))</f>
        <v/>
      </c>
      <c r="AF51" s="185" t="str">
        <f>IF(AF$3="","",IF(COUNTIFS(BD!$A$3:$A$5001,AF$3,BD!$B$3:$B$5001,$A$45,BD!$T$3:$T$5001,"&lt;&gt;")=0,"",SUMIFS(BD!$T$3:$T$5001,BD!$A$3:$A$5001,AF$3,BD!$B$3:$B$5001,$A$45)))</f>
        <v/>
      </c>
      <c r="AG51" s="185" t="str">
        <f>IF(AG$3="","",IF(COUNTIFS(BD!$A$3:$A$5001,AG$3,BD!$B$3:$B$5001,$A$45,BD!$T$3:$T$5001,"&lt;&gt;")=0,"",SUMIFS(BD!$T$3:$T$5001,BD!$A$3:$A$5001,AG$3,BD!$B$3:$B$5001,$A$45)))</f>
        <v/>
      </c>
      <c r="AH51" s="185" t="str">
        <f>IF(AH$3="","",IF(COUNTIFS(BD!$A$3:$A$5001,AH$3,BD!$B$3:$B$5001,$A$45,BD!$T$3:$T$5001,"&lt;&gt;")=0,"",SUMIFS(BD!$T$3:$T$5001,BD!$A$3:$A$5001,AH$3,BD!$B$3:$B$5001,$A$45)))</f>
        <v/>
      </c>
      <c r="AI51" s="185" t="str">
        <f>IF(AI$3="","",IF(COUNTIFS(BD!$A$3:$A$5001,AI$3,BD!$B$3:$B$5001,$A$45,BD!$T$3:$T$5001,"&lt;&gt;")=0,"",SUMIFS(BD!$T$3:$T$5001,BD!$A$3:$A$5001,AI$3,BD!$B$3:$B$5001,$A$45)))</f>
        <v/>
      </c>
      <c r="AJ51" s="186" t="str">
        <f>IF(AJ$3="","",IF(COUNTIFS(BD!$A$3:$A$5001,AJ$3,BD!$B$3:$B$5001,$A$45,BD!$T$3:$T$5001,"&lt;&gt;")=0,"",SUMIFS(BD!$T$3:$T$5001,BD!$A$3:$A$5001,AJ$3,BD!$B$3:$B$5001,$A$45)))</f>
        <v/>
      </c>
      <c r="AK51" s="187" t="str">
        <f>IF(COUNT(F51:AJ51)=0,"",SUM(F51:AJ51))</f>
        <v/>
      </c>
    </row>
    <row r="52" ht="15.75" customHeight="1">
      <c r="A52" s="244"/>
      <c r="B52" s="237"/>
      <c r="C52" s="188" t="inlineStr">
        <is>
          <t xml:space="preserve">No show</t>
        </is>
      </c>
      <c r="D52" s="189" t="str">
        <f>IFERROR(1/(1/INDEX(BD!$AJ$41:$BD$41,MATCH($A$45,BD!$AJ$22:$BD$22,0))),"")</f>
        <v/>
      </c>
      <c r="E52" s="190"/>
      <c r="F52" s="191" t="str">
        <f>IF(F$3="","",IF(COUNTIFS(BD!$A$3:$A$5001,F$3,BD!$B$3:$B$5001,$A$45,BD!$U$3:$U$5001,"&lt;&gt;")=0,"",SUMIFS(BD!$U$3:$U$5001,BD!$A$3:$A$5001,F$3,BD!$B$3:$B$5001,$A$45)))</f>
        <v/>
      </c>
      <c r="G52" s="192" t="str">
        <f>IF(G$3="","",IF(COUNTIFS(BD!$A$3:$A$5001,G$3,BD!$B$3:$B$5001,$A$45,BD!$U$3:$U$5001,"&lt;&gt;")=0,"",SUMIFS(BD!$U$3:$U$5001,BD!$A$3:$A$5001,G$3,BD!$B$3:$B$5001,$A$45)))</f>
        <v/>
      </c>
      <c r="H52" s="192" t="str">
        <f>IF(H$3="","",IF(COUNTIFS(BD!$A$3:$A$5001,H$3,BD!$B$3:$B$5001,$A$45,BD!$U$3:$U$5001,"&lt;&gt;")=0,"",SUMIFS(BD!$U$3:$U$5001,BD!$A$3:$A$5001,H$3,BD!$B$3:$B$5001,$A$45)))</f>
        <v/>
      </c>
      <c r="I52" s="192" t="str">
        <f>IF(I$3="","",IF(COUNTIFS(BD!$A$3:$A$5001,I$3,BD!$B$3:$B$5001,$A$45,BD!$U$3:$U$5001,"&lt;&gt;")=0,"",SUMIFS(BD!$U$3:$U$5001,BD!$A$3:$A$5001,I$3,BD!$B$3:$B$5001,$A$45)))</f>
        <v/>
      </c>
      <c r="J52" s="192" t="str">
        <f>IF(J$3="","",IF(COUNTIFS(BD!$A$3:$A$5001,J$3,BD!$B$3:$B$5001,$A$45,BD!$U$3:$U$5001,"&lt;&gt;")=0,"",SUMIFS(BD!$U$3:$U$5001,BD!$A$3:$A$5001,J$3,BD!$B$3:$B$5001,$A$45)))</f>
        <v/>
      </c>
      <c r="K52" s="192" t="str">
        <f>IF(K$3="","",IF(COUNTIFS(BD!$A$3:$A$5001,K$3,BD!$B$3:$B$5001,$A$45,BD!$U$3:$U$5001,"&lt;&gt;")=0,"",SUMIFS(BD!$U$3:$U$5001,BD!$A$3:$A$5001,K$3,BD!$B$3:$B$5001,$A$45)))</f>
        <v/>
      </c>
      <c r="L52" s="192" t="str">
        <f>IF(L$3="","",IF(COUNTIFS(BD!$A$3:$A$5001,L$3,BD!$B$3:$B$5001,$A$45,BD!$U$3:$U$5001,"&lt;&gt;")=0,"",SUMIFS(BD!$U$3:$U$5001,BD!$A$3:$A$5001,L$3,BD!$B$3:$B$5001,$A$45)))</f>
        <v/>
      </c>
      <c r="M52" s="192" t="str">
        <f>IF(M$3="","",IF(COUNTIFS(BD!$A$3:$A$5001,M$3,BD!$B$3:$B$5001,$A$45,BD!$U$3:$U$5001,"&lt;&gt;")=0,"",SUMIFS(BD!$U$3:$U$5001,BD!$A$3:$A$5001,M$3,BD!$B$3:$B$5001,$A$45)))</f>
        <v/>
      </c>
      <c r="N52" s="192" t="str">
        <f>IF(N$3="","",IF(COUNTIFS(BD!$A$3:$A$5001,N$3,BD!$B$3:$B$5001,$A$45,BD!$U$3:$U$5001,"&lt;&gt;")=0,"",SUMIFS(BD!$U$3:$U$5001,BD!$A$3:$A$5001,N$3,BD!$B$3:$B$5001,$A$45)))</f>
        <v/>
      </c>
      <c r="O52" s="192" t="str">
        <f>IF(O$3="","",IF(COUNTIFS(BD!$A$3:$A$5001,O$3,BD!$B$3:$B$5001,$A$45,BD!$U$3:$U$5001,"&lt;&gt;")=0,"",SUMIFS(BD!$U$3:$U$5001,BD!$A$3:$A$5001,O$3,BD!$B$3:$B$5001,$A$45)))</f>
        <v/>
      </c>
      <c r="P52" s="192" t="str">
        <f>IF(P$3="","",IF(COUNTIFS(BD!$A$3:$A$5001,P$3,BD!$B$3:$B$5001,$A$45,BD!$U$3:$U$5001,"&lt;&gt;")=0,"",SUMIFS(BD!$U$3:$U$5001,BD!$A$3:$A$5001,P$3,BD!$B$3:$B$5001,$A$45)))</f>
        <v/>
      </c>
      <c r="Q52" s="192" t="str">
        <f>IF(Q$3="","",IF(COUNTIFS(BD!$A$3:$A$5001,Q$3,BD!$B$3:$B$5001,$A$45,BD!$U$3:$U$5001,"&lt;&gt;")=0,"",SUMIFS(BD!$U$3:$U$5001,BD!$A$3:$A$5001,Q$3,BD!$B$3:$B$5001,$A$45)))</f>
        <v/>
      </c>
      <c r="R52" s="192" t="str">
        <f>IF(R$3="","",IF(COUNTIFS(BD!$A$3:$A$5001,R$3,BD!$B$3:$B$5001,$A$45,BD!$U$3:$U$5001,"&lt;&gt;")=0,"",SUMIFS(BD!$U$3:$U$5001,BD!$A$3:$A$5001,R$3,BD!$B$3:$B$5001,$A$45)))</f>
        <v/>
      </c>
      <c r="S52" s="192" t="str">
        <f>IF(S$3="","",IF(COUNTIFS(BD!$A$3:$A$5001,S$3,BD!$B$3:$B$5001,$A$45,BD!$U$3:$U$5001,"&lt;&gt;")=0,"",SUMIFS(BD!$U$3:$U$5001,BD!$A$3:$A$5001,S$3,BD!$B$3:$B$5001,$A$45)))</f>
        <v/>
      </c>
      <c r="T52" s="192" t="str">
        <f>IF(T$3="","",IF(COUNTIFS(BD!$A$3:$A$5001,T$3,BD!$B$3:$B$5001,$A$45,BD!$U$3:$U$5001,"&lt;&gt;")=0,"",SUMIFS(BD!$U$3:$U$5001,BD!$A$3:$A$5001,T$3,BD!$B$3:$B$5001,$A$45)))</f>
        <v/>
      </c>
      <c r="U52" s="192" t="str">
        <f>IF(U$3="","",IF(COUNTIFS(BD!$A$3:$A$5001,U$3,BD!$B$3:$B$5001,$A$45,BD!$U$3:$U$5001,"&lt;&gt;")=0,"",SUMIFS(BD!$U$3:$U$5001,BD!$A$3:$A$5001,U$3,BD!$B$3:$B$5001,$A$45)))</f>
        <v/>
      </c>
      <c r="V52" s="192" t="str">
        <f>IF(V$3="","",IF(COUNTIFS(BD!$A$3:$A$5001,V$3,BD!$B$3:$B$5001,$A$45,BD!$U$3:$U$5001,"&lt;&gt;")=0,"",SUMIFS(BD!$U$3:$U$5001,BD!$A$3:$A$5001,V$3,BD!$B$3:$B$5001,$A$45)))</f>
        <v/>
      </c>
      <c r="W52" s="192" t="str">
        <f>IF(W$3="","",IF(COUNTIFS(BD!$A$3:$A$5001,W$3,BD!$B$3:$B$5001,$A$45,BD!$U$3:$U$5001,"&lt;&gt;")=0,"",SUMIFS(BD!$U$3:$U$5001,BD!$A$3:$A$5001,W$3,BD!$B$3:$B$5001,$A$45)))</f>
        <v/>
      </c>
      <c r="X52" s="192" t="str">
        <f>IF(X$3="","",IF(COUNTIFS(BD!$A$3:$A$5001,X$3,BD!$B$3:$B$5001,$A$45,BD!$U$3:$U$5001,"&lt;&gt;")=0,"",SUMIFS(BD!$U$3:$U$5001,BD!$A$3:$A$5001,X$3,BD!$B$3:$B$5001,$A$45)))</f>
        <v/>
      </c>
      <c r="Y52" s="192" t="str">
        <f>IF(Y$3="","",IF(COUNTIFS(BD!$A$3:$A$5001,Y$3,BD!$B$3:$B$5001,$A$45,BD!$U$3:$U$5001,"&lt;&gt;")=0,"",SUMIFS(BD!$U$3:$U$5001,BD!$A$3:$A$5001,Y$3,BD!$B$3:$B$5001,$A$45)))</f>
        <v/>
      </c>
      <c r="Z52" s="192" t="str">
        <f>IF(Z$3="","",IF(COUNTIFS(BD!$A$3:$A$5001,Z$3,BD!$B$3:$B$5001,$A$45,BD!$U$3:$U$5001,"&lt;&gt;")=0,"",SUMIFS(BD!$U$3:$U$5001,BD!$A$3:$A$5001,Z$3,BD!$B$3:$B$5001,$A$45)))</f>
        <v/>
      </c>
      <c r="AA52" s="192" t="str">
        <f>IF(AA$3="","",IF(COUNTIFS(BD!$A$3:$A$5001,AA$3,BD!$B$3:$B$5001,$A$45,BD!$U$3:$U$5001,"&lt;&gt;")=0,"",SUMIFS(BD!$U$3:$U$5001,BD!$A$3:$A$5001,AA$3,BD!$B$3:$B$5001,$A$45)))</f>
        <v/>
      </c>
      <c r="AB52" s="192" t="str">
        <f>IF(AB$3="","",IF(COUNTIFS(BD!$A$3:$A$5001,AB$3,BD!$B$3:$B$5001,$A$45,BD!$U$3:$U$5001,"&lt;&gt;")=0,"",SUMIFS(BD!$U$3:$U$5001,BD!$A$3:$A$5001,AB$3,BD!$B$3:$B$5001,$A$45)))</f>
        <v/>
      </c>
      <c r="AC52" s="192" t="str">
        <f>IF(AC$3="","",IF(COUNTIFS(BD!$A$3:$A$5001,AC$3,BD!$B$3:$B$5001,$A$45,BD!$U$3:$U$5001,"&lt;&gt;")=0,"",SUMIFS(BD!$U$3:$U$5001,BD!$A$3:$A$5001,AC$3,BD!$B$3:$B$5001,$A$45)))</f>
        <v/>
      </c>
      <c r="AD52" s="192" t="str">
        <f>IF(AD$3="","",IF(COUNTIFS(BD!$A$3:$A$5001,AD$3,BD!$B$3:$B$5001,$A$45,BD!$U$3:$U$5001,"&lt;&gt;")=0,"",SUMIFS(BD!$U$3:$U$5001,BD!$A$3:$A$5001,AD$3,BD!$B$3:$B$5001,$A$45)))</f>
        <v/>
      </c>
      <c r="AE52" s="192" t="str">
        <f>IF(AE$3="","",IF(COUNTIFS(BD!$A$3:$A$5001,AE$3,BD!$B$3:$B$5001,$A$45,BD!$U$3:$U$5001,"&lt;&gt;")=0,"",SUMIFS(BD!$U$3:$U$5001,BD!$A$3:$A$5001,AE$3,BD!$B$3:$B$5001,$A$45)))</f>
        <v/>
      </c>
      <c r="AF52" s="192" t="str">
        <f>IF(AF$3="","",IF(COUNTIFS(BD!$A$3:$A$5001,AF$3,BD!$B$3:$B$5001,$A$45,BD!$U$3:$U$5001,"&lt;&gt;")=0,"",SUMIFS(BD!$U$3:$U$5001,BD!$A$3:$A$5001,AF$3,BD!$B$3:$B$5001,$A$45)))</f>
        <v/>
      </c>
      <c r="AG52" s="192" t="str">
        <f>IF(AG$3="","",IF(COUNTIFS(BD!$A$3:$A$5001,AG$3,BD!$B$3:$B$5001,$A$45,BD!$U$3:$U$5001,"&lt;&gt;")=0,"",SUMIFS(BD!$U$3:$U$5001,BD!$A$3:$A$5001,AG$3,BD!$B$3:$B$5001,$A$45)))</f>
        <v/>
      </c>
      <c r="AH52" s="192" t="str">
        <f>IF(AH$3="","",IF(COUNTIFS(BD!$A$3:$A$5001,AH$3,BD!$B$3:$B$5001,$A$45,BD!$U$3:$U$5001,"&lt;&gt;")=0,"",SUMIFS(BD!$U$3:$U$5001,BD!$A$3:$A$5001,AH$3,BD!$B$3:$B$5001,$A$45)))</f>
        <v/>
      </c>
      <c r="AI52" s="192" t="str">
        <f>IF(AI$3="","",IF(COUNTIFS(BD!$A$3:$A$5001,AI$3,BD!$B$3:$B$5001,$A$45,BD!$U$3:$U$5001,"&lt;&gt;")=0,"",SUMIFS(BD!$U$3:$U$5001,BD!$A$3:$A$5001,AI$3,BD!$B$3:$B$5001,$A$45)))</f>
        <v/>
      </c>
      <c r="AJ52" s="193" t="str">
        <f>IF(AJ$3="","",IF(COUNTIFS(BD!$A$3:$A$5001,AJ$3,BD!$B$3:$B$5001,$A$45,BD!$U$3:$U$5001,"&lt;&gt;")=0,"",SUMIFS(BD!$U$3:$U$5001,BD!$A$3:$A$5001,AJ$3,BD!$B$3:$B$5001,$A$45)))</f>
        <v/>
      </c>
      <c r="AK52" s="194" t="str">
        <f>IF(COUNT(F52:AJ52)=0,"",SUM(F52:AJ52))</f>
        <v/>
      </c>
    </row>
    <row r="53" ht="15.75" customHeight="1">
      <c r="A53" s="244"/>
      <c r="B53" s="238"/>
      <c r="C53" s="195" t="inlineStr">
        <is>
          <t xml:space="preserve">Backlog</t>
        </is>
      </c>
      <c r="D53" s="196" t="str">
        <f>IFERROR(1/(1/INDEX(BD!$AJ$42:$BD$42,MATCH($A$45,BD!$AJ$22:$BD$22,0))),"")</f>
        <v/>
      </c>
      <c r="E53" s="197"/>
      <c r="F53" s="198" t="str">
        <f>IF(F$3="","",IF(COUNTIFS(BD!$A$3:$A$5001,F$3,BD!$B$3:$B$5001,$A$45,BD!$V$3:$V$5001,"&lt;&gt;")=0,"",SUMIFS(BD!$V$3:$V$5001,BD!$A$3:$A$5001,F$3,BD!$B$3:$B$5001,$A$45)))</f>
        <v/>
      </c>
      <c r="G53" s="199" t="str">
        <f>IF(G$3="","",IF(COUNTIFS(BD!$A$3:$A$5001,G$3,BD!$B$3:$B$5001,$A$45,BD!$V$3:$V$5001,"&lt;&gt;")=0,"",SUMIFS(BD!$V$3:$V$5001,BD!$A$3:$A$5001,G$3,BD!$B$3:$B$5001,$A$45)))</f>
        <v/>
      </c>
      <c r="H53" s="199" t="str">
        <f>IF(H$3="","",IF(COUNTIFS(BD!$A$3:$A$5001,H$3,BD!$B$3:$B$5001,$A$45,BD!$V$3:$V$5001,"&lt;&gt;")=0,"",SUMIFS(BD!$V$3:$V$5001,BD!$A$3:$A$5001,H$3,BD!$B$3:$B$5001,$A$45)))</f>
        <v/>
      </c>
      <c r="I53" s="199" t="str">
        <f>IF(I$3="","",IF(COUNTIFS(BD!$A$3:$A$5001,I$3,BD!$B$3:$B$5001,$A$45,BD!$V$3:$V$5001,"&lt;&gt;")=0,"",SUMIFS(BD!$V$3:$V$5001,BD!$A$3:$A$5001,I$3,BD!$B$3:$B$5001,$A$45)))</f>
        <v/>
      </c>
      <c r="J53" s="199" t="str">
        <f>IF(J$3="","",IF(COUNTIFS(BD!$A$3:$A$5001,J$3,BD!$B$3:$B$5001,$A$45,BD!$V$3:$V$5001,"&lt;&gt;")=0,"",SUMIFS(BD!$V$3:$V$5001,BD!$A$3:$A$5001,J$3,BD!$B$3:$B$5001,$A$45)))</f>
        <v/>
      </c>
      <c r="K53" s="199" t="str">
        <f>IF(K$3="","",IF(COUNTIFS(BD!$A$3:$A$5001,K$3,BD!$B$3:$B$5001,$A$45,BD!$V$3:$V$5001,"&lt;&gt;")=0,"",SUMIFS(BD!$V$3:$V$5001,BD!$A$3:$A$5001,K$3,BD!$B$3:$B$5001,$A$45)))</f>
        <v/>
      </c>
      <c r="L53" s="199" t="str">
        <f>IF(L$3="","",IF(COUNTIFS(BD!$A$3:$A$5001,L$3,BD!$B$3:$B$5001,$A$45,BD!$V$3:$V$5001,"&lt;&gt;")=0,"",SUMIFS(BD!$V$3:$V$5001,BD!$A$3:$A$5001,L$3,BD!$B$3:$B$5001,$A$45)))</f>
        <v/>
      </c>
      <c r="M53" s="199" t="str">
        <f>IF(M$3="","",IF(COUNTIFS(BD!$A$3:$A$5001,M$3,BD!$B$3:$B$5001,$A$45,BD!$V$3:$V$5001,"&lt;&gt;")=0,"",SUMIFS(BD!$V$3:$V$5001,BD!$A$3:$A$5001,M$3,BD!$B$3:$B$5001,$A$45)))</f>
        <v/>
      </c>
      <c r="N53" s="199" t="str">
        <f>IF(N$3="","",IF(COUNTIFS(BD!$A$3:$A$5001,N$3,BD!$B$3:$B$5001,$A$45,BD!$V$3:$V$5001,"&lt;&gt;")=0,"",SUMIFS(BD!$V$3:$V$5001,BD!$A$3:$A$5001,N$3,BD!$B$3:$B$5001,$A$45)))</f>
        <v/>
      </c>
      <c r="O53" s="199" t="str">
        <f>IF(O$3="","",IF(COUNTIFS(BD!$A$3:$A$5001,O$3,BD!$B$3:$B$5001,$A$45,BD!$V$3:$V$5001,"&lt;&gt;")=0,"",SUMIFS(BD!$V$3:$V$5001,BD!$A$3:$A$5001,O$3,BD!$B$3:$B$5001,$A$45)))</f>
        <v/>
      </c>
      <c r="P53" s="199" t="str">
        <f>IF(P$3="","",IF(COUNTIFS(BD!$A$3:$A$5001,P$3,BD!$B$3:$B$5001,$A$45,BD!$V$3:$V$5001,"&lt;&gt;")=0,"",SUMIFS(BD!$V$3:$V$5001,BD!$A$3:$A$5001,P$3,BD!$B$3:$B$5001,$A$45)))</f>
        <v/>
      </c>
      <c r="Q53" s="199" t="str">
        <f>IF(Q$3="","",IF(COUNTIFS(BD!$A$3:$A$5001,Q$3,BD!$B$3:$B$5001,$A$45,BD!$V$3:$V$5001,"&lt;&gt;")=0,"",SUMIFS(BD!$V$3:$V$5001,BD!$A$3:$A$5001,Q$3,BD!$B$3:$B$5001,$A$45)))</f>
        <v/>
      </c>
      <c r="R53" s="199" t="str">
        <f>IF(R$3="","",IF(COUNTIFS(BD!$A$3:$A$5001,R$3,BD!$B$3:$B$5001,$A$45,BD!$V$3:$V$5001,"&lt;&gt;")=0,"",SUMIFS(BD!$V$3:$V$5001,BD!$A$3:$A$5001,R$3,BD!$B$3:$B$5001,$A$45)))</f>
        <v/>
      </c>
      <c r="S53" s="199" t="str">
        <f>IF(S$3="","",IF(COUNTIFS(BD!$A$3:$A$5001,S$3,BD!$B$3:$B$5001,$A$45,BD!$V$3:$V$5001,"&lt;&gt;")=0,"",SUMIFS(BD!$V$3:$V$5001,BD!$A$3:$A$5001,S$3,BD!$B$3:$B$5001,$A$45)))</f>
        <v/>
      </c>
      <c r="T53" s="199" t="str">
        <f>IF(T$3="","",IF(COUNTIFS(BD!$A$3:$A$5001,T$3,BD!$B$3:$B$5001,$A$45,BD!$V$3:$V$5001,"&lt;&gt;")=0,"",SUMIFS(BD!$V$3:$V$5001,BD!$A$3:$A$5001,T$3,BD!$B$3:$B$5001,$A$45)))</f>
        <v/>
      </c>
      <c r="U53" s="199" t="str">
        <f>IF(U$3="","",IF(COUNTIFS(BD!$A$3:$A$5001,U$3,BD!$B$3:$B$5001,$A$45,BD!$V$3:$V$5001,"&lt;&gt;")=0,"",SUMIFS(BD!$V$3:$V$5001,BD!$A$3:$A$5001,U$3,BD!$B$3:$B$5001,$A$45)))</f>
        <v/>
      </c>
      <c r="V53" s="199" t="str">
        <f>IF(V$3="","",IF(COUNTIFS(BD!$A$3:$A$5001,V$3,BD!$B$3:$B$5001,$A$45,BD!$V$3:$V$5001,"&lt;&gt;")=0,"",SUMIFS(BD!$V$3:$V$5001,BD!$A$3:$A$5001,V$3,BD!$B$3:$B$5001,$A$45)))</f>
        <v/>
      </c>
      <c r="W53" s="199" t="str">
        <f>IF(W$3="","",IF(COUNTIFS(BD!$A$3:$A$5001,W$3,BD!$B$3:$B$5001,$A$45,BD!$V$3:$V$5001,"&lt;&gt;")=0,"",SUMIFS(BD!$V$3:$V$5001,BD!$A$3:$A$5001,W$3,BD!$B$3:$B$5001,$A$45)))</f>
        <v/>
      </c>
      <c r="X53" s="199" t="str">
        <f>IF(X$3="","",IF(COUNTIFS(BD!$A$3:$A$5001,X$3,BD!$B$3:$B$5001,$A$45,BD!$V$3:$V$5001,"&lt;&gt;")=0,"",SUMIFS(BD!$V$3:$V$5001,BD!$A$3:$A$5001,X$3,BD!$B$3:$B$5001,$A$45)))</f>
        <v/>
      </c>
      <c r="Y53" s="199" t="str">
        <f>IF(Y$3="","",IF(COUNTIFS(BD!$A$3:$A$5001,Y$3,BD!$B$3:$B$5001,$A$45,BD!$V$3:$V$5001,"&lt;&gt;")=0,"",SUMIFS(BD!$V$3:$V$5001,BD!$A$3:$A$5001,Y$3,BD!$B$3:$B$5001,$A$45)))</f>
        <v/>
      </c>
      <c r="Z53" s="199" t="str">
        <f>IF(Z$3="","",IF(COUNTIFS(BD!$A$3:$A$5001,Z$3,BD!$B$3:$B$5001,$A$45,BD!$V$3:$V$5001,"&lt;&gt;")=0,"",SUMIFS(BD!$V$3:$V$5001,BD!$A$3:$A$5001,Z$3,BD!$B$3:$B$5001,$A$45)))</f>
        <v/>
      </c>
      <c r="AA53" s="199" t="str">
        <f>IF(AA$3="","",IF(COUNTIFS(BD!$A$3:$A$5001,AA$3,BD!$B$3:$B$5001,$A$45,BD!$V$3:$V$5001,"&lt;&gt;")=0,"",SUMIFS(BD!$V$3:$V$5001,BD!$A$3:$A$5001,AA$3,BD!$B$3:$B$5001,$A$45)))</f>
        <v/>
      </c>
      <c r="AB53" s="199" t="str">
        <f>IF(AB$3="","",IF(COUNTIFS(BD!$A$3:$A$5001,AB$3,BD!$B$3:$B$5001,$A$45,BD!$V$3:$V$5001,"&lt;&gt;")=0,"",SUMIFS(BD!$V$3:$V$5001,BD!$A$3:$A$5001,AB$3,BD!$B$3:$B$5001,$A$45)))</f>
        <v/>
      </c>
      <c r="AC53" s="199" t="str">
        <f>IF(AC$3="","",IF(COUNTIFS(BD!$A$3:$A$5001,AC$3,BD!$B$3:$B$5001,$A$45,BD!$V$3:$V$5001,"&lt;&gt;")=0,"",SUMIFS(BD!$V$3:$V$5001,BD!$A$3:$A$5001,AC$3,BD!$B$3:$B$5001,$A$45)))</f>
        <v/>
      </c>
      <c r="AD53" s="199" t="str">
        <f>IF(AD$3="","",IF(COUNTIFS(BD!$A$3:$A$5001,AD$3,BD!$B$3:$B$5001,$A$45,BD!$V$3:$V$5001,"&lt;&gt;")=0,"",SUMIFS(BD!$V$3:$V$5001,BD!$A$3:$A$5001,AD$3,BD!$B$3:$B$5001,$A$45)))</f>
        <v/>
      </c>
      <c r="AE53" s="199" t="str">
        <f>IF(AE$3="","",IF(COUNTIFS(BD!$A$3:$A$5001,AE$3,BD!$B$3:$B$5001,$A$45,BD!$V$3:$V$5001,"&lt;&gt;")=0,"",SUMIFS(BD!$V$3:$V$5001,BD!$A$3:$A$5001,AE$3,BD!$B$3:$B$5001,$A$45)))</f>
        <v/>
      </c>
      <c r="AF53" s="199" t="str">
        <f>IF(AF$3="","",IF(COUNTIFS(BD!$A$3:$A$5001,AF$3,BD!$B$3:$B$5001,$A$45,BD!$V$3:$V$5001,"&lt;&gt;")=0,"",SUMIFS(BD!$V$3:$V$5001,BD!$A$3:$A$5001,AF$3,BD!$B$3:$B$5001,$A$45)))</f>
        <v/>
      </c>
      <c r="AG53" s="199" t="str">
        <f>IF(AG$3="","",IF(COUNTIFS(BD!$A$3:$A$5001,AG$3,BD!$B$3:$B$5001,$A$45,BD!$V$3:$V$5001,"&lt;&gt;")=0,"",SUMIFS(BD!$V$3:$V$5001,BD!$A$3:$A$5001,AG$3,BD!$B$3:$B$5001,$A$45)))</f>
        <v/>
      </c>
      <c r="AH53" s="199" t="str">
        <f>IF(AH$3="","",IF(COUNTIFS(BD!$A$3:$A$5001,AH$3,BD!$B$3:$B$5001,$A$45,BD!$V$3:$V$5001,"&lt;&gt;")=0,"",SUMIFS(BD!$V$3:$V$5001,BD!$A$3:$A$5001,AH$3,BD!$B$3:$B$5001,$A$45)))</f>
        <v/>
      </c>
      <c r="AI53" s="199" t="str">
        <f>IF(AI$3="","",IF(COUNTIFS(BD!$A$3:$A$5001,AI$3,BD!$B$3:$B$5001,$A$45,BD!$V$3:$V$5001,"&lt;&gt;")=0,"",SUMIFS(BD!$V$3:$V$5001,BD!$A$3:$A$5001,AI$3,BD!$B$3:$B$5001,$A$45)))</f>
        <v/>
      </c>
      <c r="AJ53" s="200" t="str">
        <f>IF(AJ$3="","",IF(COUNTIFS(BD!$A$3:$A$5001,AJ$3,BD!$B$3:$B$5001,$A$45,BD!$V$3:$V$5001,"&lt;&gt;")=0,"",SUMIFS(BD!$V$3:$V$5001,BD!$A$3:$A$5001,AJ$3,BD!$B$3:$B$5001,$A$45)))</f>
        <v/>
      </c>
      <c r="AK53" s="196" t="str">
        <f>IFERROR(LOOKUP(9.99E+307,F53:AJ53),"")</f>
        <v/>
      </c>
    </row>
    <row r="54" ht="15.75" customHeight="1">
      <c r="A54" s="244"/>
      <c r="B54" s="232" t="inlineStr">
        <is>
          <t xml:space="preserve">OCUPAÇÃO (P.P)</t>
        </is>
      </c>
      <c r="C54" s="155" t="inlineStr">
        <is>
          <t xml:space="preserve">Posições Disponíveis</t>
        </is>
      </c>
      <c r="D54" s="156" t="str">
        <f>IFERROR(1/(1/INDEX(BD!$AJ$43:$BD$43,MATCH($A$45,BD!$AJ$22:$BD$22,0))),"")</f>
        <v/>
      </c>
      <c r="E54" s="157"/>
      <c r="F54" s="158" t="str">
        <f>IF(F$3="","",IF(COUNTIFS(BD!$A$3:$A$5001,F$3,BD!$B$3:$B$5001,$A$45,BD!$W$3:$W$5001,"&lt;&gt;")=0,"",SUMIFS(BD!$W$3:$W$5001,BD!$A$3:$A$5001,F$3,BD!$B$3:$B$5001,$A$45)))</f>
        <v/>
      </c>
      <c r="G54" s="159" t="str">
        <f>IF(G$3="","",IF(COUNTIFS(BD!$A$3:$A$5001,G$3,BD!$B$3:$B$5001,$A$45,BD!$W$3:$W$5001,"&lt;&gt;")=0,"",SUMIFS(BD!$W$3:$W$5001,BD!$A$3:$A$5001,G$3,BD!$B$3:$B$5001,$A$45)))</f>
        <v/>
      </c>
      <c r="H54" s="159" t="str">
        <f>IF(H$3="","",IF(COUNTIFS(BD!$A$3:$A$5001,H$3,BD!$B$3:$B$5001,$A$45,BD!$W$3:$W$5001,"&lt;&gt;")=0,"",SUMIFS(BD!$W$3:$W$5001,BD!$A$3:$A$5001,H$3,BD!$B$3:$B$5001,$A$45)))</f>
        <v/>
      </c>
      <c r="I54" s="159" t="str">
        <f>IF(I$3="","",IF(COUNTIFS(BD!$A$3:$A$5001,I$3,BD!$B$3:$B$5001,$A$45,BD!$W$3:$W$5001,"&lt;&gt;")=0,"",SUMIFS(BD!$W$3:$W$5001,BD!$A$3:$A$5001,I$3,BD!$B$3:$B$5001,$A$45)))</f>
        <v/>
      </c>
      <c r="J54" s="159" t="str">
        <f>IF(J$3="","",IF(COUNTIFS(BD!$A$3:$A$5001,J$3,BD!$B$3:$B$5001,$A$45,BD!$W$3:$W$5001,"&lt;&gt;")=0,"",SUMIFS(BD!$W$3:$W$5001,BD!$A$3:$A$5001,J$3,BD!$B$3:$B$5001,$A$45)))</f>
        <v/>
      </c>
      <c r="K54" s="159" t="str">
        <f>IF(K$3="","",IF(COUNTIFS(BD!$A$3:$A$5001,K$3,BD!$B$3:$B$5001,$A$45,BD!$W$3:$W$5001,"&lt;&gt;")=0,"",SUMIFS(BD!$W$3:$W$5001,BD!$A$3:$A$5001,K$3,BD!$B$3:$B$5001,$A$45)))</f>
        <v/>
      </c>
      <c r="L54" s="159" t="str">
        <f>IF(L$3="","",IF(COUNTIFS(BD!$A$3:$A$5001,L$3,BD!$B$3:$B$5001,$A$45,BD!$W$3:$W$5001,"&lt;&gt;")=0,"",SUMIFS(BD!$W$3:$W$5001,BD!$A$3:$A$5001,L$3,BD!$B$3:$B$5001,$A$45)))</f>
        <v/>
      </c>
      <c r="M54" s="159" t="str">
        <f>IF(M$3="","",IF(COUNTIFS(BD!$A$3:$A$5001,M$3,BD!$B$3:$B$5001,$A$45,BD!$W$3:$W$5001,"&lt;&gt;")=0,"",SUMIFS(BD!$W$3:$W$5001,BD!$A$3:$A$5001,M$3,BD!$B$3:$B$5001,$A$45)))</f>
        <v/>
      </c>
      <c r="N54" s="159" t="str">
        <f>IF(N$3="","",IF(COUNTIFS(BD!$A$3:$A$5001,N$3,BD!$B$3:$B$5001,$A$45,BD!$W$3:$W$5001,"&lt;&gt;")=0,"",SUMIFS(BD!$W$3:$W$5001,BD!$A$3:$A$5001,N$3,BD!$B$3:$B$5001,$A$45)))</f>
        <v/>
      </c>
      <c r="O54" s="159" t="str">
        <f>IF(O$3="","",IF(COUNTIFS(BD!$A$3:$A$5001,O$3,BD!$B$3:$B$5001,$A$45,BD!$W$3:$W$5001,"&lt;&gt;")=0,"",SUMIFS(BD!$W$3:$W$5001,BD!$A$3:$A$5001,O$3,BD!$B$3:$B$5001,$A$45)))</f>
        <v/>
      </c>
      <c r="P54" s="159" t="str">
        <f>IF(P$3="","",IF(COUNTIFS(BD!$A$3:$A$5001,P$3,BD!$B$3:$B$5001,$A$45,BD!$W$3:$W$5001,"&lt;&gt;")=0,"",SUMIFS(BD!$W$3:$W$5001,BD!$A$3:$A$5001,P$3,BD!$B$3:$B$5001,$A$45)))</f>
        <v/>
      </c>
      <c r="Q54" s="159" t="str">
        <f>IF(Q$3="","",IF(COUNTIFS(BD!$A$3:$A$5001,Q$3,BD!$B$3:$B$5001,$A$45,BD!$W$3:$W$5001,"&lt;&gt;")=0,"",SUMIFS(BD!$W$3:$W$5001,BD!$A$3:$A$5001,Q$3,BD!$B$3:$B$5001,$A$45)))</f>
        <v/>
      </c>
      <c r="R54" s="159" t="str">
        <f>IF(R$3="","",IF(COUNTIFS(BD!$A$3:$A$5001,R$3,BD!$B$3:$B$5001,$A$45,BD!$W$3:$W$5001,"&lt;&gt;")=0,"",SUMIFS(BD!$W$3:$W$5001,BD!$A$3:$A$5001,R$3,BD!$B$3:$B$5001,$A$45)))</f>
        <v/>
      </c>
      <c r="S54" s="159" t="str">
        <f>IF(S$3="","",IF(COUNTIFS(BD!$A$3:$A$5001,S$3,BD!$B$3:$B$5001,$A$45,BD!$W$3:$W$5001,"&lt;&gt;")=0,"",SUMIFS(BD!$W$3:$W$5001,BD!$A$3:$A$5001,S$3,BD!$B$3:$B$5001,$A$45)))</f>
        <v/>
      </c>
      <c r="T54" s="159" t="str">
        <f>IF(T$3="","",IF(COUNTIFS(BD!$A$3:$A$5001,T$3,BD!$B$3:$B$5001,$A$45,BD!$W$3:$W$5001,"&lt;&gt;")=0,"",SUMIFS(BD!$W$3:$W$5001,BD!$A$3:$A$5001,T$3,BD!$B$3:$B$5001,$A$45)))</f>
        <v/>
      </c>
      <c r="U54" s="159" t="str">
        <f>IF(U$3="","",IF(COUNTIFS(BD!$A$3:$A$5001,U$3,BD!$B$3:$B$5001,$A$45,BD!$W$3:$W$5001,"&lt;&gt;")=0,"",SUMIFS(BD!$W$3:$W$5001,BD!$A$3:$A$5001,U$3,BD!$B$3:$B$5001,$A$45)))</f>
        <v/>
      </c>
      <c r="V54" s="159" t="str">
        <f>IF(V$3="","",IF(COUNTIFS(BD!$A$3:$A$5001,V$3,BD!$B$3:$B$5001,$A$45,BD!$W$3:$W$5001,"&lt;&gt;")=0,"",SUMIFS(BD!$W$3:$W$5001,BD!$A$3:$A$5001,V$3,BD!$B$3:$B$5001,$A$45)))</f>
        <v/>
      </c>
      <c r="W54" s="159" t="str">
        <f>IF(W$3="","",IF(COUNTIFS(BD!$A$3:$A$5001,W$3,BD!$B$3:$B$5001,$A$45,BD!$W$3:$W$5001,"&lt;&gt;")=0,"",SUMIFS(BD!$W$3:$W$5001,BD!$A$3:$A$5001,W$3,BD!$B$3:$B$5001,$A$45)))</f>
        <v/>
      </c>
      <c r="X54" s="159" t="str">
        <f>IF(X$3="","",IF(COUNTIFS(BD!$A$3:$A$5001,X$3,BD!$B$3:$B$5001,$A$45,BD!$W$3:$W$5001,"&lt;&gt;")=0,"",SUMIFS(BD!$W$3:$W$5001,BD!$A$3:$A$5001,X$3,BD!$B$3:$B$5001,$A$45)))</f>
        <v/>
      </c>
      <c r="Y54" s="159" t="str">
        <f>IF(Y$3="","",IF(COUNTIFS(BD!$A$3:$A$5001,Y$3,BD!$B$3:$B$5001,$A$45,BD!$W$3:$W$5001,"&lt;&gt;")=0,"",SUMIFS(BD!$W$3:$W$5001,BD!$A$3:$A$5001,Y$3,BD!$B$3:$B$5001,$A$45)))</f>
        <v/>
      </c>
      <c r="Z54" s="159" t="str">
        <f>IF(Z$3="","",IF(COUNTIFS(BD!$A$3:$A$5001,Z$3,BD!$B$3:$B$5001,$A$45,BD!$W$3:$W$5001,"&lt;&gt;")=0,"",SUMIFS(BD!$W$3:$W$5001,BD!$A$3:$A$5001,Z$3,BD!$B$3:$B$5001,$A$45)))</f>
        <v/>
      </c>
      <c r="AA54" s="159" t="str">
        <f>IF(AA$3="","",IF(COUNTIFS(BD!$A$3:$A$5001,AA$3,BD!$B$3:$B$5001,$A$45,BD!$W$3:$W$5001,"&lt;&gt;")=0,"",SUMIFS(BD!$W$3:$W$5001,BD!$A$3:$A$5001,AA$3,BD!$B$3:$B$5001,$A$45)))</f>
        <v/>
      </c>
      <c r="AB54" s="159" t="str">
        <f>IF(AB$3="","",IF(COUNTIFS(BD!$A$3:$A$5001,AB$3,BD!$B$3:$B$5001,$A$45,BD!$W$3:$W$5001,"&lt;&gt;")=0,"",SUMIFS(BD!$W$3:$W$5001,BD!$A$3:$A$5001,AB$3,BD!$B$3:$B$5001,$A$45)))</f>
        <v/>
      </c>
      <c r="AC54" s="159" t="str">
        <f>IF(AC$3="","",IF(COUNTIFS(BD!$A$3:$A$5001,AC$3,BD!$B$3:$B$5001,$A$45,BD!$W$3:$W$5001,"&lt;&gt;")=0,"",SUMIFS(BD!$W$3:$W$5001,BD!$A$3:$A$5001,AC$3,BD!$B$3:$B$5001,$A$45)))</f>
        <v/>
      </c>
      <c r="AD54" s="159" t="str">
        <f>IF(AD$3="","",IF(COUNTIFS(BD!$A$3:$A$5001,AD$3,BD!$B$3:$B$5001,$A$45,BD!$W$3:$W$5001,"&lt;&gt;")=0,"",SUMIFS(BD!$W$3:$W$5001,BD!$A$3:$A$5001,AD$3,BD!$B$3:$B$5001,$A$45)))</f>
        <v/>
      </c>
      <c r="AE54" s="159" t="str">
        <f>IF(AE$3="","",IF(COUNTIFS(BD!$A$3:$A$5001,AE$3,BD!$B$3:$B$5001,$A$45,BD!$W$3:$W$5001,"&lt;&gt;")=0,"",SUMIFS(BD!$W$3:$W$5001,BD!$A$3:$A$5001,AE$3,BD!$B$3:$B$5001,$A$45)))</f>
        <v/>
      </c>
      <c r="AF54" s="159" t="str">
        <f>IF(AF$3="","",IF(COUNTIFS(BD!$A$3:$A$5001,AF$3,BD!$B$3:$B$5001,$A$45,BD!$W$3:$W$5001,"&lt;&gt;")=0,"",SUMIFS(BD!$W$3:$W$5001,BD!$A$3:$A$5001,AF$3,BD!$B$3:$B$5001,$A$45)))</f>
        <v/>
      </c>
      <c r="AG54" s="159" t="str">
        <f>IF(AG$3="","",IF(COUNTIFS(BD!$A$3:$A$5001,AG$3,BD!$B$3:$B$5001,$A$45,BD!$W$3:$W$5001,"&lt;&gt;")=0,"",SUMIFS(BD!$W$3:$W$5001,BD!$A$3:$A$5001,AG$3,BD!$B$3:$B$5001,$A$45)))</f>
        <v/>
      </c>
      <c r="AH54" s="159" t="str">
        <f>IF(AH$3="","",IF(COUNTIFS(BD!$A$3:$A$5001,AH$3,BD!$B$3:$B$5001,$A$45,BD!$W$3:$W$5001,"&lt;&gt;")=0,"",SUMIFS(BD!$W$3:$W$5001,BD!$A$3:$A$5001,AH$3,BD!$B$3:$B$5001,$A$45)))</f>
        <v/>
      </c>
      <c r="AI54" s="159" t="str">
        <f>IF(AI$3="","",IF(COUNTIFS(BD!$A$3:$A$5001,AI$3,BD!$B$3:$B$5001,$A$45,BD!$W$3:$W$5001,"&lt;&gt;")=0,"",SUMIFS(BD!$W$3:$W$5001,BD!$A$3:$A$5001,AI$3,BD!$B$3:$B$5001,$A$45)))</f>
        <v/>
      </c>
      <c r="AJ54" s="160" t="str">
        <f>IF(AJ$3="","",IF(COUNTIFS(BD!$A$3:$A$5001,AJ$3,BD!$B$3:$B$5001,$A$45,BD!$W$3:$W$5001,"&lt;&gt;")=0,"",SUMIFS(BD!$W$3:$W$5001,BD!$A$3:$A$5001,AJ$3,BD!$B$3:$B$5001,$A$45)))</f>
        <v/>
      </c>
      <c r="AK54" s="161" t="str">
        <f>IF(COUNT(F54:AJ54)&gt;0,LOOKUP(9.99E+307,F54:AJ54),IFERROR(IF(INDEX(BD!$AG$3:$AG$5001,MATCH($A$45,BD!$B$3:$B$5001,0))&amp;""="Contrato","",INDEX(BD!$AG$3:$AG$5001,MATCH($A$45,BD!$B$3:$B$5001,0))&amp;""),""))</f>
        <v/>
      </c>
    </row>
    <row r="55" ht="15.75" customHeight="1">
      <c r="A55" s="244"/>
      <c r="B55" s="239"/>
      <c r="C55" s="201" t="inlineStr">
        <is>
          <t xml:space="preserve">Posições Ocupadas</t>
        </is>
      </c>
      <c r="D55" s="202" t="str">
        <f>IFERROR(1/(1/INDEX(BD!$AJ$44:$BD$44,MATCH($A$45,BD!$AJ$22:$BD$22,0))),"")</f>
        <v/>
      </c>
      <c r="E55" s="203"/>
      <c r="F55" s="204" t="str">
        <f>IF(F$3="","",IF(COUNTIFS(BD!$A$3:$A$5001,F$3,BD!$B$3:$B$5001,$A$45,BD!$X$3:$X$5001,"&lt;&gt;")=0,"",SUMIFS(BD!$X$3:$X$5001,BD!$A$3:$A$5001,F$3,BD!$B$3:$B$5001,$A$45)))</f>
        <v/>
      </c>
      <c r="G55" s="205" t="str">
        <f>IF(G$3="","",IF(COUNTIFS(BD!$A$3:$A$5001,G$3,BD!$B$3:$B$5001,$A$45,BD!$X$3:$X$5001,"&lt;&gt;")=0,"",SUMIFS(BD!$X$3:$X$5001,BD!$A$3:$A$5001,G$3,BD!$B$3:$B$5001,$A$45)))</f>
        <v/>
      </c>
      <c r="H55" s="205" t="str">
        <f>IF(H$3="","",IF(COUNTIFS(BD!$A$3:$A$5001,H$3,BD!$B$3:$B$5001,$A$45,BD!$X$3:$X$5001,"&lt;&gt;")=0,"",SUMIFS(BD!$X$3:$X$5001,BD!$A$3:$A$5001,H$3,BD!$B$3:$B$5001,$A$45)))</f>
        <v/>
      </c>
      <c r="I55" s="205" t="str">
        <f>IF(I$3="","",IF(COUNTIFS(BD!$A$3:$A$5001,I$3,BD!$B$3:$B$5001,$A$45,BD!$X$3:$X$5001,"&lt;&gt;")=0,"",SUMIFS(BD!$X$3:$X$5001,BD!$A$3:$A$5001,I$3,BD!$B$3:$B$5001,$A$45)))</f>
        <v/>
      </c>
      <c r="J55" s="205" t="str">
        <f>IF(J$3="","",IF(COUNTIFS(BD!$A$3:$A$5001,J$3,BD!$B$3:$B$5001,$A$45,BD!$X$3:$X$5001,"&lt;&gt;")=0,"",SUMIFS(BD!$X$3:$X$5001,BD!$A$3:$A$5001,J$3,BD!$B$3:$B$5001,$A$45)))</f>
        <v/>
      </c>
      <c r="K55" s="205" t="str">
        <f>IF(K$3="","",IF(COUNTIFS(BD!$A$3:$A$5001,K$3,BD!$B$3:$B$5001,$A$45,BD!$X$3:$X$5001,"&lt;&gt;")=0,"",SUMIFS(BD!$X$3:$X$5001,BD!$A$3:$A$5001,K$3,BD!$B$3:$B$5001,$A$45)))</f>
        <v/>
      </c>
      <c r="L55" s="205" t="str">
        <f>IF(L$3="","",IF(COUNTIFS(BD!$A$3:$A$5001,L$3,BD!$B$3:$B$5001,$A$45,BD!$X$3:$X$5001,"&lt;&gt;")=0,"",SUMIFS(BD!$X$3:$X$5001,BD!$A$3:$A$5001,L$3,BD!$B$3:$B$5001,$A$45)))</f>
        <v/>
      </c>
      <c r="M55" s="205" t="str">
        <f>IF(M$3="","",IF(COUNTIFS(BD!$A$3:$A$5001,M$3,BD!$B$3:$B$5001,$A$45,BD!$X$3:$X$5001,"&lt;&gt;")=0,"",SUMIFS(BD!$X$3:$X$5001,BD!$A$3:$A$5001,M$3,BD!$B$3:$B$5001,$A$45)))</f>
        <v/>
      </c>
      <c r="N55" s="205" t="str">
        <f>IF(N$3="","",IF(COUNTIFS(BD!$A$3:$A$5001,N$3,BD!$B$3:$B$5001,$A$45,BD!$X$3:$X$5001,"&lt;&gt;")=0,"",SUMIFS(BD!$X$3:$X$5001,BD!$A$3:$A$5001,N$3,BD!$B$3:$B$5001,$A$45)))</f>
        <v/>
      </c>
      <c r="O55" s="205" t="str">
        <f>IF(O$3="","",IF(COUNTIFS(BD!$A$3:$A$5001,O$3,BD!$B$3:$B$5001,$A$45,BD!$X$3:$X$5001,"&lt;&gt;")=0,"",SUMIFS(BD!$X$3:$X$5001,BD!$A$3:$A$5001,O$3,BD!$B$3:$B$5001,$A$45)))</f>
        <v/>
      </c>
      <c r="P55" s="205" t="str">
        <f>IF(P$3="","",IF(COUNTIFS(BD!$A$3:$A$5001,P$3,BD!$B$3:$B$5001,$A$45,BD!$X$3:$X$5001,"&lt;&gt;")=0,"",SUMIFS(BD!$X$3:$X$5001,BD!$A$3:$A$5001,P$3,BD!$B$3:$B$5001,$A$45)))</f>
        <v/>
      </c>
      <c r="Q55" s="205" t="str">
        <f>IF(Q$3="","",IF(COUNTIFS(BD!$A$3:$A$5001,Q$3,BD!$B$3:$B$5001,$A$45,BD!$X$3:$X$5001,"&lt;&gt;")=0,"",SUMIFS(BD!$X$3:$X$5001,BD!$A$3:$A$5001,Q$3,BD!$B$3:$B$5001,$A$45)))</f>
        <v/>
      </c>
      <c r="R55" s="205" t="str">
        <f>IF(R$3="","",IF(COUNTIFS(BD!$A$3:$A$5001,R$3,BD!$B$3:$B$5001,$A$45,BD!$X$3:$X$5001,"&lt;&gt;")=0,"",SUMIFS(BD!$X$3:$X$5001,BD!$A$3:$A$5001,R$3,BD!$B$3:$B$5001,$A$45)))</f>
        <v/>
      </c>
      <c r="S55" s="205" t="str">
        <f>IF(S$3="","",IF(COUNTIFS(BD!$A$3:$A$5001,S$3,BD!$B$3:$B$5001,$A$45,BD!$X$3:$X$5001,"&lt;&gt;")=0,"",SUMIFS(BD!$X$3:$X$5001,BD!$A$3:$A$5001,S$3,BD!$B$3:$B$5001,$A$45)))</f>
        <v/>
      </c>
      <c r="T55" s="205" t="str">
        <f>IF(T$3="","",IF(COUNTIFS(BD!$A$3:$A$5001,T$3,BD!$B$3:$B$5001,$A$45,BD!$X$3:$X$5001,"&lt;&gt;")=0,"",SUMIFS(BD!$X$3:$X$5001,BD!$A$3:$A$5001,T$3,BD!$B$3:$B$5001,$A$45)))</f>
        <v/>
      </c>
      <c r="U55" s="205" t="str">
        <f>IF(U$3="","",IF(COUNTIFS(BD!$A$3:$A$5001,U$3,BD!$B$3:$B$5001,$A$45,BD!$X$3:$X$5001,"&lt;&gt;")=0,"",SUMIFS(BD!$X$3:$X$5001,BD!$A$3:$A$5001,U$3,BD!$B$3:$B$5001,$A$45)))</f>
        <v/>
      </c>
      <c r="V55" s="205" t="str">
        <f>IF(V$3="","",IF(COUNTIFS(BD!$A$3:$A$5001,V$3,BD!$B$3:$B$5001,$A$45,BD!$X$3:$X$5001,"&lt;&gt;")=0,"",SUMIFS(BD!$X$3:$X$5001,BD!$A$3:$A$5001,V$3,BD!$B$3:$B$5001,$A$45)))</f>
        <v/>
      </c>
      <c r="W55" s="205" t="str">
        <f>IF(W$3="","",IF(COUNTIFS(BD!$A$3:$A$5001,W$3,BD!$B$3:$B$5001,$A$45,BD!$X$3:$X$5001,"&lt;&gt;")=0,"",SUMIFS(BD!$X$3:$X$5001,BD!$A$3:$A$5001,W$3,BD!$B$3:$B$5001,$A$45)))</f>
        <v/>
      </c>
      <c r="X55" s="205" t="str">
        <f>IF(X$3="","",IF(COUNTIFS(BD!$A$3:$A$5001,X$3,BD!$B$3:$B$5001,$A$45,BD!$X$3:$X$5001,"&lt;&gt;")=0,"",SUMIFS(BD!$X$3:$X$5001,BD!$A$3:$A$5001,X$3,BD!$B$3:$B$5001,$A$45)))</f>
        <v/>
      </c>
      <c r="Y55" s="205" t="str">
        <f>IF(Y$3="","",IF(COUNTIFS(BD!$A$3:$A$5001,Y$3,BD!$B$3:$B$5001,$A$45,BD!$X$3:$X$5001,"&lt;&gt;")=0,"",SUMIFS(BD!$X$3:$X$5001,BD!$A$3:$A$5001,Y$3,BD!$B$3:$B$5001,$A$45)))</f>
        <v/>
      </c>
      <c r="Z55" s="205" t="str">
        <f>IF(Z$3="","",IF(COUNTIFS(BD!$A$3:$A$5001,Z$3,BD!$B$3:$B$5001,$A$45,BD!$X$3:$X$5001,"&lt;&gt;")=0,"",SUMIFS(BD!$X$3:$X$5001,BD!$A$3:$A$5001,Z$3,BD!$B$3:$B$5001,$A$45)))</f>
        <v/>
      </c>
      <c r="AA55" s="205" t="str">
        <f>IF(AA$3="","",IF(COUNTIFS(BD!$A$3:$A$5001,AA$3,BD!$B$3:$B$5001,$A$45,BD!$X$3:$X$5001,"&lt;&gt;")=0,"",SUMIFS(BD!$X$3:$X$5001,BD!$A$3:$A$5001,AA$3,BD!$B$3:$B$5001,$A$45)))</f>
        <v/>
      </c>
      <c r="AB55" s="205" t="str">
        <f>IF(AB$3="","",IF(COUNTIFS(BD!$A$3:$A$5001,AB$3,BD!$B$3:$B$5001,$A$45,BD!$X$3:$X$5001,"&lt;&gt;")=0,"",SUMIFS(BD!$X$3:$X$5001,BD!$A$3:$A$5001,AB$3,BD!$B$3:$B$5001,$A$45)))</f>
        <v/>
      </c>
      <c r="AC55" s="205" t="str">
        <f>IF(AC$3="","",IF(COUNTIFS(BD!$A$3:$A$5001,AC$3,BD!$B$3:$B$5001,$A$45,BD!$X$3:$X$5001,"&lt;&gt;")=0,"",SUMIFS(BD!$X$3:$X$5001,BD!$A$3:$A$5001,AC$3,BD!$B$3:$B$5001,$A$45)))</f>
        <v/>
      </c>
      <c r="AD55" s="205" t="str">
        <f>IF(AD$3="","",IF(COUNTIFS(BD!$A$3:$A$5001,AD$3,BD!$B$3:$B$5001,$A$45,BD!$X$3:$X$5001,"&lt;&gt;")=0,"",SUMIFS(BD!$X$3:$X$5001,BD!$A$3:$A$5001,AD$3,BD!$B$3:$B$5001,$A$45)))</f>
        <v/>
      </c>
      <c r="AE55" s="205" t="str">
        <f>IF(AE$3="","",IF(COUNTIFS(BD!$A$3:$A$5001,AE$3,BD!$B$3:$B$5001,$A$45,BD!$X$3:$X$5001,"&lt;&gt;")=0,"",SUMIFS(BD!$X$3:$X$5001,BD!$A$3:$A$5001,AE$3,BD!$B$3:$B$5001,$A$45)))</f>
        <v/>
      </c>
      <c r="AF55" s="205" t="str">
        <f>IF(AF$3="","",IF(COUNTIFS(BD!$A$3:$A$5001,AF$3,BD!$B$3:$B$5001,$A$45,BD!$X$3:$X$5001,"&lt;&gt;")=0,"",SUMIFS(BD!$X$3:$X$5001,BD!$A$3:$A$5001,AF$3,BD!$B$3:$B$5001,$A$45)))</f>
        <v/>
      </c>
      <c r="AG55" s="205" t="str">
        <f>IF(AG$3="","",IF(COUNTIFS(BD!$A$3:$A$5001,AG$3,BD!$B$3:$B$5001,$A$45,BD!$X$3:$X$5001,"&lt;&gt;")=0,"",SUMIFS(BD!$X$3:$X$5001,BD!$A$3:$A$5001,AG$3,BD!$B$3:$B$5001,$A$45)))</f>
        <v/>
      </c>
      <c r="AH55" s="205" t="str">
        <f>IF(AH$3="","",IF(COUNTIFS(BD!$A$3:$A$5001,AH$3,BD!$B$3:$B$5001,$A$45,BD!$X$3:$X$5001,"&lt;&gt;")=0,"",SUMIFS(BD!$X$3:$X$5001,BD!$A$3:$A$5001,AH$3,BD!$B$3:$B$5001,$A$45)))</f>
        <v/>
      </c>
      <c r="AI55" s="205" t="str">
        <f>IF(AI$3="","",IF(COUNTIFS(BD!$A$3:$A$5001,AI$3,BD!$B$3:$B$5001,$A$45,BD!$X$3:$X$5001,"&lt;&gt;")=0,"",SUMIFS(BD!$X$3:$X$5001,BD!$A$3:$A$5001,AI$3,BD!$B$3:$B$5001,$A$45)))</f>
        <v/>
      </c>
      <c r="AJ55" s="206" t="str">
        <f>IF(AJ$3="","",IF(COUNTIFS(BD!$A$3:$A$5001,AJ$3,BD!$B$3:$B$5001,$A$45,BD!$X$3:$X$5001,"&lt;&gt;")=0,"",SUMIFS(BD!$X$3:$X$5001,BD!$A$3:$A$5001,AJ$3,BD!$B$3:$B$5001,$A$45)))</f>
        <v/>
      </c>
      <c r="AK55" s="207" t="str">
        <f>IFERROR(LOOKUP(9.99E+307,F55:AJ55),"")</f>
        <v/>
      </c>
    </row>
    <row r="56" ht="15.75" customHeight="1">
      <c r="A56" s="244"/>
      <c r="B56" s="233"/>
      <c r="C56" s="162" t="inlineStr">
        <is>
          <t xml:space="preserve">Taxa de Ocupação</t>
        </is>
      </c>
      <c r="D56" s="208" t="str">
        <f>IFERROR(1/(1/INDEX(BD!$AJ$45:$BD$45,MATCH($A$45,BD!$AJ$22:$BD$22,0))),"")</f>
        <v/>
      </c>
      <c r="E56" s="164"/>
      <c r="F56" s="209" t="str">
        <f>IF(AND(ISNUMBER(F54),ISNUMBER(F55)),IF(F54&gt;0,F55/F54,""),"")</f>
        <v/>
      </c>
      <c r="G56" s="210" t="str">
        <f>IF(AND(ISNUMBER(G54),ISNUMBER(G55)),IF(G54&gt;0,G55/G54,""),"")</f>
        <v/>
      </c>
      <c r="H56" s="210" t="str">
        <f>IF(AND(ISNUMBER(H54),ISNUMBER(H55)),IF(H54&gt;0,H55/H54,""),"")</f>
        <v/>
      </c>
      <c r="I56" s="210" t="str">
        <f>IF(AND(ISNUMBER(I54),ISNUMBER(I55)),IF(I54&gt;0,I55/I54,""),"")</f>
        <v/>
      </c>
      <c r="J56" s="210" t="str">
        <f>IF(AND(ISNUMBER(J54),ISNUMBER(J55)),IF(J54&gt;0,J55/J54,""),"")</f>
        <v/>
      </c>
      <c r="K56" s="210" t="str">
        <f>IF(AND(ISNUMBER(K54),ISNUMBER(K55)),IF(K54&gt;0,K55/K54,""),"")</f>
        <v/>
      </c>
      <c r="L56" s="210" t="str">
        <f>IF(AND(ISNUMBER(L54),ISNUMBER(L55)),IF(L54&gt;0,L55/L54,""),"")</f>
        <v/>
      </c>
      <c r="M56" s="210" t="str">
        <f>IF(AND(ISNUMBER(M54),ISNUMBER(M55)),IF(M54&gt;0,M55/M54,""),"")</f>
        <v/>
      </c>
      <c r="N56" s="210" t="str">
        <f>IF(AND(ISNUMBER(N54),ISNUMBER(N55)),IF(N54&gt;0,N55/N54,""),"")</f>
        <v/>
      </c>
      <c r="O56" s="210" t="str">
        <f>IF(AND(ISNUMBER(O54),ISNUMBER(O55)),IF(O54&gt;0,O55/O54,""),"")</f>
        <v/>
      </c>
      <c r="P56" s="210" t="str">
        <f>IF(AND(ISNUMBER(P54),ISNUMBER(P55)),IF(P54&gt;0,P55/P54,""),"")</f>
        <v/>
      </c>
      <c r="Q56" s="210" t="str">
        <f>IF(AND(ISNUMBER(Q54),ISNUMBER(Q55)),IF(Q54&gt;0,Q55/Q54,""),"")</f>
        <v/>
      </c>
      <c r="R56" s="210" t="str">
        <f>IF(AND(ISNUMBER(R54),ISNUMBER(R55)),IF(R54&gt;0,R55/R54,""),"")</f>
        <v/>
      </c>
      <c r="S56" s="210" t="str">
        <f>IF(AND(ISNUMBER(S54),ISNUMBER(S55)),IF(S54&gt;0,S55/S54,""),"")</f>
        <v/>
      </c>
      <c r="T56" s="210" t="str">
        <f>IF(AND(ISNUMBER(T54),ISNUMBER(T55)),IF(T54&gt;0,T55/T54,""),"")</f>
        <v/>
      </c>
      <c r="U56" s="210" t="str">
        <f>IF(AND(ISNUMBER(U54),ISNUMBER(U55)),IF(U54&gt;0,U55/U54,""),"")</f>
        <v/>
      </c>
      <c r="V56" s="210" t="str">
        <f>IF(AND(ISNUMBER(V54),ISNUMBER(V55)),IF(V54&gt;0,V55/V54,""),"")</f>
        <v/>
      </c>
      <c r="W56" s="210" t="str">
        <f>IF(AND(ISNUMBER(W54),ISNUMBER(W55)),IF(W54&gt;0,W55/W54,""),"")</f>
        <v/>
      </c>
      <c r="X56" s="210" t="str">
        <f>IF(AND(ISNUMBER(X54),ISNUMBER(X55)),IF(X54&gt;0,X55/X54,""),"")</f>
        <v/>
      </c>
      <c r="Y56" s="210" t="str">
        <f>IF(AND(ISNUMBER(Y54),ISNUMBER(Y55)),IF(Y54&gt;0,Y55/Y54,""),"")</f>
        <v/>
      </c>
      <c r="Z56" s="210" t="str">
        <f>IF(AND(ISNUMBER(Z54),ISNUMBER(Z55)),IF(Z54&gt;0,Z55/Z54,""),"")</f>
        <v/>
      </c>
      <c r="AA56" s="210" t="str">
        <f>IF(AND(ISNUMBER(AA54),ISNUMBER(AA55)),IF(AA54&gt;0,AA55/AA54,""),"")</f>
        <v/>
      </c>
      <c r="AB56" s="210" t="str">
        <f>IF(AND(ISNUMBER(AB54),ISNUMBER(AB55)),IF(AB54&gt;0,AB55/AB54,""),"")</f>
        <v/>
      </c>
      <c r="AC56" s="210" t="str">
        <f>IF(AND(ISNUMBER(AC54),ISNUMBER(AC55)),IF(AC54&gt;0,AC55/AC54,""),"")</f>
        <v/>
      </c>
      <c r="AD56" s="210" t="str">
        <f>IF(AND(ISNUMBER(AD54),ISNUMBER(AD55)),IF(AD54&gt;0,AD55/AD54,""),"")</f>
        <v/>
      </c>
      <c r="AE56" s="210" t="str">
        <f>IF(AND(ISNUMBER(AE54),ISNUMBER(AE55)),IF(AE54&gt;0,AE55/AE54,""),"")</f>
        <v/>
      </c>
      <c r="AF56" s="210" t="str">
        <f>IF(AND(ISNUMBER(AF54),ISNUMBER(AF55)),IF(AF54&gt;0,AF55/AF54,""),"")</f>
        <v/>
      </c>
      <c r="AG56" s="210" t="str">
        <f>IF(AND(ISNUMBER(AG54),ISNUMBER(AG55)),IF(AG54&gt;0,AG55/AG54,""),"")</f>
        <v/>
      </c>
      <c r="AH56" s="210" t="str">
        <f>IF(AND(ISNUMBER(AH54),ISNUMBER(AH55)),IF(AH54&gt;0,AH55/AH54,""),"")</f>
        <v/>
      </c>
      <c r="AI56" s="210" t="str">
        <f>IF(AND(ISNUMBER(AI54),ISNUMBER(AI55)),IF(AI54&gt;0,AI55/AI54,""),"")</f>
        <v/>
      </c>
      <c r="AJ56" s="211" t="str">
        <f>IF(AND(ISNUMBER(AJ54),ISNUMBER(AJ55)),IF(AJ54&gt;0,AJ55/AJ54,""),"")</f>
        <v/>
      </c>
      <c r="AK56" s="208" t="str">
        <f>IF(AND(ISNUMBER(AK54),ISNUMBER(AK55)),IF(AK54&gt;0,AK55/AK54,""),"")</f>
        <v/>
      </c>
    </row>
    <row r="57" ht="15.75" customHeight="1">
      <c r="A57" s="244"/>
      <c r="B57" s="240" t="inlineStr">
        <is>
          <t xml:space="preserve">GENTE</t>
        </is>
      </c>
      <c r="C57" s="212" t="inlineStr">
        <is>
          <t xml:space="preserve">Efetivo Op.</t>
        </is>
      </c>
      <c r="D57" s="213" t="str">
        <f>IFERROR(1/(1/INDEX(BD!$AJ$46:$BD$46,MATCH($A$45,BD!$AJ$22:$BD$22,0))),"")</f>
        <v/>
      </c>
      <c r="E57" s="214"/>
      <c r="F57" s="215" t="str">
        <f>IF(F$3="","",IF(COUNTIFS(BD!$A$3:$A$5001,F$3,BD!$B$3:$B$5001,$A$45,BD!$Y$3:$Y$5001,"&lt;&gt;")=0,"",SUMIFS(BD!$Y$3:$Y$5001,BD!$A$3:$A$5001,F$3,BD!$B$3:$B$5001,$A$45)))</f>
        <v/>
      </c>
      <c r="G57" s="216" t="str">
        <f>IF(G$3="","",IF(COUNTIFS(BD!$A$3:$A$5001,G$3,BD!$B$3:$B$5001,$A$45,BD!$Y$3:$Y$5001,"&lt;&gt;")=0,"",SUMIFS(BD!$Y$3:$Y$5001,BD!$A$3:$A$5001,G$3,BD!$B$3:$B$5001,$A$45)))</f>
        <v/>
      </c>
      <c r="H57" s="216" t="str">
        <f>IF(H$3="","",IF(COUNTIFS(BD!$A$3:$A$5001,H$3,BD!$B$3:$B$5001,$A$45,BD!$Y$3:$Y$5001,"&lt;&gt;")=0,"",SUMIFS(BD!$Y$3:$Y$5001,BD!$A$3:$A$5001,H$3,BD!$B$3:$B$5001,$A$45)))</f>
        <v/>
      </c>
      <c r="I57" s="216" t="str">
        <f>IF(I$3="","",IF(COUNTIFS(BD!$A$3:$A$5001,I$3,BD!$B$3:$B$5001,$A$45,BD!$Y$3:$Y$5001,"&lt;&gt;")=0,"",SUMIFS(BD!$Y$3:$Y$5001,BD!$A$3:$A$5001,I$3,BD!$B$3:$B$5001,$A$45)))</f>
        <v/>
      </c>
      <c r="J57" s="216" t="str">
        <f>IF(J$3="","",IF(COUNTIFS(BD!$A$3:$A$5001,J$3,BD!$B$3:$B$5001,$A$45,BD!$Y$3:$Y$5001,"&lt;&gt;")=0,"",SUMIFS(BD!$Y$3:$Y$5001,BD!$A$3:$A$5001,J$3,BD!$B$3:$B$5001,$A$45)))</f>
        <v/>
      </c>
      <c r="K57" s="216" t="str">
        <f>IF(K$3="","",IF(COUNTIFS(BD!$A$3:$A$5001,K$3,BD!$B$3:$B$5001,$A$45,BD!$Y$3:$Y$5001,"&lt;&gt;")=0,"",SUMIFS(BD!$Y$3:$Y$5001,BD!$A$3:$A$5001,K$3,BD!$B$3:$B$5001,$A$45)))</f>
        <v/>
      </c>
      <c r="L57" s="216" t="str">
        <f>IF(L$3="","",IF(COUNTIFS(BD!$A$3:$A$5001,L$3,BD!$B$3:$B$5001,$A$45,BD!$Y$3:$Y$5001,"&lt;&gt;")=0,"",SUMIFS(BD!$Y$3:$Y$5001,BD!$A$3:$A$5001,L$3,BD!$B$3:$B$5001,$A$45)))</f>
        <v/>
      </c>
      <c r="M57" s="216" t="str">
        <f>IF(M$3="","",IF(COUNTIFS(BD!$A$3:$A$5001,M$3,BD!$B$3:$B$5001,$A$45,BD!$Y$3:$Y$5001,"&lt;&gt;")=0,"",SUMIFS(BD!$Y$3:$Y$5001,BD!$A$3:$A$5001,M$3,BD!$B$3:$B$5001,$A$45)))</f>
        <v/>
      </c>
      <c r="N57" s="216" t="str">
        <f>IF(N$3="","",IF(COUNTIFS(BD!$A$3:$A$5001,N$3,BD!$B$3:$B$5001,$A$45,BD!$Y$3:$Y$5001,"&lt;&gt;")=0,"",SUMIFS(BD!$Y$3:$Y$5001,BD!$A$3:$A$5001,N$3,BD!$B$3:$B$5001,$A$45)))</f>
        <v/>
      </c>
      <c r="O57" s="216" t="str">
        <f>IF(O$3="","",IF(COUNTIFS(BD!$A$3:$A$5001,O$3,BD!$B$3:$B$5001,$A$45,BD!$Y$3:$Y$5001,"&lt;&gt;")=0,"",SUMIFS(BD!$Y$3:$Y$5001,BD!$A$3:$A$5001,O$3,BD!$B$3:$B$5001,$A$45)))</f>
        <v/>
      </c>
      <c r="P57" s="216" t="str">
        <f>IF(P$3="","",IF(COUNTIFS(BD!$A$3:$A$5001,P$3,BD!$B$3:$B$5001,$A$45,BD!$Y$3:$Y$5001,"&lt;&gt;")=0,"",SUMIFS(BD!$Y$3:$Y$5001,BD!$A$3:$A$5001,P$3,BD!$B$3:$B$5001,$A$45)))</f>
        <v/>
      </c>
      <c r="Q57" s="216" t="str">
        <f>IF(Q$3="","",IF(COUNTIFS(BD!$A$3:$A$5001,Q$3,BD!$B$3:$B$5001,$A$45,BD!$Y$3:$Y$5001,"&lt;&gt;")=0,"",SUMIFS(BD!$Y$3:$Y$5001,BD!$A$3:$A$5001,Q$3,BD!$B$3:$B$5001,$A$45)))</f>
        <v/>
      </c>
      <c r="R57" s="216" t="str">
        <f>IF(R$3="","",IF(COUNTIFS(BD!$A$3:$A$5001,R$3,BD!$B$3:$B$5001,$A$45,BD!$Y$3:$Y$5001,"&lt;&gt;")=0,"",SUMIFS(BD!$Y$3:$Y$5001,BD!$A$3:$A$5001,R$3,BD!$B$3:$B$5001,$A$45)))</f>
        <v/>
      </c>
      <c r="S57" s="216" t="str">
        <f>IF(S$3="","",IF(COUNTIFS(BD!$A$3:$A$5001,S$3,BD!$B$3:$B$5001,$A$45,BD!$Y$3:$Y$5001,"&lt;&gt;")=0,"",SUMIFS(BD!$Y$3:$Y$5001,BD!$A$3:$A$5001,S$3,BD!$B$3:$B$5001,$A$45)))</f>
        <v/>
      </c>
      <c r="T57" s="216" t="str">
        <f>IF(T$3="","",IF(COUNTIFS(BD!$A$3:$A$5001,T$3,BD!$B$3:$B$5001,$A$45,BD!$Y$3:$Y$5001,"&lt;&gt;")=0,"",SUMIFS(BD!$Y$3:$Y$5001,BD!$A$3:$A$5001,T$3,BD!$B$3:$B$5001,$A$45)))</f>
        <v/>
      </c>
      <c r="U57" s="216" t="str">
        <f>IF(U$3="","",IF(COUNTIFS(BD!$A$3:$A$5001,U$3,BD!$B$3:$B$5001,$A$45,BD!$Y$3:$Y$5001,"&lt;&gt;")=0,"",SUMIFS(BD!$Y$3:$Y$5001,BD!$A$3:$A$5001,U$3,BD!$B$3:$B$5001,$A$45)))</f>
        <v/>
      </c>
      <c r="V57" s="216" t="str">
        <f>IF(V$3="","",IF(COUNTIFS(BD!$A$3:$A$5001,V$3,BD!$B$3:$B$5001,$A$45,BD!$Y$3:$Y$5001,"&lt;&gt;")=0,"",SUMIFS(BD!$Y$3:$Y$5001,BD!$A$3:$A$5001,V$3,BD!$B$3:$B$5001,$A$45)))</f>
        <v/>
      </c>
      <c r="W57" s="216" t="str">
        <f>IF(W$3="","",IF(COUNTIFS(BD!$A$3:$A$5001,W$3,BD!$B$3:$B$5001,$A$45,BD!$Y$3:$Y$5001,"&lt;&gt;")=0,"",SUMIFS(BD!$Y$3:$Y$5001,BD!$A$3:$A$5001,W$3,BD!$B$3:$B$5001,$A$45)))</f>
        <v/>
      </c>
      <c r="X57" s="216" t="str">
        <f>IF(X$3="","",IF(COUNTIFS(BD!$A$3:$A$5001,X$3,BD!$B$3:$B$5001,$A$45,BD!$Y$3:$Y$5001,"&lt;&gt;")=0,"",SUMIFS(BD!$Y$3:$Y$5001,BD!$A$3:$A$5001,X$3,BD!$B$3:$B$5001,$A$45)))</f>
        <v/>
      </c>
      <c r="Y57" s="216" t="str">
        <f>IF(Y$3="","",IF(COUNTIFS(BD!$A$3:$A$5001,Y$3,BD!$B$3:$B$5001,$A$45,BD!$Y$3:$Y$5001,"&lt;&gt;")=0,"",SUMIFS(BD!$Y$3:$Y$5001,BD!$A$3:$A$5001,Y$3,BD!$B$3:$B$5001,$A$45)))</f>
        <v/>
      </c>
      <c r="Z57" s="216" t="str">
        <f>IF(Z$3="","",IF(COUNTIFS(BD!$A$3:$A$5001,Z$3,BD!$B$3:$B$5001,$A$45,BD!$Y$3:$Y$5001,"&lt;&gt;")=0,"",SUMIFS(BD!$Y$3:$Y$5001,BD!$A$3:$A$5001,Z$3,BD!$B$3:$B$5001,$A$45)))</f>
        <v/>
      </c>
      <c r="AA57" s="216" t="str">
        <f>IF(AA$3="","",IF(COUNTIFS(BD!$A$3:$A$5001,AA$3,BD!$B$3:$B$5001,$A$45,BD!$Y$3:$Y$5001,"&lt;&gt;")=0,"",SUMIFS(BD!$Y$3:$Y$5001,BD!$A$3:$A$5001,AA$3,BD!$B$3:$B$5001,$A$45)))</f>
        <v/>
      </c>
      <c r="AB57" s="216" t="str">
        <f>IF(AB$3="","",IF(COUNTIFS(BD!$A$3:$A$5001,AB$3,BD!$B$3:$B$5001,$A$45,BD!$Y$3:$Y$5001,"&lt;&gt;")=0,"",SUMIFS(BD!$Y$3:$Y$5001,BD!$A$3:$A$5001,AB$3,BD!$B$3:$B$5001,$A$45)))</f>
        <v/>
      </c>
      <c r="AC57" s="216" t="str">
        <f>IF(AC$3="","",IF(COUNTIFS(BD!$A$3:$A$5001,AC$3,BD!$B$3:$B$5001,$A$45,BD!$Y$3:$Y$5001,"&lt;&gt;")=0,"",SUMIFS(BD!$Y$3:$Y$5001,BD!$A$3:$A$5001,AC$3,BD!$B$3:$B$5001,$A$45)))</f>
        <v/>
      </c>
      <c r="AD57" s="216" t="str">
        <f>IF(AD$3="","",IF(COUNTIFS(BD!$A$3:$A$5001,AD$3,BD!$B$3:$B$5001,$A$45,BD!$Y$3:$Y$5001,"&lt;&gt;")=0,"",SUMIFS(BD!$Y$3:$Y$5001,BD!$A$3:$A$5001,AD$3,BD!$B$3:$B$5001,$A$45)))</f>
        <v/>
      </c>
      <c r="AE57" s="216" t="str">
        <f>IF(AE$3="","",IF(COUNTIFS(BD!$A$3:$A$5001,AE$3,BD!$B$3:$B$5001,$A$45,BD!$Y$3:$Y$5001,"&lt;&gt;")=0,"",SUMIFS(BD!$Y$3:$Y$5001,BD!$A$3:$A$5001,AE$3,BD!$B$3:$B$5001,$A$45)))</f>
        <v/>
      </c>
      <c r="AF57" s="216" t="str">
        <f>IF(AF$3="","",IF(COUNTIFS(BD!$A$3:$A$5001,AF$3,BD!$B$3:$B$5001,$A$45,BD!$Y$3:$Y$5001,"&lt;&gt;")=0,"",SUMIFS(BD!$Y$3:$Y$5001,BD!$A$3:$A$5001,AF$3,BD!$B$3:$B$5001,$A$45)))</f>
        <v/>
      </c>
      <c r="AG57" s="216" t="str">
        <f>IF(AG$3="","",IF(COUNTIFS(BD!$A$3:$A$5001,AG$3,BD!$B$3:$B$5001,$A$45,BD!$Y$3:$Y$5001,"&lt;&gt;")=0,"",SUMIFS(BD!$Y$3:$Y$5001,BD!$A$3:$A$5001,AG$3,BD!$B$3:$B$5001,$A$45)))</f>
        <v/>
      </c>
      <c r="AH57" s="216" t="str">
        <f>IF(AH$3="","",IF(COUNTIFS(BD!$A$3:$A$5001,AH$3,BD!$B$3:$B$5001,$A$45,BD!$Y$3:$Y$5001,"&lt;&gt;")=0,"",SUMIFS(BD!$Y$3:$Y$5001,BD!$A$3:$A$5001,AH$3,BD!$B$3:$B$5001,$A$45)))</f>
        <v/>
      </c>
      <c r="AI57" s="216" t="str">
        <f>IF(AI$3="","",IF(COUNTIFS(BD!$A$3:$A$5001,AI$3,BD!$B$3:$B$5001,$A$45,BD!$Y$3:$Y$5001,"&lt;&gt;")=0,"",SUMIFS(BD!$Y$3:$Y$5001,BD!$A$3:$A$5001,AI$3,BD!$B$3:$B$5001,$A$45)))</f>
        <v/>
      </c>
      <c r="AJ57" s="217" t="str">
        <f>IF(AJ$3="","",IF(COUNTIFS(BD!$A$3:$A$5001,AJ$3,BD!$B$3:$B$5001,$A$45,BD!$Y$3:$Y$5001,"&lt;&gt;")=0,"",SUMIFS(BD!$Y$3:$Y$5001,BD!$A$3:$A$5001,AJ$3,BD!$B$3:$B$5001,$A$45)))</f>
        <v/>
      </c>
      <c r="AK57" s="218" t="str">
        <f>IFERROR(LOOKUP(9.99E+307,F57:AJ57),"")</f>
        <v/>
      </c>
    </row>
    <row r="58" ht="15.75" customHeight="1">
      <c r="A58" s="244"/>
      <c r="B58" s="241"/>
      <c r="C58" s="219" t="inlineStr">
        <is>
          <t xml:space="preserve">Falta</t>
        </is>
      </c>
      <c r="D58" s="220" t="str">
        <f>IFERROR(1/(1/INDEX(BD!$AJ$47:$BD$47,MATCH($A$45,BD!$AJ$22:$BD$22,0))),"")</f>
        <v/>
      </c>
      <c r="E58" s="221"/>
      <c r="F58" s="222" t="str">
        <f>IF(F$3="","",IF(COUNTIFS(BD!$A$3:$A$5001,F$3,BD!$B$3:$B$5001,$A$45,BD!$Z$3:$Z$5001,"&lt;&gt;")=0,"",SUMIFS(BD!$Z$3:$Z$5001,BD!$A$3:$A$5001,F$3,BD!$B$3:$B$5001,$A$45)))</f>
        <v/>
      </c>
      <c r="G58" s="223" t="str">
        <f>IF(G$3="","",IF(COUNTIFS(BD!$A$3:$A$5001,G$3,BD!$B$3:$B$5001,$A$45,BD!$Z$3:$Z$5001,"&lt;&gt;")=0,"",SUMIFS(BD!$Z$3:$Z$5001,BD!$A$3:$A$5001,G$3,BD!$B$3:$B$5001,$A$45)))</f>
        <v/>
      </c>
      <c r="H58" s="223" t="str">
        <f>IF(H$3="","",IF(COUNTIFS(BD!$A$3:$A$5001,H$3,BD!$B$3:$B$5001,$A$45,BD!$Z$3:$Z$5001,"&lt;&gt;")=0,"",SUMIFS(BD!$Z$3:$Z$5001,BD!$A$3:$A$5001,H$3,BD!$B$3:$B$5001,$A$45)))</f>
        <v/>
      </c>
      <c r="I58" s="223" t="str">
        <f>IF(I$3="","",IF(COUNTIFS(BD!$A$3:$A$5001,I$3,BD!$B$3:$B$5001,$A$45,BD!$Z$3:$Z$5001,"&lt;&gt;")=0,"",SUMIFS(BD!$Z$3:$Z$5001,BD!$A$3:$A$5001,I$3,BD!$B$3:$B$5001,$A$45)))</f>
        <v/>
      </c>
      <c r="J58" s="223" t="str">
        <f>IF(J$3="","",IF(COUNTIFS(BD!$A$3:$A$5001,J$3,BD!$B$3:$B$5001,$A$45,BD!$Z$3:$Z$5001,"&lt;&gt;")=0,"",SUMIFS(BD!$Z$3:$Z$5001,BD!$A$3:$A$5001,J$3,BD!$B$3:$B$5001,$A$45)))</f>
        <v/>
      </c>
      <c r="K58" s="223" t="str">
        <f>IF(K$3="","",IF(COUNTIFS(BD!$A$3:$A$5001,K$3,BD!$B$3:$B$5001,$A$45,BD!$Z$3:$Z$5001,"&lt;&gt;")=0,"",SUMIFS(BD!$Z$3:$Z$5001,BD!$A$3:$A$5001,K$3,BD!$B$3:$B$5001,$A$45)))</f>
        <v/>
      </c>
      <c r="L58" s="223" t="str">
        <f>IF(L$3="","",IF(COUNTIFS(BD!$A$3:$A$5001,L$3,BD!$B$3:$B$5001,$A$45,BD!$Z$3:$Z$5001,"&lt;&gt;")=0,"",SUMIFS(BD!$Z$3:$Z$5001,BD!$A$3:$A$5001,L$3,BD!$B$3:$B$5001,$A$45)))</f>
        <v/>
      </c>
      <c r="M58" s="223" t="str">
        <f>IF(M$3="","",IF(COUNTIFS(BD!$A$3:$A$5001,M$3,BD!$B$3:$B$5001,$A$45,BD!$Z$3:$Z$5001,"&lt;&gt;")=0,"",SUMIFS(BD!$Z$3:$Z$5001,BD!$A$3:$A$5001,M$3,BD!$B$3:$B$5001,$A$45)))</f>
        <v/>
      </c>
      <c r="N58" s="223" t="str">
        <f>IF(N$3="","",IF(COUNTIFS(BD!$A$3:$A$5001,N$3,BD!$B$3:$B$5001,$A$45,BD!$Z$3:$Z$5001,"&lt;&gt;")=0,"",SUMIFS(BD!$Z$3:$Z$5001,BD!$A$3:$A$5001,N$3,BD!$B$3:$B$5001,$A$45)))</f>
        <v/>
      </c>
      <c r="O58" s="223" t="str">
        <f>IF(O$3="","",IF(COUNTIFS(BD!$A$3:$A$5001,O$3,BD!$B$3:$B$5001,$A$45,BD!$Z$3:$Z$5001,"&lt;&gt;")=0,"",SUMIFS(BD!$Z$3:$Z$5001,BD!$A$3:$A$5001,O$3,BD!$B$3:$B$5001,$A$45)))</f>
        <v/>
      </c>
      <c r="P58" s="223" t="str">
        <f>IF(P$3="","",IF(COUNTIFS(BD!$A$3:$A$5001,P$3,BD!$B$3:$B$5001,$A$45,BD!$Z$3:$Z$5001,"&lt;&gt;")=0,"",SUMIFS(BD!$Z$3:$Z$5001,BD!$A$3:$A$5001,P$3,BD!$B$3:$B$5001,$A$45)))</f>
        <v/>
      </c>
      <c r="Q58" s="223" t="str">
        <f>IF(Q$3="","",IF(COUNTIFS(BD!$A$3:$A$5001,Q$3,BD!$B$3:$B$5001,$A$45,BD!$Z$3:$Z$5001,"&lt;&gt;")=0,"",SUMIFS(BD!$Z$3:$Z$5001,BD!$A$3:$A$5001,Q$3,BD!$B$3:$B$5001,$A$45)))</f>
        <v/>
      </c>
      <c r="R58" s="223" t="str">
        <f>IF(R$3="","",IF(COUNTIFS(BD!$A$3:$A$5001,R$3,BD!$B$3:$B$5001,$A$45,BD!$Z$3:$Z$5001,"&lt;&gt;")=0,"",SUMIFS(BD!$Z$3:$Z$5001,BD!$A$3:$A$5001,R$3,BD!$B$3:$B$5001,$A$45)))</f>
        <v/>
      </c>
      <c r="S58" s="223" t="str">
        <f>IF(S$3="","",IF(COUNTIFS(BD!$A$3:$A$5001,S$3,BD!$B$3:$B$5001,$A$45,BD!$Z$3:$Z$5001,"&lt;&gt;")=0,"",SUMIFS(BD!$Z$3:$Z$5001,BD!$A$3:$A$5001,S$3,BD!$B$3:$B$5001,$A$45)))</f>
        <v/>
      </c>
      <c r="T58" s="223" t="str">
        <f>IF(T$3="","",IF(COUNTIFS(BD!$A$3:$A$5001,T$3,BD!$B$3:$B$5001,$A$45,BD!$Z$3:$Z$5001,"&lt;&gt;")=0,"",SUMIFS(BD!$Z$3:$Z$5001,BD!$A$3:$A$5001,T$3,BD!$B$3:$B$5001,$A$45)))</f>
        <v/>
      </c>
      <c r="U58" s="223" t="str">
        <f>IF(U$3="","",IF(COUNTIFS(BD!$A$3:$A$5001,U$3,BD!$B$3:$B$5001,$A$45,BD!$Z$3:$Z$5001,"&lt;&gt;")=0,"",SUMIFS(BD!$Z$3:$Z$5001,BD!$A$3:$A$5001,U$3,BD!$B$3:$B$5001,$A$45)))</f>
        <v/>
      </c>
      <c r="V58" s="223" t="str">
        <f>IF(V$3="","",IF(COUNTIFS(BD!$A$3:$A$5001,V$3,BD!$B$3:$B$5001,$A$45,BD!$Z$3:$Z$5001,"&lt;&gt;")=0,"",SUMIFS(BD!$Z$3:$Z$5001,BD!$A$3:$A$5001,V$3,BD!$B$3:$B$5001,$A$45)))</f>
        <v/>
      </c>
      <c r="W58" s="223" t="str">
        <f>IF(W$3="","",IF(COUNTIFS(BD!$A$3:$A$5001,W$3,BD!$B$3:$B$5001,$A$45,BD!$Z$3:$Z$5001,"&lt;&gt;")=0,"",SUMIFS(BD!$Z$3:$Z$5001,BD!$A$3:$A$5001,W$3,BD!$B$3:$B$5001,$A$45)))</f>
        <v/>
      </c>
      <c r="X58" s="223" t="str">
        <f>IF(X$3="","",IF(COUNTIFS(BD!$A$3:$A$5001,X$3,BD!$B$3:$B$5001,$A$45,BD!$Z$3:$Z$5001,"&lt;&gt;")=0,"",SUMIFS(BD!$Z$3:$Z$5001,BD!$A$3:$A$5001,X$3,BD!$B$3:$B$5001,$A$45)))</f>
        <v/>
      </c>
      <c r="Y58" s="223" t="str">
        <f>IF(Y$3="","",IF(COUNTIFS(BD!$A$3:$A$5001,Y$3,BD!$B$3:$B$5001,$A$45,BD!$Z$3:$Z$5001,"&lt;&gt;")=0,"",SUMIFS(BD!$Z$3:$Z$5001,BD!$A$3:$A$5001,Y$3,BD!$B$3:$B$5001,$A$45)))</f>
        <v/>
      </c>
      <c r="Z58" s="223" t="str">
        <f>IF(Z$3="","",IF(COUNTIFS(BD!$A$3:$A$5001,Z$3,BD!$B$3:$B$5001,$A$45,BD!$Z$3:$Z$5001,"&lt;&gt;")=0,"",SUMIFS(BD!$Z$3:$Z$5001,BD!$A$3:$A$5001,Z$3,BD!$B$3:$B$5001,$A$45)))</f>
        <v/>
      </c>
      <c r="AA58" s="223" t="str">
        <f>IF(AA$3="","",IF(COUNTIFS(BD!$A$3:$A$5001,AA$3,BD!$B$3:$B$5001,$A$45,BD!$Z$3:$Z$5001,"&lt;&gt;")=0,"",SUMIFS(BD!$Z$3:$Z$5001,BD!$A$3:$A$5001,AA$3,BD!$B$3:$B$5001,$A$45)))</f>
        <v/>
      </c>
      <c r="AB58" s="223" t="str">
        <f>IF(AB$3="","",IF(COUNTIFS(BD!$A$3:$A$5001,AB$3,BD!$B$3:$B$5001,$A$45,BD!$Z$3:$Z$5001,"&lt;&gt;")=0,"",SUMIFS(BD!$Z$3:$Z$5001,BD!$A$3:$A$5001,AB$3,BD!$B$3:$B$5001,$A$45)))</f>
        <v/>
      </c>
      <c r="AC58" s="223" t="str">
        <f>IF(AC$3="","",IF(COUNTIFS(BD!$A$3:$A$5001,AC$3,BD!$B$3:$B$5001,$A$45,BD!$Z$3:$Z$5001,"&lt;&gt;")=0,"",SUMIFS(BD!$Z$3:$Z$5001,BD!$A$3:$A$5001,AC$3,BD!$B$3:$B$5001,$A$45)))</f>
        <v/>
      </c>
      <c r="AD58" s="223" t="str">
        <f>IF(AD$3="","",IF(COUNTIFS(BD!$A$3:$A$5001,AD$3,BD!$B$3:$B$5001,$A$45,BD!$Z$3:$Z$5001,"&lt;&gt;")=0,"",SUMIFS(BD!$Z$3:$Z$5001,BD!$A$3:$A$5001,AD$3,BD!$B$3:$B$5001,$A$45)))</f>
        <v/>
      </c>
      <c r="AE58" s="223" t="str">
        <f>IF(AE$3="","",IF(COUNTIFS(BD!$A$3:$A$5001,AE$3,BD!$B$3:$B$5001,$A$45,BD!$Z$3:$Z$5001,"&lt;&gt;")=0,"",SUMIFS(BD!$Z$3:$Z$5001,BD!$A$3:$A$5001,AE$3,BD!$B$3:$B$5001,$A$45)))</f>
        <v/>
      </c>
      <c r="AF58" s="223" t="str">
        <f>IF(AF$3="","",IF(COUNTIFS(BD!$A$3:$A$5001,AF$3,BD!$B$3:$B$5001,$A$45,BD!$Z$3:$Z$5001,"&lt;&gt;")=0,"",SUMIFS(BD!$Z$3:$Z$5001,BD!$A$3:$A$5001,AF$3,BD!$B$3:$B$5001,$A$45)))</f>
        <v/>
      </c>
      <c r="AG58" s="223" t="str">
        <f>IF(AG$3="","",IF(COUNTIFS(BD!$A$3:$A$5001,AG$3,BD!$B$3:$B$5001,$A$45,BD!$Z$3:$Z$5001,"&lt;&gt;")=0,"",SUMIFS(BD!$Z$3:$Z$5001,BD!$A$3:$A$5001,AG$3,BD!$B$3:$B$5001,$A$45)))</f>
        <v/>
      </c>
      <c r="AH58" s="223" t="str">
        <f>IF(AH$3="","",IF(COUNTIFS(BD!$A$3:$A$5001,AH$3,BD!$B$3:$B$5001,$A$45,BD!$Z$3:$Z$5001,"&lt;&gt;")=0,"",SUMIFS(BD!$Z$3:$Z$5001,BD!$A$3:$A$5001,AH$3,BD!$B$3:$B$5001,$A$45)))</f>
        <v/>
      </c>
      <c r="AI58" s="223" t="str">
        <f>IF(AI$3="","",IF(COUNTIFS(BD!$A$3:$A$5001,AI$3,BD!$B$3:$B$5001,$A$45,BD!$Z$3:$Z$5001,"&lt;&gt;")=0,"",SUMIFS(BD!$Z$3:$Z$5001,BD!$A$3:$A$5001,AI$3,BD!$B$3:$B$5001,$A$45)))</f>
        <v/>
      </c>
      <c r="AJ58" s="224" t="str">
        <f>IF(AJ$3="","",IF(COUNTIFS(BD!$A$3:$A$5001,AJ$3,BD!$B$3:$B$5001,$A$45,BD!$Z$3:$Z$5001,"&lt;&gt;")=0,"",SUMIFS(BD!$Z$3:$Z$5001,BD!$A$3:$A$5001,AJ$3,BD!$B$3:$B$5001,$A$45)))</f>
        <v/>
      </c>
      <c r="AK58" s="225" t="str">
        <f>IF(COUNT(F58:AJ58)=0,"",SUM(F58:AJ58))</f>
        <v/>
      </c>
    </row>
    <row r="59" ht="15.75" customHeight="1">
      <c r="A59" s="244"/>
      <c r="B59" s="241"/>
      <c r="C59" s="219" t="inlineStr">
        <is>
          <t xml:space="preserve">Folga</t>
        </is>
      </c>
      <c r="D59" s="220" t="str">
        <f>IFERROR(1/(1/INDEX(BD!$AJ$48:$BD$48,MATCH($A$45,BD!$AJ$22:$BD$22,0))),"")</f>
        <v/>
      </c>
      <c r="E59" s="221"/>
      <c r="F59" s="222" t="str">
        <f>IF(F$3="","",IF(COUNTIFS(BD!$A$3:$A$5001,F$3,BD!$B$3:$B$5001,$A$45,BD!$AA$3:$AA$5001,"&lt;&gt;")=0,"",SUMIFS(BD!$AA$3:$AA$5001,BD!$A$3:$A$5001,F$3,BD!$B$3:$B$5001,$A$45)))</f>
        <v/>
      </c>
      <c r="G59" s="223" t="str">
        <f>IF(G$3="","",IF(COUNTIFS(BD!$A$3:$A$5001,G$3,BD!$B$3:$B$5001,$A$45,BD!$AA$3:$AA$5001,"&lt;&gt;")=0,"",SUMIFS(BD!$AA$3:$AA$5001,BD!$A$3:$A$5001,G$3,BD!$B$3:$B$5001,$A$45)))</f>
        <v/>
      </c>
      <c r="H59" s="223" t="str">
        <f>IF(H$3="","",IF(COUNTIFS(BD!$A$3:$A$5001,H$3,BD!$B$3:$B$5001,$A$45,BD!$AA$3:$AA$5001,"&lt;&gt;")=0,"",SUMIFS(BD!$AA$3:$AA$5001,BD!$A$3:$A$5001,H$3,BD!$B$3:$B$5001,$A$45)))</f>
        <v/>
      </c>
      <c r="I59" s="223" t="str">
        <f>IF(I$3="","",IF(COUNTIFS(BD!$A$3:$A$5001,I$3,BD!$B$3:$B$5001,$A$45,BD!$AA$3:$AA$5001,"&lt;&gt;")=0,"",SUMIFS(BD!$AA$3:$AA$5001,BD!$A$3:$A$5001,I$3,BD!$B$3:$B$5001,$A$45)))</f>
        <v/>
      </c>
      <c r="J59" s="223" t="str">
        <f>IF(J$3="","",IF(COUNTIFS(BD!$A$3:$A$5001,J$3,BD!$B$3:$B$5001,$A$45,BD!$AA$3:$AA$5001,"&lt;&gt;")=0,"",SUMIFS(BD!$AA$3:$AA$5001,BD!$A$3:$A$5001,J$3,BD!$B$3:$B$5001,$A$45)))</f>
        <v/>
      </c>
      <c r="K59" s="223" t="str">
        <f>IF(K$3="","",IF(COUNTIFS(BD!$A$3:$A$5001,K$3,BD!$B$3:$B$5001,$A$45,BD!$AA$3:$AA$5001,"&lt;&gt;")=0,"",SUMIFS(BD!$AA$3:$AA$5001,BD!$A$3:$A$5001,K$3,BD!$B$3:$B$5001,$A$45)))</f>
        <v/>
      </c>
      <c r="L59" s="223" t="str">
        <f>IF(L$3="","",IF(COUNTIFS(BD!$A$3:$A$5001,L$3,BD!$B$3:$B$5001,$A$45,BD!$AA$3:$AA$5001,"&lt;&gt;")=0,"",SUMIFS(BD!$AA$3:$AA$5001,BD!$A$3:$A$5001,L$3,BD!$B$3:$B$5001,$A$45)))</f>
        <v/>
      </c>
      <c r="M59" s="223" t="str">
        <f>IF(M$3="","",IF(COUNTIFS(BD!$A$3:$A$5001,M$3,BD!$B$3:$B$5001,$A$45,BD!$AA$3:$AA$5001,"&lt;&gt;")=0,"",SUMIFS(BD!$AA$3:$AA$5001,BD!$A$3:$A$5001,M$3,BD!$B$3:$B$5001,$A$45)))</f>
        <v/>
      </c>
      <c r="N59" s="223" t="str">
        <f>IF(N$3="","",IF(COUNTIFS(BD!$A$3:$A$5001,N$3,BD!$B$3:$B$5001,$A$45,BD!$AA$3:$AA$5001,"&lt;&gt;")=0,"",SUMIFS(BD!$AA$3:$AA$5001,BD!$A$3:$A$5001,N$3,BD!$B$3:$B$5001,$A$45)))</f>
        <v/>
      </c>
      <c r="O59" s="223" t="str">
        <f>IF(O$3="","",IF(COUNTIFS(BD!$A$3:$A$5001,O$3,BD!$B$3:$B$5001,$A$45,BD!$AA$3:$AA$5001,"&lt;&gt;")=0,"",SUMIFS(BD!$AA$3:$AA$5001,BD!$A$3:$A$5001,O$3,BD!$B$3:$B$5001,$A$45)))</f>
        <v/>
      </c>
      <c r="P59" s="223" t="str">
        <f>IF(P$3="","",IF(COUNTIFS(BD!$A$3:$A$5001,P$3,BD!$B$3:$B$5001,$A$45,BD!$AA$3:$AA$5001,"&lt;&gt;")=0,"",SUMIFS(BD!$AA$3:$AA$5001,BD!$A$3:$A$5001,P$3,BD!$B$3:$B$5001,$A$45)))</f>
        <v/>
      </c>
      <c r="Q59" s="223" t="str">
        <f>IF(Q$3="","",IF(COUNTIFS(BD!$A$3:$A$5001,Q$3,BD!$B$3:$B$5001,$A$45,BD!$AA$3:$AA$5001,"&lt;&gt;")=0,"",SUMIFS(BD!$AA$3:$AA$5001,BD!$A$3:$A$5001,Q$3,BD!$B$3:$B$5001,$A$45)))</f>
        <v/>
      </c>
      <c r="R59" s="223" t="str">
        <f>IF(R$3="","",IF(COUNTIFS(BD!$A$3:$A$5001,R$3,BD!$B$3:$B$5001,$A$45,BD!$AA$3:$AA$5001,"&lt;&gt;")=0,"",SUMIFS(BD!$AA$3:$AA$5001,BD!$A$3:$A$5001,R$3,BD!$B$3:$B$5001,$A$45)))</f>
        <v/>
      </c>
      <c r="S59" s="223" t="str">
        <f>IF(S$3="","",IF(COUNTIFS(BD!$A$3:$A$5001,S$3,BD!$B$3:$B$5001,$A$45,BD!$AA$3:$AA$5001,"&lt;&gt;")=0,"",SUMIFS(BD!$AA$3:$AA$5001,BD!$A$3:$A$5001,S$3,BD!$B$3:$B$5001,$A$45)))</f>
        <v/>
      </c>
      <c r="T59" s="223" t="str">
        <f>IF(T$3="","",IF(COUNTIFS(BD!$A$3:$A$5001,T$3,BD!$B$3:$B$5001,$A$45,BD!$AA$3:$AA$5001,"&lt;&gt;")=0,"",SUMIFS(BD!$AA$3:$AA$5001,BD!$A$3:$A$5001,T$3,BD!$B$3:$B$5001,$A$45)))</f>
        <v/>
      </c>
      <c r="U59" s="223" t="str">
        <f>IF(U$3="","",IF(COUNTIFS(BD!$A$3:$A$5001,U$3,BD!$B$3:$B$5001,$A$45,BD!$AA$3:$AA$5001,"&lt;&gt;")=0,"",SUMIFS(BD!$AA$3:$AA$5001,BD!$A$3:$A$5001,U$3,BD!$B$3:$B$5001,$A$45)))</f>
        <v/>
      </c>
      <c r="V59" s="223" t="str">
        <f>IF(V$3="","",IF(COUNTIFS(BD!$A$3:$A$5001,V$3,BD!$B$3:$B$5001,$A$45,BD!$AA$3:$AA$5001,"&lt;&gt;")=0,"",SUMIFS(BD!$AA$3:$AA$5001,BD!$A$3:$A$5001,V$3,BD!$B$3:$B$5001,$A$45)))</f>
        <v/>
      </c>
      <c r="W59" s="223" t="str">
        <f>IF(W$3="","",IF(COUNTIFS(BD!$A$3:$A$5001,W$3,BD!$B$3:$B$5001,$A$45,BD!$AA$3:$AA$5001,"&lt;&gt;")=0,"",SUMIFS(BD!$AA$3:$AA$5001,BD!$A$3:$A$5001,W$3,BD!$B$3:$B$5001,$A$45)))</f>
        <v/>
      </c>
      <c r="X59" s="223" t="str">
        <f>IF(X$3="","",IF(COUNTIFS(BD!$A$3:$A$5001,X$3,BD!$B$3:$B$5001,$A$45,BD!$AA$3:$AA$5001,"&lt;&gt;")=0,"",SUMIFS(BD!$AA$3:$AA$5001,BD!$A$3:$A$5001,X$3,BD!$B$3:$B$5001,$A$45)))</f>
        <v/>
      </c>
      <c r="Y59" s="223" t="str">
        <f>IF(Y$3="","",IF(COUNTIFS(BD!$A$3:$A$5001,Y$3,BD!$B$3:$B$5001,$A$45,BD!$AA$3:$AA$5001,"&lt;&gt;")=0,"",SUMIFS(BD!$AA$3:$AA$5001,BD!$A$3:$A$5001,Y$3,BD!$B$3:$B$5001,$A$45)))</f>
        <v/>
      </c>
      <c r="Z59" s="223" t="str">
        <f>IF(Z$3="","",IF(COUNTIFS(BD!$A$3:$A$5001,Z$3,BD!$B$3:$B$5001,$A$45,BD!$AA$3:$AA$5001,"&lt;&gt;")=0,"",SUMIFS(BD!$AA$3:$AA$5001,BD!$A$3:$A$5001,Z$3,BD!$B$3:$B$5001,$A$45)))</f>
        <v/>
      </c>
      <c r="AA59" s="223" t="str">
        <f>IF(AA$3="","",IF(COUNTIFS(BD!$A$3:$A$5001,AA$3,BD!$B$3:$B$5001,$A$45,BD!$AA$3:$AA$5001,"&lt;&gt;")=0,"",SUMIFS(BD!$AA$3:$AA$5001,BD!$A$3:$A$5001,AA$3,BD!$B$3:$B$5001,$A$45)))</f>
        <v/>
      </c>
      <c r="AB59" s="223" t="str">
        <f>IF(AB$3="","",IF(COUNTIFS(BD!$A$3:$A$5001,AB$3,BD!$B$3:$B$5001,$A$45,BD!$AA$3:$AA$5001,"&lt;&gt;")=0,"",SUMIFS(BD!$AA$3:$AA$5001,BD!$A$3:$A$5001,AB$3,BD!$B$3:$B$5001,$A$45)))</f>
        <v/>
      </c>
      <c r="AC59" s="223" t="str">
        <f>IF(AC$3="","",IF(COUNTIFS(BD!$A$3:$A$5001,AC$3,BD!$B$3:$B$5001,$A$45,BD!$AA$3:$AA$5001,"&lt;&gt;")=0,"",SUMIFS(BD!$AA$3:$AA$5001,BD!$A$3:$A$5001,AC$3,BD!$B$3:$B$5001,$A$45)))</f>
        <v/>
      </c>
      <c r="AD59" s="223" t="str">
        <f>IF(AD$3="","",IF(COUNTIFS(BD!$A$3:$A$5001,AD$3,BD!$B$3:$B$5001,$A$45,BD!$AA$3:$AA$5001,"&lt;&gt;")=0,"",SUMIFS(BD!$AA$3:$AA$5001,BD!$A$3:$A$5001,AD$3,BD!$B$3:$B$5001,$A$45)))</f>
        <v/>
      </c>
      <c r="AE59" s="223" t="str">
        <f>IF(AE$3="","",IF(COUNTIFS(BD!$A$3:$A$5001,AE$3,BD!$B$3:$B$5001,$A$45,BD!$AA$3:$AA$5001,"&lt;&gt;")=0,"",SUMIFS(BD!$AA$3:$AA$5001,BD!$A$3:$A$5001,AE$3,BD!$B$3:$B$5001,$A$45)))</f>
        <v/>
      </c>
      <c r="AF59" s="223" t="str">
        <f>IF(AF$3="","",IF(COUNTIFS(BD!$A$3:$A$5001,AF$3,BD!$B$3:$B$5001,$A$45,BD!$AA$3:$AA$5001,"&lt;&gt;")=0,"",SUMIFS(BD!$AA$3:$AA$5001,BD!$A$3:$A$5001,AF$3,BD!$B$3:$B$5001,$A$45)))</f>
        <v/>
      </c>
      <c r="AG59" s="223" t="str">
        <f>IF(AG$3="","",IF(COUNTIFS(BD!$A$3:$A$5001,AG$3,BD!$B$3:$B$5001,$A$45,BD!$AA$3:$AA$5001,"&lt;&gt;")=0,"",SUMIFS(BD!$AA$3:$AA$5001,BD!$A$3:$A$5001,AG$3,BD!$B$3:$B$5001,$A$45)))</f>
        <v/>
      </c>
      <c r="AH59" s="223" t="str">
        <f>IF(AH$3="","",IF(COUNTIFS(BD!$A$3:$A$5001,AH$3,BD!$B$3:$B$5001,$A$45,BD!$AA$3:$AA$5001,"&lt;&gt;")=0,"",SUMIFS(BD!$AA$3:$AA$5001,BD!$A$3:$A$5001,AH$3,BD!$B$3:$B$5001,$A$45)))</f>
        <v/>
      </c>
      <c r="AI59" s="223" t="str">
        <f>IF(AI$3="","",IF(COUNTIFS(BD!$A$3:$A$5001,AI$3,BD!$B$3:$B$5001,$A$45,BD!$AA$3:$AA$5001,"&lt;&gt;")=0,"",SUMIFS(BD!$AA$3:$AA$5001,BD!$A$3:$A$5001,AI$3,BD!$B$3:$B$5001,$A$45)))</f>
        <v/>
      </c>
      <c r="AJ59" s="224" t="str">
        <f>IF(AJ$3="","",IF(COUNTIFS(BD!$A$3:$A$5001,AJ$3,BD!$B$3:$B$5001,$A$45,BD!$AA$3:$AA$5001,"&lt;&gt;")=0,"",SUMIFS(BD!$AA$3:$AA$5001,BD!$A$3:$A$5001,AJ$3,BD!$B$3:$B$5001,$A$45)))</f>
        <v/>
      </c>
      <c r="AK59" s="225" t="str">
        <f>IF(COUNT(F59:AJ59)=0,"",SUM(F59:AJ59))</f>
        <v/>
      </c>
    </row>
    <row r="60" ht="15.75" customHeight="1">
      <c r="A60" s="244"/>
      <c r="B60" s="241"/>
      <c r="C60" s="219" t="inlineStr">
        <is>
          <t xml:space="preserve">Férias</t>
        </is>
      </c>
      <c r="D60" s="220" t="str">
        <f>IFERROR(1/(1/INDEX(BD!$AJ$49:$BD$49,MATCH($A$45,BD!$AJ$22:$BD$22,0))),"")</f>
        <v/>
      </c>
      <c r="E60" s="221"/>
      <c r="F60" s="222" t="str">
        <f>IF(F$3="","",IF(COUNTIFS(BD!$A$3:$A$5001,F$3,BD!$B$3:$B$5001,$A$45,BD!$AB$3:$AB$5001,"&lt;&gt;")=0,"",SUMIFS(BD!$AB$3:$AB$5001,BD!$A$3:$A$5001,F$3,BD!$B$3:$B$5001,$A$45)))</f>
        <v/>
      </c>
      <c r="G60" s="223" t="str">
        <f>IF(G$3="","",IF(COUNTIFS(BD!$A$3:$A$5001,G$3,BD!$B$3:$B$5001,$A$45,BD!$AB$3:$AB$5001,"&lt;&gt;")=0,"",SUMIFS(BD!$AB$3:$AB$5001,BD!$A$3:$A$5001,G$3,BD!$B$3:$B$5001,$A$45)))</f>
        <v/>
      </c>
      <c r="H60" s="223" t="str">
        <f>IF(H$3="","",IF(COUNTIFS(BD!$A$3:$A$5001,H$3,BD!$B$3:$B$5001,$A$45,BD!$AB$3:$AB$5001,"&lt;&gt;")=0,"",SUMIFS(BD!$AB$3:$AB$5001,BD!$A$3:$A$5001,H$3,BD!$B$3:$B$5001,$A$45)))</f>
        <v/>
      </c>
      <c r="I60" s="223" t="str">
        <f>IF(I$3="","",IF(COUNTIFS(BD!$A$3:$A$5001,I$3,BD!$B$3:$B$5001,$A$45,BD!$AB$3:$AB$5001,"&lt;&gt;")=0,"",SUMIFS(BD!$AB$3:$AB$5001,BD!$A$3:$A$5001,I$3,BD!$B$3:$B$5001,$A$45)))</f>
        <v/>
      </c>
      <c r="J60" s="223" t="str">
        <f>IF(J$3="","",IF(COUNTIFS(BD!$A$3:$A$5001,J$3,BD!$B$3:$B$5001,$A$45,BD!$AB$3:$AB$5001,"&lt;&gt;")=0,"",SUMIFS(BD!$AB$3:$AB$5001,BD!$A$3:$A$5001,J$3,BD!$B$3:$B$5001,$A$45)))</f>
        <v/>
      </c>
      <c r="K60" s="223" t="str">
        <f>IF(K$3="","",IF(COUNTIFS(BD!$A$3:$A$5001,K$3,BD!$B$3:$B$5001,$A$45,BD!$AB$3:$AB$5001,"&lt;&gt;")=0,"",SUMIFS(BD!$AB$3:$AB$5001,BD!$A$3:$A$5001,K$3,BD!$B$3:$B$5001,$A$45)))</f>
        <v/>
      </c>
      <c r="L60" s="223" t="str">
        <f>IF(L$3="","",IF(COUNTIFS(BD!$A$3:$A$5001,L$3,BD!$B$3:$B$5001,$A$45,BD!$AB$3:$AB$5001,"&lt;&gt;")=0,"",SUMIFS(BD!$AB$3:$AB$5001,BD!$A$3:$A$5001,L$3,BD!$B$3:$B$5001,$A$45)))</f>
        <v/>
      </c>
      <c r="M60" s="223" t="str">
        <f>IF(M$3="","",IF(COUNTIFS(BD!$A$3:$A$5001,M$3,BD!$B$3:$B$5001,$A$45,BD!$AB$3:$AB$5001,"&lt;&gt;")=0,"",SUMIFS(BD!$AB$3:$AB$5001,BD!$A$3:$A$5001,M$3,BD!$B$3:$B$5001,$A$45)))</f>
        <v/>
      </c>
      <c r="N60" s="223" t="str">
        <f>IF(N$3="","",IF(COUNTIFS(BD!$A$3:$A$5001,N$3,BD!$B$3:$B$5001,$A$45,BD!$AB$3:$AB$5001,"&lt;&gt;")=0,"",SUMIFS(BD!$AB$3:$AB$5001,BD!$A$3:$A$5001,N$3,BD!$B$3:$B$5001,$A$45)))</f>
        <v/>
      </c>
      <c r="O60" s="223" t="str">
        <f>IF(O$3="","",IF(COUNTIFS(BD!$A$3:$A$5001,O$3,BD!$B$3:$B$5001,$A$45,BD!$AB$3:$AB$5001,"&lt;&gt;")=0,"",SUMIFS(BD!$AB$3:$AB$5001,BD!$A$3:$A$5001,O$3,BD!$B$3:$B$5001,$A$45)))</f>
        <v/>
      </c>
      <c r="P60" s="223" t="str">
        <f>IF(P$3="","",IF(COUNTIFS(BD!$A$3:$A$5001,P$3,BD!$B$3:$B$5001,$A$45,BD!$AB$3:$AB$5001,"&lt;&gt;")=0,"",SUMIFS(BD!$AB$3:$AB$5001,BD!$A$3:$A$5001,P$3,BD!$B$3:$B$5001,$A$45)))</f>
        <v/>
      </c>
      <c r="Q60" s="223" t="str">
        <f>IF(Q$3="","",IF(COUNTIFS(BD!$A$3:$A$5001,Q$3,BD!$B$3:$B$5001,$A$45,BD!$AB$3:$AB$5001,"&lt;&gt;")=0,"",SUMIFS(BD!$AB$3:$AB$5001,BD!$A$3:$A$5001,Q$3,BD!$B$3:$B$5001,$A$45)))</f>
        <v/>
      </c>
      <c r="R60" s="223" t="str">
        <f>IF(R$3="","",IF(COUNTIFS(BD!$A$3:$A$5001,R$3,BD!$B$3:$B$5001,$A$45,BD!$AB$3:$AB$5001,"&lt;&gt;")=0,"",SUMIFS(BD!$AB$3:$AB$5001,BD!$A$3:$A$5001,R$3,BD!$B$3:$B$5001,$A$45)))</f>
        <v/>
      </c>
      <c r="S60" s="223" t="str">
        <f>IF(S$3="","",IF(COUNTIFS(BD!$A$3:$A$5001,S$3,BD!$B$3:$B$5001,$A$45,BD!$AB$3:$AB$5001,"&lt;&gt;")=0,"",SUMIFS(BD!$AB$3:$AB$5001,BD!$A$3:$A$5001,S$3,BD!$B$3:$B$5001,$A$45)))</f>
        <v/>
      </c>
      <c r="T60" s="223" t="str">
        <f>IF(T$3="","",IF(COUNTIFS(BD!$A$3:$A$5001,T$3,BD!$B$3:$B$5001,$A$45,BD!$AB$3:$AB$5001,"&lt;&gt;")=0,"",SUMIFS(BD!$AB$3:$AB$5001,BD!$A$3:$A$5001,T$3,BD!$B$3:$B$5001,$A$45)))</f>
        <v/>
      </c>
      <c r="U60" s="223" t="str">
        <f>IF(U$3="","",IF(COUNTIFS(BD!$A$3:$A$5001,U$3,BD!$B$3:$B$5001,$A$45,BD!$AB$3:$AB$5001,"&lt;&gt;")=0,"",SUMIFS(BD!$AB$3:$AB$5001,BD!$A$3:$A$5001,U$3,BD!$B$3:$B$5001,$A$45)))</f>
        <v/>
      </c>
      <c r="V60" s="223" t="str">
        <f>IF(V$3="","",IF(COUNTIFS(BD!$A$3:$A$5001,V$3,BD!$B$3:$B$5001,$A$45,BD!$AB$3:$AB$5001,"&lt;&gt;")=0,"",SUMIFS(BD!$AB$3:$AB$5001,BD!$A$3:$A$5001,V$3,BD!$B$3:$B$5001,$A$45)))</f>
        <v/>
      </c>
      <c r="W60" s="223" t="str">
        <f>IF(W$3="","",IF(COUNTIFS(BD!$A$3:$A$5001,W$3,BD!$B$3:$B$5001,$A$45,BD!$AB$3:$AB$5001,"&lt;&gt;")=0,"",SUMIFS(BD!$AB$3:$AB$5001,BD!$A$3:$A$5001,W$3,BD!$B$3:$B$5001,$A$45)))</f>
        <v/>
      </c>
      <c r="X60" s="223" t="str">
        <f>IF(X$3="","",IF(COUNTIFS(BD!$A$3:$A$5001,X$3,BD!$B$3:$B$5001,$A$45,BD!$AB$3:$AB$5001,"&lt;&gt;")=0,"",SUMIFS(BD!$AB$3:$AB$5001,BD!$A$3:$A$5001,X$3,BD!$B$3:$B$5001,$A$45)))</f>
        <v/>
      </c>
      <c r="Y60" s="223" t="str">
        <f>IF(Y$3="","",IF(COUNTIFS(BD!$A$3:$A$5001,Y$3,BD!$B$3:$B$5001,$A$45,BD!$AB$3:$AB$5001,"&lt;&gt;")=0,"",SUMIFS(BD!$AB$3:$AB$5001,BD!$A$3:$A$5001,Y$3,BD!$B$3:$B$5001,$A$45)))</f>
        <v/>
      </c>
      <c r="Z60" s="223" t="str">
        <f>IF(Z$3="","",IF(COUNTIFS(BD!$A$3:$A$5001,Z$3,BD!$B$3:$B$5001,$A$45,BD!$AB$3:$AB$5001,"&lt;&gt;")=0,"",SUMIFS(BD!$AB$3:$AB$5001,BD!$A$3:$A$5001,Z$3,BD!$B$3:$B$5001,$A$45)))</f>
        <v/>
      </c>
      <c r="AA60" s="223" t="str">
        <f>IF(AA$3="","",IF(COUNTIFS(BD!$A$3:$A$5001,AA$3,BD!$B$3:$B$5001,$A$45,BD!$AB$3:$AB$5001,"&lt;&gt;")=0,"",SUMIFS(BD!$AB$3:$AB$5001,BD!$A$3:$A$5001,AA$3,BD!$B$3:$B$5001,$A$45)))</f>
        <v/>
      </c>
      <c r="AB60" s="223" t="str">
        <f>IF(AB$3="","",IF(COUNTIFS(BD!$A$3:$A$5001,AB$3,BD!$B$3:$B$5001,$A$45,BD!$AB$3:$AB$5001,"&lt;&gt;")=0,"",SUMIFS(BD!$AB$3:$AB$5001,BD!$A$3:$A$5001,AB$3,BD!$B$3:$B$5001,$A$45)))</f>
        <v/>
      </c>
      <c r="AC60" s="223" t="str">
        <f>IF(AC$3="","",IF(COUNTIFS(BD!$A$3:$A$5001,AC$3,BD!$B$3:$B$5001,$A$45,BD!$AB$3:$AB$5001,"&lt;&gt;")=0,"",SUMIFS(BD!$AB$3:$AB$5001,BD!$A$3:$A$5001,AC$3,BD!$B$3:$B$5001,$A$45)))</f>
        <v/>
      </c>
      <c r="AD60" s="223" t="str">
        <f>IF(AD$3="","",IF(COUNTIFS(BD!$A$3:$A$5001,AD$3,BD!$B$3:$B$5001,$A$45,BD!$AB$3:$AB$5001,"&lt;&gt;")=0,"",SUMIFS(BD!$AB$3:$AB$5001,BD!$A$3:$A$5001,AD$3,BD!$B$3:$B$5001,$A$45)))</f>
        <v/>
      </c>
      <c r="AE60" s="223" t="str">
        <f>IF(AE$3="","",IF(COUNTIFS(BD!$A$3:$A$5001,AE$3,BD!$B$3:$B$5001,$A$45,BD!$AB$3:$AB$5001,"&lt;&gt;")=0,"",SUMIFS(BD!$AB$3:$AB$5001,BD!$A$3:$A$5001,AE$3,BD!$B$3:$B$5001,$A$45)))</f>
        <v/>
      </c>
      <c r="AF60" s="223" t="str">
        <f>IF(AF$3="","",IF(COUNTIFS(BD!$A$3:$A$5001,AF$3,BD!$B$3:$B$5001,$A$45,BD!$AB$3:$AB$5001,"&lt;&gt;")=0,"",SUMIFS(BD!$AB$3:$AB$5001,BD!$A$3:$A$5001,AF$3,BD!$B$3:$B$5001,$A$45)))</f>
        <v/>
      </c>
      <c r="AG60" s="223" t="str">
        <f>IF(AG$3="","",IF(COUNTIFS(BD!$A$3:$A$5001,AG$3,BD!$B$3:$B$5001,$A$45,BD!$AB$3:$AB$5001,"&lt;&gt;")=0,"",SUMIFS(BD!$AB$3:$AB$5001,BD!$A$3:$A$5001,AG$3,BD!$B$3:$B$5001,$A$45)))</f>
        <v/>
      </c>
      <c r="AH60" s="223" t="str">
        <f>IF(AH$3="","",IF(COUNTIFS(BD!$A$3:$A$5001,AH$3,BD!$B$3:$B$5001,$A$45,BD!$AB$3:$AB$5001,"&lt;&gt;")=0,"",SUMIFS(BD!$AB$3:$AB$5001,BD!$A$3:$A$5001,AH$3,BD!$B$3:$B$5001,$A$45)))</f>
        <v/>
      </c>
      <c r="AI60" s="223" t="str">
        <f>IF(AI$3="","",IF(COUNTIFS(BD!$A$3:$A$5001,AI$3,BD!$B$3:$B$5001,$A$45,BD!$AB$3:$AB$5001,"&lt;&gt;")=0,"",SUMIFS(BD!$AB$3:$AB$5001,BD!$A$3:$A$5001,AI$3,BD!$B$3:$B$5001,$A$45)))</f>
        <v/>
      </c>
      <c r="AJ60" s="224" t="str">
        <f>IF(AJ$3="","",IF(COUNTIFS(BD!$A$3:$A$5001,AJ$3,BD!$B$3:$B$5001,$A$45,BD!$AB$3:$AB$5001,"&lt;&gt;")=0,"",SUMIFS(BD!$AB$3:$AB$5001,BD!$A$3:$A$5001,AJ$3,BD!$B$3:$B$5001,$A$45)))</f>
        <v/>
      </c>
      <c r="AK60" s="225" t="str">
        <f>IF(COUNT(F60:AJ60)=0,"",SUM(F60:AJ60))</f>
        <v/>
      </c>
    </row>
    <row r="61" ht="15.75" customHeight="1">
      <c r="A61" s="244"/>
      <c r="B61" s="241"/>
      <c r="C61" s="219" t="inlineStr">
        <is>
          <t xml:space="preserve">Desligamento</t>
        </is>
      </c>
      <c r="D61" s="220" t="str">
        <f>IFERROR(1/(1/INDEX(BD!$AJ$50:$BD$50,MATCH($A$45,BD!$AJ$22:$BD$22,0))),"")</f>
        <v/>
      </c>
      <c r="E61" s="221"/>
      <c r="F61" s="222" t="str">
        <f>IF(F$3="","",IF(COUNTIFS(BD!$A$3:$A$5001,F$3,BD!$B$3:$B$5001,$A$45,BD!$AC$3:$AC$5001,"&lt;&gt;")=0,"",SUMIFS(BD!$AC$3:$AC$5001,BD!$A$3:$A$5001,F$3,BD!$B$3:$B$5001,$A$45)))</f>
        <v/>
      </c>
      <c r="G61" s="223" t="str">
        <f>IF(G$3="","",IF(COUNTIFS(BD!$A$3:$A$5001,G$3,BD!$B$3:$B$5001,$A$45,BD!$AC$3:$AC$5001,"&lt;&gt;")=0,"",SUMIFS(BD!$AC$3:$AC$5001,BD!$A$3:$A$5001,G$3,BD!$B$3:$B$5001,$A$45)))</f>
        <v/>
      </c>
      <c r="H61" s="223" t="str">
        <f>IF(H$3="","",IF(COUNTIFS(BD!$A$3:$A$5001,H$3,BD!$B$3:$B$5001,$A$45,BD!$AC$3:$AC$5001,"&lt;&gt;")=0,"",SUMIFS(BD!$AC$3:$AC$5001,BD!$A$3:$A$5001,H$3,BD!$B$3:$B$5001,$A$45)))</f>
        <v/>
      </c>
      <c r="I61" s="223" t="str">
        <f>IF(I$3="","",IF(COUNTIFS(BD!$A$3:$A$5001,I$3,BD!$B$3:$B$5001,$A$45,BD!$AC$3:$AC$5001,"&lt;&gt;")=0,"",SUMIFS(BD!$AC$3:$AC$5001,BD!$A$3:$A$5001,I$3,BD!$B$3:$B$5001,$A$45)))</f>
        <v/>
      </c>
      <c r="J61" s="223" t="str">
        <f>IF(J$3="","",IF(COUNTIFS(BD!$A$3:$A$5001,J$3,BD!$B$3:$B$5001,$A$45,BD!$AC$3:$AC$5001,"&lt;&gt;")=0,"",SUMIFS(BD!$AC$3:$AC$5001,BD!$A$3:$A$5001,J$3,BD!$B$3:$B$5001,$A$45)))</f>
        <v/>
      </c>
      <c r="K61" s="223" t="str">
        <f>IF(K$3="","",IF(COUNTIFS(BD!$A$3:$A$5001,K$3,BD!$B$3:$B$5001,$A$45,BD!$AC$3:$AC$5001,"&lt;&gt;")=0,"",SUMIFS(BD!$AC$3:$AC$5001,BD!$A$3:$A$5001,K$3,BD!$B$3:$B$5001,$A$45)))</f>
        <v/>
      </c>
      <c r="L61" s="223" t="str">
        <f>IF(L$3="","",IF(COUNTIFS(BD!$A$3:$A$5001,L$3,BD!$B$3:$B$5001,$A$45,BD!$AC$3:$AC$5001,"&lt;&gt;")=0,"",SUMIFS(BD!$AC$3:$AC$5001,BD!$A$3:$A$5001,L$3,BD!$B$3:$B$5001,$A$45)))</f>
        <v/>
      </c>
      <c r="M61" s="223" t="str">
        <f>IF(M$3="","",IF(COUNTIFS(BD!$A$3:$A$5001,M$3,BD!$B$3:$B$5001,$A$45,BD!$AC$3:$AC$5001,"&lt;&gt;")=0,"",SUMIFS(BD!$AC$3:$AC$5001,BD!$A$3:$A$5001,M$3,BD!$B$3:$B$5001,$A$45)))</f>
        <v/>
      </c>
      <c r="N61" s="223" t="str">
        <f>IF(N$3="","",IF(COUNTIFS(BD!$A$3:$A$5001,N$3,BD!$B$3:$B$5001,$A$45,BD!$AC$3:$AC$5001,"&lt;&gt;")=0,"",SUMIFS(BD!$AC$3:$AC$5001,BD!$A$3:$A$5001,N$3,BD!$B$3:$B$5001,$A$45)))</f>
        <v/>
      </c>
      <c r="O61" s="223" t="str">
        <f>IF(O$3="","",IF(COUNTIFS(BD!$A$3:$A$5001,O$3,BD!$B$3:$B$5001,$A$45,BD!$AC$3:$AC$5001,"&lt;&gt;")=0,"",SUMIFS(BD!$AC$3:$AC$5001,BD!$A$3:$A$5001,O$3,BD!$B$3:$B$5001,$A$45)))</f>
        <v/>
      </c>
      <c r="P61" s="223" t="str">
        <f>IF(P$3="","",IF(COUNTIFS(BD!$A$3:$A$5001,P$3,BD!$B$3:$B$5001,$A$45,BD!$AC$3:$AC$5001,"&lt;&gt;")=0,"",SUMIFS(BD!$AC$3:$AC$5001,BD!$A$3:$A$5001,P$3,BD!$B$3:$B$5001,$A$45)))</f>
        <v/>
      </c>
      <c r="Q61" s="223" t="str">
        <f>IF(Q$3="","",IF(COUNTIFS(BD!$A$3:$A$5001,Q$3,BD!$B$3:$B$5001,$A$45,BD!$AC$3:$AC$5001,"&lt;&gt;")=0,"",SUMIFS(BD!$AC$3:$AC$5001,BD!$A$3:$A$5001,Q$3,BD!$B$3:$B$5001,$A$45)))</f>
        <v/>
      </c>
      <c r="R61" s="223" t="str">
        <f>IF(R$3="","",IF(COUNTIFS(BD!$A$3:$A$5001,R$3,BD!$B$3:$B$5001,$A$45,BD!$AC$3:$AC$5001,"&lt;&gt;")=0,"",SUMIFS(BD!$AC$3:$AC$5001,BD!$A$3:$A$5001,R$3,BD!$B$3:$B$5001,$A$45)))</f>
        <v/>
      </c>
      <c r="S61" s="223" t="str">
        <f>IF(S$3="","",IF(COUNTIFS(BD!$A$3:$A$5001,S$3,BD!$B$3:$B$5001,$A$45,BD!$AC$3:$AC$5001,"&lt;&gt;")=0,"",SUMIFS(BD!$AC$3:$AC$5001,BD!$A$3:$A$5001,S$3,BD!$B$3:$B$5001,$A$45)))</f>
        <v/>
      </c>
      <c r="T61" s="223" t="str">
        <f>IF(T$3="","",IF(COUNTIFS(BD!$A$3:$A$5001,T$3,BD!$B$3:$B$5001,$A$45,BD!$AC$3:$AC$5001,"&lt;&gt;")=0,"",SUMIFS(BD!$AC$3:$AC$5001,BD!$A$3:$A$5001,T$3,BD!$B$3:$B$5001,$A$45)))</f>
        <v/>
      </c>
      <c r="U61" s="223" t="str">
        <f>IF(U$3="","",IF(COUNTIFS(BD!$A$3:$A$5001,U$3,BD!$B$3:$B$5001,$A$45,BD!$AC$3:$AC$5001,"&lt;&gt;")=0,"",SUMIFS(BD!$AC$3:$AC$5001,BD!$A$3:$A$5001,U$3,BD!$B$3:$B$5001,$A$45)))</f>
        <v/>
      </c>
      <c r="V61" s="223" t="str">
        <f>IF(V$3="","",IF(COUNTIFS(BD!$A$3:$A$5001,V$3,BD!$B$3:$B$5001,$A$45,BD!$AC$3:$AC$5001,"&lt;&gt;")=0,"",SUMIFS(BD!$AC$3:$AC$5001,BD!$A$3:$A$5001,V$3,BD!$B$3:$B$5001,$A$45)))</f>
        <v/>
      </c>
      <c r="W61" s="223" t="str">
        <f>IF(W$3="","",IF(COUNTIFS(BD!$A$3:$A$5001,W$3,BD!$B$3:$B$5001,$A$45,BD!$AC$3:$AC$5001,"&lt;&gt;")=0,"",SUMIFS(BD!$AC$3:$AC$5001,BD!$A$3:$A$5001,W$3,BD!$B$3:$B$5001,$A$45)))</f>
        <v/>
      </c>
      <c r="X61" s="223" t="str">
        <f>IF(X$3="","",IF(COUNTIFS(BD!$A$3:$A$5001,X$3,BD!$B$3:$B$5001,$A$45,BD!$AC$3:$AC$5001,"&lt;&gt;")=0,"",SUMIFS(BD!$AC$3:$AC$5001,BD!$A$3:$A$5001,X$3,BD!$B$3:$B$5001,$A$45)))</f>
        <v/>
      </c>
      <c r="Y61" s="223" t="str">
        <f>IF(Y$3="","",IF(COUNTIFS(BD!$A$3:$A$5001,Y$3,BD!$B$3:$B$5001,$A$45,BD!$AC$3:$AC$5001,"&lt;&gt;")=0,"",SUMIFS(BD!$AC$3:$AC$5001,BD!$A$3:$A$5001,Y$3,BD!$B$3:$B$5001,$A$45)))</f>
        <v/>
      </c>
      <c r="Z61" s="223" t="str">
        <f>IF(Z$3="","",IF(COUNTIFS(BD!$A$3:$A$5001,Z$3,BD!$B$3:$B$5001,$A$45,BD!$AC$3:$AC$5001,"&lt;&gt;")=0,"",SUMIFS(BD!$AC$3:$AC$5001,BD!$A$3:$A$5001,Z$3,BD!$B$3:$B$5001,$A$45)))</f>
        <v/>
      </c>
      <c r="AA61" s="223" t="str">
        <f>IF(AA$3="","",IF(COUNTIFS(BD!$A$3:$A$5001,AA$3,BD!$B$3:$B$5001,$A$45,BD!$AC$3:$AC$5001,"&lt;&gt;")=0,"",SUMIFS(BD!$AC$3:$AC$5001,BD!$A$3:$A$5001,AA$3,BD!$B$3:$B$5001,$A$45)))</f>
        <v/>
      </c>
      <c r="AB61" s="223" t="str">
        <f>IF(AB$3="","",IF(COUNTIFS(BD!$A$3:$A$5001,AB$3,BD!$B$3:$B$5001,$A$45,BD!$AC$3:$AC$5001,"&lt;&gt;")=0,"",SUMIFS(BD!$AC$3:$AC$5001,BD!$A$3:$A$5001,AB$3,BD!$B$3:$B$5001,$A$45)))</f>
        <v/>
      </c>
      <c r="AC61" s="223" t="str">
        <f>IF(AC$3="","",IF(COUNTIFS(BD!$A$3:$A$5001,AC$3,BD!$B$3:$B$5001,$A$45,BD!$AC$3:$AC$5001,"&lt;&gt;")=0,"",SUMIFS(BD!$AC$3:$AC$5001,BD!$A$3:$A$5001,AC$3,BD!$B$3:$B$5001,$A$45)))</f>
        <v/>
      </c>
      <c r="AD61" s="223" t="str">
        <f>IF(AD$3="","",IF(COUNTIFS(BD!$A$3:$A$5001,AD$3,BD!$B$3:$B$5001,$A$45,BD!$AC$3:$AC$5001,"&lt;&gt;")=0,"",SUMIFS(BD!$AC$3:$AC$5001,BD!$A$3:$A$5001,AD$3,BD!$B$3:$B$5001,$A$45)))</f>
        <v/>
      </c>
      <c r="AE61" s="223" t="str">
        <f>IF(AE$3="","",IF(COUNTIFS(BD!$A$3:$A$5001,AE$3,BD!$B$3:$B$5001,$A$45,BD!$AC$3:$AC$5001,"&lt;&gt;")=0,"",SUMIFS(BD!$AC$3:$AC$5001,BD!$A$3:$A$5001,AE$3,BD!$B$3:$B$5001,$A$45)))</f>
        <v/>
      </c>
      <c r="AF61" s="223" t="str">
        <f>IF(AF$3="","",IF(COUNTIFS(BD!$A$3:$A$5001,AF$3,BD!$B$3:$B$5001,$A$45,BD!$AC$3:$AC$5001,"&lt;&gt;")=0,"",SUMIFS(BD!$AC$3:$AC$5001,BD!$A$3:$A$5001,AF$3,BD!$B$3:$B$5001,$A$45)))</f>
        <v/>
      </c>
      <c r="AG61" s="223" t="str">
        <f>IF(AG$3="","",IF(COUNTIFS(BD!$A$3:$A$5001,AG$3,BD!$B$3:$B$5001,$A$45,BD!$AC$3:$AC$5001,"&lt;&gt;")=0,"",SUMIFS(BD!$AC$3:$AC$5001,BD!$A$3:$A$5001,AG$3,BD!$B$3:$B$5001,$A$45)))</f>
        <v/>
      </c>
      <c r="AH61" s="223" t="str">
        <f>IF(AH$3="","",IF(COUNTIFS(BD!$A$3:$A$5001,AH$3,BD!$B$3:$B$5001,$A$45,BD!$AC$3:$AC$5001,"&lt;&gt;")=0,"",SUMIFS(BD!$AC$3:$AC$5001,BD!$A$3:$A$5001,AH$3,BD!$B$3:$B$5001,$A$45)))</f>
        <v/>
      </c>
      <c r="AI61" s="223" t="str">
        <f>IF(AI$3="","",IF(COUNTIFS(BD!$A$3:$A$5001,AI$3,BD!$B$3:$B$5001,$A$45,BD!$AC$3:$AC$5001,"&lt;&gt;")=0,"",SUMIFS(BD!$AC$3:$AC$5001,BD!$A$3:$A$5001,AI$3,BD!$B$3:$B$5001,$A$45)))</f>
        <v/>
      </c>
      <c r="AJ61" s="224" t="str">
        <f>IF(AJ$3="","",IF(COUNTIFS(BD!$A$3:$A$5001,AJ$3,BD!$B$3:$B$5001,$A$45,BD!$AC$3:$AC$5001,"&lt;&gt;")=0,"",SUMIFS(BD!$AC$3:$AC$5001,BD!$A$3:$A$5001,AJ$3,BD!$B$3:$B$5001,$A$45)))</f>
        <v/>
      </c>
      <c r="AK61" s="225" t="str">
        <f>IF(COUNT(F61:AJ61)=0,"",SUM(F61:AJ61))</f>
        <v/>
      </c>
    </row>
    <row r="62" ht="15.75" customHeight="1">
      <c r="A62" s="244"/>
      <c r="B62" s="241"/>
      <c r="C62" s="219" t="inlineStr">
        <is>
          <t xml:space="preserve">Desvios Comportamentais</t>
        </is>
      </c>
      <c r="D62" s="220" t="str">
        <f>IFERROR(1/(1/INDEX(BD!$AJ$51:$BD$51,MATCH($A$45,BD!$AJ$22:$BD$22,0))),"")</f>
        <v/>
      </c>
      <c r="E62" s="221"/>
      <c r="F62" s="222" t="str">
        <f>IF(F$3="","",IF(COUNTIFS(BD!$A$3:$A$5001,F$3,BD!$B$3:$B$5001,$A$45,BD!$AD$3:$AD$5001,"&lt;&gt;")=0,"",SUMIFS(BD!$AD$3:$AD$5001,BD!$A$3:$A$5001,F$3,BD!$B$3:$B$5001,$A$45)))</f>
        <v/>
      </c>
      <c r="G62" s="223" t="str">
        <f>IF(G$3="","",IF(COUNTIFS(BD!$A$3:$A$5001,G$3,BD!$B$3:$B$5001,$A$45,BD!$AD$3:$AD$5001,"&lt;&gt;")=0,"",SUMIFS(BD!$AD$3:$AD$5001,BD!$A$3:$A$5001,G$3,BD!$B$3:$B$5001,$A$45)))</f>
        <v/>
      </c>
      <c r="H62" s="223" t="str">
        <f>IF(H$3="","",IF(COUNTIFS(BD!$A$3:$A$5001,H$3,BD!$B$3:$B$5001,$A$45,BD!$AD$3:$AD$5001,"&lt;&gt;")=0,"",SUMIFS(BD!$AD$3:$AD$5001,BD!$A$3:$A$5001,H$3,BD!$B$3:$B$5001,$A$45)))</f>
        <v/>
      </c>
      <c r="I62" s="223" t="str">
        <f>IF(I$3="","",IF(COUNTIFS(BD!$A$3:$A$5001,I$3,BD!$B$3:$B$5001,$A$45,BD!$AD$3:$AD$5001,"&lt;&gt;")=0,"",SUMIFS(BD!$AD$3:$AD$5001,BD!$A$3:$A$5001,I$3,BD!$B$3:$B$5001,$A$45)))</f>
        <v/>
      </c>
      <c r="J62" s="223" t="str">
        <f>IF(J$3="","",IF(COUNTIFS(BD!$A$3:$A$5001,J$3,BD!$B$3:$B$5001,$A$45,BD!$AD$3:$AD$5001,"&lt;&gt;")=0,"",SUMIFS(BD!$AD$3:$AD$5001,BD!$A$3:$A$5001,J$3,BD!$B$3:$B$5001,$A$45)))</f>
        <v/>
      </c>
      <c r="K62" s="223" t="str">
        <f>IF(K$3="","",IF(COUNTIFS(BD!$A$3:$A$5001,K$3,BD!$B$3:$B$5001,$A$45,BD!$AD$3:$AD$5001,"&lt;&gt;")=0,"",SUMIFS(BD!$AD$3:$AD$5001,BD!$A$3:$A$5001,K$3,BD!$B$3:$B$5001,$A$45)))</f>
        <v/>
      </c>
      <c r="L62" s="223" t="str">
        <f>IF(L$3="","",IF(COUNTIFS(BD!$A$3:$A$5001,L$3,BD!$B$3:$B$5001,$A$45,BD!$AD$3:$AD$5001,"&lt;&gt;")=0,"",SUMIFS(BD!$AD$3:$AD$5001,BD!$A$3:$A$5001,L$3,BD!$B$3:$B$5001,$A$45)))</f>
        <v/>
      </c>
      <c r="M62" s="223" t="str">
        <f>IF(M$3="","",IF(COUNTIFS(BD!$A$3:$A$5001,M$3,BD!$B$3:$B$5001,$A$45,BD!$AD$3:$AD$5001,"&lt;&gt;")=0,"",SUMIFS(BD!$AD$3:$AD$5001,BD!$A$3:$A$5001,M$3,BD!$B$3:$B$5001,$A$45)))</f>
        <v/>
      </c>
      <c r="N62" s="223" t="str">
        <f>IF(N$3="","",IF(COUNTIFS(BD!$A$3:$A$5001,N$3,BD!$B$3:$B$5001,$A$45,BD!$AD$3:$AD$5001,"&lt;&gt;")=0,"",SUMIFS(BD!$AD$3:$AD$5001,BD!$A$3:$A$5001,N$3,BD!$B$3:$B$5001,$A$45)))</f>
        <v/>
      </c>
      <c r="O62" s="223" t="str">
        <f>IF(O$3="","",IF(COUNTIFS(BD!$A$3:$A$5001,O$3,BD!$B$3:$B$5001,$A$45,BD!$AD$3:$AD$5001,"&lt;&gt;")=0,"",SUMIFS(BD!$AD$3:$AD$5001,BD!$A$3:$A$5001,O$3,BD!$B$3:$B$5001,$A$45)))</f>
        <v/>
      </c>
      <c r="P62" s="223" t="str">
        <f>IF(P$3="","",IF(COUNTIFS(BD!$A$3:$A$5001,P$3,BD!$B$3:$B$5001,$A$45,BD!$AD$3:$AD$5001,"&lt;&gt;")=0,"",SUMIFS(BD!$AD$3:$AD$5001,BD!$A$3:$A$5001,P$3,BD!$B$3:$B$5001,$A$45)))</f>
        <v/>
      </c>
      <c r="Q62" s="223" t="str">
        <f>IF(Q$3="","",IF(COUNTIFS(BD!$A$3:$A$5001,Q$3,BD!$B$3:$B$5001,$A$45,BD!$AD$3:$AD$5001,"&lt;&gt;")=0,"",SUMIFS(BD!$AD$3:$AD$5001,BD!$A$3:$A$5001,Q$3,BD!$B$3:$B$5001,$A$45)))</f>
        <v/>
      </c>
      <c r="R62" s="223" t="str">
        <f>IF(R$3="","",IF(COUNTIFS(BD!$A$3:$A$5001,R$3,BD!$B$3:$B$5001,$A$45,BD!$AD$3:$AD$5001,"&lt;&gt;")=0,"",SUMIFS(BD!$AD$3:$AD$5001,BD!$A$3:$A$5001,R$3,BD!$B$3:$B$5001,$A$45)))</f>
        <v/>
      </c>
      <c r="S62" s="223" t="str">
        <f>IF(S$3="","",IF(COUNTIFS(BD!$A$3:$A$5001,S$3,BD!$B$3:$B$5001,$A$45,BD!$AD$3:$AD$5001,"&lt;&gt;")=0,"",SUMIFS(BD!$AD$3:$AD$5001,BD!$A$3:$A$5001,S$3,BD!$B$3:$B$5001,$A$45)))</f>
        <v/>
      </c>
      <c r="T62" s="223" t="str">
        <f>IF(T$3="","",IF(COUNTIFS(BD!$A$3:$A$5001,T$3,BD!$B$3:$B$5001,$A$45,BD!$AD$3:$AD$5001,"&lt;&gt;")=0,"",SUMIFS(BD!$AD$3:$AD$5001,BD!$A$3:$A$5001,T$3,BD!$B$3:$B$5001,$A$45)))</f>
        <v/>
      </c>
      <c r="U62" s="223" t="str">
        <f>IF(U$3="","",IF(COUNTIFS(BD!$A$3:$A$5001,U$3,BD!$B$3:$B$5001,$A$45,BD!$AD$3:$AD$5001,"&lt;&gt;")=0,"",SUMIFS(BD!$AD$3:$AD$5001,BD!$A$3:$A$5001,U$3,BD!$B$3:$B$5001,$A$45)))</f>
        <v/>
      </c>
      <c r="V62" s="223" t="str">
        <f>IF(V$3="","",IF(COUNTIFS(BD!$A$3:$A$5001,V$3,BD!$B$3:$B$5001,$A$45,BD!$AD$3:$AD$5001,"&lt;&gt;")=0,"",SUMIFS(BD!$AD$3:$AD$5001,BD!$A$3:$A$5001,V$3,BD!$B$3:$B$5001,$A$45)))</f>
        <v/>
      </c>
      <c r="W62" s="223" t="str">
        <f>IF(W$3="","",IF(COUNTIFS(BD!$A$3:$A$5001,W$3,BD!$B$3:$B$5001,$A$45,BD!$AD$3:$AD$5001,"&lt;&gt;")=0,"",SUMIFS(BD!$AD$3:$AD$5001,BD!$A$3:$A$5001,W$3,BD!$B$3:$B$5001,$A$45)))</f>
        <v/>
      </c>
      <c r="X62" s="223" t="str">
        <f>IF(X$3="","",IF(COUNTIFS(BD!$A$3:$A$5001,X$3,BD!$B$3:$B$5001,$A$45,BD!$AD$3:$AD$5001,"&lt;&gt;")=0,"",SUMIFS(BD!$AD$3:$AD$5001,BD!$A$3:$A$5001,X$3,BD!$B$3:$B$5001,$A$45)))</f>
        <v/>
      </c>
      <c r="Y62" s="223" t="str">
        <f>IF(Y$3="","",IF(COUNTIFS(BD!$A$3:$A$5001,Y$3,BD!$B$3:$B$5001,$A$45,BD!$AD$3:$AD$5001,"&lt;&gt;")=0,"",SUMIFS(BD!$AD$3:$AD$5001,BD!$A$3:$A$5001,Y$3,BD!$B$3:$B$5001,$A$45)))</f>
        <v/>
      </c>
      <c r="Z62" s="223" t="str">
        <f>IF(Z$3="","",IF(COUNTIFS(BD!$A$3:$A$5001,Z$3,BD!$B$3:$B$5001,$A$45,BD!$AD$3:$AD$5001,"&lt;&gt;")=0,"",SUMIFS(BD!$AD$3:$AD$5001,BD!$A$3:$A$5001,Z$3,BD!$B$3:$B$5001,$A$45)))</f>
        <v/>
      </c>
      <c r="AA62" s="223" t="str">
        <f>IF(AA$3="","",IF(COUNTIFS(BD!$A$3:$A$5001,AA$3,BD!$B$3:$B$5001,$A$45,BD!$AD$3:$AD$5001,"&lt;&gt;")=0,"",SUMIFS(BD!$AD$3:$AD$5001,BD!$A$3:$A$5001,AA$3,BD!$B$3:$B$5001,$A$45)))</f>
        <v/>
      </c>
      <c r="AB62" s="223" t="str">
        <f>IF(AB$3="","",IF(COUNTIFS(BD!$A$3:$A$5001,AB$3,BD!$B$3:$B$5001,$A$45,BD!$AD$3:$AD$5001,"&lt;&gt;")=0,"",SUMIFS(BD!$AD$3:$AD$5001,BD!$A$3:$A$5001,AB$3,BD!$B$3:$B$5001,$A$45)))</f>
        <v/>
      </c>
      <c r="AC62" s="223" t="str">
        <f>IF(AC$3="","",IF(COUNTIFS(BD!$A$3:$A$5001,AC$3,BD!$B$3:$B$5001,$A$45,BD!$AD$3:$AD$5001,"&lt;&gt;")=0,"",SUMIFS(BD!$AD$3:$AD$5001,BD!$A$3:$A$5001,AC$3,BD!$B$3:$B$5001,$A$45)))</f>
        <v/>
      </c>
      <c r="AD62" s="223" t="str">
        <f>IF(AD$3="","",IF(COUNTIFS(BD!$A$3:$A$5001,AD$3,BD!$B$3:$B$5001,$A$45,BD!$AD$3:$AD$5001,"&lt;&gt;")=0,"",SUMIFS(BD!$AD$3:$AD$5001,BD!$A$3:$A$5001,AD$3,BD!$B$3:$B$5001,$A$45)))</f>
        <v/>
      </c>
      <c r="AE62" s="223" t="str">
        <f>IF(AE$3="","",IF(COUNTIFS(BD!$A$3:$A$5001,AE$3,BD!$B$3:$B$5001,$A$45,BD!$AD$3:$AD$5001,"&lt;&gt;")=0,"",SUMIFS(BD!$AD$3:$AD$5001,BD!$A$3:$A$5001,AE$3,BD!$B$3:$B$5001,$A$45)))</f>
        <v/>
      </c>
      <c r="AF62" s="223" t="str">
        <f>IF(AF$3="","",IF(COUNTIFS(BD!$A$3:$A$5001,AF$3,BD!$B$3:$B$5001,$A$45,BD!$AD$3:$AD$5001,"&lt;&gt;")=0,"",SUMIFS(BD!$AD$3:$AD$5001,BD!$A$3:$A$5001,AF$3,BD!$B$3:$B$5001,$A$45)))</f>
        <v/>
      </c>
      <c r="AG62" s="223" t="str">
        <f>IF(AG$3="","",IF(COUNTIFS(BD!$A$3:$A$5001,AG$3,BD!$B$3:$B$5001,$A$45,BD!$AD$3:$AD$5001,"&lt;&gt;")=0,"",SUMIFS(BD!$AD$3:$AD$5001,BD!$A$3:$A$5001,AG$3,BD!$B$3:$B$5001,$A$45)))</f>
        <v/>
      </c>
      <c r="AH62" s="223" t="str">
        <f>IF(AH$3="","",IF(COUNTIFS(BD!$A$3:$A$5001,AH$3,BD!$B$3:$B$5001,$A$45,BD!$AD$3:$AD$5001,"&lt;&gt;")=0,"",SUMIFS(BD!$AD$3:$AD$5001,BD!$A$3:$A$5001,AH$3,BD!$B$3:$B$5001,$A$45)))</f>
        <v/>
      </c>
      <c r="AI62" s="223" t="str">
        <f>IF(AI$3="","",IF(COUNTIFS(BD!$A$3:$A$5001,AI$3,BD!$B$3:$B$5001,$A$45,BD!$AD$3:$AD$5001,"&lt;&gt;")=0,"",SUMIFS(BD!$AD$3:$AD$5001,BD!$A$3:$A$5001,AI$3,BD!$B$3:$B$5001,$A$45)))</f>
        <v/>
      </c>
      <c r="AJ62" s="224" t="str">
        <f>IF(AJ$3="","",IF(COUNTIFS(BD!$A$3:$A$5001,AJ$3,BD!$B$3:$B$5001,$A$45,BD!$AD$3:$AD$5001,"&lt;&gt;")=0,"",SUMIFS(BD!$AD$3:$AD$5001,BD!$A$3:$A$5001,AJ$3,BD!$B$3:$B$5001,$A$45)))</f>
        <v/>
      </c>
      <c r="AK62" s="225" t="str">
        <f>IF(COUNT(F62:AJ62)=0,"",SUM(F62:AJ62))</f>
        <v/>
      </c>
    </row>
    <row r="63" ht="15.75" customHeight="1">
      <c r="A63" s="244"/>
      <c r="B63" s="241"/>
      <c r="C63" s="219" t="inlineStr">
        <is>
          <t xml:space="preserve">Acidentes CAF</t>
        </is>
      </c>
      <c r="D63" s="220" t="str">
        <f>IFERROR(1/(1/INDEX(BD!$AJ$52:$BD$52,MATCH($A$45,BD!$AJ$22:$BD$22,0))),"")</f>
        <v/>
      </c>
      <c r="E63" s="221"/>
      <c r="F63" s="222" t="str">
        <f>IF(F$3="","",IF(COUNTIFS(BD!$A$3:$A$5001,F$3,BD!$B$3:$B$5001,$A$45,BD!$AE$3:$AE$5001,"&lt;&gt;")=0,"",SUMIFS(BD!$AE$3:$AE$5001,BD!$A$3:$A$5001,F$3,BD!$B$3:$B$5001,$A$45)))</f>
        <v/>
      </c>
      <c r="G63" s="223" t="str">
        <f>IF(G$3="","",IF(COUNTIFS(BD!$A$3:$A$5001,G$3,BD!$B$3:$B$5001,$A$45,BD!$AE$3:$AE$5001,"&lt;&gt;")=0,"",SUMIFS(BD!$AE$3:$AE$5001,BD!$A$3:$A$5001,G$3,BD!$B$3:$B$5001,$A$45)))</f>
        <v/>
      </c>
      <c r="H63" s="223" t="str">
        <f>IF(H$3="","",IF(COUNTIFS(BD!$A$3:$A$5001,H$3,BD!$B$3:$B$5001,$A$45,BD!$AE$3:$AE$5001,"&lt;&gt;")=0,"",SUMIFS(BD!$AE$3:$AE$5001,BD!$A$3:$A$5001,H$3,BD!$B$3:$B$5001,$A$45)))</f>
        <v/>
      </c>
      <c r="I63" s="223" t="str">
        <f>IF(I$3="","",IF(COUNTIFS(BD!$A$3:$A$5001,I$3,BD!$B$3:$B$5001,$A$45,BD!$AE$3:$AE$5001,"&lt;&gt;")=0,"",SUMIFS(BD!$AE$3:$AE$5001,BD!$A$3:$A$5001,I$3,BD!$B$3:$B$5001,$A$45)))</f>
        <v/>
      </c>
      <c r="J63" s="223" t="str">
        <f>IF(J$3="","",IF(COUNTIFS(BD!$A$3:$A$5001,J$3,BD!$B$3:$B$5001,$A$45,BD!$AE$3:$AE$5001,"&lt;&gt;")=0,"",SUMIFS(BD!$AE$3:$AE$5001,BD!$A$3:$A$5001,J$3,BD!$B$3:$B$5001,$A$45)))</f>
        <v/>
      </c>
      <c r="K63" s="223" t="str">
        <f>IF(K$3="","",IF(COUNTIFS(BD!$A$3:$A$5001,K$3,BD!$B$3:$B$5001,$A$45,BD!$AE$3:$AE$5001,"&lt;&gt;")=0,"",SUMIFS(BD!$AE$3:$AE$5001,BD!$A$3:$A$5001,K$3,BD!$B$3:$B$5001,$A$45)))</f>
        <v/>
      </c>
      <c r="L63" s="223" t="str">
        <f>IF(L$3="","",IF(COUNTIFS(BD!$A$3:$A$5001,L$3,BD!$B$3:$B$5001,$A$45,BD!$AE$3:$AE$5001,"&lt;&gt;")=0,"",SUMIFS(BD!$AE$3:$AE$5001,BD!$A$3:$A$5001,L$3,BD!$B$3:$B$5001,$A$45)))</f>
        <v/>
      </c>
      <c r="M63" s="223" t="str">
        <f>IF(M$3="","",IF(COUNTIFS(BD!$A$3:$A$5001,M$3,BD!$B$3:$B$5001,$A$45,BD!$AE$3:$AE$5001,"&lt;&gt;")=0,"",SUMIFS(BD!$AE$3:$AE$5001,BD!$A$3:$A$5001,M$3,BD!$B$3:$B$5001,$A$45)))</f>
        <v/>
      </c>
      <c r="N63" s="223" t="str">
        <f>IF(N$3="","",IF(COUNTIFS(BD!$A$3:$A$5001,N$3,BD!$B$3:$B$5001,$A$45,BD!$AE$3:$AE$5001,"&lt;&gt;")=0,"",SUMIFS(BD!$AE$3:$AE$5001,BD!$A$3:$A$5001,N$3,BD!$B$3:$B$5001,$A$45)))</f>
        <v/>
      </c>
      <c r="O63" s="223" t="str">
        <f>IF(O$3="","",IF(COUNTIFS(BD!$A$3:$A$5001,O$3,BD!$B$3:$B$5001,$A$45,BD!$AE$3:$AE$5001,"&lt;&gt;")=0,"",SUMIFS(BD!$AE$3:$AE$5001,BD!$A$3:$A$5001,O$3,BD!$B$3:$B$5001,$A$45)))</f>
        <v/>
      </c>
      <c r="P63" s="223" t="str">
        <f>IF(P$3="","",IF(COUNTIFS(BD!$A$3:$A$5001,P$3,BD!$B$3:$B$5001,$A$45,BD!$AE$3:$AE$5001,"&lt;&gt;")=0,"",SUMIFS(BD!$AE$3:$AE$5001,BD!$A$3:$A$5001,P$3,BD!$B$3:$B$5001,$A$45)))</f>
        <v/>
      </c>
      <c r="Q63" s="223" t="str">
        <f>IF(Q$3="","",IF(COUNTIFS(BD!$A$3:$A$5001,Q$3,BD!$B$3:$B$5001,$A$45,BD!$AE$3:$AE$5001,"&lt;&gt;")=0,"",SUMIFS(BD!$AE$3:$AE$5001,BD!$A$3:$A$5001,Q$3,BD!$B$3:$B$5001,$A$45)))</f>
        <v/>
      </c>
      <c r="R63" s="223" t="str">
        <f>IF(R$3="","",IF(COUNTIFS(BD!$A$3:$A$5001,R$3,BD!$B$3:$B$5001,$A$45,BD!$AE$3:$AE$5001,"&lt;&gt;")=0,"",SUMIFS(BD!$AE$3:$AE$5001,BD!$A$3:$A$5001,R$3,BD!$B$3:$B$5001,$A$45)))</f>
        <v/>
      </c>
      <c r="S63" s="223" t="str">
        <f>IF(S$3="","",IF(COUNTIFS(BD!$A$3:$A$5001,S$3,BD!$B$3:$B$5001,$A$45,BD!$AE$3:$AE$5001,"&lt;&gt;")=0,"",SUMIFS(BD!$AE$3:$AE$5001,BD!$A$3:$A$5001,S$3,BD!$B$3:$B$5001,$A$45)))</f>
        <v/>
      </c>
      <c r="T63" s="223" t="str">
        <f>IF(T$3="","",IF(COUNTIFS(BD!$A$3:$A$5001,T$3,BD!$B$3:$B$5001,$A$45,BD!$AE$3:$AE$5001,"&lt;&gt;")=0,"",SUMIFS(BD!$AE$3:$AE$5001,BD!$A$3:$A$5001,T$3,BD!$B$3:$B$5001,$A$45)))</f>
        <v/>
      </c>
      <c r="U63" s="223" t="str">
        <f>IF(U$3="","",IF(COUNTIFS(BD!$A$3:$A$5001,U$3,BD!$B$3:$B$5001,$A$45,BD!$AE$3:$AE$5001,"&lt;&gt;")=0,"",SUMIFS(BD!$AE$3:$AE$5001,BD!$A$3:$A$5001,U$3,BD!$B$3:$B$5001,$A$45)))</f>
        <v/>
      </c>
      <c r="V63" s="223" t="str">
        <f>IF(V$3="","",IF(COUNTIFS(BD!$A$3:$A$5001,V$3,BD!$B$3:$B$5001,$A$45,BD!$AE$3:$AE$5001,"&lt;&gt;")=0,"",SUMIFS(BD!$AE$3:$AE$5001,BD!$A$3:$A$5001,V$3,BD!$B$3:$B$5001,$A$45)))</f>
        <v/>
      </c>
      <c r="W63" s="223" t="str">
        <f>IF(W$3="","",IF(COUNTIFS(BD!$A$3:$A$5001,W$3,BD!$B$3:$B$5001,$A$45,BD!$AE$3:$AE$5001,"&lt;&gt;")=0,"",SUMIFS(BD!$AE$3:$AE$5001,BD!$A$3:$A$5001,W$3,BD!$B$3:$B$5001,$A$45)))</f>
        <v/>
      </c>
      <c r="X63" s="223" t="str">
        <f>IF(X$3="","",IF(COUNTIFS(BD!$A$3:$A$5001,X$3,BD!$B$3:$B$5001,$A$45,BD!$AE$3:$AE$5001,"&lt;&gt;")=0,"",SUMIFS(BD!$AE$3:$AE$5001,BD!$A$3:$A$5001,X$3,BD!$B$3:$B$5001,$A$45)))</f>
        <v/>
      </c>
      <c r="Y63" s="223" t="str">
        <f>IF(Y$3="","",IF(COUNTIFS(BD!$A$3:$A$5001,Y$3,BD!$B$3:$B$5001,$A$45,BD!$AE$3:$AE$5001,"&lt;&gt;")=0,"",SUMIFS(BD!$AE$3:$AE$5001,BD!$A$3:$A$5001,Y$3,BD!$B$3:$B$5001,$A$45)))</f>
        <v/>
      </c>
      <c r="Z63" s="223" t="str">
        <f>IF(Z$3="","",IF(COUNTIFS(BD!$A$3:$A$5001,Z$3,BD!$B$3:$B$5001,$A$45,BD!$AE$3:$AE$5001,"&lt;&gt;")=0,"",SUMIFS(BD!$AE$3:$AE$5001,BD!$A$3:$A$5001,Z$3,BD!$B$3:$B$5001,$A$45)))</f>
        <v/>
      </c>
      <c r="AA63" s="223" t="str">
        <f>IF(AA$3="","",IF(COUNTIFS(BD!$A$3:$A$5001,AA$3,BD!$B$3:$B$5001,$A$45,BD!$AE$3:$AE$5001,"&lt;&gt;")=0,"",SUMIFS(BD!$AE$3:$AE$5001,BD!$A$3:$A$5001,AA$3,BD!$B$3:$B$5001,$A$45)))</f>
        <v/>
      </c>
      <c r="AB63" s="223" t="str">
        <f>IF(AB$3="","",IF(COUNTIFS(BD!$A$3:$A$5001,AB$3,BD!$B$3:$B$5001,$A$45,BD!$AE$3:$AE$5001,"&lt;&gt;")=0,"",SUMIFS(BD!$AE$3:$AE$5001,BD!$A$3:$A$5001,AB$3,BD!$B$3:$B$5001,$A$45)))</f>
        <v/>
      </c>
      <c r="AC63" s="223" t="str">
        <f>IF(AC$3="","",IF(COUNTIFS(BD!$A$3:$A$5001,AC$3,BD!$B$3:$B$5001,$A$45,BD!$AE$3:$AE$5001,"&lt;&gt;")=0,"",SUMIFS(BD!$AE$3:$AE$5001,BD!$A$3:$A$5001,AC$3,BD!$B$3:$B$5001,$A$45)))</f>
        <v/>
      </c>
      <c r="AD63" s="223" t="str">
        <f>IF(AD$3="","",IF(COUNTIFS(BD!$A$3:$A$5001,AD$3,BD!$B$3:$B$5001,$A$45,BD!$AE$3:$AE$5001,"&lt;&gt;")=0,"",SUMIFS(BD!$AE$3:$AE$5001,BD!$A$3:$A$5001,AD$3,BD!$B$3:$B$5001,$A$45)))</f>
        <v/>
      </c>
      <c r="AE63" s="223" t="str">
        <f>IF(AE$3="","",IF(COUNTIFS(BD!$A$3:$A$5001,AE$3,BD!$B$3:$B$5001,$A$45,BD!$AE$3:$AE$5001,"&lt;&gt;")=0,"",SUMIFS(BD!$AE$3:$AE$5001,BD!$A$3:$A$5001,AE$3,BD!$B$3:$B$5001,$A$45)))</f>
        <v/>
      </c>
      <c r="AF63" s="223" t="str">
        <f>IF(AF$3="","",IF(COUNTIFS(BD!$A$3:$A$5001,AF$3,BD!$B$3:$B$5001,$A$45,BD!$AE$3:$AE$5001,"&lt;&gt;")=0,"",SUMIFS(BD!$AE$3:$AE$5001,BD!$A$3:$A$5001,AF$3,BD!$B$3:$B$5001,$A$45)))</f>
        <v/>
      </c>
      <c r="AG63" s="223" t="str">
        <f>IF(AG$3="","",IF(COUNTIFS(BD!$A$3:$A$5001,AG$3,BD!$B$3:$B$5001,$A$45,BD!$AE$3:$AE$5001,"&lt;&gt;")=0,"",SUMIFS(BD!$AE$3:$AE$5001,BD!$A$3:$A$5001,AG$3,BD!$B$3:$B$5001,$A$45)))</f>
        <v/>
      </c>
      <c r="AH63" s="223" t="str">
        <f>IF(AH$3="","",IF(COUNTIFS(BD!$A$3:$A$5001,AH$3,BD!$B$3:$B$5001,$A$45,BD!$AE$3:$AE$5001,"&lt;&gt;")=0,"",SUMIFS(BD!$AE$3:$AE$5001,BD!$A$3:$A$5001,AH$3,BD!$B$3:$B$5001,$A$45)))</f>
        <v/>
      </c>
      <c r="AI63" s="223" t="str">
        <f>IF(AI$3="","",IF(COUNTIFS(BD!$A$3:$A$5001,AI$3,BD!$B$3:$B$5001,$A$45,BD!$AE$3:$AE$5001,"&lt;&gt;")=0,"",SUMIFS(BD!$AE$3:$AE$5001,BD!$A$3:$A$5001,AI$3,BD!$B$3:$B$5001,$A$45)))</f>
        <v/>
      </c>
      <c r="AJ63" s="224" t="str">
        <f>IF(AJ$3="","",IF(COUNTIFS(BD!$A$3:$A$5001,AJ$3,BD!$B$3:$B$5001,$A$45,BD!$AE$3:$AE$5001,"&lt;&gt;")=0,"",SUMIFS(BD!$AE$3:$AE$5001,BD!$A$3:$A$5001,AJ$3,BD!$B$3:$B$5001,$A$45)))</f>
        <v/>
      </c>
      <c r="AK63" s="225" t="str">
        <f>IF(COUNT(F63:AJ63)=0,"",SUM(F63:AJ63))</f>
        <v/>
      </c>
    </row>
    <row r="64" ht="15.75" customHeight="1">
      <c r="A64" s="245"/>
      <c r="B64" s="242"/>
      <c r="C64" s="226" t="inlineStr">
        <is>
          <t xml:space="preserve">Acidentes SAF</t>
        </is>
      </c>
      <c r="D64" s="227" t="str">
        <f>IFERROR(1/(1/INDEX(BD!$AJ$53:$BD$53,MATCH($A$45,BD!$AJ$22:$BD$22,0))),"")</f>
        <v/>
      </c>
      <c r="E64" s="228"/>
      <c r="F64" s="229" t="str">
        <f>IF(F$3="","",IF(COUNTIFS(BD!$A$3:$A$5001,F$3,BD!$B$3:$B$5001,$A$45,BD!$AF$3:$AF$5001,"&lt;&gt;")=0,"",SUMIFS(BD!$AF$3:$AF$5001,BD!$A$3:$A$5001,F$3,BD!$B$3:$B$5001,$A$45)))</f>
        <v/>
      </c>
      <c r="G64" s="230" t="str">
        <f>IF(G$3="","",IF(COUNTIFS(BD!$A$3:$A$5001,G$3,BD!$B$3:$B$5001,$A$45,BD!$AF$3:$AF$5001,"&lt;&gt;")=0,"",SUMIFS(BD!$AF$3:$AF$5001,BD!$A$3:$A$5001,G$3,BD!$B$3:$B$5001,$A$45)))</f>
        <v/>
      </c>
      <c r="H64" s="230" t="str">
        <f>IF(H$3="","",IF(COUNTIFS(BD!$A$3:$A$5001,H$3,BD!$B$3:$B$5001,$A$45,BD!$AF$3:$AF$5001,"&lt;&gt;")=0,"",SUMIFS(BD!$AF$3:$AF$5001,BD!$A$3:$A$5001,H$3,BD!$B$3:$B$5001,$A$45)))</f>
        <v/>
      </c>
      <c r="I64" s="230" t="str">
        <f>IF(I$3="","",IF(COUNTIFS(BD!$A$3:$A$5001,I$3,BD!$B$3:$B$5001,$A$45,BD!$AF$3:$AF$5001,"&lt;&gt;")=0,"",SUMIFS(BD!$AF$3:$AF$5001,BD!$A$3:$A$5001,I$3,BD!$B$3:$B$5001,$A$45)))</f>
        <v/>
      </c>
      <c r="J64" s="230" t="str">
        <f>IF(J$3="","",IF(COUNTIFS(BD!$A$3:$A$5001,J$3,BD!$B$3:$B$5001,$A$45,BD!$AF$3:$AF$5001,"&lt;&gt;")=0,"",SUMIFS(BD!$AF$3:$AF$5001,BD!$A$3:$A$5001,J$3,BD!$B$3:$B$5001,$A$45)))</f>
        <v/>
      </c>
      <c r="K64" s="230" t="str">
        <f>IF(K$3="","",IF(COUNTIFS(BD!$A$3:$A$5001,K$3,BD!$B$3:$B$5001,$A$45,BD!$AF$3:$AF$5001,"&lt;&gt;")=0,"",SUMIFS(BD!$AF$3:$AF$5001,BD!$A$3:$A$5001,K$3,BD!$B$3:$B$5001,$A$45)))</f>
        <v/>
      </c>
      <c r="L64" s="230" t="str">
        <f>IF(L$3="","",IF(COUNTIFS(BD!$A$3:$A$5001,L$3,BD!$B$3:$B$5001,$A$45,BD!$AF$3:$AF$5001,"&lt;&gt;")=0,"",SUMIFS(BD!$AF$3:$AF$5001,BD!$A$3:$A$5001,L$3,BD!$B$3:$B$5001,$A$45)))</f>
        <v/>
      </c>
      <c r="M64" s="230" t="str">
        <f>IF(M$3="","",IF(COUNTIFS(BD!$A$3:$A$5001,M$3,BD!$B$3:$B$5001,$A$45,BD!$AF$3:$AF$5001,"&lt;&gt;")=0,"",SUMIFS(BD!$AF$3:$AF$5001,BD!$A$3:$A$5001,M$3,BD!$B$3:$B$5001,$A$45)))</f>
        <v/>
      </c>
      <c r="N64" s="230" t="str">
        <f>IF(N$3="","",IF(COUNTIFS(BD!$A$3:$A$5001,N$3,BD!$B$3:$B$5001,$A$45,BD!$AF$3:$AF$5001,"&lt;&gt;")=0,"",SUMIFS(BD!$AF$3:$AF$5001,BD!$A$3:$A$5001,N$3,BD!$B$3:$B$5001,$A$45)))</f>
        <v/>
      </c>
      <c r="O64" s="230" t="str">
        <f>IF(O$3="","",IF(COUNTIFS(BD!$A$3:$A$5001,O$3,BD!$B$3:$B$5001,$A$45,BD!$AF$3:$AF$5001,"&lt;&gt;")=0,"",SUMIFS(BD!$AF$3:$AF$5001,BD!$A$3:$A$5001,O$3,BD!$B$3:$B$5001,$A$45)))</f>
        <v/>
      </c>
      <c r="P64" s="230" t="str">
        <f>IF(P$3="","",IF(COUNTIFS(BD!$A$3:$A$5001,P$3,BD!$B$3:$B$5001,$A$45,BD!$AF$3:$AF$5001,"&lt;&gt;")=0,"",SUMIFS(BD!$AF$3:$AF$5001,BD!$A$3:$A$5001,P$3,BD!$B$3:$B$5001,$A$45)))</f>
        <v/>
      </c>
      <c r="Q64" s="230" t="str">
        <f>IF(Q$3="","",IF(COUNTIFS(BD!$A$3:$A$5001,Q$3,BD!$B$3:$B$5001,$A$45,BD!$AF$3:$AF$5001,"&lt;&gt;")=0,"",SUMIFS(BD!$AF$3:$AF$5001,BD!$A$3:$A$5001,Q$3,BD!$B$3:$B$5001,$A$45)))</f>
        <v/>
      </c>
      <c r="R64" s="230" t="str">
        <f>IF(R$3="","",IF(COUNTIFS(BD!$A$3:$A$5001,R$3,BD!$B$3:$B$5001,$A$45,BD!$AF$3:$AF$5001,"&lt;&gt;")=0,"",SUMIFS(BD!$AF$3:$AF$5001,BD!$A$3:$A$5001,R$3,BD!$B$3:$B$5001,$A$45)))</f>
        <v/>
      </c>
      <c r="S64" s="230" t="str">
        <f>IF(S$3="","",IF(COUNTIFS(BD!$A$3:$A$5001,S$3,BD!$B$3:$B$5001,$A$45,BD!$AF$3:$AF$5001,"&lt;&gt;")=0,"",SUMIFS(BD!$AF$3:$AF$5001,BD!$A$3:$A$5001,S$3,BD!$B$3:$B$5001,$A$45)))</f>
        <v/>
      </c>
      <c r="T64" s="230" t="str">
        <f>IF(T$3="","",IF(COUNTIFS(BD!$A$3:$A$5001,T$3,BD!$B$3:$B$5001,$A$45,BD!$AF$3:$AF$5001,"&lt;&gt;")=0,"",SUMIFS(BD!$AF$3:$AF$5001,BD!$A$3:$A$5001,T$3,BD!$B$3:$B$5001,$A$45)))</f>
        <v/>
      </c>
      <c r="U64" s="230" t="str">
        <f>IF(U$3="","",IF(COUNTIFS(BD!$A$3:$A$5001,U$3,BD!$B$3:$B$5001,$A$45,BD!$AF$3:$AF$5001,"&lt;&gt;")=0,"",SUMIFS(BD!$AF$3:$AF$5001,BD!$A$3:$A$5001,U$3,BD!$B$3:$B$5001,$A$45)))</f>
        <v/>
      </c>
      <c r="V64" s="230" t="str">
        <f>IF(V$3="","",IF(COUNTIFS(BD!$A$3:$A$5001,V$3,BD!$B$3:$B$5001,$A$45,BD!$AF$3:$AF$5001,"&lt;&gt;")=0,"",SUMIFS(BD!$AF$3:$AF$5001,BD!$A$3:$A$5001,V$3,BD!$B$3:$B$5001,$A$45)))</f>
        <v/>
      </c>
      <c r="W64" s="230" t="str">
        <f>IF(W$3="","",IF(COUNTIFS(BD!$A$3:$A$5001,W$3,BD!$B$3:$B$5001,$A$45,BD!$AF$3:$AF$5001,"&lt;&gt;")=0,"",SUMIFS(BD!$AF$3:$AF$5001,BD!$A$3:$A$5001,W$3,BD!$B$3:$B$5001,$A$45)))</f>
        <v/>
      </c>
      <c r="X64" s="230" t="str">
        <f>IF(X$3="","",IF(COUNTIFS(BD!$A$3:$A$5001,X$3,BD!$B$3:$B$5001,$A$45,BD!$AF$3:$AF$5001,"&lt;&gt;")=0,"",SUMIFS(BD!$AF$3:$AF$5001,BD!$A$3:$A$5001,X$3,BD!$B$3:$B$5001,$A$45)))</f>
        <v/>
      </c>
      <c r="Y64" s="230" t="str">
        <f>IF(Y$3="","",IF(COUNTIFS(BD!$A$3:$A$5001,Y$3,BD!$B$3:$B$5001,$A$45,BD!$AF$3:$AF$5001,"&lt;&gt;")=0,"",SUMIFS(BD!$AF$3:$AF$5001,BD!$A$3:$A$5001,Y$3,BD!$B$3:$B$5001,$A$45)))</f>
        <v/>
      </c>
      <c r="Z64" s="230" t="str">
        <f>IF(Z$3="","",IF(COUNTIFS(BD!$A$3:$A$5001,Z$3,BD!$B$3:$B$5001,$A$45,BD!$AF$3:$AF$5001,"&lt;&gt;")=0,"",SUMIFS(BD!$AF$3:$AF$5001,BD!$A$3:$A$5001,Z$3,BD!$B$3:$B$5001,$A$45)))</f>
        <v/>
      </c>
      <c r="AA64" s="230" t="str">
        <f>IF(AA$3="","",IF(COUNTIFS(BD!$A$3:$A$5001,AA$3,BD!$B$3:$B$5001,$A$45,BD!$AF$3:$AF$5001,"&lt;&gt;")=0,"",SUMIFS(BD!$AF$3:$AF$5001,BD!$A$3:$A$5001,AA$3,BD!$B$3:$B$5001,$A$45)))</f>
        <v/>
      </c>
      <c r="AB64" s="230" t="str">
        <f>IF(AB$3="","",IF(COUNTIFS(BD!$A$3:$A$5001,AB$3,BD!$B$3:$B$5001,$A$45,BD!$AF$3:$AF$5001,"&lt;&gt;")=0,"",SUMIFS(BD!$AF$3:$AF$5001,BD!$A$3:$A$5001,AB$3,BD!$B$3:$B$5001,$A$45)))</f>
        <v/>
      </c>
      <c r="AC64" s="230" t="str">
        <f>IF(AC$3="","",IF(COUNTIFS(BD!$A$3:$A$5001,AC$3,BD!$B$3:$B$5001,$A$45,BD!$AF$3:$AF$5001,"&lt;&gt;")=0,"",SUMIFS(BD!$AF$3:$AF$5001,BD!$A$3:$A$5001,AC$3,BD!$B$3:$B$5001,$A$45)))</f>
        <v/>
      </c>
      <c r="AD64" s="230" t="str">
        <f>IF(AD$3="","",IF(COUNTIFS(BD!$A$3:$A$5001,AD$3,BD!$B$3:$B$5001,$A$45,BD!$AF$3:$AF$5001,"&lt;&gt;")=0,"",SUMIFS(BD!$AF$3:$AF$5001,BD!$A$3:$A$5001,AD$3,BD!$B$3:$B$5001,$A$45)))</f>
        <v/>
      </c>
      <c r="AE64" s="230" t="str">
        <f>IF(AE$3="","",IF(COUNTIFS(BD!$A$3:$A$5001,AE$3,BD!$B$3:$B$5001,$A$45,BD!$AF$3:$AF$5001,"&lt;&gt;")=0,"",SUMIFS(BD!$AF$3:$AF$5001,BD!$A$3:$A$5001,AE$3,BD!$B$3:$B$5001,$A$45)))</f>
        <v/>
      </c>
      <c r="AF64" s="230" t="str">
        <f>IF(AF$3="","",IF(COUNTIFS(BD!$A$3:$A$5001,AF$3,BD!$B$3:$B$5001,$A$45,BD!$AF$3:$AF$5001,"&lt;&gt;")=0,"",SUMIFS(BD!$AF$3:$AF$5001,BD!$A$3:$A$5001,AF$3,BD!$B$3:$B$5001,$A$45)))</f>
        <v/>
      </c>
      <c r="AG64" s="230" t="str">
        <f>IF(AG$3="","",IF(COUNTIFS(BD!$A$3:$A$5001,AG$3,BD!$B$3:$B$5001,$A$45,BD!$AF$3:$AF$5001,"&lt;&gt;")=0,"",SUMIFS(BD!$AF$3:$AF$5001,BD!$A$3:$A$5001,AG$3,BD!$B$3:$B$5001,$A$45)))</f>
        <v/>
      </c>
      <c r="AH64" s="230" t="str">
        <f>IF(AH$3="","",IF(COUNTIFS(BD!$A$3:$A$5001,AH$3,BD!$B$3:$B$5001,$A$45,BD!$AF$3:$AF$5001,"&lt;&gt;")=0,"",SUMIFS(BD!$AF$3:$AF$5001,BD!$A$3:$A$5001,AH$3,BD!$B$3:$B$5001,$A$45)))</f>
        <v/>
      </c>
      <c r="AI64" s="230" t="str">
        <f>IF(AI$3="","",IF(COUNTIFS(BD!$A$3:$A$5001,AI$3,BD!$B$3:$B$5001,$A$45,BD!$AF$3:$AF$5001,"&lt;&gt;")=0,"",SUMIFS(BD!$AF$3:$AF$5001,BD!$A$3:$A$5001,AI$3,BD!$B$3:$B$5001,$A$45)))</f>
        <v/>
      </c>
      <c r="AJ64" s="231" t="str">
        <f>IF(AJ$3="","",IF(COUNTIFS(BD!$A$3:$A$5001,AJ$3,BD!$B$3:$B$5001,$A$45,BD!$AF$3:$AF$5001,"&lt;&gt;")=0,"",SUMIFS(BD!$AF$3:$AF$5001,BD!$A$3:$A$5001,AJ$3,BD!$B$3:$B$5001,$A$45)))</f>
        <v/>
      </c>
      <c r="AK64" s="227" t="str">
        <f>IF(COUNT(F64:AJ64)=0,"",SUM(F64:AJ64))</f>
        <v/>
      </c>
    </row>
    <row r="66" ht="15.75" customHeight="1">
      <c r="A66" s="243" t="inlineStr">
        <is>
          <t xml:space="preserve">Boticário</t>
        </is>
      </c>
      <c r="B66" s="232" t="inlineStr">
        <is>
          <t xml:space="preserve">IN</t>
        </is>
      </c>
      <c r="C66" s="155" t="inlineStr">
        <is>
          <t xml:space="preserve">Veículos Recebidos</t>
        </is>
      </c>
      <c r="D66" s="156" t="str">
        <f>IFERROR(1/(1/INDEX(BD!$AJ$23:$BD$23,MATCH($A$66,BD!$AJ$22:$BD$22,0))),"")</f>
        <v/>
      </c>
      <c r="E66" s="157"/>
      <c r="F66" s="158" t="str">
        <f>IF(F$3="","",IF(COUNTIFS(BD!$A$3:$A$5001,F$3,BD!$B$3:$B$5001,$A$66,BD!$C$3:$C$5001,"&lt;&gt;")=0,"",SUMIFS(BD!$C$3:$C$5001,BD!$A$3:$A$5001,F$3,BD!$B$3:$B$5001,$A$66)))</f>
        <v/>
      </c>
      <c r="G66" s="159" t="str">
        <f>IF(G$3="","",IF(COUNTIFS(BD!$A$3:$A$5001,G$3,BD!$B$3:$B$5001,$A$66,BD!$C$3:$C$5001,"&lt;&gt;")=0,"",SUMIFS(BD!$C$3:$C$5001,BD!$A$3:$A$5001,G$3,BD!$B$3:$B$5001,$A$66)))</f>
        <v/>
      </c>
      <c r="H66" s="159" t="str">
        <f>IF(H$3="","",IF(COUNTIFS(BD!$A$3:$A$5001,H$3,BD!$B$3:$B$5001,$A$66,BD!$C$3:$C$5001,"&lt;&gt;")=0,"",SUMIFS(BD!$C$3:$C$5001,BD!$A$3:$A$5001,H$3,BD!$B$3:$B$5001,$A$66)))</f>
        <v/>
      </c>
      <c r="I66" s="159" t="str">
        <f>IF(I$3="","",IF(COUNTIFS(BD!$A$3:$A$5001,I$3,BD!$B$3:$B$5001,$A$66,BD!$C$3:$C$5001,"&lt;&gt;")=0,"",SUMIFS(BD!$C$3:$C$5001,BD!$A$3:$A$5001,I$3,BD!$B$3:$B$5001,$A$66)))</f>
        <v/>
      </c>
      <c r="J66" s="159" t="str">
        <f>IF(J$3="","",IF(COUNTIFS(BD!$A$3:$A$5001,J$3,BD!$B$3:$B$5001,$A$66,BD!$C$3:$C$5001,"&lt;&gt;")=0,"",SUMIFS(BD!$C$3:$C$5001,BD!$A$3:$A$5001,J$3,BD!$B$3:$B$5001,$A$66)))</f>
        <v/>
      </c>
      <c r="K66" s="159" t="str">
        <f>IF(K$3="","",IF(COUNTIFS(BD!$A$3:$A$5001,K$3,BD!$B$3:$B$5001,$A$66,BD!$C$3:$C$5001,"&lt;&gt;")=0,"",SUMIFS(BD!$C$3:$C$5001,BD!$A$3:$A$5001,K$3,BD!$B$3:$B$5001,$A$66)))</f>
        <v/>
      </c>
      <c r="L66" s="159" t="str">
        <f>IF(L$3="","",IF(COUNTIFS(BD!$A$3:$A$5001,L$3,BD!$B$3:$B$5001,$A$66,BD!$C$3:$C$5001,"&lt;&gt;")=0,"",SUMIFS(BD!$C$3:$C$5001,BD!$A$3:$A$5001,L$3,BD!$B$3:$B$5001,$A$66)))</f>
        <v/>
      </c>
      <c r="M66" s="159" t="str">
        <f>IF(M$3="","",IF(COUNTIFS(BD!$A$3:$A$5001,M$3,BD!$B$3:$B$5001,$A$66,BD!$C$3:$C$5001,"&lt;&gt;")=0,"",SUMIFS(BD!$C$3:$C$5001,BD!$A$3:$A$5001,M$3,BD!$B$3:$B$5001,$A$66)))</f>
        <v/>
      </c>
      <c r="N66" s="159" t="str">
        <f>IF(N$3="","",IF(COUNTIFS(BD!$A$3:$A$5001,N$3,BD!$B$3:$B$5001,$A$66,BD!$C$3:$C$5001,"&lt;&gt;")=0,"",SUMIFS(BD!$C$3:$C$5001,BD!$A$3:$A$5001,N$3,BD!$B$3:$B$5001,$A$66)))</f>
        <v/>
      </c>
      <c r="O66" s="159" t="str">
        <f>IF(O$3="","",IF(COUNTIFS(BD!$A$3:$A$5001,O$3,BD!$B$3:$B$5001,$A$66,BD!$C$3:$C$5001,"&lt;&gt;")=0,"",SUMIFS(BD!$C$3:$C$5001,BD!$A$3:$A$5001,O$3,BD!$B$3:$B$5001,$A$66)))</f>
        <v/>
      </c>
      <c r="P66" s="159" t="str">
        <f>IF(P$3="","",IF(COUNTIFS(BD!$A$3:$A$5001,P$3,BD!$B$3:$B$5001,$A$66,BD!$C$3:$C$5001,"&lt;&gt;")=0,"",SUMIFS(BD!$C$3:$C$5001,BD!$A$3:$A$5001,P$3,BD!$B$3:$B$5001,$A$66)))</f>
        <v/>
      </c>
      <c r="Q66" s="159" t="str">
        <f>IF(Q$3="","",IF(COUNTIFS(BD!$A$3:$A$5001,Q$3,BD!$B$3:$B$5001,$A$66,BD!$C$3:$C$5001,"&lt;&gt;")=0,"",SUMIFS(BD!$C$3:$C$5001,BD!$A$3:$A$5001,Q$3,BD!$B$3:$B$5001,$A$66)))</f>
        <v/>
      </c>
      <c r="R66" s="159" t="str">
        <f>IF(R$3="","",IF(COUNTIFS(BD!$A$3:$A$5001,R$3,BD!$B$3:$B$5001,$A$66,BD!$C$3:$C$5001,"&lt;&gt;")=0,"",SUMIFS(BD!$C$3:$C$5001,BD!$A$3:$A$5001,R$3,BD!$B$3:$B$5001,$A$66)))</f>
        <v/>
      </c>
      <c r="S66" s="159" t="str">
        <f>IF(S$3="","",IF(COUNTIFS(BD!$A$3:$A$5001,S$3,BD!$B$3:$B$5001,$A$66,BD!$C$3:$C$5001,"&lt;&gt;")=0,"",SUMIFS(BD!$C$3:$C$5001,BD!$A$3:$A$5001,S$3,BD!$B$3:$B$5001,$A$66)))</f>
        <v/>
      </c>
      <c r="T66" s="159" t="str">
        <f>IF(T$3="","",IF(COUNTIFS(BD!$A$3:$A$5001,T$3,BD!$B$3:$B$5001,$A$66,BD!$C$3:$C$5001,"&lt;&gt;")=0,"",SUMIFS(BD!$C$3:$C$5001,BD!$A$3:$A$5001,T$3,BD!$B$3:$B$5001,$A$66)))</f>
        <v/>
      </c>
      <c r="U66" s="159" t="str">
        <f>IF(U$3="","",IF(COUNTIFS(BD!$A$3:$A$5001,U$3,BD!$B$3:$B$5001,$A$66,BD!$C$3:$C$5001,"&lt;&gt;")=0,"",SUMIFS(BD!$C$3:$C$5001,BD!$A$3:$A$5001,U$3,BD!$B$3:$B$5001,$A$66)))</f>
        <v/>
      </c>
      <c r="V66" s="159" t="str">
        <f>IF(V$3="","",IF(COUNTIFS(BD!$A$3:$A$5001,V$3,BD!$B$3:$B$5001,$A$66,BD!$C$3:$C$5001,"&lt;&gt;")=0,"",SUMIFS(BD!$C$3:$C$5001,BD!$A$3:$A$5001,V$3,BD!$B$3:$B$5001,$A$66)))</f>
        <v/>
      </c>
      <c r="W66" s="159" t="str">
        <f>IF(W$3="","",IF(COUNTIFS(BD!$A$3:$A$5001,W$3,BD!$B$3:$B$5001,$A$66,BD!$C$3:$C$5001,"&lt;&gt;")=0,"",SUMIFS(BD!$C$3:$C$5001,BD!$A$3:$A$5001,W$3,BD!$B$3:$B$5001,$A$66)))</f>
        <v/>
      </c>
      <c r="X66" s="159" t="str">
        <f>IF(X$3="","",IF(COUNTIFS(BD!$A$3:$A$5001,X$3,BD!$B$3:$B$5001,$A$66,BD!$C$3:$C$5001,"&lt;&gt;")=0,"",SUMIFS(BD!$C$3:$C$5001,BD!$A$3:$A$5001,X$3,BD!$B$3:$B$5001,$A$66)))</f>
        <v/>
      </c>
      <c r="Y66" s="159" t="str">
        <f>IF(Y$3="","",IF(COUNTIFS(BD!$A$3:$A$5001,Y$3,BD!$B$3:$B$5001,$A$66,BD!$C$3:$C$5001,"&lt;&gt;")=0,"",SUMIFS(BD!$C$3:$C$5001,BD!$A$3:$A$5001,Y$3,BD!$B$3:$B$5001,$A$66)))</f>
        <v/>
      </c>
      <c r="Z66" s="159" t="str">
        <f>IF(Z$3="","",IF(COUNTIFS(BD!$A$3:$A$5001,Z$3,BD!$B$3:$B$5001,$A$66,BD!$C$3:$C$5001,"&lt;&gt;")=0,"",SUMIFS(BD!$C$3:$C$5001,BD!$A$3:$A$5001,Z$3,BD!$B$3:$B$5001,$A$66)))</f>
        <v/>
      </c>
      <c r="AA66" s="159" t="str">
        <f>IF(AA$3="","",IF(COUNTIFS(BD!$A$3:$A$5001,AA$3,BD!$B$3:$B$5001,$A$66,BD!$C$3:$C$5001,"&lt;&gt;")=0,"",SUMIFS(BD!$C$3:$C$5001,BD!$A$3:$A$5001,AA$3,BD!$B$3:$B$5001,$A$66)))</f>
        <v/>
      </c>
      <c r="AB66" s="159" t="str">
        <f>IF(AB$3="","",IF(COUNTIFS(BD!$A$3:$A$5001,AB$3,BD!$B$3:$B$5001,$A$66,BD!$C$3:$C$5001,"&lt;&gt;")=0,"",SUMIFS(BD!$C$3:$C$5001,BD!$A$3:$A$5001,AB$3,BD!$B$3:$B$5001,$A$66)))</f>
        <v/>
      </c>
      <c r="AC66" s="159" t="str">
        <f>IF(AC$3="","",IF(COUNTIFS(BD!$A$3:$A$5001,AC$3,BD!$B$3:$B$5001,$A$66,BD!$C$3:$C$5001,"&lt;&gt;")=0,"",SUMIFS(BD!$C$3:$C$5001,BD!$A$3:$A$5001,AC$3,BD!$B$3:$B$5001,$A$66)))</f>
        <v/>
      </c>
      <c r="AD66" s="159" t="str">
        <f>IF(AD$3="","",IF(COUNTIFS(BD!$A$3:$A$5001,AD$3,BD!$B$3:$B$5001,$A$66,BD!$C$3:$C$5001,"&lt;&gt;")=0,"",SUMIFS(BD!$C$3:$C$5001,BD!$A$3:$A$5001,AD$3,BD!$B$3:$B$5001,$A$66)))</f>
        <v/>
      </c>
      <c r="AE66" s="159" t="str">
        <f>IF(AE$3="","",IF(COUNTIFS(BD!$A$3:$A$5001,AE$3,BD!$B$3:$B$5001,$A$66,BD!$C$3:$C$5001,"&lt;&gt;")=0,"",SUMIFS(BD!$C$3:$C$5001,BD!$A$3:$A$5001,AE$3,BD!$B$3:$B$5001,$A$66)))</f>
        <v/>
      </c>
      <c r="AF66" s="159" t="str">
        <f>IF(AF$3="","",IF(COUNTIFS(BD!$A$3:$A$5001,AF$3,BD!$B$3:$B$5001,$A$66,BD!$C$3:$C$5001,"&lt;&gt;")=0,"",SUMIFS(BD!$C$3:$C$5001,BD!$A$3:$A$5001,AF$3,BD!$B$3:$B$5001,$A$66)))</f>
        <v/>
      </c>
      <c r="AG66" s="159" t="str">
        <f>IF(AG$3="","",IF(COUNTIFS(BD!$A$3:$A$5001,AG$3,BD!$B$3:$B$5001,$A$66,BD!$C$3:$C$5001,"&lt;&gt;")=0,"",SUMIFS(BD!$C$3:$C$5001,BD!$A$3:$A$5001,AG$3,BD!$B$3:$B$5001,$A$66)))</f>
        <v/>
      </c>
      <c r="AH66" s="159" t="str">
        <f>IF(AH$3="","",IF(COUNTIFS(BD!$A$3:$A$5001,AH$3,BD!$B$3:$B$5001,$A$66,BD!$C$3:$C$5001,"&lt;&gt;")=0,"",SUMIFS(BD!$C$3:$C$5001,BD!$A$3:$A$5001,AH$3,BD!$B$3:$B$5001,$A$66)))</f>
        <v/>
      </c>
      <c r="AI66" s="159" t="str">
        <f>IF(AI$3="","",IF(COUNTIFS(BD!$A$3:$A$5001,AI$3,BD!$B$3:$B$5001,$A$66,BD!$C$3:$C$5001,"&lt;&gt;")=0,"",SUMIFS(BD!$C$3:$C$5001,BD!$A$3:$A$5001,AI$3,BD!$B$3:$B$5001,$A$66)))</f>
        <v/>
      </c>
      <c r="AJ66" s="160" t="str">
        <f>IF(AJ$3="","",IF(COUNTIFS(BD!$A$3:$A$5001,AJ$3,BD!$B$3:$B$5001,$A$66,BD!$C$3:$C$5001,"&lt;&gt;")=0,"",SUMIFS(BD!$C$3:$C$5001,BD!$A$3:$A$5001,AJ$3,BD!$B$3:$B$5001,$A$66)))</f>
        <v/>
      </c>
      <c r="AK66" s="161" t="str">
        <f>IF(COUNT(F66:AJ66)=0,"",SUM(F66:AJ66))</f>
        <v/>
      </c>
    </row>
    <row r="67" ht="15.75" customHeight="1">
      <c r="A67" s="244"/>
      <c r="B67" s="239"/>
      <c r="C67" s="201" t="inlineStr">
        <is>
          <t xml:space="preserve">Pallets Movimentados</t>
        </is>
      </c>
      <c r="D67" s="202" t="str">
        <f>IFERROR(1/(1/INDEX(BD!$AJ$24:$BD$24,MATCH($A$66,BD!$AJ$22:$BD$22,0))),"")</f>
        <v/>
      </c>
      <c r="E67" s="203"/>
      <c r="F67" s="204" t="str">
        <f>IF(F$3="","",IF(COUNTIFS(BD!$A$3:$A$5001,F$3,BD!$B$3:$B$5001,$A$66,BD!$D$3:$D$5001,"&lt;&gt;")=0,"",SUMIFS(BD!$D$3:$D$5001,BD!$A$3:$A$5001,F$3,BD!$B$3:$B$5001,$A$66)))</f>
        <v/>
      </c>
      <c r="G67" s="205" t="str">
        <f>IF(G$3="","",IF(COUNTIFS(BD!$A$3:$A$5001,G$3,BD!$B$3:$B$5001,$A$66,BD!$D$3:$D$5001,"&lt;&gt;")=0,"",SUMIFS(BD!$D$3:$D$5001,BD!$A$3:$A$5001,G$3,BD!$B$3:$B$5001,$A$66)))</f>
        <v/>
      </c>
      <c r="H67" s="205" t="str">
        <f>IF(H$3="","",IF(COUNTIFS(BD!$A$3:$A$5001,H$3,BD!$B$3:$B$5001,$A$66,BD!$D$3:$D$5001,"&lt;&gt;")=0,"",SUMIFS(BD!$D$3:$D$5001,BD!$A$3:$A$5001,H$3,BD!$B$3:$B$5001,$A$66)))</f>
        <v/>
      </c>
      <c r="I67" s="205" t="str">
        <f>IF(I$3="","",IF(COUNTIFS(BD!$A$3:$A$5001,I$3,BD!$B$3:$B$5001,$A$66,BD!$D$3:$D$5001,"&lt;&gt;")=0,"",SUMIFS(BD!$D$3:$D$5001,BD!$A$3:$A$5001,I$3,BD!$B$3:$B$5001,$A$66)))</f>
        <v/>
      </c>
      <c r="J67" s="205" t="str">
        <f>IF(J$3="","",IF(COUNTIFS(BD!$A$3:$A$5001,J$3,BD!$B$3:$B$5001,$A$66,BD!$D$3:$D$5001,"&lt;&gt;")=0,"",SUMIFS(BD!$D$3:$D$5001,BD!$A$3:$A$5001,J$3,BD!$B$3:$B$5001,$A$66)))</f>
        <v/>
      </c>
      <c r="K67" s="205" t="str">
        <f>IF(K$3="","",IF(COUNTIFS(BD!$A$3:$A$5001,K$3,BD!$B$3:$B$5001,$A$66,BD!$D$3:$D$5001,"&lt;&gt;")=0,"",SUMIFS(BD!$D$3:$D$5001,BD!$A$3:$A$5001,K$3,BD!$B$3:$B$5001,$A$66)))</f>
        <v/>
      </c>
      <c r="L67" s="205" t="str">
        <f>IF(L$3="","",IF(COUNTIFS(BD!$A$3:$A$5001,L$3,BD!$B$3:$B$5001,$A$66,BD!$D$3:$D$5001,"&lt;&gt;")=0,"",SUMIFS(BD!$D$3:$D$5001,BD!$A$3:$A$5001,L$3,BD!$B$3:$B$5001,$A$66)))</f>
        <v/>
      </c>
      <c r="M67" s="205" t="str">
        <f>IF(M$3="","",IF(COUNTIFS(BD!$A$3:$A$5001,M$3,BD!$B$3:$B$5001,$A$66,BD!$D$3:$D$5001,"&lt;&gt;")=0,"",SUMIFS(BD!$D$3:$D$5001,BD!$A$3:$A$5001,M$3,BD!$B$3:$B$5001,$A$66)))</f>
        <v/>
      </c>
      <c r="N67" s="205" t="str">
        <f>IF(N$3="","",IF(COUNTIFS(BD!$A$3:$A$5001,N$3,BD!$B$3:$B$5001,$A$66,BD!$D$3:$D$5001,"&lt;&gt;")=0,"",SUMIFS(BD!$D$3:$D$5001,BD!$A$3:$A$5001,N$3,BD!$B$3:$B$5001,$A$66)))</f>
        <v/>
      </c>
      <c r="O67" s="205" t="str">
        <f>IF(O$3="","",IF(COUNTIFS(BD!$A$3:$A$5001,O$3,BD!$B$3:$B$5001,$A$66,BD!$D$3:$D$5001,"&lt;&gt;")=0,"",SUMIFS(BD!$D$3:$D$5001,BD!$A$3:$A$5001,O$3,BD!$B$3:$B$5001,$A$66)))</f>
        <v/>
      </c>
      <c r="P67" s="205" t="str">
        <f>IF(P$3="","",IF(COUNTIFS(BD!$A$3:$A$5001,P$3,BD!$B$3:$B$5001,$A$66,BD!$D$3:$D$5001,"&lt;&gt;")=0,"",SUMIFS(BD!$D$3:$D$5001,BD!$A$3:$A$5001,P$3,BD!$B$3:$B$5001,$A$66)))</f>
        <v/>
      </c>
      <c r="Q67" s="205" t="str">
        <f>IF(Q$3="","",IF(COUNTIFS(BD!$A$3:$A$5001,Q$3,BD!$B$3:$B$5001,$A$66,BD!$D$3:$D$5001,"&lt;&gt;")=0,"",SUMIFS(BD!$D$3:$D$5001,BD!$A$3:$A$5001,Q$3,BD!$B$3:$B$5001,$A$66)))</f>
        <v/>
      </c>
      <c r="R67" s="205" t="str">
        <f>IF(R$3="","",IF(COUNTIFS(BD!$A$3:$A$5001,R$3,BD!$B$3:$B$5001,$A$66,BD!$D$3:$D$5001,"&lt;&gt;")=0,"",SUMIFS(BD!$D$3:$D$5001,BD!$A$3:$A$5001,R$3,BD!$B$3:$B$5001,$A$66)))</f>
        <v/>
      </c>
      <c r="S67" s="205" t="str">
        <f>IF(S$3="","",IF(COUNTIFS(BD!$A$3:$A$5001,S$3,BD!$B$3:$B$5001,$A$66,BD!$D$3:$D$5001,"&lt;&gt;")=0,"",SUMIFS(BD!$D$3:$D$5001,BD!$A$3:$A$5001,S$3,BD!$B$3:$B$5001,$A$66)))</f>
        <v/>
      </c>
      <c r="T67" s="205" t="str">
        <f>IF(T$3="","",IF(COUNTIFS(BD!$A$3:$A$5001,T$3,BD!$B$3:$B$5001,$A$66,BD!$D$3:$D$5001,"&lt;&gt;")=0,"",SUMIFS(BD!$D$3:$D$5001,BD!$A$3:$A$5001,T$3,BD!$B$3:$B$5001,$A$66)))</f>
        <v/>
      </c>
      <c r="U67" s="205" t="str">
        <f>IF(U$3="","",IF(COUNTIFS(BD!$A$3:$A$5001,U$3,BD!$B$3:$B$5001,$A$66,BD!$D$3:$D$5001,"&lt;&gt;")=0,"",SUMIFS(BD!$D$3:$D$5001,BD!$A$3:$A$5001,U$3,BD!$B$3:$B$5001,$A$66)))</f>
        <v/>
      </c>
      <c r="V67" s="205" t="str">
        <f>IF(V$3="","",IF(COUNTIFS(BD!$A$3:$A$5001,V$3,BD!$B$3:$B$5001,$A$66,BD!$D$3:$D$5001,"&lt;&gt;")=0,"",SUMIFS(BD!$D$3:$D$5001,BD!$A$3:$A$5001,V$3,BD!$B$3:$B$5001,$A$66)))</f>
        <v/>
      </c>
      <c r="W67" s="205" t="str">
        <f>IF(W$3="","",IF(COUNTIFS(BD!$A$3:$A$5001,W$3,BD!$B$3:$B$5001,$A$66,BD!$D$3:$D$5001,"&lt;&gt;")=0,"",SUMIFS(BD!$D$3:$D$5001,BD!$A$3:$A$5001,W$3,BD!$B$3:$B$5001,$A$66)))</f>
        <v/>
      </c>
      <c r="X67" s="205" t="str">
        <f>IF(X$3="","",IF(COUNTIFS(BD!$A$3:$A$5001,X$3,BD!$B$3:$B$5001,$A$66,BD!$D$3:$D$5001,"&lt;&gt;")=0,"",SUMIFS(BD!$D$3:$D$5001,BD!$A$3:$A$5001,X$3,BD!$B$3:$B$5001,$A$66)))</f>
        <v/>
      </c>
      <c r="Y67" s="205" t="str">
        <f>IF(Y$3="","",IF(COUNTIFS(BD!$A$3:$A$5001,Y$3,BD!$B$3:$B$5001,$A$66,BD!$D$3:$D$5001,"&lt;&gt;")=0,"",SUMIFS(BD!$D$3:$D$5001,BD!$A$3:$A$5001,Y$3,BD!$B$3:$B$5001,$A$66)))</f>
        <v/>
      </c>
      <c r="Z67" s="205" t="str">
        <f>IF(Z$3="","",IF(COUNTIFS(BD!$A$3:$A$5001,Z$3,BD!$B$3:$B$5001,$A$66,BD!$D$3:$D$5001,"&lt;&gt;")=0,"",SUMIFS(BD!$D$3:$D$5001,BD!$A$3:$A$5001,Z$3,BD!$B$3:$B$5001,$A$66)))</f>
        <v/>
      </c>
      <c r="AA67" s="205" t="str">
        <f>IF(AA$3="","",IF(COUNTIFS(BD!$A$3:$A$5001,AA$3,BD!$B$3:$B$5001,$A$66,BD!$D$3:$D$5001,"&lt;&gt;")=0,"",SUMIFS(BD!$D$3:$D$5001,BD!$A$3:$A$5001,AA$3,BD!$B$3:$B$5001,$A$66)))</f>
        <v/>
      </c>
      <c r="AB67" s="205" t="str">
        <f>IF(AB$3="","",IF(COUNTIFS(BD!$A$3:$A$5001,AB$3,BD!$B$3:$B$5001,$A$66,BD!$D$3:$D$5001,"&lt;&gt;")=0,"",SUMIFS(BD!$D$3:$D$5001,BD!$A$3:$A$5001,AB$3,BD!$B$3:$B$5001,$A$66)))</f>
        <v/>
      </c>
      <c r="AC67" s="205" t="str">
        <f>IF(AC$3="","",IF(COUNTIFS(BD!$A$3:$A$5001,AC$3,BD!$B$3:$B$5001,$A$66,BD!$D$3:$D$5001,"&lt;&gt;")=0,"",SUMIFS(BD!$D$3:$D$5001,BD!$A$3:$A$5001,AC$3,BD!$B$3:$B$5001,$A$66)))</f>
        <v/>
      </c>
      <c r="AD67" s="205" t="str">
        <f>IF(AD$3="","",IF(COUNTIFS(BD!$A$3:$A$5001,AD$3,BD!$B$3:$B$5001,$A$66,BD!$D$3:$D$5001,"&lt;&gt;")=0,"",SUMIFS(BD!$D$3:$D$5001,BD!$A$3:$A$5001,AD$3,BD!$B$3:$B$5001,$A$66)))</f>
        <v/>
      </c>
      <c r="AE67" s="205" t="str">
        <f>IF(AE$3="","",IF(COUNTIFS(BD!$A$3:$A$5001,AE$3,BD!$B$3:$B$5001,$A$66,BD!$D$3:$D$5001,"&lt;&gt;")=0,"",SUMIFS(BD!$D$3:$D$5001,BD!$A$3:$A$5001,AE$3,BD!$B$3:$B$5001,$A$66)))</f>
        <v/>
      </c>
      <c r="AF67" s="205" t="str">
        <f>IF(AF$3="","",IF(COUNTIFS(BD!$A$3:$A$5001,AF$3,BD!$B$3:$B$5001,$A$66,BD!$D$3:$D$5001,"&lt;&gt;")=0,"",SUMIFS(BD!$D$3:$D$5001,BD!$A$3:$A$5001,AF$3,BD!$B$3:$B$5001,$A$66)))</f>
        <v/>
      </c>
      <c r="AG67" s="205" t="str">
        <f>IF(AG$3="","",IF(COUNTIFS(BD!$A$3:$A$5001,AG$3,BD!$B$3:$B$5001,$A$66,BD!$D$3:$D$5001,"&lt;&gt;")=0,"",SUMIFS(BD!$D$3:$D$5001,BD!$A$3:$A$5001,AG$3,BD!$B$3:$B$5001,$A$66)))</f>
        <v/>
      </c>
      <c r="AH67" s="205" t="str">
        <f>IF(AH$3="","",IF(COUNTIFS(BD!$A$3:$A$5001,AH$3,BD!$B$3:$B$5001,$A$66,BD!$D$3:$D$5001,"&lt;&gt;")=0,"",SUMIFS(BD!$D$3:$D$5001,BD!$A$3:$A$5001,AH$3,BD!$B$3:$B$5001,$A$66)))</f>
        <v/>
      </c>
      <c r="AI67" s="205" t="str">
        <f>IF(AI$3="","",IF(COUNTIFS(BD!$A$3:$A$5001,AI$3,BD!$B$3:$B$5001,$A$66,BD!$D$3:$D$5001,"&lt;&gt;")=0,"",SUMIFS(BD!$D$3:$D$5001,BD!$A$3:$A$5001,AI$3,BD!$B$3:$B$5001,$A$66)))</f>
        <v/>
      </c>
      <c r="AJ67" s="206" t="str">
        <f>IF(AJ$3="","",IF(COUNTIFS(BD!$A$3:$A$5001,AJ$3,BD!$B$3:$B$5001,$A$66,BD!$D$3:$D$5001,"&lt;&gt;")=0,"",SUMIFS(BD!$D$3:$D$5001,BD!$A$3:$A$5001,AJ$3,BD!$B$3:$B$5001,$A$66)))</f>
        <v/>
      </c>
      <c r="AK67" s="207" t="str">
        <f>IF(COUNT(F67:AJ67)=0,"",SUM(F67:AJ67))</f>
        <v/>
      </c>
    </row>
    <row r="68" ht="15.75" customHeight="1">
      <c r="A68" s="244"/>
      <c r="B68" s="239"/>
      <c r="C68" s="201" t="inlineStr">
        <is>
          <t xml:space="preserve">Caixas Movimentadas</t>
        </is>
      </c>
      <c r="D68" s="202" t="str">
        <f>IFERROR(1/(1/INDEX(BD!$AJ$27:$BD$27,MATCH($A$66,BD!$AJ$22:$BD$22,0))),"")</f>
        <v/>
      </c>
      <c r="E68" s="203"/>
      <c r="F68" s="204" t="str">
        <f>IF(F$3="","",IF(COUNTIFS(BD!$A$3:$A$5001,F$3,BD!$B$3:$B$5001,$A$66,BD!$G$3:$G$5001,"&lt;&gt;")=0,"",SUMIFS(BD!$G$3:$G$5001,BD!$A$3:$A$5001,F$3,BD!$B$3:$B$5001,$A$66)))</f>
        <v/>
      </c>
      <c r="G68" s="205" t="str">
        <f>IF(G$3="","",IF(COUNTIFS(BD!$A$3:$A$5001,G$3,BD!$B$3:$B$5001,$A$66,BD!$G$3:$G$5001,"&lt;&gt;")=0,"",SUMIFS(BD!$G$3:$G$5001,BD!$A$3:$A$5001,G$3,BD!$B$3:$B$5001,$A$66)))</f>
        <v/>
      </c>
      <c r="H68" s="205" t="str">
        <f>IF(H$3="","",IF(COUNTIFS(BD!$A$3:$A$5001,H$3,BD!$B$3:$B$5001,$A$66,BD!$G$3:$G$5001,"&lt;&gt;")=0,"",SUMIFS(BD!$G$3:$G$5001,BD!$A$3:$A$5001,H$3,BD!$B$3:$B$5001,$A$66)))</f>
        <v/>
      </c>
      <c r="I68" s="205" t="str">
        <f>IF(I$3="","",IF(COUNTIFS(BD!$A$3:$A$5001,I$3,BD!$B$3:$B$5001,$A$66,BD!$G$3:$G$5001,"&lt;&gt;")=0,"",SUMIFS(BD!$G$3:$G$5001,BD!$A$3:$A$5001,I$3,BD!$B$3:$B$5001,$A$66)))</f>
        <v/>
      </c>
      <c r="J68" s="205" t="str">
        <f>IF(J$3="","",IF(COUNTIFS(BD!$A$3:$A$5001,J$3,BD!$B$3:$B$5001,$A$66,BD!$G$3:$G$5001,"&lt;&gt;")=0,"",SUMIFS(BD!$G$3:$G$5001,BD!$A$3:$A$5001,J$3,BD!$B$3:$B$5001,$A$66)))</f>
        <v/>
      </c>
      <c r="K68" s="205" t="str">
        <f>IF(K$3="","",IF(COUNTIFS(BD!$A$3:$A$5001,K$3,BD!$B$3:$B$5001,$A$66,BD!$G$3:$G$5001,"&lt;&gt;")=0,"",SUMIFS(BD!$G$3:$G$5001,BD!$A$3:$A$5001,K$3,BD!$B$3:$B$5001,$A$66)))</f>
        <v/>
      </c>
      <c r="L68" s="205" t="str">
        <f>IF(L$3="","",IF(COUNTIFS(BD!$A$3:$A$5001,L$3,BD!$B$3:$B$5001,$A$66,BD!$G$3:$G$5001,"&lt;&gt;")=0,"",SUMIFS(BD!$G$3:$G$5001,BD!$A$3:$A$5001,L$3,BD!$B$3:$B$5001,$A$66)))</f>
        <v/>
      </c>
      <c r="M68" s="205" t="str">
        <f>IF(M$3="","",IF(COUNTIFS(BD!$A$3:$A$5001,M$3,BD!$B$3:$B$5001,$A$66,BD!$G$3:$G$5001,"&lt;&gt;")=0,"",SUMIFS(BD!$G$3:$G$5001,BD!$A$3:$A$5001,M$3,BD!$B$3:$B$5001,$A$66)))</f>
        <v/>
      </c>
      <c r="N68" s="205" t="str">
        <f>IF(N$3="","",IF(COUNTIFS(BD!$A$3:$A$5001,N$3,BD!$B$3:$B$5001,$A$66,BD!$G$3:$G$5001,"&lt;&gt;")=0,"",SUMIFS(BD!$G$3:$G$5001,BD!$A$3:$A$5001,N$3,BD!$B$3:$B$5001,$A$66)))</f>
        <v/>
      </c>
      <c r="O68" s="205" t="str">
        <f>IF(O$3="","",IF(COUNTIFS(BD!$A$3:$A$5001,O$3,BD!$B$3:$B$5001,$A$66,BD!$G$3:$G$5001,"&lt;&gt;")=0,"",SUMIFS(BD!$G$3:$G$5001,BD!$A$3:$A$5001,O$3,BD!$B$3:$B$5001,$A$66)))</f>
        <v/>
      </c>
      <c r="P68" s="205" t="str">
        <f>IF(P$3="","",IF(COUNTIFS(BD!$A$3:$A$5001,P$3,BD!$B$3:$B$5001,$A$66,BD!$G$3:$G$5001,"&lt;&gt;")=0,"",SUMIFS(BD!$G$3:$G$5001,BD!$A$3:$A$5001,P$3,BD!$B$3:$B$5001,$A$66)))</f>
        <v/>
      </c>
      <c r="Q68" s="205" t="str">
        <f>IF(Q$3="","",IF(COUNTIFS(BD!$A$3:$A$5001,Q$3,BD!$B$3:$B$5001,$A$66,BD!$G$3:$G$5001,"&lt;&gt;")=0,"",SUMIFS(BD!$G$3:$G$5001,BD!$A$3:$A$5001,Q$3,BD!$B$3:$B$5001,$A$66)))</f>
        <v/>
      </c>
      <c r="R68" s="205" t="str">
        <f>IF(R$3="","",IF(COUNTIFS(BD!$A$3:$A$5001,R$3,BD!$B$3:$B$5001,$A$66,BD!$G$3:$G$5001,"&lt;&gt;")=0,"",SUMIFS(BD!$G$3:$G$5001,BD!$A$3:$A$5001,R$3,BD!$B$3:$B$5001,$A$66)))</f>
        <v/>
      </c>
      <c r="S68" s="205" t="str">
        <f>IF(S$3="","",IF(COUNTIFS(BD!$A$3:$A$5001,S$3,BD!$B$3:$B$5001,$A$66,BD!$G$3:$G$5001,"&lt;&gt;")=0,"",SUMIFS(BD!$G$3:$G$5001,BD!$A$3:$A$5001,S$3,BD!$B$3:$B$5001,$A$66)))</f>
        <v/>
      </c>
      <c r="T68" s="205" t="str">
        <f>IF(T$3="","",IF(COUNTIFS(BD!$A$3:$A$5001,T$3,BD!$B$3:$B$5001,$A$66,BD!$G$3:$G$5001,"&lt;&gt;")=0,"",SUMIFS(BD!$G$3:$G$5001,BD!$A$3:$A$5001,T$3,BD!$B$3:$B$5001,$A$66)))</f>
        <v/>
      </c>
      <c r="U68" s="205" t="str">
        <f>IF(U$3="","",IF(COUNTIFS(BD!$A$3:$A$5001,U$3,BD!$B$3:$B$5001,$A$66,BD!$G$3:$G$5001,"&lt;&gt;")=0,"",SUMIFS(BD!$G$3:$G$5001,BD!$A$3:$A$5001,U$3,BD!$B$3:$B$5001,$A$66)))</f>
        <v/>
      </c>
      <c r="V68" s="205" t="str">
        <f>IF(V$3="","",IF(COUNTIFS(BD!$A$3:$A$5001,V$3,BD!$B$3:$B$5001,$A$66,BD!$G$3:$G$5001,"&lt;&gt;")=0,"",SUMIFS(BD!$G$3:$G$5001,BD!$A$3:$A$5001,V$3,BD!$B$3:$B$5001,$A$66)))</f>
        <v/>
      </c>
      <c r="W68" s="205" t="str">
        <f>IF(W$3="","",IF(COUNTIFS(BD!$A$3:$A$5001,W$3,BD!$B$3:$B$5001,$A$66,BD!$G$3:$G$5001,"&lt;&gt;")=0,"",SUMIFS(BD!$G$3:$G$5001,BD!$A$3:$A$5001,W$3,BD!$B$3:$B$5001,$A$66)))</f>
        <v/>
      </c>
      <c r="X68" s="205" t="str">
        <f>IF(X$3="","",IF(COUNTIFS(BD!$A$3:$A$5001,X$3,BD!$B$3:$B$5001,$A$66,BD!$G$3:$G$5001,"&lt;&gt;")=0,"",SUMIFS(BD!$G$3:$G$5001,BD!$A$3:$A$5001,X$3,BD!$B$3:$B$5001,$A$66)))</f>
        <v/>
      </c>
      <c r="Y68" s="205" t="str">
        <f>IF(Y$3="","",IF(COUNTIFS(BD!$A$3:$A$5001,Y$3,BD!$B$3:$B$5001,$A$66,BD!$G$3:$G$5001,"&lt;&gt;")=0,"",SUMIFS(BD!$G$3:$G$5001,BD!$A$3:$A$5001,Y$3,BD!$B$3:$B$5001,$A$66)))</f>
        <v/>
      </c>
      <c r="Z68" s="205" t="str">
        <f>IF(Z$3="","",IF(COUNTIFS(BD!$A$3:$A$5001,Z$3,BD!$B$3:$B$5001,$A$66,BD!$G$3:$G$5001,"&lt;&gt;")=0,"",SUMIFS(BD!$G$3:$G$5001,BD!$A$3:$A$5001,Z$3,BD!$B$3:$B$5001,$A$66)))</f>
        <v/>
      </c>
      <c r="AA68" s="205" t="str">
        <f>IF(AA$3="","",IF(COUNTIFS(BD!$A$3:$A$5001,AA$3,BD!$B$3:$B$5001,$A$66,BD!$G$3:$G$5001,"&lt;&gt;")=0,"",SUMIFS(BD!$G$3:$G$5001,BD!$A$3:$A$5001,AA$3,BD!$B$3:$B$5001,$A$66)))</f>
        <v/>
      </c>
      <c r="AB68" s="205" t="str">
        <f>IF(AB$3="","",IF(COUNTIFS(BD!$A$3:$A$5001,AB$3,BD!$B$3:$B$5001,$A$66,BD!$G$3:$G$5001,"&lt;&gt;")=0,"",SUMIFS(BD!$G$3:$G$5001,BD!$A$3:$A$5001,AB$3,BD!$B$3:$B$5001,$A$66)))</f>
        <v/>
      </c>
      <c r="AC68" s="205" t="str">
        <f>IF(AC$3="","",IF(COUNTIFS(BD!$A$3:$A$5001,AC$3,BD!$B$3:$B$5001,$A$66,BD!$G$3:$G$5001,"&lt;&gt;")=0,"",SUMIFS(BD!$G$3:$G$5001,BD!$A$3:$A$5001,AC$3,BD!$B$3:$B$5001,$A$66)))</f>
        <v/>
      </c>
      <c r="AD68" s="205" t="str">
        <f>IF(AD$3="","",IF(COUNTIFS(BD!$A$3:$A$5001,AD$3,BD!$B$3:$B$5001,$A$66,BD!$G$3:$G$5001,"&lt;&gt;")=0,"",SUMIFS(BD!$G$3:$G$5001,BD!$A$3:$A$5001,AD$3,BD!$B$3:$B$5001,$A$66)))</f>
        <v/>
      </c>
      <c r="AE68" s="205" t="str">
        <f>IF(AE$3="","",IF(COUNTIFS(BD!$A$3:$A$5001,AE$3,BD!$B$3:$B$5001,$A$66,BD!$G$3:$G$5001,"&lt;&gt;")=0,"",SUMIFS(BD!$G$3:$G$5001,BD!$A$3:$A$5001,AE$3,BD!$B$3:$B$5001,$A$66)))</f>
        <v/>
      </c>
      <c r="AF68" s="205" t="str">
        <f>IF(AF$3="","",IF(COUNTIFS(BD!$A$3:$A$5001,AF$3,BD!$B$3:$B$5001,$A$66,BD!$G$3:$G$5001,"&lt;&gt;")=0,"",SUMIFS(BD!$G$3:$G$5001,BD!$A$3:$A$5001,AF$3,BD!$B$3:$B$5001,$A$66)))</f>
        <v/>
      </c>
      <c r="AG68" s="205" t="str">
        <f>IF(AG$3="","",IF(COUNTIFS(BD!$A$3:$A$5001,AG$3,BD!$B$3:$B$5001,$A$66,BD!$G$3:$G$5001,"&lt;&gt;")=0,"",SUMIFS(BD!$G$3:$G$5001,BD!$A$3:$A$5001,AG$3,BD!$B$3:$B$5001,$A$66)))</f>
        <v/>
      </c>
      <c r="AH68" s="205" t="str">
        <f>IF(AH$3="","",IF(COUNTIFS(BD!$A$3:$A$5001,AH$3,BD!$B$3:$B$5001,$A$66,BD!$G$3:$G$5001,"&lt;&gt;")=0,"",SUMIFS(BD!$G$3:$G$5001,BD!$A$3:$A$5001,AH$3,BD!$B$3:$B$5001,$A$66)))</f>
        <v/>
      </c>
      <c r="AI68" s="205" t="str">
        <f>IF(AI$3="","",IF(COUNTIFS(BD!$A$3:$A$5001,AI$3,BD!$B$3:$B$5001,$A$66,BD!$G$3:$G$5001,"&lt;&gt;")=0,"",SUMIFS(BD!$G$3:$G$5001,BD!$A$3:$A$5001,AI$3,BD!$B$3:$B$5001,$A$66)))</f>
        <v/>
      </c>
      <c r="AJ68" s="206" t="str">
        <f>IF(AJ$3="","",IF(COUNTIFS(BD!$A$3:$A$5001,AJ$3,BD!$B$3:$B$5001,$A$66,BD!$G$3:$G$5001,"&lt;&gt;")=0,"",SUMIFS(BD!$G$3:$G$5001,BD!$A$3:$A$5001,AJ$3,BD!$B$3:$B$5001,$A$66)))</f>
        <v/>
      </c>
      <c r="AK68" s="207" t="str">
        <f>IF(COUNT(F68:AJ68)=0,"",SUM(F68:AJ68))</f>
        <v/>
      </c>
    </row>
    <row r="69" ht="15.75" customHeight="1">
      <c r="A69" s="244"/>
      <c r="B69" s="239"/>
      <c r="C69" s="201" t="inlineStr">
        <is>
          <t xml:space="preserve">Itens Recebidos CX Mista</t>
        </is>
      </c>
      <c r="D69" s="202" t="str">
        <f>IFERROR(1/(1/INDEX(BD!$AJ$29:$BD$29,MATCH($A$66,BD!$AJ$22:$BD$22,0))),"")</f>
        <v/>
      </c>
      <c r="E69" s="203"/>
      <c r="F69" s="204" t="str">
        <f>IF(F$3="","",IF(COUNTIFS(BD!$A$3:$A$5001,F$3,BD!$B$3:$B$5001,$A$66,BD!$I$3:$I$5001,"&lt;&gt;")=0,"",SUMIFS(BD!$I$3:$I$5001,BD!$A$3:$A$5001,F$3,BD!$B$3:$B$5001,$A$66)))</f>
        <v/>
      </c>
      <c r="G69" s="205" t="str">
        <f>IF(G$3="","",IF(COUNTIFS(BD!$A$3:$A$5001,G$3,BD!$B$3:$B$5001,$A$66,BD!$I$3:$I$5001,"&lt;&gt;")=0,"",SUMIFS(BD!$I$3:$I$5001,BD!$A$3:$A$5001,G$3,BD!$B$3:$B$5001,$A$66)))</f>
        <v/>
      </c>
      <c r="H69" s="205" t="str">
        <f>IF(H$3="","",IF(COUNTIFS(BD!$A$3:$A$5001,H$3,BD!$B$3:$B$5001,$A$66,BD!$I$3:$I$5001,"&lt;&gt;")=0,"",SUMIFS(BD!$I$3:$I$5001,BD!$A$3:$A$5001,H$3,BD!$B$3:$B$5001,$A$66)))</f>
        <v/>
      </c>
      <c r="I69" s="205" t="str">
        <f>IF(I$3="","",IF(COUNTIFS(BD!$A$3:$A$5001,I$3,BD!$B$3:$B$5001,$A$66,BD!$I$3:$I$5001,"&lt;&gt;")=0,"",SUMIFS(BD!$I$3:$I$5001,BD!$A$3:$A$5001,I$3,BD!$B$3:$B$5001,$A$66)))</f>
        <v/>
      </c>
      <c r="J69" s="205" t="str">
        <f>IF(J$3="","",IF(COUNTIFS(BD!$A$3:$A$5001,J$3,BD!$B$3:$B$5001,$A$66,BD!$I$3:$I$5001,"&lt;&gt;")=0,"",SUMIFS(BD!$I$3:$I$5001,BD!$A$3:$A$5001,J$3,BD!$B$3:$B$5001,$A$66)))</f>
        <v/>
      </c>
      <c r="K69" s="205" t="str">
        <f>IF(K$3="","",IF(COUNTIFS(BD!$A$3:$A$5001,K$3,BD!$B$3:$B$5001,$A$66,BD!$I$3:$I$5001,"&lt;&gt;")=0,"",SUMIFS(BD!$I$3:$I$5001,BD!$A$3:$A$5001,K$3,BD!$B$3:$B$5001,$A$66)))</f>
        <v/>
      </c>
      <c r="L69" s="205" t="str">
        <f>IF(L$3="","",IF(COUNTIFS(BD!$A$3:$A$5001,L$3,BD!$B$3:$B$5001,$A$66,BD!$I$3:$I$5001,"&lt;&gt;")=0,"",SUMIFS(BD!$I$3:$I$5001,BD!$A$3:$A$5001,L$3,BD!$B$3:$B$5001,$A$66)))</f>
        <v/>
      </c>
      <c r="M69" s="205" t="str">
        <f>IF(M$3="","",IF(COUNTIFS(BD!$A$3:$A$5001,M$3,BD!$B$3:$B$5001,$A$66,BD!$I$3:$I$5001,"&lt;&gt;")=0,"",SUMIFS(BD!$I$3:$I$5001,BD!$A$3:$A$5001,M$3,BD!$B$3:$B$5001,$A$66)))</f>
        <v/>
      </c>
      <c r="N69" s="205" t="str">
        <f>IF(N$3="","",IF(COUNTIFS(BD!$A$3:$A$5001,N$3,BD!$B$3:$B$5001,$A$66,BD!$I$3:$I$5001,"&lt;&gt;")=0,"",SUMIFS(BD!$I$3:$I$5001,BD!$A$3:$A$5001,N$3,BD!$B$3:$B$5001,$A$66)))</f>
        <v/>
      </c>
      <c r="O69" s="205" t="str">
        <f>IF(O$3="","",IF(COUNTIFS(BD!$A$3:$A$5001,O$3,BD!$B$3:$B$5001,$A$66,BD!$I$3:$I$5001,"&lt;&gt;")=0,"",SUMIFS(BD!$I$3:$I$5001,BD!$A$3:$A$5001,O$3,BD!$B$3:$B$5001,$A$66)))</f>
        <v/>
      </c>
      <c r="P69" s="205" t="str">
        <f>IF(P$3="","",IF(COUNTIFS(BD!$A$3:$A$5001,P$3,BD!$B$3:$B$5001,$A$66,BD!$I$3:$I$5001,"&lt;&gt;")=0,"",SUMIFS(BD!$I$3:$I$5001,BD!$A$3:$A$5001,P$3,BD!$B$3:$B$5001,$A$66)))</f>
        <v/>
      </c>
      <c r="Q69" s="205" t="str">
        <f>IF(Q$3="","",IF(COUNTIFS(BD!$A$3:$A$5001,Q$3,BD!$B$3:$B$5001,$A$66,BD!$I$3:$I$5001,"&lt;&gt;")=0,"",SUMIFS(BD!$I$3:$I$5001,BD!$A$3:$A$5001,Q$3,BD!$B$3:$B$5001,$A$66)))</f>
        <v/>
      </c>
      <c r="R69" s="205" t="str">
        <f>IF(R$3="","",IF(COUNTIFS(BD!$A$3:$A$5001,R$3,BD!$B$3:$B$5001,$A$66,BD!$I$3:$I$5001,"&lt;&gt;")=0,"",SUMIFS(BD!$I$3:$I$5001,BD!$A$3:$A$5001,R$3,BD!$B$3:$B$5001,$A$66)))</f>
        <v/>
      </c>
      <c r="S69" s="205" t="str">
        <f>IF(S$3="","",IF(COUNTIFS(BD!$A$3:$A$5001,S$3,BD!$B$3:$B$5001,$A$66,BD!$I$3:$I$5001,"&lt;&gt;")=0,"",SUMIFS(BD!$I$3:$I$5001,BD!$A$3:$A$5001,S$3,BD!$B$3:$B$5001,$A$66)))</f>
        <v/>
      </c>
      <c r="T69" s="205" t="str">
        <f>IF(T$3="","",IF(COUNTIFS(BD!$A$3:$A$5001,T$3,BD!$B$3:$B$5001,$A$66,BD!$I$3:$I$5001,"&lt;&gt;")=0,"",SUMIFS(BD!$I$3:$I$5001,BD!$A$3:$A$5001,T$3,BD!$B$3:$B$5001,$A$66)))</f>
        <v/>
      </c>
      <c r="U69" s="205" t="str">
        <f>IF(U$3="","",IF(COUNTIFS(BD!$A$3:$A$5001,U$3,BD!$B$3:$B$5001,$A$66,BD!$I$3:$I$5001,"&lt;&gt;")=0,"",SUMIFS(BD!$I$3:$I$5001,BD!$A$3:$A$5001,U$3,BD!$B$3:$B$5001,$A$66)))</f>
        <v/>
      </c>
      <c r="V69" s="205" t="str">
        <f>IF(V$3="","",IF(COUNTIFS(BD!$A$3:$A$5001,V$3,BD!$B$3:$B$5001,$A$66,BD!$I$3:$I$5001,"&lt;&gt;")=0,"",SUMIFS(BD!$I$3:$I$5001,BD!$A$3:$A$5001,V$3,BD!$B$3:$B$5001,$A$66)))</f>
        <v/>
      </c>
      <c r="W69" s="205" t="str">
        <f>IF(W$3="","",IF(COUNTIFS(BD!$A$3:$A$5001,W$3,BD!$B$3:$B$5001,$A$66,BD!$I$3:$I$5001,"&lt;&gt;")=0,"",SUMIFS(BD!$I$3:$I$5001,BD!$A$3:$A$5001,W$3,BD!$B$3:$B$5001,$A$66)))</f>
        <v/>
      </c>
      <c r="X69" s="205" t="str">
        <f>IF(X$3="","",IF(COUNTIFS(BD!$A$3:$A$5001,X$3,BD!$B$3:$B$5001,$A$66,BD!$I$3:$I$5001,"&lt;&gt;")=0,"",SUMIFS(BD!$I$3:$I$5001,BD!$A$3:$A$5001,X$3,BD!$B$3:$B$5001,$A$66)))</f>
        <v/>
      </c>
      <c r="Y69" s="205" t="str">
        <f>IF(Y$3="","",IF(COUNTIFS(BD!$A$3:$A$5001,Y$3,BD!$B$3:$B$5001,$A$66,BD!$I$3:$I$5001,"&lt;&gt;")=0,"",SUMIFS(BD!$I$3:$I$5001,BD!$A$3:$A$5001,Y$3,BD!$B$3:$B$5001,$A$66)))</f>
        <v/>
      </c>
      <c r="Z69" s="205" t="str">
        <f>IF(Z$3="","",IF(COUNTIFS(BD!$A$3:$A$5001,Z$3,BD!$B$3:$B$5001,$A$66,BD!$I$3:$I$5001,"&lt;&gt;")=0,"",SUMIFS(BD!$I$3:$I$5001,BD!$A$3:$A$5001,Z$3,BD!$B$3:$B$5001,$A$66)))</f>
        <v/>
      </c>
      <c r="AA69" s="205" t="str">
        <f>IF(AA$3="","",IF(COUNTIFS(BD!$A$3:$A$5001,AA$3,BD!$B$3:$B$5001,$A$66,BD!$I$3:$I$5001,"&lt;&gt;")=0,"",SUMIFS(BD!$I$3:$I$5001,BD!$A$3:$A$5001,AA$3,BD!$B$3:$B$5001,$A$66)))</f>
        <v/>
      </c>
      <c r="AB69" s="205" t="str">
        <f>IF(AB$3="","",IF(COUNTIFS(BD!$A$3:$A$5001,AB$3,BD!$B$3:$B$5001,$A$66,BD!$I$3:$I$5001,"&lt;&gt;")=0,"",SUMIFS(BD!$I$3:$I$5001,BD!$A$3:$A$5001,AB$3,BD!$B$3:$B$5001,$A$66)))</f>
        <v/>
      </c>
      <c r="AC69" s="205" t="str">
        <f>IF(AC$3="","",IF(COUNTIFS(BD!$A$3:$A$5001,AC$3,BD!$B$3:$B$5001,$A$66,BD!$I$3:$I$5001,"&lt;&gt;")=0,"",SUMIFS(BD!$I$3:$I$5001,BD!$A$3:$A$5001,AC$3,BD!$B$3:$B$5001,$A$66)))</f>
        <v/>
      </c>
      <c r="AD69" s="205" t="str">
        <f>IF(AD$3="","",IF(COUNTIFS(BD!$A$3:$A$5001,AD$3,BD!$B$3:$B$5001,$A$66,BD!$I$3:$I$5001,"&lt;&gt;")=0,"",SUMIFS(BD!$I$3:$I$5001,BD!$A$3:$A$5001,AD$3,BD!$B$3:$B$5001,$A$66)))</f>
        <v/>
      </c>
      <c r="AE69" s="205" t="str">
        <f>IF(AE$3="","",IF(COUNTIFS(BD!$A$3:$A$5001,AE$3,BD!$B$3:$B$5001,$A$66,BD!$I$3:$I$5001,"&lt;&gt;")=0,"",SUMIFS(BD!$I$3:$I$5001,BD!$A$3:$A$5001,AE$3,BD!$B$3:$B$5001,$A$66)))</f>
        <v/>
      </c>
      <c r="AF69" s="205" t="str">
        <f>IF(AF$3="","",IF(COUNTIFS(BD!$A$3:$A$5001,AF$3,BD!$B$3:$B$5001,$A$66,BD!$I$3:$I$5001,"&lt;&gt;")=0,"",SUMIFS(BD!$I$3:$I$5001,BD!$A$3:$A$5001,AF$3,BD!$B$3:$B$5001,$A$66)))</f>
        <v/>
      </c>
      <c r="AG69" s="205" t="str">
        <f>IF(AG$3="","",IF(COUNTIFS(BD!$A$3:$A$5001,AG$3,BD!$B$3:$B$5001,$A$66,BD!$I$3:$I$5001,"&lt;&gt;")=0,"",SUMIFS(BD!$I$3:$I$5001,BD!$A$3:$A$5001,AG$3,BD!$B$3:$B$5001,$A$66)))</f>
        <v/>
      </c>
      <c r="AH69" s="205" t="str">
        <f>IF(AH$3="","",IF(COUNTIFS(BD!$A$3:$A$5001,AH$3,BD!$B$3:$B$5001,$A$66,BD!$I$3:$I$5001,"&lt;&gt;")=0,"",SUMIFS(BD!$I$3:$I$5001,BD!$A$3:$A$5001,AH$3,BD!$B$3:$B$5001,$A$66)))</f>
        <v/>
      </c>
      <c r="AI69" s="205" t="str">
        <f>IF(AI$3="","",IF(COUNTIFS(BD!$A$3:$A$5001,AI$3,BD!$B$3:$B$5001,$A$66,BD!$I$3:$I$5001,"&lt;&gt;")=0,"",SUMIFS(BD!$I$3:$I$5001,BD!$A$3:$A$5001,AI$3,BD!$B$3:$B$5001,$A$66)))</f>
        <v/>
      </c>
      <c r="AJ69" s="206" t="str">
        <f>IF(AJ$3="","",IF(COUNTIFS(BD!$A$3:$A$5001,AJ$3,BD!$B$3:$B$5001,$A$66,BD!$I$3:$I$5001,"&lt;&gt;")=0,"",SUMIFS(BD!$I$3:$I$5001,BD!$A$3:$A$5001,AJ$3,BD!$B$3:$B$5001,$A$66)))</f>
        <v/>
      </c>
      <c r="AK69" s="207" t="str">
        <f>IF(COUNT(F69:AJ69)=0,"",SUM(F69:AJ69))</f>
        <v/>
      </c>
    </row>
    <row r="70" ht="15.75" customHeight="1">
      <c r="A70" s="244"/>
      <c r="B70" s="239"/>
      <c r="C70" s="201" t="inlineStr">
        <is>
          <t xml:space="preserve">Caixas Mistas Recebidas</t>
        </is>
      </c>
      <c r="D70" s="202" t="str">
        <f>IFERROR(1/(1/INDEX(BD!$AJ$31:$BD$31,MATCH($A$66,BD!$AJ$22:$BD$22,0))),"")</f>
        <v/>
      </c>
      <c r="E70" s="203"/>
      <c r="F70" s="204" t="str">
        <f>IF(F$3="","",IF(COUNTIFS(BD!$A$3:$A$5001,F$3,BD!$B$3:$B$5001,$A$66,BD!$K$3:$K$5001,"&lt;&gt;")=0,"",SUMIFS(BD!$K$3:$K$5001,BD!$A$3:$A$5001,F$3,BD!$B$3:$B$5001,$A$66)))</f>
        <v/>
      </c>
      <c r="G70" s="205" t="str">
        <f>IF(G$3="","",IF(COUNTIFS(BD!$A$3:$A$5001,G$3,BD!$B$3:$B$5001,$A$66,BD!$K$3:$K$5001,"&lt;&gt;")=0,"",SUMIFS(BD!$K$3:$K$5001,BD!$A$3:$A$5001,G$3,BD!$B$3:$B$5001,$A$66)))</f>
        <v/>
      </c>
      <c r="H70" s="205" t="str">
        <f>IF(H$3="","",IF(COUNTIFS(BD!$A$3:$A$5001,H$3,BD!$B$3:$B$5001,$A$66,BD!$K$3:$K$5001,"&lt;&gt;")=0,"",SUMIFS(BD!$K$3:$K$5001,BD!$A$3:$A$5001,H$3,BD!$B$3:$B$5001,$A$66)))</f>
        <v/>
      </c>
      <c r="I70" s="205" t="str">
        <f>IF(I$3="","",IF(COUNTIFS(BD!$A$3:$A$5001,I$3,BD!$B$3:$B$5001,$A$66,BD!$K$3:$K$5001,"&lt;&gt;")=0,"",SUMIFS(BD!$K$3:$K$5001,BD!$A$3:$A$5001,I$3,BD!$B$3:$B$5001,$A$66)))</f>
        <v/>
      </c>
      <c r="J70" s="205" t="str">
        <f>IF(J$3="","",IF(COUNTIFS(BD!$A$3:$A$5001,J$3,BD!$B$3:$B$5001,$A$66,BD!$K$3:$K$5001,"&lt;&gt;")=0,"",SUMIFS(BD!$K$3:$K$5001,BD!$A$3:$A$5001,J$3,BD!$B$3:$B$5001,$A$66)))</f>
        <v/>
      </c>
      <c r="K70" s="205" t="str">
        <f>IF(K$3="","",IF(COUNTIFS(BD!$A$3:$A$5001,K$3,BD!$B$3:$B$5001,$A$66,BD!$K$3:$K$5001,"&lt;&gt;")=0,"",SUMIFS(BD!$K$3:$K$5001,BD!$A$3:$A$5001,K$3,BD!$B$3:$B$5001,$A$66)))</f>
        <v/>
      </c>
      <c r="L70" s="205" t="str">
        <f>IF(L$3="","",IF(COUNTIFS(BD!$A$3:$A$5001,L$3,BD!$B$3:$B$5001,$A$66,BD!$K$3:$K$5001,"&lt;&gt;")=0,"",SUMIFS(BD!$K$3:$K$5001,BD!$A$3:$A$5001,L$3,BD!$B$3:$B$5001,$A$66)))</f>
        <v/>
      </c>
      <c r="M70" s="205" t="str">
        <f>IF(M$3="","",IF(COUNTIFS(BD!$A$3:$A$5001,M$3,BD!$B$3:$B$5001,$A$66,BD!$K$3:$K$5001,"&lt;&gt;")=0,"",SUMIFS(BD!$K$3:$K$5001,BD!$A$3:$A$5001,M$3,BD!$B$3:$B$5001,$A$66)))</f>
        <v/>
      </c>
      <c r="N70" s="205" t="str">
        <f>IF(N$3="","",IF(COUNTIFS(BD!$A$3:$A$5001,N$3,BD!$B$3:$B$5001,$A$66,BD!$K$3:$K$5001,"&lt;&gt;")=0,"",SUMIFS(BD!$K$3:$K$5001,BD!$A$3:$A$5001,N$3,BD!$B$3:$B$5001,$A$66)))</f>
        <v/>
      </c>
      <c r="O70" s="205" t="str">
        <f>IF(O$3="","",IF(COUNTIFS(BD!$A$3:$A$5001,O$3,BD!$B$3:$B$5001,$A$66,BD!$K$3:$K$5001,"&lt;&gt;")=0,"",SUMIFS(BD!$K$3:$K$5001,BD!$A$3:$A$5001,O$3,BD!$B$3:$B$5001,$A$66)))</f>
        <v/>
      </c>
      <c r="P70" s="205" t="str">
        <f>IF(P$3="","",IF(COUNTIFS(BD!$A$3:$A$5001,P$3,BD!$B$3:$B$5001,$A$66,BD!$K$3:$K$5001,"&lt;&gt;")=0,"",SUMIFS(BD!$K$3:$K$5001,BD!$A$3:$A$5001,P$3,BD!$B$3:$B$5001,$A$66)))</f>
        <v/>
      </c>
      <c r="Q70" s="205" t="str">
        <f>IF(Q$3="","",IF(COUNTIFS(BD!$A$3:$A$5001,Q$3,BD!$B$3:$B$5001,$A$66,BD!$K$3:$K$5001,"&lt;&gt;")=0,"",SUMIFS(BD!$K$3:$K$5001,BD!$A$3:$A$5001,Q$3,BD!$B$3:$B$5001,$A$66)))</f>
        <v/>
      </c>
      <c r="R70" s="205" t="str">
        <f>IF(R$3="","",IF(COUNTIFS(BD!$A$3:$A$5001,R$3,BD!$B$3:$B$5001,$A$66,BD!$K$3:$K$5001,"&lt;&gt;")=0,"",SUMIFS(BD!$K$3:$K$5001,BD!$A$3:$A$5001,R$3,BD!$B$3:$B$5001,$A$66)))</f>
        <v/>
      </c>
      <c r="S70" s="205" t="str">
        <f>IF(S$3="","",IF(COUNTIFS(BD!$A$3:$A$5001,S$3,BD!$B$3:$B$5001,$A$66,BD!$K$3:$K$5001,"&lt;&gt;")=0,"",SUMIFS(BD!$K$3:$K$5001,BD!$A$3:$A$5001,S$3,BD!$B$3:$B$5001,$A$66)))</f>
        <v/>
      </c>
      <c r="T70" s="205" t="str">
        <f>IF(T$3="","",IF(COUNTIFS(BD!$A$3:$A$5001,T$3,BD!$B$3:$B$5001,$A$66,BD!$K$3:$K$5001,"&lt;&gt;")=0,"",SUMIFS(BD!$K$3:$K$5001,BD!$A$3:$A$5001,T$3,BD!$B$3:$B$5001,$A$66)))</f>
        <v/>
      </c>
      <c r="U70" s="205" t="str">
        <f>IF(U$3="","",IF(COUNTIFS(BD!$A$3:$A$5001,U$3,BD!$B$3:$B$5001,$A$66,BD!$K$3:$K$5001,"&lt;&gt;")=0,"",SUMIFS(BD!$K$3:$K$5001,BD!$A$3:$A$5001,U$3,BD!$B$3:$B$5001,$A$66)))</f>
        <v/>
      </c>
      <c r="V70" s="205" t="str">
        <f>IF(V$3="","",IF(COUNTIFS(BD!$A$3:$A$5001,V$3,BD!$B$3:$B$5001,$A$66,BD!$K$3:$K$5001,"&lt;&gt;")=0,"",SUMIFS(BD!$K$3:$K$5001,BD!$A$3:$A$5001,V$3,BD!$B$3:$B$5001,$A$66)))</f>
        <v/>
      </c>
      <c r="W70" s="205" t="str">
        <f>IF(W$3="","",IF(COUNTIFS(BD!$A$3:$A$5001,W$3,BD!$B$3:$B$5001,$A$66,BD!$K$3:$K$5001,"&lt;&gt;")=0,"",SUMIFS(BD!$K$3:$K$5001,BD!$A$3:$A$5001,W$3,BD!$B$3:$B$5001,$A$66)))</f>
        <v/>
      </c>
      <c r="X70" s="205" t="str">
        <f>IF(X$3="","",IF(COUNTIFS(BD!$A$3:$A$5001,X$3,BD!$B$3:$B$5001,$A$66,BD!$K$3:$K$5001,"&lt;&gt;")=0,"",SUMIFS(BD!$K$3:$K$5001,BD!$A$3:$A$5001,X$3,BD!$B$3:$B$5001,$A$66)))</f>
        <v/>
      </c>
      <c r="Y70" s="205" t="str">
        <f>IF(Y$3="","",IF(COUNTIFS(BD!$A$3:$A$5001,Y$3,BD!$B$3:$B$5001,$A$66,BD!$K$3:$K$5001,"&lt;&gt;")=0,"",SUMIFS(BD!$K$3:$K$5001,BD!$A$3:$A$5001,Y$3,BD!$B$3:$B$5001,$A$66)))</f>
        <v/>
      </c>
      <c r="Z70" s="205" t="str">
        <f>IF(Z$3="","",IF(COUNTIFS(BD!$A$3:$A$5001,Z$3,BD!$B$3:$B$5001,$A$66,BD!$K$3:$K$5001,"&lt;&gt;")=0,"",SUMIFS(BD!$K$3:$K$5001,BD!$A$3:$A$5001,Z$3,BD!$B$3:$B$5001,$A$66)))</f>
        <v/>
      </c>
      <c r="AA70" s="205" t="str">
        <f>IF(AA$3="","",IF(COUNTIFS(BD!$A$3:$A$5001,AA$3,BD!$B$3:$B$5001,$A$66,BD!$K$3:$K$5001,"&lt;&gt;")=0,"",SUMIFS(BD!$K$3:$K$5001,BD!$A$3:$A$5001,AA$3,BD!$B$3:$B$5001,$A$66)))</f>
        <v/>
      </c>
      <c r="AB70" s="205" t="str">
        <f>IF(AB$3="","",IF(COUNTIFS(BD!$A$3:$A$5001,AB$3,BD!$B$3:$B$5001,$A$66,BD!$K$3:$K$5001,"&lt;&gt;")=0,"",SUMIFS(BD!$K$3:$K$5001,BD!$A$3:$A$5001,AB$3,BD!$B$3:$B$5001,$A$66)))</f>
        <v/>
      </c>
      <c r="AC70" s="205" t="str">
        <f>IF(AC$3="","",IF(COUNTIFS(BD!$A$3:$A$5001,AC$3,BD!$B$3:$B$5001,$A$66,BD!$K$3:$K$5001,"&lt;&gt;")=0,"",SUMIFS(BD!$K$3:$K$5001,BD!$A$3:$A$5001,AC$3,BD!$B$3:$B$5001,$A$66)))</f>
        <v/>
      </c>
      <c r="AD70" s="205" t="str">
        <f>IF(AD$3="","",IF(COUNTIFS(BD!$A$3:$A$5001,AD$3,BD!$B$3:$B$5001,$A$66,BD!$K$3:$K$5001,"&lt;&gt;")=0,"",SUMIFS(BD!$K$3:$K$5001,BD!$A$3:$A$5001,AD$3,BD!$B$3:$B$5001,$A$66)))</f>
        <v/>
      </c>
      <c r="AE70" s="205" t="str">
        <f>IF(AE$3="","",IF(COUNTIFS(BD!$A$3:$A$5001,AE$3,BD!$B$3:$B$5001,$A$66,BD!$K$3:$K$5001,"&lt;&gt;")=0,"",SUMIFS(BD!$K$3:$K$5001,BD!$A$3:$A$5001,AE$3,BD!$B$3:$B$5001,$A$66)))</f>
        <v/>
      </c>
      <c r="AF70" s="205" t="str">
        <f>IF(AF$3="","",IF(COUNTIFS(BD!$A$3:$A$5001,AF$3,BD!$B$3:$B$5001,$A$66,BD!$K$3:$K$5001,"&lt;&gt;")=0,"",SUMIFS(BD!$K$3:$K$5001,BD!$A$3:$A$5001,AF$3,BD!$B$3:$B$5001,$A$66)))</f>
        <v/>
      </c>
      <c r="AG70" s="205" t="str">
        <f>IF(AG$3="","",IF(COUNTIFS(BD!$A$3:$A$5001,AG$3,BD!$B$3:$B$5001,$A$66,BD!$K$3:$K$5001,"&lt;&gt;")=0,"",SUMIFS(BD!$K$3:$K$5001,BD!$A$3:$A$5001,AG$3,BD!$B$3:$B$5001,$A$66)))</f>
        <v/>
      </c>
      <c r="AH70" s="205" t="str">
        <f>IF(AH$3="","",IF(COUNTIFS(BD!$A$3:$A$5001,AH$3,BD!$B$3:$B$5001,$A$66,BD!$K$3:$K$5001,"&lt;&gt;")=0,"",SUMIFS(BD!$K$3:$K$5001,BD!$A$3:$A$5001,AH$3,BD!$B$3:$B$5001,$A$66)))</f>
        <v/>
      </c>
      <c r="AI70" s="205" t="str">
        <f>IF(AI$3="","",IF(COUNTIFS(BD!$A$3:$A$5001,AI$3,BD!$B$3:$B$5001,$A$66,BD!$K$3:$K$5001,"&lt;&gt;")=0,"",SUMIFS(BD!$K$3:$K$5001,BD!$A$3:$A$5001,AI$3,BD!$B$3:$B$5001,$A$66)))</f>
        <v/>
      </c>
      <c r="AJ70" s="206" t="str">
        <f>IF(AJ$3="","",IF(COUNTIFS(BD!$A$3:$A$5001,AJ$3,BD!$B$3:$B$5001,$A$66,BD!$K$3:$K$5001,"&lt;&gt;")=0,"",SUMIFS(BD!$K$3:$K$5001,BD!$A$3:$A$5001,AJ$3,BD!$B$3:$B$5001,$A$66)))</f>
        <v/>
      </c>
      <c r="AK70" s="207" t="str">
        <f>IF(COUNT(F70:AJ70)=0,"",SUM(F70:AJ70))</f>
        <v/>
      </c>
    </row>
    <row r="71" ht="15.75" customHeight="1">
      <c r="A71" s="244"/>
      <c r="B71" s="233"/>
      <c r="C71" s="162" t="inlineStr">
        <is>
          <t xml:space="preserve">Caixas Fechadas</t>
        </is>
      </c>
      <c r="D71" s="163" t="str">
        <f>IFERROR(1/(1/INDEX(BD!$AJ$30:$BD$30,MATCH($A$66,BD!$AJ$22:$BD$22,0))),"")</f>
        <v/>
      </c>
      <c r="E71" s="164"/>
      <c r="F71" s="165" t="str">
        <f>IF(F$3="","",IF(COUNTIFS(BD!$A$3:$A$5001,F$3,BD!$B$3:$B$5001,$A$66,BD!$J$3:$J$5001,"&lt;&gt;")=0,"",SUMIFS(BD!$J$3:$J$5001,BD!$A$3:$A$5001,F$3,BD!$B$3:$B$5001,$A$66)))</f>
        <v/>
      </c>
      <c r="G71" s="166" t="str">
        <f>IF(G$3="","",IF(COUNTIFS(BD!$A$3:$A$5001,G$3,BD!$B$3:$B$5001,$A$66,BD!$J$3:$J$5001,"&lt;&gt;")=0,"",SUMIFS(BD!$J$3:$J$5001,BD!$A$3:$A$5001,G$3,BD!$B$3:$B$5001,$A$66)))</f>
        <v/>
      </c>
      <c r="H71" s="166" t="str">
        <f>IF(H$3="","",IF(COUNTIFS(BD!$A$3:$A$5001,H$3,BD!$B$3:$B$5001,$A$66,BD!$J$3:$J$5001,"&lt;&gt;")=0,"",SUMIFS(BD!$J$3:$J$5001,BD!$A$3:$A$5001,H$3,BD!$B$3:$B$5001,$A$66)))</f>
        <v/>
      </c>
      <c r="I71" s="166" t="str">
        <f>IF(I$3="","",IF(COUNTIFS(BD!$A$3:$A$5001,I$3,BD!$B$3:$B$5001,$A$66,BD!$J$3:$J$5001,"&lt;&gt;")=0,"",SUMIFS(BD!$J$3:$J$5001,BD!$A$3:$A$5001,I$3,BD!$B$3:$B$5001,$A$66)))</f>
        <v/>
      </c>
      <c r="J71" s="166" t="str">
        <f>IF(J$3="","",IF(COUNTIFS(BD!$A$3:$A$5001,J$3,BD!$B$3:$B$5001,$A$66,BD!$J$3:$J$5001,"&lt;&gt;")=0,"",SUMIFS(BD!$J$3:$J$5001,BD!$A$3:$A$5001,J$3,BD!$B$3:$B$5001,$A$66)))</f>
        <v/>
      </c>
      <c r="K71" s="166" t="str">
        <f>IF(K$3="","",IF(COUNTIFS(BD!$A$3:$A$5001,K$3,BD!$B$3:$B$5001,$A$66,BD!$J$3:$J$5001,"&lt;&gt;")=0,"",SUMIFS(BD!$J$3:$J$5001,BD!$A$3:$A$5001,K$3,BD!$B$3:$B$5001,$A$66)))</f>
        <v/>
      </c>
      <c r="L71" s="166" t="str">
        <f>IF(L$3="","",IF(COUNTIFS(BD!$A$3:$A$5001,L$3,BD!$B$3:$B$5001,$A$66,BD!$J$3:$J$5001,"&lt;&gt;")=0,"",SUMIFS(BD!$J$3:$J$5001,BD!$A$3:$A$5001,L$3,BD!$B$3:$B$5001,$A$66)))</f>
        <v/>
      </c>
      <c r="M71" s="166" t="str">
        <f>IF(M$3="","",IF(COUNTIFS(BD!$A$3:$A$5001,M$3,BD!$B$3:$B$5001,$A$66,BD!$J$3:$J$5001,"&lt;&gt;")=0,"",SUMIFS(BD!$J$3:$J$5001,BD!$A$3:$A$5001,M$3,BD!$B$3:$B$5001,$A$66)))</f>
        <v/>
      </c>
      <c r="N71" s="166" t="str">
        <f>IF(N$3="","",IF(COUNTIFS(BD!$A$3:$A$5001,N$3,BD!$B$3:$B$5001,$A$66,BD!$J$3:$J$5001,"&lt;&gt;")=0,"",SUMIFS(BD!$J$3:$J$5001,BD!$A$3:$A$5001,N$3,BD!$B$3:$B$5001,$A$66)))</f>
        <v/>
      </c>
      <c r="O71" s="166" t="str">
        <f>IF(O$3="","",IF(COUNTIFS(BD!$A$3:$A$5001,O$3,BD!$B$3:$B$5001,$A$66,BD!$J$3:$J$5001,"&lt;&gt;")=0,"",SUMIFS(BD!$J$3:$J$5001,BD!$A$3:$A$5001,O$3,BD!$B$3:$B$5001,$A$66)))</f>
        <v/>
      </c>
      <c r="P71" s="166" t="str">
        <f>IF(P$3="","",IF(COUNTIFS(BD!$A$3:$A$5001,P$3,BD!$B$3:$B$5001,$A$66,BD!$J$3:$J$5001,"&lt;&gt;")=0,"",SUMIFS(BD!$J$3:$J$5001,BD!$A$3:$A$5001,P$3,BD!$B$3:$B$5001,$A$66)))</f>
        <v/>
      </c>
      <c r="Q71" s="166" t="str">
        <f>IF(Q$3="","",IF(COUNTIFS(BD!$A$3:$A$5001,Q$3,BD!$B$3:$B$5001,$A$66,BD!$J$3:$J$5001,"&lt;&gt;")=0,"",SUMIFS(BD!$J$3:$J$5001,BD!$A$3:$A$5001,Q$3,BD!$B$3:$B$5001,$A$66)))</f>
        <v/>
      </c>
      <c r="R71" s="166" t="str">
        <f>IF(R$3="","",IF(COUNTIFS(BD!$A$3:$A$5001,R$3,BD!$B$3:$B$5001,$A$66,BD!$J$3:$J$5001,"&lt;&gt;")=0,"",SUMIFS(BD!$J$3:$J$5001,BD!$A$3:$A$5001,R$3,BD!$B$3:$B$5001,$A$66)))</f>
        <v/>
      </c>
      <c r="S71" s="166" t="str">
        <f>IF(S$3="","",IF(COUNTIFS(BD!$A$3:$A$5001,S$3,BD!$B$3:$B$5001,$A$66,BD!$J$3:$J$5001,"&lt;&gt;")=0,"",SUMIFS(BD!$J$3:$J$5001,BD!$A$3:$A$5001,S$3,BD!$B$3:$B$5001,$A$66)))</f>
        <v/>
      </c>
      <c r="T71" s="166" t="str">
        <f>IF(T$3="","",IF(COUNTIFS(BD!$A$3:$A$5001,T$3,BD!$B$3:$B$5001,$A$66,BD!$J$3:$J$5001,"&lt;&gt;")=0,"",SUMIFS(BD!$J$3:$J$5001,BD!$A$3:$A$5001,T$3,BD!$B$3:$B$5001,$A$66)))</f>
        <v/>
      </c>
      <c r="U71" s="166" t="str">
        <f>IF(U$3="","",IF(COUNTIFS(BD!$A$3:$A$5001,U$3,BD!$B$3:$B$5001,$A$66,BD!$J$3:$J$5001,"&lt;&gt;")=0,"",SUMIFS(BD!$J$3:$J$5001,BD!$A$3:$A$5001,U$3,BD!$B$3:$B$5001,$A$66)))</f>
        <v/>
      </c>
      <c r="V71" s="166" t="str">
        <f>IF(V$3="","",IF(COUNTIFS(BD!$A$3:$A$5001,V$3,BD!$B$3:$B$5001,$A$66,BD!$J$3:$J$5001,"&lt;&gt;")=0,"",SUMIFS(BD!$J$3:$J$5001,BD!$A$3:$A$5001,V$3,BD!$B$3:$B$5001,$A$66)))</f>
        <v/>
      </c>
      <c r="W71" s="166" t="str">
        <f>IF(W$3="","",IF(COUNTIFS(BD!$A$3:$A$5001,W$3,BD!$B$3:$B$5001,$A$66,BD!$J$3:$J$5001,"&lt;&gt;")=0,"",SUMIFS(BD!$J$3:$J$5001,BD!$A$3:$A$5001,W$3,BD!$B$3:$B$5001,$A$66)))</f>
        <v/>
      </c>
      <c r="X71" s="166" t="str">
        <f>IF(X$3="","",IF(COUNTIFS(BD!$A$3:$A$5001,X$3,BD!$B$3:$B$5001,$A$66,BD!$J$3:$J$5001,"&lt;&gt;")=0,"",SUMIFS(BD!$J$3:$J$5001,BD!$A$3:$A$5001,X$3,BD!$B$3:$B$5001,$A$66)))</f>
        <v/>
      </c>
      <c r="Y71" s="166" t="str">
        <f>IF(Y$3="","",IF(COUNTIFS(BD!$A$3:$A$5001,Y$3,BD!$B$3:$B$5001,$A$66,BD!$J$3:$J$5001,"&lt;&gt;")=0,"",SUMIFS(BD!$J$3:$J$5001,BD!$A$3:$A$5001,Y$3,BD!$B$3:$B$5001,$A$66)))</f>
        <v/>
      </c>
      <c r="Z71" s="166" t="str">
        <f>IF(Z$3="","",IF(COUNTIFS(BD!$A$3:$A$5001,Z$3,BD!$B$3:$B$5001,$A$66,BD!$J$3:$J$5001,"&lt;&gt;")=0,"",SUMIFS(BD!$J$3:$J$5001,BD!$A$3:$A$5001,Z$3,BD!$B$3:$B$5001,$A$66)))</f>
        <v/>
      </c>
      <c r="AA71" s="166" t="str">
        <f>IF(AA$3="","",IF(COUNTIFS(BD!$A$3:$A$5001,AA$3,BD!$B$3:$B$5001,$A$66,BD!$J$3:$J$5001,"&lt;&gt;")=0,"",SUMIFS(BD!$J$3:$J$5001,BD!$A$3:$A$5001,AA$3,BD!$B$3:$B$5001,$A$66)))</f>
        <v/>
      </c>
      <c r="AB71" s="166" t="str">
        <f>IF(AB$3="","",IF(COUNTIFS(BD!$A$3:$A$5001,AB$3,BD!$B$3:$B$5001,$A$66,BD!$J$3:$J$5001,"&lt;&gt;")=0,"",SUMIFS(BD!$J$3:$J$5001,BD!$A$3:$A$5001,AB$3,BD!$B$3:$B$5001,$A$66)))</f>
        <v/>
      </c>
      <c r="AC71" s="166" t="str">
        <f>IF(AC$3="","",IF(COUNTIFS(BD!$A$3:$A$5001,AC$3,BD!$B$3:$B$5001,$A$66,BD!$J$3:$J$5001,"&lt;&gt;")=0,"",SUMIFS(BD!$J$3:$J$5001,BD!$A$3:$A$5001,AC$3,BD!$B$3:$B$5001,$A$66)))</f>
        <v/>
      </c>
      <c r="AD71" s="166" t="str">
        <f>IF(AD$3="","",IF(COUNTIFS(BD!$A$3:$A$5001,AD$3,BD!$B$3:$B$5001,$A$66,BD!$J$3:$J$5001,"&lt;&gt;")=0,"",SUMIFS(BD!$J$3:$J$5001,BD!$A$3:$A$5001,AD$3,BD!$B$3:$B$5001,$A$66)))</f>
        <v/>
      </c>
      <c r="AE71" s="166" t="str">
        <f>IF(AE$3="","",IF(COUNTIFS(BD!$A$3:$A$5001,AE$3,BD!$B$3:$B$5001,$A$66,BD!$J$3:$J$5001,"&lt;&gt;")=0,"",SUMIFS(BD!$J$3:$J$5001,BD!$A$3:$A$5001,AE$3,BD!$B$3:$B$5001,$A$66)))</f>
        <v/>
      </c>
      <c r="AF71" s="166" t="str">
        <f>IF(AF$3="","",IF(COUNTIFS(BD!$A$3:$A$5001,AF$3,BD!$B$3:$B$5001,$A$66,BD!$J$3:$J$5001,"&lt;&gt;")=0,"",SUMIFS(BD!$J$3:$J$5001,BD!$A$3:$A$5001,AF$3,BD!$B$3:$B$5001,$A$66)))</f>
        <v/>
      </c>
      <c r="AG71" s="166" t="str">
        <f>IF(AG$3="","",IF(COUNTIFS(BD!$A$3:$A$5001,AG$3,BD!$B$3:$B$5001,$A$66,BD!$J$3:$J$5001,"&lt;&gt;")=0,"",SUMIFS(BD!$J$3:$J$5001,BD!$A$3:$A$5001,AG$3,BD!$B$3:$B$5001,$A$66)))</f>
        <v/>
      </c>
      <c r="AH71" s="166" t="str">
        <f>IF(AH$3="","",IF(COUNTIFS(BD!$A$3:$A$5001,AH$3,BD!$B$3:$B$5001,$A$66,BD!$J$3:$J$5001,"&lt;&gt;")=0,"",SUMIFS(BD!$J$3:$J$5001,BD!$A$3:$A$5001,AH$3,BD!$B$3:$B$5001,$A$66)))</f>
        <v/>
      </c>
      <c r="AI71" s="166" t="str">
        <f>IF(AI$3="","",IF(COUNTIFS(BD!$A$3:$A$5001,AI$3,BD!$B$3:$B$5001,$A$66,BD!$J$3:$J$5001,"&lt;&gt;")=0,"",SUMIFS(BD!$J$3:$J$5001,BD!$A$3:$A$5001,AI$3,BD!$B$3:$B$5001,$A$66)))</f>
        <v/>
      </c>
      <c r="AJ71" s="167" t="str">
        <f>IF(AJ$3="","",IF(COUNTIFS(BD!$A$3:$A$5001,AJ$3,BD!$B$3:$B$5001,$A$66,BD!$J$3:$J$5001,"&lt;&gt;")=0,"",SUMIFS(BD!$J$3:$J$5001,BD!$A$3:$A$5001,AJ$3,BD!$B$3:$B$5001,$A$66)))</f>
        <v/>
      </c>
      <c r="AK71" s="163" t="str">
        <f>IF(COUNT(F71:AJ71)=0,"",SUM(F71:AJ71))</f>
        <v/>
      </c>
    </row>
    <row r="72" ht="15.75" customHeight="1">
      <c r="A72" s="244"/>
      <c r="B72" s="234" t="inlineStr">
        <is>
          <t xml:space="preserve">OUT</t>
        </is>
      </c>
      <c r="C72" s="168" t="inlineStr">
        <is>
          <t xml:space="preserve">Veículos Expedidos</t>
        </is>
      </c>
      <c r="D72" s="169" t="str">
        <f>IFERROR(1/(1/INDEX(BD!$AJ$32:$BD$32,MATCH($A$66,BD!$AJ$22:$BD$22,0))),"")</f>
        <v/>
      </c>
      <c r="E72" s="170"/>
      <c r="F72" s="171" t="str">
        <f>IF(F$3="","",IF(COUNTIFS(BD!$A$3:$A$5001,F$3,BD!$B$3:$B$5001,$A$66,BD!$L$3:$L$5001,"&lt;&gt;")=0,"",SUMIFS(BD!$L$3:$L$5001,BD!$A$3:$A$5001,F$3,BD!$B$3:$B$5001,$A$66)))</f>
        <v/>
      </c>
      <c r="G72" s="172" t="str">
        <f>IF(G$3="","",IF(COUNTIFS(BD!$A$3:$A$5001,G$3,BD!$B$3:$B$5001,$A$66,BD!$L$3:$L$5001,"&lt;&gt;")=0,"",SUMIFS(BD!$L$3:$L$5001,BD!$A$3:$A$5001,G$3,BD!$B$3:$B$5001,$A$66)))</f>
        <v/>
      </c>
      <c r="H72" s="172" t="str">
        <f>IF(H$3="","",IF(COUNTIFS(BD!$A$3:$A$5001,H$3,BD!$B$3:$B$5001,$A$66,BD!$L$3:$L$5001,"&lt;&gt;")=0,"",SUMIFS(BD!$L$3:$L$5001,BD!$A$3:$A$5001,H$3,BD!$B$3:$B$5001,$A$66)))</f>
        <v/>
      </c>
      <c r="I72" s="172" t="str">
        <f>IF(I$3="","",IF(COUNTIFS(BD!$A$3:$A$5001,I$3,BD!$B$3:$B$5001,$A$66,BD!$L$3:$L$5001,"&lt;&gt;")=0,"",SUMIFS(BD!$L$3:$L$5001,BD!$A$3:$A$5001,I$3,BD!$B$3:$B$5001,$A$66)))</f>
        <v/>
      </c>
      <c r="J72" s="172" t="str">
        <f>IF(J$3="","",IF(COUNTIFS(BD!$A$3:$A$5001,J$3,BD!$B$3:$B$5001,$A$66,BD!$L$3:$L$5001,"&lt;&gt;")=0,"",SUMIFS(BD!$L$3:$L$5001,BD!$A$3:$A$5001,J$3,BD!$B$3:$B$5001,$A$66)))</f>
        <v/>
      </c>
      <c r="K72" s="172" t="str">
        <f>IF(K$3="","",IF(COUNTIFS(BD!$A$3:$A$5001,K$3,BD!$B$3:$B$5001,$A$66,BD!$L$3:$L$5001,"&lt;&gt;")=0,"",SUMIFS(BD!$L$3:$L$5001,BD!$A$3:$A$5001,K$3,BD!$B$3:$B$5001,$A$66)))</f>
        <v/>
      </c>
      <c r="L72" s="172" t="str">
        <f>IF(L$3="","",IF(COUNTIFS(BD!$A$3:$A$5001,L$3,BD!$B$3:$B$5001,$A$66,BD!$L$3:$L$5001,"&lt;&gt;")=0,"",SUMIFS(BD!$L$3:$L$5001,BD!$A$3:$A$5001,L$3,BD!$B$3:$B$5001,$A$66)))</f>
        <v/>
      </c>
      <c r="M72" s="172" t="str">
        <f>IF(M$3="","",IF(COUNTIFS(BD!$A$3:$A$5001,M$3,BD!$B$3:$B$5001,$A$66,BD!$L$3:$L$5001,"&lt;&gt;")=0,"",SUMIFS(BD!$L$3:$L$5001,BD!$A$3:$A$5001,M$3,BD!$B$3:$B$5001,$A$66)))</f>
        <v/>
      </c>
      <c r="N72" s="172" t="str">
        <f>IF(N$3="","",IF(COUNTIFS(BD!$A$3:$A$5001,N$3,BD!$B$3:$B$5001,$A$66,BD!$L$3:$L$5001,"&lt;&gt;")=0,"",SUMIFS(BD!$L$3:$L$5001,BD!$A$3:$A$5001,N$3,BD!$B$3:$B$5001,$A$66)))</f>
        <v/>
      </c>
      <c r="O72" s="172" t="str">
        <f>IF(O$3="","",IF(COUNTIFS(BD!$A$3:$A$5001,O$3,BD!$B$3:$B$5001,$A$66,BD!$L$3:$L$5001,"&lt;&gt;")=0,"",SUMIFS(BD!$L$3:$L$5001,BD!$A$3:$A$5001,O$3,BD!$B$3:$B$5001,$A$66)))</f>
        <v/>
      </c>
      <c r="P72" s="172" t="str">
        <f>IF(P$3="","",IF(COUNTIFS(BD!$A$3:$A$5001,P$3,BD!$B$3:$B$5001,$A$66,BD!$L$3:$L$5001,"&lt;&gt;")=0,"",SUMIFS(BD!$L$3:$L$5001,BD!$A$3:$A$5001,P$3,BD!$B$3:$B$5001,$A$66)))</f>
        <v/>
      </c>
      <c r="Q72" s="172" t="str">
        <f>IF(Q$3="","",IF(COUNTIFS(BD!$A$3:$A$5001,Q$3,BD!$B$3:$B$5001,$A$66,BD!$L$3:$L$5001,"&lt;&gt;")=0,"",SUMIFS(BD!$L$3:$L$5001,BD!$A$3:$A$5001,Q$3,BD!$B$3:$B$5001,$A$66)))</f>
        <v/>
      </c>
      <c r="R72" s="172" t="str">
        <f>IF(R$3="","",IF(COUNTIFS(BD!$A$3:$A$5001,R$3,BD!$B$3:$B$5001,$A$66,BD!$L$3:$L$5001,"&lt;&gt;")=0,"",SUMIFS(BD!$L$3:$L$5001,BD!$A$3:$A$5001,R$3,BD!$B$3:$B$5001,$A$66)))</f>
        <v/>
      </c>
      <c r="S72" s="172" t="str">
        <f>IF(S$3="","",IF(COUNTIFS(BD!$A$3:$A$5001,S$3,BD!$B$3:$B$5001,$A$66,BD!$L$3:$L$5001,"&lt;&gt;")=0,"",SUMIFS(BD!$L$3:$L$5001,BD!$A$3:$A$5001,S$3,BD!$B$3:$B$5001,$A$66)))</f>
        <v/>
      </c>
      <c r="T72" s="172" t="str">
        <f>IF(T$3="","",IF(COUNTIFS(BD!$A$3:$A$5001,T$3,BD!$B$3:$B$5001,$A$66,BD!$L$3:$L$5001,"&lt;&gt;")=0,"",SUMIFS(BD!$L$3:$L$5001,BD!$A$3:$A$5001,T$3,BD!$B$3:$B$5001,$A$66)))</f>
        <v/>
      </c>
      <c r="U72" s="172" t="str">
        <f>IF(U$3="","",IF(COUNTIFS(BD!$A$3:$A$5001,U$3,BD!$B$3:$B$5001,$A$66,BD!$L$3:$L$5001,"&lt;&gt;")=0,"",SUMIFS(BD!$L$3:$L$5001,BD!$A$3:$A$5001,U$3,BD!$B$3:$B$5001,$A$66)))</f>
        <v/>
      </c>
      <c r="V72" s="172" t="str">
        <f>IF(V$3="","",IF(COUNTIFS(BD!$A$3:$A$5001,V$3,BD!$B$3:$B$5001,$A$66,BD!$L$3:$L$5001,"&lt;&gt;")=0,"",SUMIFS(BD!$L$3:$L$5001,BD!$A$3:$A$5001,V$3,BD!$B$3:$B$5001,$A$66)))</f>
        <v/>
      </c>
      <c r="W72" s="172" t="str">
        <f>IF(W$3="","",IF(COUNTIFS(BD!$A$3:$A$5001,W$3,BD!$B$3:$B$5001,$A$66,BD!$L$3:$L$5001,"&lt;&gt;")=0,"",SUMIFS(BD!$L$3:$L$5001,BD!$A$3:$A$5001,W$3,BD!$B$3:$B$5001,$A$66)))</f>
        <v/>
      </c>
      <c r="X72" s="172" t="str">
        <f>IF(X$3="","",IF(COUNTIFS(BD!$A$3:$A$5001,X$3,BD!$B$3:$B$5001,$A$66,BD!$L$3:$L$5001,"&lt;&gt;")=0,"",SUMIFS(BD!$L$3:$L$5001,BD!$A$3:$A$5001,X$3,BD!$B$3:$B$5001,$A$66)))</f>
        <v/>
      </c>
      <c r="Y72" s="172" t="str">
        <f>IF(Y$3="","",IF(COUNTIFS(BD!$A$3:$A$5001,Y$3,BD!$B$3:$B$5001,$A$66,BD!$L$3:$L$5001,"&lt;&gt;")=0,"",SUMIFS(BD!$L$3:$L$5001,BD!$A$3:$A$5001,Y$3,BD!$B$3:$B$5001,$A$66)))</f>
        <v/>
      </c>
      <c r="Z72" s="172" t="str">
        <f>IF(Z$3="","",IF(COUNTIFS(BD!$A$3:$A$5001,Z$3,BD!$B$3:$B$5001,$A$66,BD!$L$3:$L$5001,"&lt;&gt;")=0,"",SUMIFS(BD!$L$3:$L$5001,BD!$A$3:$A$5001,Z$3,BD!$B$3:$B$5001,$A$66)))</f>
        <v/>
      </c>
      <c r="AA72" s="172" t="str">
        <f>IF(AA$3="","",IF(COUNTIFS(BD!$A$3:$A$5001,AA$3,BD!$B$3:$B$5001,$A$66,BD!$L$3:$L$5001,"&lt;&gt;")=0,"",SUMIFS(BD!$L$3:$L$5001,BD!$A$3:$A$5001,AA$3,BD!$B$3:$B$5001,$A$66)))</f>
        <v/>
      </c>
      <c r="AB72" s="172" t="str">
        <f>IF(AB$3="","",IF(COUNTIFS(BD!$A$3:$A$5001,AB$3,BD!$B$3:$B$5001,$A$66,BD!$L$3:$L$5001,"&lt;&gt;")=0,"",SUMIFS(BD!$L$3:$L$5001,BD!$A$3:$A$5001,AB$3,BD!$B$3:$B$5001,$A$66)))</f>
        <v/>
      </c>
      <c r="AC72" s="172" t="str">
        <f>IF(AC$3="","",IF(COUNTIFS(BD!$A$3:$A$5001,AC$3,BD!$B$3:$B$5001,$A$66,BD!$L$3:$L$5001,"&lt;&gt;")=0,"",SUMIFS(BD!$L$3:$L$5001,BD!$A$3:$A$5001,AC$3,BD!$B$3:$B$5001,$A$66)))</f>
        <v/>
      </c>
      <c r="AD72" s="172" t="str">
        <f>IF(AD$3="","",IF(COUNTIFS(BD!$A$3:$A$5001,AD$3,BD!$B$3:$B$5001,$A$66,BD!$L$3:$L$5001,"&lt;&gt;")=0,"",SUMIFS(BD!$L$3:$L$5001,BD!$A$3:$A$5001,AD$3,BD!$B$3:$B$5001,$A$66)))</f>
        <v/>
      </c>
      <c r="AE72" s="172" t="str">
        <f>IF(AE$3="","",IF(COUNTIFS(BD!$A$3:$A$5001,AE$3,BD!$B$3:$B$5001,$A$66,BD!$L$3:$L$5001,"&lt;&gt;")=0,"",SUMIFS(BD!$L$3:$L$5001,BD!$A$3:$A$5001,AE$3,BD!$B$3:$B$5001,$A$66)))</f>
        <v/>
      </c>
      <c r="AF72" s="172" t="str">
        <f>IF(AF$3="","",IF(COUNTIFS(BD!$A$3:$A$5001,AF$3,BD!$B$3:$B$5001,$A$66,BD!$L$3:$L$5001,"&lt;&gt;")=0,"",SUMIFS(BD!$L$3:$L$5001,BD!$A$3:$A$5001,AF$3,BD!$B$3:$B$5001,$A$66)))</f>
        <v/>
      </c>
      <c r="AG72" s="172" t="str">
        <f>IF(AG$3="","",IF(COUNTIFS(BD!$A$3:$A$5001,AG$3,BD!$B$3:$B$5001,$A$66,BD!$L$3:$L$5001,"&lt;&gt;")=0,"",SUMIFS(BD!$L$3:$L$5001,BD!$A$3:$A$5001,AG$3,BD!$B$3:$B$5001,$A$66)))</f>
        <v/>
      </c>
      <c r="AH72" s="172" t="str">
        <f>IF(AH$3="","",IF(COUNTIFS(BD!$A$3:$A$5001,AH$3,BD!$B$3:$B$5001,$A$66,BD!$L$3:$L$5001,"&lt;&gt;")=0,"",SUMIFS(BD!$L$3:$L$5001,BD!$A$3:$A$5001,AH$3,BD!$B$3:$B$5001,$A$66)))</f>
        <v/>
      </c>
      <c r="AI72" s="172" t="str">
        <f>IF(AI$3="","",IF(COUNTIFS(BD!$A$3:$A$5001,AI$3,BD!$B$3:$B$5001,$A$66,BD!$L$3:$L$5001,"&lt;&gt;")=0,"",SUMIFS(BD!$L$3:$L$5001,BD!$A$3:$A$5001,AI$3,BD!$B$3:$B$5001,$A$66)))</f>
        <v/>
      </c>
      <c r="AJ72" s="173" t="str">
        <f>IF(AJ$3="","",IF(COUNTIFS(BD!$A$3:$A$5001,AJ$3,BD!$B$3:$B$5001,$A$66,BD!$L$3:$L$5001,"&lt;&gt;")=0,"",SUMIFS(BD!$L$3:$L$5001,BD!$A$3:$A$5001,AJ$3,BD!$B$3:$B$5001,$A$66)))</f>
        <v/>
      </c>
      <c r="AK72" s="174" t="str">
        <f>IF(COUNT(F72:AJ72)=0,"",SUM(F72:AJ72))</f>
        <v/>
      </c>
    </row>
    <row r="73" ht="15.75" customHeight="1">
      <c r="A73" s="244"/>
      <c r="B73" s="261"/>
      <c r="C73" s="250" t="inlineStr">
        <is>
          <t xml:space="preserve">Pallets Movimentados</t>
        </is>
      </c>
      <c r="D73" s="251" t="str">
        <f>IFERROR(1/(1/INDEX(BD!$AJ$38:$BD$38,MATCH($A$66,BD!$AJ$22:$BD$22,0))),"")</f>
        <v/>
      </c>
      <c r="E73" s="252"/>
      <c r="F73" s="253" t="str">
        <f>IF(F$3="","",IF(COUNTIFS(BD!$A$3:$A$5001,F$3,BD!$B$3:$B$5001,$A$66,BD!$R$3:$R$5001,"&lt;&gt;")=0,"",SUMIFS(BD!$R$3:$R$5001,BD!$A$3:$A$5001,F$3,BD!$B$3:$B$5001,$A$66)))</f>
        <v/>
      </c>
      <c r="G73" s="254" t="str">
        <f>IF(G$3="","",IF(COUNTIFS(BD!$A$3:$A$5001,G$3,BD!$B$3:$B$5001,$A$66,BD!$R$3:$R$5001,"&lt;&gt;")=0,"",SUMIFS(BD!$R$3:$R$5001,BD!$A$3:$A$5001,G$3,BD!$B$3:$B$5001,$A$66)))</f>
        <v/>
      </c>
      <c r="H73" s="254" t="str">
        <f>IF(H$3="","",IF(COUNTIFS(BD!$A$3:$A$5001,H$3,BD!$B$3:$B$5001,$A$66,BD!$R$3:$R$5001,"&lt;&gt;")=0,"",SUMIFS(BD!$R$3:$R$5001,BD!$A$3:$A$5001,H$3,BD!$B$3:$B$5001,$A$66)))</f>
        <v/>
      </c>
      <c r="I73" s="254" t="str">
        <f>IF(I$3="","",IF(COUNTIFS(BD!$A$3:$A$5001,I$3,BD!$B$3:$B$5001,$A$66,BD!$R$3:$R$5001,"&lt;&gt;")=0,"",SUMIFS(BD!$R$3:$R$5001,BD!$A$3:$A$5001,I$3,BD!$B$3:$B$5001,$A$66)))</f>
        <v/>
      </c>
      <c r="J73" s="254" t="str">
        <f>IF(J$3="","",IF(COUNTIFS(BD!$A$3:$A$5001,J$3,BD!$B$3:$B$5001,$A$66,BD!$R$3:$R$5001,"&lt;&gt;")=0,"",SUMIFS(BD!$R$3:$R$5001,BD!$A$3:$A$5001,J$3,BD!$B$3:$B$5001,$A$66)))</f>
        <v/>
      </c>
      <c r="K73" s="254" t="str">
        <f>IF(K$3="","",IF(COUNTIFS(BD!$A$3:$A$5001,K$3,BD!$B$3:$B$5001,$A$66,BD!$R$3:$R$5001,"&lt;&gt;")=0,"",SUMIFS(BD!$R$3:$R$5001,BD!$A$3:$A$5001,K$3,BD!$B$3:$B$5001,$A$66)))</f>
        <v/>
      </c>
      <c r="L73" s="254" t="str">
        <f>IF(L$3="","",IF(COUNTIFS(BD!$A$3:$A$5001,L$3,BD!$B$3:$B$5001,$A$66,BD!$R$3:$R$5001,"&lt;&gt;")=0,"",SUMIFS(BD!$R$3:$R$5001,BD!$A$3:$A$5001,L$3,BD!$B$3:$B$5001,$A$66)))</f>
        <v/>
      </c>
      <c r="M73" s="254" t="str">
        <f>IF(M$3="","",IF(COUNTIFS(BD!$A$3:$A$5001,M$3,BD!$B$3:$B$5001,$A$66,BD!$R$3:$R$5001,"&lt;&gt;")=0,"",SUMIFS(BD!$R$3:$R$5001,BD!$A$3:$A$5001,M$3,BD!$B$3:$B$5001,$A$66)))</f>
        <v/>
      </c>
      <c r="N73" s="254" t="str">
        <f>IF(N$3="","",IF(COUNTIFS(BD!$A$3:$A$5001,N$3,BD!$B$3:$B$5001,$A$66,BD!$R$3:$R$5001,"&lt;&gt;")=0,"",SUMIFS(BD!$R$3:$R$5001,BD!$A$3:$A$5001,N$3,BD!$B$3:$B$5001,$A$66)))</f>
        <v/>
      </c>
      <c r="O73" s="254" t="str">
        <f>IF(O$3="","",IF(COUNTIFS(BD!$A$3:$A$5001,O$3,BD!$B$3:$B$5001,$A$66,BD!$R$3:$R$5001,"&lt;&gt;")=0,"",SUMIFS(BD!$R$3:$R$5001,BD!$A$3:$A$5001,O$3,BD!$B$3:$B$5001,$A$66)))</f>
        <v/>
      </c>
      <c r="P73" s="254" t="str">
        <f>IF(P$3="","",IF(COUNTIFS(BD!$A$3:$A$5001,P$3,BD!$B$3:$B$5001,$A$66,BD!$R$3:$R$5001,"&lt;&gt;")=0,"",SUMIFS(BD!$R$3:$R$5001,BD!$A$3:$A$5001,P$3,BD!$B$3:$B$5001,$A$66)))</f>
        <v/>
      </c>
      <c r="Q73" s="254" t="str">
        <f>IF(Q$3="","",IF(COUNTIFS(BD!$A$3:$A$5001,Q$3,BD!$B$3:$B$5001,$A$66,BD!$R$3:$R$5001,"&lt;&gt;")=0,"",SUMIFS(BD!$R$3:$R$5001,BD!$A$3:$A$5001,Q$3,BD!$B$3:$B$5001,$A$66)))</f>
        <v/>
      </c>
      <c r="R73" s="254" t="str">
        <f>IF(R$3="","",IF(COUNTIFS(BD!$A$3:$A$5001,R$3,BD!$B$3:$B$5001,$A$66,BD!$R$3:$R$5001,"&lt;&gt;")=0,"",SUMIFS(BD!$R$3:$R$5001,BD!$A$3:$A$5001,R$3,BD!$B$3:$B$5001,$A$66)))</f>
        <v/>
      </c>
      <c r="S73" s="254" t="str">
        <f>IF(S$3="","",IF(COUNTIFS(BD!$A$3:$A$5001,S$3,BD!$B$3:$B$5001,$A$66,BD!$R$3:$R$5001,"&lt;&gt;")=0,"",SUMIFS(BD!$R$3:$R$5001,BD!$A$3:$A$5001,S$3,BD!$B$3:$B$5001,$A$66)))</f>
        <v/>
      </c>
      <c r="T73" s="254" t="str">
        <f>IF(T$3="","",IF(COUNTIFS(BD!$A$3:$A$5001,T$3,BD!$B$3:$B$5001,$A$66,BD!$R$3:$R$5001,"&lt;&gt;")=0,"",SUMIFS(BD!$R$3:$R$5001,BD!$A$3:$A$5001,T$3,BD!$B$3:$B$5001,$A$66)))</f>
        <v/>
      </c>
      <c r="U73" s="254" t="str">
        <f>IF(U$3="","",IF(COUNTIFS(BD!$A$3:$A$5001,U$3,BD!$B$3:$B$5001,$A$66,BD!$R$3:$R$5001,"&lt;&gt;")=0,"",SUMIFS(BD!$R$3:$R$5001,BD!$A$3:$A$5001,U$3,BD!$B$3:$B$5001,$A$66)))</f>
        <v/>
      </c>
      <c r="V73" s="254" t="str">
        <f>IF(V$3="","",IF(COUNTIFS(BD!$A$3:$A$5001,V$3,BD!$B$3:$B$5001,$A$66,BD!$R$3:$R$5001,"&lt;&gt;")=0,"",SUMIFS(BD!$R$3:$R$5001,BD!$A$3:$A$5001,V$3,BD!$B$3:$B$5001,$A$66)))</f>
        <v/>
      </c>
      <c r="W73" s="254" t="str">
        <f>IF(W$3="","",IF(COUNTIFS(BD!$A$3:$A$5001,W$3,BD!$B$3:$B$5001,$A$66,BD!$R$3:$R$5001,"&lt;&gt;")=0,"",SUMIFS(BD!$R$3:$R$5001,BD!$A$3:$A$5001,W$3,BD!$B$3:$B$5001,$A$66)))</f>
        <v/>
      </c>
      <c r="X73" s="254" t="str">
        <f>IF(X$3="","",IF(COUNTIFS(BD!$A$3:$A$5001,X$3,BD!$B$3:$B$5001,$A$66,BD!$R$3:$R$5001,"&lt;&gt;")=0,"",SUMIFS(BD!$R$3:$R$5001,BD!$A$3:$A$5001,X$3,BD!$B$3:$B$5001,$A$66)))</f>
        <v/>
      </c>
      <c r="Y73" s="254" t="str">
        <f>IF(Y$3="","",IF(COUNTIFS(BD!$A$3:$A$5001,Y$3,BD!$B$3:$B$5001,$A$66,BD!$R$3:$R$5001,"&lt;&gt;")=0,"",SUMIFS(BD!$R$3:$R$5001,BD!$A$3:$A$5001,Y$3,BD!$B$3:$B$5001,$A$66)))</f>
        <v/>
      </c>
      <c r="Z73" s="254" t="str">
        <f>IF(Z$3="","",IF(COUNTIFS(BD!$A$3:$A$5001,Z$3,BD!$B$3:$B$5001,$A$66,BD!$R$3:$R$5001,"&lt;&gt;")=0,"",SUMIFS(BD!$R$3:$R$5001,BD!$A$3:$A$5001,Z$3,BD!$B$3:$B$5001,$A$66)))</f>
        <v/>
      </c>
      <c r="AA73" s="254" t="str">
        <f>IF(AA$3="","",IF(COUNTIFS(BD!$A$3:$A$5001,AA$3,BD!$B$3:$B$5001,$A$66,BD!$R$3:$R$5001,"&lt;&gt;")=0,"",SUMIFS(BD!$R$3:$R$5001,BD!$A$3:$A$5001,AA$3,BD!$B$3:$B$5001,$A$66)))</f>
        <v/>
      </c>
      <c r="AB73" s="254" t="str">
        <f>IF(AB$3="","",IF(COUNTIFS(BD!$A$3:$A$5001,AB$3,BD!$B$3:$B$5001,$A$66,BD!$R$3:$R$5001,"&lt;&gt;")=0,"",SUMIFS(BD!$R$3:$R$5001,BD!$A$3:$A$5001,AB$3,BD!$B$3:$B$5001,$A$66)))</f>
        <v/>
      </c>
      <c r="AC73" s="254" t="str">
        <f>IF(AC$3="","",IF(COUNTIFS(BD!$A$3:$A$5001,AC$3,BD!$B$3:$B$5001,$A$66,BD!$R$3:$R$5001,"&lt;&gt;")=0,"",SUMIFS(BD!$R$3:$R$5001,BD!$A$3:$A$5001,AC$3,BD!$B$3:$B$5001,$A$66)))</f>
        <v/>
      </c>
      <c r="AD73" s="254" t="str">
        <f>IF(AD$3="","",IF(COUNTIFS(BD!$A$3:$A$5001,AD$3,BD!$B$3:$B$5001,$A$66,BD!$R$3:$R$5001,"&lt;&gt;")=0,"",SUMIFS(BD!$R$3:$R$5001,BD!$A$3:$A$5001,AD$3,BD!$B$3:$B$5001,$A$66)))</f>
        <v/>
      </c>
      <c r="AE73" s="254" t="str">
        <f>IF(AE$3="","",IF(COUNTIFS(BD!$A$3:$A$5001,AE$3,BD!$B$3:$B$5001,$A$66,BD!$R$3:$R$5001,"&lt;&gt;")=0,"",SUMIFS(BD!$R$3:$R$5001,BD!$A$3:$A$5001,AE$3,BD!$B$3:$B$5001,$A$66)))</f>
        <v/>
      </c>
      <c r="AF73" s="254" t="str">
        <f>IF(AF$3="","",IF(COUNTIFS(BD!$A$3:$A$5001,AF$3,BD!$B$3:$B$5001,$A$66,BD!$R$3:$R$5001,"&lt;&gt;")=0,"",SUMIFS(BD!$R$3:$R$5001,BD!$A$3:$A$5001,AF$3,BD!$B$3:$B$5001,$A$66)))</f>
        <v/>
      </c>
      <c r="AG73" s="254" t="str">
        <f>IF(AG$3="","",IF(COUNTIFS(BD!$A$3:$A$5001,AG$3,BD!$B$3:$B$5001,$A$66,BD!$R$3:$R$5001,"&lt;&gt;")=0,"",SUMIFS(BD!$R$3:$R$5001,BD!$A$3:$A$5001,AG$3,BD!$B$3:$B$5001,$A$66)))</f>
        <v/>
      </c>
      <c r="AH73" s="254" t="str">
        <f>IF(AH$3="","",IF(COUNTIFS(BD!$A$3:$A$5001,AH$3,BD!$B$3:$B$5001,$A$66,BD!$R$3:$R$5001,"&lt;&gt;")=0,"",SUMIFS(BD!$R$3:$R$5001,BD!$A$3:$A$5001,AH$3,BD!$B$3:$B$5001,$A$66)))</f>
        <v/>
      </c>
      <c r="AI73" s="254" t="str">
        <f>IF(AI$3="","",IF(COUNTIFS(BD!$A$3:$A$5001,AI$3,BD!$B$3:$B$5001,$A$66,BD!$R$3:$R$5001,"&lt;&gt;")=0,"",SUMIFS(BD!$R$3:$R$5001,BD!$A$3:$A$5001,AI$3,BD!$B$3:$B$5001,$A$66)))</f>
        <v/>
      </c>
      <c r="AJ73" s="255" t="str">
        <f>IF(AJ$3="","",IF(COUNTIFS(BD!$A$3:$A$5001,AJ$3,BD!$B$3:$B$5001,$A$66,BD!$R$3:$R$5001,"&lt;&gt;")=0,"",SUMIFS(BD!$R$3:$R$5001,BD!$A$3:$A$5001,AJ$3,BD!$B$3:$B$5001,$A$66)))</f>
        <v/>
      </c>
      <c r="AK73" s="256" t="str">
        <f>IF(COUNT(F73:AJ73)=0,"",SUM(F73:AJ73))</f>
        <v/>
      </c>
    </row>
    <row r="74" ht="15.75" customHeight="1">
      <c r="A74" s="244"/>
      <c r="B74" s="261"/>
      <c r="C74" s="250" t="inlineStr">
        <is>
          <t xml:space="preserve">Caixas Expedidas</t>
        </is>
      </c>
      <c r="D74" s="251" t="str">
        <f>IFERROR(1/(1/INDEX(BD!$AJ$37:$BD$37,MATCH($A$66,BD!$AJ$22:$BD$22,0))),"")</f>
        <v/>
      </c>
      <c r="E74" s="252"/>
      <c r="F74" s="253" t="str">
        <f>IF(F$3="","",IF(COUNTIFS(BD!$A$3:$A$5001,F$3,BD!$B$3:$B$5001,$A$66,BD!$Q$3:$Q$5001,"&lt;&gt;")=0,"",SUMIFS(BD!$Q$3:$Q$5001,BD!$A$3:$A$5001,F$3,BD!$B$3:$B$5001,$A$66)))</f>
        <v/>
      </c>
      <c r="G74" s="254" t="str">
        <f>IF(G$3="","",IF(COUNTIFS(BD!$A$3:$A$5001,G$3,BD!$B$3:$B$5001,$A$66,BD!$Q$3:$Q$5001,"&lt;&gt;")=0,"",SUMIFS(BD!$Q$3:$Q$5001,BD!$A$3:$A$5001,G$3,BD!$B$3:$B$5001,$A$66)))</f>
        <v/>
      </c>
      <c r="H74" s="254" t="str">
        <f>IF(H$3="","",IF(COUNTIFS(BD!$A$3:$A$5001,H$3,BD!$B$3:$B$5001,$A$66,BD!$Q$3:$Q$5001,"&lt;&gt;")=0,"",SUMIFS(BD!$Q$3:$Q$5001,BD!$A$3:$A$5001,H$3,BD!$B$3:$B$5001,$A$66)))</f>
        <v/>
      </c>
      <c r="I74" s="254" t="str">
        <f>IF(I$3="","",IF(COUNTIFS(BD!$A$3:$A$5001,I$3,BD!$B$3:$B$5001,$A$66,BD!$Q$3:$Q$5001,"&lt;&gt;")=0,"",SUMIFS(BD!$Q$3:$Q$5001,BD!$A$3:$A$5001,I$3,BD!$B$3:$B$5001,$A$66)))</f>
        <v/>
      </c>
      <c r="J74" s="254" t="str">
        <f>IF(J$3="","",IF(COUNTIFS(BD!$A$3:$A$5001,J$3,BD!$B$3:$B$5001,$A$66,BD!$Q$3:$Q$5001,"&lt;&gt;")=0,"",SUMIFS(BD!$Q$3:$Q$5001,BD!$A$3:$A$5001,J$3,BD!$B$3:$B$5001,$A$66)))</f>
        <v/>
      </c>
      <c r="K74" s="254" t="str">
        <f>IF(K$3="","",IF(COUNTIFS(BD!$A$3:$A$5001,K$3,BD!$B$3:$B$5001,$A$66,BD!$Q$3:$Q$5001,"&lt;&gt;")=0,"",SUMIFS(BD!$Q$3:$Q$5001,BD!$A$3:$A$5001,K$3,BD!$B$3:$B$5001,$A$66)))</f>
        <v/>
      </c>
      <c r="L74" s="254" t="str">
        <f>IF(L$3="","",IF(COUNTIFS(BD!$A$3:$A$5001,L$3,BD!$B$3:$B$5001,$A$66,BD!$Q$3:$Q$5001,"&lt;&gt;")=0,"",SUMIFS(BD!$Q$3:$Q$5001,BD!$A$3:$A$5001,L$3,BD!$B$3:$B$5001,$A$66)))</f>
        <v/>
      </c>
      <c r="M74" s="254" t="str">
        <f>IF(M$3="","",IF(COUNTIFS(BD!$A$3:$A$5001,M$3,BD!$B$3:$B$5001,$A$66,BD!$Q$3:$Q$5001,"&lt;&gt;")=0,"",SUMIFS(BD!$Q$3:$Q$5001,BD!$A$3:$A$5001,M$3,BD!$B$3:$B$5001,$A$66)))</f>
        <v/>
      </c>
      <c r="N74" s="254" t="str">
        <f>IF(N$3="","",IF(COUNTIFS(BD!$A$3:$A$5001,N$3,BD!$B$3:$B$5001,$A$66,BD!$Q$3:$Q$5001,"&lt;&gt;")=0,"",SUMIFS(BD!$Q$3:$Q$5001,BD!$A$3:$A$5001,N$3,BD!$B$3:$B$5001,$A$66)))</f>
        <v/>
      </c>
      <c r="O74" s="254" t="str">
        <f>IF(O$3="","",IF(COUNTIFS(BD!$A$3:$A$5001,O$3,BD!$B$3:$B$5001,$A$66,BD!$Q$3:$Q$5001,"&lt;&gt;")=0,"",SUMIFS(BD!$Q$3:$Q$5001,BD!$A$3:$A$5001,O$3,BD!$B$3:$B$5001,$A$66)))</f>
        <v/>
      </c>
      <c r="P74" s="254" t="str">
        <f>IF(P$3="","",IF(COUNTIFS(BD!$A$3:$A$5001,P$3,BD!$B$3:$B$5001,$A$66,BD!$Q$3:$Q$5001,"&lt;&gt;")=0,"",SUMIFS(BD!$Q$3:$Q$5001,BD!$A$3:$A$5001,P$3,BD!$B$3:$B$5001,$A$66)))</f>
        <v/>
      </c>
      <c r="Q74" s="254" t="str">
        <f>IF(Q$3="","",IF(COUNTIFS(BD!$A$3:$A$5001,Q$3,BD!$B$3:$B$5001,$A$66,BD!$Q$3:$Q$5001,"&lt;&gt;")=0,"",SUMIFS(BD!$Q$3:$Q$5001,BD!$A$3:$A$5001,Q$3,BD!$B$3:$B$5001,$A$66)))</f>
        <v/>
      </c>
      <c r="R74" s="254" t="str">
        <f>IF(R$3="","",IF(COUNTIFS(BD!$A$3:$A$5001,R$3,BD!$B$3:$B$5001,$A$66,BD!$Q$3:$Q$5001,"&lt;&gt;")=0,"",SUMIFS(BD!$Q$3:$Q$5001,BD!$A$3:$A$5001,R$3,BD!$B$3:$B$5001,$A$66)))</f>
        <v/>
      </c>
      <c r="S74" s="254" t="str">
        <f>IF(S$3="","",IF(COUNTIFS(BD!$A$3:$A$5001,S$3,BD!$B$3:$B$5001,$A$66,BD!$Q$3:$Q$5001,"&lt;&gt;")=0,"",SUMIFS(BD!$Q$3:$Q$5001,BD!$A$3:$A$5001,S$3,BD!$B$3:$B$5001,$A$66)))</f>
        <v/>
      </c>
      <c r="T74" s="254" t="str">
        <f>IF(T$3="","",IF(COUNTIFS(BD!$A$3:$A$5001,T$3,BD!$B$3:$B$5001,$A$66,BD!$Q$3:$Q$5001,"&lt;&gt;")=0,"",SUMIFS(BD!$Q$3:$Q$5001,BD!$A$3:$A$5001,T$3,BD!$B$3:$B$5001,$A$66)))</f>
        <v/>
      </c>
      <c r="U74" s="254" t="str">
        <f>IF(U$3="","",IF(COUNTIFS(BD!$A$3:$A$5001,U$3,BD!$B$3:$B$5001,$A$66,BD!$Q$3:$Q$5001,"&lt;&gt;")=0,"",SUMIFS(BD!$Q$3:$Q$5001,BD!$A$3:$A$5001,U$3,BD!$B$3:$B$5001,$A$66)))</f>
        <v/>
      </c>
      <c r="V74" s="254" t="str">
        <f>IF(V$3="","",IF(COUNTIFS(BD!$A$3:$A$5001,V$3,BD!$B$3:$B$5001,$A$66,BD!$Q$3:$Q$5001,"&lt;&gt;")=0,"",SUMIFS(BD!$Q$3:$Q$5001,BD!$A$3:$A$5001,V$3,BD!$B$3:$B$5001,$A$66)))</f>
        <v/>
      </c>
      <c r="W74" s="254" t="str">
        <f>IF(W$3="","",IF(COUNTIFS(BD!$A$3:$A$5001,W$3,BD!$B$3:$B$5001,$A$66,BD!$Q$3:$Q$5001,"&lt;&gt;")=0,"",SUMIFS(BD!$Q$3:$Q$5001,BD!$A$3:$A$5001,W$3,BD!$B$3:$B$5001,$A$66)))</f>
        <v/>
      </c>
      <c r="X74" s="254" t="str">
        <f>IF(X$3="","",IF(COUNTIFS(BD!$A$3:$A$5001,X$3,BD!$B$3:$B$5001,$A$66,BD!$Q$3:$Q$5001,"&lt;&gt;")=0,"",SUMIFS(BD!$Q$3:$Q$5001,BD!$A$3:$A$5001,X$3,BD!$B$3:$B$5001,$A$66)))</f>
        <v/>
      </c>
      <c r="Y74" s="254" t="str">
        <f>IF(Y$3="","",IF(COUNTIFS(BD!$A$3:$A$5001,Y$3,BD!$B$3:$B$5001,$A$66,BD!$Q$3:$Q$5001,"&lt;&gt;")=0,"",SUMIFS(BD!$Q$3:$Q$5001,BD!$A$3:$A$5001,Y$3,BD!$B$3:$B$5001,$A$66)))</f>
        <v/>
      </c>
      <c r="Z74" s="254" t="str">
        <f>IF(Z$3="","",IF(COUNTIFS(BD!$A$3:$A$5001,Z$3,BD!$B$3:$B$5001,$A$66,BD!$Q$3:$Q$5001,"&lt;&gt;")=0,"",SUMIFS(BD!$Q$3:$Q$5001,BD!$A$3:$A$5001,Z$3,BD!$B$3:$B$5001,$A$66)))</f>
        <v/>
      </c>
      <c r="AA74" s="254" t="str">
        <f>IF(AA$3="","",IF(COUNTIFS(BD!$A$3:$A$5001,AA$3,BD!$B$3:$B$5001,$A$66,BD!$Q$3:$Q$5001,"&lt;&gt;")=0,"",SUMIFS(BD!$Q$3:$Q$5001,BD!$A$3:$A$5001,AA$3,BD!$B$3:$B$5001,$A$66)))</f>
        <v/>
      </c>
      <c r="AB74" s="254" t="str">
        <f>IF(AB$3="","",IF(COUNTIFS(BD!$A$3:$A$5001,AB$3,BD!$B$3:$B$5001,$A$66,BD!$Q$3:$Q$5001,"&lt;&gt;")=0,"",SUMIFS(BD!$Q$3:$Q$5001,BD!$A$3:$A$5001,AB$3,BD!$B$3:$B$5001,$A$66)))</f>
        <v/>
      </c>
      <c r="AC74" s="254" t="str">
        <f>IF(AC$3="","",IF(COUNTIFS(BD!$A$3:$A$5001,AC$3,BD!$B$3:$B$5001,$A$66,BD!$Q$3:$Q$5001,"&lt;&gt;")=0,"",SUMIFS(BD!$Q$3:$Q$5001,BD!$A$3:$A$5001,AC$3,BD!$B$3:$B$5001,$A$66)))</f>
        <v/>
      </c>
      <c r="AD74" s="254" t="str">
        <f>IF(AD$3="","",IF(COUNTIFS(BD!$A$3:$A$5001,AD$3,BD!$B$3:$B$5001,$A$66,BD!$Q$3:$Q$5001,"&lt;&gt;")=0,"",SUMIFS(BD!$Q$3:$Q$5001,BD!$A$3:$A$5001,AD$3,BD!$B$3:$B$5001,$A$66)))</f>
        <v/>
      </c>
      <c r="AE74" s="254" t="str">
        <f>IF(AE$3="","",IF(COUNTIFS(BD!$A$3:$A$5001,AE$3,BD!$B$3:$B$5001,$A$66,BD!$Q$3:$Q$5001,"&lt;&gt;")=0,"",SUMIFS(BD!$Q$3:$Q$5001,BD!$A$3:$A$5001,AE$3,BD!$B$3:$B$5001,$A$66)))</f>
        <v/>
      </c>
      <c r="AF74" s="254" t="str">
        <f>IF(AF$3="","",IF(COUNTIFS(BD!$A$3:$A$5001,AF$3,BD!$B$3:$B$5001,$A$66,BD!$Q$3:$Q$5001,"&lt;&gt;")=0,"",SUMIFS(BD!$Q$3:$Q$5001,BD!$A$3:$A$5001,AF$3,BD!$B$3:$B$5001,$A$66)))</f>
        <v/>
      </c>
      <c r="AG74" s="254" t="str">
        <f>IF(AG$3="","",IF(COUNTIFS(BD!$A$3:$A$5001,AG$3,BD!$B$3:$B$5001,$A$66,BD!$Q$3:$Q$5001,"&lt;&gt;")=0,"",SUMIFS(BD!$Q$3:$Q$5001,BD!$A$3:$A$5001,AG$3,BD!$B$3:$B$5001,$A$66)))</f>
        <v/>
      </c>
      <c r="AH74" s="254" t="str">
        <f>IF(AH$3="","",IF(COUNTIFS(BD!$A$3:$A$5001,AH$3,BD!$B$3:$B$5001,$A$66,BD!$Q$3:$Q$5001,"&lt;&gt;")=0,"",SUMIFS(BD!$Q$3:$Q$5001,BD!$A$3:$A$5001,AH$3,BD!$B$3:$B$5001,$A$66)))</f>
        <v/>
      </c>
      <c r="AI74" s="254" t="str">
        <f>IF(AI$3="","",IF(COUNTIFS(BD!$A$3:$A$5001,AI$3,BD!$B$3:$B$5001,$A$66,BD!$Q$3:$Q$5001,"&lt;&gt;")=0,"",SUMIFS(BD!$Q$3:$Q$5001,BD!$A$3:$A$5001,AI$3,BD!$B$3:$B$5001,$A$66)))</f>
        <v/>
      </c>
      <c r="AJ74" s="255" t="str">
        <f>IF(AJ$3="","",IF(COUNTIFS(BD!$A$3:$A$5001,AJ$3,BD!$B$3:$B$5001,$A$66,BD!$Q$3:$Q$5001,"&lt;&gt;")=0,"",SUMIFS(BD!$Q$3:$Q$5001,BD!$A$3:$A$5001,AJ$3,BD!$B$3:$B$5001,$A$66)))</f>
        <v/>
      </c>
      <c r="AK74" s="256" t="str">
        <f>IF(COUNT(F74:AJ74)=0,"",SUM(F74:AJ74))</f>
        <v/>
      </c>
    </row>
    <row r="75" ht="15.75" customHeight="1">
      <c r="A75" s="244"/>
      <c r="B75" s="261"/>
      <c r="C75" s="250" t="inlineStr">
        <is>
          <t xml:space="preserve">Pedidos Faturados</t>
        </is>
      </c>
      <c r="D75" s="251" t="str">
        <f>IFERROR(1/(1/INDEX(BD!$AJ$34:$BD$34,MATCH($A$66,BD!$AJ$22:$BD$22,0))),"")</f>
        <v/>
      </c>
      <c r="E75" s="252"/>
      <c r="F75" s="253" t="str">
        <f>IF(F$3="","",IF(COUNTIFS(BD!$A$3:$A$5001,F$3,BD!$B$3:$B$5001,$A$66,BD!$N$3:$N$5001,"&lt;&gt;")=0,"",SUMIFS(BD!$N$3:$N$5001,BD!$A$3:$A$5001,F$3,BD!$B$3:$B$5001,$A$66)))</f>
        <v/>
      </c>
      <c r="G75" s="254" t="str">
        <f>IF(G$3="","",IF(COUNTIFS(BD!$A$3:$A$5001,G$3,BD!$B$3:$B$5001,$A$66,BD!$N$3:$N$5001,"&lt;&gt;")=0,"",SUMIFS(BD!$N$3:$N$5001,BD!$A$3:$A$5001,G$3,BD!$B$3:$B$5001,$A$66)))</f>
        <v/>
      </c>
      <c r="H75" s="254" t="str">
        <f>IF(H$3="","",IF(COUNTIFS(BD!$A$3:$A$5001,H$3,BD!$B$3:$B$5001,$A$66,BD!$N$3:$N$5001,"&lt;&gt;")=0,"",SUMIFS(BD!$N$3:$N$5001,BD!$A$3:$A$5001,H$3,BD!$B$3:$B$5001,$A$66)))</f>
        <v/>
      </c>
      <c r="I75" s="254" t="str">
        <f>IF(I$3="","",IF(COUNTIFS(BD!$A$3:$A$5001,I$3,BD!$B$3:$B$5001,$A$66,BD!$N$3:$N$5001,"&lt;&gt;")=0,"",SUMIFS(BD!$N$3:$N$5001,BD!$A$3:$A$5001,I$3,BD!$B$3:$B$5001,$A$66)))</f>
        <v/>
      </c>
      <c r="J75" s="254" t="str">
        <f>IF(J$3="","",IF(COUNTIFS(BD!$A$3:$A$5001,J$3,BD!$B$3:$B$5001,$A$66,BD!$N$3:$N$5001,"&lt;&gt;")=0,"",SUMIFS(BD!$N$3:$N$5001,BD!$A$3:$A$5001,J$3,BD!$B$3:$B$5001,$A$66)))</f>
        <v/>
      </c>
      <c r="K75" s="254" t="str">
        <f>IF(K$3="","",IF(COUNTIFS(BD!$A$3:$A$5001,K$3,BD!$B$3:$B$5001,$A$66,BD!$N$3:$N$5001,"&lt;&gt;")=0,"",SUMIFS(BD!$N$3:$N$5001,BD!$A$3:$A$5001,K$3,BD!$B$3:$B$5001,$A$66)))</f>
        <v/>
      </c>
      <c r="L75" s="254" t="str">
        <f>IF(L$3="","",IF(COUNTIFS(BD!$A$3:$A$5001,L$3,BD!$B$3:$B$5001,$A$66,BD!$N$3:$N$5001,"&lt;&gt;")=0,"",SUMIFS(BD!$N$3:$N$5001,BD!$A$3:$A$5001,L$3,BD!$B$3:$B$5001,$A$66)))</f>
        <v/>
      </c>
      <c r="M75" s="254" t="str">
        <f>IF(M$3="","",IF(COUNTIFS(BD!$A$3:$A$5001,M$3,BD!$B$3:$B$5001,$A$66,BD!$N$3:$N$5001,"&lt;&gt;")=0,"",SUMIFS(BD!$N$3:$N$5001,BD!$A$3:$A$5001,M$3,BD!$B$3:$B$5001,$A$66)))</f>
        <v/>
      </c>
      <c r="N75" s="254" t="str">
        <f>IF(N$3="","",IF(COUNTIFS(BD!$A$3:$A$5001,N$3,BD!$B$3:$B$5001,$A$66,BD!$N$3:$N$5001,"&lt;&gt;")=0,"",SUMIFS(BD!$N$3:$N$5001,BD!$A$3:$A$5001,N$3,BD!$B$3:$B$5001,$A$66)))</f>
        <v/>
      </c>
      <c r="O75" s="254" t="str">
        <f>IF(O$3="","",IF(COUNTIFS(BD!$A$3:$A$5001,O$3,BD!$B$3:$B$5001,$A$66,BD!$N$3:$N$5001,"&lt;&gt;")=0,"",SUMIFS(BD!$N$3:$N$5001,BD!$A$3:$A$5001,O$3,BD!$B$3:$B$5001,$A$66)))</f>
        <v/>
      </c>
      <c r="P75" s="254" t="str">
        <f>IF(P$3="","",IF(COUNTIFS(BD!$A$3:$A$5001,P$3,BD!$B$3:$B$5001,$A$66,BD!$N$3:$N$5001,"&lt;&gt;")=0,"",SUMIFS(BD!$N$3:$N$5001,BD!$A$3:$A$5001,P$3,BD!$B$3:$B$5001,$A$66)))</f>
        <v/>
      </c>
      <c r="Q75" s="254" t="str">
        <f>IF(Q$3="","",IF(COUNTIFS(BD!$A$3:$A$5001,Q$3,BD!$B$3:$B$5001,$A$66,BD!$N$3:$N$5001,"&lt;&gt;")=0,"",SUMIFS(BD!$N$3:$N$5001,BD!$A$3:$A$5001,Q$3,BD!$B$3:$B$5001,$A$66)))</f>
        <v/>
      </c>
      <c r="R75" s="254" t="str">
        <f>IF(R$3="","",IF(COUNTIFS(BD!$A$3:$A$5001,R$3,BD!$B$3:$B$5001,$A$66,BD!$N$3:$N$5001,"&lt;&gt;")=0,"",SUMIFS(BD!$N$3:$N$5001,BD!$A$3:$A$5001,R$3,BD!$B$3:$B$5001,$A$66)))</f>
        <v/>
      </c>
      <c r="S75" s="254" t="str">
        <f>IF(S$3="","",IF(COUNTIFS(BD!$A$3:$A$5001,S$3,BD!$B$3:$B$5001,$A$66,BD!$N$3:$N$5001,"&lt;&gt;")=0,"",SUMIFS(BD!$N$3:$N$5001,BD!$A$3:$A$5001,S$3,BD!$B$3:$B$5001,$A$66)))</f>
        <v/>
      </c>
      <c r="T75" s="254" t="str">
        <f>IF(T$3="","",IF(COUNTIFS(BD!$A$3:$A$5001,T$3,BD!$B$3:$B$5001,$A$66,BD!$N$3:$N$5001,"&lt;&gt;")=0,"",SUMIFS(BD!$N$3:$N$5001,BD!$A$3:$A$5001,T$3,BD!$B$3:$B$5001,$A$66)))</f>
        <v/>
      </c>
      <c r="U75" s="254" t="str">
        <f>IF(U$3="","",IF(COUNTIFS(BD!$A$3:$A$5001,U$3,BD!$B$3:$B$5001,$A$66,BD!$N$3:$N$5001,"&lt;&gt;")=0,"",SUMIFS(BD!$N$3:$N$5001,BD!$A$3:$A$5001,U$3,BD!$B$3:$B$5001,$A$66)))</f>
        <v/>
      </c>
      <c r="V75" s="254" t="str">
        <f>IF(V$3="","",IF(COUNTIFS(BD!$A$3:$A$5001,V$3,BD!$B$3:$B$5001,$A$66,BD!$N$3:$N$5001,"&lt;&gt;")=0,"",SUMIFS(BD!$N$3:$N$5001,BD!$A$3:$A$5001,V$3,BD!$B$3:$B$5001,$A$66)))</f>
        <v/>
      </c>
      <c r="W75" s="254" t="str">
        <f>IF(W$3="","",IF(COUNTIFS(BD!$A$3:$A$5001,W$3,BD!$B$3:$B$5001,$A$66,BD!$N$3:$N$5001,"&lt;&gt;")=0,"",SUMIFS(BD!$N$3:$N$5001,BD!$A$3:$A$5001,W$3,BD!$B$3:$B$5001,$A$66)))</f>
        <v/>
      </c>
      <c r="X75" s="254" t="str">
        <f>IF(X$3="","",IF(COUNTIFS(BD!$A$3:$A$5001,X$3,BD!$B$3:$B$5001,$A$66,BD!$N$3:$N$5001,"&lt;&gt;")=0,"",SUMIFS(BD!$N$3:$N$5001,BD!$A$3:$A$5001,X$3,BD!$B$3:$B$5001,$A$66)))</f>
        <v/>
      </c>
      <c r="Y75" s="254" t="str">
        <f>IF(Y$3="","",IF(COUNTIFS(BD!$A$3:$A$5001,Y$3,BD!$B$3:$B$5001,$A$66,BD!$N$3:$N$5001,"&lt;&gt;")=0,"",SUMIFS(BD!$N$3:$N$5001,BD!$A$3:$A$5001,Y$3,BD!$B$3:$B$5001,$A$66)))</f>
        <v/>
      </c>
      <c r="Z75" s="254" t="str">
        <f>IF(Z$3="","",IF(COUNTIFS(BD!$A$3:$A$5001,Z$3,BD!$B$3:$B$5001,$A$66,BD!$N$3:$N$5001,"&lt;&gt;")=0,"",SUMIFS(BD!$N$3:$N$5001,BD!$A$3:$A$5001,Z$3,BD!$B$3:$B$5001,$A$66)))</f>
        <v/>
      </c>
      <c r="AA75" s="254" t="str">
        <f>IF(AA$3="","",IF(COUNTIFS(BD!$A$3:$A$5001,AA$3,BD!$B$3:$B$5001,$A$66,BD!$N$3:$N$5001,"&lt;&gt;")=0,"",SUMIFS(BD!$N$3:$N$5001,BD!$A$3:$A$5001,AA$3,BD!$B$3:$B$5001,$A$66)))</f>
        <v/>
      </c>
      <c r="AB75" s="254" t="str">
        <f>IF(AB$3="","",IF(COUNTIFS(BD!$A$3:$A$5001,AB$3,BD!$B$3:$B$5001,$A$66,BD!$N$3:$N$5001,"&lt;&gt;")=0,"",SUMIFS(BD!$N$3:$N$5001,BD!$A$3:$A$5001,AB$3,BD!$B$3:$B$5001,$A$66)))</f>
        <v/>
      </c>
      <c r="AC75" s="254" t="str">
        <f>IF(AC$3="","",IF(COUNTIFS(BD!$A$3:$A$5001,AC$3,BD!$B$3:$B$5001,$A$66,BD!$N$3:$N$5001,"&lt;&gt;")=0,"",SUMIFS(BD!$N$3:$N$5001,BD!$A$3:$A$5001,AC$3,BD!$B$3:$B$5001,$A$66)))</f>
        <v/>
      </c>
      <c r="AD75" s="254" t="str">
        <f>IF(AD$3="","",IF(COUNTIFS(BD!$A$3:$A$5001,AD$3,BD!$B$3:$B$5001,$A$66,BD!$N$3:$N$5001,"&lt;&gt;")=0,"",SUMIFS(BD!$N$3:$N$5001,BD!$A$3:$A$5001,AD$3,BD!$B$3:$B$5001,$A$66)))</f>
        <v/>
      </c>
      <c r="AE75" s="254" t="str">
        <f>IF(AE$3="","",IF(COUNTIFS(BD!$A$3:$A$5001,AE$3,BD!$B$3:$B$5001,$A$66,BD!$N$3:$N$5001,"&lt;&gt;")=0,"",SUMIFS(BD!$N$3:$N$5001,BD!$A$3:$A$5001,AE$3,BD!$B$3:$B$5001,$A$66)))</f>
        <v/>
      </c>
      <c r="AF75" s="254" t="str">
        <f>IF(AF$3="","",IF(COUNTIFS(BD!$A$3:$A$5001,AF$3,BD!$B$3:$B$5001,$A$66,BD!$N$3:$N$5001,"&lt;&gt;")=0,"",SUMIFS(BD!$N$3:$N$5001,BD!$A$3:$A$5001,AF$3,BD!$B$3:$B$5001,$A$66)))</f>
        <v/>
      </c>
      <c r="AG75" s="254" t="str">
        <f>IF(AG$3="","",IF(COUNTIFS(BD!$A$3:$A$5001,AG$3,BD!$B$3:$B$5001,$A$66,BD!$N$3:$N$5001,"&lt;&gt;")=0,"",SUMIFS(BD!$N$3:$N$5001,BD!$A$3:$A$5001,AG$3,BD!$B$3:$B$5001,$A$66)))</f>
        <v/>
      </c>
      <c r="AH75" s="254" t="str">
        <f>IF(AH$3="","",IF(COUNTIFS(BD!$A$3:$A$5001,AH$3,BD!$B$3:$B$5001,$A$66,BD!$N$3:$N$5001,"&lt;&gt;")=0,"",SUMIFS(BD!$N$3:$N$5001,BD!$A$3:$A$5001,AH$3,BD!$B$3:$B$5001,$A$66)))</f>
        <v/>
      </c>
      <c r="AI75" s="254" t="str">
        <f>IF(AI$3="","",IF(COUNTIFS(BD!$A$3:$A$5001,AI$3,BD!$B$3:$B$5001,$A$66,BD!$N$3:$N$5001,"&lt;&gt;")=0,"",SUMIFS(BD!$N$3:$N$5001,BD!$A$3:$A$5001,AI$3,BD!$B$3:$B$5001,$A$66)))</f>
        <v/>
      </c>
      <c r="AJ75" s="255" t="str">
        <f>IF(AJ$3="","",IF(COUNTIFS(BD!$A$3:$A$5001,AJ$3,BD!$B$3:$B$5001,$A$66,BD!$N$3:$N$5001,"&lt;&gt;")=0,"",SUMIFS(BD!$N$3:$N$5001,BD!$A$3:$A$5001,AJ$3,BD!$B$3:$B$5001,$A$66)))</f>
        <v/>
      </c>
      <c r="AK75" s="256" t="str">
        <f>IF(COUNT(F75:AJ75)=0,"",SUM(F75:AJ75))</f>
        <v/>
      </c>
    </row>
    <row r="76" ht="15.75" customHeight="1">
      <c r="A76" s="244"/>
      <c r="B76" s="235"/>
      <c r="C76" s="175" t="inlineStr">
        <is>
          <t xml:space="preserve">Itens Expedidos</t>
        </is>
      </c>
      <c r="D76" s="176" t="str">
        <f>IFERROR(1/(1/INDEX(BD!$AJ$35:$BD$35,MATCH($A$66,BD!$AJ$22:$BD$22,0))),"")</f>
        <v/>
      </c>
      <c r="E76" s="177"/>
      <c r="F76" s="178" t="str">
        <f>IF(F$3="","",IF(COUNTIFS(BD!$A$3:$A$5001,F$3,BD!$B$3:$B$5001,$A$66,BD!$O$3:$O$5001,"&lt;&gt;")=0,"",SUMIFS(BD!$O$3:$O$5001,BD!$A$3:$A$5001,F$3,BD!$B$3:$B$5001,$A$66)))</f>
        <v/>
      </c>
      <c r="G76" s="179" t="str">
        <f>IF(G$3="","",IF(COUNTIFS(BD!$A$3:$A$5001,G$3,BD!$B$3:$B$5001,$A$66,BD!$O$3:$O$5001,"&lt;&gt;")=0,"",SUMIFS(BD!$O$3:$O$5001,BD!$A$3:$A$5001,G$3,BD!$B$3:$B$5001,$A$66)))</f>
        <v/>
      </c>
      <c r="H76" s="179" t="str">
        <f>IF(H$3="","",IF(COUNTIFS(BD!$A$3:$A$5001,H$3,BD!$B$3:$B$5001,$A$66,BD!$O$3:$O$5001,"&lt;&gt;")=0,"",SUMIFS(BD!$O$3:$O$5001,BD!$A$3:$A$5001,H$3,BD!$B$3:$B$5001,$A$66)))</f>
        <v/>
      </c>
      <c r="I76" s="179" t="str">
        <f>IF(I$3="","",IF(COUNTIFS(BD!$A$3:$A$5001,I$3,BD!$B$3:$B$5001,$A$66,BD!$O$3:$O$5001,"&lt;&gt;")=0,"",SUMIFS(BD!$O$3:$O$5001,BD!$A$3:$A$5001,I$3,BD!$B$3:$B$5001,$A$66)))</f>
        <v/>
      </c>
      <c r="J76" s="179" t="str">
        <f>IF(J$3="","",IF(COUNTIFS(BD!$A$3:$A$5001,J$3,BD!$B$3:$B$5001,$A$66,BD!$O$3:$O$5001,"&lt;&gt;")=0,"",SUMIFS(BD!$O$3:$O$5001,BD!$A$3:$A$5001,J$3,BD!$B$3:$B$5001,$A$66)))</f>
        <v/>
      </c>
      <c r="K76" s="179" t="str">
        <f>IF(K$3="","",IF(COUNTIFS(BD!$A$3:$A$5001,K$3,BD!$B$3:$B$5001,$A$66,BD!$O$3:$O$5001,"&lt;&gt;")=0,"",SUMIFS(BD!$O$3:$O$5001,BD!$A$3:$A$5001,K$3,BD!$B$3:$B$5001,$A$66)))</f>
        <v/>
      </c>
      <c r="L76" s="179" t="str">
        <f>IF(L$3="","",IF(COUNTIFS(BD!$A$3:$A$5001,L$3,BD!$B$3:$B$5001,$A$66,BD!$O$3:$O$5001,"&lt;&gt;")=0,"",SUMIFS(BD!$O$3:$O$5001,BD!$A$3:$A$5001,L$3,BD!$B$3:$B$5001,$A$66)))</f>
        <v/>
      </c>
      <c r="M76" s="179" t="str">
        <f>IF(M$3="","",IF(COUNTIFS(BD!$A$3:$A$5001,M$3,BD!$B$3:$B$5001,$A$66,BD!$O$3:$O$5001,"&lt;&gt;")=0,"",SUMIFS(BD!$O$3:$O$5001,BD!$A$3:$A$5001,M$3,BD!$B$3:$B$5001,$A$66)))</f>
        <v/>
      </c>
      <c r="N76" s="179" t="str">
        <f>IF(N$3="","",IF(COUNTIFS(BD!$A$3:$A$5001,N$3,BD!$B$3:$B$5001,$A$66,BD!$O$3:$O$5001,"&lt;&gt;")=0,"",SUMIFS(BD!$O$3:$O$5001,BD!$A$3:$A$5001,N$3,BD!$B$3:$B$5001,$A$66)))</f>
        <v/>
      </c>
      <c r="O76" s="179" t="str">
        <f>IF(O$3="","",IF(COUNTIFS(BD!$A$3:$A$5001,O$3,BD!$B$3:$B$5001,$A$66,BD!$O$3:$O$5001,"&lt;&gt;")=0,"",SUMIFS(BD!$O$3:$O$5001,BD!$A$3:$A$5001,O$3,BD!$B$3:$B$5001,$A$66)))</f>
        <v/>
      </c>
      <c r="P76" s="179" t="str">
        <f>IF(P$3="","",IF(COUNTIFS(BD!$A$3:$A$5001,P$3,BD!$B$3:$B$5001,$A$66,BD!$O$3:$O$5001,"&lt;&gt;")=0,"",SUMIFS(BD!$O$3:$O$5001,BD!$A$3:$A$5001,P$3,BD!$B$3:$B$5001,$A$66)))</f>
        <v/>
      </c>
      <c r="Q76" s="179" t="str">
        <f>IF(Q$3="","",IF(COUNTIFS(BD!$A$3:$A$5001,Q$3,BD!$B$3:$B$5001,$A$66,BD!$O$3:$O$5001,"&lt;&gt;")=0,"",SUMIFS(BD!$O$3:$O$5001,BD!$A$3:$A$5001,Q$3,BD!$B$3:$B$5001,$A$66)))</f>
        <v/>
      </c>
      <c r="R76" s="179" t="str">
        <f>IF(R$3="","",IF(COUNTIFS(BD!$A$3:$A$5001,R$3,BD!$B$3:$B$5001,$A$66,BD!$O$3:$O$5001,"&lt;&gt;")=0,"",SUMIFS(BD!$O$3:$O$5001,BD!$A$3:$A$5001,R$3,BD!$B$3:$B$5001,$A$66)))</f>
        <v/>
      </c>
      <c r="S76" s="179" t="str">
        <f>IF(S$3="","",IF(COUNTIFS(BD!$A$3:$A$5001,S$3,BD!$B$3:$B$5001,$A$66,BD!$O$3:$O$5001,"&lt;&gt;")=0,"",SUMIFS(BD!$O$3:$O$5001,BD!$A$3:$A$5001,S$3,BD!$B$3:$B$5001,$A$66)))</f>
        <v/>
      </c>
      <c r="T76" s="179" t="str">
        <f>IF(T$3="","",IF(COUNTIFS(BD!$A$3:$A$5001,T$3,BD!$B$3:$B$5001,$A$66,BD!$O$3:$O$5001,"&lt;&gt;")=0,"",SUMIFS(BD!$O$3:$O$5001,BD!$A$3:$A$5001,T$3,BD!$B$3:$B$5001,$A$66)))</f>
        <v/>
      </c>
      <c r="U76" s="179" t="str">
        <f>IF(U$3="","",IF(COUNTIFS(BD!$A$3:$A$5001,U$3,BD!$B$3:$B$5001,$A$66,BD!$O$3:$O$5001,"&lt;&gt;")=0,"",SUMIFS(BD!$O$3:$O$5001,BD!$A$3:$A$5001,U$3,BD!$B$3:$B$5001,$A$66)))</f>
        <v/>
      </c>
      <c r="V76" s="179" t="str">
        <f>IF(V$3="","",IF(COUNTIFS(BD!$A$3:$A$5001,V$3,BD!$B$3:$B$5001,$A$66,BD!$O$3:$O$5001,"&lt;&gt;")=0,"",SUMIFS(BD!$O$3:$O$5001,BD!$A$3:$A$5001,V$3,BD!$B$3:$B$5001,$A$66)))</f>
        <v/>
      </c>
      <c r="W76" s="179" t="str">
        <f>IF(W$3="","",IF(COUNTIFS(BD!$A$3:$A$5001,W$3,BD!$B$3:$B$5001,$A$66,BD!$O$3:$O$5001,"&lt;&gt;")=0,"",SUMIFS(BD!$O$3:$O$5001,BD!$A$3:$A$5001,W$3,BD!$B$3:$B$5001,$A$66)))</f>
        <v/>
      </c>
      <c r="X76" s="179" t="str">
        <f>IF(X$3="","",IF(COUNTIFS(BD!$A$3:$A$5001,X$3,BD!$B$3:$B$5001,$A$66,BD!$O$3:$O$5001,"&lt;&gt;")=0,"",SUMIFS(BD!$O$3:$O$5001,BD!$A$3:$A$5001,X$3,BD!$B$3:$B$5001,$A$66)))</f>
        <v/>
      </c>
      <c r="Y76" s="179" t="str">
        <f>IF(Y$3="","",IF(COUNTIFS(BD!$A$3:$A$5001,Y$3,BD!$B$3:$B$5001,$A$66,BD!$O$3:$O$5001,"&lt;&gt;")=0,"",SUMIFS(BD!$O$3:$O$5001,BD!$A$3:$A$5001,Y$3,BD!$B$3:$B$5001,$A$66)))</f>
        <v/>
      </c>
      <c r="Z76" s="179" t="str">
        <f>IF(Z$3="","",IF(COUNTIFS(BD!$A$3:$A$5001,Z$3,BD!$B$3:$B$5001,$A$66,BD!$O$3:$O$5001,"&lt;&gt;")=0,"",SUMIFS(BD!$O$3:$O$5001,BD!$A$3:$A$5001,Z$3,BD!$B$3:$B$5001,$A$66)))</f>
        <v/>
      </c>
      <c r="AA76" s="179" t="str">
        <f>IF(AA$3="","",IF(COUNTIFS(BD!$A$3:$A$5001,AA$3,BD!$B$3:$B$5001,$A$66,BD!$O$3:$O$5001,"&lt;&gt;")=0,"",SUMIFS(BD!$O$3:$O$5001,BD!$A$3:$A$5001,AA$3,BD!$B$3:$B$5001,$A$66)))</f>
        <v/>
      </c>
      <c r="AB76" s="179" t="str">
        <f>IF(AB$3="","",IF(COUNTIFS(BD!$A$3:$A$5001,AB$3,BD!$B$3:$B$5001,$A$66,BD!$O$3:$O$5001,"&lt;&gt;")=0,"",SUMIFS(BD!$O$3:$O$5001,BD!$A$3:$A$5001,AB$3,BD!$B$3:$B$5001,$A$66)))</f>
        <v/>
      </c>
      <c r="AC76" s="179" t="str">
        <f>IF(AC$3="","",IF(COUNTIFS(BD!$A$3:$A$5001,AC$3,BD!$B$3:$B$5001,$A$66,BD!$O$3:$O$5001,"&lt;&gt;")=0,"",SUMIFS(BD!$O$3:$O$5001,BD!$A$3:$A$5001,AC$3,BD!$B$3:$B$5001,$A$66)))</f>
        <v/>
      </c>
      <c r="AD76" s="179" t="str">
        <f>IF(AD$3="","",IF(COUNTIFS(BD!$A$3:$A$5001,AD$3,BD!$B$3:$B$5001,$A$66,BD!$O$3:$O$5001,"&lt;&gt;")=0,"",SUMIFS(BD!$O$3:$O$5001,BD!$A$3:$A$5001,AD$3,BD!$B$3:$B$5001,$A$66)))</f>
        <v/>
      </c>
      <c r="AE76" s="179" t="str">
        <f>IF(AE$3="","",IF(COUNTIFS(BD!$A$3:$A$5001,AE$3,BD!$B$3:$B$5001,$A$66,BD!$O$3:$O$5001,"&lt;&gt;")=0,"",SUMIFS(BD!$O$3:$O$5001,BD!$A$3:$A$5001,AE$3,BD!$B$3:$B$5001,$A$66)))</f>
        <v/>
      </c>
      <c r="AF76" s="179" t="str">
        <f>IF(AF$3="","",IF(COUNTIFS(BD!$A$3:$A$5001,AF$3,BD!$B$3:$B$5001,$A$66,BD!$O$3:$O$5001,"&lt;&gt;")=0,"",SUMIFS(BD!$O$3:$O$5001,BD!$A$3:$A$5001,AF$3,BD!$B$3:$B$5001,$A$66)))</f>
        <v/>
      </c>
      <c r="AG76" s="179" t="str">
        <f>IF(AG$3="","",IF(COUNTIFS(BD!$A$3:$A$5001,AG$3,BD!$B$3:$B$5001,$A$66,BD!$O$3:$O$5001,"&lt;&gt;")=0,"",SUMIFS(BD!$O$3:$O$5001,BD!$A$3:$A$5001,AG$3,BD!$B$3:$B$5001,$A$66)))</f>
        <v/>
      </c>
      <c r="AH76" s="179" t="str">
        <f>IF(AH$3="","",IF(COUNTIFS(BD!$A$3:$A$5001,AH$3,BD!$B$3:$B$5001,$A$66,BD!$O$3:$O$5001,"&lt;&gt;")=0,"",SUMIFS(BD!$O$3:$O$5001,BD!$A$3:$A$5001,AH$3,BD!$B$3:$B$5001,$A$66)))</f>
        <v/>
      </c>
      <c r="AI76" s="179" t="str">
        <f>IF(AI$3="","",IF(COUNTIFS(BD!$A$3:$A$5001,AI$3,BD!$B$3:$B$5001,$A$66,BD!$O$3:$O$5001,"&lt;&gt;")=0,"",SUMIFS(BD!$O$3:$O$5001,BD!$A$3:$A$5001,AI$3,BD!$B$3:$B$5001,$A$66)))</f>
        <v/>
      </c>
      <c r="AJ76" s="180" t="str">
        <f>IF(AJ$3="","",IF(COUNTIFS(BD!$A$3:$A$5001,AJ$3,BD!$B$3:$B$5001,$A$66,BD!$O$3:$O$5001,"&lt;&gt;")=0,"",SUMIFS(BD!$O$3:$O$5001,BD!$A$3:$A$5001,AJ$3,BD!$B$3:$B$5001,$A$66)))</f>
        <v/>
      </c>
      <c r="AK76" s="176" t="str">
        <f>IF(COUNT(F76:AJ76)=0,"",SUM(F76:AJ76))</f>
        <v/>
      </c>
    </row>
    <row r="77" ht="15.75" customHeight="1">
      <c r="A77" s="244"/>
      <c r="B77" s="236" t="inlineStr">
        <is>
          <t xml:space="preserve">NC</t>
        </is>
      </c>
      <c r="C77" s="181" t="inlineStr">
        <is>
          <t xml:space="preserve">Incidentes</t>
        </is>
      </c>
      <c r="D77" s="182" t="str">
        <f>IFERROR(1/(1/INDEX(BD!$AJ$40:$BD$40,MATCH($A$66,BD!$AJ$22:$BD$22,0))),"")</f>
        <v/>
      </c>
      <c r="E77" s="183"/>
      <c r="F77" s="184" t="str">
        <f>IF(F$3="","",IF(COUNTIFS(BD!$A$3:$A$5001,F$3,BD!$B$3:$B$5001,$A$66,BD!$T$3:$T$5001,"&lt;&gt;")=0,"",SUMIFS(BD!$T$3:$T$5001,BD!$A$3:$A$5001,F$3,BD!$B$3:$B$5001,$A$66)))</f>
        <v/>
      </c>
      <c r="G77" s="185" t="str">
        <f>IF(G$3="","",IF(COUNTIFS(BD!$A$3:$A$5001,G$3,BD!$B$3:$B$5001,$A$66,BD!$T$3:$T$5001,"&lt;&gt;")=0,"",SUMIFS(BD!$T$3:$T$5001,BD!$A$3:$A$5001,G$3,BD!$B$3:$B$5001,$A$66)))</f>
        <v/>
      </c>
      <c r="H77" s="185" t="str">
        <f>IF(H$3="","",IF(COUNTIFS(BD!$A$3:$A$5001,H$3,BD!$B$3:$B$5001,$A$66,BD!$T$3:$T$5001,"&lt;&gt;")=0,"",SUMIFS(BD!$T$3:$T$5001,BD!$A$3:$A$5001,H$3,BD!$B$3:$B$5001,$A$66)))</f>
        <v/>
      </c>
      <c r="I77" s="185" t="str">
        <f>IF(I$3="","",IF(COUNTIFS(BD!$A$3:$A$5001,I$3,BD!$B$3:$B$5001,$A$66,BD!$T$3:$T$5001,"&lt;&gt;")=0,"",SUMIFS(BD!$T$3:$T$5001,BD!$A$3:$A$5001,I$3,BD!$B$3:$B$5001,$A$66)))</f>
        <v/>
      </c>
      <c r="J77" s="185" t="str">
        <f>IF(J$3="","",IF(COUNTIFS(BD!$A$3:$A$5001,J$3,BD!$B$3:$B$5001,$A$66,BD!$T$3:$T$5001,"&lt;&gt;")=0,"",SUMIFS(BD!$T$3:$T$5001,BD!$A$3:$A$5001,J$3,BD!$B$3:$B$5001,$A$66)))</f>
        <v/>
      </c>
      <c r="K77" s="185" t="str">
        <f>IF(K$3="","",IF(COUNTIFS(BD!$A$3:$A$5001,K$3,BD!$B$3:$B$5001,$A$66,BD!$T$3:$T$5001,"&lt;&gt;")=0,"",SUMIFS(BD!$T$3:$T$5001,BD!$A$3:$A$5001,K$3,BD!$B$3:$B$5001,$A$66)))</f>
        <v/>
      </c>
      <c r="L77" s="185" t="str">
        <f>IF(L$3="","",IF(COUNTIFS(BD!$A$3:$A$5001,L$3,BD!$B$3:$B$5001,$A$66,BD!$T$3:$T$5001,"&lt;&gt;")=0,"",SUMIFS(BD!$T$3:$T$5001,BD!$A$3:$A$5001,L$3,BD!$B$3:$B$5001,$A$66)))</f>
        <v/>
      </c>
      <c r="M77" s="185" t="str">
        <f>IF(M$3="","",IF(COUNTIFS(BD!$A$3:$A$5001,M$3,BD!$B$3:$B$5001,$A$66,BD!$T$3:$T$5001,"&lt;&gt;")=0,"",SUMIFS(BD!$T$3:$T$5001,BD!$A$3:$A$5001,M$3,BD!$B$3:$B$5001,$A$66)))</f>
        <v/>
      </c>
      <c r="N77" s="185" t="str">
        <f>IF(N$3="","",IF(COUNTIFS(BD!$A$3:$A$5001,N$3,BD!$B$3:$B$5001,$A$66,BD!$T$3:$T$5001,"&lt;&gt;")=0,"",SUMIFS(BD!$T$3:$T$5001,BD!$A$3:$A$5001,N$3,BD!$B$3:$B$5001,$A$66)))</f>
        <v/>
      </c>
      <c r="O77" s="185" t="str">
        <f>IF(O$3="","",IF(COUNTIFS(BD!$A$3:$A$5001,O$3,BD!$B$3:$B$5001,$A$66,BD!$T$3:$T$5001,"&lt;&gt;")=0,"",SUMIFS(BD!$T$3:$T$5001,BD!$A$3:$A$5001,O$3,BD!$B$3:$B$5001,$A$66)))</f>
        <v/>
      </c>
      <c r="P77" s="185" t="str">
        <f>IF(P$3="","",IF(COUNTIFS(BD!$A$3:$A$5001,P$3,BD!$B$3:$B$5001,$A$66,BD!$T$3:$T$5001,"&lt;&gt;")=0,"",SUMIFS(BD!$T$3:$T$5001,BD!$A$3:$A$5001,P$3,BD!$B$3:$B$5001,$A$66)))</f>
        <v/>
      </c>
      <c r="Q77" s="185" t="str">
        <f>IF(Q$3="","",IF(COUNTIFS(BD!$A$3:$A$5001,Q$3,BD!$B$3:$B$5001,$A$66,BD!$T$3:$T$5001,"&lt;&gt;")=0,"",SUMIFS(BD!$T$3:$T$5001,BD!$A$3:$A$5001,Q$3,BD!$B$3:$B$5001,$A$66)))</f>
        <v/>
      </c>
      <c r="R77" s="185" t="str">
        <f>IF(R$3="","",IF(COUNTIFS(BD!$A$3:$A$5001,R$3,BD!$B$3:$B$5001,$A$66,BD!$T$3:$T$5001,"&lt;&gt;")=0,"",SUMIFS(BD!$T$3:$T$5001,BD!$A$3:$A$5001,R$3,BD!$B$3:$B$5001,$A$66)))</f>
        <v/>
      </c>
      <c r="S77" s="185" t="str">
        <f>IF(S$3="","",IF(COUNTIFS(BD!$A$3:$A$5001,S$3,BD!$B$3:$B$5001,$A$66,BD!$T$3:$T$5001,"&lt;&gt;")=0,"",SUMIFS(BD!$T$3:$T$5001,BD!$A$3:$A$5001,S$3,BD!$B$3:$B$5001,$A$66)))</f>
        <v/>
      </c>
      <c r="T77" s="185" t="str">
        <f>IF(T$3="","",IF(COUNTIFS(BD!$A$3:$A$5001,T$3,BD!$B$3:$B$5001,$A$66,BD!$T$3:$T$5001,"&lt;&gt;")=0,"",SUMIFS(BD!$T$3:$T$5001,BD!$A$3:$A$5001,T$3,BD!$B$3:$B$5001,$A$66)))</f>
        <v/>
      </c>
      <c r="U77" s="185" t="str">
        <f>IF(U$3="","",IF(COUNTIFS(BD!$A$3:$A$5001,U$3,BD!$B$3:$B$5001,$A$66,BD!$T$3:$T$5001,"&lt;&gt;")=0,"",SUMIFS(BD!$T$3:$T$5001,BD!$A$3:$A$5001,U$3,BD!$B$3:$B$5001,$A$66)))</f>
        <v/>
      </c>
      <c r="V77" s="185" t="str">
        <f>IF(V$3="","",IF(COUNTIFS(BD!$A$3:$A$5001,V$3,BD!$B$3:$B$5001,$A$66,BD!$T$3:$T$5001,"&lt;&gt;")=0,"",SUMIFS(BD!$T$3:$T$5001,BD!$A$3:$A$5001,V$3,BD!$B$3:$B$5001,$A$66)))</f>
        <v/>
      </c>
      <c r="W77" s="185" t="str">
        <f>IF(W$3="","",IF(COUNTIFS(BD!$A$3:$A$5001,W$3,BD!$B$3:$B$5001,$A$66,BD!$T$3:$T$5001,"&lt;&gt;")=0,"",SUMIFS(BD!$T$3:$T$5001,BD!$A$3:$A$5001,W$3,BD!$B$3:$B$5001,$A$66)))</f>
        <v/>
      </c>
      <c r="X77" s="185" t="str">
        <f>IF(X$3="","",IF(COUNTIFS(BD!$A$3:$A$5001,X$3,BD!$B$3:$B$5001,$A$66,BD!$T$3:$T$5001,"&lt;&gt;")=0,"",SUMIFS(BD!$T$3:$T$5001,BD!$A$3:$A$5001,X$3,BD!$B$3:$B$5001,$A$66)))</f>
        <v/>
      </c>
      <c r="Y77" s="185" t="str">
        <f>IF(Y$3="","",IF(COUNTIFS(BD!$A$3:$A$5001,Y$3,BD!$B$3:$B$5001,$A$66,BD!$T$3:$T$5001,"&lt;&gt;")=0,"",SUMIFS(BD!$T$3:$T$5001,BD!$A$3:$A$5001,Y$3,BD!$B$3:$B$5001,$A$66)))</f>
        <v/>
      </c>
      <c r="Z77" s="185" t="str">
        <f>IF(Z$3="","",IF(COUNTIFS(BD!$A$3:$A$5001,Z$3,BD!$B$3:$B$5001,$A$66,BD!$T$3:$T$5001,"&lt;&gt;")=0,"",SUMIFS(BD!$T$3:$T$5001,BD!$A$3:$A$5001,Z$3,BD!$B$3:$B$5001,$A$66)))</f>
        <v/>
      </c>
      <c r="AA77" s="185" t="str">
        <f>IF(AA$3="","",IF(COUNTIFS(BD!$A$3:$A$5001,AA$3,BD!$B$3:$B$5001,$A$66,BD!$T$3:$T$5001,"&lt;&gt;")=0,"",SUMIFS(BD!$T$3:$T$5001,BD!$A$3:$A$5001,AA$3,BD!$B$3:$B$5001,$A$66)))</f>
        <v/>
      </c>
      <c r="AB77" s="185" t="str">
        <f>IF(AB$3="","",IF(COUNTIFS(BD!$A$3:$A$5001,AB$3,BD!$B$3:$B$5001,$A$66,BD!$T$3:$T$5001,"&lt;&gt;")=0,"",SUMIFS(BD!$T$3:$T$5001,BD!$A$3:$A$5001,AB$3,BD!$B$3:$B$5001,$A$66)))</f>
        <v/>
      </c>
      <c r="AC77" s="185" t="str">
        <f>IF(AC$3="","",IF(COUNTIFS(BD!$A$3:$A$5001,AC$3,BD!$B$3:$B$5001,$A$66,BD!$T$3:$T$5001,"&lt;&gt;")=0,"",SUMIFS(BD!$T$3:$T$5001,BD!$A$3:$A$5001,AC$3,BD!$B$3:$B$5001,$A$66)))</f>
        <v/>
      </c>
      <c r="AD77" s="185" t="str">
        <f>IF(AD$3="","",IF(COUNTIFS(BD!$A$3:$A$5001,AD$3,BD!$B$3:$B$5001,$A$66,BD!$T$3:$T$5001,"&lt;&gt;")=0,"",SUMIFS(BD!$T$3:$T$5001,BD!$A$3:$A$5001,AD$3,BD!$B$3:$B$5001,$A$66)))</f>
        <v/>
      </c>
      <c r="AE77" s="185" t="str">
        <f>IF(AE$3="","",IF(COUNTIFS(BD!$A$3:$A$5001,AE$3,BD!$B$3:$B$5001,$A$66,BD!$T$3:$T$5001,"&lt;&gt;")=0,"",SUMIFS(BD!$T$3:$T$5001,BD!$A$3:$A$5001,AE$3,BD!$B$3:$B$5001,$A$66)))</f>
        <v/>
      </c>
      <c r="AF77" s="185" t="str">
        <f>IF(AF$3="","",IF(COUNTIFS(BD!$A$3:$A$5001,AF$3,BD!$B$3:$B$5001,$A$66,BD!$T$3:$T$5001,"&lt;&gt;")=0,"",SUMIFS(BD!$T$3:$T$5001,BD!$A$3:$A$5001,AF$3,BD!$B$3:$B$5001,$A$66)))</f>
        <v/>
      </c>
      <c r="AG77" s="185" t="str">
        <f>IF(AG$3="","",IF(COUNTIFS(BD!$A$3:$A$5001,AG$3,BD!$B$3:$B$5001,$A$66,BD!$T$3:$T$5001,"&lt;&gt;")=0,"",SUMIFS(BD!$T$3:$T$5001,BD!$A$3:$A$5001,AG$3,BD!$B$3:$B$5001,$A$66)))</f>
        <v/>
      </c>
      <c r="AH77" s="185" t="str">
        <f>IF(AH$3="","",IF(COUNTIFS(BD!$A$3:$A$5001,AH$3,BD!$B$3:$B$5001,$A$66,BD!$T$3:$T$5001,"&lt;&gt;")=0,"",SUMIFS(BD!$T$3:$T$5001,BD!$A$3:$A$5001,AH$3,BD!$B$3:$B$5001,$A$66)))</f>
        <v/>
      </c>
      <c r="AI77" s="185" t="str">
        <f>IF(AI$3="","",IF(COUNTIFS(BD!$A$3:$A$5001,AI$3,BD!$B$3:$B$5001,$A$66,BD!$T$3:$T$5001,"&lt;&gt;")=0,"",SUMIFS(BD!$T$3:$T$5001,BD!$A$3:$A$5001,AI$3,BD!$B$3:$B$5001,$A$66)))</f>
        <v/>
      </c>
      <c r="AJ77" s="186" t="str">
        <f>IF(AJ$3="","",IF(COUNTIFS(BD!$A$3:$A$5001,AJ$3,BD!$B$3:$B$5001,$A$66,BD!$T$3:$T$5001,"&lt;&gt;")=0,"",SUMIFS(BD!$T$3:$T$5001,BD!$A$3:$A$5001,AJ$3,BD!$B$3:$B$5001,$A$66)))</f>
        <v/>
      </c>
      <c r="AK77" s="187" t="str">
        <f>IF(COUNT(F77:AJ77)=0,"",SUM(F77:AJ77))</f>
        <v/>
      </c>
    </row>
    <row r="78" ht="15.75" customHeight="1">
      <c r="A78" s="244"/>
      <c r="B78" s="237"/>
      <c r="C78" s="188" t="inlineStr">
        <is>
          <t xml:space="preserve">No show</t>
        </is>
      </c>
      <c r="D78" s="189" t="str">
        <f>IFERROR(1/(1/INDEX(BD!$AJ$41:$BD$41,MATCH($A$66,BD!$AJ$22:$BD$22,0))),"")</f>
        <v/>
      </c>
      <c r="E78" s="190"/>
      <c r="F78" s="191" t="str">
        <f>IF(F$3="","",IF(COUNTIFS(BD!$A$3:$A$5001,F$3,BD!$B$3:$B$5001,$A$66,BD!$U$3:$U$5001,"&lt;&gt;")=0,"",SUMIFS(BD!$U$3:$U$5001,BD!$A$3:$A$5001,F$3,BD!$B$3:$B$5001,$A$66)))</f>
        <v/>
      </c>
      <c r="G78" s="192" t="str">
        <f>IF(G$3="","",IF(COUNTIFS(BD!$A$3:$A$5001,G$3,BD!$B$3:$B$5001,$A$66,BD!$U$3:$U$5001,"&lt;&gt;")=0,"",SUMIFS(BD!$U$3:$U$5001,BD!$A$3:$A$5001,G$3,BD!$B$3:$B$5001,$A$66)))</f>
        <v/>
      </c>
      <c r="H78" s="192" t="str">
        <f>IF(H$3="","",IF(COUNTIFS(BD!$A$3:$A$5001,H$3,BD!$B$3:$B$5001,$A$66,BD!$U$3:$U$5001,"&lt;&gt;")=0,"",SUMIFS(BD!$U$3:$U$5001,BD!$A$3:$A$5001,H$3,BD!$B$3:$B$5001,$A$66)))</f>
        <v/>
      </c>
      <c r="I78" s="192" t="str">
        <f>IF(I$3="","",IF(COUNTIFS(BD!$A$3:$A$5001,I$3,BD!$B$3:$B$5001,$A$66,BD!$U$3:$U$5001,"&lt;&gt;")=0,"",SUMIFS(BD!$U$3:$U$5001,BD!$A$3:$A$5001,I$3,BD!$B$3:$B$5001,$A$66)))</f>
        <v/>
      </c>
      <c r="J78" s="192" t="str">
        <f>IF(J$3="","",IF(COUNTIFS(BD!$A$3:$A$5001,J$3,BD!$B$3:$B$5001,$A$66,BD!$U$3:$U$5001,"&lt;&gt;")=0,"",SUMIFS(BD!$U$3:$U$5001,BD!$A$3:$A$5001,J$3,BD!$B$3:$B$5001,$A$66)))</f>
        <v/>
      </c>
      <c r="K78" s="192" t="str">
        <f>IF(K$3="","",IF(COUNTIFS(BD!$A$3:$A$5001,K$3,BD!$B$3:$B$5001,$A$66,BD!$U$3:$U$5001,"&lt;&gt;")=0,"",SUMIFS(BD!$U$3:$U$5001,BD!$A$3:$A$5001,K$3,BD!$B$3:$B$5001,$A$66)))</f>
        <v/>
      </c>
      <c r="L78" s="192" t="str">
        <f>IF(L$3="","",IF(COUNTIFS(BD!$A$3:$A$5001,L$3,BD!$B$3:$B$5001,$A$66,BD!$U$3:$U$5001,"&lt;&gt;")=0,"",SUMIFS(BD!$U$3:$U$5001,BD!$A$3:$A$5001,L$3,BD!$B$3:$B$5001,$A$66)))</f>
        <v/>
      </c>
      <c r="M78" s="192" t="str">
        <f>IF(M$3="","",IF(COUNTIFS(BD!$A$3:$A$5001,M$3,BD!$B$3:$B$5001,$A$66,BD!$U$3:$U$5001,"&lt;&gt;")=0,"",SUMIFS(BD!$U$3:$U$5001,BD!$A$3:$A$5001,M$3,BD!$B$3:$B$5001,$A$66)))</f>
        <v/>
      </c>
      <c r="N78" s="192" t="str">
        <f>IF(N$3="","",IF(COUNTIFS(BD!$A$3:$A$5001,N$3,BD!$B$3:$B$5001,$A$66,BD!$U$3:$U$5001,"&lt;&gt;")=0,"",SUMIFS(BD!$U$3:$U$5001,BD!$A$3:$A$5001,N$3,BD!$B$3:$B$5001,$A$66)))</f>
        <v/>
      </c>
      <c r="O78" s="192" t="str">
        <f>IF(O$3="","",IF(COUNTIFS(BD!$A$3:$A$5001,O$3,BD!$B$3:$B$5001,$A$66,BD!$U$3:$U$5001,"&lt;&gt;")=0,"",SUMIFS(BD!$U$3:$U$5001,BD!$A$3:$A$5001,O$3,BD!$B$3:$B$5001,$A$66)))</f>
        <v/>
      </c>
      <c r="P78" s="192" t="str">
        <f>IF(P$3="","",IF(COUNTIFS(BD!$A$3:$A$5001,P$3,BD!$B$3:$B$5001,$A$66,BD!$U$3:$U$5001,"&lt;&gt;")=0,"",SUMIFS(BD!$U$3:$U$5001,BD!$A$3:$A$5001,P$3,BD!$B$3:$B$5001,$A$66)))</f>
        <v/>
      </c>
      <c r="Q78" s="192" t="str">
        <f>IF(Q$3="","",IF(COUNTIFS(BD!$A$3:$A$5001,Q$3,BD!$B$3:$B$5001,$A$66,BD!$U$3:$U$5001,"&lt;&gt;")=0,"",SUMIFS(BD!$U$3:$U$5001,BD!$A$3:$A$5001,Q$3,BD!$B$3:$B$5001,$A$66)))</f>
        <v/>
      </c>
      <c r="R78" s="192" t="str">
        <f>IF(R$3="","",IF(COUNTIFS(BD!$A$3:$A$5001,R$3,BD!$B$3:$B$5001,$A$66,BD!$U$3:$U$5001,"&lt;&gt;")=0,"",SUMIFS(BD!$U$3:$U$5001,BD!$A$3:$A$5001,R$3,BD!$B$3:$B$5001,$A$66)))</f>
        <v/>
      </c>
      <c r="S78" s="192" t="str">
        <f>IF(S$3="","",IF(COUNTIFS(BD!$A$3:$A$5001,S$3,BD!$B$3:$B$5001,$A$66,BD!$U$3:$U$5001,"&lt;&gt;")=0,"",SUMIFS(BD!$U$3:$U$5001,BD!$A$3:$A$5001,S$3,BD!$B$3:$B$5001,$A$66)))</f>
        <v/>
      </c>
      <c r="T78" s="192" t="str">
        <f>IF(T$3="","",IF(COUNTIFS(BD!$A$3:$A$5001,T$3,BD!$B$3:$B$5001,$A$66,BD!$U$3:$U$5001,"&lt;&gt;")=0,"",SUMIFS(BD!$U$3:$U$5001,BD!$A$3:$A$5001,T$3,BD!$B$3:$B$5001,$A$66)))</f>
        <v/>
      </c>
      <c r="U78" s="192" t="str">
        <f>IF(U$3="","",IF(COUNTIFS(BD!$A$3:$A$5001,U$3,BD!$B$3:$B$5001,$A$66,BD!$U$3:$U$5001,"&lt;&gt;")=0,"",SUMIFS(BD!$U$3:$U$5001,BD!$A$3:$A$5001,U$3,BD!$B$3:$B$5001,$A$66)))</f>
        <v/>
      </c>
      <c r="V78" s="192" t="str">
        <f>IF(V$3="","",IF(COUNTIFS(BD!$A$3:$A$5001,V$3,BD!$B$3:$B$5001,$A$66,BD!$U$3:$U$5001,"&lt;&gt;")=0,"",SUMIFS(BD!$U$3:$U$5001,BD!$A$3:$A$5001,V$3,BD!$B$3:$B$5001,$A$66)))</f>
        <v/>
      </c>
      <c r="W78" s="192" t="str">
        <f>IF(W$3="","",IF(COUNTIFS(BD!$A$3:$A$5001,W$3,BD!$B$3:$B$5001,$A$66,BD!$U$3:$U$5001,"&lt;&gt;")=0,"",SUMIFS(BD!$U$3:$U$5001,BD!$A$3:$A$5001,W$3,BD!$B$3:$B$5001,$A$66)))</f>
        <v/>
      </c>
      <c r="X78" s="192" t="str">
        <f>IF(X$3="","",IF(COUNTIFS(BD!$A$3:$A$5001,X$3,BD!$B$3:$B$5001,$A$66,BD!$U$3:$U$5001,"&lt;&gt;")=0,"",SUMIFS(BD!$U$3:$U$5001,BD!$A$3:$A$5001,X$3,BD!$B$3:$B$5001,$A$66)))</f>
        <v/>
      </c>
      <c r="Y78" s="192" t="str">
        <f>IF(Y$3="","",IF(COUNTIFS(BD!$A$3:$A$5001,Y$3,BD!$B$3:$B$5001,$A$66,BD!$U$3:$U$5001,"&lt;&gt;")=0,"",SUMIFS(BD!$U$3:$U$5001,BD!$A$3:$A$5001,Y$3,BD!$B$3:$B$5001,$A$66)))</f>
        <v/>
      </c>
      <c r="Z78" s="192" t="str">
        <f>IF(Z$3="","",IF(COUNTIFS(BD!$A$3:$A$5001,Z$3,BD!$B$3:$B$5001,$A$66,BD!$U$3:$U$5001,"&lt;&gt;")=0,"",SUMIFS(BD!$U$3:$U$5001,BD!$A$3:$A$5001,Z$3,BD!$B$3:$B$5001,$A$66)))</f>
        <v/>
      </c>
      <c r="AA78" s="192" t="str">
        <f>IF(AA$3="","",IF(COUNTIFS(BD!$A$3:$A$5001,AA$3,BD!$B$3:$B$5001,$A$66,BD!$U$3:$U$5001,"&lt;&gt;")=0,"",SUMIFS(BD!$U$3:$U$5001,BD!$A$3:$A$5001,AA$3,BD!$B$3:$B$5001,$A$66)))</f>
        <v/>
      </c>
      <c r="AB78" s="192" t="str">
        <f>IF(AB$3="","",IF(COUNTIFS(BD!$A$3:$A$5001,AB$3,BD!$B$3:$B$5001,$A$66,BD!$U$3:$U$5001,"&lt;&gt;")=0,"",SUMIFS(BD!$U$3:$U$5001,BD!$A$3:$A$5001,AB$3,BD!$B$3:$B$5001,$A$66)))</f>
        <v/>
      </c>
      <c r="AC78" s="192" t="str">
        <f>IF(AC$3="","",IF(COUNTIFS(BD!$A$3:$A$5001,AC$3,BD!$B$3:$B$5001,$A$66,BD!$U$3:$U$5001,"&lt;&gt;")=0,"",SUMIFS(BD!$U$3:$U$5001,BD!$A$3:$A$5001,AC$3,BD!$B$3:$B$5001,$A$66)))</f>
        <v/>
      </c>
      <c r="AD78" s="192" t="str">
        <f>IF(AD$3="","",IF(COUNTIFS(BD!$A$3:$A$5001,AD$3,BD!$B$3:$B$5001,$A$66,BD!$U$3:$U$5001,"&lt;&gt;")=0,"",SUMIFS(BD!$U$3:$U$5001,BD!$A$3:$A$5001,AD$3,BD!$B$3:$B$5001,$A$66)))</f>
        <v/>
      </c>
      <c r="AE78" s="192" t="str">
        <f>IF(AE$3="","",IF(COUNTIFS(BD!$A$3:$A$5001,AE$3,BD!$B$3:$B$5001,$A$66,BD!$U$3:$U$5001,"&lt;&gt;")=0,"",SUMIFS(BD!$U$3:$U$5001,BD!$A$3:$A$5001,AE$3,BD!$B$3:$B$5001,$A$66)))</f>
        <v/>
      </c>
      <c r="AF78" s="192" t="str">
        <f>IF(AF$3="","",IF(COUNTIFS(BD!$A$3:$A$5001,AF$3,BD!$B$3:$B$5001,$A$66,BD!$U$3:$U$5001,"&lt;&gt;")=0,"",SUMIFS(BD!$U$3:$U$5001,BD!$A$3:$A$5001,AF$3,BD!$B$3:$B$5001,$A$66)))</f>
        <v/>
      </c>
      <c r="AG78" s="192" t="str">
        <f>IF(AG$3="","",IF(COUNTIFS(BD!$A$3:$A$5001,AG$3,BD!$B$3:$B$5001,$A$66,BD!$U$3:$U$5001,"&lt;&gt;")=0,"",SUMIFS(BD!$U$3:$U$5001,BD!$A$3:$A$5001,AG$3,BD!$B$3:$B$5001,$A$66)))</f>
        <v/>
      </c>
      <c r="AH78" s="192" t="str">
        <f>IF(AH$3="","",IF(COUNTIFS(BD!$A$3:$A$5001,AH$3,BD!$B$3:$B$5001,$A$66,BD!$U$3:$U$5001,"&lt;&gt;")=0,"",SUMIFS(BD!$U$3:$U$5001,BD!$A$3:$A$5001,AH$3,BD!$B$3:$B$5001,$A$66)))</f>
        <v/>
      </c>
      <c r="AI78" s="192" t="str">
        <f>IF(AI$3="","",IF(COUNTIFS(BD!$A$3:$A$5001,AI$3,BD!$B$3:$B$5001,$A$66,BD!$U$3:$U$5001,"&lt;&gt;")=0,"",SUMIFS(BD!$U$3:$U$5001,BD!$A$3:$A$5001,AI$3,BD!$B$3:$B$5001,$A$66)))</f>
        <v/>
      </c>
      <c r="AJ78" s="193" t="str">
        <f>IF(AJ$3="","",IF(COUNTIFS(BD!$A$3:$A$5001,AJ$3,BD!$B$3:$B$5001,$A$66,BD!$U$3:$U$5001,"&lt;&gt;")=0,"",SUMIFS(BD!$U$3:$U$5001,BD!$A$3:$A$5001,AJ$3,BD!$B$3:$B$5001,$A$66)))</f>
        <v/>
      </c>
      <c r="AK78" s="194" t="str">
        <f>IF(COUNT(F78:AJ78)=0,"",SUM(F78:AJ78))</f>
        <v/>
      </c>
    </row>
    <row r="79" ht="15.75" customHeight="1">
      <c r="A79" s="244"/>
      <c r="B79" s="238"/>
      <c r="C79" s="195" t="inlineStr">
        <is>
          <t xml:space="preserve">Backlog</t>
        </is>
      </c>
      <c r="D79" s="196" t="str">
        <f>IFERROR(1/(1/INDEX(BD!$AJ$42:$BD$42,MATCH($A$66,BD!$AJ$22:$BD$22,0))),"")</f>
        <v/>
      </c>
      <c r="E79" s="197"/>
      <c r="F79" s="198" t="str">
        <f>IF(F$3="","",IF(COUNTIFS(BD!$A$3:$A$5001,F$3,BD!$B$3:$B$5001,$A$66,BD!$V$3:$V$5001,"&lt;&gt;")=0,"",SUMIFS(BD!$V$3:$V$5001,BD!$A$3:$A$5001,F$3,BD!$B$3:$B$5001,$A$66)))</f>
        <v/>
      </c>
      <c r="G79" s="199" t="str">
        <f>IF(G$3="","",IF(COUNTIFS(BD!$A$3:$A$5001,G$3,BD!$B$3:$B$5001,$A$66,BD!$V$3:$V$5001,"&lt;&gt;")=0,"",SUMIFS(BD!$V$3:$V$5001,BD!$A$3:$A$5001,G$3,BD!$B$3:$B$5001,$A$66)))</f>
        <v/>
      </c>
      <c r="H79" s="199" t="str">
        <f>IF(H$3="","",IF(COUNTIFS(BD!$A$3:$A$5001,H$3,BD!$B$3:$B$5001,$A$66,BD!$V$3:$V$5001,"&lt;&gt;")=0,"",SUMIFS(BD!$V$3:$V$5001,BD!$A$3:$A$5001,H$3,BD!$B$3:$B$5001,$A$66)))</f>
        <v/>
      </c>
      <c r="I79" s="199" t="str">
        <f>IF(I$3="","",IF(COUNTIFS(BD!$A$3:$A$5001,I$3,BD!$B$3:$B$5001,$A$66,BD!$V$3:$V$5001,"&lt;&gt;")=0,"",SUMIFS(BD!$V$3:$V$5001,BD!$A$3:$A$5001,I$3,BD!$B$3:$B$5001,$A$66)))</f>
        <v/>
      </c>
      <c r="J79" s="199" t="str">
        <f>IF(J$3="","",IF(COUNTIFS(BD!$A$3:$A$5001,J$3,BD!$B$3:$B$5001,$A$66,BD!$V$3:$V$5001,"&lt;&gt;")=0,"",SUMIFS(BD!$V$3:$V$5001,BD!$A$3:$A$5001,J$3,BD!$B$3:$B$5001,$A$66)))</f>
        <v/>
      </c>
      <c r="K79" s="199" t="str">
        <f>IF(K$3="","",IF(COUNTIFS(BD!$A$3:$A$5001,K$3,BD!$B$3:$B$5001,$A$66,BD!$V$3:$V$5001,"&lt;&gt;")=0,"",SUMIFS(BD!$V$3:$V$5001,BD!$A$3:$A$5001,K$3,BD!$B$3:$B$5001,$A$66)))</f>
        <v/>
      </c>
      <c r="L79" s="199" t="str">
        <f>IF(L$3="","",IF(COUNTIFS(BD!$A$3:$A$5001,L$3,BD!$B$3:$B$5001,$A$66,BD!$V$3:$V$5001,"&lt;&gt;")=0,"",SUMIFS(BD!$V$3:$V$5001,BD!$A$3:$A$5001,L$3,BD!$B$3:$B$5001,$A$66)))</f>
        <v/>
      </c>
      <c r="M79" s="199" t="str">
        <f>IF(M$3="","",IF(COUNTIFS(BD!$A$3:$A$5001,M$3,BD!$B$3:$B$5001,$A$66,BD!$V$3:$V$5001,"&lt;&gt;")=0,"",SUMIFS(BD!$V$3:$V$5001,BD!$A$3:$A$5001,M$3,BD!$B$3:$B$5001,$A$66)))</f>
        <v/>
      </c>
      <c r="N79" s="199" t="str">
        <f>IF(N$3="","",IF(COUNTIFS(BD!$A$3:$A$5001,N$3,BD!$B$3:$B$5001,$A$66,BD!$V$3:$V$5001,"&lt;&gt;")=0,"",SUMIFS(BD!$V$3:$V$5001,BD!$A$3:$A$5001,N$3,BD!$B$3:$B$5001,$A$66)))</f>
        <v/>
      </c>
      <c r="O79" s="199" t="str">
        <f>IF(O$3="","",IF(COUNTIFS(BD!$A$3:$A$5001,O$3,BD!$B$3:$B$5001,$A$66,BD!$V$3:$V$5001,"&lt;&gt;")=0,"",SUMIFS(BD!$V$3:$V$5001,BD!$A$3:$A$5001,O$3,BD!$B$3:$B$5001,$A$66)))</f>
        <v/>
      </c>
      <c r="P79" s="199" t="str">
        <f>IF(P$3="","",IF(COUNTIFS(BD!$A$3:$A$5001,P$3,BD!$B$3:$B$5001,$A$66,BD!$V$3:$V$5001,"&lt;&gt;")=0,"",SUMIFS(BD!$V$3:$V$5001,BD!$A$3:$A$5001,P$3,BD!$B$3:$B$5001,$A$66)))</f>
        <v/>
      </c>
      <c r="Q79" s="199" t="str">
        <f>IF(Q$3="","",IF(COUNTIFS(BD!$A$3:$A$5001,Q$3,BD!$B$3:$B$5001,$A$66,BD!$V$3:$V$5001,"&lt;&gt;")=0,"",SUMIFS(BD!$V$3:$V$5001,BD!$A$3:$A$5001,Q$3,BD!$B$3:$B$5001,$A$66)))</f>
        <v/>
      </c>
      <c r="R79" s="199" t="str">
        <f>IF(R$3="","",IF(COUNTIFS(BD!$A$3:$A$5001,R$3,BD!$B$3:$B$5001,$A$66,BD!$V$3:$V$5001,"&lt;&gt;")=0,"",SUMIFS(BD!$V$3:$V$5001,BD!$A$3:$A$5001,R$3,BD!$B$3:$B$5001,$A$66)))</f>
        <v/>
      </c>
      <c r="S79" s="199" t="str">
        <f>IF(S$3="","",IF(COUNTIFS(BD!$A$3:$A$5001,S$3,BD!$B$3:$B$5001,$A$66,BD!$V$3:$V$5001,"&lt;&gt;")=0,"",SUMIFS(BD!$V$3:$V$5001,BD!$A$3:$A$5001,S$3,BD!$B$3:$B$5001,$A$66)))</f>
        <v/>
      </c>
      <c r="T79" s="199" t="str">
        <f>IF(T$3="","",IF(COUNTIFS(BD!$A$3:$A$5001,T$3,BD!$B$3:$B$5001,$A$66,BD!$V$3:$V$5001,"&lt;&gt;")=0,"",SUMIFS(BD!$V$3:$V$5001,BD!$A$3:$A$5001,T$3,BD!$B$3:$B$5001,$A$66)))</f>
        <v/>
      </c>
      <c r="U79" s="199" t="str">
        <f>IF(U$3="","",IF(COUNTIFS(BD!$A$3:$A$5001,U$3,BD!$B$3:$B$5001,$A$66,BD!$V$3:$V$5001,"&lt;&gt;")=0,"",SUMIFS(BD!$V$3:$V$5001,BD!$A$3:$A$5001,U$3,BD!$B$3:$B$5001,$A$66)))</f>
        <v/>
      </c>
      <c r="V79" s="199" t="str">
        <f>IF(V$3="","",IF(COUNTIFS(BD!$A$3:$A$5001,V$3,BD!$B$3:$B$5001,$A$66,BD!$V$3:$V$5001,"&lt;&gt;")=0,"",SUMIFS(BD!$V$3:$V$5001,BD!$A$3:$A$5001,V$3,BD!$B$3:$B$5001,$A$66)))</f>
        <v/>
      </c>
      <c r="W79" s="199" t="str">
        <f>IF(W$3="","",IF(COUNTIFS(BD!$A$3:$A$5001,W$3,BD!$B$3:$B$5001,$A$66,BD!$V$3:$V$5001,"&lt;&gt;")=0,"",SUMIFS(BD!$V$3:$V$5001,BD!$A$3:$A$5001,W$3,BD!$B$3:$B$5001,$A$66)))</f>
        <v/>
      </c>
      <c r="X79" s="199" t="str">
        <f>IF(X$3="","",IF(COUNTIFS(BD!$A$3:$A$5001,X$3,BD!$B$3:$B$5001,$A$66,BD!$V$3:$V$5001,"&lt;&gt;")=0,"",SUMIFS(BD!$V$3:$V$5001,BD!$A$3:$A$5001,X$3,BD!$B$3:$B$5001,$A$66)))</f>
        <v/>
      </c>
      <c r="Y79" s="199" t="str">
        <f>IF(Y$3="","",IF(COUNTIFS(BD!$A$3:$A$5001,Y$3,BD!$B$3:$B$5001,$A$66,BD!$V$3:$V$5001,"&lt;&gt;")=0,"",SUMIFS(BD!$V$3:$V$5001,BD!$A$3:$A$5001,Y$3,BD!$B$3:$B$5001,$A$66)))</f>
        <v/>
      </c>
      <c r="Z79" s="199" t="str">
        <f>IF(Z$3="","",IF(COUNTIFS(BD!$A$3:$A$5001,Z$3,BD!$B$3:$B$5001,$A$66,BD!$V$3:$V$5001,"&lt;&gt;")=0,"",SUMIFS(BD!$V$3:$V$5001,BD!$A$3:$A$5001,Z$3,BD!$B$3:$B$5001,$A$66)))</f>
        <v/>
      </c>
      <c r="AA79" s="199" t="str">
        <f>IF(AA$3="","",IF(COUNTIFS(BD!$A$3:$A$5001,AA$3,BD!$B$3:$B$5001,$A$66,BD!$V$3:$V$5001,"&lt;&gt;")=0,"",SUMIFS(BD!$V$3:$V$5001,BD!$A$3:$A$5001,AA$3,BD!$B$3:$B$5001,$A$66)))</f>
        <v/>
      </c>
      <c r="AB79" s="199" t="str">
        <f>IF(AB$3="","",IF(COUNTIFS(BD!$A$3:$A$5001,AB$3,BD!$B$3:$B$5001,$A$66,BD!$V$3:$V$5001,"&lt;&gt;")=0,"",SUMIFS(BD!$V$3:$V$5001,BD!$A$3:$A$5001,AB$3,BD!$B$3:$B$5001,$A$66)))</f>
        <v/>
      </c>
      <c r="AC79" s="199" t="str">
        <f>IF(AC$3="","",IF(COUNTIFS(BD!$A$3:$A$5001,AC$3,BD!$B$3:$B$5001,$A$66,BD!$V$3:$V$5001,"&lt;&gt;")=0,"",SUMIFS(BD!$V$3:$V$5001,BD!$A$3:$A$5001,AC$3,BD!$B$3:$B$5001,$A$66)))</f>
        <v/>
      </c>
      <c r="AD79" s="199" t="str">
        <f>IF(AD$3="","",IF(COUNTIFS(BD!$A$3:$A$5001,AD$3,BD!$B$3:$B$5001,$A$66,BD!$V$3:$V$5001,"&lt;&gt;")=0,"",SUMIFS(BD!$V$3:$V$5001,BD!$A$3:$A$5001,AD$3,BD!$B$3:$B$5001,$A$66)))</f>
        <v/>
      </c>
      <c r="AE79" s="199" t="str">
        <f>IF(AE$3="","",IF(COUNTIFS(BD!$A$3:$A$5001,AE$3,BD!$B$3:$B$5001,$A$66,BD!$V$3:$V$5001,"&lt;&gt;")=0,"",SUMIFS(BD!$V$3:$V$5001,BD!$A$3:$A$5001,AE$3,BD!$B$3:$B$5001,$A$66)))</f>
        <v/>
      </c>
      <c r="AF79" s="199" t="str">
        <f>IF(AF$3="","",IF(COUNTIFS(BD!$A$3:$A$5001,AF$3,BD!$B$3:$B$5001,$A$66,BD!$V$3:$V$5001,"&lt;&gt;")=0,"",SUMIFS(BD!$V$3:$V$5001,BD!$A$3:$A$5001,AF$3,BD!$B$3:$B$5001,$A$66)))</f>
        <v/>
      </c>
      <c r="AG79" s="199" t="str">
        <f>IF(AG$3="","",IF(COUNTIFS(BD!$A$3:$A$5001,AG$3,BD!$B$3:$B$5001,$A$66,BD!$V$3:$V$5001,"&lt;&gt;")=0,"",SUMIFS(BD!$V$3:$V$5001,BD!$A$3:$A$5001,AG$3,BD!$B$3:$B$5001,$A$66)))</f>
        <v/>
      </c>
      <c r="AH79" s="199" t="str">
        <f>IF(AH$3="","",IF(COUNTIFS(BD!$A$3:$A$5001,AH$3,BD!$B$3:$B$5001,$A$66,BD!$V$3:$V$5001,"&lt;&gt;")=0,"",SUMIFS(BD!$V$3:$V$5001,BD!$A$3:$A$5001,AH$3,BD!$B$3:$B$5001,$A$66)))</f>
        <v/>
      </c>
      <c r="AI79" s="199" t="str">
        <f>IF(AI$3="","",IF(COUNTIFS(BD!$A$3:$A$5001,AI$3,BD!$B$3:$B$5001,$A$66,BD!$V$3:$V$5001,"&lt;&gt;")=0,"",SUMIFS(BD!$V$3:$V$5001,BD!$A$3:$A$5001,AI$3,BD!$B$3:$B$5001,$A$66)))</f>
        <v/>
      </c>
      <c r="AJ79" s="200" t="str">
        <f>IF(AJ$3="","",IF(COUNTIFS(BD!$A$3:$A$5001,AJ$3,BD!$B$3:$B$5001,$A$66,BD!$V$3:$V$5001,"&lt;&gt;")=0,"",SUMIFS(BD!$V$3:$V$5001,BD!$A$3:$A$5001,AJ$3,BD!$B$3:$B$5001,$A$66)))</f>
        <v/>
      </c>
      <c r="AK79" s="196" t="str">
        <f>IFERROR(LOOKUP(9.99E+307,F79:AJ79),"")</f>
        <v/>
      </c>
    </row>
    <row r="80" ht="15.75" customHeight="1">
      <c r="A80" s="244"/>
      <c r="B80" s="232" t="inlineStr">
        <is>
          <t xml:space="preserve">OCUPAÇÃO (P.P)</t>
        </is>
      </c>
      <c r="C80" s="155" t="inlineStr">
        <is>
          <t xml:space="preserve">Posições Disponíveis</t>
        </is>
      </c>
      <c r="D80" s="156" t="str">
        <f>IFERROR(1/(1/INDEX(BD!$AJ$43:$BD$43,MATCH($A$66,BD!$AJ$22:$BD$22,0))),"")</f>
        <v/>
      </c>
      <c r="E80" s="157"/>
      <c r="F80" s="158" t="str">
        <f>IF(F$3="","",IF(COUNTIFS(BD!$A$3:$A$5001,F$3,BD!$B$3:$B$5001,$A$66,BD!$W$3:$W$5001,"&lt;&gt;")=0,"",SUMIFS(BD!$W$3:$W$5001,BD!$A$3:$A$5001,F$3,BD!$B$3:$B$5001,$A$66)))</f>
        <v/>
      </c>
      <c r="G80" s="159" t="str">
        <f>IF(G$3="","",IF(COUNTIFS(BD!$A$3:$A$5001,G$3,BD!$B$3:$B$5001,$A$66,BD!$W$3:$W$5001,"&lt;&gt;")=0,"",SUMIFS(BD!$W$3:$W$5001,BD!$A$3:$A$5001,G$3,BD!$B$3:$B$5001,$A$66)))</f>
        <v/>
      </c>
      <c r="H80" s="159" t="str">
        <f>IF(H$3="","",IF(COUNTIFS(BD!$A$3:$A$5001,H$3,BD!$B$3:$B$5001,$A$66,BD!$W$3:$W$5001,"&lt;&gt;")=0,"",SUMIFS(BD!$W$3:$W$5001,BD!$A$3:$A$5001,H$3,BD!$B$3:$B$5001,$A$66)))</f>
        <v/>
      </c>
      <c r="I80" s="159" t="str">
        <f>IF(I$3="","",IF(COUNTIFS(BD!$A$3:$A$5001,I$3,BD!$B$3:$B$5001,$A$66,BD!$W$3:$W$5001,"&lt;&gt;")=0,"",SUMIFS(BD!$W$3:$W$5001,BD!$A$3:$A$5001,I$3,BD!$B$3:$B$5001,$A$66)))</f>
        <v/>
      </c>
      <c r="J80" s="159" t="str">
        <f>IF(J$3="","",IF(COUNTIFS(BD!$A$3:$A$5001,J$3,BD!$B$3:$B$5001,$A$66,BD!$W$3:$W$5001,"&lt;&gt;")=0,"",SUMIFS(BD!$W$3:$W$5001,BD!$A$3:$A$5001,J$3,BD!$B$3:$B$5001,$A$66)))</f>
        <v/>
      </c>
      <c r="K80" s="159" t="str">
        <f>IF(K$3="","",IF(COUNTIFS(BD!$A$3:$A$5001,K$3,BD!$B$3:$B$5001,$A$66,BD!$W$3:$W$5001,"&lt;&gt;")=0,"",SUMIFS(BD!$W$3:$W$5001,BD!$A$3:$A$5001,K$3,BD!$B$3:$B$5001,$A$66)))</f>
        <v/>
      </c>
      <c r="L80" s="159" t="str">
        <f>IF(L$3="","",IF(COUNTIFS(BD!$A$3:$A$5001,L$3,BD!$B$3:$B$5001,$A$66,BD!$W$3:$W$5001,"&lt;&gt;")=0,"",SUMIFS(BD!$W$3:$W$5001,BD!$A$3:$A$5001,L$3,BD!$B$3:$B$5001,$A$66)))</f>
        <v/>
      </c>
      <c r="M80" s="159" t="str">
        <f>IF(M$3="","",IF(COUNTIFS(BD!$A$3:$A$5001,M$3,BD!$B$3:$B$5001,$A$66,BD!$W$3:$W$5001,"&lt;&gt;")=0,"",SUMIFS(BD!$W$3:$W$5001,BD!$A$3:$A$5001,M$3,BD!$B$3:$B$5001,$A$66)))</f>
        <v/>
      </c>
      <c r="N80" s="159" t="str">
        <f>IF(N$3="","",IF(COUNTIFS(BD!$A$3:$A$5001,N$3,BD!$B$3:$B$5001,$A$66,BD!$W$3:$W$5001,"&lt;&gt;")=0,"",SUMIFS(BD!$W$3:$W$5001,BD!$A$3:$A$5001,N$3,BD!$B$3:$B$5001,$A$66)))</f>
        <v/>
      </c>
      <c r="O80" s="159" t="str">
        <f>IF(O$3="","",IF(COUNTIFS(BD!$A$3:$A$5001,O$3,BD!$B$3:$B$5001,$A$66,BD!$W$3:$W$5001,"&lt;&gt;")=0,"",SUMIFS(BD!$W$3:$W$5001,BD!$A$3:$A$5001,O$3,BD!$B$3:$B$5001,$A$66)))</f>
        <v/>
      </c>
      <c r="P80" s="159" t="str">
        <f>IF(P$3="","",IF(COUNTIFS(BD!$A$3:$A$5001,P$3,BD!$B$3:$B$5001,$A$66,BD!$W$3:$W$5001,"&lt;&gt;")=0,"",SUMIFS(BD!$W$3:$W$5001,BD!$A$3:$A$5001,P$3,BD!$B$3:$B$5001,$A$66)))</f>
        <v/>
      </c>
      <c r="Q80" s="159" t="str">
        <f>IF(Q$3="","",IF(COUNTIFS(BD!$A$3:$A$5001,Q$3,BD!$B$3:$B$5001,$A$66,BD!$W$3:$W$5001,"&lt;&gt;")=0,"",SUMIFS(BD!$W$3:$W$5001,BD!$A$3:$A$5001,Q$3,BD!$B$3:$B$5001,$A$66)))</f>
        <v/>
      </c>
      <c r="R80" s="159" t="str">
        <f>IF(R$3="","",IF(COUNTIFS(BD!$A$3:$A$5001,R$3,BD!$B$3:$B$5001,$A$66,BD!$W$3:$W$5001,"&lt;&gt;")=0,"",SUMIFS(BD!$W$3:$W$5001,BD!$A$3:$A$5001,R$3,BD!$B$3:$B$5001,$A$66)))</f>
        <v/>
      </c>
      <c r="S80" s="159" t="str">
        <f>IF(S$3="","",IF(COUNTIFS(BD!$A$3:$A$5001,S$3,BD!$B$3:$B$5001,$A$66,BD!$W$3:$W$5001,"&lt;&gt;")=0,"",SUMIFS(BD!$W$3:$W$5001,BD!$A$3:$A$5001,S$3,BD!$B$3:$B$5001,$A$66)))</f>
        <v/>
      </c>
      <c r="T80" s="159" t="str">
        <f>IF(T$3="","",IF(COUNTIFS(BD!$A$3:$A$5001,T$3,BD!$B$3:$B$5001,$A$66,BD!$W$3:$W$5001,"&lt;&gt;")=0,"",SUMIFS(BD!$W$3:$W$5001,BD!$A$3:$A$5001,T$3,BD!$B$3:$B$5001,$A$66)))</f>
        <v/>
      </c>
      <c r="U80" s="159" t="str">
        <f>IF(U$3="","",IF(COUNTIFS(BD!$A$3:$A$5001,U$3,BD!$B$3:$B$5001,$A$66,BD!$W$3:$W$5001,"&lt;&gt;")=0,"",SUMIFS(BD!$W$3:$W$5001,BD!$A$3:$A$5001,U$3,BD!$B$3:$B$5001,$A$66)))</f>
        <v/>
      </c>
      <c r="V80" s="159" t="str">
        <f>IF(V$3="","",IF(COUNTIFS(BD!$A$3:$A$5001,V$3,BD!$B$3:$B$5001,$A$66,BD!$W$3:$W$5001,"&lt;&gt;")=0,"",SUMIFS(BD!$W$3:$W$5001,BD!$A$3:$A$5001,V$3,BD!$B$3:$B$5001,$A$66)))</f>
        <v/>
      </c>
      <c r="W80" s="159" t="str">
        <f>IF(W$3="","",IF(COUNTIFS(BD!$A$3:$A$5001,W$3,BD!$B$3:$B$5001,$A$66,BD!$W$3:$W$5001,"&lt;&gt;")=0,"",SUMIFS(BD!$W$3:$W$5001,BD!$A$3:$A$5001,W$3,BD!$B$3:$B$5001,$A$66)))</f>
        <v/>
      </c>
      <c r="X80" s="159" t="str">
        <f>IF(X$3="","",IF(COUNTIFS(BD!$A$3:$A$5001,X$3,BD!$B$3:$B$5001,$A$66,BD!$W$3:$W$5001,"&lt;&gt;")=0,"",SUMIFS(BD!$W$3:$W$5001,BD!$A$3:$A$5001,X$3,BD!$B$3:$B$5001,$A$66)))</f>
        <v/>
      </c>
      <c r="Y80" s="159" t="str">
        <f>IF(Y$3="","",IF(COUNTIFS(BD!$A$3:$A$5001,Y$3,BD!$B$3:$B$5001,$A$66,BD!$W$3:$W$5001,"&lt;&gt;")=0,"",SUMIFS(BD!$W$3:$W$5001,BD!$A$3:$A$5001,Y$3,BD!$B$3:$B$5001,$A$66)))</f>
        <v/>
      </c>
      <c r="Z80" s="159" t="str">
        <f>IF(Z$3="","",IF(COUNTIFS(BD!$A$3:$A$5001,Z$3,BD!$B$3:$B$5001,$A$66,BD!$W$3:$W$5001,"&lt;&gt;")=0,"",SUMIFS(BD!$W$3:$W$5001,BD!$A$3:$A$5001,Z$3,BD!$B$3:$B$5001,$A$66)))</f>
        <v/>
      </c>
      <c r="AA80" s="159" t="str">
        <f>IF(AA$3="","",IF(COUNTIFS(BD!$A$3:$A$5001,AA$3,BD!$B$3:$B$5001,$A$66,BD!$W$3:$W$5001,"&lt;&gt;")=0,"",SUMIFS(BD!$W$3:$W$5001,BD!$A$3:$A$5001,AA$3,BD!$B$3:$B$5001,$A$66)))</f>
        <v/>
      </c>
      <c r="AB80" s="159" t="str">
        <f>IF(AB$3="","",IF(COUNTIFS(BD!$A$3:$A$5001,AB$3,BD!$B$3:$B$5001,$A$66,BD!$W$3:$W$5001,"&lt;&gt;")=0,"",SUMIFS(BD!$W$3:$W$5001,BD!$A$3:$A$5001,AB$3,BD!$B$3:$B$5001,$A$66)))</f>
        <v/>
      </c>
      <c r="AC80" s="159" t="str">
        <f>IF(AC$3="","",IF(COUNTIFS(BD!$A$3:$A$5001,AC$3,BD!$B$3:$B$5001,$A$66,BD!$W$3:$W$5001,"&lt;&gt;")=0,"",SUMIFS(BD!$W$3:$W$5001,BD!$A$3:$A$5001,AC$3,BD!$B$3:$B$5001,$A$66)))</f>
        <v/>
      </c>
      <c r="AD80" s="159" t="str">
        <f>IF(AD$3="","",IF(COUNTIFS(BD!$A$3:$A$5001,AD$3,BD!$B$3:$B$5001,$A$66,BD!$W$3:$W$5001,"&lt;&gt;")=0,"",SUMIFS(BD!$W$3:$W$5001,BD!$A$3:$A$5001,AD$3,BD!$B$3:$B$5001,$A$66)))</f>
        <v/>
      </c>
      <c r="AE80" s="159" t="str">
        <f>IF(AE$3="","",IF(COUNTIFS(BD!$A$3:$A$5001,AE$3,BD!$B$3:$B$5001,$A$66,BD!$W$3:$W$5001,"&lt;&gt;")=0,"",SUMIFS(BD!$W$3:$W$5001,BD!$A$3:$A$5001,AE$3,BD!$B$3:$B$5001,$A$66)))</f>
        <v/>
      </c>
      <c r="AF80" s="159" t="str">
        <f>IF(AF$3="","",IF(COUNTIFS(BD!$A$3:$A$5001,AF$3,BD!$B$3:$B$5001,$A$66,BD!$W$3:$W$5001,"&lt;&gt;")=0,"",SUMIFS(BD!$W$3:$W$5001,BD!$A$3:$A$5001,AF$3,BD!$B$3:$B$5001,$A$66)))</f>
        <v/>
      </c>
      <c r="AG80" s="159" t="str">
        <f>IF(AG$3="","",IF(COUNTIFS(BD!$A$3:$A$5001,AG$3,BD!$B$3:$B$5001,$A$66,BD!$W$3:$W$5001,"&lt;&gt;")=0,"",SUMIFS(BD!$W$3:$W$5001,BD!$A$3:$A$5001,AG$3,BD!$B$3:$B$5001,$A$66)))</f>
        <v/>
      </c>
      <c r="AH80" s="159" t="str">
        <f>IF(AH$3="","",IF(COUNTIFS(BD!$A$3:$A$5001,AH$3,BD!$B$3:$B$5001,$A$66,BD!$W$3:$W$5001,"&lt;&gt;")=0,"",SUMIFS(BD!$W$3:$W$5001,BD!$A$3:$A$5001,AH$3,BD!$B$3:$B$5001,$A$66)))</f>
        <v/>
      </c>
      <c r="AI80" s="159" t="str">
        <f>IF(AI$3="","",IF(COUNTIFS(BD!$A$3:$A$5001,AI$3,BD!$B$3:$B$5001,$A$66,BD!$W$3:$W$5001,"&lt;&gt;")=0,"",SUMIFS(BD!$W$3:$W$5001,BD!$A$3:$A$5001,AI$3,BD!$B$3:$B$5001,$A$66)))</f>
        <v/>
      </c>
      <c r="AJ80" s="160" t="str">
        <f>IF(AJ$3="","",IF(COUNTIFS(BD!$A$3:$A$5001,AJ$3,BD!$B$3:$B$5001,$A$66,BD!$W$3:$W$5001,"&lt;&gt;")=0,"",SUMIFS(BD!$W$3:$W$5001,BD!$A$3:$A$5001,AJ$3,BD!$B$3:$B$5001,$A$66)))</f>
        <v/>
      </c>
      <c r="AK80" s="161" t="str">
        <f>IF(COUNT(F80:AJ80)&gt;0,LOOKUP(9.99E+307,F80:AJ80),IFERROR(IF(INDEX(BD!$AG$3:$AG$5001,MATCH($A$66,BD!$B$3:$B$5001,0))&amp;""="Contrato","",INDEX(BD!$AG$3:$AG$5001,MATCH($A$66,BD!$B$3:$B$5001,0))&amp;""),""))</f>
        <v/>
      </c>
    </row>
    <row r="81" ht="15.75" customHeight="1">
      <c r="A81" s="244"/>
      <c r="B81" s="239"/>
      <c r="C81" s="201" t="inlineStr">
        <is>
          <t xml:space="preserve">Posições Ocupadas</t>
        </is>
      </c>
      <c r="D81" s="202" t="str">
        <f>IFERROR(1/(1/INDEX(BD!$AJ$44:$BD$44,MATCH($A$66,BD!$AJ$22:$BD$22,0))),"")</f>
        <v/>
      </c>
      <c r="E81" s="203"/>
      <c r="F81" s="204" t="str">
        <f>IF(F$3="","",IF(COUNTIFS(BD!$A$3:$A$5001,F$3,BD!$B$3:$B$5001,$A$66,BD!$X$3:$X$5001,"&lt;&gt;")=0,"",SUMIFS(BD!$X$3:$X$5001,BD!$A$3:$A$5001,F$3,BD!$B$3:$B$5001,$A$66)))</f>
        <v/>
      </c>
      <c r="G81" s="205" t="str">
        <f>IF(G$3="","",IF(COUNTIFS(BD!$A$3:$A$5001,G$3,BD!$B$3:$B$5001,$A$66,BD!$X$3:$X$5001,"&lt;&gt;")=0,"",SUMIFS(BD!$X$3:$X$5001,BD!$A$3:$A$5001,G$3,BD!$B$3:$B$5001,$A$66)))</f>
        <v/>
      </c>
      <c r="H81" s="205" t="str">
        <f>IF(H$3="","",IF(COUNTIFS(BD!$A$3:$A$5001,H$3,BD!$B$3:$B$5001,$A$66,BD!$X$3:$X$5001,"&lt;&gt;")=0,"",SUMIFS(BD!$X$3:$X$5001,BD!$A$3:$A$5001,H$3,BD!$B$3:$B$5001,$A$66)))</f>
        <v/>
      </c>
      <c r="I81" s="205" t="str">
        <f>IF(I$3="","",IF(COUNTIFS(BD!$A$3:$A$5001,I$3,BD!$B$3:$B$5001,$A$66,BD!$X$3:$X$5001,"&lt;&gt;")=0,"",SUMIFS(BD!$X$3:$X$5001,BD!$A$3:$A$5001,I$3,BD!$B$3:$B$5001,$A$66)))</f>
        <v/>
      </c>
      <c r="J81" s="205" t="str">
        <f>IF(J$3="","",IF(COUNTIFS(BD!$A$3:$A$5001,J$3,BD!$B$3:$B$5001,$A$66,BD!$X$3:$X$5001,"&lt;&gt;")=0,"",SUMIFS(BD!$X$3:$X$5001,BD!$A$3:$A$5001,J$3,BD!$B$3:$B$5001,$A$66)))</f>
        <v/>
      </c>
      <c r="K81" s="205" t="str">
        <f>IF(K$3="","",IF(COUNTIFS(BD!$A$3:$A$5001,K$3,BD!$B$3:$B$5001,$A$66,BD!$X$3:$X$5001,"&lt;&gt;")=0,"",SUMIFS(BD!$X$3:$X$5001,BD!$A$3:$A$5001,K$3,BD!$B$3:$B$5001,$A$66)))</f>
        <v/>
      </c>
      <c r="L81" s="205" t="str">
        <f>IF(L$3="","",IF(COUNTIFS(BD!$A$3:$A$5001,L$3,BD!$B$3:$B$5001,$A$66,BD!$X$3:$X$5001,"&lt;&gt;")=0,"",SUMIFS(BD!$X$3:$X$5001,BD!$A$3:$A$5001,L$3,BD!$B$3:$B$5001,$A$66)))</f>
        <v/>
      </c>
      <c r="M81" s="205" t="str">
        <f>IF(M$3="","",IF(COUNTIFS(BD!$A$3:$A$5001,M$3,BD!$B$3:$B$5001,$A$66,BD!$X$3:$X$5001,"&lt;&gt;")=0,"",SUMIFS(BD!$X$3:$X$5001,BD!$A$3:$A$5001,M$3,BD!$B$3:$B$5001,$A$66)))</f>
        <v/>
      </c>
      <c r="N81" s="205" t="str">
        <f>IF(N$3="","",IF(COUNTIFS(BD!$A$3:$A$5001,N$3,BD!$B$3:$B$5001,$A$66,BD!$X$3:$X$5001,"&lt;&gt;")=0,"",SUMIFS(BD!$X$3:$X$5001,BD!$A$3:$A$5001,N$3,BD!$B$3:$B$5001,$A$66)))</f>
        <v/>
      </c>
      <c r="O81" s="205" t="str">
        <f>IF(O$3="","",IF(COUNTIFS(BD!$A$3:$A$5001,O$3,BD!$B$3:$B$5001,$A$66,BD!$X$3:$X$5001,"&lt;&gt;")=0,"",SUMIFS(BD!$X$3:$X$5001,BD!$A$3:$A$5001,O$3,BD!$B$3:$B$5001,$A$66)))</f>
        <v/>
      </c>
      <c r="P81" s="205" t="str">
        <f>IF(P$3="","",IF(COUNTIFS(BD!$A$3:$A$5001,P$3,BD!$B$3:$B$5001,$A$66,BD!$X$3:$X$5001,"&lt;&gt;")=0,"",SUMIFS(BD!$X$3:$X$5001,BD!$A$3:$A$5001,P$3,BD!$B$3:$B$5001,$A$66)))</f>
        <v/>
      </c>
      <c r="Q81" s="205" t="str">
        <f>IF(Q$3="","",IF(COUNTIFS(BD!$A$3:$A$5001,Q$3,BD!$B$3:$B$5001,$A$66,BD!$X$3:$X$5001,"&lt;&gt;")=0,"",SUMIFS(BD!$X$3:$X$5001,BD!$A$3:$A$5001,Q$3,BD!$B$3:$B$5001,$A$66)))</f>
        <v/>
      </c>
      <c r="R81" s="205" t="str">
        <f>IF(R$3="","",IF(COUNTIFS(BD!$A$3:$A$5001,R$3,BD!$B$3:$B$5001,$A$66,BD!$X$3:$X$5001,"&lt;&gt;")=0,"",SUMIFS(BD!$X$3:$X$5001,BD!$A$3:$A$5001,R$3,BD!$B$3:$B$5001,$A$66)))</f>
        <v/>
      </c>
      <c r="S81" s="205" t="str">
        <f>IF(S$3="","",IF(COUNTIFS(BD!$A$3:$A$5001,S$3,BD!$B$3:$B$5001,$A$66,BD!$X$3:$X$5001,"&lt;&gt;")=0,"",SUMIFS(BD!$X$3:$X$5001,BD!$A$3:$A$5001,S$3,BD!$B$3:$B$5001,$A$66)))</f>
        <v/>
      </c>
      <c r="T81" s="205" t="str">
        <f>IF(T$3="","",IF(COUNTIFS(BD!$A$3:$A$5001,T$3,BD!$B$3:$B$5001,$A$66,BD!$X$3:$X$5001,"&lt;&gt;")=0,"",SUMIFS(BD!$X$3:$X$5001,BD!$A$3:$A$5001,T$3,BD!$B$3:$B$5001,$A$66)))</f>
        <v/>
      </c>
      <c r="U81" s="205" t="str">
        <f>IF(U$3="","",IF(COUNTIFS(BD!$A$3:$A$5001,U$3,BD!$B$3:$B$5001,$A$66,BD!$X$3:$X$5001,"&lt;&gt;")=0,"",SUMIFS(BD!$X$3:$X$5001,BD!$A$3:$A$5001,U$3,BD!$B$3:$B$5001,$A$66)))</f>
        <v/>
      </c>
      <c r="V81" s="205" t="str">
        <f>IF(V$3="","",IF(COUNTIFS(BD!$A$3:$A$5001,V$3,BD!$B$3:$B$5001,$A$66,BD!$X$3:$X$5001,"&lt;&gt;")=0,"",SUMIFS(BD!$X$3:$X$5001,BD!$A$3:$A$5001,V$3,BD!$B$3:$B$5001,$A$66)))</f>
        <v/>
      </c>
      <c r="W81" s="205" t="str">
        <f>IF(W$3="","",IF(COUNTIFS(BD!$A$3:$A$5001,W$3,BD!$B$3:$B$5001,$A$66,BD!$X$3:$X$5001,"&lt;&gt;")=0,"",SUMIFS(BD!$X$3:$X$5001,BD!$A$3:$A$5001,W$3,BD!$B$3:$B$5001,$A$66)))</f>
        <v/>
      </c>
      <c r="X81" s="205" t="str">
        <f>IF(X$3="","",IF(COUNTIFS(BD!$A$3:$A$5001,X$3,BD!$B$3:$B$5001,$A$66,BD!$X$3:$X$5001,"&lt;&gt;")=0,"",SUMIFS(BD!$X$3:$X$5001,BD!$A$3:$A$5001,X$3,BD!$B$3:$B$5001,$A$66)))</f>
        <v/>
      </c>
      <c r="Y81" s="205" t="str">
        <f>IF(Y$3="","",IF(COUNTIFS(BD!$A$3:$A$5001,Y$3,BD!$B$3:$B$5001,$A$66,BD!$X$3:$X$5001,"&lt;&gt;")=0,"",SUMIFS(BD!$X$3:$X$5001,BD!$A$3:$A$5001,Y$3,BD!$B$3:$B$5001,$A$66)))</f>
        <v/>
      </c>
      <c r="Z81" s="205" t="str">
        <f>IF(Z$3="","",IF(COUNTIFS(BD!$A$3:$A$5001,Z$3,BD!$B$3:$B$5001,$A$66,BD!$X$3:$X$5001,"&lt;&gt;")=0,"",SUMIFS(BD!$X$3:$X$5001,BD!$A$3:$A$5001,Z$3,BD!$B$3:$B$5001,$A$66)))</f>
        <v/>
      </c>
      <c r="AA81" s="205" t="str">
        <f>IF(AA$3="","",IF(COUNTIFS(BD!$A$3:$A$5001,AA$3,BD!$B$3:$B$5001,$A$66,BD!$X$3:$X$5001,"&lt;&gt;")=0,"",SUMIFS(BD!$X$3:$X$5001,BD!$A$3:$A$5001,AA$3,BD!$B$3:$B$5001,$A$66)))</f>
        <v/>
      </c>
      <c r="AB81" s="205" t="str">
        <f>IF(AB$3="","",IF(COUNTIFS(BD!$A$3:$A$5001,AB$3,BD!$B$3:$B$5001,$A$66,BD!$X$3:$X$5001,"&lt;&gt;")=0,"",SUMIFS(BD!$X$3:$X$5001,BD!$A$3:$A$5001,AB$3,BD!$B$3:$B$5001,$A$66)))</f>
        <v/>
      </c>
      <c r="AC81" s="205" t="str">
        <f>IF(AC$3="","",IF(COUNTIFS(BD!$A$3:$A$5001,AC$3,BD!$B$3:$B$5001,$A$66,BD!$X$3:$X$5001,"&lt;&gt;")=0,"",SUMIFS(BD!$X$3:$X$5001,BD!$A$3:$A$5001,AC$3,BD!$B$3:$B$5001,$A$66)))</f>
        <v/>
      </c>
      <c r="AD81" s="205" t="str">
        <f>IF(AD$3="","",IF(COUNTIFS(BD!$A$3:$A$5001,AD$3,BD!$B$3:$B$5001,$A$66,BD!$X$3:$X$5001,"&lt;&gt;")=0,"",SUMIFS(BD!$X$3:$X$5001,BD!$A$3:$A$5001,AD$3,BD!$B$3:$B$5001,$A$66)))</f>
        <v/>
      </c>
      <c r="AE81" s="205" t="str">
        <f>IF(AE$3="","",IF(COUNTIFS(BD!$A$3:$A$5001,AE$3,BD!$B$3:$B$5001,$A$66,BD!$X$3:$X$5001,"&lt;&gt;")=0,"",SUMIFS(BD!$X$3:$X$5001,BD!$A$3:$A$5001,AE$3,BD!$B$3:$B$5001,$A$66)))</f>
        <v/>
      </c>
      <c r="AF81" s="205" t="str">
        <f>IF(AF$3="","",IF(COUNTIFS(BD!$A$3:$A$5001,AF$3,BD!$B$3:$B$5001,$A$66,BD!$X$3:$X$5001,"&lt;&gt;")=0,"",SUMIFS(BD!$X$3:$X$5001,BD!$A$3:$A$5001,AF$3,BD!$B$3:$B$5001,$A$66)))</f>
        <v/>
      </c>
      <c r="AG81" s="205" t="str">
        <f>IF(AG$3="","",IF(COUNTIFS(BD!$A$3:$A$5001,AG$3,BD!$B$3:$B$5001,$A$66,BD!$X$3:$X$5001,"&lt;&gt;")=0,"",SUMIFS(BD!$X$3:$X$5001,BD!$A$3:$A$5001,AG$3,BD!$B$3:$B$5001,$A$66)))</f>
        <v/>
      </c>
      <c r="AH81" s="205" t="str">
        <f>IF(AH$3="","",IF(COUNTIFS(BD!$A$3:$A$5001,AH$3,BD!$B$3:$B$5001,$A$66,BD!$X$3:$X$5001,"&lt;&gt;")=0,"",SUMIFS(BD!$X$3:$X$5001,BD!$A$3:$A$5001,AH$3,BD!$B$3:$B$5001,$A$66)))</f>
        <v/>
      </c>
      <c r="AI81" s="205" t="str">
        <f>IF(AI$3="","",IF(COUNTIFS(BD!$A$3:$A$5001,AI$3,BD!$B$3:$B$5001,$A$66,BD!$X$3:$X$5001,"&lt;&gt;")=0,"",SUMIFS(BD!$X$3:$X$5001,BD!$A$3:$A$5001,AI$3,BD!$B$3:$B$5001,$A$66)))</f>
        <v/>
      </c>
      <c r="AJ81" s="206" t="str">
        <f>IF(AJ$3="","",IF(COUNTIFS(BD!$A$3:$A$5001,AJ$3,BD!$B$3:$B$5001,$A$66,BD!$X$3:$X$5001,"&lt;&gt;")=0,"",SUMIFS(BD!$X$3:$X$5001,BD!$A$3:$A$5001,AJ$3,BD!$B$3:$B$5001,$A$66)))</f>
        <v/>
      </c>
      <c r="AK81" s="207" t="str">
        <f>IFERROR(LOOKUP(9.99E+307,F81:AJ81),"")</f>
        <v/>
      </c>
    </row>
    <row r="82" ht="15.75" customHeight="1">
      <c r="A82" s="244"/>
      <c r="B82" s="233"/>
      <c r="C82" s="162" t="inlineStr">
        <is>
          <t xml:space="preserve">Taxa de Ocupação</t>
        </is>
      </c>
      <c r="D82" s="208" t="str">
        <f>IFERROR(1/(1/INDEX(BD!$AJ$45:$BD$45,MATCH($A$66,BD!$AJ$22:$BD$22,0))),"")</f>
        <v/>
      </c>
      <c r="E82" s="164"/>
      <c r="F82" s="209" t="str">
        <f>IF(AND(ISNUMBER(F80),ISNUMBER(F81)),IF(F80&gt;0,F81/F80,""),"")</f>
        <v/>
      </c>
      <c r="G82" s="210" t="str">
        <f>IF(AND(ISNUMBER(G80),ISNUMBER(G81)),IF(G80&gt;0,G81/G80,""),"")</f>
        <v/>
      </c>
      <c r="H82" s="210" t="str">
        <f>IF(AND(ISNUMBER(H80),ISNUMBER(H81)),IF(H80&gt;0,H81/H80,""),"")</f>
        <v/>
      </c>
      <c r="I82" s="210" t="str">
        <f>IF(AND(ISNUMBER(I80),ISNUMBER(I81)),IF(I80&gt;0,I81/I80,""),"")</f>
        <v/>
      </c>
      <c r="J82" s="210" t="str">
        <f>IF(AND(ISNUMBER(J80),ISNUMBER(J81)),IF(J80&gt;0,J81/J80,""),"")</f>
        <v/>
      </c>
      <c r="K82" s="210" t="str">
        <f>IF(AND(ISNUMBER(K80),ISNUMBER(K81)),IF(K80&gt;0,K81/K80,""),"")</f>
        <v/>
      </c>
      <c r="L82" s="210" t="str">
        <f>IF(AND(ISNUMBER(L80),ISNUMBER(L81)),IF(L80&gt;0,L81/L80,""),"")</f>
        <v/>
      </c>
      <c r="M82" s="210" t="str">
        <f>IF(AND(ISNUMBER(M80),ISNUMBER(M81)),IF(M80&gt;0,M81/M80,""),"")</f>
        <v/>
      </c>
      <c r="N82" s="210" t="str">
        <f>IF(AND(ISNUMBER(N80),ISNUMBER(N81)),IF(N80&gt;0,N81/N80,""),"")</f>
        <v/>
      </c>
      <c r="O82" s="210" t="str">
        <f>IF(AND(ISNUMBER(O80),ISNUMBER(O81)),IF(O80&gt;0,O81/O80,""),"")</f>
        <v/>
      </c>
      <c r="P82" s="210" t="str">
        <f>IF(AND(ISNUMBER(P80),ISNUMBER(P81)),IF(P80&gt;0,P81/P80,""),"")</f>
        <v/>
      </c>
      <c r="Q82" s="210" t="str">
        <f>IF(AND(ISNUMBER(Q80),ISNUMBER(Q81)),IF(Q80&gt;0,Q81/Q80,""),"")</f>
        <v/>
      </c>
      <c r="R82" s="210" t="str">
        <f>IF(AND(ISNUMBER(R80),ISNUMBER(R81)),IF(R80&gt;0,R81/R80,""),"")</f>
        <v/>
      </c>
      <c r="S82" s="210" t="str">
        <f>IF(AND(ISNUMBER(S80),ISNUMBER(S81)),IF(S80&gt;0,S81/S80,""),"")</f>
        <v/>
      </c>
      <c r="T82" s="210" t="str">
        <f>IF(AND(ISNUMBER(T80),ISNUMBER(T81)),IF(T80&gt;0,T81/T80,""),"")</f>
        <v/>
      </c>
      <c r="U82" s="210" t="str">
        <f>IF(AND(ISNUMBER(U80),ISNUMBER(U81)),IF(U80&gt;0,U81/U80,""),"")</f>
        <v/>
      </c>
      <c r="V82" s="210" t="str">
        <f>IF(AND(ISNUMBER(V80),ISNUMBER(V81)),IF(V80&gt;0,V81/V80,""),"")</f>
        <v/>
      </c>
      <c r="W82" s="210" t="str">
        <f>IF(AND(ISNUMBER(W80),ISNUMBER(W81)),IF(W80&gt;0,W81/W80,""),"")</f>
        <v/>
      </c>
      <c r="X82" s="210" t="str">
        <f>IF(AND(ISNUMBER(X80),ISNUMBER(X81)),IF(X80&gt;0,X81/X80,""),"")</f>
        <v/>
      </c>
      <c r="Y82" s="210" t="str">
        <f>IF(AND(ISNUMBER(Y80),ISNUMBER(Y81)),IF(Y80&gt;0,Y81/Y80,""),"")</f>
        <v/>
      </c>
      <c r="Z82" s="210" t="str">
        <f>IF(AND(ISNUMBER(Z80),ISNUMBER(Z81)),IF(Z80&gt;0,Z81/Z80,""),"")</f>
        <v/>
      </c>
      <c r="AA82" s="210" t="str">
        <f>IF(AND(ISNUMBER(AA80),ISNUMBER(AA81)),IF(AA80&gt;0,AA81/AA80,""),"")</f>
        <v/>
      </c>
      <c r="AB82" s="210" t="str">
        <f>IF(AND(ISNUMBER(AB80),ISNUMBER(AB81)),IF(AB80&gt;0,AB81/AB80,""),"")</f>
        <v/>
      </c>
      <c r="AC82" s="210" t="str">
        <f>IF(AND(ISNUMBER(AC80),ISNUMBER(AC81)),IF(AC80&gt;0,AC81/AC80,""),"")</f>
        <v/>
      </c>
      <c r="AD82" s="210" t="str">
        <f>IF(AND(ISNUMBER(AD80),ISNUMBER(AD81)),IF(AD80&gt;0,AD81/AD80,""),"")</f>
        <v/>
      </c>
      <c r="AE82" s="210" t="str">
        <f>IF(AND(ISNUMBER(AE80),ISNUMBER(AE81)),IF(AE80&gt;0,AE81/AE80,""),"")</f>
        <v/>
      </c>
      <c r="AF82" s="210" t="str">
        <f>IF(AND(ISNUMBER(AF80),ISNUMBER(AF81)),IF(AF80&gt;0,AF81/AF80,""),"")</f>
        <v/>
      </c>
      <c r="AG82" s="210" t="str">
        <f>IF(AND(ISNUMBER(AG80),ISNUMBER(AG81)),IF(AG80&gt;0,AG81/AG80,""),"")</f>
        <v/>
      </c>
      <c r="AH82" s="210" t="str">
        <f>IF(AND(ISNUMBER(AH80),ISNUMBER(AH81)),IF(AH80&gt;0,AH81/AH80,""),"")</f>
        <v/>
      </c>
      <c r="AI82" s="210" t="str">
        <f>IF(AND(ISNUMBER(AI80),ISNUMBER(AI81)),IF(AI80&gt;0,AI81/AI80,""),"")</f>
        <v/>
      </c>
      <c r="AJ82" s="211" t="str">
        <f>IF(AND(ISNUMBER(AJ80),ISNUMBER(AJ81)),IF(AJ80&gt;0,AJ81/AJ80,""),"")</f>
        <v/>
      </c>
      <c r="AK82" s="208" t="str">
        <f>IF(AND(ISNUMBER(AK80),ISNUMBER(AK81)),IF(AK80&gt;0,AK81/AK80,""),"")</f>
        <v/>
      </c>
    </row>
    <row r="83" ht="15.75" customHeight="1">
      <c r="A83" s="244"/>
      <c r="B83" s="240" t="inlineStr">
        <is>
          <t xml:space="preserve">GENTE</t>
        </is>
      </c>
      <c r="C83" s="212" t="inlineStr">
        <is>
          <t xml:space="preserve">Efetivo Op.</t>
        </is>
      </c>
      <c r="D83" s="213" t="str">
        <f>IFERROR(1/(1/INDEX(BD!$AJ$46:$BD$46,MATCH($A$66,BD!$AJ$22:$BD$22,0))),"")</f>
        <v/>
      </c>
      <c r="E83" s="214"/>
      <c r="F83" s="215" t="str">
        <f>IF(F$3="","",IF(COUNTIFS(BD!$A$3:$A$5001,F$3,BD!$B$3:$B$5001,$A$66,BD!$Y$3:$Y$5001,"&lt;&gt;")=0,"",SUMIFS(BD!$Y$3:$Y$5001,BD!$A$3:$A$5001,F$3,BD!$B$3:$B$5001,$A$66)))</f>
        <v/>
      </c>
      <c r="G83" s="216" t="str">
        <f>IF(G$3="","",IF(COUNTIFS(BD!$A$3:$A$5001,G$3,BD!$B$3:$B$5001,$A$66,BD!$Y$3:$Y$5001,"&lt;&gt;")=0,"",SUMIFS(BD!$Y$3:$Y$5001,BD!$A$3:$A$5001,G$3,BD!$B$3:$B$5001,$A$66)))</f>
        <v/>
      </c>
      <c r="H83" s="216" t="str">
        <f>IF(H$3="","",IF(COUNTIFS(BD!$A$3:$A$5001,H$3,BD!$B$3:$B$5001,$A$66,BD!$Y$3:$Y$5001,"&lt;&gt;")=0,"",SUMIFS(BD!$Y$3:$Y$5001,BD!$A$3:$A$5001,H$3,BD!$B$3:$B$5001,$A$66)))</f>
        <v/>
      </c>
      <c r="I83" s="216" t="str">
        <f>IF(I$3="","",IF(COUNTIFS(BD!$A$3:$A$5001,I$3,BD!$B$3:$B$5001,$A$66,BD!$Y$3:$Y$5001,"&lt;&gt;")=0,"",SUMIFS(BD!$Y$3:$Y$5001,BD!$A$3:$A$5001,I$3,BD!$B$3:$B$5001,$A$66)))</f>
        <v/>
      </c>
      <c r="J83" s="216" t="str">
        <f>IF(J$3="","",IF(COUNTIFS(BD!$A$3:$A$5001,J$3,BD!$B$3:$B$5001,$A$66,BD!$Y$3:$Y$5001,"&lt;&gt;")=0,"",SUMIFS(BD!$Y$3:$Y$5001,BD!$A$3:$A$5001,J$3,BD!$B$3:$B$5001,$A$66)))</f>
        <v/>
      </c>
      <c r="K83" s="216" t="str">
        <f>IF(K$3="","",IF(COUNTIFS(BD!$A$3:$A$5001,K$3,BD!$B$3:$B$5001,$A$66,BD!$Y$3:$Y$5001,"&lt;&gt;")=0,"",SUMIFS(BD!$Y$3:$Y$5001,BD!$A$3:$A$5001,K$3,BD!$B$3:$B$5001,$A$66)))</f>
        <v/>
      </c>
      <c r="L83" s="216" t="str">
        <f>IF(L$3="","",IF(COUNTIFS(BD!$A$3:$A$5001,L$3,BD!$B$3:$B$5001,$A$66,BD!$Y$3:$Y$5001,"&lt;&gt;")=0,"",SUMIFS(BD!$Y$3:$Y$5001,BD!$A$3:$A$5001,L$3,BD!$B$3:$B$5001,$A$66)))</f>
        <v/>
      </c>
      <c r="M83" s="216" t="str">
        <f>IF(M$3="","",IF(COUNTIFS(BD!$A$3:$A$5001,M$3,BD!$B$3:$B$5001,$A$66,BD!$Y$3:$Y$5001,"&lt;&gt;")=0,"",SUMIFS(BD!$Y$3:$Y$5001,BD!$A$3:$A$5001,M$3,BD!$B$3:$B$5001,$A$66)))</f>
        <v/>
      </c>
      <c r="N83" s="216" t="str">
        <f>IF(N$3="","",IF(COUNTIFS(BD!$A$3:$A$5001,N$3,BD!$B$3:$B$5001,$A$66,BD!$Y$3:$Y$5001,"&lt;&gt;")=0,"",SUMIFS(BD!$Y$3:$Y$5001,BD!$A$3:$A$5001,N$3,BD!$B$3:$B$5001,$A$66)))</f>
        <v/>
      </c>
      <c r="O83" s="216" t="str">
        <f>IF(O$3="","",IF(COUNTIFS(BD!$A$3:$A$5001,O$3,BD!$B$3:$B$5001,$A$66,BD!$Y$3:$Y$5001,"&lt;&gt;")=0,"",SUMIFS(BD!$Y$3:$Y$5001,BD!$A$3:$A$5001,O$3,BD!$B$3:$B$5001,$A$66)))</f>
        <v/>
      </c>
      <c r="P83" s="216" t="str">
        <f>IF(P$3="","",IF(COUNTIFS(BD!$A$3:$A$5001,P$3,BD!$B$3:$B$5001,$A$66,BD!$Y$3:$Y$5001,"&lt;&gt;")=0,"",SUMIFS(BD!$Y$3:$Y$5001,BD!$A$3:$A$5001,P$3,BD!$B$3:$B$5001,$A$66)))</f>
        <v/>
      </c>
      <c r="Q83" s="216" t="str">
        <f>IF(Q$3="","",IF(COUNTIFS(BD!$A$3:$A$5001,Q$3,BD!$B$3:$B$5001,$A$66,BD!$Y$3:$Y$5001,"&lt;&gt;")=0,"",SUMIFS(BD!$Y$3:$Y$5001,BD!$A$3:$A$5001,Q$3,BD!$B$3:$B$5001,$A$66)))</f>
        <v/>
      </c>
      <c r="R83" s="216" t="str">
        <f>IF(R$3="","",IF(COUNTIFS(BD!$A$3:$A$5001,R$3,BD!$B$3:$B$5001,$A$66,BD!$Y$3:$Y$5001,"&lt;&gt;")=0,"",SUMIFS(BD!$Y$3:$Y$5001,BD!$A$3:$A$5001,R$3,BD!$B$3:$B$5001,$A$66)))</f>
        <v/>
      </c>
      <c r="S83" s="216" t="str">
        <f>IF(S$3="","",IF(COUNTIFS(BD!$A$3:$A$5001,S$3,BD!$B$3:$B$5001,$A$66,BD!$Y$3:$Y$5001,"&lt;&gt;")=0,"",SUMIFS(BD!$Y$3:$Y$5001,BD!$A$3:$A$5001,S$3,BD!$B$3:$B$5001,$A$66)))</f>
        <v/>
      </c>
      <c r="T83" s="216" t="str">
        <f>IF(T$3="","",IF(COUNTIFS(BD!$A$3:$A$5001,T$3,BD!$B$3:$B$5001,$A$66,BD!$Y$3:$Y$5001,"&lt;&gt;")=0,"",SUMIFS(BD!$Y$3:$Y$5001,BD!$A$3:$A$5001,T$3,BD!$B$3:$B$5001,$A$66)))</f>
        <v/>
      </c>
      <c r="U83" s="216" t="str">
        <f>IF(U$3="","",IF(COUNTIFS(BD!$A$3:$A$5001,U$3,BD!$B$3:$B$5001,$A$66,BD!$Y$3:$Y$5001,"&lt;&gt;")=0,"",SUMIFS(BD!$Y$3:$Y$5001,BD!$A$3:$A$5001,U$3,BD!$B$3:$B$5001,$A$66)))</f>
        <v/>
      </c>
      <c r="V83" s="216" t="str">
        <f>IF(V$3="","",IF(COUNTIFS(BD!$A$3:$A$5001,V$3,BD!$B$3:$B$5001,$A$66,BD!$Y$3:$Y$5001,"&lt;&gt;")=0,"",SUMIFS(BD!$Y$3:$Y$5001,BD!$A$3:$A$5001,V$3,BD!$B$3:$B$5001,$A$66)))</f>
        <v/>
      </c>
      <c r="W83" s="216" t="str">
        <f>IF(W$3="","",IF(COUNTIFS(BD!$A$3:$A$5001,W$3,BD!$B$3:$B$5001,$A$66,BD!$Y$3:$Y$5001,"&lt;&gt;")=0,"",SUMIFS(BD!$Y$3:$Y$5001,BD!$A$3:$A$5001,W$3,BD!$B$3:$B$5001,$A$66)))</f>
        <v/>
      </c>
      <c r="X83" s="216" t="str">
        <f>IF(X$3="","",IF(COUNTIFS(BD!$A$3:$A$5001,X$3,BD!$B$3:$B$5001,$A$66,BD!$Y$3:$Y$5001,"&lt;&gt;")=0,"",SUMIFS(BD!$Y$3:$Y$5001,BD!$A$3:$A$5001,X$3,BD!$B$3:$B$5001,$A$66)))</f>
        <v/>
      </c>
      <c r="Y83" s="216" t="str">
        <f>IF(Y$3="","",IF(COUNTIFS(BD!$A$3:$A$5001,Y$3,BD!$B$3:$B$5001,$A$66,BD!$Y$3:$Y$5001,"&lt;&gt;")=0,"",SUMIFS(BD!$Y$3:$Y$5001,BD!$A$3:$A$5001,Y$3,BD!$B$3:$B$5001,$A$66)))</f>
        <v/>
      </c>
      <c r="Z83" s="216" t="str">
        <f>IF(Z$3="","",IF(COUNTIFS(BD!$A$3:$A$5001,Z$3,BD!$B$3:$B$5001,$A$66,BD!$Y$3:$Y$5001,"&lt;&gt;")=0,"",SUMIFS(BD!$Y$3:$Y$5001,BD!$A$3:$A$5001,Z$3,BD!$B$3:$B$5001,$A$66)))</f>
        <v/>
      </c>
      <c r="AA83" s="216" t="str">
        <f>IF(AA$3="","",IF(COUNTIFS(BD!$A$3:$A$5001,AA$3,BD!$B$3:$B$5001,$A$66,BD!$Y$3:$Y$5001,"&lt;&gt;")=0,"",SUMIFS(BD!$Y$3:$Y$5001,BD!$A$3:$A$5001,AA$3,BD!$B$3:$B$5001,$A$66)))</f>
        <v/>
      </c>
      <c r="AB83" s="216" t="str">
        <f>IF(AB$3="","",IF(COUNTIFS(BD!$A$3:$A$5001,AB$3,BD!$B$3:$B$5001,$A$66,BD!$Y$3:$Y$5001,"&lt;&gt;")=0,"",SUMIFS(BD!$Y$3:$Y$5001,BD!$A$3:$A$5001,AB$3,BD!$B$3:$B$5001,$A$66)))</f>
        <v/>
      </c>
      <c r="AC83" s="216" t="str">
        <f>IF(AC$3="","",IF(COUNTIFS(BD!$A$3:$A$5001,AC$3,BD!$B$3:$B$5001,$A$66,BD!$Y$3:$Y$5001,"&lt;&gt;")=0,"",SUMIFS(BD!$Y$3:$Y$5001,BD!$A$3:$A$5001,AC$3,BD!$B$3:$B$5001,$A$66)))</f>
        <v/>
      </c>
      <c r="AD83" s="216" t="str">
        <f>IF(AD$3="","",IF(COUNTIFS(BD!$A$3:$A$5001,AD$3,BD!$B$3:$B$5001,$A$66,BD!$Y$3:$Y$5001,"&lt;&gt;")=0,"",SUMIFS(BD!$Y$3:$Y$5001,BD!$A$3:$A$5001,AD$3,BD!$B$3:$B$5001,$A$66)))</f>
        <v/>
      </c>
      <c r="AE83" s="216" t="str">
        <f>IF(AE$3="","",IF(COUNTIFS(BD!$A$3:$A$5001,AE$3,BD!$B$3:$B$5001,$A$66,BD!$Y$3:$Y$5001,"&lt;&gt;")=0,"",SUMIFS(BD!$Y$3:$Y$5001,BD!$A$3:$A$5001,AE$3,BD!$B$3:$B$5001,$A$66)))</f>
        <v/>
      </c>
      <c r="AF83" s="216" t="str">
        <f>IF(AF$3="","",IF(COUNTIFS(BD!$A$3:$A$5001,AF$3,BD!$B$3:$B$5001,$A$66,BD!$Y$3:$Y$5001,"&lt;&gt;")=0,"",SUMIFS(BD!$Y$3:$Y$5001,BD!$A$3:$A$5001,AF$3,BD!$B$3:$B$5001,$A$66)))</f>
        <v/>
      </c>
      <c r="AG83" s="216" t="str">
        <f>IF(AG$3="","",IF(COUNTIFS(BD!$A$3:$A$5001,AG$3,BD!$B$3:$B$5001,$A$66,BD!$Y$3:$Y$5001,"&lt;&gt;")=0,"",SUMIFS(BD!$Y$3:$Y$5001,BD!$A$3:$A$5001,AG$3,BD!$B$3:$B$5001,$A$66)))</f>
        <v/>
      </c>
      <c r="AH83" s="216" t="str">
        <f>IF(AH$3="","",IF(COUNTIFS(BD!$A$3:$A$5001,AH$3,BD!$B$3:$B$5001,$A$66,BD!$Y$3:$Y$5001,"&lt;&gt;")=0,"",SUMIFS(BD!$Y$3:$Y$5001,BD!$A$3:$A$5001,AH$3,BD!$B$3:$B$5001,$A$66)))</f>
        <v/>
      </c>
      <c r="AI83" s="216" t="str">
        <f>IF(AI$3="","",IF(COUNTIFS(BD!$A$3:$A$5001,AI$3,BD!$B$3:$B$5001,$A$66,BD!$Y$3:$Y$5001,"&lt;&gt;")=0,"",SUMIFS(BD!$Y$3:$Y$5001,BD!$A$3:$A$5001,AI$3,BD!$B$3:$B$5001,$A$66)))</f>
        <v/>
      </c>
      <c r="AJ83" s="217" t="str">
        <f>IF(AJ$3="","",IF(COUNTIFS(BD!$A$3:$A$5001,AJ$3,BD!$B$3:$B$5001,$A$66,BD!$Y$3:$Y$5001,"&lt;&gt;")=0,"",SUMIFS(BD!$Y$3:$Y$5001,BD!$A$3:$A$5001,AJ$3,BD!$B$3:$B$5001,$A$66)))</f>
        <v/>
      </c>
      <c r="AK83" s="218" t="str">
        <f>IFERROR(LOOKUP(9.99E+307,F83:AJ83),"")</f>
        <v/>
      </c>
    </row>
    <row r="84" ht="15.75" customHeight="1">
      <c r="A84" s="244"/>
      <c r="B84" s="241"/>
      <c r="C84" s="219" t="inlineStr">
        <is>
          <t xml:space="preserve">Falta</t>
        </is>
      </c>
      <c r="D84" s="220" t="str">
        <f>IFERROR(1/(1/INDEX(BD!$AJ$47:$BD$47,MATCH($A$66,BD!$AJ$22:$BD$22,0))),"")</f>
        <v/>
      </c>
      <c r="E84" s="221"/>
      <c r="F84" s="222" t="str">
        <f>IF(F$3="","",IF(COUNTIFS(BD!$A$3:$A$5001,F$3,BD!$B$3:$B$5001,$A$66,BD!$Z$3:$Z$5001,"&lt;&gt;")=0,"",SUMIFS(BD!$Z$3:$Z$5001,BD!$A$3:$A$5001,F$3,BD!$B$3:$B$5001,$A$66)))</f>
        <v/>
      </c>
      <c r="G84" s="223" t="str">
        <f>IF(G$3="","",IF(COUNTIFS(BD!$A$3:$A$5001,G$3,BD!$B$3:$B$5001,$A$66,BD!$Z$3:$Z$5001,"&lt;&gt;")=0,"",SUMIFS(BD!$Z$3:$Z$5001,BD!$A$3:$A$5001,G$3,BD!$B$3:$B$5001,$A$66)))</f>
        <v/>
      </c>
      <c r="H84" s="223" t="str">
        <f>IF(H$3="","",IF(COUNTIFS(BD!$A$3:$A$5001,H$3,BD!$B$3:$B$5001,$A$66,BD!$Z$3:$Z$5001,"&lt;&gt;")=0,"",SUMIFS(BD!$Z$3:$Z$5001,BD!$A$3:$A$5001,H$3,BD!$B$3:$B$5001,$A$66)))</f>
        <v/>
      </c>
      <c r="I84" s="223" t="str">
        <f>IF(I$3="","",IF(COUNTIFS(BD!$A$3:$A$5001,I$3,BD!$B$3:$B$5001,$A$66,BD!$Z$3:$Z$5001,"&lt;&gt;")=0,"",SUMIFS(BD!$Z$3:$Z$5001,BD!$A$3:$A$5001,I$3,BD!$B$3:$B$5001,$A$66)))</f>
        <v/>
      </c>
      <c r="J84" s="223" t="str">
        <f>IF(J$3="","",IF(COUNTIFS(BD!$A$3:$A$5001,J$3,BD!$B$3:$B$5001,$A$66,BD!$Z$3:$Z$5001,"&lt;&gt;")=0,"",SUMIFS(BD!$Z$3:$Z$5001,BD!$A$3:$A$5001,J$3,BD!$B$3:$B$5001,$A$66)))</f>
        <v/>
      </c>
      <c r="K84" s="223" t="str">
        <f>IF(K$3="","",IF(COUNTIFS(BD!$A$3:$A$5001,K$3,BD!$B$3:$B$5001,$A$66,BD!$Z$3:$Z$5001,"&lt;&gt;")=0,"",SUMIFS(BD!$Z$3:$Z$5001,BD!$A$3:$A$5001,K$3,BD!$B$3:$B$5001,$A$66)))</f>
        <v/>
      </c>
      <c r="L84" s="223" t="str">
        <f>IF(L$3="","",IF(COUNTIFS(BD!$A$3:$A$5001,L$3,BD!$B$3:$B$5001,$A$66,BD!$Z$3:$Z$5001,"&lt;&gt;")=0,"",SUMIFS(BD!$Z$3:$Z$5001,BD!$A$3:$A$5001,L$3,BD!$B$3:$B$5001,$A$66)))</f>
        <v/>
      </c>
      <c r="M84" s="223" t="str">
        <f>IF(M$3="","",IF(COUNTIFS(BD!$A$3:$A$5001,M$3,BD!$B$3:$B$5001,$A$66,BD!$Z$3:$Z$5001,"&lt;&gt;")=0,"",SUMIFS(BD!$Z$3:$Z$5001,BD!$A$3:$A$5001,M$3,BD!$B$3:$B$5001,$A$66)))</f>
        <v/>
      </c>
      <c r="N84" s="223" t="str">
        <f>IF(N$3="","",IF(COUNTIFS(BD!$A$3:$A$5001,N$3,BD!$B$3:$B$5001,$A$66,BD!$Z$3:$Z$5001,"&lt;&gt;")=0,"",SUMIFS(BD!$Z$3:$Z$5001,BD!$A$3:$A$5001,N$3,BD!$B$3:$B$5001,$A$66)))</f>
        <v/>
      </c>
      <c r="O84" s="223" t="str">
        <f>IF(O$3="","",IF(COUNTIFS(BD!$A$3:$A$5001,O$3,BD!$B$3:$B$5001,$A$66,BD!$Z$3:$Z$5001,"&lt;&gt;")=0,"",SUMIFS(BD!$Z$3:$Z$5001,BD!$A$3:$A$5001,O$3,BD!$B$3:$B$5001,$A$66)))</f>
        <v/>
      </c>
      <c r="P84" s="223" t="str">
        <f>IF(P$3="","",IF(COUNTIFS(BD!$A$3:$A$5001,P$3,BD!$B$3:$B$5001,$A$66,BD!$Z$3:$Z$5001,"&lt;&gt;")=0,"",SUMIFS(BD!$Z$3:$Z$5001,BD!$A$3:$A$5001,P$3,BD!$B$3:$B$5001,$A$66)))</f>
        <v/>
      </c>
      <c r="Q84" s="223" t="str">
        <f>IF(Q$3="","",IF(COUNTIFS(BD!$A$3:$A$5001,Q$3,BD!$B$3:$B$5001,$A$66,BD!$Z$3:$Z$5001,"&lt;&gt;")=0,"",SUMIFS(BD!$Z$3:$Z$5001,BD!$A$3:$A$5001,Q$3,BD!$B$3:$B$5001,$A$66)))</f>
        <v/>
      </c>
      <c r="R84" s="223" t="str">
        <f>IF(R$3="","",IF(COUNTIFS(BD!$A$3:$A$5001,R$3,BD!$B$3:$B$5001,$A$66,BD!$Z$3:$Z$5001,"&lt;&gt;")=0,"",SUMIFS(BD!$Z$3:$Z$5001,BD!$A$3:$A$5001,R$3,BD!$B$3:$B$5001,$A$66)))</f>
        <v/>
      </c>
      <c r="S84" s="223" t="str">
        <f>IF(S$3="","",IF(COUNTIFS(BD!$A$3:$A$5001,S$3,BD!$B$3:$B$5001,$A$66,BD!$Z$3:$Z$5001,"&lt;&gt;")=0,"",SUMIFS(BD!$Z$3:$Z$5001,BD!$A$3:$A$5001,S$3,BD!$B$3:$B$5001,$A$66)))</f>
        <v/>
      </c>
      <c r="T84" s="223" t="str">
        <f>IF(T$3="","",IF(COUNTIFS(BD!$A$3:$A$5001,T$3,BD!$B$3:$B$5001,$A$66,BD!$Z$3:$Z$5001,"&lt;&gt;")=0,"",SUMIFS(BD!$Z$3:$Z$5001,BD!$A$3:$A$5001,T$3,BD!$B$3:$B$5001,$A$66)))</f>
        <v/>
      </c>
      <c r="U84" s="223" t="str">
        <f>IF(U$3="","",IF(COUNTIFS(BD!$A$3:$A$5001,U$3,BD!$B$3:$B$5001,$A$66,BD!$Z$3:$Z$5001,"&lt;&gt;")=0,"",SUMIFS(BD!$Z$3:$Z$5001,BD!$A$3:$A$5001,U$3,BD!$B$3:$B$5001,$A$66)))</f>
        <v/>
      </c>
      <c r="V84" s="223" t="str">
        <f>IF(V$3="","",IF(COUNTIFS(BD!$A$3:$A$5001,V$3,BD!$B$3:$B$5001,$A$66,BD!$Z$3:$Z$5001,"&lt;&gt;")=0,"",SUMIFS(BD!$Z$3:$Z$5001,BD!$A$3:$A$5001,V$3,BD!$B$3:$B$5001,$A$66)))</f>
        <v/>
      </c>
      <c r="W84" s="223" t="str">
        <f>IF(W$3="","",IF(COUNTIFS(BD!$A$3:$A$5001,W$3,BD!$B$3:$B$5001,$A$66,BD!$Z$3:$Z$5001,"&lt;&gt;")=0,"",SUMIFS(BD!$Z$3:$Z$5001,BD!$A$3:$A$5001,W$3,BD!$B$3:$B$5001,$A$66)))</f>
        <v/>
      </c>
      <c r="X84" s="223" t="str">
        <f>IF(X$3="","",IF(COUNTIFS(BD!$A$3:$A$5001,X$3,BD!$B$3:$B$5001,$A$66,BD!$Z$3:$Z$5001,"&lt;&gt;")=0,"",SUMIFS(BD!$Z$3:$Z$5001,BD!$A$3:$A$5001,X$3,BD!$B$3:$B$5001,$A$66)))</f>
        <v/>
      </c>
      <c r="Y84" s="223" t="str">
        <f>IF(Y$3="","",IF(COUNTIFS(BD!$A$3:$A$5001,Y$3,BD!$B$3:$B$5001,$A$66,BD!$Z$3:$Z$5001,"&lt;&gt;")=0,"",SUMIFS(BD!$Z$3:$Z$5001,BD!$A$3:$A$5001,Y$3,BD!$B$3:$B$5001,$A$66)))</f>
        <v/>
      </c>
      <c r="Z84" s="223" t="str">
        <f>IF(Z$3="","",IF(COUNTIFS(BD!$A$3:$A$5001,Z$3,BD!$B$3:$B$5001,$A$66,BD!$Z$3:$Z$5001,"&lt;&gt;")=0,"",SUMIFS(BD!$Z$3:$Z$5001,BD!$A$3:$A$5001,Z$3,BD!$B$3:$B$5001,$A$66)))</f>
        <v/>
      </c>
      <c r="AA84" s="223" t="str">
        <f>IF(AA$3="","",IF(COUNTIFS(BD!$A$3:$A$5001,AA$3,BD!$B$3:$B$5001,$A$66,BD!$Z$3:$Z$5001,"&lt;&gt;")=0,"",SUMIFS(BD!$Z$3:$Z$5001,BD!$A$3:$A$5001,AA$3,BD!$B$3:$B$5001,$A$66)))</f>
        <v/>
      </c>
      <c r="AB84" s="223" t="str">
        <f>IF(AB$3="","",IF(COUNTIFS(BD!$A$3:$A$5001,AB$3,BD!$B$3:$B$5001,$A$66,BD!$Z$3:$Z$5001,"&lt;&gt;")=0,"",SUMIFS(BD!$Z$3:$Z$5001,BD!$A$3:$A$5001,AB$3,BD!$B$3:$B$5001,$A$66)))</f>
        <v/>
      </c>
      <c r="AC84" s="223" t="str">
        <f>IF(AC$3="","",IF(COUNTIFS(BD!$A$3:$A$5001,AC$3,BD!$B$3:$B$5001,$A$66,BD!$Z$3:$Z$5001,"&lt;&gt;")=0,"",SUMIFS(BD!$Z$3:$Z$5001,BD!$A$3:$A$5001,AC$3,BD!$B$3:$B$5001,$A$66)))</f>
        <v/>
      </c>
      <c r="AD84" s="223" t="str">
        <f>IF(AD$3="","",IF(COUNTIFS(BD!$A$3:$A$5001,AD$3,BD!$B$3:$B$5001,$A$66,BD!$Z$3:$Z$5001,"&lt;&gt;")=0,"",SUMIFS(BD!$Z$3:$Z$5001,BD!$A$3:$A$5001,AD$3,BD!$B$3:$B$5001,$A$66)))</f>
        <v/>
      </c>
      <c r="AE84" s="223" t="str">
        <f>IF(AE$3="","",IF(COUNTIFS(BD!$A$3:$A$5001,AE$3,BD!$B$3:$B$5001,$A$66,BD!$Z$3:$Z$5001,"&lt;&gt;")=0,"",SUMIFS(BD!$Z$3:$Z$5001,BD!$A$3:$A$5001,AE$3,BD!$B$3:$B$5001,$A$66)))</f>
        <v/>
      </c>
      <c r="AF84" s="223" t="str">
        <f>IF(AF$3="","",IF(COUNTIFS(BD!$A$3:$A$5001,AF$3,BD!$B$3:$B$5001,$A$66,BD!$Z$3:$Z$5001,"&lt;&gt;")=0,"",SUMIFS(BD!$Z$3:$Z$5001,BD!$A$3:$A$5001,AF$3,BD!$B$3:$B$5001,$A$66)))</f>
        <v/>
      </c>
      <c r="AG84" s="223" t="str">
        <f>IF(AG$3="","",IF(COUNTIFS(BD!$A$3:$A$5001,AG$3,BD!$B$3:$B$5001,$A$66,BD!$Z$3:$Z$5001,"&lt;&gt;")=0,"",SUMIFS(BD!$Z$3:$Z$5001,BD!$A$3:$A$5001,AG$3,BD!$B$3:$B$5001,$A$66)))</f>
        <v/>
      </c>
      <c r="AH84" s="223" t="str">
        <f>IF(AH$3="","",IF(COUNTIFS(BD!$A$3:$A$5001,AH$3,BD!$B$3:$B$5001,$A$66,BD!$Z$3:$Z$5001,"&lt;&gt;")=0,"",SUMIFS(BD!$Z$3:$Z$5001,BD!$A$3:$A$5001,AH$3,BD!$B$3:$B$5001,$A$66)))</f>
        <v/>
      </c>
      <c r="AI84" s="223" t="str">
        <f>IF(AI$3="","",IF(COUNTIFS(BD!$A$3:$A$5001,AI$3,BD!$B$3:$B$5001,$A$66,BD!$Z$3:$Z$5001,"&lt;&gt;")=0,"",SUMIFS(BD!$Z$3:$Z$5001,BD!$A$3:$A$5001,AI$3,BD!$B$3:$B$5001,$A$66)))</f>
        <v/>
      </c>
      <c r="AJ84" s="224" t="str">
        <f>IF(AJ$3="","",IF(COUNTIFS(BD!$A$3:$A$5001,AJ$3,BD!$B$3:$B$5001,$A$66,BD!$Z$3:$Z$5001,"&lt;&gt;")=0,"",SUMIFS(BD!$Z$3:$Z$5001,BD!$A$3:$A$5001,AJ$3,BD!$B$3:$B$5001,$A$66)))</f>
        <v/>
      </c>
      <c r="AK84" s="225" t="str">
        <f>IF(COUNT(F84:AJ84)=0,"",SUM(F84:AJ84))</f>
        <v/>
      </c>
    </row>
    <row r="85" ht="15.75" customHeight="1">
      <c r="A85" s="244"/>
      <c r="B85" s="241"/>
      <c r="C85" s="219" t="inlineStr">
        <is>
          <t xml:space="preserve">Folga</t>
        </is>
      </c>
      <c r="D85" s="220" t="str">
        <f>IFERROR(1/(1/INDEX(BD!$AJ$48:$BD$48,MATCH($A$66,BD!$AJ$22:$BD$22,0))),"")</f>
        <v/>
      </c>
      <c r="E85" s="221"/>
      <c r="F85" s="222" t="str">
        <f>IF(F$3="","",IF(COUNTIFS(BD!$A$3:$A$5001,F$3,BD!$B$3:$B$5001,$A$66,BD!$AA$3:$AA$5001,"&lt;&gt;")=0,"",SUMIFS(BD!$AA$3:$AA$5001,BD!$A$3:$A$5001,F$3,BD!$B$3:$B$5001,$A$66)))</f>
        <v/>
      </c>
      <c r="G85" s="223" t="str">
        <f>IF(G$3="","",IF(COUNTIFS(BD!$A$3:$A$5001,G$3,BD!$B$3:$B$5001,$A$66,BD!$AA$3:$AA$5001,"&lt;&gt;")=0,"",SUMIFS(BD!$AA$3:$AA$5001,BD!$A$3:$A$5001,G$3,BD!$B$3:$B$5001,$A$66)))</f>
        <v/>
      </c>
      <c r="H85" s="223" t="str">
        <f>IF(H$3="","",IF(COUNTIFS(BD!$A$3:$A$5001,H$3,BD!$B$3:$B$5001,$A$66,BD!$AA$3:$AA$5001,"&lt;&gt;")=0,"",SUMIFS(BD!$AA$3:$AA$5001,BD!$A$3:$A$5001,H$3,BD!$B$3:$B$5001,$A$66)))</f>
        <v/>
      </c>
      <c r="I85" s="223" t="str">
        <f>IF(I$3="","",IF(COUNTIFS(BD!$A$3:$A$5001,I$3,BD!$B$3:$B$5001,$A$66,BD!$AA$3:$AA$5001,"&lt;&gt;")=0,"",SUMIFS(BD!$AA$3:$AA$5001,BD!$A$3:$A$5001,I$3,BD!$B$3:$B$5001,$A$66)))</f>
        <v/>
      </c>
      <c r="J85" s="223" t="str">
        <f>IF(J$3="","",IF(COUNTIFS(BD!$A$3:$A$5001,J$3,BD!$B$3:$B$5001,$A$66,BD!$AA$3:$AA$5001,"&lt;&gt;")=0,"",SUMIFS(BD!$AA$3:$AA$5001,BD!$A$3:$A$5001,J$3,BD!$B$3:$B$5001,$A$66)))</f>
        <v/>
      </c>
      <c r="K85" s="223" t="str">
        <f>IF(K$3="","",IF(COUNTIFS(BD!$A$3:$A$5001,K$3,BD!$B$3:$B$5001,$A$66,BD!$AA$3:$AA$5001,"&lt;&gt;")=0,"",SUMIFS(BD!$AA$3:$AA$5001,BD!$A$3:$A$5001,K$3,BD!$B$3:$B$5001,$A$66)))</f>
        <v/>
      </c>
      <c r="L85" s="223" t="str">
        <f>IF(L$3="","",IF(COUNTIFS(BD!$A$3:$A$5001,L$3,BD!$B$3:$B$5001,$A$66,BD!$AA$3:$AA$5001,"&lt;&gt;")=0,"",SUMIFS(BD!$AA$3:$AA$5001,BD!$A$3:$A$5001,L$3,BD!$B$3:$B$5001,$A$66)))</f>
        <v/>
      </c>
      <c r="M85" s="223" t="str">
        <f>IF(M$3="","",IF(COUNTIFS(BD!$A$3:$A$5001,M$3,BD!$B$3:$B$5001,$A$66,BD!$AA$3:$AA$5001,"&lt;&gt;")=0,"",SUMIFS(BD!$AA$3:$AA$5001,BD!$A$3:$A$5001,M$3,BD!$B$3:$B$5001,$A$66)))</f>
        <v/>
      </c>
      <c r="N85" s="223" t="str">
        <f>IF(N$3="","",IF(COUNTIFS(BD!$A$3:$A$5001,N$3,BD!$B$3:$B$5001,$A$66,BD!$AA$3:$AA$5001,"&lt;&gt;")=0,"",SUMIFS(BD!$AA$3:$AA$5001,BD!$A$3:$A$5001,N$3,BD!$B$3:$B$5001,$A$66)))</f>
        <v/>
      </c>
      <c r="O85" s="223" t="str">
        <f>IF(O$3="","",IF(COUNTIFS(BD!$A$3:$A$5001,O$3,BD!$B$3:$B$5001,$A$66,BD!$AA$3:$AA$5001,"&lt;&gt;")=0,"",SUMIFS(BD!$AA$3:$AA$5001,BD!$A$3:$A$5001,O$3,BD!$B$3:$B$5001,$A$66)))</f>
        <v/>
      </c>
      <c r="P85" s="223" t="str">
        <f>IF(P$3="","",IF(COUNTIFS(BD!$A$3:$A$5001,P$3,BD!$B$3:$B$5001,$A$66,BD!$AA$3:$AA$5001,"&lt;&gt;")=0,"",SUMIFS(BD!$AA$3:$AA$5001,BD!$A$3:$A$5001,P$3,BD!$B$3:$B$5001,$A$66)))</f>
        <v/>
      </c>
      <c r="Q85" s="223" t="str">
        <f>IF(Q$3="","",IF(COUNTIFS(BD!$A$3:$A$5001,Q$3,BD!$B$3:$B$5001,$A$66,BD!$AA$3:$AA$5001,"&lt;&gt;")=0,"",SUMIFS(BD!$AA$3:$AA$5001,BD!$A$3:$A$5001,Q$3,BD!$B$3:$B$5001,$A$66)))</f>
        <v/>
      </c>
      <c r="R85" s="223" t="str">
        <f>IF(R$3="","",IF(COUNTIFS(BD!$A$3:$A$5001,R$3,BD!$B$3:$B$5001,$A$66,BD!$AA$3:$AA$5001,"&lt;&gt;")=0,"",SUMIFS(BD!$AA$3:$AA$5001,BD!$A$3:$A$5001,R$3,BD!$B$3:$B$5001,$A$66)))</f>
        <v/>
      </c>
      <c r="S85" s="223" t="str">
        <f>IF(S$3="","",IF(COUNTIFS(BD!$A$3:$A$5001,S$3,BD!$B$3:$B$5001,$A$66,BD!$AA$3:$AA$5001,"&lt;&gt;")=0,"",SUMIFS(BD!$AA$3:$AA$5001,BD!$A$3:$A$5001,S$3,BD!$B$3:$B$5001,$A$66)))</f>
        <v/>
      </c>
      <c r="T85" s="223" t="str">
        <f>IF(T$3="","",IF(COUNTIFS(BD!$A$3:$A$5001,T$3,BD!$B$3:$B$5001,$A$66,BD!$AA$3:$AA$5001,"&lt;&gt;")=0,"",SUMIFS(BD!$AA$3:$AA$5001,BD!$A$3:$A$5001,T$3,BD!$B$3:$B$5001,$A$66)))</f>
        <v/>
      </c>
      <c r="U85" s="223" t="str">
        <f>IF(U$3="","",IF(COUNTIFS(BD!$A$3:$A$5001,U$3,BD!$B$3:$B$5001,$A$66,BD!$AA$3:$AA$5001,"&lt;&gt;")=0,"",SUMIFS(BD!$AA$3:$AA$5001,BD!$A$3:$A$5001,U$3,BD!$B$3:$B$5001,$A$66)))</f>
        <v/>
      </c>
      <c r="V85" s="223" t="str">
        <f>IF(V$3="","",IF(COUNTIFS(BD!$A$3:$A$5001,V$3,BD!$B$3:$B$5001,$A$66,BD!$AA$3:$AA$5001,"&lt;&gt;")=0,"",SUMIFS(BD!$AA$3:$AA$5001,BD!$A$3:$A$5001,V$3,BD!$B$3:$B$5001,$A$66)))</f>
        <v/>
      </c>
      <c r="W85" s="223" t="str">
        <f>IF(W$3="","",IF(COUNTIFS(BD!$A$3:$A$5001,W$3,BD!$B$3:$B$5001,$A$66,BD!$AA$3:$AA$5001,"&lt;&gt;")=0,"",SUMIFS(BD!$AA$3:$AA$5001,BD!$A$3:$A$5001,W$3,BD!$B$3:$B$5001,$A$66)))</f>
        <v/>
      </c>
      <c r="X85" s="223" t="str">
        <f>IF(X$3="","",IF(COUNTIFS(BD!$A$3:$A$5001,X$3,BD!$B$3:$B$5001,$A$66,BD!$AA$3:$AA$5001,"&lt;&gt;")=0,"",SUMIFS(BD!$AA$3:$AA$5001,BD!$A$3:$A$5001,X$3,BD!$B$3:$B$5001,$A$66)))</f>
        <v/>
      </c>
      <c r="Y85" s="223" t="str">
        <f>IF(Y$3="","",IF(COUNTIFS(BD!$A$3:$A$5001,Y$3,BD!$B$3:$B$5001,$A$66,BD!$AA$3:$AA$5001,"&lt;&gt;")=0,"",SUMIFS(BD!$AA$3:$AA$5001,BD!$A$3:$A$5001,Y$3,BD!$B$3:$B$5001,$A$66)))</f>
        <v/>
      </c>
      <c r="Z85" s="223" t="str">
        <f>IF(Z$3="","",IF(COUNTIFS(BD!$A$3:$A$5001,Z$3,BD!$B$3:$B$5001,$A$66,BD!$AA$3:$AA$5001,"&lt;&gt;")=0,"",SUMIFS(BD!$AA$3:$AA$5001,BD!$A$3:$A$5001,Z$3,BD!$B$3:$B$5001,$A$66)))</f>
        <v/>
      </c>
      <c r="AA85" s="223" t="str">
        <f>IF(AA$3="","",IF(COUNTIFS(BD!$A$3:$A$5001,AA$3,BD!$B$3:$B$5001,$A$66,BD!$AA$3:$AA$5001,"&lt;&gt;")=0,"",SUMIFS(BD!$AA$3:$AA$5001,BD!$A$3:$A$5001,AA$3,BD!$B$3:$B$5001,$A$66)))</f>
        <v/>
      </c>
      <c r="AB85" s="223" t="str">
        <f>IF(AB$3="","",IF(COUNTIFS(BD!$A$3:$A$5001,AB$3,BD!$B$3:$B$5001,$A$66,BD!$AA$3:$AA$5001,"&lt;&gt;")=0,"",SUMIFS(BD!$AA$3:$AA$5001,BD!$A$3:$A$5001,AB$3,BD!$B$3:$B$5001,$A$66)))</f>
        <v/>
      </c>
      <c r="AC85" s="223" t="str">
        <f>IF(AC$3="","",IF(COUNTIFS(BD!$A$3:$A$5001,AC$3,BD!$B$3:$B$5001,$A$66,BD!$AA$3:$AA$5001,"&lt;&gt;")=0,"",SUMIFS(BD!$AA$3:$AA$5001,BD!$A$3:$A$5001,AC$3,BD!$B$3:$B$5001,$A$66)))</f>
        <v/>
      </c>
      <c r="AD85" s="223" t="str">
        <f>IF(AD$3="","",IF(COUNTIFS(BD!$A$3:$A$5001,AD$3,BD!$B$3:$B$5001,$A$66,BD!$AA$3:$AA$5001,"&lt;&gt;")=0,"",SUMIFS(BD!$AA$3:$AA$5001,BD!$A$3:$A$5001,AD$3,BD!$B$3:$B$5001,$A$66)))</f>
        <v/>
      </c>
      <c r="AE85" s="223" t="str">
        <f>IF(AE$3="","",IF(COUNTIFS(BD!$A$3:$A$5001,AE$3,BD!$B$3:$B$5001,$A$66,BD!$AA$3:$AA$5001,"&lt;&gt;")=0,"",SUMIFS(BD!$AA$3:$AA$5001,BD!$A$3:$A$5001,AE$3,BD!$B$3:$B$5001,$A$66)))</f>
        <v/>
      </c>
      <c r="AF85" s="223" t="str">
        <f>IF(AF$3="","",IF(COUNTIFS(BD!$A$3:$A$5001,AF$3,BD!$B$3:$B$5001,$A$66,BD!$AA$3:$AA$5001,"&lt;&gt;")=0,"",SUMIFS(BD!$AA$3:$AA$5001,BD!$A$3:$A$5001,AF$3,BD!$B$3:$B$5001,$A$66)))</f>
        <v/>
      </c>
      <c r="AG85" s="223" t="str">
        <f>IF(AG$3="","",IF(COUNTIFS(BD!$A$3:$A$5001,AG$3,BD!$B$3:$B$5001,$A$66,BD!$AA$3:$AA$5001,"&lt;&gt;")=0,"",SUMIFS(BD!$AA$3:$AA$5001,BD!$A$3:$A$5001,AG$3,BD!$B$3:$B$5001,$A$66)))</f>
        <v/>
      </c>
      <c r="AH85" s="223" t="str">
        <f>IF(AH$3="","",IF(COUNTIFS(BD!$A$3:$A$5001,AH$3,BD!$B$3:$B$5001,$A$66,BD!$AA$3:$AA$5001,"&lt;&gt;")=0,"",SUMIFS(BD!$AA$3:$AA$5001,BD!$A$3:$A$5001,AH$3,BD!$B$3:$B$5001,$A$66)))</f>
        <v/>
      </c>
      <c r="AI85" s="223" t="str">
        <f>IF(AI$3="","",IF(COUNTIFS(BD!$A$3:$A$5001,AI$3,BD!$B$3:$B$5001,$A$66,BD!$AA$3:$AA$5001,"&lt;&gt;")=0,"",SUMIFS(BD!$AA$3:$AA$5001,BD!$A$3:$A$5001,AI$3,BD!$B$3:$B$5001,$A$66)))</f>
        <v/>
      </c>
      <c r="AJ85" s="224" t="str">
        <f>IF(AJ$3="","",IF(COUNTIFS(BD!$A$3:$A$5001,AJ$3,BD!$B$3:$B$5001,$A$66,BD!$AA$3:$AA$5001,"&lt;&gt;")=0,"",SUMIFS(BD!$AA$3:$AA$5001,BD!$A$3:$A$5001,AJ$3,BD!$B$3:$B$5001,$A$66)))</f>
        <v/>
      </c>
      <c r="AK85" s="225" t="str">
        <f>IF(COUNT(F85:AJ85)=0,"",SUM(F85:AJ85))</f>
        <v/>
      </c>
    </row>
    <row r="86" ht="15.75" customHeight="1">
      <c r="A86" s="244"/>
      <c r="B86" s="241"/>
      <c r="C86" s="219" t="inlineStr">
        <is>
          <t xml:space="preserve">Férias</t>
        </is>
      </c>
      <c r="D86" s="220" t="str">
        <f>IFERROR(1/(1/INDEX(BD!$AJ$49:$BD$49,MATCH($A$66,BD!$AJ$22:$BD$22,0))),"")</f>
        <v/>
      </c>
      <c r="E86" s="221"/>
      <c r="F86" s="222" t="str">
        <f>IF(F$3="","",IF(COUNTIFS(BD!$A$3:$A$5001,F$3,BD!$B$3:$B$5001,$A$66,BD!$AB$3:$AB$5001,"&lt;&gt;")=0,"",SUMIFS(BD!$AB$3:$AB$5001,BD!$A$3:$A$5001,F$3,BD!$B$3:$B$5001,$A$66)))</f>
        <v/>
      </c>
      <c r="G86" s="223" t="str">
        <f>IF(G$3="","",IF(COUNTIFS(BD!$A$3:$A$5001,G$3,BD!$B$3:$B$5001,$A$66,BD!$AB$3:$AB$5001,"&lt;&gt;")=0,"",SUMIFS(BD!$AB$3:$AB$5001,BD!$A$3:$A$5001,G$3,BD!$B$3:$B$5001,$A$66)))</f>
        <v/>
      </c>
      <c r="H86" s="223" t="str">
        <f>IF(H$3="","",IF(COUNTIFS(BD!$A$3:$A$5001,H$3,BD!$B$3:$B$5001,$A$66,BD!$AB$3:$AB$5001,"&lt;&gt;")=0,"",SUMIFS(BD!$AB$3:$AB$5001,BD!$A$3:$A$5001,H$3,BD!$B$3:$B$5001,$A$66)))</f>
        <v/>
      </c>
      <c r="I86" s="223" t="str">
        <f>IF(I$3="","",IF(COUNTIFS(BD!$A$3:$A$5001,I$3,BD!$B$3:$B$5001,$A$66,BD!$AB$3:$AB$5001,"&lt;&gt;")=0,"",SUMIFS(BD!$AB$3:$AB$5001,BD!$A$3:$A$5001,I$3,BD!$B$3:$B$5001,$A$66)))</f>
        <v/>
      </c>
      <c r="J86" s="223" t="str">
        <f>IF(J$3="","",IF(COUNTIFS(BD!$A$3:$A$5001,J$3,BD!$B$3:$B$5001,$A$66,BD!$AB$3:$AB$5001,"&lt;&gt;")=0,"",SUMIFS(BD!$AB$3:$AB$5001,BD!$A$3:$A$5001,J$3,BD!$B$3:$B$5001,$A$66)))</f>
        <v/>
      </c>
      <c r="K86" s="223" t="str">
        <f>IF(K$3="","",IF(COUNTIFS(BD!$A$3:$A$5001,K$3,BD!$B$3:$B$5001,$A$66,BD!$AB$3:$AB$5001,"&lt;&gt;")=0,"",SUMIFS(BD!$AB$3:$AB$5001,BD!$A$3:$A$5001,K$3,BD!$B$3:$B$5001,$A$66)))</f>
        <v/>
      </c>
      <c r="L86" s="223" t="str">
        <f>IF(L$3="","",IF(COUNTIFS(BD!$A$3:$A$5001,L$3,BD!$B$3:$B$5001,$A$66,BD!$AB$3:$AB$5001,"&lt;&gt;")=0,"",SUMIFS(BD!$AB$3:$AB$5001,BD!$A$3:$A$5001,L$3,BD!$B$3:$B$5001,$A$66)))</f>
        <v/>
      </c>
      <c r="M86" s="223" t="str">
        <f>IF(M$3="","",IF(COUNTIFS(BD!$A$3:$A$5001,M$3,BD!$B$3:$B$5001,$A$66,BD!$AB$3:$AB$5001,"&lt;&gt;")=0,"",SUMIFS(BD!$AB$3:$AB$5001,BD!$A$3:$A$5001,M$3,BD!$B$3:$B$5001,$A$66)))</f>
        <v/>
      </c>
      <c r="N86" s="223" t="str">
        <f>IF(N$3="","",IF(COUNTIFS(BD!$A$3:$A$5001,N$3,BD!$B$3:$B$5001,$A$66,BD!$AB$3:$AB$5001,"&lt;&gt;")=0,"",SUMIFS(BD!$AB$3:$AB$5001,BD!$A$3:$A$5001,N$3,BD!$B$3:$B$5001,$A$66)))</f>
        <v/>
      </c>
      <c r="O86" s="223" t="str">
        <f>IF(O$3="","",IF(COUNTIFS(BD!$A$3:$A$5001,O$3,BD!$B$3:$B$5001,$A$66,BD!$AB$3:$AB$5001,"&lt;&gt;")=0,"",SUMIFS(BD!$AB$3:$AB$5001,BD!$A$3:$A$5001,O$3,BD!$B$3:$B$5001,$A$66)))</f>
        <v/>
      </c>
      <c r="P86" s="223" t="str">
        <f>IF(P$3="","",IF(COUNTIFS(BD!$A$3:$A$5001,P$3,BD!$B$3:$B$5001,$A$66,BD!$AB$3:$AB$5001,"&lt;&gt;")=0,"",SUMIFS(BD!$AB$3:$AB$5001,BD!$A$3:$A$5001,P$3,BD!$B$3:$B$5001,$A$66)))</f>
        <v/>
      </c>
      <c r="Q86" s="223" t="str">
        <f>IF(Q$3="","",IF(COUNTIFS(BD!$A$3:$A$5001,Q$3,BD!$B$3:$B$5001,$A$66,BD!$AB$3:$AB$5001,"&lt;&gt;")=0,"",SUMIFS(BD!$AB$3:$AB$5001,BD!$A$3:$A$5001,Q$3,BD!$B$3:$B$5001,$A$66)))</f>
        <v/>
      </c>
      <c r="R86" s="223" t="str">
        <f>IF(R$3="","",IF(COUNTIFS(BD!$A$3:$A$5001,R$3,BD!$B$3:$B$5001,$A$66,BD!$AB$3:$AB$5001,"&lt;&gt;")=0,"",SUMIFS(BD!$AB$3:$AB$5001,BD!$A$3:$A$5001,R$3,BD!$B$3:$B$5001,$A$66)))</f>
        <v/>
      </c>
      <c r="S86" s="223" t="str">
        <f>IF(S$3="","",IF(COUNTIFS(BD!$A$3:$A$5001,S$3,BD!$B$3:$B$5001,$A$66,BD!$AB$3:$AB$5001,"&lt;&gt;")=0,"",SUMIFS(BD!$AB$3:$AB$5001,BD!$A$3:$A$5001,S$3,BD!$B$3:$B$5001,$A$66)))</f>
        <v/>
      </c>
      <c r="T86" s="223" t="str">
        <f>IF(T$3="","",IF(COUNTIFS(BD!$A$3:$A$5001,T$3,BD!$B$3:$B$5001,$A$66,BD!$AB$3:$AB$5001,"&lt;&gt;")=0,"",SUMIFS(BD!$AB$3:$AB$5001,BD!$A$3:$A$5001,T$3,BD!$B$3:$B$5001,$A$66)))</f>
        <v/>
      </c>
      <c r="U86" s="223" t="str">
        <f>IF(U$3="","",IF(COUNTIFS(BD!$A$3:$A$5001,U$3,BD!$B$3:$B$5001,$A$66,BD!$AB$3:$AB$5001,"&lt;&gt;")=0,"",SUMIFS(BD!$AB$3:$AB$5001,BD!$A$3:$A$5001,U$3,BD!$B$3:$B$5001,$A$66)))</f>
        <v/>
      </c>
      <c r="V86" s="223" t="str">
        <f>IF(V$3="","",IF(COUNTIFS(BD!$A$3:$A$5001,V$3,BD!$B$3:$B$5001,$A$66,BD!$AB$3:$AB$5001,"&lt;&gt;")=0,"",SUMIFS(BD!$AB$3:$AB$5001,BD!$A$3:$A$5001,V$3,BD!$B$3:$B$5001,$A$66)))</f>
        <v/>
      </c>
      <c r="W86" s="223" t="str">
        <f>IF(W$3="","",IF(COUNTIFS(BD!$A$3:$A$5001,W$3,BD!$B$3:$B$5001,$A$66,BD!$AB$3:$AB$5001,"&lt;&gt;")=0,"",SUMIFS(BD!$AB$3:$AB$5001,BD!$A$3:$A$5001,W$3,BD!$B$3:$B$5001,$A$66)))</f>
        <v/>
      </c>
      <c r="X86" s="223" t="str">
        <f>IF(X$3="","",IF(COUNTIFS(BD!$A$3:$A$5001,X$3,BD!$B$3:$B$5001,$A$66,BD!$AB$3:$AB$5001,"&lt;&gt;")=0,"",SUMIFS(BD!$AB$3:$AB$5001,BD!$A$3:$A$5001,X$3,BD!$B$3:$B$5001,$A$66)))</f>
        <v/>
      </c>
      <c r="Y86" s="223" t="str">
        <f>IF(Y$3="","",IF(COUNTIFS(BD!$A$3:$A$5001,Y$3,BD!$B$3:$B$5001,$A$66,BD!$AB$3:$AB$5001,"&lt;&gt;")=0,"",SUMIFS(BD!$AB$3:$AB$5001,BD!$A$3:$A$5001,Y$3,BD!$B$3:$B$5001,$A$66)))</f>
        <v/>
      </c>
      <c r="Z86" s="223" t="str">
        <f>IF(Z$3="","",IF(COUNTIFS(BD!$A$3:$A$5001,Z$3,BD!$B$3:$B$5001,$A$66,BD!$AB$3:$AB$5001,"&lt;&gt;")=0,"",SUMIFS(BD!$AB$3:$AB$5001,BD!$A$3:$A$5001,Z$3,BD!$B$3:$B$5001,$A$66)))</f>
        <v/>
      </c>
      <c r="AA86" s="223" t="str">
        <f>IF(AA$3="","",IF(COUNTIFS(BD!$A$3:$A$5001,AA$3,BD!$B$3:$B$5001,$A$66,BD!$AB$3:$AB$5001,"&lt;&gt;")=0,"",SUMIFS(BD!$AB$3:$AB$5001,BD!$A$3:$A$5001,AA$3,BD!$B$3:$B$5001,$A$66)))</f>
        <v/>
      </c>
      <c r="AB86" s="223" t="str">
        <f>IF(AB$3="","",IF(COUNTIFS(BD!$A$3:$A$5001,AB$3,BD!$B$3:$B$5001,$A$66,BD!$AB$3:$AB$5001,"&lt;&gt;")=0,"",SUMIFS(BD!$AB$3:$AB$5001,BD!$A$3:$A$5001,AB$3,BD!$B$3:$B$5001,$A$66)))</f>
        <v/>
      </c>
      <c r="AC86" s="223" t="str">
        <f>IF(AC$3="","",IF(COUNTIFS(BD!$A$3:$A$5001,AC$3,BD!$B$3:$B$5001,$A$66,BD!$AB$3:$AB$5001,"&lt;&gt;")=0,"",SUMIFS(BD!$AB$3:$AB$5001,BD!$A$3:$A$5001,AC$3,BD!$B$3:$B$5001,$A$66)))</f>
        <v/>
      </c>
      <c r="AD86" s="223" t="str">
        <f>IF(AD$3="","",IF(COUNTIFS(BD!$A$3:$A$5001,AD$3,BD!$B$3:$B$5001,$A$66,BD!$AB$3:$AB$5001,"&lt;&gt;")=0,"",SUMIFS(BD!$AB$3:$AB$5001,BD!$A$3:$A$5001,AD$3,BD!$B$3:$B$5001,$A$66)))</f>
        <v/>
      </c>
      <c r="AE86" s="223" t="str">
        <f>IF(AE$3="","",IF(COUNTIFS(BD!$A$3:$A$5001,AE$3,BD!$B$3:$B$5001,$A$66,BD!$AB$3:$AB$5001,"&lt;&gt;")=0,"",SUMIFS(BD!$AB$3:$AB$5001,BD!$A$3:$A$5001,AE$3,BD!$B$3:$B$5001,$A$66)))</f>
        <v/>
      </c>
      <c r="AF86" s="223" t="str">
        <f>IF(AF$3="","",IF(COUNTIFS(BD!$A$3:$A$5001,AF$3,BD!$B$3:$B$5001,$A$66,BD!$AB$3:$AB$5001,"&lt;&gt;")=0,"",SUMIFS(BD!$AB$3:$AB$5001,BD!$A$3:$A$5001,AF$3,BD!$B$3:$B$5001,$A$66)))</f>
        <v/>
      </c>
      <c r="AG86" s="223" t="str">
        <f>IF(AG$3="","",IF(COUNTIFS(BD!$A$3:$A$5001,AG$3,BD!$B$3:$B$5001,$A$66,BD!$AB$3:$AB$5001,"&lt;&gt;")=0,"",SUMIFS(BD!$AB$3:$AB$5001,BD!$A$3:$A$5001,AG$3,BD!$B$3:$B$5001,$A$66)))</f>
        <v/>
      </c>
      <c r="AH86" s="223" t="str">
        <f>IF(AH$3="","",IF(COUNTIFS(BD!$A$3:$A$5001,AH$3,BD!$B$3:$B$5001,$A$66,BD!$AB$3:$AB$5001,"&lt;&gt;")=0,"",SUMIFS(BD!$AB$3:$AB$5001,BD!$A$3:$A$5001,AH$3,BD!$B$3:$B$5001,$A$66)))</f>
        <v/>
      </c>
      <c r="AI86" s="223" t="str">
        <f>IF(AI$3="","",IF(COUNTIFS(BD!$A$3:$A$5001,AI$3,BD!$B$3:$B$5001,$A$66,BD!$AB$3:$AB$5001,"&lt;&gt;")=0,"",SUMIFS(BD!$AB$3:$AB$5001,BD!$A$3:$A$5001,AI$3,BD!$B$3:$B$5001,$A$66)))</f>
        <v/>
      </c>
      <c r="AJ86" s="224" t="str">
        <f>IF(AJ$3="","",IF(COUNTIFS(BD!$A$3:$A$5001,AJ$3,BD!$B$3:$B$5001,$A$66,BD!$AB$3:$AB$5001,"&lt;&gt;")=0,"",SUMIFS(BD!$AB$3:$AB$5001,BD!$A$3:$A$5001,AJ$3,BD!$B$3:$B$5001,$A$66)))</f>
        <v/>
      </c>
      <c r="AK86" s="225" t="str">
        <f>IF(COUNT(F86:AJ86)=0,"",SUM(F86:AJ86))</f>
        <v/>
      </c>
    </row>
    <row r="87" ht="15.75" customHeight="1">
      <c r="A87" s="244"/>
      <c r="B87" s="241"/>
      <c r="C87" s="219" t="inlineStr">
        <is>
          <t xml:space="preserve">Desligamento</t>
        </is>
      </c>
      <c r="D87" s="220" t="str">
        <f>IFERROR(1/(1/INDEX(BD!$AJ$50:$BD$50,MATCH($A$66,BD!$AJ$22:$BD$22,0))),"")</f>
        <v/>
      </c>
      <c r="E87" s="221"/>
      <c r="F87" s="222" t="str">
        <f>IF(F$3="","",IF(COUNTIFS(BD!$A$3:$A$5001,F$3,BD!$B$3:$B$5001,$A$66,BD!$AC$3:$AC$5001,"&lt;&gt;")=0,"",SUMIFS(BD!$AC$3:$AC$5001,BD!$A$3:$A$5001,F$3,BD!$B$3:$B$5001,$A$66)))</f>
        <v/>
      </c>
      <c r="G87" s="223" t="str">
        <f>IF(G$3="","",IF(COUNTIFS(BD!$A$3:$A$5001,G$3,BD!$B$3:$B$5001,$A$66,BD!$AC$3:$AC$5001,"&lt;&gt;")=0,"",SUMIFS(BD!$AC$3:$AC$5001,BD!$A$3:$A$5001,G$3,BD!$B$3:$B$5001,$A$66)))</f>
        <v/>
      </c>
      <c r="H87" s="223" t="str">
        <f>IF(H$3="","",IF(COUNTIFS(BD!$A$3:$A$5001,H$3,BD!$B$3:$B$5001,$A$66,BD!$AC$3:$AC$5001,"&lt;&gt;")=0,"",SUMIFS(BD!$AC$3:$AC$5001,BD!$A$3:$A$5001,H$3,BD!$B$3:$B$5001,$A$66)))</f>
        <v/>
      </c>
      <c r="I87" s="223" t="str">
        <f>IF(I$3="","",IF(COUNTIFS(BD!$A$3:$A$5001,I$3,BD!$B$3:$B$5001,$A$66,BD!$AC$3:$AC$5001,"&lt;&gt;")=0,"",SUMIFS(BD!$AC$3:$AC$5001,BD!$A$3:$A$5001,I$3,BD!$B$3:$B$5001,$A$66)))</f>
        <v/>
      </c>
      <c r="J87" s="223" t="str">
        <f>IF(J$3="","",IF(COUNTIFS(BD!$A$3:$A$5001,J$3,BD!$B$3:$B$5001,$A$66,BD!$AC$3:$AC$5001,"&lt;&gt;")=0,"",SUMIFS(BD!$AC$3:$AC$5001,BD!$A$3:$A$5001,J$3,BD!$B$3:$B$5001,$A$66)))</f>
        <v/>
      </c>
      <c r="K87" s="223" t="str">
        <f>IF(K$3="","",IF(COUNTIFS(BD!$A$3:$A$5001,K$3,BD!$B$3:$B$5001,$A$66,BD!$AC$3:$AC$5001,"&lt;&gt;")=0,"",SUMIFS(BD!$AC$3:$AC$5001,BD!$A$3:$A$5001,K$3,BD!$B$3:$B$5001,$A$66)))</f>
        <v/>
      </c>
      <c r="L87" s="223" t="str">
        <f>IF(L$3="","",IF(COUNTIFS(BD!$A$3:$A$5001,L$3,BD!$B$3:$B$5001,$A$66,BD!$AC$3:$AC$5001,"&lt;&gt;")=0,"",SUMIFS(BD!$AC$3:$AC$5001,BD!$A$3:$A$5001,L$3,BD!$B$3:$B$5001,$A$66)))</f>
        <v/>
      </c>
      <c r="M87" s="223" t="str">
        <f>IF(M$3="","",IF(COUNTIFS(BD!$A$3:$A$5001,M$3,BD!$B$3:$B$5001,$A$66,BD!$AC$3:$AC$5001,"&lt;&gt;")=0,"",SUMIFS(BD!$AC$3:$AC$5001,BD!$A$3:$A$5001,M$3,BD!$B$3:$B$5001,$A$66)))</f>
        <v/>
      </c>
      <c r="N87" s="223" t="str">
        <f>IF(N$3="","",IF(COUNTIFS(BD!$A$3:$A$5001,N$3,BD!$B$3:$B$5001,$A$66,BD!$AC$3:$AC$5001,"&lt;&gt;")=0,"",SUMIFS(BD!$AC$3:$AC$5001,BD!$A$3:$A$5001,N$3,BD!$B$3:$B$5001,$A$66)))</f>
        <v/>
      </c>
      <c r="O87" s="223" t="str">
        <f>IF(O$3="","",IF(COUNTIFS(BD!$A$3:$A$5001,O$3,BD!$B$3:$B$5001,$A$66,BD!$AC$3:$AC$5001,"&lt;&gt;")=0,"",SUMIFS(BD!$AC$3:$AC$5001,BD!$A$3:$A$5001,O$3,BD!$B$3:$B$5001,$A$66)))</f>
        <v/>
      </c>
      <c r="P87" s="223" t="str">
        <f>IF(P$3="","",IF(COUNTIFS(BD!$A$3:$A$5001,P$3,BD!$B$3:$B$5001,$A$66,BD!$AC$3:$AC$5001,"&lt;&gt;")=0,"",SUMIFS(BD!$AC$3:$AC$5001,BD!$A$3:$A$5001,P$3,BD!$B$3:$B$5001,$A$66)))</f>
        <v/>
      </c>
      <c r="Q87" s="223" t="str">
        <f>IF(Q$3="","",IF(COUNTIFS(BD!$A$3:$A$5001,Q$3,BD!$B$3:$B$5001,$A$66,BD!$AC$3:$AC$5001,"&lt;&gt;")=0,"",SUMIFS(BD!$AC$3:$AC$5001,BD!$A$3:$A$5001,Q$3,BD!$B$3:$B$5001,$A$66)))</f>
        <v/>
      </c>
      <c r="R87" s="223" t="str">
        <f>IF(R$3="","",IF(COUNTIFS(BD!$A$3:$A$5001,R$3,BD!$B$3:$B$5001,$A$66,BD!$AC$3:$AC$5001,"&lt;&gt;")=0,"",SUMIFS(BD!$AC$3:$AC$5001,BD!$A$3:$A$5001,R$3,BD!$B$3:$B$5001,$A$66)))</f>
        <v/>
      </c>
      <c r="S87" s="223" t="str">
        <f>IF(S$3="","",IF(COUNTIFS(BD!$A$3:$A$5001,S$3,BD!$B$3:$B$5001,$A$66,BD!$AC$3:$AC$5001,"&lt;&gt;")=0,"",SUMIFS(BD!$AC$3:$AC$5001,BD!$A$3:$A$5001,S$3,BD!$B$3:$B$5001,$A$66)))</f>
        <v/>
      </c>
      <c r="T87" s="223" t="str">
        <f>IF(T$3="","",IF(COUNTIFS(BD!$A$3:$A$5001,T$3,BD!$B$3:$B$5001,$A$66,BD!$AC$3:$AC$5001,"&lt;&gt;")=0,"",SUMIFS(BD!$AC$3:$AC$5001,BD!$A$3:$A$5001,T$3,BD!$B$3:$B$5001,$A$66)))</f>
        <v/>
      </c>
      <c r="U87" s="223" t="str">
        <f>IF(U$3="","",IF(COUNTIFS(BD!$A$3:$A$5001,U$3,BD!$B$3:$B$5001,$A$66,BD!$AC$3:$AC$5001,"&lt;&gt;")=0,"",SUMIFS(BD!$AC$3:$AC$5001,BD!$A$3:$A$5001,U$3,BD!$B$3:$B$5001,$A$66)))</f>
        <v/>
      </c>
      <c r="V87" s="223" t="str">
        <f>IF(V$3="","",IF(COUNTIFS(BD!$A$3:$A$5001,V$3,BD!$B$3:$B$5001,$A$66,BD!$AC$3:$AC$5001,"&lt;&gt;")=0,"",SUMIFS(BD!$AC$3:$AC$5001,BD!$A$3:$A$5001,V$3,BD!$B$3:$B$5001,$A$66)))</f>
        <v/>
      </c>
      <c r="W87" s="223" t="str">
        <f>IF(W$3="","",IF(COUNTIFS(BD!$A$3:$A$5001,W$3,BD!$B$3:$B$5001,$A$66,BD!$AC$3:$AC$5001,"&lt;&gt;")=0,"",SUMIFS(BD!$AC$3:$AC$5001,BD!$A$3:$A$5001,W$3,BD!$B$3:$B$5001,$A$66)))</f>
        <v/>
      </c>
      <c r="X87" s="223" t="str">
        <f>IF(X$3="","",IF(COUNTIFS(BD!$A$3:$A$5001,X$3,BD!$B$3:$B$5001,$A$66,BD!$AC$3:$AC$5001,"&lt;&gt;")=0,"",SUMIFS(BD!$AC$3:$AC$5001,BD!$A$3:$A$5001,X$3,BD!$B$3:$B$5001,$A$66)))</f>
        <v/>
      </c>
      <c r="Y87" s="223" t="str">
        <f>IF(Y$3="","",IF(COUNTIFS(BD!$A$3:$A$5001,Y$3,BD!$B$3:$B$5001,$A$66,BD!$AC$3:$AC$5001,"&lt;&gt;")=0,"",SUMIFS(BD!$AC$3:$AC$5001,BD!$A$3:$A$5001,Y$3,BD!$B$3:$B$5001,$A$66)))</f>
        <v/>
      </c>
      <c r="Z87" s="223" t="str">
        <f>IF(Z$3="","",IF(COUNTIFS(BD!$A$3:$A$5001,Z$3,BD!$B$3:$B$5001,$A$66,BD!$AC$3:$AC$5001,"&lt;&gt;")=0,"",SUMIFS(BD!$AC$3:$AC$5001,BD!$A$3:$A$5001,Z$3,BD!$B$3:$B$5001,$A$66)))</f>
        <v/>
      </c>
      <c r="AA87" s="223" t="str">
        <f>IF(AA$3="","",IF(COUNTIFS(BD!$A$3:$A$5001,AA$3,BD!$B$3:$B$5001,$A$66,BD!$AC$3:$AC$5001,"&lt;&gt;")=0,"",SUMIFS(BD!$AC$3:$AC$5001,BD!$A$3:$A$5001,AA$3,BD!$B$3:$B$5001,$A$66)))</f>
        <v/>
      </c>
      <c r="AB87" s="223" t="str">
        <f>IF(AB$3="","",IF(COUNTIFS(BD!$A$3:$A$5001,AB$3,BD!$B$3:$B$5001,$A$66,BD!$AC$3:$AC$5001,"&lt;&gt;")=0,"",SUMIFS(BD!$AC$3:$AC$5001,BD!$A$3:$A$5001,AB$3,BD!$B$3:$B$5001,$A$66)))</f>
        <v/>
      </c>
      <c r="AC87" s="223" t="str">
        <f>IF(AC$3="","",IF(COUNTIFS(BD!$A$3:$A$5001,AC$3,BD!$B$3:$B$5001,$A$66,BD!$AC$3:$AC$5001,"&lt;&gt;")=0,"",SUMIFS(BD!$AC$3:$AC$5001,BD!$A$3:$A$5001,AC$3,BD!$B$3:$B$5001,$A$66)))</f>
        <v/>
      </c>
      <c r="AD87" s="223" t="str">
        <f>IF(AD$3="","",IF(COUNTIFS(BD!$A$3:$A$5001,AD$3,BD!$B$3:$B$5001,$A$66,BD!$AC$3:$AC$5001,"&lt;&gt;")=0,"",SUMIFS(BD!$AC$3:$AC$5001,BD!$A$3:$A$5001,AD$3,BD!$B$3:$B$5001,$A$66)))</f>
        <v/>
      </c>
      <c r="AE87" s="223" t="str">
        <f>IF(AE$3="","",IF(COUNTIFS(BD!$A$3:$A$5001,AE$3,BD!$B$3:$B$5001,$A$66,BD!$AC$3:$AC$5001,"&lt;&gt;")=0,"",SUMIFS(BD!$AC$3:$AC$5001,BD!$A$3:$A$5001,AE$3,BD!$B$3:$B$5001,$A$66)))</f>
        <v/>
      </c>
      <c r="AF87" s="223" t="str">
        <f>IF(AF$3="","",IF(COUNTIFS(BD!$A$3:$A$5001,AF$3,BD!$B$3:$B$5001,$A$66,BD!$AC$3:$AC$5001,"&lt;&gt;")=0,"",SUMIFS(BD!$AC$3:$AC$5001,BD!$A$3:$A$5001,AF$3,BD!$B$3:$B$5001,$A$66)))</f>
        <v/>
      </c>
      <c r="AG87" s="223" t="str">
        <f>IF(AG$3="","",IF(COUNTIFS(BD!$A$3:$A$5001,AG$3,BD!$B$3:$B$5001,$A$66,BD!$AC$3:$AC$5001,"&lt;&gt;")=0,"",SUMIFS(BD!$AC$3:$AC$5001,BD!$A$3:$A$5001,AG$3,BD!$B$3:$B$5001,$A$66)))</f>
        <v/>
      </c>
      <c r="AH87" s="223" t="str">
        <f>IF(AH$3="","",IF(COUNTIFS(BD!$A$3:$A$5001,AH$3,BD!$B$3:$B$5001,$A$66,BD!$AC$3:$AC$5001,"&lt;&gt;")=0,"",SUMIFS(BD!$AC$3:$AC$5001,BD!$A$3:$A$5001,AH$3,BD!$B$3:$B$5001,$A$66)))</f>
        <v/>
      </c>
      <c r="AI87" s="223" t="str">
        <f>IF(AI$3="","",IF(COUNTIFS(BD!$A$3:$A$5001,AI$3,BD!$B$3:$B$5001,$A$66,BD!$AC$3:$AC$5001,"&lt;&gt;")=0,"",SUMIFS(BD!$AC$3:$AC$5001,BD!$A$3:$A$5001,AI$3,BD!$B$3:$B$5001,$A$66)))</f>
        <v/>
      </c>
      <c r="AJ87" s="224" t="str">
        <f>IF(AJ$3="","",IF(COUNTIFS(BD!$A$3:$A$5001,AJ$3,BD!$B$3:$B$5001,$A$66,BD!$AC$3:$AC$5001,"&lt;&gt;")=0,"",SUMIFS(BD!$AC$3:$AC$5001,BD!$A$3:$A$5001,AJ$3,BD!$B$3:$B$5001,$A$66)))</f>
        <v/>
      </c>
      <c r="AK87" s="225" t="str">
        <f>IF(COUNT(F87:AJ87)=0,"",SUM(F87:AJ87))</f>
        <v/>
      </c>
    </row>
    <row r="88" ht="15.75" customHeight="1">
      <c r="A88" s="244"/>
      <c r="B88" s="241"/>
      <c r="C88" s="219" t="inlineStr">
        <is>
          <t xml:space="preserve">Desvios Comportamentais</t>
        </is>
      </c>
      <c r="D88" s="220" t="str">
        <f>IFERROR(1/(1/INDEX(BD!$AJ$51:$BD$51,MATCH($A$66,BD!$AJ$22:$BD$22,0))),"")</f>
        <v/>
      </c>
      <c r="E88" s="221"/>
      <c r="F88" s="222" t="str">
        <f>IF(F$3="","",IF(COUNTIFS(BD!$A$3:$A$5001,F$3,BD!$B$3:$B$5001,$A$66,BD!$AD$3:$AD$5001,"&lt;&gt;")=0,"",SUMIFS(BD!$AD$3:$AD$5001,BD!$A$3:$A$5001,F$3,BD!$B$3:$B$5001,$A$66)))</f>
        <v/>
      </c>
      <c r="G88" s="223" t="str">
        <f>IF(G$3="","",IF(COUNTIFS(BD!$A$3:$A$5001,G$3,BD!$B$3:$B$5001,$A$66,BD!$AD$3:$AD$5001,"&lt;&gt;")=0,"",SUMIFS(BD!$AD$3:$AD$5001,BD!$A$3:$A$5001,G$3,BD!$B$3:$B$5001,$A$66)))</f>
        <v/>
      </c>
      <c r="H88" s="223" t="str">
        <f>IF(H$3="","",IF(COUNTIFS(BD!$A$3:$A$5001,H$3,BD!$B$3:$B$5001,$A$66,BD!$AD$3:$AD$5001,"&lt;&gt;")=0,"",SUMIFS(BD!$AD$3:$AD$5001,BD!$A$3:$A$5001,H$3,BD!$B$3:$B$5001,$A$66)))</f>
        <v/>
      </c>
      <c r="I88" s="223" t="str">
        <f>IF(I$3="","",IF(COUNTIFS(BD!$A$3:$A$5001,I$3,BD!$B$3:$B$5001,$A$66,BD!$AD$3:$AD$5001,"&lt;&gt;")=0,"",SUMIFS(BD!$AD$3:$AD$5001,BD!$A$3:$A$5001,I$3,BD!$B$3:$B$5001,$A$66)))</f>
        <v/>
      </c>
      <c r="J88" s="223" t="str">
        <f>IF(J$3="","",IF(COUNTIFS(BD!$A$3:$A$5001,J$3,BD!$B$3:$B$5001,$A$66,BD!$AD$3:$AD$5001,"&lt;&gt;")=0,"",SUMIFS(BD!$AD$3:$AD$5001,BD!$A$3:$A$5001,J$3,BD!$B$3:$B$5001,$A$66)))</f>
        <v/>
      </c>
      <c r="K88" s="223" t="str">
        <f>IF(K$3="","",IF(COUNTIFS(BD!$A$3:$A$5001,K$3,BD!$B$3:$B$5001,$A$66,BD!$AD$3:$AD$5001,"&lt;&gt;")=0,"",SUMIFS(BD!$AD$3:$AD$5001,BD!$A$3:$A$5001,K$3,BD!$B$3:$B$5001,$A$66)))</f>
        <v/>
      </c>
      <c r="L88" s="223" t="str">
        <f>IF(L$3="","",IF(COUNTIFS(BD!$A$3:$A$5001,L$3,BD!$B$3:$B$5001,$A$66,BD!$AD$3:$AD$5001,"&lt;&gt;")=0,"",SUMIFS(BD!$AD$3:$AD$5001,BD!$A$3:$A$5001,L$3,BD!$B$3:$B$5001,$A$66)))</f>
        <v/>
      </c>
      <c r="M88" s="223" t="str">
        <f>IF(M$3="","",IF(COUNTIFS(BD!$A$3:$A$5001,M$3,BD!$B$3:$B$5001,$A$66,BD!$AD$3:$AD$5001,"&lt;&gt;")=0,"",SUMIFS(BD!$AD$3:$AD$5001,BD!$A$3:$A$5001,M$3,BD!$B$3:$B$5001,$A$66)))</f>
        <v/>
      </c>
      <c r="N88" s="223" t="str">
        <f>IF(N$3="","",IF(COUNTIFS(BD!$A$3:$A$5001,N$3,BD!$B$3:$B$5001,$A$66,BD!$AD$3:$AD$5001,"&lt;&gt;")=0,"",SUMIFS(BD!$AD$3:$AD$5001,BD!$A$3:$A$5001,N$3,BD!$B$3:$B$5001,$A$66)))</f>
        <v/>
      </c>
      <c r="O88" s="223" t="str">
        <f>IF(O$3="","",IF(COUNTIFS(BD!$A$3:$A$5001,O$3,BD!$B$3:$B$5001,$A$66,BD!$AD$3:$AD$5001,"&lt;&gt;")=0,"",SUMIFS(BD!$AD$3:$AD$5001,BD!$A$3:$A$5001,O$3,BD!$B$3:$B$5001,$A$66)))</f>
        <v/>
      </c>
      <c r="P88" s="223" t="str">
        <f>IF(P$3="","",IF(COUNTIFS(BD!$A$3:$A$5001,P$3,BD!$B$3:$B$5001,$A$66,BD!$AD$3:$AD$5001,"&lt;&gt;")=0,"",SUMIFS(BD!$AD$3:$AD$5001,BD!$A$3:$A$5001,P$3,BD!$B$3:$B$5001,$A$66)))</f>
        <v/>
      </c>
      <c r="Q88" s="223" t="str">
        <f>IF(Q$3="","",IF(COUNTIFS(BD!$A$3:$A$5001,Q$3,BD!$B$3:$B$5001,$A$66,BD!$AD$3:$AD$5001,"&lt;&gt;")=0,"",SUMIFS(BD!$AD$3:$AD$5001,BD!$A$3:$A$5001,Q$3,BD!$B$3:$B$5001,$A$66)))</f>
        <v/>
      </c>
      <c r="R88" s="223" t="str">
        <f>IF(R$3="","",IF(COUNTIFS(BD!$A$3:$A$5001,R$3,BD!$B$3:$B$5001,$A$66,BD!$AD$3:$AD$5001,"&lt;&gt;")=0,"",SUMIFS(BD!$AD$3:$AD$5001,BD!$A$3:$A$5001,R$3,BD!$B$3:$B$5001,$A$66)))</f>
        <v/>
      </c>
      <c r="S88" s="223" t="str">
        <f>IF(S$3="","",IF(COUNTIFS(BD!$A$3:$A$5001,S$3,BD!$B$3:$B$5001,$A$66,BD!$AD$3:$AD$5001,"&lt;&gt;")=0,"",SUMIFS(BD!$AD$3:$AD$5001,BD!$A$3:$A$5001,S$3,BD!$B$3:$B$5001,$A$66)))</f>
        <v/>
      </c>
      <c r="T88" s="223" t="str">
        <f>IF(T$3="","",IF(COUNTIFS(BD!$A$3:$A$5001,T$3,BD!$B$3:$B$5001,$A$66,BD!$AD$3:$AD$5001,"&lt;&gt;")=0,"",SUMIFS(BD!$AD$3:$AD$5001,BD!$A$3:$A$5001,T$3,BD!$B$3:$B$5001,$A$66)))</f>
        <v/>
      </c>
      <c r="U88" s="223" t="str">
        <f>IF(U$3="","",IF(COUNTIFS(BD!$A$3:$A$5001,U$3,BD!$B$3:$B$5001,$A$66,BD!$AD$3:$AD$5001,"&lt;&gt;")=0,"",SUMIFS(BD!$AD$3:$AD$5001,BD!$A$3:$A$5001,U$3,BD!$B$3:$B$5001,$A$66)))</f>
        <v/>
      </c>
      <c r="V88" s="223" t="str">
        <f>IF(V$3="","",IF(COUNTIFS(BD!$A$3:$A$5001,V$3,BD!$B$3:$B$5001,$A$66,BD!$AD$3:$AD$5001,"&lt;&gt;")=0,"",SUMIFS(BD!$AD$3:$AD$5001,BD!$A$3:$A$5001,V$3,BD!$B$3:$B$5001,$A$66)))</f>
        <v/>
      </c>
      <c r="W88" s="223" t="str">
        <f>IF(W$3="","",IF(COUNTIFS(BD!$A$3:$A$5001,W$3,BD!$B$3:$B$5001,$A$66,BD!$AD$3:$AD$5001,"&lt;&gt;")=0,"",SUMIFS(BD!$AD$3:$AD$5001,BD!$A$3:$A$5001,W$3,BD!$B$3:$B$5001,$A$66)))</f>
        <v/>
      </c>
      <c r="X88" s="223" t="str">
        <f>IF(X$3="","",IF(COUNTIFS(BD!$A$3:$A$5001,X$3,BD!$B$3:$B$5001,$A$66,BD!$AD$3:$AD$5001,"&lt;&gt;")=0,"",SUMIFS(BD!$AD$3:$AD$5001,BD!$A$3:$A$5001,X$3,BD!$B$3:$B$5001,$A$66)))</f>
        <v/>
      </c>
      <c r="Y88" s="223" t="str">
        <f>IF(Y$3="","",IF(COUNTIFS(BD!$A$3:$A$5001,Y$3,BD!$B$3:$B$5001,$A$66,BD!$AD$3:$AD$5001,"&lt;&gt;")=0,"",SUMIFS(BD!$AD$3:$AD$5001,BD!$A$3:$A$5001,Y$3,BD!$B$3:$B$5001,$A$66)))</f>
        <v/>
      </c>
      <c r="Z88" s="223" t="str">
        <f>IF(Z$3="","",IF(COUNTIFS(BD!$A$3:$A$5001,Z$3,BD!$B$3:$B$5001,$A$66,BD!$AD$3:$AD$5001,"&lt;&gt;")=0,"",SUMIFS(BD!$AD$3:$AD$5001,BD!$A$3:$A$5001,Z$3,BD!$B$3:$B$5001,$A$66)))</f>
        <v/>
      </c>
      <c r="AA88" s="223" t="str">
        <f>IF(AA$3="","",IF(COUNTIFS(BD!$A$3:$A$5001,AA$3,BD!$B$3:$B$5001,$A$66,BD!$AD$3:$AD$5001,"&lt;&gt;")=0,"",SUMIFS(BD!$AD$3:$AD$5001,BD!$A$3:$A$5001,AA$3,BD!$B$3:$B$5001,$A$66)))</f>
        <v/>
      </c>
      <c r="AB88" s="223" t="str">
        <f>IF(AB$3="","",IF(COUNTIFS(BD!$A$3:$A$5001,AB$3,BD!$B$3:$B$5001,$A$66,BD!$AD$3:$AD$5001,"&lt;&gt;")=0,"",SUMIFS(BD!$AD$3:$AD$5001,BD!$A$3:$A$5001,AB$3,BD!$B$3:$B$5001,$A$66)))</f>
        <v/>
      </c>
      <c r="AC88" s="223" t="str">
        <f>IF(AC$3="","",IF(COUNTIFS(BD!$A$3:$A$5001,AC$3,BD!$B$3:$B$5001,$A$66,BD!$AD$3:$AD$5001,"&lt;&gt;")=0,"",SUMIFS(BD!$AD$3:$AD$5001,BD!$A$3:$A$5001,AC$3,BD!$B$3:$B$5001,$A$66)))</f>
        <v/>
      </c>
      <c r="AD88" s="223" t="str">
        <f>IF(AD$3="","",IF(COUNTIFS(BD!$A$3:$A$5001,AD$3,BD!$B$3:$B$5001,$A$66,BD!$AD$3:$AD$5001,"&lt;&gt;")=0,"",SUMIFS(BD!$AD$3:$AD$5001,BD!$A$3:$A$5001,AD$3,BD!$B$3:$B$5001,$A$66)))</f>
        <v/>
      </c>
      <c r="AE88" s="223" t="str">
        <f>IF(AE$3="","",IF(COUNTIFS(BD!$A$3:$A$5001,AE$3,BD!$B$3:$B$5001,$A$66,BD!$AD$3:$AD$5001,"&lt;&gt;")=0,"",SUMIFS(BD!$AD$3:$AD$5001,BD!$A$3:$A$5001,AE$3,BD!$B$3:$B$5001,$A$66)))</f>
        <v/>
      </c>
      <c r="AF88" s="223" t="str">
        <f>IF(AF$3="","",IF(COUNTIFS(BD!$A$3:$A$5001,AF$3,BD!$B$3:$B$5001,$A$66,BD!$AD$3:$AD$5001,"&lt;&gt;")=0,"",SUMIFS(BD!$AD$3:$AD$5001,BD!$A$3:$A$5001,AF$3,BD!$B$3:$B$5001,$A$66)))</f>
        <v/>
      </c>
      <c r="AG88" s="223" t="str">
        <f>IF(AG$3="","",IF(COUNTIFS(BD!$A$3:$A$5001,AG$3,BD!$B$3:$B$5001,$A$66,BD!$AD$3:$AD$5001,"&lt;&gt;")=0,"",SUMIFS(BD!$AD$3:$AD$5001,BD!$A$3:$A$5001,AG$3,BD!$B$3:$B$5001,$A$66)))</f>
        <v/>
      </c>
      <c r="AH88" s="223" t="str">
        <f>IF(AH$3="","",IF(COUNTIFS(BD!$A$3:$A$5001,AH$3,BD!$B$3:$B$5001,$A$66,BD!$AD$3:$AD$5001,"&lt;&gt;")=0,"",SUMIFS(BD!$AD$3:$AD$5001,BD!$A$3:$A$5001,AH$3,BD!$B$3:$B$5001,$A$66)))</f>
        <v/>
      </c>
      <c r="AI88" s="223" t="str">
        <f>IF(AI$3="","",IF(COUNTIFS(BD!$A$3:$A$5001,AI$3,BD!$B$3:$B$5001,$A$66,BD!$AD$3:$AD$5001,"&lt;&gt;")=0,"",SUMIFS(BD!$AD$3:$AD$5001,BD!$A$3:$A$5001,AI$3,BD!$B$3:$B$5001,$A$66)))</f>
        <v/>
      </c>
      <c r="AJ88" s="224" t="str">
        <f>IF(AJ$3="","",IF(COUNTIFS(BD!$A$3:$A$5001,AJ$3,BD!$B$3:$B$5001,$A$66,BD!$AD$3:$AD$5001,"&lt;&gt;")=0,"",SUMIFS(BD!$AD$3:$AD$5001,BD!$A$3:$A$5001,AJ$3,BD!$B$3:$B$5001,$A$66)))</f>
        <v/>
      </c>
      <c r="AK88" s="225" t="str">
        <f>IF(COUNT(F88:AJ88)=0,"",SUM(F88:AJ88))</f>
        <v/>
      </c>
    </row>
    <row r="89" ht="15.75" customHeight="1">
      <c r="A89" s="244"/>
      <c r="B89" s="241"/>
      <c r="C89" s="219" t="inlineStr">
        <is>
          <t xml:space="preserve">Acidentes CAF</t>
        </is>
      </c>
      <c r="D89" s="220" t="str">
        <f>IFERROR(1/(1/INDEX(BD!$AJ$52:$BD$52,MATCH($A$66,BD!$AJ$22:$BD$22,0))),"")</f>
        <v/>
      </c>
      <c r="E89" s="221"/>
      <c r="F89" s="222" t="str">
        <f>IF(F$3="","",IF(COUNTIFS(BD!$A$3:$A$5001,F$3,BD!$B$3:$B$5001,$A$66,BD!$AE$3:$AE$5001,"&lt;&gt;")=0,"",SUMIFS(BD!$AE$3:$AE$5001,BD!$A$3:$A$5001,F$3,BD!$B$3:$B$5001,$A$66)))</f>
        <v/>
      </c>
      <c r="G89" s="223" t="str">
        <f>IF(G$3="","",IF(COUNTIFS(BD!$A$3:$A$5001,G$3,BD!$B$3:$B$5001,$A$66,BD!$AE$3:$AE$5001,"&lt;&gt;")=0,"",SUMIFS(BD!$AE$3:$AE$5001,BD!$A$3:$A$5001,G$3,BD!$B$3:$B$5001,$A$66)))</f>
        <v/>
      </c>
      <c r="H89" s="223" t="str">
        <f>IF(H$3="","",IF(COUNTIFS(BD!$A$3:$A$5001,H$3,BD!$B$3:$B$5001,$A$66,BD!$AE$3:$AE$5001,"&lt;&gt;")=0,"",SUMIFS(BD!$AE$3:$AE$5001,BD!$A$3:$A$5001,H$3,BD!$B$3:$B$5001,$A$66)))</f>
        <v/>
      </c>
      <c r="I89" s="223" t="str">
        <f>IF(I$3="","",IF(COUNTIFS(BD!$A$3:$A$5001,I$3,BD!$B$3:$B$5001,$A$66,BD!$AE$3:$AE$5001,"&lt;&gt;")=0,"",SUMIFS(BD!$AE$3:$AE$5001,BD!$A$3:$A$5001,I$3,BD!$B$3:$B$5001,$A$66)))</f>
        <v/>
      </c>
      <c r="J89" s="223" t="str">
        <f>IF(J$3="","",IF(COUNTIFS(BD!$A$3:$A$5001,J$3,BD!$B$3:$B$5001,$A$66,BD!$AE$3:$AE$5001,"&lt;&gt;")=0,"",SUMIFS(BD!$AE$3:$AE$5001,BD!$A$3:$A$5001,J$3,BD!$B$3:$B$5001,$A$66)))</f>
        <v/>
      </c>
      <c r="K89" s="223" t="str">
        <f>IF(K$3="","",IF(COUNTIFS(BD!$A$3:$A$5001,K$3,BD!$B$3:$B$5001,$A$66,BD!$AE$3:$AE$5001,"&lt;&gt;")=0,"",SUMIFS(BD!$AE$3:$AE$5001,BD!$A$3:$A$5001,K$3,BD!$B$3:$B$5001,$A$66)))</f>
        <v/>
      </c>
      <c r="L89" s="223" t="str">
        <f>IF(L$3="","",IF(COUNTIFS(BD!$A$3:$A$5001,L$3,BD!$B$3:$B$5001,$A$66,BD!$AE$3:$AE$5001,"&lt;&gt;")=0,"",SUMIFS(BD!$AE$3:$AE$5001,BD!$A$3:$A$5001,L$3,BD!$B$3:$B$5001,$A$66)))</f>
        <v/>
      </c>
      <c r="M89" s="223" t="str">
        <f>IF(M$3="","",IF(COUNTIFS(BD!$A$3:$A$5001,M$3,BD!$B$3:$B$5001,$A$66,BD!$AE$3:$AE$5001,"&lt;&gt;")=0,"",SUMIFS(BD!$AE$3:$AE$5001,BD!$A$3:$A$5001,M$3,BD!$B$3:$B$5001,$A$66)))</f>
        <v/>
      </c>
      <c r="N89" s="223" t="str">
        <f>IF(N$3="","",IF(COUNTIFS(BD!$A$3:$A$5001,N$3,BD!$B$3:$B$5001,$A$66,BD!$AE$3:$AE$5001,"&lt;&gt;")=0,"",SUMIFS(BD!$AE$3:$AE$5001,BD!$A$3:$A$5001,N$3,BD!$B$3:$B$5001,$A$66)))</f>
        <v/>
      </c>
      <c r="O89" s="223" t="str">
        <f>IF(O$3="","",IF(COUNTIFS(BD!$A$3:$A$5001,O$3,BD!$B$3:$B$5001,$A$66,BD!$AE$3:$AE$5001,"&lt;&gt;")=0,"",SUMIFS(BD!$AE$3:$AE$5001,BD!$A$3:$A$5001,O$3,BD!$B$3:$B$5001,$A$66)))</f>
        <v/>
      </c>
      <c r="P89" s="223" t="str">
        <f>IF(P$3="","",IF(COUNTIFS(BD!$A$3:$A$5001,P$3,BD!$B$3:$B$5001,$A$66,BD!$AE$3:$AE$5001,"&lt;&gt;")=0,"",SUMIFS(BD!$AE$3:$AE$5001,BD!$A$3:$A$5001,P$3,BD!$B$3:$B$5001,$A$66)))</f>
        <v/>
      </c>
      <c r="Q89" s="223" t="str">
        <f>IF(Q$3="","",IF(COUNTIFS(BD!$A$3:$A$5001,Q$3,BD!$B$3:$B$5001,$A$66,BD!$AE$3:$AE$5001,"&lt;&gt;")=0,"",SUMIFS(BD!$AE$3:$AE$5001,BD!$A$3:$A$5001,Q$3,BD!$B$3:$B$5001,$A$66)))</f>
        <v/>
      </c>
      <c r="R89" s="223" t="str">
        <f>IF(R$3="","",IF(COUNTIFS(BD!$A$3:$A$5001,R$3,BD!$B$3:$B$5001,$A$66,BD!$AE$3:$AE$5001,"&lt;&gt;")=0,"",SUMIFS(BD!$AE$3:$AE$5001,BD!$A$3:$A$5001,R$3,BD!$B$3:$B$5001,$A$66)))</f>
        <v/>
      </c>
      <c r="S89" s="223" t="str">
        <f>IF(S$3="","",IF(COUNTIFS(BD!$A$3:$A$5001,S$3,BD!$B$3:$B$5001,$A$66,BD!$AE$3:$AE$5001,"&lt;&gt;")=0,"",SUMIFS(BD!$AE$3:$AE$5001,BD!$A$3:$A$5001,S$3,BD!$B$3:$B$5001,$A$66)))</f>
        <v/>
      </c>
      <c r="T89" s="223" t="str">
        <f>IF(T$3="","",IF(COUNTIFS(BD!$A$3:$A$5001,T$3,BD!$B$3:$B$5001,$A$66,BD!$AE$3:$AE$5001,"&lt;&gt;")=0,"",SUMIFS(BD!$AE$3:$AE$5001,BD!$A$3:$A$5001,T$3,BD!$B$3:$B$5001,$A$66)))</f>
        <v/>
      </c>
      <c r="U89" s="223" t="str">
        <f>IF(U$3="","",IF(COUNTIFS(BD!$A$3:$A$5001,U$3,BD!$B$3:$B$5001,$A$66,BD!$AE$3:$AE$5001,"&lt;&gt;")=0,"",SUMIFS(BD!$AE$3:$AE$5001,BD!$A$3:$A$5001,U$3,BD!$B$3:$B$5001,$A$66)))</f>
        <v/>
      </c>
      <c r="V89" s="223" t="str">
        <f>IF(V$3="","",IF(COUNTIFS(BD!$A$3:$A$5001,V$3,BD!$B$3:$B$5001,$A$66,BD!$AE$3:$AE$5001,"&lt;&gt;")=0,"",SUMIFS(BD!$AE$3:$AE$5001,BD!$A$3:$A$5001,V$3,BD!$B$3:$B$5001,$A$66)))</f>
        <v/>
      </c>
      <c r="W89" s="223" t="str">
        <f>IF(W$3="","",IF(COUNTIFS(BD!$A$3:$A$5001,W$3,BD!$B$3:$B$5001,$A$66,BD!$AE$3:$AE$5001,"&lt;&gt;")=0,"",SUMIFS(BD!$AE$3:$AE$5001,BD!$A$3:$A$5001,W$3,BD!$B$3:$B$5001,$A$66)))</f>
        <v/>
      </c>
      <c r="X89" s="223" t="str">
        <f>IF(X$3="","",IF(COUNTIFS(BD!$A$3:$A$5001,X$3,BD!$B$3:$B$5001,$A$66,BD!$AE$3:$AE$5001,"&lt;&gt;")=0,"",SUMIFS(BD!$AE$3:$AE$5001,BD!$A$3:$A$5001,X$3,BD!$B$3:$B$5001,$A$66)))</f>
        <v/>
      </c>
      <c r="Y89" s="223" t="str">
        <f>IF(Y$3="","",IF(COUNTIFS(BD!$A$3:$A$5001,Y$3,BD!$B$3:$B$5001,$A$66,BD!$AE$3:$AE$5001,"&lt;&gt;")=0,"",SUMIFS(BD!$AE$3:$AE$5001,BD!$A$3:$A$5001,Y$3,BD!$B$3:$B$5001,$A$66)))</f>
        <v/>
      </c>
      <c r="Z89" s="223" t="str">
        <f>IF(Z$3="","",IF(COUNTIFS(BD!$A$3:$A$5001,Z$3,BD!$B$3:$B$5001,$A$66,BD!$AE$3:$AE$5001,"&lt;&gt;")=0,"",SUMIFS(BD!$AE$3:$AE$5001,BD!$A$3:$A$5001,Z$3,BD!$B$3:$B$5001,$A$66)))</f>
        <v/>
      </c>
      <c r="AA89" s="223" t="str">
        <f>IF(AA$3="","",IF(COUNTIFS(BD!$A$3:$A$5001,AA$3,BD!$B$3:$B$5001,$A$66,BD!$AE$3:$AE$5001,"&lt;&gt;")=0,"",SUMIFS(BD!$AE$3:$AE$5001,BD!$A$3:$A$5001,AA$3,BD!$B$3:$B$5001,$A$66)))</f>
        <v/>
      </c>
      <c r="AB89" s="223" t="str">
        <f>IF(AB$3="","",IF(COUNTIFS(BD!$A$3:$A$5001,AB$3,BD!$B$3:$B$5001,$A$66,BD!$AE$3:$AE$5001,"&lt;&gt;")=0,"",SUMIFS(BD!$AE$3:$AE$5001,BD!$A$3:$A$5001,AB$3,BD!$B$3:$B$5001,$A$66)))</f>
        <v/>
      </c>
      <c r="AC89" s="223" t="str">
        <f>IF(AC$3="","",IF(COUNTIFS(BD!$A$3:$A$5001,AC$3,BD!$B$3:$B$5001,$A$66,BD!$AE$3:$AE$5001,"&lt;&gt;")=0,"",SUMIFS(BD!$AE$3:$AE$5001,BD!$A$3:$A$5001,AC$3,BD!$B$3:$B$5001,$A$66)))</f>
        <v/>
      </c>
      <c r="AD89" s="223" t="str">
        <f>IF(AD$3="","",IF(COUNTIFS(BD!$A$3:$A$5001,AD$3,BD!$B$3:$B$5001,$A$66,BD!$AE$3:$AE$5001,"&lt;&gt;")=0,"",SUMIFS(BD!$AE$3:$AE$5001,BD!$A$3:$A$5001,AD$3,BD!$B$3:$B$5001,$A$66)))</f>
        <v/>
      </c>
      <c r="AE89" s="223" t="str">
        <f>IF(AE$3="","",IF(COUNTIFS(BD!$A$3:$A$5001,AE$3,BD!$B$3:$B$5001,$A$66,BD!$AE$3:$AE$5001,"&lt;&gt;")=0,"",SUMIFS(BD!$AE$3:$AE$5001,BD!$A$3:$A$5001,AE$3,BD!$B$3:$B$5001,$A$66)))</f>
        <v/>
      </c>
      <c r="AF89" s="223" t="str">
        <f>IF(AF$3="","",IF(COUNTIFS(BD!$A$3:$A$5001,AF$3,BD!$B$3:$B$5001,$A$66,BD!$AE$3:$AE$5001,"&lt;&gt;")=0,"",SUMIFS(BD!$AE$3:$AE$5001,BD!$A$3:$A$5001,AF$3,BD!$B$3:$B$5001,$A$66)))</f>
        <v/>
      </c>
      <c r="AG89" s="223" t="str">
        <f>IF(AG$3="","",IF(COUNTIFS(BD!$A$3:$A$5001,AG$3,BD!$B$3:$B$5001,$A$66,BD!$AE$3:$AE$5001,"&lt;&gt;")=0,"",SUMIFS(BD!$AE$3:$AE$5001,BD!$A$3:$A$5001,AG$3,BD!$B$3:$B$5001,$A$66)))</f>
        <v/>
      </c>
      <c r="AH89" s="223" t="str">
        <f>IF(AH$3="","",IF(COUNTIFS(BD!$A$3:$A$5001,AH$3,BD!$B$3:$B$5001,$A$66,BD!$AE$3:$AE$5001,"&lt;&gt;")=0,"",SUMIFS(BD!$AE$3:$AE$5001,BD!$A$3:$A$5001,AH$3,BD!$B$3:$B$5001,$A$66)))</f>
        <v/>
      </c>
      <c r="AI89" s="223" t="str">
        <f>IF(AI$3="","",IF(COUNTIFS(BD!$A$3:$A$5001,AI$3,BD!$B$3:$B$5001,$A$66,BD!$AE$3:$AE$5001,"&lt;&gt;")=0,"",SUMIFS(BD!$AE$3:$AE$5001,BD!$A$3:$A$5001,AI$3,BD!$B$3:$B$5001,$A$66)))</f>
        <v/>
      </c>
      <c r="AJ89" s="224" t="str">
        <f>IF(AJ$3="","",IF(COUNTIFS(BD!$A$3:$A$5001,AJ$3,BD!$B$3:$B$5001,$A$66,BD!$AE$3:$AE$5001,"&lt;&gt;")=0,"",SUMIFS(BD!$AE$3:$AE$5001,BD!$A$3:$A$5001,AJ$3,BD!$B$3:$B$5001,$A$66)))</f>
        <v/>
      </c>
      <c r="AK89" s="225" t="str">
        <f>IF(COUNT(F89:AJ89)=0,"",SUM(F89:AJ89))</f>
        <v/>
      </c>
    </row>
    <row r="90" ht="15.75" customHeight="1">
      <c r="A90" s="245"/>
      <c r="B90" s="242"/>
      <c r="C90" s="226" t="inlineStr">
        <is>
          <t xml:space="preserve">Acidentes SAF</t>
        </is>
      </c>
      <c r="D90" s="227" t="str">
        <f>IFERROR(1/(1/INDEX(BD!$AJ$53:$BD$53,MATCH($A$66,BD!$AJ$22:$BD$22,0))),"")</f>
        <v/>
      </c>
      <c r="E90" s="228"/>
      <c r="F90" s="229" t="str">
        <f>IF(F$3="","",IF(COUNTIFS(BD!$A$3:$A$5001,F$3,BD!$B$3:$B$5001,$A$66,BD!$AF$3:$AF$5001,"&lt;&gt;")=0,"",SUMIFS(BD!$AF$3:$AF$5001,BD!$A$3:$A$5001,F$3,BD!$B$3:$B$5001,$A$66)))</f>
        <v/>
      </c>
      <c r="G90" s="230" t="str">
        <f>IF(G$3="","",IF(COUNTIFS(BD!$A$3:$A$5001,G$3,BD!$B$3:$B$5001,$A$66,BD!$AF$3:$AF$5001,"&lt;&gt;")=0,"",SUMIFS(BD!$AF$3:$AF$5001,BD!$A$3:$A$5001,G$3,BD!$B$3:$B$5001,$A$66)))</f>
        <v/>
      </c>
      <c r="H90" s="230" t="str">
        <f>IF(H$3="","",IF(COUNTIFS(BD!$A$3:$A$5001,H$3,BD!$B$3:$B$5001,$A$66,BD!$AF$3:$AF$5001,"&lt;&gt;")=0,"",SUMIFS(BD!$AF$3:$AF$5001,BD!$A$3:$A$5001,H$3,BD!$B$3:$B$5001,$A$66)))</f>
        <v/>
      </c>
      <c r="I90" s="230" t="str">
        <f>IF(I$3="","",IF(COUNTIFS(BD!$A$3:$A$5001,I$3,BD!$B$3:$B$5001,$A$66,BD!$AF$3:$AF$5001,"&lt;&gt;")=0,"",SUMIFS(BD!$AF$3:$AF$5001,BD!$A$3:$A$5001,I$3,BD!$B$3:$B$5001,$A$66)))</f>
        <v/>
      </c>
      <c r="J90" s="230" t="str">
        <f>IF(J$3="","",IF(COUNTIFS(BD!$A$3:$A$5001,J$3,BD!$B$3:$B$5001,$A$66,BD!$AF$3:$AF$5001,"&lt;&gt;")=0,"",SUMIFS(BD!$AF$3:$AF$5001,BD!$A$3:$A$5001,J$3,BD!$B$3:$B$5001,$A$66)))</f>
        <v/>
      </c>
      <c r="K90" s="230" t="str">
        <f>IF(K$3="","",IF(COUNTIFS(BD!$A$3:$A$5001,K$3,BD!$B$3:$B$5001,$A$66,BD!$AF$3:$AF$5001,"&lt;&gt;")=0,"",SUMIFS(BD!$AF$3:$AF$5001,BD!$A$3:$A$5001,K$3,BD!$B$3:$B$5001,$A$66)))</f>
        <v/>
      </c>
      <c r="L90" s="230" t="str">
        <f>IF(L$3="","",IF(COUNTIFS(BD!$A$3:$A$5001,L$3,BD!$B$3:$B$5001,$A$66,BD!$AF$3:$AF$5001,"&lt;&gt;")=0,"",SUMIFS(BD!$AF$3:$AF$5001,BD!$A$3:$A$5001,L$3,BD!$B$3:$B$5001,$A$66)))</f>
        <v/>
      </c>
      <c r="M90" s="230" t="str">
        <f>IF(M$3="","",IF(COUNTIFS(BD!$A$3:$A$5001,M$3,BD!$B$3:$B$5001,$A$66,BD!$AF$3:$AF$5001,"&lt;&gt;")=0,"",SUMIFS(BD!$AF$3:$AF$5001,BD!$A$3:$A$5001,M$3,BD!$B$3:$B$5001,$A$66)))</f>
        <v/>
      </c>
      <c r="N90" s="230" t="str">
        <f>IF(N$3="","",IF(COUNTIFS(BD!$A$3:$A$5001,N$3,BD!$B$3:$B$5001,$A$66,BD!$AF$3:$AF$5001,"&lt;&gt;")=0,"",SUMIFS(BD!$AF$3:$AF$5001,BD!$A$3:$A$5001,N$3,BD!$B$3:$B$5001,$A$66)))</f>
        <v/>
      </c>
      <c r="O90" s="230" t="str">
        <f>IF(O$3="","",IF(COUNTIFS(BD!$A$3:$A$5001,O$3,BD!$B$3:$B$5001,$A$66,BD!$AF$3:$AF$5001,"&lt;&gt;")=0,"",SUMIFS(BD!$AF$3:$AF$5001,BD!$A$3:$A$5001,O$3,BD!$B$3:$B$5001,$A$66)))</f>
        <v/>
      </c>
      <c r="P90" s="230" t="str">
        <f>IF(P$3="","",IF(COUNTIFS(BD!$A$3:$A$5001,P$3,BD!$B$3:$B$5001,$A$66,BD!$AF$3:$AF$5001,"&lt;&gt;")=0,"",SUMIFS(BD!$AF$3:$AF$5001,BD!$A$3:$A$5001,P$3,BD!$B$3:$B$5001,$A$66)))</f>
        <v/>
      </c>
      <c r="Q90" s="230" t="str">
        <f>IF(Q$3="","",IF(COUNTIFS(BD!$A$3:$A$5001,Q$3,BD!$B$3:$B$5001,$A$66,BD!$AF$3:$AF$5001,"&lt;&gt;")=0,"",SUMIFS(BD!$AF$3:$AF$5001,BD!$A$3:$A$5001,Q$3,BD!$B$3:$B$5001,$A$66)))</f>
        <v/>
      </c>
      <c r="R90" s="230" t="str">
        <f>IF(R$3="","",IF(COUNTIFS(BD!$A$3:$A$5001,R$3,BD!$B$3:$B$5001,$A$66,BD!$AF$3:$AF$5001,"&lt;&gt;")=0,"",SUMIFS(BD!$AF$3:$AF$5001,BD!$A$3:$A$5001,R$3,BD!$B$3:$B$5001,$A$66)))</f>
        <v/>
      </c>
      <c r="S90" s="230" t="str">
        <f>IF(S$3="","",IF(COUNTIFS(BD!$A$3:$A$5001,S$3,BD!$B$3:$B$5001,$A$66,BD!$AF$3:$AF$5001,"&lt;&gt;")=0,"",SUMIFS(BD!$AF$3:$AF$5001,BD!$A$3:$A$5001,S$3,BD!$B$3:$B$5001,$A$66)))</f>
        <v/>
      </c>
      <c r="T90" s="230" t="str">
        <f>IF(T$3="","",IF(COUNTIFS(BD!$A$3:$A$5001,T$3,BD!$B$3:$B$5001,$A$66,BD!$AF$3:$AF$5001,"&lt;&gt;")=0,"",SUMIFS(BD!$AF$3:$AF$5001,BD!$A$3:$A$5001,T$3,BD!$B$3:$B$5001,$A$66)))</f>
        <v/>
      </c>
      <c r="U90" s="230" t="str">
        <f>IF(U$3="","",IF(COUNTIFS(BD!$A$3:$A$5001,U$3,BD!$B$3:$B$5001,$A$66,BD!$AF$3:$AF$5001,"&lt;&gt;")=0,"",SUMIFS(BD!$AF$3:$AF$5001,BD!$A$3:$A$5001,U$3,BD!$B$3:$B$5001,$A$66)))</f>
        <v/>
      </c>
      <c r="V90" s="230" t="str">
        <f>IF(V$3="","",IF(COUNTIFS(BD!$A$3:$A$5001,V$3,BD!$B$3:$B$5001,$A$66,BD!$AF$3:$AF$5001,"&lt;&gt;")=0,"",SUMIFS(BD!$AF$3:$AF$5001,BD!$A$3:$A$5001,V$3,BD!$B$3:$B$5001,$A$66)))</f>
        <v/>
      </c>
      <c r="W90" s="230" t="str">
        <f>IF(W$3="","",IF(COUNTIFS(BD!$A$3:$A$5001,W$3,BD!$B$3:$B$5001,$A$66,BD!$AF$3:$AF$5001,"&lt;&gt;")=0,"",SUMIFS(BD!$AF$3:$AF$5001,BD!$A$3:$A$5001,W$3,BD!$B$3:$B$5001,$A$66)))</f>
        <v/>
      </c>
      <c r="X90" s="230" t="str">
        <f>IF(X$3="","",IF(COUNTIFS(BD!$A$3:$A$5001,X$3,BD!$B$3:$B$5001,$A$66,BD!$AF$3:$AF$5001,"&lt;&gt;")=0,"",SUMIFS(BD!$AF$3:$AF$5001,BD!$A$3:$A$5001,X$3,BD!$B$3:$B$5001,$A$66)))</f>
        <v/>
      </c>
      <c r="Y90" s="230" t="str">
        <f>IF(Y$3="","",IF(COUNTIFS(BD!$A$3:$A$5001,Y$3,BD!$B$3:$B$5001,$A$66,BD!$AF$3:$AF$5001,"&lt;&gt;")=0,"",SUMIFS(BD!$AF$3:$AF$5001,BD!$A$3:$A$5001,Y$3,BD!$B$3:$B$5001,$A$66)))</f>
        <v/>
      </c>
      <c r="Z90" s="230" t="str">
        <f>IF(Z$3="","",IF(COUNTIFS(BD!$A$3:$A$5001,Z$3,BD!$B$3:$B$5001,$A$66,BD!$AF$3:$AF$5001,"&lt;&gt;")=0,"",SUMIFS(BD!$AF$3:$AF$5001,BD!$A$3:$A$5001,Z$3,BD!$B$3:$B$5001,$A$66)))</f>
        <v/>
      </c>
      <c r="AA90" s="230" t="str">
        <f>IF(AA$3="","",IF(COUNTIFS(BD!$A$3:$A$5001,AA$3,BD!$B$3:$B$5001,$A$66,BD!$AF$3:$AF$5001,"&lt;&gt;")=0,"",SUMIFS(BD!$AF$3:$AF$5001,BD!$A$3:$A$5001,AA$3,BD!$B$3:$B$5001,$A$66)))</f>
        <v/>
      </c>
      <c r="AB90" s="230" t="str">
        <f>IF(AB$3="","",IF(COUNTIFS(BD!$A$3:$A$5001,AB$3,BD!$B$3:$B$5001,$A$66,BD!$AF$3:$AF$5001,"&lt;&gt;")=0,"",SUMIFS(BD!$AF$3:$AF$5001,BD!$A$3:$A$5001,AB$3,BD!$B$3:$B$5001,$A$66)))</f>
        <v/>
      </c>
      <c r="AC90" s="230" t="str">
        <f>IF(AC$3="","",IF(COUNTIFS(BD!$A$3:$A$5001,AC$3,BD!$B$3:$B$5001,$A$66,BD!$AF$3:$AF$5001,"&lt;&gt;")=0,"",SUMIFS(BD!$AF$3:$AF$5001,BD!$A$3:$A$5001,AC$3,BD!$B$3:$B$5001,$A$66)))</f>
        <v/>
      </c>
      <c r="AD90" s="230" t="str">
        <f>IF(AD$3="","",IF(COUNTIFS(BD!$A$3:$A$5001,AD$3,BD!$B$3:$B$5001,$A$66,BD!$AF$3:$AF$5001,"&lt;&gt;")=0,"",SUMIFS(BD!$AF$3:$AF$5001,BD!$A$3:$A$5001,AD$3,BD!$B$3:$B$5001,$A$66)))</f>
        <v/>
      </c>
      <c r="AE90" s="230" t="str">
        <f>IF(AE$3="","",IF(COUNTIFS(BD!$A$3:$A$5001,AE$3,BD!$B$3:$B$5001,$A$66,BD!$AF$3:$AF$5001,"&lt;&gt;")=0,"",SUMIFS(BD!$AF$3:$AF$5001,BD!$A$3:$A$5001,AE$3,BD!$B$3:$B$5001,$A$66)))</f>
        <v/>
      </c>
      <c r="AF90" s="230" t="str">
        <f>IF(AF$3="","",IF(COUNTIFS(BD!$A$3:$A$5001,AF$3,BD!$B$3:$B$5001,$A$66,BD!$AF$3:$AF$5001,"&lt;&gt;")=0,"",SUMIFS(BD!$AF$3:$AF$5001,BD!$A$3:$A$5001,AF$3,BD!$B$3:$B$5001,$A$66)))</f>
        <v/>
      </c>
      <c r="AG90" s="230" t="str">
        <f>IF(AG$3="","",IF(COUNTIFS(BD!$A$3:$A$5001,AG$3,BD!$B$3:$B$5001,$A$66,BD!$AF$3:$AF$5001,"&lt;&gt;")=0,"",SUMIFS(BD!$AF$3:$AF$5001,BD!$A$3:$A$5001,AG$3,BD!$B$3:$B$5001,$A$66)))</f>
        <v/>
      </c>
      <c r="AH90" s="230" t="str">
        <f>IF(AH$3="","",IF(COUNTIFS(BD!$A$3:$A$5001,AH$3,BD!$B$3:$B$5001,$A$66,BD!$AF$3:$AF$5001,"&lt;&gt;")=0,"",SUMIFS(BD!$AF$3:$AF$5001,BD!$A$3:$A$5001,AH$3,BD!$B$3:$B$5001,$A$66)))</f>
        <v/>
      </c>
      <c r="AI90" s="230" t="str">
        <f>IF(AI$3="","",IF(COUNTIFS(BD!$A$3:$A$5001,AI$3,BD!$B$3:$B$5001,$A$66,BD!$AF$3:$AF$5001,"&lt;&gt;")=0,"",SUMIFS(BD!$AF$3:$AF$5001,BD!$A$3:$A$5001,AI$3,BD!$B$3:$B$5001,$A$66)))</f>
        <v/>
      </c>
      <c r="AJ90" s="231" t="str">
        <f>IF(AJ$3="","",IF(COUNTIFS(BD!$A$3:$A$5001,AJ$3,BD!$B$3:$B$5001,$A$66,BD!$AF$3:$AF$5001,"&lt;&gt;")=0,"",SUMIFS(BD!$AF$3:$AF$5001,BD!$A$3:$A$5001,AJ$3,BD!$B$3:$B$5001,$A$66)))</f>
        <v/>
      </c>
      <c r="AK90" s="227" t="str">
        <f>IF(COUNT(F90:AJ90)=0,"",SUM(F90:AJ90))</f>
        <v/>
      </c>
    </row>
    <row r="92" ht="15.75" customHeight="1">
      <c r="A92" s="243" t="inlineStr">
        <is>
          <t xml:space="preserve">Confiance</t>
        </is>
      </c>
      <c r="B92" s="232" t="inlineStr">
        <is>
          <t xml:space="preserve">IN</t>
        </is>
      </c>
      <c r="C92" s="155" t="inlineStr">
        <is>
          <t xml:space="preserve">Veículos Recebidos</t>
        </is>
      </c>
      <c r="D92" s="156" t="str">
        <f>IFERROR(1/(1/INDEX(BD!$AJ$23:$BD$23,MATCH($A$92,BD!$AJ$22:$BD$22,0))),"")</f>
        <v/>
      </c>
      <c r="E92" s="157"/>
      <c r="F92" s="158" t="str">
        <f>IF(F$3="","",IF(COUNTIFS(BD!$A$3:$A$5001,F$3,BD!$B$3:$B$5001,$A$92,BD!$C$3:$C$5001,"&lt;&gt;")=0,"",SUMIFS(BD!$C$3:$C$5001,BD!$A$3:$A$5001,F$3,BD!$B$3:$B$5001,$A$92)))</f>
        <v/>
      </c>
      <c r="G92" s="159" t="str">
        <f>IF(G$3="","",IF(COUNTIFS(BD!$A$3:$A$5001,G$3,BD!$B$3:$B$5001,$A$92,BD!$C$3:$C$5001,"&lt;&gt;")=0,"",SUMIFS(BD!$C$3:$C$5001,BD!$A$3:$A$5001,G$3,BD!$B$3:$B$5001,$A$92)))</f>
        <v/>
      </c>
      <c r="H92" s="159" t="str">
        <f>IF(H$3="","",IF(COUNTIFS(BD!$A$3:$A$5001,H$3,BD!$B$3:$B$5001,$A$92,BD!$C$3:$C$5001,"&lt;&gt;")=0,"",SUMIFS(BD!$C$3:$C$5001,BD!$A$3:$A$5001,H$3,BD!$B$3:$B$5001,$A$92)))</f>
        <v/>
      </c>
      <c r="I92" s="159" t="str">
        <f>IF(I$3="","",IF(COUNTIFS(BD!$A$3:$A$5001,I$3,BD!$B$3:$B$5001,$A$92,BD!$C$3:$C$5001,"&lt;&gt;")=0,"",SUMIFS(BD!$C$3:$C$5001,BD!$A$3:$A$5001,I$3,BD!$B$3:$B$5001,$A$92)))</f>
        <v/>
      </c>
      <c r="J92" s="159" t="str">
        <f>IF(J$3="","",IF(COUNTIFS(BD!$A$3:$A$5001,J$3,BD!$B$3:$B$5001,$A$92,BD!$C$3:$C$5001,"&lt;&gt;")=0,"",SUMIFS(BD!$C$3:$C$5001,BD!$A$3:$A$5001,J$3,BD!$B$3:$B$5001,$A$92)))</f>
        <v/>
      </c>
      <c r="K92" s="159" t="str">
        <f>IF(K$3="","",IF(COUNTIFS(BD!$A$3:$A$5001,K$3,BD!$B$3:$B$5001,$A$92,BD!$C$3:$C$5001,"&lt;&gt;")=0,"",SUMIFS(BD!$C$3:$C$5001,BD!$A$3:$A$5001,K$3,BD!$B$3:$B$5001,$A$92)))</f>
        <v/>
      </c>
      <c r="L92" s="159" t="str">
        <f>IF(L$3="","",IF(COUNTIFS(BD!$A$3:$A$5001,L$3,BD!$B$3:$B$5001,$A$92,BD!$C$3:$C$5001,"&lt;&gt;")=0,"",SUMIFS(BD!$C$3:$C$5001,BD!$A$3:$A$5001,L$3,BD!$B$3:$B$5001,$A$92)))</f>
        <v/>
      </c>
      <c r="M92" s="159" t="str">
        <f>IF(M$3="","",IF(COUNTIFS(BD!$A$3:$A$5001,M$3,BD!$B$3:$B$5001,$A$92,BD!$C$3:$C$5001,"&lt;&gt;")=0,"",SUMIFS(BD!$C$3:$C$5001,BD!$A$3:$A$5001,M$3,BD!$B$3:$B$5001,$A$92)))</f>
        <v/>
      </c>
      <c r="N92" s="159" t="str">
        <f>IF(N$3="","",IF(COUNTIFS(BD!$A$3:$A$5001,N$3,BD!$B$3:$B$5001,$A$92,BD!$C$3:$C$5001,"&lt;&gt;")=0,"",SUMIFS(BD!$C$3:$C$5001,BD!$A$3:$A$5001,N$3,BD!$B$3:$B$5001,$A$92)))</f>
        <v/>
      </c>
      <c r="O92" s="159" t="str">
        <f>IF(O$3="","",IF(COUNTIFS(BD!$A$3:$A$5001,O$3,BD!$B$3:$B$5001,$A$92,BD!$C$3:$C$5001,"&lt;&gt;")=0,"",SUMIFS(BD!$C$3:$C$5001,BD!$A$3:$A$5001,O$3,BD!$B$3:$B$5001,$A$92)))</f>
        <v/>
      </c>
      <c r="P92" s="159" t="str">
        <f>IF(P$3="","",IF(COUNTIFS(BD!$A$3:$A$5001,P$3,BD!$B$3:$B$5001,$A$92,BD!$C$3:$C$5001,"&lt;&gt;")=0,"",SUMIFS(BD!$C$3:$C$5001,BD!$A$3:$A$5001,P$3,BD!$B$3:$B$5001,$A$92)))</f>
        <v/>
      </c>
      <c r="Q92" s="159" t="str">
        <f>IF(Q$3="","",IF(COUNTIFS(BD!$A$3:$A$5001,Q$3,BD!$B$3:$B$5001,$A$92,BD!$C$3:$C$5001,"&lt;&gt;")=0,"",SUMIFS(BD!$C$3:$C$5001,BD!$A$3:$A$5001,Q$3,BD!$B$3:$B$5001,$A$92)))</f>
        <v/>
      </c>
      <c r="R92" s="159" t="str">
        <f>IF(R$3="","",IF(COUNTIFS(BD!$A$3:$A$5001,R$3,BD!$B$3:$B$5001,$A$92,BD!$C$3:$C$5001,"&lt;&gt;")=0,"",SUMIFS(BD!$C$3:$C$5001,BD!$A$3:$A$5001,R$3,BD!$B$3:$B$5001,$A$92)))</f>
        <v/>
      </c>
      <c r="S92" s="159" t="str">
        <f>IF(S$3="","",IF(COUNTIFS(BD!$A$3:$A$5001,S$3,BD!$B$3:$B$5001,$A$92,BD!$C$3:$C$5001,"&lt;&gt;")=0,"",SUMIFS(BD!$C$3:$C$5001,BD!$A$3:$A$5001,S$3,BD!$B$3:$B$5001,$A$92)))</f>
        <v/>
      </c>
      <c r="T92" s="159" t="str">
        <f>IF(T$3="","",IF(COUNTIFS(BD!$A$3:$A$5001,T$3,BD!$B$3:$B$5001,$A$92,BD!$C$3:$C$5001,"&lt;&gt;")=0,"",SUMIFS(BD!$C$3:$C$5001,BD!$A$3:$A$5001,T$3,BD!$B$3:$B$5001,$A$92)))</f>
        <v/>
      </c>
      <c r="U92" s="159" t="str">
        <f>IF(U$3="","",IF(COUNTIFS(BD!$A$3:$A$5001,U$3,BD!$B$3:$B$5001,$A$92,BD!$C$3:$C$5001,"&lt;&gt;")=0,"",SUMIFS(BD!$C$3:$C$5001,BD!$A$3:$A$5001,U$3,BD!$B$3:$B$5001,$A$92)))</f>
        <v/>
      </c>
      <c r="V92" s="159" t="str">
        <f>IF(V$3="","",IF(COUNTIFS(BD!$A$3:$A$5001,V$3,BD!$B$3:$B$5001,$A$92,BD!$C$3:$C$5001,"&lt;&gt;")=0,"",SUMIFS(BD!$C$3:$C$5001,BD!$A$3:$A$5001,V$3,BD!$B$3:$B$5001,$A$92)))</f>
        <v/>
      </c>
      <c r="W92" s="159" t="str">
        <f>IF(W$3="","",IF(COUNTIFS(BD!$A$3:$A$5001,W$3,BD!$B$3:$B$5001,$A$92,BD!$C$3:$C$5001,"&lt;&gt;")=0,"",SUMIFS(BD!$C$3:$C$5001,BD!$A$3:$A$5001,W$3,BD!$B$3:$B$5001,$A$92)))</f>
        <v/>
      </c>
      <c r="X92" s="159" t="str">
        <f>IF(X$3="","",IF(COUNTIFS(BD!$A$3:$A$5001,X$3,BD!$B$3:$B$5001,$A$92,BD!$C$3:$C$5001,"&lt;&gt;")=0,"",SUMIFS(BD!$C$3:$C$5001,BD!$A$3:$A$5001,X$3,BD!$B$3:$B$5001,$A$92)))</f>
        <v/>
      </c>
      <c r="Y92" s="159" t="str">
        <f>IF(Y$3="","",IF(COUNTIFS(BD!$A$3:$A$5001,Y$3,BD!$B$3:$B$5001,$A$92,BD!$C$3:$C$5001,"&lt;&gt;")=0,"",SUMIFS(BD!$C$3:$C$5001,BD!$A$3:$A$5001,Y$3,BD!$B$3:$B$5001,$A$92)))</f>
        <v/>
      </c>
      <c r="Z92" s="159" t="str">
        <f>IF(Z$3="","",IF(COUNTIFS(BD!$A$3:$A$5001,Z$3,BD!$B$3:$B$5001,$A$92,BD!$C$3:$C$5001,"&lt;&gt;")=0,"",SUMIFS(BD!$C$3:$C$5001,BD!$A$3:$A$5001,Z$3,BD!$B$3:$B$5001,$A$92)))</f>
        <v/>
      </c>
      <c r="AA92" s="159" t="str">
        <f>IF(AA$3="","",IF(COUNTIFS(BD!$A$3:$A$5001,AA$3,BD!$B$3:$B$5001,$A$92,BD!$C$3:$C$5001,"&lt;&gt;")=0,"",SUMIFS(BD!$C$3:$C$5001,BD!$A$3:$A$5001,AA$3,BD!$B$3:$B$5001,$A$92)))</f>
        <v/>
      </c>
      <c r="AB92" s="159" t="str">
        <f>IF(AB$3="","",IF(COUNTIFS(BD!$A$3:$A$5001,AB$3,BD!$B$3:$B$5001,$A$92,BD!$C$3:$C$5001,"&lt;&gt;")=0,"",SUMIFS(BD!$C$3:$C$5001,BD!$A$3:$A$5001,AB$3,BD!$B$3:$B$5001,$A$92)))</f>
        <v/>
      </c>
      <c r="AC92" s="159" t="str">
        <f>IF(AC$3="","",IF(COUNTIFS(BD!$A$3:$A$5001,AC$3,BD!$B$3:$B$5001,$A$92,BD!$C$3:$C$5001,"&lt;&gt;")=0,"",SUMIFS(BD!$C$3:$C$5001,BD!$A$3:$A$5001,AC$3,BD!$B$3:$B$5001,$A$92)))</f>
        <v/>
      </c>
      <c r="AD92" s="159" t="str">
        <f>IF(AD$3="","",IF(COUNTIFS(BD!$A$3:$A$5001,AD$3,BD!$B$3:$B$5001,$A$92,BD!$C$3:$C$5001,"&lt;&gt;")=0,"",SUMIFS(BD!$C$3:$C$5001,BD!$A$3:$A$5001,AD$3,BD!$B$3:$B$5001,$A$92)))</f>
        <v/>
      </c>
      <c r="AE92" s="159" t="str">
        <f>IF(AE$3="","",IF(COUNTIFS(BD!$A$3:$A$5001,AE$3,BD!$B$3:$B$5001,$A$92,BD!$C$3:$C$5001,"&lt;&gt;")=0,"",SUMIFS(BD!$C$3:$C$5001,BD!$A$3:$A$5001,AE$3,BD!$B$3:$B$5001,$A$92)))</f>
        <v/>
      </c>
      <c r="AF92" s="159" t="str">
        <f>IF(AF$3="","",IF(COUNTIFS(BD!$A$3:$A$5001,AF$3,BD!$B$3:$B$5001,$A$92,BD!$C$3:$C$5001,"&lt;&gt;")=0,"",SUMIFS(BD!$C$3:$C$5001,BD!$A$3:$A$5001,AF$3,BD!$B$3:$B$5001,$A$92)))</f>
        <v/>
      </c>
      <c r="AG92" s="159" t="str">
        <f>IF(AG$3="","",IF(COUNTIFS(BD!$A$3:$A$5001,AG$3,BD!$B$3:$B$5001,$A$92,BD!$C$3:$C$5001,"&lt;&gt;")=0,"",SUMIFS(BD!$C$3:$C$5001,BD!$A$3:$A$5001,AG$3,BD!$B$3:$B$5001,$A$92)))</f>
        <v/>
      </c>
      <c r="AH92" s="159" t="str">
        <f>IF(AH$3="","",IF(COUNTIFS(BD!$A$3:$A$5001,AH$3,BD!$B$3:$B$5001,$A$92,BD!$C$3:$C$5001,"&lt;&gt;")=0,"",SUMIFS(BD!$C$3:$C$5001,BD!$A$3:$A$5001,AH$3,BD!$B$3:$B$5001,$A$92)))</f>
        <v/>
      </c>
      <c r="AI92" s="159" t="str">
        <f>IF(AI$3="","",IF(COUNTIFS(BD!$A$3:$A$5001,AI$3,BD!$B$3:$B$5001,$A$92,BD!$C$3:$C$5001,"&lt;&gt;")=0,"",SUMIFS(BD!$C$3:$C$5001,BD!$A$3:$A$5001,AI$3,BD!$B$3:$B$5001,$A$92)))</f>
        <v/>
      </c>
      <c r="AJ92" s="160" t="str">
        <f>IF(AJ$3="","",IF(COUNTIFS(BD!$A$3:$A$5001,AJ$3,BD!$B$3:$B$5001,$A$92,BD!$C$3:$C$5001,"&lt;&gt;")=0,"",SUMIFS(BD!$C$3:$C$5001,BD!$A$3:$A$5001,AJ$3,BD!$B$3:$B$5001,$A$92)))</f>
        <v/>
      </c>
      <c r="AK92" s="161" t="str">
        <f>IF(COUNT(F92:AJ92)=0,"",SUM(F92:AJ92))</f>
        <v/>
      </c>
    </row>
    <row r="93" ht="15.75" customHeight="1">
      <c r="A93" s="244"/>
      <c r="B93" s="239"/>
      <c r="C93" s="201" t="inlineStr">
        <is>
          <t xml:space="preserve">Pallets Movimentados</t>
        </is>
      </c>
      <c r="D93" s="202" t="str">
        <f>IFERROR(1/(1/INDEX(BD!$AJ$24:$BD$24,MATCH($A$92,BD!$AJ$22:$BD$22,0))),"")</f>
        <v/>
      </c>
      <c r="E93" s="203"/>
      <c r="F93" s="204" t="str">
        <f>IF(F$3="","",IF(COUNTIFS(BD!$A$3:$A$5001,F$3,BD!$B$3:$B$5001,$A$92,BD!$D$3:$D$5001,"&lt;&gt;")=0,"",SUMIFS(BD!$D$3:$D$5001,BD!$A$3:$A$5001,F$3,BD!$B$3:$B$5001,$A$92)))</f>
        <v/>
      </c>
      <c r="G93" s="205" t="str">
        <f>IF(G$3="","",IF(COUNTIFS(BD!$A$3:$A$5001,G$3,BD!$B$3:$B$5001,$A$92,BD!$D$3:$D$5001,"&lt;&gt;")=0,"",SUMIFS(BD!$D$3:$D$5001,BD!$A$3:$A$5001,G$3,BD!$B$3:$B$5001,$A$92)))</f>
        <v/>
      </c>
      <c r="H93" s="205" t="str">
        <f>IF(H$3="","",IF(COUNTIFS(BD!$A$3:$A$5001,H$3,BD!$B$3:$B$5001,$A$92,BD!$D$3:$D$5001,"&lt;&gt;")=0,"",SUMIFS(BD!$D$3:$D$5001,BD!$A$3:$A$5001,H$3,BD!$B$3:$B$5001,$A$92)))</f>
        <v/>
      </c>
      <c r="I93" s="205" t="str">
        <f>IF(I$3="","",IF(COUNTIFS(BD!$A$3:$A$5001,I$3,BD!$B$3:$B$5001,$A$92,BD!$D$3:$D$5001,"&lt;&gt;")=0,"",SUMIFS(BD!$D$3:$D$5001,BD!$A$3:$A$5001,I$3,BD!$B$3:$B$5001,$A$92)))</f>
        <v/>
      </c>
      <c r="J93" s="205" t="str">
        <f>IF(J$3="","",IF(COUNTIFS(BD!$A$3:$A$5001,J$3,BD!$B$3:$B$5001,$A$92,BD!$D$3:$D$5001,"&lt;&gt;")=0,"",SUMIFS(BD!$D$3:$D$5001,BD!$A$3:$A$5001,J$3,BD!$B$3:$B$5001,$A$92)))</f>
        <v/>
      </c>
      <c r="K93" s="205" t="str">
        <f>IF(K$3="","",IF(COUNTIFS(BD!$A$3:$A$5001,K$3,BD!$B$3:$B$5001,$A$92,BD!$D$3:$D$5001,"&lt;&gt;")=0,"",SUMIFS(BD!$D$3:$D$5001,BD!$A$3:$A$5001,K$3,BD!$B$3:$B$5001,$A$92)))</f>
        <v/>
      </c>
      <c r="L93" s="205" t="str">
        <f>IF(L$3="","",IF(COUNTIFS(BD!$A$3:$A$5001,L$3,BD!$B$3:$B$5001,$A$92,BD!$D$3:$D$5001,"&lt;&gt;")=0,"",SUMIFS(BD!$D$3:$D$5001,BD!$A$3:$A$5001,L$3,BD!$B$3:$B$5001,$A$92)))</f>
        <v/>
      </c>
      <c r="M93" s="205" t="str">
        <f>IF(M$3="","",IF(COUNTIFS(BD!$A$3:$A$5001,M$3,BD!$B$3:$B$5001,$A$92,BD!$D$3:$D$5001,"&lt;&gt;")=0,"",SUMIFS(BD!$D$3:$D$5001,BD!$A$3:$A$5001,M$3,BD!$B$3:$B$5001,$A$92)))</f>
        <v/>
      </c>
      <c r="N93" s="205" t="str">
        <f>IF(N$3="","",IF(COUNTIFS(BD!$A$3:$A$5001,N$3,BD!$B$3:$B$5001,$A$92,BD!$D$3:$D$5001,"&lt;&gt;")=0,"",SUMIFS(BD!$D$3:$D$5001,BD!$A$3:$A$5001,N$3,BD!$B$3:$B$5001,$A$92)))</f>
        <v/>
      </c>
      <c r="O93" s="205" t="str">
        <f>IF(O$3="","",IF(COUNTIFS(BD!$A$3:$A$5001,O$3,BD!$B$3:$B$5001,$A$92,BD!$D$3:$D$5001,"&lt;&gt;")=0,"",SUMIFS(BD!$D$3:$D$5001,BD!$A$3:$A$5001,O$3,BD!$B$3:$B$5001,$A$92)))</f>
        <v/>
      </c>
      <c r="P93" s="205" t="str">
        <f>IF(P$3="","",IF(COUNTIFS(BD!$A$3:$A$5001,P$3,BD!$B$3:$B$5001,$A$92,BD!$D$3:$D$5001,"&lt;&gt;")=0,"",SUMIFS(BD!$D$3:$D$5001,BD!$A$3:$A$5001,P$3,BD!$B$3:$B$5001,$A$92)))</f>
        <v/>
      </c>
      <c r="Q93" s="205" t="str">
        <f>IF(Q$3="","",IF(COUNTIFS(BD!$A$3:$A$5001,Q$3,BD!$B$3:$B$5001,$A$92,BD!$D$3:$D$5001,"&lt;&gt;")=0,"",SUMIFS(BD!$D$3:$D$5001,BD!$A$3:$A$5001,Q$3,BD!$B$3:$B$5001,$A$92)))</f>
        <v/>
      </c>
      <c r="R93" s="205" t="str">
        <f>IF(R$3="","",IF(COUNTIFS(BD!$A$3:$A$5001,R$3,BD!$B$3:$B$5001,$A$92,BD!$D$3:$D$5001,"&lt;&gt;")=0,"",SUMIFS(BD!$D$3:$D$5001,BD!$A$3:$A$5001,R$3,BD!$B$3:$B$5001,$A$92)))</f>
        <v/>
      </c>
      <c r="S93" s="205" t="str">
        <f>IF(S$3="","",IF(COUNTIFS(BD!$A$3:$A$5001,S$3,BD!$B$3:$B$5001,$A$92,BD!$D$3:$D$5001,"&lt;&gt;")=0,"",SUMIFS(BD!$D$3:$D$5001,BD!$A$3:$A$5001,S$3,BD!$B$3:$B$5001,$A$92)))</f>
        <v/>
      </c>
      <c r="T93" s="205" t="str">
        <f>IF(T$3="","",IF(COUNTIFS(BD!$A$3:$A$5001,T$3,BD!$B$3:$B$5001,$A$92,BD!$D$3:$D$5001,"&lt;&gt;")=0,"",SUMIFS(BD!$D$3:$D$5001,BD!$A$3:$A$5001,T$3,BD!$B$3:$B$5001,$A$92)))</f>
        <v/>
      </c>
      <c r="U93" s="205" t="str">
        <f>IF(U$3="","",IF(COUNTIFS(BD!$A$3:$A$5001,U$3,BD!$B$3:$B$5001,$A$92,BD!$D$3:$D$5001,"&lt;&gt;")=0,"",SUMIFS(BD!$D$3:$D$5001,BD!$A$3:$A$5001,U$3,BD!$B$3:$B$5001,$A$92)))</f>
        <v/>
      </c>
      <c r="V93" s="205" t="str">
        <f>IF(V$3="","",IF(COUNTIFS(BD!$A$3:$A$5001,V$3,BD!$B$3:$B$5001,$A$92,BD!$D$3:$D$5001,"&lt;&gt;")=0,"",SUMIFS(BD!$D$3:$D$5001,BD!$A$3:$A$5001,V$3,BD!$B$3:$B$5001,$A$92)))</f>
        <v/>
      </c>
      <c r="W93" s="205" t="str">
        <f>IF(W$3="","",IF(COUNTIFS(BD!$A$3:$A$5001,W$3,BD!$B$3:$B$5001,$A$92,BD!$D$3:$D$5001,"&lt;&gt;")=0,"",SUMIFS(BD!$D$3:$D$5001,BD!$A$3:$A$5001,W$3,BD!$B$3:$B$5001,$A$92)))</f>
        <v/>
      </c>
      <c r="X93" s="205" t="str">
        <f>IF(X$3="","",IF(COUNTIFS(BD!$A$3:$A$5001,X$3,BD!$B$3:$B$5001,$A$92,BD!$D$3:$D$5001,"&lt;&gt;")=0,"",SUMIFS(BD!$D$3:$D$5001,BD!$A$3:$A$5001,X$3,BD!$B$3:$B$5001,$A$92)))</f>
        <v/>
      </c>
      <c r="Y93" s="205" t="str">
        <f>IF(Y$3="","",IF(COUNTIFS(BD!$A$3:$A$5001,Y$3,BD!$B$3:$B$5001,$A$92,BD!$D$3:$D$5001,"&lt;&gt;")=0,"",SUMIFS(BD!$D$3:$D$5001,BD!$A$3:$A$5001,Y$3,BD!$B$3:$B$5001,$A$92)))</f>
        <v/>
      </c>
      <c r="Z93" s="205" t="str">
        <f>IF(Z$3="","",IF(COUNTIFS(BD!$A$3:$A$5001,Z$3,BD!$B$3:$B$5001,$A$92,BD!$D$3:$D$5001,"&lt;&gt;")=0,"",SUMIFS(BD!$D$3:$D$5001,BD!$A$3:$A$5001,Z$3,BD!$B$3:$B$5001,$A$92)))</f>
        <v/>
      </c>
      <c r="AA93" s="205" t="str">
        <f>IF(AA$3="","",IF(COUNTIFS(BD!$A$3:$A$5001,AA$3,BD!$B$3:$B$5001,$A$92,BD!$D$3:$D$5001,"&lt;&gt;")=0,"",SUMIFS(BD!$D$3:$D$5001,BD!$A$3:$A$5001,AA$3,BD!$B$3:$B$5001,$A$92)))</f>
        <v/>
      </c>
      <c r="AB93" s="205" t="str">
        <f>IF(AB$3="","",IF(COUNTIFS(BD!$A$3:$A$5001,AB$3,BD!$B$3:$B$5001,$A$92,BD!$D$3:$D$5001,"&lt;&gt;")=0,"",SUMIFS(BD!$D$3:$D$5001,BD!$A$3:$A$5001,AB$3,BD!$B$3:$B$5001,$A$92)))</f>
        <v/>
      </c>
      <c r="AC93" s="205" t="str">
        <f>IF(AC$3="","",IF(COUNTIFS(BD!$A$3:$A$5001,AC$3,BD!$B$3:$B$5001,$A$92,BD!$D$3:$D$5001,"&lt;&gt;")=0,"",SUMIFS(BD!$D$3:$D$5001,BD!$A$3:$A$5001,AC$3,BD!$B$3:$B$5001,$A$92)))</f>
        <v/>
      </c>
      <c r="AD93" s="205" t="str">
        <f>IF(AD$3="","",IF(COUNTIFS(BD!$A$3:$A$5001,AD$3,BD!$B$3:$B$5001,$A$92,BD!$D$3:$D$5001,"&lt;&gt;")=0,"",SUMIFS(BD!$D$3:$D$5001,BD!$A$3:$A$5001,AD$3,BD!$B$3:$B$5001,$A$92)))</f>
        <v/>
      </c>
      <c r="AE93" s="205" t="str">
        <f>IF(AE$3="","",IF(COUNTIFS(BD!$A$3:$A$5001,AE$3,BD!$B$3:$B$5001,$A$92,BD!$D$3:$D$5001,"&lt;&gt;")=0,"",SUMIFS(BD!$D$3:$D$5001,BD!$A$3:$A$5001,AE$3,BD!$B$3:$B$5001,$A$92)))</f>
        <v/>
      </c>
      <c r="AF93" s="205" t="str">
        <f>IF(AF$3="","",IF(COUNTIFS(BD!$A$3:$A$5001,AF$3,BD!$B$3:$B$5001,$A$92,BD!$D$3:$D$5001,"&lt;&gt;")=0,"",SUMIFS(BD!$D$3:$D$5001,BD!$A$3:$A$5001,AF$3,BD!$B$3:$B$5001,$A$92)))</f>
        <v/>
      </c>
      <c r="AG93" s="205" t="str">
        <f>IF(AG$3="","",IF(COUNTIFS(BD!$A$3:$A$5001,AG$3,BD!$B$3:$B$5001,$A$92,BD!$D$3:$D$5001,"&lt;&gt;")=0,"",SUMIFS(BD!$D$3:$D$5001,BD!$A$3:$A$5001,AG$3,BD!$B$3:$B$5001,$A$92)))</f>
        <v/>
      </c>
      <c r="AH93" s="205" t="str">
        <f>IF(AH$3="","",IF(COUNTIFS(BD!$A$3:$A$5001,AH$3,BD!$B$3:$B$5001,$A$92,BD!$D$3:$D$5001,"&lt;&gt;")=0,"",SUMIFS(BD!$D$3:$D$5001,BD!$A$3:$A$5001,AH$3,BD!$B$3:$B$5001,$A$92)))</f>
        <v/>
      </c>
      <c r="AI93" s="205" t="str">
        <f>IF(AI$3="","",IF(COUNTIFS(BD!$A$3:$A$5001,AI$3,BD!$B$3:$B$5001,$A$92,BD!$D$3:$D$5001,"&lt;&gt;")=0,"",SUMIFS(BD!$D$3:$D$5001,BD!$A$3:$A$5001,AI$3,BD!$B$3:$B$5001,$A$92)))</f>
        <v/>
      </c>
      <c r="AJ93" s="206" t="str">
        <f>IF(AJ$3="","",IF(COUNTIFS(BD!$A$3:$A$5001,AJ$3,BD!$B$3:$B$5001,$A$92,BD!$D$3:$D$5001,"&lt;&gt;")=0,"",SUMIFS(BD!$D$3:$D$5001,BD!$A$3:$A$5001,AJ$3,BD!$B$3:$B$5001,$A$92)))</f>
        <v/>
      </c>
      <c r="AK93" s="207" t="str">
        <f>IF(COUNT(F93:AJ93)=0,"",SUM(F93:AJ93))</f>
        <v/>
      </c>
    </row>
    <row r="94" ht="15.75" customHeight="1">
      <c r="A94" s="244"/>
      <c r="B94" s="233"/>
      <c r="C94" s="162" t="inlineStr">
        <is>
          <t xml:space="preserve">Toneladas Movimentadas</t>
        </is>
      </c>
      <c r="D94" s="163" t="str">
        <f>IFERROR(1/(1/INDEX(BD!$AJ$25:$BD$25,MATCH($A$92,BD!$AJ$22:$BD$22,0))),"")</f>
        <v/>
      </c>
      <c r="E94" s="164"/>
      <c r="F94" s="246" t="str">
        <f>IF(F$3="","",IF(COUNTIFS(BD!$A$3:$A$5001,F$3,BD!$B$3:$B$5001,$A$92,BD!$E$3:$E$5001,"&lt;&gt;")=0,"",SUMIFS(BD!$E$3:$E$5001,BD!$A$3:$A$5001,F$3,BD!$B$3:$B$5001,$A$92)))</f>
        <v/>
      </c>
      <c r="G94" s="247" t="str">
        <f>IF(G$3="","",IF(COUNTIFS(BD!$A$3:$A$5001,G$3,BD!$B$3:$B$5001,$A$92,BD!$E$3:$E$5001,"&lt;&gt;")=0,"",SUMIFS(BD!$E$3:$E$5001,BD!$A$3:$A$5001,G$3,BD!$B$3:$B$5001,$A$92)))</f>
        <v/>
      </c>
      <c r="H94" s="247" t="str">
        <f>IF(H$3="","",IF(COUNTIFS(BD!$A$3:$A$5001,H$3,BD!$B$3:$B$5001,$A$92,BD!$E$3:$E$5001,"&lt;&gt;")=0,"",SUMIFS(BD!$E$3:$E$5001,BD!$A$3:$A$5001,H$3,BD!$B$3:$B$5001,$A$92)))</f>
        <v/>
      </c>
      <c r="I94" s="247" t="str">
        <f>IF(I$3="","",IF(COUNTIFS(BD!$A$3:$A$5001,I$3,BD!$B$3:$B$5001,$A$92,BD!$E$3:$E$5001,"&lt;&gt;")=0,"",SUMIFS(BD!$E$3:$E$5001,BD!$A$3:$A$5001,I$3,BD!$B$3:$B$5001,$A$92)))</f>
        <v/>
      </c>
      <c r="J94" s="247" t="str">
        <f>IF(J$3="","",IF(COUNTIFS(BD!$A$3:$A$5001,J$3,BD!$B$3:$B$5001,$A$92,BD!$E$3:$E$5001,"&lt;&gt;")=0,"",SUMIFS(BD!$E$3:$E$5001,BD!$A$3:$A$5001,J$3,BD!$B$3:$B$5001,$A$92)))</f>
        <v/>
      </c>
      <c r="K94" s="247" t="str">
        <f>IF(K$3="","",IF(COUNTIFS(BD!$A$3:$A$5001,K$3,BD!$B$3:$B$5001,$A$92,BD!$E$3:$E$5001,"&lt;&gt;")=0,"",SUMIFS(BD!$E$3:$E$5001,BD!$A$3:$A$5001,K$3,BD!$B$3:$B$5001,$A$92)))</f>
        <v/>
      </c>
      <c r="L94" s="247" t="str">
        <f>IF(L$3="","",IF(COUNTIFS(BD!$A$3:$A$5001,L$3,BD!$B$3:$B$5001,$A$92,BD!$E$3:$E$5001,"&lt;&gt;")=0,"",SUMIFS(BD!$E$3:$E$5001,BD!$A$3:$A$5001,L$3,BD!$B$3:$B$5001,$A$92)))</f>
        <v/>
      </c>
      <c r="M94" s="247" t="str">
        <f>IF(M$3="","",IF(COUNTIFS(BD!$A$3:$A$5001,M$3,BD!$B$3:$B$5001,$A$92,BD!$E$3:$E$5001,"&lt;&gt;")=0,"",SUMIFS(BD!$E$3:$E$5001,BD!$A$3:$A$5001,M$3,BD!$B$3:$B$5001,$A$92)))</f>
        <v/>
      </c>
      <c r="N94" s="247" t="str">
        <f>IF(N$3="","",IF(COUNTIFS(BD!$A$3:$A$5001,N$3,BD!$B$3:$B$5001,$A$92,BD!$E$3:$E$5001,"&lt;&gt;")=0,"",SUMIFS(BD!$E$3:$E$5001,BD!$A$3:$A$5001,N$3,BD!$B$3:$B$5001,$A$92)))</f>
        <v/>
      </c>
      <c r="O94" s="247" t="str">
        <f>IF(O$3="","",IF(COUNTIFS(BD!$A$3:$A$5001,O$3,BD!$B$3:$B$5001,$A$92,BD!$E$3:$E$5001,"&lt;&gt;")=0,"",SUMIFS(BD!$E$3:$E$5001,BD!$A$3:$A$5001,O$3,BD!$B$3:$B$5001,$A$92)))</f>
        <v/>
      </c>
      <c r="P94" s="247" t="str">
        <f>IF(P$3="","",IF(COUNTIFS(BD!$A$3:$A$5001,P$3,BD!$B$3:$B$5001,$A$92,BD!$E$3:$E$5001,"&lt;&gt;")=0,"",SUMIFS(BD!$E$3:$E$5001,BD!$A$3:$A$5001,P$3,BD!$B$3:$B$5001,$A$92)))</f>
        <v/>
      </c>
      <c r="Q94" s="247" t="str">
        <f>IF(Q$3="","",IF(COUNTIFS(BD!$A$3:$A$5001,Q$3,BD!$B$3:$B$5001,$A$92,BD!$E$3:$E$5001,"&lt;&gt;")=0,"",SUMIFS(BD!$E$3:$E$5001,BD!$A$3:$A$5001,Q$3,BD!$B$3:$B$5001,$A$92)))</f>
        <v/>
      </c>
      <c r="R94" s="247" t="str">
        <f>IF(R$3="","",IF(COUNTIFS(BD!$A$3:$A$5001,R$3,BD!$B$3:$B$5001,$A$92,BD!$E$3:$E$5001,"&lt;&gt;")=0,"",SUMIFS(BD!$E$3:$E$5001,BD!$A$3:$A$5001,R$3,BD!$B$3:$B$5001,$A$92)))</f>
        <v/>
      </c>
      <c r="S94" s="247" t="str">
        <f>IF(S$3="","",IF(COUNTIFS(BD!$A$3:$A$5001,S$3,BD!$B$3:$B$5001,$A$92,BD!$E$3:$E$5001,"&lt;&gt;")=0,"",SUMIFS(BD!$E$3:$E$5001,BD!$A$3:$A$5001,S$3,BD!$B$3:$B$5001,$A$92)))</f>
        <v/>
      </c>
      <c r="T94" s="247" t="str">
        <f>IF(T$3="","",IF(COUNTIFS(BD!$A$3:$A$5001,T$3,BD!$B$3:$B$5001,$A$92,BD!$E$3:$E$5001,"&lt;&gt;")=0,"",SUMIFS(BD!$E$3:$E$5001,BD!$A$3:$A$5001,T$3,BD!$B$3:$B$5001,$A$92)))</f>
        <v/>
      </c>
      <c r="U94" s="247" t="str">
        <f>IF(U$3="","",IF(COUNTIFS(BD!$A$3:$A$5001,U$3,BD!$B$3:$B$5001,$A$92,BD!$E$3:$E$5001,"&lt;&gt;")=0,"",SUMIFS(BD!$E$3:$E$5001,BD!$A$3:$A$5001,U$3,BD!$B$3:$B$5001,$A$92)))</f>
        <v/>
      </c>
      <c r="V94" s="247" t="str">
        <f>IF(V$3="","",IF(COUNTIFS(BD!$A$3:$A$5001,V$3,BD!$B$3:$B$5001,$A$92,BD!$E$3:$E$5001,"&lt;&gt;")=0,"",SUMIFS(BD!$E$3:$E$5001,BD!$A$3:$A$5001,V$3,BD!$B$3:$B$5001,$A$92)))</f>
        <v/>
      </c>
      <c r="W94" s="247" t="str">
        <f>IF(W$3="","",IF(COUNTIFS(BD!$A$3:$A$5001,W$3,BD!$B$3:$B$5001,$A$92,BD!$E$3:$E$5001,"&lt;&gt;")=0,"",SUMIFS(BD!$E$3:$E$5001,BD!$A$3:$A$5001,W$3,BD!$B$3:$B$5001,$A$92)))</f>
        <v/>
      </c>
      <c r="X94" s="247" t="str">
        <f>IF(X$3="","",IF(COUNTIFS(BD!$A$3:$A$5001,X$3,BD!$B$3:$B$5001,$A$92,BD!$E$3:$E$5001,"&lt;&gt;")=0,"",SUMIFS(BD!$E$3:$E$5001,BD!$A$3:$A$5001,X$3,BD!$B$3:$B$5001,$A$92)))</f>
        <v/>
      </c>
      <c r="Y94" s="247" t="str">
        <f>IF(Y$3="","",IF(COUNTIFS(BD!$A$3:$A$5001,Y$3,BD!$B$3:$B$5001,$A$92,BD!$E$3:$E$5001,"&lt;&gt;")=0,"",SUMIFS(BD!$E$3:$E$5001,BD!$A$3:$A$5001,Y$3,BD!$B$3:$B$5001,$A$92)))</f>
        <v/>
      </c>
      <c r="Z94" s="247" t="str">
        <f>IF(Z$3="","",IF(COUNTIFS(BD!$A$3:$A$5001,Z$3,BD!$B$3:$B$5001,$A$92,BD!$E$3:$E$5001,"&lt;&gt;")=0,"",SUMIFS(BD!$E$3:$E$5001,BD!$A$3:$A$5001,Z$3,BD!$B$3:$B$5001,$A$92)))</f>
        <v/>
      </c>
      <c r="AA94" s="247" t="str">
        <f>IF(AA$3="","",IF(COUNTIFS(BD!$A$3:$A$5001,AA$3,BD!$B$3:$B$5001,$A$92,BD!$E$3:$E$5001,"&lt;&gt;")=0,"",SUMIFS(BD!$E$3:$E$5001,BD!$A$3:$A$5001,AA$3,BD!$B$3:$B$5001,$A$92)))</f>
        <v/>
      </c>
      <c r="AB94" s="247" t="str">
        <f>IF(AB$3="","",IF(COUNTIFS(BD!$A$3:$A$5001,AB$3,BD!$B$3:$B$5001,$A$92,BD!$E$3:$E$5001,"&lt;&gt;")=0,"",SUMIFS(BD!$E$3:$E$5001,BD!$A$3:$A$5001,AB$3,BD!$B$3:$B$5001,$A$92)))</f>
        <v/>
      </c>
      <c r="AC94" s="247" t="str">
        <f>IF(AC$3="","",IF(COUNTIFS(BD!$A$3:$A$5001,AC$3,BD!$B$3:$B$5001,$A$92,BD!$E$3:$E$5001,"&lt;&gt;")=0,"",SUMIFS(BD!$E$3:$E$5001,BD!$A$3:$A$5001,AC$3,BD!$B$3:$B$5001,$A$92)))</f>
        <v/>
      </c>
      <c r="AD94" s="247" t="str">
        <f>IF(AD$3="","",IF(COUNTIFS(BD!$A$3:$A$5001,AD$3,BD!$B$3:$B$5001,$A$92,BD!$E$3:$E$5001,"&lt;&gt;")=0,"",SUMIFS(BD!$E$3:$E$5001,BD!$A$3:$A$5001,AD$3,BD!$B$3:$B$5001,$A$92)))</f>
        <v/>
      </c>
      <c r="AE94" s="247" t="str">
        <f>IF(AE$3="","",IF(COUNTIFS(BD!$A$3:$A$5001,AE$3,BD!$B$3:$B$5001,$A$92,BD!$E$3:$E$5001,"&lt;&gt;")=0,"",SUMIFS(BD!$E$3:$E$5001,BD!$A$3:$A$5001,AE$3,BD!$B$3:$B$5001,$A$92)))</f>
        <v/>
      </c>
      <c r="AF94" s="247" t="str">
        <f>IF(AF$3="","",IF(COUNTIFS(BD!$A$3:$A$5001,AF$3,BD!$B$3:$B$5001,$A$92,BD!$E$3:$E$5001,"&lt;&gt;")=0,"",SUMIFS(BD!$E$3:$E$5001,BD!$A$3:$A$5001,AF$3,BD!$B$3:$B$5001,$A$92)))</f>
        <v/>
      </c>
      <c r="AG94" s="247" t="str">
        <f>IF(AG$3="","",IF(COUNTIFS(BD!$A$3:$A$5001,AG$3,BD!$B$3:$B$5001,$A$92,BD!$E$3:$E$5001,"&lt;&gt;")=0,"",SUMIFS(BD!$E$3:$E$5001,BD!$A$3:$A$5001,AG$3,BD!$B$3:$B$5001,$A$92)))</f>
        <v/>
      </c>
      <c r="AH94" s="247" t="str">
        <f>IF(AH$3="","",IF(COUNTIFS(BD!$A$3:$A$5001,AH$3,BD!$B$3:$B$5001,$A$92,BD!$E$3:$E$5001,"&lt;&gt;")=0,"",SUMIFS(BD!$E$3:$E$5001,BD!$A$3:$A$5001,AH$3,BD!$B$3:$B$5001,$A$92)))</f>
        <v/>
      </c>
      <c r="AI94" s="247" t="str">
        <f>IF(AI$3="","",IF(COUNTIFS(BD!$A$3:$A$5001,AI$3,BD!$B$3:$B$5001,$A$92,BD!$E$3:$E$5001,"&lt;&gt;")=0,"",SUMIFS(BD!$E$3:$E$5001,BD!$A$3:$A$5001,AI$3,BD!$B$3:$B$5001,$A$92)))</f>
        <v/>
      </c>
      <c r="AJ94" s="248" t="str">
        <f>IF(AJ$3="","",IF(COUNTIFS(BD!$A$3:$A$5001,AJ$3,BD!$B$3:$B$5001,$A$92,BD!$E$3:$E$5001,"&lt;&gt;")=0,"",SUMIFS(BD!$E$3:$E$5001,BD!$A$3:$A$5001,AJ$3,BD!$B$3:$B$5001,$A$92)))</f>
        <v/>
      </c>
      <c r="AK94" s="249" t="str">
        <f>IF(COUNT(F94:AJ94)=0,"",SUM(F94:AJ94))</f>
        <v/>
      </c>
    </row>
    <row r="95" ht="15.75" customHeight="1">
      <c r="A95" s="244"/>
      <c r="B95" s="234" t="inlineStr">
        <is>
          <t xml:space="preserve">OUT</t>
        </is>
      </c>
      <c r="C95" s="168" t="inlineStr">
        <is>
          <t xml:space="preserve">Veículos Expedidos</t>
        </is>
      </c>
      <c r="D95" s="169" t="str">
        <f>IFERROR(1/(1/INDEX(BD!$AJ$32:$BD$32,MATCH($A$92,BD!$AJ$22:$BD$22,0))),"")</f>
        <v/>
      </c>
      <c r="E95" s="170"/>
      <c r="F95" s="171" t="str">
        <f>IF(F$3="","",IF(COUNTIFS(BD!$A$3:$A$5001,F$3,BD!$B$3:$B$5001,$A$92,BD!$L$3:$L$5001,"&lt;&gt;")=0,"",SUMIFS(BD!$L$3:$L$5001,BD!$A$3:$A$5001,F$3,BD!$B$3:$B$5001,$A$92)))</f>
        <v/>
      </c>
      <c r="G95" s="172" t="str">
        <f>IF(G$3="","",IF(COUNTIFS(BD!$A$3:$A$5001,G$3,BD!$B$3:$B$5001,$A$92,BD!$L$3:$L$5001,"&lt;&gt;")=0,"",SUMIFS(BD!$L$3:$L$5001,BD!$A$3:$A$5001,G$3,BD!$B$3:$B$5001,$A$92)))</f>
        <v/>
      </c>
      <c r="H95" s="172" t="str">
        <f>IF(H$3="","",IF(COUNTIFS(BD!$A$3:$A$5001,H$3,BD!$B$3:$B$5001,$A$92,BD!$L$3:$L$5001,"&lt;&gt;")=0,"",SUMIFS(BD!$L$3:$L$5001,BD!$A$3:$A$5001,H$3,BD!$B$3:$B$5001,$A$92)))</f>
        <v/>
      </c>
      <c r="I95" s="172" t="str">
        <f>IF(I$3="","",IF(COUNTIFS(BD!$A$3:$A$5001,I$3,BD!$B$3:$B$5001,$A$92,BD!$L$3:$L$5001,"&lt;&gt;")=0,"",SUMIFS(BD!$L$3:$L$5001,BD!$A$3:$A$5001,I$3,BD!$B$3:$B$5001,$A$92)))</f>
        <v/>
      </c>
      <c r="J95" s="172" t="str">
        <f>IF(J$3="","",IF(COUNTIFS(BD!$A$3:$A$5001,J$3,BD!$B$3:$B$5001,$A$92,BD!$L$3:$L$5001,"&lt;&gt;")=0,"",SUMIFS(BD!$L$3:$L$5001,BD!$A$3:$A$5001,J$3,BD!$B$3:$B$5001,$A$92)))</f>
        <v/>
      </c>
      <c r="K95" s="172" t="str">
        <f>IF(K$3="","",IF(COUNTIFS(BD!$A$3:$A$5001,K$3,BD!$B$3:$B$5001,$A$92,BD!$L$3:$L$5001,"&lt;&gt;")=0,"",SUMIFS(BD!$L$3:$L$5001,BD!$A$3:$A$5001,K$3,BD!$B$3:$B$5001,$A$92)))</f>
        <v/>
      </c>
      <c r="L95" s="172" t="str">
        <f>IF(L$3="","",IF(COUNTIFS(BD!$A$3:$A$5001,L$3,BD!$B$3:$B$5001,$A$92,BD!$L$3:$L$5001,"&lt;&gt;")=0,"",SUMIFS(BD!$L$3:$L$5001,BD!$A$3:$A$5001,L$3,BD!$B$3:$B$5001,$A$92)))</f>
        <v/>
      </c>
      <c r="M95" s="172" t="str">
        <f>IF(M$3="","",IF(COUNTIFS(BD!$A$3:$A$5001,M$3,BD!$B$3:$B$5001,$A$92,BD!$L$3:$L$5001,"&lt;&gt;")=0,"",SUMIFS(BD!$L$3:$L$5001,BD!$A$3:$A$5001,M$3,BD!$B$3:$B$5001,$A$92)))</f>
        <v/>
      </c>
      <c r="N95" s="172" t="str">
        <f>IF(N$3="","",IF(COUNTIFS(BD!$A$3:$A$5001,N$3,BD!$B$3:$B$5001,$A$92,BD!$L$3:$L$5001,"&lt;&gt;")=0,"",SUMIFS(BD!$L$3:$L$5001,BD!$A$3:$A$5001,N$3,BD!$B$3:$B$5001,$A$92)))</f>
        <v/>
      </c>
      <c r="O95" s="172" t="str">
        <f>IF(O$3="","",IF(COUNTIFS(BD!$A$3:$A$5001,O$3,BD!$B$3:$B$5001,$A$92,BD!$L$3:$L$5001,"&lt;&gt;")=0,"",SUMIFS(BD!$L$3:$L$5001,BD!$A$3:$A$5001,O$3,BD!$B$3:$B$5001,$A$92)))</f>
        <v/>
      </c>
      <c r="P95" s="172" t="str">
        <f>IF(P$3="","",IF(COUNTIFS(BD!$A$3:$A$5001,P$3,BD!$B$3:$B$5001,$A$92,BD!$L$3:$L$5001,"&lt;&gt;")=0,"",SUMIFS(BD!$L$3:$L$5001,BD!$A$3:$A$5001,P$3,BD!$B$3:$B$5001,$A$92)))</f>
        <v/>
      </c>
      <c r="Q95" s="172" t="str">
        <f>IF(Q$3="","",IF(COUNTIFS(BD!$A$3:$A$5001,Q$3,BD!$B$3:$B$5001,$A$92,BD!$L$3:$L$5001,"&lt;&gt;")=0,"",SUMIFS(BD!$L$3:$L$5001,BD!$A$3:$A$5001,Q$3,BD!$B$3:$B$5001,$A$92)))</f>
        <v/>
      </c>
      <c r="R95" s="172" t="str">
        <f>IF(R$3="","",IF(COUNTIFS(BD!$A$3:$A$5001,R$3,BD!$B$3:$B$5001,$A$92,BD!$L$3:$L$5001,"&lt;&gt;")=0,"",SUMIFS(BD!$L$3:$L$5001,BD!$A$3:$A$5001,R$3,BD!$B$3:$B$5001,$A$92)))</f>
        <v/>
      </c>
      <c r="S95" s="172" t="str">
        <f>IF(S$3="","",IF(COUNTIFS(BD!$A$3:$A$5001,S$3,BD!$B$3:$B$5001,$A$92,BD!$L$3:$L$5001,"&lt;&gt;")=0,"",SUMIFS(BD!$L$3:$L$5001,BD!$A$3:$A$5001,S$3,BD!$B$3:$B$5001,$A$92)))</f>
        <v/>
      </c>
      <c r="T95" s="172" t="str">
        <f>IF(T$3="","",IF(COUNTIFS(BD!$A$3:$A$5001,T$3,BD!$B$3:$B$5001,$A$92,BD!$L$3:$L$5001,"&lt;&gt;")=0,"",SUMIFS(BD!$L$3:$L$5001,BD!$A$3:$A$5001,T$3,BD!$B$3:$B$5001,$A$92)))</f>
        <v/>
      </c>
      <c r="U95" s="172" t="str">
        <f>IF(U$3="","",IF(COUNTIFS(BD!$A$3:$A$5001,U$3,BD!$B$3:$B$5001,$A$92,BD!$L$3:$L$5001,"&lt;&gt;")=0,"",SUMIFS(BD!$L$3:$L$5001,BD!$A$3:$A$5001,U$3,BD!$B$3:$B$5001,$A$92)))</f>
        <v/>
      </c>
      <c r="V95" s="172" t="str">
        <f>IF(V$3="","",IF(COUNTIFS(BD!$A$3:$A$5001,V$3,BD!$B$3:$B$5001,$A$92,BD!$L$3:$L$5001,"&lt;&gt;")=0,"",SUMIFS(BD!$L$3:$L$5001,BD!$A$3:$A$5001,V$3,BD!$B$3:$B$5001,$A$92)))</f>
        <v/>
      </c>
      <c r="W95" s="172" t="str">
        <f>IF(W$3="","",IF(COUNTIFS(BD!$A$3:$A$5001,W$3,BD!$B$3:$B$5001,$A$92,BD!$L$3:$L$5001,"&lt;&gt;")=0,"",SUMIFS(BD!$L$3:$L$5001,BD!$A$3:$A$5001,W$3,BD!$B$3:$B$5001,$A$92)))</f>
        <v/>
      </c>
      <c r="X95" s="172" t="str">
        <f>IF(X$3="","",IF(COUNTIFS(BD!$A$3:$A$5001,X$3,BD!$B$3:$B$5001,$A$92,BD!$L$3:$L$5001,"&lt;&gt;")=0,"",SUMIFS(BD!$L$3:$L$5001,BD!$A$3:$A$5001,X$3,BD!$B$3:$B$5001,$A$92)))</f>
        <v/>
      </c>
      <c r="Y95" s="172" t="str">
        <f>IF(Y$3="","",IF(COUNTIFS(BD!$A$3:$A$5001,Y$3,BD!$B$3:$B$5001,$A$92,BD!$L$3:$L$5001,"&lt;&gt;")=0,"",SUMIFS(BD!$L$3:$L$5001,BD!$A$3:$A$5001,Y$3,BD!$B$3:$B$5001,$A$92)))</f>
        <v/>
      </c>
      <c r="Z95" s="172" t="str">
        <f>IF(Z$3="","",IF(COUNTIFS(BD!$A$3:$A$5001,Z$3,BD!$B$3:$B$5001,$A$92,BD!$L$3:$L$5001,"&lt;&gt;")=0,"",SUMIFS(BD!$L$3:$L$5001,BD!$A$3:$A$5001,Z$3,BD!$B$3:$B$5001,$A$92)))</f>
        <v/>
      </c>
      <c r="AA95" s="172" t="str">
        <f>IF(AA$3="","",IF(COUNTIFS(BD!$A$3:$A$5001,AA$3,BD!$B$3:$B$5001,$A$92,BD!$L$3:$L$5001,"&lt;&gt;")=0,"",SUMIFS(BD!$L$3:$L$5001,BD!$A$3:$A$5001,AA$3,BD!$B$3:$B$5001,$A$92)))</f>
        <v/>
      </c>
      <c r="AB95" s="172" t="str">
        <f>IF(AB$3="","",IF(COUNTIFS(BD!$A$3:$A$5001,AB$3,BD!$B$3:$B$5001,$A$92,BD!$L$3:$L$5001,"&lt;&gt;")=0,"",SUMIFS(BD!$L$3:$L$5001,BD!$A$3:$A$5001,AB$3,BD!$B$3:$B$5001,$A$92)))</f>
        <v/>
      </c>
      <c r="AC95" s="172" t="str">
        <f>IF(AC$3="","",IF(COUNTIFS(BD!$A$3:$A$5001,AC$3,BD!$B$3:$B$5001,$A$92,BD!$L$3:$L$5001,"&lt;&gt;")=0,"",SUMIFS(BD!$L$3:$L$5001,BD!$A$3:$A$5001,AC$3,BD!$B$3:$B$5001,$A$92)))</f>
        <v/>
      </c>
      <c r="AD95" s="172" t="str">
        <f>IF(AD$3="","",IF(COUNTIFS(BD!$A$3:$A$5001,AD$3,BD!$B$3:$B$5001,$A$92,BD!$L$3:$L$5001,"&lt;&gt;")=0,"",SUMIFS(BD!$L$3:$L$5001,BD!$A$3:$A$5001,AD$3,BD!$B$3:$B$5001,$A$92)))</f>
        <v/>
      </c>
      <c r="AE95" s="172" t="str">
        <f>IF(AE$3="","",IF(COUNTIFS(BD!$A$3:$A$5001,AE$3,BD!$B$3:$B$5001,$A$92,BD!$L$3:$L$5001,"&lt;&gt;")=0,"",SUMIFS(BD!$L$3:$L$5001,BD!$A$3:$A$5001,AE$3,BD!$B$3:$B$5001,$A$92)))</f>
        <v/>
      </c>
      <c r="AF95" s="172" t="str">
        <f>IF(AF$3="","",IF(COUNTIFS(BD!$A$3:$A$5001,AF$3,BD!$B$3:$B$5001,$A$92,BD!$L$3:$L$5001,"&lt;&gt;")=0,"",SUMIFS(BD!$L$3:$L$5001,BD!$A$3:$A$5001,AF$3,BD!$B$3:$B$5001,$A$92)))</f>
        <v/>
      </c>
      <c r="AG95" s="172" t="str">
        <f>IF(AG$3="","",IF(COUNTIFS(BD!$A$3:$A$5001,AG$3,BD!$B$3:$B$5001,$A$92,BD!$L$3:$L$5001,"&lt;&gt;")=0,"",SUMIFS(BD!$L$3:$L$5001,BD!$A$3:$A$5001,AG$3,BD!$B$3:$B$5001,$A$92)))</f>
        <v/>
      </c>
      <c r="AH95" s="172" t="str">
        <f>IF(AH$3="","",IF(COUNTIFS(BD!$A$3:$A$5001,AH$3,BD!$B$3:$B$5001,$A$92,BD!$L$3:$L$5001,"&lt;&gt;")=0,"",SUMIFS(BD!$L$3:$L$5001,BD!$A$3:$A$5001,AH$3,BD!$B$3:$B$5001,$A$92)))</f>
        <v/>
      </c>
      <c r="AI95" s="172" t="str">
        <f>IF(AI$3="","",IF(COUNTIFS(BD!$A$3:$A$5001,AI$3,BD!$B$3:$B$5001,$A$92,BD!$L$3:$L$5001,"&lt;&gt;")=0,"",SUMIFS(BD!$L$3:$L$5001,BD!$A$3:$A$5001,AI$3,BD!$B$3:$B$5001,$A$92)))</f>
        <v/>
      </c>
      <c r="AJ95" s="173" t="str">
        <f>IF(AJ$3="","",IF(COUNTIFS(BD!$A$3:$A$5001,AJ$3,BD!$B$3:$B$5001,$A$92,BD!$L$3:$L$5001,"&lt;&gt;")=0,"",SUMIFS(BD!$L$3:$L$5001,BD!$A$3:$A$5001,AJ$3,BD!$B$3:$B$5001,$A$92)))</f>
        <v/>
      </c>
      <c r="AK95" s="174" t="str">
        <f>IF(COUNT(F95:AJ95)=0,"",SUM(F95:AJ95))</f>
        <v/>
      </c>
    </row>
    <row r="96" ht="15.75" customHeight="1">
      <c r="A96" s="244"/>
      <c r="B96" s="261"/>
      <c r="C96" s="250" t="inlineStr">
        <is>
          <t xml:space="preserve">Pallets Movimentados</t>
        </is>
      </c>
      <c r="D96" s="251" t="str">
        <f>IFERROR(1/(1/INDEX(BD!$AJ$38:$BD$38,MATCH($A$92,BD!$AJ$22:$BD$22,0))),"")</f>
        <v/>
      </c>
      <c r="E96" s="252"/>
      <c r="F96" s="253" t="str">
        <f>IF(F$3="","",IF(COUNTIFS(BD!$A$3:$A$5001,F$3,BD!$B$3:$B$5001,$A$92,BD!$R$3:$R$5001,"&lt;&gt;")=0,"",SUMIFS(BD!$R$3:$R$5001,BD!$A$3:$A$5001,F$3,BD!$B$3:$B$5001,$A$92)))</f>
        <v/>
      </c>
      <c r="G96" s="254" t="str">
        <f>IF(G$3="","",IF(COUNTIFS(BD!$A$3:$A$5001,G$3,BD!$B$3:$B$5001,$A$92,BD!$R$3:$R$5001,"&lt;&gt;")=0,"",SUMIFS(BD!$R$3:$R$5001,BD!$A$3:$A$5001,G$3,BD!$B$3:$B$5001,$A$92)))</f>
        <v/>
      </c>
      <c r="H96" s="254" t="str">
        <f>IF(H$3="","",IF(COUNTIFS(BD!$A$3:$A$5001,H$3,BD!$B$3:$B$5001,$A$92,BD!$R$3:$R$5001,"&lt;&gt;")=0,"",SUMIFS(BD!$R$3:$R$5001,BD!$A$3:$A$5001,H$3,BD!$B$3:$B$5001,$A$92)))</f>
        <v/>
      </c>
      <c r="I96" s="254" t="str">
        <f>IF(I$3="","",IF(COUNTIFS(BD!$A$3:$A$5001,I$3,BD!$B$3:$B$5001,$A$92,BD!$R$3:$R$5001,"&lt;&gt;")=0,"",SUMIFS(BD!$R$3:$R$5001,BD!$A$3:$A$5001,I$3,BD!$B$3:$B$5001,$A$92)))</f>
        <v/>
      </c>
      <c r="J96" s="254" t="str">
        <f>IF(J$3="","",IF(COUNTIFS(BD!$A$3:$A$5001,J$3,BD!$B$3:$B$5001,$A$92,BD!$R$3:$R$5001,"&lt;&gt;")=0,"",SUMIFS(BD!$R$3:$R$5001,BD!$A$3:$A$5001,J$3,BD!$B$3:$B$5001,$A$92)))</f>
        <v/>
      </c>
      <c r="K96" s="254" t="str">
        <f>IF(K$3="","",IF(COUNTIFS(BD!$A$3:$A$5001,K$3,BD!$B$3:$B$5001,$A$92,BD!$R$3:$R$5001,"&lt;&gt;")=0,"",SUMIFS(BD!$R$3:$R$5001,BD!$A$3:$A$5001,K$3,BD!$B$3:$B$5001,$A$92)))</f>
        <v/>
      </c>
      <c r="L96" s="254" t="str">
        <f>IF(L$3="","",IF(COUNTIFS(BD!$A$3:$A$5001,L$3,BD!$B$3:$B$5001,$A$92,BD!$R$3:$R$5001,"&lt;&gt;")=0,"",SUMIFS(BD!$R$3:$R$5001,BD!$A$3:$A$5001,L$3,BD!$B$3:$B$5001,$A$92)))</f>
        <v/>
      </c>
      <c r="M96" s="254" t="str">
        <f>IF(M$3="","",IF(COUNTIFS(BD!$A$3:$A$5001,M$3,BD!$B$3:$B$5001,$A$92,BD!$R$3:$R$5001,"&lt;&gt;")=0,"",SUMIFS(BD!$R$3:$R$5001,BD!$A$3:$A$5001,M$3,BD!$B$3:$B$5001,$A$92)))</f>
        <v/>
      </c>
      <c r="N96" s="254" t="str">
        <f>IF(N$3="","",IF(COUNTIFS(BD!$A$3:$A$5001,N$3,BD!$B$3:$B$5001,$A$92,BD!$R$3:$R$5001,"&lt;&gt;")=0,"",SUMIFS(BD!$R$3:$R$5001,BD!$A$3:$A$5001,N$3,BD!$B$3:$B$5001,$A$92)))</f>
        <v/>
      </c>
      <c r="O96" s="254" t="str">
        <f>IF(O$3="","",IF(COUNTIFS(BD!$A$3:$A$5001,O$3,BD!$B$3:$B$5001,$A$92,BD!$R$3:$R$5001,"&lt;&gt;")=0,"",SUMIFS(BD!$R$3:$R$5001,BD!$A$3:$A$5001,O$3,BD!$B$3:$B$5001,$A$92)))</f>
        <v/>
      </c>
      <c r="P96" s="254" t="str">
        <f>IF(P$3="","",IF(COUNTIFS(BD!$A$3:$A$5001,P$3,BD!$B$3:$B$5001,$A$92,BD!$R$3:$R$5001,"&lt;&gt;")=0,"",SUMIFS(BD!$R$3:$R$5001,BD!$A$3:$A$5001,P$3,BD!$B$3:$B$5001,$A$92)))</f>
        <v/>
      </c>
      <c r="Q96" s="254" t="str">
        <f>IF(Q$3="","",IF(COUNTIFS(BD!$A$3:$A$5001,Q$3,BD!$B$3:$B$5001,$A$92,BD!$R$3:$R$5001,"&lt;&gt;")=0,"",SUMIFS(BD!$R$3:$R$5001,BD!$A$3:$A$5001,Q$3,BD!$B$3:$B$5001,$A$92)))</f>
        <v/>
      </c>
      <c r="R96" s="254" t="str">
        <f>IF(R$3="","",IF(COUNTIFS(BD!$A$3:$A$5001,R$3,BD!$B$3:$B$5001,$A$92,BD!$R$3:$R$5001,"&lt;&gt;")=0,"",SUMIFS(BD!$R$3:$R$5001,BD!$A$3:$A$5001,R$3,BD!$B$3:$B$5001,$A$92)))</f>
        <v/>
      </c>
      <c r="S96" s="254" t="str">
        <f>IF(S$3="","",IF(COUNTIFS(BD!$A$3:$A$5001,S$3,BD!$B$3:$B$5001,$A$92,BD!$R$3:$R$5001,"&lt;&gt;")=0,"",SUMIFS(BD!$R$3:$R$5001,BD!$A$3:$A$5001,S$3,BD!$B$3:$B$5001,$A$92)))</f>
        <v/>
      </c>
      <c r="T96" s="254" t="str">
        <f>IF(T$3="","",IF(COUNTIFS(BD!$A$3:$A$5001,T$3,BD!$B$3:$B$5001,$A$92,BD!$R$3:$R$5001,"&lt;&gt;")=0,"",SUMIFS(BD!$R$3:$R$5001,BD!$A$3:$A$5001,T$3,BD!$B$3:$B$5001,$A$92)))</f>
        <v/>
      </c>
      <c r="U96" s="254" t="str">
        <f>IF(U$3="","",IF(COUNTIFS(BD!$A$3:$A$5001,U$3,BD!$B$3:$B$5001,$A$92,BD!$R$3:$R$5001,"&lt;&gt;")=0,"",SUMIFS(BD!$R$3:$R$5001,BD!$A$3:$A$5001,U$3,BD!$B$3:$B$5001,$A$92)))</f>
        <v/>
      </c>
      <c r="V96" s="254" t="str">
        <f>IF(V$3="","",IF(COUNTIFS(BD!$A$3:$A$5001,V$3,BD!$B$3:$B$5001,$A$92,BD!$R$3:$R$5001,"&lt;&gt;")=0,"",SUMIFS(BD!$R$3:$R$5001,BD!$A$3:$A$5001,V$3,BD!$B$3:$B$5001,$A$92)))</f>
        <v/>
      </c>
      <c r="W96" s="254" t="str">
        <f>IF(W$3="","",IF(COUNTIFS(BD!$A$3:$A$5001,W$3,BD!$B$3:$B$5001,$A$92,BD!$R$3:$R$5001,"&lt;&gt;")=0,"",SUMIFS(BD!$R$3:$R$5001,BD!$A$3:$A$5001,W$3,BD!$B$3:$B$5001,$A$92)))</f>
        <v/>
      </c>
      <c r="X96" s="254" t="str">
        <f>IF(X$3="","",IF(COUNTIFS(BD!$A$3:$A$5001,X$3,BD!$B$3:$B$5001,$A$92,BD!$R$3:$R$5001,"&lt;&gt;")=0,"",SUMIFS(BD!$R$3:$R$5001,BD!$A$3:$A$5001,X$3,BD!$B$3:$B$5001,$A$92)))</f>
        <v/>
      </c>
      <c r="Y96" s="254" t="str">
        <f>IF(Y$3="","",IF(COUNTIFS(BD!$A$3:$A$5001,Y$3,BD!$B$3:$B$5001,$A$92,BD!$R$3:$R$5001,"&lt;&gt;")=0,"",SUMIFS(BD!$R$3:$R$5001,BD!$A$3:$A$5001,Y$3,BD!$B$3:$B$5001,$A$92)))</f>
        <v/>
      </c>
      <c r="Z96" s="254" t="str">
        <f>IF(Z$3="","",IF(COUNTIFS(BD!$A$3:$A$5001,Z$3,BD!$B$3:$B$5001,$A$92,BD!$R$3:$R$5001,"&lt;&gt;")=0,"",SUMIFS(BD!$R$3:$R$5001,BD!$A$3:$A$5001,Z$3,BD!$B$3:$B$5001,$A$92)))</f>
        <v/>
      </c>
      <c r="AA96" s="254" t="str">
        <f>IF(AA$3="","",IF(COUNTIFS(BD!$A$3:$A$5001,AA$3,BD!$B$3:$B$5001,$A$92,BD!$R$3:$R$5001,"&lt;&gt;")=0,"",SUMIFS(BD!$R$3:$R$5001,BD!$A$3:$A$5001,AA$3,BD!$B$3:$B$5001,$A$92)))</f>
        <v/>
      </c>
      <c r="AB96" s="254" t="str">
        <f>IF(AB$3="","",IF(COUNTIFS(BD!$A$3:$A$5001,AB$3,BD!$B$3:$B$5001,$A$92,BD!$R$3:$R$5001,"&lt;&gt;")=0,"",SUMIFS(BD!$R$3:$R$5001,BD!$A$3:$A$5001,AB$3,BD!$B$3:$B$5001,$A$92)))</f>
        <v/>
      </c>
      <c r="AC96" s="254" t="str">
        <f>IF(AC$3="","",IF(COUNTIFS(BD!$A$3:$A$5001,AC$3,BD!$B$3:$B$5001,$A$92,BD!$R$3:$R$5001,"&lt;&gt;")=0,"",SUMIFS(BD!$R$3:$R$5001,BD!$A$3:$A$5001,AC$3,BD!$B$3:$B$5001,$A$92)))</f>
        <v/>
      </c>
      <c r="AD96" s="254" t="str">
        <f>IF(AD$3="","",IF(COUNTIFS(BD!$A$3:$A$5001,AD$3,BD!$B$3:$B$5001,$A$92,BD!$R$3:$R$5001,"&lt;&gt;")=0,"",SUMIFS(BD!$R$3:$R$5001,BD!$A$3:$A$5001,AD$3,BD!$B$3:$B$5001,$A$92)))</f>
        <v/>
      </c>
      <c r="AE96" s="254" t="str">
        <f>IF(AE$3="","",IF(COUNTIFS(BD!$A$3:$A$5001,AE$3,BD!$B$3:$B$5001,$A$92,BD!$R$3:$R$5001,"&lt;&gt;")=0,"",SUMIFS(BD!$R$3:$R$5001,BD!$A$3:$A$5001,AE$3,BD!$B$3:$B$5001,$A$92)))</f>
        <v/>
      </c>
      <c r="AF96" s="254" t="str">
        <f>IF(AF$3="","",IF(COUNTIFS(BD!$A$3:$A$5001,AF$3,BD!$B$3:$B$5001,$A$92,BD!$R$3:$R$5001,"&lt;&gt;")=0,"",SUMIFS(BD!$R$3:$R$5001,BD!$A$3:$A$5001,AF$3,BD!$B$3:$B$5001,$A$92)))</f>
        <v/>
      </c>
      <c r="AG96" s="254" t="str">
        <f>IF(AG$3="","",IF(COUNTIFS(BD!$A$3:$A$5001,AG$3,BD!$B$3:$B$5001,$A$92,BD!$R$3:$R$5001,"&lt;&gt;")=0,"",SUMIFS(BD!$R$3:$R$5001,BD!$A$3:$A$5001,AG$3,BD!$B$3:$B$5001,$A$92)))</f>
        <v/>
      </c>
      <c r="AH96" s="254" t="str">
        <f>IF(AH$3="","",IF(COUNTIFS(BD!$A$3:$A$5001,AH$3,BD!$B$3:$B$5001,$A$92,BD!$R$3:$R$5001,"&lt;&gt;")=0,"",SUMIFS(BD!$R$3:$R$5001,BD!$A$3:$A$5001,AH$3,BD!$B$3:$B$5001,$A$92)))</f>
        <v/>
      </c>
      <c r="AI96" s="254" t="str">
        <f>IF(AI$3="","",IF(COUNTIFS(BD!$A$3:$A$5001,AI$3,BD!$B$3:$B$5001,$A$92,BD!$R$3:$R$5001,"&lt;&gt;")=0,"",SUMIFS(BD!$R$3:$R$5001,BD!$A$3:$A$5001,AI$3,BD!$B$3:$B$5001,$A$92)))</f>
        <v/>
      </c>
      <c r="AJ96" s="255" t="str">
        <f>IF(AJ$3="","",IF(COUNTIFS(BD!$A$3:$A$5001,AJ$3,BD!$B$3:$B$5001,$A$92,BD!$R$3:$R$5001,"&lt;&gt;")=0,"",SUMIFS(BD!$R$3:$R$5001,BD!$A$3:$A$5001,AJ$3,BD!$B$3:$B$5001,$A$92)))</f>
        <v/>
      </c>
      <c r="AK96" s="256" t="str">
        <f>IF(COUNT(F96:AJ96)=0,"",SUM(F96:AJ96))</f>
        <v/>
      </c>
    </row>
    <row r="97" ht="15.75" customHeight="1">
      <c r="A97" s="244"/>
      <c r="B97" s="235"/>
      <c r="C97" s="175" t="inlineStr">
        <is>
          <t xml:space="preserve">Toneladas Movimentadas</t>
        </is>
      </c>
      <c r="D97" s="176" t="str">
        <f>IFERROR(1/(1/INDEX(BD!$AJ$39:$BD$39,MATCH($A$92,BD!$AJ$22:$BD$22,0))),"")</f>
        <v/>
      </c>
      <c r="E97" s="177"/>
      <c r="F97" s="257" t="str">
        <f>IF(F$3="","",IF(COUNTIFS(BD!$A$3:$A$5001,F$3,BD!$B$3:$B$5001,$A$92,BD!$S$3:$S$5001,"&lt;&gt;")=0,"",SUMIFS(BD!$S$3:$S$5001,BD!$A$3:$A$5001,F$3,BD!$B$3:$B$5001,$A$92)))</f>
        <v/>
      </c>
      <c r="G97" s="258" t="str">
        <f>IF(G$3="","",IF(COUNTIFS(BD!$A$3:$A$5001,G$3,BD!$B$3:$B$5001,$A$92,BD!$S$3:$S$5001,"&lt;&gt;")=0,"",SUMIFS(BD!$S$3:$S$5001,BD!$A$3:$A$5001,G$3,BD!$B$3:$B$5001,$A$92)))</f>
        <v/>
      </c>
      <c r="H97" s="258" t="str">
        <f>IF(H$3="","",IF(COUNTIFS(BD!$A$3:$A$5001,H$3,BD!$B$3:$B$5001,$A$92,BD!$S$3:$S$5001,"&lt;&gt;")=0,"",SUMIFS(BD!$S$3:$S$5001,BD!$A$3:$A$5001,H$3,BD!$B$3:$B$5001,$A$92)))</f>
        <v/>
      </c>
      <c r="I97" s="258" t="str">
        <f>IF(I$3="","",IF(COUNTIFS(BD!$A$3:$A$5001,I$3,BD!$B$3:$B$5001,$A$92,BD!$S$3:$S$5001,"&lt;&gt;")=0,"",SUMIFS(BD!$S$3:$S$5001,BD!$A$3:$A$5001,I$3,BD!$B$3:$B$5001,$A$92)))</f>
        <v/>
      </c>
      <c r="J97" s="258" t="str">
        <f>IF(J$3="","",IF(COUNTIFS(BD!$A$3:$A$5001,J$3,BD!$B$3:$B$5001,$A$92,BD!$S$3:$S$5001,"&lt;&gt;")=0,"",SUMIFS(BD!$S$3:$S$5001,BD!$A$3:$A$5001,J$3,BD!$B$3:$B$5001,$A$92)))</f>
        <v/>
      </c>
      <c r="K97" s="258" t="str">
        <f>IF(K$3="","",IF(COUNTIFS(BD!$A$3:$A$5001,K$3,BD!$B$3:$B$5001,$A$92,BD!$S$3:$S$5001,"&lt;&gt;")=0,"",SUMIFS(BD!$S$3:$S$5001,BD!$A$3:$A$5001,K$3,BD!$B$3:$B$5001,$A$92)))</f>
        <v/>
      </c>
      <c r="L97" s="258" t="str">
        <f>IF(L$3="","",IF(COUNTIFS(BD!$A$3:$A$5001,L$3,BD!$B$3:$B$5001,$A$92,BD!$S$3:$S$5001,"&lt;&gt;")=0,"",SUMIFS(BD!$S$3:$S$5001,BD!$A$3:$A$5001,L$3,BD!$B$3:$B$5001,$A$92)))</f>
        <v/>
      </c>
      <c r="M97" s="258" t="str">
        <f>IF(M$3="","",IF(COUNTIFS(BD!$A$3:$A$5001,M$3,BD!$B$3:$B$5001,$A$92,BD!$S$3:$S$5001,"&lt;&gt;")=0,"",SUMIFS(BD!$S$3:$S$5001,BD!$A$3:$A$5001,M$3,BD!$B$3:$B$5001,$A$92)))</f>
        <v/>
      </c>
      <c r="N97" s="258" t="str">
        <f>IF(N$3="","",IF(COUNTIFS(BD!$A$3:$A$5001,N$3,BD!$B$3:$B$5001,$A$92,BD!$S$3:$S$5001,"&lt;&gt;")=0,"",SUMIFS(BD!$S$3:$S$5001,BD!$A$3:$A$5001,N$3,BD!$B$3:$B$5001,$A$92)))</f>
        <v/>
      </c>
      <c r="O97" s="258" t="str">
        <f>IF(O$3="","",IF(COUNTIFS(BD!$A$3:$A$5001,O$3,BD!$B$3:$B$5001,$A$92,BD!$S$3:$S$5001,"&lt;&gt;")=0,"",SUMIFS(BD!$S$3:$S$5001,BD!$A$3:$A$5001,O$3,BD!$B$3:$B$5001,$A$92)))</f>
        <v/>
      </c>
      <c r="P97" s="258" t="str">
        <f>IF(P$3="","",IF(COUNTIFS(BD!$A$3:$A$5001,P$3,BD!$B$3:$B$5001,$A$92,BD!$S$3:$S$5001,"&lt;&gt;")=0,"",SUMIFS(BD!$S$3:$S$5001,BD!$A$3:$A$5001,P$3,BD!$B$3:$B$5001,$A$92)))</f>
        <v/>
      </c>
      <c r="Q97" s="258" t="str">
        <f>IF(Q$3="","",IF(COUNTIFS(BD!$A$3:$A$5001,Q$3,BD!$B$3:$B$5001,$A$92,BD!$S$3:$S$5001,"&lt;&gt;")=0,"",SUMIFS(BD!$S$3:$S$5001,BD!$A$3:$A$5001,Q$3,BD!$B$3:$B$5001,$A$92)))</f>
        <v/>
      </c>
      <c r="R97" s="258" t="str">
        <f>IF(R$3="","",IF(COUNTIFS(BD!$A$3:$A$5001,R$3,BD!$B$3:$B$5001,$A$92,BD!$S$3:$S$5001,"&lt;&gt;")=0,"",SUMIFS(BD!$S$3:$S$5001,BD!$A$3:$A$5001,R$3,BD!$B$3:$B$5001,$A$92)))</f>
        <v/>
      </c>
      <c r="S97" s="258" t="str">
        <f>IF(S$3="","",IF(COUNTIFS(BD!$A$3:$A$5001,S$3,BD!$B$3:$B$5001,$A$92,BD!$S$3:$S$5001,"&lt;&gt;")=0,"",SUMIFS(BD!$S$3:$S$5001,BD!$A$3:$A$5001,S$3,BD!$B$3:$B$5001,$A$92)))</f>
        <v/>
      </c>
      <c r="T97" s="258" t="str">
        <f>IF(T$3="","",IF(COUNTIFS(BD!$A$3:$A$5001,T$3,BD!$B$3:$B$5001,$A$92,BD!$S$3:$S$5001,"&lt;&gt;")=0,"",SUMIFS(BD!$S$3:$S$5001,BD!$A$3:$A$5001,T$3,BD!$B$3:$B$5001,$A$92)))</f>
        <v/>
      </c>
      <c r="U97" s="258" t="str">
        <f>IF(U$3="","",IF(COUNTIFS(BD!$A$3:$A$5001,U$3,BD!$B$3:$B$5001,$A$92,BD!$S$3:$S$5001,"&lt;&gt;")=0,"",SUMIFS(BD!$S$3:$S$5001,BD!$A$3:$A$5001,U$3,BD!$B$3:$B$5001,$A$92)))</f>
        <v/>
      </c>
      <c r="V97" s="258" t="str">
        <f>IF(V$3="","",IF(COUNTIFS(BD!$A$3:$A$5001,V$3,BD!$B$3:$B$5001,$A$92,BD!$S$3:$S$5001,"&lt;&gt;")=0,"",SUMIFS(BD!$S$3:$S$5001,BD!$A$3:$A$5001,V$3,BD!$B$3:$B$5001,$A$92)))</f>
        <v/>
      </c>
      <c r="W97" s="258" t="str">
        <f>IF(W$3="","",IF(COUNTIFS(BD!$A$3:$A$5001,W$3,BD!$B$3:$B$5001,$A$92,BD!$S$3:$S$5001,"&lt;&gt;")=0,"",SUMIFS(BD!$S$3:$S$5001,BD!$A$3:$A$5001,W$3,BD!$B$3:$B$5001,$A$92)))</f>
        <v/>
      </c>
      <c r="X97" s="258" t="str">
        <f>IF(X$3="","",IF(COUNTIFS(BD!$A$3:$A$5001,X$3,BD!$B$3:$B$5001,$A$92,BD!$S$3:$S$5001,"&lt;&gt;")=0,"",SUMIFS(BD!$S$3:$S$5001,BD!$A$3:$A$5001,X$3,BD!$B$3:$B$5001,$A$92)))</f>
        <v/>
      </c>
      <c r="Y97" s="258" t="str">
        <f>IF(Y$3="","",IF(COUNTIFS(BD!$A$3:$A$5001,Y$3,BD!$B$3:$B$5001,$A$92,BD!$S$3:$S$5001,"&lt;&gt;")=0,"",SUMIFS(BD!$S$3:$S$5001,BD!$A$3:$A$5001,Y$3,BD!$B$3:$B$5001,$A$92)))</f>
        <v/>
      </c>
      <c r="Z97" s="258" t="str">
        <f>IF(Z$3="","",IF(COUNTIFS(BD!$A$3:$A$5001,Z$3,BD!$B$3:$B$5001,$A$92,BD!$S$3:$S$5001,"&lt;&gt;")=0,"",SUMIFS(BD!$S$3:$S$5001,BD!$A$3:$A$5001,Z$3,BD!$B$3:$B$5001,$A$92)))</f>
        <v/>
      </c>
      <c r="AA97" s="258" t="str">
        <f>IF(AA$3="","",IF(COUNTIFS(BD!$A$3:$A$5001,AA$3,BD!$B$3:$B$5001,$A$92,BD!$S$3:$S$5001,"&lt;&gt;")=0,"",SUMIFS(BD!$S$3:$S$5001,BD!$A$3:$A$5001,AA$3,BD!$B$3:$B$5001,$A$92)))</f>
        <v/>
      </c>
      <c r="AB97" s="258" t="str">
        <f>IF(AB$3="","",IF(COUNTIFS(BD!$A$3:$A$5001,AB$3,BD!$B$3:$B$5001,$A$92,BD!$S$3:$S$5001,"&lt;&gt;")=0,"",SUMIFS(BD!$S$3:$S$5001,BD!$A$3:$A$5001,AB$3,BD!$B$3:$B$5001,$A$92)))</f>
        <v/>
      </c>
      <c r="AC97" s="258" t="str">
        <f>IF(AC$3="","",IF(COUNTIFS(BD!$A$3:$A$5001,AC$3,BD!$B$3:$B$5001,$A$92,BD!$S$3:$S$5001,"&lt;&gt;")=0,"",SUMIFS(BD!$S$3:$S$5001,BD!$A$3:$A$5001,AC$3,BD!$B$3:$B$5001,$A$92)))</f>
        <v/>
      </c>
      <c r="AD97" s="258" t="str">
        <f>IF(AD$3="","",IF(COUNTIFS(BD!$A$3:$A$5001,AD$3,BD!$B$3:$B$5001,$A$92,BD!$S$3:$S$5001,"&lt;&gt;")=0,"",SUMIFS(BD!$S$3:$S$5001,BD!$A$3:$A$5001,AD$3,BD!$B$3:$B$5001,$A$92)))</f>
        <v/>
      </c>
      <c r="AE97" s="258" t="str">
        <f>IF(AE$3="","",IF(COUNTIFS(BD!$A$3:$A$5001,AE$3,BD!$B$3:$B$5001,$A$92,BD!$S$3:$S$5001,"&lt;&gt;")=0,"",SUMIFS(BD!$S$3:$S$5001,BD!$A$3:$A$5001,AE$3,BD!$B$3:$B$5001,$A$92)))</f>
        <v/>
      </c>
      <c r="AF97" s="258" t="str">
        <f>IF(AF$3="","",IF(COUNTIFS(BD!$A$3:$A$5001,AF$3,BD!$B$3:$B$5001,$A$92,BD!$S$3:$S$5001,"&lt;&gt;")=0,"",SUMIFS(BD!$S$3:$S$5001,BD!$A$3:$A$5001,AF$3,BD!$B$3:$B$5001,$A$92)))</f>
        <v/>
      </c>
      <c r="AG97" s="258" t="str">
        <f>IF(AG$3="","",IF(COUNTIFS(BD!$A$3:$A$5001,AG$3,BD!$B$3:$B$5001,$A$92,BD!$S$3:$S$5001,"&lt;&gt;")=0,"",SUMIFS(BD!$S$3:$S$5001,BD!$A$3:$A$5001,AG$3,BD!$B$3:$B$5001,$A$92)))</f>
        <v/>
      </c>
      <c r="AH97" s="258" t="str">
        <f>IF(AH$3="","",IF(COUNTIFS(BD!$A$3:$A$5001,AH$3,BD!$B$3:$B$5001,$A$92,BD!$S$3:$S$5001,"&lt;&gt;")=0,"",SUMIFS(BD!$S$3:$S$5001,BD!$A$3:$A$5001,AH$3,BD!$B$3:$B$5001,$A$92)))</f>
        <v/>
      </c>
      <c r="AI97" s="258" t="str">
        <f>IF(AI$3="","",IF(COUNTIFS(BD!$A$3:$A$5001,AI$3,BD!$B$3:$B$5001,$A$92,BD!$S$3:$S$5001,"&lt;&gt;")=0,"",SUMIFS(BD!$S$3:$S$5001,BD!$A$3:$A$5001,AI$3,BD!$B$3:$B$5001,$A$92)))</f>
        <v/>
      </c>
      <c r="AJ97" s="259" t="str">
        <f>IF(AJ$3="","",IF(COUNTIFS(BD!$A$3:$A$5001,AJ$3,BD!$B$3:$B$5001,$A$92,BD!$S$3:$S$5001,"&lt;&gt;")=0,"",SUMIFS(BD!$S$3:$S$5001,BD!$A$3:$A$5001,AJ$3,BD!$B$3:$B$5001,$A$92)))</f>
        <v/>
      </c>
      <c r="AK97" s="260" t="str">
        <f>IF(COUNT(F97:AJ97)=0,"",SUM(F97:AJ97))</f>
        <v/>
      </c>
    </row>
    <row r="98" ht="15.75" customHeight="1">
      <c r="A98" s="244"/>
      <c r="B98" s="236" t="inlineStr">
        <is>
          <t xml:space="preserve">NC</t>
        </is>
      </c>
      <c r="C98" s="181" t="inlineStr">
        <is>
          <t xml:space="preserve">Incidentes</t>
        </is>
      </c>
      <c r="D98" s="182" t="str">
        <f>IFERROR(1/(1/INDEX(BD!$AJ$40:$BD$40,MATCH($A$92,BD!$AJ$22:$BD$22,0))),"")</f>
        <v/>
      </c>
      <c r="E98" s="183"/>
      <c r="F98" s="184" t="str">
        <f>IF(F$3="","",IF(COUNTIFS(BD!$A$3:$A$5001,F$3,BD!$B$3:$B$5001,$A$92,BD!$T$3:$T$5001,"&lt;&gt;")=0,"",SUMIFS(BD!$T$3:$T$5001,BD!$A$3:$A$5001,F$3,BD!$B$3:$B$5001,$A$92)))</f>
        <v/>
      </c>
      <c r="G98" s="185" t="str">
        <f>IF(G$3="","",IF(COUNTIFS(BD!$A$3:$A$5001,G$3,BD!$B$3:$B$5001,$A$92,BD!$T$3:$T$5001,"&lt;&gt;")=0,"",SUMIFS(BD!$T$3:$T$5001,BD!$A$3:$A$5001,G$3,BD!$B$3:$B$5001,$A$92)))</f>
        <v/>
      </c>
      <c r="H98" s="185" t="str">
        <f>IF(H$3="","",IF(COUNTIFS(BD!$A$3:$A$5001,H$3,BD!$B$3:$B$5001,$A$92,BD!$T$3:$T$5001,"&lt;&gt;")=0,"",SUMIFS(BD!$T$3:$T$5001,BD!$A$3:$A$5001,H$3,BD!$B$3:$B$5001,$A$92)))</f>
        <v/>
      </c>
      <c r="I98" s="185" t="str">
        <f>IF(I$3="","",IF(COUNTIFS(BD!$A$3:$A$5001,I$3,BD!$B$3:$B$5001,$A$92,BD!$T$3:$T$5001,"&lt;&gt;")=0,"",SUMIFS(BD!$T$3:$T$5001,BD!$A$3:$A$5001,I$3,BD!$B$3:$B$5001,$A$92)))</f>
        <v/>
      </c>
      <c r="J98" s="185" t="str">
        <f>IF(J$3="","",IF(COUNTIFS(BD!$A$3:$A$5001,J$3,BD!$B$3:$B$5001,$A$92,BD!$T$3:$T$5001,"&lt;&gt;")=0,"",SUMIFS(BD!$T$3:$T$5001,BD!$A$3:$A$5001,J$3,BD!$B$3:$B$5001,$A$92)))</f>
        <v/>
      </c>
      <c r="K98" s="185" t="str">
        <f>IF(K$3="","",IF(COUNTIFS(BD!$A$3:$A$5001,K$3,BD!$B$3:$B$5001,$A$92,BD!$T$3:$T$5001,"&lt;&gt;")=0,"",SUMIFS(BD!$T$3:$T$5001,BD!$A$3:$A$5001,K$3,BD!$B$3:$B$5001,$A$92)))</f>
        <v/>
      </c>
      <c r="L98" s="185" t="str">
        <f>IF(L$3="","",IF(COUNTIFS(BD!$A$3:$A$5001,L$3,BD!$B$3:$B$5001,$A$92,BD!$T$3:$T$5001,"&lt;&gt;")=0,"",SUMIFS(BD!$T$3:$T$5001,BD!$A$3:$A$5001,L$3,BD!$B$3:$B$5001,$A$92)))</f>
        <v/>
      </c>
      <c r="M98" s="185" t="str">
        <f>IF(M$3="","",IF(COUNTIFS(BD!$A$3:$A$5001,M$3,BD!$B$3:$B$5001,$A$92,BD!$T$3:$T$5001,"&lt;&gt;")=0,"",SUMIFS(BD!$T$3:$T$5001,BD!$A$3:$A$5001,M$3,BD!$B$3:$B$5001,$A$92)))</f>
        <v/>
      </c>
      <c r="N98" s="185" t="str">
        <f>IF(N$3="","",IF(COUNTIFS(BD!$A$3:$A$5001,N$3,BD!$B$3:$B$5001,$A$92,BD!$T$3:$T$5001,"&lt;&gt;")=0,"",SUMIFS(BD!$T$3:$T$5001,BD!$A$3:$A$5001,N$3,BD!$B$3:$B$5001,$A$92)))</f>
        <v/>
      </c>
      <c r="O98" s="185" t="str">
        <f>IF(O$3="","",IF(COUNTIFS(BD!$A$3:$A$5001,O$3,BD!$B$3:$B$5001,$A$92,BD!$T$3:$T$5001,"&lt;&gt;")=0,"",SUMIFS(BD!$T$3:$T$5001,BD!$A$3:$A$5001,O$3,BD!$B$3:$B$5001,$A$92)))</f>
        <v/>
      </c>
      <c r="P98" s="185" t="str">
        <f>IF(P$3="","",IF(COUNTIFS(BD!$A$3:$A$5001,P$3,BD!$B$3:$B$5001,$A$92,BD!$T$3:$T$5001,"&lt;&gt;")=0,"",SUMIFS(BD!$T$3:$T$5001,BD!$A$3:$A$5001,P$3,BD!$B$3:$B$5001,$A$92)))</f>
        <v/>
      </c>
      <c r="Q98" s="185" t="str">
        <f>IF(Q$3="","",IF(COUNTIFS(BD!$A$3:$A$5001,Q$3,BD!$B$3:$B$5001,$A$92,BD!$T$3:$T$5001,"&lt;&gt;")=0,"",SUMIFS(BD!$T$3:$T$5001,BD!$A$3:$A$5001,Q$3,BD!$B$3:$B$5001,$A$92)))</f>
        <v/>
      </c>
      <c r="R98" s="185" t="str">
        <f>IF(R$3="","",IF(COUNTIFS(BD!$A$3:$A$5001,R$3,BD!$B$3:$B$5001,$A$92,BD!$T$3:$T$5001,"&lt;&gt;")=0,"",SUMIFS(BD!$T$3:$T$5001,BD!$A$3:$A$5001,R$3,BD!$B$3:$B$5001,$A$92)))</f>
        <v/>
      </c>
      <c r="S98" s="185" t="str">
        <f>IF(S$3="","",IF(COUNTIFS(BD!$A$3:$A$5001,S$3,BD!$B$3:$B$5001,$A$92,BD!$T$3:$T$5001,"&lt;&gt;")=0,"",SUMIFS(BD!$T$3:$T$5001,BD!$A$3:$A$5001,S$3,BD!$B$3:$B$5001,$A$92)))</f>
        <v/>
      </c>
      <c r="T98" s="185" t="str">
        <f>IF(T$3="","",IF(COUNTIFS(BD!$A$3:$A$5001,T$3,BD!$B$3:$B$5001,$A$92,BD!$T$3:$T$5001,"&lt;&gt;")=0,"",SUMIFS(BD!$T$3:$T$5001,BD!$A$3:$A$5001,T$3,BD!$B$3:$B$5001,$A$92)))</f>
        <v/>
      </c>
      <c r="U98" s="185" t="str">
        <f>IF(U$3="","",IF(COUNTIFS(BD!$A$3:$A$5001,U$3,BD!$B$3:$B$5001,$A$92,BD!$T$3:$T$5001,"&lt;&gt;")=0,"",SUMIFS(BD!$T$3:$T$5001,BD!$A$3:$A$5001,U$3,BD!$B$3:$B$5001,$A$92)))</f>
        <v/>
      </c>
      <c r="V98" s="185" t="str">
        <f>IF(V$3="","",IF(COUNTIFS(BD!$A$3:$A$5001,V$3,BD!$B$3:$B$5001,$A$92,BD!$T$3:$T$5001,"&lt;&gt;")=0,"",SUMIFS(BD!$T$3:$T$5001,BD!$A$3:$A$5001,V$3,BD!$B$3:$B$5001,$A$92)))</f>
        <v/>
      </c>
      <c r="W98" s="185" t="str">
        <f>IF(W$3="","",IF(COUNTIFS(BD!$A$3:$A$5001,W$3,BD!$B$3:$B$5001,$A$92,BD!$T$3:$T$5001,"&lt;&gt;")=0,"",SUMIFS(BD!$T$3:$T$5001,BD!$A$3:$A$5001,W$3,BD!$B$3:$B$5001,$A$92)))</f>
        <v/>
      </c>
      <c r="X98" s="185" t="str">
        <f>IF(X$3="","",IF(COUNTIFS(BD!$A$3:$A$5001,X$3,BD!$B$3:$B$5001,$A$92,BD!$T$3:$T$5001,"&lt;&gt;")=0,"",SUMIFS(BD!$T$3:$T$5001,BD!$A$3:$A$5001,X$3,BD!$B$3:$B$5001,$A$92)))</f>
        <v/>
      </c>
      <c r="Y98" s="185" t="str">
        <f>IF(Y$3="","",IF(COUNTIFS(BD!$A$3:$A$5001,Y$3,BD!$B$3:$B$5001,$A$92,BD!$T$3:$T$5001,"&lt;&gt;")=0,"",SUMIFS(BD!$T$3:$T$5001,BD!$A$3:$A$5001,Y$3,BD!$B$3:$B$5001,$A$92)))</f>
        <v/>
      </c>
      <c r="Z98" s="185" t="str">
        <f>IF(Z$3="","",IF(COUNTIFS(BD!$A$3:$A$5001,Z$3,BD!$B$3:$B$5001,$A$92,BD!$T$3:$T$5001,"&lt;&gt;")=0,"",SUMIFS(BD!$T$3:$T$5001,BD!$A$3:$A$5001,Z$3,BD!$B$3:$B$5001,$A$92)))</f>
        <v/>
      </c>
      <c r="AA98" s="185" t="str">
        <f>IF(AA$3="","",IF(COUNTIFS(BD!$A$3:$A$5001,AA$3,BD!$B$3:$B$5001,$A$92,BD!$T$3:$T$5001,"&lt;&gt;")=0,"",SUMIFS(BD!$T$3:$T$5001,BD!$A$3:$A$5001,AA$3,BD!$B$3:$B$5001,$A$92)))</f>
        <v/>
      </c>
      <c r="AB98" s="185" t="str">
        <f>IF(AB$3="","",IF(COUNTIFS(BD!$A$3:$A$5001,AB$3,BD!$B$3:$B$5001,$A$92,BD!$T$3:$T$5001,"&lt;&gt;")=0,"",SUMIFS(BD!$T$3:$T$5001,BD!$A$3:$A$5001,AB$3,BD!$B$3:$B$5001,$A$92)))</f>
        <v/>
      </c>
      <c r="AC98" s="185" t="str">
        <f>IF(AC$3="","",IF(COUNTIFS(BD!$A$3:$A$5001,AC$3,BD!$B$3:$B$5001,$A$92,BD!$T$3:$T$5001,"&lt;&gt;")=0,"",SUMIFS(BD!$T$3:$T$5001,BD!$A$3:$A$5001,AC$3,BD!$B$3:$B$5001,$A$92)))</f>
        <v/>
      </c>
      <c r="AD98" s="185" t="str">
        <f>IF(AD$3="","",IF(COUNTIFS(BD!$A$3:$A$5001,AD$3,BD!$B$3:$B$5001,$A$92,BD!$T$3:$T$5001,"&lt;&gt;")=0,"",SUMIFS(BD!$T$3:$T$5001,BD!$A$3:$A$5001,AD$3,BD!$B$3:$B$5001,$A$92)))</f>
        <v/>
      </c>
      <c r="AE98" s="185" t="str">
        <f>IF(AE$3="","",IF(COUNTIFS(BD!$A$3:$A$5001,AE$3,BD!$B$3:$B$5001,$A$92,BD!$T$3:$T$5001,"&lt;&gt;")=0,"",SUMIFS(BD!$T$3:$T$5001,BD!$A$3:$A$5001,AE$3,BD!$B$3:$B$5001,$A$92)))</f>
        <v/>
      </c>
      <c r="AF98" s="185" t="str">
        <f>IF(AF$3="","",IF(COUNTIFS(BD!$A$3:$A$5001,AF$3,BD!$B$3:$B$5001,$A$92,BD!$T$3:$T$5001,"&lt;&gt;")=0,"",SUMIFS(BD!$T$3:$T$5001,BD!$A$3:$A$5001,AF$3,BD!$B$3:$B$5001,$A$92)))</f>
        <v/>
      </c>
      <c r="AG98" s="185" t="str">
        <f>IF(AG$3="","",IF(COUNTIFS(BD!$A$3:$A$5001,AG$3,BD!$B$3:$B$5001,$A$92,BD!$T$3:$T$5001,"&lt;&gt;")=0,"",SUMIFS(BD!$T$3:$T$5001,BD!$A$3:$A$5001,AG$3,BD!$B$3:$B$5001,$A$92)))</f>
        <v/>
      </c>
      <c r="AH98" s="185" t="str">
        <f>IF(AH$3="","",IF(COUNTIFS(BD!$A$3:$A$5001,AH$3,BD!$B$3:$B$5001,$A$92,BD!$T$3:$T$5001,"&lt;&gt;")=0,"",SUMIFS(BD!$T$3:$T$5001,BD!$A$3:$A$5001,AH$3,BD!$B$3:$B$5001,$A$92)))</f>
        <v/>
      </c>
      <c r="AI98" s="185" t="str">
        <f>IF(AI$3="","",IF(COUNTIFS(BD!$A$3:$A$5001,AI$3,BD!$B$3:$B$5001,$A$92,BD!$T$3:$T$5001,"&lt;&gt;")=0,"",SUMIFS(BD!$T$3:$T$5001,BD!$A$3:$A$5001,AI$3,BD!$B$3:$B$5001,$A$92)))</f>
        <v/>
      </c>
      <c r="AJ98" s="186" t="str">
        <f>IF(AJ$3="","",IF(COUNTIFS(BD!$A$3:$A$5001,AJ$3,BD!$B$3:$B$5001,$A$92,BD!$T$3:$T$5001,"&lt;&gt;")=0,"",SUMIFS(BD!$T$3:$T$5001,BD!$A$3:$A$5001,AJ$3,BD!$B$3:$B$5001,$A$92)))</f>
        <v/>
      </c>
      <c r="AK98" s="187" t="str">
        <f>IF(COUNT(F98:AJ98)=0,"",SUM(F98:AJ98))</f>
        <v/>
      </c>
    </row>
    <row r="99" ht="15.75" customHeight="1">
      <c r="A99" s="244"/>
      <c r="B99" s="237"/>
      <c r="C99" s="188" t="inlineStr">
        <is>
          <t xml:space="preserve">No show</t>
        </is>
      </c>
      <c r="D99" s="189" t="str">
        <f>IFERROR(1/(1/INDEX(BD!$AJ$41:$BD$41,MATCH($A$92,BD!$AJ$22:$BD$22,0))),"")</f>
        <v/>
      </c>
      <c r="E99" s="190"/>
      <c r="F99" s="191" t="str">
        <f>IF(F$3="","",IF(COUNTIFS(BD!$A$3:$A$5001,F$3,BD!$B$3:$B$5001,$A$92,BD!$U$3:$U$5001,"&lt;&gt;")=0,"",SUMIFS(BD!$U$3:$U$5001,BD!$A$3:$A$5001,F$3,BD!$B$3:$B$5001,$A$92)))</f>
        <v/>
      </c>
      <c r="G99" s="192" t="str">
        <f>IF(G$3="","",IF(COUNTIFS(BD!$A$3:$A$5001,G$3,BD!$B$3:$B$5001,$A$92,BD!$U$3:$U$5001,"&lt;&gt;")=0,"",SUMIFS(BD!$U$3:$U$5001,BD!$A$3:$A$5001,G$3,BD!$B$3:$B$5001,$A$92)))</f>
        <v/>
      </c>
      <c r="H99" s="192" t="str">
        <f>IF(H$3="","",IF(COUNTIFS(BD!$A$3:$A$5001,H$3,BD!$B$3:$B$5001,$A$92,BD!$U$3:$U$5001,"&lt;&gt;")=0,"",SUMIFS(BD!$U$3:$U$5001,BD!$A$3:$A$5001,H$3,BD!$B$3:$B$5001,$A$92)))</f>
        <v/>
      </c>
      <c r="I99" s="192" t="str">
        <f>IF(I$3="","",IF(COUNTIFS(BD!$A$3:$A$5001,I$3,BD!$B$3:$B$5001,$A$92,BD!$U$3:$U$5001,"&lt;&gt;")=0,"",SUMIFS(BD!$U$3:$U$5001,BD!$A$3:$A$5001,I$3,BD!$B$3:$B$5001,$A$92)))</f>
        <v/>
      </c>
      <c r="J99" s="192" t="str">
        <f>IF(J$3="","",IF(COUNTIFS(BD!$A$3:$A$5001,J$3,BD!$B$3:$B$5001,$A$92,BD!$U$3:$U$5001,"&lt;&gt;")=0,"",SUMIFS(BD!$U$3:$U$5001,BD!$A$3:$A$5001,J$3,BD!$B$3:$B$5001,$A$92)))</f>
        <v/>
      </c>
      <c r="K99" s="192" t="str">
        <f>IF(K$3="","",IF(COUNTIFS(BD!$A$3:$A$5001,K$3,BD!$B$3:$B$5001,$A$92,BD!$U$3:$U$5001,"&lt;&gt;")=0,"",SUMIFS(BD!$U$3:$U$5001,BD!$A$3:$A$5001,K$3,BD!$B$3:$B$5001,$A$92)))</f>
        <v/>
      </c>
      <c r="L99" s="192" t="str">
        <f>IF(L$3="","",IF(COUNTIFS(BD!$A$3:$A$5001,L$3,BD!$B$3:$B$5001,$A$92,BD!$U$3:$U$5001,"&lt;&gt;")=0,"",SUMIFS(BD!$U$3:$U$5001,BD!$A$3:$A$5001,L$3,BD!$B$3:$B$5001,$A$92)))</f>
        <v/>
      </c>
      <c r="M99" s="192" t="str">
        <f>IF(M$3="","",IF(COUNTIFS(BD!$A$3:$A$5001,M$3,BD!$B$3:$B$5001,$A$92,BD!$U$3:$U$5001,"&lt;&gt;")=0,"",SUMIFS(BD!$U$3:$U$5001,BD!$A$3:$A$5001,M$3,BD!$B$3:$B$5001,$A$92)))</f>
        <v/>
      </c>
      <c r="N99" s="192" t="str">
        <f>IF(N$3="","",IF(COUNTIFS(BD!$A$3:$A$5001,N$3,BD!$B$3:$B$5001,$A$92,BD!$U$3:$U$5001,"&lt;&gt;")=0,"",SUMIFS(BD!$U$3:$U$5001,BD!$A$3:$A$5001,N$3,BD!$B$3:$B$5001,$A$92)))</f>
        <v/>
      </c>
      <c r="O99" s="192" t="str">
        <f>IF(O$3="","",IF(COUNTIFS(BD!$A$3:$A$5001,O$3,BD!$B$3:$B$5001,$A$92,BD!$U$3:$U$5001,"&lt;&gt;")=0,"",SUMIFS(BD!$U$3:$U$5001,BD!$A$3:$A$5001,O$3,BD!$B$3:$B$5001,$A$92)))</f>
        <v/>
      </c>
      <c r="P99" s="192" t="str">
        <f>IF(P$3="","",IF(COUNTIFS(BD!$A$3:$A$5001,P$3,BD!$B$3:$B$5001,$A$92,BD!$U$3:$U$5001,"&lt;&gt;")=0,"",SUMIFS(BD!$U$3:$U$5001,BD!$A$3:$A$5001,P$3,BD!$B$3:$B$5001,$A$92)))</f>
        <v/>
      </c>
      <c r="Q99" s="192" t="str">
        <f>IF(Q$3="","",IF(COUNTIFS(BD!$A$3:$A$5001,Q$3,BD!$B$3:$B$5001,$A$92,BD!$U$3:$U$5001,"&lt;&gt;")=0,"",SUMIFS(BD!$U$3:$U$5001,BD!$A$3:$A$5001,Q$3,BD!$B$3:$B$5001,$A$92)))</f>
        <v/>
      </c>
      <c r="R99" s="192" t="str">
        <f>IF(R$3="","",IF(COUNTIFS(BD!$A$3:$A$5001,R$3,BD!$B$3:$B$5001,$A$92,BD!$U$3:$U$5001,"&lt;&gt;")=0,"",SUMIFS(BD!$U$3:$U$5001,BD!$A$3:$A$5001,R$3,BD!$B$3:$B$5001,$A$92)))</f>
        <v/>
      </c>
      <c r="S99" s="192" t="str">
        <f>IF(S$3="","",IF(COUNTIFS(BD!$A$3:$A$5001,S$3,BD!$B$3:$B$5001,$A$92,BD!$U$3:$U$5001,"&lt;&gt;")=0,"",SUMIFS(BD!$U$3:$U$5001,BD!$A$3:$A$5001,S$3,BD!$B$3:$B$5001,$A$92)))</f>
        <v/>
      </c>
      <c r="T99" s="192" t="str">
        <f>IF(T$3="","",IF(COUNTIFS(BD!$A$3:$A$5001,T$3,BD!$B$3:$B$5001,$A$92,BD!$U$3:$U$5001,"&lt;&gt;")=0,"",SUMIFS(BD!$U$3:$U$5001,BD!$A$3:$A$5001,T$3,BD!$B$3:$B$5001,$A$92)))</f>
        <v/>
      </c>
      <c r="U99" s="192" t="str">
        <f>IF(U$3="","",IF(COUNTIFS(BD!$A$3:$A$5001,U$3,BD!$B$3:$B$5001,$A$92,BD!$U$3:$U$5001,"&lt;&gt;")=0,"",SUMIFS(BD!$U$3:$U$5001,BD!$A$3:$A$5001,U$3,BD!$B$3:$B$5001,$A$92)))</f>
        <v/>
      </c>
      <c r="V99" s="192" t="str">
        <f>IF(V$3="","",IF(COUNTIFS(BD!$A$3:$A$5001,V$3,BD!$B$3:$B$5001,$A$92,BD!$U$3:$U$5001,"&lt;&gt;")=0,"",SUMIFS(BD!$U$3:$U$5001,BD!$A$3:$A$5001,V$3,BD!$B$3:$B$5001,$A$92)))</f>
        <v/>
      </c>
      <c r="W99" s="192" t="str">
        <f>IF(W$3="","",IF(COUNTIFS(BD!$A$3:$A$5001,W$3,BD!$B$3:$B$5001,$A$92,BD!$U$3:$U$5001,"&lt;&gt;")=0,"",SUMIFS(BD!$U$3:$U$5001,BD!$A$3:$A$5001,W$3,BD!$B$3:$B$5001,$A$92)))</f>
        <v/>
      </c>
      <c r="X99" s="192" t="str">
        <f>IF(X$3="","",IF(COUNTIFS(BD!$A$3:$A$5001,X$3,BD!$B$3:$B$5001,$A$92,BD!$U$3:$U$5001,"&lt;&gt;")=0,"",SUMIFS(BD!$U$3:$U$5001,BD!$A$3:$A$5001,X$3,BD!$B$3:$B$5001,$A$92)))</f>
        <v/>
      </c>
      <c r="Y99" s="192" t="str">
        <f>IF(Y$3="","",IF(COUNTIFS(BD!$A$3:$A$5001,Y$3,BD!$B$3:$B$5001,$A$92,BD!$U$3:$U$5001,"&lt;&gt;")=0,"",SUMIFS(BD!$U$3:$U$5001,BD!$A$3:$A$5001,Y$3,BD!$B$3:$B$5001,$A$92)))</f>
        <v/>
      </c>
      <c r="Z99" s="192" t="str">
        <f>IF(Z$3="","",IF(COUNTIFS(BD!$A$3:$A$5001,Z$3,BD!$B$3:$B$5001,$A$92,BD!$U$3:$U$5001,"&lt;&gt;")=0,"",SUMIFS(BD!$U$3:$U$5001,BD!$A$3:$A$5001,Z$3,BD!$B$3:$B$5001,$A$92)))</f>
        <v/>
      </c>
      <c r="AA99" s="192" t="str">
        <f>IF(AA$3="","",IF(COUNTIFS(BD!$A$3:$A$5001,AA$3,BD!$B$3:$B$5001,$A$92,BD!$U$3:$U$5001,"&lt;&gt;")=0,"",SUMIFS(BD!$U$3:$U$5001,BD!$A$3:$A$5001,AA$3,BD!$B$3:$B$5001,$A$92)))</f>
        <v/>
      </c>
      <c r="AB99" s="192" t="str">
        <f>IF(AB$3="","",IF(COUNTIFS(BD!$A$3:$A$5001,AB$3,BD!$B$3:$B$5001,$A$92,BD!$U$3:$U$5001,"&lt;&gt;")=0,"",SUMIFS(BD!$U$3:$U$5001,BD!$A$3:$A$5001,AB$3,BD!$B$3:$B$5001,$A$92)))</f>
        <v/>
      </c>
      <c r="AC99" s="192" t="str">
        <f>IF(AC$3="","",IF(COUNTIFS(BD!$A$3:$A$5001,AC$3,BD!$B$3:$B$5001,$A$92,BD!$U$3:$U$5001,"&lt;&gt;")=0,"",SUMIFS(BD!$U$3:$U$5001,BD!$A$3:$A$5001,AC$3,BD!$B$3:$B$5001,$A$92)))</f>
        <v/>
      </c>
      <c r="AD99" s="192" t="str">
        <f>IF(AD$3="","",IF(COUNTIFS(BD!$A$3:$A$5001,AD$3,BD!$B$3:$B$5001,$A$92,BD!$U$3:$U$5001,"&lt;&gt;")=0,"",SUMIFS(BD!$U$3:$U$5001,BD!$A$3:$A$5001,AD$3,BD!$B$3:$B$5001,$A$92)))</f>
        <v/>
      </c>
      <c r="AE99" s="192" t="str">
        <f>IF(AE$3="","",IF(COUNTIFS(BD!$A$3:$A$5001,AE$3,BD!$B$3:$B$5001,$A$92,BD!$U$3:$U$5001,"&lt;&gt;")=0,"",SUMIFS(BD!$U$3:$U$5001,BD!$A$3:$A$5001,AE$3,BD!$B$3:$B$5001,$A$92)))</f>
        <v/>
      </c>
      <c r="AF99" s="192" t="str">
        <f>IF(AF$3="","",IF(COUNTIFS(BD!$A$3:$A$5001,AF$3,BD!$B$3:$B$5001,$A$92,BD!$U$3:$U$5001,"&lt;&gt;")=0,"",SUMIFS(BD!$U$3:$U$5001,BD!$A$3:$A$5001,AF$3,BD!$B$3:$B$5001,$A$92)))</f>
        <v/>
      </c>
      <c r="AG99" s="192" t="str">
        <f>IF(AG$3="","",IF(COUNTIFS(BD!$A$3:$A$5001,AG$3,BD!$B$3:$B$5001,$A$92,BD!$U$3:$U$5001,"&lt;&gt;")=0,"",SUMIFS(BD!$U$3:$U$5001,BD!$A$3:$A$5001,AG$3,BD!$B$3:$B$5001,$A$92)))</f>
        <v/>
      </c>
      <c r="AH99" s="192" t="str">
        <f>IF(AH$3="","",IF(COUNTIFS(BD!$A$3:$A$5001,AH$3,BD!$B$3:$B$5001,$A$92,BD!$U$3:$U$5001,"&lt;&gt;")=0,"",SUMIFS(BD!$U$3:$U$5001,BD!$A$3:$A$5001,AH$3,BD!$B$3:$B$5001,$A$92)))</f>
        <v/>
      </c>
      <c r="AI99" s="192" t="str">
        <f>IF(AI$3="","",IF(COUNTIFS(BD!$A$3:$A$5001,AI$3,BD!$B$3:$B$5001,$A$92,BD!$U$3:$U$5001,"&lt;&gt;")=0,"",SUMIFS(BD!$U$3:$U$5001,BD!$A$3:$A$5001,AI$3,BD!$B$3:$B$5001,$A$92)))</f>
        <v/>
      </c>
      <c r="AJ99" s="193" t="str">
        <f>IF(AJ$3="","",IF(COUNTIFS(BD!$A$3:$A$5001,AJ$3,BD!$B$3:$B$5001,$A$92,BD!$U$3:$U$5001,"&lt;&gt;")=0,"",SUMIFS(BD!$U$3:$U$5001,BD!$A$3:$A$5001,AJ$3,BD!$B$3:$B$5001,$A$92)))</f>
        <v/>
      </c>
      <c r="AK99" s="194" t="str">
        <f>IF(COUNT(F99:AJ99)=0,"",SUM(F99:AJ99))</f>
        <v/>
      </c>
    </row>
    <row r="100" ht="15.75" customHeight="1">
      <c r="A100" s="244"/>
      <c r="B100" s="238"/>
      <c r="C100" s="195" t="inlineStr">
        <is>
          <t xml:space="preserve">Backlog</t>
        </is>
      </c>
      <c r="D100" s="196" t="str">
        <f>IFERROR(1/(1/INDEX(BD!$AJ$42:$BD$42,MATCH($A$92,BD!$AJ$22:$BD$22,0))),"")</f>
        <v/>
      </c>
      <c r="E100" s="197"/>
      <c r="F100" s="198" t="str">
        <f>IF(F$3="","",IF(COUNTIFS(BD!$A$3:$A$5001,F$3,BD!$B$3:$B$5001,$A$92,BD!$V$3:$V$5001,"&lt;&gt;")=0,"",SUMIFS(BD!$V$3:$V$5001,BD!$A$3:$A$5001,F$3,BD!$B$3:$B$5001,$A$92)))</f>
        <v/>
      </c>
      <c r="G100" s="199" t="str">
        <f>IF(G$3="","",IF(COUNTIFS(BD!$A$3:$A$5001,G$3,BD!$B$3:$B$5001,$A$92,BD!$V$3:$V$5001,"&lt;&gt;")=0,"",SUMIFS(BD!$V$3:$V$5001,BD!$A$3:$A$5001,G$3,BD!$B$3:$B$5001,$A$92)))</f>
        <v/>
      </c>
      <c r="H100" s="199" t="str">
        <f>IF(H$3="","",IF(COUNTIFS(BD!$A$3:$A$5001,H$3,BD!$B$3:$B$5001,$A$92,BD!$V$3:$V$5001,"&lt;&gt;")=0,"",SUMIFS(BD!$V$3:$V$5001,BD!$A$3:$A$5001,H$3,BD!$B$3:$B$5001,$A$92)))</f>
        <v/>
      </c>
      <c r="I100" s="199" t="str">
        <f>IF(I$3="","",IF(COUNTIFS(BD!$A$3:$A$5001,I$3,BD!$B$3:$B$5001,$A$92,BD!$V$3:$V$5001,"&lt;&gt;")=0,"",SUMIFS(BD!$V$3:$V$5001,BD!$A$3:$A$5001,I$3,BD!$B$3:$B$5001,$A$92)))</f>
        <v/>
      </c>
      <c r="J100" s="199" t="str">
        <f>IF(J$3="","",IF(COUNTIFS(BD!$A$3:$A$5001,J$3,BD!$B$3:$B$5001,$A$92,BD!$V$3:$V$5001,"&lt;&gt;")=0,"",SUMIFS(BD!$V$3:$V$5001,BD!$A$3:$A$5001,J$3,BD!$B$3:$B$5001,$A$92)))</f>
        <v/>
      </c>
      <c r="K100" s="199" t="str">
        <f>IF(K$3="","",IF(COUNTIFS(BD!$A$3:$A$5001,K$3,BD!$B$3:$B$5001,$A$92,BD!$V$3:$V$5001,"&lt;&gt;")=0,"",SUMIFS(BD!$V$3:$V$5001,BD!$A$3:$A$5001,K$3,BD!$B$3:$B$5001,$A$92)))</f>
        <v/>
      </c>
      <c r="L100" s="199" t="str">
        <f>IF(L$3="","",IF(COUNTIFS(BD!$A$3:$A$5001,L$3,BD!$B$3:$B$5001,$A$92,BD!$V$3:$V$5001,"&lt;&gt;")=0,"",SUMIFS(BD!$V$3:$V$5001,BD!$A$3:$A$5001,L$3,BD!$B$3:$B$5001,$A$92)))</f>
        <v/>
      </c>
      <c r="M100" s="199" t="str">
        <f>IF(M$3="","",IF(COUNTIFS(BD!$A$3:$A$5001,M$3,BD!$B$3:$B$5001,$A$92,BD!$V$3:$V$5001,"&lt;&gt;")=0,"",SUMIFS(BD!$V$3:$V$5001,BD!$A$3:$A$5001,M$3,BD!$B$3:$B$5001,$A$92)))</f>
        <v/>
      </c>
      <c r="N100" s="199" t="str">
        <f>IF(N$3="","",IF(COUNTIFS(BD!$A$3:$A$5001,N$3,BD!$B$3:$B$5001,$A$92,BD!$V$3:$V$5001,"&lt;&gt;")=0,"",SUMIFS(BD!$V$3:$V$5001,BD!$A$3:$A$5001,N$3,BD!$B$3:$B$5001,$A$92)))</f>
        <v/>
      </c>
      <c r="O100" s="199" t="str">
        <f>IF(O$3="","",IF(COUNTIFS(BD!$A$3:$A$5001,O$3,BD!$B$3:$B$5001,$A$92,BD!$V$3:$V$5001,"&lt;&gt;")=0,"",SUMIFS(BD!$V$3:$V$5001,BD!$A$3:$A$5001,O$3,BD!$B$3:$B$5001,$A$92)))</f>
        <v/>
      </c>
      <c r="P100" s="199" t="str">
        <f>IF(P$3="","",IF(COUNTIFS(BD!$A$3:$A$5001,P$3,BD!$B$3:$B$5001,$A$92,BD!$V$3:$V$5001,"&lt;&gt;")=0,"",SUMIFS(BD!$V$3:$V$5001,BD!$A$3:$A$5001,P$3,BD!$B$3:$B$5001,$A$92)))</f>
        <v/>
      </c>
      <c r="Q100" s="199" t="str">
        <f>IF(Q$3="","",IF(COUNTIFS(BD!$A$3:$A$5001,Q$3,BD!$B$3:$B$5001,$A$92,BD!$V$3:$V$5001,"&lt;&gt;")=0,"",SUMIFS(BD!$V$3:$V$5001,BD!$A$3:$A$5001,Q$3,BD!$B$3:$B$5001,$A$92)))</f>
        <v/>
      </c>
      <c r="R100" s="199" t="str">
        <f>IF(R$3="","",IF(COUNTIFS(BD!$A$3:$A$5001,R$3,BD!$B$3:$B$5001,$A$92,BD!$V$3:$V$5001,"&lt;&gt;")=0,"",SUMIFS(BD!$V$3:$V$5001,BD!$A$3:$A$5001,R$3,BD!$B$3:$B$5001,$A$92)))</f>
        <v/>
      </c>
      <c r="S100" s="199" t="str">
        <f>IF(S$3="","",IF(COUNTIFS(BD!$A$3:$A$5001,S$3,BD!$B$3:$B$5001,$A$92,BD!$V$3:$V$5001,"&lt;&gt;")=0,"",SUMIFS(BD!$V$3:$V$5001,BD!$A$3:$A$5001,S$3,BD!$B$3:$B$5001,$A$92)))</f>
        <v/>
      </c>
      <c r="T100" s="199" t="str">
        <f>IF(T$3="","",IF(COUNTIFS(BD!$A$3:$A$5001,T$3,BD!$B$3:$B$5001,$A$92,BD!$V$3:$V$5001,"&lt;&gt;")=0,"",SUMIFS(BD!$V$3:$V$5001,BD!$A$3:$A$5001,T$3,BD!$B$3:$B$5001,$A$92)))</f>
        <v/>
      </c>
      <c r="U100" s="199" t="str">
        <f>IF(U$3="","",IF(COUNTIFS(BD!$A$3:$A$5001,U$3,BD!$B$3:$B$5001,$A$92,BD!$V$3:$V$5001,"&lt;&gt;")=0,"",SUMIFS(BD!$V$3:$V$5001,BD!$A$3:$A$5001,U$3,BD!$B$3:$B$5001,$A$92)))</f>
        <v/>
      </c>
      <c r="V100" s="199" t="str">
        <f>IF(V$3="","",IF(COUNTIFS(BD!$A$3:$A$5001,V$3,BD!$B$3:$B$5001,$A$92,BD!$V$3:$V$5001,"&lt;&gt;")=0,"",SUMIFS(BD!$V$3:$V$5001,BD!$A$3:$A$5001,V$3,BD!$B$3:$B$5001,$A$92)))</f>
        <v/>
      </c>
      <c r="W100" s="199" t="str">
        <f>IF(W$3="","",IF(COUNTIFS(BD!$A$3:$A$5001,W$3,BD!$B$3:$B$5001,$A$92,BD!$V$3:$V$5001,"&lt;&gt;")=0,"",SUMIFS(BD!$V$3:$V$5001,BD!$A$3:$A$5001,W$3,BD!$B$3:$B$5001,$A$92)))</f>
        <v/>
      </c>
      <c r="X100" s="199" t="str">
        <f>IF(X$3="","",IF(COUNTIFS(BD!$A$3:$A$5001,X$3,BD!$B$3:$B$5001,$A$92,BD!$V$3:$V$5001,"&lt;&gt;")=0,"",SUMIFS(BD!$V$3:$V$5001,BD!$A$3:$A$5001,X$3,BD!$B$3:$B$5001,$A$92)))</f>
        <v/>
      </c>
      <c r="Y100" s="199" t="str">
        <f>IF(Y$3="","",IF(COUNTIFS(BD!$A$3:$A$5001,Y$3,BD!$B$3:$B$5001,$A$92,BD!$V$3:$V$5001,"&lt;&gt;")=0,"",SUMIFS(BD!$V$3:$V$5001,BD!$A$3:$A$5001,Y$3,BD!$B$3:$B$5001,$A$92)))</f>
        <v/>
      </c>
      <c r="Z100" s="199" t="str">
        <f>IF(Z$3="","",IF(COUNTIFS(BD!$A$3:$A$5001,Z$3,BD!$B$3:$B$5001,$A$92,BD!$V$3:$V$5001,"&lt;&gt;")=0,"",SUMIFS(BD!$V$3:$V$5001,BD!$A$3:$A$5001,Z$3,BD!$B$3:$B$5001,$A$92)))</f>
        <v/>
      </c>
      <c r="AA100" s="199" t="str">
        <f>IF(AA$3="","",IF(COUNTIFS(BD!$A$3:$A$5001,AA$3,BD!$B$3:$B$5001,$A$92,BD!$V$3:$V$5001,"&lt;&gt;")=0,"",SUMIFS(BD!$V$3:$V$5001,BD!$A$3:$A$5001,AA$3,BD!$B$3:$B$5001,$A$92)))</f>
        <v/>
      </c>
      <c r="AB100" s="199" t="str">
        <f>IF(AB$3="","",IF(COUNTIFS(BD!$A$3:$A$5001,AB$3,BD!$B$3:$B$5001,$A$92,BD!$V$3:$V$5001,"&lt;&gt;")=0,"",SUMIFS(BD!$V$3:$V$5001,BD!$A$3:$A$5001,AB$3,BD!$B$3:$B$5001,$A$92)))</f>
        <v/>
      </c>
      <c r="AC100" s="199" t="str">
        <f>IF(AC$3="","",IF(COUNTIFS(BD!$A$3:$A$5001,AC$3,BD!$B$3:$B$5001,$A$92,BD!$V$3:$V$5001,"&lt;&gt;")=0,"",SUMIFS(BD!$V$3:$V$5001,BD!$A$3:$A$5001,AC$3,BD!$B$3:$B$5001,$A$92)))</f>
        <v/>
      </c>
      <c r="AD100" s="199" t="str">
        <f>IF(AD$3="","",IF(COUNTIFS(BD!$A$3:$A$5001,AD$3,BD!$B$3:$B$5001,$A$92,BD!$V$3:$V$5001,"&lt;&gt;")=0,"",SUMIFS(BD!$V$3:$V$5001,BD!$A$3:$A$5001,AD$3,BD!$B$3:$B$5001,$A$92)))</f>
        <v/>
      </c>
      <c r="AE100" s="199" t="str">
        <f>IF(AE$3="","",IF(COUNTIFS(BD!$A$3:$A$5001,AE$3,BD!$B$3:$B$5001,$A$92,BD!$V$3:$V$5001,"&lt;&gt;")=0,"",SUMIFS(BD!$V$3:$V$5001,BD!$A$3:$A$5001,AE$3,BD!$B$3:$B$5001,$A$92)))</f>
        <v/>
      </c>
      <c r="AF100" s="199" t="str">
        <f>IF(AF$3="","",IF(COUNTIFS(BD!$A$3:$A$5001,AF$3,BD!$B$3:$B$5001,$A$92,BD!$V$3:$V$5001,"&lt;&gt;")=0,"",SUMIFS(BD!$V$3:$V$5001,BD!$A$3:$A$5001,AF$3,BD!$B$3:$B$5001,$A$92)))</f>
        <v/>
      </c>
      <c r="AG100" s="199" t="str">
        <f>IF(AG$3="","",IF(COUNTIFS(BD!$A$3:$A$5001,AG$3,BD!$B$3:$B$5001,$A$92,BD!$V$3:$V$5001,"&lt;&gt;")=0,"",SUMIFS(BD!$V$3:$V$5001,BD!$A$3:$A$5001,AG$3,BD!$B$3:$B$5001,$A$92)))</f>
        <v/>
      </c>
      <c r="AH100" s="199" t="str">
        <f>IF(AH$3="","",IF(COUNTIFS(BD!$A$3:$A$5001,AH$3,BD!$B$3:$B$5001,$A$92,BD!$V$3:$V$5001,"&lt;&gt;")=0,"",SUMIFS(BD!$V$3:$V$5001,BD!$A$3:$A$5001,AH$3,BD!$B$3:$B$5001,$A$92)))</f>
        <v/>
      </c>
      <c r="AI100" s="199" t="str">
        <f>IF(AI$3="","",IF(COUNTIFS(BD!$A$3:$A$5001,AI$3,BD!$B$3:$B$5001,$A$92,BD!$V$3:$V$5001,"&lt;&gt;")=0,"",SUMIFS(BD!$V$3:$V$5001,BD!$A$3:$A$5001,AI$3,BD!$B$3:$B$5001,$A$92)))</f>
        <v/>
      </c>
      <c r="AJ100" s="200" t="str">
        <f>IF(AJ$3="","",IF(COUNTIFS(BD!$A$3:$A$5001,AJ$3,BD!$B$3:$B$5001,$A$92,BD!$V$3:$V$5001,"&lt;&gt;")=0,"",SUMIFS(BD!$V$3:$V$5001,BD!$A$3:$A$5001,AJ$3,BD!$B$3:$B$5001,$A$92)))</f>
        <v/>
      </c>
      <c r="AK100" s="196" t="str">
        <f>IFERROR(LOOKUP(9.99E+307,F100:AJ100),"")</f>
        <v/>
      </c>
    </row>
    <row r="101" ht="15.75" customHeight="1">
      <c r="A101" s="244"/>
      <c r="B101" s="232" t="inlineStr">
        <is>
          <t xml:space="preserve">OCUPAÇÃO (P.P)</t>
        </is>
      </c>
      <c r="C101" s="155" t="inlineStr">
        <is>
          <t xml:space="preserve">Posições Disponíveis</t>
        </is>
      </c>
      <c r="D101" s="156" t="str">
        <f>IFERROR(1/(1/INDEX(BD!$AJ$43:$BD$43,MATCH($A$92,BD!$AJ$22:$BD$22,0))),"")</f>
        <v/>
      </c>
      <c r="E101" s="157"/>
      <c r="F101" s="158" t="str">
        <f>IF(F$3="","",IF(COUNTIFS(BD!$A$3:$A$5001,F$3,BD!$B$3:$B$5001,$A$92,BD!$W$3:$W$5001,"&lt;&gt;")=0,"",SUMIFS(BD!$W$3:$W$5001,BD!$A$3:$A$5001,F$3,BD!$B$3:$B$5001,$A$92)))</f>
        <v/>
      </c>
      <c r="G101" s="159" t="str">
        <f>IF(G$3="","",IF(COUNTIFS(BD!$A$3:$A$5001,G$3,BD!$B$3:$B$5001,$A$92,BD!$W$3:$W$5001,"&lt;&gt;")=0,"",SUMIFS(BD!$W$3:$W$5001,BD!$A$3:$A$5001,G$3,BD!$B$3:$B$5001,$A$92)))</f>
        <v/>
      </c>
      <c r="H101" s="159" t="str">
        <f>IF(H$3="","",IF(COUNTIFS(BD!$A$3:$A$5001,H$3,BD!$B$3:$B$5001,$A$92,BD!$W$3:$W$5001,"&lt;&gt;")=0,"",SUMIFS(BD!$W$3:$W$5001,BD!$A$3:$A$5001,H$3,BD!$B$3:$B$5001,$A$92)))</f>
        <v/>
      </c>
      <c r="I101" s="159" t="str">
        <f>IF(I$3="","",IF(COUNTIFS(BD!$A$3:$A$5001,I$3,BD!$B$3:$B$5001,$A$92,BD!$W$3:$W$5001,"&lt;&gt;")=0,"",SUMIFS(BD!$W$3:$W$5001,BD!$A$3:$A$5001,I$3,BD!$B$3:$B$5001,$A$92)))</f>
        <v/>
      </c>
      <c r="J101" s="159" t="str">
        <f>IF(J$3="","",IF(COUNTIFS(BD!$A$3:$A$5001,J$3,BD!$B$3:$B$5001,$A$92,BD!$W$3:$W$5001,"&lt;&gt;")=0,"",SUMIFS(BD!$W$3:$W$5001,BD!$A$3:$A$5001,J$3,BD!$B$3:$B$5001,$A$92)))</f>
        <v/>
      </c>
      <c r="K101" s="159" t="str">
        <f>IF(K$3="","",IF(COUNTIFS(BD!$A$3:$A$5001,K$3,BD!$B$3:$B$5001,$A$92,BD!$W$3:$W$5001,"&lt;&gt;")=0,"",SUMIFS(BD!$W$3:$W$5001,BD!$A$3:$A$5001,K$3,BD!$B$3:$B$5001,$A$92)))</f>
        <v/>
      </c>
      <c r="L101" s="159" t="str">
        <f>IF(L$3="","",IF(COUNTIFS(BD!$A$3:$A$5001,L$3,BD!$B$3:$B$5001,$A$92,BD!$W$3:$W$5001,"&lt;&gt;")=0,"",SUMIFS(BD!$W$3:$W$5001,BD!$A$3:$A$5001,L$3,BD!$B$3:$B$5001,$A$92)))</f>
        <v/>
      </c>
      <c r="M101" s="159" t="str">
        <f>IF(M$3="","",IF(COUNTIFS(BD!$A$3:$A$5001,M$3,BD!$B$3:$B$5001,$A$92,BD!$W$3:$W$5001,"&lt;&gt;")=0,"",SUMIFS(BD!$W$3:$W$5001,BD!$A$3:$A$5001,M$3,BD!$B$3:$B$5001,$A$92)))</f>
        <v/>
      </c>
      <c r="N101" s="159" t="str">
        <f>IF(N$3="","",IF(COUNTIFS(BD!$A$3:$A$5001,N$3,BD!$B$3:$B$5001,$A$92,BD!$W$3:$W$5001,"&lt;&gt;")=0,"",SUMIFS(BD!$W$3:$W$5001,BD!$A$3:$A$5001,N$3,BD!$B$3:$B$5001,$A$92)))</f>
        <v/>
      </c>
      <c r="O101" s="159" t="str">
        <f>IF(O$3="","",IF(COUNTIFS(BD!$A$3:$A$5001,O$3,BD!$B$3:$B$5001,$A$92,BD!$W$3:$W$5001,"&lt;&gt;")=0,"",SUMIFS(BD!$W$3:$W$5001,BD!$A$3:$A$5001,O$3,BD!$B$3:$B$5001,$A$92)))</f>
        <v/>
      </c>
      <c r="P101" s="159" t="str">
        <f>IF(P$3="","",IF(COUNTIFS(BD!$A$3:$A$5001,P$3,BD!$B$3:$B$5001,$A$92,BD!$W$3:$W$5001,"&lt;&gt;")=0,"",SUMIFS(BD!$W$3:$W$5001,BD!$A$3:$A$5001,P$3,BD!$B$3:$B$5001,$A$92)))</f>
        <v/>
      </c>
      <c r="Q101" s="159" t="str">
        <f>IF(Q$3="","",IF(COUNTIFS(BD!$A$3:$A$5001,Q$3,BD!$B$3:$B$5001,$A$92,BD!$W$3:$W$5001,"&lt;&gt;")=0,"",SUMIFS(BD!$W$3:$W$5001,BD!$A$3:$A$5001,Q$3,BD!$B$3:$B$5001,$A$92)))</f>
        <v/>
      </c>
      <c r="R101" s="159" t="str">
        <f>IF(R$3="","",IF(COUNTIFS(BD!$A$3:$A$5001,R$3,BD!$B$3:$B$5001,$A$92,BD!$W$3:$W$5001,"&lt;&gt;")=0,"",SUMIFS(BD!$W$3:$W$5001,BD!$A$3:$A$5001,R$3,BD!$B$3:$B$5001,$A$92)))</f>
        <v/>
      </c>
      <c r="S101" s="159" t="str">
        <f>IF(S$3="","",IF(COUNTIFS(BD!$A$3:$A$5001,S$3,BD!$B$3:$B$5001,$A$92,BD!$W$3:$W$5001,"&lt;&gt;")=0,"",SUMIFS(BD!$W$3:$W$5001,BD!$A$3:$A$5001,S$3,BD!$B$3:$B$5001,$A$92)))</f>
        <v/>
      </c>
      <c r="T101" s="159" t="str">
        <f>IF(T$3="","",IF(COUNTIFS(BD!$A$3:$A$5001,T$3,BD!$B$3:$B$5001,$A$92,BD!$W$3:$W$5001,"&lt;&gt;")=0,"",SUMIFS(BD!$W$3:$W$5001,BD!$A$3:$A$5001,T$3,BD!$B$3:$B$5001,$A$92)))</f>
        <v/>
      </c>
      <c r="U101" s="159" t="str">
        <f>IF(U$3="","",IF(COUNTIFS(BD!$A$3:$A$5001,U$3,BD!$B$3:$B$5001,$A$92,BD!$W$3:$W$5001,"&lt;&gt;")=0,"",SUMIFS(BD!$W$3:$W$5001,BD!$A$3:$A$5001,U$3,BD!$B$3:$B$5001,$A$92)))</f>
        <v/>
      </c>
      <c r="V101" s="159" t="str">
        <f>IF(V$3="","",IF(COUNTIFS(BD!$A$3:$A$5001,V$3,BD!$B$3:$B$5001,$A$92,BD!$W$3:$W$5001,"&lt;&gt;")=0,"",SUMIFS(BD!$W$3:$W$5001,BD!$A$3:$A$5001,V$3,BD!$B$3:$B$5001,$A$92)))</f>
        <v/>
      </c>
      <c r="W101" s="159" t="str">
        <f>IF(W$3="","",IF(COUNTIFS(BD!$A$3:$A$5001,W$3,BD!$B$3:$B$5001,$A$92,BD!$W$3:$W$5001,"&lt;&gt;")=0,"",SUMIFS(BD!$W$3:$W$5001,BD!$A$3:$A$5001,W$3,BD!$B$3:$B$5001,$A$92)))</f>
        <v/>
      </c>
      <c r="X101" s="159" t="str">
        <f>IF(X$3="","",IF(COUNTIFS(BD!$A$3:$A$5001,X$3,BD!$B$3:$B$5001,$A$92,BD!$W$3:$W$5001,"&lt;&gt;")=0,"",SUMIFS(BD!$W$3:$W$5001,BD!$A$3:$A$5001,X$3,BD!$B$3:$B$5001,$A$92)))</f>
        <v/>
      </c>
      <c r="Y101" s="159" t="str">
        <f>IF(Y$3="","",IF(COUNTIFS(BD!$A$3:$A$5001,Y$3,BD!$B$3:$B$5001,$A$92,BD!$W$3:$W$5001,"&lt;&gt;")=0,"",SUMIFS(BD!$W$3:$W$5001,BD!$A$3:$A$5001,Y$3,BD!$B$3:$B$5001,$A$92)))</f>
        <v/>
      </c>
      <c r="Z101" s="159" t="str">
        <f>IF(Z$3="","",IF(COUNTIFS(BD!$A$3:$A$5001,Z$3,BD!$B$3:$B$5001,$A$92,BD!$W$3:$W$5001,"&lt;&gt;")=0,"",SUMIFS(BD!$W$3:$W$5001,BD!$A$3:$A$5001,Z$3,BD!$B$3:$B$5001,$A$92)))</f>
        <v/>
      </c>
      <c r="AA101" s="159" t="str">
        <f>IF(AA$3="","",IF(COUNTIFS(BD!$A$3:$A$5001,AA$3,BD!$B$3:$B$5001,$A$92,BD!$W$3:$W$5001,"&lt;&gt;")=0,"",SUMIFS(BD!$W$3:$W$5001,BD!$A$3:$A$5001,AA$3,BD!$B$3:$B$5001,$A$92)))</f>
        <v/>
      </c>
      <c r="AB101" s="159" t="str">
        <f>IF(AB$3="","",IF(COUNTIFS(BD!$A$3:$A$5001,AB$3,BD!$B$3:$B$5001,$A$92,BD!$W$3:$W$5001,"&lt;&gt;")=0,"",SUMIFS(BD!$W$3:$W$5001,BD!$A$3:$A$5001,AB$3,BD!$B$3:$B$5001,$A$92)))</f>
        <v/>
      </c>
      <c r="AC101" s="159" t="str">
        <f>IF(AC$3="","",IF(COUNTIFS(BD!$A$3:$A$5001,AC$3,BD!$B$3:$B$5001,$A$92,BD!$W$3:$W$5001,"&lt;&gt;")=0,"",SUMIFS(BD!$W$3:$W$5001,BD!$A$3:$A$5001,AC$3,BD!$B$3:$B$5001,$A$92)))</f>
        <v/>
      </c>
      <c r="AD101" s="159" t="str">
        <f>IF(AD$3="","",IF(COUNTIFS(BD!$A$3:$A$5001,AD$3,BD!$B$3:$B$5001,$A$92,BD!$W$3:$W$5001,"&lt;&gt;")=0,"",SUMIFS(BD!$W$3:$W$5001,BD!$A$3:$A$5001,AD$3,BD!$B$3:$B$5001,$A$92)))</f>
        <v/>
      </c>
      <c r="AE101" s="159" t="str">
        <f>IF(AE$3="","",IF(COUNTIFS(BD!$A$3:$A$5001,AE$3,BD!$B$3:$B$5001,$A$92,BD!$W$3:$W$5001,"&lt;&gt;")=0,"",SUMIFS(BD!$W$3:$W$5001,BD!$A$3:$A$5001,AE$3,BD!$B$3:$B$5001,$A$92)))</f>
        <v/>
      </c>
      <c r="AF101" s="159" t="str">
        <f>IF(AF$3="","",IF(COUNTIFS(BD!$A$3:$A$5001,AF$3,BD!$B$3:$B$5001,$A$92,BD!$W$3:$W$5001,"&lt;&gt;")=0,"",SUMIFS(BD!$W$3:$W$5001,BD!$A$3:$A$5001,AF$3,BD!$B$3:$B$5001,$A$92)))</f>
        <v/>
      </c>
      <c r="AG101" s="159" t="str">
        <f>IF(AG$3="","",IF(COUNTIFS(BD!$A$3:$A$5001,AG$3,BD!$B$3:$B$5001,$A$92,BD!$W$3:$W$5001,"&lt;&gt;")=0,"",SUMIFS(BD!$W$3:$W$5001,BD!$A$3:$A$5001,AG$3,BD!$B$3:$B$5001,$A$92)))</f>
        <v/>
      </c>
      <c r="AH101" s="159" t="str">
        <f>IF(AH$3="","",IF(COUNTIFS(BD!$A$3:$A$5001,AH$3,BD!$B$3:$B$5001,$A$92,BD!$W$3:$W$5001,"&lt;&gt;")=0,"",SUMIFS(BD!$W$3:$W$5001,BD!$A$3:$A$5001,AH$3,BD!$B$3:$B$5001,$A$92)))</f>
        <v/>
      </c>
      <c r="AI101" s="159" t="str">
        <f>IF(AI$3="","",IF(COUNTIFS(BD!$A$3:$A$5001,AI$3,BD!$B$3:$B$5001,$A$92,BD!$W$3:$W$5001,"&lt;&gt;")=0,"",SUMIFS(BD!$W$3:$W$5001,BD!$A$3:$A$5001,AI$3,BD!$B$3:$B$5001,$A$92)))</f>
        <v/>
      </c>
      <c r="AJ101" s="160" t="str">
        <f>IF(AJ$3="","",IF(COUNTIFS(BD!$A$3:$A$5001,AJ$3,BD!$B$3:$B$5001,$A$92,BD!$W$3:$W$5001,"&lt;&gt;")=0,"",SUMIFS(BD!$W$3:$W$5001,BD!$A$3:$A$5001,AJ$3,BD!$B$3:$B$5001,$A$92)))</f>
        <v/>
      </c>
      <c r="AK101" s="161" t="str">
        <f>IF(COUNT(F101:AJ101)&gt;0,LOOKUP(9.99E+307,F101:AJ101),IFERROR(IF(INDEX(BD!$AG$3:$AG$5001,MATCH($A$92,BD!$B$3:$B$5001,0))&amp;""="Contrato","",INDEX(BD!$AG$3:$AG$5001,MATCH($A$92,BD!$B$3:$B$5001,0))&amp;""),""))</f>
        <v/>
      </c>
    </row>
    <row r="102" ht="15.75" customHeight="1">
      <c r="A102" s="244"/>
      <c r="B102" s="239"/>
      <c r="C102" s="201" t="inlineStr">
        <is>
          <t xml:space="preserve">Posições Ocupadas</t>
        </is>
      </c>
      <c r="D102" s="202" t="str">
        <f>IFERROR(1/(1/INDEX(BD!$AJ$44:$BD$44,MATCH($A$92,BD!$AJ$22:$BD$22,0))),"")</f>
        <v/>
      </c>
      <c r="E102" s="203"/>
      <c r="F102" s="204" t="str">
        <f>IF(F$3="","",IF(COUNTIFS(BD!$A$3:$A$5001,F$3,BD!$B$3:$B$5001,$A$92,BD!$X$3:$X$5001,"&lt;&gt;")=0,"",SUMIFS(BD!$X$3:$X$5001,BD!$A$3:$A$5001,F$3,BD!$B$3:$B$5001,$A$92)))</f>
        <v/>
      </c>
      <c r="G102" s="205" t="str">
        <f>IF(G$3="","",IF(COUNTIFS(BD!$A$3:$A$5001,G$3,BD!$B$3:$B$5001,$A$92,BD!$X$3:$X$5001,"&lt;&gt;")=0,"",SUMIFS(BD!$X$3:$X$5001,BD!$A$3:$A$5001,G$3,BD!$B$3:$B$5001,$A$92)))</f>
        <v/>
      </c>
      <c r="H102" s="205" t="str">
        <f>IF(H$3="","",IF(COUNTIFS(BD!$A$3:$A$5001,H$3,BD!$B$3:$B$5001,$A$92,BD!$X$3:$X$5001,"&lt;&gt;")=0,"",SUMIFS(BD!$X$3:$X$5001,BD!$A$3:$A$5001,H$3,BD!$B$3:$B$5001,$A$92)))</f>
        <v/>
      </c>
      <c r="I102" s="205" t="str">
        <f>IF(I$3="","",IF(COUNTIFS(BD!$A$3:$A$5001,I$3,BD!$B$3:$B$5001,$A$92,BD!$X$3:$X$5001,"&lt;&gt;")=0,"",SUMIFS(BD!$X$3:$X$5001,BD!$A$3:$A$5001,I$3,BD!$B$3:$B$5001,$A$92)))</f>
        <v/>
      </c>
      <c r="J102" s="205" t="str">
        <f>IF(J$3="","",IF(COUNTIFS(BD!$A$3:$A$5001,J$3,BD!$B$3:$B$5001,$A$92,BD!$X$3:$X$5001,"&lt;&gt;")=0,"",SUMIFS(BD!$X$3:$X$5001,BD!$A$3:$A$5001,J$3,BD!$B$3:$B$5001,$A$92)))</f>
        <v/>
      </c>
      <c r="K102" s="205" t="str">
        <f>IF(K$3="","",IF(COUNTIFS(BD!$A$3:$A$5001,K$3,BD!$B$3:$B$5001,$A$92,BD!$X$3:$X$5001,"&lt;&gt;")=0,"",SUMIFS(BD!$X$3:$X$5001,BD!$A$3:$A$5001,K$3,BD!$B$3:$B$5001,$A$92)))</f>
        <v/>
      </c>
      <c r="L102" s="205" t="str">
        <f>IF(L$3="","",IF(COUNTIFS(BD!$A$3:$A$5001,L$3,BD!$B$3:$B$5001,$A$92,BD!$X$3:$X$5001,"&lt;&gt;")=0,"",SUMIFS(BD!$X$3:$X$5001,BD!$A$3:$A$5001,L$3,BD!$B$3:$B$5001,$A$92)))</f>
        <v/>
      </c>
      <c r="M102" s="205" t="str">
        <f>IF(M$3="","",IF(COUNTIFS(BD!$A$3:$A$5001,M$3,BD!$B$3:$B$5001,$A$92,BD!$X$3:$X$5001,"&lt;&gt;")=0,"",SUMIFS(BD!$X$3:$X$5001,BD!$A$3:$A$5001,M$3,BD!$B$3:$B$5001,$A$92)))</f>
        <v/>
      </c>
      <c r="N102" s="205" t="str">
        <f>IF(N$3="","",IF(COUNTIFS(BD!$A$3:$A$5001,N$3,BD!$B$3:$B$5001,$A$92,BD!$X$3:$X$5001,"&lt;&gt;")=0,"",SUMIFS(BD!$X$3:$X$5001,BD!$A$3:$A$5001,N$3,BD!$B$3:$B$5001,$A$92)))</f>
        <v/>
      </c>
      <c r="O102" s="205" t="str">
        <f>IF(O$3="","",IF(COUNTIFS(BD!$A$3:$A$5001,O$3,BD!$B$3:$B$5001,$A$92,BD!$X$3:$X$5001,"&lt;&gt;")=0,"",SUMIFS(BD!$X$3:$X$5001,BD!$A$3:$A$5001,O$3,BD!$B$3:$B$5001,$A$92)))</f>
        <v/>
      </c>
      <c r="P102" s="205" t="str">
        <f>IF(P$3="","",IF(COUNTIFS(BD!$A$3:$A$5001,P$3,BD!$B$3:$B$5001,$A$92,BD!$X$3:$X$5001,"&lt;&gt;")=0,"",SUMIFS(BD!$X$3:$X$5001,BD!$A$3:$A$5001,P$3,BD!$B$3:$B$5001,$A$92)))</f>
        <v/>
      </c>
      <c r="Q102" s="205" t="str">
        <f>IF(Q$3="","",IF(COUNTIFS(BD!$A$3:$A$5001,Q$3,BD!$B$3:$B$5001,$A$92,BD!$X$3:$X$5001,"&lt;&gt;")=0,"",SUMIFS(BD!$X$3:$X$5001,BD!$A$3:$A$5001,Q$3,BD!$B$3:$B$5001,$A$92)))</f>
        <v/>
      </c>
      <c r="R102" s="205" t="str">
        <f>IF(R$3="","",IF(COUNTIFS(BD!$A$3:$A$5001,R$3,BD!$B$3:$B$5001,$A$92,BD!$X$3:$X$5001,"&lt;&gt;")=0,"",SUMIFS(BD!$X$3:$X$5001,BD!$A$3:$A$5001,R$3,BD!$B$3:$B$5001,$A$92)))</f>
        <v/>
      </c>
      <c r="S102" s="205" t="str">
        <f>IF(S$3="","",IF(COUNTIFS(BD!$A$3:$A$5001,S$3,BD!$B$3:$B$5001,$A$92,BD!$X$3:$X$5001,"&lt;&gt;")=0,"",SUMIFS(BD!$X$3:$X$5001,BD!$A$3:$A$5001,S$3,BD!$B$3:$B$5001,$A$92)))</f>
        <v/>
      </c>
      <c r="T102" s="205" t="str">
        <f>IF(T$3="","",IF(COUNTIFS(BD!$A$3:$A$5001,T$3,BD!$B$3:$B$5001,$A$92,BD!$X$3:$X$5001,"&lt;&gt;")=0,"",SUMIFS(BD!$X$3:$X$5001,BD!$A$3:$A$5001,T$3,BD!$B$3:$B$5001,$A$92)))</f>
        <v/>
      </c>
      <c r="U102" s="205" t="str">
        <f>IF(U$3="","",IF(COUNTIFS(BD!$A$3:$A$5001,U$3,BD!$B$3:$B$5001,$A$92,BD!$X$3:$X$5001,"&lt;&gt;")=0,"",SUMIFS(BD!$X$3:$X$5001,BD!$A$3:$A$5001,U$3,BD!$B$3:$B$5001,$A$92)))</f>
        <v/>
      </c>
      <c r="V102" s="205" t="str">
        <f>IF(V$3="","",IF(COUNTIFS(BD!$A$3:$A$5001,V$3,BD!$B$3:$B$5001,$A$92,BD!$X$3:$X$5001,"&lt;&gt;")=0,"",SUMIFS(BD!$X$3:$X$5001,BD!$A$3:$A$5001,V$3,BD!$B$3:$B$5001,$A$92)))</f>
        <v/>
      </c>
      <c r="W102" s="205" t="str">
        <f>IF(W$3="","",IF(COUNTIFS(BD!$A$3:$A$5001,W$3,BD!$B$3:$B$5001,$A$92,BD!$X$3:$X$5001,"&lt;&gt;")=0,"",SUMIFS(BD!$X$3:$X$5001,BD!$A$3:$A$5001,W$3,BD!$B$3:$B$5001,$A$92)))</f>
        <v/>
      </c>
      <c r="X102" s="205" t="str">
        <f>IF(X$3="","",IF(COUNTIFS(BD!$A$3:$A$5001,X$3,BD!$B$3:$B$5001,$A$92,BD!$X$3:$X$5001,"&lt;&gt;")=0,"",SUMIFS(BD!$X$3:$X$5001,BD!$A$3:$A$5001,X$3,BD!$B$3:$B$5001,$A$92)))</f>
        <v/>
      </c>
      <c r="Y102" s="205" t="str">
        <f>IF(Y$3="","",IF(COUNTIFS(BD!$A$3:$A$5001,Y$3,BD!$B$3:$B$5001,$A$92,BD!$X$3:$X$5001,"&lt;&gt;")=0,"",SUMIFS(BD!$X$3:$X$5001,BD!$A$3:$A$5001,Y$3,BD!$B$3:$B$5001,$A$92)))</f>
        <v/>
      </c>
      <c r="Z102" s="205" t="str">
        <f>IF(Z$3="","",IF(COUNTIFS(BD!$A$3:$A$5001,Z$3,BD!$B$3:$B$5001,$A$92,BD!$X$3:$X$5001,"&lt;&gt;")=0,"",SUMIFS(BD!$X$3:$X$5001,BD!$A$3:$A$5001,Z$3,BD!$B$3:$B$5001,$A$92)))</f>
        <v/>
      </c>
      <c r="AA102" s="205" t="str">
        <f>IF(AA$3="","",IF(COUNTIFS(BD!$A$3:$A$5001,AA$3,BD!$B$3:$B$5001,$A$92,BD!$X$3:$X$5001,"&lt;&gt;")=0,"",SUMIFS(BD!$X$3:$X$5001,BD!$A$3:$A$5001,AA$3,BD!$B$3:$B$5001,$A$92)))</f>
        <v/>
      </c>
      <c r="AB102" s="205" t="str">
        <f>IF(AB$3="","",IF(COUNTIFS(BD!$A$3:$A$5001,AB$3,BD!$B$3:$B$5001,$A$92,BD!$X$3:$X$5001,"&lt;&gt;")=0,"",SUMIFS(BD!$X$3:$X$5001,BD!$A$3:$A$5001,AB$3,BD!$B$3:$B$5001,$A$92)))</f>
        <v/>
      </c>
      <c r="AC102" s="205" t="str">
        <f>IF(AC$3="","",IF(COUNTIFS(BD!$A$3:$A$5001,AC$3,BD!$B$3:$B$5001,$A$92,BD!$X$3:$X$5001,"&lt;&gt;")=0,"",SUMIFS(BD!$X$3:$X$5001,BD!$A$3:$A$5001,AC$3,BD!$B$3:$B$5001,$A$92)))</f>
        <v/>
      </c>
      <c r="AD102" s="205" t="str">
        <f>IF(AD$3="","",IF(COUNTIFS(BD!$A$3:$A$5001,AD$3,BD!$B$3:$B$5001,$A$92,BD!$X$3:$X$5001,"&lt;&gt;")=0,"",SUMIFS(BD!$X$3:$X$5001,BD!$A$3:$A$5001,AD$3,BD!$B$3:$B$5001,$A$92)))</f>
        <v/>
      </c>
      <c r="AE102" s="205" t="str">
        <f>IF(AE$3="","",IF(COUNTIFS(BD!$A$3:$A$5001,AE$3,BD!$B$3:$B$5001,$A$92,BD!$X$3:$X$5001,"&lt;&gt;")=0,"",SUMIFS(BD!$X$3:$X$5001,BD!$A$3:$A$5001,AE$3,BD!$B$3:$B$5001,$A$92)))</f>
        <v/>
      </c>
      <c r="AF102" s="205" t="str">
        <f>IF(AF$3="","",IF(COUNTIFS(BD!$A$3:$A$5001,AF$3,BD!$B$3:$B$5001,$A$92,BD!$X$3:$X$5001,"&lt;&gt;")=0,"",SUMIFS(BD!$X$3:$X$5001,BD!$A$3:$A$5001,AF$3,BD!$B$3:$B$5001,$A$92)))</f>
        <v/>
      </c>
      <c r="AG102" s="205" t="str">
        <f>IF(AG$3="","",IF(COUNTIFS(BD!$A$3:$A$5001,AG$3,BD!$B$3:$B$5001,$A$92,BD!$X$3:$X$5001,"&lt;&gt;")=0,"",SUMIFS(BD!$X$3:$X$5001,BD!$A$3:$A$5001,AG$3,BD!$B$3:$B$5001,$A$92)))</f>
        <v/>
      </c>
      <c r="AH102" s="205" t="str">
        <f>IF(AH$3="","",IF(COUNTIFS(BD!$A$3:$A$5001,AH$3,BD!$B$3:$B$5001,$A$92,BD!$X$3:$X$5001,"&lt;&gt;")=0,"",SUMIFS(BD!$X$3:$X$5001,BD!$A$3:$A$5001,AH$3,BD!$B$3:$B$5001,$A$92)))</f>
        <v/>
      </c>
      <c r="AI102" s="205" t="str">
        <f>IF(AI$3="","",IF(COUNTIFS(BD!$A$3:$A$5001,AI$3,BD!$B$3:$B$5001,$A$92,BD!$X$3:$X$5001,"&lt;&gt;")=0,"",SUMIFS(BD!$X$3:$X$5001,BD!$A$3:$A$5001,AI$3,BD!$B$3:$B$5001,$A$92)))</f>
        <v/>
      </c>
      <c r="AJ102" s="206" t="str">
        <f>IF(AJ$3="","",IF(COUNTIFS(BD!$A$3:$A$5001,AJ$3,BD!$B$3:$B$5001,$A$92,BD!$X$3:$X$5001,"&lt;&gt;")=0,"",SUMIFS(BD!$X$3:$X$5001,BD!$A$3:$A$5001,AJ$3,BD!$B$3:$B$5001,$A$92)))</f>
        <v/>
      </c>
      <c r="AK102" s="207" t="str">
        <f>IFERROR(LOOKUP(9.99E+307,F102:AJ102),"")</f>
        <v/>
      </c>
    </row>
    <row r="103" ht="15.75" customHeight="1">
      <c r="A103" s="244"/>
      <c r="B103" s="233"/>
      <c r="C103" s="162" t="inlineStr">
        <is>
          <t xml:space="preserve">Taxa de Ocupação</t>
        </is>
      </c>
      <c r="D103" s="208" t="str">
        <f>IFERROR(1/(1/INDEX(BD!$AJ$45:$BD$45,MATCH($A$92,BD!$AJ$22:$BD$22,0))),"")</f>
        <v/>
      </c>
      <c r="E103" s="164"/>
      <c r="F103" s="209" t="str">
        <f>IF(AND(ISNUMBER(F101),ISNUMBER(F102)),IF(F101&gt;0,F102/F101,""),"")</f>
        <v/>
      </c>
      <c r="G103" s="210" t="str">
        <f>IF(AND(ISNUMBER(G101),ISNUMBER(G102)),IF(G101&gt;0,G102/G101,""),"")</f>
        <v/>
      </c>
      <c r="H103" s="210" t="str">
        <f>IF(AND(ISNUMBER(H101),ISNUMBER(H102)),IF(H101&gt;0,H102/H101,""),"")</f>
        <v/>
      </c>
      <c r="I103" s="210" t="str">
        <f>IF(AND(ISNUMBER(I101),ISNUMBER(I102)),IF(I101&gt;0,I102/I101,""),"")</f>
        <v/>
      </c>
      <c r="J103" s="210" t="str">
        <f>IF(AND(ISNUMBER(J101),ISNUMBER(J102)),IF(J101&gt;0,J102/J101,""),"")</f>
        <v/>
      </c>
      <c r="K103" s="210" t="str">
        <f>IF(AND(ISNUMBER(K101),ISNUMBER(K102)),IF(K101&gt;0,K102/K101,""),"")</f>
        <v/>
      </c>
      <c r="L103" s="210" t="str">
        <f>IF(AND(ISNUMBER(L101),ISNUMBER(L102)),IF(L101&gt;0,L102/L101,""),"")</f>
        <v/>
      </c>
      <c r="M103" s="210" t="str">
        <f>IF(AND(ISNUMBER(M101),ISNUMBER(M102)),IF(M101&gt;0,M102/M101,""),"")</f>
        <v/>
      </c>
      <c r="N103" s="210" t="str">
        <f>IF(AND(ISNUMBER(N101),ISNUMBER(N102)),IF(N101&gt;0,N102/N101,""),"")</f>
        <v/>
      </c>
      <c r="O103" s="210" t="str">
        <f>IF(AND(ISNUMBER(O101),ISNUMBER(O102)),IF(O101&gt;0,O102/O101,""),"")</f>
        <v/>
      </c>
      <c r="P103" s="210" t="str">
        <f>IF(AND(ISNUMBER(P101),ISNUMBER(P102)),IF(P101&gt;0,P102/P101,""),"")</f>
        <v/>
      </c>
      <c r="Q103" s="210" t="str">
        <f>IF(AND(ISNUMBER(Q101),ISNUMBER(Q102)),IF(Q101&gt;0,Q102/Q101,""),"")</f>
        <v/>
      </c>
      <c r="R103" s="210" t="str">
        <f>IF(AND(ISNUMBER(R101),ISNUMBER(R102)),IF(R101&gt;0,R102/R101,""),"")</f>
        <v/>
      </c>
      <c r="S103" s="210" t="str">
        <f>IF(AND(ISNUMBER(S101),ISNUMBER(S102)),IF(S101&gt;0,S102/S101,""),"")</f>
        <v/>
      </c>
      <c r="T103" s="210" t="str">
        <f>IF(AND(ISNUMBER(T101),ISNUMBER(T102)),IF(T101&gt;0,T102/T101,""),"")</f>
        <v/>
      </c>
      <c r="U103" s="210" t="str">
        <f>IF(AND(ISNUMBER(U101),ISNUMBER(U102)),IF(U101&gt;0,U102/U101,""),"")</f>
        <v/>
      </c>
      <c r="V103" s="210" t="str">
        <f>IF(AND(ISNUMBER(V101),ISNUMBER(V102)),IF(V101&gt;0,V102/V101,""),"")</f>
        <v/>
      </c>
      <c r="W103" s="210" t="str">
        <f>IF(AND(ISNUMBER(W101),ISNUMBER(W102)),IF(W101&gt;0,W102/W101,""),"")</f>
        <v/>
      </c>
      <c r="X103" s="210" t="str">
        <f>IF(AND(ISNUMBER(X101),ISNUMBER(X102)),IF(X101&gt;0,X102/X101,""),"")</f>
        <v/>
      </c>
      <c r="Y103" s="210" t="str">
        <f>IF(AND(ISNUMBER(Y101),ISNUMBER(Y102)),IF(Y101&gt;0,Y102/Y101,""),"")</f>
        <v/>
      </c>
      <c r="Z103" s="210" t="str">
        <f>IF(AND(ISNUMBER(Z101),ISNUMBER(Z102)),IF(Z101&gt;0,Z102/Z101,""),"")</f>
        <v/>
      </c>
      <c r="AA103" s="210" t="str">
        <f>IF(AND(ISNUMBER(AA101),ISNUMBER(AA102)),IF(AA101&gt;0,AA102/AA101,""),"")</f>
        <v/>
      </c>
      <c r="AB103" s="210" t="str">
        <f>IF(AND(ISNUMBER(AB101),ISNUMBER(AB102)),IF(AB101&gt;0,AB102/AB101,""),"")</f>
        <v/>
      </c>
      <c r="AC103" s="210" t="str">
        <f>IF(AND(ISNUMBER(AC101),ISNUMBER(AC102)),IF(AC101&gt;0,AC102/AC101,""),"")</f>
        <v/>
      </c>
      <c r="AD103" s="210" t="str">
        <f>IF(AND(ISNUMBER(AD101),ISNUMBER(AD102)),IF(AD101&gt;0,AD102/AD101,""),"")</f>
        <v/>
      </c>
      <c r="AE103" s="210" t="str">
        <f>IF(AND(ISNUMBER(AE101),ISNUMBER(AE102)),IF(AE101&gt;0,AE102/AE101,""),"")</f>
        <v/>
      </c>
      <c r="AF103" s="210" t="str">
        <f>IF(AND(ISNUMBER(AF101),ISNUMBER(AF102)),IF(AF101&gt;0,AF102/AF101,""),"")</f>
        <v/>
      </c>
      <c r="AG103" s="210" t="str">
        <f>IF(AND(ISNUMBER(AG101),ISNUMBER(AG102)),IF(AG101&gt;0,AG102/AG101,""),"")</f>
        <v/>
      </c>
      <c r="AH103" s="210" t="str">
        <f>IF(AND(ISNUMBER(AH101),ISNUMBER(AH102)),IF(AH101&gt;0,AH102/AH101,""),"")</f>
        <v/>
      </c>
      <c r="AI103" s="210" t="str">
        <f>IF(AND(ISNUMBER(AI101),ISNUMBER(AI102)),IF(AI101&gt;0,AI102/AI101,""),"")</f>
        <v/>
      </c>
      <c r="AJ103" s="211" t="str">
        <f>IF(AND(ISNUMBER(AJ101),ISNUMBER(AJ102)),IF(AJ101&gt;0,AJ102/AJ101,""),"")</f>
        <v/>
      </c>
      <c r="AK103" s="208" t="str">
        <f>IF(AND(ISNUMBER(AK101),ISNUMBER(AK102)),IF(AK101&gt;0,AK102/AK101,""),"")</f>
        <v/>
      </c>
    </row>
    <row r="104" ht="15.75" customHeight="1">
      <c r="A104" s="244"/>
      <c r="B104" s="240" t="inlineStr">
        <is>
          <t xml:space="preserve">GENTE</t>
        </is>
      </c>
      <c r="C104" s="212" t="inlineStr">
        <is>
          <t xml:space="preserve">Efetivo Op.</t>
        </is>
      </c>
      <c r="D104" s="213" t="str">
        <f>IFERROR(1/(1/INDEX(BD!$AJ$46:$BD$46,MATCH($A$92,BD!$AJ$22:$BD$22,0))),"")</f>
        <v/>
      </c>
      <c r="E104" s="214"/>
      <c r="F104" s="215" t="str">
        <f>IF(F$3="","",IF(COUNTIFS(BD!$A$3:$A$5001,F$3,BD!$B$3:$B$5001,$A$92,BD!$Y$3:$Y$5001,"&lt;&gt;")=0,"",SUMIFS(BD!$Y$3:$Y$5001,BD!$A$3:$A$5001,F$3,BD!$B$3:$B$5001,$A$92)))</f>
        <v/>
      </c>
      <c r="G104" s="216" t="str">
        <f>IF(G$3="","",IF(COUNTIFS(BD!$A$3:$A$5001,G$3,BD!$B$3:$B$5001,$A$92,BD!$Y$3:$Y$5001,"&lt;&gt;")=0,"",SUMIFS(BD!$Y$3:$Y$5001,BD!$A$3:$A$5001,G$3,BD!$B$3:$B$5001,$A$92)))</f>
        <v/>
      </c>
      <c r="H104" s="216" t="str">
        <f>IF(H$3="","",IF(COUNTIFS(BD!$A$3:$A$5001,H$3,BD!$B$3:$B$5001,$A$92,BD!$Y$3:$Y$5001,"&lt;&gt;")=0,"",SUMIFS(BD!$Y$3:$Y$5001,BD!$A$3:$A$5001,H$3,BD!$B$3:$B$5001,$A$92)))</f>
        <v/>
      </c>
      <c r="I104" s="216" t="str">
        <f>IF(I$3="","",IF(COUNTIFS(BD!$A$3:$A$5001,I$3,BD!$B$3:$B$5001,$A$92,BD!$Y$3:$Y$5001,"&lt;&gt;")=0,"",SUMIFS(BD!$Y$3:$Y$5001,BD!$A$3:$A$5001,I$3,BD!$B$3:$B$5001,$A$92)))</f>
        <v/>
      </c>
      <c r="J104" s="216" t="str">
        <f>IF(J$3="","",IF(COUNTIFS(BD!$A$3:$A$5001,J$3,BD!$B$3:$B$5001,$A$92,BD!$Y$3:$Y$5001,"&lt;&gt;")=0,"",SUMIFS(BD!$Y$3:$Y$5001,BD!$A$3:$A$5001,J$3,BD!$B$3:$B$5001,$A$92)))</f>
        <v/>
      </c>
      <c r="K104" s="216" t="str">
        <f>IF(K$3="","",IF(COUNTIFS(BD!$A$3:$A$5001,K$3,BD!$B$3:$B$5001,$A$92,BD!$Y$3:$Y$5001,"&lt;&gt;")=0,"",SUMIFS(BD!$Y$3:$Y$5001,BD!$A$3:$A$5001,K$3,BD!$B$3:$B$5001,$A$92)))</f>
        <v/>
      </c>
      <c r="L104" s="216" t="str">
        <f>IF(L$3="","",IF(COUNTIFS(BD!$A$3:$A$5001,L$3,BD!$B$3:$B$5001,$A$92,BD!$Y$3:$Y$5001,"&lt;&gt;")=0,"",SUMIFS(BD!$Y$3:$Y$5001,BD!$A$3:$A$5001,L$3,BD!$B$3:$B$5001,$A$92)))</f>
        <v/>
      </c>
      <c r="M104" s="216" t="str">
        <f>IF(M$3="","",IF(COUNTIFS(BD!$A$3:$A$5001,M$3,BD!$B$3:$B$5001,$A$92,BD!$Y$3:$Y$5001,"&lt;&gt;")=0,"",SUMIFS(BD!$Y$3:$Y$5001,BD!$A$3:$A$5001,M$3,BD!$B$3:$B$5001,$A$92)))</f>
        <v/>
      </c>
      <c r="N104" s="216" t="str">
        <f>IF(N$3="","",IF(COUNTIFS(BD!$A$3:$A$5001,N$3,BD!$B$3:$B$5001,$A$92,BD!$Y$3:$Y$5001,"&lt;&gt;")=0,"",SUMIFS(BD!$Y$3:$Y$5001,BD!$A$3:$A$5001,N$3,BD!$B$3:$B$5001,$A$92)))</f>
        <v/>
      </c>
      <c r="O104" s="216" t="str">
        <f>IF(O$3="","",IF(COUNTIFS(BD!$A$3:$A$5001,O$3,BD!$B$3:$B$5001,$A$92,BD!$Y$3:$Y$5001,"&lt;&gt;")=0,"",SUMIFS(BD!$Y$3:$Y$5001,BD!$A$3:$A$5001,O$3,BD!$B$3:$B$5001,$A$92)))</f>
        <v/>
      </c>
      <c r="P104" s="216" t="str">
        <f>IF(P$3="","",IF(COUNTIFS(BD!$A$3:$A$5001,P$3,BD!$B$3:$B$5001,$A$92,BD!$Y$3:$Y$5001,"&lt;&gt;")=0,"",SUMIFS(BD!$Y$3:$Y$5001,BD!$A$3:$A$5001,P$3,BD!$B$3:$B$5001,$A$92)))</f>
        <v/>
      </c>
      <c r="Q104" s="216" t="str">
        <f>IF(Q$3="","",IF(COUNTIFS(BD!$A$3:$A$5001,Q$3,BD!$B$3:$B$5001,$A$92,BD!$Y$3:$Y$5001,"&lt;&gt;")=0,"",SUMIFS(BD!$Y$3:$Y$5001,BD!$A$3:$A$5001,Q$3,BD!$B$3:$B$5001,$A$92)))</f>
        <v/>
      </c>
      <c r="R104" s="216" t="str">
        <f>IF(R$3="","",IF(COUNTIFS(BD!$A$3:$A$5001,R$3,BD!$B$3:$B$5001,$A$92,BD!$Y$3:$Y$5001,"&lt;&gt;")=0,"",SUMIFS(BD!$Y$3:$Y$5001,BD!$A$3:$A$5001,R$3,BD!$B$3:$B$5001,$A$92)))</f>
        <v/>
      </c>
      <c r="S104" s="216" t="str">
        <f>IF(S$3="","",IF(COUNTIFS(BD!$A$3:$A$5001,S$3,BD!$B$3:$B$5001,$A$92,BD!$Y$3:$Y$5001,"&lt;&gt;")=0,"",SUMIFS(BD!$Y$3:$Y$5001,BD!$A$3:$A$5001,S$3,BD!$B$3:$B$5001,$A$92)))</f>
        <v/>
      </c>
      <c r="T104" s="216" t="str">
        <f>IF(T$3="","",IF(COUNTIFS(BD!$A$3:$A$5001,T$3,BD!$B$3:$B$5001,$A$92,BD!$Y$3:$Y$5001,"&lt;&gt;")=0,"",SUMIFS(BD!$Y$3:$Y$5001,BD!$A$3:$A$5001,T$3,BD!$B$3:$B$5001,$A$92)))</f>
        <v/>
      </c>
      <c r="U104" s="216" t="str">
        <f>IF(U$3="","",IF(COUNTIFS(BD!$A$3:$A$5001,U$3,BD!$B$3:$B$5001,$A$92,BD!$Y$3:$Y$5001,"&lt;&gt;")=0,"",SUMIFS(BD!$Y$3:$Y$5001,BD!$A$3:$A$5001,U$3,BD!$B$3:$B$5001,$A$92)))</f>
        <v/>
      </c>
      <c r="V104" s="216" t="str">
        <f>IF(V$3="","",IF(COUNTIFS(BD!$A$3:$A$5001,V$3,BD!$B$3:$B$5001,$A$92,BD!$Y$3:$Y$5001,"&lt;&gt;")=0,"",SUMIFS(BD!$Y$3:$Y$5001,BD!$A$3:$A$5001,V$3,BD!$B$3:$B$5001,$A$92)))</f>
        <v/>
      </c>
      <c r="W104" s="216" t="str">
        <f>IF(W$3="","",IF(COUNTIFS(BD!$A$3:$A$5001,W$3,BD!$B$3:$B$5001,$A$92,BD!$Y$3:$Y$5001,"&lt;&gt;")=0,"",SUMIFS(BD!$Y$3:$Y$5001,BD!$A$3:$A$5001,W$3,BD!$B$3:$B$5001,$A$92)))</f>
        <v/>
      </c>
      <c r="X104" s="216" t="str">
        <f>IF(X$3="","",IF(COUNTIFS(BD!$A$3:$A$5001,X$3,BD!$B$3:$B$5001,$A$92,BD!$Y$3:$Y$5001,"&lt;&gt;")=0,"",SUMIFS(BD!$Y$3:$Y$5001,BD!$A$3:$A$5001,X$3,BD!$B$3:$B$5001,$A$92)))</f>
        <v/>
      </c>
      <c r="Y104" s="216" t="str">
        <f>IF(Y$3="","",IF(COUNTIFS(BD!$A$3:$A$5001,Y$3,BD!$B$3:$B$5001,$A$92,BD!$Y$3:$Y$5001,"&lt;&gt;")=0,"",SUMIFS(BD!$Y$3:$Y$5001,BD!$A$3:$A$5001,Y$3,BD!$B$3:$B$5001,$A$92)))</f>
        <v/>
      </c>
      <c r="Z104" s="216" t="str">
        <f>IF(Z$3="","",IF(COUNTIFS(BD!$A$3:$A$5001,Z$3,BD!$B$3:$B$5001,$A$92,BD!$Y$3:$Y$5001,"&lt;&gt;")=0,"",SUMIFS(BD!$Y$3:$Y$5001,BD!$A$3:$A$5001,Z$3,BD!$B$3:$B$5001,$A$92)))</f>
        <v/>
      </c>
      <c r="AA104" s="216" t="str">
        <f>IF(AA$3="","",IF(COUNTIFS(BD!$A$3:$A$5001,AA$3,BD!$B$3:$B$5001,$A$92,BD!$Y$3:$Y$5001,"&lt;&gt;")=0,"",SUMIFS(BD!$Y$3:$Y$5001,BD!$A$3:$A$5001,AA$3,BD!$B$3:$B$5001,$A$92)))</f>
        <v/>
      </c>
      <c r="AB104" s="216" t="str">
        <f>IF(AB$3="","",IF(COUNTIFS(BD!$A$3:$A$5001,AB$3,BD!$B$3:$B$5001,$A$92,BD!$Y$3:$Y$5001,"&lt;&gt;")=0,"",SUMIFS(BD!$Y$3:$Y$5001,BD!$A$3:$A$5001,AB$3,BD!$B$3:$B$5001,$A$92)))</f>
        <v/>
      </c>
      <c r="AC104" s="216" t="str">
        <f>IF(AC$3="","",IF(COUNTIFS(BD!$A$3:$A$5001,AC$3,BD!$B$3:$B$5001,$A$92,BD!$Y$3:$Y$5001,"&lt;&gt;")=0,"",SUMIFS(BD!$Y$3:$Y$5001,BD!$A$3:$A$5001,AC$3,BD!$B$3:$B$5001,$A$92)))</f>
        <v/>
      </c>
      <c r="AD104" s="216" t="str">
        <f>IF(AD$3="","",IF(COUNTIFS(BD!$A$3:$A$5001,AD$3,BD!$B$3:$B$5001,$A$92,BD!$Y$3:$Y$5001,"&lt;&gt;")=0,"",SUMIFS(BD!$Y$3:$Y$5001,BD!$A$3:$A$5001,AD$3,BD!$B$3:$B$5001,$A$92)))</f>
        <v/>
      </c>
      <c r="AE104" s="216" t="str">
        <f>IF(AE$3="","",IF(COUNTIFS(BD!$A$3:$A$5001,AE$3,BD!$B$3:$B$5001,$A$92,BD!$Y$3:$Y$5001,"&lt;&gt;")=0,"",SUMIFS(BD!$Y$3:$Y$5001,BD!$A$3:$A$5001,AE$3,BD!$B$3:$B$5001,$A$92)))</f>
        <v/>
      </c>
      <c r="AF104" s="216" t="str">
        <f>IF(AF$3="","",IF(COUNTIFS(BD!$A$3:$A$5001,AF$3,BD!$B$3:$B$5001,$A$92,BD!$Y$3:$Y$5001,"&lt;&gt;")=0,"",SUMIFS(BD!$Y$3:$Y$5001,BD!$A$3:$A$5001,AF$3,BD!$B$3:$B$5001,$A$92)))</f>
        <v/>
      </c>
      <c r="AG104" s="216" t="str">
        <f>IF(AG$3="","",IF(COUNTIFS(BD!$A$3:$A$5001,AG$3,BD!$B$3:$B$5001,$A$92,BD!$Y$3:$Y$5001,"&lt;&gt;")=0,"",SUMIFS(BD!$Y$3:$Y$5001,BD!$A$3:$A$5001,AG$3,BD!$B$3:$B$5001,$A$92)))</f>
        <v/>
      </c>
      <c r="AH104" s="216" t="str">
        <f>IF(AH$3="","",IF(COUNTIFS(BD!$A$3:$A$5001,AH$3,BD!$B$3:$B$5001,$A$92,BD!$Y$3:$Y$5001,"&lt;&gt;")=0,"",SUMIFS(BD!$Y$3:$Y$5001,BD!$A$3:$A$5001,AH$3,BD!$B$3:$B$5001,$A$92)))</f>
        <v/>
      </c>
      <c r="AI104" s="216" t="str">
        <f>IF(AI$3="","",IF(COUNTIFS(BD!$A$3:$A$5001,AI$3,BD!$B$3:$B$5001,$A$92,BD!$Y$3:$Y$5001,"&lt;&gt;")=0,"",SUMIFS(BD!$Y$3:$Y$5001,BD!$A$3:$A$5001,AI$3,BD!$B$3:$B$5001,$A$92)))</f>
        <v/>
      </c>
      <c r="AJ104" s="217" t="str">
        <f>IF(AJ$3="","",IF(COUNTIFS(BD!$A$3:$A$5001,AJ$3,BD!$B$3:$B$5001,$A$92,BD!$Y$3:$Y$5001,"&lt;&gt;")=0,"",SUMIFS(BD!$Y$3:$Y$5001,BD!$A$3:$A$5001,AJ$3,BD!$B$3:$B$5001,$A$92)))</f>
        <v/>
      </c>
      <c r="AK104" s="218" t="str">
        <f>IFERROR(LOOKUP(9.99E+307,F104:AJ104),"")</f>
        <v/>
      </c>
    </row>
    <row r="105" ht="15.75" customHeight="1">
      <c r="A105" s="244"/>
      <c r="B105" s="241"/>
      <c r="C105" s="219" t="inlineStr">
        <is>
          <t xml:space="preserve">Falta</t>
        </is>
      </c>
      <c r="D105" s="220" t="str">
        <f>IFERROR(1/(1/INDEX(BD!$AJ$47:$BD$47,MATCH($A$92,BD!$AJ$22:$BD$22,0))),"")</f>
        <v/>
      </c>
      <c r="E105" s="221"/>
      <c r="F105" s="222" t="str">
        <f>IF(F$3="","",IF(COUNTIFS(BD!$A$3:$A$5001,F$3,BD!$B$3:$B$5001,$A$92,BD!$Z$3:$Z$5001,"&lt;&gt;")=0,"",SUMIFS(BD!$Z$3:$Z$5001,BD!$A$3:$A$5001,F$3,BD!$B$3:$B$5001,$A$92)))</f>
        <v/>
      </c>
      <c r="G105" s="223" t="str">
        <f>IF(G$3="","",IF(COUNTIFS(BD!$A$3:$A$5001,G$3,BD!$B$3:$B$5001,$A$92,BD!$Z$3:$Z$5001,"&lt;&gt;")=0,"",SUMIFS(BD!$Z$3:$Z$5001,BD!$A$3:$A$5001,G$3,BD!$B$3:$B$5001,$A$92)))</f>
        <v/>
      </c>
      <c r="H105" s="223" t="str">
        <f>IF(H$3="","",IF(COUNTIFS(BD!$A$3:$A$5001,H$3,BD!$B$3:$B$5001,$A$92,BD!$Z$3:$Z$5001,"&lt;&gt;")=0,"",SUMIFS(BD!$Z$3:$Z$5001,BD!$A$3:$A$5001,H$3,BD!$B$3:$B$5001,$A$92)))</f>
        <v/>
      </c>
      <c r="I105" s="223" t="str">
        <f>IF(I$3="","",IF(COUNTIFS(BD!$A$3:$A$5001,I$3,BD!$B$3:$B$5001,$A$92,BD!$Z$3:$Z$5001,"&lt;&gt;")=0,"",SUMIFS(BD!$Z$3:$Z$5001,BD!$A$3:$A$5001,I$3,BD!$B$3:$B$5001,$A$92)))</f>
        <v/>
      </c>
      <c r="J105" s="223" t="str">
        <f>IF(J$3="","",IF(COUNTIFS(BD!$A$3:$A$5001,J$3,BD!$B$3:$B$5001,$A$92,BD!$Z$3:$Z$5001,"&lt;&gt;")=0,"",SUMIFS(BD!$Z$3:$Z$5001,BD!$A$3:$A$5001,J$3,BD!$B$3:$B$5001,$A$92)))</f>
        <v/>
      </c>
      <c r="K105" s="223" t="str">
        <f>IF(K$3="","",IF(COUNTIFS(BD!$A$3:$A$5001,K$3,BD!$B$3:$B$5001,$A$92,BD!$Z$3:$Z$5001,"&lt;&gt;")=0,"",SUMIFS(BD!$Z$3:$Z$5001,BD!$A$3:$A$5001,K$3,BD!$B$3:$B$5001,$A$92)))</f>
        <v/>
      </c>
      <c r="L105" s="223" t="str">
        <f>IF(L$3="","",IF(COUNTIFS(BD!$A$3:$A$5001,L$3,BD!$B$3:$B$5001,$A$92,BD!$Z$3:$Z$5001,"&lt;&gt;")=0,"",SUMIFS(BD!$Z$3:$Z$5001,BD!$A$3:$A$5001,L$3,BD!$B$3:$B$5001,$A$92)))</f>
        <v/>
      </c>
      <c r="M105" s="223" t="str">
        <f>IF(M$3="","",IF(COUNTIFS(BD!$A$3:$A$5001,M$3,BD!$B$3:$B$5001,$A$92,BD!$Z$3:$Z$5001,"&lt;&gt;")=0,"",SUMIFS(BD!$Z$3:$Z$5001,BD!$A$3:$A$5001,M$3,BD!$B$3:$B$5001,$A$92)))</f>
        <v/>
      </c>
      <c r="N105" s="223" t="str">
        <f>IF(N$3="","",IF(COUNTIFS(BD!$A$3:$A$5001,N$3,BD!$B$3:$B$5001,$A$92,BD!$Z$3:$Z$5001,"&lt;&gt;")=0,"",SUMIFS(BD!$Z$3:$Z$5001,BD!$A$3:$A$5001,N$3,BD!$B$3:$B$5001,$A$92)))</f>
        <v/>
      </c>
      <c r="O105" s="223" t="str">
        <f>IF(O$3="","",IF(COUNTIFS(BD!$A$3:$A$5001,O$3,BD!$B$3:$B$5001,$A$92,BD!$Z$3:$Z$5001,"&lt;&gt;")=0,"",SUMIFS(BD!$Z$3:$Z$5001,BD!$A$3:$A$5001,O$3,BD!$B$3:$B$5001,$A$92)))</f>
        <v/>
      </c>
      <c r="P105" s="223" t="str">
        <f>IF(P$3="","",IF(COUNTIFS(BD!$A$3:$A$5001,P$3,BD!$B$3:$B$5001,$A$92,BD!$Z$3:$Z$5001,"&lt;&gt;")=0,"",SUMIFS(BD!$Z$3:$Z$5001,BD!$A$3:$A$5001,P$3,BD!$B$3:$B$5001,$A$92)))</f>
        <v/>
      </c>
      <c r="Q105" s="223" t="str">
        <f>IF(Q$3="","",IF(COUNTIFS(BD!$A$3:$A$5001,Q$3,BD!$B$3:$B$5001,$A$92,BD!$Z$3:$Z$5001,"&lt;&gt;")=0,"",SUMIFS(BD!$Z$3:$Z$5001,BD!$A$3:$A$5001,Q$3,BD!$B$3:$B$5001,$A$92)))</f>
        <v/>
      </c>
      <c r="R105" s="223" t="str">
        <f>IF(R$3="","",IF(COUNTIFS(BD!$A$3:$A$5001,R$3,BD!$B$3:$B$5001,$A$92,BD!$Z$3:$Z$5001,"&lt;&gt;")=0,"",SUMIFS(BD!$Z$3:$Z$5001,BD!$A$3:$A$5001,R$3,BD!$B$3:$B$5001,$A$92)))</f>
        <v/>
      </c>
      <c r="S105" s="223" t="str">
        <f>IF(S$3="","",IF(COUNTIFS(BD!$A$3:$A$5001,S$3,BD!$B$3:$B$5001,$A$92,BD!$Z$3:$Z$5001,"&lt;&gt;")=0,"",SUMIFS(BD!$Z$3:$Z$5001,BD!$A$3:$A$5001,S$3,BD!$B$3:$B$5001,$A$92)))</f>
        <v/>
      </c>
      <c r="T105" s="223" t="str">
        <f>IF(T$3="","",IF(COUNTIFS(BD!$A$3:$A$5001,T$3,BD!$B$3:$B$5001,$A$92,BD!$Z$3:$Z$5001,"&lt;&gt;")=0,"",SUMIFS(BD!$Z$3:$Z$5001,BD!$A$3:$A$5001,T$3,BD!$B$3:$B$5001,$A$92)))</f>
        <v/>
      </c>
      <c r="U105" s="223" t="str">
        <f>IF(U$3="","",IF(COUNTIFS(BD!$A$3:$A$5001,U$3,BD!$B$3:$B$5001,$A$92,BD!$Z$3:$Z$5001,"&lt;&gt;")=0,"",SUMIFS(BD!$Z$3:$Z$5001,BD!$A$3:$A$5001,U$3,BD!$B$3:$B$5001,$A$92)))</f>
        <v/>
      </c>
      <c r="V105" s="223" t="str">
        <f>IF(V$3="","",IF(COUNTIFS(BD!$A$3:$A$5001,V$3,BD!$B$3:$B$5001,$A$92,BD!$Z$3:$Z$5001,"&lt;&gt;")=0,"",SUMIFS(BD!$Z$3:$Z$5001,BD!$A$3:$A$5001,V$3,BD!$B$3:$B$5001,$A$92)))</f>
        <v/>
      </c>
      <c r="W105" s="223" t="str">
        <f>IF(W$3="","",IF(COUNTIFS(BD!$A$3:$A$5001,W$3,BD!$B$3:$B$5001,$A$92,BD!$Z$3:$Z$5001,"&lt;&gt;")=0,"",SUMIFS(BD!$Z$3:$Z$5001,BD!$A$3:$A$5001,W$3,BD!$B$3:$B$5001,$A$92)))</f>
        <v/>
      </c>
      <c r="X105" s="223" t="str">
        <f>IF(X$3="","",IF(COUNTIFS(BD!$A$3:$A$5001,X$3,BD!$B$3:$B$5001,$A$92,BD!$Z$3:$Z$5001,"&lt;&gt;")=0,"",SUMIFS(BD!$Z$3:$Z$5001,BD!$A$3:$A$5001,X$3,BD!$B$3:$B$5001,$A$92)))</f>
        <v/>
      </c>
      <c r="Y105" s="223" t="str">
        <f>IF(Y$3="","",IF(COUNTIFS(BD!$A$3:$A$5001,Y$3,BD!$B$3:$B$5001,$A$92,BD!$Z$3:$Z$5001,"&lt;&gt;")=0,"",SUMIFS(BD!$Z$3:$Z$5001,BD!$A$3:$A$5001,Y$3,BD!$B$3:$B$5001,$A$92)))</f>
        <v/>
      </c>
      <c r="Z105" s="223" t="str">
        <f>IF(Z$3="","",IF(COUNTIFS(BD!$A$3:$A$5001,Z$3,BD!$B$3:$B$5001,$A$92,BD!$Z$3:$Z$5001,"&lt;&gt;")=0,"",SUMIFS(BD!$Z$3:$Z$5001,BD!$A$3:$A$5001,Z$3,BD!$B$3:$B$5001,$A$92)))</f>
        <v/>
      </c>
      <c r="AA105" s="223" t="str">
        <f>IF(AA$3="","",IF(COUNTIFS(BD!$A$3:$A$5001,AA$3,BD!$B$3:$B$5001,$A$92,BD!$Z$3:$Z$5001,"&lt;&gt;")=0,"",SUMIFS(BD!$Z$3:$Z$5001,BD!$A$3:$A$5001,AA$3,BD!$B$3:$B$5001,$A$92)))</f>
        <v/>
      </c>
      <c r="AB105" s="223" t="str">
        <f>IF(AB$3="","",IF(COUNTIFS(BD!$A$3:$A$5001,AB$3,BD!$B$3:$B$5001,$A$92,BD!$Z$3:$Z$5001,"&lt;&gt;")=0,"",SUMIFS(BD!$Z$3:$Z$5001,BD!$A$3:$A$5001,AB$3,BD!$B$3:$B$5001,$A$92)))</f>
        <v/>
      </c>
      <c r="AC105" s="223" t="str">
        <f>IF(AC$3="","",IF(COUNTIFS(BD!$A$3:$A$5001,AC$3,BD!$B$3:$B$5001,$A$92,BD!$Z$3:$Z$5001,"&lt;&gt;")=0,"",SUMIFS(BD!$Z$3:$Z$5001,BD!$A$3:$A$5001,AC$3,BD!$B$3:$B$5001,$A$92)))</f>
        <v/>
      </c>
      <c r="AD105" s="223" t="str">
        <f>IF(AD$3="","",IF(COUNTIFS(BD!$A$3:$A$5001,AD$3,BD!$B$3:$B$5001,$A$92,BD!$Z$3:$Z$5001,"&lt;&gt;")=0,"",SUMIFS(BD!$Z$3:$Z$5001,BD!$A$3:$A$5001,AD$3,BD!$B$3:$B$5001,$A$92)))</f>
        <v/>
      </c>
      <c r="AE105" s="223" t="str">
        <f>IF(AE$3="","",IF(COUNTIFS(BD!$A$3:$A$5001,AE$3,BD!$B$3:$B$5001,$A$92,BD!$Z$3:$Z$5001,"&lt;&gt;")=0,"",SUMIFS(BD!$Z$3:$Z$5001,BD!$A$3:$A$5001,AE$3,BD!$B$3:$B$5001,$A$92)))</f>
        <v/>
      </c>
      <c r="AF105" s="223" t="str">
        <f>IF(AF$3="","",IF(COUNTIFS(BD!$A$3:$A$5001,AF$3,BD!$B$3:$B$5001,$A$92,BD!$Z$3:$Z$5001,"&lt;&gt;")=0,"",SUMIFS(BD!$Z$3:$Z$5001,BD!$A$3:$A$5001,AF$3,BD!$B$3:$B$5001,$A$92)))</f>
        <v/>
      </c>
      <c r="AG105" s="223" t="str">
        <f>IF(AG$3="","",IF(COUNTIFS(BD!$A$3:$A$5001,AG$3,BD!$B$3:$B$5001,$A$92,BD!$Z$3:$Z$5001,"&lt;&gt;")=0,"",SUMIFS(BD!$Z$3:$Z$5001,BD!$A$3:$A$5001,AG$3,BD!$B$3:$B$5001,$A$92)))</f>
        <v/>
      </c>
      <c r="AH105" s="223" t="str">
        <f>IF(AH$3="","",IF(COUNTIFS(BD!$A$3:$A$5001,AH$3,BD!$B$3:$B$5001,$A$92,BD!$Z$3:$Z$5001,"&lt;&gt;")=0,"",SUMIFS(BD!$Z$3:$Z$5001,BD!$A$3:$A$5001,AH$3,BD!$B$3:$B$5001,$A$92)))</f>
        <v/>
      </c>
      <c r="AI105" s="223" t="str">
        <f>IF(AI$3="","",IF(COUNTIFS(BD!$A$3:$A$5001,AI$3,BD!$B$3:$B$5001,$A$92,BD!$Z$3:$Z$5001,"&lt;&gt;")=0,"",SUMIFS(BD!$Z$3:$Z$5001,BD!$A$3:$A$5001,AI$3,BD!$B$3:$B$5001,$A$92)))</f>
        <v/>
      </c>
      <c r="AJ105" s="224" t="str">
        <f>IF(AJ$3="","",IF(COUNTIFS(BD!$A$3:$A$5001,AJ$3,BD!$B$3:$B$5001,$A$92,BD!$Z$3:$Z$5001,"&lt;&gt;")=0,"",SUMIFS(BD!$Z$3:$Z$5001,BD!$A$3:$A$5001,AJ$3,BD!$B$3:$B$5001,$A$92)))</f>
        <v/>
      </c>
      <c r="AK105" s="225" t="str">
        <f>IF(COUNT(F105:AJ105)=0,"",SUM(F105:AJ105))</f>
        <v/>
      </c>
    </row>
    <row r="106" ht="15.75" customHeight="1">
      <c r="A106" s="244"/>
      <c r="B106" s="241"/>
      <c r="C106" s="219" t="inlineStr">
        <is>
          <t xml:space="preserve">Folga</t>
        </is>
      </c>
      <c r="D106" s="220" t="str">
        <f>IFERROR(1/(1/INDEX(BD!$AJ$48:$BD$48,MATCH($A$92,BD!$AJ$22:$BD$22,0))),"")</f>
        <v/>
      </c>
      <c r="E106" s="221"/>
      <c r="F106" s="222" t="str">
        <f>IF(F$3="","",IF(COUNTIFS(BD!$A$3:$A$5001,F$3,BD!$B$3:$B$5001,$A$92,BD!$AA$3:$AA$5001,"&lt;&gt;")=0,"",SUMIFS(BD!$AA$3:$AA$5001,BD!$A$3:$A$5001,F$3,BD!$B$3:$B$5001,$A$92)))</f>
        <v/>
      </c>
      <c r="G106" s="223" t="str">
        <f>IF(G$3="","",IF(COUNTIFS(BD!$A$3:$A$5001,G$3,BD!$B$3:$B$5001,$A$92,BD!$AA$3:$AA$5001,"&lt;&gt;")=0,"",SUMIFS(BD!$AA$3:$AA$5001,BD!$A$3:$A$5001,G$3,BD!$B$3:$B$5001,$A$92)))</f>
        <v/>
      </c>
      <c r="H106" s="223" t="str">
        <f>IF(H$3="","",IF(COUNTIFS(BD!$A$3:$A$5001,H$3,BD!$B$3:$B$5001,$A$92,BD!$AA$3:$AA$5001,"&lt;&gt;")=0,"",SUMIFS(BD!$AA$3:$AA$5001,BD!$A$3:$A$5001,H$3,BD!$B$3:$B$5001,$A$92)))</f>
        <v/>
      </c>
      <c r="I106" s="223" t="str">
        <f>IF(I$3="","",IF(COUNTIFS(BD!$A$3:$A$5001,I$3,BD!$B$3:$B$5001,$A$92,BD!$AA$3:$AA$5001,"&lt;&gt;")=0,"",SUMIFS(BD!$AA$3:$AA$5001,BD!$A$3:$A$5001,I$3,BD!$B$3:$B$5001,$A$92)))</f>
        <v/>
      </c>
      <c r="J106" s="223" t="str">
        <f>IF(J$3="","",IF(COUNTIFS(BD!$A$3:$A$5001,J$3,BD!$B$3:$B$5001,$A$92,BD!$AA$3:$AA$5001,"&lt;&gt;")=0,"",SUMIFS(BD!$AA$3:$AA$5001,BD!$A$3:$A$5001,J$3,BD!$B$3:$B$5001,$A$92)))</f>
        <v/>
      </c>
      <c r="K106" s="223" t="str">
        <f>IF(K$3="","",IF(COUNTIFS(BD!$A$3:$A$5001,K$3,BD!$B$3:$B$5001,$A$92,BD!$AA$3:$AA$5001,"&lt;&gt;")=0,"",SUMIFS(BD!$AA$3:$AA$5001,BD!$A$3:$A$5001,K$3,BD!$B$3:$B$5001,$A$92)))</f>
        <v/>
      </c>
      <c r="L106" s="223" t="str">
        <f>IF(L$3="","",IF(COUNTIFS(BD!$A$3:$A$5001,L$3,BD!$B$3:$B$5001,$A$92,BD!$AA$3:$AA$5001,"&lt;&gt;")=0,"",SUMIFS(BD!$AA$3:$AA$5001,BD!$A$3:$A$5001,L$3,BD!$B$3:$B$5001,$A$92)))</f>
        <v/>
      </c>
      <c r="M106" s="223" t="str">
        <f>IF(M$3="","",IF(COUNTIFS(BD!$A$3:$A$5001,M$3,BD!$B$3:$B$5001,$A$92,BD!$AA$3:$AA$5001,"&lt;&gt;")=0,"",SUMIFS(BD!$AA$3:$AA$5001,BD!$A$3:$A$5001,M$3,BD!$B$3:$B$5001,$A$92)))</f>
        <v/>
      </c>
      <c r="N106" s="223" t="str">
        <f>IF(N$3="","",IF(COUNTIFS(BD!$A$3:$A$5001,N$3,BD!$B$3:$B$5001,$A$92,BD!$AA$3:$AA$5001,"&lt;&gt;")=0,"",SUMIFS(BD!$AA$3:$AA$5001,BD!$A$3:$A$5001,N$3,BD!$B$3:$B$5001,$A$92)))</f>
        <v/>
      </c>
      <c r="O106" s="223" t="str">
        <f>IF(O$3="","",IF(COUNTIFS(BD!$A$3:$A$5001,O$3,BD!$B$3:$B$5001,$A$92,BD!$AA$3:$AA$5001,"&lt;&gt;")=0,"",SUMIFS(BD!$AA$3:$AA$5001,BD!$A$3:$A$5001,O$3,BD!$B$3:$B$5001,$A$92)))</f>
        <v/>
      </c>
      <c r="P106" s="223" t="str">
        <f>IF(P$3="","",IF(COUNTIFS(BD!$A$3:$A$5001,P$3,BD!$B$3:$B$5001,$A$92,BD!$AA$3:$AA$5001,"&lt;&gt;")=0,"",SUMIFS(BD!$AA$3:$AA$5001,BD!$A$3:$A$5001,P$3,BD!$B$3:$B$5001,$A$92)))</f>
        <v/>
      </c>
      <c r="Q106" s="223" t="str">
        <f>IF(Q$3="","",IF(COUNTIFS(BD!$A$3:$A$5001,Q$3,BD!$B$3:$B$5001,$A$92,BD!$AA$3:$AA$5001,"&lt;&gt;")=0,"",SUMIFS(BD!$AA$3:$AA$5001,BD!$A$3:$A$5001,Q$3,BD!$B$3:$B$5001,$A$92)))</f>
        <v/>
      </c>
      <c r="R106" s="223" t="str">
        <f>IF(R$3="","",IF(COUNTIFS(BD!$A$3:$A$5001,R$3,BD!$B$3:$B$5001,$A$92,BD!$AA$3:$AA$5001,"&lt;&gt;")=0,"",SUMIFS(BD!$AA$3:$AA$5001,BD!$A$3:$A$5001,R$3,BD!$B$3:$B$5001,$A$92)))</f>
        <v/>
      </c>
      <c r="S106" s="223" t="str">
        <f>IF(S$3="","",IF(COUNTIFS(BD!$A$3:$A$5001,S$3,BD!$B$3:$B$5001,$A$92,BD!$AA$3:$AA$5001,"&lt;&gt;")=0,"",SUMIFS(BD!$AA$3:$AA$5001,BD!$A$3:$A$5001,S$3,BD!$B$3:$B$5001,$A$92)))</f>
        <v/>
      </c>
      <c r="T106" s="223" t="str">
        <f>IF(T$3="","",IF(COUNTIFS(BD!$A$3:$A$5001,T$3,BD!$B$3:$B$5001,$A$92,BD!$AA$3:$AA$5001,"&lt;&gt;")=0,"",SUMIFS(BD!$AA$3:$AA$5001,BD!$A$3:$A$5001,T$3,BD!$B$3:$B$5001,$A$92)))</f>
        <v/>
      </c>
      <c r="U106" s="223" t="str">
        <f>IF(U$3="","",IF(COUNTIFS(BD!$A$3:$A$5001,U$3,BD!$B$3:$B$5001,$A$92,BD!$AA$3:$AA$5001,"&lt;&gt;")=0,"",SUMIFS(BD!$AA$3:$AA$5001,BD!$A$3:$A$5001,U$3,BD!$B$3:$B$5001,$A$92)))</f>
        <v/>
      </c>
      <c r="V106" s="223" t="str">
        <f>IF(V$3="","",IF(COUNTIFS(BD!$A$3:$A$5001,V$3,BD!$B$3:$B$5001,$A$92,BD!$AA$3:$AA$5001,"&lt;&gt;")=0,"",SUMIFS(BD!$AA$3:$AA$5001,BD!$A$3:$A$5001,V$3,BD!$B$3:$B$5001,$A$92)))</f>
        <v/>
      </c>
      <c r="W106" s="223" t="str">
        <f>IF(W$3="","",IF(COUNTIFS(BD!$A$3:$A$5001,W$3,BD!$B$3:$B$5001,$A$92,BD!$AA$3:$AA$5001,"&lt;&gt;")=0,"",SUMIFS(BD!$AA$3:$AA$5001,BD!$A$3:$A$5001,W$3,BD!$B$3:$B$5001,$A$92)))</f>
        <v/>
      </c>
      <c r="X106" s="223" t="str">
        <f>IF(X$3="","",IF(COUNTIFS(BD!$A$3:$A$5001,X$3,BD!$B$3:$B$5001,$A$92,BD!$AA$3:$AA$5001,"&lt;&gt;")=0,"",SUMIFS(BD!$AA$3:$AA$5001,BD!$A$3:$A$5001,X$3,BD!$B$3:$B$5001,$A$92)))</f>
        <v/>
      </c>
      <c r="Y106" s="223" t="str">
        <f>IF(Y$3="","",IF(COUNTIFS(BD!$A$3:$A$5001,Y$3,BD!$B$3:$B$5001,$A$92,BD!$AA$3:$AA$5001,"&lt;&gt;")=0,"",SUMIFS(BD!$AA$3:$AA$5001,BD!$A$3:$A$5001,Y$3,BD!$B$3:$B$5001,$A$92)))</f>
        <v/>
      </c>
      <c r="Z106" s="223" t="str">
        <f>IF(Z$3="","",IF(COUNTIFS(BD!$A$3:$A$5001,Z$3,BD!$B$3:$B$5001,$A$92,BD!$AA$3:$AA$5001,"&lt;&gt;")=0,"",SUMIFS(BD!$AA$3:$AA$5001,BD!$A$3:$A$5001,Z$3,BD!$B$3:$B$5001,$A$92)))</f>
        <v/>
      </c>
      <c r="AA106" s="223" t="str">
        <f>IF(AA$3="","",IF(COUNTIFS(BD!$A$3:$A$5001,AA$3,BD!$B$3:$B$5001,$A$92,BD!$AA$3:$AA$5001,"&lt;&gt;")=0,"",SUMIFS(BD!$AA$3:$AA$5001,BD!$A$3:$A$5001,AA$3,BD!$B$3:$B$5001,$A$92)))</f>
        <v/>
      </c>
      <c r="AB106" s="223" t="str">
        <f>IF(AB$3="","",IF(COUNTIFS(BD!$A$3:$A$5001,AB$3,BD!$B$3:$B$5001,$A$92,BD!$AA$3:$AA$5001,"&lt;&gt;")=0,"",SUMIFS(BD!$AA$3:$AA$5001,BD!$A$3:$A$5001,AB$3,BD!$B$3:$B$5001,$A$92)))</f>
        <v/>
      </c>
      <c r="AC106" s="223" t="str">
        <f>IF(AC$3="","",IF(COUNTIFS(BD!$A$3:$A$5001,AC$3,BD!$B$3:$B$5001,$A$92,BD!$AA$3:$AA$5001,"&lt;&gt;")=0,"",SUMIFS(BD!$AA$3:$AA$5001,BD!$A$3:$A$5001,AC$3,BD!$B$3:$B$5001,$A$92)))</f>
        <v/>
      </c>
      <c r="AD106" s="223" t="str">
        <f>IF(AD$3="","",IF(COUNTIFS(BD!$A$3:$A$5001,AD$3,BD!$B$3:$B$5001,$A$92,BD!$AA$3:$AA$5001,"&lt;&gt;")=0,"",SUMIFS(BD!$AA$3:$AA$5001,BD!$A$3:$A$5001,AD$3,BD!$B$3:$B$5001,$A$92)))</f>
        <v/>
      </c>
      <c r="AE106" s="223" t="str">
        <f>IF(AE$3="","",IF(COUNTIFS(BD!$A$3:$A$5001,AE$3,BD!$B$3:$B$5001,$A$92,BD!$AA$3:$AA$5001,"&lt;&gt;")=0,"",SUMIFS(BD!$AA$3:$AA$5001,BD!$A$3:$A$5001,AE$3,BD!$B$3:$B$5001,$A$92)))</f>
        <v/>
      </c>
      <c r="AF106" s="223" t="str">
        <f>IF(AF$3="","",IF(COUNTIFS(BD!$A$3:$A$5001,AF$3,BD!$B$3:$B$5001,$A$92,BD!$AA$3:$AA$5001,"&lt;&gt;")=0,"",SUMIFS(BD!$AA$3:$AA$5001,BD!$A$3:$A$5001,AF$3,BD!$B$3:$B$5001,$A$92)))</f>
        <v/>
      </c>
      <c r="AG106" s="223" t="str">
        <f>IF(AG$3="","",IF(COUNTIFS(BD!$A$3:$A$5001,AG$3,BD!$B$3:$B$5001,$A$92,BD!$AA$3:$AA$5001,"&lt;&gt;")=0,"",SUMIFS(BD!$AA$3:$AA$5001,BD!$A$3:$A$5001,AG$3,BD!$B$3:$B$5001,$A$92)))</f>
        <v/>
      </c>
      <c r="AH106" s="223" t="str">
        <f>IF(AH$3="","",IF(COUNTIFS(BD!$A$3:$A$5001,AH$3,BD!$B$3:$B$5001,$A$92,BD!$AA$3:$AA$5001,"&lt;&gt;")=0,"",SUMIFS(BD!$AA$3:$AA$5001,BD!$A$3:$A$5001,AH$3,BD!$B$3:$B$5001,$A$92)))</f>
        <v/>
      </c>
      <c r="AI106" s="223" t="str">
        <f>IF(AI$3="","",IF(COUNTIFS(BD!$A$3:$A$5001,AI$3,BD!$B$3:$B$5001,$A$92,BD!$AA$3:$AA$5001,"&lt;&gt;")=0,"",SUMIFS(BD!$AA$3:$AA$5001,BD!$A$3:$A$5001,AI$3,BD!$B$3:$B$5001,$A$92)))</f>
        <v/>
      </c>
      <c r="AJ106" s="224" t="str">
        <f>IF(AJ$3="","",IF(COUNTIFS(BD!$A$3:$A$5001,AJ$3,BD!$B$3:$B$5001,$A$92,BD!$AA$3:$AA$5001,"&lt;&gt;")=0,"",SUMIFS(BD!$AA$3:$AA$5001,BD!$A$3:$A$5001,AJ$3,BD!$B$3:$B$5001,$A$92)))</f>
        <v/>
      </c>
      <c r="AK106" s="225" t="str">
        <f>IF(COUNT(F106:AJ106)=0,"",SUM(F106:AJ106))</f>
        <v/>
      </c>
    </row>
    <row r="107" ht="15.75" customHeight="1">
      <c r="A107" s="244"/>
      <c r="B107" s="241"/>
      <c r="C107" s="219" t="inlineStr">
        <is>
          <t xml:space="preserve">Férias</t>
        </is>
      </c>
      <c r="D107" s="220" t="str">
        <f>IFERROR(1/(1/INDEX(BD!$AJ$49:$BD$49,MATCH($A$92,BD!$AJ$22:$BD$22,0))),"")</f>
        <v/>
      </c>
      <c r="E107" s="221"/>
      <c r="F107" s="222" t="str">
        <f>IF(F$3="","",IF(COUNTIFS(BD!$A$3:$A$5001,F$3,BD!$B$3:$B$5001,$A$92,BD!$AB$3:$AB$5001,"&lt;&gt;")=0,"",SUMIFS(BD!$AB$3:$AB$5001,BD!$A$3:$A$5001,F$3,BD!$B$3:$B$5001,$A$92)))</f>
        <v/>
      </c>
      <c r="G107" s="223" t="str">
        <f>IF(G$3="","",IF(COUNTIFS(BD!$A$3:$A$5001,G$3,BD!$B$3:$B$5001,$A$92,BD!$AB$3:$AB$5001,"&lt;&gt;")=0,"",SUMIFS(BD!$AB$3:$AB$5001,BD!$A$3:$A$5001,G$3,BD!$B$3:$B$5001,$A$92)))</f>
        <v/>
      </c>
      <c r="H107" s="223" t="str">
        <f>IF(H$3="","",IF(COUNTIFS(BD!$A$3:$A$5001,H$3,BD!$B$3:$B$5001,$A$92,BD!$AB$3:$AB$5001,"&lt;&gt;")=0,"",SUMIFS(BD!$AB$3:$AB$5001,BD!$A$3:$A$5001,H$3,BD!$B$3:$B$5001,$A$92)))</f>
        <v/>
      </c>
      <c r="I107" s="223" t="str">
        <f>IF(I$3="","",IF(COUNTIFS(BD!$A$3:$A$5001,I$3,BD!$B$3:$B$5001,$A$92,BD!$AB$3:$AB$5001,"&lt;&gt;")=0,"",SUMIFS(BD!$AB$3:$AB$5001,BD!$A$3:$A$5001,I$3,BD!$B$3:$B$5001,$A$92)))</f>
        <v/>
      </c>
      <c r="J107" s="223" t="str">
        <f>IF(J$3="","",IF(COUNTIFS(BD!$A$3:$A$5001,J$3,BD!$B$3:$B$5001,$A$92,BD!$AB$3:$AB$5001,"&lt;&gt;")=0,"",SUMIFS(BD!$AB$3:$AB$5001,BD!$A$3:$A$5001,J$3,BD!$B$3:$B$5001,$A$92)))</f>
        <v/>
      </c>
      <c r="K107" s="223" t="str">
        <f>IF(K$3="","",IF(COUNTIFS(BD!$A$3:$A$5001,K$3,BD!$B$3:$B$5001,$A$92,BD!$AB$3:$AB$5001,"&lt;&gt;")=0,"",SUMIFS(BD!$AB$3:$AB$5001,BD!$A$3:$A$5001,K$3,BD!$B$3:$B$5001,$A$92)))</f>
        <v/>
      </c>
      <c r="L107" s="223" t="str">
        <f>IF(L$3="","",IF(COUNTIFS(BD!$A$3:$A$5001,L$3,BD!$B$3:$B$5001,$A$92,BD!$AB$3:$AB$5001,"&lt;&gt;")=0,"",SUMIFS(BD!$AB$3:$AB$5001,BD!$A$3:$A$5001,L$3,BD!$B$3:$B$5001,$A$92)))</f>
        <v/>
      </c>
      <c r="M107" s="223" t="str">
        <f>IF(M$3="","",IF(COUNTIFS(BD!$A$3:$A$5001,M$3,BD!$B$3:$B$5001,$A$92,BD!$AB$3:$AB$5001,"&lt;&gt;")=0,"",SUMIFS(BD!$AB$3:$AB$5001,BD!$A$3:$A$5001,M$3,BD!$B$3:$B$5001,$A$92)))</f>
        <v/>
      </c>
      <c r="N107" s="223" t="str">
        <f>IF(N$3="","",IF(COUNTIFS(BD!$A$3:$A$5001,N$3,BD!$B$3:$B$5001,$A$92,BD!$AB$3:$AB$5001,"&lt;&gt;")=0,"",SUMIFS(BD!$AB$3:$AB$5001,BD!$A$3:$A$5001,N$3,BD!$B$3:$B$5001,$A$92)))</f>
        <v/>
      </c>
      <c r="O107" s="223" t="str">
        <f>IF(O$3="","",IF(COUNTIFS(BD!$A$3:$A$5001,O$3,BD!$B$3:$B$5001,$A$92,BD!$AB$3:$AB$5001,"&lt;&gt;")=0,"",SUMIFS(BD!$AB$3:$AB$5001,BD!$A$3:$A$5001,O$3,BD!$B$3:$B$5001,$A$92)))</f>
        <v/>
      </c>
      <c r="P107" s="223" t="str">
        <f>IF(P$3="","",IF(COUNTIFS(BD!$A$3:$A$5001,P$3,BD!$B$3:$B$5001,$A$92,BD!$AB$3:$AB$5001,"&lt;&gt;")=0,"",SUMIFS(BD!$AB$3:$AB$5001,BD!$A$3:$A$5001,P$3,BD!$B$3:$B$5001,$A$92)))</f>
        <v/>
      </c>
      <c r="Q107" s="223" t="str">
        <f>IF(Q$3="","",IF(COUNTIFS(BD!$A$3:$A$5001,Q$3,BD!$B$3:$B$5001,$A$92,BD!$AB$3:$AB$5001,"&lt;&gt;")=0,"",SUMIFS(BD!$AB$3:$AB$5001,BD!$A$3:$A$5001,Q$3,BD!$B$3:$B$5001,$A$92)))</f>
        <v/>
      </c>
      <c r="R107" s="223" t="str">
        <f>IF(R$3="","",IF(COUNTIFS(BD!$A$3:$A$5001,R$3,BD!$B$3:$B$5001,$A$92,BD!$AB$3:$AB$5001,"&lt;&gt;")=0,"",SUMIFS(BD!$AB$3:$AB$5001,BD!$A$3:$A$5001,R$3,BD!$B$3:$B$5001,$A$92)))</f>
        <v/>
      </c>
      <c r="S107" s="223" t="str">
        <f>IF(S$3="","",IF(COUNTIFS(BD!$A$3:$A$5001,S$3,BD!$B$3:$B$5001,$A$92,BD!$AB$3:$AB$5001,"&lt;&gt;")=0,"",SUMIFS(BD!$AB$3:$AB$5001,BD!$A$3:$A$5001,S$3,BD!$B$3:$B$5001,$A$92)))</f>
        <v/>
      </c>
      <c r="T107" s="223" t="str">
        <f>IF(T$3="","",IF(COUNTIFS(BD!$A$3:$A$5001,T$3,BD!$B$3:$B$5001,$A$92,BD!$AB$3:$AB$5001,"&lt;&gt;")=0,"",SUMIFS(BD!$AB$3:$AB$5001,BD!$A$3:$A$5001,T$3,BD!$B$3:$B$5001,$A$92)))</f>
        <v/>
      </c>
      <c r="U107" s="223" t="str">
        <f>IF(U$3="","",IF(COUNTIFS(BD!$A$3:$A$5001,U$3,BD!$B$3:$B$5001,$A$92,BD!$AB$3:$AB$5001,"&lt;&gt;")=0,"",SUMIFS(BD!$AB$3:$AB$5001,BD!$A$3:$A$5001,U$3,BD!$B$3:$B$5001,$A$92)))</f>
        <v/>
      </c>
      <c r="V107" s="223" t="str">
        <f>IF(V$3="","",IF(COUNTIFS(BD!$A$3:$A$5001,V$3,BD!$B$3:$B$5001,$A$92,BD!$AB$3:$AB$5001,"&lt;&gt;")=0,"",SUMIFS(BD!$AB$3:$AB$5001,BD!$A$3:$A$5001,V$3,BD!$B$3:$B$5001,$A$92)))</f>
        <v/>
      </c>
      <c r="W107" s="223" t="str">
        <f>IF(W$3="","",IF(COUNTIFS(BD!$A$3:$A$5001,W$3,BD!$B$3:$B$5001,$A$92,BD!$AB$3:$AB$5001,"&lt;&gt;")=0,"",SUMIFS(BD!$AB$3:$AB$5001,BD!$A$3:$A$5001,W$3,BD!$B$3:$B$5001,$A$92)))</f>
        <v/>
      </c>
      <c r="X107" s="223" t="str">
        <f>IF(X$3="","",IF(COUNTIFS(BD!$A$3:$A$5001,X$3,BD!$B$3:$B$5001,$A$92,BD!$AB$3:$AB$5001,"&lt;&gt;")=0,"",SUMIFS(BD!$AB$3:$AB$5001,BD!$A$3:$A$5001,X$3,BD!$B$3:$B$5001,$A$92)))</f>
        <v/>
      </c>
      <c r="Y107" s="223" t="str">
        <f>IF(Y$3="","",IF(COUNTIFS(BD!$A$3:$A$5001,Y$3,BD!$B$3:$B$5001,$A$92,BD!$AB$3:$AB$5001,"&lt;&gt;")=0,"",SUMIFS(BD!$AB$3:$AB$5001,BD!$A$3:$A$5001,Y$3,BD!$B$3:$B$5001,$A$92)))</f>
        <v/>
      </c>
      <c r="Z107" s="223" t="str">
        <f>IF(Z$3="","",IF(COUNTIFS(BD!$A$3:$A$5001,Z$3,BD!$B$3:$B$5001,$A$92,BD!$AB$3:$AB$5001,"&lt;&gt;")=0,"",SUMIFS(BD!$AB$3:$AB$5001,BD!$A$3:$A$5001,Z$3,BD!$B$3:$B$5001,$A$92)))</f>
        <v/>
      </c>
      <c r="AA107" s="223" t="str">
        <f>IF(AA$3="","",IF(COUNTIFS(BD!$A$3:$A$5001,AA$3,BD!$B$3:$B$5001,$A$92,BD!$AB$3:$AB$5001,"&lt;&gt;")=0,"",SUMIFS(BD!$AB$3:$AB$5001,BD!$A$3:$A$5001,AA$3,BD!$B$3:$B$5001,$A$92)))</f>
        <v/>
      </c>
      <c r="AB107" s="223" t="str">
        <f>IF(AB$3="","",IF(COUNTIFS(BD!$A$3:$A$5001,AB$3,BD!$B$3:$B$5001,$A$92,BD!$AB$3:$AB$5001,"&lt;&gt;")=0,"",SUMIFS(BD!$AB$3:$AB$5001,BD!$A$3:$A$5001,AB$3,BD!$B$3:$B$5001,$A$92)))</f>
        <v/>
      </c>
      <c r="AC107" s="223" t="str">
        <f>IF(AC$3="","",IF(COUNTIFS(BD!$A$3:$A$5001,AC$3,BD!$B$3:$B$5001,$A$92,BD!$AB$3:$AB$5001,"&lt;&gt;")=0,"",SUMIFS(BD!$AB$3:$AB$5001,BD!$A$3:$A$5001,AC$3,BD!$B$3:$B$5001,$A$92)))</f>
        <v/>
      </c>
      <c r="AD107" s="223" t="str">
        <f>IF(AD$3="","",IF(COUNTIFS(BD!$A$3:$A$5001,AD$3,BD!$B$3:$B$5001,$A$92,BD!$AB$3:$AB$5001,"&lt;&gt;")=0,"",SUMIFS(BD!$AB$3:$AB$5001,BD!$A$3:$A$5001,AD$3,BD!$B$3:$B$5001,$A$92)))</f>
        <v/>
      </c>
      <c r="AE107" s="223" t="str">
        <f>IF(AE$3="","",IF(COUNTIFS(BD!$A$3:$A$5001,AE$3,BD!$B$3:$B$5001,$A$92,BD!$AB$3:$AB$5001,"&lt;&gt;")=0,"",SUMIFS(BD!$AB$3:$AB$5001,BD!$A$3:$A$5001,AE$3,BD!$B$3:$B$5001,$A$92)))</f>
        <v/>
      </c>
      <c r="AF107" s="223" t="str">
        <f>IF(AF$3="","",IF(COUNTIFS(BD!$A$3:$A$5001,AF$3,BD!$B$3:$B$5001,$A$92,BD!$AB$3:$AB$5001,"&lt;&gt;")=0,"",SUMIFS(BD!$AB$3:$AB$5001,BD!$A$3:$A$5001,AF$3,BD!$B$3:$B$5001,$A$92)))</f>
        <v/>
      </c>
      <c r="AG107" s="223" t="str">
        <f>IF(AG$3="","",IF(COUNTIFS(BD!$A$3:$A$5001,AG$3,BD!$B$3:$B$5001,$A$92,BD!$AB$3:$AB$5001,"&lt;&gt;")=0,"",SUMIFS(BD!$AB$3:$AB$5001,BD!$A$3:$A$5001,AG$3,BD!$B$3:$B$5001,$A$92)))</f>
        <v/>
      </c>
      <c r="AH107" s="223" t="str">
        <f>IF(AH$3="","",IF(COUNTIFS(BD!$A$3:$A$5001,AH$3,BD!$B$3:$B$5001,$A$92,BD!$AB$3:$AB$5001,"&lt;&gt;")=0,"",SUMIFS(BD!$AB$3:$AB$5001,BD!$A$3:$A$5001,AH$3,BD!$B$3:$B$5001,$A$92)))</f>
        <v/>
      </c>
      <c r="AI107" s="223" t="str">
        <f>IF(AI$3="","",IF(COUNTIFS(BD!$A$3:$A$5001,AI$3,BD!$B$3:$B$5001,$A$92,BD!$AB$3:$AB$5001,"&lt;&gt;")=0,"",SUMIFS(BD!$AB$3:$AB$5001,BD!$A$3:$A$5001,AI$3,BD!$B$3:$B$5001,$A$92)))</f>
        <v/>
      </c>
      <c r="AJ107" s="224" t="str">
        <f>IF(AJ$3="","",IF(COUNTIFS(BD!$A$3:$A$5001,AJ$3,BD!$B$3:$B$5001,$A$92,BD!$AB$3:$AB$5001,"&lt;&gt;")=0,"",SUMIFS(BD!$AB$3:$AB$5001,BD!$A$3:$A$5001,AJ$3,BD!$B$3:$B$5001,$A$92)))</f>
        <v/>
      </c>
      <c r="AK107" s="225" t="str">
        <f>IF(COUNT(F107:AJ107)=0,"",SUM(F107:AJ107))</f>
        <v/>
      </c>
    </row>
    <row r="108" ht="15.75" customHeight="1">
      <c r="A108" s="244"/>
      <c r="B108" s="241"/>
      <c r="C108" s="219" t="inlineStr">
        <is>
          <t xml:space="preserve">Desligamento</t>
        </is>
      </c>
      <c r="D108" s="220" t="str">
        <f>IFERROR(1/(1/INDEX(BD!$AJ$50:$BD$50,MATCH($A$92,BD!$AJ$22:$BD$22,0))),"")</f>
        <v/>
      </c>
      <c r="E108" s="221"/>
      <c r="F108" s="222" t="str">
        <f>IF(F$3="","",IF(COUNTIFS(BD!$A$3:$A$5001,F$3,BD!$B$3:$B$5001,$A$92,BD!$AC$3:$AC$5001,"&lt;&gt;")=0,"",SUMIFS(BD!$AC$3:$AC$5001,BD!$A$3:$A$5001,F$3,BD!$B$3:$B$5001,$A$92)))</f>
        <v/>
      </c>
      <c r="G108" s="223" t="str">
        <f>IF(G$3="","",IF(COUNTIFS(BD!$A$3:$A$5001,G$3,BD!$B$3:$B$5001,$A$92,BD!$AC$3:$AC$5001,"&lt;&gt;")=0,"",SUMIFS(BD!$AC$3:$AC$5001,BD!$A$3:$A$5001,G$3,BD!$B$3:$B$5001,$A$92)))</f>
        <v/>
      </c>
      <c r="H108" s="223" t="str">
        <f>IF(H$3="","",IF(COUNTIFS(BD!$A$3:$A$5001,H$3,BD!$B$3:$B$5001,$A$92,BD!$AC$3:$AC$5001,"&lt;&gt;")=0,"",SUMIFS(BD!$AC$3:$AC$5001,BD!$A$3:$A$5001,H$3,BD!$B$3:$B$5001,$A$92)))</f>
        <v/>
      </c>
      <c r="I108" s="223" t="str">
        <f>IF(I$3="","",IF(COUNTIFS(BD!$A$3:$A$5001,I$3,BD!$B$3:$B$5001,$A$92,BD!$AC$3:$AC$5001,"&lt;&gt;")=0,"",SUMIFS(BD!$AC$3:$AC$5001,BD!$A$3:$A$5001,I$3,BD!$B$3:$B$5001,$A$92)))</f>
        <v/>
      </c>
      <c r="J108" s="223" t="str">
        <f>IF(J$3="","",IF(COUNTIFS(BD!$A$3:$A$5001,J$3,BD!$B$3:$B$5001,$A$92,BD!$AC$3:$AC$5001,"&lt;&gt;")=0,"",SUMIFS(BD!$AC$3:$AC$5001,BD!$A$3:$A$5001,J$3,BD!$B$3:$B$5001,$A$92)))</f>
        <v/>
      </c>
      <c r="K108" s="223" t="str">
        <f>IF(K$3="","",IF(COUNTIFS(BD!$A$3:$A$5001,K$3,BD!$B$3:$B$5001,$A$92,BD!$AC$3:$AC$5001,"&lt;&gt;")=0,"",SUMIFS(BD!$AC$3:$AC$5001,BD!$A$3:$A$5001,K$3,BD!$B$3:$B$5001,$A$92)))</f>
        <v/>
      </c>
      <c r="L108" s="223" t="str">
        <f>IF(L$3="","",IF(COUNTIFS(BD!$A$3:$A$5001,L$3,BD!$B$3:$B$5001,$A$92,BD!$AC$3:$AC$5001,"&lt;&gt;")=0,"",SUMIFS(BD!$AC$3:$AC$5001,BD!$A$3:$A$5001,L$3,BD!$B$3:$B$5001,$A$92)))</f>
        <v/>
      </c>
      <c r="M108" s="223" t="str">
        <f>IF(M$3="","",IF(COUNTIFS(BD!$A$3:$A$5001,M$3,BD!$B$3:$B$5001,$A$92,BD!$AC$3:$AC$5001,"&lt;&gt;")=0,"",SUMIFS(BD!$AC$3:$AC$5001,BD!$A$3:$A$5001,M$3,BD!$B$3:$B$5001,$A$92)))</f>
        <v/>
      </c>
      <c r="N108" s="223" t="str">
        <f>IF(N$3="","",IF(COUNTIFS(BD!$A$3:$A$5001,N$3,BD!$B$3:$B$5001,$A$92,BD!$AC$3:$AC$5001,"&lt;&gt;")=0,"",SUMIFS(BD!$AC$3:$AC$5001,BD!$A$3:$A$5001,N$3,BD!$B$3:$B$5001,$A$92)))</f>
        <v/>
      </c>
      <c r="O108" s="223" t="str">
        <f>IF(O$3="","",IF(COUNTIFS(BD!$A$3:$A$5001,O$3,BD!$B$3:$B$5001,$A$92,BD!$AC$3:$AC$5001,"&lt;&gt;")=0,"",SUMIFS(BD!$AC$3:$AC$5001,BD!$A$3:$A$5001,O$3,BD!$B$3:$B$5001,$A$92)))</f>
        <v/>
      </c>
      <c r="P108" s="223" t="str">
        <f>IF(P$3="","",IF(COUNTIFS(BD!$A$3:$A$5001,P$3,BD!$B$3:$B$5001,$A$92,BD!$AC$3:$AC$5001,"&lt;&gt;")=0,"",SUMIFS(BD!$AC$3:$AC$5001,BD!$A$3:$A$5001,P$3,BD!$B$3:$B$5001,$A$92)))</f>
        <v/>
      </c>
      <c r="Q108" s="223" t="str">
        <f>IF(Q$3="","",IF(COUNTIFS(BD!$A$3:$A$5001,Q$3,BD!$B$3:$B$5001,$A$92,BD!$AC$3:$AC$5001,"&lt;&gt;")=0,"",SUMIFS(BD!$AC$3:$AC$5001,BD!$A$3:$A$5001,Q$3,BD!$B$3:$B$5001,$A$92)))</f>
        <v/>
      </c>
      <c r="R108" s="223" t="str">
        <f>IF(R$3="","",IF(COUNTIFS(BD!$A$3:$A$5001,R$3,BD!$B$3:$B$5001,$A$92,BD!$AC$3:$AC$5001,"&lt;&gt;")=0,"",SUMIFS(BD!$AC$3:$AC$5001,BD!$A$3:$A$5001,R$3,BD!$B$3:$B$5001,$A$92)))</f>
        <v/>
      </c>
      <c r="S108" s="223" t="str">
        <f>IF(S$3="","",IF(COUNTIFS(BD!$A$3:$A$5001,S$3,BD!$B$3:$B$5001,$A$92,BD!$AC$3:$AC$5001,"&lt;&gt;")=0,"",SUMIFS(BD!$AC$3:$AC$5001,BD!$A$3:$A$5001,S$3,BD!$B$3:$B$5001,$A$92)))</f>
        <v/>
      </c>
      <c r="T108" s="223" t="str">
        <f>IF(T$3="","",IF(COUNTIFS(BD!$A$3:$A$5001,T$3,BD!$B$3:$B$5001,$A$92,BD!$AC$3:$AC$5001,"&lt;&gt;")=0,"",SUMIFS(BD!$AC$3:$AC$5001,BD!$A$3:$A$5001,T$3,BD!$B$3:$B$5001,$A$92)))</f>
        <v/>
      </c>
      <c r="U108" s="223" t="str">
        <f>IF(U$3="","",IF(COUNTIFS(BD!$A$3:$A$5001,U$3,BD!$B$3:$B$5001,$A$92,BD!$AC$3:$AC$5001,"&lt;&gt;")=0,"",SUMIFS(BD!$AC$3:$AC$5001,BD!$A$3:$A$5001,U$3,BD!$B$3:$B$5001,$A$92)))</f>
        <v/>
      </c>
      <c r="V108" s="223" t="str">
        <f>IF(V$3="","",IF(COUNTIFS(BD!$A$3:$A$5001,V$3,BD!$B$3:$B$5001,$A$92,BD!$AC$3:$AC$5001,"&lt;&gt;")=0,"",SUMIFS(BD!$AC$3:$AC$5001,BD!$A$3:$A$5001,V$3,BD!$B$3:$B$5001,$A$92)))</f>
        <v/>
      </c>
      <c r="W108" s="223" t="str">
        <f>IF(W$3="","",IF(COUNTIFS(BD!$A$3:$A$5001,W$3,BD!$B$3:$B$5001,$A$92,BD!$AC$3:$AC$5001,"&lt;&gt;")=0,"",SUMIFS(BD!$AC$3:$AC$5001,BD!$A$3:$A$5001,W$3,BD!$B$3:$B$5001,$A$92)))</f>
        <v/>
      </c>
      <c r="X108" s="223" t="str">
        <f>IF(X$3="","",IF(COUNTIFS(BD!$A$3:$A$5001,X$3,BD!$B$3:$B$5001,$A$92,BD!$AC$3:$AC$5001,"&lt;&gt;")=0,"",SUMIFS(BD!$AC$3:$AC$5001,BD!$A$3:$A$5001,X$3,BD!$B$3:$B$5001,$A$92)))</f>
        <v/>
      </c>
      <c r="Y108" s="223" t="str">
        <f>IF(Y$3="","",IF(COUNTIFS(BD!$A$3:$A$5001,Y$3,BD!$B$3:$B$5001,$A$92,BD!$AC$3:$AC$5001,"&lt;&gt;")=0,"",SUMIFS(BD!$AC$3:$AC$5001,BD!$A$3:$A$5001,Y$3,BD!$B$3:$B$5001,$A$92)))</f>
        <v/>
      </c>
      <c r="Z108" s="223" t="str">
        <f>IF(Z$3="","",IF(COUNTIFS(BD!$A$3:$A$5001,Z$3,BD!$B$3:$B$5001,$A$92,BD!$AC$3:$AC$5001,"&lt;&gt;")=0,"",SUMIFS(BD!$AC$3:$AC$5001,BD!$A$3:$A$5001,Z$3,BD!$B$3:$B$5001,$A$92)))</f>
        <v/>
      </c>
      <c r="AA108" s="223" t="str">
        <f>IF(AA$3="","",IF(COUNTIFS(BD!$A$3:$A$5001,AA$3,BD!$B$3:$B$5001,$A$92,BD!$AC$3:$AC$5001,"&lt;&gt;")=0,"",SUMIFS(BD!$AC$3:$AC$5001,BD!$A$3:$A$5001,AA$3,BD!$B$3:$B$5001,$A$92)))</f>
        <v/>
      </c>
      <c r="AB108" s="223" t="str">
        <f>IF(AB$3="","",IF(COUNTIFS(BD!$A$3:$A$5001,AB$3,BD!$B$3:$B$5001,$A$92,BD!$AC$3:$AC$5001,"&lt;&gt;")=0,"",SUMIFS(BD!$AC$3:$AC$5001,BD!$A$3:$A$5001,AB$3,BD!$B$3:$B$5001,$A$92)))</f>
        <v/>
      </c>
      <c r="AC108" s="223" t="str">
        <f>IF(AC$3="","",IF(COUNTIFS(BD!$A$3:$A$5001,AC$3,BD!$B$3:$B$5001,$A$92,BD!$AC$3:$AC$5001,"&lt;&gt;")=0,"",SUMIFS(BD!$AC$3:$AC$5001,BD!$A$3:$A$5001,AC$3,BD!$B$3:$B$5001,$A$92)))</f>
        <v/>
      </c>
      <c r="AD108" s="223" t="str">
        <f>IF(AD$3="","",IF(COUNTIFS(BD!$A$3:$A$5001,AD$3,BD!$B$3:$B$5001,$A$92,BD!$AC$3:$AC$5001,"&lt;&gt;")=0,"",SUMIFS(BD!$AC$3:$AC$5001,BD!$A$3:$A$5001,AD$3,BD!$B$3:$B$5001,$A$92)))</f>
        <v/>
      </c>
      <c r="AE108" s="223" t="str">
        <f>IF(AE$3="","",IF(COUNTIFS(BD!$A$3:$A$5001,AE$3,BD!$B$3:$B$5001,$A$92,BD!$AC$3:$AC$5001,"&lt;&gt;")=0,"",SUMIFS(BD!$AC$3:$AC$5001,BD!$A$3:$A$5001,AE$3,BD!$B$3:$B$5001,$A$92)))</f>
        <v/>
      </c>
      <c r="AF108" s="223" t="str">
        <f>IF(AF$3="","",IF(COUNTIFS(BD!$A$3:$A$5001,AF$3,BD!$B$3:$B$5001,$A$92,BD!$AC$3:$AC$5001,"&lt;&gt;")=0,"",SUMIFS(BD!$AC$3:$AC$5001,BD!$A$3:$A$5001,AF$3,BD!$B$3:$B$5001,$A$92)))</f>
        <v/>
      </c>
      <c r="AG108" s="223" t="str">
        <f>IF(AG$3="","",IF(COUNTIFS(BD!$A$3:$A$5001,AG$3,BD!$B$3:$B$5001,$A$92,BD!$AC$3:$AC$5001,"&lt;&gt;")=0,"",SUMIFS(BD!$AC$3:$AC$5001,BD!$A$3:$A$5001,AG$3,BD!$B$3:$B$5001,$A$92)))</f>
        <v/>
      </c>
      <c r="AH108" s="223" t="str">
        <f>IF(AH$3="","",IF(COUNTIFS(BD!$A$3:$A$5001,AH$3,BD!$B$3:$B$5001,$A$92,BD!$AC$3:$AC$5001,"&lt;&gt;")=0,"",SUMIFS(BD!$AC$3:$AC$5001,BD!$A$3:$A$5001,AH$3,BD!$B$3:$B$5001,$A$92)))</f>
        <v/>
      </c>
      <c r="AI108" s="223" t="str">
        <f>IF(AI$3="","",IF(COUNTIFS(BD!$A$3:$A$5001,AI$3,BD!$B$3:$B$5001,$A$92,BD!$AC$3:$AC$5001,"&lt;&gt;")=0,"",SUMIFS(BD!$AC$3:$AC$5001,BD!$A$3:$A$5001,AI$3,BD!$B$3:$B$5001,$A$92)))</f>
        <v/>
      </c>
      <c r="AJ108" s="224" t="str">
        <f>IF(AJ$3="","",IF(COUNTIFS(BD!$A$3:$A$5001,AJ$3,BD!$B$3:$B$5001,$A$92,BD!$AC$3:$AC$5001,"&lt;&gt;")=0,"",SUMIFS(BD!$AC$3:$AC$5001,BD!$A$3:$A$5001,AJ$3,BD!$B$3:$B$5001,$A$92)))</f>
        <v/>
      </c>
      <c r="AK108" s="225" t="str">
        <f>IF(COUNT(F108:AJ108)=0,"",SUM(F108:AJ108))</f>
        <v/>
      </c>
    </row>
    <row r="109" ht="15.75" customHeight="1">
      <c r="A109" s="244"/>
      <c r="B109" s="241"/>
      <c r="C109" s="219" t="inlineStr">
        <is>
          <t xml:space="preserve">Desvios Comportamentais</t>
        </is>
      </c>
      <c r="D109" s="220" t="str">
        <f>IFERROR(1/(1/INDEX(BD!$AJ$51:$BD$51,MATCH($A$92,BD!$AJ$22:$BD$22,0))),"")</f>
        <v/>
      </c>
      <c r="E109" s="221"/>
      <c r="F109" s="222" t="str">
        <f>IF(F$3="","",IF(COUNTIFS(BD!$A$3:$A$5001,F$3,BD!$B$3:$B$5001,$A$92,BD!$AD$3:$AD$5001,"&lt;&gt;")=0,"",SUMIFS(BD!$AD$3:$AD$5001,BD!$A$3:$A$5001,F$3,BD!$B$3:$B$5001,$A$92)))</f>
        <v/>
      </c>
      <c r="G109" s="223" t="str">
        <f>IF(G$3="","",IF(COUNTIFS(BD!$A$3:$A$5001,G$3,BD!$B$3:$B$5001,$A$92,BD!$AD$3:$AD$5001,"&lt;&gt;")=0,"",SUMIFS(BD!$AD$3:$AD$5001,BD!$A$3:$A$5001,G$3,BD!$B$3:$B$5001,$A$92)))</f>
        <v/>
      </c>
      <c r="H109" s="223" t="str">
        <f>IF(H$3="","",IF(COUNTIFS(BD!$A$3:$A$5001,H$3,BD!$B$3:$B$5001,$A$92,BD!$AD$3:$AD$5001,"&lt;&gt;")=0,"",SUMIFS(BD!$AD$3:$AD$5001,BD!$A$3:$A$5001,H$3,BD!$B$3:$B$5001,$A$92)))</f>
        <v/>
      </c>
      <c r="I109" s="223" t="str">
        <f>IF(I$3="","",IF(COUNTIFS(BD!$A$3:$A$5001,I$3,BD!$B$3:$B$5001,$A$92,BD!$AD$3:$AD$5001,"&lt;&gt;")=0,"",SUMIFS(BD!$AD$3:$AD$5001,BD!$A$3:$A$5001,I$3,BD!$B$3:$B$5001,$A$92)))</f>
        <v/>
      </c>
      <c r="J109" s="223" t="str">
        <f>IF(J$3="","",IF(COUNTIFS(BD!$A$3:$A$5001,J$3,BD!$B$3:$B$5001,$A$92,BD!$AD$3:$AD$5001,"&lt;&gt;")=0,"",SUMIFS(BD!$AD$3:$AD$5001,BD!$A$3:$A$5001,J$3,BD!$B$3:$B$5001,$A$92)))</f>
        <v/>
      </c>
      <c r="K109" s="223" t="str">
        <f>IF(K$3="","",IF(COUNTIFS(BD!$A$3:$A$5001,K$3,BD!$B$3:$B$5001,$A$92,BD!$AD$3:$AD$5001,"&lt;&gt;")=0,"",SUMIFS(BD!$AD$3:$AD$5001,BD!$A$3:$A$5001,K$3,BD!$B$3:$B$5001,$A$92)))</f>
        <v/>
      </c>
      <c r="L109" s="223" t="str">
        <f>IF(L$3="","",IF(COUNTIFS(BD!$A$3:$A$5001,L$3,BD!$B$3:$B$5001,$A$92,BD!$AD$3:$AD$5001,"&lt;&gt;")=0,"",SUMIFS(BD!$AD$3:$AD$5001,BD!$A$3:$A$5001,L$3,BD!$B$3:$B$5001,$A$92)))</f>
        <v/>
      </c>
      <c r="M109" s="223" t="str">
        <f>IF(M$3="","",IF(COUNTIFS(BD!$A$3:$A$5001,M$3,BD!$B$3:$B$5001,$A$92,BD!$AD$3:$AD$5001,"&lt;&gt;")=0,"",SUMIFS(BD!$AD$3:$AD$5001,BD!$A$3:$A$5001,M$3,BD!$B$3:$B$5001,$A$92)))</f>
        <v/>
      </c>
      <c r="N109" s="223" t="str">
        <f>IF(N$3="","",IF(COUNTIFS(BD!$A$3:$A$5001,N$3,BD!$B$3:$B$5001,$A$92,BD!$AD$3:$AD$5001,"&lt;&gt;")=0,"",SUMIFS(BD!$AD$3:$AD$5001,BD!$A$3:$A$5001,N$3,BD!$B$3:$B$5001,$A$92)))</f>
        <v/>
      </c>
      <c r="O109" s="223" t="str">
        <f>IF(O$3="","",IF(COUNTIFS(BD!$A$3:$A$5001,O$3,BD!$B$3:$B$5001,$A$92,BD!$AD$3:$AD$5001,"&lt;&gt;")=0,"",SUMIFS(BD!$AD$3:$AD$5001,BD!$A$3:$A$5001,O$3,BD!$B$3:$B$5001,$A$92)))</f>
        <v/>
      </c>
      <c r="P109" s="223" t="str">
        <f>IF(P$3="","",IF(COUNTIFS(BD!$A$3:$A$5001,P$3,BD!$B$3:$B$5001,$A$92,BD!$AD$3:$AD$5001,"&lt;&gt;")=0,"",SUMIFS(BD!$AD$3:$AD$5001,BD!$A$3:$A$5001,P$3,BD!$B$3:$B$5001,$A$92)))</f>
        <v/>
      </c>
      <c r="Q109" s="223" t="str">
        <f>IF(Q$3="","",IF(COUNTIFS(BD!$A$3:$A$5001,Q$3,BD!$B$3:$B$5001,$A$92,BD!$AD$3:$AD$5001,"&lt;&gt;")=0,"",SUMIFS(BD!$AD$3:$AD$5001,BD!$A$3:$A$5001,Q$3,BD!$B$3:$B$5001,$A$92)))</f>
        <v/>
      </c>
      <c r="R109" s="223" t="str">
        <f>IF(R$3="","",IF(COUNTIFS(BD!$A$3:$A$5001,R$3,BD!$B$3:$B$5001,$A$92,BD!$AD$3:$AD$5001,"&lt;&gt;")=0,"",SUMIFS(BD!$AD$3:$AD$5001,BD!$A$3:$A$5001,R$3,BD!$B$3:$B$5001,$A$92)))</f>
        <v/>
      </c>
      <c r="S109" s="223" t="str">
        <f>IF(S$3="","",IF(COUNTIFS(BD!$A$3:$A$5001,S$3,BD!$B$3:$B$5001,$A$92,BD!$AD$3:$AD$5001,"&lt;&gt;")=0,"",SUMIFS(BD!$AD$3:$AD$5001,BD!$A$3:$A$5001,S$3,BD!$B$3:$B$5001,$A$92)))</f>
        <v/>
      </c>
      <c r="T109" s="223" t="str">
        <f>IF(T$3="","",IF(COUNTIFS(BD!$A$3:$A$5001,T$3,BD!$B$3:$B$5001,$A$92,BD!$AD$3:$AD$5001,"&lt;&gt;")=0,"",SUMIFS(BD!$AD$3:$AD$5001,BD!$A$3:$A$5001,T$3,BD!$B$3:$B$5001,$A$92)))</f>
        <v/>
      </c>
      <c r="U109" s="223" t="str">
        <f>IF(U$3="","",IF(COUNTIFS(BD!$A$3:$A$5001,U$3,BD!$B$3:$B$5001,$A$92,BD!$AD$3:$AD$5001,"&lt;&gt;")=0,"",SUMIFS(BD!$AD$3:$AD$5001,BD!$A$3:$A$5001,U$3,BD!$B$3:$B$5001,$A$92)))</f>
        <v/>
      </c>
      <c r="V109" s="223" t="str">
        <f>IF(V$3="","",IF(COUNTIFS(BD!$A$3:$A$5001,V$3,BD!$B$3:$B$5001,$A$92,BD!$AD$3:$AD$5001,"&lt;&gt;")=0,"",SUMIFS(BD!$AD$3:$AD$5001,BD!$A$3:$A$5001,V$3,BD!$B$3:$B$5001,$A$92)))</f>
        <v/>
      </c>
      <c r="W109" s="223" t="str">
        <f>IF(W$3="","",IF(COUNTIFS(BD!$A$3:$A$5001,W$3,BD!$B$3:$B$5001,$A$92,BD!$AD$3:$AD$5001,"&lt;&gt;")=0,"",SUMIFS(BD!$AD$3:$AD$5001,BD!$A$3:$A$5001,W$3,BD!$B$3:$B$5001,$A$92)))</f>
        <v/>
      </c>
      <c r="X109" s="223" t="str">
        <f>IF(X$3="","",IF(COUNTIFS(BD!$A$3:$A$5001,X$3,BD!$B$3:$B$5001,$A$92,BD!$AD$3:$AD$5001,"&lt;&gt;")=0,"",SUMIFS(BD!$AD$3:$AD$5001,BD!$A$3:$A$5001,X$3,BD!$B$3:$B$5001,$A$92)))</f>
        <v/>
      </c>
      <c r="Y109" s="223" t="str">
        <f>IF(Y$3="","",IF(COUNTIFS(BD!$A$3:$A$5001,Y$3,BD!$B$3:$B$5001,$A$92,BD!$AD$3:$AD$5001,"&lt;&gt;")=0,"",SUMIFS(BD!$AD$3:$AD$5001,BD!$A$3:$A$5001,Y$3,BD!$B$3:$B$5001,$A$92)))</f>
        <v/>
      </c>
      <c r="Z109" s="223" t="str">
        <f>IF(Z$3="","",IF(COUNTIFS(BD!$A$3:$A$5001,Z$3,BD!$B$3:$B$5001,$A$92,BD!$AD$3:$AD$5001,"&lt;&gt;")=0,"",SUMIFS(BD!$AD$3:$AD$5001,BD!$A$3:$A$5001,Z$3,BD!$B$3:$B$5001,$A$92)))</f>
        <v/>
      </c>
      <c r="AA109" s="223" t="str">
        <f>IF(AA$3="","",IF(COUNTIFS(BD!$A$3:$A$5001,AA$3,BD!$B$3:$B$5001,$A$92,BD!$AD$3:$AD$5001,"&lt;&gt;")=0,"",SUMIFS(BD!$AD$3:$AD$5001,BD!$A$3:$A$5001,AA$3,BD!$B$3:$B$5001,$A$92)))</f>
        <v/>
      </c>
      <c r="AB109" s="223" t="str">
        <f>IF(AB$3="","",IF(COUNTIFS(BD!$A$3:$A$5001,AB$3,BD!$B$3:$B$5001,$A$92,BD!$AD$3:$AD$5001,"&lt;&gt;")=0,"",SUMIFS(BD!$AD$3:$AD$5001,BD!$A$3:$A$5001,AB$3,BD!$B$3:$B$5001,$A$92)))</f>
        <v/>
      </c>
      <c r="AC109" s="223" t="str">
        <f>IF(AC$3="","",IF(COUNTIFS(BD!$A$3:$A$5001,AC$3,BD!$B$3:$B$5001,$A$92,BD!$AD$3:$AD$5001,"&lt;&gt;")=0,"",SUMIFS(BD!$AD$3:$AD$5001,BD!$A$3:$A$5001,AC$3,BD!$B$3:$B$5001,$A$92)))</f>
        <v/>
      </c>
      <c r="AD109" s="223" t="str">
        <f>IF(AD$3="","",IF(COUNTIFS(BD!$A$3:$A$5001,AD$3,BD!$B$3:$B$5001,$A$92,BD!$AD$3:$AD$5001,"&lt;&gt;")=0,"",SUMIFS(BD!$AD$3:$AD$5001,BD!$A$3:$A$5001,AD$3,BD!$B$3:$B$5001,$A$92)))</f>
        <v/>
      </c>
      <c r="AE109" s="223" t="str">
        <f>IF(AE$3="","",IF(COUNTIFS(BD!$A$3:$A$5001,AE$3,BD!$B$3:$B$5001,$A$92,BD!$AD$3:$AD$5001,"&lt;&gt;")=0,"",SUMIFS(BD!$AD$3:$AD$5001,BD!$A$3:$A$5001,AE$3,BD!$B$3:$B$5001,$A$92)))</f>
        <v/>
      </c>
      <c r="AF109" s="223" t="str">
        <f>IF(AF$3="","",IF(COUNTIFS(BD!$A$3:$A$5001,AF$3,BD!$B$3:$B$5001,$A$92,BD!$AD$3:$AD$5001,"&lt;&gt;")=0,"",SUMIFS(BD!$AD$3:$AD$5001,BD!$A$3:$A$5001,AF$3,BD!$B$3:$B$5001,$A$92)))</f>
        <v/>
      </c>
      <c r="AG109" s="223" t="str">
        <f>IF(AG$3="","",IF(COUNTIFS(BD!$A$3:$A$5001,AG$3,BD!$B$3:$B$5001,$A$92,BD!$AD$3:$AD$5001,"&lt;&gt;")=0,"",SUMIFS(BD!$AD$3:$AD$5001,BD!$A$3:$A$5001,AG$3,BD!$B$3:$B$5001,$A$92)))</f>
        <v/>
      </c>
      <c r="AH109" s="223" t="str">
        <f>IF(AH$3="","",IF(COUNTIFS(BD!$A$3:$A$5001,AH$3,BD!$B$3:$B$5001,$A$92,BD!$AD$3:$AD$5001,"&lt;&gt;")=0,"",SUMIFS(BD!$AD$3:$AD$5001,BD!$A$3:$A$5001,AH$3,BD!$B$3:$B$5001,$A$92)))</f>
        <v/>
      </c>
      <c r="AI109" s="223" t="str">
        <f>IF(AI$3="","",IF(COUNTIFS(BD!$A$3:$A$5001,AI$3,BD!$B$3:$B$5001,$A$92,BD!$AD$3:$AD$5001,"&lt;&gt;")=0,"",SUMIFS(BD!$AD$3:$AD$5001,BD!$A$3:$A$5001,AI$3,BD!$B$3:$B$5001,$A$92)))</f>
        <v/>
      </c>
      <c r="AJ109" s="224" t="str">
        <f>IF(AJ$3="","",IF(COUNTIFS(BD!$A$3:$A$5001,AJ$3,BD!$B$3:$B$5001,$A$92,BD!$AD$3:$AD$5001,"&lt;&gt;")=0,"",SUMIFS(BD!$AD$3:$AD$5001,BD!$A$3:$A$5001,AJ$3,BD!$B$3:$B$5001,$A$92)))</f>
        <v/>
      </c>
      <c r="AK109" s="225" t="str">
        <f>IF(COUNT(F109:AJ109)=0,"",SUM(F109:AJ109))</f>
        <v/>
      </c>
    </row>
    <row r="110" ht="15.75" customHeight="1">
      <c r="A110" s="244"/>
      <c r="B110" s="241"/>
      <c r="C110" s="219" t="inlineStr">
        <is>
          <t xml:space="preserve">Acidentes CAF</t>
        </is>
      </c>
      <c r="D110" s="220" t="str">
        <f>IFERROR(1/(1/INDEX(BD!$AJ$52:$BD$52,MATCH($A$92,BD!$AJ$22:$BD$22,0))),"")</f>
        <v/>
      </c>
      <c r="E110" s="221"/>
      <c r="F110" s="222" t="str">
        <f>IF(F$3="","",IF(COUNTIFS(BD!$A$3:$A$5001,F$3,BD!$B$3:$B$5001,$A$92,BD!$AE$3:$AE$5001,"&lt;&gt;")=0,"",SUMIFS(BD!$AE$3:$AE$5001,BD!$A$3:$A$5001,F$3,BD!$B$3:$B$5001,$A$92)))</f>
        <v/>
      </c>
      <c r="G110" s="223" t="str">
        <f>IF(G$3="","",IF(COUNTIFS(BD!$A$3:$A$5001,G$3,BD!$B$3:$B$5001,$A$92,BD!$AE$3:$AE$5001,"&lt;&gt;")=0,"",SUMIFS(BD!$AE$3:$AE$5001,BD!$A$3:$A$5001,G$3,BD!$B$3:$B$5001,$A$92)))</f>
        <v/>
      </c>
      <c r="H110" s="223" t="str">
        <f>IF(H$3="","",IF(COUNTIFS(BD!$A$3:$A$5001,H$3,BD!$B$3:$B$5001,$A$92,BD!$AE$3:$AE$5001,"&lt;&gt;")=0,"",SUMIFS(BD!$AE$3:$AE$5001,BD!$A$3:$A$5001,H$3,BD!$B$3:$B$5001,$A$92)))</f>
        <v/>
      </c>
      <c r="I110" s="223" t="str">
        <f>IF(I$3="","",IF(COUNTIFS(BD!$A$3:$A$5001,I$3,BD!$B$3:$B$5001,$A$92,BD!$AE$3:$AE$5001,"&lt;&gt;")=0,"",SUMIFS(BD!$AE$3:$AE$5001,BD!$A$3:$A$5001,I$3,BD!$B$3:$B$5001,$A$92)))</f>
        <v/>
      </c>
      <c r="J110" s="223" t="str">
        <f>IF(J$3="","",IF(COUNTIFS(BD!$A$3:$A$5001,J$3,BD!$B$3:$B$5001,$A$92,BD!$AE$3:$AE$5001,"&lt;&gt;")=0,"",SUMIFS(BD!$AE$3:$AE$5001,BD!$A$3:$A$5001,J$3,BD!$B$3:$B$5001,$A$92)))</f>
        <v/>
      </c>
      <c r="K110" s="223" t="str">
        <f>IF(K$3="","",IF(COUNTIFS(BD!$A$3:$A$5001,K$3,BD!$B$3:$B$5001,$A$92,BD!$AE$3:$AE$5001,"&lt;&gt;")=0,"",SUMIFS(BD!$AE$3:$AE$5001,BD!$A$3:$A$5001,K$3,BD!$B$3:$B$5001,$A$92)))</f>
        <v/>
      </c>
      <c r="L110" s="223" t="str">
        <f>IF(L$3="","",IF(COUNTIFS(BD!$A$3:$A$5001,L$3,BD!$B$3:$B$5001,$A$92,BD!$AE$3:$AE$5001,"&lt;&gt;")=0,"",SUMIFS(BD!$AE$3:$AE$5001,BD!$A$3:$A$5001,L$3,BD!$B$3:$B$5001,$A$92)))</f>
        <v/>
      </c>
      <c r="M110" s="223" t="str">
        <f>IF(M$3="","",IF(COUNTIFS(BD!$A$3:$A$5001,M$3,BD!$B$3:$B$5001,$A$92,BD!$AE$3:$AE$5001,"&lt;&gt;")=0,"",SUMIFS(BD!$AE$3:$AE$5001,BD!$A$3:$A$5001,M$3,BD!$B$3:$B$5001,$A$92)))</f>
        <v/>
      </c>
      <c r="N110" s="223" t="str">
        <f>IF(N$3="","",IF(COUNTIFS(BD!$A$3:$A$5001,N$3,BD!$B$3:$B$5001,$A$92,BD!$AE$3:$AE$5001,"&lt;&gt;")=0,"",SUMIFS(BD!$AE$3:$AE$5001,BD!$A$3:$A$5001,N$3,BD!$B$3:$B$5001,$A$92)))</f>
        <v/>
      </c>
      <c r="O110" s="223" t="str">
        <f>IF(O$3="","",IF(COUNTIFS(BD!$A$3:$A$5001,O$3,BD!$B$3:$B$5001,$A$92,BD!$AE$3:$AE$5001,"&lt;&gt;")=0,"",SUMIFS(BD!$AE$3:$AE$5001,BD!$A$3:$A$5001,O$3,BD!$B$3:$B$5001,$A$92)))</f>
        <v/>
      </c>
      <c r="P110" s="223" t="str">
        <f>IF(P$3="","",IF(COUNTIFS(BD!$A$3:$A$5001,P$3,BD!$B$3:$B$5001,$A$92,BD!$AE$3:$AE$5001,"&lt;&gt;")=0,"",SUMIFS(BD!$AE$3:$AE$5001,BD!$A$3:$A$5001,P$3,BD!$B$3:$B$5001,$A$92)))</f>
        <v/>
      </c>
      <c r="Q110" s="223" t="str">
        <f>IF(Q$3="","",IF(COUNTIFS(BD!$A$3:$A$5001,Q$3,BD!$B$3:$B$5001,$A$92,BD!$AE$3:$AE$5001,"&lt;&gt;")=0,"",SUMIFS(BD!$AE$3:$AE$5001,BD!$A$3:$A$5001,Q$3,BD!$B$3:$B$5001,$A$92)))</f>
        <v/>
      </c>
      <c r="R110" s="223" t="str">
        <f>IF(R$3="","",IF(COUNTIFS(BD!$A$3:$A$5001,R$3,BD!$B$3:$B$5001,$A$92,BD!$AE$3:$AE$5001,"&lt;&gt;")=0,"",SUMIFS(BD!$AE$3:$AE$5001,BD!$A$3:$A$5001,R$3,BD!$B$3:$B$5001,$A$92)))</f>
        <v/>
      </c>
      <c r="S110" s="223" t="str">
        <f>IF(S$3="","",IF(COUNTIFS(BD!$A$3:$A$5001,S$3,BD!$B$3:$B$5001,$A$92,BD!$AE$3:$AE$5001,"&lt;&gt;")=0,"",SUMIFS(BD!$AE$3:$AE$5001,BD!$A$3:$A$5001,S$3,BD!$B$3:$B$5001,$A$92)))</f>
        <v/>
      </c>
      <c r="T110" s="223" t="str">
        <f>IF(T$3="","",IF(COUNTIFS(BD!$A$3:$A$5001,T$3,BD!$B$3:$B$5001,$A$92,BD!$AE$3:$AE$5001,"&lt;&gt;")=0,"",SUMIFS(BD!$AE$3:$AE$5001,BD!$A$3:$A$5001,T$3,BD!$B$3:$B$5001,$A$92)))</f>
        <v/>
      </c>
      <c r="U110" s="223" t="str">
        <f>IF(U$3="","",IF(COUNTIFS(BD!$A$3:$A$5001,U$3,BD!$B$3:$B$5001,$A$92,BD!$AE$3:$AE$5001,"&lt;&gt;")=0,"",SUMIFS(BD!$AE$3:$AE$5001,BD!$A$3:$A$5001,U$3,BD!$B$3:$B$5001,$A$92)))</f>
        <v/>
      </c>
      <c r="V110" s="223" t="str">
        <f>IF(V$3="","",IF(COUNTIFS(BD!$A$3:$A$5001,V$3,BD!$B$3:$B$5001,$A$92,BD!$AE$3:$AE$5001,"&lt;&gt;")=0,"",SUMIFS(BD!$AE$3:$AE$5001,BD!$A$3:$A$5001,V$3,BD!$B$3:$B$5001,$A$92)))</f>
        <v/>
      </c>
      <c r="W110" s="223" t="str">
        <f>IF(W$3="","",IF(COUNTIFS(BD!$A$3:$A$5001,W$3,BD!$B$3:$B$5001,$A$92,BD!$AE$3:$AE$5001,"&lt;&gt;")=0,"",SUMIFS(BD!$AE$3:$AE$5001,BD!$A$3:$A$5001,W$3,BD!$B$3:$B$5001,$A$92)))</f>
        <v/>
      </c>
      <c r="X110" s="223" t="str">
        <f>IF(X$3="","",IF(COUNTIFS(BD!$A$3:$A$5001,X$3,BD!$B$3:$B$5001,$A$92,BD!$AE$3:$AE$5001,"&lt;&gt;")=0,"",SUMIFS(BD!$AE$3:$AE$5001,BD!$A$3:$A$5001,X$3,BD!$B$3:$B$5001,$A$92)))</f>
        <v/>
      </c>
      <c r="Y110" s="223" t="str">
        <f>IF(Y$3="","",IF(COUNTIFS(BD!$A$3:$A$5001,Y$3,BD!$B$3:$B$5001,$A$92,BD!$AE$3:$AE$5001,"&lt;&gt;")=0,"",SUMIFS(BD!$AE$3:$AE$5001,BD!$A$3:$A$5001,Y$3,BD!$B$3:$B$5001,$A$92)))</f>
        <v/>
      </c>
      <c r="Z110" s="223" t="str">
        <f>IF(Z$3="","",IF(COUNTIFS(BD!$A$3:$A$5001,Z$3,BD!$B$3:$B$5001,$A$92,BD!$AE$3:$AE$5001,"&lt;&gt;")=0,"",SUMIFS(BD!$AE$3:$AE$5001,BD!$A$3:$A$5001,Z$3,BD!$B$3:$B$5001,$A$92)))</f>
        <v/>
      </c>
      <c r="AA110" s="223" t="str">
        <f>IF(AA$3="","",IF(COUNTIFS(BD!$A$3:$A$5001,AA$3,BD!$B$3:$B$5001,$A$92,BD!$AE$3:$AE$5001,"&lt;&gt;")=0,"",SUMIFS(BD!$AE$3:$AE$5001,BD!$A$3:$A$5001,AA$3,BD!$B$3:$B$5001,$A$92)))</f>
        <v/>
      </c>
      <c r="AB110" s="223" t="str">
        <f>IF(AB$3="","",IF(COUNTIFS(BD!$A$3:$A$5001,AB$3,BD!$B$3:$B$5001,$A$92,BD!$AE$3:$AE$5001,"&lt;&gt;")=0,"",SUMIFS(BD!$AE$3:$AE$5001,BD!$A$3:$A$5001,AB$3,BD!$B$3:$B$5001,$A$92)))</f>
        <v/>
      </c>
      <c r="AC110" s="223" t="str">
        <f>IF(AC$3="","",IF(COUNTIFS(BD!$A$3:$A$5001,AC$3,BD!$B$3:$B$5001,$A$92,BD!$AE$3:$AE$5001,"&lt;&gt;")=0,"",SUMIFS(BD!$AE$3:$AE$5001,BD!$A$3:$A$5001,AC$3,BD!$B$3:$B$5001,$A$92)))</f>
        <v/>
      </c>
      <c r="AD110" s="223" t="str">
        <f>IF(AD$3="","",IF(COUNTIFS(BD!$A$3:$A$5001,AD$3,BD!$B$3:$B$5001,$A$92,BD!$AE$3:$AE$5001,"&lt;&gt;")=0,"",SUMIFS(BD!$AE$3:$AE$5001,BD!$A$3:$A$5001,AD$3,BD!$B$3:$B$5001,$A$92)))</f>
        <v/>
      </c>
      <c r="AE110" s="223" t="str">
        <f>IF(AE$3="","",IF(COUNTIFS(BD!$A$3:$A$5001,AE$3,BD!$B$3:$B$5001,$A$92,BD!$AE$3:$AE$5001,"&lt;&gt;")=0,"",SUMIFS(BD!$AE$3:$AE$5001,BD!$A$3:$A$5001,AE$3,BD!$B$3:$B$5001,$A$92)))</f>
        <v/>
      </c>
      <c r="AF110" s="223" t="str">
        <f>IF(AF$3="","",IF(COUNTIFS(BD!$A$3:$A$5001,AF$3,BD!$B$3:$B$5001,$A$92,BD!$AE$3:$AE$5001,"&lt;&gt;")=0,"",SUMIFS(BD!$AE$3:$AE$5001,BD!$A$3:$A$5001,AF$3,BD!$B$3:$B$5001,$A$92)))</f>
        <v/>
      </c>
      <c r="AG110" s="223" t="str">
        <f>IF(AG$3="","",IF(COUNTIFS(BD!$A$3:$A$5001,AG$3,BD!$B$3:$B$5001,$A$92,BD!$AE$3:$AE$5001,"&lt;&gt;")=0,"",SUMIFS(BD!$AE$3:$AE$5001,BD!$A$3:$A$5001,AG$3,BD!$B$3:$B$5001,$A$92)))</f>
        <v/>
      </c>
      <c r="AH110" s="223" t="str">
        <f>IF(AH$3="","",IF(COUNTIFS(BD!$A$3:$A$5001,AH$3,BD!$B$3:$B$5001,$A$92,BD!$AE$3:$AE$5001,"&lt;&gt;")=0,"",SUMIFS(BD!$AE$3:$AE$5001,BD!$A$3:$A$5001,AH$3,BD!$B$3:$B$5001,$A$92)))</f>
        <v/>
      </c>
      <c r="AI110" s="223" t="str">
        <f>IF(AI$3="","",IF(COUNTIFS(BD!$A$3:$A$5001,AI$3,BD!$B$3:$B$5001,$A$92,BD!$AE$3:$AE$5001,"&lt;&gt;")=0,"",SUMIFS(BD!$AE$3:$AE$5001,BD!$A$3:$A$5001,AI$3,BD!$B$3:$B$5001,$A$92)))</f>
        <v/>
      </c>
      <c r="AJ110" s="224" t="str">
        <f>IF(AJ$3="","",IF(COUNTIFS(BD!$A$3:$A$5001,AJ$3,BD!$B$3:$B$5001,$A$92,BD!$AE$3:$AE$5001,"&lt;&gt;")=0,"",SUMIFS(BD!$AE$3:$AE$5001,BD!$A$3:$A$5001,AJ$3,BD!$B$3:$B$5001,$A$92)))</f>
        <v/>
      </c>
      <c r="AK110" s="225" t="str">
        <f>IF(COUNT(F110:AJ110)=0,"",SUM(F110:AJ110))</f>
        <v/>
      </c>
    </row>
    <row r="111" ht="15.75" customHeight="1">
      <c r="A111" s="245"/>
      <c r="B111" s="242"/>
      <c r="C111" s="226" t="inlineStr">
        <is>
          <t xml:space="preserve">Acidentes SAF</t>
        </is>
      </c>
      <c r="D111" s="227" t="str">
        <f>IFERROR(1/(1/INDEX(BD!$AJ$53:$BD$53,MATCH($A$92,BD!$AJ$22:$BD$22,0))),"")</f>
        <v/>
      </c>
      <c r="E111" s="228"/>
      <c r="F111" s="229" t="str">
        <f>IF(F$3="","",IF(COUNTIFS(BD!$A$3:$A$5001,F$3,BD!$B$3:$B$5001,$A$92,BD!$AF$3:$AF$5001,"&lt;&gt;")=0,"",SUMIFS(BD!$AF$3:$AF$5001,BD!$A$3:$A$5001,F$3,BD!$B$3:$B$5001,$A$92)))</f>
        <v/>
      </c>
      <c r="G111" s="230" t="str">
        <f>IF(G$3="","",IF(COUNTIFS(BD!$A$3:$A$5001,G$3,BD!$B$3:$B$5001,$A$92,BD!$AF$3:$AF$5001,"&lt;&gt;")=0,"",SUMIFS(BD!$AF$3:$AF$5001,BD!$A$3:$A$5001,G$3,BD!$B$3:$B$5001,$A$92)))</f>
        <v/>
      </c>
      <c r="H111" s="230" t="str">
        <f>IF(H$3="","",IF(COUNTIFS(BD!$A$3:$A$5001,H$3,BD!$B$3:$B$5001,$A$92,BD!$AF$3:$AF$5001,"&lt;&gt;")=0,"",SUMIFS(BD!$AF$3:$AF$5001,BD!$A$3:$A$5001,H$3,BD!$B$3:$B$5001,$A$92)))</f>
        <v/>
      </c>
      <c r="I111" s="230" t="str">
        <f>IF(I$3="","",IF(COUNTIFS(BD!$A$3:$A$5001,I$3,BD!$B$3:$B$5001,$A$92,BD!$AF$3:$AF$5001,"&lt;&gt;")=0,"",SUMIFS(BD!$AF$3:$AF$5001,BD!$A$3:$A$5001,I$3,BD!$B$3:$B$5001,$A$92)))</f>
        <v/>
      </c>
      <c r="J111" s="230" t="str">
        <f>IF(J$3="","",IF(COUNTIFS(BD!$A$3:$A$5001,J$3,BD!$B$3:$B$5001,$A$92,BD!$AF$3:$AF$5001,"&lt;&gt;")=0,"",SUMIFS(BD!$AF$3:$AF$5001,BD!$A$3:$A$5001,J$3,BD!$B$3:$B$5001,$A$92)))</f>
        <v/>
      </c>
      <c r="K111" s="230" t="str">
        <f>IF(K$3="","",IF(COUNTIFS(BD!$A$3:$A$5001,K$3,BD!$B$3:$B$5001,$A$92,BD!$AF$3:$AF$5001,"&lt;&gt;")=0,"",SUMIFS(BD!$AF$3:$AF$5001,BD!$A$3:$A$5001,K$3,BD!$B$3:$B$5001,$A$92)))</f>
        <v/>
      </c>
      <c r="L111" s="230" t="str">
        <f>IF(L$3="","",IF(COUNTIFS(BD!$A$3:$A$5001,L$3,BD!$B$3:$B$5001,$A$92,BD!$AF$3:$AF$5001,"&lt;&gt;")=0,"",SUMIFS(BD!$AF$3:$AF$5001,BD!$A$3:$A$5001,L$3,BD!$B$3:$B$5001,$A$92)))</f>
        <v/>
      </c>
      <c r="M111" s="230" t="str">
        <f>IF(M$3="","",IF(COUNTIFS(BD!$A$3:$A$5001,M$3,BD!$B$3:$B$5001,$A$92,BD!$AF$3:$AF$5001,"&lt;&gt;")=0,"",SUMIFS(BD!$AF$3:$AF$5001,BD!$A$3:$A$5001,M$3,BD!$B$3:$B$5001,$A$92)))</f>
        <v/>
      </c>
      <c r="N111" s="230" t="str">
        <f>IF(N$3="","",IF(COUNTIFS(BD!$A$3:$A$5001,N$3,BD!$B$3:$B$5001,$A$92,BD!$AF$3:$AF$5001,"&lt;&gt;")=0,"",SUMIFS(BD!$AF$3:$AF$5001,BD!$A$3:$A$5001,N$3,BD!$B$3:$B$5001,$A$92)))</f>
        <v/>
      </c>
      <c r="O111" s="230" t="str">
        <f>IF(O$3="","",IF(COUNTIFS(BD!$A$3:$A$5001,O$3,BD!$B$3:$B$5001,$A$92,BD!$AF$3:$AF$5001,"&lt;&gt;")=0,"",SUMIFS(BD!$AF$3:$AF$5001,BD!$A$3:$A$5001,O$3,BD!$B$3:$B$5001,$A$92)))</f>
        <v/>
      </c>
      <c r="P111" s="230" t="str">
        <f>IF(P$3="","",IF(COUNTIFS(BD!$A$3:$A$5001,P$3,BD!$B$3:$B$5001,$A$92,BD!$AF$3:$AF$5001,"&lt;&gt;")=0,"",SUMIFS(BD!$AF$3:$AF$5001,BD!$A$3:$A$5001,P$3,BD!$B$3:$B$5001,$A$92)))</f>
        <v/>
      </c>
      <c r="Q111" s="230" t="str">
        <f>IF(Q$3="","",IF(COUNTIFS(BD!$A$3:$A$5001,Q$3,BD!$B$3:$B$5001,$A$92,BD!$AF$3:$AF$5001,"&lt;&gt;")=0,"",SUMIFS(BD!$AF$3:$AF$5001,BD!$A$3:$A$5001,Q$3,BD!$B$3:$B$5001,$A$92)))</f>
        <v/>
      </c>
      <c r="R111" s="230" t="str">
        <f>IF(R$3="","",IF(COUNTIFS(BD!$A$3:$A$5001,R$3,BD!$B$3:$B$5001,$A$92,BD!$AF$3:$AF$5001,"&lt;&gt;")=0,"",SUMIFS(BD!$AF$3:$AF$5001,BD!$A$3:$A$5001,R$3,BD!$B$3:$B$5001,$A$92)))</f>
        <v/>
      </c>
      <c r="S111" s="230" t="str">
        <f>IF(S$3="","",IF(COUNTIFS(BD!$A$3:$A$5001,S$3,BD!$B$3:$B$5001,$A$92,BD!$AF$3:$AF$5001,"&lt;&gt;")=0,"",SUMIFS(BD!$AF$3:$AF$5001,BD!$A$3:$A$5001,S$3,BD!$B$3:$B$5001,$A$92)))</f>
        <v/>
      </c>
      <c r="T111" s="230" t="str">
        <f>IF(T$3="","",IF(COUNTIFS(BD!$A$3:$A$5001,T$3,BD!$B$3:$B$5001,$A$92,BD!$AF$3:$AF$5001,"&lt;&gt;")=0,"",SUMIFS(BD!$AF$3:$AF$5001,BD!$A$3:$A$5001,T$3,BD!$B$3:$B$5001,$A$92)))</f>
        <v/>
      </c>
      <c r="U111" s="230" t="str">
        <f>IF(U$3="","",IF(COUNTIFS(BD!$A$3:$A$5001,U$3,BD!$B$3:$B$5001,$A$92,BD!$AF$3:$AF$5001,"&lt;&gt;")=0,"",SUMIFS(BD!$AF$3:$AF$5001,BD!$A$3:$A$5001,U$3,BD!$B$3:$B$5001,$A$92)))</f>
        <v/>
      </c>
      <c r="V111" s="230" t="str">
        <f>IF(V$3="","",IF(COUNTIFS(BD!$A$3:$A$5001,V$3,BD!$B$3:$B$5001,$A$92,BD!$AF$3:$AF$5001,"&lt;&gt;")=0,"",SUMIFS(BD!$AF$3:$AF$5001,BD!$A$3:$A$5001,V$3,BD!$B$3:$B$5001,$A$92)))</f>
        <v/>
      </c>
      <c r="W111" s="230" t="str">
        <f>IF(W$3="","",IF(COUNTIFS(BD!$A$3:$A$5001,W$3,BD!$B$3:$B$5001,$A$92,BD!$AF$3:$AF$5001,"&lt;&gt;")=0,"",SUMIFS(BD!$AF$3:$AF$5001,BD!$A$3:$A$5001,W$3,BD!$B$3:$B$5001,$A$92)))</f>
        <v/>
      </c>
      <c r="X111" s="230" t="str">
        <f>IF(X$3="","",IF(COUNTIFS(BD!$A$3:$A$5001,X$3,BD!$B$3:$B$5001,$A$92,BD!$AF$3:$AF$5001,"&lt;&gt;")=0,"",SUMIFS(BD!$AF$3:$AF$5001,BD!$A$3:$A$5001,X$3,BD!$B$3:$B$5001,$A$92)))</f>
        <v/>
      </c>
      <c r="Y111" s="230" t="str">
        <f>IF(Y$3="","",IF(COUNTIFS(BD!$A$3:$A$5001,Y$3,BD!$B$3:$B$5001,$A$92,BD!$AF$3:$AF$5001,"&lt;&gt;")=0,"",SUMIFS(BD!$AF$3:$AF$5001,BD!$A$3:$A$5001,Y$3,BD!$B$3:$B$5001,$A$92)))</f>
        <v/>
      </c>
      <c r="Z111" s="230" t="str">
        <f>IF(Z$3="","",IF(COUNTIFS(BD!$A$3:$A$5001,Z$3,BD!$B$3:$B$5001,$A$92,BD!$AF$3:$AF$5001,"&lt;&gt;")=0,"",SUMIFS(BD!$AF$3:$AF$5001,BD!$A$3:$A$5001,Z$3,BD!$B$3:$B$5001,$A$92)))</f>
        <v/>
      </c>
      <c r="AA111" s="230" t="str">
        <f>IF(AA$3="","",IF(COUNTIFS(BD!$A$3:$A$5001,AA$3,BD!$B$3:$B$5001,$A$92,BD!$AF$3:$AF$5001,"&lt;&gt;")=0,"",SUMIFS(BD!$AF$3:$AF$5001,BD!$A$3:$A$5001,AA$3,BD!$B$3:$B$5001,$A$92)))</f>
        <v/>
      </c>
      <c r="AB111" s="230" t="str">
        <f>IF(AB$3="","",IF(COUNTIFS(BD!$A$3:$A$5001,AB$3,BD!$B$3:$B$5001,$A$92,BD!$AF$3:$AF$5001,"&lt;&gt;")=0,"",SUMIFS(BD!$AF$3:$AF$5001,BD!$A$3:$A$5001,AB$3,BD!$B$3:$B$5001,$A$92)))</f>
        <v/>
      </c>
      <c r="AC111" s="230" t="str">
        <f>IF(AC$3="","",IF(COUNTIFS(BD!$A$3:$A$5001,AC$3,BD!$B$3:$B$5001,$A$92,BD!$AF$3:$AF$5001,"&lt;&gt;")=0,"",SUMIFS(BD!$AF$3:$AF$5001,BD!$A$3:$A$5001,AC$3,BD!$B$3:$B$5001,$A$92)))</f>
        <v/>
      </c>
      <c r="AD111" s="230" t="str">
        <f>IF(AD$3="","",IF(COUNTIFS(BD!$A$3:$A$5001,AD$3,BD!$B$3:$B$5001,$A$92,BD!$AF$3:$AF$5001,"&lt;&gt;")=0,"",SUMIFS(BD!$AF$3:$AF$5001,BD!$A$3:$A$5001,AD$3,BD!$B$3:$B$5001,$A$92)))</f>
        <v/>
      </c>
      <c r="AE111" s="230" t="str">
        <f>IF(AE$3="","",IF(COUNTIFS(BD!$A$3:$A$5001,AE$3,BD!$B$3:$B$5001,$A$92,BD!$AF$3:$AF$5001,"&lt;&gt;")=0,"",SUMIFS(BD!$AF$3:$AF$5001,BD!$A$3:$A$5001,AE$3,BD!$B$3:$B$5001,$A$92)))</f>
        <v/>
      </c>
      <c r="AF111" s="230" t="str">
        <f>IF(AF$3="","",IF(COUNTIFS(BD!$A$3:$A$5001,AF$3,BD!$B$3:$B$5001,$A$92,BD!$AF$3:$AF$5001,"&lt;&gt;")=0,"",SUMIFS(BD!$AF$3:$AF$5001,BD!$A$3:$A$5001,AF$3,BD!$B$3:$B$5001,$A$92)))</f>
        <v/>
      </c>
      <c r="AG111" s="230" t="str">
        <f>IF(AG$3="","",IF(COUNTIFS(BD!$A$3:$A$5001,AG$3,BD!$B$3:$B$5001,$A$92,BD!$AF$3:$AF$5001,"&lt;&gt;")=0,"",SUMIFS(BD!$AF$3:$AF$5001,BD!$A$3:$A$5001,AG$3,BD!$B$3:$B$5001,$A$92)))</f>
        <v/>
      </c>
      <c r="AH111" s="230" t="str">
        <f>IF(AH$3="","",IF(COUNTIFS(BD!$A$3:$A$5001,AH$3,BD!$B$3:$B$5001,$A$92,BD!$AF$3:$AF$5001,"&lt;&gt;")=0,"",SUMIFS(BD!$AF$3:$AF$5001,BD!$A$3:$A$5001,AH$3,BD!$B$3:$B$5001,$A$92)))</f>
        <v/>
      </c>
      <c r="AI111" s="230" t="str">
        <f>IF(AI$3="","",IF(COUNTIFS(BD!$A$3:$A$5001,AI$3,BD!$B$3:$B$5001,$A$92,BD!$AF$3:$AF$5001,"&lt;&gt;")=0,"",SUMIFS(BD!$AF$3:$AF$5001,BD!$A$3:$A$5001,AI$3,BD!$B$3:$B$5001,$A$92)))</f>
        <v/>
      </c>
      <c r="AJ111" s="231" t="str">
        <f>IF(AJ$3="","",IF(COUNTIFS(BD!$A$3:$A$5001,AJ$3,BD!$B$3:$B$5001,$A$92,BD!$AF$3:$AF$5001,"&lt;&gt;")=0,"",SUMIFS(BD!$AF$3:$AF$5001,BD!$A$3:$A$5001,AJ$3,BD!$B$3:$B$5001,$A$92)))</f>
        <v/>
      </c>
      <c r="AK111" s="227" t="str">
        <f>IF(COUNT(F111:AJ111)=0,"",SUM(F111:AJ111))</f>
        <v/>
      </c>
    </row>
    <row r="113" ht="15.75" customHeight="1">
      <c r="A113" s="243" t="inlineStr">
        <is>
          <t xml:space="preserve">GE Vernova</t>
        </is>
      </c>
      <c r="B113" s="232" t="inlineStr">
        <is>
          <t xml:space="preserve">IN</t>
        </is>
      </c>
      <c r="C113" s="155" t="inlineStr">
        <is>
          <t xml:space="preserve">Veículos Recebidos</t>
        </is>
      </c>
      <c r="D113" s="156" t="str">
        <f>IFERROR(1/(1/INDEX(BD!$AJ$23:$BD$23,MATCH($A$113,BD!$AJ$22:$BD$22,0))),"")</f>
        <v/>
      </c>
      <c r="E113" s="157"/>
      <c r="F113" s="158" t="str">
        <f>IF(F$3="","",IF(COUNTIFS(BD!$A$3:$A$5001,F$3,BD!$B$3:$B$5001,$A$113,BD!$C$3:$C$5001,"&lt;&gt;")=0,"",SUMIFS(BD!$C$3:$C$5001,BD!$A$3:$A$5001,F$3,BD!$B$3:$B$5001,$A$113)))</f>
        <v/>
      </c>
      <c r="G113" s="159" t="str">
        <f>IF(G$3="","",IF(COUNTIFS(BD!$A$3:$A$5001,G$3,BD!$B$3:$B$5001,$A$113,BD!$C$3:$C$5001,"&lt;&gt;")=0,"",SUMIFS(BD!$C$3:$C$5001,BD!$A$3:$A$5001,G$3,BD!$B$3:$B$5001,$A$113)))</f>
        <v/>
      </c>
      <c r="H113" s="159" t="str">
        <f>IF(H$3="","",IF(COUNTIFS(BD!$A$3:$A$5001,H$3,BD!$B$3:$B$5001,$A$113,BD!$C$3:$C$5001,"&lt;&gt;")=0,"",SUMIFS(BD!$C$3:$C$5001,BD!$A$3:$A$5001,H$3,BD!$B$3:$B$5001,$A$113)))</f>
        <v/>
      </c>
      <c r="I113" s="159" t="str">
        <f>IF(I$3="","",IF(COUNTIFS(BD!$A$3:$A$5001,I$3,BD!$B$3:$B$5001,$A$113,BD!$C$3:$C$5001,"&lt;&gt;")=0,"",SUMIFS(BD!$C$3:$C$5001,BD!$A$3:$A$5001,I$3,BD!$B$3:$B$5001,$A$113)))</f>
        <v/>
      </c>
      <c r="J113" s="159" t="str">
        <f>IF(J$3="","",IF(COUNTIFS(BD!$A$3:$A$5001,J$3,BD!$B$3:$B$5001,$A$113,BD!$C$3:$C$5001,"&lt;&gt;")=0,"",SUMIFS(BD!$C$3:$C$5001,BD!$A$3:$A$5001,J$3,BD!$B$3:$B$5001,$A$113)))</f>
        <v/>
      </c>
      <c r="K113" s="159" t="str">
        <f>IF(K$3="","",IF(COUNTIFS(BD!$A$3:$A$5001,K$3,BD!$B$3:$B$5001,$A$113,BD!$C$3:$C$5001,"&lt;&gt;")=0,"",SUMIFS(BD!$C$3:$C$5001,BD!$A$3:$A$5001,K$3,BD!$B$3:$B$5001,$A$113)))</f>
        <v/>
      </c>
      <c r="L113" s="159" t="str">
        <f>IF(L$3="","",IF(COUNTIFS(BD!$A$3:$A$5001,L$3,BD!$B$3:$B$5001,$A$113,BD!$C$3:$C$5001,"&lt;&gt;")=0,"",SUMIFS(BD!$C$3:$C$5001,BD!$A$3:$A$5001,L$3,BD!$B$3:$B$5001,$A$113)))</f>
        <v/>
      </c>
      <c r="M113" s="159" t="str">
        <f>IF(M$3="","",IF(COUNTIFS(BD!$A$3:$A$5001,M$3,BD!$B$3:$B$5001,$A$113,BD!$C$3:$C$5001,"&lt;&gt;")=0,"",SUMIFS(BD!$C$3:$C$5001,BD!$A$3:$A$5001,M$3,BD!$B$3:$B$5001,$A$113)))</f>
        <v/>
      </c>
      <c r="N113" s="159" t="str">
        <f>IF(N$3="","",IF(COUNTIFS(BD!$A$3:$A$5001,N$3,BD!$B$3:$B$5001,$A$113,BD!$C$3:$C$5001,"&lt;&gt;")=0,"",SUMIFS(BD!$C$3:$C$5001,BD!$A$3:$A$5001,N$3,BD!$B$3:$B$5001,$A$113)))</f>
        <v/>
      </c>
      <c r="O113" s="159" t="str">
        <f>IF(O$3="","",IF(COUNTIFS(BD!$A$3:$A$5001,O$3,BD!$B$3:$B$5001,$A$113,BD!$C$3:$C$5001,"&lt;&gt;")=0,"",SUMIFS(BD!$C$3:$C$5001,BD!$A$3:$A$5001,O$3,BD!$B$3:$B$5001,$A$113)))</f>
        <v/>
      </c>
      <c r="P113" s="159" t="str">
        <f>IF(P$3="","",IF(COUNTIFS(BD!$A$3:$A$5001,P$3,BD!$B$3:$B$5001,$A$113,BD!$C$3:$C$5001,"&lt;&gt;")=0,"",SUMIFS(BD!$C$3:$C$5001,BD!$A$3:$A$5001,P$3,BD!$B$3:$B$5001,$A$113)))</f>
        <v/>
      </c>
      <c r="Q113" s="159" t="str">
        <f>IF(Q$3="","",IF(COUNTIFS(BD!$A$3:$A$5001,Q$3,BD!$B$3:$B$5001,$A$113,BD!$C$3:$C$5001,"&lt;&gt;")=0,"",SUMIFS(BD!$C$3:$C$5001,BD!$A$3:$A$5001,Q$3,BD!$B$3:$B$5001,$A$113)))</f>
        <v/>
      </c>
      <c r="R113" s="159" t="str">
        <f>IF(R$3="","",IF(COUNTIFS(BD!$A$3:$A$5001,R$3,BD!$B$3:$B$5001,$A$113,BD!$C$3:$C$5001,"&lt;&gt;")=0,"",SUMIFS(BD!$C$3:$C$5001,BD!$A$3:$A$5001,R$3,BD!$B$3:$B$5001,$A$113)))</f>
        <v/>
      </c>
      <c r="S113" s="159" t="str">
        <f>IF(S$3="","",IF(COUNTIFS(BD!$A$3:$A$5001,S$3,BD!$B$3:$B$5001,$A$113,BD!$C$3:$C$5001,"&lt;&gt;")=0,"",SUMIFS(BD!$C$3:$C$5001,BD!$A$3:$A$5001,S$3,BD!$B$3:$B$5001,$A$113)))</f>
        <v/>
      </c>
      <c r="T113" s="159" t="str">
        <f>IF(T$3="","",IF(COUNTIFS(BD!$A$3:$A$5001,T$3,BD!$B$3:$B$5001,$A$113,BD!$C$3:$C$5001,"&lt;&gt;")=0,"",SUMIFS(BD!$C$3:$C$5001,BD!$A$3:$A$5001,T$3,BD!$B$3:$B$5001,$A$113)))</f>
        <v/>
      </c>
      <c r="U113" s="159" t="str">
        <f>IF(U$3="","",IF(COUNTIFS(BD!$A$3:$A$5001,U$3,BD!$B$3:$B$5001,$A$113,BD!$C$3:$C$5001,"&lt;&gt;")=0,"",SUMIFS(BD!$C$3:$C$5001,BD!$A$3:$A$5001,U$3,BD!$B$3:$B$5001,$A$113)))</f>
        <v/>
      </c>
      <c r="V113" s="159" t="str">
        <f>IF(V$3="","",IF(COUNTIFS(BD!$A$3:$A$5001,V$3,BD!$B$3:$B$5001,$A$113,BD!$C$3:$C$5001,"&lt;&gt;")=0,"",SUMIFS(BD!$C$3:$C$5001,BD!$A$3:$A$5001,V$3,BD!$B$3:$B$5001,$A$113)))</f>
        <v/>
      </c>
      <c r="W113" s="159" t="str">
        <f>IF(W$3="","",IF(COUNTIFS(BD!$A$3:$A$5001,W$3,BD!$B$3:$B$5001,$A$113,BD!$C$3:$C$5001,"&lt;&gt;")=0,"",SUMIFS(BD!$C$3:$C$5001,BD!$A$3:$A$5001,W$3,BD!$B$3:$B$5001,$A$113)))</f>
        <v/>
      </c>
      <c r="X113" s="159" t="str">
        <f>IF(X$3="","",IF(COUNTIFS(BD!$A$3:$A$5001,X$3,BD!$B$3:$B$5001,$A$113,BD!$C$3:$C$5001,"&lt;&gt;")=0,"",SUMIFS(BD!$C$3:$C$5001,BD!$A$3:$A$5001,X$3,BD!$B$3:$B$5001,$A$113)))</f>
        <v/>
      </c>
      <c r="Y113" s="159" t="str">
        <f>IF(Y$3="","",IF(COUNTIFS(BD!$A$3:$A$5001,Y$3,BD!$B$3:$B$5001,$A$113,BD!$C$3:$C$5001,"&lt;&gt;")=0,"",SUMIFS(BD!$C$3:$C$5001,BD!$A$3:$A$5001,Y$3,BD!$B$3:$B$5001,$A$113)))</f>
        <v/>
      </c>
      <c r="Z113" s="159" t="str">
        <f>IF(Z$3="","",IF(COUNTIFS(BD!$A$3:$A$5001,Z$3,BD!$B$3:$B$5001,$A$113,BD!$C$3:$C$5001,"&lt;&gt;")=0,"",SUMIFS(BD!$C$3:$C$5001,BD!$A$3:$A$5001,Z$3,BD!$B$3:$B$5001,$A$113)))</f>
        <v/>
      </c>
      <c r="AA113" s="159" t="str">
        <f>IF(AA$3="","",IF(COUNTIFS(BD!$A$3:$A$5001,AA$3,BD!$B$3:$B$5001,$A$113,BD!$C$3:$C$5001,"&lt;&gt;")=0,"",SUMIFS(BD!$C$3:$C$5001,BD!$A$3:$A$5001,AA$3,BD!$B$3:$B$5001,$A$113)))</f>
        <v/>
      </c>
      <c r="AB113" s="159" t="str">
        <f>IF(AB$3="","",IF(COUNTIFS(BD!$A$3:$A$5001,AB$3,BD!$B$3:$B$5001,$A$113,BD!$C$3:$C$5001,"&lt;&gt;")=0,"",SUMIFS(BD!$C$3:$C$5001,BD!$A$3:$A$5001,AB$3,BD!$B$3:$B$5001,$A$113)))</f>
        <v/>
      </c>
      <c r="AC113" s="159" t="str">
        <f>IF(AC$3="","",IF(COUNTIFS(BD!$A$3:$A$5001,AC$3,BD!$B$3:$B$5001,$A$113,BD!$C$3:$C$5001,"&lt;&gt;")=0,"",SUMIFS(BD!$C$3:$C$5001,BD!$A$3:$A$5001,AC$3,BD!$B$3:$B$5001,$A$113)))</f>
        <v/>
      </c>
      <c r="AD113" s="159" t="str">
        <f>IF(AD$3="","",IF(COUNTIFS(BD!$A$3:$A$5001,AD$3,BD!$B$3:$B$5001,$A$113,BD!$C$3:$C$5001,"&lt;&gt;")=0,"",SUMIFS(BD!$C$3:$C$5001,BD!$A$3:$A$5001,AD$3,BD!$B$3:$B$5001,$A$113)))</f>
        <v/>
      </c>
      <c r="AE113" s="159" t="str">
        <f>IF(AE$3="","",IF(COUNTIFS(BD!$A$3:$A$5001,AE$3,BD!$B$3:$B$5001,$A$113,BD!$C$3:$C$5001,"&lt;&gt;")=0,"",SUMIFS(BD!$C$3:$C$5001,BD!$A$3:$A$5001,AE$3,BD!$B$3:$B$5001,$A$113)))</f>
        <v/>
      </c>
      <c r="AF113" s="159" t="str">
        <f>IF(AF$3="","",IF(COUNTIFS(BD!$A$3:$A$5001,AF$3,BD!$B$3:$B$5001,$A$113,BD!$C$3:$C$5001,"&lt;&gt;")=0,"",SUMIFS(BD!$C$3:$C$5001,BD!$A$3:$A$5001,AF$3,BD!$B$3:$B$5001,$A$113)))</f>
        <v/>
      </c>
      <c r="AG113" s="159" t="str">
        <f>IF(AG$3="","",IF(COUNTIFS(BD!$A$3:$A$5001,AG$3,BD!$B$3:$B$5001,$A$113,BD!$C$3:$C$5001,"&lt;&gt;")=0,"",SUMIFS(BD!$C$3:$C$5001,BD!$A$3:$A$5001,AG$3,BD!$B$3:$B$5001,$A$113)))</f>
        <v/>
      </c>
      <c r="AH113" s="159" t="str">
        <f>IF(AH$3="","",IF(COUNTIFS(BD!$A$3:$A$5001,AH$3,BD!$B$3:$B$5001,$A$113,BD!$C$3:$C$5001,"&lt;&gt;")=0,"",SUMIFS(BD!$C$3:$C$5001,BD!$A$3:$A$5001,AH$3,BD!$B$3:$B$5001,$A$113)))</f>
        <v/>
      </c>
      <c r="AI113" s="159" t="str">
        <f>IF(AI$3="","",IF(COUNTIFS(BD!$A$3:$A$5001,AI$3,BD!$B$3:$B$5001,$A$113,BD!$C$3:$C$5001,"&lt;&gt;")=0,"",SUMIFS(BD!$C$3:$C$5001,BD!$A$3:$A$5001,AI$3,BD!$B$3:$B$5001,$A$113)))</f>
        <v/>
      </c>
      <c r="AJ113" s="160" t="str">
        <f>IF(AJ$3="","",IF(COUNTIFS(BD!$A$3:$A$5001,AJ$3,BD!$B$3:$B$5001,$A$113,BD!$C$3:$C$5001,"&lt;&gt;")=0,"",SUMIFS(BD!$C$3:$C$5001,BD!$A$3:$A$5001,AJ$3,BD!$B$3:$B$5001,$A$113)))</f>
        <v/>
      </c>
      <c r="AK113" s="161" t="str">
        <f>IF(COUNT(F113:AJ113)=0,"",SUM(F113:AJ113))</f>
        <v/>
      </c>
    </row>
    <row r="114" ht="15.75" customHeight="1">
      <c r="A114" s="244"/>
      <c r="B114" s="239"/>
      <c r="C114" s="201" t="inlineStr">
        <is>
          <t xml:space="preserve">Pallets Movimentados</t>
        </is>
      </c>
      <c r="D114" s="202" t="str">
        <f>IFERROR(1/(1/INDEX(BD!$AJ$24:$BD$24,MATCH($A$113,BD!$AJ$22:$BD$22,0))),"")</f>
        <v/>
      </c>
      <c r="E114" s="203"/>
      <c r="F114" s="204" t="str">
        <f>IF(F$3="","",IF(COUNTIFS(BD!$A$3:$A$5001,F$3,BD!$B$3:$B$5001,$A$113,BD!$D$3:$D$5001,"&lt;&gt;")=0,"",SUMIFS(BD!$D$3:$D$5001,BD!$A$3:$A$5001,F$3,BD!$B$3:$B$5001,$A$113)))</f>
        <v/>
      </c>
      <c r="G114" s="205" t="str">
        <f>IF(G$3="","",IF(COUNTIFS(BD!$A$3:$A$5001,G$3,BD!$B$3:$B$5001,$A$113,BD!$D$3:$D$5001,"&lt;&gt;")=0,"",SUMIFS(BD!$D$3:$D$5001,BD!$A$3:$A$5001,G$3,BD!$B$3:$B$5001,$A$113)))</f>
        <v/>
      </c>
      <c r="H114" s="205" t="str">
        <f>IF(H$3="","",IF(COUNTIFS(BD!$A$3:$A$5001,H$3,BD!$B$3:$B$5001,$A$113,BD!$D$3:$D$5001,"&lt;&gt;")=0,"",SUMIFS(BD!$D$3:$D$5001,BD!$A$3:$A$5001,H$3,BD!$B$3:$B$5001,$A$113)))</f>
        <v/>
      </c>
      <c r="I114" s="205" t="str">
        <f>IF(I$3="","",IF(COUNTIFS(BD!$A$3:$A$5001,I$3,BD!$B$3:$B$5001,$A$113,BD!$D$3:$D$5001,"&lt;&gt;")=0,"",SUMIFS(BD!$D$3:$D$5001,BD!$A$3:$A$5001,I$3,BD!$B$3:$B$5001,$A$113)))</f>
        <v/>
      </c>
      <c r="J114" s="205" t="str">
        <f>IF(J$3="","",IF(COUNTIFS(BD!$A$3:$A$5001,J$3,BD!$B$3:$B$5001,$A$113,BD!$D$3:$D$5001,"&lt;&gt;")=0,"",SUMIFS(BD!$D$3:$D$5001,BD!$A$3:$A$5001,J$3,BD!$B$3:$B$5001,$A$113)))</f>
        <v/>
      </c>
      <c r="K114" s="205" t="str">
        <f>IF(K$3="","",IF(COUNTIFS(BD!$A$3:$A$5001,K$3,BD!$B$3:$B$5001,$A$113,BD!$D$3:$D$5001,"&lt;&gt;")=0,"",SUMIFS(BD!$D$3:$D$5001,BD!$A$3:$A$5001,K$3,BD!$B$3:$B$5001,$A$113)))</f>
        <v/>
      </c>
      <c r="L114" s="205" t="str">
        <f>IF(L$3="","",IF(COUNTIFS(BD!$A$3:$A$5001,L$3,BD!$B$3:$B$5001,$A$113,BD!$D$3:$D$5001,"&lt;&gt;")=0,"",SUMIFS(BD!$D$3:$D$5001,BD!$A$3:$A$5001,L$3,BD!$B$3:$B$5001,$A$113)))</f>
        <v/>
      </c>
      <c r="M114" s="205" t="str">
        <f>IF(M$3="","",IF(COUNTIFS(BD!$A$3:$A$5001,M$3,BD!$B$3:$B$5001,$A$113,BD!$D$3:$D$5001,"&lt;&gt;")=0,"",SUMIFS(BD!$D$3:$D$5001,BD!$A$3:$A$5001,M$3,BD!$B$3:$B$5001,$A$113)))</f>
        <v/>
      </c>
      <c r="N114" s="205" t="str">
        <f>IF(N$3="","",IF(COUNTIFS(BD!$A$3:$A$5001,N$3,BD!$B$3:$B$5001,$A$113,BD!$D$3:$D$5001,"&lt;&gt;")=0,"",SUMIFS(BD!$D$3:$D$5001,BD!$A$3:$A$5001,N$3,BD!$B$3:$B$5001,$A$113)))</f>
        <v/>
      </c>
      <c r="O114" s="205" t="str">
        <f>IF(O$3="","",IF(COUNTIFS(BD!$A$3:$A$5001,O$3,BD!$B$3:$B$5001,$A$113,BD!$D$3:$D$5001,"&lt;&gt;")=0,"",SUMIFS(BD!$D$3:$D$5001,BD!$A$3:$A$5001,O$3,BD!$B$3:$B$5001,$A$113)))</f>
        <v/>
      </c>
      <c r="P114" s="205" t="str">
        <f>IF(P$3="","",IF(COUNTIFS(BD!$A$3:$A$5001,P$3,BD!$B$3:$B$5001,$A$113,BD!$D$3:$D$5001,"&lt;&gt;")=0,"",SUMIFS(BD!$D$3:$D$5001,BD!$A$3:$A$5001,P$3,BD!$B$3:$B$5001,$A$113)))</f>
        <v/>
      </c>
      <c r="Q114" s="205" t="str">
        <f>IF(Q$3="","",IF(COUNTIFS(BD!$A$3:$A$5001,Q$3,BD!$B$3:$B$5001,$A$113,BD!$D$3:$D$5001,"&lt;&gt;")=0,"",SUMIFS(BD!$D$3:$D$5001,BD!$A$3:$A$5001,Q$3,BD!$B$3:$B$5001,$A$113)))</f>
        <v/>
      </c>
      <c r="R114" s="205" t="str">
        <f>IF(R$3="","",IF(COUNTIFS(BD!$A$3:$A$5001,R$3,BD!$B$3:$B$5001,$A$113,BD!$D$3:$D$5001,"&lt;&gt;")=0,"",SUMIFS(BD!$D$3:$D$5001,BD!$A$3:$A$5001,R$3,BD!$B$3:$B$5001,$A$113)))</f>
        <v/>
      </c>
      <c r="S114" s="205" t="str">
        <f>IF(S$3="","",IF(COUNTIFS(BD!$A$3:$A$5001,S$3,BD!$B$3:$B$5001,$A$113,BD!$D$3:$D$5001,"&lt;&gt;")=0,"",SUMIFS(BD!$D$3:$D$5001,BD!$A$3:$A$5001,S$3,BD!$B$3:$B$5001,$A$113)))</f>
        <v/>
      </c>
      <c r="T114" s="205" t="str">
        <f>IF(T$3="","",IF(COUNTIFS(BD!$A$3:$A$5001,T$3,BD!$B$3:$B$5001,$A$113,BD!$D$3:$D$5001,"&lt;&gt;")=0,"",SUMIFS(BD!$D$3:$D$5001,BD!$A$3:$A$5001,T$3,BD!$B$3:$B$5001,$A$113)))</f>
        <v/>
      </c>
      <c r="U114" s="205" t="str">
        <f>IF(U$3="","",IF(COUNTIFS(BD!$A$3:$A$5001,U$3,BD!$B$3:$B$5001,$A$113,BD!$D$3:$D$5001,"&lt;&gt;")=0,"",SUMIFS(BD!$D$3:$D$5001,BD!$A$3:$A$5001,U$3,BD!$B$3:$B$5001,$A$113)))</f>
        <v/>
      </c>
      <c r="V114" s="205" t="str">
        <f>IF(V$3="","",IF(COUNTIFS(BD!$A$3:$A$5001,V$3,BD!$B$3:$B$5001,$A$113,BD!$D$3:$D$5001,"&lt;&gt;")=0,"",SUMIFS(BD!$D$3:$D$5001,BD!$A$3:$A$5001,V$3,BD!$B$3:$B$5001,$A$113)))</f>
        <v/>
      </c>
      <c r="W114" s="205" t="str">
        <f>IF(W$3="","",IF(COUNTIFS(BD!$A$3:$A$5001,W$3,BD!$B$3:$B$5001,$A$113,BD!$D$3:$D$5001,"&lt;&gt;")=0,"",SUMIFS(BD!$D$3:$D$5001,BD!$A$3:$A$5001,W$3,BD!$B$3:$B$5001,$A$113)))</f>
        <v/>
      </c>
      <c r="X114" s="205" t="str">
        <f>IF(X$3="","",IF(COUNTIFS(BD!$A$3:$A$5001,X$3,BD!$B$3:$B$5001,$A$113,BD!$D$3:$D$5001,"&lt;&gt;")=0,"",SUMIFS(BD!$D$3:$D$5001,BD!$A$3:$A$5001,X$3,BD!$B$3:$B$5001,$A$113)))</f>
        <v/>
      </c>
      <c r="Y114" s="205" t="str">
        <f>IF(Y$3="","",IF(COUNTIFS(BD!$A$3:$A$5001,Y$3,BD!$B$3:$B$5001,$A$113,BD!$D$3:$D$5001,"&lt;&gt;")=0,"",SUMIFS(BD!$D$3:$D$5001,BD!$A$3:$A$5001,Y$3,BD!$B$3:$B$5001,$A$113)))</f>
        <v/>
      </c>
      <c r="Z114" s="205" t="str">
        <f>IF(Z$3="","",IF(COUNTIFS(BD!$A$3:$A$5001,Z$3,BD!$B$3:$B$5001,$A$113,BD!$D$3:$D$5001,"&lt;&gt;")=0,"",SUMIFS(BD!$D$3:$D$5001,BD!$A$3:$A$5001,Z$3,BD!$B$3:$B$5001,$A$113)))</f>
        <v/>
      </c>
      <c r="AA114" s="205" t="str">
        <f>IF(AA$3="","",IF(COUNTIFS(BD!$A$3:$A$5001,AA$3,BD!$B$3:$B$5001,$A$113,BD!$D$3:$D$5001,"&lt;&gt;")=0,"",SUMIFS(BD!$D$3:$D$5001,BD!$A$3:$A$5001,AA$3,BD!$B$3:$B$5001,$A$113)))</f>
        <v/>
      </c>
      <c r="AB114" s="205" t="str">
        <f>IF(AB$3="","",IF(COUNTIFS(BD!$A$3:$A$5001,AB$3,BD!$B$3:$B$5001,$A$113,BD!$D$3:$D$5001,"&lt;&gt;")=0,"",SUMIFS(BD!$D$3:$D$5001,BD!$A$3:$A$5001,AB$3,BD!$B$3:$B$5001,$A$113)))</f>
        <v/>
      </c>
      <c r="AC114" s="205" t="str">
        <f>IF(AC$3="","",IF(COUNTIFS(BD!$A$3:$A$5001,AC$3,BD!$B$3:$B$5001,$A$113,BD!$D$3:$D$5001,"&lt;&gt;")=0,"",SUMIFS(BD!$D$3:$D$5001,BD!$A$3:$A$5001,AC$3,BD!$B$3:$B$5001,$A$113)))</f>
        <v/>
      </c>
      <c r="AD114" s="205" t="str">
        <f>IF(AD$3="","",IF(COUNTIFS(BD!$A$3:$A$5001,AD$3,BD!$B$3:$B$5001,$A$113,BD!$D$3:$D$5001,"&lt;&gt;")=0,"",SUMIFS(BD!$D$3:$D$5001,BD!$A$3:$A$5001,AD$3,BD!$B$3:$B$5001,$A$113)))</f>
        <v/>
      </c>
      <c r="AE114" s="205" t="str">
        <f>IF(AE$3="","",IF(COUNTIFS(BD!$A$3:$A$5001,AE$3,BD!$B$3:$B$5001,$A$113,BD!$D$3:$D$5001,"&lt;&gt;")=0,"",SUMIFS(BD!$D$3:$D$5001,BD!$A$3:$A$5001,AE$3,BD!$B$3:$B$5001,$A$113)))</f>
        <v/>
      </c>
      <c r="AF114" s="205" t="str">
        <f>IF(AF$3="","",IF(COUNTIFS(BD!$A$3:$A$5001,AF$3,BD!$B$3:$B$5001,$A$113,BD!$D$3:$D$5001,"&lt;&gt;")=0,"",SUMIFS(BD!$D$3:$D$5001,BD!$A$3:$A$5001,AF$3,BD!$B$3:$B$5001,$A$113)))</f>
        <v/>
      </c>
      <c r="AG114" s="205" t="str">
        <f>IF(AG$3="","",IF(COUNTIFS(BD!$A$3:$A$5001,AG$3,BD!$B$3:$B$5001,$A$113,BD!$D$3:$D$5001,"&lt;&gt;")=0,"",SUMIFS(BD!$D$3:$D$5001,BD!$A$3:$A$5001,AG$3,BD!$B$3:$B$5001,$A$113)))</f>
        <v/>
      </c>
      <c r="AH114" s="205" t="str">
        <f>IF(AH$3="","",IF(COUNTIFS(BD!$A$3:$A$5001,AH$3,BD!$B$3:$B$5001,$A$113,BD!$D$3:$D$5001,"&lt;&gt;")=0,"",SUMIFS(BD!$D$3:$D$5001,BD!$A$3:$A$5001,AH$3,BD!$B$3:$B$5001,$A$113)))</f>
        <v/>
      </c>
      <c r="AI114" s="205" t="str">
        <f>IF(AI$3="","",IF(COUNTIFS(BD!$A$3:$A$5001,AI$3,BD!$B$3:$B$5001,$A$113,BD!$D$3:$D$5001,"&lt;&gt;")=0,"",SUMIFS(BD!$D$3:$D$5001,BD!$A$3:$A$5001,AI$3,BD!$B$3:$B$5001,$A$113)))</f>
        <v/>
      </c>
      <c r="AJ114" s="206" t="str">
        <f>IF(AJ$3="","",IF(COUNTIFS(BD!$A$3:$A$5001,AJ$3,BD!$B$3:$B$5001,$A$113,BD!$D$3:$D$5001,"&lt;&gt;")=0,"",SUMIFS(BD!$D$3:$D$5001,BD!$A$3:$A$5001,AJ$3,BD!$B$3:$B$5001,$A$113)))</f>
        <v/>
      </c>
      <c r="AK114" s="207" t="str">
        <f>IF(COUNT(F114:AJ114)=0,"",SUM(F114:AJ114))</f>
        <v/>
      </c>
    </row>
    <row r="115" ht="15.75" customHeight="1">
      <c r="A115" s="244"/>
      <c r="B115" s="233"/>
      <c r="C115" s="162" t="inlineStr">
        <is>
          <t xml:space="preserve">Linhas NF</t>
        </is>
      </c>
      <c r="D115" s="163" t="str">
        <f>IFERROR(1/(1/INDEX(BD!$AJ$26:$BD$26,MATCH($A$113,BD!$AJ$22:$BD$22,0))),"")</f>
        <v/>
      </c>
      <c r="E115" s="164"/>
      <c r="F115" s="165" t="str">
        <f>IF(F$3="","",IF(COUNTIFS(BD!$A$3:$A$5001,F$3,BD!$B$3:$B$5001,$A$113,BD!$F$3:$F$5001,"&lt;&gt;")=0,"",SUMIFS(BD!$F$3:$F$5001,BD!$A$3:$A$5001,F$3,BD!$B$3:$B$5001,$A$113)))</f>
        <v/>
      </c>
      <c r="G115" s="166" t="str">
        <f>IF(G$3="","",IF(COUNTIFS(BD!$A$3:$A$5001,G$3,BD!$B$3:$B$5001,$A$113,BD!$F$3:$F$5001,"&lt;&gt;")=0,"",SUMIFS(BD!$F$3:$F$5001,BD!$A$3:$A$5001,G$3,BD!$B$3:$B$5001,$A$113)))</f>
        <v/>
      </c>
      <c r="H115" s="166" t="str">
        <f>IF(H$3="","",IF(COUNTIFS(BD!$A$3:$A$5001,H$3,BD!$B$3:$B$5001,$A$113,BD!$F$3:$F$5001,"&lt;&gt;")=0,"",SUMIFS(BD!$F$3:$F$5001,BD!$A$3:$A$5001,H$3,BD!$B$3:$B$5001,$A$113)))</f>
        <v/>
      </c>
      <c r="I115" s="166" t="str">
        <f>IF(I$3="","",IF(COUNTIFS(BD!$A$3:$A$5001,I$3,BD!$B$3:$B$5001,$A$113,BD!$F$3:$F$5001,"&lt;&gt;")=0,"",SUMIFS(BD!$F$3:$F$5001,BD!$A$3:$A$5001,I$3,BD!$B$3:$B$5001,$A$113)))</f>
        <v/>
      </c>
      <c r="J115" s="166" t="str">
        <f>IF(J$3="","",IF(COUNTIFS(BD!$A$3:$A$5001,J$3,BD!$B$3:$B$5001,$A$113,BD!$F$3:$F$5001,"&lt;&gt;")=0,"",SUMIFS(BD!$F$3:$F$5001,BD!$A$3:$A$5001,J$3,BD!$B$3:$B$5001,$A$113)))</f>
        <v/>
      </c>
      <c r="K115" s="166" t="str">
        <f>IF(K$3="","",IF(COUNTIFS(BD!$A$3:$A$5001,K$3,BD!$B$3:$B$5001,$A$113,BD!$F$3:$F$5001,"&lt;&gt;")=0,"",SUMIFS(BD!$F$3:$F$5001,BD!$A$3:$A$5001,K$3,BD!$B$3:$B$5001,$A$113)))</f>
        <v/>
      </c>
      <c r="L115" s="166" t="str">
        <f>IF(L$3="","",IF(COUNTIFS(BD!$A$3:$A$5001,L$3,BD!$B$3:$B$5001,$A$113,BD!$F$3:$F$5001,"&lt;&gt;")=0,"",SUMIFS(BD!$F$3:$F$5001,BD!$A$3:$A$5001,L$3,BD!$B$3:$B$5001,$A$113)))</f>
        <v/>
      </c>
      <c r="M115" s="166" t="str">
        <f>IF(M$3="","",IF(COUNTIFS(BD!$A$3:$A$5001,M$3,BD!$B$3:$B$5001,$A$113,BD!$F$3:$F$5001,"&lt;&gt;")=0,"",SUMIFS(BD!$F$3:$F$5001,BD!$A$3:$A$5001,M$3,BD!$B$3:$B$5001,$A$113)))</f>
        <v/>
      </c>
      <c r="N115" s="166" t="str">
        <f>IF(N$3="","",IF(COUNTIFS(BD!$A$3:$A$5001,N$3,BD!$B$3:$B$5001,$A$113,BD!$F$3:$F$5001,"&lt;&gt;")=0,"",SUMIFS(BD!$F$3:$F$5001,BD!$A$3:$A$5001,N$3,BD!$B$3:$B$5001,$A$113)))</f>
        <v/>
      </c>
      <c r="O115" s="166" t="str">
        <f>IF(O$3="","",IF(COUNTIFS(BD!$A$3:$A$5001,O$3,BD!$B$3:$B$5001,$A$113,BD!$F$3:$F$5001,"&lt;&gt;")=0,"",SUMIFS(BD!$F$3:$F$5001,BD!$A$3:$A$5001,O$3,BD!$B$3:$B$5001,$A$113)))</f>
        <v/>
      </c>
      <c r="P115" s="166" t="str">
        <f>IF(P$3="","",IF(COUNTIFS(BD!$A$3:$A$5001,P$3,BD!$B$3:$B$5001,$A$113,BD!$F$3:$F$5001,"&lt;&gt;")=0,"",SUMIFS(BD!$F$3:$F$5001,BD!$A$3:$A$5001,P$3,BD!$B$3:$B$5001,$A$113)))</f>
        <v/>
      </c>
      <c r="Q115" s="166" t="str">
        <f>IF(Q$3="","",IF(COUNTIFS(BD!$A$3:$A$5001,Q$3,BD!$B$3:$B$5001,$A$113,BD!$F$3:$F$5001,"&lt;&gt;")=0,"",SUMIFS(BD!$F$3:$F$5001,BD!$A$3:$A$5001,Q$3,BD!$B$3:$B$5001,$A$113)))</f>
        <v/>
      </c>
      <c r="R115" s="166" t="str">
        <f>IF(R$3="","",IF(COUNTIFS(BD!$A$3:$A$5001,R$3,BD!$B$3:$B$5001,$A$113,BD!$F$3:$F$5001,"&lt;&gt;")=0,"",SUMIFS(BD!$F$3:$F$5001,BD!$A$3:$A$5001,R$3,BD!$B$3:$B$5001,$A$113)))</f>
        <v/>
      </c>
      <c r="S115" s="166" t="str">
        <f>IF(S$3="","",IF(COUNTIFS(BD!$A$3:$A$5001,S$3,BD!$B$3:$B$5001,$A$113,BD!$F$3:$F$5001,"&lt;&gt;")=0,"",SUMIFS(BD!$F$3:$F$5001,BD!$A$3:$A$5001,S$3,BD!$B$3:$B$5001,$A$113)))</f>
        <v/>
      </c>
      <c r="T115" s="166" t="str">
        <f>IF(T$3="","",IF(COUNTIFS(BD!$A$3:$A$5001,T$3,BD!$B$3:$B$5001,$A$113,BD!$F$3:$F$5001,"&lt;&gt;")=0,"",SUMIFS(BD!$F$3:$F$5001,BD!$A$3:$A$5001,T$3,BD!$B$3:$B$5001,$A$113)))</f>
        <v/>
      </c>
      <c r="U115" s="166" t="str">
        <f>IF(U$3="","",IF(COUNTIFS(BD!$A$3:$A$5001,U$3,BD!$B$3:$B$5001,$A$113,BD!$F$3:$F$5001,"&lt;&gt;")=0,"",SUMIFS(BD!$F$3:$F$5001,BD!$A$3:$A$5001,U$3,BD!$B$3:$B$5001,$A$113)))</f>
        <v/>
      </c>
      <c r="V115" s="166" t="str">
        <f>IF(V$3="","",IF(COUNTIFS(BD!$A$3:$A$5001,V$3,BD!$B$3:$B$5001,$A$113,BD!$F$3:$F$5001,"&lt;&gt;")=0,"",SUMIFS(BD!$F$3:$F$5001,BD!$A$3:$A$5001,V$3,BD!$B$3:$B$5001,$A$113)))</f>
        <v/>
      </c>
      <c r="W115" s="166" t="str">
        <f>IF(W$3="","",IF(COUNTIFS(BD!$A$3:$A$5001,W$3,BD!$B$3:$B$5001,$A$113,BD!$F$3:$F$5001,"&lt;&gt;")=0,"",SUMIFS(BD!$F$3:$F$5001,BD!$A$3:$A$5001,W$3,BD!$B$3:$B$5001,$A$113)))</f>
        <v/>
      </c>
      <c r="X115" s="166" t="str">
        <f>IF(X$3="","",IF(COUNTIFS(BD!$A$3:$A$5001,X$3,BD!$B$3:$B$5001,$A$113,BD!$F$3:$F$5001,"&lt;&gt;")=0,"",SUMIFS(BD!$F$3:$F$5001,BD!$A$3:$A$5001,X$3,BD!$B$3:$B$5001,$A$113)))</f>
        <v/>
      </c>
      <c r="Y115" s="166" t="str">
        <f>IF(Y$3="","",IF(COUNTIFS(BD!$A$3:$A$5001,Y$3,BD!$B$3:$B$5001,$A$113,BD!$F$3:$F$5001,"&lt;&gt;")=0,"",SUMIFS(BD!$F$3:$F$5001,BD!$A$3:$A$5001,Y$3,BD!$B$3:$B$5001,$A$113)))</f>
        <v/>
      </c>
      <c r="Z115" s="166" t="str">
        <f>IF(Z$3="","",IF(COUNTIFS(BD!$A$3:$A$5001,Z$3,BD!$B$3:$B$5001,$A$113,BD!$F$3:$F$5001,"&lt;&gt;")=0,"",SUMIFS(BD!$F$3:$F$5001,BD!$A$3:$A$5001,Z$3,BD!$B$3:$B$5001,$A$113)))</f>
        <v/>
      </c>
      <c r="AA115" s="166" t="str">
        <f>IF(AA$3="","",IF(COUNTIFS(BD!$A$3:$A$5001,AA$3,BD!$B$3:$B$5001,$A$113,BD!$F$3:$F$5001,"&lt;&gt;")=0,"",SUMIFS(BD!$F$3:$F$5001,BD!$A$3:$A$5001,AA$3,BD!$B$3:$B$5001,$A$113)))</f>
        <v/>
      </c>
      <c r="AB115" s="166" t="str">
        <f>IF(AB$3="","",IF(COUNTIFS(BD!$A$3:$A$5001,AB$3,BD!$B$3:$B$5001,$A$113,BD!$F$3:$F$5001,"&lt;&gt;")=0,"",SUMIFS(BD!$F$3:$F$5001,BD!$A$3:$A$5001,AB$3,BD!$B$3:$B$5001,$A$113)))</f>
        <v/>
      </c>
      <c r="AC115" s="166" t="str">
        <f>IF(AC$3="","",IF(COUNTIFS(BD!$A$3:$A$5001,AC$3,BD!$B$3:$B$5001,$A$113,BD!$F$3:$F$5001,"&lt;&gt;")=0,"",SUMIFS(BD!$F$3:$F$5001,BD!$A$3:$A$5001,AC$3,BD!$B$3:$B$5001,$A$113)))</f>
        <v/>
      </c>
      <c r="AD115" s="166" t="str">
        <f>IF(AD$3="","",IF(COUNTIFS(BD!$A$3:$A$5001,AD$3,BD!$B$3:$B$5001,$A$113,BD!$F$3:$F$5001,"&lt;&gt;")=0,"",SUMIFS(BD!$F$3:$F$5001,BD!$A$3:$A$5001,AD$3,BD!$B$3:$B$5001,$A$113)))</f>
        <v/>
      </c>
      <c r="AE115" s="166" t="str">
        <f>IF(AE$3="","",IF(COUNTIFS(BD!$A$3:$A$5001,AE$3,BD!$B$3:$B$5001,$A$113,BD!$F$3:$F$5001,"&lt;&gt;")=0,"",SUMIFS(BD!$F$3:$F$5001,BD!$A$3:$A$5001,AE$3,BD!$B$3:$B$5001,$A$113)))</f>
        <v/>
      </c>
      <c r="AF115" s="166" t="str">
        <f>IF(AF$3="","",IF(COUNTIFS(BD!$A$3:$A$5001,AF$3,BD!$B$3:$B$5001,$A$113,BD!$F$3:$F$5001,"&lt;&gt;")=0,"",SUMIFS(BD!$F$3:$F$5001,BD!$A$3:$A$5001,AF$3,BD!$B$3:$B$5001,$A$113)))</f>
        <v/>
      </c>
      <c r="AG115" s="166" t="str">
        <f>IF(AG$3="","",IF(COUNTIFS(BD!$A$3:$A$5001,AG$3,BD!$B$3:$B$5001,$A$113,BD!$F$3:$F$5001,"&lt;&gt;")=0,"",SUMIFS(BD!$F$3:$F$5001,BD!$A$3:$A$5001,AG$3,BD!$B$3:$B$5001,$A$113)))</f>
        <v/>
      </c>
      <c r="AH115" s="166" t="str">
        <f>IF(AH$3="","",IF(COUNTIFS(BD!$A$3:$A$5001,AH$3,BD!$B$3:$B$5001,$A$113,BD!$F$3:$F$5001,"&lt;&gt;")=0,"",SUMIFS(BD!$F$3:$F$5001,BD!$A$3:$A$5001,AH$3,BD!$B$3:$B$5001,$A$113)))</f>
        <v/>
      </c>
      <c r="AI115" s="166" t="str">
        <f>IF(AI$3="","",IF(COUNTIFS(BD!$A$3:$A$5001,AI$3,BD!$B$3:$B$5001,$A$113,BD!$F$3:$F$5001,"&lt;&gt;")=0,"",SUMIFS(BD!$F$3:$F$5001,BD!$A$3:$A$5001,AI$3,BD!$B$3:$B$5001,$A$113)))</f>
        <v/>
      </c>
      <c r="AJ115" s="167" t="str">
        <f>IF(AJ$3="","",IF(COUNTIFS(BD!$A$3:$A$5001,AJ$3,BD!$B$3:$B$5001,$A$113,BD!$F$3:$F$5001,"&lt;&gt;")=0,"",SUMIFS(BD!$F$3:$F$5001,BD!$A$3:$A$5001,AJ$3,BD!$B$3:$B$5001,$A$113)))</f>
        <v/>
      </c>
      <c r="AK115" s="163" t="str">
        <f>IF(COUNT(F115:AJ115)=0,"",SUM(F115:AJ115))</f>
        <v/>
      </c>
    </row>
    <row r="116" ht="15.75" customHeight="1">
      <c r="A116" s="244"/>
      <c r="B116" s="234" t="inlineStr">
        <is>
          <t xml:space="preserve">OUT</t>
        </is>
      </c>
      <c r="C116" s="168" t="inlineStr">
        <is>
          <t xml:space="preserve">Veículos Expedidos</t>
        </is>
      </c>
      <c r="D116" s="169" t="str">
        <f>IFERROR(1/(1/INDEX(BD!$AJ$32:$BD$32,MATCH($A$113,BD!$AJ$22:$BD$22,0))),"")</f>
        <v/>
      </c>
      <c r="E116" s="170"/>
      <c r="F116" s="171" t="str">
        <f>IF(F$3="","",IF(COUNTIFS(BD!$A$3:$A$5001,F$3,BD!$B$3:$B$5001,$A$113,BD!$L$3:$L$5001,"&lt;&gt;")=0,"",SUMIFS(BD!$L$3:$L$5001,BD!$A$3:$A$5001,F$3,BD!$B$3:$B$5001,$A$113)))</f>
        <v/>
      </c>
      <c r="G116" s="172" t="str">
        <f>IF(G$3="","",IF(COUNTIFS(BD!$A$3:$A$5001,G$3,BD!$B$3:$B$5001,$A$113,BD!$L$3:$L$5001,"&lt;&gt;")=0,"",SUMIFS(BD!$L$3:$L$5001,BD!$A$3:$A$5001,G$3,BD!$B$3:$B$5001,$A$113)))</f>
        <v/>
      </c>
      <c r="H116" s="172" t="str">
        <f>IF(H$3="","",IF(COUNTIFS(BD!$A$3:$A$5001,H$3,BD!$B$3:$B$5001,$A$113,BD!$L$3:$L$5001,"&lt;&gt;")=0,"",SUMIFS(BD!$L$3:$L$5001,BD!$A$3:$A$5001,H$3,BD!$B$3:$B$5001,$A$113)))</f>
        <v/>
      </c>
      <c r="I116" s="172" t="str">
        <f>IF(I$3="","",IF(COUNTIFS(BD!$A$3:$A$5001,I$3,BD!$B$3:$B$5001,$A$113,BD!$L$3:$L$5001,"&lt;&gt;")=0,"",SUMIFS(BD!$L$3:$L$5001,BD!$A$3:$A$5001,I$3,BD!$B$3:$B$5001,$A$113)))</f>
        <v/>
      </c>
      <c r="J116" s="172" t="str">
        <f>IF(J$3="","",IF(COUNTIFS(BD!$A$3:$A$5001,J$3,BD!$B$3:$B$5001,$A$113,BD!$L$3:$L$5001,"&lt;&gt;")=0,"",SUMIFS(BD!$L$3:$L$5001,BD!$A$3:$A$5001,J$3,BD!$B$3:$B$5001,$A$113)))</f>
        <v/>
      </c>
      <c r="K116" s="172" t="str">
        <f>IF(K$3="","",IF(COUNTIFS(BD!$A$3:$A$5001,K$3,BD!$B$3:$B$5001,$A$113,BD!$L$3:$L$5001,"&lt;&gt;")=0,"",SUMIFS(BD!$L$3:$L$5001,BD!$A$3:$A$5001,K$3,BD!$B$3:$B$5001,$A$113)))</f>
        <v/>
      </c>
      <c r="L116" s="172" t="str">
        <f>IF(L$3="","",IF(COUNTIFS(BD!$A$3:$A$5001,L$3,BD!$B$3:$B$5001,$A$113,BD!$L$3:$L$5001,"&lt;&gt;")=0,"",SUMIFS(BD!$L$3:$L$5001,BD!$A$3:$A$5001,L$3,BD!$B$3:$B$5001,$A$113)))</f>
        <v/>
      </c>
      <c r="M116" s="172" t="str">
        <f>IF(M$3="","",IF(COUNTIFS(BD!$A$3:$A$5001,M$3,BD!$B$3:$B$5001,$A$113,BD!$L$3:$L$5001,"&lt;&gt;")=0,"",SUMIFS(BD!$L$3:$L$5001,BD!$A$3:$A$5001,M$3,BD!$B$3:$B$5001,$A$113)))</f>
        <v/>
      </c>
      <c r="N116" s="172" t="str">
        <f>IF(N$3="","",IF(COUNTIFS(BD!$A$3:$A$5001,N$3,BD!$B$3:$B$5001,$A$113,BD!$L$3:$L$5001,"&lt;&gt;")=0,"",SUMIFS(BD!$L$3:$L$5001,BD!$A$3:$A$5001,N$3,BD!$B$3:$B$5001,$A$113)))</f>
        <v/>
      </c>
      <c r="O116" s="172" t="str">
        <f>IF(O$3="","",IF(COUNTIFS(BD!$A$3:$A$5001,O$3,BD!$B$3:$B$5001,$A$113,BD!$L$3:$L$5001,"&lt;&gt;")=0,"",SUMIFS(BD!$L$3:$L$5001,BD!$A$3:$A$5001,O$3,BD!$B$3:$B$5001,$A$113)))</f>
        <v/>
      </c>
      <c r="P116" s="172" t="str">
        <f>IF(P$3="","",IF(COUNTIFS(BD!$A$3:$A$5001,P$3,BD!$B$3:$B$5001,$A$113,BD!$L$3:$L$5001,"&lt;&gt;")=0,"",SUMIFS(BD!$L$3:$L$5001,BD!$A$3:$A$5001,P$3,BD!$B$3:$B$5001,$A$113)))</f>
        <v/>
      </c>
      <c r="Q116" s="172" t="str">
        <f>IF(Q$3="","",IF(COUNTIFS(BD!$A$3:$A$5001,Q$3,BD!$B$3:$B$5001,$A$113,BD!$L$3:$L$5001,"&lt;&gt;")=0,"",SUMIFS(BD!$L$3:$L$5001,BD!$A$3:$A$5001,Q$3,BD!$B$3:$B$5001,$A$113)))</f>
        <v/>
      </c>
      <c r="R116" s="172" t="str">
        <f>IF(R$3="","",IF(COUNTIFS(BD!$A$3:$A$5001,R$3,BD!$B$3:$B$5001,$A$113,BD!$L$3:$L$5001,"&lt;&gt;")=0,"",SUMIFS(BD!$L$3:$L$5001,BD!$A$3:$A$5001,R$3,BD!$B$3:$B$5001,$A$113)))</f>
        <v/>
      </c>
      <c r="S116" s="172" t="str">
        <f>IF(S$3="","",IF(COUNTIFS(BD!$A$3:$A$5001,S$3,BD!$B$3:$B$5001,$A$113,BD!$L$3:$L$5001,"&lt;&gt;")=0,"",SUMIFS(BD!$L$3:$L$5001,BD!$A$3:$A$5001,S$3,BD!$B$3:$B$5001,$A$113)))</f>
        <v/>
      </c>
      <c r="T116" s="172" t="str">
        <f>IF(T$3="","",IF(COUNTIFS(BD!$A$3:$A$5001,T$3,BD!$B$3:$B$5001,$A$113,BD!$L$3:$L$5001,"&lt;&gt;")=0,"",SUMIFS(BD!$L$3:$L$5001,BD!$A$3:$A$5001,T$3,BD!$B$3:$B$5001,$A$113)))</f>
        <v/>
      </c>
      <c r="U116" s="172" t="str">
        <f>IF(U$3="","",IF(COUNTIFS(BD!$A$3:$A$5001,U$3,BD!$B$3:$B$5001,$A$113,BD!$L$3:$L$5001,"&lt;&gt;")=0,"",SUMIFS(BD!$L$3:$L$5001,BD!$A$3:$A$5001,U$3,BD!$B$3:$B$5001,$A$113)))</f>
        <v/>
      </c>
      <c r="V116" s="172" t="str">
        <f>IF(V$3="","",IF(COUNTIFS(BD!$A$3:$A$5001,V$3,BD!$B$3:$B$5001,$A$113,BD!$L$3:$L$5001,"&lt;&gt;")=0,"",SUMIFS(BD!$L$3:$L$5001,BD!$A$3:$A$5001,V$3,BD!$B$3:$B$5001,$A$113)))</f>
        <v/>
      </c>
      <c r="W116" s="172" t="str">
        <f>IF(W$3="","",IF(COUNTIFS(BD!$A$3:$A$5001,W$3,BD!$B$3:$B$5001,$A$113,BD!$L$3:$L$5001,"&lt;&gt;")=0,"",SUMIFS(BD!$L$3:$L$5001,BD!$A$3:$A$5001,W$3,BD!$B$3:$B$5001,$A$113)))</f>
        <v/>
      </c>
      <c r="X116" s="172" t="str">
        <f>IF(X$3="","",IF(COUNTIFS(BD!$A$3:$A$5001,X$3,BD!$B$3:$B$5001,$A$113,BD!$L$3:$L$5001,"&lt;&gt;")=0,"",SUMIFS(BD!$L$3:$L$5001,BD!$A$3:$A$5001,X$3,BD!$B$3:$B$5001,$A$113)))</f>
        <v/>
      </c>
      <c r="Y116" s="172" t="str">
        <f>IF(Y$3="","",IF(COUNTIFS(BD!$A$3:$A$5001,Y$3,BD!$B$3:$B$5001,$A$113,BD!$L$3:$L$5001,"&lt;&gt;")=0,"",SUMIFS(BD!$L$3:$L$5001,BD!$A$3:$A$5001,Y$3,BD!$B$3:$B$5001,$A$113)))</f>
        <v/>
      </c>
      <c r="Z116" s="172" t="str">
        <f>IF(Z$3="","",IF(COUNTIFS(BD!$A$3:$A$5001,Z$3,BD!$B$3:$B$5001,$A$113,BD!$L$3:$L$5001,"&lt;&gt;")=0,"",SUMIFS(BD!$L$3:$L$5001,BD!$A$3:$A$5001,Z$3,BD!$B$3:$B$5001,$A$113)))</f>
        <v/>
      </c>
      <c r="AA116" s="172" t="str">
        <f>IF(AA$3="","",IF(COUNTIFS(BD!$A$3:$A$5001,AA$3,BD!$B$3:$B$5001,$A$113,BD!$L$3:$L$5001,"&lt;&gt;")=0,"",SUMIFS(BD!$L$3:$L$5001,BD!$A$3:$A$5001,AA$3,BD!$B$3:$B$5001,$A$113)))</f>
        <v/>
      </c>
      <c r="AB116" s="172" t="str">
        <f>IF(AB$3="","",IF(COUNTIFS(BD!$A$3:$A$5001,AB$3,BD!$B$3:$B$5001,$A$113,BD!$L$3:$L$5001,"&lt;&gt;")=0,"",SUMIFS(BD!$L$3:$L$5001,BD!$A$3:$A$5001,AB$3,BD!$B$3:$B$5001,$A$113)))</f>
        <v/>
      </c>
      <c r="AC116" s="172" t="str">
        <f>IF(AC$3="","",IF(COUNTIFS(BD!$A$3:$A$5001,AC$3,BD!$B$3:$B$5001,$A$113,BD!$L$3:$L$5001,"&lt;&gt;")=0,"",SUMIFS(BD!$L$3:$L$5001,BD!$A$3:$A$5001,AC$3,BD!$B$3:$B$5001,$A$113)))</f>
        <v/>
      </c>
      <c r="AD116" s="172" t="str">
        <f>IF(AD$3="","",IF(COUNTIFS(BD!$A$3:$A$5001,AD$3,BD!$B$3:$B$5001,$A$113,BD!$L$3:$L$5001,"&lt;&gt;")=0,"",SUMIFS(BD!$L$3:$L$5001,BD!$A$3:$A$5001,AD$3,BD!$B$3:$B$5001,$A$113)))</f>
        <v/>
      </c>
      <c r="AE116" s="172" t="str">
        <f>IF(AE$3="","",IF(COUNTIFS(BD!$A$3:$A$5001,AE$3,BD!$B$3:$B$5001,$A$113,BD!$L$3:$L$5001,"&lt;&gt;")=0,"",SUMIFS(BD!$L$3:$L$5001,BD!$A$3:$A$5001,AE$3,BD!$B$3:$B$5001,$A$113)))</f>
        <v/>
      </c>
      <c r="AF116" s="172" t="str">
        <f>IF(AF$3="","",IF(COUNTIFS(BD!$A$3:$A$5001,AF$3,BD!$B$3:$B$5001,$A$113,BD!$L$3:$L$5001,"&lt;&gt;")=0,"",SUMIFS(BD!$L$3:$L$5001,BD!$A$3:$A$5001,AF$3,BD!$B$3:$B$5001,$A$113)))</f>
        <v/>
      </c>
      <c r="AG116" s="172" t="str">
        <f>IF(AG$3="","",IF(COUNTIFS(BD!$A$3:$A$5001,AG$3,BD!$B$3:$B$5001,$A$113,BD!$L$3:$L$5001,"&lt;&gt;")=0,"",SUMIFS(BD!$L$3:$L$5001,BD!$A$3:$A$5001,AG$3,BD!$B$3:$B$5001,$A$113)))</f>
        <v/>
      </c>
      <c r="AH116" s="172" t="str">
        <f>IF(AH$3="","",IF(COUNTIFS(BD!$A$3:$A$5001,AH$3,BD!$B$3:$B$5001,$A$113,BD!$L$3:$L$5001,"&lt;&gt;")=0,"",SUMIFS(BD!$L$3:$L$5001,BD!$A$3:$A$5001,AH$3,BD!$B$3:$B$5001,$A$113)))</f>
        <v/>
      </c>
      <c r="AI116" s="172" t="str">
        <f>IF(AI$3="","",IF(COUNTIFS(BD!$A$3:$A$5001,AI$3,BD!$B$3:$B$5001,$A$113,BD!$L$3:$L$5001,"&lt;&gt;")=0,"",SUMIFS(BD!$L$3:$L$5001,BD!$A$3:$A$5001,AI$3,BD!$B$3:$B$5001,$A$113)))</f>
        <v/>
      </c>
      <c r="AJ116" s="173" t="str">
        <f>IF(AJ$3="","",IF(COUNTIFS(BD!$A$3:$A$5001,AJ$3,BD!$B$3:$B$5001,$A$113,BD!$L$3:$L$5001,"&lt;&gt;")=0,"",SUMIFS(BD!$L$3:$L$5001,BD!$A$3:$A$5001,AJ$3,BD!$B$3:$B$5001,$A$113)))</f>
        <v/>
      </c>
      <c r="AK116" s="174" t="str">
        <f>IF(COUNT(F116:AJ116)=0,"",SUM(F116:AJ116))</f>
        <v/>
      </c>
    </row>
    <row r="117" ht="15.75" customHeight="1">
      <c r="A117" s="244"/>
      <c r="B117" s="261"/>
      <c r="C117" s="250" t="inlineStr">
        <is>
          <t xml:space="preserve">Pallets Movimentados</t>
        </is>
      </c>
      <c r="D117" s="251" t="str">
        <f>IFERROR(1/(1/INDEX(BD!$AJ$38:$BD$38,MATCH($A$113,BD!$AJ$22:$BD$22,0))),"")</f>
        <v/>
      </c>
      <c r="E117" s="252"/>
      <c r="F117" s="253" t="str">
        <f>IF(F$3="","",IF(COUNTIFS(BD!$A$3:$A$5001,F$3,BD!$B$3:$B$5001,$A$113,BD!$R$3:$R$5001,"&lt;&gt;")=0,"",SUMIFS(BD!$R$3:$R$5001,BD!$A$3:$A$5001,F$3,BD!$B$3:$B$5001,$A$113)))</f>
        <v/>
      </c>
      <c r="G117" s="254" t="str">
        <f>IF(G$3="","",IF(COUNTIFS(BD!$A$3:$A$5001,G$3,BD!$B$3:$B$5001,$A$113,BD!$R$3:$R$5001,"&lt;&gt;")=0,"",SUMIFS(BD!$R$3:$R$5001,BD!$A$3:$A$5001,G$3,BD!$B$3:$B$5001,$A$113)))</f>
        <v/>
      </c>
      <c r="H117" s="254" t="str">
        <f>IF(H$3="","",IF(COUNTIFS(BD!$A$3:$A$5001,H$3,BD!$B$3:$B$5001,$A$113,BD!$R$3:$R$5001,"&lt;&gt;")=0,"",SUMIFS(BD!$R$3:$R$5001,BD!$A$3:$A$5001,H$3,BD!$B$3:$B$5001,$A$113)))</f>
        <v/>
      </c>
      <c r="I117" s="254" t="str">
        <f>IF(I$3="","",IF(COUNTIFS(BD!$A$3:$A$5001,I$3,BD!$B$3:$B$5001,$A$113,BD!$R$3:$R$5001,"&lt;&gt;")=0,"",SUMIFS(BD!$R$3:$R$5001,BD!$A$3:$A$5001,I$3,BD!$B$3:$B$5001,$A$113)))</f>
        <v/>
      </c>
      <c r="J117" s="254" t="str">
        <f>IF(J$3="","",IF(COUNTIFS(BD!$A$3:$A$5001,J$3,BD!$B$3:$B$5001,$A$113,BD!$R$3:$R$5001,"&lt;&gt;")=0,"",SUMIFS(BD!$R$3:$R$5001,BD!$A$3:$A$5001,J$3,BD!$B$3:$B$5001,$A$113)))</f>
        <v/>
      </c>
      <c r="K117" s="254" t="str">
        <f>IF(K$3="","",IF(COUNTIFS(BD!$A$3:$A$5001,K$3,BD!$B$3:$B$5001,$A$113,BD!$R$3:$R$5001,"&lt;&gt;")=0,"",SUMIFS(BD!$R$3:$R$5001,BD!$A$3:$A$5001,K$3,BD!$B$3:$B$5001,$A$113)))</f>
        <v/>
      </c>
      <c r="L117" s="254" t="str">
        <f>IF(L$3="","",IF(COUNTIFS(BD!$A$3:$A$5001,L$3,BD!$B$3:$B$5001,$A$113,BD!$R$3:$R$5001,"&lt;&gt;")=0,"",SUMIFS(BD!$R$3:$R$5001,BD!$A$3:$A$5001,L$3,BD!$B$3:$B$5001,$A$113)))</f>
        <v/>
      </c>
      <c r="M117" s="254" t="str">
        <f>IF(M$3="","",IF(COUNTIFS(BD!$A$3:$A$5001,M$3,BD!$B$3:$B$5001,$A$113,BD!$R$3:$R$5001,"&lt;&gt;")=0,"",SUMIFS(BD!$R$3:$R$5001,BD!$A$3:$A$5001,M$3,BD!$B$3:$B$5001,$A$113)))</f>
        <v/>
      </c>
      <c r="N117" s="254" t="str">
        <f>IF(N$3="","",IF(COUNTIFS(BD!$A$3:$A$5001,N$3,BD!$B$3:$B$5001,$A$113,BD!$R$3:$R$5001,"&lt;&gt;")=0,"",SUMIFS(BD!$R$3:$R$5001,BD!$A$3:$A$5001,N$3,BD!$B$3:$B$5001,$A$113)))</f>
        <v/>
      </c>
      <c r="O117" s="254" t="str">
        <f>IF(O$3="","",IF(COUNTIFS(BD!$A$3:$A$5001,O$3,BD!$B$3:$B$5001,$A$113,BD!$R$3:$R$5001,"&lt;&gt;")=0,"",SUMIFS(BD!$R$3:$R$5001,BD!$A$3:$A$5001,O$3,BD!$B$3:$B$5001,$A$113)))</f>
        <v/>
      </c>
      <c r="P117" s="254" t="str">
        <f>IF(P$3="","",IF(COUNTIFS(BD!$A$3:$A$5001,P$3,BD!$B$3:$B$5001,$A$113,BD!$R$3:$R$5001,"&lt;&gt;")=0,"",SUMIFS(BD!$R$3:$R$5001,BD!$A$3:$A$5001,P$3,BD!$B$3:$B$5001,$A$113)))</f>
        <v/>
      </c>
      <c r="Q117" s="254" t="str">
        <f>IF(Q$3="","",IF(COUNTIFS(BD!$A$3:$A$5001,Q$3,BD!$B$3:$B$5001,$A$113,BD!$R$3:$R$5001,"&lt;&gt;")=0,"",SUMIFS(BD!$R$3:$R$5001,BD!$A$3:$A$5001,Q$3,BD!$B$3:$B$5001,$A$113)))</f>
        <v/>
      </c>
      <c r="R117" s="254" t="str">
        <f>IF(R$3="","",IF(COUNTIFS(BD!$A$3:$A$5001,R$3,BD!$B$3:$B$5001,$A$113,BD!$R$3:$R$5001,"&lt;&gt;")=0,"",SUMIFS(BD!$R$3:$R$5001,BD!$A$3:$A$5001,R$3,BD!$B$3:$B$5001,$A$113)))</f>
        <v/>
      </c>
      <c r="S117" s="254" t="str">
        <f>IF(S$3="","",IF(COUNTIFS(BD!$A$3:$A$5001,S$3,BD!$B$3:$B$5001,$A$113,BD!$R$3:$R$5001,"&lt;&gt;")=0,"",SUMIFS(BD!$R$3:$R$5001,BD!$A$3:$A$5001,S$3,BD!$B$3:$B$5001,$A$113)))</f>
        <v/>
      </c>
      <c r="T117" s="254" t="str">
        <f>IF(T$3="","",IF(COUNTIFS(BD!$A$3:$A$5001,T$3,BD!$B$3:$B$5001,$A$113,BD!$R$3:$R$5001,"&lt;&gt;")=0,"",SUMIFS(BD!$R$3:$R$5001,BD!$A$3:$A$5001,T$3,BD!$B$3:$B$5001,$A$113)))</f>
        <v/>
      </c>
      <c r="U117" s="254" t="str">
        <f>IF(U$3="","",IF(COUNTIFS(BD!$A$3:$A$5001,U$3,BD!$B$3:$B$5001,$A$113,BD!$R$3:$R$5001,"&lt;&gt;")=0,"",SUMIFS(BD!$R$3:$R$5001,BD!$A$3:$A$5001,U$3,BD!$B$3:$B$5001,$A$113)))</f>
        <v/>
      </c>
      <c r="V117" s="254" t="str">
        <f>IF(V$3="","",IF(COUNTIFS(BD!$A$3:$A$5001,V$3,BD!$B$3:$B$5001,$A$113,BD!$R$3:$R$5001,"&lt;&gt;")=0,"",SUMIFS(BD!$R$3:$R$5001,BD!$A$3:$A$5001,V$3,BD!$B$3:$B$5001,$A$113)))</f>
        <v/>
      </c>
      <c r="W117" s="254" t="str">
        <f>IF(W$3="","",IF(COUNTIFS(BD!$A$3:$A$5001,W$3,BD!$B$3:$B$5001,$A$113,BD!$R$3:$R$5001,"&lt;&gt;")=0,"",SUMIFS(BD!$R$3:$R$5001,BD!$A$3:$A$5001,W$3,BD!$B$3:$B$5001,$A$113)))</f>
        <v/>
      </c>
      <c r="X117" s="254" t="str">
        <f>IF(X$3="","",IF(COUNTIFS(BD!$A$3:$A$5001,X$3,BD!$B$3:$B$5001,$A$113,BD!$R$3:$R$5001,"&lt;&gt;")=0,"",SUMIFS(BD!$R$3:$R$5001,BD!$A$3:$A$5001,X$3,BD!$B$3:$B$5001,$A$113)))</f>
        <v/>
      </c>
      <c r="Y117" s="254" t="str">
        <f>IF(Y$3="","",IF(COUNTIFS(BD!$A$3:$A$5001,Y$3,BD!$B$3:$B$5001,$A$113,BD!$R$3:$R$5001,"&lt;&gt;")=0,"",SUMIFS(BD!$R$3:$R$5001,BD!$A$3:$A$5001,Y$3,BD!$B$3:$B$5001,$A$113)))</f>
        <v/>
      </c>
      <c r="Z117" s="254" t="str">
        <f>IF(Z$3="","",IF(COUNTIFS(BD!$A$3:$A$5001,Z$3,BD!$B$3:$B$5001,$A$113,BD!$R$3:$R$5001,"&lt;&gt;")=0,"",SUMIFS(BD!$R$3:$R$5001,BD!$A$3:$A$5001,Z$3,BD!$B$3:$B$5001,$A$113)))</f>
        <v/>
      </c>
      <c r="AA117" s="254" t="str">
        <f>IF(AA$3="","",IF(COUNTIFS(BD!$A$3:$A$5001,AA$3,BD!$B$3:$B$5001,$A$113,BD!$R$3:$R$5001,"&lt;&gt;")=0,"",SUMIFS(BD!$R$3:$R$5001,BD!$A$3:$A$5001,AA$3,BD!$B$3:$B$5001,$A$113)))</f>
        <v/>
      </c>
      <c r="AB117" s="254" t="str">
        <f>IF(AB$3="","",IF(COUNTIFS(BD!$A$3:$A$5001,AB$3,BD!$B$3:$B$5001,$A$113,BD!$R$3:$R$5001,"&lt;&gt;")=0,"",SUMIFS(BD!$R$3:$R$5001,BD!$A$3:$A$5001,AB$3,BD!$B$3:$B$5001,$A$113)))</f>
        <v/>
      </c>
      <c r="AC117" s="254" t="str">
        <f>IF(AC$3="","",IF(COUNTIFS(BD!$A$3:$A$5001,AC$3,BD!$B$3:$B$5001,$A$113,BD!$R$3:$R$5001,"&lt;&gt;")=0,"",SUMIFS(BD!$R$3:$R$5001,BD!$A$3:$A$5001,AC$3,BD!$B$3:$B$5001,$A$113)))</f>
        <v/>
      </c>
      <c r="AD117" s="254" t="str">
        <f>IF(AD$3="","",IF(COUNTIFS(BD!$A$3:$A$5001,AD$3,BD!$B$3:$B$5001,$A$113,BD!$R$3:$R$5001,"&lt;&gt;")=0,"",SUMIFS(BD!$R$3:$R$5001,BD!$A$3:$A$5001,AD$3,BD!$B$3:$B$5001,$A$113)))</f>
        <v/>
      </c>
      <c r="AE117" s="254" t="str">
        <f>IF(AE$3="","",IF(COUNTIFS(BD!$A$3:$A$5001,AE$3,BD!$B$3:$B$5001,$A$113,BD!$R$3:$R$5001,"&lt;&gt;")=0,"",SUMIFS(BD!$R$3:$R$5001,BD!$A$3:$A$5001,AE$3,BD!$B$3:$B$5001,$A$113)))</f>
        <v/>
      </c>
      <c r="AF117" s="254" t="str">
        <f>IF(AF$3="","",IF(COUNTIFS(BD!$A$3:$A$5001,AF$3,BD!$B$3:$B$5001,$A$113,BD!$R$3:$R$5001,"&lt;&gt;")=0,"",SUMIFS(BD!$R$3:$R$5001,BD!$A$3:$A$5001,AF$3,BD!$B$3:$B$5001,$A$113)))</f>
        <v/>
      </c>
      <c r="AG117" s="254" t="str">
        <f>IF(AG$3="","",IF(COUNTIFS(BD!$A$3:$A$5001,AG$3,BD!$B$3:$B$5001,$A$113,BD!$R$3:$R$5001,"&lt;&gt;")=0,"",SUMIFS(BD!$R$3:$R$5001,BD!$A$3:$A$5001,AG$3,BD!$B$3:$B$5001,$A$113)))</f>
        <v/>
      </c>
      <c r="AH117" s="254" t="str">
        <f>IF(AH$3="","",IF(COUNTIFS(BD!$A$3:$A$5001,AH$3,BD!$B$3:$B$5001,$A$113,BD!$R$3:$R$5001,"&lt;&gt;")=0,"",SUMIFS(BD!$R$3:$R$5001,BD!$A$3:$A$5001,AH$3,BD!$B$3:$B$5001,$A$113)))</f>
        <v/>
      </c>
      <c r="AI117" s="254" t="str">
        <f>IF(AI$3="","",IF(COUNTIFS(BD!$A$3:$A$5001,AI$3,BD!$B$3:$B$5001,$A$113,BD!$R$3:$R$5001,"&lt;&gt;")=0,"",SUMIFS(BD!$R$3:$R$5001,BD!$A$3:$A$5001,AI$3,BD!$B$3:$B$5001,$A$113)))</f>
        <v/>
      </c>
      <c r="AJ117" s="255" t="str">
        <f>IF(AJ$3="","",IF(COUNTIFS(BD!$A$3:$A$5001,AJ$3,BD!$B$3:$B$5001,$A$113,BD!$R$3:$R$5001,"&lt;&gt;")=0,"",SUMIFS(BD!$R$3:$R$5001,BD!$A$3:$A$5001,AJ$3,BD!$B$3:$B$5001,$A$113)))</f>
        <v/>
      </c>
      <c r="AK117" s="256" t="str">
        <f>IF(COUNT(F117:AJ117)=0,"",SUM(F117:AJ117))</f>
        <v/>
      </c>
    </row>
    <row r="118" ht="15.75" customHeight="1">
      <c r="A118" s="244"/>
      <c r="B118" s="235"/>
      <c r="C118" s="175" t="inlineStr">
        <is>
          <t xml:space="preserve">Linhas NF</t>
        </is>
      </c>
      <c r="D118" s="176" t="str">
        <f>IFERROR(1/(1/INDEX(BD!$AJ$36:$BD$36,MATCH($A$113,BD!$AJ$22:$BD$22,0))),"")</f>
        <v/>
      </c>
      <c r="E118" s="177"/>
      <c r="F118" s="178" t="str">
        <f>IF(F$3="","",IF(COUNTIFS(BD!$A$3:$A$5001,F$3,BD!$B$3:$B$5001,$A$113,BD!$P$3:$P$5001,"&lt;&gt;")=0,"",SUMIFS(BD!$P$3:$P$5001,BD!$A$3:$A$5001,F$3,BD!$B$3:$B$5001,$A$113)))</f>
        <v/>
      </c>
      <c r="G118" s="179" t="str">
        <f>IF(G$3="","",IF(COUNTIFS(BD!$A$3:$A$5001,G$3,BD!$B$3:$B$5001,$A$113,BD!$P$3:$P$5001,"&lt;&gt;")=0,"",SUMIFS(BD!$P$3:$P$5001,BD!$A$3:$A$5001,G$3,BD!$B$3:$B$5001,$A$113)))</f>
        <v/>
      </c>
      <c r="H118" s="179" t="str">
        <f>IF(H$3="","",IF(COUNTIFS(BD!$A$3:$A$5001,H$3,BD!$B$3:$B$5001,$A$113,BD!$P$3:$P$5001,"&lt;&gt;")=0,"",SUMIFS(BD!$P$3:$P$5001,BD!$A$3:$A$5001,H$3,BD!$B$3:$B$5001,$A$113)))</f>
        <v/>
      </c>
      <c r="I118" s="179" t="str">
        <f>IF(I$3="","",IF(COUNTIFS(BD!$A$3:$A$5001,I$3,BD!$B$3:$B$5001,$A$113,BD!$P$3:$P$5001,"&lt;&gt;")=0,"",SUMIFS(BD!$P$3:$P$5001,BD!$A$3:$A$5001,I$3,BD!$B$3:$B$5001,$A$113)))</f>
        <v/>
      </c>
      <c r="J118" s="179" t="str">
        <f>IF(J$3="","",IF(COUNTIFS(BD!$A$3:$A$5001,J$3,BD!$B$3:$B$5001,$A$113,BD!$P$3:$P$5001,"&lt;&gt;")=0,"",SUMIFS(BD!$P$3:$P$5001,BD!$A$3:$A$5001,J$3,BD!$B$3:$B$5001,$A$113)))</f>
        <v/>
      </c>
      <c r="K118" s="179" t="str">
        <f>IF(K$3="","",IF(COUNTIFS(BD!$A$3:$A$5001,K$3,BD!$B$3:$B$5001,$A$113,BD!$P$3:$P$5001,"&lt;&gt;")=0,"",SUMIFS(BD!$P$3:$P$5001,BD!$A$3:$A$5001,K$3,BD!$B$3:$B$5001,$A$113)))</f>
        <v/>
      </c>
      <c r="L118" s="179" t="str">
        <f>IF(L$3="","",IF(COUNTIFS(BD!$A$3:$A$5001,L$3,BD!$B$3:$B$5001,$A$113,BD!$P$3:$P$5001,"&lt;&gt;")=0,"",SUMIFS(BD!$P$3:$P$5001,BD!$A$3:$A$5001,L$3,BD!$B$3:$B$5001,$A$113)))</f>
        <v/>
      </c>
      <c r="M118" s="179" t="str">
        <f>IF(M$3="","",IF(COUNTIFS(BD!$A$3:$A$5001,M$3,BD!$B$3:$B$5001,$A$113,BD!$P$3:$P$5001,"&lt;&gt;")=0,"",SUMIFS(BD!$P$3:$P$5001,BD!$A$3:$A$5001,M$3,BD!$B$3:$B$5001,$A$113)))</f>
        <v/>
      </c>
      <c r="N118" s="179" t="str">
        <f>IF(N$3="","",IF(COUNTIFS(BD!$A$3:$A$5001,N$3,BD!$B$3:$B$5001,$A$113,BD!$P$3:$P$5001,"&lt;&gt;")=0,"",SUMIFS(BD!$P$3:$P$5001,BD!$A$3:$A$5001,N$3,BD!$B$3:$B$5001,$A$113)))</f>
        <v/>
      </c>
      <c r="O118" s="179" t="str">
        <f>IF(O$3="","",IF(COUNTIFS(BD!$A$3:$A$5001,O$3,BD!$B$3:$B$5001,$A$113,BD!$P$3:$P$5001,"&lt;&gt;")=0,"",SUMIFS(BD!$P$3:$P$5001,BD!$A$3:$A$5001,O$3,BD!$B$3:$B$5001,$A$113)))</f>
        <v/>
      </c>
      <c r="P118" s="179" t="str">
        <f>IF(P$3="","",IF(COUNTIFS(BD!$A$3:$A$5001,P$3,BD!$B$3:$B$5001,$A$113,BD!$P$3:$P$5001,"&lt;&gt;")=0,"",SUMIFS(BD!$P$3:$P$5001,BD!$A$3:$A$5001,P$3,BD!$B$3:$B$5001,$A$113)))</f>
        <v/>
      </c>
      <c r="Q118" s="179" t="str">
        <f>IF(Q$3="","",IF(COUNTIFS(BD!$A$3:$A$5001,Q$3,BD!$B$3:$B$5001,$A$113,BD!$P$3:$P$5001,"&lt;&gt;")=0,"",SUMIFS(BD!$P$3:$P$5001,BD!$A$3:$A$5001,Q$3,BD!$B$3:$B$5001,$A$113)))</f>
        <v/>
      </c>
      <c r="R118" s="179" t="str">
        <f>IF(R$3="","",IF(COUNTIFS(BD!$A$3:$A$5001,R$3,BD!$B$3:$B$5001,$A$113,BD!$P$3:$P$5001,"&lt;&gt;")=0,"",SUMIFS(BD!$P$3:$P$5001,BD!$A$3:$A$5001,R$3,BD!$B$3:$B$5001,$A$113)))</f>
        <v/>
      </c>
      <c r="S118" s="179" t="str">
        <f>IF(S$3="","",IF(COUNTIFS(BD!$A$3:$A$5001,S$3,BD!$B$3:$B$5001,$A$113,BD!$P$3:$P$5001,"&lt;&gt;")=0,"",SUMIFS(BD!$P$3:$P$5001,BD!$A$3:$A$5001,S$3,BD!$B$3:$B$5001,$A$113)))</f>
        <v/>
      </c>
      <c r="T118" s="179" t="str">
        <f>IF(T$3="","",IF(COUNTIFS(BD!$A$3:$A$5001,T$3,BD!$B$3:$B$5001,$A$113,BD!$P$3:$P$5001,"&lt;&gt;")=0,"",SUMIFS(BD!$P$3:$P$5001,BD!$A$3:$A$5001,T$3,BD!$B$3:$B$5001,$A$113)))</f>
        <v/>
      </c>
      <c r="U118" s="179" t="str">
        <f>IF(U$3="","",IF(COUNTIFS(BD!$A$3:$A$5001,U$3,BD!$B$3:$B$5001,$A$113,BD!$P$3:$P$5001,"&lt;&gt;")=0,"",SUMIFS(BD!$P$3:$P$5001,BD!$A$3:$A$5001,U$3,BD!$B$3:$B$5001,$A$113)))</f>
        <v/>
      </c>
      <c r="V118" s="179" t="str">
        <f>IF(V$3="","",IF(COUNTIFS(BD!$A$3:$A$5001,V$3,BD!$B$3:$B$5001,$A$113,BD!$P$3:$P$5001,"&lt;&gt;")=0,"",SUMIFS(BD!$P$3:$P$5001,BD!$A$3:$A$5001,V$3,BD!$B$3:$B$5001,$A$113)))</f>
        <v/>
      </c>
      <c r="W118" s="179" t="str">
        <f>IF(W$3="","",IF(COUNTIFS(BD!$A$3:$A$5001,W$3,BD!$B$3:$B$5001,$A$113,BD!$P$3:$P$5001,"&lt;&gt;")=0,"",SUMIFS(BD!$P$3:$P$5001,BD!$A$3:$A$5001,W$3,BD!$B$3:$B$5001,$A$113)))</f>
        <v/>
      </c>
      <c r="X118" s="179" t="str">
        <f>IF(X$3="","",IF(COUNTIFS(BD!$A$3:$A$5001,X$3,BD!$B$3:$B$5001,$A$113,BD!$P$3:$P$5001,"&lt;&gt;")=0,"",SUMIFS(BD!$P$3:$P$5001,BD!$A$3:$A$5001,X$3,BD!$B$3:$B$5001,$A$113)))</f>
        <v/>
      </c>
      <c r="Y118" s="179" t="str">
        <f>IF(Y$3="","",IF(COUNTIFS(BD!$A$3:$A$5001,Y$3,BD!$B$3:$B$5001,$A$113,BD!$P$3:$P$5001,"&lt;&gt;")=0,"",SUMIFS(BD!$P$3:$P$5001,BD!$A$3:$A$5001,Y$3,BD!$B$3:$B$5001,$A$113)))</f>
        <v/>
      </c>
      <c r="Z118" s="179" t="str">
        <f>IF(Z$3="","",IF(COUNTIFS(BD!$A$3:$A$5001,Z$3,BD!$B$3:$B$5001,$A$113,BD!$P$3:$P$5001,"&lt;&gt;")=0,"",SUMIFS(BD!$P$3:$P$5001,BD!$A$3:$A$5001,Z$3,BD!$B$3:$B$5001,$A$113)))</f>
        <v/>
      </c>
      <c r="AA118" s="179" t="str">
        <f>IF(AA$3="","",IF(COUNTIFS(BD!$A$3:$A$5001,AA$3,BD!$B$3:$B$5001,$A$113,BD!$P$3:$P$5001,"&lt;&gt;")=0,"",SUMIFS(BD!$P$3:$P$5001,BD!$A$3:$A$5001,AA$3,BD!$B$3:$B$5001,$A$113)))</f>
        <v/>
      </c>
      <c r="AB118" s="179" t="str">
        <f>IF(AB$3="","",IF(COUNTIFS(BD!$A$3:$A$5001,AB$3,BD!$B$3:$B$5001,$A$113,BD!$P$3:$P$5001,"&lt;&gt;")=0,"",SUMIFS(BD!$P$3:$P$5001,BD!$A$3:$A$5001,AB$3,BD!$B$3:$B$5001,$A$113)))</f>
        <v/>
      </c>
      <c r="AC118" s="179" t="str">
        <f>IF(AC$3="","",IF(COUNTIFS(BD!$A$3:$A$5001,AC$3,BD!$B$3:$B$5001,$A$113,BD!$P$3:$P$5001,"&lt;&gt;")=0,"",SUMIFS(BD!$P$3:$P$5001,BD!$A$3:$A$5001,AC$3,BD!$B$3:$B$5001,$A$113)))</f>
        <v/>
      </c>
      <c r="AD118" s="179" t="str">
        <f>IF(AD$3="","",IF(COUNTIFS(BD!$A$3:$A$5001,AD$3,BD!$B$3:$B$5001,$A$113,BD!$P$3:$P$5001,"&lt;&gt;")=0,"",SUMIFS(BD!$P$3:$P$5001,BD!$A$3:$A$5001,AD$3,BD!$B$3:$B$5001,$A$113)))</f>
        <v/>
      </c>
      <c r="AE118" s="179" t="str">
        <f>IF(AE$3="","",IF(COUNTIFS(BD!$A$3:$A$5001,AE$3,BD!$B$3:$B$5001,$A$113,BD!$P$3:$P$5001,"&lt;&gt;")=0,"",SUMIFS(BD!$P$3:$P$5001,BD!$A$3:$A$5001,AE$3,BD!$B$3:$B$5001,$A$113)))</f>
        <v/>
      </c>
      <c r="AF118" s="179" t="str">
        <f>IF(AF$3="","",IF(COUNTIFS(BD!$A$3:$A$5001,AF$3,BD!$B$3:$B$5001,$A$113,BD!$P$3:$P$5001,"&lt;&gt;")=0,"",SUMIFS(BD!$P$3:$P$5001,BD!$A$3:$A$5001,AF$3,BD!$B$3:$B$5001,$A$113)))</f>
        <v/>
      </c>
      <c r="AG118" s="179" t="str">
        <f>IF(AG$3="","",IF(COUNTIFS(BD!$A$3:$A$5001,AG$3,BD!$B$3:$B$5001,$A$113,BD!$P$3:$P$5001,"&lt;&gt;")=0,"",SUMIFS(BD!$P$3:$P$5001,BD!$A$3:$A$5001,AG$3,BD!$B$3:$B$5001,$A$113)))</f>
        <v/>
      </c>
      <c r="AH118" s="179" t="str">
        <f>IF(AH$3="","",IF(COUNTIFS(BD!$A$3:$A$5001,AH$3,BD!$B$3:$B$5001,$A$113,BD!$P$3:$P$5001,"&lt;&gt;")=0,"",SUMIFS(BD!$P$3:$P$5001,BD!$A$3:$A$5001,AH$3,BD!$B$3:$B$5001,$A$113)))</f>
        <v/>
      </c>
      <c r="AI118" s="179" t="str">
        <f>IF(AI$3="","",IF(COUNTIFS(BD!$A$3:$A$5001,AI$3,BD!$B$3:$B$5001,$A$113,BD!$P$3:$P$5001,"&lt;&gt;")=0,"",SUMIFS(BD!$P$3:$P$5001,BD!$A$3:$A$5001,AI$3,BD!$B$3:$B$5001,$A$113)))</f>
        <v/>
      </c>
      <c r="AJ118" s="180" t="str">
        <f>IF(AJ$3="","",IF(COUNTIFS(BD!$A$3:$A$5001,AJ$3,BD!$B$3:$B$5001,$A$113,BD!$P$3:$P$5001,"&lt;&gt;")=0,"",SUMIFS(BD!$P$3:$P$5001,BD!$A$3:$A$5001,AJ$3,BD!$B$3:$B$5001,$A$113)))</f>
        <v/>
      </c>
      <c r="AK118" s="176" t="str">
        <f>IF(COUNT(F118:AJ118)=0,"",SUM(F118:AJ118))</f>
        <v/>
      </c>
    </row>
    <row r="119" ht="15.75" customHeight="1">
      <c r="A119" s="244"/>
      <c r="B119" s="236" t="inlineStr">
        <is>
          <t xml:space="preserve">NC</t>
        </is>
      </c>
      <c r="C119" s="181" t="inlineStr">
        <is>
          <t xml:space="preserve">Incidentes</t>
        </is>
      </c>
      <c r="D119" s="182" t="str">
        <f>IFERROR(1/(1/INDEX(BD!$AJ$40:$BD$40,MATCH($A$113,BD!$AJ$22:$BD$22,0))),"")</f>
        <v/>
      </c>
      <c r="E119" s="183"/>
      <c r="F119" s="184" t="str">
        <f>IF(F$3="","",IF(COUNTIFS(BD!$A$3:$A$5001,F$3,BD!$B$3:$B$5001,$A$113,BD!$T$3:$T$5001,"&lt;&gt;")=0,"",SUMIFS(BD!$T$3:$T$5001,BD!$A$3:$A$5001,F$3,BD!$B$3:$B$5001,$A$113)))</f>
        <v/>
      </c>
      <c r="G119" s="185" t="str">
        <f>IF(G$3="","",IF(COUNTIFS(BD!$A$3:$A$5001,G$3,BD!$B$3:$B$5001,$A$113,BD!$T$3:$T$5001,"&lt;&gt;")=0,"",SUMIFS(BD!$T$3:$T$5001,BD!$A$3:$A$5001,G$3,BD!$B$3:$B$5001,$A$113)))</f>
        <v/>
      </c>
      <c r="H119" s="185" t="str">
        <f>IF(H$3="","",IF(COUNTIFS(BD!$A$3:$A$5001,H$3,BD!$B$3:$B$5001,$A$113,BD!$T$3:$T$5001,"&lt;&gt;")=0,"",SUMIFS(BD!$T$3:$T$5001,BD!$A$3:$A$5001,H$3,BD!$B$3:$B$5001,$A$113)))</f>
        <v/>
      </c>
      <c r="I119" s="185" t="str">
        <f>IF(I$3="","",IF(COUNTIFS(BD!$A$3:$A$5001,I$3,BD!$B$3:$B$5001,$A$113,BD!$T$3:$T$5001,"&lt;&gt;")=0,"",SUMIFS(BD!$T$3:$T$5001,BD!$A$3:$A$5001,I$3,BD!$B$3:$B$5001,$A$113)))</f>
        <v/>
      </c>
      <c r="J119" s="185" t="str">
        <f>IF(J$3="","",IF(COUNTIFS(BD!$A$3:$A$5001,J$3,BD!$B$3:$B$5001,$A$113,BD!$T$3:$T$5001,"&lt;&gt;")=0,"",SUMIFS(BD!$T$3:$T$5001,BD!$A$3:$A$5001,J$3,BD!$B$3:$B$5001,$A$113)))</f>
        <v/>
      </c>
      <c r="K119" s="185" t="str">
        <f>IF(K$3="","",IF(COUNTIFS(BD!$A$3:$A$5001,K$3,BD!$B$3:$B$5001,$A$113,BD!$T$3:$T$5001,"&lt;&gt;")=0,"",SUMIFS(BD!$T$3:$T$5001,BD!$A$3:$A$5001,K$3,BD!$B$3:$B$5001,$A$113)))</f>
        <v/>
      </c>
      <c r="L119" s="185" t="str">
        <f>IF(L$3="","",IF(COUNTIFS(BD!$A$3:$A$5001,L$3,BD!$B$3:$B$5001,$A$113,BD!$T$3:$T$5001,"&lt;&gt;")=0,"",SUMIFS(BD!$T$3:$T$5001,BD!$A$3:$A$5001,L$3,BD!$B$3:$B$5001,$A$113)))</f>
        <v/>
      </c>
      <c r="M119" s="185" t="str">
        <f>IF(M$3="","",IF(COUNTIFS(BD!$A$3:$A$5001,M$3,BD!$B$3:$B$5001,$A$113,BD!$T$3:$T$5001,"&lt;&gt;")=0,"",SUMIFS(BD!$T$3:$T$5001,BD!$A$3:$A$5001,M$3,BD!$B$3:$B$5001,$A$113)))</f>
        <v/>
      </c>
      <c r="N119" s="185" t="str">
        <f>IF(N$3="","",IF(COUNTIFS(BD!$A$3:$A$5001,N$3,BD!$B$3:$B$5001,$A$113,BD!$T$3:$T$5001,"&lt;&gt;")=0,"",SUMIFS(BD!$T$3:$T$5001,BD!$A$3:$A$5001,N$3,BD!$B$3:$B$5001,$A$113)))</f>
        <v/>
      </c>
      <c r="O119" s="185" t="str">
        <f>IF(O$3="","",IF(COUNTIFS(BD!$A$3:$A$5001,O$3,BD!$B$3:$B$5001,$A$113,BD!$T$3:$T$5001,"&lt;&gt;")=0,"",SUMIFS(BD!$T$3:$T$5001,BD!$A$3:$A$5001,O$3,BD!$B$3:$B$5001,$A$113)))</f>
        <v/>
      </c>
      <c r="P119" s="185" t="str">
        <f>IF(P$3="","",IF(COUNTIFS(BD!$A$3:$A$5001,P$3,BD!$B$3:$B$5001,$A$113,BD!$T$3:$T$5001,"&lt;&gt;")=0,"",SUMIFS(BD!$T$3:$T$5001,BD!$A$3:$A$5001,P$3,BD!$B$3:$B$5001,$A$113)))</f>
        <v/>
      </c>
      <c r="Q119" s="185" t="str">
        <f>IF(Q$3="","",IF(COUNTIFS(BD!$A$3:$A$5001,Q$3,BD!$B$3:$B$5001,$A$113,BD!$T$3:$T$5001,"&lt;&gt;")=0,"",SUMIFS(BD!$T$3:$T$5001,BD!$A$3:$A$5001,Q$3,BD!$B$3:$B$5001,$A$113)))</f>
        <v/>
      </c>
      <c r="R119" s="185" t="str">
        <f>IF(R$3="","",IF(COUNTIFS(BD!$A$3:$A$5001,R$3,BD!$B$3:$B$5001,$A$113,BD!$T$3:$T$5001,"&lt;&gt;")=0,"",SUMIFS(BD!$T$3:$T$5001,BD!$A$3:$A$5001,R$3,BD!$B$3:$B$5001,$A$113)))</f>
        <v/>
      </c>
      <c r="S119" s="185" t="str">
        <f>IF(S$3="","",IF(COUNTIFS(BD!$A$3:$A$5001,S$3,BD!$B$3:$B$5001,$A$113,BD!$T$3:$T$5001,"&lt;&gt;")=0,"",SUMIFS(BD!$T$3:$T$5001,BD!$A$3:$A$5001,S$3,BD!$B$3:$B$5001,$A$113)))</f>
        <v/>
      </c>
      <c r="T119" s="185" t="str">
        <f>IF(T$3="","",IF(COUNTIFS(BD!$A$3:$A$5001,T$3,BD!$B$3:$B$5001,$A$113,BD!$T$3:$T$5001,"&lt;&gt;")=0,"",SUMIFS(BD!$T$3:$T$5001,BD!$A$3:$A$5001,T$3,BD!$B$3:$B$5001,$A$113)))</f>
        <v/>
      </c>
      <c r="U119" s="185" t="str">
        <f>IF(U$3="","",IF(COUNTIFS(BD!$A$3:$A$5001,U$3,BD!$B$3:$B$5001,$A$113,BD!$T$3:$T$5001,"&lt;&gt;")=0,"",SUMIFS(BD!$T$3:$T$5001,BD!$A$3:$A$5001,U$3,BD!$B$3:$B$5001,$A$113)))</f>
        <v/>
      </c>
      <c r="V119" s="185" t="str">
        <f>IF(V$3="","",IF(COUNTIFS(BD!$A$3:$A$5001,V$3,BD!$B$3:$B$5001,$A$113,BD!$T$3:$T$5001,"&lt;&gt;")=0,"",SUMIFS(BD!$T$3:$T$5001,BD!$A$3:$A$5001,V$3,BD!$B$3:$B$5001,$A$113)))</f>
        <v/>
      </c>
      <c r="W119" s="185" t="str">
        <f>IF(W$3="","",IF(COUNTIFS(BD!$A$3:$A$5001,W$3,BD!$B$3:$B$5001,$A$113,BD!$T$3:$T$5001,"&lt;&gt;")=0,"",SUMIFS(BD!$T$3:$T$5001,BD!$A$3:$A$5001,W$3,BD!$B$3:$B$5001,$A$113)))</f>
        <v/>
      </c>
      <c r="X119" s="185" t="str">
        <f>IF(X$3="","",IF(COUNTIFS(BD!$A$3:$A$5001,X$3,BD!$B$3:$B$5001,$A$113,BD!$T$3:$T$5001,"&lt;&gt;")=0,"",SUMIFS(BD!$T$3:$T$5001,BD!$A$3:$A$5001,X$3,BD!$B$3:$B$5001,$A$113)))</f>
        <v/>
      </c>
      <c r="Y119" s="185" t="str">
        <f>IF(Y$3="","",IF(COUNTIFS(BD!$A$3:$A$5001,Y$3,BD!$B$3:$B$5001,$A$113,BD!$T$3:$T$5001,"&lt;&gt;")=0,"",SUMIFS(BD!$T$3:$T$5001,BD!$A$3:$A$5001,Y$3,BD!$B$3:$B$5001,$A$113)))</f>
        <v/>
      </c>
      <c r="Z119" s="185" t="str">
        <f>IF(Z$3="","",IF(COUNTIFS(BD!$A$3:$A$5001,Z$3,BD!$B$3:$B$5001,$A$113,BD!$T$3:$T$5001,"&lt;&gt;")=0,"",SUMIFS(BD!$T$3:$T$5001,BD!$A$3:$A$5001,Z$3,BD!$B$3:$B$5001,$A$113)))</f>
        <v/>
      </c>
      <c r="AA119" s="185" t="str">
        <f>IF(AA$3="","",IF(COUNTIFS(BD!$A$3:$A$5001,AA$3,BD!$B$3:$B$5001,$A$113,BD!$T$3:$T$5001,"&lt;&gt;")=0,"",SUMIFS(BD!$T$3:$T$5001,BD!$A$3:$A$5001,AA$3,BD!$B$3:$B$5001,$A$113)))</f>
        <v/>
      </c>
      <c r="AB119" s="185" t="str">
        <f>IF(AB$3="","",IF(COUNTIFS(BD!$A$3:$A$5001,AB$3,BD!$B$3:$B$5001,$A$113,BD!$T$3:$T$5001,"&lt;&gt;")=0,"",SUMIFS(BD!$T$3:$T$5001,BD!$A$3:$A$5001,AB$3,BD!$B$3:$B$5001,$A$113)))</f>
        <v/>
      </c>
      <c r="AC119" s="185" t="str">
        <f>IF(AC$3="","",IF(COUNTIFS(BD!$A$3:$A$5001,AC$3,BD!$B$3:$B$5001,$A$113,BD!$T$3:$T$5001,"&lt;&gt;")=0,"",SUMIFS(BD!$T$3:$T$5001,BD!$A$3:$A$5001,AC$3,BD!$B$3:$B$5001,$A$113)))</f>
        <v/>
      </c>
      <c r="AD119" s="185" t="str">
        <f>IF(AD$3="","",IF(COUNTIFS(BD!$A$3:$A$5001,AD$3,BD!$B$3:$B$5001,$A$113,BD!$T$3:$T$5001,"&lt;&gt;")=0,"",SUMIFS(BD!$T$3:$T$5001,BD!$A$3:$A$5001,AD$3,BD!$B$3:$B$5001,$A$113)))</f>
        <v/>
      </c>
      <c r="AE119" s="185" t="str">
        <f>IF(AE$3="","",IF(COUNTIFS(BD!$A$3:$A$5001,AE$3,BD!$B$3:$B$5001,$A$113,BD!$T$3:$T$5001,"&lt;&gt;")=0,"",SUMIFS(BD!$T$3:$T$5001,BD!$A$3:$A$5001,AE$3,BD!$B$3:$B$5001,$A$113)))</f>
        <v/>
      </c>
      <c r="AF119" s="185" t="str">
        <f>IF(AF$3="","",IF(COUNTIFS(BD!$A$3:$A$5001,AF$3,BD!$B$3:$B$5001,$A$113,BD!$T$3:$T$5001,"&lt;&gt;")=0,"",SUMIFS(BD!$T$3:$T$5001,BD!$A$3:$A$5001,AF$3,BD!$B$3:$B$5001,$A$113)))</f>
        <v/>
      </c>
      <c r="AG119" s="185" t="str">
        <f>IF(AG$3="","",IF(COUNTIFS(BD!$A$3:$A$5001,AG$3,BD!$B$3:$B$5001,$A$113,BD!$T$3:$T$5001,"&lt;&gt;")=0,"",SUMIFS(BD!$T$3:$T$5001,BD!$A$3:$A$5001,AG$3,BD!$B$3:$B$5001,$A$113)))</f>
        <v/>
      </c>
      <c r="AH119" s="185" t="str">
        <f>IF(AH$3="","",IF(COUNTIFS(BD!$A$3:$A$5001,AH$3,BD!$B$3:$B$5001,$A$113,BD!$T$3:$T$5001,"&lt;&gt;")=0,"",SUMIFS(BD!$T$3:$T$5001,BD!$A$3:$A$5001,AH$3,BD!$B$3:$B$5001,$A$113)))</f>
        <v/>
      </c>
      <c r="AI119" s="185" t="str">
        <f>IF(AI$3="","",IF(COUNTIFS(BD!$A$3:$A$5001,AI$3,BD!$B$3:$B$5001,$A$113,BD!$T$3:$T$5001,"&lt;&gt;")=0,"",SUMIFS(BD!$T$3:$T$5001,BD!$A$3:$A$5001,AI$3,BD!$B$3:$B$5001,$A$113)))</f>
        <v/>
      </c>
      <c r="AJ119" s="186" t="str">
        <f>IF(AJ$3="","",IF(COUNTIFS(BD!$A$3:$A$5001,AJ$3,BD!$B$3:$B$5001,$A$113,BD!$T$3:$T$5001,"&lt;&gt;")=0,"",SUMIFS(BD!$T$3:$T$5001,BD!$A$3:$A$5001,AJ$3,BD!$B$3:$B$5001,$A$113)))</f>
        <v/>
      </c>
      <c r="AK119" s="187" t="str">
        <f>IF(COUNT(F119:AJ119)=0,"",SUM(F119:AJ119))</f>
        <v/>
      </c>
    </row>
    <row r="120" ht="15.75" customHeight="1">
      <c r="A120" s="244"/>
      <c r="B120" s="237"/>
      <c r="C120" s="188" t="inlineStr">
        <is>
          <t xml:space="preserve">No show</t>
        </is>
      </c>
      <c r="D120" s="189" t="str">
        <f>IFERROR(1/(1/INDEX(BD!$AJ$41:$BD$41,MATCH($A$113,BD!$AJ$22:$BD$22,0))),"")</f>
        <v/>
      </c>
      <c r="E120" s="190"/>
      <c r="F120" s="191" t="str">
        <f>IF(F$3="","",IF(COUNTIFS(BD!$A$3:$A$5001,F$3,BD!$B$3:$B$5001,$A$113,BD!$U$3:$U$5001,"&lt;&gt;")=0,"",SUMIFS(BD!$U$3:$U$5001,BD!$A$3:$A$5001,F$3,BD!$B$3:$B$5001,$A$113)))</f>
        <v/>
      </c>
      <c r="G120" s="192" t="str">
        <f>IF(G$3="","",IF(COUNTIFS(BD!$A$3:$A$5001,G$3,BD!$B$3:$B$5001,$A$113,BD!$U$3:$U$5001,"&lt;&gt;")=0,"",SUMIFS(BD!$U$3:$U$5001,BD!$A$3:$A$5001,G$3,BD!$B$3:$B$5001,$A$113)))</f>
        <v/>
      </c>
      <c r="H120" s="192" t="str">
        <f>IF(H$3="","",IF(COUNTIFS(BD!$A$3:$A$5001,H$3,BD!$B$3:$B$5001,$A$113,BD!$U$3:$U$5001,"&lt;&gt;")=0,"",SUMIFS(BD!$U$3:$U$5001,BD!$A$3:$A$5001,H$3,BD!$B$3:$B$5001,$A$113)))</f>
        <v/>
      </c>
      <c r="I120" s="192" t="str">
        <f>IF(I$3="","",IF(COUNTIFS(BD!$A$3:$A$5001,I$3,BD!$B$3:$B$5001,$A$113,BD!$U$3:$U$5001,"&lt;&gt;")=0,"",SUMIFS(BD!$U$3:$U$5001,BD!$A$3:$A$5001,I$3,BD!$B$3:$B$5001,$A$113)))</f>
        <v/>
      </c>
      <c r="J120" s="192" t="str">
        <f>IF(J$3="","",IF(COUNTIFS(BD!$A$3:$A$5001,J$3,BD!$B$3:$B$5001,$A$113,BD!$U$3:$U$5001,"&lt;&gt;")=0,"",SUMIFS(BD!$U$3:$U$5001,BD!$A$3:$A$5001,J$3,BD!$B$3:$B$5001,$A$113)))</f>
        <v/>
      </c>
      <c r="K120" s="192" t="str">
        <f>IF(K$3="","",IF(COUNTIFS(BD!$A$3:$A$5001,K$3,BD!$B$3:$B$5001,$A$113,BD!$U$3:$U$5001,"&lt;&gt;")=0,"",SUMIFS(BD!$U$3:$U$5001,BD!$A$3:$A$5001,K$3,BD!$B$3:$B$5001,$A$113)))</f>
        <v/>
      </c>
      <c r="L120" s="192" t="str">
        <f>IF(L$3="","",IF(COUNTIFS(BD!$A$3:$A$5001,L$3,BD!$B$3:$B$5001,$A$113,BD!$U$3:$U$5001,"&lt;&gt;")=0,"",SUMIFS(BD!$U$3:$U$5001,BD!$A$3:$A$5001,L$3,BD!$B$3:$B$5001,$A$113)))</f>
        <v/>
      </c>
      <c r="M120" s="192" t="str">
        <f>IF(M$3="","",IF(COUNTIFS(BD!$A$3:$A$5001,M$3,BD!$B$3:$B$5001,$A$113,BD!$U$3:$U$5001,"&lt;&gt;")=0,"",SUMIFS(BD!$U$3:$U$5001,BD!$A$3:$A$5001,M$3,BD!$B$3:$B$5001,$A$113)))</f>
        <v/>
      </c>
      <c r="N120" s="192" t="str">
        <f>IF(N$3="","",IF(COUNTIFS(BD!$A$3:$A$5001,N$3,BD!$B$3:$B$5001,$A$113,BD!$U$3:$U$5001,"&lt;&gt;")=0,"",SUMIFS(BD!$U$3:$U$5001,BD!$A$3:$A$5001,N$3,BD!$B$3:$B$5001,$A$113)))</f>
        <v/>
      </c>
      <c r="O120" s="192" t="str">
        <f>IF(O$3="","",IF(COUNTIFS(BD!$A$3:$A$5001,O$3,BD!$B$3:$B$5001,$A$113,BD!$U$3:$U$5001,"&lt;&gt;")=0,"",SUMIFS(BD!$U$3:$U$5001,BD!$A$3:$A$5001,O$3,BD!$B$3:$B$5001,$A$113)))</f>
        <v/>
      </c>
      <c r="P120" s="192" t="str">
        <f>IF(P$3="","",IF(COUNTIFS(BD!$A$3:$A$5001,P$3,BD!$B$3:$B$5001,$A$113,BD!$U$3:$U$5001,"&lt;&gt;")=0,"",SUMIFS(BD!$U$3:$U$5001,BD!$A$3:$A$5001,P$3,BD!$B$3:$B$5001,$A$113)))</f>
        <v/>
      </c>
      <c r="Q120" s="192" t="str">
        <f>IF(Q$3="","",IF(COUNTIFS(BD!$A$3:$A$5001,Q$3,BD!$B$3:$B$5001,$A$113,BD!$U$3:$U$5001,"&lt;&gt;")=0,"",SUMIFS(BD!$U$3:$U$5001,BD!$A$3:$A$5001,Q$3,BD!$B$3:$B$5001,$A$113)))</f>
        <v/>
      </c>
      <c r="R120" s="192" t="str">
        <f>IF(R$3="","",IF(COUNTIFS(BD!$A$3:$A$5001,R$3,BD!$B$3:$B$5001,$A$113,BD!$U$3:$U$5001,"&lt;&gt;")=0,"",SUMIFS(BD!$U$3:$U$5001,BD!$A$3:$A$5001,R$3,BD!$B$3:$B$5001,$A$113)))</f>
        <v/>
      </c>
      <c r="S120" s="192" t="str">
        <f>IF(S$3="","",IF(COUNTIFS(BD!$A$3:$A$5001,S$3,BD!$B$3:$B$5001,$A$113,BD!$U$3:$U$5001,"&lt;&gt;")=0,"",SUMIFS(BD!$U$3:$U$5001,BD!$A$3:$A$5001,S$3,BD!$B$3:$B$5001,$A$113)))</f>
        <v/>
      </c>
      <c r="T120" s="192" t="str">
        <f>IF(T$3="","",IF(COUNTIFS(BD!$A$3:$A$5001,T$3,BD!$B$3:$B$5001,$A$113,BD!$U$3:$U$5001,"&lt;&gt;")=0,"",SUMIFS(BD!$U$3:$U$5001,BD!$A$3:$A$5001,T$3,BD!$B$3:$B$5001,$A$113)))</f>
        <v/>
      </c>
      <c r="U120" s="192" t="str">
        <f>IF(U$3="","",IF(COUNTIFS(BD!$A$3:$A$5001,U$3,BD!$B$3:$B$5001,$A$113,BD!$U$3:$U$5001,"&lt;&gt;")=0,"",SUMIFS(BD!$U$3:$U$5001,BD!$A$3:$A$5001,U$3,BD!$B$3:$B$5001,$A$113)))</f>
        <v/>
      </c>
      <c r="V120" s="192" t="str">
        <f>IF(V$3="","",IF(COUNTIFS(BD!$A$3:$A$5001,V$3,BD!$B$3:$B$5001,$A$113,BD!$U$3:$U$5001,"&lt;&gt;")=0,"",SUMIFS(BD!$U$3:$U$5001,BD!$A$3:$A$5001,V$3,BD!$B$3:$B$5001,$A$113)))</f>
        <v/>
      </c>
      <c r="W120" s="192" t="str">
        <f>IF(W$3="","",IF(COUNTIFS(BD!$A$3:$A$5001,W$3,BD!$B$3:$B$5001,$A$113,BD!$U$3:$U$5001,"&lt;&gt;")=0,"",SUMIFS(BD!$U$3:$U$5001,BD!$A$3:$A$5001,W$3,BD!$B$3:$B$5001,$A$113)))</f>
        <v/>
      </c>
      <c r="X120" s="192" t="str">
        <f>IF(X$3="","",IF(COUNTIFS(BD!$A$3:$A$5001,X$3,BD!$B$3:$B$5001,$A$113,BD!$U$3:$U$5001,"&lt;&gt;")=0,"",SUMIFS(BD!$U$3:$U$5001,BD!$A$3:$A$5001,X$3,BD!$B$3:$B$5001,$A$113)))</f>
        <v/>
      </c>
      <c r="Y120" s="192" t="str">
        <f>IF(Y$3="","",IF(COUNTIFS(BD!$A$3:$A$5001,Y$3,BD!$B$3:$B$5001,$A$113,BD!$U$3:$U$5001,"&lt;&gt;")=0,"",SUMIFS(BD!$U$3:$U$5001,BD!$A$3:$A$5001,Y$3,BD!$B$3:$B$5001,$A$113)))</f>
        <v/>
      </c>
      <c r="Z120" s="192" t="str">
        <f>IF(Z$3="","",IF(COUNTIFS(BD!$A$3:$A$5001,Z$3,BD!$B$3:$B$5001,$A$113,BD!$U$3:$U$5001,"&lt;&gt;")=0,"",SUMIFS(BD!$U$3:$U$5001,BD!$A$3:$A$5001,Z$3,BD!$B$3:$B$5001,$A$113)))</f>
        <v/>
      </c>
      <c r="AA120" s="192" t="str">
        <f>IF(AA$3="","",IF(COUNTIFS(BD!$A$3:$A$5001,AA$3,BD!$B$3:$B$5001,$A$113,BD!$U$3:$U$5001,"&lt;&gt;")=0,"",SUMIFS(BD!$U$3:$U$5001,BD!$A$3:$A$5001,AA$3,BD!$B$3:$B$5001,$A$113)))</f>
        <v/>
      </c>
      <c r="AB120" s="192" t="str">
        <f>IF(AB$3="","",IF(COUNTIFS(BD!$A$3:$A$5001,AB$3,BD!$B$3:$B$5001,$A$113,BD!$U$3:$U$5001,"&lt;&gt;")=0,"",SUMIFS(BD!$U$3:$U$5001,BD!$A$3:$A$5001,AB$3,BD!$B$3:$B$5001,$A$113)))</f>
        <v/>
      </c>
      <c r="AC120" s="192" t="str">
        <f>IF(AC$3="","",IF(COUNTIFS(BD!$A$3:$A$5001,AC$3,BD!$B$3:$B$5001,$A$113,BD!$U$3:$U$5001,"&lt;&gt;")=0,"",SUMIFS(BD!$U$3:$U$5001,BD!$A$3:$A$5001,AC$3,BD!$B$3:$B$5001,$A$113)))</f>
        <v/>
      </c>
      <c r="AD120" s="192" t="str">
        <f>IF(AD$3="","",IF(COUNTIFS(BD!$A$3:$A$5001,AD$3,BD!$B$3:$B$5001,$A$113,BD!$U$3:$U$5001,"&lt;&gt;")=0,"",SUMIFS(BD!$U$3:$U$5001,BD!$A$3:$A$5001,AD$3,BD!$B$3:$B$5001,$A$113)))</f>
        <v/>
      </c>
      <c r="AE120" s="192" t="str">
        <f>IF(AE$3="","",IF(COUNTIFS(BD!$A$3:$A$5001,AE$3,BD!$B$3:$B$5001,$A$113,BD!$U$3:$U$5001,"&lt;&gt;")=0,"",SUMIFS(BD!$U$3:$U$5001,BD!$A$3:$A$5001,AE$3,BD!$B$3:$B$5001,$A$113)))</f>
        <v/>
      </c>
      <c r="AF120" s="192" t="str">
        <f>IF(AF$3="","",IF(COUNTIFS(BD!$A$3:$A$5001,AF$3,BD!$B$3:$B$5001,$A$113,BD!$U$3:$U$5001,"&lt;&gt;")=0,"",SUMIFS(BD!$U$3:$U$5001,BD!$A$3:$A$5001,AF$3,BD!$B$3:$B$5001,$A$113)))</f>
        <v/>
      </c>
      <c r="AG120" s="192" t="str">
        <f>IF(AG$3="","",IF(COUNTIFS(BD!$A$3:$A$5001,AG$3,BD!$B$3:$B$5001,$A$113,BD!$U$3:$U$5001,"&lt;&gt;")=0,"",SUMIFS(BD!$U$3:$U$5001,BD!$A$3:$A$5001,AG$3,BD!$B$3:$B$5001,$A$113)))</f>
        <v/>
      </c>
      <c r="AH120" s="192" t="str">
        <f>IF(AH$3="","",IF(COUNTIFS(BD!$A$3:$A$5001,AH$3,BD!$B$3:$B$5001,$A$113,BD!$U$3:$U$5001,"&lt;&gt;")=0,"",SUMIFS(BD!$U$3:$U$5001,BD!$A$3:$A$5001,AH$3,BD!$B$3:$B$5001,$A$113)))</f>
        <v/>
      </c>
      <c r="AI120" s="192" t="str">
        <f>IF(AI$3="","",IF(COUNTIFS(BD!$A$3:$A$5001,AI$3,BD!$B$3:$B$5001,$A$113,BD!$U$3:$U$5001,"&lt;&gt;")=0,"",SUMIFS(BD!$U$3:$U$5001,BD!$A$3:$A$5001,AI$3,BD!$B$3:$B$5001,$A$113)))</f>
        <v/>
      </c>
      <c r="AJ120" s="193" t="str">
        <f>IF(AJ$3="","",IF(COUNTIFS(BD!$A$3:$A$5001,AJ$3,BD!$B$3:$B$5001,$A$113,BD!$U$3:$U$5001,"&lt;&gt;")=0,"",SUMIFS(BD!$U$3:$U$5001,BD!$A$3:$A$5001,AJ$3,BD!$B$3:$B$5001,$A$113)))</f>
        <v/>
      </c>
      <c r="AK120" s="194" t="str">
        <f>IF(COUNT(F120:AJ120)=0,"",SUM(F120:AJ120))</f>
        <v/>
      </c>
    </row>
    <row r="121" ht="15.75" customHeight="1">
      <c r="A121" s="244"/>
      <c r="B121" s="238"/>
      <c r="C121" s="195" t="inlineStr">
        <is>
          <t xml:space="preserve">Backlog</t>
        </is>
      </c>
      <c r="D121" s="196" t="str">
        <f>IFERROR(1/(1/INDEX(BD!$AJ$42:$BD$42,MATCH($A$113,BD!$AJ$22:$BD$22,0))),"")</f>
        <v/>
      </c>
      <c r="E121" s="197"/>
      <c r="F121" s="198" t="str">
        <f>IF(F$3="","",IF(COUNTIFS(BD!$A$3:$A$5001,F$3,BD!$B$3:$B$5001,$A$113,BD!$V$3:$V$5001,"&lt;&gt;")=0,"",SUMIFS(BD!$V$3:$V$5001,BD!$A$3:$A$5001,F$3,BD!$B$3:$B$5001,$A$113)))</f>
        <v/>
      </c>
      <c r="G121" s="199" t="str">
        <f>IF(G$3="","",IF(COUNTIFS(BD!$A$3:$A$5001,G$3,BD!$B$3:$B$5001,$A$113,BD!$V$3:$V$5001,"&lt;&gt;")=0,"",SUMIFS(BD!$V$3:$V$5001,BD!$A$3:$A$5001,G$3,BD!$B$3:$B$5001,$A$113)))</f>
        <v/>
      </c>
      <c r="H121" s="199" t="str">
        <f>IF(H$3="","",IF(COUNTIFS(BD!$A$3:$A$5001,H$3,BD!$B$3:$B$5001,$A$113,BD!$V$3:$V$5001,"&lt;&gt;")=0,"",SUMIFS(BD!$V$3:$V$5001,BD!$A$3:$A$5001,H$3,BD!$B$3:$B$5001,$A$113)))</f>
        <v/>
      </c>
      <c r="I121" s="199" t="str">
        <f>IF(I$3="","",IF(COUNTIFS(BD!$A$3:$A$5001,I$3,BD!$B$3:$B$5001,$A$113,BD!$V$3:$V$5001,"&lt;&gt;")=0,"",SUMIFS(BD!$V$3:$V$5001,BD!$A$3:$A$5001,I$3,BD!$B$3:$B$5001,$A$113)))</f>
        <v/>
      </c>
      <c r="J121" s="199" t="str">
        <f>IF(J$3="","",IF(COUNTIFS(BD!$A$3:$A$5001,J$3,BD!$B$3:$B$5001,$A$113,BD!$V$3:$V$5001,"&lt;&gt;")=0,"",SUMIFS(BD!$V$3:$V$5001,BD!$A$3:$A$5001,J$3,BD!$B$3:$B$5001,$A$113)))</f>
        <v/>
      </c>
      <c r="K121" s="199" t="str">
        <f>IF(K$3="","",IF(COUNTIFS(BD!$A$3:$A$5001,K$3,BD!$B$3:$B$5001,$A$113,BD!$V$3:$V$5001,"&lt;&gt;")=0,"",SUMIFS(BD!$V$3:$V$5001,BD!$A$3:$A$5001,K$3,BD!$B$3:$B$5001,$A$113)))</f>
        <v/>
      </c>
      <c r="L121" s="199" t="str">
        <f>IF(L$3="","",IF(COUNTIFS(BD!$A$3:$A$5001,L$3,BD!$B$3:$B$5001,$A$113,BD!$V$3:$V$5001,"&lt;&gt;")=0,"",SUMIFS(BD!$V$3:$V$5001,BD!$A$3:$A$5001,L$3,BD!$B$3:$B$5001,$A$113)))</f>
        <v/>
      </c>
      <c r="M121" s="199" t="str">
        <f>IF(M$3="","",IF(COUNTIFS(BD!$A$3:$A$5001,M$3,BD!$B$3:$B$5001,$A$113,BD!$V$3:$V$5001,"&lt;&gt;")=0,"",SUMIFS(BD!$V$3:$V$5001,BD!$A$3:$A$5001,M$3,BD!$B$3:$B$5001,$A$113)))</f>
        <v/>
      </c>
      <c r="N121" s="199" t="str">
        <f>IF(N$3="","",IF(COUNTIFS(BD!$A$3:$A$5001,N$3,BD!$B$3:$B$5001,$A$113,BD!$V$3:$V$5001,"&lt;&gt;")=0,"",SUMIFS(BD!$V$3:$V$5001,BD!$A$3:$A$5001,N$3,BD!$B$3:$B$5001,$A$113)))</f>
        <v/>
      </c>
      <c r="O121" s="199" t="str">
        <f>IF(O$3="","",IF(COUNTIFS(BD!$A$3:$A$5001,O$3,BD!$B$3:$B$5001,$A$113,BD!$V$3:$V$5001,"&lt;&gt;")=0,"",SUMIFS(BD!$V$3:$V$5001,BD!$A$3:$A$5001,O$3,BD!$B$3:$B$5001,$A$113)))</f>
        <v/>
      </c>
      <c r="P121" s="199" t="str">
        <f>IF(P$3="","",IF(COUNTIFS(BD!$A$3:$A$5001,P$3,BD!$B$3:$B$5001,$A$113,BD!$V$3:$V$5001,"&lt;&gt;")=0,"",SUMIFS(BD!$V$3:$V$5001,BD!$A$3:$A$5001,P$3,BD!$B$3:$B$5001,$A$113)))</f>
        <v/>
      </c>
      <c r="Q121" s="199" t="str">
        <f>IF(Q$3="","",IF(COUNTIFS(BD!$A$3:$A$5001,Q$3,BD!$B$3:$B$5001,$A$113,BD!$V$3:$V$5001,"&lt;&gt;")=0,"",SUMIFS(BD!$V$3:$V$5001,BD!$A$3:$A$5001,Q$3,BD!$B$3:$B$5001,$A$113)))</f>
        <v/>
      </c>
      <c r="R121" s="199" t="str">
        <f>IF(R$3="","",IF(COUNTIFS(BD!$A$3:$A$5001,R$3,BD!$B$3:$B$5001,$A$113,BD!$V$3:$V$5001,"&lt;&gt;")=0,"",SUMIFS(BD!$V$3:$V$5001,BD!$A$3:$A$5001,R$3,BD!$B$3:$B$5001,$A$113)))</f>
        <v/>
      </c>
      <c r="S121" s="199" t="str">
        <f>IF(S$3="","",IF(COUNTIFS(BD!$A$3:$A$5001,S$3,BD!$B$3:$B$5001,$A$113,BD!$V$3:$V$5001,"&lt;&gt;")=0,"",SUMIFS(BD!$V$3:$V$5001,BD!$A$3:$A$5001,S$3,BD!$B$3:$B$5001,$A$113)))</f>
        <v/>
      </c>
      <c r="T121" s="199" t="str">
        <f>IF(T$3="","",IF(COUNTIFS(BD!$A$3:$A$5001,T$3,BD!$B$3:$B$5001,$A$113,BD!$V$3:$V$5001,"&lt;&gt;")=0,"",SUMIFS(BD!$V$3:$V$5001,BD!$A$3:$A$5001,T$3,BD!$B$3:$B$5001,$A$113)))</f>
        <v/>
      </c>
      <c r="U121" s="199" t="str">
        <f>IF(U$3="","",IF(COUNTIFS(BD!$A$3:$A$5001,U$3,BD!$B$3:$B$5001,$A$113,BD!$V$3:$V$5001,"&lt;&gt;")=0,"",SUMIFS(BD!$V$3:$V$5001,BD!$A$3:$A$5001,U$3,BD!$B$3:$B$5001,$A$113)))</f>
        <v/>
      </c>
      <c r="V121" s="199" t="str">
        <f>IF(V$3="","",IF(COUNTIFS(BD!$A$3:$A$5001,V$3,BD!$B$3:$B$5001,$A$113,BD!$V$3:$V$5001,"&lt;&gt;")=0,"",SUMIFS(BD!$V$3:$V$5001,BD!$A$3:$A$5001,V$3,BD!$B$3:$B$5001,$A$113)))</f>
        <v/>
      </c>
      <c r="W121" s="199" t="str">
        <f>IF(W$3="","",IF(COUNTIFS(BD!$A$3:$A$5001,W$3,BD!$B$3:$B$5001,$A$113,BD!$V$3:$V$5001,"&lt;&gt;")=0,"",SUMIFS(BD!$V$3:$V$5001,BD!$A$3:$A$5001,W$3,BD!$B$3:$B$5001,$A$113)))</f>
        <v/>
      </c>
      <c r="X121" s="199" t="str">
        <f>IF(X$3="","",IF(COUNTIFS(BD!$A$3:$A$5001,X$3,BD!$B$3:$B$5001,$A$113,BD!$V$3:$V$5001,"&lt;&gt;")=0,"",SUMIFS(BD!$V$3:$V$5001,BD!$A$3:$A$5001,X$3,BD!$B$3:$B$5001,$A$113)))</f>
        <v/>
      </c>
      <c r="Y121" s="199" t="str">
        <f>IF(Y$3="","",IF(COUNTIFS(BD!$A$3:$A$5001,Y$3,BD!$B$3:$B$5001,$A$113,BD!$V$3:$V$5001,"&lt;&gt;")=0,"",SUMIFS(BD!$V$3:$V$5001,BD!$A$3:$A$5001,Y$3,BD!$B$3:$B$5001,$A$113)))</f>
        <v/>
      </c>
      <c r="Z121" s="199" t="str">
        <f>IF(Z$3="","",IF(COUNTIFS(BD!$A$3:$A$5001,Z$3,BD!$B$3:$B$5001,$A$113,BD!$V$3:$V$5001,"&lt;&gt;")=0,"",SUMIFS(BD!$V$3:$V$5001,BD!$A$3:$A$5001,Z$3,BD!$B$3:$B$5001,$A$113)))</f>
        <v/>
      </c>
      <c r="AA121" s="199" t="str">
        <f>IF(AA$3="","",IF(COUNTIFS(BD!$A$3:$A$5001,AA$3,BD!$B$3:$B$5001,$A$113,BD!$V$3:$V$5001,"&lt;&gt;")=0,"",SUMIFS(BD!$V$3:$V$5001,BD!$A$3:$A$5001,AA$3,BD!$B$3:$B$5001,$A$113)))</f>
        <v/>
      </c>
      <c r="AB121" s="199" t="str">
        <f>IF(AB$3="","",IF(COUNTIFS(BD!$A$3:$A$5001,AB$3,BD!$B$3:$B$5001,$A$113,BD!$V$3:$V$5001,"&lt;&gt;")=0,"",SUMIFS(BD!$V$3:$V$5001,BD!$A$3:$A$5001,AB$3,BD!$B$3:$B$5001,$A$113)))</f>
        <v/>
      </c>
      <c r="AC121" s="199" t="str">
        <f>IF(AC$3="","",IF(COUNTIFS(BD!$A$3:$A$5001,AC$3,BD!$B$3:$B$5001,$A$113,BD!$V$3:$V$5001,"&lt;&gt;")=0,"",SUMIFS(BD!$V$3:$V$5001,BD!$A$3:$A$5001,AC$3,BD!$B$3:$B$5001,$A$113)))</f>
        <v/>
      </c>
      <c r="AD121" s="199" t="str">
        <f>IF(AD$3="","",IF(COUNTIFS(BD!$A$3:$A$5001,AD$3,BD!$B$3:$B$5001,$A$113,BD!$V$3:$V$5001,"&lt;&gt;")=0,"",SUMIFS(BD!$V$3:$V$5001,BD!$A$3:$A$5001,AD$3,BD!$B$3:$B$5001,$A$113)))</f>
        <v/>
      </c>
      <c r="AE121" s="199" t="str">
        <f>IF(AE$3="","",IF(COUNTIFS(BD!$A$3:$A$5001,AE$3,BD!$B$3:$B$5001,$A$113,BD!$V$3:$V$5001,"&lt;&gt;")=0,"",SUMIFS(BD!$V$3:$V$5001,BD!$A$3:$A$5001,AE$3,BD!$B$3:$B$5001,$A$113)))</f>
        <v/>
      </c>
      <c r="AF121" s="199" t="str">
        <f>IF(AF$3="","",IF(COUNTIFS(BD!$A$3:$A$5001,AF$3,BD!$B$3:$B$5001,$A$113,BD!$V$3:$V$5001,"&lt;&gt;")=0,"",SUMIFS(BD!$V$3:$V$5001,BD!$A$3:$A$5001,AF$3,BD!$B$3:$B$5001,$A$113)))</f>
        <v/>
      </c>
      <c r="AG121" s="199" t="str">
        <f>IF(AG$3="","",IF(COUNTIFS(BD!$A$3:$A$5001,AG$3,BD!$B$3:$B$5001,$A$113,BD!$V$3:$V$5001,"&lt;&gt;")=0,"",SUMIFS(BD!$V$3:$V$5001,BD!$A$3:$A$5001,AG$3,BD!$B$3:$B$5001,$A$113)))</f>
        <v/>
      </c>
      <c r="AH121" s="199" t="str">
        <f>IF(AH$3="","",IF(COUNTIFS(BD!$A$3:$A$5001,AH$3,BD!$B$3:$B$5001,$A$113,BD!$V$3:$V$5001,"&lt;&gt;")=0,"",SUMIFS(BD!$V$3:$V$5001,BD!$A$3:$A$5001,AH$3,BD!$B$3:$B$5001,$A$113)))</f>
        <v/>
      </c>
      <c r="AI121" s="199" t="str">
        <f>IF(AI$3="","",IF(COUNTIFS(BD!$A$3:$A$5001,AI$3,BD!$B$3:$B$5001,$A$113,BD!$V$3:$V$5001,"&lt;&gt;")=0,"",SUMIFS(BD!$V$3:$V$5001,BD!$A$3:$A$5001,AI$3,BD!$B$3:$B$5001,$A$113)))</f>
        <v/>
      </c>
      <c r="AJ121" s="200" t="str">
        <f>IF(AJ$3="","",IF(COUNTIFS(BD!$A$3:$A$5001,AJ$3,BD!$B$3:$B$5001,$A$113,BD!$V$3:$V$5001,"&lt;&gt;")=0,"",SUMIFS(BD!$V$3:$V$5001,BD!$A$3:$A$5001,AJ$3,BD!$B$3:$B$5001,$A$113)))</f>
        <v/>
      </c>
      <c r="AK121" s="196" t="str">
        <f>IFERROR(LOOKUP(9.99E+307,F121:AJ121),"")</f>
        <v/>
      </c>
    </row>
    <row r="122" ht="15.75" customHeight="1">
      <c r="A122" s="244"/>
      <c r="B122" s="232" t="inlineStr">
        <is>
          <t xml:space="preserve">OCUPAÇÃO (P.P)</t>
        </is>
      </c>
      <c r="C122" s="155" t="inlineStr">
        <is>
          <t xml:space="preserve">Posições Disponíveis</t>
        </is>
      </c>
      <c r="D122" s="156" t="str">
        <f>IFERROR(1/(1/INDEX(BD!$AJ$43:$BD$43,MATCH($A$113,BD!$AJ$22:$BD$22,0))),"")</f>
        <v/>
      </c>
      <c r="E122" s="157"/>
      <c r="F122" s="158" t="str">
        <f>IF(F$3="","",IF(COUNTIFS(BD!$A$3:$A$5001,F$3,BD!$B$3:$B$5001,$A$113,BD!$W$3:$W$5001,"&lt;&gt;")=0,"",SUMIFS(BD!$W$3:$W$5001,BD!$A$3:$A$5001,F$3,BD!$B$3:$B$5001,$A$113)))</f>
        <v/>
      </c>
      <c r="G122" s="159" t="str">
        <f>IF(G$3="","",IF(COUNTIFS(BD!$A$3:$A$5001,G$3,BD!$B$3:$B$5001,$A$113,BD!$W$3:$W$5001,"&lt;&gt;")=0,"",SUMIFS(BD!$W$3:$W$5001,BD!$A$3:$A$5001,G$3,BD!$B$3:$B$5001,$A$113)))</f>
        <v/>
      </c>
      <c r="H122" s="159" t="str">
        <f>IF(H$3="","",IF(COUNTIFS(BD!$A$3:$A$5001,H$3,BD!$B$3:$B$5001,$A$113,BD!$W$3:$W$5001,"&lt;&gt;")=0,"",SUMIFS(BD!$W$3:$W$5001,BD!$A$3:$A$5001,H$3,BD!$B$3:$B$5001,$A$113)))</f>
        <v/>
      </c>
      <c r="I122" s="159" t="str">
        <f>IF(I$3="","",IF(COUNTIFS(BD!$A$3:$A$5001,I$3,BD!$B$3:$B$5001,$A$113,BD!$W$3:$W$5001,"&lt;&gt;")=0,"",SUMIFS(BD!$W$3:$W$5001,BD!$A$3:$A$5001,I$3,BD!$B$3:$B$5001,$A$113)))</f>
        <v/>
      </c>
      <c r="J122" s="159" t="str">
        <f>IF(J$3="","",IF(COUNTIFS(BD!$A$3:$A$5001,J$3,BD!$B$3:$B$5001,$A$113,BD!$W$3:$W$5001,"&lt;&gt;")=0,"",SUMIFS(BD!$W$3:$W$5001,BD!$A$3:$A$5001,J$3,BD!$B$3:$B$5001,$A$113)))</f>
        <v/>
      </c>
      <c r="K122" s="159" t="str">
        <f>IF(K$3="","",IF(COUNTIFS(BD!$A$3:$A$5001,K$3,BD!$B$3:$B$5001,$A$113,BD!$W$3:$W$5001,"&lt;&gt;")=0,"",SUMIFS(BD!$W$3:$W$5001,BD!$A$3:$A$5001,K$3,BD!$B$3:$B$5001,$A$113)))</f>
        <v/>
      </c>
      <c r="L122" s="159" t="str">
        <f>IF(L$3="","",IF(COUNTIFS(BD!$A$3:$A$5001,L$3,BD!$B$3:$B$5001,$A$113,BD!$W$3:$W$5001,"&lt;&gt;")=0,"",SUMIFS(BD!$W$3:$W$5001,BD!$A$3:$A$5001,L$3,BD!$B$3:$B$5001,$A$113)))</f>
        <v/>
      </c>
      <c r="M122" s="159" t="str">
        <f>IF(M$3="","",IF(COUNTIFS(BD!$A$3:$A$5001,M$3,BD!$B$3:$B$5001,$A$113,BD!$W$3:$W$5001,"&lt;&gt;")=0,"",SUMIFS(BD!$W$3:$W$5001,BD!$A$3:$A$5001,M$3,BD!$B$3:$B$5001,$A$113)))</f>
        <v/>
      </c>
      <c r="N122" s="159" t="str">
        <f>IF(N$3="","",IF(COUNTIFS(BD!$A$3:$A$5001,N$3,BD!$B$3:$B$5001,$A$113,BD!$W$3:$W$5001,"&lt;&gt;")=0,"",SUMIFS(BD!$W$3:$W$5001,BD!$A$3:$A$5001,N$3,BD!$B$3:$B$5001,$A$113)))</f>
        <v/>
      </c>
      <c r="O122" s="159" t="str">
        <f>IF(O$3="","",IF(COUNTIFS(BD!$A$3:$A$5001,O$3,BD!$B$3:$B$5001,$A$113,BD!$W$3:$W$5001,"&lt;&gt;")=0,"",SUMIFS(BD!$W$3:$W$5001,BD!$A$3:$A$5001,O$3,BD!$B$3:$B$5001,$A$113)))</f>
        <v/>
      </c>
      <c r="P122" s="159" t="str">
        <f>IF(P$3="","",IF(COUNTIFS(BD!$A$3:$A$5001,P$3,BD!$B$3:$B$5001,$A$113,BD!$W$3:$W$5001,"&lt;&gt;")=0,"",SUMIFS(BD!$W$3:$W$5001,BD!$A$3:$A$5001,P$3,BD!$B$3:$B$5001,$A$113)))</f>
        <v/>
      </c>
      <c r="Q122" s="159" t="str">
        <f>IF(Q$3="","",IF(COUNTIFS(BD!$A$3:$A$5001,Q$3,BD!$B$3:$B$5001,$A$113,BD!$W$3:$W$5001,"&lt;&gt;")=0,"",SUMIFS(BD!$W$3:$W$5001,BD!$A$3:$A$5001,Q$3,BD!$B$3:$B$5001,$A$113)))</f>
        <v/>
      </c>
      <c r="R122" s="159" t="str">
        <f>IF(R$3="","",IF(COUNTIFS(BD!$A$3:$A$5001,R$3,BD!$B$3:$B$5001,$A$113,BD!$W$3:$W$5001,"&lt;&gt;")=0,"",SUMIFS(BD!$W$3:$W$5001,BD!$A$3:$A$5001,R$3,BD!$B$3:$B$5001,$A$113)))</f>
        <v/>
      </c>
      <c r="S122" s="159" t="str">
        <f>IF(S$3="","",IF(COUNTIFS(BD!$A$3:$A$5001,S$3,BD!$B$3:$B$5001,$A$113,BD!$W$3:$W$5001,"&lt;&gt;")=0,"",SUMIFS(BD!$W$3:$W$5001,BD!$A$3:$A$5001,S$3,BD!$B$3:$B$5001,$A$113)))</f>
        <v/>
      </c>
      <c r="T122" s="159" t="str">
        <f>IF(T$3="","",IF(COUNTIFS(BD!$A$3:$A$5001,T$3,BD!$B$3:$B$5001,$A$113,BD!$W$3:$W$5001,"&lt;&gt;")=0,"",SUMIFS(BD!$W$3:$W$5001,BD!$A$3:$A$5001,T$3,BD!$B$3:$B$5001,$A$113)))</f>
        <v/>
      </c>
      <c r="U122" s="159" t="str">
        <f>IF(U$3="","",IF(COUNTIFS(BD!$A$3:$A$5001,U$3,BD!$B$3:$B$5001,$A$113,BD!$W$3:$W$5001,"&lt;&gt;")=0,"",SUMIFS(BD!$W$3:$W$5001,BD!$A$3:$A$5001,U$3,BD!$B$3:$B$5001,$A$113)))</f>
        <v/>
      </c>
      <c r="V122" s="159" t="str">
        <f>IF(V$3="","",IF(COUNTIFS(BD!$A$3:$A$5001,V$3,BD!$B$3:$B$5001,$A$113,BD!$W$3:$W$5001,"&lt;&gt;")=0,"",SUMIFS(BD!$W$3:$W$5001,BD!$A$3:$A$5001,V$3,BD!$B$3:$B$5001,$A$113)))</f>
        <v/>
      </c>
      <c r="W122" s="159" t="str">
        <f>IF(W$3="","",IF(COUNTIFS(BD!$A$3:$A$5001,W$3,BD!$B$3:$B$5001,$A$113,BD!$W$3:$W$5001,"&lt;&gt;")=0,"",SUMIFS(BD!$W$3:$W$5001,BD!$A$3:$A$5001,W$3,BD!$B$3:$B$5001,$A$113)))</f>
        <v/>
      </c>
      <c r="X122" s="159" t="str">
        <f>IF(X$3="","",IF(COUNTIFS(BD!$A$3:$A$5001,X$3,BD!$B$3:$B$5001,$A$113,BD!$W$3:$W$5001,"&lt;&gt;")=0,"",SUMIFS(BD!$W$3:$W$5001,BD!$A$3:$A$5001,X$3,BD!$B$3:$B$5001,$A$113)))</f>
        <v/>
      </c>
      <c r="Y122" s="159" t="str">
        <f>IF(Y$3="","",IF(COUNTIFS(BD!$A$3:$A$5001,Y$3,BD!$B$3:$B$5001,$A$113,BD!$W$3:$W$5001,"&lt;&gt;")=0,"",SUMIFS(BD!$W$3:$W$5001,BD!$A$3:$A$5001,Y$3,BD!$B$3:$B$5001,$A$113)))</f>
        <v/>
      </c>
      <c r="Z122" s="159" t="str">
        <f>IF(Z$3="","",IF(COUNTIFS(BD!$A$3:$A$5001,Z$3,BD!$B$3:$B$5001,$A$113,BD!$W$3:$W$5001,"&lt;&gt;")=0,"",SUMIFS(BD!$W$3:$W$5001,BD!$A$3:$A$5001,Z$3,BD!$B$3:$B$5001,$A$113)))</f>
        <v/>
      </c>
      <c r="AA122" s="159" t="str">
        <f>IF(AA$3="","",IF(COUNTIFS(BD!$A$3:$A$5001,AA$3,BD!$B$3:$B$5001,$A$113,BD!$W$3:$W$5001,"&lt;&gt;")=0,"",SUMIFS(BD!$W$3:$W$5001,BD!$A$3:$A$5001,AA$3,BD!$B$3:$B$5001,$A$113)))</f>
        <v/>
      </c>
      <c r="AB122" s="159" t="str">
        <f>IF(AB$3="","",IF(COUNTIFS(BD!$A$3:$A$5001,AB$3,BD!$B$3:$B$5001,$A$113,BD!$W$3:$W$5001,"&lt;&gt;")=0,"",SUMIFS(BD!$W$3:$W$5001,BD!$A$3:$A$5001,AB$3,BD!$B$3:$B$5001,$A$113)))</f>
        <v/>
      </c>
      <c r="AC122" s="159" t="str">
        <f>IF(AC$3="","",IF(COUNTIFS(BD!$A$3:$A$5001,AC$3,BD!$B$3:$B$5001,$A$113,BD!$W$3:$W$5001,"&lt;&gt;")=0,"",SUMIFS(BD!$W$3:$W$5001,BD!$A$3:$A$5001,AC$3,BD!$B$3:$B$5001,$A$113)))</f>
        <v/>
      </c>
      <c r="AD122" s="159" t="str">
        <f>IF(AD$3="","",IF(COUNTIFS(BD!$A$3:$A$5001,AD$3,BD!$B$3:$B$5001,$A$113,BD!$W$3:$W$5001,"&lt;&gt;")=0,"",SUMIFS(BD!$W$3:$W$5001,BD!$A$3:$A$5001,AD$3,BD!$B$3:$B$5001,$A$113)))</f>
        <v/>
      </c>
      <c r="AE122" s="159" t="str">
        <f>IF(AE$3="","",IF(COUNTIFS(BD!$A$3:$A$5001,AE$3,BD!$B$3:$B$5001,$A$113,BD!$W$3:$W$5001,"&lt;&gt;")=0,"",SUMIFS(BD!$W$3:$W$5001,BD!$A$3:$A$5001,AE$3,BD!$B$3:$B$5001,$A$113)))</f>
        <v/>
      </c>
      <c r="AF122" s="159" t="str">
        <f>IF(AF$3="","",IF(COUNTIFS(BD!$A$3:$A$5001,AF$3,BD!$B$3:$B$5001,$A$113,BD!$W$3:$W$5001,"&lt;&gt;")=0,"",SUMIFS(BD!$W$3:$W$5001,BD!$A$3:$A$5001,AF$3,BD!$B$3:$B$5001,$A$113)))</f>
        <v/>
      </c>
      <c r="AG122" s="159" t="str">
        <f>IF(AG$3="","",IF(COUNTIFS(BD!$A$3:$A$5001,AG$3,BD!$B$3:$B$5001,$A$113,BD!$W$3:$W$5001,"&lt;&gt;")=0,"",SUMIFS(BD!$W$3:$W$5001,BD!$A$3:$A$5001,AG$3,BD!$B$3:$B$5001,$A$113)))</f>
        <v/>
      </c>
      <c r="AH122" s="159" t="str">
        <f>IF(AH$3="","",IF(COUNTIFS(BD!$A$3:$A$5001,AH$3,BD!$B$3:$B$5001,$A$113,BD!$W$3:$W$5001,"&lt;&gt;")=0,"",SUMIFS(BD!$W$3:$W$5001,BD!$A$3:$A$5001,AH$3,BD!$B$3:$B$5001,$A$113)))</f>
        <v/>
      </c>
      <c r="AI122" s="159" t="str">
        <f>IF(AI$3="","",IF(COUNTIFS(BD!$A$3:$A$5001,AI$3,BD!$B$3:$B$5001,$A$113,BD!$W$3:$W$5001,"&lt;&gt;")=0,"",SUMIFS(BD!$W$3:$W$5001,BD!$A$3:$A$5001,AI$3,BD!$B$3:$B$5001,$A$113)))</f>
        <v/>
      </c>
      <c r="AJ122" s="160" t="str">
        <f>IF(AJ$3="","",IF(COUNTIFS(BD!$A$3:$A$5001,AJ$3,BD!$B$3:$B$5001,$A$113,BD!$W$3:$W$5001,"&lt;&gt;")=0,"",SUMIFS(BD!$W$3:$W$5001,BD!$A$3:$A$5001,AJ$3,BD!$B$3:$B$5001,$A$113)))</f>
        <v/>
      </c>
      <c r="AK122" s="161" t="str">
        <f>IF(COUNT(F122:AJ122)&gt;0,LOOKUP(9.99E+307,F122:AJ122),IFERROR(IF(INDEX(BD!$AG$3:$AG$5001,MATCH($A$113,BD!$B$3:$B$5001,0))&amp;""="Contrato","",INDEX(BD!$AG$3:$AG$5001,MATCH($A$113,BD!$B$3:$B$5001,0))&amp;""),""))</f>
        <v/>
      </c>
    </row>
    <row r="123" ht="15.75" customHeight="1">
      <c r="A123" s="244"/>
      <c r="B123" s="239"/>
      <c r="C123" s="201" t="inlineStr">
        <is>
          <t xml:space="preserve">Posições Ocupadas</t>
        </is>
      </c>
      <c r="D123" s="202" t="str">
        <f>IFERROR(1/(1/INDEX(BD!$AJ$44:$BD$44,MATCH($A$113,BD!$AJ$22:$BD$22,0))),"")</f>
        <v/>
      </c>
      <c r="E123" s="203"/>
      <c r="F123" s="204" t="str">
        <f>IF(F$3="","",IF(COUNTIFS(BD!$A$3:$A$5001,F$3,BD!$B$3:$B$5001,$A$113,BD!$X$3:$X$5001,"&lt;&gt;")=0,"",SUMIFS(BD!$X$3:$X$5001,BD!$A$3:$A$5001,F$3,BD!$B$3:$B$5001,$A$113)))</f>
        <v/>
      </c>
      <c r="G123" s="205" t="str">
        <f>IF(G$3="","",IF(COUNTIFS(BD!$A$3:$A$5001,G$3,BD!$B$3:$B$5001,$A$113,BD!$X$3:$X$5001,"&lt;&gt;")=0,"",SUMIFS(BD!$X$3:$X$5001,BD!$A$3:$A$5001,G$3,BD!$B$3:$B$5001,$A$113)))</f>
        <v/>
      </c>
      <c r="H123" s="205" t="str">
        <f>IF(H$3="","",IF(COUNTIFS(BD!$A$3:$A$5001,H$3,BD!$B$3:$B$5001,$A$113,BD!$X$3:$X$5001,"&lt;&gt;")=0,"",SUMIFS(BD!$X$3:$X$5001,BD!$A$3:$A$5001,H$3,BD!$B$3:$B$5001,$A$113)))</f>
        <v/>
      </c>
      <c r="I123" s="205" t="str">
        <f>IF(I$3="","",IF(COUNTIFS(BD!$A$3:$A$5001,I$3,BD!$B$3:$B$5001,$A$113,BD!$X$3:$X$5001,"&lt;&gt;")=0,"",SUMIFS(BD!$X$3:$X$5001,BD!$A$3:$A$5001,I$3,BD!$B$3:$B$5001,$A$113)))</f>
        <v/>
      </c>
      <c r="J123" s="205" t="str">
        <f>IF(J$3="","",IF(COUNTIFS(BD!$A$3:$A$5001,J$3,BD!$B$3:$B$5001,$A$113,BD!$X$3:$X$5001,"&lt;&gt;")=0,"",SUMIFS(BD!$X$3:$X$5001,BD!$A$3:$A$5001,J$3,BD!$B$3:$B$5001,$A$113)))</f>
        <v/>
      </c>
      <c r="K123" s="205" t="str">
        <f>IF(K$3="","",IF(COUNTIFS(BD!$A$3:$A$5001,K$3,BD!$B$3:$B$5001,$A$113,BD!$X$3:$X$5001,"&lt;&gt;")=0,"",SUMIFS(BD!$X$3:$X$5001,BD!$A$3:$A$5001,K$3,BD!$B$3:$B$5001,$A$113)))</f>
        <v/>
      </c>
      <c r="L123" s="205" t="str">
        <f>IF(L$3="","",IF(COUNTIFS(BD!$A$3:$A$5001,L$3,BD!$B$3:$B$5001,$A$113,BD!$X$3:$X$5001,"&lt;&gt;")=0,"",SUMIFS(BD!$X$3:$X$5001,BD!$A$3:$A$5001,L$3,BD!$B$3:$B$5001,$A$113)))</f>
        <v/>
      </c>
      <c r="M123" s="205" t="str">
        <f>IF(M$3="","",IF(COUNTIFS(BD!$A$3:$A$5001,M$3,BD!$B$3:$B$5001,$A$113,BD!$X$3:$X$5001,"&lt;&gt;")=0,"",SUMIFS(BD!$X$3:$X$5001,BD!$A$3:$A$5001,M$3,BD!$B$3:$B$5001,$A$113)))</f>
        <v/>
      </c>
      <c r="N123" s="205" t="str">
        <f>IF(N$3="","",IF(COUNTIFS(BD!$A$3:$A$5001,N$3,BD!$B$3:$B$5001,$A$113,BD!$X$3:$X$5001,"&lt;&gt;")=0,"",SUMIFS(BD!$X$3:$X$5001,BD!$A$3:$A$5001,N$3,BD!$B$3:$B$5001,$A$113)))</f>
        <v/>
      </c>
      <c r="O123" s="205" t="str">
        <f>IF(O$3="","",IF(COUNTIFS(BD!$A$3:$A$5001,O$3,BD!$B$3:$B$5001,$A$113,BD!$X$3:$X$5001,"&lt;&gt;")=0,"",SUMIFS(BD!$X$3:$X$5001,BD!$A$3:$A$5001,O$3,BD!$B$3:$B$5001,$A$113)))</f>
        <v/>
      </c>
      <c r="P123" s="205" t="str">
        <f>IF(P$3="","",IF(COUNTIFS(BD!$A$3:$A$5001,P$3,BD!$B$3:$B$5001,$A$113,BD!$X$3:$X$5001,"&lt;&gt;")=0,"",SUMIFS(BD!$X$3:$X$5001,BD!$A$3:$A$5001,P$3,BD!$B$3:$B$5001,$A$113)))</f>
        <v/>
      </c>
      <c r="Q123" s="205" t="str">
        <f>IF(Q$3="","",IF(COUNTIFS(BD!$A$3:$A$5001,Q$3,BD!$B$3:$B$5001,$A$113,BD!$X$3:$X$5001,"&lt;&gt;")=0,"",SUMIFS(BD!$X$3:$X$5001,BD!$A$3:$A$5001,Q$3,BD!$B$3:$B$5001,$A$113)))</f>
        <v/>
      </c>
      <c r="R123" s="205" t="str">
        <f>IF(R$3="","",IF(COUNTIFS(BD!$A$3:$A$5001,R$3,BD!$B$3:$B$5001,$A$113,BD!$X$3:$X$5001,"&lt;&gt;")=0,"",SUMIFS(BD!$X$3:$X$5001,BD!$A$3:$A$5001,R$3,BD!$B$3:$B$5001,$A$113)))</f>
        <v/>
      </c>
      <c r="S123" s="205" t="str">
        <f>IF(S$3="","",IF(COUNTIFS(BD!$A$3:$A$5001,S$3,BD!$B$3:$B$5001,$A$113,BD!$X$3:$X$5001,"&lt;&gt;")=0,"",SUMIFS(BD!$X$3:$X$5001,BD!$A$3:$A$5001,S$3,BD!$B$3:$B$5001,$A$113)))</f>
        <v/>
      </c>
      <c r="T123" s="205" t="str">
        <f>IF(T$3="","",IF(COUNTIFS(BD!$A$3:$A$5001,T$3,BD!$B$3:$B$5001,$A$113,BD!$X$3:$X$5001,"&lt;&gt;")=0,"",SUMIFS(BD!$X$3:$X$5001,BD!$A$3:$A$5001,T$3,BD!$B$3:$B$5001,$A$113)))</f>
        <v/>
      </c>
      <c r="U123" s="205" t="str">
        <f>IF(U$3="","",IF(COUNTIFS(BD!$A$3:$A$5001,U$3,BD!$B$3:$B$5001,$A$113,BD!$X$3:$X$5001,"&lt;&gt;")=0,"",SUMIFS(BD!$X$3:$X$5001,BD!$A$3:$A$5001,U$3,BD!$B$3:$B$5001,$A$113)))</f>
        <v/>
      </c>
      <c r="V123" s="205" t="str">
        <f>IF(V$3="","",IF(COUNTIFS(BD!$A$3:$A$5001,V$3,BD!$B$3:$B$5001,$A$113,BD!$X$3:$X$5001,"&lt;&gt;")=0,"",SUMIFS(BD!$X$3:$X$5001,BD!$A$3:$A$5001,V$3,BD!$B$3:$B$5001,$A$113)))</f>
        <v/>
      </c>
      <c r="W123" s="205" t="str">
        <f>IF(W$3="","",IF(COUNTIFS(BD!$A$3:$A$5001,W$3,BD!$B$3:$B$5001,$A$113,BD!$X$3:$X$5001,"&lt;&gt;")=0,"",SUMIFS(BD!$X$3:$X$5001,BD!$A$3:$A$5001,W$3,BD!$B$3:$B$5001,$A$113)))</f>
        <v/>
      </c>
      <c r="X123" s="205" t="str">
        <f>IF(X$3="","",IF(COUNTIFS(BD!$A$3:$A$5001,X$3,BD!$B$3:$B$5001,$A$113,BD!$X$3:$X$5001,"&lt;&gt;")=0,"",SUMIFS(BD!$X$3:$X$5001,BD!$A$3:$A$5001,X$3,BD!$B$3:$B$5001,$A$113)))</f>
        <v/>
      </c>
      <c r="Y123" s="205" t="str">
        <f>IF(Y$3="","",IF(COUNTIFS(BD!$A$3:$A$5001,Y$3,BD!$B$3:$B$5001,$A$113,BD!$X$3:$X$5001,"&lt;&gt;")=0,"",SUMIFS(BD!$X$3:$X$5001,BD!$A$3:$A$5001,Y$3,BD!$B$3:$B$5001,$A$113)))</f>
        <v/>
      </c>
      <c r="Z123" s="205" t="str">
        <f>IF(Z$3="","",IF(COUNTIFS(BD!$A$3:$A$5001,Z$3,BD!$B$3:$B$5001,$A$113,BD!$X$3:$X$5001,"&lt;&gt;")=0,"",SUMIFS(BD!$X$3:$X$5001,BD!$A$3:$A$5001,Z$3,BD!$B$3:$B$5001,$A$113)))</f>
        <v/>
      </c>
      <c r="AA123" s="205" t="str">
        <f>IF(AA$3="","",IF(COUNTIFS(BD!$A$3:$A$5001,AA$3,BD!$B$3:$B$5001,$A$113,BD!$X$3:$X$5001,"&lt;&gt;")=0,"",SUMIFS(BD!$X$3:$X$5001,BD!$A$3:$A$5001,AA$3,BD!$B$3:$B$5001,$A$113)))</f>
        <v/>
      </c>
      <c r="AB123" s="205" t="str">
        <f>IF(AB$3="","",IF(COUNTIFS(BD!$A$3:$A$5001,AB$3,BD!$B$3:$B$5001,$A$113,BD!$X$3:$X$5001,"&lt;&gt;")=0,"",SUMIFS(BD!$X$3:$X$5001,BD!$A$3:$A$5001,AB$3,BD!$B$3:$B$5001,$A$113)))</f>
        <v/>
      </c>
      <c r="AC123" s="205" t="str">
        <f>IF(AC$3="","",IF(COUNTIFS(BD!$A$3:$A$5001,AC$3,BD!$B$3:$B$5001,$A$113,BD!$X$3:$X$5001,"&lt;&gt;")=0,"",SUMIFS(BD!$X$3:$X$5001,BD!$A$3:$A$5001,AC$3,BD!$B$3:$B$5001,$A$113)))</f>
        <v/>
      </c>
      <c r="AD123" s="205" t="str">
        <f>IF(AD$3="","",IF(COUNTIFS(BD!$A$3:$A$5001,AD$3,BD!$B$3:$B$5001,$A$113,BD!$X$3:$X$5001,"&lt;&gt;")=0,"",SUMIFS(BD!$X$3:$X$5001,BD!$A$3:$A$5001,AD$3,BD!$B$3:$B$5001,$A$113)))</f>
        <v/>
      </c>
      <c r="AE123" s="205" t="str">
        <f>IF(AE$3="","",IF(COUNTIFS(BD!$A$3:$A$5001,AE$3,BD!$B$3:$B$5001,$A$113,BD!$X$3:$X$5001,"&lt;&gt;")=0,"",SUMIFS(BD!$X$3:$X$5001,BD!$A$3:$A$5001,AE$3,BD!$B$3:$B$5001,$A$113)))</f>
        <v/>
      </c>
      <c r="AF123" s="205" t="str">
        <f>IF(AF$3="","",IF(COUNTIFS(BD!$A$3:$A$5001,AF$3,BD!$B$3:$B$5001,$A$113,BD!$X$3:$X$5001,"&lt;&gt;")=0,"",SUMIFS(BD!$X$3:$X$5001,BD!$A$3:$A$5001,AF$3,BD!$B$3:$B$5001,$A$113)))</f>
        <v/>
      </c>
      <c r="AG123" s="205" t="str">
        <f>IF(AG$3="","",IF(COUNTIFS(BD!$A$3:$A$5001,AG$3,BD!$B$3:$B$5001,$A$113,BD!$X$3:$X$5001,"&lt;&gt;")=0,"",SUMIFS(BD!$X$3:$X$5001,BD!$A$3:$A$5001,AG$3,BD!$B$3:$B$5001,$A$113)))</f>
        <v/>
      </c>
      <c r="AH123" s="205" t="str">
        <f>IF(AH$3="","",IF(COUNTIFS(BD!$A$3:$A$5001,AH$3,BD!$B$3:$B$5001,$A$113,BD!$X$3:$X$5001,"&lt;&gt;")=0,"",SUMIFS(BD!$X$3:$X$5001,BD!$A$3:$A$5001,AH$3,BD!$B$3:$B$5001,$A$113)))</f>
        <v/>
      </c>
      <c r="AI123" s="205" t="str">
        <f>IF(AI$3="","",IF(COUNTIFS(BD!$A$3:$A$5001,AI$3,BD!$B$3:$B$5001,$A$113,BD!$X$3:$X$5001,"&lt;&gt;")=0,"",SUMIFS(BD!$X$3:$X$5001,BD!$A$3:$A$5001,AI$3,BD!$B$3:$B$5001,$A$113)))</f>
        <v/>
      </c>
      <c r="AJ123" s="206" t="str">
        <f>IF(AJ$3="","",IF(COUNTIFS(BD!$A$3:$A$5001,AJ$3,BD!$B$3:$B$5001,$A$113,BD!$X$3:$X$5001,"&lt;&gt;")=0,"",SUMIFS(BD!$X$3:$X$5001,BD!$A$3:$A$5001,AJ$3,BD!$B$3:$B$5001,$A$113)))</f>
        <v/>
      </c>
      <c r="AK123" s="207" t="str">
        <f>IFERROR(LOOKUP(9.99E+307,F123:AJ123),"")</f>
        <v/>
      </c>
    </row>
    <row r="124" ht="15.75" customHeight="1">
      <c r="A124" s="244"/>
      <c r="B124" s="233"/>
      <c r="C124" s="162" t="inlineStr">
        <is>
          <t xml:space="preserve">Taxa de Ocupação</t>
        </is>
      </c>
      <c r="D124" s="208" t="str">
        <f>IFERROR(1/(1/INDEX(BD!$AJ$45:$BD$45,MATCH($A$113,BD!$AJ$22:$BD$22,0))),"")</f>
        <v/>
      </c>
      <c r="E124" s="164"/>
      <c r="F124" s="209" t="str">
        <f>IF(AND(ISNUMBER(F122),ISNUMBER(F123)),IF(F122&gt;0,F123/F122,""),"")</f>
        <v/>
      </c>
      <c r="G124" s="210" t="str">
        <f>IF(AND(ISNUMBER(G122),ISNUMBER(G123)),IF(G122&gt;0,G123/G122,""),"")</f>
        <v/>
      </c>
      <c r="H124" s="210" t="str">
        <f>IF(AND(ISNUMBER(H122),ISNUMBER(H123)),IF(H122&gt;0,H123/H122,""),"")</f>
        <v/>
      </c>
      <c r="I124" s="210" t="str">
        <f>IF(AND(ISNUMBER(I122),ISNUMBER(I123)),IF(I122&gt;0,I123/I122,""),"")</f>
        <v/>
      </c>
      <c r="J124" s="210" t="str">
        <f>IF(AND(ISNUMBER(J122),ISNUMBER(J123)),IF(J122&gt;0,J123/J122,""),"")</f>
        <v/>
      </c>
      <c r="K124" s="210" t="str">
        <f>IF(AND(ISNUMBER(K122),ISNUMBER(K123)),IF(K122&gt;0,K123/K122,""),"")</f>
        <v/>
      </c>
      <c r="L124" s="210" t="str">
        <f>IF(AND(ISNUMBER(L122),ISNUMBER(L123)),IF(L122&gt;0,L123/L122,""),"")</f>
        <v/>
      </c>
      <c r="M124" s="210" t="str">
        <f>IF(AND(ISNUMBER(M122),ISNUMBER(M123)),IF(M122&gt;0,M123/M122,""),"")</f>
        <v/>
      </c>
      <c r="N124" s="210" t="str">
        <f>IF(AND(ISNUMBER(N122),ISNUMBER(N123)),IF(N122&gt;0,N123/N122,""),"")</f>
        <v/>
      </c>
      <c r="O124" s="210" t="str">
        <f>IF(AND(ISNUMBER(O122),ISNUMBER(O123)),IF(O122&gt;0,O123/O122,""),"")</f>
        <v/>
      </c>
      <c r="P124" s="210" t="str">
        <f>IF(AND(ISNUMBER(P122),ISNUMBER(P123)),IF(P122&gt;0,P123/P122,""),"")</f>
        <v/>
      </c>
      <c r="Q124" s="210" t="str">
        <f>IF(AND(ISNUMBER(Q122),ISNUMBER(Q123)),IF(Q122&gt;0,Q123/Q122,""),"")</f>
        <v/>
      </c>
      <c r="R124" s="210" t="str">
        <f>IF(AND(ISNUMBER(R122),ISNUMBER(R123)),IF(R122&gt;0,R123/R122,""),"")</f>
        <v/>
      </c>
      <c r="S124" s="210" t="str">
        <f>IF(AND(ISNUMBER(S122),ISNUMBER(S123)),IF(S122&gt;0,S123/S122,""),"")</f>
        <v/>
      </c>
      <c r="T124" s="210" t="str">
        <f>IF(AND(ISNUMBER(T122),ISNUMBER(T123)),IF(T122&gt;0,T123/T122,""),"")</f>
        <v/>
      </c>
      <c r="U124" s="210" t="str">
        <f>IF(AND(ISNUMBER(U122),ISNUMBER(U123)),IF(U122&gt;0,U123/U122,""),"")</f>
        <v/>
      </c>
      <c r="V124" s="210" t="str">
        <f>IF(AND(ISNUMBER(V122),ISNUMBER(V123)),IF(V122&gt;0,V123/V122,""),"")</f>
        <v/>
      </c>
      <c r="W124" s="210" t="str">
        <f>IF(AND(ISNUMBER(W122),ISNUMBER(W123)),IF(W122&gt;0,W123/W122,""),"")</f>
        <v/>
      </c>
      <c r="X124" s="210" t="str">
        <f>IF(AND(ISNUMBER(X122),ISNUMBER(X123)),IF(X122&gt;0,X123/X122,""),"")</f>
        <v/>
      </c>
      <c r="Y124" s="210" t="str">
        <f>IF(AND(ISNUMBER(Y122),ISNUMBER(Y123)),IF(Y122&gt;0,Y123/Y122,""),"")</f>
        <v/>
      </c>
      <c r="Z124" s="210" t="str">
        <f>IF(AND(ISNUMBER(Z122),ISNUMBER(Z123)),IF(Z122&gt;0,Z123/Z122,""),"")</f>
        <v/>
      </c>
      <c r="AA124" s="210" t="str">
        <f>IF(AND(ISNUMBER(AA122),ISNUMBER(AA123)),IF(AA122&gt;0,AA123/AA122,""),"")</f>
        <v/>
      </c>
      <c r="AB124" s="210" t="str">
        <f>IF(AND(ISNUMBER(AB122),ISNUMBER(AB123)),IF(AB122&gt;0,AB123/AB122,""),"")</f>
        <v/>
      </c>
      <c r="AC124" s="210" t="str">
        <f>IF(AND(ISNUMBER(AC122),ISNUMBER(AC123)),IF(AC122&gt;0,AC123/AC122,""),"")</f>
        <v/>
      </c>
      <c r="AD124" s="210" t="str">
        <f>IF(AND(ISNUMBER(AD122),ISNUMBER(AD123)),IF(AD122&gt;0,AD123/AD122,""),"")</f>
        <v/>
      </c>
      <c r="AE124" s="210" t="str">
        <f>IF(AND(ISNUMBER(AE122),ISNUMBER(AE123)),IF(AE122&gt;0,AE123/AE122,""),"")</f>
        <v/>
      </c>
      <c r="AF124" s="210" t="str">
        <f>IF(AND(ISNUMBER(AF122),ISNUMBER(AF123)),IF(AF122&gt;0,AF123/AF122,""),"")</f>
        <v/>
      </c>
      <c r="AG124" s="210" t="str">
        <f>IF(AND(ISNUMBER(AG122),ISNUMBER(AG123)),IF(AG122&gt;0,AG123/AG122,""),"")</f>
        <v/>
      </c>
      <c r="AH124" s="210" t="str">
        <f>IF(AND(ISNUMBER(AH122),ISNUMBER(AH123)),IF(AH122&gt;0,AH123/AH122,""),"")</f>
        <v/>
      </c>
      <c r="AI124" s="210" t="str">
        <f>IF(AND(ISNUMBER(AI122),ISNUMBER(AI123)),IF(AI122&gt;0,AI123/AI122,""),"")</f>
        <v/>
      </c>
      <c r="AJ124" s="211" t="str">
        <f>IF(AND(ISNUMBER(AJ122),ISNUMBER(AJ123)),IF(AJ122&gt;0,AJ123/AJ122,""),"")</f>
        <v/>
      </c>
      <c r="AK124" s="208" t="str">
        <f>IF(AND(ISNUMBER(AK122),ISNUMBER(AK123)),IF(AK122&gt;0,AK123/AK122,""),"")</f>
        <v/>
      </c>
    </row>
    <row r="125" ht="15.75" customHeight="1">
      <c r="A125" s="244"/>
      <c r="B125" s="240" t="inlineStr">
        <is>
          <t xml:space="preserve">GENTE</t>
        </is>
      </c>
      <c r="C125" s="212" t="inlineStr">
        <is>
          <t xml:space="preserve">Efetivo Op.</t>
        </is>
      </c>
      <c r="D125" s="213" t="str">
        <f>IFERROR(1/(1/INDEX(BD!$AJ$46:$BD$46,MATCH($A$113,BD!$AJ$22:$BD$22,0))),"")</f>
        <v/>
      </c>
      <c r="E125" s="214"/>
      <c r="F125" s="215" t="str">
        <f>IF(F$3="","",IF(COUNTIFS(BD!$A$3:$A$5001,F$3,BD!$B$3:$B$5001,$A$113,BD!$Y$3:$Y$5001,"&lt;&gt;")=0,"",SUMIFS(BD!$Y$3:$Y$5001,BD!$A$3:$A$5001,F$3,BD!$B$3:$B$5001,$A$113)))</f>
        <v/>
      </c>
      <c r="G125" s="216" t="str">
        <f>IF(G$3="","",IF(COUNTIFS(BD!$A$3:$A$5001,G$3,BD!$B$3:$B$5001,$A$113,BD!$Y$3:$Y$5001,"&lt;&gt;")=0,"",SUMIFS(BD!$Y$3:$Y$5001,BD!$A$3:$A$5001,G$3,BD!$B$3:$B$5001,$A$113)))</f>
        <v/>
      </c>
      <c r="H125" s="216" t="str">
        <f>IF(H$3="","",IF(COUNTIFS(BD!$A$3:$A$5001,H$3,BD!$B$3:$B$5001,$A$113,BD!$Y$3:$Y$5001,"&lt;&gt;")=0,"",SUMIFS(BD!$Y$3:$Y$5001,BD!$A$3:$A$5001,H$3,BD!$B$3:$B$5001,$A$113)))</f>
        <v/>
      </c>
      <c r="I125" s="216" t="str">
        <f>IF(I$3="","",IF(COUNTIFS(BD!$A$3:$A$5001,I$3,BD!$B$3:$B$5001,$A$113,BD!$Y$3:$Y$5001,"&lt;&gt;")=0,"",SUMIFS(BD!$Y$3:$Y$5001,BD!$A$3:$A$5001,I$3,BD!$B$3:$B$5001,$A$113)))</f>
        <v/>
      </c>
      <c r="J125" s="216" t="str">
        <f>IF(J$3="","",IF(COUNTIFS(BD!$A$3:$A$5001,J$3,BD!$B$3:$B$5001,$A$113,BD!$Y$3:$Y$5001,"&lt;&gt;")=0,"",SUMIFS(BD!$Y$3:$Y$5001,BD!$A$3:$A$5001,J$3,BD!$B$3:$B$5001,$A$113)))</f>
        <v/>
      </c>
      <c r="K125" s="216" t="str">
        <f>IF(K$3="","",IF(COUNTIFS(BD!$A$3:$A$5001,K$3,BD!$B$3:$B$5001,$A$113,BD!$Y$3:$Y$5001,"&lt;&gt;")=0,"",SUMIFS(BD!$Y$3:$Y$5001,BD!$A$3:$A$5001,K$3,BD!$B$3:$B$5001,$A$113)))</f>
        <v/>
      </c>
      <c r="L125" s="216" t="str">
        <f>IF(L$3="","",IF(COUNTIFS(BD!$A$3:$A$5001,L$3,BD!$B$3:$B$5001,$A$113,BD!$Y$3:$Y$5001,"&lt;&gt;")=0,"",SUMIFS(BD!$Y$3:$Y$5001,BD!$A$3:$A$5001,L$3,BD!$B$3:$B$5001,$A$113)))</f>
        <v/>
      </c>
      <c r="M125" s="216" t="str">
        <f>IF(M$3="","",IF(COUNTIFS(BD!$A$3:$A$5001,M$3,BD!$B$3:$B$5001,$A$113,BD!$Y$3:$Y$5001,"&lt;&gt;")=0,"",SUMIFS(BD!$Y$3:$Y$5001,BD!$A$3:$A$5001,M$3,BD!$B$3:$B$5001,$A$113)))</f>
        <v/>
      </c>
      <c r="N125" s="216" t="str">
        <f>IF(N$3="","",IF(COUNTIFS(BD!$A$3:$A$5001,N$3,BD!$B$3:$B$5001,$A$113,BD!$Y$3:$Y$5001,"&lt;&gt;")=0,"",SUMIFS(BD!$Y$3:$Y$5001,BD!$A$3:$A$5001,N$3,BD!$B$3:$B$5001,$A$113)))</f>
        <v/>
      </c>
      <c r="O125" s="216" t="str">
        <f>IF(O$3="","",IF(COUNTIFS(BD!$A$3:$A$5001,O$3,BD!$B$3:$B$5001,$A$113,BD!$Y$3:$Y$5001,"&lt;&gt;")=0,"",SUMIFS(BD!$Y$3:$Y$5001,BD!$A$3:$A$5001,O$3,BD!$B$3:$B$5001,$A$113)))</f>
        <v/>
      </c>
      <c r="P125" s="216" t="str">
        <f>IF(P$3="","",IF(COUNTIFS(BD!$A$3:$A$5001,P$3,BD!$B$3:$B$5001,$A$113,BD!$Y$3:$Y$5001,"&lt;&gt;")=0,"",SUMIFS(BD!$Y$3:$Y$5001,BD!$A$3:$A$5001,P$3,BD!$B$3:$B$5001,$A$113)))</f>
        <v/>
      </c>
      <c r="Q125" s="216" t="str">
        <f>IF(Q$3="","",IF(COUNTIFS(BD!$A$3:$A$5001,Q$3,BD!$B$3:$B$5001,$A$113,BD!$Y$3:$Y$5001,"&lt;&gt;")=0,"",SUMIFS(BD!$Y$3:$Y$5001,BD!$A$3:$A$5001,Q$3,BD!$B$3:$B$5001,$A$113)))</f>
        <v/>
      </c>
      <c r="R125" s="216" t="str">
        <f>IF(R$3="","",IF(COUNTIFS(BD!$A$3:$A$5001,R$3,BD!$B$3:$B$5001,$A$113,BD!$Y$3:$Y$5001,"&lt;&gt;")=0,"",SUMIFS(BD!$Y$3:$Y$5001,BD!$A$3:$A$5001,R$3,BD!$B$3:$B$5001,$A$113)))</f>
        <v/>
      </c>
      <c r="S125" s="216" t="str">
        <f>IF(S$3="","",IF(COUNTIFS(BD!$A$3:$A$5001,S$3,BD!$B$3:$B$5001,$A$113,BD!$Y$3:$Y$5001,"&lt;&gt;")=0,"",SUMIFS(BD!$Y$3:$Y$5001,BD!$A$3:$A$5001,S$3,BD!$B$3:$B$5001,$A$113)))</f>
        <v/>
      </c>
      <c r="T125" s="216" t="str">
        <f>IF(T$3="","",IF(COUNTIFS(BD!$A$3:$A$5001,T$3,BD!$B$3:$B$5001,$A$113,BD!$Y$3:$Y$5001,"&lt;&gt;")=0,"",SUMIFS(BD!$Y$3:$Y$5001,BD!$A$3:$A$5001,T$3,BD!$B$3:$B$5001,$A$113)))</f>
        <v/>
      </c>
      <c r="U125" s="216" t="str">
        <f>IF(U$3="","",IF(COUNTIFS(BD!$A$3:$A$5001,U$3,BD!$B$3:$B$5001,$A$113,BD!$Y$3:$Y$5001,"&lt;&gt;")=0,"",SUMIFS(BD!$Y$3:$Y$5001,BD!$A$3:$A$5001,U$3,BD!$B$3:$B$5001,$A$113)))</f>
        <v/>
      </c>
      <c r="V125" s="216" t="str">
        <f>IF(V$3="","",IF(COUNTIFS(BD!$A$3:$A$5001,V$3,BD!$B$3:$B$5001,$A$113,BD!$Y$3:$Y$5001,"&lt;&gt;")=0,"",SUMIFS(BD!$Y$3:$Y$5001,BD!$A$3:$A$5001,V$3,BD!$B$3:$B$5001,$A$113)))</f>
        <v/>
      </c>
      <c r="W125" s="216" t="str">
        <f>IF(W$3="","",IF(COUNTIFS(BD!$A$3:$A$5001,W$3,BD!$B$3:$B$5001,$A$113,BD!$Y$3:$Y$5001,"&lt;&gt;")=0,"",SUMIFS(BD!$Y$3:$Y$5001,BD!$A$3:$A$5001,W$3,BD!$B$3:$B$5001,$A$113)))</f>
        <v/>
      </c>
      <c r="X125" s="216" t="str">
        <f>IF(X$3="","",IF(COUNTIFS(BD!$A$3:$A$5001,X$3,BD!$B$3:$B$5001,$A$113,BD!$Y$3:$Y$5001,"&lt;&gt;")=0,"",SUMIFS(BD!$Y$3:$Y$5001,BD!$A$3:$A$5001,X$3,BD!$B$3:$B$5001,$A$113)))</f>
        <v/>
      </c>
      <c r="Y125" s="216" t="str">
        <f>IF(Y$3="","",IF(COUNTIFS(BD!$A$3:$A$5001,Y$3,BD!$B$3:$B$5001,$A$113,BD!$Y$3:$Y$5001,"&lt;&gt;")=0,"",SUMIFS(BD!$Y$3:$Y$5001,BD!$A$3:$A$5001,Y$3,BD!$B$3:$B$5001,$A$113)))</f>
        <v/>
      </c>
      <c r="Z125" s="216" t="str">
        <f>IF(Z$3="","",IF(COUNTIFS(BD!$A$3:$A$5001,Z$3,BD!$B$3:$B$5001,$A$113,BD!$Y$3:$Y$5001,"&lt;&gt;")=0,"",SUMIFS(BD!$Y$3:$Y$5001,BD!$A$3:$A$5001,Z$3,BD!$B$3:$B$5001,$A$113)))</f>
        <v/>
      </c>
      <c r="AA125" s="216" t="str">
        <f>IF(AA$3="","",IF(COUNTIFS(BD!$A$3:$A$5001,AA$3,BD!$B$3:$B$5001,$A$113,BD!$Y$3:$Y$5001,"&lt;&gt;")=0,"",SUMIFS(BD!$Y$3:$Y$5001,BD!$A$3:$A$5001,AA$3,BD!$B$3:$B$5001,$A$113)))</f>
        <v/>
      </c>
      <c r="AB125" s="216" t="str">
        <f>IF(AB$3="","",IF(COUNTIFS(BD!$A$3:$A$5001,AB$3,BD!$B$3:$B$5001,$A$113,BD!$Y$3:$Y$5001,"&lt;&gt;")=0,"",SUMIFS(BD!$Y$3:$Y$5001,BD!$A$3:$A$5001,AB$3,BD!$B$3:$B$5001,$A$113)))</f>
        <v/>
      </c>
      <c r="AC125" s="216" t="str">
        <f>IF(AC$3="","",IF(COUNTIFS(BD!$A$3:$A$5001,AC$3,BD!$B$3:$B$5001,$A$113,BD!$Y$3:$Y$5001,"&lt;&gt;")=0,"",SUMIFS(BD!$Y$3:$Y$5001,BD!$A$3:$A$5001,AC$3,BD!$B$3:$B$5001,$A$113)))</f>
        <v/>
      </c>
      <c r="AD125" s="216" t="str">
        <f>IF(AD$3="","",IF(COUNTIFS(BD!$A$3:$A$5001,AD$3,BD!$B$3:$B$5001,$A$113,BD!$Y$3:$Y$5001,"&lt;&gt;")=0,"",SUMIFS(BD!$Y$3:$Y$5001,BD!$A$3:$A$5001,AD$3,BD!$B$3:$B$5001,$A$113)))</f>
        <v/>
      </c>
      <c r="AE125" s="216" t="str">
        <f>IF(AE$3="","",IF(COUNTIFS(BD!$A$3:$A$5001,AE$3,BD!$B$3:$B$5001,$A$113,BD!$Y$3:$Y$5001,"&lt;&gt;")=0,"",SUMIFS(BD!$Y$3:$Y$5001,BD!$A$3:$A$5001,AE$3,BD!$B$3:$B$5001,$A$113)))</f>
        <v/>
      </c>
      <c r="AF125" s="216" t="str">
        <f>IF(AF$3="","",IF(COUNTIFS(BD!$A$3:$A$5001,AF$3,BD!$B$3:$B$5001,$A$113,BD!$Y$3:$Y$5001,"&lt;&gt;")=0,"",SUMIFS(BD!$Y$3:$Y$5001,BD!$A$3:$A$5001,AF$3,BD!$B$3:$B$5001,$A$113)))</f>
        <v/>
      </c>
      <c r="AG125" s="216" t="str">
        <f>IF(AG$3="","",IF(COUNTIFS(BD!$A$3:$A$5001,AG$3,BD!$B$3:$B$5001,$A$113,BD!$Y$3:$Y$5001,"&lt;&gt;")=0,"",SUMIFS(BD!$Y$3:$Y$5001,BD!$A$3:$A$5001,AG$3,BD!$B$3:$B$5001,$A$113)))</f>
        <v/>
      </c>
      <c r="AH125" s="216" t="str">
        <f>IF(AH$3="","",IF(COUNTIFS(BD!$A$3:$A$5001,AH$3,BD!$B$3:$B$5001,$A$113,BD!$Y$3:$Y$5001,"&lt;&gt;")=0,"",SUMIFS(BD!$Y$3:$Y$5001,BD!$A$3:$A$5001,AH$3,BD!$B$3:$B$5001,$A$113)))</f>
        <v/>
      </c>
      <c r="AI125" s="216" t="str">
        <f>IF(AI$3="","",IF(COUNTIFS(BD!$A$3:$A$5001,AI$3,BD!$B$3:$B$5001,$A$113,BD!$Y$3:$Y$5001,"&lt;&gt;")=0,"",SUMIFS(BD!$Y$3:$Y$5001,BD!$A$3:$A$5001,AI$3,BD!$B$3:$B$5001,$A$113)))</f>
        <v/>
      </c>
      <c r="AJ125" s="217" t="str">
        <f>IF(AJ$3="","",IF(COUNTIFS(BD!$A$3:$A$5001,AJ$3,BD!$B$3:$B$5001,$A$113,BD!$Y$3:$Y$5001,"&lt;&gt;")=0,"",SUMIFS(BD!$Y$3:$Y$5001,BD!$A$3:$A$5001,AJ$3,BD!$B$3:$B$5001,$A$113)))</f>
        <v/>
      </c>
      <c r="AK125" s="218" t="str">
        <f>IFERROR(LOOKUP(9.99E+307,F125:AJ125),"")</f>
        <v/>
      </c>
    </row>
    <row r="126" ht="15.75" customHeight="1">
      <c r="A126" s="244"/>
      <c r="B126" s="241"/>
      <c r="C126" s="219" t="inlineStr">
        <is>
          <t xml:space="preserve">Falta</t>
        </is>
      </c>
      <c r="D126" s="220" t="str">
        <f>IFERROR(1/(1/INDEX(BD!$AJ$47:$BD$47,MATCH($A$113,BD!$AJ$22:$BD$22,0))),"")</f>
        <v/>
      </c>
      <c r="E126" s="221"/>
      <c r="F126" s="222" t="str">
        <f>IF(F$3="","",IF(COUNTIFS(BD!$A$3:$A$5001,F$3,BD!$B$3:$B$5001,$A$113,BD!$Z$3:$Z$5001,"&lt;&gt;")=0,"",SUMIFS(BD!$Z$3:$Z$5001,BD!$A$3:$A$5001,F$3,BD!$B$3:$B$5001,$A$113)))</f>
        <v/>
      </c>
      <c r="G126" s="223" t="str">
        <f>IF(G$3="","",IF(COUNTIFS(BD!$A$3:$A$5001,G$3,BD!$B$3:$B$5001,$A$113,BD!$Z$3:$Z$5001,"&lt;&gt;")=0,"",SUMIFS(BD!$Z$3:$Z$5001,BD!$A$3:$A$5001,G$3,BD!$B$3:$B$5001,$A$113)))</f>
        <v/>
      </c>
      <c r="H126" s="223" t="str">
        <f>IF(H$3="","",IF(COUNTIFS(BD!$A$3:$A$5001,H$3,BD!$B$3:$B$5001,$A$113,BD!$Z$3:$Z$5001,"&lt;&gt;")=0,"",SUMIFS(BD!$Z$3:$Z$5001,BD!$A$3:$A$5001,H$3,BD!$B$3:$B$5001,$A$113)))</f>
        <v/>
      </c>
      <c r="I126" s="223" t="str">
        <f>IF(I$3="","",IF(COUNTIFS(BD!$A$3:$A$5001,I$3,BD!$B$3:$B$5001,$A$113,BD!$Z$3:$Z$5001,"&lt;&gt;")=0,"",SUMIFS(BD!$Z$3:$Z$5001,BD!$A$3:$A$5001,I$3,BD!$B$3:$B$5001,$A$113)))</f>
        <v/>
      </c>
      <c r="J126" s="223" t="str">
        <f>IF(J$3="","",IF(COUNTIFS(BD!$A$3:$A$5001,J$3,BD!$B$3:$B$5001,$A$113,BD!$Z$3:$Z$5001,"&lt;&gt;")=0,"",SUMIFS(BD!$Z$3:$Z$5001,BD!$A$3:$A$5001,J$3,BD!$B$3:$B$5001,$A$113)))</f>
        <v/>
      </c>
      <c r="K126" s="223" t="str">
        <f>IF(K$3="","",IF(COUNTIFS(BD!$A$3:$A$5001,K$3,BD!$B$3:$B$5001,$A$113,BD!$Z$3:$Z$5001,"&lt;&gt;")=0,"",SUMIFS(BD!$Z$3:$Z$5001,BD!$A$3:$A$5001,K$3,BD!$B$3:$B$5001,$A$113)))</f>
        <v/>
      </c>
      <c r="L126" s="223" t="str">
        <f>IF(L$3="","",IF(COUNTIFS(BD!$A$3:$A$5001,L$3,BD!$B$3:$B$5001,$A$113,BD!$Z$3:$Z$5001,"&lt;&gt;")=0,"",SUMIFS(BD!$Z$3:$Z$5001,BD!$A$3:$A$5001,L$3,BD!$B$3:$B$5001,$A$113)))</f>
        <v/>
      </c>
      <c r="M126" s="223" t="str">
        <f>IF(M$3="","",IF(COUNTIFS(BD!$A$3:$A$5001,M$3,BD!$B$3:$B$5001,$A$113,BD!$Z$3:$Z$5001,"&lt;&gt;")=0,"",SUMIFS(BD!$Z$3:$Z$5001,BD!$A$3:$A$5001,M$3,BD!$B$3:$B$5001,$A$113)))</f>
        <v/>
      </c>
      <c r="N126" s="223" t="str">
        <f>IF(N$3="","",IF(COUNTIFS(BD!$A$3:$A$5001,N$3,BD!$B$3:$B$5001,$A$113,BD!$Z$3:$Z$5001,"&lt;&gt;")=0,"",SUMIFS(BD!$Z$3:$Z$5001,BD!$A$3:$A$5001,N$3,BD!$B$3:$B$5001,$A$113)))</f>
        <v/>
      </c>
      <c r="O126" s="223" t="str">
        <f>IF(O$3="","",IF(COUNTIFS(BD!$A$3:$A$5001,O$3,BD!$B$3:$B$5001,$A$113,BD!$Z$3:$Z$5001,"&lt;&gt;")=0,"",SUMIFS(BD!$Z$3:$Z$5001,BD!$A$3:$A$5001,O$3,BD!$B$3:$B$5001,$A$113)))</f>
        <v/>
      </c>
      <c r="P126" s="223" t="str">
        <f>IF(P$3="","",IF(COUNTIFS(BD!$A$3:$A$5001,P$3,BD!$B$3:$B$5001,$A$113,BD!$Z$3:$Z$5001,"&lt;&gt;")=0,"",SUMIFS(BD!$Z$3:$Z$5001,BD!$A$3:$A$5001,P$3,BD!$B$3:$B$5001,$A$113)))</f>
        <v/>
      </c>
      <c r="Q126" s="223" t="str">
        <f>IF(Q$3="","",IF(COUNTIFS(BD!$A$3:$A$5001,Q$3,BD!$B$3:$B$5001,$A$113,BD!$Z$3:$Z$5001,"&lt;&gt;")=0,"",SUMIFS(BD!$Z$3:$Z$5001,BD!$A$3:$A$5001,Q$3,BD!$B$3:$B$5001,$A$113)))</f>
        <v/>
      </c>
      <c r="R126" s="223" t="str">
        <f>IF(R$3="","",IF(COUNTIFS(BD!$A$3:$A$5001,R$3,BD!$B$3:$B$5001,$A$113,BD!$Z$3:$Z$5001,"&lt;&gt;")=0,"",SUMIFS(BD!$Z$3:$Z$5001,BD!$A$3:$A$5001,R$3,BD!$B$3:$B$5001,$A$113)))</f>
        <v/>
      </c>
      <c r="S126" s="223" t="str">
        <f>IF(S$3="","",IF(COUNTIFS(BD!$A$3:$A$5001,S$3,BD!$B$3:$B$5001,$A$113,BD!$Z$3:$Z$5001,"&lt;&gt;")=0,"",SUMIFS(BD!$Z$3:$Z$5001,BD!$A$3:$A$5001,S$3,BD!$B$3:$B$5001,$A$113)))</f>
        <v/>
      </c>
      <c r="T126" s="223" t="str">
        <f>IF(T$3="","",IF(COUNTIFS(BD!$A$3:$A$5001,T$3,BD!$B$3:$B$5001,$A$113,BD!$Z$3:$Z$5001,"&lt;&gt;")=0,"",SUMIFS(BD!$Z$3:$Z$5001,BD!$A$3:$A$5001,T$3,BD!$B$3:$B$5001,$A$113)))</f>
        <v/>
      </c>
      <c r="U126" s="223" t="str">
        <f>IF(U$3="","",IF(COUNTIFS(BD!$A$3:$A$5001,U$3,BD!$B$3:$B$5001,$A$113,BD!$Z$3:$Z$5001,"&lt;&gt;")=0,"",SUMIFS(BD!$Z$3:$Z$5001,BD!$A$3:$A$5001,U$3,BD!$B$3:$B$5001,$A$113)))</f>
        <v/>
      </c>
      <c r="V126" s="223" t="str">
        <f>IF(V$3="","",IF(COUNTIFS(BD!$A$3:$A$5001,V$3,BD!$B$3:$B$5001,$A$113,BD!$Z$3:$Z$5001,"&lt;&gt;")=0,"",SUMIFS(BD!$Z$3:$Z$5001,BD!$A$3:$A$5001,V$3,BD!$B$3:$B$5001,$A$113)))</f>
        <v/>
      </c>
      <c r="W126" s="223" t="str">
        <f>IF(W$3="","",IF(COUNTIFS(BD!$A$3:$A$5001,W$3,BD!$B$3:$B$5001,$A$113,BD!$Z$3:$Z$5001,"&lt;&gt;")=0,"",SUMIFS(BD!$Z$3:$Z$5001,BD!$A$3:$A$5001,W$3,BD!$B$3:$B$5001,$A$113)))</f>
        <v/>
      </c>
      <c r="X126" s="223" t="str">
        <f>IF(X$3="","",IF(COUNTIFS(BD!$A$3:$A$5001,X$3,BD!$B$3:$B$5001,$A$113,BD!$Z$3:$Z$5001,"&lt;&gt;")=0,"",SUMIFS(BD!$Z$3:$Z$5001,BD!$A$3:$A$5001,X$3,BD!$B$3:$B$5001,$A$113)))</f>
        <v/>
      </c>
      <c r="Y126" s="223" t="str">
        <f>IF(Y$3="","",IF(COUNTIFS(BD!$A$3:$A$5001,Y$3,BD!$B$3:$B$5001,$A$113,BD!$Z$3:$Z$5001,"&lt;&gt;")=0,"",SUMIFS(BD!$Z$3:$Z$5001,BD!$A$3:$A$5001,Y$3,BD!$B$3:$B$5001,$A$113)))</f>
        <v/>
      </c>
      <c r="Z126" s="223" t="str">
        <f>IF(Z$3="","",IF(COUNTIFS(BD!$A$3:$A$5001,Z$3,BD!$B$3:$B$5001,$A$113,BD!$Z$3:$Z$5001,"&lt;&gt;")=0,"",SUMIFS(BD!$Z$3:$Z$5001,BD!$A$3:$A$5001,Z$3,BD!$B$3:$B$5001,$A$113)))</f>
        <v/>
      </c>
      <c r="AA126" s="223" t="str">
        <f>IF(AA$3="","",IF(COUNTIFS(BD!$A$3:$A$5001,AA$3,BD!$B$3:$B$5001,$A$113,BD!$Z$3:$Z$5001,"&lt;&gt;")=0,"",SUMIFS(BD!$Z$3:$Z$5001,BD!$A$3:$A$5001,AA$3,BD!$B$3:$B$5001,$A$113)))</f>
        <v/>
      </c>
      <c r="AB126" s="223" t="str">
        <f>IF(AB$3="","",IF(COUNTIFS(BD!$A$3:$A$5001,AB$3,BD!$B$3:$B$5001,$A$113,BD!$Z$3:$Z$5001,"&lt;&gt;")=0,"",SUMIFS(BD!$Z$3:$Z$5001,BD!$A$3:$A$5001,AB$3,BD!$B$3:$B$5001,$A$113)))</f>
        <v/>
      </c>
      <c r="AC126" s="223" t="str">
        <f>IF(AC$3="","",IF(COUNTIFS(BD!$A$3:$A$5001,AC$3,BD!$B$3:$B$5001,$A$113,BD!$Z$3:$Z$5001,"&lt;&gt;")=0,"",SUMIFS(BD!$Z$3:$Z$5001,BD!$A$3:$A$5001,AC$3,BD!$B$3:$B$5001,$A$113)))</f>
        <v/>
      </c>
      <c r="AD126" s="223" t="str">
        <f>IF(AD$3="","",IF(COUNTIFS(BD!$A$3:$A$5001,AD$3,BD!$B$3:$B$5001,$A$113,BD!$Z$3:$Z$5001,"&lt;&gt;")=0,"",SUMIFS(BD!$Z$3:$Z$5001,BD!$A$3:$A$5001,AD$3,BD!$B$3:$B$5001,$A$113)))</f>
        <v/>
      </c>
      <c r="AE126" s="223" t="str">
        <f>IF(AE$3="","",IF(COUNTIFS(BD!$A$3:$A$5001,AE$3,BD!$B$3:$B$5001,$A$113,BD!$Z$3:$Z$5001,"&lt;&gt;")=0,"",SUMIFS(BD!$Z$3:$Z$5001,BD!$A$3:$A$5001,AE$3,BD!$B$3:$B$5001,$A$113)))</f>
        <v/>
      </c>
      <c r="AF126" s="223" t="str">
        <f>IF(AF$3="","",IF(COUNTIFS(BD!$A$3:$A$5001,AF$3,BD!$B$3:$B$5001,$A$113,BD!$Z$3:$Z$5001,"&lt;&gt;")=0,"",SUMIFS(BD!$Z$3:$Z$5001,BD!$A$3:$A$5001,AF$3,BD!$B$3:$B$5001,$A$113)))</f>
        <v/>
      </c>
      <c r="AG126" s="223" t="str">
        <f>IF(AG$3="","",IF(COUNTIFS(BD!$A$3:$A$5001,AG$3,BD!$B$3:$B$5001,$A$113,BD!$Z$3:$Z$5001,"&lt;&gt;")=0,"",SUMIFS(BD!$Z$3:$Z$5001,BD!$A$3:$A$5001,AG$3,BD!$B$3:$B$5001,$A$113)))</f>
        <v/>
      </c>
      <c r="AH126" s="223" t="str">
        <f>IF(AH$3="","",IF(COUNTIFS(BD!$A$3:$A$5001,AH$3,BD!$B$3:$B$5001,$A$113,BD!$Z$3:$Z$5001,"&lt;&gt;")=0,"",SUMIFS(BD!$Z$3:$Z$5001,BD!$A$3:$A$5001,AH$3,BD!$B$3:$B$5001,$A$113)))</f>
        <v/>
      </c>
      <c r="AI126" s="223" t="str">
        <f>IF(AI$3="","",IF(COUNTIFS(BD!$A$3:$A$5001,AI$3,BD!$B$3:$B$5001,$A$113,BD!$Z$3:$Z$5001,"&lt;&gt;")=0,"",SUMIFS(BD!$Z$3:$Z$5001,BD!$A$3:$A$5001,AI$3,BD!$B$3:$B$5001,$A$113)))</f>
        <v/>
      </c>
      <c r="AJ126" s="224" t="str">
        <f>IF(AJ$3="","",IF(COUNTIFS(BD!$A$3:$A$5001,AJ$3,BD!$B$3:$B$5001,$A$113,BD!$Z$3:$Z$5001,"&lt;&gt;")=0,"",SUMIFS(BD!$Z$3:$Z$5001,BD!$A$3:$A$5001,AJ$3,BD!$B$3:$B$5001,$A$113)))</f>
        <v/>
      </c>
      <c r="AK126" s="225" t="str">
        <f>IF(COUNT(F126:AJ126)=0,"",SUM(F126:AJ126))</f>
        <v/>
      </c>
    </row>
    <row r="127" ht="15.75" customHeight="1">
      <c r="A127" s="244"/>
      <c r="B127" s="241"/>
      <c r="C127" s="219" t="inlineStr">
        <is>
          <t xml:space="preserve">Folga</t>
        </is>
      </c>
      <c r="D127" s="220" t="str">
        <f>IFERROR(1/(1/INDEX(BD!$AJ$48:$BD$48,MATCH($A$113,BD!$AJ$22:$BD$22,0))),"")</f>
        <v/>
      </c>
      <c r="E127" s="221"/>
      <c r="F127" s="222" t="str">
        <f>IF(F$3="","",IF(COUNTIFS(BD!$A$3:$A$5001,F$3,BD!$B$3:$B$5001,$A$113,BD!$AA$3:$AA$5001,"&lt;&gt;")=0,"",SUMIFS(BD!$AA$3:$AA$5001,BD!$A$3:$A$5001,F$3,BD!$B$3:$B$5001,$A$113)))</f>
        <v/>
      </c>
      <c r="G127" s="223" t="str">
        <f>IF(G$3="","",IF(COUNTIFS(BD!$A$3:$A$5001,G$3,BD!$B$3:$B$5001,$A$113,BD!$AA$3:$AA$5001,"&lt;&gt;")=0,"",SUMIFS(BD!$AA$3:$AA$5001,BD!$A$3:$A$5001,G$3,BD!$B$3:$B$5001,$A$113)))</f>
        <v/>
      </c>
      <c r="H127" s="223" t="str">
        <f>IF(H$3="","",IF(COUNTIFS(BD!$A$3:$A$5001,H$3,BD!$B$3:$B$5001,$A$113,BD!$AA$3:$AA$5001,"&lt;&gt;")=0,"",SUMIFS(BD!$AA$3:$AA$5001,BD!$A$3:$A$5001,H$3,BD!$B$3:$B$5001,$A$113)))</f>
        <v/>
      </c>
      <c r="I127" s="223" t="str">
        <f>IF(I$3="","",IF(COUNTIFS(BD!$A$3:$A$5001,I$3,BD!$B$3:$B$5001,$A$113,BD!$AA$3:$AA$5001,"&lt;&gt;")=0,"",SUMIFS(BD!$AA$3:$AA$5001,BD!$A$3:$A$5001,I$3,BD!$B$3:$B$5001,$A$113)))</f>
        <v/>
      </c>
      <c r="J127" s="223" t="str">
        <f>IF(J$3="","",IF(COUNTIFS(BD!$A$3:$A$5001,J$3,BD!$B$3:$B$5001,$A$113,BD!$AA$3:$AA$5001,"&lt;&gt;")=0,"",SUMIFS(BD!$AA$3:$AA$5001,BD!$A$3:$A$5001,J$3,BD!$B$3:$B$5001,$A$113)))</f>
        <v/>
      </c>
      <c r="K127" s="223" t="str">
        <f>IF(K$3="","",IF(COUNTIFS(BD!$A$3:$A$5001,K$3,BD!$B$3:$B$5001,$A$113,BD!$AA$3:$AA$5001,"&lt;&gt;")=0,"",SUMIFS(BD!$AA$3:$AA$5001,BD!$A$3:$A$5001,K$3,BD!$B$3:$B$5001,$A$113)))</f>
        <v/>
      </c>
      <c r="L127" s="223" t="str">
        <f>IF(L$3="","",IF(COUNTIFS(BD!$A$3:$A$5001,L$3,BD!$B$3:$B$5001,$A$113,BD!$AA$3:$AA$5001,"&lt;&gt;")=0,"",SUMIFS(BD!$AA$3:$AA$5001,BD!$A$3:$A$5001,L$3,BD!$B$3:$B$5001,$A$113)))</f>
        <v/>
      </c>
      <c r="M127" s="223" t="str">
        <f>IF(M$3="","",IF(COUNTIFS(BD!$A$3:$A$5001,M$3,BD!$B$3:$B$5001,$A$113,BD!$AA$3:$AA$5001,"&lt;&gt;")=0,"",SUMIFS(BD!$AA$3:$AA$5001,BD!$A$3:$A$5001,M$3,BD!$B$3:$B$5001,$A$113)))</f>
        <v/>
      </c>
      <c r="N127" s="223" t="str">
        <f>IF(N$3="","",IF(COUNTIFS(BD!$A$3:$A$5001,N$3,BD!$B$3:$B$5001,$A$113,BD!$AA$3:$AA$5001,"&lt;&gt;")=0,"",SUMIFS(BD!$AA$3:$AA$5001,BD!$A$3:$A$5001,N$3,BD!$B$3:$B$5001,$A$113)))</f>
        <v/>
      </c>
      <c r="O127" s="223" t="str">
        <f>IF(O$3="","",IF(COUNTIFS(BD!$A$3:$A$5001,O$3,BD!$B$3:$B$5001,$A$113,BD!$AA$3:$AA$5001,"&lt;&gt;")=0,"",SUMIFS(BD!$AA$3:$AA$5001,BD!$A$3:$A$5001,O$3,BD!$B$3:$B$5001,$A$113)))</f>
        <v/>
      </c>
      <c r="P127" s="223" t="str">
        <f>IF(P$3="","",IF(COUNTIFS(BD!$A$3:$A$5001,P$3,BD!$B$3:$B$5001,$A$113,BD!$AA$3:$AA$5001,"&lt;&gt;")=0,"",SUMIFS(BD!$AA$3:$AA$5001,BD!$A$3:$A$5001,P$3,BD!$B$3:$B$5001,$A$113)))</f>
        <v/>
      </c>
      <c r="Q127" s="223" t="str">
        <f>IF(Q$3="","",IF(COUNTIFS(BD!$A$3:$A$5001,Q$3,BD!$B$3:$B$5001,$A$113,BD!$AA$3:$AA$5001,"&lt;&gt;")=0,"",SUMIFS(BD!$AA$3:$AA$5001,BD!$A$3:$A$5001,Q$3,BD!$B$3:$B$5001,$A$113)))</f>
        <v/>
      </c>
      <c r="R127" s="223" t="str">
        <f>IF(R$3="","",IF(COUNTIFS(BD!$A$3:$A$5001,R$3,BD!$B$3:$B$5001,$A$113,BD!$AA$3:$AA$5001,"&lt;&gt;")=0,"",SUMIFS(BD!$AA$3:$AA$5001,BD!$A$3:$A$5001,R$3,BD!$B$3:$B$5001,$A$113)))</f>
        <v/>
      </c>
      <c r="S127" s="223" t="str">
        <f>IF(S$3="","",IF(COUNTIFS(BD!$A$3:$A$5001,S$3,BD!$B$3:$B$5001,$A$113,BD!$AA$3:$AA$5001,"&lt;&gt;")=0,"",SUMIFS(BD!$AA$3:$AA$5001,BD!$A$3:$A$5001,S$3,BD!$B$3:$B$5001,$A$113)))</f>
        <v/>
      </c>
      <c r="T127" s="223" t="str">
        <f>IF(T$3="","",IF(COUNTIFS(BD!$A$3:$A$5001,T$3,BD!$B$3:$B$5001,$A$113,BD!$AA$3:$AA$5001,"&lt;&gt;")=0,"",SUMIFS(BD!$AA$3:$AA$5001,BD!$A$3:$A$5001,T$3,BD!$B$3:$B$5001,$A$113)))</f>
        <v/>
      </c>
      <c r="U127" s="223" t="str">
        <f>IF(U$3="","",IF(COUNTIFS(BD!$A$3:$A$5001,U$3,BD!$B$3:$B$5001,$A$113,BD!$AA$3:$AA$5001,"&lt;&gt;")=0,"",SUMIFS(BD!$AA$3:$AA$5001,BD!$A$3:$A$5001,U$3,BD!$B$3:$B$5001,$A$113)))</f>
        <v/>
      </c>
      <c r="V127" s="223" t="str">
        <f>IF(V$3="","",IF(COUNTIFS(BD!$A$3:$A$5001,V$3,BD!$B$3:$B$5001,$A$113,BD!$AA$3:$AA$5001,"&lt;&gt;")=0,"",SUMIFS(BD!$AA$3:$AA$5001,BD!$A$3:$A$5001,V$3,BD!$B$3:$B$5001,$A$113)))</f>
        <v/>
      </c>
      <c r="W127" s="223" t="str">
        <f>IF(W$3="","",IF(COUNTIFS(BD!$A$3:$A$5001,W$3,BD!$B$3:$B$5001,$A$113,BD!$AA$3:$AA$5001,"&lt;&gt;")=0,"",SUMIFS(BD!$AA$3:$AA$5001,BD!$A$3:$A$5001,W$3,BD!$B$3:$B$5001,$A$113)))</f>
        <v/>
      </c>
      <c r="X127" s="223" t="str">
        <f>IF(X$3="","",IF(COUNTIFS(BD!$A$3:$A$5001,X$3,BD!$B$3:$B$5001,$A$113,BD!$AA$3:$AA$5001,"&lt;&gt;")=0,"",SUMIFS(BD!$AA$3:$AA$5001,BD!$A$3:$A$5001,X$3,BD!$B$3:$B$5001,$A$113)))</f>
        <v/>
      </c>
      <c r="Y127" s="223" t="str">
        <f>IF(Y$3="","",IF(COUNTIFS(BD!$A$3:$A$5001,Y$3,BD!$B$3:$B$5001,$A$113,BD!$AA$3:$AA$5001,"&lt;&gt;")=0,"",SUMIFS(BD!$AA$3:$AA$5001,BD!$A$3:$A$5001,Y$3,BD!$B$3:$B$5001,$A$113)))</f>
        <v/>
      </c>
      <c r="Z127" s="223" t="str">
        <f>IF(Z$3="","",IF(COUNTIFS(BD!$A$3:$A$5001,Z$3,BD!$B$3:$B$5001,$A$113,BD!$AA$3:$AA$5001,"&lt;&gt;")=0,"",SUMIFS(BD!$AA$3:$AA$5001,BD!$A$3:$A$5001,Z$3,BD!$B$3:$B$5001,$A$113)))</f>
        <v/>
      </c>
      <c r="AA127" s="223" t="str">
        <f>IF(AA$3="","",IF(COUNTIFS(BD!$A$3:$A$5001,AA$3,BD!$B$3:$B$5001,$A$113,BD!$AA$3:$AA$5001,"&lt;&gt;")=0,"",SUMIFS(BD!$AA$3:$AA$5001,BD!$A$3:$A$5001,AA$3,BD!$B$3:$B$5001,$A$113)))</f>
        <v/>
      </c>
      <c r="AB127" s="223" t="str">
        <f>IF(AB$3="","",IF(COUNTIFS(BD!$A$3:$A$5001,AB$3,BD!$B$3:$B$5001,$A$113,BD!$AA$3:$AA$5001,"&lt;&gt;")=0,"",SUMIFS(BD!$AA$3:$AA$5001,BD!$A$3:$A$5001,AB$3,BD!$B$3:$B$5001,$A$113)))</f>
        <v/>
      </c>
      <c r="AC127" s="223" t="str">
        <f>IF(AC$3="","",IF(COUNTIFS(BD!$A$3:$A$5001,AC$3,BD!$B$3:$B$5001,$A$113,BD!$AA$3:$AA$5001,"&lt;&gt;")=0,"",SUMIFS(BD!$AA$3:$AA$5001,BD!$A$3:$A$5001,AC$3,BD!$B$3:$B$5001,$A$113)))</f>
        <v/>
      </c>
      <c r="AD127" s="223" t="str">
        <f>IF(AD$3="","",IF(COUNTIFS(BD!$A$3:$A$5001,AD$3,BD!$B$3:$B$5001,$A$113,BD!$AA$3:$AA$5001,"&lt;&gt;")=0,"",SUMIFS(BD!$AA$3:$AA$5001,BD!$A$3:$A$5001,AD$3,BD!$B$3:$B$5001,$A$113)))</f>
        <v/>
      </c>
      <c r="AE127" s="223" t="str">
        <f>IF(AE$3="","",IF(COUNTIFS(BD!$A$3:$A$5001,AE$3,BD!$B$3:$B$5001,$A$113,BD!$AA$3:$AA$5001,"&lt;&gt;")=0,"",SUMIFS(BD!$AA$3:$AA$5001,BD!$A$3:$A$5001,AE$3,BD!$B$3:$B$5001,$A$113)))</f>
        <v/>
      </c>
      <c r="AF127" s="223" t="str">
        <f>IF(AF$3="","",IF(COUNTIFS(BD!$A$3:$A$5001,AF$3,BD!$B$3:$B$5001,$A$113,BD!$AA$3:$AA$5001,"&lt;&gt;")=0,"",SUMIFS(BD!$AA$3:$AA$5001,BD!$A$3:$A$5001,AF$3,BD!$B$3:$B$5001,$A$113)))</f>
        <v/>
      </c>
      <c r="AG127" s="223" t="str">
        <f>IF(AG$3="","",IF(COUNTIFS(BD!$A$3:$A$5001,AG$3,BD!$B$3:$B$5001,$A$113,BD!$AA$3:$AA$5001,"&lt;&gt;")=0,"",SUMIFS(BD!$AA$3:$AA$5001,BD!$A$3:$A$5001,AG$3,BD!$B$3:$B$5001,$A$113)))</f>
        <v/>
      </c>
      <c r="AH127" s="223" t="str">
        <f>IF(AH$3="","",IF(COUNTIFS(BD!$A$3:$A$5001,AH$3,BD!$B$3:$B$5001,$A$113,BD!$AA$3:$AA$5001,"&lt;&gt;")=0,"",SUMIFS(BD!$AA$3:$AA$5001,BD!$A$3:$A$5001,AH$3,BD!$B$3:$B$5001,$A$113)))</f>
        <v/>
      </c>
      <c r="AI127" s="223" t="str">
        <f>IF(AI$3="","",IF(COUNTIFS(BD!$A$3:$A$5001,AI$3,BD!$B$3:$B$5001,$A$113,BD!$AA$3:$AA$5001,"&lt;&gt;")=0,"",SUMIFS(BD!$AA$3:$AA$5001,BD!$A$3:$A$5001,AI$3,BD!$B$3:$B$5001,$A$113)))</f>
        <v/>
      </c>
      <c r="AJ127" s="224" t="str">
        <f>IF(AJ$3="","",IF(COUNTIFS(BD!$A$3:$A$5001,AJ$3,BD!$B$3:$B$5001,$A$113,BD!$AA$3:$AA$5001,"&lt;&gt;")=0,"",SUMIFS(BD!$AA$3:$AA$5001,BD!$A$3:$A$5001,AJ$3,BD!$B$3:$B$5001,$A$113)))</f>
        <v/>
      </c>
      <c r="AK127" s="225" t="str">
        <f>IF(COUNT(F127:AJ127)=0,"",SUM(F127:AJ127))</f>
        <v/>
      </c>
    </row>
    <row r="128" ht="15.75" customHeight="1">
      <c r="A128" s="244"/>
      <c r="B128" s="241"/>
      <c r="C128" s="219" t="inlineStr">
        <is>
          <t xml:space="preserve">Férias</t>
        </is>
      </c>
      <c r="D128" s="220" t="str">
        <f>IFERROR(1/(1/INDEX(BD!$AJ$49:$BD$49,MATCH($A$113,BD!$AJ$22:$BD$22,0))),"")</f>
        <v/>
      </c>
      <c r="E128" s="221"/>
      <c r="F128" s="222" t="str">
        <f>IF(F$3="","",IF(COUNTIFS(BD!$A$3:$A$5001,F$3,BD!$B$3:$B$5001,$A$113,BD!$AB$3:$AB$5001,"&lt;&gt;")=0,"",SUMIFS(BD!$AB$3:$AB$5001,BD!$A$3:$A$5001,F$3,BD!$B$3:$B$5001,$A$113)))</f>
        <v/>
      </c>
      <c r="G128" s="223" t="str">
        <f>IF(G$3="","",IF(COUNTIFS(BD!$A$3:$A$5001,G$3,BD!$B$3:$B$5001,$A$113,BD!$AB$3:$AB$5001,"&lt;&gt;")=0,"",SUMIFS(BD!$AB$3:$AB$5001,BD!$A$3:$A$5001,G$3,BD!$B$3:$B$5001,$A$113)))</f>
        <v/>
      </c>
      <c r="H128" s="223" t="str">
        <f>IF(H$3="","",IF(COUNTIFS(BD!$A$3:$A$5001,H$3,BD!$B$3:$B$5001,$A$113,BD!$AB$3:$AB$5001,"&lt;&gt;")=0,"",SUMIFS(BD!$AB$3:$AB$5001,BD!$A$3:$A$5001,H$3,BD!$B$3:$B$5001,$A$113)))</f>
        <v/>
      </c>
      <c r="I128" s="223" t="str">
        <f>IF(I$3="","",IF(COUNTIFS(BD!$A$3:$A$5001,I$3,BD!$B$3:$B$5001,$A$113,BD!$AB$3:$AB$5001,"&lt;&gt;")=0,"",SUMIFS(BD!$AB$3:$AB$5001,BD!$A$3:$A$5001,I$3,BD!$B$3:$B$5001,$A$113)))</f>
        <v/>
      </c>
      <c r="J128" s="223" t="str">
        <f>IF(J$3="","",IF(COUNTIFS(BD!$A$3:$A$5001,J$3,BD!$B$3:$B$5001,$A$113,BD!$AB$3:$AB$5001,"&lt;&gt;")=0,"",SUMIFS(BD!$AB$3:$AB$5001,BD!$A$3:$A$5001,J$3,BD!$B$3:$B$5001,$A$113)))</f>
        <v/>
      </c>
      <c r="K128" s="223" t="str">
        <f>IF(K$3="","",IF(COUNTIFS(BD!$A$3:$A$5001,K$3,BD!$B$3:$B$5001,$A$113,BD!$AB$3:$AB$5001,"&lt;&gt;")=0,"",SUMIFS(BD!$AB$3:$AB$5001,BD!$A$3:$A$5001,K$3,BD!$B$3:$B$5001,$A$113)))</f>
        <v/>
      </c>
      <c r="L128" s="223" t="str">
        <f>IF(L$3="","",IF(COUNTIFS(BD!$A$3:$A$5001,L$3,BD!$B$3:$B$5001,$A$113,BD!$AB$3:$AB$5001,"&lt;&gt;")=0,"",SUMIFS(BD!$AB$3:$AB$5001,BD!$A$3:$A$5001,L$3,BD!$B$3:$B$5001,$A$113)))</f>
        <v/>
      </c>
      <c r="M128" s="223" t="str">
        <f>IF(M$3="","",IF(COUNTIFS(BD!$A$3:$A$5001,M$3,BD!$B$3:$B$5001,$A$113,BD!$AB$3:$AB$5001,"&lt;&gt;")=0,"",SUMIFS(BD!$AB$3:$AB$5001,BD!$A$3:$A$5001,M$3,BD!$B$3:$B$5001,$A$113)))</f>
        <v/>
      </c>
      <c r="N128" s="223" t="str">
        <f>IF(N$3="","",IF(COUNTIFS(BD!$A$3:$A$5001,N$3,BD!$B$3:$B$5001,$A$113,BD!$AB$3:$AB$5001,"&lt;&gt;")=0,"",SUMIFS(BD!$AB$3:$AB$5001,BD!$A$3:$A$5001,N$3,BD!$B$3:$B$5001,$A$113)))</f>
        <v/>
      </c>
      <c r="O128" s="223" t="str">
        <f>IF(O$3="","",IF(COUNTIFS(BD!$A$3:$A$5001,O$3,BD!$B$3:$B$5001,$A$113,BD!$AB$3:$AB$5001,"&lt;&gt;")=0,"",SUMIFS(BD!$AB$3:$AB$5001,BD!$A$3:$A$5001,O$3,BD!$B$3:$B$5001,$A$113)))</f>
        <v/>
      </c>
      <c r="P128" s="223" t="str">
        <f>IF(P$3="","",IF(COUNTIFS(BD!$A$3:$A$5001,P$3,BD!$B$3:$B$5001,$A$113,BD!$AB$3:$AB$5001,"&lt;&gt;")=0,"",SUMIFS(BD!$AB$3:$AB$5001,BD!$A$3:$A$5001,P$3,BD!$B$3:$B$5001,$A$113)))</f>
        <v/>
      </c>
      <c r="Q128" s="223" t="str">
        <f>IF(Q$3="","",IF(COUNTIFS(BD!$A$3:$A$5001,Q$3,BD!$B$3:$B$5001,$A$113,BD!$AB$3:$AB$5001,"&lt;&gt;")=0,"",SUMIFS(BD!$AB$3:$AB$5001,BD!$A$3:$A$5001,Q$3,BD!$B$3:$B$5001,$A$113)))</f>
        <v/>
      </c>
      <c r="R128" s="223" t="str">
        <f>IF(R$3="","",IF(COUNTIFS(BD!$A$3:$A$5001,R$3,BD!$B$3:$B$5001,$A$113,BD!$AB$3:$AB$5001,"&lt;&gt;")=0,"",SUMIFS(BD!$AB$3:$AB$5001,BD!$A$3:$A$5001,R$3,BD!$B$3:$B$5001,$A$113)))</f>
        <v/>
      </c>
      <c r="S128" s="223" t="str">
        <f>IF(S$3="","",IF(COUNTIFS(BD!$A$3:$A$5001,S$3,BD!$B$3:$B$5001,$A$113,BD!$AB$3:$AB$5001,"&lt;&gt;")=0,"",SUMIFS(BD!$AB$3:$AB$5001,BD!$A$3:$A$5001,S$3,BD!$B$3:$B$5001,$A$113)))</f>
        <v/>
      </c>
      <c r="T128" s="223" t="str">
        <f>IF(T$3="","",IF(COUNTIFS(BD!$A$3:$A$5001,T$3,BD!$B$3:$B$5001,$A$113,BD!$AB$3:$AB$5001,"&lt;&gt;")=0,"",SUMIFS(BD!$AB$3:$AB$5001,BD!$A$3:$A$5001,T$3,BD!$B$3:$B$5001,$A$113)))</f>
        <v/>
      </c>
      <c r="U128" s="223" t="str">
        <f>IF(U$3="","",IF(COUNTIFS(BD!$A$3:$A$5001,U$3,BD!$B$3:$B$5001,$A$113,BD!$AB$3:$AB$5001,"&lt;&gt;")=0,"",SUMIFS(BD!$AB$3:$AB$5001,BD!$A$3:$A$5001,U$3,BD!$B$3:$B$5001,$A$113)))</f>
        <v/>
      </c>
      <c r="V128" s="223" t="str">
        <f>IF(V$3="","",IF(COUNTIFS(BD!$A$3:$A$5001,V$3,BD!$B$3:$B$5001,$A$113,BD!$AB$3:$AB$5001,"&lt;&gt;")=0,"",SUMIFS(BD!$AB$3:$AB$5001,BD!$A$3:$A$5001,V$3,BD!$B$3:$B$5001,$A$113)))</f>
        <v/>
      </c>
      <c r="W128" s="223" t="str">
        <f>IF(W$3="","",IF(COUNTIFS(BD!$A$3:$A$5001,W$3,BD!$B$3:$B$5001,$A$113,BD!$AB$3:$AB$5001,"&lt;&gt;")=0,"",SUMIFS(BD!$AB$3:$AB$5001,BD!$A$3:$A$5001,W$3,BD!$B$3:$B$5001,$A$113)))</f>
        <v/>
      </c>
      <c r="X128" s="223" t="str">
        <f>IF(X$3="","",IF(COUNTIFS(BD!$A$3:$A$5001,X$3,BD!$B$3:$B$5001,$A$113,BD!$AB$3:$AB$5001,"&lt;&gt;")=0,"",SUMIFS(BD!$AB$3:$AB$5001,BD!$A$3:$A$5001,X$3,BD!$B$3:$B$5001,$A$113)))</f>
        <v/>
      </c>
      <c r="Y128" s="223" t="str">
        <f>IF(Y$3="","",IF(COUNTIFS(BD!$A$3:$A$5001,Y$3,BD!$B$3:$B$5001,$A$113,BD!$AB$3:$AB$5001,"&lt;&gt;")=0,"",SUMIFS(BD!$AB$3:$AB$5001,BD!$A$3:$A$5001,Y$3,BD!$B$3:$B$5001,$A$113)))</f>
        <v/>
      </c>
      <c r="Z128" s="223" t="str">
        <f>IF(Z$3="","",IF(COUNTIFS(BD!$A$3:$A$5001,Z$3,BD!$B$3:$B$5001,$A$113,BD!$AB$3:$AB$5001,"&lt;&gt;")=0,"",SUMIFS(BD!$AB$3:$AB$5001,BD!$A$3:$A$5001,Z$3,BD!$B$3:$B$5001,$A$113)))</f>
        <v/>
      </c>
      <c r="AA128" s="223" t="str">
        <f>IF(AA$3="","",IF(COUNTIFS(BD!$A$3:$A$5001,AA$3,BD!$B$3:$B$5001,$A$113,BD!$AB$3:$AB$5001,"&lt;&gt;")=0,"",SUMIFS(BD!$AB$3:$AB$5001,BD!$A$3:$A$5001,AA$3,BD!$B$3:$B$5001,$A$113)))</f>
        <v/>
      </c>
      <c r="AB128" s="223" t="str">
        <f>IF(AB$3="","",IF(COUNTIFS(BD!$A$3:$A$5001,AB$3,BD!$B$3:$B$5001,$A$113,BD!$AB$3:$AB$5001,"&lt;&gt;")=0,"",SUMIFS(BD!$AB$3:$AB$5001,BD!$A$3:$A$5001,AB$3,BD!$B$3:$B$5001,$A$113)))</f>
        <v/>
      </c>
      <c r="AC128" s="223" t="str">
        <f>IF(AC$3="","",IF(COUNTIFS(BD!$A$3:$A$5001,AC$3,BD!$B$3:$B$5001,$A$113,BD!$AB$3:$AB$5001,"&lt;&gt;")=0,"",SUMIFS(BD!$AB$3:$AB$5001,BD!$A$3:$A$5001,AC$3,BD!$B$3:$B$5001,$A$113)))</f>
        <v/>
      </c>
      <c r="AD128" s="223" t="str">
        <f>IF(AD$3="","",IF(COUNTIFS(BD!$A$3:$A$5001,AD$3,BD!$B$3:$B$5001,$A$113,BD!$AB$3:$AB$5001,"&lt;&gt;")=0,"",SUMIFS(BD!$AB$3:$AB$5001,BD!$A$3:$A$5001,AD$3,BD!$B$3:$B$5001,$A$113)))</f>
        <v/>
      </c>
      <c r="AE128" s="223" t="str">
        <f>IF(AE$3="","",IF(COUNTIFS(BD!$A$3:$A$5001,AE$3,BD!$B$3:$B$5001,$A$113,BD!$AB$3:$AB$5001,"&lt;&gt;")=0,"",SUMIFS(BD!$AB$3:$AB$5001,BD!$A$3:$A$5001,AE$3,BD!$B$3:$B$5001,$A$113)))</f>
        <v/>
      </c>
      <c r="AF128" s="223" t="str">
        <f>IF(AF$3="","",IF(COUNTIFS(BD!$A$3:$A$5001,AF$3,BD!$B$3:$B$5001,$A$113,BD!$AB$3:$AB$5001,"&lt;&gt;")=0,"",SUMIFS(BD!$AB$3:$AB$5001,BD!$A$3:$A$5001,AF$3,BD!$B$3:$B$5001,$A$113)))</f>
        <v/>
      </c>
      <c r="AG128" s="223" t="str">
        <f>IF(AG$3="","",IF(COUNTIFS(BD!$A$3:$A$5001,AG$3,BD!$B$3:$B$5001,$A$113,BD!$AB$3:$AB$5001,"&lt;&gt;")=0,"",SUMIFS(BD!$AB$3:$AB$5001,BD!$A$3:$A$5001,AG$3,BD!$B$3:$B$5001,$A$113)))</f>
        <v/>
      </c>
      <c r="AH128" s="223" t="str">
        <f>IF(AH$3="","",IF(COUNTIFS(BD!$A$3:$A$5001,AH$3,BD!$B$3:$B$5001,$A$113,BD!$AB$3:$AB$5001,"&lt;&gt;")=0,"",SUMIFS(BD!$AB$3:$AB$5001,BD!$A$3:$A$5001,AH$3,BD!$B$3:$B$5001,$A$113)))</f>
        <v/>
      </c>
      <c r="AI128" s="223" t="str">
        <f>IF(AI$3="","",IF(COUNTIFS(BD!$A$3:$A$5001,AI$3,BD!$B$3:$B$5001,$A$113,BD!$AB$3:$AB$5001,"&lt;&gt;")=0,"",SUMIFS(BD!$AB$3:$AB$5001,BD!$A$3:$A$5001,AI$3,BD!$B$3:$B$5001,$A$113)))</f>
        <v/>
      </c>
      <c r="AJ128" s="224" t="str">
        <f>IF(AJ$3="","",IF(COUNTIFS(BD!$A$3:$A$5001,AJ$3,BD!$B$3:$B$5001,$A$113,BD!$AB$3:$AB$5001,"&lt;&gt;")=0,"",SUMIFS(BD!$AB$3:$AB$5001,BD!$A$3:$A$5001,AJ$3,BD!$B$3:$B$5001,$A$113)))</f>
        <v/>
      </c>
      <c r="AK128" s="225" t="str">
        <f>IF(COUNT(F128:AJ128)=0,"",SUM(F128:AJ128))</f>
        <v/>
      </c>
    </row>
    <row r="129" ht="15.75" customHeight="1">
      <c r="A129" s="244"/>
      <c r="B129" s="241"/>
      <c r="C129" s="219" t="inlineStr">
        <is>
          <t xml:space="preserve">Desligamento</t>
        </is>
      </c>
      <c r="D129" s="220" t="str">
        <f>IFERROR(1/(1/INDEX(BD!$AJ$50:$BD$50,MATCH($A$113,BD!$AJ$22:$BD$22,0))),"")</f>
        <v/>
      </c>
      <c r="E129" s="221"/>
      <c r="F129" s="222" t="str">
        <f>IF(F$3="","",IF(COUNTIFS(BD!$A$3:$A$5001,F$3,BD!$B$3:$B$5001,$A$113,BD!$AC$3:$AC$5001,"&lt;&gt;")=0,"",SUMIFS(BD!$AC$3:$AC$5001,BD!$A$3:$A$5001,F$3,BD!$B$3:$B$5001,$A$113)))</f>
        <v/>
      </c>
      <c r="G129" s="223" t="str">
        <f>IF(G$3="","",IF(COUNTIFS(BD!$A$3:$A$5001,G$3,BD!$B$3:$B$5001,$A$113,BD!$AC$3:$AC$5001,"&lt;&gt;")=0,"",SUMIFS(BD!$AC$3:$AC$5001,BD!$A$3:$A$5001,G$3,BD!$B$3:$B$5001,$A$113)))</f>
        <v/>
      </c>
      <c r="H129" s="223" t="str">
        <f>IF(H$3="","",IF(COUNTIFS(BD!$A$3:$A$5001,H$3,BD!$B$3:$B$5001,$A$113,BD!$AC$3:$AC$5001,"&lt;&gt;")=0,"",SUMIFS(BD!$AC$3:$AC$5001,BD!$A$3:$A$5001,H$3,BD!$B$3:$B$5001,$A$113)))</f>
        <v/>
      </c>
      <c r="I129" s="223" t="str">
        <f>IF(I$3="","",IF(COUNTIFS(BD!$A$3:$A$5001,I$3,BD!$B$3:$B$5001,$A$113,BD!$AC$3:$AC$5001,"&lt;&gt;")=0,"",SUMIFS(BD!$AC$3:$AC$5001,BD!$A$3:$A$5001,I$3,BD!$B$3:$B$5001,$A$113)))</f>
        <v/>
      </c>
      <c r="J129" s="223" t="str">
        <f>IF(J$3="","",IF(COUNTIFS(BD!$A$3:$A$5001,J$3,BD!$B$3:$B$5001,$A$113,BD!$AC$3:$AC$5001,"&lt;&gt;")=0,"",SUMIFS(BD!$AC$3:$AC$5001,BD!$A$3:$A$5001,J$3,BD!$B$3:$B$5001,$A$113)))</f>
        <v/>
      </c>
      <c r="K129" s="223" t="str">
        <f>IF(K$3="","",IF(COUNTIFS(BD!$A$3:$A$5001,K$3,BD!$B$3:$B$5001,$A$113,BD!$AC$3:$AC$5001,"&lt;&gt;")=0,"",SUMIFS(BD!$AC$3:$AC$5001,BD!$A$3:$A$5001,K$3,BD!$B$3:$B$5001,$A$113)))</f>
        <v/>
      </c>
      <c r="L129" s="223" t="str">
        <f>IF(L$3="","",IF(COUNTIFS(BD!$A$3:$A$5001,L$3,BD!$B$3:$B$5001,$A$113,BD!$AC$3:$AC$5001,"&lt;&gt;")=0,"",SUMIFS(BD!$AC$3:$AC$5001,BD!$A$3:$A$5001,L$3,BD!$B$3:$B$5001,$A$113)))</f>
        <v/>
      </c>
      <c r="M129" s="223" t="str">
        <f>IF(M$3="","",IF(COUNTIFS(BD!$A$3:$A$5001,M$3,BD!$B$3:$B$5001,$A$113,BD!$AC$3:$AC$5001,"&lt;&gt;")=0,"",SUMIFS(BD!$AC$3:$AC$5001,BD!$A$3:$A$5001,M$3,BD!$B$3:$B$5001,$A$113)))</f>
        <v/>
      </c>
      <c r="N129" s="223" t="str">
        <f>IF(N$3="","",IF(COUNTIFS(BD!$A$3:$A$5001,N$3,BD!$B$3:$B$5001,$A$113,BD!$AC$3:$AC$5001,"&lt;&gt;")=0,"",SUMIFS(BD!$AC$3:$AC$5001,BD!$A$3:$A$5001,N$3,BD!$B$3:$B$5001,$A$113)))</f>
        <v/>
      </c>
      <c r="O129" s="223" t="str">
        <f>IF(O$3="","",IF(COUNTIFS(BD!$A$3:$A$5001,O$3,BD!$B$3:$B$5001,$A$113,BD!$AC$3:$AC$5001,"&lt;&gt;")=0,"",SUMIFS(BD!$AC$3:$AC$5001,BD!$A$3:$A$5001,O$3,BD!$B$3:$B$5001,$A$113)))</f>
        <v/>
      </c>
      <c r="P129" s="223" t="str">
        <f>IF(P$3="","",IF(COUNTIFS(BD!$A$3:$A$5001,P$3,BD!$B$3:$B$5001,$A$113,BD!$AC$3:$AC$5001,"&lt;&gt;")=0,"",SUMIFS(BD!$AC$3:$AC$5001,BD!$A$3:$A$5001,P$3,BD!$B$3:$B$5001,$A$113)))</f>
        <v/>
      </c>
      <c r="Q129" s="223" t="str">
        <f>IF(Q$3="","",IF(COUNTIFS(BD!$A$3:$A$5001,Q$3,BD!$B$3:$B$5001,$A$113,BD!$AC$3:$AC$5001,"&lt;&gt;")=0,"",SUMIFS(BD!$AC$3:$AC$5001,BD!$A$3:$A$5001,Q$3,BD!$B$3:$B$5001,$A$113)))</f>
        <v/>
      </c>
      <c r="R129" s="223" t="str">
        <f>IF(R$3="","",IF(COUNTIFS(BD!$A$3:$A$5001,R$3,BD!$B$3:$B$5001,$A$113,BD!$AC$3:$AC$5001,"&lt;&gt;")=0,"",SUMIFS(BD!$AC$3:$AC$5001,BD!$A$3:$A$5001,R$3,BD!$B$3:$B$5001,$A$113)))</f>
        <v/>
      </c>
      <c r="S129" s="223" t="str">
        <f>IF(S$3="","",IF(COUNTIFS(BD!$A$3:$A$5001,S$3,BD!$B$3:$B$5001,$A$113,BD!$AC$3:$AC$5001,"&lt;&gt;")=0,"",SUMIFS(BD!$AC$3:$AC$5001,BD!$A$3:$A$5001,S$3,BD!$B$3:$B$5001,$A$113)))</f>
        <v/>
      </c>
      <c r="T129" s="223" t="str">
        <f>IF(T$3="","",IF(COUNTIFS(BD!$A$3:$A$5001,T$3,BD!$B$3:$B$5001,$A$113,BD!$AC$3:$AC$5001,"&lt;&gt;")=0,"",SUMIFS(BD!$AC$3:$AC$5001,BD!$A$3:$A$5001,T$3,BD!$B$3:$B$5001,$A$113)))</f>
        <v/>
      </c>
      <c r="U129" s="223" t="str">
        <f>IF(U$3="","",IF(COUNTIFS(BD!$A$3:$A$5001,U$3,BD!$B$3:$B$5001,$A$113,BD!$AC$3:$AC$5001,"&lt;&gt;")=0,"",SUMIFS(BD!$AC$3:$AC$5001,BD!$A$3:$A$5001,U$3,BD!$B$3:$B$5001,$A$113)))</f>
        <v/>
      </c>
      <c r="V129" s="223" t="str">
        <f>IF(V$3="","",IF(COUNTIFS(BD!$A$3:$A$5001,V$3,BD!$B$3:$B$5001,$A$113,BD!$AC$3:$AC$5001,"&lt;&gt;")=0,"",SUMIFS(BD!$AC$3:$AC$5001,BD!$A$3:$A$5001,V$3,BD!$B$3:$B$5001,$A$113)))</f>
        <v/>
      </c>
      <c r="W129" s="223" t="str">
        <f>IF(W$3="","",IF(COUNTIFS(BD!$A$3:$A$5001,W$3,BD!$B$3:$B$5001,$A$113,BD!$AC$3:$AC$5001,"&lt;&gt;")=0,"",SUMIFS(BD!$AC$3:$AC$5001,BD!$A$3:$A$5001,W$3,BD!$B$3:$B$5001,$A$113)))</f>
        <v/>
      </c>
      <c r="X129" s="223" t="str">
        <f>IF(X$3="","",IF(COUNTIFS(BD!$A$3:$A$5001,X$3,BD!$B$3:$B$5001,$A$113,BD!$AC$3:$AC$5001,"&lt;&gt;")=0,"",SUMIFS(BD!$AC$3:$AC$5001,BD!$A$3:$A$5001,X$3,BD!$B$3:$B$5001,$A$113)))</f>
        <v/>
      </c>
      <c r="Y129" s="223" t="str">
        <f>IF(Y$3="","",IF(COUNTIFS(BD!$A$3:$A$5001,Y$3,BD!$B$3:$B$5001,$A$113,BD!$AC$3:$AC$5001,"&lt;&gt;")=0,"",SUMIFS(BD!$AC$3:$AC$5001,BD!$A$3:$A$5001,Y$3,BD!$B$3:$B$5001,$A$113)))</f>
        <v/>
      </c>
      <c r="Z129" s="223" t="str">
        <f>IF(Z$3="","",IF(COUNTIFS(BD!$A$3:$A$5001,Z$3,BD!$B$3:$B$5001,$A$113,BD!$AC$3:$AC$5001,"&lt;&gt;")=0,"",SUMIFS(BD!$AC$3:$AC$5001,BD!$A$3:$A$5001,Z$3,BD!$B$3:$B$5001,$A$113)))</f>
        <v/>
      </c>
      <c r="AA129" s="223" t="str">
        <f>IF(AA$3="","",IF(COUNTIFS(BD!$A$3:$A$5001,AA$3,BD!$B$3:$B$5001,$A$113,BD!$AC$3:$AC$5001,"&lt;&gt;")=0,"",SUMIFS(BD!$AC$3:$AC$5001,BD!$A$3:$A$5001,AA$3,BD!$B$3:$B$5001,$A$113)))</f>
        <v/>
      </c>
      <c r="AB129" s="223" t="str">
        <f>IF(AB$3="","",IF(COUNTIFS(BD!$A$3:$A$5001,AB$3,BD!$B$3:$B$5001,$A$113,BD!$AC$3:$AC$5001,"&lt;&gt;")=0,"",SUMIFS(BD!$AC$3:$AC$5001,BD!$A$3:$A$5001,AB$3,BD!$B$3:$B$5001,$A$113)))</f>
        <v/>
      </c>
      <c r="AC129" s="223" t="str">
        <f>IF(AC$3="","",IF(COUNTIFS(BD!$A$3:$A$5001,AC$3,BD!$B$3:$B$5001,$A$113,BD!$AC$3:$AC$5001,"&lt;&gt;")=0,"",SUMIFS(BD!$AC$3:$AC$5001,BD!$A$3:$A$5001,AC$3,BD!$B$3:$B$5001,$A$113)))</f>
        <v/>
      </c>
      <c r="AD129" s="223" t="str">
        <f>IF(AD$3="","",IF(COUNTIFS(BD!$A$3:$A$5001,AD$3,BD!$B$3:$B$5001,$A$113,BD!$AC$3:$AC$5001,"&lt;&gt;")=0,"",SUMIFS(BD!$AC$3:$AC$5001,BD!$A$3:$A$5001,AD$3,BD!$B$3:$B$5001,$A$113)))</f>
        <v/>
      </c>
      <c r="AE129" s="223" t="str">
        <f>IF(AE$3="","",IF(COUNTIFS(BD!$A$3:$A$5001,AE$3,BD!$B$3:$B$5001,$A$113,BD!$AC$3:$AC$5001,"&lt;&gt;")=0,"",SUMIFS(BD!$AC$3:$AC$5001,BD!$A$3:$A$5001,AE$3,BD!$B$3:$B$5001,$A$113)))</f>
        <v/>
      </c>
      <c r="AF129" s="223" t="str">
        <f>IF(AF$3="","",IF(COUNTIFS(BD!$A$3:$A$5001,AF$3,BD!$B$3:$B$5001,$A$113,BD!$AC$3:$AC$5001,"&lt;&gt;")=0,"",SUMIFS(BD!$AC$3:$AC$5001,BD!$A$3:$A$5001,AF$3,BD!$B$3:$B$5001,$A$113)))</f>
        <v/>
      </c>
      <c r="AG129" s="223" t="str">
        <f>IF(AG$3="","",IF(COUNTIFS(BD!$A$3:$A$5001,AG$3,BD!$B$3:$B$5001,$A$113,BD!$AC$3:$AC$5001,"&lt;&gt;")=0,"",SUMIFS(BD!$AC$3:$AC$5001,BD!$A$3:$A$5001,AG$3,BD!$B$3:$B$5001,$A$113)))</f>
        <v/>
      </c>
      <c r="AH129" s="223" t="str">
        <f>IF(AH$3="","",IF(COUNTIFS(BD!$A$3:$A$5001,AH$3,BD!$B$3:$B$5001,$A$113,BD!$AC$3:$AC$5001,"&lt;&gt;")=0,"",SUMIFS(BD!$AC$3:$AC$5001,BD!$A$3:$A$5001,AH$3,BD!$B$3:$B$5001,$A$113)))</f>
        <v/>
      </c>
      <c r="AI129" s="223" t="str">
        <f>IF(AI$3="","",IF(COUNTIFS(BD!$A$3:$A$5001,AI$3,BD!$B$3:$B$5001,$A$113,BD!$AC$3:$AC$5001,"&lt;&gt;")=0,"",SUMIFS(BD!$AC$3:$AC$5001,BD!$A$3:$A$5001,AI$3,BD!$B$3:$B$5001,$A$113)))</f>
        <v/>
      </c>
      <c r="AJ129" s="224" t="str">
        <f>IF(AJ$3="","",IF(COUNTIFS(BD!$A$3:$A$5001,AJ$3,BD!$B$3:$B$5001,$A$113,BD!$AC$3:$AC$5001,"&lt;&gt;")=0,"",SUMIFS(BD!$AC$3:$AC$5001,BD!$A$3:$A$5001,AJ$3,BD!$B$3:$B$5001,$A$113)))</f>
        <v/>
      </c>
      <c r="AK129" s="225" t="str">
        <f>IF(COUNT(F129:AJ129)=0,"",SUM(F129:AJ129))</f>
        <v/>
      </c>
    </row>
    <row r="130" ht="15.75" customHeight="1">
      <c r="A130" s="244"/>
      <c r="B130" s="241"/>
      <c r="C130" s="219" t="inlineStr">
        <is>
          <t xml:space="preserve">Desvios Comportamentais</t>
        </is>
      </c>
      <c r="D130" s="220" t="str">
        <f>IFERROR(1/(1/INDEX(BD!$AJ$51:$BD$51,MATCH($A$113,BD!$AJ$22:$BD$22,0))),"")</f>
        <v/>
      </c>
      <c r="E130" s="221"/>
      <c r="F130" s="222" t="str">
        <f>IF(F$3="","",IF(COUNTIFS(BD!$A$3:$A$5001,F$3,BD!$B$3:$B$5001,$A$113,BD!$AD$3:$AD$5001,"&lt;&gt;")=0,"",SUMIFS(BD!$AD$3:$AD$5001,BD!$A$3:$A$5001,F$3,BD!$B$3:$B$5001,$A$113)))</f>
        <v/>
      </c>
      <c r="G130" s="223" t="str">
        <f>IF(G$3="","",IF(COUNTIFS(BD!$A$3:$A$5001,G$3,BD!$B$3:$B$5001,$A$113,BD!$AD$3:$AD$5001,"&lt;&gt;")=0,"",SUMIFS(BD!$AD$3:$AD$5001,BD!$A$3:$A$5001,G$3,BD!$B$3:$B$5001,$A$113)))</f>
        <v/>
      </c>
      <c r="H130" s="223" t="str">
        <f>IF(H$3="","",IF(COUNTIFS(BD!$A$3:$A$5001,H$3,BD!$B$3:$B$5001,$A$113,BD!$AD$3:$AD$5001,"&lt;&gt;")=0,"",SUMIFS(BD!$AD$3:$AD$5001,BD!$A$3:$A$5001,H$3,BD!$B$3:$B$5001,$A$113)))</f>
        <v/>
      </c>
      <c r="I130" s="223" t="str">
        <f>IF(I$3="","",IF(COUNTIFS(BD!$A$3:$A$5001,I$3,BD!$B$3:$B$5001,$A$113,BD!$AD$3:$AD$5001,"&lt;&gt;")=0,"",SUMIFS(BD!$AD$3:$AD$5001,BD!$A$3:$A$5001,I$3,BD!$B$3:$B$5001,$A$113)))</f>
        <v/>
      </c>
      <c r="J130" s="223" t="str">
        <f>IF(J$3="","",IF(COUNTIFS(BD!$A$3:$A$5001,J$3,BD!$B$3:$B$5001,$A$113,BD!$AD$3:$AD$5001,"&lt;&gt;")=0,"",SUMIFS(BD!$AD$3:$AD$5001,BD!$A$3:$A$5001,J$3,BD!$B$3:$B$5001,$A$113)))</f>
        <v/>
      </c>
      <c r="K130" s="223" t="str">
        <f>IF(K$3="","",IF(COUNTIFS(BD!$A$3:$A$5001,K$3,BD!$B$3:$B$5001,$A$113,BD!$AD$3:$AD$5001,"&lt;&gt;")=0,"",SUMIFS(BD!$AD$3:$AD$5001,BD!$A$3:$A$5001,K$3,BD!$B$3:$B$5001,$A$113)))</f>
        <v/>
      </c>
      <c r="L130" s="223" t="str">
        <f>IF(L$3="","",IF(COUNTIFS(BD!$A$3:$A$5001,L$3,BD!$B$3:$B$5001,$A$113,BD!$AD$3:$AD$5001,"&lt;&gt;")=0,"",SUMIFS(BD!$AD$3:$AD$5001,BD!$A$3:$A$5001,L$3,BD!$B$3:$B$5001,$A$113)))</f>
        <v/>
      </c>
      <c r="M130" s="223" t="str">
        <f>IF(M$3="","",IF(COUNTIFS(BD!$A$3:$A$5001,M$3,BD!$B$3:$B$5001,$A$113,BD!$AD$3:$AD$5001,"&lt;&gt;")=0,"",SUMIFS(BD!$AD$3:$AD$5001,BD!$A$3:$A$5001,M$3,BD!$B$3:$B$5001,$A$113)))</f>
        <v/>
      </c>
      <c r="N130" s="223" t="str">
        <f>IF(N$3="","",IF(COUNTIFS(BD!$A$3:$A$5001,N$3,BD!$B$3:$B$5001,$A$113,BD!$AD$3:$AD$5001,"&lt;&gt;")=0,"",SUMIFS(BD!$AD$3:$AD$5001,BD!$A$3:$A$5001,N$3,BD!$B$3:$B$5001,$A$113)))</f>
        <v/>
      </c>
      <c r="O130" s="223" t="str">
        <f>IF(O$3="","",IF(COUNTIFS(BD!$A$3:$A$5001,O$3,BD!$B$3:$B$5001,$A$113,BD!$AD$3:$AD$5001,"&lt;&gt;")=0,"",SUMIFS(BD!$AD$3:$AD$5001,BD!$A$3:$A$5001,O$3,BD!$B$3:$B$5001,$A$113)))</f>
        <v/>
      </c>
      <c r="P130" s="223" t="str">
        <f>IF(P$3="","",IF(COUNTIFS(BD!$A$3:$A$5001,P$3,BD!$B$3:$B$5001,$A$113,BD!$AD$3:$AD$5001,"&lt;&gt;")=0,"",SUMIFS(BD!$AD$3:$AD$5001,BD!$A$3:$A$5001,P$3,BD!$B$3:$B$5001,$A$113)))</f>
        <v/>
      </c>
      <c r="Q130" s="223" t="str">
        <f>IF(Q$3="","",IF(COUNTIFS(BD!$A$3:$A$5001,Q$3,BD!$B$3:$B$5001,$A$113,BD!$AD$3:$AD$5001,"&lt;&gt;")=0,"",SUMIFS(BD!$AD$3:$AD$5001,BD!$A$3:$A$5001,Q$3,BD!$B$3:$B$5001,$A$113)))</f>
        <v/>
      </c>
      <c r="R130" s="223" t="str">
        <f>IF(R$3="","",IF(COUNTIFS(BD!$A$3:$A$5001,R$3,BD!$B$3:$B$5001,$A$113,BD!$AD$3:$AD$5001,"&lt;&gt;")=0,"",SUMIFS(BD!$AD$3:$AD$5001,BD!$A$3:$A$5001,R$3,BD!$B$3:$B$5001,$A$113)))</f>
        <v/>
      </c>
      <c r="S130" s="223" t="str">
        <f>IF(S$3="","",IF(COUNTIFS(BD!$A$3:$A$5001,S$3,BD!$B$3:$B$5001,$A$113,BD!$AD$3:$AD$5001,"&lt;&gt;")=0,"",SUMIFS(BD!$AD$3:$AD$5001,BD!$A$3:$A$5001,S$3,BD!$B$3:$B$5001,$A$113)))</f>
        <v/>
      </c>
      <c r="T130" s="223" t="str">
        <f>IF(T$3="","",IF(COUNTIFS(BD!$A$3:$A$5001,T$3,BD!$B$3:$B$5001,$A$113,BD!$AD$3:$AD$5001,"&lt;&gt;")=0,"",SUMIFS(BD!$AD$3:$AD$5001,BD!$A$3:$A$5001,T$3,BD!$B$3:$B$5001,$A$113)))</f>
        <v/>
      </c>
      <c r="U130" s="223" t="str">
        <f>IF(U$3="","",IF(COUNTIFS(BD!$A$3:$A$5001,U$3,BD!$B$3:$B$5001,$A$113,BD!$AD$3:$AD$5001,"&lt;&gt;")=0,"",SUMIFS(BD!$AD$3:$AD$5001,BD!$A$3:$A$5001,U$3,BD!$B$3:$B$5001,$A$113)))</f>
        <v/>
      </c>
      <c r="V130" s="223" t="str">
        <f>IF(V$3="","",IF(COUNTIFS(BD!$A$3:$A$5001,V$3,BD!$B$3:$B$5001,$A$113,BD!$AD$3:$AD$5001,"&lt;&gt;")=0,"",SUMIFS(BD!$AD$3:$AD$5001,BD!$A$3:$A$5001,V$3,BD!$B$3:$B$5001,$A$113)))</f>
        <v/>
      </c>
      <c r="W130" s="223" t="str">
        <f>IF(W$3="","",IF(COUNTIFS(BD!$A$3:$A$5001,W$3,BD!$B$3:$B$5001,$A$113,BD!$AD$3:$AD$5001,"&lt;&gt;")=0,"",SUMIFS(BD!$AD$3:$AD$5001,BD!$A$3:$A$5001,W$3,BD!$B$3:$B$5001,$A$113)))</f>
        <v/>
      </c>
      <c r="X130" s="223" t="str">
        <f>IF(X$3="","",IF(COUNTIFS(BD!$A$3:$A$5001,X$3,BD!$B$3:$B$5001,$A$113,BD!$AD$3:$AD$5001,"&lt;&gt;")=0,"",SUMIFS(BD!$AD$3:$AD$5001,BD!$A$3:$A$5001,X$3,BD!$B$3:$B$5001,$A$113)))</f>
        <v/>
      </c>
      <c r="Y130" s="223" t="str">
        <f>IF(Y$3="","",IF(COUNTIFS(BD!$A$3:$A$5001,Y$3,BD!$B$3:$B$5001,$A$113,BD!$AD$3:$AD$5001,"&lt;&gt;")=0,"",SUMIFS(BD!$AD$3:$AD$5001,BD!$A$3:$A$5001,Y$3,BD!$B$3:$B$5001,$A$113)))</f>
        <v/>
      </c>
      <c r="Z130" s="223" t="str">
        <f>IF(Z$3="","",IF(COUNTIFS(BD!$A$3:$A$5001,Z$3,BD!$B$3:$B$5001,$A$113,BD!$AD$3:$AD$5001,"&lt;&gt;")=0,"",SUMIFS(BD!$AD$3:$AD$5001,BD!$A$3:$A$5001,Z$3,BD!$B$3:$B$5001,$A$113)))</f>
        <v/>
      </c>
      <c r="AA130" s="223" t="str">
        <f>IF(AA$3="","",IF(COUNTIFS(BD!$A$3:$A$5001,AA$3,BD!$B$3:$B$5001,$A$113,BD!$AD$3:$AD$5001,"&lt;&gt;")=0,"",SUMIFS(BD!$AD$3:$AD$5001,BD!$A$3:$A$5001,AA$3,BD!$B$3:$B$5001,$A$113)))</f>
        <v/>
      </c>
      <c r="AB130" s="223" t="str">
        <f>IF(AB$3="","",IF(COUNTIFS(BD!$A$3:$A$5001,AB$3,BD!$B$3:$B$5001,$A$113,BD!$AD$3:$AD$5001,"&lt;&gt;")=0,"",SUMIFS(BD!$AD$3:$AD$5001,BD!$A$3:$A$5001,AB$3,BD!$B$3:$B$5001,$A$113)))</f>
        <v/>
      </c>
      <c r="AC130" s="223" t="str">
        <f>IF(AC$3="","",IF(COUNTIFS(BD!$A$3:$A$5001,AC$3,BD!$B$3:$B$5001,$A$113,BD!$AD$3:$AD$5001,"&lt;&gt;")=0,"",SUMIFS(BD!$AD$3:$AD$5001,BD!$A$3:$A$5001,AC$3,BD!$B$3:$B$5001,$A$113)))</f>
        <v/>
      </c>
      <c r="AD130" s="223" t="str">
        <f>IF(AD$3="","",IF(COUNTIFS(BD!$A$3:$A$5001,AD$3,BD!$B$3:$B$5001,$A$113,BD!$AD$3:$AD$5001,"&lt;&gt;")=0,"",SUMIFS(BD!$AD$3:$AD$5001,BD!$A$3:$A$5001,AD$3,BD!$B$3:$B$5001,$A$113)))</f>
        <v/>
      </c>
      <c r="AE130" s="223" t="str">
        <f>IF(AE$3="","",IF(COUNTIFS(BD!$A$3:$A$5001,AE$3,BD!$B$3:$B$5001,$A$113,BD!$AD$3:$AD$5001,"&lt;&gt;")=0,"",SUMIFS(BD!$AD$3:$AD$5001,BD!$A$3:$A$5001,AE$3,BD!$B$3:$B$5001,$A$113)))</f>
        <v/>
      </c>
      <c r="AF130" s="223" t="str">
        <f>IF(AF$3="","",IF(COUNTIFS(BD!$A$3:$A$5001,AF$3,BD!$B$3:$B$5001,$A$113,BD!$AD$3:$AD$5001,"&lt;&gt;")=0,"",SUMIFS(BD!$AD$3:$AD$5001,BD!$A$3:$A$5001,AF$3,BD!$B$3:$B$5001,$A$113)))</f>
        <v/>
      </c>
      <c r="AG130" s="223" t="str">
        <f>IF(AG$3="","",IF(COUNTIFS(BD!$A$3:$A$5001,AG$3,BD!$B$3:$B$5001,$A$113,BD!$AD$3:$AD$5001,"&lt;&gt;")=0,"",SUMIFS(BD!$AD$3:$AD$5001,BD!$A$3:$A$5001,AG$3,BD!$B$3:$B$5001,$A$113)))</f>
        <v/>
      </c>
      <c r="AH130" s="223" t="str">
        <f>IF(AH$3="","",IF(COUNTIFS(BD!$A$3:$A$5001,AH$3,BD!$B$3:$B$5001,$A$113,BD!$AD$3:$AD$5001,"&lt;&gt;")=0,"",SUMIFS(BD!$AD$3:$AD$5001,BD!$A$3:$A$5001,AH$3,BD!$B$3:$B$5001,$A$113)))</f>
        <v/>
      </c>
      <c r="AI130" s="223" t="str">
        <f>IF(AI$3="","",IF(COUNTIFS(BD!$A$3:$A$5001,AI$3,BD!$B$3:$B$5001,$A$113,BD!$AD$3:$AD$5001,"&lt;&gt;")=0,"",SUMIFS(BD!$AD$3:$AD$5001,BD!$A$3:$A$5001,AI$3,BD!$B$3:$B$5001,$A$113)))</f>
        <v/>
      </c>
      <c r="AJ130" s="224" t="str">
        <f>IF(AJ$3="","",IF(COUNTIFS(BD!$A$3:$A$5001,AJ$3,BD!$B$3:$B$5001,$A$113,BD!$AD$3:$AD$5001,"&lt;&gt;")=0,"",SUMIFS(BD!$AD$3:$AD$5001,BD!$A$3:$A$5001,AJ$3,BD!$B$3:$B$5001,$A$113)))</f>
        <v/>
      </c>
      <c r="AK130" s="225" t="str">
        <f>IF(COUNT(F130:AJ130)=0,"",SUM(F130:AJ130))</f>
        <v/>
      </c>
    </row>
    <row r="131" ht="15.75" customHeight="1">
      <c r="A131" s="244"/>
      <c r="B131" s="241"/>
      <c r="C131" s="219" t="inlineStr">
        <is>
          <t xml:space="preserve">Acidentes CAF</t>
        </is>
      </c>
      <c r="D131" s="220" t="str">
        <f>IFERROR(1/(1/INDEX(BD!$AJ$52:$BD$52,MATCH($A$113,BD!$AJ$22:$BD$22,0))),"")</f>
        <v/>
      </c>
      <c r="E131" s="221"/>
      <c r="F131" s="222" t="str">
        <f>IF(F$3="","",IF(COUNTIFS(BD!$A$3:$A$5001,F$3,BD!$B$3:$B$5001,$A$113,BD!$AE$3:$AE$5001,"&lt;&gt;")=0,"",SUMIFS(BD!$AE$3:$AE$5001,BD!$A$3:$A$5001,F$3,BD!$B$3:$B$5001,$A$113)))</f>
        <v/>
      </c>
      <c r="G131" s="223" t="str">
        <f>IF(G$3="","",IF(COUNTIFS(BD!$A$3:$A$5001,G$3,BD!$B$3:$B$5001,$A$113,BD!$AE$3:$AE$5001,"&lt;&gt;")=0,"",SUMIFS(BD!$AE$3:$AE$5001,BD!$A$3:$A$5001,G$3,BD!$B$3:$B$5001,$A$113)))</f>
        <v/>
      </c>
      <c r="H131" s="223" t="str">
        <f>IF(H$3="","",IF(COUNTIFS(BD!$A$3:$A$5001,H$3,BD!$B$3:$B$5001,$A$113,BD!$AE$3:$AE$5001,"&lt;&gt;")=0,"",SUMIFS(BD!$AE$3:$AE$5001,BD!$A$3:$A$5001,H$3,BD!$B$3:$B$5001,$A$113)))</f>
        <v/>
      </c>
      <c r="I131" s="223" t="str">
        <f>IF(I$3="","",IF(COUNTIFS(BD!$A$3:$A$5001,I$3,BD!$B$3:$B$5001,$A$113,BD!$AE$3:$AE$5001,"&lt;&gt;")=0,"",SUMIFS(BD!$AE$3:$AE$5001,BD!$A$3:$A$5001,I$3,BD!$B$3:$B$5001,$A$113)))</f>
        <v/>
      </c>
      <c r="J131" s="223" t="str">
        <f>IF(J$3="","",IF(COUNTIFS(BD!$A$3:$A$5001,J$3,BD!$B$3:$B$5001,$A$113,BD!$AE$3:$AE$5001,"&lt;&gt;")=0,"",SUMIFS(BD!$AE$3:$AE$5001,BD!$A$3:$A$5001,J$3,BD!$B$3:$B$5001,$A$113)))</f>
        <v/>
      </c>
      <c r="K131" s="223" t="str">
        <f>IF(K$3="","",IF(COUNTIFS(BD!$A$3:$A$5001,K$3,BD!$B$3:$B$5001,$A$113,BD!$AE$3:$AE$5001,"&lt;&gt;")=0,"",SUMIFS(BD!$AE$3:$AE$5001,BD!$A$3:$A$5001,K$3,BD!$B$3:$B$5001,$A$113)))</f>
        <v/>
      </c>
      <c r="L131" s="223" t="str">
        <f>IF(L$3="","",IF(COUNTIFS(BD!$A$3:$A$5001,L$3,BD!$B$3:$B$5001,$A$113,BD!$AE$3:$AE$5001,"&lt;&gt;")=0,"",SUMIFS(BD!$AE$3:$AE$5001,BD!$A$3:$A$5001,L$3,BD!$B$3:$B$5001,$A$113)))</f>
        <v/>
      </c>
      <c r="M131" s="223" t="str">
        <f>IF(M$3="","",IF(COUNTIFS(BD!$A$3:$A$5001,M$3,BD!$B$3:$B$5001,$A$113,BD!$AE$3:$AE$5001,"&lt;&gt;")=0,"",SUMIFS(BD!$AE$3:$AE$5001,BD!$A$3:$A$5001,M$3,BD!$B$3:$B$5001,$A$113)))</f>
        <v/>
      </c>
      <c r="N131" s="223" t="str">
        <f>IF(N$3="","",IF(COUNTIFS(BD!$A$3:$A$5001,N$3,BD!$B$3:$B$5001,$A$113,BD!$AE$3:$AE$5001,"&lt;&gt;")=0,"",SUMIFS(BD!$AE$3:$AE$5001,BD!$A$3:$A$5001,N$3,BD!$B$3:$B$5001,$A$113)))</f>
        <v/>
      </c>
      <c r="O131" s="223" t="str">
        <f>IF(O$3="","",IF(COUNTIFS(BD!$A$3:$A$5001,O$3,BD!$B$3:$B$5001,$A$113,BD!$AE$3:$AE$5001,"&lt;&gt;")=0,"",SUMIFS(BD!$AE$3:$AE$5001,BD!$A$3:$A$5001,O$3,BD!$B$3:$B$5001,$A$113)))</f>
        <v/>
      </c>
      <c r="P131" s="223" t="str">
        <f>IF(P$3="","",IF(COUNTIFS(BD!$A$3:$A$5001,P$3,BD!$B$3:$B$5001,$A$113,BD!$AE$3:$AE$5001,"&lt;&gt;")=0,"",SUMIFS(BD!$AE$3:$AE$5001,BD!$A$3:$A$5001,P$3,BD!$B$3:$B$5001,$A$113)))</f>
        <v/>
      </c>
      <c r="Q131" s="223" t="str">
        <f>IF(Q$3="","",IF(COUNTIFS(BD!$A$3:$A$5001,Q$3,BD!$B$3:$B$5001,$A$113,BD!$AE$3:$AE$5001,"&lt;&gt;")=0,"",SUMIFS(BD!$AE$3:$AE$5001,BD!$A$3:$A$5001,Q$3,BD!$B$3:$B$5001,$A$113)))</f>
        <v/>
      </c>
      <c r="R131" s="223" t="str">
        <f>IF(R$3="","",IF(COUNTIFS(BD!$A$3:$A$5001,R$3,BD!$B$3:$B$5001,$A$113,BD!$AE$3:$AE$5001,"&lt;&gt;")=0,"",SUMIFS(BD!$AE$3:$AE$5001,BD!$A$3:$A$5001,R$3,BD!$B$3:$B$5001,$A$113)))</f>
        <v/>
      </c>
      <c r="S131" s="223" t="str">
        <f>IF(S$3="","",IF(COUNTIFS(BD!$A$3:$A$5001,S$3,BD!$B$3:$B$5001,$A$113,BD!$AE$3:$AE$5001,"&lt;&gt;")=0,"",SUMIFS(BD!$AE$3:$AE$5001,BD!$A$3:$A$5001,S$3,BD!$B$3:$B$5001,$A$113)))</f>
        <v/>
      </c>
      <c r="T131" s="223" t="str">
        <f>IF(T$3="","",IF(COUNTIFS(BD!$A$3:$A$5001,T$3,BD!$B$3:$B$5001,$A$113,BD!$AE$3:$AE$5001,"&lt;&gt;")=0,"",SUMIFS(BD!$AE$3:$AE$5001,BD!$A$3:$A$5001,T$3,BD!$B$3:$B$5001,$A$113)))</f>
        <v/>
      </c>
      <c r="U131" s="223" t="str">
        <f>IF(U$3="","",IF(COUNTIFS(BD!$A$3:$A$5001,U$3,BD!$B$3:$B$5001,$A$113,BD!$AE$3:$AE$5001,"&lt;&gt;")=0,"",SUMIFS(BD!$AE$3:$AE$5001,BD!$A$3:$A$5001,U$3,BD!$B$3:$B$5001,$A$113)))</f>
        <v/>
      </c>
      <c r="V131" s="223" t="str">
        <f>IF(V$3="","",IF(COUNTIFS(BD!$A$3:$A$5001,V$3,BD!$B$3:$B$5001,$A$113,BD!$AE$3:$AE$5001,"&lt;&gt;")=0,"",SUMIFS(BD!$AE$3:$AE$5001,BD!$A$3:$A$5001,V$3,BD!$B$3:$B$5001,$A$113)))</f>
        <v/>
      </c>
      <c r="W131" s="223" t="str">
        <f>IF(W$3="","",IF(COUNTIFS(BD!$A$3:$A$5001,W$3,BD!$B$3:$B$5001,$A$113,BD!$AE$3:$AE$5001,"&lt;&gt;")=0,"",SUMIFS(BD!$AE$3:$AE$5001,BD!$A$3:$A$5001,W$3,BD!$B$3:$B$5001,$A$113)))</f>
        <v/>
      </c>
      <c r="X131" s="223" t="str">
        <f>IF(X$3="","",IF(COUNTIFS(BD!$A$3:$A$5001,X$3,BD!$B$3:$B$5001,$A$113,BD!$AE$3:$AE$5001,"&lt;&gt;")=0,"",SUMIFS(BD!$AE$3:$AE$5001,BD!$A$3:$A$5001,X$3,BD!$B$3:$B$5001,$A$113)))</f>
        <v/>
      </c>
      <c r="Y131" s="223" t="str">
        <f>IF(Y$3="","",IF(COUNTIFS(BD!$A$3:$A$5001,Y$3,BD!$B$3:$B$5001,$A$113,BD!$AE$3:$AE$5001,"&lt;&gt;")=0,"",SUMIFS(BD!$AE$3:$AE$5001,BD!$A$3:$A$5001,Y$3,BD!$B$3:$B$5001,$A$113)))</f>
        <v/>
      </c>
      <c r="Z131" s="223" t="str">
        <f>IF(Z$3="","",IF(COUNTIFS(BD!$A$3:$A$5001,Z$3,BD!$B$3:$B$5001,$A$113,BD!$AE$3:$AE$5001,"&lt;&gt;")=0,"",SUMIFS(BD!$AE$3:$AE$5001,BD!$A$3:$A$5001,Z$3,BD!$B$3:$B$5001,$A$113)))</f>
        <v/>
      </c>
      <c r="AA131" s="223" t="str">
        <f>IF(AA$3="","",IF(COUNTIFS(BD!$A$3:$A$5001,AA$3,BD!$B$3:$B$5001,$A$113,BD!$AE$3:$AE$5001,"&lt;&gt;")=0,"",SUMIFS(BD!$AE$3:$AE$5001,BD!$A$3:$A$5001,AA$3,BD!$B$3:$B$5001,$A$113)))</f>
        <v/>
      </c>
      <c r="AB131" s="223" t="str">
        <f>IF(AB$3="","",IF(COUNTIFS(BD!$A$3:$A$5001,AB$3,BD!$B$3:$B$5001,$A$113,BD!$AE$3:$AE$5001,"&lt;&gt;")=0,"",SUMIFS(BD!$AE$3:$AE$5001,BD!$A$3:$A$5001,AB$3,BD!$B$3:$B$5001,$A$113)))</f>
        <v/>
      </c>
      <c r="AC131" s="223" t="str">
        <f>IF(AC$3="","",IF(COUNTIFS(BD!$A$3:$A$5001,AC$3,BD!$B$3:$B$5001,$A$113,BD!$AE$3:$AE$5001,"&lt;&gt;")=0,"",SUMIFS(BD!$AE$3:$AE$5001,BD!$A$3:$A$5001,AC$3,BD!$B$3:$B$5001,$A$113)))</f>
        <v/>
      </c>
      <c r="AD131" s="223" t="str">
        <f>IF(AD$3="","",IF(COUNTIFS(BD!$A$3:$A$5001,AD$3,BD!$B$3:$B$5001,$A$113,BD!$AE$3:$AE$5001,"&lt;&gt;")=0,"",SUMIFS(BD!$AE$3:$AE$5001,BD!$A$3:$A$5001,AD$3,BD!$B$3:$B$5001,$A$113)))</f>
        <v/>
      </c>
      <c r="AE131" s="223" t="str">
        <f>IF(AE$3="","",IF(COUNTIFS(BD!$A$3:$A$5001,AE$3,BD!$B$3:$B$5001,$A$113,BD!$AE$3:$AE$5001,"&lt;&gt;")=0,"",SUMIFS(BD!$AE$3:$AE$5001,BD!$A$3:$A$5001,AE$3,BD!$B$3:$B$5001,$A$113)))</f>
        <v/>
      </c>
      <c r="AF131" s="223" t="str">
        <f>IF(AF$3="","",IF(COUNTIFS(BD!$A$3:$A$5001,AF$3,BD!$B$3:$B$5001,$A$113,BD!$AE$3:$AE$5001,"&lt;&gt;")=0,"",SUMIFS(BD!$AE$3:$AE$5001,BD!$A$3:$A$5001,AF$3,BD!$B$3:$B$5001,$A$113)))</f>
        <v/>
      </c>
      <c r="AG131" s="223" t="str">
        <f>IF(AG$3="","",IF(COUNTIFS(BD!$A$3:$A$5001,AG$3,BD!$B$3:$B$5001,$A$113,BD!$AE$3:$AE$5001,"&lt;&gt;")=0,"",SUMIFS(BD!$AE$3:$AE$5001,BD!$A$3:$A$5001,AG$3,BD!$B$3:$B$5001,$A$113)))</f>
        <v/>
      </c>
      <c r="AH131" s="223" t="str">
        <f>IF(AH$3="","",IF(COUNTIFS(BD!$A$3:$A$5001,AH$3,BD!$B$3:$B$5001,$A$113,BD!$AE$3:$AE$5001,"&lt;&gt;")=0,"",SUMIFS(BD!$AE$3:$AE$5001,BD!$A$3:$A$5001,AH$3,BD!$B$3:$B$5001,$A$113)))</f>
        <v/>
      </c>
      <c r="AI131" s="223" t="str">
        <f>IF(AI$3="","",IF(COUNTIFS(BD!$A$3:$A$5001,AI$3,BD!$B$3:$B$5001,$A$113,BD!$AE$3:$AE$5001,"&lt;&gt;")=0,"",SUMIFS(BD!$AE$3:$AE$5001,BD!$A$3:$A$5001,AI$3,BD!$B$3:$B$5001,$A$113)))</f>
        <v/>
      </c>
      <c r="AJ131" s="224" t="str">
        <f>IF(AJ$3="","",IF(COUNTIFS(BD!$A$3:$A$5001,AJ$3,BD!$B$3:$B$5001,$A$113,BD!$AE$3:$AE$5001,"&lt;&gt;")=0,"",SUMIFS(BD!$AE$3:$AE$5001,BD!$A$3:$A$5001,AJ$3,BD!$B$3:$B$5001,$A$113)))</f>
        <v/>
      </c>
      <c r="AK131" s="225" t="str">
        <f>IF(COUNT(F131:AJ131)=0,"",SUM(F131:AJ131))</f>
        <v/>
      </c>
    </row>
    <row r="132" ht="15.75" customHeight="1">
      <c r="A132" s="245"/>
      <c r="B132" s="242"/>
      <c r="C132" s="226" t="inlineStr">
        <is>
          <t xml:space="preserve">Acidentes SAF</t>
        </is>
      </c>
      <c r="D132" s="227" t="str">
        <f>IFERROR(1/(1/INDEX(BD!$AJ$53:$BD$53,MATCH($A$113,BD!$AJ$22:$BD$22,0))),"")</f>
        <v/>
      </c>
      <c r="E132" s="228"/>
      <c r="F132" s="229" t="str">
        <f>IF(F$3="","",IF(COUNTIFS(BD!$A$3:$A$5001,F$3,BD!$B$3:$B$5001,$A$113,BD!$AF$3:$AF$5001,"&lt;&gt;")=0,"",SUMIFS(BD!$AF$3:$AF$5001,BD!$A$3:$A$5001,F$3,BD!$B$3:$B$5001,$A$113)))</f>
        <v/>
      </c>
      <c r="G132" s="230" t="str">
        <f>IF(G$3="","",IF(COUNTIFS(BD!$A$3:$A$5001,G$3,BD!$B$3:$B$5001,$A$113,BD!$AF$3:$AF$5001,"&lt;&gt;")=0,"",SUMIFS(BD!$AF$3:$AF$5001,BD!$A$3:$A$5001,G$3,BD!$B$3:$B$5001,$A$113)))</f>
        <v/>
      </c>
      <c r="H132" s="230" t="str">
        <f>IF(H$3="","",IF(COUNTIFS(BD!$A$3:$A$5001,H$3,BD!$B$3:$B$5001,$A$113,BD!$AF$3:$AF$5001,"&lt;&gt;")=0,"",SUMIFS(BD!$AF$3:$AF$5001,BD!$A$3:$A$5001,H$3,BD!$B$3:$B$5001,$A$113)))</f>
        <v/>
      </c>
      <c r="I132" s="230" t="str">
        <f>IF(I$3="","",IF(COUNTIFS(BD!$A$3:$A$5001,I$3,BD!$B$3:$B$5001,$A$113,BD!$AF$3:$AF$5001,"&lt;&gt;")=0,"",SUMIFS(BD!$AF$3:$AF$5001,BD!$A$3:$A$5001,I$3,BD!$B$3:$B$5001,$A$113)))</f>
        <v/>
      </c>
      <c r="J132" s="230" t="str">
        <f>IF(J$3="","",IF(COUNTIFS(BD!$A$3:$A$5001,J$3,BD!$B$3:$B$5001,$A$113,BD!$AF$3:$AF$5001,"&lt;&gt;")=0,"",SUMIFS(BD!$AF$3:$AF$5001,BD!$A$3:$A$5001,J$3,BD!$B$3:$B$5001,$A$113)))</f>
        <v/>
      </c>
      <c r="K132" s="230" t="str">
        <f>IF(K$3="","",IF(COUNTIFS(BD!$A$3:$A$5001,K$3,BD!$B$3:$B$5001,$A$113,BD!$AF$3:$AF$5001,"&lt;&gt;")=0,"",SUMIFS(BD!$AF$3:$AF$5001,BD!$A$3:$A$5001,K$3,BD!$B$3:$B$5001,$A$113)))</f>
        <v/>
      </c>
      <c r="L132" s="230" t="str">
        <f>IF(L$3="","",IF(COUNTIFS(BD!$A$3:$A$5001,L$3,BD!$B$3:$B$5001,$A$113,BD!$AF$3:$AF$5001,"&lt;&gt;")=0,"",SUMIFS(BD!$AF$3:$AF$5001,BD!$A$3:$A$5001,L$3,BD!$B$3:$B$5001,$A$113)))</f>
        <v/>
      </c>
      <c r="M132" s="230" t="str">
        <f>IF(M$3="","",IF(COUNTIFS(BD!$A$3:$A$5001,M$3,BD!$B$3:$B$5001,$A$113,BD!$AF$3:$AF$5001,"&lt;&gt;")=0,"",SUMIFS(BD!$AF$3:$AF$5001,BD!$A$3:$A$5001,M$3,BD!$B$3:$B$5001,$A$113)))</f>
        <v/>
      </c>
      <c r="N132" s="230" t="str">
        <f>IF(N$3="","",IF(COUNTIFS(BD!$A$3:$A$5001,N$3,BD!$B$3:$B$5001,$A$113,BD!$AF$3:$AF$5001,"&lt;&gt;")=0,"",SUMIFS(BD!$AF$3:$AF$5001,BD!$A$3:$A$5001,N$3,BD!$B$3:$B$5001,$A$113)))</f>
        <v/>
      </c>
      <c r="O132" s="230" t="str">
        <f>IF(O$3="","",IF(COUNTIFS(BD!$A$3:$A$5001,O$3,BD!$B$3:$B$5001,$A$113,BD!$AF$3:$AF$5001,"&lt;&gt;")=0,"",SUMIFS(BD!$AF$3:$AF$5001,BD!$A$3:$A$5001,O$3,BD!$B$3:$B$5001,$A$113)))</f>
        <v/>
      </c>
      <c r="P132" s="230" t="str">
        <f>IF(P$3="","",IF(COUNTIFS(BD!$A$3:$A$5001,P$3,BD!$B$3:$B$5001,$A$113,BD!$AF$3:$AF$5001,"&lt;&gt;")=0,"",SUMIFS(BD!$AF$3:$AF$5001,BD!$A$3:$A$5001,P$3,BD!$B$3:$B$5001,$A$113)))</f>
        <v/>
      </c>
      <c r="Q132" s="230" t="str">
        <f>IF(Q$3="","",IF(COUNTIFS(BD!$A$3:$A$5001,Q$3,BD!$B$3:$B$5001,$A$113,BD!$AF$3:$AF$5001,"&lt;&gt;")=0,"",SUMIFS(BD!$AF$3:$AF$5001,BD!$A$3:$A$5001,Q$3,BD!$B$3:$B$5001,$A$113)))</f>
        <v/>
      </c>
      <c r="R132" s="230" t="str">
        <f>IF(R$3="","",IF(COUNTIFS(BD!$A$3:$A$5001,R$3,BD!$B$3:$B$5001,$A$113,BD!$AF$3:$AF$5001,"&lt;&gt;")=0,"",SUMIFS(BD!$AF$3:$AF$5001,BD!$A$3:$A$5001,R$3,BD!$B$3:$B$5001,$A$113)))</f>
        <v/>
      </c>
      <c r="S132" s="230" t="str">
        <f>IF(S$3="","",IF(COUNTIFS(BD!$A$3:$A$5001,S$3,BD!$B$3:$B$5001,$A$113,BD!$AF$3:$AF$5001,"&lt;&gt;")=0,"",SUMIFS(BD!$AF$3:$AF$5001,BD!$A$3:$A$5001,S$3,BD!$B$3:$B$5001,$A$113)))</f>
        <v/>
      </c>
      <c r="T132" s="230" t="str">
        <f>IF(T$3="","",IF(COUNTIFS(BD!$A$3:$A$5001,T$3,BD!$B$3:$B$5001,$A$113,BD!$AF$3:$AF$5001,"&lt;&gt;")=0,"",SUMIFS(BD!$AF$3:$AF$5001,BD!$A$3:$A$5001,T$3,BD!$B$3:$B$5001,$A$113)))</f>
        <v/>
      </c>
      <c r="U132" s="230" t="str">
        <f>IF(U$3="","",IF(COUNTIFS(BD!$A$3:$A$5001,U$3,BD!$B$3:$B$5001,$A$113,BD!$AF$3:$AF$5001,"&lt;&gt;")=0,"",SUMIFS(BD!$AF$3:$AF$5001,BD!$A$3:$A$5001,U$3,BD!$B$3:$B$5001,$A$113)))</f>
        <v/>
      </c>
      <c r="V132" s="230" t="str">
        <f>IF(V$3="","",IF(COUNTIFS(BD!$A$3:$A$5001,V$3,BD!$B$3:$B$5001,$A$113,BD!$AF$3:$AF$5001,"&lt;&gt;")=0,"",SUMIFS(BD!$AF$3:$AF$5001,BD!$A$3:$A$5001,V$3,BD!$B$3:$B$5001,$A$113)))</f>
        <v/>
      </c>
      <c r="W132" s="230" t="str">
        <f>IF(W$3="","",IF(COUNTIFS(BD!$A$3:$A$5001,W$3,BD!$B$3:$B$5001,$A$113,BD!$AF$3:$AF$5001,"&lt;&gt;")=0,"",SUMIFS(BD!$AF$3:$AF$5001,BD!$A$3:$A$5001,W$3,BD!$B$3:$B$5001,$A$113)))</f>
        <v/>
      </c>
      <c r="X132" s="230" t="str">
        <f>IF(X$3="","",IF(COUNTIFS(BD!$A$3:$A$5001,X$3,BD!$B$3:$B$5001,$A$113,BD!$AF$3:$AF$5001,"&lt;&gt;")=0,"",SUMIFS(BD!$AF$3:$AF$5001,BD!$A$3:$A$5001,X$3,BD!$B$3:$B$5001,$A$113)))</f>
        <v/>
      </c>
      <c r="Y132" s="230" t="str">
        <f>IF(Y$3="","",IF(COUNTIFS(BD!$A$3:$A$5001,Y$3,BD!$B$3:$B$5001,$A$113,BD!$AF$3:$AF$5001,"&lt;&gt;")=0,"",SUMIFS(BD!$AF$3:$AF$5001,BD!$A$3:$A$5001,Y$3,BD!$B$3:$B$5001,$A$113)))</f>
        <v/>
      </c>
      <c r="Z132" s="230" t="str">
        <f>IF(Z$3="","",IF(COUNTIFS(BD!$A$3:$A$5001,Z$3,BD!$B$3:$B$5001,$A$113,BD!$AF$3:$AF$5001,"&lt;&gt;")=0,"",SUMIFS(BD!$AF$3:$AF$5001,BD!$A$3:$A$5001,Z$3,BD!$B$3:$B$5001,$A$113)))</f>
        <v/>
      </c>
      <c r="AA132" s="230" t="str">
        <f>IF(AA$3="","",IF(COUNTIFS(BD!$A$3:$A$5001,AA$3,BD!$B$3:$B$5001,$A$113,BD!$AF$3:$AF$5001,"&lt;&gt;")=0,"",SUMIFS(BD!$AF$3:$AF$5001,BD!$A$3:$A$5001,AA$3,BD!$B$3:$B$5001,$A$113)))</f>
        <v/>
      </c>
      <c r="AB132" s="230" t="str">
        <f>IF(AB$3="","",IF(COUNTIFS(BD!$A$3:$A$5001,AB$3,BD!$B$3:$B$5001,$A$113,BD!$AF$3:$AF$5001,"&lt;&gt;")=0,"",SUMIFS(BD!$AF$3:$AF$5001,BD!$A$3:$A$5001,AB$3,BD!$B$3:$B$5001,$A$113)))</f>
        <v/>
      </c>
      <c r="AC132" s="230" t="str">
        <f>IF(AC$3="","",IF(COUNTIFS(BD!$A$3:$A$5001,AC$3,BD!$B$3:$B$5001,$A$113,BD!$AF$3:$AF$5001,"&lt;&gt;")=0,"",SUMIFS(BD!$AF$3:$AF$5001,BD!$A$3:$A$5001,AC$3,BD!$B$3:$B$5001,$A$113)))</f>
        <v/>
      </c>
      <c r="AD132" s="230" t="str">
        <f>IF(AD$3="","",IF(COUNTIFS(BD!$A$3:$A$5001,AD$3,BD!$B$3:$B$5001,$A$113,BD!$AF$3:$AF$5001,"&lt;&gt;")=0,"",SUMIFS(BD!$AF$3:$AF$5001,BD!$A$3:$A$5001,AD$3,BD!$B$3:$B$5001,$A$113)))</f>
        <v/>
      </c>
      <c r="AE132" s="230" t="str">
        <f>IF(AE$3="","",IF(COUNTIFS(BD!$A$3:$A$5001,AE$3,BD!$B$3:$B$5001,$A$113,BD!$AF$3:$AF$5001,"&lt;&gt;")=0,"",SUMIFS(BD!$AF$3:$AF$5001,BD!$A$3:$A$5001,AE$3,BD!$B$3:$B$5001,$A$113)))</f>
        <v/>
      </c>
      <c r="AF132" s="230" t="str">
        <f>IF(AF$3="","",IF(COUNTIFS(BD!$A$3:$A$5001,AF$3,BD!$B$3:$B$5001,$A$113,BD!$AF$3:$AF$5001,"&lt;&gt;")=0,"",SUMIFS(BD!$AF$3:$AF$5001,BD!$A$3:$A$5001,AF$3,BD!$B$3:$B$5001,$A$113)))</f>
        <v/>
      </c>
      <c r="AG132" s="230" t="str">
        <f>IF(AG$3="","",IF(COUNTIFS(BD!$A$3:$A$5001,AG$3,BD!$B$3:$B$5001,$A$113,BD!$AF$3:$AF$5001,"&lt;&gt;")=0,"",SUMIFS(BD!$AF$3:$AF$5001,BD!$A$3:$A$5001,AG$3,BD!$B$3:$B$5001,$A$113)))</f>
        <v/>
      </c>
      <c r="AH132" s="230" t="str">
        <f>IF(AH$3="","",IF(COUNTIFS(BD!$A$3:$A$5001,AH$3,BD!$B$3:$B$5001,$A$113,BD!$AF$3:$AF$5001,"&lt;&gt;")=0,"",SUMIFS(BD!$AF$3:$AF$5001,BD!$A$3:$A$5001,AH$3,BD!$B$3:$B$5001,$A$113)))</f>
        <v/>
      </c>
      <c r="AI132" s="230" t="str">
        <f>IF(AI$3="","",IF(COUNTIFS(BD!$A$3:$A$5001,AI$3,BD!$B$3:$B$5001,$A$113,BD!$AF$3:$AF$5001,"&lt;&gt;")=0,"",SUMIFS(BD!$AF$3:$AF$5001,BD!$A$3:$A$5001,AI$3,BD!$B$3:$B$5001,$A$113)))</f>
        <v/>
      </c>
      <c r="AJ132" s="231" t="str">
        <f>IF(AJ$3="","",IF(COUNTIFS(BD!$A$3:$A$5001,AJ$3,BD!$B$3:$B$5001,$A$113,BD!$AF$3:$AF$5001,"&lt;&gt;")=0,"",SUMIFS(BD!$AF$3:$AF$5001,BD!$A$3:$A$5001,AJ$3,BD!$B$3:$B$5001,$A$113)))</f>
        <v/>
      </c>
      <c r="AK132" s="227" t="str">
        <f>IF(COUNT(F132:AJ132)=0,"",SUM(F132:AJ132))</f>
        <v/>
      </c>
    </row>
    <row r="134" ht="15.75" customHeight="1">
      <c r="A134" s="243" t="inlineStr">
        <is>
          <t xml:space="preserve">Omnilife</t>
        </is>
      </c>
      <c r="B134" s="232" t="inlineStr">
        <is>
          <t xml:space="preserve">IN</t>
        </is>
      </c>
      <c r="C134" s="155" t="inlineStr">
        <is>
          <t xml:space="preserve">Veículos Recebidos</t>
        </is>
      </c>
      <c r="D134" s="156" t="str">
        <f>IFERROR(1/(1/INDEX(BD!$AJ$23:$BD$23,MATCH($A$134,BD!$AJ$22:$BD$22,0))),"")</f>
        <v/>
      </c>
      <c r="E134" s="157"/>
      <c r="F134" s="158" t="str">
        <f>IF(F$3="","",IF(COUNTIFS(BD!$A$3:$A$5001,F$3,BD!$B$3:$B$5001,$A$134,BD!$C$3:$C$5001,"&lt;&gt;")=0,"",SUMIFS(BD!$C$3:$C$5001,BD!$A$3:$A$5001,F$3,BD!$B$3:$B$5001,$A$134)))</f>
        <v/>
      </c>
      <c r="G134" s="159" t="str">
        <f>IF(G$3="","",IF(COUNTIFS(BD!$A$3:$A$5001,G$3,BD!$B$3:$B$5001,$A$134,BD!$C$3:$C$5001,"&lt;&gt;")=0,"",SUMIFS(BD!$C$3:$C$5001,BD!$A$3:$A$5001,G$3,BD!$B$3:$B$5001,$A$134)))</f>
        <v/>
      </c>
      <c r="H134" s="159" t="str">
        <f>IF(H$3="","",IF(COUNTIFS(BD!$A$3:$A$5001,H$3,BD!$B$3:$B$5001,$A$134,BD!$C$3:$C$5001,"&lt;&gt;")=0,"",SUMIFS(BD!$C$3:$C$5001,BD!$A$3:$A$5001,H$3,BD!$B$3:$B$5001,$A$134)))</f>
        <v/>
      </c>
      <c r="I134" s="159" t="str">
        <f>IF(I$3="","",IF(COUNTIFS(BD!$A$3:$A$5001,I$3,BD!$B$3:$B$5001,$A$134,BD!$C$3:$C$5001,"&lt;&gt;")=0,"",SUMIFS(BD!$C$3:$C$5001,BD!$A$3:$A$5001,I$3,BD!$B$3:$B$5001,$A$134)))</f>
        <v/>
      </c>
      <c r="J134" s="159" t="str">
        <f>IF(J$3="","",IF(COUNTIFS(BD!$A$3:$A$5001,J$3,BD!$B$3:$B$5001,$A$134,BD!$C$3:$C$5001,"&lt;&gt;")=0,"",SUMIFS(BD!$C$3:$C$5001,BD!$A$3:$A$5001,J$3,BD!$B$3:$B$5001,$A$134)))</f>
        <v/>
      </c>
      <c r="K134" s="159" t="str">
        <f>IF(K$3="","",IF(COUNTIFS(BD!$A$3:$A$5001,K$3,BD!$B$3:$B$5001,$A$134,BD!$C$3:$C$5001,"&lt;&gt;")=0,"",SUMIFS(BD!$C$3:$C$5001,BD!$A$3:$A$5001,K$3,BD!$B$3:$B$5001,$A$134)))</f>
        <v/>
      </c>
      <c r="L134" s="159" t="str">
        <f>IF(L$3="","",IF(COUNTIFS(BD!$A$3:$A$5001,L$3,BD!$B$3:$B$5001,$A$134,BD!$C$3:$C$5001,"&lt;&gt;")=0,"",SUMIFS(BD!$C$3:$C$5001,BD!$A$3:$A$5001,L$3,BD!$B$3:$B$5001,$A$134)))</f>
        <v/>
      </c>
      <c r="M134" s="159" t="str">
        <f>IF(M$3="","",IF(COUNTIFS(BD!$A$3:$A$5001,M$3,BD!$B$3:$B$5001,$A$134,BD!$C$3:$C$5001,"&lt;&gt;")=0,"",SUMIFS(BD!$C$3:$C$5001,BD!$A$3:$A$5001,M$3,BD!$B$3:$B$5001,$A$134)))</f>
        <v/>
      </c>
      <c r="N134" s="159" t="str">
        <f>IF(N$3="","",IF(COUNTIFS(BD!$A$3:$A$5001,N$3,BD!$B$3:$B$5001,$A$134,BD!$C$3:$C$5001,"&lt;&gt;")=0,"",SUMIFS(BD!$C$3:$C$5001,BD!$A$3:$A$5001,N$3,BD!$B$3:$B$5001,$A$134)))</f>
        <v/>
      </c>
      <c r="O134" s="159" t="str">
        <f>IF(O$3="","",IF(COUNTIFS(BD!$A$3:$A$5001,O$3,BD!$B$3:$B$5001,$A$134,BD!$C$3:$C$5001,"&lt;&gt;")=0,"",SUMIFS(BD!$C$3:$C$5001,BD!$A$3:$A$5001,O$3,BD!$B$3:$B$5001,$A$134)))</f>
        <v/>
      </c>
      <c r="P134" s="159" t="str">
        <f>IF(P$3="","",IF(COUNTIFS(BD!$A$3:$A$5001,P$3,BD!$B$3:$B$5001,$A$134,BD!$C$3:$C$5001,"&lt;&gt;")=0,"",SUMIFS(BD!$C$3:$C$5001,BD!$A$3:$A$5001,P$3,BD!$B$3:$B$5001,$A$134)))</f>
        <v/>
      </c>
      <c r="Q134" s="159" t="str">
        <f>IF(Q$3="","",IF(COUNTIFS(BD!$A$3:$A$5001,Q$3,BD!$B$3:$B$5001,$A$134,BD!$C$3:$C$5001,"&lt;&gt;")=0,"",SUMIFS(BD!$C$3:$C$5001,BD!$A$3:$A$5001,Q$3,BD!$B$3:$B$5001,$A$134)))</f>
        <v/>
      </c>
      <c r="R134" s="159" t="str">
        <f>IF(R$3="","",IF(COUNTIFS(BD!$A$3:$A$5001,R$3,BD!$B$3:$B$5001,$A$134,BD!$C$3:$C$5001,"&lt;&gt;")=0,"",SUMIFS(BD!$C$3:$C$5001,BD!$A$3:$A$5001,R$3,BD!$B$3:$B$5001,$A$134)))</f>
        <v/>
      </c>
      <c r="S134" s="159" t="str">
        <f>IF(S$3="","",IF(COUNTIFS(BD!$A$3:$A$5001,S$3,BD!$B$3:$B$5001,$A$134,BD!$C$3:$C$5001,"&lt;&gt;")=0,"",SUMIFS(BD!$C$3:$C$5001,BD!$A$3:$A$5001,S$3,BD!$B$3:$B$5001,$A$134)))</f>
        <v/>
      </c>
      <c r="T134" s="159" t="str">
        <f>IF(T$3="","",IF(COUNTIFS(BD!$A$3:$A$5001,T$3,BD!$B$3:$B$5001,$A$134,BD!$C$3:$C$5001,"&lt;&gt;")=0,"",SUMIFS(BD!$C$3:$C$5001,BD!$A$3:$A$5001,T$3,BD!$B$3:$B$5001,$A$134)))</f>
        <v/>
      </c>
      <c r="U134" s="159" t="str">
        <f>IF(U$3="","",IF(COUNTIFS(BD!$A$3:$A$5001,U$3,BD!$B$3:$B$5001,$A$134,BD!$C$3:$C$5001,"&lt;&gt;")=0,"",SUMIFS(BD!$C$3:$C$5001,BD!$A$3:$A$5001,U$3,BD!$B$3:$B$5001,$A$134)))</f>
        <v/>
      </c>
      <c r="V134" s="159" t="str">
        <f>IF(V$3="","",IF(COUNTIFS(BD!$A$3:$A$5001,V$3,BD!$B$3:$B$5001,$A$134,BD!$C$3:$C$5001,"&lt;&gt;")=0,"",SUMIFS(BD!$C$3:$C$5001,BD!$A$3:$A$5001,V$3,BD!$B$3:$B$5001,$A$134)))</f>
        <v/>
      </c>
      <c r="W134" s="159" t="str">
        <f>IF(W$3="","",IF(COUNTIFS(BD!$A$3:$A$5001,W$3,BD!$B$3:$B$5001,$A$134,BD!$C$3:$C$5001,"&lt;&gt;")=0,"",SUMIFS(BD!$C$3:$C$5001,BD!$A$3:$A$5001,W$3,BD!$B$3:$B$5001,$A$134)))</f>
        <v/>
      </c>
      <c r="X134" s="159" t="str">
        <f>IF(X$3="","",IF(COUNTIFS(BD!$A$3:$A$5001,X$3,BD!$B$3:$B$5001,$A$134,BD!$C$3:$C$5001,"&lt;&gt;")=0,"",SUMIFS(BD!$C$3:$C$5001,BD!$A$3:$A$5001,X$3,BD!$B$3:$B$5001,$A$134)))</f>
        <v/>
      </c>
      <c r="Y134" s="159" t="str">
        <f>IF(Y$3="","",IF(COUNTIFS(BD!$A$3:$A$5001,Y$3,BD!$B$3:$B$5001,$A$134,BD!$C$3:$C$5001,"&lt;&gt;")=0,"",SUMIFS(BD!$C$3:$C$5001,BD!$A$3:$A$5001,Y$3,BD!$B$3:$B$5001,$A$134)))</f>
        <v/>
      </c>
      <c r="Z134" s="159" t="str">
        <f>IF(Z$3="","",IF(COUNTIFS(BD!$A$3:$A$5001,Z$3,BD!$B$3:$B$5001,$A$134,BD!$C$3:$C$5001,"&lt;&gt;")=0,"",SUMIFS(BD!$C$3:$C$5001,BD!$A$3:$A$5001,Z$3,BD!$B$3:$B$5001,$A$134)))</f>
        <v/>
      </c>
      <c r="AA134" s="159" t="str">
        <f>IF(AA$3="","",IF(COUNTIFS(BD!$A$3:$A$5001,AA$3,BD!$B$3:$B$5001,$A$134,BD!$C$3:$C$5001,"&lt;&gt;")=0,"",SUMIFS(BD!$C$3:$C$5001,BD!$A$3:$A$5001,AA$3,BD!$B$3:$B$5001,$A$134)))</f>
        <v/>
      </c>
      <c r="AB134" s="159" t="str">
        <f>IF(AB$3="","",IF(COUNTIFS(BD!$A$3:$A$5001,AB$3,BD!$B$3:$B$5001,$A$134,BD!$C$3:$C$5001,"&lt;&gt;")=0,"",SUMIFS(BD!$C$3:$C$5001,BD!$A$3:$A$5001,AB$3,BD!$B$3:$B$5001,$A$134)))</f>
        <v/>
      </c>
      <c r="AC134" s="159" t="str">
        <f>IF(AC$3="","",IF(COUNTIFS(BD!$A$3:$A$5001,AC$3,BD!$B$3:$B$5001,$A$134,BD!$C$3:$C$5001,"&lt;&gt;")=0,"",SUMIFS(BD!$C$3:$C$5001,BD!$A$3:$A$5001,AC$3,BD!$B$3:$B$5001,$A$134)))</f>
        <v/>
      </c>
      <c r="AD134" s="159" t="str">
        <f>IF(AD$3="","",IF(COUNTIFS(BD!$A$3:$A$5001,AD$3,BD!$B$3:$B$5001,$A$134,BD!$C$3:$C$5001,"&lt;&gt;")=0,"",SUMIFS(BD!$C$3:$C$5001,BD!$A$3:$A$5001,AD$3,BD!$B$3:$B$5001,$A$134)))</f>
        <v/>
      </c>
      <c r="AE134" s="159" t="str">
        <f>IF(AE$3="","",IF(COUNTIFS(BD!$A$3:$A$5001,AE$3,BD!$B$3:$B$5001,$A$134,BD!$C$3:$C$5001,"&lt;&gt;")=0,"",SUMIFS(BD!$C$3:$C$5001,BD!$A$3:$A$5001,AE$3,BD!$B$3:$B$5001,$A$134)))</f>
        <v/>
      </c>
      <c r="AF134" s="159" t="str">
        <f>IF(AF$3="","",IF(COUNTIFS(BD!$A$3:$A$5001,AF$3,BD!$B$3:$B$5001,$A$134,BD!$C$3:$C$5001,"&lt;&gt;")=0,"",SUMIFS(BD!$C$3:$C$5001,BD!$A$3:$A$5001,AF$3,BD!$B$3:$B$5001,$A$134)))</f>
        <v/>
      </c>
      <c r="AG134" s="159" t="str">
        <f>IF(AG$3="","",IF(COUNTIFS(BD!$A$3:$A$5001,AG$3,BD!$B$3:$B$5001,$A$134,BD!$C$3:$C$5001,"&lt;&gt;")=0,"",SUMIFS(BD!$C$3:$C$5001,BD!$A$3:$A$5001,AG$3,BD!$B$3:$B$5001,$A$134)))</f>
        <v/>
      </c>
      <c r="AH134" s="159" t="str">
        <f>IF(AH$3="","",IF(COUNTIFS(BD!$A$3:$A$5001,AH$3,BD!$B$3:$B$5001,$A$134,BD!$C$3:$C$5001,"&lt;&gt;")=0,"",SUMIFS(BD!$C$3:$C$5001,BD!$A$3:$A$5001,AH$3,BD!$B$3:$B$5001,$A$134)))</f>
        <v/>
      </c>
      <c r="AI134" s="159" t="str">
        <f>IF(AI$3="","",IF(COUNTIFS(BD!$A$3:$A$5001,AI$3,BD!$B$3:$B$5001,$A$134,BD!$C$3:$C$5001,"&lt;&gt;")=0,"",SUMIFS(BD!$C$3:$C$5001,BD!$A$3:$A$5001,AI$3,BD!$B$3:$B$5001,$A$134)))</f>
        <v/>
      </c>
      <c r="AJ134" s="160" t="str">
        <f>IF(AJ$3="","",IF(COUNTIFS(BD!$A$3:$A$5001,AJ$3,BD!$B$3:$B$5001,$A$134,BD!$C$3:$C$5001,"&lt;&gt;")=0,"",SUMIFS(BD!$C$3:$C$5001,BD!$A$3:$A$5001,AJ$3,BD!$B$3:$B$5001,$A$134)))</f>
        <v/>
      </c>
      <c r="AK134" s="161" t="str">
        <f>IF(COUNT(F134:AJ134)=0,"",SUM(F134:AJ134))</f>
        <v/>
      </c>
    </row>
    <row r="135" ht="15.75" customHeight="1">
      <c r="A135" s="244"/>
      <c r="B135" s="233"/>
      <c r="C135" s="162" t="inlineStr">
        <is>
          <t xml:space="preserve">Pallets Movimentados</t>
        </is>
      </c>
      <c r="D135" s="163" t="str">
        <f>IFERROR(1/(1/INDEX(BD!$AJ$24:$BD$24,MATCH($A$134,BD!$AJ$22:$BD$22,0))),"")</f>
        <v/>
      </c>
      <c r="E135" s="164"/>
      <c r="F135" s="165" t="str">
        <f>IF(F$3="","",IF(COUNTIFS(BD!$A$3:$A$5001,F$3,BD!$B$3:$B$5001,$A$134,BD!$D$3:$D$5001,"&lt;&gt;")=0,"",SUMIFS(BD!$D$3:$D$5001,BD!$A$3:$A$5001,F$3,BD!$B$3:$B$5001,$A$134)))</f>
        <v/>
      </c>
      <c r="G135" s="166" t="str">
        <f>IF(G$3="","",IF(COUNTIFS(BD!$A$3:$A$5001,G$3,BD!$B$3:$B$5001,$A$134,BD!$D$3:$D$5001,"&lt;&gt;")=0,"",SUMIFS(BD!$D$3:$D$5001,BD!$A$3:$A$5001,G$3,BD!$B$3:$B$5001,$A$134)))</f>
        <v/>
      </c>
      <c r="H135" s="166" t="str">
        <f>IF(H$3="","",IF(COUNTIFS(BD!$A$3:$A$5001,H$3,BD!$B$3:$B$5001,$A$134,BD!$D$3:$D$5001,"&lt;&gt;")=0,"",SUMIFS(BD!$D$3:$D$5001,BD!$A$3:$A$5001,H$3,BD!$B$3:$B$5001,$A$134)))</f>
        <v/>
      </c>
      <c r="I135" s="166" t="str">
        <f>IF(I$3="","",IF(COUNTIFS(BD!$A$3:$A$5001,I$3,BD!$B$3:$B$5001,$A$134,BD!$D$3:$D$5001,"&lt;&gt;")=0,"",SUMIFS(BD!$D$3:$D$5001,BD!$A$3:$A$5001,I$3,BD!$B$3:$B$5001,$A$134)))</f>
        <v/>
      </c>
      <c r="J135" s="166" t="str">
        <f>IF(J$3="","",IF(COUNTIFS(BD!$A$3:$A$5001,J$3,BD!$B$3:$B$5001,$A$134,BD!$D$3:$D$5001,"&lt;&gt;")=0,"",SUMIFS(BD!$D$3:$D$5001,BD!$A$3:$A$5001,J$3,BD!$B$3:$B$5001,$A$134)))</f>
        <v/>
      </c>
      <c r="K135" s="166" t="str">
        <f>IF(K$3="","",IF(COUNTIFS(BD!$A$3:$A$5001,K$3,BD!$B$3:$B$5001,$A$134,BD!$D$3:$D$5001,"&lt;&gt;")=0,"",SUMIFS(BD!$D$3:$D$5001,BD!$A$3:$A$5001,K$3,BD!$B$3:$B$5001,$A$134)))</f>
        <v/>
      </c>
      <c r="L135" s="166" t="str">
        <f>IF(L$3="","",IF(COUNTIFS(BD!$A$3:$A$5001,L$3,BD!$B$3:$B$5001,$A$134,BD!$D$3:$D$5001,"&lt;&gt;")=0,"",SUMIFS(BD!$D$3:$D$5001,BD!$A$3:$A$5001,L$3,BD!$B$3:$B$5001,$A$134)))</f>
        <v/>
      </c>
      <c r="M135" s="166" t="str">
        <f>IF(M$3="","",IF(COUNTIFS(BD!$A$3:$A$5001,M$3,BD!$B$3:$B$5001,$A$134,BD!$D$3:$D$5001,"&lt;&gt;")=0,"",SUMIFS(BD!$D$3:$D$5001,BD!$A$3:$A$5001,M$3,BD!$B$3:$B$5001,$A$134)))</f>
        <v/>
      </c>
      <c r="N135" s="166" t="str">
        <f>IF(N$3="","",IF(COUNTIFS(BD!$A$3:$A$5001,N$3,BD!$B$3:$B$5001,$A$134,BD!$D$3:$D$5001,"&lt;&gt;")=0,"",SUMIFS(BD!$D$3:$D$5001,BD!$A$3:$A$5001,N$3,BD!$B$3:$B$5001,$A$134)))</f>
        <v/>
      </c>
      <c r="O135" s="166" t="str">
        <f>IF(O$3="","",IF(COUNTIFS(BD!$A$3:$A$5001,O$3,BD!$B$3:$B$5001,$A$134,BD!$D$3:$D$5001,"&lt;&gt;")=0,"",SUMIFS(BD!$D$3:$D$5001,BD!$A$3:$A$5001,O$3,BD!$B$3:$B$5001,$A$134)))</f>
        <v/>
      </c>
      <c r="P135" s="166" t="str">
        <f>IF(P$3="","",IF(COUNTIFS(BD!$A$3:$A$5001,P$3,BD!$B$3:$B$5001,$A$134,BD!$D$3:$D$5001,"&lt;&gt;")=0,"",SUMIFS(BD!$D$3:$D$5001,BD!$A$3:$A$5001,P$3,BD!$B$3:$B$5001,$A$134)))</f>
        <v/>
      </c>
      <c r="Q135" s="166" t="str">
        <f>IF(Q$3="","",IF(COUNTIFS(BD!$A$3:$A$5001,Q$3,BD!$B$3:$B$5001,$A$134,BD!$D$3:$D$5001,"&lt;&gt;")=0,"",SUMIFS(BD!$D$3:$D$5001,BD!$A$3:$A$5001,Q$3,BD!$B$3:$B$5001,$A$134)))</f>
        <v/>
      </c>
      <c r="R135" s="166" t="str">
        <f>IF(R$3="","",IF(COUNTIFS(BD!$A$3:$A$5001,R$3,BD!$B$3:$B$5001,$A$134,BD!$D$3:$D$5001,"&lt;&gt;")=0,"",SUMIFS(BD!$D$3:$D$5001,BD!$A$3:$A$5001,R$3,BD!$B$3:$B$5001,$A$134)))</f>
        <v/>
      </c>
      <c r="S135" s="166" t="str">
        <f>IF(S$3="","",IF(COUNTIFS(BD!$A$3:$A$5001,S$3,BD!$B$3:$B$5001,$A$134,BD!$D$3:$D$5001,"&lt;&gt;")=0,"",SUMIFS(BD!$D$3:$D$5001,BD!$A$3:$A$5001,S$3,BD!$B$3:$B$5001,$A$134)))</f>
        <v/>
      </c>
      <c r="T135" s="166" t="str">
        <f>IF(T$3="","",IF(COUNTIFS(BD!$A$3:$A$5001,T$3,BD!$B$3:$B$5001,$A$134,BD!$D$3:$D$5001,"&lt;&gt;")=0,"",SUMIFS(BD!$D$3:$D$5001,BD!$A$3:$A$5001,T$3,BD!$B$3:$B$5001,$A$134)))</f>
        <v/>
      </c>
      <c r="U135" s="166" t="str">
        <f>IF(U$3="","",IF(COUNTIFS(BD!$A$3:$A$5001,U$3,BD!$B$3:$B$5001,$A$134,BD!$D$3:$D$5001,"&lt;&gt;")=0,"",SUMIFS(BD!$D$3:$D$5001,BD!$A$3:$A$5001,U$3,BD!$B$3:$B$5001,$A$134)))</f>
        <v/>
      </c>
      <c r="V135" s="166" t="str">
        <f>IF(V$3="","",IF(COUNTIFS(BD!$A$3:$A$5001,V$3,BD!$B$3:$B$5001,$A$134,BD!$D$3:$D$5001,"&lt;&gt;")=0,"",SUMIFS(BD!$D$3:$D$5001,BD!$A$3:$A$5001,V$3,BD!$B$3:$B$5001,$A$134)))</f>
        <v/>
      </c>
      <c r="W135" s="166" t="str">
        <f>IF(W$3="","",IF(COUNTIFS(BD!$A$3:$A$5001,W$3,BD!$B$3:$B$5001,$A$134,BD!$D$3:$D$5001,"&lt;&gt;")=0,"",SUMIFS(BD!$D$3:$D$5001,BD!$A$3:$A$5001,W$3,BD!$B$3:$B$5001,$A$134)))</f>
        <v/>
      </c>
      <c r="X135" s="166" t="str">
        <f>IF(X$3="","",IF(COUNTIFS(BD!$A$3:$A$5001,X$3,BD!$B$3:$B$5001,$A$134,BD!$D$3:$D$5001,"&lt;&gt;")=0,"",SUMIFS(BD!$D$3:$D$5001,BD!$A$3:$A$5001,X$3,BD!$B$3:$B$5001,$A$134)))</f>
        <v/>
      </c>
      <c r="Y135" s="166" t="str">
        <f>IF(Y$3="","",IF(COUNTIFS(BD!$A$3:$A$5001,Y$3,BD!$B$3:$B$5001,$A$134,BD!$D$3:$D$5001,"&lt;&gt;")=0,"",SUMIFS(BD!$D$3:$D$5001,BD!$A$3:$A$5001,Y$3,BD!$B$3:$B$5001,$A$134)))</f>
        <v/>
      </c>
      <c r="Z135" s="166" t="str">
        <f>IF(Z$3="","",IF(COUNTIFS(BD!$A$3:$A$5001,Z$3,BD!$B$3:$B$5001,$A$134,BD!$D$3:$D$5001,"&lt;&gt;")=0,"",SUMIFS(BD!$D$3:$D$5001,BD!$A$3:$A$5001,Z$3,BD!$B$3:$B$5001,$A$134)))</f>
        <v/>
      </c>
      <c r="AA135" s="166" t="str">
        <f>IF(AA$3="","",IF(COUNTIFS(BD!$A$3:$A$5001,AA$3,BD!$B$3:$B$5001,$A$134,BD!$D$3:$D$5001,"&lt;&gt;")=0,"",SUMIFS(BD!$D$3:$D$5001,BD!$A$3:$A$5001,AA$3,BD!$B$3:$B$5001,$A$134)))</f>
        <v/>
      </c>
      <c r="AB135" s="166" t="str">
        <f>IF(AB$3="","",IF(COUNTIFS(BD!$A$3:$A$5001,AB$3,BD!$B$3:$B$5001,$A$134,BD!$D$3:$D$5001,"&lt;&gt;")=0,"",SUMIFS(BD!$D$3:$D$5001,BD!$A$3:$A$5001,AB$3,BD!$B$3:$B$5001,$A$134)))</f>
        <v/>
      </c>
      <c r="AC135" s="166" t="str">
        <f>IF(AC$3="","",IF(COUNTIFS(BD!$A$3:$A$5001,AC$3,BD!$B$3:$B$5001,$A$134,BD!$D$3:$D$5001,"&lt;&gt;")=0,"",SUMIFS(BD!$D$3:$D$5001,BD!$A$3:$A$5001,AC$3,BD!$B$3:$B$5001,$A$134)))</f>
        <v/>
      </c>
      <c r="AD135" s="166" t="str">
        <f>IF(AD$3="","",IF(COUNTIFS(BD!$A$3:$A$5001,AD$3,BD!$B$3:$B$5001,$A$134,BD!$D$3:$D$5001,"&lt;&gt;")=0,"",SUMIFS(BD!$D$3:$D$5001,BD!$A$3:$A$5001,AD$3,BD!$B$3:$B$5001,$A$134)))</f>
        <v/>
      </c>
      <c r="AE135" s="166" t="str">
        <f>IF(AE$3="","",IF(COUNTIFS(BD!$A$3:$A$5001,AE$3,BD!$B$3:$B$5001,$A$134,BD!$D$3:$D$5001,"&lt;&gt;")=0,"",SUMIFS(BD!$D$3:$D$5001,BD!$A$3:$A$5001,AE$3,BD!$B$3:$B$5001,$A$134)))</f>
        <v/>
      </c>
      <c r="AF135" s="166" t="str">
        <f>IF(AF$3="","",IF(COUNTIFS(BD!$A$3:$A$5001,AF$3,BD!$B$3:$B$5001,$A$134,BD!$D$3:$D$5001,"&lt;&gt;")=0,"",SUMIFS(BD!$D$3:$D$5001,BD!$A$3:$A$5001,AF$3,BD!$B$3:$B$5001,$A$134)))</f>
        <v/>
      </c>
      <c r="AG135" s="166" t="str">
        <f>IF(AG$3="","",IF(COUNTIFS(BD!$A$3:$A$5001,AG$3,BD!$B$3:$B$5001,$A$134,BD!$D$3:$D$5001,"&lt;&gt;")=0,"",SUMIFS(BD!$D$3:$D$5001,BD!$A$3:$A$5001,AG$3,BD!$B$3:$B$5001,$A$134)))</f>
        <v/>
      </c>
      <c r="AH135" s="166" t="str">
        <f>IF(AH$3="","",IF(COUNTIFS(BD!$A$3:$A$5001,AH$3,BD!$B$3:$B$5001,$A$134,BD!$D$3:$D$5001,"&lt;&gt;")=0,"",SUMIFS(BD!$D$3:$D$5001,BD!$A$3:$A$5001,AH$3,BD!$B$3:$B$5001,$A$134)))</f>
        <v/>
      </c>
      <c r="AI135" s="166" t="str">
        <f>IF(AI$3="","",IF(COUNTIFS(BD!$A$3:$A$5001,AI$3,BD!$B$3:$B$5001,$A$134,BD!$D$3:$D$5001,"&lt;&gt;")=0,"",SUMIFS(BD!$D$3:$D$5001,BD!$A$3:$A$5001,AI$3,BD!$B$3:$B$5001,$A$134)))</f>
        <v/>
      </c>
      <c r="AJ135" s="167" t="str">
        <f>IF(AJ$3="","",IF(COUNTIFS(BD!$A$3:$A$5001,AJ$3,BD!$B$3:$B$5001,$A$134,BD!$D$3:$D$5001,"&lt;&gt;")=0,"",SUMIFS(BD!$D$3:$D$5001,BD!$A$3:$A$5001,AJ$3,BD!$B$3:$B$5001,$A$134)))</f>
        <v/>
      </c>
      <c r="AK135" s="163" t="str">
        <f>IF(COUNT(F135:AJ135)=0,"",SUM(F135:AJ135))</f>
        <v/>
      </c>
    </row>
    <row r="136" ht="15.75" customHeight="1">
      <c r="A136" s="244"/>
      <c r="B136" s="234" t="inlineStr">
        <is>
          <t xml:space="preserve">OUT</t>
        </is>
      </c>
      <c r="C136" s="168" t="inlineStr">
        <is>
          <t xml:space="preserve">Veículos Expedidos</t>
        </is>
      </c>
      <c r="D136" s="169" t="str">
        <f>IFERROR(1/(1/INDEX(BD!$AJ$32:$BD$32,MATCH($A$134,BD!$AJ$22:$BD$22,0))),"")</f>
        <v/>
      </c>
      <c r="E136" s="170"/>
      <c r="F136" s="171" t="str">
        <f>IF(F$3="","",IF(COUNTIFS(BD!$A$3:$A$5001,F$3,BD!$B$3:$B$5001,$A$134,BD!$L$3:$L$5001,"&lt;&gt;")=0,"",SUMIFS(BD!$L$3:$L$5001,BD!$A$3:$A$5001,F$3,BD!$B$3:$B$5001,$A$134)))</f>
        <v/>
      </c>
      <c r="G136" s="172" t="str">
        <f>IF(G$3="","",IF(COUNTIFS(BD!$A$3:$A$5001,G$3,BD!$B$3:$B$5001,$A$134,BD!$L$3:$L$5001,"&lt;&gt;")=0,"",SUMIFS(BD!$L$3:$L$5001,BD!$A$3:$A$5001,G$3,BD!$B$3:$B$5001,$A$134)))</f>
        <v/>
      </c>
      <c r="H136" s="172" t="str">
        <f>IF(H$3="","",IF(COUNTIFS(BD!$A$3:$A$5001,H$3,BD!$B$3:$B$5001,$A$134,BD!$L$3:$L$5001,"&lt;&gt;")=0,"",SUMIFS(BD!$L$3:$L$5001,BD!$A$3:$A$5001,H$3,BD!$B$3:$B$5001,$A$134)))</f>
        <v/>
      </c>
      <c r="I136" s="172" t="str">
        <f>IF(I$3="","",IF(COUNTIFS(BD!$A$3:$A$5001,I$3,BD!$B$3:$B$5001,$A$134,BD!$L$3:$L$5001,"&lt;&gt;")=0,"",SUMIFS(BD!$L$3:$L$5001,BD!$A$3:$A$5001,I$3,BD!$B$3:$B$5001,$A$134)))</f>
        <v/>
      </c>
      <c r="J136" s="172" t="str">
        <f>IF(J$3="","",IF(COUNTIFS(BD!$A$3:$A$5001,J$3,BD!$B$3:$B$5001,$A$134,BD!$L$3:$L$5001,"&lt;&gt;")=0,"",SUMIFS(BD!$L$3:$L$5001,BD!$A$3:$A$5001,J$3,BD!$B$3:$B$5001,$A$134)))</f>
        <v/>
      </c>
      <c r="K136" s="172" t="str">
        <f>IF(K$3="","",IF(COUNTIFS(BD!$A$3:$A$5001,K$3,BD!$B$3:$B$5001,$A$134,BD!$L$3:$L$5001,"&lt;&gt;")=0,"",SUMIFS(BD!$L$3:$L$5001,BD!$A$3:$A$5001,K$3,BD!$B$3:$B$5001,$A$134)))</f>
        <v/>
      </c>
      <c r="L136" s="172" t="str">
        <f>IF(L$3="","",IF(COUNTIFS(BD!$A$3:$A$5001,L$3,BD!$B$3:$B$5001,$A$134,BD!$L$3:$L$5001,"&lt;&gt;")=0,"",SUMIFS(BD!$L$3:$L$5001,BD!$A$3:$A$5001,L$3,BD!$B$3:$B$5001,$A$134)))</f>
        <v/>
      </c>
      <c r="M136" s="172" t="str">
        <f>IF(M$3="","",IF(COUNTIFS(BD!$A$3:$A$5001,M$3,BD!$B$3:$B$5001,$A$134,BD!$L$3:$L$5001,"&lt;&gt;")=0,"",SUMIFS(BD!$L$3:$L$5001,BD!$A$3:$A$5001,M$3,BD!$B$3:$B$5001,$A$134)))</f>
        <v/>
      </c>
      <c r="N136" s="172" t="str">
        <f>IF(N$3="","",IF(COUNTIFS(BD!$A$3:$A$5001,N$3,BD!$B$3:$B$5001,$A$134,BD!$L$3:$L$5001,"&lt;&gt;")=0,"",SUMIFS(BD!$L$3:$L$5001,BD!$A$3:$A$5001,N$3,BD!$B$3:$B$5001,$A$134)))</f>
        <v/>
      </c>
      <c r="O136" s="172" t="str">
        <f>IF(O$3="","",IF(COUNTIFS(BD!$A$3:$A$5001,O$3,BD!$B$3:$B$5001,$A$134,BD!$L$3:$L$5001,"&lt;&gt;")=0,"",SUMIFS(BD!$L$3:$L$5001,BD!$A$3:$A$5001,O$3,BD!$B$3:$B$5001,$A$134)))</f>
        <v/>
      </c>
      <c r="P136" s="172" t="str">
        <f>IF(P$3="","",IF(COUNTIFS(BD!$A$3:$A$5001,P$3,BD!$B$3:$B$5001,$A$134,BD!$L$3:$L$5001,"&lt;&gt;")=0,"",SUMIFS(BD!$L$3:$L$5001,BD!$A$3:$A$5001,P$3,BD!$B$3:$B$5001,$A$134)))</f>
        <v/>
      </c>
      <c r="Q136" s="172" t="str">
        <f>IF(Q$3="","",IF(COUNTIFS(BD!$A$3:$A$5001,Q$3,BD!$B$3:$B$5001,$A$134,BD!$L$3:$L$5001,"&lt;&gt;")=0,"",SUMIFS(BD!$L$3:$L$5001,BD!$A$3:$A$5001,Q$3,BD!$B$3:$B$5001,$A$134)))</f>
        <v/>
      </c>
      <c r="R136" s="172" t="str">
        <f>IF(R$3="","",IF(COUNTIFS(BD!$A$3:$A$5001,R$3,BD!$B$3:$B$5001,$A$134,BD!$L$3:$L$5001,"&lt;&gt;")=0,"",SUMIFS(BD!$L$3:$L$5001,BD!$A$3:$A$5001,R$3,BD!$B$3:$B$5001,$A$134)))</f>
        <v/>
      </c>
      <c r="S136" s="172" t="str">
        <f>IF(S$3="","",IF(COUNTIFS(BD!$A$3:$A$5001,S$3,BD!$B$3:$B$5001,$A$134,BD!$L$3:$L$5001,"&lt;&gt;")=0,"",SUMIFS(BD!$L$3:$L$5001,BD!$A$3:$A$5001,S$3,BD!$B$3:$B$5001,$A$134)))</f>
        <v/>
      </c>
      <c r="T136" s="172" t="str">
        <f>IF(T$3="","",IF(COUNTIFS(BD!$A$3:$A$5001,T$3,BD!$B$3:$B$5001,$A$134,BD!$L$3:$L$5001,"&lt;&gt;")=0,"",SUMIFS(BD!$L$3:$L$5001,BD!$A$3:$A$5001,T$3,BD!$B$3:$B$5001,$A$134)))</f>
        <v/>
      </c>
      <c r="U136" s="172" t="str">
        <f>IF(U$3="","",IF(COUNTIFS(BD!$A$3:$A$5001,U$3,BD!$B$3:$B$5001,$A$134,BD!$L$3:$L$5001,"&lt;&gt;")=0,"",SUMIFS(BD!$L$3:$L$5001,BD!$A$3:$A$5001,U$3,BD!$B$3:$B$5001,$A$134)))</f>
        <v/>
      </c>
      <c r="V136" s="172" t="str">
        <f>IF(V$3="","",IF(COUNTIFS(BD!$A$3:$A$5001,V$3,BD!$B$3:$B$5001,$A$134,BD!$L$3:$L$5001,"&lt;&gt;")=0,"",SUMIFS(BD!$L$3:$L$5001,BD!$A$3:$A$5001,V$3,BD!$B$3:$B$5001,$A$134)))</f>
        <v/>
      </c>
      <c r="W136" s="172" t="str">
        <f>IF(W$3="","",IF(COUNTIFS(BD!$A$3:$A$5001,W$3,BD!$B$3:$B$5001,$A$134,BD!$L$3:$L$5001,"&lt;&gt;")=0,"",SUMIFS(BD!$L$3:$L$5001,BD!$A$3:$A$5001,W$3,BD!$B$3:$B$5001,$A$134)))</f>
        <v/>
      </c>
      <c r="X136" s="172" t="str">
        <f>IF(X$3="","",IF(COUNTIFS(BD!$A$3:$A$5001,X$3,BD!$B$3:$B$5001,$A$134,BD!$L$3:$L$5001,"&lt;&gt;")=0,"",SUMIFS(BD!$L$3:$L$5001,BD!$A$3:$A$5001,X$3,BD!$B$3:$B$5001,$A$134)))</f>
        <v/>
      </c>
      <c r="Y136" s="172" t="str">
        <f>IF(Y$3="","",IF(COUNTIFS(BD!$A$3:$A$5001,Y$3,BD!$B$3:$B$5001,$A$134,BD!$L$3:$L$5001,"&lt;&gt;")=0,"",SUMIFS(BD!$L$3:$L$5001,BD!$A$3:$A$5001,Y$3,BD!$B$3:$B$5001,$A$134)))</f>
        <v/>
      </c>
      <c r="Z136" s="172" t="str">
        <f>IF(Z$3="","",IF(COUNTIFS(BD!$A$3:$A$5001,Z$3,BD!$B$3:$B$5001,$A$134,BD!$L$3:$L$5001,"&lt;&gt;")=0,"",SUMIFS(BD!$L$3:$L$5001,BD!$A$3:$A$5001,Z$3,BD!$B$3:$B$5001,$A$134)))</f>
        <v/>
      </c>
      <c r="AA136" s="172" t="str">
        <f>IF(AA$3="","",IF(COUNTIFS(BD!$A$3:$A$5001,AA$3,BD!$B$3:$B$5001,$A$134,BD!$L$3:$L$5001,"&lt;&gt;")=0,"",SUMIFS(BD!$L$3:$L$5001,BD!$A$3:$A$5001,AA$3,BD!$B$3:$B$5001,$A$134)))</f>
        <v/>
      </c>
      <c r="AB136" s="172" t="str">
        <f>IF(AB$3="","",IF(COUNTIFS(BD!$A$3:$A$5001,AB$3,BD!$B$3:$B$5001,$A$134,BD!$L$3:$L$5001,"&lt;&gt;")=0,"",SUMIFS(BD!$L$3:$L$5001,BD!$A$3:$A$5001,AB$3,BD!$B$3:$B$5001,$A$134)))</f>
        <v/>
      </c>
      <c r="AC136" s="172" t="str">
        <f>IF(AC$3="","",IF(COUNTIFS(BD!$A$3:$A$5001,AC$3,BD!$B$3:$B$5001,$A$134,BD!$L$3:$L$5001,"&lt;&gt;")=0,"",SUMIFS(BD!$L$3:$L$5001,BD!$A$3:$A$5001,AC$3,BD!$B$3:$B$5001,$A$134)))</f>
        <v/>
      </c>
      <c r="AD136" s="172" t="str">
        <f>IF(AD$3="","",IF(COUNTIFS(BD!$A$3:$A$5001,AD$3,BD!$B$3:$B$5001,$A$134,BD!$L$3:$L$5001,"&lt;&gt;")=0,"",SUMIFS(BD!$L$3:$L$5001,BD!$A$3:$A$5001,AD$3,BD!$B$3:$B$5001,$A$134)))</f>
        <v/>
      </c>
      <c r="AE136" s="172" t="str">
        <f>IF(AE$3="","",IF(COUNTIFS(BD!$A$3:$A$5001,AE$3,BD!$B$3:$B$5001,$A$134,BD!$L$3:$L$5001,"&lt;&gt;")=0,"",SUMIFS(BD!$L$3:$L$5001,BD!$A$3:$A$5001,AE$3,BD!$B$3:$B$5001,$A$134)))</f>
        <v/>
      </c>
      <c r="AF136" s="172" t="str">
        <f>IF(AF$3="","",IF(COUNTIFS(BD!$A$3:$A$5001,AF$3,BD!$B$3:$B$5001,$A$134,BD!$L$3:$L$5001,"&lt;&gt;")=0,"",SUMIFS(BD!$L$3:$L$5001,BD!$A$3:$A$5001,AF$3,BD!$B$3:$B$5001,$A$134)))</f>
        <v/>
      </c>
      <c r="AG136" s="172" t="str">
        <f>IF(AG$3="","",IF(COUNTIFS(BD!$A$3:$A$5001,AG$3,BD!$B$3:$B$5001,$A$134,BD!$L$3:$L$5001,"&lt;&gt;")=0,"",SUMIFS(BD!$L$3:$L$5001,BD!$A$3:$A$5001,AG$3,BD!$B$3:$B$5001,$A$134)))</f>
        <v/>
      </c>
      <c r="AH136" s="172" t="str">
        <f>IF(AH$3="","",IF(COUNTIFS(BD!$A$3:$A$5001,AH$3,BD!$B$3:$B$5001,$A$134,BD!$L$3:$L$5001,"&lt;&gt;")=0,"",SUMIFS(BD!$L$3:$L$5001,BD!$A$3:$A$5001,AH$3,BD!$B$3:$B$5001,$A$134)))</f>
        <v/>
      </c>
      <c r="AI136" s="172" t="str">
        <f>IF(AI$3="","",IF(COUNTIFS(BD!$A$3:$A$5001,AI$3,BD!$B$3:$B$5001,$A$134,BD!$L$3:$L$5001,"&lt;&gt;")=0,"",SUMIFS(BD!$L$3:$L$5001,BD!$A$3:$A$5001,AI$3,BD!$B$3:$B$5001,$A$134)))</f>
        <v/>
      </c>
      <c r="AJ136" s="173" t="str">
        <f>IF(AJ$3="","",IF(COUNTIFS(BD!$A$3:$A$5001,AJ$3,BD!$B$3:$B$5001,$A$134,BD!$L$3:$L$5001,"&lt;&gt;")=0,"",SUMIFS(BD!$L$3:$L$5001,BD!$A$3:$A$5001,AJ$3,BD!$B$3:$B$5001,$A$134)))</f>
        <v/>
      </c>
      <c r="AK136" s="174" t="str">
        <f>IF(COUNT(F136:AJ136)=0,"",SUM(F136:AJ136))</f>
        <v/>
      </c>
    </row>
    <row r="137" ht="15.75" customHeight="1">
      <c r="A137" s="244"/>
      <c r="B137" s="235"/>
      <c r="C137" s="175" t="inlineStr">
        <is>
          <t xml:space="preserve">Pallets Movimentados</t>
        </is>
      </c>
      <c r="D137" s="176" t="str">
        <f>IFERROR(1/(1/INDEX(BD!$AJ$38:$BD$38,MATCH($A$134,BD!$AJ$22:$BD$22,0))),"")</f>
        <v/>
      </c>
      <c r="E137" s="177"/>
      <c r="F137" s="178" t="str">
        <f>IF(F$3="","",IF(COUNTIFS(BD!$A$3:$A$5001,F$3,BD!$B$3:$B$5001,$A$134,BD!$R$3:$R$5001,"&lt;&gt;")=0,"",SUMIFS(BD!$R$3:$R$5001,BD!$A$3:$A$5001,F$3,BD!$B$3:$B$5001,$A$134)))</f>
        <v/>
      </c>
      <c r="G137" s="179" t="str">
        <f>IF(G$3="","",IF(COUNTIFS(BD!$A$3:$A$5001,G$3,BD!$B$3:$B$5001,$A$134,BD!$R$3:$R$5001,"&lt;&gt;")=0,"",SUMIFS(BD!$R$3:$R$5001,BD!$A$3:$A$5001,G$3,BD!$B$3:$B$5001,$A$134)))</f>
        <v/>
      </c>
      <c r="H137" s="179" t="str">
        <f>IF(H$3="","",IF(COUNTIFS(BD!$A$3:$A$5001,H$3,BD!$B$3:$B$5001,$A$134,BD!$R$3:$R$5001,"&lt;&gt;")=0,"",SUMIFS(BD!$R$3:$R$5001,BD!$A$3:$A$5001,H$3,BD!$B$3:$B$5001,$A$134)))</f>
        <v/>
      </c>
      <c r="I137" s="179" t="str">
        <f>IF(I$3="","",IF(COUNTIFS(BD!$A$3:$A$5001,I$3,BD!$B$3:$B$5001,$A$134,BD!$R$3:$R$5001,"&lt;&gt;")=0,"",SUMIFS(BD!$R$3:$R$5001,BD!$A$3:$A$5001,I$3,BD!$B$3:$B$5001,$A$134)))</f>
        <v/>
      </c>
      <c r="J137" s="179" t="str">
        <f>IF(J$3="","",IF(COUNTIFS(BD!$A$3:$A$5001,J$3,BD!$B$3:$B$5001,$A$134,BD!$R$3:$R$5001,"&lt;&gt;")=0,"",SUMIFS(BD!$R$3:$R$5001,BD!$A$3:$A$5001,J$3,BD!$B$3:$B$5001,$A$134)))</f>
        <v/>
      </c>
      <c r="K137" s="179" t="str">
        <f>IF(K$3="","",IF(COUNTIFS(BD!$A$3:$A$5001,K$3,BD!$B$3:$B$5001,$A$134,BD!$R$3:$R$5001,"&lt;&gt;")=0,"",SUMIFS(BD!$R$3:$R$5001,BD!$A$3:$A$5001,K$3,BD!$B$3:$B$5001,$A$134)))</f>
        <v/>
      </c>
      <c r="L137" s="179" t="str">
        <f>IF(L$3="","",IF(COUNTIFS(BD!$A$3:$A$5001,L$3,BD!$B$3:$B$5001,$A$134,BD!$R$3:$R$5001,"&lt;&gt;")=0,"",SUMIFS(BD!$R$3:$R$5001,BD!$A$3:$A$5001,L$3,BD!$B$3:$B$5001,$A$134)))</f>
        <v/>
      </c>
      <c r="M137" s="179" t="str">
        <f>IF(M$3="","",IF(COUNTIFS(BD!$A$3:$A$5001,M$3,BD!$B$3:$B$5001,$A$134,BD!$R$3:$R$5001,"&lt;&gt;")=0,"",SUMIFS(BD!$R$3:$R$5001,BD!$A$3:$A$5001,M$3,BD!$B$3:$B$5001,$A$134)))</f>
        <v/>
      </c>
      <c r="N137" s="179" t="str">
        <f>IF(N$3="","",IF(COUNTIFS(BD!$A$3:$A$5001,N$3,BD!$B$3:$B$5001,$A$134,BD!$R$3:$R$5001,"&lt;&gt;")=0,"",SUMIFS(BD!$R$3:$R$5001,BD!$A$3:$A$5001,N$3,BD!$B$3:$B$5001,$A$134)))</f>
        <v/>
      </c>
      <c r="O137" s="179" t="str">
        <f>IF(O$3="","",IF(COUNTIFS(BD!$A$3:$A$5001,O$3,BD!$B$3:$B$5001,$A$134,BD!$R$3:$R$5001,"&lt;&gt;")=0,"",SUMIFS(BD!$R$3:$R$5001,BD!$A$3:$A$5001,O$3,BD!$B$3:$B$5001,$A$134)))</f>
        <v/>
      </c>
      <c r="P137" s="179" t="str">
        <f>IF(P$3="","",IF(COUNTIFS(BD!$A$3:$A$5001,P$3,BD!$B$3:$B$5001,$A$134,BD!$R$3:$R$5001,"&lt;&gt;")=0,"",SUMIFS(BD!$R$3:$R$5001,BD!$A$3:$A$5001,P$3,BD!$B$3:$B$5001,$A$134)))</f>
        <v/>
      </c>
      <c r="Q137" s="179" t="str">
        <f>IF(Q$3="","",IF(COUNTIFS(BD!$A$3:$A$5001,Q$3,BD!$B$3:$B$5001,$A$134,BD!$R$3:$R$5001,"&lt;&gt;")=0,"",SUMIFS(BD!$R$3:$R$5001,BD!$A$3:$A$5001,Q$3,BD!$B$3:$B$5001,$A$134)))</f>
        <v/>
      </c>
      <c r="R137" s="179" t="str">
        <f>IF(R$3="","",IF(COUNTIFS(BD!$A$3:$A$5001,R$3,BD!$B$3:$B$5001,$A$134,BD!$R$3:$R$5001,"&lt;&gt;")=0,"",SUMIFS(BD!$R$3:$R$5001,BD!$A$3:$A$5001,R$3,BD!$B$3:$B$5001,$A$134)))</f>
        <v/>
      </c>
      <c r="S137" s="179" t="str">
        <f>IF(S$3="","",IF(COUNTIFS(BD!$A$3:$A$5001,S$3,BD!$B$3:$B$5001,$A$134,BD!$R$3:$R$5001,"&lt;&gt;")=0,"",SUMIFS(BD!$R$3:$R$5001,BD!$A$3:$A$5001,S$3,BD!$B$3:$B$5001,$A$134)))</f>
        <v/>
      </c>
      <c r="T137" s="179" t="str">
        <f>IF(T$3="","",IF(COUNTIFS(BD!$A$3:$A$5001,T$3,BD!$B$3:$B$5001,$A$134,BD!$R$3:$R$5001,"&lt;&gt;")=0,"",SUMIFS(BD!$R$3:$R$5001,BD!$A$3:$A$5001,T$3,BD!$B$3:$B$5001,$A$134)))</f>
        <v/>
      </c>
      <c r="U137" s="179" t="str">
        <f>IF(U$3="","",IF(COUNTIFS(BD!$A$3:$A$5001,U$3,BD!$B$3:$B$5001,$A$134,BD!$R$3:$R$5001,"&lt;&gt;")=0,"",SUMIFS(BD!$R$3:$R$5001,BD!$A$3:$A$5001,U$3,BD!$B$3:$B$5001,$A$134)))</f>
        <v/>
      </c>
      <c r="V137" s="179" t="str">
        <f>IF(V$3="","",IF(COUNTIFS(BD!$A$3:$A$5001,V$3,BD!$B$3:$B$5001,$A$134,BD!$R$3:$R$5001,"&lt;&gt;")=0,"",SUMIFS(BD!$R$3:$R$5001,BD!$A$3:$A$5001,V$3,BD!$B$3:$B$5001,$A$134)))</f>
        <v/>
      </c>
      <c r="W137" s="179" t="str">
        <f>IF(W$3="","",IF(COUNTIFS(BD!$A$3:$A$5001,W$3,BD!$B$3:$B$5001,$A$134,BD!$R$3:$R$5001,"&lt;&gt;")=0,"",SUMIFS(BD!$R$3:$R$5001,BD!$A$3:$A$5001,W$3,BD!$B$3:$B$5001,$A$134)))</f>
        <v/>
      </c>
      <c r="X137" s="179" t="str">
        <f>IF(X$3="","",IF(COUNTIFS(BD!$A$3:$A$5001,X$3,BD!$B$3:$B$5001,$A$134,BD!$R$3:$R$5001,"&lt;&gt;")=0,"",SUMIFS(BD!$R$3:$R$5001,BD!$A$3:$A$5001,X$3,BD!$B$3:$B$5001,$A$134)))</f>
        <v/>
      </c>
      <c r="Y137" s="179" t="str">
        <f>IF(Y$3="","",IF(COUNTIFS(BD!$A$3:$A$5001,Y$3,BD!$B$3:$B$5001,$A$134,BD!$R$3:$R$5001,"&lt;&gt;")=0,"",SUMIFS(BD!$R$3:$R$5001,BD!$A$3:$A$5001,Y$3,BD!$B$3:$B$5001,$A$134)))</f>
        <v/>
      </c>
      <c r="Z137" s="179" t="str">
        <f>IF(Z$3="","",IF(COUNTIFS(BD!$A$3:$A$5001,Z$3,BD!$B$3:$B$5001,$A$134,BD!$R$3:$R$5001,"&lt;&gt;")=0,"",SUMIFS(BD!$R$3:$R$5001,BD!$A$3:$A$5001,Z$3,BD!$B$3:$B$5001,$A$134)))</f>
        <v/>
      </c>
      <c r="AA137" s="179" t="str">
        <f>IF(AA$3="","",IF(COUNTIFS(BD!$A$3:$A$5001,AA$3,BD!$B$3:$B$5001,$A$134,BD!$R$3:$R$5001,"&lt;&gt;")=0,"",SUMIFS(BD!$R$3:$R$5001,BD!$A$3:$A$5001,AA$3,BD!$B$3:$B$5001,$A$134)))</f>
        <v/>
      </c>
      <c r="AB137" s="179" t="str">
        <f>IF(AB$3="","",IF(COUNTIFS(BD!$A$3:$A$5001,AB$3,BD!$B$3:$B$5001,$A$134,BD!$R$3:$R$5001,"&lt;&gt;")=0,"",SUMIFS(BD!$R$3:$R$5001,BD!$A$3:$A$5001,AB$3,BD!$B$3:$B$5001,$A$134)))</f>
        <v/>
      </c>
      <c r="AC137" s="179" t="str">
        <f>IF(AC$3="","",IF(COUNTIFS(BD!$A$3:$A$5001,AC$3,BD!$B$3:$B$5001,$A$134,BD!$R$3:$R$5001,"&lt;&gt;")=0,"",SUMIFS(BD!$R$3:$R$5001,BD!$A$3:$A$5001,AC$3,BD!$B$3:$B$5001,$A$134)))</f>
        <v/>
      </c>
      <c r="AD137" s="179" t="str">
        <f>IF(AD$3="","",IF(COUNTIFS(BD!$A$3:$A$5001,AD$3,BD!$B$3:$B$5001,$A$134,BD!$R$3:$R$5001,"&lt;&gt;")=0,"",SUMIFS(BD!$R$3:$R$5001,BD!$A$3:$A$5001,AD$3,BD!$B$3:$B$5001,$A$134)))</f>
        <v/>
      </c>
      <c r="AE137" s="179" t="str">
        <f>IF(AE$3="","",IF(COUNTIFS(BD!$A$3:$A$5001,AE$3,BD!$B$3:$B$5001,$A$134,BD!$R$3:$R$5001,"&lt;&gt;")=0,"",SUMIFS(BD!$R$3:$R$5001,BD!$A$3:$A$5001,AE$3,BD!$B$3:$B$5001,$A$134)))</f>
        <v/>
      </c>
      <c r="AF137" s="179" t="str">
        <f>IF(AF$3="","",IF(COUNTIFS(BD!$A$3:$A$5001,AF$3,BD!$B$3:$B$5001,$A$134,BD!$R$3:$R$5001,"&lt;&gt;")=0,"",SUMIFS(BD!$R$3:$R$5001,BD!$A$3:$A$5001,AF$3,BD!$B$3:$B$5001,$A$134)))</f>
        <v/>
      </c>
      <c r="AG137" s="179" t="str">
        <f>IF(AG$3="","",IF(COUNTIFS(BD!$A$3:$A$5001,AG$3,BD!$B$3:$B$5001,$A$134,BD!$R$3:$R$5001,"&lt;&gt;")=0,"",SUMIFS(BD!$R$3:$R$5001,BD!$A$3:$A$5001,AG$3,BD!$B$3:$B$5001,$A$134)))</f>
        <v/>
      </c>
      <c r="AH137" s="179" t="str">
        <f>IF(AH$3="","",IF(COUNTIFS(BD!$A$3:$A$5001,AH$3,BD!$B$3:$B$5001,$A$134,BD!$R$3:$R$5001,"&lt;&gt;")=0,"",SUMIFS(BD!$R$3:$R$5001,BD!$A$3:$A$5001,AH$3,BD!$B$3:$B$5001,$A$134)))</f>
        <v/>
      </c>
      <c r="AI137" s="179" t="str">
        <f>IF(AI$3="","",IF(COUNTIFS(BD!$A$3:$A$5001,AI$3,BD!$B$3:$B$5001,$A$134,BD!$R$3:$R$5001,"&lt;&gt;")=0,"",SUMIFS(BD!$R$3:$R$5001,BD!$A$3:$A$5001,AI$3,BD!$B$3:$B$5001,$A$134)))</f>
        <v/>
      </c>
      <c r="AJ137" s="180" t="str">
        <f>IF(AJ$3="","",IF(COUNTIFS(BD!$A$3:$A$5001,AJ$3,BD!$B$3:$B$5001,$A$134,BD!$R$3:$R$5001,"&lt;&gt;")=0,"",SUMIFS(BD!$R$3:$R$5001,BD!$A$3:$A$5001,AJ$3,BD!$B$3:$B$5001,$A$134)))</f>
        <v/>
      </c>
      <c r="AK137" s="176" t="str">
        <f>IF(COUNT(F137:AJ137)=0,"",SUM(F137:AJ137))</f>
        <v/>
      </c>
    </row>
    <row r="138" ht="15.75" customHeight="1">
      <c r="A138" s="244"/>
      <c r="B138" s="236" t="inlineStr">
        <is>
          <t xml:space="preserve">NC</t>
        </is>
      </c>
      <c r="C138" s="181" t="inlineStr">
        <is>
          <t xml:space="preserve">Incidentes</t>
        </is>
      </c>
      <c r="D138" s="182" t="str">
        <f>IFERROR(1/(1/INDEX(BD!$AJ$40:$BD$40,MATCH($A$134,BD!$AJ$22:$BD$22,0))),"")</f>
        <v/>
      </c>
      <c r="E138" s="183"/>
      <c r="F138" s="184" t="str">
        <f>IF(F$3="","",IF(COUNTIFS(BD!$A$3:$A$5001,F$3,BD!$B$3:$B$5001,$A$134,BD!$T$3:$T$5001,"&lt;&gt;")=0,"",SUMIFS(BD!$T$3:$T$5001,BD!$A$3:$A$5001,F$3,BD!$B$3:$B$5001,$A$134)))</f>
        <v/>
      </c>
      <c r="G138" s="185" t="str">
        <f>IF(G$3="","",IF(COUNTIFS(BD!$A$3:$A$5001,G$3,BD!$B$3:$B$5001,$A$134,BD!$T$3:$T$5001,"&lt;&gt;")=0,"",SUMIFS(BD!$T$3:$T$5001,BD!$A$3:$A$5001,G$3,BD!$B$3:$B$5001,$A$134)))</f>
        <v/>
      </c>
      <c r="H138" s="185" t="str">
        <f>IF(H$3="","",IF(COUNTIFS(BD!$A$3:$A$5001,H$3,BD!$B$3:$B$5001,$A$134,BD!$T$3:$T$5001,"&lt;&gt;")=0,"",SUMIFS(BD!$T$3:$T$5001,BD!$A$3:$A$5001,H$3,BD!$B$3:$B$5001,$A$134)))</f>
        <v/>
      </c>
      <c r="I138" s="185" t="str">
        <f>IF(I$3="","",IF(COUNTIFS(BD!$A$3:$A$5001,I$3,BD!$B$3:$B$5001,$A$134,BD!$T$3:$T$5001,"&lt;&gt;")=0,"",SUMIFS(BD!$T$3:$T$5001,BD!$A$3:$A$5001,I$3,BD!$B$3:$B$5001,$A$134)))</f>
        <v/>
      </c>
      <c r="J138" s="185" t="str">
        <f>IF(J$3="","",IF(COUNTIFS(BD!$A$3:$A$5001,J$3,BD!$B$3:$B$5001,$A$134,BD!$T$3:$T$5001,"&lt;&gt;")=0,"",SUMIFS(BD!$T$3:$T$5001,BD!$A$3:$A$5001,J$3,BD!$B$3:$B$5001,$A$134)))</f>
        <v/>
      </c>
      <c r="K138" s="185" t="str">
        <f>IF(K$3="","",IF(COUNTIFS(BD!$A$3:$A$5001,K$3,BD!$B$3:$B$5001,$A$134,BD!$T$3:$T$5001,"&lt;&gt;")=0,"",SUMIFS(BD!$T$3:$T$5001,BD!$A$3:$A$5001,K$3,BD!$B$3:$B$5001,$A$134)))</f>
        <v/>
      </c>
      <c r="L138" s="185" t="str">
        <f>IF(L$3="","",IF(COUNTIFS(BD!$A$3:$A$5001,L$3,BD!$B$3:$B$5001,$A$134,BD!$T$3:$T$5001,"&lt;&gt;")=0,"",SUMIFS(BD!$T$3:$T$5001,BD!$A$3:$A$5001,L$3,BD!$B$3:$B$5001,$A$134)))</f>
        <v/>
      </c>
      <c r="M138" s="185" t="str">
        <f>IF(M$3="","",IF(COUNTIFS(BD!$A$3:$A$5001,M$3,BD!$B$3:$B$5001,$A$134,BD!$T$3:$T$5001,"&lt;&gt;")=0,"",SUMIFS(BD!$T$3:$T$5001,BD!$A$3:$A$5001,M$3,BD!$B$3:$B$5001,$A$134)))</f>
        <v/>
      </c>
      <c r="N138" s="185" t="str">
        <f>IF(N$3="","",IF(COUNTIFS(BD!$A$3:$A$5001,N$3,BD!$B$3:$B$5001,$A$134,BD!$T$3:$T$5001,"&lt;&gt;")=0,"",SUMIFS(BD!$T$3:$T$5001,BD!$A$3:$A$5001,N$3,BD!$B$3:$B$5001,$A$134)))</f>
        <v/>
      </c>
      <c r="O138" s="185" t="str">
        <f>IF(O$3="","",IF(COUNTIFS(BD!$A$3:$A$5001,O$3,BD!$B$3:$B$5001,$A$134,BD!$T$3:$T$5001,"&lt;&gt;")=0,"",SUMIFS(BD!$T$3:$T$5001,BD!$A$3:$A$5001,O$3,BD!$B$3:$B$5001,$A$134)))</f>
        <v/>
      </c>
      <c r="P138" s="185" t="str">
        <f>IF(P$3="","",IF(COUNTIFS(BD!$A$3:$A$5001,P$3,BD!$B$3:$B$5001,$A$134,BD!$T$3:$T$5001,"&lt;&gt;")=0,"",SUMIFS(BD!$T$3:$T$5001,BD!$A$3:$A$5001,P$3,BD!$B$3:$B$5001,$A$134)))</f>
        <v/>
      </c>
      <c r="Q138" s="185" t="str">
        <f>IF(Q$3="","",IF(COUNTIFS(BD!$A$3:$A$5001,Q$3,BD!$B$3:$B$5001,$A$134,BD!$T$3:$T$5001,"&lt;&gt;")=0,"",SUMIFS(BD!$T$3:$T$5001,BD!$A$3:$A$5001,Q$3,BD!$B$3:$B$5001,$A$134)))</f>
        <v/>
      </c>
      <c r="R138" s="185" t="str">
        <f>IF(R$3="","",IF(COUNTIFS(BD!$A$3:$A$5001,R$3,BD!$B$3:$B$5001,$A$134,BD!$T$3:$T$5001,"&lt;&gt;")=0,"",SUMIFS(BD!$T$3:$T$5001,BD!$A$3:$A$5001,R$3,BD!$B$3:$B$5001,$A$134)))</f>
        <v/>
      </c>
      <c r="S138" s="185" t="str">
        <f>IF(S$3="","",IF(COUNTIFS(BD!$A$3:$A$5001,S$3,BD!$B$3:$B$5001,$A$134,BD!$T$3:$T$5001,"&lt;&gt;")=0,"",SUMIFS(BD!$T$3:$T$5001,BD!$A$3:$A$5001,S$3,BD!$B$3:$B$5001,$A$134)))</f>
        <v/>
      </c>
      <c r="T138" s="185" t="str">
        <f>IF(T$3="","",IF(COUNTIFS(BD!$A$3:$A$5001,T$3,BD!$B$3:$B$5001,$A$134,BD!$T$3:$T$5001,"&lt;&gt;")=0,"",SUMIFS(BD!$T$3:$T$5001,BD!$A$3:$A$5001,T$3,BD!$B$3:$B$5001,$A$134)))</f>
        <v/>
      </c>
      <c r="U138" s="185" t="str">
        <f>IF(U$3="","",IF(COUNTIFS(BD!$A$3:$A$5001,U$3,BD!$B$3:$B$5001,$A$134,BD!$T$3:$T$5001,"&lt;&gt;")=0,"",SUMIFS(BD!$T$3:$T$5001,BD!$A$3:$A$5001,U$3,BD!$B$3:$B$5001,$A$134)))</f>
        <v/>
      </c>
      <c r="V138" s="185" t="str">
        <f>IF(V$3="","",IF(COUNTIFS(BD!$A$3:$A$5001,V$3,BD!$B$3:$B$5001,$A$134,BD!$T$3:$T$5001,"&lt;&gt;")=0,"",SUMIFS(BD!$T$3:$T$5001,BD!$A$3:$A$5001,V$3,BD!$B$3:$B$5001,$A$134)))</f>
        <v/>
      </c>
      <c r="W138" s="185" t="str">
        <f>IF(W$3="","",IF(COUNTIFS(BD!$A$3:$A$5001,W$3,BD!$B$3:$B$5001,$A$134,BD!$T$3:$T$5001,"&lt;&gt;")=0,"",SUMIFS(BD!$T$3:$T$5001,BD!$A$3:$A$5001,W$3,BD!$B$3:$B$5001,$A$134)))</f>
        <v/>
      </c>
      <c r="X138" s="185" t="str">
        <f>IF(X$3="","",IF(COUNTIFS(BD!$A$3:$A$5001,X$3,BD!$B$3:$B$5001,$A$134,BD!$T$3:$T$5001,"&lt;&gt;")=0,"",SUMIFS(BD!$T$3:$T$5001,BD!$A$3:$A$5001,X$3,BD!$B$3:$B$5001,$A$134)))</f>
        <v/>
      </c>
      <c r="Y138" s="185" t="str">
        <f>IF(Y$3="","",IF(COUNTIFS(BD!$A$3:$A$5001,Y$3,BD!$B$3:$B$5001,$A$134,BD!$T$3:$T$5001,"&lt;&gt;")=0,"",SUMIFS(BD!$T$3:$T$5001,BD!$A$3:$A$5001,Y$3,BD!$B$3:$B$5001,$A$134)))</f>
        <v/>
      </c>
      <c r="Z138" s="185" t="str">
        <f>IF(Z$3="","",IF(COUNTIFS(BD!$A$3:$A$5001,Z$3,BD!$B$3:$B$5001,$A$134,BD!$T$3:$T$5001,"&lt;&gt;")=0,"",SUMIFS(BD!$T$3:$T$5001,BD!$A$3:$A$5001,Z$3,BD!$B$3:$B$5001,$A$134)))</f>
        <v/>
      </c>
      <c r="AA138" s="185" t="str">
        <f>IF(AA$3="","",IF(COUNTIFS(BD!$A$3:$A$5001,AA$3,BD!$B$3:$B$5001,$A$134,BD!$T$3:$T$5001,"&lt;&gt;")=0,"",SUMIFS(BD!$T$3:$T$5001,BD!$A$3:$A$5001,AA$3,BD!$B$3:$B$5001,$A$134)))</f>
        <v/>
      </c>
      <c r="AB138" s="185" t="str">
        <f>IF(AB$3="","",IF(COUNTIFS(BD!$A$3:$A$5001,AB$3,BD!$B$3:$B$5001,$A$134,BD!$T$3:$T$5001,"&lt;&gt;")=0,"",SUMIFS(BD!$T$3:$T$5001,BD!$A$3:$A$5001,AB$3,BD!$B$3:$B$5001,$A$134)))</f>
        <v/>
      </c>
      <c r="AC138" s="185" t="str">
        <f>IF(AC$3="","",IF(COUNTIFS(BD!$A$3:$A$5001,AC$3,BD!$B$3:$B$5001,$A$134,BD!$T$3:$T$5001,"&lt;&gt;")=0,"",SUMIFS(BD!$T$3:$T$5001,BD!$A$3:$A$5001,AC$3,BD!$B$3:$B$5001,$A$134)))</f>
        <v/>
      </c>
      <c r="AD138" s="185" t="str">
        <f>IF(AD$3="","",IF(COUNTIFS(BD!$A$3:$A$5001,AD$3,BD!$B$3:$B$5001,$A$134,BD!$T$3:$T$5001,"&lt;&gt;")=0,"",SUMIFS(BD!$T$3:$T$5001,BD!$A$3:$A$5001,AD$3,BD!$B$3:$B$5001,$A$134)))</f>
        <v/>
      </c>
      <c r="AE138" s="185" t="str">
        <f>IF(AE$3="","",IF(COUNTIFS(BD!$A$3:$A$5001,AE$3,BD!$B$3:$B$5001,$A$134,BD!$T$3:$T$5001,"&lt;&gt;")=0,"",SUMIFS(BD!$T$3:$T$5001,BD!$A$3:$A$5001,AE$3,BD!$B$3:$B$5001,$A$134)))</f>
        <v/>
      </c>
      <c r="AF138" s="185" t="str">
        <f>IF(AF$3="","",IF(COUNTIFS(BD!$A$3:$A$5001,AF$3,BD!$B$3:$B$5001,$A$134,BD!$T$3:$T$5001,"&lt;&gt;")=0,"",SUMIFS(BD!$T$3:$T$5001,BD!$A$3:$A$5001,AF$3,BD!$B$3:$B$5001,$A$134)))</f>
        <v/>
      </c>
      <c r="AG138" s="185" t="str">
        <f>IF(AG$3="","",IF(COUNTIFS(BD!$A$3:$A$5001,AG$3,BD!$B$3:$B$5001,$A$134,BD!$T$3:$T$5001,"&lt;&gt;")=0,"",SUMIFS(BD!$T$3:$T$5001,BD!$A$3:$A$5001,AG$3,BD!$B$3:$B$5001,$A$134)))</f>
        <v/>
      </c>
      <c r="AH138" s="185" t="str">
        <f>IF(AH$3="","",IF(COUNTIFS(BD!$A$3:$A$5001,AH$3,BD!$B$3:$B$5001,$A$134,BD!$T$3:$T$5001,"&lt;&gt;")=0,"",SUMIFS(BD!$T$3:$T$5001,BD!$A$3:$A$5001,AH$3,BD!$B$3:$B$5001,$A$134)))</f>
        <v/>
      </c>
      <c r="AI138" s="185" t="str">
        <f>IF(AI$3="","",IF(COUNTIFS(BD!$A$3:$A$5001,AI$3,BD!$B$3:$B$5001,$A$134,BD!$T$3:$T$5001,"&lt;&gt;")=0,"",SUMIFS(BD!$T$3:$T$5001,BD!$A$3:$A$5001,AI$3,BD!$B$3:$B$5001,$A$134)))</f>
        <v/>
      </c>
      <c r="AJ138" s="186" t="str">
        <f>IF(AJ$3="","",IF(COUNTIFS(BD!$A$3:$A$5001,AJ$3,BD!$B$3:$B$5001,$A$134,BD!$T$3:$T$5001,"&lt;&gt;")=0,"",SUMIFS(BD!$T$3:$T$5001,BD!$A$3:$A$5001,AJ$3,BD!$B$3:$B$5001,$A$134)))</f>
        <v/>
      </c>
      <c r="AK138" s="187" t="str">
        <f>IF(COUNT(F138:AJ138)=0,"",SUM(F138:AJ138))</f>
        <v/>
      </c>
    </row>
    <row r="139" ht="15.75" customHeight="1">
      <c r="A139" s="244"/>
      <c r="B139" s="237"/>
      <c r="C139" s="188" t="inlineStr">
        <is>
          <t xml:space="preserve">No show</t>
        </is>
      </c>
      <c r="D139" s="189" t="str">
        <f>IFERROR(1/(1/INDEX(BD!$AJ$41:$BD$41,MATCH($A$134,BD!$AJ$22:$BD$22,0))),"")</f>
        <v/>
      </c>
      <c r="E139" s="190"/>
      <c r="F139" s="191" t="str">
        <f>IF(F$3="","",IF(COUNTIFS(BD!$A$3:$A$5001,F$3,BD!$B$3:$B$5001,$A$134,BD!$U$3:$U$5001,"&lt;&gt;")=0,"",SUMIFS(BD!$U$3:$U$5001,BD!$A$3:$A$5001,F$3,BD!$B$3:$B$5001,$A$134)))</f>
        <v/>
      </c>
      <c r="G139" s="192" t="str">
        <f>IF(G$3="","",IF(COUNTIFS(BD!$A$3:$A$5001,G$3,BD!$B$3:$B$5001,$A$134,BD!$U$3:$U$5001,"&lt;&gt;")=0,"",SUMIFS(BD!$U$3:$U$5001,BD!$A$3:$A$5001,G$3,BD!$B$3:$B$5001,$A$134)))</f>
        <v/>
      </c>
      <c r="H139" s="192" t="str">
        <f>IF(H$3="","",IF(COUNTIFS(BD!$A$3:$A$5001,H$3,BD!$B$3:$B$5001,$A$134,BD!$U$3:$U$5001,"&lt;&gt;")=0,"",SUMIFS(BD!$U$3:$U$5001,BD!$A$3:$A$5001,H$3,BD!$B$3:$B$5001,$A$134)))</f>
        <v/>
      </c>
      <c r="I139" s="192" t="str">
        <f>IF(I$3="","",IF(COUNTIFS(BD!$A$3:$A$5001,I$3,BD!$B$3:$B$5001,$A$134,BD!$U$3:$U$5001,"&lt;&gt;")=0,"",SUMIFS(BD!$U$3:$U$5001,BD!$A$3:$A$5001,I$3,BD!$B$3:$B$5001,$A$134)))</f>
        <v/>
      </c>
      <c r="J139" s="192" t="str">
        <f>IF(J$3="","",IF(COUNTIFS(BD!$A$3:$A$5001,J$3,BD!$B$3:$B$5001,$A$134,BD!$U$3:$U$5001,"&lt;&gt;")=0,"",SUMIFS(BD!$U$3:$U$5001,BD!$A$3:$A$5001,J$3,BD!$B$3:$B$5001,$A$134)))</f>
        <v/>
      </c>
      <c r="K139" s="192" t="str">
        <f>IF(K$3="","",IF(COUNTIFS(BD!$A$3:$A$5001,K$3,BD!$B$3:$B$5001,$A$134,BD!$U$3:$U$5001,"&lt;&gt;")=0,"",SUMIFS(BD!$U$3:$U$5001,BD!$A$3:$A$5001,K$3,BD!$B$3:$B$5001,$A$134)))</f>
        <v/>
      </c>
      <c r="L139" s="192" t="str">
        <f>IF(L$3="","",IF(COUNTIFS(BD!$A$3:$A$5001,L$3,BD!$B$3:$B$5001,$A$134,BD!$U$3:$U$5001,"&lt;&gt;")=0,"",SUMIFS(BD!$U$3:$U$5001,BD!$A$3:$A$5001,L$3,BD!$B$3:$B$5001,$A$134)))</f>
        <v/>
      </c>
      <c r="M139" s="192" t="str">
        <f>IF(M$3="","",IF(COUNTIFS(BD!$A$3:$A$5001,M$3,BD!$B$3:$B$5001,$A$134,BD!$U$3:$U$5001,"&lt;&gt;")=0,"",SUMIFS(BD!$U$3:$U$5001,BD!$A$3:$A$5001,M$3,BD!$B$3:$B$5001,$A$134)))</f>
        <v/>
      </c>
      <c r="N139" s="192" t="str">
        <f>IF(N$3="","",IF(COUNTIFS(BD!$A$3:$A$5001,N$3,BD!$B$3:$B$5001,$A$134,BD!$U$3:$U$5001,"&lt;&gt;")=0,"",SUMIFS(BD!$U$3:$U$5001,BD!$A$3:$A$5001,N$3,BD!$B$3:$B$5001,$A$134)))</f>
        <v/>
      </c>
      <c r="O139" s="192" t="str">
        <f>IF(O$3="","",IF(COUNTIFS(BD!$A$3:$A$5001,O$3,BD!$B$3:$B$5001,$A$134,BD!$U$3:$U$5001,"&lt;&gt;")=0,"",SUMIFS(BD!$U$3:$U$5001,BD!$A$3:$A$5001,O$3,BD!$B$3:$B$5001,$A$134)))</f>
        <v/>
      </c>
      <c r="P139" s="192" t="str">
        <f>IF(P$3="","",IF(COUNTIFS(BD!$A$3:$A$5001,P$3,BD!$B$3:$B$5001,$A$134,BD!$U$3:$U$5001,"&lt;&gt;")=0,"",SUMIFS(BD!$U$3:$U$5001,BD!$A$3:$A$5001,P$3,BD!$B$3:$B$5001,$A$134)))</f>
        <v/>
      </c>
      <c r="Q139" s="192" t="str">
        <f>IF(Q$3="","",IF(COUNTIFS(BD!$A$3:$A$5001,Q$3,BD!$B$3:$B$5001,$A$134,BD!$U$3:$U$5001,"&lt;&gt;")=0,"",SUMIFS(BD!$U$3:$U$5001,BD!$A$3:$A$5001,Q$3,BD!$B$3:$B$5001,$A$134)))</f>
        <v/>
      </c>
      <c r="R139" s="192" t="str">
        <f>IF(R$3="","",IF(COUNTIFS(BD!$A$3:$A$5001,R$3,BD!$B$3:$B$5001,$A$134,BD!$U$3:$U$5001,"&lt;&gt;")=0,"",SUMIFS(BD!$U$3:$U$5001,BD!$A$3:$A$5001,R$3,BD!$B$3:$B$5001,$A$134)))</f>
        <v/>
      </c>
      <c r="S139" s="192" t="str">
        <f>IF(S$3="","",IF(COUNTIFS(BD!$A$3:$A$5001,S$3,BD!$B$3:$B$5001,$A$134,BD!$U$3:$U$5001,"&lt;&gt;")=0,"",SUMIFS(BD!$U$3:$U$5001,BD!$A$3:$A$5001,S$3,BD!$B$3:$B$5001,$A$134)))</f>
        <v/>
      </c>
      <c r="T139" s="192" t="str">
        <f>IF(T$3="","",IF(COUNTIFS(BD!$A$3:$A$5001,T$3,BD!$B$3:$B$5001,$A$134,BD!$U$3:$U$5001,"&lt;&gt;")=0,"",SUMIFS(BD!$U$3:$U$5001,BD!$A$3:$A$5001,T$3,BD!$B$3:$B$5001,$A$134)))</f>
        <v/>
      </c>
      <c r="U139" s="192" t="str">
        <f>IF(U$3="","",IF(COUNTIFS(BD!$A$3:$A$5001,U$3,BD!$B$3:$B$5001,$A$134,BD!$U$3:$U$5001,"&lt;&gt;")=0,"",SUMIFS(BD!$U$3:$U$5001,BD!$A$3:$A$5001,U$3,BD!$B$3:$B$5001,$A$134)))</f>
        <v/>
      </c>
      <c r="V139" s="192" t="str">
        <f>IF(V$3="","",IF(COUNTIFS(BD!$A$3:$A$5001,V$3,BD!$B$3:$B$5001,$A$134,BD!$U$3:$U$5001,"&lt;&gt;")=0,"",SUMIFS(BD!$U$3:$U$5001,BD!$A$3:$A$5001,V$3,BD!$B$3:$B$5001,$A$134)))</f>
        <v/>
      </c>
      <c r="W139" s="192" t="str">
        <f>IF(W$3="","",IF(COUNTIFS(BD!$A$3:$A$5001,W$3,BD!$B$3:$B$5001,$A$134,BD!$U$3:$U$5001,"&lt;&gt;")=0,"",SUMIFS(BD!$U$3:$U$5001,BD!$A$3:$A$5001,W$3,BD!$B$3:$B$5001,$A$134)))</f>
        <v/>
      </c>
      <c r="X139" s="192" t="str">
        <f>IF(X$3="","",IF(COUNTIFS(BD!$A$3:$A$5001,X$3,BD!$B$3:$B$5001,$A$134,BD!$U$3:$U$5001,"&lt;&gt;")=0,"",SUMIFS(BD!$U$3:$U$5001,BD!$A$3:$A$5001,X$3,BD!$B$3:$B$5001,$A$134)))</f>
        <v/>
      </c>
      <c r="Y139" s="192" t="str">
        <f>IF(Y$3="","",IF(COUNTIFS(BD!$A$3:$A$5001,Y$3,BD!$B$3:$B$5001,$A$134,BD!$U$3:$U$5001,"&lt;&gt;")=0,"",SUMIFS(BD!$U$3:$U$5001,BD!$A$3:$A$5001,Y$3,BD!$B$3:$B$5001,$A$134)))</f>
        <v/>
      </c>
      <c r="Z139" s="192" t="str">
        <f>IF(Z$3="","",IF(COUNTIFS(BD!$A$3:$A$5001,Z$3,BD!$B$3:$B$5001,$A$134,BD!$U$3:$U$5001,"&lt;&gt;")=0,"",SUMIFS(BD!$U$3:$U$5001,BD!$A$3:$A$5001,Z$3,BD!$B$3:$B$5001,$A$134)))</f>
        <v/>
      </c>
      <c r="AA139" s="192" t="str">
        <f>IF(AA$3="","",IF(COUNTIFS(BD!$A$3:$A$5001,AA$3,BD!$B$3:$B$5001,$A$134,BD!$U$3:$U$5001,"&lt;&gt;")=0,"",SUMIFS(BD!$U$3:$U$5001,BD!$A$3:$A$5001,AA$3,BD!$B$3:$B$5001,$A$134)))</f>
        <v/>
      </c>
      <c r="AB139" s="192" t="str">
        <f>IF(AB$3="","",IF(COUNTIFS(BD!$A$3:$A$5001,AB$3,BD!$B$3:$B$5001,$A$134,BD!$U$3:$U$5001,"&lt;&gt;")=0,"",SUMIFS(BD!$U$3:$U$5001,BD!$A$3:$A$5001,AB$3,BD!$B$3:$B$5001,$A$134)))</f>
        <v/>
      </c>
      <c r="AC139" s="192" t="str">
        <f>IF(AC$3="","",IF(COUNTIFS(BD!$A$3:$A$5001,AC$3,BD!$B$3:$B$5001,$A$134,BD!$U$3:$U$5001,"&lt;&gt;")=0,"",SUMIFS(BD!$U$3:$U$5001,BD!$A$3:$A$5001,AC$3,BD!$B$3:$B$5001,$A$134)))</f>
        <v/>
      </c>
      <c r="AD139" s="192" t="str">
        <f>IF(AD$3="","",IF(COUNTIFS(BD!$A$3:$A$5001,AD$3,BD!$B$3:$B$5001,$A$134,BD!$U$3:$U$5001,"&lt;&gt;")=0,"",SUMIFS(BD!$U$3:$U$5001,BD!$A$3:$A$5001,AD$3,BD!$B$3:$B$5001,$A$134)))</f>
        <v/>
      </c>
      <c r="AE139" s="192" t="str">
        <f>IF(AE$3="","",IF(COUNTIFS(BD!$A$3:$A$5001,AE$3,BD!$B$3:$B$5001,$A$134,BD!$U$3:$U$5001,"&lt;&gt;")=0,"",SUMIFS(BD!$U$3:$U$5001,BD!$A$3:$A$5001,AE$3,BD!$B$3:$B$5001,$A$134)))</f>
        <v/>
      </c>
      <c r="AF139" s="192" t="str">
        <f>IF(AF$3="","",IF(COUNTIFS(BD!$A$3:$A$5001,AF$3,BD!$B$3:$B$5001,$A$134,BD!$U$3:$U$5001,"&lt;&gt;")=0,"",SUMIFS(BD!$U$3:$U$5001,BD!$A$3:$A$5001,AF$3,BD!$B$3:$B$5001,$A$134)))</f>
        <v/>
      </c>
      <c r="AG139" s="192" t="str">
        <f>IF(AG$3="","",IF(COUNTIFS(BD!$A$3:$A$5001,AG$3,BD!$B$3:$B$5001,$A$134,BD!$U$3:$U$5001,"&lt;&gt;")=0,"",SUMIFS(BD!$U$3:$U$5001,BD!$A$3:$A$5001,AG$3,BD!$B$3:$B$5001,$A$134)))</f>
        <v/>
      </c>
      <c r="AH139" s="192" t="str">
        <f>IF(AH$3="","",IF(COUNTIFS(BD!$A$3:$A$5001,AH$3,BD!$B$3:$B$5001,$A$134,BD!$U$3:$U$5001,"&lt;&gt;")=0,"",SUMIFS(BD!$U$3:$U$5001,BD!$A$3:$A$5001,AH$3,BD!$B$3:$B$5001,$A$134)))</f>
        <v/>
      </c>
      <c r="AI139" s="192" t="str">
        <f>IF(AI$3="","",IF(COUNTIFS(BD!$A$3:$A$5001,AI$3,BD!$B$3:$B$5001,$A$134,BD!$U$3:$U$5001,"&lt;&gt;")=0,"",SUMIFS(BD!$U$3:$U$5001,BD!$A$3:$A$5001,AI$3,BD!$B$3:$B$5001,$A$134)))</f>
        <v/>
      </c>
      <c r="AJ139" s="193" t="str">
        <f>IF(AJ$3="","",IF(COUNTIFS(BD!$A$3:$A$5001,AJ$3,BD!$B$3:$B$5001,$A$134,BD!$U$3:$U$5001,"&lt;&gt;")=0,"",SUMIFS(BD!$U$3:$U$5001,BD!$A$3:$A$5001,AJ$3,BD!$B$3:$B$5001,$A$134)))</f>
        <v/>
      </c>
      <c r="AK139" s="194" t="str">
        <f>IF(COUNT(F139:AJ139)=0,"",SUM(F139:AJ139))</f>
        <v/>
      </c>
    </row>
    <row r="140" ht="15.75" customHeight="1">
      <c r="A140" s="244"/>
      <c r="B140" s="238"/>
      <c r="C140" s="195" t="inlineStr">
        <is>
          <t xml:space="preserve">Backlog</t>
        </is>
      </c>
      <c r="D140" s="196" t="str">
        <f>IFERROR(1/(1/INDEX(BD!$AJ$42:$BD$42,MATCH($A$134,BD!$AJ$22:$BD$22,0))),"")</f>
        <v/>
      </c>
      <c r="E140" s="197"/>
      <c r="F140" s="198" t="str">
        <f>IF(F$3="","",IF(COUNTIFS(BD!$A$3:$A$5001,F$3,BD!$B$3:$B$5001,$A$134,BD!$V$3:$V$5001,"&lt;&gt;")=0,"",SUMIFS(BD!$V$3:$V$5001,BD!$A$3:$A$5001,F$3,BD!$B$3:$B$5001,$A$134)))</f>
        <v/>
      </c>
      <c r="G140" s="199" t="str">
        <f>IF(G$3="","",IF(COUNTIFS(BD!$A$3:$A$5001,G$3,BD!$B$3:$B$5001,$A$134,BD!$V$3:$V$5001,"&lt;&gt;")=0,"",SUMIFS(BD!$V$3:$V$5001,BD!$A$3:$A$5001,G$3,BD!$B$3:$B$5001,$A$134)))</f>
        <v/>
      </c>
      <c r="H140" s="199" t="str">
        <f>IF(H$3="","",IF(COUNTIFS(BD!$A$3:$A$5001,H$3,BD!$B$3:$B$5001,$A$134,BD!$V$3:$V$5001,"&lt;&gt;")=0,"",SUMIFS(BD!$V$3:$V$5001,BD!$A$3:$A$5001,H$3,BD!$B$3:$B$5001,$A$134)))</f>
        <v/>
      </c>
      <c r="I140" s="199" t="str">
        <f>IF(I$3="","",IF(COUNTIFS(BD!$A$3:$A$5001,I$3,BD!$B$3:$B$5001,$A$134,BD!$V$3:$V$5001,"&lt;&gt;")=0,"",SUMIFS(BD!$V$3:$V$5001,BD!$A$3:$A$5001,I$3,BD!$B$3:$B$5001,$A$134)))</f>
        <v/>
      </c>
      <c r="J140" s="199" t="str">
        <f>IF(J$3="","",IF(COUNTIFS(BD!$A$3:$A$5001,J$3,BD!$B$3:$B$5001,$A$134,BD!$V$3:$V$5001,"&lt;&gt;")=0,"",SUMIFS(BD!$V$3:$V$5001,BD!$A$3:$A$5001,J$3,BD!$B$3:$B$5001,$A$134)))</f>
        <v/>
      </c>
      <c r="K140" s="199" t="str">
        <f>IF(K$3="","",IF(COUNTIFS(BD!$A$3:$A$5001,K$3,BD!$B$3:$B$5001,$A$134,BD!$V$3:$V$5001,"&lt;&gt;")=0,"",SUMIFS(BD!$V$3:$V$5001,BD!$A$3:$A$5001,K$3,BD!$B$3:$B$5001,$A$134)))</f>
        <v/>
      </c>
      <c r="L140" s="199" t="str">
        <f>IF(L$3="","",IF(COUNTIFS(BD!$A$3:$A$5001,L$3,BD!$B$3:$B$5001,$A$134,BD!$V$3:$V$5001,"&lt;&gt;")=0,"",SUMIFS(BD!$V$3:$V$5001,BD!$A$3:$A$5001,L$3,BD!$B$3:$B$5001,$A$134)))</f>
        <v/>
      </c>
      <c r="M140" s="199" t="str">
        <f>IF(M$3="","",IF(COUNTIFS(BD!$A$3:$A$5001,M$3,BD!$B$3:$B$5001,$A$134,BD!$V$3:$V$5001,"&lt;&gt;")=0,"",SUMIFS(BD!$V$3:$V$5001,BD!$A$3:$A$5001,M$3,BD!$B$3:$B$5001,$A$134)))</f>
        <v/>
      </c>
      <c r="N140" s="199" t="str">
        <f>IF(N$3="","",IF(COUNTIFS(BD!$A$3:$A$5001,N$3,BD!$B$3:$B$5001,$A$134,BD!$V$3:$V$5001,"&lt;&gt;")=0,"",SUMIFS(BD!$V$3:$V$5001,BD!$A$3:$A$5001,N$3,BD!$B$3:$B$5001,$A$134)))</f>
        <v/>
      </c>
      <c r="O140" s="199" t="str">
        <f>IF(O$3="","",IF(COUNTIFS(BD!$A$3:$A$5001,O$3,BD!$B$3:$B$5001,$A$134,BD!$V$3:$V$5001,"&lt;&gt;")=0,"",SUMIFS(BD!$V$3:$V$5001,BD!$A$3:$A$5001,O$3,BD!$B$3:$B$5001,$A$134)))</f>
        <v/>
      </c>
      <c r="P140" s="199" t="str">
        <f>IF(P$3="","",IF(COUNTIFS(BD!$A$3:$A$5001,P$3,BD!$B$3:$B$5001,$A$134,BD!$V$3:$V$5001,"&lt;&gt;")=0,"",SUMIFS(BD!$V$3:$V$5001,BD!$A$3:$A$5001,P$3,BD!$B$3:$B$5001,$A$134)))</f>
        <v/>
      </c>
      <c r="Q140" s="199" t="str">
        <f>IF(Q$3="","",IF(COUNTIFS(BD!$A$3:$A$5001,Q$3,BD!$B$3:$B$5001,$A$134,BD!$V$3:$V$5001,"&lt;&gt;")=0,"",SUMIFS(BD!$V$3:$V$5001,BD!$A$3:$A$5001,Q$3,BD!$B$3:$B$5001,$A$134)))</f>
        <v/>
      </c>
      <c r="R140" s="199" t="str">
        <f>IF(R$3="","",IF(COUNTIFS(BD!$A$3:$A$5001,R$3,BD!$B$3:$B$5001,$A$134,BD!$V$3:$V$5001,"&lt;&gt;")=0,"",SUMIFS(BD!$V$3:$V$5001,BD!$A$3:$A$5001,R$3,BD!$B$3:$B$5001,$A$134)))</f>
        <v/>
      </c>
      <c r="S140" s="199" t="str">
        <f>IF(S$3="","",IF(COUNTIFS(BD!$A$3:$A$5001,S$3,BD!$B$3:$B$5001,$A$134,BD!$V$3:$V$5001,"&lt;&gt;")=0,"",SUMIFS(BD!$V$3:$V$5001,BD!$A$3:$A$5001,S$3,BD!$B$3:$B$5001,$A$134)))</f>
        <v/>
      </c>
      <c r="T140" s="199" t="str">
        <f>IF(T$3="","",IF(COUNTIFS(BD!$A$3:$A$5001,T$3,BD!$B$3:$B$5001,$A$134,BD!$V$3:$V$5001,"&lt;&gt;")=0,"",SUMIFS(BD!$V$3:$V$5001,BD!$A$3:$A$5001,T$3,BD!$B$3:$B$5001,$A$134)))</f>
        <v/>
      </c>
      <c r="U140" s="199" t="str">
        <f>IF(U$3="","",IF(COUNTIFS(BD!$A$3:$A$5001,U$3,BD!$B$3:$B$5001,$A$134,BD!$V$3:$V$5001,"&lt;&gt;")=0,"",SUMIFS(BD!$V$3:$V$5001,BD!$A$3:$A$5001,U$3,BD!$B$3:$B$5001,$A$134)))</f>
        <v/>
      </c>
      <c r="V140" s="199" t="str">
        <f>IF(V$3="","",IF(COUNTIFS(BD!$A$3:$A$5001,V$3,BD!$B$3:$B$5001,$A$134,BD!$V$3:$V$5001,"&lt;&gt;")=0,"",SUMIFS(BD!$V$3:$V$5001,BD!$A$3:$A$5001,V$3,BD!$B$3:$B$5001,$A$134)))</f>
        <v/>
      </c>
      <c r="W140" s="199" t="str">
        <f>IF(W$3="","",IF(COUNTIFS(BD!$A$3:$A$5001,W$3,BD!$B$3:$B$5001,$A$134,BD!$V$3:$V$5001,"&lt;&gt;")=0,"",SUMIFS(BD!$V$3:$V$5001,BD!$A$3:$A$5001,W$3,BD!$B$3:$B$5001,$A$134)))</f>
        <v/>
      </c>
      <c r="X140" s="199" t="str">
        <f>IF(X$3="","",IF(COUNTIFS(BD!$A$3:$A$5001,X$3,BD!$B$3:$B$5001,$A$134,BD!$V$3:$V$5001,"&lt;&gt;")=0,"",SUMIFS(BD!$V$3:$V$5001,BD!$A$3:$A$5001,X$3,BD!$B$3:$B$5001,$A$134)))</f>
        <v/>
      </c>
      <c r="Y140" s="199" t="str">
        <f>IF(Y$3="","",IF(COUNTIFS(BD!$A$3:$A$5001,Y$3,BD!$B$3:$B$5001,$A$134,BD!$V$3:$V$5001,"&lt;&gt;")=0,"",SUMIFS(BD!$V$3:$V$5001,BD!$A$3:$A$5001,Y$3,BD!$B$3:$B$5001,$A$134)))</f>
        <v/>
      </c>
      <c r="Z140" s="199" t="str">
        <f>IF(Z$3="","",IF(COUNTIFS(BD!$A$3:$A$5001,Z$3,BD!$B$3:$B$5001,$A$134,BD!$V$3:$V$5001,"&lt;&gt;")=0,"",SUMIFS(BD!$V$3:$V$5001,BD!$A$3:$A$5001,Z$3,BD!$B$3:$B$5001,$A$134)))</f>
        <v/>
      </c>
      <c r="AA140" s="199" t="str">
        <f>IF(AA$3="","",IF(COUNTIFS(BD!$A$3:$A$5001,AA$3,BD!$B$3:$B$5001,$A$134,BD!$V$3:$V$5001,"&lt;&gt;")=0,"",SUMIFS(BD!$V$3:$V$5001,BD!$A$3:$A$5001,AA$3,BD!$B$3:$B$5001,$A$134)))</f>
        <v/>
      </c>
      <c r="AB140" s="199" t="str">
        <f>IF(AB$3="","",IF(COUNTIFS(BD!$A$3:$A$5001,AB$3,BD!$B$3:$B$5001,$A$134,BD!$V$3:$V$5001,"&lt;&gt;")=0,"",SUMIFS(BD!$V$3:$V$5001,BD!$A$3:$A$5001,AB$3,BD!$B$3:$B$5001,$A$134)))</f>
        <v/>
      </c>
      <c r="AC140" s="199" t="str">
        <f>IF(AC$3="","",IF(COUNTIFS(BD!$A$3:$A$5001,AC$3,BD!$B$3:$B$5001,$A$134,BD!$V$3:$V$5001,"&lt;&gt;")=0,"",SUMIFS(BD!$V$3:$V$5001,BD!$A$3:$A$5001,AC$3,BD!$B$3:$B$5001,$A$134)))</f>
        <v/>
      </c>
      <c r="AD140" s="199" t="str">
        <f>IF(AD$3="","",IF(COUNTIFS(BD!$A$3:$A$5001,AD$3,BD!$B$3:$B$5001,$A$134,BD!$V$3:$V$5001,"&lt;&gt;")=0,"",SUMIFS(BD!$V$3:$V$5001,BD!$A$3:$A$5001,AD$3,BD!$B$3:$B$5001,$A$134)))</f>
        <v/>
      </c>
      <c r="AE140" s="199" t="str">
        <f>IF(AE$3="","",IF(COUNTIFS(BD!$A$3:$A$5001,AE$3,BD!$B$3:$B$5001,$A$134,BD!$V$3:$V$5001,"&lt;&gt;")=0,"",SUMIFS(BD!$V$3:$V$5001,BD!$A$3:$A$5001,AE$3,BD!$B$3:$B$5001,$A$134)))</f>
        <v/>
      </c>
      <c r="AF140" s="199" t="str">
        <f>IF(AF$3="","",IF(COUNTIFS(BD!$A$3:$A$5001,AF$3,BD!$B$3:$B$5001,$A$134,BD!$V$3:$V$5001,"&lt;&gt;")=0,"",SUMIFS(BD!$V$3:$V$5001,BD!$A$3:$A$5001,AF$3,BD!$B$3:$B$5001,$A$134)))</f>
        <v/>
      </c>
      <c r="AG140" s="199" t="str">
        <f>IF(AG$3="","",IF(COUNTIFS(BD!$A$3:$A$5001,AG$3,BD!$B$3:$B$5001,$A$134,BD!$V$3:$V$5001,"&lt;&gt;")=0,"",SUMIFS(BD!$V$3:$V$5001,BD!$A$3:$A$5001,AG$3,BD!$B$3:$B$5001,$A$134)))</f>
        <v/>
      </c>
      <c r="AH140" s="199" t="str">
        <f>IF(AH$3="","",IF(COUNTIFS(BD!$A$3:$A$5001,AH$3,BD!$B$3:$B$5001,$A$134,BD!$V$3:$V$5001,"&lt;&gt;")=0,"",SUMIFS(BD!$V$3:$V$5001,BD!$A$3:$A$5001,AH$3,BD!$B$3:$B$5001,$A$134)))</f>
        <v/>
      </c>
      <c r="AI140" s="199" t="str">
        <f>IF(AI$3="","",IF(COUNTIFS(BD!$A$3:$A$5001,AI$3,BD!$B$3:$B$5001,$A$134,BD!$V$3:$V$5001,"&lt;&gt;")=0,"",SUMIFS(BD!$V$3:$V$5001,BD!$A$3:$A$5001,AI$3,BD!$B$3:$B$5001,$A$134)))</f>
        <v/>
      </c>
      <c r="AJ140" s="200" t="str">
        <f>IF(AJ$3="","",IF(COUNTIFS(BD!$A$3:$A$5001,AJ$3,BD!$B$3:$B$5001,$A$134,BD!$V$3:$V$5001,"&lt;&gt;")=0,"",SUMIFS(BD!$V$3:$V$5001,BD!$A$3:$A$5001,AJ$3,BD!$B$3:$B$5001,$A$134)))</f>
        <v/>
      </c>
      <c r="AK140" s="196" t="str">
        <f>IFERROR(LOOKUP(9.99E+307,F140:AJ140),"")</f>
        <v/>
      </c>
    </row>
    <row r="141" ht="15.75" customHeight="1">
      <c r="A141" s="244"/>
      <c r="B141" s="232" t="inlineStr">
        <is>
          <t xml:space="preserve">OCUPAÇÃO (P.P)</t>
        </is>
      </c>
      <c r="C141" s="155" t="inlineStr">
        <is>
          <t xml:space="preserve">Posições Disponíveis</t>
        </is>
      </c>
      <c r="D141" s="156" t="str">
        <f>IFERROR(1/(1/INDEX(BD!$AJ$43:$BD$43,MATCH($A$134,BD!$AJ$22:$BD$22,0))),"")</f>
        <v/>
      </c>
      <c r="E141" s="157"/>
      <c r="F141" s="158" t="str">
        <f>IF(F$3="","",IF(COUNTIFS(BD!$A$3:$A$5001,F$3,BD!$B$3:$B$5001,$A$134,BD!$W$3:$W$5001,"&lt;&gt;")=0,"",SUMIFS(BD!$W$3:$W$5001,BD!$A$3:$A$5001,F$3,BD!$B$3:$B$5001,$A$134)))</f>
        <v/>
      </c>
      <c r="G141" s="159" t="str">
        <f>IF(G$3="","",IF(COUNTIFS(BD!$A$3:$A$5001,G$3,BD!$B$3:$B$5001,$A$134,BD!$W$3:$W$5001,"&lt;&gt;")=0,"",SUMIFS(BD!$W$3:$W$5001,BD!$A$3:$A$5001,G$3,BD!$B$3:$B$5001,$A$134)))</f>
        <v/>
      </c>
      <c r="H141" s="159" t="str">
        <f>IF(H$3="","",IF(COUNTIFS(BD!$A$3:$A$5001,H$3,BD!$B$3:$B$5001,$A$134,BD!$W$3:$W$5001,"&lt;&gt;")=0,"",SUMIFS(BD!$W$3:$W$5001,BD!$A$3:$A$5001,H$3,BD!$B$3:$B$5001,$A$134)))</f>
        <v/>
      </c>
      <c r="I141" s="159" t="str">
        <f>IF(I$3="","",IF(COUNTIFS(BD!$A$3:$A$5001,I$3,BD!$B$3:$B$5001,$A$134,BD!$W$3:$W$5001,"&lt;&gt;")=0,"",SUMIFS(BD!$W$3:$W$5001,BD!$A$3:$A$5001,I$3,BD!$B$3:$B$5001,$A$134)))</f>
        <v/>
      </c>
      <c r="J141" s="159" t="str">
        <f>IF(J$3="","",IF(COUNTIFS(BD!$A$3:$A$5001,J$3,BD!$B$3:$B$5001,$A$134,BD!$W$3:$W$5001,"&lt;&gt;")=0,"",SUMIFS(BD!$W$3:$W$5001,BD!$A$3:$A$5001,J$3,BD!$B$3:$B$5001,$A$134)))</f>
        <v/>
      </c>
      <c r="K141" s="159" t="str">
        <f>IF(K$3="","",IF(COUNTIFS(BD!$A$3:$A$5001,K$3,BD!$B$3:$B$5001,$A$134,BD!$W$3:$W$5001,"&lt;&gt;")=0,"",SUMIFS(BD!$W$3:$W$5001,BD!$A$3:$A$5001,K$3,BD!$B$3:$B$5001,$A$134)))</f>
        <v/>
      </c>
      <c r="L141" s="159" t="str">
        <f>IF(L$3="","",IF(COUNTIFS(BD!$A$3:$A$5001,L$3,BD!$B$3:$B$5001,$A$134,BD!$W$3:$W$5001,"&lt;&gt;")=0,"",SUMIFS(BD!$W$3:$W$5001,BD!$A$3:$A$5001,L$3,BD!$B$3:$B$5001,$A$134)))</f>
        <v/>
      </c>
      <c r="M141" s="159" t="str">
        <f>IF(M$3="","",IF(COUNTIFS(BD!$A$3:$A$5001,M$3,BD!$B$3:$B$5001,$A$134,BD!$W$3:$W$5001,"&lt;&gt;")=0,"",SUMIFS(BD!$W$3:$W$5001,BD!$A$3:$A$5001,M$3,BD!$B$3:$B$5001,$A$134)))</f>
        <v/>
      </c>
      <c r="N141" s="159" t="str">
        <f>IF(N$3="","",IF(COUNTIFS(BD!$A$3:$A$5001,N$3,BD!$B$3:$B$5001,$A$134,BD!$W$3:$W$5001,"&lt;&gt;")=0,"",SUMIFS(BD!$W$3:$W$5001,BD!$A$3:$A$5001,N$3,BD!$B$3:$B$5001,$A$134)))</f>
        <v/>
      </c>
      <c r="O141" s="159" t="str">
        <f>IF(O$3="","",IF(COUNTIFS(BD!$A$3:$A$5001,O$3,BD!$B$3:$B$5001,$A$134,BD!$W$3:$W$5001,"&lt;&gt;")=0,"",SUMIFS(BD!$W$3:$W$5001,BD!$A$3:$A$5001,O$3,BD!$B$3:$B$5001,$A$134)))</f>
        <v/>
      </c>
      <c r="P141" s="159" t="str">
        <f>IF(P$3="","",IF(COUNTIFS(BD!$A$3:$A$5001,P$3,BD!$B$3:$B$5001,$A$134,BD!$W$3:$W$5001,"&lt;&gt;")=0,"",SUMIFS(BD!$W$3:$W$5001,BD!$A$3:$A$5001,P$3,BD!$B$3:$B$5001,$A$134)))</f>
        <v/>
      </c>
      <c r="Q141" s="159" t="str">
        <f>IF(Q$3="","",IF(COUNTIFS(BD!$A$3:$A$5001,Q$3,BD!$B$3:$B$5001,$A$134,BD!$W$3:$W$5001,"&lt;&gt;")=0,"",SUMIFS(BD!$W$3:$W$5001,BD!$A$3:$A$5001,Q$3,BD!$B$3:$B$5001,$A$134)))</f>
        <v/>
      </c>
      <c r="R141" s="159" t="str">
        <f>IF(R$3="","",IF(COUNTIFS(BD!$A$3:$A$5001,R$3,BD!$B$3:$B$5001,$A$134,BD!$W$3:$W$5001,"&lt;&gt;")=0,"",SUMIFS(BD!$W$3:$W$5001,BD!$A$3:$A$5001,R$3,BD!$B$3:$B$5001,$A$134)))</f>
        <v/>
      </c>
      <c r="S141" s="159" t="str">
        <f>IF(S$3="","",IF(COUNTIFS(BD!$A$3:$A$5001,S$3,BD!$B$3:$B$5001,$A$134,BD!$W$3:$W$5001,"&lt;&gt;")=0,"",SUMIFS(BD!$W$3:$W$5001,BD!$A$3:$A$5001,S$3,BD!$B$3:$B$5001,$A$134)))</f>
        <v/>
      </c>
      <c r="T141" s="159" t="str">
        <f>IF(T$3="","",IF(COUNTIFS(BD!$A$3:$A$5001,T$3,BD!$B$3:$B$5001,$A$134,BD!$W$3:$W$5001,"&lt;&gt;")=0,"",SUMIFS(BD!$W$3:$W$5001,BD!$A$3:$A$5001,T$3,BD!$B$3:$B$5001,$A$134)))</f>
        <v/>
      </c>
      <c r="U141" s="159" t="str">
        <f>IF(U$3="","",IF(COUNTIFS(BD!$A$3:$A$5001,U$3,BD!$B$3:$B$5001,$A$134,BD!$W$3:$W$5001,"&lt;&gt;")=0,"",SUMIFS(BD!$W$3:$W$5001,BD!$A$3:$A$5001,U$3,BD!$B$3:$B$5001,$A$134)))</f>
        <v/>
      </c>
      <c r="V141" s="159" t="str">
        <f>IF(V$3="","",IF(COUNTIFS(BD!$A$3:$A$5001,V$3,BD!$B$3:$B$5001,$A$134,BD!$W$3:$W$5001,"&lt;&gt;")=0,"",SUMIFS(BD!$W$3:$W$5001,BD!$A$3:$A$5001,V$3,BD!$B$3:$B$5001,$A$134)))</f>
        <v/>
      </c>
      <c r="W141" s="159" t="str">
        <f>IF(W$3="","",IF(COUNTIFS(BD!$A$3:$A$5001,W$3,BD!$B$3:$B$5001,$A$134,BD!$W$3:$W$5001,"&lt;&gt;")=0,"",SUMIFS(BD!$W$3:$W$5001,BD!$A$3:$A$5001,W$3,BD!$B$3:$B$5001,$A$134)))</f>
        <v/>
      </c>
      <c r="X141" s="159" t="str">
        <f>IF(X$3="","",IF(COUNTIFS(BD!$A$3:$A$5001,X$3,BD!$B$3:$B$5001,$A$134,BD!$W$3:$W$5001,"&lt;&gt;")=0,"",SUMIFS(BD!$W$3:$W$5001,BD!$A$3:$A$5001,X$3,BD!$B$3:$B$5001,$A$134)))</f>
        <v/>
      </c>
      <c r="Y141" s="159" t="str">
        <f>IF(Y$3="","",IF(COUNTIFS(BD!$A$3:$A$5001,Y$3,BD!$B$3:$B$5001,$A$134,BD!$W$3:$W$5001,"&lt;&gt;")=0,"",SUMIFS(BD!$W$3:$W$5001,BD!$A$3:$A$5001,Y$3,BD!$B$3:$B$5001,$A$134)))</f>
        <v/>
      </c>
      <c r="Z141" s="159" t="str">
        <f>IF(Z$3="","",IF(COUNTIFS(BD!$A$3:$A$5001,Z$3,BD!$B$3:$B$5001,$A$134,BD!$W$3:$W$5001,"&lt;&gt;")=0,"",SUMIFS(BD!$W$3:$W$5001,BD!$A$3:$A$5001,Z$3,BD!$B$3:$B$5001,$A$134)))</f>
        <v/>
      </c>
      <c r="AA141" s="159" t="str">
        <f>IF(AA$3="","",IF(COUNTIFS(BD!$A$3:$A$5001,AA$3,BD!$B$3:$B$5001,$A$134,BD!$W$3:$W$5001,"&lt;&gt;")=0,"",SUMIFS(BD!$W$3:$W$5001,BD!$A$3:$A$5001,AA$3,BD!$B$3:$B$5001,$A$134)))</f>
        <v/>
      </c>
      <c r="AB141" s="159" t="str">
        <f>IF(AB$3="","",IF(COUNTIFS(BD!$A$3:$A$5001,AB$3,BD!$B$3:$B$5001,$A$134,BD!$W$3:$W$5001,"&lt;&gt;")=0,"",SUMIFS(BD!$W$3:$W$5001,BD!$A$3:$A$5001,AB$3,BD!$B$3:$B$5001,$A$134)))</f>
        <v/>
      </c>
      <c r="AC141" s="159" t="str">
        <f>IF(AC$3="","",IF(COUNTIFS(BD!$A$3:$A$5001,AC$3,BD!$B$3:$B$5001,$A$134,BD!$W$3:$W$5001,"&lt;&gt;")=0,"",SUMIFS(BD!$W$3:$W$5001,BD!$A$3:$A$5001,AC$3,BD!$B$3:$B$5001,$A$134)))</f>
        <v/>
      </c>
      <c r="AD141" s="159" t="str">
        <f>IF(AD$3="","",IF(COUNTIFS(BD!$A$3:$A$5001,AD$3,BD!$B$3:$B$5001,$A$134,BD!$W$3:$W$5001,"&lt;&gt;")=0,"",SUMIFS(BD!$W$3:$W$5001,BD!$A$3:$A$5001,AD$3,BD!$B$3:$B$5001,$A$134)))</f>
        <v/>
      </c>
      <c r="AE141" s="159" t="str">
        <f>IF(AE$3="","",IF(COUNTIFS(BD!$A$3:$A$5001,AE$3,BD!$B$3:$B$5001,$A$134,BD!$W$3:$W$5001,"&lt;&gt;")=0,"",SUMIFS(BD!$W$3:$W$5001,BD!$A$3:$A$5001,AE$3,BD!$B$3:$B$5001,$A$134)))</f>
        <v/>
      </c>
      <c r="AF141" s="159" t="str">
        <f>IF(AF$3="","",IF(COUNTIFS(BD!$A$3:$A$5001,AF$3,BD!$B$3:$B$5001,$A$134,BD!$W$3:$W$5001,"&lt;&gt;")=0,"",SUMIFS(BD!$W$3:$W$5001,BD!$A$3:$A$5001,AF$3,BD!$B$3:$B$5001,$A$134)))</f>
        <v/>
      </c>
      <c r="AG141" s="159" t="str">
        <f>IF(AG$3="","",IF(COUNTIFS(BD!$A$3:$A$5001,AG$3,BD!$B$3:$B$5001,$A$134,BD!$W$3:$W$5001,"&lt;&gt;")=0,"",SUMIFS(BD!$W$3:$W$5001,BD!$A$3:$A$5001,AG$3,BD!$B$3:$B$5001,$A$134)))</f>
        <v/>
      </c>
      <c r="AH141" s="159" t="str">
        <f>IF(AH$3="","",IF(COUNTIFS(BD!$A$3:$A$5001,AH$3,BD!$B$3:$B$5001,$A$134,BD!$W$3:$W$5001,"&lt;&gt;")=0,"",SUMIFS(BD!$W$3:$W$5001,BD!$A$3:$A$5001,AH$3,BD!$B$3:$B$5001,$A$134)))</f>
        <v/>
      </c>
      <c r="AI141" s="159" t="str">
        <f>IF(AI$3="","",IF(COUNTIFS(BD!$A$3:$A$5001,AI$3,BD!$B$3:$B$5001,$A$134,BD!$W$3:$W$5001,"&lt;&gt;")=0,"",SUMIFS(BD!$W$3:$W$5001,BD!$A$3:$A$5001,AI$3,BD!$B$3:$B$5001,$A$134)))</f>
        <v/>
      </c>
      <c r="AJ141" s="160" t="str">
        <f>IF(AJ$3="","",IF(COUNTIFS(BD!$A$3:$A$5001,AJ$3,BD!$B$3:$B$5001,$A$134,BD!$W$3:$W$5001,"&lt;&gt;")=0,"",SUMIFS(BD!$W$3:$W$5001,BD!$A$3:$A$5001,AJ$3,BD!$B$3:$B$5001,$A$134)))</f>
        <v/>
      </c>
      <c r="AK141" s="161" t="str">
        <f>IF(COUNT(F141:AJ141)&gt;0,LOOKUP(9.99E+307,F141:AJ141),IFERROR(IF(INDEX(BD!$AG$3:$AG$5001,MATCH($A$134,BD!$B$3:$B$5001,0))&amp;""="Contrato","",INDEX(BD!$AG$3:$AG$5001,MATCH($A$134,BD!$B$3:$B$5001,0))&amp;""),""))</f>
        <v/>
      </c>
    </row>
    <row r="142" ht="15.75" customHeight="1">
      <c r="A142" s="244"/>
      <c r="B142" s="239"/>
      <c r="C142" s="201" t="inlineStr">
        <is>
          <t xml:space="preserve">Posições Ocupadas</t>
        </is>
      </c>
      <c r="D142" s="202" t="str">
        <f>IFERROR(1/(1/INDEX(BD!$AJ$44:$BD$44,MATCH($A$134,BD!$AJ$22:$BD$22,0))),"")</f>
        <v/>
      </c>
      <c r="E142" s="203"/>
      <c r="F142" s="204" t="str">
        <f>IF(F$3="","",IF(COUNTIFS(BD!$A$3:$A$5001,F$3,BD!$B$3:$B$5001,$A$134,BD!$X$3:$X$5001,"&lt;&gt;")=0,"",SUMIFS(BD!$X$3:$X$5001,BD!$A$3:$A$5001,F$3,BD!$B$3:$B$5001,$A$134)))</f>
        <v/>
      </c>
      <c r="G142" s="205" t="str">
        <f>IF(G$3="","",IF(COUNTIFS(BD!$A$3:$A$5001,G$3,BD!$B$3:$B$5001,$A$134,BD!$X$3:$X$5001,"&lt;&gt;")=0,"",SUMIFS(BD!$X$3:$X$5001,BD!$A$3:$A$5001,G$3,BD!$B$3:$B$5001,$A$134)))</f>
        <v/>
      </c>
      <c r="H142" s="205" t="str">
        <f>IF(H$3="","",IF(COUNTIFS(BD!$A$3:$A$5001,H$3,BD!$B$3:$B$5001,$A$134,BD!$X$3:$X$5001,"&lt;&gt;")=0,"",SUMIFS(BD!$X$3:$X$5001,BD!$A$3:$A$5001,H$3,BD!$B$3:$B$5001,$A$134)))</f>
        <v/>
      </c>
      <c r="I142" s="205" t="str">
        <f>IF(I$3="","",IF(COUNTIFS(BD!$A$3:$A$5001,I$3,BD!$B$3:$B$5001,$A$134,BD!$X$3:$X$5001,"&lt;&gt;")=0,"",SUMIFS(BD!$X$3:$X$5001,BD!$A$3:$A$5001,I$3,BD!$B$3:$B$5001,$A$134)))</f>
        <v/>
      </c>
      <c r="J142" s="205" t="str">
        <f>IF(J$3="","",IF(COUNTIFS(BD!$A$3:$A$5001,J$3,BD!$B$3:$B$5001,$A$134,BD!$X$3:$X$5001,"&lt;&gt;")=0,"",SUMIFS(BD!$X$3:$X$5001,BD!$A$3:$A$5001,J$3,BD!$B$3:$B$5001,$A$134)))</f>
        <v/>
      </c>
      <c r="K142" s="205" t="str">
        <f>IF(K$3="","",IF(COUNTIFS(BD!$A$3:$A$5001,K$3,BD!$B$3:$B$5001,$A$134,BD!$X$3:$X$5001,"&lt;&gt;")=0,"",SUMIFS(BD!$X$3:$X$5001,BD!$A$3:$A$5001,K$3,BD!$B$3:$B$5001,$A$134)))</f>
        <v/>
      </c>
      <c r="L142" s="205" t="str">
        <f>IF(L$3="","",IF(COUNTIFS(BD!$A$3:$A$5001,L$3,BD!$B$3:$B$5001,$A$134,BD!$X$3:$X$5001,"&lt;&gt;")=0,"",SUMIFS(BD!$X$3:$X$5001,BD!$A$3:$A$5001,L$3,BD!$B$3:$B$5001,$A$134)))</f>
        <v/>
      </c>
      <c r="M142" s="205" t="str">
        <f>IF(M$3="","",IF(COUNTIFS(BD!$A$3:$A$5001,M$3,BD!$B$3:$B$5001,$A$134,BD!$X$3:$X$5001,"&lt;&gt;")=0,"",SUMIFS(BD!$X$3:$X$5001,BD!$A$3:$A$5001,M$3,BD!$B$3:$B$5001,$A$134)))</f>
        <v/>
      </c>
      <c r="N142" s="205" t="str">
        <f>IF(N$3="","",IF(COUNTIFS(BD!$A$3:$A$5001,N$3,BD!$B$3:$B$5001,$A$134,BD!$X$3:$X$5001,"&lt;&gt;")=0,"",SUMIFS(BD!$X$3:$X$5001,BD!$A$3:$A$5001,N$3,BD!$B$3:$B$5001,$A$134)))</f>
        <v/>
      </c>
      <c r="O142" s="205" t="str">
        <f>IF(O$3="","",IF(COUNTIFS(BD!$A$3:$A$5001,O$3,BD!$B$3:$B$5001,$A$134,BD!$X$3:$X$5001,"&lt;&gt;")=0,"",SUMIFS(BD!$X$3:$X$5001,BD!$A$3:$A$5001,O$3,BD!$B$3:$B$5001,$A$134)))</f>
        <v/>
      </c>
      <c r="P142" s="205" t="str">
        <f>IF(P$3="","",IF(COUNTIFS(BD!$A$3:$A$5001,P$3,BD!$B$3:$B$5001,$A$134,BD!$X$3:$X$5001,"&lt;&gt;")=0,"",SUMIFS(BD!$X$3:$X$5001,BD!$A$3:$A$5001,P$3,BD!$B$3:$B$5001,$A$134)))</f>
        <v/>
      </c>
      <c r="Q142" s="205" t="str">
        <f>IF(Q$3="","",IF(COUNTIFS(BD!$A$3:$A$5001,Q$3,BD!$B$3:$B$5001,$A$134,BD!$X$3:$X$5001,"&lt;&gt;")=0,"",SUMIFS(BD!$X$3:$X$5001,BD!$A$3:$A$5001,Q$3,BD!$B$3:$B$5001,$A$134)))</f>
        <v/>
      </c>
      <c r="R142" s="205" t="str">
        <f>IF(R$3="","",IF(COUNTIFS(BD!$A$3:$A$5001,R$3,BD!$B$3:$B$5001,$A$134,BD!$X$3:$X$5001,"&lt;&gt;")=0,"",SUMIFS(BD!$X$3:$X$5001,BD!$A$3:$A$5001,R$3,BD!$B$3:$B$5001,$A$134)))</f>
        <v/>
      </c>
      <c r="S142" s="205" t="str">
        <f>IF(S$3="","",IF(COUNTIFS(BD!$A$3:$A$5001,S$3,BD!$B$3:$B$5001,$A$134,BD!$X$3:$X$5001,"&lt;&gt;")=0,"",SUMIFS(BD!$X$3:$X$5001,BD!$A$3:$A$5001,S$3,BD!$B$3:$B$5001,$A$134)))</f>
        <v/>
      </c>
      <c r="T142" s="205" t="str">
        <f>IF(T$3="","",IF(COUNTIFS(BD!$A$3:$A$5001,T$3,BD!$B$3:$B$5001,$A$134,BD!$X$3:$X$5001,"&lt;&gt;")=0,"",SUMIFS(BD!$X$3:$X$5001,BD!$A$3:$A$5001,T$3,BD!$B$3:$B$5001,$A$134)))</f>
        <v/>
      </c>
      <c r="U142" s="205" t="str">
        <f>IF(U$3="","",IF(COUNTIFS(BD!$A$3:$A$5001,U$3,BD!$B$3:$B$5001,$A$134,BD!$X$3:$X$5001,"&lt;&gt;")=0,"",SUMIFS(BD!$X$3:$X$5001,BD!$A$3:$A$5001,U$3,BD!$B$3:$B$5001,$A$134)))</f>
        <v/>
      </c>
      <c r="V142" s="205" t="str">
        <f>IF(V$3="","",IF(COUNTIFS(BD!$A$3:$A$5001,V$3,BD!$B$3:$B$5001,$A$134,BD!$X$3:$X$5001,"&lt;&gt;")=0,"",SUMIFS(BD!$X$3:$X$5001,BD!$A$3:$A$5001,V$3,BD!$B$3:$B$5001,$A$134)))</f>
        <v/>
      </c>
      <c r="W142" s="205" t="str">
        <f>IF(W$3="","",IF(COUNTIFS(BD!$A$3:$A$5001,W$3,BD!$B$3:$B$5001,$A$134,BD!$X$3:$X$5001,"&lt;&gt;")=0,"",SUMIFS(BD!$X$3:$X$5001,BD!$A$3:$A$5001,W$3,BD!$B$3:$B$5001,$A$134)))</f>
        <v/>
      </c>
      <c r="X142" s="205" t="str">
        <f>IF(X$3="","",IF(COUNTIFS(BD!$A$3:$A$5001,X$3,BD!$B$3:$B$5001,$A$134,BD!$X$3:$X$5001,"&lt;&gt;")=0,"",SUMIFS(BD!$X$3:$X$5001,BD!$A$3:$A$5001,X$3,BD!$B$3:$B$5001,$A$134)))</f>
        <v/>
      </c>
      <c r="Y142" s="205" t="str">
        <f>IF(Y$3="","",IF(COUNTIFS(BD!$A$3:$A$5001,Y$3,BD!$B$3:$B$5001,$A$134,BD!$X$3:$X$5001,"&lt;&gt;")=0,"",SUMIFS(BD!$X$3:$X$5001,BD!$A$3:$A$5001,Y$3,BD!$B$3:$B$5001,$A$134)))</f>
        <v/>
      </c>
      <c r="Z142" s="205" t="str">
        <f>IF(Z$3="","",IF(COUNTIFS(BD!$A$3:$A$5001,Z$3,BD!$B$3:$B$5001,$A$134,BD!$X$3:$X$5001,"&lt;&gt;")=0,"",SUMIFS(BD!$X$3:$X$5001,BD!$A$3:$A$5001,Z$3,BD!$B$3:$B$5001,$A$134)))</f>
        <v/>
      </c>
      <c r="AA142" s="205" t="str">
        <f>IF(AA$3="","",IF(COUNTIFS(BD!$A$3:$A$5001,AA$3,BD!$B$3:$B$5001,$A$134,BD!$X$3:$X$5001,"&lt;&gt;")=0,"",SUMIFS(BD!$X$3:$X$5001,BD!$A$3:$A$5001,AA$3,BD!$B$3:$B$5001,$A$134)))</f>
        <v/>
      </c>
      <c r="AB142" s="205" t="str">
        <f>IF(AB$3="","",IF(COUNTIFS(BD!$A$3:$A$5001,AB$3,BD!$B$3:$B$5001,$A$134,BD!$X$3:$X$5001,"&lt;&gt;")=0,"",SUMIFS(BD!$X$3:$X$5001,BD!$A$3:$A$5001,AB$3,BD!$B$3:$B$5001,$A$134)))</f>
        <v/>
      </c>
      <c r="AC142" s="205" t="str">
        <f>IF(AC$3="","",IF(COUNTIFS(BD!$A$3:$A$5001,AC$3,BD!$B$3:$B$5001,$A$134,BD!$X$3:$X$5001,"&lt;&gt;")=0,"",SUMIFS(BD!$X$3:$X$5001,BD!$A$3:$A$5001,AC$3,BD!$B$3:$B$5001,$A$134)))</f>
        <v/>
      </c>
      <c r="AD142" s="205" t="str">
        <f>IF(AD$3="","",IF(COUNTIFS(BD!$A$3:$A$5001,AD$3,BD!$B$3:$B$5001,$A$134,BD!$X$3:$X$5001,"&lt;&gt;")=0,"",SUMIFS(BD!$X$3:$X$5001,BD!$A$3:$A$5001,AD$3,BD!$B$3:$B$5001,$A$134)))</f>
        <v/>
      </c>
      <c r="AE142" s="205" t="str">
        <f>IF(AE$3="","",IF(COUNTIFS(BD!$A$3:$A$5001,AE$3,BD!$B$3:$B$5001,$A$134,BD!$X$3:$X$5001,"&lt;&gt;")=0,"",SUMIFS(BD!$X$3:$X$5001,BD!$A$3:$A$5001,AE$3,BD!$B$3:$B$5001,$A$134)))</f>
        <v/>
      </c>
      <c r="AF142" s="205" t="str">
        <f>IF(AF$3="","",IF(COUNTIFS(BD!$A$3:$A$5001,AF$3,BD!$B$3:$B$5001,$A$134,BD!$X$3:$X$5001,"&lt;&gt;")=0,"",SUMIFS(BD!$X$3:$X$5001,BD!$A$3:$A$5001,AF$3,BD!$B$3:$B$5001,$A$134)))</f>
        <v/>
      </c>
      <c r="AG142" s="205" t="str">
        <f>IF(AG$3="","",IF(COUNTIFS(BD!$A$3:$A$5001,AG$3,BD!$B$3:$B$5001,$A$134,BD!$X$3:$X$5001,"&lt;&gt;")=0,"",SUMIFS(BD!$X$3:$X$5001,BD!$A$3:$A$5001,AG$3,BD!$B$3:$B$5001,$A$134)))</f>
        <v/>
      </c>
      <c r="AH142" s="205" t="str">
        <f>IF(AH$3="","",IF(COUNTIFS(BD!$A$3:$A$5001,AH$3,BD!$B$3:$B$5001,$A$134,BD!$X$3:$X$5001,"&lt;&gt;")=0,"",SUMIFS(BD!$X$3:$X$5001,BD!$A$3:$A$5001,AH$3,BD!$B$3:$B$5001,$A$134)))</f>
        <v/>
      </c>
      <c r="AI142" s="205" t="str">
        <f>IF(AI$3="","",IF(COUNTIFS(BD!$A$3:$A$5001,AI$3,BD!$B$3:$B$5001,$A$134,BD!$X$3:$X$5001,"&lt;&gt;")=0,"",SUMIFS(BD!$X$3:$X$5001,BD!$A$3:$A$5001,AI$3,BD!$B$3:$B$5001,$A$134)))</f>
        <v/>
      </c>
      <c r="AJ142" s="206" t="str">
        <f>IF(AJ$3="","",IF(COUNTIFS(BD!$A$3:$A$5001,AJ$3,BD!$B$3:$B$5001,$A$134,BD!$X$3:$X$5001,"&lt;&gt;")=0,"",SUMIFS(BD!$X$3:$X$5001,BD!$A$3:$A$5001,AJ$3,BD!$B$3:$B$5001,$A$134)))</f>
        <v/>
      </c>
      <c r="AK142" s="207" t="str">
        <f>IFERROR(LOOKUP(9.99E+307,F142:AJ142),"")</f>
        <v/>
      </c>
    </row>
    <row r="143" ht="15.75" customHeight="1">
      <c r="A143" s="244"/>
      <c r="B143" s="233"/>
      <c r="C143" s="162" t="inlineStr">
        <is>
          <t xml:space="preserve">Taxa de Ocupação</t>
        </is>
      </c>
      <c r="D143" s="208" t="str">
        <f>IFERROR(1/(1/INDEX(BD!$AJ$45:$BD$45,MATCH($A$134,BD!$AJ$22:$BD$22,0))),"")</f>
        <v/>
      </c>
      <c r="E143" s="164"/>
      <c r="F143" s="209" t="str">
        <f>IF(AND(ISNUMBER(F141),ISNUMBER(F142)),IF(F141&gt;0,F142/F141,""),"")</f>
        <v/>
      </c>
      <c r="G143" s="210" t="str">
        <f>IF(AND(ISNUMBER(G141),ISNUMBER(G142)),IF(G141&gt;0,G142/G141,""),"")</f>
        <v/>
      </c>
      <c r="H143" s="210" t="str">
        <f>IF(AND(ISNUMBER(H141),ISNUMBER(H142)),IF(H141&gt;0,H142/H141,""),"")</f>
        <v/>
      </c>
      <c r="I143" s="210" t="str">
        <f>IF(AND(ISNUMBER(I141),ISNUMBER(I142)),IF(I141&gt;0,I142/I141,""),"")</f>
        <v/>
      </c>
      <c r="J143" s="210" t="str">
        <f>IF(AND(ISNUMBER(J141),ISNUMBER(J142)),IF(J141&gt;0,J142/J141,""),"")</f>
        <v/>
      </c>
      <c r="K143" s="210" t="str">
        <f>IF(AND(ISNUMBER(K141),ISNUMBER(K142)),IF(K141&gt;0,K142/K141,""),"")</f>
        <v/>
      </c>
      <c r="L143" s="210" t="str">
        <f>IF(AND(ISNUMBER(L141),ISNUMBER(L142)),IF(L141&gt;0,L142/L141,""),"")</f>
        <v/>
      </c>
      <c r="M143" s="210" t="str">
        <f>IF(AND(ISNUMBER(M141),ISNUMBER(M142)),IF(M141&gt;0,M142/M141,""),"")</f>
        <v/>
      </c>
      <c r="N143" s="210" t="str">
        <f>IF(AND(ISNUMBER(N141),ISNUMBER(N142)),IF(N141&gt;0,N142/N141,""),"")</f>
        <v/>
      </c>
      <c r="O143" s="210" t="str">
        <f>IF(AND(ISNUMBER(O141),ISNUMBER(O142)),IF(O141&gt;0,O142/O141,""),"")</f>
        <v/>
      </c>
      <c r="P143" s="210" t="str">
        <f>IF(AND(ISNUMBER(P141),ISNUMBER(P142)),IF(P141&gt;0,P142/P141,""),"")</f>
        <v/>
      </c>
      <c r="Q143" s="210" t="str">
        <f>IF(AND(ISNUMBER(Q141),ISNUMBER(Q142)),IF(Q141&gt;0,Q142/Q141,""),"")</f>
        <v/>
      </c>
      <c r="R143" s="210" t="str">
        <f>IF(AND(ISNUMBER(R141),ISNUMBER(R142)),IF(R141&gt;0,R142/R141,""),"")</f>
        <v/>
      </c>
      <c r="S143" s="210" t="str">
        <f>IF(AND(ISNUMBER(S141),ISNUMBER(S142)),IF(S141&gt;0,S142/S141,""),"")</f>
        <v/>
      </c>
      <c r="T143" s="210" t="str">
        <f>IF(AND(ISNUMBER(T141),ISNUMBER(T142)),IF(T141&gt;0,T142/T141,""),"")</f>
        <v/>
      </c>
      <c r="U143" s="210" t="str">
        <f>IF(AND(ISNUMBER(U141),ISNUMBER(U142)),IF(U141&gt;0,U142/U141,""),"")</f>
        <v/>
      </c>
      <c r="V143" s="210" t="str">
        <f>IF(AND(ISNUMBER(V141),ISNUMBER(V142)),IF(V141&gt;0,V142/V141,""),"")</f>
        <v/>
      </c>
      <c r="W143" s="210" t="str">
        <f>IF(AND(ISNUMBER(W141),ISNUMBER(W142)),IF(W141&gt;0,W142/W141,""),"")</f>
        <v/>
      </c>
      <c r="X143" s="210" t="str">
        <f>IF(AND(ISNUMBER(X141),ISNUMBER(X142)),IF(X141&gt;0,X142/X141,""),"")</f>
        <v/>
      </c>
      <c r="Y143" s="210" t="str">
        <f>IF(AND(ISNUMBER(Y141),ISNUMBER(Y142)),IF(Y141&gt;0,Y142/Y141,""),"")</f>
        <v/>
      </c>
      <c r="Z143" s="210" t="str">
        <f>IF(AND(ISNUMBER(Z141),ISNUMBER(Z142)),IF(Z141&gt;0,Z142/Z141,""),"")</f>
        <v/>
      </c>
      <c r="AA143" s="210" t="str">
        <f>IF(AND(ISNUMBER(AA141),ISNUMBER(AA142)),IF(AA141&gt;0,AA142/AA141,""),"")</f>
        <v/>
      </c>
      <c r="AB143" s="210" t="str">
        <f>IF(AND(ISNUMBER(AB141),ISNUMBER(AB142)),IF(AB141&gt;0,AB142/AB141,""),"")</f>
        <v/>
      </c>
      <c r="AC143" s="210" t="str">
        <f>IF(AND(ISNUMBER(AC141),ISNUMBER(AC142)),IF(AC141&gt;0,AC142/AC141,""),"")</f>
        <v/>
      </c>
      <c r="AD143" s="210" t="str">
        <f>IF(AND(ISNUMBER(AD141),ISNUMBER(AD142)),IF(AD141&gt;0,AD142/AD141,""),"")</f>
        <v/>
      </c>
      <c r="AE143" s="210" t="str">
        <f>IF(AND(ISNUMBER(AE141),ISNUMBER(AE142)),IF(AE141&gt;0,AE142/AE141,""),"")</f>
        <v/>
      </c>
      <c r="AF143" s="210" t="str">
        <f>IF(AND(ISNUMBER(AF141),ISNUMBER(AF142)),IF(AF141&gt;0,AF142/AF141,""),"")</f>
        <v/>
      </c>
      <c r="AG143" s="210" t="str">
        <f>IF(AND(ISNUMBER(AG141),ISNUMBER(AG142)),IF(AG141&gt;0,AG142/AG141,""),"")</f>
        <v/>
      </c>
      <c r="AH143" s="210" t="str">
        <f>IF(AND(ISNUMBER(AH141),ISNUMBER(AH142)),IF(AH141&gt;0,AH142/AH141,""),"")</f>
        <v/>
      </c>
      <c r="AI143" s="210" t="str">
        <f>IF(AND(ISNUMBER(AI141),ISNUMBER(AI142)),IF(AI141&gt;0,AI142/AI141,""),"")</f>
        <v/>
      </c>
      <c r="AJ143" s="211" t="str">
        <f>IF(AND(ISNUMBER(AJ141),ISNUMBER(AJ142)),IF(AJ141&gt;0,AJ142/AJ141,""),"")</f>
        <v/>
      </c>
      <c r="AK143" s="208" t="str">
        <f>IF(AND(ISNUMBER(AK141),ISNUMBER(AK142)),IF(AK141&gt;0,AK142/AK141,""),"")</f>
        <v/>
      </c>
    </row>
    <row r="144" ht="15.75" customHeight="1">
      <c r="A144" s="244"/>
      <c r="B144" s="240" t="inlineStr">
        <is>
          <t xml:space="preserve">GENTE</t>
        </is>
      </c>
      <c r="C144" s="212" t="inlineStr">
        <is>
          <t xml:space="preserve">Efetivo Op.</t>
        </is>
      </c>
      <c r="D144" s="213" t="str">
        <f>IFERROR(1/(1/INDEX(BD!$AJ$46:$BD$46,MATCH($A$134,BD!$AJ$22:$BD$22,0))),"")</f>
        <v/>
      </c>
      <c r="E144" s="214"/>
      <c r="F144" s="215" t="str">
        <f>IF(F$3="","",IF(COUNTIFS(BD!$A$3:$A$5001,F$3,BD!$B$3:$B$5001,$A$134,BD!$Y$3:$Y$5001,"&lt;&gt;")=0,"",SUMIFS(BD!$Y$3:$Y$5001,BD!$A$3:$A$5001,F$3,BD!$B$3:$B$5001,$A$134)))</f>
        <v/>
      </c>
      <c r="G144" s="216" t="str">
        <f>IF(G$3="","",IF(COUNTIFS(BD!$A$3:$A$5001,G$3,BD!$B$3:$B$5001,$A$134,BD!$Y$3:$Y$5001,"&lt;&gt;")=0,"",SUMIFS(BD!$Y$3:$Y$5001,BD!$A$3:$A$5001,G$3,BD!$B$3:$B$5001,$A$134)))</f>
        <v/>
      </c>
      <c r="H144" s="216" t="str">
        <f>IF(H$3="","",IF(COUNTIFS(BD!$A$3:$A$5001,H$3,BD!$B$3:$B$5001,$A$134,BD!$Y$3:$Y$5001,"&lt;&gt;")=0,"",SUMIFS(BD!$Y$3:$Y$5001,BD!$A$3:$A$5001,H$3,BD!$B$3:$B$5001,$A$134)))</f>
        <v/>
      </c>
      <c r="I144" s="216" t="str">
        <f>IF(I$3="","",IF(COUNTIFS(BD!$A$3:$A$5001,I$3,BD!$B$3:$B$5001,$A$134,BD!$Y$3:$Y$5001,"&lt;&gt;")=0,"",SUMIFS(BD!$Y$3:$Y$5001,BD!$A$3:$A$5001,I$3,BD!$B$3:$B$5001,$A$134)))</f>
        <v/>
      </c>
      <c r="J144" s="216" t="str">
        <f>IF(J$3="","",IF(COUNTIFS(BD!$A$3:$A$5001,J$3,BD!$B$3:$B$5001,$A$134,BD!$Y$3:$Y$5001,"&lt;&gt;")=0,"",SUMIFS(BD!$Y$3:$Y$5001,BD!$A$3:$A$5001,J$3,BD!$B$3:$B$5001,$A$134)))</f>
        <v/>
      </c>
      <c r="K144" s="216" t="str">
        <f>IF(K$3="","",IF(COUNTIFS(BD!$A$3:$A$5001,K$3,BD!$B$3:$B$5001,$A$134,BD!$Y$3:$Y$5001,"&lt;&gt;")=0,"",SUMIFS(BD!$Y$3:$Y$5001,BD!$A$3:$A$5001,K$3,BD!$B$3:$B$5001,$A$134)))</f>
        <v/>
      </c>
      <c r="L144" s="216" t="str">
        <f>IF(L$3="","",IF(COUNTIFS(BD!$A$3:$A$5001,L$3,BD!$B$3:$B$5001,$A$134,BD!$Y$3:$Y$5001,"&lt;&gt;")=0,"",SUMIFS(BD!$Y$3:$Y$5001,BD!$A$3:$A$5001,L$3,BD!$B$3:$B$5001,$A$134)))</f>
        <v/>
      </c>
      <c r="M144" s="216" t="str">
        <f>IF(M$3="","",IF(COUNTIFS(BD!$A$3:$A$5001,M$3,BD!$B$3:$B$5001,$A$134,BD!$Y$3:$Y$5001,"&lt;&gt;")=0,"",SUMIFS(BD!$Y$3:$Y$5001,BD!$A$3:$A$5001,M$3,BD!$B$3:$B$5001,$A$134)))</f>
        <v/>
      </c>
      <c r="N144" s="216" t="str">
        <f>IF(N$3="","",IF(COUNTIFS(BD!$A$3:$A$5001,N$3,BD!$B$3:$B$5001,$A$134,BD!$Y$3:$Y$5001,"&lt;&gt;")=0,"",SUMIFS(BD!$Y$3:$Y$5001,BD!$A$3:$A$5001,N$3,BD!$B$3:$B$5001,$A$134)))</f>
        <v/>
      </c>
      <c r="O144" s="216" t="str">
        <f>IF(O$3="","",IF(COUNTIFS(BD!$A$3:$A$5001,O$3,BD!$B$3:$B$5001,$A$134,BD!$Y$3:$Y$5001,"&lt;&gt;")=0,"",SUMIFS(BD!$Y$3:$Y$5001,BD!$A$3:$A$5001,O$3,BD!$B$3:$B$5001,$A$134)))</f>
        <v/>
      </c>
      <c r="P144" s="216" t="str">
        <f>IF(P$3="","",IF(COUNTIFS(BD!$A$3:$A$5001,P$3,BD!$B$3:$B$5001,$A$134,BD!$Y$3:$Y$5001,"&lt;&gt;")=0,"",SUMIFS(BD!$Y$3:$Y$5001,BD!$A$3:$A$5001,P$3,BD!$B$3:$B$5001,$A$134)))</f>
        <v/>
      </c>
      <c r="Q144" s="216" t="str">
        <f>IF(Q$3="","",IF(COUNTIFS(BD!$A$3:$A$5001,Q$3,BD!$B$3:$B$5001,$A$134,BD!$Y$3:$Y$5001,"&lt;&gt;")=0,"",SUMIFS(BD!$Y$3:$Y$5001,BD!$A$3:$A$5001,Q$3,BD!$B$3:$B$5001,$A$134)))</f>
        <v/>
      </c>
      <c r="R144" s="216" t="str">
        <f>IF(R$3="","",IF(COUNTIFS(BD!$A$3:$A$5001,R$3,BD!$B$3:$B$5001,$A$134,BD!$Y$3:$Y$5001,"&lt;&gt;")=0,"",SUMIFS(BD!$Y$3:$Y$5001,BD!$A$3:$A$5001,R$3,BD!$B$3:$B$5001,$A$134)))</f>
        <v/>
      </c>
      <c r="S144" s="216" t="str">
        <f>IF(S$3="","",IF(COUNTIFS(BD!$A$3:$A$5001,S$3,BD!$B$3:$B$5001,$A$134,BD!$Y$3:$Y$5001,"&lt;&gt;")=0,"",SUMIFS(BD!$Y$3:$Y$5001,BD!$A$3:$A$5001,S$3,BD!$B$3:$B$5001,$A$134)))</f>
        <v/>
      </c>
      <c r="T144" s="216" t="str">
        <f>IF(T$3="","",IF(COUNTIFS(BD!$A$3:$A$5001,T$3,BD!$B$3:$B$5001,$A$134,BD!$Y$3:$Y$5001,"&lt;&gt;")=0,"",SUMIFS(BD!$Y$3:$Y$5001,BD!$A$3:$A$5001,T$3,BD!$B$3:$B$5001,$A$134)))</f>
        <v/>
      </c>
      <c r="U144" s="216" t="str">
        <f>IF(U$3="","",IF(COUNTIFS(BD!$A$3:$A$5001,U$3,BD!$B$3:$B$5001,$A$134,BD!$Y$3:$Y$5001,"&lt;&gt;")=0,"",SUMIFS(BD!$Y$3:$Y$5001,BD!$A$3:$A$5001,U$3,BD!$B$3:$B$5001,$A$134)))</f>
        <v/>
      </c>
      <c r="V144" s="216" t="str">
        <f>IF(V$3="","",IF(COUNTIFS(BD!$A$3:$A$5001,V$3,BD!$B$3:$B$5001,$A$134,BD!$Y$3:$Y$5001,"&lt;&gt;")=0,"",SUMIFS(BD!$Y$3:$Y$5001,BD!$A$3:$A$5001,V$3,BD!$B$3:$B$5001,$A$134)))</f>
        <v/>
      </c>
      <c r="W144" s="216" t="str">
        <f>IF(W$3="","",IF(COUNTIFS(BD!$A$3:$A$5001,W$3,BD!$B$3:$B$5001,$A$134,BD!$Y$3:$Y$5001,"&lt;&gt;")=0,"",SUMIFS(BD!$Y$3:$Y$5001,BD!$A$3:$A$5001,W$3,BD!$B$3:$B$5001,$A$134)))</f>
        <v/>
      </c>
      <c r="X144" s="216" t="str">
        <f>IF(X$3="","",IF(COUNTIFS(BD!$A$3:$A$5001,X$3,BD!$B$3:$B$5001,$A$134,BD!$Y$3:$Y$5001,"&lt;&gt;")=0,"",SUMIFS(BD!$Y$3:$Y$5001,BD!$A$3:$A$5001,X$3,BD!$B$3:$B$5001,$A$134)))</f>
        <v/>
      </c>
      <c r="Y144" s="216" t="str">
        <f>IF(Y$3="","",IF(COUNTIFS(BD!$A$3:$A$5001,Y$3,BD!$B$3:$B$5001,$A$134,BD!$Y$3:$Y$5001,"&lt;&gt;")=0,"",SUMIFS(BD!$Y$3:$Y$5001,BD!$A$3:$A$5001,Y$3,BD!$B$3:$B$5001,$A$134)))</f>
        <v/>
      </c>
      <c r="Z144" s="216" t="str">
        <f>IF(Z$3="","",IF(COUNTIFS(BD!$A$3:$A$5001,Z$3,BD!$B$3:$B$5001,$A$134,BD!$Y$3:$Y$5001,"&lt;&gt;")=0,"",SUMIFS(BD!$Y$3:$Y$5001,BD!$A$3:$A$5001,Z$3,BD!$B$3:$B$5001,$A$134)))</f>
        <v/>
      </c>
      <c r="AA144" s="216" t="str">
        <f>IF(AA$3="","",IF(COUNTIFS(BD!$A$3:$A$5001,AA$3,BD!$B$3:$B$5001,$A$134,BD!$Y$3:$Y$5001,"&lt;&gt;")=0,"",SUMIFS(BD!$Y$3:$Y$5001,BD!$A$3:$A$5001,AA$3,BD!$B$3:$B$5001,$A$134)))</f>
        <v/>
      </c>
      <c r="AB144" s="216" t="str">
        <f>IF(AB$3="","",IF(COUNTIFS(BD!$A$3:$A$5001,AB$3,BD!$B$3:$B$5001,$A$134,BD!$Y$3:$Y$5001,"&lt;&gt;")=0,"",SUMIFS(BD!$Y$3:$Y$5001,BD!$A$3:$A$5001,AB$3,BD!$B$3:$B$5001,$A$134)))</f>
        <v/>
      </c>
      <c r="AC144" s="216" t="str">
        <f>IF(AC$3="","",IF(COUNTIFS(BD!$A$3:$A$5001,AC$3,BD!$B$3:$B$5001,$A$134,BD!$Y$3:$Y$5001,"&lt;&gt;")=0,"",SUMIFS(BD!$Y$3:$Y$5001,BD!$A$3:$A$5001,AC$3,BD!$B$3:$B$5001,$A$134)))</f>
        <v/>
      </c>
      <c r="AD144" s="216" t="str">
        <f>IF(AD$3="","",IF(COUNTIFS(BD!$A$3:$A$5001,AD$3,BD!$B$3:$B$5001,$A$134,BD!$Y$3:$Y$5001,"&lt;&gt;")=0,"",SUMIFS(BD!$Y$3:$Y$5001,BD!$A$3:$A$5001,AD$3,BD!$B$3:$B$5001,$A$134)))</f>
        <v/>
      </c>
      <c r="AE144" s="216" t="str">
        <f>IF(AE$3="","",IF(COUNTIFS(BD!$A$3:$A$5001,AE$3,BD!$B$3:$B$5001,$A$134,BD!$Y$3:$Y$5001,"&lt;&gt;")=0,"",SUMIFS(BD!$Y$3:$Y$5001,BD!$A$3:$A$5001,AE$3,BD!$B$3:$B$5001,$A$134)))</f>
        <v/>
      </c>
      <c r="AF144" s="216" t="str">
        <f>IF(AF$3="","",IF(COUNTIFS(BD!$A$3:$A$5001,AF$3,BD!$B$3:$B$5001,$A$134,BD!$Y$3:$Y$5001,"&lt;&gt;")=0,"",SUMIFS(BD!$Y$3:$Y$5001,BD!$A$3:$A$5001,AF$3,BD!$B$3:$B$5001,$A$134)))</f>
        <v/>
      </c>
      <c r="AG144" s="216" t="str">
        <f>IF(AG$3="","",IF(COUNTIFS(BD!$A$3:$A$5001,AG$3,BD!$B$3:$B$5001,$A$134,BD!$Y$3:$Y$5001,"&lt;&gt;")=0,"",SUMIFS(BD!$Y$3:$Y$5001,BD!$A$3:$A$5001,AG$3,BD!$B$3:$B$5001,$A$134)))</f>
        <v/>
      </c>
      <c r="AH144" s="216" t="str">
        <f>IF(AH$3="","",IF(COUNTIFS(BD!$A$3:$A$5001,AH$3,BD!$B$3:$B$5001,$A$134,BD!$Y$3:$Y$5001,"&lt;&gt;")=0,"",SUMIFS(BD!$Y$3:$Y$5001,BD!$A$3:$A$5001,AH$3,BD!$B$3:$B$5001,$A$134)))</f>
        <v/>
      </c>
      <c r="AI144" s="216" t="str">
        <f>IF(AI$3="","",IF(COUNTIFS(BD!$A$3:$A$5001,AI$3,BD!$B$3:$B$5001,$A$134,BD!$Y$3:$Y$5001,"&lt;&gt;")=0,"",SUMIFS(BD!$Y$3:$Y$5001,BD!$A$3:$A$5001,AI$3,BD!$B$3:$B$5001,$A$134)))</f>
        <v/>
      </c>
      <c r="AJ144" s="217" t="str">
        <f>IF(AJ$3="","",IF(COUNTIFS(BD!$A$3:$A$5001,AJ$3,BD!$B$3:$B$5001,$A$134,BD!$Y$3:$Y$5001,"&lt;&gt;")=0,"",SUMIFS(BD!$Y$3:$Y$5001,BD!$A$3:$A$5001,AJ$3,BD!$B$3:$B$5001,$A$134)))</f>
        <v/>
      </c>
      <c r="AK144" s="218" t="str">
        <f>IFERROR(LOOKUP(9.99E+307,F144:AJ144),"")</f>
        <v/>
      </c>
    </row>
    <row r="145" ht="15.75" customHeight="1">
      <c r="A145" s="244"/>
      <c r="B145" s="241"/>
      <c r="C145" s="219" t="inlineStr">
        <is>
          <t xml:space="preserve">Falta</t>
        </is>
      </c>
      <c r="D145" s="220" t="str">
        <f>IFERROR(1/(1/INDEX(BD!$AJ$47:$BD$47,MATCH($A$134,BD!$AJ$22:$BD$22,0))),"")</f>
        <v/>
      </c>
      <c r="E145" s="221"/>
      <c r="F145" s="222" t="str">
        <f>IF(F$3="","",IF(COUNTIFS(BD!$A$3:$A$5001,F$3,BD!$B$3:$B$5001,$A$134,BD!$Z$3:$Z$5001,"&lt;&gt;")=0,"",SUMIFS(BD!$Z$3:$Z$5001,BD!$A$3:$A$5001,F$3,BD!$B$3:$B$5001,$A$134)))</f>
        <v/>
      </c>
      <c r="G145" s="223" t="str">
        <f>IF(G$3="","",IF(COUNTIFS(BD!$A$3:$A$5001,G$3,BD!$B$3:$B$5001,$A$134,BD!$Z$3:$Z$5001,"&lt;&gt;")=0,"",SUMIFS(BD!$Z$3:$Z$5001,BD!$A$3:$A$5001,G$3,BD!$B$3:$B$5001,$A$134)))</f>
        <v/>
      </c>
      <c r="H145" s="223" t="str">
        <f>IF(H$3="","",IF(COUNTIFS(BD!$A$3:$A$5001,H$3,BD!$B$3:$B$5001,$A$134,BD!$Z$3:$Z$5001,"&lt;&gt;")=0,"",SUMIFS(BD!$Z$3:$Z$5001,BD!$A$3:$A$5001,H$3,BD!$B$3:$B$5001,$A$134)))</f>
        <v/>
      </c>
      <c r="I145" s="223" t="str">
        <f>IF(I$3="","",IF(COUNTIFS(BD!$A$3:$A$5001,I$3,BD!$B$3:$B$5001,$A$134,BD!$Z$3:$Z$5001,"&lt;&gt;")=0,"",SUMIFS(BD!$Z$3:$Z$5001,BD!$A$3:$A$5001,I$3,BD!$B$3:$B$5001,$A$134)))</f>
        <v/>
      </c>
      <c r="J145" s="223" t="str">
        <f>IF(J$3="","",IF(COUNTIFS(BD!$A$3:$A$5001,J$3,BD!$B$3:$B$5001,$A$134,BD!$Z$3:$Z$5001,"&lt;&gt;")=0,"",SUMIFS(BD!$Z$3:$Z$5001,BD!$A$3:$A$5001,J$3,BD!$B$3:$B$5001,$A$134)))</f>
        <v/>
      </c>
      <c r="K145" s="223" t="str">
        <f>IF(K$3="","",IF(COUNTIFS(BD!$A$3:$A$5001,K$3,BD!$B$3:$B$5001,$A$134,BD!$Z$3:$Z$5001,"&lt;&gt;")=0,"",SUMIFS(BD!$Z$3:$Z$5001,BD!$A$3:$A$5001,K$3,BD!$B$3:$B$5001,$A$134)))</f>
        <v/>
      </c>
      <c r="L145" s="223" t="str">
        <f>IF(L$3="","",IF(COUNTIFS(BD!$A$3:$A$5001,L$3,BD!$B$3:$B$5001,$A$134,BD!$Z$3:$Z$5001,"&lt;&gt;")=0,"",SUMIFS(BD!$Z$3:$Z$5001,BD!$A$3:$A$5001,L$3,BD!$B$3:$B$5001,$A$134)))</f>
        <v/>
      </c>
      <c r="M145" s="223" t="str">
        <f>IF(M$3="","",IF(COUNTIFS(BD!$A$3:$A$5001,M$3,BD!$B$3:$B$5001,$A$134,BD!$Z$3:$Z$5001,"&lt;&gt;")=0,"",SUMIFS(BD!$Z$3:$Z$5001,BD!$A$3:$A$5001,M$3,BD!$B$3:$B$5001,$A$134)))</f>
        <v/>
      </c>
      <c r="N145" s="223" t="str">
        <f>IF(N$3="","",IF(COUNTIFS(BD!$A$3:$A$5001,N$3,BD!$B$3:$B$5001,$A$134,BD!$Z$3:$Z$5001,"&lt;&gt;")=0,"",SUMIFS(BD!$Z$3:$Z$5001,BD!$A$3:$A$5001,N$3,BD!$B$3:$B$5001,$A$134)))</f>
        <v/>
      </c>
      <c r="O145" s="223" t="str">
        <f>IF(O$3="","",IF(COUNTIFS(BD!$A$3:$A$5001,O$3,BD!$B$3:$B$5001,$A$134,BD!$Z$3:$Z$5001,"&lt;&gt;")=0,"",SUMIFS(BD!$Z$3:$Z$5001,BD!$A$3:$A$5001,O$3,BD!$B$3:$B$5001,$A$134)))</f>
        <v/>
      </c>
      <c r="P145" s="223" t="str">
        <f>IF(P$3="","",IF(COUNTIFS(BD!$A$3:$A$5001,P$3,BD!$B$3:$B$5001,$A$134,BD!$Z$3:$Z$5001,"&lt;&gt;")=0,"",SUMIFS(BD!$Z$3:$Z$5001,BD!$A$3:$A$5001,P$3,BD!$B$3:$B$5001,$A$134)))</f>
        <v/>
      </c>
      <c r="Q145" s="223" t="str">
        <f>IF(Q$3="","",IF(COUNTIFS(BD!$A$3:$A$5001,Q$3,BD!$B$3:$B$5001,$A$134,BD!$Z$3:$Z$5001,"&lt;&gt;")=0,"",SUMIFS(BD!$Z$3:$Z$5001,BD!$A$3:$A$5001,Q$3,BD!$B$3:$B$5001,$A$134)))</f>
        <v/>
      </c>
      <c r="R145" s="223" t="str">
        <f>IF(R$3="","",IF(COUNTIFS(BD!$A$3:$A$5001,R$3,BD!$B$3:$B$5001,$A$134,BD!$Z$3:$Z$5001,"&lt;&gt;")=0,"",SUMIFS(BD!$Z$3:$Z$5001,BD!$A$3:$A$5001,R$3,BD!$B$3:$B$5001,$A$134)))</f>
        <v/>
      </c>
      <c r="S145" s="223" t="str">
        <f>IF(S$3="","",IF(COUNTIFS(BD!$A$3:$A$5001,S$3,BD!$B$3:$B$5001,$A$134,BD!$Z$3:$Z$5001,"&lt;&gt;")=0,"",SUMIFS(BD!$Z$3:$Z$5001,BD!$A$3:$A$5001,S$3,BD!$B$3:$B$5001,$A$134)))</f>
        <v/>
      </c>
      <c r="T145" s="223" t="str">
        <f>IF(T$3="","",IF(COUNTIFS(BD!$A$3:$A$5001,T$3,BD!$B$3:$B$5001,$A$134,BD!$Z$3:$Z$5001,"&lt;&gt;")=0,"",SUMIFS(BD!$Z$3:$Z$5001,BD!$A$3:$A$5001,T$3,BD!$B$3:$B$5001,$A$134)))</f>
        <v/>
      </c>
      <c r="U145" s="223" t="str">
        <f>IF(U$3="","",IF(COUNTIFS(BD!$A$3:$A$5001,U$3,BD!$B$3:$B$5001,$A$134,BD!$Z$3:$Z$5001,"&lt;&gt;")=0,"",SUMIFS(BD!$Z$3:$Z$5001,BD!$A$3:$A$5001,U$3,BD!$B$3:$B$5001,$A$134)))</f>
        <v/>
      </c>
      <c r="V145" s="223" t="str">
        <f>IF(V$3="","",IF(COUNTIFS(BD!$A$3:$A$5001,V$3,BD!$B$3:$B$5001,$A$134,BD!$Z$3:$Z$5001,"&lt;&gt;")=0,"",SUMIFS(BD!$Z$3:$Z$5001,BD!$A$3:$A$5001,V$3,BD!$B$3:$B$5001,$A$134)))</f>
        <v/>
      </c>
      <c r="W145" s="223" t="str">
        <f>IF(W$3="","",IF(COUNTIFS(BD!$A$3:$A$5001,W$3,BD!$B$3:$B$5001,$A$134,BD!$Z$3:$Z$5001,"&lt;&gt;")=0,"",SUMIFS(BD!$Z$3:$Z$5001,BD!$A$3:$A$5001,W$3,BD!$B$3:$B$5001,$A$134)))</f>
        <v/>
      </c>
      <c r="X145" s="223" t="str">
        <f>IF(X$3="","",IF(COUNTIFS(BD!$A$3:$A$5001,X$3,BD!$B$3:$B$5001,$A$134,BD!$Z$3:$Z$5001,"&lt;&gt;")=0,"",SUMIFS(BD!$Z$3:$Z$5001,BD!$A$3:$A$5001,X$3,BD!$B$3:$B$5001,$A$134)))</f>
        <v/>
      </c>
      <c r="Y145" s="223" t="str">
        <f>IF(Y$3="","",IF(COUNTIFS(BD!$A$3:$A$5001,Y$3,BD!$B$3:$B$5001,$A$134,BD!$Z$3:$Z$5001,"&lt;&gt;")=0,"",SUMIFS(BD!$Z$3:$Z$5001,BD!$A$3:$A$5001,Y$3,BD!$B$3:$B$5001,$A$134)))</f>
        <v/>
      </c>
      <c r="Z145" s="223" t="str">
        <f>IF(Z$3="","",IF(COUNTIFS(BD!$A$3:$A$5001,Z$3,BD!$B$3:$B$5001,$A$134,BD!$Z$3:$Z$5001,"&lt;&gt;")=0,"",SUMIFS(BD!$Z$3:$Z$5001,BD!$A$3:$A$5001,Z$3,BD!$B$3:$B$5001,$A$134)))</f>
        <v/>
      </c>
      <c r="AA145" s="223" t="str">
        <f>IF(AA$3="","",IF(COUNTIFS(BD!$A$3:$A$5001,AA$3,BD!$B$3:$B$5001,$A$134,BD!$Z$3:$Z$5001,"&lt;&gt;")=0,"",SUMIFS(BD!$Z$3:$Z$5001,BD!$A$3:$A$5001,AA$3,BD!$B$3:$B$5001,$A$134)))</f>
        <v/>
      </c>
      <c r="AB145" s="223" t="str">
        <f>IF(AB$3="","",IF(COUNTIFS(BD!$A$3:$A$5001,AB$3,BD!$B$3:$B$5001,$A$134,BD!$Z$3:$Z$5001,"&lt;&gt;")=0,"",SUMIFS(BD!$Z$3:$Z$5001,BD!$A$3:$A$5001,AB$3,BD!$B$3:$B$5001,$A$134)))</f>
        <v/>
      </c>
      <c r="AC145" s="223" t="str">
        <f>IF(AC$3="","",IF(COUNTIFS(BD!$A$3:$A$5001,AC$3,BD!$B$3:$B$5001,$A$134,BD!$Z$3:$Z$5001,"&lt;&gt;")=0,"",SUMIFS(BD!$Z$3:$Z$5001,BD!$A$3:$A$5001,AC$3,BD!$B$3:$B$5001,$A$134)))</f>
        <v/>
      </c>
      <c r="AD145" s="223" t="str">
        <f>IF(AD$3="","",IF(COUNTIFS(BD!$A$3:$A$5001,AD$3,BD!$B$3:$B$5001,$A$134,BD!$Z$3:$Z$5001,"&lt;&gt;")=0,"",SUMIFS(BD!$Z$3:$Z$5001,BD!$A$3:$A$5001,AD$3,BD!$B$3:$B$5001,$A$134)))</f>
        <v/>
      </c>
      <c r="AE145" s="223" t="str">
        <f>IF(AE$3="","",IF(COUNTIFS(BD!$A$3:$A$5001,AE$3,BD!$B$3:$B$5001,$A$134,BD!$Z$3:$Z$5001,"&lt;&gt;")=0,"",SUMIFS(BD!$Z$3:$Z$5001,BD!$A$3:$A$5001,AE$3,BD!$B$3:$B$5001,$A$134)))</f>
        <v/>
      </c>
      <c r="AF145" s="223" t="str">
        <f>IF(AF$3="","",IF(COUNTIFS(BD!$A$3:$A$5001,AF$3,BD!$B$3:$B$5001,$A$134,BD!$Z$3:$Z$5001,"&lt;&gt;")=0,"",SUMIFS(BD!$Z$3:$Z$5001,BD!$A$3:$A$5001,AF$3,BD!$B$3:$B$5001,$A$134)))</f>
        <v/>
      </c>
      <c r="AG145" s="223" t="str">
        <f>IF(AG$3="","",IF(COUNTIFS(BD!$A$3:$A$5001,AG$3,BD!$B$3:$B$5001,$A$134,BD!$Z$3:$Z$5001,"&lt;&gt;")=0,"",SUMIFS(BD!$Z$3:$Z$5001,BD!$A$3:$A$5001,AG$3,BD!$B$3:$B$5001,$A$134)))</f>
        <v/>
      </c>
      <c r="AH145" s="223" t="str">
        <f>IF(AH$3="","",IF(COUNTIFS(BD!$A$3:$A$5001,AH$3,BD!$B$3:$B$5001,$A$134,BD!$Z$3:$Z$5001,"&lt;&gt;")=0,"",SUMIFS(BD!$Z$3:$Z$5001,BD!$A$3:$A$5001,AH$3,BD!$B$3:$B$5001,$A$134)))</f>
        <v/>
      </c>
      <c r="AI145" s="223" t="str">
        <f>IF(AI$3="","",IF(COUNTIFS(BD!$A$3:$A$5001,AI$3,BD!$B$3:$B$5001,$A$134,BD!$Z$3:$Z$5001,"&lt;&gt;")=0,"",SUMIFS(BD!$Z$3:$Z$5001,BD!$A$3:$A$5001,AI$3,BD!$B$3:$B$5001,$A$134)))</f>
        <v/>
      </c>
      <c r="AJ145" s="224" t="str">
        <f>IF(AJ$3="","",IF(COUNTIFS(BD!$A$3:$A$5001,AJ$3,BD!$B$3:$B$5001,$A$134,BD!$Z$3:$Z$5001,"&lt;&gt;")=0,"",SUMIFS(BD!$Z$3:$Z$5001,BD!$A$3:$A$5001,AJ$3,BD!$B$3:$B$5001,$A$134)))</f>
        <v/>
      </c>
      <c r="AK145" s="225" t="str">
        <f>IF(COUNT(F145:AJ145)=0,"",SUM(F145:AJ145))</f>
        <v/>
      </c>
    </row>
    <row r="146" ht="15.75" customHeight="1">
      <c r="A146" s="244"/>
      <c r="B146" s="241"/>
      <c r="C146" s="219" t="inlineStr">
        <is>
          <t xml:space="preserve">Folga</t>
        </is>
      </c>
      <c r="D146" s="220" t="str">
        <f>IFERROR(1/(1/INDEX(BD!$AJ$48:$BD$48,MATCH($A$134,BD!$AJ$22:$BD$22,0))),"")</f>
        <v/>
      </c>
      <c r="E146" s="221"/>
      <c r="F146" s="222" t="str">
        <f>IF(F$3="","",IF(COUNTIFS(BD!$A$3:$A$5001,F$3,BD!$B$3:$B$5001,$A$134,BD!$AA$3:$AA$5001,"&lt;&gt;")=0,"",SUMIFS(BD!$AA$3:$AA$5001,BD!$A$3:$A$5001,F$3,BD!$B$3:$B$5001,$A$134)))</f>
        <v/>
      </c>
      <c r="G146" s="223" t="str">
        <f>IF(G$3="","",IF(COUNTIFS(BD!$A$3:$A$5001,G$3,BD!$B$3:$B$5001,$A$134,BD!$AA$3:$AA$5001,"&lt;&gt;")=0,"",SUMIFS(BD!$AA$3:$AA$5001,BD!$A$3:$A$5001,G$3,BD!$B$3:$B$5001,$A$134)))</f>
        <v/>
      </c>
      <c r="H146" s="223" t="str">
        <f>IF(H$3="","",IF(COUNTIFS(BD!$A$3:$A$5001,H$3,BD!$B$3:$B$5001,$A$134,BD!$AA$3:$AA$5001,"&lt;&gt;")=0,"",SUMIFS(BD!$AA$3:$AA$5001,BD!$A$3:$A$5001,H$3,BD!$B$3:$B$5001,$A$134)))</f>
        <v/>
      </c>
      <c r="I146" s="223" t="str">
        <f>IF(I$3="","",IF(COUNTIFS(BD!$A$3:$A$5001,I$3,BD!$B$3:$B$5001,$A$134,BD!$AA$3:$AA$5001,"&lt;&gt;")=0,"",SUMIFS(BD!$AA$3:$AA$5001,BD!$A$3:$A$5001,I$3,BD!$B$3:$B$5001,$A$134)))</f>
        <v/>
      </c>
      <c r="J146" s="223" t="str">
        <f>IF(J$3="","",IF(COUNTIFS(BD!$A$3:$A$5001,J$3,BD!$B$3:$B$5001,$A$134,BD!$AA$3:$AA$5001,"&lt;&gt;")=0,"",SUMIFS(BD!$AA$3:$AA$5001,BD!$A$3:$A$5001,J$3,BD!$B$3:$B$5001,$A$134)))</f>
        <v/>
      </c>
      <c r="K146" s="223" t="str">
        <f>IF(K$3="","",IF(COUNTIFS(BD!$A$3:$A$5001,K$3,BD!$B$3:$B$5001,$A$134,BD!$AA$3:$AA$5001,"&lt;&gt;")=0,"",SUMIFS(BD!$AA$3:$AA$5001,BD!$A$3:$A$5001,K$3,BD!$B$3:$B$5001,$A$134)))</f>
        <v/>
      </c>
      <c r="L146" s="223" t="str">
        <f>IF(L$3="","",IF(COUNTIFS(BD!$A$3:$A$5001,L$3,BD!$B$3:$B$5001,$A$134,BD!$AA$3:$AA$5001,"&lt;&gt;")=0,"",SUMIFS(BD!$AA$3:$AA$5001,BD!$A$3:$A$5001,L$3,BD!$B$3:$B$5001,$A$134)))</f>
        <v/>
      </c>
      <c r="M146" s="223" t="str">
        <f>IF(M$3="","",IF(COUNTIFS(BD!$A$3:$A$5001,M$3,BD!$B$3:$B$5001,$A$134,BD!$AA$3:$AA$5001,"&lt;&gt;")=0,"",SUMIFS(BD!$AA$3:$AA$5001,BD!$A$3:$A$5001,M$3,BD!$B$3:$B$5001,$A$134)))</f>
        <v/>
      </c>
      <c r="N146" s="223" t="str">
        <f>IF(N$3="","",IF(COUNTIFS(BD!$A$3:$A$5001,N$3,BD!$B$3:$B$5001,$A$134,BD!$AA$3:$AA$5001,"&lt;&gt;")=0,"",SUMIFS(BD!$AA$3:$AA$5001,BD!$A$3:$A$5001,N$3,BD!$B$3:$B$5001,$A$134)))</f>
        <v/>
      </c>
      <c r="O146" s="223" t="str">
        <f>IF(O$3="","",IF(COUNTIFS(BD!$A$3:$A$5001,O$3,BD!$B$3:$B$5001,$A$134,BD!$AA$3:$AA$5001,"&lt;&gt;")=0,"",SUMIFS(BD!$AA$3:$AA$5001,BD!$A$3:$A$5001,O$3,BD!$B$3:$B$5001,$A$134)))</f>
        <v/>
      </c>
      <c r="P146" s="223" t="str">
        <f>IF(P$3="","",IF(COUNTIFS(BD!$A$3:$A$5001,P$3,BD!$B$3:$B$5001,$A$134,BD!$AA$3:$AA$5001,"&lt;&gt;")=0,"",SUMIFS(BD!$AA$3:$AA$5001,BD!$A$3:$A$5001,P$3,BD!$B$3:$B$5001,$A$134)))</f>
        <v/>
      </c>
      <c r="Q146" s="223" t="str">
        <f>IF(Q$3="","",IF(COUNTIFS(BD!$A$3:$A$5001,Q$3,BD!$B$3:$B$5001,$A$134,BD!$AA$3:$AA$5001,"&lt;&gt;")=0,"",SUMIFS(BD!$AA$3:$AA$5001,BD!$A$3:$A$5001,Q$3,BD!$B$3:$B$5001,$A$134)))</f>
        <v/>
      </c>
      <c r="R146" s="223" t="str">
        <f>IF(R$3="","",IF(COUNTIFS(BD!$A$3:$A$5001,R$3,BD!$B$3:$B$5001,$A$134,BD!$AA$3:$AA$5001,"&lt;&gt;")=0,"",SUMIFS(BD!$AA$3:$AA$5001,BD!$A$3:$A$5001,R$3,BD!$B$3:$B$5001,$A$134)))</f>
        <v/>
      </c>
      <c r="S146" s="223" t="str">
        <f>IF(S$3="","",IF(COUNTIFS(BD!$A$3:$A$5001,S$3,BD!$B$3:$B$5001,$A$134,BD!$AA$3:$AA$5001,"&lt;&gt;")=0,"",SUMIFS(BD!$AA$3:$AA$5001,BD!$A$3:$A$5001,S$3,BD!$B$3:$B$5001,$A$134)))</f>
        <v/>
      </c>
      <c r="T146" s="223" t="str">
        <f>IF(T$3="","",IF(COUNTIFS(BD!$A$3:$A$5001,T$3,BD!$B$3:$B$5001,$A$134,BD!$AA$3:$AA$5001,"&lt;&gt;")=0,"",SUMIFS(BD!$AA$3:$AA$5001,BD!$A$3:$A$5001,T$3,BD!$B$3:$B$5001,$A$134)))</f>
        <v/>
      </c>
      <c r="U146" s="223" t="str">
        <f>IF(U$3="","",IF(COUNTIFS(BD!$A$3:$A$5001,U$3,BD!$B$3:$B$5001,$A$134,BD!$AA$3:$AA$5001,"&lt;&gt;")=0,"",SUMIFS(BD!$AA$3:$AA$5001,BD!$A$3:$A$5001,U$3,BD!$B$3:$B$5001,$A$134)))</f>
        <v/>
      </c>
      <c r="V146" s="223" t="str">
        <f>IF(V$3="","",IF(COUNTIFS(BD!$A$3:$A$5001,V$3,BD!$B$3:$B$5001,$A$134,BD!$AA$3:$AA$5001,"&lt;&gt;")=0,"",SUMIFS(BD!$AA$3:$AA$5001,BD!$A$3:$A$5001,V$3,BD!$B$3:$B$5001,$A$134)))</f>
        <v/>
      </c>
      <c r="W146" s="223" t="str">
        <f>IF(W$3="","",IF(COUNTIFS(BD!$A$3:$A$5001,W$3,BD!$B$3:$B$5001,$A$134,BD!$AA$3:$AA$5001,"&lt;&gt;")=0,"",SUMIFS(BD!$AA$3:$AA$5001,BD!$A$3:$A$5001,W$3,BD!$B$3:$B$5001,$A$134)))</f>
        <v/>
      </c>
      <c r="X146" s="223" t="str">
        <f>IF(X$3="","",IF(COUNTIFS(BD!$A$3:$A$5001,X$3,BD!$B$3:$B$5001,$A$134,BD!$AA$3:$AA$5001,"&lt;&gt;")=0,"",SUMIFS(BD!$AA$3:$AA$5001,BD!$A$3:$A$5001,X$3,BD!$B$3:$B$5001,$A$134)))</f>
        <v/>
      </c>
      <c r="Y146" s="223" t="str">
        <f>IF(Y$3="","",IF(COUNTIFS(BD!$A$3:$A$5001,Y$3,BD!$B$3:$B$5001,$A$134,BD!$AA$3:$AA$5001,"&lt;&gt;")=0,"",SUMIFS(BD!$AA$3:$AA$5001,BD!$A$3:$A$5001,Y$3,BD!$B$3:$B$5001,$A$134)))</f>
        <v/>
      </c>
      <c r="Z146" s="223" t="str">
        <f>IF(Z$3="","",IF(COUNTIFS(BD!$A$3:$A$5001,Z$3,BD!$B$3:$B$5001,$A$134,BD!$AA$3:$AA$5001,"&lt;&gt;")=0,"",SUMIFS(BD!$AA$3:$AA$5001,BD!$A$3:$A$5001,Z$3,BD!$B$3:$B$5001,$A$134)))</f>
        <v/>
      </c>
      <c r="AA146" s="223" t="str">
        <f>IF(AA$3="","",IF(COUNTIFS(BD!$A$3:$A$5001,AA$3,BD!$B$3:$B$5001,$A$134,BD!$AA$3:$AA$5001,"&lt;&gt;")=0,"",SUMIFS(BD!$AA$3:$AA$5001,BD!$A$3:$A$5001,AA$3,BD!$B$3:$B$5001,$A$134)))</f>
        <v/>
      </c>
      <c r="AB146" s="223" t="str">
        <f>IF(AB$3="","",IF(COUNTIFS(BD!$A$3:$A$5001,AB$3,BD!$B$3:$B$5001,$A$134,BD!$AA$3:$AA$5001,"&lt;&gt;")=0,"",SUMIFS(BD!$AA$3:$AA$5001,BD!$A$3:$A$5001,AB$3,BD!$B$3:$B$5001,$A$134)))</f>
        <v/>
      </c>
      <c r="AC146" s="223" t="str">
        <f>IF(AC$3="","",IF(COUNTIFS(BD!$A$3:$A$5001,AC$3,BD!$B$3:$B$5001,$A$134,BD!$AA$3:$AA$5001,"&lt;&gt;")=0,"",SUMIFS(BD!$AA$3:$AA$5001,BD!$A$3:$A$5001,AC$3,BD!$B$3:$B$5001,$A$134)))</f>
        <v/>
      </c>
      <c r="AD146" s="223" t="str">
        <f>IF(AD$3="","",IF(COUNTIFS(BD!$A$3:$A$5001,AD$3,BD!$B$3:$B$5001,$A$134,BD!$AA$3:$AA$5001,"&lt;&gt;")=0,"",SUMIFS(BD!$AA$3:$AA$5001,BD!$A$3:$A$5001,AD$3,BD!$B$3:$B$5001,$A$134)))</f>
        <v/>
      </c>
      <c r="AE146" s="223" t="str">
        <f>IF(AE$3="","",IF(COUNTIFS(BD!$A$3:$A$5001,AE$3,BD!$B$3:$B$5001,$A$134,BD!$AA$3:$AA$5001,"&lt;&gt;")=0,"",SUMIFS(BD!$AA$3:$AA$5001,BD!$A$3:$A$5001,AE$3,BD!$B$3:$B$5001,$A$134)))</f>
        <v/>
      </c>
      <c r="AF146" s="223" t="str">
        <f>IF(AF$3="","",IF(COUNTIFS(BD!$A$3:$A$5001,AF$3,BD!$B$3:$B$5001,$A$134,BD!$AA$3:$AA$5001,"&lt;&gt;")=0,"",SUMIFS(BD!$AA$3:$AA$5001,BD!$A$3:$A$5001,AF$3,BD!$B$3:$B$5001,$A$134)))</f>
        <v/>
      </c>
      <c r="AG146" s="223" t="str">
        <f>IF(AG$3="","",IF(COUNTIFS(BD!$A$3:$A$5001,AG$3,BD!$B$3:$B$5001,$A$134,BD!$AA$3:$AA$5001,"&lt;&gt;")=0,"",SUMIFS(BD!$AA$3:$AA$5001,BD!$A$3:$A$5001,AG$3,BD!$B$3:$B$5001,$A$134)))</f>
        <v/>
      </c>
      <c r="AH146" s="223" t="str">
        <f>IF(AH$3="","",IF(COUNTIFS(BD!$A$3:$A$5001,AH$3,BD!$B$3:$B$5001,$A$134,BD!$AA$3:$AA$5001,"&lt;&gt;")=0,"",SUMIFS(BD!$AA$3:$AA$5001,BD!$A$3:$A$5001,AH$3,BD!$B$3:$B$5001,$A$134)))</f>
        <v/>
      </c>
      <c r="AI146" s="223" t="str">
        <f>IF(AI$3="","",IF(COUNTIFS(BD!$A$3:$A$5001,AI$3,BD!$B$3:$B$5001,$A$134,BD!$AA$3:$AA$5001,"&lt;&gt;")=0,"",SUMIFS(BD!$AA$3:$AA$5001,BD!$A$3:$A$5001,AI$3,BD!$B$3:$B$5001,$A$134)))</f>
        <v/>
      </c>
      <c r="AJ146" s="224" t="str">
        <f>IF(AJ$3="","",IF(COUNTIFS(BD!$A$3:$A$5001,AJ$3,BD!$B$3:$B$5001,$A$134,BD!$AA$3:$AA$5001,"&lt;&gt;")=0,"",SUMIFS(BD!$AA$3:$AA$5001,BD!$A$3:$A$5001,AJ$3,BD!$B$3:$B$5001,$A$134)))</f>
        <v/>
      </c>
      <c r="AK146" s="225" t="str">
        <f>IF(COUNT(F146:AJ146)=0,"",SUM(F146:AJ146))</f>
        <v/>
      </c>
    </row>
    <row r="147" ht="15.75" customHeight="1">
      <c r="A147" s="244"/>
      <c r="B147" s="241"/>
      <c r="C147" s="219" t="inlineStr">
        <is>
          <t xml:space="preserve">Férias</t>
        </is>
      </c>
      <c r="D147" s="220" t="str">
        <f>IFERROR(1/(1/INDEX(BD!$AJ$49:$BD$49,MATCH($A$134,BD!$AJ$22:$BD$22,0))),"")</f>
        <v/>
      </c>
      <c r="E147" s="221"/>
      <c r="F147" s="222" t="str">
        <f>IF(F$3="","",IF(COUNTIFS(BD!$A$3:$A$5001,F$3,BD!$B$3:$B$5001,$A$134,BD!$AB$3:$AB$5001,"&lt;&gt;")=0,"",SUMIFS(BD!$AB$3:$AB$5001,BD!$A$3:$A$5001,F$3,BD!$B$3:$B$5001,$A$134)))</f>
        <v/>
      </c>
      <c r="G147" s="223" t="str">
        <f>IF(G$3="","",IF(COUNTIFS(BD!$A$3:$A$5001,G$3,BD!$B$3:$B$5001,$A$134,BD!$AB$3:$AB$5001,"&lt;&gt;")=0,"",SUMIFS(BD!$AB$3:$AB$5001,BD!$A$3:$A$5001,G$3,BD!$B$3:$B$5001,$A$134)))</f>
        <v/>
      </c>
      <c r="H147" s="223" t="str">
        <f>IF(H$3="","",IF(COUNTIFS(BD!$A$3:$A$5001,H$3,BD!$B$3:$B$5001,$A$134,BD!$AB$3:$AB$5001,"&lt;&gt;")=0,"",SUMIFS(BD!$AB$3:$AB$5001,BD!$A$3:$A$5001,H$3,BD!$B$3:$B$5001,$A$134)))</f>
        <v/>
      </c>
      <c r="I147" s="223" t="str">
        <f>IF(I$3="","",IF(COUNTIFS(BD!$A$3:$A$5001,I$3,BD!$B$3:$B$5001,$A$134,BD!$AB$3:$AB$5001,"&lt;&gt;")=0,"",SUMIFS(BD!$AB$3:$AB$5001,BD!$A$3:$A$5001,I$3,BD!$B$3:$B$5001,$A$134)))</f>
        <v/>
      </c>
      <c r="J147" s="223" t="str">
        <f>IF(J$3="","",IF(COUNTIFS(BD!$A$3:$A$5001,J$3,BD!$B$3:$B$5001,$A$134,BD!$AB$3:$AB$5001,"&lt;&gt;")=0,"",SUMIFS(BD!$AB$3:$AB$5001,BD!$A$3:$A$5001,J$3,BD!$B$3:$B$5001,$A$134)))</f>
        <v/>
      </c>
      <c r="K147" s="223" t="str">
        <f>IF(K$3="","",IF(COUNTIFS(BD!$A$3:$A$5001,K$3,BD!$B$3:$B$5001,$A$134,BD!$AB$3:$AB$5001,"&lt;&gt;")=0,"",SUMIFS(BD!$AB$3:$AB$5001,BD!$A$3:$A$5001,K$3,BD!$B$3:$B$5001,$A$134)))</f>
        <v/>
      </c>
      <c r="L147" s="223" t="str">
        <f>IF(L$3="","",IF(COUNTIFS(BD!$A$3:$A$5001,L$3,BD!$B$3:$B$5001,$A$134,BD!$AB$3:$AB$5001,"&lt;&gt;")=0,"",SUMIFS(BD!$AB$3:$AB$5001,BD!$A$3:$A$5001,L$3,BD!$B$3:$B$5001,$A$134)))</f>
        <v/>
      </c>
      <c r="M147" s="223" t="str">
        <f>IF(M$3="","",IF(COUNTIFS(BD!$A$3:$A$5001,M$3,BD!$B$3:$B$5001,$A$134,BD!$AB$3:$AB$5001,"&lt;&gt;")=0,"",SUMIFS(BD!$AB$3:$AB$5001,BD!$A$3:$A$5001,M$3,BD!$B$3:$B$5001,$A$134)))</f>
        <v/>
      </c>
      <c r="N147" s="223" t="str">
        <f>IF(N$3="","",IF(COUNTIFS(BD!$A$3:$A$5001,N$3,BD!$B$3:$B$5001,$A$134,BD!$AB$3:$AB$5001,"&lt;&gt;")=0,"",SUMIFS(BD!$AB$3:$AB$5001,BD!$A$3:$A$5001,N$3,BD!$B$3:$B$5001,$A$134)))</f>
        <v/>
      </c>
      <c r="O147" s="223" t="str">
        <f>IF(O$3="","",IF(COUNTIFS(BD!$A$3:$A$5001,O$3,BD!$B$3:$B$5001,$A$134,BD!$AB$3:$AB$5001,"&lt;&gt;")=0,"",SUMIFS(BD!$AB$3:$AB$5001,BD!$A$3:$A$5001,O$3,BD!$B$3:$B$5001,$A$134)))</f>
        <v/>
      </c>
      <c r="P147" s="223" t="str">
        <f>IF(P$3="","",IF(COUNTIFS(BD!$A$3:$A$5001,P$3,BD!$B$3:$B$5001,$A$134,BD!$AB$3:$AB$5001,"&lt;&gt;")=0,"",SUMIFS(BD!$AB$3:$AB$5001,BD!$A$3:$A$5001,P$3,BD!$B$3:$B$5001,$A$134)))</f>
        <v/>
      </c>
      <c r="Q147" s="223" t="str">
        <f>IF(Q$3="","",IF(COUNTIFS(BD!$A$3:$A$5001,Q$3,BD!$B$3:$B$5001,$A$134,BD!$AB$3:$AB$5001,"&lt;&gt;")=0,"",SUMIFS(BD!$AB$3:$AB$5001,BD!$A$3:$A$5001,Q$3,BD!$B$3:$B$5001,$A$134)))</f>
        <v/>
      </c>
      <c r="R147" s="223" t="str">
        <f>IF(R$3="","",IF(COUNTIFS(BD!$A$3:$A$5001,R$3,BD!$B$3:$B$5001,$A$134,BD!$AB$3:$AB$5001,"&lt;&gt;")=0,"",SUMIFS(BD!$AB$3:$AB$5001,BD!$A$3:$A$5001,R$3,BD!$B$3:$B$5001,$A$134)))</f>
        <v/>
      </c>
      <c r="S147" s="223" t="str">
        <f>IF(S$3="","",IF(COUNTIFS(BD!$A$3:$A$5001,S$3,BD!$B$3:$B$5001,$A$134,BD!$AB$3:$AB$5001,"&lt;&gt;")=0,"",SUMIFS(BD!$AB$3:$AB$5001,BD!$A$3:$A$5001,S$3,BD!$B$3:$B$5001,$A$134)))</f>
        <v/>
      </c>
      <c r="T147" s="223" t="str">
        <f>IF(T$3="","",IF(COUNTIFS(BD!$A$3:$A$5001,T$3,BD!$B$3:$B$5001,$A$134,BD!$AB$3:$AB$5001,"&lt;&gt;")=0,"",SUMIFS(BD!$AB$3:$AB$5001,BD!$A$3:$A$5001,T$3,BD!$B$3:$B$5001,$A$134)))</f>
        <v/>
      </c>
      <c r="U147" s="223" t="str">
        <f>IF(U$3="","",IF(COUNTIFS(BD!$A$3:$A$5001,U$3,BD!$B$3:$B$5001,$A$134,BD!$AB$3:$AB$5001,"&lt;&gt;")=0,"",SUMIFS(BD!$AB$3:$AB$5001,BD!$A$3:$A$5001,U$3,BD!$B$3:$B$5001,$A$134)))</f>
        <v/>
      </c>
      <c r="V147" s="223" t="str">
        <f>IF(V$3="","",IF(COUNTIFS(BD!$A$3:$A$5001,V$3,BD!$B$3:$B$5001,$A$134,BD!$AB$3:$AB$5001,"&lt;&gt;")=0,"",SUMIFS(BD!$AB$3:$AB$5001,BD!$A$3:$A$5001,V$3,BD!$B$3:$B$5001,$A$134)))</f>
        <v/>
      </c>
      <c r="W147" s="223" t="str">
        <f>IF(W$3="","",IF(COUNTIFS(BD!$A$3:$A$5001,W$3,BD!$B$3:$B$5001,$A$134,BD!$AB$3:$AB$5001,"&lt;&gt;")=0,"",SUMIFS(BD!$AB$3:$AB$5001,BD!$A$3:$A$5001,W$3,BD!$B$3:$B$5001,$A$134)))</f>
        <v/>
      </c>
      <c r="X147" s="223" t="str">
        <f>IF(X$3="","",IF(COUNTIFS(BD!$A$3:$A$5001,X$3,BD!$B$3:$B$5001,$A$134,BD!$AB$3:$AB$5001,"&lt;&gt;")=0,"",SUMIFS(BD!$AB$3:$AB$5001,BD!$A$3:$A$5001,X$3,BD!$B$3:$B$5001,$A$134)))</f>
        <v/>
      </c>
      <c r="Y147" s="223" t="str">
        <f>IF(Y$3="","",IF(COUNTIFS(BD!$A$3:$A$5001,Y$3,BD!$B$3:$B$5001,$A$134,BD!$AB$3:$AB$5001,"&lt;&gt;")=0,"",SUMIFS(BD!$AB$3:$AB$5001,BD!$A$3:$A$5001,Y$3,BD!$B$3:$B$5001,$A$134)))</f>
        <v/>
      </c>
      <c r="Z147" s="223" t="str">
        <f>IF(Z$3="","",IF(COUNTIFS(BD!$A$3:$A$5001,Z$3,BD!$B$3:$B$5001,$A$134,BD!$AB$3:$AB$5001,"&lt;&gt;")=0,"",SUMIFS(BD!$AB$3:$AB$5001,BD!$A$3:$A$5001,Z$3,BD!$B$3:$B$5001,$A$134)))</f>
        <v/>
      </c>
      <c r="AA147" s="223" t="str">
        <f>IF(AA$3="","",IF(COUNTIFS(BD!$A$3:$A$5001,AA$3,BD!$B$3:$B$5001,$A$134,BD!$AB$3:$AB$5001,"&lt;&gt;")=0,"",SUMIFS(BD!$AB$3:$AB$5001,BD!$A$3:$A$5001,AA$3,BD!$B$3:$B$5001,$A$134)))</f>
        <v/>
      </c>
      <c r="AB147" s="223" t="str">
        <f>IF(AB$3="","",IF(COUNTIFS(BD!$A$3:$A$5001,AB$3,BD!$B$3:$B$5001,$A$134,BD!$AB$3:$AB$5001,"&lt;&gt;")=0,"",SUMIFS(BD!$AB$3:$AB$5001,BD!$A$3:$A$5001,AB$3,BD!$B$3:$B$5001,$A$134)))</f>
        <v/>
      </c>
      <c r="AC147" s="223" t="str">
        <f>IF(AC$3="","",IF(COUNTIFS(BD!$A$3:$A$5001,AC$3,BD!$B$3:$B$5001,$A$134,BD!$AB$3:$AB$5001,"&lt;&gt;")=0,"",SUMIFS(BD!$AB$3:$AB$5001,BD!$A$3:$A$5001,AC$3,BD!$B$3:$B$5001,$A$134)))</f>
        <v/>
      </c>
      <c r="AD147" s="223" t="str">
        <f>IF(AD$3="","",IF(COUNTIFS(BD!$A$3:$A$5001,AD$3,BD!$B$3:$B$5001,$A$134,BD!$AB$3:$AB$5001,"&lt;&gt;")=0,"",SUMIFS(BD!$AB$3:$AB$5001,BD!$A$3:$A$5001,AD$3,BD!$B$3:$B$5001,$A$134)))</f>
        <v/>
      </c>
      <c r="AE147" s="223" t="str">
        <f>IF(AE$3="","",IF(COUNTIFS(BD!$A$3:$A$5001,AE$3,BD!$B$3:$B$5001,$A$134,BD!$AB$3:$AB$5001,"&lt;&gt;")=0,"",SUMIFS(BD!$AB$3:$AB$5001,BD!$A$3:$A$5001,AE$3,BD!$B$3:$B$5001,$A$134)))</f>
        <v/>
      </c>
      <c r="AF147" s="223" t="str">
        <f>IF(AF$3="","",IF(COUNTIFS(BD!$A$3:$A$5001,AF$3,BD!$B$3:$B$5001,$A$134,BD!$AB$3:$AB$5001,"&lt;&gt;")=0,"",SUMIFS(BD!$AB$3:$AB$5001,BD!$A$3:$A$5001,AF$3,BD!$B$3:$B$5001,$A$134)))</f>
        <v/>
      </c>
      <c r="AG147" s="223" t="str">
        <f>IF(AG$3="","",IF(COUNTIFS(BD!$A$3:$A$5001,AG$3,BD!$B$3:$B$5001,$A$134,BD!$AB$3:$AB$5001,"&lt;&gt;")=0,"",SUMIFS(BD!$AB$3:$AB$5001,BD!$A$3:$A$5001,AG$3,BD!$B$3:$B$5001,$A$134)))</f>
        <v/>
      </c>
      <c r="AH147" s="223" t="str">
        <f>IF(AH$3="","",IF(COUNTIFS(BD!$A$3:$A$5001,AH$3,BD!$B$3:$B$5001,$A$134,BD!$AB$3:$AB$5001,"&lt;&gt;")=0,"",SUMIFS(BD!$AB$3:$AB$5001,BD!$A$3:$A$5001,AH$3,BD!$B$3:$B$5001,$A$134)))</f>
        <v/>
      </c>
      <c r="AI147" s="223" t="str">
        <f>IF(AI$3="","",IF(COUNTIFS(BD!$A$3:$A$5001,AI$3,BD!$B$3:$B$5001,$A$134,BD!$AB$3:$AB$5001,"&lt;&gt;")=0,"",SUMIFS(BD!$AB$3:$AB$5001,BD!$A$3:$A$5001,AI$3,BD!$B$3:$B$5001,$A$134)))</f>
        <v/>
      </c>
      <c r="AJ147" s="224" t="str">
        <f>IF(AJ$3="","",IF(COUNTIFS(BD!$A$3:$A$5001,AJ$3,BD!$B$3:$B$5001,$A$134,BD!$AB$3:$AB$5001,"&lt;&gt;")=0,"",SUMIFS(BD!$AB$3:$AB$5001,BD!$A$3:$A$5001,AJ$3,BD!$B$3:$B$5001,$A$134)))</f>
        <v/>
      </c>
      <c r="AK147" s="225" t="str">
        <f>IF(COUNT(F147:AJ147)=0,"",SUM(F147:AJ147))</f>
        <v/>
      </c>
    </row>
    <row r="148" ht="15.75" customHeight="1">
      <c r="A148" s="244"/>
      <c r="B148" s="241"/>
      <c r="C148" s="219" t="inlineStr">
        <is>
          <t xml:space="preserve">Desligamento</t>
        </is>
      </c>
      <c r="D148" s="220" t="str">
        <f>IFERROR(1/(1/INDEX(BD!$AJ$50:$BD$50,MATCH($A$134,BD!$AJ$22:$BD$22,0))),"")</f>
        <v/>
      </c>
      <c r="E148" s="221"/>
      <c r="F148" s="222" t="str">
        <f>IF(F$3="","",IF(COUNTIFS(BD!$A$3:$A$5001,F$3,BD!$B$3:$B$5001,$A$134,BD!$AC$3:$AC$5001,"&lt;&gt;")=0,"",SUMIFS(BD!$AC$3:$AC$5001,BD!$A$3:$A$5001,F$3,BD!$B$3:$B$5001,$A$134)))</f>
        <v/>
      </c>
      <c r="G148" s="223" t="str">
        <f>IF(G$3="","",IF(COUNTIFS(BD!$A$3:$A$5001,G$3,BD!$B$3:$B$5001,$A$134,BD!$AC$3:$AC$5001,"&lt;&gt;")=0,"",SUMIFS(BD!$AC$3:$AC$5001,BD!$A$3:$A$5001,G$3,BD!$B$3:$B$5001,$A$134)))</f>
        <v/>
      </c>
      <c r="H148" s="223" t="str">
        <f>IF(H$3="","",IF(COUNTIFS(BD!$A$3:$A$5001,H$3,BD!$B$3:$B$5001,$A$134,BD!$AC$3:$AC$5001,"&lt;&gt;")=0,"",SUMIFS(BD!$AC$3:$AC$5001,BD!$A$3:$A$5001,H$3,BD!$B$3:$B$5001,$A$134)))</f>
        <v/>
      </c>
      <c r="I148" s="223" t="str">
        <f>IF(I$3="","",IF(COUNTIFS(BD!$A$3:$A$5001,I$3,BD!$B$3:$B$5001,$A$134,BD!$AC$3:$AC$5001,"&lt;&gt;")=0,"",SUMIFS(BD!$AC$3:$AC$5001,BD!$A$3:$A$5001,I$3,BD!$B$3:$B$5001,$A$134)))</f>
        <v/>
      </c>
      <c r="J148" s="223" t="str">
        <f>IF(J$3="","",IF(COUNTIFS(BD!$A$3:$A$5001,J$3,BD!$B$3:$B$5001,$A$134,BD!$AC$3:$AC$5001,"&lt;&gt;")=0,"",SUMIFS(BD!$AC$3:$AC$5001,BD!$A$3:$A$5001,J$3,BD!$B$3:$B$5001,$A$134)))</f>
        <v/>
      </c>
      <c r="K148" s="223" t="str">
        <f>IF(K$3="","",IF(COUNTIFS(BD!$A$3:$A$5001,K$3,BD!$B$3:$B$5001,$A$134,BD!$AC$3:$AC$5001,"&lt;&gt;")=0,"",SUMIFS(BD!$AC$3:$AC$5001,BD!$A$3:$A$5001,K$3,BD!$B$3:$B$5001,$A$134)))</f>
        <v/>
      </c>
      <c r="L148" s="223" t="str">
        <f>IF(L$3="","",IF(COUNTIFS(BD!$A$3:$A$5001,L$3,BD!$B$3:$B$5001,$A$134,BD!$AC$3:$AC$5001,"&lt;&gt;")=0,"",SUMIFS(BD!$AC$3:$AC$5001,BD!$A$3:$A$5001,L$3,BD!$B$3:$B$5001,$A$134)))</f>
        <v/>
      </c>
      <c r="M148" s="223" t="str">
        <f>IF(M$3="","",IF(COUNTIFS(BD!$A$3:$A$5001,M$3,BD!$B$3:$B$5001,$A$134,BD!$AC$3:$AC$5001,"&lt;&gt;")=0,"",SUMIFS(BD!$AC$3:$AC$5001,BD!$A$3:$A$5001,M$3,BD!$B$3:$B$5001,$A$134)))</f>
        <v/>
      </c>
      <c r="N148" s="223" t="str">
        <f>IF(N$3="","",IF(COUNTIFS(BD!$A$3:$A$5001,N$3,BD!$B$3:$B$5001,$A$134,BD!$AC$3:$AC$5001,"&lt;&gt;")=0,"",SUMIFS(BD!$AC$3:$AC$5001,BD!$A$3:$A$5001,N$3,BD!$B$3:$B$5001,$A$134)))</f>
        <v/>
      </c>
      <c r="O148" s="223" t="str">
        <f>IF(O$3="","",IF(COUNTIFS(BD!$A$3:$A$5001,O$3,BD!$B$3:$B$5001,$A$134,BD!$AC$3:$AC$5001,"&lt;&gt;")=0,"",SUMIFS(BD!$AC$3:$AC$5001,BD!$A$3:$A$5001,O$3,BD!$B$3:$B$5001,$A$134)))</f>
        <v/>
      </c>
      <c r="P148" s="223" t="str">
        <f>IF(P$3="","",IF(COUNTIFS(BD!$A$3:$A$5001,P$3,BD!$B$3:$B$5001,$A$134,BD!$AC$3:$AC$5001,"&lt;&gt;")=0,"",SUMIFS(BD!$AC$3:$AC$5001,BD!$A$3:$A$5001,P$3,BD!$B$3:$B$5001,$A$134)))</f>
        <v/>
      </c>
      <c r="Q148" s="223" t="str">
        <f>IF(Q$3="","",IF(COUNTIFS(BD!$A$3:$A$5001,Q$3,BD!$B$3:$B$5001,$A$134,BD!$AC$3:$AC$5001,"&lt;&gt;")=0,"",SUMIFS(BD!$AC$3:$AC$5001,BD!$A$3:$A$5001,Q$3,BD!$B$3:$B$5001,$A$134)))</f>
        <v/>
      </c>
      <c r="R148" s="223" t="str">
        <f>IF(R$3="","",IF(COUNTIFS(BD!$A$3:$A$5001,R$3,BD!$B$3:$B$5001,$A$134,BD!$AC$3:$AC$5001,"&lt;&gt;")=0,"",SUMIFS(BD!$AC$3:$AC$5001,BD!$A$3:$A$5001,R$3,BD!$B$3:$B$5001,$A$134)))</f>
        <v/>
      </c>
      <c r="S148" s="223" t="str">
        <f>IF(S$3="","",IF(COUNTIFS(BD!$A$3:$A$5001,S$3,BD!$B$3:$B$5001,$A$134,BD!$AC$3:$AC$5001,"&lt;&gt;")=0,"",SUMIFS(BD!$AC$3:$AC$5001,BD!$A$3:$A$5001,S$3,BD!$B$3:$B$5001,$A$134)))</f>
        <v/>
      </c>
      <c r="T148" s="223" t="str">
        <f>IF(T$3="","",IF(COUNTIFS(BD!$A$3:$A$5001,T$3,BD!$B$3:$B$5001,$A$134,BD!$AC$3:$AC$5001,"&lt;&gt;")=0,"",SUMIFS(BD!$AC$3:$AC$5001,BD!$A$3:$A$5001,T$3,BD!$B$3:$B$5001,$A$134)))</f>
        <v/>
      </c>
      <c r="U148" s="223" t="str">
        <f>IF(U$3="","",IF(COUNTIFS(BD!$A$3:$A$5001,U$3,BD!$B$3:$B$5001,$A$134,BD!$AC$3:$AC$5001,"&lt;&gt;")=0,"",SUMIFS(BD!$AC$3:$AC$5001,BD!$A$3:$A$5001,U$3,BD!$B$3:$B$5001,$A$134)))</f>
        <v/>
      </c>
      <c r="V148" s="223" t="str">
        <f>IF(V$3="","",IF(COUNTIFS(BD!$A$3:$A$5001,V$3,BD!$B$3:$B$5001,$A$134,BD!$AC$3:$AC$5001,"&lt;&gt;")=0,"",SUMIFS(BD!$AC$3:$AC$5001,BD!$A$3:$A$5001,V$3,BD!$B$3:$B$5001,$A$134)))</f>
        <v/>
      </c>
      <c r="W148" s="223" t="str">
        <f>IF(W$3="","",IF(COUNTIFS(BD!$A$3:$A$5001,W$3,BD!$B$3:$B$5001,$A$134,BD!$AC$3:$AC$5001,"&lt;&gt;")=0,"",SUMIFS(BD!$AC$3:$AC$5001,BD!$A$3:$A$5001,W$3,BD!$B$3:$B$5001,$A$134)))</f>
        <v/>
      </c>
      <c r="X148" s="223" t="str">
        <f>IF(X$3="","",IF(COUNTIFS(BD!$A$3:$A$5001,X$3,BD!$B$3:$B$5001,$A$134,BD!$AC$3:$AC$5001,"&lt;&gt;")=0,"",SUMIFS(BD!$AC$3:$AC$5001,BD!$A$3:$A$5001,X$3,BD!$B$3:$B$5001,$A$134)))</f>
        <v/>
      </c>
      <c r="Y148" s="223" t="str">
        <f>IF(Y$3="","",IF(COUNTIFS(BD!$A$3:$A$5001,Y$3,BD!$B$3:$B$5001,$A$134,BD!$AC$3:$AC$5001,"&lt;&gt;")=0,"",SUMIFS(BD!$AC$3:$AC$5001,BD!$A$3:$A$5001,Y$3,BD!$B$3:$B$5001,$A$134)))</f>
        <v/>
      </c>
      <c r="Z148" s="223" t="str">
        <f>IF(Z$3="","",IF(COUNTIFS(BD!$A$3:$A$5001,Z$3,BD!$B$3:$B$5001,$A$134,BD!$AC$3:$AC$5001,"&lt;&gt;")=0,"",SUMIFS(BD!$AC$3:$AC$5001,BD!$A$3:$A$5001,Z$3,BD!$B$3:$B$5001,$A$134)))</f>
        <v/>
      </c>
      <c r="AA148" s="223" t="str">
        <f>IF(AA$3="","",IF(COUNTIFS(BD!$A$3:$A$5001,AA$3,BD!$B$3:$B$5001,$A$134,BD!$AC$3:$AC$5001,"&lt;&gt;")=0,"",SUMIFS(BD!$AC$3:$AC$5001,BD!$A$3:$A$5001,AA$3,BD!$B$3:$B$5001,$A$134)))</f>
        <v/>
      </c>
      <c r="AB148" s="223" t="str">
        <f>IF(AB$3="","",IF(COUNTIFS(BD!$A$3:$A$5001,AB$3,BD!$B$3:$B$5001,$A$134,BD!$AC$3:$AC$5001,"&lt;&gt;")=0,"",SUMIFS(BD!$AC$3:$AC$5001,BD!$A$3:$A$5001,AB$3,BD!$B$3:$B$5001,$A$134)))</f>
        <v/>
      </c>
      <c r="AC148" s="223" t="str">
        <f>IF(AC$3="","",IF(COUNTIFS(BD!$A$3:$A$5001,AC$3,BD!$B$3:$B$5001,$A$134,BD!$AC$3:$AC$5001,"&lt;&gt;")=0,"",SUMIFS(BD!$AC$3:$AC$5001,BD!$A$3:$A$5001,AC$3,BD!$B$3:$B$5001,$A$134)))</f>
        <v/>
      </c>
      <c r="AD148" s="223" t="str">
        <f>IF(AD$3="","",IF(COUNTIFS(BD!$A$3:$A$5001,AD$3,BD!$B$3:$B$5001,$A$134,BD!$AC$3:$AC$5001,"&lt;&gt;")=0,"",SUMIFS(BD!$AC$3:$AC$5001,BD!$A$3:$A$5001,AD$3,BD!$B$3:$B$5001,$A$134)))</f>
        <v/>
      </c>
      <c r="AE148" s="223" t="str">
        <f>IF(AE$3="","",IF(COUNTIFS(BD!$A$3:$A$5001,AE$3,BD!$B$3:$B$5001,$A$134,BD!$AC$3:$AC$5001,"&lt;&gt;")=0,"",SUMIFS(BD!$AC$3:$AC$5001,BD!$A$3:$A$5001,AE$3,BD!$B$3:$B$5001,$A$134)))</f>
        <v/>
      </c>
      <c r="AF148" s="223" t="str">
        <f>IF(AF$3="","",IF(COUNTIFS(BD!$A$3:$A$5001,AF$3,BD!$B$3:$B$5001,$A$134,BD!$AC$3:$AC$5001,"&lt;&gt;")=0,"",SUMIFS(BD!$AC$3:$AC$5001,BD!$A$3:$A$5001,AF$3,BD!$B$3:$B$5001,$A$134)))</f>
        <v/>
      </c>
      <c r="AG148" s="223" t="str">
        <f>IF(AG$3="","",IF(COUNTIFS(BD!$A$3:$A$5001,AG$3,BD!$B$3:$B$5001,$A$134,BD!$AC$3:$AC$5001,"&lt;&gt;")=0,"",SUMIFS(BD!$AC$3:$AC$5001,BD!$A$3:$A$5001,AG$3,BD!$B$3:$B$5001,$A$134)))</f>
        <v/>
      </c>
      <c r="AH148" s="223" t="str">
        <f>IF(AH$3="","",IF(COUNTIFS(BD!$A$3:$A$5001,AH$3,BD!$B$3:$B$5001,$A$134,BD!$AC$3:$AC$5001,"&lt;&gt;")=0,"",SUMIFS(BD!$AC$3:$AC$5001,BD!$A$3:$A$5001,AH$3,BD!$B$3:$B$5001,$A$134)))</f>
        <v/>
      </c>
      <c r="AI148" s="223" t="str">
        <f>IF(AI$3="","",IF(COUNTIFS(BD!$A$3:$A$5001,AI$3,BD!$B$3:$B$5001,$A$134,BD!$AC$3:$AC$5001,"&lt;&gt;")=0,"",SUMIFS(BD!$AC$3:$AC$5001,BD!$A$3:$A$5001,AI$3,BD!$B$3:$B$5001,$A$134)))</f>
        <v/>
      </c>
      <c r="AJ148" s="224" t="str">
        <f>IF(AJ$3="","",IF(COUNTIFS(BD!$A$3:$A$5001,AJ$3,BD!$B$3:$B$5001,$A$134,BD!$AC$3:$AC$5001,"&lt;&gt;")=0,"",SUMIFS(BD!$AC$3:$AC$5001,BD!$A$3:$A$5001,AJ$3,BD!$B$3:$B$5001,$A$134)))</f>
        <v/>
      </c>
      <c r="AK148" s="225" t="str">
        <f>IF(COUNT(F148:AJ148)=0,"",SUM(F148:AJ148))</f>
        <v/>
      </c>
    </row>
    <row r="149" ht="15.75" customHeight="1">
      <c r="A149" s="244"/>
      <c r="B149" s="241"/>
      <c r="C149" s="219" t="inlineStr">
        <is>
          <t xml:space="preserve">Desvios Comportamentais</t>
        </is>
      </c>
      <c r="D149" s="220" t="str">
        <f>IFERROR(1/(1/INDEX(BD!$AJ$51:$BD$51,MATCH($A$134,BD!$AJ$22:$BD$22,0))),"")</f>
        <v/>
      </c>
      <c r="E149" s="221"/>
      <c r="F149" s="222" t="str">
        <f>IF(F$3="","",IF(COUNTIFS(BD!$A$3:$A$5001,F$3,BD!$B$3:$B$5001,$A$134,BD!$AD$3:$AD$5001,"&lt;&gt;")=0,"",SUMIFS(BD!$AD$3:$AD$5001,BD!$A$3:$A$5001,F$3,BD!$B$3:$B$5001,$A$134)))</f>
        <v/>
      </c>
      <c r="G149" s="223" t="str">
        <f>IF(G$3="","",IF(COUNTIFS(BD!$A$3:$A$5001,G$3,BD!$B$3:$B$5001,$A$134,BD!$AD$3:$AD$5001,"&lt;&gt;")=0,"",SUMIFS(BD!$AD$3:$AD$5001,BD!$A$3:$A$5001,G$3,BD!$B$3:$B$5001,$A$134)))</f>
        <v/>
      </c>
      <c r="H149" s="223" t="str">
        <f>IF(H$3="","",IF(COUNTIFS(BD!$A$3:$A$5001,H$3,BD!$B$3:$B$5001,$A$134,BD!$AD$3:$AD$5001,"&lt;&gt;")=0,"",SUMIFS(BD!$AD$3:$AD$5001,BD!$A$3:$A$5001,H$3,BD!$B$3:$B$5001,$A$134)))</f>
        <v/>
      </c>
      <c r="I149" s="223" t="str">
        <f>IF(I$3="","",IF(COUNTIFS(BD!$A$3:$A$5001,I$3,BD!$B$3:$B$5001,$A$134,BD!$AD$3:$AD$5001,"&lt;&gt;")=0,"",SUMIFS(BD!$AD$3:$AD$5001,BD!$A$3:$A$5001,I$3,BD!$B$3:$B$5001,$A$134)))</f>
        <v/>
      </c>
      <c r="J149" s="223" t="str">
        <f>IF(J$3="","",IF(COUNTIFS(BD!$A$3:$A$5001,J$3,BD!$B$3:$B$5001,$A$134,BD!$AD$3:$AD$5001,"&lt;&gt;")=0,"",SUMIFS(BD!$AD$3:$AD$5001,BD!$A$3:$A$5001,J$3,BD!$B$3:$B$5001,$A$134)))</f>
        <v/>
      </c>
      <c r="K149" s="223" t="str">
        <f>IF(K$3="","",IF(COUNTIFS(BD!$A$3:$A$5001,K$3,BD!$B$3:$B$5001,$A$134,BD!$AD$3:$AD$5001,"&lt;&gt;")=0,"",SUMIFS(BD!$AD$3:$AD$5001,BD!$A$3:$A$5001,K$3,BD!$B$3:$B$5001,$A$134)))</f>
        <v/>
      </c>
      <c r="L149" s="223" t="str">
        <f>IF(L$3="","",IF(COUNTIFS(BD!$A$3:$A$5001,L$3,BD!$B$3:$B$5001,$A$134,BD!$AD$3:$AD$5001,"&lt;&gt;")=0,"",SUMIFS(BD!$AD$3:$AD$5001,BD!$A$3:$A$5001,L$3,BD!$B$3:$B$5001,$A$134)))</f>
        <v/>
      </c>
      <c r="M149" s="223" t="str">
        <f>IF(M$3="","",IF(COUNTIFS(BD!$A$3:$A$5001,M$3,BD!$B$3:$B$5001,$A$134,BD!$AD$3:$AD$5001,"&lt;&gt;")=0,"",SUMIFS(BD!$AD$3:$AD$5001,BD!$A$3:$A$5001,M$3,BD!$B$3:$B$5001,$A$134)))</f>
        <v/>
      </c>
      <c r="N149" s="223" t="str">
        <f>IF(N$3="","",IF(COUNTIFS(BD!$A$3:$A$5001,N$3,BD!$B$3:$B$5001,$A$134,BD!$AD$3:$AD$5001,"&lt;&gt;")=0,"",SUMIFS(BD!$AD$3:$AD$5001,BD!$A$3:$A$5001,N$3,BD!$B$3:$B$5001,$A$134)))</f>
        <v/>
      </c>
      <c r="O149" s="223" t="str">
        <f>IF(O$3="","",IF(COUNTIFS(BD!$A$3:$A$5001,O$3,BD!$B$3:$B$5001,$A$134,BD!$AD$3:$AD$5001,"&lt;&gt;")=0,"",SUMIFS(BD!$AD$3:$AD$5001,BD!$A$3:$A$5001,O$3,BD!$B$3:$B$5001,$A$134)))</f>
        <v/>
      </c>
      <c r="P149" s="223" t="str">
        <f>IF(P$3="","",IF(COUNTIFS(BD!$A$3:$A$5001,P$3,BD!$B$3:$B$5001,$A$134,BD!$AD$3:$AD$5001,"&lt;&gt;")=0,"",SUMIFS(BD!$AD$3:$AD$5001,BD!$A$3:$A$5001,P$3,BD!$B$3:$B$5001,$A$134)))</f>
        <v/>
      </c>
      <c r="Q149" s="223" t="str">
        <f>IF(Q$3="","",IF(COUNTIFS(BD!$A$3:$A$5001,Q$3,BD!$B$3:$B$5001,$A$134,BD!$AD$3:$AD$5001,"&lt;&gt;")=0,"",SUMIFS(BD!$AD$3:$AD$5001,BD!$A$3:$A$5001,Q$3,BD!$B$3:$B$5001,$A$134)))</f>
        <v/>
      </c>
      <c r="R149" s="223" t="str">
        <f>IF(R$3="","",IF(COUNTIFS(BD!$A$3:$A$5001,R$3,BD!$B$3:$B$5001,$A$134,BD!$AD$3:$AD$5001,"&lt;&gt;")=0,"",SUMIFS(BD!$AD$3:$AD$5001,BD!$A$3:$A$5001,R$3,BD!$B$3:$B$5001,$A$134)))</f>
        <v/>
      </c>
      <c r="S149" s="223" t="str">
        <f>IF(S$3="","",IF(COUNTIFS(BD!$A$3:$A$5001,S$3,BD!$B$3:$B$5001,$A$134,BD!$AD$3:$AD$5001,"&lt;&gt;")=0,"",SUMIFS(BD!$AD$3:$AD$5001,BD!$A$3:$A$5001,S$3,BD!$B$3:$B$5001,$A$134)))</f>
        <v/>
      </c>
      <c r="T149" s="223" t="str">
        <f>IF(T$3="","",IF(COUNTIFS(BD!$A$3:$A$5001,T$3,BD!$B$3:$B$5001,$A$134,BD!$AD$3:$AD$5001,"&lt;&gt;")=0,"",SUMIFS(BD!$AD$3:$AD$5001,BD!$A$3:$A$5001,T$3,BD!$B$3:$B$5001,$A$134)))</f>
        <v/>
      </c>
      <c r="U149" s="223" t="str">
        <f>IF(U$3="","",IF(COUNTIFS(BD!$A$3:$A$5001,U$3,BD!$B$3:$B$5001,$A$134,BD!$AD$3:$AD$5001,"&lt;&gt;")=0,"",SUMIFS(BD!$AD$3:$AD$5001,BD!$A$3:$A$5001,U$3,BD!$B$3:$B$5001,$A$134)))</f>
        <v/>
      </c>
      <c r="V149" s="223" t="str">
        <f>IF(V$3="","",IF(COUNTIFS(BD!$A$3:$A$5001,V$3,BD!$B$3:$B$5001,$A$134,BD!$AD$3:$AD$5001,"&lt;&gt;")=0,"",SUMIFS(BD!$AD$3:$AD$5001,BD!$A$3:$A$5001,V$3,BD!$B$3:$B$5001,$A$134)))</f>
        <v/>
      </c>
      <c r="W149" s="223" t="str">
        <f>IF(W$3="","",IF(COUNTIFS(BD!$A$3:$A$5001,W$3,BD!$B$3:$B$5001,$A$134,BD!$AD$3:$AD$5001,"&lt;&gt;")=0,"",SUMIFS(BD!$AD$3:$AD$5001,BD!$A$3:$A$5001,W$3,BD!$B$3:$B$5001,$A$134)))</f>
        <v/>
      </c>
      <c r="X149" s="223" t="str">
        <f>IF(X$3="","",IF(COUNTIFS(BD!$A$3:$A$5001,X$3,BD!$B$3:$B$5001,$A$134,BD!$AD$3:$AD$5001,"&lt;&gt;")=0,"",SUMIFS(BD!$AD$3:$AD$5001,BD!$A$3:$A$5001,X$3,BD!$B$3:$B$5001,$A$134)))</f>
        <v/>
      </c>
      <c r="Y149" s="223" t="str">
        <f>IF(Y$3="","",IF(COUNTIFS(BD!$A$3:$A$5001,Y$3,BD!$B$3:$B$5001,$A$134,BD!$AD$3:$AD$5001,"&lt;&gt;")=0,"",SUMIFS(BD!$AD$3:$AD$5001,BD!$A$3:$A$5001,Y$3,BD!$B$3:$B$5001,$A$134)))</f>
        <v/>
      </c>
      <c r="Z149" s="223" t="str">
        <f>IF(Z$3="","",IF(COUNTIFS(BD!$A$3:$A$5001,Z$3,BD!$B$3:$B$5001,$A$134,BD!$AD$3:$AD$5001,"&lt;&gt;")=0,"",SUMIFS(BD!$AD$3:$AD$5001,BD!$A$3:$A$5001,Z$3,BD!$B$3:$B$5001,$A$134)))</f>
        <v/>
      </c>
      <c r="AA149" s="223" t="str">
        <f>IF(AA$3="","",IF(COUNTIFS(BD!$A$3:$A$5001,AA$3,BD!$B$3:$B$5001,$A$134,BD!$AD$3:$AD$5001,"&lt;&gt;")=0,"",SUMIFS(BD!$AD$3:$AD$5001,BD!$A$3:$A$5001,AA$3,BD!$B$3:$B$5001,$A$134)))</f>
        <v/>
      </c>
      <c r="AB149" s="223" t="str">
        <f>IF(AB$3="","",IF(COUNTIFS(BD!$A$3:$A$5001,AB$3,BD!$B$3:$B$5001,$A$134,BD!$AD$3:$AD$5001,"&lt;&gt;")=0,"",SUMIFS(BD!$AD$3:$AD$5001,BD!$A$3:$A$5001,AB$3,BD!$B$3:$B$5001,$A$134)))</f>
        <v/>
      </c>
      <c r="AC149" s="223" t="str">
        <f>IF(AC$3="","",IF(COUNTIFS(BD!$A$3:$A$5001,AC$3,BD!$B$3:$B$5001,$A$134,BD!$AD$3:$AD$5001,"&lt;&gt;")=0,"",SUMIFS(BD!$AD$3:$AD$5001,BD!$A$3:$A$5001,AC$3,BD!$B$3:$B$5001,$A$134)))</f>
        <v/>
      </c>
      <c r="AD149" s="223" t="str">
        <f>IF(AD$3="","",IF(COUNTIFS(BD!$A$3:$A$5001,AD$3,BD!$B$3:$B$5001,$A$134,BD!$AD$3:$AD$5001,"&lt;&gt;")=0,"",SUMIFS(BD!$AD$3:$AD$5001,BD!$A$3:$A$5001,AD$3,BD!$B$3:$B$5001,$A$134)))</f>
        <v/>
      </c>
      <c r="AE149" s="223" t="str">
        <f>IF(AE$3="","",IF(COUNTIFS(BD!$A$3:$A$5001,AE$3,BD!$B$3:$B$5001,$A$134,BD!$AD$3:$AD$5001,"&lt;&gt;")=0,"",SUMIFS(BD!$AD$3:$AD$5001,BD!$A$3:$A$5001,AE$3,BD!$B$3:$B$5001,$A$134)))</f>
        <v/>
      </c>
      <c r="AF149" s="223" t="str">
        <f>IF(AF$3="","",IF(COUNTIFS(BD!$A$3:$A$5001,AF$3,BD!$B$3:$B$5001,$A$134,BD!$AD$3:$AD$5001,"&lt;&gt;")=0,"",SUMIFS(BD!$AD$3:$AD$5001,BD!$A$3:$A$5001,AF$3,BD!$B$3:$B$5001,$A$134)))</f>
        <v/>
      </c>
      <c r="AG149" s="223" t="str">
        <f>IF(AG$3="","",IF(COUNTIFS(BD!$A$3:$A$5001,AG$3,BD!$B$3:$B$5001,$A$134,BD!$AD$3:$AD$5001,"&lt;&gt;")=0,"",SUMIFS(BD!$AD$3:$AD$5001,BD!$A$3:$A$5001,AG$3,BD!$B$3:$B$5001,$A$134)))</f>
        <v/>
      </c>
      <c r="AH149" s="223" t="str">
        <f>IF(AH$3="","",IF(COUNTIFS(BD!$A$3:$A$5001,AH$3,BD!$B$3:$B$5001,$A$134,BD!$AD$3:$AD$5001,"&lt;&gt;")=0,"",SUMIFS(BD!$AD$3:$AD$5001,BD!$A$3:$A$5001,AH$3,BD!$B$3:$B$5001,$A$134)))</f>
        <v/>
      </c>
      <c r="AI149" s="223" t="str">
        <f>IF(AI$3="","",IF(COUNTIFS(BD!$A$3:$A$5001,AI$3,BD!$B$3:$B$5001,$A$134,BD!$AD$3:$AD$5001,"&lt;&gt;")=0,"",SUMIFS(BD!$AD$3:$AD$5001,BD!$A$3:$A$5001,AI$3,BD!$B$3:$B$5001,$A$134)))</f>
        <v/>
      </c>
      <c r="AJ149" s="224" t="str">
        <f>IF(AJ$3="","",IF(COUNTIFS(BD!$A$3:$A$5001,AJ$3,BD!$B$3:$B$5001,$A$134,BD!$AD$3:$AD$5001,"&lt;&gt;")=0,"",SUMIFS(BD!$AD$3:$AD$5001,BD!$A$3:$A$5001,AJ$3,BD!$B$3:$B$5001,$A$134)))</f>
        <v/>
      </c>
      <c r="AK149" s="225" t="str">
        <f>IF(COUNT(F149:AJ149)=0,"",SUM(F149:AJ149))</f>
        <v/>
      </c>
    </row>
    <row r="150" ht="15.75" customHeight="1">
      <c r="A150" s="244"/>
      <c r="B150" s="241"/>
      <c r="C150" s="219" t="inlineStr">
        <is>
          <t xml:space="preserve">Acidentes CAF</t>
        </is>
      </c>
      <c r="D150" s="220" t="str">
        <f>IFERROR(1/(1/INDEX(BD!$AJ$52:$BD$52,MATCH($A$134,BD!$AJ$22:$BD$22,0))),"")</f>
        <v/>
      </c>
      <c r="E150" s="221"/>
      <c r="F150" s="222" t="str">
        <f>IF(F$3="","",IF(COUNTIFS(BD!$A$3:$A$5001,F$3,BD!$B$3:$B$5001,$A$134,BD!$AE$3:$AE$5001,"&lt;&gt;")=0,"",SUMIFS(BD!$AE$3:$AE$5001,BD!$A$3:$A$5001,F$3,BD!$B$3:$B$5001,$A$134)))</f>
        <v/>
      </c>
      <c r="G150" s="223" t="str">
        <f>IF(G$3="","",IF(COUNTIFS(BD!$A$3:$A$5001,G$3,BD!$B$3:$B$5001,$A$134,BD!$AE$3:$AE$5001,"&lt;&gt;")=0,"",SUMIFS(BD!$AE$3:$AE$5001,BD!$A$3:$A$5001,G$3,BD!$B$3:$B$5001,$A$134)))</f>
        <v/>
      </c>
      <c r="H150" s="223" t="str">
        <f>IF(H$3="","",IF(COUNTIFS(BD!$A$3:$A$5001,H$3,BD!$B$3:$B$5001,$A$134,BD!$AE$3:$AE$5001,"&lt;&gt;")=0,"",SUMIFS(BD!$AE$3:$AE$5001,BD!$A$3:$A$5001,H$3,BD!$B$3:$B$5001,$A$134)))</f>
        <v/>
      </c>
      <c r="I150" s="223" t="str">
        <f>IF(I$3="","",IF(COUNTIFS(BD!$A$3:$A$5001,I$3,BD!$B$3:$B$5001,$A$134,BD!$AE$3:$AE$5001,"&lt;&gt;")=0,"",SUMIFS(BD!$AE$3:$AE$5001,BD!$A$3:$A$5001,I$3,BD!$B$3:$B$5001,$A$134)))</f>
        <v/>
      </c>
      <c r="J150" s="223" t="str">
        <f>IF(J$3="","",IF(COUNTIFS(BD!$A$3:$A$5001,J$3,BD!$B$3:$B$5001,$A$134,BD!$AE$3:$AE$5001,"&lt;&gt;")=0,"",SUMIFS(BD!$AE$3:$AE$5001,BD!$A$3:$A$5001,J$3,BD!$B$3:$B$5001,$A$134)))</f>
        <v/>
      </c>
      <c r="K150" s="223" t="str">
        <f>IF(K$3="","",IF(COUNTIFS(BD!$A$3:$A$5001,K$3,BD!$B$3:$B$5001,$A$134,BD!$AE$3:$AE$5001,"&lt;&gt;")=0,"",SUMIFS(BD!$AE$3:$AE$5001,BD!$A$3:$A$5001,K$3,BD!$B$3:$B$5001,$A$134)))</f>
        <v/>
      </c>
      <c r="L150" s="223" t="str">
        <f>IF(L$3="","",IF(COUNTIFS(BD!$A$3:$A$5001,L$3,BD!$B$3:$B$5001,$A$134,BD!$AE$3:$AE$5001,"&lt;&gt;")=0,"",SUMIFS(BD!$AE$3:$AE$5001,BD!$A$3:$A$5001,L$3,BD!$B$3:$B$5001,$A$134)))</f>
        <v/>
      </c>
      <c r="M150" s="223" t="str">
        <f>IF(M$3="","",IF(COUNTIFS(BD!$A$3:$A$5001,M$3,BD!$B$3:$B$5001,$A$134,BD!$AE$3:$AE$5001,"&lt;&gt;")=0,"",SUMIFS(BD!$AE$3:$AE$5001,BD!$A$3:$A$5001,M$3,BD!$B$3:$B$5001,$A$134)))</f>
        <v/>
      </c>
      <c r="N150" s="223" t="str">
        <f>IF(N$3="","",IF(COUNTIFS(BD!$A$3:$A$5001,N$3,BD!$B$3:$B$5001,$A$134,BD!$AE$3:$AE$5001,"&lt;&gt;")=0,"",SUMIFS(BD!$AE$3:$AE$5001,BD!$A$3:$A$5001,N$3,BD!$B$3:$B$5001,$A$134)))</f>
        <v/>
      </c>
      <c r="O150" s="223" t="str">
        <f>IF(O$3="","",IF(COUNTIFS(BD!$A$3:$A$5001,O$3,BD!$B$3:$B$5001,$A$134,BD!$AE$3:$AE$5001,"&lt;&gt;")=0,"",SUMIFS(BD!$AE$3:$AE$5001,BD!$A$3:$A$5001,O$3,BD!$B$3:$B$5001,$A$134)))</f>
        <v/>
      </c>
      <c r="P150" s="223" t="str">
        <f>IF(P$3="","",IF(COUNTIFS(BD!$A$3:$A$5001,P$3,BD!$B$3:$B$5001,$A$134,BD!$AE$3:$AE$5001,"&lt;&gt;")=0,"",SUMIFS(BD!$AE$3:$AE$5001,BD!$A$3:$A$5001,P$3,BD!$B$3:$B$5001,$A$134)))</f>
        <v/>
      </c>
      <c r="Q150" s="223" t="str">
        <f>IF(Q$3="","",IF(COUNTIFS(BD!$A$3:$A$5001,Q$3,BD!$B$3:$B$5001,$A$134,BD!$AE$3:$AE$5001,"&lt;&gt;")=0,"",SUMIFS(BD!$AE$3:$AE$5001,BD!$A$3:$A$5001,Q$3,BD!$B$3:$B$5001,$A$134)))</f>
        <v/>
      </c>
      <c r="R150" s="223" t="str">
        <f>IF(R$3="","",IF(COUNTIFS(BD!$A$3:$A$5001,R$3,BD!$B$3:$B$5001,$A$134,BD!$AE$3:$AE$5001,"&lt;&gt;")=0,"",SUMIFS(BD!$AE$3:$AE$5001,BD!$A$3:$A$5001,R$3,BD!$B$3:$B$5001,$A$134)))</f>
        <v/>
      </c>
      <c r="S150" s="223" t="str">
        <f>IF(S$3="","",IF(COUNTIFS(BD!$A$3:$A$5001,S$3,BD!$B$3:$B$5001,$A$134,BD!$AE$3:$AE$5001,"&lt;&gt;")=0,"",SUMIFS(BD!$AE$3:$AE$5001,BD!$A$3:$A$5001,S$3,BD!$B$3:$B$5001,$A$134)))</f>
        <v/>
      </c>
      <c r="T150" s="223" t="str">
        <f>IF(T$3="","",IF(COUNTIFS(BD!$A$3:$A$5001,T$3,BD!$B$3:$B$5001,$A$134,BD!$AE$3:$AE$5001,"&lt;&gt;")=0,"",SUMIFS(BD!$AE$3:$AE$5001,BD!$A$3:$A$5001,T$3,BD!$B$3:$B$5001,$A$134)))</f>
        <v/>
      </c>
      <c r="U150" s="223" t="str">
        <f>IF(U$3="","",IF(COUNTIFS(BD!$A$3:$A$5001,U$3,BD!$B$3:$B$5001,$A$134,BD!$AE$3:$AE$5001,"&lt;&gt;")=0,"",SUMIFS(BD!$AE$3:$AE$5001,BD!$A$3:$A$5001,U$3,BD!$B$3:$B$5001,$A$134)))</f>
        <v/>
      </c>
      <c r="V150" s="223" t="str">
        <f>IF(V$3="","",IF(COUNTIFS(BD!$A$3:$A$5001,V$3,BD!$B$3:$B$5001,$A$134,BD!$AE$3:$AE$5001,"&lt;&gt;")=0,"",SUMIFS(BD!$AE$3:$AE$5001,BD!$A$3:$A$5001,V$3,BD!$B$3:$B$5001,$A$134)))</f>
        <v/>
      </c>
      <c r="W150" s="223" t="str">
        <f>IF(W$3="","",IF(COUNTIFS(BD!$A$3:$A$5001,W$3,BD!$B$3:$B$5001,$A$134,BD!$AE$3:$AE$5001,"&lt;&gt;")=0,"",SUMIFS(BD!$AE$3:$AE$5001,BD!$A$3:$A$5001,W$3,BD!$B$3:$B$5001,$A$134)))</f>
        <v/>
      </c>
      <c r="X150" s="223" t="str">
        <f>IF(X$3="","",IF(COUNTIFS(BD!$A$3:$A$5001,X$3,BD!$B$3:$B$5001,$A$134,BD!$AE$3:$AE$5001,"&lt;&gt;")=0,"",SUMIFS(BD!$AE$3:$AE$5001,BD!$A$3:$A$5001,X$3,BD!$B$3:$B$5001,$A$134)))</f>
        <v/>
      </c>
      <c r="Y150" s="223" t="str">
        <f>IF(Y$3="","",IF(COUNTIFS(BD!$A$3:$A$5001,Y$3,BD!$B$3:$B$5001,$A$134,BD!$AE$3:$AE$5001,"&lt;&gt;")=0,"",SUMIFS(BD!$AE$3:$AE$5001,BD!$A$3:$A$5001,Y$3,BD!$B$3:$B$5001,$A$134)))</f>
        <v/>
      </c>
      <c r="Z150" s="223" t="str">
        <f>IF(Z$3="","",IF(COUNTIFS(BD!$A$3:$A$5001,Z$3,BD!$B$3:$B$5001,$A$134,BD!$AE$3:$AE$5001,"&lt;&gt;")=0,"",SUMIFS(BD!$AE$3:$AE$5001,BD!$A$3:$A$5001,Z$3,BD!$B$3:$B$5001,$A$134)))</f>
        <v/>
      </c>
      <c r="AA150" s="223" t="str">
        <f>IF(AA$3="","",IF(COUNTIFS(BD!$A$3:$A$5001,AA$3,BD!$B$3:$B$5001,$A$134,BD!$AE$3:$AE$5001,"&lt;&gt;")=0,"",SUMIFS(BD!$AE$3:$AE$5001,BD!$A$3:$A$5001,AA$3,BD!$B$3:$B$5001,$A$134)))</f>
        <v/>
      </c>
      <c r="AB150" s="223" t="str">
        <f>IF(AB$3="","",IF(COUNTIFS(BD!$A$3:$A$5001,AB$3,BD!$B$3:$B$5001,$A$134,BD!$AE$3:$AE$5001,"&lt;&gt;")=0,"",SUMIFS(BD!$AE$3:$AE$5001,BD!$A$3:$A$5001,AB$3,BD!$B$3:$B$5001,$A$134)))</f>
        <v/>
      </c>
      <c r="AC150" s="223" t="str">
        <f>IF(AC$3="","",IF(COUNTIFS(BD!$A$3:$A$5001,AC$3,BD!$B$3:$B$5001,$A$134,BD!$AE$3:$AE$5001,"&lt;&gt;")=0,"",SUMIFS(BD!$AE$3:$AE$5001,BD!$A$3:$A$5001,AC$3,BD!$B$3:$B$5001,$A$134)))</f>
        <v/>
      </c>
      <c r="AD150" s="223" t="str">
        <f>IF(AD$3="","",IF(COUNTIFS(BD!$A$3:$A$5001,AD$3,BD!$B$3:$B$5001,$A$134,BD!$AE$3:$AE$5001,"&lt;&gt;")=0,"",SUMIFS(BD!$AE$3:$AE$5001,BD!$A$3:$A$5001,AD$3,BD!$B$3:$B$5001,$A$134)))</f>
        <v/>
      </c>
      <c r="AE150" s="223" t="str">
        <f>IF(AE$3="","",IF(COUNTIFS(BD!$A$3:$A$5001,AE$3,BD!$B$3:$B$5001,$A$134,BD!$AE$3:$AE$5001,"&lt;&gt;")=0,"",SUMIFS(BD!$AE$3:$AE$5001,BD!$A$3:$A$5001,AE$3,BD!$B$3:$B$5001,$A$134)))</f>
        <v/>
      </c>
      <c r="AF150" s="223" t="str">
        <f>IF(AF$3="","",IF(COUNTIFS(BD!$A$3:$A$5001,AF$3,BD!$B$3:$B$5001,$A$134,BD!$AE$3:$AE$5001,"&lt;&gt;")=0,"",SUMIFS(BD!$AE$3:$AE$5001,BD!$A$3:$A$5001,AF$3,BD!$B$3:$B$5001,$A$134)))</f>
        <v/>
      </c>
      <c r="AG150" s="223" t="str">
        <f>IF(AG$3="","",IF(COUNTIFS(BD!$A$3:$A$5001,AG$3,BD!$B$3:$B$5001,$A$134,BD!$AE$3:$AE$5001,"&lt;&gt;")=0,"",SUMIFS(BD!$AE$3:$AE$5001,BD!$A$3:$A$5001,AG$3,BD!$B$3:$B$5001,$A$134)))</f>
        <v/>
      </c>
      <c r="AH150" s="223" t="str">
        <f>IF(AH$3="","",IF(COUNTIFS(BD!$A$3:$A$5001,AH$3,BD!$B$3:$B$5001,$A$134,BD!$AE$3:$AE$5001,"&lt;&gt;")=0,"",SUMIFS(BD!$AE$3:$AE$5001,BD!$A$3:$A$5001,AH$3,BD!$B$3:$B$5001,$A$134)))</f>
        <v/>
      </c>
      <c r="AI150" s="223" t="str">
        <f>IF(AI$3="","",IF(COUNTIFS(BD!$A$3:$A$5001,AI$3,BD!$B$3:$B$5001,$A$134,BD!$AE$3:$AE$5001,"&lt;&gt;")=0,"",SUMIFS(BD!$AE$3:$AE$5001,BD!$A$3:$A$5001,AI$3,BD!$B$3:$B$5001,$A$134)))</f>
        <v/>
      </c>
      <c r="AJ150" s="224" t="str">
        <f>IF(AJ$3="","",IF(COUNTIFS(BD!$A$3:$A$5001,AJ$3,BD!$B$3:$B$5001,$A$134,BD!$AE$3:$AE$5001,"&lt;&gt;")=0,"",SUMIFS(BD!$AE$3:$AE$5001,BD!$A$3:$A$5001,AJ$3,BD!$B$3:$B$5001,$A$134)))</f>
        <v/>
      </c>
      <c r="AK150" s="225" t="str">
        <f>IF(COUNT(F150:AJ150)=0,"",SUM(F150:AJ150))</f>
        <v/>
      </c>
    </row>
    <row r="151" ht="15.75" customHeight="1">
      <c r="A151" s="245"/>
      <c r="B151" s="242"/>
      <c r="C151" s="226" t="inlineStr">
        <is>
          <t xml:space="preserve">Acidentes SAF</t>
        </is>
      </c>
      <c r="D151" s="227" t="str">
        <f>IFERROR(1/(1/INDEX(BD!$AJ$53:$BD$53,MATCH($A$134,BD!$AJ$22:$BD$22,0))),"")</f>
        <v/>
      </c>
      <c r="E151" s="228"/>
      <c r="F151" s="229" t="str">
        <f>IF(F$3="","",IF(COUNTIFS(BD!$A$3:$A$5001,F$3,BD!$B$3:$B$5001,$A$134,BD!$AF$3:$AF$5001,"&lt;&gt;")=0,"",SUMIFS(BD!$AF$3:$AF$5001,BD!$A$3:$A$5001,F$3,BD!$B$3:$B$5001,$A$134)))</f>
        <v/>
      </c>
      <c r="G151" s="230" t="str">
        <f>IF(G$3="","",IF(COUNTIFS(BD!$A$3:$A$5001,G$3,BD!$B$3:$B$5001,$A$134,BD!$AF$3:$AF$5001,"&lt;&gt;")=0,"",SUMIFS(BD!$AF$3:$AF$5001,BD!$A$3:$A$5001,G$3,BD!$B$3:$B$5001,$A$134)))</f>
        <v/>
      </c>
      <c r="H151" s="230" t="str">
        <f>IF(H$3="","",IF(COUNTIFS(BD!$A$3:$A$5001,H$3,BD!$B$3:$B$5001,$A$134,BD!$AF$3:$AF$5001,"&lt;&gt;")=0,"",SUMIFS(BD!$AF$3:$AF$5001,BD!$A$3:$A$5001,H$3,BD!$B$3:$B$5001,$A$134)))</f>
        <v/>
      </c>
      <c r="I151" s="230" t="str">
        <f>IF(I$3="","",IF(COUNTIFS(BD!$A$3:$A$5001,I$3,BD!$B$3:$B$5001,$A$134,BD!$AF$3:$AF$5001,"&lt;&gt;")=0,"",SUMIFS(BD!$AF$3:$AF$5001,BD!$A$3:$A$5001,I$3,BD!$B$3:$B$5001,$A$134)))</f>
        <v/>
      </c>
      <c r="J151" s="230" t="str">
        <f>IF(J$3="","",IF(COUNTIFS(BD!$A$3:$A$5001,J$3,BD!$B$3:$B$5001,$A$134,BD!$AF$3:$AF$5001,"&lt;&gt;")=0,"",SUMIFS(BD!$AF$3:$AF$5001,BD!$A$3:$A$5001,J$3,BD!$B$3:$B$5001,$A$134)))</f>
        <v/>
      </c>
      <c r="K151" s="230" t="str">
        <f>IF(K$3="","",IF(COUNTIFS(BD!$A$3:$A$5001,K$3,BD!$B$3:$B$5001,$A$134,BD!$AF$3:$AF$5001,"&lt;&gt;")=0,"",SUMIFS(BD!$AF$3:$AF$5001,BD!$A$3:$A$5001,K$3,BD!$B$3:$B$5001,$A$134)))</f>
        <v/>
      </c>
      <c r="L151" s="230" t="str">
        <f>IF(L$3="","",IF(COUNTIFS(BD!$A$3:$A$5001,L$3,BD!$B$3:$B$5001,$A$134,BD!$AF$3:$AF$5001,"&lt;&gt;")=0,"",SUMIFS(BD!$AF$3:$AF$5001,BD!$A$3:$A$5001,L$3,BD!$B$3:$B$5001,$A$134)))</f>
        <v/>
      </c>
      <c r="M151" s="230" t="str">
        <f>IF(M$3="","",IF(COUNTIFS(BD!$A$3:$A$5001,M$3,BD!$B$3:$B$5001,$A$134,BD!$AF$3:$AF$5001,"&lt;&gt;")=0,"",SUMIFS(BD!$AF$3:$AF$5001,BD!$A$3:$A$5001,M$3,BD!$B$3:$B$5001,$A$134)))</f>
        <v/>
      </c>
      <c r="N151" s="230" t="str">
        <f>IF(N$3="","",IF(COUNTIFS(BD!$A$3:$A$5001,N$3,BD!$B$3:$B$5001,$A$134,BD!$AF$3:$AF$5001,"&lt;&gt;")=0,"",SUMIFS(BD!$AF$3:$AF$5001,BD!$A$3:$A$5001,N$3,BD!$B$3:$B$5001,$A$134)))</f>
        <v/>
      </c>
      <c r="O151" s="230" t="str">
        <f>IF(O$3="","",IF(COUNTIFS(BD!$A$3:$A$5001,O$3,BD!$B$3:$B$5001,$A$134,BD!$AF$3:$AF$5001,"&lt;&gt;")=0,"",SUMIFS(BD!$AF$3:$AF$5001,BD!$A$3:$A$5001,O$3,BD!$B$3:$B$5001,$A$134)))</f>
        <v/>
      </c>
      <c r="P151" s="230" t="str">
        <f>IF(P$3="","",IF(COUNTIFS(BD!$A$3:$A$5001,P$3,BD!$B$3:$B$5001,$A$134,BD!$AF$3:$AF$5001,"&lt;&gt;")=0,"",SUMIFS(BD!$AF$3:$AF$5001,BD!$A$3:$A$5001,P$3,BD!$B$3:$B$5001,$A$134)))</f>
        <v/>
      </c>
      <c r="Q151" s="230" t="str">
        <f>IF(Q$3="","",IF(COUNTIFS(BD!$A$3:$A$5001,Q$3,BD!$B$3:$B$5001,$A$134,BD!$AF$3:$AF$5001,"&lt;&gt;")=0,"",SUMIFS(BD!$AF$3:$AF$5001,BD!$A$3:$A$5001,Q$3,BD!$B$3:$B$5001,$A$134)))</f>
        <v/>
      </c>
      <c r="R151" s="230" t="str">
        <f>IF(R$3="","",IF(COUNTIFS(BD!$A$3:$A$5001,R$3,BD!$B$3:$B$5001,$A$134,BD!$AF$3:$AF$5001,"&lt;&gt;")=0,"",SUMIFS(BD!$AF$3:$AF$5001,BD!$A$3:$A$5001,R$3,BD!$B$3:$B$5001,$A$134)))</f>
        <v/>
      </c>
      <c r="S151" s="230" t="str">
        <f>IF(S$3="","",IF(COUNTIFS(BD!$A$3:$A$5001,S$3,BD!$B$3:$B$5001,$A$134,BD!$AF$3:$AF$5001,"&lt;&gt;")=0,"",SUMIFS(BD!$AF$3:$AF$5001,BD!$A$3:$A$5001,S$3,BD!$B$3:$B$5001,$A$134)))</f>
        <v/>
      </c>
      <c r="T151" s="230" t="str">
        <f>IF(T$3="","",IF(COUNTIFS(BD!$A$3:$A$5001,T$3,BD!$B$3:$B$5001,$A$134,BD!$AF$3:$AF$5001,"&lt;&gt;")=0,"",SUMIFS(BD!$AF$3:$AF$5001,BD!$A$3:$A$5001,T$3,BD!$B$3:$B$5001,$A$134)))</f>
        <v/>
      </c>
      <c r="U151" s="230" t="str">
        <f>IF(U$3="","",IF(COUNTIFS(BD!$A$3:$A$5001,U$3,BD!$B$3:$B$5001,$A$134,BD!$AF$3:$AF$5001,"&lt;&gt;")=0,"",SUMIFS(BD!$AF$3:$AF$5001,BD!$A$3:$A$5001,U$3,BD!$B$3:$B$5001,$A$134)))</f>
        <v/>
      </c>
      <c r="V151" s="230" t="str">
        <f>IF(V$3="","",IF(COUNTIFS(BD!$A$3:$A$5001,V$3,BD!$B$3:$B$5001,$A$134,BD!$AF$3:$AF$5001,"&lt;&gt;")=0,"",SUMIFS(BD!$AF$3:$AF$5001,BD!$A$3:$A$5001,V$3,BD!$B$3:$B$5001,$A$134)))</f>
        <v/>
      </c>
      <c r="W151" s="230" t="str">
        <f>IF(W$3="","",IF(COUNTIFS(BD!$A$3:$A$5001,W$3,BD!$B$3:$B$5001,$A$134,BD!$AF$3:$AF$5001,"&lt;&gt;")=0,"",SUMIFS(BD!$AF$3:$AF$5001,BD!$A$3:$A$5001,W$3,BD!$B$3:$B$5001,$A$134)))</f>
        <v/>
      </c>
      <c r="X151" s="230" t="str">
        <f>IF(X$3="","",IF(COUNTIFS(BD!$A$3:$A$5001,X$3,BD!$B$3:$B$5001,$A$134,BD!$AF$3:$AF$5001,"&lt;&gt;")=0,"",SUMIFS(BD!$AF$3:$AF$5001,BD!$A$3:$A$5001,X$3,BD!$B$3:$B$5001,$A$134)))</f>
        <v/>
      </c>
      <c r="Y151" s="230" t="str">
        <f>IF(Y$3="","",IF(COUNTIFS(BD!$A$3:$A$5001,Y$3,BD!$B$3:$B$5001,$A$134,BD!$AF$3:$AF$5001,"&lt;&gt;")=0,"",SUMIFS(BD!$AF$3:$AF$5001,BD!$A$3:$A$5001,Y$3,BD!$B$3:$B$5001,$A$134)))</f>
        <v/>
      </c>
      <c r="Z151" s="230" t="str">
        <f>IF(Z$3="","",IF(COUNTIFS(BD!$A$3:$A$5001,Z$3,BD!$B$3:$B$5001,$A$134,BD!$AF$3:$AF$5001,"&lt;&gt;")=0,"",SUMIFS(BD!$AF$3:$AF$5001,BD!$A$3:$A$5001,Z$3,BD!$B$3:$B$5001,$A$134)))</f>
        <v/>
      </c>
      <c r="AA151" s="230" t="str">
        <f>IF(AA$3="","",IF(COUNTIFS(BD!$A$3:$A$5001,AA$3,BD!$B$3:$B$5001,$A$134,BD!$AF$3:$AF$5001,"&lt;&gt;")=0,"",SUMIFS(BD!$AF$3:$AF$5001,BD!$A$3:$A$5001,AA$3,BD!$B$3:$B$5001,$A$134)))</f>
        <v/>
      </c>
      <c r="AB151" s="230" t="str">
        <f>IF(AB$3="","",IF(COUNTIFS(BD!$A$3:$A$5001,AB$3,BD!$B$3:$B$5001,$A$134,BD!$AF$3:$AF$5001,"&lt;&gt;")=0,"",SUMIFS(BD!$AF$3:$AF$5001,BD!$A$3:$A$5001,AB$3,BD!$B$3:$B$5001,$A$134)))</f>
        <v/>
      </c>
      <c r="AC151" s="230" t="str">
        <f>IF(AC$3="","",IF(COUNTIFS(BD!$A$3:$A$5001,AC$3,BD!$B$3:$B$5001,$A$134,BD!$AF$3:$AF$5001,"&lt;&gt;")=0,"",SUMIFS(BD!$AF$3:$AF$5001,BD!$A$3:$A$5001,AC$3,BD!$B$3:$B$5001,$A$134)))</f>
        <v/>
      </c>
      <c r="AD151" s="230" t="str">
        <f>IF(AD$3="","",IF(COUNTIFS(BD!$A$3:$A$5001,AD$3,BD!$B$3:$B$5001,$A$134,BD!$AF$3:$AF$5001,"&lt;&gt;")=0,"",SUMIFS(BD!$AF$3:$AF$5001,BD!$A$3:$A$5001,AD$3,BD!$B$3:$B$5001,$A$134)))</f>
        <v/>
      </c>
      <c r="AE151" s="230" t="str">
        <f>IF(AE$3="","",IF(COUNTIFS(BD!$A$3:$A$5001,AE$3,BD!$B$3:$B$5001,$A$134,BD!$AF$3:$AF$5001,"&lt;&gt;")=0,"",SUMIFS(BD!$AF$3:$AF$5001,BD!$A$3:$A$5001,AE$3,BD!$B$3:$B$5001,$A$134)))</f>
        <v/>
      </c>
      <c r="AF151" s="230" t="str">
        <f>IF(AF$3="","",IF(COUNTIFS(BD!$A$3:$A$5001,AF$3,BD!$B$3:$B$5001,$A$134,BD!$AF$3:$AF$5001,"&lt;&gt;")=0,"",SUMIFS(BD!$AF$3:$AF$5001,BD!$A$3:$A$5001,AF$3,BD!$B$3:$B$5001,$A$134)))</f>
        <v/>
      </c>
      <c r="AG151" s="230" t="str">
        <f>IF(AG$3="","",IF(COUNTIFS(BD!$A$3:$A$5001,AG$3,BD!$B$3:$B$5001,$A$134,BD!$AF$3:$AF$5001,"&lt;&gt;")=0,"",SUMIFS(BD!$AF$3:$AF$5001,BD!$A$3:$A$5001,AG$3,BD!$B$3:$B$5001,$A$134)))</f>
        <v/>
      </c>
      <c r="AH151" s="230" t="str">
        <f>IF(AH$3="","",IF(COUNTIFS(BD!$A$3:$A$5001,AH$3,BD!$B$3:$B$5001,$A$134,BD!$AF$3:$AF$5001,"&lt;&gt;")=0,"",SUMIFS(BD!$AF$3:$AF$5001,BD!$A$3:$A$5001,AH$3,BD!$B$3:$B$5001,$A$134)))</f>
        <v/>
      </c>
      <c r="AI151" s="230" t="str">
        <f>IF(AI$3="","",IF(COUNTIFS(BD!$A$3:$A$5001,AI$3,BD!$B$3:$B$5001,$A$134,BD!$AF$3:$AF$5001,"&lt;&gt;")=0,"",SUMIFS(BD!$AF$3:$AF$5001,BD!$A$3:$A$5001,AI$3,BD!$B$3:$B$5001,$A$134)))</f>
        <v/>
      </c>
      <c r="AJ151" s="231" t="str">
        <f>IF(AJ$3="","",IF(COUNTIFS(BD!$A$3:$A$5001,AJ$3,BD!$B$3:$B$5001,$A$134,BD!$AF$3:$AF$5001,"&lt;&gt;")=0,"",SUMIFS(BD!$AF$3:$AF$5001,BD!$A$3:$A$5001,AJ$3,BD!$B$3:$B$5001,$A$134)))</f>
        <v/>
      </c>
      <c r="AK151" s="227" t="str">
        <f>IF(COUNT(F151:AJ151)=0,"",SUM(F151:AJ151))</f>
        <v/>
      </c>
    </row>
    <row r="153" ht="15.75" customHeight="1">
      <c r="A153" s="243" t="inlineStr">
        <is>
          <t xml:space="preserve">Supply</t>
        </is>
      </c>
      <c r="B153" s="232" t="inlineStr">
        <is>
          <t xml:space="preserve">IN</t>
        </is>
      </c>
      <c r="C153" s="155" t="inlineStr">
        <is>
          <t xml:space="preserve">Veículos Recebidos</t>
        </is>
      </c>
      <c r="D153" s="156" t="str">
        <f>IFERROR(1/(1/INDEX(BD!$AJ$23:$BD$23,MATCH($A$153,BD!$AJ$22:$BD$22,0))),"")</f>
        <v/>
      </c>
      <c r="E153" s="157"/>
      <c r="F153" s="158" t="str">
        <f>IF(F$3="","",IF(COUNTIFS(BD!$A$3:$A$5001,F$3,BD!$B$3:$B$5001,$A$153,BD!$C$3:$C$5001,"&lt;&gt;")=0,"",SUMIFS(BD!$C$3:$C$5001,BD!$A$3:$A$5001,F$3,BD!$B$3:$B$5001,$A$153)))</f>
        <v/>
      </c>
      <c r="G153" s="159" t="str">
        <f>IF(G$3="","",IF(COUNTIFS(BD!$A$3:$A$5001,G$3,BD!$B$3:$B$5001,$A$153,BD!$C$3:$C$5001,"&lt;&gt;")=0,"",SUMIFS(BD!$C$3:$C$5001,BD!$A$3:$A$5001,G$3,BD!$B$3:$B$5001,$A$153)))</f>
        <v/>
      </c>
      <c r="H153" s="159" t="str">
        <f>IF(H$3="","",IF(COUNTIFS(BD!$A$3:$A$5001,H$3,BD!$B$3:$B$5001,$A$153,BD!$C$3:$C$5001,"&lt;&gt;")=0,"",SUMIFS(BD!$C$3:$C$5001,BD!$A$3:$A$5001,H$3,BD!$B$3:$B$5001,$A$153)))</f>
        <v/>
      </c>
      <c r="I153" s="159" t="str">
        <f>IF(I$3="","",IF(COUNTIFS(BD!$A$3:$A$5001,I$3,BD!$B$3:$B$5001,$A$153,BD!$C$3:$C$5001,"&lt;&gt;")=0,"",SUMIFS(BD!$C$3:$C$5001,BD!$A$3:$A$5001,I$3,BD!$B$3:$B$5001,$A$153)))</f>
        <v/>
      </c>
      <c r="J153" s="159" t="str">
        <f>IF(J$3="","",IF(COUNTIFS(BD!$A$3:$A$5001,J$3,BD!$B$3:$B$5001,$A$153,BD!$C$3:$C$5001,"&lt;&gt;")=0,"",SUMIFS(BD!$C$3:$C$5001,BD!$A$3:$A$5001,J$3,BD!$B$3:$B$5001,$A$153)))</f>
        <v/>
      </c>
      <c r="K153" s="159" t="str">
        <f>IF(K$3="","",IF(COUNTIFS(BD!$A$3:$A$5001,K$3,BD!$B$3:$B$5001,$A$153,BD!$C$3:$C$5001,"&lt;&gt;")=0,"",SUMIFS(BD!$C$3:$C$5001,BD!$A$3:$A$5001,K$3,BD!$B$3:$B$5001,$A$153)))</f>
        <v/>
      </c>
      <c r="L153" s="159" t="str">
        <f>IF(L$3="","",IF(COUNTIFS(BD!$A$3:$A$5001,L$3,BD!$B$3:$B$5001,$A$153,BD!$C$3:$C$5001,"&lt;&gt;")=0,"",SUMIFS(BD!$C$3:$C$5001,BD!$A$3:$A$5001,L$3,BD!$B$3:$B$5001,$A$153)))</f>
        <v/>
      </c>
      <c r="M153" s="159" t="str">
        <f>IF(M$3="","",IF(COUNTIFS(BD!$A$3:$A$5001,M$3,BD!$B$3:$B$5001,$A$153,BD!$C$3:$C$5001,"&lt;&gt;")=0,"",SUMIFS(BD!$C$3:$C$5001,BD!$A$3:$A$5001,M$3,BD!$B$3:$B$5001,$A$153)))</f>
        <v/>
      </c>
      <c r="N153" s="159" t="str">
        <f>IF(N$3="","",IF(COUNTIFS(BD!$A$3:$A$5001,N$3,BD!$B$3:$B$5001,$A$153,BD!$C$3:$C$5001,"&lt;&gt;")=0,"",SUMIFS(BD!$C$3:$C$5001,BD!$A$3:$A$5001,N$3,BD!$B$3:$B$5001,$A$153)))</f>
        <v/>
      </c>
      <c r="O153" s="159" t="str">
        <f>IF(O$3="","",IF(COUNTIFS(BD!$A$3:$A$5001,O$3,BD!$B$3:$B$5001,$A$153,BD!$C$3:$C$5001,"&lt;&gt;")=0,"",SUMIFS(BD!$C$3:$C$5001,BD!$A$3:$A$5001,O$3,BD!$B$3:$B$5001,$A$153)))</f>
        <v/>
      </c>
      <c r="P153" s="159" t="str">
        <f>IF(P$3="","",IF(COUNTIFS(BD!$A$3:$A$5001,P$3,BD!$B$3:$B$5001,$A$153,BD!$C$3:$C$5001,"&lt;&gt;")=0,"",SUMIFS(BD!$C$3:$C$5001,BD!$A$3:$A$5001,P$3,BD!$B$3:$B$5001,$A$153)))</f>
        <v/>
      </c>
      <c r="Q153" s="159" t="str">
        <f>IF(Q$3="","",IF(COUNTIFS(BD!$A$3:$A$5001,Q$3,BD!$B$3:$B$5001,$A$153,BD!$C$3:$C$5001,"&lt;&gt;")=0,"",SUMIFS(BD!$C$3:$C$5001,BD!$A$3:$A$5001,Q$3,BD!$B$3:$B$5001,$A$153)))</f>
        <v/>
      </c>
      <c r="R153" s="159" t="str">
        <f>IF(R$3="","",IF(COUNTIFS(BD!$A$3:$A$5001,R$3,BD!$B$3:$B$5001,$A$153,BD!$C$3:$C$5001,"&lt;&gt;")=0,"",SUMIFS(BD!$C$3:$C$5001,BD!$A$3:$A$5001,R$3,BD!$B$3:$B$5001,$A$153)))</f>
        <v/>
      </c>
      <c r="S153" s="159" t="str">
        <f>IF(S$3="","",IF(COUNTIFS(BD!$A$3:$A$5001,S$3,BD!$B$3:$B$5001,$A$153,BD!$C$3:$C$5001,"&lt;&gt;")=0,"",SUMIFS(BD!$C$3:$C$5001,BD!$A$3:$A$5001,S$3,BD!$B$3:$B$5001,$A$153)))</f>
        <v/>
      </c>
      <c r="T153" s="159" t="str">
        <f>IF(T$3="","",IF(COUNTIFS(BD!$A$3:$A$5001,T$3,BD!$B$3:$B$5001,$A$153,BD!$C$3:$C$5001,"&lt;&gt;")=0,"",SUMIFS(BD!$C$3:$C$5001,BD!$A$3:$A$5001,T$3,BD!$B$3:$B$5001,$A$153)))</f>
        <v/>
      </c>
      <c r="U153" s="159" t="str">
        <f>IF(U$3="","",IF(COUNTIFS(BD!$A$3:$A$5001,U$3,BD!$B$3:$B$5001,$A$153,BD!$C$3:$C$5001,"&lt;&gt;")=0,"",SUMIFS(BD!$C$3:$C$5001,BD!$A$3:$A$5001,U$3,BD!$B$3:$B$5001,$A$153)))</f>
        <v/>
      </c>
      <c r="V153" s="159" t="str">
        <f>IF(V$3="","",IF(COUNTIFS(BD!$A$3:$A$5001,V$3,BD!$B$3:$B$5001,$A$153,BD!$C$3:$C$5001,"&lt;&gt;")=0,"",SUMIFS(BD!$C$3:$C$5001,BD!$A$3:$A$5001,V$3,BD!$B$3:$B$5001,$A$153)))</f>
        <v/>
      </c>
      <c r="W153" s="159" t="str">
        <f>IF(W$3="","",IF(COUNTIFS(BD!$A$3:$A$5001,W$3,BD!$B$3:$B$5001,$A$153,BD!$C$3:$C$5001,"&lt;&gt;")=0,"",SUMIFS(BD!$C$3:$C$5001,BD!$A$3:$A$5001,W$3,BD!$B$3:$B$5001,$A$153)))</f>
        <v/>
      </c>
      <c r="X153" s="159" t="str">
        <f>IF(X$3="","",IF(COUNTIFS(BD!$A$3:$A$5001,X$3,BD!$B$3:$B$5001,$A$153,BD!$C$3:$C$5001,"&lt;&gt;")=0,"",SUMIFS(BD!$C$3:$C$5001,BD!$A$3:$A$5001,X$3,BD!$B$3:$B$5001,$A$153)))</f>
        <v/>
      </c>
      <c r="Y153" s="159" t="str">
        <f>IF(Y$3="","",IF(COUNTIFS(BD!$A$3:$A$5001,Y$3,BD!$B$3:$B$5001,$A$153,BD!$C$3:$C$5001,"&lt;&gt;")=0,"",SUMIFS(BD!$C$3:$C$5001,BD!$A$3:$A$5001,Y$3,BD!$B$3:$B$5001,$A$153)))</f>
        <v/>
      </c>
      <c r="Z153" s="159" t="str">
        <f>IF(Z$3="","",IF(COUNTIFS(BD!$A$3:$A$5001,Z$3,BD!$B$3:$B$5001,$A$153,BD!$C$3:$C$5001,"&lt;&gt;")=0,"",SUMIFS(BD!$C$3:$C$5001,BD!$A$3:$A$5001,Z$3,BD!$B$3:$B$5001,$A$153)))</f>
        <v/>
      </c>
      <c r="AA153" s="159" t="str">
        <f>IF(AA$3="","",IF(COUNTIFS(BD!$A$3:$A$5001,AA$3,BD!$B$3:$B$5001,$A$153,BD!$C$3:$C$5001,"&lt;&gt;")=0,"",SUMIFS(BD!$C$3:$C$5001,BD!$A$3:$A$5001,AA$3,BD!$B$3:$B$5001,$A$153)))</f>
        <v/>
      </c>
      <c r="AB153" s="159" t="str">
        <f>IF(AB$3="","",IF(COUNTIFS(BD!$A$3:$A$5001,AB$3,BD!$B$3:$B$5001,$A$153,BD!$C$3:$C$5001,"&lt;&gt;")=0,"",SUMIFS(BD!$C$3:$C$5001,BD!$A$3:$A$5001,AB$3,BD!$B$3:$B$5001,$A$153)))</f>
        <v/>
      </c>
      <c r="AC153" s="159" t="str">
        <f>IF(AC$3="","",IF(COUNTIFS(BD!$A$3:$A$5001,AC$3,BD!$B$3:$B$5001,$A$153,BD!$C$3:$C$5001,"&lt;&gt;")=0,"",SUMIFS(BD!$C$3:$C$5001,BD!$A$3:$A$5001,AC$3,BD!$B$3:$B$5001,$A$153)))</f>
        <v/>
      </c>
      <c r="AD153" s="159" t="str">
        <f>IF(AD$3="","",IF(COUNTIFS(BD!$A$3:$A$5001,AD$3,BD!$B$3:$B$5001,$A$153,BD!$C$3:$C$5001,"&lt;&gt;")=0,"",SUMIFS(BD!$C$3:$C$5001,BD!$A$3:$A$5001,AD$3,BD!$B$3:$B$5001,$A$153)))</f>
        <v/>
      </c>
      <c r="AE153" s="159" t="str">
        <f>IF(AE$3="","",IF(COUNTIFS(BD!$A$3:$A$5001,AE$3,BD!$B$3:$B$5001,$A$153,BD!$C$3:$C$5001,"&lt;&gt;")=0,"",SUMIFS(BD!$C$3:$C$5001,BD!$A$3:$A$5001,AE$3,BD!$B$3:$B$5001,$A$153)))</f>
        <v/>
      </c>
      <c r="AF153" s="159" t="str">
        <f>IF(AF$3="","",IF(COUNTIFS(BD!$A$3:$A$5001,AF$3,BD!$B$3:$B$5001,$A$153,BD!$C$3:$C$5001,"&lt;&gt;")=0,"",SUMIFS(BD!$C$3:$C$5001,BD!$A$3:$A$5001,AF$3,BD!$B$3:$B$5001,$A$153)))</f>
        <v/>
      </c>
      <c r="AG153" s="159" t="str">
        <f>IF(AG$3="","",IF(COUNTIFS(BD!$A$3:$A$5001,AG$3,BD!$B$3:$B$5001,$A$153,BD!$C$3:$C$5001,"&lt;&gt;")=0,"",SUMIFS(BD!$C$3:$C$5001,BD!$A$3:$A$5001,AG$3,BD!$B$3:$B$5001,$A$153)))</f>
        <v/>
      </c>
      <c r="AH153" s="159" t="str">
        <f>IF(AH$3="","",IF(COUNTIFS(BD!$A$3:$A$5001,AH$3,BD!$B$3:$B$5001,$A$153,BD!$C$3:$C$5001,"&lt;&gt;")=0,"",SUMIFS(BD!$C$3:$C$5001,BD!$A$3:$A$5001,AH$3,BD!$B$3:$B$5001,$A$153)))</f>
        <v/>
      </c>
      <c r="AI153" s="159" t="str">
        <f>IF(AI$3="","",IF(COUNTIFS(BD!$A$3:$A$5001,AI$3,BD!$B$3:$B$5001,$A$153,BD!$C$3:$C$5001,"&lt;&gt;")=0,"",SUMIFS(BD!$C$3:$C$5001,BD!$A$3:$A$5001,AI$3,BD!$B$3:$B$5001,$A$153)))</f>
        <v/>
      </c>
      <c r="AJ153" s="160" t="str">
        <f>IF(AJ$3="","",IF(COUNTIFS(BD!$A$3:$A$5001,AJ$3,BD!$B$3:$B$5001,$A$153,BD!$C$3:$C$5001,"&lt;&gt;")=0,"",SUMIFS(BD!$C$3:$C$5001,BD!$A$3:$A$5001,AJ$3,BD!$B$3:$B$5001,$A$153)))</f>
        <v/>
      </c>
      <c r="AK153" s="161" t="str">
        <f>IF(COUNT(F153:AJ153)=0,"",SUM(F153:AJ153))</f>
        <v/>
      </c>
    </row>
    <row r="154" ht="15.75" customHeight="1">
      <c r="A154" s="244"/>
      <c r="B154" s="239"/>
      <c r="C154" s="201" t="inlineStr">
        <is>
          <t xml:space="preserve">Pallets Movimentados</t>
        </is>
      </c>
      <c r="D154" s="202" t="str">
        <f>IFERROR(1/(1/INDEX(BD!$AJ$24:$BD$24,MATCH($A$153,BD!$AJ$22:$BD$22,0))),"")</f>
        <v/>
      </c>
      <c r="E154" s="203"/>
      <c r="F154" s="204" t="str">
        <f>IF(F$3="","",IF(COUNTIFS(BD!$A$3:$A$5001,F$3,BD!$B$3:$B$5001,$A$153,BD!$D$3:$D$5001,"&lt;&gt;")=0,"",SUMIFS(BD!$D$3:$D$5001,BD!$A$3:$A$5001,F$3,BD!$B$3:$B$5001,$A$153)))</f>
        <v/>
      </c>
      <c r="G154" s="205" t="str">
        <f>IF(G$3="","",IF(COUNTIFS(BD!$A$3:$A$5001,G$3,BD!$B$3:$B$5001,$A$153,BD!$D$3:$D$5001,"&lt;&gt;")=0,"",SUMIFS(BD!$D$3:$D$5001,BD!$A$3:$A$5001,G$3,BD!$B$3:$B$5001,$A$153)))</f>
        <v/>
      </c>
      <c r="H154" s="205" t="str">
        <f>IF(H$3="","",IF(COUNTIFS(BD!$A$3:$A$5001,H$3,BD!$B$3:$B$5001,$A$153,BD!$D$3:$D$5001,"&lt;&gt;")=0,"",SUMIFS(BD!$D$3:$D$5001,BD!$A$3:$A$5001,H$3,BD!$B$3:$B$5001,$A$153)))</f>
        <v/>
      </c>
      <c r="I154" s="205" t="str">
        <f>IF(I$3="","",IF(COUNTIFS(BD!$A$3:$A$5001,I$3,BD!$B$3:$B$5001,$A$153,BD!$D$3:$D$5001,"&lt;&gt;")=0,"",SUMIFS(BD!$D$3:$D$5001,BD!$A$3:$A$5001,I$3,BD!$B$3:$B$5001,$A$153)))</f>
        <v/>
      </c>
      <c r="J154" s="205" t="str">
        <f>IF(J$3="","",IF(COUNTIFS(BD!$A$3:$A$5001,J$3,BD!$B$3:$B$5001,$A$153,BD!$D$3:$D$5001,"&lt;&gt;")=0,"",SUMIFS(BD!$D$3:$D$5001,BD!$A$3:$A$5001,J$3,BD!$B$3:$B$5001,$A$153)))</f>
        <v/>
      </c>
      <c r="K154" s="205" t="str">
        <f>IF(K$3="","",IF(COUNTIFS(BD!$A$3:$A$5001,K$3,BD!$B$3:$B$5001,$A$153,BD!$D$3:$D$5001,"&lt;&gt;")=0,"",SUMIFS(BD!$D$3:$D$5001,BD!$A$3:$A$5001,K$3,BD!$B$3:$B$5001,$A$153)))</f>
        <v/>
      </c>
      <c r="L154" s="205" t="str">
        <f>IF(L$3="","",IF(COUNTIFS(BD!$A$3:$A$5001,L$3,BD!$B$3:$B$5001,$A$153,BD!$D$3:$D$5001,"&lt;&gt;")=0,"",SUMIFS(BD!$D$3:$D$5001,BD!$A$3:$A$5001,L$3,BD!$B$3:$B$5001,$A$153)))</f>
        <v/>
      </c>
      <c r="M154" s="205" t="str">
        <f>IF(M$3="","",IF(COUNTIFS(BD!$A$3:$A$5001,M$3,BD!$B$3:$B$5001,$A$153,BD!$D$3:$D$5001,"&lt;&gt;")=0,"",SUMIFS(BD!$D$3:$D$5001,BD!$A$3:$A$5001,M$3,BD!$B$3:$B$5001,$A$153)))</f>
        <v/>
      </c>
      <c r="N154" s="205" t="str">
        <f>IF(N$3="","",IF(COUNTIFS(BD!$A$3:$A$5001,N$3,BD!$B$3:$B$5001,$A$153,BD!$D$3:$D$5001,"&lt;&gt;")=0,"",SUMIFS(BD!$D$3:$D$5001,BD!$A$3:$A$5001,N$3,BD!$B$3:$B$5001,$A$153)))</f>
        <v/>
      </c>
      <c r="O154" s="205" t="str">
        <f>IF(O$3="","",IF(COUNTIFS(BD!$A$3:$A$5001,O$3,BD!$B$3:$B$5001,$A$153,BD!$D$3:$D$5001,"&lt;&gt;")=0,"",SUMIFS(BD!$D$3:$D$5001,BD!$A$3:$A$5001,O$3,BD!$B$3:$B$5001,$A$153)))</f>
        <v/>
      </c>
      <c r="P154" s="205" t="str">
        <f>IF(P$3="","",IF(COUNTIFS(BD!$A$3:$A$5001,P$3,BD!$B$3:$B$5001,$A$153,BD!$D$3:$D$5001,"&lt;&gt;")=0,"",SUMIFS(BD!$D$3:$D$5001,BD!$A$3:$A$5001,P$3,BD!$B$3:$B$5001,$A$153)))</f>
        <v/>
      </c>
      <c r="Q154" s="205" t="str">
        <f>IF(Q$3="","",IF(COUNTIFS(BD!$A$3:$A$5001,Q$3,BD!$B$3:$B$5001,$A$153,BD!$D$3:$D$5001,"&lt;&gt;")=0,"",SUMIFS(BD!$D$3:$D$5001,BD!$A$3:$A$5001,Q$3,BD!$B$3:$B$5001,$A$153)))</f>
        <v/>
      </c>
      <c r="R154" s="205" t="str">
        <f>IF(R$3="","",IF(COUNTIFS(BD!$A$3:$A$5001,R$3,BD!$B$3:$B$5001,$A$153,BD!$D$3:$D$5001,"&lt;&gt;")=0,"",SUMIFS(BD!$D$3:$D$5001,BD!$A$3:$A$5001,R$3,BD!$B$3:$B$5001,$A$153)))</f>
        <v/>
      </c>
      <c r="S154" s="205" t="str">
        <f>IF(S$3="","",IF(COUNTIFS(BD!$A$3:$A$5001,S$3,BD!$B$3:$B$5001,$A$153,BD!$D$3:$D$5001,"&lt;&gt;")=0,"",SUMIFS(BD!$D$3:$D$5001,BD!$A$3:$A$5001,S$3,BD!$B$3:$B$5001,$A$153)))</f>
        <v/>
      </c>
      <c r="T154" s="205" t="str">
        <f>IF(T$3="","",IF(COUNTIFS(BD!$A$3:$A$5001,T$3,BD!$B$3:$B$5001,$A$153,BD!$D$3:$D$5001,"&lt;&gt;")=0,"",SUMIFS(BD!$D$3:$D$5001,BD!$A$3:$A$5001,T$3,BD!$B$3:$B$5001,$A$153)))</f>
        <v/>
      </c>
      <c r="U154" s="205" t="str">
        <f>IF(U$3="","",IF(COUNTIFS(BD!$A$3:$A$5001,U$3,BD!$B$3:$B$5001,$A$153,BD!$D$3:$D$5001,"&lt;&gt;")=0,"",SUMIFS(BD!$D$3:$D$5001,BD!$A$3:$A$5001,U$3,BD!$B$3:$B$5001,$A$153)))</f>
        <v/>
      </c>
      <c r="V154" s="205" t="str">
        <f>IF(V$3="","",IF(COUNTIFS(BD!$A$3:$A$5001,V$3,BD!$B$3:$B$5001,$A$153,BD!$D$3:$D$5001,"&lt;&gt;")=0,"",SUMIFS(BD!$D$3:$D$5001,BD!$A$3:$A$5001,V$3,BD!$B$3:$B$5001,$A$153)))</f>
        <v/>
      </c>
      <c r="W154" s="205" t="str">
        <f>IF(W$3="","",IF(COUNTIFS(BD!$A$3:$A$5001,W$3,BD!$B$3:$B$5001,$A$153,BD!$D$3:$D$5001,"&lt;&gt;")=0,"",SUMIFS(BD!$D$3:$D$5001,BD!$A$3:$A$5001,W$3,BD!$B$3:$B$5001,$A$153)))</f>
        <v/>
      </c>
      <c r="X154" s="205" t="str">
        <f>IF(X$3="","",IF(COUNTIFS(BD!$A$3:$A$5001,X$3,BD!$B$3:$B$5001,$A$153,BD!$D$3:$D$5001,"&lt;&gt;")=0,"",SUMIFS(BD!$D$3:$D$5001,BD!$A$3:$A$5001,X$3,BD!$B$3:$B$5001,$A$153)))</f>
        <v/>
      </c>
      <c r="Y154" s="205" t="str">
        <f>IF(Y$3="","",IF(COUNTIFS(BD!$A$3:$A$5001,Y$3,BD!$B$3:$B$5001,$A$153,BD!$D$3:$D$5001,"&lt;&gt;")=0,"",SUMIFS(BD!$D$3:$D$5001,BD!$A$3:$A$5001,Y$3,BD!$B$3:$B$5001,$A$153)))</f>
        <v/>
      </c>
      <c r="Z154" s="205" t="str">
        <f>IF(Z$3="","",IF(COUNTIFS(BD!$A$3:$A$5001,Z$3,BD!$B$3:$B$5001,$A$153,BD!$D$3:$D$5001,"&lt;&gt;")=0,"",SUMIFS(BD!$D$3:$D$5001,BD!$A$3:$A$5001,Z$3,BD!$B$3:$B$5001,$A$153)))</f>
        <v/>
      </c>
      <c r="AA154" s="205" t="str">
        <f>IF(AA$3="","",IF(COUNTIFS(BD!$A$3:$A$5001,AA$3,BD!$B$3:$B$5001,$A$153,BD!$D$3:$D$5001,"&lt;&gt;")=0,"",SUMIFS(BD!$D$3:$D$5001,BD!$A$3:$A$5001,AA$3,BD!$B$3:$B$5001,$A$153)))</f>
        <v/>
      </c>
      <c r="AB154" s="205" t="str">
        <f>IF(AB$3="","",IF(COUNTIFS(BD!$A$3:$A$5001,AB$3,BD!$B$3:$B$5001,$A$153,BD!$D$3:$D$5001,"&lt;&gt;")=0,"",SUMIFS(BD!$D$3:$D$5001,BD!$A$3:$A$5001,AB$3,BD!$B$3:$B$5001,$A$153)))</f>
        <v/>
      </c>
      <c r="AC154" s="205" t="str">
        <f>IF(AC$3="","",IF(COUNTIFS(BD!$A$3:$A$5001,AC$3,BD!$B$3:$B$5001,$A$153,BD!$D$3:$D$5001,"&lt;&gt;")=0,"",SUMIFS(BD!$D$3:$D$5001,BD!$A$3:$A$5001,AC$3,BD!$B$3:$B$5001,$A$153)))</f>
        <v/>
      </c>
      <c r="AD154" s="205" t="str">
        <f>IF(AD$3="","",IF(COUNTIFS(BD!$A$3:$A$5001,AD$3,BD!$B$3:$B$5001,$A$153,BD!$D$3:$D$5001,"&lt;&gt;")=0,"",SUMIFS(BD!$D$3:$D$5001,BD!$A$3:$A$5001,AD$3,BD!$B$3:$B$5001,$A$153)))</f>
        <v/>
      </c>
      <c r="AE154" s="205" t="str">
        <f>IF(AE$3="","",IF(COUNTIFS(BD!$A$3:$A$5001,AE$3,BD!$B$3:$B$5001,$A$153,BD!$D$3:$D$5001,"&lt;&gt;")=0,"",SUMIFS(BD!$D$3:$D$5001,BD!$A$3:$A$5001,AE$3,BD!$B$3:$B$5001,$A$153)))</f>
        <v/>
      </c>
      <c r="AF154" s="205" t="str">
        <f>IF(AF$3="","",IF(COUNTIFS(BD!$A$3:$A$5001,AF$3,BD!$B$3:$B$5001,$A$153,BD!$D$3:$D$5001,"&lt;&gt;")=0,"",SUMIFS(BD!$D$3:$D$5001,BD!$A$3:$A$5001,AF$3,BD!$B$3:$B$5001,$A$153)))</f>
        <v/>
      </c>
      <c r="AG154" s="205" t="str">
        <f>IF(AG$3="","",IF(COUNTIFS(BD!$A$3:$A$5001,AG$3,BD!$B$3:$B$5001,$A$153,BD!$D$3:$D$5001,"&lt;&gt;")=0,"",SUMIFS(BD!$D$3:$D$5001,BD!$A$3:$A$5001,AG$3,BD!$B$3:$B$5001,$A$153)))</f>
        <v/>
      </c>
      <c r="AH154" s="205" t="str">
        <f>IF(AH$3="","",IF(COUNTIFS(BD!$A$3:$A$5001,AH$3,BD!$B$3:$B$5001,$A$153,BD!$D$3:$D$5001,"&lt;&gt;")=0,"",SUMIFS(BD!$D$3:$D$5001,BD!$A$3:$A$5001,AH$3,BD!$B$3:$B$5001,$A$153)))</f>
        <v/>
      </c>
      <c r="AI154" s="205" t="str">
        <f>IF(AI$3="","",IF(COUNTIFS(BD!$A$3:$A$5001,AI$3,BD!$B$3:$B$5001,$A$153,BD!$D$3:$D$5001,"&lt;&gt;")=0,"",SUMIFS(BD!$D$3:$D$5001,BD!$A$3:$A$5001,AI$3,BD!$B$3:$B$5001,$A$153)))</f>
        <v/>
      </c>
      <c r="AJ154" s="206" t="str">
        <f>IF(AJ$3="","",IF(COUNTIFS(BD!$A$3:$A$5001,AJ$3,BD!$B$3:$B$5001,$A$153,BD!$D$3:$D$5001,"&lt;&gt;")=0,"",SUMIFS(BD!$D$3:$D$5001,BD!$A$3:$A$5001,AJ$3,BD!$B$3:$B$5001,$A$153)))</f>
        <v/>
      </c>
      <c r="AK154" s="207" t="str">
        <f>IF(COUNT(F154:AJ154)=0,"",SUM(F154:AJ154))</f>
        <v/>
      </c>
    </row>
    <row r="155" ht="15.75" customHeight="1">
      <c r="A155" s="244"/>
      <c r="B155" s="233"/>
      <c r="C155" s="162" t="inlineStr">
        <is>
          <t xml:space="preserve">Toneladas Movimentadas</t>
        </is>
      </c>
      <c r="D155" s="163" t="str">
        <f>IFERROR(1/(1/INDEX(BD!$AJ$25:$BD$25,MATCH($A$153,BD!$AJ$22:$BD$22,0))),"")</f>
        <v/>
      </c>
      <c r="E155" s="164"/>
      <c r="F155" s="246" t="str">
        <f>IF(F$3="","",IF(COUNTIFS(BD!$A$3:$A$5001,F$3,BD!$B$3:$B$5001,$A$153,BD!$E$3:$E$5001,"&lt;&gt;")=0,"",SUMIFS(BD!$E$3:$E$5001,BD!$A$3:$A$5001,F$3,BD!$B$3:$B$5001,$A$153)))</f>
        <v/>
      </c>
      <c r="G155" s="247" t="str">
        <f>IF(G$3="","",IF(COUNTIFS(BD!$A$3:$A$5001,G$3,BD!$B$3:$B$5001,$A$153,BD!$E$3:$E$5001,"&lt;&gt;")=0,"",SUMIFS(BD!$E$3:$E$5001,BD!$A$3:$A$5001,G$3,BD!$B$3:$B$5001,$A$153)))</f>
        <v/>
      </c>
      <c r="H155" s="247" t="str">
        <f>IF(H$3="","",IF(COUNTIFS(BD!$A$3:$A$5001,H$3,BD!$B$3:$B$5001,$A$153,BD!$E$3:$E$5001,"&lt;&gt;")=0,"",SUMIFS(BD!$E$3:$E$5001,BD!$A$3:$A$5001,H$3,BD!$B$3:$B$5001,$A$153)))</f>
        <v/>
      </c>
      <c r="I155" s="247" t="str">
        <f>IF(I$3="","",IF(COUNTIFS(BD!$A$3:$A$5001,I$3,BD!$B$3:$B$5001,$A$153,BD!$E$3:$E$5001,"&lt;&gt;")=0,"",SUMIFS(BD!$E$3:$E$5001,BD!$A$3:$A$5001,I$3,BD!$B$3:$B$5001,$A$153)))</f>
        <v/>
      </c>
      <c r="J155" s="247" t="str">
        <f>IF(J$3="","",IF(COUNTIFS(BD!$A$3:$A$5001,J$3,BD!$B$3:$B$5001,$A$153,BD!$E$3:$E$5001,"&lt;&gt;")=0,"",SUMIFS(BD!$E$3:$E$5001,BD!$A$3:$A$5001,J$3,BD!$B$3:$B$5001,$A$153)))</f>
        <v/>
      </c>
      <c r="K155" s="247" t="str">
        <f>IF(K$3="","",IF(COUNTIFS(BD!$A$3:$A$5001,K$3,BD!$B$3:$B$5001,$A$153,BD!$E$3:$E$5001,"&lt;&gt;")=0,"",SUMIFS(BD!$E$3:$E$5001,BD!$A$3:$A$5001,K$3,BD!$B$3:$B$5001,$A$153)))</f>
        <v/>
      </c>
      <c r="L155" s="247" t="str">
        <f>IF(L$3="","",IF(COUNTIFS(BD!$A$3:$A$5001,L$3,BD!$B$3:$B$5001,$A$153,BD!$E$3:$E$5001,"&lt;&gt;")=0,"",SUMIFS(BD!$E$3:$E$5001,BD!$A$3:$A$5001,L$3,BD!$B$3:$B$5001,$A$153)))</f>
        <v/>
      </c>
      <c r="M155" s="247" t="str">
        <f>IF(M$3="","",IF(COUNTIFS(BD!$A$3:$A$5001,M$3,BD!$B$3:$B$5001,$A$153,BD!$E$3:$E$5001,"&lt;&gt;")=0,"",SUMIFS(BD!$E$3:$E$5001,BD!$A$3:$A$5001,M$3,BD!$B$3:$B$5001,$A$153)))</f>
        <v/>
      </c>
      <c r="N155" s="247" t="str">
        <f>IF(N$3="","",IF(COUNTIFS(BD!$A$3:$A$5001,N$3,BD!$B$3:$B$5001,$A$153,BD!$E$3:$E$5001,"&lt;&gt;")=0,"",SUMIFS(BD!$E$3:$E$5001,BD!$A$3:$A$5001,N$3,BD!$B$3:$B$5001,$A$153)))</f>
        <v/>
      </c>
      <c r="O155" s="247" t="str">
        <f>IF(O$3="","",IF(COUNTIFS(BD!$A$3:$A$5001,O$3,BD!$B$3:$B$5001,$A$153,BD!$E$3:$E$5001,"&lt;&gt;")=0,"",SUMIFS(BD!$E$3:$E$5001,BD!$A$3:$A$5001,O$3,BD!$B$3:$B$5001,$A$153)))</f>
        <v/>
      </c>
      <c r="P155" s="247" t="str">
        <f>IF(P$3="","",IF(COUNTIFS(BD!$A$3:$A$5001,P$3,BD!$B$3:$B$5001,$A$153,BD!$E$3:$E$5001,"&lt;&gt;")=0,"",SUMIFS(BD!$E$3:$E$5001,BD!$A$3:$A$5001,P$3,BD!$B$3:$B$5001,$A$153)))</f>
        <v/>
      </c>
      <c r="Q155" s="247" t="str">
        <f>IF(Q$3="","",IF(COUNTIFS(BD!$A$3:$A$5001,Q$3,BD!$B$3:$B$5001,$A$153,BD!$E$3:$E$5001,"&lt;&gt;")=0,"",SUMIFS(BD!$E$3:$E$5001,BD!$A$3:$A$5001,Q$3,BD!$B$3:$B$5001,$A$153)))</f>
        <v/>
      </c>
      <c r="R155" s="247" t="str">
        <f>IF(R$3="","",IF(COUNTIFS(BD!$A$3:$A$5001,R$3,BD!$B$3:$B$5001,$A$153,BD!$E$3:$E$5001,"&lt;&gt;")=0,"",SUMIFS(BD!$E$3:$E$5001,BD!$A$3:$A$5001,R$3,BD!$B$3:$B$5001,$A$153)))</f>
        <v/>
      </c>
      <c r="S155" s="247" t="str">
        <f>IF(S$3="","",IF(COUNTIFS(BD!$A$3:$A$5001,S$3,BD!$B$3:$B$5001,$A$153,BD!$E$3:$E$5001,"&lt;&gt;")=0,"",SUMIFS(BD!$E$3:$E$5001,BD!$A$3:$A$5001,S$3,BD!$B$3:$B$5001,$A$153)))</f>
        <v/>
      </c>
      <c r="T155" s="247" t="str">
        <f>IF(T$3="","",IF(COUNTIFS(BD!$A$3:$A$5001,T$3,BD!$B$3:$B$5001,$A$153,BD!$E$3:$E$5001,"&lt;&gt;")=0,"",SUMIFS(BD!$E$3:$E$5001,BD!$A$3:$A$5001,T$3,BD!$B$3:$B$5001,$A$153)))</f>
        <v/>
      </c>
      <c r="U155" s="247" t="str">
        <f>IF(U$3="","",IF(COUNTIFS(BD!$A$3:$A$5001,U$3,BD!$B$3:$B$5001,$A$153,BD!$E$3:$E$5001,"&lt;&gt;")=0,"",SUMIFS(BD!$E$3:$E$5001,BD!$A$3:$A$5001,U$3,BD!$B$3:$B$5001,$A$153)))</f>
        <v/>
      </c>
      <c r="V155" s="247" t="str">
        <f>IF(V$3="","",IF(COUNTIFS(BD!$A$3:$A$5001,V$3,BD!$B$3:$B$5001,$A$153,BD!$E$3:$E$5001,"&lt;&gt;")=0,"",SUMIFS(BD!$E$3:$E$5001,BD!$A$3:$A$5001,V$3,BD!$B$3:$B$5001,$A$153)))</f>
        <v/>
      </c>
      <c r="W155" s="247" t="str">
        <f>IF(W$3="","",IF(COUNTIFS(BD!$A$3:$A$5001,W$3,BD!$B$3:$B$5001,$A$153,BD!$E$3:$E$5001,"&lt;&gt;")=0,"",SUMIFS(BD!$E$3:$E$5001,BD!$A$3:$A$5001,W$3,BD!$B$3:$B$5001,$A$153)))</f>
        <v/>
      </c>
      <c r="X155" s="247" t="str">
        <f>IF(X$3="","",IF(COUNTIFS(BD!$A$3:$A$5001,X$3,BD!$B$3:$B$5001,$A$153,BD!$E$3:$E$5001,"&lt;&gt;")=0,"",SUMIFS(BD!$E$3:$E$5001,BD!$A$3:$A$5001,X$3,BD!$B$3:$B$5001,$A$153)))</f>
        <v/>
      </c>
      <c r="Y155" s="247" t="str">
        <f>IF(Y$3="","",IF(COUNTIFS(BD!$A$3:$A$5001,Y$3,BD!$B$3:$B$5001,$A$153,BD!$E$3:$E$5001,"&lt;&gt;")=0,"",SUMIFS(BD!$E$3:$E$5001,BD!$A$3:$A$5001,Y$3,BD!$B$3:$B$5001,$A$153)))</f>
        <v/>
      </c>
      <c r="Z155" s="247" t="str">
        <f>IF(Z$3="","",IF(COUNTIFS(BD!$A$3:$A$5001,Z$3,BD!$B$3:$B$5001,$A$153,BD!$E$3:$E$5001,"&lt;&gt;")=0,"",SUMIFS(BD!$E$3:$E$5001,BD!$A$3:$A$5001,Z$3,BD!$B$3:$B$5001,$A$153)))</f>
        <v/>
      </c>
      <c r="AA155" s="247" t="str">
        <f>IF(AA$3="","",IF(COUNTIFS(BD!$A$3:$A$5001,AA$3,BD!$B$3:$B$5001,$A$153,BD!$E$3:$E$5001,"&lt;&gt;")=0,"",SUMIFS(BD!$E$3:$E$5001,BD!$A$3:$A$5001,AA$3,BD!$B$3:$B$5001,$A$153)))</f>
        <v/>
      </c>
      <c r="AB155" s="247" t="str">
        <f>IF(AB$3="","",IF(COUNTIFS(BD!$A$3:$A$5001,AB$3,BD!$B$3:$B$5001,$A$153,BD!$E$3:$E$5001,"&lt;&gt;")=0,"",SUMIFS(BD!$E$3:$E$5001,BD!$A$3:$A$5001,AB$3,BD!$B$3:$B$5001,$A$153)))</f>
        <v/>
      </c>
      <c r="AC155" s="247" t="str">
        <f>IF(AC$3="","",IF(COUNTIFS(BD!$A$3:$A$5001,AC$3,BD!$B$3:$B$5001,$A$153,BD!$E$3:$E$5001,"&lt;&gt;")=0,"",SUMIFS(BD!$E$3:$E$5001,BD!$A$3:$A$5001,AC$3,BD!$B$3:$B$5001,$A$153)))</f>
        <v/>
      </c>
      <c r="AD155" s="247" t="str">
        <f>IF(AD$3="","",IF(COUNTIFS(BD!$A$3:$A$5001,AD$3,BD!$B$3:$B$5001,$A$153,BD!$E$3:$E$5001,"&lt;&gt;")=0,"",SUMIFS(BD!$E$3:$E$5001,BD!$A$3:$A$5001,AD$3,BD!$B$3:$B$5001,$A$153)))</f>
        <v/>
      </c>
      <c r="AE155" s="247" t="str">
        <f>IF(AE$3="","",IF(COUNTIFS(BD!$A$3:$A$5001,AE$3,BD!$B$3:$B$5001,$A$153,BD!$E$3:$E$5001,"&lt;&gt;")=0,"",SUMIFS(BD!$E$3:$E$5001,BD!$A$3:$A$5001,AE$3,BD!$B$3:$B$5001,$A$153)))</f>
        <v/>
      </c>
      <c r="AF155" s="247" t="str">
        <f>IF(AF$3="","",IF(COUNTIFS(BD!$A$3:$A$5001,AF$3,BD!$B$3:$B$5001,$A$153,BD!$E$3:$E$5001,"&lt;&gt;")=0,"",SUMIFS(BD!$E$3:$E$5001,BD!$A$3:$A$5001,AF$3,BD!$B$3:$B$5001,$A$153)))</f>
        <v/>
      </c>
      <c r="AG155" s="247" t="str">
        <f>IF(AG$3="","",IF(COUNTIFS(BD!$A$3:$A$5001,AG$3,BD!$B$3:$B$5001,$A$153,BD!$E$3:$E$5001,"&lt;&gt;")=0,"",SUMIFS(BD!$E$3:$E$5001,BD!$A$3:$A$5001,AG$3,BD!$B$3:$B$5001,$A$153)))</f>
        <v/>
      </c>
      <c r="AH155" s="247" t="str">
        <f>IF(AH$3="","",IF(COUNTIFS(BD!$A$3:$A$5001,AH$3,BD!$B$3:$B$5001,$A$153,BD!$E$3:$E$5001,"&lt;&gt;")=0,"",SUMIFS(BD!$E$3:$E$5001,BD!$A$3:$A$5001,AH$3,BD!$B$3:$B$5001,$A$153)))</f>
        <v/>
      </c>
      <c r="AI155" s="247" t="str">
        <f>IF(AI$3="","",IF(COUNTIFS(BD!$A$3:$A$5001,AI$3,BD!$B$3:$B$5001,$A$153,BD!$E$3:$E$5001,"&lt;&gt;")=0,"",SUMIFS(BD!$E$3:$E$5001,BD!$A$3:$A$5001,AI$3,BD!$B$3:$B$5001,$A$153)))</f>
        <v/>
      </c>
      <c r="AJ155" s="248" t="str">
        <f>IF(AJ$3="","",IF(COUNTIFS(BD!$A$3:$A$5001,AJ$3,BD!$B$3:$B$5001,$A$153,BD!$E$3:$E$5001,"&lt;&gt;")=0,"",SUMIFS(BD!$E$3:$E$5001,BD!$A$3:$A$5001,AJ$3,BD!$B$3:$B$5001,$A$153)))</f>
        <v/>
      </c>
      <c r="AK155" s="249" t="str">
        <f>IF(COUNT(F155:AJ155)=0,"",SUM(F155:AJ155))</f>
        <v/>
      </c>
    </row>
    <row r="156" ht="15.75" customHeight="1">
      <c r="A156" s="244"/>
      <c r="B156" s="234" t="inlineStr">
        <is>
          <t xml:space="preserve">OUT</t>
        </is>
      </c>
      <c r="C156" s="168" t="inlineStr">
        <is>
          <t xml:space="preserve">Veículos Expedidos</t>
        </is>
      </c>
      <c r="D156" s="169" t="str">
        <f>IFERROR(1/(1/INDEX(BD!$AJ$32:$BD$32,MATCH($A$153,BD!$AJ$22:$BD$22,0))),"")</f>
        <v/>
      </c>
      <c r="E156" s="170"/>
      <c r="F156" s="171" t="str">
        <f>IF(F$3="","",IF(COUNTIFS(BD!$A$3:$A$5001,F$3,BD!$B$3:$B$5001,$A$153,BD!$L$3:$L$5001,"&lt;&gt;")=0,"",SUMIFS(BD!$L$3:$L$5001,BD!$A$3:$A$5001,F$3,BD!$B$3:$B$5001,$A$153)))</f>
        <v/>
      </c>
      <c r="G156" s="172" t="str">
        <f>IF(G$3="","",IF(COUNTIFS(BD!$A$3:$A$5001,G$3,BD!$B$3:$B$5001,$A$153,BD!$L$3:$L$5001,"&lt;&gt;")=0,"",SUMIFS(BD!$L$3:$L$5001,BD!$A$3:$A$5001,G$3,BD!$B$3:$B$5001,$A$153)))</f>
        <v/>
      </c>
      <c r="H156" s="172" t="str">
        <f>IF(H$3="","",IF(COUNTIFS(BD!$A$3:$A$5001,H$3,BD!$B$3:$B$5001,$A$153,BD!$L$3:$L$5001,"&lt;&gt;")=0,"",SUMIFS(BD!$L$3:$L$5001,BD!$A$3:$A$5001,H$3,BD!$B$3:$B$5001,$A$153)))</f>
        <v/>
      </c>
      <c r="I156" s="172" t="str">
        <f>IF(I$3="","",IF(COUNTIFS(BD!$A$3:$A$5001,I$3,BD!$B$3:$B$5001,$A$153,BD!$L$3:$L$5001,"&lt;&gt;")=0,"",SUMIFS(BD!$L$3:$L$5001,BD!$A$3:$A$5001,I$3,BD!$B$3:$B$5001,$A$153)))</f>
        <v/>
      </c>
      <c r="J156" s="172" t="str">
        <f>IF(J$3="","",IF(COUNTIFS(BD!$A$3:$A$5001,J$3,BD!$B$3:$B$5001,$A$153,BD!$L$3:$L$5001,"&lt;&gt;")=0,"",SUMIFS(BD!$L$3:$L$5001,BD!$A$3:$A$5001,J$3,BD!$B$3:$B$5001,$A$153)))</f>
        <v/>
      </c>
      <c r="K156" s="172" t="str">
        <f>IF(K$3="","",IF(COUNTIFS(BD!$A$3:$A$5001,K$3,BD!$B$3:$B$5001,$A$153,BD!$L$3:$L$5001,"&lt;&gt;")=0,"",SUMIFS(BD!$L$3:$L$5001,BD!$A$3:$A$5001,K$3,BD!$B$3:$B$5001,$A$153)))</f>
        <v/>
      </c>
      <c r="L156" s="172" t="str">
        <f>IF(L$3="","",IF(COUNTIFS(BD!$A$3:$A$5001,L$3,BD!$B$3:$B$5001,$A$153,BD!$L$3:$L$5001,"&lt;&gt;")=0,"",SUMIFS(BD!$L$3:$L$5001,BD!$A$3:$A$5001,L$3,BD!$B$3:$B$5001,$A$153)))</f>
        <v/>
      </c>
      <c r="M156" s="172" t="str">
        <f>IF(M$3="","",IF(COUNTIFS(BD!$A$3:$A$5001,M$3,BD!$B$3:$B$5001,$A$153,BD!$L$3:$L$5001,"&lt;&gt;")=0,"",SUMIFS(BD!$L$3:$L$5001,BD!$A$3:$A$5001,M$3,BD!$B$3:$B$5001,$A$153)))</f>
        <v/>
      </c>
      <c r="N156" s="172" t="str">
        <f>IF(N$3="","",IF(COUNTIFS(BD!$A$3:$A$5001,N$3,BD!$B$3:$B$5001,$A$153,BD!$L$3:$L$5001,"&lt;&gt;")=0,"",SUMIFS(BD!$L$3:$L$5001,BD!$A$3:$A$5001,N$3,BD!$B$3:$B$5001,$A$153)))</f>
        <v/>
      </c>
      <c r="O156" s="172" t="str">
        <f>IF(O$3="","",IF(COUNTIFS(BD!$A$3:$A$5001,O$3,BD!$B$3:$B$5001,$A$153,BD!$L$3:$L$5001,"&lt;&gt;")=0,"",SUMIFS(BD!$L$3:$L$5001,BD!$A$3:$A$5001,O$3,BD!$B$3:$B$5001,$A$153)))</f>
        <v/>
      </c>
      <c r="P156" s="172" t="str">
        <f>IF(P$3="","",IF(COUNTIFS(BD!$A$3:$A$5001,P$3,BD!$B$3:$B$5001,$A$153,BD!$L$3:$L$5001,"&lt;&gt;")=0,"",SUMIFS(BD!$L$3:$L$5001,BD!$A$3:$A$5001,P$3,BD!$B$3:$B$5001,$A$153)))</f>
        <v/>
      </c>
      <c r="Q156" s="172" t="str">
        <f>IF(Q$3="","",IF(COUNTIFS(BD!$A$3:$A$5001,Q$3,BD!$B$3:$B$5001,$A$153,BD!$L$3:$L$5001,"&lt;&gt;")=0,"",SUMIFS(BD!$L$3:$L$5001,BD!$A$3:$A$5001,Q$3,BD!$B$3:$B$5001,$A$153)))</f>
        <v/>
      </c>
      <c r="R156" s="172" t="str">
        <f>IF(R$3="","",IF(COUNTIFS(BD!$A$3:$A$5001,R$3,BD!$B$3:$B$5001,$A$153,BD!$L$3:$L$5001,"&lt;&gt;")=0,"",SUMIFS(BD!$L$3:$L$5001,BD!$A$3:$A$5001,R$3,BD!$B$3:$B$5001,$A$153)))</f>
        <v/>
      </c>
      <c r="S156" s="172" t="str">
        <f>IF(S$3="","",IF(COUNTIFS(BD!$A$3:$A$5001,S$3,BD!$B$3:$B$5001,$A$153,BD!$L$3:$L$5001,"&lt;&gt;")=0,"",SUMIFS(BD!$L$3:$L$5001,BD!$A$3:$A$5001,S$3,BD!$B$3:$B$5001,$A$153)))</f>
        <v/>
      </c>
      <c r="T156" s="172" t="str">
        <f>IF(T$3="","",IF(COUNTIFS(BD!$A$3:$A$5001,T$3,BD!$B$3:$B$5001,$A$153,BD!$L$3:$L$5001,"&lt;&gt;")=0,"",SUMIFS(BD!$L$3:$L$5001,BD!$A$3:$A$5001,T$3,BD!$B$3:$B$5001,$A$153)))</f>
        <v/>
      </c>
      <c r="U156" s="172" t="str">
        <f>IF(U$3="","",IF(COUNTIFS(BD!$A$3:$A$5001,U$3,BD!$B$3:$B$5001,$A$153,BD!$L$3:$L$5001,"&lt;&gt;")=0,"",SUMIFS(BD!$L$3:$L$5001,BD!$A$3:$A$5001,U$3,BD!$B$3:$B$5001,$A$153)))</f>
        <v/>
      </c>
      <c r="V156" s="172" t="str">
        <f>IF(V$3="","",IF(COUNTIFS(BD!$A$3:$A$5001,V$3,BD!$B$3:$B$5001,$A$153,BD!$L$3:$L$5001,"&lt;&gt;")=0,"",SUMIFS(BD!$L$3:$L$5001,BD!$A$3:$A$5001,V$3,BD!$B$3:$B$5001,$A$153)))</f>
        <v/>
      </c>
      <c r="W156" s="172" t="str">
        <f>IF(W$3="","",IF(COUNTIFS(BD!$A$3:$A$5001,W$3,BD!$B$3:$B$5001,$A$153,BD!$L$3:$L$5001,"&lt;&gt;")=0,"",SUMIFS(BD!$L$3:$L$5001,BD!$A$3:$A$5001,W$3,BD!$B$3:$B$5001,$A$153)))</f>
        <v/>
      </c>
      <c r="X156" s="172" t="str">
        <f>IF(X$3="","",IF(COUNTIFS(BD!$A$3:$A$5001,X$3,BD!$B$3:$B$5001,$A$153,BD!$L$3:$L$5001,"&lt;&gt;")=0,"",SUMIFS(BD!$L$3:$L$5001,BD!$A$3:$A$5001,X$3,BD!$B$3:$B$5001,$A$153)))</f>
        <v/>
      </c>
      <c r="Y156" s="172" t="str">
        <f>IF(Y$3="","",IF(COUNTIFS(BD!$A$3:$A$5001,Y$3,BD!$B$3:$B$5001,$A$153,BD!$L$3:$L$5001,"&lt;&gt;")=0,"",SUMIFS(BD!$L$3:$L$5001,BD!$A$3:$A$5001,Y$3,BD!$B$3:$B$5001,$A$153)))</f>
        <v/>
      </c>
      <c r="Z156" s="172" t="str">
        <f>IF(Z$3="","",IF(COUNTIFS(BD!$A$3:$A$5001,Z$3,BD!$B$3:$B$5001,$A$153,BD!$L$3:$L$5001,"&lt;&gt;")=0,"",SUMIFS(BD!$L$3:$L$5001,BD!$A$3:$A$5001,Z$3,BD!$B$3:$B$5001,$A$153)))</f>
        <v/>
      </c>
      <c r="AA156" s="172" t="str">
        <f>IF(AA$3="","",IF(COUNTIFS(BD!$A$3:$A$5001,AA$3,BD!$B$3:$B$5001,$A$153,BD!$L$3:$L$5001,"&lt;&gt;")=0,"",SUMIFS(BD!$L$3:$L$5001,BD!$A$3:$A$5001,AA$3,BD!$B$3:$B$5001,$A$153)))</f>
        <v/>
      </c>
      <c r="AB156" s="172" t="str">
        <f>IF(AB$3="","",IF(COUNTIFS(BD!$A$3:$A$5001,AB$3,BD!$B$3:$B$5001,$A$153,BD!$L$3:$L$5001,"&lt;&gt;")=0,"",SUMIFS(BD!$L$3:$L$5001,BD!$A$3:$A$5001,AB$3,BD!$B$3:$B$5001,$A$153)))</f>
        <v/>
      </c>
      <c r="AC156" s="172" t="str">
        <f>IF(AC$3="","",IF(COUNTIFS(BD!$A$3:$A$5001,AC$3,BD!$B$3:$B$5001,$A$153,BD!$L$3:$L$5001,"&lt;&gt;")=0,"",SUMIFS(BD!$L$3:$L$5001,BD!$A$3:$A$5001,AC$3,BD!$B$3:$B$5001,$A$153)))</f>
        <v/>
      </c>
      <c r="AD156" s="172" t="str">
        <f>IF(AD$3="","",IF(COUNTIFS(BD!$A$3:$A$5001,AD$3,BD!$B$3:$B$5001,$A$153,BD!$L$3:$L$5001,"&lt;&gt;")=0,"",SUMIFS(BD!$L$3:$L$5001,BD!$A$3:$A$5001,AD$3,BD!$B$3:$B$5001,$A$153)))</f>
        <v/>
      </c>
      <c r="AE156" s="172" t="str">
        <f>IF(AE$3="","",IF(COUNTIFS(BD!$A$3:$A$5001,AE$3,BD!$B$3:$B$5001,$A$153,BD!$L$3:$L$5001,"&lt;&gt;")=0,"",SUMIFS(BD!$L$3:$L$5001,BD!$A$3:$A$5001,AE$3,BD!$B$3:$B$5001,$A$153)))</f>
        <v/>
      </c>
      <c r="AF156" s="172" t="str">
        <f>IF(AF$3="","",IF(COUNTIFS(BD!$A$3:$A$5001,AF$3,BD!$B$3:$B$5001,$A$153,BD!$L$3:$L$5001,"&lt;&gt;")=0,"",SUMIFS(BD!$L$3:$L$5001,BD!$A$3:$A$5001,AF$3,BD!$B$3:$B$5001,$A$153)))</f>
        <v/>
      </c>
      <c r="AG156" s="172" t="str">
        <f>IF(AG$3="","",IF(COUNTIFS(BD!$A$3:$A$5001,AG$3,BD!$B$3:$B$5001,$A$153,BD!$L$3:$L$5001,"&lt;&gt;")=0,"",SUMIFS(BD!$L$3:$L$5001,BD!$A$3:$A$5001,AG$3,BD!$B$3:$B$5001,$A$153)))</f>
        <v/>
      </c>
      <c r="AH156" s="172" t="str">
        <f>IF(AH$3="","",IF(COUNTIFS(BD!$A$3:$A$5001,AH$3,BD!$B$3:$B$5001,$A$153,BD!$L$3:$L$5001,"&lt;&gt;")=0,"",SUMIFS(BD!$L$3:$L$5001,BD!$A$3:$A$5001,AH$3,BD!$B$3:$B$5001,$A$153)))</f>
        <v/>
      </c>
      <c r="AI156" s="172" t="str">
        <f>IF(AI$3="","",IF(COUNTIFS(BD!$A$3:$A$5001,AI$3,BD!$B$3:$B$5001,$A$153,BD!$L$3:$L$5001,"&lt;&gt;")=0,"",SUMIFS(BD!$L$3:$L$5001,BD!$A$3:$A$5001,AI$3,BD!$B$3:$B$5001,$A$153)))</f>
        <v/>
      </c>
      <c r="AJ156" s="173" t="str">
        <f>IF(AJ$3="","",IF(COUNTIFS(BD!$A$3:$A$5001,AJ$3,BD!$B$3:$B$5001,$A$153,BD!$L$3:$L$5001,"&lt;&gt;")=0,"",SUMIFS(BD!$L$3:$L$5001,BD!$A$3:$A$5001,AJ$3,BD!$B$3:$B$5001,$A$153)))</f>
        <v/>
      </c>
      <c r="AK156" s="174" t="str">
        <f>IF(COUNT(F156:AJ156)=0,"",SUM(F156:AJ156))</f>
        <v/>
      </c>
    </row>
    <row r="157" ht="15.75" customHeight="1">
      <c r="A157" s="244"/>
      <c r="B157" s="261"/>
      <c r="C157" s="250" t="inlineStr">
        <is>
          <t xml:space="preserve">Pallets Movimentados</t>
        </is>
      </c>
      <c r="D157" s="251" t="str">
        <f>IFERROR(1/(1/INDEX(BD!$AJ$38:$BD$38,MATCH($A$153,BD!$AJ$22:$BD$22,0))),"")</f>
        <v/>
      </c>
      <c r="E157" s="252"/>
      <c r="F157" s="253" t="str">
        <f>IF(F$3="","",IF(COUNTIFS(BD!$A$3:$A$5001,F$3,BD!$B$3:$B$5001,$A$153,BD!$R$3:$R$5001,"&lt;&gt;")=0,"",SUMIFS(BD!$R$3:$R$5001,BD!$A$3:$A$5001,F$3,BD!$B$3:$B$5001,$A$153)))</f>
        <v/>
      </c>
      <c r="G157" s="254" t="str">
        <f>IF(G$3="","",IF(COUNTIFS(BD!$A$3:$A$5001,G$3,BD!$B$3:$B$5001,$A$153,BD!$R$3:$R$5001,"&lt;&gt;")=0,"",SUMIFS(BD!$R$3:$R$5001,BD!$A$3:$A$5001,G$3,BD!$B$3:$B$5001,$A$153)))</f>
        <v/>
      </c>
      <c r="H157" s="254" t="str">
        <f>IF(H$3="","",IF(COUNTIFS(BD!$A$3:$A$5001,H$3,BD!$B$3:$B$5001,$A$153,BD!$R$3:$R$5001,"&lt;&gt;")=0,"",SUMIFS(BD!$R$3:$R$5001,BD!$A$3:$A$5001,H$3,BD!$B$3:$B$5001,$A$153)))</f>
        <v/>
      </c>
      <c r="I157" s="254" t="str">
        <f>IF(I$3="","",IF(COUNTIFS(BD!$A$3:$A$5001,I$3,BD!$B$3:$B$5001,$A$153,BD!$R$3:$R$5001,"&lt;&gt;")=0,"",SUMIFS(BD!$R$3:$R$5001,BD!$A$3:$A$5001,I$3,BD!$B$3:$B$5001,$A$153)))</f>
        <v/>
      </c>
      <c r="J157" s="254" t="str">
        <f>IF(J$3="","",IF(COUNTIFS(BD!$A$3:$A$5001,J$3,BD!$B$3:$B$5001,$A$153,BD!$R$3:$R$5001,"&lt;&gt;")=0,"",SUMIFS(BD!$R$3:$R$5001,BD!$A$3:$A$5001,J$3,BD!$B$3:$B$5001,$A$153)))</f>
        <v/>
      </c>
      <c r="K157" s="254" t="str">
        <f>IF(K$3="","",IF(COUNTIFS(BD!$A$3:$A$5001,K$3,BD!$B$3:$B$5001,$A$153,BD!$R$3:$R$5001,"&lt;&gt;")=0,"",SUMIFS(BD!$R$3:$R$5001,BD!$A$3:$A$5001,K$3,BD!$B$3:$B$5001,$A$153)))</f>
        <v/>
      </c>
      <c r="L157" s="254" t="str">
        <f>IF(L$3="","",IF(COUNTIFS(BD!$A$3:$A$5001,L$3,BD!$B$3:$B$5001,$A$153,BD!$R$3:$R$5001,"&lt;&gt;")=0,"",SUMIFS(BD!$R$3:$R$5001,BD!$A$3:$A$5001,L$3,BD!$B$3:$B$5001,$A$153)))</f>
        <v/>
      </c>
      <c r="M157" s="254" t="str">
        <f>IF(M$3="","",IF(COUNTIFS(BD!$A$3:$A$5001,M$3,BD!$B$3:$B$5001,$A$153,BD!$R$3:$R$5001,"&lt;&gt;")=0,"",SUMIFS(BD!$R$3:$R$5001,BD!$A$3:$A$5001,M$3,BD!$B$3:$B$5001,$A$153)))</f>
        <v/>
      </c>
      <c r="N157" s="254" t="str">
        <f>IF(N$3="","",IF(COUNTIFS(BD!$A$3:$A$5001,N$3,BD!$B$3:$B$5001,$A$153,BD!$R$3:$R$5001,"&lt;&gt;")=0,"",SUMIFS(BD!$R$3:$R$5001,BD!$A$3:$A$5001,N$3,BD!$B$3:$B$5001,$A$153)))</f>
        <v/>
      </c>
      <c r="O157" s="254" t="str">
        <f>IF(O$3="","",IF(COUNTIFS(BD!$A$3:$A$5001,O$3,BD!$B$3:$B$5001,$A$153,BD!$R$3:$R$5001,"&lt;&gt;")=0,"",SUMIFS(BD!$R$3:$R$5001,BD!$A$3:$A$5001,O$3,BD!$B$3:$B$5001,$A$153)))</f>
        <v/>
      </c>
      <c r="P157" s="254" t="str">
        <f>IF(P$3="","",IF(COUNTIFS(BD!$A$3:$A$5001,P$3,BD!$B$3:$B$5001,$A$153,BD!$R$3:$R$5001,"&lt;&gt;")=0,"",SUMIFS(BD!$R$3:$R$5001,BD!$A$3:$A$5001,P$3,BD!$B$3:$B$5001,$A$153)))</f>
        <v/>
      </c>
      <c r="Q157" s="254" t="str">
        <f>IF(Q$3="","",IF(COUNTIFS(BD!$A$3:$A$5001,Q$3,BD!$B$3:$B$5001,$A$153,BD!$R$3:$R$5001,"&lt;&gt;")=0,"",SUMIFS(BD!$R$3:$R$5001,BD!$A$3:$A$5001,Q$3,BD!$B$3:$B$5001,$A$153)))</f>
        <v/>
      </c>
      <c r="R157" s="254" t="str">
        <f>IF(R$3="","",IF(COUNTIFS(BD!$A$3:$A$5001,R$3,BD!$B$3:$B$5001,$A$153,BD!$R$3:$R$5001,"&lt;&gt;")=0,"",SUMIFS(BD!$R$3:$R$5001,BD!$A$3:$A$5001,R$3,BD!$B$3:$B$5001,$A$153)))</f>
        <v/>
      </c>
      <c r="S157" s="254" t="str">
        <f>IF(S$3="","",IF(COUNTIFS(BD!$A$3:$A$5001,S$3,BD!$B$3:$B$5001,$A$153,BD!$R$3:$R$5001,"&lt;&gt;")=0,"",SUMIFS(BD!$R$3:$R$5001,BD!$A$3:$A$5001,S$3,BD!$B$3:$B$5001,$A$153)))</f>
        <v/>
      </c>
      <c r="T157" s="254" t="str">
        <f>IF(T$3="","",IF(COUNTIFS(BD!$A$3:$A$5001,T$3,BD!$B$3:$B$5001,$A$153,BD!$R$3:$R$5001,"&lt;&gt;")=0,"",SUMIFS(BD!$R$3:$R$5001,BD!$A$3:$A$5001,T$3,BD!$B$3:$B$5001,$A$153)))</f>
        <v/>
      </c>
      <c r="U157" s="254" t="str">
        <f>IF(U$3="","",IF(COUNTIFS(BD!$A$3:$A$5001,U$3,BD!$B$3:$B$5001,$A$153,BD!$R$3:$R$5001,"&lt;&gt;")=0,"",SUMIFS(BD!$R$3:$R$5001,BD!$A$3:$A$5001,U$3,BD!$B$3:$B$5001,$A$153)))</f>
        <v/>
      </c>
      <c r="V157" s="254" t="str">
        <f>IF(V$3="","",IF(COUNTIFS(BD!$A$3:$A$5001,V$3,BD!$B$3:$B$5001,$A$153,BD!$R$3:$R$5001,"&lt;&gt;")=0,"",SUMIFS(BD!$R$3:$R$5001,BD!$A$3:$A$5001,V$3,BD!$B$3:$B$5001,$A$153)))</f>
        <v/>
      </c>
      <c r="W157" s="254" t="str">
        <f>IF(W$3="","",IF(COUNTIFS(BD!$A$3:$A$5001,W$3,BD!$B$3:$B$5001,$A$153,BD!$R$3:$R$5001,"&lt;&gt;")=0,"",SUMIFS(BD!$R$3:$R$5001,BD!$A$3:$A$5001,W$3,BD!$B$3:$B$5001,$A$153)))</f>
        <v/>
      </c>
      <c r="X157" s="254" t="str">
        <f>IF(X$3="","",IF(COUNTIFS(BD!$A$3:$A$5001,X$3,BD!$B$3:$B$5001,$A$153,BD!$R$3:$R$5001,"&lt;&gt;")=0,"",SUMIFS(BD!$R$3:$R$5001,BD!$A$3:$A$5001,X$3,BD!$B$3:$B$5001,$A$153)))</f>
        <v/>
      </c>
      <c r="Y157" s="254" t="str">
        <f>IF(Y$3="","",IF(COUNTIFS(BD!$A$3:$A$5001,Y$3,BD!$B$3:$B$5001,$A$153,BD!$R$3:$R$5001,"&lt;&gt;")=0,"",SUMIFS(BD!$R$3:$R$5001,BD!$A$3:$A$5001,Y$3,BD!$B$3:$B$5001,$A$153)))</f>
        <v/>
      </c>
      <c r="Z157" s="254" t="str">
        <f>IF(Z$3="","",IF(COUNTIFS(BD!$A$3:$A$5001,Z$3,BD!$B$3:$B$5001,$A$153,BD!$R$3:$R$5001,"&lt;&gt;")=0,"",SUMIFS(BD!$R$3:$R$5001,BD!$A$3:$A$5001,Z$3,BD!$B$3:$B$5001,$A$153)))</f>
        <v/>
      </c>
      <c r="AA157" s="254" t="str">
        <f>IF(AA$3="","",IF(COUNTIFS(BD!$A$3:$A$5001,AA$3,BD!$B$3:$B$5001,$A$153,BD!$R$3:$R$5001,"&lt;&gt;")=0,"",SUMIFS(BD!$R$3:$R$5001,BD!$A$3:$A$5001,AA$3,BD!$B$3:$B$5001,$A$153)))</f>
        <v/>
      </c>
      <c r="AB157" s="254" t="str">
        <f>IF(AB$3="","",IF(COUNTIFS(BD!$A$3:$A$5001,AB$3,BD!$B$3:$B$5001,$A$153,BD!$R$3:$R$5001,"&lt;&gt;")=0,"",SUMIFS(BD!$R$3:$R$5001,BD!$A$3:$A$5001,AB$3,BD!$B$3:$B$5001,$A$153)))</f>
        <v/>
      </c>
      <c r="AC157" s="254" t="str">
        <f>IF(AC$3="","",IF(COUNTIFS(BD!$A$3:$A$5001,AC$3,BD!$B$3:$B$5001,$A$153,BD!$R$3:$R$5001,"&lt;&gt;")=0,"",SUMIFS(BD!$R$3:$R$5001,BD!$A$3:$A$5001,AC$3,BD!$B$3:$B$5001,$A$153)))</f>
        <v/>
      </c>
      <c r="AD157" s="254" t="str">
        <f>IF(AD$3="","",IF(COUNTIFS(BD!$A$3:$A$5001,AD$3,BD!$B$3:$B$5001,$A$153,BD!$R$3:$R$5001,"&lt;&gt;")=0,"",SUMIFS(BD!$R$3:$R$5001,BD!$A$3:$A$5001,AD$3,BD!$B$3:$B$5001,$A$153)))</f>
        <v/>
      </c>
      <c r="AE157" s="254" t="str">
        <f>IF(AE$3="","",IF(COUNTIFS(BD!$A$3:$A$5001,AE$3,BD!$B$3:$B$5001,$A$153,BD!$R$3:$R$5001,"&lt;&gt;")=0,"",SUMIFS(BD!$R$3:$R$5001,BD!$A$3:$A$5001,AE$3,BD!$B$3:$B$5001,$A$153)))</f>
        <v/>
      </c>
      <c r="AF157" s="254" t="str">
        <f>IF(AF$3="","",IF(COUNTIFS(BD!$A$3:$A$5001,AF$3,BD!$B$3:$B$5001,$A$153,BD!$R$3:$R$5001,"&lt;&gt;")=0,"",SUMIFS(BD!$R$3:$R$5001,BD!$A$3:$A$5001,AF$3,BD!$B$3:$B$5001,$A$153)))</f>
        <v/>
      </c>
      <c r="AG157" s="254" t="str">
        <f>IF(AG$3="","",IF(COUNTIFS(BD!$A$3:$A$5001,AG$3,BD!$B$3:$B$5001,$A$153,BD!$R$3:$R$5001,"&lt;&gt;")=0,"",SUMIFS(BD!$R$3:$R$5001,BD!$A$3:$A$5001,AG$3,BD!$B$3:$B$5001,$A$153)))</f>
        <v/>
      </c>
      <c r="AH157" s="254" t="str">
        <f>IF(AH$3="","",IF(COUNTIFS(BD!$A$3:$A$5001,AH$3,BD!$B$3:$B$5001,$A$153,BD!$R$3:$R$5001,"&lt;&gt;")=0,"",SUMIFS(BD!$R$3:$R$5001,BD!$A$3:$A$5001,AH$3,BD!$B$3:$B$5001,$A$153)))</f>
        <v/>
      </c>
      <c r="AI157" s="254" t="str">
        <f>IF(AI$3="","",IF(COUNTIFS(BD!$A$3:$A$5001,AI$3,BD!$B$3:$B$5001,$A$153,BD!$R$3:$R$5001,"&lt;&gt;")=0,"",SUMIFS(BD!$R$3:$R$5001,BD!$A$3:$A$5001,AI$3,BD!$B$3:$B$5001,$A$153)))</f>
        <v/>
      </c>
      <c r="AJ157" s="255" t="str">
        <f>IF(AJ$3="","",IF(COUNTIFS(BD!$A$3:$A$5001,AJ$3,BD!$B$3:$B$5001,$A$153,BD!$R$3:$R$5001,"&lt;&gt;")=0,"",SUMIFS(BD!$R$3:$R$5001,BD!$A$3:$A$5001,AJ$3,BD!$B$3:$B$5001,$A$153)))</f>
        <v/>
      </c>
      <c r="AK157" s="256" t="str">
        <f>IF(COUNT(F157:AJ157)=0,"",SUM(F157:AJ157))</f>
        <v/>
      </c>
    </row>
    <row r="158" ht="15.75" customHeight="1">
      <c r="A158" s="244"/>
      <c r="B158" s="235"/>
      <c r="C158" s="175" t="inlineStr">
        <is>
          <t xml:space="preserve">Toneladas Movimentadas</t>
        </is>
      </c>
      <c r="D158" s="176" t="str">
        <f>IFERROR(1/(1/INDEX(BD!$AJ$39:$BD$39,MATCH($A$153,BD!$AJ$22:$BD$22,0))),"")</f>
        <v/>
      </c>
      <c r="E158" s="177"/>
      <c r="F158" s="257" t="str">
        <f>IF(F$3="","",IF(COUNTIFS(BD!$A$3:$A$5001,F$3,BD!$B$3:$B$5001,$A$153,BD!$S$3:$S$5001,"&lt;&gt;")=0,"",SUMIFS(BD!$S$3:$S$5001,BD!$A$3:$A$5001,F$3,BD!$B$3:$B$5001,$A$153)))</f>
        <v/>
      </c>
      <c r="G158" s="258" t="str">
        <f>IF(G$3="","",IF(COUNTIFS(BD!$A$3:$A$5001,G$3,BD!$B$3:$B$5001,$A$153,BD!$S$3:$S$5001,"&lt;&gt;")=0,"",SUMIFS(BD!$S$3:$S$5001,BD!$A$3:$A$5001,G$3,BD!$B$3:$B$5001,$A$153)))</f>
        <v/>
      </c>
      <c r="H158" s="258" t="str">
        <f>IF(H$3="","",IF(COUNTIFS(BD!$A$3:$A$5001,H$3,BD!$B$3:$B$5001,$A$153,BD!$S$3:$S$5001,"&lt;&gt;")=0,"",SUMIFS(BD!$S$3:$S$5001,BD!$A$3:$A$5001,H$3,BD!$B$3:$B$5001,$A$153)))</f>
        <v/>
      </c>
      <c r="I158" s="258" t="str">
        <f>IF(I$3="","",IF(COUNTIFS(BD!$A$3:$A$5001,I$3,BD!$B$3:$B$5001,$A$153,BD!$S$3:$S$5001,"&lt;&gt;")=0,"",SUMIFS(BD!$S$3:$S$5001,BD!$A$3:$A$5001,I$3,BD!$B$3:$B$5001,$A$153)))</f>
        <v/>
      </c>
      <c r="J158" s="258" t="str">
        <f>IF(J$3="","",IF(COUNTIFS(BD!$A$3:$A$5001,J$3,BD!$B$3:$B$5001,$A$153,BD!$S$3:$S$5001,"&lt;&gt;")=0,"",SUMIFS(BD!$S$3:$S$5001,BD!$A$3:$A$5001,J$3,BD!$B$3:$B$5001,$A$153)))</f>
        <v/>
      </c>
      <c r="K158" s="258" t="str">
        <f>IF(K$3="","",IF(COUNTIFS(BD!$A$3:$A$5001,K$3,BD!$B$3:$B$5001,$A$153,BD!$S$3:$S$5001,"&lt;&gt;")=0,"",SUMIFS(BD!$S$3:$S$5001,BD!$A$3:$A$5001,K$3,BD!$B$3:$B$5001,$A$153)))</f>
        <v/>
      </c>
      <c r="L158" s="258" t="str">
        <f>IF(L$3="","",IF(COUNTIFS(BD!$A$3:$A$5001,L$3,BD!$B$3:$B$5001,$A$153,BD!$S$3:$S$5001,"&lt;&gt;")=0,"",SUMIFS(BD!$S$3:$S$5001,BD!$A$3:$A$5001,L$3,BD!$B$3:$B$5001,$A$153)))</f>
        <v/>
      </c>
      <c r="M158" s="258" t="str">
        <f>IF(M$3="","",IF(COUNTIFS(BD!$A$3:$A$5001,M$3,BD!$B$3:$B$5001,$A$153,BD!$S$3:$S$5001,"&lt;&gt;")=0,"",SUMIFS(BD!$S$3:$S$5001,BD!$A$3:$A$5001,M$3,BD!$B$3:$B$5001,$A$153)))</f>
        <v/>
      </c>
      <c r="N158" s="258" t="str">
        <f>IF(N$3="","",IF(COUNTIFS(BD!$A$3:$A$5001,N$3,BD!$B$3:$B$5001,$A$153,BD!$S$3:$S$5001,"&lt;&gt;")=0,"",SUMIFS(BD!$S$3:$S$5001,BD!$A$3:$A$5001,N$3,BD!$B$3:$B$5001,$A$153)))</f>
        <v/>
      </c>
      <c r="O158" s="258" t="str">
        <f>IF(O$3="","",IF(COUNTIFS(BD!$A$3:$A$5001,O$3,BD!$B$3:$B$5001,$A$153,BD!$S$3:$S$5001,"&lt;&gt;")=0,"",SUMIFS(BD!$S$3:$S$5001,BD!$A$3:$A$5001,O$3,BD!$B$3:$B$5001,$A$153)))</f>
        <v/>
      </c>
      <c r="P158" s="258" t="str">
        <f>IF(P$3="","",IF(COUNTIFS(BD!$A$3:$A$5001,P$3,BD!$B$3:$B$5001,$A$153,BD!$S$3:$S$5001,"&lt;&gt;")=0,"",SUMIFS(BD!$S$3:$S$5001,BD!$A$3:$A$5001,P$3,BD!$B$3:$B$5001,$A$153)))</f>
        <v/>
      </c>
      <c r="Q158" s="258" t="str">
        <f>IF(Q$3="","",IF(COUNTIFS(BD!$A$3:$A$5001,Q$3,BD!$B$3:$B$5001,$A$153,BD!$S$3:$S$5001,"&lt;&gt;")=0,"",SUMIFS(BD!$S$3:$S$5001,BD!$A$3:$A$5001,Q$3,BD!$B$3:$B$5001,$A$153)))</f>
        <v/>
      </c>
      <c r="R158" s="258" t="str">
        <f>IF(R$3="","",IF(COUNTIFS(BD!$A$3:$A$5001,R$3,BD!$B$3:$B$5001,$A$153,BD!$S$3:$S$5001,"&lt;&gt;")=0,"",SUMIFS(BD!$S$3:$S$5001,BD!$A$3:$A$5001,R$3,BD!$B$3:$B$5001,$A$153)))</f>
        <v/>
      </c>
      <c r="S158" s="258" t="str">
        <f>IF(S$3="","",IF(COUNTIFS(BD!$A$3:$A$5001,S$3,BD!$B$3:$B$5001,$A$153,BD!$S$3:$S$5001,"&lt;&gt;")=0,"",SUMIFS(BD!$S$3:$S$5001,BD!$A$3:$A$5001,S$3,BD!$B$3:$B$5001,$A$153)))</f>
        <v/>
      </c>
      <c r="T158" s="258" t="str">
        <f>IF(T$3="","",IF(COUNTIFS(BD!$A$3:$A$5001,T$3,BD!$B$3:$B$5001,$A$153,BD!$S$3:$S$5001,"&lt;&gt;")=0,"",SUMIFS(BD!$S$3:$S$5001,BD!$A$3:$A$5001,T$3,BD!$B$3:$B$5001,$A$153)))</f>
        <v/>
      </c>
      <c r="U158" s="258" t="str">
        <f>IF(U$3="","",IF(COUNTIFS(BD!$A$3:$A$5001,U$3,BD!$B$3:$B$5001,$A$153,BD!$S$3:$S$5001,"&lt;&gt;")=0,"",SUMIFS(BD!$S$3:$S$5001,BD!$A$3:$A$5001,U$3,BD!$B$3:$B$5001,$A$153)))</f>
        <v/>
      </c>
      <c r="V158" s="258" t="str">
        <f>IF(V$3="","",IF(COUNTIFS(BD!$A$3:$A$5001,V$3,BD!$B$3:$B$5001,$A$153,BD!$S$3:$S$5001,"&lt;&gt;")=0,"",SUMIFS(BD!$S$3:$S$5001,BD!$A$3:$A$5001,V$3,BD!$B$3:$B$5001,$A$153)))</f>
        <v/>
      </c>
      <c r="W158" s="258" t="str">
        <f>IF(W$3="","",IF(COUNTIFS(BD!$A$3:$A$5001,W$3,BD!$B$3:$B$5001,$A$153,BD!$S$3:$S$5001,"&lt;&gt;")=0,"",SUMIFS(BD!$S$3:$S$5001,BD!$A$3:$A$5001,W$3,BD!$B$3:$B$5001,$A$153)))</f>
        <v/>
      </c>
      <c r="X158" s="258" t="str">
        <f>IF(X$3="","",IF(COUNTIFS(BD!$A$3:$A$5001,X$3,BD!$B$3:$B$5001,$A$153,BD!$S$3:$S$5001,"&lt;&gt;")=0,"",SUMIFS(BD!$S$3:$S$5001,BD!$A$3:$A$5001,X$3,BD!$B$3:$B$5001,$A$153)))</f>
        <v/>
      </c>
      <c r="Y158" s="258" t="str">
        <f>IF(Y$3="","",IF(COUNTIFS(BD!$A$3:$A$5001,Y$3,BD!$B$3:$B$5001,$A$153,BD!$S$3:$S$5001,"&lt;&gt;")=0,"",SUMIFS(BD!$S$3:$S$5001,BD!$A$3:$A$5001,Y$3,BD!$B$3:$B$5001,$A$153)))</f>
        <v/>
      </c>
      <c r="Z158" s="258" t="str">
        <f>IF(Z$3="","",IF(COUNTIFS(BD!$A$3:$A$5001,Z$3,BD!$B$3:$B$5001,$A$153,BD!$S$3:$S$5001,"&lt;&gt;")=0,"",SUMIFS(BD!$S$3:$S$5001,BD!$A$3:$A$5001,Z$3,BD!$B$3:$B$5001,$A$153)))</f>
        <v/>
      </c>
      <c r="AA158" s="258" t="str">
        <f>IF(AA$3="","",IF(COUNTIFS(BD!$A$3:$A$5001,AA$3,BD!$B$3:$B$5001,$A$153,BD!$S$3:$S$5001,"&lt;&gt;")=0,"",SUMIFS(BD!$S$3:$S$5001,BD!$A$3:$A$5001,AA$3,BD!$B$3:$B$5001,$A$153)))</f>
        <v/>
      </c>
      <c r="AB158" s="258" t="str">
        <f>IF(AB$3="","",IF(COUNTIFS(BD!$A$3:$A$5001,AB$3,BD!$B$3:$B$5001,$A$153,BD!$S$3:$S$5001,"&lt;&gt;")=0,"",SUMIFS(BD!$S$3:$S$5001,BD!$A$3:$A$5001,AB$3,BD!$B$3:$B$5001,$A$153)))</f>
        <v/>
      </c>
      <c r="AC158" s="258" t="str">
        <f>IF(AC$3="","",IF(COUNTIFS(BD!$A$3:$A$5001,AC$3,BD!$B$3:$B$5001,$A$153,BD!$S$3:$S$5001,"&lt;&gt;")=0,"",SUMIFS(BD!$S$3:$S$5001,BD!$A$3:$A$5001,AC$3,BD!$B$3:$B$5001,$A$153)))</f>
        <v/>
      </c>
      <c r="AD158" s="258" t="str">
        <f>IF(AD$3="","",IF(COUNTIFS(BD!$A$3:$A$5001,AD$3,BD!$B$3:$B$5001,$A$153,BD!$S$3:$S$5001,"&lt;&gt;")=0,"",SUMIFS(BD!$S$3:$S$5001,BD!$A$3:$A$5001,AD$3,BD!$B$3:$B$5001,$A$153)))</f>
        <v/>
      </c>
      <c r="AE158" s="258" t="str">
        <f>IF(AE$3="","",IF(COUNTIFS(BD!$A$3:$A$5001,AE$3,BD!$B$3:$B$5001,$A$153,BD!$S$3:$S$5001,"&lt;&gt;")=0,"",SUMIFS(BD!$S$3:$S$5001,BD!$A$3:$A$5001,AE$3,BD!$B$3:$B$5001,$A$153)))</f>
        <v/>
      </c>
      <c r="AF158" s="258" t="str">
        <f>IF(AF$3="","",IF(COUNTIFS(BD!$A$3:$A$5001,AF$3,BD!$B$3:$B$5001,$A$153,BD!$S$3:$S$5001,"&lt;&gt;")=0,"",SUMIFS(BD!$S$3:$S$5001,BD!$A$3:$A$5001,AF$3,BD!$B$3:$B$5001,$A$153)))</f>
        <v/>
      </c>
      <c r="AG158" s="258" t="str">
        <f>IF(AG$3="","",IF(COUNTIFS(BD!$A$3:$A$5001,AG$3,BD!$B$3:$B$5001,$A$153,BD!$S$3:$S$5001,"&lt;&gt;")=0,"",SUMIFS(BD!$S$3:$S$5001,BD!$A$3:$A$5001,AG$3,BD!$B$3:$B$5001,$A$153)))</f>
        <v/>
      </c>
      <c r="AH158" s="258" t="str">
        <f>IF(AH$3="","",IF(COUNTIFS(BD!$A$3:$A$5001,AH$3,BD!$B$3:$B$5001,$A$153,BD!$S$3:$S$5001,"&lt;&gt;")=0,"",SUMIFS(BD!$S$3:$S$5001,BD!$A$3:$A$5001,AH$3,BD!$B$3:$B$5001,$A$153)))</f>
        <v/>
      </c>
      <c r="AI158" s="258" t="str">
        <f>IF(AI$3="","",IF(COUNTIFS(BD!$A$3:$A$5001,AI$3,BD!$B$3:$B$5001,$A$153,BD!$S$3:$S$5001,"&lt;&gt;")=0,"",SUMIFS(BD!$S$3:$S$5001,BD!$A$3:$A$5001,AI$3,BD!$B$3:$B$5001,$A$153)))</f>
        <v/>
      </c>
      <c r="AJ158" s="259" t="str">
        <f>IF(AJ$3="","",IF(COUNTIFS(BD!$A$3:$A$5001,AJ$3,BD!$B$3:$B$5001,$A$153,BD!$S$3:$S$5001,"&lt;&gt;")=0,"",SUMIFS(BD!$S$3:$S$5001,BD!$A$3:$A$5001,AJ$3,BD!$B$3:$B$5001,$A$153)))</f>
        <v/>
      </c>
      <c r="AK158" s="260" t="str">
        <f>IF(COUNT(F158:AJ158)=0,"",SUM(F158:AJ158))</f>
        <v/>
      </c>
    </row>
    <row r="159" ht="15.75" customHeight="1">
      <c r="A159" s="244"/>
      <c r="B159" s="236" t="inlineStr">
        <is>
          <t xml:space="preserve">NC</t>
        </is>
      </c>
      <c r="C159" s="181" t="inlineStr">
        <is>
          <t xml:space="preserve">Incidentes</t>
        </is>
      </c>
      <c r="D159" s="182" t="str">
        <f>IFERROR(1/(1/INDEX(BD!$AJ$40:$BD$40,MATCH($A$153,BD!$AJ$22:$BD$22,0))),"")</f>
        <v/>
      </c>
      <c r="E159" s="183"/>
      <c r="F159" s="184" t="str">
        <f>IF(F$3="","",IF(COUNTIFS(BD!$A$3:$A$5001,F$3,BD!$B$3:$B$5001,$A$153,BD!$T$3:$T$5001,"&lt;&gt;")=0,"",SUMIFS(BD!$T$3:$T$5001,BD!$A$3:$A$5001,F$3,BD!$B$3:$B$5001,$A$153)))</f>
        <v/>
      </c>
      <c r="G159" s="185" t="str">
        <f>IF(G$3="","",IF(COUNTIFS(BD!$A$3:$A$5001,G$3,BD!$B$3:$B$5001,$A$153,BD!$T$3:$T$5001,"&lt;&gt;")=0,"",SUMIFS(BD!$T$3:$T$5001,BD!$A$3:$A$5001,G$3,BD!$B$3:$B$5001,$A$153)))</f>
        <v/>
      </c>
      <c r="H159" s="185" t="str">
        <f>IF(H$3="","",IF(COUNTIFS(BD!$A$3:$A$5001,H$3,BD!$B$3:$B$5001,$A$153,BD!$T$3:$T$5001,"&lt;&gt;")=0,"",SUMIFS(BD!$T$3:$T$5001,BD!$A$3:$A$5001,H$3,BD!$B$3:$B$5001,$A$153)))</f>
        <v/>
      </c>
      <c r="I159" s="185" t="str">
        <f>IF(I$3="","",IF(COUNTIFS(BD!$A$3:$A$5001,I$3,BD!$B$3:$B$5001,$A$153,BD!$T$3:$T$5001,"&lt;&gt;")=0,"",SUMIFS(BD!$T$3:$T$5001,BD!$A$3:$A$5001,I$3,BD!$B$3:$B$5001,$A$153)))</f>
        <v/>
      </c>
      <c r="J159" s="185" t="str">
        <f>IF(J$3="","",IF(COUNTIFS(BD!$A$3:$A$5001,J$3,BD!$B$3:$B$5001,$A$153,BD!$T$3:$T$5001,"&lt;&gt;")=0,"",SUMIFS(BD!$T$3:$T$5001,BD!$A$3:$A$5001,J$3,BD!$B$3:$B$5001,$A$153)))</f>
        <v/>
      </c>
      <c r="K159" s="185" t="str">
        <f>IF(K$3="","",IF(COUNTIFS(BD!$A$3:$A$5001,K$3,BD!$B$3:$B$5001,$A$153,BD!$T$3:$T$5001,"&lt;&gt;")=0,"",SUMIFS(BD!$T$3:$T$5001,BD!$A$3:$A$5001,K$3,BD!$B$3:$B$5001,$A$153)))</f>
        <v/>
      </c>
      <c r="L159" s="185" t="str">
        <f>IF(L$3="","",IF(COUNTIFS(BD!$A$3:$A$5001,L$3,BD!$B$3:$B$5001,$A$153,BD!$T$3:$T$5001,"&lt;&gt;")=0,"",SUMIFS(BD!$T$3:$T$5001,BD!$A$3:$A$5001,L$3,BD!$B$3:$B$5001,$A$153)))</f>
        <v/>
      </c>
      <c r="M159" s="185" t="str">
        <f>IF(M$3="","",IF(COUNTIFS(BD!$A$3:$A$5001,M$3,BD!$B$3:$B$5001,$A$153,BD!$T$3:$T$5001,"&lt;&gt;")=0,"",SUMIFS(BD!$T$3:$T$5001,BD!$A$3:$A$5001,M$3,BD!$B$3:$B$5001,$A$153)))</f>
        <v/>
      </c>
      <c r="N159" s="185" t="str">
        <f>IF(N$3="","",IF(COUNTIFS(BD!$A$3:$A$5001,N$3,BD!$B$3:$B$5001,$A$153,BD!$T$3:$T$5001,"&lt;&gt;")=0,"",SUMIFS(BD!$T$3:$T$5001,BD!$A$3:$A$5001,N$3,BD!$B$3:$B$5001,$A$153)))</f>
        <v/>
      </c>
      <c r="O159" s="185" t="str">
        <f>IF(O$3="","",IF(COUNTIFS(BD!$A$3:$A$5001,O$3,BD!$B$3:$B$5001,$A$153,BD!$T$3:$T$5001,"&lt;&gt;")=0,"",SUMIFS(BD!$T$3:$T$5001,BD!$A$3:$A$5001,O$3,BD!$B$3:$B$5001,$A$153)))</f>
        <v/>
      </c>
      <c r="P159" s="185" t="str">
        <f>IF(P$3="","",IF(COUNTIFS(BD!$A$3:$A$5001,P$3,BD!$B$3:$B$5001,$A$153,BD!$T$3:$T$5001,"&lt;&gt;")=0,"",SUMIFS(BD!$T$3:$T$5001,BD!$A$3:$A$5001,P$3,BD!$B$3:$B$5001,$A$153)))</f>
        <v/>
      </c>
      <c r="Q159" s="185" t="str">
        <f>IF(Q$3="","",IF(COUNTIFS(BD!$A$3:$A$5001,Q$3,BD!$B$3:$B$5001,$A$153,BD!$T$3:$T$5001,"&lt;&gt;")=0,"",SUMIFS(BD!$T$3:$T$5001,BD!$A$3:$A$5001,Q$3,BD!$B$3:$B$5001,$A$153)))</f>
        <v/>
      </c>
      <c r="R159" s="185" t="str">
        <f>IF(R$3="","",IF(COUNTIFS(BD!$A$3:$A$5001,R$3,BD!$B$3:$B$5001,$A$153,BD!$T$3:$T$5001,"&lt;&gt;")=0,"",SUMIFS(BD!$T$3:$T$5001,BD!$A$3:$A$5001,R$3,BD!$B$3:$B$5001,$A$153)))</f>
        <v/>
      </c>
      <c r="S159" s="185" t="str">
        <f>IF(S$3="","",IF(COUNTIFS(BD!$A$3:$A$5001,S$3,BD!$B$3:$B$5001,$A$153,BD!$T$3:$T$5001,"&lt;&gt;")=0,"",SUMIFS(BD!$T$3:$T$5001,BD!$A$3:$A$5001,S$3,BD!$B$3:$B$5001,$A$153)))</f>
        <v/>
      </c>
      <c r="T159" s="185" t="str">
        <f>IF(T$3="","",IF(COUNTIFS(BD!$A$3:$A$5001,T$3,BD!$B$3:$B$5001,$A$153,BD!$T$3:$T$5001,"&lt;&gt;")=0,"",SUMIFS(BD!$T$3:$T$5001,BD!$A$3:$A$5001,T$3,BD!$B$3:$B$5001,$A$153)))</f>
        <v/>
      </c>
      <c r="U159" s="185" t="str">
        <f>IF(U$3="","",IF(COUNTIFS(BD!$A$3:$A$5001,U$3,BD!$B$3:$B$5001,$A$153,BD!$T$3:$T$5001,"&lt;&gt;")=0,"",SUMIFS(BD!$T$3:$T$5001,BD!$A$3:$A$5001,U$3,BD!$B$3:$B$5001,$A$153)))</f>
        <v/>
      </c>
      <c r="V159" s="185" t="str">
        <f>IF(V$3="","",IF(COUNTIFS(BD!$A$3:$A$5001,V$3,BD!$B$3:$B$5001,$A$153,BD!$T$3:$T$5001,"&lt;&gt;")=0,"",SUMIFS(BD!$T$3:$T$5001,BD!$A$3:$A$5001,V$3,BD!$B$3:$B$5001,$A$153)))</f>
        <v/>
      </c>
      <c r="W159" s="185" t="str">
        <f>IF(W$3="","",IF(COUNTIFS(BD!$A$3:$A$5001,W$3,BD!$B$3:$B$5001,$A$153,BD!$T$3:$T$5001,"&lt;&gt;")=0,"",SUMIFS(BD!$T$3:$T$5001,BD!$A$3:$A$5001,W$3,BD!$B$3:$B$5001,$A$153)))</f>
        <v/>
      </c>
      <c r="X159" s="185" t="str">
        <f>IF(X$3="","",IF(COUNTIFS(BD!$A$3:$A$5001,X$3,BD!$B$3:$B$5001,$A$153,BD!$T$3:$T$5001,"&lt;&gt;")=0,"",SUMIFS(BD!$T$3:$T$5001,BD!$A$3:$A$5001,X$3,BD!$B$3:$B$5001,$A$153)))</f>
        <v/>
      </c>
      <c r="Y159" s="185" t="str">
        <f>IF(Y$3="","",IF(COUNTIFS(BD!$A$3:$A$5001,Y$3,BD!$B$3:$B$5001,$A$153,BD!$T$3:$T$5001,"&lt;&gt;")=0,"",SUMIFS(BD!$T$3:$T$5001,BD!$A$3:$A$5001,Y$3,BD!$B$3:$B$5001,$A$153)))</f>
        <v/>
      </c>
      <c r="Z159" s="185" t="str">
        <f>IF(Z$3="","",IF(COUNTIFS(BD!$A$3:$A$5001,Z$3,BD!$B$3:$B$5001,$A$153,BD!$T$3:$T$5001,"&lt;&gt;")=0,"",SUMIFS(BD!$T$3:$T$5001,BD!$A$3:$A$5001,Z$3,BD!$B$3:$B$5001,$A$153)))</f>
        <v/>
      </c>
      <c r="AA159" s="185" t="str">
        <f>IF(AA$3="","",IF(COUNTIFS(BD!$A$3:$A$5001,AA$3,BD!$B$3:$B$5001,$A$153,BD!$T$3:$T$5001,"&lt;&gt;")=0,"",SUMIFS(BD!$T$3:$T$5001,BD!$A$3:$A$5001,AA$3,BD!$B$3:$B$5001,$A$153)))</f>
        <v/>
      </c>
      <c r="AB159" s="185" t="str">
        <f>IF(AB$3="","",IF(COUNTIFS(BD!$A$3:$A$5001,AB$3,BD!$B$3:$B$5001,$A$153,BD!$T$3:$T$5001,"&lt;&gt;")=0,"",SUMIFS(BD!$T$3:$T$5001,BD!$A$3:$A$5001,AB$3,BD!$B$3:$B$5001,$A$153)))</f>
        <v/>
      </c>
      <c r="AC159" s="185" t="str">
        <f>IF(AC$3="","",IF(COUNTIFS(BD!$A$3:$A$5001,AC$3,BD!$B$3:$B$5001,$A$153,BD!$T$3:$T$5001,"&lt;&gt;")=0,"",SUMIFS(BD!$T$3:$T$5001,BD!$A$3:$A$5001,AC$3,BD!$B$3:$B$5001,$A$153)))</f>
        <v/>
      </c>
      <c r="AD159" s="185" t="str">
        <f>IF(AD$3="","",IF(COUNTIFS(BD!$A$3:$A$5001,AD$3,BD!$B$3:$B$5001,$A$153,BD!$T$3:$T$5001,"&lt;&gt;")=0,"",SUMIFS(BD!$T$3:$T$5001,BD!$A$3:$A$5001,AD$3,BD!$B$3:$B$5001,$A$153)))</f>
        <v/>
      </c>
      <c r="AE159" s="185" t="str">
        <f>IF(AE$3="","",IF(COUNTIFS(BD!$A$3:$A$5001,AE$3,BD!$B$3:$B$5001,$A$153,BD!$T$3:$T$5001,"&lt;&gt;")=0,"",SUMIFS(BD!$T$3:$T$5001,BD!$A$3:$A$5001,AE$3,BD!$B$3:$B$5001,$A$153)))</f>
        <v/>
      </c>
      <c r="AF159" s="185" t="str">
        <f>IF(AF$3="","",IF(COUNTIFS(BD!$A$3:$A$5001,AF$3,BD!$B$3:$B$5001,$A$153,BD!$T$3:$T$5001,"&lt;&gt;")=0,"",SUMIFS(BD!$T$3:$T$5001,BD!$A$3:$A$5001,AF$3,BD!$B$3:$B$5001,$A$153)))</f>
        <v/>
      </c>
      <c r="AG159" s="185" t="str">
        <f>IF(AG$3="","",IF(COUNTIFS(BD!$A$3:$A$5001,AG$3,BD!$B$3:$B$5001,$A$153,BD!$T$3:$T$5001,"&lt;&gt;")=0,"",SUMIFS(BD!$T$3:$T$5001,BD!$A$3:$A$5001,AG$3,BD!$B$3:$B$5001,$A$153)))</f>
        <v/>
      </c>
      <c r="AH159" s="185" t="str">
        <f>IF(AH$3="","",IF(COUNTIFS(BD!$A$3:$A$5001,AH$3,BD!$B$3:$B$5001,$A$153,BD!$T$3:$T$5001,"&lt;&gt;")=0,"",SUMIFS(BD!$T$3:$T$5001,BD!$A$3:$A$5001,AH$3,BD!$B$3:$B$5001,$A$153)))</f>
        <v/>
      </c>
      <c r="AI159" s="185" t="str">
        <f>IF(AI$3="","",IF(COUNTIFS(BD!$A$3:$A$5001,AI$3,BD!$B$3:$B$5001,$A$153,BD!$T$3:$T$5001,"&lt;&gt;")=0,"",SUMIFS(BD!$T$3:$T$5001,BD!$A$3:$A$5001,AI$3,BD!$B$3:$B$5001,$A$153)))</f>
        <v/>
      </c>
      <c r="AJ159" s="186" t="str">
        <f>IF(AJ$3="","",IF(COUNTIFS(BD!$A$3:$A$5001,AJ$3,BD!$B$3:$B$5001,$A$153,BD!$T$3:$T$5001,"&lt;&gt;")=0,"",SUMIFS(BD!$T$3:$T$5001,BD!$A$3:$A$5001,AJ$3,BD!$B$3:$B$5001,$A$153)))</f>
        <v/>
      </c>
      <c r="AK159" s="187" t="str">
        <f>IF(COUNT(F159:AJ159)=0,"",SUM(F159:AJ159))</f>
        <v/>
      </c>
    </row>
    <row r="160" ht="15.75" customHeight="1">
      <c r="A160" s="244"/>
      <c r="B160" s="237"/>
      <c r="C160" s="188" t="inlineStr">
        <is>
          <t xml:space="preserve">No show</t>
        </is>
      </c>
      <c r="D160" s="189" t="str">
        <f>IFERROR(1/(1/INDEX(BD!$AJ$41:$BD$41,MATCH($A$153,BD!$AJ$22:$BD$22,0))),"")</f>
        <v/>
      </c>
      <c r="E160" s="190"/>
      <c r="F160" s="191" t="str">
        <f>IF(F$3="","",IF(COUNTIFS(BD!$A$3:$A$5001,F$3,BD!$B$3:$B$5001,$A$153,BD!$U$3:$U$5001,"&lt;&gt;")=0,"",SUMIFS(BD!$U$3:$U$5001,BD!$A$3:$A$5001,F$3,BD!$B$3:$B$5001,$A$153)))</f>
        <v/>
      </c>
      <c r="G160" s="192" t="str">
        <f>IF(G$3="","",IF(COUNTIFS(BD!$A$3:$A$5001,G$3,BD!$B$3:$B$5001,$A$153,BD!$U$3:$U$5001,"&lt;&gt;")=0,"",SUMIFS(BD!$U$3:$U$5001,BD!$A$3:$A$5001,G$3,BD!$B$3:$B$5001,$A$153)))</f>
        <v/>
      </c>
      <c r="H160" s="192" t="str">
        <f>IF(H$3="","",IF(COUNTIFS(BD!$A$3:$A$5001,H$3,BD!$B$3:$B$5001,$A$153,BD!$U$3:$U$5001,"&lt;&gt;")=0,"",SUMIFS(BD!$U$3:$U$5001,BD!$A$3:$A$5001,H$3,BD!$B$3:$B$5001,$A$153)))</f>
        <v/>
      </c>
      <c r="I160" s="192" t="str">
        <f>IF(I$3="","",IF(COUNTIFS(BD!$A$3:$A$5001,I$3,BD!$B$3:$B$5001,$A$153,BD!$U$3:$U$5001,"&lt;&gt;")=0,"",SUMIFS(BD!$U$3:$U$5001,BD!$A$3:$A$5001,I$3,BD!$B$3:$B$5001,$A$153)))</f>
        <v/>
      </c>
      <c r="J160" s="192" t="str">
        <f>IF(J$3="","",IF(COUNTIFS(BD!$A$3:$A$5001,J$3,BD!$B$3:$B$5001,$A$153,BD!$U$3:$U$5001,"&lt;&gt;")=0,"",SUMIFS(BD!$U$3:$U$5001,BD!$A$3:$A$5001,J$3,BD!$B$3:$B$5001,$A$153)))</f>
        <v/>
      </c>
      <c r="K160" s="192" t="str">
        <f>IF(K$3="","",IF(COUNTIFS(BD!$A$3:$A$5001,K$3,BD!$B$3:$B$5001,$A$153,BD!$U$3:$U$5001,"&lt;&gt;")=0,"",SUMIFS(BD!$U$3:$U$5001,BD!$A$3:$A$5001,K$3,BD!$B$3:$B$5001,$A$153)))</f>
        <v/>
      </c>
      <c r="L160" s="192" t="str">
        <f>IF(L$3="","",IF(COUNTIFS(BD!$A$3:$A$5001,L$3,BD!$B$3:$B$5001,$A$153,BD!$U$3:$U$5001,"&lt;&gt;")=0,"",SUMIFS(BD!$U$3:$U$5001,BD!$A$3:$A$5001,L$3,BD!$B$3:$B$5001,$A$153)))</f>
        <v/>
      </c>
      <c r="M160" s="192" t="str">
        <f>IF(M$3="","",IF(COUNTIFS(BD!$A$3:$A$5001,M$3,BD!$B$3:$B$5001,$A$153,BD!$U$3:$U$5001,"&lt;&gt;")=0,"",SUMIFS(BD!$U$3:$U$5001,BD!$A$3:$A$5001,M$3,BD!$B$3:$B$5001,$A$153)))</f>
        <v/>
      </c>
      <c r="N160" s="192" t="str">
        <f>IF(N$3="","",IF(COUNTIFS(BD!$A$3:$A$5001,N$3,BD!$B$3:$B$5001,$A$153,BD!$U$3:$U$5001,"&lt;&gt;")=0,"",SUMIFS(BD!$U$3:$U$5001,BD!$A$3:$A$5001,N$3,BD!$B$3:$B$5001,$A$153)))</f>
        <v/>
      </c>
      <c r="O160" s="192" t="str">
        <f>IF(O$3="","",IF(COUNTIFS(BD!$A$3:$A$5001,O$3,BD!$B$3:$B$5001,$A$153,BD!$U$3:$U$5001,"&lt;&gt;")=0,"",SUMIFS(BD!$U$3:$U$5001,BD!$A$3:$A$5001,O$3,BD!$B$3:$B$5001,$A$153)))</f>
        <v/>
      </c>
      <c r="P160" s="192" t="str">
        <f>IF(P$3="","",IF(COUNTIFS(BD!$A$3:$A$5001,P$3,BD!$B$3:$B$5001,$A$153,BD!$U$3:$U$5001,"&lt;&gt;")=0,"",SUMIFS(BD!$U$3:$U$5001,BD!$A$3:$A$5001,P$3,BD!$B$3:$B$5001,$A$153)))</f>
        <v/>
      </c>
      <c r="Q160" s="192" t="str">
        <f>IF(Q$3="","",IF(COUNTIFS(BD!$A$3:$A$5001,Q$3,BD!$B$3:$B$5001,$A$153,BD!$U$3:$U$5001,"&lt;&gt;")=0,"",SUMIFS(BD!$U$3:$U$5001,BD!$A$3:$A$5001,Q$3,BD!$B$3:$B$5001,$A$153)))</f>
        <v/>
      </c>
      <c r="R160" s="192" t="str">
        <f>IF(R$3="","",IF(COUNTIFS(BD!$A$3:$A$5001,R$3,BD!$B$3:$B$5001,$A$153,BD!$U$3:$U$5001,"&lt;&gt;")=0,"",SUMIFS(BD!$U$3:$U$5001,BD!$A$3:$A$5001,R$3,BD!$B$3:$B$5001,$A$153)))</f>
        <v/>
      </c>
      <c r="S160" s="192" t="str">
        <f>IF(S$3="","",IF(COUNTIFS(BD!$A$3:$A$5001,S$3,BD!$B$3:$B$5001,$A$153,BD!$U$3:$U$5001,"&lt;&gt;")=0,"",SUMIFS(BD!$U$3:$U$5001,BD!$A$3:$A$5001,S$3,BD!$B$3:$B$5001,$A$153)))</f>
        <v/>
      </c>
      <c r="T160" s="192" t="str">
        <f>IF(T$3="","",IF(COUNTIFS(BD!$A$3:$A$5001,T$3,BD!$B$3:$B$5001,$A$153,BD!$U$3:$U$5001,"&lt;&gt;")=0,"",SUMIFS(BD!$U$3:$U$5001,BD!$A$3:$A$5001,T$3,BD!$B$3:$B$5001,$A$153)))</f>
        <v/>
      </c>
      <c r="U160" s="192" t="str">
        <f>IF(U$3="","",IF(COUNTIFS(BD!$A$3:$A$5001,U$3,BD!$B$3:$B$5001,$A$153,BD!$U$3:$U$5001,"&lt;&gt;")=0,"",SUMIFS(BD!$U$3:$U$5001,BD!$A$3:$A$5001,U$3,BD!$B$3:$B$5001,$A$153)))</f>
        <v/>
      </c>
      <c r="V160" s="192" t="str">
        <f>IF(V$3="","",IF(COUNTIFS(BD!$A$3:$A$5001,V$3,BD!$B$3:$B$5001,$A$153,BD!$U$3:$U$5001,"&lt;&gt;")=0,"",SUMIFS(BD!$U$3:$U$5001,BD!$A$3:$A$5001,V$3,BD!$B$3:$B$5001,$A$153)))</f>
        <v/>
      </c>
      <c r="W160" s="192" t="str">
        <f>IF(W$3="","",IF(COUNTIFS(BD!$A$3:$A$5001,W$3,BD!$B$3:$B$5001,$A$153,BD!$U$3:$U$5001,"&lt;&gt;")=0,"",SUMIFS(BD!$U$3:$U$5001,BD!$A$3:$A$5001,W$3,BD!$B$3:$B$5001,$A$153)))</f>
        <v/>
      </c>
      <c r="X160" s="192" t="str">
        <f>IF(X$3="","",IF(COUNTIFS(BD!$A$3:$A$5001,X$3,BD!$B$3:$B$5001,$A$153,BD!$U$3:$U$5001,"&lt;&gt;")=0,"",SUMIFS(BD!$U$3:$U$5001,BD!$A$3:$A$5001,X$3,BD!$B$3:$B$5001,$A$153)))</f>
        <v/>
      </c>
      <c r="Y160" s="192" t="str">
        <f>IF(Y$3="","",IF(COUNTIFS(BD!$A$3:$A$5001,Y$3,BD!$B$3:$B$5001,$A$153,BD!$U$3:$U$5001,"&lt;&gt;")=0,"",SUMIFS(BD!$U$3:$U$5001,BD!$A$3:$A$5001,Y$3,BD!$B$3:$B$5001,$A$153)))</f>
        <v/>
      </c>
      <c r="Z160" s="192" t="str">
        <f>IF(Z$3="","",IF(COUNTIFS(BD!$A$3:$A$5001,Z$3,BD!$B$3:$B$5001,$A$153,BD!$U$3:$U$5001,"&lt;&gt;")=0,"",SUMIFS(BD!$U$3:$U$5001,BD!$A$3:$A$5001,Z$3,BD!$B$3:$B$5001,$A$153)))</f>
        <v/>
      </c>
      <c r="AA160" s="192" t="str">
        <f>IF(AA$3="","",IF(COUNTIFS(BD!$A$3:$A$5001,AA$3,BD!$B$3:$B$5001,$A$153,BD!$U$3:$U$5001,"&lt;&gt;")=0,"",SUMIFS(BD!$U$3:$U$5001,BD!$A$3:$A$5001,AA$3,BD!$B$3:$B$5001,$A$153)))</f>
        <v/>
      </c>
      <c r="AB160" s="192" t="str">
        <f>IF(AB$3="","",IF(COUNTIFS(BD!$A$3:$A$5001,AB$3,BD!$B$3:$B$5001,$A$153,BD!$U$3:$U$5001,"&lt;&gt;")=0,"",SUMIFS(BD!$U$3:$U$5001,BD!$A$3:$A$5001,AB$3,BD!$B$3:$B$5001,$A$153)))</f>
        <v/>
      </c>
      <c r="AC160" s="192" t="str">
        <f>IF(AC$3="","",IF(COUNTIFS(BD!$A$3:$A$5001,AC$3,BD!$B$3:$B$5001,$A$153,BD!$U$3:$U$5001,"&lt;&gt;")=0,"",SUMIFS(BD!$U$3:$U$5001,BD!$A$3:$A$5001,AC$3,BD!$B$3:$B$5001,$A$153)))</f>
        <v/>
      </c>
      <c r="AD160" s="192" t="str">
        <f>IF(AD$3="","",IF(COUNTIFS(BD!$A$3:$A$5001,AD$3,BD!$B$3:$B$5001,$A$153,BD!$U$3:$U$5001,"&lt;&gt;")=0,"",SUMIFS(BD!$U$3:$U$5001,BD!$A$3:$A$5001,AD$3,BD!$B$3:$B$5001,$A$153)))</f>
        <v/>
      </c>
      <c r="AE160" s="192" t="str">
        <f>IF(AE$3="","",IF(COUNTIFS(BD!$A$3:$A$5001,AE$3,BD!$B$3:$B$5001,$A$153,BD!$U$3:$U$5001,"&lt;&gt;")=0,"",SUMIFS(BD!$U$3:$U$5001,BD!$A$3:$A$5001,AE$3,BD!$B$3:$B$5001,$A$153)))</f>
        <v/>
      </c>
      <c r="AF160" s="192" t="str">
        <f>IF(AF$3="","",IF(COUNTIFS(BD!$A$3:$A$5001,AF$3,BD!$B$3:$B$5001,$A$153,BD!$U$3:$U$5001,"&lt;&gt;")=0,"",SUMIFS(BD!$U$3:$U$5001,BD!$A$3:$A$5001,AF$3,BD!$B$3:$B$5001,$A$153)))</f>
        <v/>
      </c>
      <c r="AG160" s="192" t="str">
        <f>IF(AG$3="","",IF(COUNTIFS(BD!$A$3:$A$5001,AG$3,BD!$B$3:$B$5001,$A$153,BD!$U$3:$U$5001,"&lt;&gt;")=0,"",SUMIFS(BD!$U$3:$U$5001,BD!$A$3:$A$5001,AG$3,BD!$B$3:$B$5001,$A$153)))</f>
        <v/>
      </c>
      <c r="AH160" s="192" t="str">
        <f>IF(AH$3="","",IF(COUNTIFS(BD!$A$3:$A$5001,AH$3,BD!$B$3:$B$5001,$A$153,BD!$U$3:$U$5001,"&lt;&gt;")=0,"",SUMIFS(BD!$U$3:$U$5001,BD!$A$3:$A$5001,AH$3,BD!$B$3:$B$5001,$A$153)))</f>
        <v/>
      </c>
      <c r="AI160" s="192" t="str">
        <f>IF(AI$3="","",IF(COUNTIFS(BD!$A$3:$A$5001,AI$3,BD!$B$3:$B$5001,$A$153,BD!$U$3:$U$5001,"&lt;&gt;")=0,"",SUMIFS(BD!$U$3:$U$5001,BD!$A$3:$A$5001,AI$3,BD!$B$3:$B$5001,$A$153)))</f>
        <v/>
      </c>
      <c r="AJ160" s="193" t="str">
        <f>IF(AJ$3="","",IF(COUNTIFS(BD!$A$3:$A$5001,AJ$3,BD!$B$3:$B$5001,$A$153,BD!$U$3:$U$5001,"&lt;&gt;")=0,"",SUMIFS(BD!$U$3:$U$5001,BD!$A$3:$A$5001,AJ$3,BD!$B$3:$B$5001,$A$153)))</f>
        <v/>
      </c>
      <c r="AK160" s="194" t="str">
        <f>IF(COUNT(F160:AJ160)=0,"",SUM(F160:AJ160))</f>
        <v/>
      </c>
    </row>
    <row r="161" ht="15.75" customHeight="1">
      <c r="A161" s="244"/>
      <c r="B161" s="238"/>
      <c r="C161" s="195" t="inlineStr">
        <is>
          <t xml:space="preserve">Backlog</t>
        </is>
      </c>
      <c r="D161" s="196" t="str">
        <f>IFERROR(1/(1/INDEX(BD!$AJ$42:$BD$42,MATCH($A$153,BD!$AJ$22:$BD$22,0))),"")</f>
        <v/>
      </c>
      <c r="E161" s="197"/>
      <c r="F161" s="198" t="str">
        <f>IF(F$3="","",IF(COUNTIFS(BD!$A$3:$A$5001,F$3,BD!$B$3:$B$5001,$A$153,BD!$V$3:$V$5001,"&lt;&gt;")=0,"",SUMIFS(BD!$V$3:$V$5001,BD!$A$3:$A$5001,F$3,BD!$B$3:$B$5001,$A$153)))</f>
        <v/>
      </c>
      <c r="G161" s="199" t="str">
        <f>IF(G$3="","",IF(COUNTIFS(BD!$A$3:$A$5001,G$3,BD!$B$3:$B$5001,$A$153,BD!$V$3:$V$5001,"&lt;&gt;")=0,"",SUMIFS(BD!$V$3:$V$5001,BD!$A$3:$A$5001,G$3,BD!$B$3:$B$5001,$A$153)))</f>
        <v/>
      </c>
      <c r="H161" s="199" t="str">
        <f>IF(H$3="","",IF(COUNTIFS(BD!$A$3:$A$5001,H$3,BD!$B$3:$B$5001,$A$153,BD!$V$3:$V$5001,"&lt;&gt;")=0,"",SUMIFS(BD!$V$3:$V$5001,BD!$A$3:$A$5001,H$3,BD!$B$3:$B$5001,$A$153)))</f>
        <v/>
      </c>
      <c r="I161" s="199" t="str">
        <f>IF(I$3="","",IF(COUNTIFS(BD!$A$3:$A$5001,I$3,BD!$B$3:$B$5001,$A$153,BD!$V$3:$V$5001,"&lt;&gt;")=0,"",SUMIFS(BD!$V$3:$V$5001,BD!$A$3:$A$5001,I$3,BD!$B$3:$B$5001,$A$153)))</f>
        <v/>
      </c>
      <c r="J161" s="199" t="str">
        <f>IF(J$3="","",IF(COUNTIFS(BD!$A$3:$A$5001,J$3,BD!$B$3:$B$5001,$A$153,BD!$V$3:$V$5001,"&lt;&gt;")=0,"",SUMIFS(BD!$V$3:$V$5001,BD!$A$3:$A$5001,J$3,BD!$B$3:$B$5001,$A$153)))</f>
        <v/>
      </c>
      <c r="K161" s="199" t="str">
        <f>IF(K$3="","",IF(COUNTIFS(BD!$A$3:$A$5001,K$3,BD!$B$3:$B$5001,$A$153,BD!$V$3:$V$5001,"&lt;&gt;")=0,"",SUMIFS(BD!$V$3:$V$5001,BD!$A$3:$A$5001,K$3,BD!$B$3:$B$5001,$A$153)))</f>
        <v/>
      </c>
      <c r="L161" s="199" t="str">
        <f>IF(L$3="","",IF(COUNTIFS(BD!$A$3:$A$5001,L$3,BD!$B$3:$B$5001,$A$153,BD!$V$3:$V$5001,"&lt;&gt;")=0,"",SUMIFS(BD!$V$3:$V$5001,BD!$A$3:$A$5001,L$3,BD!$B$3:$B$5001,$A$153)))</f>
        <v/>
      </c>
      <c r="M161" s="199" t="str">
        <f>IF(M$3="","",IF(COUNTIFS(BD!$A$3:$A$5001,M$3,BD!$B$3:$B$5001,$A$153,BD!$V$3:$V$5001,"&lt;&gt;")=0,"",SUMIFS(BD!$V$3:$V$5001,BD!$A$3:$A$5001,M$3,BD!$B$3:$B$5001,$A$153)))</f>
        <v/>
      </c>
      <c r="N161" s="199" t="str">
        <f>IF(N$3="","",IF(COUNTIFS(BD!$A$3:$A$5001,N$3,BD!$B$3:$B$5001,$A$153,BD!$V$3:$V$5001,"&lt;&gt;")=0,"",SUMIFS(BD!$V$3:$V$5001,BD!$A$3:$A$5001,N$3,BD!$B$3:$B$5001,$A$153)))</f>
        <v/>
      </c>
      <c r="O161" s="199" t="str">
        <f>IF(O$3="","",IF(COUNTIFS(BD!$A$3:$A$5001,O$3,BD!$B$3:$B$5001,$A$153,BD!$V$3:$V$5001,"&lt;&gt;")=0,"",SUMIFS(BD!$V$3:$V$5001,BD!$A$3:$A$5001,O$3,BD!$B$3:$B$5001,$A$153)))</f>
        <v/>
      </c>
      <c r="P161" s="199" t="str">
        <f>IF(P$3="","",IF(COUNTIFS(BD!$A$3:$A$5001,P$3,BD!$B$3:$B$5001,$A$153,BD!$V$3:$V$5001,"&lt;&gt;")=0,"",SUMIFS(BD!$V$3:$V$5001,BD!$A$3:$A$5001,P$3,BD!$B$3:$B$5001,$A$153)))</f>
        <v/>
      </c>
      <c r="Q161" s="199" t="str">
        <f>IF(Q$3="","",IF(COUNTIFS(BD!$A$3:$A$5001,Q$3,BD!$B$3:$B$5001,$A$153,BD!$V$3:$V$5001,"&lt;&gt;")=0,"",SUMIFS(BD!$V$3:$V$5001,BD!$A$3:$A$5001,Q$3,BD!$B$3:$B$5001,$A$153)))</f>
        <v/>
      </c>
      <c r="R161" s="199" t="str">
        <f>IF(R$3="","",IF(COUNTIFS(BD!$A$3:$A$5001,R$3,BD!$B$3:$B$5001,$A$153,BD!$V$3:$V$5001,"&lt;&gt;")=0,"",SUMIFS(BD!$V$3:$V$5001,BD!$A$3:$A$5001,R$3,BD!$B$3:$B$5001,$A$153)))</f>
        <v/>
      </c>
      <c r="S161" s="199" t="str">
        <f>IF(S$3="","",IF(COUNTIFS(BD!$A$3:$A$5001,S$3,BD!$B$3:$B$5001,$A$153,BD!$V$3:$V$5001,"&lt;&gt;")=0,"",SUMIFS(BD!$V$3:$V$5001,BD!$A$3:$A$5001,S$3,BD!$B$3:$B$5001,$A$153)))</f>
        <v/>
      </c>
      <c r="T161" s="199" t="str">
        <f>IF(T$3="","",IF(COUNTIFS(BD!$A$3:$A$5001,T$3,BD!$B$3:$B$5001,$A$153,BD!$V$3:$V$5001,"&lt;&gt;")=0,"",SUMIFS(BD!$V$3:$V$5001,BD!$A$3:$A$5001,T$3,BD!$B$3:$B$5001,$A$153)))</f>
        <v/>
      </c>
      <c r="U161" s="199" t="str">
        <f>IF(U$3="","",IF(COUNTIFS(BD!$A$3:$A$5001,U$3,BD!$B$3:$B$5001,$A$153,BD!$V$3:$V$5001,"&lt;&gt;")=0,"",SUMIFS(BD!$V$3:$V$5001,BD!$A$3:$A$5001,U$3,BD!$B$3:$B$5001,$A$153)))</f>
        <v/>
      </c>
      <c r="V161" s="199" t="str">
        <f>IF(V$3="","",IF(COUNTIFS(BD!$A$3:$A$5001,V$3,BD!$B$3:$B$5001,$A$153,BD!$V$3:$V$5001,"&lt;&gt;")=0,"",SUMIFS(BD!$V$3:$V$5001,BD!$A$3:$A$5001,V$3,BD!$B$3:$B$5001,$A$153)))</f>
        <v/>
      </c>
      <c r="W161" s="199" t="str">
        <f>IF(W$3="","",IF(COUNTIFS(BD!$A$3:$A$5001,W$3,BD!$B$3:$B$5001,$A$153,BD!$V$3:$V$5001,"&lt;&gt;")=0,"",SUMIFS(BD!$V$3:$V$5001,BD!$A$3:$A$5001,W$3,BD!$B$3:$B$5001,$A$153)))</f>
        <v/>
      </c>
      <c r="X161" s="199" t="str">
        <f>IF(X$3="","",IF(COUNTIFS(BD!$A$3:$A$5001,X$3,BD!$B$3:$B$5001,$A$153,BD!$V$3:$V$5001,"&lt;&gt;")=0,"",SUMIFS(BD!$V$3:$V$5001,BD!$A$3:$A$5001,X$3,BD!$B$3:$B$5001,$A$153)))</f>
        <v/>
      </c>
      <c r="Y161" s="199" t="str">
        <f>IF(Y$3="","",IF(COUNTIFS(BD!$A$3:$A$5001,Y$3,BD!$B$3:$B$5001,$A$153,BD!$V$3:$V$5001,"&lt;&gt;")=0,"",SUMIFS(BD!$V$3:$V$5001,BD!$A$3:$A$5001,Y$3,BD!$B$3:$B$5001,$A$153)))</f>
        <v/>
      </c>
      <c r="Z161" s="199" t="str">
        <f>IF(Z$3="","",IF(COUNTIFS(BD!$A$3:$A$5001,Z$3,BD!$B$3:$B$5001,$A$153,BD!$V$3:$V$5001,"&lt;&gt;")=0,"",SUMIFS(BD!$V$3:$V$5001,BD!$A$3:$A$5001,Z$3,BD!$B$3:$B$5001,$A$153)))</f>
        <v/>
      </c>
      <c r="AA161" s="199" t="str">
        <f>IF(AA$3="","",IF(COUNTIFS(BD!$A$3:$A$5001,AA$3,BD!$B$3:$B$5001,$A$153,BD!$V$3:$V$5001,"&lt;&gt;")=0,"",SUMIFS(BD!$V$3:$V$5001,BD!$A$3:$A$5001,AA$3,BD!$B$3:$B$5001,$A$153)))</f>
        <v/>
      </c>
      <c r="AB161" s="199" t="str">
        <f>IF(AB$3="","",IF(COUNTIFS(BD!$A$3:$A$5001,AB$3,BD!$B$3:$B$5001,$A$153,BD!$V$3:$V$5001,"&lt;&gt;")=0,"",SUMIFS(BD!$V$3:$V$5001,BD!$A$3:$A$5001,AB$3,BD!$B$3:$B$5001,$A$153)))</f>
        <v/>
      </c>
      <c r="AC161" s="199" t="str">
        <f>IF(AC$3="","",IF(COUNTIFS(BD!$A$3:$A$5001,AC$3,BD!$B$3:$B$5001,$A$153,BD!$V$3:$V$5001,"&lt;&gt;")=0,"",SUMIFS(BD!$V$3:$V$5001,BD!$A$3:$A$5001,AC$3,BD!$B$3:$B$5001,$A$153)))</f>
        <v/>
      </c>
      <c r="AD161" s="199" t="str">
        <f>IF(AD$3="","",IF(COUNTIFS(BD!$A$3:$A$5001,AD$3,BD!$B$3:$B$5001,$A$153,BD!$V$3:$V$5001,"&lt;&gt;")=0,"",SUMIFS(BD!$V$3:$V$5001,BD!$A$3:$A$5001,AD$3,BD!$B$3:$B$5001,$A$153)))</f>
        <v/>
      </c>
      <c r="AE161" s="199" t="str">
        <f>IF(AE$3="","",IF(COUNTIFS(BD!$A$3:$A$5001,AE$3,BD!$B$3:$B$5001,$A$153,BD!$V$3:$V$5001,"&lt;&gt;")=0,"",SUMIFS(BD!$V$3:$V$5001,BD!$A$3:$A$5001,AE$3,BD!$B$3:$B$5001,$A$153)))</f>
        <v/>
      </c>
      <c r="AF161" s="199" t="str">
        <f>IF(AF$3="","",IF(COUNTIFS(BD!$A$3:$A$5001,AF$3,BD!$B$3:$B$5001,$A$153,BD!$V$3:$V$5001,"&lt;&gt;")=0,"",SUMIFS(BD!$V$3:$V$5001,BD!$A$3:$A$5001,AF$3,BD!$B$3:$B$5001,$A$153)))</f>
        <v/>
      </c>
      <c r="AG161" s="199" t="str">
        <f>IF(AG$3="","",IF(COUNTIFS(BD!$A$3:$A$5001,AG$3,BD!$B$3:$B$5001,$A$153,BD!$V$3:$V$5001,"&lt;&gt;")=0,"",SUMIFS(BD!$V$3:$V$5001,BD!$A$3:$A$5001,AG$3,BD!$B$3:$B$5001,$A$153)))</f>
        <v/>
      </c>
      <c r="AH161" s="199" t="str">
        <f>IF(AH$3="","",IF(COUNTIFS(BD!$A$3:$A$5001,AH$3,BD!$B$3:$B$5001,$A$153,BD!$V$3:$V$5001,"&lt;&gt;")=0,"",SUMIFS(BD!$V$3:$V$5001,BD!$A$3:$A$5001,AH$3,BD!$B$3:$B$5001,$A$153)))</f>
        <v/>
      </c>
      <c r="AI161" s="199" t="str">
        <f>IF(AI$3="","",IF(COUNTIFS(BD!$A$3:$A$5001,AI$3,BD!$B$3:$B$5001,$A$153,BD!$V$3:$V$5001,"&lt;&gt;")=0,"",SUMIFS(BD!$V$3:$V$5001,BD!$A$3:$A$5001,AI$3,BD!$B$3:$B$5001,$A$153)))</f>
        <v/>
      </c>
      <c r="AJ161" s="200" t="str">
        <f>IF(AJ$3="","",IF(COUNTIFS(BD!$A$3:$A$5001,AJ$3,BD!$B$3:$B$5001,$A$153,BD!$V$3:$V$5001,"&lt;&gt;")=0,"",SUMIFS(BD!$V$3:$V$5001,BD!$A$3:$A$5001,AJ$3,BD!$B$3:$B$5001,$A$153)))</f>
        <v/>
      </c>
      <c r="AK161" s="196" t="str">
        <f>IFERROR(LOOKUP(9.99E+307,F161:AJ161),"")</f>
        <v/>
      </c>
    </row>
    <row r="162" ht="15.75" customHeight="1">
      <c r="A162" s="244"/>
      <c r="B162" s="232" t="inlineStr">
        <is>
          <t xml:space="preserve">OCUPAÇÃO (P.P)</t>
        </is>
      </c>
      <c r="C162" s="155" t="inlineStr">
        <is>
          <t xml:space="preserve">Posições Disponíveis</t>
        </is>
      </c>
      <c r="D162" s="156" t="str">
        <f>IFERROR(1/(1/INDEX(BD!$AJ$43:$BD$43,MATCH($A$153,BD!$AJ$22:$BD$22,0))),"")</f>
        <v/>
      </c>
      <c r="E162" s="157"/>
      <c r="F162" s="158" t="str">
        <f>IF(F$3="","",IF(COUNTIFS(BD!$A$3:$A$5001,F$3,BD!$B$3:$B$5001,$A$153,BD!$W$3:$W$5001,"&lt;&gt;")=0,"",SUMIFS(BD!$W$3:$W$5001,BD!$A$3:$A$5001,F$3,BD!$B$3:$B$5001,$A$153)))</f>
        <v/>
      </c>
      <c r="G162" s="159" t="str">
        <f>IF(G$3="","",IF(COUNTIFS(BD!$A$3:$A$5001,G$3,BD!$B$3:$B$5001,$A$153,BD!$W$3:$W$5001,"&lt;&gt;")=0,"",SUMIFS(BD!$W$3:$W$5001,BD!$A$3:$A$5001,G$3,BD!$B$3:$B$5001,$A$153)))</f>
        <v/>
      </c>
      <c r="H162" s="159" t="str">
        <f>IF(H$3="","",IF(COUNTIFS(BD!$A$3:$A$5001,H$3,BD!$B$3:$B$5001,$A$153,BD!$W$3:$W$5001,"&lt;&gt;")=0,"",SUMIFS(BD!$W$3:$W$5001,BD!$A$3:$A$5001,H$3,BD!$B$3:$B$5001,$A$153)))</f>
        <v/>
      </c>
      <c r="I162" s="159" t="str">
        <f>IF(I$3="","",IF(COUNTIFS(BD!$A$3:$A$5001,I$3,BD!$B$3:$B$5001,$A$153,BD!$W$3:$W$5001,"&lt;&gt;")=0,"",SUMIFS(BD!$W$3:$W$5001,BD!$A$3:$A$5001,I$3,BD!$B$3:$B$5001,$A$153)))</f>
        <v/>
      </c>
      <c r="J162" s="159" t="str">
        <f>IF(J$3="","",IF(COUNTIFS(BD!$A$3:$A$5001,J$3,BD!$B$3:$B$5001,$A$153,BD!$W$3:$W$5001,"&lt;&gt;")=0,"",SUMIFS(BD!$W$3:$W$5001,BD!$A$3:$A$5001,J$3,BD!$B$3:$B$5001,$A$153)))</f>
        <v/>
      </c>
      <c r="K162" s="159" t="str">
        <f>IF(K$3="","",IF(COUNTIFS(BD!$A$3:$A$5001,K$3,BD!$B$3:$B$5001,$A$153,BD!$W$3:$W$5001,"&lt;&gt;")=0,"",SUMIFS(BD!$W$3:$W$5001,BD!$A$3:$A$5001,K$3,BD!$B$3:$B$5001,$A$153)))</f>
        <v/>
      </c>
      <c r="L162" s="159" t="str">
        <f>IF(L$3="","",IF(COUNTIFS(BD!$A$3:$A$5001,L$3,BD!$B$3:$B$5001,$A$153,BD!$W$3:$W$5001,"&lt;&gt;")=0,"",SUMIFS(BD!$W$3:$W$5001,BD!$A$3:$A$5001,L$3,BD!$B$3:$B$5001,$A$153)))</f>
        <v/>
      </c>
      <c r="M162" s="159" t="str">
        <f>IF(M$3="","",IF(COUNTIFS(BD!$A$3:$A$5001,M$3,BD!$B$3:$B$5001,$A$153,BD!$W$3:$W$5001,"&lt;&gt;")=0,"",SUMIFS(BD!$W$3:$W$5001,BD!$A$3:$A$5001,M$3,BD!$B$3:$B$5001,$A$153)))</f>
        <v/>
      </c>
      <c r="N162" s="159" t="str">
        <f>IF(N$3="","",IF(COUNTIFS(BD!$A$3:$A$5001,N$3,BD!$B$3:$B$5001,$A$153,BD!$W$3:$W$5001,"&lt;&gt;")=0,"",SUMIFS(BD!$W$3:$W$5001,BD!$A$3:$A$5001,N$3,BD!$B$3:$B$5001,$A$153)))</f>
        <v/>
      </c>
      <c r="O162" s="159" t="str">
        <f>IF(O$3="","",IF(COUNTIFS(BD!$A$3:$A$5001,O$3,BD!$B$3:$B$5001,$A$153,BD!$W$3:$W$5001,"&lt;&gt;")=0,"",SUMIFS(BD!$W$3:$W$5001,BD!$A$3:$A$5001,O$3,BD!$B$3:$B$5001,$A$153)))</f>
        <v/>
      </c>
      <c r="P162" s="159" t="str">
        <f>IF(P$3="","",IF(COUNTIFS(BD!$A$3:$A$5001,P$3,BD!$B$3:$B$5001,$A$153,BD!$W$3:$W$5001,"&lt;&gt;")=0,"",SUMIFS(BD!$W$3:$W$5001,BD!$A$3:$A$5001,P$3,BD!$B$3:$B$5001,$A$153)))</f>
        <v/>
      </c>
      <c r="Q162" s="159" t="str">
        <f>IF(Q$3="","",IF(COUNTIFS(BD!$A$3:$A$5001,Q$3,BD!$B$3:$B$5001,$A$153,BD!$W$3:$W$5001,"&lt;&gt;")=0,"",SUMIFS(BD!$W$3:$W$5001,BD!$A$3:$A$5001,Q$3,BD!$B$3:$B$5001,$A$153)))</f>
        <v/>
      </c>
      <c r="R162" s="159" t="str">
        <f>IF(R$3="","",IF(COUNTIFS(BD!$A$3:$A$5001,R$3,BD!$B$3:$B$5001,$A$153,BD!$W$3:$W$5001,"&lt;&gt;")=0,"",SUMIFS(BD!$W$3:$W$5001,BD!$A$3:$A$5001,R$3,BD!$B$3:$B$5001,$A$153)))</f>
        <v/>
      </c>
      <c r="S162" s="159" t="str">
        <f>IF(S$3="","",IF(COUNTIFS(BD!$A$3:$A$5001,S$3,BD!$B$3:$B$5001,$A$153,BD!$W$3:$W$5001,"&lt;&gt;")=0,"",SUMIFS(BD!$W$3:$W$5001,BD!$A$3:$A$5001,S$3,BD!$B$3:$B$5001,$A$153)))</f>
        <v/>
      </c>
      <c r="T162" s="159" t="str">
        <f>IF(T$3="","",IF(COUNTIFS(BD!$A$3:$A$5001,T$3,BD!$B$3:$B$5001,$A$153,BD!$W$3:$W$5001,"&lt;&gt;")=0,"",SUMIFS(BD!$W$3:$W$5001,BD!$A$3:$A$5001,T$3,BD!$B$3:$B$5001,$A$153)))</f>
        <v/>
      </c>
      <c r="U162" s="159" t="str">
        <f>IF(U$3="","",IF(COUNTIFS(BD!$A$3:$A$5001,U$3,BD!$B$3:$B$5001,$A$153,BD!$W$3:$W$5001,"&lt;&gt;")=0,"",SUMIFS(BD!$W$3:$W$5001,BD!$A$3:$A$5001,U$3,BD!$B$3:$B$5001,$A$153)))</f>
        <v/>
      </c>
      <c r="V162" s="159" t="str">
        <f>IF(V$3="","",IF(COUNTIFS(BD!$A$3:$A$5001,V$3,BD!$B$3:$B$5001,$A$153,BD!$W$3:$W$5001,"&lt;&gt;")=0,"",SUMIFS(BD!$W$3:$W$5001,BD!$A$3:$A$5001,V$3,BD!$B$3:$B$5001,$A$153)))</f>
        <v/>
      </c>
      <c r="W162" s="159" t="str">
        <f>IF(W$3="","",IF(COUNTIFS(BD!$A$3:$A$5001,W$3,BD!$B$3:$B$5001,$A$153,BD!$W$3:$W$5001,"&lt;&gt;")=0,"",SUMIFS(BD!$W$3:$W$5001,BD!$A$3:$A$5001,W$3,BD!$B$3:$B$5001,$A$153)))</f>
        <v/>
      </c>
      <c r="X162" s="159" t="str">
        <f>IF(X$3="","",IF(COUNTIFS(BD!$A$3:$A$5001,X$3,BD!$B$3:$B$5001,$A$153,BD!$W$3:$W$5001,"&lt;&gt;")=0,"",SUMIFS(BD!$W$3:$W$5001,BD!$A$3:$A$5001,X$3,BD!$B$3:$B$5001,$A$153)))</f>
        <v/>
      </c>
      <c r="Y162" s="159" t="str">
        <f>IF(Y$3="","",IF(COUNTIFS(BD!$A$3:$A$5001,Y$3,BD!$B$3:$B$5001,$A$153,BD!$W$3:$W$5001,"&lt;&gt;")=0,"",SUMIFS(BD!$W$3:$W$5001,BD!$A$3:$A$5001,Y$3,BD!$B$3:$B$5001,$A$153)))</f>
        <v/>
      </c>
      <c r="Z162" s="159" t="str">
        <f>IF(Z$3="","",IF(COUNTIFS(BD!$A$3:$A$5001,Z$3,BD!$B$3:$B$5001,$A$153,BD!$W$3:$W$5001,"&lt;&gt;")=0,"",SUMIFS(BD!$W$3:$W$5001,BD!$A$3:$A$5001,Z$3,BD!$B$3:$B$5001,$A$153)))</f>
        <v/>
      </c>
      <c r="AA162" s="159" t="str">
        <f>IF(AA$3="","",IF(COUNTIFS(BD!$A$3:$A$5001,AA$3,BD!$B$3:$B$5001,$A$153,BD!$W$3:$W$5001,"&lt;&gt;")=0,"",SUMIFS(BD!$W$3:$W$5001,BD!$A$3:$A$5001,AA$3,BD!$B$3:$B$5001,$A$153)))</f>
        <v/>
      </c>
      <c r="AB162" s="159" t="str">
        <f>IF(AB$3="","",IF(COUNTIFS(BD!$A$3:$A$5001,AB$3,BD!$B$3:$B$5001,$A$153,BD!$W$3:$W$5001,"&lt;&gt;")=0,"",SUMIFS(BD!$W$3:$W$5001,BD!$A$3:$A$5001,AB$3,BD!$B$3:$B$5001,$A$153)))</f>
        <v/>
      </c>
      <c r="AC162" s="159" t="str">
        <f>IF(AC$3="","",IF(COUNTIFS(BD!$A$3:$A$5001,AC$3,BD!$B$3:$B$5001,$A$153,BD!$W$3:$W$5001,"&lt;&gt;")=0,"",SUMIFS(BD!$W$3:$W$5001,BD!$A$3:$A$5001,AC$3,BD!$B$3:$B$5001,$A$153)))</f>
        <v/>
      </c>
      <c r="AD162" s="159" t="str">
        <f>IF(AD$3="","",IF(COUNTIFS(BD!$A$3:$A$5001,AD$3,BD!$B$3:$B$5001,$A$153,BD!$W$3:$W$5001,"&lt;&gt;")=0,"",SUMIFS(BD!$W$3:$W$5001,BD!$A$3:$A$5001,AD$3,BD!$B$3:$B$5001,$A$153)))</f>
        <v/>
      </c>
      <c r="AE162" s="159" t="str">
        <f>IF(AE$3="","",IF(COUNTIFS(BD!$A$3:$A$5001,AE$3,BD!$B$3:$B$5001,$A$153,BD!$W$3:$W$5001,"&lt;&gt;")=0,"",SUMIFS(BD!$W$3:$W$5001,BD!$A$3:$A$5001,AE$3,BD!$B$3:$B$5001,$A$153)))</f>
        <v/>
      </c>
      <c r="AF162" s="159" t="str">
        <f>IF(AF$3="","",IF(COUNTIFS(BD!$A$3:$A$5001,AF$3,BD!$B$3:$B$5001,$A$153,BD!$W$3:$W$5001,"&lt;&gt;")=0,"",SUMIFS(BD!$W$3:$W$5001,BD!$A$3:$A$5001,AF$3,BD!$B$3:$B$5001,$A$153)))</f>
        <v/>
      </c>
      <c r="AG162" s="159" t="str">
        <f>IF(AG$3="","",IF(COUNTIFS(BD!$A$3:$A$5001,AG$3,BD!$B$3:$B$5001,$A$153,BD!$W$3:$W$5001,"&lt;&gt;")=0,"",SUMIFS(BD!$W$3:$W$5001,BD!$A$3:$A$5001,AG$3,BD!$B$3:$B$5001,$A$153)))</f>
        <v/>
      </c>
      <c r="AH162" s="159" t="str">
        <f>IF(AH$3="","",IF(COUNTIFS(BD!$A$3:$A$5001,AH$3,BD!$B$3:$B$5001,$A$153,BD!$W$3:$W$5001,"&lt;&gt;")=0,"",SUMIFS(BD!$W$3:$W$5001,BD!$A$3:$A$5001,AH$3,BD!$B$3:$B$5001,$A$153)))</f>
        <v/>
      </c>
      <c r="AI162" s="159" t="str">
        <f>IF(AI$3="","",IF(COUNTIFS(BD!$A$3:$A$5001,AI$3,BD!$B$3:$B$5001,$A$153,BD!$W$3:$W$5001,"&lt;&gt;")=0,"",SUMIFS(BD!$W$3:$W$5001,BD!$A$3:$A$5001,AI$3,BD!$B$3:$B$5001,$A$153)))</f>
        <v/>
      </c>
      <c r="AJ162" s="160" t="str">
        <f>IF(AJ$3="","",IF(COUNTIFS(BD!$A$3:$A$5001,AJ$3,BD!$B$3:$B$5001,$A$153,BD!$W$3:$W$5001,"&lt;&gt;")=0,"",SUMIFS(BD!$W$3:$W$5001,BD!$A$3:$A$5001,AJ$3,BD!$B$3:$B$5001,$A$153)))</f>
        <v/>
      </c>
      <c r="AK162" s="161" t="str">
        <f>IF(COUNT(F162:AJ162)&gt;0,LOOKUP(9.99E+307,F162:AJ162),IFERROR(IF(INDEX(BD!$AG$3:$AG$5001,MATCH($A$153,BD!$B$3:$B$5001,0))&amp;""="Contrato","",INDEX(BD!$AG$3:$AG$5001,MATCH($A$153,BD!$B$3:$B$5001,0))&amp;""),""))</f>
        <v/>
      </c>
    </row>
    <row r="163" ht="15.75" customHeight="1">
      <c r="A163" s="244"/>
      <c r="B163" s="239"/>
      <c r="C163" s="201" t="inlineStr">
        <is>
          <t xml:space="preserve">Posições Ocupadas</t>
        </is>
      </c>
      <c r="D163" s="202" t="str">
        <f>IFERROR(1/(1/INDEX(BD!$AJ$44:$BD$44,MATCH($A$153,BD!$AJ$22:$BD$22,0))),"")</f>
        <v/>
      </c>
      <c r="E163" s="203"/>
      <c r="F163" s="204" t="str">
        <f>IF(F$3="","",IF(COUNTIFS(BD!$A$3:$A$5001,F$3,BD!$B$3:$B$5001,$A$153,BD!$X$3:$X$5001,"&lt;&gt;")=0,"",SUMIFS(BD!$X$3:$X$5001,BD!$A$3:$A$5001,F$3,BD!$B$3:$B$5001,$A$153)))</f>
        <v/>
      </c>
      <c r="G163" s="205" t="str">
        <f>IF(G$3="","",IF(COUNTIFS(BD!$A$3:$A$5001,G$3,BD!$B$3:$B$5001,$A$153,BD!$X$3:$X$5001,"&lt;&gt;")=0,"",SUMIFS(BD!$X$3:$X$5001,BD!$A$3:$A$5001,G$3,BD!$B$3:$B$5001,$A$153)))</f>
        <v/>
      </c>
      <c r="H163" s="205" t="str">
        <f>IF(H$3="","",IF(COUNTIFS(BD!$A$3:$A$5001,H$3,BD!$B$3:$B$5001,$A$153,BD!$X$3:$X$5001,"&lt;&gt;")=0,"",SUMIFS(BD!$X$3:$X$5001,BD!$A$3:$A$5001,H$3,BD!$B$3:$B$5001,$A$153)))</f>
        <v/>
      </c>
      <c r="I163" s="205" t="str">
        <f>IF(I$3="","",IF(COUNTIFS(BD!$A$3:$A$5001,I$3,BD!$B$3:$B$5001,$A$153,BD!$X$3:$X$5001,"&lt;&gt;")=0,"",SUMIFS(BD!$X$3:$X$5001,BD!$A$3:$A$5001,I$3,BD!$B$3:$B$5001,$A$153)))</f>
        <v/>
      </c>
      <c r="J163" s="205" t="str">
        <f>IF(J$3="","",IF(COUNTIFS(BD!$A$3:$A$5001,J$3,BD!$B$3:$B$5001,$A$153,BD!$X$3:$X$5001,"&lt;&gt;")=0,"",SUMIFS(BD!$X$3:$X$5001,BD!$A$3:$A$5001,J$3,BD!$B$3:$B$5001,$A$153)))</f>
        <v/>
      </c>
      <c r="K163" s="205" t="str">
        <f>IF(K$3="","",IF(COUNTIFS(BD!$A$3:$A$5001,K$3,BD!$B$3:$B$5001,$A$153,BD!$X$3:$X$5001,"&lt;&gt;")=0,"",SUMIFS(BD!$X$3:$X$5001,BD!$A$3:$A$5001,K$3,BD!$B$3:$B$5001,$A$153)))</f>
        <v/>
      </c>
      <c r="L163" s="205" t="str">
        <f>IF(L$3="","",IF(COUNTIFS(BD!$A$3:$A$5001,L$3,BD!$B$3:$B$5001,$A$153,BD!$X$3:$X$5001,"&lt;&gt;")=0,"",SUMIFS(BD!$X$3:$X$5001,BD!$A$3:$A$5001,L$3,BD!$B$3:$B$5001,$A$153)))</f>
        <v/>
      </c>
      <c r="M163" s="205" t="str">
        <f>IF(M$3="","",IF(COUNTIFS(BD!$A$3:$A$5001,M$3,BD!$B$3:$B$5001,$A$153,BD!$X$3:$X$5001,"&lt;&gt;")=0,"",SUMIFS(BD!$X$3:$X$5001,BD!$A$3:$A$5001,M$3,BD!$B$3:$B$5001,$A$153)))</f>
        <v/>
      </c>
      <c r="N163" s="205" t="str">
        <f>IF(N$3="","",IF(COUNTIFS(BD!$A$3:$A$5001,N$3,BD!$B$3:$B$5001,$A$153,BD!$X$3:$X$5001,"&lt;&gt;")=0,"",SUMIFS(BD!$X$3:$X$5001,BD!$A$3:$A$5001,N$3,BD!$B$3:$B$5001,$A$153)))</f>
        <v/>
      </c>
      <c r="O163" s="205" t="str">
        <f>IF(O$3="","",IF(COUNTIFS(BD!$A$3:$A$5001,O$3,BD!$B$3:$B$5001,$A$153,BD!$X$3:$X$5001,"&lt;&gt;")=0,"",SUMIFS(BD!$X$3:$X$5001,BD!$A$3:$A$5001,O$3,BD!$B$3:$B$5001,$A$153)))</f>
        <v/>
      </c>
      <c r="P163" s="205" t="str">
        <f>IF(P$3="","",IF(COUNTIFS(BD!$A$3:$A$5001,P$3,BD!$B$3:$B$5001,$A$153,BD!$X$3:$X$5001,"&lt;&gt;")=0,"",SUMIFS(BD!$X$3:$X$5001,BD!$A$3:$A$5001,P$3,BD!$B$3:$B$5001,$A$153)))</f>
        <v/>
      </c>
      <c r="Q163" s="205" t="str">
        <f>IF(Q$3="","",IF(COUNTIFS(BD!$A$3:$A$5001,Q$3,BD!$B$3:$B$5001,$A$153,BD!$X$3:$X$5001,"&lt;&gt;")=0,"",SUMIFS(BD!$X$3:$X$5001,BD!$A$3:$A$5001,Q$3,BD!$B$3:$B$5001,$A$153)))</f>
        <v/>
      </c>
      <c r="R163" s="205" t="str">
        <f>IF(R$3="","",IF(COUNTIFS(BD!$A$3:$A$5001,R$3,BD!$B$3:$B$5001,$A$153,BD!$X$3:$X$5001,"&lt;&gt;")=0,"",SUMIFS(BD!$X$3:$X$5001,BD!$A$3:$A$5001,R$3,BD!$B$3:$B$5001,$A$153)))</f>
        <v/>
      </c>
      <c r="S163" s="205" t="str">
        <f>IF(S$3="","",IF(COUNTIFS(BD!$A$3:$A$5001,S$3,BD!$B$3:$B$5001,$A$153,BD!$X$3:$X$5001,"&lt;&gt;")=0,"",SUMIFS(BD!$X$3:$X$5001,BD!$A$3:$A$5001,S$3,BD!$B$3:$B$5001,$A$153)))</f>
        <v/>
      </c>
      <c r="T163" s="205" t="str">
        <f>IF(T$3="","",IF(COUNTIFS(BD!$A$3:$A$5001,T$3,BD!$B$3:$B$5001,$A$153,BD!$X$3:$X$5001,"&lt;&gt;")=0,"",SUMIFS(BD!$X$3:$X$5001,BD!$A$3:$A$5001,T$3,BD!$B$3:$B$5001,$A$153)))</f>
        <v/>
      </c>
      <c r="U163" s="205" t="str">
        <f>IF(U$3="","",IF(COUNTIFS(BD!$A$3:$A$5001,U$3,BD!$B$3:$B$5001,$A$153,BD!$X$3:$X$5001,"&lt;&gt;")=0,"",SUMIFS(BD!$X$3:$X$5001,BD!$A$3:$A$5001,U$3,BD!$B$3:$B$5001,$A$153)))</f>
        <v/>
      </c>
      <c r="V163" s="205" t="str">
        <f>IF(V$3="","",IF(COUNTIFS(BD!$A$3:$A$5001,V$3,BD!$B$3:$B$5001,$A$153,BD!$X$3:$X$5001,"&lt;&gt;")=0,"",SUMIFS(BD!$X$3:$X$5001,BD!$A$3:$A$5001,V$3,BD!$B$3:$B$5001,$A$153)))</f>
        <v/>
      </c>
      <c r="W163" s="205" t="str">
        <f>IF(W$3="","",IF(COUNTIFS(BD!$A$3:$A$5001,W$3,BD!$B$3:$B$5001,$A$153,BD!$X$3:$X$5001,"&lt;&gt;")=0,"",SUMIFS(BD!$X$3:$X$5001,BD!$A$3:$A$5001,W$3,BD!$B$3:$B$5001,$A$153)))</f>
        <v/>
      </c>
      <c r="X163" s="205" t="str">
        <f>IF(X$3="","",IF(COUNTIFS(BD!$A$3:$A$5001,X$3,BD!$B$3:$B$5001,$A$153,BD!$X$3:$X$5001,"&lt;&gt;")=0,"",SUMIFS(BD!$X$3:$X$5001,BD!$A$3:$A$5001,X$3,BD!$B$3:$B$5001,$A$153)))</f>
        <v/>
      </c>
      <c r="Y163" s="205" t="str">
        <f>IF(Y$3="","",IF(COUNTIFS(BD!$A$3:$A$5001,Y$3,BD!$B$3:$B$5001,$A$153,BD!$X$3:$X$5001,"&lt;&gt;")=0,"",SUMIFS(BD!$X$3:$X$5001,BD!$A$3:$A$5001,Y$3,BD!$B$3:$B$5001,$A$153)))</f>
        <v/>
      </c>
      <c r="Z163" s="205" t="str">
        <f>IF(Z$3="","",IF(COUNTIFS(BD!$A$3:$A$5001,Z$3,BD!$B$3:$B$5001,$A$153,BD!$X$3:$X$5001,"&lt;&gt;")=0,"",SUMIFS(BD!$X$3:$X$5001,BD!$A$3:$A$5001,Z$3,BD!$B$3:$B$5001,$A$153)))</f>
        <v/>
      </c>
      <c r="AA163" s="205" t="str">
        <f>IF(AA$3="","",IF(COUNTIFS(BD!$A$3:$A$5001,AA$3,BD!$B$3:$B$5001,$A$153,BD!$X$3:$X$5001,"&lt;&gt;")=0,"",SUMIFS(BD!$X$3:$X$5001,BD!$A$3:$A$5001,AA$3,BD!$B$3:$B$5001,$A$153)))</f>
        <v/>
      </c>
      <c r="AB163" s="205" t="str">
        <f>IF(AB$3="","",IF(COUNTIFS(BD!$A$3:$A$5001,AB$3,BD!$B$3:$B$5001,$A$153,BD!$X$3:$X$5001,"&lt;&gt;")=0,"",SUMIFS(BD!$X$3:$X$5001,BD!$A$3:$A$5001,AB$3,BD!$B$3:$B$5001,$A$153)))</f>
        <v/>
      </c>
      <c r="AC163" s="205" t="str">
        <f>IF(AC$3="","",IF(COUNTIFS(BD!$A$3:$A$5001,AC$3,BD!$B$3:$B$5001,$A$153,BD!$X$3:$X$5001,"&lt;&gt;")=0,"",SUMIFS(BD!$X$3:$X$5001,BD!$A$3:$A$5001,AC$3,BD!$B$3:$B$5001,$A$153)))</f>
        <v/>
      </c>
      <c r="AD163" s="205" t="str">
        <f>IF(AD$3="","",IF(COUNTIFS(BD!$A$3:$A$5001,AD$3,BD!$B$3:$B$5001,$A$153,BD!$X$3:$X$5001,"&lt;&gt;")=0,"",SUMIFS(BD!$X$3:$X$5001,BD!$A$3:$A$5001,AD$3,BD!$B$3:$B$5001,$A$153)))</f>
        <v/>
      </c>
      <c r="AE163" s="205" t="str">
        <f>IF(AE$3="","",IF(COUNTIFS(BD!$A$3:$A$5001,AE$3,BD!$B$3:$B$5001,$A$153,BD!$X$3:$X$5001,"&lt;&gt;")=0,"",SUMIFS(BD!$X$3:$X$5001,BD!$A$3:$A$5001,AE$3,BD!$B$3:$B$5001,$A$153)))</f>
        <v/>
      </c>
      <c r="AF163" s="205" t="str">
        <f>IF(AF$3="","",IF(COUNTIFS(BD!$A$3:$A$5001,AF$3,BD!$B$3:$B$5001,$A$153,BD!$X$3:$X$5001,"&lt;&gt;")=0,"",SUMIFS(BD!$X$3:$X$5001,BD!$A$3:$A$5001,AF$3,BD!$B$3:$B$5001,$A$153)))</f>
        <v/>
      </c>
      <c r="AG163" s="205" t="str">
        <f>IF(AG$3="","",IF(COUNTIFS(BD!$A$3:$A$5001,AG$3,BD!$B$3:$B$5001,$A$153,BD!$X$3:$X$5001,"&lt;&gt;")=0,"",SUMIFS(BD!$X$3:$X$5001,BD!$A$3:$A$5001,AG$3,BD!$B$3:$B$5001,$A$153)))</f>
        <v/>
      </c>
      <c r="AH163" s="205" t="str">
        <f>IF(AH$3="","",IF(COUNTIFS(BD!$A$3:$A$5001,AH$3,BD!$B$3:$B$5001,$A$153,BD!$X$3:$X$5001,"&lt;&gt;")=0,"",SUMIFS(BD!$X$3:$X$5001,BD!$A$3:$A$5001,AH$3,BD!$B$3:$B$5001,$A$153)))</f>
        <v/>
      </c>
      <c r="AI163" s="205" t="str">
        <f>IF(AI$3="","",IF(COUNTIFS(BD!$A$3:$A$5001,AI$3,BD!$B$3:$B$5001,$A$153,BD!$X$3:$X$5001,"&lt;&gt;")=0,"",SUMIFS(BD!$X$3:$X$5001,BD!$A$3:$A$5001,AI$3,BD!$B$3:$B$5001,$A$153)))</f>
        <v/>
      </c>
      <c r="AJ163" s="206" t="str">
        <f>IF(AJ$3="","",IF(COUNTIFS(BD!$A$3:$A$5001,AJ$3,BD!$B$3:$B$5001,$A$153,BD!$X$3:$X$5001,"&lt;&gt;")=0,"",SUMIFS(BD!$X$3:$X$5001,BD!$A$3:$A$5001,AJ$3,BD!$B$3:$B$5001,$A$153)))</f>
        <v/>
      </c>
      <c r="AK163" s="207" t="str">
        <f>IFERROR(LOOKUP(9.99E+307,F163:AJ163),"")</f>
        <v/>
      </c>
    </row>
    <row r="164" ht="15.75" customHeight="1">
      <c r="A164" s="244"/>
      <c r="B164" s="233"/>
      <c r="C164" s="162" t="inlineStr">
        <is>
          <t xml:space="preserve">Taxa de Ocupação</t>
        </is>
      </c>
      <c r="D164" s="208" t="str">
        <f>IFERROR(1/(1/INDEX(BD!$AJ$45:$BD$45,MATCH($A$153,BD!$AJ$22:$BD$22,0))),"")</f>
        <v/>
      </c>
      <c r="E164" s="164"/>
      <c r="F164" s="209" t="str">
        <f>IF(AND(ISNUMBER(F162),ISNUMBER(F163)),IF(F162&gt;0,F163/F162,""),"")</f>
        <v/>
      </c>
      <c r="G164" s="210" t="str">
        <f>IF(AND(ISNUMBER(G162),ISNUMBER(G163)),IF(G162&gt;0,G163/G162,""),"")</f>
        <v/>
      </c>
      <c r="H164" s="210" t="str">
        <f>IF(AND(ISNUMBER(H162),ISNUMBER(H163)),IF(H162&gt;0,H163/H162,""),"")</f>
        <v/>
      </c>
      <c r="I164" s="210" t="str">
        <f>IF(AND(ISNUMBER(I162),ISNUMBER(I163)),IF(I162&gt;0,I163/I162,""),"")</f>
        <v/>
      </c>
      <c r="J164" s="210" t="str">
        <f>IF(AND(ISNUMBER(J162),ISNUMBER(J163)),IF(J162&gt;0,J163/J162,""),"")</f>
        <v/>
      </c>
      <c r="K164" s="210" t="str">
        <f>IF(AND(ISNUMBER(K162),ISNUMBER(K163)),IF(K162&gt;0,K163/K162,""),"")</f>
        <v/>
      </c>
      <c r="L164" s="210" t="str">
        <f>IF(AND(ISNUMBER(L162),ISNUMBER(L163)),IF(L162&gt;0,L163/L162,""),"")</f>
        <v/>
      </c>
      <c r="M164" s="210" t="str">
        <f>IF(AND(ISNUMBER(M162),ISNUMBER(M163)),IF(M162&gt;0,M163/M162,""),"")</f>
        <v/>
      </c>
      <c r="N164" s="210" t="str">
        <f>IF(AND(ISNUMBER(N162),ISNUMBER(N163)),IF(N162&gt;0,N163/N162,""),"")</f>
        <v/>
      </c>
      <c r="O164" s="210" t="str">
        <f>IF(AND(ISNUMBER(O162),ISNUMBER(O163)),IF(O162&gt;0,O163/O162,""),"")</f>
        <v/>
      </c>
      <c r="P164" s="210" t="str">
        <f>IF(AND(ISNUMBER(P162),ISNUMBER(P163)),IF(P162&gt;0,P163/P162,""),"")</f>
        <v/>
      </c>
      <c r="Q164" s="210" t="str">
        <f>IF(AND(ISNUMBER(Q162),ISNUMBER(Q163)),IF(Q162&gt;0,Q163/Q162,""),"")</f>
        <v/>
      </c>
      <c r="R164" s="210" t="str">
        <f>IF(AND(ISNUMBER(R162),ISNUMBER(R163)),IF(R162&gt;0,R163/R162,""),"")</f>
        <v/>
      </c>
      <c r="S164" s="210" t="str">
        <f>IF(AND(ISNUMBER(S162),ISNUMBER(S163)),IF(S162&gt;0,S163/S162,""),"")</f>
        <v/>
      </c>
      <c r="T164" s="210" t="str">
        <f>IF(AND(ISNUMBER(T162),ISNUMBER(T163)),IF(T162&gt;0,T163/T162,""),"")</f>
        <v/>
      </c>
      <c r="U164" s="210" t="str">
        <f>IF(AND(ISNUMBER(U162),ISNUMBER(U163)),IF(U162&gt;0,U163/U162,""),"")</f>
        <v/>
      </c>
      <c r="V164" s="210" t="str">
        <f>IF(AND(ISNUMBER(V162),ISNUMBER(V163)),IF(V162&gt;0,V163/V162,""),"")</f>
        <v/>
      </c>
      <c r="W164" s="210" t="str">
        <f>IF(AND(ISNUMBER(W162),ISNUMBER(W163)),IF(W162&gt;0,W163/W162,""),"")</f>
        <v/>
      </c>
      <c r="X164" s="210" t="str">
        <f>IF(AND(ISNUMBER(X162),ISNUMBER(X163)),IF(X162&gt;0,X163/X162,""),"")</f>
        <v/>
      </c>
      <c r="Y164" s="210" t="str">
        <f>IF(AND(ISNUMBER(Y162),ISNUMBER(Y163)),IF(Y162&gt;0,Y163/Y162,""),"")</f>
        <v/>
      </c>
      <c r="Z164" s="210" t="str">
        <f>IF(AND(ISNUMBER(Z162),ISNUMBER(Z163)),IF(Z162&gt;0,Z163/Z162,""),"")</f>
        <v/>
      </c>
      <c r="AA164" s="210" t="str">
        <f>IF(AND(ISNUMBER(AA162),ISNUMBER(AA163)),IF(AA162&gt;0,AA163/AA162,""),"")</f>
        <v/>
      </c>
      <c r="AB164" s="210" t="str">
        <f>IF(AND(ISNUMBER(AB162),ISNUMBER(AB163)),IF(AB162&gt;0,AB163/AB162,""),"")</f>
        <v/>
      </c>
      <c r="AC164" s="210" t="str">
        <f>IF(AND(ISNUMBER(AC162),ISNUMBER(AC163)),IF(AC162&gt;0,AC163/AC162,""),"")</f>
        <v/>
      </c>
      <c r="AD164" s="210" t="str">
        <f>IF(AND(ISNUMBER(AD162),ISNUMBER(AD163)),IF(AD162&gt;0,AD163/AD162,""),"")</f>
        <v/>
      </c>
      <c r="AE164" s="210" t="str">
        <f>IF(AND(ISNUMBER(AE162),ISNUMBER(AE163)),IF(AE162&gt;0,AE163/AE162,""),"")</f>
        <v/>
      </c>
      <c r="AF164" s="210" t="str">
        <f>IF(AND(ISNUMBER(AF162),ISNUMBER(AF163)),IF(AF162&gt;0,AF163/AF162,""),"")</f>
        <v/>
      </c>
      <c r="AG164" s="210" t="str">
        <f>IF(AND(ISNUMBER(AG162),ISNUMBER(AG163)),IF(AG162&gt;0,AG163/AG162,""),"")</f>
        <v/>
      </c>
      <c r="AH164" s="210" t="str">
        <f>IF(AND(ISNUMBER(AH162),ISNUMBER(AH163)),IF(AH162&gt;0,AH163/AH162,""),"")</f>
        <v/>
      </c>
      <c r="AI164" s="210" t="str">
        <f>IF(AND(ISNUMBER(AI162),ISNUMBER(AI163)),IF(AI162&gt;0,AI163/AI162,""),"")</f>
        <v/>
      </c>
      <c r="AJ164" s="211" t="str">
        <f>IF(AND(ISNUMBER(AJ162),ISNUMBER(AJ163)),IF(AJ162&gt;0,AJ163/AJ162,""),"")</f>
        <v/>
      </c>
      <c r="AK164" s="208" t="str">
        <f>IF(AND(ISNUMBER(AK162),ISNUMBER(AK163)),IF(AK162&gt;0,AK163/AK162,""),"")</f>
        <v/>
      </c>
    </row>
    <row r="165" ht="15.75" customHeight="1">
      <c r="A165" s="244"/>
      <c r="B165" s="240" t="inlineStr">
        <is>
          <t xml:space="preserve">GENTE</t>
        </is>
      </c>
      <c r="C165" s="212" t="inlineStr">
        <is>
          <t xml:space="preserve">Efetivo Op.</t>
        </is>
      </c>
      <c r="D165" s="213" t="str">
        <f>IFERROR(1/(1/INDEX(BD!$AJ$46:$BD$46,MATCH($A$153,BD!$AJ$22:$BD$22,0))),"")</f>
        <v/>
      </c>
      <c r="E165" s="214"/>
      <c r="F165" s="215" t="str">
        <f>IF(F$3="","",IF(COUNTIFS(BD!$A$3:$A$5001,F$3,BD!$B$3:$B$5001,$A$153,BD!$Y$3:$Y$5001,"&lt;&gt;")=0,"",SUMIFS(BD!$Y$3:$Y$5001,BD!$A$3:$A$5001,F$3,BD!$B$3:$B$5001,$A$153)))</f>
        <v/>
      </c>
      <c r="G165" s="216" t="str">
        <f>IF(G$3="","",IF(COUNTIFS(BD!$A$3:$A$5001,G$3,BD!$B$3:$B$5001,$A$153,BD!$Y$3:$Y$5001,"&lt;&gt;")=0,"",SUMIFS(BD!$Y$3:$Y$5001,BD!$A$3:$A$5001,G$3,BD!$B$3:$B$5001,$A$153)))</f>
        <v/>
      </c>
      <c r="H165" s="216" t="str">
        <f>IF(H$3="","",IF(COUNTIFS(BD!$A$3:$A$5001,H$3,BD!$B$3:$B$5001,$A$153,BD!$Y$3:$Y$5001,"&lt;&gt;")=0,"",SUMIFS(BD!$Y$3:$Y$5001,BD!$A$3:$A$5001,H$3,BD!$B$3:$B$5001,$A$153)))</f>
        <v/>
      </c>
      <c r="I165" s="216" t="str">
        <f>IF(I$3="","",IF(COUNTIFS(BD!$A$3:$A$5001,I$3,BD!$B$3:$B$5001,$A$153,BD!$Y$3:$Y$5001,"&lt;&gt;")=0,"",SUMIFS(BD!$Y$3:$Y$5001,BD!$A$3:$A$5001,I$3,BD!$B$3:$B$5001,$A$153)))</f>
        <v/>
      </c>
      <c r="J165" s="216" t="str">
        <f>IF(J$3="","",IF(COUNTIFS(BD!$A$3:$A$5001,J$3,BD!$B$3:$B$5001,$A$153,BD!$Y$3:$Y$5001,"&lt;&gt;")=0,"",SUMIFS(BD!$Y$3:$Y$5001,BD!$A$3:$A$5001,J$3,BD!$B$3:$B$5001,$A$153)))</f>
        <v/>
      </c>
      <c r="K165" s="216" t="str">
        <f>IF(K$3="","",IF(COUNTIFS(BD!$A$3:$A$5001,K$3,BD!$B$3:$B$5001,$A$153,BD!$Y$3:$Y$5001,"&lt;&gt;")=0,"",SUMIFS(BD!$Y$3:$Y$5001,BD!$A$3:$A$5001,K$3,BD!$B$3:$B$5001,$A$153)))</f>
        <v/>
      </c>
      <c r="L165" s="216" t="str">
        <f>IF(L$3="","",IF(COUNTIFS(BD!$A$3:$A$5001,L$3,BD!$B$3:$B$5001,$A$153,BD!$Y$3:$Y$5001,"&lt;&gt;")=0,"",SUMIFS(BD!$Y$3:$Y$5001,BD!$A$3:$A$5001,L$3,BD!$B$3:$B$5001,$A$153)))</f>
        <v/>
      </c>
      <c r="M165" s="216" t="str">
        <f>IF(M$3="","",IF(COUNTIFS(BD!$A$3:$A$5001,M$3,BD!$B$3:$B$5001,$A$153,BD!$Y$3:$Y$5001,"&lt;&gt;")=0,"",SUMIFS(BD!$Y$3:$Y$5001,BD!$A$3:$A$5001,M$3,BD!$B$3:$B$5001,$A$153)))</f>
        <v/>
      </c>
      <c r="N165" s="216" t="str">
        <f>IF(N$3="","",IF(COUNTIFS(BD!$A$3:$A$5001,N$3,BD!$B$3:$B$5001,$A$153,BD!$Y$3:$Y$5001,"&lt;&gt;")=0,"",SUMIFS(BD!$Y$3:$Y$5001,BD!$A$3:$A$5001,N$3,BD!$B$3:$B$5001,$A$153)))</f>
        <v/>
      </c>
      <c r="O165" s="216" t="str">
        <f>IF(O$3="","",IF(COUNTIFS(BD!$A$3:$A$5001,O$3,BD!$B$3:$B$5001,$A$153,BD!$Y$3:$Y$5001,"&lt;&gt;")=0,"",SUMIFS(BD!$Y$3:$Y$5001,BD!$A$3:$A$5001,O$3,BD!$B$3:$B$5001,$A$153)))</f>
        <v/>
      </c>
      <c r="P165" s="216" t="str">
        <f>IF(P$3="","",IF(COUNTIFS(BD!$A$3:$A$5001,P$3,BD!$B$3:$B$5001,$A$153,BD!$Y$3:$Y$5001,"&lt;&gt;")=0,"",SUMIFS(BD!$Y$3:$Y$5001,BD!$A$3:$A$5001,P$3,BD!$B$3:$B$5001,$A$153)))</f>
        <v/>
      </c>
      <c r="Q165" s="216" t="str">
        <f>IF(Q$3="","",IF(COUNTIFS(BD!$A$3:$A$5001,Q$3,BD!$B$3:$B$5001,$A$153,BD!$Y$3:$Y$5001,"&lt;&gt;")=0,"",SUMIFS(BD!$Y$3:$Y$5001,BD!$A$3:$A$5001,Q$3,BD!$B$3:$B$5001,$A$153)))</f>
        <v/>
      </c>
      <c r="R165" s="216" t="str">
        <f>IF(R$3="","",IF(COUNTIFS(BD!$A$3:$A$5001,R$3,BD!$B$3:$B$5001,$A$153,BD!$Y$3:$Y$5001,"&lt;&gt;")=0,"",SUMIFS(BD!$Y$3:$Y$5001,BD!$A$3:$A$5001,R$3,BD!$B$3:$B$5001,$A$153)))</f>
        <v/>
      </c>
      <c r="S165" s="216" t="str">
        <f>IF(S$3="","",IF(COUNTIFS(BD!$A$3:$A$5001,S$3,BD!$B$3:$B$5001,$A$153,BD!$Y$3:$Y$5001,"&lt;&gt;")=0,"",SUMIFS(BD!$Y$3:$Y$5001,BD!$A$3:$A$5001,S$3,BD!$B$3:$B$5001,$A$153)))</f>
        <v/>
      </c>
      <c r="T165" s="216" t="str">
        <f>IF(T$3="","",IF(COUNTIFS(BD!$A$3:$A$5001,T$3,BD!$B$3:$B$5001,$A$153,BD!$Y$3:$Y$5001,"&lt;&gt;")=0,"",SUMIFS(BD!$Y$3:$Y$5001,BD!$A$3:$A$5001,T$3,BD!$B$3:$B$5001,$A$153)))</f>
        <v/>
      </c>
      <c r="U165" s="216" t="str">
        <f>IF(U$3="","",IF(COUNTIFS(BD!$A$3:$A$5001,U$3,BD!$B$3:$B$5001,$A$153,BD!$Y$3:$Y$5001,"&lt;&gt;")=0,"",SUMIFS(BD!$Y$3:$Y$5001,BD!$A$3:$A$5001,U$3,BD!$B$3:$B$5001,$A$153)))</f>
        <v/>
      </c>
      <c r="V165" s="216" t="str">
        <f>IF(V$3="","",IF(COUNTIFS(BD!$A$3:$A$5001,V$3,BD!$B$3:$B$5001,$A$153,BD!$Y$3:$Y$5001,"&lt;&gt;")=0,"",SUMIFS(BD!$Y$3:$Y$5001,BD!$A$3:$A$5001,V$3,BD!$B$3:$B$5001,$A$153)))</f>
        <v/>
      </c>
      <c r="W165" s="216" t="str">
        <f>IF(W$3="","",IF(COUNTIFS(BD!$A$3:$A$5001,W$3,BD!$B$3:$B$5001,$A$153,BD!$Y$3:$Y$5001,"&lt;&gt;")=0,"",SUMIFS(BD!$Y$3:$Y$5001,BD!$A$3:$A$5001,W$3,BD!$B$3:$B$5001,$A$153)))</f>
        <v/>
      </c>
      <c r="X165" s="216" t="str">
        <f>IF(X$3="","",IF(COUNTIFS(BD!$A$3:$A$5001,X$3,BD!$B$3:$B$5001,$A$153,BD!$Y$3:$Y$5001,"&lt;&gt;")=0,"",SUMIFS(BD!$Y$3:$Y$5001,BD!$A$3:$A$5001,X$3,BD!$B$3:$B$5001,$A$153)))</f>
        <v/>
      </c>
      <c r="Y165" s="216" t="str">
        <f>IF(Y$3="","",IF(COUNTIFS(BD!$A$3:$A$5001,Y$3,BD!$B$3:$B$5001,$A$153,BD!$Y$3:$Y$5001,"&lt;&gt;")=0,"",SUMIFS(BD!$Y$3:$Y$5001,BD!$A$3:$A$5001,Y$3,BD!$B$3:$B$5001,$A$153)))</f>
        <v/>
      </c>
      <c r="Z165" s="216" t="str">
        <f>IF(Z$3="","",IF(COUNTIFS(BD!$A$3:$A$5001,Z$3,BD!$B$3:$B$5001,$A$153,BD!$Y$3:$Y$5001,"&lt;&gt;")=0,"",SUMIFS(BD!$Y$3:$Y$5001,BD!$A$3:$A$5001,Z$3,BD!$B$3:$B$5001,$A$153)))</f>
        <v/>
      </c>
      <c r="AA165" s="216" t="str">
        <f>IF(AA$3="","",IF(COUNTIFS(BD!$A$3:$A$5001,AA$3,BD!$B$3:$B$5001,$A$153,BD!$Y$3:$Y$5001,"&lt;&gt;")=0,"",SUMIFS(BD!$Y$3:$Y$5001,BD!$A$3:$A$5001,AA$3,BD!$B$3:$B$5001,$A$153)))</f>
        <v/>
      </c>
      <c r="AB165" s="216" t="str">
        <f>IF(AB$3="","",IF(COUNTIFS(BD!$A$3:$A$5001,AB$3,BD!$B$3:$B$5001,$A$153,BD!$Y$3:$Y$5001,"&lt;&gt;")=0,"",SUMIFS(BD!$Y$3:$Y$5001,BD!$A$3:$A$5001,AB$3,BD!$B$3:$B$5001,$A$153)))</f>
        <v/>
      </c>
      <c r="AC165" s="216" t="str">
        <f>IF(AC$3="","",IF(COUNTIFS(BD!$A$3:$A$5001,AC$3,BD!$B$3:$B$5001,$A$153,BD!$Y$3:$Y$5001,"&lt;&gt;")=0,"",SUMIFS(BD!$Y$3:$Y$5001,BD!$A$3:$A$5001,AC$3,BD!$B$3:$B$5001,$A$153)))</f>
        <v/>
      </c>
      <c r="AD165" s="216" t="str">
        <f>IF(AD$3="","",IF(COUNTIFS(BD!$A$3:$A$5001,AD$3,BD!$B$3:$B$5001,$A$153,BD!$Y$3:$Y$5001,"&lt;&gt;")=0,"",SUMIFS(BD!$Y$3:$Y$5001,BD!$A$3:$A$5001,AD$3,BD!$B$3:$B$5001,$A$153)))</f>
        <v/>
      </c>
      <c r="AE165" s="216" t="str">
        <f>IF(AE$3="","",IF(COUNTIFS(BD!$A$3:$A$5001,AE$3,BD!$B$3:$B$5001,$A$153,BD!$Y$3:$Y$5001,"&lt;&gt;")=0,"",SUMIFS(BD!$Y$3:$Y$5001,BD!$A$3:$A$5001,AE$3,BD!$B$3:$B$5001,$A$153)))</f>
        <v/>
      </c>
      <c r="AF165" s="216" t="str">
        <f>IF(AF$3="","",IF(COUNTIFS(BD!$A$3:$A$5001,AF$3,BD!$B$3:$B$5001,$A$153,BD!$Y$3:$Y$5001,"&lt;&gt;")=0,"",SUMIFS(BD!$Y$3:$Y$5001,BD!$A$3:$A$5001,AF$3,BD!$B$3:$B$5001,$A$153)))</f>
        <v/>
      </c>
      <c r="AG165" s="216" t="str">
        <f>IF(AG$3="","",IF(COUNTIFS(BD!$A$3:$A$5001,AG$3,BD!$B$3:$B$5001,$A$153,BD!$Y$3:$Y$5001,"&lt;&gt;")=0,"",SUMIFS(BD!$Y$3:$Y$5001,BD!$A$3:$A$5001,AG$3,BD!$B$3:$B$5001,$A$153)))</f>
        <v/>
      </c>
      <c r="AH165" s="216" t="str">
        <f>IF(AH$3="","",IF(COUNTIFS(BD!$A$3:$A$5001,AH$3,BD!$B$3:$B$5001,$A$153,BD!$Y$3:$Y$5001,"&lt;&gt;")=0,"",SUMIFS(BD!$Y$3:$Y$5001,BD!$A$3:$A$5001,AH$3,BD!$B$3:$B$5001,$A$153)))</f>
        <v/>
      </c>
      <c r="AI165" s="216" t="str">
        <f>IF(AI$3="","",IF(COUNTIFS(BD!$A$3:$A$5001,AI$3,BD!$B$3:$B$5001,$A$153,BD!$Y$3:$Y$5001,"&lt;&gt;")=0,"",SUMIFS(BD!$Y$3:$Y$5001,BD!$A$3:$A$5001,AI$3,BD!$B$3:$B$5001,$A$153)))</f>
        <v/>
      </c>
      <c r="AJ165" s="217" t="str">
        <f>IF(AJ$3="","",IF(COUNTIFS(BD!$A$3:$A$5001,AJ$3,BD!$B$3:$B$5001,$A$153,BD!$Y$3:$Y$5001,"&lt;&gt;")=0,"",SUMIFS(BD!$Y$3:$Y$5001,BD!$A$3:$A$5001,AJ$3,BD!$B$3:$B$5001,$A$153)))</f>
        <v/>
      </c>
      <c r="AK165" s="218" t="str">
        <f>IFERROR(LOOKUP(9.99E+307,F165:AJ165),"")</f>
        <v/>
      </c>
    </row>
    <row r="166" ht="15.75" customHeight="1">
      <c r="A166" s="244"/>
      <c r="B166" s="241"/>
      <c r="C166" s="219" t="inlineStr">
        <is>
          <t xml:space="preserve">Falta</t>
        </is>
      </c>
      <c r="D166" s="220" t="str">
        <f>IFERROR(1/(1/INDEX(BD!$AJ$47:$BD$47,MATCH($A$153,BD!$AJ$22:$BD$22,0))),"")</f>
        <v/>
      </c>
      <c r="E166" s="221"/>
      <c r="F166" s="222" t="str">
        <f>IF(F$3="","",IF(COUNTIFS(BD!$A$3:$A$5001,F$3,BD!$B$3:$B$5001,$A$153,BD!$Z$3:$Z$5001,"&lt;&gt;")=0,"",SUMIFS(BD!$Z$3:$Z$5001,BD!$A$3:$A$5001,F$3,BD!$B$3:$B$5001,$A$153)))</f>
        <v/>
      </c>
      <c r="G166" s="223" t="str">
        <f>IF(G$3="","",IF(COUNTIFS(BD!$A$3:$A$5001,G$3,BD!$B$3:$B$5001,$A$153,BD!$Z$3:$Z$5001,"&lt;&gt;")=0,"",SUMIFS(BD!$Z$3:$Z$5001,BD!$A$3:$A$5001,G$3,BD!$B$3:$B$5001,$A$153)))</f>
        <v/>
      </c>
      <c r="H166" s="223" t="str">
        <f>IF(H$3="","",IF(COUNTIFS(BD!$A$3:$A$5001,H$3,BD!$B$3:$B$5001,$A$153,BD!$Z$3:$Z$5001,"&lt;&gt;")=0,"",SUMIFS(BD!$Z$3:$Z$5001,BD!$A$3:$A$5001,H$3,BD!$B$3:$B$5001,$A$153)))</f>
        <v/>
      </c>
      <c r="I166" s="223" t="str">
        <f>IF(I$3="","",IF(COUNTIFS(BD!$A$3:$A$5001,I$3,BD!$B$3:$B$5001,$A$153,BD!$Z$3:$Z$5001,"&lt;&gt;")=0,"",SUMIFS(BD!$Z$3:$Z$5001,BD!$A$3:$A$5001,I$3,BD!$B$3:$B$5001,$A$153)))</f>
        <v/>
      </c>
      <c r="J166" s="223" t="str">
        <f>IF(J$3="","",IF(COUNTIFS(BD!$A$3:$A$5001,J$3,BD!$B$3:$B$5001,$A$153,BD!$Z$3:$Z$5001,"&lt;&gt;")=0,"",SUMIFS(BD!$Z$3:$Z$5001,BD!$A$3:$A$5001,J$3,BD!$B$3:$B$5001,$A$153)))</f>
        <v/>
      </c>
      <c r="K166" s="223" t="str">
        <f>IF(K$3="","",IF(COUNTIFS(BD!$A$3:$A$5001,K$3,BD!$B$3:$B$5001,$A$153,BD!$Z$3:$Z$5001,"&lt;&gt;")=0,"",SUMIFS(BD!$Z$3:$Z$5001,BD!$A$3:$A$5001,K$3,BD!$B$3:$B$5001,$A$153)))</f>
        <v/>
      </c>
      <c r="L166" s="223" t="str">
        <f>IF(L$3="","",IF(COUNTIFS(BD!$A$3:$A$5001,L$3,BD!$B$3:$B$5001,$A$153,BD!$Z$3:$Z$5001,"&lt;&gt;")=0,"",SUMIFS(BD!$Z$3:$Z$5001,BD!$A$3:$A$5001,L$3,BD!$B$3:$B$5001,$A$153)))</f>
        <v/>
      </c>
      <c r="M166" s="223" t="str">
        <f>IF(M$3="","",IF(COUNTIFS(BD!$A$3:$A$5001,M$3,BD!$B$3:$B$5001,$A$153,BD!$Z$3:$Z$5001,"&lt;&gt;")=0,"",SUMIFS(BD!$Z$3:$Z$5001,BD!$A$3:$A$5001,M$3,BD!$B$3:$B$5001,$A$153)))</f>
        <v/>
      </c>
      <c r="N166" s="223" t="str">
        <f>IF(N$3="","",IF(COUNTIFS(BD!$A$3:$A$5001,N$3,BD!$B$3:$B$5001,$A$153,BD!$Z$3:$Z$5001,"&lt;&gt;")=0,"",SUMIFS(BD!$Z$3:$Z$5001,BD!$A$3:$A$5001,N$3,BD!$B$3:$B$5001,$A$153)))</f>
        <v/>
      </c>
      <c r="O166" s="223" t="str">
        <f>IF(O$3="","",IF(COUNTIFS(BD!$A$3:$A$5001,O$3,BD!$B$3:$B$5001,$A$153,BD!$Z$3:$Z$5001,"&lt;&gt;")=0,"",SUMIFS(BD!$Z$3:$Z$5001,BD!$A$3:$A$5001,O$3,BD!$B$3:$B$5001,$A$153)))</f>
        <v/>
      </c>
      <c r="P166" s="223" t="str">
        <f>IF(P$3="","",IF(COUNTIFS(BD!$A$3:$A$5001,P$3,BD!$B$3:$B$5001,$A$153,BD!$Z$3:$Z$5001,"&lt;&gt;")=0,"",SUMIFS(BD!$Z$3:$Z$5001,BD!$A$3:$A$5001,P$3,BD!$B$3:$B$5001,$A$153)))</f>
        <v/>
      </c>
      <c r="Q166" s="223" t="str">
        <f>IF(Q$3="","",IF(COUNTIFS(BD!$A$3:$A$5001,Q$3,BD!$B$3:$B$5001,$A$153,BD!$Z$3:$Z$5001,"&lt;&gt;")=0,"",SUMIFS(BD!$Z$3:$Z$5001,BD!$A$3:$A$5001,Q$3,BD!$B$3:$B$5001,$A$153)))</f>
        <v/>
      </c>
      <c r="R166" s="223" t="str">
        <f>IF(R$3="","",IF(COUNTIFS(BD!$A$3:$A$5001,R$3,BD!$B$3:$B$5001,$A$153,BD!$Z$3:$Z$5001,"&lt;&gt;")=0,"",SUMIFS(BD!$Z$3:$Z$5001,BD!$A$3:$A$5001,R$3,BD!$B$3:$B$5001,$A$153)))</f>
        <v/>
      </c>
      <c r="S166" s="223" t="str">
        <f>IF(S$3="","",IF(COUNTIFS(BD!$A$3:$A$5001,S$3,BD!$B$3:$B$5001,$A$153,BD!$Z$3:$Z$5001,"&lt;&gt;")=0,"",SUMIFS(BD!$Z$3:$Z$5001,BD!$A$3:$A$5001,S$3,BD!$B$3:$B$5001,$A$153)))</f>
        <v/>
      </c>
      <c r="T166" s="223" t="str">
        <f>IF(T$3="","",IF(COUNTIFS(BD!$A$3:$A$5001,T$3,BD!$B$3:$B$5001,$A$153,BD!$Z$3:$Z$5001,"&lt;&gt;")=0,"",SUMIFS(BD!$Z$3:$Z$5001,BD!$A$3:$A$5001,T$3,BD!$B$3:$B$5001,$A$153)))</f>
        <v/>
      </c>
      <c r="U166" s="223" t="str">
        <f>IF(U$3="","",IF(COUNTIFS(BD!$A$3:$A$5001,U$3,BD!$B$3:$B$5001,$A$153,BD!$Z$3:$Z$5001,"&lt;&gt;")=0,"",SUMIFS(BD!$Z$3:$Z$5001,BD!$A$3:$A$5001,U$3,BD!$B$3:$B$5001,$A$153)))</f>
        <v/>
      </c>
      <c r="V166" s="223" t="str">
        <f>IF(V$3="","",IF(COUNTIFS(BD!$A$3:$A$5001,V$3,BD!$B$3:$B$5001,$A$153,BD!$Z$3:$Z$5001,"&lt;&gt;")=0,"",SUMIFS(BD!$Z$3:$Z$5001,BD!$A$3:$A$5001,V$3,BD!$B$3:$B$5001,$A$153)))</f>
        <v/>
      </c>
      <c r="W166" s="223" t="str">
        <f>IF(W$3="","",IF(COUNTIFS(BD!$A$3:$A$5001,W$3,BD!$B$3:$B$5001,$A$153,BD!$Z$3:$Z$5001,"&lt;&gt;")=0,"",SUMIFS(BD!$Z$3:$Z$5001,BD!$A$3:$A$5001,W$3,BD!$B$3:$B$5001,$A$153)))</f>
        <v/>
      </c>
      <c r="X166" s="223" t="str">
        <f>IF(X$3="","",IF(COUNTIFS(BD!$A$3:$A$5001,X$3,BD!$B$3:$B$5001,$A$153,BD!$Z$3:$Z$5001,"&lt;&gt;")=0,"",SUMIFS(BD!$Z$3:$Z$5001,BD!$A$3:$A$5001,X$3,BD!$B$3:$B$5001,$A$153)))</f>
        <v/>
      </c>
      <c r="Y166" s="223" t="str">
        <f>IF(Y$3="","",IF(COUNTIFS(BD!$A$3:$A$5001,Y$3,BD!$B$3:$B$5001,$A$153,BD!$Z$3:$Z$5001,"&lt;&gt;")=0,"",SUMIFS(BD!$Z$3:$Z$5001,BD!$A$3:$A$5001,Y$3,BD!$B$3:$B$5001,$A$153)))</f>
        <v/>
      </c>
      <c r="Z166" s="223" t="str">
        <f>IF(Z$3="","",IF(COUNTIFS(BD!$A$3:$A$5001,Z$3,BD!$B$3:$B$5001,$A$153,BD!$Z$3:$Z$5001,"&lt;&gt;")=0,"",SUMIFS(BD!$Z$3:$Z$5001,BD!$A$3:$A$5001,Z$3,BD!$B$3:$B$5001,$A$153)))</f>
        <v/>
      </c>
      <c r="AA166" s="223" t="str">
        <f>IF(AA$3="","",IF(COUNTIFS(BD!$A$3:$A$5001,AA$3,BD!$B$3:$B$5001,$A$153,BD!$Z$3:$Z$5001,"&lt;&gt;")=0,"",SUMIFS(BD!$Z$3:$Z$5001,BD!$A$3:$A$5001,AA$3,BD!$B$3:$B$5001,$A$153)))</f>
        <v/>
      </c>
      <c r="AB166" s="223" t="str">
        <f>IF(AB$3="","",IF(COUNTIFS(BD!$A$3:$A$5001,AB$3,BD!$B$3:$B$5001,$A$153,BD!$Z$3:$Z$5001,"&lt;&gt;")=0,"",SUMIFS(BD!$Z$3:$Z$5001,BD!$A$3:$A$5001,AB$3,BD!$B$3:$B$5001,$A$153)))</f>
        <v/>
      </c>
      <c r="AC166" s="223" t="str">
        <f>IF(AC$3="","",IF(COUNTIFS(BD!$A$3:$A$5001,AC$3,BD!$B$3:$B$5001,$A$153,BD!$Z$3:$Z$5001,"&lt;&gt;")=0,"",SUMIFS(BD!$Z$3:$Z$5001,BD!$A$3:$A$5001,AC$3,BD!$B$3:$B$5001,$A$153)))</f>
        <v/>
      </c>
      <c r="AD166" s="223" t="str">
        <f>IF(AD$3="","",IF(COUNTIFS(BD!$A$3:$A$5001,AD$3,BD!$B$3:$B$5001,$A$153,BD!$Z$3:$Z$5001,"&lt;&gt;")=0,"",SUMIFS(BD!$Z$3:$Z$5001,BD!$A$3:$A$5001,AD$3,BD!$B$3:$B$5001,$A$153)))</f>
        <v/>
      </c>
      <c r="AE166" s="223" t="str">
        <f>IF(AE$3="","",IF(COUNTIFS(BD!$A$3:$A$5001,AE$3,BD!$B$3:$B$5001,$A$153,BD!$Z$3:$Z$5001,"&lt;&gt;")=0,"",SUMIFS(BD!$Z$3:$Z$5001,BD!$A$3:$A$5001,AE$3,BD!$B$3:$B$5001,$A$153)))</f>
        <v/>
      </c>
      <c r="AF166" s="223" t="str">
        <f>IF(AF$3="","",IF(COUNTIFS(BD!$A$3:$A$5001,AF$3,BD!$B$3:$B$5001,$A$153,BD!$Z$3:$Z$5001,"&lt;&gt;")=0,"",SUMIFS(BD!$Z$3:$Z$5001,BD!$A$3:$A$5001,AF$3,BD!$B$3:$B$5001,$A$153)))</f>
        <v/>
      </c>
      <c r="AG166" s="223" t="str">
        <f>IF(AG$3="","",IF(COUNTIFS(BD!$A$3:$A$5001,AG$3,BD!$B$3:$B$5001,$A$153,BD!$Z$3:$Z$5001,"&lt;&gt;")=0,"",SUMIFS(BD!$Z$3:$Z$5001,BD!$A$3:$A$5001,AG$3,BD!$B$3:$B$5001,$A$153)))</f>
        <v/>
      </c>
      <c r="AH166" s="223" t="str">
        <f>IF(AH$3="","",IF(COUNTIFS(BD!$A$3:$A$5001,AH$3,BD!$B$3:$B$5001,$A$153,BD!$Z$3:$Z$5001,"&lt;&gt;")=0,"",SUMIFS(BD!$Z$3:$Z$5001,BD!$A$3:$A$5001,AH$3,BD!$B$3:$B$5001,$A$153)))</f>
        <v/>
      </c>
      <c r="AI166" s="223" t="str">
        <f>IF(AI$3="","",IF(COUNTIFS(BD!$A$3:$A$5001,AI$3,BD!$B$3:$B$5001,$A$153,BD!$Z$3:$Z$5001,"&lt;&gt;")=0,"",SUMIFS(BD!$Z$3:$Z$5001,BD!$A$3:$A$5001,AI$3,BD!$B$3:$B$5001,$A$153)))</f>
        <v/>
      </c>
      <c r="AJ166" s="224" t="str">
        <f>IF(AJ$3="","",IF(COUNTIFS(BD!$A$3:$A$5001,AJ$3,BD!$B$3:$B$5001,$A$153,BD!$Z$3:$Z$5001,"&lt;&gt;")=0,"",SUMIFS(BD!$Z$3:$Z$5001,BD!$A$3:$A$5001,AJ$3,BD!$B$3:$B$5001,$A$153)))</f>
        <v/>
      </c>
      <c r="AK166" s="225" t="str">
        <f>IF(COUNT(F166:AJ166)=0,"",SUM(F166:AJ166))</f>
        <v/>
      </c>
    </row>
    <row r="167" ht="15.75" customHeight="1">
      <c r="A167" s="244"/>
      <c r="B167" s="241"/>
      <c r="C167" s="219" t="inlineStr">
        <is>
          <t xml:space="preserve">Folga</t>
        </is>
      </c>
      <c r="D167" s="220" t="str">
        <f>IFERROR(1/(1/INDEX(BD!$AJ$48:$BD$48,MATCH($A$153,BD!$AJ$22:$BD$22,0))),"")</f>
        <v/>
      </c>
      <c r="E167" s="221"/>
      <c r="F167" s="222" t="str">
        <f>IF(F$3="","",IF(COUNTIFS(BD!$A$3:$A$5001,F$3,BD!$B$3:$B$5001,$A$153,BD!$AA$3:$AA$5001,"&lt;&gt;")=0,"",SUMIFS(BD!$AA$3:$AA$5001,BD!$A$3:$A$5001,F$3,BD!$B$3:$B$5001,$A$153)))</f>
        <v/>
      </c>
      <c r="G167" s="223" t="str">
        <f>IF(G$3="","",IF(COUNTIFS(BD!$A$3:$A$5001,G$3,BD!$B$3:$B$5001,$A$153,BD!$AA$3:$AA$5001,"&lt;&gt;")=0,"",SUMIFS(BD!$AA$3:$AA$5001,BD!$A$3:$A$5001,G$3,BD!$B$3:$B$5001,$A$153)))</f>
        <v/>
      </c>
      <c r="H167" s="223" t="str">
        <f>IF(H$3="","",IF(COUNTIFS(BD!$A$3:$A$5001,H$3,BD!$B$3:$B$5001,$A$153,BD!$AA$3:$AA$5001,"&lt;&gt;")=0,"",SUMIFS(BD!$AA$3:$AA$5001,BD!$A$3:$A$5001,H$3,BD!$B$3:$B$5001,$A$153)))</f>
        <v/>
      </c>
      <c r="I167" s="223" t="str">
        <f>IF(I$3="","",IF(COUNTIFS(BD!$A$3:$A$5001,I$3,BD!$B$3:$B$5001,$A$153,BD!$AA$3:$AA$5001,"&lt;&gt;")=0,"",SUMIFS(BD!$AA$3:$AA$5001,BD!$A$3:$A$5001,I$3,BD!$B$3:$B$5001,$A$153)))</f>
        <v/>
      </c>
      <c r="J167" s="223" t="str">
        <f>IF(J$3="","",IF(COUNTIFS(BD!$A$3:$A$5001,J$3,BD!$B$3:$B$5001,$A$153,BD!$AA$3:$AA$5001,"&lt;&gt;")=0,"",SUMIFS(BD!$AA$3:$AA$5001,BD!$A$3:$A$5001,J$3,BD!$B$3:$B$5001,$A$153)))</f>
        <v/>
      </c>
      <c r="K167" s="223" t="str">
        <f>IF(K$3="","",IF(COUNTIFS(BD!$A$3:$A$5001,K$3,BD!$B$3:$B$5001,$A$153,BD!$AA$3:$AA$5001,"&lt;&gt;")=0,"",SUMIFS(BD!$AA$3:$AA$5001,BD!$A$3:$A$5001,K$3,BD!$B$3:$B$5001,$A$153)))</f>
        <v/>
      </c>
      <c r="L167" s="223" t="str">
        <f>IF(L$3="","",IF(COUNTIFS(BD!$A$3:$A$5001,L$3,BD!$B$3:$B$5001,$A$153,BD!$AA$3:$AA$5001,"&lt;&gt;")=0,"",SUMIFS(BD!$AA$3:$AA$5001,BD!$A$3:$A$5001,L$3,BD!$B$3:$B$5001,$A$153)))</f>
        <v/>
      </c>
      <c r="M167" s="223" t="str">
        <f>IF(M$3="","",IF(COUNTIFS(BD!$A$3:$A$5001,M$3,BD!$B$3:$B$5001,$A$153,BD!$AA$3:$AA$5001,"&lt;&gt;")=0,"",SUMIFS(BD!$AA$3:$AA$5001,BD!$A$3:$A$5001,M$3,BD!$B$3:$B$5001,$A$153)))</f>
        <v/>
      </c>
      <c r="N167" s="223" t="str">
        <f>IF(N$3="","",IF(COUNTIFS(BD!$A$3:$A$5001,N$3,BD!$B$3:$B$5001,$A$153,BD!$AA$3:$AA$5001,"&lt;&gt;")=0,"",SUMIFS(BD!$AA$3:$AA$5001,BD!$A$3:$A$5001,N$3,BD!$B$3:$B$5001,$A$153)))</f>
        <v/>
      </c>
      <c r="O167" s="223" t="str">
        <f>IF(O$3="","",IF(COUNTIFS(BD!$A$3:$A$5001,O$3,BD!$B$3:$B$5001,$A$153,BD!$AA$3:$AA$5001,"&lt;&gt;")=0,"",SUMIFS(BD!$AA$3:$AA$5001,BD!$A$3:$A$5001,O$3,BD!$B$3:$B$5001,$A$153)))</f>
        <v/>
      </c>
      <c r="P167" s="223" t="str">
        <f>IF(P$3="","",IF(COUNTIFS(BD!$A$3:$A$5001,P$3,BD!$B$3:$B$5001,$A$153,BD!$AA$3:$AA$5001,"&lt;&gt;")=0,"",SUMIFS(BD!$AA$3:$AA$5001,BD!$A$3:$A$5001,P$3,BD!$B$3:$B$5001,$A$153)))</f>
        <v/>
      </c>
      <c r="Q167" s="223" t="str">
        <f>IF(Q$3="","",IF(COUNTIFS(BD!$A$3:$A$5001,Q$3,BD!$B$3:$B$5001,$A$153,BD!$AA$3:$AA$5001,"&lt;&gt;")=0,"",SUMIFS(BD!$AA$3:$AA$5001,BD!$A$3:$A$5001,Q$3,BD!$B$3:$B$5001,$A$153)))</f>
        <v/>
      </c>
      <c r="R167" s="223" t="str">
        <f>IF(R$3="","",IF(COUNTIFS(BD!$A$3:$A$5001,R$3,BD!$B$3:$B$5001,$A$153,BD!$AA$3:$AA$5001,"&lt;&gt;")=0,"",SUMIFS(BD!$AA$3:$AA$5001,BD!$A$3:$A$5001,R$3,BD!$B$3:$B$5001,$A$153)))</f>
        <v/>
      </c>
      <c r="S167" s="223" t="str">
        <f>IF(S$3="","",IF(COUNTIFS(BD!$A$3:$A$5001,S$3,BD!$B$3:$B$5001,$A$153,BD!$AA$3:$AA$5001,"&lt;&gt;")=0,"",SUMIFS(BD!$AA$3:$AA$5001,BD!$A$3:$A$5001,S$3,BD!$B$3:$B$5001,$A$153)))</f>
        <v/>
      </c>
      <c r="T167" s="223" t="str">
        <f>IF(T$3="","",IF(COUNTIFS(BD!$A$3:$A$5001,T$3,BD!$B$3:$B$5001,$A$153,BD!$AA$3:$AA$5001,"&lt;&gt;")=0,"",SUMIFS(BD!$AA$3:$AA$5001,BD!$A$3:$A$5001,T$3,BD!$B$3:$B$5001,$A$153)))</f>
        <v/>
      </c>
      <c r="U167" s="223" t="str">
        <f>IF(U$3="","",IF(COUNTIFS(BD!$A$3:$A$5001,U$3,BD!$B$3:$B$5001,$A$153,BD!$AA$3:$AA$5001,"&lt;&gt;")=0,"",SUMIFS(BD!$AA$3:$AA$5001,BD!$A$3:$A$5001,U$3,BD!$B$3:$B$5001,$A$153)))</f>
        <v/>
      </c>
      <c r="V167" s="223" t="str">
        <f>IF(V$3="","",IF(COUNTIFS(BD!$A$3:$A$5001,V$3,BD!$B$3:$B$5001,$A$153,BD!$AA$3:$AA$5001,"&lt;&gt;")=0,"",SUMIFS(BD!$AA$3:$AA$5001,BD!$A$3:$A$5001,V$3,BD!$B$3:$B$5001,$A$153)))</f>
        <v/>
      </c>
      <c r="W167" s="223" t="str">
        <f>IF(W$3="","",IF(COUNTIFS(BD!$A$3:$A$5001,W$3,BD!$B$3:$B$5001,$A$153,BD!$AA$3:$AA$5001,"&lt;&gt;")=0,"",SUMIFS(BD!$AA$3:$AA$5001,BD!$A$3:$A$5001,W$3,BD!$B$3:$B$5001,$A$153)))</f>
        <v/>
      </c>
      <c r="X167" s="223" t="str">
        <f>IF(X$3="","",IF(COUNTIFS(BD!$A$3:$A$5001,X$3,BD!$B$3:$B$5001,$A$153,BD!$AA$3:$AA$5001,"&lt;&gt;")=0,"",SUMIFS(BD!$AA$3:$AA$5001,BD!$A$3:$A$5001,X$3,BD!$B$3:$B$5001,$A$153)))</f>
        <v/>
      </c>
      <c r="Y167" s="223" t="str">
        <f>IF(Y$3="","",IF(COUNTIFS(BD!$A$3:$A$5001,Y$3,BD!$B$3:$B$5001,$A$153,BD!$AA$3:$AA$5001,"&lt;&gt;")=0,"",SUMIFS(BD!$AA$3:$AA$5001,BD!$A$3:$A$5001,Y$3,BD!$B$3:$B$5001,$A$153)))</f>
        <v/>
      </c>
      <c r="Z167" s="223" t="str">
        <f>IF(Z$3="","",IF(COUNTIFS(BD!$A$3:$A$5001,Z$3,BD!$B$3:$B$5001,$A$153,BD!$AA$3:$AA$5001,"&lt;&gt;")=0,"",SUMIFS(BD!$AA$3:$AA$5001,BD!$A$3:$A$5001,Z$3,BD!$B$3:$B$5001,$A$153)))</f>
        <v/>
      </c>
      <c r="AA167" s="223" t="str">
        <f>IF(AA$3="","",IF(COUNTIFS(BD!$A$3:$A$5001,AA$3,BD!$B$3:$B$5001,$A$153,BD!$AA$3:$AA$5001,"&lt;&gt;")=0,"",SUMIFS(BD!$AA$3:$AA$5001,BD!$A$3:$A$5001,AA$3,BD!$B$3:$B$5001,$A$153)))</f>
        <v/>
      </c>
      <c r="AB167" s="223" t="str">
        <f>IF(AB$3="","",IF(COUNTIFS(BD!$A$3:$A$5001,AB$3,BD!$B$3:$B$5001,$A$153,BD!$AA$3:$AA$5001,"&lt;&gt;")=0,"",SUMIFS(BD!$AA$3:$AA$5001,BD!$A$3:$A$5001,AB$3,BD!$B$3:$B$5001,$A$153)))</f>
        <v/>
      </c>
      <c r="AC167" s="223" t="str">
        <f>IF(AC$3="","",IF(COUNTIFS(BD!$A$3:$A$5001,AC$3,BD!$B$3:$B$5001,$A$153,BD!$AA$3:$AA$5001,"&lt;&gt;")=0,"",SUMIFS(BD!$AA$3:$AA$5001,BD!$A$3:$A$5001,AC$3,BD!$B$3:$B$5001,$A$153)))</f>
        <v/>
      </c>
      <c r="AD167" s="223" t="str">
        <f>IF(AD$3="","",IF(COUNTIFS(BD!$A$3:$A$5001,AD$3,BD!$B$3:$B$5001,$A$153,BD!$AA$3:$AA$5001,"&lt;&gt;")=0,"",SUMIFS(BD!$AA$3:$AA$5001,BD!$A$3:$A$5001,AD$3,BD!$B$3:$B$5001,$A$153)))</f>
        <v/>
      </c>
      <c r="AE167" s="223" t="str">
        <f>IF(AE$3="","",IF(COUNTIFS(BD!$A$3:$A$5001,AE$3,BD!$B$3:$B$5001,$A$153,BD!$AA$3:$AA$5001,"&lt;&gt;")=0,"",SUMIFS(BD!$AA$3:$AA$5001,BD!$A$3:$A$5001,AE$3,BD!$B$3:$B$5001,$A$153)))</f>
        <v/>
      </c>
      <c r="AF167" s="223" t="str">
        <f>IF(AF$3="","",IF(COUNTIFS(BD!$A$3:$A$5001,AF$3,BD!$B$3:$B$5001,$A$153,BD!$AA$3:$AA$5001,"&lt;&gt;")=0,"",SUMIFS(BD!$AA$3:$AA$5001,BD!$A$3:$A$5001,AF$3,BD!$B$3:$B$5001,$A$153)))</f>
        <v/>
      </c>
      <c r="AG167" s="223" t="str">
        <f>IF(AG$3="","",IF(COUNTIFS(BD!$A$3:$A$5001,AG$3,BD!$B$3:$B$5001,$A$153,BD!$AA$3:$AA$5001,"&lt;&gt;")=0,"",SUMIFS(BD!$AA$3:$AA$5001,BD!$A$3:$A$5001,AG$3,BD!$B$3:$B$5001,$A$153)))</f>
        <v/>
      </c>
      <c r="AH167" s="223" t="str">
        <f>IF(AH$3="","",IF(COUNTIFS(BD!$A$3:$A$5001,AH$3,BD!$B$3:$B$5001,$A$153,BD!$AA$3:$AA$5001,"&lt;&gt;")=0,"",SUMIFS(BD!$AA$3:$AA$5001,BD!$A$3:$A$5001,AH$3,BD!$B$3:$B$5001,$A$153)))</f>
        <v/>
      </c>
      <c r="AI167" s="223" t="str">
        <f>IF(AI$3="","",IF(COUNTIFS(BD!$A$3:$A$5001,AI$3,BD!$B$3:$B$5001,$A$153,BD!$AA$3:$AA$5001,"&lt;&gt;")=0,"",SUMIFS(BD!$AA$3:$AA$5001,BD!$A$3:$A$5001,AI$3,BD!$B$3:$B$5001,$A$153)))</f>
        <v/>
      </c>
      <c r="AJ167" s="224" t="str">
        <f>IF(AJ$3="","",IF(COUNTIFS(BD!$A$3:$A$5001,AJ$3,BD!$B$3:$B$5001,$A$153,BD!$AA$3:$AA$5001,"&lt;&gt;")=0,"",SUMIFS(BD!$AA$3:$AA$5001,BD!$A$3:$A$5001,AJ$3,BD!$B$3:$B$5001,$A$153)))</f>
        <v/>
      </c>
      <c r="AK167" s="225" t="str">
        <f>IF(COUNT(F167:AJ167)=0,"",SUM(F167:AJ167))</f>
        <v/>
      </c>
    </row>
    <row r="168" ht="15.75" customHeight="1">
      <c r="A168" s="244"/>
      <c r="B168" s="241"/>
      <c r="C168" s="219" t="inlineStr">
        <is>
          <t xml:space="preserve">Férias</t>
        </is>
      </c>
      <c r="D168" s="220" t="str">
        <f>IFERROR(1/(1/INDEX(BD!$AJ$49:$BD$49,MATCH($A$153,BD!$AJ$22:$BD$22,0))),"")</f>
        <v/>
      </c>
      <c r="E168" s="221"/>
      <c r="F168" s="222" t="str">
        <f>IF(F$3="","",IF(COUNTIFS(BD!$A$3:$A$5001,F$3,BD!$B$3:$B$5001,$A$153,BD!$AB$3:$AB$5001,"&lt;&gt;")=0,"",SUMIFS(BD!$AB$3:$AB$5001,BD!$A$3:$A$5001,F$3,BD!$B$3:$B$5001,$A$153)))</f>
        <v/>
      </c>
      <c r="G168" s="223" t="str">
        <f>IF(G$3="","",IF(COUNTIFS(BD!$A$3:$A$5001,G$3,BD!$B$3:$B$5001,$A$153,BD!$AB$3:$AB$5001,"&lt;&gt;")=0,"",SUMIFS(BD!$AB$3:$AB$5001,BD!$A$3:$A$5001,G$3,BD!$B$3:$B$5001,$A$153)))</f>
        <v/>
      </c>
      <c r="H168" s="223" t="str">
        <f>IF(H$3="","",IF(COUNTIFS(BD!$A$3:$A$5001,H$3,BD!$B$3:$B$5001,$A$153,BD!$AB$3:$AB$5001,"&lt;&gt;")=0,"",SUMIFS(BD!$AB$3:$AB$5001,BD!$A$3:$A$5001,H$3,BD!$B$3:$B$5001,$A$153)))</f>
        <v/>
      </c>
      <c r="I168" s="223" t="str">
        <f>IF(I$3="","",IF(COUNTIFS(BD!$A$3:$A$5001,I$3,BD!$B$3:$B$5001,$A$153,BD!$AB$3:$AB$5001,"&lt;&gt;")=0,"",SUMIFS(BD!$AB$3:$AB$5001,BD!$A$3:$A$5001,I$3,BD!$B$3:$B$5001,$A$153)))</f>
        <v/>
      </c>
      <c r="J168" s="223" t="str">
        <f>IF(J$3="","",IF(COUNTIFS(BD!$A$3:$A$5001,J$3,BD!$B$3:$B$5001,$A$153,BD!$AB$3:$AB$5001,"&lt;&gt;")=0,"",SUMIFS(BD!$AB$3:$AB$5001,BD!$A$3:$A$5001,J$3,BD!$B$3:$B$5001,$A$153)))</f>
        <v/>
      </c>
      <c r="K168" s="223" t="str">
        <f>IF(K$3="","",IF(COUNTIFS(BD!$A$3:$A$5001,K$3,BD!$B$3:$B$5001,$A$153,BD!$AB$3:$AB$5001,"&lt;&gt;")=0,"",SUMIFS(BD!$AB$3:$AB$5001,BD!$A$3:$A$5001,K$3,BD!$B$3:$B$5001,$A$153)))</f>
        <v/>
      </c>
      <c r="L168" s="223" t="str">
        <f>IF(L$3="","",IF(COUNTIFS(BD!$A$3:$A$5001,L$3,BD!$B$3:$B$5001,$A$153,BD!$AB$3:$AB$5001,"&lt;&gt;")=0,"",SUMIFS(BD!$AB$3:$AB$5001,BD!$A$3:$A$5001,L$3,BD!$B$3:$B$5001,$A$153)))</f>
        <v/>
      </c>
      <c r="M168" s="223" t="str">
        <f>IF(M$3="","",IF(COUNTIFS(BD!$A$3:$A$5001,M$3,BD!$B$3:$B$5001,$A$153,BD!$AB$3:$AB$5001,"&lt;&gt;")=0,"",SUMIFS(BD!$AB$3:$AB$5001,BD!$A$3:$A$5001,M$3,BD!$B$3:$B$5001,$A$153)))</f>
        <v/>
      </c>
      <c r="N168" s="223" t="str">
        <f>IF(N$3="","",IF(COUNTIFS(BD!$A$3:$A$5001,N$3,BD!$B$3:$B$5001,$A$153,BD!$AB$3:$AB$5001,"&lt;&gt;")=0,"",SUMIFS(BD!$AB$3:$AB$5001,BD!$A$3:$A$5001,N$3,BD!$B$3:$B$5001,$A$153)))</f>
        <v/>
      </c>
      <c r="O168" s="223" t="str">
        <f>IF(O$3="","",IF(COUNTIFS(BD!$A$3:$A$5001,O$3,BD!$B$3:$B$5001,$A$153,BD!$AB$3:$AB$5001,"&lt;&gt;")=0,"",SUMIFS(BD!$AB$3:$AB$5001,BD!$A$3:$A$5001,O$3,BD!$B$3:$B$5001,$A$153)))</f>
        <v/>
      </c>
      <c r="P168" s="223" t="str">
        <f>IF(P$3="","",IF(COUNTIFS(BD!$A$3:$A$5001,P$3,BD!$B$3:$B$5001,$A$153,BD!$AB$3:$AB$5001,"&lt;&gt;")=0,"",SUMIFS(BD!$AB$3:$AB$5001,BD!$A$3:$A$5001,P$3,BD!$B$3:$B$5001,$A$153)))</f>
        <v/>
      </c>
      <c r="Q168" s="223" t="str">
        <f>IF(Q$3="","",IF(COUNTIFS(BD!$A$3:$A$5001,Q$3,BD!$B$3:$B$5001,$A$153,BD!$AB$3:$AB$5001,"&lt;&gt;")=0,"",SUMIFS(BD!$AB$3:$AB$5001,BD!$A$3:$A$5001,Q$3,BD!$B$3:$B$5001,$A$153)))</f>
        <v/>
      </c>
      <c r="R168" s="223" t="str">
        <f>IF(R$3="","",IF(COUNTIFS(BD!$A$3:$A$5001,R$3,BD!$B$3:$B$5001,$A$153,BD!$AB$3:$AB$5001,"&lt;&gt;")=0,"",SUMIFS(BD!$AB$3:$AB$5001,BD!$A$3:$A$5001,R$3,BD!$B$3:$B$5001,$A$153)))</f>
        <v/>
      </c>
      <c r="S168" s="223" t="str">
        <f>IF(S$3="","",IF(COUNTIFS(BD!$A$3:$A$5001,S$3,BD!$B$3:$B$5001,$A$153,BD!$AB$3:$AB$5001,"&lt;&gt;")=0,"",SUMIFS(BD!$AB$3:$AB$5001,BD!$A$3:$A$5001,S$3,BD!$B$3:$B$5001,$A$153)))</f>
        <v/>
      </c>
      <c r="T168" s="223" t="str">
        <f>IF(T$3="","",IF(COUNTIFS(BD!$A$3:$A$5001,T$3,BD!$B$3:$B$5001,$A$153,BD!$AB$3:$AB$5001,"&lt;&gt;")=0,"",SUMIFS(BD!$AB$3:$AB$5001,BD!$A$3:$A$5001,T$3,BD!$B$3:$B$5001,$A$153)))</f>
        <v/>
      </c>
      <c r="U168" s="223" t="str">
        <f>IF(U$3="","",IF(COUNTIFS(BD!$A$3:$A$5001,U$3,BD!$B$3:$B$5001,$A$153,BD!$AB$3:$AB$5001,"&lt;&gt;")=0,"",SUMIFS(BD!$AB$3:$AB$5001,BD!$A$3:$A$5001,U$3,BD!$B$3:$B$5001,$A$153)))</f>
        <v/>
      </c>
      <c r="V168" s="223" t="str">
        <f>IF(V$3="","",IF(COUNTIFS(BD!$A$3:$A$5001,V$3,BD!$B$3:$B$5001,$A$153,BD!$AB$3:$AB$5001,"&lt;&gt;")=0,"",SUMIFS(BD!$AB$3:$AB$5001,BD!$A$3:$A$5001,V$3,BD!$B$3:$B$5001,$A$153)))</f>
        <v/>
      </c>
      <c r="W168" s="223" t="str">
        <f>IF(W$3="","",IF(COUNTIFS(BD!$A$3:$A$5001,W$3,BD!$B$3:$B$5001,$A$153,BD!$AB$3:$AB$5001,"&lt;&gt;")=0,"",SUMIFS(BD!$AB$3:$AB$5001,BD!$A$3:$A$5001,W$3,BD!$B$3:$B$5001,$A$153)))</f>
        <v/>
      </c>
      <c r="X168" s="223" t="str">
        <f>IF(X$3="","",IF(COUNTIFS(BD!$A$3:$A$5001,X$3,BD!$B$3:$B$5001,$A$153,BD!$AB$3:$AB$5001,"&lt;&gt;")=0,"",SUMIFS(BD!$AB$3:$AB$5001,BD!$A$3:$A$5001,X$3,BD!$B$3:$B$5001,$A$153)))</f>
        <v/>
      </c>
      <c r="Y168" s="223" t="str">
        <f>IF(Y$3="","",IF(COUNTIFS(BD!$A$3:$A$5001,Y$3,BD!$B$3:$B$5001,$A$153,BD!$AB$3:$AB$5001,"&lt;&gt;")=0,"",SUMIFS(BD!$AB$3:$AB$5001,BD!$A$3:$A$5001,Y$3,BD!$B$3:$B$5001,$A$153)))</f>
        <v/>
      </c>
      <c r="Z168" s="223" t="str">
        <f>IF(Z$3="","",IF(COUNTIFS(BD!$A$3:$A$5001,Z$3,BD!$B$3:$B$5001,$A$153,BD!$AB$3:$AB$5001,"&lt;&gt;")=0,"",SUMIFS(BD!$AB$3:$AB$5001,BD!$A$3:$A$5001,Z$3,BD!$B$3:$B$5001,$A$153)))</f>
        <v/>
      </c>
      <c r="AA168" s="223" t="str">
        <f>IF(AA$3="","",IF(COUNTIFS(BD!$A$3:$A$5001,AA$3,BD!$B$3:$B$5001,$A$153,BD!$AB$3:$AB$5001,"&lt;&gt;")=0,"",SUMIFS(BD!$AB$3:$AB$5001,BD!$A$3:$A$5001,AA$3,BD!$B$3:$B$5001,$A$153)))</f>
        <v/>
      </c>
      <c r="AB168" s="223" t="str">
        <f>IF(AB$3="","",IF(COUNTIFS(BD!$A$3:$A$5001,AB$3,BD!$B$3:$B$5001,$A$153,BD!$AB$3:$AB$5001,"&lt;&gt;")=0,"",SUMIFS(BD!$AB$3:$AB$5001,BD!$A$3:$A$5001,AB$3,BD!$B$3:$B$5001,$A$153)))</f>
        <v/>
      </c>
      <c r="AC168" s="223" t="str">
        <f>IF(AC$3="","",IF(COUNTIFS(BD!$A$3:$A$5001,AC$3,BD!$B$3:$B$5001,$A$153,BD!$AB$3:$AB$5001,"&lt;&gt;")=0,"",SUMIFS(BD!$AB$3:$AB$5001,BD!$A$3:$A$5001,AC$3,BD!$B$3:$B$5001,$A$153)))</f>
        <v/>
      </c>
      <c r="AD168" s="223" t="str">
        <f>IF(AD$3="","",IF(COUNTIFS(BD!$A$3:$A$5001,AD$3,BD!$B$3:$B$5001,$A$153,BD!$AB$3:$AB$5001,"&lt;&gt;")=0,"",SUMIFS(BD!$AB$3:$AB$5001,BD!$A$3:$A$5001,AD$3,BD!$B$3:$B$5001,$A$153)))</f>
        <v/>
      </c>
      <c r="AE168" s="223" t="str">
        <f>IF(AE$3="","",IF(COUNTIFS(BD!$A$3:$A$5001,AE$3,BD!$B$3:$B$5001,$A$153,BD!$AB$3:$AB$5001,"&lt;&gt;")=0,"",SUMIFS(BD!$AB$3:$AB$5001,BD!$A$3:$A$5001,AE$3,BD!$B$3:$B$5001,$A$153)))</f>
        <v/>
      </c>
      <c r="AF168" s="223" t="str">
        <f>IF(AF$3="","",IF(COUNTIFS(BD!$A$3:$A$5001,AF$3,BD!$B$3:$B$5001,$A$153,BD!$AB$3:$AB$5001,"&lt;&gt;")=0,"",SUMIFS(BD!$AB$3:$AB$5001,BD!$A$3:$A$5001,AF$3,BD!$B$3:$B$5001,$A$153)))</f>
        <v/>
      </c>
      <c r="AG168" s="223" t="str">
        <f>IF(AG$3="","",IF(COUNTIFS(BD!$A$3:$A$5001,AG$3,BD!$B$3:$B$5001,$A$153,BD!$AB$3:$AB$5001,"&lt;&gt;")=0,"",SUMIFS(BD!$AB$3:$AB$5001,BD!$A$3:$A$5001,AG$3,BD!$B$3:$B$5001,$A$153)))</f>
        <v/>
      </c>
      <c r="AH168" s="223" t="str">
        <f>IF(AH$3="","",IF(COUNTIFS(BD!$A$3:$A$5001,AH$3,BD!$B$3:$B$5001,$A$153,BD!$AB$3:$AB$5001,"&lt;&gt;")=0,"",SUMIFS(BD!$AB$3:$AB$5001,BD!$A$3:$A$5001,AH$3,BD!$B$3:$B$5001,$A$153)))</f>
        <v/>
      </c>
      <c r="AI168" s="223" t="str">
        <f>IF(AI$3="","",IF(COUNTIFS(BD!$A$3:$A$5001,AI$3,BD!$B$3:$B$5001,$A$153,BD!$AB$3:$AB$5001,"&lt;&gt;")=0,"",SUMIFS(BD!$AB$3:$AB$5001,BD!$A$3:$A$5001,AI$3,BD!$B$3:$B$5001,$A$153)))</f>
        <v/>
      </c>
      <c r="AJ168" s="224" t="str">
        <f>IF(AJ$3="","",IF(COUNTIFS(BD!$A$3:$A$5001,AJ$3,BD!$B$3:$B$5001,$A$153,BD!$AB$3:$AB$5001,"&lt;&gt;")=0,"",SUMIFS(BD!$AB$3:$AB$5001,BD!$A$3:$A$5001,AJ$3,BD!$B$3:$B$5001,$A$153)))</f>
        <v/>
      </c>
      <c r="AK168" s="225" t="str">
        <f>IF(COUNT(F168:AJ168)=0,"",SUM(F168:AJ168))</f>
        <v/>
      </c>
    </row>
    <row r="169" ht="15.75" customHeight="1">
      <c r="A169" s="244"/>
      <c r="B169" s="241"/>
      <c r="C169" s="219" t="inlineStr">
        <is>
          <t xml:space="preserve">Desligamento</t>
        </is>
      </c>
      <c r="D169" s="220" t="str">
        <f>IFERROR(1/(1/INDEX(BD!$AJ$50:$BD$50,MATCH($A$153,BD!$AJ$22:$BD$22,0))),"")</f>
        <v/>
      </c>
      <c r="E169" s="221"/>
      <c r="F169" s="222" t="str">
        <f>IF(F$3="","",IF(COUNTIFS(BD!$A$3:$A$5001,F$3,BD!$B$3:$B$5001,$A$153,BD!$AC$3:$AC$5001,"&lt;&gt;")=0,"",SUMIFS(BD!$AC$3:$AC$5001,BD!$A$3:$A$5001,F$3,BD!$B$3:$B$5001,$A$153)))</f>
        <v/>
      </c>
      <c r="G169" s="223" t="str">
        <f>IF(G$3="","",IF(COUNTIFS(BD!$A$3:$A$5001,G$3,BD!$B$3:$B$5001,$A$153,BD!$AC$3:$AC$5001,"&lt;&gt;")=0,"",SUMIFS(BD!$AC$3:$AC$5001,BD!$A$3:$A$5001,G$3,BD!$B$3:$B$5001,$A$153)))</f>
        <v/>
      </c>
      <c r="H169" s="223" t="str">
        <f>IF(H$3="","",IF(COUNTIFS(BD!$A$3:$A$5001,H$3,BD!$B$3:$B$5001,$A$153,BD!$AC$3:$AC$5001,"&lt;&gt;")=0,"",SUMIFS(BD!$AC$3:$AC$5001,BD!$A$3:$A$5001,H$3,BD!$B$3:$B$5001,$A$153)))</f>
        <v/>
      </c>
      <c r="I169" s="223" t="str">
        <f>IF(I$3="","",IF(COUNTIFS(BD!$A$3:$A$5001,I$3,BD!$B$3:$B$5001,$A$153,BD!$AC$3:$AC$5001,"&lt;&gt;")=0,"",SUMIFS(BD!$AC$3:$AC$5001,BD!$A$3:$A$5001,I$3,BD!$B$3:$B$5001,$A$153)))</f>
        <v/>
      </c>
      <c r="J169" s="223" t="str">
        <f>IF(J$3="","",IF(COUNTIFS(BD!$A$3:$A$5001,J$3,BD!$B$3:$B$5001,$A$153,BD!$AC$3:$AC$5001,"&lt;&gt;")=0,"",SUMIFS(BD!$AC$3:$AC$5001,BD!$A$3:$A$5001,J$3,BD!$B$3:$B$5001,$A$153)))</f>
        <v/>
      </c>
      <c r="K169" s="223" t="str">
        <f>IF(K$3="","",IF(COUNTIFS(BD!$A$3:$A$5001,K$3,BD!$B$3:$B$5001,$A$153,BD!$AC$3:$AC$5001,"&lt;&gt;")=0,"",SUMIFS(BD!$AC$3:$AC$5001,BD!$A$3:$A$5001,K$3,BD!$B$3:$B$5001,$A$153)))</f>
        <v/>
      </c>
      <c r="L169" s="223" t="str">
        <f>IF(L$3="","",IF(COUNTIFS(BD!$A$3:$A$5001,L$3,BD!$B$3:$B$5001,$A$153,BD!$AC$3:$AC$5001,"&lt;&gt;")=0,"",SUMIFS(BD!$AC$3:$AC$5001,BD!$A$3:$A$5001,L$3,BD!$B$3:$B$5001,$A$153)))</f>
        <v/>
      </c>
      <c r="M169" s="223" t="str">
        <f>IF(M$3="","",IF(COUNTIFS(BD!$A$3:$A$5001,M$3,BD!$B$3:$B$5001,$A$153,BD!$AC$3:$AC$5001,"&lt;&gt;")=0,"",SUMIFS(BD!$AC$3:$AC$5001,BD!$A$3:$A$5001,M$3,BD!$B$3:$B$5001,$A$153)))</f>
        <v/>
      </c>
      <c r="N169" s="223" t="str">
        <f>IF(N$3="","",IF(COUNTIFS(BD!$A$3:$A$5001,N$3,BD!$B$3:$B$5001,$A$153,BD!$AC$3:$AC$5001,"&lt;&gt;")=0,"",SUMIFS(BD!$AC$3:$AC$5001,BD!$A$3:$A$5001,N$3,BD!$B$3:$B$5001,$A$153)))</f>
        <v/>
      </c>
      <c r="O169" s="223" t="str">
        <f>IF(O$3="","",IF(COUNTIFS(BD!$A$3:$A$5001,O$3,BD!$B$3:$B$5001,$A$153,BD!$AC$3:$AC$5001,"&lt;&gt;")=0,"",SUMIFS(BD!$AC$3:$AC$5001,BD!$A$3:$A$5001,O$3,BD!$B$3:$B$5001,$A$153)))</f>
        <v/>
      </c>
      <c r="P169" s="223" t="str">
        <f>IF(P$3="","",IF(COUNTIFS(BD!$A$3:$A$5001,P$3,BD!$B$3:$B$5001,$A$153,BD!$AC$3:$AC$5001,"&lt;&gt;")=0,"",SUMIFS(BD!$AC$3:$AC$5001,BD!$A$3:$A$5001,P$3,BD!$B$3:$B$5001,$A$153)))</f>
        <v/>
      </c>
      <c r="Q169" s="223" t="str">
        <f>IF(Q$3="","",IF(COUNTIFS(BD!$A$3:$A$5001,Q$3,BD!$B$3:$B$5001,$A$153,BD!$AC$3:$AC$5001,"&lt;&gt;")=0,"",SUMIFS(BD!$AC$3:$AC$5001,BD!$A$3:$A$5001,Q$3,BD!$B$3:$B$5001,$A$153)))</f>
        <v/>
      </c>
      <c r="R169" s="223" t="str">
        <f>IF(R$3="","",IF(COUNTIFS(BD!$A$3:$A$5001,R$3,BD!$B$3:$B$5001,$A$153,BD!$AC$3:$AC$5001,"&lt;&gt;")=0,"",SUMIFS(BD!$AC$3:$AC$5001,BD!$A$3:$A$5001,R$3,BD!$B$3:$B$5001,$A$153)))</f>
        <v/>
      </c>
      <c r="S169" s="223" t="str">
        <f>IF(S$3="","",IF(COUNTIFS(BD!$A$3:$A$5001,S$3,BD!$B$3:$B$5001,$A$153,BD!$AC$3:$AC$5001,"&lt;&gt;")=0,"",SUMIFS(BD!$AC$3:$AC$5001,BD!$A$3:$A$5001,S$3,BD!$B$3:$B$5001,$A$153)))</f>
        <v/>
      </c>
      <c r="T169" s="223" t="str">
        <f>IF(T$3="","",IF(COUNTIFS(BD!$A$3:$A$5001,T$3,BD!$B$3:$B$5001,$A$153,BD!$AC$3:$AC$5001,"&lt;&gt;")=0,"",SUMIFS(BD!$AC$3:$AC$5001,BD!$A$3:$A$5001,T$3,BD!$B$3:$B$5001,$A$153)))</f>
        <v/>
      </c>
      <c r="U169" s="223" t="str">
        <f>IF(U$3="","",IF(COUNTIFS(BD!$A$3:$A$5001,U$3,BD!$B$3:$B$5001,$A$153,BD!$AC$3:$AC$5001,"&lt;&gt;")=0,"",SUMIFS(BD!$AC$3:$AC$5001,BD!$A$3:$A$5001,U$3,BD!$B$3:$B$5001,$A$153)))</f>
        <v/>
      </c>
      <c r="V169" s="223" t="str">
        <f>IF(V$3="","",IF(COUNTIFS(BD!$A$3:$A$5001,V$3,BD!$B$3:$B$5001,$A$153,BD!$AC$3:$AC$5001,"&lt;&gt;")=0,"",SUMIFS(BD!$AC$3:$AC$5001,BD!$A$3:$A$5001,V$3,BD!$B$3:$B$5001,$A$153)))</f>
        <v/>
      </c>
      <c r="W169" s="223" t="str">
        <f>IF(W$3="","",IF(COUNTIFS(BD!$A$3:$A$5001,W$3,BD!$B$3:$B$5001,$A$153,BD!$AC$3:$AC$5001,"&lt;&gt;")=0,"",SUMIFS(BD!$AC$3:$AC$5001,BD!$A$3:$A$5001,W$3,BD!$B$3:$B$5001,$A$153)))</f>
        <v/>
      </c>
      <c r="X169" s="223" t="str">
        <f>IF(X$3="","",IF(COUNTIFS(BD!$A$3:$A$5001,X$3,BD!$B$3:$B$5001,$A$153,BD!$AC$3:$AC$5001,"&lt;&gt;")=0,"",SUMIFS(BD!$AC$3:$AC$5001,BD!$A$3:$A$5001,X$3,BD!$B$3:$B$5001,$A$153)))</f>
        <v/>
      </c>
      <c r="Y169" s="223" t="str">
        <f>IF(Y$3="","",IF(COUNTIFS(BD!$A$3:$A$5001,Y$3,BD!$B$3:$B$5001,$A$153,BD!$AC$3:$AC$5001,"&lt;&gt;")=0,"",SUMIFS(BD!$AC$3:$AC$5001,BD!$A$3:$A$5001,Y$3,BD!$B$3:$B$5001,$A$153)))</f>
        <v/>
      </c>
      <c r="Z169" s="223" t="str">
        <f>IF(Z$3="","",IF(COUNTIFS(BD!$A$3:$A$5001,Z$3,BD!$B$3:$B$5001,$A$153,BD!$AC$3:$AC$5001,"&lt;&gt;")=0,"",SUMIFS(BD!$AC$3:$AC$5001,BD!$A$3:$A$5001,Z$3,BD!$B$3:$B$5001,$A$153)))</f>
        <v/>
      </c>
      <c r="AA169" s="223" t="str">
        <f>IF(AA$3="","",IF(COUNTIFS(BD!$A$3:$A$5001,AA$3,BD!$B$3:$B$5001,$A$153,BD!$AC$3:$AC$5001,"&lt;&gt;")=0,"",SUMIFS(BD!$AC$3:$AC$5001,BD!$A$3:$A$5001,AA$3,BD!$B$3:$B$5001,$A$153)))</f>
        <v/>
      </c>
      <c r="AB169" s="223" t="str">
        <f>IF(AB$3="","",IF(COUNTIFS(BD!$A$3:$A$5001,AB$3,BD!$B$3:$B$5001,$A$153,BD!$AC$3:$AC$5001,"&lt;&gt;")=0,"",SUMIFS(BD!$AC$3:$AC$5001,BD!$A$3:$A$5001,AB$3,BD!$B$3:$B$5001,$A$153)))</f>
        <v/>
      </c>
      <c r="AC169" s="223" t="str">
        <f>IF(AC$3="","",IF(COUNTIFS(BD!$A$3:$A$5001,AC$3,BD!$B$3:$B$5001,$A$153,BD!$AC$3:$AC$5001,"&lt;&gt;")=0,"",SUMIFS(BD!$AC$3:$AC$5001,BD!$A$3:$A$5001,AC$3,BD!$B$3:$B$5001,$A$153)))</f>
        <v/>
      </c>
      <c r="AD169" s="223" t="str">
        <f>IF(AD$3="","",IF(COUNTIFS(BD!$A$3:$A$5001,AD$3,BD!$B$3:$B$5001,$A$153,BD!$AC$3:$AC$5001,"&lt;&gt;")=0,"",SUMIFS(BD!$AC$3:$AC$5001,BD!$A$3:$A$5001,AD$3,BD!$B$3:$B$5001,$A$153)))</f>
        <v/>
      </c>
      <c r="AE169" s="223" t="str">
        <f>IF(AE$3="","",IF(COUNTIFS(BD!$A$3:$A$5001,AE$3,BD!$B$3:$B$5001,$A$153,BD!$AC$3:$AC$5001,"&lt;&gt;")=0,"",SUMIFS(BD!$AC$3:$AC$5001,BD!$A$3:$A$5001,AE$3,BD!$B$3:$B$5001,$A$153)))</f>
        <v/>
      </c>
      <c r="AF169" s="223" t="str">
        <f>IF(AF$3="","",IF(COUNTIFS(BD!$A$3:$A$5001,AF$3,BD!$B$3:$B$5001,$A$153,BD!$AC$3:$AC$5001,"&lt;&gt;")=0,"",SUMIFS(BD!$AC$3:$AC$5001,BD!$A$3:$A$5001,AF$3,BD!$B$3:$B$5001,$A$153)))</f>
        <v/>
      </c>
      <c r="AG169" s="223" t="str">
        <f>IF(AG$3="","",IF(COUNTIFS(BD!$A$3:$A$5001,AG$3,BD!$B$3:$B$5001,$A$153,BD!$AC$3:$AC$5001,"&lt;&gt;")=0,"",SUMIFS(BD!$AC$3:$AC$5001,BD!$A$3:$A$5001,AG$3,BD!$B$3:$B$5001,$A$153)))</f>
        <v/>
      </c>
      <c r="AH169" s="223" t="str">
        <f>IF(AH$3="","",IF(COUNTIFS(BD!$A$3:$A$5001,AH$3,BD!$B$3:$B$5001,$A$153,BD!$AC$3:$AC$5001,"&lt;&gt;")=0,"",SUMIFS(BD!$AC$3:$AC$5001,BD!$A$3:$A$5001,AH$3,BD!$B$3:$B$5001,$A$153)))</f>
        <v/>
      </c>
      <c r="AI169" s="223" t="str">
        <f>IF(AI$3="","",IF(COUNTIFS(BD!$A$3:$A$5001,AI$3,BD!$B$3:$B$5001,$A$153,BD!$AC$3:$AC$5001,"&lt;&gt;")=0,"",SUMIFS(BD!$AC$3:$AC$5001,BD!$A$3:$A$5001,AI$3,BD!$B$3:$B$5001,$A$153)))</f>
        <v/>
      </c>
      <c r="AJ169" s="224" t="str">
        <f>IF(AJ$3="","",IF(COUNTIFS(BD!$A$3:$A$5001,AJ$3,BD!$B$3:$B$5001,$A$153,BD!$AC$3:$AC$5001,"&lt;&gt;")=0,"",SUMIFS(BD!$AC$3:$AC$5001,BD!$A$3:$A$5001,AJ$3,BD!$B$3:$B$5001,$A$153)))</f>
        <v/>
      </c>
      <c r="AK169" s="225" t="str">
        <f>IF(COUNT(F169:AJ169)=0,"",SUM(F169:AJ169))</f>
        <v/>
      </c>
    </row>
    <row r="170" ht="15.75" customHeight="1">
      <c r="A170" s="244"/>
      <c r="B170" s="241"/>
      <c r="C170" s="219" t="inlineStr">
        <is>
          <t xml:space="preserve">Desvios Comportamentais</t>
        </is>
      </c>
      <c r="D170" s="220" t="str">
        <f>IFERROR(1/(1/INDEX(BD!$AJ$51:$BD$51,MATCH($A$153,BD!$AJ$22:$BD$22,0))),"")</f>
        <v/>
      </c>
      <c r="E170" s="221"/>
      <c r="F170" s="222" t="str">
        <f>IF(F$3="","",IF(COUNTIFS(BD!$A$3:$A$5001,F$3,BD!$B$3:$B$5001,$A$153,BD!$AD$3:$AD$5001,"&lt;&gt;")=0,"",SUMIFS(BD!$AD$3:$AD$5001,BD!$A$3:$A$5001,F$3,BD!$B$3:$B$5001,$A$153)))</f>
        <v/>
      </c>
      <c r="G170" s="223" t="str">
        <f>IF(G$3="","",IF(COUNTIFS(BD!$A$3:$A$5001,G$3,BD!$B$3:$B$5001,$A$153,BD!$AD$3:$AD$5001,"&lt;&gt;")=0,"",SUMIFS(BD!$AD$3:$AD$5001,BD!$A$3:$A$5001,G$3,BD!$B$3:$B$5001,$A$153)))</f>
        <v/>
      </c>
      <c r="H170" s="223" t="str">
        <f>IF(H$3="","",IF(COUNTIFS(BD!$A$3:$A$5001,H$3,BD!$B$3:$B$5001,$A$153,BD!$AD$3:$AD$5001,"&lt;&gt;")=0,"",SUMIFS(BD!$AD$3:$AD$5001,BD!$A$3:$A$5001,H$3,BD!$B$3:$B$5001,$A$153)))</f>
        <v/>
      </c>
      <c r="I170" s="223" t="str">
        <f>IF(I$3="","",IF(COUNTIFS(BD!$A$3:$A$5001,I$3,BD!$B$3:$B$5001,$A$153,BD!$AD$3:$AD$5001,"&lt;&gt;")=0,"",SUMIFS(BD!$AD$3:$AD$5001,BD!$A$3:$A$5001,I$3,BD!$B$3:$B$5001,$A$153)))</f>
        <v/>
      </c>
      <c r="J170" s="223" t="str">
        <f>IF(J$3="","",IF(COUNTIFS(BD!$A$3:$A$5001,J$3,BD!$B$3:$B$5001,$A$153,BD!$AD$3:$AD$5001,"&lt;&gt;")=0,"",SUMIFS(BD!$AD$3:$AD$5001,BD!$A$3:$A$5001,J$3,BD!$B$3:$B$5001,$A$153)))</f>
        <v/>
      </c>
      <c r="K170" s="223" t="str">
        <f>IF(K$3="","",IF(COUNTIFS(BD!$A$3:$A$5001,K$3,BD!$B$3:$B$5001,$A$153,BD!$AD$3:$AD$5001,"&lt;&gt;")=0,"",SUMIFS(BD!$AD$3:$AD$5001,BD!$A$3:$A$5001,K$3,BD!$B$3:$B$5001,$A$153)))</f>
        <v/>
      </c>
      <c r="L170" s="223" t="str">
        <f>IF(L$3="","",IF(COUNTIFS(BD!$A$3:$A$5001,L$3,BD!$B$3:$B$5001,$A$153,BD!$AD$3:$AD$5001,"&lt;&gt;")=0,"",SUMIFS(BD!$AD$3:$AD$5001,BD!$A$3:$A$5001,L$3,BD!$B$3:$B$5001,$A$153)))</f>
        <v/>
      </c>
      <c r="M170" s="223" t="str">
        <f>IF(M$3="","",IF(COUNTIFS(BD!$A$3:$A$5001,M$3,BD!$B$3:$B$5001,$A$153,BD!$AD$3:$AD$5001,"&lt;&gt;")=0,"",SUMIFS(BD!$AD$3:$AD$5001,BD!$A$3:$A$5001,M$3,BD!$B$3:$B$5001,$A$153)))</f>
        <v/>
      </c>
      <c r="N170" s="223" t="str">
        <f>IF(N$3="","",IF(COUNTIFS(BD!$A$3:$A$5001,N$3,BD!$B$3:$B$5001,$A$153,BD!$AD$3:$AD$5001,"&lt;&gt;")=0,"",SUMIFS(BD!$AD$3:$AD$5001,BD!$A$3:$A$5001,N$3,BD!$B$3:$B$5001,$A$153)))</f>
        <v/>
      </c>
      <c r="O170" s="223" t="str">
        <f>IF(O$3="","",IF(COUNTIFS(BD!$A$3:$A$5001,O$3,BD!$B$3:$B$5001,$A$153,BD!$AD$3:$AD$5001,"&lt;&gt;")=0,"",SUMIFS(BD!$AD$3:$AD$5001,BD!$A$3:$A$5001,O$3,BD!$B$3:$B$5001,$A$153)))</f>
        <v/>
      </c>
      <c r="P170" s="223" t="str">
        <f>IF(P$3="","",IF(COUNTIFS(BD!$A$3:$A$5001,P$3,BD!$B$3:$B$5001,$A$153,BD!$AD$3:$AD$5001,"&lt;&gt;")=0,"",SUMIFS(BD!$AD$3:$AD$5001,BD!$A$3:$A$5001,P$3,BD!$B$3:$B$5001,$A$153)))</f>
        <v/>
      </c>
      <c r="Q170" s="223" t="str">
        <f>IF(Q$3="","",IF(COUNTIFS(BD!$A$3:$A$5001,Q$3,BD!$B$3:$B$5001,$A$153,BD!$AD$3:$AD$5001,"&lt;&gt;")=0,"",SUMIFS(BD!$AD$3:$AD$5001,BD!$A$3:$A$5001,Q$3,BD!$B$3:$B$5001,$A$153)))</f>
        <v/>
      </c>
      <c r="R170" s="223" t="str">
        <f>IF(R$3="","",IF(COUNTIFS(BD!$A$3:$A$5001,R$3,BD!$B$3:$B$5001,$A$153,BD!$AD$3:$AD$5001,"&lt;&gt;")=0,"",SUMIFS(BD!$AD$3:$AD$5001,BD!$A$3:$A$5001,R$3,BD!$B$3:$B$5001,$A$153)))</f>
        <v/>
      </c>
      <c r="S170" s="223" t="str">
        <f>IF(S$3="","",IF(COUNTIFS(BD!$A$3:$A$5001,S$3,BD!$B$3:$B$5001,$A$153,BD!$AD$3:$AD$5001,"&lt;&gt;")=0,"",SUMIFS(BD!$AD$3:$AD$5001,BD!$A$3:$A$5001,S$3,BD!$B$3:$B$5001,$A$153)))</f>
        <v/>
      </c>
      <c r="T170" s="223" t="str">
        <f>IF(T$3="","",IF(COUNTIFS(BD!$A$3:$A$5001,T$3,BD!$B$3:$B$5001,$A$153,BD!$AD$3:$AD$5001,"&lt;&gt;")=0,"",SUMIFS(BD!$AD$3:$AD$5001,BD!$A$3:$A$5001,T$3,BD!$B$3:$B$5001,$A$153)))</f>
        <v/>
      </c>
      <c r="U170" s="223" t="str">
        <f>IF(U$3="","",IF(COUNTIFS(BD!$A$3:$A$5001,U$3,BD!$B$3:$B$5001,$A$153,BD!$AD$3:$AD$5001,"&lt;&gt;")=0,"",SUMIFS(BD!$AD$3:$AD$5001,BD!$A$3:$A$5001,U$3,BD!$B$3:$B$5001,$A$153)))</f>
        <v/>
      </c>
      <c r="V170" s="223" t="str">
        <f>IF(V$3="","",IF(COUNTIFS(BD!$A$3:$A$5001,V$3,BD!$B$3:$B$5001,$A$153,BD!$AD$3:$AD$5001,"&lt;&gt;")=0,"",SUMIFS(BD!$AD$3:$AD$5001,BD!$A$3:$A$5001,V$3,BD!$B$3:$B$5001,$A$153)))</f>
        <v/>
      </c>
      <c r="W170" s="223" t="str">
        <f>IF(W$3="","",IF(COUNTIFS(BD!$A$3:$A$5001,W$3,BD!$B$3:$B$5001,$A$153,BD!$AD$3:$AD$5001,"&lt;&gt;")=0,"",SUMIFS(BD!$AD$3:$AD$5001,BD!$A$3:$A$5001,W$3,BD!$B$3:$B$5001,$A$153)))</f>
        <v/>
      </c>
      <c r="X170" s="223" t="str">
        <f>IF(X$3="","",IF(COUNTIFS(BD!$A$3:$A$5001,X$3,BD!$B$3:$B$5001,$A$153,BD!$AD$3:$AD$5001,"&lt;&gt;")=0,"",SUMIFS(BD!$AD$3:$AD$5001,BD!$A$3:$A$5001,X$3,BD!$B$3:$B$5001,$A$153)))</f>
        <v/>
      </c>
      <c r="Y170" s="223" t="str">
        <f>IF(Y$3="","",IF(COUNTIFS(BD!$A$3:$A$5001,Y$3,BD!$B$3:$B$5001,$A$153,BD!$AD$3:$AD$5001,"&lt;&gt;")=0,"",SUMIFS(BD!$AD$3:$AD$5001,BD!$A$3:$A$5001,Y$3,BD!$B$3:$B$5001,$A$153)))</f>
        <v/>
      </c>
      <c r="Z170" s="223" t="str">
        <f>IF(Z$3="","",IF(COUNTIFS(BD!$A$3:$A$5001,Z$3,BD!$B$3:$B$5001,$A$153,BD!$AD$3:$AD$5001,"&lt;&gt;")=0,"",SUMIFS(BD!$AD$3:$AD$5001,BD!$A$3:$A$5001,Z$3,BD!$B$3:$B$5001,$A$153)))</f>
        <v/>
      </c>
      <c r="AA170" s="223" t="str">
        <f>IF(AA$3="","",IF(COUNTIFS(BD!$A$3:$A$5001,AA$3,BD!$B$3:$B$5001,$A$153,BD!$AD$3:$AD$5001,"&lt;&gt;")=0,"",SUMIFS(BD!$AD$3:$AD$5001,BD!$A$3:$A$5001,AA$3,BD!$B$3:$B$5001,$A$153)))</f>
        <v/>
      </c>
      <c r="AB170" s="223" t="str">
        <f>IF(AB$3="","",IF(COUNTIFS(BD!$A$3:$A$5001,AB$3,BD!$B$3:$B$5001,$A$153,BD!$AD$3:$AD$5001,"&lt;&gt;")=0,"",SUMIFS(BD!$AD$3:$AD$5001,BD!$A$3:$A$5001,AB$3,BD!$B$3:$B$5001,$A$153)))</f>
        <v/>
      </c>
      <c r="AC170" s="223" t="str">
        <f>IF(AC$3="","",IF(COUNTIFS(BD!$A$3:$A$5001,AC$3,BD!$B$3:$B$5001,$A$153,BD!$AD$3:$AD$5001,"&lt;&gt;")=0,"",SUMIFS(BD!$AD$3:$AD$5001,BD!$A$3:$A$5001,AC$3,BD!$B$3:$B$5001,$A$153)))</f>
        <v/>
      </c>
      <c r="AD170" s="223" t="str">
        <f>IF(AD$3="","",IF(COUNTIFS(BD!$A$3:$A$5001,AD$3,BD!$B$3:$B$5001,$A$153,BD!$AD$3:$AD$5001,"&lt;&gt;")=0,"",SUMIFS(BD!$AD$3:$AD$5001,BD!$A$3:$A$5001,AD$3,BD!$B$3:$B$5001,$A$153)))</f>
        <v/>
      </c>
      <c r="AE170" s="223" t="str">
        <f>IF(AE$3="","",IF(COUNTIFS(BD!$A$3:$A$5001,AE$3,BD!$B$3:$B$5001,$A$153,BD!$AD$3:$AD$5001,"&lt;&gt;")=0,"",SUMIFS(BD!$AD$3:$AD$5001,BD!$A$3:$A$5001,AE$3,BD!$B$3:$B$5001,$A$153)))</f>
        <v/>
      </c>
      <c r="AF170" s="223" t="str">
        <f>IF(AF$3="","",IF(COUNTIFS(BD!$A$3:$A$5001,AF$3,BD!$B$3:$B$5001,$A$153,BD!$AD$3:$AD$5001,"&lt;&gt;")=0,"",SUMIFS(BD!$AD$3:$AD$5001,BD!$A$3:$A$5001,AF$3,BD!$B$3:$B$5001,$A$153)))</f>
        <v/>
      </c>
      <c r="AG170" s="223" t="str">
        <f>IF(AG$3="","",IF(COUNTIFS(BD!$A$3:$A$5001,AG$3,BD!$B$3:$B$5001,$A$153,BD!$AD$3:$AD$5001,"&lt;&gt;")=0,"",SUMIFS(BD!$AD$3:$AD$5001,BD!$A$3:$A$5001,AG$3,BD!$B$3:$B$5001,$A$153)))</f>
        <v/>
      </c>
      <c r="AH170" s="223" t="str">
        <f>IF(AH$3="","",IF(COUNTIFS(BD!$A$3:$A$5001,AH$3,BD!$B$3:$B$5001,$A$153,BD!$AD$3:$AD$5001,"&lt;&gt;")=0,"",SUMIFS(BD!$AD$3:$AD$5001,BD!$A$3:$A$5001,AH$3,BD!$B$3:$B$5001,$A$153)))</f>
        <v/>
      </c>
      <c r="AI170" s="223" t="str">
        <f>IF(AI$3="","",IF(COUNTIFS(BD!$A$3:$A$5001,AI$3,BD!$B$3:$B$5001,$A$153,BD!$AD$3:$AD$5001,"&lt;&gt;")=0,"",SUMIFS(BD!$AD$3:$AD$5001,BD!$A$3:$A$5001,AI$3,BD!$B$3:$B$5001,$A$153)))</f>
        <v/>
      </c>
      <c r="AJ170" s="224" t="str">
        <f>IF(AJ$3="","",IF(COUNTIFS(BD!$A$3:$A$5001,AJ$3,BD!$B$3:$B$5001,$A$153,BD!$AD$3:$AD$5001,"&lt;&gt;")=0,"",SUMIFS(BD!$AD$3:$AD$5001,BD!$A$3:$A$5001,AJ$3,BD!$B$3:$B$5001,$A$153)))</f>
        <v/>
      </c>
      <c r="AK170" s="225" t="str">
        <f>IF(COUNT(F170:AJ170)=0,"",SUM(F170:AJ170))</f>
        <v/>
      </c>
    </row>
    <row r="171" ht="15.75" customHeight="1">
      <c r="A171" s="244"/>
      <c r="B171" s="241"/>
      <c r="C171" s="219" t="inlineStr">
        <is>
          <t xml:space="preserve">Acidentes CAF</t>
        </is>
      </c>
      <c r="D171" s="220" t="str">
        <f>IFERROR(1/(1/INDEX(BD!$AJ$52:$BD$52,MATCH($A$153,BD!$AJ$22:$BD$22,0))),"")</f>
        <v/>
      </c>
      <c r="E171" s="221"/>
      <c r="F171" s="222" t="str">
        <f>IF(F$3="","",IF(COUNTIFS(BD!$A$3:$A$5001,F$3,BD!$B$3:$B$5001,$A$153,BD!$AE$3:$AE$5001,"&lt;&gt;")=0,"",SUMIFS(BD!$AE$3:$AE$5001,BD!$A$3:$A$5001,F$3,BD!$B$3:$B$5001,$A$153)))</f>
        <v/>
      </c>
      <c r="G171" s="223" t="str">
        <f>IF(G$3="","",IF(COUNTIFS(BD!$A$3:$A$5001,G$3,BD!$B$3:$B$5001,$A$153,BD!$AE$3:$AE$5001,"&lt;&gt;")=0,"",SUMIFS(BD!$AE$3:$AE$5001,BD!$A$3:$A$5001,G$3,BD!$B$3:$B$5001,$A$153)))</f>
        <v/>
      </c>
      <c r="H171" s="223" t="str">
        <f>IF(H$3="","",IF(COUNTIFS(BD!$A$3:$A$5001,H$3,BD!$B$3:$B$5001,$A$153,BD!$AE$3:$AE$5001,"&lt;&gt;")=0,"",SUMIFS(BD!$AE$3:$AE$5001,BD!$A$3:$A$5001,H$3,BD!$B$3:$B$5001,$A$153)))</f>
        <v/>
      </c>
      <c r="I171" s="223" t="str">
        <f>IF(I$3="","",IF(COUNTIFS(BD!$A$3:$A$5001,I$3,BD!$B$3:$B$5001,$A$153,BD!$AE$3:$AE$5001,"&lt;&gt;")=0,"",SUMIFS(BD!$AE$3:$AE$5001,BD!$A$3:$A$5001,I$3,BD!$B$3:$B$5001,$A$153)))</f>
        <v/>
      </c>
      <c r="J171" s="223" t="str">
        <f>IF(J$3="","",IF(COUNTIFS(BD!$A$3:$A$5001,J$3,BD!$B$3:$B$5001,$A$153,BD!$AE$3:$AE$5001,"&lt;&gt;")=0,"",SUMIFS(BD!$AE$3:$AE$5001,BD!$A$3:$A$5001,J$3,BD!$B$3:$B$5001,$A$153)))</f>
        <v/>
      </c>
      <c r="K171" s="223" t="str">
        <f>IF(K$3="","",IF(COUNTIFS(BD!$A$3:$A$5001,K$3,BD!$B$3:$B$5001,$A$153,BD!$AE$3:$AE$5001,"&lt;&gt;")=0,"",SUMIFS(BD!$AE$3:$AE$5001,BD!$A$3:$A$5001,K$3,BD!$B$3:$B$5001,$A$153)))</f>
        <v/>
      </c>
      <c r="L171" s="223" t="str">
        <f>IF(L$3="","",IF(COUNTIFS(BD!$A$3:$A$5001,L$3,BD!$B$3:$B$5001,$A$153,BD!$AE$3:$AE$5001,"&lt;&gt;")=0,"",SUMIFS(BD!$AE$3:$AE$5001,BD!$A$3:$A$5001,L$3,BD!$B$3:$B$5001,$A$153)))</f>
        <v/>
      </c>
      <c r="M171" s="223" t="str">
        <f>IF(M$3="","",IF(COUNTIFS(BD!$A$3:$A$5001,M$3,BD!$B$3:$B$5001,$A$153,BD!$AE$3:$AE$5001,"&lt;&gt;")=0,"",SUMIFS(BD!$AE$3:$AE$5001,BD!$A$3:$A$5001,M$3,BD!$B$3:$B$5001,$A$153)))</f>
        <v/>
      </c>
      <c r="N171" s="223" t="str">
        <f>IF(N$3="","",IF(COUNTIFS(BD!$A$3:$A$5001,N$3,BD!$B$3:$B$5001,$A$153,BD!$AE$3:$AE$5001,"&lt;&gt;")=0,"",SUMIFS(BD!$AE$3:$AE$5001,BD!$A$3:$A$5001,N$3,BD!$B$3:$B$5001,$A$153)))</f>
        <v/>
      </c>
      <c r="O171" s="223" t="str">
        <f>IF(O$3="","",IF(COUNTIFS(BD!$A$3:$A$5001,O$3,BD!$B$3:$B$5001,$A$153,BD!$AE$3:$AE$5001,"&lt;&gt;")=0,"",SUMIFS(BD!$AE$3:$AE$5001,BD!$A$3:$A$5001,O$3,BD!$B$3:$B$5001,$A$153)))</f>
        <v/>
      </c>
      <c r="P171" s="223" t="str">
        <f>IF(P$3="","",IF(COUNTIFS(BD!$A$3:$A$5001,P$3,BD!$B$3:$B$5001,$A$153,BD!$AE$3:$AE$5001,"&lt;&gt;")=0,"",SUMIFS(BD!$AE$3:$AE$5001,BD!$A$3:$A$5001,P$3,BD!$B$3:$B$5001,$A$153)))</f>
        <v/>
      </c>
      <c r="Q171" s="223" t="str">
        <f>IF(Q$3="","",IF(COUNTIFS(BD!$A$3:$A$5001,Q$3,BD!$B$3:$B$5001,$A$153,BD!$AE$3:$AE$5001,"&lt;&gt;")=0,"",SUMIFS(BD!$AE$3:$AE$5001,BD!$A$3:$A$5001,Q$3,BD!$B$3:$B$5001,$A$153)))</f>
        <v/>
      </c>
      <c r="R171" s="223" t="str">
        <f>IF(R$3="","",IF(COUNTIFS(BD!$A$3:$A$5001,R$3,BD!$B$3:$B$5001,$A$153,BD!$AE$3:$AE$5001,"&lt;&gt;")=0,"",SUMIFS(BD!$AE$3:$AE$5001,BD!$A$3:$A$5001,R$3,BD!$B$3:$B$5001,$A$153)))</f>
        <v/>
      </c>
      <c r="S171" s="223" t="str">
        <f>IF(S$3="","",IF(COUNTIFS(BD!$A$3:$A$5001,S$3,BD!$B$3:$B$5001,$A$153,BD!$AE$3:$AE$5001,"&lt;&gt;")=0,"",SUMIFS(BD!$AE$3:$AE$5001,BD!$A$3:$A$5001,S$3,BD!$B$3:$B$5001,$A$153)))</f>
        <v/>
      </c>
      <c r="T171" s="223" t="str">
        <f>IF(T$3="","",IF(COUNTIFS(BD!$A$3:$A$5001,T$3,BD!$B$3:$B$5001,$A$153,BD!$AE$3:$AE$5001,"&lt;&gt;")=0,"",SUMIFS(BD!$AE$3:$AE$5001,BD!$A$3:$A$5001,T$3,BD!$B$3:$B$5001,$A$153)))</f>
        <v/>
      </c>
      <c r="U171" s="223" t="str">
        <f>IF(U$3="","",IF(COUNTIFS(BD!$A$3:$A$5001,U$3,BD!$B$3:$B$5001,$A$153,BD!$AE$3:$AE$5001,"&lt;&gt;")=0,"",SUMIFS(BD!$AE$3:$AE$5001,BD!$A$3:$A$5001,U$3,BD!$B$3:$B$5001,$A$153)))</f>
        <v/>
      </c>
      <c r="V171" s="223" t="str">
        <f>IF(V$3="","",IF(COUNTIFS(BD!$A$3:$A$5001,V$3,BD!$B$3:$B$5001,$A$153,BD!$AE$3:$AE$5001,"&lt;&gt;")=0,"",SUMIFS(BD!$AE$3:$AE$5001,BD!$A$3:$A$5001,V$3,BD!$B$3:$B$5001,$A$153)))</f>
        <v/>
      </c>
      <c r="W171" s="223" t="str">
        <f>IF(W$3="","",IF(COUNTIFS(BD!$A$3:$A$5001,W$3,BD!$B$3:$B$5001,$A$153,BD!$AE$3:$AE$5001,"&lt;&gt;")=0,"",SUMIFS(BD!$AE$3:$AE$5001,BD!$A$3:$A$5001,W$3,BD!$B$3:$B$5001,$A$153)))</f>
        <v/>
      </c>
      <c r="X171" s="223" t="str">
        <f>IF(X$3="","",IF(COUNTIFS(BD!$A$3:$A$5001,X$3,BD!$B$3:$B$5001,$A$153,BD!$AE$3:$AE$5001,"&lt;&gt;")=0,"",SUMIFS(BD!$AE$3:$AE$5001,BD!$A$3:$A$5001,X$3,BD!$B$3:$B$5001,$A$153)))</f>
        <v/>
      </c>
      <c r="Y171" s="223" t="str">
        <f>IF(Y$3="","",IF(COUNTIFS(BD!$A$3:$A$5001,Y$3,BD!$B$3:$B$5001,$A$153,BD!$AE$3:$AE$5001,"&lt;&gt;")=0,"",SUMIFS(BD!$AE$3:$AE$5001,BD!$A$3:$A$5001,Y$3,BD!$B$3:$B$5001,$A$153)))</f>
        <v/>
      </c>
      <c r="Z171" s="223" t="str">
        <f>IF(Z$3="","",IF(COUNTIFS(BD!$A$3:$A$5001,Z$3,BD!$B$3:$B$5001,$A$153,BD!$AE$3:$AE$5001,"&lt;&gt;")=0,"",SUMIFS(BD!$AE$3:$AE$5001,BD!$A$3:$A$5001,Z$3,BD!$B$3:$B$5001,$A$153)))</f>
        <v/>
      </c>
      <c r="AA171" s="223" t="str">
        <f>IF(AA$3="","",IF(COUNTIFS(BD!$A$3:$A$5001,AA$3,BD!$B$3:$B$5001,$A$153,BD!$AE$3:$AE$5001,"&lt;&gt;")=0,"",SUMIFS(BD!$AE$3:$AE$5001,BD!$A$3:$A$5001,AA$3,BD!$B$3:$B$5001,$A$153)))</f>
        <v/>
      </c>
      <c r="AB171" s="223" t="str">
        <f>IF(AB$3="","",IF(COUNTIFS(BD!$A$3:$A$5001,AB$3,BD!$B$3:$B$5001,$A$153,BD!$AE$3:$AE$5001,"&lt;&gt;")=0,"",SUMIFS(BD!$AE$3:$AE$5001,BD!$A$3:$A$5001,AB$3,BD!$B$3:$B$5001,$A$153)))</f>
        <v/>
      </c>
      <c r="AC171" s="223" t="str">
        <f>IF(AC$3="","",IF(COUNTIFS(BD!$A$3:$A$5001,AC$3,BD!$B$3:$B$5001,$A$153,BD!$AE$3:$AE$5001,"&lt;&gt;")=0,"",SUMIFS(BD!$AE$3:$AE$5001,BD!$A$3:$A$5001,AC$3,BD!$B$3:$B$5001,$A$153)))</f>
        <v/>
      </c>
      <c r="AD171" s="223" t="str">
        <f>IF(AD$3="","",IF(COUNTIFS(BD!$A$3:$A$5001,AD$3,BD!$B$3:$B$5001,$A$153,BD!$AE$3:$AE$5001,"&lt;&gt;")=0,"",SUMIFS(BD!$AE$3:$AE$5001,BD!$A$3:$A$5001,AD$3,BD!$B$3:$B$5001,$A$153)))</f>
        <v/>
      </c>
      <c r="AE171" s="223" t="str">
        <f>IF(AE$3="","",IF(COUNTIFS(BD!$A$3:$A$5001,AE$3,BD!$B$3:$B$5001,$A$153,BD!$AE$3:$AE$5001,"&lt;&gt;")=0,"",SUMIFS(BD!$AE$3:$AE$5001,BD!$A$3:$A$5001,AE$3,BD!$B$3:$B$5001,$A$153)))</f>
        <v/>
      </c>
      <c r="AF171" s="223" t="str">
        <f>IF(AF$3="","",IF(COUNTIFS(BD!$A$3:$A$5001,AF$3,BD!$B$3:$B$5001,$A$153,BD!$AE$3:$AE$5001,"&lt;&gt;")=0,"",SUMIFS(BD!$AE$3:$AE$5001,BD!$A$3:$A$5001,AF$3,BD!$B$3:$B$5001,$A$153)))</f>
        <v/>
      </c>
      <c r="AG171" s="223" t="str">
        <f>IF(AG$3="","",IF(COUNTIFS(BD!$A$3:$A$5001,AG$3,BD!$B$3:$B$5001,$A$153,BD!$AE$3:$AE$5001,"&lt;&gt;")=0,"",SUMIFS(BD!$AE$3:$AE$5001,BD!$A$3:$A$5001,AG$3,BD!$B$3:$B$5001,$A$153)))</f>
        <v/>
      </c>
      <c r="AH171" s="223" t="str">
        <f>IF(AH$3="","",IF(COUNTIFS(BD!$A$3:$A$5001,AH$3,BD!$B$3:$B$5001,$A$153,BD!$AE$3:$AE$5001,"&lt;&gt;")=0,"",SUMIFS(BD!$AE$3:$AE$5001,BD!$A$3:$A$5001,AH$3,BD!$B$3:$B$5001,$A$153)))</f>
        <v/>
      </c>
      <c r="AI171" s="223" t="str">
        <f>IF(AI$3="","",IF(COUNTIFS(BD!$A$3:$A$5001,AI$3,BD!$B$3:$B$5001,$A$153,BD!$AE$3:$AE$5001,"&lt;&gt;")=0,"",SUMIFS(BD!$AE$3:$AE$5001,BD!$A$3:$A$5001,AI$3,BD!$B$3:$B$5001,$A$153)))</f>
        <v/>
      </c>
      <c r="AJ171" s="224" t="str">
        <f>IF(AJ$3="","",IF(COUNTIFS(BD!$A$3:$A$5001,AJ$3,BD!$B$3:$B$5001,$A$153,BD!$AE$3:$AE$5001,"&lt;&gt;")=0,"",SUMIFS(BD!$AE$3:$AE$5001,BD!$A$3:$A$5001,AJ$3,BD!$B$3:$B$5001,$A$153)))</f>
        <v/>
      </c>
      <c r="AK171" s="225" t="str">
        <f>IF(COUNT(F171:AJ171)=0,"",SUM(F171:AJ171))</f>
        <v/>
      </c>
    </row>
    <row r="172" ht="15.75" customHeight="1">
      <c r="A172" s="245"/>
      <c r="B172" s="242"/>
      <c r="C172" s="226" t="inlineStr">
        <is>
          <t xml:space="preserve">Acidentes SAF</t>
        </is>
      </c>
      <c r="D172" s="227" t="str">
        <f>IFERROR(1/(1/INDEX(BD!$AJ$53:$BD$53,MATCH($A$153,BD!$AJ$22:$BD$22,0))),"")</f>
        <v/>
      </c>
      <c r="E172" s="228"/>
      <c r="F172" s="229" t="str">
        <f>IF(F$3="","",IF(COUNTIFS(BD!$A$3:$A$5001,F$3,BD!$B$3:$B$5001,$A$153,BD!$AF$3:$AF$5001,"&lt;&gt;")=0,"",SUMIFS(BD!$AF$3:$AF$5001,BD!$A$3:$A$5001,F$3,BD!$B$3:$B$5001,$A$153)))</f>
        <v/>
      </c>
      <c r="G172" s="230" t="str">
        <f>IF(G$3="","",IF(COUNTIFS(BD!$A$3:$A$5001,G$3,BD!$B$3:$B$5001,$A$153,BD!$AF$3:$AF$5001,"&lt;&gt;")=0,"",SUMIFS(BD!$AF$3:$AF$5001,BD!$A$3:$A$5001,G$3,BD!$B$3:$B$5001,$A$153)))</f>
        <v/>
      </c>
      <c r="H172" s="230" t="str">
        <f>IF(H$3="","",IF(COUNTIFS(BD!$A$3:$A$5001,H$3,BD!$B$3:$B$5001,$A$153,BD!$AF$3:$AF$5001,"&lt;&gt;")=0,"",SUMIFS(BD!$AF$3:$AF$5001,BD!$A$3:$A$5001,H$3,BD!$B$3:$B$5001,$A$153)))</f>
        <v/>
      </c>
      <c r="I172" s="230" t="str">
        <f>IF(I$3="","",IF(COUNTIFS(BD!$A$3:$A$5001,I$3,BD!$B$3:$B$5001,$A$153,BD!$AF$3:$AF$5001,"&lt;&gt;")=0,"",SUMIFS(BD!$AF$3:$AF$5001,BD!$A$3:$A$5001,I$3,BD!$B$3:$B$5001,$A$153)))</f>
        <v/>
      </c>
      <c r="J172" s="230" t="str">
        <f>IF(J$3="","",IF(COUNTIFS(BD!$A$3:$A$5001,J$3,BD!$B$3:$B$5001,$A$153,BD!$AF$3:$AF$5001,"&lt;&gt;")=0,"",SUMIFS(BD!$AF$3:$AF$5001,BD!$A$3:$A$5001,J$3,BD!$B$3:$B$5001,$A$153)))</f>
        <v/>
      </c>
      <c r="K172" s="230" t="str">
        <f>IF(K$3="","",IF(COUNTIFS(BD!$A$3:$A$5001,K$3,BD!$B$3:$B$5001,$A$153,BD!$AF$3:$AF$5001,"&lt;&gt;")=0,"",SUMIFS(BD!$AF$3:$AF$5001,BD!$A$3:$A$5001,K$3,BD!$B$3:$B$5001,$A$153)))</f>
        <v/>
      </c>
      <c r="L172" s="230" t="str">
        <f>IF(L$3="","",IF(COUNTIFS(BD!$A$3:$A$5001,L$3,BD!$B$3:$B$5001,$A$153,BD!$AF$3:$AF$5001,"&lt;&gt;")=0,"",SUMIFS(BD!$AF$3:$AF$5001,BD!$A$3:$A$5001,L$3,BD!$B$3:$B$5001,$A$153)))</f>
        <v/>
      </c>
      <c r="M172" s="230" t="str">
        <f>IF(M$3="","",IF(COUNTIFS(BD!$A$3:$A$5001,M$3,BD!$B$3:$B$5001,$A$153,BD!$AF$3:$AF$5001,"&lt;&gt;")=0,"",SUMIFS(BD!$AF$3:$AF$5001,BD!$A$3:$A$5001,M$3,BD!$B$3:$B$5001,$A$153)))</f>
        <v/>
      </c>
      <c r="N172" s="230" t="str">
        <f>IF(N$3="","",IF(COUNTIFS(BD!$A$3:$A$5001,N$3,BD!$B$3:$B$5001,$A$153,BD!$AF$3:$AF$5001,"&lt;&gt;")=0,"",SUMIFS(BD!$AF$3:$AF$5001,BD!$A$3:$A$5001,N$3,BD!$B$3:$B$5001,$A$153)))</f>
        <v/>
      </c>
      <c r="O172" s="230" t="str">
        <f>IF(O$3="","",IF(COUNTIFS(BD!$A$3:$A$5001,O$3,BD!$B$3:$B$5001,$A$153,BD!$AF$3:$AF$5001,"&lt;&gt;")=0,"",SUMIFS(BD!$AF$3:$AF$5001,BD!$A$3:$A$5001,O$3,BD!$B$3:$B$5001,$A$153)))</f>
        <v/>
      </c>
      <c r="P172" s="230" t="str">
        <f>IF(P$3="","",IF(COUNTIFS(BD!$A$3:$A$5001,P$3,BD!$B$3:$B$5001,$A$153,BD!$AF$3:$AF$5001,"&lt;&gt;")=0,"",SUMIFS(BD!$AF$3:$AF$5001,BD!$A$3:$A$5001,P$3,BD!$B$3:$B$5001,$A$153)))</f>
        <v/>
      </c>
      <c r="Q172" s="230" t="str">
        <f>IF(Q$3="","",IF(COUNTIFS(BD!$A$3:$A$5001,Q$3,BD!$B$3:$B$5001,$A$153,BD!$AF$3:$AF$5001,"&lt;&gt;")=0,"",SUMIFS(BD!$AF$3:$AF$5001,BD!$A$3:$A$5001,Q$3,BD!$B$3:$B$5001,$A$153)))</f>
        <v/>
      </c>
      <c r="R172" s="230" t="str">
        <f>IF(R$3="","",IF(COUNTIFS(BD!$A$3:$A$5001,R$3,BD!$B$3:$B$5001,$A$153,BD!$AF$3:$AF$5001,"&lt;&gt;")=0,"",SUMIFS(BD!$AF$3:$AF$5001,BD!$A$3:$A$5001,R$3,BD!$B$3:$B$5001,$A$153)))</f>
        <v/>
      </c>
      <c r="S172" s="230" t="str">
        <f>IF(S$3="","",IF(COUNTIFS(BD!$A$3:$A$5001,S$3,BD!$B$3:$B$5001,$A$153,BD!$AF$3:$AF$5001,"&lt;&gt;")=0,"",SUMIFS(BD!$AF$3:$AF$5001,BD!$A$3:$A$5001,S$3,BD!$B$3:$B$5001,$A$153)))</f>
        <v/>
      </c>
      <c r="T172" s="230" t="str">
        <f>IF(T$3="","",IF(COUNTIFS(BD!$A$3:$A$5001,T$3,BD!$B$3:$B$5001,$A$153,BD!$AF$3:$AF$5001,"&lt;&gt;")=0,"",SUMIFS(BD!$AF$3:$AF$5001,BD!$A$3:$A$5001,T$3,BD!$B$3:$B$5001,$A$153)))</f>
        <v/>
      </c>
      <c r="U172" s="230" t="str">
        <f>IF(U$3="","",IF(COUNTIFS(BD!$A$3:$A$5001,U$3,BD!$B$3:$B$5001,$A$153,BD!$AF$3:$AF$5001,"&lt;&gt;")=0,"",SUMIFS(BD!$AF$3:$AF$5001,BD!$A$3:$A$5001,U$3,BD!$B$3:$B$5001,$A$153)))</f>
        <v/>
      </c>
      <c r="V172" s="230" t="str">
        <f>IF(V$3="","",IF(COUNTIFS(BD!$A$3:$A$5001,V$3,BD!$B$3:$B$5001,$A$153,BD!$AF$3:$AF$5001,"&lt;&gt;")=0,"",SUMIFS(BD!$AF$3:$AF$5001,BD!$A$3:$A$5001,V$3,BD!$B$3:$B$5001,$A$153)))</f>
        <v/>
      </c>
      <c r="W172" s="230" t="str">
        <f>IF(W$3="","",IF(COUNTIFS(BD!$A$3:$A$5001,W$3,BD!$B$3:$B$5001,$A$153,BD!$AF$3:$AF$5001,"&lt;&gt;")=0,"",SUMIFS(BD!$AF$3:$AF$5001,BD!$A$3:$A$5001,W$3,BD!$B$3:$B$5001,$A$153)))</f>
        <v/>
      </c>
      <c r="X172" s="230" t="str">
        <f>IF(X$3="","",IF(COUNTIFS(BD!$A$3:$A$5001,X$3,BD!$B$3:$B$5001,$A$153,BD!$AF$3:$AF$5001,"&lt;&gt;")=0,"",SUMIFS(BD!$AF$3:$AF$5001,BD!$A$3:$A$5001,X$3,BD!$B$3:$B$5001,$A$153)))</f>
        <v/>
      </c>
      <c r="Y172" s="230" t="str">
        <f>IF(Y$3="","",IF(COUNTIFS(BD!$A$3:$A$5001,Y$3,BD!$B$3:$B$5001,$A$153,BD!$AF$3:$AF$5001,"&lt;&gt;")=0,"",SUMIFS(BD!$AF$3:$AF$5001,BD!$A$3:$A$5001,Y$3,BD!$B$3:$B$5001,$A$153)))</f>
        <v/>
      </c>
      <c r="Z172" s="230" t="str">
        <f>IF(Z$3="","",IF(COUNTIFS(BD!$A$3:$A$5001,Z$3,BD!$B$3:$B$5001,$A$153,BD!$AF$3:$AF$5001,"&lt;&gt;")=0,"",SUMIFS(BD!$AF$3:$AF$5001,BD!$A$3:$A$5001,Z$3,BD!$B$3:$B$5001,$A$153)))</f>
        <v/>
      </c>
      <c r="AA172" s="230" t="str">
        <f>IF(AA$3="","",IF(COUNTIFS(BD!$A$3:$A$5001,AA$3,BD!$B$3:$B$5001,$A$153,BD!$AF$3:$AF$5001,"&lt;&gt;")=0,"",SUMIFS(BD!$AF$3:$AF$5001,BD!$A$3:$A$5001,AA$3,BD!$B$3:$B$5001,$A$153)))</f>
        <v/>
      </c>
      <c r="AB172" s="230" t="str">
        <f>IF(AB$3="","",IF(COUNTIFS(BD!$A$3:$A$5001,AB$3,BD!$B$3:$B$5001,$A$153,BD!$AF$3:$AF$5001,"&lt;&gt;")=0,"",SUMIFS(BD!$AF$3:$AF$5001,BD!$A$3:$A$5001,AB$3,BD!$B$3:$B$5001,$A$153)))</f>
        <v/>
      </c>
      <c r="AC172" s="230" t="str">
        <f>IF(AC$3="","",IF(COUNTIFS(BD!$A$3:$A$5001,AC$3,BD!$B$3:$B$5001,$A$153,BD!$AF$3:$AF$5001,"&lt;&gt;")=0,"",SUMIFS(BD!$AF$3:$AF$5001,BD!$A$3:$A$5001,AC$3,BD!$B$3:$B$5001,$A$153)))</f>
        <v/>
      </c>
      <c r="AD172" s="230" t="str">
        <f>IF(AD$3="","",IF(COUNTIFS(BD!$A$3:$A$5001,AD$3,BD!$B$3:$B$5001,$A$153,BD!$AF$3:$AF$5001,"&lt;&gt;")=0,"",SUMIFS(BD!$AF$3:$AF$5001,BD!$A$3:$A$5001,AD$3,BD!$B$3:$B$5001,$A$153)))</f>
        <v/>
      </c>
      <c r="AE172" s="230" t="str">
        <f>IF(AE$3="","",IF(COUNTIFS(BD!$A$3:$A$5001,AE$3,BD!$B$3:$B$5001,$A$153,BD!$AF$3:$AF$5001,"&lt;&gt;")=0,"",SUMIFS(BD!$AF$3:$AF$5001,BD!$A$3:$A$5001,AE$3,BD!$B$3:$B$5001,$A$153)))</f>
        <v/>
      </c>
      <c r="AF172" s="230" t="str">
        <f>IF(AF$3="","",IF(COUNTIFS(BD!$A$3:$A$5001,AF$3,BD!$B$3:$B$5001,$A$153,BD!$AF$3:$AF$5001,"&lt;&gt;")=0,"",SUMIFS(BD!$AF$3:$AF$5001,BD!$A$3:$A$5001,AF$3,BD!$B$3:$B$5001,$A$153)))</f>
        <v/>
      </c>
      <c r="AG172" s="230" t="str">
        <f>IF(AG$3="","",IF(COUNTIFS(BD!$A$3:$A$5001,AG$3,BD!$B$3:$B$5001,$A$153,BD!$AF$3:$AF$5001,"&lt;&gt;")=0,"",SUMIFS(BD!$AF$3:$AF$5001,BD!$A$3:$A$5001,AG$3,BD!$B$3:$B$5001,$A$153)))</f>
        <v/>
      </c>
      <c r="AH172" s="230" t="str">
        <f>IF(AH$3="","",IF(COUNTIFS(BD!$A$3:$A$5001,AH$3,BD!$B$3:$B$5001,$A$153,BD!$AF$3:$AF$5001,"&lt;&gt;")=0,"",SUMIFS(BD!$AF$3:$AF$5001,BD!$A$3:$A$5001,AH$3,BD!$B$3:$B$5001,$A$153)))</f>
        <v/>
      </c>
      <c r="AI172" s="230" t="str">
        <f>IF(AI$3="","",IF(COUNTIFS(BD!$A$3:$A$5001,AI$3,BD!$B$3:$B$5001,$A$153,BD!$AF$3:$AF$5001,"&lt;&gt;")=0,"",SUMIFS(BD!$AF$3:$AF$5001,BD!$A$3:$A$5001,AI$3,BD!$B$3:$B$5001,$A$153)))</f>
        <v/>
      </c>
      <c r="AJ172" s="231" t="str">
        <f>IF(AJ$3="","",IF(COUNTIFS(BD!$A$3:$A$5001,AJ$3,BD!$B$3:$B$5001,$A$153,BD!$AF$3:$AF$5001,"&lt;&gt;")=0,"",SUMIFS(BD!$AF$3:$AF$5001,BD!$A$3:$A$5001,AJ$3,BD!$B$3:$B$5001,$A$153)))</f>
        <v/>
      </c>
      <c r="AK172" s="227" t="str">
        <f>IF(COUNT(F172:AJ172)=0,"",SUM(F172:AJ172))</f>
        <v/>
      </c>
    </row>
    <row r="174" ht="15.75" customHeight="1">
      <c r="A174" s="243" t="inlineStr">
        <is>
          <t xml:space="preserve">Vedacit</t>
        </is>
      </c>
      <c r="B174" s="232" t="inlineStr">
        <is>
          <t xml:space="preserve">IN</t>
        </is>
      </c>
      <c r="C174" s="155" t="inlineStr">
        <is>
          <t xml:space="preserve">Veículos Recebidos</t>
        </is>
      </c>
      <c r="D174" s="156" t="str">
        <f>IFERROR(1/(1/INDEX(BD!$AJ$23:$BD$23,MATCH($A$174,BD!$AJ$22:$BD$22,0))),"")</f>
        <v/>
      </c>
      <c r="E174" s="157"/>
      <c r="F174" s="158" t="str">
        <f>IF(F$3="","",IF(COUNTIFS(BD!$A$3:$A$5001,F$3,BD!$B$3:$B$5001,$A$174,BD!$C$3:$C$5001,"&lt;&gt;")=0,"",SUMIFS(BD!$C$3:$C$5001,BD!$A$3:$A$5001,F$3,BD!$B$3:$B$5001,$A$174)))</f>
        <v/>
      </c>
      <c r="G174" s="159" t="str">
        <f>IF(G$3="","",IF(COUNTIFS(BD!$A$3:$A$5001,G$3,BD!$B$3:$B$5001,$A$174,BD!$C$3:$C$5001,"&lt;&gt;")=0,"",SUMIFS(BD!$C$3:$C$5001,BD!$A$3:$A$5001,G$3,BD!$B$3:$B$5001,$A$174)))</f>
        <v/>
      </c>
      <c r="H174" s="159" t="str">
        <f>IF(H$3="","",IF(COUNTIFS(BD!$A$3:$A$5001,H$3,BD!$B$3:$B$5001,$A$174,BD!$C$3:$C$5001,"&lt;&gt;")=0,"",SUMIFS(BD!$C$3:$C$5001,BD!$A$3:$A$5001,H$3,BD!$B$3:$B$5001,$A$174)))</f>
        <v/>
      </c>
      <c r="I174" s="159" t="str">
        <f>IF(I$3="","",IF(COUNTIFS(BD!$A$3:$A$5001,I$3,BD!$B$3:$B$5001,$A$174,BD!$C$3:$C$5001,"&lt;&gt;")=0,"",SUMIFS(BD!$C$3:$C$5001,BD!$A$3:$A$5001,I$3,BD!$B$3:$B$5001,$A$174)))</f>
        <v/>
      </c>
      <c r="J174" s="159" t="str">
        <f>IF(J$3="","",IF(COUNTIFS(BD!$A$3:$A$5001,J$3,BD!$B$3:$B$5001,$A$174,BD!$C$3:$C$5001,"&lt;&gt;")=0,"",SUMIFS(BD!$C$3:$C$5001,BD!$A$3:$A$5001,J$3,BD!$B$3:$B$5001,$A$174)))</f>
        <v/>
      </c>
      <c r="K174" s="159" t="str">
        <f>IF(K$3="","",IF(COUNTIFS(BD!$A$3:$A$5001,K$3,BD!$B$3:$B$5001,$A$174,BD!$C$3:$C$5001,"&lt;&gt;")=0,"",SUMIFS(BD!$C$3:$C$5001,BD!$A$3:$A$5001,K$3,BD!$B$3:$B$5001,$A$174)))</f>
        <v/>
      </c>
      <c r="L174" s="159" t="str">
        <f>IF(L$3="","",IF(COUNTIFS(BD!$A$3:$A$5001,L$3,BD!$B$3:$B$5001,$A$174,BD!$C$3:$C$5001,"&lt;&gt;")=0,"",SUMIFS(BD!$C$3:$C$5001,BD!$A$3:$A$5001,L$3,BD!$B$3:$B$5001,$A$174)))</f>
        <v/>
      </c>
      <c r="M174" s="159" t="str">
        <f>IF(M$3="","",IF(COUNTIFS(BD!$A$3:$A$5001,M$3,BD!$B$3:$B$5001,$A$174,BD!$C$3:$C$5001,"&lt;&gt;")=0,"",SUMIFS(BD!$C$3:$C$5001,BD!$A$3:$A$5001,M$3,BD!$B$3:$B$5001,$A$174)))</f>
        <v/>
      </c>
      <c r="N174" s="159" t="str">
        <f>IF(N$3="","",IF(COUNTIFS(BD!$A$3:$A$5001,N$3,BD!$B$3:$B$5001,$A$174,BD!$C$3:$C$5001,"&lt;&gt;")=0,"",SUMIFS(BD!$C$3:$C$5001,BD!$A$3:$A$5001,N$3,BD!$B$3:$B$5001,$A$174)))</f>
        <v/>
      </c>
      <c r="O174" s="159" t="str">
        <f>IF(O$3="","",IF(COUNTIFS(BD!$A$3:$A$5001,O$3,BD!$B$3:$B$5001,$A$174,BD!$C$3:$C$5001,"&lt;&gt;")=0,"",SUMIFS(BD!$C$3:$C$5001,BD!$A$3:$A$5001,O$3,BD!$B$3:$B$5001,$A$174)))</f>
        <v/>
      </c>
      <c r="P174" s="159" t="str">
        <f>IF(P$3="","",IF(COUNTIFS(BD!$A$3:$A$5001,P$3,BD!$B$3:$B$5001,$A$174,BD!$C$3:$C$5001,"&lt;&gt;")=0,"",SUMIFS(BD!$C$3:$C$5001,BD!$A$3:$A$5001,P$3,BD!$B$3:$B$5001,$A$174)))</f>
        <v/>
      </c>
      <c r="Q174" s="159" t="str">
        <f>IF(Q$3="","",IF(COUNTIFS(BD!$A$3:$A$5001,Q$3,BD!$B$3:$B$5001,$A$174,BD!$C$3:$C$5001,"&lt;&gt;")=0,"",SUMIFS(BD!$C$3:$C$5001,BD!$A$3:$A$5001,Q$3,BD!$B$3:$B$5001,$A$174)))</f>
        <v/>
      </c>
      <c r="R174" s="159" t="str">
        <f>IF(R$3="","",IF(COUNTIFS(BD!$A$3:$A$5001,R$3,BD!$B$3:$B$5001,$A$174,BD!$C$3:$C$5001,"&lt;&gt;")=0,"",SUMIFS(BD!$C$3:$C$5001,BD!$A$3:$A$5001,R$3,BD!$B$3:$B$5001,$A$174)))</f>
        <v/>
      </c>
      <c r="S174" s="159" t="str">
        <f>IF(S$3="","",IF(COUNTIFS(BD!$A$3:$A$5001,S$3,BD!$B$3:$B$5001,$A$174,BD!$C$3:$C$5001,"&lt;&gt;")=0,"",SUMIFS(BD!$C$3:$C$5001,BD!$A$3:$A$5001,S$3,BD!$B$3:$B$5001,$A$174)))</f>
        <v/>
      </c>
      <c r="T174" s="159" t="str">
        <f>IF(T$3="","",IF(COUNTIFS(BD!$A$3:$A$5001,T$3,BD!$B$3:$B$5001,$A$174,BD!$C$3:$C$5001,"&lt;&gt;")=0,"",SUMIFS(BD!$C$3:$C$5001,BD!$A$3:$A$5001,T$3,BD!$B$3:$B$5001,$A$174)))</f>
        <v/>
      </c>
      <c r="U174" s="159" t="str">
        <f>IF(U$3="","",IF(COUNTIFS(BD!$A$3:$A$5001,U$3,BD!$B$3:$B$5001,$A$174,BD!$C$3:$C$5001,"&lt;&gt;")=0,"",SUMIFS(BD!$C$3:$C$5001,BD!$A$3:$A$5001,U$3,BD!$B$3:$B$5001,$A$174)))</f>
        <v/>
      </c>
      <c r="V174" s="159" t="str">
        <f>IF(V$3="","",IF(COUNTIFS(BD!$A$3:$A$5001,V$3,BD!$B$3:$B$5001,$A$174,BD!$C$3:$C$5001,"&lt;&gt;")=0,"",SUMIFS(BD!$C$3:$C$5001,BD!$A$3:$A$5001,V$3,BD!$B$3:$B$5001,$A$174)))</f>
        <v/>
      </c>
      <c r="W174" s="159" t="str">
        <f>IF(W$3="","",IF(COUNTIFS(BD!$A$3:$A$5001,W$3,BD!$B$3:$B$5001,$A$174,BD!$C$3:$C$5001,"&lt;&gt;")=0,"",SUMIFS(BD!$C$3:$C$5001,BD!$A$3:$A$5001,W$3,BD!$B$3:$B$5001,$A$174)))</f>
        <v/>
      </c>
      <c r="X174" s="159" t="str">
        <f>IF(X$3="","",IF(COUNTIFS(BD!$A$3:$A$5001,X$3,BD!$B$3:$B$5001,$A$174,BD!$C$3:$C$5001,"&lt;&gt;")=0,"",SUMIFS(BD!$C$3:$C$5001,BD!$A$3:$A$5001,X$3,BD!$B$3:$B$5001,$A$174)))</f>
        <v/>
      </c>
      <c r="Y174" s="159" t="str">
        <f>IF(Y$3="","",IF(COUNTIFS(BD!$A$3:$A$5001,Y$3,BD!$B$3:$B$5001,$A$174,BD!$C$3:$C$5001,"&lt;&gt;")=0,"",SUMIFS(BD!$C$3:$C$5001,BD!$A$3:$A$5001,Y$3,BD!$B$3:$B$5001,$A$174)))</f>
        <v/>
      </c>
      <c r="Z174" s="159" t="str">
        <f>IF(Z$3="","",IF(COUNTIFS(BD!$A$3:$A$5001,Z$3,BD!$B$3:$B$5001,$A$174,BD!$C$3:$C$5001,"&lt;&gt;")=0,"",SUMIFS(BD!$C$3:$C$5001,BD!$A$3:$A$5001,Z$3,BD!$B$3:$B$5001,$A$174)))</f>
        <v/>
      </c>
      <c r="AA174" s="159" t="str">
        <f>IF(AA$3="","",IF(COUNTIFS(BD!$A$3:$A$5001,AA$3,BD!$B$3:$B$5001,$A$174,BD!$C$3:$C$5001,"&lt;&gt;")=0,"",SUMIFS(BD!$C$3:$C$5001,BD!$A$3:$A$5001,AA$3,BD!$B$3:$B$5001,$A$174)))</f>
        <v/>
      </c>
      <c r="AB174" s="159" t="str">
        <f>IF(AB$3="","",IF(COUNTIFS(BD!$A$3:$A$5001,AB$3,BD!$B$3:$B$5001,$A$174,BD!$C$3:$C$5001,"&lt;&gt;")=0,"",SUMIFS(BD!$C$3:$C$5001,BD!$A$3:$A$5001,AB$3,BD!$B$3:$B$5001,$A$174)))</f>
        <v/>
      </c>
      <c r="AC174" s="159" t="str">
        <f>IF(AC$3="","",IF(COUNTIFS(BD!$A$3:$A$5001,AC$3,BD!$B$3:$B$5001,$A$174,BD!$C$3:$C$5001,"&lt;&gt;")=0,"",SUMIFS(BD!$C$3:$C$5001,BD!$A$3:$A$5001,AC$3,BD!$B$3:$B$5001,$A$174)))</f>
        <v/>
      </c>
      <c r="AD174" s="159" t="str">
        <f>IF(AD$3="","",IF(COUNTIFS(BD!$A$3:$A$5001,AD$3,BD!$B$3:$B$5001,$A$174,BD!$C$3:$C$5001,"&lt;&gt;")=0,"",SUMIFS(BD!$C$3:$C$5001,BD!$A$3:$A$5001,AD$3,BD!$B$3:$B$5001,$A$174)))</f>
        <v/>
      </c>
      <c r="AE174" s="159" t="str">
        <f>IF(AE$3="","",IF(COUNTIFS(BD!$A$3:$A$5001,AE$3,BD!$B$3:$B$5001,$A$174,BD!$C$3:$C$5001,"&lt;&gt;")=0,"",SUMIFS(BD!$C$3:$C$5001,BD!$A$3:$A$5001,AE$3,BD!$B$3:$B$5001,$A$174)))</f>
        <v/>
      </c>
      <c r="AF174" s="159" t="str">
        <f>IF(AF$3="","",IF(COUNTIFS(BD!$A$3:$A$5001,AF$3,BD!$B$3:$B$5001,$A$174,BD!$C$3:$C$5001,"&lt;&gt;")=0,"",SUMIFS(BD!$C$3:$C$5001,BD!$A$3:$A$5001,AF$3,BD!$B$3:$B$5001,$A$174)))</f>
        <v/>
      </c>
      <c r="AG174" s="159" t="str">
        <f>IF(AG$3="","",IF(COUNTIFS(BD!$A$3:$A$5001,AG$3,BD!$B$3:$B$5001,$A$174,BD!$C$3:$C$5001,"&lt;&gt;")=0,"",SUMIFS(BD!$C$3:$C$5001,BD!$A$3:$A$5001,AG$3,BD!$B$3:$B$5001,$A$174)))</f>
        <v/>
      </c>
      <c r="AH174" s="159" t="str">
        <f>IF(AH$3="","",IF(COUNTIFS(BD!$A$3:$A$5001,AH$3,BD!$B$3:$B$5001,$A$174,BD!$C$3:$C$5001,"&lt;&gt;")=0,"",SUMIFS(BD!$C$3:$C$5001,BD!$A$3:$A$5001,AH$3,BD!$B$3:$B$5001,$A$174)))</f>
        <v/>
      </c>
      <c r="AI174" s="159" t="str">
        <f>IF(AI$3="","",IF(COUNTIFS(BD!$A$3:$A$5001,AI$3,BD!$B$3:$B$5001,$A$174,BD!$C$3:$C$5001,"&lt;&gt;")=0,"",SUMIFS(BD!$C$3:$C$5001,BD!$A$3:$A$5001,AI$3,BD!$B$3:$B$5001,$A$174)))</f>
        <v/>
      </c>
      <c r="AJ174" s="160" t="str">
        <f>IF(AJ$3="","",IF(COUNTIFS(BD!$A$3:$A$5001,AJ$3,BD!$B$3:$B$5001,$A$174,BD!$C$3:$C$5001,"&lt;&gt;")=0,"",SUMIFS(BD!$C$3:$C$5001,BD!$A$3:$A$5001,AJ$3,BD!$B$3:$B$5001,$A$174)))</f>
        <v/>
      </c>
      <c r="AK174" s="161" t="str">
        <f>IF(COUNT(F174:AJ174)=0,"",SUM(F174:AJ174))</f>
        <v/>
      </c>
    </row>
    <row r="175" ht="15.75" customHeight="1">
      <c r="A175" s="244"/>
      <c r="B175" s="233"/>
      <c r="C175" s="162" t="inlineStr">
        <is>
          <t xml:space="preserve">Pallets Movimentados</t>
        </is>
      </c>
      <c r="D175" s="163" t="str">
        <f>IFERROR(1/(1/INDEX(BD!$AJ$24:$BD$24,MATCH($A$174,BD!$AJ$22:$BD$22,0))),"")</f>
        <v/>
      </c>
      <c r="E175" s="164"/>
      <c r="F175" s="165" t="str">
        <f>IF(F$3="","",IF(COUNTIFS(BD!$A$3:$A$5001,F$3,BD!$B$3:$B$5001,$A$174,BD!$D$3:$D$5001,"&lt;&gt;")=0,"",SUMIFS(BD!$D$3:$D$5001,BD!$A$3:$A$5001,F$3,BD!$B$3:$B$5001,$A$174)))</f>
        <v/>
      </c>
      <c r="G175" s="166" t="str">
        <f>IF(G$3="","",IF(COUNTIFS(BD!$A$3:$A$5001,G$3,BD!$B$3:$B$5001,$A$174,BD!$D$3:$D$5001,"&lt;&gt;")=0,"",SUMIFS(BD!$D$3:$D$5001,BD!$A$3:$A$5001,G$3,BD!$B$3:$B$5001,$A$174)))</f>
        <v/>
      </c>
      <c r="H175" s="166" t="str">
        <f>IF(H$3="","",IF(COUNTIFS(BD!$A$3:$A$5001,H$3,BD!$B$3:$B$5001,$A$174,BD!$D$3:$D$5001,"&lt;&gt;")=0,"",SUMIFS(BD!$D$3:$D$5001,BD!$A$3:$A$5001,H$3,BD!$B$3:$B$5001,$A$174)))</f>
        <v/>
      </c>
      <c r="I175" s="166" t="str">
        <f>IF(I$3="","",IF(COUNTIFS(BD!$A$3:$A$5001,I$3,BD!$B$3:$B$5001,$A$174,BD!$D$3:$D$5001,"&lt;&gt;")=0,"",SUMIFS(BD!$D$3:$D$5001,BD!$A$3:$A$5001,I$3,BD!$B$3:$B$5001,$A$174)))</f>
        <v/>
      </c>
      <c r="J175" s="166" t="str">
        <f>IF(J$3="","",IF(COUNTIFS(BD!$A$3:$A$5001,J$3,BD!$B$3:$B$5001,$A$174,BD!$D$3:$D$5001,"&lt;&gt;")=0,"",SUMIFS(BD!$D$3:$D$5001,BD!$A$3:$A$5001,J$3,BD!$B$3:$B$5001,$A$174)))</f>
        <v/>
      </c>
      <c r="K175" s="166" t="str">
        <f>IF(K$3="","",IF(COUNTIFS(BD!$A$3:$A$5001,K$3,BD!$B$3:$B$5001,$A$174,BD!$D$3:$D$5001,"&lt;&gt;")=0,"",SUMIFS(BD!$D$3:$D$5001,BD!$A$3:$A$5001,K$3,BD!$B$3:$B$5001,$A$174)))</f>
        <v/>
      </c>
      <c r="L175" s="166" t="str">
        <f>IF(L$3="","",IF(COUNTIFS(BD!$A$3:$A$5001,L$3,BD!$B$3:$B$5001,$A$174,BD!$D$3:$D$5001,"&lt;&gt;")=0,"",SUMIFS(BD!$D$3:$D$5001,BD!$A$3:$A$5001,L$3,BD!$B$3:$B$5001,$A$174)))</f>
        <v/>
      </c>
      <c r="M175" s="166" t="str">
        <f>IF(M$3="","",IF(COUNTIFS(BD!$A$3:$A$5001,M$3,BD!$B$3:$B$5001,$A$174,BD!$D$3:$D$5001,"&lt;&gt;")=0,"",SUMIFS(BD!$D$3:$D$5001,BD!$A$3:$A$5001,M$3,BD!$B$3:$B$5001,$A$174)))</f>
        <v/>
      </c>
      <c r="N175" s="166" t="str">
        <f>IF(N$3="","",IF(COUNTIFS(BD!$A$3:$A$5001,N$3,BD!$B$3:$B$5001,$A$174,BD!$D$3:$D$5001,"&lt;&gt;")=0,"",SUMIFS(BD!$D$3:$D$5001,BD!$A$3:$A$5001,N$3,BD!$B$3:$B$5001,$A$174)))</f>
        <v/>
      </c>
      <c r="O175" s="166" t="str">
        <f>IF(O$3="","",IF(COUNTIFS(BD!$A$3:$A$5001,O$3,BD!$B$3:$B$5001,$A$174,BD!$D$3:$D$5001,"&lt;&gt;")=0,"",SUMIFS(BD!$D$3:$D$5001,BD!$A$3:$A$5001,O$3,BD!$B$3:$B$5001,$A$174)))</f>
        <v/>
      </c>
      <c r="P175" s="166" t="str">
        <f>IF(P$3="","",IF(COUNTIFS(BD!$A$3:$A$5001,P$3,BD!$B$3:$B$5001,$A$174,BD!$D$3:$D$5001,"&lt;&gt;")=0,"",SUMIFS(BD!$D$3:$D$5001,BD!$A$3:$A$5001,P$3,BD!$B$3:$B$5001,$A$174)))</f>
        <v/>
      </c>
      <c r="Q175" s="166" t="str">
        <f>IF(Q$3="","",IF(COUNTIFS(BD!$A$3:$A$5001,Q$3,BD!$B$3:$B$5001,$A$174,BD!$D$3:$D$5001,"&lt;&gt;")=0,"",SUMIFS(BD!$D$3:$D$5001,BD!$A$3:$A$5001,Q$3,BD!$B$3:$B$5001,$A$174)))</f>
        <v/>
      </c>
      <c r="R175" s="166" t="str">
        <f>IF(R$3="","",IF(COUNTIFS(BD!$A$3:$A$5001,R$3,BD!$B$3:$B$5001,$A$174,BD!$D$3:$D$5001,"&lt;&gt;")=0,"",SUMIFS(BD!$D$3:$D$5001,BD!$A$3:$A$5001,R$3,BD!$B$3:$B$5001,$A$174)))</f>
        <v/>
      </c>
      <c r="S175" s="166" t="str">
        <f>IF(S$3="","",IF(COUNTIFS(BD!$A$3:$A$5001,S$3,BD!$B$3:$B$5001,$A$174,BD!$D$3:$D$5001,"&lt;&gt;")=0,"",SUMIFS(BD!$D$3:$D$5001,BD!$A$3:$A$5001,S$3,BD!$B$3:$B$5001,$A$174)))</f>
        <v/>
      </c>
      <c r="T175" s="166" t="str">
        <f>IF(T$3="","",IF(COUNTIFS(BD!$A$3:$A$5001,T$3,BD!$B$3:$B$5001,$A$174,BD!$D$3:$D$5001,"&lt;&gt;")=0,"",SUMIFS(BD!$D$3:$D$5001,BD!$A$3:$A$5001,T$3,BD!$B$3:$B$5001,$A$174)))</f>
        <v/>
      </c>
      <c r="U175" s="166" t="str">
        <f>IF(U$3="","",IF(COUNTIFS(BD!$A$3:$A$5001,U$3,BD!$B$3:$B$5001,$A$174,BD!$D$3:$D$5001,"&lt;&gt;")=0,"",SUMIFS(BD!$D$3:$D$5001,BD!$A$3:$A$5001,U$3,BD!$B$3:$B$5001,$A$174)))</f>
        <v/>
      </c>
      <c r="V175" s="166" t="str">
        <f>IF(V$3="","",IF(COUNTIFS(BD!$A$3:$A$5001,V$3,BD!$B$3:$B$5001,$A$174,BD!$D$3:$D$5001,"&lt;&gt;")=0,"",SUMIFS(BD!$D$3:$D$5001,BD!$A$3:$A$5001,V$3,BD!$B$3:$B$5001,$A$174)))</f>
        <v/>
      </c>
      <c r="W175" s="166" t="str">
        <f>IF(W$3="","",IF(COUNTIFS(BD!$A$3:$A$5001,W$3,BD!$B$3:$B$5001,$A$174,BD!$D$3:$D$5001,"&lt;&gt;")=0,"",SUMIFS(BD!$D$3:$D$5001,BD!$A$3:$A$5001,W$3,BD!$B$3:$B$5001,$A$174)))</f>
        <v/>
      </c>
      <c r="X175" s="166" t="str">
        <f>IF(X$3="","",IF(COUNTIFS(BD!$A$3:$A$5001,X$3,BD!$B$3:$B$5001,$A$174,BD!$D$3:$D$5001,"&lt;&gt;")=0,"",SUMIFS(BD!$D$3:$D$5001,BD!$A$3:$A$5001,X$3,BD!$B$3:$B$5001,$A$174)))</f>
        <v/>
      </c>
      <c r="Y175" s="166" t="str">
        <f>IF(Y$3="","",IF(COUNTIFS(BD!$A$3:$A$5001,Y$3,BD!$B$3:$B$5001,$A$174,BD!$D$3:$D$5001,"&lt;&gt;")=0,"",SUMIFS(BD!$D$3:$D$5001,BD!$A$3:$A$5001,Y$3,BD!$B$3:$B$5001,$A$174)))</f>
        <v/>
      </c>
      <c r="Z175" s="166" t="str">
        <f>IF(Z$3="","",IF(COUNTIFS(BD!$A$3:$A$5001,Z$3,BD!$B$3:$B$5001,$A$174,BD!$D$3:$D$5001,"&lt;&gt;")=0,"",SUMIFS(BD!$D$3:$D$5001,BD!$A$3:$A$5001,Z$3,BD!$B$3:$B$5001,$A$174)))</f>
        <v/>
      </c>
      <c r="AA175" s="166" t="str">
        <f>IF(AA$3="","",IF(COUNTIFS(BD!$A$3:$A$5001,AA$3,BD!$B$3:$B$5001,$A$174,BD!$D$3:$D$5001,"&lt;&gt;")=0,"",SUMIFS(BD!$D$3:$D$5001,BD!$A$3:$A$5001,AA$3,BD!$B$3:$B$5001,$A$174)))</f>
        <v/>
      </c>
      <c r="AB175" s="166" t="str">
        <f>IF(AB$3="","",IF(COUNTIFS(BD!$A$3:$A$5001,AB$3,BD!$B$3:$B$5001,$A$174,BD!$D$3:$D$5001,"&lt;&gt;")=0,"",SUMIFS(BD!$D$3:$D$5001,BD!$A$3:$A$5001,AB$3,BD!$B$3:$B$5001,$A$174)))</f>
        <v/>
      </c>
      <c r="AC175" s="166" t="str">
        <f>IF(AC$3="","",IF(COUNTIFS(BD!$A$3:$A$5001,AC$3,BD!$B$3:$B$5001,$A$174,BD!$D$3:$D$5001,"&lt;&gt;")=0,"",SUMIFS(BD!$D$3:$D$5001,BD!$A$3:$A$5001,AC$3,BD!$B$3:$B$5001,$A$174)))</f>
        <v/>
      </c>
      <c r="AD175" s="166" t="str">
        <f>IF(AD$3="","",IF(COUNTIFS(BD!$A$3:$A$5001,AD$3,BD!$B$3:$B$5001,$A$174,BD!$D$3:$D$5001,"&lt;&gt;")=0,"",SUMIFS(BD!$D$3:$D$5001,BD!$A$3:$A$5001,AD$3,BD!$B$3:$B$5001,$A$174)))</f>
        <v/>
      </c>
      <c r="AE175" s="166" t="str">
        <f>IF(AE$3="","",IF(COUNTIFS(BD!$A$3:$A$5001,AE$3,BD!$B$3:$B$5001,$A$174,BD!$D$3:$D$5001,"&lt;&gt;")=0,"",SUMIFS(BD!$D$3:$D$5001,BD!$A$3:$A$5001,AE$3,BD!$B$3:$B$5001,$A$174)))</f>
        <v/>
      </c>
      <c r="AF175" s="166" t="str">
        <f>IF(AF$3="","",IF(COUNTIFS(BD!$A$3:$A$5001,AF$3,BD!$B$3:$B$5001,$A$174,BD!$D$3:$D$5001,"&lt;&gt;")=0,"",SUMIFS(BD!$D$3:$D$5001,BD!$A$3:$A$5001,AF$3,BD!$B$3:$B$5001,$A$174)))</f>
        <v/>
      </c>
      <c r="AG175" s="166" t="str">
        <f>IF(AG$3="","",IF(COUNTIFS(BD!$A$3:$A$5001,AG$3,BD!$B$3:$B$5001,$A$174,BD!$D$3:$D$5001,"&lt;&gt;")=0,"",SUMIFS(BD!$D$3:$D$5001,BD!$A$3:$A$5001,AG$3,BD!$B$3:$B$5001,$A$174)))</f>
        <v/>
      </c>
      <c r="AH175" s="166" t="str">
        <f>IF(AH$3="","",IF(COUNTIFS(BD!$A$3:$A$5001,AH$3,BD!$B$3:$B$5001,$A$174,BD!$D$3:$D$5001,"&lt;&gt;")=0,"",SUMIFS(BD!$D$3:$D$5001,BD!$A$3:$A$5001,AH$3,BD!$B$3:$B$5001,$A$174)))</f>
        <v/>
      </c>
      <c r="AI175" s="166" t="str">
        <f>IF(AI$3="","",IF(COUNTIFS(BD!$A$3:$A$5001,AI$3,BD!$B$3:$B$5001,$A$174,BD!$D$3:$D$5001,"&lt;&gt;")=0,"",SUMIFS(BD!$D$3:$D$5001,BD!$A$3:$A$5001,AI$3,BD!$B$3:$B$5001,$A$174)))</f>
        <v/>
      </c>
      <c r="AJ175" s="167" t="str">
        <f>IF(AJ$3="","",IF(COUNTIFS(BD!$A$3:$A$5001,AJ$3,BD!$B$3:$B$5001,$A$174,BD!$D$3:$D$5001,"&lt;&gt;")=0,"",SUMIFS(BD!$D$3:$D$5001,BD!$A$3:$A$5001,AJ$3,BD!$B$3:$B$5001,$A$174)))</f>
        <v/>
      </c>
      <c r="AK175" s="163" t="str">
        <f>IF(COUNT(F175:AJ175)=0,"",SUM(F175:AJ175))</f>
        <v/>
      </c>
    </row>
    <row r="176" ht="15.75" customHeight="1">
      <c r="A176" s="244"/>
      <c r="B176" s="234" t="inlineStr">
        <is>
          <t xml:space="preserve">OUT</t>
        </is>
      </c>
      <c r="C176" s="168" t="inlineStr">
        <is>
          <t xml:space="preserve">Veículos Expedidos</t>
        </is>
      </c>
      <c r="D176" s="169" t="str">
        <f>IFERROR(1/(1/INDEX(BD!$AJ$32:$BD$32,MATCH($A$174,BD!$AJ$22:$BD$22,0))),"")</f>
        <v/>
      </c>
      <c r="E176" s="170"/>
      <c r="F176" s="171" t="str">
        <f>IF(F$3="","",IF(COUNTIFS(BD!$A$3:$A$5001,F$3,BD!$B$3:$B$5001,$A$174,BD!$L$3:$L$5001,"&lt;&gt;")=0,"",SUMIFS(BD!$L$3:$L$5001,BD!$A$3:$A$5001,F$3,BD!$B$3:$B$5001,$A$174)))</f>
        <v/>
      </c>
      <c r="G176" s="172" t="str">
        <f>IF(G$3="","",IF(COUNTIFS(BD!$A$3:$A$5001,G$3,BD!$B$3:$B$5001,$A$174,BD!$L$3:$L$5001,"&lt;&gt;")=0,"",SUMIFS(BD!$L$3:$L$5001,BD!$A$3:$A$5001,G$3,BD!$B$3:$B$5001,$A$174)))</f>
        <v/>
      </c>
      <c r="H176" s="172" t="str">
        <f>IF(H$3="","",IF(COUNTIFS(BD!$A$3:$A$5001,H$3,BD!$B$3:$B$5001,$A$174,BD!$L$3:$L$5001,"&lt;&gt;")=0,"",SUMIFS(BD!$L$3:$L$5001,BD!$A$3:$A$5001,H$3,BD!$B$3:$B$5001,$A$174)))</f>
        <v/>
      </c>
      <c r="I176" s="172" t="str">
        <f>IF(I$3="","",IF(COUNTIFS(BD!$A$3:$A$5001,I$3,BD!$B$3:$B$5001,$A$174,BD!$L$3:$L$5001,"&lt;&gt;")=0,"",SUMIFS(BD!$L$3:$L$5001,BD!$A$3:$A$5001,I$3,BD!$B$3:$B$5001,$A$174)))</f>
        <v/>
      </c>
      <c r="J176" s="172" t="str">
        <f>IF(J$3="","",IF(COUNTIFS(BD!$A$3:$A$5001,J$3,BD!$B$3:$B$5001,$A$174,BD!$L$3:$L$5001,"&lt;&gt;")=0,"",SUMIFS(BD!$L$3:$L$5001,BD!$A$3:$A$5001,J$3,BD!$B$3:$B$5001,$A$174)))</f>
        <v/>
      </c>
      <c r="K176" s="172" t="str">
        <f>IF(K$3="","",IF(COUNTIFS(BD!$A$3:$A$5001,K$3,BD!$B$3:$B$5001,$A$174,BD!$L$3:$L$5001,"&lt;&gt;")=0,"",SUMIFS(BD!$L$3:$L$5001,BD!$A$3:$A$5001,K$3,BD!$B$3:$B$5001,$A$174)))</f>
        <v/>
      </c>
      <c r="L176" s="172" t="str">
        <f>IF(L$3="","",IF(COUNTIFS(BD!$A$3:$A$5001,L$3,BD!$B$3:$B$5001,$A$174,BD!$L$3:$L$5001,"&lt;&gt;")=0,"",SUMIFS(BD!$L$3:$L$5001,BD!$A$3:$A$5001,L$3,BD!$B$3:$B$5001,$A$174)))</f>
        <v/>
      </c>
      <c r="M176" s="172" t="str">
        <f>IF(M$3="","",IF(COUNTIFS(BD!$A$3:$A$5001,M$3,BD!$B$3:$B$5001,$A$174,BD!$L$3:$L$5001,"&lt;&gt;")=0,"",SUMIFS(BD!$L$3:$L$5001,BD!$A$3:$A$5001,M$3,BD!$B$3:$B$5001,$A$174)))</f>
        <v/>
      </c>
      <c r="N176" s="172" t="str">
        <f>IF(N$3="","",IF(COUNTIFS(BD!$A$3:$A$5001,N$3,BD!$B$3:$B$5001,$A$174,BD!$L$3:$L$5001,"&lt;&gt;")=0,"",SUMIFS(BD!$L$3:$L$5001,BD!$A$3:$A$5001,N$3,BD!$B$3:$B$5001,$A$174)))</f>
        <v/>
      </c>
      <c r="O176" s="172" t="str">
        <f>IF(O$3="","",IF(COUNTIFS(BD!$A$3:$A$5001,O$3,BD!$B$3:$B$5001,$A$174,BD!$L$3:$L$5001,"&lt;&gt;")=0,"",SUMIFS(BD!$L$3:$L$5001,BD!$A$3:$A$5001,O$3,BD!$B$3:$B$5001,$A$174)))</f>
        <v/>
      </c>
      <c r="P176" s="172" t="str">
        <f>IF(P$3="","",IF(COUNTIFS(BD!$A$3:$A$5001,P$3,BD!$B$3:$B$5001,$A$174,BD!$L$3:$L$5001,"&lt;&gt;")=0,"",SUMIFS(BD!$L$3:$L$5001,BD!$A$3:$A$5001,P$3,BD!$B$3:$B$5001,$A$174)))</f>
        <v/>
      </c>
      <c r="Q176" s="172" t="str">
        <f>IF(Q$3="","",IF(COUNTIFS(BD!$A$3:$A$5001,Q$3,BD!$B$3:$B$5001,$A$174,BD!$L$3:$L$5001,"&lt;&gt;")=0,"",SUMIFS(BD!$L$3:$L$5001,BD!$A$3:$A$5001,Q$3,BD!$B$3:$B$5001,$A$174)))</f>
        <v/>
      </c>
      <c r="R176" s="172" t="str">
        <f>IF(R$3="","",IF(COUNTIFS(BD!$A$3:$A$5001,R$3,BD!$B$3:$B$5001,$A$174,BD!$L$3:$L$5001,"&lt;&gt;")=0,"",SUMIFS(BD!$L$3:$L$5001,BD!$A$3:$A$5001,R$3,BD!$B$3:$B$5001,$A$174)))</f>
        <v/>
      </c>
      <c r="S176" s="172" t="str">
        <f>IF(S$3="","",IF(COUNTIFS(BD!$A$3:$A$5001,S$3,BD!$B$3:$B$5001,$A$174,BD!$L$3:$L$5001,"&lt;&gt;")=0,"",SUMIFS(BD!$L$3:$L$5001,BD!$A$3:$A$5001,S$3,BD!$B$3:$B$5001,$A$174)))</f>
        <v/>
      </c>
      <c r="T176" s="172" t="str">
        <f>IF(T$3="","",IF(COUNTIFS(BD!$A$3:$A$5001,T$3,BD!$B$3:$B$5001,$A$174,BD!$L$3:$L$5001,"&lt;&gt;")=0,"",SUMIFS(BD!$L$3:$L$5001,BD!$A$3:$A$5001,T$3,BD!$B$3:$B$5001,$A$174)))</f>
        <v/>
      </c>
      <c r="U176" s="172" t="str">
        <f>IF(U$3="","",IF(COUNTIFS(BD!$A$3:$A$5001,U$3,BD!$B$3:$B$5001,$A$174,BD!$L$3:$L$5001,"&lt;&gt;")=0,"",SUMIFS(BD!$L$3:$L$5001,BD!$A$3:$A$5001,U$3,BD!$B$3:$B$5001,$A$174)))</f>
        <v/>
      </c>
      <c r="V176" s="172" t="str">
        <f>IF(V$3="","",IF(COUNTIFS(BD!$A$3:$A$5001,V$3,BD!$B$3:$B$5001,$A$174,BD!$L$3:$L$5001,"&lt;&gt;")=0,"",SUMIFS(BD!$L$3:$L$5001,BD!$A$3:$A$5001,V$3,BD!$B$3:$B$5001,$A$174)))</f>
        <v/>
      </c>
      <c r="W176" s="172" t="str">
        <f>IF(W$3="","",IF(COUNTIFS(BD!$A$3:$A$5001,W$3,BD!$B$3:$B$5001,$A$174,BD!$L$3:$L$5001,"&lt;&gt;")=0,"",SUMIFS(BD!$L$3:$L$5001,BD!$A$3:$A$5001,W$3,BD!$B$3:$B$5001,$A$174)))</f>
        <v/>
      </c>
      <c r="X176" s="172" t="str">
        <f>IF(X$3="","",IF(COUNTIFS(BD!$A$3:$A$5001,X$3,BD!$B$3:$B$5001,$A$174,BD!$L$3:$L$5001,"&lt;&gt;")=0,"",SUMIFS(BD!$L$3:$L$5001,BD!$A$3:$A$5001,X$3,BD!$B$3:$B$5001,$A$174)))</f>
        <v/>
      </c>
      <c r="Y176" s="172" t="str">
        <f>IF(Y$3="","",IF(COUNTIFS(BD!$A$3:$A$5001,Y$3,BD!$B$3:$B$5001,$A$174,BD!$L$3:$L$5001,"&lt;&gt;")=0,"",SUMIFS(BD!$L$3:$L$5001,BD!$A$3:$A$5001,Y$3,BD!$B$3:$B$5001,$A$174)))</f>
        <v/>
      </c>
      <c r="Z176" s="172" t="str">
        <f>IF(Z$3="","",IF(COUNTIFS(BD!$A$3:$A$5001,Z$3,BD!$B$3:$B$5001,$A$174,BD!$L$3:$L$5001,"&lt;&gt;")=0,"",SUMIFS(BD!$L$3:$L$5001,BD!$A$3:$A$5001,Z$3,BD!$B$3:$B$5001,$A$174)))</f>
        <v/>
      </c>
      <c r="AA176" s="172" t="str">
        <f>IF(AA$3="","",IF(COUNTIFS(BD!$A$3:$A$5001,AA$3,BD!$B$3:$B$5001,$A$174,BD!$L$3:$L$5001,"&lt;&gt;")=0,"",SUMIFS(BD!$L$3:$L$5001,BD!$A$3:$A$5001,AA$3,BD!$B$3:$B$5001,$A$174)))</f>
        <v/>
      </c>
      <c r="AB176" s="172" t="str">
        <f>IF(AB$3="","",IF(COUNTIFS(BD!$A$3:$A$5001,AB$3,BD!$B$3:$B$5001,$A$174,BD!$L$3:$L$5001,"&lt;&gt;")=0,"",SUMIFS(BD!$L$3:$L$5001,BD!$A$3:$A$5001,AB$3,BD!$B$3:$B$5001,$A$174)))</f>
        <v/>
      </c>
      <c r="AC176" s="172" t="str">
        <f>IF(AC$3="","",IF(COUNTIFS(BD!$A$3:$A$5001,AC$3,BD!$B$3:$B$5001,$A$174,BD!$L$3:$L$5001,"&lt;&gt;")=0,"",SUMIFS(BD!$L$3:$L$5001,BD!$A$3:$A$5001,AC$3,BD!$B$3:$B$5001,$A$174)))</f>
        <v/>
      </c>
      <c r="AD176" s="172" t="str">
        <f>IF(AD$3="","",IF(COUNTIFS(BD!$A$3:$A$5001,AD$3,BD!$B$3:$B$5001,$A$174,BD!$L$3:$L$5001,"&lt;&gt;")=0,"",SUMIFS(BD!$L$3:$L$5001,BD!$A$3:$A$5001,AD$3,BD!$B$3:$B$5001,$A$174)))</f>
        <v/>
      </c>
      <c r="AE176" s="172" t="str">
        <f>IF(AE$3="","",IF(COUNTIFS(BD!$A$3:$A$5001,AE$3,BD!$B$3:$B$5001,$A$174,BD!$L$3:$L$5001,"&lt;&gt;")=0,"",SUMIFS(BD!$L$3:$L$5001,BD!$A$3:$A$5001,AE$3,BD!$B$3:$B$5001,$A$174)))</f>
        <v/>
      </c>
      <c r="AF176" s="172" t="str">
        <f>IF(AF$3="","",IF(COUNTIFS(BD!$A$3:$A$5001,AF$3,BD!$B$3:$B$5001,$A$174,BD!$L$3:$L$5001,"&lt;&gt;")=0,"",SUMIFS(BD!$L$3:$L$5001,BD!$A$3:$A$5001,AF$3,BD!$B$3:$B$5001,$A$174)))</f>
        <v/>
      </c>
      <c r="AG176" s="172" t="str">
        <f>IF(AG$3="","",IF(COUNTIFS(BD!$A$3:$A$5001,AG$3,BD!$B$3:$B$5001,$A$174,BD!$L$3:$L$5001,"&lt;&gt;")=0,"",SUMIFS(BD!$L$3:$L$5001,BD!$A$3:$A$5001,AG$3,BD!$B$3:$B$5001,$A$174)))</f>
        <v/>
      </c>
      <c r="AH176" s="172" t="str">
        <f>IF(AH$3="","",IF(COUNTIFS(BD!$A$3:$A$5001,AH$3,BD!$B$3:$B$5001,$A$174,BD!$L$3:$L$5001,"&lt;&gt;")=0,"",SUMIFS(BD!$L$3:$L$5001,BD!$A$3:$A$5001,AH$3,BD!$B$3:$B$5001,$A$174)))</f>
        <v/>
      </c>
      <c r="AI176" s="172" t="str">
        <f>IF(AI$3="","",IF(COUNTIFS(BD!$A$3:$A$5001,AI$3,BD!$B$3:$B$5001,$A$174,BD!$L$3:$L$5001,"&lt;&gt;")=0,"",SUMIFS(BD!$L$3:$L$5001,BD!$A$3:$A$5001,AI$3,BD!$B$3:$B$5001,$A$174)))</f>
        <v/>
      </c>
      <c r="AJ176" s="173" t="str">
        <f>IF(AJ$3="","",IF(COUNTIFS(BD!$A$3:$A$5001,AJ$3,BD!$B$3:$B$5001,$A$174,BD!$L$3:$L$5001,"&lt;&gt;")=0,"",SUMIFS(BD!$L$3:$L$5001,BD!$A$3:$A$5001,AJ$3,BD!$B$3:$B$5001,$A$174)))</f>
        <v/>
      </c>
      <c r="AK176" s="174" t="str">
        <f>IF(COUNT(F176:AJ176)=0,"",SUM(F176:AJ176))</f>
        <v/>
      </c>
    </row>
    <row r="177" ht="15.75" customHeight="1">
      <c r="A177" s="244"/>
      <c r="B177" s="235"/>
      <c r="C177" s="175" t="inlineStr">
        <is>
          <t xml:space="preserve">Pallets Movimentados</t>
        </is>
      </c>
      <c r="D177" s="176" t="str">
        <f>IFERROR(1/(1/INDEX(BD!$AJ$38:$BD$38,MATCH($A$174,BD!$AJ$22:$BD$22,0))),"")</f>
        <v/>
      </c>
      <c r="E177" s="177"/>
      <c r="F177" s="178" t="str">
        <f>IF(F$3="","",IF(COUNTIFS(BD!$A$3:$A$5001,F$3,BD!$B$3:$B$5001,$A$174,BD!$R$3:$R$5001,"&lt;&gt;")=0,"",SUMIFS(BD!$R$3:$R$5001,BD!$A$3:$A$5001,F$3,BD!$B$3:$B$5001,$A$174)))</f>
        <v/>
      </c>
      <c r="G177" s="179" t="str">
        <f>IF(G$3="","",IF(COUNTIFS(BD!$A$3:$A$5001,G$3,BD!$B$3:$B$5001,$A$174,BD!$R$3:$R$5001,"&lt;&gt;")=0,"",SUMIFS(BD!$R$3:$R$5001,BD!$A$3:$A$5001,G$3,BD!$B$3:$B$5001,$A$174)))</f>
        <v/>
      </c>
      <c r="H177" s="179" t="str">
        <f>IF(H$3="","",IF(COUNTIFS(BD!$A$3:$A$5001,H$3,BD!$B$3:$B$5001,$A$174,BD!$R$3:$R$5001,"&lt;&gt;")=0,"",SUMIFS(BD!$R$3:$R$5001,BD!$A$3:$A$5001,H$3,BD!$B$3:$B$5001,$A$174)))</f>
        <v/>
      </c>
      <c r="I177" s="179" t="str">
        <f>IF(I$3="","",IF(COUNTIFS(BD!$A$3:$A$5001,I$3,BD!$B$3:$B$5001,$A$174,BD!$R$3:$R$5001,"&lt;&gt;")=0,"",SUMIFS(BD!$R$3:$R$5001,BD!$A$3:$A$5001,I$3,BD!$B$3:$B$5001,$A$174)))</f>
        <v/>
      </c>
      <c r="J177" s="179" t="str">
        <f>IF(J$3="","",IF(COUNTIFS(BD!$A$3:$A$5001,J$3,BD!$B$3:$B$5001,$A$174,BD!$R$3:$R$5001,"&lt;&gt;")=0,"",SUMIFS(BD!$R$3:$R$5001,BD!$A$3:$A$5001,J$3,BD!$B$3:$B$5001,$A$174)))</f>
        <v/>
      </c>
      <c r="K177" s="179" t="str">
        <f>IF(K$3="","",IF(COUNTIFS(BD!$A$3:$A$5001,K$3,BD!$B$3:$B$5001,$A$174,BD!$R$3:$R$5001,"&lt;&gt;")=0,"",SUMIFS(BD!$R$3:$R$5001,BD!$A$3:$A$5001,K$3,BD!$B$3:$B$5001,$A$174)))</f>
        <v/>
      </c>
      <c r="L177" s="179" t="str">
        <f>IF(L$3="","",IF(COUNTIFS(BD!$A$3:$A$5001,L$3,BD!$B$3:$B$5001,$A$174,BD!$R$3:$R$5001,"&lt;&gt;")=0,"",SUMIFS(BD!$R$3:$R$5001,BD!$A$3:$A$5001,L$3,BD!$B$3:$B$5001,$A$174)))</f>
        <v/>
      </c>
      <c r="M177" s="179" t="str">
        <f>IF(M$3="","",IF(COUNTIFS(BD!$A$3:$A$5001,M$3,BD!$B$3:$B$5001,$A$174,BD!$R$3:$R$5001,"&lt;&gt;")=0,"",SUMIFS(BD!$R$3:$R$5001,BD!$A$3:$A$5001,M$3,BD!$B$3:$B$5001,$A$174)))</f>
        <v/>
      </c>
      <c r="N177" s="179" t="str">
        <f>IF(N$3="","",IF(COUNTIFS(BD!$A$3:$A$5001,N$3,BD!$B$3:$B$5001,$A$174,BD!$R$3:$R$5001,"&lt;&gt;")=0,"",SUMIFS(BD!$R$3:$R$5001,BD!$A$3:$A$5001,N$3,BD!$B$3:$B$5001,$A$174)))</f>
        <v/>
      </c>
      <c r="O177" s="179" t="str">
        <f>IF(O$3="","",IF(COUNTIFS(BD!$A$3:$A$5001,O$3,BD!$B$3:$B$5001,$A$174,BD!$R$3:$R$5001,"&lt;&gt;")=0,"",SUMIFS(BD!$R$3:$R$5001,BD!$A$3:$A$5001,O$3,BD!$B$3:$B$5001,$A$174)))</f>
        <v/>
      </c>
      <c r="P177" s="179" t="str">
        <f>IF(P$3="","",IF(COUNTIFS(BD!$A$3:$A$5001,P$3,BD!$B$3:$B$5001,$A$174,BD!$R$3:$R$5001,"&lt;&gt;")=0,"",SUMIFS(BD!$R$3:$R$5001,BD!$A$3:$A$5001,P$3,BD!$B$3:$B$5001,$A$174)))</f>
        <v/>
      </c>
      <c r="Q177" s="179" t="str">
        <f>IF(Q$3="","",IF(COUNTIFS(BD!$A$3:$A$5001,Q$3,BD!$B$3:$B$5001,$A$174,BD!$R$3:$R$5001,"&lt;&gt;")=0,"",SUMIFS(BD!$R$3:$R$5001,BD!$A$3:$A$5001,Q$3,BD!$B$3:$B$5001,$A$174)))</f>
        <v/>
      </c>
      <c r="R177" s="179" t="str">
        <f>IF(R$3="","",IF(COUNTIFS(BD!$A$3:$A$5001,R$3,BD!$B$3:$B$5001,$A$174,BD!$R$3:$R$5001,"&lt;&gt;")=0,"",SUMIFS(BD!$R$3:$R$5001,BD!$A$3:$A$5001,R$3,BD!$B$3:$B$5001,$A$174)))</f>
        <v/>
      </c>
      <c r="S177" s="179" t="str">
        <f>IF(S$3="","",IF(COUNTIFS(BD!$A$3:$A$5001,S$3,BD!$B$3:$B$5001,$A$174,BD!$R$3:$R$5001,"&lt;&gt;")=0,"",SUMIFS(BD!$R$3:$R$5001,BD!$A$3:$A$5001,S$3,BD!$B$3:$B$5001,$A$174)))</f>
        <v/>
      </c>
      <c r="T177" s="179" t="str">
        <f>IF(T$3="","",IF(COUNTIFS(BD!$A$3:$A$5001,T$3,BD!$B$3:$B$5001,$A$174,BD!$R$3:$R$5001,"&lt;&gt;")=0,"",SUMIFS(BD!$R$3:$R$5001,BD!$A$3:$A$5001,T$3,BD!$B$3:$B$5001,$A$174)))</f>
        <v/>
      </c>
      <c r="U177" s="179" t="str">
        <f>IF(U$3="","",IF(COUNTIFS(BD!$A$3:$A$5001,U$3,BD!$B$3:$B$5001,$A$174,BD!$R$3:$R$5001,"&lt;&gt;")=0,"",SUMIFS(BD!$R$3:$R$5001,BD!$A$3:$A$5001,U$3,BD!$B$3:$B$5001,$A$174)))</f>
        <v/>
      </c>
      <c r="V177" s="179" t="str">
        <f>IF(V$3="","",IF(COUNTIFS(BD!$A$3:$A$5001,V$3,BD!$B$3:$B$5001,$A$174,BD!$R$3:$R$5001,"&lt;&gt;")=0,"",SUMIFS(BD!$R$3:$R$5001,BD!$A$3:$A$5001,V$3,BD!$B$3:$B$5001,$A$174)))</f>
        <v/>
      </c>
      <c r="W177" s="179" t="str">
        <f>IF(W$3="","",IF(COUNTIFS(BD!$A$3:$A$5001,W$3,BD!$B$3:$B$5001,$A$174,BD!$R$3:$R$5001,"&lt;&gt;")=0,"",SUMIFS(BD!$R$3:$R$5001,BD!$A$3:$A$5001,W$3,BD!$B$3:$B$5001,$A$174)))</f>
        <v/>
      </c>
      <c r="X177" s="179" t="str">
        <f>IF(X$3="","",IF(COUNTIFS(BD!$A$3:$A$5001,X$3,BD!$B$3:$B$5001,$A$174,BD!$R$3:$R$5001,"&lt;&gt;")=0,"",SUMIFS(BD!$R$3:$R$5001,BD!$A$3:$A$5001,X$3,BD!$B$3:$B$5001,$A$174)))</f>
        <v/>
      </c>
      <c r="Y177" s="179" t="str">
        <f>IF(Y$3="","",IF(COUNTIFS(BD!$A$3:$A$5001,Y$3,BD!$B$3:$B$5001,$A$174,BD!$R$3:$R$5001,"&lt;&gt;")=0,"",SUMIFS(BD!$R$3:$R$5001,BD!$A$3:$A$5001,Y$3,BD!$B$3:$B$5001,$A$174)))</f>
        <v/>
      </c>
      <c r="Z177" s="179" t="str">
        <f>IF(Z$3="","",IF(COUNTIFS(BD!$A$3:$A$5001,Z$3,BD!$B$3:$B$5001,$A$174,BD!$R$3:$R$5001,"&lt;&gt;")=0,"",SUMIFS(BD!$R$3:$R$5001,BD!$A$3:$A$5001,Z$3,BD!$B$3:$B$5001,$A$174)))</f>
        <v/>
      </c>
      <c r="AA177" s="179" t="str">
        <f>IF(AA$3="","",IF(COUNTIFS(BD!$A$3:$A$5001,AA$3,BD!$B$3:$B$5001,$A$174,BD!$R$3:$R$5001,"&lt;&gt;")=0,"",SUMIFS(BD!$R$3:$R$5001,BD!$A$3:$A$5001,AA$3,BD!$B$3:$B$5001,$A$174)))</f>
        <v/>
      </c>
      <c r="AB177" s="179" t="str">
        <f>IF(AB$3="","",IF(COUNTIFS(BD!$A$3:$A$5001,AB$3,BD!$B$3:$B$5001,$A$174,BD!$R$3:$R$5001,"&lt;&gt;")=0,"",SUMIFS(BD!$R$3:$R$5001,BD!$A$3:$A$5001,AB$3,BD!$B$3:$B$5001,$A$174)))</f>
        <v/>
      </c>
      <c r="AC177" s="179" t="str">
        <f>IF(AC$3="","",IF(COUNTIFS(BD!$A$3:$A$5001,AC$3,BD!$B$3:$B$5001,$A$174,BD!$R$3:$R$5001,"&lt;&gt;")=0,"",SUMIFS(BD!$R$3:$R$5001,BD!$A$3:$A$5001,AC$3,BD!$B$3:$B$5001,$A$174)))</f>
        <v/>
      </c>
      <c r="AD177" s="179" t="str">
        <f>IF(AD$3="","",IF(COUNTIFS(BD!$A$3:$A$5001,AD$3,BD!$B$3:$B$5001,$A$174,BD!$R$3:$R$5001,"&lt;&gt;")=0,"",SUMIFS(BD!$R$3:$R$5001,BD!$A$3:$A$5001,AD$3,BD!$B$3:$B$5001,$A$174)))</f>
        <v/>
      </c>
      <c r="AE177" s="179" t="str">
        <f>IF(AE$3="","",IF(COUNTIFS(BD!$A$3:$A$5001,AE$3,BD!$B$3:$B$5001,$A$174,BD!$R$3:$R$5001,"&lt;&gt;")=0,"",SUMIFS(BD!$R$3:$R$5001,BD!$A$3:$A$5001,AE$3,BD!$B$3:$B$5001,$A$174)))</f>
        <v/>
      </c>
      <c r="AF177" s="179" t="str">
        <f>IF(AF$3="","",IF(COUNTIFS(BD!$A$3:$A$5001,AF$3,BD!$B$3:$B$5001,$A$174,BD!$R$3:$R$5001,"&lt;&gt;")=0,"",SUMIFS(BD!$R$3:$R$5001,BD!$A$3:$A$5001,AF$3,BD!$B$3:$B$5001,$A$174)))</f>
        <v/>
      </c>
      <c r="AG177" s="179" t="str">
        <f>IF(AG$3="","",IF(COUNTIFS(BD!$A$3:$A$5001,AG$3,BD!$B$3:$B$5001,$A$174,BD!$R$3:$R$5001,"&lt;&gt;")=0,"",SUMIFS(BD!$R$3:$R$5001,BD!$A$3:$A$5001,AG$3,BD!$B$3:$B$5001,$A$174)))</f>
        <v/>
      </c>
      <c r="AH177" s="179" t="str">
        <f>IF(AH$3="","",IF(COUNTIFS(BD!$A$3:$A$5001,AH$3,BD!$B$3:$B$5001,$A$174,BD!$R$3:$R$5001,"&lt;&gt;")=0,"",SUMIFS(BD!$R$3:$R$5001,BD!$A$3:$A$5001,AH$3,BD!$B$3:$B$5001,$A$174)))</f>
        <v/>
      </c>
      <c r="AI177" s="179" t="str">
        <f>IF(AI$3="","",IF(COUNTIFS(BD!$A$3:$A$5001,AI$3,BD!$B$3:$B$5001,$A$174,BD!$R$3:$R$5001,"&lt;&gt;")=0,"",SUMIFS(BD!$R$3:$R$5001,BD!$A$3:$A$5001,AI$3,BD!$B$3:$B$5001,$A$174)))</f>
        <v/>
      </c>
      <c r="AJ177" s="180" t="str">
        <f>IF(AJ$3="","",IF(COUNTIFS(BD!$A$3:$A$5001,AJ$3,BD!$B$3:$B$5001,$A$174,BD!$R$3:$R$5001,"&lt;&gt;")=0,"",SUMIFS(BD!$R$3:$R$5001,BD!$A$3:$A$5001,AJ$3,BD!$B$3:$B$5001,$A$174)))</f>
        <v/>
      </c>
      <c r="AK177" s="176" t="str">
        <f>IF(COUNT(F177:AJ177)=0,"",SUM(F177:AJ177))</f>
        <v/>
      </c>
    </row>
    <row r="178" ht="15.75" customHeight="1">
      <c r="A178" s="244"/>
      <c r="B178" s="236" t="inlineStr">
        <is>
          <t xml:space="preserve">NC</t>
        </is>
      </c>
      <c r="C178" s="181" t="inlineStr">
        <is>
          <t xml:space="preserve">Incidentes</t>
        </is>
      </c>
      <c r="D178" s="182" t="str">
        <f>IFERROR(1/(1/INDEX(BD!$AJ$40:$BD$40,MATCH($A$174,BD!$AJ$22:$BD$22,0))),"")</f>
        <v/>
      </c>
      <c r="E178" s="183"/>
      <c r="F178" s="184" t="str">
        <f>IF(F$3="","",IF(COUNTIFS(BD!$A$3:$A$5001,F$3,BD!$B$3:$B$5001,$A$174,BD!$T$3:$T$5001,"&lt;&gt;")=0,"",SUMIFS(BD!$T$3:$T$5001,BD!$A$3:$A$5001,F$3,BD!$B$3:$B$5001,$A$174)))</f>
        <v/>
      </c>
      <c r="G178" s="185" t="str">
        <f>IF(G$3="","",IF(COUNTIFS(BD!$A$3:$A$5001,G$3,BD!$B$3:$B$5001,$A$174,BD!$T$3:$T$5001,"&lt;&gt;")=0,"",SUMIFS(BD!$T$3:$T$5001,BD!$A$3:$A$5001,G$3,BD!$B$3:$B$5001,$A$174)))</f>
        <v/>
      </c>
      <c r="H178" s="185" t="str">
        <f>IF(H$3="","",IF(COUNTIFS(BD!$A$3:$A$5001,H$3,BD!$B$3:$B$5001,$A$174,BD!$T$3:$T$5001,"&lt;&gt;")=0,"",SUMIFS(BD!$T$3:$T$5001,BD!$A$3:$A$5001,H$3,BD!$B$3:$B$5001,$A$174)))</f>
        <v/>
      </c>
      <c r="I178" s="185" t="str">
        <f>IF(I$3="","",IF(COUNTIFS(BD!$A$3:$A$5001,I$3,BD!$B$3:$B$5001,$A$174,BD!$T$3:$T$5001,"&lt;&gt;")=0,"",SUMIFS(BD!$T$3:$T$5001,BD!$A$3:$A$5001,I$3,BD!$B$3:$B$5001,$A$174)))</f>
        <v/>
      </c>
      <c r="J178" s="185" t="str">
        <f>IF(J$3="","",IF(COUNTIFS(BD!$A$3:$A$5001,J$3,BD!$B$3:$B$5001,$A$174,BD!$T$3:$T$5001,"&lt;&gt;")=0,"",SUMIFS(BD!$T$3:$T$5001,BD!$A$3:$A$5001,J$3,BD!$B$3:$B$5001,$A$174)))</f>
        <v/>
      </c>
      <c r="K178" s="185" t="str">
        <f>IF(K$3="","",IF(COUNTIFS(BD!$A$3:$A$5001,K$3,BD!$B$3:$B$5001,$A$174,BD!$T$3:$T$5001,"&lt;&gt;")=0,"",SUMIFS(BD!$T$3:$T$5001,BD!$A$3:$A$5001,K$3,BD!$B$3:$B$5001,$A$174)))</f>
        <v/>
      </c>
      <c r="L178" s="185" t="str">
        <f>IF(L$3="","",IF(COUNTIFS(BD!$A$3:$A$5001,L$3,BD!$B$3:$B$5001,$A$174,BD!$T$3:$T$5001,"&lt;&gt;")=0,"",SUMIFS(BD!$T$3:$T$5001,BD!$A$3:$A$5001,L$3,BD!$B$3:$B$5001,$A$174)))</f>
        <v/>
      </c>
      <c r="M178" s="185" t="str">
        <f>IF(M$3="","",IF(COUNTIFS(BD!$A$3:$A$5001,M$3,BD!$B$3:$B$5001,$A$174,BD!$T$3:$T$5001,"&lt;&gt;")=0,"",SUMIFS(BD!$T$3:$T$5001,BD!$A$3:$A$5001,M$3,BD!$B$3:$B$5001,$A$174)))</f>
        <v/>
      </c>
      <c r="N178" s="185" t="str">
        <f>IF(N$3="","",IF(COUNTIFS(BD!$A$3:$A$5001,N$3,BD!$B$3:$B$5001,$A$174,BD!$T$3:$T$5001,"&lt;&gt;")=0,"",SUMIFS(BD!$T$3:$T$5001,BD!$A$3:$A$5001,N$3,BD!$B$3:$B$5001,$A$174)))</f>
        <v/>
      </c>
      <c r="O178" s="185" t="str">
        <f>IF(O$3="","",IF(COUNTIFS(BD!$A$3:$A$5001,O$3,BD!$B$3:$B$5001,$A$174,BD!$T$3:$T$5001,"&lt;&gt;")=0,"",SUMIFS(BD!$T$3:$T$5001,BD!$A$3:$A$5001,O$3,BD!$B$3:$B$5001,$A$174)))</f>
        <v/>
      </c>
      <c r="P178" s="185" t="str">
        <f>IF(P$3="","",IF(COUNTIFS(BD!$A$3:$A$5001,P$3,BD!$B$3:$B$5001,$A$174,BD!$T$3:$T$5001,"&lt;&gt;")=0,"",SUMIFS(BD!$T$3:$T$5001,BD!$A$3:$A$5001,P$3,BD!$B$3:$B$5001,$A$174)))</f>
        <v/>
      </c>
      <c r="Q178" s="185" t="str">
        <f>IF(Q$3="","",IF(COUNTIFS(BD!$A$3:$A$5001,Q$3,BD!$B$3:$B$5001,$A$174,BD!$T$3:$T$5001,"&lt;&gt;")=0,"",SUMIFS(BD!$T$3:$T$5001,BD!$A$3:$A$5001,Q$3,BD!$B$3:$B$5001,$A$174)))</f>
        <v/>
      </c>
      <c r="R178" s="185" t="str">
        <f>IF(R$3="","",IF(COUNTIFS(BD!$A$3:$A$5001,R$3,BD!$B$3:$B$5001,$A$174,BD!$T$3:$T$5001,"&lt;&gt;")=0,"",SUMIFS(BD!$T$3:$T$5001,BD!$A$3:$A$5001,R$3,BD!$B$3:$B$5001,$A$174)))</f>
        <v/>
      </c>
      <c r="S178" s="185" t="str">
        <f>IF(S$3="","",IF(COUNTIFS(BD!$A$3:$A$5001,S$3,BD!$B$3:$B$5001,$A$174,BD!$T$3:$T$5001,"&lt;&gt;")=0,"",SUMIFS(BD!$T$3:$T$5001,BD!$A$3:$A$5001,S$3,BD!$B$3:$B$5001,$A$174)))</f>
        <v/>
      </c>
      <c r="T178" s="185" t="str">
        <f>IF(T$3="","",IF(COUNTIFS(BD!$A$3:$A$5001,T$3,BD!$B$3:$B$5001,$A$174,BD!$T$3:$T$5001,"&lt;&gt;")=0,"",SUMIFS(BD!$T$3:$T$5001,BD!$A$3:$A$5001,T$3,BD!$B$3:$B$5001,$A$174)))</f>
        <v/>
      </c>
      <c r="U178" s="185" t="str">
        <f>IF(U$3="","",IF(COUNTIFS(BD!$A$3:$A$5001,U$3,BD!$B$3:$B$5001,$A$174,BD!$T$3:$T$5001,"&lt;&gt;")=0,"",SUMIFS(BD!$T$3:$T$5001,BD!$A$3:$A$5001,U$3,BD!$B$3:$B$5001,$A$174)))</f>
        <v/>
      </c>
      <c r="V178" s="185" t="str">
        <f>IF(V$3="","",IF(COUNTIFS(BD!$A$3:$A$5001,V$3,BD!$B$3:$B$5001,$A$174,BD!$T$3:$T$5001,"&lt;&gt;")=0,"",SUMIFS(BD!$T$3:$T$5001,BD!$A$3:$A$5001,V$3,BD!$B$3:$B$5001,$A$174)))</f>
        <v/>
      </c>
      <c r="W178" s="185" t="str">
        <f>IF(W$3="","",IF(COUNTIFS(BD!$A$3:$A$5001,W$3,BD!$B$3:$B$5001,$A$174,BD!$T$3:$T$5001,"&lt;&gt;")=0,"",SUMIFS(BD!$T$3:$T$5001,BD!$A$3:$A$5001,W$3,BD!$B$3:$B$5001,$A$174)))</f>
        <v/>
      </c>
      <c r="X178" s="185" t="str">
        <f>IF(X$3="","",IF(COUNTIFS(BD!$A$3:$A$5001,X$3,BD!$B$3:$B$5001,$A$174,BD!$T$3:$T$5001,"&lt;&gt;")=0,"",SUMIFS(BD!$T$3:$T$5001,BD!$A$3:$A$5001,X$3,BD!$B$3:$B$5001,$A$174)))</f>
        <v/>
      </c>
      <c r="Y178" s="185" t="str">
        <f>IF(Y$3="","",IF(COUNTIFS(BD!$A$3:$A$5001,Y$3,BD!$B$3:$B$5001,$A$174,BD!$T$3:$T$5001,"&lt;&gt;")=0,"",SUMIFS(BD!$T$3:$T$5001,BD!$A$3:$A$5001,Y$3,BD!$B$3:$B$5001,$A$174)))</f>
        <v/>
      </c>
      <c r="Z178" s="185" t="str">
        <f>IF(Z$3="","",IF(COUNTIFS(BD!$A$3:$A$5001,Z$3,BD!$B$3:$B$5001,$A$174,BD!$T$3:$T$5001,"&lt;&gt;")=0,"",SUMIFS(BD!$T$3:$T$5001,BD!$A$3:$A$5001,Z$3,BD!$B$3:$B$5001,$A$174)))</f>
        <v/>
      </c>
      <c r="AA178" s="185" t="str">
        <f>IF(AA$3="","",IF(COUNTIFS(BD!$A$3:$A$5001,AA$3,BD!$B$3:$B$5001,$A$174,BD!$T$3:$T$5001,"&lt;&gt;")=0,"",SUMIFS(BD!$T$3:$T$5001,BD!$A$3:$A$5001,AA$3,BD!$B$3:$B$5001,$A$174)))</f>
        <v/>
      </c>
      <c r="AB178" s="185" t="str">
        <f>IF(AB$3="","",IF(COUNTIFS(BD!$A$3:$A$5001,AB$3,BD!$B$3:$B$5001,$A$174,BD!$T$3:$T$5001,"&lt;&gt;")=0,"",SUMIFS(BD!$T$3:$T$5001,BD!$A$3:$A$5001,AB$3,BD!$B$3:$B$5001,$A$174)))</f>
        <v/>
      </c>
      <c r="AC178" s="185" t="str">
        <f>IF(AC$3="","",IF(COUNTIFS(BD!$A$3:$A$5001,AC$3,BD!$B$3:$B$5001,$A$174,BD!$T$3:$T$5001,"&lt;&gt;")=0,"",SUMIFS(BD!$T$3:$T$5001,BD!$A$3:$A$5001,AC$3,BD!$B$3:$B$5001,$A$174)))</f>
        <v/>
      </c>
      <c r="AD178" s="185" t="str">
        <f>IF(AD$3="","",IF(COUNTIFS(BD!$A$3:$A$5001,AD$3,BD!$B$3:$B$5001,$A$174,BD!$T$3:$T$5001,"&lt;&gt;")=0,"",SUMIFS(BD!$T$3:$T$5001,BD!$A$3:$A$5001,AD$3,BD!$B$3:$B$5001,$A$174)))</f>
        <v/>
      </c>
      <c r="AE178" s="185" t="str">
        <f>IF(AE$3="","",IF(COUNTIFS(BD!$A$3:$A$5001,AE$3,BD!$B$3:$B$5001,$A$174,BD!$T$3:$T$5001,"&lt;&gt;")=0,"",SUMIFS(BD!$T$3:$T$5001,BD!$A$3:$A$5001,AE$3,BD!$B$3:$B$5001,$A$174)))</f>
        <v/>
      </c>
      <c r="AF178" s="185" t="str">
        <f>IF(AF$3="","",IF(COUNTIFS(BD!$A$3:$A$5001,AF$3,BD!$B$3:$B$5001,$A$174,BD!$T$3:$T$5001,"&lt;&gt;")=0,"",SUMIFS(BD!$T$3:$T$5001,BD!$A$3:$A$5001,AF$3,BD!$B$3:$B$5001,$A$174)))</f>
        <v/>
      </c>
      <c r="AG178" s="185" t="str">
        <f>IF(AG$3="","",IF(COUNTIFS(BD!$A$3:$A$5001,AG$3,BD!$B$3:$B$5001,$A$174,BD!$T$3:$T$5001,"&lt;&gt;")=0,"",SUMIFS(BD!$T$3:$T$5001,BD!$A$3:$A$5001,AG$3,BD!$B$3:$B$5001,$A$174)))</f>
        <v/>
      </c>
      <c r="AH178" s="185" t="str">
        <f>IF(AH$3="","",IF(COUNTIFS(BD!$A$3:$A$5001,AH$3,BD!$B$3:$B$5001,$A$174,BD!$T$3:$T$5001,"&lt;&gt;")=0,"",SUMIFS(BD!$T$3:$T$5001,BD!$A$3:$A$5001,AH$3,BD!$B$3:$B$5001,$A$174)))</f>
        <v/>
      </c>
      <c r="AI178" s="185" t="str">
        <f>IF(AI$3="","",IF(COUNTIFS(BD!$A$3:$A$5001,AI$3,BD!$B$3:$B$5001,$A$174,BD!$T$3:$T$5001,"&lt;&gt;")=0,"",SUMIFS(BD!$T$3:$T$5001,BD!$A$3:$A$5001,AI$3,BD!$B$3:$B$5001,$A$174)))</f>
        <v/>
      </c>
      <c r="AJ178" s="186" t="str">
        <f>IF(AJ$3="","",IF(COUNTIFS(BD!$A$3:$A$5001,AJ$3,BD!$B$3:$B$5001,$A$174,BD!$T$3:$T$5001,"&lt;&gt;")=0,"",SUMIFS(BD!$T$3:$T$5001,BD!$A$3:$A$5001,AJ$3,BD!$B$3:$B$5001,$A$174)))</f>
        <v/>
      </c>
      <c r="AK178" s="187" t="str">
        <f>IF(COUNT(F178:AJ178)=0,"",SUM(F178:AJ178))</f>
        <v/>
      </c>
    </row>
    <row r="179" ht="15.75" customHeight="1">
      <c r="A179" s="244"/>
      <c r="B179" s="237"/>
      <c r="C179" s="188" t="inlineStr">
        <is>
          <t xml:space="preserve">No show</t>
        </is>
      </c>
      <c r="D179" s="189" t="str">
        <f>IFERROR(1/(1/INDEX(BD!$AJ$41:$BD$41,MATCH($A$174,BD!$AJ$22:$BD$22,0))),"")</f>
        <v/>
      </c>
      <c r="E179" s="190"/>
      <c r="F179" s="191" t="str">
        <f>IF(F$3="","",IF(COUNTIFS(BD!$A$3:$A$5001,F$3,BD!$B$3:$B$5001,$A$174,BD!$U$3:$U$5001,"&lt;&gt;")=0,"",SUMIFS(BD!$U$3:$U$5001,BD!$A$3:$A$5001,F$3,BD!$B$3:$B$5001,$A$174)))</f>
        <v/>
      </c>
      <c r="G179" s="192" t="str">
        <f>IF(G$3="","",IF(COUNTIFS(BD!$A$3:$A$5001,G$3,BD!$B$3:$B$5001,$A$174,BD!$U$3:$U$5001,"&lt;&gt;")=0,"",SUMIFS(BD!$U$3:$U$5001,BD!$A$3:$A$5001,G$3,BD!$B$3:$B$5001,$A$174)))</f>
        <v/>
      </c>
      <c r="H179" s="192" t="str">
        <f>IF(H$3="","",IF(COUNTIFS(BD!$A$3:$A$5001,H$3,BD!$B$3:$B$5001,$A$174,BD!$U$3:$U$5001,"&lt;&gt;")=0,"",SUMIFS(BD!$U$3:$U$5001,BD!$A$3:$A$5001,H$3,BD!$B$3:$B$5001,$A$174)))</f>
        <v/>
      </c>
      <c r="I179" s="192" t="str">
        <f>IF(I$3="","",IF(COUNTIFS(BD!$A$3:$A$5001,I$3,BD!$B$3:$B$5001,$A$174,BD!$U$3:$U$5001,"&lt;&gt;")=0,"",SUMIFS(BD!$U$3:$U$5001,BD!$A$3:$A$5001,I$3,BD!$B$3:$B$5001,$A$174)))</f>
        <v/>
      </c>
      <c r="J179" s="192" t="str">
        <f>IF(J$3="","",IF(COUNTIFS(BD!$A$3:$A$5001,J$3,BD!$B$3:$B$5001,$A$174,BD!$U$3:$U$5001,"&lt;&gt;")=0,"",SUMIFS(BD!$U$3:$U$5001,BD!$A$3:$A$5001,J$3,BD!$B$3:$B$5001,$A$174)))</f>
        <v/>
      </c>
      <c r="K179" s="192" t="str">
        <f>IF(K$3="","",IF(COUNTIFS(BD!$A$3:$A$5001,K$3,BD!$B$3:$B$5001,$A$174,BD!$U$3:$U$5001,"&lt;&gt;")=0,"",SUMIFS(BD!$U$3:$U$5001,BD!$A$3:$A$5001,K$3,BD!$B$3:$B$5001,$A$174)))</f>
        <v/>
      </c>
      <c r="L179" s="192" t="str">
        <f>IF(L$3="","",IF(COUNTIFS(BD!$A$3:$A$5001,L$3,BD!$B$3:$B$5001,$A$174,BD!$U$3:$U$5001,"&lt;&gt;")=0,"",SUMIFS(BD!$U$3:$U$5001,BD!$A$3:$A$5001,L$3,BD!$B$3:$B$5001,$A$174)))</f>
        <v/>
      </c>
      <c r="M179" s="192" t="str">
        <f>IF(M$3="","",IF(COUNTIFS(BD!$A$3:$A$5001,M$3,BD!$B$3:$B$5001,$A$174,BD!$U$3:$U$5001,"&lt;&gt;")=0,"",SUMIFS(BD!$U$3:$U$5001,BD!$A$3:$A$5001,M$3,BD!$B$3:$B$5001,$A$174)))</f>
        <v/>
      </c>
      <c r="N179" s="192" t="str">
        <f>IF(N$3="","",IF(COUNTIFS(BD!$A$3:$A$5001,N$3,BD!$B$3:$B$5001,$A$174,BD!$U$3:$U$5001,"&lt;&gt;")=0,"",SUMIFS(BD!$U$3:$U$5001,BD!$A$3:$A$5001,N$3,BD!$B$3:$B$5001,$A$174)))</f>
        <v/>
      </c>
      <c r="O179" s="192" t="str">
        <f>IF(O$3="","",IF(COUNTIFS(BD!$A$3:$A$5001,O$3,BD!$B$3:$B$5001,$A$174,BD!$U$3:$U$5001,"&lt;&gt;")=0,"",SUMIFS(BD!$U$3:$U$5001,BD!$A$3:$A$5001,O$3,BD!$B$3:$B$5001,$A$174)))</f>
        <v/>
      </c>
      <c r="P179" s="192" t="str">
        <f>IF(P$3="","",IF(COUNTIFS(BD!$A$3:$A$5001,P$3,BD!$B$3:$B$5001,$A$174,BD!$U$3:$U$5001,"&lt;&gt;")=0,"",SUMIFS(BD!$U$3:$U$5001,BD!$A$3:$A$5001,P$3,BD!$B$3:$B$5001,$A$174)))</f>
        <v/>
      </c>
      <c r="Q179" s="192" t="str">
        <f>IF(Q$3="","",IF(COUNTIFS(BD!$A$3:$A$5001,Q$3,BD!$B$3:$B$5001,$A$174,BD!$U$3:$U$5001,"&lt;&gt;")=0,"",SUMIFS(BD!$U$3:$U$5001,BD!$A$3:$A$5001,Q$3,BD!$B$3:$B$5001,$A$174)))</f>
        <v/>
      </c>
      <c r="R179" s="192" t="str">
        <f>IF(R$3="","",IF(COUNTIFS(BD!$A$3:$A$5001,R$3,BD!$B$3:$B$5001,$A$174,BD!$U$3:$U$5001,"&lt;&gt;")=0,"",SUMIFS(BD!$U$3:$U$5001,BD!$A$3:$A$5001,R$3,BD!$B$3:$B$5001,$A$174)))</f>
        <v/>
      </c>
      <c r="S179" s="192" t="str">
        <f>IF(S$3="","",IF(COUNTIFS(BD!$A$3:$A$5001,S$3,BD!$B$3:$B$5001,$A$174,BD!$U$3:$U$5001,"&lt;&gt;")=0,"",SUMIFS(BD!$U$3:$U$5001,BD!$A$3:$A$5001,S$3,BD!$B$3:$B$5001,$A$174)))</f>
        <v/>
      </c>
      <c r="T179" s="192" t="str">
        <f>IF(T$3="","",IF(COUNTIFS(BD!$A$3:$A$5001,T$3,BD!$B$3:$B$5001,$A$174,BD!$U$3:$U$5001,"&lt;&gt;")=0,"",SUMIFS(BD!$U$3:$U$5001,BD!$A$3:$A$5001,T$3,BD!$B$3:$B$5001,$A$174)))</f>
        <v/>
      </c>
      <c r="U179" s="192" t="str">
        <f>IF(U$3="","",IF(COUNTIFS(BD!$A$3:$A$5001,U$3,BD!$B$3:$B$5001,$A$174,BD!$U$3:$U$5001,"&lt;&gt;")=0,"",SUMIFS(BD!$U$3:$U$5001,BD!$A$3:$A$5001,U$3,BD!$B$3:$B$5001,$A$174)))</f>
        <v/>
      </c>
      <c r="V179" s="192" t="str">
        <f>IF(V$3="","",IF(COUNTIFS(BD!$A$3:$A$5001,V$3,BD!$B$3:$B$5001,$A$174,BD!$U$3:$U$5001,"&lt;&gt;")=0,"",SUMIFS(BD!$U$3:$U$5001,BD!$A$3:$A$5001,V$3,BD!$B$3:$B$5001,$A$174)))</f>
        <v/>
      </c>
      <c r="W179" s="192" t="str">
        <f>IF(W$3="","",IF(COUNTIFS(BD!$A$3:$A$5001,W$3,BD!$B$3:$B$5001,$A$174,BD!$U$3:$U$5001,"&lt;&gt;")=0,"",SUMIFS(BD!$U$3:$U$5001,BD!$A$3:$A$5001,W$3,BD!$B$3:$B$5001,$A$174)))</f>
        <v/>
      </c>
      <c r="X179" s="192" t="str">
        <f>IF(X$3="","",IF(COUNTIFS(BD!$A$3:$A$5001,X$3,BD!$B$3:$B$5001,$A$174,BD!$U$3:$U$5001,"&lt;&gt;")=0,"",SUMIFS(BD!$U$3:$U$5001,BD!$A$3:$A$5001,X$3,BD!$B$3:$B$5001,$A$174)))</f>
        <v/>
      </c>
      <c r="Y179" s="192" t="str">
        <f>IF(Y$3="","",IF(COUNTIFS(BD!$A$3:$A$5001,Y$3,BD!$B$3:$B$5001,$A$174,BD!$U$3:$U$5001,"&lt;&gt;")=0,"",SUMIFS(BD!$U$3:$U$5001,BD!$A$3:$A$5001,Y$3,BD!$B$3:$B$5001,$A$174)))</f>
        <v/>
      </c>
      <c r="Z179" s="192" t="str">
        <f>IF(Z$3="","",IF(COUNTIFS(BD!$A$3:$A$5001,Z$3,BD!$B$3:$B$5001,$A$174,BD!$U$3:$U$5001,"&lt;&gt;")=0,"",SUMIFS(BD!$U$3:$U$5001,BD!$A$3:$A$5001,Z$3,BD!$B$3:$B$5001,$A$174)))</f>
        <v/>
      </c>
      <c r="AA179" s="192" t="str">
        <f>IF(AA$3="","",IF(COUNTIFS(BD!$A$3:$A$5001,AA$3,BD!$B$3:$B$5001,$A$174,BD!$U$3:$U$5001,"&lt;&gt;")=0,"",SUMIFS(BD!$U$3:$U$5001,BD!$A$3:$A$5001,AA$3,BD!$B$3:$B$5001,$A$174)))</f>
        <v/>
      </c>
      <c r="AB179" s="192" t="str">
        <f>IF(AB$3="","",IF(COUNTIFS(BD!$A$3:$A$5001,AB$3,BD!$B$3:$B$5001,$A$174,BD!$U$3:$U$5001,"&lt;&gt;")=0,"",SUMIFS(BD!$U$3:$U$5001,BD!$A$3:$A$5001,AB$3,BD!$B$3:$B$5001,$A$174)))</f>
        <v/>
      </c>
      <c r="AC179" s="192" t="str">
        <f>IF(AC$3="","",IF(COUNTIFS(BD!$A$3:$A$5001,AC$3,BD!$B$3:$B$5001,$A$174,BD!$U$3:$U$5001,"&lt;&gt;")=0,"",SUMIFS(BD!$U$3:$U$5001,BD!$A$3:$A$5001,AC$3,BD!$B$3:$B$5001,$A$174)))</f>
        <v/>
      </c>
      <c r="AD179" s="192" t="str">
        <f>IF(AD$3="","",IF(COUNTIFS(BD!$A$3:$A$5001,AD$3,BD!$B$3:$B$5001,$A$174,BD!$U$3:$U$5001,"&lt;&gt;")=0,"",SUMIFS(BD!$U$3:$U$5001,BD!$A$3:$A$5001,AD$3,BD!$B$3:$B$5001,$A$174)))</f>
        <v/>
      </c>
      <c r="AE179" s="192" t="str">
        <f>IF(AE$3="","",IF(COUNTIFS(BD!$A$3:$A$5001,AE$3,BD!$B$3:$B$5001,$A$174,BD!$U$3:$U$5001,"&lt;&gt;")=0,"",SUMIFS(BD!$U$3:$U$5001,BD!$A$3:$A$5001,AE$3,BD!$B$3:$B$5001,$A$174)))</f>
        <v/>
      </c>
      <c r="AF179" s="192" t="str">
        <f>IF(AF$3="","",IF(COUNTIFS(BD!$A$3:$A$5001,AF$3,BD!$B$3:$B$5001,$A$174,BD!$U$3:$U$5001,"&lt;&gt;")=0,"",SUMIFS(BD!$U$3:$U$5001,BD!$A$3:$A$5001,AF$3,BD!$B$3:$B$5001,$A$174)))</f>
        <v/>
      </c>
      <c r="AG179" s="192" t="str">
        <f>IF(AG$3="","",IF(COUNTIFS(BD!$A$3:$A$5001,AG$3,BD!$B$3:$B$5001,$A$174,BD!$U$3:$U$5001,"&lt;&gt;")=0,"",SUMIFS(BD!$U$3:$U$5001,BD!$A$3:$A$5001,AG$3,BD!$B$3:$B$5001,$A$174)))</f>
        <v/>
      </c>
      <c r="AH179" s="192" t="str">
        <f>IF(AH$3="","",IF(COUNTIFS(BD!$A$3:$A$5001,AH$3,BD!$B$3:$B$5001,$A$174,BD!$U$3:$U$5001,"&lt;&gt;")=0,"",SUMIFS(BD!$U$3:$U$5001,BD!$A$3:$A$5001,AH$3,BD!$B$3:$B$5001,$A$174)))</f>
        <v/>
      </c>
      <c r="AI179" s="192" t="str">
        <f>IF(AI$3="","",IF(COUNTIFS(BD!$A$3:$A$5001,AI$3,BD!$B$3:$B$5001,$A$174,BD!$U$3:$U$5001,"&lt;&gt;")=0,"",SUMIFS(BD!$U$3:$U$5001,BD!$A$3:$A$5001,AI$3,BD!$B$3:$B$5001,$A$174)))</f>
        <v/>
      </c>
      <c r="AJ179" s="193" t="str">
        <f>IF(AJ$3="","",IF(COUNTIFS(BD!$A$3:$A$5001,AJ$3,BD!$B$3:$B$5001,$A$174,BD!$U$3:$U$5001,"&lt;&gt;")=0,"",SUMIFS(BD!$U$3:$U$5001,BD!$A$3:$A$5001,AJ$3,BD!$B$3:$B$5001,$A$174)))</f>
        <v/>
      </c>
      <c r="AK179" s="194" t="str">
        <f>IF(COUNT(F179:AJ179)=0,"",SUM(F179:AJ179))</f>
        <v/>
      </c>
    </row>
    <row r="180" ht="15.75" customHeight="1">
      <c r="A180" s="244"/>
      <c r="B180" s="238"/>
      <c r="C180" s="195" t="inlineStr">
        <is>
          <t xml:space="preserve">Backlog</t>
        </is>
      </c>
      <c r="D180" s="196" t="str">
        <f>IFERROR(1/(1/INDEX(BD!$AJ$42:$BD$42,MATCH($A$174,BD!$AJ$22:$BD$22,0))),"")</f>
        <v/>
      </c>
      <c r="E180" s="197"/>
      <c r="F180" s="198" t="str">
        <f>IF(F$3="","",IF(COUNTIFS(BD!$A$3:$A$5001,F$3,BD!$B$3:$B$5001,$A$174,BD!$V$3:$V$5001,"&lt;&gt;")=0,"",SUMIFS(BD!$V$3:$V$5001,BD!$A$3:$A$5001,F$3,BD!$B$3:$B$5001,$A$174)))</f>
        <v/>
      </c>
      <c r="G180" s="199" t="str">
        <f>IF(G$3="","",IF(COUNTIFS(BD!$A$3:$A$5001,G$3,BD!$B$3:$B$5001,$A$174,BD!$V$3:$V$5001,"&lt;&gt;")=0,"",SUMIFS(BD!$V$3:$V$5001,BD!$A$3:$A$5001,G$3,BD!$B$3:$B$5001,$A$174)))</f>
        <v/>
      </c>
      <c r="H180" s="199" t="str">
        <f>IF(H$3="","",IF(COUNTIFS(BD!$A$3:$A$5001,H$3,BD!$B$3:$B$5001,$A$174,BD!$V$3:$V$5001,"&lt;&gt;")=0,"",SUMIFS(BD!$V$3:$V$5001,BD!$A$3:$A$5001,H$3,BD!$B$3:$B$5001,$A$174)))</f>
        <v/>
      </c>
      <c r="I180" s="199" t="str">
        <f>IF(I$3="","",IF(COUNTIFS(BD!$A$3:$A$5001,I$3,BD!$B$3:$B$5001,$A$174,BD!$V$3:$V$5001,"&lt;&gt;")=0,"",SUMIFS(BD!$V$3:$V$5001,BD!$A$3:$A$5001,I$3,BD!$B$3:$B$5001,$A$174)))</f>
        <v/>
      </c>
      <c r="J180" s="199" t="str">
        <f>IF(J$3="","",IF(COUNTIFS(BD!$A$3:$A$5001,J$3,BD!$B$3:$B$5001,$A$174,BD!$V$3:$V$5001,"&lt;&gt;")=0,"",SUMIFS(BD!$V$3:$V$5001,BD!$A$3:$A$5001,J$3,BD!$B$3:$B$5001,$A$174)))</f>
        <v/>
      </c>
      <c r="K180" s="199" t="str">
        <f>IF(K$3="","",IF(COUNTIFS(BD!$A$3:$A$5001,K$3,BD!$B$3:$B$5001,$A$174,BD!$V$3:$V$5001,"&lt;&gt;")=0,"",SUMIFS(BD!$V$3:$V$5001,BD!$A$3:$A$5001,K$3,BD!$B$3:$B$5001,$A$174)))</f>
        <v/>
      </c>
      <c r="L180" s="199" t="str">
        <f>IF(L$3="","",IF(COUNTIFS(BD!$A$3:$A$5001,L$3,BD!$B$3:$B$5001,$A$174,BD!$V$3:$V$5001,"&lt;&gt;")=0,"",SUMIFS(BD!$V$3:$V$5001,BD!$A$3:$A$5001,L$3,BD!$B$3:$B$5001,$A$174)))</f>
        <v/>
      </c>
      <c r="M180" s="199" t="str">
        <f>IF(M$3="","",IF(COUNTIFS(BD!$A$3:$A$5001,M$3,BD!$B$3:$B$5001,$A$174,BD!$V$3:$V$5001,"&lt;&gt;")=0,"",SUMIFS(BD!$V$3:$V$5001,BD!$A$3:$A$5001,M$3,BD!$B$3:$B$5001,$A$174)))</f>
        <v/>
      </c>
      <c r="N180" s="199" t="str">
        <f>IF(N$3="","",IF(COUNTIFS(BD!$A$3:$A$5001,N$3,BD!$B$3:$B$5001,$A$174,BD!$V$3:$V$5001,"&lt;&gt;")=0,"",SUMIFS(BD!$V$3:$V$5001,BD!$A$3:$A$5001,N$3,BD!$B$3:$B$5001,$A$174)))</f>
        <v/>
      </c>
      <c r="O180" s="199" t="str">
        <f>IF(O$3="","",IF(COUNTIFS(BD!$A$3:$A$5001,O$3,BD!$B$3:$B$5001,$A$174,BD!$V$3:$V$5001,"&lt;&gt;")=0,"",SUMIFS(BD!$V$3:$V$5001,BD!$A$3:$A$5001,O$3,BD!$B$3:$B$5001,$A$174)))</f>
        <v/>
      </c>
      <c r="P180" s="199" t="str">
        <f>IF(P$3="","",IF(COUNTIFS(BD!$A$3:$A$5001,P$3,BD!$B$3:$B$5001,$A$174,BD!$V$3:$V$5001,"&lt;&gt;")=0,"",SUMIFS(BD!$V$3:$V$5001,BD!$A$3:$A$5001,P$3,BD!$B$3:$B$5001,$A$174)))</f>
        <v/>
      </c>
      <c r="Q180" s="199" t="str">
        <f>IF(Q$3="","",IF(COUNTIFS(BD!$A$3:$A$5001,Q$3,BD!$B$3:$B$5001,$A$174,BD!$V$3:$V$5001,"&lt;&gt;")=0,"",SUMIFS(BD!$V$3:$V$5001,BD!$A$3:$A$5001,Q$3,BD!$B$3:$B$5001,$A$174)))</f>
        <v/>
      </c>
      <c r="R180" s="199" t="str">
        <f>IF(R$3="","",IF(COUNTIFS(BD!$A$3:$A$5001,R$3,BD!$B$3:$B$5001,$A$174,BD!$V$3:$V$5001,"&lt;&gt;")=0,"",SUMIFS(BD!$V$3:$V$5001,BD!$A$3:$A$5001,R$3,BD!$B$3:$B$5001,$A$174)))</f>
        <v/>
      </c>
      <c r="S180" s="199" t="str">
        <f>IF(S$3="","",IF(COUNTIFS(BD!$A$3:$A$5001,S$3,BD!$B$3:$B$5001,$A$174,BD!$V$3:$V$5001,"&lt;&gt;")=0,"",SUMIFS(BD!$V$3:$V$5001,BD!$A$3:$A$5001,S$3,BD!$B$3:$B$5001,$A$174)))</f>
        <v/>
      </c>
      <c r="T180" s="199" t="str">
        <f>IF(T$3="","",IF(COUNTIFS(BD!$A$3:$A$5001,T$3,BD!$B$3:$B$5001,$A$174,BD!$V$3:$V$5001,"&lt;&gt;")=0,"",SUMIFS(BD!$V$3:$V$5001,BD!$A$3:$A$5001,T$3,BD!$B$3:$B$5001,$A$174)))</f>
        <v/>
      </c>
      <c r="U180" s="199" t="str">
        <f>IF(U$3="","",IF(COUNTIFS(BD!$A$3:$A$5001,U$3,BD!$B$3:$B$5001,$A$174,BD!$V$3:$V$5001,"&lt;&gt;")=0,"",SUMIFS(BD!$V$3:$V$5001,BD!$A$3:$A$5001,U$3,BD!$B$3:$B$5001,$A$174)))</f>
        <v/>
      </c>
      <c r="V180" s="199" t="str">
        <f>IF(V$3="","",IF(COUNTIFS(BD!$A$3:$A$5001,V$3,BD!$B$3:$B$5001,$A$174,BD!$V$3:$V$5001,"&lt;&gt;")=0,"",SUMIFS(BD!$V$3:$V$5001,BD!$A$3:$A$5001,V$3,BD!$B$3:$B$5001,$A$174)))</f>
        <v/>
      </c>
      <c r="W180" s="199" t="str">
        <f>IF(W$3="","",IF(COUNTIFS(BD!$A$3:$A$5001,W$3,BD!$B$3:$B$5001,$A$174,BD!$V$3:$V$5001,"&lt;&gt;")=0,"",SUMIFS(BD!$V$3:$V$5001,BD!$A$3:$A$5001,W$3,BD!$B$3:$B$5001,$A$174)))</f>
        <v/>
      </c>
      <c r="X180" s="199" t="str">
        <f>IF(X$3="","",IF(COUNTIFS(BD!$A$3:$A$5001,X$3,BD!$B$3:$B$5001,$A$174,BD!$V$3:$V$5001,"&lt;&gt;")=0,"",SUMIFS(BD!$V$3:$V$5001,BD!$A$3:$A$5001,X$3,BD!$B$3:$B$5001,$A$174)))</f>
        <v/>
      </c>
      <c r="Y180" s="199" t="str">
        <f>IF(Y$3="","",IF(COUNTIFS(BD!$A$3:$A$5001,Y$3,BD!$B$3:$B$5001,$A$174,BD!$V$3:$V$5001,"&lt;&gt;")=0,"",SUMIFS(BD!$V$3:$V$5001,BD!$A$3:$A$5001,Y$3,BD!$B$3:$B$5001,$A$174)))</f>
        <v/>
      </c>
      <c r="Z180" s="199" t="str">
        <f>IF(Z$3="","",IF(COUNTIFS(BD!$A$3:$A$5001,Z$3,BD!$B$3:$B$5001,$A$174,BD!$V$3:$V$5001,"&lt;&gt;")=0,"",SUMIFS(BD!$V$3:$V$5001,BD!$A$3:$A$5001,Z$3,BD!$B$3:$B$5001,$A$174)))</f>
        <v/>
      </c>
      <c r="AA180" s="199" t="str">
        <f>IF(AA$3="","",IF(COUNTIFS(BD!$A$3:$A$5001,AA$3,BD!$B$3:$B$5001,$A$174,BD!$V$3:$V$5001,"&lt;&gt;")=0,"",SUMIFS(BD!$V$3:$V$5001,BD!$A$3:$A$5001,AA$3,BD!$B$3:$B$5001,$A$174)))</f>
        <v/>
      </c>
      <c r="AB180" s="199" t="str">
        <f>IF(AB$3="","",IF(COUNTIFS(BD!$A$3:$A$5001,AB$3,BD!$B$3:$B$5001,$A$174,BD!$V$3:$V$5001,"&lt;&gt;")=0,"",SUMIFS(BD!$V$3:$V$5001,BD!$A$3:$A$5001,AB$3,BD!$B$3:$B$5001,$A$174)))</f>
        <v/>
      </c>
      <c r="AC180" s="199" t="str">
        <f>IF(AC$3="","",IF(COUNTIFS(BD!$A$3:$A$5001,AC$3,BD!$B$3:$B$5001,$A$174,BD!$V$3:$V$5001,"&lt;&gt;")=0,"",SUMIFS(BD!$V$3:$V$5001,BD!$A$3:$A$5001,AC$3,BD!$B$3:$B$5001,$A$174)))</f>
        <v/>
      </c>
      <c r="AD180" s="199" t="str">
        <f>IF(AD$3="","",IF(COUNTIFS(BD!$A$3:$A$5001,AD$3,BD!$B$3:$B$5001,$A$174,BD!$V$3:$V$5001,"&lt;&gt;")=0,"",SUMIFS(BD!$V$3:$V$5001,BD!$A$3:$A$5001,AD$3,BD!$B$3:$B$5001,$A$174)))</f>
        <v/>
      </c>
      <c r="AE180" s="199" t="str">
        <f>IF(AE$3="","",IF(COUNTIFS(BD!$A$3:$A$5001,AE$3,BD!$B$3:$B$5001,$A$174,BD!$V$3:$V$5001,"&lt;&gt;")=0,"",SUMIFS(BD!$V$3:$V$5001,BD!$A$3:$A$5001,AE$3,BD!$B$3:$B$5001,$A$174)))</f>
        <v/>
      </c>
      <c r="AF180" s="199" t="str">
        <f>IF(AF$3="","",IF(COUNTIFS(BD!$A$3:$A$5001,AF$3,BD!$B$3:$B$5001,$A$174,BD!$V$3:$V$5001,"&lt;&gt;")=0,"",SUMIFS(BD!$V$3:$V$5001,BD!$A$3:$A$5001,AF$3,BD!$B$3:$B$5001,$A$174)))</f>
        <v/>
      </c>
      <c r="AG180" s="199" t="str">
        <f>IF(AG$3="","",IF(COUNTIFS(BD!$A$3:$A$5001,AG$3,BD!$B$3:$B$5001,$A$174,BD!$V$3:$V$5001,"&lt;&gt;")=0,"",SUMIFS(BD!$V$3:$V$5001,BD!$A$3:$A$5001,AG$3,BD!$B$3:$B$5001,$A$174)))</f>
        <v/>
      </c>
      <c r="AH180" s="199" t="str">
        <f>IF(AH$3="","",IF(COUNTIFS(BD!$A$3:$A$5001,AH$3,BD!$B$3:$B$5001,$A$174,BD!$V$3:$V$5001,"&lt;&gt;")=0,"",SUMIFS(BD!$V$3:$V$5001,BD!$A$3:$A$5001,AH$3,BD!$B$3:$B$5001,$A$174)))</f>
        <v/>
      </c>
      <c r="AI180" s="199" t="str">
        <f>IF(AI$3="","",IF(COUNTIFS(BD!$A$3:$A$5001,AI$3,BD!$B$3:$B$5001,$A$174,BD!$V$3:$V$5001,"&lt;&gt;")=0,"",SUMIFS(BD!$V$3:$V$5001,BD!$A$3:$A$5001,AI$3,BD!$B$3:$B$5001,$A$174)))</f>
        <v/>
      </c>
      <c r="AJ180" s="200" t="str">
        <f>IF(AJ$3="","",IF(COUNTIFS(BD!$A$3:$A$5001,AJ$3,BD!$B$3:$B$5001,$A$174,BD!$V$3:$V$5001,"&lt;&gt;")=0,"",SUMIFS(BD!$V$3:$V$5001,BD!$A$3:$A$5001,AJ$3,BD!$B$3:$B$5001,$A$174)))</f>
        <v/>
      </c>
      <c r="AK180" s="196" t="str">
        <f>IFERROR(LOOKUP(9.99E+307,F180:AJ180),"")</f>
        <v/>
      </c>
    </row>
    <row r="181" ht="15.75" customHeight="1">
      <c r="A181" s="244"/>
      <c r="B181" s="232" t="inlineStr">
        <is>
          <t xml:space="preserve">OCUPAÇÃO (P.P)</t>
        </is>
      </c>
      <c r="C181" s="155" t="inlineStr">
        <is>
          <t xml:space="preserve">Posições Disponíveis</t>
        </is>
      </c>
      <c r="D181" s="156" t="str">
        <f>IFERROR(1/(1/INDEX(BD!$AJ$43:$BD$43,MATCH($A$174,BD!$AJ$22:$BD$22,0))),"")</f>
        <v/>
      </c>
      <c r="E181" s="157"/>
      <c r="F181" s="158" t="str">
        <f>IF(F$3="","",IF(COUNTIFS(BD!$A$3:$A$5001,F$3,BD!$B$3:$B$5001,$A$174,BD!$W$3:$W$5001,"&lt;&gt;")=0,"",SUMIFS(BD!$W$3:$W$5001,BD!$A$3:$A$5001,F$3,BD!$B$3:$B$5001,$A$174)))</f>
        <v/>
      </c>
      <c r="G181" s="159" t="str">
        <f>IF(G$3="","",IF(COUNTIFS(BD!$A$3:$A$5001,G$3,BD!$B$3:$B$5001,$A$174,BD!$W$3:$W$5001,"&lt;&gt;")=0,"",SUMIFS(BD!$W$3:$W$5001,BD!$A$3:$A$5001,G$3,BD!$B$3:$B$5001,$A$174)))</f>
        <v/>
      </c>
      <c r="H181" s="159" t="str">
        <f>IF(H$3="","",IF(COUNTIFS(BD!$A$3:$A$5001,H$3,BD!$B$3:$B$5001,$A$174,BD!$W$3:$W$5001,"&lt;&gt;")=0,"",SUMIFS(BD!$W$3:$W$5001,BD!$A$3:$A$5001,H$3,BD!$B$3:$B$5001,$A$174)))</f>
        <v/>
      </c>
      <c r="I181" s="159" t="str">
        <f>IF(I$3="","",IF(COUNTIFS(BD!$A$3:$A$5001,I$3,BD!$B$3:$B$5001,$A$174,BD!$W$3:$W$5001,"&lt;&gt;")=0,"",SUMIFS(BD!$W$3:$W$5001,BD!$A$3:$A$5001,I$3,BD!$B$3:$B$5001,$A$174)))</f>
        <v/>
      </c>
      <c r="J181" s="159" t="str">
        <f>IF(J$3="","",IF(COUNTIFS(BD!$A$3:$A$5001,J$3,BD!$B$3:$B$5001,$A$174,BD!$W$3:$W$5001,"&lt;&gt;")=0,"",SUMIFS(BD!$W$3:$W$5001,BD!$A$3:$A$5001,J$3,BD!$B$3:$B$5001,$A$174)))</f>
        <v/>
      </c>
      <c r="K181" s="159" t="str">
        <f>IF(K$3="","",IF(COUNTIFS(BD!$A$3:$A$5001,K$3,BD!$B$3:$B$5001,$A$174,BD!$W$3:$W$5001,"&lt;&gt;")=0,"",SUMIFS(BD!$W$3:$W$5001,BD!$A$3:$A$5001,K$3,BD!$B$3:$B$5001,$A$174)))</f>
        <v/>
      </c>
      <c r="L181" s="159" t="str">
        <f>IF(L$3="","",IF(COUNTIFS(BD!$A$3:$A$5001,L$3,BD!$B$3:$B$5001,$A$174,BD!$W$3:$W$5001,"&lt;&gt;")=0,"",SUMIFS(BD!$W$3:$W$5001,BD!$A$3:$A$5001,L$3,BD!$B$3:$B$5001,$A$174)))</f>
        <v/>
      </c>
      <c r="M181" s="159" t="str">
        <f>IF(M$3="","",IF(COUNTIFS(BD!$A$3:$A$5001,M$3,BD!$B$3:$B$5001,$A$174,BD!$W$3:$W$5001,"&lt;&gt;")=0,"",SUMIFS(BD!$W$3:$W$5001,BD!$A$3:$A$5001,M$3,BD!$B$3:$B$5001,$A$174)))</f>
        <v/>
      </c>
      <c r="N181" s="159" t="str">
        <f>IF(N$3="","",IF(COUNTIFS(BD!$A$3:$A$5001,N$3,BD!$B$3:$B$5001,$A$174,BD!$W$3:$W$5001,"&lt;&gt;")=0,"",SUMIFS(BD!$W$3:$W$5001,BD!$A$3:$A$5001,N$3,BD!$B$3:$B$5001,$A$174)))</f>
        <v/>
      </c>
      <c r="O181" s="159" t="str">
        <f>IF(O$3="","",IF(COUNTIFS(BD!$A$3:$A$5001,O$3,BD!$B$3:$B$5001,$A$174,BD!$W$3:$W$5001,"&lt;&gt;")=0,"",SUMIFS(BD!$W$3:$W$5001,BD!$A$3:$A$5001,O$3,BD!$B$3:$B$5001,$A$174)))</f>
        <v/>
      </c>
      <c r="P181" s="159" t="str">
        <f>IF(P$3="","",IF(COUNTIFS(BD!$A$3:$A$5001,P$3,BD!$B$3:$B$5001,$A$174,BD!$W$3:$W$5001,"&lt;&gt;")=0,"",SUMIFS(BD!$W$3:$W$5001,BD!$A$3:$A$5001,P$3,BD!$B$3:$B$5001,$A$174)))</f>
        <v/>
      </c>
      <c r="Q181" s="159" t="str">
        <f>IF(Q$3="","",IF(COUNTIFS(BD!$A$3:$A$5001,Q$3,BD!$B$3:$B$5001,$A$174,BD!$W$3:$W$5001,"&lt;&gt;")=0,"",SUMIFS(BD!$W$3:$W$5001,BD!$A$3:$A$5001,Q$3,BD!$B$3:$B$5001,$A$174)))</f>
        <v/>
      </c>
      <c r="R181" s="159" t="str">
        <f>IF(R$3="","",IF(COUNTIFS(BD!$A$3:$A$5001,R$3,BD!$B$3:$B$5001,$A$174,BD!$W$3:$W$5001,"&lt;&gt;")=0,"",SUMIFS(BD!$W$3:$W$5001,BD!$A$3:$A$5001,R$3,BD!$B$3:$B$5001,$A$174)))</f>
        <v/>
      </c>
      <c r="S181" s="159" t="str">
        <f>IF(S$3="","",IF(COUNTIFS(BD!$A$3:$A$5001,S$3,BD!$B$3:$B$5001,$A$174,BD!$W$3:$W$5001,"&lt;&gt;")=0,"",SUMIFS(BD!$W$3:$W$5001,BD!$A$3:$A$5001,S$3,BD!$B$3:$B$5001,$A$174)))</f>
        <v/>
      </c>
      <c r="T181" s="159" t="str">
        <f>IF(T$3="","",IF(COUNTIFS(BD!$A$3:$A$5001,T$3,BD!$B$3:$B$5001,$A$174,BD!$W$3:$W$5001,"&lt;&gt;")=0,"",SUMIFS(BD!$W$3:$W$5001,BD!$A$3:$A$5001,T$3,BD!$B$3:$B$5001,$A$174)))</f>
        <v/>
      </c>
      <c r="U181" s="159" t="str">
        <f>IF(U$3="","",IF(COUNTIFS(BD!$A$3:$A$5001,U$3,BD!$B$3:$B$5001,$A$174,BD!$W$3:$W$5001,"&lt;&gt;")=0,"",SUMIFS(BD!$W$3:$W$5001,BD!$A$3:$A$5001,U$3,BD!$B$3:$B$5001,$A$174)))</f>
        <v/>
      </c>
      <c r="V181" s="159" t="str">
        <f>IF(V$3="","",IF(COUNTIFS(BD!$A$3:$A$5001,V$3,BD!$B$3:$B$5001,$A$174,BD!$W$3:$W$5001,"&lt;&gt;")=0,"",SUMIFS(BD!$W$3:$W$5001,BD!$A$3:$A$5001,V$3,BD!$B$3:$B$5001,$A$174)))</f>
        <v/>
      </c>
      <c r="W181" s="159" t="str">
        <f>IF(W$3="","",IF(COUNTIFS(BD!$A$3:$A$5001,W$3,BD!$B$3:$B$5001,$A$174,BD!$W$3:$W$5001,"&lt;&gt;")=0,"",SUMIFS(BD!$W$3:$W$5001,BD!$A$3:$A$5001,W$3,BD!$B$3:$B$5001,$A$174)))</f>
        <v/>
      </c>
      <c r="X181" s="159" t="str">
        <f>IF(X$3="","",IF(COUNTIFS(BD!$A$3:$A$5001,X$3,BD!$B$3:$B$5001,$A$174,BD!$W$3:$W$5001,"&lt;&gt;")=0,"",SUMIFS(BD!$W$3:$W$5001,BD!$A$3:$A$5001,X$3,BD!$B$3:$B$5001,$A$174)))</f>
        <v/>
      </c>
      <c r="Y181" s="159" t="str">
        <f>IF(Y$3="","",IF(COUNTIFS(BD!$A$3:$A$5001,Y$3,BD!$B$3:$B$5001,$A$174,BD!$W$3:$W$5001,"&lt;&gt;")=0,"",SUMIFS(BD!$W$3:$W$5001,BD!$A$3:$A$5001,Y$3,BD!$B$3:$B$5001,$A$174)))</f>
        <v/>
      </c>
      <c r="Z181" s="159" t="str">
        <f>IF(Z$3="","",IF(COUNTIFS(BD!$A$3:$A$5001,Z$3,BD!$B$3:$B$5001,$A$174,BD!$W$3:$W$5001,"&lt;&gt;")=0,"",SUMIFS(BD!$W$3:$W$5001,BD!$A$3:$A$5001,Z$3,BD!$B$3:$B$5001,$A$174)))</f>
        <v/>
      </c>
      <c r="AA181" s="159" t="str">
        <f>IF(AA$3="","",IF(COUNTIFS(BD!$A$3:$A$5001,AA$3,BD!$B$3:$B$5001,$A$174,BD!$W$3:$W$5001,"&lt;&gt;")=0,"",SUMIFS(BD!$W$3:$W$5001,BD!$A$3:$A$5001,AA$3,BD!$B$3:$B$5001,$A$174)))</f>
        <v/>
      </c>
      <c r="AB181" s="159" t="str">
        <f>IF(AB$3="","",IF(COUNTIFS(BD!$A$3:$A$5001,AB$3,BD!$B$3:$B$5001,$A$174,BD!$W$3:$W$5001,"&lt;&gt;")=0,"",SUMIFS(BD!$W$3:$W$5001,BD!$A$3:$A$5001,AB$3,BD!$B$3:$B$5001,$A$174)))</f>
        <v/>
      </c>
      <c r="AC181" s="159" t="str">
        <f>IF(AC$3="","",IF(COUNTIFS(BD!$A$3:$A$5001,AC$3,BD!$B$3:$B$5001,$A$174,BD!$W$3:$W$5001,"&lt;&gt;")=0,"",SUMIFS(BD!$W$3:$W$5001,BD!$A$3:$A$5001,AC$3,BD!$B$3:$B$5001,$A$174)))</f>
        <v/>
      </c>
      <c r="AD181" s="159" t="str">
        <f>IF(AD$3="","",IF(COUNTIFS(BD!$A$3:$A$5001,AD$3,BD!$B$3:$B$5001,$A$174,BD!$W$3:$W$5001,"&lt;&gt;")=0,"",SUMIFS(BD!$W$3:$W$5001,BD!$A$3:$A$5001,AD$3,BD!$B$3:$B$5001,$A$174)))</f>
        <v/>
      </c>
      <c r="AE181" s="159" t="str">
        <f>IF(AE$3="","",IF(COUNTIFS(BD!$A$3:$A$5001,AE$3,BD!$B$3:$B$5001,$A$174,BD!$W$3:$W$5001,"&lt;&gt;")=0,"",SUMIFS(BD!$W$3:$W$5001,BD!$A$3:$A$5001,AE$3,BD!$B$3:$B$5001,$A$174)))</f>
        <v/>
      </c>
      <c r="AF181" s="159" t="str">
        <f>IF(AF$3="","",IF(COUNTIFS(BD!$A$3:$A$5001,AF$3,BD!$B$3:$B$5001,$A$174,BD!$W$3:$W$5001,"&lt;&gt;")=0,"",SUMIFS(BD!$W$3:$W$5001,BD!$A$3:$A$5001,AF$3,BD!$B$3:$B$5001,$A$174)))</f>
        <v/>
      </c>
      <c r="AG181" s="159" t="str">
        <f>IF(AG$3="","",IF(COUNTIFS(BD!$A$3:$A$5001,AG$3,BD!$B$3:$B$5001,$A$174,BD!$W$3:$W$5001,"&lt;&gt;")=0,"",SUMIFS(BD!$W$3:$W$5001,BD!$A$3:$A$5001,AG$3,BD!$B$3:$B$5001,$A$174)))</f>
        <v/>
      </c>
      <c r="AH181" s="159" t="str">
        <f>IF(AH$3="","",IF(COUNTIFS(BD!$A$3:$A$5001,AH$3,BD!$B$3:$B$5001,$A$174,BD!$W$3:$W$5001,"&lt;&gt;")=0,"",SUMIFS(BD!$W$3:$W$5001,BD!$A$3:$A$5001,AH$3,BD!$B$3:$B$5001,$A$174)))</f>
        <v/>
      </c>
      <c r="AI181" s="159" t="str">
        <f>IF(AI$3="","",IF(COUNTIFS(BD!$A$3:$A$5001,AI$3,BD!$B$3:$B$5001,$A$174,BD!$W$3:$W$5001,"&lt;&gt;")=0,"",SUMIFS(BD!$W$3:$W$5001,BD!$A$3:$A$5001,AI$3,BD!$B$3:$B$5001,$A$174)))</f>
        <v/>
      </c>
      <c r="AJ181" s="160" t="str">
        <f>IF(AJ$3="","",IF(COUNTIFS(BD!$A$3:$A$5001,AJ$3,BD!$B$3:$B$5001,$A$174,BD!$W$3:$W$5001,"&lt;&gt;")=0,"",SUMIFS(BD!$W$3:$W$5001,BD!$A$3:$A$5001,AJ$3,BD!$B$3:$B$5001,$A$174)))</f>
        <v/>
      </c>
      <c r="AK181" s="161" t="str">
        <f>IF(COUNT(F181:AJ181)&gt;0,LOOKUP(9.99E+307,F181:AJ181),IFERROR(IF(INDEX(BD!$AG$3:$AG$5001,MATCH($A$174,BD!$B$3:$B$5001,0))&amp;""="Contrato","",INDEX(BD!$AG$3:$AG$5001,MATCH($A$174,BD!$B$3:$B$5001,0))&amp;""),""))</f>
        <v/>
      </c>
    </row>
    <row r="182" ht="15.75" customHeight="1">
      <c r="A182" s="244"/>
      <c r="B182" s="239"/>
      <c r="C182" s="201" t="inlineStr">
        <is>
          <t xml:space="preserve">Posições Ocupadas</t>
        </is>
      </c>
      <c r="D182" s="202" t="str">
        <f>IFERROR(1/(1/INDEX(BD!$AJ$44:$BD$44,MATCH($A$174,BD!$AJ$22:$BD$22,0))),"")</f>
        <v/>
      </c>
      <c r="E182" s="203"/>
      <c r="F182" s="204" t="str">
        <f>IF(F$3="","",IF(COUNTIFS(BD!$A$3:$A$5001,F$3,BD!$B$3:$B$5001,$A$174,BD!$X$3:$X$5001,"&lt;&gt;")=0,"",SUMIFS(BD!$X$3:$X$5001,BD!$A$3:$A$5001,F$3,BD!$B$3:$B$5001,$A$174)))</f>
        <v/>
      </c>
      <c r="G182" s="205" t="str">
        <f>IF(G$3="","",IF(COUNTIFS(BD!$A$3:$A$5001,G$3,BD!$B$3:$B$5001,$A$174,BD!$X$3:$X$5001,"&lt;&gt;")=0,"",SUMIFS(BD!$X$3:$X$5001,BD!$A$3:$A$5001,G$3,BD!$B$3:$B$5001,$A$174)))</f>
        <v/>
      </c>
      <c r="H182" s="205" t="str">
        <f>IF(H$3="","",IF(COUNTIFS(BD!$A$3:$A$5001,H$3,BD!$B$3:$B$5001,$A$174,BD!$X$3:$X$5001,"&lt;&gt;")=0,"",SUMIFS(BD!$X$3:$X$5001,BD!$A$3:$A$5001,H$3,BD!$B$3:$B$5001,$A$174)))</f>
        <v/>
      </c>
      <c r="I182" s="205" t="str">
        <f>IF(I$3="","",IF(COUNTIFS(BD!$A$3:$A$5001,I$3,BD!$B$3:$B$5001,$A$174,BD!$X$3:$X$5001,"&lt;&gt;")=0,"",SUMIFS(BD!$X$3:$X$5001,BD!$A$3:$A$5001,I$3,BD!$B$3:$B$5001,$A$174)))</f>
        <v/>
      </c>
      <c r="J182" s="205" t="str">
        <f>IF(J$3="","",IF(COUNTIFS(BD!$A$3:$A$5001,J$3,BD!$B$3:$B$5001,$A$174,BD!$X$3:$X$5001,"&lt;&gt;")=0,"",SUMIFS(BD!$X$3:$X$5001,BD!$A$3:$A$5001,J$3,BD!$B$3:$B$5001,$A$174)))</f>
        <v/>
      </c>
      <c r="K182" s="205" t="str">
        <f>IF(K$3="","",IF(COUNTIFS(BD!$A$3:$A$5001,K$3,BD!$B$3:$B$5001,$A$174,BD!$X$3:$X$5001,"&lt;&gt;")=0,"",SUMIFS(BD!$X$3:$X$5001,BD!$A$3:$A$5001,K$3,BD!$B$3:$B$5001,$A$174)))</f>
        <v/>
      </c>
      <c r="L182" s="205" t="str">
        <f>IF(L$3="","",IF(COUNTIFS(BD!$A$3:$A$5001,L$3,BD!$B$3:$B$5001,$A$174,BD!$X$3:$X$5001,"&lt;&gt;")=0,"",SUMIFS(BD!$X$3:$X$5001,BD!$A$3:$A$5001,L$3,BD!$B$3:$B$5001,$A$174)))</f>
        <v/>
      </c>
      <c r="M182" s="205" t="str">
        <f>IF(M$3="","",IF(COUNTIFS(BD!$A$3:$A$5001,M$3,BD!$B$3:$B$5001,$A$174,BD!$X$3:$X$5001,"&lt;&gt;")=0,"",SUMIFS(BD!$X$3:$X$5001,BD!$A$3:$A$5001,M$3,BD!$B$3:$B$5001,$A$174)))</f>
        <v/>
      </c>
      <c r="N182" s="205" t="str">
        <f>IF(N$3="","",IF(COUNTIFS(BD!$A$3:$A$5001,N$3,BD!$B$3:$B$5001,$A$174,BD!$X$3:$X$5001,"&lt;&gt;")=0,"",SUMIFS(BD!$X$3:$X$5001,BD!$A$3:$A$5001,N$3,BD!$B$3:$B$5001,$A$174)))</f>
        <v/>
      </c>
      <c r="O182" s="205" t="str">
        <f>IF(O$3="","",IF(COUNTIFS(BD!$A$3:$A$5001,O$3,BD!$B$3:$B$5001,$A$174,BD!$X$3:$X$5001,"&lt;&gt;")=0,"",SUMIFS(BD!$X$3:$X$5001,BD!$A$3:$A$5001,O$3,BD!$B$3:$B$5001,$A$174)))</f>
        <v/>
      </c>
      <c r="P182" s="205" t="str">
        <f>IF(P$3="","",IF(COUNTIFS(BD!$A$3:$A$5001,P$3,BD!$B$3:$B$5001,$A$174,BD!$X$3:$X$5001,"&lt;&gt;")=0,"",SUMIFS(BD!$X$3:$X$5001,BD!$A$3:$A$5001,P$3,BD!$B$3:$B$5001,$A$174)))</f>
        <v/>
      </c>
      <c r="Q182" s="205" t="str">
        <f>IF(Q$3="","",IF(COUNTIFS(BD!$A$3:$A$5001,Q$3,BD!$B$3:$B$5001,$A$174,BD!$X$3:$X$5001,"&lt;&gt;")=0,"",SUMIFS(BD!$X$3:$X$5001,BD!$A$3:$A$5001,Q$3,BD!$B$3:$B$5001,$A$174)))</f>
        <v/>
      </c>
      <c r="R182" s="205" t="str">
        <f>IF(R$3="","",IF(COUNTIFS(BD!$A$3:$A$5001,R$3,BD!$B$3:$B$5001,$A$174,BD!$X$3:$X$5001,"&lt;&gt;")=0,"",SUMIFS(BD!$X$3:$X$5001,BD!$A$3:$A$5001,R$3,BD!$B$3:$B$5001,$A$174)))</f>
        <v/>
      </c>
      <c r="S182" s="205" t="str">
        <f>IF(S$3="","",IF(COUNTIFS(BD!$A$3:$A$5001,S$3,BD!$B$3:$B$5001,$A$174,BD!$X$3:$X$5001,"&lt;&gt;")=0,"",SUMIFS(BD!$X$3:$X$5001,BD!$A$3:$A$5001,S$3,BD!$B$3:$B$5001,$A$174)))</f>
        <v/>
      </c>
      <c r="T182" s="205" t="str">
        <f>IF(T$3="","",IF(COUNTIFS(BD!$A$3:$A$5001,T$3,BD!$B$3:$B$5001,$A$174,BD!$X$3:$X$5001,"&lt;&gt;")=0,"",SUMIFS(BD!$X$3:$X$5001,BD!$A$3:$A$5001,T$3,BD!$B$3:$B$5001,$A$174)))</f>
        <v/>
      </c>
      <c r="U182" s="205" t="str">
        <f>IF(U$3="","",IF(COUNTIFS(BD!$A$3:$A$5001,U$3,BD!$B$3:$B$5001,$A$174,BD!$X$3:$X$5001,"&lt;&gt;")=0,"",SUMIFS(BD!$X$3:$X$5001,BD!$A$3:$A$5001,U$3,BD!$B$3:$B$5001,$A$174)))</f>
        <v/>
      </c>
      <c r="V182" s="205" t="str">
        <f>IF(V$3="","",IF(COUNTIFS(BD!$A$3:$A$5001,V$3,BD!$B$3:$B$5001,$A$174,BD!$X$3:$X$5001,"&lt;&gt;")=0,"",SUMIFS(BD!$X$3:$X$5001,BD!$A$3:$A$5001,V$3,BD!$B$3:$B$5001,$A$174)))</f>
        <v/>
      </c>
      <c r="W182" s="205" t="str">
        <f>IF(W$3="","",IF(COUNTIFS(BD!$A$3:$A$5001,W$3,BD!$B$3:$B$5001,$A$174,BD!$X$3:$X$5001,"&lt;&gt;")=0,"",SUMIFS(BD!$X$3:$X$5001,BD!$A$3:$A$5001,W$3,BD!$B$3:$B$5001,$A$174)))</f>
        <v/>
      </c>
      <c r="X182" s="205" t="str">
        <f>IF(X$3="","",IF(COUNTIFS(BD!$A$3:$A$5001,X$3,BD!$B$3:$B$5001,$A$174,BD!$X$3:$X$5001,"&lt;&gt;")=0,"",SUMIFS(BD!$X$3:$X$5001,BD!$A$3:$A$5001,X$3,BD!$B$3:$B$5001,$A$174)))</f>
        <v/>
      </c>
      <c r="Y182" s="205" t="str">
        <f>IF(Y$3="","",IF(COUNTIFS(BD!$A$3:$A$5001,Y$3,BD!$B$3:$B$5001,$A$174,BD!$X$3:$X$5001,"&lt;&gt;")=0,"",SUMIFS(BD!$X$3:$X$5001,BD!$A$3:$A$5001,Y$3,BD!$B$3:$B$5001,$A$174)))</f>
        <v/>
      </c>
      <c r="Z182" s="205" t="str">
        <f>IF(Z$3="","",IF(COUNTIFS(BD!$A$3:$A$5001,Z$3,BD!$B$3:$B$5001,$A$174,BD!$X$3:$X$5001,"&lt;&gt;")=0,"",SUMIFS(BD!$X$3:$X$5001,BD!$A$3:$A$5001,Z$3,BD!$B$3:$B$5001,$A$174)))</f>
        <v/>
      </c>
      <c r="AA182" s="205" t="str">
        <f>IF(AA$3="","",IF(COUNTIFS(BD!$A$3:$A$5001,AA$3,BD!$B$3:$B$5001,$A$174,BD!$X$3:$X$5001,"&lt;&gt;")=0,"",SUMIFS(BD!$X$3:$X$5001,BD!$A$3:$A$5001,AA$3,BD!$B$3:$B$5001,$A$174)))</f>
        <v/>
      </c>
      <c r="AB182" s="205" t="str">
        <f>IF(AB$3="","",IF(COUNTIFS(BD!$A$3:$A$5001,AB$3,BD!$B$3:$B$5001,$A$174,BD!$X$3:$X$5001,"&lt;&gt;")=0,"",SUMIFS(BD!$X$3:$X$5001,BD!$A$3:$A$5001,AB$3,BD!$B$3:$B$5001,$A$174)))</f>
        <v/>
      </c>
      <c r="AC182" s="205" t="str">
        <f>IF(AC$3="","",IF(COUNTIFS(BD!$A$3:$A$5001,AC$3,BD!$B$3:$B$5001,$A$174,BD!$X$3:$X$5001,"&lt;&gt;")=0,"",SUMIFS(BD!$X$3:$X$5001,BD!$A$3:$A$5001,AC$3,BD!$B$3:$B$5001,$A$174)))</f>
        <v/>
      </c>
      <c r="AD182" s="205" t="str">
        <f>IF(AD$3="","",IF(COUNTIFS(BD!$A$3:$A$5001,AD$3,BD!$B$3:$B$5001,$A$174,BD!$X$3:$X$5001,"&lt;&gt;")=0,"",SUMIFS(BD!$X$3:$X$5001,BD!$A$3:$A$5001,AD$3,BD!$B$3:$B$5001,$A$174)))</f>
        <v/>
      </c>
      <c r="AE182" s="205" t="str">
        <f>IF(AE$3="","",IF(COUNTIFS(BD!$A$3:$A$5001,AE$3,BD!$B$3:$B$5001,$A$174,BD!$X$3:$X$5001,"&lt;&gt;")=0,"",SUMIFS(BD!$X$3:$X$5001,BD!$A$3:$A$5001,AE$3,BD!$B$3:$B$5001,$A$174)))</f>
        <v/>
      </c>
      <c r="AF182" s="205" t="str">
        <f>IF(AF$3="","",IF(COUNTIFS(BD!$A$3:$A$5001,AF$3,BD!$B$3:$B$5001,$A$174,BD!$X$3:$X$5001,"&lt;&gt;")=0,"",SUMIFS(BD!$X$3:$X$5001,BD!$A$3:$A$5001,AF$3,BD!$B$3:$B$5001,$A$174)))</f>
        <v/>
      </c>
      <c r="AG182" s="205" t="str">
        <f>IF(AG$3="","",IF(COUNTIFS(BD!$A$3:$A$5001,AG$3,BD!$B$3:$B$5001,$A$174,BD!$X$3:$X$5001,"&lt;&gt;")=0,"",SUMIFS(BD!$X$3:$X$5001,BD!$A$3:$A$5001,AG$3,BD!$B$3:$B$5001,$A$174)))</f>
        <v/>
      </c>
      <c r="AH182" s="205" t="str">
        <f>IF(AH$3="","",IF(COUNTIFS(BD!$A$3:$A$5001,AH$3,BD!$B$3:$B$5001,$A$174,BD!$X$3:$X$5001,"&lt;&gt;")=0,"",SUMIFS(BD!$X$3:$X$5001,BD!$A$3:$A$5001,AH$3,BD!$B$3:$B$5001,$A$174)))</f>
        <v/>
      </c>
      <c r="AI182" s="205" t="str">
        <f>IF(AI$3="","",IF(COUNTIFS(BD!$A$3:$A$5001,AI$3,BD!$B$3:$B$5001,$A$174,BD!$X$3:$X$5001,"&lt;&gt;")=0,"",SUMIFS(BD!$X$3:$X$5001,BD!$A$3:$A$5001,AI$3,BD!$B$3:$B$5001,$A$174)))</f>
        <v/>
      </c>
      <c r="AJ182" s="206" t="str">
        <f>IF(AJ$3="","",IF(COUNTIFS(BD!$A$3:$A$5001,AJ$3,BD!$B$3:$B$5001,$A$174,BD!$X$3:$X$5001,"&lt;&gt;")=0,"",SUMIFS(BD!$X$3:$X$5001,BD!$A$3:$A$5001,AJ$3,BD!$B$3:$B$5001,$A$174)))</f>
        <v/>
      </c>
      <c r="AK182" s="207" t="str">
        <f>IFERROR(LOOKUP(9.99E+307,F182:AJ182),"")</f>
        <v/>
      </c>
    </row>
    <row r="183" ht="15.75" customHeight="1">
      <c r="A183" s="244"/>
      <c r="B183" s="233"/>
      <c r="C183" s="162" t="inlineStr">
        <is>
          <t xml:space="preserve">Taxa de Ocupação</t>
        </is>
      </c>
      <c r="D183" s="208" t="str">
        <f>IFERROR(1/(1/INDEX(BD!$AJ$45:$BD$45,MATCH($A$174,BD!$AJ$22:$BD$22,0))),"")</f>
        <v/>
      </c>
      <c r="E183" s="164"/>
      <c r="F183" s="209" t="str">
        <f>IF(AND(ISNUMBER(F181),ISNUMBER(F182)),IF(F181&gt;0,F182/F181,""),"")</f>
        <v/>
      </c>
      <c r="G183" s="210" t="str">
        <f>IF(AND(ISNUMBER(G181),ISNUMBER(G182)),IF(G181&gt;0,G182/G181,""),"")</f>
        <v/>
      </c>
      <c r="H183" s="210" t="str">
        <f>IF(AND(ISNUMBER(H181),ISNUMBER(H182)),IF(H181&gt;0,H182/H181,""),"")</f>
        <v/>
      </c>
      <c r="I183" s="210" t="str">
        <f>IF(AND(ISNUMBER(I181),ISNUMBER(I182)),IF(I181&gt;0,I182/I181,""),"")</f>
        <v/>
      </c>
      <c r="J183" s="210" t="str">
        <f>IF(AND(ISNUMBER(J181),ISNUMBER(J182)),IF(J181&gt;0,J182/J181,""),"")</f>
        <v/>
      </c>
      <c r="K183" s="210" t="str">
        <f>IF(AND(ISNUMBER(K181),ISNUMBER(K182)),IF(K181&gt;0,K182/K181,""),"")</f>
        <v/>
      </c>
      <c r="L183" s="210" t="str">
        <f>IF(AND(ISNUMBER(L181),ISNUMBER(L182)),IF(L181&gt;0,L182/L181,""),"")</f>
        <v/>
      </c>
      <c r="M183" s="210" t="str">
        <f>IF(AND(ISNUMBER(M181),ISNUMBER(M182)),IF(M181&gt;0,M182/M181,""),"")</f>
        <v/>
      </c>
      <c r="N183" s="210" t="str">
        <f>IF(AND(ISNUMBER(N181),ISNUMBER(N182)),IF(N181&gt;0,N182/N181,""),"")</f>
        <v/>
      </c>
      <c r="O183" s="210" t="str">
        <f>IF(AND(ISNUMBER(O181),ISNUMBER(O182)),IF(O181&gt;0,O182/O181,""),"")</f>
        <v/>
      </c>
      <c r="P183" s="210" t="str">
        <f>IF(AND(ISNUMBER(P181),ISNUMBER(P182)),IF(P181&gt;0,P182/P181,""),"")</f>
        <v/>
      </c>
      <c r="Q183" s="210" t="str">
        <f>IF(AND(ISNUMBER(Q181),ISNUMBER(Q182)),IF(Q181&gt;0,Q182/Q181,""),"")</f>
        <v/>
      </c>
      <c r="R183" s="210" t="str">
        <f>IF(AND(ISNUMBER(R181),ISNUMBER(R182)),IF(R181&gt;0,R182/R181,""),"")</f>
        <v/>
      </c>
      <c r="S183" s="210" t="str">
        <f>IF(AND(ISNUMBER(S181),ISNUMBER(S182)),IF(S181&gt;0,S182/S181,""),"")</f>
        <v/>
      </c>
      <c r="T183" s="210" t="str">
        <f>IF(AND(ISNUMBER(T181),ISNUMBER(T182)),IF(T181&gt;0,T182/T181,""),"")</f>
        <v/>
      </c>
      <c r="U183" s="210" t="str">
        <f>IF(AND(ISNUMBER(U181),ISNUMBER(U182)),IF(U181&gt;0,U182/U181,""),"")</f>
        <v/>
      </c>
      <c r="V183" s="210" t="str">
        <f>IF(AND(ISNUMBER(V181),ISNUMBER(V182)),IF(V181&gt;0,V182/V181,""),"")</f>
        <v/>
      </c>
      <c r="W183" s="210" t="str">
        <f>IF(AND(ISNUMBER(W181),ISNUMBER(W182)),IF(W181&gt;0,W182/W181,""),"")</f>
        <v/>
      </c>
      <c r="X183" s="210" t="str">
        <f>IF(AND(ISNUMBER(X181),ISNUMBER(X182)),IF(X181&gt;0,X182/X181,""),"")</f>
        <v/>
      </c>
      <c r="Y183" s="210" t="str">
        <f>IF(AND(ISNUMBER(Y181),ISNUMBER(Y182)),IF(Y181&gt;0,Y182/Y181,""),"")</f>
        <v/>
      </c>
      <c r="Z183" s="210" t="str">
        <f>IF(AND(ISNUMBER(Z181),ISNUMBER(Z182)),IF(Z181&gt;0,Z182/Z181,""),"")</f>
        <v/>
      </c>
      <c r="AA183" s="210" t="str">
        <f>IF(AND(ISNUMBER(AA181),ISNUMBER(AA182)),IF(AA181&gt;0,AA182/AA181,""),"")</f>
        <v/>
      </c>
      <c r="AB183" s="210" t="str">
        <f>IF(AND(ISNUMBER(AB181),ISNUMBER(AB182)),IF(AB181&gt;0,AB182/AB181,""),"")</f>
        <v/>
      </c>
      <c r="AC183" s="210" t="str">
        <f>IF(AND(ISNUMBER(AC181),ISNUMBER(AC182)),IF(AC181&gt;0,AC182/AC181,""),"")</f>
        <v/>
      </c>
      <c r="AD183" s="210" t="str">
        <f>IF(AND(ISNUMBER(AD181),ISNUMBER(AD182)),IF(AD181&gt;0,AD182/AD181,""),"")</f>
        <v/>
      </c>
      <c r="AE183" s="210" t="str">
        <f>IF(AND(ISNUMBER(AE181),ISNUMBER(AE182)),IF(AE181&gt;0,AE182/AE181,""),"")</f>
        <v/>
      </c>
      <c r="AF183" s="210" t="str">
        <f>IF(AND(ISNUMBER(AF181),ISNUMBER(AF182)),IF(AF181&gt;0,AF182/AF181,""),"")</f>
        <v/>
      </c>
      <c r="AG183" s="210" t="str">
        <f>IF(AND(ISNUMBER(AG181),ISNUMBER(AG182)),IF(AG181&gt;0,AG182/AG181,""),"")</f>
        <v/>
      </c>
      <c r="AH183" s="210" t="str">
        <f>IF(AND(ISNUMBER(AH181),ISNUMBER(AH182)),IF(AH181&gt;0,AH182/AH181,""),"")</f>
        <v/>
      </c>
      <c r="AI183" s="210" t="str">
        <f>IF(AND(ISNUMBER(AI181),ISNUMBER(AI182)),IF(AI181&gt;0,AI182/AI181,""),"")</f>
        <v/>
      </c>
      <c r="AJ183" s="211" t="str">
        <f>IF(AND(ISNUMBER(AJ181),ISNUMBER(AJ182)),IF(AJ181&gt;0,AJ182/AJ181,""),"")</f>
        <v/>
      </c>
      <c r="AK183" s="208" t="str">
        <f>IF(AND(ISNUMBER(AK181),ISNUMBER(AK182)),IF(AK181&gt;0,AK182/AK181,""),"")</f>
        <v/>
      </c>
    </row>
    <row r="184" ht="15.75" customHeight="1">
      <c r="A184" s="244"/>
      <c r="B184" s="240" t="inlineStr">
        <is>
          <t xml:space="preserve">GENTE</t>
        </is>
      </c>
      <c r="C184" s="212" t="inlineStr">
        <is>
          <t xml:space="preserve">Efetivo Op.</t>
        </is>
      </c>
      <c r="D184" s="213" t="str">
        <f>IFERROR(1/(1/INDEX(BD!$AJ$46:$BD$46,MATCH($A$174,BD!$AJ$22:$BD$22,0))),"")</f>
        <v/>
      </c>
      <c r="E184" s="214"/>
      <c r="F184" s="215" t="str">
        <f>IF(F$3="","",IF(COUNTIFS(BD!$A$3:$A$5001,F$3,BD!$B$3:$B$5001,$A$174,BD!$Y$3:$Y$5001,"&lt;&gt;")=0,"",SUMIFS(BD!$Y$3:$Y$5001,BD!$A$3:$A$5001,F$3,BD!$B$3:$B$5001,$A$174)))</f>
        <v/>
      </c>
      <c r="G184" s="216" t="str">
        <f>IF(G$3="","",IF(COUNTIFS(BD!$A$3:$A$5001,G$3,BD!$B$3:$B$5001,$A$174,BD!$Y$3:$Y$5001,"&lt;&gt;")=0,"",SUMIFS(BD!$Y$3:$Y$5001,BD!$A$3:$A$5001,G$3,BD!$B$3:$B$5001,$A$174)))</f>
        <v/>
      </c>
      <c r="H184" s="216" t="str">
        <f>IF(H$3="","",IF(COUNTIFS(BD!$A$3:$A$5001,H$3,BD!$B$3:$B$5001,$A$174,BD!$Y$3:$Y$5001,"&lt;&gt;")=0,"",SUMIFS(BD!$Y$3:$Y$5001,BD!$A$3:$A$5001,H$3,BD!$B$3:$B$5001,$A$174)))</f>
        <v/>
      </c>
      <c r="I184" s="216" t="str">
        <f>IF(I$3="","",IF(COUNTIFS(BD!$A$3:$A$5001,I$3,BD!$B$3:$B$5001,$A$174,BD!$Y$3:$Y$5001,"&lt;&gt;")=0,"",SUMIFS(BD!$Y$3:$Y$5001,BD!$A$3:$A$5001,I$3,BD!$B$3:$B$5001,$A$174)))</f>
        <v/>
      </c>
      <c r="J184" s="216" t="str">
        <f>IF(J$3="","",IF(COUNTIFS(BD!$A$3:$A$5001,J$3,BD!$B$3:$B$5001,$A$174,BD!$Y$3:$Y$5001,"&lt;&gt;")=0,"",SUMIFS(BD!$Y$3:$Y$5001,BD!$A$3:$A$5001,J$3,BD!$B$3:$B$5001,$A$174)))</f>
        <v/>
      </c>
      <c r="K184" s="216" t="str">
        <f>IF(K$3="","",IF(COUNTIFS(BD!$A$3:$A$5001,K$3,BD!$B$3:$B$5001,$A$174,BD!$Y$3:$Y$5001,"&lt;&gt;")=0,"",SUMIFS(BD!$Y$3:$Y$5001,BD!$A$3:$A$5001,K$3,BD!$B$3:$B$5001,$A$174)))</f>
        <v/>
      </c>
      <c r="L184" s="216" t="str">
        <f>IF(L$3="","",IF(COUNTIFS(BD!$A$3:$A$5001,L$3,BD!$B$3:$B$5001,$A$174,BD!$Y$3:$Y$5001,"&lt;&gt;")=0,"",SUMIFS(BD!$Y$3:$Y$5001,BD!$A$3:$A$5001,L$3,BD!$B$3:$B$5001,$A$174)))</f>
        <v/>
      </c>
      <c r="M184" s="216" t="str">
        <f>IF(M$3="","",IF(COUNTIFS(BD!$A$3:$A$5001,M$3,BD!$B$3:$B$5001,$A$174,BD!$Y$3:$Y$5001,"&lt;&gt;")=0,"",SUMIFS(BD!$Y$3:$Y$5001,BD!$A$3:$A$5001,M$3,BD!$B$3:$B$5001,$A$174)))</f>
        <v/>
      </c>
      <c r="N184" s="216" t="str">
        <f>IF(N$3="","",IF(COUNTIFS(BD!$A$3:$A$5001,N$3,BD!$B$3:$B$5001,$A$174,BD!$Y$3:$Y$5001,"&lt;&gt;")=0,"",SUMIFS(BD!$Y$3:$Y$5001,BD!$A$3:$A$5001,N$3,BD!$B$3:$B$5001,$A$174)))</f>
        <v/>
      </c>
      <c r="O184" s="216" t="str">
        <f>IF(O$3="","",IF(COUNTIFS(BD!$A$3:$A$5001,O$3,BD!$B$3:$B$5001,$A$174,BD!$Y$3:$Y$5001,"&lt;&gt;")=0,"",SUMIFS(BD!$Y$3:$Y$5001,BD!$A$3:$A$5001,O$3,BD!$B$3:$B$5001,$A$174)))</f>
        <v/>
      </c>
      <c r="P184" s="216" t="str">
        <f>IF(P$3="","",IF(COUNTIFS(BD!$A$3:$A$5001,P$3,BD!$B$3:$B$5001,$A$174,BD!$Y$3:$Y$5001,"&lt;&gt;")=0,"",SUMIFS(BD!$Y$3:$Y$5001,BD!$A$3:$A$5001,P$3,BD!$B$3:$B$5001,$A$174)))</f>
        <v/>
      </c>
      <c r="Q184" s="216" t="str">
        <f>IF(Q$3="","",IF(COUNTIFS(BD!$A$3:$A$5001,Q$3,BD!$B$3:$B$5001,$A$174,BD!$Y$3:$Y$5001,"&lt;&gt;")=0,"",SUMIFS(BD!$Y$3:$Y$5001,BD!$A$3:$A$5001,Q$3,BD!$B$3:$B$5001,$A$174)))</f>
        <v/>
      </c>
      <c r="R184" s="216" t="str">
        <f>IF(R$3="","",IF(COUNTIFS(BD!$A$3:$A$5001,R$3,BD!$B$3:$B$5001,$A$174,BD!$Y$3:$Y$5001,"&lt;&gt;")=0,"",SUMIFS(BD!$Y$3:$Y$5001,BD!$A$3:$A$5001,R$3,BD!$B$3:$B$5001,$A$174)))</f>
        <v/>
      </c>
      <c r="S184" s="216" t="str">
        <f>IF(S$3="","",IF(COUNTIFS(BD!$A$3:$A$5001,S$3,BD!$B$3:$B$5001,$A$174,BD!$Y$3:$Y$5001,"&lt;&gt;")=0,"",SUMIFS(BD!$Y$3:$Y$5001,BD!$A$3:$A$5001,S$3,BD!$B$3:$B$5001,$A$174)))</f>
        <v/>
      </c>
      <c r="T184" s="216" t="str">
        <f>IF(T$3="","",IF(COUNTIFS(BD!$A$3:$A$5001,T$3,BD!$B$3:$B$5001,$A$174,BD!$Y$3:$Y$5001,"&lt;&gt;")=0,"",SUMIFS(BD!$Y$3:$Y$5001,BD!$A$3:$A$5001,T$3,BD!$B$3:$B$5001,$A$174)))</f>
        <v/>
      </c>
      <c r="U184" s="216" t="str">
        <f>IF(U$3="","",IF(COUNTIFS(BD!$A$3:$A$5001,U$3,BD!$B$3:$B$5001,$A$174,BD!$Y$3:$Y$5001,"&lt;&gt;")=0,"",SUMIFS(BD!$Y$3:$Y$5001,BD!$A$3:$A$5001,U$3,BD!$B$3:$B$5001,$A$174)))</f>
        <v/>
      </c>
      <c r="V184" s="216" t="str">
        <f>IF(V$3="","",IF(COUNTIFS(BD!$A$3:$A$5001,V$3,BD!$B$3:$B$5001,$A$174,BD!$Y$3:$Y$5001,"&lt;&gt;")=0,"",SUMIFS(BD!$Y$3:$Y$5001,BD!$A$3:$A$5001,V$3,BD!$B$3:$B$5001,$A$174)))</f>
        <v/>
      </c>
      <c r="W184" s="216" t="str">
        <f>IF(W$3="","",IF(COUNTIFS(BD!$A$3:$A$5001,W$3,BD!$B$3:$B$5001,$A$174,BD!$Y$3:$Y$5001,"&lt;&gt;")=0,"",SUMIFS(BD!$Y$3:$Y$5001,BD!$A$3:$A$5001,W$3,BD!$B$3:$B$5001,$A$174)))</f>
        <v/>
      </c>
      <c r="X184" s="216" t="str">
        <f>IF(X$3="","",IF(COUNTIFS(BD!$A$3:$A$5001,X$3,BD!$B$3:$B$5001,$A$174,BD!$Y$3:$Y$5001,"&lt;&gt;")=0,"",SUMIFS(BD!$Y$3:$Y$5001,BD!$A$3:$A$5001,X$3,BD!$B$3:$B$5001,$A$174)))</f>
        <v/>
      </c>
      <c r="Y184" s="216" t="str">
        <f>IF(Y$3="","",IF(COUNTIFS(BD!$A$3:$A$5001,Y$3,BD!$B$3:$B$5001,$A$174,BD!$Y$3:$Y$5001,"&lt;&gt;")=0,"",SUMIFS(BD!$Y$3:$Y$5001,BD!$A$3:$A$5001,Y$3,BD!$B$3:$B$5001,$A$174)))</f>
        <v/>
      </c>
      <c r="Z184" s="216" t="str">
        <f>IF(Z$3="","",IF(COUNTIFS(BD!$A$3:$A$5001,Z$3,BD!$B$3:$B$5001,$A$174,BD!$Y$3:$Y$5001,"&lt;&gt;")=0,"",SUMIFS(BD!$Y$3:$Y$5001,BD!$A$3:$A$5001,Z$3,BD!$B$3:$B$5001,$A$174)))</f>
        <v/>
      </c>
      <c r="AA184" s="216" t="str">
        <f>IF(AA$3="","",IF(COUNTIFS(BD!$A$3:$A$5001,AA$3,BD!$B$3:$B$5001,$A$174,BD!$Y$3:$Y$5001,"&lt;&gt;")=0,"",SUMIFS(BD!$Y$3:$Y$5001,BD!$A$3:$A$5001,AA$3,BD!$B$3:$B$5001,$A$174)))</f>
        <v/>
      </c>
      <c r="AB184" s="216" t="str">
        <f>IF(AB$3="","",IF(COUNTIFS(BD!$A$3:$A$5001,AB$3,BD!$B$3:$B$5001,$A$174,BD!$Y$3:$Y$5001,"&lt;&gt;")=0,"",SUMIFS(BD!$Y$3:$Y$5001,BD!$A$3:$A$5001,AB$3,BD!$B$3:$B$5001,$A$174)))</f>
        <v/>
      </c>
      <c r="AC184" s="216" t="str">
        <f>IF(AC$3="","",IF(COUNTIFS(BD!$A$3:$A$5001,AC$3,BD!$B$3:$B$5001,$A$174,BD!$Y$3:$Y$5001,"&lt;&gt;")=0,"",SUMIFS(BD!$Y$3:$Y$5001,BD!$A$3:$A$5001,AC$3,BD!$B$3:$B$5001,$A$174)))</f>
        <v/>
      </c>
      <c r="AD184" s="216" t="str">
        <f>IF(AD$3="","",IF(COUNTIFS(BD!$A$3:$A$5001,AD$3,BD!$B$3:$B$5001,$A$174,BD!$Y$3:$Y$5001,"&lt;&gt;")=0,"",SUMIFS(BD!$Y$3:$Y$5001,BD!$A$3:$A$5001,AD$3,BD!$B$3:$B$5001,$A$174)))</f>
        <v/>
      </c>
      <c r="AE184" s="216" t="str">
        <f>IF(AE$3="","",IF(COUNTIFS(BD!$A$3:$A$5001,AE$3,BD!$B$3:$B$5001,$A$174,BD!$Y$3:$Y$5001,"&lt;&gt;")=0,"",SUMIFS(BD!$Y$3:$Y$5001,BD!$A$3:$A$5001,AE$3,BD!$B$3:$B$5001,$A$174)))</f>
        <v/>
      </c>
      <c r="AF184" s="216" t="str">
        <f>IF(AF$3="","",IF(COUNTIFS(BD!$A$3:$A$5001,AF$3,BD!$B$3:$B$5001,$A$174,BD!$Y$3:$Y$5001,"&lt;&gt;")=0,"",SUMIFS(BD!$Y$3:$Y$5001,BD!$A$3:$A$5001,AF$3,BD!$B$3:$B$5001,$A$174)))</f>
        <v/>
      </c>
      <c r="AG184" s="216" t="str">
        <f>IF(AG$3="","",IF(COUNTIFS(BD!$A$3:$A$5001,AG$3,BD!$B$3:$B$5001,$A$174,BD!$Y$3:$Y$5001,"&lt;&gt;")=0,"",SUMIFS(BD!$Y$3:$Y$5001,BD!$A$3:$A$5001,AG$3,BD!$B$3:$B$5001,$A$174)))</f>
        <v/>
      </c>
      <c r="AH184" s="216" t="str">
        <f>IF(AH$3="","",IF(COUNTIFS(BD!$A$3:$A$5001,AH$3,BD!$B$3:$B$5001,$A$174,BD!$Y$3:$Y$5001,"&lt;&gt;")=0,"",SUMIFS(BD!$Y$3:$Y$5001,BD!$A$3:$A$5001,AH$3,BD!$B$3:$B$5001,$A$174)))</f>
        <v/>
      </c>
      <c r="AI184" s="216" t="str">
        <f>IF(AI$3="","",IF(COUNTIFS(BD!$A$3:$A$5001,AI$3,BD!$B$3:$B$5001,$A$174,BD!$Y$3:$Y$5001,"&lt;&gt;")=0,"",SUMIFS(BD!$Y$3:$Y$5001,BD!$A$3:$A$5001,AI$3,BD!$B$3:$B$5001,$A$174)))</f>
        <v/>
      </c>
      <c r="AJ184" s="217" t="str">
        <f>IF(AJ$3="","",IF(COUNTIFS(BD!$A$3:$A$5001,AJ$3,BD!$B$3:$B$5001,$A$174,BD!$Y$3:$Y$5001,"&lt;&gt;")=0,"",SUMIFS(BD!$Y$3:$Y$5001,BD!$A$3:$A$5001,AJ$3,BD!$B$3:$B$5001,$A$174)))</f>
        <v/>
      </c>
      <c r="AK184" s="218" t="str">
        <f>IFERROR(LOOKUP(9.99E+307,F184:AJ184),"")</f>
        <v/>
      </c>
    </row>
    <row r="185" ht="15.75" customHeight="1">
      <c r="A185" s="244"/>
      <c r="B185" s="241"/>
      <c r="C185" s="219" t="inlineStr">
        <is>
          <t xml:space="preserve">Falta</t>
        </is>
      </c>
      <c r="D185" s="220" t="str">
        <f>IFERROR(1/(1/INDEX(BD!$AJ$47:$BD$47,MATCH($A$174,BD!$AJ$22:$BD$22,0))),"")</f>
        <v/>
      </c>
      <c r="E185" s="221"/>
      <c r="F185" s="222" t="str">
        <f>IF(F$3="","",IF(COUNTIFS(BD!$A$3:$A$5001,F$3,BD!$B$3:$B$5001,$A$174,BD!$Z$3:$Z$5001,"&lt;&gt;")=0,"",SUMIFS(BD!$Z$3:$Z$5001,BD!$A$3:$A$5001,F$3,BD!$B$3:$B$5001,$A$174)))</f>
        <v/>
      </c>
      <c r="G185" s="223" t="str">
        <f>IF(G$3="","",IF(COUNTIFS(BD!$A$3:$A$5001,G$3,BD!$B$3:$B$5001,$A$174,BD!$Z$3:$Z$5001,"&lt;&gt;")=0,"",SUMIFS(BD!$Z$3:$Z$5001,BD!$A$3:$A$5001,G$3,BD!$B$3:$B$5001,$A$174)))</f>
        <v/>
      </c>
      <c r="H185" s="223" t="str">
        <f>IF(H$3="","",IF(COUNTIFS(BD!$A$3:$A$5001,H$3,BD!$B$3:$B$5001,$A$174,BD!$Z$3:$Z$5001,"&lt;&gt;")=0,"",SUMIFS(BD!$Z$3:$Z$5001,BD!$A$3:$A$5001,H$3,BD!$B$3:$B$5001,$A$174)))</f>
        <v/>
      </c>
      <c r="I185" s="223" t="str">
        <f>IF(I$3="","",IF(COUNTIFS(BD!$A$3:$A$5001,I$3,BD!$B$3:$B$5001,$A$174,BD!$Z$3:$Z$5001,"&lt;&gt;")=0,"",SUMIFS(BD!$Z$3:$Z$5001,BD!$A$3:$A$5001,I$3,BD!$B$3:$B$5001,$A$174)))</f>
        <v/>
      </c>
      <c r="J185" s="223" t="str">
        <f>IF(J$3="","",IF(COUNTIFS(BD!$A$3:$A$5001,J$3,BD!$B$3:$B$5001,$A$174,BD!$Z$3:$Z$5001,"&lt;&gt;")=0,"",SUMIFS(BD!$Z$3:$Z$5001,BD!$A$3:$A$5001,J$3,BD!$B$3:$B$5001,$A$174)))</f>
        <v/>
      </c>
      <c r="K185" s="223" t="str">
        <f>IF(K$3="","",IF(COUNTIFS(BD!$A$3:$A$5001,K$3,BD!$B$3:$B$5001,$A$174,BD!$Z$3:$Z$5001,"&lt;&gt;")=0,"",SUMIFS(BD!$Z$3:$Z$5001,BD!$A$3:$A$5001,K$3,BD!$B$3:$B$5001,$A$174)))</f>
        <v/>
      </c>
      <c r="L185" s="223" t="str">
        <f>IF(L$3="","",IF(COUNTIFS(BD!$A$3:$A$5001,L$3,BD!$B$3:$B$5001,$A$174,BD!$Z$3:$Z$5001,"&lt;&gt;")=0,"",SUMIFS(BD!$Z$3:$Z$5001,BD!$A$3:$A$5001,L$3,BD!$B$3:$B$5001,$A$174)))</f>
        <v/>
      </c>
      <c r="M185" s="223" t="str">
        <f>IF(M$3="","",IF(COUNTIFS(BD!$A$3:$A$5001,M$3,BD!$B$3:$B$5001,$A$174,BD!$Z$3:$Z$5001,"&lt;&gt;")=0,"",SUMIFS(BD!$Z$3:$Z$5001,BD!$A$3:$A$5001,M$3,BD!$B$3:$B$5001,$A$174)))</f>
        <v/>
      </c>
      <c r="N185" s="223" t="str">
        <f>IF(N$3="","",IF(COUNTIFS(BD!$A$3:$A$5001,N$3,BD!$B$3:$B$5001,$A$174,BD!$Z$3:$Z$5001,"&lt;&gt;")=0,"",SUMIFS(BD!$Z$3:$Z$5001,BD!$A$3:$A$5001,N$3,BD!$B$3:$B$5001,$A$174)))</f>
        <v/>
      </c>
      <c r="O185" s="223" t="str">
        <f>IF(O$3="","",IF(COUNTIFS(BD!$A$3:$A$5001,O$3,BD!$B$3:$B$5001,$A$174,BD!$Z$3:$Z$5001,"&lt;&gt;")=0,"",SUMIFS(BD!$Z$3:$Z$5001,BD!$A$3:$A$5001,O$3,BD!$B$3:$B$5001,$A$174)))</f>
        <v/>
      </c>
      <c r="P185" s="223" t="str">
        <f>IF(P$3="","",IF(COUNTIFS(BD!$A$3:$A$5001,P$3,BD!$B$3:$B$5001,$A$174,BD!$Z$3:$Z$5001,"&lt;&gt;")=0,"",SUMIFS(BD!$Z$3:$Z$5001,BD!$A$3:$A$5001,P$3,BD!$B$3:$B$5001,$A$174)))</f>
        <v/>
      </c>
      <c r="Q185" s="223" t="str">
        <f>IF(Q$3="","",IF(COUNTIFS(BD!$A$3:$A$5001,Q$3,BD!$B$3:$B$5001,$A$174,BD!$Z$3:$Z$5001,"&lt;&gt;")=0,"",SUMIFS(BD!$Z$3:$Z$5001,BD!$A$3:$A$5001,Q$3,BD!$B$3:$B$5001,$A$174)))</f>
        <v/>
      </c>
      <c r="R185" s="223" t="str">
        <f>IF(R$3="","",IF(COUNTIFS(BD!$A$3:$A$5001,R$3,BD!$B$3:$B$5001,$A$174,BD!$Z$3:$Z$5001,"&lt;&gt;")=0,"",SUMIFS(BD!$Z$3:$Z$5001,BD!$A$3:$A$5001,R$3,BD!$B$3:$B$5001,$A$174)))</f>
        <v/>
      </c>
      <c r="S185" s="223" t="str">
        <f>IF(S$3="","",IF(COUNTIFS(BD!$A$3:$A$5001,S$3,BD!$B$3:$B$5001,$A$174,BD!$Z$3:$Z$5001,"&lt;&gt;")=0,"",SUMIFS(BD!$Z$3:$Z$5001,BD!$A$3:$A$5001,S$3,BD!$B$3:$B$5001,$A$174)))</f>
        <v/>
      </c>
      <c r="T185" s="223" t="str">
        <f>IF(T$3="","",IF(COUNTIFS(BD!$A$3:$A$5001,T$3,BD!$B$3:$B$5001,$A$174,BD!$Z$3:$Z$5001,"&lt;&gt;")=0,"",SUMIFS(BD!$Z$3:$Z$5001,BD!$A$3:$A$5001,T$3,BD!$B$3:$B$5001,$A$174)))</f>
        <v/>
      </c>
      <c r="U185" s="223" t="str">
        <f>IF(U$3="","",IF(COUNTIFS(BD!$A$3:$A$5001,U$3,BD!$B$3:$B$5001,$A$174,BD!$Z$3:$Z$5001,"&lt;&gt;")=0,"",SUMIFS(BD!$Z$3:$Z$5001,BD!$A$3:$A$5001,U$3,BD!$B$3:$B$5001,$A$174)))</f>
        <v/>
      </c>
      <c r="V185" s="223" t="str">
        <f>IF(V$3="","",IF(COUNTIFS(BD!$A$3:$A$5001,V$3,BD!$B$3:$B$5001,$A$174,BD!$Z$3:$Z$5001,"&lt;&gt;")=0,"",SUMIFS(BD!$Z$3:$Z$5001,BD!$A$3:$A$5001,V$3,BD!$B$3:$B$5001,$A$174)))</f>
        <v/>
      </c>
      <c r="W185" s="223" t="str">
        <f>IF(W$3="","",IF(COUNTIFS(BD!$A$3:$A$5001,W$3,BD!$B$3:$B$5001,$A$174,BD!$Z$3:$Z$5001,"&lt;&gt;")=0,"",SUMIFS(BD!$Z$3:$Z$5001,BD!$A$3:$A$5001,W$3,BD!$B$3:$B$5001,$A$174)))</f>
        <v/>
      </c>
      <c r="X185" s="223" t="str">
        <f>IF(X$3="","",IF(COUNTIFS(BD!$A$3:$A$5001,X$3,BD!$B$3:$B$5001,$A$174,BD!$Z$3:$Z$5001,"&lt;&gt;")=0,"",SUMIFS(BD!$Z$3:$Z$5001,BD!$A$3:$A$5001,X$3,BD!$B$3:$B$5001,$A$174)))</f>
        <v/>
      </c>
      <c r="Y185" s="223" t="str">
        <f>IF(Y$3="","",IF(COUNTIFS(BD!$A$3:$A$5001,Y$3,BD!$B$3:$B$5001,$A$174,BD!$Z$3:$Z$5001,"&lt;&gt;")=0,"",SUMIFS(BD!$Z$3:$Z$5001,BD!$A$3:$A$5001,Y$3,BD!$B$3:$B$5001,$A$174)))</f>
        <v/>
      </c>
      <c r="Z185" s="223" t="str">
        <f>IF(Z$3="","",IF(COUNTIFS(BD!$A$3:$A$5001,Z$3,BD!$B$3:$B$5001,$A$174,BD!$Z$3:$Z$5001,"&lt;&gt;")=0,"",SUMIFS(BD!$Z$3:$Z$5001,BD!$A$3:$A$5001,Z$3,BD!$B$3:$B$5001,$A$174)))</f>
        <v/>
      </c>
      <c r="AA185" s="223" t="str">
        <f>IF(AA$3="","",IF(COUNTIFS(BD!$A$3:$A$5001,AA$3,BD!$B$3:$B$5001,$A$174,BD!$Z$3:$Z$5001,"&lt;&gt;")=0,"",SUMIFS(BD!$Z$3:$Z$5001,BD!$A$3:$A$5001,AA$3,BD!$B$3:$B$5001,$A$174)))</f>
        <v/>
      </c>
      <c r="AB185" s="223" t="str">
        <f>IF(AB$3="","",IF(COUNTIFS(BD!$A$3:$A$5001,AB$3,BD!$B$3:$B$5001,$A$174,BD!$Z$3:$Z$5001,"&lt;&gt;")=0,"",SUMIFS(BD!$Z$3:$Z$5001,BD!$A$3:$A$5001,AB$3,BD!$B$3:$B$5001,$A$174)))</f>
        <v/>
      </c>
      <c r="AC185" s="223" t="str">
        <f>IF(AC$3="","",IF(COUNTIFS(BD!$A$3:$A$5001,AC$3,BD!$B$3:$B$5001,$A$174,BD!$Z$3:$Z$5001,"&lt;&gt;")=0,"",SUMIFS(BD!$Z$3:$Z$5001,BD!$A$3:$A$5001,AC$3,BD!$B$3:$B$5001,$A$174)))</f>
        <v/>
      </c>
      <c r="AD185" s="223" t="str">
        <f>IF(AD$3="","",IF(COUNTIFS(BD!$A$3:$A$5001,AD$3,BD!$B$3:$B$5001,$A$174,BD!$Z$3:$Z$5001,"&lt;&gt;")=0,"",SUMIFS(BD!$Z$3:$Z$5001,BD!$A$3:$A$5001,AD$3,BD!$B$3:$B$5001,$A$174)))</f>
        <v/>
      </c>
      <c r="AE185" s="223" t="str">
        <f>IF(AE$3="","",IF(COUNTIFS(BD!$A$3:$A$5001,AE$3,BD!$B$3:$B$5001,$A$174,BD!$Z$3:$Z$5001,"&lt;&gt;")=0,"",SUMIFS(BD!$Z$3:$Z$5001,BD!$A$3:$A$5001,AE$3,BD!$B$3:$B$5001,$A$174)))</f>
        <v/>
      </c>
      <c r="AF185" s="223" t="str">
        <f>IF(AF$3="","",IF(COUNTIFS(BD!$A$3:$A$5001,AF$3,BD!$B$3:$B$5001,$A$174,BD!$Z$3:$Z$5001,"&lt;&gt;")=0,"",SUMIFS(BD!$Z$3:$Z$5001,BD!$A$3:$A$5001,AF$3,BD!$B$3:$B$5001,$A$174)))</f>
        <v/>
      </c>
      <c r="AG185" s="223" t="str">
        <f>IF(AG$3="","",IF(COUNTIFS(BD!$A$3:$A$5001,AG$3,BD!$B$3:$B$5001,$A$174,BD!$Z$3:$Z$5001,"&lt;&gt;")=0,"",SUMIFS(BD!$Z$3:$Z$5001,BD!$A$3:$A$5001,AG$3,BD!$B$3:$B$5001,$A$174)))</f>
        <v/>
      </c>
      <c r="AH185" s="223" t="str">
        <f>IF(AH$3="","",IF(COUNTIFS(BD!$A$3:$A$5001,AH$3,BD!$B$3:$B$5001,$A$174,BD!$Z$3:$Z$5001,"&lt;&gt;")=0,"",SUMIFS(BD!$Z$3:$Z$5001,BD!$A$3:$A$5001,AH$3,BD!$B$3:$B$5001,$A$174)))</f>
        <v/>
      </c>
      <c r="AI185" s="223" t="str">
        <f>IF(AI$3="","",IF(COUNTIFS(BD!$A$3:$A$5001,AI$3,BD!$B$3:$B$5001,$A$174,BD!$Z$3:$Z$5001,"&lt;&gt;")=0,"",SUMIFS(BD!$Z$3:$Z$5001,BD!$A$3:$A$5001,AI$3,BD!$B$3:$B$5001,$A$174)))</f>
        <v/>
      </c>
      <c r="AJ185" s="224" t="str">
        <f>IF(AJ$3="","",IF(COUNTIFS(BD!$A$3:$A$5001,AJ$3,BD!$B$3:$B$5001,$A$174,BD!$Z$3:$Z$5001,"&lt;&gt;")=0,"",SUMIFS(BD!$Z$3:$Z$5001,BD!$A$3:$A$5001,AJ$3,BD!$B$3:$B$5001,$A$174)))</f>
        <v/>
      </c>
      <c r="AK185" s="225" t="str">
        <f>IF(COUNT(F185:AJ185)=0,"",SUM(F185:AJ185))</f>
        <v/>
      </c>
    </row>
    <row r="186" ht="15.75" customHeight="1">
      <c r="A186" s="244"/>
      <c r="B186" s="241"/>
      <c r="C186" s="219" t="inlineStr">
        <is>
          <t xml:space="preserve">Folga</t>
        </is>
      </c>
      <c r="D186" s="220" t="str">
        <f>IFERROR(1/(1/INDEX(BD!$AJ$48:$BD$48,MATCH($A$174,BD!$AJ$22:$BD$22,0))),"")</f>
        <v/>
      </c>
      <c r="E186" s="221"/>
      <c r="F186" s="222" t="str">
        <f>IF(F$3="","",IF(COUNTIFS(BD!$A$3:$A$5001,F$3,BD!$B$3:$B$5001,$A$174,BD!$AA$3:$AA$5001,"&lt;&gt;")=0,"",SUMIFS(BD!$AA$3:$AA$5001,BD!$A$3:$A$5001,F$3,BD!$B$3:$B$5001,$A$174)))</f>
        <v/>
      </c>
      <c r="G186" s="223" t="str">
        <f>IF(G$3="","",IF(COUNTIFS(BD!$A$3:$A$5001,G$3,BD!$B$3:$B$5001,$A$174,BD!$AA$3:$AA$5001,"&lt;&gt;")=0,"",SUMIFS(BD!$AA$3:$AA$5001,BD!$A$3:$A$5001,G$3,BD!$B$3:$B$5001,$A$174)))</f>
        <v/>
      </c>
      <c r="H186" s="223" t="str">
        <f>IF(H$3="","",IF(COUNTIFS(BD!$A$3:$A$5001,H$3,BD!$B$3:$B$5001,$A$174,BD!$AA$3:$AA$5001,"&lt;&gt;")=0,"",SUMIFS(BD!$AA$3:$AA$5001,BD!$A$3:$A$5001,H$3,BD!$B$3:$B$5001,$A$174)))</f>
        <v/>
      </c>
      <c r="I186" s="223" t="str">
        <f>IF(I$3="","",IF(COUNTIFS(BD!$A$3:$A$5001,I$3,BD!$B$3:$B$5001,$A$174,BD!$AA$3:$AA$5001,"&lt;&gt;")=0,"",SUMIFS(BD!$AA$3:$AA$5001,BD!$A$3:$A$5001,I$3,BD!$B$3:$B$5001,$A$174)))</f>
        <v/>
      </c>
      <c r="J186" s="223" t="str">
        <f>IF(J$3="","",IF(COUNTIFS(BD!$A$3:$A$5001,J$3,BD!$B$3:$B$5001,$A$174,BD!$AA$3:$AA$5001,"&lt;&gt;")=0,"",SUMIFS(BD!$AA$3:$AA$5001,BD!$A$3:$A$5001,J$3,BD!$B$3:$B$5001,$A$174)))</f>
        <v/>
      </c>
      <c r="K186" s="223" t="str">
        <f>IF(K$3="","",IF(COUNTIFS(BD!$A$3:$A$5001,K$3,BD!$B$3:$B$5001,$A$174,BD!$AA$3:$AA$5001,"&lt;&gt;")=0,"",SUMIFS(BD!$AA$3:$AA$5001,BD!$A$3:$A$5001,K$3,BD!$B$3:$B$5001,$A$174)))</f>
        <v/>
      </c>
      <c r="L186" s="223" t="str">
        <f>IF(L$3="","",IF(COUNTIFS(BD!$A$3:$A$5001,L$3,BD!$B$3:$B$5001,$A$174,BD!$AA$3:$AA$5001,"&lt;&gt;")=0,"",SUMIFS(BD!$AA$3:$AA$5001,BD!$A$3:$A$5001,L$3,BD!$B$3:$B$5001,$A$174)))</f>
        <v/>
      </c>
      <c r="M186" s="223" t="str">
        <f>IF(M$3="","",IF(COUNTIFS(BD!$A$3:$A$5001,M$3,BD!$B$3:$B$5001,$A$174,BD!$AA$3:$AA$5001,"&lt;&gt;")=0,"",SUMIFS(BD!$AA$3:$AA$5001,BD!$A$3:$A$5001,M$3,BD!$B$3:$B$5001,$A$174)))</f>
        <v/>
      </c>
      <c r="N186" s="223" t="str">
        <f>IF(N$3="","",IF(COUNTIFS(BD!$A$3:$A$5001,N$3,BD!$B$3:$B$5001,$A$174,BD!$AA$3:$AA$5001,"&lt;&gt;")=0,"",SUMIFS(BD!$AA$3:$AA$5001,BD!$A$3:$A$5001,N$3,BD!$B$3:$B$5001,$A$174)))</f>
        <v/>
      </c>
      <c r="O186" s="223" t="str">
        <f>IF(O$3="","",IF(COUNTIFS(BD!$A$3:$A$5001,O$3,BD!$B$3:$B$5001,$A$174,BD!$AA$3:$AA$5001,"&lt;&gt;")=0,"",SUMIFS(BD!$AA$3:$AA$5001,BD!$A$3:$A$5001,O$3,BD!$B$3:$B$5001,$A$174)))</f>
        <v/>
      </c>
      <c r="P186" s="223" t="str">
        <f>IF(P$3="","",IF(COUNTIFS(BD!$A$3:$A$5001,P$3,BD!$B$3:$B$5001,$A$174,BD!$AA$3:$AA$5001,"&lt;&gt;")=0,"",SUMIFS(BD!$AA$3:$AA$5001,BD!$A$3:$A$5001,P$3,BD!$B$3:$B$5001,$A$174)))</f>
        <v/>
      </c>
      <c r="Q186" s="223" t="str">
        <f>IF(Q$3="","",IF(COUNTIFS(BD!$A$3:$A$5001,Q$3,BD!$B$3:$B$5001,$A$174,BD!$AA$3:$AA$5001,"&lt;&gt;")=0,"",SUMIFS(BD!$AA$3:$AA$5001,BD!$A$3:$A$5001,Q$3,BD!$B$3:$B$5001,$A$174)))</f>
        <v/>
      </c>
      <c r="R186" s="223" t="str">
        <f>IF(R$3="","",IF(COUNTIFS(BD!$A$3:$A$5001,R$3,BD!$B$3:$B$5001,$A$174,BD!$AA$3:$AA$5001,"&lt;&gt;")=0,"",SUMIFS(BD!$AA$3:$AA$5001,BD!$A$3:$A$5001,R$3,BD!$B$3:$B$5001,$A$174)))</f>
        <v/>
      </c>
      <c r="S186" s="223" t="str">
        <f>IF(S$3="","",IF(COUNTIFS(BD!$A$3:$A$5001,S$3,BD!$B$3:$B$5001,$A$174,BD!$AA$3:$AA$5001,"&lt;&gt;")=0,"",SUMIFS(BD!$AA$3:$AA$5001,BD!$A$3:$A$5001,S$3,BD!$B$3:$B$5001,$A$174)))</f>
        <v/>
      </c>
      <c r="T186" s="223" t="str">
        <f>IF(T$3="","",IF(COUNTIFS(BD!$A$3:$A$5001,T$3,BD!$B$3:$B$5001,$A$174,BD!$AA$3:$AA$5001,"&lt;&gt;")=0,"",SUMIFS(BD!$AA$3:$AA$5001,BD!$A$3:$A$5001,T$3,BD!$B$3:$B$5001,$A$174)))</f>
        <v/>
      </c>
      <c r="U186" s="223" t="str">
        <f>IF(U$3="","",IF(COUNTIFS(BD!$A$3:$A$5001,U$3,BD!$B$3:$B$5001,$A$174,BD!$AA$3:$AA$5001,"&lt;&gt;")=0,"",SUMIFS(BD!$AA$3:$AA$5001,BD!$A$3:$A$5001,U$3,BD!$B$3:$B$5001,$A$174)))</f>
        <v/>
      </c>
      <c r="V186" s="223" t="str">
        <f>IF(V$3="","",IF(COUNTIFS(BD!$A$3:$A$5001,V$3,BD!$B$3:$B$5001,$A$174,BD!$AA$3:$AA$5001,"&lt;&gt;")=0,"",SUMIFS(BD!$AA$3:$AA$5001,BD!$A$3:$A$5001,V$3,BD!$B$3:$B$5001,$A$174)))</f>
        <v/>
      </c>
      <c r="W186" s="223" t="str">
        <f>IF(W$3="","",IF(COUNTIFS(BD!$A$3:$A$5001,W$3,BD!$B$3:$B$5001,$A$174,BD!$AA$3:$AA$5001,"&lt;&gt;")=0,"",SUMIFS(BD!$AA$3:$AA$5001,BD!$A$3:$A$5001,W$3,BD!$B$3:$B$5001,$A$174)))</f>
        <v/>
      </c>
      <c r="X186" s="223" t="str">
        <f>IF(X$3="","",IF(COUNTIFS(BD!$A$3:$A$5001,X$3,BD!$B$3:$B$5001,$A$174,BD!$AA$3:$AA$5001,"&lt;&gt;")=0,"",SUMIFS(BD!$AA$3:$AA$5001,BD!$A$3:$A$5001,X$3,BD!$B$3:$B$5001,$A$174)))</f>
        <v/>
      </c>
      <c r="Y186" s="223" t="str">
        <f>IF(Y$3="","",IF(COUNTIFS(BD!$A$3:$A$5001,Y$3,BD!$B$3:$B$5001,$A$174,BD!$AA$3:$AA$5001,"&lt;&gt;")=0,"",SUMIFS(BD!$AA$3:$AA$5001,BD!$A$3:$A$5001,Y$3,BD!$B$3:$B$5001,$A$174)))</f>
        <v/>
      </c>
      <c r="Z186" s="223" t="str">
        <f>IF(Z$3="","",IF(COUNTIFS(BD!$A$3:$A$5001,Z$3,BD!$B$3:$B$5001,$A$174,BD!$AA$3:$AA$5001,"&lt;&gt;")=0,"",SUMIFS(BD!$AA$3:$AA$5001,BD!$A$3:$A$5001,Z$3,BD!$B$3:$B$5001,$A$174)))</f>
        <v/>
      </c>
      <c r="AA186" s="223" t="str">
        <f>IF(AA$3="","",IF(COUNTIFS(BD!$A$3:$A$5001,AA$3,BD!$B$3:$B$5001,$A$174,BD!$AA$3:$AA$5001,"&lt;&gt;")=0,"",SUMIFS(BD!$AA$3:$AA$5001,BD!$A$3:$A$5001,AA$3,BD!$B$3:$B$5001,$A$174)))</f>
        <v/>
      </c>
      <c r="AB186" s="223" t="str">
        <f>IF(AB$3="","",IF(COUNTIFS(BD!$A$3:$A$5001,AB$3,BD!$B$3:$B$5001,$A$174,BD!$AA$3:$AA$5001,"&lt;&gt;")=0,"",SUMIFS(BD!$AA$3:$AA$5001,BD!$A$3:$A$5001,AB$3,BD!$B$3:$B$5001,$A$174)))</f>
        <v/>
      </c>
      <c r="AC186" s="223" t="str">
        <f>IF(AC$3="","",IF(COUNTIFS(BD!$A$3:$A$5001,AC$3,BD!$B$3:$B$5001,$A$174,BD!$AA$3:$AA$5001,"&lt;&gt;")=0,"",SUMIFS(BD!$AA$3:$AA$5001,BD!$A$3:$A$5001,AC$3,BD!$B$3:$B$5001,$A$174)))</f>
        <v/>
      </c>
      <c r="AD186" s="223" t="str">
        <f>IF(AD$3="","",IF(COUNTIFS(BD!$A$3:$A$5001,AD$3,BD!$B$3:$B$5001,$A$174,BD!$AA$3:$AA$5001,"&lt;&gt;")=0,"",SUMIFS(BD!$AA$3:$AA$5001,BD!$A$3:$A$5001,AD$3,BD!$B$3:$B$5001,$A$174)))</f>
        <v/>
      </c>
      <c r="AE186" s="223" t="str">
        <f>IF(AE$3="","",IF(COUNTIFS(BD!$A$3:$A$5001,AE$3,BD!$B$3:$B$5001,$A$174,BD!$AA$3:$AA$5001,"&lt;&gt;")=0,"",SUMIFS(BD!$AA$3:$AA$5001,BD!$A$3:$A$5001,AE$3,BD!$B$3:$B$5001,$A$174)))</f>
        <v/>
      </c>
      <c r="AF186" s="223" t="str">
        <f>IF(AF$3="","",IF(COUNTIFS(BD!$A$3:$A$5001,AF$3,BD!$B$3:$B$5001,$A$174,BD!$AA$3:$AA$5001,"&lt;&gt;")=0,"",SUMIFS(BD!$AA$3:$AA$5001,BD!$A$3:$A$5001,AF$3,BD!$B$3:$B$5001,$A$174)))</f>
        <v/>
      </c>
      <c r="AG186" s="223" t="str">
        <f>IF(AG$3="","",IF(COUNTIFS(BD!$A$3:$A$5001,AG$3,BD!$B$3:$B$5001,$A$174,BD!$AA$3:$AA$5001,"&lt;&gt;")=0,"",SUMIFS(BD!$AA$3:$AA$5001,BD!$A$3:$A$5001,AG$3,BD!$B$3:$B$5001,$A$174)))</f>
        <v/>
      </c>
      <c r="AH186" s="223" t="str">
        <f>IF(AH$3="","",IF(COUNTIFS(BD!$A$3:$A$5001,AH$3,BD!$B$3:$B$5001,$A$174,BD!$AA$3:$AA$5001,"&lt;&gt;")=0,"",SUMIFS(BD!$AA$3:$AA$5001,BD!$A$3:$A$5001,AH$3,BD!$B$3:$B$5001,$A$174)))</f>
        <v/>
      </c>
      <c r="AI186" s="223" t="str">
        <f>IF(AI$3="","",IF(COUNTIFS(BD!$A$3:$A$5001,AI$3,BD!$B$3:$B$5001,$A$174,BD!$AA$3:$AA$5001,"&lt;&gt;")=0,"",SUMIFS(BD!$AA$3:$AA$5001,BD!$A$3:$A$5001,AI$3,BD!$B$3:$B$5001,$A$174)))</f>
        <v/>
      </c>
      <c r="AJ186" s="224" t="str">
        <f>IF(AJ$3="","",IF(COUNTIFS(BD!$A$3:$A$5001,AJ$3,BD!$B$3:$B$5001,$A$174,BD!$AA$3:$AA$5001,"&lt;&gt;")=0,"",SUMIFS(BD!$AA$3:$AA$5001,BD!$A$3:$A$5001,AJ$3,BD!$B$3:$B$5001,$A$174)))</f>
        <v/>
      </c>
      <c r="AK186" s="225" t="str">
        <f>IF(COUNT(F186:AJ186)=0,"",SUM(F186:AJ186))</f>
        <v/>
      </c>
    </row>
    <row r="187" ht="15.75" customHeight="1">
      <c r="A187" s="244"/>
      <c r="B187" s="241"/>
      <c r="C187" s="219" t="inlineStr">
        <is>
          <t xml:space="preserve">Férias</t>
        </is>
      </c>
      <c r="D187" s="220" t="str">
        <f>IFERROR(1/(1/INDEX(BD!$AJ$49:$BD$49,MATCH($A$174,BD!$AJ$22:$BD$22,0))),"")</f>
        <v/>
      </c>
      <c r="E187" s="221"/>
      <c r="F187" s="222" t="str">
        <f>IF(F$3="","",IF(COUNTIFS(BD!$A$3:$A$5001,F$3,BD!$B$3:$B$5001,$A$174,BD!$AB$3:$AB$5001,"&lt;&gt;")=0,"",SUMIFS(BD!$AB$3:$AB$5001,BD!$A$3:$A$5001,F$3,BD!$B$3:$B$5001,$A$174)))</f>
        <v/>
      </c>
      <c r="G187" s="223" t="str">
        <f>IF(G$3="","",IF(COUNTIFS(BD!$A$3:$A$5001,G$3,BD!$B$3:$B$5001,$A$174,BD!$AB$3:$AB$5001,"&lt;&gt;")=0,"",SUMIFS(BD!$AB$3:$AB$5001,BD!$A$3:$A$5001,G$3,BD!$B$3:$B$5001,$A$174)))</f>
        <v/>
      </c>
      <c r="H187" s="223" t="str">
        <f>IF(H$3="","",IF(COUNTIFS(BD!$A$3:$A$5001,H$3,BD!$B$3:$B$5001,$A$174,BD!$AB$3:$AB$5001,"&lt;&gt;")=0,"",SUMIFS(BD!$AB$3:$AB$5001,BD!$A$3:$A$5001,H$3,BD!$B$3:$B$5001,$A$174)))</f>
        <v/>
      </c>
      <c r="I187" s="223" t="str">
        <f>IF(I$3="","",IF(COUNTIFS(BD!$A$3:$A$5001,I$3,BD!$B$3:$B$5001,$A$174,BD!$AB$3:$AB$5001,"&lt;&gt;")=0,"",SUMIFS(BD!$AB$3:$AB$5001,BD!$A$3:$A$5001,I$3,BD!$B$3:$B$5001,$A$174)))</f>
        <v/>
      </c>
      <c r="J187" s="223" t="str">
        <f>IF(J$3="","",IF(COUNTIFS(BD!$A$3:$A$5001,J$3,BD!$B$3:$B$5001,$A$174,BD!$AB$3:$AB$5001,"&lt;&gt;")=0,"",SUMIFS(BD!$AB$3:$AB$5001,BD!$A$3:$A$5001,J$3,BD!$B$3:$B$5001,$A$174)))</f>
        <v/>
      </c>
      <c r="K187" s="223" t="str">
        <f>IF(K$3="","",IF(COUNTIFS(BD!$A$3:$A$5001,K$3,BD!$B$3:$B$5001,$A$174,BD!$AB$3:$AB$5001,"&lt;&gt;")=0,"",SUMIFS(BD!$AB$3:$AB$5001,BD!$A$3:$A$5001,K$3,BD!$B$3:$B$5001,$A$174)))</f>
        <v/>
      </c>
      <c r="L187" s="223" t="str">
        <f>IF(L$3="","",IF(COUNTIFS(BD!$A$3:$A$5001,L$3,BD!$B$3:$B$5001,$A$174,BD!$AB$3:$AB$5001,"&lt;&gt;")=0,"",SUMIFS(BD!$AB$3:$AB$5001,BD!$A$3:$A$5001,L$3,BD!$B$3:$B$5001,$A$174)))</f>
        <v/>
      </c>
      <c r="M187" s="223" t="str">
        <f>IF(M$3="","",IF(COUNTIFS(BD!$A$3:$A$5001,M$3,BD!$B$3:$B$5001,$A$174,BD!$AB$3:$AB$5001,"&lt;&gt;")=0,"",SUMIFS(BD!$AB$3:$AB$5001,BD!$A$3:$A$5001,M$3,BD!$B$3:$B$5001,$A$174)))</f>
        <v/>
      </c>
      <c r="N187" s="223" t="str">
        <f>IF(N$3="","",IF(COUNTIFS(BD!$A$3:$A$5001,N$3,BD!$B$3:$B$5001,$A$174,BD!$AB$3:$AB$5001,"&lt;&gt;")=0,"",SUMIFS(BD!$AB$3:$AB$5001,BD!$A$3:$A$5001,N$3,BD!$B$3:$B$5001,$A$174)))</f>
        <v/>
      </c>
      <c r="O187" s="223" t="str">
        <f>IF(O$3="","",IF(COUNTIFS(BD!$A$3:$A$5001,O$3,BD!$B$3:$B$5001,$A$174,BD!$AB$3:$AB$5001,"&lt;&gt;")=0,"",SUMIFS(BD!$AB$3:$AB$5001,BD!$A$3:$A$5001,O$3,BD!$B$3:$B$5001,$A$174)))</f>
        <v/>
      </c>
      <c r="P187" s="223" t="str">
        <f>IF(P$3="","",IF(COUNTIFS(BD!$A$3:$A$5001,P$3,BD!$B$3:$B$5001,$A$174,BD!$AB$3:$AB$5001,"&lt;&gt;")=0,"",SUMIFS(BD!$AB$3:$AB$5001,BD!$A$3:$A$5001,P$3,BD!$B$3:$B$5001,$A$174)))</f>
        <v/>
      </c>
      <c r="Q187" s="223" t="str">
        <f>IF(Q$3="","",IF(COUNTIFS(BD!$A$3:$A$5001,Q$3,BD!$B$3:$B$5001,$A$174,BD!$AB$3:$AB$5001,"&lt;&gt;")=0,"",SUMIFS(BD!$AB$3:$AB$5001,BD!$A$3:$A$5001,Q$3,BD!$B$3:$B$5001,$A$174)))</f>
        <v/>
      </c>
      <c r="R187" s="223" t="str">
        <f>IF(R$3="","",IF(COUNTIFS(BD!$A$3:$A$5001,R$3,BD!$B$3:$B$5001,$A$174,BD!$AB$3:$AB$5001,"&lt;&gt;")=0,"",SUMIFS(BD!$AB$3:$AB$5001,BD!$A$3:$A$5001,R$3,BD!$B$3:$B$5001,$A$174)))</f>
        <v/>
      </c>
      <c r="S187" s="223" t="str">
        <f>IF(S$3="","",IF(COUNTIFS(BD!$A$3:$A$5001,S$3,BD!$B$3:$B$5001,$A$174,BD!$AB$3:$AB$5001,"&lt;&gt;")=0,"",SUMIFS(BD!$AB$3:$AB$5001,BD!$A$3:$A$5001,S$3,BD!$B$3:$B$5001,$A$174)))</f>
        <v/>
      </c>
      <c r="T187" s="223" t="str">
        <f>IF(T$3="","",IF(COUNTIFS(BD!$A$3:$A$5001,T$3,BD!$B$3:$B$5001,$A$174,BD!$AB$3:$AB$5001,"&lt;&gt;")=0,"",SUMIFS(BD!$AB$3:$AB$5001,BD!$A$3:$A$5001,T$3,BD!$B$3:$B$5001,$A$174)))</f>
        <v/>
      </c>
      <c r="U187" s="223" t="str">
        <f>IF(U$3="","",IF(COUNTIFS(BD!$A$3:$A$5001,U$3,BD!$B$3:$B$5001,$A$174,BD!$AB$3:$AB$5001,"&lt;&gt;")=0,"",SUMIFS(BD!$AB$3:$AB$5001,BD!$A$3:$A$5001,U$3,BD!$B$3:$B$5001,$A$174)))</f>
        <v/>
      </c>
      <c r="V187" s="223" t="str">
        <f>IF(V$3="","",IF(COUNTIFS(BD!$A$3:$A$5001,V$3,BD!$B$3:$B$5001,$A$174,BD!$AB$3:$AB$5001,"&lt;&gt;")=0,"",SUMIFS(BD!$AB$3:$AB$5001,BD!$A$3:$A$5001,V$3,BD!$B$3:$B$5001,$A$174)))</f>
        <v/>
      </c>
      <c r="W187" s="223" t="str">
        <f>IF(W$3="","",IF(COUNTIFS(BD!$A$3:$A$5001,W$3,BD!$B$3:$B$5001,$A$174,BD!$AB$3:$AB$5001,"&lt;&gt;")=0,"",SUMIFS(BD!$AB$3:$AB$5001,BD!$A$3:$A$5001,W$3,BD!$B$3:$B$5001,$A$174)))</f>
        <v/>
      </c>
      <c r="X187" s="223" t="str">
        <f>IF(X$3="","",IF(COUNTIFS(BD!$A$3:$A$5001,X$3,BD!$B$3:$B$5001,$A$174,BD!$AB$3:$AB$5001,"&lt;&gt;")=0,"",SUMIFS(BD!$AB$3:$AB$5001,BD!$A$3:$A$5001,X$3,BD!$B$3:$B$5001,$A$174)))</f>
        <v/>
      </c>
      <c r="Y187" s="223" t="str">
        <f>IF(Y$3="","",IF(COUNTIFS(BD!$A$3:$A$5001,Y$3,BD!$B$3:$B$5001,$A$174,BD!$AB$3:$AB$5001,"&lt;&gt;")=0,"",SUMIFS(BD!$AB$3:$AB$5001,BD!$A$3:$A$5001,Y$3,BD!$B$3:$B$5001,$A$174)))</f>
        <v/>
      </c>
      <c r="Z187" s="223" t="str">
        <f>IF(Z$3="","",IF(COUNTIFS(BD!$A$3:$A$5001,Z$3,BD!$B$3:$B$5001,$A$174,BD!$AB$3:$AB$5001,"&lt;&gt;")=0,"",SUMIFS(BD!$AB$3:$AB$5001,BD!$A$3:$A$5001,Z$3,BD!$B$3:$B$5001,$A$174)))</f>
        <v/>
      </c>
      <c r="AA187" s="223" t="str">
        <f>IF(AA$3="","",IF(COUNTIFS(BD!$A$3:$A$5001,AA$3,BD!$B$3:$B$5001,$A$174,BD!$AB$3:$AB$5001,"&lt;&gt;")=0,"",SUMIFS(BD!$AB$3:$AB$5001,BD!$A$3:$A$5001,AA$3,BD!$B$3:$B$5001,$A$174)))</f>
        <v/>
      </c>
      <c r="AB187" s="223" t="str">
        <f>IF(AB$3="","",IF(COUNTIFS(BD!$A$3:$A$5001,AB$3,BD!$B$3:$B$5001,$A$174,BD!$AB$3:$AB$5001,"&lt;&gt;")=0,"",SUMIFS(BD!$AB$3:$AB$5001,BD!$A$3:$A$5001,AB$3,BD!$B$3:$B$5001,$A$174)))</f>
        <v/>
      </c>
      <c r="AC187" s="223" t="str">
        <f>IF(AC$3="","",IF(COUNTIFS(BD!$A$3:$A$5001,AC$3,BD!$B$3:$B$5001,$A$174,BD!$AB$3:$AB$5001,"&lt;&gt;")=0,"",SUMIFS(BD!$AB$3:$AB$5001,BD!$A$3:$A$5001,AC$3,BD!$B$3:$B$5001,$A$174)))</f>
        <v/>
      </c>
      <c r="AD187" s="223" t="str">
        <f>IF(AD$3="","",IF(COUNTIFS(BD!$A$3:$A$5001,AD$3,BD!$B$3:$B$5001,$A$174,BD!$AB$3:$AB$5001,"&lt;&gt;")=0,"",SUMIFS(BD!$AB$3:$AB$5001,BD!$A$3:$A$5001,AD$3,BD!$B$3:$B$5001,$A$174)))</f>
        <v/>
      </c>
      <c r="AE187" s="223" t="str">
        <f>IF(AE$3="","",IF(COUNTIFS(BD!$A$3:$A$5001,AE$3,BD!$B$3:$B$5001,$A$174,BD!$AB$3:$AB$5001,"&lt;&gt;")=0,"",SUMIFS(BD!$AB$3:$AB$5001,BD!$A$3:$A$5001,AE$3,BD!$B$3:$B$5001,$A$174)))</f>
        <v/>
      </c>
      <c r="AF187" s="223" t="str">
        <f>IF(AF$3="","",IF(COUNTIFS(BD!$A$3:$A$5001,AF$3,BD!$B$3:$B$5001,$A$174,BD!$AB$3:$AB$5001,"&lt;&gt;")=0,"",SUMIFS(BD!$AB$3:$AB$5001,BD!$A$3:$A$5001,AF$3,BD!$B$3:$B$5001,$A$174)))</f>
        <v/>
      </c>
      <c r="AG187" s="223" t="str">
        <f>IF(AG$3="","",IF(COUNTIFS(BD!$A$3:$A$5001,AG$3,BD!$B$3:$B$5001,$A$174,BD!$AB$3:$AB$5001,"&lt;&gt;")=0,"",SUMIFS(BD!$AB$3:$AB$5001,BD!$A$3:$A$5001,AG$3,BD!$B$3:$B$5001,$A$174)))</f>
        <v/>
      </c>
      <c r="AH187" s="223" t="str">
        <f>IF(AH$3="","",IF(COUNTIFS(BD!$A$3:$A$5001,AH$3,BD!$B$3:$B$5001,$A$174,BD!$AB$3:$AB$5001,"&lt;&gt;")=0,"",SUMIFS(BD!$AB$3:$AB$5001,BD!$A$3:$A$5001,AH$3,BD!$B$3:$B$5001,$A$174)))</f>
        <v/>
      </c>
      <c r="AI187" s="223" t="str">
        <f>IF(AI$3="","",IF(COUNTIFS(BD!$A$3:$A$5001,AI$3,BD!$B$3:$B$5001,$A$174,BD!$AB$3:$AB$5001,"&lt;&gt;")=0,"",SUMIFS(BD!$AB$3:$AB$5001,BD!$A$3:$A$5001,AI$3,BD!$B$3:$B$5001,$A$174)))</f>
        <v/>
      </c>
      <c r="AJ187" s="224" t="str">
        <f>IF(AJ$3="","",IF(COUNTIFS(BD!$A$3:$A$5001,AJ$3,BD!$B$3:$B$5001,$A$174,BD!$AB$3:$AB$5001,"&lt;&gt;")=0,"",SUMIFS(BD!$AB$3:$AB$5001,BD!$A$3:$A$5001,AJ$3,BD!$B$3:$B$5001,$A$174)))</f>
        <v/>
      </c>
      <c r="AK187" s="225" t="str">
        <f>IF(COUNT(F187:AJ187)=0,"",SUM(F187:AJ187))</f>
        <v/>
      </c>
    </row>
    <row r="188" ht="15.75" customHeight="1">
      <c r="A188" s="244"/>
      <c r="B188" s="241"/>
      <c r="C188" s="219" t="inlineStr">
        <is>
          <t xml:space="preserve">Desligamento</t>
        </is>
      </c>
      <c r="D188" s="220" t="str">
        <f>IFERROR(1/(1/INDEX(BD!$AJ$50:$BD$50,MATCH($A$174,BD!$AJ$22:$BD$22,0))),"")</f>
        <v/>
      </c>
      <c r="E188" s="221"/>
      <c r="F188" s="222" t="str">
        <f>IF(F$3="","",IF(COUNTIFS(BD!$A$3:$A$5001,F$3,BD!$B$3:$B$5001,$A$174,BD!$AC$3:$AC$5001,"&lt;&gt;")=0,"",SUMIFS(BD!$AC$3:$AC$5001,BD!$A$3:$A$5001,F$3,BD!$B$3:$B$5001,$A$174)))</f>
        <v/>
      </c>
      <c r="G188" s="223" t="str">
        <f>IF(G$3="","",IF(COUNTIFS(BD!$A$3:$A$5001,G$3,BD!$B$3:$B$5001,$A$174,BD!$AC$3:$AC$5001,"&lt;&gt;")=0,"",SUMIFS(BD!$AC$3:$AC$5001,BD!$A$3:$A$5001,G$3,BD!$B$3:$B$5001,$A$174)))</f>
        <v/>
      </c>
      <c r="H188" s="223" t="str">
        <f>IF(H$3="","",IF(COUNTIFS(BD!$A$3:$A$5001,H$3,BD!$B$3:$B$5001,$A$174,BD!$AC$3:$AC$5001,"&lt;&gt;")=0,"",SUMIFS(BD!$AC$3:$AC$5001,BD!$A$3:$A$5001,H$3,BD!$B$3:$B$5001,$A$174)))</f>
        <v/>
      </c>
      <c r="I188" s="223" t="str">
        <f>IF(I$3="","",IF(COUNTIFS(BD!$A$3:$A$5001,I$3,BD!$B$3:$B$5001,$A$174,BD!$AC$3:$AC$5001,"&lt;&gt;")=0,"",SUMIFS(BD!$AC$3:$AC$5001,BD!$A$3:$A$5001,I$3,BD!$B$3:$B$5001,$A$174)))</f>
        <v/>
      </c>
      <c r="J188" s="223" t="str">
        <f>IF(J$3="","",IF(COUNTIFS(BD!$A$3:$A$5001,J$3,BD!$B$3:$B$5001,$A$174,BD!$AC$3:$AC$5001,"&lt;&gt;")=0,"",SUMIFS(BD!$AC$3:$AC$5001,BD!$A$3:$A$5001,J$3,BD!$B$3:$B$5001,$A$174)))</f>
        <v/>
      </c>
      <c r="K188" s="223" t="str">
        <f>IF(K$3="","",IF(COUNTIFS(BD!$A$3:$A$5001,K$3,BD!$B$3:$B$5001,$A$174,BD!$AC$3:$AC$5001,"&lt;&gt;")=0,"",SUMIFS(BD!$AC$3:$AC$5001,BD!$A$3:$A$5001,K$3,BD!$B$3:$B$5001,$A$174)))</f>
        <v/>
      </c>
      <c r="L188" s="223" t="str">
        <f>IF(L$3="","",IF(COUNTIFS(BD!$A$3:$A$5001,L$3,BD!$B$3:$B$5001,$A$174,BD!$AC$3:$AC$5001,"&lt;&gt;")=0,"",SUMIFS(BD!$AC$3:$AC$5001,BD!$A$3:$A$5001,L$3,BD!$B$3:$B$5001,$A$174)))</f>
        <v/>
      </c>
      <c r="M188" s="223" t="str">
        <f>IF(M$3="","",IF(COUNTIFS(BD!$A$3:$A$5001,M$3,BD!$B$3:$B$5001,$A$174,BD!$AC$3:$AC$5001,"&lt;&gt;")=0,"",SUMIFS(BD!$AC$3:$AC$5001,BD!$A$3:$A$5001,M$3,BD!$B$3:$B$5001,$A$174)))</f>
        <v/>
      </c>
      <c r="N188" s="223" t="str">
        <f>IF(N$3="","",IF(COUNTIFS(BD!$A$3:$A$5001,N$3,BD!$B$3:$B$5001,$A$174,BD!$AC$3:$AC$5001,"&lt;&gt;")=0,"",SUMIFS(BD!$AC$3:$AC$5001,BD!$A$3:$A$5001,N$3,BD!$B$3:$B$5001,$A$174)))</f>
        <v/>
      </c>
      <c r="O188" s="223" t="str">
        <f>IF(O$3="","",IF(COUNTIFS(BD!$A$3:$A$5001,O$3,BD!$B$3:$B$5001,$A$174,BD!$AC$3:$AC$5001,"&lt;&gt;")=0,"",SUMIFS(BD!$AC$3:$AC$5001,BD!$A$3:$A$5001,O$3,BD!$B$3:$B$5001,$A$174)))</f>
        <v/>
      </c>
      <c r="P188" s="223" t="str">
        <f>IF(P$3="","",IF(COUNTIFS(BD!$A$3:$A$5001,P$3,BD!$B$3:$B$5001,$A$174,BD!$AC$3:$AC$5001,"&lt;&gt;")=0,"",SUMIFS(BD!$AC$3:$AC$5001,BD!$A$3:$A$5001,P$3,BD!$B$3:$B$5001,$A$174)))</f>
        <v/>
      </c>
      <c r="Q188" s="223" t="str">
        <f>IF(Q$3="","",IF(COUNTIFS(BD!$A$3:$A$5001,Q$3,BD!$B$3:$B$5001,$A$174,BD!$AC$3:$AC$5001,"&lt;&gt;")=0,"",SUMIFS(BD!$AC$3:$AC$5001,BD!$A$3:$A$5001,Q$3,BD!$B$3:$B$5001,$A$174)))</f>
        <v/>
      </c>
      <c r="R188" s="223" t="str">
        <f>IF(R$3="","",IF(COUNTIFS(BD!$A$3:$A$5001,R$3,BD!$B$3:$B$5001,$A$174,BD!$AC$3:$AC$5001,"&lt;&gt;")=0,"",SUMIFS(BD!$AC$3:$AC$5001,BD!$A$3:$A$5001,R$3,BD!$B$3:$B$5001,$A$174)))</f>
        <v/>
      </c>
      <c r="S188" s="223" t="str">
        <f>IF(S$3="","",IF(COUNTIFS(BD!$A$3:$A$5001,S$3,BD!$B$3:$B$5001,$A$174,BD!$AC$3:$AC$5001,"&lt;&gt;")=0,"",SUMIFS(BD!$AC$3:$AC$5001,BD!$A$3:$A$5001,S$3,BD!$B$3:$B$5001,$A$174)))</f>
        <v/>
      </c>
      <c r="T188" s="223" t="str">
        <f>IF(T$3="","",IF(COUNTIFS(BD!$A$3:$A$5001,T$3,BD!$B$3:$B$5001,$A$174,BD!$AC$3:$AC$5001,"&lt;&gt;")=0,"",SUMIFS(BD!$AC$3:$AC$5001,BD!$A$3:$A$5001,T$3,BD!$B$3:$B$5001,$A$174)))</f>
        <v/>
      </c>
      <c r="U188" s="223" t="str">
        <f>IF(U$3="","",IF(COUNTIFS(BD!$A$3:$A$5001,U$3,BD!$B$3:$B$5001,$A$174,BD!$AC$3:$AC$5001,"&lt;&gt;")=0,"",SUMIFS(BD!$AC$3:$AC$5001,BD!$A$3:$A$5001,U$3,BD!$B$3:$B$5001,$A$174)))</f>
        <v/>
      </c>
      <c r="V188" s="223" t="str">
        <f>IF(V$3="","",IF(COUNTIFS(BD!$A$3:$A$5001,V$3,BD!$B$3:$B$5001,$A$174,BD!$AC$3:$AC$5001,"&lt;&gt;")=0,"",SUMIFS(BD!$AC$3:$AC$5001,BD!$A$3:$A$5001,V$3,BD!$B$3:$B$5001,$A$174)))</f>
        <v/>
      </c>
      <c r="W188" s="223" t="str">
        <f>IF(W$3="","",IF(COUNTIFS(BD!$A$3:$A$5001,W$3,BD!$B$3:$B$5001,$A$174,BD!$AC$3:$AC$5001,"&lt;&gt;")=0,"",SUMIFS(BD!$AC$3:$AC$5001,BD!$A$3:$A$5001,W$3,BD!$B$3:$B$5001,$A$174)))</f>
        <v/>
      </c>
      <c r="X188" s="223" t="str">
        <f>IF(X$3="","",IF(COUNTIFS(BD!$A$3:$A$5001,X$3,BD!$B$3:$B$5001,$A$174,BD!$AC$3:$AC$5001,"&lt;&gt;")=0,"",SUMIFS(BD!$AC$3:$AC$5001,BD!$A$3:$A$5001,X$3,BD!$B$3:$B$5001,$A$174)))</f>
        <v/>
      </c>
      <c r="Y188" s="223" t="str">
        <f>IF(Y$3="","",IF(COUNTIFS(BD!$A$3:$A$5001,Y$3,BD!$B$3:$B$5001,$A$174,BD!$AC$3:$AC$5001,"&lt;&gt;")=0,"",SUMIFS(BD!$AC$3:$AC$5001,BD!$A$3:$A$5001,Y$3,BD!$B$3:$B$5001,$A$174)))</f>
        <v/>
      </c>
      <c r="Z188" s="223" t="str">
        <f>IF(Z$3="","",IF(COUNTIFS(BD!$A$3:$A$5001,Z$3,BD!$B$3:$B$5001,$A$174,BD!$AC$3:$AC$5001,"&lt;&gt;")=0,"",SUMIFS(BD!$AC$3:$AC$5001,BD!$A$3:$A$5001,Z$3,BD!$B$3:$B$5001,$A$174)))</f>
        <v/>
      </c>
      <c r="AA188" s="223" t="str">
        <f>IF(AA$3="","",IF(COUNTIFS(BD!$A$3:$A$5001,AA$3,BD!$B$3:$B$5001,$A$174,BD!$AC$3:$AC$5001,"&lt;&gt;")=0,"",SUMIFS(BD!$AC$3:$AC$5001,BD!$A$3:$A$5001,AA$3,BD!$B$3:$B$5001,$A$174)))</f>
        <v/>
      </c>
      <c r="AB188" s="223" t="str">
        <f>IF(AB$3="","",IF(COUNTIFS(BD!$A$3:$A$5001,AB$3,BD!$B$3:$B$5001,$A$174,BD!$AC$3:$AC$5001,"&lt;&gt;")=0,"",SUMIFS(BD!$AC$3:$AC$5001,BD!$A$3:$A$5001,AB$3,BD!$B$3:$B$5001,$A$174)))</f>
        <v/>
      </c>
      <c r="AC188" s="223" t="str">
        <f>IF(AC$3="","",IF(COUNTIFS(BD!$A$3:$A$5001,AC$3,BD!$B$3:$B$5001,$A$174,BD!$AC$3:$AC$5001,"&lt;&gt;")=0,"",SUMIFS(BD!$AC$3:$AC$5001,BD!$A$3:$A$5001,AC$3,BD!$B$3:$B$5001,$A$174)))</f>
        <v/>
      </c>
      <c r="AD188" s="223" t="str">
        <f>IF(AD$3="","",IF(COUNTIFS(BD!$A$3:$A$5001,AD$3,BD!$B$3:$B$5001,$A$174,BD!$AC$3:$AC$5001,"&lt;&gt;")=0,"",SUMIFS(BD!$AC$3:$AC$5001,BD!$A$3:$A$5001,AD$3,BD!$B$3:$B$5001,$A$174)))</f>
        <v/>
      </c>
      <c r="AE188" s="223" t="str">
        <f>IF(AE$3="","",IF(COUNTIFS(BD!$A$3:$A$5001,AE$3,BD!$B$3:$B$5001,$A$174,BD!$AC$3:$AC$5001,"&lt;&gt;")=0,"",SUMIFS(BD!$AC$3:$AC$5001,BD!$A$3:$A$5001,AE$3,BD!$B$3:$B$5001,$A$174)))</f>
        <v/>
      </c>
      <c r="AF188" s="223" t="str">
        <f>IF(AF$3="","",IF(COUNTIFS(BD!$A$3:$A$5001,AF$3,BD!$B$3:$B$5001,$A$174,BD!$AC$3:$AC$5001,"&lt;&gt;")=0,"",SUMIFS(BD!$AC$3:$AC$5001,BD!$A$3:$A$5001,AF$3,BD!$B$3:$B$5001,$A$174)))</f>
        <v/>
      </c>
      <c r="AG188" s="223" t="str">
        <f>IF(AG$3="","",IF(COUNTIFS(BD!$A$3:$A$5001,AG$3,BD!$B$3:$B$5001,$A$174,BD!$AC$3:$AC$5001,"&lt;&gt;")=0,"",SUMIFS(BD!$AC$3:$AC$5001,BD!$A$3:$A$5001,AG$3,BD!$B$3:$B$5001,$A$174)))</f>
        <v/>
      </c>
      <c r="AH188" s="223" t="str">
        <f>IF(AH$3="","",IF(COUNTIFS(BD!$A$3:$A$5001,AH$3,BD!$B$3:$B$5001,$A$174,BD!$AC$3:$AC$5001,"&lt;&gt;")=0,"",SUMIFS(BD!$AC$3:$AC$5001,BD!$A$3:$A$5001,AH$3,BD!$B$3:$B$5001,$A$174)))</f>
        <v/>
      </c>
      <c r="AI188" s="223" t="str">
        <f>IF(AI$3="","",IF(COUNTIFS(BD!$A$3:$A$5001,AI$3,BD!$B$3:$B$5001,$A$174,BD!$AC$3:$AC$5001,"&lt;&gt;")=0,"",SUMIFS(BD!$AC$3:$AC$5001,BD!$A$3:$A$5001,AI$3,BD!$B$3:$B$5001,$A$174)))</f>
        <v/>
      </c>
      <c r="AJ188" s="224" t="str">
        <f>IF(AJ$3="","",IF(COUNTIFS(BD!$A$3:$A$5001,AJ$3,BD!$B$3:$B$5001,$A$174,BD!$AC$3:$AC$5001,"&lt;&gt;")=0,"",SUMIFS(BD!$AC$3:$AC$5001,BD!$A$3:$A$5001,AJ$3,BD!$B$3:$B$5001,$A$174)))</f>
        <v/>
      </c>
      <c r="AK188" s="225" t="str">
        <f>IF(COUNT(F188:AJ188)=0,"",SUM(F188:AJ188))</f>
        <v/>
      </c>
    </row>
    <row r="189" ht="15.75" customHeight="1">
      <c r="A189" s="244"/>
      <c r="B189" s="241"/>
      <c r="C189" s="219" t="inlineStr">
        <is>
          <t xml:space="preserve">Desvios Comportamentais</t>
        </is>
      </c>
      <c r="D189" s="220" t="str">
        <f>IFERROR(1/(1/INDEX(BD!$AJ$51:$BD$51,MATCH($A$174,BD!$AJ$22:$BD$22,0))),"")</f>
        <v/>
      </c>
      <c r="E189" s="221"/>
      <c r="F189" s="222" t="str">
        <f>IF(F$3="","",IF(COUNTIFS(BD!$A$3:$A$5001,F$3,BD!$B$3:$B$5001,$A$174,BD!$AD$3:$AD$5001,"&lt;&gt;")=0,"",SUMIFS(BD!$AD$3:$AD$5001,BD!$A$3:$A$5001,F$3,BD!$B$3:$B$5001,$A$174)))</f>
        <v/>
      </c>
      <c r="G189" s="223" t="str">
        <f>IF(G$3="","",IF(COUNTIFS(BD!$A$3:$A$5001,G$3,BD!$B$3:$B$5001,$A$174,BD!$AD$3:$AD$5001,"&lt;&gt;")=0,"",SUMIFS(BD!$AD$3:$AD$5001,BD!$A$3:$A$5001,G$3,BD!$B$3:$B$5001,$A$174)))</f>
        <v/>
      </c>
      <c r="H189" s="223" t="str">
        <f>IF(H$3="","",IF(COUNTIFS(BD!$A$3:$A$5001,H$3,BD!$B$3:$B$5001,$A$174,BD!$AD$3:$AD$5001,"&lt;&gt;")=0,"",SUMIFS(BD!$AD$3:$AD$5001,BD!$A$3:$A$5001,H$3,BD!$B$3:$B$5001,$A$174)))</f>
        <v/>
      </c>
      <c r="I189" s="223" t="str">
        <f>IF(I$3="","",IF(COUNTIFS(BD!$A$3:$A$5001,I$3,BD!$B$3:$B$5001,$A$174,BD!$AD$3:$AD$5001,"&lt;&gt;")=0,"",SUMIFS(BD!$AD$3:$AD$5001,BD!$A$3:$A$5001,I$3,BD!$B$3:$B$5001,$A$174)))</f>
        <v/>
      </c>
      <c r="J189" s="223" t="str">
        <f>IF(J$3="","",IF(COUNTIFS(BD!$A$3:$A$5001,J$3,BD!$B$3:$B$5001,$A$174,BD!$AD$3:$AD$5001,"&lt;&gt;")=0,"",SUMIFS(BD!$AD$3:$AD$5001,BD!$A$3:$A$5001,J$3,BD!$B$3:$B$5001,$A$174)))</f>
        <v/>
      </c>
      <c r="K189" s="223" t="str">
        <f>IF(K$3="","",IF(COUNTIFS(BD!$A$3:$A$5001,K$3,BD!$B$3:$B$5001,$A$174,BD!$AD$3:$AD$5001,"&lt;&gt;")=0,"",SUMIFS(BD!$AD$3:$AD$5001,BD!$A$3:$A$5001,K$3,BD!$B$3:$B$5001,$A$174)))</f>
        <v/>
      </c>
      <c r="L189" s="223" t="str">
        <f>IF(L$3="","",IF(COUNTIFS(BD!$A$3:$A$5001,L$3,BD!$B$3:$B$5001,$A$174,BD!$AD$3:$AD$5001,"&lt;&gt;")=0,"",SUMIFS(BD!$AD$3:$AD$5001,BD!$A$3:$A$5001,L$3,BD!$B$3:$B$5001,$A$174)))</f>
        <v/>
      </c>
      <c r="M189" s="223" t="str">
        <f>IF(M$3="","",IF(COUNTIFS(BD!$A$3:$A$5001,M$3,BD!$B$3:$B$5001,$A$174,BD!$AD$3:$AD$5001,"&lt;&gt;")=0,"",SUMIFS(BD!$AD$3:$AD$5001,BD!$A$3:$A$5001,M$3,BD!$B$3:$B$5001,$A$174)))</f>
        <v/>
      </c>
      <c r="N189" s="223" t="str">
        <f>IF(N$3="","",IF(COUNTIFS(BD!$A$3:$A$5001,N$3,BD!$B$3:$B$5001,$A$174,BD!$AD$3:$AD$5001,"&lt;&gt;")=0,"",SUMIFS(BD!$AD$3:$AD$5001,BD!$A$3:$A$5001,N$3,BD!$B$3:$B$5001,$A$174)))</f>
        <v/>
      </c>
      <c r="O189" s="223" t="str">
        <f>IF(O$3="","",IF(COUNTIFS(BD!$A$3:$A$5001,O$3,BD!$B$3:$B$5001,$A$174,BD!$AD$3:$AD$5001,"&lt;&gt;")=0,"",SUMIFS(BD!$AD$3:$AD$5001,BD!$A$3:$A$5001,O$3,BD!$B$3:$B$5001,$A$174)))</f>
        <v/>
      </c>
      <c r="P189" s="223" t="str">
        <f>IF(P$3="","",IF(COUNTIFS(BD!$A$3:$A$5001,P$3,BD!$B$3:$B$5001,$A$174,BD!$AD$3:$AD$5001,"&lt;&gt;")=0,"",SUMIFS(BD!$AD$3:$AD$5001,BD!$A$3:$A$5001,P$3,BD!$B$3:$B$5001,$A$174)))</f>
        <v/>
      </c>
      <c r="Q189" s="223" t="str">
        <f>IF(Q$3="","",IF(COUNTIFS(BD!$A$3:$A$5001,Q$3,BD!$B$3:$B$5001,$A$174,BD!$AD$3:$AD$5001,"&lt;&gt;")=0,"",SUMIFS(BD!$AD$3:$AD$5001,BD!$A$3:$A$5001,Q$3,BD!$B$3:$B$5001,$A$174)))</f>
        <v/>
      </c>
      <c r="R189" s="223" t="str">
        <f>IF(R$3="","",IF(COUNTIFS(BD!$A$3:$A$5001,R$3,BD!$B$3:$B$5001,$A$174,BD!$AD$3:$AD$5001,"&lt;&gt;")=0,"",SUMIFS(BD!$AD$3:$AD$5001,BD!$A$3:$A$5001,R$3,BD!$B$3:$B$5001,$A$174)))</f>
        <v/>
      </c>
      <c r="S189" s="223" t="str">
        <f>IF(S$3="","",IF(COUNTIFS(BD!$A$3:$A$5001,S$3,BD!$B$3:$B$5001,$A$174,BD!$AD$3:$AD$5001,"&lt;&gt;")=0,"",SUMIFS(BD!$AD$3:$AD$5001,BD!$A$3:$A$5001,S$3,BD!$B$3:$B$5001,$A$174)))</f>
        <v/>
      </c>
      <c r="T189" s="223" t="str">
        <f>IF(T$3="","",IF(COUNTIFS(BD!$A$3:$A$5001,T$3,BD!$B$3:$B$5001,$A$174,BD!$AD$3:$AD$5001,"&lt;&gt;")=0,"",SUMIFS(BD!$AD$3:$AD$5001,BD!$A$3:$A$5001,T$3,BD!$B$3:$B$5001,$A$174)))</f>
        <v/>
      </c>
      <c r="U189" s="223" t="str">
        <f>IF(U$3="","",IF(COUNTIFS(BD!$A$3:$A$5001,U$3,BD!$B$3:$B$5001,$A$174,BD!$AD$3:$AD$5001,"&lt;&gt;")=0,"",SUMIFS(BD!$AD$3:$AD$5001,BD!$A$3:$A$5001,U$3,BD!$B$3:$B$5001,$A$174)))</f>
        <v/>
      </c>
      <c r="V189" s="223" t="str">
        <f>IF(V$3="","",IF(COUNTIFS(BD!$A$3:$A$5001,V$3,BD!$B$3:$B$5001,$A$174,BD!$AD$3:$AD$5001,"&lt;&gt;")=0,"",SUMIFS(BD!$AD$3:$AD$5001,BD!$A$3:$A$5001,V$3,BD!$B$3:$B$5001,$A$174)))</f>
        <v/>
      </c>
      <c r="W189" s="223" t="str">
        <f>IF(W$3="","",IF(COUNTIFS(BD!$A$3:$A$5001,W$3,BD!$B$3:$B$5001,$A$174,BD!$AD$3:$AD$5001,"&lt;&gt;")=0,"",SUMIFS(BD!$AD$3:$AD$5001,BD!$A$3:$A$5001,W$3,BD!$B$3:$B$5001,$A$174)))</f>
        <v/>
      </c>
      <c r="X189" s="223" t="str">
        <f>IF(X$3="","",IF(COUNTIFS(BD!$A$3:$A$5001,X$3,BD!$B$3:$B$5001,$A$174,BD!$AD$3:$AD$5001,"&lt;&gt;")=0,"",SUMIFS(BD!$AD$3:$AD$5001,BD!$A$3:$A$5001,X$3,BD!$B$3:$B$5001,$A$174)))</f>
        <v/>
      </c>
      <c r="Y189" s="223" t="str">
        <f>IF(Y$3="","",IF(COUNTIFS(BD!$A$3:$A$5001,Y$3,BD!$B$3:$B$5001,$A$174,BD!$AD$3:$AD$5001,"&lt;&gt;")=0,"",SUMIFS(BD!$AD$3:$AD$5001,BD!$A$3:$A$5001,Y$3,BD!$B$3:$B$5001,$A$174)))</f>
        <v/>
      </c>
      <c r="Z189" s="223" t="str">
        <f>IF(Z$3="","",IF(COUNTIFS(BD!$A$3:$A$5001,Z$3,BD!$B$3:$B$5001,$A$174,BD!$AD$3:$AD$5001,"&lt;&gt;")=0,"",SUMIFS(BD!$AD$3:$AD$5001,BD!$A$3:$A$5001,Z$3,BD!$B$3:$B$5001,$A$174)))</f>
        <v/>
      </c>
      <c r="AA189" s="223" t="str">
        <f>IF(AA$3="","",IF(COUNTIFS(BD!$A$3:$A$5001,AA$3,BD!$B$3:$B$5001,$A$174,BD!$AD$3:$AD$5001,"&lt;&gt;")=0,"",SUMIFS(BD!$AD$3:$AD$5001,BD!$A$3:$A$5001,AA$3,BD!$B$3:$B$5001,$A$174)))</f>
        <v/>
      </c>
      <c r="AB189" s="223" t="str">
        <f>IF(AB$3="","",IF(COUNTIFS(BD!$A$3:$A$5001,AB$3,BD!$B$3:$B$5001,$A$174,BD!$AD$3:$AD$5001,"&lt;&gt;")=0,"",SUMIFS(BD!$AD$3:$AD$5001,BD!$A$3:$A$5001,AB$3,BD!$B$3:$B$5001,$A$174)))</f>
        <v/>
      </c>
      <c r="AC189" s="223" t="str">
        <f>IF(AC$3="","",IF(COUNTIFS(BD!$A$3:$A$5001,AC$3,BD!$B$3:$B$5001,$A$174,BD!$AD$3:$AD$5001,"&lt;&gt;")=0,"",SUMIFS(BD!$AD$3:$AD$5001,BD!$A$3:$A$5001,AC$3,BD!$B$3:$B$5001,$A$174)))</f>
        <v/>
      </c>
      <c r="AD189" s="223" t="str">
        <f>IF(AD$3="","",IF(COUNTIFS(BD!$A$3:$A$5001,AD$3,BD!$B$3:$B$5001,$A$174,BD!$AD$3:$AD$5001,"&lt;&gt;")=0,"",SUMIFS(BD!$AD$3:$AD$5001,BD!$A$3:$A$5001,AD$3,BD!$B$3:$B$5001,$A$174)))</f>
        <v/>
      </c>
      <c r="AE189" s="223" t="str">
        <f>IF(AE$3="","",IF(COUNTIFS(BD!$A$3:$A$5001,AE$3,BD!$B$3:$B$5001,$A$174,BD!$AD$3:$AD$5001,"&lt;&gt;")=0,"",SUMIFS(BD!$AD$3:$AD$5001,BD!$A$3:$A$5001,AE$3,BD!$B$3:$B$5001,$A$174)))</f>
        <v/>
      </c>
      <c r="AF189" s="223" t="str">
        <f>IF(AF$3="","",IF(COUNTIFS(BD!$A$3:$A$5001,AF$3,BD!$B$3:$B$5001,$A$174,BD!$AD$3:$AD$5001,"&lt;&gt;")=0,"",SUMIFS(BD!$AD$3:$AD$5001,BD!$A$3:$A$5001,AF$3,BD!$B$3:$B$5001,$A$174)))</f>
        <v/>
      </c>
      <c r="AG189" s="223" t="str">
        <f>IF(AG$3="","",IF(COUNTIFS(BD!$A$3:$A$5001,AG$3,BD!$B$3:$B$5001,$A$174,BD!$AD$3:$AD$5001,"&lt;&gt;")=0,"",SUMIFS(BD!$AD$3:$AD$5001,BD!$A$3:$A$5001,AG$3,BD!$B$3:$B$5001,$A$174)))</f>
        <v/>
      </c>
      <c r="AH189" s="223" t="str">
        <f>IF(AH$3="","",IF(COUNTIFS(BD!$A$3:$A$5001,AH$3,BD!$B$3:$B$5001,$A$174,BD!$AD$3:$AD$5001,"&lt;&gt;")=0,"",SUMIFS(BD!$AD$3:$AD$5001,BD!$A$3:$A$5001,AH$3,BD!$B$3:$B$5001,$A$174)))</f>
        <v/>
      </c>
      <c r="AI189" s="223" t="str">
        <f>IF(AI$3="","",IF(COUNTIFS(BD!$A$3:$A$5001,AI$3,BD!$B$3:$B$5001,$A$174,BD!$AD$3:$AD$5001,"&lt;&gt;")=0,"",SUMIFS(BD!$AD$3:$AD$5001,BD!$A$3:$A$5001,AI$3,BD!$B$3:$B$5001,$A$174)))</f>
        <v/>
      </c>
      <c r="AJ189" s="224" t="str">
        <f>IF(AJ$3="","",IF(COUNTIFS(BD!$A$3:$A$5001,AJ$3,BD!$B$3:$B$5001,$A$174,BD!$AD$3:$AD$5001,"&lt;&gt;")=0,"",SUMIFS(BD!$AD$3:$AD$5001,BD!$A$3:$A$5001,AJ$3,BD!$B$3:$B$5001,$A$174)))</f>
        <v/>
      </c>
      <c r="AK189" s="225" t="str">
        <f>IF(COUNT(F189:AJ189)=0,"",SUM(F189:AJ189))</f>
        <v/>
      </c>
    </row>
    <row r="190" ht="15.75" customHeight="1">
      <c r="A190" s="244"/>
      <c r="B190" s="241"/>
      <c r="C190" s="219" t="inlineStr">
        <is>
          <t xml:space="preserve">Acidentes CAF</t>
        </is>
      </c>
      <c r="D190" s="220" t="str">
        <f>IFERROR(1/(1/INDEX(BD!$AJ$52:$BD$52,MATCH($A$174,BD!$AJ$22:$BD$22,0))),"")</f>
        <v/>
      </c>
      <c r="E190" s="221"/>
      <c r="F190" s="222" t="str">
        <f>IF(F$3="","",IF(COUNTIFS(BD!$A$3:$A$5001,F$3,BD!$B$3:$B$5001,$A$174,BD!$AE$3:$AE$5001,"&lt;&gt;")=0,"",SUMIFS(BD!$AE$3:$AE$5001,BD!$A$3:$A$5001,F$3,BD!$B$3:$B$5001,$A$174)))</f>
        <v/>
      </c>
      <c r="G190" s="223" t="str">
        <f>IF(G$3="","",IF(COUNTIFS(BD!$A$3:$A$5001,G$3,BD!$B$3:$B$5001,$A$174,BD!$AE$3:$AE$5001,"&lt;&gt;")=0,"",SUMIFS(BD!$AE$3:$AE$5001,BD!$A$3:$A$5001,G$3,BD!$B$3:$B$5001,$A$174)))</f>
        <v/>
      </c>
      <c r="H190" s="223" t="str">
        <f>IF(H$3="","",IF(COUNTIFS(BD!$A$3:$A$5001,H$3,BD!$B$3:$B$5001,$A$174,BD!$AE$3:$AE$5001,"&lt;&gt;")=0,"",SUMIFS(BD!$AE$3:$AE$5001,BD!$A$3:$A$5001,H$3,BD!$B$3:$B$5001,$A$174)))</f>
        <v/>
      </c>
      <c r="I190" s="223" t="str">
        <f>IF(I$3="","",IF(COUNTIFS(BD!$A$3:$A$5001,I$3,BD!$B$3:$B$5001,$A$174,BD!$AE$3:$AE$5001,"&lt;&gt;")=0,"",SUMIFS(BD!$AE$3:$AE$5001,BD!$A$3:$A$5001,I$3,BD!$B$3:$B$5001,$A$174)))</f>
        <v/>
      </c>
      <c r="J190" s="223" t="str">
        <f>IF(J$3="","",IF(COUNTIFS(BD!$A$3:$A$5001,J$3,BD!$B$3:$B$5001,$A$174,BD!$AE$3:$AE$5001,"&lt;&gt;")=0,"",SUMIFS(BD!$AE$3:$AE$5001,BD!$A$3:$A$5001,J$3,BD!$B$3:$B$5001,$A$174)))</f>
        <v/>
      </c>
      <c r="K190" s="223" t="str">
        <f>IF(K$3="","",IF(COUNTIFS(BD!$A$3:$A$5001,K$3,BD!$B$3:$B$5001,$A$174,BD!$AE$3:$AE$5001,"&lt;&gt;")=0,"",SUMIFS(BD!$AE$3:$AE$5001,BD!$A$3:$A$5001,K$3,BD!$B$3:$B$5001,$A$174)))</f>
        <v/>
      </c>
      <c r="L190" s="223" t="str">
        <f>IF(L$3="","",IF(COUNTIFS(BD!$A$3:$A$5001,L$3,BD!$B$3:$B$5001,$A$174,BD!$AE$3:$AE$5001,"&lt;&gt;")=0,"",SUMIFS(BD!$AE$3:$AE$5001,BD!$A$3:$A$5001,L$3,BD!$B$3:$B$5001,$A$174)))</f>
        <v/>
      </c>
      <c r="M190" s="223" t="str">
        <f>IF(M$3="","",IF(COUNTIFS(BD!$A$3:$A$5001,M$3,BD!$B$3:$B$5001,$A$174,BD!$AE$3:$AE$5001,"&lt;&gt;")=0,"",SUMIFS(BD!$AE$3:$AE$5001,BD!$A$3:$A$5001,M$3,BD!$B$3:$B$5001,$A$174)))</f>
        <v/>
      </c>
      <c r="N190" s="223" t="str">
        <f>IF(N$3="","",IF(COUNTIFS(BD!$A$3:$A$5001,N$3,BD!$B$3:$B$5001,$A$174,BD!$AE$3:$AE$5001,"&lt;&gt;")=0,"",SUMIFS(BD!$AE$3:$AE$5001,BD!$A$3:$A$5001,N$3,BD!$B$3:$B$5001,$A$174)))</f>
        <v/>
      </c>
      <c r="O190" s="223" t="str">
        <f>IF(O$3="","",IF(COUNTIFS(BD!$A$3:$A$5001,O$3,BD!$B$3:$B$5001,$A$174,BD!$AE$3:$AE$5001,"&lt;&gt;")=0,"",SUMIFS(BD!$AE$3:$AE$5001,BD!$A$3:$A$5001,O$3,BD!$B$3:$B$5001,$A$174)))</f>
        <v/>
      </c>
      <c r="P190" s="223" t="str">
        <f>IF(P$3="","",IF(COUNTIFS(BD!$A$3:$A$5001,P$3,BD!$B$3:$B$5001,$A$174,BD!$AE$3:$AE$5001,"&lt;&gt;")=0,"",SUMIFS(BD!$AE$3:$AE$5001,BD!$A$3:$A$5001,P$3,BD!$B$3:$B$5001,$A$174)))</f>
        <v/>
      </c>
      <c r="Q190" s="223" t="str">
        <f>IF(Q$3="","",IF(COUNTIFS(BD!$A$3:$A$5001,Q$3,BD!$B$3:$B$5001,$A$174,BD!$AE$3:$AE$5001,"&lt;&gt;")=0,"",SUMIFS(BD!$AE$3:$AE$5001,BD!$A$3:$A$5001,Q$3,BD!$B$3:$B$5001,$A$174)))</f>
        <v/>
      </c>
      <c r="R190" s="223" t="str">
        <f>IF(R$3="","",IF(COUNTIFS(BD!$A$3:$A$5001,R$3,BD!$B$3:$B$5001,$A$174,BD!$AE$3:$AE$5001,"&lt;&gt;")=0,"",SUMIFS(BD!$AE$3:$AE$5001,BD!$A$3:$A$5001,R$3,BD!$B$3:$B$5001,$A$174)))</f>
        <v/>
      </c>
      <c r="S190" s="223" t="str">
        <f>IF(S$3="","",IF(COUNTIFS(BD!$A$3:$A$5001,S$3,BD!$B$3:$B$5001,$A$174,BD!$AE$3:$AE$5001,"&lt;&gt;")=0,"",SUMIFS(BD!$AE$3:$AE$5001,BD!$A$3:$A$5001,S$3,BD!$B$3:$B$5001,$A$174)))</f>
        <v/>
      </c>
      <c r="T190" s="223" t="str">
        <f>IF(T$3="","",IF(COUNTIFS(BD!$A$3:$A$5001,T$3,BD!$B$3:$B$5001,$A$174,BD!$AE$3:$AE$5001,"&lt;&gt;")=0,"",SUMIFS(BD!$AE$3:$AE$5001,BD!$A$3:$A$5001,T$3,BD!$B$3:$B$5001,$A$174)))</f>
        <v/>
      </c>
      <c r="U190" s="223" t="str">
        <f>IF(U$3="","",IF(COUNTIFS(BD!$A$3:$A$5001,U$3,BD!$B$3:$B$5001,$A$174,BD!$AE$3:$AE$5001,"&lt;&gt;")=0,"",SUMIFS(BD!$AE$3:$AE$5001,BD!$A$3:$A$5001,U$3,BD!$B$3:$B$5001,$A$174)))</f>
        <v/>
      </c>
      <c r="V190" s="223" t="str">
        <f>IF(V$3="","",IF(COUNTIFS(BD!$A$3:$A$5001,V$3,BD!$B$3:$B$5001,$A$174,BD!$AE$3:$AE$5001,"&lt;&gt;")=0,"",SUMIFS(BD!$AE$3:$AE$5001,BD!$A$3:$A$5001,V$3,BD!$B$3:$B$5001,$A$174)))</f>
        <v/>
      </c>
      <c r="W190" s="223" t="str">
        <f>IF(W$3="","",IF(COUNTIFS(BD!$A$3:$A$5001,W$3,BD!$B$3:$B$5001,$A$174,BD!$AE$3:$AE$5001,"&lt;&gt;")=0,"",SUMIFS(BD!$AE$3:$AE$5001,BD!$A$3:$A$5001,W$3,BD!$B$3:$B$5001,$A$174)))</f>
        <v/>
      </c>
      <c r="X190" s="223" t="str">
        <f>IF(X$3="","",IF(COUNTIFS(BD!$A$3:$A$5001,X$3,BD!$B$3:$B$5001,$A$174,BD!$AE$3:$AE$5001,"&lt;&gt;")=0,"",SUMIFS(BD!$AE$3:$AE$5001,BD!$A$3:$A$5001,X$3,BD!$B$3:$B$5001,$A$174)))</f>
        <v/>
      </c>
      <c r="Y190" s="223" t="str">
        <f>IF(Y$3="","",IF(COUNTIFS(BD!$A$3:$A$5001,Y$3,BD!$B$3:$B$5001,$A$174,BD!$AE$3:$AE$5001,"&lt;&gt;")=0,"",SUMIFS(BD!$AE$3:$AE$5001,BD!$A$3:$A$5001,Y$3,BD!$B$3:$B$5001,$A$174)))</f>
        <v/>
      </c>
      <c r="Z190" s="223" t="str">
        <f>IF(Z$3="","",IF(COUNTIFS(BD!$A$3:$A$5001,Z$3,BD!$B$3:$B$5001,$A$174,BD!$AE$3:$AE$5001,"&lt;&gt;")=0,"",SUMIFS(BD!$AE$3:$AE$5001,BD!$A$3:$A$5001,Z$3,BD!$B$3:$B$5001,$A$174)))</f>
        <v/>
      </c>
      <c r="AA190" s="223" t="str">
        <f>IF(AA$3="","",IF(COUNTIFS(BD!$A$3:$A$5001,AA$3,BD!$B$3:$B$5001,$A$174,BD!$AE$3:$AE$5001,"&lt;&gt;")=0,"",SUMIFS(BD!$AE$3:$AE$5001,BD!$A$3:$A$5001,AA$3,BD!$B$3:$B$5001,$A$174)))</f>
        <v/>
      </c>
      <c r="AB190" s="223" t="str">
        <f>IF(AB$3="","",IF(COUNTIFS(BD!$A$3:$A$5001,AB$3,BD!$B$3:$B$5001,$A$174,BD!$AE$3:$AE$5001,"&lt;&gt;")=0,"",SUMIFS(BD!$AE$3:$AE$5001,BD!$A$3:$A$5001,AB$3,BD!$B$3:$B$5001,$A$174)))</f>
        <v/>
      </c>
      <c r="AC190" s="223" t="str">
        <f>IF(AC$3="","",IF(COUNTIFS(BD!$A$3:$A$5001,AC$3,BD!$B$3:$B$5001,$A$174,BD!$AE$3:$AE$5001,"&lt;&gt;")=0,"",SUMIFS(BD!$AE$3:$AE$5001,BD!$A$3:$A$5001,AC$3,BD!$B$3:$B$5001,$A$174)))</f>
        <v/>
      </c>
      <c r="AD190" s="223" t="str">
        <f>IF(AD$3="","",IF(COUNTIFS(BD!$A$3:$A$5001,AD$3,BD!$B$3:$B$5001,$A$174,BD!$AE$3:$AE$5001,"&lt;&gt;")=0,"",SUMIFS(BD!$AE$3:$AE$5001,BD!$A$3:$A$5001,AD$3,BD!$B$3:$B$5001,$A$174)))</f>
        <v/>
      </c>
      <c r="AE190" s="223" t="str">
        <f>IF(AE$3="","",IF(COUNTIFS(BD!$A$3:$A$5001,AE$3,BD!$B$3:$B$5001,$A$174,BD!$AE$3:$AE$5001,"&lt;&gt;")=0,"",SUMIFS(BD!$AE$3:$AE$5001,BD!$A$3:$A$5001,AE$3,BD!$B$3:$B$5001,$A$174)))</f>
        <v/>
      </c>
      <c r="AF190" s="223" t="str">
        <f>IF(AF$3="","",IF(COUNTIFS(BD!$A$3:$A$5001,AF$3,BD!$B$3:$B$5001,$A$174,BD!$AE$3:$AE$5001,"&lt;&gt;")=0,"",SUMIFS(BD!$AE$3:$AE$5001,BD!$A$3:$A$5001,AF$3,BD!$B$3:$B$5001,$A$174)))</f>
        <v/>
      </c>
      <c r="AG190" s="223" t="str">
        <f>IF(AG$3="","",IF(COUNTIFS(BD!$A$3:$A$5001,AG$3,BD!$B$3:$B$5001,$A$174,BD!$AE$3:$AE$5001,"&lt;&gt;")=0,"",SUMIFS(BD!$AE$3:$AE$5001,BD!$A$3:$A$5001,AG$3,BD!$B$3:$B$5001,$A$174)))</f>
        <v/>
      </c>
      <c r="AH190" s="223" t="str">
        <f>IF(AH$3="","",IF(COUNTIFS(BD!$A$3:$A$5001,AH$3,BD!$B$3:$B$5001,$A$174,BD!$AE$3:$AE$5001,"&lt;&gt;")=0,"",SUMIFS(BD!$AE$3:$AE$5001,BD!$A$3:$A$5001,AH$3,BD!$B$3:$B$5001,$A$174)))</f>
        <v/>
      </c>
      <c r="AI190" s="223" t="str">
        <f>IF(AI$3="","",IF(COUNTIFS(BD!$A$3:$A$5001,AI$3,BD!$B$3:$B$5001,$A$174,BD!$AE$3:$AE$5001,"&lt;&gt;")=0,"",SUMIFS(BD!$AE$3:$AE$5001,BD!$A$3:$A$5001,AI$3,BD!$B$3:$B$5001,$A$174)))</f>
        <v/>
      </c>
      <c r="AJ190" s="224" t="str">
        <f>IF(AJ$3="","",IF(COUNTIFS(BD!$A$3:$A$5001,AJ$3,BD!$B$3:$B$5001,$A$174,BD!$AE$3:$AE$5001,"&lt;&gt;")=0,"",SUMIFS(BD!$AE$3:$AE$5001,BD!$A$3:$A$5001,AJ$3,BD!$B$3:$B$5001,$A$174)))</f>
        <v/>
      </c>
      <c r="AK190" s="225" t="str">
        <f>IF(COUNT(F190:AJ190)=0,"",SUM(F190:AJ190))</f>
        <v/>
      </c>
    </row>
    <row r="191" ht="15.75" customHeight="1">
      <c r="A191" s="245"/>
      <c r="B191" s="242"/>
      <c r="C191" s="226" t="inlineStr">
        <is>
          <t xml:space="preserve">Acidentes SAF</t>
        </is>
      </c>
      <c r="D191" s="227" t="str">
        <f>IFERROR(1/(1/INDEX(BD!$AJ$53:$BD$53,MATCH($A$174,BD!$AJ$22:$BD$22,0))),"")</f>
        <v/>
      </c>
      <c r="E191" s="228"/>
      <c r="F191" s="229" t="str">
        <f>IF(F$3="","",IF(COUNTIFS(BD!$A$3:$A$5001,F$3,BD!$B$3:$B$5001,$A$174,BD!$AF$3:$AF$5001,"&lt;&gt;")=0,"",SUMIFS(BD!$AF$3:$AF$5001,BD!$A$3:$A$5001,F$3,BD!$B$3:$B$5001,$A$174)))</f>
        <v/>
      </c>
      <c r="G191" s="230" t="str">
        <f>IF(G$3="","",IF(COUNTIFS(BD!$A$3:$A$5001,G$3,BD!$B$3:$B$5001,$A$174,BD!$AF$3:$AF$5001,"&lt;&gt;")=0,"",SUMIFS(BD!$AF$3:$AF$5001,BD!$A$3:$A$5001,G$3,BD!$B$3:$B$5001,$A$174)))</f>
        <v/>
      </c>
      <c r="H191" s="230" t="str">
        <f>IF(H$3="","",IF(COUNTIFS(BD!$A$3:$A$5001,H$3,BD!$B$3:$B$5001,$A$174,BD!$AF$3:$AF$5001,"&lt;&gt;")=0,"",SUMIFS(BD!$AF$3:$AF$5001,BD!$A$3:$A$5001,H$3,BD!$B$3:$B$5001,$A$174)))</f>
        <v/>
      </c>
      <c r="I191" s="230" t="str">
        <f>IF(I$3="","",IF(COUNTIFS(BD!$A$3:$A$5001,I$3,BD!$B$3:$B$5001,$A$174,BD!$AF$3:$AF$5001,"&lt;&gt;")=0,"",SUMIFS(BD!$AF$3:$AF$5001,BD!$A$3:$A$5001,I$3,BD!$B$3:$B$5001,$A$174)))</f>
        <v/>
      </c>
      <c r="J191" s="230" t="str">
        <f>IF(J$3="","",IF(COUNTIFS(BD!$A$3:$A$5001,J$3,BD!$B$3:$B$5001,$A$174,BD!$AF$3:$AF$5001,"&lt;&gt;")=0,"",SUMIFS(BD!$AF$3:$AF$5001,BD!$A$3:$A$5001,J$3,BD!$B$3:$B$5001,$A$174)))</f>
        <v/>
      </c>
      <c r="K191" s="230" t="str">
        <f>IF(K$3="","",IF(COUNTIFS(BD!$A$3:$A$5001,K$3,BD!$B$3:$B$5001,$A$174,BD!$AF$3:$AF$5001,"&lt;&gt;")=0,"",SUMIFS(BD!$AF$3:$AF$5001,BD!$A$3:$A$5001,K$3,BD!$B$3:$B$5001,$A$174)))</f>
        <v/>
      </c>
      <c r="L191" s="230" t="str">
        <f>IF(L$3="","",IF(COUNTIFS(BD!$A$3:$A$5001,L$3,BD!$B$3:$B$5001,$A$174,BD!$AF$3:$AF$5001,"&lt;&gt;")=0,"",SUMIFS(BD!$AF$3:$AF$5001,BD!$A$3:$A$5001,L$3,BD!$B$3:$B$5001,$A$174)))</f>
        <v/>
      </c>
      <c r="M191" s="230" t="str">
        <f>IF(M$3="","",IF(COUNTIFS(BD!$A$3:$A$5001,M$3,BD!$B$3:$B$5001,$A$174,BD!$AF$3:$AF$5001,"&lt;&gt;")=0,"",SUMIFS(BD!$AF$3:$AF$5001,BD!$A$3:$A$5001,M$3,BD!$B$3:$B$5001,$A$174)))</f>
        <v/>
      </c>
      <c r="N191" s="230" t="str">
        <f>IF(N$3="","",IF(COUNTIFS(BD!$A$3:$A$5001,N$3,BD!$B$3:$B$5001,$A$174,BD!$AF$3:$AF$5001,"&lt;&gt;")=0,"",SUMIFS(BD!$AF$3:$AF$5001,BD!$A$3:$A$5001,N$3,BD!$B$3:$B$5001,$A$174)))</f>
        <v/>
      </c>
      <c r="O191" s="230" t="str">
        <f>IF(O$3="","",IF(COUNTIFS(BD!$A$3:$A$5001,O$3,BD!$B$3:$B$5001,$A$174,BD!$AF$3:$AF$5001,"&lt;&gt;")=0,"",SUMIFS(BD!$AF$3:$AF$5001,BD!$A$3:$A$5001,O$3,BD!$B$3:$B$5001,$A$174)))</f>
        <v/>
      </c>
      <c r="P191" s="230" t="str">
        <f>IF(P$3="","",IF(COUNTIFS(BD!$A$3:$A$5001,P$3,BD!$B$3:$B$5001,$A$174,BD!$AF$3:$AF$5001,"&lt;&gt;")=0,"",SUMIFS(BD!$AF$3:$AF$5001,BD!$A$3:$A$5001,P$3,BD!$B$3:$B$5001,$A$174)))</f>
        <v/>
      </c>
      <c r="Q191" s="230" t="str">
        <f>IF(Q$3="","",IF(COUNTIFS(BD!$A$3:$A$5001,Q$3,BD!$B$3:$B$5001,$A$174,BD!$AF$3:$AF$5001,"&lt;&gt;")=0,"",SUMIFS(BD!$AF$3:$AF$5001,BD!$A$3:$A$5001,Q$3,BD!$B$3:$B$5001,$A$174)))</f>
        <v/>
      </c>
      <c r="R191" s="230" t="str">
        <f>IF(R$3="","",IF(COUNTIFS(BD!$A$3:$A$5001,R$3,BD!$B$3:$B$5001,$A$174,BD!$AF$3:$AF$5001,"&lt;&gt;")=0,"",SUMIFS(BD!$AF$3:$AF$5001,BD!$A$3:$A$5001,R$3,BD!$B$3:$B$5001,$A$174)))</f>
        <v/>
      </c>
      <c r="S191" s="230" t="str">
        <f>IF(S$3="","",IF(COUNTIFS(BD!$A$3:$A$5001,S$3,BD!$B$3:$B$5001,$A$174,BD!$AF$3:$AF$5001,"&lt;&gt;")=0,"",SUMIFS(BD!$AF$3:$AF$5001,BD!$A$3:$A$5001,S$3,BD!$B$3:$B$5001,$A$174)))</f>
        <v/>
      </c>
      <c r="T191" s="230" t="str">
        <f>IF(T$3="","",IF(COUNTIFS(BD!$A$3:$A$5001,T$3,BD!$B$3:$B$5001,$A$174,BD!$AF$3:$AF$5001,"&lt;&gt;")=0,"",SUMIFS(BD!$AF$3:$AF$5001,BD!$A$3:$A$5001,T$3,BD!$B$3:$B$5001,$A$174)))</f>
        <v/>
      </c>
      <c r="U191" s="230" t="str">
        <f>IF(U$3="","",IF(COUNTIFS(BD!$A$3:$A$5001,U$3,BD!$B$3:$B$5001,$A$174,BD!$AF$3:$AF$5001,"&lt;&gt;")=0,"",SUMIFS(BD!$AF$3:$AF$5001,BD!$A$3:$A$5001,U$3,BD!$B$3:$B$5001,$A$174)))</f>
        <v/>
      </c>
      <c r="V191" s="230" t="str">
        <f>IF(V$3="","",IF(COUNTIFS(BD!$A$3:$A$5001,V$3,BD!$B$3:$B$5001,$A$174,BD!$AF$3:$AF$5001,"&lt;&gt;")=0,"",SUMIFS(BD!$AF$3:$AF$5001,BD!$A$3:$A$5001,V$3,BD!$B$3:$B$5001,$A$174)))</f>
        <v/>
      </c>
      <c r="W191" s="230" t="str">
        <f>IF(W$3="","",IF(COUNTIFS(BD!$A$3:$A$5001,W$3,BD!$B$3:$B$5001,$A$174,BD!$AF$3:$AF$5001,"&lt;&gt;")=0,"",SUMIFS(BD!$AF$3:$AF$5001,BD!$A$3:$A$5001,W$3,BD!$B$3:$B$5001,$A$174)))</f>
        <v/>
      </c>
      <c r="X191" s="230" t="str">
        <f>IF(X$3="","",IF(COUNTIFS(BD!$A$3:$A$5001,X$3,BD!$B$3:$B$5001,$A$174,BD!$AF$3:$AF$5001,"&lt;&gt;")=0,"",SUMIFS(BD!$AF$3:$AF$5001,BD!$A$3:$A$5001,X$3,BD!$B$3:$B$5001,$A$174)))</f>
        <v/>
      </c>
      <c r="Y191" s="230" t="str">
        <f>IF(Y$3="","",IF(COUNTIFS(BD!$A$3:$A$5001,Y$3,BD!$B$3:$B$5001,$A$174,BD!$AF$3:$AF$5001,"&lt;&gt;")=0,"",SUMIFS(BD!$AF$3:$AF$5001,BD!$A$3:$A$5001,Y$3,BD!$B$3:$B$5001,$A$174)))</f>
        <v/>
      </c>
      <c r="Z191" s="230" t="str">
        <f>IF(Z$3="","",IF(COUNTIFS(BD!$A$3:$A$5001,Z$3,BD!$B$3:$B$5001,$A$174,BD!$AF$3:$AF$5001,"&lt;&gt;")=0,"",SUMIFS(BD!$AF$3:$AF$5001,BD!$A$3:$A$5001,Z$3,BD!$B$3:$B$5001,$A$174)))</f>
        <v/>
      </c>
      <c r="AA191" s="230" t="str">
        <f>IF(AA$3="","",IF(COUNTIFS(BD!$A$3:$A$5001,AA$3,BD!$B$3:$B$5001,$A$174,BD!$AF$3:$AF$5001,"&lt;&gt;")=0,"",SUMIFS(BD!$AF$3:$AF$5001,BD!$A$3:$A$5001,AA$3,BD!$B$3:$B$5001,$A$174)))</f>
        <v/>
      </c>
      <c r="AB191" s="230" t="str">
        <f>IF(AB$3="","",IF(COUNTIFS(BD!$A$3:$A$5001,AB$3,BD!$B$3:$B$5001,$A$174,BD!$AF$3:$AF$5001,"&lt;&gt;")=0,"",SUMIFS(BD!$AF$3:$AF$5001,BD!$A$3:$A$5001,AB$3,BD!$B$3:$B$5001,$A$174)))</f>
        <v/>
      </c>
      <c r="AC191" s="230" t="str">
        <f>IF(AC$3="","",IF(COUNTIFS(BD!$A$3:$A$5001,AC$3,BD!$B$3:$B$5001,$A$174,BD!$AF$3:$AF$5001,"&lt;&gt;")=0,"",SUMIFS(BD!$AF$3:$AF$5001,BD!$A$3:$A$5001,AC$3,BD!$B$3:$B$5001,$A$174)))</f>
        <v/>
      </c>
      <c r="AD191" s="230" t="str">
        <f>IF(AD$3="","",IF(COUNTIFS(BD!$A$3:$A$5001,AD$3,BD!$B$3:$B$5001,$A$174,BD!$AF$3:$AF$5001,"&lt;&gt;")=0,"",SUMIFS(BD!$AF$3:$AF$5001,BD!$A$3:$A$5001,AD$3,BD!$B$3:$B$5001,$A$174)))</f>
        <v/>
      </c>
      <c r="AE191" s="230" t="str">
        <f>IF(AE$3="","",IF(COUNTIFS(BD!$A$3:$A$5001,AE$3,BD!$B$3:$B$5001,$A$174,BD!$AF$3:$AF$5001,"&lt;&gt;")=0,"",SUMIFS(BD!$AF$3:$AF$5001,BD!$A$3:$A$5001,AE$3,BD!$B$3:$B$5001,$A$174)))</f>
        <v/>
      </c>
      <c r="AF191" s="230" t="str">
        <f>IF(AF$3="","",IF(COUNTIFS(BD!$A$3:$A$5001,AF$3,BD!$B$3:$B$5001,$A$174,BD!$AF$3:$AF$5001,"&lt;&gt;")=0,"",SUMIFS(BD!$AF$3:$AF$5001,BD!$A$3:$A$5001,AF$3,BD!$B$3:$B$5001,$A$174)))</f>
        <v/>
      </c>
      <c r="AG191" s="230" t="str">
        <f>IF(AG$3="","",IF(COUNTIFS(BD!$A$3:$A$5001,AG$3,BD!$B$3:$B$5001,$A$174,BD!$AF$3:$AF$5001,"&lt;&gt;")=0,"",SUMIFS(BD!$AF$3:$AF$5001,BD!$A$3:$A$5001,AG$3,BD!$B$3:$B$5001,$A$174)))</f>
        <v/>
      </c>
      <c r="AH191" s="230" t="str">
        <f>IF(AH$3="","",IF(COUNTIFS(BD!$A$3:$A$5001,AH$3,BD!$B$3:$B$5001,$A$174,BD!$AF$3:$AF$5001,"&lt;&gt;")=0,"",SUMIFS(BD!$AF$3:$AF$5001,BD!$A$3:$A$5001,AH$3,BD!$B$3:$B$5001,$A$174)))</f>
        <v/>
      </c>
      <c r="AI191" s="230" t="str">
        <f>IF(AI$3="","",IF(COUNTIFS(BD!$A$3:$A$5001,AI$3,BD!$B$3:$B$5001,$A$174,BD!$AF$3:$AF$5001,"&lt;&gt;")=0,"",SUMIFS(BD!$AF$3:$AF$5001,BD!$A$3:$A$5001,AI$3,BD!$B$3:$B$5001,$A$174)))</f>
        <v/>
      </c>
      <c r="AJ191" s="231" t="str">
        <f>IF(AJ$3="","",IF(COUNTIFS(BD!$A$3:$A$5001,AJ$3,BD!$B$3:$B$5001,$A$174,BD!$AF$3:$AF$5001,"&lt;&gt;")=0,"",SUMIFS(BD!$AF$3:$AF$5001,BD!$A$3:$A$5001,AJ$3,BD!$B$3:$B$5001,$A$174)))</f>
        <v/>
      </c>
      <c r="AK191" s="227" t="str">
        <f>IF(COUNT(F191:AJ191)=0,"",SUM(F191:AJ191))</f>
        <v/>
      </c>
    </row>
    <row r="193" ht="15.75" customHeight="1">
      <c r="A193" s="243" t="inlineStr">
        <is>
          <t xml:space="preserve">Vestas</t>
        </is>
      </c>
      <c r="B193" s="232" t="inlineStr">
        <is>
          <t xml:space="preserve">IN</t>
        </is>
      </c>
      <c r="C193" s="155" t="inlineStr">
        <is>
          <t xml:space="preserve">Veículos Recebidos</t>
        </is>
      </c>
      <c r="D193" s="156" t="str">
        <f>IFERROR(1/(1/INDEX(BD!$AJ$23:$BD$23,MATCH($A$193,BD!$AJ$22:$BD$22,0))),"")</f>
        <v/>
      </c>
      <c r="E193" s="157"/>
      <c r="F193" s="158" t="str">
        <f>IF(F$3="","",IF(COUNTIFS(BD!$A$3:$A$5001,F$3,BD!$B$3:$B$5001,$A$193,BD!$C$3:$C$5001,"&lt;&gt;")=0,"",SUMIFS(BD!$C$3:$C$5001,BD!$A$3:$A$5001,F$3,BD!$B$3:$B$5001,$A$193)))</f>
        <v/>
      </c>
      <c r="G193" s="159" t="str">
        <f>IF(G$3="","",IF(COUNTIFS(BD!$A$3:$A$5001,G$3,BD!$B$3:$B$5001,$A$193,BD!$C$3:$C$5001,"&lt;&gt;")=0,"",SUMIFS(BD!$C$3:$C$5001,BD!$A$3:$A$5001,G$3,BD!$B$3:$B$5001,$A$193)))</f>
        <v/>
      </c>
      <c r="H193" s="159" t="str">
        <f>IF(H$3="","",IF(COUNTIFS(BD!$A$3:$A$5001,H$3,BD!$B$3:$B$5001,$A$193,BD!$C$3:$C$5001,"&lt;&gt;")=0,"",SUMIFS(BD!$C$3:$C$5001,BD!$A$3:$A$5001,H$3,BD!$B$3:$B$5001,$A$193)))</f>
        <v/>
      </c>
      <c r="I193" s="159" t="str">
        <f>IF(I$3="","",IF(COUNTIFS(BD!$A$3:$A$5001,I$3,BD!$B$3:$B$5001,$A$193,BD!$C$3:$C$5001,"&lt;&gt;")=0,"",SUMIFS(BD!$C$3:$C$5001,BD!$A$3:$A$5001,I$3,BD!$B$3:$B$5001,$A$193)))</f>
        <v/>
      </c>
      <c r="J193" s="159" t="str">
        <f>IF(J$3="","",IF(COUNTIFS(BD!$A$3:$A$5001,J$3,BD!$B$3:$B$5001,$A$193,BD!$C$3:$C$5001,"&lt;&gt;")=0,"",SUMIFS(BD!$C$3:$C$5001,BD!$A$3:$A$5001,J$3,BD!$B$3:$B$5001,$A$193)))</f>
        <v/>
      </c>
      <c r="K193" s="159" t="str">
        <f>IF(K$3="","",IF(COUNTIFS(BD!$A$3:$A$5001,K$3,BD!$B$3:$B$5001,$A$193,BD!$C$3:$C$5001,"&lt;&gt;")=0,"",SUMIFS(BD!$C$3:$C$5001,BD!$A$3:$A$5001,K$3,BD!$B$3:$B$5001,$A$193)))</f>
        <v/>
      </c>
      <c r="L193" s="159" t="str">
        <f>IF(L$3="","",IF(COUNTIFS(BD!$A$3:$A$5001,L$3,BD!$B$3:$B$5001,$A$193,BD!$C$3:$C$5001,"&lt;&gt;")=0,"",SUMIFS(BD!$C$3:$C$5001,BD!$A$3:$A$5001,L$3,BD!$B$3:$B$5001,$A$193)))</f>
        <v/>
      </c>
      <c r="M193" s="159" t="str">
        <f>IF(M$3="","",IF(COUNTIFS(BD!$A$3:$A$5001,M$3,BD!$B$3:$B$5001,$A$193,BD!$C$3:$C$5001,"&lt;&gt;")=0,"",SUMIFS(BD!$C$3:$C$5001,BD!$A$3:$A$5001,M$3,BD!$B$3:$B$5001,$A$193)))</f>
        <v/>
      </c>
      <c r="N193" s="159" t="str">
        <f>IF(N$3="","",IF(COUNTIFS(BD!$A$3:$A$5001,N$3,BD!$B$3:$B$5001,$A$193,BD!$C$3:$C$5001,"&lt;&gt;")=0,"",SUMIFS(BD!$C$3:$C$5001,BD!$A$3:$A$5001,N$3,BD!$B$3:$B$5001,$A$193)))</f>
        <v/>
      </c>
      <c r="O193" s="159" t="str">
        <f>IF(O$3="","",IF(COUNTIFS(BD!$A$3:$A$5001,O$3,BD!$B$3:$B$5001,$A$193,BD!$C$3:$C$5001,"&lt;&gt;")=0,"",SUMIFS(BD!$C$3:$C$5001,BD!$A$3:$A$5001,O$3,BD!$B$3:$B$5001,$A$193)))</f>
        <v/>
      </c>
      <c r="P193" s="159" t="str">
        <f>IF(P$3="","",IF(COUNTIFS(BD!$A$3:$A$5001,P$3,BD!$B$3:$B$5001,$A$193,BD!$C$3:$C$5001,"&lt;&gt;")=0,"",SUMIFS(BD!$C$3:$C$5001,BD!$A$3:$A$5001,P$3,BD!$B$3:$B$5001,$A$193)))</f>
        <v/>
      </c>
      <c r="Q193" s="159" t="str">
        <f>IF(Q$3="","",IF(COUNTIFS(BD!$A$3:$A$5001,Q$3,BD!$B$3:$B$5001,$A$193,BD!$C$3:$C$5001,"&lt;&gt;")=0,"",SUMIFS(BD!$C$3:$C$5001,BD!$A$3:$A$5001,Q$3,BD!$B$3:$B$5001,$A$193)))</f>
        <v/>
      </c>
      <c r="R193" s="159" t="str">
        <f>IF(R$3="","",IF(COUNTIFS(BD!$A$3:$A$5001,R$3,BD!$B$3:$B$5001,$A$193,BD!$C$3:$C$5001,"&lt;&gt;")=0,"",SUMIFS(BD!$C$3:$C$5001,BD!$A$3:$A$5001,R$3,BD!$B$3:$B$5001,$A$193)))</f>
        <v/>
      </c>
      <c r="S193" s="159" t="str">
        <f>IF(S$3="","",IF(COUNTIFS(BD!$A$3:$A$5001,S$3,BD!$B$3:$B$5001,$A$193,BD!$C$3:$C$5001,"&lt;&gt;")=0,"",SUMIFS(BD!$C$3:$C$5001,BD!$A$3:$A$5001,S$3,BD!$B$3:$B$5001,$A$193)))</f>
        <v/>
      </c>
      <c r="T193" s="159" t="str">
        <f>IF(T$3="","",IF(COUNTIFS(BD!$A$3:$A$5001,T$3,BD!$B$3:$B$5001,$A$193,BD!$C$3:$C$5001,"&lt;&gt;")=0,"",SUMIFS(BD!$C$3:$C$5001,BD!$A$3:$A$5001,T$3,BD!$B$3:$B$5001,$A$193)))</f>
        <v/>
      </c>
      <c r="U193" s="159" t="str">
        <f>IF(U$3="","",IF(COUNTIFS(BD!$A$3:$A$5001,U$3,BD!$B$3:$B$5001,$A$193,BD!$C$3:$C$5001,"&lt;&gt;")=0,"",SUMIFS(BD!$C$3:$C$5001,BD!$A$3:$A$5001,U$3,BD!$B$3:$B$5001,$A$193)))</f>
        <v/>
      </c>
      <c r="V193" s="159" t="str">
        <f>IF(V$3="","",IF(COUNTIFS(BD!$A$3:$A$5001,V$3,BD!$B$3:$B$5001,$A$193,BD!$C$3:$C$5001,"&lt;&gt;")=0,"",SUMIFS(BD!$C$3:$C$5001,BD!$A$3:$A$5001,V$3,BD!$B$3:$B$5001,$A$193)))</f>
        <v/>
      </c>
      <c r="W193" s="159" t="str">
        <f>IF(W$3="","",IF(COUNTIFS(BD!$A$3:$A$5001,W$3,BD!$B$3:$B$5001,$A$193,BD!$C$3:$C$5001,"&lt;&gt;")=0,"",SUMIFS(BD!$C$3:$C$5001,BD!$A$3:$A$5001,W$3,BD!$B$3:$B$5001,$A$193)))</f>
        <v/>
      </c>
      <c r="X193" s="159" t="str">
        <f>IF(X$3="","",IF(COUNTIFS(BD!$A$3:$A$5001,X$3,BD!$B$3:$B$5001,$A$193,BD!$C$3:$C$5001,"&lt;&gt;")=0,"",SUMIFS(BD!$C$3:$C$5001,BD!$A$3:$A$5001,X$3,BD!$B$3:$B$5001,$A$193)))</f>
        <v/>
      </c>
      <c r="Y193" s="159" t="str">
        <f>IF(Y$3="","",IF(COUNTIFS(BD!$A$3:$A$5001,Y$3,BD!$B$3:$B$5001,$A$193,BD!$C$3:$C$5001,"&lt;&gt;")=0,"",SUMIFS(BD!$C$3:$C$5001,BD!$A$3:$A$5001,Y$3,BD!$B$3:$B$5001,$A$193)))</f>
        <v/>
      </c>
      <c r="Z193" s="159" t="str">
        <f>IF(Z$3="","",IF(COUNTIFS(BD!$A$3:$A$5001,Z$3,BD!$B$3:$B$5001,$A$193,BD!$C$3:$C$5001,"&lt;&gt;")=0,"",SUMIFS(BD!$C$3:$C$5001,BD!$A$3:$A$5001,Z$3,BD!$B$3:$B$5001,$A$193)))</f>
        <v/>
      </c>
      <c r="AA193" s="159" t="str">
        <f>IF(AA$3="","",IF(COUNTIFS(BD!$A$3:$A$5001,AA$3,BD!$B$3:$B$5001,$A$193,BD!$C$3:$C$5001,"&lt;&gt;")=0,"",SUMIFS(BD!$C$3:$C$5001,BD!$A$3:$A$5001,AA$3,BD!$B$3:$B$5001,$A$193)))</f>
        <v/>
      </c>
      <c r="AB193" s="159" t="str">
        <f>IF(AB$3="","",IF(COUNTIFS(BD!$A$3:$A$5001,AB$3,BD!$B$3:$B$5001,$A$193,BD!$C$3:$C$5001,"&lt;&gt;")=0,"",SUMIFS(BD!$C$3:$C$5001,BD!$A$3:$A$5001,AB$3,BD!$B$3:$B$5001,$A$193)))</f>
        <v/>
      </c>
      <c r="AC193" s="159" t="str">
        <f>IF(AC$3="","",IF(COUNTIFS(BD!$A$3:$A$5001,AC$3,BD!$B$3:$B$5001,$A$193,BD!$C$3:$C$5001,"&lt;&gt;")=0,"",SUMIFS(BD!$C$3:$C$5001,BD!$A$3:$A$5001,AC$3,BD!$B$3:$B$5001,$A$193)))</f>
        <v/>
      </c>
      <c r="AD193" s="159" t="str">
        <f>IF(AD$3="","",IF(COUNTIFS(BD!$A$3:$A$5001,AD$3,BD!$B$3:$B$5001,$A$193,BD!$C$3:$C$5001,"&lt;&gt;")=0,"",SUMIFS(BD!$C$3:$C$5001,BD!$A$3:$A$5001,AD$3,BD!$B$3:$B$5001,$A$193)))</f>
        <v/>
      </c>
      <c r="AE193" s="159" t="str">
        <f>IF(AE$3="","",IF(COUNTIFS(BD!$A$3:$A$5001,AE$3,BD!$B$3:$B$5001,$A$193,BD!$C$3:$C$5001,"&lt;&gt;")=0,"",SUMIFS(BD!$C$3:$C$5001,BD!$A$3:$A$5001,AE$3,BD!$B$3:$B$5001,$A$193)))</f>
        <v/>
      </c>
      <c r="AF193" s="159" t="str">
        <f>IF(AF$3="","",IF(COUNTIFS(BD!$A$3:$A$5001,AF$3,BD!$B$3:$B$5001,$A$193,BD!$C$3:$C$5001,"&lt;&gt;")=0,"",SUMIFS(BD!$C$3:$C$5001,BD!$A$3:$A$5001,AF$3,BD!$B$3:$B$5001,$A$193)))</f>
        <v/>
      </c>
      <c r="AG193" s="159" t="str">
        <f>IF(AG$3="","",IF(COUNTIFS(BD!$A$3:$A$5001,AG$3,BD!$B$3:$B$5001,$A$193,BD!$C$3:$C$5001,"&lt;&gt;")=0,"",SUMIFS(BD!$C$3:$C$5001,BD!$A$3:$A$5001,AG$3,BD!$B$3:$B$5001,$A$193)))</f>
        <v/>
      </c>
      <c r="AH193" s="159" t="str">
        <f>IF(AH$3="","",IF(COUNTIFS(BD!$A$3:$A$5001,AH$3,BD!$B$3:$B$5001,$A$193,BD!$C$3:$C$5001,"&lt;&gt;")=0,"",SUMIFS(BD!$C$3:$C$5001,BD!$A$3:$A$5001,AH$3,BD!$B$3:$B$5001,$A$193)))</f>
        <v/>
      </c>
      <c r="AI193" s="159" t="str">
        <f>IF(AI$3="","",IF(COUNTIFS(BD!$A$3:$A$5001,AI$3,BD!$B$3:$B$5001,$A$193,BD!$C$3:$C$5001,"&lt;&gt;")=0,"",SUMIFS(BD!$C$3:$C$5001,BD!$A$3:$A$5001,AI$3,BD!$B$3:$B$5001,$A$193)))</f>
        <v/>
      </c>
      <c r="AJ193" s="160" t="str">
        <f>IF(AJ$3="","",IF(COUNTIFS(BD!$A$3:$A$5001,AJ$3,BD!$B$3:$B$5001,$A$193,BD!$C$3:$C$5001,"&lt;&gt;")=0,"",SUMIFS(BD!$C$3:$C$5001,BD!$A$3:$A$5001,AJ$3,BD!$B$3:$B$5001,$A$193)))</f>
        <v/>
      </c>
      <c r="AK193" s="161" t="str">
        <f>IF(COUNT(F193:AJ193)=0,"",SUM(F193:AJ193))</f>
        <v/>
      </c>
    </row>
    <row r="194" ht="15.75" customHeight="1">
      <c r="A194" s="244"/>
      <c r="B194" s="233"/>
      <c r="C194" s="162" t="inlineStr">
        <is>
          <t xml:space="preserve">Linhas NF</t>
        </is>
      </c>
      <c r="D194" s="163" t="str">
        <f>IFERROR(1/(1/INDEX(BD!$AJ$26:$BD$26,MATCH($A$193,BD!$AJ$22:$BD$22,0))),"")</f>
        <v/>
      </c>
      <c r="E194" s="164"/>
      <c r="F194" s="165" t="str">
        <f>IF(F$3="","",IF(COUNTIFS(BD!$A$3:$A$5001,F$3,BD!$B$3:$B$5001,$A$193,BD!$F$3:$F$5001,"&lt;&gt;")=0,"",SUMIFS(BD!$F$3:$F$5001,BD!$A$3:$A$5001,F$3,BD!$B$3:$B$5001,$A$193)))</f>
        <v/>
      </c>
      <c r="G194" s="166" t="str">
        <f>IF(G$3="","",IF(COUNTIFS(BD!$A$3:$A$5001,G$3,BD!$B$3:$B$5001,$A$193,BD!$F$3:$F$5001,"&lt;&gt;")=0,"",SUMIFS(BD!$F$3:$F$5001,BD!$A$3:$A$5001,G$3,BD!$B$3:$B$5001,$A$193)))</f>
        <v/>
      </c>
      <c r="H194" s="166" t="str">
        <f>IF(H$3="","",IF(COUNTIFS(BD!$A$3:$A$5001,H$3,BD!$B$3:$B$5001,$A$193,BD!$F$3:$F$5001,"&lt;&gt;")=0,"",SUMIFS(BD!$F$3:$F$5001,BD!$A$3:$A$5001,H$3,BD!$B$3:$B$5001,$A$193)))</f>
        <v/>
      </c>
      <c r="I194" s="166" t="str">
        <f>IF(I$3="","",IF(COUNTIFS(BD!$A$3:$A$5001,I$3,BD!$B$3:$B$5001,$A$193,BD!$F$3:$F$5001,"&lt;&gt;")=0,"",SUMIFS(BD!$F$3:$F$5001,BD!$A$3:$A$5001,I$3,BD!$B$3:$B$5001,$A$193)))</f>
        <v/>
      </c>
      <c r="J194" s="166" t="str">
        <f>IF(J$3="","",IF(COUNTIFS(BD!$A$3:$A$5001,J$3,BD!$B$3:$B$5001,$A$193,BD!$F$3:$F$5001,"&lt;&gt;")=0,"",SUMIFS(BD!$F$3:$F$5001,BD!$A$3:$A$5001,J$3,BD!$B$3:$B$5001,$A$193)))</f>
        <v/>
      </c>
      <c r="K194" s="166" t="str">
        <f>IF(K$3="","",IF(COUNTIFS(BD!$A$3:$A$5001,K$3,BD!$B$3:$B$5001,$A$193,BD!$F$3:$F$5001,"&lt;&gt;")=0,"",SUMIFS(BD!$F$3:$F$5001,BD!$A$3:$A$5001,K$3,BD!$B$3:$B$5001,$A$193)))</f>
        <v/>
      </c>
      <c r="L194" s="166" t="str">
        <f>IF(L$3="","",IF(COUNTIFS(BD!$A$3:$A$5001,L$3,BD!$B$3:$B$5001,$A$193,BD!$F$3:$F$5001,"&lt;&gt;")=0,"",SUMIFS(BD!$F$3:$F$5001,BD!$A$3:$A$5001,L$3,BD!$B$3:$B$5001,$A$193)))</f>
        <v/>
      </c>
      <c r="M194" s="166" t="str">
        <f>IF(M$3="","",IF(COUNTIFS(BD!$A$3:$A$5001,M$3,BD!$B$3:$B$5001,$A$193,BD!$F$3:$F$5001,"&lt;&gt;")=0,"",SUMIFS(BD!$F$3:$F$5001,BD!$A$3:$A$5001,M$3,BD!$B$3:$B$5001,$A$193)))</f>
        <v/>
      </c>
      <c r="N194" s="166" t="str">
        <f>IF(N$3="","",IF(COUNTIFS(BD!$A$3:$A$5001,N$3,BD!$B$3:$B$5001,$A$193,BD!$F$3:$F$5001,"&lt;&gt;")=0,"",SUMIFS(BD!$F$3:$F$5001,BD!$A$3:$A$5001,N$3,BD!$B$3:$B$5001,$A$193)))</f>
        <v/>
      </c>
      <c r="O194" s="166" t="str">
        <f>IF(O$3="","",IF(COUNTIFS(BD!$A$3:$A$5001,O$3,BD!$B$3:$B$5001,$A$193,BD!$F$3:$F$5001,"&lt;&gt;")=0,"",SUMIFS(BD!$F$3:$F$5001,BD!$A$3:$A$5001,O$3,BD!$B$3:$B$5001,$A$193)))</f>
        <v/>
      </c>
      <c r="P194" s="166" t="str">
        <f>IF(P$3="","",IF(COUNTIFS(BD!$A$3:$A$5001,P$3,BD!$B$3:$B$5001,$A$193,BD!$F$3:$F$5001,"&lt;&gt;")=0,"",SUMIFS(BD!$F$3:$F$5001,BD!$A$3:$A$5001,P$3,BD!$B$3:$B$5001,$A$193)))</f>
        <v/>
      </c>
      <c r="Q194" s="166" t="str">
        <f>IF(Q$3="","",IF(COUNTIFS(BD!$A$3:$A$5001,Q$3,BD!$B$3:$B$5001,$A$193,BD!$F$3:$F$5001,"&lt;&gt;")=0,"",SUMIFS(BD!$F$3:$F$5001,BD!$A$3:$A$5001,Q$3,BD!$B$3:$B$5001,$A$193)))</f>
        <v/>
      </c>
      <c r="R194" s="166" t="str">
        <f>IF(R$3="","",IF(COUNTIFS(BD!$A$3:$A$5001,R$3,BD!$B$3:$B$5001,$A$193,BD!$F$3:$F$5001,"&lt;&gt;")=0,"",SUMIFS(BD!$F$3:$F$5001,BD!$A$3:$A$5001,R$3,BD!$B$3:$B$5001,$A$193)))</f>
        <v/>
      </c>
      <c r="S194" s="166" t="str">
        <f>IF(S$3="","",IF(COUNTIFS(BD!$A$3:$A$5001,S$3,BD!$B$3:$B$5001,$A$193,BD!$F$3:$F$5001,"&lt;&gt;")=0,"",SUMIFS(BD!$F$3:$F$5001,BD!$A$3:$A$5001,S$3,BD!$B$3:$B$5001,$A$193)))</f>
        <v/>
      </c>
      <c r="T194" s="166" t="str">
        <f>IF(T$3="","",IF(COUNTIFS(BD!$A$3:$A$5001,T$3,BD!$B$3:$B$5001,$A$193,BD!$F$3:$F$5001,"&lt;&gt;")=0,"",SUMIFS(BD!$F$3:$F$5001,BD!$A$3:$A$5001,T$3,BD!$B$3:$B$5001,$A$193)))</f>
        <v/>
      </c>
      <c r="U194" s="166" t="str">
        <f>IF(U$3="","",IF(COUNTIFS(BD!$A$3:$A$5001,U$3,BD!$B$3:$B$5001,$A$193,BD!$F$3:$F$5001,"&lt;&gt;")=0,"",SUMIFS(BD!$F$3:$F$5001,BD!$A$3:$A$5001,U$3,BD!$B$3:$B$5001,$A$193)))</f>
        <v/>
      </c>
      <c r="V194" s="166" t="str">
        <f>IF(V$3="","",IF(COUNTIFS(BD!$A$3:$A$5001,V$3,BD!$B$3:$B$5001,$A$193,BD!$F$3:$F$5001,"&lt;&gt;")=0,"",SUMIFS(BD!$F$3:$F$5001,BD!$A$3:$A$5001,V$3,BD!$B$3:$B$5001,$A$193)))</f>
        <v/>
      </c>
      <c r="W194" s="166" t="str">
        <f>IF(W$3="","",IF(COUNTIFS(BD!$A$3:$A$5001,W$3,BD!$B$3:$B$5001,$A$193,BD!$F$3:$F$5001,"&lt;&gt;")=0,"",SUMIFS(BD!$F$3:$F$5001,BD!$A$3:$A$5001,W$3,BD!$B$3:$B$5001,$A$193)))</f>
        <v/>
      </c>
      <c r="X194" s="166" t="str">
        <f>IF(X$3="","",IF(COUNTIFS(BD!$A$3:$A$5001,X$3,BD!$B$3:$B$5001,$A$193,BD!$F$3:$F$5001,"&lt;&gt;")=0,"",SUMIFS(BD!$F$3:$F$5001,BD!$A$3:$A$5001,X$3,BD!$B$3:$B$5001,$A$193)))</f>
        <v/>
      </c>
      <c r="Y194" s="166" t="str">
        <f>IF(Y$3="","",IF(COUNTIFS(BD!$A$3:$A$5001,Y$3,BD!$B$3:$B$5001,$A$193,BD!$F$3:$F$5001,"&lt;&gt;")=0,"",SUMIFS(BD!$F$3:$F$5001,BD!$A$3:$A$5001,Y$3,BD!$B$3:$B$5001,$A$193)))</f>
        <v/>
      </c>
      <c r="Z194" s="166" t="str">
        <f>IF(Z$3="","",IF(COUNTIFS(BD!$A$3:$A$5001,Z$3,BD!$B$3:$B$5001,$A$193,BD!$F$3:$F$5001,"&lt;&gt;")=0,"",SUMIFS(BD!$F$3:$F$5001,BD!$A$3:$A$5001,Z$3,BD!$B$3:$B$5001,$A$193)))</f>
        <v/>
      </c>
      <c r="AA194" s="166" t="str">
        <f>IF(AA$3="","",IF(COUNTIFS(BD!$A$3:$A$5001,AA$3,BD!$B$3:$B$5001,$A$193,BD!$F$3:$F$5001,"&lt;&gt;")=0,"",SUMIFS(BD!$F$3:$F$5001,BD!$A$3:$A$5001,AA$3,BD!$B$3:$B$5001,$A$193)))</f>
        <v/>
      </c>
      <c r="AB194" s="166" t="str">
        <f>IF(AB$3="","",IF(COUNTIFS(BD!$A$3:$A$5001,AB$3,BD!$B$3:$B$5001,$A$193,BD!$F$3:$F$5001,"&lt;&gt;")=0,"",SUMIFS(BD!$F$3:$F$5001,BD!$A$3:$A$5001,AB$3,BD!$B$3:$B$5001,$A$193)))</f>
        <v/>
      </c>
      <c r="AC194" s="166" t="str">
        <f>IF(AC$3="","",IF(COUNTIFS(BD!$A$3:$A$5001,AC$3,BD!$B$3:$B$5001,$A$193,BD!$F$3:$F$5001,"&lt;&gt;")=0,"",SUMIFS(BD!$F$3:$F$5001,BD!$A$3:$A$5001,AC$3,BD!$B$3:$B$5001,$A$193)))</f>
        <v/>
      </c>
      <c r="AD194" s="166" t="str">
        <f>IF(AD$3="","",IF(COUNTIFS(BD!$A$3:$A$5001,AD$3,BD!$B$3:$B$5001,$A$193,BD!$F$3:$F$5001,"&lt;&gt;")=0,"",SUMIFS(BD!$F$3:$F$5001,BD!$A$3:$A$5001,AD$3,BD!$B$3:$B$5001,$A$193)))</f>
        <v/>
      </c>
      <c r="AE194" s="166" t="str">
        <f>IF(AE$3="","",IF(COUNTIFS(BD!$A$3:$A$5001,AE$3,BD!$B$3:$B$5001,$A$193,BD!$F$3:$F$5001,"&lt;&gt;")=0,"",SUMIFS(BD!$F$3:$F$5001,BD!$A$3:$A$5001,AE$3,BD!$B$3:$B$5001,$A$193)))</f>
        <v/>
      </c>
      <c r="AF194" s="166" t="str">
        <f>IF(AF$3="","",IF(COUNTIFS(BD!$A$3:$A$5001,AF$3,BD!$B$3:$B$5001,$A$193,BD!$F$3:$F$5001,"&lt;&gt;")=0,"",SUMIFS(BD!$F$3:$F$5001,BD!$A$3:$A$5001,AF$3,BD!$B$3:$B$5001,$A$193)))</f>
        <v/>
      </c>
      <c r="AG194" s="166" t="str">
        <f>IF(AG$3="","",IF(COUNTIFS(BD!$A$3:$A$5001,AG$3,BD!$B$3:$B$5001,$A$193,BD!$F$3:$F$5001,"&lt;&gt;")=0,"",SUMIFS(BD!$F$3:$F$5001,BD!$A$3:$A$5001,AG$3,BD!$B$3:$B$5001,$A$193)))</f>
        <v/>
      </c>
      <c r="AH194" s="166" t="str">
        <f>IF(AH$3="","",IF(COUNTIFS(BD!$A$3:$A$5001,AH$3,BD!$B$3:$B$5001,$A$193,BD!$F$3:$F$5001,"&lt;&gt;")=0,"",SUMIFS(BD!$F$3:$F$5001,BD!$A$3:$A$5001,AH$3,BD!$B$3:$B$5001,$A$193)))</f>
        <v/>
      </c>
      <c r="AI194" s="166" t="str">
        <f>IF(AI$3="","",IF(COUNTIFS(BD!$A$3:$A$5001,AI$3,BD!$B$3:$B$5001,$A$193,BD!$F$3:$F$5001,"&lt;&gt;")=0,"",SUMIFS(BD!$F$3:$F$5001,BD!$A$3:$A$5001,AI$3,BD!$B$3:$B$5001,$A$193)))</f>
        <v/>
      </c>
      <c r="AJ194" s="167" t="str">
        <f>IF(AJ$3="","",IF(COUNTIFS(BD!$A$3:$A$5001,AJ$3,BD!$B$3:$B$5001,$A$193,BD!$F$3:$F$5001,"&lt;&gt;")=0,"",SUMIFS(BD!$F$3:$F$5001,BD!$A$3:$A$5001,AJ$3,BD!$B$3:$B$5001,$A$193)))</f>
        <v/>
      </c>
      <c r="AK194" s="163" t="str">
        <f>IF(COUNT(F194:AJ194)=0,"",SUM(F194:AJ194))</f>
        <v/>
      </c>
    </row>
    <row r="195" ht="15.75" customHeight="1">
      <c r="A195" s="244"/>
      <c r="B195" s="234" t="inlineStr">
        <is>
          <t xml:space="preserve">OUT</t>
        </is>
      </c>
      <c r="C195" s="168" t="inlineStr">
        <is>
          <t xml:space="preserve">Veículos Expedidos</t>
        </is>
      </c>
      <c r="D195" s="169" t="str">
        <f>IFERROR(1/(1/INDEX(BD!$AJ$32:$BD$32,MATCH($A$193,BD!$AJ$22:$BD$22,0))),"")</f>
        <v/>
      </c>
      <c r="E195" s="170"/>
      <c r="F195" s="171" t="str">
        <f>IF(F$3="","",IF(COUNTIFS(BD!$A$3:$A$5001,F$3,BD!$B$3:$B$5001,$A$193,BD!$L$3:$L$5001,"&lt;&gt;")=0,"",SUMIFS(BD!$L$3:$L$5001,BD!$A$3:$A$5001,F$3,BD!$B$3:$B$5001,$A$193)))</f>
        <v/>
      </c>
      <c r="G195" s="172" t="str">
        <f>IF(G$3="","",IF(COUNTIFS(BD!$A$3:$A$5001,G$3,BD!$B$3:$B$5001,$A$193,BD!$L$3:$L$5001,"&lt;&gt;")=0,"",SUMIFS(BD!$L$3:$L$5001,BD!$A$3:$A$5001,G$3,BD!$B$3:$B$5001,$A$193)))</f>
        <v/>
      </c>
      <c r="H195" s="172" t="str">
        <f>IF(H$3="","",IF(COUNTIFS(BD!$A$3:$A$5001,H$3,BD!$B$3:$B$5001,$A$193,BD!$L$3:$L$5001,"&lt;&gt;")=0,"",SUMIFS(BD!$L$3:$L$5001,BD!$A$3:$A$5001,H$3,BD!$B$3:$B$5001,$A$193)))</f>
        <v/>
      </c>
      <c r="I195" s="172" t="str">
        <f>IF(I$3="","",IF(COUNTIFS(BD!$A$3:$A$5001,I$3,BD!$B$3:$B$5001,$A$193,BD!$L$3:$L$5001,"&lt;&gt;")=0,"",SUMIFS(BD!$L$3:$L$5001,BD!$A$3:$A$5001,I$3,BD!$B$3:$B$5001,$A$193)))</f>
        <v/>
      </c>
      <c r="J195" s="172" t="str">
        <f>IF(J$3="","",IF(COUNTIFS(BD!$A$3:$A$5001,J$3,BD!$B$3:$B$5001,$A$193,BD!$L$3:$L$5001,"&lt;&gt;")=0,"",SUMIFS(BD!$L$3:$L$5001,BD!$A$3:$A$5001,J$3,BD!$B$3:$B$5001,$A$193)))</f>
        <v/>
      </c>
      <c r="K195" s="172" t="str">
        <f>IF(K$3="","",IF(COUNTIFS(BD!$A$3:$A$5001,K$3,BD!$B$3:$B$5001,$A$193,BD!$L$3:$L$5001,"&lt;&gt;")=0,"",SUMIFS(BD!$L$3:$L$5001,BD!$A$3:$A$5001,K$3,BD!$B$3:$B$5001,$A$193)))</f>
        <v/>
      </c>
      <c r="L195" s="172" t="str">
        <f>IF(L$3="","",IF(COUNTIFS(BD!$A$3:$A$5001,L$3,BD!$B$3:$B$5001,$A$193,BD!$L$3:$L$5001,"&lt;&gt;")=0,"",SUMIFS(BD!$L$3:$L$5001,BD!$A$3:$A$5001,L$3,BD!$B$3:$B$5001,$A$193)))</f>
        <v/>
      </c>
      <c r="M195" s="172" t="str">
        <f>IF(M$3="","",IF(COUNTIFS(BD!$A$3:$A$5001,M$3,BD!$B$3:$B$5001,$A$193,BD!$L$3:$L$5001,"&lt;&gt;")=0,"",SUMIFS(BD!$L$3:$L$5001,BD!$A$3:$A$5001,M$3,BD!$B$3:$B$5001,$A$193)))</f>
        <v/>
      </c>
      <c r="N195" s="172" t="str">
        <f>IF(N$3="","",IF(COUNTIFS(BD!$A$3:$A$5001,N$3,BD!$B$3:$B$5001,$A$193,BD!$L$3:$L$5001,"&lt;&gt;")=0,"",SUMIFS(BD!$L$3:$L$5001,BD!$A$3:$A$5001,N$3,BD!$B$3:$B$5001,$A$193)))</f>
        <v/>
      </c>
      <c r="O195" s="172" t="str">
        <f>IF(O$3="","",IF(COUNTIFS(BD!$A$3:$A$5001,O$3,BD!$B$3:$B$5001,$A$193,BD!$L$3:$L$5001,"&lt;&gt;")=0,"",SUMIFS(BD!$L$3:$L$5001,BD!$A$3:$A$5001,O$3,BD!$B$3:$B$5001,$A$193)))</f>
        <v/>
      </c>
      <c r="P195" s="172" t="str">
        <f>IF(P$3="","",IF(COUNTIFS(BD!$A$3:$A$5001,P$3,BD!$B$3:$B$5001,$A$193,BD!$L$3:$L$5001,"&lt;&gt;")=0,"",SUMIFS(BD!$L$3:$L$5001,BD!$A$3:$A$5001,P$3,BD!$B$3:$B$5001,$A$193)))</f>
        <v/>
      </c>
      <c r="Q195" s="172" t="str">
        <f>IF(Q$3="","",IF(COUNTIFS(BD!$A$3:$A$5001,Q$3,BD!$B$3:$B$5001,$A$193,BD!$L$3:$L$5001,"&lt;&gt;")=0,"",SUMIFS(BD!$L$3:$L$5001,BD!$A$3:$A$5001,Q$3,BD!$B$3:$B$5001,$A$193)))</f>
        <v/>
      </c>
      <c r="R195" s="172" t="str">
        <f>IF(R$3="","",IF(COUNTIFS(BD!$A$3:$A$5001,R$3,BD!$B$3:$B$5001,$A$193,BD!$L$3:$L$5001,"&lt;&gt;")=0,"",SUMIFS(BD!$L$3:$L$5001,BD!$A$3:$A$5001,R$3,BD!$B$3:$B$5001,$A$193)))</f>
        <v/>
      </c>
      <c r="S195" s="172" t="str">
        <f>IF(S$3="","",IF(COUNTIFS(BD!$A$3:$A$5001,S$3,BD!$B$3:$B$5001,$A$193,BD!$L$3:$L$5001,"&lt;&gt;")=0,"",SUMIFS(BD!$L$3:$L$5001,BD!$A$3:$A$5001,S$3,BD!$B$3:$B$5001,$A$193)))</f>
        <v/>
      </c>
      <c r="T195" s="172" t="str">
        <f>IF(T$3="","",IF(COUNTIFS(BD!$A$3:$A$5001,T$3,BD!$B$3:$B$5001,$A$193,BD!$L$3:$L$5001,"&lt;&gt;")=0,"",SUMIFS(BD!$L$3:$L$5001,BD!$A$3:$A$5001,T$3,BD!$B$3:$B$5001,$A$193)))</f>
        <v/>
      </c>
      <c r="U195" s="172" t="str">
        <f>IF(U$3="","",IF(COUNTIFS(BD!$A$3:$A$5001,U$3,BD!$B$3:$B$5001,$A$193,BD!$L$3:$L$5001,"&lt;&gt;")=0,"",SUMIFS(BD!$L$3:$L$5001,BD!$A$3:$A$5001,U$3,BD!$B$3:$B$5001,$A$193)))</f>
        <v/>
      </c>
      <c r="V195" s="172" t="str">
        <f>IF(V$3="","",IF(COUNTIFS(BD!$A$3:$A$5001,V$3,BD!$B$3:$B$5001,$A$193,BD!$L$3:$L$5001,"&lt;&gt;")=0,"",SUMIFS(BD!$L$3:$L$5001,BD!$A$3:$A$5001,V$3,BD!$B$3:$B$5001,$A$193)))</f>
        <v/>
      </c>
      <c r="W195" s="172" t="str">
        <f>IF(W$3="","",IF(COUNTIFS(BD!$A$3:$A$5001,W$3,BD!$B$3:$B$5001,$A$193,BD!$L$3:$L$5001,"&lt;&gt;")=0,"",SUMIFS(BD!$L$3:$L$5001,BD!$A$3:$A$5001,W$3,BD!$B$3:$B$5001,$A$193)))</f>
        <v/>
      </c>
      <c r="X195" s="172" t="str">
        <f>IF(X$3="","",IF(COUNTIFS(BD!$A$3:$A$5001,X$3,BD!$B$3:$B$5001,$A$193,BD!$L$3:$L$5001,"&lt;&gt;")=0,"",SUMIFS(BD!$L$3:$L$5001,BD!$A$3:$A$5001,X$3,BD!$B$3:$B$5001,$A$193)))</f>
        <v/>
      </c>
      <c r="Y195" s="172" t="str">
        <f>IF(Y$3="","",IF(COUNTIFS(BD!$A$3:$A$5001,Y$3,BD!$B$3:$B$5001,$A$193,BD!$L$3:$L$5001,"&lt;&gt;")=0,"",SUMIFS(BD!$L$3:$L$5001,BD!$A$3:$A$5001,Y$3,BD!$B$3:$B$5001,$A$193)))</f>
        <v/>
      </c>
      <c r="Z195" s="172" t="str">
        <f>IF(Z$3="","",IF(COUNTIFS(BD!$A$3:$A$5001,Z$3,BD!$B$3:$B$5001,$A$193,BD!$L$3:$L$5001,"&lt;&gt;")=0,"",SUMIFS(BD!$L$3:$L$5001,BD!$A$3:$A$5001,Z$3,BD!$B$3:$B$5001,$A$193)))</f>
        <v/>
      </c>
      <c r="AA195" s="172" t="str">
        <f>IF(AA$3="","",IF(COUNTIFS(BD!$A$3:$A$5001,AA$3,BD!$B$3:$B$5001,$A$193,BD!$L$3:$L$5001,"&lt;&gt;")=0,"",SUMIFS(BD!$L$3:$L$5001,BD!$A$3:$A$5001,AA$3,BD!$B$3:$B$5001,$A$193)))</f>
        <v/>
      </c>
      <c r="AB195" s="172" t="str">
        <f>IF(AB$3="","",IF(COUNTIFS(BD!$A$3:$A$5001,AB$3,BD!$B$3:$B$5001,$A$193,BD!$L$3:$L$5001,"&lt;&gt;")=0,"",SUMIFS(BD!$L$3:$L$5001,BD!$A$3:$A$5001,AB$3,BD!$B$3:$B$5001,$A$193)))</f>
        <v/>
      </c>
      <c r="AC195" s="172" t="str">
        <f>IF(AC$3="","",IF(COUNTIFS(BD!$A$3:$A$5001,AC$3,BD!$B$3:$B$5001,$A$193,BD!$L$3:$L$5001,"&lt;&gt;")=0,"",SUMIFS(BD!$L$3:$L$5001,BD!$A$3:$A$5001,AC$3,BD!$B$3:$B$5001,$A$193)))</f>
        <v/>
      </c>
      <c r="AD195" s="172" t="str">
        <f>IF(AD$3="","",IF(COUNTIFS(BD!$A$3:$A$5001,AD$3,BD!$B$3:$B$5001,$A$193,BD!$L$3:$L$5001,"&lt;&gt;")=0,"",SUMIFS(BD!$L$3:$L$5001,BD!$A$3:$A$5001,AD$3,BD!$B$3:$B$5001,$A$193)))</f>
        <v/>
      </c>
      <c r="AE195" s="172" t="str">
        <f>IF(AE$3="","",IF(COUNTIFS(BD!$A$3:$A$5001,AE$3,BD!$B$3:$B$5001,$A$193,BD!$L$3:$L$5001,"&lt;&gt;")=0,"",SUMIFS(BD!$L$3:$L$5001,BD!$A$3:$A$5001,AE$3,BD!$B$3:$B$5001,$A$193)))</f>
        <v/>
      </c>
      <c r="AF195" s="172" t="str">
        <f>IF(AF$3="","",IF(COUNTIFS(BD!$A$3:$A$5001,AF$3,BD!$B$3:$B$5001,$A$193,BD!$L$3:$L$5001,"&lt;&gt;")=0,"",SUMIFS(BD!$L$3:$L$5001,BD!$A$3:$A$5001,AF$3,BD!$B$3:$B$5001,$A$193)))</f>
        <v/>
      </c>
      <c r="AG195" s="172" t="str">
        <f>IF(AG$3="","",IF(COUNTIFS(BD!$A$3:$A$5001,AG$3,BD!$B$3:$B$5001,$A$193,BD!$L$3:$L$5001,"&lt;&gt;")=0,"",SUMIFS(BD!$L$3:$L$5001,BD!$A$3:$A$5001,AG$3,BD!$B$3:$B$5001,$A$193)))</f>
        <v/>
      </c>
      <c r="AH195" s="172" t="str">
        <f>IF(AH$3="","",IF(COUNTIFS(BD!$A$3:$A$5001,AH$3,BD!$B$3:$B$5001,$A$193,BD!$L$3:$L$5001,"&lt;&gt;")=0,"",SUMIFS(BD!$L$3:$L$5001,BD!$A$3:$A$5001,AH$3,BD!$B$3:$B$5001,$A$193)))</f>
        <v/>
      </c>
      <c r="AI195" s="172" t="str">
        <f>IF(AI$3="","",IF(COUNTIFS(BD!$A$3:$A$5001,AI$3,BD!$B$3:$B$5001,$A$193,BD!$L$3:$L$5001,"&lt;&gt;")=0,"",SUMIFS(BD!$L$3:$L$5001,BD!$A$3:$A$5001,AI$3,BD!$B$3:$B$5001,$A$193)))</f>
        <v/>
      </c>
      <c r="AJ195" s="173" t="str">
        <f>IF(AJ$3="","",IF(COUNTIFS(BD!$A$3:$A$5001,AJ$3,BD!$B$3:$B$5001,$A$193,BD!$L$3:$L$5001,"&lt;&gt;")=0,"",SUMIFS(BD!$L$3:$L$5001,BD!$A$3:$A$5001,AJ$3,BD!$B$3:$B$5001,$A$193)))</f>
        <v/>
      </c>
      <c r="AK195" s="174" t="str">
        <f>IF(COUNT(F195:AJ195)=0,"",SUM(F195:AJ195))</f>
        <v/>
      </c>
    </row>
    <row r="196" ht="15.75" customHeight="1">
      <c r="A196" s="244"/>
      <c r="B196" s="235"/>
      <c r="C196" s="175" t="inlineStr">
        <is>
          <t xml:space="preserve">Linhas NF</t>
        </is>
      </c>
      <c r="D196" s="176" t="str">
        <f>IFERROR(1/(1/INDEX(BD!$AJ$36:$BD$36,MATCH($A$193,BD!$AJ$22:$BD$22,0))),"")</f>
        <v/>
      </c>
      <c r="E196" s="177"/>
      <c r="F196" s="178" t="str">
        <f>IF(F$3="","",IF(COUNTIFS(BD!$A$3:$A$5001,F$3,BD!$B$3:$B$5001,$A$193,BD!$P$3:$P$5001,"&lt;&gt;")=0,"",SUMIFS(BD!$P$3:$P$5001,BD!$A$3:$A$5001,F$3,BD!$B$3:$B$5001,$A$193)))</f>
        <v/>
      </c>
      <c r="G196" s="179" t="str">
        <f>IF(G$3="","",IF(COUNTIFS(BD!$A$3:$A$5001,G$3,BD!$B$3:$B$5001,$A$193,BD!$P$3:$P$5001,"&lt;&gt;")=0,"",SUMIFS(BD!$P$3:$P$5001,BD!$A$3:$A$5001,G$3,BD!$B$3:$B$5001,$A$193)))</f>
        <v/>
      </c>
      <c r="H196" s="179" t="str">
        <f>IF(H$3="","",IF(COUNTIFS(BD!$A$3:$A$5001,H$3,BD!$B$3:$B$5001,$A$193,BD!$P$3:$P$5001,"&lt;&gt;")=0,"",SUMIFS(BD!$P$3:$P$5001,BD!$A$3:$A$5001,H$3,BD!$B$3:$B$5001,$A$193)))</f>
        <v/>
      </c>
      <c r="I196" s="179" t="str">
        <f>IF(I$3="","",IF(COUNTIFS(BD!$A$3:$A$5001,I$3,BD!$B$3:$B$5001,$A$193,BD!$P$3:$P$5001,"&lt;&gt;")=0,"",SUMIFS(BD!$P$3:$P$5001,BD!$A$3:$A$5001,I$3,BD!$B$3:$B$5001,$A$193)))</f>
        <v/>
      </c>
      <c r="J196" s="179" t="str">
        <f>IF(J$3="","",IF(COUNTIFS(BD!$A$3:$A$5001,J$3,BD!$B$3:$B$5001,$A$193,BD!$P$3:$P$5001,"&lt;&gt;")=0,"",SUMIFS(BD!$P$3:$P$5001,BD!$A$3:$A$5001,J$3,BD!$B$3:$B$5001,$A$193)))</f>
        <v/>
      </c>
      <c r="K196" s="179" t="str">
        <f>IF(K$3="","",IF(COUNTIFS(BD!$A$3:$A$5001,K$3,BD!$B$3:$B$5001,$A$193,BD!$P$3:$P$5001,"&lt;&gt;")=0,"",SUMIFS(BD!$P$3:$P$5001,BD!$A$3:$A$5001,K$3,BD!$B$3:$B$5001,$A$193)))</f>
        <v/>
      </c>
      <c r="L196" s="179" t="str">
        <f>IF(L$3="","",IF(COUNTIFS(BD!$A$3:$A$5001,L$3,BD!$B$3:$B$5001,$A$193,BD!$P$3:$P$5001,"&lt;&gt;")=0,"",SUMIFS(BD!$P$3:$P$5001,BD!$A$3:$A$5001,L$3,BD!$B$3:$B$5001,$A$193)))</f>
        <v/>
      </c>
      <c r="M196" s="179" t="str">
        <f>IF(M$3="","",IF(COUNTIFS(BD!$A$3:$A$5001,M$3,BD!$B$3:$B$5001,$A$193,BD!$P$3:$P$5001,"&lt;&gt;")=0,"",SUMIFS(BD!$P$3:$P$5001,BD!$A$3:$A$5001,M$3,BD!$B$3:$B$5001,$A$193)))</f>
        <v/>
      </c>
      <c r="N196" s="179" t="str">
        <f>IF(N$3="","",IF(COUNTIFS(BD!$A$3:$A$5001,N$3,BD!$B$3:$B$5001,$A$193,BD!$P$3:$P$5001,"&lt;&gt;")=0,"",SUMIFS(BD!$P$3:$P$5001,BD!$A$3:$A$5001,N$3,BD!$B$3:$B$5001,$A$193)))</f>
        <v/>
      </c>
      <c r="O196" s="179" t="str">
        <f>IF(O$3="","",IF(COUNTIFS(BD!$A$3:$A$5001,O$3,BD!$B$3:$B$5001,$A$193,BD!$P$3:$P$5001,"&lt;&gt;")=0,"",SUMIFS(BD!$P$3:$P$5001,BD!$A$3:$A$5001,O$3,BD!$B$3:$B$5001,$A$193)))</f>
        <v/>
      </c>
      <c r="P196" s="179" t="str">
        <f>IF(P$3="","",IF(COUNTIFS(BD!$A$3:$A$5001,P$3,BD!$B$3:$B$5001,$A$193,BD!$P$3:$P$5001,"&lt;&gt;")=0,"",SUMIFS(BD!$P$3:$P$5001,BD!$A$3:$A$5001,P$3,BD!$B$3:$B$5001,$A$193)))</f>
        <v/>
      </c>
      <c r="Q196" s="179" t="str">
        <f>IF(Q$3="","",IF(COUNTIFS(BD!$A$3:$A$5001,Q$3,BD!$B$3:$B$5001,$A$193,BD!$P$3:$P$5001,"&lt;&gt;")=0,"",SUMIFS(BD!$P$3:$P$5001,BD!$A$3:$A$5001,Q$3,BD!$B$3:$B$5001,$A$193)))</f>
        <v/>
      </c>
      <c r="R196" s="179" t="str">
        <f>IF(R$3="","",IF(COUNTIFS(BD!$A$3:$A$5001,R$3,BD!$B$3:$B$5001,$A$193,BD!$P$3:$P$5001,"&lt;&gt;")=0,"",SUMIFS(BD!$P$3:$P$5001,BD!$A$3:$A$5001,R$3,BD!$B$3:$B$5001,$A$193)))</f>
        <v/>
      </c>
      <c r="S196" s="179" t="str">
        <f>IF(S$3="","",IF(COUNTIFS(BD!$A$3:$A$5001,S$3,BD!$B$3:$B$5001,$A$193,BD!$P$3:$P$5001,"&lt;&gt;")=0,"",SUMIFS(BD!$P$3:$P$5001,BD!$A$3:$A$5001,S$3,BD!$B$3:$B$5001,$A$193)))</f>
        <v/>
      </c>
      <c r="T196" s="179" t="str">
        <f>IF(T$3="","",IF(COUNTIFS(BD!$A$3:$A$5001,T$3,BD!$B$3:$B$5001,$A$193,BD!$P$3:$P$5001,"&lt;&gt;")=0,"",SUMIFS(BD!$P$3:$P$5001,BD!$A$3:$A$5001,T$3,BD!$B$3:$B$5001,$A$193)))</f>
        <v/>
      </c>
      <c r="U196" s="179" t="str">
        <f>IF(U$3="","",IF(COUNTIFS(BD!$A$3:$A$5001,U$3,BD!$B$3:$B$5001,$A$193,BD!$P$3:$P$5001,"&lt;&gt;")=0,"",SUMIFS(BD!$P$3:$P$5001,BD!$A$3:$A$5001,U$3,BD!$B$3:$B$5001,$A$193)))</f>
        <v/>
      </c>
      <c r="V196" s="179" t="str">
        <f>IF(V$3="","",IF(COUNTIFS(BD!$A$3:$A$5001,V$3,BD!$B$3:$B$5001,$A$193,BD!$P$3:$P$5001,"&lt;&gt;")=0,"",SUMIFS(BD!$P$3:$P$5001,BD!$A$3:$A$5001,V$3,BD!$B$3:$B$5001,$A$193)))</f>
        <v/>
      </c>
      <c r="W196" s="179" t="str">
        <f>IF(W$3="","",IF(COUNTIFS(BD!$A$3:$A$5001,W$3,BD!$B$3:$B$5001,$A$193,BD!$P$3:$P$5001,"&lt;&gt;")=0,"",SUMIFS(BD!$P$3:$P$5001,BD!$A$3:$A$5001,W$3,BD!$B$3:$B$5001,$A$193)))</f>
        <v/>
      </c>
      <c r="X196" s="179" t="str">
        <f>IF(X$3="","",IF(COUNTIFS(BD!$A$3:$A$5001,X$3,BD!$B$3:$B$5001,$A$193,BD!$P$3:$P$5001,"&lt;&gt;")=0,"",SUMIFS(BD!$P$3:$P$5001,BD!$A$3:$A$5001,X$3,BD!$B$3:$B$5001,$A$193)))</f>
        <v/>
      </c>
      <c r="Y196" s="179" t="str">
        <f>IF(Y$3="","",IF(COUNTIFS(BD!$A$3:$A$5001,Y$3,BD!$B$3:$B$5001,$A$193,BD!$P$3:$P$5001,"&lt;&gt;")=0,"",SUMIFS(BD!$P$3:$P$5001,BD!$A$3:$A$5001,Y$3,BD!$B$3:$B$5001,$A$193)))</f>
        <v/>
      </c>
      <c r="Z196" s="179" t="str">
        <f>IF(Z$3="","",IF(COUNTIFS(BD!$A$3:$A$5001,Z$3,BD!$B$3:$B$5001,$A$193,BD!$P$3:$P$5001,"&lt;&gt;")=0,"",SUMIFS(BD!$P$3:$P$5001,BD!$A$3:$A$5001,Z$3,BD!$B$3:$B$5001,$A$193)))</f>
        <v/>
      </c>
      <c r="AA196" s="179" t="str">
        <f>IF(AA$3="","",IF(COUNTIFS(BD!$A$3:$A$5001,AA$3,BD!$B$3:$B$5001,$A$193,BD!$P$3:$P$5001,"&lt;&gt;")=0,"",SUMIFS(BD!$P$3:$P$5001,BD!$A$3:$A$5001,AA$3,BD!$B$3:$B$5001,$A$193)))</f>
        <v/>
      </c>
      <c r="AB196" s="179" t="str">
        <f>IF(AB$3="","",IF(COUNTIFS(BD!$A$3:$A$5001,AB$3,BD!$B$3:$B$5001,$A$193,BD!$P$3:$P$5001,"&lt;&gt;")=0,"",SUMIFS(BD!$P$3:$P$5001,BD!$A$3:$A$5001,AB$3,BD!$B$3:$B$5001,$A$193)))</f>
        <v/>
      </c>
      <c r="AC196" s="179" t="str">
        <f>IF(AC$3="","",IF(COUNTIFS(BD!$A$3:$A$5001,AC$3,BD!$B$3:$B$5001,$A$193,BD!$P$3:$P$5001,"&lt;&gt;")=0,"",SUMIFS(BD!$P$3:$P$5001,BD!$A$3:$A$5001,AC$3,BD!$B$3:$B$5001,$A$193)))</f>
        <v/>
      </c>
      <c r="AD196" s="179" t="str">
        <f>IF(AD$3="","",IF(COUNTIFS(BD!$A$3:$A$5001,AD$3,BD!$B$3:$B$5001,$A$193,BD!$P$3:$P$5001,"&lt;&gt;")=0,"",SUMIFS(BD!$P$3:$P$5001,BD!$A$3:$A$5001,AD$3,BD!$B$3:$B$5001,$A$193)))</f>
        <v/>
      </c>
      <c r="AE196" s="179" t="str">
        <f>IF(AE$3="","",IF(COUNTIFS(BD!$A$3:$A$5001,AE$3,BD!$B$3:$B$5001,$A$193,BD!$P$3:$P$5001,"&lt;&gt;")=0,"",SUMIFS(BD!$P$3:$P$5001,BD!$A$3:$A$5001,AE$3,BD!$B$3:$B$5001,$A$193)))</f>
        <v/>
      </c>
      <c r="AF196" s="179" t="str">
        <f>IF(AF$3="","",IF(COUNTIFS(BD!$A$3:$A$5001,AF$3,BD!$B$3:$B$5001,$A$193,BD!$P$3:$P$5001,"&lt;&gt;")=0,"",SUMIFS(BD!$P$3:$P$5001,BD!$A$3:$A$5001,AF$3,BD!$B$3:$B$5001,$A$193)))</f>
        <v/>
      </c>
      <c r="AG196" s="179" t="str">
        <f>IF(AG$3="","",IF(COUNTIFS(BD!$A$3:$A$5001,AG$3,BD!$B$3:$B$5001,$A$193,BD!$P$3:$P$5001,"&lt;&gt;")=0,"",SUMIFS(BD!$P$3:$P$5001,BD!$A$3:$A$5001,AG$3,BD!$B$3:$B$5001,$A$193)))</f>
        <v/>
      </c>
      <c r="AH196" s="179" t="str">
        <f>IF(AH$3="","",IF(COUNTIFS(BD!$A$3:$A$5001,AH$3,BD!$B$3:$B$5001,$A$193,BD!$P$3:$P$5001,"&lt;&gt;")=0,"",SUMIFS(BD!$P$3:$P$5001,BD!$A$3:$A$5001,AH$3,BD!$B$3:$B$5001,$A$193)))</f>
        <v/>
      </c>
      <c r="AI196" s="179" t="str">
        <f>IF(AI$3="","",IF(COUNTIFS(BD!$A$3:$A$5001,AI$3,BD!$B$3:$B$5001,$A$193,BD!$P$3:$P$5001,"&lt;&gt;")=0,"",SUMIFS(BD!$P$3:$P$5001,BD!$A$3:$A$5001,AI$3,BD!$B$3:$B$5001,$A$193)))</f>
        <v/>
      </c>
      <c r="AJ196" s="180" t="str">
        <f>IF(AJ$3="","",IF(COUNTIFS(BD!$A$3:$A$5001,AJ$3,BD!$B$3:$B$5001,$A$193,BD!$P$3:$P$5001,"&lt;&gt;")=0,"",SUMIFS(BD!$P$3:$P$5001,BD!$A$3:$A$5001,AJ$3,BD!$B$3:$B$5001,$A$193)))</f>
        <v/>
      </c>
      <c r="AK196" s="176" t="str">
        <f>IF(COUNT(F196:AJ196)=0,"",SUM(F196:AJ196))</f>
        <v/>
      </c>
    </row>
    <row r="197" ht="15.75" customHeight="1">
      <c r="A197" s="244"/>
      <c r="B197" s="236" t="inlineStr">
        <is>
          <t xml:space="preserve">NC</t>
        </is>
      </c>
      <c r="C197" s="181" t="inlineStr">
        <is>
          <t xml:space="preserve">Incidentes</t>
        </is>
      </c>
      <c r="D197" s="182" t="str">
        <f>IFERROR(1/(1/INDEX(BD!$AJ$40:$BD$40,MATCH($A$193,BD!$AJ$22:$BD$22,0))),"")</f>
        <v/>
      </c>
      <c r="E197" s="183"/>
      <c r="F197" s="184" t="str">
        <f>IF(F$3="","",IF(COUNTIFS(BD!$A$3:$A$5001,F$3,BD!$B$3:$B$5001,$A$193,BD!$T$3:$T$5001,"&lt;&gt;")=0,"",SUMIFS(BD!$T$3:$T$5001,BD!$A$3:$A$5001,F$3,BD!$B$3:$B$5001,$A$193)))</f>
        <v/>
      </c>
      <c r="G197" s="185" t="str">
        <f>IF(G$3="","",IF(COUNTIFS(BD!$A$3:$A$5001,G$3,BD!$B$3:$B$5001,$A$193,BD!$T$3:$T$5001,"&lt;&gt;")=0,"",SUMIFS(BD!$T$3:$T$5001,BD!$A$3:$A$5001,G$3,BD!$B$3:$B$5001,$A$193)))</f>
        <v/>
      </c>
      <c r="H197" s="185" t="str">
        <f>IF(H$3="","",IF(COUNTIFS(BD!$A$3:$A$5001,H$3,BD!$B$3:$B$5001,$A$193,BD!$T$3:$T$5001,"&lt;&gt;")=0,"",SUMIFS(BD!$T$3:$T$5001,BD!$A$3:$A$5001,H$3,BD!$B$3:$B$5001,$A$193)))</f>
        <v/>
      </c>
      <c r="I197" s="185" t="str">
        <f>IF(I$3="","",IF(COUNTIFS(BD!$A$3:$A$5001,I$3,BD!$B$3:$B$5001,$A$193,BD!$T$3:$T$5001,"&lt;&gt;")=0,"",SUMIFS(BD!$T$3:$T$5001,BD!$A$3:$A$5001,I$3,BD!$B$3:$B$5001,$A$193)))</f>
        <v/>
      </c>
      <c r="J197" s="185" t="str">
        <f>IF(J$3="","",IF(COUNTIFS(BD!$A$3:$A$5001,J$3,BD!$B$3:$B$5001,$A$193,BD!$T$3:$T$5001,"&lt;&gt;")=0,"",SUMIFS(BD!$T$3:$T$5001,BD!$A$3:$A$5001,J$3,BD!$B$3:$B$5001,$A$193)))</f>
        <v/>
      </c>
      <c r="K197" s="185" t="str">
        <f>IF(K$3="","",IF(COUNTIFS(BD!$A$3:$A$5001,K$3,BD!$B$3:$B$5001,$A$193,BD!$T$3:$T$5001,"&lt;&gt;")=0,"",SUMIFS(BD!$T$3:$T$5001,BD!$A$3:$A$5001,K$3,BD!$B$3:$B$5001,$A$193)))</f>
        <v/>
      </c>
      <c r="L197" s="185" t="str">
        <f>IF(L$3="","",IF(COUNTIFS(BD!$A$3:$A$5001,L$3,BD!$B$3:$B$5001,$A$193,BD!$T$3:$T$5001,"&lt;&gt;")=0,"",SUMIFS(BD!$T$3:$T$5001,BD!$A$3:$A$5001,L$3,BD!$B$3:$B$5001,$A$193)))</f>
        <v/>
      </c>
      <c r="M197" s="185" t="str">
        <f>IF(M$3="","",IF(COUNTIFS(BD!$A$3:$A$5001,M$3,BD!$B$3:$B$5001,$A$193,BD!$T$3:$T$5001,"&lt;&gt;")=0,"",SUMIFS(BD!$T$3:$T$5001,BD!$A$3:$A$5001,M$3,BD!$B$3:$B$5001,$A$193)))</f>
        <v/>
      </c>
      <c r="N197" s="185" t="str">
        <f>IF(N$3="","",IF(COUNTIFS(BD!$A$3:$A$5001,N$3,BD!$B$3:$B$5001,$A$193,BD!$T$3:$T$5001,"&lt;&gt;")=0,"",SUMIFS(BD!$T$3:$T$5001,BD!$A$3:$A$5001,N$3,BD!$B$3:$B$5001,$A$193)))</f>
        <v/>
      </c>
      <c r="O197" s="185" t="str">
        <f>IF(O$3="","",IF(COUNTIFS(BD!$A$3:$A$5001,O$3,BD!$B$3:$B$5001,$A$193,BD!$T$3:$T$5001,"&lt;&gt;")=0,"",SUMIFS(BD!$T$3:$T$5001,BD!$A$3:$A$5001,O$3,BD!$B$3:$B$5001,$A$193)))</f>
        <v/>
      </c>
      <c r="P197" s="185" t="str">
        <f>IF(P$3="","",IF(COUNTIFS(BD!$A$3:$A$5001,P$3,BD!$B$3:$B$5001,$A$193,BD!$T$3:$T$5001,"&lt;&gt;")=0,"",SUMIFS(BD!$T$3:$T$5001,BD!$A$3:$A$5001,P$3,BD!$B$3:$B$5001,$A$193)))</f>
        <v/>
      </c>
      <c r="Q197" s="185" t="str">
        <f>IF(Q$3="","",IF(COUNTIFS(BD!$A$3:$A$5001,Q$3,BD!$B$3:$B$5001,$A$193,BD!$T$3:$T$5001,"&lt;&gt;")=0,"",SUMIFS(BD!$T$3:$T$5001,BD!$A$3:$A$5001,Q$3,BD!$B$3:$B$5001,$A$193)))</f>
        <v/>
      </c>
      <c r="R197" s="185" t="str">
        <f>IF(R$3="","",IF(COUNTIFS(BD!$A$3:$A$5001,R$3,BD!$B$3:$B$5001,$A$193,BD!$T$3:$T$5001,"&lt;&gt;")=0,"",SUMIFS(BD!$T$3:$T$5001,BD!$A$3:$A$5001,R$3,BD!$B$3:$B$5001,$A$193)))</f>
        <v/>
      </c>
      <c r="S197" s="185" t="str">
        <f>IF(S$3="","",IF(COUNTIFS(BD!$A$3:$A$5001,S$3,BD!$B$3:$B$5001,$A$193,BD!$T$3:$T$5001,"&lt;&gt;")=0,"",SUMIFS(BD!$T$3:$T$5001,BD!$A$3:$A$5001,S$3,BD!$B$3:$B$5001,$A$193)))</f>
        <v/>
      </c>
      <c r="T197" s="185" t="str">
        <f>IF(T$3="","",IF(COUNTIFS(BD!$A$3:$A$5001,T$3,BD!$B$3:$B$5001,$A$193,BD!$T$3:$T$5001,"&lt;&gt;")=0,"",SUMIFS(BD!$T$3:$T$5001,BD!$A$3:$A$5001,T$3,BD!$B$3:$B$5001,$A$193)))</f>
        <v/>
      </c>
      <c r="U197" s="185" t="str">
        <f>IF(U$3="","",IF(COUNTIFS(BD!$A$3:$A$5001,U$3,BD!$B$3:$B$5001,$A$193,BD!$T$3:$T$5001,"&lt;&gt;")=0,"",SUMIFS(BD!$T$3:$T$5001,BD!$A$3:$A$5001,U$3,BD!$B$3:$B$5001,$A$193)))</f>
        <v/>
      </c>
      <c r="V197" s="185" t="str">
        <f>IF(V$3="","",IF(COUNTIFS(BD!$A$3:$A$5001,V$3,BD!$B$3:$B$5001,$A$193,BD!$T$3:$T$5001,"&lt;&gt;")=0,"",SUMIFS(BD!$T$3:$T$5001,BD!$A$3:$A$5001,V$3,BD!$B$3:$B$5001,$A$193)))</f>
        <v/>
      </c>
      <c r="W197" s="185" t="str">
        <f>IF(W$3="","",IF(COUNTIFS(BD!$A$3:$A$5001,W$3,BD!$B$3:$B$5001,$A$193,BD!$T$3:$T$5001,"&lt;&gt;")=0,"",SUMIFS(BD!$T$3:$T$5001,BD!$A$3:$A$5001,W$3,BD!$B$3:$B$5001,$A$193)))</f>
        <v/>
      </c>
      <c r="X197" s="185" t="str">
        <f>IF(X$3="","",IF(COUNTIFS(BD!$A$3:$A$5001,X$3,BD!$B$3:$B$5001,$A$193,BD!$T$3:$T$5001,"&lt;&gt;")=0,"",SUMIFS(BD!$T$3:$T$5001,BD!$A$3:$A$5001,X$3,BD!$B$3:$B$5001,$A$193)))</f>
        <v/>
      </c>
      <c r="Y197" s="185" t="str">
        <f>IF(Y$3="","",IF(COUNTIFS(BD!$A$3:$A$5001,Y$3,BD!$B$3:$B$5001,$A$193,BD!$T$3:$T$5001,"&lt;&gt;")=0,"",SUMIFS(BD!$T$3:$T$5001,BD!$A$3:$A$5001,Y$3,BD!$B$3:$B$5001,$A$193)))</f>
        <v/>
      </c>
      <c r="Z197" s="185" t="str">
        <f>IF(Z$3="","",IF(COUNTIFS(BD!$A$3:$A$5001,Z$3,BD!$B$3:$B$5001,$A$193,BD!$T$3:$T$5001,"&lt;&gt;")=0,"",SUMIFS(BD!$T$3:$T$5001,BD!$A$3:$A$5001,Z$3,BD!$B$3:$B$5001,$A$193)))</f>
        <v/>
      </c>
      <c r="AA197" s="185" t="str">
        <f>IF(AA$3="","",IF(COUNTIFS(BD!$A$3:$A$5001,AA$3,BD!$B$3:$B$5001,$A$193,BD!$T$3:$T$5001,"&lt;&gt;")=0,"",SUMIFS(BD!$T$3:$T$5001,BD!$A$3:$A$5001,AA$3,BD!$B$3:$B$5001,$A$193)))</f>
        <v/>
      </c>
      <c r="AB197" s="185" t="str">
        <f>IF(AB$3="","",IF(COUNTIFS(BD!$A$3:$A$5001,AB$3,BD!$B$3:$B$5001,$A$193,BD!$T$3:$T$5001,"&lt;&gt;")=0,"",SUMIFS(BD!$T$3:$T$5001,BD!$A$3:$A$5001,AB$3,BD!$B$3:$B$5001,$A$193)))</f>
        <v/>
      </c>
      <c r="AC197" s="185" t="str">
        <f>IF(AC$3="","",IF(COUNTIFS(BD!$A$3:$A$5001,AC$3,BD!$B$3:$B$5001,$A$193,BD!$T$3:$T$5001,"&lt;&gt;")=0,"",SUMIFS(BD!$T$3:$T$5001,BD!$A$3:$A$5001,AC$3,BD!$B$3:$B$5001,$A$193)))</f>
        <v/>
      </c>
      <c r="AD197" s="185" t="str">
        <f>IF(AD$3="","",IF(COUNTIFS(BD!$A$3:$A$5001,AD$3,BD!$B$3:$B$5001,$A$193,BD!$T$3:$T$5001,"&lt;&gt;")=0,"",SUMIFS(BD!$T$3:$T$5001,BD!$A$3:$A$5001,AD$3,BD!$B$3:$B$5001,$A$193)))</f>
        <v/>
      </c>
      <c r="AE197" s="185" t="str">
        <f>IF(AE$3="","",IF(COUNTIFS(BD!$A$3:$A$5001,AE$3,BD!$B$3:$B$5001,$A$193,BD!$T$3:$T$5001,"&lt;&gt;")=0,"",SUMIFS(BD!$T$3:$T$5001,BD!$A$3:$A$5001,AE$3,BD!$B$3:$B$5001,$A$193)))</f>
        <v/>
      </c>
      <c r="AF197" s="185" t="str">
        <f>IF(AF$3="","",IF(COUNTIFS(BD!$A$3:$A$5001,AF$3,BD!$B$3:$B$5001,$A$193,BD!$T$3:$T$5001,"&lt;&gt;")=0,"",SUMIFS(BD!$T$3:$T$5001,BD!$A$3:$A$5001,AF$3,BD!$B$3:$B$5001,$A$193)))</f>
        <v/>
      </c>
      <c r="AG197" s="185" t="str">
        <f>IF(AG$3="","",IF(COUNTIFS(BD!$A$3:$A$5001,AG$3,BD!$B$3:$B$5001,$A$193,BD!$T$3:$T$5001,"&lt;&gt;")=0,"",SUMIFS(BD!$T$3:$T$5001,BD!$A$3:$A$5001,AG$3,BD!$B$3:$B$5001,$A$193)))</f>
        <v/>
      </c>
      <c r="AH197" s="185" t="str">
        <f>IF(AH$3="","",IF(COUNTIFS(BD!$A$3:$A$5001,AH$3,BD!$B$3:$B$5001,$A$193,BD!$T$3:$T$5001,"&lt;&gt;")=0,"",SUMIFS(BD!$T$3:$T$5001,BD!$A$3:$A$5001,AH$3,BD!$B$3:$B$5001,$A$193)))</f>
        <v/>
      </c>
      <c r="AI197" s="185" t="str">
        <f>IF(AI$3="","",IF(COUNTIFS(BD!$A$3:$A$5001,AI$3,BD!$B$3:$B$5001,$A$193,BD!$T$3:$T$5001,"&lt;&gt;")=0,"",SUMIFS(BD!$T$3:$T$5001,BD!$A$3:$A$5001,AI$3,BD!$B$3:$B$5001,$A$193)))</f>
        <v/>
      </c>
      <c r="AJ197" s="186" t="str">
        <f>IF(AJ$3="","",IF(COUNTIFS(BD!$A$3:$A$5001,AJ$3,BD!$B$3:$B$5001,$A$193,BD!$T$3:$T$5001,"&lt;&gt;")=0,"",SUMIFS(BD!$T$3:$T$5001,BD!$A$3:$A$5001,AJ$3,BD!$B$3:$B$5001,$A$193)))</f>
        <v/>
      </c>
      <c r="AK197" s="187" t="str">
        <f>IF(COUNT(F197:AJ197)=0,"",SUM(F197:AJ197))</f>
        <v/>
      </c>
    </row>
    <row r="198" ht="15.75" customHeight="1">
      <c r="A198" s="244"/>
      <c r="B198" s="237"/>
      <c r="C198" s="188" t="inlineStr">
        <is>
          <t xml:space="preserve">No show</t>
        </is>
      </c>
      <c r="D198" s="189" t="str">
        <f>IFERROR(1/(1/INDEX(BD!$AJ$41:$BD$41,MATCH($A$193,BD!$AJ$22:$BD$22,0))),"")</f>
        <v/>
      </c>
      <c r="E198" s="190"/>
      <c r="F198" s="191" t="str">
        <f>IF(F$3="","",IF(COUNTIFS(BD!$A$3:$A$5001,F$3,BD!$B$3:$B$5001,$A$193,BD!$U$3:$U$5001,"&lt;&gt;")=0,"",SUMIFS(BD!$U$3:$U$5001,BD!$A$3:$A$5001,F$3,BD!$B$3:$B$5001,$A$193)))</f>
        <v/>
      </c>
      <c r="G198" s="192" t="str">
        <f>IF(G$3="","",IF(COUNTIFS(BD!$A$3:$A$5001,G$3,BD!$B$3:$B$5001,$A$193,BD!$U$3:$U$5001,"&lt;&gt;")=0,"",SUMIFS(BD!$U$3:$U$5001,BD!$A$3:$A$5001,G$3,BD!$B$3:$B$5001,$A$193)))</f>
        <v/>
      </c>
      <c r="H198" s="192" t="str">
        <f>IF(H$3="","",IF(COUNTIFS(BD!$A$3:$A$5001,H$3,BD!$B$3:$B$5001,$A$193,BD!$U$3:$U$5001,"&lt;&gt;")=0,"",SUMIFS(BD!$U$3:$U$5001,BD!$A$3:$A$5001,H$3,BD!$B$3:$B$5001,$A$193)))</f>
        <v/>
      </c>
      <c r="I198" s="192" t="str">
        <f>IF(I$3="","",IF(COUNTIFS(BD!$A$3:$A$5001,I$3,BD!$B$3:$B$5001,$A$193,BD!$U$3:$U$5001,"&lt;&gt;")=0,"",SUMIFS(BD!$U$3:$U$5001,BD!$A$3:$A$5001,I$3,BD!$B$3:$B$5001,$A$193)))</f>
        <v/>
      </c>
      <c r="J198" s="192" t="str">
        <f>IF(J$3="","",IF(COUNTIFS(BD!$A$3:$A$5001,J$3,BD!$B$3:$B$5001,$A$193,BD!$U$3:$U$5001,"&lt;&gt;")=0,"",SUMIFS(BD!$U$3:$U$5001,BD!$A$3:$A$5001,J$3,BD!$B$3:$B$5001,$A$193)))</f>
        <v/>
      </c>
      <c r="K198" s="192" t="str">
        <f>IF(K$3="","",IF(COUNTIFS(BD!$A$3:$A$5001,K$3,BD!$B$3:$B$5001,$A$193,BD!$U$3:$U$5001,"&lt;&gt;")=0,"",SUMIFS(BD!$U$3:$U$5001,BD!$A$3:$A$5001,K$3,BD!$B$3:$B$5001,$A$193)))</f>
        <v/>
      </c>
      <c r="L198" s="192" t="str">
        <f>IF(L$3="","",IF(COUNTIFS(BD!$A$3:$A$5001,L$3,BD!$B$3:$B$5001,$A$193,BD!$U$3:$U$5001,"&lt;&gt;")=0,"",SUMIFS(BD!$U$3:$U$5001,BD!$A$3:$A$5001,L$3,BD!$B$3:$B$5001,$A$193)))</f>
        <v/>
      </c>
      <c r="M198" s="192" t="str">
        <f>IF(M$3="","",IF(COUNTIFS(BD!$A$3:$A$5001,M$3,BD!$B$3:$B$5001,$A$193,BD!$U$3:$U$5001,"&lt;&gt;")=0,"",SUMIFS(BD!$U$3:$U$5001,BD!$A$3:$A$5001,M$3,BD!$B$3:$B$5001,$A$193)))</f>
        <v/>
      </c>
      <c r="N198" s="192" t="str">
        <f>IF(N$3="","",IF(COUNTIFS(BD!$A$3:$A$5001,N$3,BD!$B$3:$B$5001,$A$193,BD!$U$3:$U$5001,"&lt;&gt;")=0,"",SUMIFS(BD!$U$3:$U$5001,BD!$A$3:$A$5001,N$3,BD!$B$3:$B$5001,$A$193)))</f>
        <v/>
      </c>
      <c r="O198" s="192" t="str">
        <f>IF(O$3="","",IF(COUNTIFS(BD!$A$3:$A$5001,O$3,BD!$B$3:$B$5001,$A$193,BD!$U$3:$U$5001,"&lt;&gt;")=0,"",SUMIFS(BD!$U$3:$U$5001,BD!$A$3:$A$5001,O$3,BD!$B$3:$B$5001,$A$193)))</f>
        <v/>
      </c>
      <c r="P198" s="192" t="str">
        <f>IF(P$3="","",IF(COUNTIFS(BD!$A$3:$A$5001,P$3,BD!$B$3:$B$5001,$A$193,BD!$U$3:$U$5001,"&lt;&gt;")=0,"",SUMIFS(BD!$U$3:$U$5001,BD!$A$3:$A$5001,P$3,BD!$B$3:$B$5001,$A$193)))</f>
        <v/>
      </c>
      <c r="Q198" s="192" t="str">
        <f>IF(Q$3="","",IF(COUNTIFS(BD!$A$3:$A$5001,Q$3,BD!$B$3:$B$5001,$A$193,BD!$U$3:$U$5001,"&lt;&gt;")=0,"",SUMIFS(BD!$U$3:$U$5001,BD!$A$3:$A$5001,Q$3,BD!$B$3:$B$5001,$A$193)))</f>
        <v/>
      </c>
      <c r="R198" s="192" t="str">
        <f>IF(R$3="","",IF(COUNTIFS(BD!$A$3:$A$5001,R$3,BD!$B$3:$B$5001,$A$193,BD!$U$3:$U$5001,"&lt;&gt;")=0,"",SUMIFS(BD!$U$3:$U$5001,BD!$A$3:$A$5001,R$3,BD!$B$3:$B$5001,$A$193)))</f>
        <v/>
      </c>
      <c r="S198" s="192" t="str">
        <f>IF(S$3="","",IF(COUNTIFS(BD!$A$3:$A$5001,S$3,BD!$B$3:$B$5001,$A$193,BD!$U$3:$U$5001,"&lt;&gt;")=0,"",SUMIFS(BD!$U$3:$U$5001,BD!$A$3:$A$5001,S$3,BD!$B$3:$B$5001,$A$193)))</f>
        <v/>
      </c>
      <c r="T198" s="192" t="str">
        <f>IF(T$3="","",IF(COUNTIFS(BD!$A$3:$A$5001,T$3,BD!$B$3:$B$5001,$A$193,BD!$U$3:$U$5001,"&lt;&gt;")=0,"",SUMIFS(BD!$U$3:$U$5001,BD!$A$3:$A$5001,T$3,BD!$B$3:$B$5001,$A$193)))</f>
        <v/>
      </c>
      <c r="U198" s="192" t="str">
        <f>IF(U$3="","",IF(COUNTIFS(BD!$A$3:$A$5001,U$3,BD!$B$3:$B$5001,$A$193,BD!$U$3:$U$5001,"&lt;&gt;")=0,"",SUMIFS(BD!$U$3:$U$5001,BD!$A$3:$A$5001,U$3,BD!$B$3:$B$5001,$A$193)))</f>
        <v/>
      </c>
      <c r="V198" s="192" t="str">
        <f>IF(V$3="","",IF(COUNTIFS(BD!$A$3:$A$5001,V$3,BD!$B$3:$B$5001,$A$193,BD!$U$3:$U$5001,"&lt;&gt;")=0,"",SUMIFS(BD!$U$3:$U$5001,BD!$A$3:$A$5001,V$3,BD!$B$3:$B$5001,$A$193)))</f>
        <v/>
      </c>
      <c r="W198" s="192" t="str">
        <f>IF(W$3="","",IF(COUNTIFS(BD!$A$3:$A$5001,W$3,BD!$B$3:$B$5001,$A$193,BD!$U$3:$U$5001,"&lt;&gt;")=0,"",SUMIFS(BD!$U$3:$U$5001,BD!$A$3:$A$5001,W$3,BD!$B$3:$B$5001,$A$193)))</f>
        <v/>
      </c>
      <c r="X198" s="192" t="str">
        <f>IF(X$3="","",IF(COUNTIFS(BD!$A$3:$A$5001,X$3,BD!$B$3:$B$5001,$A$193,BD!$U$3:$U$5001,"&lt;&gt;")=0,"",SUMIFS(BD!$U$3:$U$5001,BD!$A$3:$A$5001,X$3,BD!$B$3:$B$5001,$A$193)))</f>
        <v/>
      </c>
      <c r="Y198" s="192" t="str">
        <f>IF(Y$3="","",IF(COUNTIFS(BD!$A$3:$A$5001,Y$3,BD!$B$3:$B$5001,$A$193,BD!$U$3:$U$5001,"&lt;&gt;")=0,"",SUMIFS(BD!$U$3:$U$5001,BD!$A$3:$A$5001,Y$3,BD!$B$3:$B$5001,$A$193)))</f>
        <v/>
      </c>
      <c r="Z198" s="192" t="str">
        <f>IF(Z$3="","",IF(COUNTIFS(BD!$A$3:$A$5001,Z$3,BD!$B$3:$B$5001,$A$193,BD!$U$3:$U$5001,"&lt;&gt;")=0,"",SUMIFS(BD!$U$3:$U$5001,BD!$A$3:$A$5001,Z$3,BD!$B$3:$B$5001,$A$193)))</f>
        <v/>
      </c>
      <c r="AA198" s="192" t="str">
        <f>IF(AA$3="","",IF(COUNTIFS(BD!$A$3:$A$5001,AA$3,BD!$B$3:$B$5001,$A$193,BD!$U$3:$U$5001,"&lt;&gt;")=0,"",SUMIFS(BD!$U$3:$U$5001,BD!$A$3:$A$5001,AA$3,BD!$B$3:$B$5001,$A$193)))</f>
        <v/>
      </c>
      <c r="AB198" s="192" t="str">
        <f>IF(AB$3="","",IF(COUNTIFS(BD!$A$3:$A$5001,AB$3,BD!$B$3:$B$5001,$A$193,BD!$U$3:$U$5001,"&lt;&gt;")=0,"",SUMIFS(BD!$U$3:$U$5001,BD!$A$3:$A$5001,AB$3,BD!$B$3:$B$5001,$A$193)))</f>
        <v/>
      </c>
      <c r="AC198" s="192" t="str">
        <f>IF(AC$3="","",IF(COUNTIFS(BD!$A$3:$A$5001,AC$3,BD!$B$3:$B$5001,$A$193,BD!$U$3:$U$5001,"&lt;&gt;")=0,"",SUMIFS(BD!$U$3:$U$5001,BD!$A$3:$A$5001,AC$3,BD!$B$3:$B$5001,$A$193)))</f>
        <v/>
      </c>
      <c r="AD198" s="192" t="str">
        <f>IF(AD$3="","",IF(COUNTIFS(BD!$A$3:$A$5001,AD$3,BD!$B$3:$B$5001,$A$193,BD!$U$3:$U$5001,"&lt;&gt;")=0,"",SUMIFS(BD!$U$3:$U$5001,BD!$A$3:$A$5001,AD$3,BD!$B$3:$B$5001,$A$193)))</f>
        <v/>
      </c>
      <c r="AE198" s="192" t="str">
        <f>IF(AE$3="","",IF(COUNTIFS(BD!$A$3:$A$5001,AE$3,BD!$B$3:$B$5001,$A$193,BD!$U$3:$U$5001,"&lt;&gt;")=0,"",SUMIFS(BD!$U$3:$U$5001,BD!$A$3:$A$5001,AE$3,BD!$B$3:$B$5001,$A$193)))</f>
        <v/>
      </c>
      <c r="AF198" s="192" t="str">
        <f>IF(AF$3="","",IF(COUNTIFS(BD!$A$3:$A$5001,AF$3,BD!$B$3:$B$5001,$A$193,BD!$U$3:$U$5001,"&lt;&gt;")=0,"",SUMIFS(BD!$U$3:$U$5001,BD!$A$3:$A$5001,AF$3,BD!$B$3:$B$5001,$A$193)))</f>
        <v/>
      </c>
      <c r="AG198" s="192" t="str">
        <f>IF(AG$3="","",IF(COUNTIFS(BD!$A$3:$A$5001,AG$3,BD!$B$3:$B$5001,$A$193,BD!$U$3:$U$5001,"&lt;&gt;")=0,"",SUMIFS(BD!$U$3:$U$5001,BD!$A$3:$A$5001,AG$3,BD!$B$3:$B$5001,$A$193)))</f>
        <v/>
      </c>
      <c r="AH198" s="192" t="str">
        <f>IF(AH$3="","",IF(COUNTIFS(BD!$A$3:$A$5001,AH$3,BD!$B$3:$B$5001,$A$193,BD!$U$3:$U$5001,"&lt;&gt;")=0,"",SUMIFS(BD!$U$3:$U$5001,BD!$A$3:$A$5001,AH$3,BD!$B$3:$B$5001,$A$193)))</f>
        <v/>
      </c>
      <c r="AI198" s="192" t="str">
        <f>IF(AI$3="","",IF(COUNTIFS(BD!$A$3:$A$5001,AI$3,BD!$B$3:$B$5001,$A$193,BD!$U$3:$U$5001,"&lt;&gt;")=0,"",SUMIFS(BD!$U$3:$U$5001,BD!$A$3:$A$5001,AI$3,BD!$B$3:$B$5001,$A$193)))</f>
        <v/>
      </c>
      <c r="AJ198" s="193" t="str">
        <f>IF(AJ$3="","",IF(COUNTIFS(BD!$A$3:$A$5001,AJ$3,BD!$B$3:$B$5001,$A$193,BD!$U$3:$U$5001,"&lt;&gt;")=0,"",SUMIFS(BD!$U$3:$U$5001,BD!$A$3:$A$5001,AJ$3,BD!$B$3:$B$5001,$A$193)))</f>
        <v/>
      </c>
      <c r="AK198" s="194" t="str">
        <f>IF(COUNT(F198:AJ198)=0,"",SUM(F198:AJ198))</f>
        <v/>
      </c>
    </row>
    <row r="199" ht="15.75" customHeight="1">
      <c r="A199" s="244"/>
      <c r="B199" s="238"/>
      <c r="C199" s="195" t="inlineStr">
        <is>
          <t xml:space="preserve">Backlog</t>
        </is>
      </c>
      <c r="D199" s="196" t="str">
        <f>IFERROR(1/(1/INDEX(BD!$AJ$42:$BD$42,MATCH($A$193,BD!$AJ$22:$BD$22,0))),"")</f>
        <v/>
      </c>
      <c r="E199" s="197"/>
      <c r="F199" s="198" t="str">
        <f>IF(F$3="","",IF(COUNTIFS(BD!$A$3:$A$5001,F$3,BD!$B$3:$B$5001,$A$193,BD!$V$3:$V$5001,"&lt;&gt;")=0,"",SUMIFS(BD!$V$3:$V$5001,BD!$A$3:$A$5001,F$3,BD!$B$3:$B$5001,$A$193)))</f>
        <v/>
      </c>
      <c r="G199" s="199" t="str">
        <f>IF(G$3="","",IF(COUNTIFS(BD!$A$3:$A$5001,G$3,BD!$B$3:$B$5001,$A$193,BD!$V$3:$V$5001,"&lt;&gt;")=0,"",SUMIFS(BD!$V$3:$V$5001,BD!$A$3:$A$5001,G$3,BD!$B$3:$B$5001,$A$193)))</f>
        <v/>
      </c>
      <c r="H199" s="199" t="str">
        <f>IF(H$3="","",IF(COUNTIFS(BD!$A$3:$A$5001,H$3,BD!$B$3:$B$5001,$A$193,BD!$V$3:$V$5001,"&lt;&gt;")=0,"",SUMIFS(BD!$V$3:$V$5001,BD!$A$3:$A$5001,H$3,BD!$B$3:$B$5001,$A$193)))</f>
        <v/>
      </c>
      <c r="I199" s="199" t="str">
        <f>IF(I$3="","",IF(COUNTIFS(BD!$A$3:$A$5001,I$3,BD!$B$3:$B$5001,$A$193,BD!$V$3:$V$5001,"&lt;&gt;")=0,"",SUMIFS(BD!$V$3:$V$5001,BD!$A$3:$A$5001,I$3,BD!$B$3:$B$5001,$A$193)))</f>
        <v/>
      </c>
      <c r="J199" s="199" t="str">
        <f>IF(J$3="","",IF(COUNTIFS(BD!$A$3:$A$5001,J$3,BD!$B$3:$B$5001,$A$193,BD!$V$3:$V$5001,"&lt;&gt;")=0,"",SUMIFS(BD!$V$3:$V$5001,BD!$A$3:$A$5001,J$3,BD!$B$3:$B$5001,$A$193)))</f>
        <v/>
      </c>
      <c r="K199" s="199" t="str">
        <f>IF(K$3="","",IF(COUNTIFS(BD!$A$3:$A$5001,K$3,BD!$B$3:$B$5001,$A$193,BD!$V$3:$V$5001,"&lt;&gt;")=0,"",SUMIFS(BD!$V$3:$V$5001,BD!$A$3:$A$5001,K$3,BD!$B$3:$B$5001,$A$193)))</f>
        <v/>
      </c>
      <c r="L199" s="199" t="str">
        <f>IF(L$3="","",IF(COUNTIFS(BD!$A$3:$A$5001,L$3,BD!$B$3:$B$5001,$A$193,BD!$V$3:$V$5001,"&lt;&gt;")=0,"",SUMIFS(BD!$V$3:$V$5001,BD!$A$3:$A$5001,L$3,BD!$B$3:$B$5001,$A$193)))</f>
        <v/>
      </c>
      <c r="M199" s="199" t="str">
        <f>IF(M$3="","",IF(COUNTIFS(BD!$A$3:$A$5001,M$3,BD!$B$3:$B$5001,$A$193,BD!$V$3:$V$5001,"&lt;&gt;")=0,"",SUMIFS(BD!$V$3:$V$5001,BD!$A$3:$A$5001,M$3,BD!$B$3:$B$5001,$A$193)))</f>
        <v/>
      </c>
      <c r="N199" s="199" t="str">
        <f>IF(N$3="","",IF(COUNTIFS(BD!$A$3:$A$5001,N$3,BD!$B$3:$B$5001,$A$193,BD!$V$3:$V$5001,"&lt;&gt;")=0,"",SUMIFS(BD!$V$3:$V$5001,BD!$A$3:$A$5001,N$3,BD!$B$3:$B$5001,$A$193)))</f>
        <v/>
      </c>
      <c r="O199" s="199" t="str">
        <f>IF(O$3="","",IF(COUNTIFS(BD!$A$3:$A$5001,O$3,BD!$B$3:$B$5001,$A$193,BD!$V$3:$V$5001,"&lt;&gt;")=0,"",SUMIFS(BD!$V$3:$V$5001,BD!$A$3:$A$5001,O$3,BD!$B$3:$B$5001,$A$193)))</f>
        <v/>
      </c>
      <c r="P199" s="199" t="str">
        <f>IF(P$3="","",IF(COUNTIFS(BD!$A$3:$A$5001,P$3,BD!$B$3:$B$5001,$A$193,BD!$V$3:$V$5001,"&lt;&gt;")=0,"",SUMIFS(BD!$V$3:$V$5001,BD!$A$3:$A$5001,P$3,BD!$B$3:$B$5001,$A$193)))</f>
        <v/>
      </c>
      <c r="Q199" s="199" t="str">
        <f>IF(Q$3="","",IF(COUNTIFS(BD!$A$3:$A$5001,Q$3,BD!$B$3:$B$5001,$A$193,BD!$V$3:$V$5001,"&lt;&gt;")=0,"",SUMIFS(BD!$V$3:$V$5001,BD!$A$3:$A$5001,Q$3,BD!$B$3:$B$5001,$A$193)))</f>
        <v/>
      </c>
      <c r="R199" s="199" t="str">
        <f>IF(R$3="","",IF(COUNTIFS(BD!$A$3:$A$5001,R$3,BD!$B$3:$B$5001,$A$193,BD!$V$3:$V$5001,"&lt;&gt;")=0,"",SUMIFS(BD!$V$3:$V$5001,BD!$A$3:$A$5001,R$3,BD!$B$3:$B$5001,$A$193)))</f>
        <v/>
      </c>
      <c r="S199" s="199" t="str">
        <f>IF(S$3="","",IF(COUNTIFS(BD!$A$3:$A$5001,S$3,BD!$B$3:$B$5001,$A$193,BD!$V$3:$V$5001,"&lt;&gt;")=0,"",SUMIFS(BD!$V$3:$V$5001,BD!$A$3:$A$5001,S$3,BD!$B$3:$B$5001,$A$193)))</f>
        <v/>
      </c>
      <c r="T199" s="199" t="str">
        <f>IF(T$3="","",IF(COUNTIFS(BD!$A$3:$A$5001,T$3,BD!$B$3:$B$5001,$A$193,BD!$V$3:$V$5001,"&lt;&gt;")=0,"",SUMIFS(BD!$V$3:$V$5001,BD!$A$3:$A$5001,T$3,BD!$B$3:$B$5001,$A$193)))</f>
        <v/>
      </c>
      <c r="U199" s="199" t="str">
        <f>IF(U$3="","",IF(COUNTIFS(BD!$A$3:$A$5001,U$3,BD!$B$3:$B$5001,$A$193,BD!$V$3:$V$5001,"&lt;&gt;")=0,"",SUMIFS(BD!$V$3:$V$5001,BD!$A$3:$A$5001,U$3,BD!$B$3:$B$5001,$A$193)))</f>
        <v/>
      </c>
      <c r="V199" s="199" t="str">
        <f>IF(V$3="","",IF(COUNTIFS(BD!$A$3:$A$5001,V$3,BD!$B$3:$B$5001,$A$193,BD!$V$3:$V$5001,"&lt;&gt;")=0,"",SUMIFS(BD!$V$3:$V$5001,BD!$A$3:$A$5001,V$3,BD!$B$3:$B$5001,$A$193)))</f>
        <v/>
      </c>
      <c r="W199" s="199" t="str">
        <f>IF(W$3="","",IF(COUNTIFS(BD!$A$3:$A$5001,W$3,BD!$B$3:$B$5001,$A$193,BD!$V$3:$V$5001,"&lt;&gt;")=0,"",SUMIFS(BD!$V$3:$V$5001,BD!$A$3:$A$5001,W$3,BD!$B$3:$B$5001,$A$193)))</f>
        <v/>
      </c>
      <c r="X199" s="199" t="str">
        <f>IF(X$3="","",IF(COUNTIFS(BD!$A$3:$A$5001,X$3,BD!$B$3:$B$5001,$A$193,BD!$V$3:$V$5001,"&lt;&gt;")=0,"",SUMIFS(BD!$V$3:$V$5001,BD!$A$3:$A$5001,X$3,BD!$B$3:$B$5001,$A$193)))</f>
        <v/>
      </c>
      <c r="Y199" s="199" t="str">
        <f>IF(Y$3="","",IF(COUNTIFS(BD!$A$3:$A$5001,Y$3,BD!$B$3:$B$5001,$A$193,BD!$V$3:$V$5001,"&lt;&gt;")=0,"",SUMIFS(BD!$V$3:$V$5001,BD!$A$3:$A$5001,Y$3,BD!$B$3:$B$5001,$A$193)))</f>
        <v/>
      </c>
      <c r="Z199" s="199" t="str">
        <f>IF(Z$3="","",IF(COUNTIFS(BD!$A$3:$A$5001,Z$3,BD!$B$3:$B$5001,$A$193,BD!$V$3:$V$5001,"&lt;&gt;")=0,"",SUMIFS(BD!$V$3:$V$5001,BD!$A$3:$A$5001,Z$3,BD!$B$3:$B$5001,$A$193)))</f>
        <v/>
      </c>
      <c r="AA199" s="199" t="str">
        <f>IF(AA$3="","",IF(COUNTIFS(BD!$A$3:$A$5001,AA$3,BD!$B$3:$B$5001,$A$193,BD!$V$3:$V$5001,"&lt;&gt;")=0,"",SUMIFS(BD!$V$3:$V$5001,BD!$A$3:$A$5001,AA$3,BD!$B$3:$B$5001,$A$193)))</f>
        <v/>
      </c>
      <c r="AB199" s="199" t="str">
        <f>IF(AB$3="","",IF(COUNTIFS(BD!$A$3:$A$5001,AB$3,BD!$B$3:$B$5001,$A$193,BD!$V$3:$V$5001,"&lt;&gt;")=0,"",SUMIFS(BD!$V$3:$V$5001,BD!$A$3:$A$5001,AB$3,BD!$B$3:$B$5001,$A$193)))</f>
        <v/>
      </c>
      <c r="AC199" s="199" t="str">
        <f>IF(AC$3="","",IF(COUNTIFS(BD!$A$3:$A$5001,AC$3,BD!$B$3:$B$5001,$A$193,BD!$V$3:$V$5001,"&lt;&gt;")=0,"",SUMIFS(BD!$V$3:$V$5001,BD!$A$3:$A$5001,AC$3,BD!$B$3:$B$5001,$A$193)))</f>
        <v/>
      </c>
      <c r="AD199" s="199" t="str">
        <f>IF(AD$3="","",IF(COUNTIFS(BD!$A$3:$A$5001,AD$3,BD!$B$3:$B$5001,$A$193,BD!$V$3:$V$5001,"&lt;&gt;")=0,"",SUMIFS(BD!$V$3:$V$5001,BD!$A$3:$A$5001,AD$3,BD!$B$3:$B$5001,$A$193)))</f>
        <v/>
      </c>
      <c r="AE199" s="199" t="str">
        <f>IF(AE$3="","",IF(COUNTIFS(BD!$A$3:$A$5001,AE$3,BD!$B$3:$B$5001,$A$193,BD!$V$3:$V$5001,"&lt;&gt;")=0,"",SUMIFS(BD!$V$3:$V$5001,BD!$A$3:$A$5001,AE$3,BD!$B$3:$B$5001,$A$193)))</f>
        <v/>
      </c>
      <c r="AF199" s="199" t="str">
        <f>IF(AF$3="","",IF(COUNTIFS(BD!$A$3:$A$5001,AF$3,BD!$B$3:$B$5001,$A$193,BD!$V$3:$V$5001,"&lt;&gt;")=0,"",SUMIFS(BD!$V$3:$V$5001,BD!$A$3:$A$5001,AF$3,BD!$B$3:$B$5001,$A$193)))</f>
        <v/>
      </c>
      <c r="AG199" s="199" t="str">
        <f>IF(AG$3="","",IF(COUNTIFS(BD!$A$3:$A$5001,AG$3,BD!$B$3:$B$5001,$A$193,BD!$V$3:$V$5001,"&lt;&gt;")=0,"",SUMIFS(BD!$V$3:$V$5001,BD!$A$3:$A$5001,AG$3,BD!$B$3:$B$5001,$A$193)))</f>
        <v/>
      </c>
      <c r="AH199" s="199" t="str">
        <f>IF(AH$3="","",IF(COUNTIFS(BD!$A$3:$A$5001,AH$3,BD!$B$3:$B$5001,$A$193,BD!$V$3:$V$5001,"&lt;&gt;")=0,"",SUMIFS(BD!$V$3:$V$5001,BD!$A$3:$A$5001,AH$3,BD!$B$3:$B$5001,$A$193)))</f>
        <v/>
      </c>
      <c r="AI199" s="199" t="str">
        <f>IF(AI$3="","",IF(COUNTIFS(BD!$A$3:$A$5001,AI$3,BD!$B$3:$B$5001,$A$193,BD!$V$3:$V$5001,"&lt;&gt;")=0,"",SUMIFS(BD!$V$3:$V$5001,BD!$A$3:$A$5001,AI$3,BD!$B$3:$B$5001,$A$193)))</f>
        <v/>
      </c>
      <c r="AJ199" s="200" t="str">
        <f>IF(AJ$3="","",IF(COUNTIFS(BD!$A$3:$A$5001,AJ$3,BD!$B$3:$B$5001,$A$193,BD!$V$3:$V$5001,"&lt;&gt;")=0,"",SUMIFS(BD!$V$3:$V$5001,BD!$A$3:$A$5001,AJ$3,BD!$B$3:$B$5001,$A$193)))</f>
        <v/>
      </c>
      <c r="AK199" s="196" t="str">
        <f>IFERROR(LOOKUP(9.99E+307,F199:AJ199),"")</f>
        <v/>
      </c>
    </row>
    <row r="200" ht="15.75" customHeight="1">
      <c r="A200" s="244"/>
      <c r="B200" s="232" t="inlineStr">
        <is>
          <t xml:space="preserve">OCUPAÇÃO (P.P)</t>
        </is>
      </c>
      <c r="C200" s="155" t="inlineStr">
        <is>
          <t xml:space="preserve">Posições Disponíveis</t>
        </is>
      </c>
      <c r="D200" s="156" t="str">
        <f>IFERROR(1/(1/INDEX(BD!$AJ$43:$BD$43,MATCH($A$193,BD!$AJ$22:$BD$22,0))),"")</f>
        <v/>
      </c>
      <c r="E200" s="157"/>
      <c r="F200" s="158" t="str">
        <f>IF(F$3="","",IF(COUNTIFS(BD!$A$3:$A$5001,F$3,BD!$B$3:$B$5001,$A$193,BD!$W$3:$W$5001,"&lt;&gt;")=0,"",SUMIFS(BD!$W$3:$W$5001,BD!$A$3:$A$5001,F$3,BD!$B$3:$B$5001,$A$193)))</f>
        <v/>
      </c>
      <c r="G200" s="159" t="str">
        <f>IF(G$3="","",IF(COUNTIFS(BD!$A$3:$A$5001,G$3,BD!$B$3:$B$5001,$A$193,BD!$W$3:$W$5001,"&lt;&gt;")=0,"",SUMIFS(BD!$W$3:$W$5001,BD!$A$3:$A$5001,G$3,BD!$B$3:$B$5001,$A$193)))</f>
        <v/>
      </c>
      <c r="H200" s="159" t="str">
        <f>IF(H$3="","",IF(COUNTIFS(BD!$A$3:$A$5001,H$3,BD!$B$3:$B$5001,$A$193,BD!$W$3:$W$5001,"&lt;&gt;")=0,"",SUMIFS(BD!$W$3:$W$5001,BD!$A$3:$A$5001,H$3,BD!$B$3:$B$5001,$A$193)))</f>
        <v/>
      </c>
      <c r="I200" s="159" t="str">
        <f>IF(I$3="","",IF(COUNTIFS(BD!$A$3:$A$5001,I$3,BD!$B$3:$B$5001,$A$193,BD!$W$3:$W$5001,"&lt;&gt;")=0,"",SUMIFS(BD!$W$3:$W$5001,BD!$A$3:$A$5001,I$3,BD!$B$3:$B$5001,$A$193)))</f>
        <v/>
      </c>
      <c r="J200" s="159" t="str">
        <f>IF(J$3="","",IF(COUNTIFS(BD!$A$3:$A$5001,J$3,BD!$B$3:$B$5001,$A$193,BD!$W$3:$W$5001,"&lt;&gt;")=0,"",SUMIFS(BD!$W$3:$W$5001,BD!$A$3:$A$5001,J$3,BD!$B$3:$B$5001,$A$193)))</f>
        <v/>
      </c>
      <c r="K200" s="159" t="str">
        <f>IF(K$3="","",IF(COUNTIFS(BD!$A$3:$A$5001,K$3,BD!$B$3:$B$5001,$A$193,BD!$W$3:$W$5001,"&lt;&gt;")=0,"",SUMIFS(BD!$W$3:$W$5001,BD!$A$3:$A$5001,K$3,BD!$B$3:$B$5001,$A$193)))</f>
        <v/>
      </c>
      <c r="L200" s="159" t="str">
        <f>IF(L$3="","",IF(COUNTIFS(BD!$A$3:$A$5001,L$3,BD!$B$3:$B$5001,$A$193,BD!$W$3:$W$5001,"&lt;&gt;")=0,"",SUMIFS(BD!$W$3:$W$5001,BD!$A$3:$A$5001,L$3,BD!$B$3:$B$5001,$A$193)))</f>
        <v/>
      </c>
      <c r="M200" s="159" t="str">
        <f>IF(M$3="","",IF(COUNTIFS(BD!$A$3:$A$5001,M$3,BD!$B$3:$B$5001,$A$193,BD!$W$3:$W$5001,"&lt;&gt;")=0,"",SUMIFS(BD!$W$3:$W$5001,BD!$A$3:$A$5001,M$3,BD!$B$3:$B$5001,$A$193)))</f>
        <v/>
      </c>
      <c r="N200" s="159" t="str">
        <f>IF(N$3="","",IF(COUNTIFS(BD!$A$3:$A$5001,N$3,BD!$B$3:$B$5001,$A$193,BD!$W$3:$W$5001,"&lt;&gt;")=0,"",SUMIFS(BD!$W$3:$W$5001,BD!$A$3:$A$5001,N$3,BD!$B$3:$B$5001,$A$193)))</f>
        <v/>
      </c>
      <c r="O200" s="159" t="str">
        <f>IF(O$3="","",IF(COUNTIFS(BD!$A$3:$A$5001,O$3,BD!$B$3:$B$5001,$A$193,BD!$W$3:$W$5001,"&lt;&gt;")=0,"",SUMIFS(BD!$W$3:$W$5001,BD!$A$3:$A$5001,O$3,BD!$B$3:$B$5001,$A$193)))</f>
        <v/>
      </c>
      <c r="P200" s="159" t="str">
        <f>IF(P$3="","",IF(COUNTIFS(BD!$A$3:$A$5001,P$3,BD!$B$3:$B$5001,$A$193,BD!$W$3:$W$5001,"&lt;&gt;")=0,"",SUMIFS(BD!$W$3:$W$5001,BD!$A$3:$A$5001,P$3,BD!$B$3:$B$5001,$A$193)))</f>
        <v/>
      </c>
      <c r="Q200" s="159" t="str">
        <f>IF(Q$3="","",IF(COUNTIFS(BD!$A$3:$A$5001,Q$3,BD!$B$3:$B$5001,$A$193,BD!$W$3:$W$5001,"&lt;&gt;")=0,"",SUMIFS(BD!$W$3:$W$5001,BD!$A$3:$A$5001,Q$3,BD!$B$3:$B$5001,$A$193)))</f>
        <v/>
      </c>
      <c r="R200" s="159" t="str">
        <f>IF(R$3="","",IF(COUNTIFS(BD!$A$3:$A$5001,R$3,BD!$B$3:$B$5001,$A$193,BD!$W$3:$W$5001,"&lt;&gt;")=0,"",SUMIFS(BD!$W$3:$W$5001,BD!$A$3:$A$5001,R$3,BD!$B$3:$B$5001,$A$193)))</f>
        <v/>
      </c>
      <c r="S200" s="159" t="str">
        <f>IF(S$3="","",IF(COUNTIFS(BD!$A$3:$A$5001,S$3,BD!$B$3:$B$5001,$A$193,BD!$W$3:$W$5001,"&lt;&gt;")=0,"",SUMIFS(BD!$W$3:$W$5001,BD!$A$3:$A$5001,S$3,BD!$B$3:$B$5001,$A$193)))</f>
        <v/>
      </c>
      <c r="T200" s="159" t="str">
        <f>IF(T$3="","",IF(COUNTIFS(BD!$A$3:$A$5001,T$3,BD!$B$3:$B$5001,$A$193,BD!$W$3:$W$5001,"&lt;&gt;")=0,"",SUMIFS(BD!$W$3:$W$5001,BD!$A$3:$A$5001,T$3,BD!$B$3:$B$5001,$A$193)))</f>
        <v/>
      </c>
      <c r="U200" s="159" t="str">
        <f>IF(U$3="","",IF(COUNTIFS(BD!$A$3:$A$5001,U$3,BD!$B$3:$B$5001,$A$193,BD!$W$3:$W$5001,"&lt;&gt;")=0,"",SUMIFS(BD!$W$3:$W$5001,BD!$A$3:$A$5001,U$3,BD!$B$3:$B$5001,$A$193)))</f>
        <v/>
      </c>
      <c r="V200" s="159" t="str">
        <f>IF(V$3="","",IF(COUNTIFS(BD!$A$3:$A$5001,V$3,BD!$B$3:$B$5001,$A$193,BD!$W$3:$W$5001,"&lt;&gt;")=0,"",SUMIFS(BD!$W$3:$W$5001,BD!$A$3:$A$5001,V$3,BD!$B$3:$B$5001,$A$193)))</f>
        <v/>
      </c>
      <c r="W200" s="159" t="str">
        <f>IF(W$3="","",IF(COUNTIFS(BD!$A$3:$A$5001,W$3,BD!$B$3:$B$5001,$A$193,BD!$W$3:$W$5001,"&lt;&gt;")=0,"",SUMIFS(BD!$W$3:$W$5001,BD!$A$3:$A$5001,W$3,BD!$B$3:$B$5001,$A$193)))</f>
        <v/>
      </c>
      <c r="X200" s="159" t="str">
        <f>IF(X$3="","",IF(COUNTIFS(BD!$A$3:$A$5001,X$3,BD!$B$3:$B$5001,$A$193,BD!$W$3:$W$5001,"&lt;&gt;")=0,"",SUMIFS(BD!$W$3:$W$5001,BD!$A$3:$A$5001,X$3,BD!$B$3:$B$5001,$A$193)))</f>
        <v/>
      </c>
      <c r="Y200" s="159" t="str">
        <f>IF(Y$3="","",IF(COUNTIFS(BD!$A$3:$A$5001,Y$3,BD!$B$3:$B$5001,$A$193,BD!$W$3:$W$5001,"&lt;&gt;")=0,"",SUMIFS(BD!$W$3:$W$5001,BD!$A$3:$A$5001,Y$3,BD!$B$3:$B$5001,$A$193)))</f>
        <v/>
      </c>
      <c r="Z200" s="159" t="str">
        <f>IF(Z$3="","",IF(COUNTIFS(BD!$A$3:$A$5001,Z$3,BD!$B$3:$B$5001,$A$193,BD!$W$3:$W$5001,"&lt;&gt;")=0,"",SUMIFS(BD!$W$3:$W$5001,BD!$A$3:$A$5001,Z$3,BD!$B$3:$B$5001,$A$193)))</f>
        <v/>
      </c>
      <c r="AA200" s="159" t="str">
        <f>IF(AA$3="","",IF(COUNTIFS(BD!$A$3:$A$5001,AA$3,BD!$B$3:$B$5001,$A$193,BD!$W$3:$W$5001,"&lt;&gt;")=0,"",SUMIFS(BD!$W$3:$W$5001,BD!$A$3:$A$5001,AA$3,BD!$B$3:$B$5001,$A$193)))</f>
        <v/>
      </c>
      <c r="AB200" s="159" t="str">
        <f>IF(AB$3="","",IF(COUNTIFS(BD!$A$3:$A$5001,AB$3,BD!$B$3:$B$5001,$A$193,BD!$W$3:$W$5001,"&lt;&gt;")=0,"",SUMIFS(BD!$W$3:$W$5001,BD!$A$3:$A$5001,AB$3,BD!$B$3:$B$5001,$A$193)))</f>
        <v/>
      </c>
      <c r="AC200" s="159" t="str">
        <f>IF(AC$3="","",IF(COUNTIFS(BD!$A$3:$A$5001,AC$3,BD!$B$3:$B$5001,$A$193,BD!$W$3:$W$5001,"&lt;&gt;")=0,"",SUMIFS(BD!$W$3:$W$5001,BD!$A$3:$A$5001,AC$3,BD!$B$3:$B$5001,$A$193)))</f>
        <v/>
      </c>
      <c r="AD200" s="159" t="str">
        <f>IF(AD$3="","",IF(COUNTIFS(BD!$A$3:$A$5001,AD$3,BD!$B$3:$B$5001,$A$193,BD!$W$3:$W$5001,"&lt;&gt;")=0,"",SUMIFS(BD!$W$3:$W$5001,BD!$A$3:$A$5001,AD$3,BD!$B$3:$B$5001,$A$193)))</f>
        <v/>
      </c>
      <c r="AE200" s="159" t="str">
        <f>IF(AE$3="","",IF(COUNTIFS(BD!$A$3:$A$5001,AE$3,BD!$B$3:$B$5001,$A$193,BD!$W$3:$W$5001,"&lt;&gt;")=0,"",SUMIFS(BD!$W$3:$W$5001,BD!$A$3:$A$5001,AE$3,BD!$B$3:$B$5001,$A$193)))</f>
        <v/>
      </c>
      <c r="AF200" s="159" t="str">
        <f>IF(AF$3="","",IF(COUNTIFS(BD!$A$3:$A$5001,AF$3,BD!$B$3:$B$5001,$A$193,BD!$W$3:$W$5001,"&lt;&gt;")=0,"",SUMIFS(BD!$W$3:$W$5001,BD!$A$3:$A$5001,AF$3,BD!$B$3:$B$5001,$A$193)))</f>
        <v/>
      </c>
      <c r="AG200" s="159" t="str">
        <f>IF(AG$3="","",IF(COUNTIFS(BD!$A$3:$A$5001,AG$3,BD!$B$3:$B$5001,$A$193,BD!$W$3:$W$5001,"&lt;&gt;")=0,"",SUMIFS(BD!$W$3:$W$5001,BD!$A$3:$A$5001,AG$3,BD!$B$3:$B$5001,$A$193)))</f>
        <v/>
      </c>
      <c r="AH200" s="159" t="str">
        <f>IF(AH$3="","",IF(COUNTIFS(BD!$A$3:$A$5001,AH$3,BD!$B$3:$B$5001,$A$193,BD!$W$3:$W$5001,"&lt;&gt;")=0,"",SUMIFS(BD!$W$3:$W$5001,BD!$A$3:$A$5001,AH$3,BD!$B$3:$B$5001,$A$193)))</f>
        <v/>
      </c>
      <c r="AI200" s="159" t="str">
        <f>IF(AI$3="","",IF(COUNTIFS(BD!$A$3:$A$5001,AI$3,BD!$B$3:$B$5001,$A$193,BD!$W$3:$W$5001,"&lt;&gt;")=0,"",SUMIFS(BD!$W$3:$W$5001,BD!$A$3:$A$5001,AI$3,BD!$B$3:$B$5001,$A$193)))</f>
        <v/>
      </c>
      <c r="AJ200" s="160" t="str">
        <f>IF(AJ$3="","",IF(COUNTIFS(BD!$A$3:$A$5001,AJ$3,BD!$B$3:$B$5001,$A$193,BD!$W$3:$W$5001,"&lt;&gt;")=0,"",SUMIFS(BD!$W$3:$W$5001,BD!$A$3:$A$5001,AJ$3,BD!$B$3:$B$5001,$A$193)))</f>
        <v/>
      </c>
      <c r="AK200" s="161" t="str">
        <f>IF(COUNT(F200:AJ200)&gt;0,LOOKUP(9.99E+307,F200:AJ200),IFERROR(IF(INDEX(BD!$AG$3:$AG$5001,MATCH($A$193,BD!$B$3:$B$5001,0))&amp;""="Contrato","",INDEX(BD!$AG$3:$AG$5001,MATCH($A$193,BD!$B$3:$B$5001,0))&amp;""),""))</f>
        <v/>
      </c>
    </row>
    <row r="201" ht="15.75" customHeight="1">
      <c r="A201" s="244"/>
      <c r="B201" s="239"/>
      <c r="C201" s="201" t="inlineStr">
        <is>
          <t xml:space="preserve">Posições Ocupadas</t>
        </is>
      </c>
      <c r="D201" s="202" t="str">
        <f>IFERROR(1/(1/INDEX(BD!$AJ$44:$BD$44,MATCH($A$193,BD!$AJ$22:$BD$22,0))),"")</f>
        <v/>
      </c>
      <c r="E201" s="203"/>
      <c r="F201" s="204" t="str">
        <f>IF(F$3="","",IF(COUNTIFS(BD!$A$3:$A$5001,F$3,BD!$B$3:$B$5001,$A$193,BD!$X$3:$X$5001,"&lt;&gt;")=0,"",SUMIFS(BD!$X$3:$X$5001,BD!$A$3:$A$5001,F$3,BD!$B$3:$B$5001,$A$193)))</f>
        <v/>
      </c>
      <c r="G201" s="205" t="str">
        <f>IF(G$3="","",IF(COUNTIFS(BD!$A$3:$A$5001,G$3,BD!$B$3:$B$5001,$A$193,BD!$X$3:$X$5001,"&lt;&gt;")=0,"",SUMIFS(BD!$X$3:$X$5001,BD!$A$3:$A$5001,G$3,BD!$B$3:$B$5001,$A$193)))</f>
        <v/>
      </c>
      <c r="H201" s="205" t="str">
        <f>IF(H$3="","",IF(COUNTIFS(BD!$A$3:$A$5001,H$3,BD!$B$3:$B$5001,$A$193,BD!$X$3:$X$5001,"&lt;&gt;")=0,"",SUMIFS(BD!$X$3:$X$5001,BD!$A$3:$A$5001,H$3,BD!$B$3:$B$5001,$A$193)))</f>
        <v/>
      </c>
      <c r="I201" s="205" t="str">
        <f>IF(I$3="","",IF(COUNTIFS(BD!$A$3:$A$5001,I$3,BD!$B$3:$B$5001,$A$193,BD!$X$3:$X$5001,"&lt;&gt;")=0,"",SUMIFS(BD!$X$3:$X$5001,BD!$A$3:$A$5001,I$3,BD!$B$3:$B$5001,$A$193)))</f>
        <v/>
      </c>
      <c r="J201" s="205" t="str">
        <f>IF(J$3="","",IF(COUNTIFS(BD!$A$3:$A$5001,J$3,BD!$B$3:$B$5001,$A$193,BD!$X$3:$X$5001,"&lt;&gt;")=0,"",SUMIFS(BD!$X$3:$X$5001,BD!$A$3:$A$5001,J$3,BD!$B$3:$B$5001,$A$193)))</f>
        <v/>
      </c>
      <c r="K201" s="205" t="str">
        <f>IF(K$3="","",IF(COUNTIFS(BD!$A$3:$A$5001,K$3,BD!$B$3:$B$5001,$A$193,BD!$X$3:$X$5001,"&lt;&gt;")=0,"",SUMIFS(BD!$X$3:$X$5001,BD!$A$3:$A$5001,K$3,BD!$B$3:$B$5001,$A$193)))</f>
        <v/>
      </c>
      <c r="L201" s="205" t="str">
        <f>IF(L$3="","",IF(COUNTIFS(BD!$A$3:$A$5001,L$3,BD!$B$3:$B$5001,$A$193,BD!$X$3:$X$5001,"&lt;&gt;")=0,"",SUMIFS(BD!$X$3:$X$5001,BD!$A$3:$A$5001,L$3,BD!$B$3:$B$5001,$A$193)))</f>
        <v/>
      </c>
      <c r="M201" s="205" t="str">
        <f>IF(M$3="","",IF(COUNTIFS(BD!$A$3:$A$5001,M$3,BD!$B$3:$B$5001,$A$193,BD!$X$3:$X$5001,"&lt;&gt;")=0,"",SUMIFS(BD!$X$3:$X$5001,BD!$A$3:$A$5001,M$3,BD!$B$3:$B$5001,$A$193)))</f>
        <v/>
      </c>
      <c r="N201" s="205" t="str">
        <f>IF(N$3="","",IF(COUNTIFS(BD!$A$3:$A$5001,N$3,BD!$B$3:$B$5001,$A$193,BD!$X$3:$X$5001,"&lt;&gt;")=0,"",SUMIFS(BD!$X$3:$X$5001,BD!$A$3:$A$5001,N$3,BD!$B$3:$B$5001,$A$193)))</f>
        <v/>
      </c>
      <c r="O201" s="205" t="str">
        <f>IF(O$3="","",IF(COUNTIFS(BD!$A$3:$A$5001,O$3,BD!$B$3:$B$5001,$A$193,BD!$X$3:$X$5001,"&lt;&gt;")=0,"",SUMIFS(BD!$X$3:$X$5001,BD!$A$3:$A$5001,O$3,BD!$B$3:$B$5001,$A$193)))</f>
        <v/>
      </c>
      <c r="P201" s="205" t="str">
        <f>IF(P$3="","",IF(COUNTIFS(BD!$A$3:$A$5001,P$3,BD!$B$3:$B$5001,$A$193,BD!$X$3:$X$5001,"&lt;&gt;")=0,"",SUMIFS(BD!$X$3:$X$5001,BD!$A$3:$A$5001,P$3,BD!$B$3:$B$5001,$A$193)))</f>
        <v/>
      </c>
      <c r="Q201" s="205" t="str">
        <f>IF(Q$3="","",IF(COUNTIFS(BD!$A$3:$A$5001,Q$3,BD!$B$3:$B$5001,$A$193,BD!$X$3:$X$5001,"&lt;&gt;")=0,"",SUMIFS(BD!$X$3:$X$5001,BD!$A$3:$A$5001,Q$3,BD!$B$3:$B$5001,$A$193)))</f>
        <v/>
      </c>
      <c r="R201" s="205" t="str">
        <f>IF(R$3="","",IF(COUNTIFS(BD!$A$3:$A$5001,R$3,BD!$B$3:$B$5001,$A$193,BD!$X$3:$X$5001,"&lt;&gt;")=0,"",SUMIFS(BD!$X$3:$X$5001,BD!$A$3:$A$5001,R$3,BD!$B$3:$B$5001,$A$193)))</f>
        <v/>
      </c>
      <c r="S201" s="205" t="str">
        <f>IF(S$3="","",IF(COUNTIFS(BD!$A$3:$A$5001,S$3,BD!$B$3:$B$5001,$A$193,BD!$X$3:$X$5001,"&lt;&gt;")=0,"",SUMIFS(BD!$X$3:$X$5001,BD!$A$3:$A$5001,S$3,BD!$B$3:$B$5001,$A$193)))</f>
        <v/>
      </c>
      <c r="T201" s="205" t="str">
        <f>IF(T$3="","",IF(COUNTIFS(BD!$A$3:$A$5001,T$3,BD!$B$3:$B$5001,$A$193,BD!$X$3:$X$5001,"&lt;&gt;")=0,"",SUMIFS(BD!$X$3:$X$5001,BD!$A$3:$A$5001,T$3,BD!$B$3:$B$5001,$A$193)))</f>
        <v/>
      </c>
      <c r="U201" s="205" t="str">
        <f>IF(U$3="","",IF(COUNTIFS(BD!$A$3:$A$5001,U$3,BD!$B$3:$B$5001,$A$193,BD!$X$3:$X$5001,"&lt;&gt;")=0,"",SUMIFS(BD!$X$3:$X$5001,BD!$A$3:$A$5001,U$3,BD!$B$3:$B$5001,$A$193)))</f>
        <v/>
      </c>
      <c r="V201" s="205" t="str">
        <f>IF(V$3="","",IF(COUNTIFS(BD!$A$3:$A$5001,V$3,BD!$B$3:$B$5001,$A$193,BD!$X$3:$X$5001,"&lt;&gt;")=0,"",SUMIFS(BD!$X$3:$X$5001,BD!$A$3:$A$5001,V$3,BD!$B$3:$B$5001,$A$193)))</f>
        <v/>
      </c>
      <c r="W201" s="205" t="str">
        <f>IF(W$3="","",IF(COUNTIFS(BD!$A$3:$A$5001,W$3,BD!$B$3:$B$5001,$A$193,BD!$X$3:$X$5001,"&lt;&gt;")=0,"",SUMIFS(BD!$X$3:$X$5001,BD!$A$3:$A$5001,W$3,BD!$B$3:$B$5001,$A$193)))</f>
        <v/>
      </c>
      <c r="X201" s="205" t="str">
        <f>IF(X$3="","",IF(COUNTIFS(BD!$A$3:$A$5001,X$3,BD!$B$3:$B$5001,$A$193,BD!$X$3:$X$5001,"&lt;&gt;")=0,"",SUMIFS(BD!$X$3:$X$5001,BD!$A$3:$A$5001,X$3,BD!$B$3:$B$5001,$A$193)))</f>
        <v/>
      </c>
      <c r="Y201" s="205" t="str">
        <f>IF(Y$3="","",IF(COUNTIFS(BD!$A$3:$A$5001,Y$3,BD!$B$3:$B$5001,$A$193,BD!$X$3:$X$5001,"&lt;&gt;")=0,"",SUMIFS(BD!$X$3:$X$5001,BD!$A$3:$A$5001,Y$3,BD!$B$3:$B$5001,$A$193)))</f>
        <v/>
      </c>
      <c r="Z201" s="205" t="str">
        <f>IF(Z$3="","",IF(COUNTIFS(BD!$A$3:$A$5001,Z$3,BD!$B$3:$B$5001,$A$193,BD!$X$3:$X$5001,"&lt;&gt;")=0,"",SUMIFS(BD!$X$3:$X$5001,BD!$A$3:$A$5001,Z$3,BD!$B$3:$B$5001,$A$193)))</f>
        <v/>
      </c>
      <c r="AA201" s="205" t="str">
        <f>IF(AA$3="","",IF(COUNTIFS(BD!$A$3:$A$5001,AA$3,BD!$B$3:$B$5001,$A$193,BD!$X$3:$X$5001,"&lt;&gt;")=0,"",SUMIFS(BD!$X$3:$X$5001,BD!$A$3:$A$5001,AA$3,BD!$B$3:$B$5001,$A$193)))</f>
        <v/>
      </c>
      <c r="AB201" s="205" t="str">
        <f>IF(AB$3="","",IF(COUNTIFS(BD!$A$3:$A$5001,AB$3,BD!$B$3:$B$5001,$A$193,BD!$X$3:$X$5001,"&lt;&gt;")=0,"",SUMIFS(BD!$X$3:$X$5001,BD!$A$3:$A$5001,AB$3,BD!$B$3:$B$5001,$A$193)))</f>
        <v/>
      </c>
      <c r="AC201" s="205" t="str">
        <f>IF(AC$3="","",IF(COUNTIFS(BD!$A$3:$A$5001,AC$3,BD!$B$3:$B$5001,$A$193,BD!$X$3:$X$5001,"&lt;&gt;")=0,"",SUMIFS(BD!$X$3:$X$5001,BD!$A$3:$A$5001,AC$3,BD!$B$3:$B$5001,$A$193)))</f>
        <v/>
      </c>
      <c r="AD201" s="205" t="str">
        <f>IF(AD$3="","",IF(COUNTIFS(BD!$A$3:$A$5001,AD$3,BD!$B$3:$B$5001,$A$193,BD!$X$3:$X$5001,"&lt;&gt;")=0,"",SUMIFS(BD!$X$3:$X$5001,BD!$A$3:$A$5001,AD$3,BD!$B$3:$B$5001,$A$193)))</f>
        <v/>
      </c>
      <c r="AE201" s="205" t="str">
        <f>IF(AE$3="","",IF(COUNTIFS(BD!$A$3:$A$5001,AE$3,BD!$B$3:$B$5001,$A$193,BD!$X$3:$X$5001,"&lt;&gt;")=0,"",SUMIFS(BD!$X$3:$X$5001,BD!$A$3:$A$5001,AE$3,BD!$B$3:$B$5001,$A$193)))</f>
        <v/>
      </c>
      <c r="AF201" s="205" t="str">
        <f>IF(AF$3="","",IF(COUNTIFS(BD!$A$3:$A$5001,AF$3,BD!$B$3:$B$5001,$A$193,BD!$X$3:$X$5001,"&lt;&gt;")=0,"",SUMIFS(BD!$X$3:$X$5001,BD!$A$3:$A$5001,AF$3,BD!$B$3:$B$5001,$A$193)))</f>
        <v/>
      </c>
      <c r="AG201" s="205" t="str">
        <f>IF(AG$3="","",IF(COUNTIFS(BD!$A$3:$A$5001,AG$3,BD!$B$3:$B$5001,$A$193,BD!$X$3:$X$5001,"&lt;&gt;")=0,"",SUMIFS(BD!$X$3:$X$5001,BD!$A$3:$A$5001,AG$3,BD!$B$3:$B$5001,$A$193)))</f>
        <v/>
      </c>
      <c r="AH201" s="205" t="str">
        <f>IF(AH$3="","",IF(COUNTIFS(BD!$A$3:$A$5001,AH$3,BD!$B$3:$B$5001,$A$193,BD!$X$3:$X$5001,"&lt;&gt;")=0,"",SUMIFS(BD!$X$3:$X$5001,BD!$A$3:$A$5001,AH$3,BD!$B$3:$B$5001,$A$193)))</f>
        <v/>
      </c>
      <c r="AI201" s="205" t="str">
        <f>IF(AI$3="","",IF(COUNTIFS(BD!$A$3:$A$5001,AI$3,BD!$B$3:$B$5001,$A$193,BD!$X$3:$X$5001,"&lt;&gt;")=0,"",SUMIFS(BD!$X$3:$X$5001,BD!$A$3:$A$5001,AI$3,BD!$B$3:$B$5001,$A$193)))</f>
        <v/>
      </c>
      <c r="AJ201" s="206" t="str">
        <f>IF(AJ$3="","",IF(COUNTIFS(BD!$A$3:$A$5001,AJ$3,BD!$B$3:$B$5001,$A$193,BD!$X$3:$X$5001,"&lt;&gt;")=0,"",SUMIFS(BD!$X$3:$X$5001,BD!$A$3:$A$5001,AJ$3,BD!$B$3:$B$5001,$A$193)))</f>
        <v/>
      </c>
      <c r="AK201" s="207" t="str">
        <f>IFERROR(LOOKUP(9.99E+307,F201:AJ201),"")</f>
        <v/>
      </c>
    </row>
    <row r="202" ht="15.75" customHeight="1">
      <c r="A202" s="244"/>
      <c r="B202" s="233"/>
      <c r="C202" s="162" t="inlineStr">
        <is>
          <t xml:space="preserve">Taxa de Ocupação</t>
        </is>
      </c>
      <c r="D202" s="208" t="str">
        <f>IFERROR(1/(1/INDEX(BD!$AJ$45:$BD$45,MATCH($A$193,BD!$AJ$22:$BD$22,0))),"")</f>
        <v/>
      </c>
      <c r="E202" s="164"/>
      <c r="F202" s="209" t="str">
        <f>IF(AND(ISNUMBER(F200),ISNUMBER(F201)),IF(F200&gt;0,F201/F200,""),"")</f>
        <v/>
      </c>
      <c r="G202" s="210" t="str">
        <f>IF(AND(ISNUMBER(G200),ISNUMBER(G201)),IF(G200&gt;0,G201/G200,""),"")</f>
        <v/>
      </c>
      <c r="H202" s="210" t="str">
        <f>IF(AND(ISNUMBER(H200),ISNUMBER(H201)),IF(H200&gt;0,H201/H200,""),"")</f>
        <v/>
      </c>
      <c r="I202" s="210" t="str">
        <f>IF(AND(ISNUMBER(I200),ISNUMBER(I201)),IF(I200&gt;0,I201/I200,""),"")</f>
        <v/>
      </c>
      <c r="J202" s="210" t="str">
        <f>IF(AND(ISNUMBER(J200),ISNUMBER(J201)),IF(J200&gt;0,J201/J200,""),"")</f>
        <v/>
      </c>
      <c r="K202" s="210" t="str">
        <f>IF(AND(ISNUMBER(K200),ISNUMBER(K201)),IF(K200&gt;0,K201/K200,""),"")</f>
        <v/>
      </c>
      <c r="L202" s="210" t="str">
        <f>IF(AND(ISNUMBER(L200),ISNUMBER(L201)),IF(L200&gt;0,L201/L200,""),"")</f>
        <v/>
      </c>
      <c r="M202" s="210" t="str">
        <f>IF(AND(ISNUMBER(M200),ISNUMBER(M201)),IF(M200&gt;0,M201/M200,""),"")</f>
        <v/>
      </c>
      <c r="N202" s="210" t="str">
        <f>IF(AND(ISNUMBER(N200),ISNUMBER(N201)),IF(N200&gt;0,N201/N200,""),"")</f>
        <v/>
      </c>
      <c r="O202" s="210" t="str">
        <f>IF(AND(ISNUMBER(O200),ISNUMBER(O201)),IF(O200&gt;0,O201/O200,""),"")</f>
        <v/>
      </c>
      <c r="P202" s="210" t="str">
        <f>IF(AND(ISNUMBER(P200),ISNUMBER(P201)),IF(P200&gt;0,P201/P200,""),"")</f>
        <v/>
      </c>
      <c r="Q202" s="210" t="str">
        <f>IF(AND(ISNUMBER(Q200),ISNUMBER(Q201)),IF(Q200&gt;0,Q201/Q200,""),"")</f>
        <v/>
      </c>
      <c r="R202" s="210" t="str">
        <f>IF(AND(ISNUMBER(R200),ISNUMBER(R201)),IF(R200&gt;0,R201/R200,""),"")</f>
        <v/>
      </c>
      <c r="S202" s="210" t="str">
        <f>IF(AND(ISNUMBER(S200),ISNUMBER(S201)),IF(S200&gt;0,S201/S200,""),"")</f>
        <v/>
      </c>
      <c r="T202" s="210" t="str">
        <f>IF(AND(ISNUMBER(T200),ISNUMBER(T201)),IF(T200&gt;0,T201/T200,""),"")</f>
        <v/>
      </c>
      <c r="U202" s="210" t="str">
        <f>IF(AND(ISNUMBER(U200),ISNUMBER(U201)),IF(U200&gt;0,U201/U200,""),"")</f>
        <v/>
      </c>
      <c r="V202" s="210" t="str">
        <f>IF(AND(ISNUMBER(V200),ISNUMBER(V201)),IF(V200&gt;0,V201/V200,""),"")</f>
        <v/>
      </c>
      <c r="W202" s="210" t="str">
        <f>IF(AND(ISNUMBER(W200),ISNUMBER(W201)),IF(W200&gt;0,W201/W200,""),"")</f>
        <v/>
      </c>
      <c r="X202" s="210" t="str">
        <f>IF(AND(ISNUMBER(X200),ISNUMBER(X201)),IF(X200&gt;0,X201/X200,""),"")</f>
        <v/>
      </c>
      <c r="Y202" s="210" t="str">
        <f>IF(AND(ISNUMBER(Y200),ISNUMBER(Y201)),IF(Y200&gt;0,Y201/Y200,""),"")</f>
        <v/>
      </c>
      <c r="Z202" s="210" t="str">
        <f>IF(AND(ISNUMBER(Z200),ISNUMBER(Z201)),IF(Z200&gt;0,Z201/Z200,""),"")</f>
        <v/>
      </c>
      <c r="AA202" s="210" t="str">
        <f>IF(AND(ISNUMBER(AA200),ISNUMBER(AA201)),IF(AA200&gt;0,AA201/AA200,""),"")</f>
        <v/>
      </c>
      <c r="AB202" s="210" t="str">
        <f>IF(AND(ISNUMBER(AB200),ISNUMBER(AB201)),IF(AB200&gt;0,AB201/AB200,""),"")</f>
        <v/>
      </c>
      <c r="AC202" s="210" t="str">
        <f>IF(AND(ISNUMBER(AC200),ISNUMBER(AC201)),IF(AC200&gt;0,AC201/AC200,""),"")</f>
        <v/>
      </c>
      <c r="AD202" s="210" t="str">
        <f>IF(AND(ISNUMBER(AD200),ISNUMBER(AD201)),IF(AD200&gt;0,AD201/AD200,""),"")</f>
        <v/>
      </c>
      <c r="AE202" s="210" t="str">
        <f>IF(AND(ISNUMBER(AE200),ISNUMBER(AE201)),IF(AE200&gt;0,AE201/AE200,""),"")</f>
        <v/>
      </c>
      <c r="AF202" s="210" t="str">
        <f>IF(AND(ISNUMBER(AF200),ISNUMBER(AF201)),IF(AF200&gt;0,AF201/AF200,""),"")</f>
        <v/>
      </c>
      <c r="AG202" s="210" t="str">
        <f>IF(AND(ISNUMBER(AG200),ISNUMBER(AG201)),IF(AG200&gt;0,AG201/AG200,""),"")</f>
        <v/>
      </c>
      <c r="AH202" s="210" t="str">
        <f>IF(AND(ISNUMBER(AH200),ISNUMBER(AH201)),IF(AH200&gt;0,AH201/AH200,""),"")</f>
        <v/>
      </c>
      <c r="AI202" s="210" t="str">
        <f>IF(AND(ISNUMBER(AI200),ISNUMBER(AI201)),IF(AI200&gt;0,AI201/AI200,""),"")</f>
        <v/>
      </c>
      <c r="AJ202" s="211" t="str">
        <f>IF(AND(ISNUMBER(AJ200),ISNUMBER(AJ201)),IF(AJ200&gt;0,AJ201/AJ200,""),"")</f>
        <v/>
      </c>
      <c r="AK202" s="208" t="str">
        <f>IF(AND(ISNUMBER(AK200),ISNUMBER(AK201)),IF(AK200&gt;0,AK201/AK200,""),"")</f>
        <v/>
      </c>
    </row>
    <row r="203" ht="15.75" customHeight="1">
      <c r="A203" s="244"/>
      <c r="B203" s="240" t="inlineStr">
        <is>
          <t xml:space="preserve">GENTE</t>
        </is>
      </c>
      <c r="C203" s="212" t="inlineStr">
        <is>
          <t xml:space="preserve">Efetivo Op.</t>
        </is>
      </c>
      <c r="D203" s="213" t="str">
        <f>IFERROR(1/(1/INDEX(BD!$AJ$46:$BD$46,MATCH($A$193,BD!$AJ$22:$BD$22,0))),"")</f>
        <v/>
      </c>
      <c r="E203" s="214"/>
      <c r="F203" s="215" t="str">
        <f>IF(F$3="","",IF(COUNTIFS(BD!$A$3:$A$5001,F$3,BD!$B$3:$B$5001,$A$193,BD!$Y$3:$Y$5001,"&lt;&gt;")=0,"",SUMIFS(BD!$Y$3:$Y$5001,BD!$A$3:$A$5001,F$3,BD!$B$3:$B$5001,$A$193)))</f>
        <v/>
      </c>
      <c r="G203" s="216" t="str">
        <f>IF(G$3="","",IF(COUNTIFS(BD!$A$3:$A$5001,G$3,BD!$B$3:$B$5001,$A$193,BD!$Y$3:$Y$5001,"&lt;&gt;")=0,"",SUMIFS(BD!$Y$3:$Y$5001,BD!$A$3:$A$5001,G$3,BD!$B$3:$B$5001,$A$193)))</f>
        <v/>
      </c>
      <c r="H203" s="216" t="str">
        <f>IF(H$3="","",IF(COUNTIFS(BD!$A$3:$A$5001,H$3,BD!$B$3:$B$5001,$A$193,BD!$Y$3:$Y$5001,"&lt;&gt;")=0,"",SUMIFS(BD!$Y$3:$Y$5001,BD!$A$3:$A$5001,H$3,BD!$B$3:$B$5001,$A$193)))</f>
        <v/>
      </c>
      <c r="I203" s="216" t="str">
        <f>IF(I$3="","",IF(COUNTIFS(BD!$A$3:$A$5001,I$3,BD!$B$3:$B$5001,$A$193,BD!$Y$3:$Y$5001,"&lt;&gt;")=0,"",SUMIFS(BD!$Y$3:$Y$5001,BD!$A$3:$A$5001,I$3,BD!$B$3:$B$5001,$A$193)))</f>
        <v/>
      </c>
      <c r="J203" s="216" t="str">
        <f>IF(J$3="","",IF(COUNTIFS(BD!$A$3:$A$5001,J$3,BD!$B$3:$B$5001,$A$193,BD!$Y$3:$Y$5001,"&lt;&gt;")=0,"",SUMIFS(BD!$Y$3:$Y$5001,BD!$A$3:$A$5001,J$3,BD!$B$3:$B$5001,$A$193)))</f>
        <v/>
      </c>
      <c r="K203" s="216" t="str">
        <f>IF(K$3="","",IF(COUNTIFS(BD!$A$3:$A$5001,K$3,BD!$B$3:$B$5001,$A$193,BD!$Y$3:$Y$5001,"&lt;&gt;")=0,"",SUMIFS(BD!$Y$3:$Y$5001,BD!$A$3:$A$5001,K$3,BD!$B$3:$B$5001,$A$193)))</f>
        <v/>
      </c>
      <c r="L203" s="216" t="str">
        <f>IF(L$3="","",IF(COUNTIFS(BD!$A$3:$A$5001,L$3,BD!$B$3:$B$5001,$A$193,BD!$Y$3:$Y$5001,"&lt;&gt;")=0,"",SUMIFS(BD!$Y$3:$Y$5001,BD!$A$3:$A$5001,L$3,BD!$B$3:$B$5001,$A$193)))</f>
        <v/>
      </c>
      <c r="M203" s="216" t="str">
        <f>IF(M$3="","",IF(COUNTIFS(BD!$A$3:$A$5001,M$3,BD!$B$3:$B$5001,$A$193,BD!$Y$3:$Y$5001,"&lt;&gt;")=0,"",SUMIFS(BD!$Y$3:$Y$5001,BD!$A$3:$A$5001,M$3,BD!$B$3:$B$5001,$A$193)))</f>
        <v/>
      </c>
      <c r="N203" s="216" t="str">
        <f>IF(N$3="","",IF(COUNTIFS(BD!$A$3:$A$5001,N$3,BD!$B$3:$B$5001,$A$193,BD!$Y$3:$Y$5001,"&lt;&gt;")=0,"",SUMIFS(BD!$Y$3:$Y$5001,BD!$A$3:$A$5001,N$3,BD!$B$3:$B$5001,$A$193)))</f>
        <v/>
      </c>
      <c r="O203" s="216" t="str">
        <f>IF(O$3="","",IF(COUNTIFS(BD!$A$3:$A$5001,O$3,BD!$B$3:$B$5001,$A$193,BD!$Y$3:$Y$5001,"&lt;&gt;")=0,"",SUMIFS(BD!$Y$3:$Y$5001,BD!$A$3:$A$5001,O$3,BD!$B$3:$B$5001,$A$193)))</f>
        <v/>
      </c>
      <c r="P203" s="216" t="str">
        <f>IF(P$3="","",IF(COUNTIFS(BD!$A$3:$A$5001,P$3,BD!$B$3:$B$5001,$A$193,BD!$Y$3:$Y$5001,"&lt;&gt;")=0,"",SUMIFS(BD!$Y$3:$Y$5001,BD!$A$3:$A$5001,P$3,BD!$B$3:$B$5001,$A$193)))</f>
        <v/>
      </c>
      <c r="Q203" s="216" t="str">
        <f>IF(Q$3="","",IF(COUNTIFS(BD!$A$3:$A$5001,Q$3,BD!$B$3:$B$5001,$A$193,BD!$Y$3:$Y$5001,"&lt;&gt;")=0,"",SUMIFS(BD!$Y$3:$Y$5001,BD!$A$3:$A$5001,Q$3,BD!$B$3:$B$5001,$A$193)))</f>
        <v/>
      </c>
      <c r="R203" s="216" t="str">
        <f>IF(R$3="","",IF(COUNTIFS(BD!$A$3:$A$5001,R$3,BD!$B$3:$B$5001,$A$193,BD!$Y$3:$Y$5001,"&lt;&gt;")=0,"",SUMIFS(BD!$Y$3:$Y$5001,BD!$A$3:$A$5001,R$3,BD!$B$3:$B$5001,$A$193)))</f>
        <v/>
      </c>
      <c r="S203" s="216" t="str">
        <f>IF(S$3="","",IF(COUNTIFS(BD!$A$3:$A$5001,S$3,BD!$B$3:$B$5001,$A$193,BD!$Y$3:$Y$5001,"&lt;&gt;")=0,"",SUMIFS(BD!$Y$3:$Y$5001,BD!$A$3:$A$5001,S$3,BD!$B$3:$B$5001,$A$193)))</f>
        <v/>
      </c>
      <c r="T203" s="216" t="str">
        <f>IF(T$3="","",IF(COUNTIFS(BD!$A$3:$A$5001,T$3,BD!$B$3:$B$5001,$A$193,BD!$Y$3:$Y$5001,"&lt;&gt;")=0,"",SUMIFS(BD!$Y$3:$Y$5001,BD!$A$3:$A$5001,T$3,BD!$B$3:$B$5001,$A$193)))</f>
        <v/>
      </c>
      <c r="U203" s="216" t="str">
        <f>IF(U$3="","",IF(COUNTIFS(BD!$A$3:$A$5001,U$3,BD!$B$3:$B$5001,$A$193,BD!$Y$3:$Y$5001,"&lt;&gt;")=0,"",SUMIFS(BD!$Y$3:$Y$5001,BD!$A$3:$A$5001,U$3,BD!$B$3:$B$5001,$A$193)))</f>
        <v/>
      </c>
      <c r="V203" s="216" t="str">
        <f>IF(V$3="","",IF(COUNTIFS(BD!$A$3:$A$5001,V$3,BD!$B$3:$B$5001,$A$193,BD!$Y$3:$Y$5001,"&lt;&gt;")=0,"",SUMIFS(BD!$Y$3:$Y$5001,BD!$A$3:$A$5001,V$3,BD!$B$3:$B$5001,$A$193)))</f>
        <v/>
      </c>
      <c r="W203" s="216" t="str">
        <f>IF(W$3="","",IF(COUNTIFS(BD!$A$3:$A$5001,W$3,BD!$B$3:$B$5001,$A$193,BD!$Y$3:$Y$5001,"&lt;&gt;")=0,"",SUMIFS(BD!$Y$3:$Y$5001,BD!$A$3:$A$5001,W$3,BD!$B$3:$B$5001,$A$193)))</f>
        <v/>
      </c>
      <c r="X203" s="216" t="str">
        <f>IF(X$3="","",IF(COUNTIFS(BD!$A$3:$A$5001,X$3,BD!$B$3:$B$5001,$A$193,BD!$Y$3:$Y$5001,"&lt;&gt;")=0,"",SUMIFS(BD!$Y$3:$Y$5001,BD!$A$3:$A$5001,X$3,BD!$B$3:$B$5001,$A$193)))</f>
        <v/>
      </c>
      <c r="Y203" s="216" t="str">
        <f>IF(Y$3="","",IF(COUNTIFS(BD!$A$3:$A$5001,Y$3,BD!$B$3:$B$5001,$A$193,BD!$Y$3:$Y$5001,"&lt;&gt;")=0,"",SUMIFS(BD!$Y$3:$Y$5001,BD!$A$3:$A$5001,Y$3,BD!$B$3:$B$5001,$A$193)))</f>
        <v/>
      </c>
      <c r="Z203" s="216" t="str">
        <f>IF(Z$3="","",IF(COUNTIFS(BD!$A$3:$A$5001,Z$3,BD!$B$3:$B$5001,$A$193,BD!$Y$3:$Y$5001,"&lt;&gt;")=0,"",SUMIFS(BD!$Y$3:$Y$5001,BD!$A$3:$A$5001,Z$3,BD!$B$3:$B$5001,$A$193)))</f>
        <v/>
      </c>
      <c r="AA203" s="216" t="str">
        <f>IF(AA$3="","",IF(COUNTIFS(BD!$A$3:$A$5001,AA$3,BD!$B$3:$B$5001,$A$193,BD!$Y$3:$Y$5001,"&lt;&gt;")=0,"",SUMIFS(BD!$Y$3:$Y$5001,BD!$A$3:$A$5001,AA$3,BD!$B$3:$B$5001,$A$193)))</f>
        <v/>
      </c>
      <c r="AB203" s="216" t="str">
        <f>IF(AB$3="","",IF(COUNTIFS(BD!$A$3:$A$5001,AB$3,BD!$B$3:$B$5001,$A$193,BD!$Y$3:$Y$5001,"&lt;&gt;")=0,"",SUMIFS(BD!$Y$3:$Y$5001,BD!$A$3:$A$5001,AB$3,BD!$B$3:$B$5001,$A$193)))</f>
        <v/>
      </c>
      <c r="AC203" s="216" t="str">
        <f>IF(AC$3="","",IF(COUNTIFS(BD!$A$3:$A$5001,AC$3,BD!$B$3:$B$5001,$A$193,BD!$Y$3:$Y$5001,"&lt;&gt;")=0,"",SUMIFS(BD!$Y$3:$Y$5001,BD!$A$3:$A$5001,AC$3,BD!$B$3:$B$5001,$A$193)))</f>
        <v/>
      </c>
      <c r="AD203" s="216" t="str">
        <f>IF(AD$3="","",IF(COUNTIFS(BD!$A$3:$A$5001,AD$3,BD!$B$3:$B$5001,$A$193,BD!$Y$3:$Y$5001,"&lt;&gt;")=0,"",SUMIFS(BD!$Y$3:$Y$5001,BD!$A$3:$A$5001,AD$3,BD!$B$3:$B$5001,$A$193)))</f>
        <v/>
      </c>
      <c r="AE203" s="216" t="str">
        <f>IF(AE$3="","",IF(COUNTIFS(BD!$A$3:$A$5001,AE$3,BD!$B$3:$B$5001,$A$193,BD!$Y$3:$Y$5001,"&lt;&gt;")=0,"",SUMIFS(BD!$Y$3:$Y$5001,BD!$A$3:$A$5001,AE$3,BD!$B$3:$B$5001,$A$193)))</f>
        <v/>
      </c>
      <c r="AF203" s="216" t="str">
        <f>IF(AF$3="","",IF(COUNTIFS(BD!$A$3:$A$5001,AF$3,BD!$B$3:$B$5001,$A$193,BD!$Y$3:$Y$5001,"&lt;&gt;")=0,"",SUMIFS(BD!$Y$3:$Y$5001,BD!$A$3:$A$5001,AF$3,BD!$B$3:$B$5001,$A$193)))</f>
        <v/>
      </c>
      <c r="AG203" s="216" t="str">
        <f>IF(AG$3="","",IF(COUNTIFS(BD!$A$3:$A$5001,AG$3,BD!$B$3:$B$5001,$A$193,BD!$Y$3:$Y$5001,"&lt;&gt;")=0,"",SUMIFS(BD!$Y$3:$Y$5001,BD!$A$3:$A$5001,AG$3,BD!$B$3:$B$5001,$A$193)))</f>
        <v/>
      </c>
      <c r="AH203" s="216" t="str">
        <f>IF(AH$3="","",IF(COUNTIFS(BD!$A$3:$A$5001,AH$3,BD!$B$3:$B$5001,$A$193,BD!$Y$3:$Y$5001,"&lt;&gt;")=0,"",SUMIFS(BD!$Y$3:$Y$5001,BD!$A$3:$A$5001,AH$3,BD!$B$3:$B$5001,$A$193)))</f>
        <v/>
      </c>
      <c r="AI203" s="216" t="str">
        <f>IF(AI$3="","",IF(COUNTIFS(BD!$A$3:$A$5001,AI$3,BD!$B$3:$B$5001,$A$193,BD!$Y$3:$Y$5001,"&lt;&gt;")=0,"",SUMIFS(BD!$Y$3:$Y$5001,BD!$A$3:$A$5001,AI$3,BD!$B$3:$B$5001,$A$193)))</f>
        <v/>
      </c>
      <c r="AJ203" s="217" t="str">
        <f>IF(AJ$3="","",IF(COUNTIFS(BD!$A$3:$A$5001,AJ$3,BD!$B$3:$B$5001,$A$193,BD!$Y$3:$Y$5001,"&lt;&gt;")=0,"",SUMIFS(BD!$Y$3:$Y$5001,BD!$A$3:$A$5001,AJ$3,BD!$B$3:$B$5001,$A$193)))</f>
        <v/>
      </c>
      <c r="AK203" s="218" t="str">
        <f>IFERROR(LOOKUP(9.99E+307,F203:AJ203),"")</f>
        <v/>
      </c>
    </row>
    <row r="204" ht="15.75" customHeight="1">
      <c r="A204" s="244"/>
      <c r="B204" s="241"/>
      <c r="C204" s="219" t="inlineStr">
        <is>
          <t xml:space="preserve">Falta</t>
        </is>
      </c>
      <c r="D204" s="220" t="str">
        <f>IFERROR(1/(1/INDEX(BD!$AJ$47:$BD$47,MATCH($A$193,BD!$AJ$22:$BD$22,0))),"")</f>
        <v/>
      </c>
      <c r="E204" s="221"/>
      <c r="F204" s="222" t="str">
        <f>IF(F$3="","",IF(COUNTIFS(BD!$A$3:$A$5001,F$3,BD!$B$3:$B$5001,$A$193,BD!$Z$3:$Z$5001,"&lt;&gt;")=0,"",SUMIFS(BD!$Z$3:$Z$5001,BD!$A$3:$A$5001,F$3,BD!$B$3:$B$5001,$A$193)))</f>
        <v/>
      </c>
      <c r="G204" s="223" t="str">
        <f>IF(G$3="","",IF(COUNTIFS(BD!$A$3:$A$5001,G$3,BD!$B$3:$B$5001,$A$193,BD!$Z$3:$Z$5001,"&lt;&gt;")=0,"",SUMIFS(BD!$Z$3:$Z$5001,BD!$A$3:$A$5001,G$3,BD!$B$3:$B$5001,$A$193)))</f>
        <v/>
      </c>
      <c r="H204" s="223" t="str">
        <f>IF(H$3="","",IF(COUNTIFS(BD!$A$3:$A$5001,H$3,BD!$B$3:$B$5001,$A$193,BD!$Z$3:$Z$5001,"&lt;&gt;")=0,"",SUMIFS(BD!$Z$3:$Z$5001,BD!$A$3:$A$5001,H$3,BD!$B$3:$B$5001,$A$193)))</f>
        <v/>
      </c>
      <c r="I204" s="223" t="str">
        <f>IF(I$3="","",IF(COUNTIFS(BD!$A$3:$A$5001,I$3,BD!$B$3:$B$5001,$A$193,BD!$Z$3:$Z$5001,"&lt;&gt;")=0,"",SUMIFS(BD!$Z$3:$Z$5001,BD!$A$3:$A$5001,I$3,BD!$B$3:$B$5001,$A$193)))</f>
        <v/>
      </c>
      <c r="J204" s="223" t="str">
        <f>IF(J$3="","",IF(COUNTIFS(BD!$A$3:$A$5001,J$3,BD!$B$3:$B$5001,$A$193,BD!$Z$3:$Z$5001,"&lt;&gt;")=0,"",SUMIFS(BD!$Z$3:$Z$5001,BD!$A$3:$A$5001,J$3,BD!$B$3:$B$5001,$A$193)))</f>
        <v/>
      </c>
      <c r="K204" s="223" t="str">
        <f>IF(K$3="","",IF(COUNTIFS(BD!$A$3:$A$5001,K$3,BD!$B$3:$B$5001,$A$193,BD!$Z$3:$Z$5001,"&lt;&gt;")=0,"",SUMIFS(BD!$Z$3:$Z$5001,BD!$A$3:$A$5001,K$3,BD!$B$3:$B$5001,$A$193)))</f>
        <v/>
      </c>
      <c r="L204" s="223" t="str">
        <f>IF(L$3="","",IF(COUNTIFS(BD!$A$3:$A$5001,L$3,BD!$B$3:$B$5001,$A$193,BD!$Z$3:$Z$5001,"&lt;&gt;")=0,"",SUMIFS(BD!$Z$3:$Z$5001,BD!$A$3:$A$5001,L$3,BD!$B$3:$B$5001,$A$193)))</f>
        <v/>
      </c>
      <c r="M204" s="223" t="str">
        <f>IF(M$3="","",IF(COUNTIFS(BD!$A$3:$A$5001,M$3,BD!$B$3:$B$5001,$A$193,BD!$Z$3:$Z$5001,"&lt;&gt;")=0,"",SUMIFS(BD!$Z$3:$Z$5001,BD!$A$3:$A$5001,M$3,BD!$B$3:$B$5001,$A$193)))</f>
        <v/>
      </c>
      <c r="N204" s="223" t="str">
        <f>IF(N$3="","",IF(COUNTIFS(BD!$A$3:$A$5001,N$3,BD!$B$3:$B$5001,$A$193,BD!$Z$3:$Z$5001,"&lt;&gt;")=0,"",SUMIFS(BD!$Z$3:$Z$5001,BD!$A$3:$A$5001,N$3,BD!$B$3:$B$5001,$A$193)))</f>
        <v/>
      </c>
      <c r="O204" s="223" t="str">
        <f>IF(O$3="","",IF(COUNTIFS(BD!$A$3:$A$5001,O$3,BD!$B$3:$B$5001,$A$193,BD!$Z$3:$Z$5001,"&lt;&gt;")=0,"",SUMIFS(BD!$Z$3:$Z$5001,BD!$A$3:$A$5001,O$3,BD!$B$3:$B$5001,$A$193)))</f>
        <v/>
      </c>
      <c r="P204" s="223" t="str">
        <f>IF(P$3="","",IF(COUNTIFS(BD!$A$3:$A$5001,P$3,BD!$B$3:$B$5001,$A$193,BD!$Z$3:$Z$5001,"&lt;&gt;")=0,"",SUMIFS(BD!$Z$3:$Z$5001,BD!$A$3:$A$5001,P$3,BD!$B$3:$B$5001,$A$193)))</f>
        <v/>
      </c>
      <c r="Q204" s="223" t="str">
        <f>IF(Q$3="","",IF(COUNTIFS(BD!$A$3:$A$5001,Q$3,BD!$B$3:$B$5001,$A$193,BD!$Z$3:$Z$5001,"&lt;&gt;")=0,"",SUMIFS(BD!$Z$3:$Z$5001,BD!$A$3:$A$5001,Q$3,BD!$B$3:$B$5001,$A$193)))</f>
        <v/>
      </c>
      <c r="R204" s="223" t="str">
        <f>IF(R$3="","",IF(COUNTIFS(BD!$A$3:$A$5001,R$3,BD!$B$3:$B$5001,$A$193,BD!$Z$3:$Z$5001,"&lt;&gt;")=0,"",SUMIFS(BD!$Z$3:$Z$5001,BD!$A$3:$A$5001,R$3,BD!$B$3:$B$5001,$A$193)))</f>
        <v/>
      </c>
      <c r="S204" s="223" t="str">
        <f>IF(S$3="","",IF(COUNTIFS(BD!$A$3:$A$5001,S$3,BD!$B$3:$B$5001,$A$193,BD!$Z$3:$Z$5001,"&lt;&gt;")=0,"",SUMIFS(BD!$Z$3:$Z$5001,BD!$A$3:$A$5001,S$3,BD!$B$3:$B$5001,$A$193)))</f>
        <v/>
      </c>
      <c r="T204" s="223" t="str">
        <f>IF(T$3="","",IF(COUNTIFS(BD!$A$3:$A$5001,T$3,BD!$B$3:$B$5001,$A$193,BD!$Z$3:$Z$5001,"&lt;&gt;")=0,"",SUMIFS(BD!$Z$3:$Z$5001,BD!$A$3:$A$5001,T$3,BD!$B$3:$B$5001,$A$193)))</f>
        <v/>
      </c>
      <c r="U204" s="223" t="str">
        <f>IF(U$3="","",IF(COUNTIFS(BD!$A$3:$A$5001,U$3,BD!$B$3:$B$5001,$A$193,BD!$Z$3:$Z$5001,"&lt;&gt;")=0,"",SUMIFS(BD!$Z$3:$Z$5001,BD!$A$3:$A$5001,U$3,BD!$B$3:$B$5001,$A$193)))</f>
        <v/>
      </c>
      <c r="V204" s="223" t="str">
        <f>IF(V$3="","",IF(COUNTIFS(BD!$A$3:$A$5001,V$3,BD!$B$3:$B$5001,$A$193,BD!$Z$3:$Z$5001,"&lt;&gt;")=0,"",SUMIFS(BD!$Z$3:$Z$5001,BD!$A$3:$A$5001,V$3,BD!$B$3:$B$5001,$A$193)))</f>
        <v/>
      </c>
      <c r="W204" s="223" t="str">
        <f>IF(W$3="","",IF(COUNTIFS(BD!$A$3:$A$5001,W$3,BD!$B$3:$B$5001,$A$193,BD!$Z$3:$Z$5001,"&lt;&gt;")=0,"",SUMIFS(BD!$Z$3:$Z$5001,BD!$A$3:$A$5001,W$3,BD!$B$3:$B$5001,$A$193)))</f>
        <v/>
      </c>
      <c r="X204" s="223" t="str">
        <f>IF(X$3="","",IF(COUNTIFS(BD!$A$3:$A$5001,X$3,BD!$B$3:$B$5001,$A$193,BD!$Z$3:$Z$5001,"&lt;&gt;")=0,"",SUMIFS(BD!$Z$3:$Z$5001,BD!$A$3:$A$5001,X$3,BD!$B$3:$B$5001,$A$193)))</f>
        <v/>
      </c>
      <c r="Y204" s="223" t="str">
        <f>IF(Y$3="","",IF(COUNTIFS(BD!$A$3:$A$5001,Y$3,BD!$B$3:$B$5001,$A$193,BD!$Z$3:$Z$5001,"&lt;&gt;")=0,"",SUMIFS(BD!$Z$3:$Z$5001,BD!$A$3:$A$5001,Y$3,BD!$B$3:$B$5001,$A$193)))</f>
        <v/>
      </c>
      <c r="Z204" s="223" t="str">
        <f>IF(Z$3="","",IF(COUNTIFS(BD!$A$3:$A$5001,Z$3,BD!$B$3:$B$5001,$A$193,BD!$Z$3:$Z$5001,"&lt;&gt;")=0,"",SUMIFS(BD!$Z$3:$Z$5001,BD!$A$3:$A$5001,Z$3,BD!$B$3:$B$5001,$A$193)))</f>
        <v/>
      </c>
      <c r="AA204" s="223" t="str">
        <f>IF(AA$3="","",IF(COUNTIFS(BD!$A$3:$A$5001,AA$3,BD!$B$3:$B$5001,$A$193,BD!$Z$3:$Z$5001,"&lt;&gt;")=0,"",SUMIFS(BD!$Z$3:$Z$5001,BD!$A$3:$A$5001,AA$3,BD!$B$3:$B$5001,$A$193)))</f>
        <v/>
      </c>
      <c r="AB204" s="223" t="str">
        <f>IF(AB$3="","",IF(COUNTIFS(BD!$A$3:$A$5001,AB$3,BD!$B$3:$B$5001,$A$193,BD!$Z$3:$Z$5001,"&lt;&gt;")=0,"",SUMIFS(BD!$Z$3:$Z$5001,BD!$A$3:$A$5001,AB$3,BD!$B$3:$B$5001,$A$193)))</f>
        <v/>
      </c>
      <c r="AC204" s="223" t="str">
        <f>IF(AC$3="","",IF(COUNTIFS(BD!$A$3:$A$5001,AC$3,BD!$B$3:$B$5001,$A$193,BD!$Z$3:$Z$5001,"&lt;&gt;")=0,"",SUMIFS(BD!$Z$3:$Z$5001,BD!$A$3:$A$5001,AC$3,BD!$B$3:$B$5001,$A$193)))</f>
        <v/>
      </c>
      <c r="AD204" s="223" t="str">
        <f>IF(AD$3="","",IF(COUNTIFS(BD!$A$3:$A$5001,AD$3,BD!$B$3:$B$5001,$A$193,BD!$Z$3:$Z$5001,"&lt;&gt;")=0,"",SUMIFS(BD!$Z$3:$Z$5001,BD!$A$3:$A$5001,AD$3,BD!$B$3:$B$5001,$A$193)))</f>
        <v/>
      </c>
      <c r="AE204" s="223" t="str">
        <f>IF(AE$3="","",IF(COUNTIFS(BD!$A$3:$A$5001,AE$3,BD!$B$3:$B$5001,$A$193,BD!$Z$3:$Z$5001,"&lt;&gt;")=0,"",SUMIFS(BD!$Z$3:$Z$5001,BD!$A$3:$A$5001,AE$3,BD!$B$3:$B$5001,$A$193)))</f>
        <v/>
      </c>
      <c r="AF204" s="223" t="str">
        <f>IF(AF$3="","",IF(COUNTIFS(BD!$A$3:$A$5001,AF$3,BD!$B$3:$B$5001,$A$193,BD!$Z$3:$Z$5001,"&lt;&gt;")=0,"",SUMIFS(BD!$Z$3:$Z$5001,BD!$A$3:$A$5001,AF$3,BD!$B$3:$B$5001,$A$193)))</f>
        <v/>
      </c>
      <c r="AG204" s="223" t="str">
        <f>IF(AG$3="","",IF(COUNTIFS(BD!$A$3:$A$5001,AG$3,BD!$B$3:$B$5001,$A$193,BD!$Z$3:$Z$5001,"&lt;&gt;")=0,"",SUMIFS(BD!$Z$3:$Z$5001,BD!$A$3:$A$5001,AG$3,BD!$B$3:$B$5001,$A$193)))</f>
        <v/>
      </c>
      <c r="AH204" s="223" t="str">
        <f>IF(AH$3="","",IF(COUNTIFS(BD!$A$3:$A$5001,AH$3,BD!$B$3:$B$5001,$A$193,BD!$Z$3:$Z$5001,"&lt;&gt;")=0,"",SUMIFS(BD!$Z$3:$Z$5001,BD!$A$3:$A$5001,AH$3,BD!$B$3:$B$5001,$A$193)))</f>
        <v/>
      </c>
      <c r="AI204" s="223" t="str">
        <f>IF(AI$3="","",IF(COUNTIFS(BD!$A$3:$A$5001,AI$3,BD!$B$3:$B$5001,$A$193,BD!$Z$3:$Z$5001,"&lt;&gt;")=0,"",SUMIFS(BD!$Z$3:$Z$5001,BD!$A$3:$A$5001,AI$3,BD!$B$3:$B$5001,$A$193)))</f>
        <v/>
      </c>
      <c r="AJ204" s="224" t="str">
        <f>IF(AJ$3="","",IF(COUNTIFS(BD!$A$3:$A$5001,AJ$3,BD!$B$3:$B$5001,$A$193,BD!$Z$3:$Z$5001,"&lt;&gt;")=0,"",SUMIFS(BD!$Z$3:$Z$5001,BD!$A$3:$A$5001,AJ$3,BD!$B$3:$B$5001,$A$193)))</f>
        <v/>
      </c>
      <c r="AK204" s="225" t="str">
        <f>IF(COUNT(F204:AJ204)=0,"",SUM(F204:AJ204))</f>
        <v/>
      </c>
    </row>
    <row r="205" ht="15.75" customHeight="1">
      <c r="A205" s="244"/>
      <c r="B205" s="241"/>
      <c r="C205" s="219" t="inlineStr">
        <is>
          <t xml:space="preserve">Folga</t>
        </is>
      </c>
      <c r="D205" s="220" t="str">
        <f>IFERROR(1/(1/INDEX(BD!$AJ$48:$BD$48,MATCH($A$193,BD!$AJ$22:$BD$22,0))),"")</f>
        <v/>
      </c>
      <c r="E205" s="221"/>
      <c r="F205" s="222" t="str">
        <f>IF(F$3="","",IF(COUNTIFS(BD!$A$3:$A$5001,F$3,BD!$B$3:$B$5001,$A$193,BD!$AA$3:$AA$5001,"&lt;&gt;")=0,"",SUMIFS(BD!$AA$3:$AA$5001,BD!$A$3:$A$5001,F$3,BD!$B$3:$B$5001,$A$193)))</f>
        <v/>
      </c>
      <c r="G205" s="223" t="str">
        <f>IF(G$3="","",IF(COUNTIFS(BD!$A$3:$A$5001,G$3,BD!$B$3:$B$5001,$A$193,BD!$AA$3:$AA$5001,"&lt;&gt;")=0,"",SUMIFS(BD!$AA$3:$AA$5001,BD!$A$3:$A$5001,G$3,BD!$B$3:$B$5001,$A$193)))</f>
        <v/>
      </c>
      <c r="H205" s="223" t="str">
        <f>IF(H$3="","",IF(COUNTIFS(BD!$A$3:$A$5001,H$3,BD!$B$3:$B$5001,$A$193,BD!$AA$3:$AA$5001,"&lt;&gt;")=0,"",SUMIFS(BD!$AA$3:$AA$5001,BD!$A$3:$A$5001,H$3,BD!$B$3:$B$5001,$A$193)))</f>
        <v/>
      </c>
      <c r="I205" s="223" t="str">
        <f>IF(I$3="","",IF(COUNTIFS(BD!$A$3:$A$5001,I$3,BD!$B$3:$B$5001,$A$193,BD!$AA$3:$AA$5001,"&lt;&gt;")=0,"",SUMIFS(BD!$AA$3:$AA$5001,BD!$A$3:$A$5001,I$3,BD!$B$3:$B$5001,$A$193)))</f>
        <v/>
      </c>
      <c r="J205" s="223" t="str">
        <f>IF(J$3="","",IF(COUNTIFS(BD!$A$3:$A$5001,J$3,BD!$B$3:$B$5001,$A$193,BD!$AA$3:$AA$5001,"&lt;&gt;")=0,"",SUMIFS(BD!$AA$3:$AA$5001,BD!$A$3:$A$5001,J$3,BD!$B$3:$B$5001,$A$193)))</f>
        <v/>
      </c>
      <c r="K205" s="223" t="str">
        <f>IF(K$3="","",IF(COUNTIFS(BD!$A$3:$A$5001,K$3,BD!$B$3:$B$5001,$A$193,BD!$AA$3:$AA$5001,"&lt;&gt;")=0,"",SUMIFS(BD!$AA$3:$AA$5001,BD!$A$3:$A$5001,K$3,BD!$B$3:$B$5001,$A$193)))</f>
        <v/>
      </c>
      <c r="L205" s="223" t="str">
        <f>IF(L$3="","",IF(COUNTIFS(BD!$A$3:$A$5001,L$3,BD!$B$3:$B$5001,$A$193,BD!$AA$3:$AA$5001,"&lt;&gt;")=0,"",SUMIFS(BD!$AA$3:$AA$5001,BD!$A$3:$A$5001,L$3,BD!$B$3:$B$5001,$A$193)))</f>
        <v/>
      </c>
      <c r="M205" s="223" t="str">
        <f>IF(M$3="","",IF(COUNTIFS(BD!$A$3:$A$5001,M$3,BD!$B$3:$B$5001,$A$193,BD!$AA$3:$AA$5001,"&lt;&gt;")=0,"",SUMIFS(BD!$AA$3:$AA$5001,BD!$A$3:$A$5001,M$3,BD!$B$3:$B$5001,$A$193)))</f>
        <v/>
      </c>
      <c r="N205" s="223" t="str">
        <f>IF(N$3="","",IF(COUNTIFS(BD!$A$3:$A$5001,N$3,BD!$B$3:$B$5001,$A$193,BD!$AA$3:$AA$5001,"&lt;&gt;")=0,"",SUMIFS(BD!$AA$3:$AA$5001,BD!$A$3:$A$5001,N$3,BD!$B$3:$B$5001,$A$193)))</f>
        <v/>
      </c>
      <c r="O205" s="223" t="str">
        <f>IF(O$3="","",IF(COUNTIFS(BD!$A$3:$A$5001,O$3,BD!$B$3:$B$5001,$A$193,BD!$AA$3:$AA$5001,"&lt;&gt;")=0,"",SUMIFS(BD!$AA$3:$AA$5001,BD!$A$3:$A$5001,O$3,BD!$B$3:$B$5001,$A$193)))</f>
        <v/>
      </c>
      <c r="P205" s="223" t="str">
        <f>IF(P$3="","",IF(COUNTIFS(BD!$A$3:$A$5001,P$3,BD!$B$3:$B$5001,$A$193,BD!$AA$3:$AA$5001,"&lt;&gt;")=0,"",SUMIFS(BD!$AA$3:$AA$5001,BD!$A$3:$A$5001,P$3,BD!$B$3:$B$5001,$A$193)))</f>
        <v/>
      </c>
      <c r="Q205" s="223" t="str">
        <f>IF(Q$3="","",IF(COUNTIFS(BD!$A$3:$A$5001,Q$3,BD!$B$3:$B$5001,$A$193,BD!$AA$3:$AA$5001,"&lt;&gt;")=0,"",SUMIFS(BD!$AA$3:$AA$5001,BD!$A$3:$A$5001,Q$3,BD!$B$3:$B$5001,$A$193)))</f>
        <v/>
      </c>
      <c r="R205" s="223" t="str">
        <f>IF(R$3="","",IF(COUNTIFS(BD!$A$3:$A$5001,R$3,BD!$B$3:$B$5001,$A$193,BD!$AA$3:$AA$5001,"&lt;&gt;")=0,"",SUMIFS(BD!$AA$3:$AA$5001,BD!$A$3:$A$5001,R$3,BD!$B$3:$B$5001,$A$193)))</f>
        <v/>
      </c>
      <c r="S205" s="223" t="str">
        <f>IF(S$3="","",IF(COUNTIFS(BD!$A$3:$A$5001,S$3,BD!$B$3:$B$5001,$A$193,BD!$AA$3:$AA$5001,"&lt;&gt;")=0,"",SUMIFS(BD!$AA$3:$AA$5001,BD!$A$3:$A$5001,S$3,BD!$B$3:$B$5001,$A$193)))</f>
        <v/>
      </c>
      <c r="T205" s="223" t="str">
        <f>IF(T$3="","",IF(COUNTIFS(BD!$A$3:$A$5001,T$3,BD!$B$3:$B$5001,$A$193,BD!$AA$3:$AA$5001,"&lt;&gt;")=0,"",SUMIFS(BD!$AA$3:$AA$5001,BD!$A$3:$A$5001,T$3,BD!$B$3:$B$5001,$A$193)))</f>
        <v/>
      </c>
      <c r="U205" s="223" t="str">
        <f>IF(U$3="","",IF(COUNTIFS(BD!$A$3:$A$5001,U$3,BD!$B$3:$B$5001,$A$193,BD!$AA$3:$AA$5001,"&lt;&gt;")=0,"",SUMIFS(BD!$AA$3:$AA$5001,BD!$A$3:$A$5001,U$3,BD!$B$3:$B$5001,$A$193)))</f>
        <v/>
      </c>
      <c r="V205" s="223" t="str">
        <f>IF(V$3="","",IF(COUNTIFS(BD!$A$3:$A$5001,V$3,BD!$B$3:$B$5001,$A$193,BD!$AA$3:$AA$5001,"&lt;&gt;")=0,"",SUMIFS(BD!$AA$3:$AA$5001,BD!$A$3:$A$5001,V$3,BD!$B$3:$B$5001,$A$193)))</f>
        <v/>
      </c>
      <c r="W205" s="223" t="str">
        <f>IF(W$3="","",IF(COUNTIFS(BD!$A$3:$A$5001,W$3,BD!$B$3:$B$5001,$A$193,BD!$AA$3:$AA$5001,"&lt;&gt;")=0,"",SUMIFS(BD!$AA$3:$AA$5001,BD!$A$3:$A$5001,W$3,BD!$B$3:$B$5001,$A$193)))</f>
        <v/>
      </c>
      <c r="X205" s="223" t="str">
        <f>IF(X$3="","",IF(COUNTIFS(BD!$A$3:$A$5001,X$3,BD!$B$3:$B$5001,$A$193,BD!$AA$3:$AA$5001,"&lt;&gt;")=0,"",SUMIFS(BD!$AA$3:$AA$5001,BD!$A$3:$A$5001,X$3,BD!$B$3:$B$5001,$A$193)))</f>
        <v/>
      </c>
      <c r="Y205" s="223" t="str">
        <f>IF(Y$3="","",IF(COUNTIFS(BD!$A$3:$A$5001,Y$3,BD!$B$3:$B$5001,$A$193,BD!$AA$3:$AA$5001,"&lt;&gt;")=0,"",SUMIFS(BD!$AA$3:$AA$5001,BD!$A$3:$A$5001,Y$3,BD!$B$3:$B$5001,$A$193)))</f>
        <v/>
      </c>
      <c r="Z205" s="223" t="str">
        <f>IF(Z$3="","",IF(COUNTIFS(BD!$A$3:$A$5001,Z$3,BD!$B$3:$B$5001,$A$193,BD!$AA$3:$AA$5001,"&lt;&gt;")=0,"",SUMIFS(BD!$AA$3:$AA$5001,BD!$A$3:$A$5001,Z$3,BD!$B$3:$B$5001,$A$193)))</f>
        <v/>
      </c>
      <c r="AA205" s="223" t="str">
        <f>IF(AA$3="","",IF(COUNTIFS(BD!$A$3:$A$5001,AA$3,BD!$B$3:$B$5001,$A$193,BD!$AA$3:$AA$5001,"&lt;&gt;")=0,"",SUMIFS(BD!$AA$3:$AA$5001,BD!$A$3:$A$5001,AA$3,BD!$B$3:$B$5001,$A$193)))</f>
        <v/>
      </c>
      <c r="AB205" s="223" t="str">
        <f>IF(AB$3="","",IF(COUNTIFS(BD!$A$3:$A$5001,AB$3,BD!$B$3:$B$5001,$A$193,BD!$AA$3:$AA$5001,"&lt;&gt;")=0,"",SUMIFS(BD!$AA$3:$AA$5001,BD!$A$3:$A$5001,AB$3,BD!$B$3:$B$5001,$A$193)))</f>
        <v/>
      </c>
      <c r="AC205" s="223" t="str">
        <f>IF(AC$3="","",IF(COUNTIFS(BD!$A$3:$A$5001,AC$3,BD!$B$3:$B$5001,$A$193,BD!$AA$3:$AA$5001,"&lt;&gt;")=0,"",SUMIFS(BD!$AA$3:$AA$5001,BD!$A$3:$A$5001,AC$3,BD!$B$3:$B$5001,$A$193)))</f>
        <v/>
      </c>
      <c r="AD205" s="223" t="str">
        <f>IF(AD$3="","",IF(COUNTIFS(BD!$A$3:$A$5001,AD$3,BD!$B$3:$B$5001,$A$193,BD!$AA$3:$AA$5001,"&lt;&gt;")=0,"",SUMIFS(BD!$AA$3:$AA$5001,BD!$A$3:$A$5001,AD$3,BD!$B$3:$B$5001,$A$193)))</f>
        <v/>
      </c>
      <c r="AE205" s="223" t="str">
        <f>IF(AE$3="","",IF(COUNTIFS(BD!$A$3:$A$5001,AE$3,BD!$B$3:$B$5001,$A$193,BD!$AA$3:$AA$5001,"&lt;&gt;")=0,"",SUMIFS(BD!$AA$3:$AA$5001,BD!$A$3:$A$5001,AE$3,BD!$B$3:$B$5001,$A$193)))</f>
        <v/>
      </c>
      <c r="AF205" s="223" t="str">
        <f>IF(AF$3="","",IF(COUNTIFS(BD!$A$3:$A$5001,AF$3,BD!$B$3:$B$5001,$A$193,BD!$AA$3:$AA$5001,"&lt;&gt;")=0,"",SUMIFS(BD!$AA$3:$AA$5001,BD!$A$3:$A$5001,AF$3,BD!$B$3:$B$5001,$A$193)))</f>
        <v/>
      </c>
      <c r="AG205" s="223" t="str">
        <f>IF(AG$3="","",IF(COUNTIFS(BD!$A$3:$A$5001,AG$3,BD!$B$3:$B$5001,$A$193,BD!$AA$3:$AA$5001,"&lt;&gt;")=0,"",SUMIFS(BD!$AA$3:$AA$5001,BD!$A$3:$A$5001,AG$3,BD!$B$3:$B$5001,$A$193)))</f>
        <v/>
      </c>
      <c r="AH205" s="223" t="str">
        <f>IF(AH$3="","",IF(COUNTIFS(BD!$A$3:$A$5001,AH$3,BD!$B$3:$B$5001,$A$193,BD!$AA$3:$AA$5001,"&lt;&gt;")=0,"",SUMIFS(BD!$AA$3:$AA$5001,BD!$A$3:$A$5001,AH$3,BD!$B$3:$B$5001,$A$193)))</f>
        <v/>
      </c>
      <c r="AI205" s="223" t="str">
        <f>IF(AI$3="","",IF(COUNTIFS(BD!$A$3:$A$5001,AI$3,BD!$B$3:$B$5001,$A$193,BD!$AA$3:$AA$5001,"&lt;&gt;")=0,"",SUMIFS(BD!$AA$3:$AA$5001,BD!$A$3:$A$5001,AI$3,BD!$B$3:$B$5001,$A$193)))</f>
        <v/>
      </c>
      <c r="AJ205" s="224" t="str">
        <f>IF(AJ$3="","",IF(COUNTIFS(BD!$A$3:$A$5001,AJ$3,BD!$B$3:$B$5001,$A$193,BD!$AA$3:$AA$5001,"&lt;&gt;")=0,"",SUMIFS(BD!$AA$3:$AA$5001,BD!$A$3:$A$5001,AJ$3,BD!$B$3:$B$5001,$A$193)))</f>
        <v/>
      </c>
      <c r="AK205" s="225" t="str">
        <f>IF(COUNT(F205:AJ205)=0,"",SUM(F205:AJ205))</f>
        <v/>
      </c>
    </row>
    <row r="206" ht="15.75" customHeight="1">
      <c r="A206" s="244"/>
      <c r="B206" s="241"/>
      <c r="C206" s="219" t="inlineStr">
        <is>
          <t xml:space="preserve">Férias</t>
        </is>
      </c>
      <c r="D206" s="220" t="str">
        <f>IFERROR(1/(1/INDEX(BD!$AJ$49:$BD$49,MATCH($A$193,BD!$AJ$22:$BD$22,0))),"")</f>
        <v/>
      </c>
      <c r="E206" s="221"/>
      <c r="F206" s="222" t="str">
        <f>IF(F$3="","",IF(COUNTIFS(BD!$A$3:$A$5001,F$3,BD!$B$3:$B$5001,$A$193,BD!$AB$3:$AB$5001,"&lt;&gt;")=0,"",SUMIFS(BD!$AB$3:$AB$5001,BD!$A$3:$A$5001,F$3,BD!$B$3:$B$5001,$A$193)))</f>
        <v/>
      </c>
      <c r="G206" s="223" t="str">
        <f>IF(G$3="","",IF(COUNTIFS(BD!$A$3:$A$5001,G$3,BD!$B$3:$B$5001,$A$193,BD!$AB$3:$AB$5001,"&lt;&gt;")=0,"",SUMIFS(BD!$AB$3:$AB$5001,BD!$A$3:$A$5001,G$3,BD!$B$3:$B$5001,$A$193)))</f>
        <v/>
      </c>
      <c r="H206" s="223" t="str">
        <f>IF(H$3="","",IF(COUNTIFS(BD!$A$3:$A$5001,H$3,BD!$B$3:$B$5001,$A$193,BD!$AB$3:$AB$5001,"&lt;&gt;")=0,"",SUMIFS(BD!$AB$3:$AB$5001,BD!$A$3:$A$5001,H$3,BD!$B$3:$B$5001,$A$193)))</f>
        <v/>
      </c>
      <c r="I206" s="223" t="str">
        <f>IF(I$3="","",IF(COUNTIFS(BD!$A$3:$A$5001,I$3,BD!$B$3:$B$5001,$A$193,BD!$AB$3:$AB$5001,"&lt;&gt;")=0,"",SUMIFS(BD!$AB$3:$AB$5001,BD!$A$3:$A$5001,I$3,BD!$B$3:$B$5001,$A$193)))</f>
        <v/>
      </c>
      <c r="J206" s="223" t="str">
        <f>IF(J$3="","",IF(COUNTIFS(BD!$A$3:$A$5001,J$3,BD!$B$3:$B$5001,$A$193,BD!$AB$3:$AB$5001,"&lt;&gt;")=0,"",SUMIFS(BD!$AB$3:$AB$5001,BD!$A$3:$A$5001,J$3,BD!$B$3:$B$5001,$A$193)))</f>
        <v/>
      </c>
      <c r="K206" s="223" t="str">
        <f>IF(K$3="","",IF(COUNTIFS(BD!$A$3:$A$5001,K$3,BD!$B$3:$B$5001,$A$193,BD!$AB$3:$AB$5001,"&lt;&gt;")=0,"",SUMIFS(BD!$AB$3:$AB$5001,BD!$A$3:$A$5001,K$3,BD!$B$3:$B$5001,$A$193)))</f>
        <v/>
      </c>
      <c r="L206" s="223" t="str">
        <f>IF(L$3="","",IF(COUNTIFS(BD!$A$3:$A$5001,L$3,BD!$B$3:$B$5001,$A$193,BD!$AB$3:$AB$5001,"&lt;&gt;")=0,"",SUMIFS(BD!$AB$3:$AB$5001,BD!$A$3:$A$5001,L$3,BD!$B$3:$B$5001,$A$193)))</f>
        <v/>
      </c>
      <c r="M206" s="223" t="str">
        <f>IF(M$3="","",IF(COUNTIFS(BD!$A$3:$A$5001,M$3,BD!$B$3:$B$5001,$A$193,BD!$AB$3:$AB$5001,"&lt;&gt;")=0,"",SUMIFS(BD!$AB$3:$AB$5001,BD!$A$3:$A$5001,M$3,BD!$B$3:$B$5001,$A$193)))</f>
        <v/>
      </c>
      <c r="N206" s="223" t="str">
        <f>IF(N$3="","",IF(COUNTIFS(BD!$A$3:$A$5001,N$3,BD!$B$3:$B$5001,$A$193,BD!$AB$3:$AB$5001,"&lt;&gt;")=0,"",SUMIFS(BD!$AB$3:$AB$5001,BD!$A$3:$A$5001,N$3,BD!$B$3:$B$5001,$A$193)))</f>
        <v/>
      </c>
      <c r="O206" s="223" t="str">
        <f>IF(O$3="","",IF(COUNTIFS(BD!$A$3:$A$5001,O$3,BD!$B$3:$B$5001,$A$193,BD!$AB$3:$AB$5001,"&lt;&gt;")=0,"",SUMIFS(BD!$AB$3:$AB$5001,BD!$A$3:$A$5001,O$3,BD!$B$3:$B$5001,$A$193)))</f>
        <v/>
      </c>
      <c r="P206" s="223" t="str">
        <f>IF(P$3="","",IF(COUNTIFS(BD!$A$3:$A$5001,P$3,BD!$B$3:$B$5001,$A$193,BD!$AB$3:$AB$5001,"&lt;&gt;")=0,"",SUMIFS(BD!$AB$3:$AB$5001,BD!$A$3:$A$5001,P$3,BD!$B$3:$B$5001,$A$193)))</f>
        <v/>
      </c>
      <c r="Q206" s="223" t="str">
        <f>IF(Q$3="","",IF(COUNTIFS(BD!$A$3:$A$5001,Q$3,BD!$B$3:$B$5001,$A$193,BD!$AB$3:$AB$5001,"&lt;&gt;")=0,"",SUMIFS(BD!$AB$3:$AB$5001,BD!$A$3:$A$5001,Q$3,BD!$B$3:$B$5001,$A$193)))</f>
        <v/>
      </c>
      <c r="R206" s="223" t="str">
        <f>IF(R$3="","",IF(COUNTIFS(BD!$A$3:$A$5001,R$3,BD!$B$3:$B$5001,$A$193,BD!$AB$3:$AB$5001,"&lt;&gt;")=0,"",SUMIFS(BD!$AB$3:$AB$5001,BD!$A$3:$A$5001,R$3,BD!$B$3:$B$5001,$A$193)))</f>
        <v/>
      </c>
      <c r="S206" s="223" t="str">
        <f>IF(S$3="","",IF(COUNTIFS(BD!$A$3:$A$5001,S$3,BD!$B$3:$B$5001,$A$193,BD!$AB$3:$AB$5001,"&lt;&gt;")=0,"",SUMIFS(BD!$AB$3:$AB$5001,BD!$A$3:$A$5001,S$3,BD!$B$3:$B$5001,$A$193)))</f>
        <v/>
      </c>
      <c r="T206" s="223" t="str">
        <f>IF(T$3="","",IF(COUNTIFS(BD!$A$3:$A$5001,T$3,BD!$B$3:$B$5001,$A$193,BD!$AB$3:$AB$5001,"&lt;&gt;")=0,"",SUMIFS(BD!$AB$3:$AB$5001,BD!$A$3:$A$5001,T$3,BD!$B$3:$B$5001,$A$193)))</f>
        <v/>
      </c>
      <c r="U206" s="223" t="str">
        <f>IF(U$3="","",IF(COUNTIFS(BD!$A$3:$A$5001,U$3,BD!$B$3:$B$5001,$A$193,BD!$AB$3:$AB$5001,"&lt;&gt;")=0,"",SUMIFS(BD!$AB$3:$AB$5001,BD!$A$3:$A$5001,U$3,BD!$B$3:$B$5001,$A$193)))</f>
        <v/>
      </c>
      <c r="V206" s="223" t="str">
        <f>IF(V$3="","",IF(COUNTIFS(BD!$A$3:$A$5001,V$3,BD!$B$3:$B$5001,$A$193,BD!$AB$3:$AB$5001,"&lt;&gt;")=0,"",SUMIFS(BD!$AB$3:$AB$5001,BD!$A$3:$A$5001,V$3,BD!$B$3:$B$5001,$A$193)))</f>
        <v/>
      </c>
      <c r="W206" s="223" t="str">
        <f>IF(W$3="","",IF(COUNTIFS(BD!$A$3:$A$5001,W$3,BD!$B$3:$B$5001,$A$193,BD!$AB$3:$AB$5001,"&lt;&gt;")=0,"",SUMIFS(BD!$AB$3:$AB$5001,BD!$A$3:$A$5001,W$3,BD!$B$3:$B$5001,$A$193)))</f>
        <v/>
      </c>
      <c r="X206" s="223" t="str">
        <f>IF(X$3="","",IF(COUNTIFS(BD!$A$3:$A$5001,X$3,BD!$B$3:$B$5001,$A$193,BD!$AB$3:$AB$5001,"&lt;&gt;")=0,"",SUMIFS(BD!$AB$3:$AB$5001,BD!$A$3:$A$5001,X$3,BD!$B$3:$B$5001,$A$193)))</f>
        <v/>
      </c>
      <c r="Y206" s="223" t="str">
        <f>IF(Y$3="","",IF(COUNTIFS(BD!$A$3:$A$5001,Y$3,BD!$B$3:$B$5001,$A$193,BD!$AB$3:$AB$5001,"&lt;&gt;")=0,"",SUMIFS(BD!$AB$3:$AB$5001,BD!$A$3:$A$5001,Y$3,BD!$B$3:$B$5001,$A$193)))</f>
        <v/>
      </c>
      <c r="Z206" s="223" t="str">
        <f>IF(Z$3="","",IF(COUNTIFS(BD!$A$3:$A$5001,Z$3,BD!$B$3:$B$5001,$A$193,BD!$AB$3:$AB$5001,"&lt;&gt;")=0,"",SUMIFS(BD!$AB$3:$AB$5001,BD!$A$3:$A$5001,Z$3,BD!$B$3:$B$5001,$A$193)))</f>
        <v/>
      </c>
      <c r="AA206" s="223" t="str">
        <f>IF(AA$3="","",IF(COUNTIFS(BD!$A$3:$A$5001,AA$3,BD!$B$3:$B$5001,$A$193,BD!$AB$3:$AB$5001,"&lt;&gt;")=0,"",SUMIFS(BD!$AB$3:$AB$5001,BD!$A$3:$A$5001,AA$3,BD!$B$3:$B$5001,$A$193)))</f>
        <v/>
      </c>
      <c r="AB206" s="223" t="str">
        <f>IF(AB$3="","",IF(COUNTIFS(BD!$A$3:$A$5001,AB$3,BD!$B$3:$B$5001,$A$193,BD!$AB$3:$AB$5001,"&lt;&gt;")=0,"",SUMIFS(BD!$AB$3:$AB$5001,BD!$A$3:$A$5001,AB$3,BD!$B$3:$B$5001,$A$193)))</f>
        <v/>
      </c>
      <c r="AC206" s="223" t="str">
        <f>IF(AC$3="","",IF(COUNTIFS(BD!$A$3:$A$5001,AC$3,BD!$B$3:$B$5001,$A$193,BD!$AB$3:$AB$5001,"&lt;&gt;")=0,"",SUMIFS(BD!$AB$3:$AB$5001,BD!$A$3:$A$5001,AC$3,BD!$B$3:$B$5001,$A$193)))</f>
        <v/>
      </c>
      <c r="AD206" s="223" t="str">
        <f>IF(AD$3="","",IF(COUNTIFS(BD!$A$3:$A$5001,AD$3,BD!$B$3:$B$5001,$A$193,BD!$AB$3:$AB$5001,"&lt;&gt;")=0,"",SUMIFS(BD!$AB$3:$AB$5001,BD!$A$3:$A$5001,AD$3,BD!$B$3:$B$5001,$A$193)))</f>
        <v/>
      </c>
      <c r="AE206" s="223" t="str">
        <f>IF(AE$3="","",IF(COUNTIFS(BD!$A$3:$A$5001,AE$3,BD!$B$3:$B$5001,$A$193,BD!$AB$3:$AB$5001,"&lt;&gt;")=0,"",SUMIFS(BD!$AB$3:$AB$5001,BD!$A$3:$A$5001,AE$3,BD!$B$3:$B$5001,$A$193)))</f>
        <v/>
      </c>
      <c r="AF206" s="223" t="str">
        <f>IF(AF$3="","",IF(COUNTIFS(BD!$A$3:$A$5001,AF$3,BD!$B$3:$B$5001,$A$193,BD!$AB$3:$AB$5001,"&lt;&gt;")=0,"",SUMIFS(BD!$AB$3:$AB$5001,BD!$A$3:$A$5001,AF$3,BD!$B$3:$B$5001,$A$193)))</f>
        <v/>
      </c>
      <c r="AG206" s="223" t="str">
        <f>IF(AG$3="","",IF(COUNTIFS(BD!$A$3:$A$5001,AG$3,BD!$B$3:$B$5001,$A$193,BD!$AB$3:$AB$5001,"&lt;&gt;")=0,"",SUMIFS(BD!$AB$3:$AB$5001,BD!$A$3:$A$5001,AG$3,BD!$B$3:$B$5001,$A$193)))</f>
        <v/>
      </c>
      <c r="AH206" s="223" t="str">
        <f>IF(AH$3="","",IF(COUNTIFS(BD!$A$3:$A$5001,AH$3,BD!$B$3:$B$5001,$A$193,BD!$AB$3:$AB$5001,"&lt;&gt;")=0,"",SUMIFS(BD!$AB$3:$AB$5001,BD!$A$3:$A$5001,AH$3,BD!$B$3:$B$5001,$A$193)))</f>
        <v/>
      </c>
      <c r="AI206" s="223" t="str">
        <f>IF(AI$3="","",IF(COUNTIFS(BD!$A$3:$A$5001,AI$3,BD!$B$3:$B$5001,$A$193,BD!$AB$3:$AB$5001,"&lt;&gt;")=0,"",SUMIFS(BD!$AB$3:$AB$5001,BD!$A$3:$A$5001,AI$3,BD!$B$3:$B$5001,$A$193)))</f>
        <v/>
      </c>
      <c r="AJ206" s="224" t="str">
        <f>IF(AJ$3="","",IF(COUNTIFS(BD!$A$3:$A$5001,AJ$3,BD!$B$3:$B$5001,$A$193,BD!$AB$3:$AB$5001,"&lt;&gt;")=0,"",SUMIFS(BD!$AB$3:$AB$5001,BD!$A$3:$A$5001,AJ$3,BD!$B$3:$B$5001,$A$193)))</f>
        <v/>
      </c>
      <c r="AK206" s="225" t="str">
        <f>IF(COUNT(F206:AJ206)=0,"",SUM(F206:AJ206))</f>
        <v/>
      </c>
    </row>
    <row r="207" ht="15.75" customHeight="1">
      <c r="A207" s="244"/>
      <c r="B207" s="241"/>
      <c r="C207" s="219" t="inlineStr">
        <is>
          <t xml:space="preserve">Desligamento</t>
        </is>
      </c>
      <c r="D207" s="220" t="str">
        <f>IFERROR(1/(1/INDEX(BD!$AJ$50:$BD$50,MATCH($A$193,BD!$AJ$22:$BD$22,0))),"")</f>
        <v/>
      </c>
      <c r="E207" s="221"/>
      <c r="F207" s="222" t="str">
        <f>IF(F$3="","",IF(COUNTIFS(BD!$A$3:$A$5001,F$3,BD!$B$3:$B$5001,$A$193,BD!$AC$3:$AC$5001,"&lt;&gt;")=0,"",SUMIFS(BD!$AC$3:$AC$5001,BD!$A$3:$A$5001,F$3,BD!$B$3:$B$5001,$A$193)))</f>
        <v/>
      </c>
      <c r="G207" s="223" t="str">
        <f>IF(G$3="","",IF(COUNTIFS(BD!$A$3:$A$5001,G$3,BD!$B$3:$B$5001,$A$193,BD!$AC$3:$AC$5001,"&lt;&gt;")=0,"",SUMIFS(BD!$AC$3:$AC$5001,BD!$A$3:$A$5001,G$3,BD!$B$3:$B$5001,$A$193)))</f>
        <v/>
      </c>
      <c r="H207" s="223" t="str">
        <f>IF(H$3="","",IF(COUNTIFS(BD!$A$3:$A$5001,H$3,BD!$B$3:$B$5001,$A$193,BD!$AC$3:$AC$5001,"&lt;&gt;")=0,"",SUMIFS(BD!$AC$3:$AC$5001,BD!$A$3:$A$5001,H$3,BD!$B$3:$B$5001,$A$193)))</f>
        <v/>
      </c>
      <c r="I207" s="223" t="str">
        <f>IF(I$3="","",IF(COUNTIFS(BD!$A$3:$A$5001,I$3,BD!$B$3:$B$5001,$A$193,BD!$AC$3:$AC$5001,"&lt;&gt;")=0,"",SUMIFS(BD!$AC$3:$AC$5001,BD!$A$3:$A$5001,I$3,BD!$B$3:$B$5001,$A$193)))</f>
        <v/>
      </c>
      <c r="J207" s="223" t="str">
        <f>IF(J$3="","",IF(COUNTIFS(BD!$A$3:$A$5001,J$3,BD!$B$3:$B$5001,$A$193,BD!$AC$3:$AC$5001,"&lt;&gt;")=0,"",SUMIFS(BD!$AC$3:$AC$5001,BD!$A$3:$A$5001,J$3,BD!$B$3:$B$5001,$A$193)))</f>
        <v/>
      </c>
      <c r="K207" s="223" t="str">
        <f>IF(K$3="","",IF(COUNTIFS(BD!$A$3:$A$5001,K$3,BD!$B$3:$B$5001,$A$193,BD!$AC$3:$AC$5001,"&lt;&gt;")=0,"",SUMIFS(BD!$AC$3:$AC$5001,BD!$A$3:$A$5001,K$3,BD!$B$3:$B$5001,$A$193)))</f>
        <v/>
      </c>
      <c r="L207" s="223" t="str">
        <f>IF(L$3="","",IF(COUNTIFS(BD!$A$3:$A$5001,L$3,BD!$B$3:$B$5001,$A$193,BD!$AC$3:$AC$5001,"&lt;&gt;")=0,"",SUMIFS(BD!$AC$3:$AC$5001,BD!$A$3:$A$5001,L$3,BD!$B$3:$B$5001,$A$193)))</f>
        <v/>
      </c>
      <c r="M207" s="223" t="str">
        <f>IF(M$3="","",IF(COUNTIFS(BD!$A$3:$A$5001,M$3,BD!$B$3:$B$5001,$A$193,BD!$AC$3:$AC$5001,"&lt;&gt;")=0,"",SUMIFS(BD!$AC$3:$AC$5001,BD!$A$3:$A$5001,M$3,BD!$B$3:$B$5001,$A$193)))</f>
        <v/>
      </c>
      <c r="N207" s="223" t="str">
        <f>IF(N$3="","",IF(COUNTIFS(BD!$A$3:$A$5001,N$3,BD!$B$3:$B$5001,$A$193,BD!$AC$3:$AC$5001,"&lt;&gt;")=0,"",SUMIFS(BD!$AC$3:$AC$5001,BD!$A$3:$A$5001,N$3,BD!$B$3:$B$5001,$A$193)))</f>
        <v/>
      </c>
      <c r="O207" s="223" t="str">
        <f>IF(O$3="","",IF(COUNTIFS(BD!$A$3:$A$5001,O$3,BD!$B$3:$B$5001,$A$193,BD!$AC$3:$AC$5001,"&lt;&gt;")=0,"",SUMIFS(BD!$AC$3:$AC$5001,BD!$A$3:$A$5001,O$3,BD!$B$3:$B$5001,$A$193)))</f>
        <v/>
      </c>
      <c r="P207" s="223" t="str">
        <f>IF(P$3="","",IF(COUNTIFS(BD!$A$3:$A$5001,P$3,BD!$B$3:$B$5001,$A$193,BD!$AC$3:$AC$5001,"&lt;&gt;")=0,"",SUMIFS(BD!$AC$3:$AC$5001,BD!$A$3:$A$5001,P$3,BD!$B$3:$B$5001,$A$193)))</f>
        <v/>
      </c>
      <c r="Q207" s="223" t="str">
        <f>IF(Q$3="","",IF(COUNTIFS(BD!$A$3:$A$5001,Q$3,BD!$B$3:$B$5001,$A$193,BD!$AC$3:$AC$5001,"&lt;&gt;")=0,"",SUMIFS(BD!$AC$3:$AC$5001,BD!$A$3:$A$5001,Q$3,BD!$B$3:$B$5001,$A$193)))</f>
        <v/>
      </c>
      <c r="R207" s="223" t="str">
        <f>IF(R$3="","",IF(COUNTIFS(BD!$A$3:$A$5001,R$3,BD!$B$3:$B$5001,$A$193,BD!$AC$3:$AC$5001,"&lt;&gt;")=0,"",SUMIFS(BD!$AC$3:$AC$5001,BD!$A$3:$A$5001,R$3,BD!$B$3:$B$5001,$A$193)))</f>
        <v/>
      </c>
      <c r="S207" s="223" t="str">
        <f>IF(S$3="","",IF(COUNTIFS(BD!$A$3:$A$5001,S$3,BD!$B$3:$B$5001,$A$193,BD!$AC$3:$AC$5001,"&lt;&gt;")=0,"",SUMIFS(BD!$AC$3:$AC$5001,BD!$A$3:$A$5001,S$3,BD!$B$3:$B$5001,$A$193)))</f>
        <v/>
      </c>
      <c r="T207" s="223" t="str">
        <f>IF(T$3="","",IF(COUNTIFS(BD!$A$3:$A$5001,T$3,BD!$B$3:$B$5001,$A$193,BD!$AC$3:$AC$5001,"&lt;&gt;")=0,"",SUMIFS(BD!$AC$3:$AC$5001,BD!$A$3:$A$5001,T$3,BD!$B$3:$B$5001,$A$193)))</f>
        <v/>
      </c>
      <c r="U207" s="223" t="str">
        <f>IF(U$3="","",IF(COUNTIFS(BD!$A$3:$A$5001,U$3,BD!$B$3:$B$5001,$A$193,BD!$AC$3:$AC$5001,"&lt;&gt;")=0,"",SUMIFS(BD!$AC$3:$AC$5001,BD!$A$3:$A$5001,U$3,BD!$B$3:$B$5001,$A$193)))</f>
        <v/>
      </c>
      <c r="V207" s="223" t="str">
        <f>IF(V$3="","",IF(COUNTIFS(BD!$A$3:$A$5001,V$3,BD!$B$3:$B$5001,$A$193,BD!$AC$3:$AC$5001,"&lt;&gt;")=0,"",SUMIFS(BD!$AC$3:$AC$5001,BD!$A$3:$A$5001,V$3,BD!$B$3:$B$5001,$A$193)))</f>
        <v/>
      </c>
      <c r="W207" s="223" t="str">
        <f>IF(W$3="","",IF(COUNTIFS(BD!$A$3:$A$5001,W$3,BD!$B$3:$B$5001,$A$193,BD!$AC$3:$AC$5001,"&lt;&gt;")=0,"",SUMIFS(BD!$AC$3:$AC$5001,BD!$A$3:$A$5001,W$3,BD!$B$3:$B$5001,$A$193)))</f>
        <v/>
      </c>
      <c r="X207" s="223" t="str">
        <f>IF(X$3="","",IF(COUNTIFS(BD!$A$3:$A$5001,X$3,BD!$B$3:$B$5001,$A$193,BD!$AC$3:$AC$5001,"&lt;&gt;")=0,"",SUMIFS(BD!$AC$3:$AC$5001,BD!$A$3:$A$5001,X$3,BD!$B$3:$B$5001,$A$193)))</f>
        <v/>
      </c>
      <c r="Y207" s="223" t="str">
        <f>IF(Y$3="","",IF(COUNTIFS(BD!$A$3:$A$5001,Y$3,BD!$B$3:$B$5001,$A$193,BD!$AC$3:$AC$5001,"&lt;&gt;")=0,"",SUMIFS(BD!$AC$3:$AC$5001,BD!$A$3:$A$5001,Y$3,BD!$B$3:$B$5001,$A$193)))</f>
        <v/>
      </c>
      <c r="Z207" s="223" t="str">
        <f>IF(Z$3="","",IF(COUNTIFS(BD!$A$3:$A$5001,Z$3,BD!$B$3:$B$5001,$A$193,BD!$AC$3:$AC$5001,"&lt;&gt;")=0,"",SUMIFS(BD!$AC$3:$AC$5001,BD!$A$3:$A$5001,Z$3,BD!$B$3:$B$5001,$A$193)))</f>
        <v/>
      </c>
      <c r="AA207" s="223" t="str">
        <f>IF(AA$3="","",IF(COUNTIFS(BD!$A$3:$A$5001,AA$3,BD!$B$3:$B$5001,$A$193,BD!$AC$3:$AC$5001,"&lt;&gt;")=0,"",SUMIFS(BD!$AC$3:$AC$5001,BD!$A$3:$A$5001,AA$3,BD!$B$3:$B$5001,$A$193)))</f>
        <v/>
      </c>
      <c r="AB207" s="223" t="str">
        <f>IF(AB$3="","",IF(COUNTIFS(BD!$A$3:$A$5001,AB$3,BD!$B$3:$B$5001,$A$193,BD!$AC$3:$AC$5001,"&lt;&gt;")=0,"",SUMIFS(BD!$AC$3:$AC$5001,BD!$A$3:$A$5001,AB$3,BD!$B$3:$B$5001,$A$193)))</f>
        <v/>
      </c>
      <c r="AC207" s="223" t="str">
        <f>IF(AC$3="","",IF(COUNTIFS(BD!$A$3:$A$5001,AC$3,BD!$B$3:$B$5001,$A$193,BD!$AC$3:$AC$5001,"&lt;&gt;")=0,"",SUMIFS(BD!$AC$3:$AC$5001,BD!$A$3:$A$5001,AC$3,BD!$B$3:$B$5001,$A$193)))</f>
        <v/>
      </c>
      <c r="AD207" s="223" t="str">
        <f>IF(AD$3="","",IF(COUNTIFS(BD!$A$3:$A$5001,AD$3,BD!$B$3:$B$5001,$A$193,BD!$AC$3:$AC$5001,"&lt;&gt;")=0,"",SUMIFS(BD!$AC$3:$AC$5001,BD!$A$3:$A$5001,AD$3,BD!$B$3:$B$5001,$A$193)))</f>
        <v/>
      </c>
      <c r="AE207" s="223" t="str">
        <f>IF(AE$3="","",IF(COUNTIFS(BD!$A$3:$A$5001,AE$3,BD!$B$3:$B$5001,$A$193,BD!$AC$3:$AC$5001,"&lt;&gt;")=0,"",SUMIFS(BD!$AC$3:$AC$5001,BD!$A$3:$A$5001,AE$3,BD!$B$3:$B$5001,$A$193)))</f>
        <v/>
      </c>
      <c r="AF207" s="223" t="str">
        <f>IF(AF$3="","",IF(COUNTIFS(BD!$A$3:$A$5001,AF$3,BD!$B$3:$B$5001,$A$193,BD!$AC$3:$AC$5001,"&lt;&gt;")=0,"",SUMIFS(BD!$AC$3:$AC$5001,BD!$A$3:$A$5001,AF$3,BD!$B$3:$B$5001,$A$193)))</f>
        <v/>
      </c>
      <c r="AG207" s="223" t="str">
        <f>IF(AG$3="","",IF(COUNTIFS(BD!$A$3:$A$5001,AG$3,BD!$B$3:$B$5001,$A$193,BD!$AC$3:$AC$5001,"&lt;&gt;")=0,"",SUMIFS(BD!$AC$3:$AC$5001,BD!$A$3:$A$5001,AG$3,BD!$B$3:$B$5001,$A$193)))</f>
        <v/>
      </c>
      <c r="AH207" s="223" t="str">
        <f>IF(AH$3="","",IF(COUNTIFS(BD!$A$3:$A$5001,AH$3,BD!$B$3:$B$5001,$A$193,BD!$AC$3:$AC$5001,"&lt;&gt;")=0,"",SUMIFS(BD!$AC$3:$AC$5001,BD!$A$3:$A$5001,AH$3,BD!$B$3:$B$5001,$A$193)))</f>
        <v/>
      </c>
      <c r="AI207" s="223" t="str">
        <f>IF(AI$3="","",IF(COUNTIFS(BD!$A$3:$A$5001,AI$3,BD!$B$3:$B$5001,$A$193,BD!$AC$3:$AC$5001,"&lt;&gt;")=0,"",SUMIFS(BD!$AC$3:$AC$5001,BD!$A$3:$A$5001,AI$3,BD!$B$3:$B$5001,$A$193)))</f>
        <v/>
      </c>
      <c r="AJ207" s="224" t="str">
        <f>IF(AJ$3="","",IF(COUNTIFS(BD!$A$3:$A$5001,AJ$3,BD!$B$3:$B$5001,$A$193,BD!$AC$3:$AC$5001,"&lt;&gt;")=0,"",SUMIFS(BD!$AC$3:$AC$5001,BD!$A$3:$A$5001,AJ$3,BD!$B$3:$B$5001,$A$193)))</f>
        <v/>
      </c>
      <c r="AK207" s="225" t="str">
        <f>IF(COUNT(F207:AJ207)=0,"",SUM(F207:AJ207))</f>
        <v/>
      </c>
    </row>
    <row r="208" ht="15.75" customHeight="1">
      <c r="A208" s="244"/>
      <c r="B208" s="241"/>
      <c r="C208" s="219" t="inlineStr">
        <is>
          <t xml:space="preserve">Desvios Comportamentais</t>
        </is>
      </c>
      <c r="D208" s="220" t="str">
        <f>IFERROR(1/(1/INDEX(BD!$AJ$51:$BD$51,MATCH($A$193,BD!$AJ$22:$BD$22,0))),"")</f>
        <v/>
      </c>
      <c r="E208" s="221"/>
      <c r="F208" s="222" t="str">
        <f>IF(F$3="","",IF(COUNTIFS(BD!$A$3:$A$5001,F$3,BD!$B$3:$B$5001,$A$193,BD!$AD$3:$AD$5001,"&lt;&gt;")=0,"",SUMIFS(BD!$AD$3:$AD$5001,BD!$A$3:$A$5001,F$3,BD!$B$3:$B$5001,$A$193)))</f>
        <v/>
      </c>
      <c r="G208" s="223" t="str">
        <f>IF(G$3="","",IF(COUNTIFS(BD!$A$3:$A$5001,G$3,BD!$B$3:$B$5001,$A$193,BD!$AD$3:$AD$5001,"&lt;&gt;")=0,"",SUMIFS(BD!$AD$3:$AD$5001,BD!$A$3:$A$5001,G$3,BD!$B$3:$B$5001,$A$193)))</f>
        <v/>
      </c>
      <c r="H208" s="223" t="str">
        <f>IF(H$3="","",IF(COUNTIFS(BD!$A$3:$A$5001,H$3,BD!$B$3:$B$5001,$A$193,BD!$AD$3:$AD$5001,"&lt;&gt;")=0,"",SUMIFS(BD!$AD$3:$AD$5001,BD!$A$3:$A$5001,H$3,BD!$B$3:$B$5001,$A$193)))</f>
        <v/>
      </c>
      <c r="I208" s="223" t="str">
        <f>IF(I$3="","",IF(COUNTIFS(BD!$A$3:$A$5001,I$3,BD!$B$3:$B$5001,$A$193,BD!$AD$3:$AD$5001,"&lt;&gt;")=0,"",SUMIFS(BD!$AD$3:$AD$5001,BD!$A$3:$A$5001,I$3,BD!$B$3:$B$5001,$A$193)))</f>
        <v/>
      </c>
      <c r="J208" s="223" t="str">
        <f>IF(J$3="","",IF(COUNTIFS(BD!$A$3:$A$5001,J$3,BD!$B$3:$B$5001,$A$193,BD!$AD$3:$AD$5001,"&lt;&gt;")=0,"",SUMIFS(BD!$AD$3:$AD$5001,BD!$A$3:$A$5001,J$3,BD!$B$3:$B$5001,$A$193)))</f>
        <v/>
      </c>
      <c r="K208" s="223" t="str">
        <f>IF(K$3="","",IF(COUNTIFS(BD!$A$3:$A$5001,K$3,BD!$B$3:$B$5001,$A$193,BD!$AD$3:$AD$5001,"&lt;&gt;")=0,"",SUMIFS(BD!$AD$3:$AD$5001,BD!$A$3:$A$5001,K$3,BD!$B$3:$B$5001,$A$193)))</f>
        <v/>
      </c>
      <c r="L208" s="223" t="str">
        <f>IF(L$3="","",IF(COUNTIFS(BD!$A$3:$A$5001,L$3,BD!$B$3:$B$5001,$A$193,BD!$AD$3:$AD$5001,"&lt;&gt;")=0,"",SUMIFS(BD!$AD$3:$AD$5001,BD!$A$3:$A$5001,L$3,BD!$B$3:$B$5001,$A$193)))</f>
        <v/>
      </c>
      <c r="M208" s="223" t="str">
        <f>IF(M$3="","",IF(COUNTIFS(BD!$A$3:$A$5001,M$3,BD!$B$3:$B$5001,$A$193,BD!$AD$3:$AD$5001,"&lt;&gt;")=0,"",SUMIFS(BD!$AD$3:$AD$5001,BD!$A$3:$A$5001,M$3,BD!$B$3:$B$5001,$A$193)))</f>
        <v/>
      </c>
      <c r="N208" s="223" t="str">
        <f>IF(N$3="","",IF(COUNTIFS(BD!$A$3:$A$5001,N$3,BD!$B$3:$B$5001,$A$193,BD!$AD$3:$AD$5001,"&lt;&gt;")=0,"",SUMIFS(BD!$AD$3:$AD$5001,BD!$A$3:$A$5001,N$3,BD!$B$3:$B$5001,$A$193)))</f>
        <v/>
      </c>
      <c r="O208" s="223" t="str">
        <f>IF(O$3="","",IF(COUNTIFS(BD!$A$3:$A$5001,O$3,BD!$B$3:$B$5001,$A$193,BD!$AD$3:$AD$5001,"&lt;&gt;")=0,"",SUMIFS(BD!$AD$3:$AD$5001,BD!$A$3:$A$5001,O$3,BD!$B$3:$B$5001,$A$193)))</f>
        <v/>
      </c>
      <c r="P208" s="223" t="str">
        <f>IF(P$3="","",IF(COUNTIFS(BD!$A$3:$A$5001,P$3,BD!$B$3:$B$5001,$A$193,BD!$AD$3:$AD$5001,"&lt;&gt;")=0,"",SUMIFS(BD!$AD$3:$AD$5001,BD!$A$3:$A$5001,P$3,BD!$B$3:$B$5001,$A$193)))</f>
        <v/>
      </c>
      <c r="Q208" s="223" t="str">
        <f>IF(Q$3="","",IF(COUNTIFS(BD!$A$3:$A$5001,Q$3,BD!$B$3:$B$5001,$A$193,BD!$AD$3:$AD$5001,"&lt;&gt;")=0,"",SUMIFS(BD!$AD$3:$AD$5001,BD!$A$3:$A$5001,Q$3,BD!$B$3:$B$5001,$A$193)))</f>
        <v/>
      </c>
      <c r="R208" s="223" t="str">
        <f>IF(R$3="","",IF(COUNTIFS(BD!$A$3:$A$5001,R$3,BD!$B$3:$B$5001,$A$193,BD!$AD$3:$AD$5001,"&lt;&gt;")=0,"",SUMIFS(BD!$AD$3:$AD$5001,BD!$A$3:$A$5001,R$3,BD!$B$3:$B$5001,$A$193)))</f>
        <v/>
      </c>
      <c r="S208" s="223" t="str">
        <f>IF(S$3="","",IF(COUNTIFS(BD!$A$3:$A$5001,S$3,BD!$B$3:$B$5001,$A$193,BD!$AD$3:$AD$5001,"&lt;&gt;")=0,"",SUMIFS(BD!$AD$3:$AD$5001,BD!$A$3:$A$5001,S$3,BD!$B$3:$B$5001,$A$193)))</f>
        <v/>
      </c>
      <c r="T208" s="223" t="str">
        <f>IF(T$3="","",IF(COUNTIFS(BD!$A$3:$A$5001,T$3,BD!$B$3:$B$5001,$A$193,BD!$AD$3:$AD$5001,"&lt;&gt;")=0,"",SUMIFS(BD!$AD$3:$AD$5001,BD!$A$3:$A$5001,T$3,BD!$B$3:$B$5001,$A$193)))</f>
        <v/>
      </c>
      <c r="U208" s="223" t="str">
        <f>IF(U$3="","",IF(COUNTIFS(BD!$A$3:$A$5001,U$3,BD!$B$3:$B$5001,$A$193,BD!$AD$3:$AD$5001,"&lt;&gt;")=0,"",SUMIFS(BD!$AD$3:$AD$5001,BD!$A$3:$A$5001,U$3,BD!$B$3:$B$5001,$A$193)))</f>
        <v/>
      </c>
      <c r="V208" s="223" t="str">
        <f>IF(V$3="","",IF(COUNTIFS(BD!$A$3:$A$5001,V$3,BD!$B$3:$B$5001,$A$193,BD!$AD$3:$AD$5001,"&lt;&gt;")=0,"",SUMIFS(BD!$AD$3:$AD$5001,BD!$A$3:$A$5001,V$3,BD!$B$3:$B$5001,$A$193)))</f>
        <v/>
      </c>
      <c r="W208" s="223" t="str">
        <f>IF(W$3="","",IF(COUNTIFS(BD!$A$3:$A$5001,W$3,BD!$B$3:$B$5001,$A$193,BD!$AD$3:$AD$5001,"&lt;&gt;")=0,"",SUMIFS(BD!$AD$3:$AD$5001,BD!$A$3:$A$5001,W$3,BD!$B$3:$B$5001,$A$193)))</f>
        <v/>
      </c>
      <c r="X208" s="223" t="str">
        <f>IF(X$3="","",IF(COUNTIFS(BD!$A$3:$A$5001,X$3,BD!$B$3:$B$5001,$A$193,BD!$AD$3:$AD$5001,"&lt;&gt;")=0,"",SUMIFS(BD!$AD$3:$AD$5001,BD!$A$3:$A$5001,X$3,BD!$B$3:$B$5001,$A$193)))</f>
        <v/>
      </c>
      <c r="Y208" s="223" t="str">
        <f>IF(Y$3="","",IF(COUNTIFS(BD!$A$3:$A$5001,Y$3,BD!$B$3:$B$5001,$A$193,BD!$AD$3:$AD$5001,"&lt;&gt;")=0,"",SUMIFS(BD!$AD$3:$AD$5001,BD!$A$3:$A$5001,Y$3,BD!$B$3:$B$5001,$A$193)))</f>
        <v/>
      </c>
      <c r="Z208" s="223" t="str">
        <f>IF(Z$3="","",IF(COUNTIFS(BD!$A$3:$A$5001,Z$3,BD!$B$3:$B$5001,$A$193,BD!$AD$3:$AD$5001,"&lt;&gt;")=0,"",SUMIFS(BD!$AD$3:$AD$5001,BD!$A$3:$A$5001,Z$3,BD!$B$3:$B$5001,$A$193)))</f>
        <v/>
      </c>
      <c r="AA208" s="223" t="str">
        <f>IF(AA$3="","",IF(COUNTIFS(BD!$A$3:$A$5001,AA$3,BD!$B$3:$B$5001,$A$193,BD!$AD$3:$AD$5001,"&lt;&gt;")=0,"",SUMIFS(BD!$AD$3:$AD$5001,BD!$A$3:$A$5001,AA$3,BD!$B$3:$B$5001,$A$193)))</f>
        <v/>
      </c>
      <c r="AB208" s="223" t="str">
        <f>IF(AB$3="","",IF(COUNTIFS(BD!$A$3:$A$5001,AB$3,BD!$B$3:$B$5001,$A$193,BD!$AD$3:$AD$5001,"&lt;&gt;")=0,"",SUMIFS(BD!$AD$3:$AD$5001,BD!$A$3:$A$5001,AB$3,BD!$B$3:$B$5001,$A$193)))</f>
        <v/>
      </c>
      <c r="AC208" s="223" t="str">
        <f>IF(AC$3="","",IF(COUNTIFS(BD!$A$3:$A$5001,AC$3,BD!$B$3:$B$5001,$A$193,BD!$AD$3:$AD$5001,"&lt;&gt;")=0,"",SUMIFS(BD!$AD$3:$AD$5001,BD!$A$3:$A$5001,AC$3,BD!$B$3:$B$5001,$A$193)))</f>
        <v/>
      </c>
      <c r="AD208" s="223" t="str">
        <f>IF(AD$3="","",IF(COUNTIFS(BD!$A$3:$A$5001,AD$3,BD!$B$3:$B$5001,$A$193,BD!$AD$3:$AD$5001,"&lt;&gt;")=0,"",SUMIFS(BD!$AD$3:$AD$5001,BD!$A$3:$A$5001,AD$3,BD!$B$3:$B$5001,$A$193)))</f>
        <v/>
      </c>
      <c r="AE208" s="223" t="str">
        <f>IF(AE$3="","",IF(COUNTIFS(BD!$A$3:$A$5001,AE$3,BD!$B$3:$B$5001,$A$193,BD!$AD$3:$AD$5001,"&lt;&gt;")=0,"",SUMIFS(BD!$AD$3:$AD$5001,BD!$A$3:$A$5001,AE$3,BD!$B$3:$B$5001,$A$193)))</f>
        <v/>
      </c>
      <c r="AF208" s="223" t="str">
        <f>IF(AF$3="","",IF(COUNTIFS(BD!$A$3:$A$5001,AF$3,BD!$B$3:$B$5001,$A$193,BD!$AD$3:$AD$5001,"&lt;&gt;")=0,"",SUMIFS(BD!$AD$3:$AD$5001,BD!$A$3:$A$5001,AF$3,BD!$B$3:$B$5001,$A$193)))</f>
        <v/>
      </c>
      <c r="AG208" s="223" t="str">
        <f>IF(AG$3="","",IF(COUNTIFS(BD!$A$3:$A$5001,AG$3,BD!$B$3:$B$5001,$A$193,BD!$AD$3:$AD$5001,"&lt;&gt;")=0,"",SUMIFS(BD!$AD$3:$AD$5001,BD!$A$3:$A$5001,AG$3,BD!$B$3:$B$5001,$A$193)))</f>
        <v/>
      </c>
      <c r="AH208" s="223" t="str">
        <f>IF(AH$3="","",IF(COUNTIFS(BD!$A$3:$A$5001,AH$3,BD!$B$3:$B$5001,$A$193,BD!$AD$3:$AD$5001,"&lt;&gt;")=0,"",SUMIFS(BD!$AD$3:$AD$5001,BD!$A$3:$A$5001,AH$3,BD!$B$3:$B$5001,$A$193)))</f>
        <v/>
      </c>
      <c r="AI208" s="223" t="str">
        <f>IF(AI$3="","",IF(COUNTIFS(BD!$A$3:$A$5001,AI$3,BD!$B$3:$B$5001,$A$193,BD!$AD$3:$AD$5001,"&lt;&gt;")=0,"",SUMIFS(BD!$AD$3:$AD$5001,BD!$A$3:$A$5001,AI$3,BD!$B$3:$B$5001,$A$193)))</f>
        <v/>
      </c>
      <c r="AJ208" s="224" t="str">
        <f>IF(AJ$3="","",IF(COUNTIFS(BD!$A$3:$A$5001,AJ$3,BD!$B$3:$B$5001,$A$193,BD!$AD$3:$AD$5001,"&lt;&gt;")=0,"",SUMIFS(BD!$AD$3:$AD$5001,BD!$A$3:$A$5001,AJ$3,BD!$B$3:$B$5001,$A$193)))</f>
        <v/>
      </c>
      <c r="AK208" s="225" t="str">
        <f>IF(COUNT(F208:AJ208)=0,"",SUM(F208:AJ208))</f>
        <v/>
      </c>
    </row>
    <row r="209" ht="15.75" customHeight="1">
      <c r="A209" s="244"/>
      <c r="B209" s="241"/>
      <c r="C209" s="219" t="inlineStr">
        <is>
          <t xml:space="preserve">Acidentes CAF</t>
        </is>
      </c>
      <c r="D209" s="220" t="str">
        <f>IFERROR(1/(1/INDEX(BD!$AJ$52:$BD$52,MATCH($A$193,BD!$AJ$22:$BD$22,0))),"")</f>
        <v/>
      </c>
      <c r="E209" s="221"/>
      <c r="F209" s="222" t="str">
        <f>IF(F$3="","",IF(COUNTIFS(BD!$A$3:$A$5001,F$3,BD!$B$3:$B$5001,$A$193,BD!$AE$3:$AE$5001,"&lt;&gt;")=0,"",SUMIFS(BD!$AE$3:$AE$5001,BD!$A$3:$A$5001,F$3,BD!$B$3:$B$5001,$A$193)))</f>
        <v/>
      </c>
      <c r="G209" s="223" t="str">
        <f>IF(G$3="","",IF(COUNTIFS(BD!$A$3:$A$5001,G$3,BD!$B$3:$B$5001,$A$193,BD!$AE$3:$AE$5001,"&lt;&gt;")=0,"",SUMIFS(BD!$AE$3:$AE$5001,BD!$A$3:$A$5001,G$3,BD!$B$3:$B$5001,$A$193)))</f>
        <v/>
      </c>
      <c r="H209" s="223" t="str">
        <f>IF(H$3="","",IF(COUNTIFS(BD!$A$3:$A$5001,H$3,BD!$B$3:$B$5001,$A$193,BD!$AE$3:$AE$5001,"&lt;&gt;")=0,"",SUMIFS(BD!$AE$3:$AE$5001,BD!$A$3:$A$5001,H$3,BD!$B$3:$B$5001,$A$193)))</f>
        <v/>
      </c>
      <c r="I209" s="223" t="str">
        <f>IF(I$3="","",IF(COUNTIFS(BD!$A$3:$A$5001,I$3,BD!$B$3:$B$5001,$A$193,BD!$AE$3:$AE$5001,"&lt;&gt;")=0,"",SUMIFS(BD!$AE$3:$AE$5001,BD!$A$3:$A$5001,I$3,BD!$B$3:$B$5001,$A$193)))</f>
        <v/>
      </c>
      <c r="J209" s="223" t="str">
        <f>IF(J$3="","",IF(COUNTIFS(BD!$A$3:$A$5001,J$3,BD!$B$3:$B$5001,$A$193,BD!$AE$3:$AE$5001,"&lt;&gt;")=0,"",SUMIFS(BD!$AE$3:$AE$5001,BD!$A$3:$A$5001,J$3,BD!$B$3:$B$5001,$A$193)))</f>
        <v/>
      </c>
      <c r="K209" s="223" t="str">
        <f>IF(K$3="","",IF(COUNTIFS(BD!$A$3:$A$5001,K$3,BD!$B$3:$B$5001,$A$193,BD!$AE$3:$AE$5001,"&lt;&gt;")=0,"",SUMIFS(BD!$AE$3:$AE$5001,BD!$A$3:$A$5001,K$3,BD!$B$3:$B$5001,$A$193)))</f>
        <v/>
      </c>
      <c r="L209" s="223" t="str">
        <f>IF(L$3="","",IF(COUNTIFS(BD!$A$3:$A$5001,L$3,BD!$B$3:$B$5001,$A$193,BD!$AE$3:$AE$5001,"&lt;&gt;")=0,"",SUMIFS(BD!$AE$3:$AE$5001,BD!$A$3:$A$5001,L$3,BD!$B$3:$B$5001,$A$193)))</f>
        <v/>
      </c>
      <c r="M209" s="223" t="str">
        <f>IF(M$3="","",IF(COUNTIFS(BD!$A$3:$A$5001,M$3,BD!$B$3:$B$5001,$A$193,BD!$AE$3:$AE$5001,"&lt;&gt;")=0,"",SUMIFS(BD!$AE$3:$AE$5001,BD!$A$3:$A$5001,M$3,BD!$B$3:$B$5001,$A$193)))</f>
        <v/>
      </c>
      <c r="N209" s="223" t="str">
        <f>IF(N$3="","",IF(COUNTIFS(BD!$A$3:$A$5001,N$3,BD!$B$3:$B$5001,$A$193,BD!$AE$3:$AE$5001,"&lt;&gt;")=0,"",SUMIFS(BD!$AE$3:$AE$5001,BD!$A$3:$A$5001,N$3,BD!$B$3:$B$5001,$A$193)))</f>
        <v/>
      </c>
      <c r="O209" s="223" t="str">
        <f>IF(O$3="","",IF(COUNTIFS(BD!$A$3:$A$5001,O$3,BD!$B$3:$B$5001,$A$193,BD!$AE$3:$AE$5001,"&lt;&gt;")=0,"",SUMIFS(BD!$AE$3:$AE$5001,BD!$A$3:$A$5001,O$3,BD!$B$3:$B$5001,$A$193)))</f>
        <v/>
      </c>
      <c r="P209" s="223" t="str">
        <f>IF(P$3="","",IF(COUNTIFS(BD!$A$3:$A$5001,P$3,BD!$B$3:$B$5001,$A$193,BD!$AE$3:$AE$5001,"&lt;&gt;")=0,"",SUMIFS(BD!$AE$3:$AE$5001,BD!$A$3:$A$5001,P$3,BD!$B$3:$B$5001,$A$193)))</f>
        <v/>
      </c>
      <c r="Q209" s="223" t="str">
        <f>IF(Q$3="","",IF(COUNTIFS(BD!$A$3:$A$5001,Q$3,BD!$B$3:$B$5001,$A$193,BD!$AE$3:$AE$5001,"&lt;&gt;")=0,"",SUMIFS(BD!$AE$3:$AE$5001,BD!$A$3:$A$5001,Q$3,BD!$B$3:$B$5001,$A$193)))</f>
        <v/>
      </c>
      <c r="R209" s="223" t="str">
        <f>IF(R$3="","",IF(COUNTIFS(BD!$A$3:$A$5001,R$3,BD!$B$3:$B$5001,$A$193,BD!$AE$3:$AE$5001,"&lt;&gt;")=0,"",SUMIFS(BD!$AE$3:$AE$5001,BD!$A$3:$A$5001,R$3,BD!$B$3:$B$5001,$A$193)))</f>
        <v/>
      </c>
      <c r="S209" s="223" t="str">
        <f>IF(S$3="","",IF(COUNTIFS(BD!$A$3:$A$5001,S$3,BD!$B$3:$B$5001,$A$193,BD!$AE$3:$AE$5001,"&lt;&gt;")=0,"",SUMIFS(BD!$AE$3:$AE$5001,BD!$A$3:$A$5001,S$3,BD!$B$3:$B$5001,$A$193)))</f>
        <v/>
      </c>
      <c r="T209" s="223" t="str">
        <f>IF(T$3="","",IF(COUNTIFS(BD!$A$3:$A$5001,T$3,BD!$B$3:$B$5001,$A$193,BD!$AE$3:$AE$5001,"&lt;&gt;")=0,"",SUMIFS(BD!$AE$3:$AE$5001,BD!$A$3:$A$5001,T$3,BD!$B$3:$B$5001,$A$193)))</f>
        <v/>
      </c>
      <c r="U209" s="223" t="str">
        <f>IF(U$3="","",IF(COUNTIFS(BD!$A$3:$A$5001,U$3,BD!$B$3:$B$5001,$A$193,BD!$AE$3:$AE$5001,"&lt;&gt;")=0,"",SUMIFS(BD!$AE$3:$AE$5001,BD!$A$3:$A$5001,U$3,BD!$B$3:$B$5001,$A$193)))</f>
        <v/>
      </c>
      <c r="V209" s="223" t="str">
        <f>IF(V$3="","",IF(COUNTIFS(BD!$A$3:$A$5001,V$3,BD!$B$3:$B$5001,$A$193,BD!$AE$3:$AE$5001,"&lt;&gt;")=0,"",SUMIFS(BD!$AE$3:$AE$5001,BD!$A$3:$A$5001,V$3,BD!$B$3:$B$5001,$A$193)))</f>
        <v/>
      </c>
      <c r="W209" s="223" t="str">
        <f>IF(W$3="","",IF(COUNTIFS(BD!$A$3:$A$5001,W$3,BD!$B$3:$B$5001,$A$193,BD!$AE$3:$AE$5001,"&lt;&gt;")=0,"",SUMIFS(BD!$AE$3:$AE$5001,BD!$A$3:$A$5001,W$3,BD!$B$3:$B$5001,$A$193)))</f>
        <v/>
      </c>
      <c r="X209" s="223" t="str">
        <f>IF(X$3="","",IF(COUNTIFS(BD!$A$3:$A$5001,X$3,BD!$B$3:$B$5001,$A$193,BD!$AE$3:$AE$5001,"&lt;&gt;")=0,"",SUMIFS(BD!$AE$3:$AE$5001,BD!$A$3:$A$5001,X$3,BD!$B$3:$B$5001,$A$193)))</f>
        <v/>
      </c>
      <c r="Y209" s="223" t="str">
        <f>IF(Y$3="","",IF(COUNTIFS(BD!$A$3:$A$5001,Y$3,BD!$B$3:$B$5001,$A$193,BD!$AE$3:$AE$5001,"&lt;&gt;")=0,"",SUMIFS(BD!$AE$3:$AE$5001,BD!$A$3:$A$5001,Y$3,BD!$B$3:$B$5001,$A$193)))</f>
        <v/>
      </c>
      <c r="Z209" s="223" t="str">
        <f>IF(Z$3="","",IF(COUNTIFS(BD!$A$3:$A$5001,Z$3,BD!$B$3:$B$5001,$A$193,BD!$AE$3:$AE$5001,"&lt;&gt;")=0,"",SUMIFS(BD!$AE$3:$AE$5001,BD!$A$3:$A$5001,Z$3,BD!$B$3:$B$5001,$A$193)))</f>
        <v/>
      </c>
      <c r="AA209" s="223" t="str">
        <f>IF(AA$3="","",IF(COUNTIFS(BD!$A$3:$A$5001,AA$3,BD!$B$3:$B$5001,$A$193,BD!$AE$3:$AE$5001,"&lt;&gt;")=0,"",SUMIFS(BD!$AE$3:$AE$5001,BD!$A$3:$A$5001,AA$3,BD!$B$3:$B$5001,$A$193)))</f>
        <v/>
      </c>
      <c r="AB209" s="223" t="str">
        <f>IF(AB$3="","",IF(COUNTIFS(BD!$A$3:$A$5001,AB$3,BD!$B$3:$B$5001,$A$193,BD!$AE$3:$AE$5001,"&lt;&gt;")=0,"",SUMIFS(BD!$AE$3:$AE$5001,BD!$A$3:$A$5001,AB$3,BD!$B$3:$B$5001,$A$193)))</f>
        <v/>
      </c>
      <c r="AC209" s="223" t="str">
        <f>IF(AC$3="","",IF(COUNTIFS(BD!$A$3:$A$5001,AC$3,BD!$B$3:$B$5001,$A$193,BD!$AE$3:$AE$5001,"&lt;&gt;")=0,"",SUMIFS(BD!$AE$3:$AE$5001,BD!$A$3:$A$5001,AC$3,BD!$B$3:$B$5001,$A$193)))</f>
        <v/>
      </c>
      <c r="AD209" s="223" t="str">
        <f>IF(AD$3="","",IF(COUNTIFS(BD!$A$3:$A$5001,AD$3,BD!$B$3:$B$5001,$A$193,BD!$AE$3:$AE$5001,"&lt;&gt;")=0,"",SUMIFS(BD!$AE$3:$AE$5001,BD!$A$3:$A$5001,AD$3,BD!$B$3:$B$5001,$A$193)))</f>
        <v/>
      </c>
      <c r="AE209" s="223" t="str">
        <f>IF(AE$3="","",IF(COUNTIFS(BD!$A$3:$A$5001,AE$3,BD!$B$3:$B$5001,$A$193,BD!$AE$3:$AE$5001,"&lt;&gt;")=0,"",SUMIFS(BD!$AE$3:$AE$5001,BD!$A$3:$A$5001,AE$3,BD!$B$3:$B$5001,$A$193)))</f>
        <v/>
      </c>
      <c r="AF209" s="223" t="str">
        <f>IF(AF$3="","",IF(COUNTIFS(BD!$A$3:$A$5001,AF$3,BD!$B$3:$B$5001,$A$193,BD!$AE$3:$AE$5001,"&lt;&gt;")=0,"",SUMIFS(BD!$AE$3:$AE$5001,BD!$A$3:$A$5001,AF$3,BD!$B$3:$B$5001,$A$193)))</f>
        <v/>
      </c>
      <c r="AG209" s="223" t="str">
        <f>IF(AG$3="","",IF(COUNTIFS(BD!$A$3:$A$5001,AG$3,BD!$B$3:$B$5001,$A$193,BD!$AE$3:$AE$5001,"&lt;&gt;")=0,"",SUMIFS(BD!$AE$3:$AE$5001,BD!$A$3:$A$5001,AG$3,BD!$B$3:$B$5001,$A$193)))</f>
        <v/>
      </c>
      <c r="AH209" s="223" t="str">
        <f>IF(AH$3="","",IF(COUNTIFS(BD!$A$3:$A$5001,AH$3,BD!$B$3:$B$5001,$A$193,BD!$AE$3:$AE$5001,"&lt;&gt;")=0,"",SUMIFS(BD!$AE$3:$AE$5001,BD!$A$3:$A$5001,AH$3,BD!$B$3:$B$5001,$A$193)))</f>
        <v/>
      </c>
      <c r="AI209" s="223" t="str">
        <f>IF(AI$3="","",IF(COUNTIFS(BD!$A$3:$A$5001,AI$3,BD!$B$3:$B$5001,$A$193,BD!$AE$3:$AE$5001,"&lt;&gt;")=0,"",SUMIFS(BD!$AE$3:$AE$5001,BD!$A$3:$A$5001,AI$3,BD!$B$3:$B$5001,$A$193)))</f>
        <v/>
      </c>
      <c r="AJ209" s="224" t="str">
        <f>IF(AJ$3="","",IF(COUNTIFS(BD!$A$3:$A$5001,AJ$3,BD!$B$3:$B$5001,$A$193,BD!$AE$3:$AE$5001,"&lt;&gt;")=0,"",SUMIFS(BD!$AE$3:$AE$5001,BD!$A$3:$A$5001,AJ$3,BD!$B$3:$B$5001,$A$193)))</f>
        <v/>
      </c>
      <c r="AK209" s="225" t="str">
        <f>IF(COUNT(F209:AJ209)=0,"",SUM(F209:AJ209))</f>
        <v/>
      </c>
    </row>
    <row r="210" ht="15.75" customHeight="1">
      <c r="A210" s="245"/>
      <c r="B210" s="242"/>
      <c r="C210" s="226" t="inlineStr">
        <is>
          <t xml:space="preserve">Acidentes SAF</t>
        </is>
      </c>
      <c r="D210" s="227" t="str">
        <f>IFERROR(1/(1/INDEX(BD!$AJ$53:$BD$53,MATCH($A$193,BD!$AJ$22:$BD$22,0))),"")</f>
        <v/>
      </c>
      <c r="E210" s="228"/>
      <c r="F210" s="229" t="str">
        <f>IF(F$3="","",IF(COUNTIFS(BD!$A$3:$A$5001,F$3,BD!$B$3:$B$5001,$A$193,BD!$AF$3:$AF$5001,"&lt;&gt;")=0,"",SUMIFS(BD!$AF$3:$AF$5001,BD!$A$3:$A$5001,F$3,BD!$B$3:$B$5001,$A$193)))</f>
        <v/>
      </c>
      <c r="G210" s="230" t="str">
        <f>IF(G$3="","",IF(COUNTIFS(BD!$A$3:$A$5001,G$3,BD!$B$3:$B$5001,$A$193,BD!$AF$3:$AF$5001,"&lt;&gt;")=0,"",SUMIFS(BD!$AF$3:$AF$5001,BD!$A$3:$A$5001,G$3,BD!$B$3:$B$5001,$A$193)))</f>
        <v/>
      </c>
      <c r="H210" s="230" t="str">
        <f>IF(H$3="","",IF(COUNTIFS(BD!$A$3:$A$5001,H$3,BD!$B$3:$B$5001,$A$193,BD!$AF$3:$AF$5001,"&lt;&gt;")=0,"",SUMIFS(BD!$AF$3:$AF$5001,BD!$A$3:$A$5001,H$3,BD!$B$3:$B$5001,$A$193)))</f>
        <v/>
      </c>
      <c r="I210" s="230" t="str">
        <f>IF(I$3="","",IF(COUNTIFS(BD!$A$3:$A$5001,I$3,BD!$B$3:$B$5001,$A$193,BD!$AF$3:$AF$5001,"&lt;&gt;")=0,"",SUMIFS(BD!$AF$3:$AF$5001,BD!$A$3:$A$5001,I$3,BD!$B$3:$B$5001,$A$193)))</f>
        <v/>
      </c>
      <c r="J210" s="230" t="str">
        <f>IF(J$3="","",IF(COUNTIFS(BD!$A$3:$A$5001,J$3,BD!$B$3:$B$5001,$A$193,BD!$AF$3:$AF$5001,"&lt;&gt;")=0,"",SUMIFS(BD!$AF$3:$AF$5001,BD!$A$3:$A$5001,J$3,BD!$B$3:$B$5001,$A$193)))</f>
        <v/>
      </c>
      <c r="K210" s="230" t="str">
        <f>IF(K$3="","",IF(COUNTIFS(BD!$A$3:$A$5001,K$3,BD!$B$3:$B$5001,$A$193,BD!$AF$3:$AF$5001,"&lt;&gt;")=0,"",SUMIFS(BD!$AF$3:$AF$5001,BD!$A$3:$A$5001,K$3,BD!$B$3:$B$5001,$A$193)))</f>
        <v/>
      </c>
      <c r="L210" s="230" t="str">
        <f>IF(L$3="","",IF(COUNTIFS(BD!$A$3:$A$5001,L$3,BD!$B$3:$B$5001,$A$193,BD!$AF$3:$AF$5001,"&lt;&gt;")=0,"",SUMIFS(BD!$AF$3:$AF$5001,BD!$A$3:$A$5001,L$3,BD!$B$3:$B$5001,$A$193)))</f>
        <v/>
      </c>
      <c r="M210" s="230" t="str">
        <f>IF(M$3="","",IF(COUNTIFS(BD!$A$3:$A$5001,M$3,BD!$B$3:$B$5001,$A$193,BD!$AF$3:$AF$5001,"&lt;&gt;")=0,"",SUMIFS(BD!$AF$3:$AF$5001,BD!$A$3:$A$5001,M$3,BD!$B$3:$B$5001,$A$193)))</f>
        <v/>
      </c>
      <c r="N210" s="230" t="str">
        <f>IF(N$3="","",IF(COUNTIFS(BD!$A$3:$A$5001,N$3,BD!$B$3:$B$5001,$A$193,BD!$AF$3:$AF$5001,"&lt;&gt;")=0,"",SUMIFS(BD!$AF$3:$AF$5001,BD!$A$3:$A$5001,N$3,BD!$B$3:$B$5001,$A$193)))</f>
        <v/>
      </c>
      <c r="O210" s="230" t="str">
        <f>IF(O$3="","",IF(COUNTIFS(BD!$A$3:$A$5001,O$3,BD!$B$3:$B$5001,$A$193,BD!$AF$3:$AF$5001,"&lt;&gt;")=0,"",SUMIFS(BD!$AF$3:$AF$5001,BD!$A$3:$A$5001,O$3,BD!$B$3:$B$5001,$A$193)))</f>
        <v/>
      </c>
      <c r="P210" s="230" t="str">
        <f>IF(P$3="","",IF(COUNTIFS(BD!$A$3:$A$5001,P$3,BD!$B$3:$B$5001,$A$193,BD!$AF$3:$AF$5001,"&lt;&gt;")=0,"",SUMIFS(BD!$AF$3:$AF$5001,BD!$A$3:$A$5001,P$3,BD!$B$3:$B$5001,$A$193)))</f>
        <v/>
      </c>
      <c r="Q210" s="230" t="str">
        <f>IF(Q$3="","",IF(COUNTIFS(BD!$A$3:$A$5001,Q$3,BD!$B$3:$B$5001,$A$193,BD!$AF$3:$AF$5001,"&lt;&gt;")=0,"",SUMIFS(BD!$AF$3:$AF$5001,BD!$A$3:$A$5001,Q$3,BD!$B$3:$B$5001,$A$193)))</f>
        <v/>
      </c>
      <c r="R210" s="230" t="str">
        <f>IF(R$3="","",IF(COUNTIFS(BD!$A$3:$A$5001,R$3,BD!$B$3:$B$5001,$A$193,BD!$AF$3:$AF$5001,"&lt;&gt;")=0,"",SUMIFS(BD!$AF$3:$AF$5001,BD!$A$3:$A$5001,R$3,BD!$B$3:$B$5001,$A$193)))</f>
        <v/>
      </c>
      <c r="S210" s="230" t="str">
        <f>IF(S$3="","",IF(COUNTIFS(BD!$A$3:$A$5001,S$3,BD!$B$3:$B$5001,$A$193,BD!$AF$3:$AF$5001,"&lt;&gt;")=0,"",SUMIFS(BD!$AF$3:$AF$5001,BD!$A$3:$A$5001,S$3,BD!$B$3:$B$5001,$A$193)))</f>
        <v/>
      </c>
      <c r="T210" s="230" t="str">
        <f>IF(T$3="","",IF(COUNTIFS(BD!$A$3:$A$5001,T$3,BD!$B$3:$B$5001,$A$193,BD!$AF$3:$AF$5001,"&lt;&gt;")=0,"",SUMIFS(BD!$AF$3:$AF$5001,BD!$A$3:$A$5001,T$3,BD!$B$3:$B$5001,$A$193)))</f>
        <v/>
      </c>
      <c r="U210" s="230" t="str">
        <f>IF(U$3="","",IF(COUNTIFS(BD!$A$3:$A$5001,U$3,BD!$B$3:$B$5001,$A$193,BD!$AF$3:$AF$5001,"&lt;&gt;")=0,"",SUMIFS(BD!$AF$3:$AF$5001,BD!$A$3:$A$5001,U$3,BD!$B$3:$B$5001,$A$193)))</f>
        <v/>
      </c>
      <c r="V210" s="230" t="str">
        <f>IF(V$3="","",IF(COUNTIFS(BD!$A$3:$A$5001,V$3,BD!$B$3:$B$5001,$A$193,BD!$AF$3:$AF$5001,"&lt;&gt;")=0,"",SUMIFS(BD!$AF$3:$AF$5001,BD!$A$3:$A$5001,V$3,BD!$B$3:$B$5001,$A$193)))</f>
        <v/>
      </c>
      <c r="W210" s="230" t="str">
        <f>IF(W$3="","",IF(COUNTIFS(BD!$A$3:$A$5001,W$3,BD!$B$3:$B$5001,$A$193,BD!$AF$3:$AF$5001,"&lt;&gt;")=0,"",SUMIFS(BD!$AF$3:$AF$5001,BD!$A$3:$A$5001,W$3,BD!$B$3:$B$5001,$A$193)))</f>
        <v/>
      </c>
      <c r="X210" s="230" t="str">
        <f>IF(X$3="","",IF(COUNTIFS(BD!$A$3:$A$5001,X$3,BD!$B$3:$B$5001,$A$193,BD!$AF$3:$AF$5001,"&lt;&gt;")=0,"",SUMIFS(BD!$AF$3:$AF$5001,BD!$A$3:$A$5001,X$3,BD!$B$3:$B$5001,$A$193)))</f>
        <v/>
      </c>
      <c r="Y210" s="230" t="str">
        <f>IF(Y$3="","",IF(COUNTIFS(BD!$A$3:$A$5001,Y$3,BD!$B$3:$B$5001,$A$193,BD!$AF$3:$AF$5001,"&lt;&gt;")=0,"",SUMIFS(BD!$AF$3:$AF$5001,BD!$A$3:$A$5001,Y$3,BD!$B$3:$B$5001,$A$193)))</f>
        <v/>
      </c>
      <c r="Z210" s="230" t="str">
        <f>IF(Z$3="","",IF(COUNTIFS(BD!$A$3:$A$5001,Z$3,BD!$B$3:$B$5001,$A$193,BD!$AF$3:$AF$5001,"&lt;&gt;")=0,"",SUMIFS(BD!$AF$3:$AF$5001,BD!$A$3:$A$5001,Z$3,BD!$B$3:$B$5001,$A$193)))</f>
        <v/>
      </c>
      <c r="AA210" s="230" t="str">
        <f>IF(AA$3="","",IF(COUNTIFS(BD!$A$3:$A$5001,AA$3,BD!$B$3:$B$5001,$A$193,BD!$AF$3:$AF$5001,"&lt;&gt;")=0,"",SUMIFS(BD!$AF$3:$AF$5001,BD!$A$3:$A$5001,AA$3,BD!$B$3:$B$5001,$A$193)))</f>
        <v/>
      </c>
      <c r="AB210" s="230" t="str">
        <f>IF(AB$3="","",IF(COUNTIFS(BD!$A$3:$A$5001,AB$3,BD!$B$3:$B$5001,$A$193,BD!$AF$3:$AF$5001,"&lt;&gt;")=0,"",SUMIFS(BD!$AF$3:$AF$5001,BD!$A$3:$A$5001,AB$3,BD!$B$3:$B$5001,$A$193)))</f>
        <v/>
      </c>
      <c r="AC210" s="230" t="str">
        <f>IF(AC$3="","",IF(COUNTIFS(BD!$A$3:$A$5001,AC$3,BD!$B$3:$B$5001,$A$193,BD!$AF$3:$AF$5001,"&lt;&gt;")=0,"",SUMIFS(BD!$AF$3:$AF$5001,BD!$A$3:$A$5001,AC$3,BD!$B$3:$B$5001,$A$193)))</f>
        <v/>
      </c>
      <c r="AD210" s="230" t="str">
        <f>IF(AD$3="","",IF(COUNTIFS(BD!$A$3:$A$5001,AD$3,BD!$B$3:$B$5001,$A$193,BD!$AF$3:$AF$5001,"&lt;&gt;")=0,"",SUMIFS(BD!$AF$3:$AF$5001,BD!$A$3:$A$5001,AD$3,BD!$B$3:$B$5001,$A$193)))</f>
        <v/>
      </c>
      <c r="AE210" s="230" t="str">
        <f>IF(AE$3="","",IF(COUNTIFS(BD!$A$3:$A$5001,AE$3,BD!$B$3:$B$5001,$A$193,BD!$AF$3:$AF$5001,"&lt;&gt;")=0,"",SUMIFS(BD!$AF$3:$AF$5001,BD!$A$3:$A$5001,AE$3,BD!$B$3:$B$5001,$A$193)))</f>
        <v/>
      </c>
      <c r="AF210" s="230" t="str">
        <f>IF(AF$3="","",IF(COUNTIFS(BD!$A$3:$A$5001,AF$3,BD!$B$3:$B$5001,$A$193,BD!$AF$3:$AF$5001,"&lt;&gt;")=0,"",SUMIFS(BD!$AF$3:$AF$5001,BD!$A$3:$A$5001,AF$3,BD!$B$3:$B$5001,$A$193)))</f>
        <v/>
      </c>
      <c r="AG210" s="230" t="str">
        <f>IF(AG$3="","",IF(COUNTIFS(BD!$A$3:$A$5001,AG$3,BD!$B$3:$B$5001,$A$193,BD!$AF$3:$AF$5001,"&lt;&gt;")=0,"",SUMIFS(BD!$AF$3:$AF$5001,BD!$A$3:$A$5001,AG$3,BD!$B$3:$B$5001,$A$193)))</f>
        <v/>
      </c>
      <c r="AH210" s="230" t="str">
        <f>IF(AH$3="","",IF(COUNTIFS(BD!$A$3:$A$5001,AH$3,BD!$B$3:$B$5001,$A$193,BD!$AF$3:$AF$5001,"&lt;&gt;")=0,"",SUMIFS(BD!$AF$3:$AF$5001,BD!$A$3:$A$5001,AH$3,BD!$B$3:$B$5001,$A$193)))</f>
        <v/>
      </c>
      <c r="AI210" s="230" t="str">
        <f>IF(AI$3="","",IF(COUNTIFS(BD!$A$3:$A$5001,AI$3,BD!$B$3:$B$5001,$A$193,BD!$AF$3:$AF$5001,"&lt;&gt;")=0,"",SUMIFS(BD!$AF$3:$AF$5001,BD!$A$3:$A$5001,AI$3,BD!$B$3:$B$5001,$A$193)))</f>
        <v/>
      </c>
      <c r="AJ210" s="231" t="str">
        <f>IF(AJ$3="","",IF(COUNTIFS(BD!$A$3:$A$5001,AJ$3,BD!$B$3:$B$5001,$A$193,BD!$AF$3:$AF$5001,"&lt;&gt;")=0,"",SUMIFS(BD!$AF$3:$AF$5001,BD!$A$3:$A$5001,AJ$3,BD!$B$3:$B$5001,$A$193)))</f>
        <v/>
      </c>
      <c r="AK210" s="227" t="str">
        <f>IF(COUNT(F210:AJ210)=0,"",SUM(F210:AJ210))</f>
        <v/>
      </c>
    </row>
    <row r="212" ht="20" customHeight="1" hidden="1">
      <c r="A212" s="262" t="inlineStr">
        <is>
          <t xml:space="preserve">VAGAS PARA NOVOS CLIENTES — reexiba as linhas de um bloco, digite o nome do cliente na coluna CLIENTE (igual ao da BD) e exclua as linhas que ele não usa</t>
        </is>
      </c>
      <c r="B212" s="263"/>
      <c r="C212" s="263"/>
      <c r="D212" s="263"/>
      <c r="E212" s="263"/>
      <c r="F212" s="263"/>
      <c r="G212" s="263"/>
      <c r="H212" s="263"/>
      <c r="I212" s="263"/>
      <c r="J212" s="263"/>
      <c r="K212" s="263"/>
      <c r="L212" s="263"/>
      <c r="M212" s="263"/>
      <c r="N212" s="263"/>
      <c r="O212" s="263"/>
      <c r="P212" s="263"/>
      <c r="Q212" s="263"/>
      <c r="R212" s="263"/>
      <c r="S212" s="263"/>
      <c r="T212" s="263"/>
      <c r="U212" s="263"/>
      <c r="V212" s="263"/>
      <c r="W212" s="263"/>
      <c r="X212" s="263"/>
      <c r="Y212" s="263"/>
      <c r="Z212" s="263"/>
      <c r="AA212" s="263"/>
      <c r="AB212" s="263"/>
      <c r="AC212" s="263"/>
      <c r="AD212" s="263"/>
      <c r="AE212" s="263"/>
      <c r="AF212" s="263"/>
      <c r="AG212" s="263"/>
      <c r="AH212" s="263"/>
      <c r="AI212" s="263"/>
      <c r="AJ212" s="263"/>
      <c r="AK212" s="264"/>
    </row>
    <row r="213" ht="15.75" customHeight="1" hidden="1">
      <c r="A213" s="243"/>
      <c r="B213" s="232" t="inlineStr">
        <is>
          <t xml:space="preserve">IN</t>
        </is>
      </c>
      <c r="C213" s="155" t="inlineStr">
        <is>
          <t xml:space="preserve">Veículos Recebidos</t>
        </is>
      </c>
      <c r="D213" s="156" t="str">
        <f>IFERROR(1/(1/INDEX(BD!$AJ$23:$BD$23,MATCH($A$213,BD!$AJ$22:$BD$22,0))),"")</f>
        <v/>
      </c>
      <c r="E213" s="157"/>
      <c r="F213" s="158" t="str">
        <f>IF(F$3="","",IF(COUNTIFS(BD!$A$3:$A$5001,F$3,BD!$B$3:$B$5001,$A$213,BD!$C$3:$C$5001,"&lt;&gt;")=0,"",SUMIFS(BD!$C$3:$C$5001,BD!$A$3:$A$5001,F$3,BD!$B$3:$B$5001,$A$213)))</f>
        <v/>
      </c>
      <c r="G213" s="159" t="str">
        <f>IF(G$3="","",IF(COUNTIFS(BD!$A$3:$A$5001,G$3,BD!$B$3:$B$5001,$A$213,BD!$C$3:$C$5001,"&lt;&gt;")=0,"",SUMIFS(BD!$C$3:$C$5001,BD!$A$3:$A$5001,G$3,BD!$B$3:$B$5001,$A$213)))</f>
        <v/>
      </c>
      <c r="H213" s="159" t="str">
        <f>IF(H$3="","",IF(COUNTIFS(BD!$A$3:$A$5001,H$3,BD!$B$3:$B$5001,$A$213,BD!$C$3:$C$5001,"&lt;&gt;")=0,"",SUMIFS(BD!$C$3:$C$5001,BD!$A$3:$A$5001,H$3,BD!$B$3:$B$5001,$A$213)))</f>
        <v/>
      </c>
      <c r="I213" s="159" t="str">
        <f>IF(I$3="","",IF(COUNTIFS(BD!$A$3:$A$5001,I$3,BD!$B$3:$B$5001,$A$213,BD!$C$3:$C$5001,"&lt;&gt;")=0,"",SUMIFS(BD!$C$3:$C$5001,BD!$A$3:$A$5001,I$3,BD!$B$3:$B$5001,$A$213)))</f>
        <v/>
      </c>
      <c r="J213" s="159" t="str">
        <f>IF(J$3="","",IF(COUNTIFS(BD!$A$3:$A$5001,J$3,BD!$B$3:$B$5001,$A$213,BD!$C$3:$C$5001,"&lt;&gt;")=0,"",SUMIFS(BD!$C$3:$C$5001,BD!$A$3:$A$5001,J$3,BD!$B$3:$B$5001,$A$213)))</f>
        <v/>
      </c>
      <c r="K213" s="159" t="str">
        <f>IF(K$3="","",IF(COUNTIFS(BD!$A$3:$A$5001,K$3,BD!$B$3:$B$5001,$A$213,BD!$C$3:$C$5001,"&lt;&gt;")=0,"",SUMIFS(BD!$C$3:$C$5001,BD!$A$3:$A$5001,K$3,BD!$B$3:$B$5001,$A$213)))</f>
        <v/>
      </c>
      <c r="L213" s="159" t="str">
        <f>IF(L$3="","",IF(COUNTIFS(BD!$A$3:$A$5001,L$3,BD!$B$3:$B$5001,$A$213,BD!$C$3:$C$5001,"&lt;&gt;")=0,"",SUMIFS(BD!$C$3:$C$5001,BD!$A$3:$A$5001,L$3,BD!$B$3:$B$5001,$A$213)))</f>
        <v/>
      </c>
      <c r="M213" s="159" t="str">
        <f>IF(M$3="","",IF(COUNTIFS(BD!$A$3:$A$5001,M$3,BD!$B$3:$B$5001,$A$213,BD!$C$3:$C$5001,"&lt;&gt;")=0,"",SUMIFS(BD!$C$3:$C$5001,BD!$A$3:$A$5001,M$3,BD!$B$3:$B$5001,$A$213)))</f>
        <v/>
      </c>
      <c r="N213" s="159" t="str">
        <f>IF(N$3="","",IF(COUNTIFS(BD!$A$3:$A$5001,N$3,BD!$B$3:$B$5001,$A$213,BD!$C$3:$C$5001,"&lt;&gt;")=0,"",SUMIFS(BD!$C$3:$C$5001,BD!$A$3:$A$5001,N$3,BD!$B$3:$B$5001,$A$213)))</f>
        <v/>
      </c>
      <c r="O213" s="159" t="str">
        <f>IF(O$3="","",IF(COUNTIFS(BD!$A$3:$A$5001,O$3,BD!$B$3:$B$5001,$A$213,BD!$C$3:$C$5001,"&lt;&gt;")=0,"",SUMIFS(BD!$C$3:$C$5001,BD!$A$3:$A$5001,O$3,BD!$B$3:$B$5001,$A$213)))</f>
        <v/>
      </c>
      <c r="P213" s="159" t="str">
        <f>IF(P$3="","",IF(COUNTIFS(BD!$A$3:$A$5001,P$3,BD!$B$3:$B$5001,$A$213,BD!$C$3:$C$5001,"&lt;&gt;")=0,"",SUMIFS(BD!$C$3:$C$5001,BD!$A$3:$A$5001,P$3,BD!$B$3:$B$5001,$A$213)))</f>
        <v/>
      </c>
      <c r="Q213" s="159" t="str">
        <f>IF(Q$3="","",IF(COUNTIFS(BD!$A$3:$A$5001,Q$3,BD!$B$3:$B$5001,$A$213,BD!$C$3:$C$5001,"&lt;&gt;")=0,"",SUMIFS(BD!$C$3:$C$5001,BD!$A$3:$A$5001,Q$3,BD!$B$3:$B$5001,$A$213)))</f>
        <v/>
      </c>
      <c r="R213" s="159" t="str">
        <f>IF(R$3="","",IF(COUNTIFS(BD!$A$3:$A$5001,R$3,BD!$B$3:$B$5001,$A$213,BD!$C$3:$C$5001,"&lt;&gt;")=0,"",SUMIFS(BD!$C$3:$C$5001,BD!$A$3:$A$5001,R$3,BD!$B$3:$B$5001,$A$213)))</f>
        <v/>
      </c>
      <c r="S213" s="159" t="str">
        <f>IF(S$3="","",IF(COUNTIFS(BD!$A$3:$A$5001,S$3,BD!$B$3:$B$5001,$A$213,BD!$C$3:$C$5001,"&lt;&gt;")=0,"",SUMIFS(BD!$C$3:$C$5001,BD!$A$3:$A$5001,S$3,BD!$B$3:$B$5001,$A$213)))</f>
        <v/>
      </c>
      <c r="T213" s="159" t="str">
        <f>IF(T$3="","",IF(COUNTIFS(BD!$A$3:$A$5001,T$3,BD!$B$3:$B$5001,$A$213,BD!$C$3:$C$5001,"&lt;&gt;")=0,"",SUMIFS(BD!$C$3:$C$5001,BD!$A$3:$A$5001,T$3,BD!$B$3:$B$5001,$A$213)))</f>
        <v/>
      </c>
      <c r="U213" s="159" t="str">
        <f>IF(U$3="","",IF(COUNTIFS(BD!$A$3:$A$5001,U$3,BD!$B$3:$B$5001,$A$213,BD!$C$3:$C$5001,"&lt;&gt;")=0,"",SUMIFS(BD!$C$3:$C$5001,BD!$A$3:$A$5001,U$3,BD!$B$3:$B$5001,$A$213)))</f>
        <v/>
      </c>
      <c r="V213" s="159" t="str">
        <f>IF(V$3="","",IF(COUNTIFS(BD!$A$3:$A$5001,V$3,BD!$B$3:$B$5001,$A$213,BD!$C$3:$C$5001,"&lt;&gt;")=0,"",SUMIFS(BD!$C$3:$C$5001,BD!$A$3:$A$5001,V$3,BD!$B$3:$B$5001,$A$213)))</f>
        <v/>
      </c>
      <c r="W213" s="159" t="str">
        <f>IF(W$3="","",IF(COUNTIFS(BD!$A$3:$A$5001,W$3,BD!$B$3:$B$5001,$A$213,BD!$C$3:$C$5001,"&lt;&gt;")=0,"",SUMIFS(BD!$C$3:$C$5001,BD!$A$3:$A$5001,W$3,BD!$B$3:$B$5001,$A$213)))</f>
        <v/>
      </c>
      <c r="X213" s="159" t="str">
        <f>IF(X$3="","",IF(COUNTIFS(BD!$A$3:$A$5001,X$3,BD!$B$3:$B$5001,$A$213,BD!$C$3:$C$5001,"&lt;&gt;")=0,"",SUMIFS(BD!$C$3:$C$5001,BD!$A$3:$A$5001,X$3,BD!$B$3:$B$5001,$A$213)))</f>
        <v/>
      </c>
      <c r="Y213" s="159" t="str">
        <f>IF(Y$3="","",IF(COUNTIFS(BD!$A$3:$A$5001,Y$3,BD!$B$3:$B$5001,$A$213,BD!$C$3:$C$5001,"&lt;&gt;")=0,"",SUMIFS(BD!$C$3:$C$5001,BD!$A$3:$A$5001,Y$3,BD!$B$3:$B$5001,$A$213)))</f>
        <v/>
      </c>
      <c r="Z213" s="159" t="str">
        <f>IF(Z$3="","",IF(COUNTIFS(BD!$A$3:$A$5001,Z$3,BD!$B$3:$B$5001,$A$213,BD!$C$3:$C$5001,"&lt;&gt;")=0,"",SUMIFS(BD!$C$3:$C$5001,BD!$A$3:$A$5001,Z$3,BD!$B$3:$B$5001,$A$213)))</f>
        <v/>
      </c>
      <c r="AA213" s="159" t="str">
        <f>IF(AA$3="","",IF(COUNTIFS(BD!$A$3:$A$5001,AA$3,BD!$B$3:$B$5001,$A$213,BD!$C$3:$C$5001,"&lt;&gt;")=0,"",SUMIFS(BD!$C$3:$C$5001,BD!$A$3:$A$5001,AA$3,BD!$B$3:$B$5001,$A$213)))</f>
        <v/>
      </c>
      <c r="AB213" s="159" t="str">
        <f>IF(AB$3="","",IF(COUNTIFS(BD!$A$3:$A$5001,AB$3,BD!$B$3:$B$5001,$A$213,BD!$C$3:$C$5001,"&lt;&gt;")=0,"",SUMIFS(BD!$C$3:$C$5001,BD!$A$3:$A$5001,AB$3,BD!$B$3:$B$5001,$A$213)))</f>
        <v/>
      </c>
      <c r="AC213" s="159" t="str">
        <f>IF(AC$3="","",IF(COUNTIFS(BD!$A$3:$A$5001,AC$3,BD!$B$3:$B$5001,$A$213,BD!$C$3:$C$5001,"&lt;&gt;")=0,"",SUMIFS(BD!$C$3:$C$5001,BD!$A$3:$A$5001,AC$3,BD!$B$3:$B$5001,$A$213)))</f>
        <v/>
      </c>
      <c r="AD213" s="159" t="str">
        <f>IF(AD$3="","",IF(COUNTIFS(BD!$A$3:$A$5001,AD$3,BD!$B$3:$B$5001,$A$213,BD!$C$3:$C$5001,"&lt;&gt;")=0,"",SUMIFS(BD!$C$3:$C$5001,BD!$A$3:$A$5001,AD$3,BD!$B$3:$B$5001,$A$213)))</f>
        <v/>
      </c>
      <c r="AE213" s="159" t="str">
        <f>IF(AE$3="","",IF(COUNTIFS(BD!$A$3:$A$5001,AE$3,BD!$B$3:$B$5001,$A$213,BD!$C$3:$C$5001,"&lt;&gt;")=0,"",SUMIFS(BD!$C$3:$C$5001,BD!$A$3:$A$5001,AE$3,BD!$B$3:$B$5001,$A$213)))</f>
        <v/>
      </c>
      <c r="AF213" s="159" t="str">
        <f>IF(AF$3="","",IF(COUNTIFS(BD!$A$3:$A$5001,AF$3,BD!$B$3:$B$5001,$A$213,BD!$C$3:$C$5001,"&lt;&gt;")=0,"",SUMIFS(BD!$C$3:$C$5001,BD!$A$3:$A$5001,AF$3,BD!$B$3:$B$5001,$A$213)))</f>
        <v/>
      </c>
      <c r="AG213" s="159" t="str">
        <f>IF(AG$3="","",IF(COUNTIFS(BD!$A$3:$A$5001,AG$3,BD!$B$3:$B$5001,$A$213,BD!$C$3:$C$5001,"&lt;&gt;")=0,"",SUMIFS(BD!$C$3:$C$5001,BD!$A$3:$A$5001,AG$3,BD!$B$3:$B$5001,$A$213)))</f>
        <v/>
      </c>
      <c r="AH213" s="159" t="str">
        <f>IF(AH$3="","",IF(COUNTIFS(BD!$A$3:$A$5001,AH$3,BD!$B$3:$B$5001,$A$213,BD!$C$3:$C$5001,"&lt;&gt;")=0,"",SUMIFS(BD!$C$3:$C$5001,BD!$A$3:$A$5001,AH$3,BD!$B$3:$B$5001,$A$213)))</f>
        <v/>
      </c>
      <c r="AI213" s="159" t="str">
        <f>IF(AI$3="","",IF(COUNTIFS(BD!$A$3:$A$5001,AI$3,BD!$B$3:$B$5001,$A$213,BD!$C$3:$C$5001,"&lt;&gt;")=0,"",SUMIFS(BD!$C$3:$C$5001,BD!$A$3:$A$5001,AI$3,BD!$B$3:$B$5001,$A$213)))</f>
        <v/>
      </c>
      <c r="AJ213" s="160" t="str">
        <f>IF(AJ$3="","",IF(COUNTIFS(BD!$A$3:$A$5001,AJ$3,BD!$B$3:$B$5001,$A$213,BD!$C$3:$C$5001,"&lt;&gt;")=0,"",SUMIFS(BD!$C$3:$C$5001,BD!$A$3:$A$5001,AJ$3,BD!$B$3:$B$5001,$A$213)))</f>
        <v/>
      </c>
      <c r="AK213" s="161" t="str">
        <f>IF(COUNT(F213:AJ213)=0,"",SUM(F213:AJ213))</f>
        <v/>
      </c>
    </row>
    <row r="214" ht="15.75" customHeight="1" hidden="1">
      <c r="A214" s="244"/>
      <c r="B214" s="239"/>
      <c r="C214" s="201" t="inlineStr">
        <is>
          <t xml:space="preserve">Pallets Movimentados</t>
        </is>
      </c>
      <c r="D214" s="202" t="str">
        <f>IFERROR(1/(1/INDEX(BD!$AJ$24:$BD$24,MATCH($A$213,BD!$AJ$22:$BD$22,0))),"")</f>
        <v/>
      </c>
      <c r="E214" s="203"/>
      <c r="F214" s="204" t="str">
        <f>IF(F$3="","",IF(COUNTIFS(BD!$A$3:$A$5001,F$3,BD!$B$3:$B$5001,$A$213,BD!$D$3:$D$5001,"&lt;&gt;")=0,"",SUMIFS(BD!$D$3:$D$5001,BD!$A$3:$A$5001,F$3,BD!$B$3:$B$5001,$A$213)))</f>
        <v/>
      </c>
      <c r="G214" s="205" t="str">
        <f>IF(G$3="","",IF(COUNTIFS(BD!$A$3:$A$5001,G$3,BD!$B$3:$B$5001,$A$213,BD!$D$3:$D$5001,"&lt;&gt;")=0,"",SUMIFS(BD!$D$3:$D$5001,BD!$A$3:$A$5001,G$3,BD!$B$3:$B$5001,$A$213)))</f>
        <v/>
      </c>
      <c r="H214" s="205" t="str">
        <f>IF(H$3="","",IF(COUNTIFS(BD!$A$3:$A$5001,H$3,BD!$B$3:$B$5001,$A$213,BD!$D$3:$D$5001,"&lt;&gt;")=0,"",SUMIFS(BD!$D$3:$D$5001,BD!$A$3:$A$5001,H$3,BD!$B$3:$B$5001,$A$213)))</f>
        <v/>
      </c>
      <c r="I214" s="205" t="str">
        <f>IF(I$3="","",IF(COUNTIFS(BD!$A$3:$A$5001,I$3,BD!$B$3:$B$5001,$A$213,BD!$D$3:$D$5001,"&lt;&gt;")=0,"",SUMIFS(BD!$D$3:$D$5001,BD!$A$3:$A$5001,I$3,BD!$B$3:$B$5001,$A$213)))</f>
        <v/>
      </c>
      <c r="J214" s="205" t="str">
        <f>IF(J$3="","",IF(COUNTIFS(BD!$A$3:$A$5001,J$3,BD!$B$3:$B$5001,$A$213,BD!$D$3:$D$5001,"&lt;&gt;")=0,"",SUMIFS(BD!$D$3:$D$5001,BD!$A$3:$A$5001,J$3,BD!$B$3:$B$5001,$A$213)))</f>
        <v/>
      </c>
      <c r="K214" s="205" t="str">
        <f>IF(K$3="","",IF(COUNTIFS(BD!$A$3:$A$5001,K$3,BD!$B$3:$B$5001,$A$213,BD!$D$3:$D$5001,"&lt;&gt;")=0,"",SUMIFS(BD!$D$3:$D$5001,BD!$A$3:$A$5001,K$3,BD!$B$3:$B$5001,$A$213)))</f>
        <v/>
      </c>
      <c r="L214" s="205" t="str">
        <f>IF(L$3="","",IF(COUNTIFS(BD!$A$3:$A$5001,L$3,BD!$B$3:$B$5001,$A$213,BD!$D$3:$D$5001,"&lt;&gt;")=0,"",SUMIFS(BD!$D$3:$D$5001,BD!$A$3:$A$5001,L$3,BD!$B$3:$B$5001,$A$213)))</f>
        <v/>
      </c>
      <c r="M214" s="205" t="str">
        <f>IF(M$3="","",IF(COUNTIFS(BD!$A$3:$A$5001,M$3,BD!$B$3:$B$5001,$A$213,BD!$D$3:$D$5001,"&lt;&gt;")=0,"",SUMIFS(BD!$D$3:$D$5001,BD!$A$3:$A$5001,M$3,BD!$B$3:$B$5001,$A$213)))</f>
        <v/>
      </c>
      <c r="N214" s="205" t="str">
        <f>IF(N$3="","",IF(COUNTIFS(BD!$A$3:$A$5001,N$3,BD!$B$3:$B$5001,$A$213,BD!$D$3:$D$5001,"&lt;&gt;")=0,"",SUMIFS(BD!$D$3:$D$5001,BD!$A$3:$A$5001,N$3,BD!$B$3:$B$5001,$A$213)))</f>
        <v/>
      </c>
      <c r="O214" s="205" t="str">
        <f>IF(O$3="","",IF(COUNTIFS(BD!$A$3:$A$5001,O$3,BD!$B$3:$B$5001,$A$213,BD!$D$3:$D$5001,"&lt;&gt;")=0,"",SUMIFS(BD!$D$3:$D$5001,BD!$A$3:$A$5001,O$3,BD!$B$3:$B$5001,$A$213)))</f>
        <v/>
      </c>
      <c r="P214" s="205" t="str">
        <f>IF(P$3="","",IF(COUNTIFS(BD!$A$3:$A$5001,P$3,BD!$B$3:$B$5001,$A$213,BD!$D$3:$D$5001,"&lt;&gt;")=0,"",SUMIFS(BD!$D$3:$D$5001,BD!$A$3:$A$5001,P$3,BD!$B$3:$B$5001,$A$213)))</f>
        <v/>
      </c>
      <c r="Q214" s="205" t="str">
        <f>IF(Q$3="","",IF(COUNTIFS(BD!$A$3:$A$5001,Q$3,BD!$B$3:$B$5001,$A$213,BD!$D$3:$D$5001,"&lt;&gt;")=0,"",SUMIFS(BD!$D$3:$D$5001,BD!$A$3:$A$5001,Q$3,BD!$B$3:$B$5001,$A$213)))</f>
        <v/>
      </c>
      <c r="R214" s="205" t="str">
        <f>IF(R$3="","",IF(COUNTIFS(BD!$A$3:$A$5001,R$3,BD!$B$3:$B$5001,$A$213,BD!$D$3:$D$5001,"&lt;&gt;")=0,"",SUMIFS(BD!$D$3:$D$5001,BD!$A$3:$A$5001,R$3,BD!$B$3:$B$5001,$A$213)))</f>
        <v/>
      </c>
      <c r="S214" s="205" t="str">
        <f>IF(S$3="","",IF(COUNTIFS(BD!$A$3:$A$5001,S$3,BD!$B$3:$B$5001,$A$213,BD!$D$3:$D$5001,"&lt;&gt;")=0,"",SUMIFS(BD!$D$3:$D$5001,BD!$A$3:$A$5001,S$3,BD!$B$3:$B$5001,$A$213)))</f>
        <v/>
      </c>
      <c r="T214" s="205" t="str">
        <f>IF(T$3="","",IF(COUNTIFS(BD!$A$3:$A$5001,T$3,BD!$B$3:$B$5001,$A$213,BD!$D$3:$D$5001,"&lt;&gt;")=0,"",SUMIFS(BD!$D$3:$D$5001,BD!$A$3:$A$5001,T$3,BD!$B$3:$B$5001,$A$213)))</f>
        <v/>
      </c>
      <c r="U214" s="205" t="str">
        <f>IF(U$3="","",IF(COUNTIFS(BD!$A$3:$A$5001,U$3,BD!$B$3:$B$5001,$A$213,BD!$D$3:$D$5001,"&lt;&gt;")=0,"",SUMIFS(BD!$D$3:$D$5001,BD!$A$3:$A$5001,U$3,BD!$B$3:$B$5001,$A$213)))</f>
        <v/>
      </c>
      <c r="V214" s="205" t="str">
        <f>IF(V$3="","",IF(COUNTIFS(BD!$A$3:$A$5001,V$3,BD!$B$3:$B$5001,$A$213,BD!$D$3:$D$5001,"&lt;&gt;")=0,"",SUMIFS(BD!$D$3:$D$5001,BD!$A$3:$A$5001,V$3,BD!$B$3:$B$5001,$A$213)))</f>
        <v/>
      </c>
      <c r="W214" s="205" t="str">
        <f>IF(W$3="","",IF(COUNTIFS(BD!$A$3:$A$5001,W$3,BD!$B$3:$B$5001,$A$213,BD!$D$3:$D$5001,"&lt;&gt;")=0,"",SUMIFS(BD!$D$3:$D$5001,BD!$A$3:$A$5001,W$3,BD!$B$3:$B$5001,$A$213)))</f>
        <v/>
      </c>
      <c r="X214" s="205" t="str">
        <f>IF(X$3="","",IF(COUNTIFS(BD!$A$3:$A$5001,X$3,BD!$B$3:$B$5001,$A$213,BD!$D$3:$D$5001,"&lt;&gt;")=0,"",SUMIFS(BD!$D$3:$D$5001,BD!$A$3:$A$5001,X$3,BD!$B$3:$B$5001,$A$213)))</f>
        <v/>
      </c>
      <c r="Y214" s="205" t="str">
        <f>IF(Y$3="","",IF(COUNTIFS(BD!$A$3:$A$5001,Y$3,BD!$B$3:$B$5001,$A$213,BD!$D$3:$D$5001,"&lt;&gt;")=0,"",SUMIFS(BD!$D$3:$D$5001,BD!$A$3:$A$5001,Y$3,BD!$B$3:$B$5001,$A$213)))</f>
        <v/>
      </c>
      <c r="Z214" s="205" t="str">
        <f>IF(Z$3="","",IF(COUNTIFS(BD!$A$3:$A$5001,Z$3,BD!$B$3:$B$5001,$A$213,BD!$D$3:$D$5001,"&lt;&gt;")=0,"",SUMIFS(BD!$D$3:$D$5001,BD!$A$3:$A$5001,Z$3,BD!$B$3:$B$5001,$A$213)))</f>
        <v/>
      </c>
      <c r="AA214" s="205" t="str">
        <f>IF(AA$3="","",IF(COUNTIFS(BD!$A$3:$A$5001,AA$3,BD!$B$3:$B$5001,$A$213,BD!$D$3:$D$5001,"&lt;&gt;")=0,"",SUMIFS(BD!$D$3:$D$5001,BD!$A$3:$A$5001,AA$3,BD!$B$3:$B$5001,$A$213)))</f>
        <v/>
      </c>
      <c r="AB214" s="205" t="str">
        <f>IF(AB$3="","",IF(COUNTIFS(BD!$A$3:$A$5001,AB$3,BD!$B$3:$B$5001,$A$213,BD!$D$3:$D$5001,"&lt;&gt;")=0,"",SUMIFS(BD!$D$3:$D$5001,BD!$A$3:$A$5001,AB$3,BD!$B$3:$B$5001,$A$213)))</f>
        <v/>
      </c>
      <c r="AC214" s="205" t="str">
        <f>IF(AC$3="","",IF(COUNTIFS(BD!$A$3:$A$5001,AC$3,BD!$B$3:$B$5001,$A$213,BD!$D$3:$D$5001,"&lt;&gt;")=0,"",SUMIFS(BD!$D$3:$D$5001,BD!$A$3:$A$5001,AC$3,BD!$B$3:$B$5001,$A$213)))</f>
        <v/>
      </c>
      <c r="AD214" s="205" t="str">
        <f>IF(AD$3="","",IF(COUNTIFS(BD!$A$3:$A$5001,AD$3,BD!$B$3:$B$5001,$A$213,BD!$D$3:$D$5001,"&lt;&gt;")=0,"",SUMIFS(BD!$D$3:$D$5001,BD!$A$3:$A$5001,AD$3,BD!$B$3:$B$5001,$A$213)))</f>
        <v/>
      </c>
      <c r="AE214" s="205" t="str">
        <f>IF(AE$3="","",IF(COUNTIFS(BD!$A$3:$A$5001,AE$3,BD!$B$3:$B$5001,$A$213,BD!$D$3:$D$5001,"&lt;&gt;")=0,"",SUMIFS(BD!$D$3:$D$5001,BD!$A$3:$A$5001,AE$3,BD!$B$3:$B$5001,$A$213)))</f>
        <v/>
      </c>
      <c r="AF214" s="205" t="str">
        <f>IF(AF$3="","",IF(COUNTIFS(BD!$A$3:$A$5001,AF$3,BD!$B$3:$B$5001,$A$213,BD!$D$3:$D$5001,"&lt;&gt;")=0,"",SUMIFS(BD!$D$3:$D$5001,BD!$A$3:$A$5001,AF$3,BD!$B$3:$B$5001,$A$213)))</f>
        <v/>
      </c>
      <c r="AG214" s="205" t="str">
        <f>IF(AG$3="","",IF(COUNTIFS(BD!$A$3:$A$5001,AG$3,BD!$B$3:$B$5001,$A$213,BD!$D$3:$D$5001,"&lt;&gt;")=0,"",SUMIFS(BD!$D$3:$D$5001,BD!$A$3:$A$5001,AG$3,BD!$B$3:$B$5001,$A$213)))</f>
        <v/>
      </c>
      <c r="AH214" s="205" t="str">
        <f>IF(AH$3="","",IF(COUNTIFS(BD!$A$3:$A$5001,AH$3,BD!$B$3:$B$5001,$A$213,BD!$D$3:$D$5001,"&lt;&gt;")=0,"",SUMIFS(BD!$D$3:$D$5001,BD!$A$3:$A$5001,AH$3,BD!$B$3:$B$5001,$A$213)))</f>
        <v/>
      </c>
      <c r="AI214" s="205" t="str">
        <f>IF(AI$3="","",IF(COUNTIFS(BD!$A$3:$A$5001,AI$3,BD!$B$3:$B$5001,$A$213,BD!$D$3:$D$5001,"&lt;&gt;")=0,"",SUMIFS(BD!$D$3:$D$5001,BD!$A$3:$A$5001,AI$3,BD!$B$3:$B$5001,$A$213)))</f>
        <v/>
      </c>
      <c r="AJ214" s="206" t="str">
        <f>IF(AJ$3="","",IF(COUNTIFS(BD!$A$3:$A$5001,AJ$3,BD!$B$3:$B$5001,$A$213,BD!$D$3:$D$5001,"&lt;&gt;")=0,"",SUMIFS(BD!$D$3:$D$5001,BD!$A$3:$A$5001,AJ$3,BD!$B$3:$B$5001,$A$213)))</f>
        <v/>
      </c>
      <c r="AK214" s="207" t="str">
        <f>IF(COUNT(F214:AJ214)=0,"",SUM(F214:AJ214))</f>
        <v/>
      </c>
    </row>
    <row r="215" ht="15.75" customHeight="1" hidden="1">
      <c r="A215" s="244"/>
      <c r="B215" s="239"/>
      <c r="C215" s="201" t="inlineStr">
        <is>
          <t xml:space="preserve">Toneladas Movimentadas</t>
        </is>
      </c>
      <c r="D215" s="202" t="str">
        <f>IFERROR(1/(1/INDEX(BD!$AJ$25:$BD$25,MATCH($A$213,BD!$AJ$22:$BD$22,0))),"")</f>
        <v/>
      </c>
      <c r="E215" s="203"/>
      <c r="F215" s="265" t="str">
        <f>IF(F$3="","",IF(COUNTIFS(BD!$A$3:$A$5001,F$3,BD!$B$3:$B$5001,$A$213,BD!$E$3:$E$5001,"&lt;&gt;")=0,"",SUMIFS(BD!$E$3:$E$5001,BD!$A$3:$A$5001,F$3,BD!$B$3:$B$5001,$A$213)))</f>
        <v/>
      </c>
      <c r="G215" s="266" t="str">
        <f>IF(G$3="","",IF(COUNTIFS(BD!$A$3:$A$5001,G$3,BD!$B$3:$B$5001,$A$213,BD!$E$3:$E$5001,"&lt;&gt;")=0,"",SUMIFS(BD!$E$3:$E$5001,BD!$A$3:$A$5001,G$3,BD!$B$3:$B$5001,$A$213)))</f>
        <v/>
      </c>
      <c r="H215" s="266" t="str">
        <f>IF(H$3="","",IF(COUNTIFS(BD!$A$3:$A$5001,H$3,BD!$B$3:$B$5001,$A$213,BD!$E$3:$E$5001,"&lt;&gt;")=0,"",SUMIFS(BD!$E$3:$E$5001,BD!$A$3:$A$5001,H$3,BD!$B$3:$B$5001,$A$213)))</f>
        <v/>
      </c>
      <c r="I215" s="266" t="str">
        <f>IF(I$3="","",IF(COUNTIFS(BD!$A$3:$A$5001,I$3,BD!$B$3:$B$5001,$A$213,BD!$E$3:$E$5001,"&lt;&gt;")=0,"",SUMIFS(BD!$E$3:$E$5001,BD!$A$3:$A$5001,I$3,BD!$B$3:$B$5001,$A$213)))</f>
        <v/>
      </c>
      <c r="J215" s="266" t="str">
        <f>IF(J$3="","",IF(COUNTIFS(BD!$A$3:$A$5001,J$3,BD!$B$3:$B$5001,$A$213,BD!$E$3:$E$5001,"&lt;&gt;")=0,"",SUMIFS(BD!$E$3:$E$5001,BD!$A$3:$A$5001,J$3,BD!$B$3:$B$5001,$A$213)))</f>
        <v/>
      </c>
      <c r="K215" s="266" t="str">
        <f>IF(K$3="","",IF(COUNTIFS(BD!$A$3:$A$5001,K$3,BD!$B$3:$B$5001,$A$213,BD!$E$3:$E$5001,"&lt;&gt;")=0,"",SUMIFS(BD!$E$3:$E$5001,BD!$A$3:$A$5001,K$3,BD!$B$3:$B$5001,$A$213)))</f>
        <v/>
      </c>
      <c r="L215" s="266" t="str">
        <f>IF(L$3="","",IF(COUNTIFS(BD!$A$3:$A$5001,L$3,BD!$B$3:$B$5001,$A$213,BD!$E$3:$E$5001,"&lt;&gt;")=0,"",SUMIFS(BD!$E$3:$E$5001,BD!$A$3:$A$5001,L$3,BD!$B$3:$B$5001,$A$213)))</f>
        <v/>
      </c>
      <c r="M215" s="266" t="str">
        <f>IF(M$3="","",IF(COUNTIFS(BD!$A$3:$A$5001,M$3,BD!$B$3:$B$5001,$A$213,BD!$E$3:$E$5001,"&lt;&gt;")=0,"",SUMIFS(BD!$E$3:$E$5001,BD!$A$3:$A$5001,M$3,BD!$B$3:$B$5001,$A$213)))</f>
        <v/>
      </c>
      <c r="N215" s="266" t="str">
        <f>IF(N$3="","",IF(COUNTIFS(BD!$A$3:$A$5001,N$3,BD!$B$3:$B$5001,$A$213,BD!$E$3:$E$5001,"&lt;&gt;")=0,"",SUMIFS(BD!$E$3:$E$5001,BD!$A$3:$A$5001,N$3,BD!$B$3:$B$5001,$A$213)))</f>
        <v/>
      </c>
      <c r="O215" s="266" t="str">
        <f>IF(O$3="","",IF(COUNTIFS(BD!$A$3:$A$5001,O$3,BD!$B$3:$B$5001,$A$213,BD!$E$3:$E$5001,"&lt;&gt;")=0,"",SUMIFS(BD!$E$3:$E$5001,BD!$A$3:$A$5001,O$3,BD!$B$3:$B$5001,$A$213)))</f>
        <v/>
      </c>
      <c r="P215" s="266" t="str">
        <f>IF(P$3="","",IF(COUNTIFS(BD!$A$3:$A$5001,P$3,BD!$B$3:$B$5001,$A$213,BD!$E$3:$E$5001,"&lt;&gt;")=0,"",SUMIFS(BD!$E$3:$E$5001,BD!$A$3:$A$5001,P$3,BD!$B$3:$B$5001,$A$213)))</f>
        <v/>
      </c>
      <c r="Q215" s="266" t="str">
        <f>IF(Q$3="","",IF(COUNTIFS(BD!$A$3:$A$5001,Q$3,BD!$B$3:$B$5001,$A$213,BD!$E$3:$E$5001,"&lt;&gt;")=0,"",SUMIFS(BD!$E$3:$E$5001,BD!$A$3:$A$5001,Q$3,BD!$B$3:$B$5001,$A$213)))</f>
        <v/>
      </c>
      <c r="R215" s="266" t="str">
        <f>IF(R$3="","",IF(COUNTIFS(BD!$A$3:$A$5001,R$3,BD!$B$3:$B$5001,$A$213,BD!$E$3:$E$5001,"&lt;&gt;")=0,"",SUMIFS(BD!$E$3:$E$5001,BD!$A$3:$A$5001,R$3,BD!$B$3:$B$5001,$A$213)))</f>
        <v/>
      </c>
      <c r="S215" s="266" t="str">
        <f>IF(S$3="","",IF(COUNTIFS(BD!$A$3:$A$5001,S$3,BD!$B$3:$B$5001,$A$213,BD!$E$3:$E$5001,"&lt;&gt;")=0,"",SUMIFS(BD!$E$3:$E$5001,BD!$A$3:$A$5001,S$3,BD!$B$3:$B$5001,$A$213)))</f>
        <v/>
      </c>
      <c r="T215" s="266" t="str">
        <f>IF(T$3="","",IF(COUNTIFS(BD!$A$3:$A$5001,T$3,BD!$B$3:$B$5001,$A$213,BD!$E$3:$E$5001,"&lt;&gt;")=0,"",SUMIFS(BD!$E$3:$E$5001,BD!$A$3:$A$5001,T$3,BD!$B$3:$B$5001,$A$213)))</f>
        <v/>
      </c>
      <c r="U215" s="266" t="str">
        <f>IF(U$3="","",IF(COUNTIFS(BD!$A$3:$A$5001,U$3,BD!$B$3:$B$5001,$A$213,BD!$E$3:$E$5001,"&lt;&gt;")=0,"",SUMIFS(BD!$E$3:$E$5001,BD!$A$3:$A$5001,U$3,BD!$B$3:$B$5001,$A$213)))</f>
        <v/>
      </c>
      <c r="V215" s="266" t="str">
        <f>IF(V$3="","",IF(COUNTIFS(BD!$A$3:$A$5001,V$3,BD!$B$3:$B$5001,$A$213,BD!$E$3:$E$5001,"&lt;&gt;")=0,"",SUMIFS(BD!$E$3:$E$5001,BD!$A$3:$A$5001,V$3,BD!$B$3:$B$5001,$A$213)))</f>
        <v/>
      </c>
      <c r="W215" s="266" t="str">
        <f>IF(W$3="","",IF(COUNTIFS(BD!$A$3:$A$5001,W$3,BD!$B$3:$B$5001,$A$213,BD!$E$3:$E$5001,"&lt;&gt;")=0,"",SUMIFS(BD!$E$3:$E$5001,BD!$A$3:$A$5001,W$3,BD!$B$3:$B$5001,$A$213)))</f>
        <v/>
      </c>
      <c r="X215" s="266" t="str">
        <f>IF(X$3="","",IF(COUNTIFS(BD!$A$3:$A$5001,X$3,BD!$B$3:$B$5001,$A$213,BD!$E$3:$E$5001,"&lt;&gt;")=0,"",SUMIFS(BD!$E$3:$E$5001,BD!$A$3:$A$5001,X$3,BD!$B$3:$B$5001,$A$213)))</f>
        <v/>
      </c>
      <c r="Y215" s="266" t="str">
        <f>IF(Y$3="","",IF(COUNTIFS(BD!$A$3:$A$5001,Y$3,BD!$B$3:$B$5001,$A$213,BD!$E$3:$E$5001,"&lt;&gt;")=0,"",SUMIFS(BD!$E$3:$E$5001,BD!$A$3:$A$5001,Y$3,BD!$B$3:$B$5001,$A$213)))</f>
        <v/>
      </c>
      <c r="Z215" s="266" t="str">
        <f>IF(Z$3="","",IF(COUNTIFS(BD!$A$3:$A$5001,Z$3,BD!$B$3:$B$5001,$A$213,BD!$E$3:$E$5001,"&lt;&gt;")=0,"",SUMIFS(BD!$E$3:$E$5001,BD!$A$3:$A$5001,Z$3,BD!$B$3:$B$5001,$A$213)))</f>
        <v/>
      </c>
      <c r="AA215" s="266" t="str">
        <f>IF(AA$3="","",IF(COUNTIFS(BD!$A$3:$A$5001,AA$3,BD!$B$3:$B$5001,$A$213,BD!$E$3:$E$5001,"&lt;&gt;")=0,"",SUMIFS(BD!$E$3:$E$5001,BD!$A$3:$A$5001,AA$3,BD!$B$3:$B$5001,$A$213)))</f>
        <v/>
      </c>
      <c r="AB215" s="266" t="str">
        <f>IF(AB$3="","",IF(COUNTIFS(BD!$A$3:$A$5001,AB$3,BD!$B$3:$B$5001,$A$213,BD!$E$3:$E$5001,"&lt;&gt;")=0,"",SUMIFS(BD!$E$3:$E$5001,BD!$A$3:$A$5001,AB$3,BD!$B$3:$B$5001,$A$213)))</f>
        <v/>
      </c>
      <c r="AC215" s="266" t="str">
        <f>IF(AC$3="","",IF(COUNTIFS(BD!$A$3:$A$5001,AC$3,BD!$B$3:$B$5001,$A$213,BD!$E$3:$E$5001,"&lt;&gt;")=0,"",SUMIFS(BD!$E$3:$E$5001,BD!$A$3:$A$5001,AC$3,BD!$B$3:$B$5001,$A$213)))</f>
        <v/>
      </c>
      <c r="AD215" s="266" t="str">
        <f>IF(AD$3="","",IF(COUNTIFS(BD!$A$3:$A$5001,AD$3,BD!$B$3:$B$5001,$A$213,BD!$E$3:$E$5001,"&lt;&gt;")=0,"",SUMIFS(BD!$E$3:$E$5001,BD!$A$3:$A$5001,AD$3,BD!$B$3:$B$5001,$A$213)))</f>
        <v/>
      </c>
      <c r="AE215" s="266" t="str">
        <f>IF(AE$3="","",IF(COUNTIFS(BD!$A$3:$A$5001,AE$3,BD!$B$3:$B$5001,$A$213,BD!$E$3:$E$5001,"&lt;&gt;")=0,"",SUMIFS(BD!$E$3:$E$5001,BD!$A$3:$A$5001,AE$3,BD!$B$3:$B$5001,$A$213)))</f>
        <v/>
      </c>
      <c r="AF215" s="266" t="str">
        <f>IF(AF$3="","",IF(COUNTIFS(BD!$A$3:$A$5001,AF$3,BD!$B$3:$B$5001,$A$213,BD!$E$3:$E$5001,"&lt;&gt;")=0,"",SUMIFS(BD!$E$3:$E$5001,BD!$A$3:$A$5001,AF$3,BD!$B$3:$B$5001,$A$213)))</f>
        <v/>
      </c>
      <c r="AG215" s="266" t="str">
        <f>IF(AG$3="","",IF(COUNTIFS(BD!$A$3:$A$5001,AG$3,BD!$B$3:$B$5001,$A$213,BD!$E$3:$E$5001,"&lt;&gt;")=0,"",SUMIFS(BD!$E$3:$E$5001,BD!$A$3:$A$5001,AG$3,BD!$B$3:$B$5001,$A$213)))</f>
        <v/>
      </c>
      <c r="AH215" s="266" t="str">
        <f>IF(AH$3="","",IF(COUNTIFS(BD!$A$3:$A$5001,AH$3,BD!$B$3:$B$5001,$A$213,BD!$E$3:$E$5001,"&lt;&gt;")=0,"",SUMIFS(BD!$E$3:$E$5001,BD!$A$3:$A$5001,AH$3,BD!$B$3:$B$5001,$A$213)))</f>
        <v/>
      </c>
      <c r="AI215" s="266" t="str">
        <f>IF(AI$3="","",IF(COUNTIFS(BD!$A$3:$A$5001,AI$3,BD!$B$3:$B$5001,$A$213,BD!$E$3:$E$5001,"&lt;&gt;")=0,"",SUMIFS(BD!$E$3:$E$5001,BD!$A$3:$A$5001,AI$3,BD!$B$3:$B$5001,$A$213)))</f>
        <v/>
      </c>
      <c r="AJ215" s="267" t="str">
        <f>IF(AJ$3="","",IF(COUNTIFS(BD!$A$3:$A$5001,AJ$3,BD!$B$3:$B$5001,$A$213,BD!$E$3:$E$5001,"&lt;&gt;")=0,"",SUMIFS(BD!$E$3:$E$5001,BD!$A$3:$A$5001,AJ$3,BD!$B$3:$B$5001,$A$213)))</f>
        <v/>
      </c>
      <c r="AK215" s="268" t="str">
        <f>IF(COUNT(F215:AJ215)=0,"",SUM(F215:AJ215))</f>
        <v/>
      </c>
    </row>
    <row r="216" ht="15.75" customHeight="1" hidden="1">
      <c r="A216" s="244"/>
      <c r="B216" s="239"/>
      <c r="C216" s="201" t="inlineStr">
        <is>
          <t xml:space="preserve">Linhas NF</t>
        </is>
      </c>
      <c r="D216" s="202" t="str">
        <f>IFERROR(1/(1/INDEX(BD!$AJ$26:$BD$26,MATCH($A$213,BD!$AJ$22:$BD$22,0))),"")</f>
        <v/>
      </c>
      <c r="E216" s="203"/>
      <c r="F216" s="204" t="str">
        <f>IF(F$3="","",IF(COUNTIFS(BD!$A$3:$A$5001,F$3,BD!$B$3:$B$5001,$A$213,BD!$F$3:$F$5001,"&lt;&gt;")=0,"",SUMIFS(BD!$F$3:$F$5001,BD!$A$3:$A$5001,F$3,BD!$B$3:$B$5001,$A$213)))</f>
        <v/>
      </c>
      <c r="G216" s="205" t="str">
        <f>IF(G$3="","",IF(COUNTIFS(BD!$A$3:$A$5001,G$3,BD!$B$3:$B$5001,$A$213,BD!$F$3:$F$5001,"&lt;&gt;")=0,"",SUMIFS(BD!$F$3:$F$5001,BD!$A$3:$A$5001,G$3,BD!$B$3:$B$5001,$A$213)))</f>
        <v/>
      </c>
      <c r="H216" s="205" t="str">
        <f>IF(H$3="","",IF(COUNTIFS(BD!$A$3:$A$5001,H$3,BD!$B$3:$B$5001,$A$213,BD!$F$3:$F$5001,"&lt;&gt;")=0,"",SUMIFS(BD!$F$3:$F$5001,BD!$A$3:$A$5001,H$3,BD!$B$3:$B$5001,$A$213)))</f>
        <v/>
      </c>
      <c r="I216" s="205" t="str">
        <f>IF(I$3="","",IF(COUNTIFS(BD!$A$3:$A$5001,I$3,BD!$B$3:$B$5001,$A$213,BD!$F$3:$F$5001,"&lt;&gt;")=0,"",SUMIFS(BD!$F$3:$F$5001,BD!$A$3:$A$5001,I$3,BD!$B$3:$B$5001,$A$213)))</f>
        <v/>
      </c>
      <c r="J216" s="205" t="str">
        <f>IF(J$3="","",IF(COUNTIFS(BD!$A$3:$A$5001,J$3,BD!$B$3:$B$5001,$A$213,BD!$F$3:$F$5001,"&lt;&gt;")=0,"",SUMIFS(BD!$F$3:$F$5001,BD!$A$3:$A$5001,J$3,BD!$B$3:$B$5001,$A$213)))</f>
        <v/>
      </c>
      <c r="K216" s="205" t="str">
        <f>IF(K$3="","",IF(COUNTIFS(BD!$A$3:$A$5001,K$3,BD!$B$3:$B$5001,$A$213,BD!$F$3:$F$5001,"&lt;&gt;")=0,"",SUMIFS(BD!$F$3:$F$5001,BD!$A$3:$A$5001,K$3,BD!$B$3:$B$5001,$A$213)))</f>
        <v/>
      </c>
      <c r="L216" s="205" t="str">
        <f>IF(L$3="","",IF(COUNTIFS(BD!$A$3:$A$5001,L$3,BD!$B$3:$B$5001,$A$213,BD!$F$3:$F$5001,"&lt;&gt;")=0,"",SUMIFS(BD!$F$3:$F$5001,BD!$A$3:$A$5001,L$3,BD!$B$3:$B$5001,$A$213)))</f>
        <v/>
      </c>
      <c r="M216" s="205" t="str">
        <f>IF(M$3="","",IF(COUNTIFS(BD!$A$3:$A$5001,M$3,BD!$B$3:$B$5001,$A$213,BD!$F$3:$F$5001,"&lt;&gt;")=0,"",SUMIFS(BD!$F$3:$F$5001,BD!$A$3:$A$5001,M$3,BD!$B$3:$B$5001,$A$213)))</f>
        <v/>
      </c>
      <c r="N216" s="205" t="str">
        <f>IF(N$3="","",IF(COUNTIFS(BD!$A$3:$A$5001,N$3,BD!$B$3:$B$5001,$A$213,BD!$F$3:$F$5001,"&lt;&gt;")=0,"",SUMIFS(BD!$F$3:$F$5001,BD!$A$3:$A$5001,N$3,BD!$B$3:$B$5001,$A$213)))</f>
        <v/>
      </c>
      <c r="O216" s="205" t="str">
        <f>IF(O$3="","",IF(COUNTIFS(BD!$A$3:$A$5001,O$3,BD!$B$3:$B$5001,$A$213,BD!$F$3:$F$5001,"&lt;&gt;")=0,"",SUMIFS(BD!$F$3:$F$5001,BD!$A$3:$A$5001,O$3,BD!$B$3:$B$5001,$A$213)))</f>
        <v/>
      </c>
      <c r="P216" s="205" t="str">
        <f>IF(P$3="","",IF(COUNTIFS(BD!$A$3:$A$5001,P$3,BD!$B$3:$B$5001,$A$213,BD!$F$3:$F$5001,"&lt;&gt;")=0,"",SUMIFS(BD!$F$3:$F$5001,BD!$A$3:$A$5001,P$3,BD!$B$3:$B$5001,$A$213)))</f>
        <v/>
      </c>
      <c r="Q216" s="205" t="str">
        <f>IF(Q$3="","",IF(COUNTIFS(BD!$A$3:$A$5001,Q$3,BD!$B$3:$B$5001,$A$213,BD!$F$3:$F$5001,"&lt;&gt;")=0,"",SUMIFS(BD!$F$3:$F$5001,BD!$A$3:$A$5001,Q$3,BD!$B$3:$B$5001,$A$213)))</f>
        <v/>
      </c>
      <c r="R216" s="205" t="str">
        <f>IF(R$3="","",IF(COUNTIFS(BD!$A$3:$A$5001,R$3,BD!$B$3:$B$5001,$A$213,BD!$F$3:$F$5001,"&lt;&gt;")=0,"",SUMIFS(BD!$F$3:$F$5001,BD!$A$3:$A$5001,R$3,BD!$B$3:$B$5001,$A$213)))</f>
        <v/>
      </c>
      <c r="S216" s="205" t="str">
        <f>IF(S$3="","",IF(COUNTIFS(BD!$A$3:$A$5001,S$3,BD!$B$3:$B$5001,$A$213,BD!$F$3:$F$5001,"&lt;&gt;")=0,"",SUMIFS(BD!$F$3:$F$5001,BD!$A$3:$A$5001,S$3,BD!$B$3:$B$5001,$A$213)))</f>
        <v/>
      </c>
      <c r="T216" s="205" t="str">
        <f>IF(T$3="","",IF(COUNTIFS(BD!$A$3:$A$5001,T$3,BD!$B$3:$B$5001,$A$213,BD!$F$3:$F$5001,"&lt;&gt;")=0,"",SUMIFS(BD!$F$3:$F$5001,BD!$A$3:$A$5001,T$3,BD!$B$3:$B$5001,$A$213)))</f>
        <v/>
      </c>
      <c r="U216" s="205" t="str">
        <f>IF(U$3="","",IF(COUNTIFS(BD!$A$3:$A$5001,U$3,BD!$B$3:$B$5001,$A$213,BD!$F$3:$F$5001,"&lt;&gt;")=0,"",SUMIFS(BD!$F$3:$F$5001,BD!$A$3:$A$5001,U$3,BD!$B$3:$B$5001,$A$213)))</f>
        <v/>
      </c>
      <c r="V216" s="205" t="str">
        <f>IF(V$3="","",IF(COUNTIFS(BD!$A$3:$A$5001,V$3,BD!$B$3:$B$5001,$A$213,BD!$F$3:$F$5001,"&lt;&gt;")=0,"",SUMIFS(BD!$F$3:$F$5001,BD!$A$3:$A$5001,V$3,BD!$B$3:$B$5001,$A$213)))</f>
        <v/>
      </c>
      <c r="W216" s="205" t="str">
        <f>IF(W$3="","",IF(COUNTIFS(BD!$A$3:$A$5001,W$3,BD!$B$3:$B$5001,$A$213,BD!$F$3:$F$5001,"&lt;&gt;")=0,"",SUMIFS(BD!$F$3:$F$5001,BD!$A$3:$A$5001,W$3,BD!$B$3:$B$5001,$A$213)))</f>
        <v/>
      </c>
      <c r="X216" s="205" t="str">
        <f>IF(X$3="","",IF(COUNTIFS(BD!$A$3:$A$5001,X$3,BD!$B$3:$B$5001,$A$213,BD!$F$3:$F$5001,"&lt;&gt;")=0,"",SUMIFS(BD!$F$3:$F$5001,BD!$A$3:$A$5001,X$3,BD!$B$3:$B$5001,$A$213)))</f>
        <v/>
      </c>
      <c r="Y216" s="205" t="str">
        <f>IF(Y$3="","",IF(COUNTIFS(BD!$A$3:$A$5001,Y$3,BD!$B$3:$B$5001,$A$213,BD!$F$3:$F$5001,"&lt;&gt;")=0,"",SUMIFS(BD!$F$3:$F$5001,BD!$A$3:$A$5001,Y$3,BD!$B$3:$B$5001,$A$213)))</f>
        <v/>
      </c>
      <c r="Z216" s="205" t="str">
        <f>IF(Z$3="","",IF(COUNTIFS(BD!$A$3:$A$5001,Z$3,BD!$B$3:$B$5001,$A$213,BD!$F$3:$F$5001,"&lt;&gt;")=0,"",SUMIFS(BD!$F$3:$F$5001,BD!$A$3:$A$5001,Z$3,BD!$B$3:$B$5001,$A$213)))</f>
        <v/>
      </c>
      <c r="AA216" s="205" t="str">
        <f>IF(AA$3="","",IF(COUNTIFS(BD!$A$3:$A$5001,AA$3,BD!$B$3:$B$5001,$A$213,BD!$F$3:$F$5001,"&lt;&gt;")=0,"",SUMIFS(BD!$F$3:$F$5001,BD!$A$3:$A$5001,AA$3,BD!$B$3:$B$5001,$A$213)))</f>
        <v/>
      </c>
      <c r="AB216" s="205" t="str">
        <f>IF(AB$3="","",IF(COUNTIFS(BD!$A$3:$A$5001,AB$3,BD!$B$3:$B$5001,$A$213,BD!$F$3:$F$5001,"&lt;&gt;")=0,"",SUMIFS(BD!$F$3:$F$5001,BD!$A$3:$A$5001,AB$3,BD!$B$3:$B$5001,$A$213)))</f>
        <v/>
      </c>
      <c r="AC216" s="205" t="str">
        <f>IF(AC$3="","",IF(COUNTIFS(BD!$A$3:$A$5001,AC$3,BD!$B$3:$B$5001,$A$213,BD!$F$3:$F$5001,"&lt;&gt;")=0,"",SUMIFS(BD!$F$3:$F$5001,BD!$A$3:$A$5001,AC$3,BD!$B$3:$B$5001,$A$213)))</f>
        <v/>
      </c>
      <c r="AD216" s="205" t="str">
        <f>IF(AD$3="","",IF(COUNTIFS(BD!$A$3:$A$5001,AD$3,BD!$B$3:$B$5001,$A$213,BD!$F$3:$F$5001,"&lt;&gt;")=0,"",SUMIFS(BD!$F$3:$F$5001,BD!$A$3:$A$5001,AD$3,BD!$B$3:$B$5001,$A$213)))</f>
        <v/>
      </c>
      <c r="AE216" s="205" t="str">
        <f>IF(AE$3="","",IF(COUNTIFS(BD!$A$3:$A$5001,AE$3,BD!$B$3:$B$5001,$A$213,BD!$F$3:$F$5001,"&lt;&gt;")=0,"",SUMIFS(BD!$F$3:$F$5001,BD!$A$3:$A$5001,AE$3,BD!$B$3:$B$5001,$A$213)))</f>
        <v/>
      </c>
      <c r="AF216" s="205" t="str">
        <f>IF(AF$3="","",IF(COUNTIFS(BD!$A$3:$A$5001,AF$3,BD!$B$3:$B$5001,$A$213,BD!$F$3:$F$5001,"&lt;&gt;")=0,"",SUMIFS(BD!$F$3:$F$5001,BD!$A$3:$A$5001,AF$3,BD!$B$3:$B$5001,$A$213)))</f>
        <v/>
      </c>
      <c r="AG216" s="205" t="str">
        <f>IF(AG$3="","",IF(COUNTIFS(BD!$A$3:$A$5001,AG$3,BD!$B$3:$B$5001,$A$213,BD!$F$3:$F$5001,"&lt;&gt;")=0,"",SUMIFS(BD!$F$3:$F$5001,BD!$A$3:$A$5001,AG$3,BD!$B$3:$B$5001,$A$213)))</f>
        <v/>
      </c>
      <c r="AH216" s="205" t="str">
        <f>IF(AH$3="","",IF(COUNTIFS(BD!$A$3:$A$5001,AH$3,BD!$B$3:$B$5001,$A$213,BD!$F$3:$F$5001,"&lt;&gt;")=0,"",SUMIFS(BD!$F$3:$F$5001,BD!$A$3:$A$5001,AH$3,BD!$B$3:$B$5001,$A$213)))</f>
        <v/>
      </c>
      <c r="AI216" s="205" t="str">
        <f>IF(AI$3="","",IF(COUNTIFS(BD!$A$3:$A$5001,AI$3,BD!$B$3:$B$5001,$A$213,BD!$F$3:$F$5001,"&lt;&gt;")=0,"",SUMIFS(BD!$F$3:$F$5001,BD!$A$3:$A$5001,AI$3,BD!$B$3:$B$5001,$A$213)))</f>
        <v/>
      </c>
      <c r="AJ216" s="206" t="str">
        <f>IF(AJ$3="","",IF(COUNTIFS(BD!$A$3:$A$5001,AJ$3,BD!$B$3:$B$5001,$A$213,BD!$F$3:$F$5001,"&lt;&gt;")=0,"",SUMIFS(BD!$F$3:$F$5001,BD!$A$3:$A$5001,AJ$3,BD!$B$3:$B$5001,$A$213)))</f>
        <v/>
      </c>
      <c r="AK216" s="207" t="str">
        <f>IF(COUNT(F216:AJ216)=0,"",SUM(F216:AJ216))</f>
        <v/>
      </c>
    </row>
    <row r="217" ht="15.75" customHeight="1" hidden="1">
      <c r="A217" s="244"/>
      <c r="B217" s="239"/>
      <c r="C217" s="201" t="inlineStr">
        <is>
          <t xml:space="preserve">Caixas Movimentadas</t>
        </is>
      </c>
      <c r="D217" s="202" t="str">
        <f>IFERROR(1/(1/INDEX(BD!$AJ$27:$BD$27,MATCH($A$213,BD!$AJ$22:$BD$22,0))),"")</f>
        <v/>
      </c>
      <c r="E217" s="203"/>
      <c r="F217" s="204" t="str">
        <f>IF(F$3="","",IF(COUNTIFS(BD!$A$3:$A$5001,F$3,BD!$B$3:$B$5001,$A$213,BD!$G$3:$G$5001,"&lt;&gt;")=0,"",SUMIFS(BD!$G$3:$G$5001,BD!$A$3:$A$5001,F$3,BD!$B$3:$B$5001,$A$213)))</f>
        <v/>
      </c>
      <c r="G217" s="205" t="str">
        <f>IF(G$3="","",IF(COUNTIFS(BD!$A$3:$A$5001,G$3,BD!$B$3:$B$5001,$A$213,BD!$G$3:$G$5001,"&lt;&gt;")=0,"",SUMIFS(BD!$G$3:$G$5001,BD!$A$3:$A$5001,G$3,BD!$B$3:$B$5001,$A$213)))</f>
        <v/>
      </c>
      <c r="H217" s="205" t="str">
        <f>IF(H$3="","",IF(COUNTIFS(BD!$A$3:$A$5001,H$3,BD!$B$3:$B$5001,$A$213,BD!$G$3:$G$5001,"&lt;&gt;")=0,"",SUMIFS(BD!$G$3:$G$5001,BD!$A$3:$A$5001,H$3,BD!$B$3:$B$5001,$A$213)))</f>
        <v/>
      </c>
      <c r="I217" s="205" t="str">
        <f>IF(I$3="","",IF(COUNTIFS(BD!$A$3:$A$5001,I$3,BD!$B$3:$B$5001,$A$213,BD!$G$3:$G$5001,"&lt;&gt;")=0,"",SUMIFS(BD!$G$3:$G$5001,BD!$A$3:$A$5001,I$3,BD!$B$3:$B$5001,$A$213)))</f>
        <v/>
      </c>
      <c r="J217" s="205" t="str">
        <f>IF(J$3="","",IF(COUNTIFS(BD!$A$3:$A$5001,J$3,BD!$B$3:$B$5001,$A$213,BD!$G$3:$G$5001,"&lt;&gt;")=0,"",SUMIFS(BD!$G$3:$G$5001,BD!$A$3:$A$5001,J$3,BD!$B$3:$B$5001,$A$213)))</f>
        <v/>
      </c>
      <c r="K217" s="205" t="str">
        <f>IF(K$3="","",IF(COUNTIFS(BD!$A$3:$A$5001,K$3,BD!$B$3:$B$5001,$A$213,BD!$G$3:$G$5001,"&lt;&gt;")=0,"",SUMIFS(BD!$G$3:$G$5001,BD!$A$3:$A$5001,K$3,BD!$B$3:$B$5001,$A$213)))</f>
        <v/>
      </c>
      <c r="L217" s="205" t="str">
        <f>IF(L$3="","",IF(COUNTIFS(BD!$A$3:$A$5001,L$3,BD!$B$3:$B$5001,$A$213,BD!$G$3:$G$5001,"&lt;&gt;")=0,"",SUMIFS(BD!$G$3:$G$5001,BD!$A$3:$A$5001,L$3,BD!$B$3:$B$5001,$A$213)))</f>
        <v/>
      </c>
      <c r="M217" s="205" t="str">
        <f>IF(M$3="","",IF(COUNTIFS(BD!$A$3:$A$5001,M$3,BD!$B$3:$B$5001,$A$213,BD!$G$3:$G$5001,"&lt;&gt;")=0,"",SUMIFS(BD!$G$3:$G$5001,BD!$A$3:$A$5001,M$3,BD!$B$3:$B$5001,$A$213)))</f>
        <v/>
      </c>
      <c r="N217" s="205" t="str">
        <f>IF(N$3="","",IF(COUNTIFS(BD!$A$3:$A$5001,N$3,BD!$B$3:$B$5001,$A$213,BD!$G$3:$G$5001,"&lt;&gt;")=0,"",SUMIFS(BD!$G$3:$G$5001,BD!$A$3:$A$5001,N$3,BD!$B$3:$B$5001,$A$213)))</f>
        <v/>
      </c>
      <c r="O217" s="205" t="str">
        <f>IF(O$3="","",IF(COUNTIFS(BD!$A$3:$A$5001,O$3,BD!$B$3:$B$5001,$A$213,BD!$G$3:$G$5001,"&lt;&gt;")=0,"",SUMIFS(BD!$G$3:$G$5001,BD!$A$3:$A$5001,O$3,BD!$B$3:$B$5001,$A$213)))</f>
        <v/>
      </c>
      <c r="P217" s="205" t="str">
        <f>IF(P$3="","",IF(COUNTIFS(BD!$A$3:$A$5001,P$3,BD!$B$3:$B$5001,$A$213,BD!$G$3:$G$5001,"&lt;&gt;")=0,"",SUMIFS(BD!$G$3:$G$5001,BD!$A$3:$A$5001,P$3,BD!$B$3:$B$5001,$A$213)))</f>
        <v/>
      </c>
      <c r="Q217" s="205" t="str">
        <f>IF(Q$3="","",IF(COUNTIFS(BD!$A$3:$A$5001,Q$3,BD!$B$3:$B$5001,$A$213,BD!$G$3:$G$5001,"&lt;&gt;")=0,"",SUMIFS(BD!$G$3:$G$5001,BD!$A$3:$A$5001,Q$3,BD!$B$3:$B$5001,$A$213)))</f>
        <v/>
      </c>
      <c r="R217" s="205" t="str">
        <f>IF(R$3="","",IF(COUNTIFS(BD!$A$3:$A$5001,R$3,BD!$B$3:$B$5001,$A$213,BD!$G$3:$G$5001,"&lt;&gt;")=0,"",SUMIFS(BD!$G$3:$G$5001,BD!$A$3:$A$5001,R$3,BD!$B$3:$B$5001,$A$213)))</f>
        <v/>
      </c>
      <c r="S217" s="205" t="str">
        <f>IF(S$3="","",IF(COUNTIFS(BD!$A$3:$A$5001,S$3,BD!$B$3:$B$5001,$A$213,BD!$G$3:$G$5001,"&lt;&gt;")=0,"",SUMIFS(BD!$G$3:$G$5001,BD!$A$3:$A$5001,S$3,BD!$B$3:$B$5001,$A$213)))</f>
        <v/>
      </c>
      <c r="T217" s="205" t="str">
        <f>IF(T$3="","",IF(COUNTIFS(BD!$A$3:$A$5001,T$3,BD!$B$3:$B$5001,$A$213,BD!$G$3:$G$5001,"&lt;&gt;")=0,"",SUMIFS(BD!$G$3:$G$5001,BD!$A$3:$A$5001,T$3,BD!$B$3:$B$5001,$A$213)))</f>
        <v/>
      </c>
      <c r="U217" s="205" t="str">
        <f>IF(U$3="","",IF(COUNTIFS(BD!$A$3:$A$5001,U$3,BD!$B$3:$B$5001,$A$213,BD!$G$3:$G$5001,"&lt;&gt;")=0,"",SUMIFS(BD!$G$3:$G$5001,BD!$A$3:$A$5001,U$3,BD!$B$3:$B$5001,$A$213)))</f>
        <v/>
      </c>
      <c r="V217" s="205" t="str">
        <f>IF(V$3="","",IF(COUNTIFS(BD!$A$3:$A$5001,V$3,BD!$B$3:$B$5001,$A$213,BD!$G$3:$G$5001,"&lt;&gt;")=0,"",SUMIFS(BD!$G$3:$G$5001,BD!$A$3:$A$5001,V$3,BD!$B$3:$B$5001,$A$213)))</f>
        <v/>
      </c>
      <c r="W217" s="205" t="str">
        <f>IF(W$3="","",IF(COUNTIFS(BD!$A$3:$A$5001,W$3,BD!$B$3:$B$5001,$A$213,BD!$G$3:$G$5001,"&lt;&gt;")=0,"",SUMIFS(BD!$G$3:$G$5001,BD!$A$3:$A$5001,W$3,BD!$B$3:$B$5001,$A$213)))</f>
        <v/>
      </c>
      <c r="X217" s="205" t="str">
        <f>IF(X$3="","",IF(COUNTIFS(BD!$A$3:$A$5001,X$3,BD!$B$3:$B$5001,$A$213,BD!$G$3:$G$5001,"&lt;&gt;")=0,"",SUMIFS(BD!$G$3:$G$5001,BD!$A$3:$A$5001,X$3,BD!$B$3:$B$5001,$A$213)))</f>
        <v/>
      </c>
      <c r="Y217" s="205" t="str">
        <f>IF(Y$3="","",IF(COUNTIFS(BD!$A$3:$A$5001,Y$3,BD!$B$3:$B$5001,$A$213,BD!$G$3:$G$5001,"&lt;&gt;")=0,"",SUMIFS(BD!$G$3:$G$5001,BD!$A$3:$A$5001,Y$3,BD!$B$3:$B$5001,$A$213)))</f>
        <v/>
      </c>
      <c r="Z217" s="205" t="str">
        <f>IF(Z$3="","",IF(COUNTIFS(BD!$A$3:$A$5001,Z$3,BD!$B$3:$B$5001,$A$213,BD!$G$3:$G$5001,"&lt;&gt;")=0,"",SUMIFS(BD!$G$3:$G$5001,BD!$A$3:$A$5001,Z$3,BD!$B$3:$B$5001,$A$213)))</f>
        <v/>
      </c>
      <c r="AA217" s="205" t="str">
        <f>IF(AA$3="","",IF(COUNTIFS(BD!$A$3:$A$5001,AA$3,BD!$B$3:$B$5001,$A$213,BD!$G$3:$G$5001,"&lt;&gt;")=0,"",SUMIFS(BD!$G$3:$G$5001,BD!$A$3:$A$5001,AA$3,BD!$B$3:$B$5001,$A$213)))</f>
        <v/>
      </c>
      <c r="AB217" s="205" t="str">
        <f>IF(AB$3="","",IF(COUNTIFS(BD!$A$3:$A$5001,AB$3,BD!$B$3:$B$5001,$A$213,BD!$G$3:$G$5001,"&lt;&gt;")=0,"",SUMIFS(BD!$G$3:$G$5001,BD!$A$3:$A$5001,AB$3,BD!$B$3:$B$5001,$A$213)))</f>
        <v/>
      </c>
      <c r="AC217" s="205" t="str">
        <f>IF(AC$3="","",IF(COUNTIFS(BD!$A$3:$A$5001,AC$3,BD!$B$3:$B$5001,$A$213,BD!$G$3:$G$5001,"&lt;&gt;")=0,"",SUMIFS(BD!$G$3:$G$5001,BD!$A$3:$A$5001,AC$3,BD!$B$3:$B$5001,$A$213)))</f>
        <v/>
      </c>
      <c r="AD217" s="205" t="str">
        <f>IF(AD$3="","",IF(COUNTIFS(BD!$A$3:$A$5001,AD$3,BD!$B$3:$B$5001,$A$213,BD!$G$3:$G$5001,"&lt;&gt;")=0,"",SUMIFS(BD!$G$3:$G$5001,BD!$A$3:$A$5001,AD$3,BD!$B$3:$B$5001,$A$213)))</f>
        <v/>
      </c>
      <c r="AE217" s="205" t="str">
        <f>IF(AE$3="","",IF(COUNTIFS(BD!$A$3:$A$5001,AE$3,BD!$B$3:$B$5001,$A$213,BD!$G$3:$G$5001,"&lt;&gt;")=0,"",SUMIFS(BD!$G$3:$G$5001,BD!$A$3:$A$5001,AE$3,BD!$B$3:$B$5001,$A$213)))</f>
        <v/>
      </c>
      <c r="AF217" s="205" t="str">
        <f>IF(AF$3="","",IF(COUNTIFS(BD!$A$3:$A$5001,AF$3,BD!$B$3:$B$5001,$A$213,BD!$G$3:$G$5001,"&lt;&gt;")=0,"",SUMIFS(BD!$G$3:$G$5001,BD!$A$3:$A$5001,AF$3,BD!$B$3:$B$5001,$A$213)))</f>
        <v/>
      </c>
      <c r="AG217" s="205" t="str">
        <f>IF(AG$3="","",IF(COUNTIFS(BD!$A$3:$A$5001,AG$3,BD!$B$3:$B$5001,$A$213,BD!$G$3:$G$5001,"&lt;&gt;")=0,"",SUMIFS(BD!$G$3:$G$5001,BD!$A$3:$A$5001,AG$3,BD!$B$3:$B$5001,$A$213)))</f>
        <v/>
      </c>
      <c r="AH217" s="205" t="str">
        <f>IF(AH$3="","",IF(COUNTIFS(BD!$A$3:$A$5001,AH$3,BD!$B$3:$B$5001,$A$213,BD!$G$3:$G$5001,"&lt;&gt;")=0,"",SUMIFS(BD!$G$3:$G$5001,BD!$A$3:$A$5001,AH$3,BD!$B$3:$B$5001,$A$213)))</f>
        <v/>
      </c>
      <c r="AI217" s="205" t="str">
        <f>IF(AI$3="","",IF(COUNTIFS(BD!$A$3:$A$5001,AI$3,BD!$B$3:$B$5001,$A$213,BD!$G$3:$G$5001,"&lt;&gt;")=0,"",SUMIFS(BD!$G$3:$G$5001,BD!$A$3:$A$5001,AI$3,BD!$B$3:$B$5001,$A$213)))</f>
        <v/>
      </c>
      <c r="AJ217" s="206" t="str">
        <f>IF(AJ$3="","",IF(COUNTIFS(BD!$A$3:$A$5001,AJ$3,BD!$B$3:$B$5001,$A$213,BD!$G$3:$G$5001,"&lt;&gt;")=0,"",SUMIFS(BD!$G$3:$G$5001,BD!$A$3:$A$5001,AJ$3,BD!$B$3:$B$5001,$A$213)))</f>
        <v/>
      </c>
      <c r="AK217" s="207" t="str">
        <f>IF(COUNT(F217:AJ217)=0,"",SUM(F217:AJ217))</f>
        <v/>
      </c>
    </row>
    <row r="218" ht="15.75" customHeight="1" hidden="1">
      <c r="A218" s="244"/>
      <c r="B218" s="239"/>
      <c r="C218" s="201" t="inlineStr">
        <is>
          <t xml:space="preserve">Itens Recebidos</t>
        </is>
      </c>
      <c r="D218" s="202" t="str">
        <f>IFERROR(1/(1/INDEX(BD!$AJ$28:$BD$28,MATCH($A$213,BD!$AJ$22:$BD$22,0))),"")</f>
        <v/>
      </c>
      <c r="E218" s="203"/>
      <c r="F218" s="204" t="str">
        <f>IF(F$3="","",IF(COUNTIFS(BD!$A$3:$A$5001,F$3,BD!$B$3:$B$5001,$A$213,BD!$H$3:$H$5001,"&lt;&gt;")=0,"",SUMIFS(BD!$H$3:$H$5001,BD!$A$3:$A$5001,F$3,BD!$B$3:$B$5001,$A$213)))</f>
        <v/>
      </c>
      <c r="G218" s="205" t="str">
        <f>IF(G$3="","",IF(COUNTIFS(BD!$A$3:$A$5001,G$3,BD!$B$3:$B$5001,$A$213,BD!$H$3:$H$5001,"&lt;&gt;")=0,"",SUMIFS(BD!$H$3:$H$5001,BD!$A$3:$A$5001,G$3,BD!$B$3:$B$5001,$A$213)))</f>
        <v/>
      </c>
      <c r="H218" s="205" t="str">
        <f>IF(H$3="","",IF(COUNTIFS(BD!$A$3:$A$5001,H$3,BD!$B$3:$B$5001,$A$213,BD!$H$3:$H$5001,"&lt;&gt;")=0,"",SUMIFS(BD!$H$3:$H$5001,BD!$A$3:$A$5001,H$3,BD!$B$3:$B$5001,$A$213)))</f>
        <v/>
      </c>
      <c r="I218" s="205" t="str">
        <f>IF(I$3="","",IF(COUNTIFS(BD!$A$3:$A$5001,I$3,BD!$B$3:$B$5001,$A$213,BD!$H$3:$H$5001,"&lt;&gt;")=0,"",SUMIFS(BD!$H$3:$H$5001,BD!$A$3:$A$5001,I$3,BD!$B$3:$B$5001,$A$213)))</f>
        <v/>
      </c>
      <c r="J218" s="205" t="str">
        <f>IF(J$3="","",IF(COUNTIFS(BD!$A$3:$A$5001,J$3,BD!$B$3:$B$5001,$A$213,BD!$H$3:$H$5001,"&lt;&gt;")=0,"",SUMIFS(BD!$H$3:$H$5001,BD!$A$3:$A$5001,J$3,BD!$B$3:$B$5001,$A$213)))</f>
        <v/>
      </c>
      <c r="K218" s="205" t="str">
        <f>IF(K$3="","",IF(COUNTIFS(BD!$A$3:$A$5001,K$3,BD!$B$3:$B$5001,$A$213,BD!$H$3:$H$5001,"&lt;&gt;")=0,"",SUMIFS(BD!$H$3:$H$5001,BD!$A$3:$A$5001,K$3,BD!$B$3:$B$5001,$A$213)))</f>
        <v/>
      </c>
      <c r="L218" s="205" t="str">
        <f>IF(L$3="","",IF(COUNTIFS(BD!$A$3:$A$5001,L$3,BD!$B$3:$B$5001,$A$213,BD!$H$3:$H$5001,"&lt;&gt;")=0,"",SUMIFS(BD!$H$3:$H$5001,BD!$A$3:$A$5001,L$3,BD!$B$3:$B$5001,$A$213)))</f>
        <v/>
      </c>
      <c r="M218" s="205" t="str">
        <f>IF(M$3="","",IF(COUNTIFS(BD!$A$3:$A$5001,M$3,BD!$B$3:$B$5001,$A$213,BD!$H$3:$H$5001,"&lt;&gt;")=0,"",SUMIFS(BD!$H$3:$H$5001,BD!$A$3:$A$5001,M$3,BD!$B$3:$B$5001,$A$213)))</f>
        <v/>
      </c>
      <c r="N218" s="205" t="str">
        <f>IF(N$3="","",IF(COUNTIFS(BD!$A$3:$A$5001,N$3,BD!$B$3:$B$5001,$A$213,BD!$H$3:$H$5001,"&lt;&gt;")=0,"",SUMIFS(BD!$H$3:$H$5001,BD!$A$3:$A$5001,N$3,BD!$B$3:$B$5001,$A$213)))</f>
        <v/>
      </c>
      <c r="O218" s="205" t="str">
        <f>IF(O$3="","",IF(COUNTIFS(BD!$A$3:$A$5001,O$3,BD!$B$3:$B$5001,$A$213,BD!$H$3:$H$5001,"&lt;&gt;")=0,"",SUMIFS(BD!$H$3:$H$5001,BD!$A$3:$A$5001,O$3,BD!$B$3:$B$5001,$A$213)))</f>
        <v/>
      </c>
      <c r="P218" s="205" t="str">
        <f>IF(P$3="","",IF(COUNTIFS(BD!$A$3:$A$5001,P$3,BD!$B$3:$B$5001,$A$213,BD!$H$3:$H$5001,"&lt;&gt;")=0,"",SUMIFS(BD!$H$3:$H$5001,BD!$A$3:$A$5001,P$3,BD!$B$3:$B$5001,$A$213)))</f>
        <v/>
      </c>
      <c r="Q218" s="205" t="str">
        <f>IF(Q$3="","",IF(COUNTIFS(BD!$A$3:$A$5001,Q$3,BD!$B$3:$B$5001,$A$213,BD!$H$3:$H$5001,"&lt;&gt;")=0,"",SUMIFS(BD!$H$3:$H$5001,BD!$A$3:$A$5001,Q$3,BD!$B$3:$B$5001,$A$213)))</f>
        <v/>
      </c>
      <c r="R218" s="205" t="str">
        <f>IF(R$3="","",IF(COUNTIFS(BD!$A$3:$A$5001,R$3,BD!$B$3:$B$5001,$A$213,BD!$H$3:$H$5001,"&lt;&gt;")=0,"",SUMIFS(BD!$H$3:$H$5001,BD!$A$3:$A$5001,R$3,BD!$B$3:$B$5001,$A$213)))</f>
        <v/>
      </c>
      <c r="S218" s="205" t="str">
        <f>IF(S$3="","",IF(COUNTIFS(BD!$A$3:$A$5001,S$3,BD!$B$3:$B$5001,$A$213,BD!$H$3:$H$5001,"&lt;&gt;")=0,"",SUMIFS(BD!$H$3:$H$5001,BD!$A$3:$A$5001,S$3,BD!$B$3:$B$5001,$A$213)))</f>
        <v/>
      </c>
      <c r="T218" s="205" t="str">
        <f>IF(T$3="","",IF(COUNTIFS(BD!$A$3:$A$5001,T$3,BD!$B$3:$B$5001,$A$213,BD!$H$3:$H$5001,"&lt;&gt;")=0,"",SUMIFS(BD!$H$3:$H$5001,BD!$A$3:$A$5001,T$3,BD!$B$3:$B$5001,$A$213)))</f>
        <v/>
      </c>
      <c r="U218" s="205" t="str">
        <f>IF(U$3="","",IF(COUNTIFS(BD!$A$3:$A$5001,U$3,BD!$B$3:$B$5001,$A$213,BD!$H$3:$H$5001,"&lt;&gt;")=0,"",SUMIFS(BD!$H$3:$H$5001,BD!$A$3:$A$5001,U$3,BD!$B$3:$B$5001,$A$213)))</f>
        <v/>
      </c>
      <c r="V218" s="205" t="str">
        <f>IF(V$3="","",IF(COUNTIFS(BD!$A$3:$A$5001,V$3,BD!$B$3:$B$5001,$A$213,BD!$H$3:$H$5001,"&lt;&gt;")=0,"",SUMIFS(BD!$H$3:$H$5001,BD!$A$3:$A$5001,V$3,BD!$B$3:$B$5001,$A$213)))</f>
        <v/>
      </c>
      <c r="W218" s="205" t="str">
        <f>IF(W$3="","",IF(COUNTIFS(BD!$A$3:$A$5001,W$3,BD!$B$3:$B$5001,$A$213,BD!$H$3:$H$5001,"&lt;&gt;")=0,"",SUMIFS(BD!$H$3:$H$5001,BD!$A$3:$A$5001,W$3,BD!$B$3:$B$5001,$A$213)))</f>
        <v/>
      </c>
      <c r="X218" s="205" t="str">
        <f>IF(X$3="","",IF(COUNTIFS(BD!$A$3:$A$5001,X$3,BD!$B$3:$B$5001,$A$213,BD!$H$3:$H$5001,"&lt;&gt;")=0,"",SUMIFS(BD!$H$3:$H$5001,BD!$A$3:$A$5001,X$3,BD!$B$3:$B$5001,$A$213)))</f>
        <v/>
      </c>
      <c r="Y218" s="205" t="str">
        <f>IF(Y$3="","",IF(COUNTIFS(BD!$A$3:$A$5001,Y$3,BD!$B$3:$B$5001,$A$213,BD!$H$3:$H$5001,"&lt;&gt;")=0,"",SUMIFS(BD!$H$3:$H$5001,BD!$A$3:$A$5001,Y$3,BD!$B$3:$B$5001,$A$213)))</f>
        <v/>
      </c>
      <c r="Z218" s="205" t="str">
        <f>IF(Z$3="","",IF(COUNTIFS(BD!$A$3:$A$5001,Z$3,BD!$B$3:$B$5001,$A$213,BD!$H$3:$H$5001,"&lt;&gt;")=0,"",SUMIFS(BD!$H$3:$H$5001,BD!$A$3:$A$5001,Z$3,BD!$B$3:$B$5001,$A$213)))</f>
        <v/>
      </c>
      <c r="AA218" s="205" t="str">
        <f>IF(AA$3="","",IF(COUNTIFS(BD!$A$3:$A$5001,AA$3,BD!$B$3:$B$5001,$A$213,BD!$H$3:$H$5001,"&lt;&gt;")=0,"",SUMIFS(BD!$H$3:$H$5001,BD!$A$3:$A$5001,AA$3,BD!$B$3:$B$5001,$A$213)))</f>
        <v/>
      </c>
      <c r="AB218" s="205" t="str">
        <f>IF(AB$3="","",IF(COUNTIFS(BD!$A$3:$A$5001,AB$3,BD!$B$3:$B$5001,$A$213,BD!$H$3:$H$5001,"&lt;&gt;")=0,"",SUMIFS(BD!$H$3:$H$5001,BD!$A$3:$A$5001,AB$3,BD!$B$3:$B$5001,$A$213)))</f>
        <v/>
      </c>
      <c r="AC218" s="205" t="str">
        <f>IF(AC$3="","",IF(COUNTIFS(BD!$A$3:$A$5001,AC$3,BD!$B$3:$B$5001,$A$213,BD!$H$3:$H$5001,"&lt;&gt;")=0,"",SUMIFS(BD!$H$3:$H$5001,BD!$A$3:$A$5001,AC$3,BD!$B$3:$B$5001,$A$213)))</f>
        <v/>
      </c>
      <c r="AD218" s="205" t="str">
        <f>IF(AD$3="","",IF(COUNTIFS(BD!$A$3:$A$5001,AD$3,BD!$B$3:$B$5001,$A$213,BD!$H$3:$H$5001,"&lt;&gt;")=0,"",SUMIFS(BD!$H$3:$H$5001,BD!$A$3:$A$5001,AD$3,BD!$B$3:$B$5001,$A$213)))</f>
        <v/>
      </c>
      <c r="AE218" s="205" t="str">
        <f>IF(AE$3="","",IF(COUNTIFS(BD!$A$3:$A$5001,AE$3,BD!$B$3:$B$5001,$A$213,BD!$H$3:$H$5001,"&lt;&gt;")=0,"",SUMIFS(BD!$H$3:$H$5001,BD!$A$3:$A$5001,AE$3,BD!$B$3:$B$5001,$A$213)))</f>
        <v/>
      </c>
      <c r="AF218" s="205" t="str">
        <f>IF(AF$3="","",IF(COUNTIFS(BD!$A$3:$A$5001,AF$3,BD!$B$3:$B$5001,$A$213,BD!$H$3:$H$5001,"&lt;&gt;")=0,"",SUMIFS(BD!$H$3:$H$5001,BD!$A$3:$A$5001,AF$3,BD!$B$3:$B$5001,$A$213)))</f>
        <v/>
      </c>
      <c r="AG218" s="205" t="str">
        <f>IF(AG$3="","",IF(COUNTIFS(BD!$A$3:$A$5001,AG$3,BD!$B$3:$B$5001,$A$213,BD!$H$3:$H$5001,"&lt;&gt;")=0,"",SUMIFS(BD!$H$3:$H$5001,BD!$A$3:$A$5001,AG$3,BD!$B$3:$B$5001,$A$213)))</f>
        <v/>
      </c>
      <c r="AH218" s="205" t="str">
        <f>IF(AH$3="","",IF(COUNTIFS(BD!$A$3:$A$5001,AH$3,BD!$B$3:$B$5001,$A$213,BD!$H$3:$H$5001,"&lt;&gt;")=0,"",SUMIFS(BD!$H$3:$H$5001,BD!$A$3:$A$5001,AH$3,BD!$B$3:$B$5001,$A$213)))</f>
        <v/>
      </c>
      <c r="AI218" s="205" t="str">
        <f>IF(AI$3="","",IF(COUNTIFS(BD!$A$3:$A$5001,AI$3,BD!$B$3:$B$5001,$A$213,BD!$H$3:$H$5001,"&lt;&gt;")=0,"",SUMIFS(BD!$H$3:$H$5001,BD!$A$3:$A$5001,AI$3,BD!$B$3:$B$5001,$A$213)))</f>
        <v/>
      </c>
      <c r="AJ218" s="206" t="str">
        <f>IF(AJ$3="","",IF(COUNTIFS(BD!$A$3:$A$5001,AJ$3,BD!$B$3:$B$5001,$A$213,BD!$H$3:$H$5001,"&lt;&gt;")=0,"",SUMIFS(BD!$H$3:$H$5001,BD!$A$3:$A$5001,AJ$3,BD!$B$3:$B$5001,$A$213)))</f>
        <v/>
      </c>
      <c r="AK218" s="207" t="str">
        <f>IF(COUNT(F218:AJ218)=0,"",SUM(F218:AJ218))</f>
        <v/>
      </c>
    </row>
    <row r="219" ht="15.75" customHeight="1" hidden="1">
      <c r="A219" s="244"/>
      <c r="B219" s="239"/>
      <c r="C219" s="201" t="inlineStr">
        <is>
          <t xml:space="preserve">Itens Recebidos CX Mista</t>
        </is>
      </c>
      <c r="D219" s="202" t="str">
        <f>IFERROR(1/(1/INDEX(BD!$AJ$29:$BD$29,MATCH($A$213,BD!$AJ$22:$BD$22,0))),"")</f>
        <v/>
      </c>
      <c r="E219" s="203"/>
      <c r="F219" s="204" t="str">
        <f>IF(F$3="","",IF(COUNTIFS(BD!$A$3:$A$5001,F$3,BD!$B$3:$B$5001,$A$213,BD!$I$3:$I$5001,"&lt;&gt;")=0,"",SUMIFS(BD!$I$3:$I$5001,BD!$A$3:$A$5001,F$3,BD!$B$3:$B$5001,$A$213)))</f>
        <v/>
      </c>
      <c r="G219" s="205" t="str">
        <f>IF(G$3="","",IF(COUNTIFS(BD!$A$3:$A$5001,G$3,BD!$B$3:$B$5001,$A$213,BD!$I$3:$I$5001,"&lt;&gt;")=0,"",SUMIFS(BD!$I$3:$I$5001,BD!$A$3:$A$5001,G$3,BD!$B$3:$B$5001,$A$213)))</f>
        <v/>
      </c>
      <c r="H219" s="205" t="str">
        <f>IF(H$3="","",IF(COUNTIFS(BD!$A$3:$A$5001,H$3,BD!$B$3:$B$5001,$A$213,BD!$I$3:$I$5001,"&lt;&gt;")=0,"",SUMIFS(BD!$I$3:$I$5001,BD!$A$3:$A$5001,H$3,BD!$B$3:$B$5001,$A$213)))</f>
        <v/>
      </c>
      <c r="I219" s="205" t="str">
        <f>IF(I$3="","",IF(COUNTIFS(BD!$A$3:$A$5001,I$3,BD!$B$3:$B$5001,$A$213,BD!$I$3:$I$5001,"&lt;&gt;")=0,"",SUMIFS(BD!$I$3:$I$5001,BD!$A$3:$A$5001,I$3,BD!$B$3:$B$5001,$A$213)))</f>
        <v/>
      </c>
      <c r="J219" s="205" t="str">
        <f>IF(J$3="","",IF(COUNTIFS(BD!$A$3:$A$5001,J$3,BD!$B$3:$B$5001,$A$213,BD!$I$3:$I$5001,"&lt;&gt;")=0,"",SUMIFS(BD!$I$3:$I$5001,BD!$A$3:$A$5001,J$3,BD!$B$3:$B$5001,$A$213)))</f>
        <v/>
      </c>
      <c r="K219" s="205" t="str">
        <f>IF(K$3="","",IF(COUNTIFS(BD!$A$3:$A$5001,K$3,BD!$B$3:$B$5001,$A$213,BD!$I$3:$I$5001,"&lt;&gt;")=0,"",SUMIFS(BD!$I$3:$I$5001,BD!$A$3:$A$5001,K$3,BD!$B$3:$B$5001,$A$213)))</f>
        <v/>
      </c>
      <c r="L219" s="205" t="str">
        <f>IF(L$3="","",IF(COUNTIFS(BD!$A$3:$A$5001,L$3,BD!$B$3:$B$5001,$A$213,BD!$I$3:$I$5001,"&lt;&gt;")=0,"",SUMIFS(BD!$I$3:$I$5001,BD!$A$3:$A$5001,L$3,BD!$B$3:$B$5001,$A$213)))</f>
        <v/>
      </c>
      <c r="M219" s="205" t="str">
        <f>IF(M$3="","",IF(COUNTIFS(BD!$A$3:$A$5001,M$3,BD!$B$3:$B$5001,$A$213,BD!$I$3:$I$5001,"&lt;&gt;")=0,"",SUMIFS(BD!$I$3:$I$5001,BD!$A$3:$A$5001,M$3,BD!$B$3:$B$5001,$A$213)))</f>
        <v/>
      </c>
      <c r="N219" s="205" t="str">
        <f>IF(N$3="","",IF(COUNTIFS(BD!$A$3:$A$5001,N$3,BD!$B$3:$B$5001,$A$213,BD!$I$3:$I$5001,"&lt;&gt;")=0,"",SUMIFS(BD!$I$3:$I$5001,BD!$A$3:$A$5001,N$3,BD!$B$3:$B$5001,$A$213)))</f>
        <v/>
      </c>
      <c r="O219" s="205" t="str">
        <f>IF(O$3="","",IF(COUNTIFS(BD!$A$3:$A$5001,O$3,BD!$B$3:$B$5001,$A$213,BD!$I$3:$I$5001,"&lt;&gt;")=0,"",SUMIFS(BD!$I$3:$I$5001,BD!$A$3:$A$5001,O$3,BD!$B$3:$B$5001,$A$213)))</f>
        <v/>
      </c>
      <c r="P219" s="205" t="str">
        <f>IF(P$3="","",IF(COUNTIFS(BD!$A$3:$A$5001,P$3,BD!$B$3:$B$5001,$A$213,BD!$I$3:$I$5001,"&lt;&gt;")=0,"",SUMIFS(BD!$I$3:$I$5001,BD!$A$3:$A$5001,P$3,BD!$B$3:$B$5001,$A$213)))</f>
        <v/>
      </c>
      <c r="Q219" s="205" t="str">
        <f>IF(Q$3="","",IF(COUNTIFS(BD!$A$3:$A$5001,Q$3,BD!$B$3:$B$5001,$A$213,BD!$I$3:$I$5001,"&lt;&gt;")=0,"",SUMIFS(BD!$I$3:$I$5001,BD!$A$3:$A$5001,Q$3,BD!$B$3:$B$5001,$A$213)))</f>
        <v/>
      </c>
      <c r="R219" s="205" t="str">
        <f>IF(R$3="","",IF(COUNTIFS(BD!$A$3:$A$5001,R$3,BD!$B$3:$B$5001,$A$213,BD!$I$3:$I$5001,"&lt;&gt;")=0,"",SUMIFS(BD!$I$3:$I$5001,BD!$A$3:$A$5001,R$3,BD!$B$3:$B$5001,$A$213)))</f>
        <v/>
      </c>
      <c r="S219" s="205" t="str">
        <f>IF(S$3="","",IF(COUNTIFS(BD!$A$3:$A$5001,S$3,BD!$B$3:$B$5001,$A$213,BD!$I$3:$I$5001,"&lt;&gt;")=0,"",SUMIFS(BD!$I$3:$I$5001,BD!$A$3:$A$5001,S$3,BD!$B$3:$B$5001,$A$213)))</f>
        <v/>
      </c>
      <c r="T219" s="205" t="str">
        <f>IF(T$3="","",IF(COUNTIFS(BD!$A$3:$A$5001,T$3,BD!$B$3:$B$5001,$A$213,BD!$I$3:$I$5001,"&lt;&gt;")=0,"",SUMIFS(BD!$I$3:$I$5001,BD!$A$3:$A$5001,T$3,BD!$B$3:$B$5001,$A$213)))</f>
        <v/>
      </c>
      <c r="U219" s="205" t="str">
        <f>IF(U$3="","",IF(COUNTIFS(BD!$A$3:$A$5001,U$3,BD!$B$3:$B$5001,$A$213,BD!$I$3:$I$5001,"&lt;&gt;")=0,"",SUMIFS(BD!$I$3:$I$5001,BD!$A$3:$A$5001,U$3,BD!$B$3:$B$5001,$A$213)))</f>
        <v/>
      </c>
      <c r="V219" s="205" t="str">
        <f>IF(V$3="","",IF(COUNTIFS(BD!$A$3:$A$5001,V$3,BD!$B$3:$B$5001,$A$213,BD!$I$3:$I$5001,"&lt;&gt;")=0,"",SUMIFS(BD!$I$3:$I$5001,BD!$A$3:$A$5001,V$3,BD!$B$3:$B$5001,$A$213)))</f>
        <v/>
      </c>
      <c r="W219" s="205" t="str">
        <f>IF(W$3="","",IF(COUNTIFS(BD!$A$3:$A$5001,W$3,BD!$B$3:$B$5001,$A$213,BD!$I$3:$I$5001,"&lt;&gt;")=0,"",SUMIFS(BD!$I$3:$I$5001,BD!$A$3:$A$5001,W$3,BD!$B$3:$B$5001,$A$213)))</f>
        <v/>
      </c>
      <c r="X219" s="205" t="str">
        <f>IF(X$3="","",IF(COUNTIFS(BD!$A$3:$A$5001,X$3,BD!$B$3:$B$5001,$A$213,BD!$I$3:$I$5001,"&lt;&gt;")=0,"",SUMIFS(BD!$I$3:$I$5001,BD!$A$3:$A$5001,X$3,BD!$B$3:$B$5001,$A$213)))</f>
        <v/>
      </c>
      <c r="Y219" s="205" t="str">
        <f>IF(Y$3="","",IF(COUNTIFS(BD!$A$3:$A$5001,Y$3,BD!$B$3:$B$5001,$A$213,BD!$I$3:$I$5001,"&lt;&gt;")=0,"",SUMIFS(BD!$I$3:$I$5001,BD!$A$3:$A$5001,Y$3,BD!$B$3:$B$5001,$A$213)))</f>
        <v/>
      </c>
      <c r="Z219" s="205" t="str">
        <f>IF(Z$3="","",IF(COUNTIFS(BD!$A$3:$A$5001,Z$3,BD!$B$3:$B$5001,$A$213,BD!$I$3:$I$5001,"&lt;&gt;")=0,"",SUMIFS(BD!$I$3:$I$5001,BD!$A$3:$A$5001,Z$3,BD!$B$3:$B$5001,$A$213)))</f>
        <v/>
      </c>
      <c r="AA219" s="205" t="str">
        <f>IF(AA$3="","",IF(COUNTIFS(BD!$A$3:$A$5001,AA$3,BD!$B$3:$B$5001,$A$213,BD!$I$3:$I$5001,"&lt;&gt;")=0,"",SUMIFS(BD!$I$3:$I$5001,BD!$A$3:$A$5001,AA$3,BD!$B$3:$B$5001,$A$213)))</f>
        <v/>
      </c>
      <c r="AB219" s="205" t="str">
        <f>IF(AB$3="","",IF(COUNTIFS(BD!$A$3:$A$5001,AB$3,BD!$B$3:$B$5001,$A$213,BD!$I$3:$I$5001,"&lt;&gt;")=0,"",SUMIFS(BD!$I$3:$I$5001,BD!$A$3:$A$5001,AB$3,BD!$B$3:$B$5001,$A$213)))</f>
        <v/>
      </c>
      <c r="AC219" s="205" t="str">
        <f>IF(AC$3="","",IF(COUNTIFS(BD!$A$3:$A$5001,AC$3,BD!$B$3:$B$5001,$A$213,BD!$I$3:$I$5001,"&lt;&gt;")=0,"",SUMIFS(BD!$I$3:$I$5001,BD!$A$3:$A$5001,AC$3,BD!$B$3:$B$5001,$A$213)))</f>
        <v/>
      </c>
      <c r="AD219" s="205" t="str">
        <f>IF(AD$3="","",IF(COUNTIFS(BD!$A$3:$A$5001,AD$3,BD!$B$3:$B$5001,$A$213,BD!$I$3:$I$5001,"&lt;&gt;")=0,"",SUMIFS(BD!$I$3:$I$5001,BD!$A$3:$A$5001,AD$3,BD!$B$3:$B$5001,$A$213)))</f>
        <v/>
      </c>
      <c r="AE219" s="205" t="str">
        <f>IF(AE$3="","",IF(COUNTIFS(BD!$A$3:$A$5001,AE$3,BD!$B$3:$B$5001,$A$213,BD!$I$3:$I$5001,"&lt;&gt;")=0,"",SUMIFS(BD!$I$3:$I$5001,BD!$A$3:$A$5001,AE$3,BD!$B$3:$B$5001,$A$213)))</f>
        <v/>
      </c>
      <c r="AF219" s="205" t="str">
        <f>IF(AF$3="","",IF(COUNTIFS(BD!$A$3:$A$5001,AF$3,BD!$B$3:$B$5001,$A$213,BD!$I$3:$I$5001,"&lt;&gt;")=0,"",SUMIFS(BD!$I$3:$I$5001,BD!$A$3:$A$5001,AF$3,BD!$B$3:$B$5001,$A$213)))</f>
        <v/>
      </c>
      <c r="AG219" s="205" t="str">
        <f>IF(AG$3="","",IF(COUNTIFS(BD!$A$3:$A$5001,AG$3,BD!$B$3:$B$5001,$A$213,BD!$I$3:$I$5001,"&lt;&gt;")=0,"",SUMIFS(BD!$I$3:$I$5001,BD!$A$3:$A$5001,AG$3,BD!$B$3:$B$5001,$A$213)))</f>
        <v/>
      </c>
      <c r="AH219" s="205" t="str">
        <f>IF(AH$3="","",IF(COUNTIFS(BD!$A$3:$A$5001,AH$3,BD!$B$3:$B$5001,$A$213,BD!$I$3:$I$5001,"&lt;&gt;")=0,"",SUMIFS(BD!$I$3:$I$5001,BD!$A$3:$A$5001,AH$3,BD!$B$3:$B$5001,$A$213)))</f>
        <v/>
      </c>
      <c r="AI219" s="205" t="str">
        <f>IF(AI$3="","",IF(COUNTIFS(BD!$A$3:$A$5001,AI$3,BD!$B$3:$B$5001,$A$213,BD!$I$3:$I$5001,"&lt;&gt;")=0,"",SUMIFS(BD!$I$3:$I$5001,BD!$A$3:$A$5001,AI$3,BD!$B$3:$B$5001,$A$213)))</f>
        <v/>
      </c>
      <c r="AJ219" s="206" t="str">
        <f>IF(AJ$3="","",IF(COUNTIFS(BD!$A$3:$A$5001,AJ$3,BD!$B$3:$B$5001,$A$213,BD!$I$3:$I$5001,"&lt;&gt;")=0,"",SUMIFS(BD!$I$3:$I$5001,BD!$A$3:$A$5001,AJ$3,BD!$B$3:$B$5001,$A$213)))</f>
        <v/>
      </c>
      <c r="AK219" s="207" t="str">
        <f>IF(COUNT(F219:AJ219)=0,"",SUM(F219:AJ219))</f>
        <v/>
      </c>
    </row>
    <row r="220" ht="15.75" customHeight="1" hidden="1">
      <c r="A220" s="244"/>
      <c r="B220" s="239"/>
      <c r="C220" s="201" t="inlineStr">
        <is>
          <t xml:space="preserve">Caixas Fechadas</t>
        </is>
      </c>
      <c r="D220" s="202" t="str">
        <f>IFERROR(1/(1/INDEX(BD!$AJ$30:$BD$30,MATCH($A$213,BD!$AJ$22:$BD$22,0))),"")</f>
        <v/>
      </c>
      <c r="E220" s="203"/>
      <c r="F220" s="204" t="str">
        <f>IF(F$3="","",IF(COUNTIFS(BD!$A$3:$A$5001,F$3,BD!$B$3:$B$5001,$A$213,BD!$J$3:$J$5001,"&lt;&gt;")=0,"",SUMIFS(BD!$J$3:$J$5001,BD!$A$3:$A$5001,F$3,BD!$B$3:$B$5001,$A$213)))</f>
        <v/>
      </c>
      <c r="G220" s="205" t="str">
        <f>IF(G$3="","",IF(COUNTIFS(BD!$A$3:$A$5001,G$3,BD!$B$3:$B$5001,$A$213,BD!$J$3:$J$5001,"&lt;&gt;")=0,"",SUMIFS(BD!$J$3:$J$5001,BD!$A$3:$A$5001,G$3,BD!$B$3:$B$5001,$A$213)))</f>
        <v/>
      </c>
      <c r="H220" s="205" t="str">
        <f>IF(H$3="","",IF(COUNTIFS(BD!$A$3:$A$5001,H$3,BD!$B$3:$B$5001,$A$213,BD!$J$3:$J$5001,"&lt;&gt;")=0,"",SUMIFS(BD!$J$3:$J$5001,BD!$A$3:$A$5001,H$3,BD!$B$3:$B$5001,$A$213)))</f>
        <v/>
      </c>
      <c r="I220" s="205" t="str">
        <f>IF(I$3="","",IF(COUNTIFS(BD!$A$3:$A$5001,I$3,BD!$B$3:$B$5001,$A$213,BD!$J$3:$J$5001,"&lt;&gt;")=0,"",SUMIFS(BD!$J$3:$J$5001,BD!$A$3:$A$5001,I$3,BD!$B$3:$B$5001,$A$213)))</f>
        <v/>
      </c>
      <c r="J220" s="205" t="str">
        <f>IF(J$3="","",IF(COUNTIFS(BD!$A$3:$A$5001,J$3,BD!$B$3:$B$5001,$A$213,BD!$J$3:$J$5001,"&lt;&gt;")=0,"",SUMIFS(BD!$J$3:$J$5001,BD!$A$3:$A$5001,J$3,BD!$B$3:$B$5001,$A$213)))</f>
        <v/>
      </c>
      <c r="K220" s="205" t="str">
        <f>IF(K$3="","",IF(COUNTIFS(BD!$A$3:$A$5001,K$3,BD!$B$3:$B$5001,$A$213,BD!$J$3:$J$5001,"&lt;&gt;")=0,"",SUMIFS(BD!$J$3:$J$5001,BD!$A$3:$A$5001,K$3,BD!$B$3:$B$5001,$A$213)))</f>
        <v/>
      </c>
      <c r="L220" s="205" t="str">
        <f>IF(L$3="","",IF(COUNTIFS(BD!$A$3:$A$5001,L$3,BD!$B$3:$B$5001,$A$213,BD!$J$3:$J$5001,"&lt;&gt;")=0,"",SUMIFS(BD!$J$3:$J$5001,BD!$A$3:$A$5001,L$3,BD!$B$3:$B$5001,$A$213)))</f>
        <v/>
      </c>
      <c r="M220" s="205" t="str">
        <f>IF(M$3="","",IF(COUNTIFS(BD!$A$3:$A$5001,M$3,BD!$B$3:$B$5001,$A$213,BD!$J$3:$J$5001,"&lt;&gt;")=0,"",SUMIFS(BD!$J$3:$J$5001,BD!$A$3:$A$5001,M$3,BD!$B$3:$B$5001,$A$213)))</f>
        <v/>
      </c>
      <c r="N220" s="205" t="str">
        <f>IF(N$3="","",IF(COUNTIFS(BD!$A$3:$A$5001,N$3,BD!$B$3:$B$5001,$A$213,BD!$J$3:$J$5001,"&lt;&gt;")=0,"",SUMIFS(BD!$J$3:$J$5001,BD!$A$3:$A$5001,N$3,BD!$B$3:$B$5001,$A$213)))</f>
        <v/>
      </c>
      <c r="O220" s="205" t="str">
        <f>IF(O$3="","",IF(COUNTIFS(BD!$A$3:$A$5001,O$3,BD!$B$3:$B$5001,$A$213,BD!$J$3:$J$5001,"&lt;&gt;")=0,"",SUMIFS(BD!$J$3:$J$5001,BD!$A$3:$A$5001,O$3,BD!$B$3:$B$5001,$A$213)))</f>
        <v/>
      </c>
      <c r="P220" s="205" t="str">
        <f>IF(P$3="","",IF(COUNTIFS(BD!$A$3:$A$5001,P$3,BD!$B$3:$B$5001,$A$213,BD!$J$3:$J$5001,"&lt;&gt;")=0,"",SUMIFS(BD!$J$3:$J$5001,BD!$A$3:$A$5001,P$3,BD!$B$3:$B$5001,$A$213)))</f>
        <v/>
      </c>
      <c r="Q220" s="205" t="str">
        <f>IF(Q$3="","",IF(COUNTIFS(BD!$A$3:$A$5001,Q$3,BD!$B$3:$B$5001,$A$213,BD!$J$3:$J$5001,"&lt;&gt;")=0,"",SUMIFS(BD!$J$3:$J$5001,BD!$A$3:$A$5001,Q$3,BD!$B$3:$B$5001,$A$213)))</f>
        <v/>
      </c>
      <c r="R220" s="205" t="str">
        <f>IF(R$3="","",IF(COUNTIFS(BD!$A$3:$A$5001,R$3,BD!$B$3:$B$5001,$A$213,BD!$J$3:$J$5001,"&lt;&gt;")=0,"",SUMIFS(BD!$J$3:$J$5001,BD!$A$3:$A$5001,R$3,BD!$B$3:$B$5001,$A$213)))</f>
        <v/>
      </c>
      <c r="S220" s="205" t="str">
        <f>IF(S$3="","",IF(COUNTIFS(BD!$A$3:$A$5001,S$3,BD!$B$3:$B$5001,$A$213,BD!$J$3:$J$5001,"&lt;&gt;")=0,"",SUMIFS(BD!$J$3:$J$5001,BD!$A$3:$A$5001,S$3,BD!$B$3:$B$5001,$A$213)))</f>
        <v/>
      </c>
      <c r="T220" s="205" t="str">
        <f>IF(T$3="","",IF(COUNTIFS(BD!$A$3:$A$5001,T$3,BD!$B$3:$B$5001,$A$213,BD!$J$3:$J$5001,"&lt;&gt;")=0,"",SUMIFS(BD!$J$3:$J$5001,BD!$A$3:$A$5001,T$3,BD!$B$3:$B$5001,$A$213)))</f>
        <v/>
      </c>
      <c r="U220" s="205" t="str">
        <f>IF(U$3="","",IF(COUNTIFS(BD!$A$3:$A$5001,U$3,BD!$B$3:$B$5001,$A$213,BD!$J$3:$J$5001,"&lt;&gt;")=0,"",SUMIFS(BD!$J$3:$J$5001,BD!$A$3:$A$5001,U$3,BD!$B$3:$B$5001,$A$213)))</f>
        <v/>
      </c>
      <c r="V220" s="205" t="str">
        <f>IF(V$3="","",IF(COUNTIFS(BD!$A$3:$A$5001,V$3,BD!$B$3:$B$5001,$A$213,BD!$J$3:$J$5001,"&lt;&gt;")=0,"",SUMIFS(BD!$J$3:$J$5001,BD!$A$3:$A$5001,V$3,BD!$B$3:$B$5001,$A$213)))</f>
        <v/>
      </c>
      <c r="W220" s="205" t="str">
        <f>IF(W$3="","",IF(COUNTIFS(BD!$A$3:$A$5001,W$3,BD!$B$3:$B$5001,$A$213,BD!$J$3:$J$5001,"&lt;&gt;")=0,"",SUMIFS(BD!$J$3:$J$5001,BD!$A$3:$A$5001,W$3,BD!$B$3:$B$5001,$A$213)))</f>
        <v/>
      </c>
      <c r="X220" s="205" t="str">
        <f>IF(X$3="","",IF(COUNTIFS(BD!$A$3:$A$5001,X$3,BD!$B$3:$B$5001,$A$213,BD!$J$3:$J$5001,"&lt;&gt;")=0,"",SUMIFS(BD!$J$3:$J$5001,BD!$A$3:$A$5001,X$3,BD!$B$3:$B$5001,$A$213)))</f>
        <v/>
      </c>
      <c r="Y220" s="205" t="str">
        <f>IF(Y$3="","",IF(COUNTIFS(BD!$A$3:$A$5001,Y$3,BD!$B$3:$B$5001,$A$213,BD!$J$3:$J$5001,"&lt;&gt;")=0,"",SUMIFS(BD!$J$3:$J$5001,BD!$A$3:$A$5001,Y$3,BD!$B$3:$B$5001,$A$213)))</f>
        <v/>
      </c>
      <c r="Z220" s="205" t="str">
        <f>IF(Z$3="","",IF(COUNTIFS(BD!$A$3:$A$5001,Z$3,BD!$B$3:$B$5001,$A$213,BD!$J$3:$J$5001,"&lt;&gt;")=0,"",SUMIFS(BD!$J$3:$J$5001,BD!$A$3:$A$5001,Z$3,BD!$B$3:$B$5001,$A$213)))</f>
        <v/>
      </c>
      <c r="AA220" s="205" t="str">
        <f>IF(AA$3="","",IF(COUNTIFS(BD!$A$3:$A$5001,AA$3,BD!$B$3:$B$5001,$A$213,BD!$J$3:$J$5001,"&lt;&gt;")=0,"",SUMIFS(BD!$J$3:$J$5001,BD!$A$3:$A$5001,AA$3,BD!$B$3:$B$5001,$A$213)))</f>
        <v/>
      </c>
      <c r="AB220" s="205" t="str">
        <f>IF(AB$3="","",IF(COUNTIFS(BD!$A$3:$A$5001,AB$3,BD!$B$3:$B$5001,$A$213,BD!$J$3:$J$5001,"&lt;&gt;")=0,"",SUMIFS(BD!$J$3:$J$5001,BD!$A$3:$A$5001,AB$3,BD!$B$3:$B$5001,$A$213)))</f>
        <v/>
      </c>
      <c r="AC220" s="205" t="str">
        <f>IF(AC$3="","",IF(COUNTIFS(BD!$A$3:$A$5001,AC$3,BD!$B$3:$B$5001,$A$213,BD!$J$3:$J$5001,"&lt;&gt;")=0,"",SUMIFS(BD!$J$3:$J$5001,BD!$A$3:$A$5001,AC$3,BD!$B$3:$B$5001,$A$213)))</f>
        <v/>
      </c>
      <c r="AD220" s="205" t="str">
        <f>IF(AD$3="","",IF(COUNTIFS(BD!$A$3:$A$5001,AD$3,BD!$B$3:$B$5001,$A$213,BD!$J$3:$J$5001,"&lt;&gt;")=0,"",SUMIFS(BD!$J$3:$J$5001,BD!$A$3:$A$5001,AD$3,BD!$B$3:$B$5001,$A$213)))</f>
        <v/>
      </c>
      <c r="AE220" s="205" t="str">
        <f>IF(AE$3="","",IF(COUNTIFS(BD!$A$3:$A$5001,AE$3,BD!$B$3:$B$5001,$A$213,BD!$J$3:$J$5001,"&lt;&gt;")=0,"",SUMIFS(BD!$J$3:$J$5001,BD!$A$3:$A$5001,AE$3,BD!$B$3:$B$5001,$A$213)))</f>
        <v/>
      </c>
      <c r="AF220" s="205" t="str">
        <f>IF(AF$3="","",IF(COUNTIFS(BD!$A$3:$A$5001,AF$3,BD!$B$3:$B$5001,$A$213,BD!$J$3:$J$5001,"&lt;&gt;")=0,"",SUMIFS(BD!$J$3:$J$5001,BD!$A$3:$A$5001,AF$3,BD!$B$3:$B$5001,$A$213)))</f>
        <v/>
      </c>
      <c r="AG220" s="205" t="str">
        <f>IF(AG$3="","",IF(COUNTIFS(BD!$A$3:$A$5001,AG$3,BD!$B$3:$B$5001,$A$213,BD!$J$3:$J$5001,"&lt;&gt;")=0,"",SUMIFS(BD!$J$3:$J$5001,BD!$A$3:$A$5001,AG$3,BD!$B$3:$B$5001,$A$213)))</f>
        <v/>
      </c>
      <c r="AH220" s="205" t="str">
        <f>IF(AH$3="","",IF(COUNTIFS(BD!$A$3:$A$5001,AH$3,BD!$B$3:$B$5001,$A$213,BD!$J$3:$J$5001,"&lt;&gt;")=0,"",SUMIFS(BD!$J$3:$J$5001,BD!$A$3:$A$5001,AH$3,BD!$B$3:$B$5001,$A$213)))</f>
        <v/>
      </c>
      <c r="AI220" s="205" t="str">
        <f>IF(AI$3="","",IF(COUNTIFS(BD!$A$3:$A$5001,AI$3,BD!$B$3:$B$5001,$A$213,BD!$J$3:$J$5001,"&lt;&gt;")=0,"",SUMIFS(BD!$J$3:$J$5001,BD!$A$3:$A$5001,AI$3,BD!$B$3:$B$5001,$A$213)))</f>
        <v/>
      </c>
      <c r="AJ220" s="206" t="str">
        <f>IF(AJ$3="","",IF(COUNTIFS(BD!$A$3:$A$5001,AJ$3,BD!$B$3:$B$5001,$A$213,BD!$J$3:$J$5001,"&lt;&gt;")=0,"",SUMIFS(BD!$J$3:$J$5001,BD!$A$3:$A$5001,AJ$3,BD!$B$3:$B$5001,$A$213)))</f>
        <v/>
      </c>
      <c r="AK220" s="207" t="str">
        <f>IF(COUNT(F220:AJ220)=0,"",SUM(F220:AJ220))</f>
        <v/>
      </c>
    </row>
    <row r="221" ht="15.75" customHeight="1" hidden="1">
      <c r="A221" s="244"/>
      <c r="B221" s="233"/>
      <c r="C221" s="162" t="inlineStr">
        <is>
          <t xml:space="preserve">Caixas Mistas Recebidas</t>
        </is>
      </c>
      <c r="D221" s="163" t="str">
        <f>IFERROR(1/(1/INDEX(BD!$AJ$31:$BD$31,MATCH($A$213,BD!$AJ$22:$BD$22,0))),"")</f>
        <v/>
      </c>
      <c r="E221" s="164"/>
      <c r="F221" s="165" t="str">
        <f>IF(F$3="","",IF(COUNTIFS(BD!$A$3:$A$5001,F$3,BD!$B$3:$B$5001,$A$213,BD!$K$3:$K$5001,"&lt;&gt;")=0,"",SUMIFS(BD!$K$3:$K$5001,BD!$A$3:$A$5001,F$3,BD!$B$3:$B$5001,$A$213)))</f>
        <v/>
      </c>
      <c r="G221" s="166" t="str">
        <f>IF(G$3="","",IF(COUNTIFS(BD!$A$3:$A$5001,G$3,BD!$B$3:$B$5001,$A$213,BD!$K$3:$K$5001,"&lt;&gt;")=0,"",SUMIFS(BD!$K$3:$K$5001,BD!$A$3:$A$5001,G$3,BD!$B$3:$B$5001,$A$213)))</f>
        <v/>
      </c>
      <c r="H221" s="166" t="str">
        <f>IF(H$3="","",IF(COUNTIFS(BD!$A$3:$A$5001,H$3,BD!$B$3:$B$5001,$A$213,BD!$K$3:$K$5001,"&lt;&gt;")=0,"",SUMIFS(BD!$K$3:$K$5001,BD!$A$3:$A$5001,H$3,BD!$B$3:$B$5001,$A$213)))</f>
        <v/>
      </c>
      <c r="I221" s="166" t="str">
        <f>IF(I$3="","",IF(COUNTIFS(BD!$A$3:$A$5001,I$3,BD!$B$3:$B$5001,$A$213,BD!$K$3:$K$5001,"&lt;&gt;")=0,"",SUMIFS(BD!$K$3:$K$5001,BD!$A$3:$A$5001,I$3,BD!$B$3:$B$5001,$A$213)))</f>
        <v/>
      </c>
      <c r="J221" s="166" t="str">
        <f>IF(J$3="","",IF(COUNTIFS(BD!$A$3:$A$5001,J$3,BD!$B$3:$B$5001,$A$213,BD!$K$3:$K$5001,"&lt;&gt;")=0,"",SUMIFS(BD!$K$3:$K$5001,BD!$A$3:$A$5001,J$3,BD!$B$3:$B$5001,$A$213)))</f>
        <v/>
      </c>
      <c r="K221" s="166" t="str">
        <f>IF(K$3="","",IF(COUNTIFS(BD!$A$3:$A$5001,K$3,BD!$B$3:$B$5001,$A$213,BD!$K$3:$K$5001,"&lt;&gt;")=0,"",SUMIFS(BD!$K$3:$K$5001,BD!$A$3:$A$5001,K$3,BD!$B$3:$B$5001,$A$213)))</f>
        <v/>
      </c>
      <c r="L221" s="166" t="str">
        <f>IF(L$3="","",IF(COUNTIFS(BD!$A$3:$A$5001,L$3,BD!$B$3:$B$5001,$A$213,BD!$K$3:$K$5001,"&lt;&gt;")=0,"",SUMIFS(BD!$K$3:$K$5001,BD!$A$3:$A$5001,L$3,BD!$B$3:$B$5001,$A$213)))</f>
        <v/>
      </c>
      <c r="M221" s="166" t="str">
        <f>IF(M$3="","",IF(COUNTIFS(BD!$A$3:$A$5001,M$3,BD!$B$3:$B$5001,$A$213,BD!$K$3:$K$5001,"&lt;&gt;")=0,"",SUMIFS(BD!$K$3:$K$5001,BD!$A$3:$A$5001,M$3,BD!$B$3:$B$5001,$A$213)))</f>
        <v/>
      </c>
      <c r="N221" s="166" t="str">
        <f>IF(N$3="","",IF(COUNTIFS(BD!$A$3:$A$5001,N$3,BD!$B$3:$B$5001,$A$213,BD!$K$3:$K$5001,"&lt;&gt;")=0,"",SUMIFS(BD!$K$3:$K$5001,BD!$A$3:$A$5001,N$3,BD!$B$3:$B$5001,$A$213)))</f>
        <v/>
      </c>
      <c r="O221" s="166" t="str">
        <f>IF(O$3="","",IF(COUNTIFS(BD!$A$3:$A$5001,O$3,BD!$B$3:$B$5001,$A$213,BD!$K$3:$K$5001,"&lt;&gt;")=0,"",SUMIFS(BD!$K$3:$K$5001,BD!$A$3:$A$5001,O$3,BD!$B$3:$B$5001,$A$213)))</f>
        <v/>
      </c>
      <c r="P221" s="166" t="str">
        <f>IF(P$3="","",IF(COUNTIFS(BD!$A$3:$A$5001,P$3,BD!$B$3:$B$5001,$A$213,BD!$K$3:$K$5001,"&lt;&gt;")=0,"",SUMIFS(BD!$K$3:$K$5001,BD!$A$3:$A$5001,P$3,BD!$B$3:$B$5001,$A$213)))</f>
        <v/>
      </c>
      <c r="Q221" s="166" t="str">
        <f>IF(Q$3="","",IF(COUNTIFS(BD!$A$3:$A$5001,Q$3,BD!$B$3:$B$5001,$A$213,BD!$K$3:$K$5001,"&lt;&gt;")=0,"",SUMIFS(BD!$K$3:$K$5001,BD!$A$3:$A$5001,Q$3,BD!$B$3:$B$5001,$A$213)))</f>
        <v/>
      </c>
      <c r="R221" s="166" t="str">
        <f>IF(R$3="","",IF(COUNTIFS(BD!$A$3:$A$5001,R$3,BD!$B$3:$B$5001,$A$213,BD!$K$3:$K$5001,"&lt;&gt;")=0,"",SUMIFS(BD!$K$3:$K$5001,BD!$A$3:$A$5001,R$3,BD!$B$3:$B$5001,$A$213)))</f>
        <v/>
      </c>
      <c r="S221" s="166" t="str">
        <f>IF(S$3="","",IF(COUNTIFS(BD!$A$3:$A$5001,S$3,BD!$B$3:$B$5001,$A$213,BD!$K$3:$K$5001,"&lt;&gt;")=0,"",SUMIFS(BD!$K$3:$K$5001,BD!$A$3:$A$5001,S$3,BD!$B$3:$B$5001,$A$213)))</f>
        <v/>
      </c>
      <c r="T221" s="166" t="str">
        <f>IF(T$3="","",IF(COUNTIFS(BD!$A$3:$A$5001,T$3,BD!$B$3:$B$5001,$A$213,BD!$K$3:$K$5001,"&lt;&gt;")=0,"",SUMIFS(BD!$K$3:$K$5001,BD!$A$3:$A$5001,T$3,BD!$B$3:$B$5001,$A$213)))</f>
        <v/>
      </c>
      <c r="U221" s="166" t="str">
        <f>IF(U$3="","",IF(COUNTIFS(BD!$A$3:$A$5001,U$3,BD!$B$3:$B$5001,$A$213,BD!$K$3:$K$5001,"&lt;&gt;")=0,"",SUMIFS(BD!$K$3:$K$5001,BD!$A$3:$A$5001,U$3,BD!$B$3:$B$5001,$A$213)))</f>
        <v/>
      </c>
      <c r="V221" s="166" t="str">
        <f>IF(V$3="","",IF(COUNTIFS(BD!$A$3:$A$5001,V$3,BD!$B$3:$B$5001,$A$213,BD!$K$3:$K$5001,"&lt;&gt;")=0,"",SUMIFS(BD!$K$3:$K$5001,BD!$A$3:$A$5001,V$3,BD!$B$3:$B$5001,$A$213)))</f>
        <v/>
      </c>
      <c r="W221" s="166" t="str">
        <f>IF(W$3="","",IF(COUNTIFS(BD!$A$3:$A$5001,W$3,BD!$B$3:$B$5001,$A$213,BD!$K$3:$K$5001,"&lt;&gt;")=0,"",SUMIFS(BD!$K$3:$K$5001,BD!$A$3:$A$5001,W$3,BD!$B$3:$B$5001,$A$213)))</f>
        <v/>
      </c>
      <c r="X221" s="166" t="str">
        <f>IF(X$3="","",IF(COUNTIFS(BD!$A$3:$A$5001,X$3,BD!$B$3:$B$5001,$A$213,BD!$K$3:$K$5001,"&lt;&gt;")=0,"",SUMIFS(BD!$K$3:$K$5001,BD!$A$3:$A$5001,X$3,BD!$B$3:$B$5001,$A$213)))</f>
        <v/>
      </c>
      <c r="Y221" s="166" t="str">
        <f>IF(Y$3="","",IF(COUNTIFS(BD!$A$3:$A$5001,Y$3,BD!$B$3:$B$5001,$A$213,BD!$K$3:$K$5001,"&lt;&gt;")=0,"",SUMIFS(BD!$K$3:$K$5001,BD!$A$3:$A$5001,Y$3,BD!$B$3:$B$5001,$A$213)))</f>
        <v/>
      </c>
      <c r="Z221" s="166" t="str">
        <f>IF(Z$3="","",IF(COUNTIFS(BD!$A$3:$A$5001,Z$3,BD!$B$3:$B$5001,$A$213,BD!$K$3:$K$5001,"&lt;&gt;")=0,"",SUMIFS(BD!$K$3:$K$5001,BD!$A$3:$A$5001,Z$3,BD!$B$3:$B$5001,$A$213)))</f>
        <v/>
      </c>
      <c r="AA221" s="166" t="str">
        <f>IF(AA$3="","",IF(COUNTIFS(BD!$A$3:$A$5001,AA$3,BD!$B$3:$B$5001,$A$213,BD!$K$3:$K$5001,"&lt;&gt;")=0,"",SUMIFS(BD!$K$3:$K$5001,BD!$A$3:$A$5001,AA$3,BD!$B$3:$B$5001,$A$213)))</f>
        <v/>
      </c>
      <c r="AB221" s="166" t="str">
        <f>IF(AB$3="","",IF(COUNTIFS(BD!$A$3:$A$5001,AB$3,BD!$B$3:$B$5001,$A$213,BD!$K$3:$K$5001,"&lt;&gt;")=0,"",SUMIFS(BD!$K$3:$K$5001,BD!$A$3:$A$5001,AB$3,BD!$B$3:$B$5001,$A$213)))</f>
        <v/>
      </c>
      <c r="AC221" s="166" t="str">
        <f>IF(AC$3="","",IF(COUNTIFS(BD!$A$3:$A$5001,AC$3,BD!$B$3:$B$5001,$A$213,BD!$K$3:$K$5001,"&lt;&gt;")=0,"",SUMIFS(BD!$K$3:$K$5001,BD!$A$3:$A$5001,AC$3,BD!$B$3:$B$5001,$A$213)))</f>
        <v/>
      </c>
      <c r="AD221" s="166" t="str">
        <f>IF(AD$3="","",IF(COUNTIFS(BD!$A$3:$A$5001,AD$3,BD!$B$3:$B$5001,$A$213,BD!$K$3:$K$5001,"&lt;&gt;")=0,"",SUMIFS(BD!$K$3:$K$5001,BD!$A$3:$A$5001,AD$3,BD!$B$3:$B$5001,$A$213)))</f>
        <v/>
      </c>
      <c r="AE221" s="166" t="str">
        <f>IF(AE$3="","",IF(COUNTIFS(BD!$A$3:$A$5001,AE$3,BD!$B$3:$B$5001,$A$213,BD!$K$3:$K$5001,"&lt;&gt;")=0,"",SUMIFS(BD!$K$3:$K$5001,BD!$A$3:$A$5001,AE$3,BD!$B$3:$B$5001,$A$213)))</f>
        <v/>
      </c>
      <c r="AF221" s="166" t="str">
        <f>IF(AF$3="","",IF(COUNTIFS(BD!$A$3:$A$5001,AF$3,BD!$B$3:$B$5001,$A$213,BD!$K$3:$K$5001,"&lt;&gt;")=0,"",SUMIFS(BD!$K$3:$K$5001,BD!$A$3:$A$5001,AF$3,BD!$B$3:$B$5001,$A$213)))</f>
        <v/>
      </c>
      <c r="AG221" s="166" t="str">
        <f>IF(AG$3="","",IF(COUNTIFS(BD!$A$3:$A$5001,AG$3,BD!$B$3:$B$5001,$A$213,BD!$K$3:$K$5001,"&lt;&gt;")=0,"",SUMIFS(BD!$K$3:$K$5001,BD!$A$3:$A$5001,AG$3,BD!$B$3:$B$5001,$A$213)))</f>
        <v/>
      </c>
      <c r="AH221" s="166" t="str">
        <f>IF(AH$3="","",IF(COUNTIFS(BD!$A$3:$A$5001,AH$3,BD!$B$3:$B$5001,$A$213,BD!$K$3:$K$5001,"&lt;&gt;")=0,"",SUMIFS(BD!$K$3:$K$5001,BD!$A$3:$A$5001,AH$3,BD!$B$3:$B$5001,$A$213)))</f>
        <v/>
      </c>
      <c r="AI221" s="166" t="str">
        <f>IF(AI$3="","",IF(COUNTIFS(BD!$A$3:$A$5001,AI$3,BD!$B$3:$B$5001,$A$213,BD!$K$3:$K$5001,"&lt;&gt;")=0,"",SUMIFS(BD!$K$3:$K$5001,BD!$A$3:$A$5001,AI$3,BD!$B$3:$B$5001,$A$213)))</f>
        <v/>
      </c>
      <c r="AJ221" s="167" t="str">
        <f>IF(AJ$3="","",IF(COUNTIFS(BD!$A$3:$A$5001,AJ$3,BD!$B$3:$B$5001,$A$213,BD!$K$3:$K$5001,"&lt;&gt;")=0,"",SUMIFS(BD!$K$3:$K$5001,BD!$A$3:$A$5001,AJ$3,BD!$B$3:$B$5001,$A$213)))</f>
        <v/>
      </c>
      <c r="AK221" s="163" t="str">
        <f>IF(COUNT(F221:AJ221)=0,"",SUM(F221:AJ221))</f>
        <v/>
      </c>
    </row>
    <row r="222" ht="15.75" customHeight="1" hidden="1">
      <c r="A222" s="244"/>
      <c r="B222" s="234" t="inlineStr">
        <is>
          <t xml:space="preserve">OUT</t>
        </is>
      </c>
      <c r="C222" s="168" t="inlineStr">
        <is>
          <t xml:space="preserve">Veículos Expedidos</t>
        </is>
      </c>
      <c r="D222" s="169" t="str">
        <f>IFERROR(1/(1/INDEX(BD!$AJ$32:$BD$32,MATCH($A$213,BD!$AJ$22:$BD$22,0))),"")</f>
        <v/>
      </c>
      <c r="E222" s="170"/>
      <c r="F222" s="171" t="str">
        <f>IF(F$3="","",IF(COUNTIFS(BD!$A$3:$A$5001,F$3,BD!$B$3:$B$5001,$A$213,BD!$L$3:$L$5001,"&lt;&gt;")=0,"",SUMIFS(BD!$L$3:$L$5001,BD!$A$3:$A$5001,F$3,BD!$B$3:$B$5001,$A$213)))</f>
        <v/>
      </c>
      <c r="G222" s="172" t="str">
        <f>IF(G$3="","",IF(COUNTIFS(BD!$A$3:$A$5001,G$3,BD!$B$3:$B$5001,$A$213,BD!$L$3:$L$5001,"&lt;&gt;")=0,"",SUMIFS(BD!$L$3:$L$5001,BD!$A$3:$A$5001,G$3,BD!$B$3:$B$5001,$A$213)))</f>
        <v/>
      </c>
      <c r="H222" s="172" t="str">
        <f>IF(H$3="","",IF(COUNTIFS(BD!$A$3:$A$5001,H$3,BD!$B$3:$B$5001,$A$213,BD!$L$3:$L$5001,"&lt;&gt;")=0,"",SUMIFS(BD!$L$3:$L$5001,BD!$A$3:$A$5001,H$3,BD!$B$3:$B$5001,$A$213)))</f>
        <v/>
      </c>
      <c r="I222" s="172" t="str">
        <f>IF(I$3="","",IF(COUNTIFS(BD!$A$3:$A$5001,I$3,BD!$B$3:$B$5001,$A$213,BD!$L$3:$L$5001,"&lt;&gt;")=0,"",SUMIFS(BD!$L$3:$L$5001,BD!$A$3:$A$5001,I$3,BD!$B$3:$B$5001,$A$213)))</f>
        <v/>
      </c>
      <c r="J222" s="172" t="str">
        <f>IF(J$3="","",IF(COUNTIFS(BD!$A$3:$A$5001,J$3,BD!$B$3:$B$5001,$A$213,BD!$L$3:$L$5001,"&lt;&gt;")=0,"",SUMIFS(BD!$L$3:$L$5001,BD!$A$3:$A$5001,J$3,BD!$B$3:$B$5001,$A$213)))</f>
        <v/>
      </c>
      <c r="K222" s="172" t="str">
        <f>IF(K$3="","",IF(COUNTIFS(BD!$A$3:$A$5001,K$3,BD!$B$3:$B$5001,$A$213,BD!$L$3:$L$5001,"&lt;&gt;")=0,"",SUMIFS(BD!$L$3:$L$5001,BD!$A$3:$A$5001,K$3,BD!$B$3:$B$5001,$A$213)))</f>
        <v/>
      </c>
      <c r="L222" s="172" t="str">
        <f>IF(L$3="","",IF(COUNTIFS(BD!$A$3:$A$5001,L$3,BD!$B$3:$B$5001,$A$213,BD!$L$3:$L$5001,"&lt;&gt;")=0,"",SUMIFS(BD!$L$3:$L$5001,BD!$A$3:$A$5001,L$3,BD!$B$3:$B$5001,$A$213)))</f>
        <v/>
      </c>
      <c r="M222" s="172" t="str">
        <f>IF(M$3="","",IF(COUNTIFS(BD!$A$3:$A$5001,M$3,BD!$B$3:$B$5001,$A$213,BD!$L$3:$L$5001,"&lt;&gt;")=0,"",SUMIFS(BD!$L$3:$L$5001,BD!$A$3:$A$5001,M$3,BD!$B$3:$B$5001,$A$213)))</f>
        <v/>
      </c>
      <c r="N222" s="172" t="str">
        <f>IF(N$3="","",IF(COUNTIFS(BD!$A$3:$A$5001,N$3,BD!$B$3:$B$5001,$A$213,BD!$L$3:$L$5001,"&lt;&gt;")=0,"",SUMIFS(BD!$L$3:$L$5001,BD!$A$3:$A$5001,N$3,BD!$B$3:$B$5001,$A$213)))</f>
        <v/>
      </c>
      <c r="O222" s="172" t="str">
        <f>IF(O$3="","",IF(COUNTIFS(BD!$A$3:$A$5001,O$3,BD!$B$3:$B$5001,$A$213,BD!$L$3:$L$5001,"&lt;&gt;")=0,"",SUMIFS(BD!$L$3:$L$5001,BD!$A$3:$A$5001,O$3,BD!$B$3:$B$5001,$A$213)))</f>
        <v/>
      </c>
      <c r="P222" s="172" t="str">
        <f>IF(P$3="","",IF(COUNTIFS(BD!$A$3:$A$5001,P$3,BD!$B$3:$B$5001,$A$213,BD!$L$3:$L$5001,"&lt;&gt;")=0,"",SUMIFS(BD!$L$3:$L$5001,BD!$A$3:$A$5001,P$3,BD!$B$3:$B$5001,$A$213)))</f>
        <v/>
      </c>
      <c r="Q222" s="172" t="str">
        <f>IF(Q$3="","",IF(COUNTIFS(BD!$A$3:$A$5001,Q$3,BD!$B$3:$B$5001,$A$213,BD!$L$3:$L$5001,"&lt;&gt;")=0,"",SUMIFS(BD!$L$3:$L$5001,BD!$A$3:$A$5001,Q$3,BD!$B$3:$B$5001,$A$213)))</f>
        <v/>
      </c>
      <c r="R222" s="172" t="str">
        <f>IF(R$3="","",IF(COUNTIFS(BD!$A$3:$A$5001,R$3,BD!$B$3:$B$5001,$A$213,BD!$L$3:$L$5001,"&lt;&gt;")=0,"",SUMIFS(BD!$L$3:$L$5001,BD!$A$3:$A$5001,R$3,BD!$B$3:$B$5001,$A$213)))</f>
        <v/>
      </c>
      <c r="S222" s="172" t="str">
        <f>IF(S$3="","",IF(COUNTIFS(BD!$A$3:$A$5001,S$3,BD!$B$3:$B$5001,$A$213,BD!$L$3:$L$5001,"&lt;&gt;")=0,"",SUMIFS(BD!$L$3:$L$5001,BD!$A$3:$A$5001,S$3,BD!$B$3:$B$5001,$A$213)))</f>
        <v/>
      </c>
      <c r="T222" s="172" t="str">
        <f>IF(T$3="","",IF(COUNTIFS(BD!$A$3:$A$5001,T$3,BD!$B$3:$B$5001,$A$213,BD!$L$3:$L$5001,"&lt;&gt;")=0,"",SUMIFS(BD!$L$3:$L$5001,BD!$A$3:$A$5001,T$3,BD!$B$3:$B$5001,$A$213)))</f>
        <v/>
      </c>
      <c r="U222" s="172" t="str">
        <f>IF(U$3="","",IF(COUNTIFS(BD!$A$3:$A$5001,U$3,BD!$B$3:$B$5001,$A$213,BD!$L$3:$L$5001,"&lt;&gt;")=0,"",SUMIFS(BD!$L$3:$L$5001,BD!$A$3:$A$5001,U$3,BD!$B$3:$B$5001,$A$213)))</f>
        <v/>
      </c>
      <c r="V222" s="172" t="str">
        <f>IF(V$3="","",IF(COUNTIFS(BD!$A$3:$A$5001,V$3,BD!$B$3:$B$5001,$A$213,BD!$L$3:$L$5001,"&lt;&gt;")=0,"",SUMIFS(BD!$L$3:$L$5001,BD!$A$3:$A$5001,V$3,BD!$B$3:$B$5001,$A$213)))</f>
        <v/>
      </c>
      <c r="W222" s="172" t="str">
        <f>IF(W$3="","",IF(COUNTIFS(BD!$A$3:$A$5001,W$3,BD!$B$3:$B$5001,$A$213,BD!$L$3:$L$5001,"&lt;&gt;")=0,"",SUMIFS(BD!$L$3:$L$5001,BD!$A$3:$A$5001,W$3,BD!$B$3:$B$5001,$A$213)))</f>
        <v/>
      </c>
      <c r="X222" s="172" t="str">
        <f>IF(X$3="","",IF(COUNTIFS(BD!$A$3:$A$5001,X$3,BD!$B$3:$B$5001,$A$213,BD!$L$3:$L$5001,"&lt;&gt;")=0,"",SUMIFS(BD!$L$3:$L$5001,BD!$A$3:$A$5001,X$3,BD!$B$3:$B$5001,$A$213)))</f>
        <v/>
      </c>
      <c r="Y222" s="172" t="str">
        <f>IF(Y$3="","",IF(COUNTIFS(BD!$A$3:$A$5001,Y$3,BD!$B$3:$B$5001,$A$213,BD!$L$3:$L$5001,"&lt;&gt;")=0,"",SUMIFS(BD!$L$3:$L$5001,BD!$A$3:$A$5001,Y$3,BD!$B$3:$B$5001,$A$213)))</f>
        <v/>
      </c>
      <c r="Z222" s="172" t="str">
        <f>IF(Z$3="","",IF(COUNTIFS(BD!$A$3:$A$5001,Z$3,BD!$B$3:$B$5001,$A$213,BD!$L$3:$L$5001,"&lt;&gt;")=0,"",SUMIFS(BD!$L$3:$L$5001,BD!$A$3:$A$5001,Z$3,BD!$B$3:$B$5001,$A$213)))</f>
        <v/>
      </c>
      <c r="AA222" s="172" t="str">
        <f>IF(AA$3="","",IF(COUNTIFS(BD!$A$3:$A$5001,AA$3,BD!$B$3:$B$5001,$A$213,BD!$L$3:$L$5001,"&lt;&gt;")=0,"",SUMIFS(BD!$L$3:$L$5001,BD!$A$3:$A$5001,AA$3,BD!$B$3:$B$5001,$A$213)))</f>
        <v/>
      </c>
      <c r="AB222" s="172" t="str">
        <f>IF(AB$3="","",IF(COUNTIFS(BD!$A$3:$A$5001,AB$3,BD!$B$3:$B$5001,$A$213,BD!$L$3:$L$5001,"&lt;&gt;")=0,"",SUMIFS(BD!$L$3:$L$5001,BD!$A$3:$A$5001,AB$3,BD!$B$3:$B$5001,$A$213)))</f>
        <v/>
      </c>
      <c r="AC222" s="172" t="str">
        <f>IF(AC$3="","",IF(COUNTIFS(BD!$A$3:$A$5001,AC$3,BD!$B$3:$B$5001,$A$213,BD!$L$3:$L$5001,"&lt;&gt;")=0,"",SUMIFS(BD!$L$3:$L$5001,BD!$A$3:$A$5001,AC$3,BD!$B$3:$B$5001,$A$213)))</f>
        <v/>
      </c>
      <c r="AD222" s="172" t="str">
        <f>IF(AD$3="","",IF(COUNTIFS(BD!$A$3:$A$5001,AD$3,BD!$B$3:$B$5001,$A$213,BD!$L$3:$L$5001,"&lt;&gt;")=0,"",SUMIFS(BD!$L$3:$L$5001,BD!$A$3:$A$5001,AD$3,BD!$B$3:$B$5001,$A$213)))</f>
        <v/>
      </c>
      <c r="AE222" s="172" t="str">
        <f>IF(AE$3="","",IF(COUNTIFS(BD!$A$3:$A$5001,AE$3,BD!$B$3:$B$5001,$A$213,BD!$L$3:$L$5001,"&lt;&gt;")=0,"",SUMIFS(BD!$L$3:$L$5001,BD!$A$3:$A$5001,AE$3,BD!$B$3:$B$5001,$A$213)))</f>
        <v/>
      </c>
      <c r="AF222" s="172" t="str">
        <f>IF(AF$3="","",IF(COUNTIFS(BD!$A$3:$A$5001,AF$3,BD!$B$3:$B$5001,$A$213,BD!$L$3:$L$5001,"&lt;&gt;")=0,"",SUMIFS(BD!$L$3:$L$5001,BD!$A$3:$A$5001,AF$3,BD!$B$3:$B$5001,$A$213)))</f>
        <v/>
      </c>
      <c r="AG222" s="172" t="str">
        <f>IF(AG$3="","",IF(COUNTIFS(BD!$A$3:$A$5001,AG$3,BD!$B$3:$B$5001,$A$213,BD!$L$3:$L$5001,"&lt;&gt;")=0,"",SUMIFS(BD!$L$3:$L$5001,BD!$A$3:$A$5001,AG$3,BD!$B$3:$B$5001,$A$213)))</f>
        <v/>
      </c>
      <c r="AH222" s="172" t="str">
        <f>IF(AH$3="","",IF(COUNTIFS(BD!$A$3:$A$5001,AH$3,BD!$B$3:$B$5001,$A$213,BD!$L$3:$L$5001,"&lt;&gt;")=0,"",SUMIFS(BD!$L$3:$L$5001,BD!$A$3:$A$5001,AH$3,BD!$B$3:$B$5001,$A$213)))</f>
        <v/>
      </c>
      <c r="AI222" s="172" t="str">
        <f>IF(AI$3="","",IF(COUNTIFS(BD!$A$3:$A$5001,AI$3,BD!$B$3:$B$5001,$A$213,BD!$L$3:$L$5001,"&lt;&gt;")=0,"",SUMIFS(BD!$L$3:$L$5001,BD!$A$3:$A$5001,AI$3,BD!$B$3:$B$5001,$A$213)))</f>
        <v/>
      </c>
      <c r="AJ222" s="173" t="str">
        <f>IF(AJ$3="","",IF(COUNTIFS(BD!$A$3:$A$5001,AJ$3,BD!$B$3:$B$5001,$A$213,BD!$L$3:$L$5001,"&lt;&gt;")=0,"",SUMIFS(BD!$L$3:$L$5001,BD!$A$3:$A$5001,AJ$3,BD!$B$3:$B$5001,$A$213)))</f>
        <v/>
      </c>
      <c r="AK222" s="174" t="str">
        <f>IF(COUNT(F222:AJ222)=0,"",SUM(F222:AJ222))</f>
        <v/>
      </c>
    </row>
    <row r="223" ht="15.75" customHeight="1" hidden="1">
      <c r="A223" s="244"/>
      <c r="B223" s="261"/>
      <c r="C223" s="250" t="inlineStr">
        <is>
          <t xml:space="preserve">Pedidos Expedidos</t>
        </is>
      </c>
      <c r="D223" s="251" t="str">
        <f>IFERROR(1/(1/INDEX(BD!$AJ$33:$BD$33,MATCH($A$213,BD!$AJ$22:$BD$22,0))),"")</f>
        <v/>
      </c>
      <c r="E223" s="252"/>
      <c r="F223" s="253" t="str">
        <f>IF(F$3="","",IF(COUNTIFS(BD!$A$3:$A$5001,F$3,BD!$B$3:$B$5001,$A$213,BD!$M$3:$M$5001,"&lt;&gt;")=0,"",SUMIFS(BD!$M$3:$M$5001,BD!$A$3:$A$5001,F$3,BD!$B$3:$B$5001,$A$213)))</f>
        <v/>
      </c>
      <c r="G223" s="254" t="str">
        <f>IF(G$3="","",IF(COUNTIFS(BD!$A$3:$A$5001,G$3,BD!$B$3:$B$5001,$A$213,BD!$M$3:$M$5001,"&lt;&gt;")=0,"",SUMIFS(BD!$M$3:$M$5001,BD!$A$3:$A$5001,G$3,BD!$B$3:$B$5001,$A$213)))</f>
        <v/>
      </c>
      <c r="H223" s="254" t="str">
        <f>IF(H$3="","",IF(COUNTIFS(BD!$A$3:$A$5001,H$3,BD!$B$3:$B$5001,$A$213,BD!$M$3:$M$5001,"&lt;&gt;")=0,"",SUMIFS(BD!$M$3:$M$5001,BD!$A$3:$A$5001,H$3,BD!$B$3:$B$5001,$A$213)))</f>
        <v/>
      </c>
      <c r="I223" s="254" t="str">
        <f>IF(I$3="","",IF(COUNTIFS(BD!$A$3:$A$5001,I$3,BD!$B$3:$B$5001,$A$213,BD!$M$3:$M$5001,"&lt;&gt;")=0,"",SUMIFS(BD!$M$3:$M$5001,BD!$A$3:$A$5001,I$3,BD!$B$3:$B$5001,$A$213)))</f>
        <v/>
      </c>
      <c r="J223" s="254" t="str">
        <f>IF(J$3="","",IF(COUNTIFS(BD!$A$3:$A$5001,J$3,BD!$B$3:$B$5001,$A$213,BD!$M$3:$M$5001,"&lt;&gt;")=0,"",SUMIFS(BD!$M$3:$M$5001,BD!$A$3:$A$5001,J$3,BD!$B$3:$B$5001,$A$213)))</f>
        <v/>
      </c>
      <c r="K223" s="254" t="str">
        <f>IF(K$3="","",IF(COUNTIFS(BD!$A$3:$A$5001,K$3,BD!$B$3:$B$5001,$A$213,BD!$M$3:$M$5001,"&lt;&gt;")=0,"",SUMIFS(BD!$M$3:$M$5001,BD!$A$3:$A$5001,K$3,BD!$B$3:$B$5001,$A$213)))</f>
        <v/>
      </c>
      <c r="L223" s="254" t="str">
        <f>IF(L$3="","",IF(COUNTIFS(BD!$A$3:$A$5001,L$3,BD!$B$3:$B$5001,$A$213,BD!$M$3:$M$5001,"&lt;&gt;")=0,"",SUMIFS(BD!$M$3:$M$5001,BD!$A$3:$A$5001,L$3,BD!$B$3:$B$5001,$A$213)))</f>
        <v/>
      </c>
      <c r="M223" s="254" t="str">
        <f>IF(M$3="","",IF(COUNTIFS(BD!$A$3:$A$5001,M$3,BD!$B$3:$B$5001,$A$213,BD!$M$3:$M$5001,"&lt;&gt;")=0,"",SUMIFS(BD!$M$3:$M$5001,BD!$A$3:$A$5001,M$3,BD!$B$3:$B$5001,$A$213)))</f>
        <v/>
      </c>
      <c r="N223" s="254" t="str">
        <f>IF(N$3="","",IF(COUNTIFS(BD!$A$3:$A$5001,N$3,BD!$B$3:$B$5001,$A$213,BD!$M$3:$M$5001,"&lt;&gt;")=0,"",SUMIFS(BD!$M$3:$M$5001,BD!$A$3:$A$5001,N$3,BD!$B$3:$B$5001,$A$213)))</f>
        <v/>
      </c>
      <c r="O223" s="254" t="str">
        <f>IF(O$3="","",IF(COUNTIFS(BD!$A$3:$A$5001,O$3,BD!$B$3:$B$5001,$A$213,BD!$M$3:$M$5001,"&lt;&gt;")=0,"",SUMIFS(BD!$M$3:$M$5001,BD!$A$3:$A$5001,O$3,BD!$B$3:$B$5001,$A$213)))</f>
        <v/>
      </c>
      <c r="P223" s="254" t="str">
        <f>IF(P$3="","",IF(COUNTIFS(BD!$A$3:$A$5001,P$3,BD!$B$3:$B$5001,$A$213,BD!$M$3:$M$5001,"&lt;&gt;")=0,"",SUMIFS(BD!$M$3:$M$5001,BD!$A$3:$A$5001,P$3,BD!$B$3:$B$5001,$A$213)))</f>
        <v/>
      </c>
      <c r="Q223" s="254" t="str">
        <f>IF(Q$3="","",IF(COUNTIFS(BD!$A$3:$A$5001,Q$3,BD!$B$3:$B$5001,$A$213,BD!$M$3:$M$5001,"&lt;&gt;")=0,"",SUMIFS(BD!$M$3:$M$5001,BD!$A$3:$A$5001,Q$3,BD!$B$3:$B$5001,$A$213)))</f>
        <v/>
      </c>
      <c r="R223" s="254" t="str">
        <f>IF(R$3="","",IF(COUNTIFS(BD!$A$3:$A$5001,R$3,BD!$B$3:$B$5001,$A$213,BD!$M$3:$M$5001,"&lt;&gt;")=0,"",SUMIFS(BD!$M$3:$M$5001,BD!$A$3:$A$5001,R$3,BD!$B$3:$B$5001,$A$213)))</f>
        <v/>
      </c>
      <c r="S223" s="254" t="str">
        <f>IF(S$3="","",IF(COUNTIFS(BD!$A$3:$A$5001,S$3,BD!$B$3:$B$5001,$A$213,BD!$M$3:$M$5001,"&lt;&gt;")=0,"",SUMIFS(BD!$M$3:$M$5001,BD!$A$3:$A$5001,S$3,BD!$B$3:$B$5001,$A$213)))</f>
        <v/>
      </c>
      <c r="T223" s="254" t="str">
        <f>IF(T$3="","",IF(COUNTIFS(BD!$A$3:$A$5001,T$3,BD!$B$3:$B$5001,$A$213,BD!$M$3:$M$5001,"&lt;&gt;")=0,"",SUMIFS(BD!$M$3:$M$5001,BD!$A$3:$A$5001,T$3,BD!$B$3:$B$5001,$A$213)))</f>
        <v/>
      </c>
      <c r="U223" s="254" t="str">
        <f>IF(U$3="","",IF(COUNTIFS(BD!$A$3:$A$5001,U$3,BD!$B$3:$B$5001,$A$213,BD!$M$3:$M$5001,"&lt;&gt;")=0,"",SUMIFS(BD!$M$3:$M$5001,BD!$A$3:$A$5001,U$3,BD!$B$3:$B$5001,$A$213)))</f>
        <v/>
      </c>
      <c r="V223" s="254" t="str">
        <f>IF(V$3="","",IF(COUNTIFS(BD!$A$3:$A$5001,V$3,BD!$B$3:$B$5001,$A$213,BD!$M$3:$M$5001,"&lt;&gt;")=0,"",SUMIFS(BD!$M$3:$M$5001,BD!$A$3:$A$5001,V$3,BD!$B$3:$B$5001,$A$213)))</f>
        <v/>
      </c>
      <c r="W223" s="254" t="str">
        <f>IF(W$3="","",IF(COUNTIFS(BD!$A$3:$A$5001,W$3,BD!$B$3:$B$5001,$A$213,BD!$M$3:$M$5001,"&lt;&gt;")=0,"",SUMIFS(BD!$M$3:$M$5001,BD!$A$3:$A$5001,W$3,BD!$B$3:$B$5001,$A$213)))</f>
        <v/>
      </c>
      <c r="X223" s="254" t="str">
        <f>IF(X$3="","",IF(COUNTIFS(BD!$A$3:$A$5001,X$3,BD!$B$3:$B$5001,$A$213,BD!$M$3:$M$5001,"&lt;&gt;")=0,"",SUMIFS(BD!$M$3:$M$5001,BD!$A$3:$A$5001,X$3,BD!$B$3:$B$5001,$A$213)))</f>
        <v/>
      </c>
      <c r="Y223" s="254" t="str">
        <f>IF(Y$3="","",IF(COUNTIFS(BD!$A$3:$A$5001,Y$3,BD!$B$3:$B$5001,$A$213,BD!$M$3:$M$5001,"&lt;&gt;")=0,"",SUMIFS(BD!$M$3:$M$5001,BD!$A$3:$A$5001,Y$3,BD!$B$3:$B$5001,$A$213)))</f>
        <v/>
      </c>
      <c r="Z223" s="254" t="str">
        <f>IF(Z$3="","",IF(COUNTIFS(BD!$A$3:$A$5001,Z$3,BD!$B$3:$B$5001,$A$213,BD!$M$3:$M$5001,"&lt;&gt;")=0,"",SUMIFS(BD!$M$3:$M$5001,BD!$A$3:$A$5001,Z$3,BD!$B$3:$B$5001,$A$213)))</f>
        <v/>
      </c>
      <c r="AA223" s="254" t="str">
        <f>IF(AA$3="","",IF(COUNTIFS(BD!$A$3:$A$5001,AA$3,BD!$B$3:$B$5001,$A$213,BD!$M$3:$M$5001,"&lt;&gt;")=0,"",SUMIFS(BD!$M$3:$M$5001,BD!$A$3:$A$5001,AA$3,BD!$B$3:$B$5001,$A$213)))</f>
        <v/>
      </c>
      <c r="AB223" s="254" t="str">
        <f>IF(AB$3="","",IF(COUNTIFS(BD!$A$3:$A$5001,AB$3,BD!$B$3:$B$5001,$A$213,BD!$M$3:$M$5001,"&lt;&gt;")=0,"",SUMIFS(BD!$M$3:$M$5001,BD!$A$3:$A$5001,AB$3,BD!$B$3:$B$5001,$A$213)))</f>
        <v/>
      </c>
      <c r="AC223" s="254" t="str">
        <f>IF(AC$3="","",IF(COUNTIFS(BD!$A$3:$A$5001,AC$3,BD!$B$3:$B$5001,$A$213,BD!$M$3:$M$5001,"&lt;&gt;")=0,"",SUMIFS(BD!$M$3:$M$5001,BD!$A$3:$A$5001,AC$3,BD!$B$3:$B$5001,$A$213)))</f>
        <v/>
      </c>
      <c r="AD223" s="254" t="str">
        <f>IF(AD$3="","",IF(COUNTIFS(BD!$A$3:$A$5001,AD$3,BD!$B$3:$B$5001,$A$213,BD!$M$3:$M$5001,"&lt;&gt;")=0,"",SUMIFS(BD!$M$3:$M$5001,BD!$A$3:$A$5001,AD$3,BD!$B$3:$B$5001,$A$213)))</f>
        <v/>
      </c>
      <c r="AE223" s="254" t="str">
        <f>IF(AE$3="","",IF(COUNTIFS(BD!$A$3:$A$5001,AE$3,BD!$B$3:$B$5001,$A$213,BD!$M$3:$M$5001,"&lt;&gt;")=0,"",SUMIFS(BD!$M$3:$M$5001,BD!$A$3:$A$5001,AE$3,BD!$B$3:$B$5001,$A$213)))</f>
        <v/>
      </c>
      <c r="AF223" s="254" t="str">
        <f>IF(AF$3="","",IF(COUNTIFS(BD!$A$3:$A$5001,AF$3,BD!$B$3:$B$5001,$A$213,BD!$M$3:$M$5001,"&lt;&gt;")=0,"",SUMIFS(BD!$M$3:$M$5001,BD!$A$3:$A$5001,AF$3,BD!$B$3:$B$5001,$A$213)))</f>
        <v/>
      </c>
      <c r="AG223" s="254" t="str">
        <f>IF(AG$3="","",IF(COUNTIFS(BD!$A$3:$A$5001,AG$3,BD!$B$3:$B$5001,$A$213,BD!$M$3:$M$5001,"&lt;&gt;")=0,"",SUMIFS(BD!$M$3:$M$5001,BD!$A$3:$A$5001,AG$3,BD!$B$3:$B$5001,$A$213)))</f>
        <v/>
      </c>
      <c r="AH223" s="254" t="str">
        <f>IF(AH$3="","",IF(COUNTIFS(BD!$A$3:$A$5001,AH$3,BD!$B$3:$B$5001,$A$213,BD!$M$3:$M$5001,"&lt;&gt;")=0,"",SUMIFS(BD!$M$3:$M$5001,BD!$A$3:$A$5001,AH$3,BD!$B$3:$B$5001,$A$213)))</f>
        <v/>
      </c>
      <c r="AI223" s="254" t="str">
        <f>IF(AI$3="","",IF(COUNTIFS(BD!$A$3:$A$5001,AI$3,BD!$B$3:$B$5001,$A$213,BD!$M$3:$M$5001,"&lt;&gt;")=0,"",SUMIFS(BD!$M$3:$M$5001,BD!$A$3:$A$5001,AI$3,BD!$B$3:$B$5001,$A$213)))</f>
        <v/>
      </c>
      <c r="AJ223" s="255" t="str">
        <f>IF(AJ$3="","",IF(COUNTIFS(BD!$A$3:$A$5001,AJ$3,BD!$B$3:$B$5001,$A$213,BD!$M$3:$M$5001,"&lt;&gt;")=0,"",SUMIFS(BD!$M$3:$M$5001,BD!$A$3:$A$5001,AJ$3,BD!$B$3:$B$5001,$A$213)))</f>
        <v/>
      </c>
      <c r="AK223" s="256" t="str">
        <f>IF(COUNT(F223:AJ223)=0,"",SUM(F223:AJ223))</f>
        <v/>
      </c>
    </row>
    <row r="224" ht="15.75" customHeight="1" hidden="1">
      <c r="A224" s="244"/>
      <c r="B224" s="261"/>
      <c r="C224" s="250" t="inlineStr">
        <is>
          <t xml:space="preserve">Pedidos Faturados</t>
        </is>
      </c>
      <c r="D224" s="251" t="str">
        <f>IFERROR(1/(1/INDEX(BD!$AJ$34:$BD$34,MATCH($A$213,BD!$AJ$22:$BD$22,0))),"")</f>
        <v/>
      </c>
      <c r="E224" s="252"/>
      <c r="F224" s="253" t="str">
        <f>IF(F$3="","",IF(COUNTIFS(BD!$A$3:$A$5001,F$3,BD!$B$3:$B$5001,$A$213,BD!$N$3:$N$5001,"&lt;&gt;")=0,"",SUMIFS(BD!$N$3:$N$5001,BD!$A$3:$A$5001,F$3,BD!$B$3:$B$5001,$A$213)))</f>
        <v/>
      </c>
      <c r="G224" s="254" t="str">
        <f>IF(G$3="","",IF(COUNTIFS(BD!$A$3:$A$5001,G$3,BD!$B$3:$B$5001,$A$213,BD!$N$3:$N$5001,"&lt;&gt;")=0,"",SUMIFS(BD!$N$3:$N$5001,BD!$A$3:$A$5001,G$3,BD!$B$3:$B$5001,$A$213)))</f>
        <v/>
      </c>
      <c r="H224" s="254" t="str">
        <f>IF(H$3="","",IF(COUNTIFS(BD!$A$3:$A$5001,H$3,BD!$B$3:$B$5001,$A$213,BD!$N$3:$N$5001,"&lt;&gt;")=0,"",SUMIFS(BD!$N$3:$N$5001,BD!$A$3:$A$5001,H$3,BD!$B$3:$B$5001,$A$213)))</f>
        <v/>
      </c>
      <c r="I224" s="254" t="str">
        <f>IF(I$3="","",IF(COUNTIFS(BD!$A$3:$A$5001,I$3,BD!$B$3:$B$5001,$A$213,BD!$N$3:$N$5001,"&lt;&gt;")=0,"",SUMIFS(BD!$N$3:$N$5001,BD!$A$3:$A$5001,I$3,BD!$B$3:$B$5001,$A$213)))</f>
        <v/>
      </c>
      <c r="J224" s="254" t="str">
        <f>IF(J$3="","",IF(COUNTIFS(BD!$A$3:$A$5001,J$3,BD!$B$3:$B$5001,$A$213,BD!$N$3:$N$5001,"&lt;&gt;")=0,"",SUMIFS(BD!$N$3:$N$5001,BD!$A$3:$A$5001,J$3,BD!$B$3:$B$5001,$A$213)))</f>
        <v/>
      </c>
      <c r="K224" s="254" t="str">
        <f>IF(K$3="","",IF(COUNTIFS(BD!$A$3:$A$5001,K$3,BD!$B$3:$B$5001,$A$213,BD!$N$3:$N$5001,"&lt;&gt;")=0,"",SUMIFS(BD!$N$3:$N$5001,BD!$A$3:$A$5001,K$3,BD!$B$3:$B$5001,$A$213)))</f>
        <v/>
      </c>
      <c r="L224" s="254" t="str">
        <f>IF(L$3="","",IF(COUNTIFS(BD!$A$3:$A$5001,L$3,BD!$B$3:$B$5001,$A$213,BD!$N$3:$N$5001,"&lt;&gt;")=0,"",SUMIFS(BD!$N$3:$N$5001,BD!$A$3:$A$5001,L$3,BD!$B$3:$B$5001,$A$213)))</f>
        <v/>
      </c>
      <c r="M224" s="254" t="str">
        <f>IF(M$3="","",IF(COUNTIFS(BD!$A$3:$A$5001,M$3,BD!$B$3:$B$5001,$A$213,BD!$N$3:$N$5001,"&lt;&gt;")=0,"",SUMIFS(BD!$N$3:$N$5001,BD!$A$3:$A$5001,M$3,BD!$B$3:$B$5001,$A$213)))</f>
        <v/>
      </c>
      <c r="N224" s="254" t="str">
        <f>IF(N$3="","",IF(COUNTIFS(BD!$A$3:$A$5001,N$3,BD!$B$3:$B$5001,$A$213,BD!$N$3:$N$5001,"&lt;&gt;")=0,"",SUMIFS(BD!$N$3:$N$5001,BD!$A$3:$A$5001,N$3,BD!$B$3:$B$5001,$A$213)))</f>
        <v/>
      </c>
      <c r="O224" s="254" t="str">
        <f>IF(O$3="","",IF(COUNTIFS(BD!$A$3:$A$5001,O$3,BD!$B$3:$B$5001,$A$213,BD!$N$3:$N$5001,"&lt;&gt;")=0,"",SUMIFS(BD!$N$3:$N$5001,BD!$A$3:$A$5001,O$3,BD!$B$3:$B$5001,$A$213)))</f>
        <v/>
      </c>
      <c r="P224" s="254" t="str">
        <f>IF(P$3="","",IF(COUNTIFS(BD!$A$3:$A$5001,P$3,BD!$B$3:$B$5001,$A$213,BD!$N$3:$N$5001,"&lt;&gt;")=0,"",SUMIFS(BD!$N$3:$N$5001,BD!$A$3:$A$5001,P$3,BD!$B$3:$B$5001,$A$213)))</f>
        <v/>
      </c>
      <c r="Q224" s="254" t="str">
        <f>IF(Q$3="","",IF(COUNTIFS(BD!$A$3:$A$5001,Q$3,BD!$B$3:$B$5001,$A$213,BD!$N$3:$N$5001,"&lt;&gt;")=0,"",SUMIFS(BD!$N$3:$N$5001,BD!$A$3:$A$5001,Q$3,BD!$B$3:$B$5001,$A$213)))</f>
        <v/>
      </c>
      <c r="R224" s="254" t="str">
        <f>IF(R$3="","",IF(COUNTIFS(BD!$A$3:$A$5001,R$3,BD!$B$3:$B$5001,$A$213,BD!$N$3:$N$5001,"&lt;&gt;")=0,"",SUMIFS(BD!$N$3:$N$5001,BD!$A$3:$A$5001,R$3,BD!$B$3:$B$5001,$A$213)))</f>
        <v/>
      </c>
      <c r="S224" s="254" t="str">
        <f>IF(S$3="","",IF(COUNTIFS(BD!$A$3:$A$5001,S$3,BD!$B$3:$B$5001,$A$213,BD!$N$3:$N$5001,"&lt;&gt;")=0,"",SUMIFS(BD!$N$3:$N$5001,BD!$A$3:$A$5001,S$3,BD!$B$3:$B$5001,$A$213)))</f>
        <v/>
      </c>
      <c r="T224" s="254" t="str">
        <f>IF(T$3="","",IF(COUNTIFS(BD!$A$3:$A$5001,T$3,BD!$B$3:$B$5001,$A$213,BD!$N$3:$N$5001,"&lt;&gt;")=0,"",SUMIFS(BD!$N$3:$N$5001,BD!$A$3:$A$5001,T$3,BD!$B$3:$B$5001,$A$213)))</f>
        <v/>
      </c>
      <c r="U224" s="254" t="str">
        <f>IF(U$3="","",IF(COUNTIFS(BD!$A$3:$A$5001,U$3,BD!$B$3:$B$5001,$A$213,BD!$N$3:$N$5001,"&lt;&gt;")=0,"",SUMIFS(BD!$N$3:$N$5001,BD!$A$3:$A$5001,U$3,BD!$B$3:$B$5001,$A$213)))</f>
        <v/>
      </c>
      <c r="V224" s="254" t="str">
        <f>IF(V$3="","",IF(COUNTIFS(BD!$A$3:$A$5001,V$3,BD!$B$3:$B$5001,$A$213,BD!$N$3:$N$5001,"&lt;&gt;")=0,"",SUMIFS(BD!$N$3:$N$5001,BD!$A$3:$A$5001,V$3,BD!$B$3:$B$5001,$A$213)))</f>
        <v/>
      </c>
      <c r="W224" s="254" t="str">
        <f>IF(W$3="","",IF(COUNTIFS(BD!$A$3:$A$5001,W$3,BD!$B$3:$B$5001,$A$213,BD!$N$3:$N$5001,"&lt;&gt;")=0,"",SUMIFS(BD!$N$3:$N$5001,BD!$A$3:$A$5001,W$3,BD!$B$3:$B$5001,$A$213)))</f>
        <v/>
      </c>
      <c r="X224" s="254" t="str">
        <f>IF(X$3="","",IF(COUNTIFS(BD!$A$3:$A$5001,X$3,BD!$B$3:$B$5001,$A$213,BD!$N$3:$N$5001,"&lt;&gt;")=0,"",SUMIFS(BD!$N$3:$N$5001,BD!$A$3:$A$5001,X$3,BD!$B$3:$B$5001,$A$213)))</f>
        <v/>
      </c>
      <c r="Y224" s="254" t="str">
        <f>IF(Y$3="","",IF(COUNTIFS(BD!$A$3:$A$5001,Y$3,BD!$B$3:$B$5001,$A$213,BD!$N$3:$N$5001,"&lt;&gt;")=0,"",SUMIFS(BD!$N$3:$N$5001,BD!$A$3:$A$5001,Y$3,BD!$B$3:$B$5001,$A$213)))</f>
        <v/>
      </c>
      <c r="Z224" s="254" t="str">
        <f>IF(Z$3="","",IF(COUNTIFS(BD!$A$3:$A$5001,Z$3,BD!$B$3:$B$5001,$A$213,BD!$N$3:$N$5001,"&lt;&gt;")=0,"",SUMIFS(BD!$N$3:$N$5001,BD!$A$3:$A$5001,Z$3,BD!$B$3:$B$5001,$A$213)))</f>
        <v/>
      </c>
      <c r="AA224" s="254" t="str">
        <f>IF(AA$3="","",IF(COUNTIFS(BD!$A$3:$A$5001,AA$3,BD!$B$3:$B$5001,$A$213,BD!$N$3:$N$5001,"&lt;&gt;")=0,"",SUMIFS(BD!$N$3:$N$5001,BD!$A$3:$A$5001,AA$3,BD!$B$3:$B$5001,$A$213)))</f>
        <v/>
      </c>
      <c r="AB224" s="254" t="str">
        <f>IF(AB$3="","",IF(COUNTIFS(BD!$A$3:$A$5001,AB$3,BD!$B$3:$B$5001,$A$213,BD!$N$3:$N$5001,"&lt;&gt;")=0,"",SUMIFS(BD!$N$3:$N$5001,BD!$A$3:$A$5001,AB$3,BD!$B$3:$B$5001,$A$213)))</f>
        <v/>
      </c>
      <c r="AC224" s="254" t="str">
        <f>IF(AC$3="","",IF(COUNTIFS(BD!$A$3:$A$5001,AC$3,BD!$B$3:$B$5001,$A$213,BD!$N$3:$N$5001,"&lt;&gt;")=0,"",SUMIFS(BD!$N$3:$N$5001,BD!$A$3:$A$5001,AC$3,BD!$B$3:$B$5001,$A$213)))</f>
        <v/>
      </c>
      <c r="AD224" s="254" t="str">
        <f>IF(AD$3="","",IF(COUNTIFS(BD!$A$3:$A$5001,AD$3,BD!$B$3:$B$5001,$A$213,BD!$N$3:$N$5001,"&lt;&gt;")=0,"",SUMIFS(BD!$N$3:$N$5001,BD!$A$3:$A$5001,AD$3,BD!$B$3:$B$5001,$A$213)))</f>
        <v/>
      </c>
      <c r="AE224" s="254" t="str">
        <f>IF(AE$3="","",IF(COUNTIFS(BD!$A$3:$A$5001,AE$3,BD!$B$3:$B$5001,$A$213,BD!$N$3:$N$5001,"&lt;&gt;")=0,"",SUMIFS(BD!$N$3:$N$5001,BD!$A$3:$A$5001,AE$3,BD!$B$3:$B$5001,$A$213)))</f>
        <v/>
      </c>
      <c r="AF224" s="254" t="str">
        <f>IF(AF$3="","",IF(COUNTIFS(BD!$A$3:$A$5001,AF$3,BD!$B$3:$B$5001,$A$213,BD!$N$3:$N$5001,"&lt;&gt;")=0,"",SUMIFS(BD!$N$3:$N$5001,BD!$A$3:$A$5001,AF$3,BD!$B$3:$B$5001,$A$213)))</f>
        <v/>
      </c>
      <c r="AG224" s="254" t="str">
        <f>IF(AG$3="","",IF(COUNTIFS(BD!$A$3:$A$5001,AG$3,BD!$B$3:$B$5001,$A$213,BD!$N$3:$N$5001,"&lt;&gt;")=0,"",SUMIFS(BD!$N$3:$N$5001,BD!$A$3:$A$5001,AG$3,BD!$B$3:$B$5001,$A$213)))</f>
        <v/>
      </c>
      <c r="AH224" s="254" t="str">
        <f>IF(AH$3="","",IF(COUNTIFS(BD!$A$3:$A$5001,AH$3,BD!$B$3:$B$5001,$A$213,BD!$N$3:$N$5001,"&lt;&gt;")=0,"",SUMIFS(BD!$N$3:$N$5001,BD!$A$3:$A$5001,AH$3,BD!$B$3:$B$5001,$A$213)))</f>
        <v/>
      </c>
      <c r="AI224" s="254" t="str">
        <f>IF(AI$3="","",IF(COUNTIFS(BD!$A$3:$A$5001,AI$3,BD!$B$3:$B$5001,$A$213,BD!$N$3:$N$5001,"&lt;&gt;")=0,"",SUMIFS(BD!$N$3:$N$5001,BD!$A$3:$A$5001,AI$3,BD!$B$3:$B$5001,$A$213)))</f>
        <v/>
      </c>
      <c r="AJ224" s="255" t="str">
        <f>IF(AJ$3="","",IF(COUNTIFS(BD!$A$3:$A$5001,AJ$3,BD!$B$3:$B$5001,$A$213,BD!$N$3:$N$5001,"&lt;&gt;")=0,"",SUMIFS(BD!$N$3:$N$5001,BD!$A$3:$A$5001,AJ$3,BD!$B$3:$B$5001,$A$213)))</f>
        <v/>
      </c>
      <c r="AK224" s="256" t="str">
        <f>IF(COUNT(F224:AJ224)=0,"",SUM(F224:AJ224))</f>
        <v/>
      </c>
    </row>
    <row r="225" ht="15.75" customHeight="1" hidden="1">
      <c r="A225" s="244"/>
      <c r="B225" s="261"/>
      <c r="C225" s="250" t="inlineStr">
        <is>
          <t xml:space="preserve">Itens Expedidos</t>
        </is>
      </c>
      <c r="D225" s="251" t="str">
        <f>IFERROR(1/(1/INDEX(BD!$AJ$35:$BD$35,MATCH($A$213,BD!$AJ$22:$BD$22,0))),"")</f>
        <v/>
      </c>
      <c r="E225" s="252"/>
      <c r="F225" s="253" t="str">
        <f>IF(F$3="","",IF(COUNTIFS(BD!$A$3:$A$5001,F$3,BD!$B$3:$B$5001,$A$213,BD!$O$3:$O$5001,"&lt;&gt;")=0,"",SUMIFS(BD!$O$3:$O$5001,BD!$A$3:$A$5001,F$3,BD!$B$3:$B$5001,$A$213)))</f>
        <v/>
      </c>
      <c r="G225" s="254" t="str">
        <f>IF(G$3="","",IF(COUNTIFS(BD!$A$3:$A$5001,G$3,BD!$B$3:$B$5001,$A$213,BD!$O$3:$O$5001,"&lt;&gt;")=0,"",SUMIFS(BD!$O$3:$O$5001,BD!$A$3:$A$5001,G$3,BD!$B$3:$B$5001,$A$213)))</f>
        <v/>
      </c>
      <c r="H225" s="254" t="str">
        <f>IF(H$3="","",IF(COUNTIFS(BD!$A$3:$A$5001,H$3,BD!$B$3:$B$5001,$A$213,BD!$O$3:$O$5001,"&lt;&gt;")=0,"",SUMIFS(BD!$O$3:$O$5001,BD!$A$3:$A$5001,H$3,BD!$B$3:$B$5001,$A$213)))</f>
        <v/>
      </c>
      <c r="I225" s="254" t="str">
        <f>IF(I$3="","",IF(COUNTIFS(BD!$A$3:$A$5001,I$3,BD!$B$3:$B$5001,$A$213,BD!$O$3:$O$5001,"&lt;&gt;")=0,"",SUMIFS(BD!$O$3:$O$5001,BD!$A$3:$A$5001,I$3,BD!$B$3:$B$5001,$A$213)))</f>
        <v/>
      </c>
      <c r="J225" s="254" t="str">
        <f>IF(J$3="","",IF(COUNTIFS(BD!$A$3:$A$5001,J$3,BD!$B$3:$B$5001,$A$213,BD!$O$3:$O$5001,"&lt;&gt;")=0,"",SUMIFS(BD!$O$3:$O$5001,BD!$A$3:$A$5001,J$3,BD!$B$3:$B$5001,$A$213)))</f>
        <v/>
      </c>
      <c r="K225" s="254" t="str">
        <f>IF(K$3="","",IF(COUNTIFS(BD!$A$3:$A$5001,K$3,BD!$B$3:$B$5001,$A$213,BD!$O$3:$O$5001,"&lt;&gt;")=0,"",SUMIFS(BD!$O$3:$O$5001,BD!$A$3:$A$5001,K$3,BD!$B$3:$B$5001,$A$213)))</f>
        <v/>
      </c>
      <c r="L225" s="254" t="str">
        <f>IF(L$3="","",IF(COUNTIFS(BD!$A$3:$A$5001,L$3,BD!$B$3:$B$5001,$A$213,BD!$O$3:$O$5001,"&lt;&gt;")=0,"",SUMIFS(BD!$O$3:$O$5001,BD!$A$3:$A$5001,L$3,BD!$B$3:$B$5001,$A$213)))</f>
        <v/>
      </c>
      <c r="M225" s="254" t="str">
        <f>IF(M$3="","",IF(COUNTIFS(BD!$A$3:$A$5001,M$3,BD!$B$3:$B$5001,$A$213,BD!$O$3:$O$5001,"&lt;&gt;")=0,"",SUMIFS(BD!$O$3:$O$5001,BD!$A$3:$A$5001,M$3,BD!$B$3:$B$5001,$A$213)))</f>
        <v/>
      </c>
      <c r="N225" s="254" t="str">
        <f>IF(N$3="","",IF(COUNTIFS(BD!$A$3:$A$5001,N$3,BD!$B$3:$B$5001,$A$213,BD!$O$3:$O$5001,"&lt;&gt;")=0,"",SUMIFS(BD!$O$3:$O$5001,BD!$A$3:$A$5001,N$3,BD!$B$3:$B$5001,$A$213)))</f>
        <v/>
      </c>
      <c r="O225" s="254" t="str">
        <f>IF(O$3="","",IF(COUNTIFS(BD!$A$3:$A$5001,O$3,BD!$B$3:$B$5001,$A$213,BD!$O$3:$O$5001,"&lt;&gt;")=0,"",SUMIFS(BD!$O$3:$O$5001,BD!$A$3:$A$5001,O$3,BD!$B$3:$B$5001,$A$213)))</f>
        <v/>
      </c>
      <c r="P225" s="254" t="str">
        <f>IF(P$3="","",IF(COUNTIFS(BD!$A$3:$A$5001,P$3,BD!$B$3:$B$5001,$A$213,BD!$O$3:$O$5001,"&lt;&gt;")=0,"",SUMIFS(BD!$O$3:$O$5001,BD!$A$3:$A$5001,P$3,BD!$B$3:$B$5001,$A$213)))</f>
        <v/>
      </c>
      <c r="Q225" s="254" t="str">
        <f>IF(Q$3="","",IF(COUNTIFS(BD!$A$3:$A$5001,Q$3,BD!$B$3:$B$5001,$A$213,BD!$O$3:$O$5001,"&lt;&gt;")=0,"",SUMIFS(BD!$O$3:$O$5001,BD!$A$3:$A$5001,Q$3,BD!$B$3:$B$5001,$A$213)))</f>
        <v/>
      </c>
      <c r="R225" s="254" t="str">
        <f>IF(R$3="","",IF(COUNTIFS(BD!$A$3:$A$5001,R$3,BD!$B$3:$B$5001,$A$213,BD!$O$3:$O$5001,"&lt;&gt;")=0,"",SUMIFS(BD!$O$3:$O$5001,BD!$A$3:$A$5001,R$3,BD!$B$3:$B$5001,$A$213)))</f>
        <v/>
      </c>
      <c r="S225" s="254" t="str">
        <f>IF(S$3="","",IF(COUNTIFS(BD!$A$3:$A$5001,S$3,BD!$B$3:$B$5001,$A$213,BD!$O$3:$O$5001,"&lt;&gt;")=0,"",SUMIFS(BD!$O$3:$O$5001,BD!$A$3:$A$5001,S$3,BD!$B$3:$B$5001,$A$213)))</f>
        <v/>
      </c>
      <c r="T225" s="254" t="str">
        <f>IF(T$3="","",IF(COUNTIFS(BD!$A$3:$A$5001,T$3,BD!$B$3:$B$5001,$A$213,BD!$O$3:$O$5001,"&lt;&gt;")=0,"",SUMIFS(BD!$O$3:$O$5001,BD!$A$3:$A$5001,T$3,BD!$B$3:$B$5001,$A$213)))</f>
        <v/>
      </c>
      <c r="U225" s="254" t="str">
        <f>IF(U$3="","",IF(COUNTIFS(BD!$A$3:$A$5001,U$3,BD!$B$3:$B$5001,$A$213,BD!$O$3:$O$5001,"&lt;&gt;")=0,"",SUMIFS(BD!$O$3:$O$5001,BD!$A$3:$A$5001,U$3,BD!$B$3:$B$5001,$A$213)))</f>
        <v/>
      </c>
      <c r="V225" s="254" t="str">
        <f>IF(V$3="","",IF(COUNTIFS(BD!$A$3:$A$5001,V$3,BD!$B$3:$B$5001,$A$213,BD!$O$3:$O$5001,"&lt;&gt;")=0,"",SUMIFS(BD!$O$3:$O$5001,BD!$A$3:$A$5001,V$3,BD!$B$3:$B$5001,$A$213)))</f>
        <v/>
      </c>
      <c r="W225" s="254" t="str">
        <f>IF(W$3="","",IF(COUNTIFS(BD!$A$3:$A$5001,W$3,BD!$B$3:$B$5001,$A$213,BD!$O$3:$O$5001,"&lt;&gt;")=0,"",SUMIFS(BD!$O$3:$O$5001,BD!$A$3:$A$5001,W$3,BD!$B$3:$B$5001,$A$213)))</f>
        <v/>
      </c>
      <c r="X225" s="254" t="str">
        <f>IF(X$3="","",IF(COUNTIFS(BD!$A$3:$A$5001,X$3,BD!$B$3:$B$5001,$A$213,BD!$O$3:$O$5001,"&lt;&gt;")=0,"",SUMIFS(BD!$O$3:$O$5001,BD!$A$3:$A$5001,X$3,BD!$B$3:$B$5001,$A$213)))</f>
        <v/>
      </c>
      <c r="Y225" s="254" t="str">
        <f>IF(Y$3="","",IF(COUNTIFS(BD!$A$3:$A$5001,Y$3,BD!$B$3:$B$5001,$A$213,BD!$O$3:$O$5001,"&lt;&gt;")=0,"",SUMIFS(BD!$O$3:$O$5001,BD!$A$3:$A$5001,Y$3,BD!$B$3:$B$5001,$A$213)))</f>
        <v/>
      </c>
      <c r="Z225" s="254" t="str">
        <f>IF(Z$3="","",IF(COUNTIFS(BD!$A$3:$A$5001,Z$3,BD!$B$3:$B$5001,$A$213,BD!$O$3:$O$5001,"&lt;&gt;")=0,"",SUMIFS(BD!$O$3:$O$5001,BD!$A$3:$A$5001,Z$3,BD!$B$3:$B$5001,$A$213)))</f>
        <v/>
      </c>
      <c r="AA225" s="254" t="str">
        <f>IF(AA$3="","",IF(COUNTIFS(BD!$A$3:$A$5001,AA$3,BD!$B$3:$B$5001,$A$213,BD!$O$3:$O$5001,"&lt;&gt;")=0,"",SUMIFS(BD!$O$3:$O$5001,BD!$A$3:$A$5001,AA$3,BD!$B$3:$B$5001,$A$213)))</f>
        <v/>
      </c>
      <c r="AB225" s="254" t="str">
        <f>IF(AB$3="","",IF(COUNTIFS(BD!$A$3:$A$5001,AB$3,BD!$B$3:$B$5001,$A$213,BD!$O$3:$O$5001,"&lt;&gt;")=0,"",SUMIFS(BD!$O$3:$O$5001,BD!$A$3:$A$5001,AB$3,BD!$B$3:$B$5001,$A$213)))</f>
        <v/>
      </c>
      <c r="AC225" s="254" t="str">
        <f>IF(AC$3="","",IF(COUNTIFS(BD!$A$3:$A$5001,AC$3,BD!$B$3:$B$5001,$A$213,BD!$O$3:$O$5001,"&lt;&gt;")=0,"",SUMIFS(BD!$O$3:$O$5001,BD!$A$3:$A$5001,AC$3,BD!$B$3:$B$5001,$A$213)))</f>
        <v/>
      </c>
      <c r="AD225" s="254" t="str">
        <f>IF(AD$3="","",IF(COUNTIFS(BD!$A$3:$A$5001,AD$3,BD!$B$3:$B$5001,$A$213,BD!$O$3:$O$5001,"&lt;&gt;")=0,"",SUMIFS(BD!$O$3:$O$5001,BD!$A$3:$A$5001,AD$3,BD!$B$3:$B$5001,$A$213)))</f>
        <v/>
      </c>
      <c r="AE225" s="254" t="str">
        <f>IF(AE$3="","",IF(COUNTIFS(BD!$A$3:$A$5001,AE$3,BD!$B$3:$B$5001,$A$213,BD!$O$3:$O$5001,"&lt;&gt;")=0,"",SUMIFS(BD!$O$3:$O$5001,BD!$A$3:$A$5001,AE$3,BD!$B$3:$B$5001,$A$213)))</f>
        <v/>
      </c>
      <c r="AF225" s="254" t="str">
        <f>IF(AF$3="","",IF(COUNTIFS(BD!$A$3:$A$5001,AF$3,BD!$B$3:$B$5001,$A$213,BD!$O$3:$O$5001,"&lt;&gt;")=0,"",SUMIFS(BD!$O$3:$O$5001,BD!$A$3:$A$5001,AF$3,BD!$B$3:$B$5001,$A$213)))</f>
        <v/>
      </c>
      <c r="AG225" s="254" t="str">
        <f>IF(AG$3="","",IF(COUNTIFS(BD!$A$3:$A$5001,AG$3,BD!$B$3:$B$5001,$A$213,BD!$O$3:$O$5001,"&lt;&gt;")=0,"",SUMIFS(BD!$O$3:$O$5001,BD!$A$3:$A$5001,AG$3,BD!$B$3:$B$5001,$A$213)))</f>
        <v/>
      </c>
      <c r="AH225" s="254" t="str">
        <f>IF(AH$3="","",IF(COUNTIFS(BD!$A$3:$A$5001,AH$3,BD!$B$3:$B$5001,$A$213,BD!$O$3:$O$5001,"&lt;&gt;")=0,"",SUMIFS(BD!$O$3:$O$5001,BD!$A$3:$A$5001,AH$3,BD!$B$3:$B$5001,$A$213)))</f>
        <v/>
      </c>
      <c r="AI225" s="254" t="str">
        <f>IF(AI$3="","",IF(COUNTIFS(BD!$A$3:$A$5001,AI$3,BD!$B$3:$B$5001,$A$213,BD!$O$3:$O$5001,"&lt;&gt;")=0,"",SUMIFS(BD!$O$3:$O$5001,BD!$A$3:$A$5001,AI$3,BD!$B$3:$B$5001,$A$213)))</f>
        <v/>
      </c>
      <c r="AJ225" s="255" t="str">
        <f>IF(AJ$3="","",IF(COUNTIFS(BD!$A$3:$A$5001,AJ$3,BD!$B$3:$B$5001,$A$213,BD!$O$3:$O$5001,"&lt;&gt;")=0,"",SUMIFS(BD!$O$3:$O$5001,BD!$A$3:$A$5001,AJ$3,BD!$B$3:$B$5001,$A$213)))</f>
        <v/>
      </c>
      <c r="AK225" s="256" t="str">
        <f>IF(COUNT(F225:AJ225)=0,"",SUM(F225:AJ225))</f>
        <v/>
      </c>
    </row>
    <row r="226" ht="15.75" customHeight="1" hidden="1">
      <c r="A226" s="244"/>
      <c r="B226" s="261"/>
      <c r="C226" s="250" t="inlineStr">
        <is>
          <t xml:space="preserve">Linhas NF</t>
        </is>
      </c>
      <c r="D226" s="251" t="str">
        <f>IFERROR(1/(1/INDEX(BD!$AJ$36:$BD$36,MATCH($A$213,BD!$AJ$22:$BD$22,0))),"")</f>
        <v/>
      </c>
      <c r="E226" s="252"/>
      <c r="F226" s="253" t="str">
        <f>IF(F$3="","",IF(COUNTIFS(BD!$A$3:$A$5001,F$3,BD!$B$3:$B$5001,$A$213,BD!$P$3:$P$5001,"&lt;&gt;")=0,"",SUMIFS(BD!$P$3:$P$5001,BD!$A$3:$A$5001,F$3,BD!$B$3:$B$5001,$A$213)))</f>
        <v/>
      </c>
      <c r="G226" s="254" t="str">
        <f>IF(G$3="","",IF(COUNTIFS(BD!$A$3:$A$5001,G$3,BD!$B$3:$B$5001,$A$213,BD!$P$3:$P$5001,"&lt;&gt;")=0,"",SUMIFS(BD!$P$3:$P$5001,BD!$A$3:$A$5001,G$3,BD!$B$3:$B$5001,$A$213)))</f>
        <v/>
      </c>
      <c r="H226" s="254" t="str">
        <f>IF(H$3="","",IF(COUNTIFS(BD!$A$3:$A$5001,H$3,BD!$B$3:$B$5001,$A$213,BD!$P$3:$P$5001,"&lt;&gt;")=0,"",SUMIFS(BD!$P$3:$P$5001,BD!$A$3:$A$5001,H$3,BD!$B$3:$B$5001,$A$213)))</f>
        <v/>
      </c>
      <c r="I226" s="254" t="str">
        <f>IF(I$3="","",IF(COUNTIFS(BD!$A$3:$A$5001,I$3,BD!$B$3:$B$5001,$A$213,BD!$P$3:$P$5001,"&lt;&gt;")=0,"",SUMIFS(BD!$P$3:$P$5001,BD!$A$3:$A$5001,I$3,BD!$B$3:$B$5001,$A$213)))</f>
        <v/>
      </c>
      <c r="J226" s="254" t="str">
        <f>IF(J$3="","",IF(COUNTIFS(BD!$A$3:$A$5001,J$3,BD!$B$3:$B$5001,$A$213,BD!$P$3:$P$5001,"&lt;&gt;")=0,"",SUMIFS(BD!$P$3:$P$5001,BD!$A$3:$A$5001,J$3,BD!$B$3:$B$5001,$A$213)))</f>
        <v/>
      </c>
      <c r="K226" s="254" t="str">
        <f>IF(K$3="","",IF(COUNTIFS(BD!$A$3:$A$5001,K$3,BD!$B$3:$B$5001,$A$213,BD!$P$3:$P$5001,"&lt;&gt;")=0,"",SUMIFS(BD!$P$3:$P$5001,BD!$A$3:$A$5001,K$3,BD!$B$3:$B$5001,$A$213)))</f>
        <v/>
      </c>
      <c r="L226" s="254" t="str">
        <f>IF(L$3="","",IF(COUNTIFS(BD!$A$3:$A$5001,L$3,BD!$B$3:$B$5001,$A$213,BD!$P$3:$P$5001,"&lt;&gt;")=0,"",SUMIFS(BD!$P$3:$P$5001,BD!$A$3:$A$5001,L$3,BD!$B$3:$B$5001,$A$213)))</f>
        <v/>
      </c>
      <c r="M226" s="254" t="str">
        <f>IF(M$3="","",IF(COUNTIFS(BD!$A$3:$A$5001,M$3,BD!$B$3:$B$5001,$A$213,BD!$P$3:$P$5001,"&lt;&gt;")=0,"",SUMIFS(BD!$P$3:$P$5001,BD!$A$3:$A$5001,M$3,BD!$B$3:$B$5001,$A$213)))</f>
        <v/>
      </c>
      <c r="N226" s="254" t="str">
        <f>IF(N$3="","",IF(COUNTIFS(BD!$A$3:$A$5001,N$3,BD!$B$3:$B$5001,$A$213,BD!$P$3:$P$5001,"&lt;&gt;")=0,"",SUMIFS(BD!$P$3:$P$5001,BD!$A$3:$A$5001,N$3,BD!$B$3:$B$5001,$A$213)))</f>
        <v/>
      </c>
      <c r="O226" s="254" t="str">
        <f>IF(O$3="","",IF(COUNTIFS(BD!$A$3:$A$5001,O$3,BD!$B$3:$B$5001,$A$213,BD!$P$3:$P$5001,"&lt;&gt;")=0,"",SUMIFS(BD!$P$3:$P$5001,BD!$A$3:$A$5001,O$3,BD!$B$3:$B$5001,$A$213)))</f>
        <v/>
      </c>
      <c r="P226" s="254" t="str">
        <f>IF(P$3="","",IF(COUNTIFS(BD!$A$3:$A$5001,P$3,BD!$B$3:$B$5001,$A$213,BD!$P$3:$P$5001,"&lt;&gt;")=0,"",SUMIFS(BD!$P$3:$P$5001,BD!$A$3:$A$5001,P$3,BD!$B$3:$B$5001,$A$213)))</f>
        <v/>
      </c>
      <c r="Q226" s="254" t="str">
        <f>IF(Q$3="","",IF(COUNTIFS(BD!$A$3:$A$5001,Q$3,BD!$B$3:$B$5001,$A$213,BD!$P$3:$P$5001,"&lt;&gt;")=0,"",SUMIFS(BD!$P$3:$P$5001,BD!$A$3:$A$5001,Q$3,BD!$B$3:$B$5001,$A$213)))</f>
        <v/>
      </c>
      <c r="R226" s="254" t="str">
        <f>IF(R$3="","",IF(COUNTIFS(BD!$A$3:$A$5001,R$3,BD!$B$3:$B$5001,$A$213,BD!$P$3:$P$5001,"&lt;&gt;")=0,"",SUMIFS(BD!$P$3:$P$5001,BD!$A$3:$A$5001,R$3,BD!$B$3:$B$5001,$A$213)))</f>
        <v/>
      </c>
      <c r="S226" s="254" t="str">
        <f>IF(S$3="","",IF(COUNTIFS(BD!$A$3:$A$5001,S$3,BD!$B$3:$B$5001,$A$213,BD!$P$3:$P$5001,"&lt;&gt;")=0,"",SUMIFS(BD!$P$3:$P$5001,BD!$A$3:$A$5001,S$3,BD!$B$3:$B$5001,$A$213)))</f>
        <v/>
      </c>
      <c r="T226" s="254" t="str">
        <f>IF(T$3="","",IF(COUNTIFS(BD!$A$3:$A$5001,T$3,BD!$B$3:$B$5001,$A$213,BD!$P$3:$P$5001,"&lt;&gt;")=0,"",SUMIFS(BD!$P$3:$P$5001,BD!$A$3:$A$5001,T$3,BD!$B$3:$B$5001,$A$213)))</f>
        <v/>
      </c>
      <c r="U226" s="254" t="str">
        <f>IF(U$3="","",IF(COUNTIFS(BD!$A$3:$A$5001,U$3,BD!$B$3:$B$5001,$A$213,BD!$P$3:$P$5001,"&lt;&gt;")=0,"",SUMIFS(BD!$P$3:$P$5001,BD!$A$3:$A$5001,U$3,BD!$B$3:$B$5001,$A$213)))</f>
        <v/>
      </c>
      <c r="V226" s="254" t="str">
        <f>IF(V$3="","",IF(COUNTIFS(BD!$A$3:$A$5001,V$3,BD!$B$3:$B$5001,$A$213,BD!$P$3:$P$5001,"&lt;&gt;")=0,"",SUMIFS(BD!$P$3:$P$5001,BD!$A$3:$A$5001,V$3,BD!$B$3:$B$5001,$A$213)))</f>
        <v/>
      </c>
      <c r="W226" s="254" t="str">
        <f>IF(W$3="","",IF(COUNTIFS(BD!$A$3:$A$5001,W$3,BD!$B$3:$B$5001,$A$213,BD!$P$3:$P$5001,"&lt;&gt;")=0,"",SUMIFS(BD!$P$3:$P$5001,BD!$A$3:$A$5001,W$3,BD!$B$3:$B$5001,$A$213)))</f>
        <v/>
      </c>
      <c r="X226" s="254" t="str">
        <f>IF(X$3="","",IF(COUNTIFS(BD!$A$3:$A$5001,X$3,BD!$B$3:$B$5001,$A$213,BD!$P$3:$P$5001,"&lt;&gt;")=0,"",SUMIFS(BD!$P$3:$P$5001,BD!$A$3:$A$5001,X$3,BD!$B$3:$B$5001,$A$213)))</f>
        <v/>
      </c>
      <c r="Y226" s="254" t="str">
        <f>IF(Y$3="","",IF(COUNTIFS(BD!$A$3:$A$5001,Y$3,BD!$B$3:$B$5001,$A$213,BD!$P$3:$P$5001,"&lt;&gt;")=0,"",SUMIFS(BD!$P$3:$P$5001,BD!$A$3:$A$5001,Y$3,BD!$B$3:$B$5001,$A$213)))</f>
        <v/>
      </c>
      <c r="Z226" s="254" t="str">
        <f>IF(Z$3="","",IF(COUNTIFS(BD!$A$3:$A$5001,Z$3,BD!$B$3:$B$5001,$A$213,BD!$P$3:$P$5001,"&lt;&gt;")=0,"",SUMIFS(BD!$P$3:$P$5001,BD!$A$3:$A$5001,Z$3,BD!$B$3:$B$5001,$A$213)))</f>
        <v/>
      </c>
      <c r="AA226" s="254" t="str">
        <f>IF(AA$3="","",IF(COUNTIFS(BD!$A$3:$A$5001,AA$3,BD!$B$3:$B$5001,$A$213,BD!$P$3:$P$5001,"&lt;&gt;")=0,"",SUMIFS(BD!$P$3:$P$5001,BD!$A$3:$A$5001,AA$3,BD!$B$3:$B$5001,$A$213)))</f>
        <v/>
      </c>
      <c r="AB226" s="254" t="str">
        <f>IF(AB$3="","",IF(COUNTIFS(BD!$A$3:$A$5001,AB$3,BD!$B$3:$B$5001,$A$213,BD!$P$3:$P$5001,"&lt;&gt;")=0,"",SUMIFS(BD!$P$3:$P$5001,BD!$A$3:$A$5001,AB$3,BD!$B$3:$B$5001,$A$213)))</f>
        <v/>
      </c>
      <c r="AC226" s="254" t="str">
        <f>IF(AC$3="","",IF(COUNTIFS(BD!$A$3:$A$5001,AC$3,BD!$B$3:$B$5001,$A$213,BD!$P$3:$P$5001,"&lt;&gt;")=0,"",SUMIFS(BD!$P$3:$P$5001,BD!$A$3:$A$5001,AC$3,BD!$B$3:$B$5001,$A$213)))</f>
        <v/>
      </c>
      <c r="AD226" s="254" t="str">
        <f>IF(AD$3="","",IF(COUNTIFS(BD!$A$3:$A$5001,AD$3,BD!$B$3:$B$5001,$A$213,BD!$P$3:$P$5001,"&lt;&gt;")=0,"",SUMIFS(BD!$P$3:$P$5001,BD!$A$3:$A$5001,AD$3,BD!$B$3:$B$5001,$A$213)))</f>
        <v/>
      </c>
      <c r="AE226" s="254" t="str">
        <f>IF(AE$3="","",IF(COUNTIFS(BD!$A$3:$A$5001,AE$3,BD!$B$3:$B$5001,$A$213,BD!$P$3:$P$5001,"&lt;&gt;")=0,"",SUMIFS(BD!$P$3:$P$5001,BD!$A$3:$A$5001,AE$3,BD!$B$3:$B$5001,$A$213)))</f>
        <v/>
      </c>
      <c r="AF226" s="254" t="str">
        <f>IF(AF$3="","",IF(COUNTIFS(BD!$A$3:$A$5001,AF$3,BD!$B$3:$B$5001,$A$213,BD!$P$3:$P$5001,"&lt;&gt;")=0,"",SUMIFS(BD!$P$3:$P$5001,BD!$A$3:$A$5001,AF$3,BD!$B$3:$B$5001,$A$213)))</f>
        <v/>
      </c>
      <c r="AG226" s="254" t="str">
        <f>IF(AG$3="","",IF(COUNTIFS(BD!$A$3:$A$5001,AG$3,BD!$B$3:$B$5001,$A$213,BD!$P$3:$P$5001,"&lt;&gt;")=0,"",SUMIFS(BD!$P$3:$P$5001,BD!$A$3:$A$5001,AG$3,BD!$B$3:$B$5001,$A$213)))</f>
        <v/>
      </c>
      <c r="AH226" s="254" t="str">
        <f>IF(AH$3="","",IF(COUNTIFS(BD!$A$3:$A$5001,AH$3,BD!$B$3:$B$5001,$A$213,BD!$P$3:$P$5001,"&lt;&gt;")=0,"",SUMIFS(BD!$P$3:$P$5001,BD!$A$3:$A$5001,AH$3,BD!$B$3:$B$5001,$A$213)))</f>
        <v/>
      </c>
      <c r="AI226" s="254" t="str">
        <f>IF(AI$3="","",IF(COUNTIFS(BD!$A$3:$A$5001,AI$3,BD!$B$3:$B$5001,$A$213,BD!$P$3:$P$5001,"&lt;&gt;")=0,"",SUMIFS(BD!$P$3:$P$5001,BD!$A$3:$A$5001,AI$3,BD!$B$3:$B$5001,$A$213)))</f>
        <v/>
      </c>
      <c r="AJ226" s="255" t="str">
        <f>IF(AJ$3="","",IF(COUNTIFS(BD!$A$3:$A$5001,AJ$3,BD!$B$3:$B$5001,$A$213,BD!$P$3:$P$5001,"&lt;&gt;")=0,"",SUMIFS(BD!$P$3:$P$5001,BD!$A$3:$A$5001,AJ$3,BD!$B$3:$B$5001,$A$213)))</f>
        <v/>
      </c>
      <c r="AK226" s="256" t="str">
        <f>IF(COUNT(F226:AJ226)=0,"",SUM(F226:AJ226))</f>
        <v/>
      </c>
    </row>
    <row r="227" ht="15.75" customHeight="1" hidden="1">
      <c r="A227" s="244"/>
      <c r="B227" s="261"/>
      <c r="C227" s="250" t="inlineStr">
        <is>
          <t xml:space="preserve">Caixas Expedidas</t>
        </is>
      </c>
      <c r="D227" s="251" t="str">
        <f>IFERROR(1/(1/INDEX(BD!$AJ$37:$BD$37,MATCH($A$213,BD!$AJ$22:$BD$22,0))),"")</f>
        <v/>
      </c>
      <c r="E227" s="252"/>
      <c r="F227" s="253" t="str">
        <f>IF(F$3="","",IF(COUNTIFS(BD!$A$3:$A$5001,F$3,BD!$B$3:$B$5001,$A$213,BD!$Q$3:$Q$5001,"&lt;&gt;")=0,"",SUMIFS(BD!$Q$3:$Q$5001,BD!$A$3:$A$5001,F$3,BD!$B$3:$B$5001,$A$213)))</f>
        <v/>
      </c>
      <c r="G227" s="254" t="str">
        <f>IF(G$3="","",IF(COUNTIFS(BD!$A$3:$A$5001,G$3,BD!$B$3:$B$5001,$A$213,BD!$Q$3:$Q$5001,"&lt;&gt;")=0,"",SUMIFS(BD!$Q$3:$Q$5001,BD!$A$3:$A$5001,G$3,BD!$B$3:$B$5001,$A$213)))</f>
        <v/>
      </c>
      <c r="H227" s="254" t="str">
        <f>IF(H$3="","",IF(COUNTIFS(BD!$A$3:$A$5001,H$3,BD!$B$3:$B$5001,$A$213,BD!$Q$3:$Q$5001,"&lt;&gt;")=0,"",SUMIFS(BD!$Q$3:$Q$5001,BD!$A$3:$A$5001,H$3,BD!$B$3:$B$5001,$A$213)))</f>
        <v/>
      </c>
      <c r="I227" s="254" t="str">
        <f>IF(I$3="","",IF(COUNTIFS(BD!$A$3:$A$5001,I$3,BD!$B$3:$B$5001,$A$213,BD!$Q$3:$Q$5001,"&lt;&gt;")=0,"",SUMIFS(BD!$Q$3:$Q$5001,BD!$A$3:$A$5001,I$3,BD!$B$3:$B$5001,$A$213)))</f>
        <v/>
      </c>
      <c r="J227" s="254" t="str">
        <f>IF(J$3="","",IF(COUNTIFS(BD!$A$3:$A$5001,J$3,BD!$B$3:$B$5001,$A$213,BD!$Q$3:$Q$5001,"&lt;&gt;")=0,"",SUMIFS(BD!$Q$3:$Q$5001,BD!$A$3:$A$5001,J$3,BD!$B$3:$B$5001,$A$213)))</f>
        <v/>
      </c>
      <c r="K227" s="254" t="str">
        <f>IF(K$3="","",IF(COUNTIFS(BD!$A$3:$A$5001,K$3,BD!$B$3:$B$5001,$A$213,BD!$Q$3:$Q$5001,"&lt;&gt;")=0,"",SUMIFS(BD!$Q$3:$Q$5001,BD!$A$3:$A$5001,K$3,BD!$B$3:$B$5001,$A$213)))</f>
        <v/>
      </c>
      <c r="L227" s="254" t="str">
        <f>IF(L$3="","",IF(COUNTIFS(BD!$A$3:$A$5001,L$3,BD!$B$3:$B$5001,$A$213,BD!$Q$3:$Q$5001,"&lt;&gt;")=0,"",SUMIFS(BD!$Q$3:$Q$5001,BD!$A$3:$A$5001,L$3,BD!$B$3:$B$5001,$A$213)))</f>
        <v/>
      </c>
      <c r="M227" s="254" t="str">
        <f>IF(M$3="","",IF(COUNTIFS(BD!$A$3:$A$5001,M$3,BD!$B$3:$B$5001,$A$213,BD!$Q$3:$Q$5001,"&lt;&gt;")=0,"",SUMIFS(BD!$Q$3:$Q$5001,BD!$A$3:$A$5001,M$3,BD!$B$3:$B$5001,$A$213)))</f>
        <v/>
      </c>
      <c r="N227" s="254" t="str">
        <f>IF(N$3="","",IF(COUNTIFS(BD!$A$3:$A$5001,N$3,BD!$B$3:$B$5001,$A$213,BD!$Q$3:$Q$5001,"&lt;&gt;")=0,"",SUMIFS(BD!$Q$3:$Q$5001,BD!$A$3:$A$5001,N$3,BD!$B$3:$B$5001,$A$213)))</f>
        <v/>
      </c>
      <c r="O227" s="254" t="str">
        <f>IF(O$3="","",IF(COUNTIFS(BD!$A$3:$A$5001,O$3,BD!$B$3:$B$5001,$A$213,BD!$Q$3:$Q$5001,"&lt;&gt;")=0,"",SUMIFS(BD!$Q$3:$Q$5001,BD!$A$3:$A$5001,O$3,BD!$B$3:$B$5001,$A$213)))</f>
        <v/>
      </c>
      <c r="P227" s="254" t="str">
        <f>IF(P$3="","",IF(COUNTIFS(BD!$A$3:$A$5001,P$3,BD!$B$3:$B$5001,$A$213,BD!$Q$3:$Q$5001,"&lt;&gt;")=0,"",SUMIFS(BD!$Q$3:$Q$5001,BD!$A$3:$A$5001,P$3,BD!$B$3:$B$5001,$A$213)))</f>
        <v/>
      </c>
      <c r="Q227" s="254" t="str">
        <f>IF(Q$3="","",IF(COUNTIFS(BD!$A$3:$A$5001,Q$3,BD!$B$3:$B$5001,$A$213,BD!$Q$3:$Q$5001,"&lt;&gt;")=0,"",SUMIFS(BD!$Q$3:$Q$5001,BD!$A$3:$A$5001,Q$3,BD!$B$3:$B$5001,$A$213)))</f>
        <v/>
      </c>
      <c r="R227" s="254" t="str">
        <f>IF(R$3="","",IF(COUNTIFS(BD!$A$3:$A$5001,R$3,BD!$B$3:$B$5001,$A$213,BD!$Q$3:$Q$5001,"&lt;&gt;")=0,"",SUMIFS(BD!$Q$3:$Q$5001,BD!$A$3:$A$5001,R$3,BD!$B$3:$B$5001,$A$213)))</f>
        <v/>
      </c>
      <c r="S227" s="254" t="str">
        <f>IF(S$3="","",IF(COUNTIFS(BD!$A$3:$A$5001,S$3,BD!$B$3:$B$5001,$A$213,BD!$Q$3:$Q$5001,"&lt;&gt;")=0,"",SUMIFS(BD!$Q$3:$Q$5001,BD!$A$3:$A$5001,S$3,BD!$B$3:$B$5001,$A$213)))</f>
        <v/>
      </c>
      <c r="T227" s="254" t="str">
        <f>IF(T$3="","",IF(COUNTIFS(BD!$A$3:$A$5001,T$3,BD!$B$3:$B$5001,$A$213,BD!$Q$3:$Q$5001,"&lt;&gt;")=0,"",SUMIFS(BD!$Q$3:$Q$5001,BD!$A$3:$A$5001,T$3,BD!$B$3:$B$5001,$A$213)))</f>
        <v/>
      </c>
      <c r="U227" s="254" t="str">
        <f>IF(U$3="","",IF(COUNTIFS(BD!$A$3:$A$5001,U$3,BD!$B$3:$B$5001,$A$213,BD!$Q$3:$Q$5001,"&lt;&gt;")=0,"",SUMIFS(BD!$Q$3:$Q$5001,BD!$A$3:$A$5001,U$3,BD!$B$3:$B$5001,$A$213)))</f>
        <v/>
      </c>
      <c r="V227" s="254" t="str">
        <f>IF(V$3="","",IF(COUNTIFS(BD!$A$3:$A$5001,V$3,BD!$B$3:$B$5001,$A$213,BD!$Q$3:$Q$5001,"&lt;&gt;")=0,"",SUMIFS(BD!$Q$3:$Q$5001,BD!$A$3:$A$5001,V$3,BD!$B$3:$B$5001,$A$213)))</f>
        <v/>
      </c>
      <c r="W227" s="254" t="str">
        <f>IF(W$3="","",IF(COUNTIFS(BD!$A$3:$A$5001,W$3,BD!$B$3:$B$5001,$A$213,BD!$Q$3:$Q$5001,"&lt;&gt;")=0,"",SUMIFS(BD!$Q$3:$Q$5001,BD!$A$3:$A$5001,W$3,BD!$B$3:$B$5001,$A$213)))</f>
        <v/>
      </c>
      <c r="X227" s="254" t="str">
        <f>IF(X$3="","",IF(COUNTIFS(BD!$A$3:$A$5001,X$3,BD!$B$3:$B$5001,$A$213,BD!$Q$3:$Q$5001,"&lt;&gt;")=0,"",SUMIFS(BD!$Q$3:$Q$5001,BD!$A$3:$A$5001,X$3,BD!$B$3:$B$5001,$A$213)))</f>
        <v/>
      </c>
      <c r="Y227" s="254" t="str">
        <f>IF(Y$3="","",IF(COUNTIFS(BD!$A$3:$A$5001,Y$3,BD!$B$3:$B$5001,$A$213,BD!$Q$3:$Q$5001,"&lt;&gt;")=0,"",SUMIFS(BD!$Q$3:$Q$5001,BD!$A$3:$A$5001,Y$3,BD!$B$3:$B$5001,$A$213)))</f>
        <v/>
      </c>
      <c r="Z227" s="254" t="str">
        <f>IF(Z$3="","",IF(COUNTIFS(BD!$A$3:$A$5001,Z$3,BD!$B$3:$B$5001,$A$213,BD!$Q$3:$Q$5001,"&lt;&gt;")=0,"",SUMIFS(BD!$Q$3:$Q$5001,BD!$A$3:$A$5001,Z$3,BD!$B$3:$B$5001,$A$213)))</f>
        <v/>
      </c>
      <c r="AA227" s="254" t="str">
        <f>IF(AA$3="","",IF(COUNTIFS(BD!$A$3:$A$5001,AA$3,BD!$B$3:$B$5001,$A$213,BD!$Q$3:$Q$5001,"&lt;&gt;")=0,"",SUMIFS(BD!$Q$3:$Q$5001,BD!$A$3:$A$5001,AA$3,BD!$B$3:$B$5001,$A$213)))</f>
        <v/>
      </c>
      <c r="AB227" s="254" t="str">
        <f>IF(AB$3="","",IF(COUNTIFS(BD!$A$3:$A$5001,AB$3,BD!$B$3:$B$5001,$A$213,BD!$Q$3:$Q$5001,"&lt;&gt;")=0,"",SUMIFS(BD!$Q$3:$Q$5001,BD!$A$3:$A$5001,AB$3,BD!$B$3:$B$5001,$A$213)))</f>
        <v/>
      </c>
      <c r="AC227" s="254" t="str">
        <f>IF(AC$3="","",IF(COUNTIFS(BD!$A$3:$A$5001,AC$3,BD!$B$3:$B$5001,$A$213,BD!$Q$3:$Q$5001,"&lt;&gt;")=0,"",SUMIFS(BD!$Q$3:$Q$5001,BD!$A$3:$A$5001,AC$3,BD!$B$3:$B$5001,$A$213)))</f>
        <v/>
      </c>
      <c r="AD227" s="254" t="str">
        <f>IF(AD$3="","",IF(COUNTIFS(BD!$A$3:$A$5001,AD$3,BD!$B$3:$B$5001,$A$213,BD!$Q$3:$Q$5001,"&lt;&gt;")=0,"",SUMIFS(BD!$Q$3:$Q$5001,BD!$A$3:$A$5001,AD$3,BD!$B$3:$B$5001,$A$213)))</f>
        <v/>
      </c>
      <c r="AE227" s="254" t="str">
        <f>IF(AE$3="","",IF(COUNTIFS(BD!$A$3:$A$5001,AE$3,BD!$B$3:$B$5001,$A$213,BD!$Q$3:$Q$5001,"&lt;&gt;")=0,"",SUMIFS(BD!$Q$3:$Q$5001,BD!$A$3:$A$5001,AE$3,BD!$B$3:$B$5001,$A$213)))</f>
        <v/>
      </c>
      <c r="AF227" s="254" t="str">
        <f>IF(AF$3="","",IF(COUNTIFS(BD!$A$3:$A$5001,AF$3,BD!$B$3:$B$5001,$A$213,BD!$Q$3:$Q$5001,"&lt;&gt;")=0,"",SUMIFS(BD!$Q$3:$Q$5001,BD!$A$3:$A$5001,AF$3,BD!$B$3:$B$5001,$A$213)))</f>
        <v/>
      </c>
      <c r="AG227" s="254" t="str">
        <f>IF(AG$3="","",IF(COUNTIFS(BD!$A$3:$A$5001,AG$3,BD!$B$3:$B$5001,$A$213,BD!$Q$3:$Q$5001,"&lt;&gt;")=0,"",SUMIFS(BD!$Q$3:$Q$5001,BD!$A$3:$A$5001,AG$3,BD!$B$3:$B$5001,$A$213)))</f>
        <v/>
      </c>
      <c r="AH227" s="254" t="str">
        <f>IF(AH$3="","",IF(COUNTIFS(BD!$A$3:$A$5001,AH$3,BD!$B$3:$B$5001,$A$213,BD!$Q$3:$Q$5001,"&lt;&gt;")=0,"",SUMIFS(BD!$Q$3:$Q$5001,BD!$A$3:$A$5001,AH$3,BD!$B$3:$B$5001,$A$213)))</f>
        <v/>
      </c>
      <c r="AI227" s="254" t="str">
        <f>IF(AI$3="","",IF(COUNTIFS(BD!$A$3:$A$5001,AI$3,BD!$B$3:$B$5001,$A$213,BD!$Q$3:$Q$5001,"&lt;&gt;")=0,"",SUMIFS(BD!$Q$3:$Q$5001,BD!$A$3:$A$5001,AI$3,BD!$B$3:$B$5001,$A$213)))</f>
        <v/>
      </c>
      <c r="AJ227" s="255" t="str">
        <f>IF(AJ$3="","",IF(COUNTIFS(BD!$A$3:$A$5001,AJ$3,BD!$B$3:$B$5001,$A$213,BD!$Q$3:$Q$5001,"&lt;&gt;")=0,"",SUMIFS(BD!$Q$3:$Q$5001,BD!$A$3:$A$5001,AJ$3,BD!$B$3:$B$5001,$A$213)))</f>
        <v/>
      </c>
      <c r="AK227" s="256" t="str">
        <f>IF(COUNT(F227:AJ227)=0,"",SUM(F227:AJ227))</f>
        <v/>
      </c>
    </row>
    <row r="228" ht="15.75" customHeight="1" hidden="1">
      <c r="A228" s="244"/>
      <c r="B228" s="261"/>
      <c r="C228" s="250" t="inlineStr">
        <is>
          <t xml:space="preserve">Pallets Movimentados</t>
        </is>
      </c>
      <c r="D228" s="251" t="str">
        <f>IFERROR(1/(1/INDEX(BD!$AJ$38:$BD$38,MATCH($A$213,BD!$AJ$22:$BD$22,0))),"")</f>
        <v/>
      </c>
      <c r="E228" s="252"/>
      <c r="F228" s="253" t="str">
        <f>IF(F$3="","",IF(COUNTIFS(BD!$A$3:$A$5001,F$3,BD!$B$3:$B$5001,$A$213,BD!$R$3:$R$5001,"&lt;&gt;")=0,"",SUMIFS(BD!$R$3:$R$5001,BD!$A$3:$A$5001,F$3,BD!$B$3:$B$5001,$A$213)))</f>
        <v/>
      </c>
      <c r="G228" s="254" t="str">
        <f>IF(G$3="","",IF(COUNTIFS(BD!$A$3:$A$5001,G$3,BD!$B$3:$B$5001,$A$213,BD!$R$3:$R$5001,"&lt;&gt;")=0,"",SUMIFS(BD!$R$3:$R$5001,BD!$A$3:$A$5001,G$3,BD!$B$3:$B$5001,$A$213)))</f>
        <v/>
      </c>
      <c r="H228" s="254" t="str">
        <f>IF(H$3="","",IF(COUNTIFS(BD!$A$3:$A$5001,H$3,BD!$B$3:$B$5001,$A$213,BD!$R$3:$R$5001,"&lt;&gt;")=0,"",SUMIFS(BD!$R$3:$R$5001,BD!$A$3:$A$5001,H$3,BD!$B$3:$B$5001,$A$213)))</f>
        <v/>
      </c>
      <c r="I228" s="254" t="str">
        <f>IF(I$3="","",IF(COUNTIFS(BD!$A$3:$A$5001,I$3,BD!$B$3:$B$5001,$A$213,BD!$R$3:$R$5001,"&lt;&gt;")=0,"",SUMIFS(BD!$R$3:$R$5001,BD!$A$3:$A$5001,I$3,BD!$B$3:$B$5001,$A$213)))</f>
        <v/>
      </c>
      <c r="J228" s="254" t="str">
        <f>IF(J$3="","",IF(COUNTIFS(BD!$A$3:$A$5001,J$3,BD!$B$3:$B$5001,$A$213,BD!$R$3:$R$5001,"&lt;&gt;")=0,"",SUMIFS(BD!$R$3:$R$5001,BD!$A$3:$A$5001,J$3,BD!$B$3:$B$5001,$A$213)))</f>
        <v/>
      </c>
      <c r="K228" s="254" t="str">
        <f>IF(K$3="","",IF(COUNTIFS(BD!$A$3:$A$5001,K$3,BD!$B$3:$B$5001,$A$213,BD!$R$3:$R$5001,"&lt;&gt;")=0,"",SUMIFS(BD!$R$3:$R$5001,BD!$A$3:$A$5001,K$3,BD!$B$3:$B$5001,$A$213)))</f>
        <v/>
      </c>
      <c r="L228" s="254" t="str">
        <f>IF(L$3="","",IF(COUNTIFS(BD!$A$3:$A$5001,L$3,BD!$B$3:$B$5001,$A$213,BD!$R$3:$R$5001,"&lt;&gt;")=0,"",SUMIFS(BD!$R$3:$R$5001,BD!$A$3:$A$5001,L$3,BD!$B$3:$B$5001,$A$213)))</f>
        <v/>
      </c>
      <c r="M228" s="254" t="str">
        <f>IF(M$3="","",IF(COUNTIFS(BD!$A$3:$A$5001,M$3,BD!$B$3:$B$5001,$A$213,BD!$R$3:$R$5001,"&lt;&gt;")=0,"",SUMIFS(BD!$R$3:$R$5001,BD!$A$3:$A$5001,M$3,BD!$B$3:$B$5001,$A$213)))</f>
        <v/>
      </c>
      <c r="N228" s="254" t="str">
        <f>IF(N$3="","",IF(COUNTIFS(BD!$A$3:$A$5001,N$3,BD!$B$3:$B$5001,$A$213,BD!$R$3:$R$5001,"&lt;&gt;")=0,"",SUMIFS(BD!$R$3:$R$5001,BD!$A$3:$A$5001,N$3,BD!$B$3:$B$5001,$A$213)))</f>
        <v/>
      </c>
      <c r="O228" s="254" t="str">
        <f>IF(O$3="","",IF(COUNTIFS(BD!$A$3:$A$5001,O$3,BD!$B$3:$B$5001,$A$213,BD!$R$3:$R$5001,"&lt;&gt;")=0,"",SUMIFS(BD!$R$3:$R$5001,BD!$A$3:$A$5001,O$3,BD!$B$3:$B$5001,$A$213)))</f>
        <v/>
      </c>
      <c r="P228" s="254" t="str">
        <f>IF(P$3="","",IF(COUNTIFS(BD!$A$3:$A$5001,P$3,BD!$B$3:$B$5001,$A$213,BD!$R$3:$R$5001,"&lt;&gt;")=0,"",SUMIFS(BD!$R$3:$R$5001,BD!$A$3:$A$5001,P$3,BD!$B$3:$B$5001,$A$213)))</f>
        <v/>
      </c>
      <c r="Q228" s="254" t="str">
        <f>IF(Q$3="","",IF(COUNTIFS(BD!$A$3:$A$5001,Q$3,BD!$B$3:$B$5001,$A$213,BD!$R$3:$R$5001,"&lt;&gt;")=0,"",SUMIFS(BD!$R$3:$R$5001,BD!$A$3:$A$5001,Q$3,BD!$B$3:$B$5001,$A$213)))</f>
        <v/>
      </c>
      <c r="R228" s="254" t="str">
        <f>IF(R$3="","",IF(COUNTIFS(BD!$A$3:$A$5001,R$3,BD!$B$3:$B$5001,$A$213,BD!$R$3:$R$5001,"&lt;&gt;")=0,"",SUMIFS(BD!$R$3:$R$5001,BD!$A$3:$A$5001,R$3,BD!$B$3:$B$5001,$A$213)))</f>
        <v/>
      </c>
      <c r="S228" s="254" t="str">
        <f>IF(S$3="","",IF(COUNTIFS(BD!$A$3:$A$5001,S$3,BD!$B$3:$B$5001,$A$213,BD!$R$3:$R$5001,"&lt;&gt;")=0,"",SUMIFS(BD!$R$3:$R$5001,BD!$A$3:$A$5001,S$3,BD!$B$3:$B$5001,$A$213)))</f>
        <v/>
      </c>
      <c r="T228" s="254" t="str">
        <f>IF(T$3="","",IF(COUNTIFS(BD!$A$3:$A$5001,T$3,BD!$B$3:$B$5001,$A$213,BD!$R$3:$R$5001,"&lt;&gt;")=0,"",SUMIFS(BD!$R$3:$R$5001,BD!$A$3:$A$5001,T$3,BD!$B$3:$B$5001,$A$213)))</f>
        <v/>
      </c>
      <c r="U228" s="254" t="str">
        <f>IF(U$3="","",IF(COUNTIFS(BD!$A$3:$A$5001,U$3,BD!$B$3:$B$5001,$A$213,BD!$R$3:$R$5001,"&lt;&gt;")=0,"",SUMIFS(BD!$R$3:$R$5001,BD!$A$3:$A$5001,U$3,BD!$B$3:$B$5001,$A$213)))</f>
        <v/>
      </c>
      <c r="V228" s="254" t="str">
        <f>IF(V$3="","",IF(COUNTIFS(BD!$A$3:$A$5001,V$3,BD!$B$3:$B$5001,$A$213,BD!$R$3:$R$5001,"&lt;&gt;")=0,"",SUMIFS(BD!$R$3:$R$5001,BD!$A$3:$A$5001,V$3,BD!$B$3:$B$5001,$A$213)))</f>
        <v/>
      </c>
      <c r="W228" s="254" t="str">
        <f>IF(W$3="","",IF(COUNTIFS(BD!$A$3:$A$5001,W$3,BD!$B$3:$B$5001,$A$213,BD!$R$3:$R$5001,"&lt;&gt;")=0,"",SUMIFS(BD!$R$3:$R$5001,BD!$A$3:$A$5001,W$3,BD!$B$3:$B$5001,$A$213)))</f>
        <v/>
      </c>
      <c r="X228" s="254" t="str">
        <f>IF(X$3="","",IF(COUNTIFS(BD!$A$3:$A$5001,X$3,BD!$B$3:$B$5001,$A$213,BD!$R$3:$R$5001,"&lt;&gt;")=0,"",SUMIFS(BD!$R$3:$R$5001,BD!$A$3:$A$5001,X$3,BD!$B$3:$B$5001,$A$213)))</f>
        <v/>
      </c>
      <c r="Y228" s="254" t="str">
        <f>IF(Y$3="","",IF(COUNTIFS(BD!$A$3:$A$5001,Y$3,BD!$B$3:$B$5001,$A$213,BD!$R$3:$R$5001,"&lt;&gt;")=0,"",SUMIFS(BD!$R$3:$R$5001,BD!$A$3:$A$5001,Y$3,BD!$B$3:$B$5001,$A$213)))</f>
        <v/>
      </c>
      <c r="Z228" s="254" t="str">
        <f>IF(Z$3="","",IF(COUNTIFS(BD!$A$3:$A$5001,Z$3,BD!$B$3:$B$5001,$A$213,BD!$R$3:$R$5001,"&lt;&gt;")=0,"",SUMIFS(BD!$R$3:$R$5001,BD!$A$3:$A$5001,Z$3,BD!$B$3:$B$5001,$A$213)))</f>
        <v/>
      </c>
      <c r="AA228" s="254" t="str">
        <f>IF(AA$3="","",IF(COUNTIFS(BD!$A$3:$A$5001,AA$3,BD!$B$3:$B$5001,$A$213,BD!$R$3:$R$5001,"&lt;&gt;")=0,"",SUMIFS(BD!$R$3:$R$5001,BD!$A$3:$A$5001,AA$3,BD!$B$3:$B$5001,$A$213)))</f>
        <v/>
      </c>
      <c r="AB228" s="254" t="str">
        <f>IF(AB$3="","",IF(COUNTIFS(BD!$A$3:$A$5001,AB$3,BD!$B$3:$B$5001,$A$213,BD!$R$3:$R$5001,"&lt;&gt;")=0,"",SUMIFS(BD!$R$3:$R$5001,BD!$A$3:$A$5001,AB$3,BD!$B$3:$B$5001,$A$213)))</f>
        <v/>
      </c>
      <c r="AC228" s="254" t="str">
        <f>IF(AC$3="","",IF(COUNTIFS(BD!$A$3:$A$5001,AC$3,BD!$B$3:$B$5001,$A$213,BD!$R$3:$R$5001,"&lt;&gt;")=0,"",SUMIFS(BD!$R$3:$R$5001,BD!$A$3:$A$5001,AC$3,BD!$B$3:$B$5001,$A$213)))</f>
        <v/>
      </c>
      <c r="AD228" s="254" t="str">
        <f>IF(AD$3="","",IF(COUNTIFS(BD!$A$3:$A$5001,AD$3,BD!$B$3:$B$5001,$A$213,BD!$R$3:$R$5001,"&lt;&gt;")=0,"",SUMIFS(BD!$R$3:$R$5001,BD!$A$3:$A$5001,AD$3,BD!$B$3:$B$5001,$A$213)))</f>
        <v/>
      </c>
      <c r="AE228" s="254" t="str">
        <f>IF(AE$3="","",IF(COUNTIFS(BD!$A$3:$A$5001,AE$3,BD!$B$3:$B$5001,$A$213,BD!$R$3:$R$5001,"&lt;&gt;")=0,"",SUMIFS(BD!$R$3:$R$5001,BD!$A$3:$A$5001,AE$3,BD!$B$3:$B$5001,$A$213)))</f>
        <v/>
      </c>
      <c r="AF228" s="254" t="str">
        <f>IF(AF$3="","",IF(COUNTIFS(BD!$A$3:$A$5001,AF$3,BD!$B$3:$B$5001,$A$213,BD!$R$3:$R$5001,"&lt;&gt;")=0,"",SUMIFS(BD!$R$3:$R$5001,BD!$A$3:$A$5001,AF$3,BD!$B$3:$B$5001,$A$213)))</f>
        <v/>
      </c>
      <c r="AG228" s="254" t="str">
        <f>IF(AG$3="","",IF(COUNTIFS(BD!$A$3:$A$5001,AG$3,BD!$B$3:$B$5001,$A$213,BD!$R$3:$R$5001,"&lt;&gt;")=0,"",SUMIFS(BD!$R$3:$R$5001,BD!$A$3:$A$5001,AG$3,BD!$B$3:$B$5001,$A$213)))</f>
        <v/>
      </c>
      <c r="AH228" s="254" t="str">
        <f>IF(AH$3="","",IF(COUNTIFS(BD!$A$3:$A$5001,AH$3,BD!$B$3:$B$5001,$A$213,BD!$R$3:$R$5001,"&lt;&gt;")=0,"",SUMIFS(BD!$R$3:$R$5001,BD!$A$3:$A$5001,AH$3,BD!$B$3:$B$5001,$A$213)))</f>
        <v/>
      </c>
      <c r="AI228" s="254" t="str">
        <f>IF(AI$3="","",IF(COUNTIFS(BD!$A$3:$A$5001,AI$3,BD!$B$3:$B$5001,$A$213,BD!$R$3:$R$5001,"&lt;&gt;")=0,"",SUMIFS(BD!$R$3:$R$5001,BD!$A$3:$A$5001,AI$3,BD!$B$3:$B$5001,$A$213)))</f>
        <v/>
      </c>
      <c r="AJ228" s="255" t="str">
        <f>IF(AJ$3="","",IF(COUNTIFS(BD!$A$3:$A$5001,AJ$3,BD!$B$3:$B$5001,$A$213,BD!$R$3:$R$5001,"&lt;&gt;")=0,"",SUMIFS(BD!$R$3:$R$5001,BD!$A$3:$A$5001,AJ$3,BD!$B$3:$B$5001,$A$213)))</f>
        <v/>
      </c>
      <c r="AK228" s="256" t="str">
        <f>IF(COUNT(F228:AJ228)=0,"",SUM(F228:AJ228))</f>
        <v/>
      </c>
    </row>
    <row r="229" ht="15.75" customHeight="1" hidden="1">
      <c r="A229" s="244"/>
      <c r="B229" s="235"/>
      <c r="C229" s="175" t="inlineStr">
        <is>
          <t xml:space="preserve">Toneladas Movimentadas</t>
        </is>
      </c>
      <c r="D229" s="176" t="str">
        <f>IFERROR(1/(1/INDEX(BD!$AJ$39:$BD$39,MATCH($A$213,BD!$AJ$22:$BD$22,0))),"")</f>
        <v/>
      </c>
      <c r="E229" s="177"/>
      <c r="F229" s="257" t="str">
        <f>IF(F$3="","",IF(COUNTIFS(BD!$A$3:$A$5001,F$3,BD!$B$3:$B$5001,$A$213,BD!$S$3:$S$5001,"&lt;&gt;")=0,"",SUMIFS(BD!$S$3:$S$5001,BD!$A$3:$A$5001,F$3,BD!$B$3:$B$5001,$A$213)))</f>
        <v/>
      </c>
      <c r="G229" s="258" t="str">
        <f>IF(G$3="","",IF(COUNTIFS(BD!$A$3:$A$5001,G$3,BD!$B$3:$B$5001,$A$213,BD!$S$3:$S$5001,"&lt;&gt;")=0,"",SUMIFS(BD!$S$3:$S$5001,BD!$A$3:$A$5001,G$3,BD!$B$3:$B$5001,$A$213)))</f>
        <v/>
      </c>
      <c r="H229" s="258" t="str">
        <f>IF(H$3="","",IF(COUNTIFS(BD!$A$3:$A$5001,H$3,BD!$B$3:$B$5001,$A$213,BD!$S$3:$S$5001,"&lt;&gt;")=0,"",SUMIFS(BD!$S$3:$S$5001,BD!$A$3:$A$5001,H$3,BD!$B$3:$B$5001,$A$213)))</f>
        <v/>
      </c>
      <c r="I229" s="258" t="str">
        <f>IF(I$3="","",IF(COUNTIFS(BD!$A$3:$A$5001,I$3,BD!$B$3:$B$5001,$A$213,BD!$S$3:$S$5001,"&lt;&gt;")=0,"",SUMIFS(BD!$S$3:$S$5001,BD!$A$3:$A$5001,I$3,BD!$B$3:$B$5001,$A$213)))</f>
        <v/>
      </c>
      <c r="J229" s="258" t="str">
        <f>IF(J$3="","",IF(COUNTIFS(BD!$A$3:$A$5001,J$3,BD!$B$3:$B$5001,$A$213,BD!$S$3:$S$5001,"&lt;&gt;")=0,"",SUMIFS(BD!$S$3:$S$5001,BD!$A$3:$A$5001,J$3,BD!$B$3:$B$5001,$A$213)))</f>
        <v/>
      </c>
      <c r="K229" s="258" t="str">
        <f>IF(K$3="","",IF(COUNTIFS(BD!$A$3:$A$5001,K$3,BD!$B$3:$B$5001,$A$213,BD!$S$3:$S$5001,"&lt;&gt;")=0,"",SUMIFS(BD!$S$3:$S$5001,BD!$A$3:$A$5001,K$3,BD!$B$3:$B$5001,$A$213)))</f>
        <v/>
      </c>
      <c r="L229" s="258" t="str">
        <f>IF(L$3="","",IF(COUNTIFS(BD!$A$3:$A$5001,L$3,BD!$B$3:$B$5001,$A$213,BD!$S$3:$S$5001,"&lt;&gt;")=0,"",SUMIFS(BD!$S$3:$S$5001,BD!$A$3:$A$5001,L$3,BD!$B$3:$B$5001,$A$213)))</f>
        <v/>
      </c>
      <c r="M229" s="258" t="str">
        <f>IF(M$3="","",IF(COUNTIFS(BD!$A$3:$A$5001,M$3,BD!$B$3:$B$5001,$A$213,BD!$S$3:$S$5001,"&lt;&gt;")=0,"",SUMIFS(BD!$S$3:$S$5001,BD!$A$3:$A$5001,M$3,BD!$B$3:$B$5001,$A$213)))</f>
        <v/>
      </c>
      <c r="N229" s="258" t="str">
        <f>IF(N$3="","",IF(COUNTIFS(BD!$A$3:$A$5001,N$3,BD!$B$3:$B$5001,$A$213,BD!$S$3:$S$5001,"&lt;&gt;")=0,"",SUMIFS(BD!$S$3:$S$5001,BD!$A$3:$A$5001,N$3,BD!$B$3:$B$5001,$A$213)))</f>
        <v/>
      </c>
      <c r="O229" s="258" t="str">
        <f>IF(O$3="","",IF(COUNTIFS(BD!$A$3:$A$5001,O$3,BD!$B$3:$B$5001,$A$213,BD!$S$3:$S$5001,"&lt;&gt;")=0,"",SUMIFS(BD!$S$3:$S$5001,BD!$A$3:$A$5001,O$3,BD!$B$3:$B$5001,$A$213)))</f>
        <v/>
      </c>
      <c r="P229" s="258" t="str">
        <f>IF(P$3="","",IF(COUNTIFS(BD!$A$3:$A$5001,P$3,BD!$B$3:$B$5001,$A$213,BD!$S$3:$S$5001,"&lt;&gt;")=0,"",SUMIFS(BD!$S$3:$S$5001,BD!$A$3:$A$5001,P$3,BD!$B$3:$B$5001,$A$213)))</f>
        <v/>
      </c>
      <c r="Q229" s="258" t="str">
        <f>IF(Q$3="","",IF(COUNTIFS(BD!$A$3:$A$5001,Q$3,BD!$B$3:$B$5001,$A$213,BD!$S$3:$S$5001,"&lt;&gt;")=0,"",SUMIFS(BD!$S$3:$S$5001,BD!$A$3:$A$5001,Q$3,BD!$B$3:$B$5001,$A$213)))</f>
        <v/>
      </c>
      <c r="R229" s="258" t="str">
        <f>IF(R$3="","",IF(COUNTIFS(BD!$A$3:$A$5001,R$3,BD!$B$3:$B$5001,$A$213,BD!$S$3:$S$5001,"&lt;&gt;")=0,"",SUMIFS(BD!$S$3:$S$5001,BD!$A$3:$A$5001,R$3,BD!$B$3:$B$5001,$A$213)))</f>
        <v/>
      </c>
      <c r="S229" s="258" t="str">
        <f>IF(S$3="","",IF(COUNTIFS(BD!$A$3:$A$5001,S$3,BD!$B$3:$B$5001,$A$213,BD!$S$3:$S$5001,"&lt;&gt;")=0,"",SUMIFS(BD!$S$3:$S$5001,BD!$A$3:$A$5001,S$3,BD!$B$3:$B$5001,$A$213)))</f>
        <v/>
      </c>
      <c r="T229" s="258" t="str">
        <f>IF(T$3="","",IF(COUNTIFS(BD!$A$3:$A$5001,T$3,BD!$B$3:$B$5001,$A$213,BD!$S$3:$S$5001,"&lt;&gt;")=0,"",SUMIFS(BD!$S$3:$S$5001,BD!$A$3:$A$5001,T$3,BD!$B$3:$B$5001,$A$213)))</f>
        <v/>
      </c>
      <c r="U229" s="258" t="str">
        <f>IF(U$3="","",IF(COUNTIFS(BD!$A$3:$A$5001,U$3,BD!$B$3:$B$5001,$A$213,BD!$S$3:$S$5001,"&lt;&gt;")=0,"",SUMIFS(BD!$S$3:$S$5001,BD!$A$3:$A$5001,U$3,BD!$B$3:$B$5001,$A$213)))</f>
        <v/>
      </c>
      <c r="V229" s="258" t="str">
        <f>IF(V$3="","",IF(COUNTIFS(BD!$A$3:$A$5001,V$3,BD!$B$3:$B$5001,$A$213,BD!$S$3:$S$5001,"&lt;&gt;")=0,"",SUMIFS(BD!$S$3:$S$5001,BD!$A$3:$A$5001,V$3,BD!$B$3:$B$5001,$A$213)))</f>
        <v/>
      </c>
      <c r="W229" s="258" t="str">
        <f>IF(W$3="","",IF(COUNTIFS(BD!$A$3:$A$5001,W$3,BD!$B$3:$B$5001,$A$213,BD!$S$3:$S$5001,"&lt;&gt;")=0,"",SUMIFS(BD!$S$3:$S$5001,BD!$A$3:$A$5001,W$3,BD!$B$3:$B$5001,$A$213)))</f>
        <v/>
      </c>
      <c r="X229" s="258" t="str">
        <f>IF(X$3="","",IF(COUNTIFS(BD!$A$3:$A$5001,X$3,BD!$B$3:$B$5001,$A$213,BD!$S$3:$S$5001,"&lt;&gt;")=0,"",SUMIFS(BD!$S$3:$S$5001,BD!$A$3:$A$5001,X$3,BD!$B$3:$B$5001,$A$213)))</f>
        <v/>
      </c>
      <c r="Y229" s="258" t="str">
        <f>IF(Y$3="","",IF(COUNTIFS(BD!$A$3:$A$5001,Y$3,BD!$B$3:$B$5001,$A$213,BD!$S$3:$S$5001,"&lt;&gt;")=0,"",SUMIFS(BD!$S$3:$S$5001,BD!$A$3:$A$5001,Y$3,BD!$B$3:$B$5001,$A$213)))</f>
        <v/>
      </c>
      <c r="Z229" s="258" t="str">
        <f>IF(Z$3="","",IF(COUNTIFS(BD!$A$3:$A$5001,Z$3,BD!$B$3:$B$5001,$A$213,BD!$S$3:$S$5001,"&lt;&gt;")=0,"",SUMIFS(BD!$S$3:$S$5001,BD!$A$3:$A$5001,Z$3,BD!$B$3:$B$5001,$A$213)))</f>
        <v/>
      </c>
      <c r="AA229" s="258" t="str">
        <f>IF(AA$3="","",IF(COUNTIFS(BD!$A$3:$A$5001,AA$3,BD!$B$3:$B$5001,$A$213,BD!$S$3:$S$5001,"&lt;&gt;")=0,"",SUMIFS(BD!$S$3:$S$5001,BD!$A$3:$A$5001,AA$3,BD!$B$3:$B$5001,$A$213)))</f>
        <v/>
      </c>
      <c r="AB229" s="258" t="str">
        <f>IF(AB$3="","",IF(COUNTIFS(BD!$A$3:$A$5001,AB$3,BD!$B$3:$B$5001,$A$213,BD!$S$3:$S$5001,"&lt;&gt;")=0,"",SUMIFS(BD!$S$3:$S$5001,BD!$A$3:$A$5001,AB$3,BD!$B$3:$B$5001,$A$213)))</f>
        <v/>
      </c>
      <c r="AC229" s="258" t="str">
        <f>IF(AC$3="","",IF(COUNTIFS(BD!$A$3:$A$5001,AC$3,BD!$B$3:$B$5001,$A$213,BD!$S$3:$S$5001,"&lt;&gt;")=0,"",SUMIFS(BD!$S$3:$S$5001,BD!$A$3:$A$5001,AC$3,BD!$B$3:$B$5001,$A$213)))</f>
        <v/>
      </c>
      <c r="AD229" s="258" t="str">
        <f>IF(AD$3="","",IF(COUNTIFS(BD!$A$3:$A$5001,AD$3,BD!$B$3:$B$5001,$A$213,BD!$S$3:$S$5001,"&lt;&gt;")=0,"",SUMIFS(BD!$S$3:$S$5001,BD!$A$3:$A$5001,AD$3,BD!$B$3:$B$5001,$A$213)))</f>
        <v/>
      </c>
      <c r="AE229" s="258" t="str">
        <f>IF(AE$3="","",IF(COUNTIFS(BD!$A$3:$A$5001,AE$3,BD!$B$3:$B$5001,$A$213,BD!$S$3:$S$5001,"&lt;&gt;")=0,"",SUMIFS(BD!$S$3:$S$5001,BD!$A$3:$A$5001,AE$3,BD!$B$3:$B$5001,$A$213)))</f>
        <v/>
      </c>
      <c r="AF229" s="258" t="str">
        <f>IF(AF$3="","",IF(COUNTIFS(BD!$A$3:$A$5001,AF$3,BD!$B$3:$B$5001,$A$213,BD!$S$3:$S$5001,"&lt;&gt;")=0,"",SUMIFS(BD!$S$3:$S$5001,BD!$A$3:$A$5001,AF$3,BD!$B$3:$B$5001,$A$213)))</f>
        <v/>
      </c>
      <c r="AG229" s="258" t="str">
        <f>IF(AG$3="","",IF(COUNTIFS(BD!$A$3:$A$5001,AG$3,BD!$B$3:$B$5001,$A$213,BD!$S$3:$S$5001,"&lt;&gt;")=0,"",SUMIFS(BD!$S$3:$S$5001,BD!$A$3:$A$5001,AG$3,BD!$B$3:$B$5001,$A$213)))</f>
        <v/>
      </c>
      <c r="AH229" s="258" t="str">
        <f>IF(AH$3="","",IF(COUNTIFS(BD!$A$3:$A$5001,AH$3,BD!$B$3:$B$5001,$A$213,BD!$S$3:$S$5001,"&lt;&gt;")=0,"",SUMIFS(BD!$S$3:$S$5001,BD!$A$3:$A$5001,AH$3,BD!$B$3:$B$5001,$A$213)))</f>
        <v/>
      </c>
      <c r="AI229" s="258" t="str">
        <f>IF(AI$3="","",IF(COUNTIFS(BD!$A$3:$A$5001,AI$3,BD!$B$3:$B$5001,$A$213,BD!$S$3:$S$5001,"&lt;&gt;")=0,"",SUMIFS(BD!$S$3:$S$5001,BD!$A$3:$A$5001,AI$3,BD!$B$3:$B$5001,$A$213)))</f>
        <v/>
      </c>
      <c r="AJ229" s="259" t="str">
        <f>IF(AJ$3="","",IF(COUNTIFS(BD!$A$3:$A$5001,AJ$3,BD!$B$3:$B$5001,$A$213,BD!$S$3:$S$5001,"&lt;&gt;")=0,"",SUMIFS(BD!$S$3:$S$5001,BD!$A$3:$A$5001,AJ$3,BD!$B$3:$B$5001,$A$213)))</f>
        <v/>
      </c>
      <c r="AK229" s="260" t="str">
        <f>IF(COUNT(F229:AJ229)=0,"",SUM(F229:AJ229))</f>
        <v/>
      </c>
    </row>
    <row r="230" ht="15.75" customHeight="1" hidden="1">
      <c r="A230" s="244"/>
      <c r="B230" s="236" t="inlineStr">
        <is>
          <t xml:space="preserve">NC</t>
        </is>
      </c>
      <c r="C230" s="181" t="inlineStr">
        <is>
          <t xml:space="preserve">Incidentes</t>
        </is>
      </c>
      <c r="D230" s="182" t="str">
        <f>IFERROR(1/(1/INDEX(BD!$AJ$40:$BD$40,MATCH($A$213,BD!$AJ$22:$BD$22,0))),"")</f>
        <v/>
      </c>
      <c r="E230" s="183"/>
      <c r="F230" s="184" t="str">
        <f>IF(F$3="","",IF(COUNTIFS(BD!$A$3:$A$5001,F$3,BD!$B$3:$B$5001,$A$213,BD!$T$3:$T$5001,"&lt;&gt;")=0,"",SUMIFS(BD!$T$3:$T$5001,BD!$A$3:$A$5001,F$3,BD!$B$3:$B$5001,$A$213)))</f>
        <v/>
      </c>
      <c r="G230" s="185" t="str">
        <f>IF(G$3="","",IF(COUNTIFS(BD!$A$3:$A$5001,G$3,BD!$B$3:$B$5001,$A$213,BD!$T$3:$T$5001,"&lt;&gt;")=0,"",SUMIFS(BD!$T$3:$T$5001,BD!$A$3:$A$5001,G$3,BD!$B$3:$B$5001,$A$213)))</f>
        <v/>
      </c>
      <c r="H230" s="185" t="str">
        <f>IF(H$3="","",IF(COUNTIFS(BD!$A$3:$A$5001,H$3,BD!$B$3:$B$5001,$A$213,BD!$T$3:$T$5001,"&lt;&gt;")=0,"",SUMIFS(BD!$T$3:$T$5001,BD!$A$3:$A$5001,H$3,BD!$B$3:$B$5001,$A$213)))</f>
        <v/>
      </c>
      <c r="I230" s="185" t="str">
        <f>IF(I$3="","",IF(COUNTIFS(BD!$A$3:$A$5001,I$3,BD!$B$3:$B$5001,$A$213,BD!$T$3:$T$5001,"&lt;&gt;")=0,"",SUMIFS(BD!$T$3:$T$5001,BD!$A$3:$A$5001,I$3,BD!$B$3:$B$5001,$A$213)))</f>
        <v/>
      </c>
      <c r="J230" s="185" t="str">
        <f>IF(J$3="","",IF(COUNTIFS(BD!$A$3:$A$5001,J$3,BD!$B$3:$B$5001,$A$213,BD!$T$3:$T$5001,"&lt;&gt;")=0,"",SUMIFS(BD!$T$3:$T$5001,BD!$A$3:$A$5001,J$3,BD!$B$3:$B$5001,$A$213)))</f>
        <v/>
      </c>
      <c r="K230" s="185" t="str">
        <f>IF(K$3="","",IF(COUNTIFS(BD!$A$3:$A$5001,K$3,BD!$B$3:$B$5001,$A$213,BD!$T$3:$T$5001,"&lt;&gt;")=0,"",SUMIFS(BD!$T$3:$T$5001,BD!$A$3:$A$5001,K$3,BD!$B$3:$B$5001,$A$213)))</f>
        <v/>
      </c>
      <c r="L230" s="185" t="str">
        <f>IF(L$3="","",IF(COUNTIFS(BD!$A$3:$A$5001,L$3,BD!$B$3:$B$5001,$A$213,BD!$T$3:$T$5001,"&lt;&gt;")=0,"",SUMIFS(BD!$T$3:$T$5001,BD!$A$3:$A$5001,L$3,BD!$B$3:$B$5001,$A$213)))</f>
        <v/>
      </c>
      <c r="M230" s="185" t="str">
        <f>IF(M$3="","",IF(COUNTIFS(BD!$A$3:$A$5001,M$3,BD!$B$3:$B$5001,$A$213,BD!$T$3:$T$5001,"&lt;&gt;")=0,"",SUMIFS(BD!$T$3:$T$5001,BD!$A$3:$A$5001,M$3,BD!$B$3:$B$5001,$A$213)))</f>
        <v/>
      </c>
      <c r="N230" s="185" t="str">
        <f>IF(N$3="","",IF(COUNTIFS(BD!$A$3:$A$5001,N$3,BD!$B$3:$B$5001,$A$213,BD!$T$3:$T$5001,"&lt;&gt;")=0,"",SUMIFS(BD!$T$3:$T$5001,BD!$A$3:$A$5001,N$3,BD!$B$3:$B$5001,$A$213)))</f>
        <v/>
      </c>
      <c r="O230" s="185" t="str">
        <f>IF(O$3="","",IF(COUNTIFS(BD!$A$3:$A$5001,O$3,BD!$B$3:$B$5001,$A$213,BD!$T$3:$T$5001,"&lt;&gt;")=0,"",SUMIFS(BD!$T$3:$T$5001,BD!$A$3:$A$5001,O$3,BD!$B$3:$B$5001,$A$213)))</f>
        <v/>
      </c>
      <c r="P230" s="185" t="str">
        <f>IF(P$3="","",IF(COUNTIFS(BD!$A$3:$A$5001,P$3,BD!$B$3:$B$5001,$A$213,BD!$T$3:$T$5001,"&lt;&gt;")=0,"",SUMIFS(BD!$T$3:$T$5001,BD!$A$3:$A$5001,P$3,BD!$B$3:$B$5001,$A$213)))</f>
        <v/>
      </c>
      <c r="Q230" s="185" t="str">
        <f>IF(Q$3="","",IF(COUNTIFS(BD!$A$3:$A$5001,Q$3,BD!$B$3:$B$5001,$A$213,BD!$T$3:$T$5001,"&lt;&gt;")=0,"",SUMIFS(BD!$T$3:$T$5001,BD!$A$3:$A$5001,Q$3,BD!$B$3:$B$5001,$A$213)))</f>
        <v/>
      </c>
      <c r="R230" s="185" t="str">
        <f>IF(R$3="","",IF(COUNTIFS(BD!$A$3:$A$5001,R$3,BD!$B$3:$B$5001,$A$213,BD!$T$3:$T$5001,"&lt;&gt;")=0,"",SUMIFS(BD!$T$3:$T$5001,BD!$A$3:$A$5001,R$3,BD!$B$3:$B$5001,$A$213)))</f>
        <v/>
      </c>
      <c r="S230" s="185" t="str">
        <f>IF(S$3="","",IF(COUNTIFS(BD!$A$3:$A$5001,S$3,BD!$B$3:$B$5001,$A$213,BD!$T$3:$T$5001,"&lt;&gt;")=0,"",SUMIFS(BD!$T$3:$T$5001,BD!$A$3:$A$5001,S$3,BD!$B$3:$B$5001,$A$213)))</f>
        <v/>
      </c>
      <c r="T230" s="185" t="str">
        <f>IF(T$3="","",IF(COUNTIFS(BD!$A$3:$A$5001,T$3,BD!$B$3:$B$5001,$A$213,BD!$T$3:$T$5001,"&lt;&gt;")=0,"",SUMIFS(BD!$T$3:$T$5001,BD!$A$3:$A$5001,T$3,BD!$B$3:$B$5001,$A$213)))</f>
        <v/>
      </c>
      <c r="U230" s="185" t="str">
        <f>IF(U$3="","",IF(COUNTIFS(BD!$A$3:$A$5001,U$3,BD!$B$3:$B$5001,$A$213,BD!$T$3:$T$5001,"&lt;&gt;")=0,"",SUMIFS(BD!$T$3:$T$5001,BD!$A$3:$A$5001,U$3,BD!$B$3:$B$5001,$A$213)))</f>
        <v/>
      </c>
      <c r="V230" s="185" t="str">
        <f>IF(V$3="","",IF(COUNTIFS(BD!$A$3:$A$5001,V$3,BD!$B$3:$B$5001,$A$213,BD!$T$3:$T$5001,"&lt;&gt;")=0,"",SUMIFS(BD!$T$3:$T$5001,BD!$A$3:$A$5001,V$3,BD!$B$3:$B$5001,$A$213)))</f>
        <v/>
      </c>
      <c r="W230" s="185" t="str">
        <f>IF(W$3="","",IF(COUNTIFS(BD!$A$3:$A$5001,W$3,BD!$B$3:$B$5001,$A$213,BD!$T$3:$T$5001,"&lt;&gt;")=0,"",SUMIFS(BD!$T$3:$T$5001,BD!$A$3:$A$5001,W$3,BD!$B$3:$B$5001,$A$213)))</f>
        <v/>
      </c>
      <c r="X230" s="185" t="str">
        <f>IF(X$3="","",IF(COUNTIFS(BD!$A$3:$A$5001,X$3,BD!$B$3:$B$5001,$A$213,BD!$T$3:$T$5001,"&lt;&gt;")=0,"",SUMIFS(BD!$T$3:$T$5001,BD!$A$3:$A$5001,X$3,BD!$B$3:$B$5001,$A$213)))</f>
        <v/>
      </c>
      <c r="Y230" s="185" t="str">
        <f>IF(Y$3="","",IF(COUNTIFS(BD!$A$3:$A$5001,Y$3,BD!$B$3:$B$5001,$A$213,BD!$T$3:$T$5001,"&lt;&gt;")=0,"",SUMIFS(BD!$T$3:$T$5001,BD!$A$3:$A$5001,Y$3,BD!$B$3:$B$5001,$A$213)))</f>
        <v/>
      </c>
      <c r="Z230" s="185" t="str">
        <f>IF(Z$3="","",IF(COUNTIFS(BD!$A$3:$A$5001,Z$3,BD!$B$3:$B$5001,$A$213,BD!$T$3:$T$5001,"&lt;&gt;")=0,"",SUMIFS(BD!$T$3:$T$5001,BD!$A$3:$A$5001,Z$3,BD!$B$3:$B$5001,$A$213)))</f>
        <v/>
      </c>
      <c r="AA230" s="185" t="str">
        <f>IF(AA$3="","",IF(COUNTIFS(BD!$A$3:$A$5001,AA$3,BD!$B$3:$B$5001,$A$213,BD!$T$3:$T$5001,"&lt;&gt;")=0,"",SUMIFS(BD!$T$3:$T$5001,BD!$A$3:$A$5001,AA$3,BD!$B$3:$B$5001,$A$213)))</f>
        <v/>
      </c>
      <c r="AB230" s="185" t="str">
        <f>IF(AB$3="","",IF(COUNTIFS(BD!$A$3:$A$5001,AB$3,BD!$B$3:$B$5001,$A$213,BD!$T$3:$T$5001,"&lt;&gt;")=0,"",SUMIFS(BD!$T$3:$T$5001,BD!$A$3:$A$5001,AB$3,BD!$B$3:$B$5001,$A$213)))</f>
        <v/>
      </c>
      <c r="AC230" s="185" t="str">
        <f>IF(AC$3="","",IF(COUNTIFS(BD!$A$3:$A$5001,AC$3,BD!$B$3:$B$5001,$A$213,BD!$T$3:$T$5001,"&lt;&gt;")=0,"",SUMIFS(BD!$T$3:$T$5001,BD!$A$3:$A$5001,AC$3,BD!$B$3:$B$5001,$A$213)))</f>
        <v/>
      </c>
      <c r="AD230" s="185" t="str">
        <f>IF(AD$3="","",IF(COUNTIFS(BD!$A$3:$A$5001,AD$3,BD!$B$3:$B$5001,$A$213,BD!$T$3:$T$5001,"&lt;&gt;")=0,"",SUMIFS(BD!$T$3:$T$5001,BD!$A$3:$A$5001,AD$3,BD!$B$3:$B$5001,$A$213)))</f>
        <v/>
      </c>
      <c r="AE230" s="185" t="str">
        <f>IF(AE$3="","",IF(COUNTIFS(BD!$A$3:$A$5001,AE$3,BD!$B$3:$B$5001,$A$213,BD!$T$3:$T$5001,"&lt;&gt;")=0,"",SUMIFS(BD!$T$3:$T$5001,BD!$A$3:$A$5001,AE$3,BD!$B$3:$B$5001,$A$213)))</f>
        <v/>
      </c>
      <c r="AF230" s="185" t="str">
        <f>IF(AF$3="","",IF(COUNTIFS(BD!$A$3:$A$5001,AF$3,BD!$B$3:$B$5001,$A$213,BD!$T$3:$T$5001,"&lt;&gt;")=0,"",SUMIFS(BD!$T$3:$T$5001,BD!$A$3:$A$5001,AF$3,BD!$B$3:$B$5001,$A$213)))</f>
        <v/>
      </c>
      <c r="AG230" s="185" t="str">
        <f>IF(AG$3="","",IF(COUNTIFS(BD!$A$3:$A$5001,AG$3,BD!$B$3:$B$5001,$A$213,BD!$T$3:$T$5001,"&lt;&gt;")=0,"",SUMIFS(BD!$T$3:$T$5001,BD!$A$3:$A$5001,AG$3,BD!$B$3:$B$5001,$A$213)))</f>
        <v/>
      </c>
      <c r="AH230" s="185" t="str">
        <f>IF(AH$3="","",IF(COUNTIFS(BD!$A$3:$A$5001,AH$3,BD!$B$3:$B$5001,$A$213,BD!$T$3:$T$5001,"&lt;&gt;")=0,"",SUMIFS(BD!$T$3:$T$5001,BD!$A$3:$A$5001,AH$3,BD!$B$3:$B$5001,$A$213)))</f>
        <v/>
      </c>
      <c r="AI230" s="185" t="str">
        <f>IF(AI$3="","",IF(COUNTIFS(BD!$A$3:$A$5001,AI$3,BD!$B$3:$B$5001,$A$213,BD!$T$3:$T$5001,"&lt;&gt;")=0,"",SUMIFS(BD!$T$3:$T$5001,BD!$A$3:$A$5001,AI$3,BD!$B$3:$B$5001,$A$213)))</f>
        <v/>
      </c>
      <c r="AJ230" s="186" t="str">
        <f>IF(AJ$3="","",IF(COUNTIFS(BD!$A$3:$A$5001,AJ$3,BD!$B$3:$B$5001,$A$213,BD!$T$3:$T$5001,"&lt;&gt;")=0,"",SUMIFS(BD!$T$3:$T$5001,BD!$A$3:$A$5001,AJ$3,BD!$B$3:$B$5001,$A$213)))</f>
        <v/>
      </c>
      <c r="AK230" s="187" t="str">
        <f>IF(COUNT(F230:AJ230)=0,"",SUM(F230:AJ230))</f>
        <v/>
      </c>
    </row>
    <row r="231" ht="15.75" customHeight="1" hidden="1">
      <c r="A231" s="244"/>
      <c r="B231" s="237"/>
      <c r="C231" s="188" t="inlineStr">
        <is>
          <t xml:space="preserve">No show</t>
        </is>
      </c>
      <c r="D231" s="189" t="str">
        <f>IFERROR(1/(1/INDEX(BD!$AJ$41:$BD$41,MATCH($A$213,BD!$AJ$22:$BD$22,0))),"")</f>
        <v/>
      </c>
      <c r="E231" s="190"/>
      <c r="F231" s="191" t="str">
        <f>IF(F$3="","",IF(COUNTIFS(BD!$A$3:$A$5001,F$3,BD!$B$3:$B$5001,$A$213,BD!$U$3:$U$5001,"&lt;&gt;")=0,"",SUMIFS(BD!$U$3:$U$5001,BD!$A$3:$A$5001,F$3,BD!$B$3:$B$5001,$A$213)))</f>
        <v/>
      </c>
      <c r="G231" s="192" t="str">
        <f>IF(G$3="","",IF(COUNTIFS(BD!$A$3:$A$5001,G$3,BD!$B$3:$B$5001,$A$213,BD!$U$3:$U$5001,"&lt;&gt;")=0,"",SUMIFS(BD!$U$3:$U$5001,BD!$A$3:$A$5001,G$3,BD!$B$3:$B$5001,$A$213)))</f>
        <v/>
      </c>
      <c r="H231" s="192" t="str">
        <f>IF(H$3="","",IF(COUNTIFS(BD!$A$3:$A$5001,H$3,BD!$B$3:$B$5001,$A$213,BD!$U$3:$U$5001,"&lt;&gt;")=0,"",SUMIFS(BD!$U$3:$U$5001,BD!$A$3:$A$5001,H$3,BD!$B$3:$B$5001,$A$213)))</f>
        <v/>
      </c>
      <c r="I231" s="192" t="str">
        <f>IF(I$3="","",IF(COUNTIFS(BD!$A$3:$A$5001,I$3,BD!$B$3:$B$5001,$A$213,BD!$U$3:$U$5001,"&lt;&gt;")=0,"",SUMIFS(BD!$U$3:$U$5001,BD!$A$3:$A$5001,I$3,BD!$B$3:$B$5001,$A$213)))</f>
        <v/>
      </c>
      <c r="J231" s="192" t="str">
        <f>IF(J$3="","",IF(COUNTIFS(BD!$A$3:$A$5001,J$3,BD!$B$3:$B$5001,$A$213,BD!$U$3:$U$5001,"&lt;&gt;")=0,"",SUMIFS(BD!$U$3:$U$5001,BD!$A$3:$A$5001,J$3,BD!$B$3:$B$5001,$A$213)))</f>
        <v/>
      </c>
      <c r="K231" s="192" t="str">
        <f>IF(K$3="","",IF(COUNTIFS(BD!$A$3:$A$5001,K$3,BD!$B$3:$B$5001,$A$213,BD!$U$3:$U$5001,"&lt;&gt;")=0,"",SUMIFS(BD!$U$3:$U$5001,BD!$A$3:$A$5001,K$3,BD!$B$3:$B$5001,$A$213)))</f>
        <v/>
      </c>
      <c r="L231" s="192" t="str">
        <f>IF(L$3="","",IF(COUNTIFS(BD!$A$3:$A$5001,L$3,BD!$B$3:$B$5001,$A$213,BD!$U$3:$U$5001,"&lt;&gt;")=0,"",SUMIFS(BD!$U$3:$U$5001,BD!$A$3:$A$5001,L$3,BD!$B$3:$B$5001,$A$213)))</f>
        <v/>
      </c>
      <c r="M231" s="192" t="str">
        <f>IF(M$3="","",IF(COUNTIFS(BD!$A$3:$A$5001,M$3,BD!$B$3:$B$5001,$A$213,BD!$U$3:$U$5001,"&lt;&gt;")=0,"",SUMIFS(BD!$U$3:$U$5001,BD!$A$3:$A$5001,M$3,BD!$B$3:$B$5001,$A$213)))</f>
        <v/>
      </c>
      <c r="N231" s="192" t="str">
        <f>IF(N$3="","",IF(COUNTIFS(BD!$A$3:$A$5001,N$3,BD!$B$3:$B$5001,$A$213,BD!$U$3:$U$5001,"&lt;&gt;")=0,"",SUMIFS(BD!$U$3:$U$5001,BD!$A$3:$A$5001,N$3,BD!$B$3:$B$5001,$A$213)))</f>
        <v/>
      </c>
      <c r="O231" s="192" t="str">
        <f>IF(O$3="","",IF(COUNTIFS(BD!$A$3:$A$5001,O$3,BD!$B$3:$B$5001,$A$213,BD!$U$3:$U$5001,"&lt;&gt;")=0,"",SUMIFS(BD!$U$3:$U$5001,BD!$A$3:$A$5001,O$3,BD!$B$3:$B$5001,$A$213)))</f>
        <v/>
      </c>
      <c r="P231" s="192" t="str">
        <f>IF(P$3="","",IF(COUNTIFS(BD!$A$3:$A$5001,P$3,BD!$B$3:$B$5001,$A$213,BD!$U$3:$U$5001,"&lt;&gt;")=0,"",SUMIFS(BD!$U$3:$U$5001,BD!$A$3:$A$5001,P$3,BD!$B$3:$B$5001,$A$213)))</f>
        <v/>
      </c>
      <c r="Q231" s="192" t="str">
        <f>IF(Q$3="","",IF(COUNTIFS(BD!$A$3:$A$5001,Q$3,BD!$B$3:$B$5001,$A$213,BD!$U$3:$U$5001,"&lt;&gt;")=0,"",SUMIFS(BD!$U$3:$U$5001,BD!$A$3:$A$5001,Q$3,BD!$B$3:$B$5001,$A$213)))</f>
        <v/>
      </c>
      <c r="R231" s="192" t="str">
        <f>IF(R$3="","",IF(COUNTIFS(BD!$A$3:$A$5001,R$3,BD!$B$3:$B$5001,$A$213,BD!$U$3:$U$5001,"&lt;&gt;")=0,"",SUMIFS(BD!$U$3:$U$5001,BD!$A$3:$A$5001,R$3,BD!$B$3:$B$5001,$A$213)))</f>
        <v/>
      </c>
      <c r="S231" s="192" t="str">
        <f>IF(S$3="","",IF(COUNTIFS(BD!$A$3:$A$5001,S$3,BD!$B$3:$B$5001,$A$213,BD!$U$3:$U$5001,"&lt;&gt;")=0,"",SUMIFS(BD!$U$3:$U$5001,BD!$A$3:$A$5001,S$3,BD!$B$3:$B$5001,$A$213)))</f>
        <v/>
      </c>
      <c r="T231" s="192" t="str">
        <f>IF(T$3="","",IF(COUNTIFS(BD!$A$3:$A$5001,T$3,BD!$B$3:$B$5001,$A$213,BD!$U$3:$U$5001,"&lt;&gt;")=0,"",SUMIFS(BD!$U$3:$U$5001,BD!$A$3:$A$5001,T$3,BD!$B$3:$B$5001,$A$213)))</f>
        <v/>
      </c>
      <c r="U231" s="192" t="str">
        <f>IF(U$3="","",IF(COUNTIFS(BD!$A$3:$A$5001,U$3,BD!$B$3:$B$5001,$A$213,BD!$U$3:$U$5001,"&lt;&gt;")=0,"",SUMIFS(BD!$U$3:$U$5001,BD!$A$3:$A$5001,U$3,BD!$B$3:$B$5001,$A$213)))</f>
        <v/>
      </c>
      <c r="V231" s="192" t="str">
        <f>IF(V$3="","",IF(COUNTIFS(BD!$A$3:$A$5001,V$3,BD!$B$3:$B$5001,$A$213,BD!$U$3:$U$5001,"&lt;&gt;")=0,"",SUMIFS(BD!$U$3:$U$5001,BD!$A$3:$A$5001,V$3,BD!$B$3:$B$5001,$A$213)))</f>
        <v/>
      </c>
      <c r="W231" s="192" t="str">
        <f>IF(W$3="","",IF(COUNTIFS(BD!$A$3:$A$5001,W$3,BD!$B$3:$B$5001,$A$213,BD!$U$3:$U$5001,"&lt;&gt;")=0,"",SUMIFS(BD!$U$3:$U$5001,BD!$A$3:$A$5001,W$3,BD!$B$3:$B$5001,$A$213)))</f>
        <v/>
      </c>
      <c r="X231" s="192" t="str">
        <f>IF(X$3="","",IF(COUNTIFS(BD!$A$3:$A$5001,X$3,BD!$B$3:$B$5001,$A$213,BD!$U$3:$U$5001,"&lt;&gt;")=0,"",SUMIFS(BD!$U$3:$U$5001,BD!$A$3:$A$5001,X$3,BD!$B$3:$B$5001,$A$213)))</f>
        <v/>
      </c>
      <c r="Y231" s="192" t="str">
        <f>IF(Y$3="","",IF(COUNTIFS(BD!$A$3:$A$5001,Y$3,BD!$B$3:$B$5001,$A$213,BD!$U$3:$U$5001,"&lt;&gt;")=0,"",SUMIFS(BD!$U$3:$U$5001,BD!$A$3:$A$5001,Y$3,BD!$B$3:$B$5001,$A$213)))</f>
        <v/>
      </c>
      <c r="Z231" s="192" t="str">
        <f>IF(Z$3="","",IF(COUNTIFS(BD!$A$3:$A$5001,Z$3,BD!$B$3:$B$5001,$A$213,BD!$U$3:$U$5001,"&lt;&gt;")=0,"",SUMIFS(BD!$U$3:$U$5001,BD!$A$3:$A$5001,Z$3,BD!$B$3:$B$5001,$A$213)))</f>
        <v/>
      </c>
      <c r="AA231" s="192" t="str">
        <f>IF(AA$3="","",IF(COUNTIFS(BD!$A$3:$A$5001,AA$3,BD!$B$3:$B$5001,$A$213,BD!$U$3:$U$5001,"&lt;&gt;")=0,"",SUMIFS(BD!$U$3:$U$5001,BD!$A$3:$A$5001,AA$3,BD!$B$3:$B$5001,$A$213)))</f>
        <v/>
      </c>
      <c r="AB231" s="192" t="str">
        <f>IF(AB$3="","",IF(COUNTIFS(BD!$A$3:$A$5001,AB$3,BD!$B$3:$B$5001,$A$213,BD!$U$3:$U$5001,"&lt;&gt;")=0,"",SUMIFS(BD!$U$3:$U$5001,BD!$A$3:$A$5001,AB$3,BD!$B$3:$B$5001,$A$213)))</f>
        <v/>
      </c>
      <c r="AC231" s="192" t="str">
        <f>IF(AC$3="","",IF(COUNTIFS(BD!$A$3:$A$5001,AC$3,BD!$B$3:$B$5001,$A$213,BD!$U$3:$U$5001,"&lt;&gt;")=0,"",SUMIFS(BD!$U$3:$U$5001,BD!$A$3:$A$5001,AC$3,BD!$B$3:$B$5001,$A$213)))</f>
        <v/>
      </c>
      <c r="AD231" s="192" t="str">
        <f>IF(AD$3="","",IF(COUNTIFS(BD!$A$3:$A$5001,AD$3,BD!$B$3:$B$5001,$A$213,BD!$U$3:$U$5001,"&lt;&gt;")=0,"",SUMIFS(BD!$U$3:$U$5001,BD!$A$3:$A$5001,AD$3,BD!$B$3:$B$5001,$A$213)))</f>
        <v/>
      </c>
      <c r="AE231" s="192" t="str">
        <f>IF(AE$3="","",IF(COUNTIFS(BD!$A$3:$A$5001,AE$3,BD!$B$3:$B$5001,$A$213,BD!$U$3:$U$5001,"&lt;&gt;")=0,"",SUMIFS(BD!$U$3:$U$5001,BD!$A$3:$A$5001,AE$3,BD!$B$3:$B$5001,$A$213)))</f>
        <v/>
      </c>
      <c r="AF231" s="192" t="str">
        <f>IF(AF$3="","",IF(COUNTIFS(BD!$A$3:$A$5001,AF$3,BD!$B$3:$B$5001,$A$213,BD!$U$3:$U$5001,"&lt;&gt;")=0,"",SUMIFS(BD!$U$3:$U$5001,BD!$A$3:$A$5001,AF$3,BD!$B$3:$B$5001,$A$213)))</f>
        <v/>
      </c>
      <c r="AG231" s="192" t="str">
        <f>IF(AG$3="","",IF(COUNTIFS(BD!$A$3:$A$5001,AG$3,BD!$B$3:$B$5001,$A$213,BD!$U$3:$U$5001,"&lt;&gt;")=0,"",SUMIFS(BD!$U$3:$U$5001,BD!$A$3:$A$5001,AG$3,BD!$B$3:$B$5001,$A$213)))</f>
        <v/>
      </c>
      <c r="AH231" s="192" t="str">
        <f>IF(AH$3="","",IF(COUNTIFS(BD!$A$3:$A$5001,AH$3,BD!$B$3:$B$5001,$A$213,BD!$U$3:$U$5001,"&lt;&gt;")=0,"",SUMIFS(BD!$U$3:$U$5001,BD!$A$3:$A$5001,AH$3,BD!$B$3:$B$5001,$A$213)))</f>
        <v/>
      </c>
      <c r="AI231" s="192" t="str">
        <f>IF(AI$3="","",IF(COUNTIFS(BD!$A$3:$A$5001,AI$3,BD!$B$3:$B$5001,$A$213,BD!$U$3:$U$5001,"&lt;&gt;")=0,"",SUMIFS(BD!$U$3:$U$5001,BD!$A$3:$A$5001,AI$3,BD!$B$3:$B$5001,$A$213)))</f>
        <v/>
      </c>
      <c r="AJ231" s="193" t="str">
        <f>IF(AJ$3="","",IF(COUNTIFS(BD!$A$3:$A$5001,AJ$3,BD!$B$3:$B$5001,$A$213,BD!$U$3:$U$5001,"&lt;&gt;")=0,"",SUMIFS(BD!$U$3:$U$5001,BD!$A$3:$A$5001,AJ$3,BD!$B$3:$B$5001,$A$213)))</f>
        <v/>
      </c>
      <c r="AK231" s="194" t="str">
        <f>IF(COUNT(F231:AJ231)=0,"",SUM(F231:AJ231))</f>
        <v/>
      </c>
    </row>
    <row r="232" ht="15.75" customHeight="1" hidden="1">
      <c r="A232" s="244"/>
      <c r="B232" s="238"/>
      <c r="C232" s="195" t="inlineStr">
        <is>
          <t xml:space="preserve">Backlog</t>
        </is>
      </c>
      <c r="D232" s="196" t="str">
        <f>IFERROR(1/(1/INDEX(BD!$AJ$42:$BD$42,MATCH($A$213,BD!$AJ$22:$BD$22,0))),"")</f>
        <v/>
      </c>
      <c r="E232" s="197"/>
      <c r="F232" s="198" t="str">
        <f>IF(F$3="","",IF(COUNTIFS(BD!$A$3:$A$5001,F$3,BD!$B$3:$B$5001,$A$213,BD!$V$3:$V$5001,"&lt;&gt;")=0,"",SUMIFS(BD!$V$3:$V$5001,BD!$A$3:$A$5001,F$3,BD!$B$3:$B$5001,$A$213)))</f>
        <v/>
      </c>
      <c r="G232" s="199" t="str">
        <f>IF(G$3="","",IF(COUNTIFS(BD!$A$3:$A$5001,G$3,BD!$B$3:$B$5001,$A$213,BD!$V$3:$V$5001,"&lt;&gt;")=0,"",SUMIFS(BD!$V$3:$V$5001,BD!$A$3:$A$5001,G$3,BD!$B$3:$B$5001,$A$213)))</f>
        <v/>
      </c>
      <c r="H232" s="199" t="str">
        <f>IF(H$3="","",IF(COUNTIFS(BD!$A$3:$A$5001,H$3,BD!$B$3:$B$5001,$A$213,BD!$V$3:$V$5001,"&lt;&gt;")=0,"",SUMIFS(BD!$V$3:$V$5001,BD!$A$3:$A$5001,H$3,BD!$B$3:$B$5001,$A$213)))</f>
        <v/>
      </c>
      <c r="I232" s="199" t="str">
        <f>IF(I$3="","",IF(COUNTIFS(BD!$A$3:$A$5001,I$3,BD!$B$3:$B$5001,$A$213,BD!$V$3:$V$5001,"&lt;&gt;")=0,"",SUMIFS(BD!$V$3:$V$5001,BD!$A$3:$A$5001,I$3,BD!$B$3:$B$5001,$A$213)))</f>
        <v/>
      </c>
      <c r="J232" s="199" t="str">
        <f>IF(J$3="","",IF(COUNTIFS(BD!$A$3:$A$5001,J$3,BD!$B$3:$B$5001,$A$213,BD!$V$3:$V$5001,"&lt;&gt;")=0,"",SUMIFS(BD!$V$3:$V$5001,BD!$A$3:$A$5001,J$3,BD!$B$3:$B$5001,$A$213)))</f>
        <v/>
      </c>
      <c r="K232" s="199" t="str">
        <f>IF(K$3="","",IF(COUNTIFS(BD!$A$3:$A$5001,K$3,BD!$B$3:$B$5001,$A$213,BD!$V$3:$V$5001,"&lt;&gt;")=0,"",SUMIFS(BD!$V$3:$V$5001,BD!$A$3:$A$5001,K$3,BD!$B$3:$B$5001,$A$213)))</f>
        <v/>
      </c>
      <c r="L232" s="199" t="str">
        <f>IF(L$3="","",IF(COUNTIFS(BD!$A$3:$A$5001,L$3,BD!$B$3:$B$5001,$A$213,BD!$V$3:$V$5001,"&lt;&gt;")=0,"",SUMIFS(BD!$V$3:$V$5001,BD!$A$3:$A$5001,L$3,BD!$B$3:$B$5001,$A$213)))</f>
        <v/>
      </c>
      <c r="M232" s="199" t="str">
        <f>IF(M$3="","",IF(COUNTIFS(BD!$A$3:$A$5001,M$3,BD!$B$3:$B$5001,$A$213,BD!$V$3:$V$5001,"&lt;&gt;")=0,"",SUMIFS(BD!$V$3:$V$5001,BD!$A$3:$A$5001,M$3,BD!$B$3:$B$5001,$A$213)))</f>
        <v/>
      </c>
      <c r="N232" s="199" t="str">
        <f>IF(N$3="","",IF(COUNTIFS(BD!$A$3:$A$5001,N$3,BD!$B$3:$B$5001,$A$213,BD!$V$3:$V$5001,"&lt;&gt;")=0,"",SUMIFS(BD!$V$3:$V$5001,BD!$A$3:$A$5001,N$3,BD!$B$3:$B$5001,$A$213)))</f>
        <v/>
      </c>
      <c r="O232" s="199" t="str">
        <f>IF(O$3="","",IF(COUNTIFS(BD!$A$3:$A$5001,O$3,BD!$B$3:$B$5001,$A$213,BD!$V$3:$V$5001,"&lt;&gt;")=0,"",SUMIFS(BD!$V$3:$V$5001,BD!$A$3:$A$5001,O$3,BD!$B$3:$B$5001,$A$213)))</f>
        <v/>
      </c>
      <c r="P232" s="199" t="str">
        <f>IF(P$3="","",IF(COUNTIFS(BD!$A$3:$A$5001,P$3,BD!$B$3:$B$5001,$A$213,BD!$V$3:$V$5001,"&lt;&gt;")=0,"",SUMIFS(BD!$V$3:$V$5001,BD!$A$3:$A$5001,P$3,BD!$B$3:$B$5001,$A$213)))</f>
        <v/>
      </c>
      <c r="Q232" s="199" t="str">
        <f>IF(Q$3="","",IF(COUNTIFS(BD!$A$3:$A$5001,Q$3,BD!$B$3:$B$5001,$A$213,BD!$V$3:$V$5001,"&lt;&gt;")=0,"",SUMIFS(BD!$V$3:$V$5001,BD!$A$3:$A$5001,Q$3,BD!$B$3:$B$5001,$A$213)))</f>
        <v/>
      </c>
      <c r="R232" s="199" t="str">
        <f>IF(R$3="","",IF(COUNTIFS(BD!$A$3:$A$5001,R$3,BD!$B$3:$B$5001,$A$213,BD!$V$3:$V$5001,"&lt;&gt;")=0,"",SUMIFS(BD!$V$3:$V$5001,BD!$A$3:$A$5001,R$3,BD!$B$3:$B$5001,$A$213)))</f>
        <v/>
      </c>
      <c r="S232" s="199" t="str">
        <f>IF(S$3="","",IF(COUNTIFS(BD!$A$3:$A$5001,S$3,BD!$B$3:$B$5001,$A$213,BD!$V$3:$V$5001,"&lt;&gt;")=0,"",SUMIFS(BD!$V$3:$V$5001,BD!$A$3:$A$5001,S$3,BD!$B$3:$B$5001,$A$213)))</f>
        <v/>
      </c>
      <c r="T232" s="199" t="str">
        <f>IF(T$3="","",IF(COUNTIFS(BD!$A$3:$A$5001,T$3,BD!$B$3:$B$5001,$A$213,BD!$V$3:$V$5001,"&lt;&gt;")=0,"",SUMIFS(BD!$V$3:$V$5001,BD!$A$3:$A$5001,T$3,BD!$B$3:$B$5001,$A$213)))</f>
        <v/>
      </c>
      <c r="U232" s="199" t="str">
        <f>IF(U$3="","",IF(COUNTIFS(BD!$A$3:$A$5001,U$3,BD!$B$3:$B$5001,$A$213,BD!$V$3:$V$5001,"&lt;&gt;")=0,"",SUMIFS(BD!$V$3:$V$5001,BD!$A$3:$A$5001,U$3,BD!$B$3:$B$5001,$A$213)))</f>
        <v/>
      </c>
      <c r="V232" s="199" t="str">
        <f>IF(V$3="","",IF(COUNTIFS(BD!$A$3:$A$5001,V$3,BD!$B$3:$B$5001,$A$213,BD!$V$3:$V$5001,"&lt;&gt;")=0,"",SUMIFS(BD!$V$3:$V$5001,BD!$A$3:$A$5001,V$3,BD!$B$3:$B$5001,$A$213)))</f>
        <v/>
      </c>
      <c r="W232" s="199" t="str">
        <f>IF(W$3="","",IF(COUNTIFS(BD!$A$3:$A$5001,W$3,BD!$B$3:$B$5001,$A$213,BD!$V$3:$V$5001,"&lt;&gt;")=0,"",SUMIFS(BD!$V$3:$V$5001,BD!$A$3:$A$5001,W$3,BD!$B$3:$B$5001,$A$213)))</f>
        <v/>
      </c>
      <c r="X232" s="199" t="str">
        <f>IF(X$3="","",IF(COUNTIFS(BD!$A$3:$A$5001,X$3,BD!$B$3:$B$5001,$A$213,BD!$V$3:$V$5001,"&lt;&gt;")=0,"",SUMIFS(BD!$V$3:$V$5001,BD!$A$3:$A$5001,X$3,BD!$B$3:$B$5001,$A$213)))</f>
        <v/>
      </c>
      <c r="Y232" s="199" t="str">
        <f>IF(Y$3="","",IF(COUNTIFS(BD!$A$3:$A$5001,Y$3,BD!$B$3:$B$5001,$A$213,BD!$V$3:$V$5001,"&lt;&gt;")=0,"",SUMIFS(BD!$V$3:$V$5001,BD!$A$3:$A$5001,Y$3,BD!$B$3:$B$5001,$A$213)))</f>
        <v/>
      </c>
      <c r="Z232" s="199" t="str">
        <f>IF(Z$3="","",IF(COUNTIFS(BD!$A$3:$A$5001,Z$3,BD!$B$3:$B$5001,$A$213,BD!$V$3:$V$5001,"&lt;&gt;")=0,"",SUMIFS(BD!$V$3:$V$5001,BD!$A$3:$A$5001,Z$3,BD!$B$3:$B$5001,$A$213)))</f>
        <v/>
      </c>
      <c r="AA232" s="199" t="str">
        <f>IF(AA$3="","",IF(COUNTIFS(BD!$A$3:$A$5001,AA$3,BD!$B$3:$B$5001,$A$213,BD!$V$3:$V$5001,"&lt;&gt;")=0,"",SUMIFS(BD!$V$3:$V$5001,BD!$A$3:$A$5001,AA$3,BD!$B$3:$B$5001,$A$213)))</f>
        <v/>
      </c>
      <c r="AB232" s="199" t="str">
        <f>IF(AB$3="","",IF(COUNTIFS(BD!$A$3:$A$5001,AB$3,BD!$B$3:$B$5001,$A$213,BD!$V$3:$V$5001,"&lt;&gt;")=0,"",SUMIFS(BD!$V$3:$V$5001,BD!$A$3:$A$5001,AB$3,BD!$B$3:$B$5001,$A$213)))</f>
        <v/>
      </c>
      <c r="AC232" s="199" t="str">
        <f>IF(AC$3="","",IF(COUNTIFS(BD!$A$3:$A$5001,AC$3,BD!$B$3:$B$5001,$A$213,BD!$V$3:$V$5001,"&lt;&gt;")=0,"",SUMIFS(BD!$V$3:$V$5001,BD!$A$3:$A$5001,AC$3,BD!$B$3:$B$5001,$A$213)))</f>
        <v/>
      </c>
      <c r="AD232" s="199" t="str">
        <f>IF(AD$3="","",IF(COUNTIFS(BD!$A$3:$A$5001,AD$3,BD!$B$3:$B$5001,$A$213,BD!$V$3:$V$5001,"&lt;&gt;")=0,"",SUMIFS(BD!$V$3:$V$5001,BD!$A$3:$A$5001,AD$3,BD!$B$3:$B$5001,$A$213)))</f>
        <v/>
      </c>
      <c r="AE232" s="199" t="str">
        <f>IF(AE$3="","",IF(COUNTIFS(BD!$A$3:$A$5001,AE$3,BD!$B$3:$B$5001,$A$213,BD!$V$3:$V$5001,"&lt;&gt;")=0,"",SUMIFS(BD!$V$3:$V$5001,BD!$A$3:$A$5001,AE$3,BD!$B$3:$B$5001,$A$213)))</f>
        <v/>
      </c>
      <c r="AF232" s="199" t="str">
        <f>IF(AF$3="","",IF(COUNTIFS(BD!$A$3:$A$5001,AF$3,BD!$B$3:$B$5001,$A$213,BD!$V$3:$V$5001,"&lt;&gt;")=0,"",SUMIFS(BD!$V$3:$V$5001,BD!$A$3:$A$5001,AF$3,BD!$B$3:$B$5001,$A$213)))</f>
        <v/>
      </c>
      <c r="AG232" s="199" t="str">
        <f>IF(AG$3="","",IF(COUNTIFS(BD!$A$3:$A$5001,AG$3,BD!$B$3:$B$5001,$A$213,BD!$V$3:$V$5001,"&lt;&gt;")=0,"",SUMIFS(BD!$V$3:$V$5001,BD!$A$3:$A$5001,AG$3,BD!$B$3:$B$5001,$A$213)))</f>
        <v/>
      </c>
      <c r="AH232" s="199" t="str">
        <f>IF(AH$3="","",IF(COUNTIFS(BD!$A$3:$A$5001,AH$3,BD!$B$3:$B$5001,$A$213,BD!$V$3:$V$5001,"&lt;&gt;")=0,"",SUMIFS(BD!$V$3:$V$5001,BD!$A$3:$A$5001,AH$3,BD!$B$3:$B$5001,$A$213)))</f>
        <v/>
      </c>
      <c r="AI232" s="199" t="str">
        <f>IF(AI$3="","",IF(COUNTIFS(BD!$A$3:$A$5001,AI$3,BD!$B$3:$B$5001,$A$213,BD!$V$3:$V$5001,"&lt;&gt;")=0,"",SUMIFS(BD!$V$3:$V$5001,BD!$A$3:$A$5001,AI$3,BD!$B$3:$B$5001,$A$213)))</f>
        <v/>
      </c>
      <c r="AJ232" s="200" t="str">
        <f>IF(AJ$3="","",IF(COUNTIFS(BD!$A$3:$A$5001,AJ$3,BD!$B$3:$B$5001,$A$213,BD!$V$3:$V$5001,"&lt;&gt;")=0,"",SUMIFS(BD!$V$3:$V$5001,BD!$A$3:$A$5001,AJ$3,BD!$B$3:$B$5001,$A$213)))</f>
        <v/>
      </c>
      <c r="AK232" s="196" t="str">
        <f>IFERROR(LOOKUP(9.99E+307,F232:AJ232),"")</f>
        <v/>
      </c>
    </row>
    <row r="233" ht="15.75" customHeight="1" hidden="1">
      <c r="A233" s="244"/>
      <c r="B233" s="232" t="inlineStr">
        <is>
          <t xml:space="preserve">OCUPAÇÃO (P.P)</t>
        </is>
      </c>
      <c r="C233" s="155" t="inlineStr">
        <is>
          <t xml:space="preserve">Posições Disponíveis</t>
        </is>
      </c>
      <c r="D233" s="156" t="str">
        <f>IFERROR(1/(1/INDEX(BD!$AJ$43:$BD$43,MATCH($A$213,BD!$AJ$22:$BD$22,0))),"")</f>
        <v/>
      </c>
      <c r="E233" s="157"/>
      <c r="F233" s="158" t="str">
        <f>IF(F$3="","",IF(COUNTIFS(BD!$A$3:$A$5001,F$3,BD!$B$3:$B$5001,$A$213,BD!$W$3:$W$5001,"&lt;&gt;")=0,"",SUMIFS(BD!$W$3:$W$5001,BD!$A$3:$A$5001,F$3,BD!$B$3:$B$5001,$A$213)))</f>
        <v/>
      </c>
      <c r="G233" s="159" t="str">
        <f>IF(G$3="","",IF(COUNTIFS(BD!$A$3:$A$5001,G$3,BD!$B$3:$B$5001,$A$213,BD!$W$3:$W$5001,"&lt;&gt;")=0,"",SUMIFS(BD!$W$3:$W$5001,BD!$A$3:$A$5001,G$3,BD!$B$3:$B$5001,$A$213)))</f>
        <v/>
      </c>
      <c r="H233" s="159" t="str">
        <f>IF(H$3="","",IF(COUNTIFS(BD!$A$3:$A$5001,H$3,BD!$B$3:$B$5001,$A$213,BD!$W$3:$W$5001,"&lt;&gt;")=0,"",SUMIFS(BD!$W$3:$W$5001,BD!$A$3:$A$5001,H$3,BD!$B$3:$B$5001,$A$213)))</f>
        <v/>
      </c>
      <c r="I233" s="159" t="str">
        <f>IF(I$3="","",IF(COUNTIFS(BD!$A$3:$A$5001,I$3,BD!$B$3:$B$5001,$A$213,BD!$W$3:$W$5001,"&lt;&gt;")=0,"",SUMIFS(BD!$W$3:$W$5001,BD!$A$3:$A$5001,I$3,BD!$B$3:$B$5001,$A$213)))</f>
        <v/>
      </c>
      <c r="J233" s="159" t="str">
        <f>IF(J$3="","",IF(COUNTIFS(BD!$A$3:$A$5001,J$3,BD!$B$3:$B$5001,$A$213,BD!$W$3:$W$5001,"&lt;&gt;")=0,"",SUMIFS(BD!$W$3:$W$5001,BD!$A$3:$A$5001,J$3,BD!$B$3:$B$5001,$A$213)))</f>
        <v/>
      </c>
      <c r="K233" s="159" t="str">
        <f>IF(K$3="","",IF(COUNTIFS(BD!$A$3:$A$5001,K$3,BD!$B$3:$B$5001,$A$213,BD!$W$3:$W$5001,"&lt;&gt;")=0,"",SUMIFS(BD!$W$3:$W$5001,BD!$A$3:$A$5001,K$3,BD!$B$3:$B$5001,$A$213)))</f>
        <v/>
      </c>
      <c r="L233" s="159" t="str">
        <f>IF(L$3="","",IF(COUNTIFS(BD!$A$3:$A$5001,L$3,BD!$B$3:$B$5001,$A$213,BD!$W$3:$W$5001,"&lt;&gt;")=0,"",SUMIFS(BD!$W$3:$W$5001,BD!$A$3:$A$5001,L$3,BD!$B$3:$B$5001,$A$213)))</f>
        <v/>
      </c>
      <c r="M233" s="159" t="str">
        <f>IF(M$3="","",IF(COUNTIFS(BD!$A$3:$A$5001,M$3,BD!$B$3:$B$5001,$A$213,BD!$W$3:$W$5001,"&lt;&gt;")=0,"",SUMIFS(BD!$W$3:$W$5001,BD!$A$3:$A$5001,M$3,BD!$B$3:$B$5001,$A$213)))</f>
        <v/>
      </c>
      <c r="N233" s="159" t="str">
        <f>IF(N$3="","",IF(COUNTIFS(BD!$A$3:$A$5001,N$3,BD!$B$3:$B$5001,$A$213,BD!$W$3:$W$5001,"&lt;&gt;")=0,"",SUMIFS(BD!$W$3:$W$5001,BD!$A$3:$A$5001,N$3,BD!$B$3:$B$5001,$A$213)))</f>
        <v/>
      </c>
      <c r="O233" s="159" t="str">
        <f>IF(O$3="","",IF(COUNTIFS(BD!$A$3:$A$5001,O$3,BD!$B$3:$B$5001,$A$213,BD!$W$3:$W$5001,"&lt;&gt;")=0,"",SUMIFS(BD!$W$3:$W$5001,BD!$A$3:$A$5001,O$3,BD!$B$3:$B$5001,$A$213)))</f>
        <v/>
      </c>
      <c r="P233" s="159" t="str">
        <f>IF(P$3="","",IF(COUNTIFS(BD!$A$3:$A$5001,P$3,BD!$B$3:$B$5001,$A$213,BD!$W$3:$W$5001,"&lt;&gt;")=0,"",SUMIFS(BD!$W$3:$W$5001,BD!$A$3:$A$5001,P$3,BD!$B$3:$B$5001,$A$213)))</f>
        <v/>
      </c>
      <c r="Q233" s="159" t="str">
        <f>IF(Q$3="","",IF(COUNTIFS(BD!$A$3:$A$5001,Q$3,BD!$B$3:$B$5001,$A$213,BD!$W$3:$W$5001,"&lt;&gt;")=0,"",SUMIFS(BD!$W$3:$W$5001,BD!$A$3:$A$5001,Q$3,BD!$B$3:$B$5001,$A$213)))</f>
        <v/>
      </c>
      <c r="R233" s="159" t="str">
        <f>IF(R$3="","",IF(COUNTIFS(BD!$A$3:$A$5001,R$3,BD!$B$3:$B$5001,$A$213,BD!$W$3:$W$5001,"&lt;&gt;")=0,"",SUMIFS(BD!$W$3:$W$5001,BD!$A$3:$A$5001,R$3,BD!$B$3:$B$5001,$A$213)))</f>
        <v/>
      </c>
      <c r="S233" s="159" t="str">
        <f>IF(S$3="","",IF(COUNTIFS(BD!$A$3:$A$5001,S$3,BD!$B$3:$B$5001,$A$213,BD!$W$3:$W$5001,"&lt;&gt;")=0,"",SUMIFS(BD!$W$3:$W$5001,BD!$A$3:$A$5001,S$3,BD!$B$3:$B$5001,$A$213)))</f>
        <v/>
      </c>
      <c r="T233" s="159" t="str">
        <f>IF(T$3="","",IF(COUNTIFS(BD!$A$3:$A$5001,T$3,BD!$B$3:$B$5001,$A$213,BD!$W$3:$W$5001,"&lt;&gt;")=0,"",SUMIFS(BD!$W$3:$W$5001,BD!$A$3:$A$5001,T$3,BD!$B$3:$B$5001,$A$213)))</f>
        <v/>
      </c>
      <c r="U233" s="159" t="str">
        <f>IF(U$3="","",IF(COUNTIFS(BD!$A$3:$A$5001,U$3,BD!$B$3:$B$5001,$A$213,BD!$W$3:$W$5001,"&lt;&gt;")=0,"",SUMIFS(BD!$W$3:$W$5001,BD!$A$3:$A$5001,U$3,BD!$B$3:$B$5001,$A$213)))</f>
        <v/>
      </c>
      <c r="V233" s="159" t="str">
        <f>IF(V$3="","",IF(COUNTIFS(BD!$A$3:$A$5001,V$3,BD!$B$3:$B$5001,$A$213,BD!$W$3:$W$5001,"&lt;&gt;")=0,"",SUMIFS(BD!$W$3:$W$5001,BD!$A$3:$A$5001,V$3,BD!$B$3:$B$5001,$A$213)))</f>
        <v/>
      </c>
      <c r="W233" s="159" t="str">
        <f>IF(W$3="","",IF(COUNTIFS(BD!$A$3:$A$5001,W$3,BD!$B$3:$B$5001,$A$213,BD!$W$3:$W$5001,"&lt;&gt;")=0,"",SUMIFS(BD!$W$3:$W$5001,BD!$A$3:$A$5001,W$3,BD!$B$3:$B$5001,$A$213)))</f>
        <v/>
      </c>
      <c r="X233" s="159" t="str">
        <f>IF(X$3="","",IF(COUNTIFS(BD!$A$3:$A$5001,X$3,BD!$B$3:$B$5001,$A$213,BD!$W$3:$W$5001,"&lt;&gt;")=0,"",SUMIFS(BD!$W$3:$W$5001,BD!$A$3:$A$5001,X$3,BD!$B$3:$B$5001,$A$213)))</f>
        <v/>
      </c>
      <c r="Y233" s="159" t="str">
        <f>IF(Y$3="","",IF(COUNTIFS(BD!$A$3:$A$5001,Y$3,BD!$B$3:$B$5001,$A$213,BD!$W$3:$W$5001,"&lt;&gt;")=0,"",SUMIFS(BD!$W$3:$W$5001,BD!$A$3:$A$5001,Y$3,BD!$B$3:$B$5001,$A$213)))</f>
        <v/>
      </c>
      <c r="Z233" s="159" t="str">
        <f>IF(Z$3="","",IF(COUNTIFS(BD!$A$3:$A$5001,Z$3,BD!$B$3:$B$5001,$A$213,BD!$W$3:$W$5001,"&lt;&gt;")=0,"",SUMIFS(BD!$W$3:$W$5001,BD!$A$3:$A$5001,Z$3,BD!$B$3:$B$5001,$A$213)))</f>
        <v/>
      </c>
      <c r="AA233" s="159" t="str">
        <f>IF(AA$3="","",IF(COUNTIFS(BD!$A$3:$A$5001,AA$3,BD!$B$3:$B$5001,$A$213,BD!$W$3:$W$5001,"&lt;&gt;")=0,"",SUMIFS(BD!$W$3:$W$5001,BD!$A$3:$A$5001,AA$3,BD!$B$3:$B$5001,$A$213)))</f>
        <v/>
      </c>
      <c r="AB233" s="159" t="str">
        <f>IF(AB$3="","",IF(COUNTIFS(BD!$A$3:$A$5001,AB$3,BD!$B$3:$B$5001,$A$213,BD!$W$3:$W$5001,"&lt;&gt;")=0,"",SUMIFS(BD!$W$3:$W$5001,BD!$A$3:$A$5001,AB$3,BD!$B$3:$B$5001,$A$213)))</f>
        <v/>
      </c>
      <c r="AC233" s="159" t="str">
        <f>IF(AC$3="","",IF(COUNTIFS(BD!$A$3:$A$5001,AC$3,BD!$B$3:$B$5001,$A$213,BD!$W$3:$W$5001,"&lt;&gt;")=0,"",SUMIFS(BD!$W$3:$W$5001,BD!$A$3:$A$5001,AC$3,BD!$B$3:$B$5001,$A$213)))</f>
        <v/>
      </c>
      <c r="AD233" s="159" t="str">
        <f>IF(AD$3="","",IF(COUNTIFS(BD!$A$3:$A$5001,AD$3,BD!$B$3:$B$5001,$A$213,BD!$W$3:$W$5001,"&lt;&gt;")=0,"",SUMIFS(BD!$W$3:$W$5001,BD!$A$3:$A$5001,AD$3,BD!$B$3:$B$5001,$A$213)))</f>
        <v/>
      </c>
      <c r="AE233" s="159" t="str">
        <f>IF(AE$3="","",IF(COUNTIFS(BD!$A$3:$A$5001,AE$3,BD!$B$3:$B$5001,$A$213,BD!$W$3:$W$5001,"&lt;&gt;")=0,"",SUMIFS(BD!$W$3:$W$5001,BD!$A$3:$A$5001,AE$3,BD!$B$3:$B$5001,$A$213)))</f>
        <v/>
      </c>
      <c r="AF233" s="159" t="str">
        <f>IF(AF$3="","",IF(COUNTIFS(BD!$A$3:$A$5001,AF$3,BD!$B$3:$B$5001,$A$213,BD!$W$3:$W$5001,"&lt;&gt;")=0,"",SUMIFS(BD!$W$3:$W$5001,BD!$A$3:$A$5001,AF$3,BD!$B$3:$B$5001,$A$213)))</f>
        <v/>
      </c>
      <c r="AG233" s="159" t="str">
        <f>IF(AG$3="","",IF(COUNTIFS(BD!$A$3:$A$5001,AG$3,BD!$B$3:$B$5001,$A$213,BD!$W$3:$W$5001,"&lt;&gt;")=0,"",SUMIFS(BD!$W$3:$W$5001,BD!$A$3:$A$5001,AG$3,BD!$B$3:$B$5001,$A$213)))</f>
        <v/>
      </c>
      <c r="AH233" s="159" t="str">
        <f>IF(AH$3="","",IF(COUNTIFS(BD!$A$3:$A$5001,AH$3,BD!$B$3:$B$5001,$A$213,BD!$W$3:$W$5001,"&lt;&gt;")=0,"",SUMIFS(BD!$W$3:$W$5001,BD!$A$3:$A$5001,AH$3,BD!$B$3:$B$5001,$A$213)))</f>
        <v/>
      </c>
      <c r="AI233" s="159" t="str">
        <f>IF(AI$3="","",IF(COUNTIFS(BD!$A$3:$A$5001,AI$3,BD!$B$3:$B$5001,$A$213,BD!$W$3:$W$5001,"&lt;&gt;")=0,"",SUMIFS(BD!$W$3:$W$5001,BD!$A$3:$A$5001,AI$3,BD!$B$3:$B$5001,$A$213)))</f>
        <v/>
      </c>
      <c r="AJ233" s="160" t="str">
        <f>IF(AJ$3="","",IF(COUNTIFS(BD!$A$3:$A$5001,AJ$3,BD!$B$3:$B$5001,$A$213,BD!$W$3:$W$5001,"&lt;&gt;")=0,"",SUMIFS(BD!$W$3:$W$5001,BD!$A$3:$A$5001,AJ$3,BD!$B$3:$B$5001,$A$213)))</f>
        <v/>
      </c>
      <c r="AK233" s="161" t="str">
        <f>IF(COUNT(F233:AJ233)&gt;0,LOOKUP(9.99E+307,F233:AJ233),IFERROR(IF(INDEX(BD!$AG$3:$AG$5001,MATCH($A$213,BD!$B$3:$B$5001,0))&amp;""="Contrato","",INDEX(BD!$AG$3:$AG$5001,MATCH($A$213,BD!$B$3:$B$5001,0))&amp;""),""))</f>
        <v/>
      </c>
    </row>
    <row r="234" ht="15.75" customHeight="1" hidden="1">
      <c r="A234" s="244"/>
      <c r="B234" s="239"/>
      <c r="C234" s="201" t="inlineStr">
        <is>
          <t xml:space="preserve">Posições Ocupadas</t>
        </is>
      </c>
      <c r="D234" s="202" t="str">
        <f>IFERROR(1/(1/INDEX(BD!$AJ$44:$BD$44,MATCH($A$213,BD!$AJ$22:$BD$22,0))),"")</f>
        <v/>
      </c>
      <c r="E234" s="203"/>
      <c r="F234" s="204" t="str">
        <f>IF(F$3="","",IF(COUNTIFS(BD!$A$3:$A$5001,F$3,BD!$B$3:$B$5001,$A$213,BD!$X$3:$X$5001,"&lt;&gt;")=0,"",SUMIFS(BD!$X$3:$X$5001,BD!$A$3:$A$5001,F$3,BD!$B$3:$B$5001,$A$213)))</f>
        <v/>
      </c>
      <c r="G234" s="205" t="str">
        <f>IF(G$3="","",IF(COUNTIFS(BD!$A$3:$A$5001,G$3,BD!$B$3:$B$5001,$A$213,BD!$X$3:$X$5001,"&lt;&gt;")=0,"",SUMIFS(BD!$X$3:$X$5001,BD!$A$3:$A$5001,G$3,BD!$B$3:$B$5001,$A$213)))</f>
        <v/>
      </c>
      <c r="H234" s="205" t="str">
        <f>IF(H$3="","",IF(COUNTIFS(BD!$A$3:$A$5001,H$3,BD!$B$3:$B$5001,$A$213,BD!$X$3:$X$5001,"&lt;&gt;")=0,"",SUMIFS(BD!$X$3:$X$5001,BD!$A$3:$A$5001,H$3,BD!$B$3:$B$5001,$A$213)))</f>
        <v/>
      </c>
      <c r="I234" s="205" t="str">
        <f>IF(I$3="","",IF(COUNTIFS(BD!$A$3:$A$5001,I$3,BD!$B$3:$B$5001,$A$213,BD!$X$3:$X$5001,"&lt;&gt;")=0,"",SUMIFS(BD!$X$3:$X$5001,BD!$A$3:$A$5001,I$3,BD!$B$3:$B$5001,$A$213)))</f>
        <v/>
      </c>
      <c r="J234" s="205" t="str">
        <f>IF(J$3="","",IF(COUNTIFS(BD!$A$3:$A$5001,J$3,BD!$B$3:$B$5001,$A$213,BD!$X$3:$X$5001,"&lt;&gt;")=0,"",SUMIFS(BD!$X$3:$X$5001,BD!$A$3:$A$5001,J$3,BD!$B$3:$B$5001,$A$213)))</f>
        <v/>
      </c>
      <c r="K234" s="205" t="str">
        <f>IF(K$3="","",IF(COUNTIFS(BD!$A$3:$A$5001,K$3,BD!$B$3:$B$5001,$A$213,BD!$X$3:$X$5001,"&lt;&gt;")=0,"",SUMIFS(BD!$X$3:$X$5001,BD!$A$3:$A$5001,K$3,BD!$B$3:$B$5001,$A$213)))</f>
        <v/>
      </c>
      <c r="L234" s="205" t="str">
        <f>IF(L$3="","",IF(COUNTIFS(BD!$A$3:$A$5001,L$3,BD!$B$3:$B$5001,$A$213,BD!$X$3:$X$5001,"&lt;&gt;")=0,"",SUMIFS(BD!$X$3:$X$5001,BD!$A$3:$A$5001,L$3,BD!$B$3:$B$5001,$A$213)))</f>
        <v/>
      </c>
      <c r="M234" s="205" t="str">
        <f>IF(M$3="","",IF(COUNTIFS(BD!$A$3:$A$5001,M$3,BD!$B$3:$B$5001,$A$213,BD!$X$3:$X$5001,"&lt;&gt;")=0,"",SUMIFS(BD!$X$3:$X$5001,BD!$A$3:$A$5001,M$3,BD!$B$3:$B$5001,$A$213)))</f>
        <v/>
      </c>
      <c r="N234" s="205" t="str">
        <f>IF(N$3="","",IF(COUNTIFS(BD!$A$3:$A$5001,N$3,BD!$B$3:$B$5001,$A$213,BD!$X$3:$X$5001,"&lt;&gt;")=0,"",SUMIFS(BD!$X$3:$X$5001,BD!$A$3:$A$5001,N$3,BD!$B$3:$B$5001,$A$213)))</f>
        <v/>
      </c>
      <c r="O234" s="205" t="str">
        <f>IF(O$3="","",IF(COUNTIFS(BD!$A$3:$A$5001,O$3,BD!$B$3:$B$5001,$A$213,BD!$X$3:$X$5001,"&lt;&gt;")=0,"",SUMIFS(BD!$X$3:$X$5001,BD!$A$3:$A$5001,O$3,BD!$B$3:$B$5001,$A$213)))</f>
        <v/>
      </c>
      <c r="P234" s="205" t="str">
        <f>IF(P$3="","",IF(COUNTIFS(BD!$A$3:$A$5001,P$3,BD!$B$3:$B$5001,$A$213,BD!$X$3:$X$5001,"&lt;&gt;")=0,"",SUMIFS(BD!$X$3:$X$5001,BD!$A$3:$A$5001,P$3,BD!$B$3:$B$5001,$A$213)))</f>
        <v/>
      </c>
      <c r="Q234" s="205" t="str">
        <f>IF(Q$3="","",IF(COUNTIFS(BD!$A$3:$A$5001,Q$3,BD!$B$3:$B$5001,$A$213,BD!$X$3:$X$5001,"&lt;&gt;")=0,"",SUMIFS(BD!$X$3:$X$5001,BD!$A$3:$A$5001,Q$3,BD!$B$3:$B$5001,$A$213)))</f>
        <v/>
      </c>
      <c r="R234" s="205" t="str">
        <f>IF(R$3="","",IF(COUNTIFS(BD!$A$3:$A$5001,R$3,BD!$B$3:$B$5001,$A$213,BD!$X$3:$X$5001,"&lt;&gt;")=0,"",SUMIFS(BD!$X$3:$X$5001,BD!$A$3:$A$5001,R$3,BD!$B$3:$B$5001,$A$213)))</f>
        <v/>
      </c>
      <c r="S234" s="205" t="str">
        <f>IF(S$3="","",IF(COUNTIFS(BD!$A$3:$A$5001,S$3,BD!$B$3:$B$5001,$A$213,BD!$X$3:$X$5001,"&lt;&gt;")=0,"",SUMIFS(BD!$X$3:$X$5001,BD!$A$3:$A$5001,S$3,BD!$B$3:$B$5001,$A$213)))</f>
        <v/>
      </c>
      <c r="T234" s="205" t="str">
        <f>IF(T$3="","",IF(COUNTIFS(BD!$A$3:$A$5001,T$3,BD!$B$3:$B$5001,$A$213,BD!$X$3:$X$5001,"&lt;&gt;")=0,"",SUMIFS(BD!$X$3:$X$5001,BD!$A$3:$A$5001,T$3,BD!$B$3:$B$5001,$A$213)))</f>
        <v/>
      </c>
      <c r="U234" s="205" t="str">
        <f>IF(U$3="","",IF(COUNTIFS(BD!$A$3:$A$5001,U$3,BD!$B$3:$B$5001,$A$213,BD!$X$3:$X$5001,"&lt;&gt;")=0,"",SUMIFS(BD!$X$3:$X$5001,BD!$A$3:$A$5001,U$3,BD!$B$3:$B$5001,$A$213)))</f>
        <v/>
      </c>
      <c r="V234" s="205" t="str">
        <f>IF(V$3="","",IF(COUNTIFS(BD!$A$3:$A$5001,V$3,BD!$B$3:$B$5001,$A$213,BD!$X$3:$X$5001,"&lt;&gt;")=0,"",SUMIFS(BD!$X$3:$X$5001,BD!$A$3:$A$5001,V$3,BD!$B$3:$B$5001,$A$213)))</f>
        <v/>
      </c>
      <c r="W234" s="205" t="str">
        <f>IF(W$3="","",IF(COUNTIFS(BD!$A$3:$A$5001,W$3,BD!$B$3:$B$5001,$A$213,BD!$X$3:$X$5001,"&lt;&gt;")=0,"",SUMIFS(BD!$X$3:$X$5001,BD!$A$3:$A$5001,W$3,BD!$B$3:$B$5001,$A$213)))</f>
        <v/>
      </c>
      <c r="X234" s="205" t="str">
        <f>IF(X$3="","",IF(COUNTIFS(BD!$A$3:$A$5001,X$3,BD!$B$3:$B$5001,$A$213,BD!$X$3:$X$5001,"&lt;&gt;")=0,"",SUMIFS(BD!$X$3:$X$5001,BD!$A$3:$A$5001,X$3,BD!$B$3:$B$5001,$A$213)))</f>
        <v/>
      </c>
      <c r="Y234" s="205" t="str">
        <f>IF(Y$3="","",IF(COUNTIFS(BD!$A$3:$A$5001,Y$3,BD!$B$3:$B$5001,$A$213,BD!$X$3:$X$5001,"&lt;&gt;")=0,"",SUMIFS(BD!$X$3:$X$5001,BD!$A$3:$A$5001,Y$3,BD!$B$3:$B$5001,$A$213)))</f>
        <v/>
      </c>
      <c r="Z234" s="205" t="str">
        <f>IF(Z$3="","",IF(COUNTIFS(BD!$A$3:$A$5001,Z$3,BD!$B$3:$B$5001,$A$213,BD!$X$3:$X$5001,"&lt;&gt;")=0,"",SUMIFS(BD!$X$3:$X$5001,BD!$A$3:$A$5001,Z$3,BD!$B$3:$B$5001,$A$213)))</f>
        <v/>
      </c>
      <c r="AA234" s="205" t="str">
        <f>IF(AA$3="","",IF(COUNTIFS(BD!$A$3:$A$5001,AA$3,BD!$B$3:$B$5001,$A$213,BD!$X$3:$X$5001,"&lt;&gt;")=0,"",SUMIFS(BD!$X$3:$X$5001,BD!$A$3:$A$5001,AA$3,BD!$B$3:$B$5001,$A$213)))</f>
        <v/>
      </c>
      <c r="AB234" s="205" t="str">
        <f>IF(AB$3="","",IF(COUNTIFS(BD!$A$3:$A$5001,AB$3,BD!$B$3:$B$5001,$A$213,BD!$X$3:$X$5001,"&lt;&gt;")=0,"",SUMIFS(BD!$X$3:$X$5001,BD!$A$3:$A$5001,AB$3,BD!$B$3:$B$5001,$A$213)))</f>
        <v/>
      </c>
      <c r="AC234" s="205" t="str">
        <f>IF(AC$3="","",IF(COUNTIFS(BD!$A$3:$A$5001,AC$3,BD!$B$3:$B$5001,$A$213,BD!$X$3:$X$5001,"&lt;&gt;")=0,"",SUMIFS(BD!$X$3:$X$5001,BD!$A$3:$A$5001,AC$3,BD!$B$3:$B$5001,$A$213)))</f>
        <v/>
      </c>
      <c r="AD234" s="205" t="str">
        <f>IF(AD$3="","",IF(COUNTIFS(BD!$A$3:$A$5001,AD$3,BD!$B$3:$B$5001,$A$213,BD!$X$3:$X$5001,"&lt;&gt;")=0,"",SUMIFS(BD!$X$3:$X$5001,BD!$A$3:$A$5001,AD$3,BD!$B$3:$B$5001,$A$213)))</f>
        <v/>
      </c>
      <c r="AE234" s="205" t="str">
        <f>IF(AE$3="","",IF(COUNTIFS(BD!$A$3:$A$5001,AE$3,BD!$B$3:$B$5001,$A$213,BD!$X$3:$X$5001,"&lt;&gt;")=0,"",SUMIFS(BD!$X$3:$X$5001,BD!$A$3:$A$5001,AE$3,BD!$B$3:$B$5001,$A$213)))</f>
        <v/>
      </c>
      <c r="AF234" s="205" t="str">
        <f>IF(AF$3="","",IF(COUNTIFS(BD!$A$3:$A$5001,AF$3,BD!$B$3:$B$5001,$A$213,BD!$X$3:$X$5001,"&lt;&gt;")=0,"",SUMIFS(BD!$X$3:$X$5001,BD!$A$3:$A$5001,AF$3,BD!$B$3:$B$5001,$A$213)))</f>
        <v/>
      </c>
      <c r="AG234" s="205" t="str">
        <f>IF(AG$3="","",IF(COUNTIFS(BD!$A$3:$A$5001,AG$3,BD!$B$3:$B$5001,$A$213,BD!$X$3:$X$5001,"&lt;&gt;")=0,"",SUMIFS(BD!$X$3:$X$5001,BD!$A$3:$A$5001,AG$3,BD!$B$3:$B$5001,$A$213)))</f>
        <v/>
      </c>
      <c r="AH234" s="205" t="str">
        <f>IF(AH$3="","",IF(COUNTIFS(BD!$A$3:$A$5001,AH$3,BD!$B$3:$B$5001,$A$213,BD!$X$3:$X$5001,"&lt;&gt;")=0,"",SUMIFS(BD!$X$3:$X$5001,BD!$A$3:$A$5001,AH$3,BD!$B$3:$B$5001,$A$213)))</f>
        <v/>
      </c>
      <c r="AI234" s="205" t="str">
        <f>IF(AI$3="","",IF(COUNTIFS(BD!$A$3:$A$5001,AI$3,BD!$B$3:$B$5001,$A$213,BD!$X$3:$X$5001,"&lt;&gt;")=0,"",SUMIFS(BD!$X$3:$X$5001,BD!$A$3:$A$5001,AI$3,BD!$B$3:$B$5001,$A$213)))</f>
        <v/>
      </c>
      <c r="AJ234" s="206" t="str">
        <f>IF(AJ$3="","",IF(COUNTIFS(BD!$A$3:$A$5001,AJ$3,BD!$B$3:$B$5001,$A$213,BD!$X$3:$X$5001,"&lt;&gt;")=0,"",SUMIFS(BD!$X$3:$X$5001,BD!$A$3:$A$5001,AJ$3,BD!$B$3:$B$5001,$A$213)))</f>
        <v/>
      </c>
      <c r="AK234" s="207" t="str">
        <f>IFERROR(LOOKUP(9.99E+307,F234:AJ234),"")</f>
        <v/>
      </c>
    </row>
    <row r="235" ht="15.75" customHeight="1" hidden="1">
      <c r="A235" s="244"/>
      <c r="B235" s="233"/>
      <c r="C235" s="162" t="inlineStr">
        <is>
          <t xml:space="preserve">Taxa de Ocupação</t>
        </is>
      </c>
      <c r="D235" s="208" t="str">
        <f>IFERROR(1/(1/INDEX(BD!$AJ$45:$BD$45,MATCH($A$213,BD!$AJ$22:$BD$22,0))),"")</f>
        <v/>
      </c>
      <c r="E235" s="164"/>
      <c r="F235" s="209" t="str">
        <f>IF(AND(ISNUMBER(F233),ISNUMBER(F234)),IF(F233&gt;0,F234/F233,""),"")</f>
        <v/>
      </c>
      <c r="G235" s="210" t="str">
        <f>IF(AND(ISNUMBER(G233),ISNUMBER(G234)),IF(G233&gt;0,G234/G233,""),"")</f>
        <v/>
      </c>
      <c r="H235" s="210" t="str">
        <f>IF(AND(ISNUMBER(H233),ISNUMBER(H234)),IF(H233&gt;0,H234/H233,""),"")</f>
        <v/>
      </c>
      <c r="I235" s="210" t="str">
        <f>IF(AND(ISNUMBER(I233),ISNUMBER(I234)),IF(I233&gt;0,I234/I233,""),"")</f>
        <v/>
      </c>
      <c r="J235" s="210" t="str">
        <f>IF(AND(ISNUMBER(J233),ISNUMBER(J234)),IF(J233&gt;0,J234/J233,""),"")</f>
        <v/>
      </c>
      <c r="K235" s="210" t="str">
        <f>IF(AND(ISNUMBER(K233),ISNUMBER(K234)),IF(K233&gt;0,K234/K233,""),"")</f>
        <v/>
      </c>
      <c r="L235" s="210" t="str">
        <f>IF(AND(ISNUMBER(L233),ISNUMBER(L234)),IF(L233&gt;0,L234/L233,""),"")</f>
        <v/>
      </c>
      <c r="M235" s="210" t="str">
        <f>IF(AND(ISNUMBER(M233),ISNUMBER(M234)),IF(M233&gt;0,M234/M233,""),"")</f>
        <v/>
      </c>
      <c r="N235" s="210" t="str">
        <f>IF(AND(ISNUMBER(N233),ISNUMBER(N234)),IF(N233&gt;0,N234/N233,""),"")</f>
        <v/>
      </c>
      <c r="O235" s="210" t="str">
        <f>IF(AND(ISNUMBER(O233),ISNUMBER(O234)),IF(O233&gt;0,O234/O233,""),"")</f>
        <v/>
      </c>
      <c r="P235" s="210" t="str">
        <f>IF(AND(ISNUMBER(P233),ISNUMBER(P234)),IF(P233&gt;0,P234/P233,""),"")</f>
        <v/>
      </c>
      <c r="Q235" s="210" t="str">
        <f>IF(AND(ISNUMBER(Q233),ISNUMBER(Q234)),IF(Q233&gt;0,Q234/Q233,""),"")</f>
        <v/>
      </c>
      <c r="R235" s="210" t="str">
        <f>IF(AND(ISNUMBER(R233),ISNUMBER(R234)),IF(R233&gt;0,R234/R233,""),"")</f>
        <v/>
      </c>
      <c r="S235" s="210" t="str">
        <f>IF(AND(ISNUMBER(S233),ISNUMBER(S234)),IF(S233&gt;0,S234/S233,""),"")</f>
        <v/>
      </c>
      <c r="T235" s="210" t="str">
        <f>IF(AND(ISNUMBER(T233),ISNUMBER(T234)),IF(T233&gt;0,T234/T233,""),"")</f>
        <v/>
      </c>
      <c r="U235" s="210" t="str">
        <f>IF(AND(ISNUMBER(U233),ISNUMBER(U234)),IF(U233&gt;0,U234/U233,""),"")</f>
        <v/>
      </c>
      <c r="V235" s="210" t="str">
        <f>IF(AND(ISNUMBER(V233),ISNUMBER(V234)),IF(V233&gt;0,V234/V233,""),"")</f>
        <v/>
      </c>
      <c r="W235" s="210" t="str">
        <f>IF(AND(ISNUMBER(W233),ISNUMBER(W234)),IF(W233&gt;0,W234/W233,""),"")</f>
        <v/>
      </c>
      <c r="X235" s="210" t="str">
        <f>IF(AND(ISNUMBER(X233),ISNUMBER(X234)),IF(X233&gt;0,X234/X233,""),"")</f>
        <v/>
      </c>
      <c r="Y235" s="210" t="str">
        <f>IF(AND(ISNUMBER(Y233),ISNUMBER(Y234)),IF(Y233&gt;0,Y234/Y233,""),"")</f>
        <v/>
      </c>
      <c r="Z235" s="210" t="str">
        <f>IF(AND(ISNUMBER(Z233),ISNUMBER(Z234)),IF(Z233&gt;0,Z234/Z233,""),"")</f>
        <v/>
      </c>
      <c r="AA235" s="210" t="str">
        <f>IF(AND(ISNUMBER(AA233),ISNUMBER(AA234)),IF(AA233&gt;0,AA234/AA233,""),"")</f>
        <v/>
      </c>
      <c r="AB235" s="210" t="str">
        <f>IF(AND(ISNUMBER(AB233),ISNUMBER(AB234)),IF(AB233&gt;0,AB234/AB233,""),"")</f>
        <v/>
      </c>
      <c r="AC235" s="210" t="str">
        <f>IF(AND(ISNUMBER(AC233),ISNUMBER(AC234)),IF(AC233&gt;0,AC234/AC233,""),"")</f>
        <v/>
      </c>
      <c r="AD235" s="210" t="str">
        <f>IF(AND(ISNUMBER(AD233),ISNUMBER(AD234)),IF(AD233&gt;0,AD234/AD233,""),"")</f>
        <v/>
      </c>
      <c r="AE235" s="210" t="str">
        <f>IF(AND(ISNUMBER(AE233),ISNUMBER(AE234)),IF(AE233&gt;0,AE234/AE233,""),"")</f>
        <v/>
      </c>
      <c r="AF235" s="210" t="str">
        <f>IF(AND(ISNUMBER(AF233),ISNUMBER(AF234)),IF(AF233&gt;0,AF234/AF233,""),"")</f>
        <v/>
      </c>
      <c r="AG235" s="210" t="str">
        <f>IF(AND(ISNUMBER(AG233),ISNUMBER(AG234)),IF(AG233&gt;0,AG234/AG233,""),"")</f>
        <v/>
      </c>
      <c r="AH235" s="210" t="str">
        <f>IF(AND(ISNUMBER(AH233),ISNUMBER(AH234)),IF(AH233&gt;0,AH234/AH233,""),"")</f>
        <v/>
      </c>
      <c r="AI235" s="210" t="str">
        <f>IF(AND(ISNUMBER(AI233),ISNUMBER(AI234)),IF(AI233&gt;0,AI234/AI233,""),"")</f>
        <v/>
      </c>
      <c r="AJ235" s="211" t="str">
        <f>IF(AND(ISNUMBER(AJ233),ISNUMBER(AJ234)),IF(AJ233&gt;0,AJ234/AJ233,""),"")</f>
        <v/>
      </c>
      <c r="AK235" s="208" t="str">
        <f>IF(AND(ISNUMBER(AK233),ISNUMBER(AK234)),IF(AK233&gt;0,AK234/AK233,""),"")</f>
        <v/>
      </c>
    </row>
    <row r="236" ht="15.75" customHeight="1" hidden="1">
      <c r="A236" s="244"/>
      <c r="B236" s="240" t="inlineStr">
        <is>
          <t xml:space="preserve">GENTE</t>
        </is>
      </c>
      <c r="C236" s="212" t="inlineStr">
        <is>
          <t xml:space="preserve">Efetivo Op.</t>
        </is>
      </c>
      <c r="D236" s="213" t="str">
        <f>IFERROR(1/(1/INDEX(BD!$AJ$46:$BD$46,MATCH($A$213,BD!$AJ$22:$BD$22,0))),"")</f>
        <v/>
      </c>
      <c r="E236" s="214"/>
      <c r="F236" s="215" t="str">
        <f>IF(F$3="","",IF(COUNTIFS(BD!$A$3:$A$5001,F$3,BD!$B$3:$B$5001,$A$213,BD!$Y$3:$Y$5001,"&lt;&gt;")=0,"",SUMIFS(BD!$Y$3:$Y$5001,BD!$A$3:$A$5001,F$3,BD!$B$3:$B$5001,$A$213)))</f>
        <v/>
      </c>
      <c r="G236" s="216" t="str">
        <f>IF(G$3="","",IF(COUNTIFS(BD!$A$3:$A$5001,G$3,BD!$B$3:$B$5001,$A$213,BD!$Y$3:$Y$5001,"&lt;&gt;")=0,"",SUMIFS(BD!$Y$3:$Y$5001,BD!$A$3:$A$5001,G$3,BD!$B$3:$B$5001,$A$213)))</f>
        <v/>
      </c>
      <c r="H236" s="216" t="str">
        <f>IF(H$3="","",IF(COUNTIFS(BD!$A$3:$A$5001,H$3,BD!$B$3:$B$5001,$A$213,BD!$Y$3:$Y$5001,"&lt;&gt;")=0,"",SUMIFS(BD!$Y$3:$Y$5001,BD!$A$3:$A$5001,H$3,BD!$B$3:$B$5001,$A$213)))</f>
        <v/>
      </c>
      <c r="I236" s="216" t="str">
        <f>IF(I$3="","",IF(COUNTIFS(BD!$A$3:$A$5001,I$3,BD!$B$3:$B$5001,$A$213,BD!$Y$3:$Y$5001,"&lt;&gt;")=0,"",SUMIFS(BD!$Y$3:$Y$5001,BD!$A$3:$A$5001,I$3,BD!$B$3:$B$5001,$A$213)))</f>
        <v/>
      </c>
      <c r="J236" s="216" t="str">
        <f>IF(J$3="","",IF(COUNTIFS(BD!$A$3:$A$5001,J$3,BD!$B$3:$B$5001,$A$213,BD!$Y$3:$Y$5001,"&lt;&gt;")=0,"",SUMIFS(BD!$Y$3:$Y$5001,BD!$A$3:$A$5001,J$3,BD!$B$3:$B$5001,$A$213)))</f>
        <v/>
      </c>
      <c r="K236" s="216" t="str">
        <f>IF(K$3="","",IF(COUNTIFS(BD!$A$3:$A$5001,K$3,BD!$B$3:$B$5001,$A$213,BD!$Y$3:$Y$5001,"&lt;&gt;")=0,"",SUMIFS(BD!$Y$3:$Y$5001,BD!$A$3:$A$5001,K$3,BD!$B$3:$B$5001,$A$213)))</f>
        <v/>
      </c>
      <c r="L236" s="216" t="str">
        <f>IF(L$3="","",IF(COUNTIFS(BD!$A$3:$A$5001,L$3,BD!$B$3:$B$5001,$A$213,BD!$Y$3:$Y$5001,"&lt;&gt;")=0,"",SUMIFS(BD!$Y$3:$Y$5001,BD!$A$3:$A$5001,L$3,BD!$B$3:$B$5001,$A$213)))</f>
        <v/>
      </c>
      <c r="M236" s="216" t="str">
        <f>IF(M$3="","",IF(COUNTIFS(BD!$A$3:$A$5001,M$3,BD!$B$3:$B$5001,$A$213,BD!$Y$3:$Y$5001,"&lt;&gt;")=0,"",SUMIFS(BD!$Y$3:$Y$5001,BD!$A$3:$A$5001,M$3,BD!$B$3:$B$5001,$A$213)))</f>
        <v/>
      </c>
      <c r="N236" s="216" t="str">
        <f>IF(N$3="","",IF(COUNTIFS(BD!$A$3:$A$5001,N$3,BD!$B$3:$B$5001,$A$213,BD!$Y$3:$Y$5001,"&lt;&gt;")=0,"",SUMIFS(BD!$Y$3:$Y$5001,BD!$A$3:$A$5001,N$3,BD!$B$3:$B$5001,$A$213)))</f>
        <v/>
      </c>
      <c r="O236" s="216" t="str">
        <f>IF(O$3="","",IF(COUNTIFS(BD!$A$3:$A$5001,O$3,BD!$B$3:$B$5001,$A$213,BD!$Y$3:$Y$5001,"&lt;&gt;")=0,"",SUMIFS(BD!$Y$3:$Y$5001,BD!$A$3:$A$5001,O$3,BD!$B$3:$B$5001,$A$213)))</f>
        <v/>
      </c>
      <c r="P236" s="216" t="str">
        <f>IF(P$3="","",IF(COUNTIFS(BD!$A$3:$A$5001,P$3,BD!$B$3:$B$5001,$A$213,BD!$Y$3:$Y$5001,"&lt;&gt;")=0,"",SUMIFS(BD!$Y$3:$Y$5001,BD!$A$3:$A$5001,P$3,BD!$B$3:$B$5001,$A$213)))</f>
        <v/>
      </c>
      <c r="Q236" s="216" t="str">
        <f>IF(Q$3="","",IF(COUNTIFS(BD!$A$3:$A$5001,Q$3,BD!$B$3:$B$5001,$A$213,BD!$Y$3:$Y$5001,"&lt;&gt;")=0,"",SUMIFS(BD!$Y$3:$Y$5001,BD!$A$3:$A$5001,Q$3,BD!$B$3:$B$5001,$A$213)))</f>
        <v/>
      </c>
      <c r="R236" s="216" t="str">
        <f>IF(R$3="","",IF(COUNTIFS(BD!$A$3:$A$5001,R$3,BD!$B$3:$B$5001,$A$213,BD!$Y$3:$Y$5001,"&lt;&gt;")=0,"",SUMIFS(BD!$Y$3:$Y$5001,BD!$A$3:$A$5001,R$3,BD!$B$3:$B$5001,$A$213)))</f>
        <v/>
      </c>
      <c r="S236" s="216" t="str">
        <f>IF(S$3="","",IF(COUNTIFS(BD!$A$3:$A$5001,S$3,BD!$B$3:$B$5001,$A$213,BD!$Y$3:$Y$5001,"&lt;&gt;")=0,"",SUMIFS(BD!$Y$3:$Y$5001,BD!$A$3:$A$5001,S$3,BD!$B$3:$B$5001,$A$213)))</f>
        <v/>
      </c>
      <c r="T236" s="216" t="str">
        <f>IF(T$3="","",IF(COUNTIFS(BD!$A$3:$A$5001,T$3,BD!$B$3:$B$5001,$A$213,BD!$Y$3:$Y$5001,"&lt;&gt;")=0,"",SUMIFS(BD!$Y$3:$Y$5001,BD!$A$3:$A$5001,T$3,BD!$B$3:$B$5001,$A$213)))</f>
        <v/>
      </c>
      <c r="U236" s="216" t="str">
        <f>IF(U$3="","",IF(COUNTIFS(BD!$A$3:$A$5001,U$3,BD!$B$3:$B$5001,$A$213,BD!$Y$3:$Y$5001,"&lt;&gt;")=0,"",SUMIFS(BD!$Y$3:$Y$5001,BD!$A$3:$A$5001,U$3,BD!$B$3:$B$5001,$A$213)))</f>
        <v/>
      </c>
      <c r="V236" s="216" t="str">
        <f>IF(V$3="","",IF(COUNTIFS(BD!$A$3:$A$5001,V$3,BD!$B$3:$B$5001,$A$213,BD!$Y$3:$Y$5001,"&lt;&gt;")=0,"",SUMIFS(BD!$Y$3:$Y$5001,BD!$A$3:$A$5001,V$3,BD!$B$3:$B$5001,$A$213)))</f>
        <v/>
      </c>
      <c r="W236" s="216" t="str">
        <f>IF(W$3="","",IF(COUNTIFS(BD!$A$3:$A$5001,W$3,BD!$B$3:$B$5001,$A$213,BD!$Y$3:$Y$5001,"&lt;&gt;")=0,"",SUMIFS(BD!$Y$3:$Y$5001,BD!$A$3:$A$5001,W$3,BD!$B$3:$B$5001,$A$213)))</f>
        <v/>
      </c>
      <c r="X236" s="216" t="str">
        <f>IF(X$3="","",IF(COUNTIFS(BD!$A$3:$A$5001,X$3,BD!$B$3:$B$5001,$A$213,BD!$Y$3:$Y$5001,"&lt;&gt;")=0,"",SUMIFS(BD!$Y$3:$Y$5001,BD!$A$3:$A$5001,X$3,BD!$B$3:$B$5001,$A$213)))</f>
        <v/>
      </c>
      <c r="Y236" s="216" t="str">
        <f>IF(Y$3="","",IF(COUNTIFS(BD!$A$3:$A$5001,Y$3,BD!$B$3:$B$5001,$A$213,BD!$Y$3:$Y$5001,"&lt;&gt;")=0,"",SUMIFS(BD!$Y$3:$Y$5001,BD!$A$3:$A$5001,Y$3,BD!$B$3:$B$5001,$A$213)))</f>
        <v/>
      </c>
      <c r="Z236" s="216" t="str">
        <f>IF(Z$3="","",IF(COUNTIFS(BD!$A$3:$A$5001,Z$3,BD!$B$3:$B$5001,$A$213,BD!$Y$3:$Y$5001,"&lt;&gt;")=0,"",SUMIFS(BD!$Y$3:$Y$5001,BD!$A$3:$A$5001,Z$3,BD!$B$3:$B$5001,$A$213)))</f>
        <v/>
      </c>
      <c r="AA236" s="216" t="str">
        <f>IF(AA$3="","",IF(COUNTIFS(BD!$A$3:$A$5001,AA$3,BD!$B$3:$B$5001,$A$213,BD!$Y$3:$Y$5001,"&lt;&gt;")=0,"",SUMIFS(BD!$Y$3:$Y$5001,BD!$A$3:$A$5001,AA$3,BD!$B$3:$B$5001,$A$213)))</f>
        <v/>
      </c>
      <c r="AB236" s="216" t="str">
        <f>IF(AB$3="","",IF(COUNTIFS(BD!$A$3:$A$5001,AB$3,BD!$B$3:$B$5001,$A$213,BD!$Y$3:$Y$5001,"&lt;&gt;")=0,"",SUMIFS(BD!$Y$3:$Y$5001,BD!$A$3:$A$5001,AB$3,BD!$B$3:$B$5001,$A$213)))</f>
        <v/>
      </c>
      <c r="AC236" s="216" t="str">
        <f>IF(AC$3="","",IF(COUNTIFS(BD!$A$3:$A$5001,AC$3,BD!$B$3:$B$5001,$A$213,BD!$Y$3:$Y$5001,"&lt;&gt;")=0,"",SUMIFS(BD!$Y$3:$Y$5001,BD!$A$3:$A$5001,AC$3,BD!$B$3:$B$5001,$A$213)))</f>
        <v/>
      </c>
      <c r="AD236" s="216" t="str">
        <f>IF(AD$3="","",IF(COUNTIFS(BD!$A$3:$A$5001,AD$3,BD!$B$3:$B$5001,$A$213,BD!$Y$3:$Y$5001,"&lt;&gt;")=0,"",SUMIFS(BD!$Y$3:$Y$5001,BD!$A$3:$A$5001,AD$3,BD!$B$3:$B$5001,$A$213)))</f>
        <v/>
      </c>
      <c r="AE236" s="216" t="str">
        <f>IF(AE$3="","",IF(COUNTIFS(BD!$A$3:$A$5001,AE$3,BD!$B$3:$B$5001,$A$213,BD!$Y$3:$Y$5001,"&lt;&gt;")=0,"",SUMIFS(BD!$Y$3:$Y$5001,BD!$A$3:$A$5001,AE$3,BD!$B$3:$B$5001,$A$213)))</f>
        <v/>
      </c>
      <c r="AF236" s="216" t="str">
        <f>IF(AF$3="","",IF(COUNTIFS(BD!$A$3:$A$5001,AF$3,BD!$B$3:$B$5001,$A$213,BD!$Y$3:$Y$5001,"&lt;&gt;")=0,"",SUMIFS(BD!$Y$3:$Y$5001,BD!$A$3:$A$5001,AF$3,BD!$B$3:$B$5001,$A$213)))</f>
        <v/>
      </c>
      <c r="AG236" s="216" t="str">
        <f>IF(AG$3="","",IF(COUNTIFS(BD!$A$3:$A$5001,AG$3,BD!$B$3:$B$5001,$A$213,BD!$Y$3:$Y$5001,"&lt;&gt;")=0,"",SUMIFS(BD!$Y$3:$Y$5001,BD!$A$3:$A$5001,AG$3,BD!$B$3:$B$5001,$A$213)))</f>
        <v/>
      </c>
      <c r="AH236" s="216" t="str">
        <f>IF(AH$3="","",IF(COUNTIFS(BD!$A$3:$A$5001,AH$3,BD!$B$3:$B$5001,$A$213,BD!$Y$3:$Y$5001,"&lt;&gt;")=0,"",SUMIFS(BD!$Y$3:$Y$5001,BD!$A$3:$A$5001,AH$3,BD!$B$3:$B$5001,$A$213)))</f>
        <v/>
      </c>
      <c r="AI236" s="216" t="str">
        <f>IF(AI$3="","",IF(COUNTIFS(BD!$A$3:$A$5001,AI$3,BD!$B$3:$B$5001,$A$213,BD!$Y$3:$Y$5001,"&lt;&gt;")=0,"",SUMIFS(BD!$Y$3:$Y$5001,BD!$A$3:$A$5001,AI$3,BD!$B$3:$B$5001,$A$213)))</f>
        <v/>
      </c>
      <c r="AJ236" s="217" t="str">
        <f>IF(AJ$3="","",IF(COUNTIFS(BD!$A$3:$A$5001,AJ$3,BD!$B$3:$B$5001,$A$213,BD!$Y$3:$Y$5001,"&lt;&gt;")=0,"",SUMIFS(BD!$Y$3:$Y$5001,BD!$A$3:$A$5001,AJ$3,BD!$B$3:$B$5001,$A$213)))</f>
        <v/>
      </c>
      <c r="AK236" s="218" t="str">
        <f>IFERROR(LOOKUP(9.99E+307,F236:AJ236),"")</f>
        <v/>
      </c>
    </row>
    <row r="237" ht="15.75" customHeight="1" hidden="1">
      <c r="A237" s="244"/>
      <c r="B237" s="241"/>
      <c r="C237" s="219" t="inlineStr">
        <is>
          <t xml:space="preserve">Falta</t>
        </is>
      </c>
      <c r="D237" s="220" t="str">
        <f>IFERROR(1/(1/INDEX(BD!$AJ$47:$BD$47,MATCH($A$213,BD!$AJ$22:$BD$22,0))),"")</f>
        <v/>
      </c>
      <c r="E237" s="221"/>
      <c r="F237" s="222" t="str">
        <f>IF(F$3="","",IF(COUNTIFS(BD!$A$3:$A$5001,F$3,BD!$B$3:$B$5001,$A$213,BD!$Z$3:$Z$5001,"&lt;&gt;")=0,"",SUMIFS(BD!$Z$3:$Z$5001,BD!$A$3:$A$5001,F$3,BD!$B$3:$B$5001,$A$213)))</f>
        <v/>
      </c>
      <c r="G237" s="223" t="str">
        <f>IF(G$3="","",IF(COUNTIFS(BD!$A$3:$A$5001,G$3,BD!$B$3:$B$5001,$A$213,BD!$Z$3:$Z$5001,"&lt;&gt;")=0,"",SUMIFS(BD!$Z$3:$Z$5001,BD!$A$3:$A$5001,G$3,BD!$B$3:$B$5001,$A$213)))</f>
        <v/>
      </c>
      <c r="H237" s="223" t="str">
        <f>IF(H$3="","",IF(COUNTIFS(BD!$A$3:$A$5001,H$3,BD!$B$3:$B$5001,$A$213,BD!$Z$3:$Z$5001,"&lt;&gt;")=0,"",SUMIFS(BD!$Z$3:$Z$5001,BD!$A$3:$A$5001,H$3,BD!$B$3:$B$5001,$A$213)))</f>
        <v/>
      </c>
      <c r="I237" s="223" t="str">
        <f>IF(I$3="","",IF(COUNTIFS(BD!$A$3:$A$5001,I$3,BD!$B$3:$B$5001,$A$213,BD!$Z$3:$Z$5001,"&lt;&gt;")=0,"",SUMIFS(BD!$Z$3:$Z$5001,BD!$A$3:$A$5001,I$3,BD!$B$3:$B$5001,$A$213)))</f>
        <v/>
      </c>
      <c r="J237" s="223" t="str">
        <f>IF(J$3="","",IF(COUNTIFS(BD!$A$3:$A$5001,J$3,BD!$B$3:$B$5001,$A$213,BD!$Z$3:$Z$5001,"&lt;&gt;")=0,"",SUMIFS(BD!$Z$3:$Z$5001,BD!$A$3:$A$5001,J$3,BD!$B$3:$B$5001,$A$213)))</f>
        <v/>
      </c>
      <c r="K237" s="223" t="str">
        <f>IF(K$3="","",IF(COUNTIFS(BD!$A$3:$A$5001,K$3,BD!$B$3:$B$5001,$A$213,BD!$Z$3:$Z$5001,"&lt;&gt;")=0,"",SUMIFS(BD!$Z$3:$Z$5001,BD!$A$3:$A$5001,K$3,BD!$B$3:$B$5001,$A$213)))</f>
        <v/>
      </c>
      <c r="L237" s="223" t="str">
        <f>IF(L$3="","",IF(COUNTIFS(BD!$A$3:$A$5001,L$3,BD!$B$3:$B$5001,$A$213,BD!$Z$3:$Z$5001,"&lt;&gt;")=0,"",SUMIFS(BD!$Z$3:$Z$5001,BD!$A$3:$A$5001,L$3,BD!$B$3:$B$5001,$A$213)))</f>
        <v/>
      </c>
      <c r="M237" s="223" t="str">
        <f>IF(M$3="","",IF(COUNTIFS(BD!$A$3:$A$5001,M$3,BD!$B$3:$B$5001,$A$213,BD!$Z$3:$Z$5001,"&lt;&gt;")=0,"",SUMIFS(BD!$Z$3:$Z$5001,BD!$A$3:$A$5001,M$3,BD!$B$3:$B$5001,$A$213)))</f>
        <v/>
      </c>
      <c r="N237" s="223" t="str">
        <f>IF(N$3="","",IF(COUNTIFS(BD!$A$3:$A$5001,N$3,BD!$B$3:$B$5001,$A$213,BD!$Z$3:$Z$5001,"&lt;&gt;")=0,"",SUMIFS(BD!$Z$3:$Z$5001,BD!$A$3:$A$5001,N$3,BD!$B$3:$B$5001,$A$213)))</f>
        <v/>
      </c>
      <c r="O237" s="223" t="str">
        <f>IF(O$3="","",IF(COUNTIFS(BD!$A$3:$A$5001,O$3,BD!$B$3:$B$5001,$A$213,BD!$Z$3:$Z$5001,"&lt;&gt;")=0,"",SUMIFS(BD!$Z$3:$Z$5001,BD!$A$3:$A$5001,O$3,BD!$B$3:$B$5001,$A$213)))</f>
        <v/>
      </c>
      <c r="P237" s="223" t="str">
        <f>IF(P$3="","",IF(COUNTIFS(BD!$A$3:$A$5001,P$3,BD!$B$3:$B$5001,$A$213,BD!$Z$3:$Z$5001,"&lt;&gt;")=0,"",SUMIFS(BD!$Z$3:$Z$5001,BD!$A$3:$A$5001,P$3,BD!$B$3:$B$5001,$A$213)))</f>
        <v/>
      </c>
      <c r="Q237" s="223" t="str">
        <f>IF(Q$3="","",IF(COUNTIFS(BD!$A$3:$A$5001,Q$3,BD!$B$3:$B$5001,$A$213,BD!$Z$3:$Z$5001,"&lt;&gt;")=0,"",SUMIFS(BD!$Z$3:$Z$5001,BD!$A$3:$A$5001,Q$3,BD!$B$3:$B$5001,$A$213)))</f>
        <v/>
      </c>
      <c r="R237" s="223" t="str">
        <f>IF(R$3="","",IF(COUNTIFS(BD!$A$3:$A$5001,R$3,BD!$B$3:$B$5001,$A$213,BD!$Z$3:$Z$5001,"&lt;&gt;")=0,"",SUMIFS(BD!$Z$3:$Z$5001,BD!$A$3:$A$5001,R$3,BD!$B$3:$B$5001,$A$213)))</f>
        <v/>
      </c>
      <c r="S237" s="223" t="str">
        <f>IF(S$3="","",IF(COUNTIFS(BD!$A$3:$A$5001,S$3,BD!$B$3:$B$5001,$A$213,BD!$Z$3:$Z$5001,"&lt;&gt;")=0,"",SUMIFS(BD!$Z$3:$Z$5001,BD!$A$3:$A$5001,S$3,BD!$B$3:$B$5001,$A$213)))</f>
        <v/>
      </c>
      <c r="T237" s="223" t="str">
        <f>IF(T$3="","",IF(COUNTIFS(BD!$A$3:$A$5001,T$3,BD!$B$3:$B$5001,$A$213,BD!$Z$3:$Z$5001,"&lt;&gt;")=0,"",SUMIFS(BD!$Z$3:$Z$5001,BD!$A$3:$A$5001,T$3,BD!$B$3:$B$5001,$A$213)))</f>
        <v/>
      </c>
      <c r="U237" s="223" t="str">
        <f>IF(U$3="","",IF(COUNTIFS(BD!$A$3:$A$5001,U$3,BD!$B$3:$B$5001,$A$213,BD!$Z$3:$Z$5001,"&lt;&gt;")=0,"",SUMIFS(BD!$Z$3:$Z$5001,BD!$A$3:$A$5001,U$3,BD!$B$3:$B$5001,$A$213)))</f>
        <v/>
      </c>
      <c r="V237" s="223" t="str">
        <f>IF(V$3="","",IF(COUNTIFS(BD!$A$3:$A$5001,V$3,BD!$B$3:$B$5001,$A$213,BD!$Z$3:$Z$5001,"&lt;&gt;")=0,"",SUMIFS(BD!$Z$3:$Z$5001,BD!$A$3:$A$5001,V$3,BD!$B$3:$B$5001,$A$213)))</f>
        <v/>
      </c>
      <c r="W237" s="223" t="str">
        <f>IF(W$3="","",IF(COUNTIFS(BD!$A$3:$A$5001,W$3,BD!$B$3:$B$5001,$A$213,BD!$Z$3:$Z$5001,"&lt;&gt;")=0,"",SUMIFS(BD!$Z$3:$Z$5001,BD!$A$3:$A$5001,W$3,BD!$B$3:$B$5001,$A$213)))</f>
        <v/>
      </c>
      <c r="X237" s="223" t="str">
        <f>IF(X$3="","",IF(COUNTIFS(BD!$A$3:$A$5001,X$3,BD!$B$3:$B$5001,$A$213,BD!$Z$3:$Z$5001,"&lt;&gt;")=0,"",SUMIFS(BD!$Z$3:$Z$5001,BD!$A$3:$A$5001,X$3,BD!$B$3:$B$5001,$A$213)))</f>
        <v/>
      </c>
      <c r="Y237" s="223" t="str">
        <f>IF(Y$3="","",IF(COUNTIFS(BD!$A$3:$A$5001,Y$3,BD!$B$3:$B$5001,$A$213,BD!$Z$3:$Z$5001,"&lt;&gt;")=0,"",SUMIFS(BD!$Z$3:$Z$5001,BD!$A$3:$A$5001,Y$3,BD!$B$3:$B$5001,$A$213)))</f>
        <v/>
      </c>
      <c r="Z237" s="223" t="str">
        <f>IF(Z$3="","",IF(COUNTIFS(BD!$A$3:$A$5001,Z$3,BD!$B$3:$B$5001,$A$213,BD!$Z$3:$Z$5001,"&lt;&gt;")=0,"",SUMIFS(BD!$Z$3:$Z$5001,BD!$A$3:$A$5001,Z$3,BD!$B$3:$B$5001,$A$213)))</f>
        <v/>
      </c>
      <c r="AA237" s="223" t="str">
        <f>IF(AA$3="","",IF(COUNTIFS(BD!$A$3:$A$5001,AA$3,BD!$B$3:$B$5001,$A$213,BD!$Z$3:$Z$5001,"&lt;&gt;")=0,"",SUMIFS(BD!$Z$3:$Z$5001,BD!$A$3:$A$5001,AA$3,BD!$B$3:$B$5001,$A$213)))</f>
        <v/>
      </c>
      <c r="AB237" s="223" t="str">
        <f>IF(AB$3="","",IF(COUNTIFS(BD!$A$3:$A$5001,AB$3,BD!$B$3:$B$5001,$A$213,BD!$Z$3:$Z$5001,"&lt;&gt;")=0,"",SUMIFS(BD!$Z$3:$Z$5001,BD!$A$3:$A$5001,AB$3,BD!$B$3:$B$5001,$A$213)))</f>
        <v/>
      </c>
      <c r="AC237" s="223" t="str">
        <f>IF(AC$3="","",IF(COUNTIFS(BD!$A$3:$A$5001,AC$3,BD!$B$3:$B$5001,$A$213,BD!$Z$3:$Z$5001,"&lt;&gt;")=0,"",SUMIFS(BD!$Z$3:$Z$5001,BD!$A$3:$A$5001,AC$3,BD!$B$3:$B$5001,$A$213)))</f>
        <v/>
      </c>
      <c r="AD237" s="223" t="str">
        <f>IF(AD$3="","",IF(COUNTIFS(BD!$A$3:$A$5001,AD$3,BD!$B$3:$B$5001,$A$213,BD!$Z$3:$Z$5001,"&lt;&gt;")=0,"",SUMIFS(BD!$Z$3:$Z$5001,BD!$A$3:$A$5001,AD$3,BD!$B$3:$B$5001,$A$213)))</f>
        <v/>
      </c>
      <c r="AE237" s="223" t="str">
        <f>IF(AE$3="","",IF(COUNTIFS(BD!$A$3:$A$5001,AE$3,BD!$B$3:$B$5001,$A$213,BD!$Z$3:$Z$5001,"&lt;&gt;")=0,"",SUMIFS(BD!$Z$3:$Z$5001,BD!$A$3:$A$5001,AE$3,BD!$B$3:$B$5001,$A$213)))</f>
        <v/>
      </c>
      <c r="AF237" s="223" t="str">
        <f>IF(AF$3="","",IF(COUNTIFS(BD!$A$3:$A$5001,AF$3,BD!$B$3:$B$5001,$A$213,BD!$Z$3:$Z$5001,"&lt;&gt;")=0,"",SUMIFS(BD!$Z$3:$Z$5001,BD!$A$3:$A$5001,AF$3,BD!$B$3:$B$5001,$A$213)))</f>
        <v/>
      </c>
      <c r="AG237" s="223" t="str">
        <f>IF(AG$3="","",IF(COUNTIFS(BD!$A$3:$A$5001,AG$3,BD!$B$3:$B$5001,$A$213,BD!$Z$3:$Z$5001,"&lt;&gt;")=0,"",SUMIFS(BD!$Z$3:$Z$5001,BD!$A$3:$A$5001,AG$3,BD!$B$3:$B$5001,$A$213)))</f>
        <v/>
      </c>
      <c r="AH237" s="223" t="str">
        <f>IF(AH$3="","",IF(COUNTIFS(BD!$A$3:$A$5001,AH$3,BD!$B$3:$B$5001,$A$213,BD!$Z$3:$Z$5001,"&lt;&gt;")=0,"",SUMIFS(BD!$Z$3:$Z$5001,BD!$A$3:$A$5001,AH$3,BD!$B$3:$B$5001,$A$213)))</f>
        <v/>
      </c>
      <c r="AI237" s="223" t="str">
        <f>IF(AI$3="","",IF(COUNTIFS(BD!$A$3:$A$5001,AI$3,BD!$B$3:$B$5001,$A$213,BD!$Z$3:$Z$5001,"&lt;&gt;")=0,"",SUMIFS(BD!$Z$3:$Z$5001,BD!$A$3:$A$5001,AI$3,BD!$B$3:$B$5001,$A$213)))</f>
        <v/>
      </c>
      <c r="AJ237" s="224" t="str">
        <f>IF(AJ$3="","",IF(COUNTIFS(BD!$A$3:$A$5001,AJ$3,BD!$B$3:$B$5001,$A$213,BD!$Z$3:$Z$5001,"&lt;&gt;")=0,"",SUMIFS(BD!$Z$3:$Z$5001,BD!$A$3:$A$5001,AJ$3,BD!$B$3:$B$5001,$A$213)))</f>
        <v/>
      </c>
      <c r="AK237" s="225" t="str">
        <f>IF(COUNT(F237:AJ237)=0,"",SUM(F237:AJ237))</f>
        <v/>
      </c>
    </row>
    <row r="238" ht="15.75" customHeight="1" hidden="1">
      <c r="A238" s="244"/>
      <c r="B238" s="241"/>
      <c r="C238" s="219" t="inlineStr">
        <is>
          <t xml:space="preserve">Folga</t>
        </is>
      </c>
      <c r="D238" s="220" t="str">
        <f>IFERROR(1/(1/INDEX(BD!$AJ$48:$BD$48,MATCH($A$213,BD!$AJ$22:$BD$22,0))),"")</f>
        <v/>
      </c>
      <c r="E238" s="221"/>
      <c r="F238" s="222" t="str">
        <f>IF(F$3="","",IF(COUNTIFS(BD!$A$3:$A$5001,F$3,BD!$B$3:$B$5001,$A$213,BD!$AA$3:$AA$5001,"&lt;&gt;")=0,"",SUMIFS(BD!$AA$3:$AA$5001,BD!$A$3:$A$5001,F$3,BD!$B$3:$B$5001,$A$213)))</f>
        <v/>
      </c>
      <c r="G238" s="223" t="str">
        <f>IF(G$3="","",IF(COUNTIFS(BD!$A$3:$A$5001,G$3,BD!$B$3:$B$5001,$A$213,BD!$AA$3:$AA$5001,"&lt;&gt;")=0,"",SUMIFS(BD!$AA$3:$AA$5001,BD!$A$3:$A$5001,G$3,BD!$B$3:$B$5001,$A$213)))</f>
        <v/>
      </c>
      <c r="H238" s="223" t="str">
        <f>IF(H$3="","",IF(COUNTIFS(BD!$A$3:$A$5001,H$3,BD!$B$3:$B$5001,$A$213,BD!$AA$3:$AA$5001,"&lt;&gt;")=0,"",SUMIFS(BD!$AA$3:$AA$5001,BD!$A$3:$A$5001,H$3,BD!$B$3:$B$5001,$A$213)))</f>
        <v/>
      </c>
      <c r="I238" s="223" t="str">
        <f>IF(I$3="","",IF(COUNTIFS(BD!$A$3:$A$5001,I$3,BD!$B$3:$B$5001,$A$213,BD!$AA$3:$AA$5001,"&lt;&gt;")=0,"",SUMIFS(BD!$AA$3:$AA$5001,BD!$A$3:$A$5001,I$3,BD!$B$3:$B$5001,$A$213)))</f>
        <v/>
      </c>
      <c r="J238" s="223" t="str">
        <f>IF(J$3="","",IF(COUNTIFS(BD!$A$3:$A$5001,J$3,BD!$B$3:$B$5001,$A$213,BD!$AA$3:$AA$5001,"&lt;&gt;")=0,"",SUMIFS(BD!$AA$3:$AA$5001,BD!$A$3:$A$5001,J$3,BD!$B$3:$B$5001,$A$213)))</f>
        <v/>
      </c>
      <c r="K238" s="223" t="str">
        <f>IF(K$3="","",IF(COUNTIFS(BD!$A$3:$A$5001,K$3,BD!$B$3:$B$5001,$A$213,BD!$AA$3:$AA$5001,"&lt;&gt;")=0,"",SUMIFS(BD!$AA$3:$AA$5001,BD!$A$3:$A$5001,K$3,BD!$B$3:$B$5001,$A$213)))</f>
        <v/>
      </c>
      <c r="L238" s="223" t="str">
        <f>IF(L$3="","",IF(COUNTIFS(BD!$A$3:$A$5001,L$3,BD!$B$3:$B$5001,$A$213,BD!$AA$3:$AA$5001,"&lt;&gt;")=0,"",SUMIFS(BD!$AA$3:$AA$5001,BD!$A$3:$A$5001,L$3,BD!$B$3:$B$5001,$A$213)))</f>
        <v/>
      </c>
      <c r="M238" s="223" t="str">
        <f>IF(M$3="","",IF(COUNTIFS(BD!$A$3:$A$5001,M$3,BD!$B$3:$B$5001,$A$213,BD!$AA$3:$AA$5001,"&lt;&gt;")=0,"",SUMIFS(BD!$AA$3:$AA$5001,BD!$A$3:$A$5001,M$3,BD!$B$3:$B$5001,$A$213)))</f>
        <v/>
      </c>
      <c r="N238" s="223" t="str">
        <f>IF(N$3="","",IF(COUNTIFS(BD!$A$3:$A$5001,N$3,BD!$B$3:$B$5001,$A$213,BD!$AA$3:$AA$5001,"&lt;&gt;")=0,"",SUMIFS(BD!$AA$3:$AA$5001,BD!$A$3:$A$5001,N$3,BD!$B$3:$B$5001,$A$213)))</f>
        <v/>
      </c>
      <c r="O238" s="223" t="str">
        <f>IF(O$3="","",IF(COUNTIFS(BD!$A$3:$A$5001,O$3,BD!$B$3:$B$5001,$A$213,BD!$AA$3:$AA$5001,"&lt;&gt;")=0,"",SUMIFS(BD!$AA$3:$AA$5001,BD!$A$3:$A$5001,O$3,BD!$B$3:$B$5001,$A$213)))</f>
        <v/>
      </c>
      <c r="P238" s="223" t="str">
        <f>IF(P$3="","",IF(COUNTIFS(BD!$A$3:$A$5001,P$3,BD!$B$3:$B$5001,$A$213,BD!$AA$3:$AA$5001,"&lt;&gt;")=0,"",SUMIFS(BD!$AA$3:$AA$5001,BD!$A$3:$A$5001,P$3,BD!$B$3:$B$5001,$A$213)))</f>
        <v/>
      </c>
      <c r="Q238" s="223" t="str">
        <f>IF(Q$3="","",IF(COUNTIFS(BD!$A$3:$A$5001,Q$3,BD!$B$3:$B$5001,$A$213,BD!$AA$3:$AA$5001,"&lt;&gt;")=0,"",SUMIFS(BD!$AA$3:$AA$5001,BD!$A$3:$A$5001,Q$3,BD!$B$3:$B$5001,$A$213)))</f>
        <v/>
      </c>
      <c r="R238" s="223" t="str">
        <f>IF(R$3="","",IF(COUNTIFS(BD!$A$3:$A$5001,R$3,BD!$B$3:$B$5001,$A$213,BD!$AA$3:$AA$5001,"&lt;&gt;")=0,"",SUMIFS(BD!$AA$3:$AA$5001,BD!$A$3:$A$5001,R$3,BD!$B$3:$B$5001,$A$213)))</f>
        <v/>
      </c>
      <c r="S238" s="223" t="str">
        <f>IF(S$3="","",IF(COUNTIFS(BD!$A$3:$A$5001,S$3,BD!$B$3:$B$5001,$A$213,BD!$AA$3:$AA$5001,"&lt;&gt;")=0,"",SUMIFS(BD!$AA$3:$AA$5001,BD!$A$3:$A$5001,S$3,BD!$B$3:$B$5001,$A$213)))</f>
        <v/>
      </c>
      <c r="T238" s="223" t="str">
        <f>IF(T$3="","",IF(COUNTIFS(BD!$A$3:$A$5001,T$3,BD!$B$3:$B$5001,$A$213,BD!$AA$3:$AA$5001,"&lt;&gt;")=0,"",SUMIFS(BD!$AA$3:$AA$5001,BD!$A$3:$A$5001,T$3,BD!$B$3:$B$5001,$A$213)))</f>
        <v/>
      </c>
      <c r="U238" s="223" t="str">
        <f>IF(U$3="","",IF(COUNTIFS(BD!$A$3:$A$5001,U$3,BD!$B$3:$B$5001,$A$213,BD!$AA$3:$AA$5001,"&lt;&gt;")=0,"",SUMIFS(BD!$AA$3:$AA$5001,BD!$A$3:$A$5001,U$3,BD!$B$3:$B$5001,$A$213)))</f>
        <v/>
      </c>
      <c r="V238" s="223" t="str">
        <f>IF(V$3="","",IF(COUNTIFS(BD!$A$3:$A$5001,V$3,BD!$B$3:$B$5001,$A$213,BD!$AA$3:$AA$5001,"&lt;&gt;")=0,"",SUMIFS(BD!$AA$3:$AA$5001,BD!$A$3:$A$5001,V$3,BD!$B$3:$B$5001,$A$213)))</f>
        <v/>
      </c>
      <c r="W238" s="223" t="str">
        <f>IF(W$3="","",IF(COUNTIFS(BD!$A$3:$A$5001,W$3,BD!$B$3:$B$5001,$A$213,BD!$AA$3:$AA$5001,"&lt;&gt;")=0,"",SUMIFS(BD!$AA$3:$AA$5001,BD!$A$3:$A$5001,W$3,BD!$B$3:$B$5001,$A$213)))</f>
        <v/>
      </c>
      <c r="X238" s="223" t="str">
        <f>IF(X$3="","",IF(COUNTIFS(BD!$A$3:$A$5001,X$3,BD!$B$3:$B$5001,$A$213,BD!$AA$3:$AA$5001,"&lt;&gt;")=0,"",SUMIFS(BD!$AA$3:$AA$5001,BD!$A$3:$A$5001,X$3,BD!$B$3:$B$5001,$A$213)))</f>
        <v/>
      </c>
      <c r="Y238" s="223" t="str">
        <f>IF(Y$3="","",IF(COUNTIFS(BD!$A$3:$A$5001,Y$3,BD!$B$3:$B$5001,$A$213,BD!$AA$3:$AA$5001,"&lt;&gt;")=0,"",SUMIFS(BD!$AA$3:$AA$5001,BD!$A$3:$A$5001,Y$3,BD!$B$3:$B$5001,$A$213)))</f>
        <v/>
      </c>
      <c r="Z238" s="223" t="str">
        <f>IF(Z$3="","",IF(COUNTIFS(BD!$A$3:$A$5001,Z$3,BD!$B$3:$B$5001,$A$213,BD!$AA$3:$AA$5001,"&lt;&gt;")=0,"",SUMIFS(BD!$AA$3:$AA$5001,BD!$A$3:$A$5001,Z$3,BD!$B$3:$B$5001,$A$213)))</f>
        <v/>
      </c>
      <c r="AA238" s="223" t="str">
        <f>IF(AA$3="","",IF(COUNTIFS(BD!$A$3:$A$5001,AA$3,BD!$B$3:$B$5001,$A$213,BD!$AA$3:$AA$5001,"&lt;&gt;")=0,"",SUMIFS(BD!$AA$3:$AA$5001,BD!$A$3:$A$5001,AA$3,BD!$B$3:$B$5001,$A$213)))</f>
        <v/>
      </c>
      <c r="AB238" s="223" t="str">
        <f>IF(AB$3="","",IF(COUNTIFS(BD!$A$3:$A$5001,AB$3,BD!$B$3:$B$5001,$A$213,BD!$AA$3:$AA$5001,"&lt;&gt;")=0,"",SUMIFS(BD!$AA$3:$AA$5001,BD!$A$3:$A$5001,AB$3,BD!$B$3:$B$5001,$A$213)))</f>
        <v/>
      </c>
      <c r="AC238" s="223" t="str">
        <f>IF(AC$3="","",IF(COUNTIFS(BD!$A$3:$A$5001,AC$3,BD!$B$3:$B$5001,$A$213,BD!$AA$3:$AA$5001,"&lt;&gt;")=0,"",SUMIFS(BD!$AA$3:$AA$5001,BD!$A$3:$A$5001,AC$3,BD!$B$3:$B$5001,$A$213)))</f>
        <v/>
      </c>
      <c r="AD238" s="223" t="str">
        <f>IF(AD$3="","",IF(COUNTIFS(BD!$A$3:$A$5001,AD$3,BD!$B$3:$B$5001,$A$213,BD!$AA$3:$AA$5001,"&lt;&gt;")=0,"",SUMIFS(BD!$AA$3:$AA$5001,BD!$A$3:$A$5001,AD$3,BD!$B$3:$B$5001,$A$213)))</f>
        <v/>
      </c>
      <c r="AE238" s="223" t="str">
        <f>IF(AE$3="","",IF(COUNTIFS(BD!$A$3:$A$5001,AE$3,BD!$B$3:$B$5001,$A$213,BD!$AA$3:$AA$5001,"&lt;&gt;")=0,"",SUMIFS(BD!$AA$3:$AA$5001,BD!$A$3:$A$5001,AE$3,BD!$B$3:$B$5001,$A$213)))</f>
        <v/>
      </c>
      <c r="AF238" s="223" t="str">
        <f>IF(AF$3="","",IF(COUNTIFS(BD!$A$3:$A$5001,AF$3,BD!$B$3:$B$5001,$A$213,BD!$AA$3:$AA$5001,"&lt;&gt;")=0,"",SUMIFS(BD!$AA$3:$AA$5001,BD!$A$3:$A$5001,AF$3,BD!$B$3:$B$5001,$A$213)))</f>
        <v/>
      </c>
      <c r="AG238" s="223" t="str">
        <f>IF(AG$3="","",IF(COUNTIFS(BD!$A$3:$A$5001,AG$3,BD!$B$3:$B$5001,$A$213,BD!$AA$3:$AA$5001,"&lt;&gt;")=0,"",SUMIFS(BD!$AA$3:$AA$5001,BD!$A$3:$A$5001,AG$3,BD!$B$3:$B$5001,$A$213)))</f>
        <v/>
      </c>
      <c r="AH238" s="223" t="str">
        <f>IF(AH$3="","",IF(COUNTIFS(BD!$A$3:$A$5001,AH$3,BD!$B$3:$B$5001,$A$213,BD!$AA$3:$AA$5001,"&lt;&gt;")=0,"",SUMIFS(BD!$AA$3:$AA$5001,BD!$A$3:$A$5001,AH$3,BD!$B$3:$B$5001,$A$213)))</f>
        <v/>
      </c>
      <c r="AI238" s="223" t="str">
        <f>IF(AI$3="","",IF(COUNTIFS(BD!$A$3:$A$5001,AI$3,BD!$B$3:$B$5001,$A$213,BD!$AA$3:$AA$5001,"&lt;&gt;")=0,"",SUMIFS(BD!$AA$3:$AA$5001,BD!$A$3:$A$5001,AI$3,BD!$B$3:$B$5001,$A$213)))</f>
        <v/>
      </c>
      <c r="AJ238" s="224" t="str">
        <f>IF(AJ$3="","",IF(COUNTIFS(BD!$A$3:$A$5001,AJ$3,BD!$B$3:$B$5001,$A$213,BD!$AA$3:$AA$5001,"&lt;&gt;")=0,"",SUMIFS(BD!$AA$3:$AA$5001,BD!$A$3:$A$5001,AJ$3,BD!$B$3:$B$5001,$A$213)))</f>
        <v/>
      </c>
      <c r="AK238" s="225" t="str">
        <f>IF(COUNT(F238:AJ238)=0,"",SUM(F238:AJ238))</f>
        <v/>
      </c>
    </row>
    <row r="239" ht="15.75" customHeight="1" hidden="1">
      <c r="A239" s="244"/>
      <c r="B239" s="241"/>
      <c r="C239" s="219" t="inlineStr">
        <is>
          <t xml:space="preserve">Férias</t>
        </is>
      </c>
      <c r="D239" s="220" t="str">
        <f>IFERROR(1/(1/INDEX(BD!$AJ$49:$BD$49,MATCH($A$213,BD!$AJ$22:$BD$22,0))),"")</f>
        <v/>
      </c>
      <c r="E239" s="221"/>
      <c r="F239" s="222" t="str">
        <f>IF(F$3="","",IF(COUNTIFS(BD!$A$3:$A$5001,F$3,BD!$B$3:$B$5001,$A$213,BD!$AB$3:$AB$5001,"&lt;&gt;")=0,"",SUMIFS(BD!$AB$3:$AB$5001,BD!$A$3:$A$5001,F$3,BD!$B$3:$B$5001,$A$213)))</f>
        <v/>
      </c>
      <c r="G239" s="223" t="str">
        <f>IF(G$3="","",IF(COUNTIFS(BD!$A$3:$A$5001,G$3,BD!$B$3:$B$5001,$A$213,BD!$AB$3:$AB$5001,"&lt;&gt;")=0,"",SUMIFS(BD!$AB$3:$AB$5001,BD!$A$3:$A$5001,G$3,BD!$B$3:$B$5001,$A$213)))</f>
        <v/>
      </c>
      <c r="H239" s="223" t="str">
        <f>IF(H$3="","",IF(COUNTIFS(BD!$A$3:$A$5001,H$3,BD!$B$3:$B$5001,$A$213,BD!$AB$3:$AB$5001,"&lt;&gt;")=0,"",SUMIFS(BD!$AB$3:$AB$5001,BD!$A$3:$A$5001,H$3,BD!$B$3:$B$5001,$A$213)))</f>
        <v/>
      </c>
      <c r="I239" s="223" t="str">
        <f>IF(I$3="","",IF(COUNTIFS(BD!$A$3:$A$5001,I$3,BD!$B$3:$B$5001,$A$213,BD!$AB$3:$AB$5001,"&lt;&gt;")=0,"",SUMIFS(BD!$AB$3:$AB$5001,BD!$A$3:$A$5001,I$3,BD!$B$3:$B$5001,$A$213)))</f>
        <v/>
      </c>
      <c r="J239" s="223" t="str">
        <f>IF(J$3="","",IF(COUNTIFS(BD!$A$3:$A$5001,J$3,BD!$B$3:$B$5001,$A$213,BD!$AB$3:$AB$5001,"&lt;&gt;")=0,"",SUMIFS(BD!$AB$3:$AB$5001,BD!$A$3:$A$5001,J$3,BD!$B$3:$B$5001,$A$213)))</f>
        <v/>
      </c>
      <c r="K239" s="223" t="str">
        <f>IF(K$3="","",IF(COUNTIFS(BD!$A$3:$A$5001,K$3,BD!$B$3:$B$5001,$A$213,BD!$AB$3:$AB$5001,"&lt;&gt;")=0,"",SUMIFS(BD!$AB$3:$AB$5001,BD!$A$3:$A$5001,K$3,BD!$B$3:$B$5001,$A$213)))</f>
        <v/>
      </c>
      <c r="L239" s="223" t="str">
        <f>IF(L$3="","",IF(COUNTIFS(BD!$A$3:$A$5001,L$3,BD!$B$3:$B$5001,$A$213,BD!$AB$3:$AB$5001,"&lt;&gt;")=0,"",SUMIFS(BD!$AB$3:$AB$5001,BD!$A$3:$A$5001,L$3,BD!$B$3:$B$5001,$A$213)))</f>
        <v/>
      </c>
      <c r="M239" s="223" t="str">
        <f>IF(M$3="","",IF(COUNTIFS(BD!$A$3:$A$5001,M$3,BD!$B$3:$B$5001,$A$213,BD!$AB$3:$AB$5001,"&lt;&gt;")=0,"",SUMIFS(BD!$AB$3:$AB$5001,BD!$A$3:$A$5001,M$3,BD!$B$3:$B$5001,$A$213)))</f>
        <v/>
      </c>
      <c r="N239" s="223" t="str">
        <f>IF(N$3="","",IF(COUNTIFS(BD!$A$3:$A$5001,N$3,BD!$B$3:$B$5001,$A$213,BD!$AB$3:$AB$5001,"&lt;&gt;")=0,"",SUMIFS(BD!$AB$3:$AB$5001,BD!$A$3:$A$5001,N$3,BD!$B$3:$B$5001,$A$213)))</f>
        <v/>
      </c>
      <c r="O239" s="223" t="str">
        <f>IF(O$3="","",IF(COUNTIFS(BD!$A$3:$A$5001,O$3,BD!$B$3:$B$5001,$A$213,BD!$AB$3:$AB$5001,"&lt;&gt;")=0,"",SUMIFS(BD!$AB$3:$AB$5001,BD!$A$3:$A$5001,O$3,BD!$B$3:$B$5001,$A$213)))</f>
        <v/>
      </c>
      <c r="P239" s="223" t="str">
        <f>IF(P$3="","",IF(COUNTIFS(BD!$A$3:$A$5001,P$3,BD!$B$3:$B$5001,$A$213,BD!$AB$3:$AB$5001,"&lt;&gt;")=0,"",SUMIFS(BD!$AB$3:$AB$5001,BD!$A$3:$A$5001,P$3,BD!$B$3:$B$5001,$A$213)))</f>
        <v/>
      </c>
      <c r="Q239" s="223" t="str">
        <f>IF(Q$3="","",IF(COUNTIFS(BD!$A$3:$A$5001,Q$3,BD!$B$3:$B$5001,$A$213,BD!$AB$3:$AB$5001,"&lt;&gt;")=0,"",SUMIFS(BD!$AB$3:$AB$5001,BD!$A$3:$A$5001,Q$3,BD!$B$3:$B$5001,$A$213)))</f>
        <v/>
      </c>
      <c r="R239" s="223" t="str">
        <f>IF(R$3="","",IF(COUNTIFS(BD!$A$3:$A$5001,R$3,BD!$B$3:$B$5001,$A$213,BD!$AB$3:$AB$5001,"&lt;&gt;")=0,"",SUMIFS(BD!$AB$3:$AB$5001,BD!$A$3:$A$5001,R$3,BD!$B$3:$B$5001,$A$213)))</f>
        <v/>
      </c>
      <c r="S239" s="223" t="str">
        <f>IF(S$3="","",IF(COUNTIFS(BD!$A$3:$A$5001,S$3,BD!$B$3:$B$5001,$A$213,BD!$AB$3:$AB$5001,"&lt;&gt;")=0,"",SUMIFS(BD!$AB$3:$AB$5001,BD!$A$3:$A$5001,S$3,BD!$B$3:$B$5001,$A$213)))</f>
        <v/>
      </c>
      <c r="T239" s="223" t="str">
        <f>IF(T$3="","",IF(COUNTIFS(BD!$A$3:$A$5001,T$3,BD!$B$3:$B$5001,$A$213,BD!$AB$3:$AB$5001,"&lt;&gt;")=0,"",SUMIFS(BD!$AB$3:$AB$5001,BD!$A$3:$A$5001,T$3,BD!$B$3:$B$5001,$A$213)))</f>
        <v/>
      </c>
      <c r="U239" s="223" t="str">
        <f>IF(U$3="","",IF(COUNTIFS(BD!$A$3:$A$5001,U$3,BD!$B$3:$B$5001,$A$213,BD!$AB$3:$AB$5001,"&lt;&gt;")=0,"",SUMIFS(BD!$AB$3:$AB$5001,BD!$A$3:$A$5001,U$3,BD!$B$3:$B$5001,$A$213)))</f>
        <v/>
      </c>
      <c r="V239" s="223" t="str">
        <f>IF(V$3="","",IF(COUNTIFS(BD!$A$3:$A$5001,V$3,BD!$B$3:$B$5001,$A$213,BD!$AB$3:$AB$5001,"&lt;&gt;")=0,"",SUMIFS(BD!$AB$3:$AB$5001,BD!$A$3:$A$5001,V$3,BD!$B$3:$B$5001,$A$213)))</f>
        <v/>
      </c>
      <c r="W239" s="223" t="str">
        <f>IF(W$3="","",IF(COUNTIFS(BD!$A$3:$A$5001,W$3,BD!$B$3:$B$5001,$A$213,BD!$AB$3:$AB$5001,"&lt;&gt;")=0,"",SUMIFS(BD!$AB$3:$AB$5001,BD!$A$3:$A$5001,W$3,BD!$B$3:$B$5001,$A$213)))</f>
        <v/>
      </c>
      <c r="X239" s="223" t="str">
        <f>IF(X$3="","",IF(COUNTIFS(BD!$A$3:$A$5001,X$3,BD!$B$3:$B$5001,$A$213,BD!$AB$3:$AB$5001,"&lt;&gt;")=0,"",SUMIFS(BD!$AB$3:$AB$5001,BD!$A$3:$A$5001,X$3,BD!$B$3:$B$5001,$A$213)))</f>
        <v/>
      </c>
      <c r="Y239" s="223" t="str">
        <f>IF(Y$3="","",IF(COUNTIFS(BD!$A$3:$A$5001,Y$3,BD!$B$3:$B$5001,$A$213,BD!$AB$3:$AB$5001,"&lt;&gt;")=0,"",SUMIFS(BD!$AB$3:$AB$5001,BD!$A$3:$A$5001,Y$3,BD!$B$3:$B$5001,$A$213)))</f>
        <v/>
      </c>
      <c r="Z239" s="223" t="str">
        <f>IF(Z$3="","",IF(COUNTIFS(BD!$A$3:$A$5001,Z$3,BD!$B$3:$B$5001,$A$213,BD!$AB$3:$AB$5001,"&lt;&gt;")=0,"",SUMIFS(BD!$AB$3:$AB$5001,BD!$A$3:$A$5001,Z$3,BD!$B$3:$B$5001,$A$213)))</f>
        <v/>
      </c>
      <c r="AA239" s="223" t="str">
        <f>IF(AA$3="","",IF(COUNTIFS(BD!$A$3:$A$5001,AA$3,BD!$B$3:$B$5001,$A$213,BD!$AB$3:$AB$5001,"&lt;&gt;")=0,"",SUMIFS(BD!$AB$3:$AB$5001,BD!$A$3:$A$5001,AA$3,BD!$B$3:$B$5001,$A$213)))</f>
        <v/>
      </c>
      <c r="AB239" s="223" t="str">
        <f>IF(AB$3="","",IF(COUNTIFS(BD!$A$3:$A$5001,AB$3,BD!$B$3:$B$5001,$A$213,BD!$AB$3:$AB$5001,"&lt;&gt;")=0,"",SUMIFS(BD!$AB$3:$AB$5001,BD!$A$3:$A$5001,AB$3,BD!$B$3:$B$5001,$A$213)))</f>
        <v/>
      </c>
      <c r="AC239" s="223" t="str">
        <f>IF(AC$3="","",IF(COUNTIFS(BD!$A$3:$A$5001,AC$3,BD!$B$3:$B$5001,$A$213,BD!$AB$3:$AB$5001,"&lt;&gt;")=0,"",SUMIFS(BD!$AB$3:$AB$5001,BD!$A$3:$A$5001,AC$3,BD!$B$3:$B$5001,$A$213)))</f>
        <v/>
      </c>
      <c r="AD239" s="223" t="str">
        <f>IF(AD$3="","",IF(COUNTIFS(BD!$A$3:$A$5001,AD$3,BD!$B$3:$B$5001,$A$213,BD!$AB$3:$AB$5001,"&lt;&gt;")=0,"",SUMIFS(BD!$AB$3:$AB$5001,BD!$A$3:$A$5001,AD$3,BD!$B$3:$B$5001,$A$213)))</f>
        <v/>
      </c>
      <c r="AE239" s="223" t="str">
        <f>IF(AE$3="","",IF(COUNTIFS(BD!$A$3:$A$5001,AE$3,BD!$B$3:$B$5001,$A$213,BD!$AB$3:$AB$5001,"&lt;&gt;")=0,"",SUMIFS(BD!$AB$3:$AB$5001,BD!$A$3:$A$5001,AE$3,BD!$B$3:$B$5001,$A$213)))</f>
        <v/>
      </c>
      <c r="AF239" s="223" t="str">
        <f>IF(AF$3="","",IF(COUNTIFS(BD!$A$3:$A$5001,AF$3,BD!$B$3:$B$5001,$A$213,BD!$AB$3:$AB$5001,"&lt;&gt;")=0,"",SUMIFS(BD!$AB$3:$AB$5001,BD!$A$3:$A$5001,AF$3,BD!$B$3:$B$5001,$A$213)))</f>
        <v/>
      </c>
      <c r="AG239" s="223" t="str">
        <f>IF(AG$3="","",IF(COUNTIFS(BD!$A$3:$A$5001,AG$3,BD!$B$3:$B$5001,$A$213,BD!$AB$3:$AB$5001,"&lt;&gt;")=0,"",SUMIFS(BD!$AB$3:$AB$5001,BD!$A$3:$A$5001,AG$3,BD!$B$3:$B$5001,$A$213)))</f>
        <v/>
      </c>
      <c r="AH239" s="223" t="str">
        <f>IF(AH$3="","",IF(COUNTIFS(BD!$A$3:$A$5001,AH$3,BD!$B$3:$B$5001,$A$213,BD!$AB$3:$AB$5001,"&lt;&gt;")=0,"",SUMIFS(BD!$AB$3:$AB$5001,BD!$A$3:$A$5001,AH$3,BD!$B$3:$B$5001,$A$213)))</f>
        <v/>
      </c>
      <c r="AI239" s="223" t="str">
        <f>IF(AI$3="","",IF(COUNTIFS(BD!$A$3:$A$5001,AI$3,BD!$B$3:$B$5001,$A$213,BD!$AB$3:$AB$5001,"&lt;&gt;")=0,"",SUMIFS(BD!$AB$3:$AB$5001,BD!$A$3:$A$5001,AI$3,BD!$B$3:$B$5001,$A$213)))</f>
        <v/>
      </c>
      <c r="AJ239" s="224" t="str">
        <f>IF(AJ$3="","",IF(COUNTIFS(BD!$A$3:$A$5001,AJ$3,BD!$B$3:$B$5001,$A$213,BD!$AB$3:$AB$5001,"&lt;&gt;")=0,"",SUMIFS(BD!$AB$3:$AB$5001,BD!$A$3:$A$5001,AJ$3,BD!$B$3:$B$5001,$A$213)))</f>
        <v/>
      </c>
      <c r="AK239" s="225" t="str">
        <f>IF(COUNT(F239:AJ239)=0,"",SUM(F239:AJ239))</f>
        <v/>
      </c>
    </row>
    <row r="240" ht="15.75" customHeight="1" hidden="1">
      <c r="A240" s="244"/>
      <c r="B240" s="241"/>
      <c r="C240" s="219" t="inlineStr">
        <is>
          <t xml:space="preserve">Desligamento</t>
        </is>
      </c>
      <c r="D240" s="220" t="str">
        <f>IFERROR(1/(1/INDEX(BD!$AJ$50:$BD$50,MATCH($A$213,BD!$AJ$22:$BD$22,0))),"")</f>
        <v/>
      </c>
      <c r="E240" s="221"/>
      <c r="F240" s="222" t="str">
        <f>IF(F$3="","",IF(COUNTIFS(BD!$A$3:$A$5001,F$3,BD!$B$3:$B$5001,$A$213,BD!$AC$3:$AC$5001,"&lt;&gt;")=0,"",SUMIFS(BD!$AC$3:$AC$5001,BD!$A$3:$A$5001,F$3,BD!$B$3:$B$5001,$A$213)))</f>
        <v/>
      </c>
      <c r="G240" s="223" t="str">
        <f>IF(G$3="","",IF(COUNTIFS(BD!$A$3:$A$5001,G$3,BD!$B$3:$B$5001,$A$213,BD!$AC$3:$AC$5001,"&lt;&gt;")=0,"",SUMIFS(BD!$AC$3:$AC$5001,BD!$A$3:$A$5001,G$3,BD!$B$3:$B$5001,$A$213)))</f>
        <v/>
      </c>
      <c r="H240" s="223" t="str">
        <f>IF(H$3="","",IF(COUNTIFS(BD!$A$3:$A$5001,H$3,BD!$B$3:$B$5001,$A$213,BD!$AC$3:$AC$5001,"&lt;&gt;")=0,"",SUMIFS(BD!$AC$3:$AC$5001,BD!$A$3:$A$5001,H$3,BD!$B$3:$B$5001,$A$213)))</f>
        <v/>
      </c>
      <c r="I240" s="223" t="str">
        <f>IF(I$3="","",IF(COUNTIFS(BD!$A$3:$A$5001,I$3,BD!$B$3:$B$5001,$A$213,BD!$AC$3:$AC$5001,"&lt;&gt;")=0,"",SUMIFS(BD!$AC$3:$AC$5001,BD!$A$3:$A$5001,I$3,BD!$B$3:$B$5001,$A$213)))</f>
        <v/>
      </c>
      <c r="J240" s="223" t="str">
        <f>IF(J$3="","",IF(COUNTIFS(BD!$A$3:$A$5001,J$3,BD!$B$3:$B$5001,$A$213,BD!$AC$3:$AC$5001,"&lt;&gt;")=0,"",SUMIFS(BD!$AC$3:$AC$5001,BD!$A$3:$A$5001,J$3,BD!$B$3:$B$5001,$A$213)))</f>
        <v/>
      </c>
      <c r="K240" s="223" t="str">
        <f>IF(K$3="","",IF(COUNTIFS(BD!$A$3:$A$5001,K$3,BD!$B$3:$B$5001,$A$213,BD!$AC$3:$AC$5001,"&lt;&gt;")=0,"",SUMIFS(BD!$AC$3:$AC$5001,BD!$A$3:$A$5001,K$3,BD!$B$3:$B$5001,$A$213)))</f>
        <v/>
      </c>
      <c r="L240" s="223" t="str">
        <f>IF(L$3="","",IF(COUNTIFS(BD!$A$3:$A$5001,L$3,BD!$B$3:$B$5001,$A$213,BD!$AC$3:$AC$5001,"&lt;&gt;")=0,"",SUMIFS(BD!$AC$3:$AC$5001,BD!$A$3:$A$5001,L$3,BD!$B$3:$B$5001,$A$213)))</f>
        <v/>
      </c>
      <c r="M240" s="223" t="str">
        <f>IF(M$3="","",IF(COUNTIFS(BD!$A$3:$A$5001,M$3,BD!$B$3:$B$5001,$A$213,BD!$AC$3:$AC$5001,"&lt;&gt;")=0,"",SUMIFS(BD!$AC$3:$AC$5001,BD!$A$3:$A$5001,M$3,BD!$B$3:$B$5001,$A$213)))</f>
        <v/>
      </c>
      <c r="N240" s="223" t="str">
        <f>IF(N$3="","",IF(COUNTIFS(BD!$A$3:$A$5001,N$3,BD!$B$3:$B$5001,$A$213,BD!$AC$3:$AC$5001,"&lt;&gt;")=0,"",SUMIFS(BD!$AC$3:$AC$5001,BD!$A$3:$A$5001,N$3,BD!$B$3:$B$5001,$A$213)))</f>
        <v/>
      </c>
      <c r="O240" s="223" t="str">
        <f>IF(O$3="","",IF(COUNTIFS(BD!$A$3:$A$5001,O$3,BD!$B$3:$B$5001,$A$213,BD!$AC$3:$AC$5001,"&lt;&gt;")=0,"",SUMIFS(BD!$AC$3:$AC$5001,BD!$A$3:$A$5001,O$3,BD!$B$3:$B$5001,$A$213)))</f>
        <v/>
      </c>
      <c r="P240" s="223" t="str">
        <f>IF(P$3="","",IF(COUNTIFS(BD!$A$3:$A$5001,P$3,BD!$B$3:$B$5001,$A$213,BD!$AC$3:$AC$5001,"&lt;&gt;")=0,"",SUMIFS(BD!$AC$3:$AC$5001,BD!$A$3:$A$5001,P$3,BD!$B$3:$B$5001,$A$213)))</f>
        <v/>
      </c>
      <c r="Q240" s="223" t="str">
        <f>IF(Q$3="","",IF(COUNTIFS(BD!$A$3:$A$5001,Q$3,BD!$B$3:$B$5001,$A$213,BD!$AC$3:$AC$5001,"&lt;&gt;")=0,"",SUMIFS(BD!$AC$3:$AC$5001,BD!$A$3:$A$5001,Q$3,BD!$B$3:$B$5001,$A$213)))</f>
        <v/>
      </c>
      <c r="R240" s="223" t="str">
        <f>IF(R$3="","",IF(COUNTIFS(BD!$A$3:$A$5001,R$3,BD!$B$3:$B$5001,$A$213,BD!$AC$3:$AC$5001,"&lt;&gt;")=0,"",SUMIFS(BD!$AC$3:$AC$5001,BD!$A$3:$A$5001,R$3,BD!$B$3:$B$5001,$A$213)))</f>
        <v/>
      </c>
      <c r="S240" s="223" t="str">
        <f>IF(S$3="","",IF(COUNTIFS(BD!$A$3:$A$5001,S$3,BD!$B$3:$B$5001,$A$213,BD!$AC$3:$AC$5001,"&lt;&gt;")=0,"",SUMIFS(BD!$AC$3:$AC$5001,BD!$A$3:$A$5001,S$3,BD!$B$3:$B$5001,$A$213)))</f>
        <v/>
      </c>
      <c r="T240" s="223" t="str">
        <f>IF(T$3="","",IF(COUNTIFS(BD!$A$3:$A$5001,T$3,BD!$B$3:$B$5001,$A$213,BD!$AC$3:$AC$5001,"&lt;&gt;")=0,"",SUMIFS(BD!$AC$3:$AC$5001,BD!$A$3:$A$5001,T$3,BD!$B$3:$B$5001,$A$213)))</f>
        <v/>
      </c>
      <c r="U240" s="223" t="str">
        <f>IF(U$3="","",IF(COUNTIFS(BD!$A$3:$A$5001,U$3,BD!$B$3:$B$5001,$A$213,BD!$AC$3:$AC$5001,"&lt;&gt;")=0,"",SUMIFS(BD!$AC$3:$AC$5001,BD!$A$3:$A$5001,U$3,BD!$B$3:$B$5001,$A$213)))</f>
        <v/>
      </c>
      <c r="V240" s="223" t="str">
        <f>IF(V$3="","",IF(COUNTIFS(BD!$A$3:$A$5001,V$3,BD!$B$3:$B$5001,$A$213,BD!$AC$3:$AC$5001,"&lt;&gt;")=0,"",SUMIFS(BD!$AC$3:$AC$5001,BD!$A$3:$A$5001,V$3,BD!$B$3:$B$5001,$A$213)))</f>
        <v/>
      </c>
      <c r="W240" s="223" t="str">
        <f>IF(W$3="","",IF(COUNTIFS(BD!$A$3:$A$5001,W$3,BD!$B$3:$B$5001,$A$213,BD!$AC$3:$AC$5001,"&lt;&gt;")=0,"",SUMIFS(BD!$AC$3:$AC$5001,BD!$A$3:$A$5001,W$3,BD!$B$3:$B$5001,$A$213)))</f>
        <v/>
      </c>
      <c r="X240" s="223" t="str">
        <f>IF(X$3="","",IF(COUNTIFS(BD!$A$3:$A$5001,X$3,BD!$B$3:$B$5001,$A$213,BD!$AC$3:$AC$5001,"&lt;&gt;")=0,"",SUMIFS(BD!$AC$3:$AC$5001,BD!$A$3:$A$5001,X$3,BD!$B$3:$B$5001,$A$213)))</f>
        <v/>
      </c>
      <c r="Y240" s="223" t="str">
        <f>IF(Y$3="","",IF(COUNTIFS(BD!$A$3:$A$5001,Y$3,BD!$B$3:$B$5001,$A$213,BD!$AC$3:$AC$5001,"&lt;&gt;")=0,"",SUMIFS(BD!$AC$3:$AC$5001,BD!$A$3:$A$5001,Y$3,BD!$B$3:$B$5001,$A$213)))</f>
        <v/>
      </c>
      <c r="Z240" s="223" t="str">
        <f>IF(Z$3="","",IF(COUNTIFS(BD!$A$3:$A$5001,Z$3,BD!$B$3:$B$5001,$A$213,BD!$AC$3:$AC$5001,"&lt;&gt;")=0,"",SUMIFS(BD!$AC$3:$AC$5001,BD!$A$3:$A$5001,Z$3,BD!$B$3:$B$5001,$A$213)))</f>
        <v/>
      </c>
      <c r="AA240" s="223" t="str">
        <f>IF(AA$3="","",IF(COUNTIFS(BD!$A$3:$A$5001,AA$3,BD!$B$3:$B$5001,$A$213,BD!$AC$3:$AC$5001,"&lt;&gt;")=0,"",SUMIFS(BD!$AC$3:$AC$5001,BD!$A$3:$A$5001,AA$3,BD!$B$3:$B$5001,$A$213)))</f>
        <v/>
      </c>
      <c r="AB240" s="223" t="str">
        <f>IF(AB$3="","",IF(COUNTIFS(BD!$A$3:$A$5001,AB$3,BD!$B$3:$B$5001,$A$213,BD!$AC$3:$AC$5001,"&lt;&gt;")=0,"",SUMIFS(BD!$AC$3:$AC$5001,BD!$A$3:$A$5001,AB$3,BD!$B$3:$B$5001,$A$213)))</f>
        <v/>
      </c>
      <c r="AC240" s="223" t="str">
        <f>IF(AC$3="","",IF(COUNTIFS(BD!$A$3:$A$5001,AC$3,BD!$B$3:$B$5001,$A$213,BD!$AC$3:$AC$5001,"&lt;&gt;")=0,"",SUMIFS(BD!$AC$3:$AC$5001,BD!$A$3:$A$5001,AC$3,BD!$B$3:$B$5001,$A$213)))</f>
        <v/>
      </c>
      <c r="AD240" s="223" t="str">
        <f>IF(AD$3="","",IF(COUNTIFS(BD!$A$3:$A$5001,AD$3,BD!$B$3:$B$5001,$A$213,BD!$AC$3:$AC$5001,"&lt;&gt;")=0,"",SUMIFS(BD!$AC$3:$AC$5001,BD!$A$3:$A$5001,AD$3,BD!$B$3:$B$5001,$A$213)))</f>
        <v/>
      </c>
      <c r="AE240" s="223" t="str">
        <f>IF(AE$3="","",IF(COUNTIFS(BD!$A$3:$A$5001,AE$3,BD!$B$3:$B$5001,$A$213,BD!$AC$3:$AC$5001,"&lt;&gt;")=0,"",SUMIFS(BD!$AC$3:$AC$5001,BD!$A$3:$A$5001,AE$3,BD!$B$3:$B$5001,$A$213)))</f>
        <v/>
      </c>
      <c r="AF240" s="223" t="str">
        <f>IF(AF$3="","",IF(COUNTIFS(BD!$A$3:$A$5001,AF$3,BD!$B$3:$B$5001,$A$213,BD!$AC$3:$AC$5001,"&lt;&gt;")=0,"",SUMIFS(BD!$AC$3:$AC$5001,BD!$A$3:$A$5001,AF$3,BD!$B$3:$B$5001,$A$213)))</f>
        <v/>
      </c>
      <c r="AG240" s="223" t="str">
        <f>IF(AG$3="","",IF(COUNTIFS(BD!$A$3:$A$5001,AG$3,BD!$B$3:$B$5001,$A$213,BD!$AC$3:$AC$5001,"&lt;&gt;")=0,"",SUMIFS(BD!$AC$3:$AC$5001,BD!$A$3:$A$5001,AG$3,BD!$B$3:$B$5001,$A$213)))</f>
        <v/>
      </c>
      <c r="AH240" s="223" t="str">
        <f>IF(AH$3="","",IF(COUNTIFS(BD!$A$3:$A$5001,AH$3,BD!$B$3:$B$5001,$A$213,BD!$AC$3:$AC$5001,"&lt;&gt;")=0,"",SUMIFS(BD!$AC$3:$AC$5001,BD!$A$3:$A$5001,AH$3,BD!$B$3:$B$5001,$A$213)))</f>
        <v/>
      </c>
      <c r="AI240" s="223" t="str">
        <f>IF(AI$3="","",IF(COUNTIFS(BD!$A$3:$A$5001,AI$3,BD!$B$3:$B$5001,$A$213,BD!$AC$3:$AC$5001,"&lt;&gt;")=0,"",SUMIFS(BD!$AC$3:$AC$5001,BD!$A$3:$A$5001,AI$3,BD!$B$3:$B$5001,$A$213)))</f>
        <v/>
      </c>
      <c r="AJ240" s="224" t="str">
        <f>IF(AJ$3="","",IF(COUNTIFS(BD!$A$3:$A$5001,AJ$3,BD!$B$3:$B$5001,$A$213,BD!$AC$3:$AC$5001,"&lt;&gt;")=0,"",SUMIFS(BD!$AC$3:$AC$5001,BD!$A$3:$A$5001,AJ$3,BD!$B$3:$B$5001,$A$213)))</f>
        <v/>
      </c>
      <c r="AK240" s="225" t="str">
        <f>IF(COUNT(F240:AJ240)=0,"",SUM(F240:AJ240))</f>
        <v/>
      </c>
    </row>
    <row r="241" ht="15.75" customHeight="1" hidden="1">
      <c r="A241" s="244"/>
      <c r="B241" s="241"/>
      <c r="C241" s="219" t="inlineStr">
        <is>
          <t xml:space="preserve">Desvios Comportamentais</t>
        </is>
      </c>
      <c r="D241" s="220" t="str">
        <f>IFERROR(1/(1/INDEX(BD!$AJ$51:$BD$51,MATCH($A$213,BD!$AJ$22:$BD$22,0))),"")</f>
        <v/>
      </c>
      <c r="E241" s="221"/>
      <c r="F241" s="222" t="str">
        <f>IF(F$3="","",IF(COUNTIFS(BD!$A$3:$A$5001,F$3,BD!$B$3:$B$5001,$A$213,BD!$AD$3:$AD$5001,"&lt;&gt;")=0,"",SUMIFS(BD!$AD$3:$AD$5001,BD!$A$3:$A$5001,F$3,BD!$B$3:$B$5001,$A$213)))</f>
        <v/>
      </c>
      <c r="G241" s="223" t="str">
        <f>IF(G$3="","",IF(COUNTIFS(BD!$A$3:$A$5001,G$3,BD!$B$3:$B$5001,$A$213,BD!$AD$3:$AD$5001,"&lt;&gt;")=0,"",SUMIFS(BD!$AD$3:$AD$5001,BD!$A$3:$A$5001,G$3,BD!$B$3:$B$5001,$A$213)))</f>
        <v/>
      </c>
      <c r="H241" s="223" t="str">
        <f>IF(H$3="","",IF(COUNTIFS(BD!$A$3:$A$5001,H$3,BD!$B$3:$B$5001,$A$213,BD!$AD$3:$AD$5001,"&lt;&gt;")=0,"",SUMIFS(BD!$AD$3:$AD$5001,BD!$A$3:$A$5001,H$3,BD!$B$3:$B$5001,$A$213)))</f>
        <v/>
      </c>
      <c r="I241" s="223" t="str">
        <f>IF(I$3="","",IF(COUNTIFS(BD!$A$3:$A$5001,I$3,BD!$B$3:$B$5001,$A$213,BD!$AD$3:$AD$5001,"&lt;&gt;")=0,"",SUMIFS(BD!$AD$3:$AD$5001,BD!$A$3:$A$5001,I$3,BD!$B$3:$B$5001,$A$213)))</f>
        <v/>
      </c>
      <c r="J241" s="223" t="str">
        <f>IF(J$3="","",IF(COUNTIFS(BD!$A$3:$A$5001,J$3,BD!$B$3:$B$5001,$A$213,BD!$AD$3:$AD$5001,"&lt;&gt;")=0,"",SUMIFS(BD!$AD$3:$AD$5001,BD!$A$3:$A$5001,J$3,BD!$B$3:$B$5001,$A$213)))</f>
        <v/>
      </c>
      <c r="K241" s="223" t="str">
        <f>IF(K$3="","",IF(COUNTIFS(BD!$A$3:$A$5001,K$3,BD!$B$3:$B$5001,$A$213,BD!$AD$3:$AD$5001,"&lt;&gt;")=0,"",SUMIFS(BD!$AD$3:$AD$5001,BD!$A$3:$A$5001,K$3,BD!$B$3:$B$5001,$A$213)))</f>
        <v/>
      </c>
      <c r="L241" s="223" t="str">
        <f>IF(L$3="","",IF(COUNTIFS(BD!$A$3:$A$5001,L$3,BD!$B$3:$B$5001,$A$213,BD!$AD$3:$AD$5001,"&lt;&gt;")=0,"",SUMIFS(BD!$AD$3:$AD$5001,BD!$A$3:$A$5001,L$3,BD!$B$3:$B$5001,$A$213)))</f>
        <v/>
      </c>
      <c r="M241" s="223" t="str">
        <f>IF(M$3="","",IF(COUNTIFS(BD!$A$3:$A$5001,M$3,BD!$B$3:$B$5001,$A$213,BD!$AD$3:$AD$5001,"&lt;&gt;")=0,"",SUMIFS(BD!$AD$3:$AD$5001,BD!$A$3:$A$5001,M$3,BD!$B$3:$B$5001,$A$213)))</f>
        <v/>
      </c>
      <c r="N241" s="223" t="str">
        <f>IF(N$3="","",IF(COUNTIFS(BD!$A$3:$A$5001,N$3,BD!$B$3:$B$5001,$A$213,BD!$AD$3:$AD$5001,"&lt;&gt;")=0,"",SUMIFS(BD!$AD$3:$AD$5001,BD!$A$3:$A$5001,N$3,BD!$B$3:$B$5001,$A$213)))</f>
        <v/>
      </c>
      <c r="O241" s="223" t="str">
        <f>IF(O$3="","",IF(COUNTIFS(BD!$A$3:$A$5001,O$3,BD!$B$3:$B$5001,$A$213,BD!$AD$3:$AD$5001,"&lt;&gt;")=0,"",SUMIFS(BD!$AD$3:$AD$5001,BD!$A$3:$A$5001,O$3,BD!$B$3:$B$5001,$A$213)))</f>
        <v/>
      </c>
      <c r="P241" s="223" t="str">
        <f>IF(P$3="","",IF(COUNTIFS(BD!$A$3:$A$5001,P$3,BD!$B$3:$B$5001,$A$213,BD!$AD$3:$AD$5001,"&lt;&gt;")=0,"",SUMIFS(BD!$AD$3:$AD$5001,BD!$A$3:$A$5001,P$3,BD!$B$3:$B$5001,$A$213)))</f>
        <v/>
      </c>
      <c r="Q241" s="223" t="str">
        <f>IF(Q$3="","",IF(COUNTIFS(BD!$A$3:$A$5001,Q$3,BD!$B$3:$B$5001,$A$213,BD!$AD$3:$AD$5001,"&lt;&gt;")=0,"",SUMIFS(BD!$AD$3:$AD$5001,BD!$A$3:$A$5001,Q$3,BD!$B$3:$B$5001,$A$213)))</f>
        <v/>
      </c>
      <c r="R241" s="223" t="str">
        <f>IF(R$3="","",IF(COUNTIFS(BD!$A$3:$A$5001,R$3,BD!$B$3:$B$5001,$A$213,BD!$AD$3:$AD$5001,"&lt;&gt;")=0,"",SUMIFS(BD!$AD$3:$AD$5001,BD!$A$3:$A$5001,R$3,BD!$B$3:$B$5001,$A$213)))</f>
        <v/>
      </c>
      <c r="S241" s="223" t="str">
        <f>IF(S$3="","",IF(COUNTIFS(BD!$A$3:$A$5001,S$3,BD!$B$3:$B$5001,$A$213,BD!$AD$3:$AD$5001,"&lt;&gt;")=0,"",SUMIFS(BD!$AD$3:$AD$5001,BD!$A$3:$A$5001,S$3,BD!$B$3:$B$5001,$A$213)))</f>
        <v/>
      </c>
      <c r="T241" s="223" t="str">
        <f>IF(T$3="","",IF(COUNTIFS(BD!$A$3:$A$5001,T$3,BD!$B$3:$B$5001,$A$213,BD!$AD$3:$AD$5001,"&lt;&gt;")=0,"",SUMIFS(BD!$AD$3:$AD$5001,BD!$A$3:$A$5001,T$3,BD!$B$3:$B$5001,$A$213)))</f>
        <v/>
      </c>
      <c r="U241" s="223" t="str">
        <f>IF(U$3="","",IF(COUNTIFS(BD!$A$3:$A$5001,U$3,BD!$B$3:$B$5001,$A$213,BD!$AD$3:$AD$5001,"&lt;&gt;")=0,"",SUMIFS(BD!$AD$3:$AD$5001,BD!$A$3:$A$5001,U$3,BD!$B$3:$B$5001,$A$213)))</f>
        <v/>
      </c>
      <c r="V241" s="223" t="str">
        <f>IF(V$3="","",IF(COUNTIFS(BD!$A$3:$A$5001,V$3,BD!$B$3:$B$5001,$A$213,BD!$AD$3:$AD$5001,"&lt;&gt;")=0,"",SUMIFS(BD!$AD$3:$AD$5001,BD!$A$3:$A$5001,V$3,BD!$B$3:$B$5001,$A$213)))</f>
        <v/>
      </c>
      <c r="W241" s="223" t="str">
        <f>IF(W$3="","",IF(COUNTIFS(BD!$A$3:$A$5001,W$3,BD!$B$3:$B$5001,$A$213,BD!$AD$3:$AD$5001,"&lt;&gt;")=0,"",SUMIFS(BD!$AD$3:$AD$5001,BD!$A$3:$A$5001,W$3,BD!$B$3:$B$5001,$A$213)))</f>
        <v/>
      </c>
      <c r="X241" s="223" t="str">
        <f>IF(X$3="","",IF(COUNTIFS(BD!$A$3:$A$5001,X$3,BD!$B$3:$B$5001,$A$213,BD!$AD$3:$AD$5001,"&lt;&gt;")=0,"",SUMIFS(BD!$AD$3:$AD$5001,BD!$A$3:$A$5001,X$3,BD!$B$3:$B$5001,$A$213)))</f>
        <v/>
      </c>
      <c r="Y241" s="223" t="str">
        <f>IF(Y$3="","",IF(COUNTIFS(BD!$A$3:$A$5001,Y$3,BD!$B$3:$B$5001,$A$213,BD!$AD$3:$AD$5001,"&lt;&gt;")=0,"",SUMIFS(BD!$AD$3:$AD$5001,BD!$A$3:$A$5001,Y$3,BD!$B$3:$B$5001,$A$213)))</f>
        <v/>
      </c>
      <c r="Z241" s="223" t="str">
        <f>IF(Z$3="","",IF(COUNTIFS(BD!$A$3:$A$5001,Z$3,BD!$B$3:$B$5001,$A$213,BD!$AD$3:$AD$5001,"&lt;&gt;")=0,"",SUMIFS(BD!$AD$3:$AD$5001,BD!$A$3:$A$5001,Z$3,BD!$B$3:$B$5001,$A$213)))</f>
        <v/>
      </c>
      <c r="AA241" s="223" t="str">
        <f>IF(AA$3="","",IF(COUNTIFS(BD!$A$3:$A$5001,AA$3,BD!$B$3:$B$5001,$A$213,BD!$AD$3:$AD$5001,"&lt;&gt;")=0,"",SUMIFS(BD!$AD$3:$AD$5001,BD!$A$3:$A$5001,AA$3,BD!$B$3:$B$5001,$A$213)))</f>
        <v/>
      </c>
      <c r="AB241" s="223" t="str">
        <f>IF(AB$3="","",IF(COUNTIFS(BD!$A$3:$A$5001,AB$3,BD!$B$3:$B$5001,$A$213,BD!$AD$3:$AD$5001,"&lt;&gt;")=0,"",SUMIFS(BD!$AD$3:$AD$5001,BD!$A$3:$A$5001,AB$3,BD!$B$3:$B$5001,$A$213)))</f>
        <v/>
      </c>
      <c r="AC241" s="223" t="str">
        <f>IF(AC$3="","",IF(COUNTIFS(BD!$A$3:$A$5001,AC$3,BD!$B$3:$B$5001,$A$213,BD!$AD$3:$AD$5001,"&lt;&gt;")=0,"",SUMIFS(BD!$AD$3:$AD$5001,BD!$A$3:$A$5001,AC$3,BD!$B$3:$B$5001,$A$213)))</f>
        <v/>
      </c>
      <c r="AD241" s="223" t="str">
        <f>IF(AD$3="","",IF(COUNTIFS(BD!$A$3:$A$5001,AD$3,BD!$B$3:$B$5001,$A$213,BD!$AD$3:$AD$5001,"&lt;&gt;")=0,"",SUMIFS(BD!$AD$3:$AD$5001,BD!$A$3:$A$5001,AD$3,BD!$B$3:$B$5001,$A$213)))</f>
        <v/>
      </c>
      <c r="AE241" s="223" t="str">
        <f>IF(AE$3="","",IF(COUNTIFS(BD!$A$3:$A$5001,AE$3,BD!$B$3:$B$5001,$A$213,BD!$AD$3:$AD$5001,"&lt;&gt;")=0,"",SUMIFS(BD!$AD$3:$AD$5001,BD!$A$3:$A$5001,AE$3,BD!$B$3:$B$5001,$A$213)))</f>
        <v/>
      </c>
      <c r="AF241" s="223" t="str">
        <f>IF(AF$3="","",IF(COUNTIFS(BD!$A$3:$A$5001,AF$3,BD!$B$3:$B$5001,$A$213,BD!$AD$3:$AD$5001,"&lt;&gt;")=0,"",SUMIFS(BD!$AD$3:$AD$5001,BD!$A$3:$A$5001,AF$3,BD!$B$3:$B$5001,$A$213)))</f>
        <v/>
      </c>
      <c r="AG241" s="223" t="str">
        <f>IF(AG$3="","",IF(COUNTIFS(BD!$A$3:$A$5001,AG$3,BD!$B$3:$B$5001,$A$213,BD!$AD$3:$AD$5001,"&lt;&gt;")=0,"",SUMIFS(BD!$AD$3:$AD$5001,BD!$A$3:$A$5001,AG$3,BD!$B$3:$B$5001,$A$213)))</f>
        <v/>
      </c>
      <c r="AH241" s="223" t="str">
        <f>IF(AH$3="","",IF(COUNTIFS(BD!$A$3:$A$5001,AH$3,BD!$B$3:$B$5001,$A$213,BD!$AD$3:$AD$5001,"&lt;&gt;")=0,"",SUMIFS(BD!$AD$3:$AD$5001,BD!$A$3:$A$5001,AH$3,BD!$B$3:$B$5001,$A$213)))</f>
        <v/>
      </c>
      <c r="AI241" s="223" t="str">
        <f>IF(AI$3="","",IF(COUNTIFS(BD!$A$3:$A$5001,AI$3,BD!$B$3:$B$5001,$A$213,BD!$AD$3:$AD$5001,"&lt;&gt;")=0,"",SUMIFS(BD!$AD$3:$AD$5001,BD!$A$3:$A$5001,AI$3,BD!$B$3:$B$5001,$A$213)))</f>
        <v/>
      </c>
      <c r="AJ241" s="224" t="str">
        <f>IF(AJ$3="","",IF(COUNTIFS(BD!$A$3:$A$5001,AJ$3,BD!$B$3:$B$5001,$A$213,BD!$AD$3:$AD$5001,"&lt;&gt;")=0,"",SUMIFS(BD!$AD$3:$AD$5001,BD!$A$3:$A$5001,AJ$3,BD!$B$3:$B$5001,$A$213)))</f>
        <v/>
      </c>
      <c r="AK241" s="225" t="str">
        <f>IF(COUNT(F241:AJ241)=0,"",SUM(F241:AJ241))</f>
        <v/>
      </c>
    </row>
    <row r="242" ht="15.75" customHeight="1" hidden="1">
      <c r="A242" s="244"/>
      <c r="B242" s="241"/>
      <c r="C242" s="219" t="inlineStr">
        <is>
          <t xml:space="preserve">Acidentes CAF</t>
        </is>
      </c>
      <c r="D242" s="220" t="str">
        <f>IFERROR(1/(1/INDEX(BD!$AJ$52:$BD$52,MATCH($A$213,BD!$AJ$22:$BD$22,0))),"")</f>
        <v/>
      </c>
      <c r="E242" s="221"/>
      <c r="F242" s="222" t="str">
        <f>IF(F$3="","",IF(COUNTIFS(BD!$A$3:$A$5001,F$3,BD!$B$3:$B$5001,$A$213,BD!$AE$3:$AE$5001,"&lt;&gt;")=0,"",SUMIFS(BD!$AE$3:$AE$5001,BD!$A$3:$A$5001,F$3,BD!$B$3:$B$5001,$A$213)))</f>
        <v/>
      </c>
      <c r="G242" s="223" t="str">
        <f>IF(G$3="","",IF(COUNTIFS(BD!$A$3:$A$5001,G$3,BD!$B$3:$B$5001,$A$213,BD!$AE$3:$AE$5001,"&lt;&gt;")=0,"",SUMIFS(BD!$AE$3:$AE$5001,BD!$A$3:$A$5001,G$3,BD!$B$3:$B$5001,$A$213)))</f>
        <v/>
      </c>
      <c r="H242" s="223" t="str">
        <f>IF(H$3="","",IF(COUNTIFS(BD!$A$3:$A$5001,H$3,BD!$B$3:$B$5001,$A$213,BD!$AE$3:$AE$5001,"&lt;&gt;")=0,"",SUMIFS(BD!$AE$3:$AE$5001,BD!$A$3:$A$5001,H$3,BD!$B$3:$B$5001,$A$213)))</f>
        <v/>
      </c>
      <c r="I242" s="223" t="str">
        <f>IF(I$3="","",IF(COUNTIFS(BD!$A$3:$A$5001,I$3,BD!$B$3:$B$5001,$A$213,BD!$AE$3:$AE$5001,"&lt;&gt;")=0,"",SUMIFS(BD!$AE$3:$AE$5001,BD!$A$3:$A$5001,I$3,BD!$B$3:$B$5001,$A$213)))</f>
        <v/>
      </c>
      <c r="J242" s="223" t="str">
        <f>IF(J$3="","",IF(COUNTIFS(BD!$A$3:$A$5001,J$3,BD!$B$3:$B$5001,$A$213,BD!$AE$3:$AE$5001,"&lt;&gt;")=0,"",SUMIFS(BD!$AE$3:$AE$5001,BD!$A$3:$A$5001,J$3,BD!$B$3:$B$5001,$A$213)))</f>
        <v/>
      </c>
      <c r="K242" s="223" t="str">
        <f>IF(K$3="","",IF(COUNTIFS(BD!$A$3:$A$5001,K$3,BD!$B$3:$B$5001,$A$213,BD!$AE$3:$AE$5001,"&lt;&gt;")=0,"",SUMIFS(BD!$AE$3:$AE$5001,BD!$A$3:$A$5001,K$3,BD!$B$3:$B$5001,$A$213)))</f>
        <v/>
      </c>
      <c r="L242" s="223" t="str">
        <f>IF(L$3="","",IF(COUNTIFS(BD!$A$3:$A$5001,L$3,BD!$B$3:$B$5001,$A$213,BD!$AE$3:$AE$5001,"&lt;&gt;")=0,"",SUMIFS(BD!$AE$3:$AE$5001,BD!$A$3:$A$5001,L$3,BD!$B$3:$B$5001,$A$213)))</f>
        <v/>
      </c>
      <c r="M242" s="223" t="str">
        <f>IF(M$3="","",IF(COUNTIFS(BD!$A$3:$A$5001,M$3,BD!$B$3:$B$5001,$A$213,BD!$AE$3:$AE$5001,"&lt;&gt;")=0,"",SUMIFS(BD!$AE$3:$AE$5001,BD!$A$3:$A$5001,M$3,BD!$B$3:$B$5001,$A$213)))</f>
        <v/>
      </c>
      <c r="N242" s="223" t="str">
        <f>IF(N$3="","",IF(COUNTIFS(BD!$A$3:$A$5001,N$3,BD!$B$3:$B$5001,$A$213,BD!$AE$3:$AE$5001,"&lt;&gt;")=0,"",SUMIFS(BD!$AE$3:$AE$5001,BD!$A$3:$A$5001,N$3,BD!$B$3:$B$5001,$A$213)))</f>
        <v/>
      </c>
      <c r="O242" s="223" t="str">
        <f>IF(O$3="","",IF(COUNTIFS(BD!$A$3:$A$5001,O$3,BD!$B$3:$B$5001,$A$213,BD!$AE$3:$AE$5001,"&lt;&gt;")=0,"",SUMIFS(BD!$AE$3:$AE$5001,BD!$A$3:$A$5001,O$3,BD!$B$3:$B$5001,$A$213)))</f>
        <v/>
      </c>
      <c r="P242" s="223" t="str">
        <f>IF(P$3="","",IF(COUNTIFS(BD!$A$3:$A$5001,P$3,BD!$B$3:$B$5001,$A$213,BD!$AE$3:$AE$5001,"&lt;&gt;")=0,"",SUMIFS(BD!$AE$3:$AE$5001,BD!$A$3:$A$5001,P$3,BD!$B$3:$B$5001,$A$213)))</f>
        <v/>
      </c>
      <c r="Q242" s="223" t="str">
        <f>IF(Q$3="","",IF(COUNTIFS(BD!$A$3:$A$5001,Q$3,BD!$B$3:$B$5001,$A$213,BD!$AE$3:$AE$5001,"&lt;&gt;")=0,"",SUMIFS(BD!$AE$3:$AE$5001,BD!$A$3:$A$5001,Q$3,BD!$B$3:$B$5001,$A$213)))</f>
        <v/>
      </c>
      <c r="R242" s="223" t="str">
        <f>IF(R$3="","",IF(COUNTIFS(BD!$A$3:$A$5001,R$3,BD!$B$3:$B$5001,$A$213,BD!$AE$3:$AE$5001,"&lt;&gt;")=0,"",SUMIFS(BD!$AE$3:$AE$5001,BD!$A$3:$A$5001,R$3,BD!$B$3:$B$5001,$A$213)))</f>
        <v/>
      </c>
      <c r="S242" s="223" t="str">
        <f>IF(S$3="","",IF(COUNTIFS(BD!$A$3:$A$5001,S$3,BD!$B$3:$B$5001,$A$213,BD!$AE$3:$AE$5001,"&lt;&gt;")=0,"",SUMIFS(BD!$AE$3:$AE$5001,BD!$A$3:$A$5001,S$3,BD!$B$3:$B$5001,$A$213)))</f>
        <v/>
      </c>
      <c r="T242" s="223" t="str">
        <f>IF(T$3="","",IF(COUNTIFS(BD!$A$3:$A$5001,T$3,BD!$B$3:$B$5001,$A$213,BD!$AE$3:$AE$5001,"&lt;&gt;")=0,"",SUMIFS(BD!$AE$3:$AE$5001,BD!$A$3:$A$5001,T$3,BD!$B$3:$B$5001,$A$213)))</f>
        <v/>
      </c>
      <c r="U242" s="223" t="str">
        <f>IF(U$3="","",IF(COUNTIFS(BD!$A$3:$A$5001,U$3,BD!$B$3:$B$5001,$A$213,BD!$AE$3:$AE$5001,"&lt;&gt;")=0,"",SUMIFS(BD!$AE$3:$AE$5001,BD!$A$3:$A$5001,U$3,BD!$B$3:$B$5001,$A$213)))</f>
        <v/>
      </c>
      <c r="V242" s="223" t="str">
        <f>IF(V$3="","",IF(COUNTIFS(BD!$A$3:$A$5001,V$3,BD!$B$3:$B$5001,$A$213,BD!$AE$3:$AE$5001,"&lt;&gt;")=0,"",SUMIFS(BD!$AE$3:$AE$5001,BD!$A$3:$A$5001,V$3,BD!$B$3:$B$5001,$A$213)))</f>
        <v/>
      </c>
      <c r="W242" s="223" t="str">
        <f>IF(W$3="","",IF(COUNTIFS(BD!$A$3:$A$5001,W$3,BD!$B$3:$B$5001,$A$213,BD!$AE$3:$AE$5001,"&lt;&gt;")=0,"",SUMIFS(BD!$AE$3:$AE$5001,BD!$A$3:$A$5001,W$3,BD!$B$3:$B$5001,$A$213)))</f>
        <v/>
      </c>
      <c r="X242" s="223" t="str">
        <f>IF(X$3="","",IF(COUNTIFS(BD!$A$3:$A$5001,X$3,BD!$B$3:$B$5001,$A$213,BD!$AE$3:$AE$5001,"&lt;&gt;")=0,"",SUMIFS(BD!$AE$3:$AE$5001,BD!$A$3:$A$5001,X$3,BD!$B$3:$B$5001,$A$213)))</f>
        <v/>
      </c>
      <c r="Y242" s="223" t="str">
        <f>IF(Y$3="","",IF(COUNTIFS(BD!$A$3:$A$5001,Y$3,BD!$B$3:$B$5001,$A$213,BD!$AE$3:$AE$5001,"&lt;&gt;")=0,"",SUMIFS(BD!$AE$3:$AE$5001,BD!$A$3:$A$5001,Y$3,BD!$B$3:$B$5001,$A$213)))</f>
        <v/>
      </c>
      <c r="Z242" s="223" t="str">
        <f>IF(Z$3="","",IF(COUNTIFS(BD!$A$3:$A$5001,Z$3,BD!$B$3:$B$5001,$A$213,BD!$AE$3:$AE$5001,"&lt;&gt;")=0,"",SUMIFS(BD!$AE$3:$AE$5001,BD!$A$3:$A$5001,Z$3,BD!$B$3:$B$5001,$A$213)))</f>
        <v/>
      </c>
      <c r="AA242" s="223" t="str">
        <f>IF(AA$3="","",IF(COUNTIFS(BD!$A$3:$A$5001,AA$3,BD!$B$3:$B$5001,$A$213,BD!$AE$3:$AE$5001,"&lt;&gt;")=0,"",SUMIFS(BD!$AE$3:$AE$5001,BD!$A$3:$A$5001,AA$3,BD!$B$3:$B$5001,$A$213)))</f>
        <v/>
      </c>
      <c r="AB242" s="223" t="str">
        <f>IF(AB$3="","",IF(COUNTIFS(BD!$A$3:$A$5001,AB$3,BD!$B$3:$B$5001,$A$213,BD!$AE$3:$AE$5001,"&lt;&gt;")=0,"",SUMIFS(BD!$AE$3:$AE$5001,BD!$A$3:$A$5001,AB$3,BD!$B$3:$B$5001,$A$213)))</f>
        <v/>
      </c>
      <c r="AC242" s="223" t="str">
        <f>IF(AC$3="","",IF(COUNTIFS(BD!$A$3:$A$5001,AC$3,BD!$B$3:$B$5001,$A$213,BD!$AE$3:$AE$5001,"&lt;&gt;")=0,"",SUMIFS(BD!$AE$3:$AE$5001,BD!$A$3:$A$5001,AC$3,BD!$B$3:$B$5001,$A$213)))</f>
        <v/>
      </c>
      <c r="AD242" s="223" t="str">
        <f>IF(AD$3="","",IF(COUNTIFS(BD!$A$3:$A$5001,AD$3,BD!$B$3:$B$5001,$A$213,BD!$AE$3:$AE$5001,"&lt;&gt;")=0,"",SUMIFS(BD!$AE$3:$AE$5001,BD!$A$3:$A$5001,AD$3,BD!$B$3:$B$5001,$A$213)))</f>
        <v/>
      </c>
      <c r="AE242" s="223" t="str">
        <f>IF(AE$3="","",IF(COUNTIFS(BD!$A$3:$A$5001,AE$3,BD!$B$3:$B$5001,$A$213,BD!$AE$3:$AE$5001,"&lt;&gt;")=0,"",SUMIFS(BD!$AE$3:$AE$5001,BD!$A$3:$A$5001,AE$3,BD!$B$3:$B$5001,$A$213)))</f>
        <v/>
      </c>
      <c r="AF242" s="223" t="str">
        <f>IF(AF$3="","",IF(COUNTIFS(BD!$A$3:$A$5001,AF$3,BD!$B$3:$B$5001,$A$213,BD!$AE$3:$AE$5001,"&lt;&gt;")=0,"",SUMIFS(BD!$AE$3:$AE$5001,BD!$A$3:$A$5001,AF$3,BD!$B$3:$B$5001,$A$213)))</f>
        <v/>
      </c>
      <c r="AG242" s="223" t="str">
        <f>IF(AG$3="","",IF(COUNTIFS(BD!$A$3:$A$5001,AG$3,BD!$B$3:$B$5001,$A$213,BD!$AE$3:$AE$5001,"&lt;&gt;")=0,"",SUMIFS(BD!$AE$3:$AE$5001,BD!$A$3:$A$5001,AG$3,BD!$B$3:$B$5001,$A$213)))</f>
        <v/>
      </c>
      <c r="AH242" s="223" t="str">
        <f>IF(AH$3="","",IF(COUNTIFS(BD!$A$3:$A$5001,AH$3,BD!$B$3:$B$5001,$A$213,BD!$AE$3:$AE$5001,"&lt;&gt;")=0,"",SUMIFS(BD!$AE$3:$AE$5001,BD!$A$3:$A$5001,AH$3,BD!$B$3:$B$5001,$A$213)))</f>
        <v/>
      </c>
      <c r="AI242" s="223" t="str">
        <f>IF(AI$3="","",IF(COUNTIFS(BD!$A$3:$A$5001,AI$3,BD!$B$3:$B$5001,$A$213,BD!$AE$3:$AE$5001,"&lt;&gt;")=0,"",SUMIFS(BD!$AE$3:$AE$5001,BD!$A$3:$A$5001,AI$3,BD!$B$3:$B$5001,$A$213)))</f>
        <v/>
      </c>
      <c r="AJ242" s="224" t="str">
        <f>IF(AJ$3="","",IF(COUNTIFS(BD!$A$3:$A$5001,AJ$3,BD!$B$3:$B$5001,$A$213,BD!$AE$3:$AE$5001,"&lt;&gt;")=0,"",SUMIFS(BD!$AE$3:$AE$5001,BD!$A$3:$A$5001,AJ$3,BD!$B$3:$B$5001,$A$213)))</f>
        <v/>
      </c>
      <c r="AK242" s="225" t="str">
        <f>IF(COUNT(F242:AJ242)=0,"",SUM(F242:AJ242))</f>
        <v/>
      </c>
    </row>
    <row r="243" ht="15.75" customHeight="1" hidden="1">
      <c r="A243" s="245"/>
      <c r="B243" s="242"/>
      <c r="C243" s="226" t="inlineStr">
        <is>
          <t xml:space="preserve">Acidentes SAF</t>
        </is>
      </c>
      <c r="D243" s="227" t="str">
        <f>IFERROR(1/(1/INDEX(BD!$AJ$53:$BD$53,MATCH($A$213,BD!$AJ$22:$BD$22,0))),"")</f>
        <v/>
      </c>
      <c r="E243" s="228"/>
      <c r="F243" s="229" t="str">
        <f>IF(F$3="","",IF(COUNTIFS(BD!$A$3:$A$5001,F$3,BD!$B$3:$B$5001,$A$213,BD!$AF$3:$AF$5001,"&lt;&gt;")=0,"",SUMIFS(BD!$AF$3:$AF$5001,BD!$A$3:$A$5001,F$3,BD!$B$3:$B$5001,$A$213)))</f>
        <v/>
      </c>
      <c r="G243" s="230" t="str">
        <f>IF(G$3="","",IF(COUNTIFS(BD!$A$3:$A$5001,G$3,BD!$B$3:$B$5001,$A$213,BD!$AF$3:$AF$5001,"&lt;&gt;")=0,"",SUMIFS(BD!$AF$3:$AF$5001,BD!$A$3:$A$5001,G$3,BD!$B$3:$B$5001,$A$213)))</f>
        <v/>
      </c>
      <c r="H243" s="230" t="str">
        <f>IF(H$3="","",IF(COUNTIFS(BD!$A$3:$A$5001,H$3,BD!$B$3:$B$5001,$A$213,BD!$AF$3:$AF$5001,"&lt;&gt;")=0,"",SUMIFS(BD!$AF$3:$AF$5001,BD!$A$3:$A$5001,H$3,BD!$B$3:$B$5001,$A$213)))</f>
        <v/>
      </c>
      <c r="I243" s="230" t="str">
        <f>IF(I$3="","",IF(COUNTIFS(BD!$A$3:$A$5001,I$3,BD!$B$3:$B$5001,$A$213,BD!$AF$3:$AF$5001,"&lt;&gt;")=0,"",SUMIFS(BD!$AF$3:$AF$5001,BD!$A$3:$A$5001,I$3,BD!$B$3:$B$5001,$A$213)))</f>
        <v/>
      </c>
      <c r="J243" s="230" t="str">
        <f>IF(J$3="","",IF(COUNTIFS(BD!$A$3:$A$5001,J$3,BD!$B$3:$B$5001,$A$213,BD!$AF$3:$AF$5001,"&lt;&gt;")=0,"",SUMIFS(BD!$AF$3:$AF$5001,BD!$A$3:$A$5001,J$3,BD!$B$3:$B$5001,$A$213)))</f>
        <v/>
      </c>
      <c r="K243" s="230" t="str">
        <f>IF(K$3="","",IF(COUNTIFS(BD!$A$3:$A$5001,K$3,BD!$B$3:$B$5001,$A$213,BD!$AF$3:$AF$5001,"&lt;&gt;")=0,"",SUMIFS(BD!$AF$3:$AF$5001,BD!$A$3:$A$5001,K$3,BD!$B$3:$B$5001,$A$213)))</f>
        <v/>
      </c>
      <c r="L243" s="230" t="str">
        <f>IF(L$3="","",IF(COUNTIFS(BD!$A$3:$A$5001,L$3,BD!$B$3:$B$5001,$A$213,BD!$AF$3:$AF$5001,"&lt;&gt;")=0,"",SUMIFS(BD!$AF$3:$AF$5001,BD!$A$3:$A$5001,L$3,BD!$B$3:$B$5001,$A$213)))</f>
        <v/>
      </c>
      <c r="M243" s="230" t="str">
        <f>IF(M$3="","",IF(COUNTIFS(BD!$A$3:$A$5001,M$3,BD!$B$3:$B$5001,$A$213,BD!$AF$3:$AF$5001,"&lt;&gt;")=0,"",SUMIFS(BD!$AF$3:$AF$5001,BD!$A$3:$A$5001,M$3,BD!$B$3:$B$5001,$A$213)))</f>
        <v/>
      </c>
      <c r="N243" s="230" t="str">
        <f>IF(N$3="","",IF(COUNTIFS(BD!$A$3:$A$5001,N$3,BD!$B$3:$B$5001,$A$213,BD!$AF$3:$AF$5001,"&lt;&gt;")=0,"",SUMIFS(BD!$AF$3:$AF$5001,BD!$A$3:$A$5001,N$3,BD!$B$3:$B$5001,$A$213)))</f>
        <v/>
      </c>
      <c r="O243" s="230" t="str">
        <f>IF(O$3="","",IF(COUNTIFS(BD!$A$3:$A$5001,O$3,BD!$B$3:$B$5001,$A$213,BD!$AF$3:$AF$5001,"&lt;&gt;")=0,"",SUMIFS(BD!$AF$3:$AF$5001,BD!$A$3:$A$5001,O$3,BD!$B$3:$B$5001,$A$213)))</f>
        <v/>
      </c>
      <c r="P243" s="230" t="str">
        <f>IF(P$3="","",IF(COUNTIFS(BD!$A$3:$A$5001,P$3,BD!$B$3:$B$5001,$A$213,BD!$AF$3:$AF$5001,"&lt;&gt;")=0,"",SUMIFS(BD!$AF$3:$AF$5001,BD!$A$3:$A$5001,P$3,BD!$B$3:$B$5001,$A$213)))</f>
        <v/>
      </c>
      <c r="Q243" s="230" t="str">
        <f>IF(Q$3="","",IF(COUNTIFS(BD!$A$3:$A$5001,Q$3,BD!$B$3:$B$5001,$A$213,BD!$AF$3:$AF$5001,"&lt;&gt;")=0,"",SUMIFS(BD!$AF$3:$AF$5001,BD!$A$3:$A$5001,Q$3,BD!$B$3:$B$5001,$A$213)))</f>
        <v/>
      </c>
      <c r="R243" s="230" t="str">
        <f>IF(R$3="","",IF(COUNTIFS(BD!$A$3:$A$5001,R$3,BD!$B$3:$B$5001,$A$213,BD!$AF$3:$AF$5001,"&lt;&gt;")=0,"",SUMIFS(BD!$AF$3:$AF$5001,BD!$A$3:$A$5001,R$3,BD!$B$3:$B$5001,$A$213)))</f>
        <v/>
      </c>
      <c r="S243" s="230" t="str">
        <f>IF(S$3="","",IF(COUNTIFS(BD!$A$3:$A$5001,S$3,BD!$B$3:$B$5001,$A$213,BD!$AF$3:$AF$5001,"&lt;&gt;")=0,"",SUMIFS(BD!$AF$3:$AF$5001,BD!$A$3:$A$5001,S$3,BD!$B$3:$B$5001,$A$213)))</f>
        <v/>
      </c>
      <c r="T243" s="230" t="str">
        <f>IF(T$3="","",IF(COUNTIFS(BD!$A$3:$A$5001,T$3,BD!$B$3:$B$5001,$A$213,BD!$AF$3:$AF$5001,"&lt;&gt;")=0,"",SUMIFS(BD!$AF$3:$AF$5001,BD!$A$3:$A$5001,T$3,BD!$B$3:$B$5001,$A$213)))</f>
        <v/>
      </c>
      <c r="U243" s="230" t="str">
        <f>IF(U$3="","",IF(COUNTIFS(BD!$A$3:$A$5001,U$3,BD!$B$3:$B$5001,$A$213,BD!$AF$3:$AF$5001,"&lt;&gt;")=0,"",SUMIFS(BD!$AF$3:$AF$5001,BD!$A$3:$A$5001,U$3,BD!$B$3:$B$5001,$A$213)))</f>
        <v/>
      </c>
      <c r="V243" s="230" t="str">
        <f>IF(V$3="","",IF(COUNTIFS(BD!$A$3:$A$5001,V$3,BD!$B$3:$B$5001,$A$213,BD!$AF$3:$AF$5001,"&lt;&gt;")=0,"",SUMIFS(BD!$AF$3:$AF$5001,BD!$A$3:$A$5001,V$3,BD!$B$3:$B$5001,$A$213)))</f>
        <v/>
      </c>
      <c r="W243" s="230" t="str">
        <f>IF(W$3="","",IF(COUNTIFS(BD!$A$3:$A$5001,W$3,BD!$B$3:$B$5001,$A$213,BD!$AF$3:$AF$5001,"&lt;&gt;")=0,"",SUMIFS(BD!$AF$3:$AF$5001,BD!$A$3:$A$5001,W$3,BD!$B$3:$B$5001,$A$213)))</f>
        <v/>
      </c>
      <c r="X243" s="230" t="str">
        <f>IF(X$3="","",IF(COUNTIFS(BD!$A$3:$A$5001,X$3,BD!$B$3:$B$5001,$A$213,BD!$AF$3:$AF$5001,"&lt;&gt;")=0,"",SUMIFS(BD!$AF$3:$AF$5001,BD!$A$3:$A$5001,X$3,BD!$B$3:$B$5001,$A$213)))</f>
        <v/>
      </c>
      <c r="Y243" s="230" t="str">
        <f>IF(Y$3="","",IF(COUNTIFS(BD!$A$3:$A$5001,Y$3,BD!$B$3:$B$5001,$A$213,BD!$AF$3:$AF$5001,"&lt;&gt;")=0,"",SUMIFS(BD!$AF$3:$AF$5001,BD!$A$3:$A$5001,Y$3,BD!$B$3:$B$5001,$A$213)))</f>
        <v/>
      </c>
      <c r="Z243" s="230" t="str">
        <f>IF(Z$3="","",IF(COUNTIFS(BD!$A$3:$A$5001,Z$3,BD!$B$3:$B$5001,$A$213,BD!$AF$3:$AF$5001,"&lt;&gt;")=0,"",SUMIFS(BD!$AF$3:$AF$5001,BD!$A$3:$A$5001,Z$3,BD!$B$3:$B$5001,$A$213)))</f>
        <v/>
      </c>
      <c r="AA243" s="230" t="str">
        <f>IF(AA$3="","",IF(COUNTIFS(BD!$A$3:$A$5001,AA$3,BD!$B$3:$B$5001,$A$213,BD!$AF$3:$AF$5001,"&lt;&gt;")=0,"",SUMIFS(BD!$AF$3:$AF$5001,BD!$A$3:$A$5001,AA$3,BD!$B$3:$B$5001,$A$213)))</f>
        <v/>
      </c>
      <c r="AB243" s="230" t="str">
        <f>IF(AB$3="","",IF(COUNTIFS(BD!$A$3:$A$5001,AB$3,BD!$B$3:$B$5001,$A$213,BD!$AF$3:$AF$5001,"&lt;&gt;")=0,"",SUMIFS(BD!$AF$3:$AF$5001,BD!$A$3:$A$5001,AB$3,BD!$B$3:$B$5001,$A$213)))</f>
        <v/>
      </c>
      <c r="AC243" s="230" t="str">
        <f>IF(AC$3="","",IF(COUNTIFS(BD!$A$3:$A$5001,AC$3,BD!$B$3:$B$5001,$A$213,BD!$AF$3:$AF$5001,"&lt;&gt;")=0,"",SUMIFS(BD!$AF$3:$AF$5001,BD!$A$3:$A$5001,AC$3,BD!$B$3:$B$5001,$A$213)))</f>
        <v/>
      </c>
      <c r="AD243" s="230" t="str">
        <f>IF(AD$3="","",IF(COUNTIFS(BD!$A$3:$A$5001,AD$3,BD!$B$3:$B$5001,$A$213,BD!$AF$3:$AF$5001,"&lt;&gt;")=0,"",SUMIFS(BD!$AF$3:$AF$5001,BD!$A$3:$A$5001,AD$3,BD!$B$3:$B$5001,$A$213)))</f>
        <v/>
      </c>
      <c r="AE243" s="230" t="str">
        <f>IF(AE$3="","",IF(COUNTIFS(BD!$A$3:$A$5001,AE$3,BD!$B$3:$B$5001,$A$213,BD!$AF$3:$AF$5001,"&lt;&gt;")=0,"",SUMIFS(BD!$AF$3:$AF$5001,BD!$A$3:$A$5001,AE$3,BD!$B$3:$B$5001,$A$213)))</f>
        <v/>
      </c>
      <c r="AF243" s="230" t="str">
        <f>IF(AF$3="","",IF(COUNTIFS(BD!$A$3:$A$5001,AF$3,BD!$B$3:$B$5001,$A$213,BD!$AF$3:$AF$5001,"&lt;&gt;")=0,"",SUMIFS(BD!$AF$3:$AF$5001,BD!$A$3:$A$5001,AF$3,BD!$B$3:$B$5001,$A$213)))</f>
        <v/>
      </c>
      <c r="AG243" s="230" t="str">
        <f>IF(AG$3="","",IF(COUNTIFS(BD!$A$3:$A$5001,AG$3,BD!$B$3:$B$5001,$A$213,BD!$AF$3:$AF$5001,"&lt;&gt;")=0,"",SUMIFS(BD!$AF$3:$AF$5001,BD!$A$3:$A$5001,AG$3,BD!$B$3:$B$5001,$A$213)))</f>
        <v/>
      </c>
      <c r="AH243" s="230" t="str">
        <f>IF(AH$3="","",IF(COUNTIFS(BD!$A$3:$A$5001,AH$3,BD!$B$3:$B$5001,$A$213,BD!$AF$3:$AF$5001,"&lt;&gt;")=0,"",SUMIFS(BD!$AF$3:$AF$5001,BD!$A$3:$A$5001,AH$3,BD!$B$3:$B$5001,$A$213)))</f>
        <v/>
      </c>
      <c r="AI243" s="230" t="str">
        <f>IF(AI$3="","",IF(COUNTIFS(BD!$A$3:$A$5001,AI$3,BD!$B$3:$B$5001,$A$213,BD!$AF$3:$AF$5001,"&lt;&gt;")=0,"",SUMIFS(BD!$AF$3:$AF$5001,BD!$A$3:$A$5001,AI$3,BD!$B$3:$B$5001,$A$213)))</f>
        <v/>
      </c>
      <c r="AJ243" s="231" t="str">
        <f>IF(AJ$3="","",IF(COUNTIFS(BD!$A$3:$A$5001,AJ$3,BD!$B$3:$B$5001,$A$213,BD!$AF$3:$AF$5001,"&lt;&gt;")=0,"",SUMIFS(BD!$AF$3:$AF$5001,BD!$A$3:$A$5001,AJ$3,BD!$B$3:$B$5001,$A$213)))</f>
        <v/>
      </c>
      <c r="AK243" s="227" t="str">
        <f>IF(COUNT(F243:AJ243)=0,"",SUM(F243:AJ243))</f>
        <v/>
      </c>
    </row>
    <row r="245" ht="15.75" customHeight="1" hidden="1">
      <c r="A245" s="243"/>
      <c r="B245" s="232" t="inlineStr">
        <is>
          <t xml:space="preserve">IN</t>
        </is>
      </c>
      <c r="C245" s="155" t="inlineStr">
        <is>
          <t xml:space="preserve">Veículos Recebidos</t>
        </is>
      </c>
      <c r="D245" s="156" t="str">
        <f>IFERROR(1/(1/INDEX(BD!$AJ$23:$BD$23,MATCH($A$245,BD!$AJ$22:$BD$22,0))),"")</f>
        <v/>
      </c>
      <c r="E245" s="157"/>
      <c r="F245" s="158" t="str">
        <f>IF(F$3="","",IF(COUNTIFS(BD!$A$3:$A$5001,F$3,BD!$B$3:$B$5001,$A$245,BD!$C$3:$C$5001,"&lt;&gt;")=0,"",SUMIFS(BD!$C$3:$C$5001,BD!$A$3:$A$5001,F$3,BD!$B$3:$B$5001,$A$245)))</f>
        <v/>
      </c>
      <c r="G245" s="159" t="str">
        <f>IF(G$3="","",IF(COUNTIFS(BD!$A$3:$A$5001,G$3,BD!$B$3:$B$5001,$A$245,BD!$C$3:$C$5001,"&lt;&gt;")=0,"",SUMIFS(BD!$C$3:$C$5001,BD!$A$3:$A$5001,G$3,BD!$B$3:$B$5001,$A$245)))</f>
        <v/>
      </c>
      <c r="H245" s="159" t="str">
        <f>IF(H$3="","",IF(COUNTIFS(BD!$A$3:$A$5001,H$3,BD!$B$3:$B$5001,$A$245,BD!$C$3:$C$5001,"&lt;&gt;")=0,"",SUMIFS(BD!$C$3:$C$5001,BD!$A$3:$A$5001,H$3,BD!$B$3:$B$5001,$A$245)))</f>
        <v/>
      </c>
      <c r="I245" s="159" t="str">
        <f>IF(I$3="","",IF(COUNTIFS(BD!$A$3:$A$5001,I$3,BD!$B$3:$B$5001,$A$245,BD!$C$3:$C$5001,"&lt;&gt;")=0,"",SUMIFS(BD!$C$3:$C$5001,BD!$A$3:$A$5001,I$3,BD!$B$3:$B$5001,$A$245)))</f>
        <v/>
      </c>
      <c r="J245" s="159" t="str">
        <f>IF(J$3="","",IF(COUNTIFS(BD!$A$3:$A$5001,J$3,BD!$B$3:$B$5001,$A$245,BD!$C$3:$C$5001,"&lt;&gt;")=0,"",SUMIFS(BD!$C$3:$C$5001,BD!$A$3:$A$5001,J$3,BD!$B$3:$B$5001,$A$245)))</f>
        <v/>
      </c>
      <c r="K245" s="159" t="str">
        <f>IF(K$3="","",IF(COUNTIFS(BD!$A$3:$A$5001,K$3,BD!$B$3:$B$5001,$A$245,BD!$C$3:$C$5001,"&lt;&gt;")=0,"",SUMIFS(BD!$C$3:$C$5001,BD!$A$3:$A$5001,K$3,BD!$B$3:$B$5001,$A$245)))</f>
        <v/>
      </c>
      <c r="L245" s="159" t="str">
        <f>IF(L$3="","",IF(COUNTIFS(BD!$A$3:$A$5001,L$3,BD!$B$3:$B$5001,$A$245,BD!$C$3:$C$5001,"&lt;&gt;")=0,"",SUMIFS(BD!$C$3:$C$5001,BD!$A$3:$A$5001,L$3,BD!$B$3:$B$5001,$A$245)))</f>
        <v/>
      </c>
      <c r="M245" s="159" t="str">
        <f>IF(M$3="","",IF(COUNTIFS(BD!$A$3:$A$5001,M$3,BD!$B$3:$B$5001,$A$245,BD!$C$3:$C$5001,"&lt;&gt;")=0,"",SUMIFS(BD!$C$3:$C$5001,BD!$A$3:$A$5001,M$3,BD!$B$3:$B$5001,$A$245)))</f>
        <v/>
      </c>
      <c r="N245" s="159" t="str">
        <f>IF(N$3="","",IF(COUNTIFS(BD!$A$3:$A$5001,N$3,BD!$B$3:$B$5001,$A$245,BD!$C$3:$C$5001,"&lt;&gt;")=0,"",SUMIFS(BD!$C$3:$C$5001,BD!$A$3:$A$5001,N$3,BD!$B$3:$B$5001,$A$245)))</f>
        <v/>
      </c>
      <c r="O245" s="159" t="str">
        <f>IF(O$3="","",IF(COUNTIFS(BD!$A$3:$A$5001,O$3,BD!$B$3:$B$5001,$A$245,BD!$C$3:$C$5001,"&lt;&gt;")=0,"",SUMIFS(BD!$C$3:$C$5001,BD!$A$3:$A$5001,O$3,BD!$B$3:$B$5001,$A$245)))</f>
        <v/>
      </c>
      <c r="P245" s="159" t="str">
        <f>IF(P$3="","",IF(COUNTIFS(BD!$A$3:$A$5001,P$3,BD!$B$3:$B$5001,$A$245,BD!$C$3:$C$5001,"&lt;&gt;")=0,"",SUMIFS(BD!$C$3:$C$5001,BD!$A$3:$A$5001,P$3,BD!$B$3:$B$5001,$A$245)))</f>
        <v/>
      </c>
      <c r="Q245" s="159" t="str">
        <f>IF(Q$3="","",IF(COUNTIFS(BD!$A$3:$A$5001,Q$3,BD!$B$3:$B$5001,$A$245,BD!$C$3:$C$5001,"&lt;&gt;")=0,"",SUMIFS(BD!$C$3:$C$5001,BD!$A$3:$A$5001,Q$3,BD!$B$3:$B$5001,$A$245)))</f>
        <v/>
      </c>
      <c r="R245" s="159" t="str">
        <f>IF(R$3="","",IF(COUNTIFS(BD!$A$3:$A$5001,R$3,BD!$B$3:$B$5001,$A$245,BD!$C$3:$C$5001,"&lt;&gt;")=0,"",SUMIFS(BD!$C$3:$C$5001,BD!$A$3:$A$5001,R$3,BD!$B$3:$B$5001,$A$245)))</f>
        <v/>
      </c>
      <c r="S245" s="159" t="str">
        <f>IF(S$3="","",IF(COUNTIFS(BD!$A$3:$A$5001,S$3,BD!$B$3:$B$5001,$A$245,BD!$C$3:$C$5001,"&lt;&gt;")=0,"",SUMIFS(BD!$C$3:$C$5001,BD!$A$3:$A$5001,S$3,BD!$B$3:$B$5001,$A$245)))</f>
        <v/>
      </c>
      <c r="T245" s="159" t="str">
        <f>IF(T$3="","",IF(COUNTIFS(BD!$A$3:$A$5001,T$3,BD!$B$3:$B$5001,$A$245,BD!$C$3:$C$5001,"&lt;&gt;")=0,"",SUMIFS(BD!$C$3:$C$5001,BD!$A$3:$A$5001,T$3,BD!$B$3:$B$5001,$A$245)))</f>
        <v/>
      </c>
      <c r="U245" s="159" t="str">
        <f>IF(U$3="","",IF(COUNTIFS(BD!$A$3:$A$5001,U$3,BD!$B$3:$B$5001,$A$245,BD!$C$3:$C$5001,"&lt;&gt;")=0,"",SUMIFS(BD!$C$3:$C$5001,BD!$A$3:$A$5001,U$3,BD!$B$3:$B$5001,$A$245)))</f>
        <v/>
      </c>
      <c r="V245" s="159" t="str">
        <f>IF(V$3="","",IF(COUNTIFS(BD!$A$3:$A$5001,V$3,BD!$B$3:$B$5001,$A$245,BD!$C$3:$C$5001,"&lt;&gt;")=0,"",SUMIFS(BD!$C$3:$C$5001,BD!$A$3:$A$5001,V$3,BD!$B$3:$B$5001,$A$245)))</f>
        <v/>
      </c>
      <c r="W245" s="159" t="str">
        <f>IF(W$3="","",IF(COUNTIFS(BD!$A$3:$A$5001,W$3,BD!$B$3:$B$5001,$A$245,BD!$C$3:$C$5001,"&lt;&gt;")=0,"",SUMIFS(BD!$C$3:$C$5001,BD!$A$3:$A$5001,W$3,BD!$B$3:$B$5001,$A$245)))</f>
        <v/>
      </c>
      <c r="X245" s="159" t="str">
        <f>IF(X$3="","",IF(COUNTIFS(BD!$A$3:$A$5001,X$3,BD!$B$3:$B$5001,$A$245,BD!$C$3:$C$5001,"&lt;&gt;")=0,"",SUMIFS(BD!$C$3:$C$5001,BD!$A$3:$A$5001,X$3,BD!$B$3:$B$5001,$A$245)))</f>
        <v/>
      </c>
      <c r="Y245" s="159" t="str">
        <f>IF(Y$3="","",IF(COUNTIFS(BD!$A$3:$A$5001,Y$3,BD!$B$3:$B$5001,$A$245,BD!$C$3:$C$5001,"&lt;&gt;")=0,"",SUMIFS(BD!$C$3:$C$5001,BD!$A$3:$A$5001,Y$3,BD!$B$3:$B$5001,$A$245)))</f>
        <v/>
      </c>
      <c r="Z245" s="159" t="str">
        <f>IF(Z$3="","",IF(COUNTIFS(BD!$A$3:$A$5001,Z$3,BD!$B$3:$B$5001,$A$245,BD!$C$3:$C$5001,"&lt;&gt;")=0,"",SUMIFS(BD!$C$3:$C$5001,BD!$A$3:$A$5001,Z$3,BD!$B$3:$B$5001,$A$245)))</f>
        <v/>
      </c>
      <c r="AA245" s="159" t="str">
        <f>IF(AA$3="","",IF(COUNTIFS(BD!$A$3:$A$5001,AA$3,BD!$B$3:$B$5001,$A$245,BD!$C$3:$C$5001,"&lt;&gt;")=0,"",SUMIFS(BD!$C$3:$C$5001,BD!$A$3:$A$5001,AA$3,BD!$B$3:$B$5001,$A$245)))</f>
        <v/>
      </c>
      <c r="AB245" s="159" t="str">
        <f>IF(AB$3="","",IF(COUNTIFS(BD!$A$3:$A$5001,AB$3,BD!$B$3:$B$5001,$A$245,BD!$C$3:$C$5001,"&lt;&gt;")=0,"",SUMIFS(BD!$C$3:$C$5001,BD!$A$3:$A$5001,AB$3,BD!$B$3:$B$5001,$A$245)))</f>
        <v/>
      </c>
      <c r="AC245" s="159" t="str">
        <f>IF(AC$3="","",IF(COUNTIFS(BD!$A$3:$A$5001,AC$3,BD!$B$3:$B$5001,$A$245,BD!$C$3:$C$5001,"&lt;&gt;")=0,"",SUMIFS(BD!$C$3:$C$5001,BD!$A$3:$A$5001,AC$3,BD!$B$3:$B$5001,$A$245)))</f>
        <v/>
      </c>
      <c r="AD245" s="159" t="str">
        <f>IF(AD$3="","",IF(COUNTIFS(BD!$A$3:$A$5001,AD$3,BD!$B$3:$B$5001,$A$245,BD!$C$3:$C$5001,"&lt;&gt;")=0,"",SUMIFS(BD!$C$3:$C$5001,BD!$A$3:$A$5001,AD$3,BD!$B$3:$B$5001,$A$245)))</f>
        <v/>
      </c>
      <c r="AE245" s="159" t="str">
        <f>IF(AE$3="","",IF(COUNTIFS(BD!$A$3:$A$5001,AE$3,BD!$B$3:$B$5001,$A$245,BD!$C$3:$C$5001,"&lt;&gt;")=0,"",SUMIFS(BD!$C$3:$C$5001,BD!$A$3:$A$5001,AE$3,BD!$B$3:$B$5001,$A$245)))</f>
        <v/>
      </c>
      <c r="AF245" s="159" t="str">
        <f>IF(AF$3="","",IF(COUNTIFS(BD!$A$3:$A$5001,AF$3,BD!$B$3:$B$5001,$A$245,BD!$C$3:$C$5001,"&lt;&gt;")=0,"",SUMIFS(BD!$C$3:$C$5001,BD!$A$3:$A$5001,AF$3,BD!$B$3:$B$5001,$A$245)))</f>
        <v/>
      </c>
      <c r="AG245" s="159" t="str">
        <f>IF(AG$3="","",IF(COUNTIFS(BD!$A$3:$A$5001,AG$3,BD!$B$3:$B$5001,$A$245,BD!$C$3:$C$5001,"&lt;&gt;")=0,"",SUMIFS(BD!$C$3:$C$5001,BD!$A$3:$A$5001,AG$3,BD!$B$3:$B$5001,$A$245)))</f>
        <v/>
      </c>
      <c r="AH245" s="159" t="str">
        <f>IF(AH$3="","",IF(COUNTIFS(BD!$A$3:$A$5001,AH$3,BD!$B$3:$B$5001,$A$245,BD!$C$3:$C$5001,"&lt;&gt;")=0,"",SUMIFS(BD!$C$3:$C$5001,BD!$A$3:$A$5001,AH$3,BD!$B$3:$B$5001,$A$245)))</f>
        <v/>
      </c>
      <c r="AI245" s="159" t="str">
        <f>IF(AI$3="","",IF(COUNTIFS(BD!$A$3:$A$5001,AI$3,BD!$B$3:$B$5001,$A$245,BD!$C$3:$C$5001,"&lt;&gt;")=0,"",SUMIFS(BD!$C$3:$C$5001,BD!$A$3:$A$5001,AI$3,BD!$B$3:$B$5001,$A$245)))</f>
        <v/>
      </c>
      <c r="AJ245" s="160" t="str">
        <f>IF(AJ$3="","",IF(COUNTIFS(BD!$A$3:$A$5001,AJ$3,BD!$B$3:$B$5001,$A$245,BD!$C$3:$C$5001,"&lt;&gt;")=0,"",SUMIFS(BD!$C$3:$C$5001,BD!$A$3:$A$5001,AJ$3,BD!$B$3:$B$5001,$A$245)))</f>
        <v/>
      </c>
      <c r="AK245" s="161" t="str">
        <f>IF(COUNT(F245:AJ245)=0,"",SUM(F245:AJ245))</f>
        <v/>
      </c>
    </row>
    <row r="246" ht="15.75" customHeight="1" hidden="1">
      <c r="A246" s="244"/>
      <c r="B246" s="239"/>
      <c r="C246" s="201" t="inlineStr">
        <is>
          <t xml:space="preserve">Pallets Movimentados</t>
        </is>
      </c>
      <c r="D246" s="202" t="str">
        <f>IFERROR(1/(1/INDEX(BD!$AJ$24:$BD$24,MATCH($A$245,BD!$AJ$22:$BD$22,0))),"")</f>
        <v/>
      </c>
      <c r="E246" s="203"/>
      <c r="F246" s="204" t="str">
        <f>IF(F$3="","",IF(COUNTIFS(BD!$A$3:$A$5001,F$3,BD!$B$3:$B$5001,$A$245,BD!$D$3:$D$5001,"&lt;&gt;")=0,"",SUMIFS(BD!$D$3:$D$5001,BD!$A$3:$A$5001,F$3,BD!$B$3:$B$5001,$A$245)))</f>
        <v/>
      </c>
      <c r="G246" s="205" t="str">
        <f>IF(G$3="","",IF(COUNTIFS(BD!$A$3:$A$5001,G$3,BD!$B$3:$B$5001,$A$245,BD!$D$3:$D$5001,"&lt;&gt;")=0,"",SUMIFS(BD!$D$3:$D$5001,BD!$A$3:$A$5001,G$3,BD!$B$3:$B$5001,$A$245)))</f>
        <v/>
      </c>
      <c r="H246" s="205" t="str">
        <f>IF(H$3="","",IF(COUNTIFS(BD!$A$3:$A$5001,H$3,BD!$B$3:$B$5001,$A$245,BD!$D$3:$D$5001,"&lt;&gt;")=0,"",SUMIFS(BD!$D$3:$D$5001,BD!$A$3:$A$5001,H$3,BD!$B$3:$B$5001,$A$245)))</f>
        <v/>
      </c>
      <c r="I246" s="205" t="str">
        <f>IF(I$3="","",IF(COUNTIFS(BD!$A$3:$A$5001,I$3,BD!$B$3:$B$5001,$A$245,BD!$D$3:$D$5001,"&lt;&gt;")=0,"",SUMIFS(BD!$D$3:$D$5001,BD!$A$3:$A$5001,I$3,BD!$B$3:$B$5001,$A$245)))</f>
        <v/>
      </c>
      <c r="J246" s="205" t="str">
        <f>IF(J$3="","",IF(COUNTIFS(BD!$A$3:$A$5001,J$3,BD!$B$3:$B$5001,$A$245,BD!$D$3:$D$5001,"&lt;&gt;")=0,"",SUMIFS(BD!$D$3:$D$5001,BD!$A$3:$A$5001,J$3,BD!$B$3:$B$5001,$A$245)))</f>
        <v/>
      </c>
      <c r="K246" s="205" t="str">
        <f>IF(K$3="","",IF(COUNTIFS(BD!$A$3:$A$5001,K$3,BD!$B$3:$B$5001,$A$245,BD!$D$3:$D$5001,"&lt;&gt;")=0,"",SUMIFS(BD!$D$3:$D$5001,BD!$A$3:$A$5001,K$3,BD!$B$3:$B$5001,$A$245)))</f>
        <v/>
      </c>
      <c r="L246" s="205" t="str">
        <f>IF(L$3="","",IF(COUNTIFS(BD!$A$3:$A$5001,L$3,BD!$B$3:$B$5001,$A$245,BD!$D$3:$D$5001,"&lt;&gt;")=0,"",SUMIFS(BD!$D$3:$D$5001,BD!$A$3:$A$5001,L$3,BD!$B$3:$B$5001,$A$245)))</f>
        <v/>
      </c>
      <c r="M246" s="205" t="str">
        <f>IF(M$3="","",IF(COUNTIFS(BD!$A$3:$A$5001,M$3,BD!$B$3:$B$5001,$A$245,BD!$D$3:$D$5001,"&lt;&gt;")=0,"",SUMIFS(BD!$D$3:$D$5001,BD!$A$3:$A$5001,M$3,BD!$B$3:$B$5001,$A$245)))</f>
        <v/>
      </c>
      <c r="N246" s="205" t="str">
        <f>IF(N$3="","",IF(COUNTIFS(BD!$A$3:$A$5001,N$3,BD!$B$3:$B$5001,$A$245,BD!$D$3:$D$5001,"&lt;&gt;")=0,"",SUMIFS(BD!$D$3:$D$5001,BD!$A$3:$A$5001,N$3,BD!$B$3:$B$5001,$A$245)))</f>
        <v/>
      </c>
      <c r="O246" s="205" t="str">
        <f>IF(O$3="","",IF(COUNTIFS(BD!$A$3:$A$5001,O$3,BD!$B$3:$B$5001,$A$245,BD!$D$3:$D$5001,"&lt;&gt;")=0,"",SUMIFS(BD!$D$3:$D$5001,BD!$A$3:$A$5001,O$3,BD!$B$3:$B$5001,$A$245)))</f>
        <v/>
      </c>
      <c r="P246" s="205" t="str">
        <f>IF(P$3="","",IF(COUNTIFS(BD!$A$3:$A$5001,P$3,BD!$B$3:$B$5001,$A$245,BD!$D$3:$D$5001,"&lt;&gt;")=0,"",SUMIFS(BD!$D$3:$D$5001,BD!$A$3:$A$5001,P$3,BD!$B$3:$B$5001,$A$245)))</f>
        <v/>
      </c>
      <c r="Q246" s="205" t="str">
        <f>IF(Q$3="","",IF(COUNTIFS(BD!$A$3:$A$5001,Q$3,BD!$B$3:$B$5001,$A$245,BD!$D$3:$D$5001,"&lt;&gt;")=0,"",SUMIFS(BD!$D$3:$D$5001,BD!$A$3:$A$5001,Q$3,BD!$B$3:$B$5001,$A$245)))</f>
        <v/>
      </c>
      <c r="R246" s="205" t="str">
        <f>IF(R$3="","",IF(COUNTIFS(BD!$A$3:$A$5001,R$3,BD!$B$3:$B$5001,$A$245,BD!$D$3:$D$5001,"&lt;&gt;")=0,"",SUMIFS(BD!$D$3:$D$5001,BD!$A$3:$A$5001,R$3,BD!$B$3:$B$5001,$A$245)))</f>
        <v/>
      </c>
      <c r="S246" s="205" t="str">
        <f>IF(S$3="","",IF(COUNTIFS(BD!$A$3:$A$5001,S$3,BD!$B$3:$B$5001,$A$245,BD!$D$3:$D$5001,"&lt;&gt;")=0,"",SUMIFS(BD!$D$3:$D$5001,BD!$A$3:$A$5001,S$3,BD!$B$3:$B$5001,$A$245)))</f>
        <v/>
      </c>
      <c r="T246" s="205" t="str">
        <f>IF(T$3="","",IF(COUNTIFS(BD!$A$3:$A$5001,T$3,BD!$B$3:$B$5001,$A$245,BD!$D$3:$D$5001,"&lt;&gt;")=0,"",SUMIFS(BD!$D$3:$D$5001,BD!$A$3:$A$5001,T$3,BD!$B$3:$B$5001,$A$245)))</f>
        <v/>
      </c>
      <c r="U246" s="205" t="str">
        <f>IF(U$3="","",IF(COUNTIFS(BD!$A$3:$A$5001,U$3,BD!$B$3:$B$5001,$A$245,BD!$D$3:$D$5001,"&lt;&gt;")=0,"",SUMIFS(BD!$D$3:$D$5001,BD!$A$3:$A$5001,U$3,BD!$B$3:$B$5001,$A$245)))</f>
        <v/>
      </c>
      <c r="V246" s="205" t="str">
        <f>IF(V$3="","",IF(COUNTIFS(BD!$A$3:$A$5001,V$3,BD!$B$3:$B$5001,$A$245,BD!$D$3:$D$5001,"&lt;&gt;")=0,"",SUMIFS(BD!$D$3:$D$5001,BD!$A$3:$A$5001,V$3,BD!$B$3:$B$5001,$A$245)))</f>
        <v/>
      </c>
      <c r="W246" s="205" t="str">
        <f>IF(W$3="","",IF(COUNTIFS(BD!$A$3:$A$5001,W$3,BD!$B$3:$B$5001,$A$245,BD!$D$3:$D$5001,"&lt;&gt;")=0,"",SUMIFS(BD!$D$3:$D$5001,BD!$A$3:$A$5001,W$3,BD!$B$3:$B$5001,$A$245)))</f>
        <v/>
      </c>
      <c r="X246" s="205" t="str">
        <f>IF(X$3="","",IF(COUNTIFS(BD!$A$3:$A$5001,X$3,BD!$B$3:$B$5001,$A$245,BD!$D$3:$D$5001,"&lt;&gt;")=0,"",SUMIFS(BD!$D$3:$D$5001,BD!$A$3:$A$5001,X$3,BD!$B$3:$B$5001,$A$245)))</f>
        <v/>
      </c>
      <c r="Y246" s="205" t="str">
        <f>IF(Y$3="","",IF(COUNTIFS(BD!$A$3:$A$5001,Y$3,BD!$B$3:$B$5001,$A$245,BD!$D$3:$D$5001,"&lt;&gt;")=0,"",SUMIFS(BD!$D$3:$D$5001,BD!$A$3:$A$5001,Y$3,BD!$B$3:$B$5001,$A$245)))</f>
        <v/>
      </c>
      <c r="Z246" s="205" t="str">
        <f>IF(Z$3="","",IF(COUNTIFS(BD!$A$3:$A$5001,Z$3,BD!$B$3:$B$5001,$A$245,BD!$D$3:$D$5001,"&lt;&gt;")=0,"",SUMIFS(BD!$D$3:$D$5001,BD!$A$3:$A$5001,Z$3,BD!$B$3:$B$5001,$A$245)))</f>
        <v/>
      </c>
      <c r="AA246" s="205" t="str">
        <f>IF(AA$3="","",IF(COUNTIFS(BD!$A$3:$A$5001,AA$3,BD!$B$3:$B$5001,$A$245,BD!$D$3:$D$5001,"&lt;&gt;")=0,"",SUMIFS(BD!$D$3:$D$5001,BD!$A$3:$A$5001,AA$3,BD!$B$3:$B$5001,$A$245)))</f>
        <v/>
      </c>
      <c r="AB246" s="205" t="str">
        <f>IF(AB$3="","",IF(COUNTIFS(BD!$A$3:$A$5001,AB$3,BD!$B$3:$B$5001,$A$245,BD!$D$3:$D$5001,"&lt;&gt;")=0,"",SUMIFS(BD!$D$3:$D$5001,BD!$A$3:$A$5001,AB$3,BD!$B$3:$B$5001,$A$245)))</f>
        <v/>
      </c>
      <c r="AC246" s="205" t="str">
        <f>IF(AC$3="","",IF(COUNTIFS(BD!$A$3:$A$5001,AC$3,BD!$B$3:$B$5001,$A$245,BD!$D$3:$D$5001,"&lt;&gt;")=0,"",SUMIFS(BD!$D$3:$D$5001,BD!$A$3:$A$5001,AC$3,BD!$B$3:$B$5001,$A$245)))</f>
        <v/>
      </c>
      <c r="AD246" s="205" t="str">
        <f>IF(AD$3="","",IF(COUNTIFS(BD!$A$3:$A$5001,AD$3,BD!$B$3:$B$5001,$A$245,BD!$D$3:$D$5001,"&lt;&gt;")=0,"",SUMIFS(BD!$D$3:$D$5001,BD!$A$3:$A$5001,AD$3,BD!$B$3:$B$5001,$A$245)))</f>
        <v/>
      </c>
      <c r="AE246" s="205" t="str">
        <f>IF(AE$3="","",IF(COUNTIFS(BD!$A$3:$A$5001,AE$3,BD!$B$3:$B$5001,$A$245,BD!$D$3:$D$5001,"&lt;&gt;")=0,"",SUMIFS(BD!$D$3:$D$5001,BD!$A$3:$A$5001,AE$3,BD!$B$3:$B$5001,$A$245)))</f>
        <v/>
      </c>
      <c r="AF246" s="205" t="str">
        <f>IF(AF$3="","",IF(COUNTIFS(BD!$A$3:$A$5001,AF$3,BD!$B$3:$B$5001,$A$245,BD!$D$3:$D$5001,"&lt;&gt;")=0,"",SUMIFS(BD!$D$3:$D$5001,BD!$A$3:$A$5001,AF$3,BD!$B$3:$B$5001,$A$245)))</f>
        <v/>
      </c>
      <c r="AG246" s="205" t="str">
        <f>IF(AG$3="","",IF(COUNTIFS(BD!$A$3:$A$5001,AG$3,BD!$B$3:$B$5001,$A$245,BD!$D$3:$D$5001,"&lt;&gt;")=0,"",SUMIFS(BD!$D$3:$D$5001,BD!$A$3:$A$5001,AG$3,BD!$B$3:$B$5001,$A$245)))</f>
        <v/>
      </c>
      <c r="AH246" s="205" t="str">
        <f>IF(AH$3="","",IF(COUNTIFS(BD!$A$3:$A$5001,AH$3,BD!$B$3:$B$5001,$A$245,BD!$D$3:$D$5001,"&lt;&gt;")=0,"",SUMIFS(BD!$D$3:$D$5001,BD!$A$3:$A$5001,AH$3,BD!$B$3:$B$5001,$A$245)))</f>
        <v/>
      </c>
      <c r="AI246" s="205" t="str">
        <f>IF(AI$3="","",IF(COUNTIFS(BD!$A$3:$A$5001,AI$3,BD!$B$3:$B$5001,$A$245,BD!$D$3:$D$5001,"&lt;&gt;")=0,"",SUMIFS(BD!$D$3:$D$5001,BD!$A$3:$A$5001,AI$3,BD!$B$3:$B$5001,$A$245)))</f>
        <v/>
      </c>
      <c r="AJ246" s="206" t="str">
        <f>IF(AJ$3="","",IF(COUNTIFS(BD!$A$3:$A$5001,AJ$3,BD!$B$3:$B$5001,$A$245,BD!$D$3:$D$5001,"&lt;&gt;")=0,"",SUMIFS(BD!$D$3:$D$5001,BD!$A$3:$A$5001,AJ$3,BD!$B$3:$B$5001,$A$245)))</f>
        <v/>
      </c>
      <c r="AK246" s="207" t="str">
        <f>IF(COUNT(F246:AJ246)=0,"",SUM(F246:AJ246))</f>
        <v/>
      </c>
    </row>
    <row r="247" ht="15.75" customHeight="1" hidden="1">
      <c r="A247" s="244"/>
      <c r="B247" s="239"/>
      <c r="C247" s="201" t="inlineStr">
        <is>
          <t xml:space="preserve">Toneladas Movimentadas</t>
        </is>
      </c>
      <c r="D247" s="202" t="str">
        <f>IFERROR(1/(1/INDEX(BD!$AJ$25:$BD$25,MATCH($A$245,BD!$AJ$22:$BD$22,0))),"")</f>
        <v/>
      </c>
      <c r="E247" s="203"/>
      <c r="F247" s="265" t="str">
        <f>IF(F$3="","",IF(COUNTIFS(BD!$A$3:$A$5001,F$3,BD!$B$3:$B$5001,$A$245,BD!$E$3:$E$5001,"&lt;&gt;")=0,"",SUMIFS(BD!$E$3:$E$5001,BD!$A$3:$A$5001,F$3,BD!$B$3:$B$5001,$A$245)))</f>
        <v/>
      </c>
      <c r="G247" s="266" t="str">
        <f>IF(G$3="","",IF(COUNTIFS(BD!$A$3:$A$5001,G$3,BD!$B$3:$B$5001,$A$245,BD!$E$3:$E$5001,"&lt;&gt;")=0,"",SUMIFS(BD!$E$3:$E$5001,BD!$A$3:$A$5001,G$3,BD!$B$3:$B$5001,$A$245)))</f>
        <v/>
      </c>
      <c r="H247" s="266" t="str">
        <f>IF(H$3="","",IF(COUNTIFS(BD!$A$3:$A$5001,H$3,BD!$B$3:$B$5001,$A$245,BD!$E$3:$E$5001,"&lt;&gt;")=0,"",SUMIFS(BD!$E$3:$E$5001,BD!$A$3:$A$5001,H$3,BD!$B$3:$B$5001,$A$245)))</f>
        <v/>
      </c>
      <c r="I247" s="266" t="str">
        <f>IF(I$3="","",IF(COUNTIFS(BD!$A$3:$A$5001,I$3,BD!$B$3:$B$5001,$A$245,BD!$E$3:$E$5001,"&lt;&gt;")=0,"",SUMIFS(BD!$E$3:$E$5001,BD!$A$3:$A$5001,I$3,BD!$B$3:$B$5001,$A$245)))</f>
        <v/>
      </c>
      <c r="J247" s="266" t="str">
        <f>IF(J$3="","",IF(COUNTIFS(BD!$A$3:$A$5001,J$3,BD!$B$3:$B$5001,$A$245,BD!$E$3:$E$5001,"&lt;&gt;")=0,"",SUMIFS(BD!$E$3:$E$5001,BD!$A$3:$A$5001,J$3,BD!$B$3:$B$5001,$A$245)))</f>
        <v/>
      </c>
      <c r="K247" s="266" t="str">
        <f>IF(K$3="","",IF(COUNTIFS(BD!$A$3:$A$5001,K$3,BD!$B$3:$B$5001,$A$245,BD!$E$3:$E$5001,"&lt;&gt;")=0,"",SUMIFS(BD!$E$3:$E$5001,BD!$A$3:$A$5001,K$3,BD!$B$3:$B$5001,$A$245)))</f>
        <v/>
      </c>
      <c r="L247" s="266" t="str">
        <f>IF(L$3="","",IF(COUNTIFS(BD!$A$3:$A$5001,L$3,BD!$B$3:$B$5001,$A$245,BD!$E$3:$E$5001,"&lt;&gt;")=0,"",SUMIFS(BD!$E$3:$E$5001,BD!$A$3:$A$5001,L$3,BD!$B$3:$B$5001,$A$245)))</f>
        <v/>
      </c>
      <c r="M247" s="266" t="str">
        <f>IF(M$3="","",IF(COUNTIFS(BD!$A$3:$A$5001,M$3,BD!$B$3:$B$5001,$A$245,BD!$E$3:$E$5001,"&lt;&gt;")=0,"",SUMIFS(BD!$E$3:$E$5001,BD!$A$3:$A$5001,M$3,BD!$B$3:$B$5001,$A$245)))</f>
        <v/>
      </c>
      <c r="N247" s="266" t="str">
        <f>IF(N$3="","",IF(COUNTIFS(BD!$A$3:$A$5001,N$3,BD!$B$3:$B$5001,$A$245,BD!$E$3:$E$5001,"&lt;&gt;")=0,"",SUMIFS(BD!$E$3:$E$5001,BD!$A$3:$A$5001,N$3,BD!$B$3:$B$5001,$A$245)))</f>
        <v/>
      </c>
      <c r="O247" s="266" t="str">
        <f>IF(O$3="","",IF(COUNTIFS(BD!$A$3:$A$5001,O$3,BD!$B$3:$B$5001,$A$245,BD!$E$3:$E$5001,"&lt;&gt;")=0,"",SUMIFS(BD!$E$3:$E$5001,BD!$A$3:$A$5001,O$3,BD!$B$3:$B$5001,$A$245)))</f>
        <v/>
      </c>
      <c r="P247" s="266" t="str">
        <f>IF(P$3="","",IF(COUNTIFS(BD!$A$3:$A$5001,P$3,BD!$B$3:$B$5001,$A$245,BD!$E$3:$E$5001,"&lt;&gt;")=0,"",SUMIFS(BD!$E$3:$E$5001,BD!$A$3:$A$5001,P$3,BD!$B$3:$B$5001,$A$245)))</f>
        <v/>
      </c>
      <c r="Q247" s="266" t="str">
        <f>IF(Q$3="","",IF(COUNTIFS(BD!$A$3:$A$5001,Q$3,BD!$B$3:$B$5001,$A$245,BD!$E$3:$E$5001,"&lt;&gt;")=0,"",SUMIFS(BD!$E$3:$E$5001,BD!$A$3:$A$5001,Q$3,BD!$B$3:$B$5001,$A$245)))</f>
        <v/>
      </c>
      <c r="R247" s="266" t="str">
        <f>IF(R$3="","",IF(COUNTIFS(BD!$A$3:$A$5001,R$3,BD!$B$3:$B$5001,$A$245,BD!$E$3:$E$5001,"&lt;&gt;")=0,"",SUMIFS(BD!$E$3:$E$5001,BD!$A$3:$A$5001,R$3,BD!$B$3:$B$5001,$A$245)))</f>
        <v/>
      </c>
      <c r="S247" s="266" t="str">
        <f>IF(S$3="","",IF(COUNTIFS(BD!$A$3:$A$5001,S$3,BD!$B$3:$B$5001,$A$245,BD!$E$3:$E$5001,"&lt;&gt;")=0,"",SUMIFS(BD!$E$3:$E$5001,BD!$A$3:$A$5001,S$3,BD!$B$3:$B$5001,$A$245)))</f>
        <v/>
      </c>
      <c r="T247" s="266" t="str">
        <f>IF(T$3="","",IF(COUNTIFS(BD!$A$3:$A$5001,T$3,BD!$B$3:$B$5001,$A$245,BD!$E$3:$E$5001,"&lt;&gt;")=0,"",SUMIFS(BD!$E$3:$E$5001,BD!$A$3:$A$5001,T$3,BD!$B$3:$B$5001,$A$245)))</f>
        <v/>
      </c>
      <c r="U247" s="266" t="str">
        <f>IF(U$3="","",IF(COUNTIFS(BD!$A$3:$A$5001,U$3,BD!$B$3:$B$5001,$A$245,BD!$E$3:$E$5001,"&lt;&gt;")=0,"",SUMIFS(BD!$E$3:$E$5001,BD!$A$3:$A$5001,U$3,BD!$B$3:$B$5001,$A$245)))</f>
        <v/>
      </c>
      <c r="V247" s="266" t="str">
        <f>IF(V$3="","",IF(COUNTIFS(BD!$A$3:$A$5001,V$3,BD!$B$3:$B$5001,$A$245,BD!$E$3:$E$5001,"&lt;&gt;")=0,"",SUMIFS(BD!$E$3:$E$5001,BD!$A$3:$A$5001,V$3,BD!$B$3:$B$5001,$A$245)))</f>
        <v/>
      </c>
      <c r="W247" s="266" t="str">
        <f>IF(W$3="","",IF(COUNTIFS(BD!$A$3:$A$5001,W$3,BD!$B$3:$B$5001,$A$245,BD!$E$3:$E$5001,"&lt;&gt;")=0,"",SUMIFS(BD!$E$3:$E$5001,BD!$A$3:$A$5001,W$3,BD!$B$3:$B$5001,$A$245)))</f>
        <v/>
      </c>
      <c r="X247" s="266" t="str">
        <f>IF(X$3="","",IF(COUNTIFS(BD!$A$3:$A$5001,X$3,BD!$B$3:$B$5001,$A$245,BD!$E$3:$E$5001,"&lt;&gt;")=0,"",SUMIFS(BD!$E$3:$E$5001,BD!$A$3:$A$5001,X$3,BD!$B$3:$B$5001,$A$245)))</f>
        <v/>
      </c>
      <c r="Y247" s="266" t="str">
        <f>IF(Y$3="","",IF(COUNTIFS(BD!$A$3:$A$5001,Y$3,BD!$B$3:$B$5001,$A$245,BD!$E$3:$E$5001,"&lt;&gt;")=0,"",SUMIFS(BD!$E$3:$E$5001,BD!$A$3:$A$5001,Y$3,BD!$B$3:$B$5001,$A$245)))</f>
        <v/>
      </c>
      <c r="Z247" s="266" t="str">
        <f>IF(Z$3="","",IF(COUNTIFS(BD!$A$3:$A$5001,Z$3,BD!$B$3:$B$5001,$A$245,BD!$E$3:$E$5001,"&lt;&gt;")=0,"",SUMIFS(BD!$E$3:$E$5001,BD!$A$3:$A$5001,Z$3,BD!$B$3:$B$5001,$A$245)))</f>
        <v/>
      </c>
      <c r="AA247" s="266" t="str">
        <f>IF(AA$3="","",IF(COUNTIFS(BD!$A$3:$A$5001,AA$3,BD!$B$3:$B$5001,$A$245,BD!$E$3:$E$5001,"&lt;&gt;")=0,"",SUMIFS(BD!$E$3:$E$5001,BD!$A$3:$A$5001,AA$3,BD!$B$3:$B$5001,$A$245)))</f>
        <v/>
      </c>
      <c r="AB247" s="266" t="str">
        <f>IF(AB$3="","",IF(COUNTIFS(BD!$A$3:$A$5001,AB$3,BD!$B$3:$B$5001,$A$245,BD!$E$3:$E$5001,"&lt;&gt;")=0,"",SUMIFS(BD!$E$3:$E$5001,BD!$A$3:$A$5001,AB$3,BD!$B$3:$B$5001,$A$245)))</f>
        <v/>
      </c>
      <c r="AC247" s="266" t="str">
        <f>IF(AC$3="","",IF(COUNTIFS(BD!$A$3:$A$5001,AC$3,BD!$B$3:$B$5001,$A$245,BD!$E$3:$E$5001,"&lt;&gt;")=0,"",SUMIFS(BD!$E$3:$E$5001,BD!$A$3:$A$5001,AC$3,BD!$B$3:$B$5001,$A$245)))</f>
        <v/>
      </c>
      <c r="AD247" s="266" t="str">
        <f>IF(AD$3="","",IF(COUNTIFS(BD!$A$3:$A$5001,AD$3,BD!$B$3:$B$5001,$A$245,BD!$E$3:$E$5001,"&lt;&gt;")=0,"",SUMIFS(BD!$E$3:$E$5001,BD!$A$3:$A$5001,AD$3,BD!$B$3:$B$5001,$A$245)))</f>
        <v/>
      </c>
      <c r="AE247" s="266" t="str">
        <f>IF(AE$3="","",IF(COUNTIFS(BD!$A$3:$A$5001,AE$3,BD!$B$3:$B$5001,$A$245,BD!$E$3:$E$5001,"&lt;&gt;")=0,"",SUMIFS(BD!$E$3:$E$5001,BD!$A$3:$A$5001,AE$3,BD!$B$3:$B$5001,$A$245)))</f>
        <v/>
      </c>
      <c r="AF247" s="266" t="str">
        <f>IF(AF$3="","",IF(COUNTIFS(BD!$A$3:$A$5001,AF$3,BD!$B$3:$B$5001,$A$245,BD!$E$3:$E$5001,"&lt;&gt;")=0,"",SUMIFS(BD!$E$3:$E$5001,BD!$A$3:$A$5001,AF$3,BD!$B$3:$B$5001,$A$245)))</f>
        <v/>
      </c>
      <c r="AG247" s="266" t="str">
        <f>IF(AG$3="","",IF(COUNTIFS(BD!$A$3:$A$5001,AG$3,BD!$B$3:$B$5001,$A$245,BD!$E$3:$E$5001,"&lt;&gt;")=0,"",SUMIFS(BD!$E$3:$E$5001,BD!$A$3:$A$5001,AG$3,BD!$B$3:$B$5001,$A$245)))</f>
        <v/>
      </c>
      <c r="AH247" s="266" t="str">
        <f>IF(AH$3="","",IF(COUNTIFS(BD!$A$3:$A$5001,AH$3,BD!$B$3:$B$5001,$A$245,BD!$E$3:$E$5001,"&lt;&gt;")=0,"",SUMIFS(BD!$E$3:$E$5001,BD!$A$3:$A$5001,AH$3,BD!$B$3:$B$5001,$A$245)))</f>
        <v/>
      </c>
      <c r="AI247" s="266" t="str">
        <f>IF(AI$3="","",IF(COUNTIFS(BD!$A$3:$A$5001,AI$3,BD!$B$3:$B$5001,$A$245,BD!$E$3:$E$5001,"&lt;&gt;")=0,"",SUMIFS(BD!$E$3:$E$5001,BD!$A$3:$A$5001,AI$3,BD!$B$3:$B$5001,$A$245)))</f>
        <v/>
      </c>
      <c r="AJ247" s="267" t="str">
        <f>IF(AJ$3="","",IF(COUNTIFS(BD!$A$3:$A$5001,AJ$3,BD!$B$3:$B$5001,$A$245,BD!$E$3:$E$5001,"&lt;&gt;")=0,"",SUMIFS(BD!$E$3:$E$5001,BD!$A$3:$A$5001,AJ$3,BD!$B$3:$B$5001,$A$245)))</f>
        <v/>
      </c>
      <c r="AK247" s="268" t="str">
        <f>IF(COUNT(F247:AJ247)=0,"",SUM(F247:AJ247))</f>
        <v/>
      </c>
    </row>
    <row r="248" ht="15.75" customHeight="1" hidden="1">
      <c r="A248" s="244"/>
      <c r="B248" s="239"/>
      <c r="C248" s="201" t="inlineStr">
        <is>
          <t xml:space="preserve">Linhas NF</t>
        </is>
      </c>
      <c r="D248" s="202" t="str">
        <f>IFERROR(1/(1/INDEX(BD!$AJ$26:$BD$26,MATCH($A$245,BD!$AJ$22:$BD$22,0))),"")</f>
        <v/>
      </c>
      <c r="E248" s="203"/>
      <c r="F248" s="204" t="str">
        <f>IF(F$3="","",IF(COUNTIFS(BD!$A$3:$A$5001,F$3,BD!$B$3:$B$5001,$A$245,BD!$F$3:$F$5001,"&lt;&gt;")=0,"",SUMIFS(BD!$F$3:$F$5001,BD!$A$3:$A$5001,F$3,BD!$B$3:$B$5001,$A$245)))</f>
        <v/>
      </c>
      <c r="G248" s="205" t="str">
        <f>IF(G$3="","",IF(COUNTIFS(BD!$A$3:$A$5001,G$3,BD!$B$3:$B$5001,$A$245,BD!$F$3:$F$5001,"&lt;&gt;")=0,"",SUMIFS(BD!$F$3:$F$5001,BD!$A$3:$A$5001,G$3,BD!$B$3:$B$5001,$A$245)))</f>
        <v/>
      </c>
      <c r="H248" s="205" t="str">
        <f>IF(H$3="","",IF(COUNTIFS(BD!$A$3:$A$5001,H$3,BD!$B$3:$B$5001,$A$245,BD!$F$3:$F$5001,"&lt;&gt;")=0,"",SUMIFS(BD!$F$3:$F$5001,BD!$A$3:$A$5001,H$3,BD!$B$3:$B$5001,$A$245)))</f>
        <v/>
      </c>
      <c r="I248" s="205" t="str">
        <f>IF(I$3="","",IF(COUNTIFS(BD!$A$3:$A$5001,I$3,BD!$B$3:$B$5001,$A$245,BD!$F$3:$F$5001,"&lt;&gt;")=0,"",SUMIFS(BD!$F$3:$F$5001,BD!$A$3:$A$5001,I$3,BD!$B$3:$B$5001,$A$245)))</f>
        <v/>
      </c>
      <c r="J248" s="205" t="str">
        <f>IF(J$3="","",IF(COUNTIFS(BD!$A$3:$A$5001,J$3,BD!$B$3:$B$5001,$A$245,BD!$F$3:$F$5001,"&lt;&gt;")=0,"",SUMIFS(BD!$F$3:$F$5001,BD!$A$3:$A$5001,J$3,BD!$B$3:$B$5001,$A$245)))</f>
        <v/>
      </c>
      <c r="K248" s="205" t="str">
        <f>IF(K$3="","",IF(COUNTIFS(BD!$A$3:$A$5001,K$3,BD!$B$3:$B$5001,$A$245,BD!$F$3:$F$5001,"&lt;&gt;")=0,"",SUMIFS(BD!$F$3:$F$5001,BD!$A$3:$A$5001,K$3,BD!$B$3:$B$5001,$A$245)))</f>
        <v/>
      </c>
      <c r="L248" s="205" t="str">
        <f>IF(L$3="","",IF(COUNTIFS(BD!$A$3:$A$5001,L$3,BD!$B$3:$B$5001,$A$245,BD!$F$3:$F$5001,"&lt;&gt;")=0,"",SUMIFS(BD!$F$3:$F$5001,BD!$A$3:$A$5001,L$3,BD!$B$3:$B$5001,$A$245)))</f>
        <v/>
      </c>
      <c r="M248" s="205" t="str">
        <f>IF(M$3="","",IF(COUNTIFS(BD!$A$3:$A$5001,M$3,BD!$B$3:$B$5001,$A$245,BD!$F$3:$F$5001,"&lt;&gt;")=0,"",SUMIFS(BD!$F$3:$F$5001,BD!$A$3:$A$5001,M$3,BD!$B$3:$B$5001,$A$245)))</f>
        <v/>
      </c>
      <c r="N248" s="205" t="str">
        <f>IF(N$3="","",IF(COUNTIFS(BD!$A$3:$A$5001,N$3,BD!$B$3:$B$5001,$A$245,BD!$F$3:$F$5001,"&lt;&gt;")=0,"",SUMIFS(BD!$F$3:$F$5001,BD!$A$3:$A$5001,N$3,BD!$B$3:$B$5001,$A$245)))</f>
        <v/>
      </c>
      <c r="O248" s="205" t="str">
        <f>IF(O$3="","",IF(COUNTIFS(BD!$A$3:$A$5001,O$3,BD!$B$3:$B$5001,$A$245,BD!$F$3:$F$5001,"&lt;&gt;")=0,"",SUMIFS(BD!$F$3:$F$5001,BD!$A$3:$A$5001,O$3,BD!$B$3:$B$5001,$A$245)))</f>
        <v/>
      </c>
      <c r="P248" s="205" t="str">
        <f>IF(P$3="","",IF(COUNTIFS(BD!$A$3:$A$5001,P$3,BD!$B$3:$B$5001,$A$245,BD!$F$3:$F$5001,"&lt;&gt;")=0,"",SUMIFS(BD!$F$3:$F$5001,BD!$A$3:$A$5001,P$3,BD!$B$3:$B$5001,$A$245)))</f>
        <v/>
      </c>
      <c r="Q248" s="205" t="str">
        <f>IF(Q$3="","",IF(COUNTIFS(BD!$A$3:$A$5001,Q$3,BD!$B$3:$B$5001,$A$245,BD!$F$3:$F$5001,"&lt;&gt;")=0,"",SUMIFS(BD!$F$3:$F$5001,BD!$A$3:$A$5001,Q$3,BD!$B$3:$B$5001,$A$245)))</f>
        <v/>
      </c>
      <c r="R248" s="205" t="str">
        <f>IF(R$3="","",IF(COUNTIFS(BD!$A$3:$A$5001,R$3,BD!$B$3:$B$5001,$A$245,BD!$F$3:$F$5001,"&lt;&gt;")=0,"",SUMIFS(BD!$F$3:$F$5001,BD!$A$3:$A$5001,R$3,BD!$B$3:$B$5001,$A$245)))</f>
        <v/>
      </c>
      <c r="S248" s="205" t="str">
        <f>IF(S$3="","",IF(COUNTIFS(BD!$A$3:$A$5001,S$3,BD!$B$3:$B$5001,$A$245,BD!$F$3:$F$5001,"&lt;&gt;")=0,"",SUMIFS(BD!$F$3:$F$5001,BD!$A$3:$A$5001,S$3,BD!$B$3:$B$5001,$A$245)))</f>
        <v/>
      </c>
      <c r="T248" s="205" t="str">
        <f>IF(T$3="","",IF(COUNTIFS(BD!$A$3:$A$5001,T$3,BD!$B$3:$B$5001,$A$245,BD!$F$3:$F$5001,"&lt;&gt;")=0,"",SUMIFS(BD!$F$3:$F$5001,BD!$A$3:$A$5001,T$3,BD!$B$3:$B$5001,$A$245)))</f>
        <v/>
      </c>
      <c r="U248" s="205" t="str">
        <f>IF(U$3="","",IF(COUNTIFS(BD!$A$3:$A$5001,U$3,BD!$B$3:$B$5001,$A$245,BD!$F$3:$F$5001,"&lt;&gt;")=0,"",SUMIFS(BD!$F$3:$F$5001,BD!$A$3:$A$5001,U$3,BD!$B$3:$B$5001,$A$245)))</f>
        <v/>
      </c>
      <c r="V248" s="205" t="str">
        <f>IF(V$3="","",IF(COUNTIFS(BD!$A$3:$A$5001,V$3,BD!$B$3:$B$5001,$A$245,BD!$F$3:$F$5001,"&lt;&gt;")=0,"",SUMIFS(BD!$F$3:$F$5001,BD!$A$3:$A$5001,V$3,BD!$B$3:$B$5001,$A$245)))</f>
        <v/>
      </c>
      <c r="W248" s="205" t="str">
        <f>IF(W$3="","",IF(COUNTIFS(BD!$A$3:$A$5001,W$3,BD!$B$3:$B$5001,$A$245,BD!$F$3:$F$5001,"&lt;&gt;")=0,"",SUMIFS(BD!$F$3:$F$5001,BD!$A$3:$A$5001,W$3,BD!$B$3:$B$5001,$A$245)))</f>
        <v/>
      </c>
      <c r="X248" s="205" t="str">
        <f>IF(X$3="","",IF(COUNTIFS(BD!$A$3:$A$5001,X$3,BD!$B$3:$B$5001,$A$245,BD!$F$3:$F$5001,"&lt;&gt;")=0,"",SUMIFS(BD!$F$3:$F$5001,BD!$A$3:$A$5001,X$3,BD!$B$3:$B$5001,$A$245)))</f>
        <v/>
      </c>
      <c r="Y248" s="205" t="str">
        <f>IF(Y$3="","",IF(COUNTIFS(BD!$A$3:$A$5001,Y$3,BD!$B$3:$B$5001,$A$245,BD!$F$3:$F$5001,"&lt;&gt;")=0,"",SUMIFS(BD!$F$3:$F$5001,BD!$A$3:$A$5001,Y$3,BD!$B$3:$B$5001,$A$245)))</f>
        <v/>
      </c>
      <c r="Z248" s="205" t="str">
        <f>IF(Z$3="","",IF(COUNTIFS(BD!$A$3:$A$5001,Z$3,BD!$B$3:$B$5001,$A$245,BD!$F$3:$F$5001,"&lt;&gt;")=0,"",SUMIFS(BD!$F$3:$F$5001,BD!$A$3:$A$5001,Z$3,BD!$B$3:$B$5001,$A$245)))</f>
        <v/>
      </c>
      <c r="AA248" s="205" t="str">
        <f>IF(AA$3="","",IF(COUNTIFS(BD!$A$3:$A$5001,AA$3,BD!$B$3:$B$5001,$A$245,BD!$F$3:$F$5001,"&lt;&gt;")=0,"",SUMIFS(BD!$F$3:$F$5001,BD!$A$3:$A$5001,AA$3,BD!$B$3:$B$5001,$A$245)))</f>
        <v/>
      </c>
      <c r="AB248" s="205" t="str">
        <f>IF(AB$3="","",IF(COUNTIFS(BD!$A$3:$A$5001,AB$3,BD!$B$3:$B$5001,$A$245,BD!$F$3:$F$5001,"&lt;&gt;")=0,"",SUMIFS(BD!$F$3:$F$5001,BD!$A$3:$A$5001,AB$3,BD!$B$3:$B$5001,$A$245)))</f>
        <v/>
      </c>
      <c r="AC248" s="205" t="str">
        <f>IF(AC$3="","",IF(COUNTIFS(BD!$A$3:$A$5001,AC$3,BD!$B$3:$B$5001,$A$245,BD!$F$3:$F$5001,"&lt;&gt;")=0,"",SUMIFS(BD!$F$3:$F$5001,BD!$A$3:$A$5001,AC$3,BD!$B$3:$B$5001,$A$245)))</f>
        <v/>
      </c>
      <c r="AD248" s="205" t="str">
        <f>IF(AD$3="","",IF(COUNTIFS(BD!$A$3:$A$5001,AD$3,BD!$B$3:$B$5001,$A$245,BD!$F$3:$F$5001,"&lt;&gt;")=0,"",SUMIFS(BD!$F$3:$F$5001,BD!$A$3:$A$5001,AD$3,BD!$B$3:$B$5001,$A$245)))</f>
        <v/>
      </c>
      <c r="AE248" s="205" t="str">
        <f>IF(AE$3="","",IF(COUNTIFS(BD!$A$3:$A$5001,AE$3,BD!$B$3:$B$5001,$A$245,BD!$F$3:$F$5001,"&lt;&gt;")=0,"",SUMIFS(BD!$F$3:$F$5001,BD!$A$3:$A$5001,AE$3,BD!$B$3:$B$5001,$A$245)))</f>
        <v/>
      </c>
      <c r="AF248" s="205" t="str">
        <f>IF(AF$3="","",IF(COUNTIFS(BD!$A$3:$A$5001,AF$3,BD!$B$3:$B$5001,$A$245,BD!$F$3:$F$5001,"&lt;&gt;")=0,"",SUMIFS(BD!$F$3:$F$5001,BD!$A$3:$A$5001,AF$3,BD!$B$3:$B$5001,$A$245)))</f>
        <v/>
      </c>
      <c r="AG248" s="205" t="str">
        <f>IF(AG$3="","",IF(COUNTIFS(BD!$A$3:$A$5001,AG$3,BD!$B$3:$B$5001,$A$245,BD!$F$3:$F$5001,"&lt;&gt;")=0,"",SUMIFS(BD!$F$3:$F$5001,BD!$A$3:$A$5001,AG$3,BD!$B$3:$B$5001,$A$245)))</f>
        <v/>
      </c>
      <c r="AH248" s="205" t="str">
        <f>IF(AH$3="","",IF(COUNTIFS(BD!$A$3:$A$5001,AH$3,BD!$B$3:$B$5001,$A$245,BD!$F$3:$F$5001,"&lt;&gt;")=0,"",SUMIFS(BD!$F$3:$F$5001,BD!$A$3:$A$5001,AH$3,BD!$B$3:$B$5001,$A$245)))</f>
        <v/>
      </c>
      <c r="AI248" s="205" t="str">
        <f>IF(AI$3="","",IF(COUNTIFS(BD!$A$3:$A$5001,AI$3,BD!$B$3:$B$5001,$A$245,BD!$F$3:$F$5001,"&lt;&gt;")=0,"",SUMIFS(BD!$F$3:$F$5001,BD!$A$3:$A$5001,AI$3,BD!$B$3:$B$5001,$A$245)))</f>
        <v/>
      </c>
      <c r="AJ248" s="206" t="str">
        <f>IF(AJ$3="","",IF(COUNTIFS(BD!$A$3:$A$5001,AJ$3,BD!$B$3:$B$5001,$A$245,BD!$F$3:$F$5001,"&lt;&gt;")=0,"",SUMIFS(BD!$F$3:$F$5001,BD!$A$3:$A$5001,AJ$3,BD!$B$3:$B$5001,$A$245)))</f>
        <v/>
      </c>
      <c r="AK248" s="207" t="str">
        <f>IF(COUNT(F248:AJ248)=0,"",SUM(F248:AJ248))</f>
        <v/>
      </c>
    </row>
    <row r="249" ht="15.75" customHeight="1" hidden="1">
      <c r="A249" s="244"/>
      <c r="B249" s="239"/>
      <c r="C249" s="201" t="inlineStr">
        <is>
          <t xml:space="preserve">Caixas Movimentadas</t>
        </is>
      </c>
      <c r="D249" s="202" t="str">
        <f>IFERROR(1/(1/INDEX(BD!$AJ$27:$BD$27,MATCH($A$245,BD!$AJ$22:$BD$22,0))),"")</f>
        <v/>
      </c>
      <c r="E249" s="203"/>
      <c r="F249" s="204" t="str">
        <f>IF(F$3="","",IF(COUNTIFS(BD!$A$3:$A$5001,F$3,BD!$B$3:$B$5001,$A$245,BD!$G$3:$G$5001,"&lt;&gt;")=0,"",SUMIFS(BD!$G$3:$G$5001,BD!$A$3:$A$5001,F$3,BD!$B$3:$B$5001,$A$245)))</f>
        <v/>
      </c>
      <c r="G249" s="205" t="str">
        <f>IF(G$3="","",IF(COUNTIFS(BD!$A$3:$A$5001,G$3,BD!$B$3:$B$5001,$A$245,BD!$G$3:$G$5001,"&lt;&gt;")=0,"",SUMIFS(BD!$G$3:$G$5001,BD!$A$3:$A$5001,G$3,BD!$B$3:$B$5001,$A$245)))</f>
        <v/>
      </c>
      <c r="H249" s="205" t="str">
        <f>IF(H$3="","",IF(COUNTIFS(BD!$A$3:$A$5001,H$3,BD!$B$3:$B$5001,$A$245,BD!$G$3:$G$5001,"&lt;&gt;")=0,"",SUMIFS(BD!$G$3:$G$5001,BD!$A$3:$A$5001,H$3,BD!$B$3:$B$5001,$A$245)))</f>
        <v/>
      </c>
      <c r="I249" s="205" t="str">
        <f>IF(I$3="","",IF(COUNTIFS(BD!$A$3:$A$5001,I$3,BD!$B$3:$B$5001,$A$245,BD!$G$3:$G$5001,"&lt;&gt;")=0,"",SUMIFS(BD!$G$3:$G$5001,BD!$A$3:$A$5001,I$3,BD!$B$3:$B$5001,$A$245)))</f>
        <v/>
      </c>
      <c r="J249" s="205" t="str">
        <f>IF(J$3="","",IF(COUNTIFS(BD!$A$3:$A$5001,J$3,BD!$B$3:$B$5001,$A$245,BD!$G$3:$G$5001,"&lt;&gt;")=0,"",SUMIFS(BD!$G$3:$G$5001,BD!$A$3:$A$5001,J$3,BD!$B$3:$B$5001,$A$245)))</f>
        <v/>
      </c>
      <c r="K249" s="205" t="str">
        <f>IF(K$3="","",IF(COUNTIFS(BD!$A$3:$A$5001,K$3,BD!$B$3:$B$5001,$A$245,BD!$G$3:$G$5001,"&lt;&gt;")=0,"",SUMIFS(BD!$G$3:$G$5001,BD!$A$3:$A$5001,K$3,BD!$B$3:$B$5001,$A$245)))</f>
        <v/>
      </c>
      <c r="L249" s="205" t="str">
        <f>IF(L$3="","",IF(COUNTIFS(BD!$A$3:$A$5001,L$3,BD!$B$3:$B$5001,$A$245,BD!$G$3:$G$5001,"&lt;&gt;")=0,"",SUMIFS(BD!$G$3:$G$5001,BD!$A$3:$A$5001,L$3,BD!$B$3:$B$5001,$A$245)))</f>
        <v/>
      </c>
      <c r="M249" s="205" t="str">
        <f>IF(M$3="","",IF(COUNTIFS(BD!$A$3:$A$5001,M$3,BD!$B$3:$B$5001,$A$245,BD!$G$3:$G$5001,"&lt;&gt;")=0,"",SUMIFS(BD!$G$3:$G$5001,BD!$A$3:$A$5001,M$3,BD!$B$3:$B$5001,$A$245)))</f>
        <v/>
      </c>
      <c r="N249" s="205" t="str">
        <f>IF(N$3="","",IF(COUNTIFS(BD!$A$3:$A$5001,N$3,BD!$B$3:$B$5001,$A$245,BD!$G$3:$G$5001,"&lt;&gt;")=0,"",SUMIFS(BD!$G$3:$G$5001,BD!$A$3:$A$5001,N$3,BD!$B$3:$B$5001,$A$245)))</f>
        <v/>
      </c>
      <c r="O249" s="205" t="str">
        <f>IF(O$3="","",IF(COUNTIFS(BD!$A$3:$A$5001,O$3,BD!$B$3:$B$5001,$A$245,BD!$G$3:$G$5001,"&lt;&gt;")=0,"",SUMIFS(BD!$G$3:$G$5001,BD!$A$3:$A$5001,O$3,BD!$B$3:$B$5001,$A$245)))</f>
        <v/>
      </c>
      <c r="P249" s="205" t="str">
        <f>IF(P$3="","",IF(COUNTIFS(BD!$A$3:$A$5001,P$3,BD!$B$3:$B$5001,$A$245,BD!$G$3:$G$5001,"&lt;&gt;")=0,"",SUMIFS(BD!$G$3:$G$5001,BD!$A$3:$A$5001,P$3,BD!$B$3:$B$5001,$A$245)))</f>
        <v/>
      </c>
      <c r="Q249" s="205" t="str">
        <f>IF(Q$3="","",IF(COUNTIFS(BD!$A$3:$A$5001,Q$3,BD!$B$3:$B$5001,$A$245,BD!$G$3:$G$5001,"&lt;&gt;")=0,"",SUMIFS(BD!$G$3:$G$5001,BD!$A$3:$A$5001,Q$3,BD!$B$3:$B$5001,$A$245)))</f>
        <v/>
      </c>
      <c r="R249" s="205" t="str">
        <f>IF(R$3="","",IF(COUNTIFS(BD!$A$3:$A$5001,R$3,BD!$B$3:$B$5001,$A$245,BD!$G$3:$G$5001,"&lt;&gt;")=0,"",SUMIFS(BD!$G$3:$G$5001,BD!$A$3:$A$5001,R$3,BD!$B$3:$B$5001,$A$245)))</f>
        <v/>
      </c>
      <c r="S249" s="205" t="str">
        <f>IF(S$3="","",IF(COUNTIFS(BD!$A$3:$A$5001,S$3,BD!$B$3:$B$5001,$A$245,BD!$G$3:$G$5001,"&lt;&gt;")=0,"",SUMIFS(BD!$G$3:$G$5001,BD!$A$3:$A$5001,S$3,BD!$B$3:$B$5001,$A$245)))</f>
        <v/>
      </c>
      <c r="T249" s="205" t="str">
        <f>IF(T$3="","",IF(COUNTIFS(BD!$A$3:$A$5001,T$3,BD!$B$3:$B$5001,$A$245,BD!$G$3:$G$5001,"&lt;&gt;")=0,"",SUMIFS(BD!$G$3:$G$5001,BD!$A$3:$A$5001,T$3,BD!$B$3:$B$5001,$A$245)))</f>
        <v/>
      </c>
      <c r="U249" s="205" t="str">
        <f>IF(U$3="","",IF(COUNTIFS(BD!$A$3:$A$5001,U$3,BD!$B$3:$B$5001,$A$245,BD!$G$3:$G$5001,"&lt;&gt;")=0,"",SUMIFS(BD!$G$3:$G$5001,BD!$A$3:$A$5001,U$3,BD!$B$3:$B$5001,$A$245)))</f>
        <v/>
      </c>
      <c r="V249" s="205" t="str">
        <f>IF(V$3="","",IF(COUNTIFS(BD!$A$3:$A$5001,V$3,BD!$B$3:$B$5001,$A$245,BD!$G$3:$G$5001,"&lt;&gt;")=0,"",SUMIFS(BD!$G$3:$G$5001,BD!$A$3:$A$5001,V$3,BD!$B$3:$B$5001,$A$245)))</f>
        <v/>
      </c>
      <c r="W249" s="205" t="str">
        <f>IF(W$3="","",IF(COUNTIFS(BD!$A$3:$A$5001,W$3,BD!$B$3:$B$5001,$A$245,BD!$G$3:$G$5001,"&lt;&gt;")=0,"",SUMIFS(BD!$G$3:$G$5001,BD!$A$3:$A$5001,W$3,BD!$B$3:$B$5001,$A$245)))</f>
        <v/>
      </c>
      <c r="X249" s="205" t="str">
        <f>IF(X$3="","",IF(COUNTIFS(BD!$A$3:$A$5001,X$3,BD!$B$3:$B$5001,$A$245,BD!$G$3:$G$5001,"&lt;&gt;")=0,"",SUMIFS(BD!$G$3:$G$5001,BD!$A$3:$A$5001,X$3,BD!$B$3:$B$5001,$A$245)))</f>
        <v/>
      </c>
      <c r="Y249" s="205" t="str">
        <f>IF(Y$3="","",IF(COUNTIFS(BD!$A$3:$A$5001,Y$3,BD!$B$3:$B$5001,$A$245,BD!$G$3:$G$5001,"&lt;&gt;")=0,"",SUMIFS(BD!$G$3:$G$5001,BD!$A$3:$A$5001,Y$3,BD!$B$3:$B$5001,$A$245)))</f>
        <v/>
      </c>
      <c r="Z249" s="205" t="str">
        <f>IF(Z$3="","",IF(COUNTIFS(BD!$A$3:$A$5001,Z$3,BD!$B$3:$B$5001,$A$245,BD!$G$3:$G$5001,"&lt;&gt;")=0,"",SUMIFS(BD!$G$3:$G$5001,BD!$A$3:$A$5001,Z$3,BD!$B$3:$B$5001,$A$245)))</f>
        <v/>
      </c>
      <c r="AA249" s="205" t="str">
        <f>IF(AA$3="","",IF(COUNTIFS(BD!$A$3:$A$5001,AA$3,BD!$B$3:$B$5001,$A$245,BD!$G$3:$G$5001,"&lt;&gt;")=0,"",SUMIFS(BD!$G$3:$G$5001,BD!$A$3:$A$5001,AA$3,BD!$B$3:$B$5001,$A$245)))</f>
        <v/>
      </c>
      <c r="AB249" s="205" t="str">
        <f>IF(AB$3="","",IF(COUNTIFS(BD!$A$3:$A$5001,AB$3,BD!$B$3:$B$5001,$A$245,BD!$G$3:$G$5001,"&lt;&gt;")=0,"",SUMIFS(BD!$G$3:$G$5001,BD!$A$3:$A$5001,AB$3,BD!$B$3:$B$5001,$A$245)))</f>
        <v/>
      </c>
      <c r="AC249" s="205" t="str">
        <f>IF(AC$3="","",IF(COUNTIFS(BD!$A$3:$A$5001,AC$3,BD!$B$3:$B$5001,$A$245,BD!$G$3:$G$5001,"&lt;&gt;")=0,"",SUMIFS(BD!$G$3:$G$5001,BD!$A$3:$A$5001,AC$3,BD!$B$3:$B$5001,$A$245)))</f>
        <v/>
      </c>
      <c r="AD249" s="205" t="str">
        <f>IF(AD$3="","",IF(COUNTIFS(BD!$A$3:$A$5001,AD$3,BD!$B$3:$B$5001,$A$245,BD!$G$3:$G$5001,"&lt;&gt;")=0,"",SUMIFS(BD!$G$3:$G$5001,BD!$A$3:$A$5001,AD$3,BD!$B$3:$B$5001,$A$245)))</f>
        <v/>
      </c>
      <c r="AE249" s="205" t="str">
        <f>IF(AE$3="","",IF(COUNTIFS(BD!$A$3:$A$5001,AE$3,BD!$B$3:$B$5001,$A$245,BD!$G$3:$G$5001,"&lt;&gt;")=0,"",SUMIFS(BD!$G$3:$G$5001,BD!$A$3:$A$5001,AE$3,BD!$B$3:$B$5001,$A$245)))</f>
        <v/>
      </c>
      <c r="AF249" s="205" t="str">
        <f>IF(AF$3="","",IF(COUNTIFS(BD!$A$3:$A$5001,AF$3,BD!$B$3:$B$5001,$A$245,BD!$G$3:$G$5001,"&lt;&gt;")=0,"",SUMIFS(BD!$G$3:$G$5001,BD!$A$3:$A$5001,AF$3,BD!$B$3:$B$5001,$A$245)))</f>
        <v/>
      </c>
      <c r="AG249" s="205" t="str">
        <f>IF(AG$3="","",IF(COUNTIFS(BD!$A$3:$A$5001,AG$3,BD!$B$3:$B$5001,$A$245,BD!$G$3:$G$5001,"&lt;&gt;")=0,"",SUMIFS(BD!$G$3:$G$5001,BD!$A$3:$A$5001,AG$3,BD!$B$3:$B$5001,$A$245)))</f>
        <v/>
      </c>
      <c r="AH249" s="205" t="str">
        <f>IF(AH$3="","",IF(COUNTIFS(BD!$A$3:$A$5001,AH$3,BD!$B$3:$B$5001,$A$245,BD!$G$3:$G$5001,"&lt;&gt;")=0,"",SUMIFS(BD!$G$3:$G$5001,BD!$A$3:$A$5001,AH$3,BD!$B$3:$B$5001,$A$245)))</f>
        <v/>
      </c>
      <c r="AI249" s="205" t="str">
        <f>IF(AI$3="","",IF(COUNTIFS(BD!$A$3:$A$5001,AI$3,BD!$B$3:$B$5001,$A$245,BD!$G$3:$G$5001,"&lt;&gt;")=0,"",SUMIFS(BD!$G$3:$G$5001,BD!$A$3:$A$5001,AI$3,BD!$B$3:$B$5001,$A$245)))</f>
        <v/>
      </c>
      <c r="AJ249" s="206" t="str">
        <f>IF(AJ$3="","",IF(COUNTIFS(BD!$A$3:$A$5001,AJ$3,BD!$B$3:$B$5001,$A$245,BD!$G$3:$G$5001,"&lt;&gt;")=0,"",SUMIFS(BD!$G$3:$G$5001,BD!$A$3:$A$5001,AJ$3,BD!$B$3:$B$5001,$A$245)))</f>
        <v/>
      </c>
      <c r="AK249" s="207" t="str">
        <f>IF(COUNT(F249:AJ249)=0,"",SUM(F249:AJ249))</f>
        <v/>
      </c>
    </row>
    <row r="250" ht="15.75" customHeight="1" hidden="1">
      <c r="A250" s="244"/>
      <c r="B250" s="239"/>
      <c r="C250" s="201" t="inlineStr">
        <is>
          <t xml:space="preserve">Itens Recebidos</t>
        </is>
      </c>
      <c r="D250" s="202" t="str">
        <f>IFERROR(1/(1/INDEX(BD!$AJ$28:$BD$28,MATCH($A$245,BD!$AJ$22:$BD$22,0))),"")</f>
        <v/>
      </c>
      <c r="E250" s="203"/>
      <c r="F250" s="204" t="str">
        <f>IF(F$3="","",IF(COUNTIFS(BD!$A$3:$A$5001,F$3,BD!$B$3:$B$5001,$A$245,BD!$H$3:$H$5001,"&lt;&gt;")=0,"",SUMIFS(BD!$H$3:$H$5001,BD!$A$3:$A$5001,F$3,BD!$B$3:$B$5001,$A$245)))</f>
        <v/>
      </c>
      <c r="G250" s="205" t="str">
        <f>IF(G$3="","",IF(COUNTIFS(BD!$A$3:$A$5001,G$3,BD!$B$3:$B$5001,$A$245,BD!$H$3:$H$5001,"&lt;&gt;")=0,"",SUMIFS(BD!$H$3:$H$5001,BD!$A$3:$A$5001,G$3,BD!$B$3:$B$5001,$A$245)))</f>
        <v/>
      </c>
      <c r="H250" s="205" t="str">
        <f>IF(H$3="","",IF(COUNTIFS(BD!$A$3:$A$5001,H$3,BD!$B$3:$B$5001,$A$245,BD!$H$3:$H$5001,"&lt;&gt;")=0,"",SUMIFS(BD!$H$3:$H$5001,BD!$A$3:$A$5001,H$3,BD!$B$3:$B$5001,$A$245)))</f>
        <v/>
      </c>
      <c r="I250" s="205" t="str">
        <f>IF(I$3="","",IF(COUNTIFS(BD!$A$3:$A$5001,I$3,BD!$B$3:$B$5001,$A$245,BD!$H$3:$H$5001,"&lt;&gt;")=0,"",SUMIFS(BD!$H$3:$H$5001,BD!$A$3:$A$5001,I$3,BD!$B$3:$B$5001,$A$245)))</f>
        <v/>
      </c>
      <c r="J250" s="205" t="str">
        <f>IF(J$3="","",IF(COUNTIFS(BD!$A$3:$A$5001,J$3,BD!$B$3:$B$5001,$A$245,BD!$H$3:$H$5001,"&lt;&gt;")=0,"",SUMIFS(BD!$H$3:$H$5001,BD!$A$3:$A$5001,J$3,BD!$B$3:$B$5001,$A$245)))</f>
        <v/>
      </c>
      <c r="K250" s="205" t="str">
        <f>IF(K$3="","",IF(COUNTIFS(BD!$A$3:$A$5001,K$3,BD!$B$3:$B$5001,$A$245,BD!$H$3:$H$5001,"&lt;&gt;")=0,"",SUMIFS(BD!$H$3:$H$5001,BD!$A$3:$A$5001,K$3,BD!$B$3:$B$5001,$A$245)))</f>
        <v/>
      </c>
      <c r="L250" s="205" t="str">
        <f>IF(L$3="","",IF(COUNTIFS(BD!$A$3:$A$5001,L$3,BD!$B$3:$B$5001,$A$245,BD!$H$3:$H$5001,"&lt;&gt;")=0,"",SUMIFS(BD!$H$3:$H$5001,BD!$A$3:$A$5001,L$3,BD!$B$3:$B$5001,$A$245)))</f>
        <v/>
      </c>
      <c r="M250" s="205" t="str">
        <f>IF(M$3="","",IF(COUNTIFS(BD!$A$3:$A$5001,M$3,BD!$B$3:$B$5001,$A$245,BD!$H$3:$H$5001,"&lt;&gt;")=0,"",SUMIFS(BD!$H$3:$H$5001,BD!$A$3:$A$5001,M$3,BD!$B$3:$B$5001,$A$245)))</f>
        <v/>
      </c>
      <c r="N250" s="205" t="str">
        <f>IF(N$3="","",IF(COUNTIFS(BD!$A$3:$A$5001,N$3,BD!$B$3:$B$5001,$A$245,BD!$H$3:$H$5001,"&lt;&gt;")=0,"",SUMIFS(BD!$H$3:$H$5001,BD!$A$3:$A$5001,N$3,BD!$B$3:$B$5001,$A$245)))</f>
        <v/>
      </c>
      <c r="O250" s="205" t="str">
        <f>IF(O$3="","",IF(COUNTIFS(BD!$A$3:$A$5001,O$3,BD!$B$3:$B$5001,$A$245,BD!$H$3:$H$5001,"&lt;&gt;")=0,"",SUMIFS(BD!$H$3:$H$5001,BD!$A$3:$A$5001,O$3,BD!$B$3:$B$5001,$A$245)))</f>
        <v/>
      </c>
      <c r="P250" s="205" t="str">
        <f>IF(P$3="","",IF(COUNTIFS(BD!$A$3:$A$5001,P$3,BD!$B$3:$B$5001,$A$245,BD!$H$3:$H$5001,"&lt;&gt;")=0,"",SUMIFS(BD!$H$3:$H$5001,BD!$A$3:$A$5001,P$3,BD!$B$3:$B$5001,$A$245)))</f>
        <v/>
      </c>
      <c r="Q250" s="205" t="str">
        <f>IF(Q$3="","",IF(COUNTIFS(BD!$A$3:$A$5001,Q$3,BD!$B$3:$B$5001,$A$245,BD!$H$3:$H$5001,"&lt;&gt;")=0,"",SUMIFS(BD!$H$3:$H$5001,BD!$A$3:$A$5001,Q$3,BD!$B$3:$B$5001,$A$245)))</f>
        <v/>
      </c>
      <c r="R250" s="205" t="str">
        <f>IF(R$3="","",IF(COUNTIFS(BD!$A$3:$A$5001,R$3,BD!$B$3:$B$5001,$A$245,BD!$H$3:$H$5001,"&lt;&gt;")=0,"",SUMIFS(BD!$H$3:$H$5001,BD!$A$3:$A$5001,R$3,BD!$B$3:$B$5001,$A$245)))</f>
        <v/>
      </c>
      <c r="S250" s="205" t="str">
        <f>IF(S$3="","",IF(COUNTIFS(BD!$A$3:$A$5001,S$3,BD!$B$3:$B$5001,$A$245,BD!$H$3:$H$5001,"&lt;&gt;")=0,"",SUMIFS(BD!$H$3:$H$5001,BD!$A$3:$A$5001,S$3,BD!$B$3:$B$5001,$A$245)))</f>
        <v/>
      </c>
      <c r="T250" s="205" t="str">
        <f>IF(T$3="","",IF(COUNTIFS(BD!$A$3:$A$5001,T$3,BD!$B$3:$B$5001,$A$245,BD!$H$3:$H$5001,"&lt;&gt;")=0,"",SUMIFS(BD!$H$3:$H$5001,BD!$A$3:$A$5001,T$3,BD!$B$3:$B$5001,$A$245)))</f>
        <v/>
      </c>
      <c r="U250" s="205" t="str">
        <f>IF(U$3="","",IF(COUNTIFS(BD!$A$3:$A$5001,U$3,BD!$B$3:$B$5001,$A$245,BD!$H$3:$H$5001,"&lt;&gt;")=0,"",SUMIFS(BD!$H$3:$H$5001,BD!$A$3:$A$5001,U$3,BD!$B$3:$B$5001,$A$245)))</f>
        <v/>
      </c>
      <c r="V250" s="205" t="str">
        <f>IF(V$3="","",IF(COUNTIFS(BD!$A$3:$A$5001,V$3,BD!$B$3:$B$5001,$A$245,BD!$H$3:$H$5001,"&lt;&gt;")=0,"",SUMIFS(BD!$H$3:$H$5001,BD!$A$3:$A$5001,V$3,BD!$B$3:$B$5001,$A$245)))</f>
        <v/>
      </c>
      <c r="W250" s="205" t="str">
        <f>IF(W$3="","",IF(COUNTIFS(BD!$A$3:$A$5001,W$3,BD!$B$3:$B$5001,$A$245,BD!$H$3:$H$5001,"&lt;&gt;")=0,"",SUMIFS(BD!$H$3:$H$5001,BD!$A$3:$A$5001,W$3,BD!$B$3:$B$5001,$A$245)))</f>
        <v/>
      </c>
      <c r="X250" s="205" t="str">
        <f>IF(X$3="","",IF(COUNTIFS(BD!$A$3:$A$5001,X$3,BD!$B$3:$B$5001,$A$245,BD!$H$3:$H$5001,"&lt;&gt;")=0,"",SUMIFS(BD!$H$3:$H$5001,BD!$A$3:$A$5001,X$3,BD!$B$3:$B$5001,$A$245)))</f>
        <v/>
      </c>
      <c r="Y250" s="205" t="str">
        <f>IF(Y$3="","",IF(COUNTIFS(BD!$A$3:$A$5001,Y$3,BD!$B$3:$B$5001,$A$245,BD!$H$3:$H$5001,"&lt;&gt;")=0,"",SUMIFS(BD!$H$3:$H$5001,BD!$A$3:$A$5001,Y$3,BD!$B$3:$B$5001,$A$245)))</f>
        <v/>
      </c>
      <c r="Z250" s="205" t="str">
        <f>IF(Z$3="","",IF(COUNTIFS(BD!$A$3:$A$5001,Z$3,BD!$B$3:$B$5001,$A$245,BD!$H$3:$H$5001,"&lt;&gt;")=0,"",SUMIFS(BD!$H$3:$H$5001,BD!$A$3:$A$5001,Z$3,BD!$B$3:$B$5001,$A$245)))</f>
        <v/>
      </c>
      <c r="AA250" s="205" t="str">
        <f>IF(AA$3="","",IF(COUNTIFS(BD!$A$3:$A$5001,AA$3,BD!$B$3:$B$5001,$A$245,BD!$H$3:$H$5001,"&lt;&gt;")=0,"",SUMIFS(BD!$H$3:$H$5001,BD!$A$3:$A$5001,AA$3,BD!$B$3:$B$5001,$A$245)))</f>
        <v/>
      </c>
      <c r="AB250" s="205" t="str">
        <f>IF(AB$3="","",IF(COUNTIFS(BD!$A$3:$A$5001,AB$3,BD!$B$3:$B$5001,$A$245,BD!$H$3:$H$5001,"&lt;&gt;")=0,"",SUMIFS(BD!$H$3:$H$5001,BD!$A$3:$A$5001,AB$3,BD!$B$3:$B$5001,$A$245)))</f>
        <v/>
      </c>
      <c r="AC250" s="205" t="str">
        <f>IF(AC$3="","",IF(COUNTIFS(BD!$A$3:$A$5001,AC$3,BD!$B$3:$B$5001,$A$245,BD!$H$3:$H$5001,"&lt;&gt;")=0,"",SUMIFS(BD!$H$3:$H$5001,BD!$A$3:$A$5001,AC$3,BD!$B$3:$B$5001,$A$245)))</f>
        <v/>
      </c>
      <c r="AD250" s="205" t="str">
        <f>IF(AD$3="","",IF(COUNTIFS(BD!$A$3:$A$5001,AD$3,BD!$B$3:$B$5001,$A$245,BD!$H$3:$H$5001,"&lt;&gt;")=0,"",SUMIFS(BD!$H$3:$H$5001,BD!$A$3:$A$5001,AD$3,BD!$B$3:$B$5001,$A$245)))</f>
        <v/>
      </c>
      <c r="AE250" s="205" t="str">
        <f>IF(AE$3="","",IF(COUNTIFS(BD!$A$3:$A$5001,AE$3,BD!$B$3:$B$5001,$A$245,BD!$H$3:$H$5001,"&lt;&gt;")=0,"",SUMIFS(BD!$H$3:$H$5001,BD!$A$3:$A$5001,AE$3,BD!$B$3:$B$5001,$A$245)))</f>
        <v/>
      </c>
      <c r="AF250" s="205" t="str">
        <f>IF(AF$3="","",IF(COUNTIFS(BD!$A$3:$A$5001,AF$3,BD!$B$3:$B$5001,$A$245,BD!$H$3:$H$5001,"&lt;&gt;")=0,"",SUMIFS(BD!$H$3:$H$5001,BD!$A$3:$A$5001,AF$3,BD!$B$3:$B$5001,$A$245)))</f>
        <v/>
      </c>
      <c r="AG250" s="205" t="str">
        <f>IF(AG$3="","",IF(COUNTIFS(BD!$A$3:$A$5001,AG$3,BD!$B$3:$B$5001,$A$245,BD!$H$3:$H$5001,"&lt;&gt;")=0,"",SUMIFS(BD!$H$3:$H$5001,BD!$A$3:$A$5001,AG$3,BD!$B$3:$B$5001,$A$245)))</f>
        <v/>
      </c>
      <c r="AH250" s="205" t="str">
        <f>IF(AH$3="","",IF(COUNTIFS(BD!$A$3:$A$5001,AH$3,BD!$B$3:$B$5001,$A$245,BD!$H$3:$H$5001,"&lt;&gt;")=0,"",SUMIFS(BD!$H$3:$H$5001,BD!$A$3:$A$5001,AH$3,BD!$B$3:$B$5001,$A$245)))</f>
        <v/>
      </c>
      <c r="AI250" s="205" t="str">
        <f>IF(AI$3="","",IF(COUNTIFS(BD!$A$3:$A$5001,AI$3,BD!$B$3:$B$5001,$A$245,BD!$H$3:$H$5001,"&lt;&gt;")=0,"",SUMIFS(BD!$H$3:$H$5001,BD!$A$3:$A$5001,AI$3,BD!$B$3:$B$5001,$A$245)))</f>
        <v/>
      </c>
      <c r="AJ250" s="206" t="str">
        <f>IF(AJ$3="","",IF(COUNTIFS(BD!$A$3:$A$5001,AJ$3,BD!$B$3:$B$5001,$A$245,BD!$H$3:$H$5001,"&lt;&gt;")=0,"",SUMIFS(BD!$H$3:$H$5001,BD!$A$3:$A$5001,AJ$3,BD!$B$3:$B$5001,$A$245)))</f>
        <v/>
      </c>
      <c r="AK250" s="207" t="str">
        <f>IF(COUNT(F250:AJ250)=0,"",SUM(F250:AJ250))</f>
        <v/>
      </c>
    </row>
    <row r="251" ht="15.75" customHeight="1" hidden="1">
      <c r="A251" s="244"/>
      <c r="B251" s="239"/>
      <c r="C251" s="201" t="inlineStr">
        <is>
          <t xml:space="preserve">Itens Recebidos CX Mista</t>
        </is>
      </c>
      <c r="D251" s="202" t="str">
        <f>IFERROR(1/(1/INDEX(BD!$AJ$29:$BD$29,MATCH($A$245,BD!$AJ$22:$BD$22,0))),"")</f>
        <v/>
      </c>
      <c r="E251" s="203"/>
      <c r="F251" s="204" t="str">
        <f>IF(F$3="","",IF(COUNTIFS(BD!$A$3:$A$5001,F$3,BD!$B$3:$B$5001,$A$245,BD!$I$3:$I$5001,"&lt;&gt;")=0,"",SUMIFS(BD!$I$3:$I$5001,BD!$A$3:$A$5001,F$3,BD!$B$3:$B$5001,$A$245)))</f>
        <v/>
      </c>
      <c r="G251" s="205" t="str">
        <f>IF(G$3="","",IF(COUNTIFS(BD!$A$3:$A$5001,G$3,BD!$B$3:$B$5001,$A$245,BD!$I$3:$I$5001,"&lt;&gt;")=0,"",SUMIFS(BD!$I$3:$I$5001,BD!$A$3:$A$5001,G$3,BD!$B$3:$B$5001,$A$245)))</f>
        <v/>
      </c>
      <c r="H251" s="205" t="str">
        <f>IF(H$3="","",IF(COUNTIFS(BD!$A$3:$A$5001,H$3,BD!$B$3:$B$5001,$A$245,BD!$I$3:$I$5001,"&lt;&gt;")=0,"",SUMIFS(BD!$I$3:$I$5001,BD!$A$3:$A$5001,H$3,BD!$B$3:$B$5001,$A$245)))</f>
        <v/>
      </c>
      <c r="I251" s="205" t="str">
        <f>IF(I$3="","",IF(COUNTIFS(BD!$A$3:$A$5001,I$3,BD!$B$3:$B$5001,$A$245,BD!$I$3:$I$5001,"&lt;&gt;")=0,"",SUMIFS(BD!$I$3:$I$5001,BD!$A$3:$A$5001,I$3,BD!$B$3:$B$5001,$A$245)))</f>
        <v/>
      </c>
      <c r="J251" s="205" t="str">
        <f>IF(J$3="","",IF(COUNTIFS(BD!$A$3:$A$5001,J$3,BD!$B$3:$B$5001,$A$245,BD!$I$3:$I$5001,"&lt;&gt;")=0,"",SUMIFS(BD!$I$3:$I$5001,BD!$A$3:$A$5001,J$3,BD!$B$3:$B$5001,$A$245)))</f>
        <v/>
      </c>
      <c r="K251" s="205" t="str">
        <f>IF(K$3="","",IF(COUNTIFS(BD!$A$3:$A$5001,K$3,BD!$B$3:$B$5001,$A$245,BD!$I$3:$I$5001,"&lt;&gt;")=0,"",SUMIFS(BD!$I$3:$I$5001,BD!$A$3:$A$5001,K$3,BD!$B$3:$B$5001,$A$245)))</f>
        <v/>
      </c>
      <c r="L251" s="205" t="str">
        <f>IF(L$3="","",IF(COUNTIFS(BD!$A$3:$A$5001,L$3,BD!$B$3:$B$5001,$A$245,BD!$I$3:$I$5001,"&lt;&gt;")=0,"",SUMIFS(BD!$I$3:$I$5001,BD!$A$3:$A$5001,L$3,BD!$B$3:$B$5001,$A$245)))</f>
        <v/>
      </c>
      <c r="M251" s="205" t="str">
        <f>IF(M$3="","",IF(COUNTIFS(BD!$A$3:$A$5001,M$3,BD!$B$3:$B$5001,$A$245,BD!$I$3:$I$5001,"&lt;&gt;")=0,"",SUMIFS(BD!$I$3:$I$5001,BD!$A$3:$A$5001,M$3,BD!$B$3:$B$5001,$A$245)))</f>
        <v/>
      </c>
      <c r="N251" s="205" t="str">
        <f>IF(N$3="","",IF(COUNTIFS(BD!$A$3:$A$5001,N$3,BD!$B$3:$B$5001,$A$245,BD!$I$3:$I$5001,"&lt;&gt;")=0,"",SUMIFS(BD!$I$3:$I$5001,BD!$A$3:$A$5001,N$3,BD!$B$3:$B$5001,$A$245)))</f>
        <v/>
      </c>
      <c r="O251" s="205" t="str">
        <f>IF(O$3="","",IF(COUNTIFS(BD!$A$3:$A$5001,O$3,BD!$B$3:$B$5001,$A$245,BD!$I$3:$I$5001,"&lt;&gt;")=0,"",SUMIFS(BD!$I$3:$I$5001,BD!$A$3:$A$5001,O$3,BD!$B$3:$B$5001,$A$245)))</f>
        <v/>
      </c>
      <c r="P251" s="205" t="str">
        <f>IF(P$3="","",IF(COUNTIFS(BD!$A$3:$A$5001,P$3,BD!$B$3:$B$5001,$A$245,BD!$I$3:$I$5001,"&lt;&gt;")=0,"",SUMIFS(BD!$I$3:$I$5001,BD!$A$3:$A$5001,P$3,BD!$B$3:$B$5001,$A$245)))</f>
        <v/>
      </c>
      <c r="Q251" s="205" t="str">
        <f>IF(Q$3="","",IF(COUNTIFS(BD!$A$3:$A$5001,Q$3,BD!$B$3:$B$5001,$A$245,BD!$I$3:$I$5001,"&lt;&gt;")=0,"",SUMIFS(BD!$I$3:$I$5001,BD!$A$3:$A$5001,Q$3,BD!$B$3:$B$5001,$A$245)))</f>
        <v/>
      </c>
      <c r="R251" s="205" t="str">
        <f>IF(R$3="","",IF(COUNTIFS(BD!$A$3:$A$5001,R$3,BD!$B$3:$B$5001,$A$245,BD!$I$3:$I$5001,"&lt;&gt;")=0,"",SUMIFS(BD!$I$3:$I$5001,BD!$A$3:$A$5001,R$3,BD!$B$3:$B$5001,$A$245)))</f>
        <v/>
      </c>
      <c r="S251" s="205" t="str">
        <f>IF(S$3="","",IF(COUNTIFS(BD!$A$3:$A$5001,S$3,BD!$B$3:$B$5001,$A$245,BD!$I$3:$I$5001,"&lt;&gt;")=0,"",SUMIFS(BD!$I$3:$I$5001,BD!$A$3:$A$5001,S$3,BD!$B$3:$B$5001,$A$245)))</f>
        <v/>
      </c>
      <c r="T251" s="205" t="str">
        <f>IF(T$3="","",IF(COUNTIFS(BD!$A$3:$A$5001,T$3,BD!$B$3:$B$5001,$A$245,BD!$I$3:$I$5001,"&lt;&gt;")=0,"",SUMIFS(BD!$I$3:$I$5001,BD!$A$3:$A$5001,T$3,BD!$B$3:$B$5001,$A$245)))</f>
        <v/>
      </c>
      <c r="U251" s="205" t="str">
        <f>IF(U$3="","",IF(COUNTIFS(BD!$A$3:$A$5001,U$3,BD!$B$3:$B$5001,$A$245,BD!$I$3:$I$5001,"&lt;&gt;")=0,"",SUMIFS(BD!$I$3:$I$5001,BD!$A$3:$A$5001,U$3,BD!$B$3:$B$5001,$A$245)))</f>
        <v/>
      </c>
      <c r="V251" s="205" t="str">
        <f>IF(V$3="","",IF(COUNTIFS(BD!$A$3:$A$5001,V$3,BD!$B$3:$B$5001,$A$245,BD!$I$3:$I$5001,"&lt;&gt;")=0,"",SUMIFS(BD!$I$3:$I$5001,BD!$A$3:$A$5001,V$3,BD!$B$3:$B$5001,$A$245)))</f>
        <v/>
      </c>
      <c r="W251" s="205" t="str">
        <f>IF(W$3="","",IF(COUNTIFS(BD!$A$3:$A$5001,W$3,BD!$B$3:$B$5001,$A$245,BD!$I$3:$I$5001,"&lt;&gt;")=0,"",SUMIFS(BD!$I$3:$I$5001,BD!$A$3:$A$5001,W$3,BD!$B$3:$B$5001,$A$245)))</f>
        <v/>
      </c>
      <c r="X251" s="205" t="str">
        <f>IF(X$3="","",IF(COUNTIFS(BD!$A$3:$A$5001,X$3,BD!$B$3:$B$5001,$A$245,BD!$I$3:$I$5001,"&lt;&gt;")=0,"",SUMIFS(BD!$I$3:$I$5001,BD!$A$3:$A$5001,X$3,BD!$B$3:$B$5001,$A$245)))</f>
        <v/>
      </c>
      <c r="Y251" s="205" t="str">
        <f>IF(Y$3="","",IF(COUNTIFS(BD!$A$3:$A$5001,Y$3,BD!$B$3:$B$5001,$A$245,BD!$I$3:$I$5001,"&lt;&gt;")=0,"",SUMIFS(BD!$I$3:$I$5001,BD!$A$3:$A$5001,Y$3,BD!$B$3:$B$5001,$A$245)))</f>
        <v/>
      </c>
      <c r="Z251" s="205" t="str">
        <f>IF(Z$3="","",IF(COUNTIFS(BD!$A$3:$A$5001,Z$3,BD!$B$3:$B$5001,$A$245,BD!$I$3:$I$5001,"&lt;&gt;")=0,"",SUMIFS(BD!$I$3:$I$5001,BD!$A$3:$A$5001,Z$3,BD!$B$3:$B$5001,$A$245)))</f>
        <v/>
      </c>
      <c r="AA251" s="205" t="str">
        <f>IF(AA$3="","",IF(COUNTIFS(BD!$A$3:$A$5001,AA$3,BD!$B$3:$B$5001,$A$245,BD!$I$3:$I$5001,"&lt;&gt;")=0,"",SUMIFS(BD!$I$3:$I$5001,BD!$A$3:$A$5001,AA$3,BD!$B$3:$B$5001,$A$245)))</f>
        <v/>
      </c>
      <c r="AB251" s="205" t="str">
        <f>IF(AB$3="","",IF(COUNTIFS(BD!$A$3:$A$5001,AB$3,BD!$B$3:$B$5001,$A$245,BD!$I$3:$I$5001,"&lt;&gt;")=0,"",SUMIFS(BD!$I$3:$I$5001,BD!$A$3:$A$5001,AB$3,BD!$B$3:$B$5001,$A$245)))</f>
        <v/>
      </c>
      <c r="AC251" s="205" t="str">
        <f>IF(AC$3="","",IF(COUNTIFS(BD!$A$3:$A$5001,AC$3,BD!$B$3:$B$5001,$A$245,BD!$I$3:$I$5001,"&lt;&gt;")=0,"",SUMIFS(BD!$I$3:$I$5001,BD!$A$3:$A$5001,AC$3,BD!$B$3:$B$5001,$A$245)))</f>
        <v/>
      </c>
      <c r="AD251" s="205" t="str">
        <f>IF(AD$3="","",IF(COUNTIFS(BD!$A$3:$A$5001,AD$3,BD!$B$3:$B$5001,$A$245,BD!$I$3:$I$5001,"&lt;&gt;")=0,"",SUMIFS(BD!$I$3:$I$5001,BD!$A$3:$A$5001,AD$3,BD!$B$3:$B$5001,$A$245)))</f>
        <v/>
      </c>
      <c r="AE251" s="205" t="str">
        <f>IF(AE$3="","",IF(COUNTIFS(BD!$A$3:$A$5001,AE$3,BD!$B$3:$B$5001,$A$245,BD!$I$3:$I$5001,"&lt;&gt;")=0,"",SUMIFS(BD!$I$3:$I$5001,BD!$A$3:$A$5001,AE$3,BD!$B$3:$B$5001,$A$245)))</f>
        <v/>
      </c>
      <c r="AF251" s="205" t="str">
        <f>IF(AF$3="","",IF(COUNTIFS(BD!$A$3:$A$5001,AF$3,BD!$B$3:$B$5001,$A$245,BD!$I$3:$I$5001,"&lt;&gt;")=0,"",SUMIFS(BD!$I$3:$I$5001,BD!$A$3:$A$5001,AF$3,BD!$B$3:$B$5001,$A$245)))</f>
        <v/>
      </c>
      <c r="AG251" s="205" t="str">
        <f>IF(AG$3="","",IF(COUNTIFS(BD!$A$3:$A$5001,AG$3,BD!$B$3:$B$5001,$A$245,BD!$I$3:$I$5001,"&lt;&gt;")=0,"",SUMIFS(BD!$I$3:$I$5001,BD!$A$3:$A$5001,AG$3,BD!$B$3:$B$5001,$A$245)))</f>
        <v/>
      </c>
      <c r="AH251" s="205" t="str">
        <f>IF(AH$3="","",IF(COUNTIFS(BD!$A$3:$A$5001,AH$3,BD!$B$3:$B$5001,$A$245,BD!$I$3:$I$5001,"&lt;&gt;")=0,"",SUMIFS(BD!$I$3:$I$5001,BD!$A$3:$A$5001,AH$3,BD!$B$3:$B$5001,$A$245)))</f>
        <v/>
      </c>
      <c r="AI251" s="205" t="str">
        <f>IF(AI$3="","",IF(COUNTIFS(BD!$A$3:$A$5001,AI$3,BD!$B$3:$B$5001,$A$245,BD!$I$3:$I$5001,"&lt;&gt;")=0,"",SUMIFS(BD!$I$3:$I$5001,BD!$A$3:$A$5001,AI$3,BD!$B$3:$B$5001,$A$245)))</f>
        <v/>
      </c>
      <c r="AJ251" s="206" t="str">
        <f>IF(AJ$3="","",IF(COUNTIFS(BD!$A$3:$A$5001,AJ$3,BD!$B$3:$B$5001,$A$245,BD!$I$3:$I$5001,"&lt;&gt;")=0,"",SUMIFS(BD!$I$3:$I$5001,BD!$A$3:$A$5001,AJ$3,BD!$B$3:$B$5001,$A$245)))</f>
        <v/>
      </c>
      <c r="AK251" s="207" t="str">
        <f>IF(COUNT(F251:AJ251)=0,"",SUM(F251:AJ251))</f>
        <v/>
      </c>
    </row>
    <row r="252" ht="15.75" customHeight="1" hidden="1">
      <c r="A252" s="244"/>
      <c r="B252" s="239"/>
      <c r="C252" s="201" t="inlineStr">
        <is>
          <t xml:space="preserve">Caixas Fechadas</t>
        </is>
      </c>
      <c r="D252" s="202" t="str">
        <f>IFERROR(1/(1/INDEX(BD!$AJ$30:$BD$30,MATCH($A$245,BD!$AJ$22:$BD$22,0))),"")</f>
        <v/>
      </c>
      <c r="E252" s="203"/>
      <c r="F252" s="204" t="str">
        <f>IF(F$3="","",IF(COUNTIFS(BD!$A$3:$A$5001,F$3,BD!$B$3:$B$5001,$A$245,BD!$J$3:$J$5001,"&lt;&gt;")=0,"",SUMIFS(BD!$J$3:$J$5001,BD!$A$3:$A$5001,F$3,BD!$B$3:$B$5001,$A$245)))</f>
        <v/>
      </c>
      <c r="G252" s="205" t="str">
        <f>IF(G$3="","",IF(COUNTIFS(BD!$A$3:$A$5001,G$3,BD!$B$3:$B$5001,$A$245,BD!$J$3:$J$5001,"&lt;&gt;")=0,"",SUMIFS(BD!$J$3:$J$5001,BD!$A$3:$A$5001,G$3,BD!$B$3:$B$5001,$A$245)))</f>
        <v/>
      </c>
      <c r="H252" s="205" t="str">
        <f>IF(H$3="","",IF(COUNTIFS(BD!$A$3:$A$5001,H$3,BD!$B$3:$B$5001,$A$245,BD!$J$3:$J$5001,"&lt;&gt;")=0,"",SUMIFS(BD!$J$3:$J$5001,BD!$A$3:$A$5001,H$3,BD!$B$3:$B$5001,$A$245)))</f>
        <v/>
      </c>
      <c r="I252" s="205" t="str">
        <f>IF(I$3="","",IF(COUNTIFS(BD!$A$3:$A$5001,I$3,BD!$B$3:$B$5001,$A$245,BD!$J$3:$J$5001,"&lt;&gt;")=0,"",SUMIFS(BD!$J$3:$J$5001,BD!$A$3:$A$5001,I$3,BD!$B$3:$B$5001,$A$245)))</f>
        <v/>
      </c>
      <c r="J252" s="205" t="str">
        <f>IF(J$3="","",IF(COUNTIFS(BD!$A$3:$A$5001,J$3,BD!$B$3:$B$5001,$A$245,BD!$J$3:$J$5001,"&lt;&gt;")=0,"",SUMIFS(BD!$J$3:$J$5001,BD!$A$3:$A$5001,J$3,BD!$B$3:$B$5001,$A$245)))</f>
        <v/>
      </c>
      <c r="K252" s="205" t="str">
        <f>IF(K$3="","",IF(COUNTIFS(BD!$A$3:$A$5001,K$3,BD!$B$3:$B$5001,$A$245,BD!$J$3:$J$5001,"&lt;&gt;")=0,"",SUMIFS(BD!$J$3:$J$5001,BD!$A$3:$A$5001,K$3,BD!$B$3:$B$5001,$A$245)))</f>
        <v/>
      </c>
      <c r="L252" s="205" t="str">
        <f>IF(L$3="","",IF(COUNTIFS(BD!$A$3:$A$5001,L$3,BD!$B$3:$B$5001,$A$245,BD!$J$3:$J$5001,"&lt;&gt;")=0,"",SUMIFS(BD!$J$3:$J$5001,BD!$A$3:$A$5001,L$3,BD!$B$3:$B$5001,$A$245)))</f>
        <v/>
      </c>
      <c r="M252" s="205" t="str">
        <f>IF(M$3="","",IF(COUNTIFS(BD!$A$3:$A$5001,M$3,BD!$B$3:$B$5001,$A$245,BD!$J$3:$J$5001,"&lt;&gt;")=0,"",SUMIFS(BD!$J$3:$J$5001,BD!$A$3:$A$5001,M$3,BD!$B$3:$B$5001,$A$245)))</f>
        <v/>
      </c>
      <c r="N252" s="205" t="str">
        <f>IF(N$3="","",IF(COUNTIFS(BD!$A$3:$A$5001,N$3,BD!$B$3:$B$5001,$A$245,BD!$J$3:$J$5001,"&lt;&gt;")=0,"",SUMIFS(BD!$J$3:$J$5001,BD!$A$3:$A$5001,N$3,BD!$B$3:$B$5001,$A$245)))</f>
        <v/>
      </c>
      <c r="O252" s="205" t="str">
        <f>IF(O$3="","",IF(COUNTIFS(BD!$A$3:$A$5001,O$3,BD!$B$3:$B$5001,$A$245,BD!$J$3:$J$5001,"&lt;&gt;")=0,"",SUMIFS(BD!$J$3:$J$5001,BD!$A$3:$A$5001,O$3,BD!$B$3:$B$5001,$A$245)))</f>
        <v/>
      </c>
      <c r="P252" s="205" t="str">
        <f>IF(P$3="","",IF(COUNTIFS(BD!$A$3:$A$5001,P$3,BD!$B$3:$B$5001,$A$245,BD!$J$3:$J$5001,"&lt;&gt;")=0,"",SUMIFS(BD!$J$3:$J$5001,BD!$A$3:$A$5001,P$3,BD!$B$3:$B$5001,$A$245)))</f>
        <v/>
      </c>
      <c r="Q252" s="205" t="str">
        <f>IF(Q$3="","",IF(COUNTIFS(BD!$A$3:$A$5001,Q$3,BD!$B$3:$B$5001,$A$245,BD!$J$3:$J$5001,"&lt;&gt;")=0,"",SUMIFS(BD!$J$3:$J$5001,BD!$A$3:$A$5001,Q$3,BD!$B$3:$B$5001,$A$245)))</f>
        <v/>
      </c>
      <c r="R252" s="205" t="str">
        <f>IF(R$3="","",IF(COUNTIFS(BD!$A$3:$A$5001,R$3,BD!$B$3:$B$5001,$A$245,BD!$J$3:$J$5001,"&lt;&gt;")=0,"",SUMIFS(BD!$J$3:$J$5001,BD!$A$3:$A$5001,R$3,BD!$B$3:$B$5001,$A$245)))</f>
        <v/>
      </c>
      <c r="S252" s="205" t="str">
        <f>IF(S$3="","",IF(COUNTIFS(BD!$A$3:$A$5001,S$3,BD!$B$3:$B$5001,$A$245,BD!$J$3:$J$5001,"&lt;&gt;")=0,"",SUMIFS(BD!$J$3:$J$5001,BD!$A$3:$A$5001,S$3,BD!$B$3:$B$5001,$A$245)))</f>
        <v/>
      </c>
      <c r="T252" s="205" t="str">
        <f>IF(T$3="","",IF(COUNTIFS(BD!$A$3:$A$5001,T$3,BD!$B$3:$B$5001,$A$245,BD!$J$3:$J$5001,"&lt;&gt;")=0,"",SUMIFS(BD!$J$3:$J$5001,BD!$A$3:$A$5001,T$3,BD!$B$3:$B$5001,$A$245)))</f>
        <v/>
      </c>
      <c r="U252" s="205" t="str">
        <f>IF(U$3="","",IF(COUNTIFS(BD!$A$3:$A$5001,U$3,BD!$B$3:$B$5001,$A$245,BD!$J$3:$J$5001,"&lt;&gt;")=0,"",SUMIFS(BD!$J$3:$J$5001,BD!$A$3:$A$5001,U$3,BD!$B$3:$B$5001,$A$245)))</f>
        <v/>
      </c>
      <c r="V252" s="205" t="str">
        <f>IF(V$3="","",IF(COUNTIFS(BD!$A$3:$A$5001,V$3,BD!$B$3:$B$5001,$A$245,BD!$J$3:$J$5001,"&lt;&gt;")=0,"",SUMIFS(BD!$J$3:$J$5001,BD!$A$3:$A$5001,V$3,BD!$B$3:$B$5001,$A$245)))</f>
        <v/>
      </c>
      <c r="W252" s="205" t="str">
        <f>IF(W$3="","",IF(COUNTIFS(BD!$A$3:$A$5001,W$3,BD!$B$3:$B$5001,$A$245,BD!$J$3:$J$5001,"&lt;&gt;")=0,"",SUMIFS(BD!$J$3:$J$5001,BD!$A$3:$A$5001,W$3,BD!$B$3:$B$5001,$A$245)))</f>
        <v/>
      </c>
      <c r="X252" s="205" t="str">
        <f>IF(X$3="","",IF(COUNTIFS(BD!$A$3:$A$5001,X$3,BD!$B$3:$B$5001,$A$245,BD!$J$3:$J$5001,"&lt;&gt;")=0,"",SUMIFS(BD!$J$3:$J$5001,BD!$A$3:$A$5001,X$3,BD!$B$3:$B$5001,$A$245)))</f>
        <v/>
      </c>
      <c r="Y252" s="205" t="str">
        <f>IF(Y$3="","",IF(COUNTIFS(BD!$A$3:$A$5001,Y$3,BD!$B$3:$B$5001,$A$245,BD!$J$3:$J$5001,"&lt;&gt;")=0,"",SUMIFS(BD!$J$3:$J$5001,BD!$A$3:$A$5001,Y$3,BD!$B$3:$B$5001,$A$245)))</f>
        <v/>
      </c>
      <c r="Z252" s="205" t="str">
        <f>IF(Z$3="","",IF(COUNTIFS(BD!$A$3:$A$5001,Z$3,BD!$B$3:$B$5001,$A$245,BD!$J$3:$J$5001,"&lt;&gt;")=0,"",SUMIFS(BD!$J$3:$J$5001,BD!$A$3:$A$5001,Z$3,BD!$B$3:$B$5001,$A$245)))</f>
        <v/>
      </c>
      <c r="AA252" s="205" t="str">
        <f>IF(AA$3="","",IF(COUNTIFS(BD!$A$3:$A$5001,AA$3,BD!$B$3:$B$5001,$A$245,BD!$J$3:$J$5001,"&lt;&gt;")=0,"",SUMIFS(BD!$J$3:$J$5001,BD!$A$3:$A$5001,AA$3,BD!$B$3:$B$5001,$A$245)))</f>
        <v/>
      </c>
      <c r="AB252" s="205" t="str">
        <f>IF(AB$3="","",IF(COUNTIFS(BD!$A$3:$A$5001,AB$3,BD!$B$3:$B$5001,$A$245,BD!$J$3:$J$5001,"&lt;&gt;")=0,"",SUMIFS(BD!$J$3:$J$5001,BD!$A$3:$A$5001,AB$3,BD!$B$3:$B$5001,$A$245)))</f>
        <v/>
      </c>
      <c r="AC252" s="205" t="str">
        <f>IF(AC$3="","",IF(COUNTIFS(BD!$A$3:$A$5001,AC$3,BD!$B$3:$B$5001,$A$245,BD!$J$3:$J$5001,"&lt;&gt;")=0,"",SUMIFS(BD!$J$3:$J$5001,BD!$A$3:$A$5001,AC$3,BD!$B$3:$B$5001,$A$245)))</f>
        <v/>
      </c>
      <c r="AD252" s="205" t="str">
        <f>IF(AD$3="","",IF(COUNTIFS(BD!$A$3:$A$5001,AD$3,BD!$B$3:$B$5001,$A$245,BD!$J$3:$J$5001,"&lt;&gt;")=0,"",SUMIFS(BD!$J$3:$J$5001,BD!$A$3:$A$5001,AD$3,BD!$B$3:$B$5001,$A$245)))</f>
        <v/>
      </c>
      <c r="AE252" s="205" t="str">
        <f>IF(AE$3="","",IF(COUNTIFS(BD!$A$3:$A$5001,AE$3,BD!$B$3:$B$5001,$A$245,BD!$J$3:$J$5001,"&lt;&gt;")=0,"",SUMIFS(BD!$J$3:$J$5001,BD!$A$3:$A$5001,AE$3,BD!$B$3:$B$5001,$A$245)))</f>
        <v/>
      </c>
      <c r="AF252" s="205" t="str">
        <f>IF(AF$3="","",IF(COUNTIFS(BD!$A$3:$A$5001,AF$3,BD!$B$3:$B$5001,$A$245,BD!$J$3:$J$5001,"&lt;&gt;")=0,"",SUMIFS(BD!$J$3:$J$5001,BD!$A$3:$A$5001,AF$3,BD!$B$3:$B$5001,$A$245)))</f>
        <v/>
      </c>
      <c r="AG252" s="205" t="str">
        <f>IF(AG$3="","",IF(COUNTIFS(BD!$A$3:$A$5001,AG$3,BD!$B$3:$B$5001,$A$245,BD!$J$3:$J$5001,"&lt;&gt;")=0,"",SUMIFS(BD!$J$3:$J$5001,BD!$A$3:$A$5001,AG$3,BD!$B$3:$B$5001,$A$245)))</f>
        <v/>
      </c>
      <c r="AH252" s="205" t="str">
        <f>IF(AH$3="","",IF(COUNTIFS(BD!$A$3:$A$5001,AH$3,BD!$B$3:$B$5001,$A$245,BD!$J$3:$J$5001,"&lt;&gt;")=0,"",SUMIFS(BD!$J$3:$J$5001,BD!$A$3:$A$5001,AH$3,BD!$B$3:$B$5001,$A$245)))</f>
        <v/>
      </c>
      <c r="AI252" s="205" t="str">
        <f>IF(AI$3="","",IF(COUNTIFS(BD!$A$3:$A$5001,AI$3,BD!$B$3:$B$5001,$A$245,BD!$J$3:$J$5001,"&lt;&gt;")=0,"",SUMIFS(BD!$J$3:$J$5001,BD!$A$3:$A$5001,AI$3,BD!$B$3:$B$5001,$A$245)))</f>
        <v/>
      </c>
      <c r="AJ252" s="206" t="str">
        <f>IF(AJ$3="","",IF(COUNTIFS(BD!$A$3:$A$5001,AJ$3,BD!$B$3:$B$5001,$A$245,BD!$J$3:$J$5001,"&lt;&gt;")=0,"",SUMIFS(BD!$J$3:$J$5001,BD!$A$3:$A$5001,AJ$3,BD!$B$3:$B$5001,$A$245)))</f>
        <v/>
      </c>
      <c r="AK252" s="207" t="str">
        <f>IF(COUNT(F252:AJ252)=0,"",SUM(F252:AJ252))</f>
        <v/>
      </c>
    </row>
    <row r="253" ht="15.75" customHeight="1" hidden="1">
      <c r="A253" s="244"/>
      <c r="B253" s="233"/>
      <c r="C253" s="162" t="inlineStr">
        <is>
          <t xml:space="preserve">Caixas Mistas Recebidas</t>
        </is>
      </c>
      <c r="D253" s="163" t="str">
        <f>IFERROR(1/(1/INDEX(BD!$AJ$31:$BD$31,MATCH($A$245,BD!$AJ$22:$BD$22,0))),"")</f>
        <v/>
      </c>
      <c r="E253" s="164"/>
      <c r="F253" s="165" t="str">
        <f>IF(F$3="","",IF(COUNTIFS(BD!$A$3:$A$5001,F$3,BD!$B$3:$B$5001,$A$245,BD!$K$3:$K$5001,"&lt;&gt;")=0,"",SUMIFS(BD!$K$3:$K$5001,BD!$A$3:$A$5001,F$3,BD!$B$3:$B$5001,$A$245)))</f>
        <v/>
      </c>
      <c r="G253" s="166" t="str">
        <f>IF(G$3="","",IF(COUNTIFS(BD!$A$3:$A$5001,G$3,BD!$B$3:$B$5001,$A$245,BD!$K$3:$K$5001,"&lt;&gt;")=0,"",SUMIFS(BD!$K$3:$K$5001,BD!$A$3:$A$5001,G$3,BD!$B$3:$B$5001,$A$245)))</f>
        <v/>
      </c>
      <c r="H253" s="166" t="str">
        <f>IF(H$3="","",IF(COUNTIFS(BD!$A$3:$A$5001,H$3,BD!$B$3:$B$5001,$A$245,BD!$K$3:$K$5001,"&lt;&gt;")=0,"",SUMIFS(BD!$K$3:$K$5001,BD!$A$3:$A$5001,H$3,BD!$B$3:$B$5001,$A$245)))</f>
        <v/>
      </c>
      <c r="I253" s="166" t="str">
        <f>IF(I$3="","",IF(COUNTIFS(BD!$A$3:$A$5001,I$3,BD!$B$3:$B$5001,$A$245,BD!$K$3:$K$5001,"&lt;&gt;")=0,"",SUMIFS(BD!$K$3:$K$5001,BD!$A$3:$A$5001,I$3,BD!$B$3:$B$5001,$A$245)))</f>
        <v/>
      </c>
      <c r="J253" s="166" t="str">
        <f>IF(J$3="","",IF(COUNTIFS(BD!$A$3:$A$5001,J$3,BD!$B$3:$B$5001,$A$245,BD!$K$3:$K$5001,"&lt;&gt;")=0,"",SUMIFS(BD!$K$3:$K$5001,BD!$A$3:$A$5001,J$3,BD!$B$3:$B$5001,$A$245)))</f>
        <v/>
      </c>
      <c r="K253" s="166" t="str">
        <f>IF(K$3="","",IF(COUNTIFS(BD!$A$3:$A$5001,K$3,BD!$B$3:$B$5001,$A$245,BD!$K$3:$K$5001,"&lt;&gt;")=0,"",SUMIFS(BD!$K$3:$K$5001,BD!$A$3:$A$5001,K$3,BD!$B$3:$B$5001,$A$245)))</f>
        <v/>
      </c>
      <c r="L253" s="166" t="str">
        <f>IF(L$3="","",IF(COUNTIFS(BD!$A$3:$A$5001,L$3,BD!$B$3:$B$5001,$A$245,BD!$K$3:$K$5001,"&lt;&gt;")=0,"",SUMIFS(BD!$K$3:$K$5001,BD!$A$3:$A$5001,L$3,BD!$B$3:$B$5001,$A$245)))</f>
        <v/>
      </c>
      <c r="M253" s="166" t="str">
        <f>IF(M$3="","",IF(COUNTIFS(BD!$A$3:$A$5001,M$3,BD!$B$3:$B$5001,$A$245,BD!$K$3:$K$5001,"&lt;&gt;")=0,"",SUMIFS(BD!$K$3:$K$5001,BD!$A$3:$A$5001,M$3,BD!$B$3:$B$5001,$A$245)))</f>
        <v/>
      </c>
      <c r="N253" s="166" t="str">
        <f>IF(N$3="","",IF(COUNTIFS(BD!$A$3:$A$5001,N$3,BD!$B$3:$B$5001,$A$245,BD!$K$3:$K$5001,"&lt;&gt;")=0,"",SUMIFS(BD!$K$3:$K$5001,BD!$A$3:$A$5001,N$3,BD!$B$3:$B$5001,$A$245)))</f>
        <v/>
      </c>
      <c r="O253" s="166" t="str">
        <f>IF(O$3="","",IF(COUNTIFS(BD!$A$3:$A$5001,O$3,BD!$B$3:$B$5001,$A$245,BD!$K$3:$K$5001,"&lt;&gt;")=0,"",SUMIFS(BD!$K$3:$K$5001,BD!$A$3:$A$5001,O$3,BD!$B$3:$B$5001,$A$245)))</f>
        <v/>
      </c>
      <c r="P253" s="166" t="str">
        <f>IF(P$3="","",IF(COUNTIFS(BD!$A$3:$A$5001,P$3,BD!$B$3:$B$5001,$A$245,BD!$K$3:$K$5001,"&lt;&gt;")=0,"",SUMIFS(BD!$K$3:$K$5001,BD!$A$3:$A$5001,P$3,BD!$B$3:$B$5001,$A$245)))</f>
        <v/>
      </c>
      <c r="Q253" s="166" t="str">
        <f>IF(Q$3="","",IF(COUNTIFS(BD!$A$3:$A$5001,Q$3,BD!$B$3:$B$5001,$A$245,BD!$K$3:$K$5001,"&lt;&gt;")=0,"",SUMIFS(BD!$K$3:$K$5001,BD!$A$3:$A$5001,Q$3,BD!$B$3:$B$5001,$A$245)))</f>
        <v/>
      </c>
      <c r="R253" s="166" t="str">
        <f>IF(R$3="","",IF(COUNTIFS(BD!$A$3:$A$5001,R$3,BD!$B$3:$B$5001,$A$245,BD!$K$3:$K$5001,"&lt;&gt;")=0,"",SUMIFS(BD!$K$3:$K$5001,BD!$A$3:$A$5001,R$3,BD!$B$3:$B$5001,$A$245)))</f>
        <v/>
      </c>
      <c r="S253" s="166" t="str">
        <f>IF(S$3="","",IF(COUNTIFS(BD!$A$3:$A$5001,S$3,BD!$B$3:$B$5001,$A$245,BD!$K$3:$K$5001,"&lt;&gt;")=0,"",SUMIFS(BD!$K$3:$K$5001,BD!$A$3:$A$5001,S$3,BD!$B$3:$B$5001,$A$245)))</f>
        <v/>
      </c>
      <c r="T253" s="166" t="str">
        <f>IF(T$3="","",IF(COUNTIFS(BD!$A$3:$A$5001,T$3,BD!$B$3:$B$5001,$A$245,BD!$K$3:$K$5001,"&lt;&gt;")=0,"",SUMIFS(BD!$K$3:$K$5001,BD!$A$3:$A$5001,T$3,BD!$B$3:$B$5001,$A$245)))</f>
        <v/>
      </c>
      <c r="U253" s="166" t="str">
        <f>IF(U$3="","",IF(COUNTIFS(BD!$A$3:$A$5001,U$3,BD!$B$3:$B$5001,$A$245,BD!$K$3:$K$5001,"&lt;&gt;")=0,"",SUMIFS(BD!$K$3:$K$5001,BD!$A$3:$A$5001,U$3,BD!$B$3:$B$5001,$A$245)))</f>
        <v/>
      </c>
      <c r="V253" s="166" t="str">
        <f>IF(V$3="","",IF(COUNTIFS(BD!$A$3:$A$5001,V$3,BD!$B$3:$B$5001,$A$245,BD!$K$3:$K$5001,"&lt;&gt;")=0,"",SUMIFS(BD!$K$3:$K$5001,BD!$A$3:$A$5001,V$3,BD!$B$3:$B$5001,$A$245)))</f>
        <v/>
      </c>
      <c r="W253" s="166" t="str">
        <f>IF(W$3="","",IF(COUNTIFS(BD!$A$3:$A$5001,W$3,BD!$B$3:$B$5001,$A$245,BD!$K$3:$K$5001,"&lt;&gt;")=0,"",SUMIFS(BD!$K$3:$K$5001,BD!$A$3:$A$5001,W$3,BD!$B$3:$B$5001,$A$245)))</f>
        <v/>
      </c>
      <c r="X253" s="166" t="str">
        <f>IF(X$3="","",IF(COUNTIFS(BD!$A$3:$A$5001,X$3,BD!$B$3:$B$5001,$A$245,BD!$K$3:$K$5001,"&lt;&gt;")=0,"",SUMIFS(BD!$K$3:$K$5001,BD!$A$3:$A$5001,X$3,BD!$B$3:$B$5001,$A$245)))</f>
        <v/>
      </c>
      <c r="Y253" s="166" t="str">
        <f>IF(Y$3="","",IF(COUNTIFS(BD!$A$3:$A$5001,Y$3,BD!$B$3:$B$5001,$A$245,BD!$K$3:$K$5001,"&lt;&gt;")=0,"",SUMIFS(BD!$K$3:$K$5001,BD!$A$3:$A$5001,Y$3,BD!$B$3:$B$5001,$A$245)))</f>
        <v/>
      </c>
      <c r="Z253" s="166" t="str">
        <f>IF(Z$3="","",IF(COUNTIFS(BD!$A$3:$A$5001,Z$3,BD!$B$3:$B$5001,$A$245,BD!$K$3:$K$5001,"&lt;&gt;")=0,"",SUMIFS(BD!$K$3:$K$5001,BD!$A$3:$A$5001,Z$3,BD!$B$3:$B$5001,$A$245)))</f>
        <v/>
      </c>
      <c r="AA253" s="166" t="str">
        <f>IF(AA$3="","",IF(COUNTIFS(BD!$A$3:$A$5001,AA$3,BD!$B$3:$B$5001,$A$245,BD!$K$3:$K$5001,"&lt;&gt;")=0,"",SUMIFS(BD!$K$3:$K$5001,BD!$A$3:$A$5001,AA$3,BD!$B$3:$B$5001,$A$245)))</f>
        <v/>
      </c>
      <c r="AB253" s="166" t="str">
        <f>IF(AB$3="","",IF(COUNTIFS(BD!$A$3:$A$5001,AB$3,BD!$B$3:$B$5001,$A$245,BD!$K$3:$K$5001,"&lt;&gt;")=0,"",SUMIFS(BD!$K$3:$K$5001,BD!$A$3:$A$5001,AB$3,BD!$B$3:$B$5001,$A$245)))</f>
        <v/>
      </c>
      <c r="AC253" s="166" t="str">
        <f>IF(AC$3="","",IF(COUNTIFS(BD!$A$3:$A$5001,AC$3,BD!$B$3:$B$5001,$A$245,BD!$K$3:$K$5001,"&lt;&gt;")=0,"",SUMIFS(BD!$K$3:$K$5001,BD!$A$3:$A$5001,AC$3,BD!$B$3:$B$5001,$A$245)))</f>
        <v/>
      </c>
      <c r="AD253" s="166" t="str">
        <f>IF(AD$3="","",IF(COUNTIFS(BD!$A$3:$A$5001,AD$3,BD!$B$3:$B$5001,$A$245,BD!$K$3:$K$5001,"&lt;&gt;")=0,"",SUMIFS(BD!$K$3:$K$5001,BD!$A$3:$A$5001,AD$3,BD!$B$3:$B$5001,$A$245)))</f>
        <v/>
      </c>
      <c r="AE253" s="166" t="str">
        <f>IF(AE$3="","",IF(COUNTIFS(BD!$A$3:$A$5001,AE$3,BD!$B$3:$B$5001,$A$245,BD!$K$3:$K$5001,"&lt;&gt;")=0,"",SUMIFS(BD!$K$3:$K$5001,BD!$A$3:$A$5001,AE$3,BD!$B$3:$B$5001,$A$245)))</f>
        <v/>
      </c>
      <c r="AF253" s="166" t="str">
        <f>IF(AF$3="","",IF(COUNTIFS(BD!$A$3:$A$5001,AF$3,BD!$B$3:$B$5001,$A$245,BD!$K$3:$K$5001,"&lt;&gt;")=0,"",SUMIFS(BD!$K$3:$K$5001,BD!$A$3:$A$5001,AF$3,BD!$B$3:$B$5001,$A$245)))</f>
        <v/>
      </c>
      <c r="AG253" s="166" t="str">
        <f>IF(AG$3="","",IF(COUNTIFS(BD!$A$3:$A$5001,AG$3,BD!$B$3:$B$5001,$A$245,BD!$K$3:$K$5001,"&lt;&gt;")=0,"",SUMIFS(BD!$K$3:$K$5001,BD!$A$3:$A$5001,AG$3,BD!$B$3:$B$5001,$A$245)))</f>
        <v/>
      </c>
      <c r="AH253" s="166" t="str">
        <f>IF(AH$3="","",IF(COUNTIFS(BD!$A$3:$A$5001,AH$3,BD!$B$3:$B$5001,$A$245,BD!$K$3:$K$5001,"&lt;&gt;")=0,"",SUMIFS(BD!$K$3:$K$5001,BD!$A$3:$A$5001,AH$3,BD!$B$3:$B$5001,$A$245)))</f>
        <v/>
      </c>
      <c r="AI253" s="166" t="str">
        <f>IF(AI$3="","",IF(COUNTIFS(BD!$A$3:$A$5001,AI$3,BD!$B$3:$B$5001,$A$245,BD!$K$3:$K$5001,"&lt;&gt;")=0,"",SUMIFS(BD!$K$3:$K$5001,BD!$A$3:$A$5001,AI$3,BD!$B$3:$B$5001,$A$245)))</f>
        <v/>
      </c>
      <c r="AJ253" s="167" t="str">
        <f>IF(AJ$3="","",IF(COUNTIFS(BD!$A$3:$A$5001,AJ$3,BD!$B$3:$B$5001,$A$245,BD!$K$3:$K$5001,"&lt;&gt;")=0,"",SUMIFS(BD!$K$3:$K$5001,BD!$A$3:$A$5001,AJ$3,BD!$B$3:$B$5001,$A$245)))</f>
        <v/>
      </c>
      <c r="AK253" s="163" t="str">
        <f>IF(COUNT(F253:AJ253)=0,"",SUM(F253:AJ253))</f>
        <v/>
      </c>
    </row>
    <row r="254" ht="15.75" customHeight="1" hidden="1">
      <c r="A254" s="244"/>
      <c r="B254" s="234" t="inlineStr">
        <is>
          <t xml:space="preserve">OUT</t>
        </is>
      </c>
      <c r="C254" s="168" t="inlineStr">
        <is>
          <t xml:space="preserve">Veículos Expedidos</t>
        </is>
      </c>
      <c r="D254" s="169" t="str">
        <f>IFERROR(1/(1/INDEX(BD!$AJ$32:$BD$32,MATCH($A$245,BD!$AJ$22:$BD$22,0))),"")</f>
        <v/>
      </c>
      <c r="E254" s="170"/>
      <c r="F254" s="171" t="str">
        <f>IF(F$3="","",IF(COUNTIFS(BD!$A$3:$A$5001,F$3,BD!$B$3:$B$5001,$A$245,BD!$L$3:$L$5001,"&lt;&gt;")=0,"",SUMIFS(BD!$L$3:$L$5001,BD!$A$3:$A$5001,F$3,BD!$B$3:$B$5001,$A$245)))</f>
        <v/>
      </c>
      <c r="G254" s="172" t="str">
        <f>IF(G$3="","",IF(COUNTIFS(BD!$A$3:$A$5001,G$3,BD!$B$3:$B$5001,$A$245,BD!$L$3:$L$5001,"&lt;&gt;")=0,"",SUMIFS(BD!$L$3:$L$5001,BD!$A$3:$A$5001,G$3,BD!$B$3:$B$5001,$A$245)))</f>
        <v/>
      </c>
      <c r="H254" s="172" t="str">
        <f>IF(H$3="","",IF(COUNTIFS(BD!$A$3:$A$5001,H$3,BD!$B$3:$B$5001,$A$245,BD!$L$3:$L$5001,"&lt;&gt;")=0,"",SUMIFS(BD!$L$3:$L$5001,BD!$A$3:$A$5001,H$3,BD!$B$3:$B$5001,$A$245)))</f>
        <v/>
      </c>
      <c r="I254" s="172" t="str">
        <f>IF(I$3="","",IF(COUNTIFS(BD!$A$3:$A$5001,I$3,BD!$B$3:$B$5001,$A$245,BD!$L$3:$L$5001,"&lt;&gt;")=0,"",SUMIFS(BD!$L$3:$L$5001,BD!$A$3:$A$5001,I$3,BD!$B$3:$B$5001,$A$245)))</f>
        <v/>
      </c>
      <c r="J254" s="172" t="str">
        <f>IF(J$3="","",IF(COUNTIFS(BD!$A$3:$A$5001,J$3,BD!$B$3:$B$5001,$A$245,BD!$L$3:$L$5001,"&lt;&gt;")=0,"",SUMIFS(BD!$L$3:$L$5001,BD!$A$3:$A$5001,J$3,BD!$B$3:$B$5001,$A$245)))</f>
        <v/>
      </c>
      <c r="K254" s="172" t="str">
        <f>IF(K$3="","",IF(COUNTIFS(BD!$A$3:$A$5001,K$3,BD!$B$3:$B$5001,$A$245,BD!$L$3:$L$5001,"&lt;&gt;")=0,"",SUMIFS(BD!$L$3:$L$5001,BD!$A$3:$A$5001,K$3,BD!$B$3:$B$5001,$A$245)))</f>
        <v/>
      </c>
      <c r="L254" s="172" t="str">
        <f>IF(L$3="","",IF(COUNTIFS(BD!$A$3:$A$5001,L$3,BD!$B$3:$B$5001,$A$245,BD!$L$3:$L$5001,"&lt;&gt;")=0,"",SUMIFS(BD!$L$3:$L$5001,BD!$A$3:$A$5001,L$3,BD!$B$3:$B$5001,$A$245)))</f>
        <v/>
      </c>
      <c r="M254" s="172" t="str">
        <f>IF(M$3="","",IF(COUNTIFS(BD!$A$3:$A$5001,M$3,BD!$B$3:$B$5001,$A$245,BD!$L$3:$L$5001,"&lt;&gt;")=0,"",SUMIFS(BD!$L$3:$L$5001,BD!$A$3:$A$5001,M$3,BD!$B$3:$B$5001,$A$245)))</f>
        <v/>
      </c>
      <c r="N254" s="172" t="str">
        <f>IF(N$3="","",IF(COUNTIFS(BD!$A$3:$A$5001,N$3,BD!$B$3:$B$5001,$A$245,BD!$L$3:$L$5001,"&lt;&gt;")=0,"",SUMIFS(BD!$L$3:$L$5001,BD!$A$3:$A$5001,N$3,BD!$B$3:$B$5001,$A$245)))</f>
        <v/>
      </c>
      <c r="O254" s="172" t="str">
        <f>IF(O$3="","",IF(COUNTIFS(BD!$A$3:$A$5001,O$3,BD!$B$3:$B$5001,$A$245,BD!$L$3:$L$5001,"&lt;&gt;")=0,"",SUMIFS(BD!$L$3:$L$5001,BD!$A$3:$A$5001,O$3,BD!$B$3:$B$5001,$A$245)))</f>
        <v/>
      </c>
      <c r="P254" s="172" t="str">
        <f>IF(P$3="","",IF(COUNTIFS(BD!$A$3:$A$5001,P$3,BD!$B$3:$B$5001,$A$245,BD!$L$3:$L$5001,"&lt;&gt;")=0,"",SUMIFS(BD!$L$3:$L$5001,BD!$A$3:$A$5001,P$3,BD!$B$3:$B$5001,$A$245)))</f>
        <v/>
      </c>
      <c r="Q254" s="172" t="str">
        <f>IF(Q$3="","",IF(COUNTIFS(BD!$A$3:$A$5001,Q$3,BD!$B$3:$B$5001,$A$245,BD!$L$3:$L$5001,"&lt;&gt;")=0,"",SUMIFS(BD!$L$3:$L$5001,BD!$A$3:$A$5001,Q$3,BD!$B$3:$B$5001,$A$245)))</f>
        <v/>
      </c>
      <c r="R254" s="172" t="str">
        <f>IF(R$3="","",IF(COUNTIFS(BD!$A$3:$A$5001,R$3,BD!$B$3:$B$5001,$A$245,BD!$L$3:$L$5001,"&lt;&gt;")=0,"",SUMIFS(BD!$L$3:$L$5001,BD!$A$3:$A$5001,R$3,BD!$B$3:$B$5001,$A$245)))</f>
        <v/>
      </c>
      <c r="S254" s="172" t="str">
        <f>IF(S$3="","",IF(COUNTIFS(BD!$A$3:$A$5001,S$3,BD!$B$3:$B$5001,$A$245,BD!$L$3:$L$5001,"&lt;&gt;")=0,"",SUMIFS(BD!$L$3:$L$5001,BD!$A$3:$A$5001,S$3,BD!$B$3:$B$5001,$A$245)))</f>
        <v/>
      </c>
      <c r="T254" s="172" t="str">
        <f>IF(T$3="","",IF(COUNTIFS(BD!$A$3:$A$5001,T$3,BD!$B$3:$B$5001,$A$245,BD!$L$3:$L$5001,"&lt;&gt;")=0,"",SUMIFS(BD!$L$3:$L$5001,BD!$A$3:$A$5001,T$3,BD!$B$3:$B$5001,$A$245)))</f>
        <v/>
      </c>
      <c r="U254" s="172" t="str">
        <f>IF(U$3="","",IF(COUNTIFS(BD!$A$3:$A$5001,U$3,BD!$B$3:$B$5001,$A$245,BD!$L$3:$L$5001,"&lt;&gt;")=0,"",SUMIFS(BD!$L$3:$L$5001,BD!$A$3:$A$5001,U$3,BD!$B$3:$B$5001,$A$245)))</f>
        <v/>
      </c>
      <c r="V254" s="172" t="str">
        <f>IF(V$3="","",IF(COUNTIFS(BD!$A$3:$A$5001,V$3,BD!$B$3:$B$5001,$A$245,BD!$L$3:$L$5001,"&lt;&gt;")=0,"",SUMIFS(BD!$L$3:$L$5001,BD!$A$3:$A$5001,V$3,BD!$B$3:$B$5001,$A$245)))</f>
        <v/>
      </c>
      <c r="W254" s="172" t="str">
        <f>IF(W$3="","",IF(COUNTIFS(BD!$A$3:$A$5001,W$3,BD!$B$3:$B$5001,$A$245,BD!$L$3:$L$5001,"&lt;&gt;")=0,"",SUMIFS(BD!$L$3:$L$5001,BD!$A$3:$A$5001,W$3,BD!$B$3:$B$5001,$A$245)))</f>
        <v/>
      </c>
      <c r="X254" s="172" t="str">
        <f>IF(X$3="","",IF(COUNTIFS(BD!$A$3:$A$5001,X$3,BD!$B$3:$B$5001,$A$245,BD!$L$3:$L$5001,"&lt;&gt;")=0,"",SUMIFS(BD!$L$3:$L$5001,BD!$A$3:$A$5001,X$3,BD!$B$3:$B$5001,$A$245)))</f>
        <v/>
      </c>
      <c r="Y254" s="172" t="str">
        <f>IF(Y$3="","",IF(COUNTIFS(BD!$A$3:$A$5001,Y$3,BD!$B$3:$B$5001,$A$245,BD!$L$3:$L$5001,"&lt;&gt;")=0,"",SUMIFS(BD!$L$3:$L$5001,BD!$A$3:$A$5001,Y$3,BD!$B$3:$B$5001,$A$245)))</f>
        <v/>
      </c>
      <c r="Z254" s="172" t="str">
        <f>IF(Z$3="","",IF(COUNTIFS(BD!$A$3:$A$5001,Z$3,BD!$B$3:$B$5001,$A$245,BD!$L$3:$L$5001,"&lt;&gt;")=0,"",SUMIFS(BD!$L$3:$L$5001,BD!$A$3:$A$5001,Z$3,BD!$B$3:$B$5001,$A$245)))</f>
        <v/>
      </c>
      <c r="AA254" s="172" t="str">
        <f>IF(AA$3="","",IF(COUNTIFS(BD!$A$3:$A$5001,AA$3,BD!$B$3:$B$5001,$A$245,BD!$L$3:$L$5001,"&lt;&gt;")=0,"",SUMIFS(BD!$L$3:$L$5001,BD!$A$3:$A$5001,AA$3,BD!$B$3:$B$5001,$A$245)))</f>
        <v/>
      </c>
      <c r="AB254" s="172" t="str">
        <f>IF(AB$3="","",IF(COUNTIFS(BD!$A$3:$A$5001,AB$3,BD!$B$3:$B$5001,$A$245,BD!$L$3:$L$5001,"&lt;&gt;")=0,"",SUMIFS(BD!$L$3:$L$5001,BD!$A$3:$A$5001,AB$3,BD!$B$3:$B$5001,$A$245)))</f>
        <v/>
      </c>
      <c r="AC254" s="172" t="str">
        <f>IF(AC$3="","",IF(COUNTIFS(BD!$A$3:$A$5001,AC$3,BD!$B$3:$B$5001,$A$245,BD!$L$3:$L$5001,"&lt;&gt;")=0,"",SUMIFS(BD!$L$3:$L$5001,BD!$A$3:$A$5001,AC$3,BD!$B$3:$B$5001,$A$245)))</f>
        <v/>
      </c>
      <c r="AD254" s="172" t="str">
        <f>IF(AD$3="","",IF(COUNTIFS(BD!$A$3:$A$5001,AD$3,BD!$B$3:$B$5001,$A$245,BD!$L$3:$L$5001,"&lt;&gt;")=0,"",SUMIFS(BD!$L$3:$L$5001,BD!$A$3:$A$5001,AD$3,BD!$B$3:$B$5001,$A$245)))</f>
        <v/>
      </c>
      <c r="AE254" s="172" t="str">
        <f>IF(AE$3="","",IF(COUNTIFS(BD!$A$3:$A$5001,AE$3,BD!$B$3:$B$5001,$A$245,BD!$L$3:$L$5001,"&lt;&gt;")=0,"",SUMIFS(BD!$L$3:$L$5001,BD!$A$3:$A$5001,AE$3,BD!$B$3:$B$5001,$A$245)))</f>
        <v/>
      </c>
      <c r="AF254" s="172" t="str">
        <f>IF(AF$3="","",IF(COUNTIFS(BD!$A$3:$A$5001,AF$3,BD!$B$3:$B$5001,$A$245,BD!$L$3:$L$5001,"&lt;&gt;")=0,"",SUMIFS(BD!$L$3:$L$5001,BD!$A$3:$A$5001,AF$3,BD!$B$3:$B$5001,$A$245)))</f>
        <v/>
      </c>
      <c r="AG254" s="172" t="str">
        <f>IF(AG$3="","",IF(COUNTIFS(BD!$A$3:$A$5001,AG$3,BD!$B$3:$B$5001,$A$245,BD!$L$3:$L$5001,"&lt;&gt;")=0,"",SUMIFS(BD!$L$3:$L$5001,BD!$A$3:$A$5001,AG$3,BD!$B$3:$B$5001,$A$245)))</f>
        <v/>
      </c>
      <c r="AH254" s="172" t="str">
        <f>IF(AH$3="","",IF(COUNTIFS(BD!$A$3:$A$5001,AH$3,BD!$B$3:$B$5001,$A$245,BD!$L$3:$L$5001,"&lt;&gt;")=0,"",SUMIFS(BD!$L$3:$L$5001,BD!$A$3:$A$5001,AH$3,BD!$B$3:$B$5001,$A$245)))</f>
        <v/>
      </c>
      <c r="AI254" s="172" t="str">
        <f>IF(AI$3="","",IF(COUNTIFS(BD!$A$3:$A$5001,AI$3,BD!$B$3:$B$5001,$A$245,BD!$L$3:$L$5001,"&lt;&gt;")=0,"",SUMIFS(BD!$L$3:$L$5001,BD!$A$3:$A$5001,AI$3,BD!$B$3:$B$5001,$A$245)))</f>
        <v/>
      </c>
      <c r="AJ254" s="173" t="str">
        <f>IF(AJ$3="","",IF(COUNTIFS(BD!$A$3:$A$5001,AJ$3,BD!$B$3:$B$5001,$A$245,BD!$L$3:$L$5001,"&lt;&gt;")=0,"",SUMIFS(BD!$L$3:$L$5001,BD!$A$3:$A$5001,AJ$3,BD!$B$3:$B$5001,$A$245)))</f>
        <v/>
      </c>
      <c r="AK254" s="174" t="str">
        <f>IF(COUNT(F254:AJ254)=0,"",SUM(F254:AJ254))</f>
        <v/>
      </c>
    </row>
    <row r="255" ht="15.75" customHeight="1" hidden="1">
      <c r="A255" s="244"/>
      <c r="B255" s="261"/>
      <c r="C255" s="250" t="inlineStr">
        <is>
          <t xml:space="preserve">Pedidos Expedidos</t>
        </is>
      </c>
      <c r="D255" s="251" t="str">
        <f>IFERROR(1/(1/INDEX(BD!$AJ$33:$BD$33,MATCH($A$245,BD!$AJ$22:$BD$22,0))),"")</f>
        <v/>
      </c>
      <c r="E255" s="252"/>
      <c r="F255" s="253" t="str">
        <f>IF(F$3="","",IF(COUNTIFS(BD!$A$3:$A$5001,F$3,BD!$B$3:$B$5001,$A$245,BD!$M$3:$M$5001,"&lt;&gt;")=0,"",SUMIFS(BD!$M$3:$M$5001,BD!$A$3:$A$5001,F$3,BD!$B$3:$B$5001,$A$245)))</f>
        <v/>
      </c>
      <c r="G255" s="254" t="str">
        <f>IF(G$3="","",IF(COUNTIFS(BD!$A$3:$A$5001,G$3,BD!$B$3:$B$5001,$A$245,BD!$M$3:$M$5001,"&lt;&gt;")=0,"",SUMIFS(BD!$M$3:$M$5001,BD!$A$3:$A$5001,G$3,BD!$B$3:$B$5001,$A$245)))</f>
        <v/>
      </c>
      <c r="H255" s="254" t="str">
        <f>IF(H$3="","",IF(COUNTIFS(BD!$A$3:$A$5001,H$3,BD!$B$3:$B$5001,$A$245,BD!$M$3:$M$5001,"&lt;&gt;")=0,"",SUMIFS(BD!$M$3:$M$5001,BD!$A$3:$A$5001,H$3,BD!$B$3:$B$5001,$A$245)))</f>
        <v/>
      </c>
      <c r="I255" s="254" t="str">
        <f>IF(I$3="","",IF(COUNTIFS(BD!$A$3:$A$5001,I$3,BD!$B$3:$B$5001,$A$245,BD!$M$3:$M$5001,"&lt;&gt;")=0,"",SUMIFS(BD!$M$3:$M$5001,BD!$A$3:$A$5001,I$3,BD!$B$3:$B$5001,$A$245)))</f>
        <v/>
      </c>
      <c r="J255" s="254" t="str">
        <f>IF(J$3="","",IF(COUNTIFS(BD!$A$3:$A$5001,J$3,BD!$B$3:$B$5001,$A$245,BD!$M$3:$M$5001,"&lt;&gt;")=0,"",SUMIFS(BD!$M$3:$M$5001,BD!$A$3:$A$5001,J$3,BD!$B$3:$B$5001,$A$245)))</f>
        <v/>
      </c>
      <c r="K255" s="254" t="str">
        <f>IF(K$3="","",IF(COUNTIFS(BD!$A$3:$A$5001,K$3,BD!$B$3:$B$5001,$A$245,BD!$M$3:$M$5001,"&lt;&gt;")=0,"",SUMIFS(BD!$M$3:$M$5001,BD!$A$3:$A$5001,K$3,BD!$B$3:$B$5001,$A$245)))</f>
        <v/>
      </c>
      <c r="L255" s="254" t="str">
        <f>IF(L$3="","",IF(COUNTIFS(BD!$A$3:$A$5001,L$3,BD!$B$3:$B$5001,$A$245,BD!$M$3:$M$5001,"&lt;&gt;")=0,"",SUMIFS(BD!$M$3:$M$5001,BD!$A$3:$A$5001,L$3,BD!$B$3:$B$5001,$A$245)))</f>
        <v/>
      </c>
      <c r="M255" s="254" t="str">
        <f>IF(M$3="","",IF(COUNTIFS(BD!$A$3:$A$5001,M$3,BD!$B$3:$B$5001,$A$245,BD!$M$3:$M$5001,"&lt;&gt;")=0,"",SUMIFS(BD!$M$3:$M$5001,BD!$A$3:$A$5001,M$3,BD!$B$3:$B$5001,$A$245)))</f>
        <v/>
      </c>
      <c r="N255" s="254" t="str">
        <f>IF(N$3="","",IF(COUNTIFS(BD!$A$3:$A$5001,N$3,BD!$B$3:$B$5001,$A$245,BD!$M$3:$M$5001,"&lt;&gt;")=0,"",SUMIFS(BD!$M$3:$M$5001,BD!$A$3:$A$5001,N$3,BD!$B$3:$B$5001,$A$245)))</f>
        <v/>
      </c>
      <c r="O255" s="254" t="str">
        <f>IF(O$3="","",IF(COUNTIFS(BD!$A$3:$A$5001,O$3,BD!$B$3:$B$5001,$A$245,BD!$M$3:$M$5001,"&lt;&gt;")=0,"",SUMIFS(BD!$M$3:$M$5001,BD!$A$3:$A$5001,O$3,BD!$B$3:$B$5001,$A$245)))</f>
        <v/>
      </c>
      <c r="P255" s="254" t="str">
        <f>IF(P$3="","",IF(COUNTIFS(BD!$A$3:$A$5001,P$3,BD!$B$3:$B$5001,$A$245,BD!$M$3:$M$5001,"&lt;&gt;")=0,"",SUMIFS(BD!$M$3:$M$5001,BD!$A$3:$A$5001,P$3,BD!$B$3:$B$5001,$A$245)))</f>
        <v/>
      </c>
      <c r="Q255" s="254" t="str">
        <f>IF(Q$3="","",IF(COUNTIFS(BD!$A$3:$A$5001,Q$3,BD!$B$3:$B$5001,$A$245,BD!$M$3:$M$5001,"&lt;&gt;")=0,"",SUMIFS(BD!$M$3:$M$5001,BD!$A$3:$A$5001,Q$3,BD!$B$3:$B$5001,$A$245)))</f>
        <v/>
      </c>
      <c r="R255" s="254" t="str">
        <f>IF(R$3="","",IF(COUNTIFS(BD!$A$3:$A$5001,R$3,BD!$B$3:$B$5001,$A$245,BD!$M$3:$M$5001,"&lt;&gt;")=0,"",SUMIFS(BD!$M$3:$M$5001,BD!$A$3:$A$5001,R$3,BD!$B$3:$B$5001,$A$245)))</f>
        <v/>
      </c>
      <c r="S255" s="254" t="str">
        <f>IF(S$3="","",IF(COUNTIFS(BD!$A$3:$A$5001,S$3,BD!$B$3:$B$5001,$A$245,BD!$M$3:$M$5001,"&lt;&gt;")=0,"",SUMIFS(BD!$M$3:$M$5001,BD!$A$3:$A$5001,S$3,BD!$B$3:$B$5001,$A$245)))</f>
        <v/>
      </c>
      <c r="T255" s="254" t="str">
        <f>IF(T$3="","",IF(COUNTIFS(BD!$A$3:$A$5001,T$3,BD!$B$3:$B$5001,$A$245,BD!$M$3:$M$5001,"&lt;&gt;")=0,"",SUMIFS(BD!$M$3:$M$5001,BD!$A$3:$A$5001,T$3,BD!$B$3:$B$5001,$A$245)))</f>
        <v/>
      </c>
      <c r="U255" s="254" t="str">
        <f>IF(U$3="","",IF(COUNTIFS(BD!$A$3:$A$5001,U$3,BD!$B$3:$B$5001,$A$245,BD!$M$3:$M$5001,"&lt;&gt;")=0,"",SUMIFS(BD!$M$3:$M$5001,BD!$A$3:$A$5001,U$3,BD!$B$3:$B$5001,$A$245)))</f>
        <v/>
      </c>
      <c r="V255" s="254" t="str">
        <f>IF(V$3="","",IF(COUNTIFS(BD!$A$3:$A$5001,V$3,BD!$B$3:$B$5001,$A$245,BD!$M$3:$M$5001,"&lt;&gt;")=0,"",SUMIFS(BD!$M$3:$M$5001,BD!$A$3:$A$5001,V$3,BD!$B$3:$B$5001,$A$245)))</f>
        <v/>
      </c>
      <c r="W255" s="254" t="str">
        <f>IF(W$3="","",IF(COUNTIFS(BD!$A$3:$A$5001,W$3,BD!$B$3:$B$5001,$A$245,BD!$M$3:$M$5001,"&lt;&gt;")=0,"",SUMIFS(BD!$M$3:$M$5001,BD!$A$3:$A$5001,W$3,BD!$B$3:$B$5001,$A$245)))</f>
        <v/>
      </c>
      <c r="X255" s="254" t="str">
        <f>IF(X$3="","",IF(COUNTIFS(BD!$A$3:$A$5001,X$3,BD!$B$3:$B$5001,$A$245,BD!$M$3:$M$5001,"&lt;&gt;")=0,"",SUMIFS(BD!$M$3:$M$5001,BD!$A$3:$A$5001,X$3,BD!$B$3:$B$5001,$A$245)))</f>
        <v/>
      </c>
      <c r="Y255" s="254" t="str">
        <f>IF(Y$3="","",IF(COUNTIFS(BD!$A$3:$A$5001,Y$3,BD!$B$3:$B$5001,$A$245,BD!$M$3:$M$5001,"&lt;&gt;")=0,"",SUMIFS(BD!$M$3:$M$5001,BD!$A$3:$A$5001,Y$3,BD!$B$3:$B$5001,$A$245)))</f>
        <v/>
      </c>
      <c r="Z255" s="254" t="str">
        <f>IF(Z$3="","",IF(COUNTIFS(BD!$A$3:$A$5001,Z$3,BD!$B$3:$B$5001,$A$245,BD!$M$3:$M$5001,"&lt;&gt;")=0,"",SUMIFS(BD!$M$3:$M$5001,BD!$A$3:$A$5001,Z$3,BD!$B$3:$B$5001,$A$245)))</f>
        <v/>
      </c>
      <c r="AA255" s="254" t="str">
        <f>IF(AA$3="","",IF(COUNTIFS(BD!$A$3:$A$5001,AA$3,BD!$B$3:$B$5001,$A$245,BD!$M$3:$M$5001,"&lt;&gt;")=0,"",SUMIFS(BD!$M$3:$M$5001,BD!$A$3:$A$5001,AA$3,BD!$B$3:$B$5001,$A$245)))</f>
        <v/>
      </c>
      <c r="AB255" s="254" t="str">
        <f>IF(AB$3="","",IF(COUNTIFS(BD!$A$3:$A$5001,AB$3,BD!$B$3:$B$5001,$A$245,BD!$M$3:$M$5001,"&lt;&gt;")=0,"",SUMIFS(BD!$M$3:$M$5001,BD!$A$3:$A$5001,AB$3,BD!$B$3:$B$5001,$A$245)))</f>
        <v/>
      </c>
      <c r="AC255" s="254" t="str">
        <f>IF(AC$3="","",IF(COUNTIFS(BD!$A$3:$A$5001,AC$3,BD!$B$3:$B$5001,$A$245,BD!$M$3:$M$5001,"&lt;&gt;")=0,"",SUMIFS(BD!$M$3:$M$5001,BD!$A$3:$A$5001,AC$3,BD!$B$3:$B$5001,$A$245)))</f>
        <v/>
      </c>
      <c r="AD255" s="254" t="str">
        <f>IF(AD$3="","",IF(COUNTIFS(BD!$A$3:$A$5001,AD$3,BD!$B$3:$B$5001,$A$245,BD!$M$3:$M$5001,"&lt;&gt;")=0,"",SUMIFS(BD!$M$3:$M$5001,BD!$A$3:$A$5001,AD$3,BD!$B$3:$B$5001,$A$245)))</f>
        <v/>
      </c>
      <c r="AE255" s="254" t="str">
        <f>IF(AE$3="","",IF(COUNTIFS(BD!$A$3:$A$5001,AE$3,BD!$B$3:$B$5001,$A$245,BD!$M$3:$M$5001,"&lt;&gt;")=0,"",SUMIFS(BD!$M$3:$M$5001,BD!$A$3:$A$5001,AE$3,BD!$B$3:$B$5001,$A$245)))</f>
        <v/>
      </c>
      <c r="AF255" s="254" t="str">
        <f>IF(AF$3="","",IF(COUNTIFS(BD!$A$3:$A$5001,AF$3,BD!$B$3:$B$5001,$A$245,BD!$M$3:$M$5001,"&lt;&gt;")=0,"",SUMIFS(BD!$M$3:$M$5001,BD!$A$3:$A$5001,AF$3,BD!$B$3:$B$5001,$A$245)))</f>
        <v/>
      </c>
      <c r="AG255" s="254" t="str">
        <f>IF(AG$3="","",IF(COUNTIFS(BD!$A$3:$A$5001,AG$3,BD!$B$3:$B$5001,$A$245,BD!$M$3:$M$5001,"&lt;&gt;")=0,"",SUMIFS(BD!$M$3:$M$5001,BD!$A$3:$A$5001,AG$3,BD!$B$3:$B$5001,$A$245)))</f>
        <v/>
      </c>
      <c r="AH255" s="254" t="str">
        <f>IF(AH$3="","",IF(COUNTIFS(BD!$A$3:$A$5001,AH$3,BD!$B$3:$B$5001,$A$245,BD!$M$3:$M$5001,"&lt;&gt;")=0,"",SUMIFS(BD!$M$3:$M$5001,BD!$A$3:$A$5001,AH$3,BD!$B$3:$B$5001,$A$245)))</f>
        <v/>
      </c>
      <c r="AI255" s="254" t="str">
        <f>IF(AI$3="","",IF(COUNTIFS(BD!$A$3:$A$5001,AI$3,BD!$B$3:$B$5001,$A$245,BD!$M$3:$M$5001,"&lt;&gt;")=0,"",SUMIFS(BD!$M$3:$M$5001,BD!$A$3:$A$5001,AI$3,BD!$B$3:$B$5001,$A$245)))</f>
        <v/>
      </c>
      <c r="AJ255" s="255" t="str">
        <f>IF(AJ$3="","",IF(COUNTIFS(BD!$A$3:$A$5001,AJ$3,BD!$B$3:$B$5001,$A$245,BD!$M$3:$M$5001,"&lt;&gt;")=0,"",SUMIFS(BD!$M$3:$M$5001,BD!$A$3:$A$5001,AJ$3,BD!$B$3:$B$5001,$A$245)))</f>
        <v/>
      </c>
      <c r="AK255" s="256" t="str">
        <f>IF(COUNT(F255:AJ255)=0,"",SUM(F255:AJ255))</f>
        <v/>
      </c>
    </row>
    <row r="256" ht="15.75" customHeight="1" hidden="1">
      <c r="A256" s="244"/>
      <c r="B256" s="261"/>
      <c r="C256" s="250" t="inlineStr">
        <is>
          <t xml:space="preserve">Pedidos Faturados</t>
        </is>
      </c>
      <c r="D256" s="251" t="str">
        <f>IFERROR(1/(1/INDEX(BD!$AJ$34:$BD$34,MATCH($A$245,BD!$AJ$22:$BD$22,0))),"")</f>
        <v/>
      </c>
      <c r="E256" s="252"/>
      <c r="F256" s="253" t="str">
        <f>IF(F$3="","",IF(COUNTIFS(BD!$A$3:$A$5001,F$3,BD!$B$3:$B$5001,$A$245,BD!$N$3:$N$5001,"&lt;&gt;")=0,"",SUMIFS(BD!$N$3:$N$5001,BD!$A$3:$A$5001,F$3,BD!$B$3:$B$5001,$A$245)))</f>
        <v/>
      </c>
      <c r="G256" s="254" t="str">
        <f>IF(G$3="","",IF(COUNTIFS(BD!$A$3:$A$5001,G$3,BD!$B$3:$B$5001,$A$245,BD!$N$3:$N$5001,"&lt;&gt;")=0,"",SUMIFS(BD!$N$3:$N$5001,BD!$A$3:$A$5001,G$3,BD!$B$3:$B$5001,$A$245)))</f>
        <v/>
      </c>
      <c r="H256" s="254" t="str">
        <f>IF(H$3="","",IF(COUNTIFS(BD!$A$3:$A$5001,H$3,BD!$B$3:$B$5001,$A$245,BD!$N$3:$N$5001,"&lt;&gt;")=0,"",SUMIFS(BD!$N$3:$N$5001,BD!$A$3:$A$5001,H$3,BD!$B$3:$B$5001,$A$245)))</f>
        <v/>
      </c>
      <c r="I256" s="254" t="str">
        <f>IF(I$3="","",IF(COUNTIFS(BD!$A$3:$A$5001,I$3,BD!$B$3:$B$5001,$A$245,BD!$N$3:$N$5001,"&lt;&gt;")=0,"",SUMIFS(BD!$N$3:$N$5001,BD!$A$3:$A$5001,I$3,BD!$B$3:$B$5001,$A$245)))</f>
        <v/>
      </c>
      <c r="J256" s="254" t="str">
        <f>IF(J$3="","",IF(COUNTIFS(BD!$A$3:$A$5001,J$3,BD!$B$3:$B$5001,$A$245,BD!$N$3:$N$5001,"&lt;&gt;")=0,"",SUMIFS(BD!$N$3:$N$5001,BD!$A$3:$A$5001,J$3,BD!$B$3:$B$5001,$A$245)))</f>
        <v/>
      </c>
      <c r="K256" s="254" t="str">
        <f>IF(K$3="","",IF(COUNTIFS(BD!$A$3:$A$5001,K$3,BD!$B$3:$B$5001,$A$245,BD!$N$3:$N$5001,"&lt;&gt;")=0,"",SUMIFS(BD!$N$3:$N$5001,BD!$A$3:$A$5001,K$3,BD!$B$3:$B$5001,$A$245)))</f>
        <v/>
      </c>
      <c r="L256" s="254" t="str">
        <f>IF(L$3="","",IF(COUNTIFS(BD!$A$3:$A$5001,L$3,BD!$B$3:$B$5001,$A$245,BD!$N$3:$N$5001,"&lt;&gt;")=0,"",SUMIFS(BD!$N$3:$N$5001,BD!$A$3:$A$5001,L$3,BD!$B$3:$B$5001,$A$245)))</f>
        <v/>
      </c>
      <c r="M256" s="254" t="str">
        <f>IF(M$3="","",IF(COUNTIFS(BD!$A$3:$A$5001,M$3,BD!$B$3:$B$5001,$A$245,BD!$N$3:$N$5001,"&lt;&gt;")=0,"",SUMIFS(BD!$N$3:$N$5001,BD!$A$3:$A$5001,M$3,BD!$B$3:$B$5001,$A$245)))</f>
        <v/>
      </c>
      <c r="N256" s="254" t="str">
        <f>IF(N$3="","",IF(COUNTIFS(BD!$A$3:$A$5001,N$3,BD!$B$3:$B$5001,$A$245,BD!$N$3:$N$5001,"&lt;&gt;")=0,"",SUMIFS(BD!$N$3:$N$5001,BD!$A$3:$A$5001,N$3,BD!$B$3:$B$5001,$A$245)))</f>
        <v/>
      </c>
      <c r="O256" s="254" t="str">
        <f>IF(O$3="","",IF(COUNTIFS(BD!$A$3:$A$5001,O$3,BD!$B$3:$B$5001,$A$245,BD!$N$3:$N$5001,"&lt;&gt;")=0,"",SUMIFS(BD!$N$3:$N$5001,BD!$A$3:$A$5001,O$3,BD!$B$3:$B$5001,$A$245)))</f>
        <v/>
      </c>
      <c r="P256" s="254" t="str">
        <f>IF(P$3="","",IF(COUNTIFS(BD!$A$3:$A$5001,P$3,BD!$B$3:$B$5001,$A$245,BD!$N$3:$N$5001,"&lt;&gt;")=0,"",SUMIFS(BD!$N$3:$N$5001,BD!$A$3:$A$5001,P$3,BD!$B$3:$B$5001,$A$245)))</f>
        <v/>
      </c>
      <c r="Q256" s="254" t="str">
        <f>IF(Q$3="","",IF(COUNTIFS(BD!$A$3:$A$5001,Q$3,BD!$B$3:$B$5001,$A$245,BD!$N$3:$N$5001,"&lt;&gt;")=0,"",SUMIFS(BD!$N$3:$N$5001,BD!$A$3:$A$5001,Q$3,BD!$B$3:$B$5001,$A$245)))</f>
        <v/>
      </c>
      <c r="R256" s="254" t="str">
        <f>IF(R$3="","",IF(COUNTIFS(BD!$A$3:$A$5001,R$3,BD!$B$3:$B$5001,$A$245,BD!$N$3:$N$5001,"&lt;&gt;")=0,"",SUMIFS(BD!$N$3:$N$5001,BD!$A$3:$A$5001,R$3,BD!$B$3:$B$5001,$A$245)))</f>
        <v/>
      </c>
      <c r="S256" s="254" t="str">
        <f>IF(S$3="","",IF(COUNTIFS(BD!$A$3:$A$5001,S$3,BD!$B$3:$B$5001,$A$245,BD!$N$3:$N$5001,"&lt;&gt;")=0,"",SUMIFS(BD!$N$3:$N$5001,BD!$A$3:$A$5001,S$3,BD!$B$3:$B$5001,$A$245)))</f>
        <v/>
      </c>
      <c r="T256" s="254" t="str">
        <f>IF(T$3="","",IF(COUNTIFS(BD!$A$3:$A$5001,T$3,BD!$B$3:$B$5001,$A$245,BD!$N$3:$N$5001,"&lt;&gt;")=0,"",SUMIFS(BD!$N$3:$N$5001,BD!$A$3:$A$5001,T$3,BD!$B$3:$B$5001,$A$245)))</f>
        <v/>
      </c>
      <c r="U256" s="254" t="str">
        <f>IF(U$3="","",IF(COUNTIFS(BD!$A$3:$A$5001,U$3,BD!$B$3:$B$5001,$A$245,BD!$N$3:$N$5001,"&lt;&gt;")=0,"",SUMIFS(BD!$N$3:$N$5001,BD!$A$3:$A$5001,U$3,BD!$B$3:$B$5001,$A$245)))</f>
        <v/>
      </c>
      <c r="V256" s="254" t="str">
        <f>IF(V$3="","",IF(COUNTIFS(BD!$A$3:$A$5001,V$3,BD!$B$3:$B$5001,$A$245,BD!$N$3:$N$5001,"&lt;&gt;")=0,"",SUMIFS(BD!$N$3:$N$5001,BD!$A$3:$A$5001,V$3,BD!$B$3:$B$5001,$A$245)))</f>
        <v/>
      </c>
      <c r="W256" s="254" t="str">
        <f>IF(W$3="","",IF(COUNTIFS(BD!$A$3:$A$5001,W$3,BD!$B$3:$B$5001,$A$245,BD!$N$3:$N$5001,"&lt;&gt;")=0,"",SUMIFS(BD!$N$3:$N$5001,BD!$A$3:$A$5001,W$3,BD!$B$3:$B$5001,$A$245)))</f>
        <v/>
      </c>
      <c r="X256" s="254" t="str">
        <f>IF(X$3="","",IF(COUNTIFS(BD!$A$3:$A$5001,X$3,BD!$B$3:$B$5001,$A$245,BD!$N$3:$N$5001,"&lt;&gt;")=0,"",SUMIFS(BD!$N$3:$N$5001,BD!$A$3:$A$5001,X$3,BD!$B$3:$B$5001,$A$245)))</f>
        <v/>
      </c>
      <c r="Y256" s="254" t="str">
        <f>IF(Y$3="","",IF(COUNTIFS(BD!$A$3:$A$5001,Y$3,BD!$B$3:$B$5001,$A$245,BD!$N$3:$N$5001,"&lt;&gt;")=0,"",SUMIFS(BD!$N$3:$N$5001,BD!$A$3:$A$5001,Y$3,BD!$B$3:$B$5001,$A$245)))</f>
        <v/>
      </c>
      <c r="Z256" s="254" t="str">
        <f>IF(Z$3="","",IF(COUNTIFS(BD!$A$3:$A$5001,Z$3,BD!$B$3:$B$5001,$A$245,BD!$N$3:$N$5001,"&lt;&gt;")=0,"",SUMIFS(BD!$N$3:$N$5001,BD!$A$3:$A$5001,Z$3,BD!$B$3:$B$5001,$A$245)))</f>
        <v/>
      </c>
      <c r="AA256" s="254" t="str">
        <f>IF(AA$3="","",IF(COUNTIFS(BD!$A$3:$A$5001,AA$3,BD!$B$3:$B$5001,$A$245,BD!$N$3:$N$5001,"&lt;&gt;")=0,"",SUMIFS(BD!$N$3:$N$5001,BD!$A$3:$A$5001,AA$3,BD!$B$3:$B$5001,$A$245)))</f>
        <v/>
      </c>
      <c r="AB256" s="254" t="str">
        <f>IF(AB$3="","",IF(COUNTIFS(BD!$A$3:$A$5001,AB$3,BD!$B$3:$B$5001,$A$245,BD!$N$3:$N$5001,"&lt;&gt;")=0,"",SUMIFS(BD!$N$3:$N$5001,BD!$A$3:$A$5001,AB$3,BD!$B$3:$B$5001,$A$245)))</f>
        <v/>
      </c>
      <c r="AC256" s="254" t="str">
        <f>IF(AC$3="","",IF(COUNTIFS(BD!$A$3:$A$5001,AC$3,BD!$B$3:$B$5001,$A$245,BD!$N$3:$N$5001,"&lt;&gt;")=0,"",SUMIFS(BD!$N$3:$N$5001,BD!$A$3:$A$5001,AC$3,BD!$B$3:$B$5001,$A$245)))</f>
        <v/>
      </c>
      <c r="AD256" s="254" t="str">
        <f>IF(AD$3="","",IF(COUNTIFS(BD!$A$3:$A$5001,AD$3,BD!$B$3:$B$5001,$A$245,BD!$N$3:$N$5001,"&lt;&gt;")=0,"",SUMIFS(BD!$N$3:$N$5001,BD!$A$3:$A$5001,AD$3,BD!$B$3:$B$5001,$A$245)))</f>
        <v/>
      </c>
      <c r="AE256" s="254" t="str">
        <f>IF(AE$3="","",IF(COUNTIFS(BD!$A$3:$A$5001,AE$3,BD!$B$3:$B$5001,$A$245,BD!$N$3:$N$5001,"&lt;&gt;")=0,"",SUMIFS(BD!$N$3:$N$5001,BD!$A$3:$A$5001,AE$3,BD!$B$3:$B$5001,$A$245)))</f>
        <v/>
      </c>
      <c r="AF256" s="254" t="str">
        <f>IF(AF$3="","",IF(COUNTIFS(BD!$A$3:$A$5001,AF$3,BD!$B$3:$B$5001,$A$245,BD!$N$3:$N$5001,"&lt;&gt;")=0,"",SUMIFS(BD!$N$3:$N$5001,BD!$A$3:$A$5001,AF$3,BD!$B$3:$B$5001,$A$245)))</f>
        <v/>
      </c>
      <c r="AG256" s="254" t="str">
        <f>IF(AG$3="","",IF(COUNTIFS(BD!$A$3:$A$5001,AG$3,BD!$B$3:$B$5001,$A$245,BD!$N$3:$N$5001,"&lt;&gt;")=0,"",SUMIFS(BD!$N$3:$N$5001,BD!$A$3:$A$5001,AG$3,BD!$B$3:$B$5001,$A$245)))</f>
        <v/>
      </c>
      <c r="AH256" s="254" t="str">
        <f>IF(AH$3="","",IF(COUNTIFS(BD!$A$3:$A$5001,AH$3,BD!$B$3:$B$5001,$A$245,BD!$N$3:$N$5001,"&lt;&gt;")=0,"",SUMIFS(BD!$N$3:$N$5001,BD!$A$3:$A$5001,AH$3,BD!$B$3:$B$5001,$A$245)))</f>
        <v/>
      </c>
      <c r="AI256" s="254" t="str">
        <f>IF(AI$3="","",IF(COUNTIFS(BD!$A$3:$A$5001,AI$3,BD!$B$3:$B$5001,$A$245,BD!$N$3:$N$5001,"&lt;&gt;")=0,"",SUMIFS(BD!$N$3:$N$5001,BD!$A$3:$A$5001,AI$3,BD!$B$3:$B$5001,$A$245)))</f>
        <v/>
      </c>
      <c r="AJ256" s="255" t="str">
        <f>IF(AJ$3="","",IF(COUNTIFS(BD!$A$3:$A$5001,AJ$3,BD!$B$3:$B$5001,$A$245,BD!$N$3:$N$5001,"&lt;&gt;")=0,"",SUMIFS(BD!$N$3:$N$5001,BD!$A$3:$A$5001,AJ$3,BD!$B$3:$B$5001,$A$245)))</f>
        <v/>
      </c>
      <c r="AK256" s="256" t="str">
        <f>IF(COUNT(F256:AJ256)=0,"",SUM(F256:AJ256))</f>
        <v/>
      </c>
    </row>
    <row r="257" ht="15.75" customHeight="1" hidden="1">
      <c r="A257" s="244"/>
      <c r="B257" s="261"/>
      <c r="C257" s="250" t="inlineStr">
        <is>
          <t xml:space="preserve">Itens Expedidos</t>
        </is>
      </c>
      <c r="D257" s="251" t="str">
        <f>IFERROR(1/(1/INDEX(BD!$AJ$35:$BD$35,MATCH($A$245,BD!$AJ$22:$BD$22,0))),"")</f>
        <v/>
      </c>
      <c r="E257" s="252"/>
      <c r="F257" s="253" t="str">
        <f>IF(F$3="","",IF(COUNTIFS(BD!$A$3:$A$5001,F$3,BD!$B$3:$B$5001,$A$245,BD!$O$3:$O$5001,"&lt;&gt;")=0,"",SUMIFS(BD!$O$3:$O$5001,BD!$A$3:$A$5001,F$3,BD!$B$3:$B$5001,$A$245)))</f>
        <v/>
      </c>
      <c r="G257" s="254" t="str">
        <f>IF(G$3="","",IF(COUNTIFS(BD!$A$3:$A$5001,G$3,BD!$B$3:$B$5001,$A$245,BD!$O$3:$O$5001,"&lt;&gt;")=0,"",SUMIFS(BD!$O$3:$O$5001,BD!$A$3:$A$5001,G$3,BD!$B$3:$B$5001,$A$245)))</f>
        <v/>
      </c>
      <c r="H257" s="254" t="str">
        <f>IF(H$3="","",IF(COUNTIFS(BD!$A$3:$A$5001,H$3,BD!$B$3:$B$5001,$A$245,BD!$O$3:$O$5001,"&lt;&gt;")=0,"",SUMIFS(BD!$O$3:$O$5001,BD!$A$3:$A$5001,H$3,BD!$B$3:$B$5001,$A$245)))</f>
        <v/>
      </c>
      <c r="I257" s="254" t="str">
        <f>IF(I$3="","",IF(COUNTIFS(BD!$A$3:$A$5001,I$3,BD!$B$3:$B$5001,$A$245,BD!$O$3:$O$5001,"&lt;&gt;")=0,"",SUMIFS(BD!$O$3:$O$5001,BD!$A$3:$A$5001,I$3,BD!$B$3:$B$5001,$A$245)))</f>
        <v/>
      </c>
      <c r="J257" s="254" t="str">
        <f>IF(J$3="","",IF(COUNTIFS(BD!$A$3:$A$5001,J$3,BD!$B$3:$B$5001,$A$245,BD!$O$3:$O$5001,"&lt;&gt;")=0,"",SUMIFS(BD!$O$3:$O$5001,BD!$A$3:$A$5001,J$3,BD!$B$3:$B$5001,$A$245)))</f>
        <v/>
      </c>
      <c r="K257" s="254" t="str">
        <f>IF(K$3="","",IF(COUNTIFS(BD!$A$3:$A$5001,K$3,BD!$B$3:$B$5001,$A$245,BD!$O$3:$O$5001,"&lt;&gt;")=0,"",SUMIFS(BD!$O$3:$O$5001,BD!$A$3:$A$5001,K$3,BD!$B$3:$B$5001,$A$245)))</f>
        <v/>
      </c>
      <c r="L257" s="254" t="str">
        <f>IF(L$3="","",IF(COUNTIFS(BD!$A$3:$A$5001,L$3,BD!$B$3:$B$5001,$A$245,BD!$O$3:$O$5001,"&lt;&gt;")=0,"",SUMIFS(BD!$O$3:$O$5001,BD!$A$3:$A$5001,L$3,BD!$B$3:$B$5001,$A$245)))</f>
        <v/>
      </c>
      <c r="M257" s="254" t="str">
        <f>IF(M$3="","",IF(COUNTIFS(BD!$A$3:$A$5001,M$3,BD!$B$3:$B$5001,$A$245,BD!$O$3:$O$5001,"&lt;&gt;")=0,"",SUMIFS(BD!$O$3:$O$5001,BD!$A$3:$A$5001,M$3,BD!$B$3:$B$5001,$A$245)))</f>
        <v/>
      </c>
      <c r="N257" s="254" t="str">
        <f>IF(N$3="","",IF(COUNTIFS(BD!$A$3:$A$5001,N$3,BD!$B$3:$B$5001,$A$245,BD!$O$3:$O$5001,"&lt;&gt;")=0,"",SUMIFS(BD!$O$3:$O$5001,BD!$A$3:$A$5001,N$3,BD!$B$3:$B$5001,$A$245)))</f>
        <v/>
      </c>
      <c r="O257" s="254" t="str">
        <f>IF(O$3="","",IF(COUNTIFS(BD!$A$3:$A$5001,O$3,BD!$B$3:$B$5001,$A$245,BD!$O$3:$O$5001,"&lt;&gt;")=0,"",SUMIFS(BD!$O$3:$O$5001,BD!$A$3:$A$5001,O$3,BD!$B$3:$B$5001,$A$245)))</f>
        <v/>
      </c>
      <c r="P257" s="254" t="str">
        <f>IF(P$3="","",IF(COUNTIFS(BD!$A$3:$A$5001,P$3,BD!$B$3:$B$5001,$A$245,BD!$O$3:$O$5001,"&lt;&gt;")=0,"",SUMIFS(BD!$O$3:$O$5001,BD!$A$3:$A$5001,P$3,BD!$B$3:$B$5001,$A$245)))</f>
        <v/>
      </c>
      <c r="Q257" s="254" t="str">
        <f>IF(Q$3="","",IF(COUNTIFS(BD!$A$3:$A$5001,Q$3,BD!$B$3:$B$5001,$A$245,BD!$O$3:$O$5001,"&lt;&gt;")=0,"",SUMIFS(BD!$O$3:$O$5001,BD!$A$3:$A$5001,Q$3,BD!$B$3:$B$5001,$A$245)))</f>
        <v/>
      </c>
      <c r="R257" s="254" t="str">
        <f>IF(R$3="","",IF(COUNTIFS(BD!$A$3:$A$5001,R$3,BD!$B$3:$B$5001,$A$245,BD!$O$3:$O$5001,"&lt;&gt;")=0,"",SUMIFS(BD!$O$3:$O$5001,BD!$A$3:$A$5001,R$3,BD!$B$3:$B$5001,$A$245)))</f>
        <v/>
      </c>
      <c r="S257" s="254" t="str">
        <f>IF(S$3="","",IF(COUNTIFS(BD!$A$3:$A$5001,S$3,BD!$B$3:$B$5001,$A$245,BD!$O$3:$O$5001,"&lt;&gt;")=0,"",SUMIFS(BD!$O$3:$O$5001,BD!$A$3:$A$5001,S$3,BD!$B$3:$B$5001,$A$245)))</f>
        <v/>
      </c>
      <c r="T257" s="254" t="str">
        <f>IF(T$3="","",IF(COUNTIFS(BD!$A$3:$A$5001,T$3,BD!$B$3:$B$5001,$A$245,BD!$O$3:$O$5001,"&lt;&gt;")=0,"",SUMIFS(BD!$O$3:$O$5001,BD!$A$3:$A$5001,T$3,BD!$B$3:$B$5001,$A$245)))</f>
        <v/>
      </c>
      <c r="U257" s="254" t="str">
        <f>IF(U$3="","",IF(COUNTIFS(BD!$A$3:$A$5001,U$3,BD!$B$3:$B$5001,$A$245,BD!$O$3:$O$5001,"&lt;&gt;")=0,"",SUMIFS(BD!$O$3:$O$5001,BD!$A$3:$A$5001,U$3,BD!$B$3:$B$5001,$A$245)))</f>
        <v/>
      </c>
      <c r="V257" s="254" t="str">
        <f>IF(V$3="","",IF(COUNTIFS(BD!$A$3:$A$5001,V$3,BD!$B$3:$B$5001,$A$245,BD!$O$3:$O$5001,"&lt;&gt;")=0,"",SUMIFS(BD!$O$3:$O$5001,BD!$A$3:$A$5001,V$3,BD!$B$3:$B$5001,$A$245)))</f>
        <v/>
      </c>
      <c r="W257" s="254" t="str">
        <f>IF(W$3="","",IF(COUNTIFS(BD!$A$3:$A$5001,W$3,BD!$B$3:$B$5001,$A$245,BD!$O$3:$O$5001,"&lt;&gt;")=0,"",SUMIFS(BD!$O$3:$O$5001,BD!$A$3:$A$5001,W$3,BD!$B$3:$B$5001,$A$245)))</f>
        <v/>
      </c>
      <c r="X257" s="254" t="str">
        <f>IF(X$3="","",IF(COUNTIFS(BD!$A$3:$A$5001,X$3,BD!$B$3:$B$5001,$A$245,BD!$O$3:$O$5001,"&lt;&gt;")=0,"",SUMIFS(BD!$O$3:$O$5001,BD!$A$3:$A$5001,X$3,BD!$B$3:$B$5001,$A$245)))</f>
        <v/>
      </c>
      <c r="Y257" s="254" t="str">
        <f>IF(Y$3="","",IF(COUNTIFS(BD!$A$3:$A$5001,Y$3,BD!$B$3:$B$5001,$A$245,BD!$O$3:$O$5001,"&lt;&gt;")=0,"",SUMIFS(BD!$O$3:$O$5001,BD!$A$3:$A$5001,Y$3,BD!$B$3:$B$5001,$A$245)))</f>
        <v/>
      </c>
      <c r="Z257" s="254" t="str">
        <f>IF(Z$3="","",IF(COUNTIFS(BD!$A$3:$A$5001,Z$3,BD!$B$3:$B$5001,$A$245,BD!$O$3:$O$5001,"&lt;&gt;")=0,"",SUMIFS(BD!$O$3:$O$5001,BD!$A$3:$A$5001,Z$3,BD!$B$3:$B$5001,$A$245)))</f>
        <v/>
      </c>
      <c r="AA257" s="254" t="str">
        <f>IF(AA$3="","",IF(COUNTIFS(BD!$A$3:$A$5001,AA$3,BD!$B$3:$B$5001,$A$245,BD!$O$3:$O$5001,"&lt;&gt;")=0,"",SUMIFS(BD!$O$3:$O$5001,BD!$A$3:$A$5001,AA$3,BD!$B$3:$B$5001,$A$245)))</f>
        <v/>
      </c>
      <c r="AB257" s="254" t="str">
        <f>IF(AB$3="","",IF(COUNTIFS(BD!$A$3:$A$5001,AB$3,BD!$B$3:$B$5001,$A$245,BD!$O$3:$O$5001,"&lt;&gt;")=0,"",SUMIFS(BD!$O$3:$O$5001,BD!$A$3:$A$5001,AB$3,BD!$B$3:$B$5001,$A$245)))</f>
        <v/>
      </c>
      <c r="AC257" s="254" t="str">
        <f>IF(AC$3="","",IF(COUNTIFS(BD!$A$3:$A$5001,AC$3,BD!$B$3:$B$5001,$A$245,BD!$O$3:$O$5001,"&lt;&gt;")=0,"",SUMIFS(BD!$O$3:$O$5001,BD!$A$3:$A$5001,AC$3,BD!$B$3:$B$5001,$A$245)))</f>
        <v/>
      </c>
      <c r="AD257" s="254" t="str">
        <f>IF(AD$3="","",IF(COUNTIFS(BD!$A$3:$A$5001,AD$3,BD!$B$3:$B$5001,$A$245,BD!$O$3:$O$5001,"&lt;&gt;")=0,"",SUMIFS(BD!$O$3:$O$5001,BD!$A$3:$A$5001,AD$3,BD!$B$3:$B$5001,$A$245)))</f>
        <v/>
      </c>
      <c r="AE257" s="254" t="str">
        <f>IF(AE$3="","",IF(COUNTIFS(BD!$A$3:$A$5001,AE$3,BD!$B$3:$B$5001,$A$245,BD!$O$3:$O$5001,"&lt;&gt;")=0,"",SUMIFS(BD!$O$3:$O$5001,BD!$A$3:$A$5001,AE$3,BD!$B$3:$B$5001,$A$245)))</f>
        <v/>
      </c>
      <c r="AF257" s="254" t="str">
        <f>IF(AF$3="","",IF(COUNTIFS(BD!$A$3:$A$5001,AF$3,BD!$B$3:$B$5001,$A$245,BD!$O$3:$O$5001,"&lt;&gt;")=0,"",SUMIFS(BD!$O$3:$O$5001,BD!$A$3:$A$5001,AF$3,BD!$B$3:$B$5001,$A$245)))</f>
        <v/>
      </c>
      <c r="AG257" s="254" t="str">
        <f>IF(AG$3="","",IF(COUNTIFS(BD!$A$3:$A$5001,AG$3,BD!$B$3:$B$5001,$A$245,BD!$O$3:$O$5001,"&lt;&gt;")=0,"",SUMIFS(BD!$O$3:$O$5001,BD!$A$3:$A$5001,AG$3,BD!$B$3:$B$5001,$A$245)))</f>
        <v/>
      </c>
      <c r="AH257" s="254" t="str">
        <f>IF(AH$3="","",IF(COUNTIFS(BD!$A$3:$A$5001,AH$3,BD!$B$3:$B$5001,$A$245,BD!$O$3:$O$5001,"&lt;&gt;")=0,"",SUMIFS(BD!$O$3:$O$5001,BD!$A$3:$A$5001,AH$3,BD!$B$3:$B$5001,$A$245)))</f>
        <v/>
      </c>
      <c r="AI257" s="254" t="str">
        <f>IF(AI$3="","",IF(COUNTIFS(BD!$A$3:$A$5001,AI$3,BD!$B$3:$B$5001,$A$245,BD!$O$3:$O$5001,"&lt;&gt;")=0,"",SUMIFS(BD!$O$3:$O$5001,BD!$A$3:$A$5001,AI$3,BD!$B$3:$B$5001,$A$245)))</f>
        <v/>
      </c>
      <c r="AJ257" s="255" t="str">
        <f>IF(AJ$3="","",IF(COUNTIFS(BD!$A$3:$A$5001,AJ$3,BD!$B$3:$B$5001,$A$245,BD!$O$3:$O$5001,"&lt;&gt;")=0,"",SUMIFS(BD!$O$3:$O$5001,BD!$A$3:$A$5001,AJ$3,BD!$B$3:$B$5001,$A$245)))</f>
        <v/>
      </c>
      <c r="AK257" s="256" t="str">
        <f>IF(COUNT(F257:AJ257)=0,"",SUM(F257:AJ257))</f>
        <v/>
      </c>
    </row>
    <row r="258" ht="15.75" customHeight="1" hidden="1">
      <c r="A258" s="244"/>
      <c r="B258" s="261"/>
      <c r="C258" s="250" t="inlineStr">
        <is>
          <t xml:space="preserve">Linhas NF</t>
        </is>
      </c>
      <c r="D258" s="251" t="str">
        <f>IFERROR(1/(1/INDEX(BD!$AJ$36:$BD$36,MATCH($A$245,BD!$AJ$22:$BD$22,0))),"")</f>
        <v/>
      </c>
      <c r="E258" s="252"/>
      <c r="F258" s="253" t="str">
        <f>IF(F$3="","",IF(COUNTIFS(BD!$A$3:$A$5001,F$3,BD!$B$3:$B$5001,$A$245,BD!$P$3:$P$5001,"&lt;&gt;")=0,"",SUMIFS(BD!$P$3:$P$5001,BD!$A$3:$A$5001,F$3,BD!$B$3:$B$5001,$A$245)))</f>
        <v/>
      </c>
      <c r="G258" s="254" t="str">
        <f>IF(G$3="","",IF(COUNTIFS(BD!$A$3:$A$5001,G$3,BD!$B$3:$B$5001,$A$245,BD!$P$3:$P$5001,"&lt;&gt;")=0,"",SUMIFS(BD!$P$3:$P$5001,BD!$A$3:$A$5001,G$3,BD!$B$3:$B$5001,$A$245)))</f>
        <v/>
      </c>
      <c r="H258" s="254" t="str">
        <f>IF(H$3="","",IF(COUNTIFS(BD!$A$3:$A$5001,H$3,BD!$B$3:$B$5001,$A$245,BD!$P$3:$P$5001,"&lt;&gt;")=0,"",SUMIFS(BD!$P$3:$P$5001,BD!$A$3:$A$5001,H$3,BD!$B$3:$B$5001,$A$245)))</f>
        <v/>
      </c>
      <c r="I258" s="254" t="str">
        <f>IF(I$3="","",IF(COUNTIFS(BD!$A$3:$A$5001,I$3,BD!$B$3:$B$5001,$A$245,BD!$P$3:$P$5001,"&lt;&gt;")=0,"",SUMIFS(BD!$P$3:$P$5001,BD!$A$3:$A$5001,I$3,BD!$B$3:$B$5001,$A$245)))</f>
        <v/>
      </c>
      <c r="J258" s="254" t="str">
        <f>IF(J$3="","",IF(COUNTIFS(BD!$A$3:$A$5001,J$3,BD!$B$3:$B$5001,$A$245,BD!$P$3:$P$5001,"&lt;&gt;")=0,"",SUMIFS(BD!$P$3:$P$5001,BD!$A$3:$A$5001,J$3,BD!$B$3:$B$5001,$A$245)))</f>
        <v/>
      </c>
      <c r="K258" s="254" t="str">
        <f>IF(K$3="","",IF(COUNTIFS(BD!$A$3:$A$5001,K$3,BD!$B$3:$B$5001,$A$245,BD!$P$3:$P$5001,"&lt;&gt;")=0,"",SUMIFS(BD!$P$3:$P$5001,BD!$A$3:$A$5001,K$3,BD!$B$3:$B$5001,$A$245)))</f>
        <v/>
      </c>
      <c r="L258" s="254" t="str">
        <f>IF(L$3="","",IF(COUNTIFS(BD!$A$3:$A$5001,L$3,BD!$B$3:$B$5001,$A$245,BD!$P$3:$P$5001,"&lt;&gt;")=0,"",SUMIFS(BD!$P$3:$P$5001,BD!$A$3:$A$5001,L$3,BD!$B$3:$B$5001,$A$245)))</f>
        <v/>
      </c>
      <c r="M258" s="254" t="str">
        <f>IF(M$3="","",IF(COUNTIFS(BD!$A$3:$A$5001,M$3,BD!$B$3:$B$5001,$A$245,BD!$P$3:$P$5001,"&lt;&gt;")=0,"",SUMIFS(BD!$P$3:$P$5001,BD!$A$3:$A$5001,M$3,BD!$B$3:$B$5001,$A$245)))</f>
        <v/>
      </c>
      <c r="N258" s="254" t="str">
        <f>IF(N$3="","",IF(COUNTIFS(BD!$A$3:$A$5001,N$3,BD!$B$3:$B$5001,$A$245,BD!$P$3:$P$5001,"&lt;&gt;")=0,"",SUMIFS(BD!$P$3:$P$5001,BD!$A$3:$A$5001,N$3,BD!$B$3:$B$5001,$A$245)))</f>
        <v/>
      </c>
      <c r="O258" s="254" t="str">
        <f>IF(O$3="","",IF(COUNTIFS(BD!$A$3:$A$5001,O$3,BD!$B$3:$B$5001,$A$245,BD!$P$3:$P$5001,"&lt;&gt;")=0,"",SUMIFS(BD!$P$3:$P$5001,BD!$A$3:$A$5001,O$3,BD!$B$3:$B$5001,$A$245)))</f>
        <v/>
      </c>
      <c r="P258" s="254" t="str">
        <f>IF(P$3="","",IF(COUNTIFS(BD!$A$3:$A$5001,P$3,BD!$B$3:$B$5001,$A$245,BD!$P$3:$P$5001,"&lt;&gt;")=0,"",SUMIFS(BD!$P$3:$P$5001,BD!$A$3:$A$5001,P$3,BD!$B$3:$B$5001,$A$245)))</f>
        <v/>
      </c>
      <c r="Q258" s="254" t="str">
        <f>IF(Q$3="","",IF(COUNTIFS(BD!$A$3:$A$5001,Q$3,BD!$B$3:$B$5001,$A$245,BD!$P$3:$P$5001,"&lt;&gt;")=0,"",SUMIFS(BD!$P$3:$P$5001,BD!$A$3:$A$5001,Q$3,BD!$B$3:$B$5001,$A$245)))</f>
        <v/>
      </c>
      <c r="R258" s="254" t="str">
        <f>IF(R$3="","",IF(COUNTIFS(BD!$A$3:$A$5001,R$3,BD!$B$3:$B$5001,$A$245,BD!$P$3:$P$5001,"&lt;&gt;")=0,"",SUMIFS(BD!$P$3:$P$5001,BD!$A$3:$A$5001,R$3,BD!$B$3:$B$5001,$A$245)))</f>
        <v/>
      </c>
      <c r="S258" s="254" t="str">
        <f>IF(S$3="","",IF(COUNTIFS(BD!$A$3:$A$5001,S$3,BD!$B$3:$B$5001,$A$245,BD!$P$3:$P$5001,"&lt;&gt;")=0,"",SUMIFS(BD!$P$3:$P$5001,BD!$A$3:$A$5001,S$3,BD!$B$3:$B$5001,$A$245)))</f>
        <v/>
      </c>
      <c r="T258" s="254" t="str">
        <f>IF(T$3="","",IF(COUNTIFS(BD!$A$3:$A$5001,T$3,BD!$B$3:$B$5001,$A$245,BD!$P$3:$P$5001,"&lt;&gt;")=0,"",SUMIFS(BD!$P$3:$P$5001,BD!$A$3:$A$5001,T$3,BD!$B$3:$B$5001,$A$245)))</f>
        <v/>
      </c>
      <c r="U258" s="254" t="str">
        <f>IF(U$3="","",IF(COUNTIFS(BD!$A$3:$A$5001,U$3,BD!$B$3:$B$5001,$A$245,BD!$P$3:$P$5001,"&lt;&gt;")=0,"",SUMIFS(BD!$P$3:$P$5001,BD!$A$3:$A$5001,U$3,BD!$B$3:$B$5001,$A$245)))</f>
        <v/>
      </c>
      <c r="V258" s="254" t="str">
        <f>IF(V$3="","",IF(COUNTIFS(BD!$A$3:$A$5001,V$3,BD!$B$3:$B$5001,$A$245,BD!$P$3:$P$5001,"&lt;&gt;")=0,"",SUMIFS(BD!$P$3:$P$5001,BD!$A$3:$A$5001,V$3,BD!$B$3:$B$5001,$A$245)))</f>
        <v/>
      </c>
      <c r="W258" s="254" t="str">
        <f>IF(W$3="","",IF(COUNTIFS(BD!$A$3:$A$5001,W$3,BD!$B$3:$B$5001,$A$245,BD!$P$3:$P$5001,"&lt;&gt;")=0,"",SUMIFS(BD!$P$3:$P$5001,BD!$A$3:$A$5001,W$3,BD!$B$3:$B$5001,$A$245)))</f>
        <v/>
      </c>
      <c r="X258" s="254" t="str">
        <f>IF(X$3="","",IF(COUNTIFS(BD!$A$3:$A$5001,X$3,BD!$B$3:$B$5001,$A$245,BD!$P$3:$P$5001,"&lt;&gt;")=0,"",SUMIFS(BD!$P$3:$P$5001,BD!$A$3:$A$5001,X$3,BD!$B$3:$B$5001,$A$245)))</f>
        <v/>
      </c>
      <c r="Y258" s="254" t="str">
        <f>IF(Y$3="","",IF(COUNTIFS(BD!$A$3:$A$5001,Y$3,BD!$B$3:$B$5001,$A$245,BD!$P$3:$P$5001,"&lt;&gt;")=0,"",SUMIFS(BD!$P$3:$P$5001,BD!$A$3:$A$5001,Y$3,BD!$B$3:$B$5001,$A$245)))</f>
        <v/>
      </c>
      <c r="Z258" s="254" t="str">
        <f>IF(Z$3="","",IF(COUNTIFS(BD!$A$3:$A$5001,Z$3,BD!$B$3:$B$5001,$A$245,BD!$P$3:$P$5001,"&lt;&gt;")=0,"",SUMIFS(BD!$P$3:$P$5001,BD!$A$3:$A$5001,Z$3,BD!$B$3:$B$5001,$A$245)))</f>
        <v/>
      </c>
      <c r="AA258" s="254" t="str">
        <f>IF(AA$3="","",IF(COUNTIFS(BD!$A$3:$A$5001,AA$3,BD!$B$3:$B$5001,$A$245,BD!$P$3:$P$5001,"&lt;&gt;")=0,"",SUMIFS(BD!$P$3:$P$5001,BD!$A$3:$A$5001,AA$3,BD!$B$3:$B$5001,$A$245)))</f>
        <v/>
      </c>
      <c r="AB258" s="254" t="str">
        <f>IF(AB$3="","",IF(COUNTIFS(BD!$A$3:$A$5001,AB$3,BD!$B$3:$B$5001,$A$245,BD!$P$3:$P$5001,"&lt;&gt;")=0,"",SUMIFS(BD!$P$3:$P$5001,BD!$A$3:$A$5001,AB$3,BD!$B$3:$B$5001,$A$245)))</f>
        <v/>
      </c>
      <c r="AC258" s="254" t="str">
        <f>IF(AC$3="","",IF(COUNTIFS(BD!$A$3:$A$5001,AC$3,BD!$B$3:$B$5001,$A$245,BD!$P$3:$P$5001,"&lt;&gt;")=0,"",SUMIFS(BD!$P$3:$P$5001,BD!$A$3:$A$5001,AC$3,BD!$B$3:$B$5001,$A$245)))</f>
        <v/>
      </c>
      <c r="AD258" s="254" t="str">
        <f>IF(AD$3="","",IF(COUNTIFS(BD!$A$3:$A$5001,AD$3,BD!$B$3:$B$5001,$A$245,BD!$P$3:$P$5001,"&lt;&gt;")=0,"",SUMIFS(BD!$P$3:$P$5001,BD!$A$3:$A$5001,AD$3,BD!$B$3:$B$5001,$A$245)))</f>
        <v/>
      </c>
      <c r="AE258" s="254" t="str">
        <f>IF(AE$3="","",IF(COUNTIFS(BD!$A$3:$A$5001,AE$3,BD!$B$3:$B$5001,$A$245,BD!$P$3:$P$5001,"&lt;&gt;")=0,"",SUMIFS(BD!$P$3:$P$5001,BD!$A$3:$A$5001,AE$3,BD!$B$3:$B$5001,$A$245)))</f>
        <v/>
      </c>
      <c r="AF258" s="254" t="str">
        <f>IF(AF$3="","",IF(COUNTIFS(BD!$A$3:$A$5001,AF$3,BD!$B$3:$B$5001,$A$245,BD!$P$3:$P$5001,"&lt;&gt;")=0,"",SUMIFS(BD!$P$3:$P$5001,BD!$A$3:$A$5001,AF$3,BD!$B$3:$B$5001,$A$245)))</f>
        <v/>
      </c>
      <c r="AG258" s="254" t="str">
        <f>IF(AG$3="","",IF(COUNTIFS(BD!$A$3:$A$5001,AG$3,BD!$B$3:$B$5001,$A$245,BD!$P$3:$P$5001,"&lt;&gt;")=0,"",SUMIFS(BD!$P$3:$P$5001,BD!$A$3:$A$5001,AG$3,BD!$B$3:$B$5001,$A$245)))</f>
        <v/>
      </c>
      <c r="AH258" s="254" t="str">
        <f>IF(AH$3="","",IF(COUNTIFS(BD!$A$3:$A$5001,AH$3,BD!$B$3:$B$5001,$A$245,BD!$P$3:$P$5001,"&lt;&gt;")=0,"",SUMIFS(BD!$P$3:$P$5001,BD!$A$3:$A$5001,AH$3,BD!$B$3:$B$5001,$A$245)))</f>
        <v/>
      </c>
      <c r="AI258" s="254" t="str">
        <f>IF(AI$3="","",IF(COUNTIFS(BD!$A$3:$A$5001,AI$3,BD!$B$3:$B$5001,$A$245,BD!$P$3:$P$5001,"&lt;&gt;")=0,"",SUMIFS(BD!$P$3:$P$5001,BD!$A$3:$A$5001,AI$3,BD!$B$3:$B$5001,$A$245)))</f>
        <v/>
      </c>
      <c r="AJ258" s="255" t="str">
        <f>IF(AJ$3="","",IF(COUNTIFS(BD!$A$3:$A$5001,AJ$3,BD!$B$3:$B$5001,$A$245,BD!$P$3:$P$5001,"&lt;&gt;")=0,"",SUMIFS(BD!$P$3:$P$5001,BD!$A$3:$A$5001,AJ$3,BD!$B$3:$B$5001,$A$245)))</f>
        <v/>
      </c>
      <c r="AK258" s="256" t="str">
        <f>IF(COUNT(F258:AJ258)=0,"",SUM(F258:AJ258))</f>
        <v/>
      </c>
    </row>
    <row r="259" ht="15.75" customHeight="1" hidden="1">
      <c r="A259" s="244"/>
      <c r="B259" s="261"/>
      <c r="C259" s="250" t="inlineStr">
        <is>
          <t xml:space="preserve">Caixas Expedidas</t>
        </is>
      </c>
      <c r="D259" s="251" t="str">
        <f>IFERROR(1/(1/INDEX(BD!$AJ$37:$BD$37,MATCH($A$245,BD!$AJ$22:$BD$22,0))),"")</f>
        <v/>
      </c>
      <c r="E259" s="252"/>
      <c r="F259" s="253" t="str">
        <f>IF(F$3="","",IF(COUNTIFS(BD!$A$3:$A$5001,F$3,BD!$B$3:$B$5001,$A$245,BD!$Q$3:$Q$5001,"&lt;&gt;")=0,"",SUMIFS(BD!$Q$3:$Q$5001,BD!$A$3:$A$5001,F$3,BD!$B$3:$B$5001,$A$245)))</f>
        <v/>
      </c>
      <c r="G259" s="254" t="str">
        <f>IF(G$3="","",IF(COUNTIFS(BD!$A$3:$A$5001,G$3,BD!$B$3:$B$5001,$A$245,BD!$Q$3:$Q$5001,"&lt;&gt;")=0,"",SUMIFS(BD!$Q$3:$Q$5001,BD!$A$3:$A$5001,G$3,BD!$B$3:$B$5001,$A$245)))</f>
        <v/>
      </c>
      <c r="H259" s="254" t="str">
        <f>IF(H$3="","",IF(COUNTIFS(BD!$A$3:$A$5001,H$3,BD!$B$3:$B$5001,$A$245,BD!$Q$3:$Q$5001,"&lt;&gt;")=0,"",SUMIFS(BD!$Q$3:$Q$5001,BD!$A$3:$A$5001,H$3,BD!$B$3:$B$5001,$A$245)))</f>
        <v/>
      </c>
      <c r="I259" s="254" t="str">
        <f>IF(I$3="","",IF(COUNTIFS(BD!$A$3:$A$5001,I$3,BD!$B$3:$B$5001,$A$245,BD!$Q$3:$Q$5001,"&lt;&gt;")=0,"",SUMIFS(BD!$Q$3:$Q$5001,BD!$A$3:$A$5001,I$3,BD!$B$3:$B$5001,$A$245)))</f>
        <v/>
      </c>
      <c r="J259" s="254" t="str">
        <f>IF(J$3="","",IF(COUNTIFS(BD!$A$3:$A$5001,J$3,BD!$B$3:$B$5001,$A$245,BD!$Q$3:$Q$5001,"&lt;&gt;")=0,"",SUMIFS(BD!$Q$3:$Q$5001,BD!$A$3:$A$5001,J$3,BD!$B$3:$B$5001,$A$245)))</f>
        <v/>
      </c>
      <c r="K259" s="254" t="str">
        <f>IF(K$3="","",IF(COUNTIFS(BD!$A$3:$A$5001,K$3,BD!$B$3:$B$5001,$A$245,BD!$Q$3:$Q$5001,"&lt;&gt;")=0,"",SUMIFS(BD!$Q$3:$Q$5001,BD!$A$3:$A$5001,K$3,BD!$B$3:$B$5001,$A$245)))</f>
        <v/>
      </c>
      <c r="L259" s="254" t="str">
        <f>IF(L$3="","",IF(COUNTIFS(BD!$A$3:$A$5001,L$3,BD!$B$3:$B$5001,$A$245,BD!$Q$3:$Q$5001,"&lt;&gt;")=0,"",SUMIFS(BD!$Q$3:$Q$5001,BD!$A$3:$A$5001,L$3,BD!$B$3:$B$5001,$A$245)))</f>
        <v/>
      </c>
      <c r="M259" s="254" t="str">
        <f>IF(M$3="","",IF(COUNTIFS(BD!$A$3:$A$5001,M$3,BD!$B$3:$B$5001,$A$245,BD!$Q$3:$Q$5001,"&lt;&gt;")=0,"",SUMIFS(BD!$Q$3:$Q$5001,BD!$A$3:$A$5001,M$3,BD!$B$3:$B$5001,$A$245)))</f>
        <v/>
      </c>
      <c r="N259" s="254" t="str">
        <f>IF(N$3="","",IF(COUNTIFS(BD!$A$3:$A$5001,N$3,BD!$B$3:$B$5001,$A$245,BD!$Q$3:$Q$5001,"&lt;&gt;")=0,"",SUMIFS(BD!$Q$3:$Q$5001,BD!$A$3:$A$5001,N$3,BD!$B$3:$B$5001,$A$245)))</f>
        <v/>
      </c>
      <c r="O259" s="254" t="str">
        <f>IF(O$3="","",IF(COUNTIFS(BD!$A$3:$A$5001,O$3,BD!$B$3:$B$5001,$A$245,BD!$Q$3:$Q$5001,"&lt;&gt;")=0,"",SUMIFS(BD!$Q$3:$Q$5001,BD!$A$3:$A$5001,O$3,BD!$B$3:$B$5001,$A$245)))</f>
        <v/>
      </c>
      <c r="P259" s="254" t="str">
        <f>IF(P$3="","",IF(COUNTIFS(BD!$A$3:$A$5001,P$3,BD!$B$3:$B$5001,$A$245,BD!$Q$3:$Q$5001,"&lt;&gt;")=0,"",SUMIFS(BD!$Q$3:$Q$5001,BD!$A$3:$A$5001,P$3,BD!$B$3:$B$5001,$A$245)))</f>
        <v/>
      </c>
      <c r="Q259" s="254" t="str">
        <f>IF(Q$3="","",IF(COUNTIFS(BD!$A$3:$A$5001,Q$3,BD!$B$3:$B$5001,$A$245,BD!$Q$3:$Q$5001,"&lt;&gt;")=0,"",SUMIFS(BD!$Q$3:$Q$5001,BD!$A$3:$A$5001,Q$3,BD!$B$3:$B$5001,$A$245)))</f>
        <v/>
      </c>
      <c r="R259" s="254" t="str">
        <f>IF(R$3="","",IF(COUNTIFS(BD!$A$3:$A$5001,R$3,BD!$B$3:$B$5001,$A$245,BD!$Q$3:$Q$5001,"&lt;&gt;")=0,"",SUMIFS(BD!$Q$3:$Q$5001,BD!$A$3:$A$5001,R$3,BD!$B$3:$B$5001,$A$245)))</f>
        <v/>
      </c>
      <c r="S259" s="254" t="str">
        <f>IF(S$3="","",IF(COUNTIFS(BD!$A$3:$A$5001,S$3,BD!$B$3:$B$5001,$A$245,BD!$Q$3:$Q$5001,"&lt;&gt;")=0,"",SUMIFS(BD!$Q$3:$Q$5001,BD!$A$3:$A$5001,S$3,BD!$B$3:$B$5001,$A$245)))</f>
        <v/>
      </c>
      <c r="T259" s="254" t="str">
        <f>IF(T$3="","",IF(COUNTIFS(BD!$A$3:$A$5001,T$3,BD!$B$3:$B$5001,$A$245,BD!$Q$3:$Q$5001,"&lt;&gt;")=0,"",SUMIFS(BD!$Q$3:$Q$5001,BD!$A$3:$A$5001,T$3,BD!$B$3:$B$5001,$A$245)))</f>
        <v/>
      </c>
      <c r="U259" s="254" t="str">
        <f>IF(U$3="","",IF(COUNTIFS(BD!$A$3:$A$5001,U$3,BD!$B$3:$B$5001,$A$245,BD!$Q$3:$Q$5001,"&lt;&gt;")=0,"",SUMIFS(BD!$Q$3:$Q$5001,BD!$A$3:$A$5001,U$3,BD!$B$3:$B$5001,$A$245)))</f>
        <v/>
      </c>
      <c r="V259" s="254" t="str">
        <f>IF(V$3="","",IF(COUNTIFS(BD!$A$3:$A$5001,V$3,BD!$B$3:$B$5001,$A$245,BD!$Q$3:$Q$5001,"&lt;&gt;")=0,"",SUMIFS(BD!$Q$3:$Q$5001,BD!$A$3:$A$5001,V$3,BD!$B$3:$B$5001,$A$245)))</f>
        <v/>
      </c>
      <c r="W259" s="254" t="str">
        <f>IF(W$3="","",IF(COUNTIFS(BD!$A$3:$A$5001,W$3,BD!$B$3:$B$5001,$A$245,BD!$Q$3:$Q$5001,"&lt;&gt;")=0,"",SUMIFS(BD!$Q$3:$Q$5001,BD!$A$3:$A$5001,W$3,BD!$B$3:$B$5001,$A$245)))</f>
        <v/>
      </c>
      <c r="X259" s="254" t="str">
        <f>IF(X$3="","",IF(COUNTIFS(BD!$A$3:$A$5001,X$3,BD!$B$3:$B$5001,$A$245,BD!$Q$3:$Q$5001,"&lt;&gt;")=0,"",SUMIFS(BD!$Q$3:$Q$5001,BD!$A$3:$A$5001,X$3,BD!$B$3:$B$5001,$A$245)))</f>
        <v/>
      </c>
      <c r="Y259" s="254" t="str">
        <f>IF(Y$3="","",IF(COUNTIFS(BD!$A$3:$A$5001,Y$3,BD!$B$3:$B$5001,$A$245,BD!$Q$3:$Q$5001,"&lt;&gt;")=0,"",SUMIFS(BD!$Q$3:$Q$5001,BD!$A$3:$A$5001,Y$3,BD!$B$3:$B$5001,$A$245)))</f>
        <v/>
      </c>
      <c r="Z259" s="254" t="str">
        <f>IF(Z$3="","",IF(COUNTIFS(BD!$A$3:$A$5001,Z$3,BD!$B$3:$B$5001,$A$245,BD!$Q$3:$Q$5001,"&lt;&gt;")=0,"",SUMIFS(BD!$Q$3:$Q$5001,BD!$A$3:$A$5001,Z$3,BD!$B$3:$B$5001,$A$245)))</f>
        <v/>
      </c>
      <c r="AA259" s="254" t="str">
        <f>IF(AA$3="","",IF(COUNTIFS(BD!$A$3:$A$5001,AA$3,BD!$B$3:$B$5001,$A$245,BD!$Q$3:$Q$5001,"&lt;&gt;")=0,"",SUMIFS(BD!$Q$3:$Q$5001,BD!$A$3:$A$5001,AA$3,BD!$B$3:$B$5001,$A$245)))</f>
        <v/>
      </c>
      <c r="AB259" s="254" t="str">
        <f>IF(AB$3="","",IF(COUNTIFS(BD!$A$3:$A$5001,AB$3,BD!$B$3:$B$5001,$A$245,BD!$Q$3:$Q$5001,"&lt;&gt;")=0,"",SUMIFS(BD!$Q$3:$Q$5001,BD!$A$3:$A$5001,AB$3,BD!$B$3:$B$5001,$A$245)))</f>
        <v/>
      </c>
      <c r="AC259" s="254" t="str">
        <f>IF(AC$3="","",IF(COUNTIFS(BD!$A$3:$A$5001,AC$3,BD!$B$3:$B$5001,$A$245,BD!$Q$3:$Q$5001,"&lt;&gt;")=0,"",SUMIFS(BD!$Q$3:$Q$5001,BD!$A$3:$A$5001,AC$3,BD!$B$3:$B$5001,$A$245)))</f>
        <v/>
      </c>
      <c r="AD259" s="254" t="str">
        <f>IF(AD$3="","",IF(COUNTIFS(BD!$A$3:$A$5001,AD$3,BD!$B$3:$B$5001,$A$245,BD!$Q$3:$Q$5001,"&lt;&gt;")=0,"",SUMIFS(BD!$Q$3:$Q$5001,BD!$A$3:$A$5001,AD$3,BD!$B$3:$B$5001,$A$245)))</f>
        <v/>
      </c>
      <c r="AE259" s="254" t="str">
        <f>IF(AE$3="","",IF(COUNTIFS(BD!$A$3:$A$5001,AE$3,BD!$B$3:$B$5001,$A$245,BD!$Q$3:$Q$5001,"&lt;&gt;")=0,"",SUMIFS(BD!$Q$3:$Q$5001,BD!$A$3:$A$5001,AE$3,BD!$B$3:$B$5001,$A$245)))</f>
        <v/>
      </c>
      <c r="AF259" s="254" t="str">
        <f>IF(AF$3="","",IF(COUNTIFS(BD!$A$3:$A$5001,AF$3,BD!$B$3:$B$5001,$A$245,BD!$Q$3:$Q$5001,"&lt;&gt;")=0,"",SUMIFS(BD!$Q$3:$Q$5001,BD!$A$3:$A$5001,AF$3,BD!$B$3:$B$5001,$A$245)))</f>
        <v/>
      </c>
      <c r="AG259" s="254" t="str">
        <f>IF(AG$3="","",IF(COUNTIFS(BD!$A$3:$A$5001,AG$3,BD!$B$3:$B$5001,$A$245,BD!$Q$3:$Q$5001,"&lt;&gt;")=0,"",SUMIFS(BD!$Q$3:$Q$5001,BD!$A$3:$A$5001,AG$3,BD!$B$3:$B$5001,$A$245)))</f>
        <v/>
      </c>
      <c r="AH259" s="254" t="str">
        <f>IF(AH$3="","",IF(COUNTIFS(BD!$A$3:$A$5001,AH$3,BD!$B$3:$B$5001,$A$245,BD!$Q$3:$Q$5001,"&lt;&gt;")=0,"",SUMIFS(BD!$Q$3:$Q$5001,BD!$A$3:$A$5001,AH$3,BD!$B$3:$B$5001,$A$245)))</f>
        <v/>
      </c>
      <c r="AI259" s="254" t="str">
        <f>IF(AI$3="","",IF(COUNTIFS(BD!$A$3:$A$5001,AI$3,BD!$B$3:$B$5001,$A$245,BD!$Q$3:$Q$5001,"&lt;&gt;")=0,"",SUMIFS(BD!$Q$3:$Q$5001,BD!$A$3:$A$5001,AI$3,BD!$B$3:$B$5001,$A$245)))</f>
        <v/>
      </c>
      <c r="AJ259" s="255" t="str">
        <f>IF(AJ$3="","",IF(COUNTIFS(BD!$A$3:$A$5001,AJ$3,BD!$B$3:$B$5001,$A$245,BD!$Q$3:$Q$5001,"&lt;&gt;")=0,"",SUMIFS(BD!$Q$3:$Q$5001,BD!$A$3:$A$5001,AJ$3,BD!$B$3:$B$5001,$A$245)))</f>
        <v/>
      </c>
      <c r="AK259" s="256" t="str">
        <f>IF(COUNT(F259:AJ259)=0,"",SUM(F259:AJ259))</f>
        <v/>
      </c>
    </row>
    <row r="260" ht="15.75" customHeight="1" hidden="1">
      <c r="A260" s="244"/>
      <c r="B260" s="261"/>
      <c r="C260" s="250" t="inlineStr">
        <is>
          <t xml:space="preserve">Pallets Movimentados</t>
        </is>
      </c>
      <c r="D260" s="251" t="str">
        <f>IFERROR(1/(1/INDEX(BD!$AJ$38:$BD$38,MATCH($A$245,BD!$AJ$22:$BD$22,0))),"")</f>
        <v/>
      </c>
      <c r="E260" s="252"/>
      <c r="F260" s="253" t="str">
        <f>IF(F$3="","",IF(COUNTIFS(BD!$A$3:$A$5001,F$3,BD!$B$3:$B$5001,$A$245,BD!$R$3:$R$5001,"&lt;&gt;")=0,"",SUMIFS(BD!$R$3:$R$5001,BD!$A$3:$A$5001,F$3,BD!$B$3:$B$5001,$A$245)))</f>
        <v/>
      </c>
      <c r="G260" s="254" t="str">
        <f>IF(G$3="","",IF(COUNTIFS(BD!$A$3:$A$5001,G$3,BD!$B$3:$B$5001,$A$245,BD!$R$3:$R$5001,"&lt;&gt;")=0,"",SUMIFS(BD!$R$3:$R$5001,BD!$A$3:$A$5001,G$3,BD!$B$3:$B$5001,$A$245)))</f>
        <v/>
      </c>
      <c r="H260" s="254" t="str">
        <f>IF(H$3="","",IF(COUNTIFS(BD!$A$3:$A$5001,H$3,BD!$B$3:$B$5001,$A$245,BD!$R$3:$R$5001,"&lt;&gt;")=0,"",SUMIFS(BD!$R$3:$R$5001,BD!$A$3:$A$5001,H$3,BD!$B$3:$B$5001,$A$245)))</f>
        <v/>
      </c>
      <c r="I260" s="254" t="str">
        <f>IF(I$3="","",IF(COUNTIFS(BD!$A$3:$A$5001,I$3,BD!$B$3:$B$5001,$A$245,BD!$R$3:$R$5001,"&lt;&gt;")=0,"",SUMIFS(BD!$R$3:$R$5001,BD!$A$3:$A$5001,I$3,BD!$B$3:$B$5001,$A$245)))</f>
        <v/>
      </c>
      <c r="J260" s="254" t="str">
        <f>IF(J$3="","",IF(COUNTIFS(BD!$A$3:$A$5001,J$3,BD!$B$3:$B$5001,$A$245,BD!$R$3:$R$5001,"&lt;&gt;")=0,"",SUMIFS(BD!$R$3:$R$5001,BD!$A$3:$A$5001,J$3,BD!$B$3:$B$5001,$A$245)))</f>
        <v/>
      </c>
      <c r="K260" s="254" t="str">
        <f>IF(K$3="","",IF(COUNTIFS(BD!$A$3:$A$5001,K$3,BD!$B$3:$B$5001,$A$245,BD!$R$3:$R$5001,"&lt;&gt;")=0,"",SUMIFS(BD!$R$3:$R$5001,BD!$A$3:$A$5001,K$3,BD!$B$3:$B$5001,$A$245)))</f>
        <v/>
      </c>
      <c r="L260" s="254" t="str">
        <f>IF(L$3="","",IF(COUNTIFS(BD!$A$3:$A$5001,L$3,BD!$B$3:$B$5001,$A$245,BD!$R$3:$R$5001,"&lt;&gt;")=0,"",SUMIFS(BD!$R$3:$R$5001,BD!$A$3:$A$5001,L$3,BD!$B$3:$B$5001,$A$245)))</f>
        <v/>
      </c>
      <c r="M260" s="254" t="str">
        <f>IF(M$3="","",IF(COUNTIFS(BD!$A$3:$A$5001,M$3,BD!$B$3:$B$5001,$A$245,BD!$R$3:$R$5001,"&lt;&gt;")=0,"",SUMIFS(BD!$R$3:$R$5001,BD!$A$3:$A$5001,M$3,BD!$B$3:$B$5001,$A$245)))</f>
        <v/>
      </c>
      <c r="N260" s="254" t="str">
        <f>IF(N$3="","",IF(COUNTIFS(BD!$A$3:$A$5001,N$3,BD!$B$3:$B$5001,$A$245,BD!$R$3:$R$5001,"&lt;&gt;")=0,"",SUMIFS(BD!$R$3:$R$5001,BD!$A$3:$A$5001,N$3,BD!$B$3:$B$5001,$A$245)))</f>
        <v/>
      </c>
      <c r="O260" s="254" t="str">
        <f>IF(O$3="","",IF(COUNTIFS(BD!$A$3:$A$5001,O$3,BD!$B$3:$B$5001,$A$245,BD!$R$3:$R$5001,"&lt;&gt;")=0,"",SUMIFS(BD!$R$3:$R$5001,BD!$A$3:$A$5001,O$3,BD!$B$3:$B$5001,$A$245)))</f>
        <v/>
      </c>
      <c r="P260" s="254" t="str">
        <f>IF(P$3="","",IF(COUNTIFS(BD!$A$3:$A$5001,P$3,BD!$B$3:$B$5001,$A$245,BD!$R$3:$R$5001,"&lt;&gt;")=0,"",SUMIFS(BD!$R$3:$R$5001,BD!$A$3:$A$5001,P$3,BD!$B$3:$B$5001,$A$245)))</f>
        <v/>
      </c>
      <c r="Q260" s="254" t="str">
        <f>IF(Q$3="","",IF(COUNTIFS(BD!$A$3:$A$5001,Q$3,BD!$B$3:$B$5001,$A$245,BD!$R$3:$R$5001,"&lt;&gt;")=0,"",SUMIFS(BD!$R$3:$R$5001,BD!$A$3:$A$5001,Q$3,BD!$B$3:$B$5001,$A$245)))</f>
        <v/>
      </c>
      <c r="R260" s="254" t="str">
        <f>IF(R$3="","",IF(COUNTIFS(BD!$A$3:$A$5001,R$3,BD!$B$3:$B$5001,$A$245,BD!$R$3:$R$5001,"&lt;&gt;")=0,"",SUMIFS(BD!$R$3:$R$5001,BD!$A$3:$A$5001,R$3,BD!$B$3:$B$5001,$A$245)))</f>
        <v/>
      </c>
      <c r="S260" s="254" t="str">
        <f>IF(S$3="","",IF(COUNTIFS(BD!$A$3:$A$5001,S$3,BD!$B$3:$B$5001,$A$245,BD!$R$3:$R$5001,"&lt;&gt;")=0,"",SUMIFS(BD!$R$3:$R$5001,BD!$A$3:$A$5001,S$3,BD!$B$3:$B$5001,$A$245)))</f>
        <v/>
      </c>
      <c r="T260" s="254" t="str">
        <f>IF(T$3="","",IF(COUNTIFS(BD!$A$3:$A$5001,T$3,BD!$B$3:$B$5001,$A$245,BD!$R$3:$R$5001,"&lt;&gt;")=0,"",SUMIFS(BD!$R$3:$R$5001,BD!$A$3:$A$5001,T$3,BD!$B$3:$B$5001,$A$245)))</f>
        <v/>
      </c>
      <c r="U260" s="254" t="str">
        <f>IF(U$3="","",IF(COUNTIFS(BD!$A$3:$A$5001,U$3,BD!$B$3:$B$5001,$A$245,BD!$R$3:$R$5001,"&lt;&gt;")=0,"",SUMIFS(BD!$R$3:$R$5001,BD!$A$3:$A$5001,U$3,BD!$B$3:$B$5001,$A$245)))</f>
        <v/>
      </c>
      <c r="V260" s="254" t="str">
        <f>IF(V$3="","",IF(COUNTIFS(BD!$A$3:$A$5001,V$3,BD!$B$3:$B$5001,$A$245,BD!$R$3:$R$5001,"&lt;&gt;")=0,"",SUMIFS(BD!$R$3:$R$5001,BD!$A$3:$A$5001,V$3,BD!$B$3:$B$5001,$A$245)))</f>
        <v/>
      </c>
      <c r="W260" s="254" t="str">
        <f>IF(W$3="","",IF(COUNTIFS(BD!$A$3:$A$5001,W$3,BD!$B$3:$B$5001,$A$245,BD!$R$3:$R$5001,"&lt;&gt;")=0,"",SUMIFS(BD!$R$3:$R$5001,BD!$A$3:$A$5001,W$3,BD!$B$3:$B$5001,$A$245)))</f>
        <v/>
      </c>
      <c r="X260" s="254" t="str">
        <f>IF(X$3="","",IF(COUNTIFS(BD!$A$3:$A$5001,X$3,BD!$B$3:$B$5001,$A$245,BD!$R$3:$R$5001,"&lt;&gt;")=0,"",SUMIFS(BD!$R$3:$R$5001,BD!$A$3:$A$5001,X$3,BD!$B$3:$B$5001,$A$245)))</f>
        <v/>
      </c>
      <c r="Y260" s="254" t="str">
        <f>IF(Y$3="","",IF(COUNTIFS(BD!$A$3:$A$5001,Y$3,BD!$B$3:$B$5001,$A$245,BD!$R$3:$R$5001,"&lt;&gt;")=0,"",SUMIFS(BD!$R$3:$R$5001,BD!$A$3:$A$5001,Y$3,BD!$B$3:$B$5001,$A$245)))</f>
        <v/>
      </c>
      <c r="Z260" s="254" t="str">
        <f>IF(Z$3="","",IF(COUNTIFS(BD!$A$3:$A$5001,Z$3,BD!$B$3:$B$5001,$A$245,BD!$R$3:$R$5001,"&lt;&gt;")=0,"",SUMIFS(BD!$R$3:$R$5001,BD!$A$3:$A$5001,Z$3,BD!$B$3:$B$5001,$A$245)))</f>
        <v/>
      </c>
      <c r="AA260" s="254" t="str">
        <f>IF(AA$3="","",IF(COUNTIFS(BD!$A$3:$A$5001,AA$3,BD!$B$3:$B$5001,$A$245,BD!$R$3:$R$5001,"&lt;&gt;")=0,"",SUMIFS(BD!$R$3:$R$5001,BD!$A$3:$A$5001,AA$3,BD!$B$3:$B$5001,$A$245)))</f>
        <v/>
      </c>
      <c r="AB260" s="254" t="str">
        <f>IF(AB$3="","",IF(COUNTIFS(BD!$A$3:$A$5001,AB$3,BD!$B$3:$B$5001,$A$245,BD!$R$3:$R$5001,"&lt;&gt;")=0,"",SUMIFS(BD!$R$3:$R$5001,BD!$A$3:$A$5001,AB$3,BD!$B$3:$B$5001,$A$245)))</f>
        <v/>
      </c>
      <c r="AC260" s="254" t="str">
        <f>IF(AC$3="","",IF(COUNTIFS(BD!$A$3:$A$5001,AC$3,BD!$B$3:$B$5001,$A$245,BD!$R$3:$R$5001,"&lt;&gt;")=0,"",SUMIFS(BD!$R$3:$R$5001,BD!$A$3:$A$5001,AC$3,BD!$B$3:$B$5001,$A$245)))</f>
        <v/>
      </c>
      <c r="AD260" s="254" t="str">
        <f>IF(AD$3="","",IF(COUNTIFS(BD!$A$3:$A$5001,AD$3,BD!$B$3:$B$5001,$A$245,BD!$R$3:$R$5001,"&lt;&gt;")=0,"",SUMIFS(BD!$R$3:$R$5001,BD!$A$3:$A$5001,AD$3,BD!$B$3:$B$5001,$A$245)))</f>
        <v/>
      </c>
      <c r="AE260" s="254" t="str">
        <f>IF(AE$3="","",IF(COUNTIFS(BD!$A$3:$A$5001,AE$3,BD!$B$3:$B$5001,$A$245,BD!$R$3:$R$5001,"&lt;&gt;")=0,"",SUMIFS(BD!$R$3:$R$5001,BD!$A$3:$A$5001,AE$3,BD!$B$3:$B$5001,$A$245)))</f>
        <v/>
      </c>
      <c r="AF260" s="254" t="str">
        <f>IF(AF$3="","",IF(COUNTIFS(BD!$A$3:$A$5001,AF$3,BD!$B$3:$B$5001,$A$245,BD!$R$3:$R$5001,"&lt;&gt;")=0,"",SUMIFS(BD!$R$3:$R$5001,BD!$A$3:$A$5001,AF$3,BD!$B$3:$B$5001,$A$245)))</f>
        <v/>
      </c>
      <c r="AG260" s="254" t="str">
        <f>IF(AG$3="","",IF(COUNTIFS(BD!$A$3:$A$5001,AG$3,BD!$B$3:$B$5001,$A$245,BD!$R$3:$R$5001,"&lt;&gt;")=0,"",SUMIFS(BD!$R$3:$R$5001,BD!$A$3:$A$5001,AG$3,BD!$B$3:$B$5001,$A$245)))</f>
        <v/>
      </c>
      <c r="AH260" s="254" t="str">
        <f>IF(AH$3="","",IF(COUNTIFS(BD!$A$3:$A$5001,AH$3,BD!$B$3:$B$5001,$A$245,BD!$R$3:$R$5001,"&lt;&gt;")=0,"",SUMIFS(BD!$R$3:$R$5001,BD!$A$3:$A$5001,AH$3,BD!$B$3:$B$5001,$A$245)))</f>
        <v/>
      </c>
      <c r="AI260" s="254" t="str">
        <f>IF(AI$3="","",IF(COUNTIFS(BD!$A$3:$A$5001,AI$3,BD!$B$3:$B$5001,$A$245,BD!$R$3:$R$5001,"&lt;&gt;")=0,"",SUMIFS(BD!$R$3:$R$5001,BD!$A$3:$A$5001,AI$3,BD!$B$3:$B$5001,$A$245)))</f>
        <v/>
      </c>
      <c r="AJ260" s="255" t="str">
        <f>IF(AJ$3="","",IF(COUNTIFS(BD!$A$3:$A$5001,AJ$3,BD!$B$3:$B$5001,$A$245,BD!$R$3:$R$5001,"&lt;&gt;")=0,"",SUMIFS(BD!$R$3:$R$5001,BD!$A$3:$A$5001,AJ$3,BD!$B$3:$B$5001,$A$245)))</f>
        <v/>
      </c>
      <c r="AK260" s="256" t="str">
        <f>IF(COUNT(F260:AJ260)=0,"",SUM(F260:AJ260))</f>
        <v/>
      </c>
    </row>
    <row r="261" ht="15.75" customHeight="1" hidden="1">
      <c r="A261" s="244"/>
      <c r="B261" s="235"/>
      <c r="C261" s="175" t="inlineStr">
        <is>
          <t xml:space="preserve">Toneladas Movimentadas</t>
        </is>
      </c>
      <c r="D261" s="176" t="str">
        <f>IFERROR(1/(1/INDEX(BD!$AJ$39:$BD$39,MATCH($A$245,BD!$AJ$22:$BD$22,0))),"")</f>
        <v/>
      </c>
      <c r="E261" s="177"/>
      <c r="F261" s="257" t="str">
        <f>IF(F$3="","",IF(COUNTIFS(BD!$A$3:$A$5001,F$3,BD!$B$3:$B$5001,$A$245,BD!$S$3:$S$5001,"&lt;&gt;")=0,"",SUMIFS(BD!$S$3:$S$5001,BD!$A$3:$A$5001,F$3,BD!$B$3:$B$5001,$A$245)))</f>
        <v/>
      </c>
      <c r="G261" s="258" t="str">
        <f>IF(G$3="","",IF(COUNTIFS(BD!$A$3:$A$5001,G$3,BD!$B$3:$B$5001,$A$245,BD!$S$3:$S$5001,"&lt;&gt;")=0,"",SUMIFS(BD!$S$3:$S$5001,BD!$A$3:$A$5001,G$3,BD!$B$3:$B$5001,$A$245)))</f>
        <v/>
      </c>
      <c r="H261" s="258" t="str">
        <f>IF(H$3="","",IF(COUNTIFS(BD!$A$3:$A$5001,H$3,BD!$B$3:$B$5001,$A$245,BD!$S$3:$S$5001,"&lt;&gt;")=0,"",SUMIFS(BD!$S$3:$S$5001,BD!$A$3:$A$5001,H$3,BD!$B$3:$B$5001,$A$245)))</f>
        <v/>
      </c>
      <c r="I261" s="258" t="str">
        <f>IF(I$3="","",IF(COUNTIFS(BD!$A$3:$A$5001,I$3,BD!$B$3:$B$5001,$A$245,BD!$S$3:$S$5001,"&lt;&gt;")=0,"",SUMIFS(BD!$S$3:$S$5001,BD!$A$3:$A$5001,I$3,BD!$B$3:$B$5001,$A$245)))</f>
        <v/>
      </c>
      <c r="J261" s="258" t="str">
        <f>IF(J$3="","",IF(COUNTIFS(BD!$A$3:$A$5001,J$3,BD!$B$3:$B$5001,$A$245,BD!$S$3:$S$5001,"&lt;&gt;")=0,"",SUMIFS(BD!$S$3:$S$5001,BD!$A$3:$A$5001,J$3,BD!$B$3:$B$5001,$A$245)))</f>
        <v/>
      </c>
      <c r="K261" s="258" t="str">
        <f>IF(K$3="","",IF(COUNTIFS(BD!$A$3:$A$5001,K$3,BD!$B$3:$B$5001,$A$245,BD!$S$3:$S$5001,"&lt;&gt;")=0,"",SUMIFS(BD!$S$3:$S$5001,BD!$A$3:$A$5001,K$3,BD!$B$3:$B$5001,$A$245)))</f>
        <v/>
      </c>
      <c r="L261" s="258" t="str">
        <f>IF(L$3="","",IF(COUNTIFS(BD!$A$3:$A$5001,L$3,BD!$B$3:$B$5001,$A$245,BD!$S$3:$S$5001,"&lt;&gt;")=0,"",SUMIFS(BD!$S$3:$S$5001,BD!$A$3:$A$5001,L$3,BD!$B$3:$B$5001,$A$245)))</f>
        <v/>
      </c>
      <c r="M261" s="258" t="str">
        <f>IF(M$3="","",IF(COUNTIFS(BD!$A$3:$A$5001,M$3,BD!$B$3:$B$5001,$A$245,BD!$S$3:$S$5001,"&lt;&gt;")=0,"",SUMIFS(BD!$S$3:$S$5001,BD!$A$3:$A$5001,M$3,BD!$B$3:$B$5001,$A$245)))</f>
        <v/>
      </c>
      <c r="N261" s="258" t="str">
        <f>IF(N$3="","",IF(COUNTIFS(BD!$A$3:$A$5001,N$3,BD!$B$3:$B$5001,$A$245,BD!$S$3:$S$5001,"&lt;&gt;")=0,"",SUMIFS(BD!$S$3:$S$5001,BD!$A$3:$A$5001,N$3,BD!$B$3:$B$5001,$A$245)))</f>
        <v/>
      </c>
      <c r="O261" s="258" t="str">
        <f>IF(O$3="","",IF(COUNTIFS(BD!$A$3:$A$5001,O$3,BD!$B$3:$B$5001,$A$245,BD!$S$3:$S$5001,"&lt;&gt;")=0,"",SUMIFS(BD!$S$3:$S$5001,BD!$A$3:$A$5001,O$3,BD!$B$3:$B$5001,$A$245)))</f>
        <v/>
      </c>
      <c r="P261" s="258" t="str">
        <f>IF(P$3="","",IF(COUNTIFS(BD!$A$3:$A$5001,P$3,BD!$B$3:$B$5001,$A$245,BD!$S$3:$S$5001,"&lt;&gt;")=0,"",SUMIFS(BD!$S$3:$S$5001,BD!$A$3:$A$5001,P$3,BD!$B$3:$B$5001,$A$245)))</f>
        <v/>
      </c>
      <c r="Q261" s="258" t="str">
        <f>IF(Q$3="","",IF(COUNTIFS(BD!$A$3:$A$5001,Q$3,BD!$B$3:$B$5001,$A$245,BD!$S$3:$S$5001,"&lt;&gt;")=0,"",SUMIFS(BD!$S$3:$S$5001,BD!$A$3:$A$5001,Q$3,BD!$B$3:$B$5001,$A$245)))</f>
        <v/>
      </c>
      <c r="R261" s="258" t="str">
        <f>IF(R$3="","",IF(COUNTIFS(BD!$A$3:$A$5001,R$3,BD!$B$3:$B$5001,$A$245,BD!$S$3:$S$5001,"&lt;&gt;")=0,"",SUMIFS(BD!$S$3:$S$5001,BD!$A$3:$A$5001,R$3,BD!$B$3:$B$5001,$A$245)))</f>
        <v/>
      </c>
      <c r="S261" s="258" t="str">
        <f>IF(S$3="","",IF(COUNTIFS(BD!$A$3:$A$5001,S$3,BD!$B$3:$B$5001,$A$245,BD!$S$3:$S$5001,"&lt;&gt;")=0,"",SUMIFS(BD!$S$3:$S$5001,BD!$A$3:$A$5001,S$3,BD!$B$3:$B$5001,$A$245)))</f>
        <v/>
      </c>
      <c r="T261" s="258" t="str">
        <f>IF(T$3="","",IF(COUNTIFS(BD!$A$3:$A$5001,T$3,BD!$B$3:$B$5001,$A$245,BD!$S$3:$S$5001,"&lt;&gt;")=0,"",SUMIFS(BD!$S$3:$S$5001,BD!$A$3:$A$5001,T$3,BD!$B$3:$B$5001,$A$245)))</f>
        <v/>
      </c>
      <c r="U261" s="258" t="str">
        <f>IF(U$3="","",IF(COUNTIFS(BD!$A$3:$A$5001,U$3,BD!$B$3:$B$5001,$A$245,BD!$S$3:$S$5001,"&lt;&gt;")=0,"",SUMIFS(BD!$S$3:$S$5001,BD!$A$3:$A$5001,U$3,BD!$B$3:$B$5001,$A$245)))</f>
        <v/>
      </c>
      <c r="V261" s="258" t="str">
        <f>IF(V$3="","",IF(COUNTIFS(BD!$A$3:$A$5001,V$3,BD!$B$3:$B$5001,$A$245,BD!$S$3:$S$5001,"&lt;&gt;")=0,"",SUMIFS(BD!$S$3:$S$5001,BD!$A$3:$A$5001,V$3,BD!$B$3:$B$5001,$A$245)))</f>
        <v/>
      </c>
      <c r="W261" s="258" t="str">
        <f>IF(W$3="","",IF(COUNTIFS(BD!$A$3:$A$5001,W$3,BD!$B$3:$B$5001,$A$245,BD!$S$3:$S$5001,"&lt;&gt;")=0,"",SUMIFS(BD!$S$3:$S$5001,BD!$A$3:$A$5001,W$3,BD!$B$3:$B$5001,$A$245)))</f>
        <v/>
      </c>
      <c r="X261" s="258" t="str">
        <f>IF(X$3="","",IF(COUNTIFS(BD!$A$3:$A$5001,X$3,BD!$B$3:$B$5001,$A$245,BD!$S$3:$S$5001,"&lt;&gt;")=0,"",SUMIFS(BD!$S$3:$S$5001,BD!$A$3:$A$5001,X$3,BD!$B$3:$B$5001,$A$245)))</f>
        <v/>
      </c>
      <c r="Y261" s="258" t="str">
        <f>IF(Y$3="","",IF(COUNTIFS(BD!$A$3:$A$5001,Y$3,BD!$B$3:$B$5001,$A$245,BD!$S$3:$S$5001,"&lt;&gt;")=0,"",SUMIFS(BD!$S$3:$S$5001,BD!$A$3:$A$5001,Y$3,BD!$B$3:$B$5001,$A$245)))</f>
        <v/>
      </c>
      <c r="Z261" s="258" t="str">
        <f>IF(Z$3="","",IF(COUNTIFS(BD!$A$3:$A$5001,Z$3,BD!$B$3:$B$5001,$A$245,BD!$S$3:$S$5001,"&lt;&gt;")=0,"",SUMIFS(BD!$S$3:$S$5001,BD!$A$3:$A$5001,Z$3,BD!$B$3:$B$5001,$A$245)))</f>
        <v/>
      </c>
      <c r="AA261" s="258" t="str">
        <f>IF(AA$3="","",IF(COUNTIFS(BD!$A$3:$A$5001,AA$3,BD!$B$3:$B$5001,$A$245,BD!$S$3:$S$5001,"&lt;&gt;")=0,"",SUMIFS(BD!$S$3:$S$5001,BD!$A$3:$A$5001,AA$3,BD!$B$3:$B$5001,$A$245)))</f>
        <v/>
      </c>
      <c r="AB261" s="258" t="str">
        <f>IF(AB$3="","",IF(COUNTIFS(BD!$A$3:$A$5001,AB$3,BD!$B$3:$B$5001,$A$245,BD!$S$3:$S$5001,"&lt;&gt;")=0,"",SUMIFS(BD!$S$3:$S$5001,BD!$A$3:$A$5001,AB$3,BD!$B$3:$B$5001,$A$245)))</f>
        <v/>
      </c>
      <c r="AC261" s="258" t="str">
        <f>IF(AC$3="","",IF(COUNTIFS(BD!$A$3:$A$5001,AC$3,BD!$B$3:$B$5001,$A$245,BD!$S$3:$S$5001,"&lt;&gt;")=0,"",SUMIFS(BD!$S$3:$S$5001,BD!$A$3:$A$5001,AC$3,BD!$B$3:$B$5001,$A$245)))</f>
        <v/>
      </c>
      <c r="AD261" s="258" t="str">
        <f>IF(AD$3="","",IF(COUNTIFS(BD!$A$3:$A$5001,AD$3,BD!$B$3:$B$5001,$A$245,BD!$S$3:$S$5001,"&lt;&gt;")=0,"",SUMIFS(BD!$S$3:$S$5001,BD!$A$3:$A$5001,AD$3,BD!$B$3:$B$5001,$A$245)))</f>
        <v/>
      </c>
      <c r="AE261" s="258" t="str">
        <f>IF(AE$3="","",IF(COUNTIFS(BD!$A$3:$A$5001,AE$3,BD!$B$3:$B$5001,$A$245,BD!$S$3:$S$5001,"&lt;&gt;")=0,"",SUMIFS(BD!$S$3:$S$5001,BD!$A$3:$A$5001,AE$3,BD!$B$3:$B$5001,$A$245)))</f>
        <v/>
      </c>
      <c r="AF261" s="258" t="str">
        <f>IF(AF$3="","",IF(COUNTIFS(BD!$A$3:$A$5001,AF$3,BD!$B$3:$B$5001,$A$245,BD!$S$3:$S$5001,"&lt;&gt;")=0,"",SUMIFS(BD!$S$3:$S$5001,BD!$A$3:$A$5001,AF$3,BD!$B$3:$B$5001,$A$245)))</f>
        <v/>
      </c>
      <c r="AG261" s="258" t="str">
        <f>IF(AG$3="","",IF(COUNTIFS(BD!$A$3:$A$5001,AG$3,BD!$B$3:$B$5001,$A$245,BD!$S$3:$S$5001,"&lt;&gt;")=0,"",SUMIFS(BD!$S$3:$S$5001,BD!$A$3:$A$5001,AG$3,BD!$B$3:$B$5001,$A$245)))</f>
        <v/>
      </c>
      <c r="AH261" s="258" t="str">
        <f>IF(AH$3="","",IF(COUNTIFS(BD!$A$3:$A$5001,AH$3,BD!$B$3:$B$5001,$A$245,BD!$S$3:$S$5001,"&lt;&gt;")=0,"",SUMIFS(BD!$S$3:$S$5001,BD!$A$3:$A$5001,AH$3,BD!$B$3:$B$5001,$A$245)))</f>
        <v/>
      </c>
      <c r="AI261" s="258" t="str">
        <f>IF(AI$3="","",IF(COUNTIFS(BD!$A$3:$A$5001,AI$3,BD!$B$3:$B$5001,$A$245,BD!$S$3:$S$5001,"&lt;&gt;")=0,"",SUMIFS(BD!$S$3:$S$5001,BD!$A$3:$A$5001,AI$3,BD!$B$3:$B$5001,$A$245)))</f>
        <v/>
      </c>
      <c r="AJ261" s="259" t="str">
        <f>IF(AJ$3="","",IF(COUNTIFS(BD!$A$3:$A$5001,AJ$3,BD!$B$3:$B$5001,$A$245,BD!$S$3:$S$5001,"&lt;&gt;")=0,"",SUMIFS(BD!$S$3:$S$5001,BD!$A$3:$A$5001,AJ$3,BD!$B$3:$B$5001,$A$245)))</f>
        <v/>
      </c>
      <c r="AK261" s="260" t="str">
        <f>IF(COUNT(F261:AJ261)=0,"",SUM(F261:AJ261))</f>
        <v/>
      </c>
    </row>
    <row r="262" ht="15.75" customHeight="1" hidden="1">
      <c r="A262" s="244"/>
      <c r="B262" s="236" t="inlineStr">
        <is>
          <t xml:space="preserve">NC</t>
        </is>
      </c>
      <c r="C262" s="181" t="inlineStr">
        <is>
          <t xml:space="preserve">Incidentes</t>
        </is>
      </c>
      <c r="D262" s="182" t="str">
        <f>IFERROR(1/(1/INDEX(BD!$AJ$40:$BD$40,MATCH($A$245,BD!$AJ$22:$BD$22,0))),"")</f>
        <v/>
      </c>
      <c r="E262" s="183"/>
      <c r="F262" s="184" t="str">
        <f>IF(F$3="","",IF(COUNTIFS(BD!$A$3:$A$5001,F$3,BD!$B$3:$B$5001,$A$245,BD!$T$3:$T$5001,"&lt;&gt;")=0,"",SUMIFS(BD!$T$3:$T$5001,BD!$A$3:$A$5001,F$3,BD!$B$3:$B$5001,$A$245)))</f>
        <v/>
      </c>
      <c r="G262" s="185" t="str">
        <f>IF(G$3="","",IF(COUNTIFS(BD!$A$3:$A$5001,G$3,BD!$B$3:$B$5001,$A$245,BD!$T$3:$T$5001,"&lt;&gt;")=0,"",SUMIFS(BD!$T$3:$T$5001,BD!$A$3:$A$5001,G$3,BD!$B$3:$B$5001,$A$245)))</f>
        <v/>
      </c>
      <c r="H262" s="185" t="str">
        <f>IF(H$3="","",IF(COUNTIFS(BD!$A$3:$A$5001,H$3,BD!$B$3:$B$5001,$A$245,BD!$T$3:$T$5001,"&lt;&gt;")=0,"",SUMIFS(BD!$T$3:$T$5001,BD!$A$3:$A$5001,H$3,BD!$B$3:$B$5001,$A$245)))</f>
        <v/>
      </c>
      <c r="I262" s="185" t="str">
        <f>IF(I$3="","",IF(COUNTIFS(BD!$A$3:$A$5001,I$3,BD!$B$3:$B$5001,$A$245,BD!$T$3:$T$5001,"&lt;&gt;")=0,"",SUMIFS(BD!$T$3:$T$5001,BD!$A$3:$A$5001,I$3,BD!$B$3:$B$5001,$A$245)))</f>
        <v/>
      </c>
      <c r="J262" s="185" t="str">
        <f>IF(J$3="","",IF(COUNTIFS(BD!$A$3:$A$5001,J$3,BD!$B$3:$B$5001,$A$245,BD!$T$3:$T$5001,"&lt;&gt;")=0,"",SUMIFS(BD!$T$3:$T$5001,BD!$A$3:$A$5001,J$3,BD!$B$3:$B$5001,$A$245)))</f>
        <v/>
      </c>
      <c r="K262" s="185" t="str">
        <f>IF(K$3="","",IF(COUNTIFS(BD!$A$3:$A$5001,K$3,BD!$B$3:$B$5001,$A$245,BD!$T$3:$T$5001,"&lt;&gt;")=0,"",SUMIFS(BD!$T$3:$T$5001,BD!$A$3:$A$5001,K$3,BD!$B$3:$B$5001,$A$245)))</f>
        <v/>
      </c>
      <c r="L262" s="185" t="str">
        <f>IF(L$3="","",IF(COUNTIFS(BD!$A$3:$A$5001,L$3,BD!$B$3:$B$5001,$A$245,BD!$T$3:$T$5001,"&lt;&gt;")=0,"",SUMIFS(BD!$T$3:$T$5001,BD!$A$3:$A$5001,L$3,BD!$B$3:$B$5001,$A$245)))</f>
        <v/>
      </c>
      <c r="M262" s="185" t="str">
        <f>IF(M$3="","",IF(COUNTIFS(BD!$A$3:$A$5001,M$3,BD!$B$3:$B$5001,$A$245,BD!$T$3:$T$5001,"&lt;&gt;")=0,"",SUMIFS(BD!$T$3:$T$5001,BD!$A$3:$A$5001,M$3,BD!$B$3:$B$5001,$A$245)))</f>
        <v/>
      </c>
      <c r="N262" s="185" t="str">
        <f>IF(N$3="","",IF(COUNTIFS(BD!$A$3:$A$5001,N$3,BD!$B$3:$B$5001,$A$245,BD!$T$3:$T$5001,"&lt;&gt;")=0,"",SUMIFS(BD!$T$3:$T$5001,BD!$A$3:$A$5001,N$3,BD!$B$3:$B$5001,$A$245)))</f>
        <v/>
      </c>
      <c r="O262" s="185" t="str">
        <f>IF(O$3="","",IF(COUNTIFS(BD!$A$3:$A$5001,O$3,BD!$B$3:$B$5001,$A$245,BD!$T$3:$T$5001,"&lt;&gt;")=0,"",SUMIFS(BD!$T$3:$T$5001,BD!$A$3:$A$5001,O$3,BD!$B$3:$B$5001,$A$245)))</f>
        <v/>
      </c>
      <c r="P262" s="185" t="str">
        <f>IF(P$3="","",IF(COUNTIFS(BD!$A$3:$A$5001,P$3,BD!$B$3:$B$5001,$A$245,BD!$T$3:$T$5001,"&lt;&gt;")=0,"",SUMIFS(BD!$T$3:$T$5001,BD!$A$3:$A$5001,P$3,BD!$B$3:$B$5001,$A$245)))</f>
        <v/>
      </c>
      <c r="Q262" s="185" t="str">
        <f>IF(Q$3="","",IF(COUNTIFS(BD!$A$3:$A$5001,Q$3,BD!$B$3:$B$5001,$A$245,BD!$T$3:$T$5001,"&lt;&gt;")=0,"",SUMIFS(BD!$T$3:$T$5001,BD!$A$3:$A$5001,Q$3,BD!$B$3:$B$5001,$A$245)))</f>
        <v/>
      </c>
      <c r="R262" s="185" t="str">
        <f>IF(R$3="","",IF(COUNTIFS(BD!$A$3:$A$5001,R$3,BD!$B$3:$B$5001,$A$245,BD!$T$3:$T$5001,"&lt;&gt;")=0,"",SUMIFS(BD!$T$3:$T$5001,BD!$A$3:$A$5001,R$3,BD!$B$3:$B$5001,$A$245)))</f>
        <v/>
      </c>
      <c r="S262" s="185" t="str">
        <f>IF(S$3="","",IF(COUNTIFS(BD!$A$3:$A$5001,S$3,BD!$B$3:$B$5001,$A$245,BD!$T$3:$T$5001,"&lt;&gt;")=0,"",SUMIFS(BD!$T$3:$T$5001,BD!$A$3:$A$5001,S$3,BD!$B$3:$B$5001,$A$245)))</f>
        <v/>
      </c>
      <c r="T262" s="185" t="str">
        <f>IF(T$3="","",IF(COUNTIFS(BD!$A$3:$A$5001,T$3,BD!$B$3:$B$5001,$A$245,BD!$T$3:$T$5001,"&lt;&gt;")=0,"",SUMIFS(BD!$T$3:$T$5001,BD!$A$3:$A$5001,T$3,BD!$B$3:$B$5001,$A$245)))</f>
        <v/>
      </c>
      <c r="U262" s="185" t="str">
        <f>IF(U$3="","",IF(COUNTIFS(BD!$A$3:$A$5001,U$3,BD!$B$3:$B$5001,$A$245,BD!$T$3:$T$5001,"&lt;&gt;")=0,"",SUMIFS(BD!$T$3:$T$5001,BD!$A$3:$A$5001,U$3,BD!$B$3:$B$5001,$A$245)))</f>
        <v/>
      </c>
      <c r="V262" s="185" t="str">
        <f>IF(V$3="","",IF(COUNTIFS(BD!$A$3:$A$5001,V$3,BD!$B$3:$B$5001,$A$245,BD!$T$3:$T$5001,"&lt;&gt;")=0,"",SUMIFS(BD!$T$3:$T$5001,BD!$A$3:$A$5001,V$3,BD!$B$3:$B$5001,$A$245)))</f>
        <v/>
      </c>
      <c r="W262" s="185" t="str">
        <f>IF(W$3="","",IF(COUNTIFS(BD!$A$3:$A$5001,W$3,BD!$B$3:$B$5001,$A$245,BD!$T$3:$T$5001,"&lt;&gt;")=0,"",SUMIFS(BD!$T$3:$T$5001,BD!$A$3:$A$5001,W$3,BD!$B$3:$B$5001,$A$245)))</f>
        <v/>
      </c>
      <c r="X262" s="185" t="str">
        <f>IF(X$3="","",IF(COUNTIFS(BD!$A$3:$A$5001,X$3,BD!$B$3:$B$5001,$A$245,BD!$T$3:$T$5001,"&lt;&gt;")=0,"",SUMIFS(BD!$T$3:$T$5001,BD!$A$3:$A$5001,X$3,BD!$B$3:$B$5001,$A$245)))</f>
        <v/>
      </c>
      <c r="Y262" s="185" t="str">
        <f>IF(Y$3="","",IF(COUNTIFS(BD!$A$3:$A$5001,Y$3,BD!$B$3:$B$5001,$A$245,BD!$T$3:$T$5001,"&lt;&gt;")=0,"",SUMIFS(BD!$T$3:$T$5001,BD!$A$3:$A$5001,Y$3,BD!$B$3:$B$5001,$A$245)))</f>
        <v/>
      </c>
      <c r="Z262" s="185" t="str">
        <f>IF(Z$3="","",IF(COUNTIFS(BD!$A$3:$A$5001,Z$3,BD!$B$3:$B$5001,$A$245,BD!$T$3:$T$5001,"&lt;&gt;")=0,"",SUMIFS(BD!$T$3:$T$5001,BD!$A$3:$A$5001,Z$3,BD!$B$3:$B$5001,$A$245)))</f>
        <v/>
      </c>
      <c r="AA262" s="185" t="str">
        <f>IF(AA$3="","",IF(COUNTIFS(BD!$A$3:$A$5001,AA$3,BD!$B$3:$B$5001,$A$245,BD!$T$3:$T$5001,"&lt;&gt;")=0,"",SUMIFS(BD!$T$3:$T$5001,BD!$A$3:$A$5001,AA$3,BD!$B$3:$B$5001,$A$245)))</f>
        <v/>
      </c>
      <c r="AB262" s="185" t="str">
        <f>IF(AB$3="","",IF(COUNTIFS(BD!$A$3:$A$5001,AB$3,BD!$B$3:$B$5001,$A$245,BD!$T$3:$T$5001,"&lt;&gt;")=0,"",SUMIFS(BD!$T$3:$T$5001,BD!$A$3:$A$5001,AB$3,BD!$B$3:$B$5001,$A$245)))</f>
        <v/>
      </c>
      <c r="AC262" s="185" t="str">
        <f>IF(AC$3="","",IF(COUNTIFS(BD!$A$3:$A$5001,AC$3,BD!$B$3:$B$5001,$A$245,BD!$T$3:$T$5001,"&lt;&gt;")=0,"",SUMIFS(BD!$T$3:$T$5001,BD!$A$3:$A$5001,AC$3,BD!$B$3:$B$5001,$A$245)))</f>
        <v/>
      </c>
      <c r="AD262" s="185" t="str">
        <f>IF(AD$3="","",IF(COUNTIFS(BD!$A$3:$A$5001,AD$3,BD!$B$3:$B$5001,$A$245,BD!$T$3:$T$5001,"&lt;&gt;")=0,"",SUMIFS(BD!$T$3:$T$5001,BD!$A$3:$A$5001,AD$3,BD!$B$3:$B$5001,$A$245)))</f>
        <v/>
      </c>
      <c r="AE262" s="185" t="str">
        <f>IF(AE$3="","",IF(COUNTIFS(BD!$A$3:$A$5001,AE$3,BD!$B$3:$B$5001,$A$245,BD!$T$3:$T$5001,"&lt;&gt;")=0,"",SUMIFS(BD!$T$3:$T$5001,BD!$A$3:$A$5001,AE$3,BD!$B$3:$B$5001,$A$245)))</f>
        <v/>
      </c>
      <c r="AF262" s="185" t="str">
        <f>IF(AF$3="","",IF(COUNTIFS(BD!$A$3:$A$5001,AF$3,BD!$B$3:$B$5001,$A$245,BD!$T$3:$T$5001,"&lt;&gt;")=0,"",SUMIFS(BD!$T$3:$T$5001,BD!$A$3:$A$5001,AF$3,BD!$B$3:$B$5001,$A$245)))</f>
        <v/>
      </c>
      <c r="AG262" s="185" t="str">
        <f>IF(AG$3="","",IF(COUNTIFS(BD!$A$3:$A$5001,AG$3,BD!$B$3:$B$5001,$A$245,BD!$T$3:$T$5001,"&lt;&gt;")=0,"",SUMIFS(BD!$T$3:$T$5001,BD!$A$3:$A$5001,AG$3,BD!$B$3:$B$5001,$A$245)))</f>
        <v/>
      </c>
      <c r="AH262" s="185" t="str">
        <f>IF(AH$3="","",IF(COUNTIFS(BD!$A$3:$A$5001,AH$3,BD!$B$3:$B$5001,$A$245,BD!$T$3:$T$5001,"&lt;&gt;")=0,"",SUMIFS(BD!$T$3:$T$5001,BD!$A$3:$A$5001,AH$3,BD!$B$3:$B$5001,$A$245)))</f>
        <v/>
      </c>
      <c r="AI262" s="185" t="str">
        <f>IF(AI$3="","",IF(COUNTIFS(BD!$A$3:$A$5001,AI$3,BD!$B$3:$B$5001,$A$245,BD!$T$3:$T$5001,"&lt;&gt;")=0,"",SUMIFS(BD!$T$3:$T$5001,BD!$A$3:$A$5001,AI$3,BD!$B$3:$B$5001,$A$245)))</f>
        <v/>
      </c>
      <c r="AJ262" s="186" t="str">
        <f>IF(AJ$3="","",IF(COUNTIFS(BD!$A$3:$A$5001,AJ$3,BD!$B$3:$B$5001,$A$245,BD!$T$3:$T$5001,"&lt;&gt;")=0,"",SUMIFS(BD!$T$3:$T$5001,BD!$A$3:$A$5001,AJ$3,BD!$B$3:$B$5001,$A$245)))</f>
        <v/>
      </c>
      <c r="AK262" s="187" t="str">
        <f>IF(COUNT(F262:AJ262)=0,"",SUM(F262:AJ262))</f>
        <v/>
      </c>
    </row>
    <row r="263" ht="15.75" customHeight="1" hidden="1">
      <c r="A263" s="244"/>
      <c r="B263" s="237"/>
      <c r="C263" s="188" t="inlineStr">
        <is>
          <t xml:space="preserve">No show</t>
        </is>
      </c>
      <c r="D263" s="189" t="str">
        <f>IFERROR(1/(1/INDEX(BD!$AJ$41:$BD$41,MATCH($A$245,BD!$AJ$22:$BD$22,0))),"")</f>
        <v/>
      </c>
      <c r="E263" s="190"/>
      <c r="F263" s="191" t="str">
        <f>IF(F$3="","",IF(COUNTIFS(BD!$A$3:$A$5001,F$3,BD!$B$3:$B$5001,$A$245,BD!$U$3:$U$5001,"&lt;&gt;")=0,"",SUMIFS(BD!$U$3:$U$5001,BD!$A$3:$A$5001,F$3,BD!$B$3:$B$5001,$A$245)))</f>
        <v/>
      </c>
      <c r="G263" s="192" t="str">
        <f>IF(G$3="","",IF(COUNTIFS(BD!$A$3:$A$5001,G$3,BD!$B$3:$B$5001,$A$245,BD!$U$3:$U$5001,"&lt;&gt;")=0,"",SUMIFS(BD!$U$3:$U$5001,BD!$A$3:$A$5001,G$3,BD!$B$3:$B$5001,$A$245)))</f>
        <v/>
      </c>
      <c r="H263" s="192" t="str">
        <f>IF(H$3="","",IF(COUNTIFS(BD!$A$3:$A$5001,H$3,BD!$B$3:$B$5001,$A$245,BD!$U$3:$U$5001,"&lt;&gt;")=0,"",SUMIFS(BD!$U$3:$U$5001,BD!$A$3:$A$5001,H$3,BD!$B$3:$B$5001,$A$245)))</f>
        <v/>
      </c>
      <c r="I263" s="192" t="str">
        <f>IF(I$3="","",IF(COUNTIFS(BD!$A$3:$A$5001,I$3,BD!$B$3:$B$5001,$A$245,BD!$U$3:$U$5001,"&lt;&gt;")=0,"",SUMIFS(BD!$U$3:$U$5001,BD!$A$3:$A$5001,I$3,BD!$B$3:$B$5001,$A$245)))</f>
        <v/>
      </c>
      <c r="J263" s="192" t="str">
        <f>IF(J$3="","",IF(COUNTIFS(BD!$A$3:$A$5001,J$3,BD!$B$3:$B$5001,$A$245,BD!$U$3:$U$5001,"&lt;&gt;")=0,"",SUMIFS(BD!$U$3:$U$5001,BD!$A$3:$A$5001,J$3,BD!$B$3:$B$5001,$A$245)))</f>
        <v/>
      </c>
      <c r="K263" s="192" t="str">
        <f>IF(K$3="","",IF(COUNTIFS(BD!$A$3:$A$5001,K$3,BD!$B$3:$B$5001,$A$245,BD!$U$3:$U$5001,"&lt;&gt;")=0,"",SUMIFS(BD!$U$3:$U$5001,BD!$A$3:$A$5001,K$3,BD!$B$3:$B$5001,$A$245)))</f>
        <v/>
      </c>
      <c r="L263" s="192" t="str">
        <f>IF(L$3="","",IF(COUNTIFS(BD!$A$3:$A$5001,L$3,BD!$B$3:$B$5001,$A$245,BD!$U$3:$U$5001,"&lt;&gt;")=0,"",SUMIFS(BD!$U$3:$U$5001,BD!$A$3:$A$5001,L$3,BD!$B$3:$B$5001,$A$245)))</f>
        <v/>
      </c>
      <c r="M263" s="192" t="str">
        <f>IF(M$3="","",IF(COUNTIFS(BD!$A$3:$A$5001,M$3,BD!$B$3:$B$5001,$A$245,BD!$U$3:$U$5001,"&lt;&gt;")=0,"",SUMIFS(BD!$U$3:$U$5001,BD!$A$3:$A$5001,M$3,BD!$B$3:$B$5001,$A$245)))</f>
        <v/>
      </c>
      <c r="N263" s="192" t="str">
        <f>IF(N$3="","",IF(COUNTIFS(BD!$A$3:$A$5001,N$3,BD!$B$3:$B$5001,$A$245,BD!$U$3:$U$5001,"&lt;&gt;")=0,"",SUMIFS(BD!$U$3:$U$5001,BD!$A$3:$A$5001,N$3,BD!$B$3:$B$5001,$A$245)))</f>
        <v/>
      </c>
      <c r="O263" s="192" t="str">
        <f>IF(O$3="","",IF(COUNTIFS(BD!$A$3:$A$5001,O$3,BD!$B$3:$B$5001,$A$245,BD!$U$3:$U$5001,"&lt;&gt;")=0,"",SUMIFS(BD!$U$3:$U$5001,BD!$A$3:$A$5001,O$3,BD!$B$3:$B$5001,$A$245)))</f>
        <v/>
      </c>
      <c r="P263" s="192" t="str">
        <f>IF(P$3="","",IF(COUNTIFS(BD!$A$3:$A$5001,P$3,BD!$B$3:$B$5001,$A$245,BD!$U$3:$U$5001,"&lt;&gt;")=0,"",SUMIFS(BD!$U$3:$U$5001,BD!$A$3:$A$5001,P$3,BD!$B$3:$B$5001,$A$245)))</f>
        <v/>
      </c>
      <c r="Q263" s="192" t="str">
        <f>IF(Q$3="","",IF(COUNTIFS(BD!$A$3:$A$5001,Q$3,BD!$B$3:$B$5001,$A$245,BD!$U$3:$U$5001,"&lt;&gt;")=0,"",SUMIFS(BD!$U$3:$U$5001,BD!$A$3:$A$5001,Q$3,BD!$B$3:$B$5001,$A$245)))</f>
        <v/>
      </c>
      <c r="R263" s="192" t="str">
        <f>IF(R$3="","",IF(COUNTIFS(BD!$A$3:$A$5001,R$3,BD!$B$3:$B$5001,$A$245,BD!$U$3:$U$5001,"&lt;&gt;")=0,"",SUMIFS(BD!$U$3:$U$5001,BD!$A$3:$A$5001,R$3,BD!$B$3:$B$5001,$A$245)))</f>
        <v/>
      </c>
      <c r="S263" s="192" t="str">
        <f>IF(S$3="","",IF(COUNTIFS(BD!$A$3:$A$5001,S$3,BD!$B$3:$B$5001,$A$245,BD!$U$3:$U$5001,"&lt;&gt;")=0,"",SUMIFS(BD!$U$3:$U$5001,BD!$A$3:$A$5001,S$3,BD!$B$3:$B$5001,$A$245)))</f>
        <v/>
      </c>
      <c r="T263" s="192" t="str">
        <f>IF(T$3="","",IF(COUNTIFS(BD!$A$3:$A$5001,T$3,BD!$B$3:$B$5001,$A$245,BD!$U$3:$U$5001,"&lt;&gt;")=0,"",SUMIFS(BD!$U$3:$U$5001,BD!$A$3:$A$5001,T$3,BD!$B$3:$B$5001,$A$245)))</f>
        <v/>
      </c>
      <c r="U263" s="192" t="str">
        <f>IF(U$3="","",IF(COUNTIFS(BD!$A$3:$A$5001,U$3,BD!$B$3:$B$5001,$A$245,BD!$U$3:$U$5001,"&lt;&gt;")=0,"",SUMIFS(BD!$U$3:$U$5001,BD!$A$3:$A$5001,U$3,BD!$B$3:$B$5001,$A$245)))</f>
        <v/>
      </c>
      <c r="V263" s="192" t="str">
        <f>IF(V$3="","",IF(COUNTIFS(BD!$A$3:$A$5001,V$3,BD!$B$3:$B$5001,$A$245,BD!$U$3:$U$5001,"&lt;&gt;")=0,"",SUMIFS(BD!$U$3:$U$5001,BD!$A$3:$A$5001,V$3,BD!$B$3:$B$5001,$A$245)))</f>
        <v/>
      </c>
      <c r="W263" s="192" t="str">
        <f>IF(W$3="","",IF(COUNTIFS(BD!$A$3:$A$5001,W$3,BD!$B$3:$B$5001,$A$245,BD!$U$3:$U$5001,"&lt;&gt;")=0,"",SUMIFS(BD!$U$3:$U$5001,BD!$A$3:$A$5001,W$3,BD!$B$3:$B$5001,$A$245)))</f>
        <v/>
      </c>
      <c r="X263" s="192" t="str">
        <f>IF(X$3="","",IF(COUNTIFS(BD!$A$3:$A$5001,X$3,BD!$B$3:$B$5001,$A$245,BD!$U$3:$U$5001,"&lt;&gt;")=0,"",SUMIFS(BD!$U$3:$U$5001,BD!$A$3:$A$5001,X$3,BD!$B$3:$B$5001,$A$245)))</f>
        <v/>
      </c>
      <c r="Y263" s="192" t="str">
        <f>IF(Y$3="","",IF(COUNTIFS(BD!$A$3:$A$5001,Y$3,BD!$B$3:$B$5001,$A$245,BD!$U$3:$U$5001,"&lt;&gt;")=0,"",SUMIFS(BD!$U$3:$U$5001,BD!$A$3:$A$5001,Y$3,BD!$B$3:$B$5001,$A$245)))</f>
        <v/>
      </c>
      <c r="Z263" s="192" t="str">
        <f>IF(Z$3="","",IF(COUNTIFS(BD!$A$3:$A$5001,Z$3,BD!$B$3:$B$5001,$A$245,BD!$U$3:$U$5001,"&lt;&gt;")=0,"",SUMIFS(BD!$U$3:$U$5001,BD!$A$3:$A$5001,Z$3,BD!$B$3:$B$5001,$A$245)))</f>
        <v/>
      </c>
      <c r="AA263" s="192" t="str">
        <f>IF(AA$3="","",IF(COUNTIFS(BD!$A$3:$A$5001,AA$3,BD!$B$3:$B$5001,$A$245,BD!$U$3:$U$5001,"&lt;&gt;")=0,"",SUMIFS(BD!$U$3:$U$5001,BD!$A$3:$A$5001,AA$3,BD!$B$3:$B$5001,$A$245)))</f>
        <v/>
      </c>
      <c r="AB263" s="192" t="str">
        <f>IF(AB$3="","",IF(COUNTIFS(BD!$A$3:$A$5001,AB$3,BD!$B$3:$B$5001,$A$245,BD!$U$3:$U$5001,"&lt;&gt;")=0,"",SUMIFS(BD!$U$3:$U$5001,BD!$A$3:$A$5001,AB$3,BD!$B$3:$B$5001,$A$245)))</f>
        <v/>
      </c>
      <c r="AC263" s="192" t="str">
        <f>IF(AC$3="","",IF(COUNTIFS(BD!$A$3:$A$5001,AC$3,BD!$B$3:$B$5001,$A$245,BD!$U$3:$U$5001,"&lt;&gt;")=0,"",SUMIFS(BD!$U$3:$U$5001,BD!$A$3:$A$5001,AC$3,BD!$B$3:$B$5001,$A$245)))</f>
        <v/>
      </c>
      <c r="AD263" s="192" t="str">
        <f>IF(AD$3="","",IF(COUNTIFS(BD!$A$3:$A$5001,AD$3,BD!$B$3:$B$5001,$A$245,BD!$U$3:$U$5001,"&lt;&gt;")=0,"",SUMIFS(BD!$U$3:$U$5001,BD!$A$3:$A$5001,AD$3,BD!$B$3:$B$5001,$A$245)))</f>
        <v/>
      </c>
      <c r="AE263" s="192" t="str">
        <f>IF(AE$3="","",IF(COUNTIFS(BD!$A$3:$A$5001,AE$3,BD!$B$3:$B$5001,$A$245,BD!$U$3:$U$5001,"&lt;&gt;")=0,"",SUMIFS(BD!$U$3:$U$5001,BD!$A$3:$A$5001,AE$3,BD!$B$3:$B$5001,$A$245)))</f>
        <v/>
      </c>
      <c r="AF263" s="192" t="str">
        <f>IF(AF$3="","",IF(COUNTIFS(BD!$A$3:$A$5001,AF$3,BD!$B$3:$B$5001,$A$245,BD!$U$3:$U$5001,"&lt;&gt;")=0,"",SUMIFS(BD!$U$3:$U$5001,BD!$A$3:$A$5001,AF$3,BD!$B$3:$B$5001,$A$245)))</f>
        <v/>
      </c>
      <c r="AG263" s="192" t="str">
        <f>IF(AG$3="","",IF(COUNTIFS(BD!$A$3:$A$5001,AG$3,BD!$B$3:$B$5001,$A$245,BD!$U$3:$U$5001,"&lt;&gt;")=0,"",SUMIFS(BD!$U$3:$U$5001,BD!$A$3:$A$5001,AG$3,BD!$B$3:$B$5001,$A$245)))</f>
        <v/>
      </c>
      <c r="AH263" s="192" t="str">
        <f>IF(AH$3="","",IF(COUNTIFS(BD!$A$3:$A$5001,AH$3,BD!$B$3:$B$5001,$A$245,BD!$U$3:$U$5001,"&lt;&gt;")=0,"",SUMIFS(BD!$U$3:$U$5001,BD!$A$3:$A$5001,AH$3,BD!$B$3:$B$5001,$A$245)))</f>
        <v/>
      </c>
      <c r="AI263" s="192" t="str">
        <f>IF(AI$3="","",IF(COUNTIFS(BD!$A$3:$A$5001,AI$3,BD!$B$3:$B$5001,$A$245,BD!$U$3:$U$5001,"&lt;&gt;")=0,"",SUMIFS(BD!$U$3:$U$5001,BD!$A$3:$A$5001,AI$3,BD!$B$3:$B$5001,$A$245)))</f>
        <v/>
      </c>
      <c r="AJ263" s="193" t="str">
        <f>IF(AJ$3="","",IF(COUNTIFS(BD!$A$3:$A$5001,AJ$3,BD!$B$3:$B$5001,$A$245,BD!$U$3:$U$5001,"&lt;&gt;")=0,"",SUMIFS(BD!$U$3:$U$5001,BD!$A$3:$A$5001,AJ$3,BD!$B$3:$B$5001,$A$245)))</f>
        <v/>
      </c>
      <c r="AK263" s="194" t="str">
        <f>IF(COUNT(F263:AJ263)=0,"",SUM(F263:AJ263))</f>
        <v/>
      </c>
    </row>
    <row r="264" ht="15.75" customHeight="1" hidden="1">
      <c r="A264" s="244"/>
      <c r="B264" s="238"/>
      <c r="C264" s="195" t="inlineStr">
        <is>
          <t xml:space="preserve">Backlog</t>
        </is>
      </c>
      <c r="D264" s="196" t="str">
        <f>IFERROR(1/(1/INDEX(BD!$AJ$42:$BD$42,MATCH($A$245,BD!$AJ$22:$BD$22,0))),"")</f>
        <v/>
      </c>
      <c r="E264" s="197"/>
      <c r="F264" s="198" t="str">
        <f>IF(F$3="","",IF(COUNTIFS(BD!$A$3:$A$5001,F$3,BD!$B$3:$B$5001,$A$245,BD!$V$3:$V$5001,"&lt;&gt;")=0,"",SUMIFS(BD!$V$3:$V$5001,BD!$A$3:$A$5001,F$3,BD!$B$3:$B$5001,$A$245)))</f>
        <v/>
      </c>
      <c r="G264" s="199" t="str">
        <f>IF(G$3="","",IF(COUNTIFS(BD!$A$3:$A$5001,G$3,BD!$B$3:$B$5001,$A$245,BD!$V$3:$V$5001,"&lt;&gt;")=0,"",SUMIFS(BD!$V$3:$V$5001,BD!$A$3:$A$5001,G$3,BD!$B$3:$B$5001,$A$245)))</f>
        <v/>
      </c>
      <c r="H264" s="199" t="str">
        <f>IF(H$3="","",IF(COUNTIFS(BD!$A$3:$A$5001,H$3,BD!$B$3:$B$5001,$A$245,BD!$V$3:$V$5001,"&lt;&gt;")=0,"",SUMIFS(BD!$V$3:$V$5001,BD!$A$3:$A$5001,H$3,BD!$B$3:$B$5001,$A$245)))</f>
        <v/>
      </c>
      <c r="I264" s="199" t="str">
        <f>IF(I$3="","",IF(COUNTIFS(BD!$A$3:$A$5001,I$3,BD!$B$3:$B$5001,$A$245,BD!$V$3:$V$5001,"&lt;&gt;")=0,"",SUMIFS(BD!$V$3:$V$5001,BD!$A$3:$A$5001,I$3,BD!$B$3:$B$5001,$A$245)))</f>
        <v/>
      </c>
      <c r="J264" s="199" t="str">
        <f>IF(J$3="","",IF(COUNTIFS(BD!$A$3:$A$5001,J$3,BD!$B$3:$B$5001,$A$245,BD!$V$3:$V$5001,"&lt;&gt;")=0,"",SUMIFS(BD!$V$3:$V$5001,BD!$A$3:$A$5001,J$3,BD!$B$3:$B$5001,$A$245)))</f>
        <v/>
      </c>
      <c r="K264" s="199" t="str">
        <f>IF(K$3="","",IF(COUNTIFS(BD!$A$3:$A$5001,K$3,BD!$B$3:$B$5001,$A$245,BD!$V$3:$V$5001,"&lt;&gt;")=0,"",SUMIFS(BD!$V$3:$V$5001,BD!$A$3:$A$5001,K$3,BD!$B$3:$B$5001,$A$245)))</f>
        <v/>
      </c>
      <c r="L264" s="199" t="str">
        <f>IF(L$3="","",IF(COUNTIFS(BD!$A$3:$A$5001,L$3,BD!$B$3:$B$5001,$A$245,BD!$V$3:$V$5001,"&lt;&gt;")=0,"",SUMIFS(BD!$V$3:$V$5001,BD!$A$3:$A$5001,L$3,BD!$B$3:$B$5001,$A$245)))</f>
        <v/>
      </c>
      <c r="M264" s="199" t="str">
        <f>IF(M$3="","",IF(COUNTIFS(BD!$A$3:$A$5001,M$3,BD!$B$3:$B$5001,$A$245,BD!$V$3:$V$5001,"&lt;&gt;")=0,"",SUMIFS(BD!$V$3:$V$5001,BD!$A$3:$A$5001,M$3,BD!$B$3:$B$5001,$A$245)))</f>
        <v/>
      </c>
      <c r="N264" s="199" t="str">
        <f>IF(N$3="","",IF(COUNTIFS(BD!$A$3:$A$5001,N$3,BD!$B$3:$B$5001,$A$245,BD!$V$3:$V$5001,"&lt;&gt;")=0,"",SUMIFS(BD!$V$3:$V$5001,BD!$A$3:$A$5001,N$3,BD!$B$3:$B$5001,$A$245)))</f>
        <v/>
      </c>
      <c r="O264" s="199" t="str">
        <f>IF(O$3="","",IF(COUNTIFS(BD!$A$3:$A$5001,O$3,BD!$B$3:$B$5001,$A$245,BD!$V$3:$V$5001,"&lt;&gt;")=0,"",SUMIFS(BD!$V$3:$V$5001,BD!$A$3:$A$5001,O$3,BD!$B$3:$B$5001,$A$245)))</f>
        <v/>
      </c>
      <c r="P264" s="199" t="str">
        <f>IF(P$3="","",IF(COUNTIFS(BD!$A$3:$A$5001,P$3,BD!$B$3:$B$5001,$A$245,BD!$V$3:$V$5001,"&lt;&gt;")=0,"",SUMIFS(BD!$V$3:$V$5001,BD!$A$3:$A$5001,P$3,BD!$B$3:$B$5001,$A$245)))</f>
        <v/>
      </c>
      <c r="Q264" s="199" t="str">
        <f>IF(Q$3="","",IF(COUNTIFS(BD!$A$3:$A$5001,Q$3,BD!$B$3:$B$5001,$A$245,BD!$V$3:$V$5001,"&lt;&gt;")=0,"",SUMIFS(BD!$V$3:$V$5001,BD!$A$3:$A$5001,Q$3,BD!$B$3:$B$5001,$A$245)))</f>
        <v/>
      </c>
      <c r="R264" s="199" t="str">
        <f>IF(R$3="","",IF(COUNTIFS(BD!$A$3:$A$5001,R$3,BD!$B$3:$B$5001,$A$245,BD!$V$3:$V$5001,"&lt;&gt;")=0,"",SUMIFS(BD!$V$3:$V$5001,BD!$A$3:$A$5001,R$3,BD!$B$3:$B$5001,$A$245)))</f>
        <v/>
      </c>
      <c r="S264" s="199" t="str">
        <f>IF(S$3="","",IF(COUNTIFS(BD!$A$3:$A$5001,S$3,BD!$B$3:$B$5001,$A$245,BD!$V$3:$V$5001,"&lt;&gt;")=0,"",SUMIFS(BD!$V$3:$V$5001,BD!$A$3:$A$5001,S$3,BD!$B$3:$B$5001,$A$245)))</f>
        <v/>
      </c>
      <c r="T264" s="199" t="str">
        <f>IF(T$3="","",IF(COUNTIFS(BD!$A$3:$A$5001,T$3,BD!$B$3:$B$5001,$A$245,BD!$V$3:$V$5001,"&lt;&gt;")=0,"",SUMIFS(BD!$V$3:$V$5001,BD!$A$3:$A$5001,T$3,BD!$B$3:$B$5001,$A$245)))</f>
        <v/>
      </c>
      <c r="U264" s="199" t="str">
        <f>IF(U$3="","",IF(COUNTIFS(BD!$A$3:$A$5001,U$3,BD!$B$3:$B$5001,$A$245,BD!$V$3:$V$5001,"&lt;&gt;")=0,"",SUMIFS(BD!$V$3:$V$5001,BD!$A$3:$A$5001,U$3,BD!$B$3:$B$5001,$A$245)))</f>
        <v/>
      </c>
      <c r="V264" s="199" t="str">
        <f>IF(V$3="","",IF(COUNTIFS(BD!$A$3:$A$5001,V$3,BD!$B$3:$B$5001,$A$245,BD!$V$3:$V$5001,"&lt;&gt;")=0,"",SUMIFS(BD!$V$3:$V$5001,BD!$A$3:$A$5001,V$3,BD!$B$3:$B$5001,$A$245)))</f>
        <v/>
      </c>
      <c r="W264" s="199" t="str">
        <f>IF(W$3="","",IF(COUNTIFS(BD!$A$3:$A$5001,W$3,BD!$B$3:$B$5001,$A$245,BD!$V$3:$V$5001,"&lt;&gt;")=0,"",SUMIFS(BD!$V$3:$V$5001,BD!$A$3:$A$5001,W$3,BD!$B$3:$B$5001,$A$245)))</f>
        <v/>
      </c>
      <c r="X264" s="199" t="str">
        <f>IF(X$3="","",IF(COUNTIFS(BD!$A$3:$A$5001,X$3,BD!$B$3:$B$5001,$A$245,BD!$V$3:$V$5001,"&lt;&gt;")=0,"",SUMIFS(BD!$V$3:$V$5001,BD!$A$3:$A$5001,X$3,BD!$B$3:$B$5001,$A$245)))</f>
        <v/>
      </c>
      <c r="Y264" s="199" t="str">
        <f>IF(Y$3="","",IF(COUNTIFS(BD!$A$3:$A$5001,Y$3,BD!$B$3:$B$5001,$A$245,BD!$V$3:$V$5001,"&lt;&gt;")=0,"",SUMIFS(BD!$V$3:$V$5001,BD!$A$3:$A$5001,Y$3,BD!$B$3:$B$5001,$A$245)))</f>
        <v/>
      </c>
      <c r="Z264" s="199" t="str">
        <f>IF(Z$3="","",IF(COUNTIFS(BD!$A$3:$A$5001,Z$3,BD!$B$3:$B$5001,$A$245,BD!$V$3:$V$5001,"&lt;&gt;")=0,"",SUMIFS(BD!$V$3:$V$5001,BD!$A$3:$A$5001,Z$3,BD!$B$3:$B$5001,$A$245)))</f>
        <v/>
      </c>
      <c r="AA264" s="199" t="str">
        <f>IF(AA$3="","",IF(COUNTIFS(BD!$A$3:$A$5001,AA$3,BD!$B$3:$B$5001,$A$245,BD!$V$3:$V$5001,"&lt;&gt;")=0,"",SUMIFS(BD!$V$3:$V$5001,BD!$A$3:$A$5001,AA$3,BD!$B$3:$B$5001,$A$245)))</f>
        <v/>
      </c>
      <c r="AB264" s="199" t="str">
        <f>IF(AB$3="","",IF(COUNTIFS(BD!$A$3:$A$5001,AB$3,BD!$B$3:$B$5001,$A$245,BD!$V$3:$V$5001,"&lt;&gt;")=0,"",SUMIFS(BD!$V$3:$V$5001,BD!$A$3:$A$5001,AB$3,BD!$B$3:$B$5001,$A$245)))</f>
        <v/>
      </c>
      <c r="AC264" s="199" t="str">
        <f>IF(AC$3="","",IF(COUNTIFS(BD!$A$3:$A$5001,AC$3,BD!$B$3:$B$5001,$A$245,BD!$V$3:$V$5001,"&lt;&gt;")=0,"",SUMIFS(BD!$V$3:$V$5001,BD!$A$3:$A$5001,AC$3,BD!$B$3:$B$5001,$A$245)))</f>
        <v/>
      </c>
      <c r="AD264" s="199" t="str">
        <f>IF(AD$3="","",IF(COUNTIFS(BD!$A$3:$A$5001,AD$3,BD!$B$3:$B$5001,$A$245,BD!$V$3:$V$5001,"&lt;&gt;")=0,"",SUMIFS(BD!$V$3:$V$5001,BD!$A$3:$A$5001,AD$3,BD!$B$3:$B$5001,$A$245)))</f>
        <v/>
      </c>
      <c r="AE264" s="199" t="str">
        <f>IF(AE$3="","",IF(COUNTIFS(BD!$A$3:$A$5001,AE$3,BD!$B$3:$B$5001,$A$245,BD!$V$3:$V$5001,"&lt;&gt;")=0,"",SUMIFS(BD!$V$3:$V$5001,BD!$A$3:$A$5001,AE$3,BD!$B$3:$B$5001,$A$245)))</f>
        <v/>
      </c>
      <c r="AF264" s="199" t="str">
        <f>IF(AF$3="","",IF(COUNTIFS(BD!$A$3:$A$5001,AF$3,BD!$B$3:$B$5001,$A$245,BD!$V$3:$V$5001,"&lt;&gt;")=0,"",SUMIFS(BD!$V$3:$V$5001,BD!$A$3:$A$5001,AF$3,BD!$B$3:$B$5001,$A$245)))</f>
        <v/>
      </c>
      <c r="AG264" s="199" t="str">
        <f>IF(AG$3="","",IF(COUNTIFS(BD!$A$3:$A$5001,AG$3,BD!$B$3:$B$5001,$A$245,BD!$V$3:$V$5001,"&lt;&gt;")=0,"",SUMIFS(BD!$V$3:$V$5001,BD!$A$3:$A$5001,AG$3,BD!$B$3:$B$5001,$A$245)))</f>
        <v/>
      </c>
      <c r="AH264" s="199" t="str">
        <f>IF(AH$3="","",IF(COUNTIFS(BD!$A$3:$A$5001,AH$3,BD!$B$3:$B$5001,$A$245,BD!$V$3:$V$5001,"&lt;&gt;")=0,"",SUMIFS(BD!$V$3:$V$5001,BD!$A$3:$A$5001,AH$3,BD!$B$3:$B$5001,$A$245)))</f>
        <v/>
      </c>
      <c r="AI264" s="199" t="str">
        <f>IF(AI$3="","",IF(COUNTIFS(BD!$A$3:$A$5001,AI$3,BD!$B$3:$B$5001,$A$245,BD!$V$3:$V$5001,"&lt;&gt;")=0,"",SUMIFS(BD!$V$3:$V$5001,BD!$A$3:$A$5001,AI$3,BD!$B$3:$B$5001,$A$245)))</f>
        <v/>
      </c>
      <c r="AJ264" s="200" t="str">
        <f>IF(AJ$3="","",IF(COUNTIFS(BD!$A$3:$A$5001,AJ$3,BD!$B$3:$B$5001,$A$245,BD!$V$3:$V$5001,"&lt;&gt;")=0,"",SUMIFS(BD!$V$3:$V$5001,BD!$A$3:$A$5001,AJ$3,BD!$B$3:$B$5001,$A$245)))</f>
        <v/>
      </c>
      <c r="AK264" s="196" t="str">
        <f>IFERROR(LOOKUP(9.99E+307,F264:AJ264),"")</f>
        <v/>
      </c>
    </row>
    <row r="265" ht="15.75" customHeight="1" hidden="1">
      <c r="A265" s="244"/>
      <c r="B265" s="232" t="inlineStr">
        <is>
          <t xml:space="preserve">OCUPAÇÃO (P.P)</t>
        </is>
      </c>
      <c r="C265" s="155" t="inlineStr">
        <is>
          <t xml:space="preserve">Posições Disponíveis</t>
        </is>
      </c>
      <c r="D265" s="156" t="str">
        <f>IFERROR(1/(1/INDEX(BD!$AJ$43:$BD$43,MATCH($A$245,BD!$AJ$22:$BD$22,0))),"")</f>
        <v/>
      </c>
      <c r="E265" s="157"/>
      <c r="F265" s="158" t="str">
        <f>IF(F$3="","",IF(COUNTIFS(BD!$A$3:$A$5001,F$3,BD!$B$3:$B$5001,$A$245,BD!$W$3:$W$5001,"&lt;&gt;")=0,"",SUMIFS(BD!$W$3:$W$5001,BD!$A$3:$A$5001,F$3,BD!$B$3:$B$5001,$A$245)))</f>
        <v/>
      </c>
      <c r="G265" s="159" t="str">
        <f>IF(G$3="","",IF(COUNTIFS(BD!$A$3:$A$5001,G$3,BD!$B$3:$B$5001,$A$245,BD!$W$3:$W$5001,"&lt;&gt;")=0,"",SUMIFS(BD!$W$3:$W$5001,BD!$A$3:$A$5001,G$3,BD!$B$3:$B$5001,$A$245)))</f>
        <v/>
      </c>
      <c r="H265" s="159" t="str">
        <f>IF(H$3="","",IF(COUNTIFS(BD!$A$3:$A$5001,H$3,BD!$B$3:$B$5001,$A$245,BD!$W$3:$W$5001,"&lt;&gt;")=0,"",SUMIFS(BD!$W$3:$W$5001,BD!$A$3:$A$5001,H$3,BD!$B$3:$B$5001,$A$245)))</f>
        <v/>
      </c>
      <c r="I265" s="159" t="str">
        <f>IF(I$3="","",IF(COUNTIFS(BD!$A$3:$A$5001,I$3,BD!$B$3:$B$5001,$A$245,BD!$W$3:$W$5001,"&lt;&gt;")=0,"",SUMIFS(BD!$W$3:$W$5001,BD!$A$3:$A$5001,I$3,BD!$B$3:$B$5001,$A$245)))</f>
        <v/>
      </c>
      <c r="J265" s="159" t="str">
        <f>IF(J$3="","",IF(COUNTIFS(BD!$A$3:$A$5001,J$3,BD!$B$3:$B$5001,$A$245,BD!$W$3:$W$5001,"&lt;&gt;")=0,"",SUMIFS(BD!$W$3:$W$5001,BD!$A$3:$A$5001,J$3,BD!$B$3:$B$5001,$A$245)))</f>
        <v/>
      </c>
      <c r="K265" s="159" t="str">
        <f>IF(K$3="","",IF(COUNTIFS(BD!$A$3:$A$5001,K$3,BD!$B$3:$B$5001,$A$245,BD!$W$3:$W$5001,"&lt;&gt;")=0,"",SUMIFS(BD!$W$3:$W$5001,BD!$A$3:$A$5001,K$3,BD!$B$3:$B$5001,$A$245)))</f>
        <v/>
      </c>
      <c r="L265" s="159" t="str">
        <f>IF(L$3="","",IF(COUNTIFS(BD!$A$3:$A$5001,L$3,BD!$B$3:$B$5001,$A$245,BD!$W$3:$W$5001,"&lt;&gt;")=0,"",SUMIFS(BD!$W$3:$W$5001,BD!$A$3:$A$5001,L$3,BD!$B$3:$B$5001,$A$245)))</f>
        <v/>
      </c>
      <c r="M265" s="159" t="str">
        <f>IF(M$3="","",IF(COUNTIFS(BD!$A$3:$A$5001,M$3,BD!$B$3:$B$5001,$A$245,BD!$W$3:$W$5001,"&lt;&gt;")=0,"",SUMIFS(BD!$W$3:$W$5001,BD!$A$3:$A$5001,M$3,BD!$B$3:$B$5001,$A$245)))</f>
        <v/>
      </c>
      <c r="N265" s="159" t="str">
        <f>IF(N$3="","",IF(COUNTIFS(BD!$A$3:$A$5001,N$3,BD!$B$3:$B$5001,$A$245,BD!$W$3:$W$5001,"&lt;&gt;")=0,"",SUMIFS(BD!$W$3:$W$5001,BD!$A$3:$A$5001,N$3,BD!$B$3:$B$5001,$A$245)))</f>
        <v/>
      </c>
      <c r="O265" s="159" t="str">
        <f>IF(O$3="","",IF(COUNTIFS(BD!$A$3:$A$5001,O$3,BD!$B$3:$B$5001,$A$245,BD!$W$3:$W$5001,"&lt;&gt;")=0,"",SUMIFS(BD!$W$3:$W$5001,BD!$A$3:$A$5001,O$3,BD!$B$3:$B$5001,$A$245)))</f>
        <v/>
      </c>
      <c r="P265" s="159" t="str">
        <f>IF(P$3="","",IF(COUNTIFS(BD!$A$3:$A$5001,P$3,BD!$B$3:$B$5001,$A$245,BD!$W$3:$W$5001,"&lt;&gt;")=0,"",SUMIFS(BD!$W$3:$W$5001,BD!$A$3:$A$5001,P$3,BD!$B$3:$B$5001,$A$245)))</f>
        <v/>
      </c>
      <c r="Q265" s="159" t="str">
        <f>IF(Q$3="","",IF(COUNTIFS(BD!$A$3:$A$5001,Q$3,BD!$B$3:$B$5001,$A$245,BD!$W$3:$W$5001,"&lt;&gt;")=0,"",SUMIFS(BD!$W$3:$W$5001,BD!$A$3:$A$5001,Q$3,BD!$B$3:$B$5001,$A$245)))</f>
        <v/>
      </c>
      <c r="R265" s="159" t="str">
        <f>IF(R$3="","",IF(COUNTIFS(BD!$A$3:$A$5001,R$3,BD!$B$3:$B$5001,$A$245,BD!$W$3:$W$5001,"&lt;&gt;")=0,"",SUMIFS(BD!$W$3:$W$5001,BD!$A$3:$A$5001,R$3,BD!$B$3:$B$5001,$A$245)))</f>
        <v/>
      </c>
      <c r="S265" s="159" t="str">
        <f>IF(S$3="","",IF(COUNTIFS(BD!$A$3:$A$5001,S$3,BD!$B$3:$B$5001,$A$245,BD!$W$3:$W$5001,"&lt;&gt;")=0,"",SUMIFS(BD!$W$3:$W$5001,BD!$A$3:$A$5001,S$3,BD!$B$3:$B$5001,$A$245)))</f>
        <v/>
      </c>
      <c r="T265" s="159" t="str">
        <f>IF(T$3="","",IF(COUNTIFS(BD!$A$3:$A$5001,T$3,BD!$B$3:$B$5001,$A$245,BD!$W$3:$W$5001,"&lt;&gt;")=0,"",SUMIFS(BD!$W$3:$W$5001,BD!$A$3:$A$5001,T$3,BD!$B$3:$B$5001,$A$245)))</f>
        <v/>
      </c>
      <c r="U265" s="159" t="str">
        <f>IF(U$3="","",IF(COUNTIFS(BD!$A$3:$A$5001,U$3,BD!$B$3:$B$5001,$A$245,BD!$W$3:$W$5001,"&lt;&gt;")=0,"",SUMIFS(BD!$W$3:$W$5001,BD!$A$3:$A$5001,U$3,BD!$B$3:$B$5001,$A$245)))</f>
        <v/>
      </c>
      <c r="V265" s="159" t="str">
        <f>IF(V$3="","",IF(COUNTIFS(BD!$A$3:$A$5001,V$3,BD!$B$3:$B$5001,$A$245,BD!$W$3:$W$5001,"&lt;&gt;")=0,"",SUMIFS(BD!$W$3:$W$5001,BD!$A$3:$A$5001,V$3,BD!$B$3:$B$5001,$A$245)))</f>
        <v/>
      </c>
      <c r="W265" s="159" t="str">
        <f>IF(W$3="","",IF(COUNTIFS(BD!$A$3:$A$5001,W$3,BD!$B$3:$B$5001,$A$245,BD!$W$3:$W$5001,"&lt;&gt;")=0,"",SUMIFS(BD!$W$3:$W$5001,BD!$A$3:$A$5001,W$3,BD!$B$3:$B$5001,$A$245)))</f>
        <v/>
      </c>
      <c r="X265" s="159" t="str">
        <f>IF(X$3="","",IF(COUNTIFS(BD!$A$3:$A$5001,X$3,BD!$B$3:$B$5001,$A$245,BD!$W$3:$W$5001,"&lt;&gt;")=0,"",SUMIFS(BD!$W$3:$W$5001,BD!$A$3:$A$5001,X$3,BD!$B$3:$B$5001,$A$245)))</f>
        <v/>
      </c>
      <c r="Y265" s="159" t="str">
        <f>IF(Y$3="","",IF(COUNTIFS(BD!$A$3:$A$5001,Y$3,BD!$B$3:$B$5001,$A$245,BD!$W$3:$W$5001,"&lt;&gt;")=0,"",SUMIFS(BD!$W$3:$W$5001,BD!$A$3:$A$5001,Y$3,BD!$B$3:$B$5001,$A$245)))</f>
        <v/>
      </c>
      <c r="Z265" s="159" t="str">
        <f>IF(Z$3="","",IF(COUNTIFS(BD!$A$3:$A$5001,Z$3,BD!$B$3:$B$5001,$A$245,BD!$W$3:$W$5001,"&lt;&gt;")=0,"",SUMIFS(BD!$W$3:$W$5001,BD!$A$3:$A$5001,Z$3,BD!$B$3:$B$5001,$A$245)))</f>
        <v/>
      </c>
      <c r="AA265" s="159" t="str">
        <f>IF(AA$3="","",IF(COUNTIFS(BD!$A$3:$A$5001,AA$3,BD!$B$3:$B$5001,$A$245,BD!$W$3:$W$5001,"&lt;&gt;")=0,"",SUMIFS(BD!$W$3:$W$5001,BD!$A$3:$A$5001,AA$3,BD!$B$3:$B$5001,$A$245)))</f>
        <v/>
      </c>
      <c r="AB265" s="159" t="str">
        <f>IF(AB$3="","",IF(COUNTIFS(BD!$A$3:$A$5001,AB$3,BD!$B$3:$B$5001,$A$245,BD!$W$3:$W$5001,"&lt;&gt;")=0,"",SUMIFS(BD!$W$3:$W$5001,BD!$A$3:$A$5001,AB$3,BD!$B$3:$B$5001,$A$245)))</f>
        <v/>
      </c>
      <c r="AC265" s="159" t="str">
        <f>IF(AC$3="","",IF(COUNTIFS(BD!$A$3:$A$5001,AC$3,BD!$B$3:$B$5001,$A$245,BD!$W$3:$W$5001,"&lt;&gt;")=0,"",SUMIFS(BD!$W$3:$W$5001,BD!$A$3:$A$5001,AC$3,BD!$B$3:$B$5001,$A$245)))</f>
        <v/>
      </c>
      <c r="AD265" s="159" t="str">
        <f>IF(AD$3="","",IF(COUNTIFS(BD!$A$3:$A$5001,AD$3,BD!$B$3:$B$5001,$A$245,BD!$W$3:$W$5001,"&lt;&gt;")=0,"",SUMIFS(BD!$W$3:$W$5001,BD!$A$3:$A$5001,AD$3,BD!$B$3:$B$5001,$A$245)))</f>
        <v/>
      </c>
      <c r="AE265" s="159" t="str">
        <f>IF(AE$3="","",IF(COUNTIFS(BD!$A$3:$A$5001,AE$3,BD!$B$3:$B$5001,$A$245,BD!$W$3:$W$5001,"&lt;&gt;")=0,"",SUMIFS(BD!$W$3:$W$5001,BD!$A$3:$A$5001,AE$3,BD!$B$3:$B$5001,$A$245)))</f>
        <v/>
      </c>
      <c r="AF265" s="159" t="str">
        <f>IF(AF$3="","",IF(COUNTIFS(BD!$A$3:$A$5001,AF$3,BD!$B$3:$B$5001,$A$245,BD!$W$3:$W$5001,"&lt;&gt;")=0,"",SUMIFS(BD!$W$3:$W$5001,BD!$A$3:$A$5001,AF$3,BD!$B$3:$B$5001,$A$245)))</f>
        <v/>
      </c>
      <c r="AG265" s="159" t="str">
        <f>IF(AG$3="","",IF(COUNTIFS(BD!$A$3:$A$5001,AG$3,BD!$B$3:$B$5001,$A$245,BD!$W$3:$W$5001,"&lt;&gt;")=0,"",SUMIFS(BD!$W$3:$W$5001,BD!$A$3:$A$5001,AG$3,BD!$B$3:$B$5001,$A$245)))</f>
        <v/>
      </c>
      <c r="AH265" s="159" t="str">
        <f>IF(AH$3="","",IF(COUNTIFS(BD!$A$3:$A$5001,AH$3,BD!$B$3:$B$5001,$A$245,BD!$W$3:$W$5001,"&lt;&gt;")=0,"",SUMIFS(BD!$W$3:$W$5001,BD!$A$3:$A$5001,AH$3,BD!$B$3:$B$5001,$A$245)))</f>
        <v/>
      </c>
      <c r="AI265" s="159" t="str">
        <f>IF(AI$3="","",IF(COUNTIFS(BD!$A$3:$A$5001,AI$3,BD!$B$3:$B$5001,$A$245,BD!$W$3:$W$5001,"&lt;&gt;")=0,"",SUMIFS(BD!$W$3:$W$5001,BD!$A$3:$A$5001,AI$3,BD!$B$3:$B$5001,$A$245)))</f>
        <v/>
      </c>
      <c r="AJ265" s="160" t="str">
        <f>IF(AJ$3="","",IF(COUNTIFS(BD!$A$3:$A$5001,AJ$3,BD!$B$3:$B$5001,$A$245,BD!$W$3:$W$5001,"&lt;&gt;")=0,"",SUMIFS(BD!$W$3:$W$5001,BD!$A$3:$A$5001,AJ$3,BD!$B$3:$B$5001,$A$245)))</f>
        <v/>
      </c>
      <c r="AK265" s="161" t="str">
        <f>IF(COUNT(F265:AJ265)&gt;0,LOOKUP(9.99E+307,F265:AJ265),IFERROR(IF(INDEX(BD!$AG$3:$AG$5001,MATCH($A$245,BD!$B$3:$B$5001,0))&amp;""="Contrato","",INDEX(BD!$AG$3:$AG$5001,MATCH($A$245,BD!$B$3:$B$5001,0))&amp;""),""))</f>
        <v/>
      </c>
    </row>
    <row r="266" ht="15.75" customHeight="1" hidden="1">
      <c r="A266" s="244"/>
      <c r="B266" s="239"/>
      <c r="C266" s="201" t="inlineStr">
        <is>
          <t xml:space="preserve">Posições Ocupadas</t>
        </is>
      </c>
      <c r="D266" s="202" t="str">
        <f>IFERROR(1/(1/INDEX(BD!$AJ$44:$BD$44,MATCH($A$245,BD!$AJ$22:$BD$22,0))),"")</f>
        <v/>
      </c>
      <c r="E266" s="203"/>
      <c r="F266" s="204" t="str">
        <f>IF(F$3="","",IF(COUNTIFS(BD!$A$3:$A$5001,F$3,BD!$B$3:$B$5001,$A$245,BD!$X$3:$X$5001,"&lt;&gt;")=0,"",SUMIFS(BD!$X$3:$X$5001,BD!$A$3:$A$5001,F$3,BD!$B$3:$B$5001,$A$245)))</f>
        <v/>
      </c>
      <c r="G266" s="205" t="str">
        <f>IF(G$3="","",IF(COUNTIFS(BD!$A$3:$A$5001,G$3,BD!$B$3:$B$5001,$A$245,BD!$X$3:$X$5001,"&lt;&gt;")=0,"",SUMIFS(BD!$X$3:$X$5001,BD!$A$3:$A$5001,G$3,BD!$B$3:$B$5001,$A$245)))</f>
        <v/>
      </c>
      <c r="H266" s="205" t="str">
        <f>IF(H$3="","",IF(COUNTIFS(BD!$A$3:$A$5001,H$3,BD!$B$3:$B$5001,$A$245,BD!$X$3:$X$5001,"&lt;&gt;")=0,"",SUMIFS(BD!$X$3:$X$5001,BD!$A$3:$A$5001,H$3,BD!$B$3:$B$5001,$A$245)))</f>
        <v/>
      </c>
      <c r="I266" s="205" t="str">
        <f>IF(I$3="","",IF(COUNTIFS(BD!$A$3:$A$5001,I$3,BD!$B$3:$B$5001,$A$245,BD!$X$3:$X$5001,"&lt;&gt;")=0,"",SUMIFS(BD!$X$3:$X$5001,BD!$A$3:$A$5001,I$3,BD!$B$3:$B$5001,$A$245)))</f>
        <v/>
      </c>
      <c r="J266" s="205" t="str">
        <f>IF(J$3="","",IF(COUNTIFS(BD!$A$3:$A$5001,J$3,BD!$B$3:$B$5001,$A$245,BD!$X$3:$X$5001,"&lt;&gt;")=0,"",SUMIFS(BD!$X$3:$X$5001,BD!$A$3:$A$5001,J$3,BD!$B$3:$B$5001,$A$245)))</f>
        <v/>
      </c>
      <c r="K266" s="205" t="str">
        <f>IF(K$3="","",IF(COUNTIFS(BD!$A$3:$A$5001,K$3,BD!$B$3:$B$5001,$A$245,BD!$X$3:$X$5001,"&lt;&gt;")=0,"",SUMIFS(BD!$X$3:$X$5001,BD!$A$3:$A$5001,K$3,BD!$B$3:$B$5001,$A$245)))</f>
        <v/>
      </c>
      <c r="L266" s="205" t="str">
        <f>IF(L$3="","",IF(COUNTIFS(BD!$A$3:$A$5001,L$3,BD!$B$3:$B$5001,$A$245,BD!$X$3:$X$5001,"&lt;&gt;")=0,"",SUMIFS(BD!$X$3:$X$5001,BD!$A$3:$A$5001,L$3,BD!$B$3:$B$5001,$A$245)))</f>
        <v/>
      </c>
      <c r="M266" s="205" t="str">
        <f>IF(M$3="","",IF(COUNTIFS(BD!$A$3:$A$5001,M$3,BD!$B$3:$B$5001,$A$245,BD!$X$3:$X$5001,"&lt;&gt;")=0,"",SUMIFS(BD!$X$3:$X$5001,BD!$A$3:$A$5001,M$3,BD!$B$3:$B$5001,$A$245)))</f>
        <v/>
      </c>
      <c r="N266" s="205" t="str">
        <f>IF(N$3="","",IF(COUNTIFS(BD!$A$3:$A$5001,N$3,BD!$B$3:$B$5001,$A$245,BD!$X$3:$X$5001,"&lt;&gt;")=0,"",SUMIFS(BD!$X$3:$X$5001,BD!$A$3:$A$5001,N$3,BD!$B$3:$B$5001,$A$245)))</f>
        <v/>
      </c>
      <c r="O266" s="205" t="str">
        <f>IF(O$3="","",IF(COUNTIFS(BD!$A$3:$A$5001,O$3,BD!$B$3:$B$5001,$A$245,BD!$X$3:$X$5001,"&lt;&gt;")=0,"",SUMIFS(BD!$X$3:$X$5001,BD!$A$3:$A$5001,O$3,BD!$B$3:$B$5001,$A$245)))</f>
        <v/>
      </c>
      <c r="P266" s="205" t="str">
        <f>IF(P$3="","",IF(COUNTIFS(BD!$A$3:$A$5001,P$3,BD!$B$3:$B$5001,$A$245,BD!$X$3:$X$5001,"&lt;&gt;")=0,"",SUMIFS(BD!$X$3:$X$5001,BD!$A$3:$A$5001,P$3,BD!$B$3:$B$5001,$A$245)))</f>
        <v/>
      </c>
      <c r="Q266" s="205" t="str">
        <f>IF(Q$3="","",IF(COUNTIFS(BD!$A$3:$A$5001,Q$3,BD!$B$3:$B$5001,$A$245,BD!$X$3:$X$5001,"&lt;&gt;")=0,"",SUMIFS(BD!$X$3:$X$5001,BD!$A$3:$A$5001,Q$3,BD!$B$3:$B$5001,$A$245)))</f>
        <v/>
      </c>
      <c r="R266" s="205" t="str">
        <f>IF(R$3="","",IF(COUNTIFS(BD!$A$3:$A$5001,R$3,BD!$B$3:$B$5001,$A$245,BD!$X$3:$X$5001,"&lt;&gt;")=0,"",SUMIFS(BD!$X$3:$X$5001,BD!$A$3:$A$5001,R$3,BD!$B$3:$B$5001,$A$245)))</f>
        <v/>
      </c>
      <c r="S266" s="205" t="str">
        <f>IF(S$3="","",IF(COUNTIFS(BD!$A$3:$A$5001,S$3,BD!$B$3:$B$5001,$A$245,BD!$X$3:$X$5001,"&lt;&gt;")=0,"",SUMIFS(BD!$X$3:$X$5001,BD!$A$3:$A$5001,S$3,BD!$B$3:$B$5001,$A$245)))</f>
        <v/>
      </c>
      <c r="T266" s="205" t="str">
        <f>IF(T$3="","",IF(COUNTIFS(BD!$A$3:$A$5001,T$3,BD!$B$3:$B$5001,$A$245,BD!$X$3:$X$5001,"&lt;&gt;")=0,"",SUMIFS(BD!$X$3:$X$5001,BD!$A$3:$A$5001,T$3,BD!$B$3:$B$5001,$A$245)))</f>
        <v/>
      </c>
      <c r="U266" s="205" t="str">
        <f>IF(U$3="","",IF(COUNTIFS(BD!$A$3:$A$5001,U$3,BD!$B$3:$B$5001,$A$245,BD!$X$3:$X$5001,"&lt;&gt;")=0,"",SUMIFS(BD!$X$3:$X$5001,BD!$A$3:$A$5001,U$3,BD!$B$3:$B$5001,$A$245)))</f>
        <v/>
      </c>
      <c r="V266" s="205" t="str">
        <f>IF(V$3="","",IF(COUNTIFS(BD!$A$3:$A$5001,V$3,BD!$B$3:$B$5001,$A$245,BD!$X$3:$X$5001,"&lt;&gt;")=0,"",SUMIFS(BD!$X$3:$X$5001,BD!$A$3:$A$5001,V$3,BD!$B$3:$B$5001,$A$245)))</f>
        <v/>
      </c>
      <c r="W266" s="205" t="str">
        <f>IF(W$3="","",IF(COUNTIFS(BD!$A$3:$A$5001,W$3,BD!$B$3:$B$5001,$A$245,BD!$X$3:$X$5001,"&lt;&gt;")=0,"",SUMIFS(BD!$X$3:$X$5001,BD!$A$3:$A$5001,W$3,BD!$B$3:$B$5001,$A$245)))</f>
        <v/>
      </c>
      <c r="X266" s="205" t="str">
        <f>IF(X$3="","",IF(COUNTIFS(BD!$A$3:$A$5001,X$3,BD!$B$3:$B$5001,$A$245,BD!$X$3:$X$5001,"&lt;&gt;")=0,"",SUMIFS(BD!$X$3:$X$5001,BD!$A$3:$A$5001,X$3,BD!$B$3:$B$5001,$A$245)))</f>
        <v/>
      </c>
      <c r="Y266" s="205" t="str">
        <f>IF(Y$3="","",IF(COUNTIFS(BD!$A$3:$A$5001,Y$3,BD!$B$3:$B$5001,$A$245,BD!$X$3:$X$5001,"&lt;&gt;")=0,"",SUMIFS(BD!$X$3:$X$5001,BD!$A$3:$A$5001,Y$3,BD!$B$3:$B$5001,$A$245)))</f>
        <v/>
      </c>
      <c r="Z266" s="205" t="str">
        <f>IF(Z$3="","",IF(COUNTIFS(BD!$A$3:$A$5001,Z$3,BD!$B$3:$B$5001,$A$245,BD!$X$3:$X$5001,"&lt;&gt;")=0,"",SUMIFS(BD!$X$3:$X$5001,BD!$A$3:$A$5001,Z$3,BD!$B$3:$B$5001,$A$245)))</f>
        <v/>
      </c>
      <c r="AA266" s="205" t="str">
        <f>IF(AA$3="","",IF(COUNTIFS(BD!$A$3:$A$5001,AA$3,BD!$B$3:$B$5001,$A$245,BD!$X$3:$X$5001,"&lt;&gt;")=0,"",SUMIFS(BD!$X$3:$X$5001,BD!$A$3:$A$5001,AA$3,BD!$B$3:$B$5001,$A$245)))</f>
        <v/>
      </c>
      <c r="AB266" s="205" t="str">
        <f>IF(AB$3="","",IF(COUNTIFS(BD!$A$3:$A$5001,AB$3,BD!$B$3:$B$5001,$A$245,BD!$X$3:$X$5001,"&lt;&gt;")=0,"",SUMIFS(BD!$X$3:$X$5001,BD!$A$3:$A$5001,AB$3,BD!$B$3:$B$5001,$A$245)))</f>
        <v/>
      </c>
      <c r="AC266" s="205" t="str">
        <f>IF(AC$3="","",IF(COUNTIFS(BD!$A$3:$A$5001,AC$3,BD!$B$3:$B$5001,$A$245,BD!$X$3:$X$5001,"&lt;&gt;")=0,"",SUMIFS(BD!$X$3:$X$5001,BD!$A$3:$A$5001,AC$3,BD!$B$3:$B$5001,$A$245)))</f>
        <v/>
      </c>
      <c r="AD266" s="205" t="str">
        <f>IF(AD$3="","",IF(COUNTIFS(BD!$A$3:$A$5001,AD$3,BD!$B$3:$B$5001,$A$245,BD!$X$3:$X$5001,"&lt;&gt;")=0,"",SUMIFS(BD!$X$3:$X$5001,BD!$A$3:$A$5001,AD$3,BD!$B$3:$B$5001,$A$245)))</f>
        <v/>
      </c>
      <c r="AE266" s="205" t="str">
        <f>IF(AE$3="","",IF(COUNTIFS(BD!$A$3:$A$5001,AE$3,BD!$B$3:$B$5001,$A$245,BD!$X$3:$X$5001,"&lt;&gt;")=0,"",SUMIFS(BD!$X$3:$X$5001,BD!$A$3:$A$5001,AE$3,BD!$B$3:$B$5001,$A$245)))</f>
        <v/>
      </c>
      <c r="AF266" s="205" t="str">
        <f>IF(AF$3="","",IF(COUNTIFS(BD!$A$3:$A$5001,AF$3,BD!$B$3:$B$5001,$A$245,BD!$X$3:$X$5001,"&lt;&gt;")=0,"",SUMIFS(BD!$X$3:$X$5001,BD!$A$3:$A$5001,AF$3,BD!$B$3:$B$5001,$A$245)))</f>
        <v/>
      </c>
      <c r="AG266" s="205" t="str">
        <f>IF(AG$3="","",IF(COUNTIFS(BD!$A$3:$A$5001,AG$3,BD!$B$3:$B$5001,$A$245,BD!$X$3:$X$5001,"&lt;&gt;")=0,"",SUMIFS(BD!$X$3:$X$5001,BD!$A$3:$A$5001,AG$3,BD!$B$3:$B$5001,$A$245)))</f>
        <v/>
      </c>
      <c r="AH266" s="205" t="str">
        <f>IF(AH$3="","",IF(COUNTIFS(BD!$A$3:$A$5001,AH$3,BD!$B$3:$B$5001,$A$245,BD!$X$3:$X$5001,"&lt;&gt;")=0,"",SUMIFS(BD!$X$3:$X$5001,BD!$A$3:$A$5001,AH$3,BD!$B$3:$B$5001,$A$245)))</f>
        <v/>
      </c>
      <c r="AI266" s="205" t="str">
        <f>IF(AI$3="","",IF(COUNTIFS(BD!$A$3:$A$5001,AI$3,BD!$B$3:$B$5001,$A$245,BD!$X$3:$X$5001,"&lt;&gt;")=0,"",SUMIFS(BD!$X$3:$X$5001,BD!$A$3:$A$5001,AI$3,BD!$B$3:$B$5001,$A$245)))</f>
        <v/>
      </c>
      <c r="AJ266" s="206" t="str">
        <f>IF(AJ$3="","",IF(COUNTIFS(BD!$A$3:$A$5001,AJ$3,BD!$B$3:$B$5001,$A$245,BD!$X$3:$X$5001,"&lt;&gt;")=0,"",SUMIFS(BD!$X$3:$X$5001,BD!$A$3:$A$5001,AJ$3,BD!$B$3:$B$5001,$A$245)))</f>
        <v/>
      </c>
      <c r="AK266" s="207" t="str">
        <f>IFERROR(LOOKUP(9.99E+307,F266:AJ266),"")</f>
        <v/>
      </c>
    </row>
    <row r="267" ht="15.75" customHeight="1" hidden="1">
      <c r="A267" s="244"/>
      <c r="B267" s="233"/>
      <c r="C267" s="162" t="inlineStr">
        <is>
          <t xml:space="preserve">Taxa de Ocupação</t>
        </is>
      </c>
      <c r="D267" s="208" t="str">
        <f>IFERROR(1/(1/INDEX(BD!$AJ$45:$BD$45,MATCH($A$245,BD!$AJ$22:$BD$22,0))),"")</f>
        <v/>
      </c>
      <c r="E267" s="164"/>
      <c r="F267" s="209" t="str">
        <f>IF(AND(ISNUMBER(F265),ISNUMBER(F266)),IF(F265&gt;0,F266/F265,""),"")</f>
        <v/>
      </c>
      <c r="G267" s="210" t="str">
        <f>IF(AND(ISNUMBER(G265),ISNUMBER(G266)),IF(G265&gt;0,G266/G265,""),"")</f>
        <v/>
      </c>
      <c r="H267" s="210" t="str">
        <f>IF(AND(ISNUMBER(H265),ISNUMBER(H266)),IF(H265&gt;0,H266/H265,""),"")</f>
        <v/>
      </c>
      <c r="I267" s="210" t="str">
        <f>IF(AND(ISNUMBER(I265),ISNUMBER(I266)),IF(I265&gt;0,I266/I265,""),"")</f>
        <v/>
      </c>
      <c r="J267" s="210" t="str">
        <f>IF(AND(ISNUMBER(J265),ISNUMBER(J266)),IF(J265&gt;0,J266/J265,""),"")</f>
        <v/>
      </c>
      <c r="K267" s="210" t="str">
        <f>IF(AND(ISNUMBER(K265),ISNUMBER(K266)),IF(K265&gt;0,K266/K265,""),"")</f>
        <v/>
      </c>
      <c r="L267" s="210" t="str">
        <f>IF(AND(ISNUMBER(L265),ISNUMBER(L266)),IF(L265&gt;0,L266/L265,""),"")</f>
        <v/>
      </c>
      <c r="M267" s="210" t="str">
        <f>IF(AND(ISNUMBER(M265),ISNUMBER(M266)),IF(M265&gt;0,M266/M265,""),"")</f>
        <v/>
      </c>
      <c r="N267" s="210" t="str">
        <f>IF(AND(ISNUMBER(N265),ISNUMBER(N266)),IF(N265&gt;0,N266/N265,""),"")</f>
        <v/>
      </c>
      <c r="O267" s="210" t="str">
        <f>IF(AND(ISNUMBER(O265),ISNUMBER(O266)),IF(O265&gt;0,O266/O265,""),"")</f>
        <v/>
      </c>
      <c r="P267" s="210" t="str">
        <f>IF(AND(ISNUMBER(P265),ISNUMBER(P266)),IF(P265&gt;0,P266/P265,""),"")</f>
        <v/>
      </c>
      <c r="Q267" s="210" t="str">
        <f>IF(AND(ISNUMBER(Q265),ISNUMBER(Q266)),IF(Q265&gt;0,Q266/Q265,""),"")</f>
        <v/>
      </c>
      <c r="R267" s="210" t="str">
        <f>IF(AND(ISNUMBER(R265),ISNUMBER(R266)),IF(R265&gt;0,R266/R265,""),"")</f>
        <v/>
      </c>
      <c r="S267" s="210" t="str">
        <f>IF(AND(ISNUMBER(S265),ISNUMBER(S266)),IF(S265&gt;0,S266/S265,""),"")</f>
        <v/>
      </c>
      <c r="T267" s="210" t="str">
        <f>IF(AND(ISNUMBER(T265),ISNUMBER(T266)),IF(T265&gt;0,T266/T265,""),"")</f>
        <v/>
      </c>
      <c r="U267" s="210" t="str">
        <f>IF(AND(ISNUMBER(U265),ISNUMBER(U266)),IF(U265&gt;0,U266/U265,""),"")</f>
        <v/>
      </c>
      <c r="V267" s="210" t="str">
        <f>IF(AND(ISNUMBER(V265),ISNUMBER(V266)),IF(V265&gt;0,V266/V265,""),"")</f>
        <v/>
      </c>
      <c r="W267" s="210" t="str">
        <f>IF(AND(ISNUMBER(W265),ISNUMBER(W266)),IF(W265&gt;0,W266/W265,""),"")</f>
        <v/>
      </c>
      <c r="X267" s="210" t="str">
        <f>IF(AND(ISNUMBER(X265),ISNUMBER(X266)),IF(X265&gt;0,X266/X265,""),"")</f>
        <v/>
      </c>
      <c r="Y267" s="210" t="str">
        <f>IF(AND(ISNUMBER(Y265),ISNUMBER(Y266)),IF(Y265&gt;0,Y266/Y265,""),"")</f>
        <v/>
      </c>
      <c r="Z267" s="210" t="str">
        <f>IF(AND(ISNUMBER(Z265),ISNUMBER(Z266)),IF(Z265&gt;0,Z266/Z265,""),"")</f>
        <v/>
      </c>
      <c r="AA267" s="210" t="str">
        <f>IF(AND(ISNUMBER(AA265),ISNUMBER(AA266)),IF(AA265&gt;0,AA266/AA265,""),"")</f>
        <v/>
      </c>
      <c r="AB267" s="210" t="str">
        <f>IF(AND(ISNUMBER(AB265),ISNUMBER(AB266)),IF(AB265&gt;0,AB266/AB265,""),"")</f>
        <v/>
      </c>
      <c r="AC267" s="210" t="str">
        <f>IF(AND(ISNUMBER(AC265),ISNUMBER(AC266)),IF(AC265&gt;0,AC266/AC265,""),"")</f>
        <v/>
      </c>
      <c r="AD267" s="210" t="str">
        <f>IF(AND(ISNUMBER(AD265),ISNUMBER(AD266)),IF(AD265&gt;0,AD266/AD265,""),"")</f>
        <v/>
      </c>
      <c r="AE267" s="210" t="str">
        <f>IF(AND(ISNUMBER(AE265),ISNUMBER(AE266)),IF(AE265&gt;0,AE266/AE265,""),"")</f>
        <v/>
      </c>
      <c r="AF267" s="210" t="str">
        <f>IF(AND(ISNUMBER(AF265),ISNUMBER(AF266)),IF(AF265&gt;0,AF266/AF265,""),"")</f>
        <v/>
      </c>
      <c r="AG267" s="210" t="str">
        <f>IF(AND(ISNUMBER(AG265),ISNUMBER(AG266)),IF(AG265&gt;0,AG266/AG265,""),"")</f>
        <v/>
      </c>
      <c r="AH267" s="210" t="str">
        <f>IF(AND(ISNUMBER(AH265),ISNUMBER(AH266)),IF(AH265&gt;0,AH266/AH265,""),"")</f>
        <v/>
      </c>
      <c r="AI267" s="210" t="str">
        <f>IF(AND(ISNUMBER(AI265),ISNUMBER(AI266)),IF(AI265&gt;0,AI266/AI265,""),"")</f>
        <v/>
      </c>
      <c r="AJ267" s="211" t="str">
        <f>IF(AND(ISNUMBER(AJ265),ISNUMBER(AJ266)),IF(AJ265&gt;0,AJ266/AJ265,""),"")</f>
        <v/>
      </c>
      <c r="AK267" s="208" t="str">
        <f>IF(AND(ISNUMBER(AK265),ISNUMBER(AK266)),IF(AK265&gt;0,AK266/AK265,""),"")</f>
        <v/>
      </c>
    </row>
    <row r="268" ht="15.75" customHeight="1" hidden="1">
      <c r="A268" s="244"/>
      <c r="B268" s="240" t="inlineStr">
        <is>
          <t xml:space="preserve">GENTE</t>
        </is>
      </c>
      <c r="C268" s="212" t="inlineStr">
        <is>
          <t xml:space="preserve">Efetivo Op.</t>
        </is>
      </c>
      <c r="D268" s="213" t="str">
        <f>IFERROR(1/(1/INDEX(BD!$AJ$46:$BD$46,MATCH($A$245,BD!$AJ$22:$BD$22,0))),"")</f>
        <v/>
      </c>
      <c r="E268" s="214"/>
      <c r="F268" s="215" t="str">
        <f>IF(F$3="","",IF(COUNTIFS(BD!$A$3:$A$5001,F$3,BD!$B$3:$B$5001,$A$245,BD!$Y$3:$Y$5001,"&lt;&gt;")=0,"",SUMIFS(BD!$Y$3:$Y$5001,BD!$A$3:$A$5001,F$3,BD!$B$3:$B$5001,$A$245)))</f>
        <v/>
      </c>
      <c r="G268" s="216" t="str">
        <f>IF(G$3="","",IF(COUNTIFS(BD!$A$3:$A$5001,G$3,BD!$B$3:$B$5001,$A$245,BD!$Y$3:$Y$5001,"&lt;&gt;")=0,"",SUMIFS(BD!$Y$3:$Y$5001,BD!$A$3:$A$5001,G$3,BD!$B$3:$B$5001,$A$245)))</f>
        <v/>
      </c>
      <c r="H268" s="216" t="str">
        <f>IF(H$3="","",IF(COUNTIFS(BD!$A$3:$A$5001,H$3,BD!$B$3:$B$5001,$A$245,BD!$Y$3:$Y$5001,"&lt;&gt;")=0,"",SUMIFS(BD!$Y$3:$Y$5001,BD!$A$3:$A$5001,H$3,BD!$B$3:$B$5001,$A$245)))</f>
        <v/>
      </c>
      <c r="I268" s="216" t="str">
        <f>IF(I$3="","",IF(COUNTIFS(BD!$A$3:$A$5001,I$3,BD!$B$3:$B$5001,$A$245,BD!$Y$3:$Y$5001,"&lt;&gt;")=0,"",SUMIFS(BD!$Y$3:$Y$5001,BD!$A$3:$A$5001,I$3,BD!$B$3:$B$5001,$A$245)))</f>
        <v/>
      </c>
      <c r="J268" s="216" t="str">
        <f>IF(J$3="","",IF(COUNTIFS(BD!$A$3:$A$5001,J$3,BD!$B$3:$B$5001,$A$245,BD!$Y$3:$Y$5001,"&lt;&gt;")=0,"",SUMIFS(BD!$Y$3:$Y$5001,BD!$A$3:$A$5001,J$3,BD!$B$3:$B$5001,$A$245)))</f>
        <v/>
      </c>
      <c r="K268" s="216" t="str">
        <f>IF(K$3="","",IF(COUNTIFS(BD!$A$3:$A$5001,K$3,BD!$B$3:$B$5001,$A$245,BD!$Y$3:$Y$5001,"&lt;&gt;")=0,"",SUMIFS(BD!$Y$3:$Y$5001,BD!$A$3:$A$5001,K$3,BD!$B$3:$B$5001,$A$245)))</f>
        <v/>
      </c>
      <c r="L268" s="216" t="str">
        <f>IF(L$3="","",IF(COUNTIFS(BD!$A$3:$A$5001,L$3,BD!$B$3:$B$5001,$A$245,BD!$Y$3:$Y$5001,"&lt;&gt;")=0,"",SUMIFS(BD!$Y$3:$Y$5001,BD!$A$3:$A$5001,L$3,BD!$B$3:$B$5001,$A$245)))</f>
        <v/>
      </c>
      <c r="M268" s="216" t="str">
        <f>IF(M$3="","",IF(COUNTIFS(BD!$A$3:$A$5001,M$3,BD!$B$3:$B$5001,$A$245,BD!$Y$3:$Y$5001,"&lt;&gt;")=0,"",SUMIFS(BD!$Y$3:$Y$5001,BD!$A$3:$A$5001,M$3,BD!$B$3:$B$5001,$A$245)))</f>
        <v/>
      </c>
      <c r="N268" s="216" t="str">
        <f>IF(N$3="","",IF(COUNTIFS(BD!$A$3:$A$5001,N$3,BD!$B$3:$B$5001,$A$245,BD!$Y$3:$Y$5001,"&lt;&gt;")=0,"",SUMIFS(BD!$Y$3:$Y$5001,BD!$A$3:$A$5001,N$3,BD!$B$3:$B$5001,$A$245)))</f>
        <v/>
      </c>
      <c r="O268" s="216" t="str">
        <f>IF(O$3="","",IF(COUNTIFS(BD!$A$3:$A$5001,O$3,BD!$B$3:$B$5001,$A$245,BD!$Y$3:$Y$5001,"&lt;&gt;")=0,"",SUMIFS(BD!$Y$3:$Y$5001,BD!$A$3:$A$5001,O$3,BD!$B$3:$B$5001,$A$245)))</f>
        <v/>
      </c>
      <c r="P268" s="216" t="str">
        <f>IF(P$3="","",IF(COUNTIFS(BD!$A$3:$A$5001,P$3,BD!$B$3:$B$5001,$A$245,BD!$Y$3:$Y$5001,"&lt;&gt;")=0,"",SUMIFS(BD!$Y$3:$Y$5001,BD!$A$3:$A$5001,P$3,BD!$B$3:$B$5001,$A$245)))</f>
        <v/>
      </c>
      <c r="Q268" s="216" t="str">
        <f>IF(Q$3="","",IF(COUNTIFS(BD!$A$3:$A$5001,Q$3,BD!$B$3:$B$5001,$A$245,BD!$Y$3:$Y$5001,"&lt;&gt;")=0,"",SUMIFS(BD!$Y$3:$Y$5001,BD!$A$3:$A$5001,Q$3,BD!$B$3:$B$5001,$A$245)))</f>
        <v/>
      </c>
      <c r="R268" s="216" t="str">
        <f>IF(R$3="","",IF(COUNTIFS(BD!$A$3:$A$5001,R$3,BD!$B$3:$B$5001,$A$245,BD!$Y$3:$Y$5001,"&lt;&gt;")=0,"",SUMIFS(BD!$Y$3:$Y$5001,BD!$A$3:$A$5001,R$3,BD!$B$3:$B$5001,$A$245)))</f>
        <v/>
      </c>
      <c r="S268" s="216" t="str">
        <f>IF(S$3="","",IF(COUNTIFS(BD!$A$3:$A$5001,S$3,BD!$B$3:$B$5001,$A$245,BD!$Y$3:$Y$5001,"&lt;&gt;")=0,"",SUMIFS(BD!$Y$3:$Y$5001,BD!$A$3:$A$5001,S$3,BD!$B$3:$B$5001,$A$245)))</f>
        <v/>
      </c>
      <c r="T268" s="216" t="str">
        <f>IF(T$3="","",IF(COUNTIFS(BD!$A$3:$A$5001,T$3,BD!$B$3:$B$5001,$A$245,BD!$Y$3:$Y$5001,"&lt;&gt;")=0,"",SUMIFS(BD!$Y$3:$Y$5001,BD!$A$3:$A$5001,T$3,BD!$B$3:$B$5001,$A$245)))</f>
        <v/>
      </c>
      <c r="U268" s="216" t="str">
        <f>IF(U$3="","",IF(COUNTIFS(BD!$A$3:$A$5001,U$3,BD!$B$3:$B$5001,$A$245,BD!$Y$3:$Y$5001,"&lt;&gt;")=0,"",SUMIFS(BD!$Y$3:$Y$5001,BD!$A$3:$A$5001,U$3,BD!$B$3:$B$5001,$A$245)))</f>
        <v/>
      </c>
      <c r="V268" s="216" t="str">
        <f>IF(V$3="","",IF(COUNTIFS(BD!$A$3:$A$5001,V$3,BD!$B$3:$B$5001,$A$245,BD!$Y$3:$Y$5001,"&lt;&gt;")=0,"",SUMIFS(BD!$Y$3:$Y$5001,BD!$A$3:$A$5001,V$3,BD!$B$3:$B$5001,$A$245)))</f>
        <v/>
      </c>
      <c r="W268" s="216" t="str">
        <f>IF(W$3="","",IF(COUNTIFS(BD!$A$3:$A$5001,W$3,BD!$B$3:$B$5001,$A$245,BD!$Y$3:$Y$5001,"&lt;&gt;")=0,"",SUMIFS(BD!$Y$3:$Y$5001,BD!$A$3:$A$5001,W$3,BD!$B$3:$B$5001,$A$245)))</f>
        <v/>
      </c>
      <c r="X268" s="216" t="str">
        <f>IF(X$3="","",IF(COUNTIFS(BD!$A$3:$A$5001,X$3,BD!$B$3:$B$5001,$A$245,BD!$Y$3:$Y$5001,"&lt;&gt;")=0,"",SUMIFS(BD!$Y$3:$Y$5001,BD!$A$3:$A$5001,X$3,BD!$B$3:$B$5001,$A$245)))</f>
        <v/>
      </c>
      <c r="Y268" s="216" t="str">
        <f>IF(Y$3="","",IF(COUNTIFS(BD!$A$3:$A$5001,Y$3,BD!$B$3:$B$5001,$A$245,BD!$Y$3:$Y$5001,"&lt;&gt;")=0,"",SUMIFS(BD!$Y$3:$Y$5001,BD!$A$3:$A$5001,Y$3,BD!$B$3:$B$5001,$A$245)))</f>
        <v/>
      </c>
      <c r="Z268" s="216" t="str">
        <f>IF(Z$3="","",IF(COUNTIFS(BD!$A$3:$A$5001,Z$3,BD!$B$3:$B$5001,$A$245,BD!$Y$3:$Y$5001,"&lt;&gt;")=0,"",SUMIFS(BD!$Y$3:$Y$5001,BD!$A$3:$A$5001,Z$3,BD!$B$3:$B$5001,$A$245)))</f>
        <v/>
      </c>
      <c r="AA268" s="216" t="str">
        <f>IF(AA$3="","",IF(COUNTIFS(BD!$A$3:$A$5001,AA$3,BD!$B$3:$B$5001,$A$245,BD!$Y$3:$Y$5001,"&lt;&gt;")=0,"",SUMIFS(BD!$Y$3:$Y$5001,BD!$A$3:$A$5001,AA$3,BD!$B$3:$B$5001,$A$245)))</f>
        <v/>
      </c>
      <c r="AB268" s="216" t="str">
        <f>IF(AB$3="","",IF(COUNTIFS(BD!$A$3:$A$5001,AB$3,BD!$B$3:$B$5001,$A$245,BD!$Y$3:$Y$5001,"&lt;&gt;")=0,"",SUMIFS(BD!$Y$3:$Y$5001,BD!$A$3:$A$5001,AB$3,BD!$B$3:$B$5001,$A$245)))</f>
        <v/>
      </c>
      <c r="AC268" s="216" t="str">
        <f>IF(AC$3="","",IF(COUNTIFS(BD!$A$3:$A$5001,AC$3,BD!$B$3:$B$5001,$A$245,BD!$Y$3:$Y$5001,"&lt;&gt;")=0,"",SUMIFS(BD!$Y$3:$Y$5001,BD!$A$3:$A$5001,AC$3,BD!$B$3:$B$5001,$A$245)))</f>
        <v/>
      </c>
      <c r="AD268" s="216" t="str">
        <f>IF(AD$3="","",IF(COUNTIFS(BD!$A$3:$A$5001,AD$3,BD!$B$3:$B$5001,$A$245,BD!$Y$3:$Y$5001,"&lt;&gt;")=0,"",SUMIFS(BD!$Y$3:$Y$5001,BD!$A$3:$A$5001,AD$3,BD!$B$3:$B$5001,$A$245)))</f>
        <v/>
      </c>
      <c r="AE268" s="216" t="str">
        <f>IF(AE$3="","",IF(COUNTIFS(BD!$A$3:$A$5001,AE$3,BD!$B$3:$B$5001,$A$245,BD!$Y$3:$Y$5001,"&lt;&gt;")=0,"",SUMIFS(BD!$Y$3:$Y$5001,BD!$A$3:$A$5001,AE$3,BD!$B$3:$B$5001,$A$245)))</f>
        <v/>
      </c>
      <c r="AF268" s="216" t="str">
        <f>IF(AF$3="","",IF(COUNTIFS(BD!$A$3:$A$5001,AF$3,BD!$B$3:$B$5001,$A$245,BD!$Y$3:$Y$5001,"&lt;&gt;")=0,"",SUMIFS(BD!$Y$3:$Y$5001,BD!$A$3:$A$5001,AF$3,BD!$B$3:$B$5001,$A$245)))</f>
        <v/>
      </c>
      <c r="AG268" s="216" t="str">
        <f>IF(AG$3="","",IF(COUNTIFS(BD!$A$3:$A$5001,AG$3,BD!$B$3:$B$5001,$A$245,BD!$Y$3:$Y$5001,"&lt;&gt;")=0,"",SUMIFS(BD!$Y$3:$Y$5001,BD!$A$3:$A$5001,AG$3,BD!$B$3:$B$5001,$A$245)))</f>
        <v/>
      </c>
      <c r="AH268" s="216" t="str">
        <f>IF(AH$3="","",IF(COUNTIFS(BD!$A$3:$A$5001,AH$3,BD!$B$3:$B$5001,$A$245,BD!$Y$3:$Y$5001,"&lt;&gt;")=0,"",SUMIFS(BD!$Y$3:$Y$5001,BD!$A$3:$A$5001,AH$3,BD!$B$3:$B$5001,$A$245)))</f>
        <v/>
      </c>
      <c r="AI268" s="216" t="str">
        <f>IF(AI$3="","",IF(COUNTIFS(BD!$A$3:$A$5001,AI$3,BD!$B$3:$B$5001,$A$245,BD!$Y$3:$Y$5001,"&lt;&gt;")=0,"",SUMIFS(BD!$Y$3:$Y$5001,BD!$A$3:$A$5001,AI$3,BD!$B$3:$B$5001,$A$245)))</f>
        <v/>
      </c>
      <c r="AJ268" s="217" t="str">
        <f>IF(AJ$3="","",IF(COUNTIFS(BD!$A$3:$A$5001,AJ$3,BD!$B$3:$B$5001,$A$245,BD!$Y$3:$Y$5001,"&lt;&gt;")=0,"",SUMIFS(BD!$Y$3:$Y$5001,BD!$A$3:$A$5001,AJ$3,BD!$B$3:$B$5001,$A$245)))</f>
        <v/>
      </c>
      <c r="AK268" s="218" t="str">
        <f>IFERROR(LOOKUP(9.99E+307,F268:AJ268),"")</f>
        <v/>
      </c>
    </row>
    <row r="269" ht="15.75" customHeight="1" hidden="1">
      <c r="A269" s="244"/>
      <c r="B269" s="241"/>
      <c r="C269" s="219" t="inlineStr">
        <is>
          <t xml:space="preserve">Falta</t>
        </is>
      </c>
      <c r="D269" s="220" t="str">
        <f>IFERROR(1/(1/INDEX(BD!$AJ$47:$BD$47,MATCH($A$245,BD!$AJ$22:$BD$22,0))),"")</f>
        <v/>
      </c>
      <c r="E269" s="221"/>
      <c r="F269" s="222" t="str">
        <f>IF(F$3="","",IF(COUNTIFS(BD!$A$3:$A$5001,F$3,BD!$B$3:$B$5001,$A$245,BD!$Z$3:$Z$5001,"&lt;&gt;")=0,"",SUMIFS(BD!$Z$3:$Z$5001,BD!$A$3:$A$5001,F$3,BD!$B$3:$B$5001,$A$245)))</f>
        <v/>
      </c>
      <c r="G269" s="223" t="str">
        <f>IF(G$3="","",IF(COUNTIFS(BD!$A$3:$A$5001,G$3,BD!$B$3:$B$5001,$A$245,BD!$Z$3:$Z$5001,"&lt;&gt;")=0,"",SUMIFS(BD!$Z$3:$Z$5001,BD!$A$3:$A$5001,G$3,BD!$B$3:$B$5001,$A$245)))</f>
        <v/>
      </c>
      <c r="H269" s="223" t="str">
        <f>IF(H$3="","",IF(COUNTIFS(BD!$A$3:$A$5001,H$3,BD!$B$3:$B$5001,$A$245,BD!$Z$3:$Z$5001,"&lt;&gt;")=0,"",SUMIFS(BD!$Z$3:$Z$5001,BD!$A$3:$A$5001,H$3,BD!$B$3:$B$5001,$A$245)))</f>
        <v/>
      </c>
      <c r="I269" s="223" t="str">
        <f>IF(I$3="","",IF(COUNTIFS(BD!$A$3:$A$5001,I$3,BD!$B$3:$B$5001,$A$245,BD!$Z$3:$Z$5001,"&lt;&gt;")=0,"",SUMIFS(BD!$Z$3:$Z$5001,BD!$A$3:$A$5001,I$3,BD!$B$3:$B$5001,$A$245)))</f>
        <v/>
      </c>
      <c r="J269" s="223" t="str">
        <f>IF(J$3="","",IF(COUNTIFS(BD!$A$3:$A$5001,J$3,BD!$B$3:$B$5001,$A$245,BD!$Z$3:$Z$5001,"&lt;&gt;")=0,"",SUMIFS(BD!$Z$3:$Z$5001,BD!$A$3:$A$5001,J$3,BD!$B$3:$B$5001,$A$245)))</f>
        <v/>
      </c>
      <c r="K269" s="223" t="str">
        <f>IF(K$3="","",IF(COUNTIFS(BD!$A$3:$A$5001,K$3,BD!$B$3:$B$5001,$A$245,BD!$Z$3:$Z$5001,"&lt;&gt;")=0,"",SUMIFS(BD!$Z$3:$Z$5001,BD!$A$3:$A$5001,K$3,BD!$B$3:$B$5001,$A$245)))</f>
        <v/>
      </c>
      <c r="L269" s="223" t="str">
        <f>IF(L$3="","",IF(COUNTIFS(BD!$A$3:$A$5001,L$3,BD!$B$3:$B$5001,$A$245,BD!$Z$3:$Z$5001,"&lt;&gt;")=0,"",SUMIFS(BD!$Z$3:$Z$5001,BD!$A$3:$A$5001,L$3,BD!$B$3:$B$5001,$A$245)))</f>
        <v/>
      </c>
      <c r="M269" s="223" t="str">
        <f>IF(M$3="","",IF(COUNTIFS(BD!$A$3:$A$5001,M$3,BD!$B$3:$B$5001,$A$245,BD!$Z$3:$Z$5001,"&lt;&gt;")=0,"",SUMIFS(BD!$Z$3:$Z$5001,BD!$A$3:$A$5001,M$3,BD!$B$3:$B$5001,$A$245)))</f>
        <v/>
      </c>
      <c r="N269" s="223" t="str">
        <f>IF(N$3="","",IF(COUNTIFS(BD!$A$3:$A$5001,N$3,BD!$B$3:$B$5001,$A$245,BD!$Z$3:$Z$5001,"&lt;&gt;")=0,"",SUMIFS(BD!$Z$3:$Z$5001,BD!$A$3:$A$5001,N$3,BD!$B$3:$B$5001,$A$245)))</f>
        <v/>
      </c>
      <c r="O269" s="223" t="str">
        <f>IF(O$3="","",IF(COUNTIFS(BD!$A$3:$A$5001,O$3,BD!$B$3:$B$5001,$A$245,BD!$Z$3:$Z$5001,"&lt;&gt;")=0,"",SUMIFS(BD!$Z$3:$Z$5001,BD!$A$3:$A$5001,O$3,BD!$B$3:$B$5001,$A$245)))</f>
        <v/>
      </c>
      <c r="P269" s="223" t="str">
        <f>IF(P$3="","",IF(COUNTIFS(BD!$A$3:$A$5001,P$3,BD!$B$3:$B$5001,$A$245,BD!$Z$3:$Z$5001,"&lt;&gt;")=0,"",SUMIFS(BD!$Z$3:$Z$5001,BD!$A$3:$A$5001,P$3,BD!$B$3:$B$5001,$A$245)))</f>
        <v/>
      </c>
      <c r="Q269" s="223" t="str">
        <f>IF(Q$3="","",IF(COUNTIFS(BD!$A$3:$A$5001,Q$3,BD!$B$3:$B$5001,$A$245,BD!$Z$3:$Z$5001,"&lt;&gt;")=0,"",SUMIFS(BD!$Z$3:$Z$5001,BD!$A$3:$A$5001,Q$3,BD!$B$3:$B$5001,$A$245)))</f>
        <v/>
      </c>
      <c r="R269" s="223" t="str">
        <f>IF(R$3="","",IF(COUNTIFS(BD!$A$3:$A$5001,R$3,BD!$B$3:$B$5001,$A$245,BD!$Z$3:$Z$5001,"&lt;&gt;")=0,"",SUMIFS(BD!$Z$3:$Z$5001,BD!$A$3:$A$5001,R$3,BD!$B$3:$B$5001,$A$245)))</f>
        <v/>
      </c>
      <c r="S269" s="223" t="str">
        <f>IF(S$3="","",IF(COUNTIFS(BD!$A$3:$A$5001,S$3,BD!$B$3:$B$5001,$A$245,BD!$Z$3:$Z$5001,"&lt;&gt;")=0,"",SUMIFS(BD!$Z$3:$Z$5001,BD!$A$3:$A$5001,S$3,BD!$B$3:$B$5001,$A$245)))</f>
        <v/>
      </c>
      <c r="T269" s="223" t="str">
        <f>IF(T$3="","",IF(COUNTIFS(BD!$A$3:$A$5001,T$3,BD!$B$3:$B$5001,$A$245,BD!$Z$3:$Z$5001,"&lt;&gt;")=0,"",SUMIFS(BD!$Z$3:$Z$5001,BD!$A$3:$A$5001,T$3,BD!$B$3:$B$5001,$A$245)))</f>
        <v/>
      </c>
      <c r="U269" s="223" t="str">
        <f>IF(U$3="","",IF(COUNTIFS(BD!$A$3:$A$5001,U$3,BD!$B$3:$B$5001,$A$245,BD!$Z$3:$Z$5001,"&lt;&gt;")=0,"",SUMIFS(BD!$Z$3:$Z$5001,BD!$A$3:$A$5001,U$3,BD!$B$3:$B$5001,$A$245)))</f>
        <v/>
      </c>
      <c r="V269" s="223" t="str">
        <f>IF(V$3="","",IF(COUNTIFS(BD!$A$3:$A$5001,V$3,BD!$B$3:$B$5001,$A$245,BD!$Z$3:$Z$5001,"&lt;&gt;")=0,"",SUMIFS(BD!$Z$3:$Z$5001,BD!$A$3:$A$5001,V$3,BD!$B$3:$B$5001,$A$245)))</f>
        <v/>
      </c>
      <c r="W269" s="223" t="str">
        <f>IF(W$3="","",IF(COUNTIFS(BD!$A$3:$A$5001,W$3,BD!$B$3:$B$5001,$A$245,BD!$Z$3:$Z$5001,"&lt;&gt;")=0,"",SUMIFS(BD!$Z$3:$Z$5001,BD!$A$3:$A$5001,W$3,BD!$B$3:$B$5001,$A$245)))</f>
        <v/>
      </c>
      <c r="X269" s="223" t="str">
        <f>IF(X$3="","",IF(COUNTIFS(BD!$A$3:$A$5001,X$3,BD!$B$3:$B$5001,$A$245,BD!$Z$3:$Z$5001,"&lt;&gt;")=0,"",SUMIFS(BD!$Z$3:$Z$5001,BD!$A$3:$A$5001,X$3,BD!$B$3:$B$5001,$A$245)))</f>
        <v/>
      </c>
      <c r="Y269" s="223" t="str">
        <f>IF(Y$3="","",IF(COUNTIFS(BD!$A$3:$A$5001,Y$3,BD!$B$3:$B$5001,$A$245,BD!$Z$3:$Z$5001,"&lt;&gt;")=0,"",SUMIFS(BD!$Z$3:$Z$5001,BD!$A$3:$A$5001,Y$3,BD!$B$3:$B$5001,$A$245)))</f>
        <v/>
      </c>
      <c r="Z269" s="223" t="str">
        <f>IF(Z$3="","",IF(COUNTIFS(BD!$A$3:$A$5001,Z$3,BD!$B$3:$B$5001,$A$245,BD!$Z$3:$Z$5001,"&lt;&gt;")=0,"",SUMIFS(BD!$Z$3:$Z$5001,BD!$A$3:$A$5001,Z$3,BD!$B$3:$B$5001,$A$245)))</f>
        <v/>
      </c>
      <c r="AA269" s="223" t="str">
        <f>IF(AA$3="","",IF(COUNTIFS(BD!$A$3:$A$5001,AA$3,BD!$B$3:$B$5001,$A$245,BD!$Z$3:$Z$5001,"&lt;&gt;")=0,"",SUMIFS(BD!$Z$3:$Z$5001,BD!$A$3:$A$5001,AA$3,BD!$B$3:$B$5001,$A$245)))</f>
        <v/>
      </c>
      <c r="AB269" s="223" t="str">
        <f>IF(AB$3="","",IF(COUNTIFS(BD!$A$3:$A$5001,AB$3,BD!$B$3:$B$5001,$A$245,BD!$Z$3:$Z$5001,"&lt;&gt;")=0,"",SUMIFS(BD!$Z$3:$Z$5001,BD!$A$3:$A$5001,AB$3,BD!$B$3:$B$5001,$A$245)))</f>
        <v/>
      </c>
      <c r="AC269" s="223" t="str">
        <f>IF(AC$3="","",IF(COUNTIFS(BD!$A$3:$A$5001,AC$3,BD!$B$3:$B$5001,$A$245,BD!$Z$3:$Z$5001,"&lt;&gt;")=0,"",SUMIFS(BD!$Z$3:$Z$5001,BD!$A$3:$A$5001,AC$3,BD!$B$3:$B$5001,$A$245)))</f>
        <v/>
      </c>
      <c r="AD269" s="223" t="str">
        <f>IF(AD$3="","",IF(COUNTIFS(BD!$A$3:$A$5001,AD$3,BD!$B$3:$B$5001,$A$245,BD!$Z$3:$Z$5001,"&lt;&gt;")=0,"",SUMIFS(BD!$Z$3:$Z$5001,BD!$A$3:$A$5001,AD$3,BD!$B$3:$B$5001,$A$245)))</f>
        <v/>
      </c>
      <c r="AE269" s="223" t="str">
        <f>IF(AE$3="","",IF(COUNTIFS(BD!$A$3:$A$5001,AE$3,BD!$B$3:$B$5001,$A$245,BD!$Z$3:$Z$5001,"&lt;&gt;")=0,"",SUMIFS(BD!$Z$3:$Z$5001,BD!$A$3:$A$5001,AE$3,BD!$B$3:$B$5001,$A$245)))</f>
        <v/>
      </c>
      <c r="AF269" s="223" t="str">
        <f>IF(AF$3="","",IF(COUNTIFS(BD!$A$3:$A$5001,AF$3,BD!$B$3:$B$5001,$A$245,BD!$Z$3:$Z$5001,"&lt;&gt;")=0,"",SUMIFS(BD!$Z$3:$Z$5001,BD!$A$3:$A$5001,AF$3,BD!$B$3:$B$5001,$A$245)))</f>
        <v/>
      </c>
      <c r="AG269" s="223" t="str">
        <f>IF(AG$3="","",IF(COUNTIFS(BD!$A$3:$A$5001,AG$3,BD!$B$3:$B$5001,$A$245,BD!$Z$3:$Z$5001,"&lt;&gt;")=0,"",SUMIFS(BD!$Z$3:$Z$5001,BD!$A$3:$A$5001,AG$3,BD!$B$3:$B$5001,$A$245)))</f>
        <v/>
      </c>
      <c r="AH269" s="223" t="str">
        <f>IF(AH$3="","",IF(COUNTIFS(BD!$A$3:$A$5001,AH$3,BD!$B$3:$B$5001,$A$245,BD!$Z$3:$Z$5001,"&lt;&gt;")=0,"",SUMIFS(BD!$Z$3:$Z$5001,BD!$A$3:$A$5001,AH$3,BD!$B$3:$B$5001,$A$245)))</f>
        <v/>
      </c>
      <c r="AI269" s="223" t="str">
        <f>IF(AI$3="","",IF(COUNTIFS(BD!$A$3:$A$5001,AI$3,BD!$B$3:$B$5001,$A$245,BD!$Z$3:$Z$5001,"&lt;&gt;")=0,"",SUMIFS(BD!$Z$3:$Z$5001,BD!$A$3:$A$5001,AI$3,BD!$B$3:$B$5001,$A$245)))</f>
        <v/>
      </c>
      <c r="AJ269" s="224" t="str">
        <f>IF(AJ$3="","",IF(COUNTIFS(BD!$A$3:$A$5001,AJ$3,BD!$B$3:$B$5001,$A$245,BD!$Z$3:$Z$5001,"&lt;&gt;")=0,"",SUMIFS(BD!$Z$3:$Z$5001,BD!$A$3:$A$5001,AJ$3,BD!$B$3:$B$5001,$A$245)))</f>
        <v/>
      </c>
      <c r="AK269" s="225" t="str">
        <f>IF(COUNT(F269:AJ269)=0,"",SUM(F269:AJ269))</f>
        <v/>
      </c>
    </row>
    <row r="270" ht="15.75" customHeight="1" hidden="1">
      <c r="A270" s="244"/>
      <c r="B270" s="241"/>
      <c r="C270" s="219" t="inlineStr">
        <is>
          <t xml:space="preserve">Folga</t>
        </is>
      </c>
      <c r="D270" s="220" t="str">
        <f>IFERROR(1/(1/INDEX(BD!$AJ$48:$BD$48,MATCH($A$245,BD!$AJ$22:$BD$22,0))),"")</f>
        <v/>
      </c>
      <c r="E270" s="221"/>
      <c r="F270" s="222" t="str">
        <f>IF(F$3="","",IF(COUNTIFS(BD!$A$3:$A$5001,F$3,BD!$B$3:$B$5001,$A$245,BD!$AA$3:$AA$5001,"&lt;&gt;")=0,"",SUMIFS(BD!$AA$3:$AA$5001,BD!$A$3:$A$5001,F$3,BD!$B$3:$B$5001,$A$245)))</f>
        <v/>
      </c>
      <c r="G270" s="223" t="str">
        <f>IF(G$3="","",IF(COUNTIFS(BD!$A$3:$A$5001,G$3,BD!$B$3:$B$5001,$A$245,BD!$AA$3:$AA$5001,"&lt;&gt;")=0,"",SUMIFS(BD!$AA$3:$AA$5001,BD!$A$3:$A$5001,G$3,BD!$B$3:$B$5001,$A$245)))</f>
        <v/>
      </c>
      <c r="H270" s="223" t="str">
        <f>IF(H$3="","",IF(COUNTIFS(BD!$A$3:$A$5001,H$3,BD!$B$3:$B$5001,$A$245,BD!$AA$3:$AA$5001,"&lt;&gt;")=0,"",SUMIFS(BD!$AA$3:$AA$5001,BD!$A$3:$A$5001,H$3,BD!$B$3:$B$5001,$A$245)))</f>
        <v/>
      </c>
      <c r="I270" s="223" t="str">
        <f>IF(I$3="","",IF(COUNTIFS(BD!$A$3:$A$5001,I$3,BD!$B$3:$B$5001,$A$245,BD!$AA$3:$AA$5001,"&lt;&gt;")=0,"",SUMIFS(BD!$AA$3:$AA$5001,BD!$A$3:$A$5001,I$3,BD!$B$3:$B$5001,$A$245)))</f>
        <v/>
      </c>
      <c r="J270" s="223" t="str">
        <f>IF(J$3="","",IF(COUNTIFS(BD!$A$3:$A$5001,J$3,BD!$B$3:$B$5001,$A$245,BD!$AA$3:$AA$5001,"&lt;&gt;")=0,"",SUMIFS(BD!$AA$3:$AA$5001,BD!$A$3:$A$5001,J$3,BD!$B$3:$B$5001,$A$245)))</f>
        <v/>
      </c>
      <c r="K270" s="223" t="str">
        <f>IF(K$3="","",IF(COUNTIFS(BD!$A$3:$A$5001,K$3,BD!$B$3:$B$5001,$A$245,BD!$AA$3:$AA$5001,"&lt;&gt;")=0,"",SUMIFS(BD!$AA$3:$AA$5001,BD!$A$3:$A$5001,K$3,BD!$B$3:$B$5001,$A$245)))</f>
        <v/>
      </c>
      <c r="L270" s="223" t="str">
        <f>IF(L$3="","",IF(COUNTIFS(BD!$A$3:$A$5001,L$3,BD!$B$3:$B$5001,$A$245,BD!$AA$3:$AA$5001,"&lt;&gt;")=0,"",SUMIFS(BD!$AA$3:$AA$5001,BD!$A$3:$A$5001,L$3,BD!$B$3:$B$5001,$A$245)))</f>
        <v/>
      </c>
      <c r="M270" s="223" t="str">
        <f>IF(M$3="","",IF(COUNTIFS(BD!$A$3:$A$5001,M$3,BD!$B$3:$B$5001,$A$245,BD!$AA$3:$AA$5001,"&lt;&gt;")=0,"",SUMIFS(BD!$AA$3:$AA$5001,BD!$A$3:$A$5001,M$3,BD!$B$3:$B$5001,$A$245)))</f>
        <v/>
      </c>
      <c r="N270" s="223" t="str">
        <f>IF(N$3="","",IF(COUNTIFS(BD!$A$3:$A$5001,N$3,BD!$B$3:$B$5001,$A$245,BD!$AA$3:$AA$5001,"&lt;&gt;")=0,"",SUMIFS(BD!$AA$3:$AA$5001,BD!$A$3:$A$5001,N$3,BD!$B$3:$B$5001,$A$245)))</f>
        <v/>
      </c>
      <c r="O270" s="223" t="str">
        <f>IF(O$3="","",IF(COUNTIFS(BD!$A$3:$A$5001,O$3,BD!$B$3:$B$5001,$A$245,BD!$AA$3:$AA$5001,"&lt;&gt;")=0,"",SUMIFS(BD!$AA$3:$AA$5001,BD!$A$3:$A$5001,O$3,BD!$B$3:$B$5001,$A$245)))</f>
        <v/>
      </c>
      <c r="P270" s="223" t="str">
        <f>IF(P$3="","",IF(COUNTIFS(BD!$A$3:$A$5001,P$3,BD!$B$3:$B$5001,$A$245,BD!$AA$3:$AA$5001,"&lt;&gt;")=0,"",SUMIFS(BD!$AA$3:$AA$5001,BD!$A$3:$A$5001,P$3,BD!$B$3:$B$5001,$A$245)))</f>
        <v/>
      </c>
      <c r="Q270" s="223" t="str">
        <f>IF(Q$3="","",IF(COUNTIFS(BD!$A$3:$A$5001,Q$3,BD!$B$3:$B$5001,$A$245,BD!$AA$3:$AA$5001,"&lt;&gt;")=0,"",SUMIFS(BD!$AA$3:$AA$5001,BD!$A$3:$A$5001,Q$3,BD!$B$3:$B$5001,$A$245)))</f>
        <v/>
      </c>
      <c r="R270" s="223" t="str">
        <f>IF(R$3="","",IF(COUNTIFS(BD!$A$3:$A$5001,R$3,BD!$B$3:$B$5001,$A$245,BD!$AA$3:$AA$5001,"&lt;&gt;")=0,"",SUMIFS(BD!$AA$3:$AA$5001,BD!$A$3:$A$5001,R$3,BD!$B$3:$B$5001,$A$245)))</f>
        <v/>
      </c>
      <c r="S270" s="223" t="str">
        <f>IF(S$3="","",IF(COUNTIFS(BD!$A$3:$A$5001,S$3,BD!$B$3:$B$5001,$A$245,BD!$AA$3:$AA$5001,"&lt;&gt;")=0,"",SUMIFS(BD!$AA$3:$AA$5001,BD!$A$3:$A$5001,S$3,BD!$B$3:$B$5001,$A$245)))</f>
        <v/>
      </c>
      <c r="T270" s="223" t="str">
        <f>IF(T$3="","",IF(COUNTIFS(BD!$A$3:$A$5001,T$3,BD!$B$3:$B$5001,$A$245,BD!$AA$3:$AA$5001,"&lt;&gt;")=0,"",SUMIFS(BD!$AA$3:$AA$5001,BD!$A$3:$A$5001,T$3,BD!$B$3:$B$5001,$A$245)))</f>
        <v/>
      </c>
      <c r="U270" s="223" t="str">
        <f>IF(U$3="","",IF(COUNTIFS(BD!$A$3:$A$5001,U$3,BD!$B$3:$B$5001,$A$245,BD!$AA$3:$AA$5001,"&lt;&gt;")=0,"",SUMIFS(BD!$AA$3:$AA$5001,BD!$A$3:$A$5001,U$3,BD!$B$3:$B$5001,$A$245)))</f>
        <v/>
      </c>
      <c r="V270" s="223" t="str">
        <f>IF(V$3="","",IF(COUNTIFS(BD!$A$3:$A$5001,V$3,BD!$B$3:$B$5001,$A$245,BD!$AA$3:$AA$5001,"&lt;&gt;")=0,"",SUMIFS(BD!$AA$3:$AA$5001,BD!$A$3:$A$5001,V$3,BD!$B$3:$B$5001,$A$245)))</f>
        <v/>
      </c>
      <c r="W270" s="223" t="str">
        <f>IF(W$3="","",IF(COUNTIFS(BD!$A$3:$A$5001,W$3,BD!$B$3:$B$5001,$A$245,BD!$AA$3:$AA$5001,"&lt;&gt;")=0,"",SUMIFS(BD!$AA$3:$AA$5001,BD!$A$3:$A$5001,W$3,BD!$B$3:$B$5001,$A$245)))</f>
        <v/>
      </c>
      <c r="X270" s="223" t="str">
        <f>IF(X$3="","",IF(COUNTIFS(BD!$A$3:$A$5001,X$3,BD!$B$3:$B$5001,$A$245,BD!$AA$3:$AA$5001,"&lt;&gt;")=0,"",SUMIFS(BD!$AA$3:$AA$5001,BD!$A$3:$A$5001,X$3,BD!$B$3:$B$5001,$A$245)))</f>
        <v/>
      </c>
      <c r="Y270" s="223" t="str">
        <f>IF(Y$3="","",IF(COUNTIFS(BD!$A$3:$A$5001,Y$3,BD!$B$3:$B$5001,$A$245,BD!$AA$3:$AA$5001,"&lt;&gt;")=0,"",SUMIFS(BD!$AA$3:$AA$5001,BD!$A$3:$A$5001,Y$3,BD!$B$3:$B$5001,$A$245)))</f>
        <v/>
      </c>
      <c r="Z270" s="223" t="str">
        <f>IF(Z$3="","",IF(COUNTIFS(BD!$A$3:$A$5001,Z$3,BD!$B$3:$B$5001,$A$245,BD!$AA$3:$AA$5001,"&lt;&gt;")=0,"",SUMIFS(BD!$AA$3:$AA$5001,BD!$A$3:$A$5001,Z$3,BD!$B$3:$B$5001,$A$245)))</f>
        <v/>
      </c>
      <c r="AA270" s="223" t="str">
        <f>IF(AA$3="","",IF(COUNTIFS(BD!$A$3:$A$5001,AA$3,BD!$B$3:$B$5001,$A$245,BD!$AA$3:$AA$5001,"&lt;&gt;")=0,"",SUMIFS(BD!$AA$3:$AA$5001,BD!$A$3:$A$5001,AA$3,BD!$B$3:$B$5001,$A$245)))</f>
        <v/>
      </c>
      <c r="AB270" s="223" t="str">
        <f>IF(AB$3="","",IF(COUNTIFS(BD!$A$3:$A$5001,AB$3,BD!$B$3:$B$5001,$A$245,BD!$AA$3:$AA$5001,"&lt;&gt;")=0,"",SUMIFS(BD!$AA$3:$AA$5001,BD!$A$3:$A$5001,AB$3,BD!$B$3:$B$5001,$A$245)))</f>
        <v/>
      </c>
      <c r="AC270" s="223" t="str">
        <f>IF(AC$3="","",IF(COUNTIFS(BD!$A$3:$A$5001,AC$3,BD!$B$3:$B$5001,$A$245,BD!$AA$3:$AA$5001,"&lt;&gt;")=0,"",SUMIFS(BD!$AA$3:$AA$5001,BD!$A$3:$A$5001,AC$3,BD!$B$3:$B$5001,$A$245)))</f>
        <v/>
      </c>
      <c r="AD270" s="223" t="str">
        <f>IF(AD$3="","",IF(COUNTIFS(BD!$A$3:$A$5001,AD$3,BD!$B$3:$B$5001,$A$245,BD!$AA$3:$AA$5001,"&lt;&gt;")=0,"",SUMIFS(BD!$AA$3:$AA$5001,BD!$A$3:$A$5001,AD$3,BD!$B$3:$B$5001,$A$245)))</f>
        <v/>
      </c>
      <c r="AE270" s="223" t="str">
        <f>IF(AE$3="","",IF(COUNTIFS(BD!$A$3:$A$5001,AE$3,BD!$B$3:$B$5001,$A$245,BD!$AA$3:$AA$5001,"&lt;&gt;")=0,"",SUMIFS(BD!$AA$3:$AA$5001,BD!$A$3:$A$5001,AE$3,BD!$B$3:$B$5001,$A$245)))</f>
        <v/>
      </c>
      <c r="AF270" s="223" t="str">
        <f>IF(AF$3="","",IF(COUNTIFS(BD!$A$3:$A$5001,AF$3,BD!$B$3:$B$5001,$A$245,BD!$AA$3:$AA$5001,"&lt;&gt;")=0,"",SUMIFS(BD!$AA$3:$AA$5001,BD!$A$3:$A$5001,AF$3,BD!$B$3:$B$5001,$A$245)))</f>
        <v/>
      </c>
      <c r="AG270" s="223" t="str">
        <f>IF(AG$3="","",IF(COUNTIFS(BD!$A$3:$A$5001,AG$3,BD!$B$3:$B$5001,$A$245,BD!$AA$3:$AA$5001,"&lt;&gt;")=0,"",SUMIFS(BD!$AA$3:$AA$5001,BD!$A$3:$A$5001,AG$3,BD!$B$3:$B$5001,$A$245)))</f>
        <v/>
      </c>
      <c r="AH270" s="223" t="str">
        <f>IF(AH$3="","",IF(COUNTIFS(BD!$A$3:$A$5001,AH$3,BD!$B$3:$B$5001,$A$245,BD!$AA$3:$AA$5001,"&lt;&gt;")=0,"",SUMIFS(BD!$AA$3:$AA$5001,BD!$A$3:$A$5001,AH$3,BD!$B$3:$B$5001,$A$245)))</f>
        <v/>
      </c>
      <c r="AI270" s="223" t="str">
        <f>IF(AI$3="","",IF(COUNTIFS(BD!$A$3:$A$5001,AI$3,BD!$B$3:$B$5001,$A$245,BD!$AA$3:$AA$5001,"&lt;&gt;")=0,"",SUMIFS(BD!$AA$3:$AA$5001,BD!$A$3:$A$5001,AI$3,BD!$B$3:$B$5001,$A$245)))</f>
        <v/>
      </c>
      <c r="AJ270" s="224" t="str">
        <f>IF(AJ$3="","",IF(COUNTIFS(BD!$A$3:$A$5001,AJ$3,BD!$B$3:$B$5001,$A$245,BD!$AA$3:$AA$5001,"&lt;&gt;")=0,"",SUMIFS(BD!$AA$3:$AA$5001,BD!$A$3:$A$5001,AJ$3,BD!$B$3:$B$5001,$A$245)))</f>
        <v/>
      </c>
      <c r="AK270" s="225" t="str">
        <f>IF(COUNT(F270:AJ270)=0,"",SUM(F270:AJ270))</f>
        <v/>
      </c>
    </row>
    <row r="271" ht="15.75" customHeight="1" hidden="1">
      <c r="A271" s="244"/>
      <c r="B271" s="241"/>
      <c r="C271" s="219" t="inlineStr">
        <is>
          <t xml:space="preserve">Férias</t>
        </is>
      </c>
      <c r="D271" s="220" t="str">
        <f>IFERROR(1/(1/INDEX(BD!$AJ$49:$BD$49,MATCH($A$245,BD!$AJ$22:$BD$22,0))),"")</f>
        <v/>
      </c>
      <c r="E271" s="221"/>
      <c r="F271" s="222" t="str">
        <f>IF(F$3="","",IF(COUNTIFS(BD!$A$3:$A$5001,F$3,BD!$B$3:$B$5001,$A$245,BD!$AB$3:$AB$5001,"&lt;&gt;")=0,"",SUMIFS(BD!$AB$3:$AB$5001,BD!$A$3:$A$5001,F$3,BD!$B$3:$B$5001,$A$245)))</f>
        <v/>
      </c>
      <c r="G271" s="223" t="str">
        <f>IF(G$3="","",IF(COUNTIFS(BD!$A$3:$A$5001,G$3,BD!$B$3:$B$5001,$A$245,BD!$AB$3:$AB$5001,"&lt;&gt;")=0,"",SUMIFS(BD!$AB$3:$AB$5001,BD!$A$3:$A$5001,G$3,BD!$B$3:$B$5001,$A$245)))</f>
        <v/>
      </c>
      <c r="H271" s="223" t="str">
        <f>IF(H$3="","",IF(COUNTIFS(BD!$A$3:$A$5001,H$3,BD!$B$3:$B$5001,$A$245,BD!$AB$3:$AB$5001,"&lt;&gt;")=0,"",SUMIFS(BD!$AB$3:$AB$5001,BD!$A$3:$A$5001,H$3,BD!$B$3:$B$5001,$A$245)))</f>
        <v/>
      </c>
      <c r="I271" s="223" t="str">
        <f>IF(I$3="","",IF(COUNTIFS(BD!$A$3:$A$5001,I$3,BD!$B$3:$B$5001,$A$245,BD!$AB$3:$AB$5001,"&lt;&gt;")=0,"",SUMIFS(BD!$AB$3:$AB$5001,BD!$A$3:$A$5001,I$3,BD!$B$3:$B$5001,$A$245)))</f>
        <v/>
      </c>
      <c r="J271" s="223" t="str">
        <f>IF(J$3="","",IF(COUNTIFS(BD!$A$3:$A$5001,J$3,BD!$B$3:$B$5001,$A$245,BD!$AB$3:$AB$5001,"&lt;&gt;")=0,"",SUMIFS(BD!$AB$3:$AB$5001,BD!$A$3:$A$5001,J$3,BD!$B$3:$B$5001,$A$245)))</f>
        <v/>
      </c>
      <c r="K271" s="223" t="str">
        <f>IF(K$3="","",IF(COUNTIFS(BD!$A$3:$A$5001,K$3,BD!$B$3:$B$5001,$A$245,BD!$AB$3:$AB$5001,"&lt;&gt;")=0,"",SUMIFS(BD!$AB$3:$AB$5001,BD!$A$3:$A$5001,K$3,BD!$B$3:$B$5001,$A$245)))</f>
        <v/>
      </c>
      <c r="L271" s="223" t="str">
        <f>IF(L$3="","",IF(COUNTIFS(BD!$A$3:$A$5001,L$3,BD!$B$3:$B$5001,$A$245,BD!$AB$3:$AB$5001,"&lt;&gt;")=0,"",SUMIFS(BD!$AB$3:$AB$5001,BD!$A$3:$A$5001,L$3,BD!$B$3:$B$5001,$A$245)))</f>
        <v/>
      </c>
      <c r="M271" s="223" t="str">
        <f>IF(M$3="","",IF(COUNTIFS(BD!$A$3:$A$5001,M$3,BD!$B$3:$B$5001,$A$245,BD!$AB$3:$AB$5001,"&lt;&gt;")=0,"",SUMIFS(BD!$AB$3:$AB$5001,BD!$A$3:$A$5001,M$3,BD!$B$3:$B$5001,$A$245)))</f>
        <v/>
      </c>
      <c r="N271" s="223" t="str">
        <f>IF(N$3="","",IF(COUNTIFS(BD!$A$3:$A$5001,N$3,BD!$B$3:$B$5001,$A$245,BD!$AB$3:$AB$5001,"&lt;&gt;")=0,"",SUMIFS(BD!$AB$3:$AB$5001,BD!$A$3:$A$5001,N$3,BD!$B$3:$B$5001,$A$245)))</f>
        <v/>
      </c>
      <c r="O271" s="223" t="str">
        <f>IF(O$3="","",IF(COUNTIFS(BD!$A$3:$A$5001,O$3,BD!$B$3:$B$5001,$A$245,BD!$AB$3:$AB$5001,"&lt;&gt;")=0,"",SUMIFS(BD!$AB$3:$AB$5001,BD!$A$3:$A$5001,O$3,BD!$B$3:$B$5001,$A$245)))</f>
        <v/>
      </c>
      <c r="P271" s="223" t="str">
        <f>IF(P$3="","",IF(COUNTIFS(BD!$A$3:$A$5001,P$3,BD!$B$3:$B$5001,$A$245,BD!$AB$3:$AB$5001,"&lt;&gt;")=0,"",SUMIFS(BD!$AB$3:$AB$5001,BD!$A$3:$A$5001,P$3,BD!$B$3:$B$5001,$A$245)))</f>
        <v/>
      </c>
      <c r="Q271" s="223" t="str">
        <f>IF(Q$3="","",IF(COUNTIFS(BD!$A$3:$A$5001,Q$3,BD!$B$3:$B$5001,$A$245,BD!$AB$3:$AB$5001,"&lt;&gt;")=0,"",SUMIFS(BD!$AB$3:$AB$5001,BD!$A$3:$A$5001,Q$3,BD!$B$3:$B$5001,$A$245)))</f>
        <v/>
      </c>
      <c r="R271" s="223" t="str">
        <f>IF(R$3="","",IF(COUNTIFS(BD!$A$3:$A$5001,R$3,BD!$B$3:$B$5001,$A$245,BD!$AB$3:$AB$5001,"&lt;&gt;")=0,"",SUMIFS(BD!$AB$3:$AB$5001,BD!$A$3:$A$5001,R$3,BD!$B$3:$B$5001,$A$245)))</f>
        <v/>
      </c>
      <c r="S271" s="223" t="str">
        <f>IF(S$3="","",IF(COUNTIFS(BD!$A$3:$A$5001,S$3,BD!$B$3:$B$5001,$A$245,BD!$AB$3:$AB$5001,"&lt;&gt;")=0,"",SUMIFS(BD!$AB$3:$AB$5001,BD!$A$3:$A$5001,S$3,BD!$B$3:$B$5001,$A$245)))</f>
        <v/>
      </c>
      <c r="T271" s="223" t="str">
        <f>IF(T$3="","",IF(COUNTIFS(BD!$A$3:$A$5001,T$3,BD!$B$3:$B$5001,$A$245,BD!$AB$3:$AB$5001,"&lt;&gt;")=0,"",SUMIFS(BD!$AB$3:$AB$5001,BD!$A$3:$A$5001,T$3,BD!$B$3:$B$5001,$A$245)))</f>
        <v/>
      </c>
      <c r="U271" s="223" t="str">
        <f>IF(U$3="","",IF(COUNTIFS(BD!$A$3:$A$5001,U$3,BD!$B$3:$B$5001,$A$245,BD!$AB$3:$AB$5001,"&lt;&gt;")=0,"",SUMIFS(BD!$AB$3:$AB$5001,BD!$A$3:$A$5001,U$3,BD!$B$3:$B$5001,$A$245)))</f>
        <v/>
      </c>
      <c r="V271" s="223" t="str">
        <f>IF(V$3="","",IF(COUNTIFS(BD!$A$3:$A$5001,V$3,BD!$B$3:$B$5001,$A$245,BD!$AB$3:$AB$5001,"&lt;&gt;")=0,"",SUMIFS(BD!$AB$3:$AB$5001,BD!$A$3:$A$5001,V$3,BD!$B$3:$B$5001,$A$245)))</f>
        <v/>
      </c>
      <c r="W271" s="223" t="str">
        <f>IF(W$3="","",IF(COUNTIFS(BD!$A$3:$A$5001,W$3,BD!$B$3:$B$5001,$A$245,BD!$AB$3:$AB$5001,"&lt;&gt;")=0,"",SUMIFS(BD!$AB$3:$AB$5001,BD!$A$3:$A$5001,W$3,BD!$B$3:$B$5001,$A$245)))</f>
        <v/>
      </c>
      <c r="X271" s="223" t="str">
        <f>IF(X$3="","",IF(COUNTIFS(BD!$A$3:$A$5001,X$3,BD!$B$3:$B$5001,$A$245,BD!$AB$3:$AB$5001,"&lt;&gt;")=0,"",SUMIFS(BD!$AB$3:$AB$5001,BD!$A$3:$A$5001,X$3,BD!$B$3:$B$5001,$A$245)))</f>
        <v/>
      </c>
      <c r="Y271" s="223" t="str">
        <f>IF(Y$3="","",IF(COUNTIFS(BD!$A$3:$A$5001,Y$3,BD!$B$3:$B$5001,$A$245,BD!$AB$3:$AB$5001,"&lt;&gt;")=0,"",SUMIFS(BD!$AB$3:$AB$5001,BD!$A$3:$A$5001,Y$3,BD!$B$3:$B$5001,$A$245)))</f>
        <v/>
      </c>
      <c r="Z271" s="223" t="str">
        <f>IF(Z$3="","",IF(COUNTIFS(BD!$A$3:$A$5001,Z$3,BD!$B$3:$B$5001,$A$245,BD!$AB$3:$AB$5001,"&lt;&gt;")=0,"",SUMIFS(BD!$AB$3:$AB$5001,BD!$A$3:$A$5001,Z$3,BD!$B$3:$B$5001,$A$245)))</f>
        <v/>
      </c>
      <c r="AA271" s="223" t="str">
        <f>IF(AA$3="","",IF(COUNTIFS(BD!$A$3:$A$5001,AA$3,BD!$B$3:$B$5001,$A$245,BD!$AB$3:$AB$5001,"&lt;&gt;")=0,"",SUMIFS(BD!$AB$3:$AB$5001,BD!$A$3:$A$5001,AA$3,BD!$B$3:$B$5001,$A$245)))</f>
        <v/>
      </c>
      <c r="AB271" s="223" t="str">
        <f>IF(AB$3="","",IF(COUNTIFS(BD!$A$3:$A$5001,AB$3,BD!$B$3:$B$5001,$A$245,BD!$AB$3:$AB$5001,"&lt;&gt;")=0,"",SUMIFS(BD!$AB$3:$AB$5001,BD!$A$3:$A$5001,AB$3,BD!$B$3:$B$5001,$A$245)))</f>
        <v/>
      </c>
      <c r="AC271" s="223" t="str">
        <f>IF(AC$3="","",IF(COUNTIFS(BD!$A$3:$A$5001,AC$3,BD!$B$3:$B$5001,$A$245,BD!$AB$3:$AB$5001,"&lt;&gt;")=0,"",SUMIFS(BD!$AB$3:$AB$5001,BD!$A$3:$A$5001,AC$3,BD!$B$3:$B$5001,$A$245)))</f>
        <v/>
      </c>
      <c r="AD271" s="223" t="str">
        <f>IF(AD$3="","",IF(COUNTIFS(BD!$A$3:$A$5001,AD$3,BD!$B$3:$B$5001,$A$245,BD!$AB$3:$AB$5001,"&lt;&gt;")=0,"",SUMIFS(BD!$AB$3:$AB$5001,BD!$A$3:$A$5001,AD$3,BD!$B$3:$B$5001,$A$245)))</f>
        <v/>
      </c>
      <c r="AE271" s="223" t="str">
        <f>IF(AE$3="","",IF(COUNTIFS(BD!$A$3:$A$5001,AE$3,BD!$B$3:$B$5001,$A$245,BD!$AB$3:$AB$5001,"&lt;&gt;")=0,"",SUMIFS(BD!$AB$3:$AB$5001,BD!$A$3:$A$5001,AE$3,BD!$B$3:$B$5001,$A$245)))</f>
        <v/>
      </c>
      <c r="AF271" s="223" t="str">
        <f>IF(AF$3="","",IF(COUNTIFS(BD!$A$3:$A$5001,AF$3,BD!$B$3:$B$5001,$A$245,BD!$AB$3:$AB$5001,"&lt;&gt;")=0,"",SUMIFS(BD!$AB$3:$AB$5001,BD!$A$3:$A$5001,AF$3,BD!$B$3:$B$5001,$A$245)))</f>
        <v/>
      </c>
      <c r="AG271" s="223" t="str">
        <f>IF(AG$3="","",IF(COUNTIFS(BD!$A$3:$A$5001,AG$3,BD!$B$3:$B$5001,$A$245,BD!$AB$3:$AB$5001,"&lt;&gt;")=0,"",SUMIFS(BD!$AB$3:$AB$5001,BD!$A$3:$A$5001,AG$3,BD!$B$3:$B$5001,$A$245)))</f>
        <v/>
      </c>
      <c r="AH271" s="223" t="str">
        <f>IF(AH$3="","",IF(COUNTIFS(BD!$A$3:$A$5001,AH$3,BD!$B$3:$B$5001,$A$245,BD!$AB$3:$AB$5001,"&lt;&gt;")=0,"",SUMIFS(BD!$AB$3:$AB$5001,BD!$A$3:$A$5001,AH$3,BD!$B$3:$B$5001,$A$245)))</f>
        <v/>
      </c>
      <c r="AI271" s="223" t="str">
        <f>IF(AI$3="","",IF(COUNTIFS(BD!$A$3:$A$5001,AI$3,BD!$B$3:$B$5001,$A$245,BD!$AB$3:$AB$5001,"&lt;&gt;")=0,"",SUMIFS(BD!$AB$3:$AB$5001,BD!$A$3:$A$5001,AI$3,BD!$B$3:$B$5001,$A$245)))</f>
        <v/>
      </c>
      <c r="AJ271" s="224" t="str">
        <f>IF(AJ$3="","",IF(COUNTIFS(BD!$A$3:$A$5001,AJ$3,BD!$B$3:$B$5001,$A$245,BD!$AB$3:$AB$5001,"&lt;&gt;")=0,"",SUMIFS(BD!$AB$3:$AB$5001,BD!$A$3:$A$5001,AJ$3,BD!$B$3:$B$5001,$A$245)))</f>
        <v/>
      </c>
      <c r="AK271" s="225" t="str">
        <f>IF(COUNT(F271:AJ271)=0,"",SUM(F271:AJ271))</f>
        <v/>
      </c>
    </row>
    <row r="272" ht="15.75" customHeight="1" hidden="1">
      <c r="A272" s="244"/>
      <c r="B272" s="241"/>
      <c r="C272" s="219" t="inlineStr">
        <is>
          <t xml:space="preserve">Desligamento</t>
        </is>
      </c>
      <c r="D272" s="220" t="str">
        <f>IFERROR(1/(1/INDEX(BD!$AJ$50:$BD$50,MATCH($A$245,BD!$AJ$22:$BD$22,0))),"")</f>
        <v/>
      </c>
      <c r="E272" s="221"/>
      <c r="F272" s="222" t="str">
        <f>IF(F$3="","",IF(COUNTIFS(BD!$A$3:$A$5001,F$3,BD!$B$3:$B$5001,$A$245,BD!$AC$3:$AC$5001,"&lt;&gt;")=0,"",SUMIFS(BD!$AC$3:$AC$5001,BD!$A$3:$A$5001,F$3,BD!$B$3:$B$5001,$A$245)))</f>
        <v/>
      </c>
      <c r="G272" s="223" t="str">
        <f>IF(G$3="","",IF(COUNTIFS(BD!$A$3:$A$5001,G$3,BD!$B$3:$B$5001,$A$245,BD!$AC$3:$AC$5001,"&lt;&gt;")=0,"",SUMIFS(BD!$AC$3:$AC$5001,BD!$A$3:$A$5001,G$3,BD!$B$3:$B$5001,$A$245)))</f>
        <v/>
      </c>
      <c r="H272" s="223" t="str">
        <f>IF(H$3="","",IF(COUNTIFS(BD!$A$3:$A$5001,H$3,BD!$B$3:$B$5001,$A$245,BD!$AC$3:$AC$5001,"&lt;&gt;")=0,"",SUMIFS(BD!$AC$3:$AC$5001,BD!$A$3:$A$5001,H$3,BD!$B$3:$B$5001,$A$245)))</f>
        <v/>
      </c>
      <c r="I272" s="223" t="str">
        <f>IF(I$3="","",IF(COUNTIFS(BD!$A$3:$A$5001,I$3,BD!$B$3:$B$5001,$A$245,BD!$AC$3:$AC$5001,"&lt;&gt;")=0,"",SUMIFS(BD!$AC$3:$AC$5001,BD!$A$3:$A$5001,I$3,BD!$B$3:$B$5001,$A$245)))</f>
        <v/>
      </c>
      <c r="J272" s="223" t="str">
        <f>IF(J$3="","",IF(COUNTIFS(BD!$A$3:$A$5001,J$3,BD!$B$3:$B$5001,$A$245,BD!$AC$3:$AC$5001,"&lt;&gt;")=0,"",SUMIFS(BD!$AC$3:$AC$5001,BD!$A$3:$A$5001,J$3,BD!$B$3:$B$5001,$A$245)))</f>
        <v/>
      </c>
      <c r="K272" s="223" t="str">
        <f>IF(K$3="","",IF(COUNTIFS(BD!$A$3:$A$5001,K$3,BD!$B$3:$B$5001,$A$245,BD!$AC$3:$AC$5001,"&lt;&gt;")=0,"",SUMIFS(BD!$AC$3:$AC$5001,BD!$A$3:$A$5001,K$3,BD!$B$3:$B$5001,$A$245)))</f>
        <v/>
      </c>
      <c r="L272" s="223" t="str">
        <f>IF(L$3="","",IF(COUNTIFS(BD!$A$3:$A$5001,L$3,BD!$B$3:$B$5001,$A$245,BD!$AC$3:$AC$5001,"&lt;&gt;")=0,"",SUMIFS(BD!$AC$3:$AC$5001,BD!$A$3:$A$5001,L$3,BD!$B$3:$B$5001,$A$245)))</f>
        <v/>
      </c>
      <c r="M272" s="223" t="str">
        <f>IF(M$3="","",IF(COUNTIFS(BD!$A$3:$A$5001,M$3,BD!$B$3:$B$5001,$A$245,BD!$AC$3:$AC$5001,"&lt;&gt;")=0,"",SUMIFS(BD!$AC$3:$AC$5001,BD!$A$3:$A$5001,M$3,BD!$B$3:$B$5001,$A$245)))</f>
        <v/>
      </c>
      <c r="N272" s="223" t="str">
        <f>IF(N$3="","",IF(COUNTIFS(BD!$A$3:$A$5001,N$3,BD!$B$3:$B$5001,$A$245,BD!$AC$3:$AC$5001,"&lt;&gt;")=0,"",SUMIFS(BD!$AC$3:$AC$5001,BD!$A$3:$A$5001,N$3,BD!$B$3:$B$5001,$A$245)))</f>
        <v/>
      </c>
      <c r="O272" s="223" t="str">
        <f>IF(O$3="","",IF(COUNTIFS(BD!$A$3:$A$5001,O$3,BD!$B$3:$B$5001,$A$245,BD!$AC$3:$AC$5001,"&lt;&gt;")=0,"",SUMIFS(BD!$AC$3:$AC$5001,BD!$A$3:$A$5001,O$3,BD!$B$3:$B$5001,$A$245)))</f>
        <v/>
      </c>
      <c r="P272" s="223" t="str">
        <f>IF(P$3="","",IF(COUNTIFS(BD!$A$3:$A$5001,P$3,BD!$B$3:$B$5001,$A$245,BD!$AC$3:$AC$5001,"&lt;&gt;")=0,"",SUMIFS(BD!$AC$3:$AC$5001,BD!$A$3:$A$5001,P$3,BD!$B$3:$B$5001,$A$245)))</f>
        <v/>
      </c>
      <c r="Q272" s="223" t="str">
        <f>IF(Q$3="","",IF(COUNTIFS(BD!$A$3:$A$5001,Q$3,BD!$B$3:$B$5001,$A$245,BD!$AC$3:$AC$5001,"&lt;&gt;")=0,"",SUMIFS(BD!$AC$3:$AC$5001,BD!$A$3:$A$5001,Q$3,BD!$B$3:$B$5001,$A$245)))</f>
        <v/>
      </c>
      <c r="R272" s="223" t="str">
        <f>IF(R$3="","",IF(COUNTIFS(BD!$A$3:$A$5001,R$3,BD!$B$3:$B$5001,$A$245,BD!$AC$3:$AC$5001,"&lt;&gt;")=0,"",SUMIFS(BD!$AC$3:$AC$5001,BD!$A$3:$A$5001,R$3,BD!$B$3:$B$5001,$A$245)))</f>
        <v/>
      </c>
      <c r="S272" s="223" t="str">
        <f>IF(S$3="","",IF(COUNTIFS(BD!$A$3:$A$5001,S$3,BD!$B$3:$B$5001,$A$245,BD!$AC$3:$AC$5001,"&lt;&gt;")=0,"",SUMIFS(BD!$AC$3:$AC$5001,BD!$A$3:$A$5001,S$3,BD!$B$3:$B$5001,$A$245)))</f>
        <v/>
      </c>
      <c r="T272" s="223" t="str">
        <f>IF(T$3="","",IF(COUNTIFS(BD!$A$3:$A$5001,T$3,BD!$B$3:$B$5001,$A$245,BD!$AC$3:$AC$5001,"&lt;&gt;")=0,"",SUMIFS(BD!$AC$3:$AC$5001,BD!$A$3:$A$5001,T$3,BD!$B$3:$B$5001,$A$245)))</f>
        <v/>
      </c>
      <c r="U272" s="223" t="str">
        <f>IF(U$3="","",IF(COUNTIFS(BD!$A$3:$A$5001,U$3,BD!$B$3:$B$5001,$A$245,BD!$AC$3:$AC$5001,"&lt;&gt;")=0,"",SUMIFS(BD!$AC$3:$AC$5001,BD!$A$3:$A$5001,U$3,BD!$B$3:$B$5001,$A$245)))</f>
        <v/>
      </c>
      <c r="V272" s="223" t="str">
        <f>IF(V$3="","",IF(COUNTIFS(BD!$A$3:$A$5001,V$3,BD!$B$3:$B$5001,$A$245,BD!$AC$3:$AC$5001,"&lt;&gt;")=0,"",SUMIFS(BD!$AC$3:$AC$5001,BD!$A$3:$A$5001,V$3,BD!$B$3:$B$5001,$A$245)))</f>
        <v/>
      </c>
      <c r="W272" s="223" t="str">
        <f>IF(W$3="","",IF(COUNTIFS(BD!$A$3:$A$5001,W$3,BD!$B$3:$B$5001,$A$245,BD!$AC$3:$AC$5001,"&lt;&gt;")=0,"",SUMIFS(BD!$AC$3:$AC$5001,BD!$A$3:$A$5001,W$3,BD!$B$3:$B$5001,$A$245)))</f>
        <v/>
      </c>
      <c r="X272" s="223" t="str">
        <f>IF(X$3="","",IF(COUNTIFS(BD!$A$3:$A$5001,X$3,BD!$B$3:$B$5001,$A$245,BD!$AC$3:$AC$5001,"&lt;&gt;")=0,"",SUMIFS(BD!$AC$3:$AC$5001,BD!$A$3:$A$5001,X$3,BD!$B$3:$B$5001,$A$245)))</f>
        <v/>
      </c>
      <c r="Y272" s="223" t="str">
        <f>IF(Y$3="","",IF(COUNTIFS(BD!$A$3:$A$5001,Y$3,BD!$B$3:$B$5001,$A$245,BD!$AC$3:$AC$5001,"&lt;&gt;")=0,"",SUMIFS(BD!$AC$3:$AC$5001,BD!$A$3:$A$5001,Y$3,BD!$B$3:$B$5001,$A$245)))</f>
        <v/>
      </c>
      <c r="Z272" s="223" t="str">
        <f>IF(Z$3="","",IF(COUNTIFS(BD!$A$3:$A$5001,Z$3,BD!$B$3:$B$5001,$A$245,BD!$AC$3:$AC$5001,"&lt;&gt;")=0,"",SUMIFS(BD!$AC$3:$AC$5001,BD!$A$3:$A$5001,Z$3,BD!$B$3:$B$5001,$A$245)))</f>
        <v/>
      </c>
      <c r="AA272" s="223" t="str">
        <f>IF(AA$3="","",IF(COUNTIFS(BD!$A$3:$A$5001,AA$3,BD!$B$3:$B$5001,$A$245,BD!$AC$3:$AC$5001,"&lt;&gt;")=0,"",SUMIFS(BD!$AC$3:$AC$5001,BD!$A$3:$A$5001,AA$3,BD!$B$3:$B$5001,$A$245)))</f>
        <v/>
      </c>
      <c r="AB272" s="223" t="str">
        <f>IF(AB$3="","",IF(COUNTIFS(BD!$A$3:$A$5001,AB$3,BD!$B$3:$B$5001,$A$245,BD!$AC$3:$AC$5001,"&lt;&gt;")=0,"",SUMIFS(BD!$AC$3:$AC$5001,BD!$A$3:$A$5001,AB$3,BD!$B$3:$B$5001,$A$245)))</f>
        <v/>
      </c>
      <c r="AC272" s="223" t="str">
        <f>IF(AC$3="","",IF(COUNTIFS(BD!$A$3:$A$5001,AC$3,BD!$B$3:$B$5001,$A$245,BD!$AC$3:$AC$5001,"&lt;&gt;")=0,"",SUMIFS(BD!$AC$3:$AC$5001,BD!$A$3:$A$5001,AC$3,BD!$B$3:$B$5001,$A$245)))</f>
        <v/>
      </c>
      <c r="AD272" s="223" t="str">
        <f>IF(AD$3="","",IF(COUNTIFS(BD!$A$3:$A$5001,AD$3,BD!$B$3:$B$5001,$A$245,BD!$AC$3:$AC$5001,"&lt;&gt;")=0,"",SUMIFS(BD!$AC$3:$AC$5001,BD!$A$3:$A$5001,AD$3,BD!$B$3:$B$5001,$A$245)))</f>
        <v/>
      </c>
      <c r="AE272" s="223" t="str">
        <f>IF(AE$3="","",IF(COUNTIFS(BD!$A$3:$A$5001,AE$3,BD!$B$3:$B$5001,$A$245,BD!$AC$3:$AC$5001,"&lt;&gt;")=0,"",SUMIFS(BD!$AC$3:$AC$5001,BD!$A$3:$A$5001,AE$3,BD!$B$3:$B$5001,$A$245)))</f>
        <v/>
      </c>
      <c r="AF272" s="223" t="str">
        <f>IF(AF$3="","",IF(COUNTIFS(BD!$A$3:$A$5001,AF$3,BD!$B$3:$B$5001,$A$245,BD!$AC$3:$AC$5001,"&lt;&gt;")=0,"",SUMIFS(BD!$AC$3:$AC$5001,BD!$A$3:$A$5001,AF$3,BD!$B$3:$B$5001,$A$245)))</f>
        <v/>
      </c>
      <c r="AG272" s="223" t="str">
        <f>IF(AG$3="","",IF(COUNTIFS(BD!$A$3:$A$5001,AG$3,BD!$B$3:$B$5001,$A$245,BD!$AC$3:$AC$5001,"&lt;&gt;")=0,"",SUMIFS(BD!$AC$3:$AC$5001,BD!$A$3:$A$5001,AG$3,BD!$B$3:$B$5001,$A$245)))</f>
        <v/>
      </c>
      <c r="AH272" s="223" t="str">
        <f>IF(AH$3="","",IF(COUNTIFS(BD!$A$3:$A$5001,AH$3,BD!$B$3:$B$5001,$A$245,BD!$AC$3:$AC$5001,"&lt;&gt;")=0,"",SUMIFS(BD!$AC$3:$AC$5001,BD!$A$3:$A$5001,AH$3,BD!$B$3:$B$5001,$A$245)))</f>
        <v/>
      </c>
      <c r="AI272" s="223" t="str">
        <f>IF(AI$3="","",IF(COUNTIFS(BD!$A$3:$A$5001,AI$3,BD!$B$3:$B$5001,$A$245,BD!$AC$3:$AC$5001,"&lt;&gt;")=0,"",SUMIFS(BD!$AC$3:$AC$5001,BD!$A$3:$A$5001,AI$3,BD!$B$3:$B$5001,$A$245)))</f>
        <v/>
      </c>
      <c r="AJ272" s="224" t="str">
        <f>IF(AJ$3="","",IF(COUNTIFS(BD!$A$3:$A$5001,AJ$3,BD!$B$3:$B$5001,$A$245,BD!$AC$3:$AC$5001,"&lt;&gt;")=0,"",SUMIFS(BD!$AC$3:$AC$5001,BD!$A$3:$A$5001,AJ$3,BD!$B$3:$B$5001,$A$245)))</f>
        <v/>
      </c>
      <c r="AK272" s="225" t="str">
        <f>IF(COUNT(F272:AJ272)=0,"",SUM(F272:AJ272))</f>
        <v/>
      </c>
    </row>
    <row r="273" ht="15.75" customHeight="1" hidden="1">
      <c r="A273" s="244"/>
      <c r="B273" s="241"/>
      <c r="C273" s="219" t="inlineStr">
        <is>
          <t xml:space="preserve">Desvios Comportamentais</t>
        </is>
      </c>
      <c r="D273" s="220" t="str">
        <f>IFERROR(1/(1/INDEX(BD!$AJ$51:$BD$51,MATCH($A$245,BD!$AJ$22:$BD$22,0))),"")</f>
        <v/>
      </c>
      <c r="E273" s="221"/>
      <c r="F273" s="222" t="str">
        <f>IF(F$3="","",IF(COUNTIFS(BD!$A$3:$A$5001,F$3,BD!$B$3:$B$5001,$A$245,BD!$AD$3:$AD$5001,"&lt;&gt;")=0,"",SUMIFS(BD!$AD$3:$AD$5001,BD!$A$3:$A$5001,F$3,BD!$B$3:$B$5001,$A$245)))</f>
        <v/>
      </c>
      <c r="G273" s="223" t="str">
        <f>IF(G$3="","",IF(COUNTIFS(BD!$A$3:$A$5001,G$3,BD!$B$3:$B$5001,$A$245,BD!$AD$3:$AD$5001,"&lt;&gt;")=0,"",SUMIFS(BD!$AD$3:$AD$5001,BD!$A$3:$A$5001,G$3,BD!$B$3:$B$5001,$A$245)))</f>
        <v/>
      </c>
      <c r="H273" s="223" t="str">
        <f>IF(H$3="","",IF(COUNTIFS(BD!$A$3:$A$5001,H$3,BD!$B$3:$B$5001,$A$245,BD!$AD$3:$AD$5001,"&lt;&gt;")=0,"",SUMIFS(BD!$AD$3:$AD$5001,BD!$A$3:$A$5001,H$3,BD!$B$3:$B$5001,$A$245)))</f>
        <v/>
      </c>
      <c r="I273" s="223" t="str">
        <f>IF(I$3="","",IF(COUNTIFS(BD!$A$3:$A$5001,I$3,BD!$B$3:$B$5001,$A$245,BD!$AD$3:$AD$5001,"&lt;&gt;")=0,"",SUMIFS(BD!$AD$3:$AD$5001,BD!$A$3:$A$5001,I$3,BD!$B$3:$B$5001,$A$245)))</f>
        <v/>
      </c>
      <c r="J273" s="223" t="str">
        <f>IF(J$3="","",IF(COUNTIFS(BD!$A$3:$A$5001,J$3,BD!$B$3:$B$5001,$A$245,BD!$AD$3:$AD$5001,"&lt;&gt;")=0,"",SUMIFS(BD!$AD$3:$AD$5001,BD!$A$3:$A$5001,J$3,BD!$B$3:$B$5001,$A$245)))</f>
        <v/>
      </c>
      <c r="K273" s="223" t="str">
        <f>IF(K$3="","",IF(COUNTIFS(BD!$A$3:$A$5001,K$3,BD!$B$3:$B$5001,$A$245,BD!$AD$3:$AD$5001,"&lt;&gt;")=0,"",SUMIFS(BD!$AD$3:$AD$5001,BD!$A$3:$A$5001,K$3,BD!$B$3:$B$5001,$A$245)))</f>
        <v/>
      </c>
      <c r="L273" s="223" t="str">
        <f>IF(L$3="","",IF(COUNTIFS(BD!$A$3:$A$5001,L$3,BD!$B$3:$B$5001,$A$245,BD!$AD$3:$AD$5001,"&lt;&gt;")=0,"",SUMIFS(BD!$AD$3:$AD$5001,BD!$A$3:$A$5001,L$3,BD!$B$3:$B$5001,$A$245)))</f>
        <v/>
      </c>
      <c r="M273" s="223" t="str">
        <f>IF(M$3="","",IF(COUNTIFS(BD!$A$3:$A$5001,M$3,BD!$B$3:$B$5001,$A$245,BD!$AD$3:$AD$5001,"&lt;&gt;")=0,"",SUMIFS(BD!$AD$3:$AD$5001,BD!$A$3:$A$5001,M$3,BD!$B$3:$B$5001,$A$245)))</f>
        <v/>
      </c>
      <c r="N273" s="223" t="str">
        <f>IF(N$3="","",IF(COUNTIFS(BD!$A$3:$A$5001,N$3,BD!$B$3:$B$5001,$A$245,BD!$AD$3:$AD$5001,"&lt;&gt;")=0,"",SUMIFS(BD!$AD$3:$AD$5001,BD!$A$3:$A$5001,N$3,BD!$B$3:$B$5001,$A$245)))</f>
        <v/>
      </c>
      <c r="O273" s="223" t="str">
        <f>IF(O$3="","",IF(COUNTIFS(BD!$A$3:$A$5001,O$3,BD!$B$3:$B$5001,$A$245,BD!$AD$3:$AD$5001,"&lt;&gt;")=0,"",SUMIFS(BD!$AD$3:$AD$5001,BD!$A$3:$A$5001,O$3,BD!$B$3:$B$5001,$A$245)))</f>
        <v/>
      </c>
      <c r="P273" s="223" t="str">
        <f>IF(P$3="","",IF(COUNTIFS(BD!$A$3:$A$5001,P$3,BD!$B$3:$B$5001,$A$245,BD!$AD$3:$AD$5001,"&lt;&gt;")=0,"",SUMIFS(BD!$AD$3:$AD$5001,BD!$A$3:$A$5001,P$3,BD!$B$3:$B$5001,$A$245)))</f>
        <v/>
      </c>
      <c r="Q273" s="223" t="str">
        <f>IF(Q$3="","",IF(COUNTIFS(BD!$A$3:$A$5001,Q$3,BD!$B$3:$B$5001,$A$245,BD!$AD$3:$AD$5001,"&lt;&gt;")=0,"",SUMIFS(BD!$AD$3:$AD$5001,BD!$A$3:$A$5001,Q$3,BD!$B$3:$B$5001,$A$245)))</f>
        <v/>
      </c>
      <c r="R273" s="223" t="str">
        <f>IF(R$3="","",IF(COUNTIFS(BD!$A$3:$A$5001,R$3,BD!$B$3:$B$5001,$A$245,BD!$AD$3:$AD$5001,"&lt;&gt;")=0,"",SUMIFS(BD!$AD$3:$AD$5001,BD!$A$3:$A$5001,R$3,BD!$B$3:$B$5001,$A$245)))</f>
        <v/>
      </c>
      <c r="S273" s="223" t="str">
        <f>IF(S$3="","",IF(COUNTIFS(BD!$A$3:$A$5001,S$3,BD!$B$3:$B$5001,$A$245,BD!$AD$3:$AD$5001,"&lt;&gt;")=0,"",SUMIFS(BD!$AD$3:$AD$5001,BD!$A$3:$A$5001,S$3,BD!$B$3:$B$5001,$A$245)))</f>
        <v/>
      </c>
      <c r="T273" s="223" t="str">
        <f>IF(T$3="","",IF(COUNTIFS(BD!$A$3:$A$5001,T$3,BD!$B$3:$B$5001,$A$245,BD!$AD$3:$AD$5001,"&lt;&gt;")=0,"",SUMIFS(BD!$AD$3:$AD$5001,BD!$A$3:$A$5001,T$3,BD!$B$3:$B$5001,$A$245)))</f>
        <v/>
      </c>
      <c r="U273" s="223" t="str">
        <f>IF(U$3="","",IF(COUNTIFS(BD!$A$3:$A$5001,U$3,BD!$B$3:$B$5001,$A$245,BD!$AD$3:$AD$5001,"&lt;&gt;")=0,"",SUMIFS(BD!$AD$3:$AD$5001,BD!$A$3:$A$5001,U$3,BD!$B$3:$B$5001,$A$245)))</f>
        <v/>
      </c>
      <c r="V273" s="223" t="str">
        <f>IF(V$3="","",IF(COUNTIFS(BD!$A$3:$A$5001,V$3,BD!$B$3:$B$5001,$A$245,BD!$AD$3:$AD$5001,"&lt;&gt;")=0,"",SUMIFS(BD!$AD$3:$AD$5001,BD!$A$3:$A$5001,V$3,BD!$B$3:$B$5001,$A$245)))</f>
        <v/>
      </c>
      <c r="W273" s="223" t="str">
        <f>IF(W$3="","",IF(COUNTIFS(BD!$A$3:$A$5001,W$3,BD!$B$3:$B$5001,$A$245,BD!$AD$3:$AD$5001,"&lt;&gt;")=0,"",SUMIFS(BD!$AD$3:$AD$5001,BD!$A$3:$A$5001,W$3,BD!$B$3:$B$5001,$A$245)))</f>
        <v/>
      </c>
      <c r="X273" s="223" t="str">
        <f>IF(X$3="","",IF(COUNTIFS(BD!$A$3:$A$5001,X$3,BD!$B$3:$B$5001,$A$245,BD!$AD$3:$AD$5001,"&lt;&gt;")=0,"",SUMIFS(BD!$AD$3:$AD$5001,BD!$A$3:$A$5001,X$3,BD!$B$3:$B$5001,$A$245)))</f>
        <v/>
      </c>
      <c r="Y273" s="223" t="str">
        <f>IF(Y$3="","",IF(COUNTIFS(BD!$A$3:$A$5001,Y$3,BD!$B$3:$B$5001,$A$245,BD!$AD$3:$AD$5001,"&lt;&gt;")=0,"",SUMIFS(BD!$AD$3:$AD$5001,BD!$A$3:$A$5001,Y$3,BD!$B$3:$B$5001,$A$245)))</f>
        <v/>
      </c>
      <c r="Z273" s="223" t="str">
        <f>IF(Z$3="","",IF(COUNTIFS(BD!$A$3:$A$5001,Z$3,BD!$B$3:$B$5001,$A$245,BD!$AD$3:$AD$5001,"&lt;&gt;")=0,"",SUMIFS(BD!$AD$3:$AD$5001,BD!$A$3:$A$5001,Z$3,BD!$B$3:$B$5001,$A$245)))</f>
        <v/>
      </c>
      <c r="AA273" s="223" t="str">
        <f>IF(AA$3="","",IF(COUNTIFS(BD!$A$3:$A$5001,AA$3,BD!$B$3:$B$5001,$A$245,BD!$AD$3:$AD$5001,"&lt;&gt;")=0,"",SUMIFS(BD!$AD$3:$AD$5001,BD!$A$3:$A$5001,AA$3,BD!$B$3:$B$5001,$A$245)))</f>
        <v/>
      </c>
      <c r="AB273" s="223" t="str">
        <f>IF(AB$3="","",IF(COUNTIFS(BD!$A$3:$A$5001,AB$3,BD!$B$3:$B$5001,$A$245,BD!$AD$3:$AD$5001,"&lt;&gt;")=0,"",SUMIFS(BD!$AD$3:$AD$5001,BD!$A$3:$A$5001,AB$3,BD!$B$3:$B$5001,$A$245)))</f>
        <v/>
      </c>
      <c r="AC273" s="223" t="str">
        <f>IF(AC$3="","",IF(COUNTIFS(BD!$A$3:$A$5001,AC$3,BD!$B$3:$B$5001,$A$245,BD!$AD$3:$AD$5001,"&lt;&gt;")=0,"",SUMIFS(BD!$AD$3:$AD$5001,BD!$A$3:$A$5001,AC$3,BD!$B$3:$B$5001,$A$245)))</f>
        <v/>
      </c>
      <c r="AD273" s="223" t="str">
        <f>IF(AD$3="","",IF(COUNTIFS(BD!$A$3:$A$5001,AD$3,BD!$B$3:$B$5001,$A$245,BD!$AD$3:$AD$5001,"&lt;&gt;")=0,"",SUMIFS(BD!$AD$3:$AD$5001,BD!$A$3:$A$5001,AD$3,BD!$B$3:$B$5001,$A$245)))</f>
        <v/>
      </c>
      <c r="AE273" s="223" t="str">
        <f>IF(AE$3="","",IF(COUNTIFS(BD!$A$3:$A$5001,AE$3,BD!$B$3:$B$5001,$A$245,BD!$AD$3:$AD$5001,"&lt;&gt;")=0,"",SUMIFS(BD!$AD$3:$AD$5001,BD!$A$3:$A$5001,AE$3,BD!$B$3:$B$5001,$A$245)))</f>
        <v/>
      </c>
      <c r="AF273" s="223" t="str">
        <f>IF(AF$3="","",IF(COUNTIFS(BD!$A$3:$A$5001,AF$3,BD!$B$3:$B$5001,$A$245,BD!$AD$3:$AD$5001,"&lt;&gt;")=0,"",SUMIFS(BD!$AD$3:$AD$5001,BD!$A$3:$A$5001,AF$3,BD!$B$3:$B$5001,$A$245)))</f>
        <v/>
      </c>
      <c r="AG273" s="223" t="str">
        <f>IF(AG$3="","",IF(COUNTIFS(BD!$A$3:$A$5001,AG$3,BD!$B$3:$B$5001,$A$245,BD!$AD$3:$AD$5001,"&lt;&gt;")=0,"",SUMIFS(BD!$AD$3:$AD$5001,BD!$A$3:$A$5001,AG$3,BD!$B$3:$B$5001,$A$245)))</f>
        <v/>
      </c>
      <c r="AH273" s="223" t="str">
        <f>IF(AH$3="","",IF(COUNTIFS(BD!$A$3:$A$5001,AH$3,BD!$B$3:$B$5001,$A$245,BD!$AD$3:$AD$5001,"&lt;&gt;")=0,"",SUMIFS(BD!$AD$3:$AD$5001,BD!$A$3:$A$5001,AH$3,BD!$B$3:$B$5001,$A$245)))</f>
        <v/>
      </c>
      <c r="AI273" s="223" t="str">
        <f>IF(AI$3="","",IF(COUNTIFS(BD!$A$3:$A$5001,AI$3,BD!$B$3:$B$5001,$A$245,BD!$AD$3:$AD$5001,"&lt;&gt;")=0,"",SUMIFS(BD!$AD$3:$AD$5001,BD!$A$3:$A$5001,AI$3,BD!$B$3:$B$5001,$A$245)))</f>
        <v/>
      </c>
      <c r="AJ273" s="224" t="str">
        <f>IF(AJ$3="","",IF(COUNTIFS(BD!$A$3:$A$5001,AJ$3,BD!$B$3:$B$5001,$A$245,BD!$AD$3:$AD$5001,"&lt;&gt;")=0,"",SUMIFS(BD!$AD$3:$AD$5001,BD!$A$3:$A$5001,AJ$3,BD!$B$3:$B$5001,$A$245)))</f>
        <v/>
      </c>
      <c r="AK273" s="225" t="str">
        <f>IF(COUNT(F273:AJ273)=0,"",SUM(F273:AJ273))</f>
        <v/>
      </c>
    </row>
    <row r="274" ht="15.75" customHeight="1" hidden="1">
      <c r="A274" s="244"/>
      <c r="B274" s="241"/>
      <c r="C274" s="219" t="inlineStr">
        <is>
          <t xml:space="preserve">Acidentes CAF</t>
        </is>
      </c>
      <c r="D274" s="220" t="str">
        <f>IFERROR(1/(1/INDEX(BD!$AJ$52:$BD$52,MATCH($A$245,BD!$AJ$22:$BD$22,0))),"")</f>
        <v/>
      </c>
      <c r="E274" s="221"/>
      <c r="F274" s="222" t="str">
        <f>IF(F$3="","",IF(COUNTIFS(BD!$A$3:$A$5001,F$3,BD!$B$3:$B$5001,$A$245,BD!$AE$3:$AE$5001,"&lt;&gt;")=0,"",SUMIFS(BD!$AE$3:$AE$5001,BD!$A$3:$A$5001,F$3,BD!$B$3:$B$5001,$A$245)))</f>
        <v/>
      </c>
      <c r="G274" s="223" t="str">
        <f>IF(G$3="","",IF(COUNTIFS(BD!$A$3:$A$5001,G$3,BD!$B$3:$B$5001,$A$245,BD!$AE$3:$AE$5001,"&lt;&gt;")=0,"",SUMIFS(BD!$AE$3:$AE$5001,BD!$A$3:$A$5001,G$3,BD!$B$3:$B$5001,$A$245)))</f>
        <v/>
      </c>
      <c r="H274" s="223" t="str">
        <f>IF(H$3="","",IF(COUNTIFS(BD!$A$3:$A$5001,H$3,BD!$B$3:$B$5001,$A$245,BD!$AE$3:$AE$5001,"&lt;&gt;")=0,"",SUMIFS(BD!$AE$3:$AE$5001,BD!$A$3:$A$5001,H$3,BD!$B$3:$B$5001,$A$245)))</f>
        <v/>
      </c>
      <c r="I274" s="223" t="str">
        <f>IF(I$3="","",IF(COUNTIFS(BD!$A$3:$A$5001,I$3,BD!$B$3:$B$5001,$A$245,BD!$AE$3:$AE$5001,"&lt;&gt;")=0,"",SUMIFS(BD!$AE$3:$AE$5001,BD!$A$3:$A$5001,I$3,BD!$B$3:$B$5001,$A$245)))</f>
        <v/>
      </c>
      <c r="J274" s="223" t="str">
        <f>IF(J$3="","",IF(COUNTIFS(BD!$A$3:$A$5001,J$3,BD!$B$3:$B$5001,$A$245,BD!$AE$3:$AE$5001,"&lt;&gt;")=0,"",SUMIFS(BD!$AE$3:$AE$5001,BD!$A$3:$A$5001,J$3,BD!$B$3:$B$5001,$A$245)))</f>
        <v/>
      </c>
      <c r="K274" s="223" t="str">
        <f>IF(K$3="","",IF(COUNTIFS(BD!$A$3:$A$5001,K$3,BD!$B$3:$B$5001,$A$245,BD!$AE$3:$AE$5001,"&lt;&gt;")=0,"",SUMIFS(BD!$AE$3:$AE$5001,BD!$A$3:$A$5001,K$3,BD!$B$3:$B$5001,$A$245)))</f>
        <v/>
      </c>
      <c r="L274" s="223" t="str">
        <f>IF(L$3="","",IF(COUNTIFS(BD!$A$3:$A$5001,L$3,BD!$B$3:$B$5001,$A$245,BD!$AE$3:$AE$5001,"&lt;&gt;")=0,"",SUMIFS(BD!$AE$3:$AE$5001,BD!$A$3:$A$5001,L$3,BD!$B$3:$B$5001,$A$245)))</f>
        <v/>
      </c>
      <c r="M274" s="223" t="str">
        <f>IF(M$3="","",IF(COUNTIFS(BD!$A$3:$A$5001,M$3,BD!$B$3:$B$5001,$A$245,BD!$AE$3:$AE$5001,"&lt;&gt;")=0,"",SUMIFS(BD!$AE$3:$AE$5001,BD!$A$3:$A$5001,M$3,BD!$B$3:$B$5001,$A$245)))</f>
        <v/>
      </c>
      <c r="N274" s="223" t="str">
        <f>IF(N$3="","",IF(COUNTIFS(BD!$A$3:$A$5001,N$3,BD!$B$3:$B$5001,$A$245,BD!$AE$3:$AE$5001,"&lt;&gt;")=0,"",SUMIFS(BD!$AE$3:$AE$5001,BD!$A$3:$A$5001,N$3,BD!$B$3:$B$5001,$A$245)))</f>
        <v/>
      </c>
      <c r="O274" s="223" t="str">
        <f>IF(O$3="","",IF(COUNTIFS(BD!$A$3:$A$5001,O$3,BD!$B$3:$B$5001,$A$245,BD!$AE$3:$AE$5001,"&lt;&gt;")=0,"",SUMIFS(BD!$AE$3:$AE$5001,BD!$A$3:$A$5001,O$3,BD!$B$3:$B$5001,$A$245)))</f>
        <v/>
      </c>
      <c r="P274" s="223" t="str">
        <f>IF(P$3="","",IF(COUNTIFS(BD!$A$3:$A$5001,P$3,BD!$B$3:$B$5001,$A$245,BD!$AE$3:$AE$5001,"&lt;&gt;")=0,"",SUMIFS(BD!$AE$3:$AE$5001,BD!$A$3:$A$5001,P$3,BD!$B$3:$B$5001,$A$245)))</f>
        <v/>
      </c>
      <c r="Q274" s="223" t="str">
        <f>IF(Q$3="","",IF(COUNTIFS(BD!$A$3:$A$5001,Q$3,BD!$B$3:$B$5001,$A$245,BD!$AE$3:$AE$5001,"&lt;&gt;")=0,"",SUMIFS(BD!$AE$3:$AE$5001,BD!$A$3:$A$5001,Q$3,BD!$B$3:$B$5001,$A$245)))</f>
        <v/>
      </c>
      <c r="R274" s="223" t="str">
        <f>IF(R$3="","",IF(COUNTIFS(BD!$A$3:$A$5001,R$3,BD!$B$3:$B$5001,$A$245,BD!$AE$3:$AE$5001,"&lt;&gt;")=0,"",SUMIFS(BD!$AE$3:$AE$5001,BD!$A$3:$A$5001,R$3,BD!$B$3:$B$5001,$A$245)))</f>
        <v/>
      </c>
      <c r="S274" s="223" t="str">
        <f>IF(S$3="","",IF(COUNTIFS(BD!$A$3:$A$5001,S$3,BD!$B$3:$B$5001,$A$245,BD!$AE$3:$AE$5001,"&lt;&gt;")=0,"",SUMIFS(BD!$AE$3:$AE$5001,BD!$A$3:$A$5001,S$3,BD!$B$3:$B$5001,$A$245)))</f>
        <v/>
      </c>
      <c r="T274" s="223" t="str">
        <f>IF(T$3="","",IF(COUNTIFS(BD!$A$3:$A$5001,T$3,BD!$B$3:$B$5001,$A$245,BD!$AE$3:$AE$5001,"&lt;&gt;")=0,"",SUMIFS(BD!$AE$3:$AE$5001,BD!$A$3:$A$5001,T$3,BD!$B$3:$B$5001,$A$245)))</f>
        <v/>
      </c>
      <c r="U274" s="223" t="str">
        <f>IF(U$3="","",IF(COUNTIFS(BD!$A$3:$A$5001,U$3,BD!$B$3:$B$5001,$A$245,BD!$AE$3:$AE$5001,"&lt;&gt;")=0,"",SUMIFS(BD!$AE$3:$AE$5001,BD!$A$3:$A$5001,U$3,BD!$B$3:$B$5001,$A$245)))</f>
        <v/>
      </c>
      <c r="V274" s="223" t="str">
        <f>IF(V$3="","",IF(COUNTIFS(BD!$A$3:$A$5001,V$3,BD!$B$3:$B$5001,$A$245,BD!$AE$3:$AE$5001,"&lt;&gt;")=0,"",SUMIFS(BD!$AE$3:$AE$5001,BD!$A$3:$A$5001,V$3,BD!$B$3:$B$5001,$A$245)))</f>
        <v/>
      </c>
      <c r="W274" s="223" t="str">
        <f>IF(W$3="","",IF(COUNTIFS(BD!$A$3:$A$5001,W$3,BD!$B$3:$B$5001,$A$245,BD!$AE$3:$AE$5001,"&lt;&gt;")=0,"",SUMIFS(BD!$AE$3:$AE$5001,BD!$A$3:$A$5001,W$3,BD!$B$3:$B$5001,$A$245)))</f>
        <v/>
      </c>
      <c r="X274" s="223" t="str">
        <f>IF(X$3="","",IF(COUNTIFS(BD!$A$3:$A$5001,X$3,BD!$B$3:$B$5001,$A$245,BD!$AE$3:$AE$5001,"&lt;&gt;")=0,"",SUMIFS(BD!$AE$3:$AE$5001,BD!$A$3:$A$5001,X$3,BD!$B$3:$B$5001,$A$245)))</f>
        <v/>
      </c>
      <c r="Y274" s="223" t="str">
        <f>IF(Y$3="","",IF(COUNTIFS(BD!$A$3:$A$5001,Y$3,BD!$B$3:$B$5001,$A$245,BD!$AE$3:$AE$5001,"&lt;&gt;")=0,"",SUMIFS(BD!$AE$3:$AE$5001,BD!$A$3:$A$5001,Y$3,BD!$B$3:$B$5001,$A$245)))</f>
        <v/>
      </c>
      <c r="Z274" s="223" t="str">
        <f>IF(Z$3="","",IF(COUNTIFS(BD!$A$3:$A$5001,Z$3,BD!$B$3:$B$5001,$A$245,BD!$AE$3:$AE$5001,"&lt;&gt;")=0,"",SUMIFS(BD!$AE$3:$AE$5001,BD!$A$3:$A$5001,Z$3,BD!$B$3:$B$5001,$A$245)))</f>
        <v/>
      </c>
      <c r="AA274" s="223" t="str">
        <f>IF(AA$3="","",IF(COUNTIFS(BD!$A$3:$A$5001,AA$3,BD!$B$3:$B$5001,$A$245,BD!$AE$3:$AE$5001,"&lt;&gt;")=0,"",SUMIFS(BD!$AE$3:$AE$5001,BD!$A$3:$A$5001,AA$3,BD!$B$3:$B$5001,$A$245)))</f>
        <v/>
      </c>
      <c r="AB274" s="223" t="str">
        <f>IF(AB$3="","",IF(COUNTIFS(BD!$A$3:$A$5001,AB$3,BD!$B$3:$B$5001,$A$245,BD!$AE$3:$AE$5001,"&lt;&gt;")=0,"",SUMIFS(BD!$AE$3:$AE$5001,BD!$A$3:$A$5001,AB$3,BD!$B$3:$B$5001,$A$245)))</f>
        <v/>
      </c>
      <c r="AC274" s="223" t="str">
        <f>IF(AC$3="","",IF(COUNTIFS(BD!$A$3:$A$5001,AC$3,BD!$B$3:$B$5001,$A$245,BD!$AE$3:$AE$5001,"&lt;&gt;")=0,"",SUMIFS(BD!$AE$3:$AE$5001,BD!$A$3:$A$5001,AC$3,BD!$B$3:$B$5001,$A$245)))</f>
        <v/>
      </c>
      <c r="AD274" s="223" t="str">
        <f>IF(AD$3="","",IF(COUNTIFS(BD!$A$3:$A$5001,AD$3,BD!$B$3:$B$5001,$A$245,BD!$AE$3:$AE$5001,"&lt;&gt;")=0,"",SUMIFS(BD!$AE$3:$AE$5001,BD!$A$3:$A$5001,AD$3,BD!$B$3:$B$5001,$A$245)))</f>
        <v/>
      </c>
      <c r="AE274" s="223" t="str">
        <f>IF(AE$3="","",IF(COUNTIFS(BD!$A$3:$A$5001,AE$3,BD!$B$3:$B$5001,$A$245,BD!$AE$3:$AE$5001,"&lt;&gt;")=0,"",SUMIFS(BD!$AE$3:$AE$5001,BD!$A$3:$A$5001,AE$3,BD!$B$3:$B$5001,$A$245)))</f>
        <v/>
      </c>
      <c r="AF274" s="223" t="str">
        <f>IF(AF$3="","",IF(COUNTIFS(BD!$A$3:$A$5001,AF$3,BD!$B$3:$B$5001,$A$245,BD!$AE$3:$AE$5001,"&lt;&gt;")=0,"",SUMIFS(BD!$AE$3:$AE$5001,BD!$A$3:$A$5001,AF$3,BD!$B$3:$B$5001,$A$245)))</f>
        <v/>
      </c>
      <c r="AG274" s="223" t="str">
        <f>IF(AG$3="","",IF(COUNTIFS(BD!$A$3:$A$5001,AG$3,BD!$B$3:$B$5001,$A$245,BD!$AE$3:$AE$5001,"&lt;&gt;")=0,"",SUMIFS(BD!$AE$3:$AE$5001,BD!$A$3:$A$5001,AG$3,BD!$B$3:$B$5001,$A$245)))</f>
        <v/>
      </c>
      <c r="AH274" s="223" t="str">
        <f>IF(AH$3="","",IF(COUNTIFS(BD!$A$3:$A$5001,AH$3,BD!$B$3:$B$5001,$A$245,BD!$AE$3:$AE$5001,"&lt;&gt;")=0,"",SUMIFS(BD!$AE$3:$AE$5001,BD!$A$3:$A$5001,AH$3,BD!$B$3:$B$5001,$A$245)))</f>
        <v/>
      </c>
      <c r="AI274" s="223" t="str">
        <f>IF(AI$3="","",IF(COUNTIFS(BD!$A$3:$A$5001,AI$3,BD!$B$3:$B$5001,$A$245,BD!$AE$3:$AE$5001,"&lt;&gt;")=0,"",SUMIFS(BD!$AE$3:$AE$5001,BD!$A$3:$A$5001,AI$3,BD!$B$3:$B$5001,$A$245)))</f>
        <v/>
      </c>
      <c r="AJ274" s="224" t="str">
        <f>IF(AJ$3="","",IF(COUNTIFS(BD!$A$3:$A$5001,AJ$3,BD!$B$3:$B$5001,$A$245,BD!$AE$3:$AE$5001,"&lt;&gt;")=0,"",SUMIFS(BD!$AE$3:$AE$5001,BD!$A$3:$A$5001,AJ$3,BD!$B$3:$B$5001,$A$245)))</f>
        <v/>
      </c>
      <c r="AK274" s="225" t="str">
        <f>IF(COUNT(F274:AJ274)=0,"",SUM(F274:AJ274))</f>
        <v/>
      </c>
    </row>
    <row r="275" ht="15.75" customHeight="1" hidden="1">
      <c r="A275" s="245"/>
      <c r="B275" s="242"/>
      <c r="C275" s="226" t="inlineStr">
        <is>
          <t xml:space="preserve">Acidentes SAF</t>
        </is>
      </c>
      <c r="D275" s="227" t="str">
        <f>IFERROR(1/(1/INDEX(BD!$AJ$53:$BD$53,MATCH($A$245,BD!$AJ$22:$BD$22,0))),"")</f>
        <v/>
      </c>
      <c r="E275" s="228"/>
      <c r="F275" s="229" t="str">
        <f>IF(F$3="","",IF(COUNTIFS(BD!$A$3:$A$5001,F$3,BD!$B$3:$B$5001,$A$245,BD!$AF$3:$AF$5001,"&lt;&gt;")=0,"",SUMIFS(BD!$AF$3:$AF$5001,BD!$A$3:$A$5001,F$3,BD!$B$3:$B$5001,$A$245)))</f>
        <v/>
      </c>
      <c r="G275" s="230" t="str">
        <f>IF(G$3="","",IF(COUNTIFS(BD!$A$3:$A$5001,G$3,BD!$B$3:$B$5001,$A$245,BD!$AF$3:$AF$5001,"&lt;&gt;")=0,"",SUMIFS(BD!$AF$3:$AF$5001,BD!$A$3:$A$5001,G$3,BD!$B$3:$B$5001,$A$245)))</f>
        <v/>
      </c>
      <c r="H275" s="230" t="str">
        <f>IF(H$3="","",IF(COUNTIFS(BD!$A$3:$A$5001,H$3,BD!$B$3:$B$5001,$A$245,BD!$AF$3:$AF$5001,"&lt;&gt;")=0,"",SUMIFS(BD!$AF$3:$AF$5001,BD!$A$3:$A$5001,H$3,BD!$B$3:$B$5001,$A$245)))</f>
        <v/>
      </c>
      <c r="I275" s="230" t="str">
        <f>IF(I$3="","",IF(COUNTIFS(BD!$A$3:$A$5001,I$3,BD!$B$3:$B$5001,$A$245,BD!$AF$3:$AF$5001,"&lt;&gt;")=0,"",SUMIFS(BD!$AF$3:$AF$5001,BD!$A$3:$A$5001,I$3,BD!$B$3:$B$5001,$A$245)))</f>
        <v/>
      </c>
      <c r="J275" s="230" t="str">
        <f>IF(J$3="","",IF(COUNTIFS(BD!$A$3:$A$5001,J$3,BD!$B$3:$B$5001,$A$245,BD!$AF$3:$AF$5001,"&lt;&gt;")=0,"",SUMIFS(BD!$AF$3:$AF$5001,BD!$A$3:$A$5001,J$3,BD!$B$3:$B$5001,$A$245)))</f>
        <v/>
      </c>
      <c r="K275" s="230" t="str">
        <f>IF(K$3="","",IF(COUNTIFS(BD!$A$3:$A$5001,K$3,BD!$B$3:$B$5001,$A$245,BD!$AF$3:$AF$5001,"&lt;&gt;")=0,"",SUMIFS(BD!$AF$3:$AF$5001,BD!$A$3:$A$5001,K$3,BD!$B$3:$B$5001,$A$245)))</f>
        <v/>
      </c>
      <c r="L275" s="230" t="str">
        <f>IF(L$3="","",IF(COUNTIFS(BD!$A$3:$A$5001,L$3,BD!$B$3:$B$5001,$A$245,BD!$AF$3:$AF$5001,"&lt;&gt;")=0,"",SUMIFS(BD!$AF$3:$AF$5001,BD!$A$3:$A$5001,L$3,BD!$B$3:$B$5001,$A$245)))</f>
        <v/>
      </c>
      <c r="M275" s="230" t="str">
        <f>IF(M$3="","",IF(COUNTIFS(BD!$A$3:$A$5001,M$3,BD!$B$3:$B$5001,$A$245,BD!$AF$3:$AF$5001,"&lt;&gt;")=0,"",SUMIFS(BD!$AF$3:$AF$5001,BD!$A$3:$A$5001,M$3,BD!$B$3:$B$5001,$A$245)))</f>
        <v/>
      </c>
      <c r="N275" s="230" t="str">
        <f>IF(N$3="","",IF(COUNTIFS(BD!$A$3:$A$5001,N$3,BD!$B$3:$B$5001,$A$245,BD!$AF$3:$AF$5001,"&lt;&gt;")=0,"",SUMIFS(BD!$AF$3:$AF$5001,BD!$A$3:$A$5001,N$3,BD!$B$3:$B$5001,$A$245)))</f>
        <v/>
      </c>
      <c r="O275" s="230" t="str">
        <f>IF(O$3="","",IF(COUNTIFS(BD!$A$3:$A$5001,O$3,BD!$B$3:$B$5001,$A$245,BD!$AF$3:$AF$5001,"&lt;&gt;")=0,"",SUMIFS(BD!$AF$3:$AF$5001,BD!$A$3:$A$5001,O$3,BD!$B$3:$B$5001,$A$245)))</f>
        <v/>
      </c>
      <c r="P275" s="230" t="str">
        <f>IF(P$3="","",IF(COUNTIFS(BD!$A$3:$A$5001,P$3,BD!$B$3:$B$5001,$A$245,BD!$AF$3:$AF$5001,"&lt;&gt;")=0,"",SUMIFS(BD!$AF$3:$AF$5001,BD!$A$3:$A$5001,P$3,BD!$B$3:$B$5001,$A$245)))</f>
        <v/>
      </c>
      <c r="Q275" s="230" t="str">
        <f>IF(Q$3="","",IF(COUNTIFS(BD!$A$3:$A$5001,Q$3,BD!$B$3:$B$5001,$A$245,BD!$AF$3:$AF$5001,"&lt;&gt;")=0,"",SUMIFS(BD!$AF$3:$AF$5001,BD!$A$3:$A$5001,Q$3,BD!$B$3:$B$5001,$A$245)))</f>
        <v/>
      </c>
      <c r="R275" s="230" t="str">
        <f>IF(R$3="","",IF(COUNTIFS(BD!$A$3:$A$5001,R$3,BD!$B$3:$B$5001,$A$245,BD!$AF$3:$AF$5001,"&lt;&gt;")=0,"",SUMIFS(BD!$AF$3:$AF$5001,BD!$A$3:$A$5001,R$3,BD!$B$3:$B$5001,$A$245)))</f>
        <v/>
      </c>
      <c r="S275" s="230" t="str">
        <f>IF(S$3="","",IF(COUNTIFS(BD!$A$3:$A$5001,S$3,BD!$B$3:$B$5001,$A$245,BD!$AF$3:$AF$5001,"&lt;&gt;")=0,"",SUMIFS(BD!$AF$3:$AF$5001,BD!$A$3:$A$5001,S$3,BD!$B$3:$B$5001,$A$245)))</f>
        <v/>
      </c>
      <c r="T275" s="230" t="str">
        <f>IF(T$3="","",IF(COUNTIFS(BD!$A$3:$A$5001,T$3,BD!$B$3:$B$5001,$A$245,BD!$AF$3:$AF$5001,"&lt;&gt;")=0,"",SUMIFS(BD!$AF$3:$AF$5001,BD!$A$3:$A$5001,T$3,BD!$B$3:$B$5001,$A$245)))</f>
        <v/>
      </c>
      <c r="U275" s="230" t="str">
        <f>IF(U$3="","",IF(COUNTIFS(BD!$A$3:$A$5001,U$3,BD!$B$3:$B$5001,$A$245,BD!$AF$3:$AF$5001,"&lt;&gt;")=0,"",SUMIFS(BD!$AF$3:$AF$5001,BD!$A$3:$A$5001,U$3,BD!$B$3:$B$5001,$A$245)))</f>
        <v/>
      </c>
      <c r="V275" s="230" t="str">
        <f>IF(V$3="","",IF(COUNTIFS(BD!$A$3:$A$5001,V$3,BD!$B$3:$B$5001,$A$245,BD!$AF$3:$AF$5001,"&lt;&gt;")=0,"",SUMIFS(BD!$AF$3:$AF$5001,BD!$A$3:$A$5001,V$3,BD!$B$3:$B$5001,$A$245)))</f>
        <v/>
      </c>
      <c r="W275" s="230" t="str">
        <f>IF(W$3="","",IF(COUNTIFS(BD!$A$3:$A$5001,W$3,BD!$B$3:$B$5001,$A$245,BD!$AF$3:$AF$5001,"&lt;&gt;")=0,"",SUMIFS(BD!$AF$3:$AF$5001,BD!$A$3:$A$5001,W$3,BD!$B$3:$B$5001,$A$245)))</f>
        <v/>
      </c>
      <c r="X275" s="230" t="str">
        <f>IF(X$3="","",IF(COUNTIFS(BD!$A$3:$A$5001,X$3,BD!$B$3:$B$5001,$A$245,BD!$AF$3:$AF$5001,"&lt;&gt;")=0,"",SUMIFS(BD!$AF$3:$AF$5001,BD!$A$3:$A$5001,X$3,BD!$B$3:$B$5001,$A$245)))</f>
        <v/>
      </c>
      <c r="Y275" s="230" t="str">
        <f>IF(Y$3="","",IF(COUNTIFS(BD!$A$3:$A$5001,Y$3,BD!$B$3:$B$5001,$A$245,BD!$AF$3:$AF$5001,"&lt;&gt;")=0,"",SUMIFS(BD!$AF$3:$AF$5001,BD!$A$3:$A$5001,Y$3,BD!$B$3:$B$5001,$A$245)))</f>
        <v/>
      </c>
      <c r="Z275" s="230" t="str">
        <f>IF(Z$3="","",IF(COUNTIFS(BD!$A$3:$A$5001,Z$3,BD!$B$3:$B$5001,$A$245,BD!$AF$3:$AF$5001,"&lt;&gt;")=0,"",SUMIFS(BD!$AF$3:$AF$5001,BD!$A$3:$A$5001,Z$3,BD!$B$3:$B$5001,$A$245)))</f>
        <v/>
      </c>
      <c r="AA275" s="230" t="str">
        <f>IF(AA$3="","",IF(COUNTIFS(BD!$A$3:$A$5001,AA$3,BD!$B$3:$B$5001,$A$245,BD!$AF$3:$AF$5001,"&lt;&gt;")=0,"",SUMIFS(BD!$AF$3:$AF$5001,BD!$A$3:$A$5001,AA$3,BD!$B$3:$B$5001,$A$245)))</f>
        <v/>
      </c>
      <c r="AB275" s="230" t="str">
        <f>IF(AB$3="","",IF(COUNTIFS(BD!$A$3:$A$5001,AB$3,BD!$B$3:$B$5001,$A$245,BD!$AF$3:$AF$5001,"&lt;&gt;")=0,"",SUMIFS(BD!$AF$3:$AF$5001,BD!$A$3:$A$5001,AB$3,BD!$B$3:$B$5001,$A$245)))</f>
        <v/>
      </c>
      <c r="AC275" s="230" t="str">
        <f>IF(AC$3="","",IF(COUNTIFS(BD!$A$3:$A$5001,AC$3,BD!$B$3:$B$5001,$A$245,BD!$AF$3:$AF$5001,"&lt;&gt;")=0,"",SUMIFS(BD!$AF$3:$AF$5001,BD!$A$3:$A$5001,AC$3,BD!$B$3:$B$5001,$A$245)))</f>
        <v/>
      </c>
      <c r="AD275" s="230" t="str">
        <f>IF(AD$3="","",IF(COUNTIFS(BD!$A$3:$A$5001,AD$3,BD!$B$3:$B$5001,$A$245,BD!$AF$3:$AF$5001,"&lt;&gt;")=0,"",SUMIFS(BD!$AF$3:$AF$5001,BD!$A$3:$A$5001,AD$3,BD!$B$3:$B$5001,$A$245)))</f>
        <v/>
      </c>
      <c r="AE275" s="230" t="str">
        <f>IF(AE$3="","",IF(COUNTIFS(BD!$A$3:$A$5001,AE$3,BD!$B$3:$B$5001,$A$245,BD!$AF$3:$AF$5001,"&lt;&gt;")=0,"",SUMIFS(BD!$AF$3:$AF$5001,BD!$A$3:$A$5001,AE$3,BD!$B$3:$B$5001,$A$245)))</f>
        <v/>
      </c>
      <c r="AF275" s="230" t="str">
        <f>IF(AF$3="","",IF(COUNTIFS(BD!$A$3:$A$5001,AF$3,BD!$B$3:$B$5001,$A$245,BD!$AF$3:$AF$5001,"&lt;&gt;")=0,"",SUMIFS(BD!$AF$3:$AF$5001,BD!$A$3:$A$5001,AF$3,BD!$B$3:$B$5001,$A$245)))</f>
        <v/>
      </c>
      <c r="AG275" s="230" t="str">
        <f>IF(AG$3="","",IF(COUNTIFS(BD!$A$3:$A$5001,AG$3,BD!$B$3:$B$5001,$A$245,BD!$AF$3:$AF$5001,"&lt;&gt;")=0,"",SUMIFS(BD!$AF$3:$AF$5001,BD!$A$3:$A$5001,AG$3,BD!$B$3:$B$5001,$A$245)))</f>
        <v/>
      </c>
      <c r="AH275" s="230" t="str">
        <f>IF(AH$3="","",IF(COUNTIFS(BD!$A$3:$A$5001,AH$3,BD!$B$3:$B$5001,$A$245,BD!$AF$3:$AF$5001,"&lt;&gt;")=0,"",SUMIFS(BD!$AF$3:$AF$5001,BD!$A$3:$A$5001,AH$3,BD!$B$3:$B$5001,$A$245)))</f>
        <v/>
      </c>
      <c r="AI275" s="230" t="str">
        <f>IF(AI$3="","",IF(COUNTIFS(BD!$A$3:$A$5001,AI$3,BD!$B$3:$B$5001,$A$245,BD!$AF$3:$AF$5001,"&lt;&gt;")=0,"",SUMIFS(BD!$AF$3:$AF$5001,BD!$A$3:$A$5001,AI$3,BD!$B$3:$B$5001,$A$245)))</f>
        <v/>
      </c>
      <c r="AJ275" s="231" t="str">
        <f>IF(AJ$3="","",IF(COUNTIFS(BD!$A$3:$A$5001,AJ$3,BD!$B$3:$B$5001,$A$245,BD!$AF$3:$AF$5001,"&lt;&gt;")=0,"",SUMIFS(BD!$AF$3:$AF$5001,BD!$A$3:$A$5001,AJ$3,BD!$B$3:$B$5001,$A$245)))</f>
        <v/>
      </c>
      <c r="AK275" s="227" t="str">
        <f>IF(COUNT(F275:AJ275)=0,"",SUM(F275:AJ275))</f>
        <v/>
      </c>
    </row>
    <row r="277" ht="15.75" customHeight="1" hidden="1">
      <c r="A277" s="243"/>
      <c r="B277" s="232" t="inlineStr">
        <is>
          <t xml:space="preserve">IN</t>
        </is>
      </c>
      <c r="C277" s="155" t="inlineStr">
        <is>
          <t xml:space="preserve">Veículos Recebidos</t>
        </is>
      </c>
      <c r="D277" s="156" t="str">
        <f>IFERROR(1/(1/INDEX(BD!$AJ$23:$BD$23,MATCH($A$277,BD!$AJ$22:$BD$22,0))),"")</f>
        <v/>
      </c>
      <c r="E277" s="157"/>
      <c r="F277" s="158" t="str">
        <f>IF(F$3="","",IF(COUNTIFS(BD!$A$3:$A$5001,F$3,BD!$B$3:$B$5001,$A$277,BD!$C$3:$C$5001,"&lt;&gt;")=0,"",SUMIFS(BD!$C$3:$C$5001,BD!$A$3:$A$5001,F$3,BD!$B$3:$B$5001,$A$277)))</f>
        <v/>
      </c>
      <c r="G277" s="159" t="str">
        <f>IF(G$3="","",IF(COUNTIFS(BD!$A$3:$A$5001,G$3,BD!$B$3:$B$5001,$A$277,BD!$C$3:$C$5001,"&lt;&gt;")=0,"",SUMIFS(BD!$C$3:$C$5001,BD!$A$3:$A$5001,G$3,BD!$B$3:$B$5001,$A$277)))</f>
        <v/>
      </c>
      <c r="H277" s="159" t="str">
        <f>IF(H$3="","",IF(COUNTIFS(BD!$A$3:$A$5001,H$3,BD!$B$3:$B$5001,$A$277,BD!$C$3:$C$5001,"&lt;&gt;")=0,"",SUMIFS(BD!$C$3:$C$5001,BD!$A$3:$A$5001,H$3,BD!$B$3:$B$5001,$A$277)))</f>
        <v/>
      </c>
      <c r="I277" s="159" t="str">
        <f>IF(I$3="","",IF(COUNTIFS(BD!$A$3:$A$5001,I$3,BD!$B$3:$B$5001,$A$277,BD!$C$3:$C$5001,"&lt;&gt;")=0,"",SUMIFS(BD!$C$3:$C$5001,BD!$A$3:$A$5001,I$3,BD!$B$3:$B$5001,$A$277)))</f>
        <v/>
      </c>
      <c r="J277" s="159" t="str">
        <f>IF(J$3="","",IF(COUNTIFS(BD!$A$3:$A$5001,J$3,BD!$B$3:$B$5001,$A$277,BD!$C$3:$C$5001,"&lt;&gt;")=0,"",SUMIFS(BD!$C$3:$C$5001,BD!$A$3:$A$5001,J$3,BD!$B$3:$B$5001,$A$277)))</f>
        <v/>
      </c>
      <c r="K277" s="159" t="str">
        <f>IF(K$3="","",IF(COUNTIFS(BD!$A$3:$A$5001,K$3,BD!$B$3:$B$5001,$A$277,BD!$C$3:$C$5001,"&lt;&gt;")=0,"",SUMIFS(BD!$C$3:$C$5001,BD!$A$3:$A$5001,K$3,BD!$B$3:$B$5001,$A$277)))</f>
        <v/>
      </c>
      <c r="L277" s="159" t="str">
        <f>IF(L$3="","",IF(COUNTIFS(BD!$A$3:$A$5001,L$3,BD!$B$3:$B$5001,$A$277,BD!$C$3:$C$5001,"&lt;&gt;")=0,"",SUMIFS(BD!$C$3:$C$5001,BD!$A$3:$A$5001,L$3,BD!$B$3:$B$5001,$A$277)))</f>
        <v/>
      </c>
      <c r="M277" s="159" t="str">
        <f>IF(M$3="","",IF(COUNTIFS(BD!$A$3:$A$5001,M$3,BD!$B$3:$B$5001,$A$277,BD!$C$3:$C$5001,"&lt;&gt;")=0,"",SUMIFS(BD!$C$3:$C$5001,BD!$A$3:$A$5001,M$3,BD!$B$3:$B$5001,$A$277)))</f>
        <v/>
      </c>
      <c r="N277" s="159" t="str">
        <f>IF(N$3="","",IF(COUNTIFS(BD!$A$3:$A$5001,N$3,BD!$B$3:$B$5001,$A$277,BD!$C$3:$C$5001,"&lt;&gt;")=0,"",SUMIFS(BD!$C$3:$C$5001,BD!$A$3:$A$5001,N$3,BD!$B$3:$B$5001,$A$277)))</f>
        <v/>
      </c>
      <c r="O277" s="159" t="str">
        <f>IF(O$3="","",IF(COUNTIFS(BD!$A$3:$A$5001,O$3,BD!$B$3:$B$5001,$A$277,BD!$C$3:$C$5001,"&lt;&gt;")=0,"",SUMIFS(BD!$C$3:$C$5001,BD!$A$3:$A$5001,O$3,BD!$B$3:$B$5001,$A$277)))</f>
        <v/>
      </c>
      <c r="P277" s="159" t="str">
        <f>IF(P$3="","",IF(COUNTIFS(BD!$A$3:$A$5001,P$3,BD!$B$3:$B$5001,$A$277,BD!$C$3:$C$5001,"&lt;&gt;")=0,"",SUMIFS(BD!$C$3:$C$5001,BD!$A$3:$A$5001,P$3,BD!$B$3:$B$5001,$A$277)))</f>
        <v/>
      </c>
      <c r="Q277" s="159" t="str">
        <f>IF(Q$3="","",IF(COUNTIFS(BD!$A$3:$A$5001,Q$3,BD!$B$3:$B$5001,$A$277,BD!$C$3:$C$5001,"&lt;&gt;")=0,"",SUMIFS(BD!$C$3:$C$5001,BD!$A$3:$A$5001,Q$3,BD!$B$3:$B$5001,$A$277)))</f>
        <v/>
      </c>
      <c r="R277" s="159" t="str">
        <f>IF(R$3="","",IF(COUNTIFS(BD!$A$3:$A$5001,R$3,BD!$B$3:$B$5001,$A$277,BD!$C$3:$C$5001,"&lt;&gt;")=0,"",SUMIFS(BD!$C$3:$C$5001,BD!$A$3:$A$5001,R$3,BD!$B$3:$B$5001,$A$277)))</f>
        <v/>
      </c>
      <c r="S277" s="159" t="str">
        <f>IF(S$3="","",IF(COUNTIFS(BD!$A$3:$A$5001,S$3,BD!$B$3:$B$5001,$A$277,BD!$C$3:$C$5001,"&lt;&gt;")=0,"",SUMIFS(BD!$C$3:$C$5001,BD!$A$3:$A$5001,S$3,BD!$B$3:$B$5001,$A$277)))</f>
        <v/>
      </c>
      <c r="T277" s="159" t="str">
        <f>IF(T$3="","",IF(COUNTIFS(BD!$A$3:$A$5001,T$3,BD!$B$3:$B$5001,$A$277,BD!$C$3:$C$5001,"&lt;&gt;")=0,"",SUMIFS(BD!$C$3:$C$5001,BD!$A$3:$A$5001,T$3,BD!$B$3:$B$5001,$A$277)))</f>
        <v/>
      </c>
      <c r="U277" s="159" t="str">
        <f>IF(U$3="","",IF(COUNTIFS(BD!$A$3:$A$5001,U$3,BD!$B$3:$B$5001,$A$277,BD!$C$3:$C$5001,"&lt;&gt;")=0,"",SUMIFS(BD!$C$3:$C$5001,BD!$A$3:$A$5001,U$3,BD!$B$3:$B$5001,$A$277)))</f>
        <v/>
      </c>
      <c r="V277" s="159" t="str">
        <f>IF(V$3="","",IF(COUNTIFS(BD!$A$3:$A$5001,V$3,BD!$B$3:$B$5001,$A$277,BD!$C$3:$C$5001,"&lt;&gt;")=0,"",SUMIFS(BD!$C$3:$C$5001,BD!$A$3:$A$5001,V$3,BD!$B$3:$B$5001,$A$277)))</f>
        <v/>
      </c>
      <c r="W277" s="159" t="str">
        <f>IF(W$3="","",IF(COUNTIFS(BD!$A$3:$A$5001,W$3,BD!$B$3:$B$5001,$A$277,BD!$C$3:$C$5001,"&lt;&gt;")=0,"",SUMIFS(BD!$C$3:$C$5001,BD!$A$3:$A$5001,W$3,BD!$B$3:$B$5001,$A$277)))</f>
        <v/>
      </c>
      <c r="X277" s="159" t="str">
        <f>IF(X$3="","",IF(COUNTIFS(BD!$A$3:$A$5001,X$3,BD!$B$3:$B$5001,$A$277,BD!$C$3:$C$5001,"&lt;&gt;")=0,"",SUMIFS(BD!$C$3:$C$5001,BD!$A$3:$A$5001,X$3,BD!$B$3:$B$5001,$A$277)))</f>
        <v/>
      </c>
      <c r="Y277" s="159" t="str">
        <f>IF(Y$3="","",IF(COUNTIFS(BD!$A$3:$A$5001,Y$3,BD!$B$3:$B$5001,$A$277,BD!$C$3:$C$5001,"&lt;&gt;")=0,"",SUMIFS(BD!$C$3:$C$5001,BD!$A$3:$A$5001,Y$3,BD!$B$3:$B$5001,$A$277)))</f>
        <v/>
      </c>
      <c r="Z277" s="159" t="str">
        <f>IF(Z$3="","",IF(COUNTIFS(BD!$A$3:$A$5001,Z$3,BD!$B$3:$B$5001,$A$277,BD!$C$3:$C$5001,"&lt;&gt;")=0,"",SUMIFS(BD!$C$3:$C$5001,BD!$A$3:$A$5001,Z$3,BD!$B$3:$B$5001,$A$277)))</f>
        <v/>
      </c>
      <c r="AA277" s="159" t="str">
        <f>IF(AA$3="","",IF(COUNTIFS(BD!$A$3:$A$5001,AA$3,BD!$B$3:$B$5001,$A$277,BD!$C$3:$C$5001,"&lt;&gt;")=0,"",SUMIFS(BD!$C$3:$C$5001,BD!$A$3:$A$5001,AA$3,BD!$B$3:$B$5001,$A$277)))</f>
        <v/>
      </c>
      <c r="AB277" s="159" t="str">
        <f>IF(AB$3="","",IF(COUNTIFS(BD!$A$3:$A$5001,AB$3,BD!$B$3:$B$5001,$A$277,BD!$C$3:$C$5001,"&lt;&gt;")=0,"",SUMIFS(BD!$C$3:$C$5001,BD!$A$3:$A$5001,AB$3,BD!$B$3:$B$5001,$A$277)))</f>
        <v/>
      </c>
      <c r="AC277" s="159" t="str">
        <f>IF(AC$3="","",IF(COUNTIFS(BD!$A$3:$A$5001,AC$3,BD!$B$3:$B$5001,$A$277,BD!$C$3:$C$5001,"&lt;&gt;")=0,"",SUMIFS(BD!$C$3:$C$5001,BD!$A$3:$A$5001,AC$3,BD!$B$3:$B$5001,$A$277)))</f>
        <v/>
      </c>
      <c r="AD277" s="159" t="str">
        <f>IF(AD$3="","",IF(COUNTIFS(BD!$A$3:$A$5001,AD$3,BD!$B$3:$B$5001,$A$277,BD!$C$3:$C$5001,"&lt;&gt;")=0,"",SUMIFS(BD!$C$3:$C$5001,BD!$A$3:$A$5001,AD$3,BD!$B$3:$B$5001,$A$277)))</f>
        <v/>
      </c>
      <c r="AE277" s="159" t="str">
        <f>IF(AE$3="","",IF(COUNTIFS(BD!$A$3:$A$5001,AE$3,BD!$B$3:$B$5001,$A$277,BD!$C$3:$C$5001,"&lt;&gt;")=0,"",SUMIFS(BD!$C$3:$C$5001,BD!$A$3:$A$5001,AE$3,BD!$B$3:$B$5001,$A$277)))</f>
        <v/>
      </c>
      <c r="AF277" s="159" t="str">
        <f>IF(AF$3="","",IF(COUNTIFS(BD!$A$3:$A$5001,AF$3,BD!$B$3:$B$5001,$A$277,BD!$C$3:$C$5001,"&lt;&gt;")=0,"",SUMIFS(BD!$C$3:$C$5001,BD!$A$3:$A$5001,AF$3,BD!$B$3:$B$5001,$A$277)))</f>
        <v/>
      </c>
      <c r="AG277" s="159" t="str">
        <f>IF(AG$3="","",IF(COUNTIFS(BD!$A$3:$A$5001,AG$3,BD!$B$3:$B$5001,$A$277,BD!$C$3:$C$5001,"&lt;&gt;")=0,"",SUMIFS(BD!$C$3:$C$5001,BD!$A$3:$A$5001,AG$3,BD!$B$3:$B$5001,$A$277)))</f>
        <v/>
      </c>
      <c r="AH277" s="159" t="str">
        <f>IF(AH$3="","",IF(COUNTIFS(BD!$A$3:$A$5001,AH$3,BD!$B$3:$B$5001,$A$277,BD!$C$3:$C$5001,"&lt;&gt;")=0,"",SUMIFS(BD!$C$3:$C$5001,BD!$A$3:$A$5001,AH$3,BD!$B$3:$B$5001,$A$277)))</f>
        <v/>
      </c>
      <c r="AI277" s="159" t="str">
        <f>IF(AI$3="","",IF(COUNTIFS(BD!$A$3:$A$5001,AI$3,BD!$B$3:$B$5001,$A$277,BD!$C$3:$C$5001,"&lt;&gt;")=0,"",SUMIFS(BD!$C$3:$C$5001,BD!$A$3:$A$5001,AI$3,BD!$B$3:$B$5001,$A$277)))</f>
        <v/>
      </c>
      <c r="AJ277" s="160" t="str">
        <f>IF(AJ$3="","",IF(COUNTIFS(BD!$A$3:$A$5001,AJ$3,BD!$B$3:$B$5001,$A$277,BD!$C$3:$C$5001,"&lt;&gt;")=0,"",SUMIFS(BD!$C$3:$C$5001,BD!$A$3:$A$5001,AJ$3,BD!$B$3:$B$5001,$A$277)))</f>
        <v/>
      </c>
      <c r="AK277" s="161" t="str">
        <f>IF(COUNT(F277:AJ277)=0,"",SUM(F277:AJ277))</f>
        <v/>
      </c>
    </row>
    <row r="278" ht="15.75" customHeight="1" hidden="1">
      <c r="A278" s="244"/>
      <c r="B278" s="239"/>
      <c r="C278" s="201" t="inlineStr">
        <is>
          <t xml:space="preserve">Pallets Movimentados</t>
        </is>
      </c>
      <c r="D278" s="202" t="str">
        <f>IFERROR(1/(1/INDEX(BD!$AJ$24:$BD$24,MATCH($A$277,BD!$AJ$22:$BD$22,0))),"")</f>
        <v/>
      </c>
      <c r="E278" s="203"/>
      <c r="F278" s="204" t="str">
        <f>IF(F$3="","",IF(COUNTIFS(BD!$A$3:$A$5001,F$3,BD!$B$3:$B$5001,$A$277,BD!$D$3:$D$5001,"&lt;&gt;")=0,"",SUMIFS(BD!$D$3:$D$5001,BD!$A$3:$A$5001,F$3,BD!$B$3:$B$5001,$A$277)))</f>
        <v/>
      </c>
      <c r="G278" s="205" t="str">
        <f>IF(G$3="","",IF(COUNTIFS(BD!$A$3:$A$5001,G$3,BD!$B$3:$B$5001,$A$277,BD!$D$3:$D$5001,"&lt;&gt;")=0,"",SUMIFS(BD!$D$3:$D$5001,BD!$A$3:$A$5001,G$3,BD!$B$3:$B$5001,$A$277)))</f>
        <v/>
      </c>
      <c r="H278" s="205" t="str">
        <f>IF(H$3="","",IF(COUNTIFS(BD!$A$3:$A$5001,H$3,BD!$B$3:$B$5001,$A$277,BD!$D$3:$D$5001,"&lt;&gt;")=0,"",SUMIFS(BD!$D$3:$D$5001,BD!$A$3:$A$5001,H$3,BD!$B$3:$B$5001,$A$277)))</f>
        <v/>
      </c>
      <c r="I278" s="205" t="str">
        <f>IF(I$3="","",IF(COUNTIFS(BD!$A$3:$A$5001,I$3,BD!$B$3:$B$5001,$A$277,BD!$D$3:$D$5001,"&lt;&gt;")=0,"",SUMIFS(BD!$D$3:$D$5001,BD!$A$3:$A$5001,I$3,BD!$B$3:$B$5001,$A$277)))</f>
        <v/>
      </c>
      <c r="J278" s="205" t="str">
        <f>IF(J$3="","",IF(COUNTIFS(BD!$A$3:$A$5001,J$3,BD!$B$3:$B$5001,$A$277,BD!$D$3:$D$5001,"&lt;&gt;")=0,"",SUMIFS(BD!$D$3:$D$5001,BD!$A$3:$A$5001,J$3,BD!$B$3:$B$5001,$A$277)))</f>
        <v/>
      </c>
      <c r="K278" s="205" t="str">
        <f>IF(K$3="","",IF(COUNTIFS(BD!$A$3:$A$5001,K$3,BD!$B$3:$B$5001,$A$277,BD!$D$3:$D$5001,"&lt;&gt;")=0,"",SUMIFS(BD!$D$3:$D$5001,BD!$A$3:$A$5001,K$3,BD!$B$3:$B$5001,$A$277)))</f>
        <v/>
      </c>
      <c r="L278" s="205" t="str">
        <f>IF(L$3="","",IF(COUNTIFS(BD!$A$3:$A$5001,L$3,BD!$B$3:$B$5001,$A$277,BD!$D$3:$D$5001,"&lt;&gt;")=0,"",SUMIFS(BD!$D$3:$D$5001,BD!$A$3:$A$5001,L$3,BD!$B$3:$B$5001,$A$277)))</f>
        <v/>
      </c>
      <c r="M278" s="205" t="str">
        <f>IF(M$3="","",IF(COUNTIFS(BD!$A$3:$A$5001,M$3,BD!$B$3:$B$5001,$A$277,BD!$D$3:$D$5001,"&lt;&gt;")=0,"",SUMIFS(BD!$D$3:$D$5001,BD!$A$3:$A$5001,M$3,BD!$B$3:$B$5001,$A$277)))</f>
        <v/>
      </c>
      <c r="N278" s="205" t="str">
        <f>IF(N$3="","",IF(COUNTIFS(BD!$A$3:$A$5001,N$3,BD!$B$3:$B$5001,$A$277,BD!$D$3:$D$5001,"&lt;&gt;")=0,"",SUMIFS(BD!$D$3:$D$5001,BD!$A$3:$A$5001,N$3,BD!$B$3:$B$5001,$A$277)))</f>
        <v/>
      </c>
      <c r="O278" s="205" t="str">
        <f>IF(O$3="","",IF(COUNTIFS(BD!$A$3:$A$5001,O$3,BD!$B$3:$B$5001,$A$277,BD!$D$3:$D$5001,"&lt;&gt;")=0,"",SUMIFS(BD!$D$3:$D$5001,BD!$A$3:$A$5001,O$3,BD!$B$3:$B$5001,$A$277)))</f>
        <v/>
      </c>
      <c r="P278" s="205" t="str">
        <f>IF(P$3="","",IF(COUNTIFS(BD!$A$3:$A$5001,P$3,BD!$B$3:$B$5001,$A$277,BD!$D$3:$D$5001,"&lt;&gt;")=0,"",SUMIFS(BD!$D$3:$D$5001,BD!$A$3:$A$5001,P$3,BD!$B$3:$B$5001,$A$277)))</f>
        <v/>
      </c>
      <c r="Q278" s="205" t="str">
        <f>IF(Q$3="","",IF(COUNTIFS(BD!$A$3:$A$5001,Q$3,BD!$B$3:$B$5001,$A$277,BD!$D$3:$D$5001,"&lt;&gt;")=0,"",SUMIFS(BD!$D$3:$D$5001,BD!$A$3:$A$5001,Q$3,BD!$B$3:$B$5001,$A$277)))</f>
        <v/>
      </c>
      <c r="R278" s="205" t="str">
        <f>IF(R$3="","",IF(COUNTIFS(BD!$A$3:$A$5001,R$3,BD!$B$3:$B$5001,$A$277,BD!$D$3:$D$5001,"&lt;&gt;")=0,"",SUMIFS(BD!$D$3:$D$5001,BD!$A$3:$A$5001,R$3,BD!$B$3:$B$5001,$A$277)))</f>
        <v/>
      </c>
      <c r="S278" s="205" t="str">
        <f>IF(S$3="","",IF(COUNTIFS(BD!$A$3:$A$5001,S$3,BD!$B$3:$B$5001,$A$277,BD!$D$3:$D$5001,"&lt;&gt;")=0,"",SUMIFS(BD!$D$3:$D$5001,BD!$A$3:$A$5001,S$3,BD!$B$3:$B$5001,$A$277)))</f>
        <v/>
      </c>
      <c r="T278" s="205" t="str">
        <f>IF(T$3="","",IF(COUNTIFS(BD!$A$3:$A$5001,T$3,BD!$B$3:$B$5001,$A$277,BD!$D$3:$D$5001,"&lt;&gt;")=0,"",SUMIFS(BD!$D$3:$D$5001,BD!$A$3:$A$5001,T$3,BD!$B$3:$B$5001,$A$277)))</f>
        <v/>
      </c>
      <c r="U278" s="205" t="str">
        <f>IF(U$3="","",IF(COUNTIFS(BD!$A$3:$A$5001,U$3,BD!$B$3:$B$5001,$A$277,BD!$D$3:$D$5001,"&lt;&gt;")=0,"",SUMIFS(BD!$D$3:$D$5001,BD!$A$3:$A$5001,U$3,BD!$B$3:$B$5001,$A$277)))</f>
        <v/>
      </c>
      <c r="V278" s="205" t="str">
        <f>IF(V$3="","",IF(COUNTIFS(BD!$A$3:$A$5001,V$3,BD!$B$3:$B$5001,$A$277,BD!$D$3:$D$5001,"&lt;&gt;")=0,"",SUMIFS(BD!$D$3:$D$5001,BD!$A$3:$A$5001,V$3,BD!$B$3:$B$5001,$A$277)))</f>
        <v/>
      </c>
      <c r="W278" s="205" t="str">
        <f>IF(W$3="","",IF(COUNTIFS(BD!$A$3:$A$5001,W$3,BD!$B$3:$B$5001,$A$277,BD!$D$3:$D$5001,"&lt;&gt;")=0,"",SUMIFS(BD!$D$3:$D$5001,BD!$A$3:$A$5001,W$3,BD!$B$3:$B$5001,$A$277)))</f>
        <v/>
      </c>
      <c r="X278" s="205" t="str">
        <f>IF(X$3="","",IF(COUNTIFS(BD!$A$3:$A$5001,X$3,BD!$B$3:$B$5001,$A$277,BD!$D$3:$D$5001,"&lt;&gt;")=0,"",SUMIFS(BD!$D$3:$D$5001,BD!$A$3:$A$5001,X$3,BD!$B$3:$B$5001,$A$277)))</f>
        <v/>
      </c>
      <c r="Y278" s="205" t="str">
        <f>IF(Y$3="","",IF(COUNTIFS(BD!$A$3:$A$5001,Y$3,BD!$B$3:$B$5001,$A$277,BD!$D$3:$D$5001,"&lt;&gt;")=0,"",SUMIFS(BD!$D$3:$D$5001,BD!$A$3:$A$5001,Y$3,BD!$B$3:$B$5001,$A$277)))</f>
        <v/>
      </c>
      <c r="Z278" s="205" t="str">
        <f>IF(Z$3="","",IF(COUNTIFS(BD!$A$3:$A$5001,Z$3,BD!$B$3:$B$5001,$A$277,BD!$D$3:$D$5001,"&lt;&gt;")=0,"",SUMIFS(BD!$D$3:$D$5001,BD!$A$3:$A$5001,Z$3,BD!$B$3:$B$5001,$A$277)))</f>
        <v/>
      </c>
      <c r="AA278" s="205" t="str">
        <f>IF(AA$3="","",IF(COUNTIFS(BD!$A$3:$A$5001,AA$3,BD!$B$3:$B$5001,$A$277,BD!$D$3:$D$5001,"&lt;&gt;")=0,"",SUMIFS(BD!$D$3:$D$5001,BD!$A$3:$A$5001,AA$3,BD!$B$3:$B$5001,$A$277)))</f>
        <v/>
      </c>
      <c r="AB278" s="205" t="str">
        <f>IF(AB$3="","",IF(COUNTIFS(BD!$A$3:$A$5001,AB$3,BD!$B$3:$B$5001,$A$277,BD!$D$3:$D$5001,"&lt;&gt;")=0,"",SUMIFS(BD!$D$3:$D$5001,BD!$A$3:$A$5001,AB$3,BD!$B$3:$B$5001,$A$277)))</f>
        <v/>
      </c>
      <c r="AC278" s="205" t="str">
        <f>IF(AC$3="","",IF(COUNTIFS(BD!$A$3:$A$5001,AC$3,BD!$B$3:$B$5001,$A$277,BD!$D$3:$D$5001,"&lt;&gt;")=0,"",SUMIFS(BD!$D$3:$D$5001,BD!$A$3:$A$5001,AC$3,BD!$B$3:$B$5001,$A$277)))</f>
        <v/>
      </c>
      <c r="AD278" s="205" t="str">
        <f>IF(AD$3="","",IF(COUNTIFS(BD!$A$3:$A$5001,AD$3,BD!$B$3:$B$5001,$A$277,BD!$D$3:$D$5001,"&lt;&gt;")=0,"",SUMIFS(BD!$D$3:$D$5001,BD!$A$3:$A$5001,AD$3,BD!$B$3:$B$5001,$A$277)))</f>
        <v/>
      </c>
      <c r="AE278" s="205" t="str">
        <f>IF(AE$3="","",IF(COUNTIFS(BD!$A$3:$A$5001,AE$3,BD!$B$3:$B$5001,$A$277,BD!$D$3:$D$5001,"&lt;&gt;")=0,"",SUMIFS(BD!$D$3:$D$5001,BD!$A$3:$A$5001,AE$3,BD!$B$3:$B$5001,$A$277)))</f>
        <v/>
      </c>
      <c r="AF278" s="205" t="str">
        <f>IF(AF$3="","",IF(COUNTIFS(BD!$A$3:$A$5001,AF$3,BD!$B$3:$B$5001,$A$277,BD!$D$3:$D$5001,"&lt;&gt;")=0,"",SUMIFS(BD!$D$3:$D$5001,BD!$A$3:$A$5001,AF$3,BD!$B$3:$B$5001,$A$277)))</f>
        <v/>
      </c>
      <c r="AG278" s="205" t="str">
        <f>IF(AG$3="","",IF(COUNTIFS(BD!$A$3:$A$5001,AG$3,BD!$B$3:$B$5001,$A$277,BD!$D$3:$D$5001,"&lt;&gt;")=0,"",SUMIFS(BD!$D$3:$D$5001,BD!$A$3:$A$5001,AG$3,BD!$B$3:$B$5001,$A$277)))</f>
        <v/>
      </c>
      <c r="AH278" s="205" t="str">
        <f>IF(AH$3="","",IF(COUNTIFS(BD!$A$3:$A$5001,AH$3,BD!$B$3:$B$5001,$A$277,BD!$D$3:$D$5001,"&lt;&gt;")=0,"",SUMIFS(BD!$D$3:$D$5001,BD!$A$3:$A$5001,AH$3,BD!$B$3:$B$5001,$A$277)))</f>
        <v/>
      </c>
      <c r="AI278" s="205" t="str">
        <f>IF(AI$3="","",IF(COUNTIFS(BD!$A$3:$A$5001,AI$3,BD!$B$3:$B$5001,$A$277,BD!$D$3:$D$5001,"&lt;&gt;")=0,"",SUMIFS(BD!$D$3:$D$5001,BD!$A$3:$A$5001,AI$3,BD!$B$3:$B$5001,$A$277)))</f>
        <v/>
      </c>
      <c r="AJ278" s="206" t="str">
        <f>IF(AJ$3="","",IF(COUNTIFS(BD!$A$3:$A$5001,AJ$3,BD!$B$3:$B$5001,$A$277,BD!$D$3:$D$5001,"&lt;&gt;")=0,"",SUMIFS(BD!$D$3:$D$5001,BD!$A$3:$A$5001,AJ$3,BD!$B$3:$B$5001,$A$277)))</f>
        <v/>
      </c>
      <c r="AK278" s="207" t="str">
        <f>IF(COUNT(F278:AJ278)=0,"",SUM(F278:AJ278))</f>
        <v/>
      </c>
    </row>
    <row r="279" ht="15.75" customHeight="1" hidden="1">
      <c r="A279" s="244"/>
      <c r="B279" s="239"/>
      <c r="C279" s="201" t="inlineStr">
        <is>
          <t xml:space="preserve">Toneladas Movimentadas</t>
        </is>
      </c>
      <c r="D279" s="202" t="str">
        <f>IFERROR(1/(1/INDEX(BD!$AJ$25:$BD$25,MATCH($A$277,BD!$AJ$22:$BD$22,0))),"")</f>
        <v/>
      </c>
      <c r="E279" s="203"/>
      <c r="F279" s="265" t="str">
        <f>IF(F$3="","",IF(COUNTIFS(BD!$A$3:$A$5001,F$3,BD!$B$3:$B$5001,$A$277,BD!$E$3:$E$5001,"&lt;&gt;")=0,"",SUMIFS(BD!$E$3:$E$5001,BD!$A$3:$A$5001,F$3,BD!$B$3:$B$5001,$A$277)))</f>
        <v/>
      </c>
      <c r="G279" s="266" t="str">
        <f>IF(G$3="","",IF(COUNTIFS(BD!$A$3:$A$5001,G$3,BD!$B$3:$B$5001,$A$277,BD!$E$3:$E$5001,"&lt;&gt;")=0,"",SUMIFS(BD!$E$3:$E$5001,BD!$A$3:$A$5001,G$3,BD!$B$3:$B$5001,$A$277)))</f>
        <v/>
      </c>
      <c r="H279" s="266" t="str">
        <f>IF(H$3="","",IF(COUNTIFS(BD!$A$3:$A$5001,H$3,BD!$B$3:$B$5001,$A$277,BD!$E$3:$E$5001,"&lt;&gt;")=0,"",SUMIFS(BD!$E$3:$E$5001,BD!$A$3:$A$5001,H$3,BD!$B$3:$B$5001,$A$277)))</f>
        <v/>
      </c>
      <c r="I279" s="266" t="str">
        <f>IF(I$3="","",IF(COUNTIFS(BD!$A$3:$A$5001,I$3,BD!$B$3:$B$5001,$A$277,BD!$E$3:$E$5001,"&lt;&gt;")=0,"",SUMIFS(BD!$E$3:$E$5001,BD!$A$3:$A$5001,I$3,BD!$B$3:$B$5001,$A$277)))</f>
        <v/>
      </c>
      <c r="J279" s="266" t="str">
        <f>IF(J$3="","",IF(COUNTIFS(BD!$A$3:$A$5001,J$3,BD!$B$3:$B$5001,$A$277,BD!$E$3:$E$5001,"&lt;&gt;")=0,"",SUMIFS(BD!$E$3:$E$5001,BD!$A$3:$A$5001,J$3,BD!$B$3:$B$5001,$A$277)))</f>
        <v/>
      </c>
      <c r="K279" s="266" t="str">
        <f>IF(K$3="","",IF(COUNTIFS(BD!$A$3:$A$5001,K$3,BD!$B$3:$B$5001,$A$277,BD!$E$3:$E$5001,"&lt;&gt;")=0,"",SUMIFS(BD!$E$3:$E$5001,BD!$A$3:$A$5001,K$3,BD!$B$3:$B$5001,$A$277)))</f>
        <v/>
      </c>
      <c r="L279" s="266" t="str">
        <f>IF(L$3="","",IF(COUNTIFS(BD!$A$3:$A$5001,L$3,BD!$B$3:$B$5001,$A$277,BD!$E$3:$E$5001,"&lt;&gt;")=0,"",SUMIFS(BD!$E$3:$E$5001,BD!$A$3:$A$5001,L$3,BD!$B$3:$B$5001,$A$277)))</f>
        <v/>
      </c>
      <c r="M279" s="266" t="str">
        <f>IF(M$3="","",IF(COUNTIFS(BD!$A$3:$A$5001,M$3,BD!$B$3:$B$5001,$A$277,BD!$E$3:$E$5001,"&lt;&gt;")=0,"",SUMIFS(BD!$E$3:$E$5001,BD!$A$3:$A$5001,M$3,BD!$B$3:$B$5001,$A$277)))</f>
        <v/>
      </c>
      <c r="N279" s="266" t="str">
        <f>IF(N$3="","",IF(COUNTIFS(BD!$A$3:$A$5001,N$3,BD!$B$3:$B$5001,$A$277,BD!$E$3:$E$5001,"&lt;&gt;")=0,"",SUMIFS(BD!$E$3:$E$5001,BD!$A$3:$A$5001,N$3,BD!$B$3:$B$5001,$A$277)))</f>
        <v/>
      </c>
      <c r="O279" s="266" t="str">
        <f>IF(O$3="","",IF(COUNTIFS(BD!$A$3:$A$5001,O$3,BD!$B$3:$B$5001,$A$277,BD!$E$3:$E$5001,"&lt;&gt;")=0,"",SUMIFS(BD!$E$3:$E$5001,BD!$A$3:$A$5001,O$3,BD!$B$3:$B$5001,$A$277)))</f>
        <v/>
      </c>
      <c r="P279" s="266" t="str">
        <f>IF(P$3="","",IF(COUNTIFS(BD!$A$3:$A$5001,P$3,BD!$B$3:$B$5001,$A$277,BD!$E$3:$E$5001,"&lt;&gt;")=0,"",SUMIFS(BD!$E$3:$E$5001,BD!$A$3:$A$5001,P$3,BD!$B$3:$B$5001,$A$277)))</f>
        <v/>
      </c>
      <c r="Q279" s="266" t="str">
        <f>IF(Q$3="","",IF(COUNTIFS(BD!$A$3:$A$5001,Q$3,BD!$B$3:$B$5001,$A$277,BD!$E$3:$E$5001,"&lt;&gt;")=0,"",SUMIFS(BD!$E$3:$E$5001,BD!$A$3:$A$5001,Q$3,BD!$B$3:$B$5001,$A$277)))</f>
        <v/>
      </c>
      <c r="R279" s="266" t="str">
        <f>IF(R$3="","",IF(COUNTIFS(BD!$A$3:$A$5001,R$3,BD!$B$3:$B$5001,$A$277,BD!$E$3:$E$5001,"&lt;&gt;")=0,"",SUMIFS(BD!$E$3:$E$5001,BD!$A$3:$A$5001,R$3,BD!$B$3:$B$5001,$A$277)))</f>
        <v/>
      </c>
      <c r="S279" s="266" t="str">
        <f>IF(S$3="","",IF(COUNTIFS(BD!$A$3:$A$5001,S$3,BD!$B$3:$B$5001,$A$277,BD!$E$3:$E$5001,"&lt;&gt;")=0,"",SUMIFS(BD!$E$3:$E$5001,BD!$A$3:$A$5001,S$3,BD!$B$3:$B$5001,$A$277)))</f>
        <v/>
      </c>
      <c r="T279" s="266" t="str">
        <f>IF(T$3="","",IF(COUNTIFS(BD!$A$3:$A$5001,T$3,BD!$B$3:$B$5001,$A$277,BD!$E$3:$E$5001,"&lt;&gt;")=0,"",SUMIFS(BD!$E$3:$E$5001,BD!$A$3:$A$5001,T$3,BD!$B$3:$B$5001,$A$277)))</f>
        <v/>
      </c>
      <c r="U279" s="266" t="str">
        <f>IF(U$3="","",IF(COUNTIFS(BD!$A$3:$A$5001,U$3,BD!$B$3:$B$5001,$A$277,BD!$E$3:$E$5001,"&lt;&gt;")=0,"",SUMIFS(BD!$E$3:$E$5001,BD!$A$3:$A$5001,U$3,BD!$B$3:$B$5001,$A$277)))</f>
        <v/>
      </c>
      <c r="V279" s="266" t="str">
        <f>IF(V$3="","",IF(COUNTIFS(BD!$A$3:$A$5001,V$3,BD!$B$3:$B$5001,$A$277,BD!$E$3:$E$5001,"&lt;&gt;")=0,"",SUMIFS(BD!$E$3:$E$5001,BD!$A$3:$A$5001,V$3,BD!$B$3:$B$5001,$A$277)))</f>
        <v/>
      </c>
      <c r="W279" s="266" t="str">
        <f>IF(W$3="","",IF(COUNTIFS(BD!$A$3:$A$5001,W$3,BD!$B$3:$B$5001,$A$277,BD!$E$3:$E$5001,"&lt;&gt;")=0,"",SUMIFS(BD!$E$3:$E$5001,BD!$A$3:$A$5001,W$3,BD!$B$3:$B$5001,$A$277)))</f>
        <v/>
      </c>
      <c r="X279" s="266" t="str">
        <f>IF(X$3="","",IF(COUNTIFS(BD!$A$3:$A$5001,X$3,BD!$B$3:$B$5001,$A$277,BD!$E$3:$E$5001,"&lt;&gt;")=0,"",SUMIFS(BD!$E$3:$E$5001,BD!$A$3:$A$5001,X$3,BD!$B$3:$B$5001,$A$277)))</f>
        <v/>
      </c>
      <c r="Y279" s="266" t="str">
        <f>IF(Y$3="","",IF(COUNTIFS(BD!$A$3:$A$5001,Y$3,BD!$B$3:$B$5001,$A$277,BD!$E$3:$E$5001,"&lt;&gt;")=0,"",SUMIFS(BD!$E$3:$E$5001,BD!$A$3:$A$5001,Y$3,BD!$B$3:$B$5001,$A$277)))</f>
        <v/>
      </c>
      <c r="Z279" s="266" t="str">
        <f>IF(Z$3="","",IF(COUNTIFS(BD!$A$3:$A$5001,Z$3,BD!$B$3:$B$5001,$A$277,BD!$E$3:$E$5001,"&lt;&gt;")=0,"",SUMIFS(BD!$E$3:$E$5001,BD!$A$3:$A$5001,Z$3,BD!$B$3:$B$5001,$A$277)))</f>
        <v/>
      </c>
      <c r="AA279" s="266" t="str">
        <f>IF(AA$3="","",IF(COUNTIFS(BD!$A$3:$A$5001,AA$3,BD!$B$3:$B$5001,$A$277,BD!$E$3:$E$5001,"&lt;&gt;")=0,"",SUMIFS(BD!$E$3:$E$5001,BD!$A$3:$A$5001,AA$3,BD!$B$3:$B$5001,$A$277)))</f>
        <v/>
      </c>
      <c r="AB279" s="266" t="str">
        <f>IF(AB$3="","",IF(COUNTIFS(BD!$A$3:$A$5001,AB$3,BD!$B$3:$B$5001,$A$277,BD!$E$3:$E$5001,"&lt;&gt;")=0,"",SUMIFS(BD!$E$3:$E$5001,BD!$A$3:$A$5001,AB$3,BD!$B$3:$B$5001,$A$277)))</f>
        <v/>
      </c>
      <c r="AC279" s="266" t="str">
        <f>IF(AC$3="","",IF(COUNTIFS(BD!$A$3:$A$5001,AC$3,BD!$B$3:$B$5001,$A$277,BD!$E$3:$E$5001,"&lt;&gt;")=0,"",SUMIFS(BD!$E$3:$E$5001,BD!$A$3:$A$5001,AC$3,BD!$B$3:$B$5001,$A$277)))</f>
        <v/>
      </c>
      <c r="AD279" s="266" t="str">
        <f>IF(AD$3="","",IF(COUNTIFS(BD!$A$3:$A$5001,AD$3,BD!$B$3:$B$5001,$A$277,BD!$E$3:$E$5001,"&lt;&gt;")=0,"",SUMIFS(BD!$E$3:$E$5001,BD!$A$3:$A$5001,AD$3,BD!$B$3:$B$5001,$A$277)))</f>
        <v/>
      </c>
      <c r="AE279" s="266" t="str">
        <f>IF(AE$3="","",IF(COUNTIFS(BD!$A$3:$A$5001,AE$3,BD!$B$3:$B$5001,$A$277,BD!$E$3:$E$5001,"&lt;&gt;")=0,"",SUMIFS(BD!$E$3:$E$5001,BD!$A$3:$A$5001,AE$3,BD!$B$3:$B$5001,$A$277)))</f>
        <v/>
      </c>
      <c r="AF279" s="266" t="str">
        <f>IF(AF$3="","",IF(COUNTIFS(BD!$A$3:$A$5001,AF$3,BD!$B$3:$B$5001,$A$277,BD!$E$3:$E$5001,"&lt;&gt;")=0,"",SUMIFS(BD!$E$3:$E$5001,BD!$A$3:$A$5001,AF$3,BD!$B$3:$B$5001,$A$277)))</f>
        <v/>
      </c>
      <c r="AG279" s="266" t="str">
        <f>IF(AG$3="","",IF(COUNTIFS(BD!$A$3:$A$5001,AG$3,BD!$B$3:$B$5001,$A$277,BD!$E$3:$E$5001,"&lt;&gt;")=0,"",SUMIFS(BD!$E$3:$E$5001,BD!$A$3:$A$5001,AG$3,BD!$B$3:$B$5001,$A$277)))</f>
        <v/>
      </c>
      <c r="AH279" s="266" t="str">
        <f>IF(AH$3="","",IF(COUNTIFS(BD!$A$3:$A$5001,AH$3,BD!$B$3:$B$5001,$A$277,BD!$E$3:$E$5001,"&lt;&gt;")=0,"",SUMIFS(BD!$E$3:$E$5001,BD!$A$3:$A$5001,AH$3,BD!$B$3:$B$5001,$A$277)))</f>
        <v/>
      </c>
      <c r="AI279" s="266" t="str">
        <f>IF(AI$3="","",IF(COUNTIFS(BD!$A$3:$A$5001,AI$3,BD!$B$3:$B$5001,$A$277,BD!$E$3:$E$5001,"&lt;&gt;")=0,"",SUMIFS(BD!$E$3:$E$5001,BD!$A$3:$A$5001,AI$3,BD!$B$3:$B$5001,$A$277)))</f>
        <v/>
      </c>
      <c r="AJ279" s="267" t="str">
        <f>IF(AJ$3="","",IF(COUNTIFS(BD!$A$3:$A$5001,AJ$3,BD!$B$3:$B$5001,$A$277,BD!$E$3:$E$5001,"&lt;&gt;")=0,"",SUMIFS(BD!$E$3:$E$5001,BD!$A$3:$A$5001,AJ$3,BD!$B$3:$B$5001,$A$277)))</f>
        <v/>
      </c>
      <c r="AK279" s="268" t="str">
        <f>IF(COUNT(F279:AJ279)=0,"",SUM(F279:AJ279))</f>
        <v/>
      </c>
    </row>
    <row r="280" ht="15.75" customHeight="1" hidden="1">
      <c r="A280" s="244"/>
      <c r="B280" s="239"/>
      <c r="C280" s="201" t="inlineStr">
        <is>
          <t xml:space="preserve">Linhas NF</t>
        </is>
      </c>
      <c r="D280" s="202" t="str">
        <f>IFERROR(1/(1/INDEX(BD!$AJ$26:$BD$26,MATCH($A$277,BD!$AJ$22:$BD$22,0))),"")</f>
        <v/>
      </c>
      <c r="E280" s="203"/>
      <c r="F280" s="204" t="str">
        <f>IF(F$3="","",IF(COUNTIFS(BD!$A$3:$A$5001,F$3,BD!$B$3:$B$5001,$A$277,BD!$F$3:$F$5001,"&lt;&gt;")=0,"",SUMIFS(BD!$F$3:$F$5001,BD!$A$3:$A$5001,F$3,BD!$B$3:$B$5001,$A$277)))</f>
        <v/>
      </c>
      <c r="G280" s="205" t="str">
        <f>IF(G$3="","",IF(COUNTIFS(BD!$A$3:$A$5001,G$3,BD!$B$3:$B$5001,$A$277,BD!$F$3:$F$5001,"&lt;&gt;")=0,"",SUMIFS(BD!$F$3:$F$5001,BD!$A$3:$A$5001,G$3,BD!$B$3:$B$5001,$A$277)))</f>
        <v/>
      </c>
      <c r="H280" s="205" t="str">
        <f>IF(H$3="","",IF(COUNTIFS(BD!$A$3:$A$5001,H$3,BD!$B$3:$B$5001,$A$277,BD!$F$3:$F$5001,"&lt;&gt;")=0,"",SUMIFS(BD!$F$3:$F$5001,BD!$A$3:$A$5001,H$3,BD!$B$3:$B$5001,$A$277)))</f>
        <v/>
      </c>
      <c r="I280" s="205" t="str">
        <f>IF(I$3="","",IF(COUNTIFS(BD!$A$3:$A$5001,I$3,BD!$B$3:$B$5001,$A$277,BD!$F$3:$F$5001,"&lt;&gt;")=0,"",SUMIFS(BD!$F$3:$F$5001,BD!$A$3:$A$5001,I$3,BD!$B$3:$B$5001,$A$277)))</f>
        <v/>
      </c>
      <c r="J280" s="205" t="str">
        <f>IF(J$3="","",IF(COUNTIFS(BD!$A$3:$A$5001,J$3,BD!$B$3:$B$5001,$A$277,BD!$F$3:$F$5001,"&lt;&gt;")=0,"",SUMIFS(BD!$F$3:$F$5001,BD!$A$3:$A$5001,J$3,BD!$B$3:$B$5001,$A$277)))</f>
        <v/>
      </c>
      <c r="K280" s="205" t="str">
        <f>IF(K$3="","",IF(COUNTIFS(BD!$A$3:$A$5001,K$3,BD!$B$3:$B$5001,$A$277,BD!$F$3:$F$5001,"&lt;&gt;")=0,"",SUMIFS(BD!$F$3:$F$5001,BD!$A$3:$A$5001,K$3,BD!$B$3:$B$5001,$A$277)))</f>
        <v/>
      </c>
      <c r="L280" s="205" t="str">
        <f>IF(L$3="","",IF(COUNTIFS(BD!$A$3:$A$5001,L$3,BD!$B$3:$B$5001,$A$277,BD!$F$3:$F$5001,"&lt;&gt;")=0,"",SUMIFS(BD!$F$3:$F$5001,BD!$A$3:$A$5001,L$3,BD!$B$3:$B$5001,$A$277)))</f>
        <v/>
      </c>
      <c r="M280" s="205" t="str">
        <f>IF(M$3="","",IF(COUNTIFS(BD!$A$3:$A$5001,M$3,BD!$B$3:$B$5001,$A$277,BD!$F$3:$F$5001,"&lt;&gt;")=0,"",SUMIFS(BD!$F$3:$F$5001,BD!$A$3:$A$5001,M$3,BD!$B$3:$B$5001,$A$277)))</f>
        <v/>
      </c>
      <c r="N280" s="205" t="str">
        <f>IF(N$3="","",IF(COUNTIFS(BD!$A$3:$A$5001,N$3,BD!$B$3:$B$5001,$A$277,BD!$F$3:$F$5001,"&lt;&gt;")=0,"",SUMIFS(BD!$F$3:$F$5001,BD!$A$3:$A$5001,N$3,BD!$B$3:$B$5001,$A$277)))</f>
        <v/>
      </c>
      <c r="O280" s="205" t="str">
        <f>IF(O$3="","",IF(COUNTIFS(BD!$A$3:$A$5001,O$3,BD!$B$3:$B$5001,$A$277,BD!$F$3:$F$5001,"&lt;&gt;")=0,"",SUMIFS(BD!$F$3:$F$5001,BD!$A$3:$A$5001,O$3,BD!$B$3:$B$5001,$A$277)))</f>
        <v/>
      </c>
      <c r="P280" s="205" t="str">
        <f>IF(P$3="","",IF(COUNTIFS(BD!$A$3:$A$5001,P$3,BD!$B$3:$B$5001,$A$277,BD!$F$3:$F$5001,"&lt;&gt;")=0,"",SUMIFS(BD!$F$3:$F$5001,BD!$A$3:$A$5001,P$3,BD!$B$3:$B$5001,$A$277)))</f>
        <v/>
      </c>
      <c r="Q280" s="205" t="str">
        <f>IF(Q$3="","",IF(COUNTIFS(BD!$A$3:$A$5001,Q$3,BD!$B$3:$B$5001,$A$277,BD!$F$3:$F$5001,"&lt;&gt;")=0,"",SUMIFS(BD!$F$3:$F$5001,BD!$A$3:$A$5001,Q$3,BD!$B$3:$B$5001,$A$277)))</f>
        <v/>
      </c>
      <c r="R280" s="205" t="str">
        <f>IF(R$3="","",IF(COUNTIFS(BD!$A$3:$A$5001,R$3,BD!$B$3:$B$5001,$A$277,BD!$F$3:$F$5001,"&lt;&gt;")=0,"",SUMIFS(BD!$F$3:$F$5001,BD!$A$3:$A$5001,R$3,BD!$B$3:$B$5001,$A$277)))</f>
        <v/>
      </c>
      <c r="S280" s="205" t="str">
        <f>IF(S$3="","",IF(COUNTIFS(BD!$A$3:$A$5001,S$3,BD!$B$3:$B$5001,$A$277,BD!$F$3:$F$5001,"&lt;&gt;")=0,"",SUMIFS(BD!$F$3:$F$5001,BD!$A$3:$A$5001,S$3,BD!$B$3:$B$5001,$A$277)))</f>
        <v/>
      </c>
      <c r="T280" s="205" t="str">
        <f>IF(T$3="","",IF(COUNTIFS(BD!$A$3:$A$5001,T$3,BD!$B$3:$B$5001,$A$277,BD!$F$3:$F$5001,"&lt;&gt;")=0,"",SUMIFS(BD!$F$3:$F$5001,BD!$A$3:$A$5001,T$3,BD!$B$3:$B$5001,$A$277)))</f>
        <v/>
      </c>
      <c r="U280" s="205" t="str">
        <f>IF(U$3="","",IF(COUNTIFS(BD!$A$3:$A$5001,U$3,BD!$B$3:$B$5001,$A$277,BD!$F$3:$F$5001,"&lt;&gt;")=0,"",SUMIFS(BD!$F$3:$F$5001,BD!$A$3:$A$5001,U$3,BD!$B$3:$B$5001,$A$277)))</f>
        <v/>
      </c>
      <c r="V280" s="205" t="str">
        <f>IF(V$3="","",IF(COUNTIFS(BD!$A$3:$A$5001,V$3,BD!$B$3:$B$5001,$A$277,BD!$F$3:$F$5001,"&lt;&gt;")=0,"",SUMIFS(BD!$F$3:$F$5001,BD!$A$3:$A$5001,V$3,BD!$B$3:$B$5001,$A$277)))</f>
        <v/>
      </c>
      <c r="W280" s="205" t="str">
        <f>IF(W$3="","",IF(COUNTIFS(BD!$A$3:$A$5001,W$3,BD!$B$3:$B$5001,$A$277,BD!$F$3:$F$5001,"&lt;&gt;")=0,"",SUMIFS(BD!$F$3:$F$5001,BD!$A$3:$A$5001,W$3,BD!$B$3:$B$5001,$A$277)))</f>
        <v/>
      </c>
      <c r="X280" s="205" t="str">
        <f>IF(X$3="","",IF(COUNTIFS(BD!$A$3:$A$5001,X$3,BD!$B$3:$B$5001,$A$277,BD!$F$3:$F$5001,"&lt;&gt;")=0,"",SUMIFS(BD!$F$3:$F$5001,BD!$A$3:$A$5001,X$3,BD!$B$3:$B$5001,$A$277)))</f>
        <v/>
      </c>
      <c r="Y280" s="205" t="str">
        <f>IF(Y$3="","",IF(COUNTIFS(BD!$A$3:$A$5001,Y$3,BD!$B$3:$B$5001,$A$277,BD!$F$3:$F$5001,"&lt;&gt;")=0,"",SUMIFS(BD!$F$3:$F$5001,BD!$A$3:$A$5001,Y$3,BD!$B$3:$B$5001,$A$277)))</f>
        <v/>
      </c>
      <c r="Z280" s="205" t="str">
        <f>IF(Z$3="","",IF(COUNTIFS(BD!$A$3:$A$5001,Z$3,BD!$B$3:$B$5001,$A$277,BD!$F$3:$F$5001,"&lt;&gt;")=0,"",SUMIFS(BD!$F$3:$F$5001,BD!$A$3:$A$5001,Z$3,BD!$B$3:$B$5001,$A$277)))</f>
        <v/>
      </c>
      <c r="AA280" s="205" t="str">
        <f>IF(AA$3="","",IF(COUNTIFS(BD!$A$3:$A$5001,AA$3,BD!$B$3:$B$5001,$A$277,BD!$F$3:$F$5001,"&lt;&gt;")=0,"",SUMIFS(BD!$F$3:$F$5001,BD!$A$3:$A$5001,AA$3,BD!$B$3:$B$5001,$A$277)))</f>
        <v/>
      </c>
      <c r="AB280" s="205" t="str">
        <f>IF(AB$3="","",IF(COUNTIFS(BD!$A$3:$A$5001,AB$3,BD!$B$3:$B$5001,$A$277,BD!$F$3:$F$5001,"&lt;&gt;")=0,"",SUMIFS(BD!$F$3:$F$5001,BD!$A$3:$A$5001,AB$3,BD!$B$3:$B$5001,$A$277)))</f>
        <v/>
      </c>
      <c r="AC280" s="205" t="str">
        <f>IF(AC$3="","",IF(COUNTIFS(BD!$A$3:$A$5001,AC$3,BD!$B$3:$B$5001,$A$277,BD!$F$3:$F$5001,"&lt;&gt;")=0,"",SUMIFS(BD!$F$3:$F$5001,BD!$A$3:$A$5001,AC$3,BD!$B$3:$B$5001,$A$277)))</f>
        <v/>
      </c>
      <c r="AD280" s="205" t="str">
        <f>IF(AD$3="","",IF(COUNTIFS(BD!$A$3:$A$5001,AD$3,BD!$B$3:$B$5001,$A$277,BD!$F$3:$F$5001,"&lt;&gt;")=0,"",SUMIFS(BD!$F$3:$F$5001,BD!$A$3:$A$5001,AD$3,BD!$B$3:$B$5001,$A$277)))</f>
        <v/>
      </c>
      <c r="AE280" s="205" t="str">
        <f>IF(AE$3="","",IF(COUNTIFS(BD!$A$3:$A$5001,AE$3,BD!$B$3:$B$5001,$A$277,BD!$F$3:$F$5001,"&lt;&gt;")=0,"",SUMIFS(BD!$F$3:$F$5001,BD!$A$3:$A$5001,AE$3,BD!$B$3:$B$5001,$A$277)))</f>
        <v/>
      </c>
      <c r="AF280" s="205" t="str">
        <f>IF(AF$3="","",IF(COUNTIFS(BD!$A$3:$A$5001,AF$3,BD!$B$3:$B$5001,$A$277,BD!$F$3:$F$5001,"&lt;&gt;")=0,"",SUMIFS(BD!$F$3:$F$5001,BD!$A$3:$A$5001,AF$3,BD!$B$3:$B$5001,$A$277)))</f>
        <v/>
      </c>
      <c r="AG280" s="205" t="str">
        <f>IF(AG$3="","",IF(COUNTIFS(BD!$A$3:$A$5001,AG$3,BD!$B$3:$B$5001,$A$277,BD!$F$3:$F$5001,"&lt;&gt;")=0,"",SUMIFS(BD!$F$3:$F$5001,BD!$A$3:$A$5001,AG$3,BD!$B$3:$B$5001,$A$277)))</f>
        <v/>
      </c>
      <c r="AH280" s="205" t="str">
        <f>IF(AH$3="","",IF(COUNTIFS(BD!$A$3:$A$5001,AH$3,BD!$B$3:$B$5001,$A$277,BD!$F$3:$F$5001,"&lt;&gt;")=0,"",SUMIFS(BD!$F$3:$F$5001,BD!$A$3:$A$5001,AH$3,BD!$B$3:$B$5001,$A$277)))</f>
        <v/>
      </c>
      <c r="AI280" s="205" t="str">
        <f>IF(AI$3="","",IF(COUNTIFS(BD!$A$3:$A$5001,AI$3,BD!$B$3:$B$5001,$A$277,BD!$F$3:$F$5001,"&lt;&gt;")=0,"",SUMIFS(BD!$F$3:$F$5001,BD!$A$3:$A$5001,AI$3,BD!$B$3:$B$5001,$A$277)))</f>
        <v/>
      </c>
      <c r="AJ280" s="206" t="str">
        <f>IF(AJ$3="","",IF(COUNTIFS(BD!$A$3:$A$5001,AJ$3,BD!$B$3:$B$5001,$A$277,BD!$F$3:$F$5001,"&lt;&gt;")=0,"",SUMIFS(BD!$F$3:$F$5001,BD!$A$3:$A$5001,AJ$3,BD!$B$3:$B$5001,$A$277)))</f>
        <v/>
      </c>
      <c r="AK280" s="207" t="str">
        <f>IF(COUNT(F280:AJ280)=0,"",SUM(F280:AJ280))</f>
        <v/>
      </c>
    </row>
    <row r="281" ht="15.75" customHeight="1" hidden="1">
      <c r="A281" s="244"/>
      <c r="B281" s="239"/>
      <c r="C281" s="201" t="inlineStr">
        <is>
          <t xml:space="preserve">Caixas Movimentadas</t>
        </is>
      </c>
      <c r="D281" s="202" t="str">
        <f>IFERROR(1/(1/INDEX(BD!$AJ$27:$BD$27,MATCH($A$277,BD!$AJ$22:$BD$22,0))),"")</f>
        <v/>
      </c>
      <c r="E281" s="203"/>
      <c r="F281" s="204" t="str">
        <f>IF(F$3="","",IF(COUNTIFS(BD!$A$3:$A$5001,F$3,BD!$B$3:$B$5001,$A$277,BD!$G$3:$G$5001,"&lt;&gt;")=0,"",SUMIFS(BD!$G$3:$G$5001,BD!$A$3:$A$5001,F$3,BD!$B$3:$B$5001,$A$277)))</f>
        <v/>
      </c>
      <c r="G281" s="205" t="str">
        <f>IF(G$3="","",IF(COUNTIFS(BD!$A$3:$A$5001,G$3,BD!$B$3:$B$5001,$A$277,BD!$G$3:$G$5001,"&lt;&gt;")=0,"",SUMIFS(BD!$G$3:$G$5001,BD!$A$3:$A$5001,G$3,BD!$B$3:$B$5001,$A$277)))</f>
        <v/>
      </c>
      <c r="H281" s="205" t="str">
        <f>IF(H$3="","",IF(COUNTIFS(BD!$A$3:$A$5001,H$3,BD!$B$3:$B$5001,$A$277,BD!$G$3:$G$5001,"&lt;&gt;")=0,"",SUMIFS(BD!$G$3:$G$5001,BD!$A$3:$A$5001,H$3,BD!$B$3:$B$5001,$A$277)))</f>
        <v/>
      </c>
      <c r="I281" s="205" t="str">
        <f>IF(I$3="","",IF(COUNTIFS(BD!$A$3:$A$5001,I$3,BD!$B$3:$B$5001,$A$277,BD!$G$3:$G$5001,"&lt;&gt;")=0,"",SUMIFS(BD!$G$3:$G$5001,BD!$A$3:$A$5001,I$3,BD!$B$3:$B$5001,$A$277)))</f>
        <v/>
      </c>
      <c r="J281" s="205" t="str">
        <f>IF(J$3="","",IF(COUNTIFS(BD!$A$3:$A$5001,J$3,BD!$B$3:$B$5001,$A$277,BD!$G$3:$G$5001,"&lt;&gt;")=0,"",SUMIFS(BD!$G$3:$G$5001,BD!$A$3:$A$5001,J$3,BD!$B$3:$B$5001,$A$277)))</f>
        <v/>
      </c>
      <c r="K281" s="205" t="str">
        <f>IF(K$3="","",IF(COUNTIFS(BD!$A$3:$A$5001,K$3,BD!$B$3:$B$5001,$A$277,BD!$G$3:$G$5001,"&lt;&gt;")=0,"",SUMIFS(BD!$G$3:$G$5001,BD!$A$3:$A$5001,K$3,BD!$B$3:$B$5001,$A$277)))</f>
        <v/>
      </c>
      <c r="L281" s="205" t="str">
        <f>IF(L$3="","",IF(COUNTIFS(BD!$A$3:$A$5001,L$3,BD!$B$3:$B$5001,$A$277,BD!$G$3:$G$5001,"&lt;&gt;")=0,"",SUMIFS(BD!$G$3:$G$5001,BD!$A$3:$A$5001,L$3,BD!$B$3:$B$5001,$A$277)))</f>
        <v/>
      </c>
      <c r="M281" s="205" t="str">
        <f>IF(M$3="","",IF(COUNTIFS(BD!$A$3:$A$5001,M$3,BD!$B$3:$B$5001,$A$277,BD!$G$3:$G$5001,"&lt;&gt;")=0,"",SUMIFS(BD!$G$3:$G$5001,BD!$A$3:$A$5001,M$3,BD!$B$3:$B$5001,$A$277)))</f>
        <v/>
      </c>
      <c r="N281" s="205" t="str">
        <f>IF(N$3="","",IF(COUNTIFS(BD!$A$3:$A$5001,N$3,BD!$B$3:$B$5001,$A$277,BD!$G$3:$G$5001,"&lt;&gt;")=0,"",SUMIFS(BD!$G$3:$G$5001,BD!$A$3:$A$5001,N$3,BD!$B$3:$B$5001,$A$277)))</f>
        <v/>
      </c>
      <c r="O281" s="205" t="str">
        <f>IF(O$3="","",IF(COUNTIFS(BD!$A$3:$A$5001,O$3,BD!$B$3:$B$5001,$A$277,BD!$G$3:$G$5001,"&lt;&gt;")=0,"",SUMIFS(BD!$G$3:$G$5001,BD!$A$3:$A$5001,O$3,BD!$B$3:$B$5001,$A$277)))</f>
        <v/>
      </c>
      <c r="P281" s="205" t="str">
        <f>IF(P$3="","",IF(COUNTIFS(BD!$A$3:$A$5001,P$3,BD!$B$3:$B$5001,$A$277,BD!$G$3:$G$5001,"&lt;&gt;")=0,"",SUMIFS(BD!$G$3:$G$5001,BD!$A$3:$A$5001,P$3,BD!$B$3:$B$5001,$A$277)))</f>
        <v/>
      </c>
      <c r="Q281" s="205" t="str">
        <f>IF(Q$3="","",IF(COUNTIFS(BD!$A$3:$A$5001,Q$3,BD!$B$3:$B$5001,$A$277,BD!$G$3:$G$5001,"&lt;&gt;")=0,"",SUMIFS(BD!$G$3:$G$5001,BD!$A$3:$A$5001,Q$3,BD!$B$3:$B$5001,$A$277)))</f>
        <v/>
      </c>
      <c r="R281" s="205" t="str">
        <f>IF(R$3="","",IF(COUNTIFS(BD!$A$3:$A$5001,R$3,BD!$B$3:$B$5001,$A$277,BD!$G$3:$G$5001,"&lt;&gt;")=0,"",SUMIFS(BD!$G$3:$G$5001,BD!$A$3:$A$5001,R$3,BD!$B$3:$B$5001,$A$277)))</f>
        <v/>
      </c>
      <c r="S281" s="205" t="str">
        <f>IF(S$3="","",IF(COUNTIFS(BD!$A$3:$A$5001,S$3,BD!$B$3:$B$5001,$A$277,BD!$G$3:$G$5001,"&lt;&gt;")=0,"",SUMIFS(BD!$G$3:$G$5001,BD!$A$3:$A$5001,S$3,BD!$B$3:$B$5001,$A$277)))</f>
        <v/>
      </c>
      <c r="T281" s="205" t="str">
        <f>IF(T$3="","",IF(COUNTIFS(BD!$A$3:$A$5001,T$3,BD!$B$3:$B$5001,$A$277,BD!$G$3:$G$5001,"&lt;&gt;")=0,"",SUMIFS(BD!$G$3:$G$5001,BD!$A$3:$A$5001,T$3,BD!$B$3:$B$5001,$A$277)))</f>
        <v/>
      </c>
      <c r="U281" s="205" t="str">
        <f>IF(U$3="","",IF(COUNTIFS(BD!$A$3:$A$5001,U$3,BD!$B$3:$B$5001,$A$277,BD!$G$3:$G$5001,"&lt;&gt;")=0,"",SUMIFS(BD!$G$3:$G$5001,BD!$A$3:$A$5001,U$3,BD!$B$3:$B$5001,$A$277)))</f>
        <v/>
      </c>
      <c r="V281" s="205" t="str">
        <f>IF(V$3="","",IF(COUNTIFS(BD!$A$3:$A$5001,V$3,BD!$B$3:$B$5001,$A$277,BD!$G$3:$G$5001,"&lt;&gt;")=0,"",SUMIFS(BD!$G$3:$G$5001,BD!$A$3:$A$5001,V$3,BD!$B$3:$B$5001,$A$277)))</f>
        <v/>
      </c>
      <c r="W281" s="205" t="str">
        <f>IF(W$3="","",IF(COUNTIFS(BD!$A$3:$A$5001,W$3,BD!$B$3:$B$5001,$A$277,BD!$G$3:$G$5001,"&lt;&gt;")=0,"",SUMIFS(BD!$G$3:$G$5001,BD!$A$3:$A$5001,W$3,BD!$B$3:$B$5001,$A$277)))</f>
        <v/>
      </c>
      <c r="X281" s="205" t="str">
        <f>IF(X$3="","",IF(COUNTIFS(BD!$A$3:$A$5001,X$3,BD!$B$3:$B$5001,$A$277,BD!$G$3:$G$5001,"&lt;&gt;")=0,"",SUMIFS(BD!$G$3:$G$5001,BD!$A$3:$A$5001,X$3,BD!$B$3:$B$5001,$A$277)))</f>
        <v/>
      </c>
      <c r="Y281" s="205" t="str">
        <f>IF(Y$3="","",IF(COUNTIFS(BD!$A$3:$A$5001,Y$3,BD!$B$3:$B$5001,$A$277,BD!$G$3:$G$5001,"&lt;&gt;")=0,"",SUMIFS(BD!$G$3:$G$5001,BD!$A$3:$A$5001,Y$3,BD!$B$3:$B$5001,$A$277)))</f>
        <v/>
      </c>
      <c r="Z281" s="205" t="str">
        <f>IF(Z$3="","",IF(COUNTIFS(BD!$A$3:$A$5001,Z$3,BD!$B$3:$B$5001,$A$277,BD!$G$3:$G$5001,"&lt;&gt;")=0,"",SUMIFS(BD!$G$3:$G$5001,BD!$A$3:$A$5001,Z$3,BD!$B$3:$B$5001,$A$277)))</f>
        <v/>
      </c>
      <c r="AA281" s="205" t="str">
        <f>IF(AA$3="","",IF(COUNTIFS(BD!$A$3:$A$5001,AA$3,BD!$B$3:$B$5001,$A$277,BD!$G$3:$G$5001,"&lt;&gt;")=0,"",SUMIFS(BD!$G$3:$G$5001,BD!$A$3:$A$5001,AA$3,BD!$B$3:$B$5001,$A$277)))</f>
        <v/>
      </c>
      <c r="AB281" s="205" t="str">
        <f>IF(AB$3="","",IF(COUNTIFS(BD!$A$3:$A$5001,AB$3,BD!$B$3:$B$5001,$A$277,BD!$G$3:$G$5001,"&lt;&gt;")=0,"",SUMIFS(BD!$G$3:$G$5001,BD!$A$3:$A$5001,AB$3,BD!$B$3:$B$5001,$A$277)))</f>
        <v/>
      </c>
      <c r="AC281" s="205" t="str">
        <f>IF(AC$3="","",IF(COUNTIFS(BD!$A$3:$A$5001,AC$3,BD!$B$3:$B$5001,$A$277,BD!$G$3:$G$5001,"&lt;&gt;")=0,"",SUMIFS(BD!$G$3:$G$5001,BD!$A$3:$A$5001,AC$3,BD!$B$3:$B$5001,$A$277)))</f>
        <v/>
      </c>
      <c r="AD281" s="205" t="str">
        <f>IF(AD$3="","",IF(COUNTIFS(BD!$A$3:$A$5001,AD$3,BD!$B$3:$B$5001,$A$277,BD!$G$3:$G$5001,"&lt;&gt;")=0,"",SUMIFS(BD!$G$3:$G$5001,BD!$A$3:$A$5001,AD$3,BD!$B$3:$B$5001,$A$277)))</f>
        <v/>
      </c>
      <c r="AE281" s="205" t="str">
        <f>IF(AE$3="","",IF(COUNTIFS(BD!$A$3:$A$5001,AE$3,BD!$B$3:$B$5001,$A$277,BD!$G$3:$G$5001,"&lt;&gt;")=0,"",SUMIFS(BD!$G$3:$G$5001,BD!$A$3:$A$5001,AE$3,BD!$B$3:$B$5001,$A$277)))</f>
        <v/>
      </c>
      <c r="AF281" s="205" t="str">
        <f>IF(AF$3="","",IF(COUNTIFS(BD!$A$3:$A$5001,AF$3,BD!$B$3:$B$5001,$A$277,BD!$G$3:$G$5001,"&lt;&gt;")=0,"",SUMIFS(BD!$G$3:$G$5001,BD!$A$3:$A$5001,AF$3,BD!$B$3:$B$5001,$A$277)))</f>
        <v/>
      </c>
      <c r="AG281" s="205" t="str">
        <f>IF(AG$3="","",IF(COUNTIFS(BD!$A$3:$A$5001,AG$3,BD!$B$3:$B$5001,$A$277,BD!$G$3:$G$5001,"&lt;&gt;")=0,"",SUMIFS(BD!$G$3:$G$5001,BD!$A$3:$A$5001,AG$3,BD!$B$3:$B$5001,$A$277)))</f>
        <v/>
      </c>
      <c r="AH281" s="205" t="str">
        <f>IF(AH$3="","",IF(COUNTIFS(BD!$A$3:$A$5001,AH$3,BD!$B$3:$B$5001,$A$277,BD!$G$3:$G$5001,"&lt;&gt;")=0,"",SUMIFS(BD!$G$3:$G$5001,BD!$A$3:$A$5001,AH$3,BD!$B$3:$B$5001,$A$277)))</f>
        <v/>
      </c>
      <c r="AI281" s="205" t="str">
        <f>IF(AI$3="","",IF(COUNTIFS(BD!$A$3:$A$5001,AI$3,BD!$B$3:$B$5001,$A$277,BD!$G$3:$G$5001,"&lt;&gt;")=0,"",SUMIFS(BD!$G$3:$G$5001,BD!$A$3:$A$5001,AI$3,BD!$B$3:$B$5001,$A$277)))</f>
        <v/>
      </c>
      <c r="AJ281" s="206" t="str">
        <f>IF(AJ$3="","",IF(COUNTIFS(BD!$A$3:$A$5001,AJ$3,BD!$B$3:$B$5001,$A$277,BD!$G$3:$G$5001,"&lt;&gt;")=0,"",SUMIFS(BD!$G$3:$G$5001,BD!$A$3:$A$5001,AJ$3,BD!$B$3:$B$5001,$A$277)))</f>
        <v/>
      </c>
      <c r="AK281" s="207" t="str">
        <f>IF(COUNT(F281:AJ281)=0,"",SUM(F281:AJ281))</f>
        <v/>
      </c>
    </row>
    <row r="282" ht="15.75" customHeight="1" hidden="1">
      <c r="A282" s="244"/>
      <c r="B282" s="239"/>
      <c r="C282" s="201" t="inlineStr">
        <is>
          <t xml:space="preserve">Itens Recebidos</t>
        </is>
      </c>
      <c r="D282" s="202" t="str">
        <f>IFERROR(1/(1/INDEX(BD!$AJ$28:$BD$28,MATCH($A$277,BD!$AJ$22:$BD$22,0))),"")</f>
        <v/>
      </c>
      <c r="E282" s="203"/>
      <c r="F282" s="204" t="str">
        <f>IF(F$3="","",IF(COUNTIFS(BD!$A$3:$A$5001,F$3,BD!$B$3:$B$5001,$A$277,BD!$H$3:$H$5001,"&lt;&gt;")=0,"",SUMIFS(BD!$H$3:$H$5001,BD!$A$3:$A$5001,F$3,BD!$B$3:$B$5001,$A$277)))</f>
        <v/>
      </c>
      <c r="G282" s="205" t="str">
        <f>IF(G$3="","",IF(COUNTIFS(BD!$A$3:$A$5001,G$3,BD!$B$3:$B$5001,$A$277,BD!$H$3:$H$5001,"&lt;&gt;")=0,"",SUMIFS(BD!$H$3:$H$5001,BD!$A$3:$A$5001,G$3,BD!$B$3:$B$5001,$A$277)))</f>
        <v/>
      </c>
      <c r="H282" s="205" t="str">
        <f>IF(H$3="","",IF(COUNTIFS(BD!$A$3:$A$5001,H$3,BD!$B$3:$B$5001,$A$277,BD!$H$3:$H$5001,"&lt;&gt;")=0,"",SUMIFS(BD!$H$3:$H$5001,BD!$A$3:$A$5001,H$3,BD!$B$3:$B$5001,$A$277)))</f>
        <v/>
      </c>
      <c r="I282" s="205" t="str">
        <f>IF(I$3="","",IF(COUNTIFS(BD!$A$3:$A$5001,I$3,BD!$B$3:$B$5001,$A$277,BD!$H$3:$H$5001,"&lt;&gt;")=0,"",SUMIFS(BD!$H$3:$H$5001,BD!$A$3:$A$5001,I$3,BD!$B$3:$B$5001,$A$277)))</f>
        <v/>
      </c>
      <c r="J282" s="205" t="str">
        <f>IF(J$3="","",IF(COUNTIFS(BD!$A$3:$A$5001,J$3,BD!$B$3:$B$5001,$A$277,BD!$H$3:$H$5001,"&lt;&gt;")=0,"",SUMIFS(BD!$H$3:$H$5001,BD!$A$3:$A$5001,J$3,BD!$B$3:$B$5001,$A$277)))</f>
        <v/>
      </c>
      <c r="K282" s="205" t="str">
        <f>IF(K$3="","",IF(COUNTIFS(BD!$A$3:$A$5001,K$3,BD!$B$3:$B$5001,$A$277,BD!$H$3:$H$5001,"&lt;&gt;")=0,"",SUMIFS(BD!$H$3:$H$5001,BD!$A$3:$A$5001,K$3,BD!$B$3:$B$5001,$A$277)))</f>
        <v/>
      </c>
      <c r="L282" s="205" t="str">
        <f>IF(L$3="","",IF(COUNTIFS(BD!$A$3:$A$5001,L$3,BD!$B$3:$B$5001,$A$277,BD!$H$3:$H$5001,"&lt;&gt;")=0,"",SUMIFS(BD!$H$3:$H$5001,BD!$A$3:$A$5001,L$3,BD!$B$3:$B$5001,$A$277)))</f>
        <v/>
      </c>
      <c r="M282" s="205" t="str">
        <f>IF(M$3="","",IF(COUNTIFS(BD!$A$3:$A$5001,M$3,BD!$B$3:$B$5001,$A$277,BD!$H$3:$H$5001,"&lt;&gt;")=0,"",SUMIFS(BD!$H$3:$H$5001,BD!$A$3:$A$5001,M$3,BD!$B$3:$B$5001,$A$277)))</f>
        <v/>
      </c>
      <c r="N282" s="205" t="str">
        <f>IF(N$3="","",IF(COUNTIFS(BD!$A$3:$A$5001,N$3,BD!$B$3:$B$5001,$A$277,BD!$H$3:$H$5001,"&lt;&gt;")=0,"",SUMIFS(BD!$H$3:$H$5001,BD!$A$3:$A$5001,N$3,BD!$B$3:$B$5001,$A$277)))</f>
        <v/>
      </c>
      <c r="O282" s="205" t="str">
        <f>IF(O$3="","",IF(COUNTIFS(BD!$A$3:$A$5001,O$3,BD!$B$3:$B$5001,$A$277,BD!$H$3:$H$5001,"&lt;&gt;")=0,"",SUMIFS(BD!$H$3:$H$5001,BD!$A$3:$A$5001,O$3,BD!$B$3:$B$5001,$A$277)))</f>
        <v/>
      </c>
      <c r="P282" s="205" t="str">
        <f>IF(P$3="","",IF(COUNTIFS(BD!$A$3:$A$5001,P$3,BD!$B$3:$B$5001,$A$277,BD!$H$3:$H$5001,"&lt;&gt;")=0,"",SUMIFS(BD!$H$3:$H$5001,BD!$A$3:$A$5001,P$3,BD!$B$3:$B$5001,$A$277)))</f>
        <v/>
      </c>
      <c r="Q282" s="205" t="str">
        <f>IF(Q$3="","",IF(COUNTIFS(BD!$A$3:$A$5001,Q$3,BD!$B$3:$B$5001,$A$277,BD!$H$3:$H$5001,"&lt;&gt;")=0,"",SUMIFS(BD!$H$3:$H$5001,BD!$A$3:$A$5001,Q$3,BD!$B$3:$B$5001,$A$277)))</f>
        <v/>
      </c>
      <c r="R282" s="205" t="str">
        <f>IF(R$3="","",IF(COUNTIFS(BD!$A$3:$A$5001,R$3,BD!$B$3:$B$5001,$A$277,BD!$H$3:$H$5001,"&lt;&gt;")=0,"",SUMIFS(BD!$H$3:$H$5001,BD!$A$3:$A$5001,R$3,BD!$B$3:$B$5001,$A$277)))</f>
        <v/>
      </c>
      <c r="S282" s="205" t="str">
        <f>IF(S$3="","",IF(COUNTIFS(BD!$A$3:$A$5001,S$3,BD!$B$3:$B$5001,$A$277,BD!$H$3:$H$5001,"&lt;&gt;")=0,"",SUMIFS(BD!$H$3:$H$5001,BD!$A$3:$A$5001,S$3,BD!$B$3:$B$5001,$A$277)))</f>
        <v/>
      </c>
      <c r="T282" s="205" t="str">
        <f>IF(T$3="","",IF(COUNTIFS(BD!$A$3:$A$5001,T$3,BD!$B$3:$B$5001,$A$277,BD!$H$3:$H$5001,"&lt;&gt;")=0,"",SUMIFS(BD!$H$3:$H$5001,BD!$A$3:$A$5001,T$3,BD!$B$3:$B$5001,$A$277)))</f>
        <v/>
      </c>
      <c r="U282" s="205" t="str">
        <f>IF(U$3="","",IF(COUNTIFS(BD!$A$3:$A$5001,U$3,BD!$B$3:$B$5001,$A$277,BD!$H$3:$H$5001,"&lt;&gt;")=0,"",SUMIFS(BD!$H$3:$H$5001,BD!$A$3:$A$5001,U$3,BD!$B$3:$B$5001,$A$277)))</f>
        <v/>
      </c>
      <c r="V282" s="205" t="str">
        <f>IF(V$3="","",IF(COUNTIFS(BD!$A$3:$A$5001,V$3,BD!$B$3:$B$5001,$A$277,BD!$H$3:$H$5001,"&lt;&gt;")=0,"",SUMIFS(BD!$H$3:$H$5001,BD!$A$3:$A$5001,V$3,BD!$B$3:$B$5001,$A$277)))</f>
        <v/>
      </c>
      <c r="W282" s="205" t="str">
        <f>IF(W$3="","",IF(COUNTIFS(BD!$A$3:$A$5001,W$3,BD!$B$3:$B$5001,$A$277,BD!$H$3:$H$5001,"&lt;&gt;")=0,"",SUMIFS(BD!$H$3:$H$5001,BD!$A$3:$A$5001,W$3,BD!$B$3:$B$5001,$A$277)))</f>
        <v/>
      </c>
      <c r="X282" s="205" t="str">
        <f>IF(X$3="","",IF(COUNTIFS(BD!$A$3:$A$5001,X$3,BD!$B$3:$B$5001,$A$277,BD!$H$3:$H$5001,"&lt;&gt;")=0,"",SUMIFS(BD!$H$3:$H$5001,BD!$A$3:$A$5001,X$3,BD!$B$3:$B$5001,$A$277)))</f>
        <v/>
      </c>
      <c r="Y282" s="205" t="str">
        <f>IF(Y$3="","",IF(COUNTIFS(BD!$A$3:$A$5001,Y$3,BD!$B$3:$B$5001,$A$277,BD!$H$3:$H$5001,"&lt;&gt;")=0,"",SUMIFS(BD!$H$3:$H$5001,BD!$A$3:$A$5001,Y$3,BD!$B$3:$B$5001,$A$277)))</f>
        <v/>
      </c>
      <c r="Z282" s="205" t="str">
        <f>IF(Z$3="","",IF(COUNTIFS(BD!$A$3:$A$5001,Z$3,BD!$B$3:$B$5001,$A$277,BD!$H$3:$H$5001,"&lt;&gt;")=0,"",SUMIFS(BD!$H$3:$H$5001,BD!$A$3:$A$5001,Z$3,BD!$B$3:$B$5001,$A$277)))</f>
        <v/>
      </c>
      <c r="AA282" s="205" t="str">
        <f>IF(AA$3="","",IF(COUNTIFS(BD!$A$3:$A$5001,AA$3,BD!$B$3:$B$5001,$A$277,BD!$H$3:$H$5001,"&lt;&gt;")=0,"",SUMIFS(BD!$H$3:$H$5001,BD!$A$3:$A$5001,AA$3,BD!$B$3:$B$5001,$A$277)))</f>
        <v/>
      </c>
      <c r="AB282" s="205" t="str">
        <f>IF(AB$3="","",IF(COUNTIFS(BD!$A$3:$A$5001,AB$3,BD!$B$3:$B$5001,$A$277,BD!$H$3:$H$5001,"&lt;&gt;")=0,"",SUMIFS(BD!$H$3:$H$5001,BD!$A$3:$A$5001,AB$3,BD!$B$3:$B$5001,$A$277)))</f>
        <v/>
      </c>
      <c r="AC282" s="205" t="str">
        <f>IF(AC$3="","",IF(COUNTIFS(BD!$A$3:$A$5001,AC$3,BD!$B$3:$B$5001,$A$277,BD!$H$3:$H$5001,"&lt;&gt;")=0,"",SUMIFS(BD!$H$3:$H$5001,BD!$A$3:$A$5001,AC$3,BD!$B$3:$B$5001,$A$277)))</f>
        <v/>
      </c>
      <c r="AD282" s="205" t="str">
        <f>IF(AD$3="","",IF(COUNTIFS(BD!$A$3:$A$5001,AD$3,BD!$B$3:$B$5001,$A$277,BD!$H$3:$H$5001,"&lt;&gt;")=0,"",SUMIFS(BD!$H$3:$H$5001,BD!$A$3:$A$5001,AD$3,BD!$B$3:$B$5001,$A$277)))</f>
        <v/>
      </c>
      <c r="AE282" s="205" t="str">
        <f>IF(AE$3="","",IF(COUNTIFS(BD!$A$3:$A$5001,AE$3,BD!$B$3:$B$5001,$A$277,BD!$H$3:$H$5001,"&lt;&gt;")=0,"",SUMIFS(BD!$H$3:$H$5001,BD!$A$3:$A$5001,AE$3,BD!$B$3:$B$5001,$A$277)))</f>
        <v/>
      </c>
      <c r="AF282" s="205" t="str">
        <f>IF(AF$3="","",IF(COUNTIFS(BD!$A$3:$A$5001,AF$3,BD!$B$3:$B$5001,$A$277,BD!$H$3:$H$5001,"&lt;&gt;")=0,"",SUMIFS(BD!$H$3:$H$5001,BD!$A$3:$A$5001,AF$3,BD!$B$3:$B$5001,$A$277)))</f>
        <v/>
      </c>
      <c r="AG282" s="205" t="str">
        <f>IF(AG$3="","",IF(COUNTIFS(BD!$A$3:$A$5001,AG$3,BD!$B$3:$B$5001,$A$277,BD!$H$3:$H$5001,"&lt;&gt;")=0,"",SUMIFS(BD!$H$3:$H$5001,BD!$A$3:$A$5001,AG$3,BD!$B$3:$B$5001,$A$277)))</f>
        <v/>
      </c>
      <c r="AH282" s="205" t="str">
        <f>IF(AH$3="","",IF(COUNTIFS(BD!$A$3:$A$5001,AH$3,BD!$B$3:$B$5001,$A$277,BD!$H$3:$H$5001,"&lt;&gt;")=0,"",SUMIFS(BD!$H$3:$H$5001,BD!$A$3:$A$5001,AH$3,BD!$B$3:$B$5001,$A$277)))</f>
        <v/>
      </c>
      <c r="AI282" s="205" t="str">
        <f>IF(AI$3="","",IF(COUNTIFS(BD!$A$3:$A$5001,AI$3,BD!$B$3:$B$5001,$A$277,BD!$H$3:$H$5001,"&lt;&gt;")=0,"",SUMIFS(BD!$H$3:$H$5001,BD!$A$3:$A$5001,AI$3,BD!$B$3:$B$5001,$A$277)))</f>
        <v/>
      </c>
      <c r="AJ282" s="206" t="str">
        <f>IF(AJ$3="","",IF(COUNTIFS(BD!$A$3:$A$5001,AJ$3,BD!$B$3:$B$5001,$A$277,BD!$H$3:$H$5001,"&lt;&gt;")=0,"",SUMIFS(BD!$H$3:$H$5001,BD!$A$3:$A$5001,AJ$3,BD!$B$3:$B$5001,$A$277)))</f>
        <v/>
      </c>
      <c r="AK282" s="207" t="str">
        <f>IF(COUNT(F282:AJ282)=0,"",SUM(F282:AJ282))</f>
        <v/>
      </c>
    </row>
    <row r="283" ht="15.75" customHeight="1" hidden="1">
      <c r="A283" s="244"/>
      <c r="B283" s="239"/>
      <c r="C283" s="201" t="inlineStr">
        <is>
          <t xml:space="preserve">Itens Recebidos CX Mista</t>
        </is>
      </c>
      <c r="D283" s="202" t="str">
        <f>IFERROR(1/(1/INDEX(BD!$AJ$29:$BD$29,MATCH($A$277,BD!$AJ$22:$BD$22,0))),"")</f>
        <v/>
      </c>
      <c r="E283" s="203"/>
      <c r="F283" s="204" t="str">
        <f>IF(F$3="","",IF(COUNTIFS(BD!$A$3:$A$5001,F$3,BD!$B$3:$B$5001,$A$277,BD!$I$3:$I$5001,"&lt;&gt;")=0,"",SUMIFS(BD!$I$3:$I$5001,BD!$A$3:$A$5001,F$3,BD!$B$3:$B$5001,$A$277)))</f>
        <v/>
      </c>
      <c r="G283" s="205" t="str">
        <f>IF(G$3="","",IF(COUNTIFS(BD!$A$3:$A$5001,G$3,BD!$B$3:$B$5001,$A$277,BD!$I$3:$I$5001,"&lt;&gt;")=0,"",SUMIFS(BD!$I$3:$I$5001,BD!$A$3:$A$5001,G$3,BD!$B$3:$B$5001,$A$277)))</f>
        <v/>
      </c>
      <c r="H283" s="205" t="str">
        <f>IF(H$3="","",IF(COUNTIFS(BD!$A$3:$A$5001,H$3,BD!$B$3:$B$5001,$A$277,BD!$I$3:$I$5001,"&lt;&gt;")=0,"",SUMIFS(BD!$I$3:$I$5001,BD!$A$3:$A$5001,H$3,BD!$B$3:$B$5001,$A$277)))</f>
        <v/>
      </c>
      <c r="I283" s="205" t="str">
        <f>IF(I$3="","",IF(COUNTIFS(BD!$A$3:$A$5001,I$3,BD!$B$3:$B$5001,$A$277,BD!$I$3:$I$5001,"&lt;&gt;")=0,"",SUMIFS(BD!$I$3:$I$5001,BD!$A$3:$A$5001,I$3,BD!$B$3:$B$5001,$A$277)))</f>
        <v/>
      </c>
      <c r="J283" s="205" t="str">
        <f>IF(J$3="","",IF(COUNTIFS(BD!$A$3:$A$5001,J$3,BD!$B$3:$B$5001,$A$277,BD!$I$3:$I$5001,"&lt;&gt;")=0,"",SUMIFS(BD!$I$3:$I$5001,BD!$A$3:$A$5001,J$3,BD!$B$3:$B$5001,$A$277)))</f>
        <v/>
      </c>
      <c r="K283" s="205" t="str">
        <f>IF(K$3="","",IF(COUNTIFS(BD!$A$3:$A$5001,K$3,BD!$B$3:$B$5001,$A$277,BD!$I$3:$I$5001,"&lt;&gt;")=0,"",SUMIFS(BD!$I$3:$I$5001,BD!$A$3:$A$5001,K$3,BD!$B$3:$B$5001,$A$277)))</f>
        <v/>
      </c>
      <c r="L283" s="205" t="str">
        <f>IF(L$3="","",IF(COUNTIFS(BD!$A$3:$A$5001,L$3,BD!$B$3:$B$5001,$A$277,BD!$I$3:$I$5001,"&lt;&gt;")=0,"",SUMIFS(BD!$I$3:$I$5001,BD!$A$3:$A$5001,L$3,BD!$B$3:$B$5001,$A$277)))</f>
        <v/>
      </c>
      <c r="M283" s="205" t="str">
        <f>IF(M$3="","",IF(COUNTIFS(BD!$A$3:$A$5001,M$3,BD!$B$3:$B$5001,$A$277,BD!$I$3:$I$5001,"&lt;&gt;")=0,"",SUMIFS(BD!$I$3:$I$5001,BD!$A$3:$A$5001,M$3,BD!$B$3:$B$5001,$A$277)))</f>
        <v/>
      </c>
      <c r="N283" s="205" t="str">
        <f>IF(N$3="","",IF(COUNTIFS(BD!$A$3:$A$5001,N$3,BD!$B$3:$B$5001,$A$277,BD!$I$3:$I$5001,"&lt;&gt;")=0,"",SUMIFS(BD!$I$3:$I$5001,BD!$A$3:$A$5001,N$3,BD!$B$3:$B$5001,$A$277)))</f>
        <v/>
      </c>
      <c r="O283" s="205" t="str">
        <f>IF(O$3="","",IF(COUNTIFS(BD!$A$3:$A$5001,O$3,BD!$B$3:$B$5001,$A$277,BD!$I$3:$I$5001,"&lt;&gt;")=0,"",SUMIFS(BD!$I$3:$I$5001,BD!$A$3:$A$5001,O$3,BD!$B$3:$B$5001,$A$277)))</f>
        <v/>
      </c>
      <c r="P283" s="205" t="str">
        <f>IF(P$3="","",IF(COUNTIFS(BD!$A$3:$A$5001,P$3,BD!$B$3:$B$5001,$A$277,BD!$I$3:$I$5001,"&lt;&gt;")=0,"",SUMIFS(BD!$I$3:$I$5001,BD!$A$3:$A$5001,P$3,BD!$B$3:$B$5001,$A$277)))</f>
        <v/>
      </c>
      <c r="Q283" s="205" t="str">
        <f>IF(Q$3="","",IF(COUNTIFS(BD!$A$3:$A$5001,Q$3,BD!$B$3:$B$5001,$A$277,BD!$I$3:$I$5001,"&lt;&gt;")=0,"",SUMIFS(BD!$I$3:$I$5001,BD!$A$3:$A$5001,Q$3,BD!$B$3:$B$5001,$A$277)))</f>
        <v/>
      </c>
      <c r="R283" s="205" t="str">
        <f>IF(R$3="","",IF(COUNTIFS(BD!$A$3:$A$5001,R$3,BD!$B$3:$B$5001,$A$277,BD!$I$3:$I$5001,"&lt;&gt;")=0,"",SUMIFS(BD!$I$3:$I$5001,BD!$A$3:$A$5001,R$3,BD!$B$3:$B$5001,$A$277)))</f>
        <v/>
      </c>
      <c r="S283" s="205" t="str">
        <f>IF(S$3="","",IF(COUNTIFS(BD!$A$3:$A$5001,S$3,BD!$B$3:$B$5001,$A$277,BD!$I$3:$I$5001,"&lt;&gt;")=0,"",SUMIFS(BD!$I$3:$I$5001,BD!$A$3:$A$5001,S$3,BD!$B$3:$B$5001,$A$277)))</f>
        <v/>
      </c>
      <c r="T283" s="205" t="str">
        <f>IF(T$3="","",IF(COUNTIFS(BD!$A$3:$A$5001,T$3,BD!$B$3:$B$5001,$A$277,BD!$I$3:$I$5001,"&lt;&gt;")=0,"",SUMIFS(BD!$I$3:$I$5001,BD!$A$3:$A$5001,T$3,BD!$B$3:$B$5001,$A$277)))</f>
        <v/>
      </c>
      <c r="U283" s="205" t="str">
        <f>IF(U$3="","",IF(COUNTIFS(BD!$A$3:$A$5001,U$3,BD!$B$3:$B$5001,$A$277,BD!$I$3:$I$5001,"&lt;&gt;")=0,"",SUMIFS(BD!$I$3:$I$5001,BD!$A$3:$A$5001,U$3,BD!$B$3:$B$5001,$A$277)))</f>
        <v/>
      </c>
      <c r="V283" s="205" t="str">
        <f>IF(V$3="","",IF(COUNTIFS(BD!$A$3:$A$5001,V$3,BD!$B$3:$B$5001,$A$277,BD!$I$3:$I$5001,"&lt;&gt;")=0,"",SUMIFS(BD!$I$3:$I$5001,BD!$A$3:$A$5001,V$3,BD!$B$3:$B$5001,$A$277)))</f>
        <v/>
      </c>
      <c r="W283" s="205" t="str">
        <f>IF(W$3="","",IF(COUNTIFS(BD!$A$3:$A$5001,W$3,BD!$B$3:$B$5001,$A$277,BD!$I$3:$I$5001,"&lt;&gt;")=0,"",SUMIFS(BD!$I$3:$I$5001,BD!$A$3:$A$5001,W$3,BD!$B$3:$B$5001,$A$277)))</f>
        <v/>
      </c>
      <c r="X283" s="205" t="str">
        <f>IF(X$3="","",IF(COUNTIFS(BD!$A$3:$A$5001,X$3,BD!$B$3:$B$5001,$A$277,BD!$I$3:$I$5001,"&lt;&gt;")=0,"",SUMIFS(BD!$I$3:$I$5001,BD!$A$3:$A$5001,X$3,BD!$B$3:$B$5001,$A$277)))</f>
        <v/>
      </c>
      <c r="Y283" s="205" t="str">
        <f>IF(Y$3="","",IF(COUNTIFS(BD!$A$3:$A$5001,Y$3,BD!$B$3:$B$5001,$A$277,BD!$I$3:$I$5001,"&lt;&gt;")=0,"",SUMIFS(BD!$I$3:$I$5001,BD!$A$3:$A$5001,Y$3,BD!$B$3:$B$5001,$A$277)))</f>
        <v/>
      </c>
      <c r="Z283" s="205" t="str">
        <f>IF(Z$3="","",IF(COUNTIFS(BD!$A$3:$A$5001,Z$3,BD!$B$3:$B$5001,$A$277,BD!$I$3:$I$5001,"&lt;&gt;")=0,"",SUMIFS(BD!$I$3:$I$5001,BD!$A$3:$A$5001,Z$3,BD!$B$3:$B$5001,$A$277)))</f>
        <v/>
      </c>
      <c r="AA283" s="205" t="str">
        <f>IF(AA$3="","",IF(COUNTIFS(BD!$A$3:$A$5001,AA$3,BD!$B$3:$B$5001,$A$277,BD!$I$3:$I$5001,"&lt;&gt;")=0,"",SUMIFS(BD!$I$3:$I$5001,BD!$A$3:$A$5001,AA$3,BD!$B$3:$B$5001,$A$277)))</f>
        <v/>
      </c>
      <c r="AB283" s="205" t="str">
        <f>IF(AB$3="","",IF(COUNTIFS(BD!$A$3:$A$5001,AB$3,BD!$B$3:$B$5001,$A$277,BD!$I$3:$I$5001,"&lt;&gt;")=0,"",SUMIFS(BD!$I$3:$I$5001,BD!$A$3:$A$5001,AB$3,BD!$B$3:$B$5001,$A$277)))</f>
        <v/>
      </c>
      <c r="AC283" s="205" t="str">
        <f>IF(AC$3="","",IF(COUNTIFS(BD!$A$3:$A$5001,AC$3,BD!$B$3:$B$5001,$A$277,BD!$I$3:$I$5001,"&lt;&gt;")=0,"",SUMIFS(BD!$I$3:$I$5001,BD!$A$3:$A$5001,AC$3,BD!$B$3:$B$5001,$A$277)))</f>
        <v/>
      </c>
      <c r="AD283" s="205" t="str">
        <f>IF(AD$3="","",IF(COUNTIFS(BD!$A$3:$A$5001,AD$3,BD!$B$3:$B$5001,$A$277,BD!$I$3:$I$5001,"&lt;&gt;")=0,"",SUMIFS(BD!$I$3:$I$5001,BD!$A$3:$A$5001,AD$3,BD!$B$3:$B$5001,$A$277)))</f>
        <v/>
      </c>
      <c r="AE283" s="205" t="str">
        <f>IF(AE$3="","",IF(COUNTIFS(BD!$A$3:$A$5001,AE$3,BD!$B$3:$B$5001,$A$277,BD!$I$3:$I$5001,"&lt;&gt;")=0,"",SUMIFS(BD!$I$3:$I$5001,BD!$A$3:$A$5001,AE$3,BD!$B$3:$B$5001,$A$277)))</f>
        <v/>
      </c>
      <c r="AF283" s="205" t="str">
        <f>IF(AF$3="","",IF(COUNTIFS(BD!$A$3:$A$5001,AF$3,BD!$B$3:$B$5001,$A$277,BD!$I$3:$I$5001,"&lt;&gt;")=0,"",SUMIFS(BD!$I$3:$I$5001,BD!$A$3:$A$5001,AF$3,BD!$B$3:$B$5001,$A$277)))</f>
        <v/>
      </c>
      <c r="AG283" s="205" t="str">
        <f>IF(AG$3="","",IF(COUNTIFS(BD!$A$3:$A$5001,AG$3,BD!$B$3:$B$5001,$A$277,BD!$I$3:$I$5001,"&lt;&gt;")=0,"",SUMIFS(BD!$I$3:$I$5001,BD!$A$3:$A$5001,AG$3,BD!$B$3:$B$5001,$A$277)))</f>
        <v/>
      </c>
      <c r="AH283" s="205" t="str">
        <f>IF(AH$3="","",IF(COUNTIFS(BD!$A$3:$A$5001,AH$3,BD!$B$3:$B$5001,$A$277,BD!$I$3:$I$5001,"&lt;&gt;")=0,"",SUMIFS(BD!$I$3:$I$5001,BD!$A$3:$A$5001,AH$3,BD!$B$3:$B$5001,$A$277)))</f>
        <v/>
      </c>
      <c r="AI283" s="205" t="str">
        <f>IF(AI$3="","",IF(COUNTIFS(BD!$A$3:$A$5001,AI$3,BD!$B$3:$B$5001,$A$277,BD!$I$3:$I$5001,"&lt;&gt;")=0,"",SUMIFS(BD!$I$3:$I$5001,BD!$A$3:$A$5001,AI$3,BD!$B$3:$B$5001,$A$277)))</f>
        <v/>
      </c>
      <c r="AJ283" s="206" t="str">
        <f>IF(AJ$3="","",IF(COUNTIFS(BD!$A$3:$A$5001,AJ$3,BD!$B$3:$B$5001,$A$277,BD!$I$3:$I$5001,"&lt;&gt;")=0,"",SUMIFS(BD!$I$3:$I$5001,BD!$A$3:$A$5001,AJ$3,BD!$B$3:$B$5001,$A$277)))</f>
        <v/>
      </c>
      <c r="AK283" s="207" t="str">
        <f>IF(COUNT(F283:AJ283)=0,"",SUM(F283:AJ283))</f>
        <v/>
      </c>
    </row>
    <row r="284" ht="15.75" customHeight="1" hidden="1">
      <c r="A284" s="244"/>
      <c r="B284" s="239"/>
      <c r="C284" s="201" t="inlineStr">
        <is>
          <t xml:space="preserve">Caixas Fechadas</t>
        </is>
      </c>
      <c r="D284" s="202" t="str">
        <f>IFERROR(1/(1/INDEX(BD!$AJ$30:$BD$30,MATCH($A$277,BD!$AJ$22:$BD$22,0))),"")</f>
        <v/>
      </c>
      <c r="E284" s="203"/>
      <c r="F284" s="204" t="str">
        <f>IF(F$3="","",IF(COUNTIFS(BD!$A$3:$A$5001,F$3,BD!$B$3:$B$5001,$A$277,BD!$J$3:$J$5001,"&lt;&gt;")=0,"",SUMIFS(BD!$J$3:$J$5001,BD!$A$3:$A$5001,F$3,BD!$B$3:$B$5001,$A$277)))</f>
        <v/>
      </c>
      <c r="G284" s="205" t="str">
        <f>IF(G$3="","",IF(COUNTIFS(BD!$A$3:$A$5001,G$3,BD!$B$3:$B$5001,$A$277,BD!$J$3:$J$5001,"&lt;&gt;")=0,"",SUMIFS(BD!$J$3:$J$5001,BD!$A$3:$A$5001,G$3,BD!$B$3:$B$5001,$A$277)))</f>
        <v/>
      </c>
      <c r="H284" s="205" t="str">
        <f>IF(H$3="","",IF(COUNTIFS(BD!$A$3:$A$5001,H$3,BD!$B$3:$B$5001,$A$277,BD!$J$3:$J$5001,"&lt;&gt;")=0,"",SUMIFS(BD!$J$3:$J$5001,BD!$A$3:$A$5001,H$3,BD!$B$3:$B$5001,$A$277)))</f>
        <v/>
      </c>
      <c r="I284" s="205" t="str">
        <f>IF(I$3="","",IF(COUNTIFS(BD!$A$3:$A$5001,I$3,BD!$B$3:$B$5001,$A$277,BD!$J$3:$J$5001,"&lt;&gt;")=0,"",SUMIFS(BD!$J$3:$J$5001,BD!$A$3:$A$5001,I$3,BD!$B$3:$B$5001,$A$277)))</f>
        <v/>
      </c>
      <c r="J284" s="205" t="str">
        <f>IF(J$3="","",IF(COUNTIFS(BD!$A$3:$A$5001,J$3,BD!$B$3:$B$5001,$A$277,BD!$J$3:$J$5001,"&lt;&gt;")=0,"",SUMIFS(BD!$J$3:$J$5001,BD!$A$3:$A$5001,J$3,BD!$B$3:$B$5001,$A$277)))</f>
        <v/>
      </c>
      <c r="K284" s="205" t="str">
        <f>IF(K$3="","",IF(COUNTIFS(BD!$A$3:$A$5001,K$3,BD!$B$3:$B$5001,$A$277,BD!$J$3:$J$5001,"&lt;&gt;")=0,"",SUMIFS(BD!$J$3:$J$5001,BD!$A$3:$A$5001,K$3,BD!$B$3:$B$5001,$A$277)))</f>
        <v/>
      </c>
      <c r="L284" s="205" t="str">
        <f>IF(L$3="","",IF(COUNTIFS(BD!$A$3:$A$5001,L$3,BD!$B$3:$B$5001,$A$277,BD!$J$3:$J$5001,"&lt;&gt;")=0,"",SUMIFS(BD!$J$3:$J$5001,BD!$A$3:$A$5001,L$3,BD!$B$3:$B$5001,$A$277)))</f>
        <v/>
      </c>
      <c r="M284" s="205" t="str">
        <f>IF(M$3="","",IF(COUNTIFS(BD!$A$3:$A$5001,M$3,BD!$B$3:$B$5001,$A$277,BD!$J$3:$J$5001,"&lt;&gt;")=0,"",SUMIFS(BD!$J$3:$J$5001,BD!$A$3:$A$5001,M$3,BD!$B$3:$B$5001,$A$277)))</f>
        <v/>
      </c>
      <c r="N284" s="205" t="str">
        <f>IF(N$3="","",IF(COUNTIFS(BD!$A$3:$A$5001,N$3,BD!$B$3:$B$5001,$A$277,BD!$J$3:$J$5001,"&lt;&gt;")=0,"",SUMIFS(BD!$J$3:$J$5001,BD!$A$3:$A$5001,N$3,BD!$B$3:$B$5001,$A$277)))</f>
        <v/>
      </c>
      <c r="O284" s="205" t="str">
        <f>IF(O$3="","",IF(COUNTIFS(BD!$A$3:$A$5001,O$3,BD!$B$3:$B$5001,$A$277,BD!$J$3:$J$5001,"&lt;&gt;")=0,"",SUMIFS(BD!$J$3:$J$5001,BD!$A$3:$A$5001,O$3,BD!$B$3:$B$5001,$A$277)))</f>
        <v/>
      </c>
      <c r="P284" s="205" t="str">
        <f>IF(P$3="","",IF(COUNTIFS(BD!$A$3:$A$5001,P$3,BD!$B$3:$B$5001,$A$277,BD!$J$3:$J$5001,"&lt;&gt;")=0,"",SUMIFS(BD!$J$3:$J$5001,BD!$A$3:$A$5001,P$3,BD!$B$3:$B$5001,$A$277)))</f>
        <v/>
      </c>
      <c r="Q284" s="205" t="str">
        <f>IF(Q$3="","",IF(COUNTIFS(BD!$A$3:$A$5001,Q$3,BD!$B$3:$B$5001,$A$277,BD!$J$3:$J$5001,"&lt;&gt;")=0,"",SUMIFS(BD!$J$3:$J$5001,BD!$A$3:$A$5001,Q$3,BD!$B$3:$B$5001,$A$277)))</f>
        <v/>
      </c>
      <c r="R284" s="205" t="str">
        <f>IF(R$3="","",IF(COUNTIFS(BD!$A$3:$A$5001,R$3,BD!$B$3:$B$5001,$A$277,BD!$J$3:$J$5001,"&lt;&gt;")=0,"",SUMIFS(BD!$J$3:$J$5001,BD!$A$3:$A$5001,R$3,BD!$B$3:$B$5001,$A$277)))</f>
        <v/>
      </c>
      <c r="S284" s="205" t="str">
        <f>IF(S$3="","",IF(COUNTIFS(BD!$A$3:$A$5001,S$3,BD!$B$3:$B$5001,$A$277,BD!$J$3:$J$5001,"&lt;&gt;")=0,"",SUMIFS(BD!$J$3:$J$5001,BD!$A$3:$A$5001,S$3,BD!$B$3:$B$5001,$A$277)))</f>
        <v/>
      </c>
      <c r="T284" s="205" t="str">
        <f>IF(T$3="","",IF(COUNTIFS(BD!$A$3:$A$5001,T$3,BD!$B$3:$B$5001,$A$277,BD!$J$3:$J$5001,"&lt;&gt;")=0,"",SUMIFS(BD!$J$3:$J$5001,BD!$A$3:$A$5001,T$3,BD!$B$3:$B$5001,$A$277)))</f>
        <v/>
      </c>
      <c r="U284" s="205" t="str">
        <f>IF(U$3="","",IF(COUNTIFS(BD!$A$3:$A$5001,U$3,BD!$B$3:$B$5001,$A$277,BD!$J$3:$J$5001,"&lt;&gt;")=0,"",SUMIFS(BD!$J$3:$J$5001,BD!$A$3:$A$5001,U$3,BD!$B$3:$B$5001,$A$277)))</f>
        <v/>
      </c>
      <c r="V284" s="205" t="str">
        <f>IF(V$3="","",IF(COUNTIFS(BD!$A$3:$A$5001,V$3,BD!$B$3:$B$5001,$A$277,BD!$J$3:$J$5001,"&lt;&gt;")=0,"",SUMIFS(BD!$J$3:$J$5001,BD!$A$3:$A$5001,V$3,BD!$B$3:$B$5001,$A$277)))</f>
        <v/>
      </c>
      <c r="W284" s="205" t="str">
        <f>IF(W$3="","",IF(COUNTIFS(BD!$A$3:$A$5001,W$3,BD!$B$3:$B$5001,$A$277,BD!$J$3:$J$5001,"&lt;&gt;")=0,"",SUMIFS(BD!$J$3:$J$5001,BD!$A$3:$A$5001,W$3,BD!$B$3:$B$5001,$A$277)))</f>
        <v/>
      </c>
      <c r="X284" s="205" t="str">
        <f>IF(X$3="","",IF(COUNTIFS(BD!$A$3:$A$5001,X$3,BD!$B$3:$B$5001,$A$277,BD!$J$3:$J$5001,"&lt;&gt;")=0,"",SUMIFS(BD!$J$3:$J$5001,BD!$A$3:$A$5001,X$3,BD!$B$3:$B$5001,$A$277)))</f>
        <v/>
      </c>
      <c r="Y284" s="205" t="str">
        <f>IF(Y$3="","",IF(COUNTIFS(BD!$A$3:$A$5001,Y$3,BD!$B$3:$B$5001,$A$277,BD!$J$3:$J$5001,"&lt;&gt;")=0,"",SUMIFS(BD!$J$3:$J$5001,BD!$A$3:$A$5001,Y$3,BD!$B$3:$B$5001,$A$277)))</f>
        <v/>
      </c>
      <c r="Z284" s="205" t="str">
        <f>IF(Z$3="","",IF(COUNTIFS(BD!$A$3:$A$5001,Z$3,BD!$B$3:$B$5001,$A$277,BD!$J$3:$J$5001,"&lt;&gt;")=0,"",SUMIFS(BD!$J$3:$J$5001,BD!$A$3:$A$5001,Z$3,BD!$B$3:$B$5001,$A$277)))</f>
        <v/>
      </c>
      <c r="AA284" s="205" t="str">
        <f>IF(AA$3="","",IF(COUNTIFS(BD!$A$3:$A$5001,AA$3,BD!$B$3:$B$5001,$A$277,BD!$J$3:$J$5001,"&lt;&gt;")=0,"",SUMIFS(BD!$J$3:$J$5001,BD!$A$3:$A$5001,AA$3,BD!$B$3:$B$5001,$A$277)))</f>
        <v/>
      </c>
      <c r="AB284" s="205" t="str">
        <f>IF(AB$3="","",IF(COUNTIFS(BD!$A$3:$A$5001,AB$3,BD!$B$3:$B$5001,$A$277,BD!$J$3:$J$5001,"&lt;&gt;")=0,"",SUMIFS(BD!$J$3:$J$5001,BD!$A$3:$A$5001,AB$3,BD!$B$3:$B$5001,$A$277)))</f>
        <v/>
      </c>
      <c r="AC284" s="205" t="str">
        <f>IF(AC$3="","",IF(COUNTIFS(BD!$A$3:$A$5001,AC$3,BD!$B$3:$B$5001,$A$277,BD!$J$3:$J$5001,"&lt;&gt;")=0,"",SUMIFS(BD!$J$3:$J$5001,BD!$A$3:$A$5001,AC$3,BD!$B$3:$B$5001,$A$277)))</f>
        <v/>
      </c>
      <c r="AD284" s="205" t="str">
        <f>IF(AD$3="","",IF(COUNTIFS(BD!$A$3:$A$5001,AD$3,BD!$B$3:$B$5001,$A$277,BD!$J$3:$J$5001,"&lt;&gt;")=0,"",SUMIFS(BD!$J$3:$J$5001,BD!$A$3:$A$5001,AD$3,BD!$B$3:$B$5001,$A$277)))</f>
        <v/>
      </c>
      <c r="AE284" s="205" t="str">
        <f>IF(AE$3="","",IF(COUNTIFS(BD!$A$3:$A$5001,AE$3,BD!$B$3:$B$5001,$A$277,BD!$J$3:$J$5001,"&lt;&gt;")=0,"",SUMIFS(BD!$J$3:$J$5001,BD!$A$3:$A$5001,AE$3,BD!$B$3:$B$5001,$A$277)))</f>
        <v/>
      </c>
      <c r="AF284" s="205" t="str">
        <f>IF(AF$3="","",IF(COUNTIFS(BD!$A$3:$A$5001,AF$3,BD!$B$3:$B$5001,$A$277,BD!$J$3:$J$5001,"&lt;&gt;")=0,"",SUMIFS(BD!$J$3:$J$5001,BD!$A$3:$A$5001,AF$3,BD!$B$3:$B$5001,$A$277)))</f>
        <v/>
      </c>
      <c r="AG284" s="205" t="str">
        <f>IF(AG$3="","",IF(COUNTIFS(BD!$A$3:$A$5001,AG$3,BD!$B$3:$B$5001,$A$277,BD!$J$3:$J$5001,"&lt;&gt;")=0,"",SUMIFS(BD!$J$3:$J$5001,BD!$A$3:$A$5001,AG$3,BD!$B$3:$B$5001,$A$277)))</f>
        <v/>
      </c>
      <c r="AH284" s="205" t="str">
        <f>IF(AH$3="","",IF(COUNTIFS(BD!$A$3:$A$5001,AH$3,BD!$B$3:$B$5001,$A$277,BD!$J$3:$J$5001,"&lt;&gt;")=0,"",SUMIFS(BD!$J$3:$J$5001,BD!$A$3:$A$5001,AH$3,BD!$B$3:$B$5001,$A$277)))</f>
        <v/>
      </c>
      <c r="AI284" s="205" t="str">
        <f>IF(AI$3="","",IF(COUNTIFS(BD!$A$3:$A$5001,AI$3,BD!$B$3:$B$5001,$A$277,BD!$J$3:$J$5001,"&lt;&gt;")=0,"",SUMIFS(BD!$J$3:$J$5001,BD!$A$3:$A$5001,AI$3,BD!$B$3:$B$5001,$A$277)))</f>
        <v/>
      </c>
      <c r="AJ284" s="206" t="str">
        <f>IF(AJ$3="","",IF(COUNTIFS(BD!$A$3:$A$5001,AJ$3,BD!$B$3:$B$5001,$A$277,BD!$J$3:$J$5001,"&lt;&gt;")=0,"",SUMIFS(BD!$J$3:$J$5001,BD!$A$3:$A$5001,AJ$3,BD!$B$3:$B$5001,$A$277)))</f>
        <v/>
      </c>
      <c r="AK284" s="207" t="str">
        <f>IF(COUNT(F284:AJ284)=0,"",SUM(F284:AJ284))</f>
        <v/>
      </c>
    </row>
    <row r="285" ht="15.75" customHeight="1" hidden="1">
      <c r="A285" s="244"/>
      <c r="B285" s="233"/>
      <c r="C285" s="162" t="inlineStr">
        <is>
          <t xml:space="preserve">Caixas Mistas Recebidas</t>
        </is>
      </c>
      <c r="D285" s="163" t="str">
        <f>IFERROR(1/(1/INDEX(BD!$AJ$31:$BD$31,MATCH($A$277,BD!$AJ$22:$BD$22,0))),"")</f>
        <v/>
      </c>
      <c r="E285" s="164"/>
      <c r="F285" s="165" t="str">
        <f>IF(F$3="","",IF(COUNTIFS(BD!$A$3:$A$5001,F$3,BD!$B$3:$B$5001,$A$277,BD!$K$3:$K$5001,"&lt;&gt;")=0,"",SUMIFS(BD!$K$3:$K$5001,BD!$A$3:$A$5001,F$3,BD!$B$3:$B$5001,$A$277)))</f>
        <v/>
      </c>
      <c r="G285" s="166" t="str">
        <f>IF(G$3="","",IF(COUNTIFS(BD!$A$3:$A$5001,G$3,BD!$B$3:$B$5001,$A$277,BD!$K$3:$K$5001,"&lt;&gt;")=0,"",SUMIFS(BD!$K$3:$K$5001,BD!$A$3:$A$5001,G$3,BD!$B$3:$B$5001,$A$277)))</f>
        <v/>
      </c>
      <c r="H285" s="166" t="str">
        <f>IF(H$3="","",IF(COUNTIFS(BD!$A$3:$A$5001,H$3,BD!$B$3:$B$5001,$A$277,BD!$K$3:$K$5001,"&lt;&gt;")=0,"",SUMIFS(BD!$K$3:$K$5001,BD!$A$3:$A$5001,H$3,BD!$B$3:$B$5001,$A$277)))</f>
        <v/>
      </c>
      <c r="I285" s="166" t="str">
        <f>IF(I$3="","",IF(COUNTIFS(BD!$A$3:$A$5001,I$3,BD!$B$3:$B$5001,$A$277,BD!$K$3:$K$5001,"&lt;&gt;")=0,"",SUMIFS(BD!$K$3:$K$5001,BD!$A$3:$A$5001,I$3,BD!$B$3:$B$5001,$A$277)))</f>
        <v/>
      </c>
      <c r="J285" s="166" t="str">
        <f>IF(J$3="","",IF(COUNTIFS(BD!$A$3:$A$5001,J$3,BD!$B$3:$B$5001,$A$277,BD!$K$3:$K$5001,"&lt;&gt;")=0,"",SUMIFS(BD!$K$3:$K$5001,BD!$A$3:$A$5001,J$3,BD!$B$3:$B$5001,$A$277)))</f>
        <v/>
      </c>
      <c r="K285" s="166" t="str">
        <f>IF(K$3="","",IF(COUNTIFS(BD!$A$3:$A$5001,K$3,BD!$B$3:$B$5001,$A$277,BD!$K$3:$K$5001,"&lt;&gt;")=0,"",SUMIFS(BD!$K$3:$K$5001,BD!$A$3:$A$5001,K$3,BD!$B$3:$B$5001,$A$277)))</f>
        <v/>
      </c>
      <c r="L285" s="166" t="str">
        <f>IF(L$3="","",IF(COUNTIFS(BD!$A$3:$A$5001,L$3,BD!$B$3:$B$5001,$A$277,BD!$K$3:$K$5001,"&lt;&gt;")=0,"",SUMIFS(BD!$K$3:$K$5001,BD!$A$3:$A$5001,L$3,BD!$B$3:$B$5001,$A$277)))</f>
        <v/>
      </c>
      <c r="M285" s="166" t="str">
        <f>IF(M$3="","",IF(COUNTIFS(BD!$A$3:$A$5001,M$3,BD!$B$3:$B$5001,$A$277,BD!$K$3:$K$5001,"&lt;&gt;")=0,"",SUMIFS(BD!$K$3:$K$5001,BD!$A$3:$A$5001,M$3,BD!$B$3:$B$5001,$A$277)))</f>
        <v/>
      </c>
      <c r="N285" s="166" t="str">
        <f>IF(N$3="","",IF(COUNTIFS(BD!$A$3:$A$5001,N$3,BD!$B$3:$B$5001,$A$277,BD!$K$3:$K$5001,"&lt;&gt;")=0,"",SUMIFS(BD!$K$3:$K$5001,BD!$A$3:$A$5001,N$3,BD!$B$3:$B$5001,$A$277)))</f>
        <v/>
      </c>
      <c r="O285" s="166" t="str">
        <f>IF(O$3="","",IF(COUNTIFS(BD!$A$3:$A$5001,O$3,BD!$B$3:$B$5001,$A$277,BD!$K$3:$K$5001,"&lt;&gt;")=0,"",SUMIFS(BD!$K$3:$K$5001,BD!$A$3:$A$5001,O$3,BD!$B$3:$B$5001,$A$277)))</f>
        <v/>
      </c>
      <c r="P285" s="166" t="str">
        <f>IF(P$3="","",IF(COUNTIFS(BD!$A$3:$A$5001,P$3,BD!$B$3:$B$5001,$A$277,BD!$K$3:$K$5001,"&lt;&gt;")=0,"",SUMIFS(BD!$K$3:$K$5001,BD!$A$3:$A$5001,P$3,BD!$B$3:$B$5001,$A$277)))</f>
        <v/>
      </c>
      <c r="Q285" s="166" t="str">
        <f>IF(Q$3="","",IF(COUNTIFS(BD!$A$3:$A$5001,Q$3,BD!$B$3:$B$5001,$A$277,BD!$K$3:$K$5001,"&lt;&gt;")=0,"",SUMIFS(BD!$K$3:$K$5001,BD!$A$3:$A$5001,Q$3,BD!$B$3:$B$5001,$A$277)))</f>
        <v/>
      </c>
      <c r="R285" s="166" t="str">
        <f>IF(R$3="","",IF(COUNTIFS(BD!$A$3:$A$5001,R$3,BD!$B$3:$B$5001,$A$277,BD!$K$3:$K$5001,"&lt;&gt;")=0,"",SUMIFS(BD!$K$3:$K$5001,BD!$A$3:$A$5001,R$3,BD!$B$3:$B$5001,$A$277)))</f>
        <v/>
      </c>
      <c r="S285" s="166" t="str">
        <f>IF(S$3="","",IF(COUNTIFS(BD!$A$3:$A$5001,S$3,BD!$B$3:$B$5001,$A$277,BD!$K$3:$K$5001,"&lt;&gt;")=0,"",SUMIFS(BD!$K$3:$K$5001,BD!$A$3:$A$5001,S$3,BD!$B$3:$B$5001,$A$277)))</f>
        <v/>
      </c>
      <c r="T285" s="166" t="str">
        <f>IF(T$3="","",IF(COUNTIFS(BD!$A$3:$A$5001,T$3,BD!$B$3:$B$5001,$A$277,BD!$K$3:$K$5001,"&lt;&gt;")=0,"",SUMIFS(BD!$K$3:$K$5001,BD!$A$3:$A$5001,T$3,BD!$B$3:$B$5001,$A$277)))</f>
        <v/>
      </c>
      <c r="U285" s="166" t="str">
        <f>IF(U$3="","",IF(COUNTIFS(BD!$A$3:$A$5001,U$3,BD!$B$3:$B$5001,$A$277,BD!$K$3:$K$5001,"&lt;&gt;")=0,"",SUMIFS(BD!$K$3:$K$5001,BD!$A$3:$A$5001,U$3,BD!$B$3:$B$5001,$A$277)))</f>
        <v/>
      </c>
      <c r="V285" s="166" t="str">
        <f>IF(V$3="","",IF(COUNTIFS(BD!$A$3:$A$5001,V$3,BD!$B$3:$B$5001,$A$277,BD!$K$3:$K$5001,"&lt;&gt;")=0,"",SUMIFS(BD!$K$3:$K$5001,BD!$A$3:$A$5001,V$3,BD!$B$3:$B$5001,$A$277)))</f>
        <v/>
      </c>
      <c r="W285" s="166" t="str">
        <f>IF(W$3="","",IF(COUNTIFS(BD!$A$3:$A$5001,W$3,BD!$B$3:$B$5001,$A$277,BD!$K$3:$K$5001,"&lt;&gt;")=0,"",SUMIFS(BD!$K$3:$K$5001,BD!$A$3:$A$5001,W$3,BD!$B$3:$B$5001,$A$277)))</f>
        <v/>
      </c>
      <c r="X285" s="166" t="str">
        <f>IF(X$3="","",IF(COUNTIFS(BD!$A$3:$A$5001,X$3,BD!$B$3:$B$5001,$A$277,BD!$K$3:$K$5001,"&lt;&gt;")=0,"",SUMIFS(BD!$K$3:$K$5001,BD!$A$3:$A$5001,X$3,BD!$B$3:$B$5001,$A$277)))</f>
        <v/>
      </c>
      <c r="Y285" s="166" t="str">
        <f>IF(Y$3="","",IF(COUNTIFS(BD!$A$3:$A$5001,Y$3,BD!$B$3:$B$5001,$A$277,BD!$K$3:$K$5001,"&lt;&gt;")=0,"",SUMIFS(BD!$K$3:$K$5001,BD!$A$3:$A$5001,Y$3,BD!$B$3:$B$5001,$A$277)))</f>
        <v/>
      </c>
      <c r="Z285" s="166" t="str">
        <f>IF(Z$3="","",IF(COUNTIFS(BD!$A$3:$A$5001,Z$3,BD!$B$3:$B$5001,$A$277,BD!$K$3:$K$5001,"&lt;&gt;")=0,"",SUMIFS(BD!$K$3:$K$5001,BD!$A$3:$A$5001,Z$3,BD!$B$3:$B$5001,$A$277)))</f>
        <v/>
      </c>
      <c r="AA285" s="166" t="str">
        <f>IF(AA$3="","",IF(COUNTIFS(BD!$A$3:$A$5001,AA$3,BD!$B$3:$B$5001,$A$277,BD!$K$3:$K$5001,"&lt;&gt;")=0,"",SUMIFS(BD!$K$3:$K$5001,BD!$A$3:$A$5001,AA$3,BD!$B$3:$B$5001,$A$277)))</f>
        <v/>
      </c>
      <c r="AB285" s="166" t="str">
        <f>IF(AB$3="","",IF(COUNTIFS(BD!$A$3:$A$5001,AB$3,BD!$B$3:$B$5001,$A$277,BD!$K$3:$K$5001,"&lt;&gt;")=0,"",SUMIFS(BD!$K$3:$K$5001,BD!$A$3:$A$5001,AB$3,BD!$B$3:$B$5001,$A$277)))</f>
        <v/>
      </c>
      <c r="AC285" s="166" t="str">
        <f>IF(AC$3="","",IF(COUNTIFS(BD!$A$3:$A$5001,AC$3,BD!$B$3:$B$5001,$A$277,BD!$K$3:$K$5001,"&lt;&gt;")=0,"",SUMIFS(BD!$K$3:$K$5001,BD!$A$3:$A$5001,AC$3,BD!$B$3:$B$5001,$A$277)))</f>
        <v/>
      </c>
      <c r="AD285" s="166" t="str">
        <f>IF(AD$3="","",IF(COUNTIFS(BD!$A$3:$A$5001,AD$3,BD!$B$3:$B$5001,$A$277,BD!$K$3:$K$5001,"&lt;&gt;")=0,"",SUMIFS(BD!$K$3:$K$5001,BD!$A$3:$A$5001,AD$3,BD!$B$3:$B$5001,$A$277)))</f>
        <v/>
      </c>
      <c r="AE285" s="166" t="str">
        <f>IF(AE$3="","",IF(COUNTIFS(BD!$A$3:$A$5001,AE$3,BD!$B$3:$B$5001,$A$277,BD!$K$3:$K$5001,"&lt;&gt;")=0,"",SUMIFS(BD!$K$3:$K$5001,BD!$A$3:$A$5001,AE$3,BD!$B$3:$B$5001,$A$277)))</f>
        <v/>
      </c>
      <c r="AF285" s="166" t="str">
        <f>IF(AF$3="","",IF(COUNTIFS(BD!$A$3:$A$5001,AF$3,BD!$B$3:$B$5001,$A$277,BD!$K$3:$K$5001,"&lt;&gt;")=0,"",SUMIFS(BD!$K$3:$K$5001,BD!$A$3:$A$5001,AF$3,BD!$B$3:$B$5001,$A$277)))</f>
        <v/>
      </c>
      <c r="AG285" s="166" t="str">
        <f>IF(AG$3="","",IF(COUNTIFS(BD!$A$3:$A$5001,AG$3,BD!$B$3:$B$5001,$A$277,BD!$K$3:$K$5001,"&lt;&gt;")=0,"",SUMIFS(BD!$K$3:$K$5001,BD!$A$3:$A$5001,AG$3,BD!$B$3:$B$5001,$A$277)))</f>
        <v/>
      </c>
      <c r="AH285" s="166" t="str">
        <f>IF(AH$3="","",IF(COUNTIFS(BD!$A$3:$A$5001,AH$3,BD!$B$3:$B$5001,$A$277,BD!$K$3:$K$5001,"&lt;&gt;")=0,"",SUMIFS(BD!$K$3:$K$5001,BD!$A$3:$A$5001,AH$3,BD!$B$3:$B$5001,$A$277)))</f>
        <v/>
      </c>
      <c r="AI285" s="166" t="str">
        <f>IF(AI$3="","",IF(COUNTIFS(BD!$A$3:$A$5001,AI$3,BD!$B$3:$B$5001,$A$277,BD!$K$3:$K$5001,"&lt;&gt;")=0,"",SUMIFS(BD!$K$3:$K$5001,BD!$A$3:$A$5001,AI$3,BD!$B$3:$B$5001,$A$277)))</f>
        <v/>
      </c>
      <c r="AJ285" s="167" t="str">
        <f>IF(AJ$3="","",IF(COUNTIFS(BD!$A$3:$A$5001,AJ$3,BD!$B$3:$B$5001,$A$277,BD!$K$3:$K$5001,"&lt;&gt;")=0,"",SUMIFS(BD!$K$3:$K$5001,BD!$A$3:$A$5001,AJ$3,BD!$B$3:$B$5001,$A$277)))</f>
        <v/>
      </c>
      <c r="AK285" s="163" t="str">
        <f>IF(COUNT(F285:AJ285)=0,"",SUM(F285:AJ285))</f>
        <v/>
      </c>
    </row>
    <row r="286" ht="15.75" customHeight="1" hidden="1">
      <c r="A286" s="244"/>
      <c r="B286" s="234" t="inlineStr">
        <is>
          <t xml:space="preserve">OUT</t>
        </is>
      </c>
      <c r="C286" s="168" t="inlineStr">
        <is>
          <t xml:space="preserve">Veículos Expedidos</t>
        </is>
      </c>
      <c r="D286" s="169" t="str">
        <f>IFERROR(1/(1/INDEX(BD!$AJ$32:$BD$32,MATCH($A$277,BD!$AJ$22:$BD$22,0))),"")</f>
        <v/>
      </c>
      <c r="E286" s="170"/>
      <c r="F286" s="171" t="str">
        <f>IF(F$3="","",IF(COUNTIFS(BD!$A$3:$A$5001,F$3,BD!$B$3:$B$5001,$A$277,BD!$L$3:$L$5001,"&lt;&gt;")=0,"",SUMIFS(BD!$L$3:$L$5001,BD!$A$3:$A$5001,F$3,BD!$B$3:$B$5001,$A$277)))</f>
        <v/>
      </c>
      <c r="G286" s="172" t="str">
        <f>IF(G$3="","",IF(COUNTIFS(BD!$A$3:$A$5001,G$3,BD!$B$3:$B$5001,$A$277,BD!$L$3:$L$5001,"&lt;&gt;")=0,"",SUMIFS(BD!$L$3:$L$5001,BD!$A$3:$A$5001,G$3,BD!$B$3:$B$5001,$A$277)))</f>
        <v/>
      </c>
      <c r="H286" s="172" t="str">
        <f>IF(H$3="","",IF(COUNTIFS(BD!$A$3:$A$5001,H$3,BD!$B$3:$B$5001,$A$277,BD!$L$3:$L$5001,"&lt;&gt;")=0,"",SUMIFS(BD!$L$3:$L$5001,BD!$A$3:$A$5001,H$3,BD!$B$3:$B$5001,$A$277)))</f>
        <v/>
      </c>
      <c r="I286" s="172" t="str">
        <f>IF(I$3="","",IF(COUNTIFS(BD!$A$3:$A$5001,I$3,BD!$B$3:$B$5001,$A$277,BD!$L$3:$L$5001,"&lt;&gt;")=0,"",SUMIFS(BD!$L$3:$L$5001,BD!$A$3:$A$5001,I$3,BD!$B$3:$B$5001,$A$277)))</f>
        <v/>
      </c>
      <c r="J286" s="172" t="str">
        <f>IF(J$3="","",IF(COUNTIFS(BD!$A$3:$A$5001,J$3,BD!$B$3:$B$5001,$A$277,BD!$L$3:$L$5001,"&lt;&gt;")=0,"",SUMIFS(BD!$L$3:$L$5001,BD!$A$3:$A$5001,J$3,BD!$B$3:$B$5001,$A$277)))</f>
        <v/>
      </c>
      <c r="K286" s="172" t="str">
        <f>IF(K$3="","",IF(COUNTIFS(BD!$A$3:$A$5001,K$3,BD!$B$3:$B$5001,$A$277,BD!$L$3:$L$5001,"&lt;&gt;")=0,"",SUMIFS(BD!$L$3:$L$5001,BD!$A$3:$A$5001,K$3,BD!$B$3:$B$5001,$A$277)))</f>
        <v/>
      </c>
      <c r="L286" s="172" t="str">
        <f>IF(L$3="","",IF(COUNTIFS(BD!$A$3:$A$5001,L$3,BD!$B$3:$B$5001,$A$277,BD!$L$3:$L$5001,"&lt;&gt;")=0,"",SUMIFS(BD!$L$3:$L$5001,BD!$A$3:$A$5001,L$3,BD!$B$3:$B$5001,$A$277)))</f>
        <v/>
      </c>
      <c r="M286" s="172" t="str">
        <f>IF(M$3="","",IF(COUNTIFS(BD!$A$3:$A$5001,M$3,BD!$B$3:$B$5001,$A$277,BD!$L$3:$L$5001,"&lt;&gt;")=0,"",SUMIFS(BD!$L$3:$L$5001,BD!$A$3:$A$5001,M$3,BD!$B$3:$B$5001,$A$277)))</f>
        <v/>
      </c>
      <c r="N286" s="172" t="str">
        <f>IF(N$3="","",IF(COUNTIFS(BD!$A$3:$A$5001,N$3,BD!$B$3:$B$5001,$A$277,BD!$L$3:$L$5001,"&lt;&gt;")=0,"",SUMIFS(BD!$L$3:$L$5001,BD!$A$3:$A$5001,N$3,BD!$B$3:$B$5001,$A$277)))</f>
        <v/>
      </c>
      <c r="O286" s="172" t="str">
        <f>IF(O$3="","",IF(COUNTIFS(BD!$A$3:$A$5001,O$3,BD!$B$3:$B$5001,$A$277,BD!$L$3:$L$5001,"&lt;&gt;")=0,"",SUMIFS(BD!$L$3:$L$5001,BD!$A$3:$A$5001,O$3,BD!$B$3:$B$5001,$A$277)))</f>
        <v/>
      </c>
      <c r="P286" s="172" t="str">
        <f>IF(P$3="","",IF(COUNTIFS(BD!$A$3:$A$5001,P$3,BD!$B$3:$B$5001,$A$277,BD!$L$3:$L$5001,"&lt;&gt;")=0,"",SUMIFS(BD!$L$3:$L$5001,BD!$A$3:$A$5001,P$3,BD!$B$3:$B$5001,$A$277)))</f>
        <v/>
      </c>
      <c r="Q286" s="172" t="str">
        <f>IF(Q$3="","",IF(COUNTIFS(BD!$A$3:$A$5001,Q$3,BD!$B$3:$B$5001,$A$277,BD!$L$3:$L$5001,"&lt;&gt;")=0,"",SUMIFS(BD!$L$3:$L$5001,BD!$A$3:$A$5001,Q$3,BD!$B$3:$B$5001,$A$277)))</f>
        <v/>
      </c>
      <c r="R286" s="172" t="str">
        <f>IF(R$3="","",IF(COUNTIFS(BD!$A$3:$A$5001,R$3,BD!$B$3:$B$5001,$A$277,BD!$L$3:$L$5001,"&lt;&gt;")=0,"",SUMIFS(BD!$L$3:$L$5001,BD!$A$3:$A$5001,R$3,BD!$B$3:$B$5001,$A$277)))</f>
        <v/>
      </c>
      <c r="S286" s="172" t="str">
        <f>IF(S$3="","",IF(COUNTIFS(BD!$A$3:$A$5001,S$3,BD!$B$3:$B$5001,$A$277,BD!$L$3:$L$5001,"&lt;&gt;")=0,"",SUMIFS(BD!$L$3:$L$5001,BD!$A$3:$A$5001,S$3,BD!$B$3:$B$5001,$A$277)))</f>
        <v/>
      </c>
      <c r="T286" s="172" t="str">
        <f>IF(T$3="","",IF(COUNTIFS(BD!$A$3:$A$5001,T$3,BD!$B$3:$B$5001,$A$277,BD!$L$3:$L$5001,"&lt;&gt;")=0,"",SUMIFS(BD!$L$3:$L$5001,BD!$A$3:$A$5001,T$3,BD!$B$3:$B$5001,$A$277)))</f>
        <v/>
      </c>
      <c r="U286" s="172" t="str">
        <f>IF(U$3="","",IF(COUNTIFS(BD!$A$3:$A$5001,U$3,BD!$B$3:$B$5001,$A$277,BD!$L$3:$L$5001,"&lt;&gt;")=0,"",SUMIFS(BD!$L$3:$L$5001,BD!$A$3:$A$5001,U$3,BD!$B$3:$B$5001,$A$277)))</f>
        <v/>
      </c>
      <c r="V286" s="172" t="str">
        <f>IF(V$3="","",IF(COUNTIFS(BD!$A$3:$A$5001,V$3,BD!$B$3:$B$5001,$A$277,BD!$L$3:$L$5001,"&lt;&gt;")=0,"",SUMIFS(BD!$L$3:$L$5001,BD!$A$3:$A$5001,V$3,BD!$B$3:$B$5001,$A$277)))</f>
        <v/>
      </c>
      <c r="W286" s="172" t="str">
        <f>IF(W$3="","",IF(COUNTIFS(BD!$A$3:$A$5001,W$3,BD!$B$3:$B$5001,$A$277,BD!$L$3:$L$5001,"&lt;&gt;")=0,"",SUMIFS(BD!$L$3:$L$5001,BD!$A$3:$A$5001,W$3,BD!$B$3:$B$5001,$A$277)))</f>
        <v/>
      </c>
      <c r="X286" s="172" t="str">
        <f>IF(X$3="","",IF(COUNTIFS(BD!$A$3:$A$5001,X$3,BD!$B$3:$B$5001,$A$277,BD!$L$3:$L$5001,"&lt;&gt;")=0,"",SUMIFS(BD!$L$3:$L$5001,BD!$A$3:$A$5001,X$3,BD!$B$3:$B$5001,$A$277)))</f>
        <v/>
      </c>
      <c r="Y286" s="172" t="str">
        <f>IF(Y$3="","",IF(COUNTIFS(BD!$A$3:$A$5001,Y$3,BD!$B$3:$B$5001,$A$277,BD!$L$3:$L$5001,"&lt;&gt;")=0,"",SUMIFS(BD!$L$3:$L$5001,BD!$A$3:$A$5001,Y$3,BD!$B$3:$B$5001,$A$277)))</f>
        <v/>
      </c>
      <c r="Z286" s="172" t="str">
        <f>IF(Z$3="","",IF(COUNTIFS(BD!$A$3:$A$5001,Z$3,BD!$B$3:$B$5001,$A$277,BD!$L$3:$L$5001,"&lt;&gt;")=0,"",SUMIFS(BD!$L$3:$L$5001,BD!$A$3:$A$5001,Z$3,BD!$B$3:$B$5001,$A$277)))</f>
        <v/>
      </c>
      <c r="AA286" s="172" t="str">
        <f>IF(AA$3="","",IF(COUNTIFS(BD!$A$3:$A$5001,AA$3,BD!$B$3:$B$5001,$A$277,BD!$L$3:$L$5001,"&lt;&gt;")=0,"",SUMIFS(BD!$L$3:$L$5001,BD!$A$3:$A$5001,AA$3,BD!$B$3:$B$5001,$A$277)))</f>
        <v/>
      </c>
      <c r="AB286" s="172" t="str">
        <f>IF(AB$3="","",IF(COUNTIFS(BD!$A$3:$A$5001,AB$3,BD!$B$3:$B$5001,$A$277,BD!$L$3:$L$5001,"&lt;&gt;")=0,"",SUMIFS(BD!$L$3:$L$5001,BD!$A$3:$A$5001,AB$3,BD!$B$3:$B$5001,$A$277)))</f>
        <v/>
      </c>
      <c r="AC286" s="172" t="str">
        <f>IF(AC$3="","",IF(COUNTIFS(BD!$A$3:$A$5001,AC$3,BD!$B$3:$B$5001,$A$277,BD!$L$3:$L$5001,"&lt;&gt;")=0,"",SUMIFS(BD!$L$3:$L$5001,BD!$A$3:$A$5001,AC$3,BD!$B$3:$B$5001,$A$277)))</f>
        <v/>
      </c>
      <c r="AD286" s="172" t="str">
        <f>IF(AD$3="","",IF(COUNTIFS(BD!$A$3:$A$5001,AD$3,BD!$B$3:$B$5001,$A$277,BD!$L$3:$L$5001,"&lt;&gt;")=0,"",SUMIFS(BD!$L$3:$L$5001,BD!$A$3:$A$5001,AD$3,BD!$B$3:$B$5001,$A$277)))</f>
        <v/>
      </c>
      <c r="AE286" s="172" t="str">
        <f>IF(AE$3="","",IF(COUNTIFS(BD!$A$3:$A$5001,AE$3,BD!$B$3:$B$5001,$A$277,BD!$L$3:$L$5001,"&lt;&gt;")=0,"",SUMIFS(BD!$L$3:$L$5001,BD!$A$3:$A$5001,AE$3,BD!$B$3:$B$5001,$A$277)))</f>
        <v/>
      </c>
      <c r="AF286" s="172" t="str">
        <f>IF(AF$3="","",IF(COUNTIFS(BD!$A$3:$A$5001,AF$3,BD!$B$3:$B$5001,$A$277,BD!$L$3:$L$5001,"&lt;&gt;")=0,"",SUMIFS(BD!$L$3:$L$5001,BD!$A$3:$A$5001,AF$3,BD!$B$3:$B$5001,$A$277)))</f>
        <v/>
      </c>
      <c r="AG286" s="172" t="str">
        <f>IF(AG$3="","",IF(COUNTIFS(BD!$A$3:$A$5001,AG$3,BD!$B$3:$B$5001,$A$277,BD!$L$3:$L$5001,"&lt;&gt;")=0,"",SUMIFS(BD!$L$3:$L$5001,BD!$A$3:$A$5001,AG$3,BD!$B$3:$B$5001,$A$277)))</f>
        <v/>
      </c>
      <c r="AH286" s="172" t="str">
        <f>IF(AH$3="","",IF(COUNTIFS(BD!$A$3:$A$5001,AH$3,BD!$B$3:$B$5001,$A$277,BD!$L$3:$L$5001,"&lt;&gt;")=0,"",SUMIFS(BD!$L$3:$L$5001,BD!$A$3:$A$5001,AH$3,BD!$B$3:$B$5001,$A$277)))</f>
        <v/>
      </c>
      <c r="AI286" s="172" t="str">
        <f>IF(AI$3="","",IF(COUNTIFS(BD!$A$3:$A$5001,AI$3,BD!$B$3:$B$5001,$A$277,BD!$L$3:$L$5001,"&lt;&gt;")=0,"",SUMIFS(BD!$L$3:$L$5001,BD!$A$3:$A$5001,AI$3,BD!$B$3:$B$5001,$A$277)))</f>
        <v/>
      </c>
      <c r="AJ286" s="173" t="str">
        <f>IF(AJ$3="","",IF(COUNTIFS(BD!$A$3:$A$5001,AJ$3,BD!$B$3:$B$5001,$A$277,BD!$L$3:$L$5001,"&lt;&gt;")=0,"",SUMIFS(BD!$L$3:$L$5001,BD!$A$3:$A$5001,AJ$3,BD!$B$3:$B$5001,$A$277)))</f>
        <v/>
      </c>
      <c r="AK286" s="174" t="str">
        <f>IF(COUNT(F286:AJ286)=0,"",SUM(F286:AJ286))</f>
        <v/>
      </c>
    </row>
    <row r="287" ht="15.75" customHeight="1" hidden="1">
      <c r="A287" s="244"/>
      <c r="B287" s="261"/>
      <c r="C287" s="250" t="inlineStr">
        <is>
          <t xml:space="preserve">Pedidos Expedidos</t>
        </is>
      </c>
      <c r="D287" s="251" t="str">
        <f>IFERROR(1/(1/INDEX(BD!$AJ$33:$BD$33,MATCH($A$277,BD!$AJ$22:$BD$22,0))),"")</f>
        <v/>
      </c>
      <c r="E287" s="252"/>
      <c r="F287" s="253" t="str">
        <f>IF(F$3="","",IF(COUNTIFS(BD!$A$3:$A$5001,F$3,BD!$B$3:$B$5001,$A$277,BD!$M$3:$M$5001,"&lt;&gt;")=0,"",SUMIFS(BD!$M$3:$M$5001,BD!$A$3:$A$5001,F$3,BD!$B$3:$B$5001,$A$277)))</f>
        <v/>
      </c>
      <c r="G287" s="254" t="str">
        <f>IF(G$3="","",IF(COUNTIFS(BD!$A$3:$A$5001,G$3,BD!$B$3:$B$5001,$A$277,BD!$M$3:$M$5001,"&lt;&gt;")=0,"",SUMIFS(BD!$M$3:$M$5001,BD!$A$3:$A$5001,G$3,BD!$B$3:$B$5001,$A$277)))</f>
        <v/>
      </c>
      <c r="H287" s="254" t="str">
        <f>IF(H$3="","",IF(COUNTIFS(BD!$A$3:$A$5001,H$3,BD!$B$3:$B$5001,$A$277,BD!$M$3:$M$5001,"&lt;&gt;")=0,"",SUMIFS(BD!$M$3:$M$5001,BD!$A$3:$A$5001,H$3,BD!$B$3:$B$5001,$A$277)))</f>
        <v/>
      </c>
      <c r="I287" s="254" t="str">
        <f>IF(I$3="","",IF(COUNTIFS(BD!$A$3:$A$5001,I$3,BD!$B$3:$B$5001,$A$277,BD!$M$3:$M$5001,"&lt;&gt;")=0,"",SUMIFS(BD!$M$3:$M$5001,BD!$A$3:$A$5001,I$3,BD!$B$3:$B$5001,$A$277)))</f>
        <v/>
      </c>
      <c r="J287" s="254" t="str">
        <f>IF(J$3="","",IF(COUNTIFS(BD!$A$3:$A$5001,J$3,BD!$B$3:$B$5001,$A$277,BD!$M$3:$M$5001,"&lt;&gt;")=0,"",SUMIFS(BD!$M$3:$M$5001,BD!$A$3:$A$5001,J$3,BD!$B$3:$B$5001,$A$277)))</f>
        <v/>
      </c>
      <c r="K287" s="254" t="str">
        <f>IF(K$3="","",IF(COUNTIFS(BD!$A$3:$A$5001,K$3,BD!$B$3:$B$5001,$A$277,BD!$M$3:$M$5001,"&lt;&gt;")=0,"",SUMIFS(BD!$M$3:$M$5001,BD!$A$3:$A$5001,K$3,BD!$B$3:$B$5001,$A$277)))</f>
        <v/>
      </c>
      <c r="L287" s="254" t="str">
        <f>IF(L$3="","",IF(COUNTIFS(BD!$A$3:$A$5001,L$3,BD!$B$3:$B$5001,$A$277,BD!$M$3:$M$5001,"&lt;&gt;")=0,"",SUMIFS(BD!$M$3:$M$5001,BD!$A$3:$A$5001,L$3,BD!$B$3:$B$5001,$A$277)))</f>
        <v/>
      </c>
      <c r="M287" s="254" t="str">
        <f>IF(M$3="","",IF(COUNTIFS(BD!$A$3:$A$5001,M$3,BD!$B$3:$B$5001,$A$277,BD!$M$3:$M$5001,"&lt;&gt;")=0,"",SUMIFS(BD!$M$3:$M$5001,BD!$A$3:$A$5001,M$3,BD!$B$3:$B$5001,$A$277)))</f>
        <v/>
      </c>
      <c r="N287" s="254" t="str">
        <f>IF(N$3="","",IF(COUNTIFS(BD!$A$3:$A$5001,N$3,BD!$B$3:$B$5001,$A$277,BD!$M$3:$M$5001,"&lt;&gt;")=0,"",SUMIFS(BD!$M$3:$M$5001,BD!$A$3:$A$5001,N$3,BD!$B$3:$B$5001,$A$277)))</f>
        <v/>
      </c>
      <c r="O287" s="254" t="str">
        <f>IF(O$3="","",IF(COUNTIFS(BD!$A$3:$A$5001,O$3,BD!$B$3:$B$5001,$A$277,BD!$M$3:$M$5001,"&lt;&gt;")=0,"",SUMIFS(BD!$M$3:$M$5001,BD!$A$3:$A$5001,O$3,BD!$B$3:$B$5001,$A$277)))</f>
        <v/>
      </c>
      <c r="P287" s="254" t="str">
        <f>IF(P$3="","",IF(COUNTIFS(BD!$A$3:$A$5001,P$3,BD!$B$3:$B$5001,$A$277,BD!$M$3:$M$5001,"&lt;&gt;")=0,"",SUMIFS(BD!$M$3:$M$5001,BD!$A$3:$A$5001,P$3,BD!$B$3:$B$5001,$A$277)))</f>
        <v/>
      </c>
      <c r="Q287" s="254" t="str">
        <f>IF(Q$3="","",IF(COUNTIFS(BD!$A$3:$A$5001,Q$3,BD!$B$3:$B$5001,$A$277,BD!$M$3:$M$5001,"&lt;&gt;")=0,"",SUMIFS(BD!$M$3:$M$5001,BD!$A$3:$A$5001,Q$3,BD!$B$3:$B$5001,$A$277)))</f>
        <v/>
      </c>
      <c r="R287" s="254" t="str">
        <f>IF(R$3="","",IF(COUNTIFS(BD!$A$3:$A$5001,R$3,BD!$B$3:$B$5001,$A$277,BD!$M$3:$M$5001,"&lt;&gt;")=0,"",SUMIFS(BD!$M$3:$M$5001,BD!$A$3:$A$5001,R$3,BD!$B$3:$B$5001,$A$277)))</f>
        <v/>
      </c>
      <c r="S287" s="254" t="str">
        <f>IF(S$3="","",IF(COUNTIFS(BD!$A$3:$A$5001,S$3,BD!$B$3:$B$5001,$A$277,BD!$M$3:$M$5001,"&lt;&gt;")=0,"",SUMIFS(BD!$M$3:$M$5001,BD!$A$3:$A$5001,S$3,BD!$B$3:$B$5001,$A$277)))</f>
        <v/>
      </c>
      <c r="T287" s="254" t="str">
        <f>IF(T$3="","",IF(COUNTIFS(BD!$A$3:$A$5001,T$3,BD!$B$3:$B$5001,$A$277,BD!$M$3:$M$5001,"&lt;&gt;")=0,"",SUMIFS(BD!$M$3:$M$5001,BD!$A$3:$A$5001,T$3,BD!$B$3:$B$5001,$A$277)))</f>
        <v/>
      </c>
      <c r="U287" s="254" t="str">
        <f>IF(U$3="","",IF(COUNTIFS(BD!$A$3:$A$5001,U$3,BD!$B$3:$B$5001,$A$277,BD!$M$3:$M$5001,"&lt;&gt;")=0,"",SUMIFS(BD!$M$3:$M$5001,BD!$A$3:$A$5001,U$3,BD!$B$3:$B$5001,$A$277)))</f>
        <v/>
      </c>
      <c r="V287" s="254" t="str">
        <f>IF(V$3="","",IF(COUNTIFS(BD!$A$3:$A$5001,V$3,BD!$B$3:$B$5001,$A$277,BD!$M$3:$M$5001,"&lt;&gt;")=0,"",SUMIFS(BD!$M$3:$M$5001,BD!$A$3:$A$5001,V$3,BD!$B$3:$B$5001,$A$277)))</f>
        <v/>
      </c>
      <c r="W287" s="254" t="str">
        <f>IF(W$3="","",IF(COUNTIFS(BD!$A$3:$A$5001,W$3,BD!$B$3:$B$5001,$A$277,BD!$M$3:$M$5001,"&lt;&gt;")=0,"",SUMIFS(BD!$M$3:$M$5001,BD!$A$3:$A$5001,W$3,BD!$B$3:$B$5001,$A$277)))</f>
        <v/>
      </c>
      <c r="X287" s="254" t="str">
        <f>IF(X$3="","",IF(COUNTIFS(BD!$A$3:$A$5001,X$3,BD!$B$3:$B$5001,$A$277,BD!$M$3:$M$5001,"&lt;&gt;")=0,"",SUMIFS(BD!$M$3:$M$5001,BD!$A$3:$A$5001,X$3,BD!$B$3:$B$5001,$A$277)))</f>
        <v/>
      </c>
      <c r="Y287" s="254" t="str">
        <f>IF(Y$3="","",IF(COUNTIFS(BD!$A$3:$A$5001,Y$3,BD!$B$3:$B$5001,$A$277,BD!$M$3:$M$5001,"&lt;&gt;")=0,"",SUMIFS(BD!$M$3:$M$5001,BD!$A$3:$A$5001,Y$3,BD!$B$3:$B$5001,$A$277)))</f>
        <v/>
      </c>
      <c r="Z287" s="254" t="str">
        <f>IF(Z$3="","",IF(COUNTIFS(BD!$A$3:$A$5001,Z$3,BD!$B$3:$B$5001,$A$277,BD!$M$3:$M$5001,"&lt;&gt;")=0,"",SUMIFS(BD!$M$3:$M$5001,BD!$A$3:$A$5001,Z$3,BD!$B$3:$B$5001,$A$277)))</f>
        <v/>
      </c>
      <c r="AA287" s="254" t="str">
        <f>IF(AA$3="","",IF(COUNTIFS(BD!$A$3:$A$5001,AA$3,BD!$B$3:$B$5001,$A$277,BD!$M$3:$M$5001,"&lt;&gt;")=0,"",SUMIFS(BD!$M$3:$M$5001,BD!$A$3:$A$5001,AA$3,BD!$B$3:$B$5001,$A$277)))</f>
        <v/>
      </c>
      <c r="AB287" s="254" t="str">
        <f>IF(AB$3="","",IF(COUNTIFS(BD!$A$3:$A$5001,AB$3,BD!$B$3:$B$5001,$A$277,BD!$M$3:$M$5001,"&lt;&gt;")=0,"",SUMIFS(BD!$M$3:$M$5001,BD!$A$3:$A$5001,AB$3,BD!$B$3:$B$5001,$A$277)))</f>
        <v/>
      </c>
      <c r="AC287" s="254" t="str">
        <f>IF(AC$3="","",IF(COUNTIFS(BD!$A$3:$A$5001,AC$3,BD!$B$3:$B$5001,$A$277,BD!$M$3:$M$5001,"&lt;&gt;")=0,"",SUMIFS(BD!$M$3:$M$5001,BD!$A$3:$A$5001,AC$3,BD!$B$3:$B$5001,$A$277)))</f>
        <v/>
      </c>
      <c r="AD287" s="254" t="str">
        <f>IF(AD$3="","",IF(COUNTIFS(BD!$A$3:$A$5001,AD$3,BD!$B$3:$B$5001,$A$277,BD!$M$3:$M$5001,"&lt;&gt;")=0,"",SUMIFS(BD!$M$3:$M$5001,BD!$A$3:$A$5001,AD$3,BD!$B$3:$B$5001,$A$277)))</f>
        <v/>
      </c>
      <c r="AE287" s="254" t="str">
        <f>IF(AE$3="","",IF(COUNTIFS(BD!$A$3:$A$5001,AE$3,BD!$B$3:$B$5001,$A$277,BD!$M$3:$M$5001,"&lt;&gt;")=0,"",SUMIFS(BD!$M$3:$M$5001,BD!$A$3:$A$5001,AE$3,BD!$B$3:$B$5001,$A$277)))</f>
        <v/>
      </c>
      <c r="AF287" s="254" t="str">
        <f>IF(AF$3="","",IF(COUNTIFS(BD!$A$3:$A$5001,AF$3,BD!$B$3:$B$5001,$A$277,BD!$M$3:$M$5001,"&lt;&gt;")=0,"",SUMIFS(BD!$M$3:$M$5001,BD!$A$3:$A$5001,AF$3,BD!$B$3:$B$5001,$A$277)))</f>
        <v/>
      </c>
      <c r="AG287" s="254" t="str">
        <f>IF(AG$3="","",IF(COUNTIFS(BD!$A$3:$A$5001,AG$3,BD!$B$3:$B$5001,$A$277,BD!$M$3:$M$5001,"&lt;&gt;")=0,"",SUMIFS(BD!$M$3:$M$5001,BD!$A$3:$A$5001,AG$3,BD!$B$3:$B$5001,$A$277)))</f>
        <v/>
      </c>
      <c r="AH287" s="254" t="str">
        <f>IF(AH$3="","",IF(COUNTIFS(BD!$A$3:$A$5001,AH$3,BD!$B$3:$B$5001,$A$277,BD!$M$3:$M$5001,"&lt;&gt;")=0,"",SUMIFS(BD!$M$3:$M$5001,BD!$A$3:$A$5001,AH$3,BD!$B$3:$B$5001,$A$277)))</f>
        <v/>
      </c>
      <c r="AI287" s="254" t="str">
        <f>IF(AI$3="","",IF(COUNTIFS(BD!$A$3:$A$5001,AI$3,BD!$B$3:$B$5001,$A$277,BD!$M$3:$M$5001,"&lt;&gt;")=0,"",SUMIFS(BD!$M$3:$M$5001,BD!$A$3:$A$5001,AI$3,BD!$B$3:$B$5001,$A$277)))</f>
        <v/>
      </c>
      <c r="AJ287" s="255" t="str">
        <f>IF(AJ$3="","",IF(COUNTIFS(BD!$A$3:$A$5001,AJ$3,BD!$B$3:$B$5001,$A$277,BD!$M$3:$M$5001,"&lt;&gt;")=0,"",SUMIFS(BD!$M$3:$M$5001,BD!$A$3:$A$5001,AJ$3,BD!$B$3:$B$5001,$A$277)))</f>
        <v/>
      </c>
      <c r="AK287" s="256" t="str">
        <f>IF(COUNT(F287:AJ287)=0,"",SUM(F287:AJ287))</f>
        <v/>
      </c>
    </row>
    <row r="288" ht="15.75" customHeight="1" hidden="1">
      <c r="A288" s="244"/>
      <c r="B288" s="261"/>
      <c r="C288" s="250" t="inlineStr">
        <is>
          <t xml:space="preserve">Pedidos Faturados</t>
        </is>
      </c>
      <c r="D288" s="251" t="str">
        <f>IFERROR(1/(1/INDEX(BD!$AJ$34:$BD$34,MATCH($A$277,BD!$AJ$22:$BD$22,0))),"")</f>
        <v/>
      </c>
      <c r="E288" s="252"/>
      <c r="F288" s="253" t="str">
        <f>IF(F$3="","",IF(COUNTIFS(BD!$A$3:$A$5001,F$3,BD!$B$3:$B$5001,$A$277,BD!$N$3:$N$5001,"&lt;&gt;")=0,"",SUMIFS(BD!$N$3:$N$5001,BD!$A$3:$A$5001,F$3,BD!$B$3:$B$5001,$A$277)))</f>
        <v/>
      </c>
      <c r="G288" s="254" t="str">
        <f>IF(G$3="","",IF(COUNTIFS(BD!$A$3:$A$5001,G$3,BD!$B$3:$B$5001,$A$277,BD!$N$3:$N$5001,"&lt;&gt;")=0,"",SUMIFS(BD!$N$3:$N$5001,BD!$A$3:$A$5001,G$3,BD!$B$3:$B$5001,$A$277)))</f>
        <v/>
      </c>
      <c r="H288" s="254" t="str">
        <f>IF(H$3="","",IF(COUNTIFS(BD!$A$3:$A$5001,H$3,BD!$B$3:$B$5001,$A$277,BD!$N$3:$N$5001,"&lt;&gt;")=0,"",SUMIFS(BD!$N$3:$N$5001,BD!$A$3:$A$5001,H$3,BD!$B$3:$B$5001,$A$277)))</f>
        <v/>
      </c>
      <c r="I288" s="254" t="str">
        <f>IF(I$3="","",IF(COUNTIFS(BD!$A$3:$A$5001,I$3,BD!$B$3:$B$5001,$A$277,BD!$N$3:$N$5001,"&lt;&gt;")=0,"",SUMIFS(BD!$N$3:$N$5001,BD!$A$3:$A$5001,I$3,BD!$B$3:$B$5001,$A$277)))</f>
        <v/>
      </c>
      <c r="J288" s="254" t="str">
        <f>IF(J$3="","",IF(COUNTIFS(BD!$A$3:$A$5001,J$3,BD!$B$3:$B$5001,$A$277,BD!$N$3:$N$5001,"&lt;&gt;")=0,"",SUMIFS(BD!$N$3:$N$5001,BD!$A$3:$A$5001,J$3,BD!$B$3:$B$5001,$A$277)))</f>
        <v/>
      </c>
      <c r="K288" s="254" t="str">
        <f>IF(K$3="","",IF(COUNTIFS(BD!$A$3:$A$5001,K$3,BD!$B$3:$B$5001,$A$277,BD!$N$3:$N$5001,"&lt;&gt;")=0,"",SUMIFS(BD!$N$3:$N$5001,BD!$A$3:$A$5001,K$3,BD!$B$3:$B$5001,$A$277)))</f>
        <v/>
      </c>
      <c r="L288" s="254" t="str">
        <f>IF(L$3="","",IF(COUNTIFS(BD!$A$3:$A$5001,L$3,BD!$B$3:$B$5001,$A$277,BD!$N$3:$N$5001,"&lt;&gt;")=0,"",SUMIFS(BD!$N$3:$N$5001,BD!$A$3:$A$5001,L$3,BD!$B$3:$B$5001,$A$277)))</f>
        <v/>
      </c>
      <c r="M288" s="254" t="str">
        <f>IF(M$3="","",IF(COUNTIFS(BD!$A$3:$A$5001,M$3,BD!$B$3:$B$5001,$A$277,BD!$N$3:$N$5001,"&lt;&gt;")=0,"",SUMIFS(BD!$N$3:$N$5001,BD!$A$3:$A$5001,M$3,BD!$B$3:$B$5001,$A$277)))</f>
        <v/>
      </c>
      <c r="N288" s="254" t="str">
        <f>IF(N$3="","",IF(COUNTIFS(BD!$A$3:$A$5001,N$3,BD!$B$3:$B$5001,$A$277,BD!$N$3:$N$5001,"&lt;&gt;")=0,"",SUMIFS(BD!$N$3:$N$5001,BD!$A$3:$A$5001,N$3,BD!$B$3:$B$5001,$A$277)))</f>
        <v/>
      </c>
      <c r="O288" s="254" t="str">
        <f>IF(O$3="","",IF(COUNTIFS(BD!$A$3:$A$5001,O$3,BD!$B$3:$B$5001,$A$277,BD!$N$3:$N$5001,"&lt;&gt;")=0,"",SUMIFS(BD!$N$3:$N$5001,BD!$A$3:$A$5001,O$3,BD!$B$3:$B$5001,$A$277)))</f>
        <v/>
      </c>
      <c r="P288" s="254" t="str">
        <f>IF(P$3="","",IF(COUNTIFS(BD!$A$3:$A$5001,P$3,BD!$B$3:$B$5001,$A$277,BD!$N$3:$N$5001,"&lt;&gt;")=0,"",SUMIFS(BD!$N$3:$N$5001,BD!$A$3:$A$5001,P$3,BD!$B$3:$B$5001,$A$277)))</f>
        <v/>
      </c>
      <c r="Q288" s="254" t="str">
        <f>IF(Q$3="","",IF(COUNTIFS(BD!$A$3:$A$5001,Q$3,BD!$B$3:$B$5001,$A$277,BD!$N$3:$N$5001,"&lt;&gt;")=0,"",SUMIFS(BD!$N$3:$N$5001,BD!$A$3:$A$5001,Q$3,BD!$B$3:$B$5001,$A$277)))</f>
        <v/>
      </c>
      <c r="R288" s="254" t="str">
        <f>IF(R$3="","",IF(COUNTIFS(BD!$A$3:$A$5001,R$3,BD!$B$3:$B$5001,$A$277,BD!$N$3:$N$5001,"&lt;&gt;")=0,"",SUMIFS(BD!$N$3:$N$5001,BD!$A$3:$A$5001,R$3,BD!$B$3:$B$5001,$A$277)))</f>
        <v/>
      </c>
      <c r="S288" s="254" t="str">
        <f>IF(S$3="","",IF(COUNTIFS(BD!$A$3:$A$5001,S$3,BD!$B$3:$B$5001,$A$277,BD!$N$3:$N$5001,"&lt;&gt;")=0,"",SUMIFS(BD!$N$3:$N$5001,BD!$A$3:$A$5001,S$3,BD!$B$3:$B$5001,$A$277)))</f>
        <v/>
      </c>
      <c r="T288" s="254" t="str">
        <f>IF(T$3="","",IF(COUNTIFS(BD!$A$3:$A$5001,T$3,BD!$B$3:$B$5001,$A$277,BD!$N$3:$N$5001,"&lt;&gt;")=0,"",SUMIFS(BD!$N$3:$N$5001,BD!$A$3:$A$5001,T$3,BD!$B$3:$B$5001,$A$277)))</f>
        <v/>
      </c>
      <c r="U288" s="254" t="str">
        <f>IF(U$3="","",IF(COUNTIFS(BD!$A$3:$A$5001,U$3,BD!$B$3:$B$5001,$A$277,BD!$N$3:$N$5001,"&lt;&gt;")=0,"",SUMIFS(BD!$N$3:$N$5001,BD!$A$3:$A$5001,U$3,BD!$B$3:$B$5001,$A$277)))</f>
        <v/>
      </c>
      <c r="V288" s="254" t="str">
        <f>IF(V$3="","",IF(COUNTIFS(BD!$A$3:$A$5001,V$3,BD!$B$3:$B$5001,$A$277,BD!$N$3:$N$5001,"&lt;&gt;")=0,"",SUMIFS(BD!$N$3:$N$5001,BD!$A$3:$A$5001,V$3,BD!$B$3:$B$5001,$A$277)))</f>
        <v/>
      </c>
      <c r="W288" s="254" t="str">
        <f>IF(W$3="","",IF(COUNTIFS(BD!$A$3:$A$5001,W$3,BD!$B$3:$B$5001,$A$277,BD!$N$3:$N$5001,"&lt;&gt;")=0,"",SUMIFS(BD!$N$3:$N$5001,BD!$A$3:$A$5001,W$3,BD!$B$3:$B$5001,$A$277)))</f>
        <v/>
      </c>
      <c r="X288" s="254" t="str">
        <f>IF(X$3="","",IF(COUNTIFS(BD!$A$3:$A$5001,X$3,BD!$B$3:$B$5001,$A$277,BD!$N$3:$N$5001,"&lt;&gt;")=0,"",SUMIFS(BD!$N$3:$N$5001,BD!$A$3:$A$5001,X$3,BD!$B$3:$B$5001,$A$277)))</f>
        <v/>
      </c>
      <c r="Y288" s="254" t="str">
        <f>IF(Y$3="","",IF(COUNTIFS(BD!$A$3:$A$5001,Y$3,BD!$B$3:$B$5001,$A$277,BD!$N$3:$N$5001,"&lt;&gt;")=0,"",SUMIFS(BD!$N$3:$N$5001,BD!$A$3:$A$5001,Y$3,BD!$B$3:$B$5001,$A$277)))</f>
        <v/>
      </c>
      <c r="Z288" s="254" t="str">
        <f>IF(Z$3="","",IF(COUNTIFS(BD!$A$3:$A$5001,Z$3,BD!$B$3:$B$5001,$A$277,BD!$N$3:$N$5001,"&lt;&gt;")=0,"",SUMIFS(BD!$N$3:$N$5001,BD!$A$3:$A$5001,Z$3,BD!$B$3:$B$5001,$A$277)))</f>
        <v/>
      </c>
      <c r="AA288" s="254" t="str">
        <f>IF(AA$3="","",IF(COUNTIFS(BD!$A$3:$A$5001,AA$3,BD!$B$3:$B$5001,$A$277,BD!$N$3:$N$5001,"&lt;&gt;")=0,"",SUMIFS(BD!$N$3:$N$5001,BD!$A$3:$A$5001,AA$3,BD!$B$3:$B$5001,$A$277)))</f>
        <v/>
      </c>
      <c r="AB288" s="254" t="str">
        <f>IF(AB$3="","",IF(COUNTIFS(BD!$A$3:$A$5001,AB$3,BD!$B$3:$B$5001,$A$277,BD!$N$3:$N$5001,"&lt;&gt;")=0,"",SUMIFS(BD!$N$3:$N$5001,BD!$A$3:$A$5001,AB$3,BD!$B$3:$B$5001,$A$277)))</f>
        <v/>
      </c>
      <c r="AC288" s="254" t="str">
        <f>IF(AC$3="","",IF(COUNTIFS(BD!$A$3:$A$5001,AC$3,BD!$B$3:$B$5001,$A$277,BD!$N$3:$N$5001,"&lt;&gt;")=0,"",SUMIFS(BD!$N$3:$N$5001,BD!$A$3:$A$5001,AC$3,BD!$B$3:$B$5001,$A$277)))</f>
        <v/>
      </c>
      <c r="AD288" s="254" t="str">
        <f>IF(AD$3="","",IF(COUNTIFS(BD!$A$3:$A$5001,AD$3,BD!$B$3:$B$5001,$A$277,BD!$N$3:$N$5001,"&lt;&gt;")=0,"",SUMIFS(BD!$N$3:$N$5001,BD!$A$3:$A$5001,AD$3,BD!$B$3:$B$5001,$A$277)))</f>
        <v/>
      </c>
      <c r="AE288" s="254" t="str">
        <f>IF(AE$3="","",IF(COUNTIFS(BD!$A$3:$A$5001,AE$3,BD!$B$3:$B$5001,$A$277,BD!$N$3:$N$5001,"&lt;&gt;")=0,"",SUMIFS(BD!$N$3:$N$5001,BD!$A$3:$A$5001,AE$3,BD!$B$3:$B$5001,$A$277)))</f>
        <v/>
      </c>
      <c r="AF288" s="254" t="str">
        <f>IF(AF$3="","",IF(COUNTIFS(BD!$A$3:$A$5001,AF$3,BD!$B$3:$B$5001,$A$277,BD!$N$3:$N$5001,"&lt;&gt;")=0,"",SUMIFS(BD!$N$3:$N$5001,BD!$A$3:$A$5001,AF$3,BD!$B$3:$B$5001,$A$277)))</f>
        <v/>
      </c>
      <c r="AG288" s="254" t="str">
        <f>IF(AG$3="","",IF(COUNTIFS(BD!$A$3:$A$5001,AG$3,BD!$B$3:$B$5001,$A$277,BD!$N$3:$N$5001,"&lt;&gt;")=0,"",SUMIFS(BD!$N$3:$N$5001,BD!$A$3:$A$5001,AG$3,BD!$B$3:$B$5001,$A$277)))</f>
        <v/>
      </c>
      <c r="AH288" s="254" t="str">
        <f>IF(AH$3="","",IF(COUNTIFS(BD!$A$3:$A$5001,AH$3,BD!$B$3:$B$5001,$A$277,BD!$N$3:$N$5001,"&lt;&gt;")=0,"",SUMIFS(BD!$N$3:$N$5001,BD!$A$3:$A$5001,AH$3,BD!$B$3:$B$5001,$A$277)))</f>
        <v/>
      </c>
      <c r="AI288" s="254" t="str">
        <f>IF(AI$3="","",IF(COUNTIFS(BD!$A$3:$A$5001,AI$3,BD!$B$3:$B$5001,$A$277,BD!$N$3:$N$5001,"&lt;&gt;")=0,"",SUMIFS(BD!$N$3:$N$5001,BD!$A$3:$A$5001,AI$3,BD!$B$3:$B$5001,$A$277)))</f>
        <v/>
      </c>
      <c r="AJ288" s="255" t="str">
        <f>IF(AJ$3="","",IF(COUNTIFS(BD!$A$3:$A$5001,AJ$3,BD!$B$3:$B$5001,$A$277,BD!$N$3:$N$5001,"&lt;&gt;")=0,"",SUMIFS(BD!$N$3:$N$5001,BD!$A$3:$A$5001,AJ$3,BD!$B$3:$B$5001,$A$277)))</f>
        <v/>
      </c>
      <c r="AK288" s="256" t="str">
        <f>IF(COUNT(F288:AJ288)=0,"",SUM(F288:AJ288))</f>
        <v/>
      </c>
    </row>
    <row r="289" ht="15.75" customHeight="1" hidden="1">
      <c r="A289" s="244"/>
      <c r="B289" s="261"/>
      <c r="C289" s="250" t="inlineStr">
        <is>
          <t xml:space="preserve">Itens Expedidos</t>
        </is>
      </c>
      <c r="D289" s="251" t="str">
        <f>IFERROR(1/(1/INDEX(BD!$AJ$35:$BD$35,MATCH($A$277,BD!$AJ$22:$BD$22,0))),"")</f>
        <v/>
      </c>
      <c r="E289" s="252"/>
      <c r="F289" s="253" t="str">
        <f>IF(F$3="","",IF(COUNTIFS(BD!$A$3:$A$5001,F$3,BD!$B$3:$B$5001,$A$277,BD!$O$3:$O$5001,"&lt;&gt;")=0,"",SUMIFS(BD!$O$3:$O$5001,BD!$A$3:$A$5001,F$3,BD!$B$3:$B$5001,$A$277)))</f>
        <v/>
      </c>
      <c r="G289" s="254" t="str">
        <f>IF(G$3="","",IF(COUNTIFS(BD!$A$3:$A$5001,G$3,BD!$B$3:$B$5001,$A$277,BD!$O$3:$O$5001,"&lt;&gt;")=0,"",SUMIFS(BD!$O$3:$O$5001,BD!$A$3:$A$5001,G$3,BD!$B$3:$B$5001,$A$277)))</f>
        <v/>
      </c>
      <c r="H289" s="254" t="str">
        <f>IF(H$3="","",IF(COUNTIFS(BD!$A$3:$A$5001,H$3,BD!$B$3:$B$5001,$A$277,BD!$O$3:$O$5001,"&lt;&gt;")=0,"",SUMIFS(BD!$O$3:$O$5001,BD!$A$3:$A$5001,H$3,BD!$B$3:$B$5001,$A$277)))</f>
        <v/>
      </c>
      <c r="I289" s="254" t="str">
        <f>IF(I$3="","",IF(COUNTIFS(BD!$A$3:$A$5001,I$3,BD!$B$3:$B$5001,$A$277,BD!$O$3:$O$5001,"&lt;&gt;")=0,"",SUMIFS(BD!$O$3:$O$5001,BD!$A$3:$A$5001,I$3,BD!$B$3:$B$5001,$A$277)))</f>
        <v/>
      </c>
      <c r="J289" s="254" t="str">
        <f>IF(J$3="","",IF(COUNTIFS(BD!$A$3:$A$5001,J$3,BD!$B$3:$B$5001,$A$277,BD!$O$3:$O$5001,"&lt;&gt;")=0,"",SUMIFS(BD!$O$3:$O$5001,BD!$A$3:$A$5001,J$3,BD!$B$3:$B$5001,$A$277)))</f>
        <v/>
      </c>
      <c r="K289" s="254" t="str">
        <f>IF(K$3="","",IF(COUNTIFS(BD!$A$3:$A$5001,K$3,BD!$B$3:$B$5001,$A$277,BD!$O$3:$O$5001,"&lt;&gt;")=0,"",SUMIFS(BD!$O$3:$O$5001,BD!$A$3:$A$5001,K$3,BD!$B$3:$B$5001,$A$277)))</f>
        <v/>
      </c>
      <c r="L289" s="254" t="str">
        <f>IF(L$3="","",IF(COUNTIFS(BD!$A$3:$A$5001,L$3,BD!$B$3:$B$5001,$A$277,BD!$O$3:$O$5001,"&lt;&gt;")=0,"",SUMIFS(BD!$O$3:$O$5001,BD!$A$3:$A$5001,L$3,BD!$B$3:$B$5001,$A$277)))</f>
        <v/>
      </c>
      <c r="M289" s="254" t="str">
        <f>IF(M$3="","",IF(COUNTIFS(BD!$A$3:$A$5001,M$3,BD!$B$3:$B$5001,$A$277,BD!$O$3:$O$5001,"&lt;&gt;")=0,"",SUMIFS(BD!$O$3:$O$5001,BD!$A$3:$A$5001,M$3,BD!$B$3:$B$5001,$A$277)))</f>
        <v/>
      </c>
      <c r="N289" s="254" t="str">
        <f>IF(N$3="","",IF(COUNTIFS(BD!$A$3:$A$5001,N$3,BD!$B$3:$B$5001,$A$277,BD!$O$3:$O$5001,"&lt;&gt;")=0,"",SUMIFS(BD!$O$3:$O$5001,BD!$A$3:$A$5001,N$3,BD!$B$3:$B$5001,$A$277)))</f>
        <v/>
      </c>
      <c r="O289" s="254" t="str">
        <f>IF(O$3="","",IF(COUNTIFS(BD!$A$3:$A$5001,O$3,BD!$B$3:$B$5001,$A$277,BD!$O$3:$O$5001,"&lt;&gt;")=0,"",SUMIFS(BD!$O$3:$O$5001,BD!$A$3:$A$5001,O$3,BD!$B$3:$B$5001,$A$277)))</f>
        <v/>
      </c>
      <c r="P289" s="254" t="str">
        <f>IF(P$3="","",IF(COUNTIFS(BD!$A$3:$A$5001,P$3,BD!$B$3:$B$5001,$A$277,BD!$O$3:$O$5001,"&lt;&gt;")=0,"",SUMIFS(BD!$O$3:$O$5001,BD!$A$3:$A$5001,P$3,BD!$B$3:$B$5001,$A$277)))</f>
        <v/>
      </c>
      <c r="Q289" s="254" t="str">
        <f>IF(Q$3="","",IF(COUNTIFS(BD!$A$3:$A$5001,Q$3,BD!$B$3:$B$5001,$A$277,BD!$O$3:$O$5001,"&lt;&gt;")=0,"",SUMIFS(BD!$O$3:$O$5001,BD!$A$3:$A$5001,Q$3,BD!$B$3:$B$5001,$A$277)))</f>
        <v/>
      </c>
      <c r="R289" s="254" t="str">
        <f>IF(R$3="","",IF(COUNTIFS(BD!$A$3:$A$5001,R$3,BD!$B$3:$B$5001,$A$277,BD!$O$3:$O$5001,"&lt;&gt;")=0,"",SUMIFS(BD!$O$3:$O$5001,BD!$A$3:$A$5001,R$3,BD!$B$3:$B$5001,$A$277)))</f>
        <v/>
      </c>
      <c r="S289" s="254" t="str">
        <f>IF(S$3="","",IF(COUNTIFS(BD!$A$3:$A$5001,S$3,BD!$B$3:$B$5001,$A$277,BD!$O$3:$O$5001,"&lt;&gt;")=0,"",SUMIFS(BD!$O$3:$O$5001,BD!$A$3:$A$5001,S$3,BD!$B$3:$B$5001,$A$277)))</f>
        <v/>
      </c>
      <c r="T289" s="254" t="str">
        <f>IF(T$3="","",IF(COUNTIFS(BD!$A$3:$A$5001,T$3,BD!$B$3:$B$5001,$A$277,BD!$O$3:$O$5001,"&lt;&gt;")=0,"",SUMIFS(BD!$O$3:$O$5001,BD!$A$3:$A$5001,T$3,BD!$B$3:$B$5001,$A$277)))</f>
        <v/>
      </c>
      <c r="U289" s="254" t="str">
        <f>IF(U$3="","",IF(COUNTIFS(BD!$A$3:$A$5001,U$3,BD!$B$3:$B$5001,$A$277,BD!$O$3:$O$5001,"&lt;&gt;")=0,"",SUMIFS(BD!$O$3:$O$5001,BD!$A$3:$A$5001,U$3,BD!$B$3:$B$5001,$A$277)))</f>
        <v/>
      </c>
      <c r="V289" s="254" t="str">
        <f>IF(V$3="","",IF(COUNTIFS(BD!$A$3:$A$5001,V$3,BD!$B$3:$B$5001,$A$277,BD!$O$3:$O$5001,"&lt;&gt;")=0,"",SUMIFS(BD!$O$3:$O$5001,BD!$A$3:$A$5001,V$3,BD!$B$3:$B$5001,$A$277)))</f>
        <v/>
      </c>
      <c r="W289" s="254" t="str">
        <f>IF(W$3="","",IF(COUNTIFS(BD!$A$3:$A$5001,W$3,BD!$B$3:$B$5001,$A$277,BD!$O$3:$O$5001,"&lt;&gt;")=0,"",SUMIFS(BD!$O$3:$O$5001,BD!$A$3:$A$5001,W$3,BD!$B$3:$B$5001,$A$277)))</f>
        <v/>
      </c>
      <c r="X289" s="254" t="str">
        <f>IF(X$3="","",IF(COUNTIFS(BD!$A$3:$A$5001,X$3,BD!$B$3:$B$5001,$A$277,BD!$O$3:$O$5001,"&lt;&gt;")=0,"",SUMIFS(BD!$O$3:$O$5001,BD!$A$3:$A$5001,X$3,BD!$B$3:$B$5001,$A$277)))</f>
        <v/>
      </c>
      <c r="Y289" s="254" t="str">
        <f>IF(Y$3="","",IF(COUNTIFS(BD!$A$3:$A$5001,Y$3,BD!$B$3:$B$5001,$A$277,BD!$O$3:$O$5001,"&lt;&gt;")=0,"",SUMIFS(BD!$O$3:$O$5001,BD!$A$3:$A$5001,Y$3,BD!$B$3:$B$5001,$A$277)))</f>
        <v/>
      </c>
      <c r="Z289" s="254" t="str">
        <f>IF(Z$3="","",IF(COUNTIFS(BD!$A$3:$A$5001,Z$3,BD!$B$3:$B$5001,$A$277,BD!$O$3:$O$5001,"&lt;&gt;")=0,"",SUMIFS(BD!$O$3:$O$5001,BD!$A$3:$A$5001,Z$3,BD!$B$3:$B$5001,$A$277)))</f>
        <v/>
      </c>
      <c r="AA289" s="254" t="str">
        <f>IF(AA$3="","",IF(COUNTIFS(BD!$A$3:$A$5001,AA$3,BD!$B$3:$B$5001,$A$277,BD!$O$3:$O$5001,"&lt;&gt;")=0,"",SUMIFS(BD!$O$3:$O$5001,BD!$A$3:$A$5001,AA$3,BD!$B$3:$B$5001,$A$277)))</f>
        <v/>
      </c>
      <c r="AB289" s="254" t="str">
        <f>IF(AB$3="","",IF(COUNTIFS(BD!$A$3:$A$5001,AB$3,BD!$B$3:$B$5001,$A$277,BD!$O$3:$O$5001,"&lt;&gt;")=0,"",SUMIFS(BD!$O$3:$O$5001,BD!$A$3:$A$5001,AB$3,BD!$B$3:$B$5001,$A$277)))</f>
        <v/>
      </c>
      <c r="AC289" s="254" t="str">
        <f>IF(AC$3="","",IF(COUNTIFS(BD!$A$3:$A$5001,AC$3,BD!$B$3:$B$5001,$A$277,BD!$O$3:$O$5001,"&lt;&gt;")=0,"",SUMIFS(BD!$O$3:$O$5001,BD!$A$3:$A$5001,AC$3,BD!$B$3:$B$5001,$A$277)))</f>
        <v/>
      </c>
      <c r="AD289" s="254" t="str">
        <f>IF(AD$3="","",IF(COUNTIFS(BD!$A$3:$A$5001,AD$3,BD!$B$3:$B$5001,$A$277,BD!$O$3:$O$5001,"&lt;&gt;")=0,"",SUMIFS(BD!$O$3:$O$5001,BD!$A$3:$A$5001,AD$3,BD!$B$3:$B$5001,$A$277)))</f>
        <v/>
      </c>
      <c r="AE289" s="254" t="str">
        <f>IF(AE$3="","",IF(COUNTIFS(BD!$A$3:$A$5001,AE$3,BD!$B$3:$B$5001,$A$277,BD!$O$3:$O$5001,"&lt;&gt;")=0,"",SUMIFS(BD!$O$3:$O$5001,BD!$A$3:$A$5001,AE$3,BD!$B$3:$B$5001,$A$277)))</f>
        <v/>
      </c>
      <c r="AF289" s="254" t="str">
        <f>IF(AF$3="","",IF(COUNTIFS(BD!$A$3:$A$5001,AF$3,BD!$B$3:$B$5001,$A$277,BD!$O$3:$O$5001,"&lt;&gt;")=0,"",SUMIFS(BD!$O$3:$O$5001,BD!$A$3:$A$5001,AF$3,BD!$B$3:$B$5001,$A$277)))</f>
        <v/>
      </c>
      <c r="AG289" s="254" t="str">
        <f>IF(AG$3="","",IF(COUNTIFS(BD!$A$3:$A$5001,AG$3,BD!$B$3:$B$5001,$A$277,BD!$O$3:$O$5001,"&lt;&gt;")=0,"",SUMIFS(BD!$O$3:$O$5001,BD!$A$3:$A$5001,AG$3,BD!$B$3:$B$5001,$A$277)))</f>
        <v/>
      </c>
      <c r="AH289" s="254" t="str">
        <f>IF(AH$3="","",IF(COUNTIFS(BD!$A$3:$A$5001,AH$3,BD!$B$3:$B$5001,$A$277,BD!$O$3:$O$5001,"&lt;&gt;")=0,"",SUMIFS(BD!$O$3:$O$5001,BD!$A$3:$A$5001,AH$3,BD!$B$3:$B$5001,$A$277)))</f>
        <v/>
      </c>
      <c r="AI289" s="254" t="str">
        <f>IF(AI$3="","",IF(COUNTIFS(BD!$A$3:$A$5001,AI$3,BD!$B$3:$B$5001,$A$277,BD!$O$3:$O$5001,"&lt;&gt;")=0,"",SUMIFS(BD!$O$3:$O$5001,BD!$A$3:$A$5001,AI$3,BD!$B$3:$B$5001,$A$277)))</f>
        <v/>
      </c>
      <c r="AJ289" s="255" t="str">
        <f>IF(AJ$3="","",IF(COUNTIFS(BD!$A$3:$A$5001,AJ$3,BD!$B$3:$B$5001,$A$277,BD!$O$3:$O$5001,"&lt;&gt;")=0,"",SUMIFS(BD!$O$3:$O$5001,BD!$A$3:$A$5001,AJ$3,BD!$B$3:$B$5001,$A$277)))</f>
        <v/>
      </c>
      <c r="AK289" s="256" t="str">
        <f>IF(COUNT(F289:AJ289)=0,"",SUM(F289:AJ289))</f>
        <v/>
      </c>
    </row>
    <row r="290" ht="15.75" customHeight="1" hidden="1">
      <c r="A290" s="244"/>
      <c r="B290" s="261"/>
      <c r="C290" s="250" t="inlineStr">
        <is>
          <t xml:space="preserve">Linhas NF</t>
        </is>
      </c>
      <c r="D290" s="251" t="str">
        <f>IFERROR(1/(1/INDEX(BD!$AJ$36:$BD$36,MATCH($A$277,BD!$AJ$22:$BD$22,0))),"")</f>
        <v/>
      </c>
      <c r="E290" s="252"/>
      <c r="F290" s="253" t="str">
        <f>IF(F$3="","",IF(COUNTIFS(BD!$A$3:$A$5001,F$3,BD!$B$3:$B$5001,$A$277,BD!$P$3:$P$5001,"&lt;&gt;")=0,"",SUMIFS(BD!$P$3:$P$5001,BD!$A$3:$A$5001,F$3,BD!$B$3:$B$5001,$A$277)))</f>
        <v/>
      </c>
      <c r="G290" s="254" t="str">
        <f>IF(G$3="","",IF(COUNTIFS(BD!$A$3:$A$5001,G$3,BD!$B$3:$B$5001,$A$277,BD!$P$3:$P$5001,"&lt;&gt;")=0,"",SUMIFS(BD!$P$3:$P$5001,BD!$A$3:$A$5001,G$3,BD!$B$3:$B$5001,$A$277)))</f>
        <v/>
      </c>
      <c r="H290" s="254" t="str">
        <f>IF(H$3="","",IF(COUNTIFS(BD!$A$3:$A$5001,H$3,BD!$B$3:$B$5001,$A$277,BD!$P$3:$P$5001,"&lt;&gt;")=0,"",SUMIFS(BD!$P$3:$P$5001,BD!$A$3:$A$5001,H$3,BD!$B$3:$B$5001,$A$277)))</f>
        <v/>
      </c>
      <c r="I290" s="254" t="str">
        <f>IF(I$3="","",IF(COUNTIFS(BD!$A$3:$A$5001,I$3,BD!$B$3:$B$5001,$A$277,BD!$P$3:$P$5001,"&lt;&gt;")=0,"",SUMIFS(BD!$P$3:$P$5001,BD!$A$3:$A$5001,I$3,BD!$B$3:$B$5001,$A$277)))</f>
        <v/>
      </c>
      <c r="J290" s="254" t="str">
        <f>IF(J$3="","",IF(COUNTIFS(BD!$A$3:$A$5001,J$3,BD!$B$3:$B$5001,$A$277,BD!$P$3:$P$5001,"&lt;&gt;")=0,"",SUMIFS(BD!$P$3:$P$5001,BD!$A$3:$A$5001,J$3,BD!$B$3:$B$5001,$A$277)))</f>
        <v/>
      </c>
      <c r="K290" s="254" t="str">
        <f>IF(K$3="","",IF(COUNTIFS(BD!$A$3:$A$5001,K$3,BD!$B$3:$B$5001,$A$277,BD!$P$3:$P$5001,"&lt;&gt;")=0,"",SUMIFS(BD!$P$3:$P$5001,BD!$A$3:$A$5001,K$3,BD!$B$3:$B$5001,$A$277)))</f>
        <v/>
      </c>
      <c r="L290" s="254" t="str">
        <f>IF(L$3="","",IF(COUNTIFS(BD!$A$3:$A$5001,L$3,BD!$B$3:$B$5001,$A$277,BD!$P$3:$P$5001,"&lt;&gt;")=0,"",SUMIFS(BD!$P$3:$P$5001,BD!$A$3:$A$5001,L$3,BD!$B$3:$B$5001,$A$277)))</f>
        <v/>
      </c>
      <c r="M290" s="254" t="str">
        <f>IF(M$3="","",IF(COUNTIFS(BD!$A$3:$A$5001,M$3,BD!$B$3:$B$5001,$A$277,BD!$P$3:$P$5001,"&lt;&gt;")=0,"",SUMIFS(BD!$P$3:$P$5001,BD!$A$3:$A$5001,M$3,BD!$B$3:$B$5001,$A$277)))</f>
        <v/>
      </c>
      <c r="N290" s="254" t="str">
        <f>IF(N$3="","",IF(COUNTIFS(BD!$A$3:$A$5001,N$3,BD!$B$3:$B$5001,$A$277,BD!$P$3:$P$5001,"&lt;&gt;")=0,"",SUMIFS(BD!$P$3:$P$5001,BD!$A$3:$A$5001,N$3,BD!$B$3:$B$5001,$A$277)))</f>
        <v/>
      </c>
      <c r="O290" s="254" t="str">
        <f>IF(O$3="","",IF(COUNTIFS(BD!$A$3:$A$5001,O$3,BD!$B$3:$B$5001,$A$277,BD!$P$3:$P$5001,"&lt;&gt;")=0,"",SUMIFS(BD!$P$3:$P$5001,BD!$A$3:$A$5001,O$3,BD!$B$3:$B$5001,$A$277)))</f>
        <v/>
      </c>
      <c r="P290" s="254" t="str">
        <f>IF(P$3="","",IF(COUNTIFS(BD!$A$3:$A$5001,P$3,BD!$B$3:$B$5001,$A$277,BD!$P$3:$P$5001,"&lt;&gt;")=0,"",SUMIFS(BD!$P$3:$P$5001,BD!$A$3:$A$5001,P$3,BD!$B$3:$B$5001,$A$277)))</f>
        <v/>
      </c>
      <c r="Q290" s="254" t="str">
        <f>IF(Q$3="","",IF(COUNTIFS(BD!$A$3:$A$5001,Q$3,BD!$B$3:$B$5001,$A$277,BD!$P$3:$P$5001,"&lt;&gt;")=0,"",SUMIFS(BD!$P$3:$P$5001,BD!$A$3:$A$5001,Q$3,BD!$B$3:$B$5001,$A$277)))</f>
        <v/>
      </c>
      <c r="R290" s="254" t="str">
        <f>IF(R$3="","",IF(COUNTIFS(BD!$A$3:$A$5001,R$3,BD!$B$3:$B$5001,$A$277,BD!$P$3:$P$5001,"&lt;&gt;")=0,"",SUMIFS(BD!$P$3:$P$5001,BD!$A$3:$A$5001,R$3,BD!$B$3:$B$5001,$A$277)))</f>
        <v/>
      </c>
      <c r="S290" s="254" t="str">
        <f>IF(S$3="","",IF(COUNTIFS(BD!$A$3:$A$5001,S$3,BD!$B$3:$B$5001,$A$277,BD!$P$3:$P$5001,"&lt;&gt;")=0,"",SUMIFS(BD!$P$3:$P$5001,BD!$A$3:$A$5001,S$3,BD!$B$3:$B$5001,$A$277)))</f>
        <v/>
      </c>
      <c r="T290" s="254" t="str">
        <f>IF(T$3="","",IF(COUNTIFS(BD!$A$3:$A$5001,T$3,BD!$B$3:$B$5001,$A$277,BD!$P$3:$P$5001,"&lt;&gt;")=0,"",SUMIFS(BD!$P$3:$P$5001,BD!$A$3:$A$5001,T$3,BD!$B$3:$B$5001,$A$277)))</f>
        <v/>
      </c>
      <c r="U290" s="254" t="str">
        <f>IF(U$3="","",IF(COUNTIFS(BD!$A$3:$A$5001,U$3,BD!$B$3:$B$5001,$A$277,BD!$P$3:$P$5001,"&lt;&gt;")=0,"",SUMIFS(BD!$P$3:$P$5001,BD!$A$3:$A$5001,U$3,BD!$B$3:$B$5001,$A$277)))</f>
        <v/>
      </c>
      <c r="V290" s="254" t="str">
        <f>IF(V$3="","",IF(COUNTIFS(BD!$A$3:$A$5001,V$3,BD!$B$3:$B$5001,$A$277,BD!$P$3:$P$5001,"&lt;&gt;")=0,"",SUMIFS(BD!$P$3:$P$5001,BD!$A$3:$A$5001,V$3,BD!$B$3:$B$5001,$A$277)))</f>
        <v/>
      </c>
      <c r="W290" s="254" t="str">
        <f>IF(W$3="","",IF(COUNTIFS(BD!$A$3:$A$5001,W$3,BD!$B$3:$B$5001,$A$277,BD!$P$3:$P$5001,"&lt;&gt;")=0,"",SUMIFS(BD!$P$3:$P$5001,BD!$A$3:$A$5001,W$3,BD!$B$3:$B$5001,$A$277)))</f>
        <v/>
      </c>
      <c r="X290" s="254" t="str">
        <f>IF(X$3="","",IF(COUNTIFS(BD!$A$3:$A$5001,X$3,BD!$B$3:$B$5001,$A$277,BD!$P$3:$P$5001,"&lt;&gt;")=0,"",SUMIFS(BD!$P$3:$P$5001,BD!$A$3:$A$5001,X$3,BD!$B$3:$B$5001,$A$277)))</f>
        <v/>
      </c>
      <c r="Y290" s="254" t="str">
        <f>IF(Y$3="","",IF(COUNTIFS(BD!$A$3:$A$5001,Y$3,BD!$B$3:$B$5001,$A$277,BD!$P$3:$P$5001,"&lt;&gt;")=0,"",SUMIFS(BD!$P$3:$P$5001,BD!$A$3:$A$5001,Y$3,BD!$B$3:$B$5001,$A$277)))</f>
        <v/>
      </c>
      <c r="Z290" s="254" t="str">
        <f>IF(Z$3="","",IF(COUNTIFS(BD!$A$3:$A$5001,Z$3,BD!$B$3:$B$5001,$A$277,BD!$P$3:$P$5001,"&lt;&gt;")=0,"",SUMIFS(BD!$P$3:$P$5001,BD!$A$3:$A$5001,Z$3,BD!$B$3:$B$5001,$A$277)))</f>
        <v/>
      </c>
      <c r="AA290" s="254" t="str">
        <f>IF(AA$3="","",IF(COUNTIFS(BD!$A$3:$A$5001,AA$3,BD!$B$3:$B$5001,$A$277,BD!$P$3:$P$5001,"&lt;&gt;")=0,"",SUMIFS(BD!$P$3:$P$5001,BD!$A$3:$A$5001,AA$3,BD!$B$3:$B$5001,$A$277)))</f>
        <v/>
      </c>
      <c r="AB290" s="254" t="str">
        <f>IF(AB$3="","",IF(COUNTIFS(BD!$A$3:$A$5001,AB$3,BD!$B$3:$B$5001,$A$277,BD!$P$3:$P$5001,"&lt;&gt;")=0,"",SUMIFS(BD!$P$3:$P$5001,BD!$A$3:$A$5001,AB$3,BD!$B$3:$B$5001,$A$277)))</f>
        <v/>
      </c>
      <c r="AC290" s="254" t="str">
        <f>IF(AC$3="","",IF(COUNTIFS(BD!$A$3:$A$5001,AC$3,BD!$B$3:$B$5001,$A$277,BD!$P$3:$P$5001,"&lt;&gt;")=0,"",SUMIFS(BD!$P$3:$P$5001,BD!$A$3:$A$5001,AC$3,BD!$B$3:$B$5001,$A$277)))</f>
        <v/>
      </c>
      <c r="AD290" s="254" t="str">
        <f>IF(AD$3="","",IF(COUNTIFS(BD!$A$3:$A$5001,AD$3,BD!$B$3:$B$5001,$A$277,BD!$P$3:$P$5001,"&lt;&gt;")=0,"",SUMIFS(BD!$P$3:$P$5001,BD!$A$3:$A$5001,AD$3,BD!$B$3:$B$5001,$A$277)))</f>
        <v/>
      </c>
      <c r="AE290" s="254" t="str">
        <f>IF(AE$3="","",IF(COUNTIFS(BD!$A$3:$A$5001,AE$3,BD!$B$3:$B$5001,$A$277,BD!$P$3:$P$5001,"&lt;&gt;")=0,"",SUMIFS(BD!$P$3:$P$5001,BD!$A$3:$A$5001,AE$3,BD!$B$3:$B$5001,$A$277)))</f>
        <v/>
      </c>
      <c r="AF290" s="254" t="str">
        <f>IF(AF$3="","",IF(COUNTIFS(BD!$A$3:$A$5001,AF$3,BD!$B$3:$B$5001,$A$277,BD!$P$3:$P$5001,"&lt;&gt;")=0,"",SUMIFS(BD!$P$3:$P$5001,BD!$A$3:$A$5001,AF$3,BD!$B$3:$B$5001,$A$277)))</f>
        <v/>
      </c>
      <c r="AG290" s="254" t="str">
        <f>IF(AG$3="","",IF(COUNTIFS(BD!$A$3:$A$5001,AG$3,BD!$B$3:$B$5001,$A$277,BD!$P$3:$P$5001,"&lt;&gt;")=0,"",SUMIFS(BD!$P$3:$P$5001,BD!$A$3:$A$5001,AG$3,BD!$B$3:$B$5001,$A$277)))</f>
        <v/>
      </c>
      <c r="AH290" s="254" t="str">
        <f>IF(AH$3="","",IF(COUNTIFS(BD!$A$3:$A$5001,AH$3,BD!$B$3:$B$5001,$A$277,BD!$P$3:$P$5001,"&lt;&gt;")=0,"",SUMIFS(BD!$P$3:$P$5001,BD!$A$3:$A$5001,AH$3,BD!$B$3:$B$5001,$A$277)))</f>
        <v/>
      </c>
      <c r="AI290" s="254" t="str">
        <f>IF(AI$3="","",IF(COUNTIFS(BD!$A$3:$A$5001,AI$3,BD!$B$3:$B$5001,$A$277,BD!$P$3:$P$5001,"&lt;&gt;")=0,"",SUMIFS(BD!$P$3:$P$5001,BD!$A$3:$A$5001,AI$3,BD!$B$3:$B$5001,$A$277)))</f>
        <v/>
      </c>
      <c r="AJ290" s="255" t="str">
        <f>IF(AJ$3="","",IF(COUNTIFS(BD!$A$3:$A$5001,AJ$3,BD!$B$3:$B$5001,$A$277,BD!$P$3:$P$5001,"&lt;&gt;")=0,"",SUMIFS(BD!$P$3:$P$5001,BD!$A$3:$A$5001,AJ$3,BD!$B$3:$B$5001,$A$277)))</f>
        <v/>
      </c>
      <c r="AK290" s="256" t="str">
        <f>IF(COUNT(F290:AJ290)=0,"",SUM(F290:AJ290))</f>
        <v/>
      </c>
    </row>
    <row r="291" ht="15.75" customHeight="1" hidden="1">
      <c r="A291" s="244"/>
      <c r="B291" s="261"/>
      <c r="C291" s="250" t="inlineStr">
        <is>
          <t xml:space="preserve">Caixas Expedidas</t>
        </is>
      </c>
      <c r="D291" s="251" t="str">
        <f>IFERROR(1/(1/INDEX(BD!$AJ$37:$BD$37,MATCH($A$277,BD!$AJ$22:$BD$22,0))),"")</f>
        <v/>
      </c>
      <c r="E291" s="252"/>
      <c r="F291" s="253" t="str">
        <f>IF(F$3="","",IF(COUNTIFS(BD!$A$3:$A$5001,F$3,BD!$B$3:$B$5001,$A$277,BD!$Q$3:$Q$5001,"&lt;&gt;")=0,"",SUMIFS(BD!$Q$3:$Q$5001,BD!$A$3:$A$5001,F$3,BD!$B$3:$B$5001,$A$277)))</f>
        <v/>
      </c>
      <c r="G291" s="254" t="str">
        <f>IF(G$3="","",IF(COUNTIFS(BD!$A$3:$A$5001,G$3,BD!$B$3:$B$5001,$A$277,BD!$Q$3:$Q$5001,"&lt;&gt;")=0,"",SUMIFS(BD!$Q$3:$Q$5001,BD!$A$3:$A$5001,G$3,BD!$B$3:$B$5001,$A$277)))</f>
        <v/>
      </c>
      <c r="H291" s="254" t="str">
        <f>IF(H$3="","",IF(COUNTIFS(BD!$A$3:$A$5001,H$3,BD!$B$3:$B$5001,$A$277,BD!$Q$3:$Q$5001,"&lt;&gt;")=0,"",SUMIFS(BD!$Q$3:$Q$5001,BD!$A$3:$A$5001,H$3,BD!$B$3:$B$5001,$A$277)))</f>
        <v/>
      </c>
      <c r="I291" s="254" t="str">
        <f>IF(I$3="","",IF(COUNTIFS(BD!$A$3:$A$5001,I$3,BD!$B$3:$B$5001,$A$277,BD!$Q$3:$Q$5001,"&lt;&gt;")=0,"",SUMIFS(BD!$Q$3:$Q$5001,BD!$A$3:$A$5001,I$3,BD!$B$3:$B$5001,$A$277)))</f>
        <v/>
      </c>
      <c r="J291" s="254" t="str">
        <f>IF(J$3="","",IF(COUNTIFS(BD!$A$3:$A$5001,J$3,BD!$B$3:$B$5001,$A$277,BD!$Q$3:$Q$5001,"&lt;&gt;")=0,"",SUMIFS(BD!$Q$3:$Q$5001,BD!$A$3:$A$5001,J$3,BD!$B$3:$B$5001,$A$277)))</f>
        <v/>
      </c>
      <c r="K291" s="254" t="str">
        <f>IF(K$3="","",IF(COUNTIFS(BD!$A$3:$A$5001,K$3,BD!$B$3:$B$5001,$A$277,BD!$Q$3:$Q$5001,"&lt;&gt;")=0,"",SUMIFS(BD!$Q$3:$Q$5001,BD!$A$3:$A$5001,K$3,BD!$B$3:$B$5001,$A$277)))</f>
        <v/>
      </c>
      <c r="L291" s="254" t="str">
        <f>IF(L$3="","",IF(COUNTIFS(BD!$A$3:$A$5001,L$3,BD!$B$3:$B$5001,$A$277,BD!$Q$3:$Q$5001,"&lt;&gt;")=0,"",SUMIFS(BD!$Q$3:$Q$5001,BD!$A$3:$A$5001,L$3,BD!$B$3:$B$5001,$A$277)))</f>
        <v/>
      </c>
      <c r="M291" s="254" t="str">
        <f>IF(M$3="","",IF(COUNTIFS(BD!$A$3:$A$5001,M$3,BD!$B$3:$B$5001,$A$277,BD!$Q$3:$Q$5001,"&lt;&gt;")=0,"",SUMIFS(BD!$Q$3:$Q$5001,BD!$A$3:$A$5001,M$3,BD!$B$3:$B$5001,$A$277)))</f>
        <v/>
      </c>
      <c r="N291" s="254" t="str">
        <f>IF(N$3="","",IF(COUNTIFS(BD!$A$3:$A$5001,N$3,BD!$B$3:$B$5001,$A$277,BD!$Q$3:$Q$5001,"&lt;&gt;")=0,"",SUMIFS(BD!$Q$3:$Q$5001,BD!$A$3:$A$5001,N$3,BD!$B$3:$B$5001,$A$277)))</f>
        <v/>
      </c>
      <c r="O291" s="254" t="str">
        <f>IF(O$3="","",IF(COUNTIFS(BD!$A$3:$A$5001,O$3,BD!$B$3:$B$5001,$A$277,BD!$Q$3:$Q$5001,"&lt;&gt;")=0,"",SUMIFS(BD!$Q$3:$Q$5001,BD!$A$3:$A$5001,O$3,BD!$B$3:$B$5001,$A$277)))</f>
        <v/>
      </c>
      <c r="P291" s="254" t="str">
        <f>IF(P$3="","",IF(COUNTIFS(BD!$A$3:$A$5001,P$3,BD!$B$3:$B$5001,$A$277,BD!$Q$3:$Q$5001,"&lt;&gt;")=0,"",SUMIFS(BD!$Q$3:$Q$5001,BD!$A$3:$A$5001,P$3,BD!$B$3:$B$5001,$A$277)))</f>
        <v/>
      </c>
      <c r="Q291" s="254" t="str">
        <f>IF(Q$3="","",IF(COUNTIFS(BD!$A$3:$A$5001,Q$3,BD!$B$3:$B$5001,$A$277,BD!$Q$3:$Q$5001,"&lt;&gt;")=0,"",SUMIFS(BD!$Q$3:$Q$5001,BD!$A$3:$A$5001,Q$3,BD!$B$3:$B$5001,$A$277)))</f>
        <v/>
      </c>
      <c r="R291" s="254" t="str">
        <f>IF(R$3="","",IF(COUNTIFS(BD!$A$3:$A$5001,R$3,BD!$B$3:$B$5001,$A$277,BD!$Q$3:$Q$5001,"&lt;&gt;")=0,"",SUMIFS(BD!$Q$3:$Q$5001,BD!$A$3:$A$5001,R$3,BD!$B$3:$B$5001,$A$277)))</f>
        <v/>
      </c>
      <c r="S291" s="254" t="str">
        <f>IF(S$3="","",IF(COUNTIFS(BD!$A$3:$A$5001,S$3,BD!$B$3:$B$5001,$A$277,BD!$Q$3:$Q$5001,"&lt;&gt;")=0,"",SUMIFS(BD!$Q$3:$Q$5001,BD!$A$3:$A$5001,S$3,BD!$B$3:$B$5001,$A$277)))</f>
        <v/>
      </c>
      <c r="T291" s="254" t="str">
        <f>IF(T$3="","",IF(COUNTIFS(BD!$A$3:$A$5001,T$3,BD!$B$3:$B$5001,$A$277,BD!$Q$3:$Q$5001,"&lt;&gt;")=0,"",SUMIFS(BD!$Q$3:$Q$5001,BD!$A$3:$A$5001,T$3,BD!$B$3:$B$5001,$A$277)))</f>
        <v/>
      </c>
      <c r="U291" s="254" t="str">
        <f>IF(U$3="","",IF(COUNTIFS(BD!$A$3:$A$5001,U$3,BD!$B$3:$B$5001,$A$277,BD!$Q$3:$Q$5001,"&lt;&gt;")=0,"",SUMIFS(BD!$Q$3:$Q$5001,BD!$A$3:$A$5001,U$3,BD!$B$3:$B$5001,$A$277)))</f>
        <v/>
      </c>
      <c r="V291" s="254" t="str">
        <f>IF(V$3="","",IF(COUNTIFS(BD!$A$3:$A$5001,V$3,BD!$B$3:$B$5001,$A$277,BD!$Q$3:$Q$5001,"&lt;&gt;")=0,"",SUMIFS(BD!$Q$3:$Q$5001,BD!$A$3:$A$5001,V$3,BD!$B$3:$B$5001,$A$277)))</f>
        <v/>
      </c>
      <c r="W291" s="254" t="str">
        <f>IF(W$3="","",IF(COUNTIFS(BD!$A$3:$A$5001,W$3,BD!$B$3:$B$5001,$A$277,BD!$Q$3:$Q$5001,"&lt;&gt;")=0,"",SUMIFS(BD!$Q$3:$Q$5001,BD!$A$3:$A$5001,W$3,BD!$B$3:$B$5001,$A$277)))</f>
        <v/>
      </c>
      <c r="X291" s="254" t="str">
        <f>IF(X$3="","",IF(COUNTIFS(BD!$A$3:$A$5001,X$3,BD!$B$3:$B$5001,$A$277,BD!$Q$3:$Q$5001,"&lt;&gt;")=0,"",SUMIFS(BD!$Q$3:$Q$5001,BD!$A$3:$A$5001,X$3,BD!$B$3:$B$5001,$A$277)))</f>
        <v/>
      </c>
      <c r="Y291" s="254" t="str">
        <f>IF(Y$3="","",IF(COUNTIFS(BD!$A$3:$A$5001,Y$3,BD!$B$3:$B$5001,$A$277,BD!$Q$3:$Q$5001,"&lt;&gt;")=0,"",SUMIFS(BD!$Q$3:$Q$5001,BD!$A$3:$A$5001,Y$3,BD!$B$3:$B$5001,$A$277)))</f>
        <v/>
      </c>
      <c r="Z291" s="254" t="str">
        <f>IF(Z$3="","",IF(COUNTIFS(BD!$A$3:$A$5001,Z$3,BD!$B$3:$B$5001,$A$277,BD!$Q$3:$Q$5001,"&lt;&gt;")=0,"",SUMIFS(BD!$Q$3:$Q$5001,BD!$A$3:$A$5001,Z$3,BD!$B$3:$B$5001,$A$277)))</f>
        <v/>
      </c>
      <c r="AA291" s="254" t="str">
        <f>IF(AA$3="","",IF(COUNTIFS(BD!$A$3:$A$5001,AA$3,BD!$B$3:$B$5001,$A$277,BD!$Q$3:$Q$5001,"&lt;&gt;")=0,"",SUMIFS(BD!$Q$3:$Q$5001,BD!$A$3:$A$5001,AA$3,BD!$B$3:$B$5001,$A$277)))</f>
        <v/>
      </c>
      <c r="AB291" s="254" t="str">
        <f>IF(AB$3="","",IF(COUNTIFS(BD!$A$3:$A$5001,AB$3,BD!$B$3:$B$5001,$A$277,BD!$Q$3:$Q$5001,"&lt;&gt;")=0,"",SUMIFS(BD!$Q$3:$Q$5001,BD!$A$3:$A$5001,AB$3,BD!$B$3:$B$5001,$A$277)))</f>
        <v/>
      </c>
      <c r="AC291" s="254" t="str">
        <f>IF(AC$3="","",IF(COUNTIFS(BD!$A$3:$A$5001,AC$3,BD!$B$3:$B$5001,$A$277,BD!$Q$3:$Q$5001,"&lt;&gt;")=0,"",SUMIFS(BD!$Q$3:$Q$5001,BD!$A$3:$A$5001,AC$3,BD!$B$3:$B$5001,$A$277)))</f>
        <v/>
      </c>
      <c r="AD291" s="254" t="str">
        <f>IF(AD$3="","",IF(COUNTIFS(BD!$A$3:$A$5001,AD$3,BD!$B$3:$B$5001,$A$277,BD!$Q$3:$Q$5001,"&lt;&gt;")=0,"",SUMIFS(BD!$Q$3:$Q$5001,BD!$A$3:$A$5001,AD$3,BD!$B$3:$B$5001,$A$277)))</f>
        <v/>
      </c>
      <c r="AE291" s="254" t="str">
        <f>IF(AE$3="","",IF(COUNTIFS(BD!$A$3:$A$5001,AE$3,BD!$B$3:$B$5001,$A$277,BD!$Q$3:$Q$5001,"&lt;&gt;")=0,"",SUMIFS(BD!$Q$3:$Q$5001,BD!$A$3:$A$5001,AE$3,BD!$B$3:$B$5001,$A$277)))</f>
        <v/>
      </c>
      <c r="AF291" s="254" t="str">
        <f>IF(AF$3="","",IF(COUNTIFS(BD!$A$3:$A$5001,AF$3,BD!$B$3:$B$5001,$A$277,BD!$Q$3:$Q$5001,"&lt;&gt;")=0,"",SUMIFS(BD!$Q$3:$Q$5001,BD!$A$3:$A$5001,AF$3,BD!$B$3:$B$5001,$A$277)))</f>
        <v/>
      </c>
      <c r="AG291" s="254" t="str">
        <f>IF(AG$3="","",IF(COUNTIFS(BD!$A$3:$A$5001,AG$3,BD!$B$3:$B$5001,$A$277,BD!$Q$3:$Q$5001,"&lt;&gt;")=0,"",SUMIFS(BD!$Q$3:$Q$5001,BD!$A$3:$A$5001,AG$3,BD!$B$3:$B$5001,$A$277)))</f>
        <v/>
      </c>
      <c r="AH291" s="254" t="str">
        <f>IF(AH$3="","",IF(COUNTIFS(BD!$A$3:$A$5001,AH$3,BD!$B$3:$B$5001,$A$277,BD!$Q$3:$Q$5001,"&lt;&gt;")=0,"",SUMIFS(BD!$Q$3:$Q$5001,BD!$A$3:$A$5001,AH$3,BD!$B$3:$B$5001,$A$277)))</f>
        <v/>
      </c>
      <c r="AI291" s="254" t="str">
        <f>IF(AI$3="","",IF(COUNTIFS(BD!$A$3:$A$5001,AI$3,BD!$B$3:$B$5001,$A$277,BD!$Q$3:$Q$5001,"&lt;&gt;")=0,"",SUMIFS(BD!$Q$3:$Q$5001,BD!$A$3:$A$5001,AI$3,BD!$B$3:$B$5001,$A$277)))</f>
        <v/>
      </c>
      <c r="AJ291" s="255" t="str">
        <f>IF(AJ$3="","",IF(COUNTIFS(BD!$A$3:$A$5001,AJ$3,BD!$B$3:$B$5001,$A$277,BD!$Q$3:$Q$5001,"&lt;&gt;")=0,"",SUMIFS(BD!$Q$3:$Q$5001,BD!$A$3:$A$5001,AJ$3,BD!$B$3:$B$5001,$A$277)))</f>
        <v/>
      </c>
      <c r="AK291" s="256" t="str">
        <f>IF(COUNT(F291:AJ291)=0,"",SUM(F291:AJ291))</f>
        <v/>
      </c>
    </row>
    <row r="292" ht="15.75" customHeight="1" hidden="1">
      <c r="A292" s="244"/>
      <c r="B292" s="261"/>
      <c r="C292" s="250" t="inlineStr">
        <is>
          <t xml:space="preserve">Pallets Movimentados</t>
        </is>
      </c>
      <c r="D292" s="251" t="str">
        <f>IFERROR(1/(1/INDEX(BD!$AJ$38:$BD$38,MATCH($A$277,BD!$AJ$22:$BD$22,0))),"")</f>
        <v/>
      </c>
      <c r="E292" s="252"/>
      <c r="F292" s="253" t="str">
        <f>IF(F$3="","",IF(COUNTIFS(BD!$A$3:$A$5001,F$3,BD!$B$3:$B$5001,$A$277,BD!$R$3:$R$5001,"&lt;&gt;")=0,"",SUMIFS(BD!$R$3:$R$5001,BD!$A$3:$A$5001,F$3,BD!$B$3:$B$5001,$A$277)))</f>
        <v/>
      </c>
      <c r="G292" s="254" t="str">
        <f>IF(G$3="","",IF(COUNTIFS(BD!$A$3:$A$5001,G$3,BD!$B$3:$B$5001,$A$277,BD!$R$3:$R$5001,"&lt;&gt;")=0,"",SUMIFS(BD!$R$3:$R$5001,BD!$A$3:$A$5001,G$3,BD!$B$3:$B$5001,$A$277)))</f>
        <v/>
      </c>
      <c r="H292" s="254" t="str">
        <f>IF(H$3="","",IF(COUNTIFS(BD!$A$3:$A$5001,H$3,BD!$B$3:$B$5001,$A$277,BD!$R$3:$R$5001,"&lt;&gt;")=0,"",SUMIFS(BD!$R$3:$R$5001,BD!$A$3:$A$5001,H$3,BD!$B$3:$B$5001,$A$277)))</f>
        <v/>
      </c>
      <c r="I292" s="254" t="str">
        <f>IF(I$3="","",IF(COUNTIFS(BD!$A$3:$A$5001,I$3,BD!$B$3:$B$5001,$A$277,BD!$R$3:$R$5001,"&lt;&gt;")=0,"",SUMIFS(BD!$R$3:$R$5001,BD!$A$3:$A$5001,I$3,BD!$B$3:$B$5001,$A$277)))</f>
        <v/>
      </c>
      <c r="J292" s="254" t="str">
        <f>IF(J$3="","",IF(COUNTIFS(BD!$A$3:$A$5001,J$3,BD!$B$3:$B$5001,$A$277,BD!$R$3:$R$5001,"&lt;&gt;")=0,"",SUMIFS(BD!$R$3:$R$5001,BD!$A$3:$A$5001,J$3,BD!$B$3:$B$5001,$A$277)))</f>
        <v/>
      </c>
      <c r="K292" s="254" t="str">
        <f>IF(K$3="","",IF(COUNTIFS(BD!$A$3:$A$5001,K$3,BD!$B$3:$B$5001,$A$277,BD!$R$3:$R$5001,"&lt;&gt;")=0,"",SUMIFS(BD!$R$3:$R$5001,BD!$A$3:$A$5001,K$3,BD!$B$3:$B$5001,$A$277)))</f>
        <v/>
      </c>
      <c r="L292" s="254" t="str">
        <f>IF(L$3="","",IF(COUNTIFS(BD!$A$3:$A$5001,L$3,BD!$B$3:$B$5001,$A$277,BD!$R$3:$R$5001,"&lt;&gt;")=0,"",SUMIFS(BD!$R$3:$R$5001,BD!$A$3:$A$5001,L$3,BD!$B$3:$B$5001,$A$277)))</f>
        <v/>
      </c>
      <c r="M292" s="254" t="str">
        <f>IF(M$3="","",IF(COUNTIFS(BD!$A$3:$A$5001,M$3,BD!$B$3:$B$5001,$A$277,BD!$R$3:$R$5001,"&lt;&gt;")=0,"",SUMIFS(BD!$R$3:$R$5001,BD!$A$3:$A$5001,M$3,BD!$B$3:$B$5001,$A$277)))</f>
        <v/>
      </c>
      <c r="N292" s="254" t="str">
        <f>IF(N$3="","",IF(COUNTIFS(BD!$A$3:$A$5001,N$3,BD!$B$3:$B$5001,$A$277,BD!$R$3:$R$5001,"&lt;&gt;")=0,"",SUMIFS(BD!$R$3:$R$5001,BD!$A$3:$A$5001,N$3,BD!$B$3:$B$5001,$A$277)))</f>
        <v/>
      </c>
      <c r="O292" s="254" t="str">
        <f>IF(O$3="","",IF(COUNTIFS(BD!$A$3:$A$5001,O$3,BD!$B$3:$B$5001,$A$277,BD!$R$3:$R$5001,"&lt;&gt;")=0,"",SUMIFS(BD!$R$3:$R$5001,BD!$A$3:$A$5001,O$3,BD!$B$3:$B$5001,$A$277)))</f>
        <v/>
      </c>
      <c r="P292" s="254" t="str">
        <f>IF(P$3="","",IF(COUNTIFS(BD!$A$3:$A$5001,P$3,BD!$B$3:$B$5001,$A$277,BD!$R$3:$R$5001,"&lt;&gt;")=0,"",SUMIFS(BD!$R$3:$R$5001,BD!$A$3:$A$5001,P$3,BD!$B$3:$B$5001,$A$277)))</f>
        <v/>
      </c>
      <c r="Q292" s="254" t="str">
        <f>IF(Q$3="","",IF(COUNTIFS(BD!$A$3:$A$5001,Q$3,BD!$B$3:$B$5001,$A$277,BD!$R$3:$R$5001,"&lt;&gt;")=0,"",SUMIFS(BD!$R$3:$R$5001,BD!$A$3:$A$5001,Q$3,BD!$B$3:$B$5001,$A$277)))</f>
        <v/>
      </c>
      <c r="R292" s="254" t="str">
        <f>IF(R$3="","",IF(COUNTIFS(BD!$A$3:$A$5001,R$3,BD!$B$3:$B$5001,$A$277,BD!$R$3:$R$5001,"&lt;&gt;")=0,"",SUMIFS(BD!$R$3:$R$5001,BD!$A$3:$A$5001,R$3,BD!$B$3:$B$5001,$A$277)))</f>
        <v/>
      </c>
      <c r="S292" s="254" t="str">
        <f>IF(S$3="","",IF(COUNTIFS(BD!$A$3:$A$5001,S$3,BD!$B$3:$B$5001,$A$277,BD!$R$3:$R$5001,"&lt;&gt;")=0,"",SUMIFS(BD!$R$3:$R$5001,BD!$A$3:$A$5001,S$3,BD!$B$3:$B$5001,$A$277)))</f>
        <v/>
      </c>
      <c r="T292" s="254" t="str">
        <f>IF(T$3="","",IF(COUNTIFS(BD!$A$3:$A$5001,T$3,BD!$B$3:$B$5001,$A$277,BD!$R$3:$R$5001,"&lt;&gt;")=0,"",SUMIFS(BD!$R$3:$R$5001,BD!$A$3:$A$5001,T$3,BD!$B$3:$B$5001,$A$277)))</f>
        <v/>
      </c>
      <c r="U292" s="254" t="str">
        <f>IF(U$3="","",IF(COUNTIFS(BD!$A$3:$A$5001,U$3,BD!$B$3:$B$5001,$A$277,BD!$R$3:$R$5001,"&lt;&gt;")=0,"",SUMIFS(BD!$R$3:$R$5001,BD!$A$3:$A$5001,U$3,BD!$B$3:$B$5001,$A$277)))</f>
        <v/>
      </c>
      <c r="V292" s="254" t="str">
        <f>IF(V$3="","",IF(COUNTIFS(BD!$A$3:$A$5001,V$3,BD!$B$3:$B$5001,$A$277,BD!$R$3:$R$5001,"&lt;&gt;")=0,"",SUMIFS(BD!$R$3:$R$5001,BD!$A$3:$A$5001,V$3,BD!$B$3:$B$5001,$A$277)))</f>
        <v/>
      </c>
      <c r="W292" s="254" t="str">
        <f>IF(W$3="","",IF(COUNTIFS(BD!$A$3:$A$5001,W$3,BD!$B$3:$B$5001,$A$277,BD!$R$3:$R$5001,"&lt;&gt;")=0,"",SUMIFS(BD!$R$3:$R$5001,BD!$A$3:$A$5001,W$3,BD!$B$3:$B$5001,$A$277)))</f>
        <v/>
      </c>
      <c r="X292" s="254" t="str">
        <f>IF(X$3="","",IF(COUNTIFS(BD!$A$3:$A$5001,X$3,BD!$B$3:$B$5001,$A$277,BD!$R$3:$R$5001,"&lt;&gt;")=0,"",SUMIFS(BD!$R$3:$R$5001,BD!$A$3:$A$5001,X$3,BD!$B$3:$B$5001,$A$277)))</f>
        <v/>
      </c>
      <c r="Y292" s="254" t="str">
        <f>IF(Y$3="","",IF(COUNTIFS(BD!$A$3:$A$5001,Y$3,BD!$B$3:$B$5001,$A$277,BD!$R$3:$R$5001,"&lt;&gt;")=0,"",SUMIFS(BD!$R$3:$R$5001,BD!$A$3:$A$5001,Y$3,BD!$B$3:$B$5001,$A$277)))</f>
        <v/>
      </c>
      <c r="Z292" s="254" t="str">
        <f>IF(Z$3="","",IF(COUNTIFS(BD!$A$3:$A$5001,Z$3,BD!$B$3:$B$5001,$A$277,BD!$R$3:$R$5001,"&lt;&gt;")=0,"",SUMIFS(BD!$R$3:$R$5001,BD!$A$3:$A$5001,Z$3,BD!$B$3:$B$5001,$A$277)))</f>
        <v/>
      </c>
      <c r="AA292" s="254" t="str">
        <f>IF(AA$3="","",IF(COUNTIFS(BD!$A$3:$A$5001,AA$3,BD!$B$3:$B$5001,$A$277,BD!$R$3:$R$5001,"&lt;&gt;")=0,"",SUMIFS(BD!$R$3:$R$5001,BD!$A$3:$A$5001,AA$3,BD!$B$3:$B$5001,$A$277)))</f>
        <v/>
      </c>
      <c r="AB292" s="254" t="str">
        <f>IF(AB$3="","",IF(COUNTIFS(BD!$A$3:$A$5001,AB$3,BD!$B$3:$B$5001,$A$277,BD!$R$3:$R$5001,"&lt;&gt;")=0,"",SUMIFS(BD!$R$3:$R$5001,BD!$A$3:$A$5001,AB$3,BD!$B$3:$B$5001,$A$277)))</f>
        <v/>
      </c>
      <c r="AC292" s="254" t="str">
        <f>IF(AC$3="","",IF(COUNTIFS(BD!$A$3:$A$5001,AC$3,BD!$B$3:$B$5001,$A$277,BD!$R$3:$R$5001,"&lt;&gt;")=0,"",SUMIFS(BD!$R$3:$R$5001,BD!$A$3:$A$5001,AC$3,BD!$B$3:$B$5001,$A$277)))</f>
        <v/>
      </c>
      <c r="AD292" s="254" t="str">
        <f>IF(AD$3="","",IF(COUNTIFS(BD!$A$3:$A$5001,AD$3,BD!$B$3:$B$5001,$A$277,BD!$R$3:$R$5001,"&lt;&gt;")=0,"",SUMIFS(BD!$R$3:$R$5001,BD!$A$3:$A$5001,AD$3,BD!$B$3:$B$5001,$A$277)))</f>
        <v/>
      </c>
      <c r="AE292" s="254" t="str">
        <f>IF(AE$3="","",IF(COUNTIFS(BD!$A$3:$A$5001,AE$3,BD!$B$3:$B$5001,$A$277,BD!$R$3:$R$5001,"&lt;&gt;")=0,"",SUMIFS(BD!$R$3:$R$5001,BD!$A$3:$A$5001,AE$3,BD!$B$3:$B$5001,$A$277)))</f>
        <v/>
      </c>
      <c r="AF292" s="254" t="str">
        <f>IF(AF$3="","",IF(COUNTIFS(BD!$A$3:$A$5001,AF$3,BD!$B$3:$B$5001,$A$277,BD!$R$3:$R$5001,"&lt;&gt;")=0,"",SUMIFS(BD!$R$3:$R$5001,BD!$A$3:$A$5001,AF$3,BD!$B$3:$B$5001,$A$277)))</f>
        <v/>
      </c>
      <c r="AG292" s="254" t="str">
        <f>IF(AG$3="","",IF(COUNTIFS(BD!$A$3:$A$5001,AG$3,BD!$B$3:$B$5001,$A$277,BD!$R$3:$R$5001,"&lt;&gt;")=0,"",SUMIFS(BD!$R$3:$R$5001,BD!$A$3:$A$5001,AG$3,BD!$B$3:$B$5001,$A$277)))</f>
        <v/>
      </c>
      <c r="AH292" s="254" t="str">
        <f>IF(AH$3="","",IF(COUNTIFS(BD!$A$3:$A$5001,AH$3,BD!$B$3:$B$5001,$A$277,BD!$R$3:$R$5001,"&lt;&gt;")=0,"",SUMIFS(BD!$R$3:$R$5001,BD!$A$3:$A$5001,AH$3,BD!$B$3:$B$5001,$A$277)))</f>
        <v/>
      </c>
      <c r="AI292" s="254" t="str">
        <f>IF(AI$3="","",IF(COUNTIFS(BD!$A$3:$A$5001,AI$3,BD!$B$3:$B$5001,$A$277,BD!$R$3:$R$5001,"&lt;&gt;")=0,"",SUMIFS(BD!$R$3:$R$5001,BD!$A$3:$A$5001,AI$3,BD!$B$3:$B$5001,$A$277)))</f>
        <v/>
      </c>
      <c r="AJ292" s="255" t="str">
        <f>IF(AJ$3="","",IF(COUNTIFS(BD!$A$3:$A$5001,AJ$3,BD!$B$3:$B$5001,$A$277,BD!$R$3:$R$5001,"&lt;&gt;")=0,"",SUMIFS(BD!$R$3:$R$5001,BD!$A$3:$A$5001,AJ$3,BD!$B$3:$B$5001,$A$277)))</f>
        <v/>
      </c>
      <c r="AK292" s="256" t="str">
        <f>IF(COUNT(F292:AJ292)=0,"",SUM(F292:AJ292))</f>
        <v/>
      </c>
    </row>
    <row r="293" ht="15.75" customHeight="1" hidden="1">
      <c r="A293" s="244"/>
      <c r="B293" s="235"/>
      <c r="C293" s="175" t="inlineStr">
        <is>
          <t xml:space="preserve">Toneladas Movimentadas</t>
        </is>
      </c>
      <c r="D293" s="176" t="str">
        <f>IFERROR(1/(1/INDEX(BD!$AJ$39:$BD$39,MATCH($A$277,BD!$AJ$22:$BD$22,0))),"")</f>
        <v/>
      </c>
      <c r="E293" s="177"/>
      <c r="F293" s="257" t="str">
        <f>IF(F$3="","",IF(COUNTIFS(BD!$A$3:$A$5001,F$3,BD!$B$3:$B$5001,$A$277,BD!$S$3:$S$5001,"&lt;&gt;")=0,"",SUMIFS(BD!$S$3:$S$5001,BD!$A$3:$A$5001,F$3,BD!$B$3:$B$5001,$A$277)))</f>
        <v/>
      </c>
      <c r="G293" s="258" t="str">
        <f>IF(G$3="","",IF(COUNTIFS(BD!$A$3:$A$5001,G$3,BD!$B$3:$B$5001,$A$277,BD!$S$3:$S$5001,"&lt;&gt;")=0,"",SUMIFS(BD!$S$3:$S$5001,BD!$A$3:$A$5001,G$3,BD!$B$3:$B$5001,$A$277)))</f>
        <v/>
      </c>
      <c r="H293" s="258" t="str">
        <f>IF(H$3="","",IF(COUNTIFS(BD!$A$3:$A$5001,H$3,BD!$B$3:$B$5001,$A$277,BD!$S$3:$S$5001,"&lt;&gt;")=0,"",SUMIFS(BD!$S$3:$S$5001,BD!$A$3:$A$5001,H$3,BD!$B$3:$B$5001,$A$277)))</f>
        <v/>
      </c>
      <c r="I293" s="258" t="str">
        <f>IF(I$3="","",IF(COUNTIFS(BD!$A$3:$A$5001,I$3,BD!$B$3:$B$5001,$A$277,BD!$S$3:$S$5001,"&lt;&gt;")=0,"",SUMIFS(BD!$S$3:$S$5001,BD!$A$3:$A$5001,I$3,BD!$B$3:$B$5001,$A$277)))</f>
        <v/>
      </c>
      <c r="J293" s="258" t="str">
        <f>IF(J$3="","",IF(COUNTIFS(BD!$A$3:$A$5001,J$3,BD!$B$3:$B$5001,$A$277,BD!$S$3:$S$5001,"&lt;&gt;")=0,"",SUMIFS(BD!$S$3:$S$5001,BD!$A$3:$A$5001,J$3,BD!$B$3:$B$5001,$A$277)))</f>
        <v/>
      </c>
      <c r="K293" s="258" t="str">
        <f>IF(K$3="","",IF(COUNTIFS(BD!$A$3:$A$5001,K$3,BD!$B$3:$B$5001,$A$277,BD!$S$3:$S$5001,"&lt;&gt;")=0,"",SUMIFS(BD!$S$3:$S$5001,BD!$A$3:$A$5001,K$3,BD!$B$3:$B$5001,$A$277)))</f>
        <v/>
      </c>
      <c r="L293" s="258" t="str">
        <f>IF(L$3="","",IF(COUNTIFS(BD!$A$3:$A$5001,L$3,BD!$B$3:$B$5001,$A$277,BD!$S$3:$S$5001,"&lt;&gt;")=0,"",SUMIFS(BD!$S$3:$S$5001,BD!$A$3:$A$5001,L$3,BD!$B$3:$B$5001,$A$277)))</f>
        <v/>
      </c>
      <c r="M293" s="258" t="str">
        <f>IF(M$3="","",IF(COUNTIFS(BD!$A$3:$A$5001,M$3,BD!$B$3:$B$5001,$A$277,BD!$S$3:$S$5001,"&lt;&gt;")=0,"",SUMIFS(BD!$S$3:$S$5001,BD!$A$3:$A$5001,M$3,BD!$B$3:$B$5001,$A$277)))</f>
        <v/>
      </c>
      <c r="N293" s="258" t="str">
        <f>IF(N$3="","",IF(COUNTIFS(BD!$A$3:$A$5001,N$3,BD!$B$3:$B$5001,$A$277,BD!$S$3:$S$5001,"&lt;&gt;")=0,"",SUMIFS(BD!$S$3:$S$5001,BD!$A$3:$A$5001,N$3,BD!$B$3:$B$5001,$A$277)))</f>
        <v/>
      </c>
      <c r="O293" s="258" t="str">
        <f>IF(O$3="","",IF(COUNTIFS(BD!$A$3:$A$5001,O$3,BD!$B$3:$B$5001,$A$277,BD!$S$3:$S$5001,"&lt;&gt;")=0,"",SUMIFS(BD!$S$3:$S$5001,BD!$A$3:$A$5001,O$3,BD!$B$3:$B$5001,$A$277)))</f>
        <v/>
      </c>
      <c r="P293" s="258" t="str">
        <f>IF(P$3="","",IF(COUNTIFS(BD!$A$3:$A$5001,P$3,BD!$B$3:$B$5001,$A$277,BD!$S$3:$S$5001,"&lt;&gt;")=0,"",SUMIFS(BD!$S$3:$S$5001,BD!$A$3:$A$5001,P$3,BD!$B$3:$B$5001,$A$277)))</f>
        <v/>
      </c>
      <c r="Q293" s="258" t="str">
        <f>IF(Q$3="","",IF(COUNTIFS(BD!$A$3:$A$5001,Q$3,BD!$B$3:$B$5001,$A$277,BD!$S$3:$S$5001,"&lt;&gt;")=0,"",SUMIFS(BD!$S$3:$S$5001,BD!$A$3:$A$5001,Q$3,BD!$B$3:$B$5001,$A$277)))</f>
        <v/>
      </c>
      <c r="R293" s="258" t="str">
        <f>IF(R$3="","",IF(COUNTIFS(BD!$A$3:$A$5001,R$3,BD!$B$3:$B$5001,$A$277,BD!$S$3:$S$5001,"&lt;&gt;")=0,"",SUMIFS(BD!$S$3:$S$5001,BD!$A$3:$A$5001,R$3,BD!$B$3:$B$5001,$A$277)))</f>
        <v/>
      </c>
      <c r="S293" s="258" t="str">
        <f>IF(S$3="","",IF(COUNTIFS(BD!$A$3:$A$5001,S$3,BD!$B$3:$B$5001,$A$277,BD!$S$3:$S$5001,"&lt;&gt;")=0,"",SUMIFS(BD!$S$3:$S$5001,BD!$A$3:$A$5001,S$3,BD!$B$3:$B$5001,$A$277)))</f>
        <v/>
      </c>
      <c r="T293" s="258" t="str">
        <f>IF(T$3="","",IF(COUNTIFS(BD!$A$3:$A$5001,T$3,BD!$B$3:$B$5001,$A$277,BD!$S$3:$S$5001,"&lt;&gt;")=0,"",SUMIFS(BD!$S$3:$S$5001,BD!$A$3:$A$5001,T$3,BD!$B$3:$B$5001,$A$277)))</f>
        <v/>
      </c>
      <c r="U293" s="258" t="str">
        <f>IF(U$3="","",IF(COUNTIFS(BD!$A$3:$A$5001,U$3,BD!$B$3:$B$5001,$A$277,BD!$S$3:$S$5001,"&lt;&gt;")=0,"",SUMIFS(BD!$S$3:$S$5001,BD!$A$3:$A$5001,U$3,BD!$B$3:$B$5001,$A$277)))</f>
        <v/>
      </c>
      <c r="V293" s="258" t="str">
        <f>IF(V$3="","",IF(COUNTIFS(BD!$A$3:$A$5001,V$3,BD!$B$3:$B$5001,$A$277,BD!$S$3:$S$5001,"&lt;&gt;")=0,"",SUMIFS(BD!$S$3:$S$5001,BD!$A$3:$A$5001,V$3,BD!$B$3:$B$5001,$A$277)))</f>
        <v/>
      </c>
      <c r="W293" s="258" t="str">
        <f>IF(W$3="","",IF(COUNTIFS(BD!$A$3:$A$5001,W$3,BD!$B$3:$B$5001,$A$277,BD!$S$3:$S$5001,"&lt;&gt;")=0,"",SUMIFS(BD!$S$3:$S$5001,BD!$A$3:$A$5001,W$3,BD!$B$3:$B$5001,$A$277)))</f>
        <v/>
      </c>
      <c r="X293" s="258" t="str">
        <f>IF(X$3="","",IF(COUNTIFS(BD!$A$3:$A$5001,X$3,BD!$B$3:$B$5001,$A$277,BD!$S$3:$S$5001,"&lt;&gt;")=0,"",SUMIFS(BD!$S$3:$S$5001,BD!$A$3:$A$5001,X$3,BD!$B$3:$B$5001,$A$277)))</f>
        <v/>
      </c>
      <c r="Y293" s="258" t="str">
        <f>IF(Y$3="","",IF(COUNTIFS(BD!$A$3:$A$5001,Y$3,BD!$B$3:$B$5001,$A$277,BD!$S$3:$S$5001,"&lt;&gt;")=0,"",SUMIFS(BD!$S$3:$S$5001,BD!$A$3:$A$5001,Y$3,BD!$B$3:$B$5001,$A$277)))</f>
        <v/>
      </c>
      <c r="Z293" s="258" t="str">
        <f>IF(Z$3="","",IF(COUNTIFS(BD!$A$3:$A$5001,Z$3,BD!$B$3:$B$5001,$A$277,BD!$S$3:$S$5001,"&lt;&gt;")=0,"",SUMIFS(BD!$S$3:$S$5001,BD!$A$3:$A$5001,Z$3,BD!$B$3:$B$5001,$A$277)))</f>
        <v/>
      </c>
      <c r="AA293" s="258" t="str">
        <f>IF(AA$3="","",IF(COUNTIFS(BD!$A$3:$A$5001,AA$3,BD!$B$3:$B$5001,$A$277,BD!$S$3:$S$5001,"&lt;&gt;")=0,"",SUMIFS(BD!$S$3:$S$5001,BD!$A$3:$A$5001,AA$3,BD!$B$3:$B$5001,$A$277)))</f>
        <v/>
      </c>
      <c r="AB293" s="258" t="str">
        <f>IF(AB$3="","",IF(COUNTIFS(BD!$A$3:$A$5001,AB$3,BD!$B$3:$B$5001,$A$277,BD!$S$3:$S$5001,"&lt;&gt;")=0,"",SUMIFS(BD!$S$3:$S$5001,BD!$A$3:$A$5001,AB$3,BD!$B$3:$B$5001,$A$277)))</f>
        <v/>
      </c>
      <c r="AC293" s="258" t="str">
        <f>IF(AC$3="","",IF(COUNTIFS(BD!$A$3:$A$5001,AC$3,BD!$B$3:$B$5001,$A$277,BD!$S$3:$S$5001,"&lt;&gt;")=0,"",SUMIFS(BD!$S$3:$S$5001,BD!$A$3:$A$5001,AC$3,BD!$B$3:$B$5001,$A$277)))</f>
        <v/>
      </c>
      <c r="AD293" s="258" t="str">
        <f>IF(AD$3="","",IF(COUNTIFS(BD!$A$3:$A$5001,AD$3,BD!$B$3:$B$5001,$A$277,BD!$S$3:$S$5001,"&lt;&gt;")=0,"",SUMIFS(BD!$S$3:$S$5001,BD!$A$3:$A$5001,AD$3,BD!$B$3:$B$5001,$A$277)))</f>
        <v/>
      </c>
      <c r="AE293" s="258" t="str">
        <f>IF(AE$3="","",IF(COUNTIFS(BD!$A$3:$A$5001,AE$3,BD!$B$3:$B$5001,$A$277,BD!$S$3:$S$5001,"&lt;&gt;")=0,"",SUMIFS(BD!$S$3:$S$5001,BD!$A$3:$A$5001,AE$3,BD!$B$3:$B$5001,$A$277)))</f>
        <v/>
      </c>
      <c r="AF293" s="258" t="str">
        <f>IF(AF$3="","",IF(COUNTIFS(BD!$A$3:$A$5001,AF$3,BD!$B$3:$B$5001,$A$277,BD!$S$3:$S$5001,"&lt;&gt;")=0,"",SUMIFS(BD!$S$3:$S$5001,BD!$A$3:$A$5001,AF$3,BD!$B$3:$B$5001,$A$277)))</f>
        <v/>
      </c>
      <c r="AG293" s="258" t="str">
        <f>IF(AG$3="","",IF(COUNTIFS(BD!$A$3:$A$5001,AG$3,BD!$B$3:$B$5001,$A$277,BD!$S$3:$S$5001,"&lt;&gt;")=0,"",SUMIFS(BD!$S$3:$S$5001,BD!$A$3:$A$5001,AG$3,BD!$B$3:$B$5001,$A$277)))</f>
        <v/>
      </c>
      <c r="AH293" s="258" t="str">
        <f>IF(AH$3="","",IF(COUNTIFS(BD!$A$3:$A$5001,AH$3,BD!$B$3:$B$5001,$A$277,BD!$S$3:$S$5001,"&lt;&gt;")=0,"",SUMIFS(BD!$S$3:$S$5001,BD!$A$3:$A$5001,AH$3,BD!$B$3:$B$5001,$A$277)))</f>
        <v/>
      </c>
      <c r="AI293" s="258" t="str">
        <f>IF(AI$3="","",IF(COUNTIFS(BD!$A$3:$A$5001,AI$3,BD!$B$3:$B$5001,$A$277,BD!$S$3:$S$5001,"&lt;&gt;")=0,"",SUMIFS(BD!$S$3:$S$5001,BD!$A$3:$A$5001,AI$3,BD!$B$3:$B$5001,$A$277)))</f>
        <v/>
      </c>
      <c r="AJ293" s="259" t="str">
        <f>IF(AJ$3="","",IF(COUNTIFS(BD!$A$3:$A$5001,AJ$3,BD!$B$3:$B$5001,$A$277,BD!$S$3:$S$5001,"&lt;&gt;")=0,"",SUMIFS(BD!$S$3:$S$5001,BD!$A$3:$A$5001,AJ$3,BD!$B$3:$B$5001,$A$277)))</f>
        <v/>
      </c>
      <c r="AK293" s="260" t="str">
        <f>IF(COUNT(F293:AJ293)=0,"",SUM(F293:AJ293))</f>
        <v/>
      </c>
    </row>
    <row r="294" ht="15.75" customHeight="1" hidden="1">
      <c r="A294" s="244"/>
      <c r="B294" s="236" t="inlineStr">
        <is>
          <t xml:space="preserve">NC</t>
        </is>
      </c>
      <c r="C294" s="181" t="inlineStr">
        <is>
          <t xml:space="preserve">Incidentes</t>
        </is>
      </c>
      <c r="D294" s="182" t="str">
        <f>IFERROR(1/(1/INDEX(BD!$AJ$40:$BD$40,MATCH($A$277,BD!$AJ$22:$BD$22,0))),"")</f>
        <v/>
      </c>
      <c r="E294" s="183"/>
      <c r="F294" s="184" t="str">
        <f>IF(F$3="","",IF(COUNTIFS(BD!$A$3:$A$5001,F$3,BD!$B$3:$B$5001,$A$277,BD!$T$3:$T$5001,"&lt;&gt;")=0,"",SUMIFS(BD!$T$3:$T$5001,BD!$A$3:$A$5001,F$3,BD!$B$3:$B$5001,$A$277)))</f>
        <v/>
      </c>
      <c r="G294" s="185" t="str">
        <f>IF(G$3="","",IF(COUNTIFS(BD!$A$3:$A$5001,G$3,BD!$B$3:$B$5001,$A$277,BD!$T$3:$T$5001,"&lt;&gt;")=0,"",SUMIFS(BD!$T$3:$T$5001,BD!$A$3:$A$5001,G$3,BD!$B$3:$B$5001,$A$277)))</f>
        <v/>
      </c>
      <c r="H294" s="185" t="str">
        <f>IF(H$3="","",IF(COUNTIFS(BD!$A$3:$A$5001,H$3,BD!$B$3:$B$5001,$A$277,BD!$T$3:$T$5001,"&lt;&gt;")=0,"",SUMIFS(BD!$T$3:$T$5001,BD!$A$3:$A$5001,H$3,BD!$B$3:$B$5001,$A$277)))</f>
        <v/>
      </c>
      <c r="I294" s="185" t="str">
        <f>IF(I$3="","",IF(COUNTIFS(BD!$A$3:$A$5001,I$3,BD!$B$3:$B$5001,$A$277,BD!$T$3:$T$5001,"&lt;&gt;")=0,"",SUMIFS(BD!$T$3:$T$5001,BD!$A$3:$A$5001,I$3,BD!$B$3:$B$5001,$A$277)))</f>
        <v/>
      </c>
      <c r="J294" s="185" t="str">
        <f>IF(J$3="","",IF(COUNTIFS(BD!$A$3:$A$5001,J$3,BD!$B$3:$B$5001,$A$277,BD!$T$3:$T$5001,"&lt;&gt;")=0,"",SUMIFS(BD!$T$3:$T$5001,BD!$A$3:$A$5001,J$3,BD!$B$3:$B$5001,$A$277)))</f>
        <v/>
      </c>
      <c r="K294" s="185" t="str">
        <f>IF(K$3="","",IF(COUNTIFS(BD!$A$3:$A$5001,K$3,BD!$B$3:$B$5001,$A$277,BD!$T$3:$T$5001,"&lt;&gt;")=0,"",SUMIFS(BD!$T$3:$T$5001,BD!$A$3:$A$5001,K$3,BD!$B$3:$B$5001,$A$277)))</f>
        <v/>
      </c>
      <c r="L294" s="185" t="str">
        <f>IF(L$3="","",IF(COUNTIFS(BD!$A$3:$A$5001,L$3,BD!$B$3:$B$5001,$A$277,BD!$T$3:$T$5001,"&lt;&gt;")=0,"",SUMIFS(BD!$T$3:$T$5001,BD!$A$3:$A$5001,L$3,BD!$B$3:$B$5001,$A$277)))</f>
        <v/>
      </c>
      <c r="M294" s="185" t="str">
        <f>IF(M$3="","",IF(COUNTIFS(BD!$A$3:$A$5001,M$3,BD!$B$3:$B$5001,$A$277,BD!$T$3:$T$5001,"&lt;&gt;")=0,"",SUMIFS(BD!$T$3:$T$5001,BD!$A$3:$A$5001,M$3,BD!$B$3:$B$5001,$A$277)))</f>
        <v/>
      </c>
      <c r="N294" s="185" t="str">
        <f>IF(N$3="","",IF(COUNTIFS(BD!$A$3:$A$5001,N$3,BD!$B$3:$B$5001,$A$277,BD!$T$3:$T$5001,"&lt;&gt;")=0,"",SUMIFS(BD!$T$3:$T$5001,BD!$A$3:$A$5001,N$3,BD!$B$3:$B$5001,$A$277)))</f>
        <v/>
      </c>
      <c r="O294" s="185" t="str">
        <f>IF(O$3="","",IF(COUNTIFS(BD!$A$3:$A$5001,O$3,BD!$B$3:$B$5001,$A$277,BD!$T$3:$T$5001,"&lt;&gt;")=0,"",SUMIFS(BD!$T$3:$T$5001,BD!$A$3:$A$5001,O$3,BD!$B$3:$B$5001,$A$277)))</f>
        <v/>
      </c>
      <c r="P294" s="185" t="str">
        <f>IF(P$3="","",IF(COUNTIFS(BD!$A$3:$A$5001,P$3,BD!$B$3:$B$5001,$A$277,BD!$T$3:$T$5001,"&lt;&gt;")=0,"",SUMIFS(BD!$T$3:$T$5001,BD!$A$3:$A$5001,P$3,BD!$B$3:$B$5001,$A$277)))</f>
        <v/>
      </c>
      <c r="Q294" s="185" t="str">
        <f>IF(Q$3="","",IF(COUNTIFS(BD!$A$3:$A$5001,Q$3,BD!$B$3:$B$5001,$A$277,BD!$T$3:$T$5001,"&lt;&gt;")=0,"",SUMIFS(BD!$T$3:$T$5001,BD!$A$3:$A$5001,Q$3,BD!$B$3:$B$5001,$A$277)))</f>
        <v/>
      </c>
      <c r="R294" s="185" t="str">
        <f>IF(R$3="","",IF(COUNTIFS(BD!$A$3:$A$5001,R$3,BD!$B$3:$B$5001,$A$277,BD!$T$3:$T$5001,"&lt;&gt;")=0,"",SUMIFS(BD!$T$3:$T$5001,BD!$A$3:$A$5001,R$3,BD!$B$3:$B$5001,$A$277)))</f>
        <v/>
      </c>
      <c r="S294" s="185" t="str">
        <f>IF(S$3="","",IF(COUNTIFS(BD!$A$3:$A$5001,S$3,BD!$B$3:$B$5001,$A$277,BD!$T$3:$T$5001,"&lt;&gt;")=0,"",SUMIFS(BD!$T$3:$T$5001,BD!$A$3:$A$5001,S$3,BD!$B$3:$B$5001,$A$277)))</f>
        <v/>
      </c>
      <c r="T294" s="185" t="str">
        <f>IF(T$3="","",IF(COUNTIFS(BD!$A$3:$A$5001,T$3,BD!$B$3:$B$5001,$A$277,BD!$T$3:$T$5001,"&lt;&gt;")=0,"",SUMIFS(BD!$T$3:$T$5001,BD!$A$3:$A$5001,T$3,BD!$B$3:$B$5001,$A$277)))</f>
        <v/>
      </c>
      <c r="U294" s="185" t="str">
        <f>IF(U$3="","",IF(COUNTIFS(BD!$A$3:$A$5001,U$3,BD!$B$3:$B$5001,$A$277,BD!$T$3:$T$5001,"&lt;&gt;")=0,"",SUMIFS(BD!$T$3:$T$5001,BD!$A$3:$A$5001,U$3,BD!$B$3:$B$5001,$A$277)))</f>
        <v/>
      </c>
      <c r="V294" s="185" t="str">
        <f>IF(V$3="","",IF(COUNTIFS(BD!$A$3:$A$5001,V$3,BD!$B$3:$B$5001,$A$277,BD!$T$3:$T$5001,"&lt;&gt;")=0,"",SUMIFS(BD!$T$3:$T$5001,BD!$A$3:$A$5001,V$3,BD!$B$3:$B$5001,$A$277)))</f>
        <v/>
      </c>
      <c r="W294" s="185" t="str">
        <f>IF(W$3="","",IF(COUNTIFS(BD!$A$3:$A$5001,W$3,BD!$B$3:$B$5001,$A$277,BD!$T$3:$T$5001,"&lt;&gt;")=0,"",SUMIFS(BD!$T$3:$T$5001,BD!$A$3:$A$5001,W$3,BD!$B$3:$B$5001,$A$277)))</f>
        <v/>
      </c>
      <c r="X294" s="185" t="str">
        <f>IF(X$3="","",IF(COUNTIFS(BD!$A$3:$A$5001,X$3,BD!$B$3:$B$5001,$A$277,BD!$T$3:$T$5001,"&lt;&gt;")=0,"",SUMIFS(BD!$T$3:$T$5001,BD!$A$3:$A$5001,X$3,BD!$B$3:$B$5001,$A$277)))</f>
        <v/>
      </c>
      <c r="Y294" s="185" t="str">
        <f>IF(Y$3="","",IF(COUNTIFS(BD!$A$3:$A$5001,Y$3,BD!$B$3:$B$5001,$A$277,BD!$T$3:$T$5001,"&lt;&gt;")=0,"",SUMIFS(BD!$T$3:$T$5001,BD!$A$3:$A$5001,Y$3,BD!$B$3:$B$5001,$A$277)))</f>
        <v/>
      </c>
      <c r="Z294" s="185" t="str">
        <f>IF(Z$3="","",IF(COUNTIFS(BD!$A$3:$A$5001,Z$3,BD!$B$3:$B$5001,$A$277,BD!$T$3:$T$5001,"&lt;&gt;")=0,"",SUMIFS(BD!$T$3:$T$5001,BD!$A$3:$A$5001,Z$3,BD!$B$3:$B$5001,$A$277)))</f>
        <v/>
      </c>
      <c r="AA294" s="185" t="str">
        <f>IF(AA$3="","",IF(COUNTIFS(BD!$A$3:$A$5001,AA$3,BD!$B$3:$B$5001,$A$277,BD!$T$3:$T$5001,"&lt;&gt;")=0,"",SUMIFS(BD!$T$3:$T$5001,BD!$A$3:$A$5001,AA$3,BD!$B$3:$B$5001,$A$277)))</f>
        <v/>
      </c>
      <c r="AB294" s="185" t="str">
        <f>IF(AB$3="","",IF(COUNTIFS(BD!$A$3:$A$5001,AB$3,BD!$B$3:$B$5001,$A$277,BD!$T$3:$T$5001,"&lt;&gt;")=0,"",SUMIFS(BD!$T$3:$T$5001,BD!$A$3:$A$5001,AB$3,BD!$B$3:$B$5001,$A$277)))</f>
        <v/>
      </c>
      <c r="AC294" s="185" t="str">
        <f>IF(AC$3="","",IF(COUNTIFS(BD!$A$3:$A$5001,AC$3,BD!$B$3:$B$5001,$A$277,BD!$T$3:$T$5001,"&lt;&gt;")=0,"",SUMIFS(BD!$T$3:$T$5001,BD!$A$3:$A$5001,AC$3,BD!$B$3:$B$5001,$A$277)))</f>
        <v/>
      </c>
      <c r="AD294" s="185" t="str">
        <f>IF(AD$3="","",IF(COUNTIFS(BD!$A$3:$A$5001,AD$3,BD!$B$3:$B$5001,$A$277,BD!$T$3:$T$5001,"&lt;&gt;")=0,"",SUMIFS(BD!$T$3:$T$5001,BD!$A$3:$A$5001,AD$3,BD!$B$3:$B$5001,$A$277)))</f>
        <v/>
      </c>
      <c r="AE294" s="185" t="str">
        <f>IF(AE$3="","",IF(COUNTIFS(BD!$A$3:$A$5001,AE$3,BD!$B$3:$B$5001,$A$277,BD!$T$3:$T$5001,"&lt;&gt;")=0,"",SUMIFS(BD!$T$3:$T$5001,BD!$A$3:$A$5001,AE$3,BD!$B$3:$B$5001,$A$277)))</f>
        <v/>
      </c>
      <c r="AF294" s="185" t="str">
        <f>IF(AF$3="","",IF(COUNTIFS(BD!$A$3:$A$5001,AF$3,BD!$B$3:$B$5001,$A$277,BD!$T$3:$T$5001,"&lt;&gt;")=0,"",SUMIFS(BD!$T$3:$T$5001,BD!$A$3:$A$5001,AF$3,BD!$B$3:$B$5001,$A$277)))</f>
        <v/>
      </c>
      <c r="AG294" s="185" t="str">
        <f>IF(AG$3="","",IF(COUNTIFS(BD!$A$3:$A$5001,AG$3,BD!$B$3:$B$5001,$A$277,BD!$T$3:$T$5001,"&lt;&gt;")=0,"",SUMIFS(BD!$T$3:$T$5001,BD!$A$3:$A$5001,AG$3,BD!$B$3:$B$5001,$A$277)))</f>
        <v/>
      </c>
      <c r="AH294" s="185" t="str">
        <f>IF(AH$3="","",IF(COUNTIFS(BD!$A$3:$A$5001,AH$3,BD!$B$3:$B$5001,$A$277,BD!$T$3:$T$5001,"&lt;&gt;")=0,"",SUMIFS(BD!$T$3:$T$5001,BD!$A$3:$A$5001,AH$3,BD!$B$3:$B$5001,$A$277)))</f>
        <v/>
      </c>
      <c r="AI294" s="185" t="str">
        <f>IF(AI$3="","",IF(COUNTIFS(BD!$A$3:$A$5001,AI$3,BD!$B$3:$B$5001,$A$277,BD!$T$3:$T$5001,"&lt;&gt;")=0,"",SUMIFS(BD!$T$3:$T$5001,BD!$A$3:$A$5001,AI$3,BD!$B$3:$B$5001,$A$277)))</f>
        <v/>
      </c>
      <c r="AJ294" s="186" t="str">
        <f>IF(AJ$3="","",IF(COUNTIFS(BD!$A$3:$A$5001,AJ$3,BD!$B$3:$B$5001,$A$277,BD!$T$3:$T$5001,"&lt;&gt;")=0,"",SUMIFS(BD!$T$3:$T$5001,BD!$A$3:$A$5001,AJ$3,BD!$B$3:$B$5001,$A$277)))</f>
        <v/>
      </c>
      <c r="AK294" s="187" t="str">
        <f>IF(COUNT(F294:AJ294)=0,"",SUM(F294:AJ294))</f>
        <v/>
      </c>
    </row>
    <row r="295" ht="15.75" customHeight="1" hidden="1">
      <c r="A295" s="244"/>
      <c r="B295" s="237"/>
      <c r="C295" s="188" t="inlineStr">
        <is>
          <t xml:space="preserve">No show</t>
        </is>
      </c>
      <c r="D295" s="189" t="str">
        <f>IFERROR(1/(1/INDEX(BD!$AJ$41:$BD$41,MATCH($A$277,BD!$AJ$22:$BD$22,0))),"")</f>
        <v/>
      </c>
      <c r="E295" s="190"/>
      <c r="F295" s="191" t="str">
        <f>IF(F$3="","",IF(COUNTIFS(BD!$A$3:$A$5001,F$3,BD!$B$3:$B$5001,$A$277,BD!$U$3:$U$5001,"&lt;&gt;")=0,"",SUMIFS(BD!$U$3:$U$5001,BD!$A$3:$A$5001,F$3,BD!$B$3:$B$5001,$A$277)))</f>
        <v/>
      </c>
      <c r="G295" s="192" t="str">
        <f>IF(G$3="","",IF(COUNTIFS(BD!$A$3:$A$5001,G$3,BD!$B$3:$B$5001,$A$277,BD!$U$3:$U$5001,"&lt;&gt;")=0,"",SUMIFS(BD!$U$3:$U$5001,BD!$A$3:$A$5001,G$3,BD!$B$3:$B$5001,$A$277)))</f>
        <v/>
      </c>
      <c r="H295" s="192" t="str">
        <f>IF(H$3="","",IF(COUNTIFS(BD!$A$3:$A$5001,H$3,BD!$B$3:$B$5001,$A$277,BD!$U$3:$U$5001,"&lt;&gt;")=0,"",SUMIFS(BD!$U$3:$U$5001,BD!$A$3:$A$5001,H$3,BD!$B$3:$B$5001,$A$277)))</f>
        <v/>
      </c>
      <c r="I295" s="192" t="str">
        <f>IF(I$3="","",IF(COUNTIFS(BD!$A$3:$A$5001,I$3,BD!$B$3:$B$5001,$A$277,BD!$U$3:$U$5001,"&lt;&gt;")=0,"",SUMIFS(BD!$U$3:$U$5001,BD!$A$3:$A$5001,I$3,BD!$B$3:$B$5001,$A$277)))</f>
        <v/>
      </c>
      <c r="J295" s="192" t="str">
        <f>IF(J$3="","",IF(COUNTIFS(BD!$A$3:$A$5001,J$3,BD!$B$3:$B$5001,$A$277,BD!$U$3:$U$5001,"&lt;&gt;")=0,"",SUMIFS(BD!$U$3:$U$5001,BD!$A$3:$A$5001,J$3,BD!$B$3:$B$5001,$A$277)))</f>
        <v/>
      </c>
      <c r="K295" s="192" t="str">
        <f>IF(K$3="","",IF(COUNTIFS(BD!$A$3:$A$5001,K$3,BD!$B$3:$B$5001,$A$277,BD!$U$3:$U$5001,"&lt;&gt;")=0,"",SUMIFS(BD!$U$3:$U$5001,BD!$A$3:$A$5001,K$3,BD!$B$3:$B$5001,$A$277)))</f>
        <v/>
      </c>
      <c r="L295" s="192" t="str">
        <f>IF(L$3="","",IF(COUNTIFS(BD!$A$3:$A$5001,L$3,BD!$B$3:$B$5001,$A$277,BD!$U$3:$U$5001,"&lt;&gt;")=0,"",SUMIFS(BD!$U$3:$U$5001,BD!$A$3:$A$5001,L$3,BD!$B$3:$B$5001,$A$277)))</f>
        <v/>
      </c>
      <c r="M295" s="192" t="str">
        <f>IF(M$3="","",IF(COUNTIFS(BD!$A$3:$A$5001,M$3,BD!$B$3:$B$5001,$A$277,BD!$U$3:$U$5001,"&lt;&gt;")=0,"",SUMIFS(BD!$U$3:$U$5001,BD!$A$3:$A$5001,M$3,BD!$B$3:$B$5001,$A$277)))</f>
        <v/>
      </c>
      <c r="N295" s="192" t="str">
        <f>IF(N$3="","",IF(COUNTIFS(BD!$A$3:$A$5001,N$3,BD!$B$3:$B$5001,$A$277,BD!$U$3:$U$5001,"&lt;&gt;")=0,"",SUMIFS(BD!$U$3:$U$5001,BD!$A$3:$A$5001,N$3,BD!$B$3:$B$5001,$A$277)))</f>
        <v/>
      </c>
      <c r="O295" s="192" t="str">
        <f>IF(O$3="","",IF(COUNTIFS(BD!$A$3:$A$5001,O$3,BD!$B$3:$B$5001,$A$277,BD!$U$3:$U$5001,"&lt;&gt;")=0,"",SUMIFS(BD!$U$3:$U$5001,BD!$A$3:$A$5001,O$3,BD!$B$3:$B$5001,$A$277)))</f>
        <v/>
      </c>
      <c r="P295" s="192" t="str">
        <f>IF(P$3="","",IF(COUNTIFS(BD!$A$3:$A$5001,P$3,BD!$B$3:$B$5001,$A$277,BD!$U$3:$U$5001,"&lt;&gt;")=0,"",SUMIFS(BD!$U$3:$U$5001,BD!$A$3:$A$5001,P$3,BD!$B$3:$B$5001,$A$277)))</f>
        <v/>
      </c>
      <c r="Q295" s="192" t="str">
        <f>IF(Q$3="","",IF(COUNTIFS(BD!$A$3:$A$5001,Q$3,BD!$B$3:$B$5001,$A$277,BD!$U$3:$U$5001,"&lt;&gt;")=0,"",SUMIFS(BD!$U$3:$U$5001,BD!$A$3:$A$5001,Q$3,BD!$B$3:$B$5001,$A$277)))</f>
        <v/>
      </c>
      <c r="R295" s="192" t="str">
        <f>IF(R$3="","",IF(COUNTIFS(BD!$A$3:$A$5001,R$3,BD!$B$3:$B$5001,$A$277,BD!$U$3:$U$5001,"&lt;&gt;")=0,"",SUMIFS(BD!$U$3:$U$5001,BD!$A$3:$A$5001,R$3,BD!$B$3:$B$5001,$A$277)))</f>
        <v/>
      </c>
      <c r="S295" s="192" t="str">
        <f>IF(S$3="","",IF(COUNTIFS(BD!$A$3:$A$5001,S$3,BD!$B$3:$B$5001,$A$277,BD!$U$3:$U$5001,"&lt;&gt;")=0,"",SUMIFS(BD!$U$3:$U$5001,BD!$A$3:$A$5001,S$3,BD!$B$3:$B$5001,$A$277)))</f>
        <v/>
      </c>
      <c r="T295" s="192" t="str">
        <f>IF(T$3="","",IF(COUNTIFS(BD!$A$3:$A$5001,T$3,BD!$B$3:$B$5001,$A$277,BD!$U$3:$U$5001,"&lt;&gt;")=0,"",SUMIFS(BD!$U$3:$U$5001,BD!$A$3:$A$5001,T$3,BD!$B$3:$B$5001,$A$277)))</f>
        <v/>
      </c>
      <c r="U295" s="192" t="str">
        <f>IF(U$3="","",IF(COUNTIFS(BD!$A$3:$A$5001,U$3,BD!$B$3:$B$5001,$A$277,BD!$U$3:$U$5001,"&lt;&gt;")=0,"",SUMIFS(BD!$U$3:$U$5001,BD!$A$3:$A$5001,U$3,BD!$B$3:$B$5001,$A$277)))</f>
        <v/>
      </c>
      <c r="V295" s="192" t="str">
        <f>IF(V$3="","",IF(COUNTIFS(BD!$A$3:$A$5001,V$3,BD!$B$3:$B$5001,$A$277,BD!$U$3:$U$5001,"&lt;&gt;")=0,"",SUMIFS(BD!$U$3:$U$5001,BD!$A$3:$A$5001,V$3,BD!$B$3:$B$5001,$A$277)))</f>
        <v/>
      </c>
      <c r="W295" s="192" t="str">
        <f>IF(W$3="","",IF(COUNTIFS(BD!$A$3:$A$5001,W$3,BD!$B$3:$B$5001,$A$277,BD!$U$3:$U$5001,"&lt;&gt;")=0,"",SUMIFS(BD!$U$3:$U$5001,BD!$A$3:$A$5001,W$3,BD!$B$3:$B$5001,$A$277)))</f>
        <v/>
      </c>
      <c r="X295" s="192" t="str">
        <f>IF(X$3="","",IF(COUNTIFS(BD!$A$3:$A$5001,X$3,BD!$B$3:$B$5001,$A$277,BD!$U$3:$U$5001,"&lt;&gt;")=0,"",SUMIFS(BD!$U$3:$U$5001,BD!$A$3:$A$5001,X$3,BD!$B$3:$B$5001,$A$277)))</f>
        <v/>
      </c>
      <c r="Y295" s="192" t="str">
        <f>IF(Y$3="","",IF(COUNTIFS(BD!$A$3:$A$5001,Y$3,BD!$B$3:$B$5001,$A$277,BD!$U$3:$U$5001,"&lt;&gt;")=0,"",SUMIFS(BD!$U$3:$U$5001,BD!$A$3:$A$5001,Y$3,BD!$B$3:$B$5001,$A$277)))</f>
        <v/>
      </c>
      <c r="Z295" s="192" t="str">
        <f>IF(Z$3="","",IF(COUNTIFS(BD!$A$3:$A$5001,Z$3,BD!$B$3:$B$5001,$A$277,BD!$U$3:$U$5001,"&lt;&gt;")=0,"",SUMIFS(BD!$U$3:$U$5001,BD!$A$3:$A$5001,Z$3,BD!$B$3:$B$5001,$A$277)))</f>
        <v/>
      </c>
      <c r="AA295" s="192" t="str">
        <f>IF(AA$3="","",IF(COUNTIFS(BD!$A$3:$A$5001,AA$3,BD!$B$3:$B$5001,$A$277,BD!$U$3:$U$5001,"&lt;&gt;")=0,"",SUMIFS(BD!$U$3:$U$5001,BD!$A$3:$A$5001,AA$3,BD!$B$3:$B$5001,$A$277)))</f>
        <v/>
      </c>
      <c r="AB295" s="192" t="str">
        <f>IF(AB$3="","",IF(COUNTIFS(BD!$A$3:$A$5001,AB$3,BD!$B$3:$B$5001,$A$277,BD!$U$3:$U$5001,"&lt;&gt;")=0,"",SUMIFS(BD!$U$3:$U$5001,BD!$A$3:$A$5001,AB$3,BD!$B$3:$B$5001,$A$277)))</f>
        <v/>
      </c>
      <c r="AC295" s="192" t="str">
        <f>IF(AC$3="","",IF(COUNTIFS(BD!$A$3:$A$5001,AC$3,BD!$B$3:$B$5001,$A$277,BD!$U$3:$U$5001,"&lt;&gt;")=0,"",SUMIFS(BD!$U$3:$U$5001,BD!$A$3:$A$5001,AC$3,BD!$B$3:$B$5001,$A$277)))</f>
        <v/>
      </c>
      <c r="AD295" s="192" t="str">
        <f>IF(AD$3="","",IF(COUNTIFS(BD!$A$3:$A$5001,AD$3,BD!$B$3:$B$5001,$A$277,BD!$U$3:$U$5001,"&lt;&gt;")=0,"",SUMIFS(BD!$U$3:$U$5001,BD!$A$3:$A$5001,AD$3,BD!$B$3:$B$5001,$A$277)))</f>
        <v/>
      </c>
      <c r="AE295" s="192" t="str">
        <f>IF(AE$3="","",IF(COUNTIFS(BD!$A$3:$A$5001,AE$3,BD!$B$3:$B$5001,$A$277,BD!$U$3:$U$5001,"&lt;&gt;")=0,"",SUMIFS(BD!$U$3:$U$5001,BD!$A$3:$A$5001,AE$3,BD!$B$3:$B$5001,$A$277)))</f>
        <v/>
      </c>
      <c r="AF295" s="192" t="str">
        <f>IF(AF$3="","",IF(COUNTIFS(BD!$A$3:$A$5001,AF$3,BD!$B$3:$B$5001,$A$277,BD!$U$3:$U$5001,"&lt;&gt;")=0,"",SUMIFS(BD!$U$3:$U$5001,BD!$A$3:$A$5001,AF$3,BD!$B$3:$B$5001,$A$277)))</f>
        <v/>
      </c>
      <c r="AG295" s="192" t="str">
        <f>IF(AG$3="","",IF(COUNTIFS(BD!$A$3:$A$5001,AG$3,BD!$B$3:$B$5001,$A$277,BD!$U$3:$U$5001,"&lt;&gt;")=0,"",SUMIFS(BD!$U$3:$U$5001,BD!$A$3:$A$5001,AG$3,BD!$B$3:$B$5001,$A$277)))</f>
        <v/>
      </c>
      <c r="AH295" s="192" t="str">
        <f>IF(AH$3="","",IF(COUNTIFS(BD!$A$3:$A$5001,AH$3,BD!$B$3:$B$5001,$A$277,BD!$U$3:$U$5001,"&lt;&gt;")=0,"",SUMIFS(BD!$U$3:$U$5001,BD!$A$3:$A$5001,AH$3,BD!$B$3:$B$5001,$A$277)))</f>
        <v/>
      </c>
      <c r="AI295" s="192" t="str">
        <f>IF(AI$3="","",IF(COUNTIFS(BD!$A$3:$A$5001,AI$3,BD!$B$3:$B$5001,$A$277,BD!$U$3:$U$5001,"&lt;&gt;")=0,"",SUMIFS(BD!$U$3:$U$5001,BD!$A$3:$A$5001,AI$3,BD!$B$3:$B$5001,$A$277)))</f>
        <v/>
      </c>
      <c r="AJ295" s="193" t="str">
        <f>IF(AJ$3="","",IF(COUNTIFS(BD!$A$3:$A$5001,AJ$3,BD!$B$3:$B$5001,$A$277,BD!$U$3:$U$5001,"&lt;&gt;")=0,"",SUMIFS(BD!$U$3:$U$5001,BD!$A$3:$A$5001,AJ$3,BD!$B$3:$B$5001,$A$277)))</f>
        <v/>
      </c>
      <c r="AK295" s="194" t="str">
        <f>IF(COUNT(F295:AJ295)=0,"",SUM(F295:AJ295))</f>
        <v/>
      </c>
    </row>
    <row r="296" ht="15.75" customHeight="1" hidden="1">
      <c r="A296" s="244"/>
      <c r="B296" s="238"/>
      <c r="C296" s="195" t="inlineStr">
        <is>
          <t xml:space="preserve">Backlog</t>
        </is>
      </c>
      <c r="D296" s="196" t="str">
        <f>IFERROR(1/(1/INDEX(BD!$AJ$42:$BD$42,MATCH($A$277,BD!$AJ$22:$BD$22,0))),"")</f>
        <v/>
      </c>
      <c r="E296" s="197"/>
      <c r="F296" s="198" t="str">
        <f>IF(F$3="","",IF(COUNTIFS(BD!$A$3:$A$5001,F$3,BD!$B$3:$B$5001,$A$277,BD!$V$3:$V$5001,"&lt;&gt;")=0,"",SUMIFS(BD!$V$3:$V$5001,BD!$A$3:$A$5001,F$3,BD!$B$3:$B$5001,$A$277)))</f>
        <v/>
      </c>
      <c r="G296" s="199" t="str">
        <f>IF(G$3="","",IF(COUNTIFS(BD!$A$3:$A$5001,G$3,BD!$B$3:$B$5001,$A$277,BD!$V$3:$V$5001,"&lt;&gt;")=0,"",SUMIFS(BD!$V$3:$V$5001,BD!$A$3:$A$5001,G$3,BD!$B$3:$B$5001,$A$277)))</f>
        <v/>
      </c>
      <c r="H296" s="199" t="str">
        <f>IF(H$3="","",IF(COUNTIFS(BD!$A$3:$A$5001,H$3,BD!$B$3:$B$5001,$A$277,BD!$V$3:$V$5001,"&lt;&gt;")=0,"",SUMIFS(BD!$V$3:$V$5001,BD!$A$3:$A$5001,H$3,BD!$B$3:$B$5001,$A$277)))</f>
        <v/>
      </c>
      <c r="I296" s="199" t="str">
        <f>IF(I$3="","",IF(COUNTIFS(BD!$A$3:$A$5001,I$3,BD!$B$3:$B$5001,$A$277,BD!$V$3:$V$5001,"&lt;&gt;")=0,"",SUMIFS(BD!$V$3:$V$5001,BD!$A$3:$A$5001,I$3,BD!$B$3:$B$5001,$A$277)))</f>
        <v/>
      </c>
      <c r="J296" s="199" t="str">
        <f>IF(J$3="","",IF(COUNTIFS(BD!$A$3:$A$5001,J$3,BD!$B$3:$B$5001,$A$277,BD!$V$3:$V$5001,"&lt;&gt;")=0,"",SUMIFS(BD!$V$3:$V$5001,BD!$A$3:$A$5001,J$3,BD!$B$3:$B$5001,$A$277)))</f>
        <v/>
      </c>
      <c r="K296" s="199" t="str">
        <f>IF(K$3="","",IF(COUNTIFS(BD!$A$3:$A$5001,K$3,BD!$B$3:$B$5001,$A$277,BD!$V$3:$V$5001,"&lt;&gt;")=0,"",SUMIFS(BD!$V$3:$V$5001,BD!$A$3:$A$5001,K$3,BD!$B$3:$B$5001,$A$277)))</f>
        <v/>
      </c>
      <c r="L296" s="199" t="str">
        <f>IF(L$3="","",IF(COUNTIFS(BD!$A$3:$A$5001,L$3,BD!$B$3:$B$5001,$A$277,BD!$V$3:$V$5001,"&lt;&gt;")=0,"",SUMIFS(BD!$V$3:$V$5001,BD!$A$3:$A$5001,L$3,BD!$B$3:$B$5001,$A$277)))</f>
        <v/>
      </c>
      <c r="M296" s="199" t="str">
        <f>IF(M$3="","",IF(COUNTIFS(BD!$A$3:$A$5001,M$3,BD!$B$3:$B$5001,$A$277,BD!$V$3:$V$5001,"&lt;&gt;")=0,"",SUMIFS(BD!$V$3:$V$5001,BD!$A$3:$A$5001,M$3,BD!$B$3:$B$5001,$A$277)))</f>
        <v/>
      </c>
      <c r="N296" s="199" t="str">
        <f>IF(N$3="","",IF(COUNTIFS(BD!$A$3:$A$5001,N$3,BD!$B$3:$B$5001,$A$277,BD!$V$3:$V$5001,"&lt;&gt;")=0,"",SUMIFS(BD!$V$3:$V$5001,BD!$A$3:$A$5001,N$3,BD!$B$3:$B$5001,$A$277)))</f>
        <v/>
      </c>
      <c r="O296" s="199" t="str">
        <f>IF(O$3="","",IF(COUNTIFS(BD!$A$3:$A$5001,O$3,BD!$B$3:$B$5001,$A$277,BD!$V$3:$V$5001,"&lt;&gt;")=0,"",SUMIFS(BD!$V$3:$V$5001,BD!$A$3:$A$5001,O$3,BD!$B$3:$B$5001,$A$277)))</f>
        <v/>
      </c>
      <c r="P296" s="199" t="str">
        <f>IF(P$3="","",IF(COUNTIFS(BD!$A$3:$A$5001,P$3,BD!$B$3:$B$5001,$A$277,BD!$V$3:$V$5001,"&lt;&gt;")=0,"",SUMIFS(BD!$V$3:$V$5001,BD!$A$3:$A$5001,P$3,BD!$B$3:$B$5001,$A$277)))</f>
        <v/>
      </c>
      <c r="Q296" s="199" t="str">
        <f>IF(Q$3="","",IF(COUNTIFS(BD!$A$3:$A$5001,Q$3,BD!$B$3:$B$5001,$A$277,BD!$V$3:$V$5001,"&lt;&gt;")=0,"",SUMIFS(BD!$V$3:$V$5001,BD!$A$3:$A$5001,Q$3,BD!$B$3:$B$5001,$A$277)))</f>
        <v/>
      </c>
      <c r="R296" s="199" t="str">
        <f>IF(R$3="","",IF(COUNTIFS(BD!$A$3:$A$5001,R$3,BD!$B$3:$B$5001,$A$277,BD!$V$3:$V$5001,"&lt;&gt;")=0,"",SUMIFS(BD!$V$3:$V$5001,BD!$A$3:$A$5001,R$3,BD!$B$3:$B$5001,$A$277)))</f>
        <v/>
      </c>
      <c r="S296" s="199" t="str">
        <f>IF(S$3="","",IF(COUNTIFS(BD!$A$3:$A$5001,S$3,BD!$B$3:$B$5001,$A$277,BD!$V$3:$V$5001,"&lt;&gt;")=0,"",SUMIFS(BD!$V$3:$V$5001,BD!$A$3:$A$5001,S$3,BD!$B$3:$B$5001,$A$277)))</f>
        <v/>
      </c>
      <c r="T296" s="199" t="str">
        <f>IF(T$3="","",IF(COUNTIFS(BD!$A$3:$A$5001,T$3,BD!$B$3:$B$5001,$A$277,BD!$V$3:$V$5001,"&lt;&gt;")=0,"",SUMIFS(BD!$V$3:$V$5001,BD!$A$3:$A$5001,T$3,BD!$B$3:$B$5001,$A$277)))</f>
        <v/>
      </c>
      <c r="U296" s="199" t="str">
        <f>IF(U$3="","",IF(COUNTIFS(BD!$A$3:$A$5001,U$3,BD!$B$3:$B$5001,$A$277,BD!$V$3:$V$5001,"&lt;&gt;")=0,"",SUMIFS(BD!$V$3:$V$5001,BD!$A$3:$A$5001,U$3,BD!$B$3:$B$5001,$A$277)))</f>
        <v/>
      </c>
      <c r="V296" s="199" t="str">
        <f>IF(V$3="","",IF(COUNTIFS(BD!$A$3:$A$5001,V$3,BD!$B$3:$B$5001,$A$277,BD!$V$3:$V$5001,"&lt;&gt;")=0,"",SUMIFS(BD!$V$3:$V$5001,BD!$A$3:$A$5001,V$3,BD!$B$3:$B$5001,$A$277)))</f>
        <v/>
      </c>
      <c r="W296" s="199" t="str">
        <f>IF(W$3="","",IF(COUNTIFS(BD!$A$3:$A$5001,W$3,BD!$B$3:$B$5001,$A$277,BD!$V$3:$V$5001,"&lt;&gt;")=0,"",SUMIFS(BD!$V$3:$V$5001,BD!$A$3:$A$5001,W$3,BD!$B$3:$B$5001,$A$277)))</f>
        <v/>
      </c>
      <c r="X296" s="199" t="str">
        <f>IF(X$3="","",IF(COUNTIFS(BD!$A$3:$A$5001,X$3,BD!$B$3:$B$5001,$A$277,BD!$V$3:$V$5001,"&lt;&gt;")=0,"",SUMIFS(BD!$V$3:$V$5001,BD!$A$3:$A$5001,X$3,BD!$B$3:$B$5001,$A$277)))</f>
        <v/>
      </c>
      <c r="Y296" s="199" t="str">
        <f>IF(Y$3="","",IF(COUNTIFS(BD!$A$3:$A$5001,Y$3,BD!$B$3:$B$5001,$A$277,BD!$V$3:$V$5001,"&lt;&gt;")=0,"",SUMIFS(BD!$V$3:$V$5001,BD!$A$3:$A$5001,Y$3,BD!$B$3:$B$5001,$A$277)))</f>
        <v/>
      </c>
      <c r="Z296" s="199" t="str">
        <f>IF(Z$3="","",IF(COUNTIFS(BD!$A$3:$A$5001,Z$3,BD!$B$3:$B$5001,$A$277,BD!$V$3:$V$5001,"&lt;&gt;")=0,"",SUMIFS(BD!$V$3:$V$5001,BD!$A$3:$A$5001,Z$3,BD!$B$3:$B$5001,$A$277)))</f>
        <v/>
      </c>
      <c r="AA296" s="199" t="str">
        <f>IF(AA$3="","",IF(COUNTIFS(BD!$A$3:$A$5001,AA$3,BD!$B$3:$B$5001,$A$277,BD!$V$3:$V$5001,"&lt;&gt;")=0,"",SUMIFS(BD!$V$3:$V$5001,BD!$A$3:$A$5001,AA$3,BD!$B$3:$B$5001,$A$277)))</f>
        <v/>
      </c>
      <c r="AB296" s="199" t="str">
        <f>IF(AB$3="","",IF(COUNTIFS(BD!$A$3:$A$5001,AB$3,BD!$B$3:$B$5001,$A$277,BD!$V$3:$V$5001,"&lt;&gt;")=0,"",SUMIFS(BD!$V$3:$V$5001,BD!$A$3:$A$5001,AB$3,BD!$B$3:$B$5001,$A$277)))</f>
        <v/>
      </c>
      <c r="AC296" s="199" t="str">
        <f>IF(AC$3="","",IF(COUNTIFS(BD!$A$3:$A$5001,AC$3,BD!$B$3:$B$5001,$A$277,BD!$V$3:$V$5001,"&lt;&gt;")=0,"",SUMIFS(BD!$V$3:$V$5001,BD!$A$3:$A$5001,AC$3,BD!$B$3:$B$5001,$A$277)))</f>
        <v/>
      </c>
      <c r="AD296" s="199" t="str">
        <f>IF(AD$3="","",IF(COUNTIFS(BD!$A$3:$A$5001,AD$3,BD!$B$3:$B$5001,$A$277,BD!$V$3:$V$5001,"&lt;&gt;")=0,"",SUMIFS(BD!$V$3:$V$5001,BD!$A$3:$A$5001,AD$3,BD!$B$3:$B$5001,$A$277)))</f>
        <v/>
      </c>
      <c r="AE296" s="199" t="str">
        <f>IF(AE$3="","",IF(COUNTIFS(BD!$A$3:$A$5001,AE$3,BD!$B$3:$B$5001,$A$277,BD!$V$3:$V$5001,"&lt;&gt;")=0,"",SUMIFS(BD!$V$3:$V$5001,BD!$A$3:$A$5001,AE$3,BD!$B$3:$B$5001,$A$277)))</f>
        <v/>
      </c>
      <c r="AF296" s="199" t="str">
        <f>IF(AF$3="","",IF(COUNTIFS(BD!$A$3:$A$5001,AF$3,BD!$B$3:$B$5001,$A$277,BD!$V$3:$V$5001,"&lt;&gt;")=0,"",SUMIFS(BD!$V$3:$V$5001,BD!$A$3:$A$5001,AF$3,BD!$B$3:$B$5001,$A$277)))</f>
        <v/>
      </c>
      <c r="AG296" s="199" t="str">
        <f>IF(AG$3="","",IF(COUNTIFS(BD!$A$3:$A$5001,AG$3,BD!$B$3:$B$5001,$A$277,BD!$V$3:$V$5001,"&lt;&gt;")=0,"",SUMIFS(BD!$V$3:$V$5001,BD!$A$3:$A$5001,AG$3,BD!$B$3:$B$5001,$A$277)))</f>
        <v/>
      </c>
      <c r="AH296" s="199" t="str">
        <f>IF(AH$3="","",IF(COUNTIFS(BD!$A$3:$A$5001,AH$3,BD!$B$3:$B$5001,$A$277,BD!$V$3:$V$5001,"&lt;&gt;")=0,"",SUMIFS(BD!$V$3:$V$5001,BD!$A$3:$A$5001,AH$3,BD!$B$3:$B$5001,$A$277)))</f>
        <v/>
      </c>
      <c r="AI296" s="199" t="str">
        <f>IF(AI$3="","",IF(COUNTIFS(BD!$A$3:$A$5001,AI$3,BD!$B$3:$B$5001,$A$277,BD!$V$3:$V$5001,"&lt;&gt;")=0,"",SUMIFS(BD!$V$3:$V$5001,BD!$A$3:$A$5001,AI$3,BD!$B$3:$B$5001,$A$277)))</f>
        <v/>
      </c>
      <c r="AJ296" s="200" t="str">
        <f>IF(AJ$3="","",IF(COUNTIFS(BD!$A$3:$A$5001,AJ$3,BD!$B$3:$B$5001,$A$277,BD!$V$3:$V$5001,"&lt;&gt;")=0,"",SUMIFS(BD!$V$3:$V$5001,BD!$A$3:$A$5001,AJ$3,BD!$B$3:$B$5001,$A$277)))</f>
        <v/>
      </c>
      <c r="AK296" s="196" t="str">
        <f>IFERROR(LOOKUP(9.99E+307,F296:AJ296),"")</f>
        <v/>
      </c>
    </row>
    <row r="297" ht="15.75" customHeight="1" hidden="1">
      <c r="A297" s="244"/>
      <c r="B297" s="232" t="inlineStr">
        <is>
          <t xml:space="preserve">OCUPAÇÃO (P.P)</t>
        </is>
      </c>
      <c r="C297" s="155" t="inlineStr">
        <is>
          <t xml:space="preserve">Posições Disponíveis</t>
        </is>
      </c>
      <c r="D297" s="156" t="str">
        <f>IFERROR(1/(1/INDEX(BD!$AJ$43:$BD$43,MATCH($A$277,BD!$AJ$22:$BD$22,0))),"")</f>
        <v/>
      </c>
      <c r="E297" s="157"/>
      <c r="F297" s="158" t="str">
        <f>IF(F$3="","",IF(COUNTIFS(BD!$A$3:$A$5001,F$3,BD!$B$3:$B$5001,$A$277,BD!$W$3:$W$5001,"&lt;&gt;")=0,"",SUMIFS(BD!$W$3:$W$5001,BD!$A$3:$A$5001,F$3,BD!$B$3:$B$5001,$A$277)))</f>
        <v/>
      </c>
      <c r="G297" s="159" t="str">
        <f>IF(G$3="","",IF(COUNTIFS(BD!$A$3:$A$5001,G$3,BD!$B$3:$B$5001,$A$277,BD!$W$3:$W$5001,"&lt;&gt;")=0,"",SUMIFS(BD!$W$3:$W$5001,BD!$A$3:$A$5001,G$3,BD!$B$3:$B$5001,$A$277)))</f>
        <v/>
      </c>
      <c r="H297" s="159" t="str">
        <f>IF(H$3="","",IF(COUNTIFS(BD!$A$3:$A$5001,H$3,BD!$B$3:$B$5001,$A$277,BD!$W$3:$W$5001,"&lt;&gt;")=0,"",SUMIFS(BD!$W$3:$W$5001,BD!$A$3:$A$5001,H$3,BD!$B$3:$B$5001,$A$277)))</f>
        <v/>
      </c>
      <c r="I297" s="159" t="str">
        <f>IF(I$3="","",IF(COUNTIFS(BD!$A$3:$A$5001,I$3,BD!$B$3:$B$5001,$A$277,BD!$W$3:$W$5001,"&lt;&gt;")=0,"",SUMIFS(BD!$W$3:$W$5001,BD!$A$3:$A$5001,I$3,BD!$B$3:$B$5001,$A$277)))</f>
        <v/>
      </c>
      <c r="J297" s="159" t="str">
        <f>IF(J$3="","",IF(COUNTIFS(BD!$A$3:$A$5001,J$3,BD!$B$3:$B$5001,$A$277,BD!$W$3:$W$5001,"&lt;&gt;")=0,"",SUMIFS(BD!$W$3:$W$5001,BD!$A$3:$A$5001,J$3,BD!$B$3:$B$5001,$A$277)))</f>
        <v/>
      </c>
      <c r="K297" s="159" t="str">
        <f>IF(K$3="","",IF(COUNTIFS(BD!$A$3:$A$5001,K$3,BD!$B$3:$B$5001,$A$277,BD!$W$3:$W$5001,"&lt;&gt;")=0,"",SUMIFS(BD!$W$3:$W$5001,BD!$A$3:$A$5001,K$3,BD!$B$3:$B$5001,$A$277)))</f>
        <v/>
      </c>
      <c r="L297" s="159" t="str">
        <f>IF(L$3="","",IF(COUNTIFS(BD!$A$3:$A$5001,L$3,BD!$B$3:$B$5001,$A$277,BD!$W$3:$W$5001,"&lt;&gt;")=0,"",SUMIFS(BD!$W$3:$W$5001,BD!$A$3:$A$5001,L$3,BD!$B$3:$B$5001,$A$277)))</f>
        <v/>
      </c>
      <c r="M297" s="159" t="str">
        <f>IF(M$3="","",IF(COUNTIFS(BD!$A$3:$A$5001,M$3,BD!$B$3:$B$5001,$A$277,BD!$W$3:$W$5001,"&lt;&gt;")=0,"",SUMIFS(BD!$W$3:$W$5001,BD!$A$3:$A$5001,M$3,BD!$B$3:$B$5001,$A$277)))</f>
        <v/>
      </c>
      <c r="N297" s="159" t="str">
        <f>IF(N$3="","",IF(COUNTIFS(BD!$A$3:$A$5001,N$3,BD!$B$3:$B$5001,$A$277,BD!$W$3:$W$5001,"&lt;&gt;")=0,"",SUMIFS(BD!$W$3:$W$5001,BD!$A$3:$A$5001,N$3,BD!$B$3:$B$5001,$A$277)))</f>
        <v/>
      </c>
      <c r="O297" s="159" t="str">
        <f>IF(O$3="","",IF(COUNTIFS(BD!$A$3:$A$5001,O$3,BD!$B$3:$B$5001,$A$277,BD!$W$3:$W$5001,"&lt;&gt;")=0,"",SUMIFS(BD!$W$3:$W$5001,BD!$A$3:$A$5001,O$3,BD!$B$3:$B$5001,$A$277)))</f>
        <v/>
      </c>
      <c r="P297" s="159" t="str">
        <f>IF(P$3="","",IF(COUNTIFS(BD!$A$3:$A$5001,P$3,BD!$B$3:$B$5001,$A$277,BD!$W$3:$W$5001,"&lt;&gt;")=0,"",SUMIFS(BD!$W$3:$W$5001,BD!$A$3:$A$5001,P$3,BD!$B$3:$B$5001,$A$277)))</f>
        <v/>
      </c>
      <c r="Q297" s="159" t="str">
        <f>IF(Q$3="","",IF(COUNTIFS(BD!$A$3:$A$5001,Q$3,BD!$B$3:$B$5001,$A$277,BD!$W$3:$W$5001,"&lt;&gt;")=0,"",SUMIFS(BD!$W$3:$W$5001,BD!$A$3:$A$5001,Q$3,BD!$B$3:$B$5001,$A$277)))</f>
        <v/>
      </c>
      <c r="R297" s="159" t="str">
        <f>IF(R$3="","",IF(COUNTIFS(BD!$A$3:$A$5001,R$3,BD!$B$3:$B$5001,$A$277,BD!$W$3:$W$5001,"&lt;&gt;")=0,"",SUMIFS(BD!$W$3:$W$5001,BD!$A$3:$A$5001,R$3,BD!$B$3:$B$5001,$A$277)))</f>
        <v/>
      </c>
      <c r="S297" s="159" t="str">
        <f>IF(S$3="","",IF(COUNTIFS(BD!$A$3:$A$5001,S$3,BD!$B$3:$B$5001,$A$277,BD!$W$3:$W$5001,"&lt;&gt;")=0,"",SUMIFS(BD!$W$3:$W$5001,BD!$A$3:$A$5001,S$3,BD!$B$3:$B$5001,$A$277)))</f>
        <v/>
      </c>
      <c r="T297" s="159" t="str">
        <f>IF(T$3="","",IF(COUNTIFS(BD!$A$3:$A$5001,T$3,BD!$B$3:$B$5001,$A$277,BD!$W$3:$W$5001,"&lt;&gt;")=0,"",SUMIFS(BD!$W$3:$W$5001,BD!$A$3:$A$5001,T$3,BD!$B$3:$B$5001,$A$277)))</f>
        <v/>
      </c>
      <c r="U297" s="159" t="str">
        <f>IF(U$3="","",IF(COUNTIFS(BD!$A$3:$A$5001,U$3,BD!$B$3:$B$5001,$A$277,BD!$W$3:$W$5001,"&lt;&gt;")=0,"",SUMIFS(BD!$W$3:$W$5001,BD!$A$3:$A$5001,U$3,BD!$B$3:$B$5001,$A$277)))</f>
        <v/>
      </c>
      <c r="V297" s="159" t="str">
        <f>IF(V$3="","",IF(COUNTIFS(BD!$A$3:$A$5001,V$3,BD!$B$3:$B$5001,$A$277,BD!$W$3:$W$5001,"&lt;&gt;")=0,"",SUMIFS(BD!$W$3:$W$5001,BD!$A$3:$A$5001,V$3,BD!$B$3:$B$5001,$A$277)))</f>
        <v/>
      </c>
      <c r="W297" s="159" t="str">
        <f>IF(W$3="","",IF(COUNTIFS(BD!$A$3:$A$5001,W$3,BD!$B$3:$B$5001,$A$277,BD!$W$3:$W$5001,"&lt;&gt;")=0,"",SUMIFS(BD!$W$3:$W$5001,BD!$A$3:$A$5001,W$3,BD!$B$3:$B$5001,$A$277)))</f>
        <v/>
      </c>
      <c r="X297" s="159" t="str">
        <f>IF(X$3="","",IF(COUNTIFS(BD!$A$3:$A$5001,X$3,BD!$B$3:$B$5001,$A$277,BD!$W$3:$W$5001,"&lt;&gt;")=0,"",SUMIFS(BD!$W$3:$W$5001,BD!$A$3:$A$5001,X$3,BD!$B$3:$B$5001,$A$277)))</f>
        <v/>
      </c>
      <c r="Y297" s="159" t="str">
        <f>IF(Y$3="","",IF(COUNTIFS(BD!$A$3:$A$5001,Y$3,BD!$B$3:$B$5001,$A$277,BD!$W$3:$W$5001,"&lt;&gt;")=0,"",SUMIFS(BD!$W$3:$W$5001,BD!$A$3:$A$5001,Y$3,BD!$B$3:$B$5001,$A$277)))</f>
        <v/>
      </c>
      <c r="Z297" s="159" t="str">
        <f>IF(Z$3="","",IF(COUNTIFS(BD!$A$3:$A$5001,Z$3,BD!$B$3:$B$5001,$A$277,BD!$W$3:$W$5001,"&lt;&gt;")=0,"",SUMIFS(BD!$W$3:$W$5001,BD!$A$3:$A$5001,Z$3,BD!$B$3:$B$5001,$A$277)))</f>
        <v/>
      </c>
      <c r="AA297" s="159" t="str">
        <f>IF(AA$3="","",IF(COUNTIFS(BD!$A$3:$A$5001,AA$3,BD!$B$3:$B$5001,$A$277,BD!$W$3:$W$5001,"&lt;&gt;")=0,"",SUMIFS(BD!$W$3:$W$5001,BD!$A$3:$A$5001,AA$3,BD!$B$3:$B$5001,$A$277)))</f>
        <v/>
      </c>
      <c r="AB297" s="159" t="str">
        <f>IF(AB$3="","",IF(COUNTIFS(BD!$A$3:$A$5001,AB$3,BD!$B$3:$B$5001,$A$277,BD!$W$3:$W$5001,"&lt;&gt;")=0,"",SUMIFS(BD!$W$3:$W$5001,BD!$A$3:$A$5001,AB$3,BD!$B$3:$B$5001,$A$277)))</f>
        <v/>
      </c>
      <c r="AC297" s="159" t="str">
        <f>IF(AC$3="","",IF(COUNTIFS(BD!$A$3:$A$5001,AC$3,BD!$B$3:$B$5001,$A$277,BD!$W$3:$W$5001,"&lt;&gt;")=0,"",SUMIFS(BD!$W$3:$W$5001,BD!$A$3:$A$5001,AC$3,BD!$B$3:$B$5001,$A$277)))</f>
        <v/>
      </c>
      <c r="AD297" s="159" t="str">
        <f>IF(AD$3="","",IF(COUNTIFS(BD!$A$3:$A$5001,AD$3,BD!$B$3:$B$5001,$A$277,BD!$W$3:$W$5001,"&lt;&gt;")=0,"",SUMIFS(BD!$W$3:$W$5001,BD!$A$3:$A$5001,AD$3,BD!$B$3:$B$5001,$A$277)))</f>
        <v/>
      </c>
      <c r="AE297" s="159" t="str">
        <f>IF(AE$3="","",IF(COUNTIFS(BD!$A$3:$A$5001,AE$3,BD!$B$3:$B$5001,$A$277,BD!$W$3:$W$5001,"&lt;&gt;")=0,"",SUMIFS(BD!$W$3:$W$5001,BD!$A$3:$A$5001,AE$3,BD!$B$3:$B$5001,$A$277)))</f>
        <v/>
      </c>
      <c r="AF297" s="159" t="str">
        <f>IF(AF$3="","",IF(COUNTIFS(BD!$A$3:$A$5001,AF$3,BD!$B$3:$B$5001,$A$277,BD!$W$3:$W$5001,"&lt;&gt;")=0,"",SUMIFS(BD!$W$3:$W$5001,BD!$A$3:$A$5001,AF$3,BD!$B$3:$B$5001,$A$277)))</f>
        <v/>
      </c>
      <c r="AG297" s="159" t="str">
        <f>IF(AG$3="","",IF(COUNTIFS(BD!$A$3:$A$5001,AG$3,BD!$B$3:$B$5001,$A$277,BD!$W$3:$W$5001,"&lt;&gt;")=0,"",SUMIFS(BD!$W$3:$W$5001,BD!$A$3:$A$5001,AG$3,BD!$B$3:$B$5001,$A$277)))</f>
        <v/>
      </c>
      <c r="AH297" s="159" t="str">
        <f>IF(AH$3="","",IF(COUNTIFS(BD!$A$3:$A$5001,AH$3,BD!$B$3:$B$5001,$A$277,BD!$W$3:$W$5001,"&lt;&gt;")=0,"",SUMIFS(BD!$W$3:$W$5001,BD!$A$3:$A$5001,AH$3,BD!$B$3:$B$5001,$A$277)))</f>
        <v/>
      </c>
      <c r="AI297" s="159" t="str">
        <f>IF(AI$3="","",IF(COUNTIFS(BD!$A$3:$A$5001,AI$3,BD!$B$3:$B$5001,$A$277,BD!$W$3:$W$5001,"&lt;&gt;")=0,"",SUMIFS(BD!$W$3:$W$5001,BD!$A$3:$A$5001,AI$3,BD!$B$3:$B$5001,$A$277)))</f>
        <v/>
      </c>
      <c r="AJ297" s="160" t="str">
        <f>IF(AJ$3="","",IF(COUNTIFS(BD!$A$3:$A$5001,AJ$3,BD!$B$3:$B$5001,$A$277,BD!$W$3:$W$5001,"&lt;&gt;")=0,"",SUMIFS(BD!$W$3:$W$5001,BD!$A$3:$A$5001,AJ$3,BD!$B$3:$B$5001,$A$277)))</f>
        <v/>
      </c>
      <c r="AK297" s="161" t="str">
        <f>IF(COUNT(F297:AJ297)&gt;0,LOOKUP(9.99E+307,F297:AJ297),IFERROR(IF(INDEX(BD!$AG$3:$AG$5001,MATCH($A$277,BD!$B$3:$B$5001,0))&amp;""="Contrato","",INDEX(BD!$AG$3:$AG$5001,MATCH($A$277,BD!$B$3:$B$5001,0))&amp;""),""))</f>
        <v/>
      </c>
    </row>
    <row r="298" ht="15.75" customHeight="1" hidden="1">
      <c r="A298" s="244"/>
      <c r="B298" s="239"/>
      <c r="C298" s="201" t="inlineStr">
        <is>
          <t xml:space="preserve">Posições Ocupadas</t>
        </is>
      </c>
      <c r="D298" s="202" t="str">
        <f>IFERROR(1/(1/INDEX(BD!$AJ$44:$BD$44,MATCH($A$277,BD!$AJ$22:$BD$22,0))),"")</f>
        <v/>
      </c>
      <c r="E298" s="203"/>
      <c r="F298" s="204" t="str">
        <f>IF(F$3="","",IF(COUNTIFS(BD!$A$3:$A$5001,F$3,BD!$B$3:$B$5001,$A$277,BD!$X$3:$X$5001,"&lt;&gt;")=0,"",SUMIFS(BD!$X$3:$X$5001,BD!$A$3:$A$5001,F$3,BD!$B$3:$B$5001,$A$277)))</f>
        <v/>
      </c>
      <c r="G298" s="205" t="str">
        <f>IF(G$3="","",IF(COUNTIFS(BD!$A$3:$A$5001,G$3,BD!$B$3:$B$5001,$A$277,BD!$X$3:$X$5001,"&lt;&gt;")=0,"",SUMIFS(BD!$X$3:$X$5001,BD!$A$3:$A$5001,G$3,BD!$B$3:$B$5001,$A$277)))</f>
        <v/>
      </c>
      <c r="H298" s="205" t="str">
        <f>IF(H$3="","",IF(COUNTIFS(BD!$A$3:$A$5001,H$3,BD!$B$3:$B$5001,$A$277,BD!$X$3:$X$5001,"&lt;&gt;")=0,"",SUMIFS(BD!$X$3:$X$5001,BD!$A$3:$A$5001,H$3,BD!$B$3:$B$5001,$A$277)))</f>
        <v/>
      </c>
      <c r="I298" s="205" t="str">
        <f>IF(I$3="","",IF(COUNTIFS(BD!$A$3:$A$5001,I$3,BD!$B$3:$B$5001,$A$277,BD!$X$3:$X$5001,"&lt;&gt;")=0,"",SUMIFS(BD!$X$3:$X$5001,BD!$A$3:$A$5001,I$3,BD!$B$3:$B$5001,$A$277)))</f>
        <v/>
      </c>
      <c r="J298" s="205" t="str">
        <f>IF(J$3="","",IF(COUNTIFS(BD!$A$3:$A$5001,J$3,BD!$B$3:$B$5001,$A$277,BD!$X$3:$X$5001,"&lt;&gt;")=0,"",SUMIFS(BD!$X$3:$X$5001,BD!$A$3:$A$5001,J$3,BD!$B$3:$B$5001,$A$277)))</f>
        <v/>
      </c>
      <c r="K298" s="205" t="str">
        <f>IF(K$3="","",IF(COUNTIFS(BD!$A$3:$A$5001,K$3,BD!$B$3:$B$5001,$A$277,BD!$X$3:$X$5001,"&lt;&gt;")=0,"",SUMIFS(BD!$X$3:$X$5001,BD!$A$3:$A$5001,K$3,BD!$B$3:$B$5001,$A$277)))</f>
        <v/>
      </c>
      <c r="L298" s="205" t="str">
        <f>IF(L$3="","",IF(COUNTIFS(BD!$A$3:$A$5001,L$3,BD!$B$3:$B$5001,$A$277,BD!$X$3:$X$5001,"&lt;&gt;")=0,"",SUMIFS(BD!$X$3:$X$5001,BD!$A$3:$A$5001,L$3,BD!$B$3:$B$5001,$A$277)))</f>
        <v/>
      </c>
      <c r="M298" s="205" t="str">
        <f>IF(M$3="","",IF(COUNTIFS(BD!$A$3:$A$5001,M$3,BD!$B$3:$B$5001,$A$277,BD!$X$3:$X$5001,"&lt;&gt;")=0,"",SUMIFS(BD!$X$3:$X$5001,BD!$A$3:$A$5001,M$3,BD!$B$3:$B$5001,$A$277)))</f>
        <v/>
      </c>
      <c r="N298" s="205" t="str">
        <f>IF(N$3="","",IF(COUNTIFS(BD!$A$3:$A$5001,N$3,BD!$B$3:$B$5001,$A$277,BD!$X$3:$X$5001,"&lt;&gt;")=0,"",SUMIFS(BD!$X$3:$X$5001,BD!$A$3:$A$5001,N$3,BD!$B$3:$B$5001,$A$277)))</f>
        <v/>
      </c>
      <c r="O298" s="205" t="str">
        <f>IF(O$3="","",IF(COUNTIFS(BD!$A$3:$A$5001,O$3,BD!$B$3:$B$5001,$A$277,BD!$X$3:$X$5001,"&lt;&gt;")=0,"",SUMIFS(BD!$X$3:$X$5001,BD!$A$3:$A$5001,O$3,BD!$B$3:$B$5001,$A$277)))</f>
        <v/>
      </c>
      <c r="P298" s="205" t="str">
        <f>IF(P$3="","",IF(COUNTIFS(BD!$A$3:$A$5001,P$3,BD!$B$3:$B$5001,$A$277,BD!$X$3:$X$5001,"&lt;&gt;")=0,"",SUMIFS(BD!$X$3:$X$5001,BD!$A$3:$A$5001,P$3,BD!$B$3:$B$5001,$A$277)))</f>
        <v/>
      </c>
      <c r="Q298" s="205" t="str">
        <f>IF(Q$3="","",IF(COUNTIFS(BD!$A$3:$A$5001,Q$3,BD!$B$3:$B$5001,$A$277,BD!$X$3:$X$5001,"&lt;&gt;")=0,"",SUMIFS(BD!$X$3:$X$5001,BD!$A$3:$A$5001,Q$3,BD!$B$3:$B$5001,$A$277)))</f>
        <v/>
      </c>
      <c r="R298" s="205" t="str">
        <f>IF(R$3="","",IF(COUNTIFS(BD!$A$3:$A$5001,R$3,BD!$B$3:$B$5001,$A$277,BD!$X$3:$X$5001,"&lt;&gt;")=0,"",SUMIFS(BD!$X$3:$X$5001,BD!$A$3:$A$5001,R$3,BD!$B$3:$B$5001,$A$277)))</f>
        <v/>
      </c>
      <c r="S298" s="205" t="str">
        <f>IF(S$3="","",IF(COUNTIFS(BD!$A$3:$A$5001,S$3,BD!$B$3:$B$5001,$A$277,BD!$X$3:$X$5001,"&lt;&gt;")=0,"",SUMIFS(BD!$X$3:$X$5001,BD!$A$3:$A$5001,S$3,BD!$B$3:$B$5001,$A$277)))</f>
        <v/>
      </c>
      <c r="T298" s="205" t="str">
        <f>IF(T$3="","",IF(COUNTIFS(BD!$A$3:$A$5001,T$3,BD!$B$3:$B$5001,$A$277,BD!$X$3:$X$5001,"&lt;&gt;")=0,"",SUMIFS(BD!$X$3:$X$5001,BD!$A$3:$A$5001,T$3,BD!$B$3:$B$5001,$A$277)))</f>
        <v/>
      </c>
      <c r="U298" s="205" t="str">
        <f>IF(U$3="","",IF(COUNTIFS(BD!$A$3:$A$5001,U$3,BD!$B$3:$B$5001,$A$277,BD!$X$3:$X$5001,"&lt;&gt;")=0,"",SUMIFS(BD!$X$3:$X$5001,BD!$A$3:$A$5001,U$3,BD!$B$3:$B$5001,$A$277)))</f>
        <v/>
      </c>
      <c r="V298" s="205" t="str">
        <f>IF(V$3="","",IF(COUNTIFS(BD!$A$3:$A$5001,V$3,BD!$B$3:$B$5001,$A$277,BD!$X$3:$X$5001,"&lt;&gt;")=0,"",SUMIFS(BD!$X$3:$X$5001,BD!$A$3:$A$5001,V$3,BD!$B$3:$B$5001,$A$277)))</f>
        <v/>
      </c>
      <c r="W298" s="205" t="str">
        <f>IF(W$3="","",IF(COUNTIFS(BD!$A$3:$A$5001,W$3,BD!$B$3:$B$5001,$A$277,BD!$X$3:$X$5001,"&lt;&gt;")=0,"",SUMIFS(BD!$X$3:$X$5001,BD!$A$3:$A$5001,W$3,BD!$B$3:$B$5001,$A$277)))</f>
        <v/>
      </c>
      <c r="X298" s="205" t="str">
        <f>IF(X$3="","",IF(COUNTIFS(BD!$A$3:$A$5001,X$3,BD!$B$3:$B$5001,$A$277,BD!$X$3:$X$5001,"&lt;&gt;")=0,"",SUMIFS(BD!$X$3:$X$5001,BD!$A$3:$A$5001,X$3,BD!$B$3:$B$5001,$A$277)))</f>
        <v/>
      </c>
      <c r="Y298" s="205" t="str">
        <f>IF(Y$3="","",IF(COUNTIFS(BD!$A$3:$A$5001,Y$3,BD!$B$3:$B$5001,$A$277,BD!$X$3:$X$5001,"&lt;&gt;")=0,"",SUMIFS(BD!$X$3:$X$5001,BD!$A$3:$A$5001,Y$3,BD!$B$3:$B$5001,$A$277)))</f>
        <v/>
      </c>
      <c r="Z298" s="205" t="str">
        <f>IF(Z$3="","",IF(COUNTIFS(BD!$A$3:$A$5001,Z$3,BD!$B$3:$B$5001,$A$277,BD!$X$3:$X$5001,"&lt;&gt;")=0,"",SUMIFS(BD!$X$3:$X$5001,BD!$A$3:$A$5001,Z$3,BD!$B$3:$B$5001,$A$277)))</f>
        <v/>
      </c>
      <c r="AA298" s="205" t="str">
        <f>IF(AA$3="","",IF(COUNTIFS(BD!$A$3:$A$5001,AA$3,BD!$B$3:$B$5001,$A$277,BD!$X$3:$X$5001,"&lt;&gt;")=0,"",SUMIFS(BD!$X$3:$X$5001,BD!$A$3:$A$5001,AA$3,BD!$B$3:$B$5001,$A$277)))</f>
        <v/>
      </c>
      <c r="AB298" s="205" t="str">
        <f>IF(AB$3="","",IF(COUNTIFS(BD!$A$3:$A$5001,AB$3,BD!$B$3:$B$5001,$A$277,BD!$X$3:$X$5001,"&lt;&gt;")=0,"",SUMIFS(BD!$X$3:$X$5001,BD!$A$3:$A$5001,AB$3,BD!$B$3:$B$5001,$A$277)))</f>
        <v/>
      </c>
      <c r="AC298" s="205" t="str">
        <f>IF(AC$3="","",IF(COUNTIFS(BD!$A$3:$A$5001,AC$3,BD!$B$3:$B$5001,$A$277,BD!$X$3:$X$5001,"&lt;&gt;")=0,"",SUMIFS(BD!$X$3:$X$5001,BD!$A$3:$A$5001,AC$3,BD!$B$3:$B$5001,$A$277)))</f>
        <v/>
      </c>
      <c r="AD298" s="205" t="str">
        <f>IF(AD$3="","",IF(COUNTIFS(BD!$A$3:$A$5001,AD$3,BD!$B$3:$B$5001,$A$277,BD!$X$3:$X$5001,"&lt;&gt;")=0,"",SUMIFS(BD!$X$3:$X$5001,BD!$A$3:$A$5001,AD$3,BD!$B$3:$B$5001,$A$277)))</f>
        <v/>
      </c>
      <c r="AE298" s="205" t="str">
        <f>IF(AE$3="","",IF(COUNTIFS(BD!$A$3:$A$5001,AE$3,BD!$B$3:$B$5001,$A$277,BD!$X$3:$X$5001,"&lt;&gt;")=0,"",SUMIFS(BD!$X$3:$X$5001,BD!$A$3:$A$5001,AE$3,BD!$B$3:$B$5001,$A$277)))</f>
        <v/>
      </c>
      <c r="AF298" s="205" t="str">
        <f>IF(AF$3="","",IF(COUNTIFS(BD!$A$3:$A$5001,AF$3,BD!$B$3:$B$5001,$A$277,BD!$X$3:$X$5001,"&lt;&gt;")=0,"",SUMIFS(BD!$X$3:$X$5001,BD!$A$3:$A$5001,AF$3,BD!$B$3:$B$5001,$A$277)))</f>
        <v/>
      </c>
      <c r="AG298" s="205" t="str">
        <f>IF(AG$3="","",IF(COUNTIFS(BD!$A$3:$A$5001,AG$3,BD!$B$3:$B$5001,$A$277,BD!$X$3:$X$5001,"&lt;&gt;")=0,"",SUMIFS(BD!$X$3:$X$5001,BD!$A$3:$A$5001,AG$3,BD!$B$3:$B$5001,$A$277)))</f>
        <v/>
      </c>
      <c r="AH298" s="205" t="str">
        <f>IF(AH$3="","",IF(COUNTIFS(BD!$A$3:$A$5001,AH$3,BD!$B$3:$B$5001,$A$277,BD!$X$3:$X$5001,"&lt;&gt;")=0,"",SUMIFS(BD!$X$3:$X$5001,BD!$A$3:$A$5001,AH$3,BD!$B$3:$B$5001,$A$277)))</f>
        <v/>
      </c>
      <c r="AI298" s="205" t="str">
        <f>IF(AI$3="","",IF(COUNTIFS(BD!$A$3:$A$5001,AI$3,BD!$B$3:$B$5001,$A$277,BD!$X$3:$X$5001,"&lt;&gt;")=0,"",SUMIFS(BD!$X$3:$X$5001,BD!$A$3:$A$5001,AI$3,BD!$B$3:$B$5001,$A$277)))</f>
        <v/>
      </c>
      <c r="AJ298" s="206" t="str">
        <f>IF(AJ$3="","",IF(COUNTIFS(BD!$A$3:$A$5001,AJ$3,BD!$B$3:$B$5001,$A$277,BD!$X$3:$X$5001,"&lt;&gt;")=0,"",SUMIFS(BD!$X$3:$X$5001,BD!$A$3:$A$5001,AJ$3,BD!$B$3:$B$5001,$A$277)))</f>
        <v/>
      </c>
      <c r="AK298" s="207" t="str">
        <f>IFERROR(LOOKUP(9.99E+307,F298:AJ298),"")</f>
        <v/>
      </c>
    </row>
    <row r="299" ht="15.75" customHeight="1" hidden="1">
      <c r="A299" s="244"/>
      <c r="B299" s="233"/>
      <c r="C299" s="162" t="inlineStr">
        <is>
          <t xml:space="preserve">Taxa de Ocupação</t>
        </is>
      </c>
      <c r="D299" s="208" t="str">
        <f>IFERROR(1/(1/INDEX(BD!$AJ$45:$BD$45,MATCH($A$277,BD!$AJ$22:$BD$22,0))),"")</f>
        <v/>
      </c>
      <c r="E299" s="164"/>
      <c r="F299" s="209" t="str">
        <f>IF(AND(ISNUMBER(F297),ISNUMBER(F298)),IF(F297&gt;0,F298/F297,""),"")</f>
        <v/>
      </c>
      <c r="G299" s="210" t="str">
        <f>IF(AND(ISNUMBER(G297),ISNUMBER(G298)),IF(G297&gt;0,G298/G297,""),"")</f>
        <v/>
      </c>
      <c r="H299" s="210" t="str">
        <f>IF(AND(ISNUMBER(H297),ISNUMBER(H298)),IF(H297&gt;0,H298/H297,""),"")</f>
        <v/>
      </c>
      <c r="I299" s="210" t="str">
        <f>IF(AND(ISNUMBER(I297),ISNUMBER(I298)),IF(I297&gt;0,I298/I297,""),"")</f>
        <v/>
      </c>
      <c r="J299" s="210" t="str">
        <f>IF(AND(ISNUMBER(J297),ISNUMBER(J298)),IF(J297&gt;0,J298/J297,""),"")</f>
        <v/>
      </c>
      <c r="K299" s="210" t="str">
        <f>IF(AND(ISNUMBER(K297),ISNUMBER(K298)),IF(K297&gt;0,K298/K297,""),"")</f>
        <v/>
      </c>
      <c r="L299" s="210" t="str">
        <f>IF(AND(ISNUMBER(L297),ISNUMBER(L298)),IF(L297&gt;0,L298/L297,""),"")</f>
        <v/>
      </c>
      <c r="M299" s="210" t="str">
        <f>IF(AND(ISNUMBER(M297),ISNUMBER(M298)),IF(M297&gt;0,M298/M297,""),"")</f>
        <v/>
      </c>
      <c r="N299" s="210" t="str">
        <f>IF(AND(ISNUMBER(N297),ISNUMBER(N298)),IF(N297&gt;0,N298/N297,""),"")</f>
        <v/>
      </c>
      <c r="O299" s="210" t="str">
        <f>IF(AND(ISNUMBER(O297),ISNUMBER(O298)),IF(O297&gt;0,O298/O297,""),"")</f>
        <v/>
      </c>
      <c r="P299" s="210" t="str">
        <f>IF(AND(ISNUMBER(P297),ISNUMBER(P298)),IF(P297&gt;0,P298/P297,""),"")</f>
        <v/>
      </c>
      <c r="Q299" s="210" t="str">
        <f>IF(AND(ISNUMBER(Q297),ISNUMBER(Q298)),IF(Q297&gt;0,Q298/Q297,""),"")</f>
        <v/>
      </c>
      <c r="R299" s="210" t="str">
        <f>IF(AND(ISNUMBER(R297),ISNUMBER(R298)),IF(R297&gt;0,R298/R297,""),"")</f>
        <v/>
      </c>
      <c r="S299" s="210" t="str">
        <f>IF(AND(ISNUMBER(S297),ISNUMBER(S298)),IF(S297&gt;0,S298/S297,""),"")</f>
        <v/>
      </c>
      <c r="T299" s="210" t="str">
        <f>IF(AND(ISNUMBER(T297),ISNUMBER(T298)),IF(T297&gt;0,T298/T297,""),"")</f>
        <v/>
      </c>
      <c r="U299" s="210" t="str">
        <f>IF(AND(ISNUMBER(U297),ISNUMBER(U298)),IF(U297&gt;0,U298/U297,""),"")</f>
        <v/>
      </c>
      <c r="V299" s="210" t="str">
        <f>IF(AND(ISNUMBER(V297),ISNUMBER(V298)),IF(V297&gt;0,V298/V297,""),"")</f>
        <v/>
      </c>
      <c r="W299" s="210" t="str">
        <f>IF(AND(ISNUMBER(W297),ISNUMBER(W298)),IF(W297&gt;0,W298/W297,""),"")</f>
        <v/>
      </c>
      <c r="X299" s="210" t="str">
        <f>IF(AND(ISNUMBER(X297),ISNUMBER(X298)),IF(X297&gt;0,X298/X297,""),"")</f>
        <v/>
      </c>
      <c r="Y299" s="210" t="str">
        <f>IF(AND(ISNUMBER(Y297),ISNUMBER(Y298)),IF(Y297&gt;0,Y298/Y297,""),"")</f>
        <v/>
      </c>
      <c r="Z299" s="210" t="str">
        <f>IF(AND(ISNUMBER(Z297),ISNUMBER(Z298)),IF(Z297&gt;0,Z298/Z297,""),"")</f>
        <v/>
      </c>
      <c r="AA299" s="210" t="str">
        <f>IF(AND(ISNUMBER(AA297),ISNUMBER(AA298)),IF(AA297&gt;0,AA298/AA297,""),"")</f>
        <v/>
      </c>
      <c r="AB299" s="210" t="str">
        <f>IF(AND(ISNUMBER(AB297),ISNUMBER(AB298)),IF(AB297&gt;0,AB298/AB297,""),"")</f>
        <v/>
      </c>
      <c r="AC299" s="210" t="str">
        <f>IF(AND(ISNUMBER(AC297),ISNUMBER(AC298)),IF(AC297&gt;0,AC298/AC297,""),"")</f>
        <v/>
      </c>
      <c r="AD299" s="210" t="str">
        <f>IF(AND(ISNUMBER(AD297),ISNUMBER(AD298)),IF(AD297&gt;0,AD298/AD297,""),"")</f>
        <v/>
      </c>
      <c r="AE299" s="210" t="str">
        <f>IF(AND(ISNUMBER(AE297),ISNUMBER(AE298)),IF(AE297&gt;0,AE298/AE297,""),"")</f>
        <v/>
      </c>
      <c r="AF299" s="210" t="str">
        <f>IF(AND(ISNUMBER(AF297),ISNUMBER(AF298)),IF(AF297&gt;0,AF298/AF297,""),"")</f>
        <v/>
      </c>
      <c r="AG299" s="210" t="str">
        <f>IF(AND(ISNUMBER(AG297),ISNUMBER(AG298)),IF(AG297&gt;0,AG298/AG297,""),"")</f>
        <v/>
      </c>
      <c r="AH299" s="210" t="str">
        <f>IF(AND(ISNUMBER(AH297),ISNUMBER(AH298)),IF(AH297&gt;0,AH298/AH297,""),"")</f>
        <v/>
      </c>
      <c r="AI299" s="210" t="str">
        <f>IF(AND(ISNUMBER(AI297),ISNUMBER(AI298)),IF(AI297&gt;0,AI298/AI297,""),"")</f>
        <v/>
      </c>
      <c r="AJ299" s="211" t="str">
        <f>IF(AND(ISNUMBER(AJ297),ISNUMBER(AJ298)),IF(AJ297&gt;0,AJ298/AJ297,""),"")</f>
        <v/>
      </c>
      <c r="AK299" s="208" t="str">
        <f>IF(AND(ISNUMBER(AK297),ISNUMBER(AK298)),IF(AK297&gt;0,AK298/AK297,""),"")</f>
        <v/>
      </c>
    </row>
    <row r="300" ht="15.75" customHeight="1" hidden="1">
      <c r="A300" s="244"/>
      <c r="B300" s="240" t="inlineStr">
        <is>
          <t xml:space="preserve">GENTE</t>
        </is>
      </c>
      <c r="C300" s="212" t="inlineStr">
        <is>
          <t xml:space="preserve">Efetivo Op.</t>
        </is>
      </c>
      <c r="D300" s="213" t="str">
        <f>IFERROR(1/(1/INDEX(BD!$AJ$46:$BD$46,MATCH($A$277,BD!$AJ$22:$BD$22,0))),"")</f>
        <v/>
      </c>
      <c r="E300" s="214"/>
      <c r="F300" s="215" t="str">
        <f>IF(F$3="","",IF(COUNTIFS(BD!$A$3:$A$5001,F$3,BD!$B$3:$B$5001,$A$277,BD!$Y$3:$Y$5001,"&lt;&gt;")=0,"",SUMIFS(BD!$Y$3:$Y$5001,BD!$A$3:$A$5001,F$3,BD!$B$3:$B$5001,$A$277)))</f>
        <v/>
      </c>
      <c r="G300" s="216" t="str">
        <f>IF(G$3="","",IF(COUNTIFS(BD!$A$3:$A$5001,G$3,BD!$B$3:$B$5001,$A$277,BD!$Y$3:$Y$5001,"&lt;&gt;")=0,"",SUMIFS(BD!$Y$3:$Y$5001,BD!$A$3:$A$5001,G$3,BD!$B$3:$B$5001,$A$277)))</f>
        <v/>
      </c>
      <c r="H300" s="216" t="str">
        <f>IF(H$3="","",IF(COUNTIFS(BD!$A$3:$A$5001,H$3,BD!$B$3:$B$5001,$A$277,BD!$Y$3:$Y$5001,"&lt;&gt;")=0,"",SUMIFS(BD!$Y$3:$Y$5001,BD!$A$3:$A$5001,H$3,BD!$B$3:$B$5001,$A$277)))</f>
        <v/>
      </c>
      <c r="I300" s="216" t="str">
        <f>IF(I$3="","",IF(COUNTIFS(BD!$A$3:$A$5001,I$3,BD!$B$3:$B$5001,$A$277,BD!$Y$3:$Y$5001,"&lt;&gt;")=0,"",SUMIFS(BD!$Y$3:$Y$5001,BD!$A$3:$A$5001,I$3,BD!$B$3:$B$5001,$A$277)))</f>
        <v/>
      </c>
      <c r="J300" s="216" t="str">
        <f>IF(J$3="","",IF(COUNTIFS(BD!$A$3:$A$5001,J$3,BD!$B$3:$B$5001,$A$277,BD!$Y$3:$Y$5001,"&lt;&gt;")=0,"",SUMIFS(BD!$Y$3:$Y$5001,BD!$A$3:$A$5001,J$3,BD!$B$3:$B$5001,$A$277)))</f>
        <v/>
      </c>
      <c r="K300" s="216" t="str">
        <f>IF(K$3="","",IF(COUNTIFS(BD!$A$3:$A$5001,K$3,BD!$B$3:$B$5001,$A$277,BD!$Y$3:$Y$5001,"&lt;&gt;")=0,"",SUMIFS(BD!$Y$3:$Y$5001,BD!$A$3:$A$5001,K$3,BD!$B$3:$B$5001,$A$277)))</f>
        <v/>
      </c>
      <c r="L300" s="216" t="str">
        <f>IF(L$3="","",IF(COUNTIFS(BD!$A$3:$A$5001,L$3,BD!$B$3:$B$5001,$A$277,BD!$Y$3:$Y$5001,"&lt;&gt;")=0,"",SUMIFS(BD!$Y$3:$Y$5001,BD!$A$3:$A$5001,L$3,BD!$B$3:$B$5001,$A$277)))</f>
        <v/>
      </c>
      <c r="M300" s="216" t="str">
        <f>IF(M$3="","",IF(COUNTIFS(BD!$A$3:$A$5001,M$3,BD!$B$3:$B$5001,$A$277,BD!$Y$3:$Y$5001,"&lt;&gt;")=0,"",SUMIFS(BD!$Y$3:$Y$5001,BD!$A$3:$A$5001,M$3,BD!$B$3:$B$5001,$A$277)))</f>
        <v/>
      </c>
      <c r="N300" s="216" t="str">
        <f>IF(N$3="","",IF(COUNTIFS(BD!$A$3:$A$5001,N$3,BD!$B$3:$B$5001,$A$277,BD!$Y$3:$Y$5001,"&lt;&gt;")=0,"",SUMIFS(BD!$Y$3:$Y$5001,BD!$A$3:$A$5001,N$3,BD!$B$3:$B$5001,$A$277)))</f>
        <v/>
      </c>
      <c r="O300" s="216" t="str">
        <f>IF(O$3="","",IF(COUNTIFS(BD!$A$3:$A$5001,O$3,BD!$B$3:$B$5001,$A$277,BD!$Y$3:$Y$5001,"&lt;&gt;")=0,"",SUMIFS(BD!$Y$3:$Y$5001,BD!$A$3:$A$5001,O$3,BD!$B$3:$B$5001,$A$277)))</f>
        <v/>
      </c>
      <c r="P300" s="216" t="str">
        <f>IF(P$3="","",IF(COUNTIFS(BD!$A$3:$A$5001,P$3,BD!$B$3:$B$5001,$A$277,BD!$Y$3:$Y$5001,"&lt;&gt;")=0,"",SUMIFS(BD!$Y$3:$Y$5001,BD!$A$3:$A$5001,P$3,BD!$B$3:$B$5001,$A$277)))</f>
        <v/>
      </c>
      <c r="Q300" s="216" t="str">
        <f>IF(Q$3="","",IF(COUNTIFS(BD!$A$3:$A$5001,Q$3,BD!$B$3:$B$5001,$A$277,BD!$Y$3:$Y$5001,"&lt;&gt;")=0,"",SUMIFS(BD!$Y$3:$Y$5001,BD!$A$3:$A$5001,Q$3,BD!$B$3:$B$5001,$A$277)))</f>
        <v/>
      </c>
      <c r="R300" s="216" t="str">
        <f>IF(R$3="","",IF(COUNTIFS(BD!$A$3:$A$5001,R$3,BD!$B$3:$B$5001,$A$277,BD!$Y$3:$Y$5001,"&lt;&gt;")=0,"",SUMIFS(BD!$Y$3:$Y$5001,BD!$A$3:$A$5001,R$3,BD!$B$3:$B$5001,$A$277)))</f>
        <v/>
      </c>
      <c r="S300" s="216" t="str">
        <f>IF(S$3="","",IF(COUNTIFS(BD!$A$3:$A$5001,S$3,BD!$B$3:$B$5001,$A$277,BD!$Y$3:$Y$5001,"&lt;&gt;")=0,"",SUMIFS(BD!$Y$3:$Y$5001,BD!$A$3:$A$5001,S$3,BD!$B$3:$B$5001,$A$277)))</f>
        <v/>
      </c>
      <c r="T300" s="216" t="str">
        <f>IF(T$3="","",IF(COUNTIFS(BD!$A$3:$A$5001,T$3,BD!$B$3:$B$5001,$A$277,BD!$Y$3:$Y$5001,"&lt;&gt;")=0,"",SUMIFS(BD!$Y$3:$Y$5001,BD!$A$3:$A$5001,T$3,BD!$B$3:$B$5001,$A$277)))</f>
        <v/>
      </c>
      <c r="U300" s="216" t="str">
        <f>IF(U$3="","",IF(COUNTIFS(BD!$A$3:$A$5001,U$3,BD!$B$3:$B$5001,$A$277,BD!$Y$3:$Y$5001,"&lt;&gt;")=0,"",SUMIFS(BD!$Y$3:$Y$5001,BD!$A$3:$A$5001,U$3,BD!$B$3:$B$5001,$A$277)))</f>
        <v/>
      </c>
      <c r="V300" s="216" t="str">
        <f>IF(V$3="","",IF(COUNTIFS(BD!$A$3:$A$5001,V$3,BD!$B$3:$B$5001,$A$277,BD!$Y$3:$Y$5001,"&lt;&gt;")=0,"",SUMIFS(BD!$Y$3:$Y$5001,BD!$A$3:$A$5001,V$3,BD!$B$3:$B$5001,$A$277)))</f>
        <v/>
      </c>
      <c r="W300" s="216" t="str">
        <f>IF(W$3="","",IF(COUNTIFS(BD!$A$3:$A$5001,W$3,BD!$B$3:$B$5001,$A$277,BD!$Y$3:$Y$5001,"&lt;&gt;")=0,"",SUMIFS(BD!$Y$3:$Y$5001,BD!$A$3:$A$5001,W$3,BD!$B$3:$B$5001,$A$277)))</f>
        <v/>
      </c>
      <c r="X300" s="216" t="str">
        <f>IF(X$3="","",IF(COUNTIFS(BD!$A$3:$A$5001,X$3,BD!$B$3:$B$5001,$A$277,BD!$Y$3:$Y$5001,"&lt;&gt;")=0,"",SUMIFS(BD!$Y$3:$Y$5001,BD!$A$3:$A$5001,X$3,BD!$B$3:$B$5001,$A$277)))</f>
        <v/>
      </c>
      <c r="Y300" s="216" t="str">
        <f>IF(Y$3="","",IF(COUNTIFS(BD!$A$3:$A$5001,Y$3,BD!$B$3:$B$5001,$A$277,BD!$Y$3:$Y$5001,"&lt;&gt;")=0,"",SUMIFS(BD!$Y$3:$Y$5001,BD!$A$3:$A$5001,Y$3,BD!$B$3:$B$5001,$A$277)))</f>
        <v/>
      </c>
      <c r="Z300" s="216" t="str">
        <f>IF(Z$3="","",IF(COUNTIFS(BD!$A$3:$A$5001,Z$3,BD!$B$3:$B$5001,$A$277,BD!$Y$3:$Y$5001,"&lt;&gt;")=0,"",SUMIFS(BD!$Y$3:$Y$5001,BD!$A$3:$A$5001,Z$3,BD!$B$3:$B$5001,$A$277)))</f>
        <v/>
      </c>
      <c r="AA300" s="216" t="str">
        <f>IF(AA$3="","",IF(COUNTIFS(BD!$A$3:$A$5001,AA$3,BD!$B$3:$B$5001,$A$277,BD!$Y$3:$Y$5001,"&lt;&gt;")=0,"",SUMIFS(BD!$Y$3:$Y$5001,BD!$A$3:$A$5001,AA$3,BD!$B$3:$B$5001,$A$277)))</f>
        <v/>
      </c>
      <c r="AB300" s="216" t="str">
        <f>IF(AB$3="","",IF(COUNTIFS(BD!$A$3:$A$5001,AB$3,BD!$B$3:$B$5001,$A$277,BD!$Y$3:$Y$5001,"&lt;&gt;")=0,"",SUMIFS(BD!$Y$3:$Y$5001,BD!$A$3:$A$5001,AB$3,BD!$B$3:$B$5001,$A$277)))</f>
        <v/>
      </c>
      <c r="AC300" s="216" t="str">
        <f>IF(AC$3="","",IF(COUNTIFS(BD!$A$3:$A$5001,AC$3,BD!$B$3:$B$5001,$A$277,BD!$Y$3:$Y$5001,"&lt;&gt;")=0,"",SUMIFS(BD!$Y$3:$Y$5001,BD!$A$3:$A$5001,AC$3,BD!$B$3:$B$5001,$A$277)))</f>
        <v/>
      </c>
      <c r="AD300" s="216" t="str">
        <f>IF(AD$3="","",IF(COUNTIFS(BD!$A$3:$A$5001,AD$3,BD!$B$3:$B$5001,$A$277,BD!$Y$3:$Y$5001,"&lt;&gt;")=0,"",SUMIFS(BD!$Y$3:$Y$5001,BD!$A$3:$A$5001,AD$3,BD!$B$3:$B$5001,$A$277)))</f>
        <v/>
      </c>
      <c r="AE300" s="216" t="str">
        <f>IF(AE$3="","",IF(COUNTIFS(BD!$A$3:$A$5001,AE$3,BD!$B$3:$B$5001,$A$277,BD!$Y$3:$Y$5001,"&lt;&gt;")=0,"",SUMIFS(BD!$Y$3:$Y$5001,BD!$A$3:$A$5001,AE$3,BD!$B$3:$B$5001,$A$277)))</f>
        <v/>
      </c>
      <c r="AF300" s="216" t="str">
        <f>IF(AF$3="","",IF(COUNTIFS(BD!$A$3:$A$5001,AF$3,BD!$B$3:$B$5001,$A$277,BD!$Y$3:$Y$5001,"&lt;&gt;")=0,"",SUMIFS(BD!$Y$3:$Y$5001,BD!$A$3:$A$5001,AF$3,BD!$B$3:$B$5001,$A$277)))</f>
        <v/>
      </c>
      <c r="AG300" s="216" t="str">
        <f>IF(AG$3="","",IF(COUNTIFS(BD!$A$3:$A$5001,AG$3,BD!$B$3:$B$5001,$A$277,BD!$Y$3:$Y$5001,"&lt;&gt;")=0,"",SUMIFS(BD!$Y$3:$Y$5001,BD!$A$3:$A$5001,AG$3,BD!$B$3:$B$5001,$A$277)))</f>
        <v/>
      </c>
      <c r="AH300" s="216" t="str">
        <f>IF(AH$3="","",IF(COUNTIFS(BD!$A$3:$A$5001,AH$3,BD!$B$3:$B$5001,$A$277,BD!$Y$3:$Y$5001,"&lt;&gt;")=0,"",SUMIFS(BD!$Y$3:$Y$5001,BD!$A$3:$A$5001,AH$3,BD!$B$3:$B$5001,$A$277)))</f>
        <v/>
      </c>
      <c r="AI300" s="216" t="str">
        <f>IF(AI$3="","",IF(COUNTIFS(BD!$A$3:$A$5001,AI$3,BD!$B$3:$B$5001,$A$277,BD!$Y$3:$Y$5001,"&lt;&gt;")=0,"",SUMIFS(BD!$Y$3:$Y$5001,BD!$A$3:$A$5001,AI$3,BD!$B$3:$B$5001,$A$277)))</f>
        <v/>
      </c>
      <c r="AJ300" s="217" t="str">
        <f>IF(AJ$3="","",IF(COUNTIFS(BD!$A$3:$A$5001,AJ$3,BD!$B$3:$B$5001,$A$277,BD!$Y$3:$Y$5001,"&lt;&gt;")=0,"",SUMIFS(BD!$Y$3:$Y$5001,BD!$A$3:$A$5001,AJ$3,BD!$B$3:$B$5001,$A$277)))</f>
        <v/>
      </c>
      <c r="AK300" s="218" t="str">
        <f>IFERROR(LOOKUP(9.99E+307,F300:AJ300),"")</f>
        <v/>
      </c>
    </row>
    <row r="301" ht="15.75" customHeight="1" hidden="1">
      <c r="A301" s="244"/>
      <c r="B301" s="241"/>
      <c r="C301" s="219" t="inlineStr">
        <is>
          <t xml:space="preserve">Falta</t>
        </is>
      </c>
      <c r="D301" s="220" t="str">
        <f>IFERROR(1/(1/INDEX(BD!$AJ$47:$BD$47,MATCH($A$277,BD!$AJ$22:$BD$22,0))),"")</f>
        <v/>
      </c>
      <c r="E301" s="221"/>
      <c r="F301" s="222" t="str">
        <f>IF(F$3="","",IF(COUNTIFS(BD!$A$3:$A$5001,F$3,BD!$B$3:$B$5001,$A$277,BD!$Z$3:$Z$5001,"&lt;&gt;")=0,"",SUMIFS(BD!$Z$3:$Z$5001,BD!$A$3:$A$5001,F$3,BD!$B$3:$B$5001,$A$277)))</f>
        <v/>
      </c>
      <c r="G301" s="223" t="str">
        <f>IF(G$3="","",IF(COUNTIFS(BD!$A$3:$A$5001,G$3,BD!$B$3:$B$5001,$A$277,BD!$Z$3:$Z$5001,"&lt;&gt;")=0,"",SUMIFS(BD!$Z$3:$Z$5001,BD!$A$3:$A$5001,G$3,BD!$B$3:$B$5001,$A$277)))</f>
        <v/>
      </c>
      <c r="H301" s="223" t="str">
        <f>IF(H$3="","",IF(COUNTIFS(BD!$A$3:$A$5001,H$3,BD!$B$3:$B$5001,$A$277,BD!$Z$3:$Z$5001,"&lt;&gt;")=0,"",SUMIFS(BD!$Z$3:$Z$5001,BD!$A$3:$A$5001,H$3,BD!$B$3:$B$5001,$A$277)))</f>
        <v/>
      </c>
      <c r="I301" s="223" t="str">
        <f>IF(I$3="","",IF(COUNTIFS(BD!$A$3:$A$5001,I$3,BD!$B$3:$B$5001,$A$277,BD!$Z$3:$Z$5001,"&lt;&gt;")=0,"",SUMIFS(BD!$Z$3:$Z$5001,BD!$A$3:$A$5001,I$3,BD!$B$3:$B$5001,$A$277)))</f>
        <v/>
      </c>
      <c r="J301" s="223" t="str">
        <f>IF(J$3="","",IF(COUNTIFS(BD!$A$3:$A$5001,J$3,BD!$B$3:$B$5001,$A$277,BD!$Z$3:$Z$5001,"&lt;&gt;")=0,"",SUMIFS(BD!$Z$3:$Z$5001,BD!$A$3:$A$5001,J$3,BD!$B$3:$B$5001,$A$277)))</f>
        <v/>
      </c>
      <c r="K301" s="223" t="str">
        <f>IF(K$3="","",IF(COUNTIFS(BD!$A$3:$A$5001,K$3,BD!$B$3:$B$5001,$A$277,BD!$Z$3:$Z$5001,"&lt;&gt;")=0,"",SUMIFS(BD!$Z$3:$Z$5001,BD!$A$3:$A$5001,K$3,BD!$B$3:$B$5001,$A$277)))</f>
        <v/>
      </c>
      <c r="L301" s="223" t="str">
        <f>IF(L$3="","",IF(COUNTIFS(BD!$A$3:$A$5001,L$3,BD!$B$3:$B$5001,$A$277,BD!$Z$3:$Z$5001,"&lt;&gt;")=0,"",SUMIFS(BD!$Z$3:$Z$5001,BD!$A$3:$A$5001,L$3,BD!$B$3:$B$5001,$A$277)))</f>
        <v/>
      </c>
      <c r="M301" s="223" t="str">
        <f>IF(M$3="","",IF(COUNTIFS(BD!$A$3:$A$5001,M$3,BD!$B$3:$B$5001,$A$277,BD!$Z$3:$Z$5001,"&lt;&gt;")=0,"",SUMIFS(BD!$Z$3:$Z$5001,BD!$A$3:$A$5001,M$3,BD!$B$3:$B$5001,$A$277)))</f>
        <v/>
      </c>
      <c r="N301" s="223" t="str">
        <f>IF(N$3="","",IF(COUNTIFS(BD!$A$3:$A$5001,N$3,BD!$B$3:$B$5001,$A$277,BD!$Z$3:$Z$5001,"&lt;&gt;")=0,"",SUMIFS(BD!$Z$3:$Z$5001,BD!$A$3:$A$5001,N$3,BD!$B$3:$B$5001,$A$277)))</f>
        <v/>
      </c>
      <c r="O301" s="223" t="str">
        <f>IF(O$3="","",IF(COUNTIFS(BD!$A$3:$A$5001,O$3,BD!$B$3:$B$5001,$A$277,BD!$Z$3:$Z$5001,"&lt;&gt;")=0,"",SUMIFS(BD!$Z$3:$Z$5001,BD!$A$3:$A$5001,O$3,BD!$B$3:$B$5001,$A$277)))</f>
        <v/>
      </c>
      <c r="P301" s="223" t="str">
        <f>IF(P$3="","",IF(COUNTIFS(BD!$A$3:$A$5001,P$3,BD!$B$3:$B$5001,$A$277,BD!$Z$3:$Z$5001,"&lt;&gt;")=0,"",SUMIFS(BD!$Z$3:$Z$5001,BD!$A$3:$A$5001,P$3,BD!$B$3:$B$5001,$A$277)))</f>
        <v/>
      </c>
      <c r="Q301" s="223" t="str">
        <f>IF(Q$3="","",IF(COUNTIFS(BD!$A$3:$A$5001,Q$3,BD!$B$3:$B$5001,$A$277,BD!$Z$3:$Z$5001,"&lt;&gt;")=0,"",SUMIFS(BD!$Z$3:$Z$5001,BD!$A$3:$A$5001,Q$3,BD!$B$3:$B$5001,$A$277)))</f>
        <v/>
      </c>
      <c r="R301" s="223" t="str">
        <f>IF(R$3="","",IF(COUNTIFS(BD!$A$3:$A$5001,R$3,BD!$B$3:$B$5001,$A$277,BD!$Z$3:$Z$5001,"&lt;&gt;")=0,"",SUMIFS(BD!$Z$3:$Z$5001,BD!$A$3:$A$5001,R$3,BD!$B$3:$B$5001,$A$277)))</f>
        <v/>
      </c>
      <c r="S301" s="223" t="str">
        <f>IF(S$3="","",IF(COUNTIFS(BD!$A$3:$A$5001,S$3,BD!$B$3:$B$5001,$A$277,BD!$Z$3:$Z$5001,"&lt;&gt;")=0,"",SUMIFS(BD!$Z$3:$Z$5001,BD!$A$3:$A$5001,S$3,BD!$B$3:$B$5001,$A$277)))</f>
        <v/>
      </c>
      <c r="T301" s="223" t="str">
        <f>IF(T$3="","",IF(COUNTIFS(BD!$A$3:$A$5001,T$3,BD!$B$3:$B$5001,$A$277,BD!$Z$3:$Z$5001,"&lt;&gt;")=0,"",SUMIFS(BD!$Z$3:$Z$5001,BD!$A$3:$A$5001,T$3,BD!$B$3:$B$5001,$A$277)))</f>
        <v/>
      </c>
      <c r="U301" s="223" t="str">
        <f>IF(U$3="","",IF(COUNTIFS(BD!$A$3:$A$5001,U$3,BD!$B$3:$B$5001,$A$277,BD!$Z$3:$Z$5001,"&lt;&gt;")=0,"",SUMIFS(BD!$Z$3:$Z$5001,BD!$A$3:$A$5001,U$3,BD!$B$3:$B$5001,$A$277)))</f>
        <v/>
      </c>
      <c r="V301" s="223" t="str">
        <f>IF(V$3="","",IF(COUNTIFS(BD!$A$3:$A$5001,V$3,BD!$B$3:$B$5001,$A$277,BD!$Z$3:$Z$5001,"&lt;&gt;")=0,"",SUMIFS(BD!$Z$3:$Z$5001,BD!$A$3:$A$5001,V$3,BD!$B$3:$B$5001,$A$277)))</f>
        <v/>
      </c>
      <c r="W301" s="223" t="str">
        <f>IF(W$3="","",IF(COUNTIFS(BD!$A$3:$A$5001,W$3,BD!$B$3:$B$5001,$A$277,BD!$Z$3:$Z$5001,"&lt;&gt;")=0,"",SUMIFS(BD!$Z$3:$Z$5001,BD!$A$3:$A$5001,W$3,BD!$B$3:$B$5001,$A$277)))</f>
        <v/>
      </c>
      <c r="X301" s="223" t="str">
        <f>IF(X$3="","",IF(COUNTIFS(BD!$A$3:$A$5001,X$3,BD!$B$3:$B$5001,$A$277,BD!$Z$3:$Z$5001,"&lt;&gt;")=0,"",SUMIFS(BD!$Z$3:$Z$5001,BD!$A$3:$A$5001,X$3,BD!$B$3:$B$5001,$A$277)))</f>
        <v/>
      </c>
      <c r="Y301" s="223" t="str">
        <f>IF(Y$3="","",IF(COUNTIFS(BD!$A$3:$A$5001,Y$3,BD!$B$3:$B$5001,$A$277,BD!$Z$3:$Z$5001,"&lt;&gt;")=0,"",SUMIFS(BD!$Z$3:$Z$5001,BD!$A$3:$A$5001,Y$3,BD!$B$3:$B$5001,$A$277)))</f>
        <v/>
      </c>
      <c r="Z301" s="223" t="str">
        <f>IF(Z$3="","",IF(COUNTIFS(BD!$A$3:$A$5001,Z$3,BD!$B$3:$B$5001,$A$277,BD!$Z$3:$Z$5001,"&lt;&gt;")=0,"",SUMIFS(BD!$Z$3:$Z$5001,BD!$A$3:$A$5001,Z$3,BD!$B$3:$B$5001,$A$277)))</f>
        <v/>
      </c>
      <c r="AA301" s="223" t="str">
        <f>IF(AA$3="","",IF(COUNTIFS(BD!$A$3:$A$5001,AA$3,BD!$B$3:$B$5001,$A$277,BD!$Z$3:$Z$5001,"&lt;&gt;")=0,"",SUMIFS(BD!$Z$3:$Z$5001,BD!$A$3:$A$5001,AA$3,BD!$B$3:$B$5001,$A$277)))</f>
        <v/>
      </c>
      <c r="AB301" s="223" t="str">
        <f>IF(AB$3="","",IF(COUNTIFS(BD!$A$3:$A$5001,AB$3,BD!$B$3:$B$5001,$A$277,BD!$Z$3:$Z$5001,"&lt;&gt;")=0,"",SUMIFS(BD!$Z$3:$Z$5001,BD!$A$3:$A$5001,AB$3,BD!$B$3:$B$5001,$A$277)))</f>
        <v/>
      </c>
      <c r="AC301" s="223" t="str">
        <f>IF(AC$3="","",IF(COUNTIFS(BD!$A$3:$A$5001,AC$3,BD!$B$3:$B$5001,$A$277,BD!$Z$3:$Z$5001,"&lt;&gt;")=0,"",SUMIFS(BD!$Z$3:$Z$5001,BD!$A$3:$A$5001,AC$3,BD!$B$3:$B$5001,$A$277)))</f>
        <v/>
      </c>
      <c r="AD301" s="223" t="str">
        <f>IF(AD$3="","",IF(COUNTIFS(BD!$A$3:$A$5001,AD$3,BD!$B$3:$B$5001,$A$277,BD!$Z$3:$Z$5001,"&lt;&gt;")=0,"",SUMIFS(BD!$Z$3:$Z$5001,BD!$A$3:$A$5001,AD$3,BD!$B$3:$B$5001,$A$277)))</f>
        <v/>
      </c>
      <c r="AE301" s="223" t="str">
        <f>IF(AE$3="","",IF(COUNTIFS(BD!$A$3:$A$5001,AE$3,BD!$B$3:$B$5001,$A$277,BD!$Z$3:$Z$5001,"&lt;&gt;")=0,"",SUMIFS(BD!$Z$3:$Z$5001,BD!$A$3:$A$5001,AE$3,BD!$B$3:$B$5001,$A$277)))</f>
        <v/>
      </c>
      <c r="AF301" s="223" t="str">
        <f>IF(AF$3="","",IF(COUNTIFS(BD!$A$3:$A$5001,AF$3,BD!$B$3:$B$5001,$A$277,BD!$Z$3:$Z$5001,"&lt;&gt;")=0,"",SUMIFS(BD!$Z$3:$Z$5001,BD!$A$3:$A$5001,AF$3,BD!$B$3:$B$5001,$A$277)))</f>
        <v/>
      </c>
      <c r="AG301" s="223" t="str">
        <f>IF(AG$3="","",IF(COUNTIFS(BD!$A$3:$A$5001,AG$3,BD!$B$3:$B$5001,$A$277,BD!$Z$3:$Z$5001,"&lt;&gt;")=0,"",SUMIFS(BD!$Z$3:$Z$5001,BD!$A$3:$A$5001,AG$3,BD!$B$3:$B$5001,$A$277)))</f>
        <v/>
      </c>
      <c r="AH301" s="223" t="str">
        <f>IF(AH$3="","",IF(COUNTIFS(BD!$A$3:$A$5001,AH$3,BD!$B$3:$B$5001,$A$277,BD!$Z$3:$Z$5001,"&lt;&gt;")=0,"",SUMIFS(BD!$Z$3:$Z$5001,BD!$A$3:$A$5001,AH$3,BD!$B$3:$B$5001,$A$277)))</f>
        <v/>
      </c>
      <c r="AI301" s="223" t="str">
        <f>IF(AI$3="","",IF(COUNTIFS(BD!$A$3:$A$5001,AI$3,BD!$B$3:$B$5001,$A$277,BD!$Z$3:$Z$5001,"&lt;&gt;")=0,"",SUMIFS(BD!$Z$3:$Z$5001,BD!$A$3:$A$5001,AI$3,BD!$B$3:$B$5001,$A$277)))</f>
        <v/>
      </c>
      <c r="AJ301" s="224" t="str">
        <f>IF(AJ$3="","",IF(COUNTIFS(BD!$A$3:$A$5001,AJ$3,BD!$B$3:$B$5001,$A$277,BD!$Z$3:$Z$5001,"&lt;&gt;")=0,"",SUMIFS(BD!$Z$3:$Z$5001,BD!$A$3:$A$5001,AJ$3,BD!$B$3:$B$5001,$A$277)))</f>
        <v/>
      </c>
      <c r="AK301" s="225" t="str">
        <f>IF(COUNT(F301:AJ301)=0,"",SUM(F301:AJ301))</f>
        <v/>
      </c>
    </row>
    <row r="302" ht="15.75" customHeight="1" hidden="1">
      <c r="A302" s="244"/>
      <c r="B302" s="241"/>
      <c r="C302" s="219" t="inlineStr">
        <is>
          <t xml:space="preserve">Folga</t>
        </is>
      </c>
      <c r="D302" s="220" t="str">
        <f>IFERROR(1/(1/INDEX(BD!$AJ$48:$BD$48,MATCH($A$277,BD!$AJ$22:$BD$22,0))),"")</f>
        <v/>
      </c>
      <c r="E302" s="221"/>
      <c r="F302" s="222" t="str">
        <f>IF(F$3="","",IF(COUNTIFS(BD!$A$3:$A$5001,F$3,BD!$B$3:$B$5001,$A$277,BD!$AA$3:$AA$5001,"&lt;&gt;")=0,"",SUMIFS(BD!$AA$3:$AA$5001,BD!$A$3:$A$5001,F$3,BD!$B$3:$B$5001,$A$277)))</f>
        <v/>
      </c>
      <c r="G302" s="223" t="str">
        <f>IF(G$3="","",IF(COUNTIFS(BD!$A$3:$A$5001,G$3,BD!$B$3:$B$5001,$A$277,BD!$AA$3:$AA$5001,"&lt;&gt;")=0,"",SUMIFS(BD!$AA$3:$AA$5001,BD!$A$3:$A$5001,G$3,BD!$B$3:$B$5001,$A$277)))</f>
        <v/>
      </c>
      <c r="H302" s="223" t="str">
        <f>IF(H$3="","",IF(COUNTIFS(BD!$A$3:$A$5001,H$3,BD!$B$3:$B$5001,$A$277,BD!$AA$3:$AA$5001,"&lt;&gt;")=0,"",SUMIFS(BD!$AA$3:$AA$5001,BD!$A$3:$A$5001,H$3,BD!$B$3:$B$5001,$A$277)))</f>
        <v/>
      </c>
      <c r="I302" s="223" t="str">
        <f>IF(I$3="","",IF(COUNTIFS(BD!$A$3:$A$5001,I$3,BD!$B$3:$B$5001,$A$277,BD!$AA$3:$AA$5001,"&lt;&gt;")=0,"",SUMIFS(BD!$AA$3:$AA$5001,BD!$A$3:$A$5001,I$3,BD!$B$3:$B$5001,$A$277)))</f>
        <v/>
      </c>
      <c r="J302" s="223" t="str">
        <f>IF(J$3="","",IF(COUNTIFS(BD!$A$3:$A$5001,J$3,BD!$B$3:$B$5001,$A$277,BD!$AA$3:$AA$5001,"&lt;&gt;")=0,"",SUMIFS(BD!$AA$3:$AA$5001,BD!$A$3:$A$5001,J$3,BD!$B$3:$B$5001,$A$277)))</f>
        <v/>
      </c>
      <c r="K302" s="223" t="str">
        <f>IF(K$3="","",IF(COUNTIFS(BD!$A$3:$A$5001,K$3,BD!$B$3:$B$5001,$A$277,BD!$AA$3:$AA$5001,"&lt;&gt;")=0,"",SUMIFS(BD!$AA$3:$AA$5001,BD!$A$3:$A$5001,K$3,BD!$B$3:$B$5001,$A$277)))</f>
        <v/>
      </c>
      <c r="L302" s="223" t="str">
        <f>IF(L$3="","",IF(COUNTIFS(BD!$A$3:$A$5001,L$3,BD!$B$3:$B$5001,$A$277,BD!$AA$3:$AA$5001,"&lt;&gt;")=0,"",SUMIFS(BD!$AA$3:$AA$5001,BD!$A$3:$A$5001,L$3,BD!$B$3:$B$5001,$A$277)))</f>
        <v/>
      </c>
      <c r="M302" s="223" t="str">
        <f>IF(M$3="","",IF(COUNTIFS(BD!$A$3:$A$5001,M$3,BD!$B$3:$B$5001,$A$277,BD!$AA$3:$AA$5001,"&lt;&gt;")=0,"",SUMIFS(BD!$AA$3:$AA$5001,BD!$A$3:$A$5001,M$3,BD!$B$3:$B$5001,$A$277)))</f>
        <v/>
      </c>
      <c r="N302" s="223" t="str">
        <f>IF(N$3="","",IF(COUNTIFS(BD!$A$3:$A$5001,N$3,BD!$B$3:$B$5001,$A$277,BD!$AA$3:$AA$5001,"&lt;&gt;")=0,"",SUMIFS(BD!$AA$3:$AA$5001,BD!$A$3:$A$5001,N$3,BD!$B$3:$B$5001,$A$277)))</f>
        <v/>
      </c>
      <c r="O302" s="223" t="str">
        <f>IF(O$3="","",IF(COUNTIFS(BD!$A$3:$A$5001,O$3,BD!$B$3:$B$5001,$A$277,BD!$AA$3:$AA$5001,"&lt;&gt;")=0,"",SUMIFS(BD!$AA$3:$AA$5001,BD!$A$3:$A$5001,O$3,BD!$B$3:$B$5001,$A$277)))</f>
        <v/>
      </c>
      <c r="P302" s="223" t="str">
        <f>IF(P$3="","",IF(COUNTIFS(BD!$A$3:$A$5001,P$3,BD!$B$3:$B$5001,$A$277,BD!$AA$3:$AA$5001,"&lt;&gt;")=0,"",SUMIFS(BD!$AA$3:$AA$5001,BD!$A$3:$A$5001,P$3,BD!$B$3:$B$5001,$A$277)))</f>
        <v/>
      </c>
      <c r="Q302" s="223" t="str">
        <f>IF(Q$3="","",IF(COUNTIFS(BD!$A$3:$A$5001,Q$3,BD!$B$3:$B$5001,$A$277,BD!$AA$3:$AA$5001,"&lt;&gt;")=0,"",SUMIFS(BD!$AA$3:$AA$5001,BD!$A$3:$A$5001,Q$3,BD!$B$3:$B$5001,$A$277)))</f>
        <v/>
      </c>
      <c r="R302" s="223" t="str">
        <f>IF(R$3="","",IF(COUNTIFS(BD!$A$3:$A$5001,R$3,BD!$B$3:$B$5001,$A$277,BD!$AA$3:$AA$5001,"&lt;&gt;")=0,"",SUMIFS(BD!$AA$3:$AA$5001,BD!$A$3:$A$5001,R$3,BD!$B$3:$B$5001,$A$277)))</f>
        <v/>
      </c>
      <c r="S302" s="223" t="str">
        <f>IF(S$3="","",IF(COUNTIFS(BD!$A$3:$A$5001,S$3,BD!$B$3:$B$5001,$A$277,BD!$AA$3:$AA$5001,"&lt;&gt;")=0,"",SUMIFS(BD!$AA$3:$AA$5001,BD!$A$3:$A$5001,S$3,BD!$B$3:$B$5001,$A$277)))</f>
        <v/>
      </c>
      <c r="T302" s="223" t="str">
        <f>IF(T$3="","",IF(COUNTIFS(BD!$A$3:$A$5001,T$3,BD!$B$3:$B$5001,$A$277,BD!$AA$3:$AA$5001,"&lt;&gt;")=0,"",SUMIFS(BD!$AA$3:$AA$5001,BD!$A$3:$A$5001,T$3,BD!$B$3:$B$5001,$A$277)))</f>
        <v/>
      </c>
      <c r="U302" s="223" t="str">
        <f>IF(U$3="","",IF(COUNTIFS(BD!$A$3:$A$5001,U$3,BD!$B$3:$B$5001,$A$277,BD!$AA$3:$AA$5001,"&lt;&gt;")=0,"",SUMIFS(BD!$AA$3:$AA$5001,BD!$A$3:$A$5001,U$3,BD!$B$3:$B$5001,$A$277)))</f>
        <v/>
      </c>
      <c r="V302" s="223" t="str">
        <f>IF(V$3="","",IF(COUNTIFS(BD!$A$3:$A$5001,V$3,BD!$B$3:$B$5001,$A$277,BD!$AA$3:$AA$5001,"&lt;&gt;")=0,"",SUMIFS(BD!$AA$3:$AA$5001,BD!$A$3:$A$5001,V$3,BD!$B$3:$B$5001,$A$277)))</f>
        <v/>
      </c>
      <c r="W302" s="223" t="str">
        <f>IF(W$3="","",IF(COUNTIFS(BD!$A$3:$A$5001,W$3,BD!$B$3:$B$5001,$A$277,BD!$AA$3:$AA$5001,"&lt;&gt;")=0,"",SUMIFS(BD!$AA$3:$AA$5001,BD!$A$3:$A$5001,W$3,BD!$B$3:$B$5001,$A$277)))</f>
        <v/>
      </c>
      <c r="X302" s="223" t="str">
        <f>IF(X$3="","",IF(COUNTIFS(BD!$A$3:$A$5001,X$3,BD!$B$3:$B$5001,$A$277,BD!$AA$3:$AA$5001,"&lt;&gt;")=0,"",SUMIFS(BD!$AA$3:$AA$5001,BD!$A$3:$A$5001,X$3,BD!$B$3:$B$5001,$A$277)))</f>
        <v/>
      </c>
      <c r="Y302" s="223" t="str">
        <f>IF(Y$3="","",IF(COUNTIFS(BD!$A$3:$A$5001,Y$3,BD!$B$3:$B$5001,$A$277,BD!$AA$3:$AA$5001,"&lt;&gt;")=0,"",SUMIFS(BD!$AA$3:$AA$5001,BD!$A$3:$A$5001,Y$3,BD!$B$3:$B$5001,$A$277)))</f>
        <v/>
      </c>
      <c r="Z302" s="223" t="str">
        <f>IF(Z$3="","",IF(COUNTIFS(BD!$A$3:$A$5001,Z$3,BD!$B$3:$B$5001,$A$277,BD!$AA$3:$AA$5001,"&lt;&gt;")=0,"",SUMIFS(BD!$AA$3:$AA$5001,BD!$A$3:$A$5001,Z$3,BD!$B$3:$B$5001,$A$277)))</f>
        <v/>
      </c>
      <c r="AA302" s="223" t="str">
        <f>IF(AA$3="","",IF(COUNTIFS(BD!$A$3:$A$5001,AA$3,BD!$B$3:$B$5001,$A$277,BD!$AA$3:$AA$5001,"&lt;&gt;")=0,"",SUMIFS(BD!$AA$3:$AA$5001,BD!$A$3:$A$5001,AA$3,BD!$B$3:$B$5001,$A$277)))</f>
        <v/>
      </c>
      <c r="AB302" s="223" t="str">
        <f>IF(AB$3="","",IF(COUNTIFS(BD!$A$3:$A$5001,AB$3,BD!$B$3:$B$5001,$A$277,BD!$AA$3:$AA$5001,"&lt;&gt;")=0,"",SUMIFS(BD!$AA$3:$AA$5001,BD!$A$3:$A$5001,AB$3,BD!$B$3:$B$5001,$A$277)))</f>
        <v/>
      </c>
      <c r="AC302" s="223" t="str">
        <f>IF(AC$3="","",IF(COUNTIFS(BD!$A$3:$A$5001,AC$3,BD!$B$3:$B$5001,$A$277,BD!$AA$3:$AA$5001,"&lt;&gt;")=0,"",SUMIFS(BD!$AA$3:$AA$5001,BD!$A$3:$A$5001,AC$3,BD!$B$3:$B$5001,$A$277)))</f>
        <v/>
      </c>
      <c r="AD302" s="223" t="str">
        <f>IF(AD$3="","",IF(COUNTIFS(BD!$A$3:$A$5001,AD$3,BD!$B$3:$B$5001,$A$277,BD!$AA$3:$AA$5001,"&lt;&gt;")=0,"",SUMIFS(BD!$AA$3:$AA$5001,BD!$A$3:$A$5001,AD$3,BD!$B$3:$B$5001,$A$277)))</f>
        <v/>
      </c>
      <c r="AE302" s="223" t="str">
        <f>IF(AE$3="","",IF(COUNTIFS(BD!$A$3:$A$5001,AE$3,BD!$B$3:$B$5001,$A$277,BD!$AA$3:$AA$5001,"&lt;&gt;")=0,"",SUMIFS(BD!$AA$3:$AA$5001,BD!$A$3:$A$5001,AE$3,BD!$B$3:$B$5001,$A$277)))</f>
        <v/>
      </c>
      <c r="AF302" s="223" t="str">
        <f>IF(AF$3="","",IF(COUNTIFS(BD!$A$3:$A$5001,AF$3,BD!$B$3:$B$5001,$A$277,BD!$AA$3:$AA$5001,"&lt;&gt;")=0,"",SUMIFS(BD!$AA$3:$AA$5001,BD!$A$3:$A$5001,AF$3,BD!$B$3:$B$5001,$A$277)))</f>
        <v/>
      </c>
      <c r="AG302" s="223" t="str">
        <f>IF(AG$3="","",IF(COUNTIFS(BD!$A$3:$A$5001,AG$3,BD!$B$3:$B$5001,$A$277,BD!$AA$3:$AA$5001,"&lt;&gt;")=0,"",SUMIFS(BD!$AA$3:$AA$5001,BD!$A$3:$A$5001,AG$3,BD!$B$3:$B$5001,$A$277)))</f>
        <v/>
      </c>
      <c r="AH302" s="223" t="str">
        <f>IF(AH$3="","",IF(COUNTIFS(BD!$A$3:$A$5001,AH$3,BD!$B$3:$B$5001,$A$277,BD!$AA$3:$AA$5001,"&lt;&gt;")=0,"",SUMIFS(BD!$AA$3:$AA$5001,BD!$A$3:$A$5001,AH$3,BD!$B$3:$B$5001,$A$277)))</f>
        <v/>
      </c>
      <c r="AI302" s="223" t="str">
        <f>IF(AI$3="","",IF(COUNTIFS(BD!$A$3:$A$5001,AI$3,BD!$B$3:$B$5001,$A$277,BD!$AA$3:$AA$5001,"&lt;&gt;")=0,"",SUMIFS(BD!$AA$3:$AA$5001,BD!$A$3:$A$5001,AI$3,BD!$B$3:$B$5001,$A$277)))</f>
        <v/>
      </c>
      <c r="AJ302" s="224" t="str">
        <f>IF(AJ$3="","",IF(COUNTIFS(BD!$A$3:$A$5001,AJ$3,BD!$B$3:$B$5001,$A$277,BD!$AA$3:$AA$5001,"&lt;&gt;")=0,"",SUMIFS(BD!$AA$3:$AA$5001,BD!$A$3:$A$5001,AJ$3,BD!$B$3:$B$5001,$A$277)))</f>
        <v/>
      </c>
      <c r="AK302" s="225" t="str">
        <f>IF(COUNT(F302:AJ302)=0,"",SUM(F302:AJ302))</f>
        <v/>
      </c>
    </row>
    <row r="303" ht="15.75" customHeight="1" hidden="1">
      <c r="A303" s="244"/>
      <c r="B303" s="241"/>
      <c r="C303" s="219" t="inlineStr">
        <is>
          <t xml:space="preserve">Férias</t>
        </is>
      </c>
      <c r="D303" s="220" t="str">
        <f>IFERROR(1/(1/INDEX(BD!$AJ$49:$BD$49,MATCH($A$277,BD!$AJ$22:$BD$22,0))),"")</f>
        <v/>
      </c>
      <c r="E303" s="221"/>
      <c r="F303" s="222" t="str">
        <f>IF(F$3="","",IF(COUNTIFS(BD!$A$3:$A$5001,F$3,BD!$B$3:$B$5001,$A$277,BD!$AB$3:$AB$5001,"&lt;&gt;")=0,"",SUMIFS(BD!$AB$3:$AB$5001,BD!$A$3:$A$5001,F$3,BD!$B$3:$B$5001,$A$277)))</f>
        <v/>
      </c>
      <c r="G303" s="223" t="str">
        <f>IF(G$3="","",IF(COUNTIFS(BD!$A$3:$A$5001,G$3,BD!$B$3:$B$5001,$A$277,BD!$AB$3:$AB$5001,"&lt;&gt;")=0,"",SUMIFS(BD!$AB$3:$AB$5001,BD!$A$3:$A$5001,G$3,BD!$B$3:$B$5001,$A$277)))</f>
        <v/>
      </c>
      <c r="H303" s="223" t="str">
        <f>IF(H$3="","",IF(COUNTIFS(BD!$A$3:$A$5001,H$3,BD!$B$3:$B$5001,$A$277,BD!$AB$3:$AB$5001,"&lt;&gt;")=0,"",SUMIFS(BD!$AB$3:$AB$5001,BD!$A$3:$A$5001,H$3,BD!$B$3:$B$5001,$A$277)))</f>
        <v/>
      </c>
      <c r="I303" s="223" t="str">
        <f>IF(I$3="","",IF(COUNTIFS(BD!$A$3:$A$5001,I$3,BD!$B$3:$B$5001,$A$277,BD!$AB$3:$AB$5001,"&lt;&gt;")=0,"",SUMIFS(BD!$AB$3:$AB$5001,BD!$A$3:$A$5001,I$3,BD!$B$3:$B$5001,$A$277)))</f>
        <v/>
      </c>
      <c r="J303" s="223" t="str">
        <f>IF(J$3="","",IF(COUNTIFS(BD!$A$3:$A$5001,J$3,BD!$B$3:$B$5001,$A$277,BD!$AB$3:$AB$5001,"&lt;&gt;")=0,"",SUMIFS(BD!$AB$3:$AB$5001,BD!$A$3:$A$5001,J$3,BD!$B$3:$B$5001,$A$277)))</f>
        <v/>
      </c>
      <c r="K303" s="223" t="str">
        <f>IF(K$3="","",IF(COUNTIFS(BD!$A$3:$A$5001,K$3,BD!$B$3:$B$5001,$A$277,BD!$AB$3:$AB$5001,"&lt;&gt;")=0,"",SUMIFS(BD!$AB$3:$AB$5001,BD!$A$3:$A$5001,K$3,BD!$B$3:$B$5001,$A$277)))</f>
        <v/>
      </c>
      <c r="L303" s="223" t="str">
        <f>IF(L$3="","",IF(COUNTIFS(BD!$A$3:$A$5001,L$3,BD!$B$3:$B$5001,$A$277,BD!$AB$3:$AB$5001,"&lt;&gt;")=0,"",SUMIFS(BD!$AB$3:$AB$5001,BD!$A$3:$A$5001,L$3,BD!$B$3:$B$5001,$A$277)))</f>
        <v/>
      </c>
      <c r="M303" s="223" t="str">
        <f>IF(M$3="","",IF(COUNTIFS(BD!$A$3:$A$5001,M$3,BD!$B$3:$B$5001,$A$277,BD!$AB$3:$AB$5001,"&lt;&gt;")=0,"",SUMIFS(BD!$AB$3:$AB$5001,BD!$A$3:$A$5001,M$3,BD!$B$3:$B$5001,$A$277)))</f>
        <v/>
      </c>
      <c r="N303" s="223" t="str">
        <f>IF(N$3="","",IF(COUNTIFS(BD!$A$3:$A$5001,N$3,BD!$B$3:$B$5001,$A$277,BD!$AB$3:$AB$5001,"&lt;&gt;")=0,"",SUMIFS(BD!$AB$3:$AB$5001,BD!$A$3:$A$5001,N$3,BD!$B$3:$B$5001,$A$277)))</f>
        <v/>
      </c>
      <c r="O303" s="223" t="str">
        <f>IF(O$3="","",IF(COUNTIFS(BD!$A$3:$A$5001,O$3,BD!$B$3:$B$5001,$A$277,BD!$AB$3:$AB$5001,"&lt;&gt;")=0,"",SUMIFS(BD!$AB$3:$AB$5001,BD!$A$3:$A$5001,O$3,BD!$B$3:$B$5001,$A$277)))</f>
        <v/>
      </c>
      <c r="P303" s="223" t="str">
        <f>IF(P$3="","",IF(COUNTIFS(BD!$A$3:$A$5001,P$3,BD!$B$3:$B$5001,$A$277,BD!$AB$3:$AB$5001,"&lt;&gt;")=0,"",SUMIFS(BD!$AB$3:$AB$5001,BD!$A$3:$A$5001,P$3,BD!$B$3:$B$5001,$A$277)))</f>
        <v/>
      </c>
      <c r="Q303" s="223" t="str">
        <f>IF(Q$3="","",IF(COUNTIFS(BD!$A$3:$A$5001,Q$3,BD!$B$3:$B$5001,$A$277,BD!$AB$3:$AB$5001,"&lt;&gt;")=0,"",SUMIFS(BD!$AB$3:$AB$5001,BD!$A$3:$A$5001,Q$3,BD!$B$3:$B$5001,$A$277)))</f>
        <v/>
      </c>
      <c r="R303" s="223" t="str">
        <f>IF(R$3="","",IF(COUNTIFS(BD!$A$3:$A$5001,R$3,BD!$B$3:$B$5001,$A$277,BD!$AB$3:$AB$5001,"&lt;&gt;")=0,"",SUMIFS(BD!$AB$3:$AB$5001,BD!$A$3:$A$5001,R$3,BD!$B$3:$B$5001,$A$277)))</f>
        <v/>
      </c>
      <c r="S303" s="223" t="str">
        <f>IF(S$3="","",IF(COUNTIFS(BD!$A$3:$A$5001,S$3,BD!$B$3:$B$5001,$A$277,BD!$AB$3:$AB$5001,"&lt;&gt;")=0,"",SUMIFS(BD!$AB$3:$AB$5001,BD!$A$3:$A$5001,S$3,BD!$B$3:$B$5001,$A$277)))</f>
        <v/>
      </c>
      <c r="T303" s="223" t="str">
        <f>IF(T$3="","",IF(COUNTIFS(BD!$A$3:$A$5001,T$3,BD!$B$3:$B$5001,$A$277,BD!$AB$3:$AB$5001,"&lt;&gt;")=0,"",SUMIFS(BD!$AB$3:$AB$5001,BD!$A$3:$A$5001,T$3,BD!$B$3:$B$5001,$A$277)))</f>
        <v/>
      </c>
      <c r="U303" s="223" t="str">
        <f>IF(U$3="","",IF(COUNTIFS(BD!$A$3:$A$5001,U$3,BD!$B$3:$B$5001,$A$277,BD!$AB$3:$AB$5001,"&lt;&gt;")=0,"",SUMIFS(BD!$AB$3:$AB$5001,BD!$A$3:$A$5001,U$3,BD!$B$3:$B$5001,$A$277)))</f>
        <v/>
      </c>
      <c r="V303" s="223" t="str">
        <f>IF(V$3="","",IF(COUNTIFS(BD!$A$3:$A$5001,V$3,BD!$B$3:$B$5001,$A$277,BD!$AB$3:$AB$5001,"&lt;&gt;")=0,"",SUMIFS(BD!$AB$3:$AB$5001,BD!$A$3:$A$5001,V$3,BD!$B$3:$B$5001,$A$277)))</f>
        <v/>
      </c>
      <c r="W303" s="223" t="str">
        <f>IF(W$3="","",IF(COUNTIFS(BD!$A$3:$A$5001,W$3,BD!$B$3:$B$5001,$A$277,BD!$AB$3:$AB$5001,"&lt;&gt;")=0,"",SUMIFS(BD!$AB$3:$AB$5001,BD!$A$3:$A$5001,W$3,BD!$B$3:$B$5001,$A$277)))</f>
        <v/>
      </c>
      <c r="X303" s="223" t="str">
        <f>IF(X$3="","",IF(COUNTIFS(BD!$A$3:$A$5001,X$3,BD!$B$3:$B$5001,$A$277,BD!$AB$3:$AB$5001,"&lt;&gt;")=0,"",SUMIFS(BD!$AB$3:$AB$5001,BD!$A$3:$A$5001,X$3,BD!$B$3:$B$5001,$A$277)))</f>
        <v/>
      </c>
      <c r="Y303" s="223" t="str">
        <f>IF(Y$3="","",IF(COUNTIFS(BD!$A$3:$A$5001,Y$3,BD!$B$3:$B$5001,$A$277,BD!$AB$3:$AB$5001,"&lt;&gt;")=0,"",SUMIFS(BD!$AB$3:$AB$5001,BD!$A$3:$A$5001,Y$3,BD!$B$3:$B$5001,$A$277)))</f>
        <v/>
      </c>
      <c r="Z303" s="223" t="str">
        <f>IF(Z$3="","",IF(COUNTIFS(BD!$A$3:$A$5001,Z$3,BD!$B$3:$B$5001,$A$277,BD!$AB$3:$AB$5001,"&lt;&gt;")=0,"",SUMIFS(BD!$AB$3:$AB$5001,BD!$A$3:$A$5001,Z$3,BD!$B$3:$B$5001,$A$277)))</f>
        <v/>
      </c>
      <c r="AA303" s="223" t="str">
        <f>IF(AA$3="","",IF(COUNTIFS(BD!$A$3:$A$5001,AA$3,BD!$B$3:$B$5001,$A$277,BD!$AB$3:$AB$5001,"&lt;&gt;")=0,"",SUMIFS(BD!$AB$3:$AB$5001,BD!$A$3:$A$5001,AA$3,BD!$B$3:$B$5001,$A$277)))</f>
        <v/>
      </c>
      <c r="AB303" s="223" t="str">
        <f>IF(AB$3="","",IF(COUNTIFS(BD!$A$3:$A$5001,AB$3,BD!$B$3:$B$5001,$A$277,BD!$AB$3:$AB$5001,"&lt;&gt;")=0,"",SUMIFS(BD!$AB$3:$AB$5001,BD!$A$3:$A$5001,AB$3,BD!$B$3:$B$5001,$A$277)))</f>
        <v/>
      </c>
      <c r="AC303" s="223" t="str">
        <f>IF(AC$3="","",IF(COUNTIFS(BD!$A$3:$A$5001,AC$3,BD!$B$3:$B$5001,$A$277,BD!$AB$3:$AB$5001,"&lt;&gt;")=0,"",SUMIFS(BD!$AB$3:$AB$5001,BD!$A$3:$A$5001,AC$3,BD!$B$3:$B$5001,$A$277)))</f>
        <v/>
      </c>
      <c r="AD303" s="223" t="str">
        <f>IF(AD$3="","",IF(COUNTIFS(BD!$A$3:$A$5001,AD$3,BD!$B$3:$B$5001,$A$277,BD!$AB$3:$AB$5001,"&lt;&gt;")=0,"",SUMIFS(BD!$AB$3:$AB$5001,BD!$A$3:$A$5001,AD$3,BD!$B$3:$B$5001,$A$277)))</f>
        <v/>
      </c>
      <c r="AE303" s="223" t="str">
        <f>IF(AE$3="","",IF(COUNTIFS(BD!$A$3:$A$5001,AE$3,BD!$B$3:$B$5001,$A$277,BD!$AB$3:$AB$5001,"&lt;&gt;")=0,"",SUMIFS(BD!$AB$3:$AB$5001,BD!$A$3:$A$5001,AE$3,BD!$B$3:$B$5001,$A$277)))</f>
        <v/>
      </c>
      <c r="AF303" s="223" t="str">
        <f>IF(AF$3="","",IF(COUNTIFS(BD!$A$3:$A$5001,AF$3,BD!$B$3:$B$5001,$A$277,BD!$AB$3:$AB$5001,"&lt;&gt;")=0,"",SUMIFS(BD!$AB$3:$AB$5001,BD!$A$3:$A$5001,AF$3,BD!$B$3:$B$5001,$A$277)))</f>
        <v/>
      </c>
      <c r="AG303" s="223" t="str">
        <f>IF(AG$3="","",IF(COUNTIFS(BD!$A$3:$A$5001,AG$3,BD!$B$3:$B$5001,$A$277,BD!$AB$3:$AB$5001,"&lt;&gt;")=0,"",SUMIFS(BD!$AB$3:$AB$5001,BD!$A$3:$A$5001,AG$3,BD!$B$3:$B$5001,$A$277)))</f>
        <v/>
      </c>
      <c r="AH303" s="223" t="str">
        <f>IF(AH$3="","",IF(COUNTIFS(BD!$A$3:$A$5001,AH$3,BD!$B$3:$B$5001,$A$277,BD!$AB$3:$AB$5001,"&lt;&gt;")=0,"",SUMIFS(BD!$AB$3:$AB$5001,BD!$A$3:$A$5001,AH$3,BD!$B$3:$B$5001,$A$277)))</f>
        <v/>
      </c>
      <c r="AI303" s="223" t="str">
        <f>IF(AI$3="","",IF(COUNTIFS(BD!$A$3:$A$5001,AI$3,BD!$B$3:$B$5001,$A$277,BD!$AB$3:$AB$5001,"&lt;&gt;")=0,"",SUMIFS(BD!$AB$3:$AB$5001,BD!$A$3:$A$5001,AI$3,BD!$B$3:$B$5001,$A$277)))</f>
        <v/>
      </c>
      <c r="AJ303" s="224" t="str">
        <f>IF(AJ$3="","",IF(COUNTIFS(BD!$A$3:$A$5001,AJ$3,BD!$B$3:$B$5001,$A$277,BD!$AB$3:$AB$5001,"&lt;&gt;")=0,"",SUMIFS(BD!$AB$3:$AB$5001,BD!$A$3:$A$5001,AJ$3,BD!$B$3:$B$5001,$A$277)))</f>
        <v/>
      </c>
      <c r="AK303" s="225" t="str">
        <f>IF(COUNT(F303:AJ303)=0,"",SUM(F303:AJ303))</f>
        <v/>
      </c>
    </row>
    <row r="304" ht="15.75" customHeight="1" hidden="1">
      <c r="A304" s="244"/>
      <c r="B304" s="241"/>
      <c r="C304" s="219" t="inlineStr">
        <is>
          <t xml:space="preserve">Desligamento</t>
        </is>
      </c>
      <c r="D304" s="220" t="str">
        <f>IFERROR(1/(1/INDEX(BD!$AJ$50:$BD$50,MATCH($A$277,BD!$AJ$22:$BD$22,0))),"")</f>
        <v/>
      </c>
      <c r="E304" s="221"/>
      <c r="F304" s="222" t="str">
        <f>IF(F$3="","",IF(COUNTIFS(BD!$A$3:$A$5001,F$3,BD!$B$3:$B$5001,$A$277,BD!$AC$3:$AC$5001,"&lt;&gt;")=0,"",SUMIFS(BD!$AC$3:$AC$5001,BD!$A$3:$A$5001,F$3,BD!$B$3:$B$5001,$A$277)))</f>
        <v/>
      </c>
      <c r="G304" s="223" t="str">
        <f>IF(G$3="","",IF(COUNTIFS(BD!$A$3:$A$5001,G$3,BD!$B$3:$B$5001,$A$277,BD!$AC$3:$AC$5001,"&lt;&gt;")=0,"",SUMIFS(BD!$AC$3:$AC$5001,BD!$A$3:$A$5001,G$3,BD!$B$3:$B$5001,$A$277)))</f>
        <v/>
      </c>
      <c r="H304" s="223" t="str">
        <f>IF(H$3="","",IF(COUNTIFS(BD!$A$3:$A$5001,H$3,BD!$B$3:$B$5001,$A$277,BD!$AC$3:$AC$5001,"&lt;&gt;")=0,"",SUMIFS(BD!$AC$3:$AC$5001,BD!$A$3:$A$5001,H$3,BD!$B$3:$B$5001,$A$277)))</f>
        <v/>
      </c>
      <c r="I304" s="223" t="str">
        <f>IF(I$3="","",IF(COUNTIFS(BD!$A$3:$A$5001,I$3,BD!$B$3:$B$5001,$A$277,BD!$AC$3:$AC$5001,"&lt;&gt;")=0,"",SUMIFS(BD!$AC$3:$AC$5001,BD!$A$3:$A$5001,I$3,BD!$B$3:$B$5001,$A$277)))</f>
        <v/>
      </c>
      <c r="J304" s="223" t="str">
        <f>IF(J$3="","",IF(COUNTIFS(BD!$A$3:$A$5001,J$3,BD!$B$3:$B$5001,$A$277,BD!$AC$3:$AC$5001,"&lt;&gt;")=0,"",SUMIFS(BD!$AC$3:$AC$5001,BD!$A$3:$A$5001,J$3,BD!$B$3:$B$5001,$A$277)))</f>
        <v/>
      </c>
      <c r="K304" s="223" t="str">
        <f>IF(K$3="","",IF(COUNTIFS(BD!$A$3:$A$5001,K$3,BD!$B$3:$B$5001,$A$277,BD!$AC$3:$AC$5001,"&lt;&gt;")=0,"",SUMIFS(BD!$AC$3:$AC$5001,BD!$A$3:$A$5001,K$3,BD!$B$3:$B$5001,$A$277)))</f>
        <v/>
      </c>
      <c r="L304" s="223" t="str">
        <f>IF(L$3="","",IF(COUNTIFS(BD!$A$3:$A$5001,L$3,BD!$B$3:$B$5001,$A$277,BD!$AC$3:$AC$5001,"&lt;&gt;")=0,"",SUMIFS(BD!$AC$3:$AC$5001,BD!$A$3:$A$5001,L$3,BD!$B$3:$B$5001,$A$277)))</f>
        <v/>
      </c>
      <c r="M304" s="223" t="str">
        <f>IF(M$3="","",IF(COUNTIFS(BD!$A$3:$A$5001,M$3,BD!$B$3:$B$5001,$A$277,BD!$AC$3:$AC$5001,"&lt;&gt;")=0,"",SUMIFS(BD!$AC$3:$AC$5001,BD!$A$3:$A$5001,M$3,BD!$B$3:$B$5001,$A$277)))</f>
        <v/>
      </c>
      <c r="N304" s="223" t="str">
        <f>IF(N$3="","",IF(COUNTIFS(BD!$A$3:$A$5001,N$3,BD!$B$3:$B$5001,$A$277,BD!$AC$3:$AC$5001,"&lt;&gt;")=0,"",SUMIFS(BD!$AC$3:$AC$5001,BD!$A$3:$A$5001,N$3,BD!$B$3:$B$5001,$A$277)))</f>
        <v/>
      </c>
      <c r="O304" s="223" t="str">
        <f>IF(O$3="","",IF(COUNTIFS(BD!$A$3:$A$5001,O$3,BD!$B$3:$B$5001,$A$277,BD!$AC$3:$AC$5001,"&lt;&gt;")=0,"",SUMIFS(BD!$AC$3:$AC$5001,BD!$A$3:$A$5001,O$3,BD!$B$3:$B$5001,$A$277)))</f>
        <v/>
      </c>
      <c r="P304" s="223" t="str">
        <f>IF(P$3="","",IF(COUNTIFS(BD!$A$3:$A$5001,P$3,BD!$B$3:$B$5001,$A$277,BD!$AC$3:$AC$5001,"&lt;&gt;")=0,"",SUMIFS(BD!$AC$3:$AC$5001,BD!$A$3:$A$5001,P$3,BD!$B$3:$B$5001,$A$277)))</f>
        <v/>
      </c>
      <c r="Q304" s="223" t="str">
        <f>IF(Q$3="","",IF(COUNTIFS(BD!$A$3:$A$5001,Q$3,BD!$B$3:$B$5001,$A$277,BD!$AC$3:$AC$5001,"&lt;&gt;")=0,"",SUMIFS(BD!$AC$3:$AC$5001,BD!$A$3:$A$5001,Q$3,BD!$B$3:$B$5001,$A$277)))</f>
        <v/>
      </c>
      <c r="R304" s="223" t="str">
        <f>IF(R$3="","",IF(COUNTIFS(BD!$A$3:$A$5001,R$3,BD!$B$3:$B$5001,$A$277,BD!$AC$3:$AC$5001,"&lt;&gt;")=0,"",SUMIFS(BD!$AC$3:$AC$5001,BD!$A$3:$A$5001,R$3,BD!$B$3:$B$5001,$A$277)))</f>
        <v/>
      </c>
      <c r="S304" s="223" t="str">
        <f>IF(S$3="","",IF(COUNTIFS(BD!$A$3:$A$5001,S$3,BD!$B$3:$B$5001,$A$277,BD!$AC$3:$AC$5001,"&lt;&gt;")=0,"",SUMIFS(BD!$AC$3:$AC$5001,BD!$A$3:$A$5001,S$3,BD!$B$3:$B$5001,$A$277)))</f>
        <v/>
      </c>
      <c r="T304" s="223" t="str">
        <f>IF(T$3="","",IF(COUNTIFS(BD!$A$3:$A$5001,T$3,BD!$B$3:$B$5001,$A$277,BD!$AC$3:$AC$5001,"&lt;&gt;")=0,"",SUMIFS(BD!$AC$3:$AC$5001,BD!$A$3:$A$5001,T$3,BD!$B$3:$B$5001,$A$277)))</f>
        <v/>
      </c>
      <c r="U304" s="223" t="str">
        <f>IF(U$3="","",IF(COUNTIFS(BD!$A$3:$A$5001,U$3,BD!$B$3:$B$5001,$A$277,BD!$AC$3:$AC$5001,"&lt;&gt;")=0,"",SUMIFS(BD!$AC$3:$AC$5001,BD!$A$3:$A$5001,U$3,BD!$B$3:$B$5001,$A$277)))</f>
        <v/>
      </c>
      <c r="V304" s="223" t="str">
        <f>IF(V$3="","",IF(COUNTIFS(BD!$A$3:$A$5001,V$3,BD!$B$3:$B$5001,$A$277,BD!$AC$3:$AC$5001,"&lt;&gt;")=0,"",SUMIFS(BD!$AC$3:$AC$5001,BD!$A$3:$A$5001,V$3,BD!$B$3:$B$5001,$A$277)))</f>
        <v/>
      </c>
      <c r="W304" s="223" t="str">
        <f>IF(W$3="","",IF(COUNTIFS(BD!$A$3:$A$5001,W$3,BD!$B$3:$B$5001,$A$277,BD!$AC$3:$AC$5001,"&lt;&gt;")=0,"",SUMIFS(BD!$AC$3:$AC$5001,BD!$A$3:$A$5001,W$3,BD!$B$3:$B$5001,$A$277)))</f>
        <v/>
      </c>
      <c r="X304" s="223" t="str">
        <f>IF(X$3="","",IF(COUNTIFS(BD!$A$3:$A$5001,X$3,BD!$B$3:$B$5001,$A$277,BD!$AC$3:$AC$5001,"&lt;&gt;")=0,"",SUMIFS(BD!$AC$3:$AC$5001,BD!$A$3:$A$5001,X$3,BD!$B$3:$B$5001,$A$277)))</f>
        <v/>
      </c>
      <c r="Y304" s="223" t="str">
        <f>IF(Y$3="","",IF(COUNTIFS(BD!$A$3:$A$5001,Y$3,BD!$B$3:$B$5001,$A$277,BD!$AC$3:$AC$5001,"&lt;&gt;")=0,"",SUMIFS(BD!$AC$3:$AC$5001,BD!$A$3:$A$5001,Y$3,BD!$B$3:$B$5001,$A$277)))</f>
        <v/>
      </c>
      <c r="Z304" s="223" t="str">
        <f>IF(Z$3="","",IF(COUNTIFS(BD!$A$3:$A$5001,Z$3,BD!$B$3:$B$5001,$A$277,BD!$AC$3:$AC$5001,"&lt;&gt;")=0,"",SUMIFS(BD!$AC$3:$AC$5001,BD!$A$3:$A$5001,Z$3,BD!$B$3:$B$5001,$A$277)))</f>
        <v/>
      </c>
      <c r="AA304" s="223" t="str">
        <f>IF(AA$3="","",IF(COUNTIFS(BD!$A$3:$A$5001,AA$3,BD!$B$3:$B$5001,$A$277,BD!$AC$3:$AC$5001,"&lt;&gt;")=0,"",SUMIFS(BD!$AC$3:$AC$5001,BD!$A$3:$A$5001,AA$3,BD!$B$3:$B$5001,$A$277)))</f>
        <v/>
      </c>
      <c r="AB304" s="223" t="str">
        <f>IF(AB$3="","",IF(COUNTIFS(BD!$A$3:$A$5001,AB$3,BD!$B$3:$B$5001,$A$277,BD!$AC$3:$AC$5001,"&lt;&gt;")=0,"",SUMIFS(BD!$AC$3:$AC$5001,BD!$A$3:$A$5001,AB$3,BD!$B$3:$B$5001,$A$277)))</f>
        <v/>
      </c>
      <c r="AC304" s="223" t="str">
        <f>IF(AC$3="","",IF(COUNTIFS(BD!$A$3:$A$5001,AC$3,BD!$B$3:$B$5001,$A$277,BD!$AC$3:$AC$5001,"&lt;&gt;")=0,"",SUMIFS(BD!$AC$3:$AC$5001,BD!$A$3:$A$5001,AC$3,BD!$B$3:$B$5001,$A$277)))</f>
        <v/>
      </c>
      <c r="AD304" s="223" t="str">
        <f>IF(AD$3="","",IF(COUNTIFS(BD!$A$3:$A$5001,AD$3,BD!$B$3:$B$5001,$A$277,BD!$AC$3:$AC$5001,"&lt;&gt;")=0,"",SUMIFS(BD!$AC$3:$AC$5001,BD!$A$3:$A$5001,AD$3,BD!$B$3:$B$5001,$A$277)))</f>
        <v/>
      </c>
      <c r="AE304" s="223" t="str">
        <f>IF(AE$3="","",IF(COUNTIFS(BD!$A$3:$A$5001,AE$3,BD!$B$3:$B$5001,$A$277,BD!$AC$3:$AC$5001,"&lt;&gt;")=0,"",SUMIFS(BD!$AC$3:$AC$5001,BD!$A$3:$A$5001,AE$3,BD!$B$3:$B$5001,$A$277)))</f>
        <v/>
      </c>
      <c r="AF304" s="223" t="str">
        <f>IF(AF$3="","",IF(COUNTIFS(BD!$A$3:$A$5001,AF$3,BD!$B$3:$B$5001,$A$277,BD!$AC$3:$AC$5001,"&lt;&gt;")=0,"",SUMIFS(BD!$AC$3:$AC$5001,BD!$A$3:$A$5001,AF$3,BD!$B$3:$B$5001,$A$277)))</f>
        <v/>
      </c>
      <c r="AG304" s="223" t="str">
        <f>IF(AG$3="","",IF(COUNTIFS(BD!$A$3:$A$5001,AG$3,BD!$B$3:$B$5001,$A$277,BD!$AC$3:$AC$5001,"&lt;&gt;")=0,"",SUMIFS(BD!$AC$3:$AC$5001,BD!$A$3:$A$5001,AG$3,BD!$B$3:$B$5001,$A$277)))</f>
        <v/>
      </c>
      <c r="AH304" s="223" t="str">
        <f>IF(AH$3="","",IF(COUNTIFS(BD!$A$3:$A$5001,AH$3,BD!$B$3:$B$5001,$A$277,BD!$AC$3:$AC$5001,"&lt;&gt;")=0,"",SUMIFS(BD!$AC$3:$AC$5001,BD!$A$3:$A$5001,AH$3,BD!$B$3:$B$5001,$A$277)))</f>
        <v/>
      </c>
      <c r="AI304" s="223" t="str">
        <f>IF(AI$3="","",IF(COUNTIFS(BD!$A$3:$A$5001,AI$3,BD!$B$3:$B$5001,$A$277,BD!$AC$3:$AC$5001,"&lt;&gt;")=0,"",SUMIFS(BD!$AC$3:$AC$5001,BD!$A$3:$A$5001,AI$3,BD!$B$3:$B$5001,$A$277)))</f>
        <v/>
      </c>
      <c r="AJ304" s="224" t="str">
        <f>IF(AJ$3="","",IF(COUNTIFS(BD!$A$3:$A$5001,AJ$3,BD!$B$3:$B$5001,$A$277,BD!$AC$3:$AC$5001,"&lt;&gt;")=0,"",SUMIFS(BD!$AC$3:$AC$5001,BD!$A$3:$A$5001,AJ$3,BD!$B$3:$B$5001,$A$277)))</f>
        <v/>
      </c>
      <c r="AK304" s="225" t="str">
        <f>IF(COUNT(F304:AJ304)=0,"",SUM(F304:AJ304))</f>
        <v/>
      </c>
    </row>
    <row r="305" ht="15.75" customHeight="1" hidden="1">
      <c r="A305" s="244"/>
      <c r="B305" s="241"/>
      <c r="C305" s="219" t="inlineStr">
        <is>
          <t xml:space="preserve">Desvios Comportamentais</t>
        </is>
      </c>
      <c r="D305" s="220" t="str">
        <f>IFERROR(1/(1/INDEX(BD!$AJ$51:$BD$51,MATCH($A$277,BD!$AJ$22:$BD$22,0))),"")</f>
        <v/>
      </c>
      <c r="E305" s="221"/>
      <c r="F305" s="222" t="str">
        <f>IF(F$3="","",IF(COUNTIFS(BD!$A$3:$A$5001,F$3,BD!$B$3:$B$5001,$A$277,BD!$AD$3:$AD$5001,"&lt;&gt;")=0,"",SUMIFS(BD!$AD$3:$AD$5001,BD!$A$3:$A$5001,F$3,BD!$B$3:$B$5001,$A$277)))</f>
        <v/>
      </c>
      <c r="G305" s="223" t="str">
        <f>IF(G$3="","",IF(COUNTIFS(BD!$A$3:$A$5001,G$3,BD!$B$3:$B$5001,$A$277,BD!$AD$3:$AD$5001,"&lt;&gt;")=0,"",SUMIFS(BD!$AD$3:$AD$5001,BD!$A$3:$A$5001,G$3,BD!$B$3:$B$5001,$A$277)))</f>
        <v/>
      </c>
      <c r="H305" s="223" t="str">
        <f>IF(H$3="","",IF(COUNTIFS(BD!$A$3:$A$5001,H$3,BD!$B$3:$B$5001,$A$277,BD!$AD$3:$AD$5001,"&lt;&gt;")=0,"",SUMIFS(BD!$AD$3:$AD$5001,BD!$A$3:$A$5001,H$3,BD!$B$3:$B$5001,$A$277)))</f>
        <v/>
      </c>
      <c r="I305" s="223" t="str">
        <f>IF(I$3="","",IF(COUNTIFS(BD!$A$3:$A$5001,I$3,BD!$B$3:$B$5001,$A$277,BD!$AD$3:$AD$5001,"&lt;&gt;")=0,"",SUMIFS(BD!$AD$3:$AD$5001,BD!$A$3:$A$5001,I$3,BD!$B$3:$B$5001,$A$277)))</f>
        <v/>
      </c>
      <c r="J305" s="223" t="str">
        <f>IF(J$3="","",IF(COUNTIFS(BD!$A$3:$A$5001,J$3,BD!$B$3:$B$5001,$A$277,BD!$AD$3:$AD$5001,"&lt;&gt;")=0,"",SUMIFS(BD!$AD$3:$AD$5001,BD!$A$3:$A$5001,J$3,BD!$B$3:$B$5001,$A$277)))</f>
        <v/>
      </c>
      <c r="K305" s="223" t="str">
        <f>IF(K$3="","",IF(COUNTIFS(BD!$A$3:$A$5001,K$3,BD!$B$3:$B$5001,$A$277,BD!$AD$3:$AD$5001,"&lt;&gt;")=0,"",SUMIFS(BD!$AD$3:$AD$5001,BD!$A$3:$A$5001,K$3,BD!$B$3:$B$5001,$A$277)))</f>
        <v/>
      </c>
      <c r="L305" s="223" t="str">
        <f>IF(L$3="","",IF(COUNTIFS(BD!$A$3:$A$5001,L$3,BD!$B$3:$B$5001,$A$277,BD!$AD$3:$AD$5001,"&lt;&gt;")=0,"",SUMIFS(BD!$AD$3:$AD$5001,BD!$A$3:$A$5001,L$3,BD!$B$3:$B$5001,$A$277)))</f>
        <v/>
      </c>
      <c r="M305" s="223" t="str">
        <f>IF(M$3="","",IF(COUNTIFS(BD!$A$3:$A$5001,M$3,BD!$B$3:$B$5001,$A$277,BD!$AD$3:$AD$5001,"&lt;&gt;")=0,"",SUMIFS(BD!$AD$3:$AD$5001,BD!$A$3:$A$5001,M$3,BD!$B$3:$B$5001,$A$277)))</f>
        <v/>
      </c>
      <c r="N305" s="223" t="str">
        <f>IF(N$3="","",IF(COUNTIFS(BD!$A$3:$A$5001,N$3,BD!$B$3:$B$5001,$A$277,BD!$AD$3:$AD$5001,"&lt;&gt;")=0,"",SUMIFS(BD!$AD$3:$AD$5001,BD!$A$3:$A$5001,N$3,BD!$B$3:$B$5001,$A$277)))</f>
        <v/>
      </c>
      <c r="O305" s="223" t="str">
        <f>IF(O$3="","",IF(COUNTIFS(BD!$A$3:$A$5001,O$3,BD!$B$3:$B$5001,$A$277,BD!$AD$3:$AD$5001,"&lt;&gt;")=0,"",SUMIFS(BD!$AD$3:$AD$5001,BD!$A$3:$A$5001,O$3,BD!$B$3:$B$5001,$A$277)))</f>
        <v/>
      </c>
      <c r="P305" s="223" t="str">
        <f>IF(P$3="","",IF(COUNTIFS(BD!$A$3:$A$5001,P$3,BD!$B$3:$B$5001,$A$277,BD!$AD$3:$AD$5001,"&lt;&gt;")=0,"",SUMIFS(BD!$AD$3:$AD$5001,BD!$A$3:$A$5001,P$3,BD!$B$3:$B$5001,$A$277)))</f>
        <v/>
      </c>
      <c r="Q305" s="223" t="str">
        <f>IF(Q$3="","",IF(COUNTIFS(BD!$A$3:$A$5001,Q$3,BD!$B$3:$B$5001,$A$277,BD!$AD$3:$AD$5001,"&lt;&gt;")=0,"",SUMIFS(BD!$AD$3:$AD$5001,BD!$A$3:$A$5001,Q$3,BD!$B$3:$B$5001,$A$277)))</f>
        <v/>
      </c>
      <c r="R305" s="223" t="str">
        <f>IF(R$3="","",IF(COUNTIFS(BD!$A$3:$A$5001,R$3,BD!$B$3:$B$5001,$A$277,BD!$AD$3:$AD$5001,"&lt;&gt;")=0,"",SUMIFS(BD!$AD$3:$AD$5001,BD!$A$3:$A$5001,R$3,BD!$B$3:$B$5001,$A$277)))</f>
        <v/>
      </c>
      <c r="S305" s="223" t="str">
        <f>IF(S$3="","",IF(COUNTIFS(BD!$A$3:$A$5001,S$3,BD!$B$3:$B$5001,$A$277,BD!$AD$3:$AD$5001,"&lt;&gt;")=0,"",SUMIFS(BD!$AD$3:$AD$5001,BD!$A$3:$A$5001,S$3,BD!$B$3:$B$5001,$A$277)))</f>
        <v/>
      </c>
      <c r="T305" s="223" t="str">
        <f>IF(T$3="","",IF(COUNTIFS(BD!$A$3:$A$5001,T$3,BD!$B$3:$B$5001,$A$277,BD!$AD$3:$AD$5001,"&lt;&gt;")=0,"",SUMIFS(BD!$AD$3:$AD$5001,BD!$A$3:$A$5001,T$3,BD!$B$3:$B$5001,$A$277)))</f>
        <v/>
      </c>
      <c r="U305" s="223" t="str">
        <f>IF(U$3="","",IF(COUNTIFS(BD!$A$3:$A$5001,U$3,BD!$B$3:$B$5001,$A$277,BD!$AD$3:$AD$5001,"&lt;&gt;")=0,"",SUMIFS(BD!$AD$3:$AD$5001,BD!$A$3:$A$5001,U$3,BD!$B$3:$B$5001,$A$277)))</f>
        <v/>
      </c>
      <c r="V305" s="223" t="str">
        <f>IF(V$3="","",IF(COUNTIFS(BD!$A$3:$A$5001,V$3,BD!$B$3:$B$5001,$A$277,BD!$AD$3:$AD$5001,"&lt;&gt;")=0,"",SUMIFS(BD!$AD$3:$AD$5001,BD!$A$3:$A$5001,V$3,BD!$B$3:$B$5001,$A$277)))</f>
        <v/>
      </c>
      <c r="W305" s="223" t="str">
        <f>IF(W$3="","",IF(COUNTIFS(BD!$A$3:$A$5001,W$3,BD!$B$3:$B$5001,$A$277,BD!$AD$3:$AD$5001,"&lt;&gt;")=0,"",SUMIFS(BD!$AD$3:$AD$5001,BD!$A$3:$A$5001,W$3,BD!$B$3:$B$5001,$A$277)))</f>
        <v/>
      </c>
      <c r="X305" s="223" t="str">
        <f>IF(X$3="","",IF(COUNTIFS(BD!$A$3:$A$5001,X$3,BD!$B$3:$B$5001,$A$277,BD!$AD$3:$AD$5001,"&lt;&gt;")=0,"",SUMIFS(BD!$AD$3:$AD$5001,BD!$A$3:$A$5001,X$3,BD!$B$3:$B$5001,$A$277)))</f>
        <v/>
      </c>
      <c r="Y305" s="223" t="str">
        <f>IF(Y$3="","",IF(COUNTIFS(BD!$A$3:$A$5001,Y$3,BD!$B$3:$B$5001,$A$277,BD!$AD$3:$AD$5001,"&lt;&gt;")=0,"",SUMIFS(BD!$AD$3:$AD$5001,BD!$A$3:$A$5001,Y$3,BD!$B$3:$B$5001,$A$277)))</f>
        <v/>
      </c>
      <c r="Z305" s="223" t="str">
        <f>IF(Z$3="","",IF(COUNTIFS(BD!$A$3:$A$5001,Z$3,BD!$B$3:$B$5001,$A$277,BD!$AD$3:$AD$5001,"&lt;&gt;")=0,"",SUMIFS(BD!$AD$3:$AD$5001,BD!$A$3:$A$5001,Z$3,BD!$B$3:$B$5001,$A$277)))</f>
        <v/>
      </c>
      <c r="AA305" s="223" t="str">
        <f>IF(AA$3="","",IF(COUNTIFS(BD!$A$3:$A$5001,AA$3,BD!$B$3:$B$5001,$A$277,BD!$AD$3:$AD$5001,"&lt;&gt;")=0,"",SUMIFS(BD!$AD$3:$AD$5001,BD!$A$3:$A$5001,AA$3,BD!$B$3:$B$5001,$A$277)))</f>
        <v/>
      </c>
      <c r="AB305" s="223" t="str">
        <f>IF(AB$3="","",IF(COUNTIFS(BD!$A$3:$A$5001,AB$3,BD!$B$3:$B$5001,$A$277,BD!$AD$3:$AD$5001,"&lt;&gt;")=0,"",SUMIFS(BD!$AD$3:$AD$5001,BD!$A$3:$A$5001,AB$3,BD!$B$3:$B$5001,$A$277)))</f>
        <v/>
      </c>
      <c r="AC305" s="223" t="str">
        <f>IF(AC$3="","",IF(COUNTIFS(BD!$A$3:$A$5001,AC$3,BD!$B$3:$B$5001,$A$277,BD!$AD$3:$AD$5001,"&lt;&gt;")=0,"",SUMIFS(BD!$AD$3:$AD$5001,BD!$A$3:$A$5001,AC$3,BD!$B$3:$B$5001,$A$277)))</f>
        <v/>
      </c>
      <c r="AD305" s="223" t="str">
        <f>IF(AD$3="","",IF(COUNTIFS(BD!$A$3:$A$5001,AD$3,BD!$B$3:$B$5001,$A$277,BD!$AD$3:$AD$5001,"&lt;&gt;")=0,"",SUMIFS(BD!$AD$3:$AD$5001,BD!$A$3:$A$5001,AD$3,BD!$B$3:$B$5001,$A$277)))</f>
        <v/>
      </c>
      <c r="AE305" s="223" t="str">
        <f>IF(AE$3="","",IF(COUNTIFS(BD!$A$3:$A$5001,AE$3,BD!$B$3:$B$5001,$A$277,BD!$AD$3:$AD$5001,"&lt;&gt;")=0,"",SUMIFS(BD!$AD$3:$AD$5001,BD!$A$3:$A$5001,AE$3,BD!$B$3:$B$5001,$A$277)))</f>
        <v/>
      </c>
      <c r="AF305" s="223" t="str">
        <f>IF(AF$3="","",IF(COUNTIFS(BD!$A$3:$A$5001,AF$3,BD!$B$3:$B$5001,$A$277,BD!$AD$3:$AD$5001,"&lt;&gt;")=0,"",SUMIFS(BD!$AD$3:$AD$5001,BD!$A$3:$A$5001,AF$3,BD!$B$3:$B$5001,$A$277)))</f>
        <v/>
      </c>
      <c r="AG305" s="223" t="str">
        <f>IF(AG$3="","",IF(COUNTIFS(BD!$A$3:$A$5001,AG$3,BD!$B$3:$B$5001,$A$277,BD!$AD$3:$AD$5001,"&lt;&gt;")=0,"",SUMIFS(BD!$AD$3:$AD$5001,BD!$A$3:$A$5001,AG$3,BD!$B$3:$B$5001,$A$277)))</f>
        <v/>
      </c>
      <c r="AH305" s="223" t="str">
        <f>IF(AH$3="","",IF(COUNTIFS(BD!$A$3:$A$5001,AH$3,BD!$B$3:$B$5001,$A$277,BD!$AD$3:$AD$5001,"&lt;&gt;")=0,"",SUMIFS(BD!$AD$3:$AD$5001,BD!$A$3:$A$5001,AH$3,BD!$B$3:$B$5001,$A$277)))</f>
        <v/>
      </c>
      <c r="AI305" s="223" t="str">
        <f>IF(AI$3="","",IF(COUNTIFS(BD!$A$3:$A$5001,AI$3,BD!$B$3:$B$5001,$A$277,BD!$AD$3:$AD$5001,"&lt;&gt;")=0,"",SUMIFS(BD!$AD$3:$AD$5001,BD!$A$3:$A$5001,AI$3,BD!$B$3:$B$5001,$A$277)))</f>
        <v/>
      </c>
      <c r="AJ305" s="224" t="str">
        <f>IF(AJ$3="","",IF(COUNTIFS(BD!$A$3:$A$5001,AJ$3,BD!$B$3:$B$5001,$A$277,BD!$AD$3:$AD$5001,"&lt;&gt;")=0,"",SUMIFS(BD!$AD$3:$AD$5001,BD!$A$3:$A$5001,AJ$3,BD!$B$3:$B$5001,$A$277)))</f>
        <v/>
      </c>
      <c r="AK305" s="225" t="str">
        <f>IF(COUNT(F305:AJ305)=0,"",SUM(F305:AJ305))</f>
        <v/>
      </c>
    </row>
    <row r="306" ht="15.75" customHeight="1" hidden="1">
      <c r="A306" s="244"/>
      <c r="B306" s="241"/>
      <c r="C306" s="219" t="inlineStr">
        <is>
          <t xml:space="preserve">Acidentes CAF</t>
        </is>
      </c>
      <c r="D306" s="220" t="str">
        <f>IFERROR(1/(1/INDEX(BD!$AJ$52:$BD$52,MATCH($A$277,BD!$AJ$22:$BD$22,0))),"")</f>
        <v/>
      </c>
      <c r="E306" s="221"/>
      <c r="F306" s="222" t="str">
        <f>IF(F$3="","",IF(COUNTIFS(BD!$A$3:$A$5001,F$3,BD!$B$3:$B$5001,$A$277,BD!$AE$3:$AE$5001,"&lt;&gt;")=0,"",SUMIFS(BD!$AE$3:$AE$5001,BD!$A$3:$A$5001,F$3,BD!$B$3:$B$5001,$A$277)))</f>
        <v/>
      </c>
      <c r="G306" s="223" t="str">
        <f>IF(G$3="","",IF(COUNTIFS(BD!$A$3:$A$5001,G$3,BD!$B$3:$B$5001,$A$277,BD!$AE$3:$AE$5001,"&lt;&gt;")=0,"",SUMIFS(BD!$AE$3:$AE$5001,BD!$A$3:$A$5001,G$3,BD!$B$3:$B$5001,$A$277)))</f>
        <v/>
      </c>
      <c r="H306" s="223" t="str">
        <f>IF(H$3="","",IF(COUNTIFS(BD!$A$3:$A$5001,H$3,BD!$B$3:$B$5001,$A$277,BD!$AE$3:$AE$5001,"&lt;&gt;")=0,"",SUMIFS(BD!$AE$3:$AE$5001,BD!$A$3:$A$5001,H$3,BD!$B$3:$B$5001,$A$277)))</f>
        <v/>
      </c>
      <c r="I306" s="223" t="str">
        <f>IF(I$3="","",IF(COUNTIFS(BD!$A$3:$A$5001,I$3,BD!$B$3:$B$5001,$A$277,BD!$AE$3:$AE$5001,"&lt;&gt;")=0,"",SUMIFS(BD!$AE$3:$AE$5001,BD!$A$3:$A$5001,I$3,BD!$B$3:$B$5001,$A$277)))</f>
        <v/>
      </c>
      <c r="J306" s="223" t="str">
        <f>IF(J$3="","",IF(COUNTIFS(BD!$A$3:$A$5001,J$3,BD!$B$3:$B$5001,$A$277,BD!$AE$3:$AE$5001,"&lt;&gt;")=0,"",SUMIFS(BD!$AE$3:$AE$5001,BD!$A$3:$A$5001,J$3,BD!$B$3:$B$5001,$A$277)))</f>
        <v/>
      </c>
      <c r="K306" s="223" t="str">
        <f>IF(K$3="","",IF(COUNTIFS(BD!$A$3:$A$5001,K$3,BD!$B$3:$B$5001,$A$277,BD!$AE$3:$AE$5001,"&lt;&gt;")=0,"",SUMIFS(BD!$AE$3:$AE$5001,BD!$A$3:$A$5001,K$3,BD!$B$3:$B$5001,$A$277)))</f>
        <v/>
      </c>
      <c r="L306" s="223" t="str">
        <f>IF(L$3="","",IF(COUNTIFS(BD!$A$3:$A$5001,L$3,BD!$B$3:$B$5001,$A$277,BD!$AE$3:$AE$5001,"&lt;&gt;")=0,"",SUMIFS(BD!$AE$3:$AE$5001,BD!$A$3:$A$5001,L$3,BD!$B$3:$B$5001,$A$277)))</f>
        <v/>
      </c>
      <c r="M306" s="223" t="str">
        <f>IF(M$3="","",IF(COUNTIFS(BD!$A$3:$A$5001,M$3,BD!$B$3:$B$5001,$A$277,BD!$AE$3:$AE$5001,"&lt;&gt;")=0,"",SUMIFS(BD!$AE$3:$AE$5001,BD!$A$3:$A$5001,M$3,BD!$B$3:$B$5001,$A$277)))</f>
        <v/>
      </c>
      <c r="N306" s="223" t="str">
        <f>IF(N$3="","",IF(COUNTIFS(BD!$A$3:$A$5001,N$3,BD!$B$3:$B$5001,$A$277,BD!$AE$3:$AE$5001,"&lt;&gt;")=0,"",SUMIFS(BD!$AE$3:$AE$5001,BD!$A$3:$A$5001,N$3,BD!$B$3:$B$5001,$A$277)))</f>
        <v/>
      </c>
      <c r="O306" s="223" t="str">
        <f>IF(O$3="","",IF(COUNTIFS(BD!$A$3:$A$5001,O$3,BD!$B$3:$B$5001,$A$277,BD!$AE$3:$AE$5001,"&lt;&gt;")=0,"",SUMIFS(BD!$AE$3:$AE$5001,BD!$A$3:$A$5001,O$3,BD!$B$3:$B$5001,$A$277)))</f>
        <v/>
      </c>
      <c r="P306" s="223" t="str">
        <f>IF(P$3="","",IF(COUNTIFS(BD!$A$3:$A$5001,P$3,BD!$B$3:$B$5001,$A$277,BD!$AE$3:$AE$5001,"&lt;&gt;")=0,"",SUMIFS(BD!$AE$3:$AE$5001,BD!$A$3:$A$5001,P$3,BD!$B$3:$B$5001,$A$277)))</f>
        <v/>
      </c>
      <c r="Q306" s="223" t="str">
        <f>IF(Q$3="","",IF(COUNTIFS(BD!$A$3:$A$5001,Q$3,BD!$B$3:$B$5001,$A$277,BD!$AE$3:$AE$5001,"&lt;&gt;")=0,"",SUMIFS(BD!$AE$3:$AE$5001,BD!$A$3:$A$5001,Q$3,BD!$B$3:$B$5001,$A$277)))</f>
        <v/>
      </c>
      <c r="R306" s="223" t="str">
        <f>IF(R$3="","",IF(COUNTIFS(BD!$A$3:$A$5001,R$3,BD!$B$3:$B$5001,$A$277,BD!$AE$3:$AE$5001,"&lt;&gt;")=0,"",SUMIFS(BD!$AE$3:$AE$5001,BD!$A$3:$A$5001,R$3,BD!$B$3:$B$5001,$A$277)))</f>
        <v/>
      </c>
      <c r="S306" s="223" t="str">
        <f>IF(S$3="","",IF(COUNTIFS(BD!$A$3:$A$5001,S$3,BD!$B$3:$B$5001,$A$277,BD!$AE$3:$AE$5001,"&lt;&gt;")=0,"",SUMIFS(BD!$AE$3:$AE$5001,BD!$A$3:$A$5001,S$3,BD!$B$3:$B$5001,$A$277)))</f>
        <v/>
      </c>
      <c r="T306" s="223" t="str">
        <f>IF(T$3="","",IF(COUNTIFS(BD!$A$3:$A$5001,T$3,BD!$B$3:$B$5001,$A$277,BD!$AE$3:$AE$5001,"&lt;&gt;")=0,"",SUMIFS(BD!$AE$3:$AE$5001,BD!$A$3:$A$5001,T$3,BD!$B$3:$B$5001,$A$277)))</f>
        <v/>
      </c>
      <c r="U306" s="223" t="str">
        <f>IF(U$3="","",IF(COUNTIFS(BD!$A$3:$A$5001,U$3,BD!$B$3:$B$5001,$A$277,BD!$AE$3:$AE$5001,"&lt;&gt;")=0,"",SUMIFS(BD!$AE$3:$AE$5001,BD!$A$3:$A$5001,U$3,BD!$B$3:$B$5001,$A$277)))</f>
        <v/>
      </c>
      <c r="V306" s="223" t="str">
        <f>IF(V$3="","",IF(COUNTIFS(BD!$A$3:$A$5001,V$3,BD!$B$3:$B$5001,$A$277,BD!$AE$3:$AE$5001,"&lt;&gt;")=0,"",SUMIFS(BD!$AE$3:$AE$5001,BD!$A$3:$A$5001,V$3,BD!$B$3:$B$5001,$A$277)))</f>
        <v/>
      </c>
      <c r="W306" s="223" t="str">
        <f>IF(W$3="","",IF(COUNTIFS(BD!$A$3:$A$5001,W$3,BD!$B$3:$B$5001,$A$277,BD!$AE$3:$AE$5001,"&lt;&gt;")=0,"",SUMIFS(BD!$AE$3:$AE$5001,BD!$A$3:$A$5001,W$3,BD!$B$3:$B$5001,$A$277)))</f>
        <v/>
      </c>
      <c r="X306" s="223" t="str">
        <f>IF(X$3="","",IF(COUNTIFS(BD!$A$3:$A$5001,X$3,BD!$B$3:$B$5001,$A$277,BD!$AE$3:$AE$5001,"&lt;&gt;")=0,"",SUMIFS(BD!$AE$3:$AE$5001,BD!$A$3:$A$5001,X$3,BD!$B$3:$B$5001,$A$277)))</f>
        <v/>
      </c>
      <c r="Y306" s="223" t="str">
        <f>IF(Y$3="","",IF(COUNTIFS(BD!$A$3:$A$5001,Y$3,BD!$B$3:$B$5001,$A$277,BD!$AE$3:$AE$5001,"&lt;&gt;")=0,"",SUMIFS(BD!$AE$3:$AE$5001,BD!$A$3:$A$5001,Y$3,BD!$B$3:$B$5001,$A$277)))</f>
        <v/>
      </c>
      <c r="Z306" s="223" t="str">
        <f>IF(Z$3="","",IF(COUNTIFS(BD!$A$3:$A$5001,Z$3,BD!$B$3:$B$5001,$A$277,BD!$AE$3:$AE$5001,"&lt;&gt;")=0,"",SUMIFS(BD!$AE$3:$AE$5001,BD!$A$3:$A$5001,Z$3,BD!$B$3:$B$5001,$A$277)))</f>
        <v/>
      </c>
      <c r="AA306" s="223" t="str">
        <f>IF(AA$3="","",IF(COUNTIFS(BD!$A$3:$A$5001,AA$3,BD!$B$3:$B$5001,$A$277,BD!$AE$3:$AE$5001,"&lt;&gt;")=0,"",SUMIFS(BD!$AE$3:$AE$5001,BD!$A$3:$A$5001,AA$3,BD!$B$3:$B$5001,$A$277)))</f>
        <v/>
      </c>
      <c r="AB306" s="223" t="str">
        <f>IF(AB$3="","",IF(COUNTIFS(BD!$A$3:$A$5001,AB$3,BD!$B$3:$B$5001,$A$277,BD!$AE$3:$AE$5001,"&lt;&gt;")=0,"",SUMIFS(BD!$AE$3:$AE$5001,BD!$A$3:$A$5001,AB$3,BD!$B$3:$B$5001,$A$277)))</f>
        <v/>
      </c>
      <c r="AC306" s="223" t="str">
        <f>IF(AC$3="","",IF(COUNTIFS(BD!$A$3:$A$5001,AC$3,BD!$B$3:$B$5001,$A$277,BD!$AE$3:$AE$5001,"&lt;&gt;")=0,"",SUMIFS(BD!$AE$3:$AE$5001,BD!$A$3:$A$5001,AC$3,BD!$B$3:$B$5001,$A$277)))</f>
        <v/>
      </c>
      <c r="AD306" s="223" t="str">
        <f>IF(AD$3="","",IF(COUNTIFS(BD!$A$3:$A$5001,AD$3,BD!$B$3:$B$5001,$A$277,BD!$AE$3:$AE$5001,"&lt;&gt;")=0,"",SUMIFS(BD!$AE$3:$AE$5001,BD!$A$3:$A$5001,AD$3,BD!$B$3:$B$5001,$A$277)))</f>
        <v/>
      </c>
      <c r="AE306" s="223" t="str">
        <f>IF(AE$3="","",IF(COUNTIFS(BD!$A$3:$A$5001,AE$3,BD!$B$3:$B$5001,$A$277,BD!$AE$3:$AE$5001,"&lt;&gt;")=0,"",SUMIFS(BD!$AE$3:$AE$5001,BD!$A$3:$A$5001,AE$3,BD!$B$3:$B$5001,$A$277)))</f>
        <v/>
      </c>
      <c r="AF306" s="223" t="str">
        <f>IF(AF$3="","",IF(COUNTIFS(BD!$A$3:$A$5001,AF$3,BD!$B$3:$B$5001,$A$277,BD!$AE$3:$AE$5001,"&lt;&gt;")=0,"",SUMIFS(BD!$AE$3:$AE$5001,BD!$A$3:$A$5001,AF$3,BD!$B$3:$B$5001,$A$277)))</f>
        <v/>
      </c>
      <c r="AG306" s="223" t="str">
        <f>IF(AG$3="","",IF(COUNTIFS(BD!$A$3:$A$5001,AG$3,BD!$B$3:$B$5001,$A$277,BD!$AE$3:$AE$5001,"&lt;&gt;")=0,"",SUMIFS(BD!$AE$3:$AE$5001,BD!$A$3:$A$5001,AG$3,BD!$B$3:$B$5001,$A$277)))</f>
        <v/>
      </c>
      <c r="AH306" s="223" t="str">
        <f>IF(AH$3="","",IF(COUNTIFS(BD!$A$3:$A$5001,AH$3,BD!$B$3:$B$5001,$A$277,BD!$AE$3:$AE$5001,"&lt;&gt;")=0,"",SUMIFS(BD!$AE$3:$AE$5001,BD!$A$3:$A$5001,AH$3,BD!$B$3:$B$5001,$A$277)))</f>
        <v/>
      </c>
      <c r="AI306" s="223" t="str">
        <f>IF(AI$3="","",IF(COUNTIFS(BD!$A$3:$A$5001,AI$3,BD!$B$3:$B$5001,$A$277,BD!$AE$3:$AE$5001,"&lt;&gt;")=0,"",SUMIFS(BD!$AE$3:$AE$5001,BD!$A$3:$A$5001,AI$3,BD!$B$3:$B$5001,$A$277)))</f>
        <v/>
      </c>
      <c r="AJ306" s="224" t="str">
        <f>IF(AJ$3="","",IF(COUNTIFS(BD!$A$3:$A$5001,AJ$3,BD!$B$3:$B$5001,$A$277,BD!$AE$3:$AE$5001,"&lt;&gt;")=0,"",SUMIFS(BD!$AE$3:$AE$5001,BD!$A$3:$A$5001,AJ$3,BD!$B$3:$B$5001,$A$277)))</f>
        <v/>
      </c>
      <c r="AK306" s="225" t="str">
        <f>IF(COUNT(F306:AJ306)=0,"",SUM(F306:AJ306))</f>
        <v/>
      </c>
    </row>
    <row r="307" ht="15.75" customHeight="1" hidden="1">
      <c r="A307" s="245"/>
      <c r="B307" s="242"/>
      <c r="C307" s="226" t="inlineStr">
        <is>
          <t xml:space="preserve">Acidentes SAF</t>
        </is>
      </c>
      <c r="D307" s="227" t="str">
        <f>IFERROR(1/(1/INDEX(BD!$AJ$53:$BD$53,MATCH($A$277,BD!$AJ$22:$BD$22,0))),"")</f>
        <v/>
      </c>
      <c r="E307" s="228"/>
      <c r="F307" s="229" t="str">
        <f>IF(F$3="","",IF(COUNTIFS(BD!$A$3:$A$5001,F$3,BD!$B$3:$B$5001,$A$277,BD!$AF$3:$AF$5001,"&lt;&gt;")=0,"",SUMIFS(BD!$AF$3:$AF$5001,BD!$A$3:$A$5001,F$3,BD!$B$3:$B$5001,$A$277)))</f>
        <v/>
      </c>
      <c r="G307" s="230" t="str">
        <f>IF(G$3="","",IF(COUNTIFS(BD!$A$3:$A$5001,G$3,BD!$B$3:$B$5001,$A$277,BD!$AF$3:$AF$5001,"&lt;&gt;")=0,"",SUMIFS(BD!$AF$3:$AF$5001,BD!$A$3:$A$5001,G$3,BD!$B$3:$B$5001,$A$277)))</f>
        <v/>
      </c>
      <c r="H307" s="230" t="str">
        <f>IF(H$3="","",IF(COUNTIFS(BD!$A$3:$A$5001,H$3,BD!$B$3:$B$5001,$A$277,BD!$AF$3:$AF$5001,"&lt;&gt;")=0,"",SUMIFS(BD!$AF$3:$AF$5001,BD!$A$3:$A$5001,H$3,BD!$B$3:$B$5001,$A$277)))</f>
        <v/>
      </c>
      <c r="I307" s="230" t="str">
        <f>IF(I$3="","",IF(COUNTIFS(BD!$A$3:$A$5001,I$3,BD!$B$3:$B$5001,$A$277,BD!$AF$3:$AF$5001,"&lt;&gt;")=0,"",SUMIFS(BD!$AF$3:$AF$5001,BD!$A$3:$A$5001,I$3,BD!$B$3:$B$5001,$A$277)))</f>
        <v/>
      </c>
      <c r="J307" s="230" t="str">
        <f>IF(J$3="","",IF(COUNTIFS(BD!$A$3:$A$5001,J$3,BD!$B$3:$B$5001,$A$277,BD!$AF$3:$AF$5001,"&lt;&gt;")=0,"",SUMIFS(BD!$AF$3:$AF$5001,BD!$A$3:$A$5001,J$3,BD!$B$3:$B$5001,$A$277)))</f>
        <v/>
      </c>
      <c r="K307" s="230" t="str">
        <f>IF(K$3="","",IF(COUNTIFS(BD!$A$3:$A$5001,K$3,BD!$B$3:$B$5001,$A$277,BD!$AF$3:$AF$5001,"&lt;&gt;")=0,"",SUMIFS(BD!$AF$3:$AF$5001,BD!$A$3:$A$5001,K$3,BD!$B$3:$B$5001,$A$277)))</f>
        <v/>
      </c>
      <c r="L307" s="230" t="str">
        <f>IF(L$3="","",IF(COUNTIFS(BD!$A$3:$A$5001,L$3,BD!$B$3:$B$5001,$A$277,BD!$AF$3:$AF$5001,"&lt;&gt;")=0,"",SUMIFS(BD!$AF$3:$AF$5001,BD!$A$3:$A$5001,L$3,BD!$B$3:$B$5001,$A$277)))</f>
        <v/>
      </c>
      <c r="M307" s="230" t="str">
        <f>IF(M$3="","",IF(COUNTIFS(BD!$A$3:$A$5001,M$3,BD!$B$3:$B$5001,$A$277,BD!$AF$3:$AF$5001,"&lt;&gt;")=0,"",SUMIFS(BD!$AF$3:$AF$5001,BD!$A$3:$A$5001,M$3,BD!$B$3:$B$5001,$A$277)))</f>
        <v/>
      </c>
      <c r="N307" s="230" t="str">
        <f>IF(N$3="","",IF(COUNTIFS(BD!$A$3:$A$5001,N$3,BD!$B$3:$B$5001,$A$277,BD!$AF$3:$AF$5001,"&lt;&gt;")=0,"",SUMIFS(BD!$AF$3:$AF$5001,BD!$A$3:$A$5001,N$3,BD!$B$3:$B$5001,$A$277)))</f>
        <v/>
      </c>
      <c r="O307" s="230" t="str">
        <f>IF(O$3="","",IF(COUNTIFS(BD!$A$3:$A$5001,O$3,BD!$B$3:$B$5001,$A$277,BD!$AF$3:$AF$5001,"&lt;&gt;")=0,"",SUMIFS(BD!$AF$3:$AF$5001,BD!$A$3:$A$5001,O$3,BD!$B$3:$B$5001,$A$277)))</f>
        <v/>
      </c>
      <c r="P307" s="230" t="str">
        <f>IF(P$3="","",IF(COUNTIFS(BD!$A$3:$A$5001,P$3,BD!$B$3:$B$5001,$A$277,BD!$AF$3:$AF$5001,"&lt;&gt;")=0,"",SUMIFS(BD!$AF$3:$AF$5001,BD!$A$3:$A$5001,P$3,BD!$B$3:$B$5001,$A$277)))</f>
        <v/>
      </c>
      <c r="Q307" s="230" t="str">
        <f>IF(Q$3="","",IF(COUNTIFS(BD!$A$3:$A$5001,Q$3,BD!$B$3:$B$5001,$A$277,BD!$AF$3:$AF$5001,"&lt;&gt;")=0,"",SUMIFS(BD!$AF$3:$AF$5001,BD!$A$3:$A$5001,Q$3,BD!$B$3:$B$5001,$A$277)))</f>
        <v/>
      </c>
      <c r="R307" s="230" t="str">
        <f>IF(R$3="","",IF(COUNTIFS(BD!$A$3:$A$5001,R$3,BD!$B$3:$B$5001,$A$277,BD!$AF$3:$AF$5001,"&lt;&gt;")=0,"",SUMIFS(BD!$AF$3:$AF$5001,BD!$A$3:$A$5001,R$3,BD!$B$3:$B$5001,$A$277)))</f>
        <v/>
      </c>
      <c r="S307" s="230" t="str">
        <f>IF(S$3="","",IF(COUNTIFS(BD!$A$3:$A$5001,S$3,BD!$B$3:$B$5001,$A$277,BD!$AF$3:$AF$5001,"&lt;&gt;")=0,"",SUMIFS(BD!$AF$3:$AF$5001,BD!$A$3:$A$5001,S$3,BD!$B$3:$B$5001,$A$277)))</f>
        <v/>
      </c>
      <c r="T307" s="230" t="str">
        <f>IF(T$3="","",IF(COUNTIFS(BD!$A$3:$A$5001,T$3,BD!$B$3:$B$5001,$A$277,BD!$AF$3:$AF$5001,"&lt;&gt;")=0,"",SUMIFS(BD!$AF$3:$AF$5001,BD!$A$3:$A$5001,T$3,BD!$B$3:$B$5001,$A$277)))</f>
        <v/>
      </c>
      <c r="U307" s="230" t="str">
        <f>IF(U$3="","",IF(COUNTIFS(BD!$A$3:$A$5001,U$3,BD!$B$3:$B$5001,$A$277,BD!$AF$3:$AF$5001,"&lt;&gt;")=0,"",SUMIFS(BD!$AF$3:$AF$5001,BD!$A$3:$A$5001,U$3,BD!$B$3:$B$5001,$A$277)))</f>
        <v/>
      </c>
      <c r="V307" s="230" t="str">
        <f>IF(V$3="","",IF(COUNTIFS(BD!$A$3:$A$5001,V$3,BD!$B$3:$B$5001,$A$277,BD!$AF$3:$AF$5001,"&lt;&gt;")=0,"",SUMIFS(BD!$AF$3:$AF$5001,BD!$A$3:$A$5001,V$3,BD!$B$3:$B$5001,$A$277)))</f>
        <v/>
      </c>
      <c r="W307" s="230" t="str">
        <f>IF(W$3="","",IF(COUNTIFS(BD!$A$3:$A$5001,W$3,BD!$B$3:$B$5001,$A$277,BD!$AF$3:$AF$5001,"&lt;&gt;")=0,"",SUMIFS(BD!$AF$3:$AF$5001,BD!$A$3:$A$5001,W$3,BD!$B$3:$B$5001,$A$277)))</f>
        <v/>
      </c>
      <c r="X307" s="230" t="str">
        <f>IF(X$3="","",IF(COUNTIFS(BD!$A$3:$A$5001,X$3,BD!$B$3:$B$5001,$A$277,BD!$AF$3:$AF$5001,"&lt;&gt;")=0,"",SUMIFS(BD!$AF$3:$AF$5001,BD!$A$3:$A$5001,X$3,BD!$B$3:$B$5001,$A$277)))</f>
        <v/>
      </c>
      <c r="Y307" s="230" t="str">
        <f>IF(Y$3="","",IF(COUNTIFS(BD!$A$3:$A$5001,Y$3,BD!$B$3:$B$5001,$A$277,BD!$AF$3:$AF$5001,"&lt;&gt;")=0,"",SUMIFS(BD!$AF$3:$AF$5001,BD!$A$3:$A$5001,Y$3,BD!$B$3:$B$5001,$A$277)))</f>
        <v/>
      </c>
      <c r="Z307" s="230" t="str">
        <f>IF(Z$3="","",IF(COUNTIFS(BD!$A$3:$A$5001,Z$3,BD!$B$3:$B$5001,$A$277,BD!$AF$3:$AF$5001,"&lt;&gt;")=0,"",SUMIFS(BD!$AF$3:$AF$5001,BD!$A$3:$A$5001,Z$3,BD!$B$3:$B$5001,$A$277)))</f>
        <v/>
      </c>
      <c r="AA307" s="230" t="str">
        <f>IF(AA$3="","",IF(COUNTIFS(BD!$A$3:$A$5001,AA$3,BD!$B$3:$B$5001,$A$277,BD!$AF$3:$AF$5001,"&lt;&gt;")=0,"",SUMIFS(BD!$AF$3:$AF$5001,BD!$A$3:$A$5001,AA$3,BD!$B$3:$B$5001,$A$277)))</f>
        <v/>
      </c>
      <c r="AB307" s="230" t="str">
        <f>IF(AB$3="","",IF(COUNTIFS(BD!$A$3:$A$5001,AB$3,BD!$B$3:$B$5001,$A$277,BD!$AF$3:$AF$5001,"&lt;&gt;")=0,"",SUMIFS(BD!$AF$3:$AF$5001,BD!$A$3:$A$5001,AB$3,BD!$B$3:$B$5001,$A$277)))</f>
        <v/>
      </c>
      <c r="AC307" s="230" t="str">
        <f>IF(AC$3="","",IF(COUNTIFS(BD!$A$3:$A$5001,AC$3,BD!$B$3:$B$5001,$A$277,BD!$AF$3:$AF$5001,"&lt;&gt;")=0,"",SUMIFS(BD!$AF$3:$AF$5001,BD!$A$3:$A$5001,AC$3,BD!$B$3:$B$5001,$A$277)))</f>
        <v/>
      </c>
      <c r="AD307" s="230" t="str">
        <f>IF(AD$3="","",IF(COUNTIFS(BD!$A$3:$A$5001,AD$3,BD!$B$3:$B$5001,$A$277,BD!$AF$3:$AF$5001,"&lt;&gt;")=0,"",SUMIFS(BD!$AF$3:$AF$5001,BD!$A$3:$A$5001,AD$3,BD!$B$3:$B$5001,$A$277)))</f>
        <v/>
      </c>
      <c r="AE307" s="230" t="str">
        <f>IF(AE$3="","",IF(COUNTIFS(BD!$A$3:$A$5001,AE$3,BD!$B$3:$B$5001,$A$277,BD!$AF$3:$AF$5001,"&lt;&gt;")=0,"",SUMIFS(BD!$AF$3:$AF$5001,BD!$A$3:$A$5001,AE$3,BD!$B$3:$B$5001,$A$277)))</f>
        <v/>
      </c>
      <c r="AF307" s="230" t="str">
        <f>IF(AF$3="","",IF(COUNTIFS(BD!$A$3:$A$5001,AF$3,BD!$B$3:$B$5001,$A$277,BD!$AF$3:$AF$5001,"&lt;&gt;")=0,"",SUMIFS(BD!$AF$3:$AF$5001,BD!$A$3:$A$5001,AF$3,BD!$B$3:$B$5001,$A$277)))</f>
        <v/>
      </c>
      <c r="AG307" s="230" t="str">
        <f>IF(AG$3="","",IF(COUNTIFS(BD!$A$3:$A$5001,AG$3,BD!$B$3:$B$5001,$A$277,BD!$AF$3:$AF$5001,"&lt;&gt;")=0,"",SUMIFS(BD!$AF$3:$AF$5001,BD!$A$3:$A$5001,AG$3,BD!$B$3:$B$5001,$A$277)))</f>
        <v/>
      </c>
      <c r="AH307" s="230" t="str">
        <f>IF(AH$3="","",IF(COUNTIFS(BD!$A$3:$A$5001,AH$3,BD!$B$3:$B$5001,$A$277,BD!$AF$3:$AF$5001,"&lt;&gt;")=0,"",SUMIFS(BD!$AF$3:$AF$5001,BD!$A$3:$A$5001,AH$3,BD!$B$3:$B$5001,$A$277)))</f>
        <v/>
      </c>
      <c r="AI307" s="230" t="str">
        <f>IF(AI$3="","",IF(COUNTIFS(BD!$A$3:$A$5001,AI$3,BD!$B$3:$B$5001,$A$277,BD!$AF$3:$AF$5001,"&lt;&gt;")=0,"",SUMIFS(BD!$AF$3:$AF$5001,BD!$A$3:$A$5001,AI$3,BD!$B$3:$B$5001,$A$277)))</f>
        <v/>
      </c>
      <c r="AJ307" s="231" t="str">
        <f>IF(AJ$3="","",IF(COUNTIFS(BD!$A$3:$A$5001,AJ$3,BD!$B$3:$B$5001,$A$277,BD!$AF$3:$AF$5001,"&lt;&gt;")=0,"",SUMIFS(BD!$AF$3:$AF$5001,BD!$A$3:$A$5001,AJ$3,BD!$B$3:$B$5001,$A$277)))</f>
        <v/>
      </c>
      <c r="AK307" s="227" t="str">
        <f>IF(COUNT(F307:AJ307)=0,"",SUM(F307:AJ307))</f>
        <v/>
      </c>
    </row>
    <row r="309" ht="15.75" customHeight="1" hidden="1">
      <c r="A309" s="243"/>
      <c r="B309" s="232" t="inlineStr">
        <is>
          <t xml:space="preserve">IN</t>
        </is>
      </c>
      <c r="C309" s="155" t="inlineStr">
        <is>
          <t xml:space="preserve">Veículos Recebidos</t>
        </is>
      </c>
      <c r="D309" s="156" t="str">
        <f>IFERROR(1/(1/INDEX(BD!$AJ$23:$BD$23,MATCH($A$309,BD!$AJ$22:$BD$22,0))),"")</f>
        <v/>
      </c>
      <c r="E309" s="157"/>
      <c r="F309" s="158" t="str">
        <f>IF(F$3="","",IF(COUNTIFS(BD!$A$3:$A$5001,F$3,BD!$B$3:$B$5001,$A$309,BD!$C$3:$C$5001,"&lt;&gt;")=0,"",SUMIFS(BD!$C$3:$C$5001,BD!$A$3:$A$5001,F$3,BD!$B$3:$B$5001,$A$309)))</f>
        <v/>
      </c>
      <c r="G309" s="159" t="str">
        <f>IF(G$3="","",IF(COUNTIFS(BD!$A$3:$A$5001,G$3,BD!$B$3:$B$5001,$A$309,BD!$C$3:$C$5001,"&lt;&gt;")=0,"",SUMIFS(BD!$C$3:$C$5001,BD!$A$3:$A$5001,G$3,BD!$B$3:$B$5001,$A$309)))</f>
        <v/>
      </c>
      <c r="H309" s="159" t="str">
        <f>IF(H$3="","",IF(COUNTIFS(BD!$A$3:$A$5001,H$3,BD!$B$3:$B$5001,$A$309,BD!$C$3:$C$5001,"&lt;&gt;")=0,"",SUMIFS(BD!$C$3:$C$5001,BD!$A$3:$A$5001,H$3,BD!$B$3:$B$5001,$A$309)))</f>
        <v/>
      </c>
      <c r="I309" s="159" t="str">
        <f>IF(I$3="","",IF(COUNTIFS(BD!$A$3:$A$5001,I$3,BD!$B$3:$B$5001,$A$309,BD!$C$3:$C$5001,"&lt;&gt;")=0,"",SUMIFS(BD!$C$3:$C$5001,BD!$A$3:$A$5001,I$3,BD!$B$3:$B$5001,$A$309)))</f>
        <v/>
      </c>
      <c r="J309" s="159" t="str">
        <f>IF(J$3="","",IF(COUNTIFS(BD!$A$3:$A$5001,J$3,BD!$B$3:$B$5001,$A$309,BD!$C$3:$C$5001,"&lt;&gt;")=0,"",SUMIFS(BD!$C$3:$C$5001,BD!$A$3:$A$5001,J$3,BD!$B$3:$B$5001,$A$309)))</f>
        <v/>
      </c>
      <c r="K309" s="159" t="str">
        <f>IF(K$3="","",IF(COUNTIFS(BD!$A$3:$A$5001,K$3,BD!$B$3:$B$5001,$A$309,BD!$C$3:$C$5001,"&lt;&gt;")=0,"",SUMIFS(BD!$C$3:$C$5001,BD!$A$3:$A$5001,K$3,BD!$B$3:$B$5001,$A$309)))</f>
        <v/>
      </c>
      <c r="L309" s="159" t="str">
        <f>IF(L$3="","",IF(COUNTIFS(BD!$A$3:$A$5001,L$3,BD!$B$3:$B$5001,$A$309,BD!$C$3:$C$5001,"&lt;&gt;")=0,"",SUMIFS(BD!$C$3:$C$5001,BD!$A$3:$A$5001,L$3,BD!$B$3:$B$5001,$A$309)))</f>
        <v/>
      </c>
      <c r="M309" s="159" t="str">
        <f>IF(M$3="","",IF(COUNTIFS(BD!$A$3:$A$5001,M$3,BD!$B$3:$B$5001,$A$309,BD!$C$3:$C$5001,"&lt;&gt;")=0,"",SUMIFS(BD!$C$3:$C$5001,BD!$A$3:$A$5001,M$3,BD!$B$3:$B$5001,$A$309)))</f>
        <v/>
      </c>
      <c r="N309" s="159" t="str">
        <f>IF(N$3="","",IF(COUNTIFS(BD!$A$3:$A$5001,N$3,BD!$B$3:$B$5001,$A$309,BD!$C$3:$C$5001,"&lt;&gt;")=0,"",SUMIFS(BD!$C$3:$C$5001,BD!$A$3:$A$5001,N$3,BD!$B$3:$B$5001,$A$309)))</f>
        <v/>
      </c>
      <c r="O309" s="159" t="str">
        <f>IF(O$3="","",IF(COUNTIFS(BD!$A$3:$A$5001,O$3,BD!$B$3:$B$5001,$A$309,BD!$C$3:$C$5001,"&lt;&gt;")=0,"",SUMIFS(BD!$C$3:$C$5001,BD!$A$3:$A$5001,O$3,BD!$B$3:$B$5001,$A$309)))</f>
        <v/>
      </c>
      <c r="P309" s="159" t="str">
        <f>IF(P$3="","",IF(COUNTIFS(BD!$A$3:$A$5001,P$3,BD!$B$3:$B$5001,$A$309,BD!$C$3:$C$5001,"&lt;&gt;")=0,"",SUMIFS(BD!$C$3:$C$5001,BD!$A$3:$A$5001,P$3,BD!$B$3:$B$5001,$A$309)))</f>
        <v/>
      </c>
      <c r="Q309" s="159" t="str">
        <f>IF(Q$3="","",IF(COUNTIFS(BD!$A$3:$A$5001,Q$3,BD!$B$3:$B$5001,$A$309,BD!$C$3:$C$5001,"&lt;&gt;")=0,"",SUMIFS(BD!$C$3:$C$5001,BD!$A$3:$A$5001,Q$3,BD!$B$3:$B$5001,$A$309)))</f>
        <v/>
      </c>
      <c r="R309" s="159" t="str">
        <f>IF(R$3="","",IF(COUNTIFS(BD!$A$3:$A$5001,R$3,BD!$B$3:$B$5001,$A$309,BD!$C$3:$C$5001,"&lt;&gt;")=0,"",SUMIFS(BD!$C$3:$C$5001,BD!$A$3:$A$5001,R$3,BD!$B$3:$B$5001,$A$309)))</f>
        <v/>
      </c>
      <c r="S309" s="159" t="str">
        <f>IF(S$3="","",IF(COUNTIFS(BD!$A$3:$A$5001,S$3,BD!$B$3:$B$5001,$A$309,BD!$C$3:$C$5001,"&lt;&gt;")=0,"",SUMIFS(BD!$C$3:$C$5001,BD!$A$3:$A$5001,S$3,BD!$B$3:$B$5001,$A$309)))</f>
        <v/>
      </c>
      <c r="T309" s="159" t="str">
        <f>IF(T$3="","",IF(COUNTIFS(BD!$A$3:$A$5001,T$3,BD!$B$3:$B$5001,$A$309,BD!$C$3:$C$5001,"&lt;&gt;")=0,"",SUMIFS(BD!$C$3:$C$5001,BD!$A$3:$A$5001,T$3,BD!$B$3:$B$5001,$A$309)))</f>
        <v/>
      </c>
      <c r="U309" s="159" t="str">
        <f>IF(U$3="","",IF(COUNTIFS(BD!$A$3:$A$5001,U$3,BD!$B$3:$B$5001,$A$309,BD!$C$3:$C$5001,"&lt;&gt;")=0,"",SUMIFS(BD!$C$3:$C$5001,BD!$A$3:$A$5001,U$3,BD!$B$3:$B$5001,$A$309)))</f>
        <v/>
      </c>
      <c r="V309" s="159" t="str">
        <f>IF(V$3="","",IF(COUNTIFS(BD!$A$3:$A$5001,V$3,BD!$B$3:$B$5001,$A$309,BD!$C$3:$C$5001,"&lt;&gt;")=0,"",SUMIFS(BD!$C$3:$C$5001,BD!$A$3:$A$5001,V$3,BD!$B$3:$B$5001,$A$309)))</f>
        <v/>
      </c>
      <c r="W309" s="159" t="str">
        <f>IF(W$3="","",IF(COUNTIFS(BD!$A$3:$A$5001,W$3,BD!$B$3:$B$5001,$A$309,BD!$C$3:$C$5001,"&lt;&gt;")=0,"",SUMIFS(BD!$C$3:$C$5001,BD!$A$3:$A$5001,W$3,BD!$B$3:$B$5001,$A$309)))</f>
        <v/>
      </c>
      <c r="X309" s="159" t="str">
        <f>IF(X$3="","",IF(COUNTIFS(BD!$A$3:$A$5001,X$3,BD!$B$3:$B$5001,$A$309,BD!$C$3:$C$5001,"&lt;&gt;")=0,"",SUMIFS(BD!$C$3:$C$5001,BD!$A$3:$A$5001,X$3,BD!$B$3:$B$5001,$A$309)))</f>
        <v/>
      </c>
      <c r="Y309" s="159" t="str">
        <f>IF(Y$3="","",IF(COUNTIFS(BD!$A$3:$A$5001,Y$3,BD!$B$3:$B$5001,$A$309,BD!$C$3:$C$5001,"&lt;&gt;")=0,"",SUMIFS(BD!$C$3:$C$5001,BD!$A$3:$A$5001,Y$3,BD!$B$3:$B$5001,$A$309)))</f>
        <v/>
      </c>
      <c r="Z309" s="159" t="str">
        <f>IF(Z$3="","",IF(COUNTIFS(BD!$A$3:$A$5001,Z$3,BD!$B$3:$B$5001,$A$309,BD!$C$3:$C$5001,"&lt;&gt;")=0,"",SUMIFS(BD!$C$3:$C$5001,BD!$A$3:$A$5001,Z$3,BD!$B$3:$B$5001,$A$309)))</f>
        <v/>
      </c>
      <c r="AA309" s="159" t="str">
        <f>IF(AA$3="","",IF(COUNTIFS(BD!$A$3:$A$5001,AA$3,BD!$B$3:$B$5001,$A$309,BD!$C$3:$C$5001,"&lt;&gt;")=0,"",SUMIFS(BD!$C$3:$C$5001,BD!$A$3:$A$5001,AA$3,BD!$B$3:$B$5001,$A$309)))</f>
        <v/>
      </c>
      <c r="AB309" s="159" t="str">
        <f>IF(AB$3="","",IF(COUNTIFS(BD!$A$3:$A$5001,AB$3,BD!$B$3:$B$5001,$A$309,BD!$C$3:$C$5001,"&lt;&gt;")=0,"",SUMIFS(BD!$C$3:$C$5001,BD!$A$3:$A$5001,AB$3,BD!$B$3:$B$5001,$A$309)))</f>
        <v/>
      </c>
      <c r="AC309" s="159" t="str">
        <f>IF(AC$3="","",IF(COUNTIFS(BD!$A$3:$A$5001,AC$3,BD!$B$3:$B$5001,$A$309,BD!$C$3:$C$5001,"&lt;&gt;")=0,"",SUMIFS(BD!$C$3:$C$5001,BD!$A$3:$A$5001,AC$3,BD!$B$3:$B$5001,$A$309)))</f>
        <v/>
      </c>
      <c r="AD309" s="159" t="str">
        <f>IF(AD$3="","",IF(COUNTIFS(BD!$A$3:$A$5001,AD$3,BD!$B$3:$B$5001,$A$309,BD!$C$3:$C$5001,"&lt;&gt;")=0,"",SUMIFS(BD!$C$3:$C$5001,BD!$A$3:$A$5001,AD$3,BD!$B$3:$B$5001,$A$309)))</f>
        <v/>
      </c>
      <c r="AE309" s="159" t="str">
        <f>IF(AE$3="","",IF(COUNTIFS(BD!$A$3:$A$5001,AE$3,BD!$B$3:$B$5001,$A$309,BD!$C$3:$C$5001,"&lt;&gt;")=0,"",SUMIFS(BD!$C$3:$C$5001,BD!$A$3:$A$5001,AE$3,BD!$B$3:$B$5001,$A$309)))</f>
        <v/>
      </c>
      <c r="AF309" s="159" t="str">
        <f>IF(AF$3="","",IF(COUNTIFS(BD!$A$3:$A$5001,AF$3,BD!$B$3:$B$5001,$A$309,BD!$C$3:$C$5001,"&lt;&gt;")=0,"",SUMIFS(BD!$C$3:$C$5001,BD!$A$3:$A$5001,AF$3,BD!$B$3:$B$5001,$A$309)))</f>
        <v/>
      </c>
      <c r="AG309" s="159" t="str">
        <f>IF(AG$3="","",IF(COUNTIFS(BD!$A$3:$A$5001,AG$3,BD!$B$3:$B$5001,$A$309,BD!$C$3:$C$5001,"&lt;&gt;")=0,"",SUMIFS(BD!$C$3:$C$5001,BD!$A$3:$A$5001,AG$3,BD!$B$3:$B$5001,$A$309)))</f>
        <v/>
      </c>
      <c r="AH309" s="159" t="str">
        <f>IF(AH$3="","",IF(COUNTIFS(BD!$A$3:$A$5001,AH$3,BD!$B$3:$B$5001,$A$309,BD!$C$3:$C$5001,"&lt;&gt;")=0,"",SUMIFS(BD!$C$3:$C$5001,BD!$A$3:$A$5001,AH$3,BD!$B$3:$B$5001,$A$309)))</f>
        <v/>
      </c>
      <c r="AI309" s="159" t="str">
        <f>IF(AI$3="","",IF(COUNTIFS(BD!$A$3:$A$5001,AI$3,BD!$B$3:$B$5001,$A$309,BD!$C$3:$C$5001,"&lt;&gt;")=0,"",SUMIFS(BD!$C$3:$C$5001,BD!$A$3:$A$5001,AI$3,BD!$B$3:$B$5001,$A$309)))</f>
        <v/>
      </c>
      <c r="AJ309" s="160" t="str">
        <f>IF(AJ$3="","",IF(COUNTIFS(BD!$A$3:$A$5001,AJ$3,BD!$B$3:$B$5001,$A$309,BD!$C$3:$C$5001,"&lt;&gt;")=0,"",SUMIFS(BD!$C$3:$C$5001,BD!$A$3:$A$5001,AJ$3,BD!$B$3:$B$5001,$A$309)))</f>
        <v/>
      </c>
      <c r="AK309" s="161" t="str">
        <f>IF(COUNT(F309:AJ309)=0,"",SUM(F309:AJ309))</f>
        <v/>
      </c>
    </row>
    <row r="310" ht="15.75" customHeight="1" hidden="1">
      <c r="A310" s="244"/>
      <c r="B310" s="239"/>
      <c r="C310" s="201" t="inlineStr">
        <is>
          <t xml:space="preserve">Pallets Movimentados</t>
        </is>
      </c>
      <c r="D310" s="202" t="str">
        <f>IFERROR(1/(1/INDEX(BD!$AJ$24:$BD$24,MATCH($A$309,BD!$AJ$22:$BD$22,0))),"")</f>
        <v/>
      </c>
      <c r="E310" s="203"/>
      <c r="F310" s="204" t="str">
        <f>IF(F$3="","",IF(COUNTIFS(BD!$A$3:$A$5001,F$3,BD!$B$3:$B$5001,$A$309,BD!$D$3:$D$5001,"&lt;&gt;")=0,"",SUMIFS(BD!$D$3:$D$5001,BD!$A$3:$A$5001,F$3,BD!$B$3:$B$5001,$A$309)))</f>
        <v/>
      </c>
      <c r="G310" s="205" t="str">
        <f>IF(G$3="","",IF(COUNTIFS(BD!$A$3:$A$5001,G$3,BD!$B$3:$B$5001,$A$309,BD!$D$3:$D$5001,"&lt;&gt;")=0,"",SUMIFS(BD!$D$3:$D$5001,BD!$A$3:$A$5001,G$3,BD!$B$3:$B$5001,$A$309)))</f>
        <v/>
      </c>
      <c r="H310" s="205" t="str">
        <f>IF(H$3="","",IF(COUNTIFS(BD!$A$3:$A$5001,H$3,BD!$B$3:$B$5001,$A$309,BD!$D$3:$D$5001,"&lt;&gt;")=0,"",SUMIFS(BD!$D$3:$D$5001,BD!$A$3:$A$5001,H$3,BD!$B$3:$B$5001,$A$309)))</f>
        <v/>
      </c>
      <c r="I310" s="205" t="str">
        <f>IF(I$3="","",IF(COUNTIFS(BD!$A$3:$A$5001,I$3,BD!$B$3:$B$5001,$A$309,BD!$D$3:$D$5001,"&lt;&gt;")=0,"",SUMIFS(BD!$D$3:$D$5001,BD!$A$3:$A$5001,I$3,BD!$B$3:$B$5001,$A$309)))</f>
        <v/>
      </c>
      <c r="J310" s="205" t="str">
        <f>IF(J$3="","",IF(COUNTIFS(BD!$A$3:$A$5001,J$3,BD!$B$3:$B$5001,$A$309,BD!$D$3:$D$5001,"&lt;&gt;")=0,"",SUMIFS(BD!$D$3:$D$5001,BD!$A$3:$A$5001,J$3,BD!$B$3:$B$5001,$A$309)))</f>
        <v/>
      </c>
      <c r="K310" s="205" t="str">
        <f>IF(K$3="","",IF(COUNTIFS(BD!$A$3:$A$5001,K$3,BD!$B$3:$B$5001,$A$309,BD!$D$3:$D$5001,"&lt;&gt;")=0,"",SUMIFS(BD!$D$3:$D$5001,BD!$A$3:$A$5001,K$3,BD!$B$3:$B$5001,$A$309)))</f>
        <v/>
      </c>
      <c r="L310" s="205" t="str">
        <f>IF(L$3="","",IF(COUNTIFS(BD!$A$3:$A$5001,L$3,BD!$B$3:$B$5001,$A$309,BD!$D$3:$D$5001,"&lt;&gt;")=0,"",SUMIFS(BD!$D$3:$D$5001,BD!$A$3:$A$5001,L$3,BD!$B$3:$B$5001,$A$309)))</f>
        <v/>
      </c>
      <c r="M310" s="205" t="str">
        <f>IF(M$3="","",IF(COUNTIFS(BD!$A$3:$A$5001,M$3,BD!$B$3:$B$5001,$A$309,BD!$D$3:$D$5001,"&lt;&gt;")=0,"",SUMIFS(BD!$D$3:$D$5001,BD!$A$3:$A$5001,M$3,BD!$B$3:$B$5001,$A$309)))</f>
        <v/>
      </c>
      <c r="N310" s="205" t="str">
        <f>IF(N$3="","",IF(COUNTIFS(BD!$A$3:$A$5001,N$3,BD!$B$3:$B$5001,$A$309,BD!$D$3:$D$5001,"&lt;&gt;")=0,"",SUMIFS(BD!$D$3:$D$5001,BD!$A$3:$A$5001,N$3,BD!$B$3:$B$5001,$A$309)))</f>
        <v/>
      </c>
      <c r="O310" s="205" t="str">
        <f>IF(O$3="","",IF(COUNTIFS(BD!$A$3:$A$5001,O$3,BD!$B$3:$B$5001,$A$309,BD!$D$3:$D$5001,"&lt;&gt;")=0,"",SUMIFS(BD!$D$3:$D$5001,BD!$A$3:$A$5001,O$3,BD!$B$3:$B$5001,$A$309)))</f>
        <v/>
      </c>
      <c r="P310" s="205" t="str">
        <f>IF(P$3="","",IF(COUNTIFS(BD!$A$3:$A$5001,P$3,BD!$B$3:$B$5001,$A$309,BD!$D$3:$D$5001,"&lt;&gt;")=0,"",SUMIFS(BD!$D$3:$D$5001,BD!$A$3:$A$5001,P$3,BD!$B$3:$B$5001,$A$309)))</f>
        <v/>
      </c>
      <c r="Q310" s="205" t="str">
        <f>IF(Q$3="","",IF(COUNTIFS(BD!$A$3:$A$5001,Q$3,BD!$B$3:$B$5001,$A$309,BD!$D$3:$D$5001,"&lt;&gt;")=0,"",SUMIFS(BD!$D$3:$D$5001,BD!$A$3:$A$5001,Q$3,BD!$B$3:$B$5001,$A$309)))</f>
        <v/>
      </c>
      <c r="R310" s="205" t="str">
        <f>IF(R$3="","",IF(COUNTIFS(BD!$A$3:$A$5001,R$3,BD!$B$3:$B$5001,$A$309,BD!$D$3:$D$5001,"&lt;&gt;")=0,"",SUMIFS(BD!$D$3:$D$5001,BD!$A$3:$A$5001,R$3,BD!$B$3:$B$5001,$A$309)))</f>
        <v/>
      </c>
      <c r="S310" s="205" t="str">
        <f>IF(S$3="","",IF(COUNTIFS(BD!$A$3:$A$5001,S$3,BD!$B$3:$B$5001,$A$309,BD!$D$3:$D$5001,"&lt;&gt;")=0,"",SUMIFS(BD!$D$3:$D$5001,BD!$A$3:$A$5001,S$3,BD!$B$3:$B$5001,$A$309)))</f>
        <v/>
      </c>
      <c r="T310" s="205" t="str">
        <f>IF(T$3="","",IF(COUNTIFS(BD!$A$3:$A$5001,T$3,BD!$B$3:$B$5001,$A$309,BD!$D$3:$D$5001,"&lt;&gt;")=0,"",SUMIFS(BD!$D$3:$D$5001,BD!$A$3:$A$5001,T$3,BD!$B$3:$B$5001,$A$309)))</f>
        <v/>
      </c>
      <c r="U310" s="205" t="str">
        <f>IF(U$3="","",IF(COUNTIFS(BD!$A$3:$A$5001,U$3,BD!$B$3:$B$5001,$A$309,BD!$D$3:$D$5001,"&lt;&gt;")=0,"",SUMIFS(BD!$D$3:$D$5001,BD!$A$3:$A$5001,U$3,BD!$B$3:$B$5001,$A$309)))</f>
        <v/>
      </c>
      <c r="V310" s="205" t="str">
        <f>IF(V$3="","",IF(COUNTIFS(BD!$A$3:$A$5001,V$3,BD!$B$3:$B$5001,$A$309,BD!$D$3:$D$5001,"&lt;&gt;")=0,"",SUMIFS(BD!$D$3:$D$5001,BD!$A$3:$A$5001,V$3,BD!$B$3:$B$5001,$A$309)))</f>
        <v/>
      </c>
      <c r="W310" s="205" t="str">
        <f>IF(W$3="","",IF(COUNTIFS(BD!$A$3:$A$5001,W$3,BD!$B$3:$B$5001,$A$309,BD!$D$3:$D$5001,"&lt;&gt;")=0,"",SUMIFS(BD!$D$3:$D$5001,BD!$A$3:$A$5001,W$3,BD!$B$3:$B$5001,$A$309)))</f>
        <v/>
      </c>
      <c r="X310" s="205" t="str">
        <f>IF(X$3="","",IF(COUNTIFS(BD!$A$3:$A$5001,X$3,BD!$B$3:$B$5001,$A$309,BD!$D$3:$D$5001,"&lt;&gt;")=0,"",SUMIFS(BD!$D$3:$D$5001,BD!$A$3:$A$5001,X$3,BD!$B$3:$B$5001,$A$309)))</f>
        <v/>
      </c>
      <c r="Y310" s="205" t="str">
        <f>IF(Y$3="","",IF(COUNTIFS(BD!$A$3:$A$5001,Y$3,BD!$B$3:$B$5001,$A$309,BD!$D$3:$D$5001,"&lt;&gt;")=0,"",SUMIFS(BD!$D$3:$D$5001,BD!$A$3:$A$5001,Y$3,BD!$B$3:$B$5001,$A$309)))</f>
        <v/>
      </c>
      <c r="Z310" s="205" t="str">
        <f>IF(Z$3="","",IF(COUNTIFS(BD!$A$3:$A$5001,Z$3,BD!$B$3:$B$5001,$A$309,BD!$D$3:$D$5001,"&lt;&gt;")=0,"",SUMIFS(BD!$D$3:$D$5001,BD!$A$3:$A$5001,Z$3,BD!$B$3:$B$5001,$A$309)))</f>
        <v/>
      </c>
      <c r="AA310" s="205" t="str">
        <f>IF(AA$3="","",IF(COUNTIFS(BD!$A$3:$A$5001,AA$3,BD!$B$3:$B$5001,$A$309,BD!$D$3:$D$5001,"&lt;&gt;")=0,"",SUMIFS(BD!$D$3:$D$5001,BD!$A$3:$A$5001,AA$3,BD!$B$3:$B$5001,$A$309)))</f>
        <v/>
      </c>
      <c r="AB310" s="205" t="str">
        <f>IF(AB$3="","",IF(COUNTIFS(BD!$A$3:$A$5001,AB$3,BD!$B$3:$B$5001,$A$309,BD!$D$3:$D$5001,"&lt;&gt;")=0,"",SUMIFS(BD!$D$3:$D$5001,BD!$A$3:$A$5001,AB$3,BD!$B$3:$B$5001,$A$309)))</f>
        <v/>
      </c>
      <c r="AC310" s="205" t="str">
        <f>IF(AC$3="","",IF(COUNTIFS(BD!$A$3:$A$5001,AC$3,BD!$B$3:$B$5001,$A$309,BD!$D$3:$D$5001,"&lt;&gt;")=0,"",SUMIFS(BD!$D$3:$D$5001,BD!$A$3:$A$5001,AC$3,BD!$B$3:$B$5001,$A$309)))</f>
        <v/>
      </c>
      <c r="AD310" s="205" t="str">
        <f>IF(AD$3="","",IF(COUNTIFS(BD!$A$3:$A$5001,AD$3,BD!$B$3:$B$5001,$A$309,BD!$D$3:$D$5001,"&lt;&gt;")=0,"",SUMIFS(BD!$D$3:$D$5001,BD!$A$3:$A$5001,AD$3,BD!$B$3:$B$5001,$A$309)))</f>
        <v/>
      </c>
      <c r="AE310" s="205" t="str">
        <f>IF(AE$3="","",IF(COUNTIFS(BD!$A$3:$A$5001,AE$3,BD!$B$3:$B$5001,$A$309,BD!$D$3:$D$5001,"&lt;&gt;")=0,"",SUMIFS(BD!$D$3:$D$5001,BD!$A$3:$A$5001,AE$3,BD!$B$3:$B$5001,$A$309)))</f>
        <v/>
      </c>
      <c r="AF310" s="205" t="str">
        <f>IF(AF$3="","",IF(COUNTIFS(BD!$A$3:$A$5001,AF$3,BD!$B$3:$B$5001,$A$309,BD!$D$3:$D$5001,"&lt;&gt;")=0,"",SUMIFS(BD!$D$3:$D$5001,BD!$A$3:$A$5001,AF$3,BD!$B$3:$B$5001,$A$309)))</f>
        <v/>
      </c>
      <c r="AG310" s="205" t="str">
        <f>IF(AG$3="","",IF(COUNTIFS(BD!$A$3:$A$5001,AG$3,BD!$B$3:$B$5001,$A$309,BD!$D$3:$D$5001,"&lt;&gt;")=0,"",SUMIFS(BD!$D$3:$D$5001,BD!$A$3:$A$5001,AG$3,BD!$B$3:$B$5001,$A$309)))</f>
        <v/>
      </c>
      <c r="AH310" s="205" t="str">
        <f>IF(AH$3="","",IF(COUNTIFS(BD!$A$3:$A$5001,AH$3,BD!$B$3:$B$5001,$A$309,BD!$D$3:$D$5001,"&lt;&gt;")=0,"",SUMIFS(BD!$D$3:$D$5001,BD!$A$3:$A$5001,AH$3,BD!$B$3:$B$5001,$A$309)))</f>
        <v/>
      </c>
      <c r="AI310" s="205" t="str">
        <f>IF(AI$3="","",IF(COUNTIFS(BD!$A$3:$A$5001,AI$3,BD!$B$3:$B$5001,$A$309,BD!$D$3:$D$5001,"&lt;&gt;")=0,"",SUMIFS(BD!$D$3:$D$5001,BD!$A$3:$A$5001,AI$3,BD!$B$3:$B$5001,$A$309)))</f>
        <v/>
      </c>
      <c r="AJ310" s="206" t="str">
        <f>IF(AJ$3="","",IF(COUNTIFS(BD!$A$3:$A$5001,AJ$3,BD!$B$3:$B$5001,$A$309,BD!$D$3:$D$5001,"&lt;&gt;")=0,"",SUMIFS(BD!$D$3:$D$5001,BD!$A$3:$A$5001,AJ$3,BD!$B$3:$B$5001,$A$309)))</f>
        <v/>
      </c>
      <c r="AK310" s="207" t="str">
        <f>IF(COUNT(F310:AJ310)=0,"",SUM(F310:AJ310))</f>
        <v/>
      </c>
    </row>
    <row r="311" ht="15.75" customHeight="1" hidden="1">
      <c r="A311" s="244"/>
      <c r="B311" s="239"/>
      <c r="C311" s="201" t="inlineStr">
        <is>
          <t xml:space="preserve">Toneladas Movimentadas</t>
        </is>
      </c>
      <c r="D311" s="202" t="str">
        <f>IFERROR(1/(1/INDEX(BD!$AJ$25:$BD$25,MATCH($A$309,BD!$AJ$22:$BD$22,0))),"")</f>
        <v/>
      </c>
      <c r="E311" s="203"/>
      <c r="F311" s="265" t="str">
        <f>IF(F$3="","",IF(COUNTIFS(BD!$A$3:$A$5001,F$3,BD!$B$3:$B$5001,$A$309,BD!$E$3:$E$5001,"&lt;&gt;")=0,"",SUMIFS(BD!$E$3:$E$5001,BD!$A$3:$A$5001,F$3,BD!$B$3:$B$5001,$A$309)))</f>
        <v/>
      </c>
      <c r="G311" s="266" t="str">
        <f>IF(G$3="","",IF(COUNTIFS(BD!$A$3:$A$5001,G$3,BD!$B$3:$B$5001,$A$309,BD!$E$3:$E$5001,"&lt;&gt;")=0,"",SUMIFS(BD!$E$3:$E$5001,BD!$A$3:$A$5001,G$3,BD!$B$3:$B$5001,$A$309)))</f>
        <v/>
      </c>
      <c r="H311" s="266" t="str">
        <f>IF(H$3="","",IF(COUNTIFS(BD!$A$3:$A$5001,H$3,BD!$B$3:$B$5001,$A$309,BD!$E$3:$E$5001,"&lt;&gt;")=0,"",SUMIFS(BD!$E$3:$E$5001,BD!$A$3:$A$5001,H$3,BD!$B$3:$B$5001,$A$309)))</f>
        <v/>
      </c>
      <c r="I311" s="266" t="str">
        <f>IF(I$3="","",IF(COUNTIFS(BD!$A$3:$A$5001,I$3,BD!$B$3:$B$5001,$A$309,BD!$E$3:$E$5001,"&lt;&gt;")=0,"",SUMIFS(BD!$E$3:$E$5001,BD!$A$3:$A$5001,I$3,BD!$B$3:$B$5001,$A$309)))</f>
        <v/>
      </c>
      <c r="J311" s="266" t="str">
        <f>IF(J$3="","",IF(COUNTIFS(BD!$A$3:$A$5001,J$3,BD!$B$3:$B$5001,$A$309,BD!$E$3:$E$5001,"&lt;&gt;")=0,"",SUMIFS(BD!$E$3:$E$5001,BD!$A$3:$A$5001,J$3,BD!$B$3:$B$5001,$A$309)))</f>
        <v/>
      </c>
      <c r="K311" s="266" t="str">
        <f>IF(K$3="","",IF(COUNTIFS(BD!$A$3:$A$5001,K$3,BD!$B$3:$B$5001,$A$309,BD!$E$3:$E$5001,"&lt;&gt;")=0,"",SUMIFS(BD!$E$3:$E$5001,BD!$A$3:$A$5001,K$3,BD!$B$3:$B$5001,$A$309)))</f>
        <v/>
      </c>
      <c r="L311" s="266" t="str">
        <f>IF(L$3="","",IF(COUNTIFS(BD!$A$3:$A$5001,L$3,BD!$B$3:$B$5001,$A$309,BD!$E$3:$E$5001,"&lt;&gt;")=0,"",SUMIFS(BD!$E$3:$E$5001,BD!$A$3:$A$5001,L$3,BD!$B$3:$B$5001,$A$309)))</f>
        <v/>
      </c>
      <c r="M311" s="266" t="str">
        <f>IF(M$3="","",IF(COUNTIFS(BD!$A$3:$A$5001,M$3,BD!$B$3:$B$5001,$A$309,BD!$E$3:$E$5001,"&lt;&gt;")=0,"",SUMIFS(BD!$E$3:$E$5001,BD!$A$3:$A$5001,M$3,BD!$B$3:$B$5001,$A$309)))</f>
        <v/>
      </c>
      <c r="N311" s="266" t="str">
        <f>IF(N$3="","",IF(COUNTIFS(BD!$A$3:$A$5001,N$3,BD!$B$3:$B$5001,$A$309,BD!$E$3:$E$5001,"&lt;&gt;")=0,"",SUMIFS(BD!$E$3:$E$5001,BD!$A$3:$A$5001,N$3,BD!$B$3:$B$5001,$A$309)))</f>
        <v/>
      </c>
      <c r="O311" s="266" t="str">
        <f>IF(O$3="","",IF(COUNTIFS(BD!$A$3:$A$5001,O$3,BD!$B$3:$B$5001,$A$309,BD!$E$3:$E$5001,"&lt;&gt;")=0,"",SUMIFS(BD!$E$3:$E$5001,BD!$A$3:$A$5001,O$3,BD!$B$3:$B$5001,$A$309)))</f>
        <v/>
      </c>
      <c r="P311" s="266" t="str">
        <f>IF(P$3="","",IF(COUNTIFS(BD!$A$3:$A$5001,P$3,BD!$B$3:$B$5001,$A$309,BD!$E$3:$E$5001,"&lt;&gt;")=0,"",SUMIFS(BD!$E$3:$E$5001,BD!$A$3:$A$5001,P$3,BD!$B$3:$B$5001,$A$309)))</f>
        <v/>
      </c>
      <c r="Q311" s="266" t="str">
        <f>IF(Q$3="","",IF(COUNTIFS(BD!$A$3:$A$5001,Q$3,BD!$B$3:$B$5001,$A$309,BD!$E$3:$E$5001,"&lt;&gt;")=0,"",SUMIFS(BD!$E$3:$E$5001,BD!$A$3:$A$5001,Q$3,BD!$B$3:$B$5001,$A$309)))</f>
        <v/>
      </c>
      <c r="R311" s="266" t="str">
        <f>IF(R$3="","",IF(COUNTIFS(BD!$A$3:$A$5001,R$3,BD!$B$3:$B$5001,$A$309,BD!$E$3:$E$5001,"&lt;&gt;")=0,"",SUMIFS(BD!$E$3:$E$5001,BD!$A$3:$A$5001,R$3,BD!$B$3:$B$5001,$A$309)))</f>
        <v/>
      </c>
      <c r="S311" s="266" t="str">
        <f>IF(S$3="","",IF(COUNTIFS(BD!$A$3:$A$5001,S$3,BD!$B$3:$B$5001,$A$309,BD!$E$3:$E$5001,"&lt;&gt;")=0,"",SUMIFS(BD!$E$3:$E$5001,BD!$A$3:$A$5001,S$3,BD!$B$3:$B$5001,$A$309)))</f>
        <v/>
      </c>
      <c r="T311" s="266" t="str">
        <f>IF(T$3="","",IF(COUNTIFS(BD!$A$3:$A$5001,T$3,BD!$B$3:$B$5001,$A$309,BD!$E$3:$E$5001,"&lt;&gt;")=0,"",SUMIFS(BD!$E$3:$E$5001,BD!$A$3:$A$5001,T$3,BD!$B$3:$B$5001,$A$309)))</f>
        <v/>
      </c>
      <c r="U311" s="266" t="str">
        <f>IF(U$3="","",IF(COUNTIFS(BD!$A$3:$A$5001,U$3,BD!$B$3:$B$5001,$A$309,BD!$E$3:$E$5001,"&lt;&gt;")=0,"",SUMIFS(BD!$E$3:$E$5001,BD!$A$3:$A$5001,U$3,BD!$B$3:$B$5001,$A$309)))</f>
        <v/>
      </c>
      <c r="V311" s="266" t="str">
        <f>IF(V$3="","",IF(COUNTIFS(BD!$A$3:$A$5001,V$3,BD!$B$3:$B$5001,$A$309,BD!$E$3:$E$5001,"&lt;&gt;")=0,"",SUMIFS(BD!$E$3:$E$5001,BD!$A$3:$A$5001,V$3,BD!$B$3:$B$5001,$A$309)))</f>
        <v/>
      </c>
      <c r="W311" s="266" t="str">
        <f>IF(W$3="","",IF(COUNTIFS(BD!$A$3:$A$5001,W$3,BD!$B$3:$B$5001,$A$309,BD!$E$3:$E$5001,"&lt;&gt;")=0,"",SUMIFS(BD!$E$3:$E$5001,BD!$A$3:$A$5001,W$3,BD!$B$3:$B$5001,$A$309)))</f>
        <v/>
      </c>
      <c r="X311" s="266" t="str">
        <f>IF(X$3="","",IF(COUNTIFS(BD!$A$3:$A$5001,X$3,BD!$B$3:$B$5001,$A$309,BD!$E$3:$E$5001,"&lt;&gt;")=0,"",SUMIFS(BD!$E$3:$E$5001,BD!$A$3:$A$5001,X$3,BD!$B$3:$B$5001,$A$309)))</f>
        <v/>
      </c>
      <c r="Y311" s="266" t="str">
        <f>IF(Y$3="","",IF(COUNTIFS(BD!$A$3:$A$5001,Y$3,BD!$B$3:$B$5001,$A$309,BD!$E$3:$E$5001,"&lt;&gt;")=0,"",SUMIFS(BD!$E$3:$E$5001,BD!$A$3:$A$5001,Y$3,BD!$B$3:$B$5001,$A$309)))</f>
        <v/>
      </c>
      <c r="Z311" s="266" t="str">
        <f>IF(Z$3="","",IF(COUNTIFS(BD!$A$3:$A$5001,Z$3,BD!$B$3:$B$5001,$A$309,BD!$E$3:$E$5001,"&lt;&gt;")=0,"",SUMIFS(BD!$E$3:$E$5001,BD!$A$3:$A$5001,Z$3,BD!$B$3:$B$5001,$A$309)))</f>
        <v/>
      </c>
      <c r="AA311" s="266" t="str">
        <f>IF(AA$3="","",IF(COUNTIFS(BD!$A$3:$A$5001,AA$3,BD!$B$3:$B$5001,$A$309,BD!$E$3:$E$5001,"&lt;&gt;")=0,"",SUMIFS(BD!$E$3:$E$5001,BD!$A$3:$A$5001,AA$3,BD!$B$3:$B$5001,$A$309)))</f>
        <v/>
      </c>
      <c r="AB311" s="266" t="str">
        <f>IF(AB$3="","",IF(COUNTIFS(BD!$A$3:$A$5001,AB$3,BD!$B$3:$B$5001,$A$309,BD!$E$3:$E$5001,"&lt;&gt;")=0,"",SUMIFS(BD!$E$3:$E$5001,BD!$A$3:$A$5001,AB$3,BD!$B$3:$B$5001,$A$309)))</f>
        <v/>
      </c>
      <c r="AC311" s="266" t="str">
        <f>IF(AC$3="","",IF(COUNTIFS(BD!$A$3:$A$5001,AC$3,BD!$B$3:$B$5001,$A$309,BD!$E$3:$E$5001,"&lt;&gt;")=0,"",SUMIFS(BD!$E$3:$E$5001,BD!$A$3:$A$5001,AC$3,BD!$B$3:$B$5001,$A$309)))</f>
        <v/>
      </c>
      <c r="AD311" s="266" t="str">
        <f>IF(AD$3="","",IF(COUNTIFS(BD!$A$3:$A$5001,AD$3,BD!$B$3:$B$5001,$A$309,BD!$E$3:$E$5001,"&lt;&gt;")=0,"",SUMIFS(BD!$E$3:$E$5001,BD!$A$3:$A$5001,AD$3,BD!$B$3:$B$5001,$A$309)))</f>
        <v/>
      </c>
      <c r="AE311" s="266" t="str">
        <f>IF(AE$3="","",IF(COUNTIFS(BD!$A$3:$A$5001,AE$3,BD!$B$3:$B$5001,$A$309,BD!$E$3:$E$5001,"&lt;&gt;")=0,"",SUMIFS(BD!$E$3:$E$5001,BD!$A$3:$A$5001,AE$3,BD!$B$3:$B$5001,$A$309)))</f>
        <v/>
      </c>
      <c r="AF311" s="266" t="str">
        <f>IF(AF$3="","",IF(COUNTIFS(BD!$A$3:$A$5001,AF$3,BD!$B$3:$B$5001,$A$309,BD!$E$3:$E$5001,"&lt;&gt;")=0,"",SUMIFS(BD!$E$3:$E$5001,BD!$A$3:$A$5001,AF$3,BD!$B$3:$B$5001,$A$309)))</f>
        <v/>
      </c>
      <c r="AG311" s="266" t="str">
        <f>IF(AG$3="","",IF(COUNTIFS(BD!$A$3:$A$5001,AG$3,BD!$B$3:$B$5001,$A$309,BD!$E$3:$E$5001,"&lt;&gt;")=0,"",SUMIFS(BD!$E$3:$E$5001,BD!$A$3:$A$5001,AG$3,BD!$B$3:$B$5001,$A$309)))</f>
        <v/>
      </c>
      <c r="AH311" s="266" t="str">
        <f>IF(AH$3="","",IF(COUNTIFS(BD!$A$3:$A$5001,AH$3,BD!$B$3:$B$5001,$A$309,BD!$E$3:$E$5001,"&lt;&gt;")=0,"",SUMIFS(BD!$E$3:$E$5001,BD!$A$3:$A$5001,AH$3,BD!$B$3:$B$5001,$A$309)))</f>
        <v/>
      </c>
      <c r="AI311" s="266" t="str">
        <f>IF(AI$3="","",IF(COUNTIFS(BD!$A$3:$A$5001,AI$3,BD!$B$3:$B$5001,$A$309,BD!$E$3:$E$5001,"&lt;&gt;")=0,"",SUMIFS(BD!$E$3:$E$5001,BD!$A$3:$A$5001,AI$3,BD!$B$3:$B$5001,$A$309)))</f>
        <v/>
      </c>
      <c r="AJ311" s="267" t="str">
        <f>IF(AJ$3="","",IF(COUNTIFS(BD!$A$3:$A$5001,AJ$3,BD!$B$3:$B$5001,$A$309,BD!$E$3:$E$5001,"&lt;&gt;")=0,"",SUMIFS(BD!$E$3:$E$5001,BD!$A$3:$A$5001,AJ$3,BD!$B$3:$B$5001,$A$309)))</f>
        <v/>
      </c>
      <c r="AK311" s="268" t="str">
        <f>IF(COUNT(F311:AJ311)=0,"",SUM(F311:AJ311))</f>
        <v/>
      </c>
    </row>
    <row r="312" ht="15.75" customHeight="1" hidden="1">
      <c r="A312" s="244"/>
      <c r="B312" s="239"/>
      <c r="C312" s="201" t="inlineStr">
        <is>
          <t xml:space="preserve">Linhas NF</t>
        </is>
      </c>
      <c r="D312" s="202" t="str">
        <f>IFERROR(1/(1/INDEX(BD!$AJ$26:$BD$26,MATCH($A$309,BD!$AJ$22:$BD$22,0))),"")</f>
        <v/>
      </c>
      <c r="E312" s="203"/>
      <c r="F312" s="204" t="str">
        <f>IF(F$3="","",IF(COUNTIFS(BD!$A$3:$A$5001,F$3,BD!$B$3:$B$5001,$A$309,BD!$F$3:$F$5001,"&lt;&gt;")=0,"",SUMIFS(BD!$F$3:$F$5001,BD!$A$3:$A$5001,F$3,BD!$B$3:$B$5001,$A$309)))</f>
        <v/>
      </c>
      <c r="G312" s="205" t="str">
        <f>IF(G$3="","",IF(COUNTIFS(BD!$A$3:$A$5001,G$3,BD!$B$3:$B$5001,$A$309,BD!$F$3:$F$5001,"&lt;&gt;")=0,"",SUMIFS(BD!$F$3:$F$5001,BD!$A$3:$A$5001,G$3,BD!$B$3:$B$5001,$A$309)))</f>
        <v/>
      </c>
      <c r="H312" s="205" t="str">
        <f>IF(H$3="","",IF(COUNTIFS(BD!$A$3:$A$5001,H$3,BD!$B$3:$B$5001,$A$309,BD!$F$3:$F$5001,"&lt;&gt;")=0,"",SUMIFS(BD!$F$3:$F$5001,BD!$A$3:$A$5001,H$3,BD!$B$3:$B$5001,$A$309)))</f>
        <v/>
      </c>
      <c r="I312" s="205" t="str">
        <f>IF(I$3="","",IF(COUNTIFS(BD!$A$3:$A$5001,I$3,BD!$B$3:$B$5001,$A$309,BD!$F$3:$F$5001,"&lt;&gt;")=0,"",SUMIFS(BD!$F$3:$F$5001,BD!$A$3:$A$5001,I$3,BD!$B$3:$B$5001,$A$309)))</f>
        <v/>
      </c>
      <c r="J312" s="205" t="str">
        <f>IF(J$3="","",IF(COUNTIFS(BD!$A$3:$A$5001,J$3,BD!$B$3:$B$5001,$A$309,BD!$F$3:$F$5001,"&lt;&gt;")=0,"",SUMIFS(BD!$F$3:$F$5001,BD!$A$3:$A$5001,J$3,BD!$B$3:$B$5001,$A$309)))</f>
        <v/>
      </c>
      <c r="K312" s="205" t="str">
        <f>IF(K$3="","",IF(COUNTIFS(BD!$A$3:$A$5001,K$3,BD!$B$3:$B$5001,$A$309,BD!$F$3:$F$5001,"&lt;&gt;")=0,"",SUMIFS(BD!$F$3:$F$5001,BD!$A$3:$A$5001,K$3,BD!$B$3:$B$5001,$A$309)))</f>
        <v/>
      </c>
      <c r="L312" s="205" t="str">
        <f>IF(L$3="","",IF(COUNTIFS(BD!$A$3:$A$5001,L$3,BD!$B$3:$B$5001,$A$309,BD!$F$3:$F$5001,"&lt;&gt;")=0,"",SUMIFS(BD!$F$3:$F$5001,BD!$A$3:$A$5001,L$3,BD!$B$3:$B$5001,$A$309)))</f>
        <v/>
      </c>
      <c r="M312" s="205" t="str">
        <f>IF(M$3="","",IF(COUNTIFS(BD!$A$3:$A$5001,M$3,BD!$B$3:$B$5001,$A$309,BD!$F$3:$F$5001,"&lt;&gt;")=0,"",SUMIFS(BD!$F$3:$F$5001,BD!$A$3:$A$5001,M$3,BD!$B$3:$B$5001,$A$309)))</f>
        <v/>
      </c>
      <c r="N312" s="205" t="str">
        <f>IF(N$3="","",IF(COUNTIFS(BD!$A$3:$A$5001,N$3,BD!$B$3:$B$5001,$A$309,BD!$F$3:$F$5001,"&lt;&gt;")=0,"",SUMIFS(BD!$F$3:$F$5001,BD!$A$3:$A$5001,N$3,BD!$B$3:$B$5001,$A$309)))</f>
        <v/>
      </c>
      <c r="O312" s="205" t="str">
        <f>IF(O$3="","",IF(COUNTIFS(BD!$A$3:$A$5001,O$3,BD!$B$3:$B$5001,$A$309,BD!$F$3:$F$5001,"&lt;&gt;")=0,"",SUMIFS(BD!$F$3:$F$5001,BD!$A$3:$A$5001,O$3,BD!$B$3:$B$5001,$A$309)))</f>
        <v/>
      </c>
      <c r="P312" s="205" t="str">
        <f>IF(P$3="","",IF(COUNTIFS(BD!$A$3:$A$5001,P$3,BD!$B$3:$B$5001,$A$309,BD!$F$3:$F$5001,"&lt;&gt;")=0,"",SUMIFS(BD!$F$3:$F$5001,BD!$A$3:$A$5001,P$3,BD!$B$3:$B$5001,$A$309)))</f>
        <v/>
      </c>
      <c r="Q312" s="205" t="str">
        <f>IF(Q$3="","",IF(COUNTIFS(BD!$A$3:$A$5001,Q$3,BD!$B$3:$B$5001,$A$309,BD!$F$3:$F$5001,"&lt;&gt;")=0,"",SUMIFS(BD!$F$3:$F$5001,BD!$A$3:$A$5001,Q$3,BD!$B$3:$B$5001,$A$309)))</f>
        <v/>
      </c>
      <c r="R312" s="205" t="str">
        <f>IF(R$3="","",IF(COUNTIFS(BD!$A$3:$A$5001,R$3,BD!$B$3:$B$5001,$A$309,BD!$F$3:$F$5001,"&lt;&gt;")=0,"",SUMIFS(BD!$F$3:$F$5001,BD!$A$3:$A$5001,R$3,BD!$B$3:$B$5001,$A$309)))</f>
        <v/>
      </c>
      <c r="S312" s="205" t="str">
        <f>IF(S$3="","",IF(COUNTIFS(BD!$A$3:$A$5001,S$3,BD!$B$3:$B$5001,$A$309,BD!$F$3:$F$5001,"&lt;&gt;")=0,"",SUMIFS(BD!$F$3:$F$5001,BD!$A$3:$A$5001,S$3,BD!$B$3:$B$5001,$A$309)))</f>
        <v/>
      </c>
      <c r="T312" s="205" t="str">
        <f>IF(T$3="","",IF(COUNTIFS(BD!$A$3:$A$5001,T$3,BD!$B$3:$B$5001,$A$309,BD!$F$3:$F$5001,"&lt;&gt;")=0,"",SUMIFS(BD!$F$3:$F$5001,BD!$A$3:$A$5001,T$3,BD!$B$3:$B$5001,$A$309)))</f>
        <v/>
      </c>
      <c r="U312" s="205" t="str">
        <f>IF(U$3="","",IF(COUNTIFS(BD!$A$3:$A$5001,U$3,BD!$B$3:$B$5001,$A$309,BD!$F$3:$F$5001,"&lt;&gt;")=0,"",SUMIFS(BD!$F$3:$F$5001,BD!$A$3:$A$5001,U$3,BD!$B$3:$B$5001,$A$309)))</f>
        <v/>
      </c>
      <c r="V312" s="205" t="str">
        <f>IF(V$3="","",IF(COUNTIFS(BD!$A$3:$A$5001,V$3,BD!$B$3:$B$5001,$A$309,BD!$F$3:$F$5001,"&lt;&gt;")=0,"",SUMIFS(BD!$F$3:$F$5001,BD!$A$3:$A$5001,V$3,BD!$B$3:$B$5001,$A$309)))</f>
        <v/>
      </c>
      <c r="W312" s="205" t="str">
        <f>IF(W$3="","",IF(COUNTIFS(BD!$A$3:$A$5001,W$3,BD!$B$3:$B$5001,$A$309,BD!$F$3:$F$5001,"&lt;&gt;")=0,"",SUMIFS(BD!$F$3:$F$5001,BD!$A$3:$A$5001,W$3,BD!$B$3:$B$5001,$A$309)))</f>
        <v/>
      </c>
      <c r="X312" s="205" t="str">
        <f>IF(X$3="","",IF(COUNTIFS(BD!$A$3:$A$5001,X$3,BD!$B$3:$B$5001,$A$309,BD!$F$3:$F$5001,"&lt;&gt;")=0,"",SUMIFS(BD!$F$3:$F$5001,BD!$A$3:$A$5001,X$3,BD!$B$3:$B$5001,$A$309)))</f>
        <v/>
      </c>
      <c r="Y312" s="205" t="str">
        <f>IF(Y$3="","",IF(COUNTIFS(BD!$A$3:$A$5001,Y$3,BD!$B$3:$B$5001,$A$309,BD!$F$3:$F$5001,"&lt;&gt;")=0,"",SUMIFS(BD!$F$3:$F$5001,BD!$A$3:$A$5001,Y$3,BD!$B$3:$B$5001,$A$309)))</f>
        <v/>
      </c>
      <c r="Z312" s="205" t="str">
        <f>IF(Z$3="","",IF(COUNTIFS(BD!$A$3:$A$5001,Z$3,BD!$B$3:$B$5001,$A$309,BD!$F$3:$F$5001,"&lt;&gt;")=0,"",SUMIFS(BD!$F$3:$F$5001,BD!$A$3:$A$5001,Z$3,BD!$B$3:$B$5001,$A$309)))</f>
        <v/>
      </c>
      <c r="AA312" s="205" t="str">
        <f>IF(AA$3="","",IF(COUNTIFS(BD!$A$3:$A$5001,AA$3,BD!$B$3:$B$5001,$A$309,BD!$F$3:$F$5001,"&lt;&gt;")=0,"",SUMIFS(BD!$F$3:$F$5001,BD!$A$3:$A$5001,AA$3,BD!$B$3:$B$5001,$A$309)))</f>
        <v/>
      </c>
      <c r="AB312" s="205" t="str">
        <f>IF(AB$3="","",IF(COUNTIFS(BD!$A$3:$A$5001,AB$3,BD!$B$3:$B$5001,$A$309,BD!$F$3:$F$5001,"&lt;&gt;")=0,"",SUMIFS(BD!$F$3:$F$5001,BD!$A$3:$A$5001,AB$3,BD!$B$3:$B$5001,$A$309)))</f>
        <v/>
      </c>
      <c r="AC312" s="205" t="str">
        <f>IF(AC$3="","",IF(COUNTIFS(BD!$A$3:$A$5001,AC$3,BD!$B$3:$B$5001,$A$309,BD!$F$3:$F$5001,"&lt;&gt;")=0,"",SUMIFS(BD!$F$3:$F$5001,BD!$A$3:$A$5001,AC$3,BD!$B$3:$B$5001,$A$309)))</f>
        <v/>
      </c>
      <c r="AD312" s="205" t="str">
        <f>IF(AD$3="","",IF(COUNTIFS(BD!$A$3:$A$5001,AD$3,BD!$B$3:$B$5001,$A$309,BD!$F$3:$F$5001,"&lt;&gt;")=0,"",SUMIFS(BD!$F$3:$F$5001,BD!$A$3:$A$5001,AD$3,BD!$B$3:$B$5001,$A$309)))</f>
        <v/>
      </c>
      <c r="AE312" s="205" t="str">
        <f>IF(AE$3="","",IF(COUNTIFS(BD!$A$3:$A$5001,AE$3,BD!$B$3:$B$5001,$A$309,BD!$F$3:$F$5001,"&lt;&gt;")=0,"",SUMIFS(BD!$F$3:$F$5001,BD!$A$3:$A$5001,AE$3,BD!$B$3:$B$5001,$A$309)))</f>
        <v/>
      </c>
      <c r="AF312" s="205" t="str">
        <f>IF(AF$3="","",IF(COUNTIFS(BD!$A$3:$A$5001,AF$3,BD!$B$3:$B$5001,$A$309,BD!$F$3:$F$5001,"&lt;&gt;")=0,"",SUMIFS(BD!$F$3:$F$5001,BD!$A$3:$A$5001,AF$3,BD!$B$3:$B$5001,$A$309)))</f>
        <v/>
      </c>
      <c r="AG312" s="205" t="str">
        <f>IF(AG$3="","",IF(COUNTIFS(BD!$A$3:$A$5001,AG$3,BD!$B$3:$B$5001,$A$309,BD!$F$3:$F$5001,"&lt;&gt;")=0,"",SUMIFS(BD!$F$3:$F$5001,BD!$A$3:$A$5001,AG$3,BD!$B$3:$B$5001,$A$309)))</f>
        <v/>
      </c>
      <c r="AH312" s="205" t="str">
        <f>IF(AH$3="","",IF(COUNTIFS(BD!$A$3:$A$5001,AH$3,BD!$B$3:$B$5001,$A$309,BD!$F$3:$F$5001,"&lt;&gt;")=0,"",SUMIFS(BD!$F$3:$F$5001,BD!$A$3:$A$5001,AH$3,BD!$B$3:$B$5001,$A$309)))</f>
        <v/>
      </c>
      <c r="AI312" s="205" t="str">
        <f>IF(AI$3="","",IF(COUNTIFS(BD!$A$3:$A$5001,AI$3,BD!$B$3:$B$5001,$A$309,BD!$F$3:$F$5001,"&lt;&gt;")=0,"",SUMIFS(BD!$F$3:$F$5001,BD!$A$3:$A$5001,AI$3,BD!$B$3:$B$5001,$A$309)))</f>
        <v/>
      </c>
      <c r="AJ312" s="206" t="str">
        <f>IF(AJ$3="","",IF(COUNTIFS(BD!$A$3:$A$5001,AJ$3,BD!$B$3:$B$5001,$A$309,BD!$F$3:$F$5001,"&lt;&gt;")=0,"",SUMIFS(BD!$F$3:$F$5001,BD!$A$3:$A$5001,AJ$3,BD!$B$3:$B$5001,$A$309)))</f>
        <v/>
      </c>
      <c r="AK312" s="207" t="str">
        <f>IF(COUNT(F312:AJ312)=0,"",SUM(F312:AJ312))</f>
        <v/>
      </c>
    </row>
    <row r="313" ht="15.75" customHeight="1" hidden="1">
      <c r="A313" s="244"/>
      <c r="B313" s="239"/>
      <c r="C313" s="201" t="inlineStr">
        <is>
          <t xml:space="preserve">Caixas Movimentadas</t>
        </is>
      </c>
      <c r="D313" s="202" t="str">
        <f>IFERROR(1/(1/INDEX(BD!$AJ$27:$BD$27,MATCH($A$309,BD!$AJ$22:$BD$22,0))),"")</f>
        <v/>
      </c>
      <c r="E313" s="203"/>
      <c r="F313" s="204" t="str">
        <f>IF(F$3="","",IF(COUNTIFS(BD!$A$3:$A$5001,F$3,BD!$B$3:$B$5001,$A$309,BD!$G$3:$G$5001,"&lt;&gt;")=0,"",SUMIFS(BD!$G$3:$G$5001,BD!$A$3:$A$5001,F$3,BD!$B$3:$B$5001,$A$309)))</f>
        <v/>
      </c>
      <c r="G313" s="205" t="str">
        <f>IF(G$3="","",IF(COUNTIFS(BD!$A$3:$A$5001,G$3,BD!$B$3:$B$5001,$A$309,BD!$G$3:$G$5001,"&lt;&gt;")=0,"",SUMIFS(BD!$G$3:$G$5001,BD!$A$3:$A$5001,G$3,BD!$B$3:$B$5001,$A$309)))</f>
        <v/>
      </c>
      <c r="H313" s="205" t="str">
        <f>IF(H$3="","",IF(COUNTIFS(BD!$A$3:$A$5001,H$3,BD!$B$3:$B$5001,$A$309,BD!$G$3:$G$5001,"&lt;&gt;")=0,"",SUMIFS(BD!$G$3:$G$5001,BD!$A$3:$A$5001,H$3,BD!$B$3:$B$5001,$A$309)))</f>
        <v/>
      </c>
      <c r="I313" s="205" t="str">
        <f>IF(I$3="","",IF(COUNTIFS(BD!$A$3:$A$5001,I$3,BD!$B$3:$B$5001,$A$309,BD!$G$3:$G$5001,"&lt;&gt;")=0,"",SUMIFS(BD!$G$3:$G$5001,BD!$A$3:$A$5001,I$3,BD!$B$3:$B$5001,$A$309)))</f>
        <v/>
      </c>
      <c r="J313" s="205" t="str">
        <f>IF(J$3="","",IF(COUNTIFS(BD!$A$3:$A$5001,J$3,BD!$B$3:$B$5001,$A$309,BD!$G$3:$G$5001,"&lt;&gt;")=0,"",SUMIFS(BD!$G$3:$G$5001,BD!$A$3:$A$5001,J$3,BD!$B$3:$B$5001,$A$309)))</f>
        <v/>
      </c>
      <c r="K313" s="205" t="str">
        <f>IF(K$3="","",IF(COUNTIFS(BD!$A$3:$A$5001,K$3,BD!$B$3:$B$5001,$A$309,BD!$G$3:$G$5001,"&lt;&gt;")=0,"",SUMIFS(BD!$G$3:$G$5001,BD!$A$3:$A$5001,K$3,BD!$B$3:$B$5001,$A$309)))</f>
        <v/>
      </c>
      <c r="L313" s="205" t="str">
        <f>IF(L$3="","",IF(COUNTIFS(BD!$A$3:$A$5001,L$3,BD!$B$3:$B$5001,$A$309,BD!$G$3:$G$5001,"&lt;&gt;")=0,"",SUMIFS(BD!$G$3:$G$5001,BD!$A$3:$A$5001,L$3,BD!$B$3:$B$5001,$A$309)))</f>
        <v/>
      </c>
      <c r="M313" s="205" t="str">
        <f>IF(M$3="","",IF(COUNTIFS(BD!$A$3:$A$5001,M$3,BD!$B$3:$B$5001,$A$309,BD!$G$3:$G$5001,"&lt;&gt;")=0,"",SUMIFS(BD!$G$3:$G$5001,BD!$A$3:$A$5001,M$3,BD!$B$3:$B$5001,$A$309)))</f>
        <v/>
      </c>
      <c r="N313" s="205" t="str">
        <f>IF(N$3="","",IF(COUNTIFS(BD!$A$3:$A$5001,N$3,BD!$B$3:$B$5001,$A$309,BD!$G$3:$G$5001,"&lt;&gt;")=0,"",SUMIFS(BD!$G$3:$G$5001,BD!$A$3:$A$5001,N$3,BD!$B$3:$B$5001,$A$309)))</f>
        <v/>
      </c>
      <c r="O313" s="205" t="str">
        <f>IF(O$3="","",IF(COUNTIFS(BD!$A$3:$A$5001,O$3,BD!$B$3:$B$5001,$A$309,BD!$G$3:$G$5001,"&lt;&gt;")=0,"",SUMIFS(BD!$G$3:$G$5001,BD!$A$3:$A$5001,O$3,BD!$B$3:$B$5001,$A$309)))</f>
        <v/>
      </c>
      <c r="P313" s="205" t="str">
        <f>IF(P$3="","",IF(COUNTIFS(BD!$A$3:$A$5001,P$3,BD!$B$3:$B$5001,$A$309,BD!$G$3:$G$5001,"&lt;&gt;")=0,"",SUMIFS(BD!$G$3:$G$5001,BD!$A$3:$A$5001,P$3,BD!$B$3:$B$5001,$A$309)))</f>
        <v/>
      </c>
      <c r="Q313" s="205" t="str">
        <f>IF(Q$3="","",IF(COUNTIFS(BD!$A$3:$A$5001,Q$3,BD!$B$3:$B$5001,$A$309,BD!$G$3:$G$5001,"&lt;&gt;")=0,"",SUMIFS(BD!$G$3:$G$5001,BD!$A$3:$A$5001,Q$3,BD!$B$3:$B$5001,$A$309)))</f>
        <v/>
      </c>
      <c r="R313" s="205" t="str">
        <f>IF(R$3="","",IF(COUNTIFS(BD!$A$3:$A$5001,R$3,BD!$B$3:$B$5001,$A$309,BD!$G$3:$G$5001,"&lt;&gt;")=0,"",SUMIFS(BD!$G$3:$G$5001,BD!$A$3:$A$5001,R$3,BD!$B$3:$B$5001,$A$309)))</f>
        <v/>
      </c>
      <c r="S313" s="205" t="str">
        <f>IF(S$3="","",IF(COUNTIFS(BD!$A$3:$A$5001,S$3,BD!$B$3:$B$5001,$A$309,BD!$G$3:$G$5001,"&lt;&gt;")=0,"",SUMIFS(BD!$G$3:$G$5001,BD!$A$3:$A$5001,S$3,BD!$B$3:$B$5001,$A$309)))</f>
        <v/>
      </c>
      <c r="T313" s="205" t="str">
        <f>IF(T$3="","",IF(COUNTIFS(BD!$A$3:$A$5001,T$3,BD!$B$3:$B$5001,$A$309,BD!$G$3:$G$5001,"&lt;&gt;")=0,"",SUMIFS(BD!$G$3:$G$5001,BD!$A$3:$A$5001,T$3,BD!$B$3:$B$5001,$A$309)))</f>
        <v/>
      </c>
      <c r="U313" s="205" t="str">
        <f>IF(U$3="","",IF(COUNTIFS(BD!$A$3:$A$5001,U$3,BD!$B$3:$B$5001,$A$309,BD!$G$3:$G$5001,"&lt;&gt;")=0,"",SUMIFS(BD!$G$3:$G$5001,BD!$A$3:$A$5001,U$3,BD!$B$3:$B$5001,$A$309)))</f>
        <v/>
      </c>
      <c r="V313" s="205" t="str">
        <f>IF(V$3="","",IF(COUNTIFS(BD!$A$3:$A$5001,V$3,BD!$B$3:$B$5001,$A$309,BD!$G$3:$G$5001,"&lt;&gt;")=0,"",SUMIFS(BD!$G$3:$G$5001,BD!$A$3:$A$5001,V$3,BD!$B$3:$B$5001,$A$309)))</f>
        <v/>
      </c>
      <c r="W313" s="205" t="str">
        <f>IF(W$3="","",IF(COUNTIFS(BD!$A$3:$A$5001,W$3,BD!$B$3:$B$5001,$A$309,BD!$G$3:$G$5001,"&lt;&gt;")=0,"",SUMIFS(BD!$G$3:$G$5001,BD!$A$3:$A$5001,W$3,BD!$B$3:$B$5001,$A$309)))</f>
        <v/>
      </c>
      <c r="X313" s="205" t="str">
        <f>IF(X$3="","",IF(COUNTIFS(BD!$A$3:$A$5001,X$3,BD!$B$3:$B$5001,$A$309,BD!$G$3:$G$5001,"&lt;&gt;")=0,"",SUMIFS(BD!$G$3:$G$5001,BD!$A$3:$A$5001,X$3,BD!$B$3:$B$5001,$A$309)))</f>
        <v/>
      </c>
      <c r="Y313" s="205" t="str">
        <f>IF(Y$3="","",IF(COUNTIFS(BD!$A$3:$A$5001,Y$3,BD!$B$3:$B$5001,$A$309,BD!$G$3:$G$5001,"&lt;&gt;")=0,"",SUMIFS(BD!$G$3:$G$5001,BD!$A$3:$A$5001,Y$3,BD!$B$3:$B$5001,$A$309)))</f>
        <v/>
      </c>
      <c r="Z313" s="205" t="str">
        <f>IF(Z$3="","",IF(COUNTIFS(BD!$A$3:$A$5001,Z$3,BD!$B$3:$B$5001,$A$309,BD!$G$3:$G$5001,"&lt;&gt;")=0,"",SUMIFS(BD!$G$3:$G$5001,BD!$A$3:$A$5001,Z$3,BD!$B$3:$B$5001,$A$309)))</f>
        <v/>
      </c>
      <c r="AA313" s="205" t="str">
        <f>IF(AA$3="","",IF(COUNTIFS(BD!$A$3:$A$5001,AA$3,BD!$B$3:$B$5001,$A$309,BD!$G$3:$G$5001,"&lt;&gt;")=0,"",SUMIFS(BD!$G$3:$G$5001,BD!$A$3:$A$5001,AA$3,BD!$B$3:$B$5001,$A$309)))</f>
        <v/>
      </c>
      <c r="AB313" s="205" t="str">
        <f>IF(AB$3="","",IF(COUNTIFS(BD!$A$3:$A$5001,AB$3,BD!$B$3:$B$5001,$A$309,BD!$G$3:$G$5001,"&lt;&gt;")=0,"",SUMIFS(BD!$G$3:$G$5001,BD!$A$3:$A$5001,AB$3,BD!$B$3:$B$5001,$A$309)))</f>
        <v/>
      </c>
      <c r="AC313" s="205" t="str">
        <f>IF(AC$3="","",IF(COUNTIFS(BD!$A$3:$A$5001,AC$3,BD!$B$3:$B$5001,$A$309,BD!$G$3:$G$5001,"&lt;&gt;")=0,"",SUMIFS(BD!$G$3:$G$5001,BD!$A$3:$A$5001,AC$3,BD!$B$3:$B$5001,$A$309)))</f>
        <v/>
      </c>
      <c r="AD313" s="205" t="str">
        <f>IF(AD$3="","",IF(COUNTIFS(BD!$A$3:$A$5001,AD$3,BD!$B$3:$B$5001,$A$309,BD!$G$3:$G$5001,"&lt;&gt;")=0,"",SUMIFS(BD!$G$3:$G$5001,BD!$A$3:$A$5001,AD$3,BD!$B$3:$B$5001,$A$309)))</f>
        <v/>
      </c>
      <c r="AE313" s="205" t="str">
        <f>IF(AE$3="","",IF(COUNTIFS(BD!$A$3:$A$5001,AE$3,BD!$B$3:$B$5001,$A$309,BD!$G$3:$G$5001,"&lt;&gt;")=0,"",SUMIFS(BD!$G$3:$G$5001,BD!$A$3:$A$5001,AE$3,BD!$B$3:$B$5001,$A$309)))</f>
        <v/>
      </c>
      <c r="AF313" s="205" t="str">
        <f>IF(AF$3="","",IF(COUNTIFS(BD!$A$3:$A$5001,AF$3,BD!$B$3:$B$5001,$A$309,BD!$G$3:$G$5001,"&lt;&gt;")=0,"",SUMIFS(BD!$G$3:$G$5001,BD!$A$3:$A$5001,AF$3,BD!$B$3:$B$5001,$A$309)))</f>
        <v/>
      </c>
      <c r="AG313" s="205" t="str">
        <f>IF(AG$3="","",IF(COUNTIFS(BD!$A$3:$A$5001,AG$3,BD!$B$3:$B$5001,$A$309,BD!$G$3:$G$5001,"&lt;&gt;")=0,"",SUMIFS(BD!$G$3:$G$5001,BD!$A$3:$A$5001,AG$3,BD!$B$3:$B$5001,$A$309)))</f>
        <v/>
      </c>
      <c r="AH313" s="205" t="str">
        <f>IF(AH$3="","",IF(COUNTIFS(BD!$A$3:$A$5001,AH$3,BD!$B$3:$B$5001,$A$309,BD!$G$3:$G$5001,"&lt;&gt;")=0,"",SUMIFS(BD!$G$3:$G$5001,BD!$A$3:$A$5001,AH$3,BD!$B$3:$B$5001,$A$309)))</f>
        <v/>
      </c>
      <c r="AI313" s="205" t="str">
        <f>IF(AI$3="","",IF(COUNTIFS(BD!$A$3:$A$5001,AI$3,BD!$B$3:$B$5001,$A$309,BD!$G$3:$G$5001,"&lt;&gt;")=0,"",SUMIFS(BD!$G$3:$G$5001,BD!$A$3:$A$5001,AI$3,BD!$B$3:$B$5001,$A$309)))</f>
        <v/>
      </c>
      <c r="AJ313" s="206" t="str">
        <f>IF(AJ$3="","",IF(COUNTIFS(BD!$A$3:$A$5001,AJ$3,BD!$B$3:$B$5001,$A$309,BD!$G$3:$G$5001,"&lt;&gt;")=0,"",SUMIFS(BD!$G$3:$G$5001,BD!$A$3:$A$5001,AJ$3,BD!$B$3:$B$5001,$A$309)))</f>
        <v/>
      </c>
      <c r="AK313" s="207" t="str">
        <f>IF(COUNT(F313:AJ313)=0,"",SUM(F313:AJ313))</f>
        <v/>
      </c>
    </row>
    <row r="314" ht="15.75" customHeight="1" hidden="1">
      <c r="A314" s="244"/>
      <c r="B314" s="239"/>
      <c r="C314" s="201" t="inlineStr">
        <is>
          <t xml:space="preserve">Itens Recebidos</t>
        </is>
      </c>
      <c r="D314" s="202" t="str">
        <f>IFERROR(1/(1/INDEX(BD!$AJ$28:$BD$28,MATCH($A$309,BD!$AJ$22:$BD$22,0))),"")</f>
        <v/>
      </c>
      <c r="E314" s="203"/>
      <c r="F314" s="204" t="str">
        <f>IF(F$3="","",IF(COUNTIFS(BD!$A$3:$A$5001,F$3,BD!$B$3:$B$5001,$A$309,BD!$H$3:$H$5001,"&lt;&gt;")=0,"",SUMIFS(BD!$H$3:$H$5001,BD!$A$3:$A$5001,F$3,BD!$B$3:$B$5001,$A$309)))</f>
        <v/>
      </c>
      <c r="G314" s="205" t="str">
        <f>IF(G$3="","",IF(COUNTIFS(BD!$A$3:$A$5001,G$3,BD!$B$3:$B$5001,$A$309,BD!$H$3:$H$5001,"&lt;&gt;")=0,"",SUMIFS(BD!$H$3:$H$5001,BD!$A$3:$A$5001,G$3,BD!$B$3:$B$5001,$A$309)))</f>
        <v/>
      </c>
      <c r="H314" s="205" t="str">
        <f>IF(H$3="","",IF(COUNTIFS(BD!$A$3:$A$5001,H$3,BD!$B$3:$B$5001,$A$309,BD!$H$3:$H$5001,"&lt;&gt;")=0,"",SUMIFS(BD!$H$3:$H$5001,BD!$A$3:$A$5001,H$3,BD!$B$3:$B$5001,$A$309)))</f>
        <v/>
      </c>
      <c r="I314" s="205" t="str">
        <f>IF(I$3="","",IF(COUNTIFS(BD!$A$3:$A$5001,I$3,BD!$B$3:$B$5001,$A$309,BD!$H$3:$H$5001,"&lt;&gt;")=0,"",SUMIFS(BD!$H$3:$H$5001,BD!$A$3:$A$5001,I$3,BD!$B$3:$B$5001,$A$309)))</f>
        <v/>
      </c>
      <c r="J314" s="205" t="str">
        <f>IF(J$3="","",IF(COUNTIFS(BD!$A$3:$A$5001,J$3,BD!$B$3:$B$5001,$A$309,BD!$H$3:$H$5001,"&lt;&gt;")=0,"",SUMIFS(BD!$H$3:$H$5001,BD!$A$3:$A$5001,J$3,BD!$B$3:$B$5001,$A$309)))</f>
        <v/>
      </c>
      <c r="K314" s="205" t="str">
        <f>IF(K$3="","",IF(COUNTIFS(BD!$A$3:$A$5001,K$3,BD!$B$3:$B$5001,$A$309,BD!$H$3:$H$5001,"&lt;&gt;")=0,"",SUMIFS(BD!$H$3:$H$5001,BD!$A$3:$A$5001,K$3,BD!$B$3:$B$5001,$A$309)))</f>
        <v/>
      </c>
      <c r="L314" s="205" t="str">
        <f>IF(L$3="","",IF(COUNTIFS(BD!$A$3:$A$5001,L$3,BD!$B$3:$B$5001,$A$309,BD!$H$3:$H$5001,"&lt;&gt;")=0,"",SUMIFS(BD!$H$3:$H$5001,BD!$A$3:$A$5001,L$3,BD!$B$3:$B$5001,$A$309)))</f>
        <v/>
      </c>
      <c r="M314" s="205" t="str">
        <f>IF(M$3="","",IF(COUNTIFS(BD!$A$3:$A$5001,M$3,BD!$B$3:$B$5001,$A$309,BD!$H$3:$H$5001,"&lt;&gt;")=0,"",SUMIFS(BD!$H$3:$H$5001,BD!$A$3:$A$5001,M$3,BD!$B$3:$B$5001,$A$309)))</f>
        <v/>
      </c>
      <c r="N314" s="205" t="str">
        <f>IF(N$3="","",IF(COUNTIFS(BD!$A$3:$A$5001,N$3,BD!$B$3:$B$5001,$A$309,BD!$H$3:$H$5001,"&lt;&gt;")=0,"",SUMIFS(BD!$H$3:$H$5001,BD!$A$3:$A$5001,N$3,BD!$B$3:$B$5001,$A$309)))</f>
        <v/>
      </c>
      <c r="O314" s="205" t="str">
        <f>IF(O$3="","",IF(COUNTIFS(BD!$A$3:$A$5001,O$3,BD!$B$3:$B$5001,$A$309,BD!$H$3:$H$5001,"&lt;&gt;")=0,"",SUMIFS(BD!$H$3:$H$5001,BD!$A$3:$A$5001,O$3,BD!$B$3:$B$5001,$A$309)))</f>
        <v/>
      </c>
      <c r="P314" s="205" t="str">
        <f>IF(P$3="","",IF(COUNTIFS(BD!$A$3:$A$5001,P$3,BD!$B$3:$B$5001,$A$309,BD!$H$3:$H$5001,"&lt;&gt;")=0,"",SUMIFS(BD!$H$3:$H$5001,BD!$A$3:$A$5001,P$3,BD!$B$3:$B$5001,$A$309)))</f>
        <v/>
      </c>
      <c r="Q314" s="205" t="str">
        <f>IF(Q$3="","",IF(COUNTIFS(BD!$A$3:$A$5001,Q$3,BD!$B$3:$B$5001,$A$309,BD!$H$3:$H$5001,"&lt;&gt;")=0,"",SUMIFS(BD!$H$3:$H$5001,BD!$A$3:$A$5001,Q$3,BD!$B$3:$B$5001,$A$309)))</f>
        <v/>
      </c>
      <c r="R314" s="205" t="str">
        <f>IF(R$3="","",IF(COUNTIFS(BD!$A$3:$A$5001,R$3,BD!$B$3:$B$5001,$A$309,BD!$H$3:$H$5001,"&lt;&gt;")=0,"",SUMIFS(BD!$H$3:$H$5001,BD!$A$3:$A$5001,R$3,BD!$B$3:$B$5001,$A$309)))</f>
        <v/>
      </c>
      <c r="S314" s="205" t="str">
        <f>IF(S$3="","",IF(COUNTIFS(BD!$A$3:$A$5001,S$3,BD!$B$3:$B$5001,$A$309,BD!$H$3:$H$5001,"&lt;&gt;")=0,"",SUMIFS(BD!$H$3:$H$5001,BD!$A$3:$A$5001,S$3,BD!$B$3:$B$5001,$A$309)))</f>
        <v/>
      </c>
      <c r="T314" s="205" t="str">
        <f>IF(T$3="","",IF(COUNTIFS(BD!$A$3:$A$5001,T$3,BD!$B$3:$B$5001,$A$309,BD!$H$3:$H$5001,"&lt;&gt;")=0,"",SUMIFS(BD!$H$3:$H$5001,BD!$A$3:$A$5001,T$3,BD!$B$3:$B$5001,$A$309)))</f>
        <v/>
      </c>
      <c r="U314" s="205" t="str">
        <f>IF(U$3="","",IF(COUNTIFS(BD!$A$3:$A$5001,U$3,BD!$B$3:$B$5001,$A$309,BD!$H$3:$H$5001,"&lt;&gt;")=0,"",SUMIFS(BD!$H$3:$H$5001,BD!$A$3:$A$5001,U$3,BD!$B$3:$B$5001,$A$309)))</f>
        <v/>
      </c>
      <c r="V314" s="205" t="str">
        <f>IF(V$3="","",IF(COUNTIFS(BD!$A$3:$A$5001,V$3,BD!$B$3:$B$5001,$A$309,BD!$H$3:$H$5001,"&lt;&gt;")=0,"",SUMIFS(BD!$H$3:$H$5001,BD!$A$3:$A$5001,V$3,BD!$B$3:$B$5001,$A$309)))</f>
        <v/>
      </c>
      <c r="W314" s="205" t="str">
        <f>IF(W$3="","",IF(COUNTIFS(BD!$A$3:$A$5001,W$3,BD!$B$3:$B$5001,$A$309,BD!$H$3:$H$5001,"&lt;&gt;")=0,"",SUMIFS(BD!$H$3:$H$5001,BD!$A$3:$A$5001,W$3,BD!$B$3:$B$5001,$A$309)))</f>
        <v/>
      </c>
      <c r="X314" s="205" t="str">
        <f>IF(X$3="","",IF(COUNTIFS(BD!$A$3:$A$5001,X$3,BD!$B$3:$B$5001,$A$309,BD!$H$3:$H$5001,"&lt;&gt;")=0,"",SUMIFS(BD!$H$3:$H$5001,BD!$A$3:$A$5001,X$3,BD!$B$3:$B$5001,$A$309)))</f>
        <v/>
      </c>
      <c r="Y314" s="205" t="str">
        <f>IF(Y$3="","",IF(COUNTIFS(BD!$A$3:$A$5001,Y$3,BD!$B$3:$B$5001,$A$309,BD!$H$3:$H$5001,"&lt;&gt;")=0,"",SUMIFS(BD!$H$3:$H$5001,BD!$A$3:$A$5001,Y$3,BD!$B$3:$B$5001,$A$309)))</f>
        <v/>
      </c>
      <c r="Z314" s="205" t="str">
        <f>IF(Z$3="","",IF(COUNTIFS(BD!$A$3:$A$5001,Z$3,BD!$B$3:$B$5001,$A$309,BD!$H$3:$H$5001,"&lt;&gt;")=0,"",SUMIFS(BD!$H$3:$H$5001,BD!$A$3:$A$5001,Z$3,BD!$B$3:$B$5001,$A$309)))</f>
        <v/>
      </c>
      <c r="AA314" s="205" t="str">
        <f>IF(AA$3="","",IF(COUNTIFS(BD!$A$3:$A$5001,AA$3,BD!$B$3:$B$5001,$A$309,BD!$H$3:$H$5001,"&lt;&gt;")=0,"",SUMIFS(BD!$H$3:$H$5001,BD!$A$3:$A$5001,AA$3,BD!$B$3:$B$5001,$A$309)))</f>
        <v/>
      </c>
      <c r="AB314" s="205" t="str">
        <f>IF(AB$3="","",IF(COUNTIFS(BD!$A$3:$A$5001,AB$3,BD!$B$3:$B$5001,$A$309,BD!$H$3:$H$5001,"&lt;&gt;")=0,"",SUMIFS(BD!$H$3:$H$5001,BD!$A$3:$A$5001,AB$3,BD!$B$3:$B$5001,$A$309)))</f>
        <v/>
      </c>
      <c r="AC314" s="205" t="str">
        <f>IF(AC$3="","",IF(COUNTIFS(BD!$A$3:$A$5001,AC$3,BD!$B$3:$B$5001,$A$309,BD!$H$3:$H$5001,"&lt;&gt;")=0,"",SUMIFS(BD!$H$3:$H$5001,BD!$A$3:$A$5001,AC$3,BD!$B$3:$B$5001,$A$309)))</f>
        <v/>
      </c>
      <c r="AD314" s="205" t="str">
        <f>IF(AD$3="","",IF(COUNTIFS(BD!$A$3:$A$5001,AD$3,BD!$B$3:$B$5001,$A$309,BD!$H$3:$H$5001,"&lt;&gt;")=0,"",SUMIFS(BD!$H$3:$H$5001,BD!$A$3:$A$5001,AD$3,BD!$B$3:$B$5001,$A$309)))</f>
        <v/>
      </c>
      <c r="AE314" s="205" t="str">
        <f>IF(AE$3="","",IF(COUNTIFS(BD!$A$3:$A$5001,AE$3,BD!$B$3:$B$5001,$A$309,BD!$H$3:$H$5001,"&lt;&gt;")=0,"",SUMIFS(BD!$H$3:$H$5001,BD!$A$3:$A$5001,AE$3,BD!$B$3:$B$5001,$A$309)))</f>
        <v/>
      </c>
      <c r="AF314" s="205" t="str">
        <f>IF(AF$3="","",IF(COUNTIFS(BD!$A$3:$A$5001,AF$3,BD!$B$3:$B$5001,$A$309,BD!$H$3:$H$5001,"&lt;&gt;")=0,"",SUMIFS(BD!$H$3:$H$5001,BD!$A$3:$A$5001,AF$3,BD!$B$3:$B$5001,$A$309)))</f>
        <v/>
      </c>
      <c r="AG314" s="205" t="str">
        <f>IF(AG$3="","",IF(COUNTIFS(BD!$A$3:$A$5001,AG$3,BD!$B$3:$B$5001,$A$309,BD!$H$3:$H$5001,"&lt;&gt;")=0,"",SUMIFS(BD!$H$3:$H$5001,BD!$A$3:$A$5001,AG$3,BD!$B$3:$B$5001,$A$309)))</f>
        <v/>
      </c>
      <c r="AH314" s="205" t="str">
        <f>IF(AH$3="","",IF(COUNTIFS(BD!$A$3:$A$5001,AH$3,BD!$B$3:$B$5001,$A$309,BD!$H$3:$H$5001,"&lt;&gt;")=0,"",SUMIFS(BD!$H$3:$H$5001,BD!$A$3:$A$5001,AH$3,BD!$B$3:$B$5001,$A$309)))</f>
        <v/>
      </c>
      <c r="AI314" s="205" t="str">
        <f>IF(AI$3="","",IF(COUNTIFS(BD!$A$3:$A$5001,AI$3,BD!$B$3:$B$5001,$A$309,BD!$H$3:$H$5001,"&lt;&gt;")=0,"",SUMIFS(BD!$H$3:$H$5001,BD!$A$3:$A$5001,AI$3,BD!$B$3:$B$5001,$A$309)))</f>
        <v/>
      </c>
      <c r="AJ314" s="206" t="str">
        <f>IF(AJ$3="","",IF(COUNTIFS(BD!$A$3:$A$5001,AJ$3,BD!$B$3:$B$5001,$A$309,BD!$H$3:$H$5001,"&lt;&gt;")=0,"",SUMIFS(BD!$H$3:$H$5001,BD!$A$3:$A$5001,AJ$3,BD!$B$3:$B$5001,$A$309)))</f>
        <v/>
      </c>
      <c r="AK314" s="207" t="str">
        <f>IF(COUNT(F314:AJ314)=0,"",SUM(F314:AJ314))</f>
        <v/>
      </c>
    </row>
    <row r="315" ht="15.75" customHeight="1" hidden="1">
      <c r="A315" s="244"/>
      <c r="B315" s="239"/>
      <c r="C315" s="201" t="inlineStr">
        <is>
          <t xml:space="preserve">Itens Recebidos CX Mista</t>
        </is>
      </c>
      <c r="D315" s="202" t="str">
        <f>IFERROR(1/(1/INDEX(BD!$AJ$29:$BD$29,MATCH($A$309,BD!$AJ$22:$BD$22,0))),"")</f>
        <v/>
      </c>
      <c r="E315" s="203"/>
      <c r="F315" s="204" t="str">
        <f>IF(F$3="","",IF(COUNTIFS(BD!$A$3:$A$5001,F$3,BD!$B$3:$B$5001,$A$309,BD!$I$3:$I$5001,"&lt;&gt;")=0,"",SUMIFS(BD!$I$3:$I$5001,BD!$A$3:$A$5001,F$3,BD!$B$3:$B$5001,$A$309)))</f>
        <v/>
      </c>
      <c r="G315" s="205" t="str">
        <f>IF(G$3="","",IF(COUNTIFS(BD!$A$3:$A$5001,G$3,BD!$B$3:$B$5001,$A$309,BD!$I$3:$I$5001,"&lt;&gt;")=0,"",SUMIFS(BD!$I$3:$I$5001,BD!$A$3:$A$5001,G$3,BD!$B$3:$B$5001,$A$309)))</f>
        <v/>
      </c>
      <c r="H315" s="205" t="str">
        <f>IF(H$3="","",IF(COUNTIFS(BD!$A$3:$A$5001,H$3,BD!$B$3:$B$5001,$A$309,BD!$I$3:$I$5001,"&lt;&gt;")=0,"",SUMIFS(BD!$I$3:$I$5001,BD!$A$3:$A$5001,H$3,BD!$B$3:$B$5001,$A$309)))</f>
        <v/>
      </c>
      <c r="I315" s="205" t="str">
        <f>IF(I$3="","",IF(COUNTIFS(BD!$A$3:$A$5001,I$3,BD!$B$3:$B$5001,$A$309,BD!$I$3:$I$5001,"&lt;&gt;")=0,"",SUMIFS(BD!$I$3:$I$5001,BD!$A$3:$A$5001,I$3,BD!$B$3:$B$5001,$A$309)))</f>
        <v/>
      </c>
      <c r="J315" s="205" t="str">
        <f>IF(J$3="","",IF(COUNTIFS(BD!$A$3:$A$5001,J$3,BD!$B$3:$B$5001,$A$309,BD!$I$3:$I$5001,"&lt;&gt;")=0,"",SUMIFS(BD!$I$3:$I$5001,BD!$A$3:$A$5001,J$3,BD!$B$3:$B$5001,$A$309)))</f>
        <v/>
      </c>
      <c r="K315" s="205" t="str">
        <f>IF(K$3="","",IF(COUNTIFS(BD!$A$3:$A$5001,K$3,BD!$B$3:$B$5001,$A$309,BD!$I$3:$I$5001,"&lt;&gt;")=0,"",SUMIFS(BD!$I$3:$I$5001,BD!$A$3:$A$5001,K$3,BD!$B$3:$B$5001,$A$309)))</f>
        <v/>
      </c>
      <c r="L315" s="205" t="str">
        <f>IF(L$3="","",IF(COUNTIFS(BD!$A$3:$A$5001,L$3,BD!$B$3:$B$5001,$A$309,BD!$I$3:$I$5001,"&lt;&gt;")=0,"",SUMIFS(BD!$I$3:$I$5001,BD!$A$3:$A$5001,L$3,BD!$B$3:$B$5001,$A$309)))</f>
        <v/>
      </c>
      <c r="M315" s="205" t="str">
        <f>IF(M$3="","",IF(COUNTIFS(BD!$A$3:$A$5001,M$3,BD!$B$3:$B$5001,$A$309,BD!$I$3:$I$5001,"&lt;&gt;")=0,"",SUMIFS(BD!$I$3:$I$5001,BD!$A$3:$A$5001,M$3,BD!$B$3:$B$5001,$A$309)))</f>
        <v/>
      </c>
      <c r="N315" s="205" t="str">
        <f>IF(N$3="","",IF(COUNTIFS(BD!$A$3:$A$5001,N$3,BD!$B$3:$B$5001,$A$309,BD!$I$3:$I$5001,"&lt;&gt;")=0,"",SUMIFS(BD!$I$3:$I$5001,BD!$A$3:$A$5001,N$3,BD!$B$3:$B$5001,$A$309)))</f>
        <v/>
      </c>
      <c r="O315" s="205" t="str">
        <f>IF(O$3="","",IF(COUNTIFS(BD!$A$3:$A$5001,O$3,BD!$B$3:$B$5001,$A$309,BD!$I$3:$I$5001,"&lt;&gt;")=0,"",SUMIFS(BD!$I$3:$I$5001,BD!$A$3:$A$5001,O$3,BD!$B$3:$B$5001,$A$309)))</f>
        <v/>
      </c>
      <c r="P315" s="205" t="str">
        <f>IF(P$3="","",IF(COUNTIFS(BD!$A$3:$A$5001,P$3,BD!$B$3:$B$5001,$A$309,BD!$I$3:$I$5001,"&lt;&gt;")=0,"",SUMIFS(BD!$I$3:$I$5001,BD!$A$3:$A$5001,P$3,BD!$B$3:$B$5001,$A$309)))</f>
        <v/>
      </c>
      <c r="Q315" s="205" t="str">
        <f>IF(Q$3="","",IF(COUNTIFS(BD!$A$3:$A$5001,Q$3,BD!$B$3:$B$5001,$A$309,BD!$I$3:$I$5001,"&lt;&gt;")=0,"",SUMIFS(BD!$I$3:$I$5001,BD!$A$3:$A$5001,Q$3,BD!$B$3:$B$5001,$A$309)))</f>
        <v/>
      </c>
      <c r="R315" s="205" t="str">
        <f>IF(R$3="","",IF(COUNTIFS(BD!$A$3:$A$5001,R$3,BD!$B$3:$B$5001,$A$309,BD!$I$3:$I$5001,"&lt;&gt;")=0,"",SUMIFS(BD!$I$3:$I$5001,BD!$A$3:$A$5001,R$3,BD!$B$3:$B$5001,$A$309)))</f>
        <v/>
      </c>
      <c r="S315" s="205" t="str">
        <f>IF(S$3="","",IF(COUNTIFS(BD!$A$3:$A$5001,S$3,BD!$B$3:$B$5001,$A$309,BD!$I$3:$I$5001,"&lt;&gt;")=0,"",SUMIFS(BD!$I$3:$I$5001,BD!$A$3:$A$5001,S$3,BD!$B$3:$B$5001,$A$309)))</f>
        <v/>
      </c>
      <c r="T315" s="205" t="str">
        <f>IF(T$3="","",IF(COUNTIFS(BD!$A$3:$A$5001,T$3,BD!$B$3:$B$5001,$A$309,BD!$I$3:$I$5001,"&lt;&gt;")=0,"",SUMIFS(BD!$I$3:$I$5001,BD!$A$3:$A$5001,T$3,BD!$B$3:$B$5001,$A$309)))</f>
        <v/>
      </c>
      <c r="U315" s="205" t="str">
        <f>IF(U$3="","",IF(COUNTIFS(BD!$A$3:$A$5001,U$3,BD!$B$3:$B$5001,$A$309,BD!$I$3:$I$5001,"&lt;&gt;")=0,"",SUMIFS(BD!$I$3:$I$5001,BD!$A$3:$A$5001,U$3,BD!$B$3:$B$5001,$A$309)))</f>
        <v/>
      </c>
      <c r="V315" s="205" t="str">
        <f>IF(V$3="","",IF(COUNTIFS(BD!$A$3:$A$5001,V$3,BD!$B$3:$B$5001,$A$309,BD!$I$3:$I$5001,"&lt;&gt;")=0,"",SUMIFS(BD!$I$3:$I$5001,BD!$A$3:$A$5001,V$3,BD!$B$3:$B$5001,$A$309)))</f>
        <v/>
      </c>
      <c r="W315" s="205" t="str">
        <f>IF(W$3="","",IF(COUNTIFS(BD!$A$3:$A$5001,W$3,BD!$B$3:$B$5001,$A$309,BD!$I$3:$I$5001,"&lt;&gt;")=0,"",SUMIFS(BD!$I$3:$I$5001,BD!$A$3:$A$5001,W$3,BD!$B$3:$B$5001,$A$309)))</f>
        <v/>
      </c>
      <c r="X315" s="205" t="str">
        <f>IF(X$3="","",IF(COUNTIFS(BD!$A$3:$A$5001,X$3,BD!$B$3:$B$5001,$A$309,BD!$I$3:$I$5001,"&lt;&gt;")=0,"",SUMIFS(BD!$I$3:$I$5001,BD!$A$3:$A$5001,X$3,BD!$B$3:$B$5001,$A$309)))</f>
        <v/>
      </c>
      <c r="Y315" s="205" t="str">
        <f>IF(Y$3="","",IF(COUNTIFS(BD!$A$3:$A$5001,Y$3,BD!$B$3:$B$5001,$A$309,BD!$I$3:$I$5001,"&lt;&gt;")=0,"",SUMIFS(BD!$I$3:$I$5001,BD!$A$3:$A$5001,Y$3,BD!$B$3:$B$5001,$A$309)))</f>
        <v/>
      </c>
      <c r="Z315" s="205" t="str">
        <f>IF(Z$3="","",IF(COUNTIFS(BD!$A$3:$A$5001,Z$3,BD!$B$3:$B$5001,$A$309,BD!$I$3:$I$5001,"&lt;&gt;")=0,"",SUMIFS(BD!$I$3:$I$5001,BD!$A$3:$A$5001,Z$3,BD!$B$3:$B$5001,$A$309)))</f>
        <v/>
      </c>
      <c r="AA315" s="205" t="str">
        <f>IF(AA$3="","",IF(COUNTIFS(BD!$A$3:$A$5001,AA$3,BD!$B$3:$B$5001,$A$309,BD!$I$3:$I$5001,"&lt;&gt;")=0,"",SUMIFS(BD!$I$3:$I$5001,BD!$A$3:$A$5001,AA$3,BD!$B$3:$B$5001,$A$309)))</f>
        <v/>
      </c>
      <c r="AB315" s="205" t="str">
        <f>IF(AB$3="","",IF(COUNTIFS(BD!$A$3:$A$5001,AB$3,BD!$B$3:$B$5001,$A$309,BD!$I$3:$I$5001,"&lt;&gt;")=0,"",SUMIFS(BD!$I$3:$I$5001,BD!$A$3:$A$5001,AB$3,BD!$B$3:$B$5001,$A$309)))</f>
        <v/>
      </c>
      <c r="AC315" s="205" t="str">
        <f>IF(AC$3="","",IF(COUNTIFS(BD!$A$3:$A$5001,AC$3,BD!$B$3:$B$5001,$A$309,BD!$I$3:$I$5001,"&lt;&gt;")=0,"",SUMIFS(BD!$I$3:$I$5001,BD!$A$3:$A$5001,AC$3,BD!$B$3:$B$5001,$A$309)))</f>
        <v/>
      </c>
      <c r="AD315" s="205" t="str">
        <f>IF(AD$3="","",IF(COUNTIFS(BD!$A$3:$A$5001,AD$3,BD!$B$3:$B$5001,$A$309,BD!$I$3:$I$5001,"&lt;&gt;")=0,"",SUMIFS(BD!$I$3:$I$5001,BD!$A$3:$A$5001,AD$3,BD!$B$3:$B$5001,$A$309)))</f>
        <v/>
      </c>
      <c r="AE315" s="205" t="str">
        <f>IF(AE$3="","",IF(COUNTIFS(BD!$A$3:$A$5001,AE$3,BD!$B$3:$B$5001,$A$309,BD!$I$3:$I$5001,"&lt;&gt;")=0,"",SUMIFS(BD!$I$3:$I$5001,BD!$A$3:$A$5001,AE$3,BD!$B$3:$B$5001,$A$309)))</f>
        <v/>
      </c>
      <c r="AF315" s="205" t="str">
        <f>IF(AF$3="","",IF(COUNTIFS(BD!$A$3:$A$5001,AF$3,BD!$B$3:$B$5001,$A$309,BD!$I$3:$I$5001,"&lt;&gt;")=0,"",SUMIFS(BD!$I$3:$I$5001,BD!$A$3:$A$5001,AF$3,BD!$B$3:$B$5001,$A$309)))</f>
        <v/>
      </c>
      <c r="AG315" s="205" t="str">
        <f>IF(AG$3="","",IF(COUNTIFS(BD!$A$3:$A$5001,AG$3,BD!$B$3:$B$5001,$A$309,BD!$I$3:$I$5001,"&lt;&gt;")=0,"",SUMIFS(BD!$I$3:$I$5001,BD!$A$3:$A$5001,AG$3,BD!$B$3:$B$5001,$A$309)))</f>
        <v/>
      </c>
      <c r="AH315" s="205" t="str">
        <f>IF(AH$3="","",IF(COUNTIFS(BD!$A$3:$A$5001,AH$3,BD!$B$3:$B$5001,$A$309,BD!$I$3:$I$5001,"&lt;&gt;")=0,"",SUMIFS(BD!$I$3:$I$5001,BD!$A$3:$A$5001,AH$3,BD!$B$3:$B$5001,$A$309)))</f>
        <v/>
      </c>
      <c r="AI315" s="205" t="str">
        <f>IF(AI$3="","",IF(COUNTIFS(BD!$A$3:$A$5001,AI$3,BD!$B$3:$B$5001,$A$309,BD!$I$3:$I$5001,"&lt;&gt;")=0,"",SUMIFS(BD!$I$3:$I$5001,BD!$A$3:$A$5001,AI$3,BD!$B$3:$B$5001,$A$309)))</f>
        <v/>
      </c>
      <c r="AJ315" s="206" t="str">
        <f>IF(AJ$3="","",IF(COUNTIFS(BD!$A$3:$A$5001,AJ$3,BD!$B$3:$B$5001,$A$309,BD!$I$3:$I$5001,"&lt;&gt;")=0,"",SUMIFS(BD!$I$3:$I$5001,BD!$A$3:$A$5001,AJ$3,BD!$B$3:$B$5001,$A$309)))</f>
        <v/>
      </c>
      <c r="AK315" s="207" t="str">
        <f>IF(COUNT(F315:AJ315)=0,"",SUM(F315:AJ315))</f>
        <v/>
      </c>
    </row>
    <row r="316" ht="15.75" customHeight="1" hidden="1">
      <c r="A316" s="244"/>
      <c r="B316" s="239"/>
      <c r="C316" s="201" t="inlineStr">
        <is>
          <t xml:space="preserve">Caixas Fechadas</t>
        </is>
      </c>
      <c r="D316" s="202" t="str">
        <f>IFERROR(1/(1/INDEX(BD!$AJ$30:$BD$30,MATCH($A$309,BD!$AJ$22:$BD$22,0))),"")</f>
        <v/>
      </c>
      <c r="E316" s="203"/>
      <c r="F316" s="204" t="str">
        <f>IF(F$3="","",IF(COUNTIFS(BD!$A$3:$A$5001,F$3,BD!$B$3:$B$5001,$A$309,BD!$J$3:$J$5001,"&lt;&gt;")=0,"",SUMIFS(BD!$J$3:$J$5001,BD!$A$3:$A$5001,F$3,BD!$B$3:$B$5001,$A$309)))</f>
        <v/>
      </c>
      <c r="G316" s="205" t="str">
        <f>IF(G$3="","",IF(COUNTIFS(BD!$A$3:$A$5001,G$3,BD!$B$3:$B$5001,$A$309,BD!$J$3:$J$5001,"&lt;&gt;")=0,"",SUMIFS(BD!$J$3:$J$5001,BD!$A$3:$A$5001,G$3,BD!$B$3:$B$5001,$A$309)))</f>
        <v/>
      </c>
      <c r="H316" s="205" t="str">
        <f>IF(H$3="","",IF(COUNTIFS(BD!$A$3:$A$5001,H$3,BD!$B$3:$B$5001,$A$309,BD!$J$3:$J$5001,"&lt;&gt;")=0,"",SUMIFS(BD!$J$3:$J$5001,BD!$A$3:$A$5001,H$3,BD!$B$3:$B$5001,$A$309)))</f>
        <v/>
      </c>
      <c r="I316" s="205" t="str">
        <f>IF(I$3="","",IF(COUNTIFS(BD!$A$3:$A$5001,I$3,BD!$B$3:$B$5001,$A$309,BD!$J$3:$J$5001,"&lt;&gt;")=0,"",SUMIFS(BD!$J$3:$J$5001,BD!$A$3:$A$5001,I$3,BD!$B$3:$B$5001,$A$309)))</f>
        <v/>
      </c>
      <c r="J316" s="205" t="str">
        <f>IF(J$3="","",IF(COUNTIFS(BD!$A$3:$A$5001,J$3,BD!$B$3:$B$5001,$A$309,BD!$J$3:$J$5001,"&lt;&gt;")=0,"",SUMIFS(BD!$J$3:$J$5001,BD!$A$3:$A$5001,J$3,BD!$B$3:$B$5001,$A$309)))</f>
        <v/>
      </c>
      <c r="K316" s="205" t="str">
        <f>IF(K$3="","",IF(COUNTIFS(BD!$A$3:$A$5001,K$3,BD!$B$3:$B$5001,$A$309,BD!$J$3:$J$5001,"&lt;&gt;")=0,"",SUMIFS(BD!$J$3:$J$5001,BD!$A$3:$A$5001,K$3,BD!$B$3:$B$5001,$A$309)))</f>
        <v/>
      </c>
      <c r="L316" s="205" t="str">
        <f>IF(L$3="","",IF(COUNTIFS(BD!$A$3:$A$5001,L$3,BD!$B$3:$B$5001,$A$309,BD!$J$3:$J$5001,"&lt;&gt;")=0,"",SUMIFS(BD!$J$3:$J$5001,BD!$A$3:$A$5001,L$3,BD!$B$3:$B$5001,$A$309)))</f>
        <v/>
      </c>
      <c r="M316" s="205" t="str">
        <f>IF(M$3="","",IF(COUNTIFS(BD!$A$3:$A$5001,M$3,BD!$B$3:$B$5001,$A$309,BD!$J$3:$J$5001,"&lt;&gt;")=0,"",SUMIFS(BD!$J$3:$J$5001,BD!$A$3:$A$5001,M$3,BD!$B$3:$B$5001,$A$309)))</f>
        <v/>
      </c>
      <c r="N316" s="205" t="str">
        <f>IF(N$3="","",IF(COUNTIFS(BD!$A$3:$A$5001,N$3,BD!$B$3:$B$5001,$A$309,BD!$J$3:$J$5001,"&lt;&gt;")=0,"",SUMIFS(BD!$J$3:$J$5001,BD!$A$3:$A$5001,N$3,BD!$B$3:$B$5001,$A$309)))</f>
        <v/>
      </c>
      <c r="O316" s="205" t="str">
        <f>IF(O$3="","",IF(COUNTIFS(BD!$A$3:$A$5001,O$3,BD!$B$3:$B$5001,$A$309,BD!$J$3:$J$5001,"&lt;&gt;")=0,"",SUMIFS(BD!$J$3:$J$5001,BD!$A$3:$A$5001,O$3,BD!$B$3:$B$5001,$A$309)))</f>
        <v/>
      </c>
      <c r="P316" s="205" t="str">
        <f>IF(P$3="","",IF(COUNTIFS(BD!$A$3:$A$5001,P$3,BD!$B$3:$B$5001,$A$309,BD!$J$3:$J$5001,"&lt;&gt;")=0,"",SUMIFS(BD!$J$3:$J$5001,BD!$A$3:$A$5001,P$3,BD!$B$3:$B$5001,$A$309)))</f>
        <v/>
      </c>
      <c r="Q316" s="205" t="str">
        <f>IF(Q$3="","",IF(COUNTIFS(BD!$A$3:$A$5001,Q$3,BD!$B$3:$B$5001,$A$309,BD!$J$3:$J$5001,"&lt;&gt;")=0,"",SUMIFS(BD!$J$3:$J$5001,BD!$A$3:$A$5001,Q$3,BD!$B$3:$B$5001,$A$309)))</f>
        <v/>
      </c>
      <c r="R316" s="205" t="str">
        <f>IF(R$3="","",IF(COUNTIFS(BD!$A$3:$A$5001,R$3,BD!$B$3:$B$5001,$A$309,BD!$J$3:$J$5001,"&lt;&gt;")=0,"",SUMIFS(BD!$J$3:$J$5001,BD!$A$3:$A$5001,R$3,BD!$B$3:$B$5001,$A$309)))</f>
        <v/>
      </c>
      <c r="S316" s="205" t="str">
        <f>IF(S$3="","",IF(COUNTIFS(BD!$A$3:$A$5001,S$3,BD!$B$3:$B$5001,$A$309,BD!$J$3:$J$5001,"&lt;&gt;")=0,"",SUMIFS(BD!$J$3:$J$5001,BD!$A$3:$A$5001,S$3,BD!$B$3:$B$5001,$A$309)))</f>
        <v/>
      </c>
      <c r="T316" s="205" t="str">
        <f>IF(T$3="","",IF(COUNTIFS(BD!$A$3:$A$5001,T$3,BD!$B$3:$B$5001,$A$309,BD!$J$3:$J$5001,"&lt;&gt;")=0,"",SUMIFS(BD!$J$3:$J$5001,BD!$A$3:$A$5001,T$3,BD!$B$3:$B$5001,$A$309)))</f>
        <v/>
      </c>
      <c r="U316" s="205" t="str">
        <f>IF(U$3="","",IF(COUNTIFS(BD!$A$3:$A$5001,U$3,BD!$B$3:$B$5001,$A$309,BD!$J$3:$J$5001,"&lt;&gt;")=0,"",SUMIFS(BD!$J$3:$J$5001,BD!$A$3:$A$5001,U$3,BD!$B$3:$B$5001,$A$309)))</f>
        <v/>
      </c>
      <c r="V316" s="205" t="str">
        <f>IF(V$3="","",IF(COUNTIFS(BD!$A$3:$A$5001,V$3,BD!$B$3:$B$5001,$A$309,BD!$J$3:$J$5001,"&lt;&gt;")=0,"",SUMIFS(BD!$J$3:$J$5001,BD!$A$3:$A$5001,V$3,BD!$B$3:$B$5001,$A$309)))</f>
        <v/>
      </c>
      <c r="W316" s="205" t="str">
        <f>IF(W$3="","",IF(COUNTIFS(BD!$A$3:$A$5001,W$3,BD!$B$3:$B$5001,$A$309,BD!$J$3:$J$5001,"&lt;&gt;")=0,"",SUMIFS(BD!$J$3:$J$5001,BD!$A$3:$A$5001,W$3,BD!$B$3:$B$5001,$A$309)))</f>
        <v/>
      </c>
      <c r="X316" s="205" t="str">
        <f>IF(X$3="","",IF(COUNTIFS(BD!$A$3:$A$5001,X$3,BD!$B$3:$B$5001,$A$309,BD!$J$3:$J$5001,"&lt;&gt;")=0,"",SUMIFS(BD!$J$3:$J$5001,BD!$A$3:$A$5001,X$3,BD!$B$3:$B$5001,$A$309)))</f>
        <v/>
      </c>
      <c r="Y316" s="205" t="str">
        <f>IF(Y$3="","",IF(COUNTIFS(BD!$A$3:$A$5001,Y$3,BD!$B$3:$B$5001,$A$309,BD!$J$3:$J$5001,"&lt;&gt;")=0,"",SUMIFS(BD!$J$3:$J$5001,BD!$A$3:$A$5001,Y$3,BD!$B$3:$B$5001,$A$309)))</f>
        <v/>
      </c>
      <c r="Z316" s="205" t="str">
        <f>IF(Z$3="","",IF(COUNTIFS(BD!$A$3:$A$5001,Z$3,BD!$B$3:$B$5001,$A$309,BD!$J$3:$J$5001,"&lt;&gt;")=0,"",SUMIFS(BD!$J$3:$J$5001,BD!$A$3:$A$5001,Z$3,BD!$B$3:$B$5001,$A$309)))</f>
        <v/>
      </c>
      <c r="AA316" s="205" t="str">
        <f>IF(AA$3="","",IF(COUNTIFS(BD!$A$3:$A$5001,AA$3,BD!$B$3:$B$5001,$A$309,BD!$J$3:$J$5001,"&lt;&gt;")=0,"",SUMIFS(BD!$J$3:$J$5001,BD!$A$3:$A$5001,AA$3,BD!$B$3:$B$5001,$A$309)))</f>
        <v/>
      </c>
      <c r="AB316" s="205" t="str">
        <f>IF(AB$3="","",IF(COUNTIFS(BD!$A$3:$A$5001,AB$3,BD!$B$3:$B$5001,$A$309,BD!$J$3:$J$5001,"&lt;&gt;")=0,"",SUMIFS(BD!$J$3:$J$5001,BD!$A$3:$A$5001,AB$3,BD!$B$3:$B$5001,$A$309)))</f>
        <v/>
      </c>
      <c r="AC316" s="205" t="str">
        <f>IF(AC$3="","",IF(COUNTIFS(BD!$A$3:$A$5001,AC$3,BD!$B$3:$B$5001,$A$309,BD!$J$3:$J$5001,"&lt;&gt;")=0,"",SUMIFS(BD!$J$3:$J$5001,BD!$A$3:$A$5001,AC$3,BD!$B$3:$B$5001,$A$309)))</f>
        <v/>
      </c>
      <c r="AD316" s="205" t="str">
        <f>IF(AD$3="","",IF(COUNTIFS(BD!$A$3:$A$5001,AD$3,BD!$B$3:$B$5001,$A$309,BD!$J$3:$J$5001,"&lt;&gt;")=0,"",SUMIFS(BD!$J$3:$J$5001,BD!$A$3:$A$5001,AD$3,BD!$B$3:$B$5001,$A$309)))</f>
        <v/>
      </c>
      <c r="AE316" s="205" t="str">
        <f>IF(AE$3="","",IF(COUNTIFS(BD!$A$3:$A$5001,AE$3,BD!$B$3:$B$5001,$A$309,BD!$J$3:$J$5001,"&lt;&gt;")=0,"",SUMIFS(BD!$J$3:$J$5001,BD!$A$3:$A$5001,AE$3,BD!$B$3:$B$5001,$A$309)))</f>
        <v/>
      </c>
      <c r="AF316" s="205" t="str">
        <f>IF(AF$3="","",IF(COUNTIFS(BD!$A$3:$A$5001,AF$3,BD!$B$3:$B$5001,$A$309,BD!$J$3:$J$5001,"&lt;&gt;")=0,"",SUMIFS(BD!$J$3:$J$5001,BD!$A$3:$A$5001,AF$3,BD!$B$3:$B$5001,$A$309)))</f>
        <v/>
      </c>
      <c r="AG316" s="205" t="str">
        <f>IF(AG$3="","",IF(COUNTIFS(BD!$A$3:$A$5001,AG$3,BD!$B$3:$B$5001,$A$309,BD!$J$3:$J$5001,"&lt;&gt;")=0,"",SUMIFS(BD!$J$3:$J$5001,BD!$A$3:$A$5001,AG$3,BD!$B$3:$B$5001,$A$309)))</f>
        <v/>
      </c>
      <c r="AH316" s="205" t="str">
        <f>IF(AH$3="","",IF(COUNTIFS(BD!$A$3:$A$5001,AH$3,BD!$B$3:$B$5001,$A$309,BD!$J$3:$J$5001,"&lt;&gt;")=0,"",SUMIFS(BD!$J$3:$J$5001,BD!$A$3:$A$5001,AH$3,BD!$B$3:$B$5001,$A$309)))</f>
        <v/>
      </c>
      <c r="AI316" s="205" t="str">
        <f>IF(AI$3="","",IF(COUNTIFS(BD!$A$3:$A$5001,AI$3,BD!$B$3:$B$5001,$A$309,BD!$J$3:$J$5001,"&lt;&gt;")=0,"",SUMIFS(BD!$J$3:$J$5001,BD!$A$3:$A$5001,AI$3,BD!$B$3:$B$5001,$A$309)))</f>
        <v/>
      </c>
      <c r="AJ316" s="206" t="str">
        <f>IF(AJ$3="","",IF(COUNTIFS(BD!$A$3:$A$5001,AJ$3,BD!$B$3:$B$5001,$A$309,BD!$J$3:$J$5001,"&lt;&gt;")=0,"",SUMIFS(BD!$J$3:$J$5001,BD!$A$3:$A$5001,AJ$3,BD!$B$3:$B$5001,$A$309)))</f>
        <v/>
      </c>
      <c r="AK316" s="207" t="str">
        <f>IF(COUNT(F316:AJ316)=0,"",SUM(F316:AJ316))</f>
        <v/>
      </c>
    </row>
    <row r="317" ht="15.75" customHeight="1" hidden="1">
      <c r="A317" s="244"/>
      <c r="B317" s="233"/>
      <c r="C317" s="162" t="inlineStr">
        <is>
          <t xml:space="preserve">Caixas Mistas Recebidas</t>
        </is>
      </c>
      <c r="D317" s="163" t="str">
        <f>IFERROR(1/(1/INDEX(BD!$AJ$31:$BD$31,MATCH($A$309,BD!$AJ$22:$BD$22,0))),"")</f>
        <v/>
      </c>
      <c r="E317" s="164"/>
      <c r="F317" s="165" t="str">
        <f>IF(F$3="","",IF(COUNTIFS(BD!$A$3:$A$5001,F$3,BD!$B$3:$B$5001,$A$309,BD!$K$3:$K$5001,"&lt;&gt;")=0,"",SUMIFS(BD!$K$3:$K$5001,BD!$A$3:$A$5001,F$3,BD!$B$3:$B$5001,$A$309)))</f>
        <v/>
      </c>
      <c r="G317" s="166" t="str">
        <f>IF(G$3="","",IF(COUNTIFS(BD!$A$3:$A$5001,G$3,BD!$B$3:$B$5001,$A$309,BD!$K$3:$K$5001,"&lt;&gt;")=0,"",SUMIFS(BD!$K$3:$K$5001,BD!$A$3:$A$5001,G$3,BD!$B$3:$B$5001,$A$309)))</f>
        <v/>
      </c>
      <c r="H317" s="166" t="str">
        <f>IF(H$3="","",IF(COUNTIFS(BD!$A$3:$A$5001,H$3,BD!$B$3:$B$5001,$A$309,BD!$K$3:$K$5001,"&lt;&gt;")=0,"",SUMIFS(BD!$K$3:$K$5001,BD!$A$3:$A$5001,H$3,BD!$B$3:$B$5001,$A$309)))</f>
        <v/>
      </c>
      <c r="I317" s="166" t="str">
        <f>IF(I$3="","",IF(COUNTIFS(BD!$A$3:$A$5001,I$3,BD!$B$3:$B$5001,$A$309,BD!$K$3:$K$5001,"&lt;&gt;")=0,"",SUMIFS(BD!$K$3:$K$5001,BD!$A$3:$A$5001,I$3,BD!$B$3:$B$5001,$A$309)))</f>
        <v/>
      </c>
      <c r="J317" s="166" t="str">
        <f>IF(J$3="","",IF(COUNTIFS(BD!$A$3:$A$5001,J$3,BD!$B$3:$B$5001,$A$309,BD!$K$3:$K$5001,"&lt;&gt;")=0,"",SUMIFS(BD!$K$3:$K$5001,BD!$A$3:$A$5001,J$3,BD!$B$3:$B$5001,$A$309)))</f>
        <v/>
      </c>
      <c r="K317" s="166" t="str">
        <f>IF(K$3="","",IF(COUNTIFS(BD!$A$3:$A$5001,K$3,BD!$B$3:$B$5001,$A$309,BD!$K$3:$K$5001,"&lt;&gt;")=0,"",SUMIFS(BD!$K$3:$K$5001,BD!$A$3:$A$5001,K$3,BD!$B$3:$B$5001,$A$309)))</f>
        <v/>
      </c>
      <c r="L317" s="166" t="str">
        <f>IF(L$3="","",IF(COUNTIFS(BD!$A$3:$A$5001,L$3,BD!$B$3:$B$5001,$A$309,BD!$K$3:$K$5001,"&lt;&gt;")=0,"",SUMIFS(BD!$K$3:$K$5001,BD!$A$3:$A$5001,L$3,BD!$B$3:$B$5001,$A$309)))</f>
        <v/>
      </c>
      <c r="M317" s="166" t="str">
        <f>IF(M$3="","",IF(COUNTIFS(BD!$A$3:$A$5001,M$3,BD!$B$3:$B$5001,$A$309,BD!$K$3:$K$5001,"&lt;&gt;")=0,"",SUMIFS(BD!$K$3:$K$5001,BD!$A$3:$A$5001,M$3,BD!$B$3:$B$5001,$A$309)))</f>
        <v/>
      </c>
      <c r="N317" s="166" t="str">
        <f>IF(N$3="","",IF(COUNTIFS(BD!$A$3:$A$5001,N$3,BD!$B$3:$B$5001,$A$309,BD!$K$3:$K$5001,"&lt;&gt;")=0,"",SUMIFS(BD!$K$3:$K$5001,BD!$A$3:$A$5001,N$3,BD!$B$3:$B$5001,$A$309)))</f>
        <v/>
      </c>
      <c r="O317" s="166" t="str">
        <f>IF(O$3="","",IF(COUNTIFS(BD!$A$3:$A$5001,O$3,BD!$B$3:$B$5001,$A$309,BD!$K$3:$K$5001,"&lt;&gt;")=0,"",SUMIFS(BD!$K$3:$K$5001,BD!$A$3:$A$5001,O$3,BD!$B$3:$B$5001,$A$309)))</f>
        <v/>
      </c>
      <c r="P317" s="166" t="str">
        <f>IF(P$3="","",IF(COUNTIFS(BD!$A$3:$A$5001,P$3,BD!$B$3:$B$5001,$A$309,BD!$K$3:$K$5001,"&lt;&gt;")=0,"",SUMIFS(BD!$K$3:$K$5001,BD!$A$3:$A$5001,P$3,BD!$B$3:$B$5001,$A$309)))</f>
        <v/>
      </c>
      <c r="Q317" s="166" t="str">
        <f>IF(Q$3="","",IF(COUNTIFS(BD!$A$3:$A$5001,Q$3,BD!$B$3:$B$5001,$A$309,BD!$K$3:$K$5001,"&lt;&gt;")=0,"",SUMIFS(BD!$K$3:$K$5001,BD!$A$3:$A$5001,Q$3,BD!$B$3:$B$5001,$A$309)))</f>
        <v/>
      </c>
      <c r="R317" s="166" t="str">
        <f>IF(R$3="","",IF(COUNTIFS(BD!$A$3:$A$5001,R$3,BD!$B$3:$B$5001,$A$309,BD!$K$3:$K$5001,"&lt;&gt;")=0,"",SUMIFS(BD!$K$3:$K$5001,BD!$A$3:$A$5001,R$3,BD!$B$3:$B$5001,$A$309)))</f>
        <v/>
      </c>
      <c r="S317" s="166" t="str">
        <f>IF(S$3="","",IF(COUNTIFS(BD!$A$3:$A$5001,S$3,BD!$B$3:$B$5001,$A$309,BD!$K$3:$K$5001,"&lt;&gt;")=0,"",SUMIFS(BD!$K$3:$K$5001,BD!$A$3:$A$5001,S$3,BD!$B$3:$B$5001,$A$309)))</f>
        <v/>
      </c>
      <c r="T317" s="166" t="str">
        <f>IF(T$3="","",IF(COUNTIFS(BD!$A$3:$A$5001,T$3,BD!$B$3:$B$5001,$A$309,BD!$K$3:$K$5001,"&lt;&gt;")=0,"",SUMIFS(BD!$K$3:$K$5001,BD!$A$3:$A$5001,T$3,BD!$B$3:$B$5001,$A$309)))</f>
        <v/>
      </c>
      <c r="U317" s="166" t="str">
        <f>IF(U$3="","",IF(COUNTIFS(BD!$A$3:$A$5001,U$3,BD!$B$3:$B$5001,$A$309,BD!$K$3:$K$5001,"&lt;&gt;")=0,"",SUMIFS(BD!$K$3:$K$5001,BD!$A$3:$A$5001,U$3,BD!$B$3:$B$5001,$A$309)))</f>
        <v/>
      </c>
      <c r="V317" s="166" t="str">
        <f>IF(V$3="","",IF(COUNTIFS(BD!$A$3:$A$5001,V$3,BD!$B$3:$B$5001,$A$309,BD!$K$3:$K$5001,"&lt;&gt;")=0,"",SUMIFS(BD!$K$3:$K$5001,BD!$A$3:$A$5001,V$3,BD!$B$3:$B$5001,$A$309)))</f>
        <v/>
      </c>
      <c r="W317" s="166" t="str">
        <f>IF(W$3="","",IF(COUNTIFS(BD!$A$3:$A$5001,W$3,BD!$B$3:$B$5001,$A$309,BD!$K$3:$K$5001,"&lt;&gt;")=0,"",SUMIFS(BD!$K$3:$K$5001,BD!$A$3:$A$5001,W$3,BD!$B$3:$B$5001,$A$309)))</f>
        <v/>
      </c>
      <c r="X317" s="166" t="str">
        <f>IF(X$3="","",IF(COUNTIFS(BD!$A$3:$A$5001,X$3,BD!$B$3:$B$5001,$A$309,BD!$K$3:$K$5001,"&lt;&gt;")=0,"",SUMIFS(BD!$K$3:$K$5001,BD!$A$3:$A$5001,X$3,BD!$B$3:$B$5001,$A$309)))</f>
        <v/>
      </c>
      <c r="Y317" s="166" t="str">
        <f>IF(Y$3="","",IF(COUNTIFS(BD!$A$3:$A$5001,Y$3,BD!$B$3:$B$5001,$A$309,BD!$K$3:$K$5001,"&lt;&gt;")=0,"",SUMIFS(BD!$K$3:$K$5001,BD!$A$3:$A$5001,Y$3,BD!$B$3:$B$5001,$A$309)))</f>
        <v/>
      </c>
      <c r="Z317" s="166" t="str">
        <f>IF(Z$3="","",IF(COUNTIFS(BD!$A$3:$A$5001,Z$3,BD!$B$3:$B$5001,$A$309,BD!$K$3:$K$5001,"&lt;&gt;")=0,"",SUMIFS(BD!$K$3:$K$5001,BD!$A$3:$A$5001,Z$3,BD!$B$3:$B$5001,$A$309)))</f>
        <v/>
      </c>
      <c r="AA317" s="166" t="str">
        <f>IF(AA$3="","",IF(COUNTIFS(BD!$A$3:$A$5001,AA$3,BD!$B$3:$B$5001,$A$309,BD!$K$3:$K$5001,"&lt;&gt;")=0,"",SUMIFS(BD!$K$3:$K$5001,BD!$A$3:$A$5001,AA$3,BD!$B$3:$B$5001,$A$309)))</f>
        <v/>
      </c>
      <c r="AB317" s="166" t="str">
        <f>IF(AB$3="","",IF(COUNTIFS(BD!$A$3:$A$5001,AB$3,BD!$B$3:$B$5001,$A$309,BD!$K$3:$K$5001,"&lt;&gt;")=0,"",SUMIFS(BD!$K$3:$K$5001,BD!$A$3:$A$5001,AB$3,BD!$B$3:$B$5001,$A$309)))</f>
        <v/>
      </c>
      <c r="AC317" s="166" t="str">
        <f>IF(AC$3="","",IF(COUNTIFS(BD!$A$3:$A$5001,AC$3,BD!$B$3:$B$5001,$A$309,BD!$K$3:$K$5001,"&lt;&gt;")=0,"",SUMIFS(BD!$K$3:$K$5001,BD!$A$3:$A$5001,AC$3,BD!$B$3:$B$5001,$A$309)))</f>
        <v/>
      </c>
      <c r="AD317" s="166" t="str">
        <f>IF(AD$3="","",IF(COUNTIFS(BD!$A$3:$A$5001,AD$3,BD!$B$3:$B$5001,$A$309,BD!$K$3:$K$5001,"&lt;&gt;")=0,"",SUMIFS(BD!$K$3:$K$5001,BD!$A$3:$A$5001,AD$3,BD!$B$3:$B$5001,$A$309)))</f>
        <v/>
      </c>
      <c r="AE317" s="166" t="str">
        <f>IF(AE$3="","",IF(COUNTIFS(BD!$A$3:$A$5001,AE$3,BD!$B$3:$B$5001,$A$309,BD!$K$3:$K$5001,"&lt;&gt;")=0,"",SUMIFS(BD!$K$3:$K$5001,BD!$A$3:$A$5001,AE$3,BD!$B$3:$B$5001,$A$309)))</f>
        <v/>
      </c>
      <c r="AF317" s="166" t="str">
        <f>IF(AF$3="","",IF(COUNTIFS(BD!$A$3:$A$5001,AF$3,BD!$B$3:$B$5001,$A$309,BD!$K$3:$K$5001,"&lt;&gt;")=0,"",SUMIFS(BD!$K$3:$K$5001,BD!$A$3:$A$5001,AF$3,BD!$B$3:$B$5001,$A$309)))</f>
        <v/>
      </c>
      <c r="AG317" s="166" t="str">
        <f>IF(AG$3="","",IF(COUNTIFS(BD!$A$3:$A$5001,AG$3,BD!$B$3:$B$5001,$A$309,BD!$K$3:$K$5001,"&lt;&gt;")=0,"",SUMIFS(BD!$K$3:$K$5001,BD!$A$3:$A$5001,AG$3,BD!$B$3:$B$5001,$A$309)))</f>
        <v/>
      </c>
      <c r="AH317" s="166" t="str">
        <f>IF(AH$3="","",IF(COUNTIFS(BD!$A$3:$A$5001,AH$3,BD!$B$3:$B$5001,$A$309,BD!$K$3:$K$5001,"&lt;&gt;")=0,"",SUMIFS(BD!$K$3:$K$5001,BD!$A$3:$A$5001,AH$3,BD!$B$3:$B$5001,$A$309)))</f>
        <v/>
      </c>
      <c r="AI317" s="166" t="str">
        <f>IF(AI$3="","",IF(COUNTIFS(BD!$A$3:$A$5001,AI$3,BD!$B$3:$B$5001,$A$309,BD!$K$3:$K$5001,"&lt;&gt;")=0,"",SUMIFS(BD!$K$3:$K$5001,BD!$A$3:$A$5001,AI$3,BD!$B$3:$B$5001,$A$309)))</f>
        <v/>
      </c>
      <c r="AJ317" s="167" t="str">
        <f>IF(AJ$3="","",IF(COUNTIFS(BD!$A$3:$A$5001,AJ$3,BD!$B$3:$B$5001,$A$309,BD!$K$3:$K$5001,"&lt;&gt;")=0,"",SUMIFS(BD!$K$3:$K$5001,BD!$A$3:$A$5001,AJ$3,BD!$B$3:$B$5001,$A$309)))</f>
        <v/>
      </c>
      <c r="AK317" s="163" t="str">
        <f>IF(COUNT(F317:AJ317)=0,"",SUM(F317:AJ317))</f>
        <v/>
      </c>
    </row>
    <row r="318" ht="15.75" customHeight="1" hidden="1">
      <c r="A318" s="244"/>
      <c r="B318" s="234" t="inlineStr">
        <is>
          <t xml:space="preserve">OUT</t>
        </is>
      </c>
      <c r="C318" s="168" t="inlineStr">
        <is>
          <t xml:space="preserve">Veículos Expedidos</t>
        </is>
      </c>
      <c r="D318" s="169" t="str">
        <f>IFERROR(1/(1/INDEX(BD!$AJ$32:$BD$32,MATCH($A$309,BD!$AJ$22:$BD$22,0))),"")</f>
        <v/>
      </c>
      <c r="E318" s="170"/>
      <c r="F318" s="171" t="str">
        <f>IF(F$3="","",IF(COUNTIFS(BD!$A$3:$A$5001,F$3,BD!$B$3:$B$5001,$A$309,BD!$L$3:$L$5001,"&lt;&gt;")=0,"",SUMIFS(BD!$L$3:$L$5001,BD!$A$3:$A$5001,F$3,BD!$B$3:$B$5001,$A$309)))</f>
        <v/>
      </c>
      <c r="G318" s="172" t="str">
        <f>IF(G$3="","",IF(COUNTIFS(BD!$A$3:$A$5001,G$3,BD!$B$3:$B$5001,$A$309,BD!$L$3:$L$5001,"&lt;&gt;")=0,"",SUMIFS(BD!$L$3:$L$5001,BD!$A$3:$A$5001,G$3,BD!$B$3:$B$5001,$A$309)))</f>
        <v/>
      </c>
      <c r="H318" s="172" t="str">
        <f>IF(H$3="","",IF(COUNTIFS(BD!$A$3:$A$5001,H$3,BD!$B$3:$B$5001,$A$309,BD!$L$3:$L$5001,"&lt;&gt;")=0,"",SUMIFS(BD!$L$3:$L$5001,BD!$A$3:$A$5001,H$3,BD!$B$3:$B$5001,$A$309)))</f>
        <v/>
      </c>
      <c r="I318" s="172" t="str">
        <f>IF(I$3="","",IF(COUNTIFS(BD!$A$3:$A$5001,I$3,BD!$B$3:$B$5001,$A$309,BD!$L$3:$L$5001,"&lt;&gt;")=0,"",SUMIFS(BD!$L$3:$L$5001,BD!$A$3:$A$5001,I$3,BD!$B$3:$B$5001,$A$309)))</f>
        <v/>
      </c>
      <c r="J318" s="172" t="str">
        <f>IF(J$3="","",IF(COUNTIFS(BD!$A$3:$A$5001,J$3,BD!$B$3:$B$5001,$A$309,BD!$L$3:$L$5001,"&lt;&gt;")=0,"",SUMIFS(BD!$L$3:$L$5001,BD!$A$3:$A$5001,J$3,BD!$B$3:$B$5001,$A$309)))</f>
        <v/>
      </c>
      <c r="K318" s="172" t="str">
        <f>IF(K$3="","",IF(COUNTIFS(BD!$A$3:$A$5001,K$3,BD!$B$3:$B$5001,$A$309,BD!$L$3:$L$5001,"&lt;&gt;")=0,"",SUMIFS(BD!$L$3:$L$5001,BD!$A$3:$A$5001,K$3,BD!$B$3:$B$5001,$A$309)))</f>
        <v/>
      </c>
      <c r="L318" s="172" t="str">
        <f>IF(L$3="","",IF(COUNTIFS(BD!$A$3:$A$5001,L$3,BD!$B$3:$B$5001,$A$309,BD!$L$3:$L$5001,"&lt;&gt;")=0,"",SUMIFS(BD!$L$3:$L$5001,BD!$A$3:$A$5001,L$3,BD!$B$3:$B$5001,$A$309)))</f>
        <v/>
      </c>
      <c r="M318" s="172" t="str">
        <f>IF(M$3="","",IF(COUNTIFS(BD!$A$3:$A$5001,M$3,BD!$B$3:$B$5001,$A$309,BD!$L$3:$L$5001,"&lt;&gt;")=0,"",SUMIFS(BD!$L$3:$L$5001,BD!$A$3:$A$5001,M$3,BD!$B$3:$B$5001,$A$309)))</f>
        <v/>
      </c>
      <c r="N318" s="172" t="str">
        <f>IF(N$3="","",IF(COUNTIFS(BD!$A$3:$A$5001,N$3,BD!$B$3:$B$5001,$A$309,BD!$L$3:$L$5001,"&lt;&gt;")=0,"",SUMIFS(BD!$L$3:$L$5001,BD!$A$3:$A$5001,N$3,BD!$B$3:$B$5001,$A$309)))</f>
        <v/>
      </c>
      <c r="O318" s="172" t="str">
        <f>IF(O$3="","",IF(COUNTIFS(BD!$A$3:$A$5001,O$3,BD!$B$3:$B$5001,$A$309,BD!$L$3:$L$5001,"&lt;&gt;")=0,"",SUMIFS(BD!$L$3:$L$5001,BD!$A$3:$A$5001,O$3,BD!$B$3:$B$5001,$A$309)))</f>
        <v/>
      </c>
      <c r="P318" s="172" t="str">
        <f>IF(P$3="","",IF(COUNTIFS(BD!$A$3:$A$5001,P$3,BD!$B$3:$B$5001,$A$309,BD!$L$3:$L$5001,"&lt;&gt;")=0,"",SUMIFS(BD!$L$3:$L$5001,BD!$A$3:$A$5001,P$3,BD!$B$3:$B$5001,$A$309)))</f>
        <v/>
      </c>
      <c r="Q318" s="172" t="str">
        <f>IF(Q$3="","",IF(COUNTIFS(BD!$A$3:$A$5001,Q$3,BD!$B$3:$B$5001,$A$309,BD!$L$3:$L$5001,"&lt;&gt;")=0,"",SUMIFS(BD!$L$3:$L$5001,BD!$A$3:$A$5001,Q$3,BD!$B$3:$B$5001,$A$309)))</f>
        <v/>
      </c>
      <c r="R318" s="172" t="str">
        <f>IF(R$3="","",IF(COUNTIFS(BD!$A$3:$A$5001,R$3,BD!$B$3:$B$5001,$A$309,BD!$L$3:$L$5001,"&lt;&gt;")=0,"",SUMIFS(BD!$L$3:$L$5001,BD!$A$3:$A$5001,R$3,BD!$B$3:$B$5001,$A$309)))</f>
        <v/>
      </c>
      <c r="S318" s="172" t="str">
        <f>IF(S$3="","",IF(COUNTIFS(BD!$A$3:$A$5001,S$3,BD!$B$3:$B$5001,$A$309,BD!$L$3:$L$5001,"&lt;&gt;")=0,"",SUMIFS(BD!$L$3:$L$5001,BD!$A$3:$A$5001,S$3,BD!$B$3:$B$5001,$A$309)))</f>
        <v/>
      </c>
      <c r="T318" s="172" t="str">
        <f>IF(T$3="","",IF(COUNTIFS(BD!$A$3:$A$5001,T$3,BD!$B$3:$B$5001,$A$309,BD!$L$3:$L$5001,"&lt;&gt;")=0,"",SUMIFS(BD!$L$3:$L$5001,BD!$A$3:$A$5001,T$3,BD!$B$3:$B$5001,$A$309)))</f>
        <v/>
      </c>
      <c r="U318" s="172" t="str">
        <f>IF(U$3="","",IF(COUNTIFS(BD!$A$3:$A$5001,U$3,BD!$B$3:$B$5001,$A$309,BD!$L$3:$L$5001,"&lt;&gt;")=0,"",SUMIFS(BD!$L$3:$L$5001,BD!$A$3:$A$5001,U$3,BD!$B$3:$B$5001,$A$309)))</f>
        <v/>
      </c>
      <c r="V318" s="172" t="str">
        <f>IF(V$3="","",IF(COUNTIFS(BD!$A$3:$A$5001,V$3,BD!$B$3:$B$5001,$A$309,BD!$L$3:$L$5001,"&lt;&gt;")=0,"",SUMIFS(BD!$L$3:$L$5001,BD!$A$3:$A$5001,V$3,BD!$B$3:$B$5001,$A$309)))</f>
        <v/>
      </c>
      <c r="W318" s="172" t="str">
        <f>IF(W$3="","",IF(COUNTIFS(BD!$A$3:$A$5001,W$3,BD!$B$3:$B$5001,$A$309,BD!$L$3:$L$5001,"&lt;&gt;")=0,"",SUMIFS(BD!$L$3:$L$5001,BD!$A$3:$A$5001,W$3,BD!$B$3:$B$5001,$A$309)))</f>
        <v/>
      </c>
      <c r="X318" s="172" t="str">
        <f>IF(X$3="","",IF(COUNTIFS(BD!$A$3:$A$5001,X$3,BD!$B$3:$B$5001,$A$309,BD!$L$3:$L$5001,"&lt;&gt;")=0,"",SUMIFS(BD!$L$3:$L$5001,BD!$A$3:$A$5001,X$3,BD!$B$3:$B$5001,$A$309)))</f>
        <v/>
      </c>
      <c r="Y318" s="172" t="str">
        <f>IF(Y$3="","",IF(COUNTIFS(BD!$A$3:$A$5001,Y$3,BD!$B$3:$B$5001,$A$309,BD!$L$3:$L$5001,"&lt;&gt;")=0,"",SUMIFS(BD!$L$3:$L$5001,BD!$A$3:$A$5001,Y$3,BD!$B$3:$B$5001,$A$309)))</f>
        <v/>
      </c>
      <c r="Z318" s="172" t="str">
        <f>IF(Z$3="","",IF(COUNTIFS(BD!$A$3:$A$5001,Z$3,BD!$B$3:$B$5001,$A$309,BD!$L$3:$L$5001,"&lt;&gt;")=0,"",SUMIFS(BD!$L$3:$L$5001,BD!$A$3:$A$5001,Z$3,BD!$B$3:$B$5001,$A$309)))</f>
        <v/>
      </c>
      <c r="AA318" s="172" t="str">
        <f>IF(AA$3="","",IF(COUNTIFS(BD!$A$3:$A$5001,AA$3,BD!$B$3:$B$5001,$A$309,BD!$L$3:$L$5001,"&lt;&gt;")=0,"",SUMIFS(BD!$L$3:$L$5001,BD!$A$3:$A$5001,AA$3,BD!$B$3:$B$5001,$A$309)))</f>
        <v/>
      </c>
      <c r="AB318" s="172" t="str">
        <f>IF(AB$3="","",IF(COUNTIFS(BD!$A$3:$A$5001,AB$3,BD!$B$3:$B$5001,$A$309,BD!$L$3:$L$5001,"&lt;&gt;")=0,"",SUMIFS(BD!$L$3:$L$5001,BD!$A$3:$A$5001,AB$3,BD!$B$3:$B$5001,$A$309)))</f>
        <v/>
      </c>
      <c r="AC318" s="172" t="str">
        <f>IF(AC$3="","",IF(COUNTIFS(BD!$A$3:$A$5001,AC$3,BD!$B$3:$B$5001,$A$309,BD!$L$3:$L$5001,"&lt;&gt;")=0,"",SUMIFS(BD!$L$3:$L$5001,BD!$A$3:$A$5001,AC$3,BD!$B$3:$B$5001,$A$309)))</f>
        <v/>
      </c>
      <c r="AD318" s="172" t="str">
        <f>IF(AD$3="","",IF(COUNTIFS(BD!$A$3:$A$5001,AD$3,BD!$B$3:$B$5001,$A$309,BD!$L$3:$L$5001,"&lt;&gt;")=0,"",SUMIFS(BD!$L$3:$L$5001,BD!$A$3:$A$5001,AD$3,BD!$B$3:$B$5001,$A$309)))</f>
        <v/>
      </c>
      <c r="AE318" s="172" t="str">
        <f>IF(AE$3="","",IF(COUNTIFS(BD!$A$3:$A$5001,AE$3,BD!$B$3:$B$5001,$A$309,BD!$L$3:$L$5001,"&lt;&gt;")=0,"",SUMIFS(BD!$L$3:$L$5001,BD!$A$3:$A$5001,AE$3,BD!$B$3:$B$5001,$A$309)))</f>
        <v/>
      </c>
      <c r="AF318" s="172" t="str">
        <f>IF(AF$3="","",IF(COUNTIFS(BD!$A$3:$A$5001,AF$3,BD!$B$3:$B$5001,$A$309,BD!$L$3:$L$5001,"&lt;&gt;")=0,"",SUMIFS(BD!$L$3:$L$5001,BD!$A$3:$A$5001,AF$3,BD!$B$3:$B$5001,$A$309)))</f>
        <v/>
      </c>
      <c r="AG318" s="172" t="str">
        <f>IF(AG$3="","",IF(COUNTIFS(BD!$A$3:$A$5001,AG$3,BD!$B$3:$B$5001,$A$309,BD!$L$3:$L$5001,"&lt;&gt;")=0,"",SUMIFS(BD!$L$3:$L$5001,BD!$A$3:$A$5001,AG$3,BD!$B$3:$B$5001,$A$309)))</f>
        <v/>
      </c>
      <c r="AH318" s="172" t="str">
        <f>IF(AH$3="","",IF(COUNTIFS(BD!$A$3:$A$5001,AH$3,BD!$B$3:$B$5001,$A$309,BD!$L$3:$L$5001,"&lt;&gt;")=0,"",SUMIFS(BD!$L$3:$L$5001,BD!$A$3:$A$5001,AH$3,BD!$B$3:$B$5001,$A$309)))</f>
        <v/>
      </c>
      <c r="AI318" s="172" t="str">
        <f>IF(AI$3="","",IF(COUNTIFS(BD!$A$3:$A$5001,AI$3,BD!$B$3:$B$5001,$A$309,BD!$L$3:$L$5001,"&lt;&gt;")=0,"",SUMIFS(BD!$L$3:$L$5001,BD!$A$3:$A$5001,AI$3,BD!$B$3:$B$5001,$A$309)))</f>
        <v/>
      </c>
      <c r="AJ318" s="173" t="str">
        <f>IF(AJ$3="","",IF(COUNTIFS(BD!$A$3:$A$5001,AJ$3,BD!$B$3:$B$5001,$A$309,BD!$L$3:$L$5001,"&lt;&gt;")=0,"",SUMIFS(BD!$L$3:$L$5001,BD!$A$3:$A$5001,AJ$3,BD!$B$3:$B$5001,$A$309)))</f>
        <v/>
      </c>
      <c r="AK318" s="174" t="str">
        <f>IF(COUNT(F318:AJ318)=0,"",SUM(F318:AJ318))</f>
        <v/>
      </c>
    </row>
    <row r="319" ht="15.75" customHeight="1" hidden="1">
      <c r="A319" s="244"/>
      <c r="B319" s="261"/>
      <c r="C319" s="250" t="inlineStr">
        <is>
          <t xml:space="preserve">Pedidos Expedidos</t>
        </is>
      </c>
      <c r="D319" s="251" t="str">
        <f>IFERROR(1/(1/INDEX(BD!$AJ$33:$BD$33,MATCH($A$309,BD!$AJ$22:$BD$22,0))),"")</f>
        <v/>
      </c>
      <c r="E319" s="252"/>
      <c r="F319" s="253" t="str">
        <f>IF(F$3="","",IF(COUNTIFS(BD!$A$3:$A$5001,F$3,BD!$B$3:$B$5001,$A$309,BD!$M$3:$M$5001,"&lt;&gt;")=0,"",SUMIFS(BD!$M$3:$M$5001,BD!$A$3:$A$5001,F$3,BD!$B$3:$B$5001,$A$309)))</f>
        <v/>
      </c>
      <c r="G319" s="254" t="str">
        <f>IF(G$3="","",IF(COUNTIFS(BD!$A$3:$A$5001,G$3,BD!$B$3:$B$5001,$A$309,BD!$M$3:$M$5001,"&lt;&gt;")=0,"",SUMIFS(BD!$M$3:$M$5001,BD!$A$3:$A$5001,G$3,BD!$B$3:$B$5001,$A$309)))</f>
        <v/>
      </c>
      <c r="H319" s="254" t="str">
        <f>IF(H$3="","",IF(COUNTIFS(BD!$A$3:$A$5001,H$3,BD!$B$3:$B$5001,$A$309,BD!$M$3:$M$5001,"&lt;&gt;")=0,"",SUMIFS(BD!$M$3:$M$5001,BD!$A$3:$A$5001,H$3,BD!$B$3:$B$5001,$A$309)))</f>
        <v/>
      </c>
      <c r="I319" s="254" t="str">
        <f>IF(I$3="","",IF(COUNTIFS(BD!$A$3:$A$5001,I$3,BD!$B$3:$B$5001,$A$309,BD!$M$3:$M$5001,"&lt;&gt;")=0,"",SUMIFS(BD!$M$3:$M$5001,BD!$A$3:$A$5001,I$3,BD!$B$3:$B$5001,$A$309)))</f>
        <v/>
      </c>
      <c r="J319" s="254" t="str">
        <f>IF(J$3="","",IF(COUNTIFS(BD!$A$3:$A$5001,J$3,BD!$B$3:$B$5001,$A$309,BD!$M$3:$M$5001,"&lt;&gt;")=0,"",SUMIFS(BD!$M$3:$M$5001,BD!$A$3:$A$5001,J$3,BD!$B$3:$B$5001,$A$309)))</f>
        <v/>
      </c>
      <c r="K319" s="254" t="str">
        <f>IF(K$3="","",IF(COUNTIFS(BD!$A$3:$A$5001,K$3,BD!$B$3:$B$5001,$A$309,BD!$M$3:$M$5001,"&lt;&gt;")=0,"",SUMIFS(BD!$M$3:$M$5001,BD!$A$3:$A$5001,K$3,BD!$B$3:$B$5001,$A$309)))</f>
        <v/>
      </c>
      <c r="L319" s="254" t="str">
        <f>IF(L$3="","",IF(COUNTIFS(BD!$A$3:$A$5001,L$3,BD!$B$3:$B$5001,$A$309,BD!$M$3:$M$5001,"&lt;&gt;")=0,"",SUMIFS(BD!$M$3:$M$5001,BD!$A$3:$A$5001,L$3,BD!$B$3:$B$5001,$A$309)))</f>
        <v/>
      </c>
      <c r="M319" s="254" t="str">
        <f>IF(M$3="","",IF(COUNTIFS(BD!$A$3:$A$5001,M$3,BD!$B$3:$B$5001,$A$309,BD!$M$3:$M$5001,"&lt;&gt;")=0,"",SUMIFS(BD!$M$3:$M$5001,BD!$A$3:$A$5001,M$3,BD!$B$3:$B$5001,$A$309)))</f>
        <v/>
      </c>
      <c r="N319" s="254" t="str">
        <f>IF(N$3="","",IF(COUNTIFS(BD!$A$3:$A$5001,N$3,BD!$B$3:$B$5001,$A$309,BD!$M$3:$M$5001,"&lt;&gt;")=0,"",SUMIFS(BD!$M$3:$M$5001,BD!$A$3:$A$5001,N$3,BD!$B$3:$B$5001,$A$309)))</f>
        <v/>
      </c>
      <c r="O319" s="254" t="str">
        <f>IF(O$3="","",IF(COUNTIFS(BD!$A$3:$A$5001,O$3,BD!$B$3:$B$5001,$A$309,BD!$M$3:$M$5001,"&lt;&gt;")=0,"",SUMIFS(BD!$M$3:$M$5001,BD!$A$3:$A$5001,O$3,BD!$B$3:$B$5001,$A$309)))</f>
        <v/>
      </c>
      <c r="P319" s="254" t="str">
        <f>IF(P$3="","",IF(COUNTIFS(BD!$A$3:$A$5001,P$3,BD!$B$3:$B$5001,$A$309,BD!$M$3:$M$5001,"&lt;&gt;")=0,"",SUMIFS(BD!$M$3:$M$5001,BD!$A$3:$A$5001,P$3,BD!$B$3:$B$5001,$A$309)))</f>
        <v/>
      </c>
      <c r="Q319" s="254" t="str">
        <f>IF(Q$3="","",IF(COUNTIFS(BD!$A$3:$A$5001,Q$3,BD!$B$3:$B$5001,$A$309,BD!$M$3:$M$5001,"&lt;&gt;")=0,"",SUMIFS(BD!$M$3:$M$5001,BD!$A$3:$A$5001,Q$3,BD!$B$3:$B$5001,$A$309)))</f>
        <v/>
      </c>
      <c r="R319" s="254" t="str">
        <f>IF(R$3="","",IF(COUNTIFS(BD!$A$3:$A$5001,R$3,BD!$B$3:$B$5001,$A$309,BD!$M$3:$M$5001,"&lt;&gt;")=0,"",SUMIFS(BD!$M$3:$M$5001,BD!$A$3:$A$5001,R$3,BD!$B$3:$B$5001,$A$309)))</f>
        <v/>
      </c>
      <c r="S319" s="254" t="str">
        <f>IF(S$3="","",IF(COUNTIFS(BD!$A$3:$A$5001,S$3,BD!$B$3:$B$5001,$A$309,BD!$M$3:$M$5001,"&lt;&gt;")=0,"",SUMIFS(BD!$M$3:$M$5001,BD!$A$3:$A$5001,S$3,BD!$B$3:$B$5001,$A$309)))</f>
        <v/>
      </c>
      <c r="T319" s="254" t="str">
        <f>IF(T$3="","",IF(COUNTIFS(BD!$A$3:$A$5001,T$3,BD!$B$3:$B$5001,$A$309,BD!$M$3:$M$5001,"&lt;&gt;")=0,"",SUMIFS(BD!$M$3:$M$5001,BD!$A$3:$A$5001,T$3,BD!$B$3:$B$5001,$A$309)))</f>
        <v/>
      </c>
      <c r="U319" s="254" t="str">
        <f>IF(U$3="","",IF(COUNTIFS(BD!$A$3:$A$5001,U$3,BD!$B$3:$B$5001,$A$309,BD!$M$3:$M$5001,"&lt;&gt;")=0,"",SUMIFS(BD!$M$3:$M$5001,BD!$A$3:$A$5001,U$3,BD!$B$3:$B$5001,$A$309)))</f>
        <v/>
      </c>
      <c r="V319" s="254" t="str">
        <f>IF(V$3="","",IF(COUNTIFS(BD!$A$3:$A$5001,V$3,BD!$B$3:$B$5001,$A$309,BD!$M$3:$M$5001,"&lt;&gt;")=0,"",SUMIFS(BD!$M$3:$M$5001,BD!$A$3:$A$5001,V$3,BD!$B$3:$B$5001,$A$309)))</f>
        <v/>
      </c>
      <c r="W319" s="254" t="str">
        <f>IF(W$3="","",IF(COUNTIFS(BD!$A$3:$A$5001,W$3,BD!$B$3:$B$5001,$A$309,BD!$M$3:$M$5001,"&lt;&gt;")=0,"",SUMIFS(BD!$M$3:$M$5001,BD!$A$3:$A$5001,W$3,BD!$B$3:$B$5001,$A$309)))</f>
        <v/>
      </c>
      <c r="X319" s="254" t="str">
        <f>IF(X$3="","",IF(COUNTIFS(BD!$A$3:$A$5001,X$3,BD!$B$3:$B$5001,$A$309,BD!$M$3:$M$5001,"&lt;&gt;")=0,"",SUMIFS(BD!$M$3:$M$5001,BD!$A$3:$A$5001,X$3,BD!$B$3:$B$5001,$A$309)))</f>
        <v/>
      </c>
      <c r="Y319" s="254" t="str">
        <f>IF(Y$3="","",IF(COUNTIFS(BD!$A$3:$A$5001,Y$3,BD!$B$3:$B$5001,$A$309,BD!$M$3:$M$5001,"&lt;&gt;")=0,"",SUMIFS(BD!$M$3:$M$5001,BD!$A$3:$A$5001,Y$3,BD!$B$3:$B$5001,$A$309)))</f>
        <v/>
      </c>
      <c r="Z319" s="254" t="str">
        <f>IF(Z$3="","",IF(COUNTIFS(BD!$A$3:$A$5001,Z$3,BD!$B$3:$B$5001,$A$309,BD!$M$3:$M$5001,"&lt;&gt;")=0,"",SUMIFS(BD!$M$3:$M$5001,BD!$A$3:$A$5001,Z$3,BD!$B$3:$B$5001,$A$309)))</f>
        <v/>
      </c>
      <c r="AA319" s="254" t="str">
        <f>IF(AA$3="","",IF(COUNTIFS(BD!$A$3:$A$5001,AA$3,BD!$B$3:$B$5001,$A$309,BD!$M$3:$M$5001,"&lt;&gt;")=0,"",SUMIFS(BD!$M$3:$M$5001,BD!$A$3:$A$5001,AA$3,BD!$B$3:$B$5001,$A$309)))</f>
        <v/>
      </c>
      <c r="AB319" s="254" t="str">
        <f>IF(AB$3="","",IF(COUNTIFS(BD!$A$3:$A$5001,AB$3,BD!$B$3:$B$5001,$A$309,BD!$M$3:$M$5001,"&lt;&gt;")=0,"",SUMIFS(BD!$M$3:$M$5001,BD!$A$3:$A$5001,AB$3,BD!$B$3:$B$5001,$A$309)))</f>
        <v/>
      </c>
      <c r="AC319" s="254" t="str">
        <f>IF(AC$3="","",IF(COUNTIFS(BD!$A$3:$A$5001,AC$3,BD!$B$3:$B$5001,$A$309,BD!$M$3:$M$5001,"&lt;&gt;")=0,"",SUMIFS(BD!$M$3:$M$5001,BD!$A$3:$A$5001,AC$3,BD!$B$3:$B$5001,$A$309)))</f>
        <v/>
      </c>
      <c r="AD319" s="254" t="str">
        <f>IF(AD$3="","",IF(COUNTIFS(BD!$A$3:$A$5001,AD$3,BD!$B$3:$B$5001,$A$309,BD!$M$3:$M$5001,"&lt;&gt;")=0,"",SUMIFS(BD!$M$3:$M$5001,BD!$A$3:$A$5001,AD$3,BD!$B$3:$B$5001,$A$309)))</f>
        <v/>
      </c>
      <c r="AE319" s="254" t="str">
        <f>IF(AE$3="","",IF(COUNTIFS(BD!$A$3:$A$5001,AE$3,BD!$B$3:$B$5001,$A$309,BD!$M$3:$M$5001,"&lt;&gt;")=0,"",SUMIFS(BD!$M$3:$M$5001,BD!$A$3:$A$5001,AE$3,BD!$B$3:$B$5001,$A$309)))</f>
        <v/>
      </c>
      <c r="AF319" s="254" t="str">
        <f>IF(AF$3="","",IF(COUNTIFS(BD!$A$3:$A$5001,AF$3,BD!$B$3:$B$5001,$A$309,BD!$M$3:$M$5001,"&lt;&gt;")=0,"",SUMIFS(BD!$M$3:$M$5001,BD!$A$3:$A$5001,AF$3,BD!$B$3:$B$5001,$A$309)))</f>
        <v/>
      </c>
      <c r="AG319" s="254" t="str">
        <f>IF(AG$3="","",IF(COUNTIFS(BD!$A$3:$A$5001,AG$3,BD!$B$3:$B$5001,$A$309,BD!$M$3:$M$5001,"&lt;&gt;")=0,"",SUMIFS(BD!$M$3:$M$5001,BD!$A$3:$A$5001,AG$3,BD!$B$3:$B$5001,$A$309)))</f>
        <v/>
      </c>
      <c r="AH319" s="254" t="str">
        <f>IF(AH$3="","",IF(COUNTIFS(BD!$A$3:$A$5001,AH$3,BD!$B$3:$B$5001,$A$309,BD!$M$3:$M$5001,"&lt;&gt;")=0,"",SUMIFS(BD!$M$3:$M$5001,BD!$A$3:$A$5001,AH$3,BD!$B$3:$B$5001,$A$309)))</f>
        <v/>
      </c>
      <c r="AI319" s="254" t="str">
        <f>IF(AI$3="","",IF(COUNTIFS(BD!$A$3:$A$5001,AI$3,BD!$B$3:$B$5001,$A$309,BD!$M$3:$M$5001,"&lt;&gt;")=0,"",SUMIFS(BD!$M$3:$M$5001,BD!$A$3:$A$5001,AI$3,BD!$B$3:$B$5001,$A$309)))</f>
        <v/>
      </c>
      <c r="AJ319" s="255" t="str">
        <f>IF(AJ$3="","",IF(COUNTIFS(BD!$A$3:$A$5001,AJ$3,BD!$B$3:$B$5001,$A$309,BD!$M$3:$M$5001,"&lt;&gt;")=0,"",SUMIFS(BD!$M$3:$M$5001,BD!$A$3:$A$5001,AJ$3,BD!$B$3:$B$5001,$A$309)))</f>
        <v/>
      </c>
      <c r="AK319" s="256" t="str">
        <f>IF(COUNT(F319:AJ319)=0,"",SUM(F319:AJ319))</f>
        <v/>
      </c>
    </row>
    <row r="320" ht="15.75" customHeight="1" hidden="1">
      <c r="A320" s="244"/>
      <c r="B320" s="261"/>
      <c r="C320" s="250" t="inlineStr">
        <is>
          <t xml:space="preserve">Pedidos Faturados</t>
        </is>
      </c>
      <c r="D320" s="251" t="str">
        <f>IFERROR(1/(1/INDEX(BD!$AJ$34:$BD$34,MATCH($A$309,BD!$AJ$22:$BD$22,0))),"")</f>
        <v/>
      </c>
      <c r="E320" s="252"/>
      <c r="F320" s="253" t="str">
        <f>IF(F$3="","",IF(COUNTIFS(BD!$A$3:$A$5001,F$3,BD!$B$3:$B$5001,$A$309,BD!$N$3:$N$5001,"&lt;&gt;")=0,"",SUMIFS(BD!$N$3:$N$5001,BD!$A$3:$A$5001,F$3,BD!$B$3:$B$5001,$A$309)))</f>
        <v/>
      </c>
      <c r="G320" s="254" t="str">
        <f>IF(G$3="","",IF(COUNTIFS(BD!$A$3:$A$5001,G$3,BD!$B$3:$B$5001,$A$309,BD!$N$3:$N$5001,"&lt;&gt;")=0,"",SUMIFS(BD!$N$3:$N$5001,BD!$A$3:$A$5001,G$3,BD!$B$3:$B$5001,$A$309)))</f>
        <v/>
      </c>
      <c r="H320" s="254" t="str">
        <f>IF(H$3="","",IF(COUNTIFS(BD!$A$3:$A$5001,H$3,BD!$B$3:$B$5001,$A$309,BD!$N$3:$N$5001,"&lt;&gt;")=0,"",SUMIFS(BD!$N$3:$N$5001,BD!$A$3:$A$5001,H$3,BD!$B$3:$B$5001,$A$309)))</f>
        <v/>
      </c>
      <c r="I320" s="254" t="str">
        <f>IF(I$3="","",IF(COUNTIFS(BD!$A$3:$A$5001,I$3,BD!$B$3:$B$5001,$A$309,BD!$N$3:$N$5001,"&lt;&gt;")=0,"",SUMIFS(BD!$N$3:$N$5001,BD!$A$3:$A$5001,I$3,BD!$B$3:$B$5001,$A$309)))</f>
        <v/>
      </c>
      <c r="J320" s="254" t="str">
        <f>IF(J$3="","",IF(COUNTIFS(BD!$A$3:$A$5001,J$3,BD!$B$3:$B$5001,$A$309,BD!$N$3:$N$5001,"&lt;&gt;")=0,"",SUMIFS(BD!$N$3:$N$5001,BD!$A$3:$A$5001,J$3,BD!$B$3:$B$5001,$A$309)))</f>
        <v/>
      </c>
      <c r="K320" s="254" t="str">
        <f>IF(K$3="","",IF(COUNTIFS(BD!$A$3:$A$5001,K$3,BD!$B$3:$B$5001,$A$309,BD!$N$3:$N$5001,"&lt;&gt;")=0,"",SUMIFS(BD!$N$3:$N$5001,BD!$A$3:$A$5001,K$3,BD!$B$3:$B$5001,$A$309)))</f>
        <v/>
      </c>
      <c r="L320" s="254" t="str">
        <f>IF(L$3="","",IF(COUNTIFS(BD!$A$3:$A$5001,L$3,BD!$B$3:$B$5001,$A$309,BD!$N$3:$N$5001,"&lt;&gt;")=0,"",SUMIFS(BD!$N$3:$N$5001,BD!$A$3:$A$5001,L$3,BD!$B$3:$B$5001,$A$309)))</f>
        <v/>
      </c>
      <c r="M320" s="254" t="str">
        <f>IF(M$3="","",IF(COUNTIFS(BD!$A$3:$A$5001,M$3,BD!$B$3:$B$5001,$A$309,BD!$N$3:$N$5001,"&lt;&gt;")=0,"",SUMIFS(BD!$N$3:$N$5001,BD!$A$3:$A$5001,M$3,BD!$B$3:$B$5001,$A$309)))</f>
        <v/>
      </c>
      <c r="N320" s="254" t="str">
        <f>IF(N$3="","",IF(COUNTIFS(BD!$A$3:$A$5001,N$3,BD!$B$3:$B$5001,$A$309,BD!$N$3:$N$5001,"&lt;&gt;")=0,"",SUMIFS(BD!$N$3:$N$5001,BD!$A$3:$A$5001,N$3,BD!$B$3:$B$5001,$A$309)))</f>
        <v/>
      </c>
      <c r="O320" s="254" t="str">
        <f>IF(O$3="","",IF(COUNTIFS(BD!$A$3:$A$5001,O$3,BD!$B$3:$B$5001,$A$309,BD!$N$3:$N$5001,"&lt;&gt;")=0,"",SUMIFS(BD!$N$3:$N$5001,BD!$A$3:$A$5001,O$3,BD!$B$3:$B$5001,$A$309)))</f>
        <v/>
      </c>
      <c r="P320" s="254" t="str">
        <f>IF(P$3="","",IF(COUNTIFS(BD!$A$3:$A$5001,P$3,BD!$B$3:$B$5001,$A$309,BD!$N$3:$N$5001,"&lt;&gt;")=0,"",SUMIFS(BD!$N$3:$N$5001,BD!$A$3:$A$5001,P$3,BD!$B$3:$B$5001,$A$309)))</f>
        <v/>
      </c>
      <c r="Q320" s="254" t="str">
        <f>IF(Q$3="","",IF(COUNTIFS(BD!$A$3:$A$5001,Q$3,BD!$B$3:$B$5001,$A$309,BD!$N$3:$N$5001,"&lt;&gt;")=0,"",SUMIFS(BD!$N$3:$N$5001,BD!$A$3:$A$5001,Q$3,BD!$B$3:$B$5001,$A$309)))</f>
        <v/>
      </c>
      <c r="R320" s="254" t="str">
        <f>IF(R$3="","",IF(COUNTIFS(BD!$A$3:$A$5001,R$3,BD!$B$3:$B$5001,$A$309,BD!$N$3:$N$5001,"&lt;&gt;")=0,"",SUMIFS(BD!$N$3:$N$5001,BD!$A$3:$A$5001,R$3,BD!$B$3:$B$5001,$A$309)))</f>
        <v/>
      </c>
      <c r="S320" s="254" t="str">
        <f>IF(S$3="","",IF(COUNTIFS(BD!$A$3:$A$5001,S$3,BD!$B$3:$B$5001,$A$309,BD!$N$3:$N$5001,"&lt;&gt;")=0,"",SUMIFS(BD!$N$3:$N$5001,BD!$A$3:$A$5001,S$3,BD!$B$3:$B$5001,$A$309)))</f>
        <v/>
      </c>
      <c r="T320" s="254" t="str">
        <f>IF(T$3="","",IF(COUNTIFS(BD!$A$3:$A$5001,T$3,BD!$B$3:$B$5001,$A$309,BD!$N$3:$N$5001,"&lt;&gt;")=0,"",SUMIFS(BD!$N$3:$N$5001,BD!$A$3:$A$5001,T$3,BD!$B$3:$B$5001,$A$309)))</f>
        <v/>
      </c>
      <c r="U320" s="254" t="str">
        <f>IF(U$3="","",IF(COUNTIFS(BD!$A$3:$A$5001,U$3,BD!$B$3:$B$5001,$A$309,BD!$N$3:$N$5001,"&lt;&gt;")=0,"",SUMIFS(BD!$N$3:$N$5001,BD!$A$3:$A$5001,U$3,BD!$B$3:$B$5001,$A$309)))</f>
        <v/>
      </c>
      <c r="V320" s="254" t="str">
        <f>IF(V$3="","",IF(COUNTIFS(BD!$A$3:$A$5001,V$3,BD!$B$3:$B$5001,$A$309,BD!$N$3:$N$5001,"&lt;&gt;")=0,"",SUMIFS(BD!$N$3:$N$5001,BD!$A$3:$A$5001,V$3,BD!$B$3:$B$5001,$A$309)))</f>
        <v/>
      </c>
      <c r="W320" s="254" t="str">
        <f>IF(W$3="","",IF(COUNTIFS(BD!$A$3:$A$5001,W$3,BD!$B$3:$B$5001,$A$309,BD!$N$3:$N$5001,"&lt;&gt;")=0,"",SUMIFS(BD!$N$3:$N$5001,BD!$A$3:$A$5001,W$3,BD!$B$3:$B$5001,$A$309)))</f>
        <v/>
      </c>
      <c r="X320" s="254" t="str">
        <f>IF(X$3="","",IF(COUNTIFS(BD!$A$3:$A$5001,X$3,BD!$B$3:$B$5001,$A$309,BD!$N$3:$N$5001,"&lt;&gt;")=0,"",SUMIFS(BD!$N$3:$N$5001,BD!$A$3:$A$5001,X$3,BD!$B$3:$B$5001,$A$309)))</f>
        <v/>
      </c>
      <c r="Y320" s="254" t="str">
        <f>IF(Y$3="","",IF(COUNTIFS(BD!$A$3:$A$5001,Y$3,BD!$B$3:$B$5001,$A$309,BD!$N$3:$N$5001,"&lt;&gt;")=0,"",SUMIFS(BD!$N$3:$N$5001,BD!$A$3:$A$5001,Y$3,BD!$B$3:$B$5001,$A$309)))</f>
        <v/>
      </c>
      <c r="Z320" s="254" t="str">
        <f>IF(Z$3="","",IF(COUNTIFS(BD!$A$3:$A$5001,Z$3,BD!$B$3:$B$5001,$A$309,BD!$N$3:$N$5001,"&lt;&gt;")=0,"",SUMIFS(BD!$N$3:$N$5001,BD!$A$3:$A$5001,Z$3,BD!$B$3:$B$5001,$A$309)))</f>
        <v/>
      </c>
      <c r="AA320" s="254" t="str">
        <f>IF(AA$3="","",IF(COUNTIFS(BD!$A$3:$A$5001,AA$3,BD!$B$3:$B$5001,$A$309,BD!$N$3:$N$5001,"&lt;&gt;")=0,"",SUMIFS(BD!$N$3:$N$5001,BD!$A$3:$A$5001,AA$3,BD!$B$3:$B$5001,$A$309)))</f>
        <v/>
      </c>
      <c r="AB320" s="254" t="str">
        <f>IF(AB$3="","",IF(COUNTIFS(BD!$A$3:$A$5001,AB$3,BD!$B$3:$B$5001,$A$309,BD!$N$3:$N$5001,"&lt;&gt;")=0,"",SUMIFS(BD!$N$3:$N$5001,BD!$A$3:$A$5001,AB$3,BD!$B$3:$B$5001,$A$309)))</f>
        <v/>
      </c>
      <c r="AC320" s="254" t="str">
        <f>IF(AC$3="","",IF(COUNTIFS(BD!$A$3:$A$5001,AC$3,BD!$B$3:$B$5001,$A$309,BD!$N$3:$N$5001,"&lt;&gt;")=0,"",SUMIFS(BD!$N$3:$N$5001,BD!$A$3:$A$5001,AC$3,BD!$B$3:$B$5001,$A$309)))</f>
        <v/>
      </c>
      <c r="AD320" s="254" t="str">
        <f>IF(AD$3="","",IF(COUNTIFS(BD!$A$3:$A$5001,AD$3,BD!$B$3:$B$5001,$A$309,BD!$N$3:$N$5001,"&lt;&gt;")=0,"",SUMIFS(BD!$N$3:$N$5001,BD!$A$3:$A$5001,AD$3,BD!$B$3:$B$5001,$A$309)))</f>
        <v/>
      </c>
      <c r="AE320" s="254" t="str">
        <f>IF(AE$3="","",IF(COUNTIFS(BD!$A$3:$A$5001,AE$3,BD!$B$3:$B$5001,$A$309,BD!$N$3:$N$5001,"&lt;&gt;")=0,"",SUMIFS(BD!$N$3:$N$5001,BD!$A$3:$A$5001,AE$3,BD!$B$3:$B$5001,$A$309)))</f>
        <v/>
      </c>
      <c r="AF320" s="254" t="str">
        <f>IF(AF$3="","",IF(COUNTIFS(BD!$A$3:$A$5001,AF$3,BD!$B$3:$B$5001,$A$309,BD!$N$3:$N$5001,"&lt;&gt;")=0,"",SUMIFS(BD!$N$3:$N$5001,BD!$A$3:$A$5001,AF$3,BD!$B$3:$B$5001,$A$309)))</f>
        <v/>
      </c>
      <c r="AG320" s="254" t="str">
        <f>IF(AG$3="","",IF(COUNTIFS(BD!$A$3:$A$5001,AG$3,BD!$B$3:$B$5001,$A$309,BD!$N$3:$N$5001,"&lt;&gt;")=0,"",SUMIFS(BD!$N$3:$N$5001,BD!$A$3:$A$5001,AG$3,BD!$B$3:$B$5001,$A$309)))</f>
        <v/>
      </c>
      <c r="AH320" s="254" t="str">
        <f>IF(AH$3="","",IF(COUNTIFS(BD!$A$3:$A$5001,AH$3,BD!$B$3:$B$5001,$A$309,BD!$N$3:$N$5001,"&lt;&gt;")=0,"",SUMIFS(BD!$N$3:$N$5001,BD!$A$3:$A$5001,AH$3,BD!$B$3:$B$5001,$A$309)))</f>
        <v/>
      </c>
      <c r="AI320" s="254" t="str">
        <f>IF(AI$3="","",IF(COUNTIFS(BD!$A$3:$A$5001,AI$3,BD!$B$3:$B$5001,$A$309,BD!$N$3:$N$5001,"&lt;&gt;")=0,"",SUMIFS(BD!$N$3:$N$5001,BD!$A$3:$A$5001,AI$3,BD!$B$3:$B$5001,$A$309)))</f>
        <v/>
      </c>
      <c r="AJ320" s="255" t="str">
        <f>IF(AJ$3="","",IF(COUNTIFS(BD!$A$3:$A$5001,AJ$3,BD!$B$3:$B$5001,$A$309,BD!$N$3:$N$5001,"&lt;&gt;")=0,"",SUMIFS(BD!$N$3:$N$5001,BD!$A$3:$A$5001,AJ$3,BD!$B$3:$B$5001,$A$309)))</f>
        <v/>
      </c>
      <c r="AK320" s="256" t="str">
        <f>IF(COUNT(F320:AJ320)=0,"",SUM(F320:AJ320))</f>
        <v/>
      </c>
    </row>
    <row r="321" ht="15.75" customHeight="1" hidden="1">
      <c r="A321" s="244"/>
      <c r="B321" s="261"/>
      <c r="C321" s="250" t="inlineStr">
        <is>
          <t xml:space="preserve">Itens Expedidos</t>
        </is>
      </c>
      <c r="D321" s="251" t="str">
        <f>IFERROR(1/(1/INDEX(BD!$AJ$35:$BD$35,MATCH($A$309,BD!$AJ$22:$BD$22,0))),"")</f>
        <v/>
      </c>
      <c r="E321" s="252"/>
      <c r="F321" s="253" t="str">
        <f>IF(F$3="","",IF(COUNTIFS(BD!$A$3:$A$5001,F$3,BD!$B$3:$B$5001,$A$309,BD!$O$3:$O$5001,"&lt;&gt;")=0,"",SUMIFS(BD!$O$3:$O$5001,BD!$A$3:$A$5001,F$3,BD!$B$3:$B$5001,$A$309)))</f>
        <v/>
      </c>
      <c r="G321" s="254" t="str">
        <f>IF(G$3="","",IF(COUNTIFS(BD!$A$3:$A$5001,G$3,BD!$B$3:$B$5001,$A$309,BD!$O$3:$O$5001,"&lt;&gt;")=0,"",SUMIFS(BD!$O$3:$O$5001,BD!$A$3:$A$5001,G$3,BD!$B$3:$B$5001,$A$309)))</f>
        <v/>
      </c>
      <c r="H321" s="254" t="str">
        <f>IF(H$3="","",IF(COUNTIFS(BD!$A$3:$A$5001,H$3,BD!$B$3:$B$5001,$A$309,BD!$O$3:$O$5001,"&lt;&gt;")=0,"",SUMIFS(BD!$O$3:$O$5001,BD!$A$3:$A$5001,H$3,BD!$B$3:$B$5001,$A$309)))</f>
        <v/>
      </c>
      <c r="I321" s="254" t="str">
        <f>IF(I$3="","",IF(COUNTIFS(BD!$A$3:$A$5001,I$3,BD!$B$3:$B$5001,$A$309,BD!$O$3:$O$5001,"&lt;&gt;")=0,"",SUMIFS(BD!$O$3:$O$5001,BD!$A$3:$A$5001,I$3,BD!$B$3:$B$5001,$A$309)))</f>
        <v/>
      </c>
      <c r="J321" s="254" t="str">
        <f>IF(J$3="","",IF(COUNTIFS(BD!$A$3:$A$5001,J$3,BD!$B$3:$B$5001,$A$309,BD!$O$3:$O$5001,"&lt;&gt;")=0,"",SUMIFS(BD!$O$3:$O$5001,BD!$A$3:$A$5001,J$3,BD!$B$3:$B$5001,$A$309)))</f>
        <v/>
      </c>
      <c r="K321" s="254" t="str">
        <f>IF(K$3="","",IF(COUNTIFS(BD!$A$3:$A$5001,K$3,BD!$B$3:$B$5001,$A$309,BD!$O$3:$O$5001,"&lt;&gt;")=0,"",SUMIFS(BD!$O$3:$O$5001,BD!$A$3:$A$5001,K$3,BD!$B$3:$B$5001,$A$309)))</f>
        <v/>
      </c>
      <c r="L321" s="254" t="str">
        <f>IF(L$3="","",IF(COUNTIFS(BD!$A$3:$A$5001,L$3,BD!$B$3:$B$5001,$A$309,BD!$O$3:$O$5001,"&lt;&gt;")=0,"",SUMIFS(BD!$O$3:$O$5001,BD!$A$3:$A$5001,L$3,BD!$B$3:$B$5001,$A$309)))</f>
        <v/>
      </c>
      <c r="M321" s="254" t="str">
        <f>IF(M$3="","",IF(COUNTIFS(BD!$A$3:$A$5001,M$3,BD!$B$3:$B$5001,$A$309,BD!$O$3:$O$5001,"&lt;&gt;")=0,"",SUMIFS(BD!$O$3:$O$5001,BD!$A$3:$A$5001,M$3,BD!$B$3:$B$5001,$A$309)))</f>
        <v/>
      </c>
      <c r="N321" s="254" t="str">
        <f>IF(N$3="","",IF(COUNTIFS(BD!$A$3:$A$5001,N$3,BD!$B$3:$B$5001,$A$309,BD!$O$3:$O$5001,"&lt;&gt;")=0,"",SUMIFS(BD!$O$3:$O$5001,BD!$A$3:$A$5001,N$3,BD!$B$3:$B$5001,$A$309)))</f>
        <v/>
      </c>
      <c r="O321" s="254" t="str">
        <f>IF(O$3="","",IF(COUNTIFS(BD!$A$3:$A$5001,O$3,BD!$B$3:$B$5001,$A$309,BD!$O$3:$O$5001,"&lt;&gt;")=0,"",SUMIFS(BD!$O$3:$O$5001,BD!$A$3:$A$5001,O$3,BD!$B$3:$B$5001,$A$309)))</f>
        <v/>
      </c>
      <c r="P321" s="254" t="str">
        <f>IF(P$3="","",IF(COUNTIFS(BD!$A$3:$A$5001,P$3,BD!$B$3:$B$5001,$A$309,BD!$O$3:$O$5001,"&lt;&gt;")=0,"",SUMIFS(BD!$O$3:$O$5001,BD!$A$3:$A$5001,P$3,BD!$B$3:$B$5001,$A$309)))</f>
        <v/>
      </c>
      <c r="Q321" s="254" t="str">
        <f>IF(Q$3="","",IF(COUNTIFS(BD!$A$3:$A$5001,Q$3,BD!$B$3:$B$5001,$A$309,BD!$O$3:$O$5001,"&lt;&gt;")=0,"",SUMIFS(BD!$O$3:$O$5001,BD!$A$3:$A$5001,Q$3,BD!$B$3:$B$5001,$A$309)))</f>
        <v/>
      </c>
      <c r="R321" s="254" t="str">
        <f>IF(R$3="","",IF(COUNTIFS(BD!$A$3:$A$5001,R$3,BD!$B$3:$B$5001,$A$309,BD!$O$3:$O$5001,"&lt;&gt;")=0,"",SUMIFS(BD!$O$3:$O$5001,BD!$A$3:$A$5001,R$3,BD!$B$3:$B$5001,$A$309)))</f>
        <v/>
      </c>
      <c r="S321" s="254" t="str">
        <f>IF(S$3="","",IF(COUNTIFS(BD!$A$3:$A$5001,S$3,BD!$B$3:$B$5001,$A$309,BD!$O$3:$O$5001,"&lt;&gt;")=0,"",SUMIFS(BD!$O$3:$O$5001,BD!$A$3:$A$5001,S$3,BD!$B$3:$B$5001,$A$309)))</f>
        <v/>
      </c>
      <c r="T321" s="254" t="str">
        <f>IF(T$3="","",IF(COUNTIFS(BD!$A$3:$A$5001,T$3,BD!$B$3:$B$5001,$A$309,BD!$O$3:$O$5001,"&lt;&gt;")=0,"",SUMIFS(BD!$O$3:$O$5001,BD!$A$3:$A$5001,T$3,BD!$B$3:$B$5001,$A$309)))</f>
        <v/>
      </c>
      <c r="U321" s="254" t="str">
        <f>IF(U$3="","",IF(COUNTIFS(BD!$A$3:$A$5001,U$3,BD!$B$3:$B$5001,$A$309,BD!$O$3:$O$5001,"&lt;&gt;")=0,"",SUMIFS(BD!$O$3:$O$5001,BD!$A$3:$A$5001,U$3,BD!$B$3:$B$5001,$A$309)))</f>
        <v/>
      </c>
      <c r="V321" s="254" t="str">
        <f>IF(V$3="","",IF(COUNTIFS(BD!$A$3:$A$5001,V$3,BD!$B$3:$B$5001,$A$309,BD!$O$3:$O$5001,"&lt;&gt;")=0,"",SUMIFS(BD!$O$3:$O$5001,BD!$A$3:$A$5001,V$3,BD!$B$3:$B$5001,$A$309)))</f>
        <v/>
      </c>
      <c r="W321" s="254" t="str">
        <f>IF(W$3="","",IF(COUNTIFS(BD!$A$3:$A$5001,W$3,BD!$B$3:$B$5001,$A$309,BD!$O$3:$O$5001,"&lt;&gt;")=0,"",SUMIFS(BD!$O$3:$O$5001,BD!$A$3:$A$5001,W$3,BD!$B$3:$B$5001,$A$309)))</f>
        <v/>
      </c>
      <c r="X321" s="254" t="str">
        <f>IF(X$3="","",IF(COUNTIFS(BD!$A$3:$A$5001,X$3,BD!$B$3:$B$5001,$A$309,BD!$O$3:$O$5001,"&lt;&gt;")=0,"",SUMIFS(BD!$O$3:$O$5001,BD!$A$3:$A$5001,X$3,BD!$B$3:$B$5001,$A$309)))</f>
        <v/>
      </c>
      <c r="Y321" s="254" t="str">
        <f>IF(Y$3="","",IF(COUNTIFS(BD!$A$3:$A$5001,Y$3,BD!$B$3:$B$5001,$A$309,BD!$O$3:$O$5001,"&lt;&gt;")=0,"",SUMIFS(BD!$O$3:$O$5001,BD!$A$3:$A$5001,Y$3,BD!$B$3:$B$5001,$A$309)))</f>
        <v/>
      </c>
      <c r="Z321" s="254" t="str">
        <f>IF(Z$3="","",IF(COUNTIFS(BD!$A$3:$A$5001,Z$3,BD!$B$3:$B$5001,$A$309,BD!$O$3:$O$5001,"&lt;&gt;")=0,"",SUMIFS(BD!$O$3:$O$5001,BD!$A$3:$A$5001,Z$3,BD!$B$3:$B$5001,$A$309)))</f>
        <v/>
      </c>
      <c r="AA321" s="254" t="str">
        <f>IF(AA$3="","",IF(COUNTIFS(BD!$A$3:$A$5001,AA$3,BD!$B$3:$B$5001,$A$309,BD!$O$3:$O$5001,"&lt;&gt;")=0,"",SUMIFS(BD!$O$3:$O$5001,BD!$A$3:$A$5001,AA$3,BD!$B$3:$B$5001,$A$309)))</f>
        <v/>
      </c>
      <c r="AB321" s="254" t="str">
        <f>IF(AB$3="","",IF(COUNTIFS(BD!$A$3:$A$5001,AB$3,BD!$B$3:$B$5001,$A$309,BD!$O$3:$O$5001,"&lt;&gt;")=0,"",SUMIFS(BD!$O$3:$O$5001,BD!$A$3:$A$5001,AB$3,BD!$B$3:$B$5001,$A$309)))</f>
        <v/>
      </c>
      <c r="AC321" s="254" t="str">
        <f>IF(AC$3="","",IF(COUNTIFS(BD!$A$3:$A$5001,AC$3,BD!$B$3:$B$5001,$A$309,BD!$O$3:$O$5001,"&lt;&gt;")=0,"",SUMIFS(BD!$O$3:$O$5001,BD!$A$3:$A$5001,AC$3,BD!$B$3:$B$5001,$A$309)))</f>
        <v/>
      </c>
      <c r="AD321" s="254" t="str">
        <f>IF(AD$3="","",IF(COUNTIFS(BD!$A$3:$A$5001,AD$3,BD!$B$3:$B$5001,$A$309,BD!$O$3:$O$5001,"&lt;&gt;")=0,"",SUMIFS(BD!$O$3:$O$5001,BD!$A$3:$A$5001,AD$3,BD!$B$3:$B$5001,$A$309)))</f>
        <v/>
      </c>
      <c r="AE321" s="254" t="str">
        <f>IF(AE$3="","",IF(COUNTIFS(BD!$A$3:$A$5001,AE$3,BD!$B$3:$B$5001,$A$309,BD!$O$3:$O$5001,"&lt;&gt;")=0,"",SUMIFS(BD!$O$3:$O$5001,BD!$A$3:$A$5001,AE$3,BD!$B$3:$B$5001,$A$309)))</f>
        <v/>
      </c>
      <c r="AF321" s="254" t="str">
        <f>IF(AF$3="","",IF(COUNTIFS(BD!$A$3:$A$5001,AF$3,BD!$B$3:$B$5001,$A$309,BD!$O$3:$O$5001,"&lt;&gt;")=0,"",SUMIFS(BD!$O$3:$O$5001,BD!$A$3:$A$5001,AF$3,BD!$B$3:$B$5001,$A$309)))</f>
        <v/>
      </c>
      <c r="AG321" s="254" t="str">
        <f>IF(AG$3="","",IF(COUNTIFS(BD!$A$3:$A$5001,AG$3,BD!$B$3:$B$5001,$A$309,BD!$O$3:$O$5001,"&lt;&gt;")=0,"",SUMIFS(BD!$O$3:$O$5001,BD!$A$3:$A$5001,AG$3,BD!$B$3:$B$5001,$A$309)))</f>
        <v/>
      </c>
      <c r="AH321" s="254" t="str">
        <f>IF(AH$3="","",IF(COUNTIFS(BD!$A$3:$A$5001,AH$3,BD!$B$3:$B$5001,$A$309,BD!$O$3:$O$5001,"&lt;&gt;")=0,"",SUMIFS(BD!$O$3:$O$5001,BD!$A$3:$A$5001,AH$3,BD!$B$3:$B$5001,$A$309)))</f>
        <v/>
      </c>
      <c r="AI321" s="254" t="str">
        <f>IF(AI$3="","",IF(COUNTIFS(BD!$A$3:$A$5001,AI$3,BD!$B$3:$B$5001,$A$309,BD!$O$3:$O$5001,"&lt;&gt;")=0,"",SUMIFS(BD!$O$3:$O$5001,BD!$A$3:$A$5001,AI$3,BD!$B$3:$B$5001,$A$309)))</f>
        <v/>
      </c>
      <c r="AJ321" s="255" t="str">
        <f>IF(AJ$3="","",IF(COUNTIFS(BD!$A$3:$A$5001,AJ$3,BD!$B$3:$B$5001,$A$309,BD!$O$3:$O$5001,"&lt;&gt;")=0,"",SUMIFS(BD!$O$3:$O$5001,BD!$A$3:$A$5001,AJ$3,BD!$B$3:$B$5001,$A$309)))</f>
        <v/>
      </c>
      <c r="AK321" s="256" t="str">
        <f>IF(COUNT(F321:AJ321)=0,"",SUM(F321:AJ321))</f>
        <v/>
      </c>
    </row>
    <row r="322" ht="15.75" customHeight="1" hidden="1">
      <c r="A322" s="244"/>
      <c r="B322" s="261"/>
      <c r="C322" s="250" t="inlineStr">
        <is>
          <t xml:space="preserve">Linhas NF</t>
        </is>
      </c>
      <c r="D322" s="251" t="str">
        <f>IFERROR(1/(1/INDEX(BD!$AJ$36:$BD$36,MATCH($A$309,BD!$AJ$22:$BD$22,0))),"")</f>
        <v/>
      </c>
      <c r="E322" s="252"/>
      <c r="F322" s="253" t="str">
        <f>IF(F$3="","",IF(COUNTIFS(BD!$A$3:$A$5001,F$3,BD!$B$3:$B$5001,$A$309,BD!$P$3:$P$5001,"&lt;&gt;")=0,"",SUMIFS(BD!$P$3:$P$5001,BD!$A$3:$A$5001,F$3,BD!$B$3:$B$5001,$A$309)))</f>
        <v/>
      </c>
      <c r="G322" s="254" t="str">
        <f>IF(G$3="","",IF(COUNTIFS(BD!$A$3:$A$5001,G$3,BD!$B$3:$B$5001,$A$309,BD!$P$3:$P$5001,"&lt;&gt;")=0,"",SUMIFS(BD!$P$3:$P$5001,BD!$A$3:$A$5001,G$3,BD!$B$3:$B$5001,$A$309)))</f>
        <v/>
      </c>
      <c r="H322" s="254" t="str">
        <f>IF(H$3="","",IF(COUNTIFS(BD!$A$3:$A$5001,H$3,BD!$B$3:$B$5001,$A$309,BD!$P$3:$P$5001,"&lt;&gt;")=0,"",SUMIFS(BD!$P$3:$P$5001,BD!$A$3:$A$5001,H$3,BD!$B$3:$B$5001,$A$309)))</f>
        <v/>
      </c>
      <c r="I322" s="254" t="str">
        <f>IF(I$3="","",IF(COUNTIFS(BD!$A$3:$A$5001,I$3,BD!$B$3:$B$5001,$A$309,BD!$P$3:$P$5001,"&lt;&gt;")=0,"",SUMIFS(BD!$P$3:$P$5001,BD!$A$3:$A$5001,I$3,BD!$B$3:$B$5001,$A$309)))</f>
        <v/>
      </c>
      <c r="J322" s="254" t="str">
        <f>IF(J$3="","",IF(COUNTIFS(BD!$A$3:$A$5001,J$3,BD!$B$3:$B$5001,$A$309,BD!$P$3:$P$5001,"&lt;&gt;")=0,"",SUMIFS(BD!$P$3:$P$5001,BD!$A$3:$A$5001,J$3,BD!$B$3:$B$5001,$A$309)))</f>
        <v/>
      </c>
      <c r="K322" s="254" t="str">
        <f>IF(K$3="","",IF(COUNTIFS(BD!$A$3:$A$5001,K$3,BD!$B$3:$B$5001,$A$309,BD!$P$3:$P$5001,"&lt;&gt;")=0,"",SUMIFS(BD!$P$3:$P$5001,BD!$A$3:$A$5001,K$3,BD!$B$3:$B$5001,$A$309)))</f>
        <v/>
      </c>
      <c r="L322" s="254" t="str">
        <f>IF(L$3="","",IF(COUNTIFS(BD!$A$3:$A$5001,L$3,BD!$B$3:$B$5001,$A$309,BD!$P$3:$P$5001,"&lt;&gt;")=0,"",SUMIFS(BD!$P$3:$P$5001,BD!$A$3:$A$5001,L$3,BD!$B$3:$B$5001,$A$309)))</f>
        <v/>
      </c>
      <c r="M322" s="254" t="str">
        <f>IF(M$3="","",IF(COUNTIFS(BD!$A$3:$A$5001,M$3,BD!$B$3:$B$5001,$A$309,BD!$P$3:$P$5001,"&lt;&gt;")=0,"",SUMIFS(BD!$P$3:$P$5001,BD!$A$3:$A$5001,M$3,BD!$B$3:$B$5001,$A$309)))</f>
        <v/>
      </c>
      <c r="N322" s="254" t="str">
        <f>IF(N$3="","",IF(COUNTIFS(BD!$A$3:$A$5001,N$3,BD!$B$3:$B$5001,$A$309,BD!$P$3:$P$5001,"&lt;&gt;")=0,"",SUMIFS(BD!$P$3:$P$5001,BD!$A$3:$A$5001,N$3,BD!$B$3:$B$5001,$A$309)))</f>
        <v/>
      </c>
      <c r="O322" s="254" t="str">
        <f>IF(O$3="","",IF(COUNTIFS(BD!$A$3:$A$5001,O$3,BD!$B$3:$B$5001,$A$309,BD!$P$3:$P$5001,"&lt;&gt;")=0,"",SUMIFS(BD!$P$3:$P$5001,BD!$A$3:$A$5001,O$3,BD!$B$3:$B$5001,$A$309)))</f>
        <v/>
      </c>
      <c r="P322" s="254" t="str">
        <f>IF(P$3="","",IF(COUNTIFS(BD!$A$3:$A$5001,P$3,BD!$B$3:$B$5001,$A$309,BD!$P$3:$P$5001,"&lt;&gt;")=0,"",SUMIFS(BD!$P$3:$P$5001,BD!$A$3:$A$5001,P$3,BD!$B$3:$B$5001,$A$309)))</f>
        <v/>
      </c>
      <c r="Q322" s="254" t="str">
        <f>IF(Q$3="","",IF(COUNTIFS(BD!$A$3:$A$5001,Q$3,BD!$B$3:$B$5001,$A$309,BD!$P$3:$P$5001,"&lt;&gt;")=0,"",SUMIFS(BD!$P$3:$P$5001,BD!$A$3:$A$5001,Q$3,BD!$B$3:$B$5001,$A$309)))</f>
        <v/>
      </c>
      <c r="R322" s="254" t="str">
        <f>IF(R$3="","",IF(COUNTIFS(BD!$A$3:$A$5001,R$3,BD!$B$3:$B$5001,$A$309,BD!$P$3:$P$5001,"&lt;&gt;")=0,"",SUMIFS(BD!$P$3:$P$5001,BD!$A$3:$A$5001,R$3,BD!$B$3:$B$5001,$A$309)))</f>
        <v/>
      </c>
      <c r="S322" s="254" t="str">
        <f>IF(S$3="","",IF(COUNTIFS(BD!$A$3:$A$5001,S$3,BD!$B$3:$B$5001,$A$309,BD!$P$3:$P$5001,"&lt;&gt;")=0,"",SUMIFS(BD!$P$3:$P$5001,BD!$A$3:$A$5001,S$3,BD!$B$3:$B$5001,$A$309)))</f>
        <v/>
      </c>
      <c r="T322" s="254" t="str">
        <f>IF(T$3="","",IF(COUNTIFS(BD!$A$3:$A$5001,T$3,BD!$B$3:$B$5001,$A$309,BD!$P$3:$P$5001,"&lt;&gt;")=0,"",SUMIFS(BD!$P$3:$P$5001,BD!$A$3:$A$5001,T$3,BD!$B$3:$B$5001,$A$309)))</f>
        <v/>
      </c>
      <c r="U322" s="254" t="str">
        <f>IF(U$3="","",IF(COUNTIFS(BD!$A$3:$A$5001,U$3,BD!$B$3:$B$5001,$A$309,BD!$P$3:$P$5001,"&lt;&gt;")=0,"",SUMIFS(BD!$P$3:$P$5001,BD!$A$3:$A$5001,U$3,BD!$B$3:$B$5001,$A$309)))</f>
        <v/>
      </c>
      <c r="V322" s="254" t="str">
        <f>IF(V$3="","",IF(COUNTIFS(BD!$A$3:$A$5001,V$3,BD!$B$3:$B$5001,$A$309,BD!$P$3:$P$5001,"&lt;&gt;")=0,"",SUMIFS(BD!$P$3:$P$5001,BD!$A$3:$A$5001,V$3,BD!$B$3:$B$5001,$A$309)))</f>
        <v/>
      </c>
      <c r="W322" s="254" t="str">
        <f>IF(W$3="","",IF(COUNTIFS(BD!$A$3:$A$5001,W$3,BD!$B$3:$B$5001,$A$309,BD!$P$3:$P$5001,"&lt;&gt;")=0,"",SUMIFS(BD!$P$3:$P$5001,BD!$A$3:$A$5001,W$3,BD!$B$3:$B$5001,$A$309)))</f>
        <v/>
      </c>
      <c r="X322" s="254" t="str">
        <f>IF(X$3="","",IF(COUNTIFS(BD!$A$3:$A$5001,X$3,BD!$B$3:$B$5001,$A$309,BD!$P$3:$P$5001,"&lt;&gt;")=0,"",SUMIFS(BD!$P$3:$P$5001,BD!$A$3:$A$5001,X$3,BD!$B$3:$B$5001,$A$309)))</f>
        <v/>
      </c>
      <c r="Y322" s="254" t="str">
        <f>IF(Y$3="","",IF(COUNTIFS(BD!$A$3:$A$5001,Y$3,BD!$B$3:$B$5001,$A$309,BD!$P$3:$P$5001,"&lt;&gt;")=0,"",SUMIFS(BD!$P$3:$P$5001,BD!$A$3:$A$5001,Y$3,BD!$B$3:$B$5001,$A$309)))</f>
        <v/>
      </c>
      <c r="Z322" s="254" t="str">
        <f>IF(Z$3="","",IF(COUNTIFS(BD!$A$3:$A$5001,Z$3,BD!$B$3:$B$5001,$A$309,BD!$P$3:$P$5001,"&lt;&gt;")=0,"",SUMIFS(BD!$P$3:$P$5001,BD!$A$3:$A$5001,Z$3,BD!$B$3:$B$5001,$A$309)))</f>
        <v/>
      </c>
      <c r="AA322" s="254" t="str">
        <f>IF(AA$3="","",IF(COUNTIFS(BD!$A$3:$A$5001,AA$3,BD!$B$3:$B$5001,$A$309,BD!$P$3:$P$5001,"&lt;&gt;")=0,"",SUMIFS(BD!$P$3:$P$5001,BD!$A$3:$A$5001,AA$3,BD!$B$3:$B$5001,$A$309)))</f>
        <v/>
      </c>
      <c r="AB322" s="254" t="str">
        <f>IF(AB$3="","",IF(COUNTIFS(BD!$A$3:$A$5001,AB$3,BD!$B$3:$B$5001,$A$309,BD!$P$3:$P$5001,"&lt;&gt;")=0,"",SUMIFS(BD!$P$3:$P$5001,BD!$A$3:$A$5001,AB$3,BD!$B$3:$B$5001,$A$309)))</f>
        <v/>
      </c>
      <c r="AC322" s="254" t="str">
        <f>IF(AC$3="","",IF(COUNTIFS(BD!$A$3:$A$5001,AC$3,BD!$B$3:$B$5001,$A$309,BD!$P$3:$P$5001,"&lt;&gt;")=0,"",SUMIFS(BD!$P$3:$P$5001,BD!$A$3:$A$5001,AC$3,BD!$B$3:$B$5001,$A$309)))</f>
        <v/>
      </c>
      <c r="AD322" s="254" t="str">
        <f>IF(AD$3="","",IF(COUNTIFS(BD!$A$3:$A$5001,AD$3,BD!$B$3:$B$5001,$A$309,BD!$P$3:$P$5001,"&lt;&gt;")=0,"",SUMIFS(BD!$P$3:$P$5001,BD!$A$3:$A$5001,AD$3,BD!$B$3:$B$5001,$A$309)))</f>
        <v/>
      </c>
      <c r="AE322" s="254" t="str">
        <f>IF(AE$3="","",IF(COUNTIFS(BD!$A$3:$A$5001,AE$3,BD!$B$3:$B$5001,$A$309,BD!$P$3:$P$5001,"&lt;&gt;")=0,"",SUMIFS(BD!$P$3:$P$5001,BD!$A$3:$A$5001,AE$3,BD!$B$3:$B$5001,$A$309)))</f>
        <v/>
      </c>
      <c r="AF322" s="254" t="str">
        <f>IF(AF$3="","",IF(COUNTIFS(BD!$A$3:$A$5001,AF$3,BD!$B$3:$B$5001,$A$309,BD!$P$3:$P$5001,"&lt;&gt;")=0,"",SUMIFS(BD!$P$3:$P$5001,BD!$A$3:$A$5001,AF$3,BD!$B$3:$B$5001,$A$309)))</f>
        <v/>
      </c>
      <c r="AG322" s="254" t="str">
        <f>IF(AG$3="","",IF(COUNTIFS(BD!$A$3:$A$5001,AG$3,BD!$B$3:$B$5001,$A$309,BD!$P$3:$P$5001,"&lt;&gt;")=0,"",SUMIFS(BD!$P$3:$P$5001,BD!$A$3:$A$5001,AG$3,BD!$B$3:$B$5001,$A$309)))</f>
        <v/>
      </c>
      <c r="AH322" s="254" t="str">
        <f>IF(AH$3="","",IF(COUNTIFS(BD!$A$3:$A$5001,AH$3,BD!$B$3:$B$5001,$A$309,BD!$P$3:$P$5001,"&lt;&gt;")=0,"",SUMIFS(BD!$P$3:$P$5001,BD!$A$3:$A$5001,AH$3,BD!$B$3:$B$5001,$A$309)))</f>
        <v/>
      </c>
      <c r="AI322" s="254" t="str">
        <f>IF(AI$3="","",IF(COUNTIFS(BD!$A$3:$A$5001,AI$3,BD!$B$3:$B$5001,$A$309,BD!$P$3:$P$5001,"&lt;&gt;")=0,"",SUMIFS(BD!$P$3:$P$5001,BD!$A$3:$A$5001,AI$3,BD!$B$3:$B$5001,$A$309)))</f>
        <v/>
      </c>
      <c r="AJ322" s="255" t="str">
        <f>IF(AJ$3="","",IF(COUNTIFS(BD!$A$3:$A$5001,AJ$3,BD!$B$3:$B$5001,$A$309,BD!$P$3:$P$5001,"&lt;&gt;")=0,"",SUMIFS(BD!$P$3:$P$5001,BD!$A$3:$A$5001,AJ$3,BD!$B$3:$B$5001,$A$309)))</f>
        <v/>
      </c>
      <c r="AK322" s="256" t="str">
        <f>IF(COUNT(F322:AJ322)=0,"",SUM(F322:AJ322))</f>
        <v/>
      </c>
    </row>
    <row r="323" ht="15.75" customHeight="1" hidden="1">
      <c r="A323" s="244"/>
      <c r="B323" s="261"/>
      <c r="C323" s="250" t="inlineStr">
        <is>
          <t xml:space="preserve">Caixas Expedidas</t>
        </is>
      </c>
      <c r="D323" s="251" t="str">
        <f>IFERROR(1/(1/INDEX(BD!$AJ$37:$BD$37,MATCH($A$309,BD!$AJ$22:$BD$22,0))),"")</f>
        <v/>
      </c>
      <c r="E323" s="252"/>
      <c r="F323" s="253" t="str">
        <f>IF(F$3="","",IF(COUNTIFS(BD!$A$3:$A$5001,F$3,BD!$B$3:$B$5001,$A$309,BD!$Q$3:$Q$5001,"&lt;&gt;")=0,"",SUMIFS(BD!$Q$3:$Q$5001,BD!$A$3:$A$5001,F$3,BD!$B$3:$B$5001,$A$309)))</f>
        <v/>
      </c>
      <c r="G323" s="254" t="str">
        <f>IF(G$3="","",IF(COUNTIFS(BD!$A$3:$A$5001,G$3,BD!$B$3:$B$5001,$A$309,BD!$Q$3:$Q$5001,"&lt;&gt;")=0,"",SUMIFS(BD!$Q$3:$Q$5001,BD!$A$3:$A$5001,G$3,BD!$B$3:$B$5001,$A$309)))</f>
        <v/>
      </c>
      <c r="H323" s="254" t="str">
        <f>IF(H$3="","",IF(COUNTIFS(BD!$A$3:$A$5001,H$3,BD!$B$3:$B$5001,$A$309,BD!$Q$3:$Q$5001,"&lt;&gt;")=0,"",SUMIFS(BD!$Q$3:$Q$5001,BD!$A$3:$A$5001,H$3,BD!$B$3:$B$5001,$A$309)))</f>
        <v/>
      </c>
      <c r="I323" s="254" t="str">
        <f>IF(I$3="","",IF(COUNTIFS(BD!$A$3:$A$5001,I$3,BD!$B$3:$B$5001,$A$309,BD!$Q$3:$Q$5001,"&lt;&gt;")=0,"",SUMIFS(BD!$Q$3:$Q$5001,BD!$A$3:$A$5001,I$3,BD!$B$3:$B$5001,$A$309)))</f>
        <v/>
      </c>
      <c r="J323" s="254" t="str">
        <f>IF(J$3="","",IF(COUNTIFS(BD!$A$3:$A$5001,J$3,BD!$B$3:$B$5001,$A$309,BD!$Q$3:$Q$5001,"&lt;&gt;")=0,"",SUMIFS(BD!$Q$3:$Q$5001,BD!$A$3:$A$5001,J$3,BD!$B$3:$B$5001,$A$309)))</f>
        <v/>
      </c>
      <c r="K323" s="254" t="str">
        <f>IF(K$3="","",IF(COUNTIFS(BD!$A$3:$A$5001,K$3,BD!$B$3:$B$5001,$A$309,BD!$Q$3:$Q$5001,"&lt;&gt;")=0,"",SUMIFS(BD!$Q$3:$Q$5001,BD!$A$3:$A$5001,K$3,BD!$B$3:$B$5001,$A$309)))</f>
        <v/>
      </c>
      <c r="L323" s="254" t="str">
        <f>IF(L$3="","",IF(COUNTIFS(BD!$A$3:$A$5001,L$3,BD!$B$3:$B$5001,$A$309,BD!$Q$3:$Q$5001,"&lt;&gt;")=0,"",SUMIFS(BD!$Q$3:$Q$5001,BD!$A$3:$A$5001,L$3,BD!$B$3:$B$5001,$A$309)))</f>
        <v/>
      </c>
      <c r="M323" s="254" t="str">
        <f>IF(M$3="","",IF(COUNTIFS(BD!$A$3:$A$5001,M$3,BD!$B$3:$B$5001,$A$309,BD!$Q$3:$Q$5001,"&lt;&gt;")=0,"",SUMIFS(BD!$Q$3:$Q$5001,BD!$A$3:$A$5001,M$3,BD!$B$3:$B$5001,$A$309)))</f>
        <v/>
      </c>
      <c r="N323" s="254" t="str">
        <f>IF(N$3="","",IF(COUNTIFS(BD!$A$3:$A$5001,N$3,BD!$B$3:$B$5001,$A$309,BD!$Q$3:$Q$5001,"&lt;&gt;")=0,"",SUMIFS(BD!$Q$3:$Q$5001,BD!$A$3:$A$5001,N$3,BD!$B$3:$B$5001,$A$309)))</f>
        <v/>
      </c>
      <c r="O323" s="254" t="str">
        <f>IF(O$3="","",IF(COUNTIFS(BD!$A$3:$A$5001,O$3,BD!$B$3:$B$5001,$A$309,BD!$Q$3:$Q$5001,"&lt;&gt;")=0,"",SUMIFS(BD!$Q$3:$Q$5001,BD!$A$3:$A$5001,O$3,BD!$B$3:$B$5001,$A$309)))</f>
        <v/>
      </c>
      <c r="P323" s="254" t="str">
        <f>IF(P$3="","",IF(COUNTIFS(BD!$A$3:$A$5001,P$3,BD!$B$3:$B$5001,$A$309,BD!$Q$3:$Q$5001,"&lt;&gt;")=0,"",SUMIFS(BD!$Q$3:$Q$5001,BD!$A$3:$A$5001,P$3,BD!$B$3:$B$5001,$A$309)))</f>
        <v/>
      </c>
      <c r="Q323" s="254" t="str">
        <f>IF(Q$3="","",IF(COUNTIFS(BD!$A$3:$A$5001,Q$3,BD!$B$3:$B$5001,$A$309,BD!$Q$3:$Q$5001,"&lt;&gt;")=0,"",SUMIFS(BD!$Q$3:$Q$5001,BD!$A$3:$A$5001,Q$3,BD!$B$3:$B$5001,$A$309)))</f>
        <v/>
      </c>
      <c r="R323" s="254" t="str">
        <f>IF(R$3="","",IF(COUNTIFS(BD!$A$3:$A$5001,R$3,BD!$B$3:$B$5001,$A$309,BD!$Q$3:$Q$5001,"&lt;&gt;")=0,"",SUMIFS(BD!$Q$3:$Q$5001,BD!$A$3:$A$5001,R$3,BD!$B$3:$B$5001,$A$309)))</f>
        <v/>
      </c>
      <c r="S323" s="254" t="str">
        <f>IF(S$3="","",IF(COUNTIFS(BD!$A$3:$A$5001,S$3,BD!$B$3:$B$5001,$A$309,BD!$Q$3:$Q$5001,"&lt;&gt;")=0,"",SUMIFS(BD!$Q$3:$Q$5001,BD!$A$3:$A$5001,S$3,BD!$B$3:$B$5001,$A$309)))</f>
        <v/>
      </c>
      <c r="T323" s="254" t="str">
        <f>IF(T$3="","",IF(COUNTIFS(BD!$A$3:$A$5001,T$3,BD!$B$3:$B$5001,$A$309,BD!$Q$3:$Q$5001,"&lt;&gt;")=0,"",SUMIFS(BD!$Q$3:$Q$5001,BD!$A$3:$A$5001,T$3,BD!$B$3:$B$5001,$A$309)))</f>
        <v/>
      </c>
      <c r="U323" s="254" t="str">
        <f>IF(U$3="","",IF(COUNTIFS(BD!$A$3:$A$5001,U$3,BD!$B$3:$B$5001,$A$309,BD!$Q$3:$Q$5001,"&lt;&gt;")=0,"",SUMIFS(BD!$Q$3:$Q$5001,BD!$A$3:$A$5001,U$3,BD!$B$3:$B$5001,$A$309)))</f>
        <v/>
      </c>
      <c r="V323" s="254" t="str">
        <f>IF(V$3="","",IF(COUNTIFS(BD!$A$3:$A$5001,V$3,BD!$B$3:$B$5001,$A$309,BD!$Q$3:$Q$5001,"&lt;&gt;")=0,"",SUMIFS(BD!$Q$3:$Q$5001,BD!$A$3:$A$5001,V$3,BD!$B$3:$B$5001,$A$309)))</f>
        <v/>
      </c>
      <c r="W323" s="254" t="str">
        <f>IF(W$3="","",IF(COUNTIFS(BD!$A$3:$A$5001,W$3,BD!$B$3:$B$5001,$A$309,BD!$Q$3:$Q$5001,"&lt;&gt;")=0,"",SUMIFS(BD!$Q$3:$Q$5001,BD!$A$3:$A$5001,W$3,BD!$B$3:$B$5001,$A$309)))</f>
        <v/>
      </c>
      <c r="X323" s="254" t="str">
        <f>IF(X$3="","",IF(COUNTIFS(BD!$A$3:$A$5001,X$3,BD!$B$3:$B$5001,$A$309,BD!$Q$3:$Q$5001,"&lt;&gt;")=0,"",SUMIFS(BD!$Q$3:$Q$5001,BD!$A$3:$A$5001,X$3,BD!$B$3:$B$5001,$A$309)))</f>
        <v/>
      </c>
      <c r="Y323" s="254" t="str">
        <f>IF(Y$3="","",IF(COUNTIFS(BD!$A$3:$A$5001,Y$3,BD!$B$3:$B$5001,$A$309,BD!$Q$3:$Q$5001,"&lt;&gt;")=0,"",SUMIFS(BD!$Q$3:$Q$5001,BD!$A$3:$A$5001,Y$3,BD!$B$3:$B$5001,$A$309)))</f>
        <v/>
      </c>
      <c r="Z323" s="254" t="str">
        <f>IF(Z$3="","",IF(COUNTIFS(BD!$A$3:$A$5001,Z$3,BD!$B$3:$B$5001,$A$309,BD!$Q$3:$Q$5001,"&lt;&gt;")=0,"",SUMIFS(BD!$Q$3:$Q$5001,BD!$A$3:$A$5001,Z$3,BD!$B$3:$B$5001,$A$309)))</f>
        <v/>
      </c>
      <c r="AA323" s="254" t="str">
        <f>IF(AA$3="","",IF(COUNTIFS(BD!$A$3:$A$5001,AA$3,BD!$B$3:$B$5001,$A$309,BD!$Q$3:$Q$5001,"&lt;&gt;")=0,"",SUMIFS(BD!$Q$3:$Q$5001,BD!$A$3:$A$5001,AA$3,BD!$B$3:$B$5001,$A$309)))</f>
        <v/>
      </c>
      <c r="AB323" s="254" t="str">
        <f>IF(AB$3="","",IF(COUNTIFS(BD!$A$3:$A$5001,AB$3,BD!$B$3:$B$5001,$A$309,BD!$Q$3:$Q$5001,"&lt;&gt;")=0,"",SUMIFS(BD!$Q$3:$Q$5001,BD!$A$3:$A$5001,AB$3,BD!$B$3:$B$5001,$A$309)))</f>
        <v/>
      </c>
      <c r="AC323" s="254" t="str">
        <f>IF(AC$3="","",IF(COUNTIFS(BD!$A$3:$A$5001,AC$3,BD!$B$3:$B$5001,$A$309,BD!$Q$3:$Q$5001,"&lt;&gt;")=0,"",SUMIFS(BD!$Q$3:$Q$5001,BD!$A$3:$A$5001,AC$3,BD!$B$3:$B$5001,$A$309)))</f>
        <v/>
      </c>
      <c r="AD323" s="254" t="str">
        <f>IF(AD$3="","",IF(COUNTIFS(BD!$A$3:$A$5001,AD$3,BD!$B$3:$B$5001,$A$309,BD!$Q$3:$Q$5001,"&lt;&gt;")=0,"",SUMIFS(BD!$Q$3:$Q$5001,BD!$A$3:$A$5001,AD$3,BD!$B$3:$B$5001,$A$309)))</f>
        <v/>
      </c>
      <c r="AE323" s="254" t="str">
        <f>IF(AE$3="","",IF(COUNTIFS(BD!$A$3:$A$5001,AE$3,BD!$B$3:$B$5001,$A$309,BD!$Q$3:$Q$5001,"&lt;&gt;")=0,"",SUMIFS(BD!$Q$3:$Q$5001,BD!$A$3:$A$5001,AE$3,BD!$B$3:$B$5001,$A$309)))</f>
        <v/>
      </c>
      <c r="AF323" s="254" t="str">
        <f>IF(AF$3="","",IF(COUNTIFS(BD!$A$3:$A$5001,AF$3,BD!$B$3:$B$5001,$A$309,BD!$Q$3:$Q$5001,"&lt;&gt;")=0,"",SUMIFS(BD!$Q$3:$Q$5001,BD!$A$3:$A$5001,AF$3,BD!$B$3:$B$5001,$A$309)))</f>
        <v/>
      </c>
      <c r="AG323" s="254" t="str">
        <f>IF(AG$3="","",IF(COUNTIFS(BD!$A$3:$A$5001,AG$3,BD!$B$3:$B$5001,$A$309,BD!$Q$3:$Q$5001,"&lt;&gt;")=0,"",SUMIFS(BD!$Q$3:$Q$5001,BD!$A$3:$A$5001,AG$3,BD!$B$3:$B$5001,$A$309)))</f>
        <v/>
      </c>
      <c r="AH323" s="254" t="str">
        <f>IF(AH$3="","",IF(COUNTIFS(BD!$A$3:$A$5001,AH$3,BD!$B$3:$B$5001,$A$309,BD!$Q$3:$Q$5001,"&lt;&gt;")=0,"",SUMIFS(BD!$Q$3:$Q$5001,BD!$A$3:$A$5001,AH$3,BD!$B$3:$B$5001,$A$309)))</f>
        <v/>
      </c>
      <c r="AI323" s="254" t="str">
        <f>IF(AI$3="","",IF(COUNTIFS(BD!$A$3:$A$5001,AI$3,BD!$B$3:$B$5001,$A$309,BD!$Q$3:$Q$5001,"&lt;&gt;")=0,"",SUMIFS(BD!$Q$3:$Q$5001,BD!$A$3:$A$5001,AI$3,BD!$B$3:$B$5001,$A$309)))</f>
        <v/>
      </c>
      <c r="AJ323" s="255" t="str">
        <f>IF(AJ$3="","",IF(COUNTIFS(BD!$A$3:$A$5001,AJ$3,BD!$B$3:$B$5001,$A$309,BD!$Q$3:$Q$5001,"&lt;&gt;")=0,"",SUMIFS(BD!$Q$3:$Q$5001,BD!$A$3:$A$5001,AJ$3,BD!$B$3:$B$5001,$A$309)))</f>
        <v/>
      </c>
      <c r="AK323" s="256" t="str">
        <f>IF(COUNT(F323:AJ323)=0,"",SUM(F323:AJ323))</f>
        <v/>
      </c>
    </row>
    <row r="324" ht="15.75" customHeight="1" hidden="1">
      <c r="A324" s="244"/>
      <c r="B324" s="261"/>
      <c r="C324" s="250" t="inlineStr">
        <is>
          <t xml:space="preserve">Pallets Movimentados</t>
        </is>
      </c>
      <c r="D324" s="251" t="str">
        <f>IFERROR(1/(1/INDEX(BD!$AJ$38:$BD$38,MATCH($A$309,BD!$AJ$22:$BD$22,0))),"")</f>
        <v/>
      </c>
      <c r="E324" s="252"/>
      <c r="F324" s="253" t="str">
        <f>IF(F$3="","",IF(COUNTIFS(BD!$A$3:$A$5001,F$3,BD!$B$3:$B$5001,$A$309,BD!$R$3:$R$5001,"&lt;&gt;")=0,"",SUMIFS(BD!$R$3:$R$5001,BD!$A$3:$A$5001,F$3,BD!$B$3:$B$5001,$A$309)))</f>
        <v/>
      </c>
      <c r="G324" s="254" t="str">
        <f>IF(G$3="","",IF(COUNTIFS(BD!$A$3:$A$5001,G$3,BD!$B$3:$B$5001,$A$309,BD!$R$3:$R$5001,"&lt;&gt;")=0,"",SUMIFS(BD!$R$3:$R$5001,BD!$A$3:$A$5001,G$3,BD!$B$3:$B$5001,$A$309)))</f>
        <v/>
      </c>
      <c r="H324" s="254" t="str">
        <f>IF(H$3="","",IF(COUNTIFS(BD!$A$3:$A$5001,H$3,BD!$B$3:$B$5001,$A$309,BD!$R$3:$R$5001,"&lt;&gt;")=0,"",SUMIFS(BD!$R$3:$R$5001,BD!$A$3:$A$5001,H$3,BD!$B$3:$B$5001,$A$309)))</f>
        <v/>
      </c>
      <c r="I324" s="254" t="str">
        <f>IF(I$3="","",IF(COUNTIFS(BD!$A$3:$A$5001,I$3,BD!$B$3:$B$5001,$A$309,BD!$R$3:$R$5001,"&lt;&gt;")=0,"",SUMIFS(BD!$R$3:$R$5001,BD!$A$3:$A$5001,I$3,BD!$B$3:$B$5001,$A$309)))</f>
        <v/>
      </c>
      <c r="J324" s="254" t="str">
        <f>IF(J$3="","",IF(COUNTIFS(BD!$A$3:$A$5001,J$3,BD!$B$3:$B$5001,$A$309,BD!$R$3:$R$5001,"&lt;&gt;")=0,"",SUMIFS(BD!$R$3:$R$5001,BD!$A$3:$A$5001,J$3,BD!$B$3:$B$5001,$A$309)))</f>
        <v/>
      </c>
      <c r="K324" s="254" t="str">
        <f>IF(K$3="","",IF(COUNTIFS(BD!$A$3:$A$5001,K$3,BD!$B$3:$B$5001,$A$309,BD!$R$3:$R$5001,"&lt;&gt;")=0,"",SUMIFS(BD!$R$3:$R$5001,BD!$A$3:$A$5001,K$3,BD!$B$3:$B$5001,$A$309)))</f>
        <v/>
      </c>
      <c r="L324" s="254" t="str">
        <f>IF(L$3="","",IF(COUNTIFS(BD!$A$3:$A$5001,L$3,BD!$B$3:$B$5001,$A$309,BD!$R$3:$R$5001,"&lt;&gt;")=0,"",SUMIFS(BD!$R$3:$R$5001,BD!$A$3:$A$5001,L$3,BD!$B$3:$B$5001,$A$309)))</f>
        <v/>
      </c>
      <c r="M324" s="254" t="str">
        <f>IF(M$3="","",IF(COUNTIFS(BD!$A$3:$A$5001,M$3,BD!$B$3:$B$5001,$A$309,BD!$R$3:$R$5001,"&lt;&gt;")=0,"",SUMIFS(BD!$R$3:$R$5001,BD!$A$3:$A$5001,M$3,BD!$B$3:$B$5001,$A$309)))</f>
        <v/>
      </c>
      <c r="N324" s="254" t="str">
        <f>IF(N$3="","",IF(COUNTIFS(BD!$A$3:$A$5001,N$3,BD!$B$3:$B$5001,$A$309,BD!$R$3:$R$5001,"&lt;&gt;")=0,"",SUMIFS(BD!$R$3:$R$5001,BD!$A$3:$A$5001,N$3,BD!$B$3:$B$5001,$A$309)))</f>
        <v/>
      </c>
      <c r="O324" s="254" t="str">
        <f>IF(O$3="","",IF(COUNTIFS(BD!$A$3:$A$5001,O$3,BD!$B$3:$B$5001,$A$309,BD!$R$3:$R$5001,"&lt;&gt;")=0,"",SUMIFS(BD!$R$3:$R$5001,BD!$A$3:$A$5001,O$3,BD!$B$3:$B$5001,$A$309)))</f>
        <v/>
      </c>
      <c r="P324" s="254" t="str">
        <f>IF(P$3="","",IF(COUNTIFS(BD!$A$3:$A$5001,P$3,BD!$B$3:$B$5001,$A$309,BD!$R$3:$R$5001,"&lt;&gt;")=0,"",SUMIFS(BD!$R$3:$R$5001,BD!$A$3:$A$5001,P$3,BD!$B$3:$B$5001,$A$309)))</f>
        <v/>
      </c>
      <c r="Q324" s="254" t="str">
        <f>IF(Q$3="","",IF(COUNTIFS(BD!$A$3:$A$5001,Q$3,BD!$B$3:$B$5001,$A$309,BD!$R$3:$R$5001,"&lt;&gt;")=0,"",SUMIFS(BD!$R$3:$R$5001,BD!$A$3:$A$5001,Q$3,BD!$B$3:$B$5001,$A$309)))</f>
        <v/>
      </c>
      <c r="R324" s="254" t="str">
        <f>IF(R$3="","",IF(COUNTIFS(BD!$A$3:$A$5001,R$3,BD!$B$3:$B$5001,$A$309,BD!$R$3:$R$5001,"&lt;&gt;")=0,"",SUMIFS(BD!$R$3:$R$5001,BD!$A$3:$A$5001,R$3,BD!$B$3:$B$5001,$A$309)))</f>
        <v/>
      </c>
      <c r="S324" s="254" t="str">
        <f>IF(S$3="","",IF(COUNTIFS(BD!$A$3:$A$5001,S$3,BD!$B$3:$B$5001,$A$309,BD!$R$3:$R$5001,"&lt;&gt;")=0,"",SUMIFS(BD!$R$3:$R$5001,BD!$A$3:$A$5001,S$3,BD!$B$3:$B$5001,$A$309)))</f>
        <v/>
      </c>
      <c r="T324" s="254" t="str">
        <f>IF(T$3="","",IF(COUNTIFS(BD!$A$3:$A$5001,T$3,BD!$B$3:$B$5001,$A$309,BD!$R$3:$R$5001,"&lt;&gt;")=0,"",SUMIFS(BD!$R$3:$R$5001,BD!$A$3:$A$5001,T$3,BD!$B$3:$B$5001,$A$309)))</f>
        <v/>
      </c>
      <c r="U324" s="254" t="str">
        <f>IF(U$3="","",IF(COUNTIFS(BD!$A$3:$A$5001,U$3,BD!$B$3:$B$5001,$A$309,BD!$R$3:$R$5001,"&lt;&gt;")=0,"",SUMIFS(BD!$R$3:$R$5001,BD!$A$3:$A$5001,U$3,BD!$B$3:$B$5001,$A$309)))</f>
        <v/>
      </c>
      <c r="V324" s="254" t="str">
        <f>IF(V$3="","",IF(COUNTIFS(BD!$A$3:$A$5001,V$3,BD!$B$3:$B$5001,$A$309,BD!$R$3:$R$5001,"&lt;&gt;")=0,"",SUMIFS(BD!$R$3:$R$5001,BD!$A$3:$A$5001,V$3,BD!$B$3:$B$5001,$A$309)))</f>
        <v/>
      </c>
      <c r="W324" s="254" t="str">
        <f>IF(W$3="","",IF(COUNTIFS(BD!$A$3:$A$5001,W$3,BD!$B$3:$B$5001,$A$309,BD!$R$3:$R$5001,"&lt;&gt;")=0,"",SUMIFS(BD!$R$3:$R$5001,BD!$A$3:$A$5001,W$3,BD!$B$3:$B$5001,$A$309)))</f>
        <v/>
      </c>
      <c r="X324" s="254" t="str">
        <f>IF(X$3="","",IF(COUNTIFS(BD!$A$3:$A$5001,X$3,BD!$B$3:$B$5001,$A$309,BD!$R$3:$R$5001,"&lt;&gt;")=0,"",SUMIFS(BD!$R$3:$R$5001,BD!$A$3:$A$5001,X$3,BD!$B$3:$B$5001,$A$309)))</f>
        <v/>
      </c>
      <c r="Y324" s="254" t="str">
        <f>IF(Y$3="","",IF(COUNTIFS(BD!$A$3:$A$5001,Y$3,BD!$B$3:$B$5001,$A$309,BD!$R$3:$R$5001,"&lt;&gt;")=0,"",SUMIFS(BD!$R$3:$R$5001,BD!$A$3:$A$5001,Y$3,BD!$B$3:$B$5001,$A$309)))</f>
        <v/>
      </c>
      <c r="Z324" s="254" t="str">
        <f>IF(Z$3="","",IF(COUNTIFS(BD!$A$3:$A$5001,Z$3,BD!$B$3:$B$5001,$A$309,BD!$R$3:$R$5001,"&lt;&gt;")=0,"",SUMIFS(BD!$R$3:$R$5001,BD!$A$3:$A$5001,Z$3,BD!$B$3:$B$5001,$A$309)))</f>
        <v/>
      </c>
      <c r="AA324" s="254" t="str">
        <f>IF(AA$3="","",IF(COUNTIFS(BD!$A$3:$A$5001,AA$3,BD!$B$3:$B$5001,$A$309,BD!$R$3:$R$5001,"&lt;&gt;")=0,"",SUMIFS(BD!$R$3:$R$5001,BD!$A$3:$A$5001,AA$3,BD!$B$3:$B$5001,$A$309)))</f>
        <v/>
      </c>
      <c r="AB324" s="254" t="str">
        <f>IF(AB$3="","",IF(COUNTIFS(BD!$A$3:$A$5001,AB$3,BD!$B$3:$B$5001,$A$309,BD!$R$3:$R$5001,"&lt;&gt;")=0,"",SUMIFS(BD!$R$3:$R$5001,BD!$A$3:$A$5001,AB$3,BD!$B$3:$B$5001,$A$309)))</f>
        <v/>
      </c>
      <c r="AC324" s="254" t="str">
        <f>IF(AC$3="","",IF(COUNTIFS(BD!$A$3:$A$5001,AC$3,BD!$B$3:$B$5001,$A$309,BD!$R$3:$R$5001,"&lt;&gt;")=0,"",SUMIFS(BD!$R$3:$R$5001,BD!$A$3:$A$5001,AC$3,BD!$B$3:$B$5001,$A$309)))</f>
        <v/>
      </c>
      <c r="AD324" s="254" t="str">
        <f>IF(AD$3="","",IF(COUNTIFS(BD!$A$3:$A$5001,AD$3,BD!$B$3:$B$5001,$A$309,BD!$R$3:$R$5001,"&lt;&gt;")=0,"",SUMIFS(BD!$R$3:$R$5001,BD!$A$3:$A$5001,AD$3,BD!$B$3:$B$5001,$A$309)))</f>
        <v/>
      </c>
      <c r="AE324" s="254" t="str">
        <f>IF(AE$3="","",IF(COUNTIFS(BD!$A$3:$A$5001,AE$3,BD!$B$3:$B$5001,$A$309,BD!$R$3:$R$5001,"&lt;&gt;")=0,"",SUMIFS(BD!$R$3:$R$5001,BD!$A$3:$A$5001,AE$3,BD!$B$3:$B$5001,$A$309)))</f>
        <v/>
      </c>
      <c r="AF324" s="254" t="str">
        <f>IF(AF$3="","",IF(COUNTIFS(BD!$A$3:$A$5001,AF$3,BD!$B$3:$B$5001,$A$309,BD!$R$3:$R$5001,"&lt;&gt;")=0,"",SUMIFS(BD!$R$3:$R$5001,BD!$A$3:$A$5001,AF$3,BD!$B$3:$B$5001,$A$309)))</f>
        <v/>
      </c>
      <c r="AG324" s="254" t="str">
        <f>IF(AG$3="","",IF(COUNTIFS(BD!$A$3:$A$5001,AG$3,BD!$B$3:$B$5001,$A$309,BD!$R$3:$R$5001,"&lt;&gt;")=0,"",SUMIFS(BD!$R$3:$R$5001,BD!$A$3:$A$5001,AG$3,BD!$B$3:$B$5001,$A$309)))</f>
        <v/>
      </c>
      <c r="AH324" s="254" t="str">
        <f>IF(AH$3="","",IF(COUNTIFS(BD!$A$3:$A$5001,AH$3,BD!$B$3:$B$5001,$A$309,BD!$R$3:$R$5001,"&lt;&gt;")=0,"",SUMIFS(BD!$R$3:$R$5001,BD!$A$3:$A$5001,AH$3,BD!$B$3:$B$5001,$A$309)))</f>
        <v/>
      </c>
      <c r="AI324" s="254" t="str">
        <f>IF(AI$3="","",IF(COUNTIFS(BD!$A$3:$A$5001,AI$3,BD!$B$3:$B$5001,$A$309,BD!$R$3:$R$5001,"&lt;&gt;")=0,"",SUMIFS(BD!$R$3:$R$5001,BD!$A$3:$A$5001,AI$3,BD!$B$3:$B$5001,$A$309)))</f>
        <v/>
      </c>
      <c r="AJ324" s="255" t="str">
        <f>IF(AJ$3="","",IF(COUNTIFS(BD!$A$3:$A$5001,AJ$3,BD!$B$3:$B$5001,$A$309,BD!$R$3:$R$5001,"&lt;&gt;")=0,"",SUMIFS(BD!$R$3:$R$5001,BD!$A$3:$A$5001,AJ$3,BD!$B$3:$B$5001,$A$309)))</f>
        <v/>
      </c>
      <c r="AK324" s="256" t="str">
        <f>IF(COUNT(F324:AJ324)=0,"",SUM(F324:AJ324))</f>
        <v/>
      </c>
    </row>
    <row r="325" ht="15.75" customHeight="1" hidden="1">
      <c r="A325" s="244"/>
      <c r="B325" s="235"/>
      <c r="C325" s="175" t="inlineStr">
        <is>
          <t xml:space="preserve">Toneladas Movimentadas</t>
        </is>
      </c>
      <c r="D325" s="176" t="str">
        <f>IFERROR(1/(1/INDEX(BD!$AJ$39:$BD$39,MATCH($A$309,BD!$AJ$22:$BD$22,0))),"")</f>
        <v/>
      </c>
      <c r="E325" s="177"/>
      <c r="F325" s="257" t="str">
        <f>IF(F$3="","",IF(COUNTIFS(BD!$A$3:$A$5001,F$3,BD!$B$3:$B$5001,$A$309,BD!$S$3:$S$5001,"&lt;&gt;")=0,"",SUMIFS(BD!$S$3:$S$5001,BD!$A$3:$A$5001,F$3,BD!$B$3:$B$5001,$A$309)))</f>
        <v/>
      </c>
      <c r="G325" s="258" t="str">
        <f>IF(G$3="","",IF(COUNTIFS(BD!$A$3:$A$5001,G$3,BD!$B$3:$B$5001,$A$309,BD!$S$3:$S$5001,"&lt;&gt;")=0,"",SUMIFS(BD!$S$3:$S$5001,BD!$A$3:$A$5001,G$3,BD!$B$3:$B$5001,$A$309)))</f>
        <v/>
      </c>
      <c r="H325" s="258" t="str">
        <f>IF(H$3="","",IF(COUNTIFS(BD!$A$3:$A$5001,H$3,BD!$B$3:$B$5001,$A$309,BD!$S$3:$S$5001,"&lt;&gt;")=0,"",SUMIFS(BD!$S$3:$S$5001,BD!$A$3:$A$5001,H$3,BD!$B$3:$B$5001,$A$309)))</f>
        <v/>
      </c>
      <c r="I325" s="258" t="str">
        <f>IF(I$3="","",IF(COUNTIFS(BD!$A$3:$A$5001,I$3,BD!$B$3:$B$5001,$A$309,BD!$S$3:$S$5001,"&lt;&gt;")=0,"",SUMIFS(BD!$S$3:$S$5001,BD!$A$3:$A$5001,I$3,BD!$B$3:$B$5001,$A$309)))</f>
        <v/>
      </c>
      <c r="J325" s="258" t="str">
        <f>IF(J$3="","",IF(COUNTIFS(BD!$A$3:$A$5001,J$3,BD!$B$3:$B$5001,$A$309,BD!$S$3:$S$5001,"&lt;&gt;")=0,"",SUMIFS(BD!$S$3:$S$5001,BD!$A$3:$A$5001,J$3,BD!$B$3:$B$5001,$A$309)))</f>
        <v/>
      </c>
      <c r="K325" s="258" t="str">
        <f>IF(K$3="","",IF(COUNTIFS(BD!$A$3:$A$5001,K$3,BD!$B$3:$B$5001,$A$309,BD!$S$3:$S$5001,"&lt;&gt;")=0,"",SUMIFS(BD!$S$3:$S$5001,BD!$A$3:$A$5001,K$3,BD!$B$3:$B$5001,$A$309)))</f>
        <v/>
      </c>
      <c r="L325" s="258" t="str">
        <f>IF(L$3="","",IF(COUNTIFS(BD!$A$3:$A$5001,L$3,BD!$B$3:$B$5001,$A$309,BD!$S$3:$S$5001,"&lt;&gt;")=0,"",SUMIFS(BD!$S$3:$S$5001,BD!$A$3:$A$5001,L$3,BD!$B$3:$B$5001,$A$309)))</f>
        <v/>
      </c>
      <c r="M325" s="258" t="str">
        <f>IF(M$3="","",IF(COUNTIFS(BD!$A$3:$A$5001,M$3,BD!$B$3:$B$5001,$A$309,BD!$S$3:$S$5001,"&lt;&gt;")=0,"",SUMIFS(BD!$S$3:$S$5001,BD!$A$3:$A$5001,M$3,BD!$B$3:$B$5001,$A$309)))</f>
        <v/>
      </c>
      <c r="N325" s="258" t="str">
        <f>IF(N$3="","",IF(COUNTIFS(BD!$A$3:$A$5001,N$3,BD!$B$3:$B$5001,$A$309,BD!$S$3:$S$5001,"&lt;&gt;")=0,"",SUMIFS(BD!$S$3:$S$5001,BD!$A$3:$A$5001,N$3,BD!$B$3:$B$5001,$A$309)))</f>
        <v/>
      </c>
      <c r="O325" s="258" t="str">
        <f>IF(O$3="","",IF(COUNTIFS(BD!$A$3:$A$5001,O$3,BD!$B$3:$B$5001,$A$309,BD!$S$3:$S$5001,"&lt;&gt;")=0,"",SUMIFS(BD!$S$3:$S$5001,BD!$A$3:$A$5001,O$3,BD!$B$3:$B$5001,$A$309)))</f>
        <v/>
      </c>
      <c r="P325" s="258" t="str">
        <f>IF(P$3="","",IF(COUNTIFS(BD!$A$3:$A$5001,P$3,BD!$B$3:$B$5001,$A$309,BD!$S$3:$S$5001,"&lt;&gt;")=0,"",SUMIFS(BD!$S$3:$S$5001,BD!$A$3:$A$5001,P$3,BD!$B$3:$B$5001,$A$309)))</f>
        <v/>
      </c>
      <c r="Q325" s="258" t="str">
        <f>IF(Q$3="","",IF(COUNTIFS(BD!$A$3:$A$5001,Q$3,BD!$B$3:$B$5001,$A$309,BD!$S$3:$S$5001,"&lt;&gt;")=0,"",SUMIFS(BD!$S$3:$S$5001,BD!$A$3:$A$5001,Q$3,BD!$B$3:$B$5001,$A$309)))</f>
        <v/>
      </c>
      <c r="R325" s="258" t="str">
        <f>IF(R$3="","",IF(COUNTIFS(BD!$A$3:$A$5001,R$3,BD!$B$3:$B$5001,$A$309,BD!$S$3:$S$5001,"&lt;&gt;")=0,"",SUMIFS(BD!$S$3:$S$5001,BD!$A$3:$A$5001,R$3,BD!$B$3:$B$5001,$A$309)))</f>
        <v/>
      </c>
      <c r="S325" s="258" t="str">
        <f>IF(S$3="","",IF(COUNTIFS(BD!$A$3:$A$5001,S$3,BD!$B$3:$B$5001,$A$309,BD!$S$3:$S$5001,"&lt;&gt;")=0,"",SUMIFS(BD!$S$3:$S$5001,BD!$A$3:$A$5001,S$3,BD!$B$3:$B$5001,$A$309)))</f>
        <v/>
      </c>
      <c r="T325" s="258" t="str">
        <f>IF(T$3="","",IF(COUNTIFS(BD!$A$3:$A$5001,T$3,BD!$B$3:$B$5001,$A$309,BD!$S$3:$S$5001,"&lt;&gt;")=0,"",SUMIFS(BD!$S$3:$S$5001,BD!$A$3:$A$5001,T$3,BD!$B$3:$B$5001,$A$309)))</f>
        <v/>
      </c>
      <c r="U325" s="258" t="str">
        <f>IF(U$3="","",IF(COUNTIFS(BD!$A$3:$A$5001,U$3,BD!$B$3:$B$5001,$A$309,BD!$S$3:$S$5001,"&lt;&gt;")=0,"",SUMIFS(BD!$S$3:$S$5001,BD!$A$3:$A$5001,U$3,BD!$B$3:$B$5001,$A$309)))</f>
        <v/>
      </c>
      <c r="V325" s="258" t="str">
        <f>IF(V$3="","",IF(COUNTIFS(BD!$A$3:$A$5001,V$3,BD!$B$3:$B$5001,$A$309,BD!$S$3:$S$5001,"&lt;&gt;")=0,"",SUMIFS(BD!$S$3:$S$5001,BD!$A$3:$A$5001,V$3,BD!$B$3:$B$5001,$A$309)))</f>
        <v/>
      </c>
      <c r="W325" s="258" t="str">
        <f>IF(W$3="","",IF(COUNTIFS(BD!$A$3:$A$5001,W$3,BD!$B$3:$B$5001,$A$309,BD!$S$3:$S$5001,"&lt;&gt;")=0,"",SUMIFS(BD!$S$3:$S$5001,BD!$A$3:$A$5001,W$3,BD!$B$3:$B$5001,$A$309)))</f>
        <v/>
      </c>
      <c r="X325" s="258" t="str">
        <f>IF(X$3="","",IF(COUNTIFS(BD!$A$3:$A$5001,X$3,BD!$B$3:$B$5001,$A$309,BD!$S$3:$S$5001,"&lt;&gt;")=0,"",SUMIFS(BD!$S$3:$S$5001,BD!$A$3:$A$5001,X$3,BD!$B$3:$B$5001,$A$309)))</f>
        <v/>
      </c>
      <c r="Y325" s="258" t="str">
        <f>IF(Y$3="","",IF(COUNTIFS(BD!$A$3:$A$5001,Y$3,BD!$B$3:$B$5001,$A$309,BD!$S$3:$S$5001,"&lt;&gt;")=0,"",SUMIFS(BD!$S$3:$S$5001,BD!$A$3:$A$5001,Y$3,BD!$B$3:$B$5001,$A$309)))</f>
        <v/>
      </c>
      <c r="Z325" s="258" t="str">
        <f>IF(Z$3="","",IF(COUNTIFS(BD!$A$3:$A$5001,Z$3,BD!$B$3:$B$5001,$A$309,BD!$S$3:$S$5001,"&lt;&gt;")=0,"",SUMIFS(BD!$S$3:$S$5001,BD!$A$3:$A$5001,Z$3,BD!$B$3:$B$5001,$A$309)))</f>
        <v/>
      </c>
      <c r="AA325" s="258" t="str">
        <f>IF(AA$3="","",IF(COUNTIFS(BD!$A$3:$A$5001,AA$3,BD!$B$3:$B$5001,$A$309,BD!$S$3:$S$5001,"&lt;&gt;")=0,"",SUMIFS(BD!$S$3:$S$5001,BD!$A$3:$A$5001,AA$3,BD!$B$3:$B$5001,$A$309)))</f>
        <v/>
      </c>
      <c r="AB325" s="258" t="str">
        <f>IF(AB$3="","",IF(COUNTIFS(BD!$A$3:$A$5001,AB$3,BD!$B$3:$B$5001,$A$309,BD!$S$3:$S$5001,"&lt;&gt;")=0,"",SUMIFS(BD!$S$3:$S$5001,BD!$A$3:$A$5001,AB$3,BD!$B$3:$B$5001,$A$309)))</f>
        <v/>
      </c>
      <c r="AC325" s="258" t="str">
        <f>IF(AC$3="","",IF(COUNTIFS(BD!$A$3:$A$5001,AC$3,BD!$B$3:$B$5001,$A$309,BD!$S$3:$S$5001,"&lt;&gt;")=0,"",SUMIFS(BD!$S$3:$S$5001,BD!$A$3:$A$5001,AC$3,BD!$B$3:$B$5001,$A$309)))</f>
        <v/>
      </c>
      <c r="AD325" s="258" t="str">
        <f>IF(AD$3="","",IF(COUNTIFS(BD!$A$3:$A$5001,AD$3,BD!$B$3:$B$5001,$A$309,BD!$S$3:$S$5001,"&lt;&gt;")=0,"",SUMIFS(BD!$S$3:$S$5001,BD!$A$3:$A$5001,AD$3,BD!$B$3:$B$5001,$A$309)))</f>
        <v/>
      </c>
      <c r="AE325" s="258" t="str">
        <f>IF(AE$3="","",IF(COUNTIFS(BD!$A$3:$A$5001,AE$3,BD!$B$3:$B$5001,$A$309,BD!$S$3:$S$5001,"&lt;&gt;")=0,"",SUMIFS(BD!$S$3:$S$5001,BD!$A$3:$A$5001,AE$3,BD!$B$3:$B$5001,$A$309)))</f>
        <v/>
      </c>
      <c r="AF325" s="258" t="str">
        <f>IF(AF$3="","",IF(COUNTIFS(BD!$A$3:$A$5001,AF$3,BD!$B$3:$B$5001,$A$309,BD!$S$3:$S$5001,"&lt;&gt;")=0,"",SUMIFS(BD!$S$3:$S$5001,BD!$A$3:$A$5001,AF$3,BD!$B$3:$B$5001,$A$309)))</f>
        <v/>
      </c>
      <c r="AG325" s="258" t="str">
        <f>IF(AG$3="","",IF(COUNTIFS(BD!$A$3:$A$5001,AG$3,BD!$B$3:$B$5001,$A$309,BD!$S$3:$S$5001,"&lt;&gt;")=0,"",SUMIFS(BD!$S$3:$S$5001,BD!$A$3:$A$5001,AG$3,BD!$B$3:$B$5001,$A$309)))</f>
        <v/>
      </c>
      <c r="AH325" s="258" t="str">
        <f>IF(AH$3="","",IF(COUNTIFS(BD!$A$3:$A$5001,AH$3,BD!$B$3:$B$5001,$A$309,BD!$S$3:$S$5001,"&lt;&gt;")=0,"",SUMIFS(BD!$S$3:$S$5001,BD!$A$3:$A$5001,AH$3,BD!$B$3:$B$5001,$A$309)))</f>
        <v/>
      </c>
      <c r="AI325" s="258" t="str">
        <f>IF(AI$3="","",IF(COUNTIFS(BD!$A$3:$A$5001,AI$3,BD!$B$3:$B$5001,$A$309,BD!$S$3:$S$5001,"&lt;&gt;")=0,"",SUMIFS(BD!$S$3:$S$5001,BD!$A$3:$A$5001,AI$3,BD!$B$3:$B$5001,$A$309)))</f>
        <v/>
      </c>
      <c r="AJ325" s="259" t="str">
        <f>IF(AJ$3="","",IF(COUNTIFS(BD!$A$3:$A$5001,AJ$3,BD!$B$3:$B$5001,$A$309,BD!$S$3:$S$5001,"&lt;&gt;")=0,"",SUMIFS(BD!$S$3:$S$5001,BD!$A$3:$A$5001,AJ$3,BD!$B$3:$B$5001,$A$309)))</f>
        <v/>
      </c>
      <c r="AK325" s="260" t="str">
        <f>IF(COUNT(F325:AJ325)=0,"",SUM(F325:AJ325))</f>
        <v/>
      </c>
    </row>
    <row r="326" ht="15.75" customHeight="1" hidden="1">
      <c r="A326" s="244"/>
      <c r="B326" s="236" t="inlineStr">
        <is>
          <t xml:space="preserve">NC</t>
        </is>
      </c>
      <c r="C326" s="181" t="inlineStr">
        <is>
          <t xml:space="preserve">Incidentes</t>
        </is>
      </c>
      <c r="D326" s="182" t="str">
        <f>IFERROR(1/(1/INDEX(BD!$AJ$40:$BD$40,MATCH($A$309,BD!$AJ$22:$BD$22,0))),"")</f>
        <v/>
      </c>
      <c r="E326" s="183"/>
      <c r="F326" s="184" t="str">
        <f>IF(F$3="","",IF(COUNTIFS(BD!$A$3:$A$5001,F$3,BD!$B$3:$B$5001,$A$309,BD!$T$3:$T$5001,"&lt;&gt;")=0,"",SUMIFS(BD!$T$3:$T$5001,BD!$A$3:$A$5001,F$3,BD!$B$3:$B$5001,$A$309)))</f>
        <v/>
      </c>
      <c r="G326" s="185" t="str">
        <f>IF(G$3="","",IF(COUNTIFS(BD!$A$3:$A$5001,G$3,BD!$B$3:$B$5001,$A$309,BD!$T$3:$T$5001,"&lt;&gt;")=0,"",SUMIFS(BD!$T$3:$T$5001,BD!$A$3:$A$5001,G$3,BD!$B$3:$B$5001,$A$309)))</f>
        <v/>
      </c>
      <c r="H326" s="185" t="str">
        <f>IF(H$3="","",IF(COUNTIFS(BD!$A$3:$A$5001,H$3,BD!$B$3:$B$5001,$A$309,BD!$T$3:$T$5001,"&lt;&gt;")=0,"",SUMIFS(BD!$T$3:$T$5001,BD!$A$3:$A$5001,H$3,BD!$B$3:$B$5001,$A$309)))</f>
        <v/>
      </c>
      <c r="I326" s="185" t="str">
        <f>IF(I$3="","",IF(COUNTIFS(BD!$A$3:$A$5001,I$3,BD!$B$3:$B$5001,$A$309,BD!$T$3:$T$5001,"&lt;&gt;")=0,"",SUMIFS(BD!$T$3:$T$5001,BD!$A$3:$A$5001,I$3,BD!$B$3:$B$5001,$A$309)))</f>
        <v/>
      </c>
      <c r="J326" s="185" t="str">
        <f>IF(J$3="","",IF(COUNTIFS(BD!$A$3:$A$5001,J$3,BD!$B$3:$B$5001,$A$309,BD!$T$3:$T$5001,"&lt;&gt;")=0,"",SUMIFS(BD!$T$3:$T$5001,BD!$A$3:$A$5001,J$3,BD!$B$3:$B$5001,$A$309)))</f>
        <v/>
      </c>
      <c r="K326" s="185" t="str">
        <f>IF(K$3="","",IF(COUNTIFS(BD!$A$3:$A$5001,K$3,BD!$B$3:$B$5001,$A$309,BD!$T$3:$T$5001,"&lt;&gt;")=0,"",SUMIFS(BD!$T$3:$T$5001,BD!$A$3:$A$5001,K$3,BD!$B$3:$B$5001,$A$309)))</f>
        <v/>
      </c>
      <c r="L326" s="185" t="str">
        <f>IF(L$3="","",IF(COUNTIFS(BD!$A$3:$A$5001,L$3,BD!$B$3:$B$5001,$A$309,BD!$T$3:$T$5001,"&lt;&gt;")=0,"",SUMIFS(BD!$T$3:$T$5001,BD!$A$3:$A$5001,L$3,BD!$B$3:$B$5001,$A$309)))</f>
        <v/>
      </c>
      <c r="M326" s="185" t="str">
        <f>IF(M$3="","",IF(COUNTIFS(BD!$A$3:$A$5001,M$3,BD!$B$3:$B$5001,$A$309,BD!$T$3:$T$5001,"&lt;&gt;")=0,"",SUMIFS(BD!$T$3:$T$5001,BD!$A$3:$A$5001,M$3,BD!$B$3:$B$5001,$A$309)))</f>
        <v/>
      </c>
      <c r="N326" s="185" t="str">
        <f>IF(N$3="","",IF(COUNTIFS(BD!$A$3:$A$5001,N$3,BD!$B$3:$B$5001,$A$309,BD!$T$3:$T$5001,"&lt;&gt;")=0,"",SUMIFS(BD!$T$3:$T$5001,BD!$A$3:$A$5001,N$3,BD!$B$3:$B$5001,$A$309)))</f>
        <v/>
      </c>
      <c r="O326" s="185" t="str">
        <f>IF(O$3="","",IF(COUNTIFS(BD!$A$3:$A$5001,O$3,BD!$B$3:$B$5001,$A$309,BD!$T$3:$T$5001,"&lt;&gt;")=0,"",SUMIFS(BD!$T$3:$T$5001,BD!$A$3:$A$5001,O$3,BD!$B$3:$B$5001,$A$309)))</f>
        <v/>
      </c>
      <c r="P326" s="185" t="str">
        <f>IF(P$3="","",IF(COUNTIFS(BD!$A$3:$A$5001,P$3,BD!$B$3:$B$5001,$A$309,BD!$T$3:$T$5001,"&lt;&gt;")=0,"",SUMIFS(BD!$T$3:$T$5001,BD!$A$3:$A$5001,P$3,BD!$B$3:$B$5001,$A$309)))</f>
        <v/>
      </c>
      <c r="Q326" s="185" t="str">
        <f>IF(Q$3="","",IF(COUNTIFS(BD!$A$3:$A$5001,Q$3,BD!$B$3:$B$5001,$A$309,BD!$T$3:$T$5001,"&lt;&gt;")=0,"",SUMIFS(BD!$T$3:$T$5001,BD!$A$3:$A$5001,Q$3,BD!$B$3:$B$5001,$A$309)))</f>
        <v/>
      </c>
      <c r="R326" s="185" t="str">
        <f>IF(R$3="","",IF(COUNTIFS(BD!$A$3:$A$5001,R$3,BD!$B$3:$B$5001,$A$309,BD!$T$3:$T$5001,"&lt;&gt;")=0,"",SUMIFS(BD!$T$3:$T$5001,BD!$A$3:$A$5001,R$3,BD!$B$3:$B$5001,$A$309)))</f>
        <v/>
      </c>
      <c r="S326" s="185" t="str">
        <f>IF(S$3="","",IF(COUNTIFS(BD!$A$3:$A$5001,S$3,BD!$B$3:$B$5001,$A$309,BD!$T$3:$T$5001,"&lt;&gt;")=0,"",SUMIFS(BD!$T$3:$T$5001,BD!$A$3:$A$5001,S$3,BD!$B$3:$B$5001,$A$309)))</f>
        <v/>
      </c>
      <c r="T326" s="185" t="str">
        <f>IF(T$3="","",IF(COUNTIFS(BD!$A$3:$A$5001,T$3,BD!$B$3:$B$5001,$A$309,BD!$T$3:$T$5001,"&lt;&gt;")=0,"",SUMIFS(BD!$T$3:$T$5001,BD!$A$3:$A$5001,T$3,BD!$B$3:$B$5001,$A$309)))</f>
        <v/>
      </c>
      <c r="U326" s="185" t="str">
        <f>IF(U$3="","",IF(COUNTIFS(BD!$A$3:$A$5001,U$3,BD!$B$3:$B$5001,$A$309,BD!$T$3:$T$5001,"&lt;&gt;")=0,"",SUMIFS(BD!$T$3:$T$5001,BD!$A$3:$A$5001,U$3,BD!$B$3:$B$5001,$A$309)))</f>
        <v/>
      </c>
      <c r="V326" s="185" t="str">
        <f>IF(V$3="","",IF(COUNTIFS(BD!$A$3:$A$5001,V$3,BD!$B$3:$B$5001,$A$309,BD!$T$3:$T$5001,"&lt;&gt;")=0,"",SUMIFS(BD!$T$3:$T$5001,BD!$A$3:$A$5001,V$3,BD!$B$3:$B$5001,$A$309)))</f>
        <v/>
      </c>
      <c r="W326" s="185" t="str">
        <f>IF(W$3="","",IF(COUNTIFS(BD!$A$3:$A$5001,W$3,BD!$B$3:$B$5001,$A$309,BD!$T$3:$T$5001,"&lt;&gt;")=0,"",SUMIFS(BD!$T$3:$T$5001,BD!$A$3:$A$5001,W$3,BD!$B$3:$B$5001,$A$309)))</f>
        <v/>
      </c>
      <c r="X326" s="185" t="str">
        <f>IF(X$3="","",IF(COUNTIFS(BD!$A$3:$A$5001,X$3,BD!$B$3:$B$5001,$A$309,BD!$T$3:$T$5001,"&lt;&gt;")=0,"",SUMIFS(BD!$T$3:$T$5001,BD!$A$3:$A$5001,X$3,BD!$B$3:$B$5001,$A$309)))</f>
        <v/>
      </c>
      <c r="Y326" s="185" t="str">
        <f>IF(Y$3="","",IF(COUNTIFS(BD!$A$3:$A$5001,Y$3,BD!$B$3:$B$5001,$A$309,BD!$T$3:$T$5001,"&lt;&gt;")=0,"",SUMIFS(BD!$T$3:$T$5001,BD!$A$3:$A$5001,Y$3,BD!$B$3:$B$5001,$A$309)))</f>
        <v/>
      </c>
      <c r="Z326" s="185" t="str">
        <f>IF(Z$3="","",IF(COUNTIFS(BD!$A$3:$A$5001,Z$3,BD!$B$3:$B$5001,$A$309,BD!$T$3:$T$5001,"&lt;&gt;")=0,"",SUMIFS(BD!$T$3:$T$5001,BD!$A$3:$A$5001,Z$3,BD!$B$3:$B$5001,$A$309)))</f>
        <v/>
      </c>
      <c r="AA326" s="185" t="str">
        <f>IF(AA$3="","",IF(COUNTIFS(BD!$A$3:$A$5001,AA$3,BD!$B$3:$B$5001,$A$309,BD!$T$3:$T$5001,"&lt;&gt;")=0,"",SUMIFS(BD!$T$3:$T$5001,BD!$A$3:$A$5001,AA$3,BD!$B$3:$B$5001,$A$309)))</f>
        <v/>
      </c>
      <c r="AB326" s="185" t="str">
        <f>IF(AB$3="","",IF(COUNTIFS(BD!$A$3:$A$5001,AB$3,BD!$B$3:$B$5001,$A$309,BD!$T$3:$T$5001,"&lt;&gt;")=0,"",SUMIFS(BD!$T$3:$T$5001,BD!$A$3:$A$5001,AB$3,BD!$B$3:$B$5001,$A$309)))</f>
        <v/>
      </c>
      <c r="AC326" s="185" t="str">
        <f>IF(AC$3="","",IF(COUNTIFS(BD!$A$3:$A$5001,AC$3,BD!$B$3:$B$5001,$A$309,BD!$T$3:$T$5001,"&lt;&gt;")=0,"",SUMIFS(BD!$T$3:$T$5001,BD!$A$3:$A$5001,AC$3,BD!$B$3:$B$5001,$A$309)))</f>
        <v/>
      </c>
      <c r="AD326" s="185" t="str">
        <f>IF(AD$3="","",IF(COUNTIFS(BD!$A$3:$A$5001,AD$3,BD!$B$3:$B$5001,$A$309,BD!$T$3:$T$5001,"&lt;&gt;")=0,"",SUMIFS(BD!$T$3:$T$5001,BD!$A$3:$A$5001,AD$3,BD!$B$3:$B$5001,$A$309)))</f>
        <v/>
      </c>
      <c r="AE326" s="185" t="str">
        <f>IF(AE$3="","",IF(COUNTIFS(BD!$A$3:$A$5001,AE$3,BD!$B$3:$B$5001,$A$309,BD!$T$3:$T$5001,"&lt;&gt;")=0,"",SUMIFS(BD!$T$3:$T$5001,BD!$A$3:$A$5001,AE$3,BD!$B$3:$B$5001,$A$309)))</f>
        <v/>
      </c>
      <c r="AF326" s="185" t="str">
        <f>IF(AF$3="","",IF(COUNTIFS(BD!$A$3:$A$5001,AF$3,BD!$B$3:$B$5001,$A$309,BD!$T$3:$T$5001,"&lt;&gt;")=0,"",SUMIFS(BD!$T$3:$T$5001,BD!$A$3:$A$5001,AF$3,BD!$B$3:$B$5001,$A$309)))</f>
        <v/>
      </c>
      <c r="AG326" s="185" t="str">
        <f>IF(AG$3="","",IF(COUNTIFS(BD!$A$3:$A$5001,AG$3,BD!$B$3:$B$5001,$A$309,BD!$T$3:$T$5001,"&lt;&gt;")=0,"",SUMIFS(BD!$T$3:$T$5001,BD!$A$3:$A$5001,AG$3,BD!$B$3:$B$5001,$A$309)))</f>
        <v/>
      </c>
      <c r="AH326" s="185" t="str">
        <f>IF(AH$3="","",IF(COUNTIFS(BD!$A$3:$A$5001,AH$3,BD!$B$3:$B$5001,$A$309,BD!$T$3:$T$5001,"&lt;&gt;")=0,"",SUMIFS(BD!$T$3:$T$5001,BD!$A$3:$A$5001,AH$3,BD!$B$3:$B$5001,$A$309)))</f>
        <v/>
      </c>
      <c r="AI326" s="185" t="str">
        <f>IF(AI$3="","",IF(COUNTIFS(BD!$A$3:$A$5001,AI$3,BD!$B$3:$B$5001,$A$309,BD!$T$3:$T$5001,"&lt;&gt;")=0,"",SUMIFS(BD!$T$3:$T$5001,BD!$A$3:$A$5001,AI$3,BD!$B$3:$B$5001,$A$309)))</f>
        <v/>
      </c>
      <c r="AJ326" s="186" t="str">
        <f>IF(AJ$3="","",IF(COUNTIFS(BD!$A$3:$A$5001,AJ$3,BD!$B$3:$B$5001,$A$309,BD!$T$3:$T$5001,"&lt;&gt;")=0,"",SUMIFS(BD!$T$3:$T$5001,BD!$A$3:$A$5001,AJ$3,BD!$B$3:$B$5001,$A$309)))</f>
        <v/>
      </c>
      <c r="AK326" s="187" t="str">
        <f>IF(COUNT(F326:AJ326)=0,"",SUM(F326:AJ326))</f>
        <v/>
      </c>
    </row>
    <row r="327" ht="15.75" customHeight="1" hidden="1">
      <c r="A327" s="244"/>
      <c r="B327" s="237"/>
      <c r="C327" s="188" t="inlineStr">
        <is>
          <t xml:space="preserve">No show</t>
        </is>
      </c>
      <c r="D327" s="189" t="str">
        <f>IFERROR(1/(1/INDEX(BD!$AJ$41:$BD$41,MATCH($A$309,BD!$AJ$22:$BD$22,0))),"")</f>
        <v/>
      </c>
      <c r="E327" s="190"/>
      <c r="F327" s="191" t="str">
        <f>IF(F$3="","",IF(COUNTIFS(BD!$A$3:$A$5001,F$3,BD!$B$3:$B$5001,$A$309,BD!$U$3:$U$5001,"&lt;&gt;")=0,"",SUMIFS(BD!$U$3:$U$5001,BD!$A$3:$A$5001,F$3,BD!$B$3:$B$5001,$A$309)))</f>
        <v/>
      </c>
      <c r="G327" s="192" t="str">
        <f>IF(G$3="","",IF(COUNTIFS(BD!$A$3:$A$5001,G$3,BD!$B$3:$B$5001,$A$309,BD!$U$3:$U$5001,"&lt;&gt;")=0,"",SUMIFS(BD!$U$3:$U$5001,BD!$A$3:$A$5001,G$3,BD!$B$3:$B$5001,$A$309)))</f>
        <v/>
      </c>
      <c r="H327" s="192" t="str">
        <f>IF(H$3="","",IF(COUNTIFS(BD!$A$3:$A$5001,H$3,BD!$B$3:$B$5001,$A$309,BD!$U$3:$U$5001,"&lt;&gt;")=0,"",SUMIFS(BD!$U$3:$U$5001,BD!$A$3:$A$5001,H$3,BD!$B$3:$B$5001,$A$309)))</f>
        <v/>
      </c>
      <c r="I327" s="192" t="str">
        <f>IF(I$3="","",IF(COUNTIFS(BD!$A$3:$A$5001,I$3,BD!$B$3:$B$5001,$A$309,BD!$U$3:$U$5001,"&lt;&gt;")=0,"",SUMIFS(BD!$U$3:$U$5001,BD!$A$3:$A$5001,I$3,BD!$B$3:$B$5001,$A$309)))</f>
        <v/>
      </c>
      <c r="J327" s="192" t="str">
        <f>IF(J$3="","",IF(COUNTIFS(BD!$A$3:$A$5001,J$3,BD!$B$3:$B$5001,$A$309,BD!$U$3:$U$5001,"&lt;&gt;")=0,"",SUMIFS(BD!$U$3:$U$5001,BD!$A$3:$A$5001,J$3,BD!$B$3:$B$5001,$A$309)))</f>
        <v/>
      </c>
      <c r="K327" s="192" t="str">
        <f>IF(K$3="","",IF(COUNTIFS(BD!$A$3:$A$5001,K$3,BD!$B$3:$B$5001,$A$309,BD!$U$3:$U$5001,"&lt;&gt;")=0,"",SUMIFS(BD!$U$3:$U$5001,BD!$A$3:$A$5001,K$3,BD!$B$3:$B$5001,$A$309)))</f>
        <v/>
      </c>
      <c r="L327" s="192" t="str">
        <f>IF(L$3="","",IF(COUNTIFS(BD!$A$3:$A$5001,L$3,BD!$B$3:$B$5001,$A$309,BD!$U$3:$U$5001,"&lt;&gt;")=0,"",SUMIFS(BD!$U$3:$U$5001,BD!$A$3:$A$5001,L$3,BD!$B$3:$B$5001,$A$309)))</f>
        <v/>
      </c>
      <c r="M327" s="192" t="str">
        <f>IF(M$3="","",IF(COUNTIFS(BD!$A$3:$A$5001,M$3,BD!$B$3:$B$5001,$A$309,BD!$U$3:$U$5001,"&lt;&gt;")=0,"",SUMIFS(BD!$U$3:$U$5001,BD!$A$3:$A$5001,M$3,BD!$B$3:$B$5001,$A$309)))</f>
        <v/>
      </c>
      <c r="N327" s="192" t="str">
        <f>IF(N$3="","",IF(COUNTIFS(BD!$A$3:$A$5001,N$3,BD!$B$3:$B$5001,$A$309,BD!$U$3:$U$5001,"&lt;&gt;")=0,"",SUMIFS(BD!$U$3:$U$5001,BD!$A$3:$A$5001,N$3,BD!$B$3:$B$5001,$A$309)))</f>
        <v/>
      </c>
      <c r="O327" s="192" t="str">
        <f>IF(O$3="","",IF(COUNTIFS(BD!$A$3:$A$5001,O$3,BD!$B$3:$B$5001,$A$309,BD!$U$3:$U$5001,"&lt;&gt;")=0,"",SUMIFS(BD!$U$3:$U$5001,BD!$A$3:$A$5001,O$3,BD!$B$3:$B$5001,$A$309)))</f>
        <v/>
      </c>
      <c r="P327" s="192" t="str">
        <f>IF(P$3="","",IF(COUNTIFS(BD!$A$3:$A$5001,P$3,BD!$B$3:$B$5001,$A$309,BD!$U$3:$U$5001,"&lt;&gt;")=0,"",SUMIFS(BD!$U$3:$U$5001,BD!$A$3:$A$5001,P$3,BD!$B$3:$B$5001,$A$309)))</f>
        <v/>
      </c>
      <c r="Q327" s="192" t="str">
        <f>IF(Q$3="","",IF(COUNTIFS(BD!$A$3:$A$5001,Q$3,BD!$B$3:$B$5001,$A$309,BD!$U$3:$U$5001,"&lt;&gt;")=0,"",SUMIFS(BD!$U$3:$U$5001,BD!$A$3:$A$5001,Q$3,BD!$B$3:$B$5001,$A$309)))</f>
        <v/>
      </c>
      <c r="R327" s="192" t="str">
        <f>IF(R$3="","",IF(COUNTIFS(BD!$A$3:$A$5001,R$3,BD!$B$3:$B$5001,$A$309,BD!$U$3:$U$5001,"&lt;&gt;")=0,"",SUMIFS(BD!$U$3:$U$5001,BD!$A$3:$A$5001,R$3,BD!$B$3:$B$5001,$A$309)))</f>
        <v/>
      </c>
      <c r="S327" s="192" t="str">
        <f>IF(S$3="","",IF(COUNTIFS(BD!$A$3:$A$5001,S$3,BD!$B$3:$B$5001,$A$309,BD!$U$3:$U$5001,"&lt;&gt;")=0,"",SUMIFS(BD!$U$3:$U$5001,BD!$A$3:$A$5001,S$3,BD!$B$3:$B$5001,$A$309)))</f>
        <v/>
      </c>
      <c r="T327" s="192" t="str">
        <f>IF(T$3="","",IF(COUNTIFS(BD!$A$3:$A$5001,T$3,BD!$B$3:$B$5001,$A$309,BD!$U$3:$U$5001,"&lt;&gt;")=0,"",SUMIFS(BD!$U$3:$U$5001,BD!$A$3:$A$5001,T$3,BD!$B$3:$B$5001,$A$309)))</f>
        <v/>
      </c>
      <c r="U327" s="192" t="str">
        <f>IF(U$3="","",IF(COUNTIFS(BD!$A$3:$A$5001,U$3,BD!$B$3:$B$5001,$A$309,BD!$U$3:$U$5001,"&lt;&gt;")=0,"",SUMIFS(BD!$U$3:$U$5001,BD!$A$3:$A$5001,U$3,BD!$B$3:$B$5001,$A$309)))</f>
        <v/>
      </c>
      <c r="V327" s="192" t="str">
        <f>IF(V$3="","",IF(COUNTIFS(BD!$A$3:$A$5001,V$3,BD!$B$3:$B$5001,$A$309,BD!$U$3:$U$5001,"&lt;&gt;")=0,"",SUMIFS(BD!$U$3:$U$5001,BD!$A$3:$A$5001,V$3,BD!$B$3:$B$5001,$A$309)))</f>
        <v/>
      </c>
      <c r="W327" s="192" t="str">
        <f>IF(W$3="","",IF(COUNTIFS(BD!$A$3:$A$5001,W$3,BD!$B$3:$B$5001,$A$309,BD!$U$3:$U$5001,"&lt;&gt;")=0,"",SUMIFS(BD!$U$3:$U$5001,BD!$A$3:$A$5001,W$3,BD!$B$3:$B$5001,$A$309)))</f>
        <v/>
      </c>
      <c r="X327" s="192" t="str">
        <f>IF(X$3="","",IF(COUNTIFS(BD!$A$3:$A$5001,X$3,BD!$B$3:$B$5001,$A$309,BD!$U$3:$U$5001,"&lt;&gt;")=0,"",SUMIFS(BD!$U$3:$U$5001,BD!$A$3:$A$5001,X$3,BD!$B$3:$B$5001,$A$309)))</f>
        <v/>
      </c>
      <c r="Y327" s="192" t="str">
        <f>IF(Y$3="","",IF(COUNTIFS(BD!$A$3:$A$5001,Y$3,BD!$B$3:$B$5001,$A$309,BD!$U$3:$U$5001,"&lt;&gt;")=0,"",SUMIFS(BD!$U$3:$U$5001,BD!$A$3:$A$5001,Y$3,BD!$B$3:$B$5001,$A$309)))</f>
        <v/>
      </c>
      <c r="Z327" s="192" t="str">
        <f>IF(Z$3="","",IF(COUNTIFS(BD!$A$3:$A$5001,Z$3,BD!$B$3:$B$5001,$A$309,BD!$U$3:$U$5001,"&lt;&gt;")=0,"",SUMIFS(BD!$U$3:$U$5001,BD!$A$3:$A$5001,Z$3,BD!$B$3:$B$5001,$A$309)))</f>
        <v/>
      </c>
      <c r="AA327" s="192" t="str">
        <f>IF(AA$3="","",IF(COUNTIFS(BD!$A$3:$A$5001,AA$3,BD!$B$3:$B$5001,$A$309,BD!$U$3:$U$5001,"&lt;&gt;")=0,"",SUMIFS(BD!$U$3:$U$5001,BD!$A$3:$A$5001,AA$3,BD!$B$3:$B$5001,$A$309)))</f>
        <v/>
      </c>
      <c r="AB327" s="192" t="str">
        <f>IF(AB$3="","",IF(COUNTIFS(BD!$A$3:$A$5001,AB$3,BD!$B$3:$B$5001,$A$309,BD!$U$3:$U$5001,"&lt;&gt;")=0,"",SUMIFS(BD!$U$3:$U$5001,BD!$A$3:$A$5001,AB$3,BD!$B$3:$B$5001,$A$309)))</f>
        <v/>
      </c>
      <c r="AC327" s="192" t="str">
        <f>IF(AC$3="","",IF(COUNTIFS(BD!$A$3:$A$5001,AC$3,BD!$B$3:$B$5001,$A$309,BD!$U$3:$U$5001,"&lt;&gt;")=0,"",SUMIFS(BD!$U$3:$U$5001,BD!$A$3:$A$5001,AC$3,BD!$B$3:$B$5001,$A$309)))</f>
        <v/>
      </c>
      <c r="AD327" s="192" t="str">
        <f>IF(AD$3="","",IF(COUNTIFS(BD!$A$3:$A$5001,AD$3,BD!$B$3:$B$5001,$A$309,BD!$U$3:$U$5001,"&lt;&gt;")=0,"",SUMIFS(BD!$U$3:$U$5001,BD!$A$3:$A$5001,AD$3,BD!$B$3:$B$5001,$A$309)))</f>
        <v/>
      </c>
      <c r="AE327" s="192" t="str">
        <f>IF(AE$3="","",IF(COUNTIFS(BD!$A$3:$A$5001,AE$3,BD!$B$3:$B$5001,$A$309,BD!$U$3:$U$5001,"&lt;&gt;")=0,"",SUMIFS(BD!$U$3:$U$5001,BD!$A$3:$A$5001,AE$3,BD!$B$3:$B$5001,$A$309)))</f>
        <v/>
      </c>
      <c r="AF327" s="192" t="str">
        <f>IF(AF$3="","",IF(COUNTIFS(BD!$A$3:$A$5001,AF$3,BD!$B$3:$B$5001,$A$309,BD!$U$3:$U$5001,"&lt;&gt;")=0,"",SUMIFS(BD!$U$3:$U$5001,BD!$A$3:$A$5001,AF$3,BD!$B$3:$B$5001,$A$309)))</f>
        <v/>
      </c>
      <c r="AG327" s="192" t="str">
        <f>IF(AG$3="","",IF(COUNTIFS(BD!$A$3:$A$5001,AG$3,BD!$B$3:$B$5001,$A$309,BD!$U$3:$U$5001,"&lt;&gt;")=0,"",SUMIFS(BD!$U$3:$U$5001,BD!$A$3:$A$5001,AG$3,BD!$B$3:$B$5001,$A$309)))</f>
        <v/>
      </c>
      <c r="AH327" s="192" t="str">
        <f>IF(AH$3="","",IF(COUNTIFS(BD!$A$3:$A$5001,AH$3,BD!$B$3:$B$5001,$A$309,BD!$U$3:$U$5001,"&lt;&gt;")=0,"",SUMIFS(BD!$U$3:$U$5001,BD!$A$3:$A$5001,AH$3,BD!$B$3:$B$5001,$A$309)))</f>
        <v/>
      </c>
      <c r="AI327" s="192" t="str">
        <f>IF(AI$3="","",IF(COUNTIFS(BD!$A$3:$A$5001,AI$3,BD!$B$3:$B$5001,$A$309,BD!$U$3:$U$5001,"&lt;&gt;")=0,"",SUMIFS(BD!$U$3:$U$5001,BD!$A$3:$A$5001,AI$3,BD!$B$3:$B$5001,$A$309)))</f>
        <v/>
      </c>
      <c r="AJ327" s="193" t="str">
        <f>IF(AJ$3="","",IF(COUNTIFS(BD!$A$3:$A$5001,AJ$3,BD!$B$3:$B$5001,$A$309,BD!$U$3:$U$5001,"&lt;&gt;")=0,"",SUMIFS(BD!$U$3:$U$5001,BD!$A$3:$A$5001,AJ$3,BD!$B$3:$B$5001,$A$309)))</f>
        <v/>
      </c>
      <c r="AK327" s="194" t="str">
        <f>IF(COUNT(F327:AJ327)=0,"",SUM(F327:AJ327))</f>
        <v/>
      </c>
    </row>
    <row r="328" ht="15.75" customHeight="1" hidden="1">
      <c r="A328" s="244"/>
      <c r="B328" s="238"/>
      <c r="C328" s="195" t="inlineStr">
        <is>
          <t xml:space="preserve">Backlog</t>
        </is>
      </c>
      <c r="D328" s="196" t="str">
        <f>IFERROR(1/(1/INDEX(BD!$AJ$42:$BD$42,MATCH($A$309,BD!$AJ$22:$BD$22,0))),"")</f>
        <v/>
      </c>
      <c r="E328" s="197"/>
      <c r="F328" s="198" t="str">
        <f>IF(F$3="","",IF(COUNTIFS(BD!$A$3:$A$5001,F$3,BD!$B$3:$B$5001,$A$309,BD!$V$3:$V$5001,"&lt;&gt;")=0,"",SUMIFS(BD!$V$3:$V$5001,BD!$A$3:$A$5001,F$3,BD!$B$3:$B$5001,$A$309)))</f>
        <v/>
      </c>
      <c r="G328" s="199" t="str">
        <f>IF(G$3="","",IF(COUNTIFS(BD!$A$3:$A$5001,G$3,BD!$B$3:$B$5001,$A$309,BD!$V$3:$V$5001,"&lt;&gt;")=0,"",SUMIFS(BD!$V$3:$V$5001,BD!$A$3:$A$5001,G$3,BD!$B$3:$B$5001,$A$309)))</f>
        <v/>
      </c>
      <c r="H328" s="199" t="str">
        <f>IF(H$3="","",IF(COUNTIFS(BD!$A$3:$A$5001,H$3,BD!$B$3:$B$5001,$A$309,BD!$V$3:$V$5001,"&lt;&gt;")=0,"",SUMIFS(BD!$V$3:$V$5001,BD!$A$3:$A$5001,H$3,BD!$B$3:$B$5001,$A$309)))</f>
        <v/>
      </c>
      <c r="I328" s="199" t="str">
        <f>IF(I$3="","",IF(COUNTIFS(BD!$A$3:$A$5001,I$3,BD!$B$3:$B$5001,$A$309,BD!$V$3:$V$5001,"&lt;&gt;")=0,"",SUMIFS(BD!$V$3:$V$5001,BD!$A$3:$A$5001,I$3,BD!$B$3:$B$5001,$A$309)))</f>
        <v/>
      </c>
      <c r="J328" s="199" t="str">
        <f>IF(J$3="","",IF(COUNTIFS(BD!$A$3:$A$5001,J$3,BD!$B$3:$B$5001,$A$309,BD!$V$3:$V$5001,"&lt;&gt;")=0,"",SUMIFS(BD!$V$3:$V$5001,BD!$A$3:$A$5001,J$3,BD!$B$3:$B$5001,$A$309)))</f>
        <v/>
      </c>
      <c r="K328" s="199" t="str">
        <f>IF(K$3="","",IF(COUNTIFS(BD!$A$3:$A$5001,K$3,BD!$B$3:$B$5001,$A$309,BD!$V$3:$V$5001,"&lt;&gt;")=0,"",SUMIFS(BD!$V$3:$V$5001,BD!$A$3:$A$5001,K$3,BD!$B$3:$B$5001,$A$309)))</f>
        <v/>
      </c>
      <c r="L328" s="199" t="str">
        <f>IF(L$3="","",IF(COUNTIFS(BD!$A$3:$A$5001,L$3,BD!$B$3:$B$5001,$A$309,BD!$V$3:$V$5001,"&lt;&gt;")=0,"",SUMIFS(BD!$V$3:$V$5001,BD!$A$3:$A$5001,L$3,BD!$B$3:$B$5001,$A$309)))</f>
        <v/>
      </c>
      <c r="M328" s="199" t="str">
        <f>IF(M$3="","",IF(COUNTIFS(BD!$A$3:$A$5001,M$3,BD!$B$3:$B$5001,$A$309,BD!$V$3:$V$5001,"&lt;&gt;")=0,"",SUMIFS(BD!$V$3:$V$5001,BD!$A$3:$A$5001,M$3,BD!$B$3:$B$5001,$A$309)))</f>
        <v/>
      </c>
      <c r="N328" s="199" t="str">
        <f>IF(N$3="","",IF(COUNTIFS(BD!$A$3:$A$5001,N$3,BD!$B$3:$B$5001,$A$309,BD!$V$3:$V$5001,"&lt;&gt;")=0,"",SUMIFS(BD!$V$3:$V$5001,BD!$A$3:$A$5001,N$3,BD!$B$3:$B$5001,$A$309)))</f>
        <v/>
      </c>
      <c r="O328" s="199" t="str">
        <f>IF(O$3="","",IF(COUNTIFS(BD!$A$3:$A$5001,O$3,BD!$B$3:$B$5001,$A$309,BD!$V$3:$V$5001,"&lt;&gt;")=0,"",SUMIFS(BD!$V$3:$V$5001,BD!$A$3:$A$5001,O$3,BD!$B$3:$B$5001,$A$309)))</f>
        <v/>
      </c>
      <c r="P328" s="199" t="str">
        <f>IF(P$3="","",IF(COUNTIFS(BD!$A$3:$A$5001,P$3,BD!$B$3:$B$5001,$A$309,BD!$V$3:$V$5001,"&lt;&gt;")=0,"",SUMIFS(BD!$V$3:$V$5001,BD!$A$3:$A$5001,P$3,BD!$B$3:$B$5001,$A$309)))</f>
        <v/>
      </c>
      <c r="Q328" s="199" t="str">
        <f>IF(Q$3="","",IF(COUNTIFS(BD!$A$3:$A$5001,Q$3,BD!$B$3:$B$5001,$A$309,BD!$V$3:$V$5001,"&lt;&gt;")=0,"",SUMIFS(BD!$V$3:$V$5001,BD!$A$3:$A$5001,Q$3,BD!$B$3:$B$5001,$A$309)))</f>
        <v/>
      </c>
      <c r="R328" s="199" t="str">
        <f>IF(R$3="","",IF(COUNTIFS(BD!$A$3:$A$5001,R$3,BD!$B$3:$B$5001,$A$309,BD!$V$3:$V$5001,"&lt;&gt;")=0,"",SUMIFS(BD!$V$3:$V$5001,BD!$A$3:$A$5001,R$3,BD!$B$3:$B$5001,$A$309)))</f>
        <v/>
      </c>
      <c r="S328" s="199" t="str">
        <f>IF(S$3="","",IF(COUNTIFS(BD!$A$3:$A$5001,S$3,BD!$B$3:$B$5001,$A$309,BD!$V$3:$V$5001,"&lt;&gt;")=0,"",SUMIFS(BD!$V$3:$V$5001,BD!$A$3:$A$5001,S$3,BD!$B$3:$B$5001,$A$309)))</f>
        <v/>
      </c>
      <c r="T328" s="199" t="str">
        <f>IF(T$3="","",IF(COUNTIFS(BD!$A$3:$A$5001,T$3,BD!$B$3:$B$5001,$A$309,BD!$V$3:$V$5001,"&lt;&gt;")=0,"",SUMIFS(BD!$V$3:$V$5001,BD!$A$3:$A$5001,T$3,BD!$B$3:$B$5001,$A$309)))</f>
        <v/>
      </c>
      <c r="U328" s="199" t="str">
        <f>IF(U$3="","",IF(COUNTIFS(BD!$A$3:$A$5001,U$3,BD!$B$3:$B$5001,$A$309,BD!$V$3:$V$5001,"&lt;&gt;")=0,"",SUMIFS(BD!$V$3:$V$5001,BD!$A$3:$A$5001,U$3,BD!$B$3:$B$5001,$A$309)))</f>
        <v/>
      </c>
      <c r="V328" s="199" t="str">
        <f>IF(V$3="","",IF(COUNTIFS(BD!$A$3:$A$5001,V$3,BD!$B$3:$B$5001,$A$309,BD!$V$3:$V$5001,"&lt;&gt;")=0,"",SUMIFS(BD!$V$3:$V$5001,BD!$A$3:$A$5001,V$3,BD!$B$3:$B$5001,$A$309)))</f>
        <v/>
      </c>
      <c r="W328" s="199" t="str">
        <f>IF(W$3="","",IF(COUNTIFS(BD!$A$3:$A$5001,W$3,BD!$B$3:$B$5001,$A$309,BD!$V$3:$V$5001,"&lt;&gt;")=0,"",SUMIFS(BD!$V$3:$V$5001,BD!$A$3:$A$5001,W$3,BD!$B$3:$B$5001,$A$309)))</f>
        <v/>
      </c>
      <c r="X328" s="199" t="str">
        <f>IF(X$3="","",IF(COUNTIFS(BD!$A$3:$A$5001,X$3,BD!$B$3:$B$5001,$A$309,BD!$V$3:$V$5001,"&lt;&gt;")=0,"",SUMIFS(BD!$V$3:$V$5001,BD!$A$3:$A$5001,X$3,BD!$B$3:$B$5001,$A$309)))</f>
        <v/>
      </c>
      <c r="Y328" s="199" t="str">
        <f>IF(Y$3="","",IF(COUNTIFS(BD!$A$3:$A$5001,Y$3,BD!$B$3:$B$5001,$A$309,BD!$V$3:$V$5001,"&lt;&gt;")=0,"",SUMIFS(BD!$V$3:$V$5001,BD!$A$3:$A$5001,Y$3,BD!$B$3:$B$5001,$A$309)))</f>
        <v/>
      </c>
      <c r="Z328" s="199" t="str">
        <f>IF(Z$3="","",IF(COUNTIFS(BD!$A$3:$A$5001,Z$3,BD!$B$3:$B$5001,$A$309,BD!$V$3:$V$5001,"&lt;&gt;")=0,"",SUMIFS(BD!$V$3:$V$5001,BD!$A$3:$A$5001,Z$3,BD!$B$3:$B$5001,$A$309)))</f>
        <v/>
      </c>
      <c r="AA328" s="199" t="str">
        <f>IF(AA$3="","",IF(COUNTIFS(BD!$A$3:$A$5001,AA$3,BD!$B$3:$B$5001,$A$309,BD!$V$3:$V$5001,"&lt;&gt;")=0,"",SUMIFS(BD!$V$3:$V$5001,BD!$A$3:$A$5001,AA$3,BD!$B$3:$B$5001,$A$309)))</f>
        <v/>
      </c>
      <c r="AB328" s="199" t="str">
        <f>IF(AB$3="","",IF(COUNTIFS(BD!$A$3:$A$5001,AB$3,BD!$B$3:$B$5001,$A$309,BD!$V$3:$V$5001,"&lt;&gt;")=0,"",SUMIFS(BD!$V$3:$V$5001,BD!$A$3:$A$5001,AB$3,BD!$B$3:$B$5001,$A$309)))</f>
        <v/>
      </c>
      <c r="AC328" s="199" t="str">
        <f>IF(AC$3="","",IF(COUNTIFS(BD!$A$3:$A$5001,AC$3,BD!$B$3:$B$5001,$A$309,BD!$V$3:$V$5001,"&lt;&gt;")=0,"",SUMIFS(BD!$V$3:$V$5001,BD!$A$3:$A$5001,AC$3,BD!$B$3:$B$5001,$A$309)))</f>
        <v/>
      </c>
      <c r="AD328" s="199" t="str">
        <f>IF(AD$3="","",IF(COUNTIFS(BD!$A$3:$A$5001,AD$3,BD!$B$3:$B$5001,$A$309,BD!$V$3:$V$5001,"&lt;&gt;")=0,"",SUMIFS(BD!$V$3:$V$5001,BD!$A$3:$A$5001,AD$3,BD!$B$3:$B$5001,$A$309)))</f>
        <v/>
      </c>
      <c r="AE328" s="199" t="str">
        <f>IF(AE$3="","",IF(COUNTIFS(BD!$A$3:$A$5001,AE$3,BD!$B$3:$B$5001,$A$309,BD!$V$3:$V$5001,"&lt;&gt;")=0,"",SUMIFS(BD!$V$3:$V$5001,BD!$A$3:$A$5001,AE$3,BD!$B$3:$B$5001,$A$309)))</f>
        <v/>
      </c>
      <c r="AF328" s="199" t="str">
        <f>IF(AF$3="","",IF(COUNTIFS(BD!$A$3:$A$5001,AF$3,BD!$B$3:$B$5001,$A$309,BD!$V$3:$V$5001,"&lt;&gt;")=0,"",SUMIFS(BD!$V$3:$V$5001,BD!$A$3:$A$5001,AF$3,BD!$B$3:$B$5001,$A$309)))</f>
        <v/>
      </c>
      <c r="AG328" s="199" t="str">
        <f>IF(AG$3="","",IF(COUNTIFS(BD!$A$3:$A$5001,AG$3,BD!$B$3:$B$5001,$A$309,BD!$V$3:$V$5001,"&lt;&gt;")=0,"",SUMIFS(BD!$V$3:$V$5001,BD!$A$3:$A$5001,AG$3,BD!$B$3:$B$5001,$A$309)))</f>
        <v/>
      </c>
      <c r="AH328" s="199" t="str">
        <f>IF(AH$3="","",IF(COUNTIFS(BD!$A$3:$A$5001,AH$3,BD!$B$3:$B$5001,$A$309,BD!$V$3:$V$5001,"&lt;&gt;")=0,"",SUMIFS(BD!$V$3:$V$5001,BD!$A$3:$A$5001,AH$3,BD!$B$3:$B$5001,$A$309)))</f>
        <v/>
      </c>
      <c r="AI328" s="199" t="str">
        <f>IF(AI$3="","",IF(COUNTIFS(BD!$A$3:$A$5001,AI$3,BD!$B$3:$B$5001,$A$309,BD!$V$3:$V$5001,"&lt;&gt;")=0,"",SUMIFS(BD!$V$3:$V$5001,BD!$A$3:$A$5001,AI$3,BD!$B$3:$B$5001,$A$309)))</f>
        <v/>
      </c>
      <c r="AJ328" s="200" t="str">
        <f>IF(AJ$3="","",IF(COUNTIFS(BD!$A$3:$A$5001,AJ$3,BD!$B$3:$B$5001,$A$309,BD!$V$3:$V$5001,"&lt;&gt;")=0,"",SUMIFS(BD!$V$3:$V$5001,BD!$A$3:$A$5001,AJ$3,BD!$B$3:$B$5001,$A$309)))</f>
        <v/>
      </c>
      <c r="AK328" s="196" t="str">
        <f>IFERROR(LOOKUP(9.99E+307,F328:AJ328),"")</f>
        <v/>
      </c>
    </row>
    <row r="329" ht="15.75" customHeight="1" hidden="1">
      <c r="A329" s="244"/>
      <c r="B329" s="232" t="inlineStr">
        <is>
          <t xml:space="preserve">OCUPAÇÃO (P.P)</t>
        </is>
      </c>
      <c r="C329" s="155" t="inlineStr">
        <is>
          <t xml:space="preserve">Posições Disponíveis</t>
        </is>
      </c>
      <c r="D329" s="156" t="str">
        <f>IFERROR(1/(1/INDEX(BD!$AJ$43:$BD$43,MATCH($A$309,BD!$AJ$22:$BD$22,0))),"")</f>
        <v/>
      </c>
      <c r="E329" s="157"/>
      <c r="F329" s="158" t="str">
        <f>IF(F$3="","",IF(COUNTIFS(BD!$A$3:$A$5001,F$3,BD!$B$3:$B$5001,$A$309,BD!$W$3:$W$5001,"&lt;&gt;")=0,"",SUMIFS(BD!$W$3:$W$5001,BD!$A$3:$A$5001,F$3,BD!$B$3:$B$5001,$A$309)))</f>
        <v/>
      </c>
      <c r="G329" s="159" t="str">
        <f>IF(G$3="","",IF(COUNTIFS(BD!$A$3:$A$5001,G$3,BD!$B$3:$B$5001,$A$309,BD!$W$3:$W$5001,"&lt;&gt;")=0,"",SUMIFS(BD!$W$3:$W$5001,BD!$A$3:$A$5001,G$3,BD!$B$3:$B$5001,$A$309)))</f>
        <v/>
      </c>
      <c r="H329" s="159" t="str">
        <f>IF(H$3="","",IF(COUNTIFS(BD!$A$3:$A$5001,H$3,BD!$B$3:$B$5001,$A$309,BD!$W$3:$W$5001,"&lt;&gt;")=0,"",SUMIFS(BD!$W$3:$W$5001,BD!$A$3:$A$5001,H$3,BD!$B$3:$B$5001,$A$309)))</f>
        <v/>
      </c>
      <c r="I329" s="159" t="str">
        <f>IF(I$3="","",IF(COUNTIFS(BD!$A$3:$A$5001,I$3,BD!$B$3:$B$5001,$A$309,BD!$W$3:$W$5001,"&lt;&gt;")=0,"",SUMIFS(BD!$W$3:$W$5001,BD!$A$3:$A$5001,I$3,BD!$B$3:$B$5001,$A$309)))</f>
        <v/>
      </c>
      <c r="J329" s="159" t="str">
        <f>IF(J$3="","",IF(COUNTIFS(BD!$A$3:$A$5001,J$3,BD!$B$3:$B$5001,$A$309,BD!$W$3:$W$5001,"&lt;&gt;")=0,"",SUMIFS(BD!$W$3:$W$5001,BD!$A$3:$A$5001,J$3,BD!$B$3:$B$5001,$A$309)))</f>
        <v/>
      </c>
      <c r="K329" s="159" t="str">
        <f>IF(K$3="","",IF(COUNTIFS(BD!$A$3:$A$5001,K$3,BD!$B$3:$B$5001,$A$309,BD!$W$3:$W$5001,"&lt;&gt;")=0,"",SUMIFS(BD!$W$3:$W$5001,BD!$A$3:$A$5001,K$3,BD!$B$3:$B$5001,$A$309)))</f>
        <v/>
      </c>
      <c r="L329" s="159" t="str">
        <f>IF(L$3="","",IF(COUNTIFS(BD!$A$3:$A$5001,L$3,BD!$B$3:$B$5001,$A$309,BD!$W$3:$W$5001,"&lt;&gt;")=0,"",SUMIFS(BD!$W$3:$W$5001,BD!$A$3:$A$5001,L$3,BD!$B$3:$B$5001,$A$309)))</f>
        <v/>
      </c>
      <c r="M329" s="159" t="str">
        <f>IF(M$3="","",IF(COUNTIFS(BD!$A$3:$A$5001,M$3,BD!$B$3:$B$5001,$A$309,BD!$W$3:$W$5001,"&lt;&gt;")=0,"",SUMIFS(BD!$W$3:$W$5001,BD!$A$3:$A$5001,M$3,BD!$B$3:$B$5001,$A$309)))</f>
        <v/>
      </c>
      <c r="N329" s="159" t="str">
        <f>IF(N$3="","",IF(COUNTIFS(BD!$A$3:$A$5001,N$3,BD!$B$3:$B$5001,$A$309,BD!$W$3:$W$5001,"&lt;&gt;")=0,"",SUMIFS(BD!$W$3:$W$5001,BD!$A$3:$A$5001,N$3,BD!$B$3:$B$5001,$A$309)))</f>
        <v/>
      </c>
      <c r="O329" s="159" t="str">
        <f>IF(O$3="","",IF(COUNTIFS(BD!$A$3:$A$5001,O$3,BD!$B$3:$B$5001,$A$309,BD!$W$3:$W$5001,"&lt;&gt;")=0,"",SUMIFS(BD!$W$3:$W$5001,BD!$A$3:$A$5001,O$3,BD!$B$3:$B$5001,$A$309)))</f>
        <v/>
      </c>
      <c r="P329" s="159" t="str">
        <f>IF(P$3="","",IF(COUNTIFS(BD!$A$3:$A$5001,P$3,BD!$B$3:$B$5001,$A$309,BD!$W$3:$W$5001,"&lt;&gt;")=0,"",SUMIFS(BD!$W$3:$W$5001,BD!$A$3:$A$5001,P$3,BD!$B$3:$B$5001,$A$309)))</f>
        <v/>
      </c>
      <c r="Q329" s="159" t="str">
        <f>IF(Q$3="","",IF(COUNTIFS(BD!$A$3:$A$5001,Q$3,BD!$B$3:$B$5001,$A$309,BD!$W$3:$W$5001,"&lt;&gt;")=0,"",SUMIFS(BD!$W$3:$W$5001,BD!$A$3:$A$5001,Q$3,BD!$B$3:$B$5001,$A$309)))</f>
        <v/>
      </c>
      <c r="R329" s="159" t="str">
        <f>IF(R$3="","",IF(COUNTIFS(BD!$A$3:$A$5001,R$3,BD!$B$3:$B$5001,$A$309,BD!$W$3:$W$5001,"&lt;&gt;")=0,"",SUMIFS(BD!$W$3:$W$5001,BD!$A$3:$A$5001,R$3,BD!$B$3:$B$5001,$A$309)))</f>
        <v/>
      </c>
      <c r="S329" s="159" t="str">
        <f>IF(S$3="","",IF(COUNTIFS(BD!$A$3:$A$5001,S$3,BD!$B$3:$B$5001,$A$309,BD!$W$3:$W$5001,"&lt;&gt;")=0,"",SUMIFS(BD!$W$3:$W$5001,BD!$A$3:$A$5001,S$3,BD!$B$3:$B$5001,$A$309)))</f>
        <v/>
      </c>
      <c r="T329" s="159" t="str">
        <f>IF(T$3="","",IF(COUNTIFS(BD!$A$3:$A$5001,T$3,BD!$B$3:$B$5001,$A$309,BD!$W$3:$W$5001,"&lt;&gt;")=0,"",SUMIFS(BD!$W$3:$W$5001,BD!$A$3:$A$5001,T$3,BD!$B$3:$B$5001,$A$309)))</f>
        <v/>
      </c>
      <c r="U329" s="159" t="str">
        <f>IF(U$3="","",IF(COUNTIFS(BD!$A$3:$A$5001,U$3,BD!$B$3:$B$5001,$A$309,BD!$W$3:$W$5001,"&lt;&gt;")=0,"",SUMIFS(BD!$W$3:$W$5001,BD!$A$3:$A$5001,U$3,BD!$B$3:$B$5001,$A$309)))</f>
        <v/>
      </c>
      <c r="V329" s="159" t="str">
        <f>IF(V$3="","",IF(COUNTIFS(BD!$A$3:$A$5001,V$3,BD!$B$3:$B$5001,$A$309,BD!$W$3:$W$5001,"&lt;&gt;")=0,"",SUMIFS(BD!$W$3:$W$5001,BD!$A$3:$A$5001,V$3,BD!$B$3:$B$5001,$A$309)))</f>
        <v/>
      </c>
      <c r="W329" s="159" t="str">
        <f>IF(W$3="","",IF(COUNTIFS(BD!$A$3:$A$5001,W$3,BD!$B$3:$B$5001,$A$309,BD!$W$3:$W$5001,"&lt;&gt;")=0,"",SUMIFS(BD!$W$3:$W$5001,BD!$A$3:$A$5001,W$3,BD!$B$3:$B$5001,$A$309)))</f>
        <v/>
      </c>
      <c r="X329" s="159" t="str">
        <f>IF(X$3="","",IF(COUNTIFS(BD!$A$3:$A$5001,X$3,BD!$B$3:$B$5001,$A$309,BD!$W$3:$W$5001,"&lt;&gt;")=0,"",SUMIFS(BD!$W$3:$W$5001,BD!$A$3:$A$5001,X$3,BD!$B$3:$B$5001,$A$309)))</f>
        <v/>
      </c>
      <c r="Y329" s="159" t="str">
        <f>IF(Y$3="","",IF(COUNTIFS(BD!$A$3:$A$5001,Y$3,BD!$B$3:$B$5001,$A$309,BD!$W$3:$W$5001,"&lt;&gt;")=0,"",SUMIFS(BD!$W$3:$W$5001,BD!$A$3:$A$5001,Y$3,BD!$B$3:$B$5001,$A$309)))</f>
        <v/>
      </c>
      <c r="Z329" s="159" t="str">
        <f>IF(Z$3="","",IF(COUNTIFS(BD!$A$3:$A$5001,Z$3,BD!$B$3:$B$5001,$A$309,BD!$W$3:$W$5001,"&lt;&gt;")=0,"",SUMIFS(BD!$W$3:$W$5001,BD!$A$3:$A$5001,Z$3,BD!$B$3:$B$5001,$A$309)))</f>
        <v/>
      </c>
      <c r="AA329" s="159" t="str">
        <f>IF(AA$3="","",IF(COUNTIFS(BD!$A$3:$A$5001,AA$3,BD!$B$3:$B$5001,$A$309,BD!$W$3:$W$5001,"&lt;&gt;")=0,"",SUMIFS(BD!$W$3:$W$5001,BD!$A$3:$A$5001,AA$3,BD!$B$3:$B$5001,$A$309)))</f>
        <v/>
      </c>
      <c r="AB329" s="159" t="str">
        <f>IF(AB$3="","",IF(COUNTIFS(BD!$A$3:$A$5001,AB$3,BD!$B$3:$B$5001,$A$309,BD!$W$3:$W$5001,"&lt;&gt;")=0,"",SUMIFS(BD!$W$3:$W$5001,BD!$A$3:$A$5001,AB$3,BD!$B$3:$B$5001,$A$309)))</f>
        <v/>
      </c>
      <c r="AC329" s="159" t="str">
        <f>IF(AC$3="","",IF(COUNTIFS(BD!$A$3:$A$5001,AC$3,BD!$B$3:$B$5001,$A$309,BD!$W$3:$W$5001,"&lt;&gt;")=0,"",SUMIFS(BD!$W$3:$W$5001,BD!$A$3:$A$5001,AC$3,BD!$B$3:$B$5001,$A$309)))</f>
        <v/>
      </c>
      <c r="AD329" s="159" t="str">
        <f>IF(AD$3="","",IF(COUNTIFS(BD!$A$3:$A$5001,AD$3,BD!$B$3:$B$5001,$A$309,BD!$W$3:$W$5001,"&lt;&gt;")=0,"",SUMIFS(BD!$W$3:$W$5001,BD!$A$3:$A$5001,AD$3,BD!$B$3:$B$5001,$A$309)))</f>
        <v/>
      </c>
      <c r="AE329" s="159" t="str">
        <f>IF(AE$3="","",IF(COUNTIFS(BD!$A$3:$A$5001,AE$3,BD!$B$3:$B$5001,$A$309,BD!$W$3:$W$5001,"&lt;&gt;")=0,"",SUMIFS(BD!$W$3:$W$5001,BD!$A$3:$A$5001,AE$3,BD!$B$3:$B$5001,$A$309)))</f>
        <v/>
      </c>
      <c r="AF329" s="159" t="str">
        <f>IF(AF$3="","",IF(COUNTIFS(BD!$A$3:$A$5001,AF$3,BD!$B$3:$B$5001,$A$309,BD!$W$3:$W$5001,"&lt;&gt;")=0,"",SUMIFS(BD!$W$3:$W$5001,BD!$A$3:$A$5001,AF$3,BD!$B$3:$B$5001,$A$309)))</f>
        <v/>
      </c>
      <c r="AG329" s="159" t="str">
        <f>IF(AG$3="","",IF(COUNTIFS(BD!$A$3:$A$5001,AG$3,BD!$B$3:$B$5001,$A$309,BD!$W$3:$W$5001,"&lt;&gt;")=0,"",SUMIFS(BD!$W$3:$W$5001,BD!$A$3:$A$5001,AG$3,BD!$B$3:$B$5001,$A$309)))</f>
        <v/>
      </c>
      <c r="AH329" s="159" t="str">
        <f>IF(AH$3="","",IF(COUNTIFS(BD!$A$3:$A$5001,AH$3,BD!$B$3:$B$5001,$A$309,BD!$W$3:$W$5001,"&lt;&gt;")=0,"",SUMIFS(BD!$W$3:$W$5001,BD!$A$3:$A$5001,AH$3,BD!$B$3:$B$5001,$A$309)))</f>
        <v/>
      </c>
      <c r="AI329" s="159" t="str">
        <f>IF(AI$3="","",IF(COUNTIFS(BD!$A$3:$A$5001,AI$3,BD!$B$3:$B$5001,$A$309,BD!$W$3:$W$5001,"&lt;&gt;")=0,"",SUMIFS(BD!$W$3:$W$5001,BD!$A$3:$A$5001,AI$3,BD!$B$3:$B$5001,$A$309)))</f>
        <v/>
      </c>
      <c r="AJ329" s="160" t="str">
        <f>IF(AJ$3="","",IF(COUNTIFS(BD!$A$3:$A$5001,AJ$3,BD!$B$3:$B$5001,$A$309,BD!$W$3:$W$5001,"&lt;&gt;")=0,"",SUMIFS(BD!$W$3:$W$5001,BD!$A$3:$A$5001,AJ$3,BD!$B$3:$B$5001,$A$309)))</f>
        <v/>
      </c>
      <c r="AK329" s="161" t="str">
        <f>IF(COUNT(F329:AJ329)&gt;0,LOOKUP(9.99E+307,F329:AJ329),IFERROR(IF(INDEX(BD!$AG$3:$AG$5001,MATCH($A$309,BD!$B$3:$B$5001,0))&amp;""="Contrato","",INDEX(BD!$AG$3:$AG$5001,MATCH($A$309,BD!$B$3:$B$5001,0))&amp;""),""))</f>
        <v/>
      </c>
    </row>
    <row r="330" ht="15.75" customHeight="1" hidden="1">
      <c r="A330" s="244"/>
      <c r="B330" s="239"/>
      <c r="C330" s="201" t="inlineStr">
        <is>
          <t xml:space="preserve">Posições Ocupadas</t>
        </is>
      </c>
      <c r="D330" s="202" t="str">
        <f>IFERROR(1/(1/INDEX(BD!$AJ$44:$BD$44,MATCH($A$309,BD!$AJ$22:$BD$22,0))),"")</f>
        <v/>
      </c>
      <c r="E330" s="203"/>
      <c r="F330" s="204" t="str">
        <f>IF(F$3="","",IF(COUNTIFS(BD!$A$3:$A$5001,F$3,BD!$B$3:$B$5001,$A$309,BD!$X$3:$X$5001,"&lt;&gt;")=0,"",SUMIFS(BD!$X$3:$X$5001,BD!$A$3:$A$5001,F$3,BD!$B$3:$B$5001,$A$309)))</f>
        <v/>
      </c>
      <c r="G330" s="205" t="str">
        <f>IF(G$3="","",IF(COUNTIFS(BD!$A$3:$A$5001,G$3,BD!$B$3:$B$5001,$A$309,BD!$X$3:$X$5001,"&lt;&gt;")=0,"",SUMIFS(BD!$X$3:$X$5001,BD!$A$3:$A$5001,G$3,BD!$B$3:$B$5001,$A$309)))</f>
        <v/>
      </c>
      <c r="H330" s="205" t="str">
        <f>IF(H$3="","",IF(COUNTIFS(BD!$A$3:$A$5001,H$3,BD!$B$3:$B$5001,$A$309,BD!$X$3:$X$5001,"&lt;&gt;")=0,"",SUMIFS(BD!$X$3:$X$5001,BD!$A$3:$A$5001,H$3,BD!$B$3:$B$5001,$A$309)))</f>
        <v/>
      </c>
      <c r="I330" s="205" t="str">
        <f>IF(I$3="","",IF(COUNTIFS(BD!$A$3:$A$5001,I$3,BD!$B$3:$B$5001,$A$309,BD!$X$3:$X$5001,"&lt;&gt;")=0,"",SUMIFS(BD!$X$3:$X$5001,BD!$A$3:$A$5001,I$3,BD!$B$3:$B$5001,$A$309)))</f>
        <v/>
      </c>
      <c r="J330" s="205" t="str">
        <f>IF(J$3="","",IF(COUNTIFS(BD!$A$3:$A$5001,J$3,BD!$B$3:$B$5001,$A$309,BD!$X$3:$X$5001,"&lt;&gt;")=0,"",SUMIFS(BD!$X$3:$X$5001,BD!$A$3:$A$5001,J$3,BD!$B$3:$B$5001,$A$309)))</f>
        <v/>
      </c>
      <c r="K330" s="205" t="str">
        <f>IF(K$3="","",IF(COUNTIFS(BD!$A$3:$A$5001,K$3,BD!$B$3:$B$5001,$A$309,BD!$X$3:$X$5001,"&lt;&gt;")=0,"",SUMIFS(BD!$X$3:$X$5001,BD!$A$3:$A$5001,K$3,BD!$B$3:$B$5001,$A$309)))</f>
        <v/>
      </c>
      <c r="L330" s="205" t="str">
        <f>IF(L$3="","",IF(COUNTIFS(BD!$A$3:$A$5001,L$3,BD!$B$3:$B$5001,$A$309,BD!$X$3:$X$5001,"&lt;&gt;")=0,"",SUMIFS(BD!$X$3:$X$5001,BD!$A$3:$A$5001,L$3,BD!$B$3:$B$5001,$A$309)))</f>
        <v/>
      </c>
      <c r="M330" s="205" t="str">
        <f>IF(M$3="","",IF(COUNTIFS(BD!$A$3:$A$5001,M$3,BD!$B$3:$B$5001,$A$309,BD!$X$3:$X$5001,"&lt;&gt;")=0,"",SUMIFS(BD!$X$3:$X$5001,BD!$A$3:$A$5001,M$3,BD!$B$3:$B$5001,$A$309)))</f>
        <v/>
      </c>
      <c r="N330" s="205" t="str">
        <f>IF(N$3="","",IF(COUNTIFS(BD!$A$3:$A$5001,N$3,BD!$B$3:$B$5001,$A$309,BD!$X$3:$X$5001,"&lt;&gt;")=0,"",SUMIFS(BD!$X$3:$X$5001,BD!$A$3:$A$5001,N$3,BD!$B$3:$B$5001,$A$309)))</f>
        <v/>
      </c>
      <c r="O330" s="205" t="str">
        <f>IF(O$3="","",IF(COUNTIFS(BD!$A$3:$A$5001,O$3,BD!$B$3:$B$5001,$A$309,BD!$X$3:$X$5001,"&lt;&gt;")=0,"",SUMIFS(BD!$X$3:$X$5001,BD!$A$3:$A$5001,O$3,BD!$B$3:$B$5001,$A$309)))</f>
        <v/>
      </c>
      <c r="P330" s="205" t="str">
        <f>IF(P$3="","",IF(COUNTIFS(BD!$A$3:$A$5001,P$3,BD!$B$3:$B$5001,$A$309,BD!$X$3:$X$5001,"&lt;&gt;")=0,"",SUMIFS(BD!$X$3:$X$5001,BD!$A$3:$A$5001,P$3,BD!$B$3:$B$5001,$A$309)))</f>
        <v/>
      </c>
      <c r="Q330" s="205" t="str">
        <f>IF(Q$3="","",IF(COUNTIFS(BD!$A$3:$A$5001,Q$3,BD!$B$3:$B$5001,$A$309,BD!$X$3:$X$5001,"&lt;&gt;")=0,"",SUMIFS(BD!$X$3:$X$5001,BD!$A$3:$A$5001,Q$3,BD!$B$3:$B$5001,$A$309)))</f>
        <v/>
      </c>
      <c r="R330" s="205" t="str">
        <f>IF(R$3="","",IF(COUNTIFS(BD!$A$3:$A$5001,R$3,BD!$B$3:$B$5001,$A$309,BD!$X$3:$X$5001,"&lt;&gt;")=0,"",SUMIFS(BD!$X$3:$X$5001,BD!$A$3:$A$5001,R$3,BD!$B$3:$B$5001,$A$309)))</f>
        <v/>
      </c>
      <c r="S330" s="205" t="str">
        <f>IF(S$3="","",IF(COUNTIFS(BD!$A$3:$A$5001,S$3,BD!$B$3:$B$5001,$A$309,BD!$X$3:$X$5001,"&lt;&gt;")=0,"",SUMIFS(BD!$X$3:$X$5001,BD!$A$3:$A$5001,S$3,BD!$B$3:$B$5001,$A$309)))</f>
        <v/>
      </c>
      <c r="T330" s="205" t="str">
        <f>IF(T$3="","",IF(COUNTIFS(BD!$A$3:$A$5001,T$3,BD!$B$3:$B$5001,$A$309,BD!$X$3:$X$5001,"&lt;&gt;")=0,"",SUMIFS(BD!$X$3:$X$5001,BD!$A$3:$A$5001,T$3,BD!$B$3:$B$5001,$A$309)))</f>
        <v/>
      </c>
      <c r="U330" s="205" t="str">
        <f>IF(U$3="","",IF(COUNTIFS(BD!$A$3:$A$5001,U$3,BD!$B$3:$B$5001,$A$309,BD!$X$3:$X$5001,"&lt;&gt;")=0,"",SUMIFS(BD!$X$3:$X$5001,BD!$A$3:$A$5001,U$3,BD!$B$3:$B$5001,$A$309)))</f>
        <v/>
      </c>
      <c r="V330" s="205" t="str">
        <f>IF(V$3="","",IF(COUNTIFS(BD!$A$3:$A$5001,V$3,BD!$B$3:$B$5001,$A$309,BD!$X$3:$X$5001,"&lt;&gt;")=0,"",SUMIFS(BD!$X$3:$X$5001,BD!$A$3:$A$5001,V$3,BD!$B$3:$B$5001,$A$309)))</f>
        <v/>
      </c>
      <c r="W330" s="205" t="str">
        <f>IF(W$3="","",IF(COUNTIFS(BD!$A$3:$A$5001,W$3,BD!$B$3:$B$5001,$A$309,BD!$X$3:$X$5001,"&lt;&gt;")=0,"",SUMIFS(BD!$X$3:$X$5001,BD!$A$3:$A$5001,W$3,BD!$B$3:$B$5001,$A$309)))</f>
        <v/>
      </c>
      <c r="X330" s="205" t="str">
        <f>IF(X$3="","",IF(COUNTIFS(BD!$A$3:$A$5001,X$3,BD!$B$3:$B$5001,$A$309,BD!$X$3:$X$5001,"&lt;&gt;")=0,"",SUMIFS(BD!$X$3:$X$5001,BD!$A$3:$A$5001,X$3,BD!$B$3:$B$5001,$A$309)))</f>
        <v/>
      </c>
      <c r="Y330" s="205" t="str">
        <f>IF(Y$3="","",IF(COUNTIFS(BD!$A$3:$A$5001,Y$3,BD!$B$3:$B$5001,$A$309,BD!$X$3:$X$5001,"&lt;&gt;")=0,"",SUMIFS(BD!$X$3:$X$5001,BD!$A$3:$A$5001,Y$3,BD!$B$3:$B$5001,$A$309)))</f>
        <v/>
      </c>
      <c r="Z330" s="205" t="str">
        <f>IF(Z$3="","",IF(COUNTIFS(BD!$A$3:$A$5001,Z$3,BD!$B$3:$B$5001,$A$309,BD!$X$3:$X$5001,"&lt;&gt;")=0,"",SUMIFS(BD!$X$3:$X$5001,BD!$A$3:$A$5001,Z$3,BD!$B$3:$B$5001,$A$309)))</f>
        <v/>
      </c>
      <c r="AA330" s="205" t="str">
        <f>IF(AA$3="","",IF(COUNTIFS(BD!$A$3:$A$5001,AA$3,BD!$B$3:$B$5001,$A$309,BD!$X$3:$X$5001,"&lt;&gt;")=0,"",SUMIFS(BD!$X$3:$X$5001,BD!$A$3:$A$5001,AA$3,BD!$B$3:$B$5001,$A$309)))</f>
        <v/>
      </c>
      <c r="AB330" s="205" t="str">
        <f>IF(AB$3="","",IF(COUNTIFS(BD!$A$3:$A$5001,AB$3,BD!$B$3:$B$5001,$A$309,BD!$X$3:$X$5001,"&lt;&gt;")=0,"",SUMIFS(BD!$X$3:$X$5001,BD!$A$3:$A$5001,AB$3,BD!$B$3:$B$5001,$A$309)))</f>
        <v/>
      </c>
      <c r="AC330" s="205" t="str">
        <f>IF(AC$3="","",IF(COUNTIFS(BD!$A$3:$A$5001,AC$3,BD!$B$3:$B$5001,$A$309,BD!$X$3:$X$5001,"&lt;&gt;")=0,"",SUMIFS(BD!$X$3:$X$5001,BD!$A$3:$A$5001,AC$3,BD!$B$3:$B$5001,$A$309)))</f>
        <v/>
      </c>
      <c r="AD330" s="205" t="str">
        <f>IF(AD$3="","",IF(COUNTIFS(BD!$A$3:$A$5001,AD$3,BD!$B$3:$B$5001,$A$309,BD!$X$3:$X$5001,"&lt;&gt;")=0,"",SUMIFS(BD!$X$3:$X$5001,BD!$A$3:$A$5001,AD$3,BD!$B$3:$B$5001,$A$309)))</f>
        <v/>
      </c>
      <c r="AE330" s="205" t="str">
        <f>IF(AE$3="","",IF(COUNTIFS(BD!$A$3:$A$5001,AE$3,BD!$B$3:$B$5001,$A$309,BD!$X$3:$X$5001,"&lt;&gt;")=0,"",SUMIFS(BD!$X$3:$X$5001,BD!$A$3:$A$5001,AE$3,BD!$B$3:$B$5001,$A$309)))</f>
        <v/>
      </c>
      <c r="AF330" s="205" t="str">
        <f>IF(AF$3="","",IF(COUNTIFS(BD!$A$3:$A$5001,AF$3,BD!$B$3:$B$5001,$A$309,BD!$X$3:$X$5001,"&lt;&gt;")=0,"",SUMIFS(BD!$X$3:$X$5001,BD!$A$3:$A$5001,AF$3,BD!$B$3:$B$5001,$A$309)))</f>
        <v/>
      </c>
      <c r="AG330" s="205" t="str">
        <f>IF(AG$3="","",IF(COUNTIFS(BD!$A$3:$A$5001,AG$3,BD!$B$3:$B$5001,$A$309,BD!$X$3:$X$5001,"&lt;&gt;")=0,"",SUMIFS(BD!$X$3:$X$5001,BD!$A$3:$A$5001,AG$3,BD!$B$3:$B$5001,$A$309)))</f>
        <v/>
      </c>
      <c r="AH330" s="205" t="str">
        <f>IF(AH$3="","",IF(COUNTIFS(BD!$A$3:$A$5001,AH$3,BD!$B$3:$B$5001,$A$309,BD!$X$3:$X$5001,"&lt;&gt;")=0,"",SUMIFS(BD!$X$3:$X$5001,BD!$A$3:$A$5001,AH$3,BD!$B$3:$B$5001,$A$309)))</f>
        <v/>
      </c>
      <c r="AI330" s="205" t="str">
        <f>IF(AI$3="","",IF(COUNTIFS(BD!$A$3:$A$5001,AI$3,BD!$B$3:$B$5001,$A$309,BD!$X$3:$X$5001,"&lt;&gt;")=0,"",SUMIFS(BD!$X$3:$X$5001,BD!$A$3:$A$5001,AI$3,BD!$B$3:$B$5001,$A$309)))</f>
        <v/>
      </c>
      <c r="AJ330" s="206" t="str">
        <f>IF(AJ$3="","",IF(COUNTIFS(BD!$A$3:$A$5001,AJ$3,BD!$B$3:$B$5001,$A$309,BD!$X$3:$X$5001,"&lt;&gt;")=0,"",SUMIFS(BD!$X$3:$X$5001,BD!$A$3:$A$5001,AJ$3,BD!$B$3:$B$5001,$A$309)))</f>
        <v/>
      </c>
      <c r="AK330" s="207" t="str">
        <f>IFERROR(LOOKUP(9.99E+307,F330:AJ330),"")</f>
        <v/>
      </c>
    </row>
    <row r="331" ht="15.75" customHeight="1" hidden="1">
      <c r="A331" s="244"/>
      <c r="B331" s="233"/>
      <c r="C331" s="162" t="inlineStr">
        <is>
          <t xml:space="preserve">Taxa de Ocupação</t>
        </is>
      </c>
      <c r="D331" s="208" t="str">
        <f>IFERROR(1/(1/INDEX(BD!$AJ$45:$BD$45,MATCH($A$309,BD!$AJ$22:$BD$22,0))),"")</f>
        <v/>
      </c>
      <c r="E331" s="164"/>
      <c r="F331" s="209" t="str">
        <f>IF(AND(ISNUMBER(F329),ISNUMBER(F330)),IF(F329&gt;0,F330/F329,""),"")</f>
        <v/>
      </c>
      <c r="G331" s="210" t="str">
        <f>IF(AND(ISNUMBER(G329),ISNUMBER(G330)),IF(G329&gt;0,G330/G329,""),"")</f>
        <v/>
      </c>
      <c r="H331" s="210" t="str">
        <f>IF(AND(ISNUMBER(H329),ISNUMBER(H330)),IF(H329&gt;0,H330/H329,""),"")</f>
        <v/>
      </c>
      <c r="I331" s="210" t="str">
        <f>IF(AND(ISNUMBER(I329),ISNUMBER(I330)),IF(I329&gt;0,I330/I329,""),"")</f>
        <v/>
      </c>
      <c r="J331" s="210" t="str">
        <f>IF(AND(ISNUMBER(J329),ISNUMBER(J330)),IF(J329&gt;0,J330/J329,""),"")</f>
        <v/>
      </c>
      <c r="K331" s="210" t="str">
        <f>IF(AND(ISNUMBER(K329),ISNUMBER(K330)),IF(K329&gt;0,K330/K329,""),"")</f>
        <v/>
      </c>
      <c r="L331" s="210" t="str">
        <f>IF(AND(ISNUMBER(L329),ISNUMBER(L330)),IF(L329&gt;0,L330/L329,""),"")</f>
        <v/>
      </c>
      <c r="M331" s="210" t="str">
        <f>IF(AND(ISNUMBER(M329),ISNUMBER(M330)),IF(M329&gt;0,M330/M329,""),"")</f>
        <v/>
      </c>
      <c r="N331" s="210" t="str">
        <f>IF(AND(ISNUMBER(N329),ISNUMBER(N330)),IF(N329&gt;0,N330/N329,""),"")</f>
        <v/>
      </c>
      <c r="O331" s="210" t="str">
        <f>IF(AND(ISNUMBER(O329),ISNUMBER(O330)),IF(O329&gt;0,O330/O329,""),"")</f>
        <v/>
      </c>
      <c r="P331" s="210" t="str">
        <f>IF(AND(ISNUMBER(P329),ISNUMBER(P330)),IF(P329&gt;0,P330/P329,""),"")</f>
        <v/>
      </c>
      <c r="Q331" s="210" t="str">
        <f>IF(AND(ISNUMBER(Q329),ISNUMBER(Q330)),IF(Q329&gt;0,Q330/Q329,""),"")</f>
        <v/>
      </c>
      <c r="R331" s="210" t="str">
        <f>IF(AND(ISNUMBER(R329),ISNUMBER(R330)),IF(R329&gt;0,R330/R329,""),"")</f>
        <v/>
      </c>
      <c r="S331" s="210" t="str">
        <f>IF(AND(ISNUMBER(S329),ISNUMBER(S330)),IF(S329&gt;0,S330/S329,""),"")</f>
        <v/>
      </c>
      <c r="T331" s="210" t="str">
        <f>IF(AND(ISNUMBER(T329),ISNUMBER(T330)),IF(T329&gt;0,T330/T329,""),"")</f>
        <v/>
      </c>
      <c r="U331" s="210" t="str">
        <f>IF(AND(ISNUMBER(U329),ISNUMBER(U330)),IF(U329&gt;0,U330/U329,""),"")</f>
        <v/>
      </c>
      <c r="V331" s="210" t="str">
        <f>IF(AND(ISNUMBER(V329),ISNUMBER(V330)),IF(V329&gt;0,V330/V329,""),"")</f>
        <v/>
      </c>
      <c r="W331" s="210" t="str">
        <f>IF(AND(ISNUMBER(W329),ISNUMBER(W330)),IF(W329&gt;0,W330/W329,""),"")</f>
        <v/>
      </c>
      <c r="X331" s="210" t="str">
        <f>IF(AND(ISNUMBER(X329),ISNUMBER(X330)),IF(X329&gt;0,X330/X329,""),"")</f>
        <v/>
      </c>
      <c r="Y331" s="210" t="str">
        <f>IF(AND(ISNUMBER(Y329),ISNUMBER(Y330)),IF(Y329&gt;0,Y330/Y329,""),"")</f>
        <v/>
      </c>
      <c r="Z331" s="210" t="str">
        <f>IF(AND(ISNUMBER(Z329),ISNUMBER(Z330)),IF(Z329&gt;0,Z330/Z329,""),"")</f>
        <v/>
      </c>
      <c r="AA331" s="210" t="str">
        <f>IF(AND(ISNUMBER(AA329),ISNUMBER(AA330)),IF(AA329&gt;0,AA330/AA329,""),"")</f>
        <v/>
      </c>
      <c r="AB331" s="210" t="str">
        <f>IF(AND(ISNUMBER(AB329),ISNUMBER(AB330)),IF(AB329&gt;0,AB330/AB329,""),"")</f>
        <v/>
      </c>
      <c r="AC331" s="210" t="str">
        <f>IF(AND(ISNUMBER(AC329),ISNUMBER(AC330)),IF(AC329&gt;0,AC330/AC329,""),"")</f>
        <v/>
      </c>
      <c r="AD331" s="210" t="str">
        <f>IF(AND(ISNUMBER(AD329),ISNUMBER(AD330)),IF(AD329&gt;0,AD330/AD329,""),"")</f>
        <v/>
      </c>
      <c r="AE331" s="210" t="str">
        <f>IF(AND(ISNUMBER(AE329),ISNUMBER(AE330)),IF(AE329&gt;0,AE330/AE329,""),"")</f>
        <v/>
      </c>
      <c r="AF331" s="210" t="str">
        <f>IF(AND(ISNUMBER(AF329),ISNUMBER(AF330)),IF(AF329&gt;0,AF330/AF329,""),"")</f>
        <v/>
      </c>
      <c r="AG331" s="210" t="str">
        <f>IF(AND(ISNUMBER(AG329),ISNUMBER(AG330)),IF(AG329&gt;0,AG330/AG329,""),"")</f>
        <v/>
      </c>
      <c r="AH331" s="210" t="str">
        <f>IF(AND(ISNUMBER(AH329),ISNUMBER(AH330)),IF(AH329&gt;0,AH330/AH329,""),"")</f>
        <v/>
      </c>
      <c r="AI331" s="210" t="str">
        <f>IF(AND(ISNUMBER(AI329),ISNUMBER(AI330)),IF(AI329&gt;0,AI330/AI329,""),"")</f>
        <v/>
      </c>
      <c r="AJ331" s="211" t="str">
        <f>IF(AND(ISNUMBER(AJ329),ISNUMBER(AJ330)),IF(AJ329&gt;0,AJ330/AJ329,""),"")</f>
        <v/>
      </c>
      <c r="AK331" s="208" t="str">
        <f>IF(AND(ISNUMBER(AK329),ISNUMBER(AK330)),IF(AK329&gt;0,AK330/AK329,""),"")</f>
        <v/>
      </c>
    </row>
    <row r="332" ht="15.75" customHeight="1" hidden="1">
      <c r="A332" s="244"/>
      <c r="B332" s="240" t="inlineStr">
        <is>
          <t xml:space="preserve">GENTE</t>
        </is>
      </c>
      <c r="C332" s="212" t="inlineStr">
        <is>
          <t xml:space="preserve">Efetivo Op.</t>
        </is>
      </c>
      <c r="D332" s="213" t="str">
        <f>IFERROR(1/(1/INDEX(BD!$AJ$46:$BD$46,MATCH($A$309,BD!$AJ$22:$BD$22,0))),"")</f>
        <v/>
      </c>
      <c r="E332" s="214"/>
      <c r="F332" s="215" t="str">
        <f>IF(F$3="","",IF(COUNTIFS(BD!$A$3:$A$5001,F$3,BD!$B$3:$B$5001,$A$309,BD!$Y$3:$Y$5001,"&lt;&gt;")=0,"",SUMIFS(BD!$Y$3:$Y$5001,BD!$A$3:$A$5001,F$3,BD!$B$3:$B$5001,$A$309)))</f>
        <v/>
      </c>
      <c r="G332" s="216" t="str">
        <f>IF(G$3="","",IF(COUNTIFS(BD!$A$3:$A$5001,G$3,BD!$B$3:$B$5001,$A$309,BD!$Y$3:$Y$5001,"&lt;&gt;")=0,"",SUMIFS(BD!$Y$3:$Y$5001,BD!$A$3:$A$5001,G$3,BD!$B$3:$B$5001,$A$309)))</f>
        <v/>
      </c>
      <c r="H332" s="216" t="str">
        <f>IF(H$3="","",IF(COUNTIFS(BD!$A$3:$A$5001,H$3,BD!$B$3:$B$5001,$A$309,BD!$Y$3:$Y$5001,"&lt;&gt;")=0,"",SUMIFS(BD!$Y$3:$Y$5001,BD!$A$3:$A$5001,H$3,BD!$B$3:$B$5001,$A$309)))</f>
        <v/>
      </c>
      <c r="I332" s="216" t="str">
        <f>IF(I$3="","",IF(COUNTIFS(BD!$A$3:$A$5001,I$3,BD!$B$3:$B$5001,$A$309,BD!$Y$3:$Y$5001,"&lt;&gt;")=0,"",SUMIFS(BD!$Y$3:$Y$5001,BD!$A$3:$A$5001,I$3,BD!$B$3:$B$5001,$A$309)))</f>
        <v/>
      </c>
      <c r="J332" s="216" t="str">
        <f>IF(J$3="","",IF(COUNTIFS(BD!$A$3:$A$5001,J$3,BD!$B$3:$B$5001,$A$309,BD!$Y$3:$Y$5001,"&lt;&gt;")=0,"",SUMIFS(BD!$Y$3:$Y$5001,BD!$A$3:$A$5001,J$3,BD!$B$3:$B$5001,$A$309)))</f>
        <v/>
      </c>
      <c r="K332" s="216" t="str">
        <f>IF(K$3="","",IF(COUNTIFS(BD!$A$3:$A$5001,K$3,BD!$B$3:$B$5001,$A$309,BD!$Y$3:$Y$5001,"&lt;&gt;")=0,"",SUMIFS(BD!$Y$3:$Y$5001,BD!$A$3:$A$5001,K$3,BD!$B$3:$B$5001,$A$309)))</f>
        <v/>
      </c>
      <c r="L332" s="216" t="str">
        <f>IF(L$3="","",IF(COUNTIFS(BD!$A$3:$A$5001,L$3,BD!$B$3:$B$5001,$A$309,BD!$Y$3:$Y$5001,"&lt;&gt;")=0,"",SUMIFS(BD!$Y$3:$Y$5001,BD!$A$3:$A$5001,L$3,BD!$B$3:$B$5001,$A$309)))</f>
        <v/>
      </c>
      <c r="M332" s="216" t="str">
        <f>IF(M$3="","",IF(COUNTIFS(BD!$A$3:$A$5001,M$3,BD!$B$3:$B$5001,$A$309,BD!$Y$3:$Y$5001,"&lt;&gt;")=0,"",SUMIFS(BD!$Y$3:$Y$5001,BD!$A$3:$A$5001,M$3,BD!$B$3:$B$5001,$A$309)))</f>
        <v/>
      </c>
      <c r="N332" s="216" t="str">
        <f>IF(N$3="","",IF(COUNTIFS(BD!$A$3:$A$5001,N$3,BD!$B$3:$B$5001,$A$309,BD!$Y$3:$Y$5001,"&lt;&gt;")=0,"",SUMIFS(BD!$Y$3:$Y$5001,BD!$A$3:$A$5001,N$3,BD!$B$3:$B$5001,$A$309)))</f>
        <v/>
      </c>
      <c r="O332" s="216" t="str">
        <f>IF(O$3="","",IF(COUNTIFS(BD!$A$3:$A$5001,O$3,BD!$B$3:$B$5001,$A$309,BD!$Y$3:$Y$5001,"&lt;&gt;")=0,"",SUMIFS(BD!$Y$3:$Y$5001,BD!$A$3:$A$5001,O$3,BD!$B$3:$B$5001,$A$309)))</f>
        <v/>
      </c>
      <c r="P332" s="216" t="str">
        <f>IF(P$3="","",IF(COUNTIFS(BD!$A$3:$A$5001,P$3,BD!$B$3:$B$5001,$A$309,BD!$Y$3:$Y$5001,"&lt;&gt;")=0,"",SUMIFS(BD!$Y$3:$Y$5001,BD!$A$3:$A$5001,P$3,BD!$B$3:$B$5001,$A$309)))</f>
        <v/>
      </c>
      <c r="Q332" s="216" t="str">
        <f>IF(Q$3="","",IF(COUNTIFS(BD!$A$3:$A$5001,Q$3,BD!$B$3:$B$5001,$A$309,BD!$Y$3:$Y$5001,"&lt;&gt;")=0,"",SUMIFS(BD!$Y$3:$Y$5001,BD!$A$3:$A$5001,Q$3,BD!$B$3:$B$5001,$A$309)))</f>
        <v/>
      </c>
      <c r="R332" s="216" t="str">
        <f>IF(R$3="","",IF(COUNTIFS(BD!$A$3:$A$5001,R$3,BD!$B$3:$B$5001,$A$309,BD!$Y$3:$Y$5001,"&lt;&gt;")=0,"",SUMIFS(BD!$Y$3:$Y$5001,BD!$A$3:$A$5001,R$3,BD!$B$3:$B$5001,$A$309)))</f>
        <v/>
      </c>
      <c r="S332" s="216" t="str">
        <f>IF(S$3="","",IF(COUNTIFS(BD!$A$3:$A$5001,S$3,BD!$B$3:$B$5001,$A$309,BD!$Y$3:$Y$5001,"&lt;&gt;")=0,"",SUMIFS(BD!$Y$3:$Y$5001,BD!$A$3:$A$5001,S$3,BD!$B$3:$B$5001,$A$309)))</f>
        <v/>
      </c>
      <c r="T332" s="216" t="str">
        <f>IF(T$3="","",IF(COUNTIFS(BD!$A$3:$A$5001,T$3,BD!$B$3:$B$5001,$A$309,BD!$Y$3:$Y$5001,"&lt;&gt;")=0,"",SUMIFS(BD!$Y$3:$Y$5001,BD!$A$3:$A$5001,T$3,BD!$B$3:$B$5001,$A$309)))</f>
        <v/>
      </c>
      <c r="U332" s="216" t="str">
        <f>IF(U$3="","",IF(COUNTIFS(BD!$A$3:$A$5001,U$3,BD!$B$3:$B$5001,$A$309,BD!$Y$3:$Y$5001,"&lt;&gt;")=0,"",SUMIFS(BD!$Y$3:$Y$5001,BD!$A$3:$A$5001,U$3,BD!$B$3:$B$5001,$A$309)))</f>
        <v/>
      </c>
      <c r="V332" s="216" t="str">
        <f>IF(V$3="","",IF(COUNTIFS(BD!$A$3:$A$5001,V$3,BD!$B$3:$B$5001,$A$309,BD!$Y$3:$Y$5001,"&lt;&gt;")=0,"",SUMIFS(BD!$Y$3:$Y$5001,BD!$A$3:$A$5001,V$3,BD!$B$3:$B$5001,$A$309)))</f>
        <v/>
      </c>
      <c r="W332" s="216" t="str">
        <f>IF(W$3="","",IF(COUNTIFS(BD!$A$3:$A$5001,W$3,BD!$B$3:$B$5001,$A$309,BD!$Y$3:$Y$5001,"&lt;&gt;")=0,"",SUMIFS(BD!$Y$3:$Y$5001,BD!$A$3:$A$5001,W$3,BD!$B$3:$B$5001,$A$309)))</f>
        <v/>
      </c>
      <c r="X332" s="216" t="str">
        <f>IF(X$3="","",IF(COUNTIFS(BD!$A$3:$A$5001,X$3,BD!$B$3:$B$5001,$A$309,BD!$Y$3:$Y$5001,"&lt;&gt;")=0,"",SUMIFS(BD!$Y$3:$Y$5001,BD!$A$3:$A$5001,X$3,BD!$B$3:$B$5001,$A$309)))</f>
        <v/>
      </c>
      <c r="Y332" s="216" t="str">
        <f>IF(Y$3="","",IF(COUNTIFS(BD!$A$3:$A$5001,Y$3,BD!$B$3:$B$5001,$A$309,BD!$Y$3:$Y$5001,"&lt;&gt;")=0,"",SUMIFS(BD!$Y$3:$Y$5001,BD!$A$3:$A$5001,Y$3,BD!$B$3:$B$5001,$A$309)))</f>
        <v/>
      </c>
      <c r="Z332" s="216" t="str">
        <f>IF(Z$3="","",IF(COUNTIFS(BD!$A$3:$A$5001,Z$3,BD!$B$3:$B$5001,$A$309,BD!$Y$3:$Y$5001,"&lt;&gt;")=0,"",SUMIFS(BD!$Y$3:$Y$5001,BD!$A$3:$A$5001,Z$3,BD!$B$3:$B$5001,$A$309)))</f>
        <v/>
      </c>
      <c r="AA332" s="216" t="str">
        <f>IF(AA$3="","",IF(COUNTIFS(BD!$A$3:$A$5001,AA$3,BD!$B$3:$B$5001,$A$309,BD!$Y$3:$Y$5001,"&lt;&gt;")=0,"",SUMIFS(BD!$Y$3:$Y$5001,BD!$A$3:$A$5001,AA$3,BD!$B$3:$B$5001,$A$309)))</f>
        <v/>
      </c>
      <c r="AB332" s="216" t="str">
        <f>IF(AB$3="","",IF(COUNTIFS(BD!$A$3:$A$5001,AB$3,BD!$B$3:$B$5001,$A$309,BD!$Y$3:$Y$5001,"&lt;&gt;")=0,"",SUMIFS(BD!$Y$3:$Y$5001,BD!$A$3:$A$5001,AB$3,BD!$B$3:$B$5001,$A$309)))</f>
        <v/>
      </c>
      <c r="AC332" s="216" t="str">
        <f>IF(AC$3="","",IF(COUNTIFS(BD!$A$3:$A$5001,AC$3,BD!$B$3:$B$5001,$A$309,BD!$Y$3:$Y$5001,"&lt;&gt;")=0,"",SUMIFS(BD!$Y$3:$Y$5001,BD!$A$3:$A$5001,AC$3,BD!$B$3:$B$5001,$A$309)))</f>
        <v/>
      </c>
      <c r="AD332" s="216" t="str">
        <f>IF(AD$3="","",IF(COUNTIFS(BD!$A$3:$A$5001,AD$3,BD!$B$3:$B$5001,$A$309,BD!$Y$3:$Y$5001,"&lt;&gt;")=0,"",SUMIFS(BD!$Y$3:$Y$5001,BD!$A$3:$A$5001,AD$3,BD!$B$3:$B$5001,$A$309)))</f>
        <v/>
      </c>
      <c r="AE332" s="216" t="str">
        <f>IF(AE$3="","",IF(COUNTIFS(BD!$A$3:$A$5001,AE$3,BD!$B$3:$B$5001,$A$309,BD!$Y$3:$Y$5001,"&lt;&gt;")=0,"",SUMIFS(BD!$Y$3:$Y$5001,BD!$A$3:$A$5001,AE$3,BD!$B$3:$B$5001,$A$309)))</f>
        <v/>
      </c>
      <c r="AF332" s="216" t="str">
        <f>IF(AF$3="","",IF(COUNTIFS(BD!$A$3:$A$5001,AF$3,BD!$B$3:$B$5001,$A$309,BD!$Y$3:$Y$5001,"&lt;&gt;")=0,"",SUMIFS(BD!$Y$3:$Y$5001,BD!$A$3:$A$5001,AF$3,BD!$B$3:$B$5001,$A$309)))</f>
        <v/>
      </c>
      <c r="AG332" s="216" t="str">
        <f>IF(AG$3="","",IF(COUNTIFS(BD!$A$3:$A$5001,AG$3,BD!$B$3:$B$5001,$A$309,BD!$Y$3:$Y$5001,"&lt;&gt;")=0,"",SUMIFS(BD!$Y$3:$Y$5001,BD!$A$3:$A$5001,AG$3,BD!$B$3:$B$5001,$A$309)))</f>
        <v/>
      </c>
      <c r="AH332" s="216" t="str">
        <f>IF(AH$3="","",IF(COUNTIFS(BD!$A$3:$A$5001,AH$3,BD!$B$3:$B$5001,$A$309,BD!$Y$3:$Y$5001,"&lt;&gt;")=0,"",SUMIFS(BD!$Y$3:$Y$5001,BD!$A$3:$A$5001,AH$3,BD!$B$3:$B$5001,$A$309)))</f>
        <v/>
      </c>
      <c r="AI332" s="216" t="str">
        <f>IF(AI$3="","",IF(COUNTIFS(BD!$A$3:$A$5001,AI$3,BD!$B$3:$B$5001,$A$309,BD!$Y$3:$Y$5001,"&lt;&gt;")=0,"",SUMIFS(BD!$Y$3:$Y$5001,BD!$A$3:$A$5001,AI$3,BD!$B$3:$B$5001,$A$309)))</f>
        <v/>
      </c>
      <c r="AJ332" s="217" t="str">
        <f>IF(AJ$3="","",IF(COUNTIFS(BD!$A$3:$A$5001,AJ$3,BD!$B$3:$B$5001,$A$309,BD!$Y$3:$Y$5001,"&lt;&gt;")=0,"",SUMIFS(BD!$Y$3:$Y$5001,BD!$A$3:$A$5001,AJ$3,BD!$B$3:$B$5001,$A$309)))</f>
        <v/>
      </c>
      <c r="AK332" s="218" t="str">
        <f>IFERROR(LOOKUP(9.99E+307,F332:AJ332),"")</f>
        <v/>
      </c>
    </row>
    <row r="333" ht="15.75" customHeight="1" hidden="1">
      <c r="A333" s="244"/>
      <c r="B333" s="241"/>
      <c r="C333" s="219" t="inlineStr">
        <is>
          <t xml:space="preserve">Falta</t>
        </is>
      </c>
      <c r="D333" s="220" t="str">
        <f>IFERROR(1/(1/INDEX(BD!$AJ$47:$BD$47,MATCH($A$309,BD!$AJ$22:$BD$22,0))),"")</f>
        <v/>
      </c>
      <c r="E333" s="221"/>
      <c r="F333" s="222" t="str">
        <f>IF(F$3="","",IF(COUNTIFS(BD!$A$3:$A$5001,F$3,BD!$B$3:$B$5001,$A$309,BD!$Z$3:$Z$5001,"&lt;&gt;")=0,"",SUMIFS(BD!$Z$3:$Z$5001,BD!$A$3:$A$5001,F$3,BD!$B$3:$B$5001,$A$309)))</f>
        <v/>
      </c>
      <c r="G333" s="223" t="str">
        <f>IF(G$3="","",IF(COUNTIFS(BD!$A$3:$A$5001,G$3,BD!$B$3:$B$5001,$A$309,BD!$Z$3:$Z$5001,"&lt;&gt;")=0,"",SUMIFS(BD!$Z$3:$Z$5001,BD!$A$3:$A$5001,G$3,BD!$B$3:$B$5001,$A$309)))</f>
        <v/>
      </c>
      <c r="H333" s="223" t="str">
        <f>IF(H$3="","",IF(COUNTIFS(BD!$A$3:$A$5001,H$3,BD!$B$3:$B$5001,$A$309,BD!$Z$3:$Z$5001,"&lt;&gt;")=0,"",SUMIFS(BD!$Z$3:$Z$5001,BD!$A$3:$A$5001,H$3,BD!$B$3:$B$5001,$A$309)))</f>
        <v/>
      </c>
      <c r="I333" s="223" t="str">
        <f>IF(I$3="","",IF(COUNTIFS(BD!$A$3:$A$5001,I$3,BD!$B$3:$B$5001,$A$309,BD!$Z$3:$Z$5001,"&lt;&gt;")=0,"",SUMIFS(BD!$Z$3:$Z$5001,BD!$A$3:$A$5001,I$3,BD!$B$3:$B$5001,$A$309)))</f>
        <v/>
      </c>
      <c r="J333" s="223" t="str">
        <f>IF(J$3="","",IF(COUNTIFS(BD!$A$3:$A$5001,J$3,BD!$B$3:$B$5001,$A$309,BD!$Z$3:$Z$5001,"&lt;&gt;")=0,"",SUMIFS(BD!$Z$3:$Z$5001,BD!$A$3:$A$5001,J$3,BD!$B$3:$B$5001,$A$309)))</f>
        <v/>
      </c>
      <c r="K333" s="223" t="str">
        <f>IF(K$3="","",IF(COUNTIFS(BD!$A$3:$A$5001,K$3,BD!$B$3:$B$5001,$A$309,BD!$Z$3:$Z$5001,"&lt;&gt;")=0,"",SUMIFS(BD!$Z$3:$Z$5001,BD!$A$3:$A$5001,K$3,BD!$B$3:$B$5001,$A$309)))</f>
        <v/>
      </c>
      <c r="L333" s="223" t="str">
        <f>IF(L$3="","",IF(COUNTIFS(BD!$A$3:$A$5001,L$3,BD!$B$3:$B$5001,$A$309,BD!$Z$3:$Z$5001,"&lt;&gt;")=0,"",SUMIFS(BD!$Z$3:$Z$5001,BD!$A$3:$A$5001,L$3,BD!$B$3:$B$5001,$A$309)))</f>
        <v/>
      </c>
      <c r="M333" s="223" t="str">
        <f>IF(M$3="","",IF(COUNTIFS(BD!$A$3:$A$5001,M$3,BD!$B$3:$B$5001,$A$309,BD!$Z$3:$Z$5001,"&lt;&gt;")=0,"",SUMIFS(BD!$Z$3:$Z$5001,BD!$A$3:$A$5001,M$3,BD!$B$3:$B$5001,$A$309)))</f>
        <v/>
      </c>
      <c r="N333" s="223" t="str">
        <f>IF(N$3="","",IF(COUNTIFS(BD!$A$3:$A$5001,N$3,BD!$B$3:$B$5001,$A$309,BD!$Z$3:$Z$5001,"&lt;&gt;")=0,"",SUMIFS(BD!$Z$3:$Z$5001,BD!$A$3:$A$5001,N$3,BD!$B$3:$B$5001,$A$309)))</f>
        <v/>
      </c>
      <c r="O333" s="223" t="str">
        <f>IF(O$3="","",IF(COUNTIFS(BD!$A$3:$A$5001,O$3,BD!$B$3:$B$5001,$A$309,BD!$Z$3:$Z$5001,"&lt;&gt;")=0,"",SUMIFS(BD!$Z$3:$Z$5001,BD!$A$3:$A$5001,O$3,BD!$B$3:$B$5001,$A$309)))</f>
        <v/>
      </c>
      <c r="P333" s="223" t="str">
        <f>IF(P$3="","",IF(COUNTIFS(BD!$A$3:$A$5001,P$3,BD!$B$3:$B$5001,$A$309,BD!$Z$3:$Z$5001,"&lt;&gt;")=0,"",SUMIFS(BD!$Z$3:$Z$5001,BD!$A$3:$A$5001,P$3,BD!$B$3:$B$5001,$A$309)))</f>
        <v/>
      </c>
      <c r="Q333" s="223" t="str">
        <f>IF(Q$3="","",IF(COUNTIFS(BD!$A$3:$A$5001,Q$3,BD!$B$3:$B$5001,$A$309,BD!$Z$3:$Z$5001,"&lt;&gt;")=0,"",SUMIFS(BD!$Z$3:$Z$5001,BD!$A$3:$A$5001,Q$3,BD!$B$3:$B$5001,$A$309)))</f>
        <v/>
      </c>
      <c r="R333" s="223" t="str">
        <f>IF(R$3="","",IF(COUNTIFS(BD!$A$3:$A$5001,R$3,BD!$B$3:$B$5001,$A$309,BD!$Z$3:$Z$5001,"&lt;&gt;")=0,"",SUMIFS(BD!$Z$3:$Z$5001,BD!$A$3:$A$5001,R$3,BD!$B$3:$B$5001,$A$309)))</f>
        <v/>
      </c>
      <c r="S333" s="223" t="str">
        <f>IF(S$3="","",IF(COUNTIFS(BD!$A$3:$A$5001,S$3,BD!$B$3:$B$5001,$A$309,BD!$Z$3:$Z$5001,"&lt;&gt;")=0,"",SUMIFS(BD!$Z$3:$Z$5001,BD!$A$3:$A$5001,S$3,BD!$B$3:$B$5001,$A$309)))</f>
        <v/>
      </c>
      <c r="T333" s="223" t="str">
        <f>IF(T$3="","",IF(COUNTIFS(BD!$A$3:$A$5001,T$3,BD!$B$3:$B$5001,$A$309,BD!$Z$3:$Z$5001,"&lt;&gt;")=0,"",SUMIFS(BD!$Z$3:$Z$5001,BD!$A$3:$A$5001,T$3,BD!$B$3:$B$5001,$A$309)))</f>
        <v/>
      </c>
      <c r="U333" s="223" t="str">
        <f>IF(U$3="","",IF(COUNTIFS(BD!$A$3:$A$5001,U$3,BD!$B$3:$B$5001,$A$309,BD!$Z$3:$Z$5001,"&lt;&gt;")=0,"",SUMIFS(BD!$Z$3:$Z$5001,BD!$A$3:$A$5001,U$3,BD!$B$3:$B$5001,$A$309)))</f>
        <v/>
      </c>
      <c r="V333" s="223" t="str">
        <f>IF(V$3="","",IF(COUNTIFS(BD!$A$3:$A$5001,V$3,BD!$B$3:$B$5001,$A$309,BD!$Z$3:$Z$5001,"&lt;&gt;")=0,"",SUMIFS(BD!$Z$3:$Z$5001,BD!$A$3:$A$5001,V$3,BD!$B$3:$B$5001,$A$309)))</f>
        <v/>
      </c>
      <c r="W333" s="223" t="str">
        <f>IF(W$3="","",IF(COUNTIFS(BD!$A$3:$A$5001,W$3,BD!$B$3:$B$5001,$A$309,BD!$Z$3:$Z$5001,"&lt;&gt;")=0,"",SUMIFS(BD!$Z$3:$Z$5001,BD!$A$3:$A$5001,W$3,BD!$B$3:$B$5001,$A$309)))</f>
        <v/>
      </c>
      <c r="X333" s="223" t="str">
        <f>IF(X$3="","",IF(COUNTIFS(BD!$A$3:$A$5001,X$3,BD!$B$3:$B$5001,$A$309,BD!$Z$3:$Z$5001,"&lt;&gt;")=0,"",SUMIFS(BD!$Z$3:$Z$5001,BD!$A$3:$A$5001,X$3,BD!$B$3:$B$5001,$A$309)))</f>
        <v/>
      </c>
      <c r="Y333" s="223" t="str">
        <f>IF(Y$3="","",IF(COUNTIFS(BD!$A$3:$A$5001,Y$3,BD!$B$3:$B$5001,$A$309,BD!$Z$3:$Z$5001,"&lt;&gt;")=0,"",SUMIFS(BD!$Z$3:$Z$5001,BD!$A$3:$A$5001,Y$3,BD!$B$3:$B$5001,$A$309)))</f>
        <v/>
      </c>
      <c r="Z333" s="223" t="str">
        <f>IF(Z$3="","",IF(COUNTIFS(BD!$A$3:$A$5001,Z$3,BD!$B$3:$B$5001,$A$309,BD!$Z$3:$Z$5001,"&lt;&gt;")=0,"",SUMIFS(BD!$Z$3:$Z$5001,BD!$A$3:$A$5001,Z$3,BD!$B$3:$B$5001,$A$309)))</f>
        <v/>
      </c>
      <c r="AA333" s="223" t="str">
        <f>IF(AA$3="","",IF(COUNTIFS(BD!$A$3:$A$5001,AA$3,BD!$B$3:$B$5001,$A$309,BD!$Z$3:$Z$5001,"&lt;&gt;")=0,"",SUMIFS(BD!$Z$3:$Z$5001,BD!$A$3:$A$5001,AA$3,BD!$B$3:$B$5001,$A$309)))</f>
        <v/>
      </c>
      <c r="AB333" s="223" t="str">
        <f>IF(AB$3="","",IF(COUNTIFS(BD!$A$3:$A$5001,AB$3,BD!$B$3:$B$5001,$A$309,BD!$Z$3:$Z$5001,"&lt;&gt;")=0,"",SUMIFS(BD!$Z$3:$Z$5001,BD!$A$3:$A$5001,AB$3,BD!$B$3:$B$5001,$A$309)))</f>
        <v/>
      </c>
      <c r="AC333" s="223" t="str">
        <f>IF(AC$3="","",IF(COUNTIFS(BD!$A$3:$A$5001,AC$3,BD!$B$3:$B$5001,$A$309,BD!$Z$3:$Z$5001,"&lt;&gt;")=0,"",SUMIFS(BD!$Z$3:$Z$5001,BD!$A$3:$A$5001,AC$3,BD!$B$3:$B$5001,$A$309)))</f>
        <v/>
      </c>
      <c r="AD333" s="223" t="str">
        <f>IF(AD$3="","",IF(COUNTIFS(BD!$A$3:$A$5001,AD$3,BD!$B$3:$B$5001,$A$309,BD!$Z$3:$Z$5001,"&lt;&gt;")=0,"",SUMIFS(BD!$Z$3:$Z$5001,BD!$A$3:$A$5001,AD$3,BD!$B$3:$B$5001,$A$309)))</f>
        <v/>
      </c>
      <c r="AE333" s="223" t="str">
        <f>IF(AE$3="","",IF(COUNTIFS(BD!$A$3:$A$5001,AE$3,BD!$B$3:$B$5001,$A$309,BD!$Z$3:$Z$5001,"&lt;&gt;")=0,"",SUMIFS(BD!$Z$3:$Z$5001,BD!$A$3:$A$5001,AE$3,BD!$B$3:$B$5001,$A$309)))</f>
        <v/>
      </c>
      <c r="AF333" s="223" t="str">
        <f>IF(AF$3="","",IF(COUNTIFS(BD!$A$3:$A$5001,AF$3,BD!$B$3:$B$5001,$A$309,BD!$Z$3:$Z$5001,"&lt;&gt;")=0,"",SUMIFS(BD!$Z$3:$Z$5001,BD!$A$3:$A$5001,AF$3,BD!$B$3:$B$5001,$A$309)))</f>
        <v/>
      </c>
      <c r="AG333" s="223" t="str">
        <f>IF(AG$3="","",IF(COUNTIFS(BD!$A$3:$A$5001,AG$3,BD!$B$3:$B$5001,$A$309,BD!$Z$3:$Z$5001,"&lt;&gt;")=0,"",SUMIFS(BD!$Z$3:$Z$5001,BD!$A$3:$A$5001,AG$3,BD!$B$3:$B$5001,$A$309)))</f>
        <v/>
      </c>
      <c r="AH333" s="223" t="str">
        <f>IF(AH$3="","",IF(COUNTIFS(BD!$A$3:$A$5001,AH$3,BD!$B$3:$B$5001,$A$309,BD!$Z$3:$Z$5001,"&lt;&gt;")=0,"",SUMIFS(BD!$Z$3:$Z$5001,BD!$A$3:$A$5001,AH$3,BD!$B$3:$B$5001,$A$309)))</f>
        <v/>
      </c>
      <c r="AI333" s="223" t="str">
        <f>IF(AI$3="","",IF(COUNTIFS(BD!$A$3:$A$5001,AI$3,BD!$B$3:$B$5001,$A$309,BD!$Z$3:$Z$5001,"&lt;&gt;")=0,"",SUMIFS(BD!$Z$3:$Z$5001,BD!$A$3:$A$5001,AI$3,BD!$B$3:$B$5001,$A$309)))</f>
        <v/>
      </c>
      <c r="AJ333" s="224" t="str">
        <f>IF(AJ$3="","",IF(COUNTIFS(BD!$A$3:$A$5001,AJ$3,BD!$B$3:$B$5001,$A$309,BD!$Z$3:$Z$5001,"&lt;&gt;")=0,"",SUMIFS(BD!$Z$3:$Z$5001,BD!$A$3:$A$5001,AJ$3,BD!$B$3:$B$5001,$A$309)))</f>
        <v/>
      </c>
      <c r="AK333" s="225" t="str">
        <f>IF(COUNT(F333:AJ333)=0,"",SUM(F333:AJ333))</f>
        <v/>
      </c>
    </row>
    <row r="334" ht="15.75" customHeight="1" hidden="1">
      <c r="A334" s="244"/>
      <c r="B334" s="241"/>
      <c r="C334" s="219" t="inlineStr">
        <is>
          <t xml:space="preserve">Folga</t>
        </is>
      </c>
      <c r="D334" s="220" t="str">
        <f>IFERROR(1/(1/INDEX(BD!$AJ$48:$BD$48,MATCH($A$309,BD!$AJ$22:$BD$22,0))),"")</f>
        <v/>
      </c>
      <c r="E334" s="221"/>
      <c r="F334" s="222" t="str">
        <f>IF(F$3="","",IF(COUNTIFS(BD!$A$3:$A$5001,F$3,BD!$B$3:$B$5001,$A$309,BD!$AA$3:$AA$5001,"&lt;&gt;")=0,"",SUMIFS(BD!$AA$3:$AA$5001,BD!$A$3:$A$5001,F$3,BD!$B$3:$B$5001,$A$309)))</f>
        <v/>
      </c>
      <c r="G334" s="223" t="str">
        <f>IF(G$3="","",IF(COUNTIFS(BD!$A$3:$A$5001,G$3,BD!$B$3:$B$5001,$A$309,BD!$AA$3:$AA$5001,"&lt;&gt;")=0,"",SUMIFS(BD!$AA$3:$AA$5001,BD!$A$3:$A$5001,G$3,BD!$B$3:$B$5001,$A$309)))</f>
        <v/>
      </c>
      <c r="H334" s="223" t="str">
        <f>IF(H$3="","",IF(COUNTIFS(BD!$A$3:$A$5001,H$3,BD!$B$3:$B$5001,$A$309,BD!$AA$3:$AA$5001,"&lt;&gt;")=0,"",SUMIFS(BD!$AA$3:$AA$5001,BD!$A$3:$A$5001,H$3,BD!$B$3:$B$5001,$A$309)))</f>
        <v/>
      </c>
      <c r="I334" s="223" t="str">
        <f>IF(I$3="","",IF(COUNTIFS(BD!$A$3:$A$5001,I$3,BD!$B$3:$B$5001,$A$309,BD!$AA$3:$AA$5001,"&lt;&gt;")=0,"",SUMIFS(BD!$AA$3:$AA$5001,BD!$A$3:$A$5001,I$3,BD!$B$3:$B$5001,$A$309)))</f>
        <v/>
      </c>
      <c r="J334" s="223" t="str">
        <f>IF(J$3="","",IF(COUNTIFS(BD!$A$3:$A$5001,J$3,BD!$B$3:$B$5001,$A$309,BD!$AA$3:$AA$5001,"&lt;&gt;")=0,"",SUMIFS(BD!$AA$3:$AA$5001,BD!$A$3:$A$5001,J$3,BD!$B$3:$B$5001,$A$309)))</f>
        <v/>
      </c>
      <c r="K334" s="223" t="str">
        <f>IF(K$3="","",IF(COUNTIFS(BD!$A$3:$A$5001,K$3,BD!$B$3:$B$5001,$A$309,BD!$AA$3:$AA$5001,"&lt;&gt;")=0,"",SUMIFS(BD!$AA$3:$AA$5001,BD!$A$3:$A$5001,K$3,BD!$B$3:$B$5001,$A$309)))</f>
        <v/>
      </c>
      <c r="L334" s="223" t="str">
        <f>IF(L$3="","",IF(COUNTIFS(BD!$A$3:$A$5001,L$3,BD!$B$3:$B$5001,$A$309,BD!$AA$3:$AA$5001,"&lt;&gt;")=0,"",SUMIFS(BD!$AA$3:$AA$5001,BD!$A$3:$A$5001,L$3,BD!$B$3:$B$5001,$A$309)))</f>
        <v/>
      </c>
      <c r="M334" s="223" t="str">
        <f>IF(M$3="","",IF(COUNTIFS(BD!$A$3:$A$5001,M$3,BD!$B$3:$B$5001,$A$309,BD!$AA$3:$AA$5001,"&lt;&gt;")=0,"",SUMIFS(BD!$AA$3:$AA$5001,BD!$A$3:$A$5001,M$3,BD!$B$3:$B$5001,$A$309)))</f>
        <v/>
      </c>
      <c r="N334" s="223" t="str">
        <f>IF(N$3="","",IF(COUNTIFS(BD!$A$3:$A$5001,N$3,BD!$B$3:$B$5001,$A$309,BD!$AA$3:$AA$5001,"&lt;&gt;")=0,"",SUMIFS(BD!$AA$3:$AA$5001,BD!$A$3:$A$5001,N$3,BD!$B$3:$B$5001,$A$309)))</f>
        <v/>
      </c>
      <c r="O334" s="223" t="str">
        <f>IF(O$3="","",IF(COUNTIFS(BD!$A$3:$A$5001,O$3,BD!$B$3:$B$5001,$A$309,BD!$AA$3:$AA$5001,"&lt;&gt;")=0,"",SUMIFS(BD!$AA$3:$AA$5001,BD!$A$3:$A$5001,O$3,BD!$B$3:$B$5001,$A$309)))</f>
        <v/>
      </c>
      <c r="P334" s="223" t="str">
        <f>IF(P$3="","",IF(COUNTIFS(BD!$A$3:$A$5001,P$3,BD!$B$3:$B$5001,$A$309,BD!$AA$3:$AA$5001,"&lt;&gt;")=0,"",SUMIFS(BD!$AA$3:$AA$5001,BD!$A$3:$A$5001,P$3,BD!$B$3:$B$5001,$A$309)))</f>
        <v/>
      </c>
      <c r="Q334" s="223" t="str">
        <f>IF(Q$3="","",IF(COUNTIFS(BD!$A$3:$A$5001,Q$3,BD!$B$3:$B$5001,$A$309,BD!$AA$3:$AA$5001,"&lt;&gt;")=0,"",SUMIFS(BD!$AA$3:$AA$5001,BD!$A$3:$A$5001,Q$3,BD!$B$3:$B$5001,$A$309)))</f>
        <v/>
      </c>
      <c r="R334" s="223" t="str">
        <f>IF(R$3="","",IF(COUNTIFS(BD!$A$3:$A$5001,R$3,BD!$B$3:$B$5001,$A$309,BD!$AA$3:$AA$5001,"&lt;&gt;")=0,"",SUMIFS(BD!$AA$3:$AA$5001,BD!$A$3:$A$5001,R$3,BD!$B$3:$B$5001,$A$309)))</f>
        <v/>
      </c>
      <c r="S334" s="223" t="str">
        <f>IF(S$3="","",IF(COUNTIFS(BD!$A$3:$A$5001,S$3,BD!$B$3:$B$5001,$A$309,BD!$AA$3:$AA$5001,"&lt;&gt;")=0,"",SUMIFS(BD!$AA$3:$AA$5001,BD!$A$3:$A$5001,S$3,BD!$B$3:$B$5001,$A$309)))</f>
        <v/>
      </c>
      <c r="T334" s="223" t="str">
        <f>IF(T$3="","",IF(COUNTIFS(BD!$A$3:$A$5001,T$3,BD!$B$3:$B$5001,$A$309,BD!$AA$3:$AA$5001,"&lt;&gt;")=0,"",SUMIFS(BD!$AA$3:$AA$5001,BD!$A$3:$A$5001,T$3,BD!$B$3:$B$5001,$A$309)))</f>
        <v/>
      </c>
      <c r="U334" s="223" t="str">
        <f>IF(U$3="","",IF(COUNTIFS(BD!$A$3:$A$5001,U$3,BD!$B$3:$B$5001,$A$309,BD!$AA$3:$AA$5001,"&lt;&gt;")=0,"",SUMIFS(BD!$AA$3:$AA$5001,BD!$A$3:$A$5001,U$3,BD!$B$3:$B$5001,$A$309)))</f>
        <v/>
      </c>
      <c r="V334" s="223" t="str">
        <f>IF(V$3="","",IF(COUNTIFS(BD!$A$3:$A$5001,V$3,BD!$B$3:$B$5001,$A$309,BD!$AA$3:$AA$5001,"&lt;&gt;")=0,"",SUMIFS(BD!$AA$3:$AA$5001,BD!$A$3:$A$5001,V$3,BD!$B$3:$B$5001,$A$309)))</f>
        <v/>
      </c>
      <c r="W334" s="223" t="str">
        <f>IF(W$3="","",IF(COUNTIFS(BD!$A$3:$A$5001,W$3,BD!$B$3:$B$5001,$A$309,BD!$AA$3:$AA$5001,"&lt;&gt;")=0,"",SUMIFS(BD!$AA$3:$AA$5001,BD!$A$3:$A$5001,W$3,BD!$B$3:$B$5001,$A$309)))</f>
        <v/>
      </c>
      <c r="X334" s="223" t="str">
        <f>IF(X$3="","",IF(COUNTIFS(BD!$A$3:$A$5001,X$3,BD!$B$3:$B$5001,$A$309,BD!$AA$3:$AA$5001,"&lt;&gt;")=0,"",SUMIFS(BD!$AA$3:$AA$5001,BD!$A$3:$A$5001,X$3,BD!$B$3:$B$5001,$A$309)))</f>
        <v/>
      </c>
      <c r="Y334" s="223" t="str">
        <f>IF(Y$3="","",IF(COUNTIFS(BD!$A$3:$A$5001,Y$3,BD!$B$3:$B$5001,$A$309,BD!$AA$3:$AA$5001,"&lt;&gt;")=0,"",SUMIFS(BD!$AA$3:$AA$5001,BD!$A$3:$A$5001,Y$3,BD!$B$3:$B$5001,$A$309)))</f>
        <v/>
      </c>
      <c r="Z334" s="223" t="str">
        <f>IF(Z$3="","",IF(COUNTIFS(BD!$A$3:$A$5001,Z$3,BD!$B$3:$B$5001,$A$309,BD!$AA$3:$AA$5001,"&lt;&gt;")=0,"",SUMIFS(BD!$AA$3:$AA$5001,BD!$A$3:$A$5001,Z$3,BD!$B$3:$B$5001,$A$309)))</f>
        <v/>
      </c>
      <c r="AA334" s="223" t="str">
        <f>IF(AA$3="","",IF(COUNTIFS(BD!$A$3:$A$5001,AA$3,BD!$B$3:$B$5001,$A$309,BD!$AA$3:$AA$5001,"&lt;&gt;")=0,"",SUMIFS(BD!$AA$3:$AA$5001,BD!$A$3:$A$5001,AA$3,BD!$B$3:$B$5001,$A$309)))</f>
        <v/>
      </c>
      <c r="AB334" s="223" t="str">
        <f>IF(AB$3="","",IF(COUNTIFS(BD!$A$3:$A$5001,AB$3,BD!$B$3:$B$5001,$A$309,BD!$AA$3:$AA$5001,"&lt;&gt;")=0,"",SUMIFS(BD!$AA$3:$AA$5001,BD!$A$3:$A$5001,AB$3,BD!$B$3:$B$5001,$A$309)))</f>
        <v/>
      </c>
      <c r="AC334" s="223" t="str">
        <f>IF(AC$3="","",IF(COUNTIFS(BD!$A$3:$A$5001,AC$3,BD!$B$3:$B$5001,$A$309,BD!$AA$3:$AA$5001,"&lt;&gt;")=0,"",SUMIFS(BD!$AA$3:$AA$5001,BD!$A$3:$A$5001,AC$3,BD!$B$3:$B$5001,$A$309)))</f>
        <v/>
      </c>
      <c r="AD334" s="223" t="str">
        <f>IF(AD$3="","",IF(COUNTIFS(BD!$A$3:$A$5001,AD$3,BD!$B$3:$B$5001,$A$309,BD!$AA$3:$AA$5001,"&lt;&gt;")=0,"",SUMIFS(BD!$AA$3:$AA$5001,BD!$A$3:$A$5001,AD$3,BD!$B$3:$B$5001,$A$309)))</f>
        <v/>
      </c>
      <c r="AE334" s="223" t="str">
        <f>IF(AE$3="","",IF(COUNTIFS(BD!$A$3:$A$5001,AE$3,BD!$B$3:$B$5001,$A$309,BD!$AA$3:$AA$5001,"&lt;&gt;")=0,"",SUMIFS(BD!$AA$3:$AA$5001,BD!$A$3:$A$5001,AE$3,BD!$B$3:$B$5001,$A$309)))</f>
        <v/>
      </c>
      <c r="AF334" s="223" t="str">
        <f>IF(AF$3="","",IF(COUNTIFS(BD!$A$3:$A$5001,AF$3,BD!$B$3:$B$5001,$A$309,BD!$AA$3:$AA$5001,"&lt;&gt;")=0,"",SUMIFS(BD!$AA$3:$AA$5001,BD!$A$3:$A$5001,AF$3,BD!$B$3:$B$5001,$A$309)))</f>
        <v/>
      </c>
      <c r="AG334" s="223" t="str">
        <f>IF(AG$3="","",IF(COUNTIFS(BD!$A$3:$A$5001,AG$3,BD!$B$3:$B$5001,$A$309,BD!$AA$3:$AA$5001,"&lt;&gt;")=0,"",SUMIFS(BD!$AA$3:$AA$5001,BD!$A$3:$A$5001,AG$3,BD!$B$3:$B$5001,$A$309)))</f>
        <v/>
      </c>
      <c r="AH334" s="223" t="str">
        <f>IF(AH$3="","",IF(COUNTIFS(BD!$A$3:$A$5001,AH$3,BD!$B$3:$B$5001,$A$309,BD!$AA$3:$AA$5001,"&lt;&gt;")=0,"",SUMIFS(BD!$AA$3:$AA$5001,BD!$A$3:$A$5001,AH$3,BD!$B$3:$B$5001,$A$309)))</f>
        <v/>
      </c>
      <c r="AI334" s="223" t="str">
        <f>IF(AI$3="","",IF(COUNTIFS(BD!$A$3:$A$5001,AI$3,BD!$B$3:$B$5001,$A$309,BD!$AA$3:$AA$5001,"&lt;&gt;")=0,"",SUMIFS(BD!$AA$3:$AA$5001,BD!$A$3:$A$5001,AI$3,BD!$B$3:$B$5001,$A$309)))</f>
        <v/>
      </c>
      <c r="AJ334" s="224" t="str">
        <f>IF(AJ$3="","",IF(COUNTIFS(BD!$A$3:$A$5001,AJ$3,BD!$B$3:$B$5001,$A$309,BD!$AA$3:$AA$5001,"&lt;&gt;")=0,"",SUMIFS(BD!$AA$3:$AA$5001,BD!$A$3:$A$5001,AJ$3,BD!$B$3:$B$5001,$A$309)))</f>
        <v/>
      </c>
      <c r="AK334" s="225" t="str">
        <f>IF(COUNT(F334:AJ334)=0,"",SUM(F334:AJ334))</f>
        <v/>
      </c>
    </row>
    <row r="335" ht="15.75" customHeight="1" hidden="1">
      <c r="A335" s="244"/>
      <c r="B335" s="241"/>
      <c r="C335" s="219" t="inlineStr">
        <is>
          <t xml:space="preserve">Férias</t>
        </is>
      </c>
      <c r="D335" s="220" t="str">
        <f>IFERROR(1/(1/INDEX(BD!$AJ$49:$BD$49,MATCH($A$309,BD!$AJ$22:$BD$22,0))),"")</f>
        <v/>
      </c>
      <c r="E335" s="221"/>
      <c r="F335" s="222" t="str">
        <f>IF(F$3="","",IF(COUNTIFS(BD!$A$3:$A$5001,F$3,BD!$B$3:$B$5001,$A$309,BD!$AB$3:$AB$5001,"&lt;&gt;")=0,"",SUMIFS(BD!$AB$3:$AB$5001,BD!$A$3:$A$5001,F$3,BD!$B$3:$B$5001,$A$309)))</f>
        <v/>
      </c>
      <c r="G335" s="223" t="str">
        <f>IF(G$3="","",IF(COUNTIFS(BD!$A$3:$A$5001,G$3,BD!$B$3:$B$5001,$A$309,BD!$AB$3:$AB$5001,"&lt;&gt;")=0,"",SUMIFS(BD!$AB$3:$AB$5001,BD!$A$3:$A$5001,G$3,BD!$B$3:$B$5001,$A$309)))</f>
        <v/>
      </c>
      <c r="H335" s="223" t="str">
        <f>IF(H$3="","",IF(COUNTIFS(BD!$A$3:$A$5001,H$3,BD!$B$3:$B$5001,$A$309,BD!$AB$3:$AB$5001,"&lt;&gt;")=0,"",SUMIFS(BD!$AB$3:$AB$5001,BD!$A$3:$A$5001,H$3,BD!$B$3:$B$5001,$A$309)))</f>
        <v/>
      </c>
      <c r="I335" s="223" t="str">
        <f>IF(I$3="","",IF(COUNTIFS(BD!$A$3:$A$5001,I$3,BD!$B$3:$B$5001,$A$309,BD!$AB$3:$AB$5001,"&lt;&gt;")=0,"",SUMIFS(BD!$AB$3:$AB$5001,BD!$A$3:$A$5001,I$3,BD!$B$3:$B$5001,$A$309)))</f>
        <v/>
      </c>
      <c r="J335" s="223" t="str">
        <f>IF(J$3="","",IF(COUNTIFS(BD!$A$3:$A$5001,J$3,BD!$B$3:$B$5001,$A$309,BD!$AB$3:$AB$5001,"&lt;&gt;")=0,"",SUMIFS(BD!$AB$3:$AB$5001,BD!$A$3:$A$5001,J$3,BD!$B$3:$B$5001,$A$309)))</f>
        <v/>
      </c>
      <c r="K335" s="223" t="str">
        <f>IF(K$3="","",IF(COUNTIFS(BD!$A$3:$A$5001,K$3,BD!$B$3:$B$5001,$A$309,BD!$AB$3:$AB$5001,"&lt;&gt;")=0,"",SUMIFS(BD!$AB$3:$AB$5001,BD!$A$3:$A$5001,K$3,BD!$B$3:$B$5001,$A$309)))</f>
        <v/>
      </c>
      <c r="L335" s="223" t="str">
        <f>IF(L$3="","",IF(COUNTIFS(BD!$A$3:$A$5001,L$3,BD!$B$3:$B$5001,$A$309,BD!$AB$3:$AB$5001,"&lt;&gt;")=0,"",SUMIFS(BD!$AB$3:$AB$5001,BD!$A$3:$A$5001,L$3,BD!$B$3:$B$5001,$A$309)))</f>
        <v/>
      </c>
      <c r="M335" s="223" t="str">
        <f>IF(M$3="","",IF(COUNTIFS(BD!$A$3:$A$5001,M$3,BD!$B$3:$B$5001,$A$309,BD!$AB$3:$AB$5001,"&lt;&gt;")=0,"",SUMIFS(BD!$AB$3:$AB$5001,BD!$A$3:$A$5001,M$3,BD!$B$3:$B$5001,$A$309)))</f>
        <v/>
      </c>
      <c r="N335" s="223" t="str">
        <f>IF(N$3="","",IF(COUNTIFS(BD!$A$3:$A$5001,N$3,BD!$B$3:$B$5001,$A$309,BD!$AB$3:$AB$5001,"&lt;&gt;")=0,"",SUMIFS(BD!$AB$3:$AB$5001,BD!$A$3:$A$5001,N$3,BD!$B$3:$B$5001,$A$309)))</f>
        <v/>
      </c>
      <c r="O335" s="223" t="str">
        <f>IF(O$3="","",IF(COUNTIFS(BD!$A$3:$A$5001,O$3,BD!$B$3:$B$5001,$A$309,BD!$AB$3:$AB$5001,"&lt;&gt;")=0,"",SUMIFS(BD!$AB$3:$AB$5001,BD!$A$3:$A$5001,O$3,BD!$B$3:$B$5001,$A$309)))</f>
        <v/>
      </c>
      <c r="P335" s="223" t="str">
        <f>IF(P$3="","",IF(COUNTIFS(BD!$A$3:$A$5001,P$3,BD!$B$3:$B$5001,$A$309,BD!$AB$3:$AB$5001,"&lt;&gt;")=0,"",SUMIFS(BD!$AB$3:$AB$5001,BD!$A$3:$A$5001,P$3,BD!$B$3:$B$5001,$A$309)))</f>
        <v/>
      </c>
      <c r="Q335" s="223" t="str">
        <f>IF(Q$3="","",IF(COUNTIFS(BD!$A$3:$A$5001,Q$3,BD!$B$3:$B$5001,$A$309,BD!$AB$3:$AB$5001,"&lt;&gt;")=0,"",SUMIFS(BD!$AB$3:$AB$5001,BD!$A$3:$A$5001,Q$3,BD!$B$3:$B$5001,$A$309)))</f>
        <v/>
      </c>
      <c r="R335" s="223" t="str">
        <f>IF(R$3="","",IF(COUNTIFS(BD!$A$3:$A$5001,R$3,BD!$B$3:$B$5001,$A$309,BD!$AB$3:$AB$5001,"&lt;&gt;")=0,"",SUMIFS(BD!$AB$3:$AB$5001,BD!$A$3:$A$5001,R$3,BD!$B$3:$B$5001,$A$309)))</f>
        <v/>
      </c>
      <c r="S335" s="223" t="str">
        <f>IF(S$3="","",IF(COUNTIFS(BD!$A$3:$A$5001,S$3,BD!$B$3:$B$5001,$A$309,BD!$AB$3:$AB$5001,"&lt;&gt;")=0,"",SUMIFS(BD!$AB$3:$AB$5001,BD!$A$3:$A$5001,S$3,BD!$B$3:$B$5001,$A$309)))</f>
        <v/>
      </c>
      <c r="T335" s="223" t="str">
        <f>IF(T$3="","",IF(COUNTIFS(BD!$A$3:$A$5001,T$3,BD!$B$3:$B$5001,$A$309,BD!$AB$3:$AB$5001,"&lt;&gt;")=0,"",SUMIFS(BD!$AB$3:$AB$5001,BD!$A$3:$A$5001,T$3,BD!$B$3:$B$5001,$A$309)))</f>
        <v/>
      </c>
      <c r="U335" s="223" t="str">
        <f>IF(U$3="","",IF(COUNTIFS(BD!$A$3:$A$5001,U$3,BD!$B$3:$B$5001,$A$309,BD!$AB$3:$AB$5001,"&lt;&gt;")=0,"",SUMIFS(BD!$AB$3:$AB$5001,BD!$A$3:$A$5001,U$3,BD!$B$3:$B$5001,$A$309)))</f>
        <v/>
      </c>
      <c r="V335" s="223" t="str">
        <f>IF(V$3="","",IF(COUNTIFS(BD!$A$3:$A$5001,V$3,BD!$B$3:$B$5001,$A$309,BD!$AB$3:$AB$5001,"&lt;&gt;")=0,"",SUMIFS(BD!$AB$3:$AB$5001,BD!$A$3:$A$5001,V$3,BD!$B$3:$B$5001,$A$309)))</f>
        <v/>
      </c>
      <c r="W335" s="223" t="str">
        <f>IF(W$3="","",IF(COUNTIFS(BD!$A$3:$A$5001,W$3,BD!$B$3:$B$5001,$A$309,BD!$AB$3:$AB$5001,"&lt;&gt;")=0,"",SUMIFS(BD!$AB$3:$AB$5001,BD!$A$3:$A$5001,W$3,BD!$B$3:$B$5001,$A$309)))</f>
        <v/>
      </c>
      <c r="X335" s="223" t="str">
        <f>IF(X$3="","",IF(COUNTIFS(BD!$A$3:$A$5001,X$3,BD!$B$3:$B$5001,$A$309,BD!$AB$3:$AB$5001,"&lt;&gt;")=0,"",SUMIFS(BD!$AB$3:$AB$5001,BD!$A$3:$A$5001,X$3,BD!$B$3:$B$5001,$A$309)))</f>
        <v/>
      </c>
      <c r="Y335" s="223" t="str">
        <f>IF(Y$3="","",IF(COUNTIFS(BD!$A$3:$A$5001,Y$3,BD!$B$3:$B$5001,$A$309,BD!$AB$3:$AB$5001,"&lt;&gt;")=0,"",SUMIFS(BD!$AB$3:$AB$5001,BD!$A$3:$A$5001,Y$3,BD!$B$3:$B$5001,$A$309)))</f>
        <v/>
      </c>
      <c r="Z335" s="223" t="str">
        <f>IF(Z$3="","",IF(COUNTIFS(BD!$A$3:$A$5001,Z$3,BD!$B$3:$B$5001,$A$309,BD!$AB$3:$AB$5001,"&lt;&gt;")=0,"",SUMIFS(BD!$AB$3:$AB$5001,BD!$A$3:$A$5001,Z$3,BD!$B$3:$B$5001,$A$309)))</f>
        <v/>
      </c>
      <c r="AA335" s="223" t="str">
        <f>IF(AA$3="","",IF(COUNTIFS(BD!$A$3:$A$5001,AA$3,BD!$B$3:$B$5001,$A$309,BD!$AB$3:$AB$5001,"&lt;&gt;")=0,"",SUMIFS(BD!$AB$3:$AB$5001,BD!$A$3:$A$5001,AA$3,BD!$B$3:$B$5001,$A$309)))</f>
        <v/>
      </c>
      <c r="AB335" s="223" t="str">
        <f>IF(AB$3="","",IF(COUNTIFS(BD!$A$3:$A$5001,AB$3,BD!$B$3:$B$5001,$A$309,BD!$AB$3:$AB$5001,"&lt;&gt;")=0,"",SUMIFS(BD!$AB$3:$AB$5001,BD!$A$3:$A$5001,AB$3,BD!$B$3:$B$5001,$A$309)))</f>
        <v/>
      </c>
      <c r="AC335" s="223" t="str">
        <f>IF(AC$3="","",IF(COUNTIFS(BD!$A$3:$A$5001,AC$3,BD!$B$3:$B$5001,$A$309,BD!$AB$3:$AB$5001,"&lt;&gt;")=0,"",SUMIFS(BD!$AB$3:$AB$5001,BD!$A$3:$A$5001,AC$3,BD!$B$3:$B$5001,$A$309)))</f>
        <v/>
      </c>
      <c r="AD335" s="223" t="str">
        <f>IF(AD$3="","",IF(COUNTIFS(BD!$A$3:$A$5001,AD$3,BD!$B$3:$B$5001,$A$309,BD!$AB$3:$AB$5001,"&lt;&gt;")=0,"",SUMIFS(BD!$AB$3:$AB$5001,BD!$A$3:$A$5001,AD$3,BD!$B$3:$B$5001,$A$309)))</f>
        <v/>
      </c>
      <c r="AE335" s="223" t="str">
        <f>IF(AE$3="","",IF(COUNTIFS(BD!$A$3:$A$5001,AE$3,BD!$B$3:$B$5001,$A$309,BD!$AB$3:$AB$5001,"&lt;&gt;")=0,"",SUMIFS(BD!$AB$3:$AB$5001,BD!$A$3:$A$5001,AE$3,BD!$B$3:$B$5001,$A$309)))</f>
        <v/>
      </c>
      <c r="AF335" s="223" t="str">
        <f>IF(AF$3="","",IF(COUNTIFS(BD!$A$3:$A$5001,AF$3,BD!$B$3:$B$5001,$A$309,BD!$AB$3:$AB$5001,"&lt;&gt;")=0,"",SUMIFS(BD!$AB$3:$AB$5001,BD!$A$3:$A$5001,AF$3,BD!$B$3:$B$5001,$A$309)))</f>
        <v/>
      </c>
      <c r="AG335" s="223" t="str">
        <f>IF(AG$3="","",IF(COUNTIFS(BD!$A$3:$A$5001,AG$3,BD!$B$3:$B$5001,$A$309,BD!$AB$3:$AB$5001,"&lt;&gt;")=0,"",SUMIFS(BD!$AB$3:$AB$5001,BD!$A$3:$A$5001,AG$3,BD!$B$3:$B$5001,$A$309)))</f>
        <v/>
      </c>
      <c r="AH335" s="223" t="str">
        <f>IF(AH$3="","",IF(COUNTIFS(BD!$A$3:$A$5001,AH$3,BD!$B$3:$B$5001,$A$309,BD!$AB$3:$AB$5001,"&lt;&gt;")=0,"",SUMIFS(BD!$AB$3:$AB$5001,BD!$A$3:$A$5001,AH$3,BD!$B$3:$B$5001,$A$309)))</f>
        <v/>
      </c>
      <c r="AI335" s="223" t="str">
        <f>IF(AI$3="","",IF(COUNTIFS(BD!$A$3:$A$5001,AI$3,BD!$B$3:$B$5001,$A$309,BD!$AB$3:$AB$5001,"&lt;&gt;")=0,"",SUMIFS(BD!$AB$3:$AB$5001,BD!$A$3:$A$5001,AI$3,BD!$B$3:$B$5001,$A$309)))</f>
        <v/>
      </c>
      <c r="AJ335" s="224" t="str">
        <f>IF(AJ$3="","",IF(COUNTIFS(BD!$A$3:$A$5001,AJ$3,BD!$B$3:$B$5001,$A$309,BD!$AB$3:$AB$5001,"&lt;&gt;")=0,"",SUMIFS(BD!$AB$3:$AB$5001,BD!$A$3:$A$5001,AJ$3,BD!$B$3:$B$5001,$A$309)))</f>
        <v/>
      </c>
      <c r="AK335" s="225" t="str">
        <f>IF(COUNT(F335:AJ335)=0,"",SUM(F335:AJ335))</f>
        <v/>
      </c>
    </row>
    <row r="336" ht="15.75" customHeight="1" hidden="1">
      <c r="A336" s="244"/>
      <c r="B336" s="241"/>
      <c r="C336" s="219" t="inlineStr">
        <is>
          <t xml:space="preserve">Desligamento</t>
        </is>
      </c>
      <c r="D336" s="220" t="str">
        <f>IFERROR(1/(1/INDEX(BD!$AJ$50:$BD$50,MATCH($A$309,BD!$AJ$22:$BD$22,0))),"")</f>
        <v/>
      </c>
      <c r="E336" s="221"/>
      <c r="F336" s="222" t="str">
        <f>IF(F$3="","",IF(COUNTIFS(BD!$A$3:$A$5001,F$3,BD!$B$3:$B$5001,$A$309,BD!$AC$3:$AC$5001,"&lt;&gt;")=0,"",SUMIFS(BD!$AC$3:$AC$5001,BD!$A$3:$A$5001,F$3,BD!$B$3:$B$5001,$A$309)))</f>
        <v/>
      </c>
      <c r="G336" s="223" t="str">
        <f>IF(G$3="","",IF(COUNTIFS(BD!$A$3:$A$5001,G$3,BD!$B$3:$B$5001,$A$309,BD!$AC$3:$AC$5001,"&lt;&gt;")=0,"",SUMIFS(BD!$AC$3:$AC$5001,BD!$A$3:$A$5001,G$3,BD!$B$3:$B$5001,$A$309)))</f>
        <v/>
      </c>
      <c r="H336" s="223" t="str">
        <f>IF(H$3="","",IF(COUNTIFS(BD!$A$3:$A$5001,H$3,BD!$B$3:$B$5001,$A$309,BD!$AC$3:$AC$5001,"&lt;&gt;")=0,"",SUMIFS(BD!$AC$3:$AC$5001,BD!$A$3:$A$5001,H$3,BD!$B$3:$B$5001,$A$309)))</f>
        <v/>
      </c>
      <c r="I336" s="223" t="str">
        <f>IF(I$3="","",IF(COUNTIFS(BD!$A$3:$A$5001,I$3,BD!$B$3:$B$5001,$A$309,BD!$AC$3:$AC$5001,"&lt;&gt;")=0,"",SUMIFS(BD!$AC$3:$AC$5001,BD!$A$3:$A$5001,I$3,BD!$B$3:$B$5001,$A$309)))</f>
        <v/>
      </c>
      <c r="J336" s="223" t="str">
        <f>IF(J$3="","",IF(COUNTIFS(BD!$A$3:$A$5001,J$3,BD!$B$3:$B$5001,$A$309,BD!$AC$3:$AC$5001,"&lt;&gt;")=0,"",SUMIFS(BD!$AC$3:$AC$5001,BD!$A$3:$A$5001,J$3,BD!$B$3:$B$5001,$A$309)))</f>
        <v/>
      </c>
      <c r="K336" s="223" t="str">
        <f>IF(K$3="","",IF(COUNTIFS(BD!$A$3:$A$5001,K$3,BD!$B$3:$B$5001,$A$309,BD!$AC$3:$AC$5001,"&lt;&gt;")=0,"",SUMIFS(BD!$AC$3:$AC$5001,BD!$A$3:$A$5001,K$3,BD!$B$3:$B$5001,$A$309)))</f>
        <v/>
      </c>
      <c r="L336" s="223" t="str">
        <f>IF(L$3="","",IF(COUNTIFS(BD!$A$3:$A$5001,L$3,BD!$B$3:$B$5001,$A$309,BD!$AC$3:$AC$5001,"&lt;&gt;")=0,"",SUMIFS(BD!$AC$3:$AC$5001,BD!$A$3:$A$5001,L$3,BD!$B$3:$B$5001,$A$309)))</f>
        <v/>
      </c>
      <c r="M336" s="223" t="str">
        <f>IF(M$3="","",IF(COUNTIFS(BD!$A$3:$A$5001,M$3,BD!$B$3:$B$5001,$A$309,BD!$AC$3:$AC$5001,"&lt;&gt;")=0,"",SUMIFS(BD!$AC$3:$AC$5001,BD!$A$3:$A$5001,M$3,BD!$B$3:$B$5001,$A$309)))</f>
        <v/>
      </c>
      <c r="N336" s="223" t="str">
        <f>IF(N$3="","",IF(COUNTIFS(BD!$A$3:$A$5001,N$3,BD!$B$3:$B$5001,$A$309,BD!$AC$3:$AC$5001,"&lt;&gt;")=0,"",SUMIFS(BD!$AC$3:$AC$5001,BD!$A$3:$A$5001,N$3,BD!$B$3:$B$5001,$A$309)))</f>
        <v/>
      </c>
      <c r="O336" s="223" t="str">
        <f>IF(O$3="","",IF(COUNTIFS(BD!$A$3:$A$5001,O$3,BD!$B$3:$B$5001,$A$309,BD!$AC$3:$AC$5001,"&lt;&gt;")=0,"",SUMIFS(BD!$AC$3:$AC$5001,BD!$A$3:$A$5001,O$3,BD!$B$3:$B$5001,$A$309)))</f>
        <v/>
      </c>
      <c r="P336" s="223" t="str">
        <f>IF(P$3="","",IF(COUNTIFS(BD!$A$3:$A$5001,P$3,BD!$B$3:$B$5001,$A$309,BD!$AC$3:$AC$5001,"&lt;&gt;")=0,"",SUMIFS(BD!$AC$3:$AC$5001,BD!$A$3:$A$5001,P$3,BD!$B$3:$B$5001,$A$309)))</f>
        <v/>
      </c>
      <c r="Q336" s="223" t="str">
        <f>IF(Q$3="","",IF(COUNTIFS(BD!$A$3:$A$5001,Q$3,BD!$B$3:$B$5001,$A$309,BD!$AC$3:$AC$5001,"&lt;&gt;")=0,"",SUMIFS(BD!$AC$3:$AC$5001,BD!$A$3:$A$5001,Q$3,BD!$B$3:$B$5001,$A$309)))</f>
        <v/>
      </c>
      <c r="R336" s="223" t="str">
        <f>IF(R$3="","",IF(COUNTIFS(BD!$A$3:$A$5001,R$3,BD!$B$3:$B$5001,$A$309,BD!$AC$3:$AC$5001,"&lt;&gt;")=0,"",SUMIFS(BD!$AC$3:$AC$5001,BD!$A$3:$A$5001,R$3,BD!$B$3:$B$5001,$A$309)))</f>
        <v/>
      </c>
      <c r="S336" s="223" t="str">
        <f>IF(S$3="","",IF(COUNTIFS(BD!$A$3:$A$5001,S$3,BD!$B$3:$B$5001,$A$309,BD!$AC$3:$AC$5001,"&lt;&gt;")=0,"",SUMIFS(BD!$AC$3:$AC$5001,BD!$A$3:$A$5001,S$3,BD!$B$3:$B$5001,$A$309)))</f>
        <v/>
      </c>
      <c r="T336" s="223" t="str">
        <f>IF(T$3="","",IF(COUNTIFS(BD!$A$3:$A$5001,T$3,BD!$B$3:$B$5001,$A$309,BD!$AC$3:$AC$5001,"&lt;&gt;")=0,"",SUMIFS(BD!$AC$3:$AC$5001,BD!$A$3:$A$5001,T$3,BD!$B$3:$B$5001,$A$309)))</f>
        <v/>
      </c>
      <c r="U336" s="223" t="str">
        <f>IF(U$3="","",IF(COUNTIFS(BD!$A$3:$A$5001,U$3,BD!$B$3:$B$5001,$A$309,BD!$AC$3:$AC$5001,"&lt;&gt;")=0,"",SUMIFS(BD!$AC$3:$AC$5001,BD!$A$3:$A$5001,U$3,BD!$B$3:$B$5001,$A$309)))</f>
        <v/>
      </c>
      <c r="V336" s="223" t="str">
        <f>IF(V$3="","",IF(COUNTIFS(BD!$A$3:$A$5001,V$3,BD!$B$3:$B$5001,$A$309,BD!$AC$3:$AC$5001,"&lt;&gt;")=0,"",SUMIFS(BD!$AC$3:$AC$5001,BD!$A$3:$A$5001,V$3,BD!$B$3:$B$5001,$A$309)))</f>
        <v/>
      </c>
      <c r="W336" s="223" t="str">
        <f>IF(W$3="","",IF(COUNTIFS(BD!$A$3:$A$5001,W$3,BD!$B$3:$B$5001,$A$309,BD!$AC$3:$AC$5001,"&lt;&gt;")=0,"",SUMIFS(BD!$AC$3:$AC$5001,BD!$A$3:$A$5001,W$3,BD!$B$3:$B$5001,$A$309)))</f>
        <v/>
      </c>
      <c r="X336" s="223" t="str">
        <f>IF(X$3="","",IF(COUNTIFS(BD!$A$3:$A$5001,X$3,BD!$B$3:$B$5001,$A$309,BD!$AC$3:$AC$5001,"&lt;&gt;")=0,"",SUMIFS(BD!$AC$3:$AC$5001,BD!$A$3:$A$5001,X$3,BD!$B$3:$B$5001,$A$309)))</f>
        <v/>
      </c>
      <c r="Y336" s="223" t="str">
        <f>IF(Y$3="","",IF(COUNTIFS(BD!$A$3:$A$5001,Y$3,BD!$B$3:$B$5001,$A$309,BD!$AC$3:$AC$5001,"&lt;&gt;")=0,"",SUMIFS(BD!$AC$3:$AC$5001,BD!$A$3:$A$5001,Y$3,BD!$B$3:$B$5001,$A$309)))</f>
        <v/>
      </c>
      <c r="Z336" s="223" t="str">
        <f>IF(Z$3="","",IF(COUNTIFS(BD!$A$3:$A$5001,Z$3,BD!$B$3:$B$5001,$A$309,BD!$AC$3:$AC$5001,"&lt;&gt;")=0,"",SUMIFS(BD!$AC$3:$AC$5001,BD!$A$3:$A$5001,Z$3,BD!$B$3:$B$5001,$A$309)))</f>
        <v/>
      </c>
      <c r="AA336" s="223" t="str">
        <f>IF(AA$3="","",IF(COUNTIFS(BD!$A$3:$A$5001,AA$3,BD!$B$3:$B$5001,$A$309,BD!$AC$3:$AC$5001,"&lt;&gt;")=0,"",SUMIFS(BD!$AC$3:$AC$5001,BD!$A$3:$A$5001,AA$3,BD!$B$3:$B$5001,$A$309)))</f>
        <v/>
      </c>
      <c r="AB336" s="223" t="str">
        <f>IF(AB$3="","",IF(COUNTIFS(BD!$A$3:$A$5001,AB$3,BD!$B$3:$B$5001,$A$309,BD!$AC$3:$AC$5001,"&lt;&gt;")=0,"",SUMIFS(BD!$AC$3:$AC$5001,BD!$A$3:$A$5001,AB$3,BD!$B$3:$B$5001,$A$309)))</f>
        <v/>
      </c>
      <c r="AC336" s="223" t="str">
        <f>IF(AC$3="","",IF(COUNTIFS(BD!$A$3:$A$5001,AC$3,BD!$B$3:$B$5001,$A$309,BD!$AC$3:$AC$5001,"&lt;&gt;")=0,"",SUMIFS(BD!$AC$3:$AC$5001,BD!$A$3:$A$5001,AC$3,BD!$B$3:$B$5001,$A$309)))</f>
        <v/>
      </c>
      <c r="AD336" s="223" t="str">
        <f>IF(AD$3="","",IF(COUNTIFS(BD!$A$3:$A$5001,AD$3,BD!$B$3:$B$5001,$A$309,BD!$AC$3:$AC$5001,"&lt;&gt;")=0,"",SUMIFS(BD!$AC$3:$AC$5001,BD!$A$3:$A$5001,AD$3,BD!$B$3:$B$5001,$A$309)))</f>
        <v/>
      </c>
      <c r="AE336" s="223" t="str">
        <f>IF(AE$3="","",IF(COUNTIFS(BD!$A$3:$A$5001,AE$3,BD!$B$3:$B$5001,$A$309,BD!$AC$3:$AC$5001,"&lt;&gt;")=0,"",SUMIFS(BD!$AC$3:$AC$5001,BD!$A$3:$A$5001,AE$3,BD!$B$3:$B$5001,$A$309)))</f>
        <v/>
      </c>
      <c r="AF336" s="223" t="str">
        <f>IF(AF$3="","",IF(COUNTIFS(BD!$A$3:$A$5001,AF$3,BD!$B$3:$B$5001,$A$309,BD!$AC$3:$AC$5001,"&lt;&gt;")=0,"",SUMIFS(BD!$AC$3:$AC$5001,BD!$A$3:$A$5001,AF$3,BD!$B$3:$B$5001,$A$309)))</f>
        <v/>
      </c>
      <c r="AG336" s="223" t="str">
        <f>IF(AG$3="","",IF(COUNTIFS(BD!$A$3:$A$5001,AG$3,BD!$B$3:$B$5001,$A$309,BD!$AC$3:$AC$5001,"&lt;&gt;")=0,"",SUMIFS(BD!$AC$3:$AC$5001,BD!$A$3:$A$5001,AG$3,BD!$B$3:$B$5001,$A$309)))</f>
        <v/>
      </c>
      <c r="AH336" s="223" t="str">
        <f>IF(AH$3="","",IF(COUNTIFS(BD!$A$3:$A$5001,AH$3,BD!$B$3:$B$5001,$A$309,BD!$AC$3:$AC$5001,"&lt;&gt;")=0,"",SUMIFS(BD!$AC$3:$AC$5001,BD!$A$3:$A$5001,AH$3,BD!$B$3:$B$5001,$A$309)))</f>
        <v/>
      </c>
      <c r="AI336" s="223" t="str">
        <f>IF(AI$3="","",IF(COUNTIFS(BD!$A$3:$A$5001,AI$3,BD!$B$3:$B$5001,$A$309,BD!$AC$3:$AC$5001,"&lt;&gt;")=0,"",SUMIFS(BD!$AC$3:$AC$5001,BD!$A$3:$A$5001,AI$3,BD!$B$3:$B$5001,$A$309)))</f>
        <v/>
      </c>
      <c r="AJ336" s="224" t="str">
        <f>IF(AJ$3="","",IF(COUNTIFS(BD!$A$3:$A$5001,AJ$3,BD!$B$3:$B$5001,$A$309,BD!$AC$3:$AC$5001,"&lt;&gt;")=0,"",SUMIFS(BD!$AC$3:$AC$5001,BD!$A$3:$A$5001,AJ$3,BD!$B$3:$B$5001,$A$309)))</f>
        <v/>
      </c>
      <c r="AK336" s="225" t="str">
        <f>IF(COUNT(F336:AJ336)=0,"",SUM(F336:AJ336))</f>
        <v/>
      </c>
    </row>
    <row r="337" ht="15.75" customHeight="1" hidden="1">
      <c r="A337" s="244"/>
      <c r="B337" s="241"/>
      <c r="C337" s="219" t="inlineStr">
        <is>
          <t xml:space="preserve">Desvios Comportamentais</t>
        </is>
      </c>
      <c r="D337" s="220" t="str">
        <f>IFERROR(1/(1/INDEX(BD!$AJ$51:$BD$51,MATCH($A$309,BD!$AJ$22:$BD$22,0))),"")</f>
        <v/>
      </c>
      <c r="E337" s="221"/>
      <c r="F337" s="222" t="str">
        <f>IF(F$3="","",IF(COUNTIFS(BD!$A$3:$A$5001,F$3,BD!$B$3:$B$5001,$A$309,BD!$AD$3:$AD$5001,"&lt;&gt;")=0,"",SUMIFS(BD!$AD$3:$AD$5001,BD!$A$3:$A$5001,F$3,BD!$B$3:$B$5001,$A$309)))</f>
        <v/>
      </c>
      <c r="G337" s="223" t="str">
        <f>IF(G$3="","",IF(COUNTIFS(BD!$A$3:$A$5001,G$3,BD!$B$3:$B$5001,$A$309,BD!$AD$3:$AD$5001,"&lt;&gt;")=0,"",SUMIFS(BD!$AD$3:$AD$5001,BD!$A$3:$A$5001,G$3,BD!$B$3:$B$5001,$A$309)))</f>
        <v/>
      </c>
      <c r="H337" s="223" t="str">
        <f>IF(H$3="","",IF(COUNTIFS(BD!$A$3:$A$5001,H$3,BD!$B$3:$B$5001,$A$309,BD!$AD$3:$AD$5001,"&lt;&gt;")=0,"",SUMIFS(BD!$AD$3:$AD$5001,BD!$A$3:$A$5001,H$3,BD!$B$3:$B$5001,$A$309)))</f>
        <v/>
      </c>
      <c r="I337" s="223" t="str">
        <f>IF(I$3="","",IF(COUNTIFS(BD!$A$3:$A$5001,I$3,BD!$B$3:$B$5001,$A$309,BD!$AD$3:$AD$5001,"&lt;&gt;")=0,"",SUMIFS(BD!$AD$3:$AD$5001,BD!$A$3:$A$5001,I$3,BD!$B$3:$B$5001,$A$309)))</f>
        <v/>
      </c>
      <c r="J337" s="223" t="str">
        <f>IF(J$3="","",IF(COUNTIFS(BD!$A$3:$A$5001,J$3,BD!$B$3:$B$5001,$A$309,BD!$AD$3:$AD$5001,"&lt;&gt;")=0,"",SUMIFS(BD!$AD$3:$AD$5001,BD!$A$3:$A$5001,J$3,BD!$B$3:$B$5001,$A$309)))</f>
        <v/>
      </c>
      <c r="K337" s="223" t="str">
        <f>IF(K$3="","",IF(COUNTIFS(BD!$A$3:$A$5001,K$3,BD!$B$3:$B$5001,$A$309,BD!$AD$3:$AD$5001,"&lt;&gt;")=0,"",SUMIFS(BD!$AD$3:$AD$5001,BD!$A$3:$A$5001,K$3,BD!$B$3:$B$5001,$A$309)))</f>
        <v/>
      </c>
      <c r="L337" s="223" t="str">
        <f>IF(L$3="","",IF(COUNTIFS(BD!$A$3:$A$5001,L$3,BD!$B$3:$B$5001,$A$309,BD!$AD$3:$AD$5001,"&lt;&gt;")=0,"",SUMIFS(BD!$AD$3:$AD$5001,BD!$A$3:$A$5001,L$3,BD!$B$3:$B$5001,$A$309)))</f>
        <v/>
      </c>
      <c r="M337" s="223" t="str">
        <f>IF(M$3="","",IF(COUNTIFS(BD!$A$3:$A$5001,M$3,BD!$B$3:$B$5001,$A$309,BD!$AD$3:$AD$5001,"&lt;&gt;")=0,"",SUMIFS(BD!$AD$3:$AD$5001,BD!$A$3:$A$5001,M$3,BD!$B$3:$B$5001,$A$309)))</f>
        <v/>
      </c>
      <c r="N337" s="223" t="str">
        <f>IF(N$3="","",IF(COUNTIFS(BD!$A$3:$A$5001,N$3,BD!$B$3:$B$5001,$A$309,BD!$AD$3:$AD$5001,"&lt;&gt;")=0,"",SUMIFS(BD!$AD$3:$AD$5001,BD!$A$3:$A$5001,N$3,BD!$B$3:$B$5001,$A$309)))</f>
        <v/>
      </c>
      <c r="O337" s="223" t="str">
        <f>IF(O$3="","",IF(COUNTIFS(BD!$A$3:$A$5001,O$3,BD!$B$3:$B$5001,$A$309,BD!$AD$3:$AD$5001,"&lt;&gt;")=0,"",SUMIFS(BD!$AD$3:$AD$5001,BD!$A$3:$A$5001,O$3,BD!$B$3:$B$5001,$A$309)))</f>
        <v/>
      </c>
      <c r="P337" s="223" t="str">
        <f>IF(P$3="","",IF(COUNTIFS(BD!$A$3:$A$5001,P$3,BD!$B$3:$B$5001,$A$309,BD!$AD$3:$AD$5001,"&lt;&gt;")=0,"",SUMIFS(BD!$AD$3:$AD$5001,BD!$A$3:$A$5001,P$3,BD!$B$3:$B$5001,$A$309)))</f>
        <v/>
      </c>
      <c r="Q337" s="223" t="str">
        <f>IF(Q$3="","",IF(COUNTIFS(BD!$A$3:$A$5001,Q$3,BD!$B$3:$B$5001,$A$309,BD!$AD$3:$AD$5001,"&lt;&gt;")=0,"",SUMIFS(BD!$AD$3:$AD$5001,BD!$A$3:$A$5001,Q$3,BD!$B$3:$B$5001,$A$309)))</f>
        <v/>
      </c>
      <c r="R337" s="223" t="str">
        <f>IF(R$3="","",IF(COUNTIFS(BD!$A$3:$A$5001,R$3,BD!$B$3:$B$5001,$A$309,BD!$AD$3:$AD$5001,"&lt;&gt;")=0,"",SUMIFS(BD!$AD$3:$AD$5001,BD!$A$3:$A$5001,R$3,BD!$B$3:$B$5001,$A$309)))</f>
        <v/>
      </c>
      <c r="S337" s="223" t="str">
        <f>IF(S$3="","",IF(COUNTIFS(BD!$A$3:$A$5001,S$3,BD!$B$3:$B$5001,$A$309,BD!$AD$3:$AD$5001,"&lt;&gt;")=0,"",SUMIFS(BD!$AD$3:$AD$5001,BD!$A$3:$A$5001,S$3,BD!$B$3:$B$5001,$A$309)))</f>
        <v/>
      </c>
      <c r="T337" s="223" t="str">
        <f>IF(T$3="","",IF(COUNTIFS(BD!$A$3:$A$5001,T$3,BD!$B$3:$B$5001,$A$309,BD!$AD$3:$AD$5001,"&lt;&gt;")=0,"",SUMIFS(BD!$AD$3:$AD$5001,BD!$A$3:$A$5001,T$3,BD!$B$3:$B$5001,$A$309)))</f>
        <v/>
      </c>
      <c r="U337" s="223" t="str">
        <f>IF(U$3="","",IF(COUNTIFS(BD!$A$3:$A$5001,U$3,BD!$B$3:$B$5001,$A$309,BD!$AD$3:$AD$5001,"&lt;&gt;")=0,"",SUMIFS(BD!$AD$3:$AD$5001,BD!$A$3:$A$5001,U$3,BD!$B$3:$B$5001,$A$309)))</f>
        <v/>
      </c>
      <c r="V337" s="223" t="str">
        <f>IF(V$3="","",IF(COUNTIFS(BD!$A$3:$A$5001,V$3,BD!$B$3:$B$5001,$A$309,BD!$AD$3:$AD$5001,"&lt;&gt;")=0,"",SUMIFS(BD!$AD$3:$AD$5001,BD!$A$3:$A$5001,V$3,BD!$B$3:$B$5001,$A$309)))</f>
        <v/>
      </c>
      <c r="W337" s="223" t="str">
        <f>IF(W$3="","",IF(COUNTIFS(BD!$A$3:$A$5001,W$3,BD!$B$3:$B$5001,$A$309,BD!$AD$3:$AD$5001,"&lt;&gt;")=0,"",SUMIFS(BD!$AD$3:$AD$5001,BD!$A$3:$A$5001,W$3,BD!$B$3:$B$5001,$A$309)))</f>
        <v/>
      </c>
      <c r="X337" s="223" t="str">
        <f>IF(X$3="","",IF(COUNTIFS(BD!$A$3:$A$5001,X$3,BD!$B$3:$B$5001,$A$309,BD!$AD$3:$AD$5001,"&lt;&gt;")=0,"",SUMIFS(BD!$AD$3:$AD$5001,BD!$A$3:$A$5001,X$3,BD!$B$3:$B$5001,$A$309)))</f>
        <v/>
      </c>
      <c r="Y337" s="223" t="str">
        <f>IF(Y$3="","",IF(COUNTIFS(BD!$A$3:$A$5001,Y$3,BD!$B$3:$B$5001,$A$309,BD!$AD$3:$AD$5001,"&lt;&gt;")=0,"",SUMIFS(BD!$AD$3:$AD$5001,BD!$A$3:$A$5001,Y$3,BD!$B$3:$B$5001,$A$309)))</f>
        <v/>
      </c>
      <c r="Z337" s="223" t="str">
        <f>IF(Z$3="","",IF(COUNTIFS(BD!$A$3:$A$5001,Z$3,BD!$B$3:$B$5001,$A$309,BD!$AD$3:$AD$5001,"&lt;&gt;")=0,"",SUMIFS(BD!$AD$3:$AD$5001,BD!$A$3:$A$5001,Z$3,BD!$B$3:$B$5001,$A$309)))</f>
        <v/>
      </c>
      <c r="AA337" s="223" t="str">
        <f>IF(AA$3="","",IF(COUNTIFS(BD!$A$3:$A$5001,AA$3,BD!$B$3:$B$5001,$A$309,BD!$AD$3:$AD$5001,"&lt;&gt;")=0,"",SUMIFS(BD!$AD$3:$AD$5001,BD!$A$3:$A$5001,AA$3,BD!$B$3:$B$5001,$A$309)))</f>
        <v/>
      </c>
      <c r="AB337" s="223" t="str">
        <f>IF(AB$3="","",IF(COUNTIFS(BD!$A$3:$A$5001,AB$3,BD!$B$3:$B$5001,$A$309,BD!$AD$3:$AD$5001,"&lt;&gt;")=0,"",SUMIFS(BD!$AD$3:$AD$5001,BD!$A$3:$A$5001,AB$3,BD!$B$3:$B$5001,$A$309)))</f>
        <v/>
      </c>
      <c r="AC337" s="223" t="str">
        <f>IF(AC$3="","",IF(COUNTIFS(BD!$A$3:$A$5001,AC$3,BD!$B$3:$B$5001,$A$309,BD!$AD$3:$AD$5001,"&lt;&gt;")=0,"",SUMIFS(BD!$AD$3:$AD$5001,BD!$A$3:$A$5001,AC$3,BD!$B$3:$B$5001,$A$309)))</f>
        <v/>
      </c>
      <c r="AD337" s="223" t="str">
        <f>IF(AD$3="","",IF(COUNTIFS(BD!$A$3:$A$5001,AD$3,BD!$B$3:$B$5001,$A$309,BD!$AD$3:$AD$5001,"&lt;&gt;")=0,"",SUMIFS(BD!$AD$3:$AD$5001,BD!$A$3:$A$5001,AD$3,BD!$B$3:$B$5001,$A$309)))</f>
        <v/>
      </c>
      <c r="AE337" s="223" t="str">
        <f>IF(AE$3="","",IF(COUNTIFS(BD!$A$3:$A$5001,AE$3,BD!$B$3:$B$5001,$A$309,BD!$AD$3:$AD$5001,"&lt;&gt;")=0,"",SUMIFS(BD!$AD$3:$AD$5001,BD!$A$3:$A$5001,AE$3,BD!$B$3:$B$5001,$A$309)))</f>
        <v/>
      </c>
      <c r="AF337" s="223" t="str">
        <f>IF(AF$3="","",IF(COUNTIFS(BD!$A$3:$A$5001,AF$3,BD!$B$3:$B$5001,$A$309,BD!$AD$3:$AD$5001,"&lt;&gt;")=0,"",SUMIFS(BD!$AD$3:$AD$5001,BD!$A$3:$A$5001,AF$3,BD!$B$3:$B$5001,$A$309)))</f>
        <v/>
      </c>
      <c r="AG337" s="223" t="str">
        <f>IF(AG$3="","",IF(COUNTIFS(BD!$A$3:$A$5001,AG$3,BD!$B$3:$B$5001,$A$309,BD!$AD$3:$AD$5001,"&lt;&gt;")=0,"",SUMIFS(BD!$AD$3:$AD$5001,BD!$A$3:$A$5001,AG$3,BD!$B$3:$B$5001,$A$309)))</f>
        <v/>
      </c>
      <c r="AH337" s="223" t="str">
        <f>IF(AH$3="","",IF(COUNTIFS(BD!$A$3:$A$5001,AH$3,BD!$B$3:$B$5001,$A$309,BD!$AD$3:$AD$5001,"&lt;&gt;")=0,"",SUMIFS(BD!$AD$3:$AD$5001,BD!$A$3:$A$5001,AH$3,BD!$B$3:$B$5001,$A$309)))</f>
        <v/>
      </c>
      <c r="AI337" s="223" t="str">
        <f>IF(AI$3="","",IF(COUNTIFS(BD!$A$3:$A$5001,AI$3,BD!$B$3:$B$5001,$A$309,BD!$AD$3:$AD$5001,"&lt;&gt;")=0,"",SUMIFS(BD!$AD$3:$AD$5001,BD!$A$3:$A$5001,AI$3,BD!$B$3:$B$5001,$A$309)))</f>
        <v/>
      </c>
      <c r="AJ337" s="224" t="str">
        <f>IF(AJ$3="","",IF(COUNTIFS(BD!$A$3:$A$5001,AJ$3,BD!$B$3:$B$5001,$A$309,BD!$AD$3:$AD$5001,"&lt;&gt;")=0,"",SUMIFS(BD!$AD$3:$AD$5001,BD!$A$3:$A$5001,AJ$3,BD!$B$3:$B$5001,$A$309)))</f>
        <v/>
      </c>
      <c r="AK337" s="225" t="str">
        <f>IF(COUNT(F337:AJ337)=0,"",SUM(F337:AJ337))</f>
        <v/>
      </c>
    </row>
    <row r="338" ht="15.75" customHeight="1" hidden="1">
      <c r="A338" s="244"/>
      <c r="B338" s="241"/>
      <c r="C338" s="219" t="inlineStr">
        <is>
          <t xml:space="preserve">Acidentes CAF</t>
        </is>
      </c>
      <c r="D338" s="220" t="str">
        <f>IFERROR(1/(1/INDEX(BD!$AJ$52:$BD$52,MATCH($A$309,BD!$AJ$22:$BD$22,0))),"")</f>
        <v/>
      </c>
      <c r="E338" s="221"/>
      <c r="F338" s="222" t="str">
        <f>IF(F$3="","",IF(COUNTIFS(BD!$A$3:$A$5001,F$3,BD!$B$3:$B$5001,$A$309,BD!$AE$3:$AE$5001,"&lt;&gt;")=0,"",SUMIFS(BD!$AE$3:$AE$5001,BD!$A$3:$A$5001,F$3,BD!$B$3:$B$5001,$A$309)))</f>
        <v/>
      </c>
      <c r="G338" s="223" t="str">
        <f>IF(G$3="","",IF(COUNTIFS(BD!$A$3:$A$5001,G$3,BD!$B$3:$B$5001,$A$309,BD!$AE$3:$AE$5001,"&lt;&gt;")=0,"",SUMIFS(BD!$AE$3:$AE$5001,BD!$A$3:$A$5001,G$3,BD!$B$3:$B$5001,$A$309)))</f>
        <v/>
      </c>
      <c r="H338" s="223" t="str">
        <f>IF(H$3="","",IF(COUNTIFS(BD!$A$3:$A$5001,H$3,BD!$B$3:$B$5001,$A$309,BD!$AE$3:$AE$5001,"&lt;&gt;")=0,"",SUMIFS(BD!$AE$3:$AE$5001,BD!$A$3:$A$5001,H$3,BD!$B$3:$B$5001,$A$309)))</f>
        <v/>
      </c>
      <c r="I338" s="223" t="str">
        <f>IF(I$3="","",IF(COUNTIFS(BD!$A$3:$A$5001,I$3,BD!$B$3:$B$5001,$A$309,BD!$AE$3:$AE$5001,"&lt;&gt;")=0,"",SUMIFS(BD!$AE$3:$AE$5001,BD!$A$3:$A$5001,I$3,BD!$B$3:$B$5001,$A$309)))</f>
        <v/>
      </c>
      <c r="J338" s="223" t="str">
        <f>IF(J$3="","",IF(COUNTIFS(BD!$A$3:$A$5001,J$3,BD!$B$3:$B$5001,$A$309,BD!$AE$3:$AE$5001,"&lt;&gt;")=0,"",SUMIFS(BD!$AE$3:$AE$5001,BD!$A$3:$A$5001,J$3,BD!$B$3:$B$5001,$A$309)))</f>
        <v/>
      </c>
      <c r="K338" s="223" t="str">
        <f>IF(K$3="","",IF(COUNTIFS(BD!$A$3:$A$5001,K$3,BD!$B$3:$B$5001,$A$309,BD!$AE$3:$AE$5001,"&lt;&gt;")=0,"",SUMIFS(BD!$AE$3:$AE$5001,BD!$A$3:$A$5001,K$3,BD!$B$3:$B$5001,$A$309)))</f>
        <v/>
      </c>
      <c r="L338" s="223" t="str">
        <f>IF(L$3="","",IF(COUNTIFS(BD!$A$3:$A$5001,L$3,BD!$B$3:$B$5001,$A$309,BD!$AE$3:$AE$5001,"&lt;&gt;")=0,"",SUMIFS(BD!$AE$3:$AE$5001,BD!$A$3:$A$5001,L$3,BD!$B$3:$B$5001,$A$309)))</f>
        <v/>
      </c>
      <c r="M338" s="223" t="str">
        <f>IF(M$3="","",IF(COUNTIFS(BD!$A$3:$A$5001,M$3,BD!$B$3:$B$5001,$A$309,BD!$AE$3:$AE$5001,"&lt;&gt;")=0,"",SUMIFS(BD!$AE$3:$AE$5001,BD!$A$3:$A$5001,M$3,BD!$B$3:$B$5001,$A$309)))</f>
        <v/>
      </c>
      <c r="N338" s="223" t="str">
        <f>IF(N$3="","",IF(COUNTIFS(BD!$A$3:$A$5001,N$3,BD!$B$3:$B$5001,$A$309,BD!$AE$3:$AE$5001,"&lt;&gt;")=0,"",SUMIFS(BD!$AE$3:$AE$5001,BD!$A$3:$A$5001,N$3,BD!$B$3:$B$5001,$A$309)))</f>
        <v/>
      </c>
      <c r="O338" s="223" t="str">
        <f>IF(O$3="","",IF(COUNTIFS(BD!$A$3:$A$5001,O$3,BD!$B$3:$B$5001,$A$309,BD!$AE$3:$AE$5001,"&lt;&gt;")=0,"",SUMIFS(BD!$AE$3:$AE$5001,BD!$A$3:$A$5001,O$3,BD!$B$3:$B$5001,$A$309)))</f>
        <v/>
      </c>
      <c r="P338" s="223" t="str">
        <f>IF(P$3="","",IF(COUNTIFS(BD!$A$3:$A$5001,P$3,BD!$B$3:$B$5001,$A$309,BD!$AE$3:$AE$5001,"&lt;&gt;")=0,"",SUMIFS(BD!$AE$3:$AE$5001,BD!$A$3:$A$5001,P$3,BD!$B$3:$B$5001,$A$309)))</f>
        <v/>
      </c>
      <c r="Q338" s="223" t="str">
        <f>IF(Q$3="","",IF(COUNTIFS(BD!$A$3:$A$5001,Q$3,BD!$B$3:$B$5001,$A$309,BD!$AE$3:$AE$5001,"&lt;&gt;")=0,"",SUMIFS(BD!$AE$3:$AE$5001,BD!$A$3:$A$5001,Q$3,BD!$B$3:$B$5001,$A$309)))</f>
        <v/>
      </c>
      <c r="R338" s="223" t="str">
        <f>IF(R$3="","",IF(COUNTIFS(BD!$A$3:$A$5001,R$3,BD!$B$3:$B$5001,$A$309,BD!$AE$3:$AE$5001,"&lt;&gt;")=0,"",SUMIFS(BD!$AE$3:$AE$5001,BD!$A$3:$A$5001,R$3,BD!$B$3:$B$5001,$A$309)))</f>
        <v/>
      </c>
      <c r="S338" s="223" t="str">
        <f>IF(S$3="","",IF(COUNTIFS(BD!$A$3:$A$5001,S$3,BD!$B$3:$B$5001,$A$309,BD!$AE$3:$AE$5001,"&lt;&gt;")=0,"",SUMIFS(BD!$AE$3:$AE$5001,BD!$A$3:$A$5001,S$3,BD!$B$3:$B$5001,$A$309)))</f>
        <v/>
      </c>
      <c r="T338" s="223" t="str">
        <f>IF(T$3="","",IF(COUNTIFS(BD!$A$3:$A$5001,T$3,BD!$B$3:$B$5001,$A$309,BD!$AE$3:$AE$5001,"&lt;&gt;")=0,"",SUMIFS(BD!$AE$3:$AE$5001,BD!$A$3:$A$5001,T$3,BD!$B$3:$B$5001,$A$309)))</f>
        <v/>
      </c>
      <c r="U338" s="223" t="str">
        <f>IF(U$3="","",IF(COUNTIFS(BD!$A$3:$A$5001,U$3,BD!$B$3:$B$5001,$A$309,BD!$AE$3:$AE$5001,"&lt;&gt;")=0,"",SUMIFS(BD!$AE$3:$AE$5001,BD!$A$3:$A$5001,U$3,BD!$B$3:$B$5001,$A$309)))</f>
        <v/>
      </c>
      <c r="V338" s="223" t="str">
        <f>IF(V$3="","",IF(COUNTIFS(BD!$A$3:$A$5001,V$3,BD!$B$3:$B$5001,$A$309,BD!$AE$3:$AE$5001,"&lt;&gt;")=0,"",SUMIFS(BD!$AE$3:$AE$5001,BD!$A$3:$A$5001,V$3,BD!$B$3:$B$5001,$A$309)))</f>
        <v/>
      </c>
      <c r="W338" s="223" t="str">
        <f>IF(W$3="","",IF(COUNTIFS(BD!$A$3:$A$5001,W$3,BD!$B$3:$B$5001,$A$309,BD!$AE$3:$AE$5001,"&lt;&gt;")=0,"",SUMIFS(BD!$AE$3:$AE$5001,BD!$A$3:$A$5001,W$3,BD!$B$3:$B$5001,$A$309)))</f>
        <v/>
      </c>
      <c r="X338" s="223" t="str">
        <f>IF(X$3="","",IF(COUNTIFS(BD!$A$3:$A$5001,X$3,BD!$B$3:$B$5001,$A$309,BD!$AE$3:$AE$5001,"&lt;&gt;")=0,"",SUMIFS(BD!$AE$3:$AE$5001,BD!$A$3:$A$5001,X$3,BD!$B$3:$B$5001,$A$309)))</f>
        <v/>
      </c>
      <c r="Y338" s="223" t="str">
        <f>IF(Y$3="","",IF(COUNTIFS(BD!$A$3:$A$5001,Y$3,BD!$B$3:$B$5001,$A$309,BD!$AE$3:$AE$5001,"&lt;&gt;")=0,"",SUMIFS(BD!$AE$3:$AE$5001,BD!$A$3:$A$5001,Y$3,BD!$B$3:$B$5001,$A$309)))</f>
        <v/>
      </c>
      <c r="Z338" s="223" t="str">
        <f>IF(Z$3="","",IF(COUNTIFS(BD!$A$3:$A$5001,Z$3,BD!$B$3:$B$5001,$A$309,BD!$AE$3:$AE$5001,"&lt;&gt;")=0,"",SUMIFS(BD!$AE$3:$AE$5001,BD!$A$3:$A$5001,Z$3,BD!$B$3:$B$5001,$A$309)))</f>
        <v/>
      </c>
      <c r="AA338" s="223" t="str">
        <f>IF(AA$3="","",IF(COUNTIFS(BD!$A$3:$A$5001,AA$3,BD!$B$3:$B$5001,$A$309,BD!$AE$3:$AE$5001,"&lt;&gt;")=0,"",SUMIFS(BD!$AE$3:$AE$5001,BD!$A$3:$A$5001,AA$3,BD!$B$3:$B$5001,$A$309)))</f>
        <v/>
      </c>
      <c r="AB338" s="223" t="str">
        <f>IF(AB$3="","",IF(COUNTIFS(BD!$A$3:$A$5001,AB$3,BD!$B$3:$B$5001,$A$309,BD!$AE$3:$AE$5001,"&lt;&gt;")=0,"",SUMIFS(BD!$AE$3:$AE$5001,BD!$A$3:$A$5001,AB$3,BD!$B$3:$B$5001,$A$309)))</f>
        <v/>
      </c>
      <c r="AC338" s="223" t="str">
        <f>IF(AC$3="","",IF(COUNTIFS(BD!$A$3:$A$5001,AC$3,BD!$B$3:$B$5001,$A$309,BD!$AE$3:$AE$5001,"&lt;&gt;")=0,"",SUMIFS(BD!$AE$3:$AE$5001,BD!$A$3:$A$5001,AC$3,BD!$B$3:$B$5001,$A$309)))</f>
        <v/>
      </c>
      <c r="AD338" s="223" t="str">
        <f>IF(AD$3="","",IF(COUNTIFS(BD!$A$3:$A$5001,AD$3,BD!$B$3:$B$5001,$A$309,BD!$AE$3:$AE$5001,"&lt;&gt;")=0,"",SUMIFS(BD!$AE$3:$AE$5001,BD!$A$3:$A$5001,AD$3,BD!$B$3:$B$5001,$A$309)))</f>
        <v/>
      </c>
      <c r="AE338" s="223" t="str">
        <f>IF(AE$3="","",IF(COUNTIFS(BD!$A$3:$A$5001,AE$3,BD!$B$3:$B$5001,$A$309,BD!$AE$3:$AE$5001,"&lt;&gt;")=0,"",SUMIFS(BD!$AE$3:$AE$5001,BD!$A$3:$A$5001,AE$3,BD!$B$3:$B$5001,$A$309)))</f>
        <v/>
      </c>
      <c r="AF338" s="223" t="str">
        <f>IF(AF$3="","",IF(COUNTIFS(BD!$A$3:$A$5001,AF$3,BD!$B$3:$B$5001,$A$309,BD!$AE$3:$AE$5001,"&lt;&gt;")=0,"",SUMIFS(BD!$AE$3:$AE$5001,BD!$A$3:$A$5001,AF$3,BD!$B$3:$B$5001,$A$309)))</f>
        <v/>
      </c>
      <c r="AG338" s="223" t="str">
        <f>IF(AG$3="","",IF(COUNTIFS(BD!$A$3:$A$5001,AG$3,BD!$B$3:$B$5001,$A$309,BD!$AE$3:$AE$5001,"&lt;&gt;")=0,"",SUMIFS(BD!$AE$3:$AE$5001,BD!$A$3:$A$5001,AG$3,BD!$B$3:$B$5001,$A$309)))</f>
        <v/>
      </c>
      <c r="AH338" s="223" t="str">
        <f>IF(AH$3="","",IF(COUNTIFS(BD!$A$3:$A$5001,AH$3,BD!$B$3:$B$5001,$A$309,BD!$AE$3:$AE$5001,"&lt;&gt;")=0,"",SUMIFS(BD!$AE$3:$AE$5001,BD!$A$3:$A$5001,AH$3,BD!$B$3:$B$5001,$A$309)))</f>
        <v/>
      </c>
      <c r="AI338" s="223" t="str">
        <f>IF(AI$3="","",IF(COUNTIFS(BD!$A$3:$A$5001,AI$3,BD!$B$3:$B$5001,$A$309,BD!$AE$3:$AE$5001,"&lt;&gt;")=0,"",SUMIFS(BD!$AE$3:$AE$5001,BD!$A$3:$A$5001,AI$3,BD!$B$3:$B$5001,$A$309)))</f>
        <v/>
      </c>
      <c r="AJ338" s="224" t="str">
        <f>IF(AJ$3="","",IF(COUNTIFS(BD!$A$3:$A$5001,AJ$3,BD!$B$3:$B$5001,$A$309,BD!$AE$3:$AE$5001,"&lt;&gt;")=0,"",SUMIFS(BD!$AE$3:$AE$5001,BD!$A$3:$A$5001,AJ$3,BD!$B$3:$B$5001,$A$309)))</f>
        <v/>
      </c>
      <c r="AK338" s="225" t="str">
        <f>IF(COUNT(F338:AJ338)=0,"",SUM(F338:AJ338))</f>
        <v/>
      </c>
    </row>
    <row r="339" ht="15.75" customHeight="1" hidden="1">
      <c r="A339" s="245"/>
      <c r="B339" s="242"/>
      <c r="C339" s="226" t="inlineStr">
        <is>
          <t xml:space="preserve">Acidentes SAF</t>
        </is>
      </c>
      <c r="D339" s="227" t="str">
        <f>IFERROR(1/(1/INDEX(BD!$AJ$53:$BD$53,MATCH($A$309,BD!$AJ$22:$BD$22,0))),"")</f>
        <v/>
      </c>
      <c r="E339" s="228"/>
      <c r="F339" s="229" t="str">
        <f>IF(F$3="","",IF(COUNTIFS(BD!$A$3:$A$5001,F$3,BD!$B$3:$B$5001,$A$309,BD!$AF$3:$AF$5001,"&lt;&gt;")=0,"",SUMIFS(BD!$AF$3:$AF$5001,BD!$A$3:$A$5001,F$3,BD!$B$3:$B$5001,$A$309)))</f>
        <v/>
      </c>
      <c r="G339" s="230" t="str">
        <f>IF(G$3="","",IF(COUNTIFS(BD!$A$3:$A$5001,G$3,BD!$B$3:$B$5001,$A$309,BD!$AF$3:$AF$5001,"&lt;&gt;")=0,"",SUMIFS(BD!$AF$3:$AF$5001,BD!$A$3:$A$5001,G$3,BD!$B$3:$B$5001,$A$309)))</f>
        <v/>
      </c>
      <c r="H339" s="230" t="str">
        <f>IF(H$3="","",IF(COUNTIFS(BD!$A$3:$A$5001,H$3,BD!$B$3:$B$5001,$A$309,BD!$AF$3:$AF$5001,"&lt;&gt;")=0,"",SUMIFS(BD!$AF$3:$AF$5001,BD!$A$3:$A$5001,H$3,BD!$B$3:$B$5001,$A$309)))</f>
        <v/>
      </c>
      <c r="I339" s="230" t="str">
        <f>IF(I$3="","",IF(COUNTIFS(BD!$A$3:$A$5001,I$3,BD!$B$3:$B$5001,$A$309,BD!$AF$3:$AF$5001,"&lt;&gt;")=0,"",SUMIFS(BD!$AF$3:$AF$5001,BD!$A$3:$A$5001,I$3,BD!$B$3:$B$5001,$A$309)))</f>
        <v/>
      </c>
      <c r="J339" s="230" t="str">
        <f>IF(J$3="","",IF(COUNTIFS(BD!$A$3:$A$5001,J$3,BD!$B$3:$B$5001,$A$309,BD!$AF$3:$AF$5001,"&lt;&gt;")=0,"",SUMIFS(BD!$AF$3:$AF$5001,BD!$A$3:$A$5001,J$3,BD!$B$3:$B$5001,$A$309)))</f>
        <v/>
      </c>
      <c r="K339" s="230" t="str">
        <f>IF(K$3="","",IF(COUNTIFS(BD!$A$3:$A$5001,K$3,BD!$B$3:$B$5001,$A$309,BD!$AF$3:$AF$5001,"&lt;&gt;")=0,"",SUMIFS(BD!$AF$3:$AF$5001,BD!$A$3:$A$5001,K$3,BD!$B$3:$B$5001,$A$309)))</f>
        <v/>
      </c>
      <c r="L339" s="230" t="str">
        <f>IF(L$3="","",IF(COUNTIFS(BD!$A$3:$A$5001,L$3,BD!$B$3:$B$5001,$A$309,BD!$AF$3:$AF$5001,"&lt;&gt;")=0,"",SUMIFS(BD!$AF$3:$AF$5001,BD!$A$3:$A$5001,L$3,BD!$B$3:$B$5001,$A$309)))</f>
        <v/>
      </c>
      <c r="M339" s="230" t="str">
        <f>IF(M$3="","",IF(COUNTIFS(BD!$A$3:$A$5001,M$3,BD!$B$3:$B$5001,$A$309,BD!$AF$3:$AF$5001,"&lt;&gt;")=0,"",SUMIFS(BD!$AF$3:$AF$5001,BD!$A$3:$A$5001,M$3,BD!$B$3:$B$5001,$A$309)))</f>
        <v/>
      </c>
      <c r="N339" s="230" t="str">
        <f>IF(N$3="","",IF(COUNTIFS(BD!$A$3:$A$5001,N$3,BD!$B$3:$B$5001,$A$309,BD!$AF$3:$AF$5001,"&lt;&gt;")=0,"",SUMIFS(BD!$AF$3:$AF$5001,BD!$A$3:$A$5001,N$3,BD!$B$3:$B$5001,$A$309)))</f>
        <v/>
      </c>
      <c r="O339" s="230" t="str">
        <f>IF(O$3="","",IF(COUNTIFS(BD!$A$3:$A$5001,O$3,BD!$B$3:$B$5001,$A$309,BD!$AF$3:$AF$5001,"&lt;&gt;")=0,"",SUMIFS(BD!$AF$3:$AF$5001,BD!$A$3:$A$5001,O$3,BD!$B$3:$B$5001,$A$309)))</f>
        <v/>
      </c>
      <c r="P339" s="230" t="str">
        <f>IF(P$3="","",IF(COUNTIFS(BD!$A$3:$A$5001,P$3,BD!$B$3:$B$5001,$A$309,BD!$AF$3:$AF$5001,"&lt;&gt;")=0,"",SUMIFS(BD!$AF$3:$AF$5001,BD!$A$3:$A$5001,P$3,BD!$B$3:$B$5001,$A$309)))</f>
        <v/>
      </c>
      <c r="Q339" s="230" t="str">
        <f>IF(Q$3="","",IF(COUNTIFS(BD!$A$3:$A$5001,Q$3,BD!$B$3:$B$5001,$A$309,BD!$AF$3:$AF$5001,"&lt;&gt;")=0,"",SUMIFS(BD!$AF$3:$AF$5001,BD!$A$3:$A$5001,Q$3,BD!$B$3:$B$5001,$A$309)))</f>
        <v/>
      </c>
      <c r="R339" s="230" t="str">
        <f>IF(R$3="","",IF(COUNTIFS(BD!$A$3:$A$5001,R$3,BD!$B$3:$B$5001,$A$309,BD!$AF$3:$AF$5001,"&lt;&gt;")=0,"",SUMIFS(BD!$AF$3:$AF$5001,BD!$A$3:$A$5001,R$3,BD!$B$3:$B$5001,$A$309)))</f>
        <v/>
      </c>
      <c r="S339" s="230" t="str">
        <f>IF(S$3="","",IF(COUNTIFS(BD!$A$3:$A$5001,S$3,BD!$B$3:$B$5001,$A$309,BD!$AF$3:$AF$5001,"&lt;&gt;")=0,"",SUMIFS(BD!$AF$3:$AF$5001,BD!$A$3:$A$5001,S$3,BD!$B$3:$B$5001,$A$309)))</f>
        <v/>
      </c>
      <c r="T339" s="230" t="str">
        <f>IF(T$3="","",IF(COUNTIFS(BD!$A$3:$A$5001,T$3,BD!$B$3:$B$5001,$A$309,BD!$AF$3:$AF$5001,"&lt;&gt;")=0,"",SUMIFS(BD!$AF$3:$AF$5001,BD!$A$3:$A$5001,T$3,BD!$B$3:$B$5001,$A$309)))</f>
        <v/>
      </c>
      <c r="U339" s="230" t="str">
        <f>IF(U$3="","",IF(COUNTIFS(BD!$A$3:$A$5001,U$3,BD!$B$3:$B$5001,$A$309,BD!$AF$3:$AF$5001,"&lt;&gt;")=0,"",SUMIFS(BD!$AF$3:$AF$5001,BD!$A$3:$A$5001,U$3,BD!$B$3:$B$5001,$A$309)))</f>
        <v/>
      </c>
      <c r="V339" s="230" t="str">
        <f>IF(V$3="","",IF(COUNTIFS(BD!$A$3:$A$5001,V$3,BD!$B$3:$B$5001,$A$309,BD!$AF$3:$AF$5001,"&lt;&gt;")=0,"",SUMIFS(BD!$AF$3:$AF$5001,BD!$A$3:$A$5001,V$3,BD!$B$3:$B$5001,$A$309)))</f>
        <v/>
      </c>
      <c r="W339" s="230" t="str">
        <f>IF(W$3="","",IF(COUNTIFS(BD!$A$3:$A$5001,W$3,BD!$B$3:$B$5001,$A$309,BD!$AF$3:$AF$5001,"&lt;&gt;")=0,"",SUMIFS(BD!$AF$3:$AF$5001,BD!$A$3:$A$5001,W$3,BD!$B$3:$B$5001,$A$309)))</f>
        <v/>
      </c>
      <c r="X339" s="230" t="str">
        <f>IF(X$3="","",IF(COUNTIFS(BD!$A$3:$A$5001,X$3,BD!$B$3:$B$5001,$A$309,BD!$AF$3:$AF$5001,"&lt;&gt;")=0,"",SUMIFS(BD!$AF$3:$AF$5001,BD!$A$3:$A$5001,X$3,BD!$B$3:$B$5001,$A$309)))</f>
        <v/>
      </c>
      <c r="Y339" s="230" t="str">
        <f>IF(Y$3="","",IF(COUNTIFS(BD!$A$3:$A$5001,Y$3,BD!$B$3:$B$5001,$A$309,BD!$AF$3:$AF$5001,"&lt;&gt;")=0,"",SUMIFS(BD!$AF$3:$AF$5001,BD!$A$3:$A$5001,Y$3,BD!$B$3:$B$5001,$A$309)))</f>
        <v/>
      </c>
      <c r="Z339" s="230" t="str">
        <f>IF(Z$3="","",IF(COUNTIFS(BD!$A$3:$A$5001,Z$3,BD!$B$3:$B$5001,$A$309,BD!$AF$3:$AF$5001,"&lt;&gt;")=0,"",SUMIFS(BD!$AF$3:$AF$5001,BD!$A$3:$A$5001,Z$3,BD!$B$3:$B$5001,$A$309)))</f>
        <v/>
      </c>
      <c r="AA339" s="230" t="str">
        <f>IF(AA$3="","",IF(COUNTIFS(BD!$A$3:$A$5001,AA$3,BD!$B$3:$B$5001,$A$309,BD!$AF$3:$AF$5001,"&lt;&gt;")=0,"",SUMIFS(BD!$AF$3:$AF$5001,BD!$A$3:$A$5001,AA$3,BD!$B$3:$B$5001,$A$309)))</f>
        <v/>
      </c>
      <c r="AB339" s="230" t="str">
        <f>IF(AB$3="","",IF(COUNTIFS(BD!$A$3:$A$5001,AB$3,BD!$B$3:$B$5001,$A$309,BD!$AF$3:$AF$5001,"&lt;&gt;")=0,"",SUMIFS(BD!$AF$3:$AF$5001,BD!$A$3:$A$5001,AB$3,BD!$B$3:$B$5001,$A$309)))</f>
        <v/>
      </c>
      <c r="AC339" s="230" t="str">
        <f>IF(AC$3="","",IF(COUNTIFS(BD!$A$3:$A$5001,AC$3,BD!$B$3:$B$5001,$A$309,BD!$AF$3:$AF$5001,"&lt;&gt;")=0,"",SUMIFS(BD!$AF$3:$AF$5001,BD!$A$3:$A$5001,AC$3,BD!$B$3:$B$5001,$A$309)))</f>
        <v/>
      </c>
      <c r="AD339" s="230" t="str">
        <f>IF(AD$3="","",IF(COUNTIFS(BD!$A$3:$A$5001,AD$3,BD!$B$3:$B$5001,$A$309,BD!$AF$3:$AF$5001,"&lt;&gt;")=0,"",SUMIFS(BD!$AF$3:$AF$5001,BD!$A$3:$A$5001,AD$3,BD!$B$3:$B$5001,$A$309)))</f>
        <v/>
      </c>
      <c r="AE339" s="230" t="str">
        <f>IF(AE$3="","",IF(COUNTIFS(BD!$A$3:$A$5001,AE$3,BD!$B$3:$B$5001,$A$309,BD!$AF$3:$AF$5001,"&lt;&gt;")=0,"",SUMIFS(BD!$AF$3:$AF$5001,BD!$A$3:$A$5001,AE$3,BD!$B$3:$B$5001,$A$309)))</f>
        <v/>
      </c>
      <c r="AF339" s="230" t="str">
        <f>IF(AF$3="","",IF(COUNTIFS(BD!$A$3:$A$5001,AF$3,BD!$B$3:$B$5001,$A$309,BD!$AF$3:$AF$5001,"&lt;&gt;")=0,"",SUMIFS(BD!$AF$3:$AF$5001,BD!$A$3:$A$5001,AF$3,BD!$B$3:$B$5001,$A$309)))</f>
        <v/>
      </c>
      <c r="AG339" s="230" t="str">
        <f>IF(AG$3="","",IF(COUNTIFS(BD!$A$3:$A$5001,AG$3,BD!$B$3:$B$5001,$A$309,BD!$AF$3:$AF$5001,"&lt;&gt;")=0,"",SUMIFS(BD!$AF$3:$AF$5001,BD!$A$3:$A$5001,AG$3,BD!$B$3:$B$5001,$A$309)))</f>
        <v/>
      </c>
      <c r="AH339" s="230" t="str">
        <f>IF(AH$3="","",IF(COUNTIFS(BD!$A$3:$A$5001,AH$3,BD!$B$3:$B$5001,$A$309,BD!$AF$3:$AF$5001,"&lt;&gt;")=0,"",SUMIFS(BD!$AF$3:$AF$5001,BD!$A$3:$A$5001,AH$3,BD!$B$3:$B$5001,$A$309)))</f>
        <v/>
      </c>
      <c r="AI339" s="230" t="str">
        <f>IF(AI$3="","",IF(COUNTIFS(BD!$A$3:$A$5001,AI$3,BD!$B$3:$B$5001,$A$309,BD!$AF$3:$AF$5001,"&lt;&gt;")=0,"",SUMIFS(BD!$AF$3:$AF$5001,BD!$A$3:$A$5001,AI$3,BD!$B$3:$B$5001,$A$309)))</f>
        <v/>
      </c>
      <c r="AJ339" s="231" t="str">
        <f>IF(AJ$3="","",IF(COUNTIFS(BD!$A$3:$A$5001,AJ$3,BD!$B$3:$B$5001,$A$309,BD!$AF$3:$AF$5001,"&lt;&gt;")=0,"",SUMIFS(BD!$AF$3:$AF$5001,BD!$A$3:$A$5001,AJ$3,BD!$B$3:$B$5001,$A$309)))</f>
        <v/>
      </c>
      <c r="AK339" s="227" t="str">
        <f>IF(COUNT(F339:AJ339)=0,"",SUM(F339:AJ339))</f>
        <v/>
      </c>
    </row>
    <row r="341" ht="15.75" customHeight="1" hidden="1">
      <c r="A341" s="243"/>
      <c r="B341" s="232" t="inlineStr">
        <is>
          <t xml:space="preserve">IN</t>
        </is>
      </c>
      <c r="C341" s="155" t="inlineStr">
        <is>
          <t xml:space="preserve">Veículos Recebidos</t>
        </is>
      </c>
      <c r="D341" s="156" t="str">
        <f>IFERROR(1/(1/INDEX(BD!$AJ$23:$BD$23,MATCH($A$341,BD!$AJ$22:$BD$22,0))),"")</f>
        <v/>
      </c>
      <c r="E341" s="157"/>
      <c r="F341" s="158" t="str">
        <f>IF(F$3="","",IF(COUNTIFS(BD!$A$3:$A$5001,F$3,BD!$B$3:$B$5001,$A$341,BD!$C$3:$C$5001,"&lt;&gt;")=0,"",SUMIFS(BD!$C$3:$C$5001,BD!$A$3:$A$5001,F$3,BD!$B$3:$B$5001,$A$341)))</f>
        <v/>
      </c>
      <c r="G341" s="159" t="str">
        <f>IF(G$3="","",IF(COUNTIFS(BD!$A$3:$A$5001,G$3,BD!$B$3:$B$5001,$A$341,BD!$C$3:$C$5001,"&lt;&gt;")=0,"",SUMIFS(BD!$C$3:$C$5001,BD!$A$3:$A$5001,G$3,BD!$B$3:$B$5001,$A$341)))</f>
        <v/>
      </c>
      <c r="H341" s="159" t="str">
        <f>IF(H$3="","",IF(COUNTIFS(BD!$A$3:$A$5001,H$3,BD!$B$3:$B$5001,$A$341,BD!$C$3:$C$5001,"&lt;&gt;")=0,"",SUMIFS(BD!$C$3:$C$5001,BD!$A$3:$A$5001,H$3,BD!$B$3:$B$5001,$A$341)))</f>
        <v/>
      </c>
      <c r="I341" s="159" t="str">
        <f>IF(I$3="","",IF(COUNTIFS(BD!$A$3:$A$5001,I$3,BD!$B$3:$B$5001,$A$341,BD!$C$3:$C$5001,"&lt;&gt;")=0,"",SUMIFS(BD!$C$3:$C$5001,BD!$A$3:$A$5001,I$3,BD!$B$3:$B$5001,$A$341)))</f>
        <v/>
      </c>
      <c r="J341" s="159" t="str">
        <f>IF(J$3="","",IF(COUNTIFS(BD!$A$3:$A$5001,J$3,BD!$B$3:$B$5001,$A$341,BD!$C$3:$C$5001,"&lt;&gt;")=0,"",SUMIFS(BD!$C$3:$C$5001,BD!$A$3:$A$5001,J$3,BD!$B$3:$B$5001,$A$341)))</f>
        <v/>
      </c>
      <c r="K341" s="159" t="str">
        <f>IF(K$3="","",IF(COUNTIFS(BD!$A$3:$A$5001,K$3,BD!$B$3:$B$5001,$A$341,BD!$C$3:$C$5001,"&lt;&gt;")=0,"",SUMIFS(BD!$C$3:$C$5001,BD!$A$3:$A$5001,K$3,BD!$B$3:$B$5001,$A$341)))</f>
        <v/>
      </c>
      <c r="L341" s="159" t="str">
        <f>IF(L$3="","",IF(COUNTIFS(BD!$A$3:$A$5001,L$3,BD!$B$3:$B$5001,$A$341,BD!$C$3:$C$5001,"&lt;&gt;")=0,"",SUMIFS(BD!$C$3:$C$5001,BD!$A$3:$A$5001,L$3,BD!$B$3:$B$5001,$A$341)))</f>
        <v/>
      </c>
      <c r="M341" s="159" t="str">
        <f>IF(M$3="","",IF(COUNTIFS(BD!$A$3:$A$5001,M$3,BD!$B$3:$B$5001,$A$341,BD!$C$3:$C$5001,"&lt;&gt;")=0,"",SUMIFS(BD!$C$3:$C$5001,BD!$A$3:$A$5001,M$3,BD!$B$3:$B$5001,$A$341)))</f>
        <v/>
      </c>
      <c r="N341" s="159" t="str">
        <f>IF(N$3="","",IF(COUNTIFS(BD!$A$3:$A$5001,N$3,BD!$B$3:$B$5001,$A$341,BD!$C$3:$C$5001,"&lt;&gt;")=0,"",SUMIFS(BD!$C$3:$C$5001,BD!$A$3:$A$5001,N$3,BD!$B$3:$B$5001,$A$341)))</f>
        <v/>
      </c>
      <c r="O341" s="159" t="str">
        <f>IF(O$3="","",IF(COUNTIFS(BD!$A$3:$A$5001,O$3,BD!$B$3:$B$5001,$A$341,BD!$C$3:$C$5001,"&lt;&gt;")=0,"",SUMIFS(BD!$C$3:$C$5001,BD!$A$3:$A$5001,O$3,BD!$B$3:$B$5001,$A$341)))</f>
        <v/>
      </c>
      <c r="P341" s="159" t="str">
        <f>IF(P$3="","",IF(COUNTIFS(BD!$A$3:$A$5001,P$3,BD!$B$3:$B$5001,$A$341,BD!$C$3:$C$5001,"&lt;&gt;")=0,"",SUMIFS(BD!$C$3:$C$5001,BD!$A$3:$A$5001,P$3,BD!$B$3:$B$5001,$A$341)))</f>
        <v/>
      </c>
      <c r="Q341" s="159" t="str">
        <f>IF(Q$3="","",IF(COUNTIFS(BD!$A$3:$A$5001,Q$3,BD!$B$3:$B$5001,$A$341,BD!$C$3:$C$5001,"&lt;&gt;")=0,"",SUMIFS(BD!$C$3:$C$5001,BD!$A$3:$A$5001,Q$3,BD!$B$3:$B$5001,$A$341)))</f>
        <v/>
      </c>
      <c r="R341" s="159" t="str">
        <f>IF(R$3="","",IF(COUNTIFS(BD!$A$3:$A$5001,R$3,BD!$B$3:$B$5001,$A$341,BD!$C$3:$C$5001,"&lt;&gt;")=0,"",SUMIFS(BD!$C$3:$C$5001,BD!$A$3:$A$5001,R$3,BD!$B$3:$B$5001,$A$341)))</f>
        <v/>
      </c>
      <c r="S341" s="159" t="str">
        <f>IF(S$3="","",IF(COUNTIFS(BD!$A$3:$A$5001,S$3,BD!$B$3:$B$5001,$A$341,BD!$C$3:$C$5001,"&lt;&gt;")=0,"",SUMIFS(BD!$C$3:$C$5001,BD!$A$3:$A$5001,S$3,BD!$B$3:$B$5001,$A$341)))</f>
        <v/>
      </c>
      <c r="T341" s="159" t="str">
        <f>IF(T$3="","",IF(COUNTIFS(BD!$A$3:$A$5001,T$3,BD!$B$3:$B$5001,$A$341,BD!$C$3:$C$5001,"&lt;&gt;")=0,"",SUMIFS(BD!$C$3:$C$5001,BD!$A$3:$A$5001,T$3,BD!$B$3:$B$5001,$A$341)))</f>
        <v/>
      </c>
      <c r="U341" s="159" t="str">
        <f>IF(U$3="","",IF(COUNTIFS(BD!$A$3:$A$5001,U$3,BD!$B$3:$B$5001,$A$341,BD!$C$3:$C$5001,"&lt;&gt;")=0,"",SUMIFS(BD!$C$3:$C$5001,BD!$A$3:$A$5001,U$3,BD!$B$3:$B$5001,$A$341)))</f>
        <v/>
      </c>
      <c r="V341" s="159" t="str">
        <f>IF(V$3="","",IF(COUNTIFS(BD!$A$3:$A$5001,V$3,BD!$B$3:$B$5001,$A$341,BD!$C$3:$C$5001,"&lt;&gt;")=0,"",SUMIFS(BD!$C$3:$C$5001,BD!$A$3:$A$5001,V$3,BD!$B$3:$B$5001,$A$341)))</f>
        <v/>
      </c>
      <c r="W341" s="159" t="str">
        <f>IF(W$3="","",IF(COUNTIFS(BD!$A$3:$A$5001,W$3,BD!$B$3:$B$5001,$A$341,BD!$C$3:$C$5001,"&lt;&gt;")=0,"",SUMIFS(BD!$C$3:$C$5001,BD!$A$3:$A$5001,W$3,BD!$B$3:$B$5001,$A$341)))</f>
        <v/>
      </c>
      <c r="X341" s="159" t="str">
        <f>IF(X$3="","",IF(COUNTIFS(BD!$A$3:$A$5001,X$3,BD!$B$3:$B$5001,$A$341,BD!$C$3:$C$5001,"&lt;&gt;")=0,"",SUMIFS(BD!$C$3:$C$5001,BD!$A$3:$A$5001,X$3,BD!$B$3:$B$5001,$A$341)))</f>
        <v/>
      </c>
      <c r="Y341" s="159" t="str">
        <f>IF(Y$3="","",IF(COUNTIFS(BD!$A$3:$A$5001,Y$3,BD!$B$3:$B$5001,$A$341,BD!$C$3:$C$5001,"&lt;&gt;")=0,"",SUMIFS(BD!$C$3:$C$5001,BD!$A$3:$A$5001,Y$3,BD!$B$3:$B$5001,$A$341)))</f>
        <v/>
      </c>
      <c r="Z341" s="159" t="str">
        <f>IF(Z$3="","",IF(COUNTIFS(BD!$A$3:$A$5001,Z$3,BD!$B$3:$B$5001,$A$341,BD!$C$3:$C$5001,"&lt;&gt;")=0,"",SUMIFS(BD!$C$3:$C$5001,BD!$A$3:$A$5001,Z$3,BD!$B$3:$B$5001,$A$341)))</f>
        <v/>
      </c>
      <c r="AA341" s="159" t="str">
        <f>IF(AA$3="","",IF(COUNTIFS(BD!$A$3:$A$5001,AA$3,BD!$B$3:$B$5001,$A$341,BD!$C$3:$C$5001,"&lt;&gt;")=0,"",SUMIFS(BD!$C$3:$C$5001,BD!$A$3:$A$5001,AA$3,BD!$B$3:$B$5001,$A$341)))</f>
        <v/>
      </c>
      <c r="AB341" s="159" t="str">
        <f>IF(AB$3="","",IF(COUNTIFS(BD!$A$3:$A$5001,AB$3,BD!$B$3:$B$5001,$A$341,BD!$C$3:$C$5001,"&lt;&gt;")=0,"",SUMIFS(BD!$C$3:$C$5001,BD!$A$3:$A$5001,AB$3,BD!$B$3:$B$5001,$A$341)))</f>
        <v/>
      </c>
      <c r="AC341" s="159" t="str">
        <f>IF(AC$3="","",IF(COUNTIFS(BD!$A$3:$A$5001,AC$3,BD!$B$3:$B$5001,$A$341,BD!$C$3:$C$5001,"&lt;&gt;")=0,"",SUMIFS(BD!$C$3:$C$5001,BD!$A$3:$A$5001,AC$3,BD!$B$3:$B$5001,$A$341)))</f>
        <v/>
      </c>
      <c r="AD341" s="159" t="str">
        <f>IF(AD$3="","",IF(COUNTIFS(BD!$A$3:$A$5001,AD$3,BD!$B$3:$B$5001,$A$341,BD!$C$3:$C$5001,"&lt;&gt;")=0,"",SUMIFS(BD!$C$3:$C$5001,BD!$A$3:$A$5001,AD$3,BD!$B$3:$B$5001,$A$341)))</f>
        <v/>
      </c>
      <c r="AE341" s="159" t="str">
        <f>IF(AE$3="","",IF(COUNTIFS(BD!$A$3:$A$5001,AE$3,BD!$B$3:$B$5001,$A$341,BD!$C$3:$C$5001,"&lt;&gt;")=0,"",SUMIFS(BD!$C$3:$C$5001,BD!$A$3:$A$5001,AE$3,BD!$B$3:$B$5001,$A$341)))</f>
        <v/>
      </c>
      <c r="AF341" s="159" t="str">
        <f>IF(AF$3="","",IF(COUNTIFS(BD!$A$3:$A$5001,AF$3,BD!$B$3:$B$5001,$A$341,BD!$C$3:$C$5001,"&lt;&gt;")=0,"",SUMIFS(BD!$C$3:$C$5001,BD!$A$3:$A$5001,AF$3,BD!$B$3:$B$5001,$A$341)))</f>
        <v/>
      </c>
      <c r="AG341" s="159" t="str">
        <f>IF(AG$3="","",IF(COUNTIFS(BD!$A$3:$A$5001,AG$3,BD!$B$3:$B$5001,$A$341,BD!$C$3:$C$5001,"&lt;&gt;")=0,"",SUMIFS(BD!$C$3:$C$5001,BD!$A$3:$A$5001,AG$3,BD!$B$3:$B$5001,$A$341)))</f>
        <v/>
      </c>
      <c r="AH341" s="159" t="str">
        <f>IF(AH$3="","",IF(COUNTIFS(BD!$A$3:$A$5001,AH$3,BD!$B$3:$B$5001,$A$341,BD!$C$3:$C$5001,"&lt;&gt;")=0,"",SUMIFS(BD!$C$3:$C$5001,BD!$A$3:$A$5001,AH$3,BD!$B$3:$B$5001,$A$341)))</f>
        <v/>
      </c>
      <c r="AI341" s="159" t="str">
        <f>IF(AI$3="","",IF(COUNTIFS(BD!$A$3:$A$5001,AI$3,BD!$B$3:$B$5001,$A$341,BD!$C$3:$C$5001,"&lt;&gt;")=0,"",SUMIFS(BD!$C$3:$C$5001,BD!$A$3:$A$5001,AI$3,BD!$B$3:$B$5001,$A$341)))</f>
        <v/>
      </c>
      <c r="AJ341" s="160" t="str">
        <f>IF(AJ$3="","",IF(COUNTIFS(BD!$A$3:$A$5001,AJ$3,BD!$B$3:$B$5001,$A$341,BD!$C$3:$C$5001,"&lt;&gt;")=0,"",SUMIFS(BD!$C$3:$C$5001,BD!$A$3:$A$5001,AJ$3,BD!$B$3:$B$5001,$A$341)))</f>
        <v/>
      </c>
      <c r="AK341" s="161" t="str">
        <f>IF(COUNT(F341:AJ341)=0,"",SUM(F341:AJ341))</f>
        <v/>
      </c>
    </row>
    <row r="342" ht="15.75" customHeight="1" hidden="1">
      <c r="A342" s="244"/>
      <c r="B342" s="239"/>
      <c r="C342" s="201" t="inlineStr">
        <is>
          <t xml:space="preserve">Pallets Movimentados</t>
        </is>
      </c>
      <c r="D342" s="202" t="str">
        <f>IFERROR(1/(1/INDEX(BD!$AJ$24:$BD$24,MATCH($A$341,BD!$AJ$22:$BD$22,0))),"")</f>
        <v/>
      </c>
      <c r="E342" s="203"/>
      <c r="F342" s="204" t="str">
        <f>IF(F$3="","",IF(COUNTIFS(BD!$A$3:$A$5001,F$3,BD!$B$3:$B$5001,$A$341,BD!$D$3:$D$5001,"&lt;&gt;")=0,"",SUMIFS(BD!$D$3:$D$5001,BD!$A$3:$A$5001,F$3,BD!$B$3:$B$5001,$A$341)))</f>
        <v/>
      </c>
      <c r="G342" s="205" t="str">
        <f>IF(G$3="","",IF(COUNTIFS(BD!$A$3:$A$5001,G$3,BD!$B$3:$B$5001,$A$341,BD!$D$3:$D$5001,"&lt;&gt;")=0,"",SUMIFS(BD!$D$3:$D$5001,BD!$A$3:$A$5001,G$3,BD!$B$3:$B$5001,$A$341)))</f>
        <v/>
      </c>
      <c r="H342" s="205" t="str">
        <f>IF(H$3="","",IF(COUNTIFS(BD!$A$3:$A$5001,H$3,BD!$B$3:$B$5001,$A$341,BD!$D$3:$D$5001,"&lt;&gt;")=0,"",SUMIFS(BD!$D$3:$D$5001,BD!$A$3:$A$5001,H$3,BD!$B$3:$B$5001,$A$341)))</f>
        <v/>
      </c>
      <c r="I342" s="205" t="str">
        <f>IF(I$3="","",IF(COUNTIFS(BD!$A$3:$A$5001,I$3,BD!$B$3:$B$5001,$A$341,BD!$D$3:$D$5001,"&lt;&gt;")=0,"",SUMIFS(BD!$D$3:$D$5001,BD!$A$3:$A$5001,I$3,BD!$B$3:$B$5001,$A$341)))</f>
        <v/>
      </c>
      <c r="J342" s="205" t="str">
        <f>IF(J$3="","",IF(COUNTIFS(BD!$A$3:$A$5001,J$3,BD!$B$3:$B$5001,$A$341,BD!$D$3:$D$5001,"&lt;&gt;")=0,"",SUMIFS(BD!$D$3:$D$5001,BD!$A$3:$A$5001,J$3,BD!$B$3:$B$5001,$A$341)))</f>
        <v/>
      </c>
      <c r="K342" s="205" t="str">
        <f>IF(K$3="","",IF(COUNTIFS(BD!$A$3:$A$5001,K$3,BD!$B$3:$B$5001,$A$341,BD!$D$3:$D$5001,"&lt;&gt;")=0,"",SUMIFS(BD!$D$3:$D$5001,BD!$A$3:$A$5001,K$3,BD!$B$3:$B$5001,$A$341)))</f>
        <v/>
      </c>
      <c r="L342" s="205" t="str">
        <f>IF(L$3="","",IF(COUNTIFS(BD!$A$3:$A$5001,L$3,BD!$B$3:$B$5001,$A$341,BD!$D$3:$D$5001,"&lt;&gt;")=0,"",SUMIFS(BD!$D$3:$D$5001,BD!$A$3:$A$5001,L$3,BD!$B$3:$B$5001,$A$341)))</f>
        <v/>
      </c>
      <c r="M342" s="205" t="str">
        <f>IF(M$3="","",IF(COUNTIFS(BD!$A$3:$A$5001,M$3,BD!$B$3:$B$5001,$A$341,BD!$D$3:$D$5001,"&lt;&gt;")=0,"",SUMIFS(BD!$D$3:$D$5001,BD!$A$3:$A$5001,M$3,BD!$B$3:$B$5001,$A$341)))</f>
        <v/>
      </c>
      <c r="N342" s="205" t="str">
        <f>IF(N$3="","",IF(COUNTIFS(BD!$A$3:$A$5001,N$3,BD!$B$3:$B$5001,$A$341,BD!$D$3:$D$5001,"&lt;&gt;")=0,"",SUMIFS(BD!$D$3:$D$5001,BD!$A$3:$A$5001,N$3,BD!$B$3:$B$5001,$A$341)))</f>
        <v/>
      </c>
      <c r="O342" s="205" t="str">
        <f>IF(O$3="","",IF(COUNTIFS(BD!$A$3:$A$5001,O$3,BD!$B$3:$B$5001,$A$341,BD!$D$3:$D$5001,"&lt;&gt;")=0,"",SUMIFS(BD!$D$3:$D$5001,BD!$A$3:$A$5001,O$3,BD!$B$3:$B$5001,$A$341)))</f>
        <v/>
      </c>
      <c r="P342" s="205" t="str">
        <f>IF(P$3="","",IF(COUNTIFS(BD!$A$3:$A$5001,P$3,BD!$B$3:$B$5001,$A$341,BD!$D$3:$D$5001,"&lt;&gt;")=0,"",SUMIFS(BD!$D$3:$D$5001,BD!$A$3:$A$5001,P$3,BD!$B$3:$B$5001,$A$341)))</f>
        <v/>
      </c>
      <c r="Q342" s="205" t="str">
        <f>IF(Q$3="","",IF(COUNTIFS(BD!$A$3:$A$5001,Q$3,BD!$B$3:$B$5001,$A$341,BD!$D$3:$D$5001,"&lt;&gt;")=0,"",SUMIFS(BD!$D$3:$D$5001,BD!$A$3:$A$5001,Q$3,BD!$B$3:$B$5001,$A$341)))</f>
        <v/>
      </c>
      <c r="R342" s="205" t="str">
        <f>IF(R$3="","",IF(COUNTIFS(BD!$A$3:$A$5001,R$3,BD!$B$3:$B$5001,$A$341,BD!$D$3:$D$5001,"&lt;&gt;")=0,"",SUMIFS(BD!$D$3:$D$5001,BD!$A$3:$A$5001,R$3,BD!$B$3:$B$5001,$A$341)))</f>
        <v/>
      </c>
      <c r="S342" s="205" t="str">
        <f>IF(S$3="","",IF(COUNTIFS(BD!$A$3:$A$5001,S$3,BD!$B$3:$B$5001,$A$341,BD!$D$3:$D$5001,"&lt;&gt;")=0,"",SUMIFS(BD!$D$3:$D$5001,BD!$A$3:$A$5001,S$3,BD!$B$3:$B$5001,$A$341)))</f>
        <v/>
      </c>
      <c r="T342" s="205" t="str">
        <f>IF(T$3="","",IF(COUNTIFS(BD!$A$3:$A$5001,T$3,BD!$B$3:$B$5001,$A$341,BD!$D$3:$D$5001,"&lt;&gt;")=0,"",SUMIFS(BD!$D$3:$D$5001,BD!$A$3:$A$5001,T$3,BD!$B$3:$B$5001,$A$341)))</f>
        <v/>
      </c>
      <c r="U342" s="205" t="str">
        <f>IF(U$3="","",IF(COUNTIFS(BD!$A$3:$A$5001,U$3,BD!$B$3:$B$5001,$A$341,BD!$D$3:$D$5001,"&lt;&gt;")=0,"",SUMIFS(BD!$D$3:$D$5001,BD!$A$3:$A$5001,U$3,BD!$B$3:$B$5001,$A$341)))</f>
        <v/>
      </c>
      <c r="V342" s="205" t="str">
        <f>IF(V$3="","",IF(COUNTIFS(BD!$A$3:$A$5001,V$3,BD!$B$3:$B$5001,$A$341,BD!$D$3:$D$5001,"&lt;&gt;")=0,"",SUMIFS(BD!$D$3:$D$5001,BD!$A$3:$A$5001,V$3,BD!$B$3:$B$5001,$A$341)))</f>
        <v/>
      </c>
      <c r="W342" s="205" t="str">
        <f>IF(W$3="","",IF(COUNTIFS(BD!$A$3:$A$5001,W$3,BD!$B$3:$B$5001,$A$341,BD!$D$3:$D$5001,"&lt;&gt;")=0,"",SUMIFS(BD!$D$3:$D$5001,BD!$A$3:$A$5001,W$3,BD!$B$3:$B$5001,$A$341)))</f>
        <v/>
      </c>
      <c r="X342" s="205" t="str">
        <f>IF(X$3="","",IF(COUNTIFS(BD!$A$3:$A$5001,X$3,BD!$B$3:$B$5001,$A$341,BD!$D$3:$D$5001,"&lt;&gt;")=0,"",SUMIFS(BD!$D$3:$D$5001,BD!$A$3:$A$5001,X$3,BD!$B$3:$B$5001,$A$341)))</f>
        <v/>
      </c>
      <c r="Y342" s="205" t="str">
        <f>IF(Y$3="","",IF(COUNTIFS(BD!$A$3:$A$5001,Y$3,BD!$B$3:$B$5001,$A$341,BD!$D$3:$D$5001,"&lt;&gt;")=0,"",SUMIFS(BD!$D$3:$D$5001,BD!$A$3:$A$5001,Y$3,BD!$B$3:$B$5001,$A$341)))</f>
        <v/>
      </c>
      <c r="Z342" s="205" t="str">
        <f>IF(Z$3="","",IF(COUNTIFS(BD!$A$3:$A$5001,Z$3,BD!$B$3:$B$5001,$A$341,BD!$D$3:$D$5001,"&lt;&gt;")=0,"",SUMIFS(BD!$D$3:$D$5001,BD!$A$3:$A$5001,Z$3,BD!$B$3:$B$5001,$A$341)))</f>
        <v/>
      </c>
      <c r="AA342" s="205" t="str">
        <f>IF(AA$3="","",IF(COUNTIFS(BD!$A$3:$A$5001,AA$3,BD!$B$3:$B$5001,$A$341,BD!$D$3:$D$5001,"&lt;&gt;")=0,"",SUMIFS(BD!$D$3:$D$5001,BD!$A$3:$A$5001,AA$3,BD!$B$3:$B$5001,$A$341)))</f>
        <v/>
      </c>
      <c r="AB342" s="205" t="str">
        <f>IF(AB$3="","",IF(COUNTIFS(BD!$A$3:$A$5001,AB$3,BD!$B$3:$B$5001,$A$341,BD!$D$3:$D$5001,"&lt;&gt;")=0,"",SUMIFS(BD!$D$3:$D$5001,BD!$A$3:$A$5001,AB$3,BD!$B$3:$B$5001,$A$341)))</f>
        <v/>
      </c>
      <c r="AC342" s="205" t="str">
        <f>IF(AC$3="","",IF(COUNTIFS(BD!$A$3:$A$5001,AC$3,BD!$B$3:$B$5001,$A$341,BD!$D$3:$D$5001,"&lt;&gt;")=0,"",SUMIFS(BD!$D$3:$D$5001,BD!$A$3:$A$5001,AC$3,BD!$B$3:$B$5001,$A$341)))</f>
        <v/>
      </c>
      <c r="AD342" s="205" t="str">
        <f>IF(AD$3="","",IF(COUNTIFS(BD!$A$3:$A$5001,AD$3,BD!$B$3:$B$5001,$A$341,BD!$D$3:$D$5001,"&lt;&gt;")=0,"",SUMIFS(BD!$D$3:$D$5001,BD!$A$3:$A$5001,AD$3,BD!$B$3:$B$5001,$A$341)))</f>
        <v/>
      </c>
      <c r="AE342" s="205" t="str">
        <f>IF(AE$3="","",IF(COUNTIFS(BD!$A$3:$A$5001,AE$3,BD!$B$3:$B$5001,$A$341,BD!$D$3:$D$5001,"&lt;&gt;")=0,"",SUMIFS(BD!$D$3:$D$5001,BD!$A$3:$A$5001,AE$3,BD!$B$3:$B$5001,$A$341)))</f>
        <v/>
      </c>
      <c r="AF342" s="205" t="str">
        <f>IF(AF$3="","",IF(COUNTIFS(BD!$A$3:$A$5001,AF$3,BD!$B$3:$B$5001,$A$341,BD!$D$3:$D$5001,"&lt;&gt;")=0,"",SUMIFS(BD!$D$3:$D$5001,BD!$A$3:$A$5001,AF$3,BD!$B$3:$B$5001,$A$341)))</f>
        <v/>
      </c>
      <c r="AG342" s="205" t="str">
        <f>IF(AG$3="","",IF(COUNTIFS(BD!$A$3:$A$5001,AG$3,BD!$B$3:$B$5001,$A$341,BD!$D$3:$D$5001,"&lt;&gt;")=0,"",SUMIFS(BD!$D$3:$D$5001,BD!$A$3:$A$5001,AG$3,BD!$B$3:$B$5001,$A$341)))</f>
        <v/>
      </c>
      <c r="AH342" s="205" t="str">
        <f>IF(AH$3="","",IF(COUNTIFS(BD!$A$3:$A$5001,AH$3,BD!$B$3:$B$5001,$A$341,BD!$D$3:$D$5001,"&lt;&gt;")=0,"",SUMIFS(BD!$D$3:$D$5001,BD!$A$3:$A$5001,AH$3,BD!$B$3:$B$5001,$A$341)))</f>
        <v/>
      </c>
      <c r="AI342" s="205" t="str">
        <f>IF(AI$3="","",IF(COUNTIFS(BD!$A$3:$A$5001,AI$3,BD!$B$3:$B$5001,$A$341,BD!$D$3:$D$5001,"&lt;&gt;")=0,"",SUMIFS(BD!$D$3:$D$5001,BD!$A$3:$A$5001,AI$3,BD!$B$3:$B$5001,$A$341)))</f>
        <v/>
      </c>
      <c r="AJ342" s="206" t="str">
        <f>IF(AJ$3="","",IF(COUNTIFS(BD!$A$3:$A$5001,AJ$3,BD!$B$3:$B$5001,$A$341,BD!$D$3:$D$5001,"&lt;&gt;")=0,"",SUMIFS(BD!$D$3:$D$5001,BD!$A$3:$A$5001,AJ$3,BD!$B$3:$B$5001,$A$341)))</f>
        <v/>
      </c>
      <c r="AK342" s="207" t="str">
        <f>IF(COUNT(F342:AJ342)=0,"",SUM(F342:AJ342))</f>
        <v/>
      </c>
    </row>
    <row r="343" ht="15.75" customHeight="1" hidden="1">
      <c r="A343" s="244"/>
      <c r="B343" s="239"/>
      <c r="C343" s="201" t="inlineStr">
        <is>
          <t xml:space="preserve">Toneladas Movimentadas</t>
        </is>
      </c>
      <c r="D343" s="202" t="str">
        <f>IFERROR(1/(1/INDEX(BD!$AJ$25:$BD$25,MATCH($A$341,BD!$AJ$22:$BD$22,0))),"")</f>
        <v/>
      </c>
      <c r="E343" s="203"/>
      <c r="F343" s="265" t="str">
        <f>IF(F$3="","",IF(COUNTIFS(BD!$A$3:$A$5001,F$3,BD!$B$3:$B$5001,$A$341,BD!$E$3:$E$5001,"&lt;&gt;")=0,"",SUMIFS(BD!$E$3:$E$5001,BD!$A$3:$A$5001,F$3,BD!$B$3:$B$5001,$A$341)))</f>
        <v/>
      </c>
      <c r="G343" s="266" t="str">
        <f>IF(G$3="","",IF(COUNTIFS(BD!$A$3:$A$5001,G$3,BD!$B$3:$B$5001,$A$341,BD!$E$3:$E$5001,"&lt;&gt;")=0,"",SUMIFS(BD!$E$3:$E$5001,BD!$A$3:$A$5001,G$3,BD!$B$3:$B$5001,$A$341)))</f>
        <v/>
      </c>
      <c r="H343" s="266" t="str">
        <f>IF(H$3="","",IF(COUNTIFS(BD!$A$3:$A$5001,H$3,BD!$B$3:$B$5001,$A$341,BD!$E$3:$E$5001,"&lt;&gt;")=0,"",SUMIFS(BD!$E$3:$E$5001,BD!$A$3:$A$5001,H$3,BD!$B$3:$B$5001,$A$341)))</f>
        <v/>
      </c>
      <c r="I343" s="266" t="str">
        <f>IF(I$3="","",IF(COUNTIFS(BD!$A$3:$A$5001,I$3,BD!$B$3:$B$5001,$A$341,BD!$E$3:$E$5001,"&lt;&gt;")=0,"",SUMIFS(BD!$E$3:$E$5001,BD!$A$3:$A$5001,I$3,BD!$B$3:$B$5001,$A$341)))</f>
        <v/>
      </c>
      <c r="J343" s="266" t="str">
        <f>IF(J$3="","",IF(COUNTIFS(BD!$A$3:$A$5001,J$3,BD!$B$3:$B$5001,$A$341,BD!$E$3:$E$5001,"&lt;&gt;")=0,"",SUMIFS(BD!$E$3:$E$5001,BD!$A$3:$A$5001,J$3,BD!$B$3:$B$5001,$A$341)))</f>
        <v/>
      </c>
      <c r="K343" s="266" t="str">
        <f>IF(K$3="","",IF(COUNTIFS(BD!$A$3:$A$5001,K$3,BD!$B$3:$B$5001,$A$341,BD!$E$3:$E$5001,"&lt;&gt;")=0,"",SUMIFS(BD!$E$3:$E$5001,BD!$A$3:$A$5001,K$3,BD!$B$3:$B$5001,$A$341)))</f>
        <v/>
      </c>
      <c r="L343" s="266" t="str">
        <f>IF(L$3="","",IF(COUNTIFS(BD!$A$3:$A$5001,L$3,BD!$B$3:$B$5001,$A$341,BD!$E$3:$E$5001,"&lt;&gt;")=0,"",SUMIFS(BD!$E$3:$E$5001,BD!$A$3:$A$5001,L$3,BD!$B$3:$B$5001,$A$341)))</f>
        <v/>
      </c>
      <c r="M343" s="266" t="str">
        <f>IF(M$3="","",IF(COUNTIFS(BD!$A$3:$A$5001,M$3,BD!$B$3:$B$5001,$A$341,BD!$E$3:$E$5001,"&lt;&gt;")=0,"",SUMIFS(BD!$E$3:$E$5001,BD!$A$3:$A$5001,M$3,BD!$B$3:$B$5001,$A$341)))</f>
        <v/>
      </c>
      <c r="N343" s="266" t="str">
        <f>IF(N$3="","",IF(COUNTIFS(BD!$A$3:$A$5001,N$3,BD!$B$3:$B$5001,$A$341,BD!$E$3:$E$5001,"&lt;&gt;")=0,"",SUMIFS(BD!$E$3:$E$5001,BD!$A$3:$A$5001,N$3,BD!$B$3:$B$5001,$A$341)))</f>
        <v/>
      </c>
      <c r="O343" s="266" t="str">
        <f>IF(O$3="","",IF(COUNTIFS(BD!$A$3:$A$5001,O$3,BD!$B$3:$B$5001,$A$341,BD!$E$3:$E$5001,"&lt;&gt;")=0,"",SUMIFS(BD!$E$3:$E$5001,BD!$A$3:$A$5001,O$3,BD!$B$3:$B$5001,$A$341)))</f>
        <v/>
      </c>
      <c r="P343" s="266" t="str">
        <f>IF(P$3="","",IF(COUNTIFS(BD!$A$3:$A$5001,P$3,BD!$B$3:$B$5001,$A$341,BD!$E$3:$E$5001,"&lt;&gt;")=0,"",SUMIFS(BD!$E$3:$E$5001,BD!$A$3:$A$5001,P$3,BD!$B$3:$B$5001,$A$341)))</f>
        <v/>
      </c>
      <c r="Q343" s="266" t="str">
        <f>IF(Q$3="","",IF(COUNTIFS(BD!$A$3:$A$5001,Q$3,BD!$B$3:$B$5001,$A$341,BD!$E$3:$E$5001,"&lt;&gt;")=0,"",SUMIFS(BD!$E$3:$E$5001,BD!$A$3:$A$5001,Q$3,BD!$B$3:$B$5001,$A$341)))</f>
        <v/>
      </c>
      <c r="R343" s="266" t="str">
        <f>IF(R$3="","",IF(COUNTIFS(BD!$A$3:$A$5001,R$3,BD!$B$3:$B$5001,$A$341,BD!$E$3:$E$5001,"&lt;&gt;")=0,"",SUMIFS(BD!$E$3:$E$5001,BD!$A$3:$A$5001,R$3,BD!$B$3:$B$5001,$A$341)))</f>
        <v/>
      </c>
      <c r="S343" s="266" t="str">
        <f>IF(S$3="","",IF(COUNTIFS(BD!$A$3:$A$5001,S$3,BD!$B$3:$B$5001,$A$341,BD!$E$3:$E$5001,"&lt;&gt;")=0,"",SUMIFS(BD!$E$3:$E$5001,BD!$A$3:$A$5001,S$3,BD!$B$3:$B$5001,$A$341)))</f>
        <v/>
      </c>
      <c r="T343" s="266" t="str">
        <f>IF(T$3="","",IF(COUNTIFS(BD!$A$3:$A$5001,T$3,BD!$B$3:$B$5001,$A$341,BD!$E$3:$E$5001,"&lt;&gt;")=0,"",SUMIFS(BD!$E$3:$E$5001,BD!$A$3:$A$5001,T$3,BD!$B$3:$B$5001,$A$341)))</f>
        <v/>
      </c>
      <c r="U343" s="266" t="str">
        <f>IF(U$3="","",IF(COUNTIFS(BD!$A$3:$A$5001,U$3,BD!$B$3:$B$5001,$A$341,BD!$E$3:$E$5001,"&lt;&gt;")=0,"",SUMIFS(BD!$E$3:$E$5001,BD!$A$3:$A$5001,U$3,BD!$B$3:$B$5001,$A$341)))</f>
        <v/>
      </c>
      <c r="V343" s="266" t="str">
        <f>IF(V$3="","",IF(COUNTIFS(BD!$A$3:$A$5001,V$3,BD!$B$3:$B$5001,$A$341,BD!$E$3:$E$5001,"&lt;&gt;")=0,"",SUMIFS(BD!$E$3:$E$5001,BD!$A$3:$A$5001,V$3,BD!$B$3:$B$5001,$A$341)))</f>
        <v/>
      </c>
      <c r="W343" s="266" t="str">
        <f>IF(W$3="","",IF(COUNTIFS(BD!$A$3:$A$5001,W$3,BD!$B$3:$B$5001,$A$341,BD!$E$3:$E$5001,"&lt;&gt;")=0,"",SUMIFS(BD!$E$3:$E$5001,BD!$A$3:$A$5001,W$3,BD!$B$3:$B$5001,$A$341)))</f>
        <v/>
      </c>
      <c r="X343" s="266" t="str">
        <f>IF(X$3="","",IF(COUNTIFS(BD!$A$3:$A$5001,X$3,BD!$B$3:$B$5001,$A$341,BD!$E$3:$E$5001,"&lt;&gt;")=0,"",SUMIFS(BD!$E$3:$E$5001,BD!$A$3:$A$5001,X$3,BD!$B$3:$B$5001,$A$341)))</f>
        <v/>
      </c>
      <c r="Y343" s="266" t="str">
        <f>IF(Y$3="","",IF(COUNTIFS(BD!$A$3:$A$5001,Y$3,BD!$B$3:$B$5001,$A$341,BD!$E$3:$E$5001,"&lt;&gt;")=0,"",SUMIFS(BD!$E$3:$E$5001,BD!$A$3:$A$5001,Y$3,BD!$B$3:$B$5001,$A$341)))</f>
        <v/>
      </c>
      <c r="Z343" s="266" t="str">
        <f>IF(Z$3="","",IF(COUNTIFS(BD!$A$3:$A$5001,Z$3,BD!$B$3:$B$5001,$A$341,BD!$E$3:$E$5001,"&lt;&gt;")=0,"",SUMIFS(BD!$E$3:$E$5001,BD!$A$3:$A$5001,Z$3,BD!$B$3:$B$5001,$A$341)))</f>
        <v/>
      </c>
      <c r="AA343" s="266" t="str">
        <f>IF(AA$3="","",IF(COUNTIFS(BD!$A$3:$A$5001,AA$3,BD!$B$3:$B$5001,$A$341,BD!$E$3:$E$5001,"&lt;&gt;")=0,"",SUMIFS(BD!$E$3:$E$5001,BD!$A$3:$A$5001,AA$3,BD!$B$3:$B$5001,$A$341)))</f>
        <v/>
      </c>
      <c r="AB343" s="266" t="str">
        <f>IF(AB$3="","",IF(COUNTIFS(BD!$A$3:$A$5001,AB$3,BD!$B$3:$B$5001,$A$341,BD!$E$3:$E$5001,"&lt;&gt;")=0,"",SUMIFS(BD!$E$3:$E$5001,BD!$A$3:$A$5001,AB$3,BD!$B$3:$B$5001,$A$341)))</f>
        <v/>
      </c>
      <c r="AC343" s="266" t="str">
        <f>IF(AC$3="","",IF(COUNTIFS(BD!$A$3:$A$5001,AC$3,BD!$B$3:$B$5001,$A$341,BD!$E$3:$E$5001,"&lt;&gt;")=0,"",SUMIFS(BD!$E$3:$E$5001,BD!$A$3:$A$5001,AC$3,BD!$B$3:$B$5001,$A$341)))</f>
        <v/>
      </c>
      <c r="AD343" s="266" t="str">
        <f>IF(AD$3="","",IF(COUNTIFS(BD!$A$3:$A$5001,AD$3,BD!$B$3:$B$5001,$A$341,BD!$E$3:$E$5001,"&lt;&gt;")=0,"",SUMIFS(BD!$E$3:$E$5001,BD!$A$3:$A$5001,AD$3,BD!$B$3:$B$5001,$A$341)))</f>
        <v/>
      </c>
      <c r="AE343" s="266" t="str">
        <f>IF(AE$3="","",IF(COUNTIFS(BD!$A$3:$A$5001,AE$3,BD!$B$3:$B$5001,$A$341,BD!$E$3:$E$5001,"&lt;&gt;")=0,"",SUMIFS(BD!$E$3:$E$5001,BD!$A$3:$A$5001,AE$3,BD!$B$3:$B$5001,$A$341)))</f>
        <v/>
      </c>
      <c r="AF343" s="266" t="str">
        <f>IF(AF$3="","",IF(COUNTIFS(BD!$A$3:$A$5001,AF$3,BD!$B$3:$B$5001,$A$341,BD!$E$3:$E$5001,"&lt;&gt;")=0,"",SUMIFS(BD!$E$3:$E$5001,BD!$A$3:$A$5001,AF$3,BD!$B$3:$B$5001,$A$341)))</f>
        <v/>
      </c>
      <c r="AG343" s="266" t="str">
        <f>IF(AG$3="","",IF(COUNTIFS(BD!$A$3:$A$5001,AG$3,BD!$B$3:$B$5001,$A$341,BD!$E$3:$E$5001,"&lt;&gt;")=0,"",SUMIFS(BD!$E$3:$E$5001,BD!$A$3:$A$5001,AG$3,BD!$B$3:$B$5001,$A$341)))</f>
        <v/>
      </c>
      <c r="AH343" s="266" t="str">
        <f>IF(AH$3="","",IF(COUNTIFS(BD!$A$3:$A$5001,AH$3,BD!$B$3:$B$5001,$A$341,BD!$E$3:$E$5001,"&lt;&gt;")=0,"",SUMIFS(BD!$E$3:$E$5001,BD!$A$3:$A$5001,AH$3,BD!$B$3:$B$5001,$A$341)))</f>
        <v/>
      </c>
      <c r="AI343" s="266" t="str">
        <f>IF(AI$3="","",IF(COUNTIFS(BD!$A$3:$A$5001,AI$3,BD!$B$3:$B$5001,$A$341,BD!$E$3:$E$5001,"&lt;&gt;")=0,"",SUMIFS(BD!$E$3:$E$5001,BD!$A$3:$A$5001,AI$3,BD!$B$3:$B$5001,$A$341)))</f>
        <v/>
      </c>
      <c r="AJ343" s="267" t="str">
        <f>IF(AJ$3="","",IF(COUNTIFS(BD!$A$3:$A$5001,AJ$3,BD!$B$3:$B$5001,$A$341,BD!$E$3:$E$5001,"&lt;&gt;")=0,"",SUMIFS(BD!$E$3:$E$5001,BD!$A$3:$A$5001,AJ$3,BD!$B$3:$B$5001,$A$341)))</f>
        <v/>
      </c>
      <c r="AK343" s="268" t="str">
        <f>IF(COUNT(F343:AJ343)=0,"",SUM(F343:AJ343))</f>
        <v/>
      </c>
    </row>
    <row r="344" ht="15.75" customHeight="1" hidden="1">
      <c r="A344" s="244"/>
      <c r="B344" s="239"/>
      <c r="C344" s="201" t="inlineStr">
        <is>
          <t xml:space="preserve">Linhas NF</t>
        </is>
      </c>
      <c r="D344" s="202" t="str">
        <f>IFERROR(1/(1/INDEX(BD!$AJ$26:$BD$26,MATCH($A$341,BD!$AJ$22:$BD$22,0))),"")</f>
        <v/>
      </c>
      <c r="E344" s="203"/>
      <c r="F344" s="204" t="str">
        <f>IF(F$3="","",IF(COUNTIFS(BD!$A$3:$A$5001,F$3,BD!$B$3:$B$5001,$A$341,BD!$F$3:$F$5001,"&lt;&gt;")=0,"",SUMIFS(BD!$F$3:$F$5001,BD!$A$3:$A$5001,F$3,BD!$B$3:$B$5001,$A$341)))</f>
        <v/>
      </c>
      <c r="G344" s="205" t="str">
        <f>IF(G$3="","",IF(COUNTIFS(BD!$A$3:$A$5001,G$3,BD!$B$3:$B$5001,$A$341,BD!$F$3:$F$5001,"&lt;&gt;")=0,"",SUMIFS(BD!$F$3:$F$5001,BD!$A$3:$A$5001,G$3,BD!$B$3:$B$5001,$A$341)))</f>
        <v/>
      </c>
      <c r="H344" s="205" t="str">
        <f>IF(H$3="","",IF(COUNTIFS(BD!$A$3:$A$5001,H$3,BD!$B$3:$B$5001,$A$341,BD!$F$3:$F$5001,"&lt;&gt;")=0,"",SUMIFS(BD!$F$3:$F$5001,BD!$A$3:$A$5001,H$3,BD!$B$3:$B$5001,$A$341)))</f>
        <v/>
      </c>
      <c r="I344" s="205" t="str">
        <f>IF(I$3="","",IF(COUNTIFS(BD!$A$3:$A$5001,I$3,BD!$B$3:$B$5001,$A$341,BD!$F$3:$F$5001,"&lt;&gt;")=0,"",SUMIFS(BD!$F$3:$F$5001,BD!$A$3:$A$5001,I$3,BD!$B$3:$B$5001,$A$341)))</f>
        <v/>
      </c>
      <c r="J344" s="205" t="str">
        <f>IF(J$3="","",IF(COUNTIFS(BD!$A$3:$A$5001,J$3,BD!$B$3:$B$5001,$A$341,BD!$F$3:$F$5001,"&lt;&gt;")=0,"",SUMIFS(BD!$F$3:$F$5001,BD!$A$3:$A$5001,J$3,BD!$B$3:$B$5001,$A$341)))</f>
        <v/>
      </c>
      <c r="K344" s="205" t="str">
        <f>IF(K$3="","",IF(COUNTIFS(BD!$A$3:$A$5001,K$3,BD!$B$3:$B$5001,$A$341,BD!$F$3:$F$5001,"&lt;&gt;")=0,"",SUMIFS(BD!$F$3:$F$5001,BD!$A$3:$A$5001,K$3,BD!$B$3:$B$5001,$A$341)))</f>
        <v/>
      </c>
      <c r="L344" s="205" t="str">
        <f>IF(L$3="","",IF(COUNTIFS(BD!$A$3:$A$5001,L$3,BD!$B$3:$B$5001,$A$341,BD!$F$3:$F$5001,"&lt;&gt;")=0,"",SUMIFS(BD!$F$3:$F$5001,BD!$A$3:$A$5001,L$3,BD!$B$3:$B$5001,$A$341)))</f>
        <v/>
      </c>
      <c r="M344" s="205" t="str">
        <f>IF(M$3="","",IF(COUNTIFS(BD!$A$3:$A$5001,M$3,BD!$B$3:$B$5001,$A$341,BD!$F$3:$F$5001,"&lt;&gt;")=0,"",SUMIFS(BD!$F$3:$F$5001,BD!$A$3:$A$5001,M$3,BD!$B$3:$B$5001,$A$341)))</f>
        <v/>
      </c>
      <c r="N344" s="205" t="str">
        <f>IF(N$3="","",IF(COUNTIFS(BD!$A$3:$A$5001,N$3,BD!$B$3:$B$5001,$A$341,BD!$F$3:$F$5001,"&lt;&gt;")=0,"",SUMIFS(BD!$F$3:$F$5001,BD!$A$3:$A$5001,N$3,BD!$B$3:$B$5001,$A$341)))</f>
        <v/>
      </c>
      <c r="O344" s="205" t="str">
        <f>IF(O$3="","",IF(COUNTIFS(BD!$A$3:$A$5001,O$3,BD!$B$3:$B$5001,$A$341,BD!$F$3:$F$5001,"&lt;&gt;")=0,"",SUMIFS(BD!$F$3:$F$5001,BD!$A$3:$A$5001,O$3,BD!$B$3:$B$5001,$A$341)))</f>
        <v/>
      </c>
      <c r="P344" s="205" t="str">
        <f>IF(P$3="","",IF(COUNTIFS(BD!$A$3:$A$5001,P$3,BD!$B$3:$B$5001,$A$341,BD!$F$3:$F$5001,"&lt;&gt;")=0,"",SUMIFS(BD!$F$3:$F$5001,BD!$A$3:$A$5001,P$3,BD!$B$3:$B$5001,$A$341)))</f>
        <v/>
      </c>
      <c r="Q344" s="205" t="str">
        <f>IF(Q$3="","",IF(COUNTIFS(BD!$A$3:$A$5001,Q$3,BD!$B$3:$B$5001,$A$341,BD!$F$3:$F$5001,"&lt;&gt;")=0,"",SUMIFS(BD!$F$3:$F$5001,BD!$A$3:$A$5001,Q$3,BD!$B$3:$B$5001,$A$341)))</f>
        <v/>
      </c>
      <c r="R344" s="205" t="str">
        <f>IF(R$3="","",IF(COUNTIFS(BD!$A$3:$A$5001,R$3,BD!$B$3:$B$5001,$A$341,BD!$F$3:$F$5001,"&lt;&gt;")=0,"",SUMIFS(BD!$F$3:$F$5001,BD!$A$3:$A$5001,R$3,BD!$B$3:$B$5001,$A$341)))</f>
        <v/>
      </c>
      <c r="S344" s="205" t="str">
        <f>IF(S$3="","",IF(COUNTIFS(BD!$A$3:$A$5001,S$3,BD!$B$3:$B$5001,$A$341,BD!$F$3:$F$5001,"&lt;&gt;")=0,"",SUMIFS(BD!$F$3:$F$5001,BD!$A$3:$A$5001,S$3,BD!$B$3:$B$5001,$A$341)))</f>
        <v/>
      </c>
      <c r="T344" s="205" t="str">
        <f>IF(T$3="","",IF(COUNTIFS(BD!$A$3:$A$5001,T$3,BD!$B$3:$B$5001,$A$341,BD!$F$3:$F$5001,"&lt;&gt;")=0,"",SUMIFS(BD!$F$3:$F$5001,BD!$A$3:$A$5001,T$3,BD!$B$3:$B$5001,$A$341)))</f>
        <v/>
      </c>
      <c r="U344" s="205" t="str">
        <f>IF(U$3="","",IF(COUNTIFS(BD!$A$3:$A$5001,U$3,BD!$B$3:$B$5001,$A$341,BD!$F$3:$F$5001,"&lt;&gt;")=0,"",SUMIFS(BD!$F$3:$F$5001,BD!$A$3:$A$5001,U$3,BD!$B$3:$B$5001,$A$341)))</f>
        <v/>
      </c>
      <c r="V344" s="205" t="str">
        <f>IF(V$3="","",IF(COUNTIFS(BD!$A$3:$A$5001,V$3,BD!$B$3:$B$5001,$A$341,BD!$F$3:$F$5001,"&lt;&gt;")=0,"",SUMIFS(BD!$F$3:$F$5001,BD!$A$3:$A$5001,V$3,BD!$B$3:$B$5001,$A$341)))</f>
        <v/>
      </c>
      <c r="W344" s="205" t="str">
        <f>IF(W$3="","",IF(COUNTIFS(BD!$A$3:$A$5001,W$3,BD!$B$3:$B$5001,$A$341,BD!$F$3:$F$5001,"&lt;&gt;")=0,"",SUMIFS(BD!$F$3:$F$5001,BD!$A$3:$A$5001,W$3,BD!$B$3:$B$5001,$A$341)))</f>
        <v/>
      </c>
      <c r="X344" s="205" t="str">
        <f>IF(X$3="","",IF(COUNTIFS(BD!$A$3:$A$5001,X$3,BD!$B$3:$B$5001,$A$341,BD!$F$3:$F$5001,"&lt;&gt;")=0,"",SUMIFS(BD!$F$3:$F$5001,BD!$A$3:$A$5001,X$3,BD!$B$3:$B$5001,$A$341)))</f>
        <v/>
      </c>
      <c r="Y344" s="205" t="str">
        <f>IF(Y$3="","",IF(COUNTIFS(BD!$A$3:$A$5001,Y$3,BD!$B$3:$B$5001,$A$341,BD!$F$3:$F$5001,"&lt;&gt;")=0,"",SUMIFS(BD!$F$3:$F$5001,BD!$A$3:$A$5001,Y$3,BD!$B$3:$B$5001,$A$341)))</f>
        <v/>
      </c>
      <c r="Z344" s="205" t="str">
        <f>IF(Z$3="","",IF(COUNTIFS(BD!$A$3:$A$5001,Z$3,BD!$B$3:$B$5001,$A$341,BD!$F$3:$F$5001,"&lt;&gt;")=0,"",SUMIFS(BD!$F$3:$F$5001,BD!$A$3:$A$5001,Z$3,BD!$B$3:$B$5001,$A$341)))</f>
        <v/>
      </c>
      <c r="AA344" s="205" t="str">
        <f>IF(AA$3="","",IF(COUNTIFS(BD!$A$3:$A$5001,AA$3,BD!$B$3:$B$5001,$A$341,BD!$F$3:$F$5001,"&lt;&gt;")=0,"",SUMIFS(BD!$F$3:$F$5001,BD!$A$3:$A$5001,AA$3,BD!$B$3:$B$5001,$A$341)))</f>
        <v/>
      </c>
      <c r="AB344" s="205" t="str">
        <f>IF(AB$3="","",IF(COUNTIFS(BD!$A$3:$A$5001,AB$3,BD!$B$3:$B$5001,$A$341,BD!$F$3:$F$5001,"&lt;&gt;")=0,"",SUMIFS(BD!$F$3:$F$5001,BD!$A$3:$A$5001,AB$3,BD!$B$3:$B$5001,$A$341)))</f>
        <v/>
      </c>
      <c r="AC344" s="205" t="str">
        <f>IF(AC$3="","",IF(COUNTIFS(BD!$A$3:$A$5001,AC$3,BD!$B$3:$B$5001,$A$341,BD!$F$3:$F$5001,"&lt;&gt;")=0,"",SUMIFS(BD!$F$3:$F$5001,BD!$A$3:$A$5001,AC$3,BD!$B$3:$B$5001,$A$341)))</f>
        <v/>
      </c>
      <c r="AD344" s="205" t="str">
        <f>IF(AD$3="","",IF(COUNTIFS(BD!$A$3:$A$5001,AD$3,BD!$B$3:$B$5001,$A$341,BD!$F$3:$F$5001,"&lt;&gt;")=0,"",SUMIFS(BD!$F$3:$F$5001,BD!$A$3:$A$5001,AD$3,BD!$B$3:$B$5001,$A$341)))</f>
        <v/>
      </c>
      <c r="AE344" s="205" t="str">
        <f>IF(AE$3="","",IF(COUNTIFS(BD!$A$3:$A$5001,AE$3,BD!$B$3:$B$5001,$A$341,BD!$F$3:$F$5001,"&lt;&gt;")=0,"",SUMIFS(BD!$F$3:$F$5001,BD!$A$3:$A$5001,AE$3,BD!$B$3:$B$5001,$A$341)))</f>
        <v/>
      </c>
      <c r="AF344" s="205" t="str">
        <f>IF(AF$3="","",IF(COUNTIFS(BD!$A$3:$A$5001,AF$3,BD!$B$3:$B$5001,$A$341,BD!$F$3:$F$5001,"&lt;&gt;")=0,"",SUMIFS(BD!$F$3:$F$5001,BD!$A$3:$A$5001,AF$3,BD!$B$3:$B$5001,$A$341)))</f>
        <v/>
      </c>
      <c r="AG344" s="205" t="str">
        <f>IF(AG$3="","",IF(COUNTIFS(BD!$A$3:$A$5001,AG$3,BD!$B$3:$B$5001,$A$341,BD!$F$3:$F$5001,"&lt;&gt;")=0,"",SUMIFS(BD!$F$3:$F$5001,BD!$A$3:$A$5001,AG$3,BD!$B$3:$B$5001,$A$341)))</f>
        <v/>
      </c>
      <c r="AH344" s="205" t="str">
        <f>IF(AH$3="","",IF(COUNTIFS(BD!$A$3:$A$5001,AH$3,BD!$B$3:$B$5001,$A$341,BD!$F$3:$F$5001,"&lt;&gt;")=0,"",SUMIFS(BD!$F$3:$F$5001,BD!$A$3:$A$5001,AH$3,BD!$B$3:$B$5001,$A$341)))</f>
        <v/>
      </c>
      <c r="AI344" s="205" t="str">
        <f>IF(AI$3="","",IF(COUNTIFS(BD!$A$3:$A$5001,AI$3,BD!$B$3:$B$5001,$A$341,BD!$F$3:$F$5001,"&lt;&gt;")=0,"",SUMIFS(BD!$F$3:$F$5001,BD!$A$3:$A$5001,AI$3,BD!$B$3:$B$5001,$A$341)))</f>
        <v/>
      </c>
      <c r="AJ344" s="206" t="str">
        <f>IF(AJ$3="","",IF(COUNTIFS(BD!$A$3:$A$5001,AJ$3,BD!$B$3:$B$5001,$A$341,BD!$F$3:$F$5001,"&lt;&gt;")=0,"",SUMIFS(BD!$F$3:$F$5001,BD!$A$3:$A$5001,AJ$3,BD!$B$3:$B$5001,$A$341)))</f>
        <v/>
      </c>
      <c r="AK344" s="207" t="str">
        <f>IF(COUNT(F344:AJ344)=0,"",SUM(F344:AJ344))</f>
        <v/>
      </c>
    </row>
    <row r="345" ht="15.75" customHeight="1" hidden="1">
      <c r="A345" s="244"/>
      <c r="B345" s="239"/>
      <c r="C345" s="201" t="inlineStr">
        <is>
          <t xml:space="preserve">Caixas Movimentadas</t>
        </is>
      </c>
      <c r="D345" s="202" t="str">
        <f>IFERROR(1/(1/INDEX(BD!$AJ$27:$BD$27,MATCH($A$341,BD!$AJ$22:$BD$22,0))),"")</f>
        <v/>
      </c>
      <c r="E345" s="203"/>
      <c r="F345" s="204" t="str">
        <f>IF(F$3="","",IF(COUNTIFS(BD!$A$3:$A$5001,F$3,BD!$B$3:$B$5001,$A$341,BD!$G$3:$G$5001,"&lt;&gt;")=0,"",SUMIFS(BD!$G$3:$G$5001,BD!$A$3:$A$5001,F$3,BD!$B$3:$B$5001,$A$341)))</f>
        <v/>
      </c>
      <c r="G345" s="205" t="str">
        <f>IF(G$3="","",IF(COUNTIFS(BD!$A$3:$A$5001,G$3,BD!$B$3:$B$5001,$A$341,BD!$G$3:$G$5001,"&lt;&gt;")=0,"",SUMIFS(BD!$G$3:$G$5001,BD!$A$3:$A$5001,G$3,BD!$B$3:$B$5001,$A$341)))</f>
        <v/>
      </c>
      <c r="H345" s="205" t="str">
        <f>IF(H$3="","",IF(COUNTIFS(BD!$A$3:$A$5001,H$3,BD!$B$3:$B$5001,$A$341,BD!$G$3:$G$5001,"&lt;&gt;")=0,"",SUMIFS(BD!$G$3:$G$5001,BD!$A$3:$A$5001,H$3,BD!$B$3:$B$5001,$A$341)))</f>
        <v/>
      </c>
      <c r="I345" s="205" t="str">
        <f>IF(I$3="","",IF(COUNTIFS(BD!$A$3:$A$5001,I$3,BD!$B$3:$B$5001,$A$341,BD!$G$3:$G$5001,"&lt;&gt;")=0,"",SUMIFS(BD!$G$3:$G$5001,BD!$A$3:$A$5001,I$3,BD!$B$3:$B$5001,$A$341)))</f>
        <v/>
      </c>
      <c r="J345" s="205" t="str">
        <f>IF(J$3="","",IF(COUNTIFS(BD!$A$3:$A$5001,J$3,BD!$B$3:$B$5001,$A$341,BD!$G$3:$G$5001,"&lt;&gt;")=0,"",SUMIFS(BD!$G$3:$G$5001,BD!$A$3:$A$5001,J$3,BD!$B$3:$B$5001,$A$341)))</f>
        <v/>
      </c>
      <c r="K345" s="205" t="str">
        <f>IF(K$3="","",IF(COUNTIFS(BD!$A$3:$A$5001,K$3,BD!$B$3:$B$5001,$A$341,BD!$G$3:$G$5001,"&lt;&gt;")=0,"",SUMIFS(BD!$G$3:$G$5001,BD!$A$3:$A$5001,K$3,BD!$B$3:$B$5001,$A$341)))</f>
        <v/>
      </c>
      <c r="L345" s="205" t="str">
        <f>IF(L$3="","",IF(COUNTIFS(BD!$A$3:$A$5001,L$3,BD!$B$3:$B$5001,$A$341,BD!$G$3:$G$5001,"&lt;&gt;")=0,"",SUMIFS(BD!$G$3:$G$5001,BD!$A$3:$A$5001,L$3,BD!$B$3:$B$5001,$A$341)))</f>
        <v/>
      </c>
      <c r="M345" s="205" t="str">
        <f>IF(M$3="","",IF(COUNTIFS(BD!$A$3:$A$5001,M$3,BD!$B$3:$B$5001,$A$341,BD!$G$3:$G$5001,"&lt;&gt;")=0,"",SUMIFS(BD!$G$3:$G$5001,BD!$A$3:$A$5001,M$3,BD!$B$3:$B$5001,$A$341)))</f>
        <v/>
      </c>
      <c r="N345" s="205" t="str">
        <f>IF(N$3="","",IF(COUNTIFS(BD!$A$3:$A$5001,N$3,BD!$B$3:$B$5001,$A$341,BD!$G$3:$G$5001,"&lt;&gt;")=0,"",SUMIFS(BD!$G$3:$G$5001,BD!$A$3:$A$5001,N$3,BD!$B$3:$B$5001,$A$341)))</f>
        <v/>
      </c>
      <c r="O345" s="205" t="str">
        <f>IF(O$3="","",IF(COUNTIFS(BD!$A$3:$A$5001,O$3,BD!$B$3:$B$5001,$A$341,BD!$G$3:$G$5001,"&lt;&gt;")=0,"",SUMIFS(BD!$G$3:$G$5001,BD!$A$3:$A$5001,O$3,BD!$B$3:$B$5001,$A$341)))</f>
        <v/>
      </c>
      <c r="P345" s="205" t="str">
        <f>IF(P$3="","",IF(COUNTIFS(BD!$A$3:$A$5001,P$3,BD!$B$3:$B$5001,$A$341,BD!$G$3:$G$5001,"&lt;&gt;")=0,"",SUMIFS(BD!$G$3:$G$5001,BD!$A$3:$A$5001,P$3,BD!$B$3:$B$5001,$A$341)))</f>
        <v/>
      </c>
      <c r="Q345" s="205" t="str">
        <f>IF(Q$3="","",IF(COUNTIFS(BD!$A$3:$A$5001,Q$3,BD!$B$3:$B$5001,$A$341,BD!$G$3:$G$5001,"&lt;&gt;")=0,"",SUMIFS(BD!$G$3:$G$5001,BD!$A$3:$A$5001,Q$3,BD!$B$3:$B$5001,$A$341)))</f>
        <v/>
      </c>
      <c r="R345" s="205" t="str">
        <f>IF(R$3="","",IF(COUNTIFS(BD!$A$3:$A$5001,R$3,BD!$B$3:$B$5001,$A$341,BD!$G$3:$G$5001,"&lt;&gt;")=0,"",SUMIFS(BD!$G$3:$G$5001,BD!$A$3:$A$5001,R$3,BD!$B$3:$B$5001,$A$341)))</f>
        <v/>
      </c>
      <c r="S345" s="205" t="str">
        <f>IF(S$3="","",IF(COUNTIFS(BD!$A$3:$A$5001,S$3,BD!$B$3:$B$5001,$A$341,BD!$G$3:$G$5001,"&lt;&gt;")=0,"",SUMIFS(BD!$G$3:$G$5001,BD!$A$3:$A$5001,S$3,BD!$B$3:$B$5001,$A$341)))</f>
        <v/>
      </c>
      <c r="T345" s="205" t="str">
        <f>IF(T$3="","",IF(COUNTIFS(BD!$A$3:$A$5001,T$3,BD!$B$3:$B$5001,$A$341,BD!$G$3:$G$5001,"&lt;&gt;")=0,"",SUMIFS(BD!$G$3:$G$5001,BD!$A$3:$A$5001,T$3,BD!$B$3:$B$5001,$A$341)))</f>
        <v/>
      </c>
      <c r="U345" s="205" t="str">
        <f>IF(U$3="","",IF(COUNTIFS(BD!$A$3:$A$5001,U$3,BD!$B$3:$B$5001,$A$341,BD!$G$3:$G$5001,"&lt;&gt;")=0,"",SUMIFS(BD!$G$3:$G$5001,BD!$A$3:$A$5001,U$3,BD!$B$3:$B$5001,$A$341)))</f>
        <v/>
      </c>
      <c r="V345" s="205" t="str">
        <f>IF(V$3="","",IF(COUNTIFS(BD!$A$3:$A$5001,V$3,BD!$B$3:$B$5001,$A$341,BD!$G$3:$G$5001,"&lt;&gt;")=0,"",SUMIFS(BD!$G$3:$G$5001,BD!$A$3:$A$5001,V$3,BD!$B$3:$B$5001,$A$341)))</f>
        <v/>
      </c>
      <c r="W345" s="205" t="str">
        <f>IF(W$3="","",IF(COUNTIFS(BD!$A$3:$A$5001,W$3,BD!$B$3:$B$5001,$A$341,BD!$G$3:$G$5001,"&lt;&gt;")=0,"",SUMIFS(BD!$G$3:$G$5001,BD!$A$3:$A$5001,W$3,BD!$B$3:$B$5001,$A$341)))</f>
        <v/>
      </c>
      <c r="X345" s="205" t="str">
        <f>IF(X$3="","",IF(COUNTIFS(BD!$A$3:$A$5001,X$3,BD!$B$3:$B$5001,$A$341,BD!$G$3:$G$5001,"&lt;&gt;")=0,"",SUMIFS(BD!$G$3:$G$5001,BD!$A$3:$A$5001,X$3,BD!$B$3:$B$5001,$A$341)))</f>
        <v/>
      </c>
      <c r="Y345" s="205" t="str">
        <f>IF(Y$3="","",IF(COUNTIFS(BD!$A$3:$A$5001,Y$3,BD!$B$3:$B$5001,$A$341,BD!$G$3:$G$5001,"&lt;&gt;")=0,"",SUMIFS(BD!$G$3:$G$5001,BD!$A$3:$A$5001,Y$3,BD!$B$3:$B$5001,$A$341)))</f>
        <v/>
      </c>
      <c r="Z345" s="205" t="str">
        <f>IF(Z$3="","",IF(COUNTIFS(BD!$A$3:$A$5001,Z$3,BD!$B$3:$B$5001,$A$341,BD!$G$3:$G$5001,"&lt;&gt;")=0,"",SUMIFS(BD!$G$3:$G$5001,BD!$A$3:$A$5001,Z$3,BD!$B$3:$B$5001,$A$341)))</f>
        <v/>
      </c>
      <c r="AA345" s="205" t="str">
        <f>IF(AA$3="","",IF(COUNTIFS(BD!$A$3:$A$5001,AA$3,BD!$B$3:$B$5001,$A$341,BD!$G$3:$G$5001,"&lt;&gt;")=0,"",SUMIFS(BD!$G$3:$G$5001,BD!$A$3:$A$5001,AA$3,BD!$B$3:$B$5001,$A$341)))</f>
        <v/>
      </c>
      <c r="AB345" s="205" t="str">
        <f>IF(AB$3="","",IF(COUNTIFS(BD!$A$3:$A$5001,AB$3,BD!$B$3:$B$5001,$A$341,BD!$G$3:$G$5001,"&lt;&gt;")=0,"",SUMIFS(BD!$G$3:$G$5001,BD!$A$3:$A$5001,AB$3,BD!$B$3:$B$5001,$A$341)))</f>
        <v/>
      </c>
      <c r="AC345" s="205" t="str">
        <f>IF(AC$3="","",IF(COUNTIFS(BD!$A$3:$A$5001,AC$3,BD!$B$3:$B$5001,$A$341,BD!$G$3:$G$5001,"&lt;&gt;")=0,"",SUMIFS(BD!$G$3:$G$5001,BD!$A$3:$A$5001,AC$3,BD!$B$3:$B$5001,$A$341)))</f>
        <v/>
      </c>
      <c r="AD345" s="205" t="str">
        <f>IF(AD$3="","",IF(COUNTIFS(BD!$A$3:$A$5001,AD$3,BD!$B$3:$B$5001,$A$341,BD!$G$3:$G$5001,"&lt;&gt;")=0,"",SUMIFS(BD!$G$3:$G$5001,BD!$A$3:$A$5001,AD$3,BD!$B$3:$B$5001,$A$341)))</f>
        <v/>
      </c>
      <c r="AE345" s="205" t="str">
        <f>IF(AE$3="","",IF(COUNTIFS(BD!$A$3:$A$5001,AE$3,BD!$B$3:$B$5001,$A$341,BD!$G$3:$G$5001,"&lt;&gt;")=0,"",SUMIFS(BD!$G$3:$G$5001,BD!$A$3:$A$5001,AE$3,BD!$B$3:$B$5001,$A$341)))</f>
        <v/>
      </c>
      <c r="AF345" s="205" t="str">
        <f>IF(AF$3="","",IF(COUNTIFS(BD!$A$3:$A$5001,AF$3,BD!$B$3:$B$5001,$A$341,BD!$G$3:$G$5001,"&lt;&gt;")=0,"",SUMIFS(BD!$G$3:$G$5001,BD!$A$3:$A$5001,AF$3,BD!$B$3:$B$5001,$A$341)))</f>
        <v/>
      </c>
      <c r="AG345" s="205" t="str">
        <f>IF(AG$3="","",IF(COUNTIFS(BD!$A$3:$A$5001,AG$3,BD!$B$3:$B$5001,$A$341,BD!$G$3:$G$5001,"&lt;&gt;")=0,"",SUMIFS(BD!$G$3:$G$5001,BD!$A$3:$A$5001,AG$3,BD!$B$3:$B$5001,$A$341)))</f>
        <v/>
      </c>
      <c r="AH345" s="205" t="str">
        <f>IF(AH$3="","",IF(COUNTIFS(BD!$A$3:$A$5001,AH$3,BD!$B$3:$B$5001,$A$341,BD!$G$3:$G$5001,"&lt;&gt;")=0,"",SUMIFS(BD!$G$3:$G$5001,BD!$A$3:$A$5001,AH$3,BD!$B$3:$B$5001,$A$341)))</f>
        <v/>
      </c>
      <c r="AI345" s="205" t="str">
        <f>IF(AI$3="","",IF(COUNTIFS(BD!$A$3:$A$5001,AI$3,BD!$B$3:$B$5001,$A$341,BD!$G$3:$G$5001,"&lt;&gt;")=0,"",SUMIFS(BD!$G$3:$G$5001,BD!$A$3:$A$5001,AI$3,BD!$B$3:$B$5001,$A$341)))</f>
        <v/>
      </c>
      <c r="AJ345" s="206" t="str">
        <f>IF(AJ$3="","",IF(COUNTIFS(BD!$A$3:$A$5001,AJ$3,BD!$B$3:$B$5001,$A$341,BD!$G$3:$G$5001,"&lt;&gt;")=0,"",SUMIFS(BD!$G$3:$G$5001,BD!$A$3:$A$5001,AJ$3,BD!$B$3:$B$5001,$A$341)))</f>
        <v/>
      </c>
      <c r="AK345" s="207" t="str">
        <f>IF(COUNT(F345:AJ345)=0,"",SUM(F345:AJ345))</f>
        <v/>
      </c>
    </row>
    <row r="346" ht="15.75" customHeight="1" hidden="1">
      <c r="A346" s="244"/>
      <c r="B346" s="239"/>
      <c r="C346" s="201" t="inlineStr">
        <is>
          <t xml:space="preserve">Itens Recebidos</t>
        </is>
      </c>
      <c r="D346" s="202" t="str">
        <f>IFERROR(1/(1/INDEX(BD!$AJ$28:$BD$28,MATCH($A$341,BD!$AJ$22:$BD$22,0))),"")</f>
        <v/>
      </c>
      <c r="E346" s="203"/>
      <c r="F346" s="204" t="str">
        <f>IF(F$3="","",IF(COUNTIFS(BD!$A$3:$A$5001,F$3,BD!$B$3:$B$5001,$A$341,BD!$H$3:$H$5001,"&lt;&gt;")=0,"",SUMIFS(BD!$H$3:$H$5001,BD!$A$3:$A$5001,F$3,BD!$B$3:$B$5001,$A$341)))</f>
        <v/>
      </c>
      <c r="G346" s="205" t="str">
        <f>IF(G$3="","",IF(COUNTIFS(BD!$A$3:$A$5001,G$3,BD!$B$3:$B$5001,$A$341,BD!$H$3:$H$5001,"&lt;&gt;")=0,"",SUMIFS(BD!$H$3:$H$5001,BD!$A$3:$A$5001,G$3,BD!$B$3:$B$5001,$A$341)))</f>
        <v/>
      </c>
      <c r="H346" s="205" t="str">
        <f>IF(H$3="","",IF(COUNTIFS(BD!$A$3:$A$5001,H$3,BD!$B$3:$B$5001,$A$341,BD!$H$3:$H$5001,"&lt;&gt;")=0,"",SUMIFS(BD!$H$3:$H$5001,BD!$A$3:$A$5001,H$3,BD!$B$3:$B$5001,$A$341)))</f>
        <v/>
      </c>
      <c r="I346" s="205" t="str">
        <f>IF(I$3="","",IF(COUNTIFS(BD!$A$3:$A$5001,I$3,BD!$B$3:$B$5001,$A$341,BD!$H$3:$H$5001,"&lt;&gt;")=0,"",SUMIFS(BD!$H$3:$H$5001,BD!$A$3:$A$5001,I$3,BD!$B$3:$B$5001,$A$341)))</f>
        <v/>
      </c>
      <c r="J346" s="205" t="str">
        <f>IF(J$3="","",IF(COUNTIFS(BD!$A$3:$A$5001,J$3,BD!$B$3:$B$5001,$A$341,BD!$H$3:$H$5001,"&lt;&gt;")=0,"",SUMIFS(BD!$H$3:$H$5001,BD!$A$3:$A$5001,J$3,BD!$B$3:$B$5001,$A$341)))</f>
        <v/>
      </c>
      <c r="K346" s="205" t="str">
        <f>IF(K$3="","",IF(COUNTIFS(BD!$A$3:$A$5001,K$3,BD!$B$3:$B$5001,$A$341,BD!$H$3:$H$5001,"&lt;&gt;")=0,"",SUMIFS(BD!$H$3:$H$5001,BD!$A$3:$A$5001,K$3,BD!$B$3:$B$5001,$A$341)))</f>
        <v/>
      </c>
      <c r="L346" s="205" t="str">
        <f>IF(L$3="","",IF(COUNTIFS(BD!$A$3:$A$5001,L$3,BD!$B$3:$B$5001,$A$341,BD!$H$3:$H$5001,"&lt;&gt;")=0,"",SUMIFS(BD!$H$3:$H$5001,BD!$A$3:$A$5001,L$3,BD!$B$3:$B$5001,$A$341)))</f>
        <v/>
      </c>
      <c r="M346" s="205" t="str">
        <f>IF(M$3="","",IF(COUNTIFS(BD!$A$3:$A$5001,M$3,BD!$B$3:$B$5001,$A$341,BD!$H$3:$H$5001,"&lt;&gt;")=0,"",SUMIFS(BD!$H$3:$H$5001,BD!$A$3:$A$5001,M$3,BD!$B$3:$B$5001,$A$341)))</f>
        <v/>
      </c>
      <c r="N346" s="205" t="str">
        <f>IF(N$3="","",IF(COUNTIFS(BD!$A$3:$A$5001,N$3,BD!$B$3:$B$5001,$A$341,BD!$H$3:$H$5001,"&lt;&gt;")=0,"",SUMIFS(BD!$H$3:$H$5001,BD!$A$3:$A$5001,N$3,BD!$B$3:$B$5001,$A$341)))</f>
        <v/>
      </c>
      <c r="O346" s="205" t="str">
        <f>IF(O$3="","",IF(COUNTIFS(BD!$A$3:$A$5001,O$3,BD!$B$3:$B$5001,$A$341,BD!$H$3:$H$5001,"&lt;&gt;")=0,"",SUMIFS(BD!$H$3:$H$5001,BD!$A$3:$A$5001,O$3,BD!$B$3:$B$5001,$A$341)))</f>
        <v/>
      </c>
      <c r="P346" s="205" t="str">
        <f>IF(P$3="","",IF(COUNTIFS(BD!$A$3:$A$5001,P$3,BD!$B$3:$B$5001,$A$341,BD!$H$3:$H$5001,"&lt;&gt;")=0,"",SUMIFS(BD!$H$3:$H$5001,BD!$A$3:$A$5001,P$3,BD!$B$3:$B$5001,$A$341)))</f>
        <v/>
      </c>
      <c r="Q346" s="205" t="str">
        <f>IF(Q$3="","",IF(COUNTIFS(BD!$A$3:$A$5001,Q$3,BD!$B$3:$B$5001,$A$341,BD!$H$3:$H$5001,"&lt;&gt;")=0,"",SUMIFS(BD!$H$3:$H$5001,BD!$A$3:$A$5001,Q$3,BD!$B$3:$B$5001,$A$341)))</f>
        <v/>
      </c>
      <c r="R346" s="205" t="str">
        <f>IF(R$3="","",IF(COUNTIFS(BD!$A$3:$A$5001,R$3,BD!$B$3:$B$5001,$A$341,BD!$H$3:$H$5001,"&lt;&gt;")=0,"",SUMIFS(BD!$H$3:$H$5001,BD!$A$3:$A$5001,R$3,BD!$B$3:$B$5001,$A$341)))</f>
        <v/>
      </c>
      <c r="S346" s="205" t="str">
        <f>IF(S$3="","",IF(COUNTIFS(BD!$A$3:$A$5001,S$3,BD!$B$3:$B$5001,$A$341,BD!$H$3:$H$5001,"&lt;&gt;")=0,"",SUMIFS(BD!$H$3:$H$5001,BD!$A$3:$A$5001,S$3,BD!$B$3:$B$5001,$A$341)))</f>
        <v/>
      </c>
      <c r="T346" s="205" t="str">
        <f>IF(T$3="","",IF(COUNTIFS(BD!$A$3:$A$5001,T$3,BD!$B$3:$B$5001,$A$341,BD!$H$3:$H$5001,"&lt;&gt;")=0,"",SUMIFS(BD!$H$3:$H$5001,BD!$A$3:$A$5001,T$3,BD!$B$3:$B$5001,$A$341)))</f>
        <v/>
      </c>
      <c r="U346" s="205" t="str">
        <f>IF(U$3="","",IF(COUNTIFS(BD!$A$3:$A$5001,U$3,BD!$B$3:$B$5001,$A$341,BD!$H$3:$H$5001,"&lt;&gt;")=0,"",SUMIFS(BD!$H$3:$H$5001,BD!$A$3:$A$5001,U$3,BD!$B$3:$B$5001,$A$341)))</f>
        <v/>
      </c>
      <c r="V346" s="205" t="str">
        <f>IF(V$3="","",IF(COUNTIFS(BD!$A$3:$A$5001,V$3,BD!$B$3:$B$5001,$A$341,BD!$H$3:$H$5001,"&lt;&gt;")=0,"",SUMIFS(BD!$H$3:$H$5001,BD!$A$3:$A$5001,V$3,BD!$B$3:$B$5001,$A$341)))</f>
        <v/>
      </c>
      <c r="W346" s="205" t="str">
        <f>IF(W$3="","",IF(COUNTIFS(BD!$A$3:$A$5001,W$3,BD!$B$3:$B$5001,$A$341,BD!$H$3:$H$5001,"&lt;&gt;")=0,"",SUMIFS(BD!$H$3:$H$5001,BD!$A$3:$A$5001,W$3,BD!$B$3:$B$5001,$A$341)))</f>
        <v/>
      </c>
      <c r="X346" s="205" t="str">
        <f>IF(X$3="","",IF(COUNTIFS(BD!$A$3:$A$5001,X$3,BD!$B$3:$B$5001,$A$341,BD!$H$3:$H$5001,"&lt;&gt;")=0,"",SUMIFS(BD!$H$3:$H$5001,BD!$A$3:$A$5001,X$3,BD!$B$3:$B$5001,$A$341)))</f>
        <v/>
      </c>
      <c r="Y346" s="205" t="str">
        <f>IF(Y$3="","",IF(COUNTIFS(BD!$A$3:$A$5001,Y$3,BD!$B$3:$B$5001,$A$341,BD!$H$3:$H$5001,"&lt;&gt;")=0,"",SUMIFS(BD!$H$3:$H$5001,BD!$A$3:$A$5001,Y$3,BD!$B$3:$B$5001,$A$341)))</f>
        <v/>
      </c>
      <c r="Z346" s="205" t="str">
        <f>IF(Z$3="","",IF(COUNTIFS(BD!$A$3:$A$5001,Z$3,BD!$B$3:$B$5001,$A$341,BD!$H$3:$H$5001,"&lt;&gt;")=0,"",SUMIFS(BD!$H$3:$H$5001,BD!$A$3:$A$5001,Z$3,BD!$B$3:$B$5001,$A$341)))</f>
        <v/>
      </c>
      <c r="AA346" s="205" t="str">
        <f>IF(AA$3="","",IF(COUNTIFS(BD!$A$3:$A$5001,AA$3,BD!$B$3:$B$5001,$A$341,BD!$H$3:$H$5001,"&lt;&gt;")=0,"",SUMIFS(BD!$H$3:$H$5001,BD!$A$3:$A$5001,AA$3,BD!$B$3:$B$5001,$A$341)))</f>
        <v/>
      </c>
      <c r="AB346" s="205" t="str">
        <f>IF(AB$3="","",IF(COUNTIFS(BD!$A$3:$A$5001,AB$3,BD!$B$3:$B$5001,$A$341,BD!$H$3:$H$5001,"&lt;&gt;")=0,"",SUMIFS(BD!$H$3:$H$5001,BD!$A$3:$A$5001,AB$3,BD!$B$3:$B$5001,$A$341)))</f>
        <v/>
      </c>
      <c r="AC346" s="205" t="str">
        <f>IF(AC$3="","",IF(COUNTIFS(BD!$A$3:$A$5001,AC$3,BD!$B$3:$B$5001,$A$341,BD!$H$3:$H$5001,"&lt;&gt;")=0,"",SUMIFS(BD!$H$3:$H$5001,BD!$A$3:$A$5001,AC$3,BD!$B$3:$B$5001,$A$341)))</f>
        <v/>
      </c>
      <c r="AD346" s="205" t="str">
        <f>IF(AD$3="","",IF(COUNTIFS(BD!$A$3:$A$5001,AD$3,BD!$B$3:$B$5001,$A$341,BD!$H$3:$H$5001,"&lt;&gt;")=0,"",SUMIFS(BD!$H$3:$H$5001,BD!$A$3:$A$5001,AD$3,BD!$B$3:$B$5001,$A$341)))</f>
        <v/>
      </c>
      <c r="AE346" s="205" t="str">
        <f>IF(AE$3="","",IF(COUNTIFS(BD!$A$3:$A$5001,AE$3,BD!$B$3:$B$5001,$A$341,BD!$H$3:$H$5001,"&lt;&gt;")=0,"",SUMIFS(BD!$H$3:$H$5001,BD!$A$3:$A$5001,AE$3,BD!$B$3:$B$5001,$A$341)))</f>
        <v/>
      </c>
      <c r="AF346" s="205" t="str">
        <f>IF(AF$3="","",IF(COUNTIFS(BD!$A$3:$A$5001,AF$3,BD!$B$3:$B$5001,$A$341,BD!$H$3:$H$5001,"&lt;&gt;")=0,"",SUMIFS(BD!$H$3:$H$5001,BD!$A$3:$A$5001,AF$3,BD!$B$3:$B$5001,$A$341)))</f>
        <v/>
      </c>
      <c r="AG346" s="205" t="str">
        <f>IF(AG$3="","",IF(COUNTIFS(BD!$A$3:$A$5001,AG$3,BD!$B$3:$B$5001,$A$341,BD!$H$3:$H$5001,"&lt;&gt;")=0,"",SUMIFS(BD!$H$3:$H$5001,BD!$A$3:$A$5001,AG$3,BD!$B$3:$B$5001,$A$341)))</f>
        <v/>
      </c>
      <c r="AH346" s="205" t="str">
        <f>IF(AH$3="","",IF(COUNTIFS(BD!$A$3:$A$5001,AH$3,BD!$B$3:$B$5001,$A$341,BD!$H$3:$H$5001,"&lt;&gt;")=0,"",SUMIFS(BD!$H$3:$H$5001,BD!$A$3:$A$5001,AH$3,BD!$B$3:$B$5001,$A$341)))</f>
        <v/>
      </c>
      <c r="AI346" s="205" t="str">
        <f>IF(AI$3="","",IF(COUNTIFS(BD!$A$3:$A$5001,AI$3,BD!$B$3:$B$5001,$A$341,BD!$H$3:$H$5001,"&lt;&gt;")=0,"",SUMIFS(BD!$H$3:$H$5001,BD!$A$3:$A$5001,AI$3,BD!$B$3:$B$5001,$A$341)))</f>
        <v/>
      </c>
      <c r="AJ346" s="206" t="str">
        <f>IF(AJ$3="","",IF(COUNTIFS(BD!$A$3:$A$5001,AJ$3,BD!$B$3:$B$5001,$A$341,BD!$H$3:$H$5001,"&lt;&gt;")=0,"",SUMIFS(BD!$H$3:$H$5001,BD!$A$3:$A$5001,AJ$3,BD!$B$3:$B$5001,$A$341)))</f>
        <v/>
      </c>
      <c r="AK346" s="207" t="str">
        <f>IF(COUNT(F346:AJ346)=0,"",SUM(F346:AJ346))</f>
        <v/>
      </c>
    </row>
    <row r="347" ht="15.75" customHeight="1" hidden="1">
      <c r="A347" s="244"/>
      <c r="B347" s="239"/>
      <c r="C347" s="201" t="inlineStr">
        <is>
          <t xml:space="preserve">Itens Recebidos CX Mista</t>
        </is>
      </c>
      <c r="D347" s="202" t="str">
        <f>IFERROR(1/(1/INDEX(BD!$AJ$29:$BD$29,MATCH($A$341,BD!$AJ$22:$BD$22,0))),"")</f>
        <v/>
      </c>
      <c r="E347" s="203"/>
      <c r="F347" s="204" t="str">
        <f>IF(F$3="","",IF(COUNTIFS(BD!$A$3:$A$5001,F$3,BD!$B$3:$B$5001,$A$341,BD!$I$3:$I$5001,"&lt;&gt;")=0,"",SUMIFS(BD!$I$3:$I$5001,BD!$A$3:$A$5001,F$3,BD!$B$3:$B$5001,$A$341)))</f>
        <v/>
      </c>
      <c r="G347" s="205" t="str">
        <f>IF(G$3="","",IF(COUNTIFS(BD!$A$3:$A$5001,G$3,BD!$B$3:$B$5001,$A$341,BD!$I$3:$I$5001,"&lt;&gt;")=0,"",SUMIFS(BD!$I$3:$I$5001,BD!$A$3:$A$5001,G$3,BD!$B$3:$B$5001,$A$341)))</f>
        <v/>
      </c>
      <c r="H347" s="205" t="str">
        <f>IF(H$3="","",IF(COUNTIFS(BD!$A$3:$A$5001,H$3,BD!$B$3:$B$5001,$A$341,BD!$I$3:$I$5001,"&lt;&gt;")=0,"",SUMIFS(BD!$I$3:$I$5001,BD!$A$3:$A$5001,H$3,BD!$B$3:$B$5001,$A$341)))</f>
        <v/>
      </c>
      <c r="I347" s="205" t="str">
        <f>IF(I$3="","",IF(COUNTIFS(BD!$A$3:$A$5001,I$3,BD!$B$3:$B$5001,$A$341,BD!$I$3:$I$5001,"&lt;&gt;")=0,"",SUMIFS(BD!$I$3:$I$5001,BD!$A$3:$A$5001,I$3,BD!$B$3:$B$5001,$A$341)))</f>
        <v/>
      </c>
      <c r="J347" s="205" t="str">
        <f>IF(J$3="","",IF(COUNTIFS(BD!$A$3:$A$5001,J$3,BD!$B$3:$B$5001,$A$341,BD!$I$3:$I$5001,"&lt;&gt;")=0,"",SUMIFS(BD!$I$3:$I$5001,BD!$A$3:$A$5001,J$3,BD!$B$3:$B$5001,$A$341)))</f>
        <v/>
      </c>
      <c r="K347" s="205" t="str">
        <f>IF(K$3="","",IF(COUNTIFS(BD!$A$3:$A$5001,K$3,BD!$B$3:$B$5001,$A$341,BD!$I$3:$I$5001,"&lt;&gt;")=0,"",SUMIFS(BD!$I$3:$I$5001,BD!$A$3:$A$5001,K$3,BD!$B$3:$B$5001,$A$341)))</f>
        <v/>
      </c>
      <c r="L347" s="205" t="str">
        <f>IF(L$3="","",IF(COUNTIFS(BD!$A$3:$A$5001,L$3,BD!$B$3:$B$5001,$A$341,BD!$I$3:$I$5001,"&lt;&gt;")=0,"",SUMIFS(BD!$I$3:$I$5001,BD!$A$3:$A$5001,L$3,BD!$B$3:$B$5001,$A$341)))</f>
        <v/>
      </c>
      <c r="M347" s="205" t="str">
        <f>IF(M$3="","",IF(COUNTIFS(BD!$A$3:$A$5001,M$3,BD!$B$3:$B$5001,$A$341,BD!$I$3:$I$5001,"&lt;&gt;")=0,"",SUMIFS(BD!$I$3:$I$5001,BD!$A$3:$A$5001,M$3,BD!$B$3:$B$5001,$A$341)))</f>
        <v/>
      </c>
      <c r="N347" s="205" t="str">
        <f>IF(N$3="","",IF(COUNTIFS(BD!$A$3:$A$5001,N$3,BD!$B$3:$B$5001,$A$341,BD!$I$3:$I$5001,"&lt;&gt;")=0,"",SUMIFS(BD!$I$3:$I$5001,BD!$A$3:$A$5001,N$3,BD!$B$3:$B$5001,$A$341)))</f>
        <v/>
      </c>
      <c r="O347" s="205" t="str">
        <f>IF(O$3="","",IF(COUNTIFS(BD!$A$3:$A$5001,O$3,BD!$B$3:$B$5001,$A$341,BD!$I$3:$I$5001,"&lt;&gt;")=0,"",SUMIFS(BD!$I$3:$I$5001,BD!$A$3:$A$5001,O$3,BD!$B$3:$B$5001,$A$341)))</f>
        <v/>
      </c>
      <c r="P347" s="205" t="str">
        <f>IF(P$3="","",IF(COUNTIFS(BD!$A$3:$A$5001,P$3,BD!$B$3:$B$5001,$A$341,BD!$I$3:$I$5001,"&lt;&gt;")=0,"",SUMIFS(BD!$I$3:$I$5001,BD!$A$3:$A$5001,P$3,BD!$B$3:$B$5001,$A$341)))</f>
        <v/>
      </c>
      <c r="Q347" s="205" t="str">
        <f>IF(Q$3="","",IF(COUNTIFS(BD!$A$3:$A$5001,Q$3,BD!$B$3:$B$5001,$A$341,BD!$I$3:$I$5001,"&lt;&gt;")=0,"",SUMIFS(BD!$I$3:$I$5001,BD!$A$3:$A$5001,Q$3,BD!$B$3:$B$5001,$A$341)))</f>
        <v/>
      </c>
      <c r="R347" s="205" t="str">
        <f>IF(R$3="","",IF(COUNTIFS(BD!$A$3:$A$5001,R$3,BD!$B$3:$B$5001,$A$341,BD!$I$3:$I$5001,"&lt;&gt;")=0,"",SUMIFS(BD!$I$3:$I$5001,BD!$A$3:$A$5001,R$3,BD!$B$3:$B$5001,$A$341)))</f>
        <v/>
      </c>
      <c r="S347" s="205" t="str">
        <f>IF(S$3="","",IF(COUNTIFS(BD!$A$3:$A$5001,S$3,BD!$B$3:$B$5001,$A$341,BD!$I$3:$I$5001,"&lt;&gt;")=0,"",SUMIFS(BD!$I$3:$I$5001,BD!$A$3:$A$5001,S$3,BD!$B$3:$B$5001,$A$341)))</f>
        <v/>
      </c>
      <c r="T347" s="205" t="str">
        <f>IF(T$3="","",IF(COUNTIFS(BD!$A$3:$A$5001,T$3,BD!$B$3:$B$5001,$A$341,BD!$I$3:$I$5001,"&lt;&gt;")=0,"",SUMIFS(BD!$I$3:$I$5001,BD!$A$3:$A$5001,T$3,BD!$B$3:$B$5001,$A$341)))</f>
        <v/>
      </c>
      <c r="U347" s="205" t="str">
        <f>IF(U$3="","",IF(COUNTIFS(BD!$A$3:$A$5001,U$3,BD!$B$3:$B$5001,$A$341,BD!$I$3:$I$5001,"&lt;&gt;")=0,"",SUMIFS(BD!$I$3:$I$5001,BD!$A$3:$A$5001,U$3,BD!$B$3:$B$5001,$A$341)))</f>
        <v/>
      </c>
      <c r="V347" s="205" t="str">
        <f>IF(V$3="","",IF(COUNTIFS(BD!$A$3:$A$5001,V$3,BD!$B$3:$B$5001,$A$341,BD!$I$3:$I$5001,"&lt;&gt;")=0,"",SUMIFS(BD!$I$3:$I$5001,BD!$A$3:$A$5001,V$3,BD!$B$3:$B$5001,$A$341)))</f>
        <v/>
      </c>
      <c r="W347" s="205" t="str">
        <f>IF(W$3="","",IF(COUNTIFS(BD!$A$3:$A$5001,W$3,BD!$B$3:$B$5001,$A$341,BD!$I$3:$I$5001,"&lt;&gt;")=0,"",SUMIFS(BD!$I$3:$I$5001,BD!$A$3:$A$5001,W$3,BD!$B$3:$B$5001,$A$341)))</f>
        <v/>
      </c>
      <c r="X347" s="205" t="str">
        <f>IF(X$3="","",IF(COUNTIFS(BD!$A$3:$A$5001,X$3,BD!$B$3:$B$5001,$A$341,BD!$I$3:$I$5001,"&lt;&gt;")=0,"",SUMIFS(BD!$I$3:$I$5001,BD!$A$3:$A$5001,X$3,BD!$B$3:$B$5001,$A$341)))</f>
        <v/>
      </c>
      <c r="Y347" s="205" t="str">
        <f>IF(Y$3="","",IF(COUNTIFS(BD!$A$3:$A$5001,Y$3,BD!$B$3:$B$5001,$A$341,BD!$I$3:$I$5001,"&lt;&gt;")=0,"",SUMIFS(BD!$I$3:$I$5001,BD!$A$3:$A$5001,Y$3,BD!$B$3:$B$5001,$A$341)))</f>
        <v/>
      </c>
      <c r="Z347" s="205" t="str">
        <f>IF(Z$3="","",IF(COUNTIFS(BD!$A$3:$A$5001,Z$3,BD!$B$3:$B$5001,$A$341,BD!$I$3:$I$5001,"&lt;&gt;")=0,"",SUMIFS(BD!$I$3:$I$5001,BD!$A$3:$A$5001,Z$3,BD!$B$3:$B$5001,$A$341)))</f>
        <v/>
      </c>
      <c r="AA347" s="205" t="str">
        <f>IF(AA$3="","",IF(COUNTIFS(BD!$A$3:$A$5001,AA$3,BD!$B$3:$B$5001,$A$341,BD!$I$3:$I$5001,"&lt;&gt;")=0,"",SUMIFS(BD!$I$3:$I$5001,BD!$A$3:$A$5001,AA$3,BD!$B$3:$B$5001,$A$341)))</f>
        <v/>
      </c>
      <c r="AB347" s="205" t="str">
        <f>IF(AB$3="","",IF(COUNTIFS(BD!$A$3:$A$5001,AB$3,BD!$B$3:$B$5001,$A$341,BD!$I$3:$I$5001,"&lt;&gt;")=0,"",SUMIFS(BD!$I$3:$I$5001,BD!$A$3:$A$5001,AB$3,BD!$B$3:$B$5001,$A$341)))</f>
        <v/>
      </c>
      <c r="AC347" s="205" t="str">
        <f>IF(AC$3="","",IF(COUNTIFS(BD!$A$3:$A$5001,AC$3,BD!$B$3:$B$5001,$A$341,BD!$I$3:$I$5001,"&lt;&gt;")=0,"",SUMIFS(BD!$I$3:$I$5001,BD!$A$3:$A$5001,AC$3,BD!$B$3:$B$5001,$A$341)))</f>
        <v/>
      </c>
      <c r="AD347" s="205" t="str">
        <f>IF(AD$3="","",IF(COUNTIFS(BD!$A$3:$A$5001,AD$3,BD!$B$3:$B$5001,$A$341,BD!$I$3:$I$5001,"&lt;&gt;")=0,"",SUMIFS(BD!$I$3:$I$5001,BD!$A$3:$A$5001,AD$3,BD!$B$3:$B$5001,$A$341)))</f>
        <v/>
      </c>
      <c r="AE347" s="205" t="str">
        <f>IF(AE$3="","",IF(COUNTIFS(BD!$A$3:$A$5001,AE$3,BD!$B$3:$B$5001,$A$341,BD!$I$3:$I$5001,"&lt;&gt;")=0,"",SUMIFS(BD!$I$3:$I$5001,BD!$A$3:$A$5001,AE$3,BD!$B$3:$B$5001,$A$341)))</f>
        <v/>
      </c>
      <c r="AF347" s="205" t="str">
        <f>IF(AF$3="","",IF(COUNTIFS(BD!$A$3:$A$5001,AF$3,BD!$B$3:$B$5001,$A$341,BD!$I$3:$I$5001,"&lt;&gt;")=0,"",SUMIFS(BD!$I$3:$I$5001,BD!$A$3:$A$5001,AF$3,BD!$B$3:$B$5001,$A$341)))</f>
        <v/>
      </c>
      <c r="AG347" s="205" t="str">
        <f>IF(AG$3="","",IF(COUNTIFS(BD!$A$3:$A$5001,AG$3,BD!$B$3:$B$5001,$A$341,BD!$I$3:$I$5001,"&lt;&gt;")=0,"",SUMIFS(BD!$I$3:$I$5001,BD!$A$3:$A$5001,AG$3,BD!$B$3:$B$5001,$A$341)))</f>
        <v/>
      </c>
      <c r="AH347" s="205" t="str">
        <f>IF(AH$3="","",IF(COUNTIFS(BD!$A$3:$A$5001,AH$3,BD!$B$3:$B$5001,$A$341,BD!$I$3:$I$5001,"&lt;&gt;")=0,"",SUMIFS(BD!$I$3:$I$5001,BD!$A$3:$A$5001,AH$3,BD!$B$3:$B$5001,$A$341)))</f>
        <v/>
      </c>
      <c r="AI347" s="205" t="str">
        <f>IF(AI$3="","",IF(COUNTIFS(BD!$A$3:$A$5001,AI$3,BD!$B$3:$B$5001,$A$341,BD!$I$3:$I$5001,"&lt;&gt;")=0,"",SUMIFS(BD!$I$3:$I$5001,BD!$A$3:$A$5001,AI$3,BD!$B$3:$B$5001,$A$341)))</f>
        <v/>
      </c>
      <c r="AJ347" s="206" t="str">
        <f>IF(AJ$3="","",IF(COUNTIFS(BD!$A$3:$A$5001,AJ$3,BD!$B$3:$B$5001,$A$341,BD!$I$3:$I$5001,"&lt;&gt;")=0,"",SUMIFS(BD!$I$3:$I$5001,BD!$A$3:$A$5001,AJ$3,BD!$B$3:$B$5001,$A$341)))</f>
        <v/>
      </c>
      <c r="AK347" s="207" t="str">
        <f>IF(COUNT(F347:AJ347)=0,"",SUM(F347:AJ347))</f>
        <v/>
      </c>
    </row>
    <row r="348" ht="15.75" customHeight="1" hidden="1">
      <c r="A348" s="244"/>
      <c r="B348" s="239"/>
      <c r="C348" s="201" t="inlineStr">
        <is>
          <t xml:space="preserve">Caixas Fechadas</t>
        </is>
      </c>
      <c r="D348" s="202" t="str">
        <f>IFERROR(1/(1/INDEX(BD!$AJ$30:$BD$30,MATCH($A$341,BD!$AJ$22:$BD$22,0))),"")</f>
        <v/>
      </c>
      <c r="E348" s="203"/>
      <c r="F348" s="204" t="str">
        <f>IF(F$3="","",IF(COUNTIFS(BD!$A$3:$A$5001,F$3,BD!$B$3:$B$5001,$A$341,BD!$J$3:$J$5001,"&lt;&gt;")=0,"",SUMIFS(BD!$J$3:$J$5001,BD!$A$3:$A$5001,F$3,BD!$B$3:$B$5001,$A$341)))</f>
        <v/>
      </c>
      <c r="G348" s="205" t="str">
        <f>IF(G$3="","",IF(COUNTIFS(BD!$A$3:$A$5001,G$3,BD!$B$3:$B$5001,$A$341,BD!$J$3:$J$5001,"&lt;&gt;")=0,"",SUMIFS(BD!$J$3:$J$5001,BD!$A$3:$A$5001,G$3,BD!$B$3:$B$5001,$A$341)))</f>
        <v/>
      </c>
      <c r="H348" s="205" t="str">
        <f>IF(H$3="","",IF(COUNTIFS(BD!$A$3:$A$5001,H$3,BD!$B$3:$B$5001,$A$341,BD!$J$3:$J$5001,"&lt;&gt;")=0,"",SUMIFS(BD!$J$3:$J$5001,BD!$A$3:$A$5001,H$3,BD!$B$3:$B$5001,$A$341)))</f>
        <v/>
      </c>
      <c r="I348" s="205" t="str">
        <f>IF(I$3="","",IF(COUNTIFS(BD!$A$3:$A$5001,I$3,BD!$B$3:$B$5001,$A$341,BD!$J$3:$J$5001,"&lt;&gt;")=0,"",SUMIFS(BD!$J$3:$J$5001,BD!$A$3:$A$5001,I$3,BD!$B$3:$B$5001,$A$341)))</f>
        <v/>
      </c>
      <c r="J348" s="205" t="str">
        <f>IF(J$3="","",IF(COUNTIFS(BD!$A$3:$A$5001,J$3,BD!$B$3:$B$5001,$A$341,BD!$J$3:$J$5001,"&lt;&gt;")=0,"",SUMIFS(BD!$J$3:$J$5001,BD!$A$3:$A$5001,J$3,BD!$B$3:$B$5001,$A$341)))</f>
        <v/>
      </c>
      <c r="K348" s="205" t="str">
        <f>IF(K$3="","",IF(COUNTIFS(BD!$A$3:$A$5001,K$3,BD!$B$3:$B$5001,$A$341,BD!$J$3:$J$5001,"&lt;&gt;")=0,"",SUMIFS(BD!$J$3:$J$5001,BD!$A$3:$A$5001,K$3,BD!$B$3:$B$5001,$A$341)))</f>
        <v/>
      </c>
      <c r="L348" s="205" t="str">
        <f>IF(L$3="","",IF(COUNTIFS(BD!$A$3:$A$5001,L$3,BD!$B$3:$B$5001,$A$341,BD!$J$3:$J$5001,"&lt;&gt;")=0,"",SUMIFS(BD!$J$3:$J$5001,BD!$A$3:$A$5001,L$3,BD!$B$3:$B$5001,$A$341)))</f>
        <v/>
      </c>
      <c r="M348" s="205" t="str">
        <f>IF(M$3="","",IF(COUNTIFS(BD!$A$3:$A$5001,M$3,BD!$B$3:$B$5001,$A$341,BD!$J$3:$J$5001,"&lt;&gt;")=0,"",SUMIFS(BD!$J$3:$J$5001,BD!$A$3:$A$5001,M$3,BD!$B$3:$B$5001,$A$341)))</f>
        <v/>
      </c>
      <c r="N348" s="205" t="str">
        <f>IF(N$3="","",IF(COUNTIFS(BD!$A$3:$A$5001,N$3,BD!$B$3:$B$5001,$A$341,BD!$J$3:$J$5001,"&lt;&gt;")=0,"",SUMIFS(BD!$J$3:$J$5001,BD!$A$3:$A$5001,N$3,BD!$B$3:$B$5001,$A$341)))</f>
        <v/>
      </c>
      <c r="O348" s="205" t="str">
        <f>IF(O$3="","",IF(COUNTIFS(BD!$A$3:$A$5001,O$3,BD!$B$3:$B$5001,$A$341,BD!$J$3:$J$5001,"&lt;&gt;")=0,"",SUMIFS(BD!$J$3:$J$5001,BD!$A$3:$A$5001,O$3,BD!$B$3:$B$5001,$A$341)))</f>
        <v/>
      </c>
      <c r="P348" s="205" t="str">
        <f>IF(P$3="","",IF(COUNTIFS(BD!$A$3:$A$5001,P$3,BD!$B$3:$B$5001,$A$341,BD!$J$3:$J$5001,"&lt;&gt;")=0,"",SUMIFS(BD!$J$3:$J$5001,BD!$A$3:$A$5001,P$3,BD!$B$3:$B$5001,$A$341)))</f>
        <v/>
      </c>
      <c r="Q348" s="205" t="str">
        <f>IF(Q$3="","",IF(COUNTIFS(BD!$A$3:$A$5001,Q$3,BD!$B$3:$B$5001,$A$341,BD!$J$3:$J$5001,"&lt;&gt;")=0,"",SUMIFS(BD!$J$3:$J$5001,BD!$A$3:$A$5001,Q$3,BD!$B$3:$B$5001,$A$341)))</f>
        <v/>
      </c>
      <c r="R348" s="205" t="str">
        <f>IF(R$3="","",IF(COUNTIFS(BD!$A$3:$A$5001,R$3,BD!$B$3:$B$5001,$A$341,BD!$J$3:$J$5001,"&lt;&gt;")=0,"",SUMIFS(BD!$J$3:$J$5001,BD!$A$3:$A$5001,R$3,BD!$B$3:$B$5001,$A$341)))</f>
        <v/>
      </c>
      <c r="S348" s="205" t="str">
        <f>IF(S$3="","",IF(COUNTIFS(BD!$A$3:$A$5001,S$3,BD!$B$3:$B$5001,$A$341,BD!$J$3:$J$5001,"&lt;&gt;")=0,"",SUMIFS(BD!$J$3:$J$5001,BD!$A$3:$A$5001,S$3,BD!$B$3:$B$5001,$A$341)))</f>
        <v/>
      </c>
      <c r="T348" s="205" t="str">
        <f>IF(T$3="","",IF(COUNTIFS(BD!$A$3:$A$5001,T$3,BD!$B$3:$B$5001,$A$341,BD!$J$3:$J$5001,"&lt;&gt;")=0,"",SUMIFS(BD!$J$3:$J$5001,BD!$A$3:$A$5001,T$3,BD!$B$3:$B$5001,$A$341)))</f>
        <v/>
      </c>
      <c r="U348" s="205" t="str">
        <f>IF(U$3="","",IF(COUNTIFS(BD!$A$3:$A$5001,U$3,BD!$B$3:$B$5001,$A$341,BD!$J$3:$J$5001,"&lt;&gt;")=0,"",SUMIFS(BD!$J$3:$J$5001,BD!$A$3:$A$5001,U$3,BD!$B$3:$B$5001,$A$341)))</f>
        <v/>
      </c>
      <c r="V348" s="205" t="str">
        <f>IF(V$3="","",IF(COUNTIFS(BD!$A$3:$A$5001,V$3,BD!$B$3:$B$5001,$A$341,BD!$J$3:$J$5001,"&lt;&gt;")=0,"",SUMIFS(BD!$J$3:$J$5001,BD!$A$3:$A$5001,V$3,BD!$B$3:$B$5001,$A$341)))</f>
        <v/>
      </c>
      <c r="W348" s="205" t="str">
        <f>IF(W$3="","",IF(COUNTIFS(BD!$A$3:$A$5001,W$3,BD!$B$3:$B$5001,$A$341,BD!$J$3:$J$5001,"&lt;&gt;")=0,"",SUMIFS(BD!$J$3:$J$5001,BD!$A$3:$A$5001,W$3,BD!$B$3:$B$5001,$A$341)))</f>
        <v/>
      </c>
      <c r="X348" s="205" t="str">
        <f>IF(X$3="","",IF(COUNTIFS(BD!$A$3:$A$5001,X$3,BD!$B$3:$B$5001,$A$341,BD!$J$3:$J$5001,"&lt;&gt;")=0,"",SUMIFS(BD!$J$3:$J$5001,BD!$A$3:$A$5001,X$3,BD!$B$3:$B$5001,$A$341)))</f>
        <v/>
      </c>
      <c r="Y348" s="205" t="str">
        <f>IF(Y$3="","",IF(COUNTIFS(BD!$A$3:$A$5001,Y$3,BD!$B$3:$B$5001,$A$341,BD!$J$3:$J$5001,"&lt;&gt;")=0,"",SUMIFS(BD!$J$3:$J$5001,BD!$A$3:$A$5001,Y$3,BD!$B$3:$B$5001,$A$341)))</f>
        <v/>
      </c>
      <c r="Z348" s="205" t="str">
        <f>IF(Z$3="","",IF(COUNTIFS(BD!$A$3:$A$5001,Z$3,BD!$B$3:$B$5001,$A$341,BD!$J$3:$J$5001,"&lt;&gt;")=0,"",SUMIFS(BD!$J$3:$J$5001,BD!$A$3:$A$5001,Z$3,BD!$B$3:$B$5001,$A$341)))</f>
        <v/>
      </c>
      <c r="AA348" s="205" t="str">
        <f>IF(AA$3="","",IF(COUNTIFS(BD!$A$3:$A$5001,AA$3,BD!$B$3:$B$5001,$A$341,BD!$J$3:$J$5001,"&lt;&gt;")=0,"",SUMIFS(BD!$J$3:$J$5001,BD!$A$3:$A$5001,AA$3,BD!$B$3:$B$5001,$A$341)))</f>
        <v/>
      </c>
      <c r="AB348" s="205" t="str">
        <f>IF(AB$3="","",IF(COUNTIFS(BD!$A$3:$A$5001,AB$3,BD!$B$3:$B$5001,$A$341,BD!$J$3:$J$5001,"&lt;&gt;")=0,"",SUMIFS(BD!$J$3:$J$5001,BD!$A$3:$A$5001,AB$3,BD!$B$3:$B$5001,$A$341)))</f>
        <v/>
      </c>
      <c r="AC348" s="205" t="str">
        <f>IF(AC$3="","",IF(COUNTIFS(BD!$A$3:$A$5001,AC$3,BD!$B$3:$B$5001,$A$341,BD!$J$3:$J$5001,"&lt;&gt;")=0,"",SUMIFS(BD!$J$3:$J$5001,BD!$A$3:$A$5001,AC$3,BD!$B$3:$B$5001,$A$341)))</f>
        <v/>
      </c>
      <c r="AD348" s="205" t="str">
        <f>IF(AD$3="","",IF(COUNTIFS(BD!$A$3:$A$5001,AD$3,BD!$B$3:$B$5001,$A$341,BD!$J$3:$J$5001,"&lt;&gt;")=0,"",SUMIFS(BD!$J$3:$J$5001,BD!$A$3:$A$5001,AD$3,BD!$B$3:$B$5001,$A$341)))</f>
        <v/>
      </c>
      <c r="AE348" s="205" t="str">
        <f>IF(AE$3="","",IF(COUNTIFS(BD!$A$3:$A$5001,AE$3,BD!$B$3:$B$5001,$A$341,BD!$J$3:$J$5001,"&lt;&gt;")=0,"",SUMIFS(BD!$J$3:$J$5001,BD!$A$3:$A$5001,AE$3,BD!$B$3:$B$5001,$A$341)))</f>
        <v/>
      </c>
      <c r="AF348" s="205" t="str">
        <f>IF(AF$3="","",IF(COUNTIFS(BD!$A$3:$A$5001,AF$3,BD!$B$3:$B$5001,$A$341,BD!$J$3:$J$5001,"&lt;&gt;")=0,"",SUMIFS(BD!$J$3:$J$5001,BD!$A$3:$A$5001,AF$3,BD!$B$3:$B$5001,$A$341)))</f>
        <v/>
      </c>
      <c r="AG348" s="205" t="str">
        <f>IF(AG$3="","",IF(COUNTIFS(BD!$A$3:$A$5001,AG$3,BD!$B$3:$B$5001,$A$341,BD!$J$3:$J$5001,"&lt;&gt;")=0,"",SUMIFS(BD!$J$3:$J$5001,BD!$A$3:$A$5001,AG$3,BD!$B$3:$B$5001,$A$341)))</f>
        <v/>
      </c>
      <c r="AH348" s="205" t="str">
        <f>IF(AH$3="","",IF(COUNTIFS(BD!$A$3:$A$5001,AH$3,BD!$B$3:$B$5001,$A$341,BD!$J$3:$J$5001,"&lt;&gt;")=0,"",SUMIFS(BD!$J$3:$J$5001,BD!$A$3:$A$5001,AH$3,BD!$B$3:$B$5001,$A$341)))</f>
        <v/>
      </c>
      <c r="AI348" s="205" t="str">
        <f>IF(AI$3="","",IF(COUNTIFS(BD!$A$3:$A$5001,AI$3,BD!$B$3:$B$5001,$A$341,BD!$J$3:$J$5001,"&lt;&gt;")=0,"",SUMIFS(BD!$J$3:$J$5001,BD!$A$3:$A$5001,AI$3,BD!$B$3:$B$5001,$A$341)))</f>
        <v/>
      </c>
      <c r="AJ348" s="206" t="str">
        <f>IF(AJ$3="","",IF(COUNTIFS(BD!$A$3:$A$5001,AJ$3,BD!$B$3:$B$5001,$A$341,BD!$J$3:$J$5001,"&lt;&gt;")=0,"",SUMIFS(BD!$J$3:$J$5001,BD!$A$3:$A$5001,AJ$3,BD!$B$3:$B$5001,$A$341)))</f>
        <v/>
      </c>
      <c r="AK348" s="207" t="str">
        <f>IF(COUNT(F348:AJ348)=0,"",SUM(F348:AJ348))</f>
        <v/>
      </c>
    </row>
    <row r="349" ht="15.75" customHeight="1" hidden="1">
      <c r="A349" s="244"/>
      <c r="B349" s="233"/>
      <c r="C349" s="162" t="inlineStr">
        <is>
          <t xml:space="preserve">Caixas Mistas Recebidas</t>
        </is>
      </c>
      <c r="D349" s="163" t="str">
        <f>IFERROR(1/(1/INDEX(BD!$AJ$31:$BD$31,MATCH($A$341,BD!$AJ$22:$BD$22,0))),"")</f>
        <v/>
      </c>
      <c r="E349" s="164"/>
      <c r="F349" s="165" t="str">
        <f>IF(F$3="","",IF(COUNTIFS(BD!$A$3:$A$5001,F$3,BD!$B$3:$B$5001,$A$341,BD!$K$3:$K$5001,"&lt;&gt;")=0,"",SUMIFS(BD!$K$3:$K$5001,BD!$A$3:$A$5001,F$3,BD!$B$3:$B$5001,$A$341)))</f>
        <v/>
      </c>
      <c r="G349" s="166" t="str">
        <f>IF(G$3="","",IF(COUNTIFS(BD!$A$3:$A$5001,G$3,BD!$B$3:$B$5001,$A$341,BD!$K$3:$K$5001,"&lt;&gt;")=0,"",SUMIFS(BD!$K$3:$K$5001,BD!$A$3:$A$5001,G$3,BD!$B$3:$B$5001,$A$341)))</f>
        <v/>
      </c>
      <c r="H349" s="166" t="str">
        <f>IF(H$3="","",IF(COUNTIFS(BD!$A$3:$A$5001,H$3,BD!$B$3:$B$5001,$A$341,BD!$K$3:$K$5001,"&lt;&gt;")=0,"",SUMIFS(BD!$K$3:$K$5001,BD!$A$3:$A$5001,H$3,BD!$B$3:$B$5001,$A$341)))</f>
        <v/>
      </c>
      <c r="I349" s="166" t="str">
        <f>IF(I$3="","",IF(COUNTIFS(BD!$A$3:$A$5001,I$3,BD!$B$3:$B$5001,$A$341,BD!$K$3:$K$5001,"&lt;&gt;")=0,"",SUMIFS(BD!$K$3:$K$5001,BD!$A$3:$A$5001,I$3,BD!$B$3:$B$5001,$A$341)))</f>
        <v/>
      </c>
      <c r="J349" s="166" t="str">
        <f>IF(J$3="","",IF(COUNTIFS(BD!$A$3:$A$5001,J$3,BD!$B$3:$B$5001,$A$341,BD!$K$3:$K$5001,"&lt;&gt;")=0,"",SUMIFS(BD!$K$3:$K$5001,BD!$A$3:$A$5001,J$3,BD!$B$3:$B$5001,$A$341)))</f>
        <v/>
      </c>
      <c r="K349" s="166" t="str">
        <f>IF(K$3="","",IF(COUNTIFS(BD!$A$3:$A$5001,K$3,BD!$B$3:$B$5001,$A$341,BD!$K$3:$K$5001,"&lt;&gt;")=0,"",SUMIFS(BD!$K$3:$K$5001,BD!$A$3:$A$5001,K$3,BD!$B$3:$B$5001,$A$341)))</f>
        <v/>
      </c>
      <c r="L349" s="166" t="str">
        <f>IF(L$3="","",IF(COUNTIFS(BD!$A$3:$A$5001,L$3,BD!$B$3:$B$5001,$A$341,BD!$K$3:$K$5001,"&lt;&gt;")=0,"",SUMIFS(BD!$K$3:$K$5001,BD!$A$3:$A$5001,L$3,BD!$B$3:$B$5001,$A$341)))</f>
        <v/>
      </c>
      <c r="M349" s="166" t="str">
        <f>IF(M$3="","",IF(COUNTIFS(BD!$A$3:$A$5001,M$3,BD!$B$3:$B$5001,$A$341,BD!$K$3:$K$5001,"&lt;&gt;")=0,"",SUMIFS(BD!$K$3:$K$5001,BD!$A$3:$A$5001,M$3,BD!$B$3:$B$5001,$A$341)))</f>
        <v/>
      </c>
      <c r="N349" s="166" t="str">
        <f>IF(N$3="","",IF(COUNTIFS(BD!$A$3:$A$5001,N$3,BD!$B$3:$B$5001,$A$341,BD!$K$3:$K$5001,"&lt;&gt;")=0,"",SUMIFS(BD!$K$3:$K$5001,BD!$A$3:$A$5001,N$3,BD!$B$3:$B$5001,$A$341)))</f>
        <v/>
      </c>
      <c r="O349" s="166" t="str">
        <f>IF(O$3="","",IF(COUNTIFS(BD!$A$3:$A$5001,O$3,BD!$B$3:$B$5001,$A$341,BD!$K$3:$K$5001,"&lt;&gt;")=0,"",SUMIFS(BD!$K$3:$K$5001,BD!$A$3:$A$5001,O$3,BD!$B$3:$B$5001,$A$341)))</f>
        <v/>
      </c>
      <c r="P349" s="166" t="str">
        <f>IF(P$3="","",IF(COUNTIFS(BD!$A$3:$A$5001,P$3,BD!$B$3:$B$5001,$A$341,BD!$K$3:$K$5001,"&lt;&gt;")=0,"",SUMIFS(BD!$K$3:$K$5001,BD!$A$3:$A$5001,P$3,BD!$B$3:$B$5001,$A$341)))</f>
        <v/>
      </c>
      <c r="Q349" s="166" t="str">
        <f>IF(Q$3="","",IF(COUNTIFS(BD!$A$3:$A$5001,Q$3,BD!$B$3:$B$5001,$A$341,BD!$K$3:$K$5001,"&lt;&gt;")=0,"",SUMIFS(BD!$K$3:$K$5001,BD!$A$3:$A$5001,Q$3,BD!$B$3:$B$5001,$A$341)))</f>
        <v/>
      </c>
      <c r="R349" s="166" t="str">
        <f>IF(R$3="","",IF(COUNTIFS(BD!$A$3:$A$5001,R$3,BD!$B$3:$B$5001,$A$341,BD!$K$3:$K$5001,"&lt;&gt;")=0,"",SUMIFS(BD!$K$3:$K$5001,BD!$A$3:$A$5001,R$3,BD!$B$3:$B$5001,$A$341)))</f>
        <v/>
      </c>
      <c r="S349" s="166" t="str">
        <f>IF(S$3="","",IF(COUNTIFS(BD!$A$3:$A$5001,S$3,BD!$B$3:$B$5001,$A$341,BD!$K$3:$K$5001,"&lt;&gt;")=0,"",SUMIFS(BD!$K$3:$K$5001,BD!$A$3:$A$5001,S$3,BD!$B$3:$B$5001,$A$341)))</f>
        <v/>
      </c>
      <c r="T349" s="166" t="str">
        <f>IF(T$3="","",IF(COUNTIFS(BD!$A$3:$A$5001,T$3,BD!$B$3:$B$5001,$A$341,BD!$K$3:$K$5001,"&lt;&gt;")=0,"",SUMIFS(BD!$K$3:$K$5001,BD!$A$3:$A$5001,T$3,BD!$B$3:$B$5001,$A$341)))</f>
        <v/>
      </c>
      <c r="U349" s="166" t="str">
        <f>IF(U$3="","",IF(COUNTIFS(BD!$A$3:$A$5001,U$3,BD!$B$3:$B$5001,$A$341,BD!$K$3:$K$5001,"&lt;&gt;")=0,"",SUMIFS(BD!$K$3:$K$5001,BD!$A$3:$A$5001,U$3,BD!$B$3:$B$5001,$A$341)))</f>
        <v/>
      </c>
      <c r="V349" s="166" t="str">
        <f>IF(V$3="","",IF(COUNTIFS(BD!$A$3:$A$5001,V$3,BD!$B$3:$B$5001,$A$341,BD!$K$3:$K$5001,"&lt;&gt;")=0,"",SUMIFS(BD!$K$3:$K$5001,BD!$A$3:$A$5001,V$3,BD!$B$3:$B$5001,$A$341)))</f>
        <v/>
      </c>
      <c r="W349" s="166" t="str">
        <f>IF(W$3="","",IF(COUNTIFS(BD!$A$3:$A$5001,W$3,BD!$B$3:$B$5001,$A$341,BD!$K$3:$K$5001,"&lt;&gt;")=0,"",SUMIFS(BD!$K$3:$K$5001,BD!$A$3:$A$5001,W$3,BD!$B$3:$B$5001,$A$341)))</f>
        <v/>
      </c>
      <c r="X349" s="166" t="str">
        <f>IF(X$3="","",IF(COUNTIFS(BD!$A$3:$A$5001,X$3,BD!$B$3:$B$5001,$A$341,BD!$K$3:$K$5001,"&lt;&gt;")=0,"",SUMIFS(BD!$K$3:$K$5001,BD!$A$3:$A$5001,X$3,BD!$B$3:$B$5001,$A$341)))</f>
        <v/>
      </c>
      <c r="Y349" s="166" t="str">
        <f>IF(Y$3="","",IF(COUNTIFS(BD!$A$3:$A$5001,Y$3,BD!$B$3:$B$5001,$A$341,BD!$K$3:$K$5001,"&lt;&gt;")=0,"",SUMIFS(BD!$K$3:$K$5001,BD!$A$3:$A$5001,Y$3,BD!$B$3:$B$5001,$A$341)))</f>
        <v/>
      </c>
      <c r="Z349" s="166" t="str">
        <f>IF(Z$3="","",IF(COUNTIFS(BD!$A$3:$A$5001,Z$3,BD!$B$3:$B$5001,$A$341,BD!$K$3:$K$5001,"&lt;&gt;")=0,"",SUMIFS(BD!$K$3:$K$5001,BD!$A$3:$A$5001,Z$3,BD!$B$3:$B$5001,$A$341)))</f>
        <v/>
      </c>
      <c r="AA349" s="166" t="str">
        <f>IF(AA$3="","",IF(COUNTIFS(BD!$A$3:$A$5001,AA$3,BD!$B$3:$B$5001,$A$341,BD!$K$3:$K$5001,"&lt;&gt;")=0,"",SUMIFS(BD!$K$3:$K$5001,BD!$A$3:$A$5001,AA$3,BD!$B$3:$B$5001,$A$341)))</f>
        <v/>
      </c>
      <c r="AB349" s="166" t="str">
        <f>IF(AB$3="","",IF(COUNTIFS(BD!$A$3:$A$5001,AB$3,BD!$B$3:$B$5001,$A$341,BD!$K$3:$K$5001,"&lt;&gt;")=0,"",SUMIFS(BD!$K$3:$K$5001,BD!$A$3:$A$5001,AB$3,BD!$B$3:$B$5001,$A$341)))</f>
        <v/>
      </c>
      <c r="AC349" s="166" t="str">
        <f>IF(AC$3="","",IF(COUNTIFS(BD!$A$3:$A$5001,AC$3,BD!$B$3:$B$5001,$A$341,BD!$K$3:$K$5001,"&lt;&gt;")=0,"",SUMIFS(BD!$K$3:$K$5001,BD!$A$3:$A$5001,AC$3,BD!$B$3:$B$5001,$A$341)))</f>
        <v/>
      </c>
      <c r="AD349" s="166" t="str">
        <f>IF(AD$3="","",IF(COUNTIFS(BD!$A$3:$A$5001,AD$3,BD!$B$3:$B$5001,$A$341,BD!$K$3:$K$5001,"&lt;&gt;")=0,"",SUMIFS(BD!$K$3:$K$5001,BD!$A$3:$A$5001,AD$3,BD!$B$3:$B$5001,$A$341)))</f>
        <v/>
      </c>
      <c r="AE349" s="166" t="str">
        <f>IF(AE$3="","",IF(COUNTIFS(BD!$A$3:$A$5001,AE$3,BD!$B$3:$B$5001,$A$341,BD!$K$3:$K$5001,"&lt;&gt;")=0,"",SUMIFS(BD!$K$3:$K$5001,BD!$A$3:$A$5001,AE$3,BD!$B$3:$B$5001,$A$341)))</f>
        <v/>
      </c>
      <c r="AF349" s="166" t="str">
        <f>IF(AF$3="","",IF(COUNTIFS(BD!$A$3:$A$5001,AF$3,BD!$B$3:$B$5001,$A$341,BD!$K$3:$K$5001,"&lt;&gt;")=0,"",SUMIFS(BD!$K$3:$K$5001,BD!$A$3:$A$5001,AF$3,BD!$B$3:$B$5001,$A$341)))</f>
        <v/>
      </c>
      <c r="AG349" s="166" t="str">
        <f>IF(AG$3="","",IF(COUNTIFS(BD!$A$3:$A$5001,AG$3,BD!$B$3:$B$5001,$A$341,BD!$K$3:$K$5001,"&lt;&gt;")=0,"",SUMIFS(BD!$K$3:$K$5001,BD!$A$3:$A$5001,AG$3,BD!$B$3:$B$5001,$A$341)))</f>
        <v/>
      </c>
      <c r="AH349" s="166" t="str">
        <f>IF(AH$3="","",IF(COUNTIFS(BD!$A$3:$A$5001,AH$3,BD!$B$3:$B$5001,$A$341,BD!$K$3:$K$5001,"&lt;&gt;")=0,"",SUMIFS(BD!$K$3:$K$5001,BD!$A$3:$A$5001,AH$3,BD!$B$3:$B$5001,$A$341)))</f>
        <v/>
      </c>
      <c r="AI349" s="166" t="str">
        <f>IF(AI$3="","",IF(COUNTIFS(BD!$A$3:$A$5001,AI$3,BD!$B$3:$B$5001,$A$341,BD!$K$3:$K$5001,"&lt;&gt;")=0,"",SUMIFS(BD!$K$3:$K$5001,BD!$A$3:$A$5001,AI$3,BD!$B$3:$B$5001,$A$341)))</f>
        <v/>
      </c>
      <c r="AJ349" s="167" t="str">
        <f>IF(AJ$3="","",IF(COUNTIFS(BD!$A$3:$A$5001,AJ$3,BD!$B$3:$B$5001,$A$341,BD!$K$3:$K$5001,"&lt;&gt;")=0,"",SUMIFS(BD!$K$3:$K$5001,BD!$A$3:$A$5001,AJ$3,BD!$B$3:$B$5001,$A$341)))</f>
        <v/>
      </c>
      <c r="AK349" s="163" t="str">
        <f>IF(COUNT(F349:AJ349)=0,"",SUM(F349:AJ349))</f>
        <v/>
      </c>
    </row>
    <row r="350" ht="15.75" customHeight="1" hidden="1">
      <c r="A350" s="244"/>
      <c r="B350" s="234" t="inlineStr">
        <is>
          <t xml:space="preserve">OUT</t>
        </is>
      </c>
      <c r="C350" s="168" t="inlineStr">
        <is>
          <t xml:space="preserve">Veículos Expedidos</t>
        </is>
      </c>
      <c r="D350" s="169" t="str">
        <f>IFERROR(1/(1/INDEX(BD!$AJ$32:$BD$32,MATCH($A$341,BD!$AJ$22:$BD$22,0))),"")</f>
        <v/>
      </c>
      <c r="E350" s="170"/>
      <c r="F350" s="171" t="str">
        <f>IF(F$3="","",IF(COUNTIFS(BD!$A$3:$A$5001,F$3,BD!$B$3:$B$5001,$A$341,BD!$L$3:$L$5001,"&lt;&gt;")=0,"",SUMIFS(BD!$L$3:$L$5001,BD!$A$3:$A$5001,F$3,BD!$B$3:$B$5001,$A$341)))</f>
        <v/>
      </c>
      <c r="G350" s="172" t="str">
        <f>IF(G$3="","",IF(COUNTIFS(BD!$A$3:$A$5001,G$3,BD!$B$3:$B$5001,$A$341,BD!$L$3:$L$5001,"&lt;&gt;")=0,"",SUMIFS(BD!$L$3:$L$5001,BD!$A$3:$A$5001,G$3,BD!$B$3:$B$5001,$A$341)))</f>
        <v/>
      </c>
      <c r="H350" s="172" t="str">
        <f>IF(H$3="","",IF(COUNTIFS(BD!$A$3:$A$5001,H$3,BD!$B$3:$B$5001,$A$341,BD!$L$3:$L$5001,"&lt;&gt;")=0,"",SUMIFS(BD!$L$3:$L$5001,BD!$A$3:$A$5001,H$3,BD!$B$3:$B$5001,$A$341)))</f>
        <v/>
      </c>
      <c r="I350" s="172" t="str">
        <f>IF(I$3="","",IF(COUNTIFS(BD!$A$3:$A$5001,I$3,BD!$B$3:$B$5001,$A$341,BD!$L$3:$L$5001,"&lt;&gt;")=0,"",SUMIFS(BD!$L$3:$L$5001,BD!$A$3:$A$5001,I$3,BD!$B$3:$B$5001,$A$341)))</f>
        <v/>
      </c>
      <c r="J350" s="172" t="str">
        <f>IF(J$3="","",IF(COUNTIFS(BD!$A$3:$A$5001,J$3,BD!$B$3:$B$5001,$A$341,BD!$L$3:$L$5001,"&lt;&gt;")=0,"",SUMIFS(BD!$L$3:$L$5001,BD!$A$3:$A$5001,J$3,BD!$B$3:$B$5001,$A$341)))</f>
        <v/>
      </c>
      <c r="K350" s="172" t="str">
        <f>IF(K$3="","",IF(COUNTIFS(BD!$A$3:$A$5001,K$3,BD!$B$3:$B$5001,$A$341,BD!$L$3:$L$5001,"&lt;&gt;")=0,"",SUMIFS(BD!$L$3:$L$5001,BD!$A$3:$A$5001,K$3,BD!$B$3:$B$5001,$A$341)))</f>
        <v/>
      </c>
      <c r="L350" s="172" t="str">
        <f>IF(L$3="","",IF(COUNTIFS(BD!$A$3:$A$5001,L$3,BD!$B$3:$B$5001,$A$341,BD!$L$3:$L$5001,"&lt;&gt;")=0,"",SUMIFS(BD!$L$3:$L$5001,BD!$A$3:$A$5001,L$3,BD!$B$3:$B$5001,$A$341)))</f>
        <v/>
      </c>
      <c r="M350" s="172" t="str">
        <f>IF(M$3="","",IF(COUNTIFS(BD!$A$3:$A$5001,M$3,BD!$B$3:$B$5001,$A$341,BD!$L$3:$L$5001,"&lt;&gt;")=0,"",SUMIFS(BD!$L$3:$L$5001,BD!$A$3:$A$5001,M$3,BD!$B$3:$B$5001,$A$341)))</f>
        <v/>
      </c>
      <c r="N350" s="172" t="str">
        <f>IF(N$3="","",IF(COUNTIFS(BD!$A$3:$A$5001,N$3,BD!$B$3:$B$5001,$A$341,BD!$L$3:$L$5001,"&lt;&gt;")=0,"",SUMIFS(BD!$L$3:$L$5001,BD!$A$3:$A$5001,N$3,BD!$B$3:$B$5001,$A$341)))</f>
        <v/>
      </c>
      <c r="O350" s="172" t="str">
        <f>IF(O$3="","",IF(COUNTIFS(BD!$A$3:$A$5001,O$3,BD!$B$3:$B$5001,$A$341,BD!$L$3:$L$5001,"&lt;&gt;")=0,"",SUMIFS(BD!$L$3:$L$5001,BD!$A$3:$A$5001,O$3,BD!$B$3:$B$5001,$A$341)))</f>
        <v/>
      </c>
      <c r="P350" s="172" t="str">
        <f>IF(P$3="","",IF(COUNTIFS(BD!$A$3:$A$5001,P$3,BD!$B$3:$B$5001,$A$341,BD!$L$3:$L$5001,"&lt;&gt;")=0,"",SUMIFS(BD!$L$3:$L$5001,BD!$A$3:$A$5001,P$3,BD!$B$3:$B$5001,$A$341)))</f>
        <v/>
      </c>
      <c r="Q350" s="172" t="str">
        <f>IF(Q$3="","",IF(COUNTIFS(BD!$A$3:$A$5001,Q$3,BD!$B$3:$B$5001,$A$341,BD!$L$3:$L$5001,"&lt;&gt;")=0,"",SUMIFS(BD!$L$3:$L$5001,BD!$A$3:$A$5001,Q$3,BD!$B$3:$B$5001,$A$341)))</f>
        <v/>
      </c>
      <c r="R350" s="172" t="str">
        <f>IF(R$3="","",IF(COUNTIFS(BD!$A$3:$A$5001,R$3,BD!$B$3:$B$5001,$A$341,BD!$L$3:$L$5001,"&lt;&gt;")=0,"",SUMIFS(BD!$L$3:$L$5001,BD!$A$3:$A$5001,R$3,BD!$B$3:$B$5001,$A$341)))</f>
        <v/>
      </c>
      <c r="S350" s="172" t="str">
        <f>IF(S$3="","",IF(COUNTIFS(BD!$A$3:$A$5001,S$3,BD!$B$3:$B$5001,$A$341,BD!$L$3:$L$5001,"&lt;&gt;")=0,"",SUMIFS(BD!$L$3:$L$5001,BD!$A$3:$A$5001,S$3,BD!$B$3:$B$5001,$A$341)))</f>
        <v/>
      </c>
      <c r="T350" s="172" t="str">
        <f>IF(T$3="","",IF(COUNTIFS(BD!$A$3:$A$5001,T$3,BD!$B$3:$B$5001,$A$341,BD!$L$3:$L$5001,"&lt;&gt;")=0,"",SUMIFS(BD!$L$3:$L$5001,BD!$A$3:$A$5001,T$3,BD!$B$3:$B$5001,$A$341)))</f>
        <v/>
      </c>
      <c r="U350" s="172" t="str">
        <f>IF(U$3="","",IF(COUNTIFS(BD!$A$3:$A$5001,U$3,BD!$B$3:$B$5001,$A$341,BD!$L$3:$L$5001,"&lt;&gt;")=0,"",SUMIFS(BD!$L$3:$L$5001,BD!$A$3:$A$5001,U$3,BD!$B$3:$B$5001,$A$341)))</f>
        <v/>
      </c>
      <c r="V350" s="172" t="str">
        <f>IF(V$3="","",IF(COUNTIFS(BD!$A$3:$A$5001,V$3,BD!$B$3:$B$5001,$A$341,BD!$L$3:$L$5001,"&lt;&gt;")=0,"",SUMIFS(BD!$L$3:$L$5001,BD!$A$3:$A$5001,V$3,BD!$B$3:$B$5001,$A$341)))</f>
        <v/>
      </c>
      <c r="W350" s="172" t="str">
        <f>IF(W$3="","",IF(COUNTIFS(BD!$A$3:$A$5001,W$3,BD!$B$3:$B$5001,$A$341,BD!$L$3:$L$5001,"&lt;&gt;")=0,"",SUMIFS(BD!$L$3:$L$5001,BD!$A$3:$A$5001,W$3,BD!$B$3:$B$5001,$A$341)))</f>
        <v/>
      </c>
      <c r="X350" s="172" t="str">
        <f>IF(X$3="","",IF(COUNTIFS(BD!$A$3:$A$5001,X$3,BD!$B$3:$B$5001,$A$341,BD!$L$3:$L$5001,"&lt;&gt;")=0,"",SUMIFS(BD!$L$3:$L$5001,BD!$A$3:$A$5001,X$3,BD!$B$3:$B$5001,$A$341)))</f>
        <v/>
      </c>
      <c r="Y350" s="172" t="str">
        <f>IF(Y$3="","",IF(COUNTIFS(BD!$A$3:$A$5001,Y$3,BD!$B$3:$B$5001,$A$341,BD!$L$3:$L$5001,"&lt;&gt;")=0,"",SUMIFS(BD!$L$3:$L$5001,BD!$A$3:$A$5001,Y$3,BD!$B$3:$B$5001,$A$341)))</f>
        <v/>
      </c>
      <c r="Z350" s="172" t="str">
        <f>IF(Z$3="","",IF(COUNTIFS(BD!$A$3:$A$5001,Z$3,BD!$B$3:$B$5001,$A$341,BD!$L$3:$L$5001,"&lt;&gt;")=0,"",SUMIFS(BD!$L$3:$L$5001,BD!$A$3:$A$5001,Z$3,BD!$B$3:$B$5001,$A$341)))</f>
        <v/>
      </c>
      <c r="AA350" s="172" t="str">
        <f>IF(AA$3="","",IF(COUNTIFS(BD!$A$3:$A$5001,AA$3,BD!$B$3:$B$5001,$A$341,BD!$L$3:$L$5001,"&lt;&gt;")=0,"",SUMIFS(BD!$L$3:$L$5001,BD!$A$3:$A$5001,AA$3,BD!$B$3:$B$5001,$A$341)))</f>
        <v/>
      </c>
      <c r="AB350" s="172" t="str">
        <f>IF(AB$3="","",IF(COUNTIFS(BD!$A$3:$A$5001,AB$3,BD!$B$3:$B$5001,$A$341,BD!$L$3:$L$5001,"&lt;&gt;")=0,"",SUMIFS(BD!$L$3:$L$5001,BD!$A$3:$A$5001,AB$3,BD!$B$3:$B$5001,$A$341)))</f>
        <v/>
      </c>
      <c r="AC350" s="172" t="str">
        <f>IF(AC$3="","",IF(COUNTIFS(BD!$A$3:$A$5001,AC$3,BD!$B$3:$B$5001,$A$341,BD!$L$3:$L$5001,"&lt;&gt;")=0,"",SUMIFS(BD!$L$3:$L$5001,BD!$A$3:$A$5001,AC$3,BD!$B$3:$B$5001,$A$341)))</f>
        <v/>
      </c>
      <c r="AD350" s="172" t="str">
        <f>IF(AD$3="","",IF(COUNTIFS(BD!$A$3:$A$5001,AD$3,BD!$B$3:$B$5001,$A$341,BD!$L$3:$L$5001,"&lt;&gt;")=0,"",SUMIFS(BD!$L$3:$L$5001,BD!$A$3:$A$5001,AD$3,BD!$B$3:$B$5001,$A$341)))</f>
        <v/>
      </c>
      <c r="AE350" s="172" t="str">
        <f>IF(AE$3="","",IF(COUNTIFS(BD!$A$3:$A$5001,AE$3,BD!$B$3:$B$5001,$A$341,BD!$L$3:$L$5001,"&lt;&gt;")=0,"",SUMIFS(BD!$L$3:$L$5001,BD!$A$3:$A$5001,AE$3,BD!$B$3:$B$5001,$A$341)))</f>
        <v/>
      </c>
      <c r="AF350" s="172" t="str">
        <f>IF(AF$3="","",IF(COUNTIFS(BD!$A$3:$A$5001,AF$3,BD!$B$3:$B$5001,$A$341,BD!$L$3:$L$5001,"&lt;&gt;")=0,"",SUMIFS(BD!$L$3:$L$5001,BD!$A$3:$A$5001,AF$3,BD!$B$3:$B$5001,$A$341)))</f>
        <v/>
      </c>
      <c r="AG350" s="172" t="str">
        <f>IF(AG$3="","",IF(COUNTIFS(BD!$A$3:$A$5001,AG$3,BD!$B$3:$B$5001,$A$341,BD!$L$3:$L$5001,"&lt;&gt;")=0,"",SUMIFS(BD!$L$3:$L$5001,BD!$A$3:$A$5001,AG$3,BD!$B$3:$B$5001,$A$341)))</f>
        <v/>
      </c>
      <c r="AH350" s="172" t="str">
        <f>IF(AH$3="","",IF(COUNTIFS(BD!$A$3:$A$5001,AH$3,BD!$B$3:$B$5001,$A$341,BD!$L$3:$L$5001,"&lt;&gt;")=0,"",SUMIFS(BD!$L$3:$L$5001,BD!$A$3:$A$5001,AH$3,BD!$B$3:$B$5001,$A$341)))</f>
        <v/>
      </c>
      <c r="AI350" s="172" t="str">
        <f>IF(AI$3="","",IF(COUNTIFS(BD!$A$3:$A$5001,AI$3,BD!$B$3:$B$5001,$A$341,BD!$L$3:$L$5001,"&lt;&gt;")=0,"",SUMIFS(BD!$L$3:$L$5001,BD!$A$3:$A$5001,AI$3,BD!$B$3:$B$5001,$A$341)))</f>
        <v/>
      </c>
      <c r="AJ350" s="173" t="str">
        <f>IF(AJ$3="","",IF(COUNTIFS(BD!$A$3:$A$5001,AJ$3,BD!$B$3:$B$5001,$A$341,BD!$L$3:$L$5001,"&lt;&gt;")=0,"",SUMIFS(BD!$L$3:$L$5001,BD!$A$3:$A$5001,AJ$3,BD!$B$3:$B$5001,$A$341)))</f>
        <v/>
      </c>
      <c r="AK350" s="174" t="str">
        <f>IF(COUNT(F350:AJ350)=0,"",SUM(F350:AJ350))</f>
        <v/>
      </c>
    </row>
    <row r="351" ht="15.75" customHeight="1" hidden="1">
      <c r="A351" s="244"/>
      <c r="B351" s="261"/>
      <c r="C351" s="250" t="inlineStr">
        <is>
          <t xml:space="preserve">Pedidos Expedidos</t>
        </is>
      </c>
      <c r="D351" s="251" t="str">
        <f>IFERROR(1/(1/INDEX(BD!$AJ$33:$BD$33,MATCH($A$341,BD!$AJ$22:$BD$22,0))),"")</f>
        <v/>
      </c>
      <c r="E351" s="252"/>
      <c r="F351" s="253" t="str">
        <f>IF(F$3="","",IF(COUNTIFS(BD!$A$3:$A$5001,F$3,BD!$B$3:$B$5001,$A$341,BD!$M$3:$M$5001,"&lt;&gt;")=0,"",SUMIFS(BD!$M$3:$M$5001,BD!$A$3:$A$5001,F$3,BD!$B$3:$B$5001,$A$341)))</f>
        <v/>
      </c>
      <c r="G351" s="254" t="str">
        <f>IF(G$3="","",IF(COUNTIFS(BD!$A$3:$A$5001,G$3,BD!$B$3:$B$5001,$A$341,BD!$M$3:$M$5001,"&lt;&gt;")=0,"",SUMIFS(BD!$M$3:$M$5001,BD!$A$3:$A$5001,G$3,BD!$B$3:$B$5001,$A$341)))</f>
        <v/>
      </c>
      <c r="H351" s="254" t="str">
        <f>IF(H$3="","",IF(COUNTIFS(BD!$A$3:$A$5001,H$3,BD!$B$3:$B$5001,$A$341,BD!$M$3:$M$5001,"&lt;&gt;")=0,"",SUMIFS(BD!$M$3:$M$5001,BD!$A$3:$A$5001,H$3,BD!$B$3:$B$5001,$A$341)))</f>
        <v/>
      </c>
      <c r="I351" s="254" t="str">
        <f>IF(I$3="","",IF(COUNTIFS(BD!$A$3:$A$5001,I$3,BD!$B$3:$B$5001,$A$341,BD!$M$3:$M$5001,"&lt;&gt;")=0,"",SUMIFS(BD!$M$3:$M$5001,BD!$A$3:$A$5001,I$3,BD!$B$3:$B$5001,$A$341)))</f>
        <v/>
      </c>
      <c r="J351" s="254" t="str">
        <f>IF(J$3="","",IF(COUNTIFS(BD!$A$3:$A$5001,J$3,BD!$B$3:$B$5001,$A$341,BD!$M$3:$M$5001,"&lt;&gt;")=0,"",SUMIFS(BD!$M$3:$M$5001,BD!$A$3:$A$5001,J$3,BD!$B$3:$B$5001,$A$341)))</f>
        <v/>
      </c>
      <c r="K351" s="254" t="str">
        <f>IF(K$3="","",IF(COUNTIFS(BD!$A$3:$A$5001,K$3,BD!$B$3:$B$5001,$A$341,BD!$M$3:$M$5001,"&lt;&gt;")=0,"",SUMIFS(BD!$M$3:$M$5001,BD!$A$3:$A$5001,K$3,BD!$B$3:$B$5001,$A$341)))</f>
        <v/>
      </c>
      <c r="L351" s="254" t="str">
        <f>IF(L$3="","",IF(COUNTIFS(BD!$A$3:$A$5001,L$3,BD!$B$3:$B$5001,$A$341,BD!$M$3:$M$5001,"&lt;&gt;")=0,"",SUMIFS(BD!$M$3:$M$5001,BD!$A$3:$A$5001,L$3,BD!$B$3:$B$5001,$A$341)))</f>
        <v/>
      </c>
      <c r="M351" s="254" t="str">
        <f>IF(M$3="","",IF(COUNTIFS(BD!$A$3:$A$5001,M$3,BD!$B$3:$B$5001,$A$341,BD!$M$3:$M$5001,"&lt;&gt;")=0,"",SUMIFS(BD!$M$3:$M$5001,BD!$A$3:$A$5001,M$3,BD!$B$3:$B$5001,$A$341)))</f>
        <v/>
      </c>
      <c r="N351" s="254" t="str">
        <f>IF(N$3="","",IF(COUNTIFS(BD!$A$3:$A$5001,N$3,BD!$B$3:$B$5001,$A$341,BD!$M$3:$M$5001,"&lt;&gt;")=0,"",SUMIFS(BD!$M$3:$M$5001,BD!$A$3:$A$5001,N$3,BD!$B$3:$B$5001,$A$341)))</f>
        <v/>
      </c>
      <c r="O351" s="254" t="str">
        <f>IF(O$3="","",IF(COUNTIFS(BD!$A$3:$A$5001,O$3,BD!$B$3:$B$5001,$A$341,BD!$M$3:$M$5001,"&lt;&gt;")=0,"",SUMIFS(BD!$M$3:$M$5001,BD!$A$3:$A$5001,O$3,BD!$B$3:$B$5001,$A$341)))</f>
        <v/>
      </c>
      <c r="P351" s="254" t="str">
        <f>IF(P$3="","",IF(COUNTIFS(BD!$A$3:$A$5001,P$3,BD!$B$3:$B$5001,$A$341,BD!$M$3:$M$5001,"&lt;&gt;")=0,"",SUMIFS(BD!$M$3:$M$5001,BD!$A$3:$A$5001,P$3,BD!$B$3:$B$5001,$A$341)))</f>
        <v/>
      </c>
      <c r="Q351" s="254" t="str">
        <f>IF(Q$3="","",IF(COUNTIFS(BD!$A$3:$A$5001,Q$3,BD!$B$3:$B$5001,$A$341,BD!$M$3:$M$5001,"&lt;&gt;")=0,"",SUMIFS(BD!$M$3:$M$5001,BD!$A$3:$A$5001,Q$3,BD!$B$3:$B$5001,$A$341)))</f>
        <v/>
      </c>
      <c r="R351" s="254" t="str">
        <f>IF(R$3="","",IF(COUNTIFS(BD!$A$3:$A$5001,R$3,BD!$B$3:$B$5001,$A$341,BD!$M$3:$M$5001,"&lt;&gt;")=0,"",SUMIFS(BD!$M$3:$M$5001,BD!$A$3:$A$5001,R$3,BD!$B$3:$B$5001,$A$341)))</f>
        <v/>
      </c>
      <c r="S351" s="254" t="str">
        <f>IF(S$3="","",IF(COUNTIFS(BD!$A$3:$A$5001,S$3,BD!$B$3:$B$5001,$A$341,BD!$M$3:$M$5001,"&lt;&gt;")=0,"",SUMIFS(BD!$M$3:$M$5001,BD!$A$3:$A$5001,S$3,BD!$B$3:$B$5001,$A$341)))</f>
        <v/>
      </c>
      <c r="T351" s="254" t="str">
        <f>IF(T$3="","",IF(COUNTIFS(BD!$A$3:$A$5001,T$3,BD!$B$3:$B$5001,$A$341,BD!$M$3:$M$5001,"&lt;&gt;")=0,"",SUMIFS(BD!$M$3:$M$5001,BD!$A$3:$A$5001,T$3,BD!$B$3:$B$5001,$A$341)))</f>
        <v/>
      </c>
      <c r="U351" s="254" t="str">
        <f>IF(U$3="","",IF(COUNTIFS(BD!$A$3:$A$5001,U$3,BD!$B$3:$B$5001,$A$341,BD!$M$3:$M$5001,"&lt;&gt;")=0,"",SUMIFS(BD!$M$3:$M$5001,BD!$A$3:$A$5001,U$3,BD!$B$3:$B$5001,$A$341)))</f>
        <v/>
      </c>
      <c r="V351" s="254" t="str">
        <f>IF(V$3="","",IF(COUNTIFS(BD!$A$3:$A$5001,V$3,BD!$B$3:$B$5001,$A$341,BD!$M$3:$M$5001,"&lt;&gt;")=0,"",SUMIFS(BD!$M$3:$M$5001,BD!$A$3:$A$5001,V$3,BD!$B$3:$B$5001,$A$341)))</f>
        <v/>
      </c>
      <c r="W351" s="254" t="str">
        <f>IF(W$3="","",IF(COUNTIFS(BD!$A$3:$A$5001,W$3,BD!$B$3:$B$5001,$A$341,BD!$M$3:$M$5001,"&lt;&gt;")=0,"",SUMIFS(BD!$M$3:$M$5001,BD!$A$3:$A$5001,W$3,BD!$B$3:$B$5001,$A$341)))</f>
        <v/>
      </c>
      <c r="X351" s="254" t="str">
        <f>IF(X$3="","",IF(COUNTIFS(BD!$A$3:$A$5001,X$3,BD!$B$3:$B$5001,$A$341,BD!$M$3:$M$5001,"&lt;&gt;")=0,"",SUMIFS(BD!$M$3:$M$5001,BD!$A$3:$A$5001,X$3,BD!$B$3:$B$5001,$A$341)))</f>
        <v/>
      </c>
      <c r="Y351" s="254" t="str">
        <f>IF(Y$3="","",IF(COUNTIFS(BD!$A$3:$A$5001,Y$3,BD!$B$3:$B$5001,$A$341,BD!$M$3:$M$5001,"&lt;&gt;")=0,"",SUMIFS(BD!$M$3:$M$5001,BD!$A$3:$A$5001,Y$3,BD!$B$3:$B$5001,$A$341)))</f>
        <v/>
      </c>
      <c r="Z351" s="254" t="str">
        <f>IF(Z$3="","",IF(COUNTIFS(BD!$A$3:$A$5001,Z$3,BD!$B$3:$B$5001,$A$341,BD!$M$3:$M$5001,"&lt;&gt;")=0,"",SUMIFS(BD!$M$3:$M$5001,BD!$A$3:$A$5001,Z$3,BD!$B$3:$B$5001,$A$341)))</f>
        <v/>
      </c>
      <c r="AA351" s="254" t="str">
        <f>IF(AA$3="","",IF(COUNTIFS(BD!$A$3:$A$5001,AA$3,BD!$B$3:$B$5001,$A$341,BD!$M$3:$M$5001,"&lt;&gt;")=0,"",SUMIFS(BD!$M$3:$M$5001,BD!$A$3:$A$5001,AA$3,BD!$B$3:$B$5001,$A$341)))</f>
        <v/>
      </c>
      <c r="AB351" s="254" t="str">
        <f>IF(AB$3="","",IF(COUNTIFS(BD!$A$3:$A$5001,AB$3,BD!$B$3:$B$5001,$A$341,BD!$M$3:$M$5001,"&lt;&gt;")=0,"",SUMIFS(BD!$M$3:$M$5001,BD!$A$3:$A$5001,AB$3,BD!$B$3:$B$5001,$A$341)))</f>
        <v/>
      </c>
      <c r="AC351" s="254" t="str">
        <f>IF(AC$3="","",IF(COUNTIFS(BD!$A$3:$A$5001,AC$3,BD!$B$3:$B$5001,$A$341,BD!$M$3:$M$5001,"&lt;&gt;")=0,"",SUMIFS(BD!$M$3:$M$5001,BD!$A$3:$A$5001,AC$3,BD!$B$3:$B$5001,$A$341)))</f>
        <v/>
      </c>
      <c r="AD351" s="254" t="str">
        <f>IF(AD$3="","",IF(COUNTIFS(BD!$A$3:$A$5001,AD$3,BD!$B$3:$B$5001,$A$341,BD!$M$3:$M$5001,"&lt;&gt;")=0,"",SUMIFS(BD!$M$3:$M$5001,BD!$A$3:$A$5001,AD$3,BD!$B$3:$B$5001,$A$341)))</f>
        <v/>
      </c>
      <c r="AE351" s="254" t="str">
        <f>IF(AE$3="","",IF(COUNTIFS(BD!$A$3:$A$5001,AE$3,BD!$B$3:$B$5001,$A$341,BD!$M$3:$M$5001,"&lt;&gt;")=0,"",SUMIFS(BD!$M$3:$M$5001,BD!$A$3:$A$5001,AE$3,BD!$B$3:$B$5001,$A$341)))</f>
        <v/>
      </c>
      <c r="AF351" s="254" t="str">
        <f>IF(AF$3="","",IF(COUNTIFS(BD!$A$3:$A$5001,AF$3,BD!$B$3:$B$5001,$A$341,BD!$M$3:$M$5001,"&lt;&gt;")=0,"",SUMIFS(BD!$M$3:$M$5001,BD!$A$3:$A$5001,AF$3,BD!$B$3:$B$5001,$A$341)))</f>
        <v/>
      </c>
      <c r="AG351" s="254" t="str">
        <f>IF(AG$3="","",IF(COUNTIFS(BD!$A$3:$A$5001,AG$3,BD!$B$3:$B$5001,$A$341,BD!$M$3:$M$5001,"&lt;&gt;")=0,"",SUMIFS(BD!$M$3:$M$5001,BD!$A$3:$A$5001,AG$3,BD!$B$3:$B$5001,$A$341)))</f>
        <v/>
      </c>
      <c r="AH351" s="254" t="str">
        <f>IF(AH$3="","",IF(COUNTIFS(BD!$A$3:$A$5001,AH$3,BD!$B$3:$B$5001,$A$341,BD!$M$3:$M$5001,"&lt;&gt;")=0,"",SUMIFS(BD!$M$3:$M$5001,BD!$A$3:$A$5001,AH$3,BD!$B$3:$B$5001,$A$341)))</f>
        <v/>
      </c>
      <c r="AI351" s="254" t="str">
        <f>IF(AI$3="","",IF(COUNTIFS(BD!$A$3:$A$5001,AI$3,BD!$B$3:$B$5001,$A$341,BD!$M$3:$M$5001,"&lt;&gt;")=0,"",SUMIFS(BD!$M$3:$M$5001,BD!$A$3:$A$5001,AI$3,BD!$B$3:$B$5001,$A$341)))</f>
        <v/>
      </c>
      <c r="AJ351" s="255" t="str">
        <f>IF(AJ$3="","",IF(COUNTIFS(BD!$A$3:$A$5001,AJ$3,BD!$B$3:$B$5001,$A$341,BD!$M$3:$M$5001,"&lt;&gt;")=0,"",SUMIFS(BD!$M$3:$M$5001,BD!$A$3:$A$5001,AJ$3,BD!$B$3:$B$5001,$A$341)))</f>
        <v/>
      </c>
      <c r="AK351" s="256" t="str">
        <f>IF(COUNT(F351:AJ351)=0,"",SUM(F351:AJ351))</f>
        <v/>
      </c>
    </row>
    <row r="352" ht="15.75" customHeight="1" hidden="1">
      <c r="A352" s="244"/>
      <c r="B352" s="261"/>
      <c r="C352" s="250" t="inlineStr">
        <is>
          <t xml:space="preserve">Pedidos Faturados</t>
        </is>
      </c>
      <c r="D352" s="251" t="str">
        <f>IFERROR(1/(1/INDEX(BD!$AJ$34:$BD$34,MATCH($A$341,BD!$AJ$22:$BD$22,0))),"")</f>
        <v/>
      </c>
      <c r="E352" s="252"/>
      <c r="F352" s="253" t="str">
        <f>IF(F$3="","",IF(COUNTIFS(BD!$A$3:$A$5001,F$3,BD!$B$3:$B$5001,$A$341,BD!$N$3:$N$5001,"&lt;&gt;")=0,"",SUMIFS(BD!$N$3:$N$5001,BD!$A$3:$A$5001,F$3,BD!$B$3:$B$5001,$A$341)))</f>
        <v/>
      </c>
      <c r="G352" s="254" t="str">
        <f>IF(G$3="","",IF(COUNTIFS(BD!$A$3:$A$5001,G$3,BD!$B$3:$B$5001,$A$341,BD!$N$3:$N$5001,"&lt;&gt;")=0,"",SUMIFS(BD!$N$3:$N$5001,BD!$A$3:$A$5001,G$3,BD!$B$3:$B$5001,$A$341)))</f>
        <v/>
      </c>
      <c r="H352" s="254" t="str">
        <f>IF(H$3="","",IF(COUNTIFS(BD!$A$3:$A$5001,H$3,BD!$B$3:$B$5001,$A$341,BD!$N$3:$N$5001,"&lt;&gt;")=0,"",SUMIFS(BD!$N$3:$N$5001,BD!$A$3:$A$5001,H$3,BD!$B$3:$B$5001,$A$341)))</f>
        <v/>
      </c>
      <c r="I352" s="254" t="str">
        <f>IF(I$3="","",IF(COUNTIFS(BD!$A$3:$A$5001,I$3,BD!$B$3:$B$5001,$A$341,BD!$N$3:$N$5001,"&lt;&gt;")=0,"",SUMIFS(BD!$N$3:$N$5001,BD!$A$3:$A$5001,I$3,BD!$B$3:$B$5001,$A$341)))</f>
        <v/>
      </c>
      <c r="J352" s="254" t="str">
        <f>IF(J$3="","",IF(COUNTIFS(BD!$A$3:$A$5001,J$3,BD!$B$3:$B$5001,$A$341,BD!$N$3:$N$5001,"&lt;&gt;")=0,"",SUMIFS(BD!$N$3:$N$5001,BD!$A$3:$A$5001,J$3,BD!$B$3:$B$5001,$A$341)))</f>
        <v/>
      </c>
      <c r="K352" s="254" t="str">
        <f>IF(K$3="","",IF(COUNTIFS(BD!$A$3:$A$5001,K$3,BD!$B$3:$B$5001,$A$341,BD!$N$3:$N$5001,"&lt;&gt;")=0,"",SUMIFS(BD!$N$3:$N$5001,BD!$A$3:$A$5001,K$3,BD!$B$3:$B$5001,$A$341)))</f>
        <v/>
      </c>
      <c r="L352" s="254" t="str">
        <f>IF(L$3="","",IF(COUNTIFS(BD!$A$3:$A$5001,L$3,BD!$B$3:$B$5001,$A$341,BD!$N$3:$N$5001,"&lt;&gt;")=0,"",SUMIFS(BD!$N$3:$N$5001,BD!$A$3:$A$5001,L$3,BD!$B$3:$B$5001,$A$341)))</f>
        <v/>
      </c>
      <c r="M352" s="254" t="str">
        <f>IF(M$3="","",IF(COUNTIFS(BD!$A$3:$A$5001,M$3,BD!$B$3:$B$5001,$A$341,BD!$N$3:$N$5001,"&lt;&gt;")=0,"",SUMIFS(BD!$N$3:$N$5001,BD!$A$3:$A$5001,M$3,BD!$B$3:$B$5001,$A$341)))</f>
        <v/>
      </c>
      <c r="N352" s="254" t="str">
        <f>IF(N$3="","",IF(COUNTIFS(BD!$A$3:$A$5001,N$3,BD!$B$3:$B$5001,$A$341,BD!$N$3:$N$5001,"&lt;&gt;")=0,"",SUMIFS(BD!$N$3:$N$5001,BD!$A$3:$A$5001,N$3,BD!$B$3:$B$5001,$A$341)))</f>
        <v/>
      </c>
      <c r="O352" s="254" t="str">
        <f>IF(O$3="","",IF(COUNTIFS(BD!$A$3:$A$5001,O$3,BD!$B$3:$B$5001,$A$341,BD!$N$3:$N$5001,"&lt;&gt;")=0,"",SUMIFS(BD!$N$3:$N$5001,BD!$A$3:$A$5001,O$3,BD!$B$3:$B$5001,$A$341)))</f>
        <v/>
      </c>
      <c r="P352" s="254" t="str">
        <f>IF(P$3="","",IF(COUNTIFS(BD!$A$3:$A$5001,P$3,BD!$B$3:$B$5001,$A$341,BD!$N$3:$N$5001,"&lt;&gt;")=0,"",SUMIFS(BD!$N$3:$N$5001,BD!$A$3:$A$5001,P$3,BD!$B$3:$B$5001,$A$341)))</f>
        <v/>
      </c>
      <c r="Q352" s="254" t="str">
        <f>IF(Q$3="","",IF(COUNTIFS(BD!$A$3:$A$5001,Q$3,BD!$B$3:$B$5001,$A$341,BD!$N$3:$N$5001,"&lt;&gt;")=0,"",SUMIFS(BD!$N$3:$N$5001,BD!$A$3:$A$5001,Q$3,BD!$B$3:$B$5001,$A$341)))</f>
        <v/>
      </c>
      <c r="R352" s="254" t="str">
        <f>IF(R$3="","",IF(COUNTIFS(BD!$A$3:$A$5001,R$3,BD!$B$3:$B$5001,$A$341,BD!$N$3:$N$5001,"&lt;&gt;")=0,"",SUMIFS(BD!$N$3:$N$5001,BD!$A$3:$A$5001,R$3,BD!$B$3:$B$5001,$A$341)))</f>
        <v/>
      </c>
      <c r="S352" s="254" t="str">
        <f>IF(S$3="","",IF(COUNTIFS(BD!$A$3:$A$5001,S$3,BD!$B$3:$B$5001,$A$341,BD!$N$3:$N$5001,"&lt;&gt;")=0,"",SUMIFS(BD!$N$3:$N$5001,BD!$A$3:$A$5001,S$3,BD!$B$3:$B$5001,$A$341)))</f>
        <v/>
      </c>
      <c r="T352" s="254" t="str">
        <f>IF(T$3="","",IF(COUNTIFS(BD!$A$3:$A$5001,T$3,BD!$B$3:$B$5001,$A$341,BD!$N$3:$N$5001,"&lt;&gt;")=0,"",SUMIFS(BD!$N$3:$N$5001,BD!$A$3:$A$5001,T$3,BD!$B$3:$B$5001,$A$341)))</f>
        <v/>
      </c>
      <c r="U352" s="254" t="str">
        <f>IF(U$3="","",IF(COUNTIFS(BD!$A$3:$A$5001,U$3,BD!$B$3:$B$5001,$A$341,BD!$N$3:$N$5001,"&lt;&gt;")=0,"",SUMIFS(BD!$N$3:$N$5001,BD!$A$3:$A$5001,U$3,BD!$B$3:$B$5001,$A$341)))</f>
        <v/>
      </c>
      <c r="V352" s="254" t="str">
        <f>IF(V$3="","",IF(COUNTIFS(BD!$A$3:$A$5001,V$3,BD!$B$3:$B$5001,$A$341,BD!$N$3:$N$5001,"&lt;&gt;")=0,"",SUMIFS(BD!$N$3:$N$5001,BD!$A$3:$A$5001,V$3,BD!$B$3:$B$5001,$A$341)))</f>
        <v/>
      </c>
      <c r="W352" s="254" t="str">
        <f>IF(W$3="","",IF(COUNTIFS(BD!$A$3:$A$5001,W$3,BD!$B$3:$B$5001,$A$341,BD!$N$3:$N$5001,"&lt;&gt;")=0,"",SUMIFS(BD!$N$3:$N$5001,BD!$A$3:$A$5001,W$3,BD!$B$3:$B$5001,$A$341)))</f>
        <v/>
      </c>
      <c r="X352" s="254" t="str">
        <f>IF(X$3="","",IF(COUNTIFS(BD!$A$3:$A$5001,X$3,BD!$B$3:$B$5001,$A$341,BD!$N$3:$N$5001,"&lt;&gt;")=0,"",SUMIFS(BD!$N$3:$N$5001,BD!$A$3:$A$5001,X$3,BD!$B$3:$B$5001,$A$341)))</f>
        <v/>
      </c>
      <c r="Y352" s="254" t="str">
        <f>IF(Y$3="","",IF(COUNTIFS(BD!$A$3:$A$5001,Y$3,BD!$B$3:$B$5001,$A$341,BD!$N$3:$N$5001,"&lt;&gt;")=0,"",SUMIFS(BD!$N$3:$N$5001,BD!$A$3:$A$5001,Y$3,BD!$B$3:$B$5001,$A$341)))</f>
        <v/>
      </c>
      <c r="Z352" s="254" t="str">
        <f>IF(Z$3="","",IF(COUNTIFS(BD!$A$3:$A$5001,Z$3,BD!$B$3:$B$5001,$A$341,BD!$N$3:$N$5001,"&lt;&gt;")=0,"",SUMIFS(BD!$N$3:$N$5001,BD!$A$3:$A$5001,Z$3,BD!$B$3:$B$5001,$A$341)))</f>
        <v/>
      </c>
      <c r="AA352" s="254" t="str">
        <f>IF(AA$3="","",IF(COUNTIFS(BD!$A$3:$A$5001,AA$3,BD!$B$3:$B$5001,$A$341,BD!$N$3:$N$5001,"&lt;&gt;")=0,"",SUMIFS(BD!$N$3:$N$5001,BD!$A$3:$A$5001,AA$3,BD!$B$3:$B$5001,$A$341)))</f>
        <v/>
      </c>
      <c r="AB352" s="254" t="str">
        <f>IF(AB$3="","",IF(COUNTIFS(BD!$A$3:$A$5001,AB$3,BD!$B$3:$B$5001,$A$341,BD!$N$3:$N$5001,"&lt;&gt;")=0,"",SUMIFS(BD!$N$3:$N$5001,BD!$A$3:$A$5001,AB$3,BD!$B$3:$B$5001,$A$341)))</f>
        <v/>
      </c>
      <c r="AC352" s="254" t="str">
        <f>IF(AC$3="","",IF(COUNTIFS(BD!$A$3:$A$5001,AC$3,BD!$B$3:$B$5001,$A$341,BD!$N$3:$N$5001,"&lt;&gt;")=0,"",SUMIFS(BD!$N$3:$N$5001,BD!$A$3:$A$5001,AC$3,BD!$B$3:$B$5001,$A$341)))</f>
        <v/>
      </c>
      <c r="AD352" s="254" t="str">
        <f>IF(AD$3="","",IF(COUNTIFS(BD!$A$3:$A$5001,AD$3,BD!$B$3:$B$5001,$A$341,BD!$N$3:$N$5001,"&lt;&gt;")=0,"",SUMIFS(BD!$N$3:$N$5001,BD!$A$3:$A$5001,AD$3,BD!$B$3:$B$5001,$A$341)))</f>
        <v/>
      </c>
      <c r="AE352" s="254" t="str">
        <f>IF(AE$3="","",IF(COUNTIFS(BD!$A$3:$A$5001,AE$3,BD!$B$3:$B$5001,$A$341,BD!$N$3:$N$5001,"&lt;&gt;")=0,"",SUMIFS(BD!$N$3:$N$5001,BD!$A$3:$A$5001,AE$3,BD!$B$3:$B$5001,$A$341)))</f>
        <v/>
      </c>
      <c r="AF352" s="254" t="str">
        <f>IF(AF$3="","",IF(COUNTIFS(BD!$A$3:$A$5001,AF$3,BD!$B$3:$B$5001,$A$341,BD!$N$3:$N$5001,"&lt;&gt;")=0,"",SUMIFS(BD!$N$3:$N$5001,BD!$A$3:$A$5001,AF$3,BD!$B$3:$B$5001,$A$341)))</f>
        <v/>
      </c>
      <c r="AG352" s="254" t="str">
        <f>IF(AG$3="","",IF(COUNTIFS(BD!$A$3:$A$5001,AG$3,BD!$B$3:$B$5001,$A$341,BD!$N$3:$N$5001,"&lt;&gt;")=0,"",SUMIFS(BD!$N$3:$N$5001,BD!$A$3:$A$5001,AG$3,BD!$B$3:$B$5001,$A$341)))</f>
        <v/>
      </c>
      <c r="AH352" s="254" t="str">
        <f>IF(AH$3="","",IF(COUNTIFS(BD!$A$3:$A$5001,AH$3,BD!$B$3:$B$5001,$A$341,BD!$N$3:$N$5001,"&lt;&gt;")=0,"",SUMIFS(BD!$N$3:$N$5001,BD!$A$3:$A$5001,AH$3,BD!$B$3:$B$5001,$A$341)))</f>
        <v/>
      </c>
      <c r="AI352" s="254" t="str">
        <f>IF(AI$3="","",IF(COUNTIFS(BD!$A$3:$A$5001,AI$3,BD!$B$3:$B$5001,$A$341,BD!$N$3:$N$5001,"&lt;&gt;")=0,"",SUMIFS(BD!$N$3:$N$5001,BD!$A$3:$A$5001,AI$3,BD!$B$3:$B$5001,$A$341)))</f>
        <v/>
      </c>
      <c r="AJ352" s="255" t="str">
        <f>IF(AJ$3="","",IF(COUNTIFS(BD!$A$3:$A$5001,AJ$3,BD!$B$3:$B$5001,$A$341,BD!$N$3:$N$5001,"&lt;&gt;")=0,"",SUMIFS(BD!$N$3:$N$5001,BD!$A$3:$A$5001,AJ$3,BD!$B$3:$B$5001,$A$341)))</f>
        <v/>
      </c>
      <c r="AK352" s="256" t="str">
        <f>IF(COUNT(F352:AJ352)=0,"",SUM(F352:AJ352))</f>
        <v/>
      </c>
    </row>
    <row r="353" ht="15.75" customHeight="1" hidden="1">
      <c r="A353" s="244"/>
      <c r="B353" s="261"/>
      <c r="C353" s="250" t="inlineStr">
        <is>
          <t xml:space="preserve">Itens Expedidos</t>
        </is>
      </c>
      <c r="D353" s="251" t="str">
        <f>IFERROR(1/(1/INDEX(BD!$AJ$35:$BD$35,MATCH($A$341,BD!$AJ$22:$BD$22,0))),"")</f>
        <v/>
      </c>
      <c r="E353" s="252"/>
      <c r="F353" s="253" t="str">
        <f>IF(F$3="","",IF(COUNTIFS(BD!$A$3:$A$5001,F$3,BD!$B$3:$B$5001,$A$341,BD!$O$3:$O$5001,"&lt;&gt;")=0,"",SUMIFS(BD!$O$3:$O$5001,BD!$A$3:$A$5001,F$3,BD!$B$3:$B$5001,$A$341)))</f>
        <v/>
      </c>
      <c r="G353" s="254" t="str">
        <f>IF(G$3="","",IF(COUNTIFS(BD!$A$3:$A$5001,G$3,BD!$B$3:$B$5001,$A$341,BD!$O$3:$O$5001,"&lt;&gt;")=0,"",SUMIFS(BD!$O$3:$O$5001,BD!$A$3:$A$5001,G$3,BD!$B$3:$B$5001,$A$341)))</f>
        <v/>
      </c>
      <c r="H353" s="254" t="str">
        <f>IF(H$3="","",IF(COUNTIFS(BD!$A$3:$A$5001,H$3,BD!$B$3:$B$5001,$A$341,BD!$O$3:$O$5001,"&lt;&gt;")=0,"",SUMIFS(BD!$O$3:$O$5001,BD!$A$3:$A$5001,H$3,BD!$B$3:$B$5001,$A$341)))</f>
        <v/>
      </c>
      <c r="I353" s="254" t="str">
        <f>IF(I$3="","",IF(COUNTIFS(BD!$A$3:$A$5001,I$3,BD!$B$3:$B$5001,$A$341,BD!$O$3:$O$5001,"&lt;&gt;")=0,"",SUMIFS(BD!$O$3:$O$5001,BD!$A$3:$A$5001,I$3,BD!$B$3:$B$5001,$A$341)))</f>
        <v/>
      </c>
      <c r="J353" s="254" t="str">
        <f>IF(J$3="","",IF(COUNTIFS(BD!$A$3:$A$5001,J$3,BD!$B$3:$B$5001,$A$341,BD!$O$3:$O$5001,"&lt;&gt;")=0,"",SUMIFS(BD!$O$3:$O$5001,BD!$A$3:$A$5001,J$3,BD!$B$3:$B$5001,$A$341)))</f>
        <v/>
      </c>
      <c r="K353" s="254" t="str">
        <f>IF(K$3="","",IF(COUNTIFS(BD!$A$3:$A$5001,K$3,BD!$B$3:$B$5001,$A$341,BD!$O$3:$O$5001,"&lt;&gt;")=0,"",SUMIFS(BD!$O$3:$O$5001,BD!$A$3:$A$5001,K$3,BD!$B$3:$B$5001,$A$341)))</f>
        <v/>
      </c>
      <c r="L353" s="254" t="str">
        <f>IF(L$3="","",IF(COUNTIFS(BD!$A$3:$A$5001,L$3,BD!$B$3:$B$5001,$A$341,BD!$O$3:$O$5001,"&lt;&gt;")=0,"",SUMIFS(BD!$O$3:$O$5001,BD!$A$3:$A$5001,L$3,BD!$B$3:$B$5001,$A$341)))</f>
        <v/>
      </c>
      <c r="M353" s="254" t="str">
        <f>IF(M$3="","",IF(COUNTIFS(BD!$A$3:$A$5001,M$3,BD!$B$3:$B$5001,$A$341,BD!$O$3:$O$5001,"&lt;&gt;")=0,"",SUMIFS(BD!$O$3:$O$5001,BD!$A$3:$A$5001,M$3,BD!$B$3:$B$5001,$A$341)))</f>
        <v/>
      </c>
      <c r="N353" s="254" t="str">
        <f>IF(N$3="","",IF(COUNTIFS(BD!$A$3:$A$5001,N$3,BD!$B$3:$B$5001,$A$341,BD!$O$3:$O$5001,"&lt;&gt;")=0,"",SUMIFS(BD!$O$3:$O$5001,BD!$A$3:$A$5001,N$3,BD!$B$3:$B$5001,$A$341)))</f>
        <v/>
      </c>
      <c r="O353" s="254" t="str">
        <f>IF(O$3="","",IF(COUNTIFS(BD!$A$3:$A$5001,O$3,BD!$B$3:$B$5001,$A$341,BD!$O$3:$O$5001,"&lt;&gt;")=0,"",SUMIFS(BD!$O$3:$O$5001,BD!$A$3:$A$5001,O$3,BD!$B$3:$B$5001,$A$341)))</f>
        <v/>
      </c>
      <c r="P353" s="254" t="str">
        <f>IF(P$3="","",IF(COUNTIFS(BD!$A$3:$A$5001,P$3,BD!$B$3:$B$5001,$A$341,BD!$O$3:$O$5001,"&lt;&gt;")=0,"",SUMIFS(BD!$O$3:$O$5001,BD!$A$3:$A$5001,P$3,BD!$B$3:$B$5001,$A$341)))</f>
        <v/>
      </c>
      <c r="Q353" s="254" t="str">
        <f>IF(Q$3="","",IF(COUNTIFS(BD!$A$3:$A$5001,Q$3,BD!$B$3:$B$5001,$A$341,BD!$O$3:$O$5001,"&lt;&gt;")=0,"",SUMIFS(BD!$O$3:$O$5001,BD!$A$3:$A$5001,Q$3,BD!$B$3:$B$5001,$A$341)))</f>
        <v/>
      </c>
      <c r="R353" s="254" t="str">
        <f>IF(R$3="","",IF(COUNTIFS(BD!$A$3:$A$5001,R$3,BD!$B$3:$B$5001,$A$341,BD!$O$3:$O$5001,"&lt;&gt;")=0,"",SUMIFS(BD!$O$3:$O$5001,BD!$A$3:$A$5001,R$3,BD!$B$3:$B$5001,$A$341)))</f>
        <v/>
      </c>
      <c r="S353" s="254" t="str">
        <f>IF(S$3="","",IF(COUNTIFS(BD!$A$3:$A$5001,S$3,BD!$B$3:$B$5001,$A$341,BD!$O$3:$O$5001,"&lt;&gt;")=0,"",SUMIFS(BD!$O$3:$O$5001,BD!$A$3:$A$5001,S$3,BD!$B$3:$B$5001,$A$341)))</f>
        <v/>
      </c>
      <c r="T353" s="254" t="str">
        <f>IF(T$3="","",IF(COUNTIFS(BD!$A$3:$A$5001,T$3,BD!$B$3:$B$5001,$A$341,BD!$O$3:$O$5001,"&lt;&gt;")=0,"",SUMIFS(BD!$O$3:$O$5001,BD!$A$3:$A$5001,T$3,BD!$B$3:$B$5001,$A$341)))</f>
        <v/>
      </c>
      <c r="U353" s="254" t="str">
        <f>IF(U$3="","",IF(COUNTIFS(BD!$A$3:$A$5001,U$3,BD!$B$3:$B$5001,$A$341,BD!$O$3:$O$5001,"&lt;&gt;")=0,"",SUMIFS(BD!$O$3:$O$5001,BD!$A$3:$A$5001,U$3,BD!$B$3:$B$5001,$A$341)))</f>
        <v/>
      </c>
      <c r="V353" s="254" t="str">
        <f>IF(V$3="","",IF(COUNTIFS(BD!$A$3:$A$5001,V$3,BD!$B$3:$B$5001,$A$341,BD!$O$3:$O$5001,"&lt;&gt;")=0,"",SUMIFS(BD!$O$3:$O$5001,BD!$A$3:$A$5001,V$3,BD!$B$3:$B$5001,$A$341)))</f>
        <v/>
      </c>
      <c r="W353" s="254" t="str">
        <f>IF(W$3="","",IF(COUNTIFS(BD!$A$3:$A$5001,W$3,BD!$B$3:$B$5001,$A$341,BD!$O$3:$O$5001,"&lt;&gt;")=0,"",SUMIFS(BD!$O$3:$O$5001,BD!$A$3:$A$5001,W$3,BD!$B$3:$B$5001,$A$341)))</f>
        <v/>
      </c>
      <c r="X353" s="254" t="str">
        <f>IF(X$3="","",IF(COUNTIFS(BD!$A$3:$A$5001,X$3,BD!$B$3:$B$5001,$A$341,BD!$O$3:$O$5001,"&lt;&gt;")=0,"",SUMIFS(BD!$O$3:$O$5001,BD!$A$3:$A$5001,X$3,BD!$B$3:$B$5001,$A$341)))</f>
        <v/>
      </c>
      <c r="Y353" s="254" t="str">
        <f>IF(Y$3="","",IF(COUNTIFS(BD!$A$3:$A$5001,Y$3,BD!$B$3:$B$5001,$A$341,BD!$O$3:$O$5001,"&lt;&gt;")=0,"",SUMIFS(BD!$O$3:$O$5001,BD!$A$3:$A$5001,Y$3,BD!$B$3:$B$5001,$A$341)))</f>
        <v/>
      </c>
      <c r="Z353" s="254" t="str">
        <f>IF(Z$3="","",IF(COUNTIFS(BD!$A$3:$A$5001,Z$3,BD!$B$3:$B$5001,$A$341,BD!$O$3:$O$5001,"&lt;&gt;")=0,"",SUMIFS(BD!$O$3:$O$5001,BD!$A$3:$A$5001,Z$3,BD!$B$3:$B$5001,$A$341)))</f>
        <v/>
      </c>
      <c r="AA353" s="254" t="str">
        <f>IF(AA$3="","",IF(COUNTIFS(BD!$A$3:$A$5001,AA$3,BD!$B$3:$B$5001,$A$341,BD!$O$3:$O$5001,"&lt;&gt;")=0,"",SUMIFS(BD!$O$3:$O$5001,BD!$A$3:$A$5001,AA$3,BD!$B$3:$B$5001,$A$341)))</f>
        <v/>
      </c>
      <c r="AB353" s="254" t="str">
        <f>IF(AB$3="","",IF(COUNTIFS(BD!$A$3:$A$5001,AB$3,BD!$B$3:$B$5001,$A$341,BD!$O$3:$O$5001,"&lt;&gt;")=0,"",SUMIFS(BD!$O$3:$O$5001,BD!$A$3:$A$5001,AB$3,BD!$B$3:$B$5001,$A$341)))</f>
        <v/>
      </c>
      <c r="AC353" s="254" t="str">
        <f>IF(AC$3="","",IF(COUNTIFS(BD!$A$3:$A$5001,AC$3,BD!$B$3:$B$5001,$A$341,BD!$O$3:$O$5001,"&lt;&gt;")=0,"",SUMIFS(BD!$O$3:$O$5001,BD!$A$3:$A$5001,AC$3,BD!$B$3:$B$5001,$A$341)))</f>
        <v/>
      </c>
      <c r="AD353" s="254" t="str">
        <f>IF(AD$3="","",IF(COUNTIFS(BD!$A$3:$A$5001,AD$3,BD!$B$3:$B$5001,$A$341,BD!$O$3:$O$5001,"&lt;&gt;")=0,"",SUMIFS(BD!$O$3:$O$5001,BD!$A$3:$A$5001,AD$3,BD!$B$3:$B$5001,$A$341)))</f>
        <v/>
      </c>
      <c r="AE353" s="254" t="str">
        <f>IF(AE$3="","",IF(COUNTIFS(BD!$A$3:$A$5001,AE$3,BD!$B$3:$B$5001,$A$341,BD!$O$3:$O$5001,"&lt;&gt;")=0,"",SUMIFS(BD!$O$3:$O$5001,BD!$A$3:$A$5001,AE$3,BD!$B$3:$B$5001,$A$341)))</f>
        <v/>
      </c>
      <c r="AF353" s="254" t="str">
        <f>IF(AF$3="","",IF(COUNTIFS(BD!$A$3:$A$5001,AF$3,BD!$B$3:$B$5001,$A$341,BD!$O$3:$O$5001,"&lt;&gt;")=0,"",SUMIFS(BD!$O$3:$O$5001,BD!$A$3:$A$5001,AF$3,BD!$B$3:$B$5001,$A$341)))</f>
        <v/>
      </c>
      <c r="AG353" s="254" t="str">
        <f>IF(AG$3="","",IF(COUNTIFS(BD!$A$3:$A$5001,AG$3,BD!$B$3:$B$5001,$A$341,BD!$O$3:$O$5001,"&lt;&gt;")=0,"",SUMIFS(BD!$O$3:$O$5001,BD!$A$3:$A$5001,AG$3,BD!$B$3:$B$5001,$A$341)))</f>
        <v/>
      </c>
      <c r="AH353" s="254" t="str">
        <f>IF(AH$3="","",IF(COUNTIFS(BD!$A$3:$A$5001,AH$3,BD!$B$3:$B$5001,$A$341,BD!$O$3:$O$5001,"&lt;&gt;")=0,"",SUMIFS(BD!$O$3:$O$5001,BD!$A$3:$A$5001,AH$3,BD!$B$3:$B$5001,$A$341)))</f>
        <v/>
      </c>
      <c r="AI353" s="254" t="str">
        <f>IF(AI$3="","",IF(COUNTIFS(BD!$A$3:$A$5001,AI$3,BD!$B$3:$B$5001,$A$341,BD!$O$3:$O$5001,"&lt;&gt;")=0,"",SUMIFS(BD!$O$3:$O$5001,BD!$A$3:$A$5001,AI$3,BD!$B$3:$B$5001,$A$341)))</f>
        <v/>
      </c>
      <c r="AJ353" s="255" t="str">
        <f>IF(AJ$3="","",IF(COUNTIFS(BD!$A$3:$A$5001,AJ$3,BD!$B$3:$B$5001,$A$341,BD!$O$3:$O$5001,"&lt;&gt;")=0,"",SUMIFS(BD!$O$3:$O$5001,BD!$A$3:$A$5001,AJ$3,BD!$B$3:$B$5001,$A$341)))</f>
        <v/>
      </c>
      <c r="AK353" s="256" t="str">
        <f>IF(COUNT(F353:AJ353)=0,"",SUM(F353:AJ353))</f>
        <v/>
      </c>
    </row>
    <row r="354" ht="15.75" customHeight="1" hidden="1">
      <c r="A354" s="244"/>
      <c r="B354" s="261"/>
      <c r="C354" s="250" t="inlineStr">
        <is>
          <t xml:space="preserve">Linhas NF</t>
        </is>
      </c>
      <c r="D354" s="251" t="str">
        <f>IFERROR(1/(1/INDEX(BD!$AJ$36:$BD$36,MATCH($A$341,BD!$AJ$22:$BD$22,0))),"")</f>
        <v/>
      </c>
      <c r="E354" s="252"/>
      <c r="F354" s="253" t="str">
        <f>IF(F$3="","",IF(COUNTIFS(BD!$A$3:$A$5001,F$3,BD!$B$3:$B$5001,$A$341,BD!$P$3:$P$5001,"&lt;&gt;")=0,"",SUMIFS(BD!$P$3:$P$5001,BD!$A$3:$A$5001,F$3,BD!$B$3:$B$5001,$A$341)))</f>
        <v/>
      </c>
      <c r="G354" s="254" t="str">
        <f>IF(G$3="","",IF(COUNTIFS(BD!$A$3:$A$5001,G$3,BD!$B$3:$B$5001,$A$341,BD!$P$3:$P$5001,"&lt;&gt;")=0,"",SUMIFS(BD!$P$3:$P$5001,BD!$A$3:$A$5001,G$3,BD!$B$3:$B$5001,$A$341)))</f>
        <v/>
      </c>
      <c r="H354" s="254" t="str">
        <f>IF(H$3="","",IF(COUNTIFS(BD!$A$3:$A$5001,H$3,BD!$B$3:$B$5001,$A$341,BD!$P$3:$P$5001,"&lt;&gt;")=0,"",SUMIFS(BD!$P$3:$P$5001,BD!$A$3:$A$5001,H$3,BD!$B$3:$B$5001,$A$341)))</f>
        <v/>
      </c>
      <c r="I354" s="254" t="str">
        <f>IF(I$3="","",IF(COUNTIFS(BD!$A$3:$A$5001,I$3,BD!$B$3:$B$5001,$A$341,BD!$P$3:$P$5001,"&lt;&gt;")=0,"",SUMIFS(BD!$P$3:$P$5001,BD!$A$3:$A$5001,I$3,BD!$B$3:$B$5001,$A$341)))</f>
        <v/>
      </c>
      <c r="J354" s="254" t="str">
        <f>IF(J$3="","",IF(COUNTIFS(BD!$A$3:$A$5001,J$3,BD!$B$3:$B$5001,$A$341,BD!$P$3:$P$5001,"&lt;&gt;")=0,"",SUMIFS(BD!$P$3:$P$5001,BD!$A$3:$A$5001,J$3,BD!$B$3:$B$5001,$A$341)))</f>
        <v/>
      </c>
      <c r="K354" s="254" t="str">
        <f>IF(K$3="","",IF(COUNTIFS(BD!$A$3:$A$5001,K$3,BD!$B$3:$B$5001,$A$341,BD!$P$3:$P$5001,"&lt;&gt;")=0,"",SUMIFS(BD!$P$3:$P$5001,BD!$A$3:$A$5001,K$3,BD!$B$3:$B$5001,$A$341)))</f>
        <v/>
      </c>
      <c r="L354" s="254" t="str">
        <f>IF(L$3="","",IF(COUNTIFS(BD!$A$3:$A$5001,L$3,BD!$B$3:$B$5001,$A$341,BD!$P$3:$P$5001,"&lt;&gt;")=0,"",SUMIFS(BD!$P$3:$P$5001,BD!$A$3:$A$5001,L$3,BD!$B$3:$B$5001,$A$341)))</f>
        <v/>
      </c>
      <c r="M354" s="254" t="str">
        <f>IF(M$3="","",IF(COUNTIFS(BD!$A$3:$A$5001,M$3,BD!$B$3:$B$5001,$A$341,BD!$P$3:$P$5001,"&lt;&gt;")=0,"",SUMIFS(BD!$P$3:$P$5001,BD!$A$3:$A$5001,M$3,BD!$B$3:$B$5001,$A$341)))</f>
        <v/>
      </c>
      <c r="N354" s="254" t="str">
        <f>IF(N$3="","",IF(COUNTIFS(BD!$A$3:$A$5001,N$3,BD!$B$3:$B$5001,$A$341,BD!$P$3:$P$5001,"&lt;&gt;")=0,"",SUMIFS(BD!$P$3:$P$5001,BD!$A$3:$A$5001,N$3,BD!$B$3:$B$5001,$A$341)))</f>
        <v/>
      </c>
      <c r="O354" s="254" t="str">
        <f>IF(O$3="","",IF(COUNTIFS(BD!$A$3:$A$5001,O$3,BD!$B$3:$B$5001,$A$341,BD!$P$3:$P$5001,"&lt;&gt;")=0,"",SUMIFS(BD!$P$3:$P$5001,BD!$A$3:$A$5001,O$3,BD!$B$3:$B$5001,$A$341)))</f>
        <v/>
      </c>
      <c r="P354" s="254" t="str">
        <f>IF(P$3="","",IF(COUNTIFS(BD!$A$3:$A$5001,P$3,BD!$B$3:$B$5001,$A$341,BD!$P$3:$P$5001,"&lt;&gt;")=0,"",SUMIFS(BD!$P$3:$P$5001,BD!$A$3:$A$5001,P$3,BD!$B$3:$B$5001,$A$341)))</f>
        <v/>
      </c>
      <c r="Q354" s="254" t="str">
        <f>IF(Q$3="","",IF(COUNTIFS(BD!$A$3:$A$5001,Q$3,BD!$B$3:$B$5001,$A$341,BD!$P$3:$P$5001,"&lt;&gt;")=0,"",SUMIFS(BD!$P$3:$P$5001,BD!$A$3:$A$5001,Q$3,BD!$B$3:$B$5001,$A$341)))</f>
        <v/>
      </c>
      <c r="R354" s="254" t="str">
        <f>IF(R$3="","",IF(COUNTIFS(BD!$A$3:$A$5001,R$3,BD!$B$3:$B$5001,$A$341,BD!$P$3:$P$5001,"&lt;&gt;")=0,"",SUMIFS(BD!$P$3:$P$5001,BD!$A$3:$A$5001,R$3,BD!$B$3:$B$5001,$A$341)))</f>
        <v/>
      </c>
      <c r="S354" s="254" t="str">
        <f>IF(S$3="","",IF(COUNTIFS(BD!$A$3:$A$5001,S$3,BD!$B$3:$B$5001,$A$341,BD!$P$3:$P$5001,"&lt;&gt;")=0,"",SUMIFS(BD!$P$3:$P$5001,BD!$A$3:$A$5001,S$3,BD!$B$3:$B$5001,$A$341)))</f>
        <v/>
      </c>
      <c r="T354" s="254" t="str">
        <f>IF(T$3="","",IF(COUNTIFS(BD!$A$3:$A$5001,T$3,BD!$B$3:$B$5001,$A$341,BD!$P$3:$P$5001,"&lt;&gt;")=0,"",SUMIFS(BD!$P$3:$P$5001,BD!$A$3:$A$5001,T$3,BD!$B$3:$B$5001,$A$341)))</f>
        <v/>
      </c>
      <c r="U354" s="254" t="str">
        <f>IF(U$3="","",IF(COUNTIFS(BD!$A$3:$A$5001,U$3,BD!$B$3:$B$5001,$A$341,BD!$P$3:$P$5001,"&lt;&gt;")=0,"",SUMIFS(BD!$P$3:$P$5001,BD!$A$3:$A$5001,U$3,BD!$B$3:$B$5001,$A$341)))</f>
        <v/>
      </c>
      <c r="V354" s="254" t="str">
        <f>IF(V$3="","",IF(COUNTIFS(BD!$A$3:$A$5001,V$3,BD!$B$3:$B$5001,$A$341,BD!$P$3:$P$5001,"&lt;&gt;")=0,"",SUMIFS(BD!$P$3:$P$5001,BD!$A$3:$A$5001,V$3,BD!$B$3:$B$5001,$A$341)))</f>
        <v/>
      </c>
      <c r="W354" s="254" t="str">
        <f>IF(W$3="","",IF(COUNTIFS(BD!$A$3:$A$5001,W$3,BD!$B$3:$B$5001,$A$341,BD!$P$3:$P$5001,"&lt;&gt;")=0,"",SUMIFS(BD!$P$3:$P$5001,BD!$A$3:$A$5001,W$3,BD!$B$3:$B$5001,$A$341)))</f>
        <v/>
      </c>
      <c r="X354" s="254" t="str">
        <f>IF(X$3="","",IF(COUNTIFS(BD!$A$3:$A$5001,X$3,BD!$B$3:$B$5001,$A$341,BD!$P$3:$P$5001,"&lt;&gt;")=0,"",SUMIFS(BD!$P$3:$P$5001,BD!$A$3:$A$5001,X$3,BD!$B$3:$B$5001,$A$341)))</f>
        <v/>
      </c>
      <c r="Y354" s="254" t="str">
        <f>IF(Y$3="","",IF(COUNTIFS(BD!$A$3:$A$5001,Y$3,BD!$B$3:$B$5001,$A$341,BD!$P$3:$P$5001,"&lt;&gt;")=0,"",SUMIFS(BD!$P$3:$P$5001,BD!$A$3:$A$5001,Y$3,BD!$B$3:$B$5001,$A$341)))</f>
        <v/>
      </c>
      <c r="Z354" s="254" t="str">
        <f>IF(Z$3="","",IF(COUNTIFS(BD!$A$3:$A$5001,Z$3,BD!$B$3:$B$5001,$A$341,BD!$P$3:$P$5001,"&lt;&gt;")=0,"",SUMIFS(BD!$P$3:$P$5001,BD!$A$3:$A$5001,Z$3,BD!$B$3:$B$5001,$A$341)))</f>
        <v/>
      </c>
      <c r="AA354" s="254" t="str">
        <f>IF(AA$3="","",IF(COUNTIFS(BD!$A$3:$A$5001,AA$3,BD!$B$3:$B$5001,$A$341,BD!$P$3:$P$5001,"&lt;&gt;")=0,"",SUMIFS(BD!$P$3:$P$5001,BD!$A$3:$A$5001,AA$3,BD!$B$3:$B$5001,$A$341)))</f>
        <v/>
      </c>
      <c r="AB354" s="254" t="str">
        <f>IF(AB$3="","",IF(COUNTIFS(BD!$A$3:$A$5001,AB$3,BD!$B$3:$B$5001,$A$341,BD!$P$3:$P$5001,"&lt;&gt;")=0,"",SUMIFS(BD!$P$3:$P$5001,BD!$A$3:$A$5001,AB$3,BD!$B$3:$B$5001,$A$341)))</f>
        <v/>
      </c>
      <c r="AC354" s="254" t="str">
        <f>IF(AC$3="","",IF(COUNTIFS(BD!$A$3:$A$5001,AC$3,BD!$B$3:$B$5001,$A$341,BD!$P$3:$P$5001,"&lt;&gt;")=0,"",SUMIFS(BD!$P$3:$P$5001,BD!$A$3:$A$5001,AC$3,BD!$B$3:$B$5001,$A$341)))</f>
        <v/>
      </c>
      <c r="AD354" s="254" t="str">
        <f>IF(AD$3="","",IF(COUNTIFS(BD!$A$3:$A$5001,AD$3,BD!$B$3:$B$5001,$A$341,BD!$P$3:$P$5001,"&lt;&gt;")=0,"",SUMIFS(BD!$P$3:$P$5001,BD!$A$3:$A$5001,AD$3,BD!$B$3:$B$5001,$A$341)))</f>
        <v/>
      </c>
      <c r="AE354" s="254" t="str">
        <f>IF(AE$3="","",IF(COUNTIFS(BD!$A$3:$A$5001,AE$3,BD!$B$3:$B$5001,$A$341,BD!$P$3:$P$5001,"&lt;&gt;")=0,"",SUMIFS(BD!$P$3:$P$5001,BD!$A$3:$A$5001,AE$3,BD!$B$3:$B$5001,$A$341)))</f>
        <v/>
      </c>
      <c r="AF354" s="254" t="str">
        <f>IF(AF$3="","",IF(COUNTIFS(BD!$A$3:$A$5001,AF$3,BD!$B$3:$B$5001,$A$341,BD!$P$3:$P$5001,"&lt;&gt;")=0,"",SUMIFS(BD!$P$3:$P$5001,BD!$A$3:$A$5001,AF$3,BD!$B$3:$B$5001,$A$341)))</f>
        <v/>
      </c>
      <c r="AG354" s="254" t="str">
        <f>IF(AG$3="","",IF(COUNTIFS(BD!$A$3:$A$5001,AG$3,BD!$B$3:$B$5001,$A$341,BD!$P$3:$P$5001,"&lt;&gt;")=0,"",SUMIFS(BD!$P$3:$P$5001,BD!$A$3:$A$5001,AG$3,BD!$B$3:$B$5001,$A$341)))</f>
        <v/>
      </c>
      <c r="AH354" s="254" t="str">
        <f>IF(AH$3="","",IF(COUNTIFS(BD!$A$3:$A$5001,AH$3,BD!$B$3:$B$5001,$A$341,BD!$P$3:$P$5001,"&lt;&gt;")=0,"",SUMIFS(BD!$P$3:$P$5001,BD!$A$3:$A$5001,AH$3,BD!$B$3:$B$5001,$A$341)))</f>
        <v/>
      </c>
      <c r="AI354" s="254" t="str">
        <f>IF(AI$3="","",IF(COUNTIFS(BD!$A$3:$A$5001,AI$3,BD!$B$3:$B$5001,$A$341,BD!$P$3:$P$5001,"&lt;&gt;")=0,"",SUMIFS(BD!$P$3:$P$5001,BD!$A$3:$A$5001,AI$3,BD!$B$3:$B$5001,$A$341)))</f>
        <v/>
      </c>
      <c r="AJ354" s="255" t="str">
        <f>IF(AJ$3="","",IF(COUNTIFS(BD!$A$3:$A$5001,AJ$3,BD!$B$3:$B$5001,$A$341,BD!$P$3:$P$5001,"&lt;&gt;")=0,"",SUMIFS(BD!$P$3:$P$5001,BD!$A$3:$A$5001,AJ$3,BD!$B$3:$B$5001,$A$341)))</f>
        <v/>
      </c>
      <c r="AK354" s="256" t="str">
        <f>IF(COUNT(F354:AJ354)=0,"",SUM(F354:AJ354))</f>
        <v/>
      </c>
    </row>
    <row r="355" ht="15.75" customHeight="1" hidden="1">
      <c r="A355" s="244"/>
      <c r="B355" s="261"/>
      <c r="C355" s="250" t="inlineStr">
        <is>
          <t xml:space="preserve">Caixas Expedidas</t>
        </is>
      </c>
      <c r="D355" s="251" t="str">
        <f>IFERROR(1/(1/INDEX(BD!$AJ$37:$BD$37,MATCH($A$341,BD!$AJ$22:$BD$22,0))),"")</f>
        <v/>
      </c>
      <c r="E355" s="252"/>
      <c r="F355" s="253" t="str">
        <f>IF(F$3="","",IF(COUNTIFS(BD!$A$3:$A$5001,F$3,BD!$B$3:$B$5001,$A$341,BD!$Q$3:$Q$5001,"&lt;&gt;")=0,"",SUMIFS(BD!$Q$3:$Q$5001,BD!$A$3:$A$5001,F$3,BD!$B$3:$B$5001,$A$341)))</f>
        <v/>
      </c>
      <c r="G355" s="254" t="str">
        <f>IF(G$3="","",IF(COUNTIFS(BD!$A$3:$A$5001,G$3,BD!$B$3:$B$5001,$A$341,BD!$Q$3:$Q$5001,"&lt;&gt;")=0,"",SUMIFS(BD!$Q$3:$Q$5001,BD!$A$3:$A$5001,G$3,BD!$B$3:$B$5001,$A$341)))</f>
        <v/>
      </c>
      <c r="H355" s="254" t="str">
        <f>IF(H$3="","",IF(COUNTIFS(BD!$A$3:$A$5001,H$3,BD!$B$3:$B$5001,$A$341,BD!$Q$3:$Q$5001,"&lt;&gt;")=0,"",SUMIFS(BD!$Q$3:$Q$5001,BD!$A$3:$A$5001,H$3,BD!$B$3:$B$5001,$A$341)))</f>
        <v/>
      </c>
      <c r="I355" s="254" t="str">
        <f>IF(I$3="","",IF(COUNTIFS(BD!$A$3:$A$5001,I$3,BD!$B$3:$B$5001,$A$341,BD!$Q$3:$Q$5001,"&lt;&gt;")=0,"",SUMIFS(BD!$Q$3:$Q$5001,BD!$A$3:$A$5001,I$3,BD!$B$3:$B$5001,$A$341)))</f>
        <v/>
      </c>
      <c r="J355" s="254" t="str">
        <f>IF(J$3="","",IF(COUNTIFS(BD!$A$3:$A$5001,J$3,BD!$B$3:$B$5001,$A$341,BD!$Q$3:$Q$5001,"&lt;&gt;")=0,"",SUMIFS(BD!$Q$3:$Q$5001,BD!$A$3:$A$5001,J$3,BD!$B$3:$B$5001,$A$341)))</f>
        <v/>
      </c>
      <c r="K355" s="254" t="str">
        <f>IF(K$3="","",IF(COUNTIFS(BD!$A$3:$A$5001,K$3,BD!$B$3:$B$5001,$A$341,BD!$Q$3:$Q$5001,"&lt;&gt;")=0,"",SUMIFS(BD!$Q$3:$Q$5001,BD!$A$3:$A$5001,K$3,BD!$B$3:$B$5001,$A$341)))</f>
        <v/>
      </c>
      <c r="L355" s="254" t="str">
        <f>IF(L$3="","",IF(COUNTIFS(BD!$A$3:$A$5001,L$3,BD!$B$3:$B$5001,$A$341,BD!$Q$3:$Q$5001,"&lt;&gt;")=0,"",SUMIFS(BD!$Q$3:$Q$5001,BD!$A$3:$A$5001,L$3,BD!$B$3:$B$5001,$A$341)))</f>
        <v/>
      </c>
      <c r="M355" s="254" t="str">
        <f>IF(M$3="","",IF(COUNTIFS(BD!$A$3:$A$5001,M$3,BD!$B$3:$B$5001,$A$341,BD!$Q$3:$Q$5001,"&lt;&gt;")=0,"",SUMIFS(BD!$Q$3:$Q$5001,BD!$A$3:$A$5001,M$3,BD!$B$3:$B$5001,$A$341)))</f>
        <v/>
      </c>
      <c r="N355" s="254" t="str">
        <f>IF(N$3="","",IF(COUNTIFS(BD!$A$3:$A$5001,N$3,BD!$B$3:$B$5001,$A$341,BD!$Q$3:$Q$5001,"&lt;&gt;")=0,"",SUMIFS(BD!$Q$3:$Q$5001,BD!$A$3:$A$5001,N$3,BD!$B$3:$B$5001,$A$341)))</f>
        <v/>
      </c>
      <c r="O355" s="254" t="str">
        <f>IF(O$3="","",IF(COUNTIFS(BD!$A$3:$A$5001,O$3,BD!$B$3:$B$5001,$A$341,BD!$Q$3:$Q$5001,"&lt;&gt;")=0,"",SUMIFS(BD!$Q$3:$Q$5001,BD!$A$3:$A$5001,O$3,BD!$B$3:$B$5001,$A$341)))</f>
        <v/>
      </c>
      <c r="P355" s="254" t="str">
        <f>IF(P$3="","",IF(COUNTIFS(BD!$A$3:$A$5001,P$3,BD!$B$3:$B$5001,$A$341,BD!$Q$3:$Q$5001,"&lt;&gt;")=0,"",SUMIFS(BD!$Q$3:$Q$5001,BD!$A$3:$A$5001,P$3,BD!$B$3:$B$5001,$A$341)))</f>
        <v/>
      </c>
      <c r="Q355" s="254" t="str">
        <f>IF(Q$3="","",IF(COUNTIFS(BD!$A$3:$A$5001,Q$3,BD!$B$3:$B$5001,$A$341,BD!$Q$3:$Q$5001,"&lt;&gt;")=0,"",SUMIFS(BD!$Q$3:$Q$5001,BD!$A$3:$A$5001,Q$3,BD!$B$3:$B$5001,$A$341)))</f>
        <v/>
      </c>
      <c r="R355" s="254" t="str">
        <f>IF(R$3="","",IF(COUNTIFS(BD!$A$3:$A$5001,R$3,BD!$B$3:$B$5001,$A$341,BD!$Q$3:$Q$5001,"&lt;&gt;")=0,"",SUMIFS(BD!$Q$3:$Q$5001,BD!$A$3:$A$5001,R$3,BD!$B$3:$B$5001,$A$341)))</f>
        <v/>
      </c>
      <c r="S355" s="254" t="str">
        <f>IF(S$3="","",IF(COUNTIFS(BD!$A$3:$A$5001,S$3,BD!$B$3:$B$5001,$A$341,BD!$Q$3:$Q$5001,"&lt;&gt;")=0,"",SUMIFS(BD!$Q$3:$Q$5001,BD!$A$3:$A$5001,S$3,BD!$B$3:$B$5001,$A$341)))</f>
        <v/>
      </c>
      <c r="T355" s="254" t="str">
        <f>IF(T$3="","",IF(COUNTIFS(BD!$A$3:$A$5001,T$3,BD!$B$3:$B$5001,$A$341,BD!$Q$3:$Q$5001,"&lt;&gt;")=0,"",SUMIFS(BD!$Q$3:$Q$5001,BD!$A$3:$A$5001,T$3,BD!$B$3:$B$5001,$A$341)))</f>
        <v/>
      </c>
      <c r="U355" s="254" t="str">
        <f>IF(U$3="","",IF(COUNTIFS(BD!$A$3:$A$5001,U$3,BD!$B$3:$B$5001,$A$341,BD!$Q$3:$Q$5001,"&lt;&gt;")=0,"",SUMIFS(BD!$Q$3:$Q$5001,BD!$A$3:$A$5001,U$3,BD!$B$3:$B$5001,$A$341)))</f>
        <v/>
      </c>
      <c r="V355" s="254" t="str">
        <f>IF(V$3="","",IF(COUNTIFS(BD!$A$3:$A$5001,V$3,BD!$B$3:$B$5001,$A$341,BD!$Q$3:$Q$5001,"&lt;&gt;")=0,"",SUMIFS(BD!$Q$3:$Q$5001,BD!$A$3:$A$5001,V$3,BD!$B$3:$B$5001,$A$341)))</f>
        <v/>
      </c>
      <c r="W355" s="254" t="str">
        <f>IF(W$3="","",IF(COUNTIFS(BD!$A$3:$A$5001,W$3,BD!$B$3:$B$5001,$A$341,BD!$Q$3:$Q$5001,"&lt;&gt;")=0,"",SUMIFS(BD!$Q$3:$Q$5001,BD!$A$3:$A$5001,W$3,BD!$B$3:$B$5001,$A$341)))</f>
        <v/>
      </c>
      <c r="X355" s="254" t="str">
        <f>IF(X$3="","",IF(COUNTIFS(BD!$A$3:$A$5001,X$3,BD!$B$3:$B$5001,$A$341,BD!$Q$3:$Q$5001,"&lt;&gt;")=0,"",SUMIFS(BD!$Q$3:$Q$5001,BD!$A$3:$A$5001,X$3,BD!$B$3:$B$5001,$A$341)))</f>
        <v/>
      </c>
      <c r="Y355" s="254" t="str">
        <f>IF(Y$3="","",IF(COUNTIFS(BD!$A$3:$A$5001,Y$3,BD!$B$3:$B$5001,$A$341,BD!$Q$3:$Q$5001,"&lt;&gt;")=0,"",SUMIFS(BD!$Q$3:$Q$5001,BD!$A$3:$A$5001,Y$3,BD!$B$3:$B$5001,$A$341)))</f>
        <v/>
      </c>
      <c r="Z355" s="254" t="str">
        <f>IF(Z$3="","",IF(COUNTIFS(BD!$A$3:$A$5001,Z$3,BD!$B$3:$B$5001,$A$341,BD!$Q$3:$Q$5001,"&lt;&gt;")=0,"",SUMIFS(BD!$Q$3:$Q$5001,BD!$A$3:$A$5001,Z$3,BD!$B$3:$B$5001,$A$341)))</f>
        <v/>
      </c>
      <c r="AA355" s="254" t="str">
        <f>IF(AA$3="","",IF(COUNTIFS(BD!$A$3:$A$5001,AA$3,BD!$B$3:$B$5001,$A$341,BD!$Q$3:$Q$5001,"&lt;&gt;")=0,"",SUMIFS(BD!$Q$3:$Q$5001,BD!$A$3:$A$5001,AA$3,BD!$B$3:$B$5001,$A$341)))</f>
        <v/>
      </c>
      <c r="AB355" s="254" t="str">
        <f>IF(AB$3="","",IF(COUNTIFS(BD!$A$3:$A$5001,AB$3,BD!$B$3:$B$5001,$A$341,BD!$Q$3:$Q$5001,"&lt;&gt;")=0,"",SUMIFS(BD!$Q$3:$Q$5001,BD!$A$3:$A$5001,AB$3,BD!$B$3:$B$5001,$A$341)))</f>
        <v/>
      </c>
      <c r="AC355" s="254" t="str">
        <f>IF(AC$3="","",IF(COUNTIFS(BD!$A$3:$A$5001,AC$3,BD!$B$3:$B$5001,$A$341,BD!$Q$3:$Q$5001,"&lt;&gt;")=0,"",SUMIFS(BD!$Q$3:$Q$5001,BD!$A$3:$A$5001,AC$3,BD!$B$3:$B$5001,$A$341)))</f>
        <v/>
      </c>
      <c r="AD355" s="254" t="str">
        <f>IF(AD$3="","",IF(COUNTIFS(BD!$A$3:$A$5001,AD$3,BD!$B$3:$B$5001,$A$341,BD!$Q$3:$Q$5001,"&lt;&gt;")=0,"",SUMIFS(BD!$Q$3:$Q$5001,BD!$A$3:$A$5001,AD$3,BD!$B$3:$B$5001,$A$341)))</f>
        <v/>
      </c>
      <c r="AE355" s="254" t="str">
        <f>IF(AE$3="","",IF(COUNTIFS(BD!$A$3:$A$5001,AE$3,BD!$B$3:$B$5001,$A$341,BD!$Q$3:$Q$5001,"&lt;&gt;")=0,"",SUMIFS(BD!$Q$3:$Q$5001,BD!$A$3:$A$5001,AE$3,BD!$B$3:$B$5001,$A$341)))</f>
        <v/>
      </c>
      <c r="AF355" s="254" t="str">
        <f>IF(AF$3="","",IF(COUNTIFS(BD!$A$3:$A$5001,AF$3,BD!$B$3:$B$5001,$A$341,BD!$Q$3:$Q$5001,"&lt;&gt;")=0,"",SUMIFS(BD!$Q$3:$Q$5001,BD!$A$3:$A$5001,AF$3,BD!$B$3:$B$5001,$A$341)))</f>
        <v/>
      </c>
      <c r="AG355" s="254" t="str">
        <f>IF(AG$3="","",IF(COUNTIFS(BD!$A$3:$A$5001,AG$3,BD!$B$3:$B$5001,$A$341,BD!$Q$3:$Q$5001,"&lt;&gt;")=0,"",SUMIFS(BD!$Q$3:$Q$5001,BD!$A$3:$A$5001,AG$3,BD!$B$3:$B$5001,$A$341)))</f>
        <v/>
      </c>
      <c r="AH355" s="254" t="str">
        <f>IF(AH$3="","",IF(COUNTIFS(BD!$A$3:$A$5001,AH$3,BD!$B$3:$B$5001,$A$341,BD!$Q$3:$Q$5001,"&lt;&gt;")=0,"",SUMIFS(BD!$Q$3:$Q$5001,BD!$A$3:$A$5001,AH$3,BD!$B$3:$B$5001,$A$341)))</f>
        <v/>
      </c>
      <c r="AI355" s="254" t="str">
        <f>IF(AI$3="","",IF(COUNTIFS(BD!$A$3:$A$5001,AI$3,BD!$B$3:$B$5001,$A$341,BD!$Q$3:$Q$5001,"&lt;&gt;")=0,"",SUMIFS(BD!$Q$3:$Q$5001,BD!$A$3:$A$5001,AI$3,BD!$B$3:$B$5001,$A$341)))</f>
        <v/>
      </c>
      <c r="AJ355" s="255" t="str">
        <f>IF(AJ$3="","",IF(COUNTIFS(BD!$A$3:$A$5001,AJ$3,BD!$B$3:$B$5001,$A$341,BD!$Q$3:$Q$5001,"&lt;&gt;")=0,"",SUMIFS(BD!$Q$3:$Q$5001,BD!$A$3:$A$5001,AJ$3,BD!$B$3:$B$5001,$A$341)))</f>
        <v/>
      </c>
      <c r="AK355" s="256" t="str">
        <f>IF(COUNT(F355:AJ355)=0,"",SUM(F355:AJ355))</f>
        <v/>
      </c>
    </row>
    <row r="356" ht="15.75" customHeight="1" hidden="1">
      <c r="A356" s="244"/>
      <c r="B356" s="261"/>
      <c r="C356" s="250" t="inlineStr">
        <is>
          <t xml:space="preserve">Pallets Movimentados</t>
        </is>
      </c>
      <c r="D356" s="251" t="str">
        <f>IFERROR(1/(1/INDEX(BD!$AJ$38:$BD$38,MATCH($A$341,BD!$AJ$22:$BD$22,0))),"")</f>
        <v/>
      </c>
      <c r="E356" s="252"/>
      <c r="F356" s="253" t="str">
        <f>IF(F$3="","",IF(COUNTIFS(BD!$A$3:$A$5001,F$3,BD!$B$3:$B$5001,$A$341,BD!$R$3:$R$5001,"&lt;&gt;")=0,"",SUMIFS(BD!$R$3:$R$5001,BD!$A$3:$A$5001,F$3,BD!$B$3:$B$5001,$A$341)))</f>
        <v/>
      </c>
      <c r="G356" s="254" t="str">
        <f>IF(G$3="","",IF(COUNTIFS(BD!$A$3:$A$5001,G$3,BD!$B$3:$B$5001,$A$341,BD!$R$3:$R$5001,"&lt;&gt;")=0,"",SUMIFS(BD!$R$3:$R$5001,BD!$A$3:$A$5001,G$3,BD!$B$3:$B$5001,$A$341)))</f>
        <v/>
      </c>
      <c r="H356" s="254" t="str">
        <f>IF(H$3="","",IF(COUNTIFS(BD!$A$3:$A$5001,H$3,BD!$B$3:$B$5001,$A$341,BD!$R$3:$R$5001,"&lt;&gt;")=0,"",SUMIFS(BD!$R$3:$R$5001,BD!$A$3:$A$5001,H$3,BD!$B$3:$B$5001,$A$341)))</f>
        <v/>
      </c>
      <c r="I356" s="254" t="str">
        <f>IF(I$3="","",IF(COUNTIFS(BD!$A$3:$A$5001,I$3,BD!$B$3:$B$5001,$A$341,BD!$R$3:$R$5001,"&lt;&gt;")=0,"",SUMIFS(BD!$R$3:$R$5001,BD!$A$3:$A$5001,I$3,BD!$B$3:$B$5001,$A$341)))</f>
        <v/>
      </c>
      <c r="J356" s="254" t="str">
        <f>IF(J$3="","",IF(COUNTIFS(BD!$A$3:$A$5001,J$3,BD!$B$3:$B$5001,$A$341,BD!$R$3:$R$5001,"&lt;&gt;")=0,"",SUMIFS(BD!$R$3:$R$5001,BD!$A$3:$A$5001,J$3,BD!$B$3:$B$5001,$A$341)))</f>
        <v/>
      </c>
      <c r="K356" s="254" t="str">
        <f>IF(K$3="","",IF(COUNTIFS(BD!$A$3:$A$5001,K$3,BD!$B$3:$B$5001,$A$341,BD!$R$3:$R$5001,"&lt;&gt;")=0,"",SUMIFS(BD!$R$3:$R$5001,BD!$A$3:$A$5001,K$3,BD!$B$3:$B$5001,$A$341)))</f>
        <v/>
      </c>
      <c r="L356" s="254" t="str">
        <f>IF(L$3="","",IF(COUNTIFS(BD!$A$3:$A$5001,L$3,BD!$B$3:$B$5001,$A$341,BD!$R$3:$R$5001,"&lt;&gt;")=0,"",SUMIFS(BD!$R$3:$R$5001,BD!$A$3:$A$5001,L$3,BD!$B$3:$B$5001,$A$341)))</f>
        <v/>
      </c>
      <c r="M356" s="254" t="str">
        <f>IF(M$3="","",IF(COUNTIFS(BD!$A$3:$A$5001,M$3,BD!$B$3:$B$5001,$A$341,BD!$R$3:$R$5001,"&lt;&gt;")=0,"",SUMIFS(BD!$R$3:$R$5001,BD!$A$3:$A$5001,M$3,BD!$B$3:$B$5001,$A$341)))</f>
        <v/>
      </c>
      <c r="N356" s="254" t="str">
        <f>IF(N$3="","",IF(COUNTIFS(BD!$A$3:$A$5001,N$3,BD!$B$3:$B$5001,$A$341,BD!$R$3:$R$5001,"&lt;&gt;")=0,"",SUMIFS(BD!$R$3:$R$5001,BD!$A$3:$A$5001,N$3,BD!$B$3:$B$5001,$A$341)))</f>
        <v/>
      </c>
      <c r="O356" s="254" t="str">
        <f>IF(O$3="","",IF(COUNTIFS(BD!$A$3:$A$5001,O$3,BD!$B$3:$B$5001,$A$341,BD!$R$3:$R$5001,"&lt;&gt;")=0,"",SUMIFS(BD!$R$3:$R$5001,BD!$A$3:$A$5001,O$3,BD!$B$3:$B$5001,$A$341)))</f>
        <v/>
      </c>
      <c r="P356" s="254" t="str">
        <f>IF(P$3="","",IF(COUNTIFS(BD!$A$3:$A$5001,P$3,BD!$B$3:$B$5001,$A$341,BD!$R$3:$R$5001,"&lt;&gt;")=0,"",SUMIFS(BD!$R$3:$R$5001,BD!$A$3:$A$5001,P$3,BD!$B$3:$B$5001,$A$341)))</f>
        <v/>
      </c>
      <c r="Q356" s="254" t="str">
        <f>IF(Q$3="","",IF(COUNTIFS(BD!$A$3:$A$5001,Q$3,BD!$B$3:$B$5001,$A$341,BD!$R$3:$R$5001,"&lt;&gt;")=0,"",SUMIFS(BD!$R$3:$R$5001,BD!$A$3:$A$5001,Q$3,BD!$B$3:$B$5001,$A$341)))</f>
        <v/>
      </c>
      <c r="R356" s="254" t="str">
        <f>IF(R$3="","",IF(COUNTIFS(BD!$A$3:$A$5001,R$3,BD!$B$3:$B$5001,$A$341,BD!$R$3:$R$5001,"&lt;&gt;")=0,"",SUMIFS(BD!$R$3:$R$5001,BD!$A$3:$A$5001,R$3,BD!$B$3:$B$5001,$A$341)))</f>
        <v/>
      </c>
      <c r="S356" s="254" t="str">
        <f>IF(S$3="","",IF(COUNTIFS(BD!$A$3:$A$5001,S$3,BD!$B$3:$B$5001,$A$341,BD!$R$3:$R$5001,"&lt;&gt;")=0,"",SUMIFS(BD!$R$3:$R$5001,BD!$A$3:$A$5001,S$3,BD!$B$3:$B$5001,$A$341)))</f>
        <v/>
      </c>
      <c r="T356" s="254" t="str">
        <f>IF(T$3="","",IF(COUNTIFS(BD!$A$3:$A$5001,T$3,BD!$B$3:$B$5001,$A$341,BD!$R$3:$R$5001,"&lt;&gt;")=0,"",SUMIFS(BD!$R$3:$R$5001,BD!$A$3:$A$5001,T$3,BD!$B$3:$B$5001,$A$341)))</f>
        <v/>
      </c>
      <c r="U356" s="254" t="str">
        <f>IF(U$3="","",IF(COUNTIFS(BD!$A$3:$A$5001,U$3,BD!$B$3:$B$5001,$A$341,BD!$R$3:$R$5001,"&lt;&gt;")=0,"",SUMIFS(BD!$R$3:$R$5001,BD!$A$3:$A$5001,U$3,BD!$B$3:$B$5001,$A$341)))</f>
        <v/>
      </c>
      <c r="V356" s="254" t="str">
        <f>IF(V$3="","",IF(COUNTIFS(BD!$A$3:$A$5001,V$3,BD!$B$3:$B$5001,$A$341,BD!$R$3:$R$5001,"&lt;&gt;")=0,"",SUMIFS(BD!$R$3:$R$5001,BD!$A$3:$A$5001,V$3,BD!$B$3:$B$5001,$A$341)))</f>
        <v/>
      </c>
      <c r="W356" s="254" t="str">
        <f>IF(W$3="","",IF(COUNTIFS(BD!$A$3:$A$5001,W$3,BD!$B$3:$B$5001,$A$341,BD!$R$3:$R$5001,"&lt;&gt;")=0,"",SUMIFS(BD!$R$3:$R$5001,BD!$A$3:$A$5001,W$3,BD!$B$3:$B$5001,$A$341)))</f>
        <v/>
      </c>
      <c r="X356" s="254" t="str">
        <f>IF(X$3="","",IF(COUNTIFS(BD!$A$3:$A$5001,X$3,BD!$B$3:$B$5001,$A$341,BD!$R$3:$R$5001,"&lt;&gt;")=0,"",SUMIFS(BD!$R$3:$R$5001,BD!$A$3:$A$5001,X$3,BD!$B$3:$B$5001,$A$341)))</f>
        <v/>
      </c>
      <c r="Y356" s="254" t="str">
        <f>IF(Y$3="","",IF(COUNTIFS(BD!$A$3:$A$5001,Y$3,BD!$B$3:$B$5001,$A$341,BD!$R$3:$R$5001,"&lt;&gt;")=0,"",SUMIFS(BD!$R$3:$R$5001,BD!$A$3:$A$5001,Y$3,BD!$B$3:$B$5001,$A$341)))</f>
        <v/>
      </c>
      <c r="Z356" s="254" t="str">
        <f>IF(Z$3="","",IF(COUNTIFS(BD!$A$3:$A$5001,Z$3,BD!$B$3:$B$5001,$A$341,BD!$R$3:$R$5001,"&lt;&gt;")=0,"",SUMIFS(BD!$R$3:$R$5001,BD!$A$3:$A$5001,Z$3,BD!$B$3:$B$5001,$A$341)))</f>
        <v/>
      </c>
      <c r="AA356" s="254" t="str">
        <f>IF(AA$3="","",IF(COUNTIFS(BD!$A$3:$A$5001,AA$3,BD!$B$3:$B$5001,$A$341,BD!$R$3:$R$5001,"&lt;&gt;")=0,"",SUMIFS(BD!$R$3:$R$5001,BD!$A$3:$A$5001,AA$3,BD!$B$3:$B$5001,$A$341)))</f>
        <v/>
      </c>
      <c r="AB356" s="254" t="str">
        <f>IF(AB$3="","",IF(COUNTIFS(BD!$A$3:$A$5001,AB$3,BD!$B$3:$B$5001,$A$341,BD!$R$3:$R$5001,"&lt;&gt;")=0,"",SUMIFS(BD!$R$3:$R$5001,BD!$A$3:$A$5001,AB$3,BD!$B$3:$B$5001,$A$341)))</f>
        <v/>
      </c>
      <c r="AC356" s="254" t="str">
        <f>IF(AC$3="","",IF(COUNTIFS(BD!$A$3:$A$5001,AC$3,BD!$B$3:$B$5001,$A$341,BD!$R$3:$R$5001,"&lt;&gt;")=0,"",SUMIFS(BD!$R$3:$R$5001,BD!$A$3:$A$5001,AC$3,BD!$B$3:$B$5001,$A$341)))</f>
        <v/>
      </c>
      <c r="AD356" s="254" t="str">
        <f>IF(AD$3="","",IF(COUNTIFS(BD!$A$3:$A$5001,AD$3,BD!$B$3:$B$5001,$A$341,BD!$R$3:$R$5001,"&lt;&gt;")=0,"",SUMIFS(BD!$R$3:$R$5001,BD!$A$3:$A$5001,AD$3,BD!$B$3:$B$5001,$A$341)))</f>
        <v/>
      </c>
      <c r="AE356" s="254" t="str">
        <f>IF(AE$3="","",IF(COUNTIFS(BD!$A$3:$A$5001,AE$3,BD!$B$3:$B$5001,$A$341,BD!$R$3:$R$5001,"&lt;&gt;")=0,"",SUMIFS(BD!$R$3:$R$5001,BD!$A$3:$A$5001,AE$3,BD!$B$3:$B$5001,$A$341)))</f>
        <v/>
      </c>
      <c r="AF356" s="254" t="str">
        <f>IF(AF$3="","",IF(COUNTIFS(BD!$A$3:$A$5001,AF$3,BD!$B$3:$B$5001,$A$341,BD!$R$3:$R$5001,"&lt;&gt;")=0,"",SUMIFS(BD!$R$3:$R$5001,BD!$A$3:$A$5001,AF$3,BD!$B$3:$B$5001,$A$341)))</f>
        <v/>
      </c>
      <c r="AG356" s="254" t="str">
        <f>IF(AG$3="","",IF(COUNTIFS(BD!$A$3:$A$5001,AG$3,BD!$B$3:$B$5001,$A$341,BD!$R$3:$R$5001,"&lt;&gt;")=0,"",SUMIFS(BD!$R$3:$R$5001,BD!$A$3:$A$5001,AG$3,BD!$B$3:$B$5001,$A$341)))</f>
        <v/>
      </c>
      <c r="AH356" s="254" t="str">
        <f>IF(AH$3="","",IF(COUNTIFS(BD!$A$3:$A$5001,AH$3,BD!$B$3:$B$5001,$A$341,BD!$R$3:$R$5001,"&lt;&gt;")=0,"",SUMIFS(BD!$R$3:$R$5001,BD!$A$3:$A$5001,AH$3,BD!$B$3:$B$5001,$A$341)))</f>
        <v/>
      </c>
      <c r="AI356" s="254" t="str">
        <f>IF(AI$3="","",IF(COUNTIFS(BD!$A$3:$A$5001,AI$3,BD!$B$3:$B$5001,$A$341,BD!$R$3:$R$5001,"&lt;&gt;")=0,"",SUMIFS(BD!$R$3:$R$5001,BD!$A$3:$A$5001,AI$3,BD!$B$3:$B$5001,$A$341)))</f>
        <v/>
      </c>
      <c r="AJ356" s="255" t="str">
        <f>IF(AJ$3="","",IF(COUNTIFS(BD!$A$3:$A$5001,AJ$3,BD!$B$3:$B$5001,$A$341,BD!$R$3:$R$5001,"&lt;&gt;")=0,"",SUMIFS(BD!$R$3:$R$5001,BD!$A$3:$A$5001,AJ$3,BD!$B$3:$B$5001,$A$341)))</f>
        <v/>
      </c>
      <c r="AK356" s="256" t="str">
        <f>IF(COUNT(F356:AJ356)=0,"",SUM(F356:AJ356))</f>
        <v/>
      </c>
    </row>
    <row r="357" ht="15.75" customHeight="1" hidden="1">
      <c r="A357" s="244"/>
      <c r="B357" s="235"/>
      <c r="C357" s="175" t="inlineStr">
        <is>
          <t xml:space="preserve">Toneladas Movimentadas</t>
        </is>
      </c>
      <c r="D357" s="176" t="str">
        <f>IFERROR(1/(1/INDEX(BD!$AJ$39:$BD$39,MATCH($A$341,BD!$AJ$22:$BD$22,0))),"")</f>
        <v/>
      </c>
      <c r="E357" s="177"/>
      <c r="F357" s="257" t="str">
        <f>IF(F$3="","",IF(COUNTIFS(BD!$A$3:$A$5001,F$3,BD!$B$3:$B$5001,$A$341,BD!$S$3:$S$5001,"&lt;&gt;")=0,"",SUMIFS(BD!$S$3:$S$5001,BD!$A$3:$A$5001,F$3,BD!$B$3:$B$5001,$A$341)))</f>
        <v/>
      </c>
      <c r="G357" s="258" t="str">
        <f>IF(G$3="","",IF(COUNTIFS(BD!$A$3:$A$5001,G$3,BD!$B$3:$B$5001,$A$341,BD!$S$3:$S$5001,"&lt;&gt;")=0,"",SUMIFS(BD!$S$3:$S$5001,BD!$A$3:$A$5001,G$3,BD!$B$3:$B$5001,$A$341)))</f>
        <v/>
      </c>
      <c r="H357" s="258" t="str">
        <f>IF(H$3="","",IF(COUNTIFS(BD!$A$3:$A$5001,H$3,BD!$B$3:$B$5001,$A$341,BD!$S$3:$S$5001,"&lt;&gt;")=0,"",SUMIFS(BD!$S$3:$S$5001,BD!$A$3:$A$5001,H$3,BD!$B$3:$B$5001,$A$341)))</f>
        <v/>
      </c>
      <c r="I357" s="258" t="str">
        <f>IF(I$3="","",IF(COUNTIFS(BD!$A$3:$A$5001,I$3,BD!$B$3:$B$5001,$A$341,BD!$S$3:$S$5001,"&lt;&gt;")=0,"",SUMIFS(BD!$S$3:$S$5001,BD!$A$3:$A$5001,I$3,BD!$B$3:$B$5001,$A$341)))</f>
        <v/>
      </c>
      <c r="J357" s="258" t="str">
        <f>IF(J$3="","",IF(COUNTIFS(BD!$A$3:$A$5001,J$3,BD!$B$3:$B$5001,$A$341,BD!$S$3:$S$5001,"&lt;&gt;")=0,"",SUMIFS(BD!$S$3:$S$5001,BD!$A$3:$A$5001,J$3,BD!$B$3:$B$5001,$A$341)))</f>
        <v/>
      </c>
      <c r="K357" s="258" t="str">
        <f>IF(K$3="","",IF(COUNTIFS(BD!$A$3:$A$5001,K$3,BD!$B$3:$B$5001,$A$341,BD!$S$3:$S$5001,"&lt;&gt;")=0,"",SUMIFS(BD!$S$3:$S$5001,BD!$A$3:$A$5001,K$3,BD!$B$3:$B$5001,$A$341)))</f>
        <v/>
      </c>
      <c r="L357" s="258" t="str">
        <f>IF(L$3="","",IF(COUNTIFS(BD!$A$3:$A$5001,L$3,BD!$B$3:$B$5001,$A$341,BD!$S$3:$S$5001,"&lt;&gt;")=0,"",SUMIFS(BD!$S$3:$S$5001,BD!$A$3:$A$5001,L$3,BD!$B$3:$B$5001,$A$341)))</f>
        <v/>
      </c>
      <c r="M357" s="258" t="str">
        <f>IF(M$3="","",IF(COUNTIFS(BD!$A$3:$A$5001,M$3,BD!$B$3:$B$5001,$A$341,BD!$S$3:$S$5001,"&lt;&gt;")=0,"",SUMIFS(BD!$S$3:$S$5001,BD!$A$3:$A$5001,M$3,BD!$B$3:$B$5001,$A$341)))</f>
        <v/>
      </c>
      <c r="N357" s="258" t="str">
        <f>IF(N$3="","",IF(COUNTIFS(BD!$A$3:$A$5001,N$3,BD!$B$3:$B$5001,$A$341,BD!$S$3:$S$5001,"&lt;&gt;")=0,"",SUMIFS(BD!$S$3:$S$5001,BD!$A$3:$A$5001,N$3,BD!$B$3:$B$5001,$A$341)))</f>
        <v/>
      </c>
      <c r="O357" s="258" t="str">
        <f>IF(O$3="","",IF(COUNTIFS(BD!$A$3:$A$5001,O$3,BD!$B$3:$B$5001,$A$341,BD!$S$3:$S$5001,"&lt;&gt;")=0,"",SUMIFS(BD!$S$3:$S$5001,BD!$A$3:$A$5001,O$3,BD!$B$3:$B$5001,$A$341)))</f>
        <v/>
      </c>
      <c r="P357" s="258" t="str">
        <f>IF(P$3="","",IF(COUNTIFS(BD!$A$3:$A$5001,P$3,BD!$B$3:$B$5001,$A$341,BD!$S$3:$S$5001,"&lt;&gt;")=0,"",SUMIFS(BD!$S$3:$S$5001,BD!$A$3:$A$5001,P$3,BD!$B$3:$B$5001,$A$341)))</f>
        <v/>
      </c>
      <c r="Q357" s="258" t="str">
        <f>IF(Q$3="","",IF(COUNTIFS(BD!$A$3:$A$5001,Q$3,BD!$B$3:$B$5001,$A$341,BD!$S$3:$S$5001,"&lt;&gt;")=0,"",SUMIFS(BD!$S$3:$S$5001,BD!$A$3:$A$5001,Q$3,BD!$B$3:$B$5001,$A$341)))</f>
        <v/>
      </c>
      <c r="R357" s="258" t="str">
        <f>IF(R$3="","",IF(COUNTIFS(BD!$A$3:$A$5001,R$3,BD!$B$3:$B$5001,$A$341,BD!$S$3:$S$5001,"&lt;&gt;")=0,"",SUMIFS(BD!$S$3:$S$5001,BD!$A$3:$A$5001,R$3,BD!$B$3:$B$5001,$A$341)))</f>
        <v/>
      </c>
      <c r="S357" s="258" t="str">
        <f>IF(S$3="","",IF(COUNTIFS(BD!$A$3:$A$5001,S$3,BD!$B$3:$B$5001,$A$341,BD!$S$3:$S$5001,"&lt;&gt;")=0,"",SUMIFS(BD!$S$3:$S$5001,BD!$A$3:$A$5001,S$3,BD!$B$3:$B$5001,$A$341)))</f>
        <v/>
      </c>
      <c r="T357" s="258" t="str">
        <f>IF(T$3="","",IF(COUNTIFS(BD!$A$3:$A$5001,T$3,BD!$B$3:$B$5001,$A$341,BD!$S$3:$S$5001,"&lt;&gt;")=0,"",SUMIFS(BD!$S$3:$S$5001,BD!$A$3:$A$5001,T$3,BD!$B$3:$B$5001,$A$341)))</f>
        <v/>
      </c>
      <c r="U357" s="258" t="str">
        <f>IF(U$3="","",IF(COUNTIFS(BD!$A$3:$A$5001,U$3,BD!$B$3:$B$5001,$A$341,BD!$S$3:$S$5001,"&lt;&gt;")=0,"",SUMIFS(BD!$S$3:$S$5001,BD!$A$3:$A$5001,U$3,BD!$B$3:$B$5001,$A$341)))</f>
        <v/>
      </c>
      <c r="V357" s="258" t="str">
        <f>IF(V$3="","",IF(COUNTIFS(BD!$A$3:$A$5001,V$3,BD!$B$3:$B$5001,$A$341,BD!$S$3:$S$5001,"&lt;&gt;")=0,"",SUMIFS(BD!$S$3:$S$5001,BD!$A$3:$A$5001,V$3,BD!$B$3:$B$5001,$A$341)))</f>
        <v/>
      </c>
      <c r="W357" s="258" t="str">
        <f>IF(W$3="","",IF(COUNTIFS(BD!$A$3:$A$5001,W$3,BD!$B$3:$B$5001,$A$341,BD!$S$3:$S$5001,"&lt;&gt;")=0,"",SUMIFS(BD!$S$3:$S$5001,BD!$A$3:$A$5001,W$3,BD!$B$3:$B$5001,$A$341)))</f>
        <v/>
      </c>
      <c r="X357" s="258" t="str">
        <f>IF(X$3="","",IF(COUNTIFS(BD!$A$3:$A$5001,X$3,BD!$B$3:$B$5001,$A$341,BD!$S$3:$S$5001,"&lt;&gt;")=0,"",SUMIFS(BD!$S$3:$S$5001,BD!$A$3:$A$5001,X$3,BD!$B$3:$B$5001,$A$341)))</f>
        <v/>
      </c>
      <c r="Y357" s="258" t="str">
        <f>IF(Y$3="","",IF(COUNTIFS(BD!$A$3:$A$5001,Y$3,BD!$B$3:$B$5001,$A$341,BD!$S$3:$S$5001,"&lt;&gt;")=0,"",SUMIFS(BD!$S$3:$S$5001,BD!$A$3:$A$5001,Y$3,BD!$B$3:$B$5001,$A$341)))</f>
        <v/>
      </c>
      <c r="Z357" s="258" t="str">
        <f>IF(Z$3="","",IF(COUNTIFS(BD!$A$3:$A$5001,Z$3,BD!$B$3:$B$5001,$A$341,BD!$S$3:$S$5001,"&lt;&gt;")=0,"",SUMIFS(BD!$S$3:$S$5001,BD!$A$3:$A$5001,Z$3,BD!$B$3:$B$5001,$A$341)))</f>
        <v/>
      </c>
      <c r="AA357" s="258" t="str">
        <f>IF(AA$3="","",IF(COUNTIFS(BD!$A$3:$A$5001,AA$3,BD!$B$3:$B$5001,$A$341,BD!$S$3:$S$5001,"&lt;&gt;")=0,"",SUMIFS(BD!$S$3:$S$5001,BD!$A$3:$A$5001,AA$3,BD!$B$3:$B$5001,$A$341)))</f>
        <v/>
      </c>
      <c r="AB357" s="258" t="str">
        <f>IF(AB$3="","",IF(COUNTIFS(BD!$A$3:$A$5001,AB$3,BD!$B$3:$B$5001,$A$341,BD!$S$3:$S$5001,"&lt;&gt;")=0,"",SUMIFS(BD!$S$3:$S$5001,BD!$A$3:$A$5001,AB$3,BD!$B$3:$B$5001,$A$341)))</f>
        <v/>
      </c>
      <c r="AC357" s="258" t="str">
        <f>IF(AC$3="","",IF(COUNTIFS(BD!$A$3:$A$5001,AC$3,BD!$B$3:$B$5001,$A$341,BD!$S$3:$S$5001,"&lt;&gt;")=0,"",SUMIFS(BD!$S$3:$S$5001,BD!$A$3:$A$5001,AC$3,BD!$B$3:$B$5001,$A$341)))</f>
        <v/>
      </c>
      <c r="AD357" s="258" t="str">
        <f>IF(AD$3="","",IF(COUNTIFS(BD!$A$3:$A$5001,AD$3,BD!$B$3:$B$5001,$A$341,BD!$S$3:$S$5001,"&lt;&gt;")=0,"",SUMIFS(BD!$S$3:$S$5001,BD!$A$3:$A$5001,AD$3,BD!$B$3:$B$5001,$A$341)))</f>
        <v/>
      </c>
      <c r="AE357" s="258" t="str">
        <f>IF(AE$3="","",IF(COUNTIFS(BD!$A$3:$A$5001,AE$3,BD!$B$3:$B$5001,$A$341,BD!$S$3:$S$5001,"&lt;&gt;")=0,"",SUMIFS(BD!$S$3:$S$5001,BD!$A$3:$A$5001,AE$3,BD!$B$3:$B$5001,$A$341)))</f>
        <v/>
      </c>
      <c r="AF357" s="258" t="str">
        <f>IF(AF$3="","",IF(COUNTIFS(BD!$A$3:$A$5001,AF$3,BD!$B$3:$B$5001,$A$341,BD!$S$3:$S$5001,"&lt;&gt;")=0,"",SUMIFS(BD!$S$3:$S$5001,BD!$A$3:$A$5001,AF$3,BD!$B$3:$B$5001,$A$341)))</f>
        <v/>
      </c>
      <c r="AG357" s="258" t="str">
        <f>IF(AG$3="","",IF(COUNTIFS(BD!$A$3:$A$5001,AG$3,BD!$B$3:$B$5001,$A$341,BD!$S$3:$S$5001,"&lt;&gt;")=0,"",SUMIFS(BD!$S$3:$S$5001,BD!$A$3:$A$5001,AG$3,BD!$B$3:$B$5001,$A$341)))</f>
        <v/>
      </c>
      <c r="AH357" s="258" t="str">
        <f>IF(AH$3="","",IF(COUNTIFS(BD!$A$3:$A$5001,AH$3,BD!$B$3:$B$5001,$A$341,BD!$S$3:$S$5001,"&lt;&gt;")=0,"",SUMIFS(BD!$S$3:$S$5001,BD!$A$3:$A$5001,AH$3,BD!$B$3:$B$5001,$A$341)))</f>
        <v/>
      </c>
      <c r="AI357" s="258" t="str">
        <f>IF(AI$3="","",IF(COUNTIFS(BD!$A$3:$A$5001,AI$3,BD!$B$3:$B$5001,$A$341,BD!$S$3:$S$5001,"&lt;&gt;")=0,"",SUMIFS(BD!$S$3:$S$5001,BD!$A$3:$A$5001,AI$3,BD!$B$3:$B$5001,$A$341)))</f>
        <v/>
      </c>
      <c r="AJ357" s="259" t="str">
        <f>IF(AJ$3="","",IF(COUNTIFS(BD!$A$3:$A$5001,AJ$3,BD!$B$3:$B$5001,$A$341,BD!$S$3:$S$5001,"&lt;&gt;")=0,"",SUMIFS(BD!$S$3:$S$5001,BD!$A$3:$A$5001,AJ$3,BD!$B$3:$B$5001,$A$341)))</f>
        <v/>
      </c>
      <c r="AK357" s="260" t="str">
        <f>IF(COUNT(F357:AJ357)=0,"",SUM(F357:AJ357))</f>
        <v/>
      </c>
    </row>
    <row r="358" ht="15.75" customHeight="1" hidden="1">
      <c r="A358" s="244"/>
      <c r="B358" s="236" t="inlineStr">
        <is>
          <t xml:space="preserve">NC</t>
        </is>
      </c>
      <c r="C358" s="181" t="inlineStr">
        <is>
          <t xml:space="preserve">Incidentes</t>
        </is>
      </c>
      <c r="D358" s="182" t="str">
        <f>IFERROR(1/(1/INDEX(BD!$AJ$40:$BD$40,MATCH($A$341,BD!$AJ$22:$BD$22,0))),"")</f>
        <v/>
      </c>
      <c r="E358" s="183"/>
      <c r="F358" s="184" t="str">
        <f>IF(F$3="","",IF(COUNTIFS(BD!$A$3:$A$5001,F$3,BD!$B$3:$B$5001,$A$341,BD!$T$3:$T$5001,"&lt;&gt;")=0,"",SUMIFS(BD!$T$3:$T$5001,BD!$A$3:$A$5001,F$3,BD!$B$3:$B$5001,$A$341)))</f>
        <v/>
      </c>
      <c r="G358" s="185" t="str">
        <f>IF(G$3="","",IF(COUNTIFS(BD!$A$3:$A$5001,G$3,BD!$B$3:$B$5001,$A$341,BD!$T$3:$T$5001,"&lt;&gt;")=0,"",SUMIFS(BD!$T$3:$T$5001,BD!$A$3:$A$5001,G$3,BD!$B$3:$B$5001,$A$341)))</f>
        <v/>
      </c>
      <c r="H358" s="185" t="str">
        <f>IF(H$3="","",IF(COUNTIFS(BD!$A$3:$A$5001,H$3,BD!$B$3:$B$5001,$A$341,BD!$T$3:$T$5001,"&lt;&gt;")=0,"",SUMIFS(BD!$T$3:$T$5001,BD!$A$3:$A$5001,H$3,BD!$B$3:$B$5001,$A$341)))</f>
        <v/>
      </c>
      <c r="I358" s="185" t="str">
        <f>IF(I$3="","",IF(COUNTIFS(BD!$A$3:$A$5001,I$3,BD!$B$3:$B$5001,$A$341,BD!$T$3:$T$5001,"&lt;&gt;")=0,"",SUMIFS(BD!$T$3:$T$5001,BD!$A$3:$A$5001,I$3,BD!$B$3:$B$5001,$A$341)))</f>
        <v/>
      </c>
      <c r="J358" s="185" t="str">
        <f>IF(J$3="","",IF(COUNTIFS(BD!$A$3:$A$5001,J$3,BD!$B$3:$B$5001,$A$341,BD!$T$3:$T$5001,"&lt;&gt;")=0,"",SUMIFS(BD!$T$3:$T$5001,BD!$A$3:$A$5001,J$3,BD!$B$3:$B$5001,$A$341)))</f>
        <v/>
      </c>
      <c r="K358" s="185" t="str">
        <f>IF(K$3="","",IF(COUNTIFS(BD!$A$3:$A$5001,K$3,BD!$B$3:$B$5001,$A$341,BD!$T$3:$T$5001,"&lt;&gt;")=0,"",SUMIFS(BD!$T$3:$T$5001,BD!$A$3:$A$5001,K$3,BD!$B$3:$B$5001,$A$341)))</f>
        <v/>
      </c>
      <c r="L358" s="185" t="str">
        <f>IF(L$3="","",IF(COUNTIFS(BD!$A$3:$A$5001,L$3,BD!$B$3:$B$5001,$A$341,BD!$T$3:$T$5001,"&lt;&gt;")=0,"",SUMIFS(BD!$T$3:$T$5001,BD!$A$3:$A$5001,L$3,BD!$B$3:$B$5001,$A$341)))</f>
        <v/>
      </c>
      <c r="M358" s="185" t="str">
        <f>IF(M$3="","",IF(COUNTIFS(BD!$A$3:$A$5001,M$3,BD!$B$3:$B$5001,$A$341,BD!$T$3:$T$5001,"&lt;&gt;")=0,"",SUMIFS(BD!$T$3:$T$5001,BD!$A$3:$A$5001,M$3,BD!$B$3:$B$5001,$A$341)))</f>
        <v/>
      </c>
      <c r="N358" s="185" t="str">
        <f>IF(N$3="","",IF(COUNTIFS(BD!$A$3:$A$5001,N$3,BD!$B$3:$B$5001,$A$341,BD!$T$3:$T$5001,"&lt;&gt;")=0,"",SUMIFS(BD!$T$3:$T$5001,BD!$A$3:$A$5001,N$3,BD!$B$3:$B$5001,$A$341)))</f>
        <v/>
      </c>
      <c r="O358" s="185" t="str">
        <f>IF(O$3="","",IF(COUNTIFS(BD!$A$3:$A$5001,O$3,BD!$B$3:$B$5001,$A$341,BD!$T$3:$T$5001,"&lt;&gt;")=0,"",SUMIFS(BD!$T$3:$T$5001,BD!$A$3:$A$5001,O$3,BD!$B$3:$B$5001,$A$341)))</f>
        <v/>
      </c>
      <c r="P358" s="185" t="str">
        <f>IF(P$3="","",IF(COUNTIFS(BD!$A$3:$A$5001,P$3,BD!$B$3:$B$5001,$A$341,BD!$T$3:$T$5001,"&lt;&gt;")=0,"",SUMIFS(BD!$T$3:$T$5001,BD!$A$3:$A$5001,P$3,BD!$B$3:$B$5001,$A$341)))</f>
        <v/>
      </c>
      <c r="Q358" s="185" t="str">
        <f>IF(Q$3="","",IF(COUNTIFS(BD!$A$3:$A$5001,Q$3,BD!$B$3:$B$5001,$A$341,BD!$T$3:$T$5001,"&lt;&gt;")=0,"",SUMIFS(BD!$T$3:$T$5001,BD!$A$3:$A$5001,Q$3,BD!$B$3:$B$5001,$A$341)))</f>
        <v/>
      </c>
      <c r="R358" s="185" t="str">
        <f>IF(R$3="","",IF(COUNTIFS(BD!$A$3:$A$5001,R$3,BD!$B$3:$B$5001,$A$341,BD!$T$3:$T$5001,"&lt;&gt;")=0,"",SUMIFS(BD!$T$3:$T$5001,BD!$A$3:$A$5001,R$3,BD!$B$3:$B$5001,$A$341)))</f>
        <v/>
      </c>
      <c r="S358" s="185" t="str">
        <f>IF(S$3="","",IF(COUNTIFS(BD!$A$3:$A$5001,S$3,BD!$B$3:$B$5001,$A$341,BD!$T$3:$T$5001,"&lt;&gt;")=0,"",SUMIFS(BD!$T$3:$T$5001,BD!$A$3:$A$5001,S$3,BD!$B$3:$B$5001,$A$341)))</f>
        <v/>
      </c>
      <c r="T358" s="185" t="str">
        <f>IF(T$3="","",IF(COUNTIFS(BD!$A$3:$A$5001,T$3,BD!$B$3:$B$5001,$A$341,BD!$T$3:$T$5001,"&lt;&gt;")=0,"",SUMIFS(BD!$T$3:$T$5001,BD!$A$3:$A$5001,T$3,BD!$B$3:$B$5001,$A$341)))</f>
        <v/>
      </c>
      <c r="U358" s="185" t="str">
        <f>IF(U$3="","",IF(COUNTIFS(BD!$A$3:$A$5001,U$3,BD!$B$3:$B$5001,$A$341,BD!$T$3:$T$5001,"&lt;&gt;")=0,"",SUMIFS(BD!$T$3:$T$5001,BD!$A$3:$A$5001,U$3,BD!$B$3:$B$5001,$A$341)))</f>
        <v/>
      </c>
      <c r="V358" s="185" t="str">
        <f>IF(V$3="","",IF(COUNTIFS(BD!$A$3:$A$5001,V$3,BD!$B$3:$B$5001,$A$341,BD!$T$3:$T$5001,"&lt;&gt;")=0,"",SUMIFS(BD!$T$3:$T$5001,BD!$A$3:$A$5001,V$3,BD!$B$3:$B$5001,$A$341)))</f>
        <v/>
      </c>
      <c r="W358" s="185" t="str">
        <f>IF(W$3="","",IF(COUNTIFS(BD!$A$3:$A$5001,W$3,BD!$B$3:$B$5001,$A$341,BD!$T$3:$T$5001,"&lt;&gt;")=0,"",SUMIFS(BD!$T$3:$T$5001,BD!$A$3:$A$5001,W$3,BD!$B$3:$B$5001,$A$341)))</f>
        <v/>
      </c>
      <c r="X358" s="185" t="str">
        <f>IF(X$3="","",IF(COUNTIFS(BD!$A$3:$A$5001,X$3,BD!$B$3:$B$5001,$A$341,BD!$T$3:$T$5001,"&lt;&gt;")=0,"",SUMIFS(BD!$T$3:$T$5001,BD!$A$3:$A$5001,X$3,BD!$B$3:$B$5001,$A$341)))</f>
        <v/>
      </c>
      <c r="Y358" s="185" t="str">
        <f>IF(Y$3="","",IF(COUNTIFS(BD!$A$3:$A$5001,Y$3,BD!$B$3:$B$5001,$A$341,BD!$T$3:$T$5001,"&lt;&gt;")=0,"",SUMIFS(BD!$T$3:$T$5001,BD!$A$3:$A$5001,Y$3,BD!$B$3:$B$5001,$A$341)))</f>
        <v/>
      </c>
      <c r="Z358" s="185" t="str">
        <f>IF(Z$3="","",IF(COUNTIFS(BD!$A$3:$A$5001,Z$3,BD!$B$3:$B$5001,$A$341,BD!$T$3:$T$5001,"&lt;&gt;")=0,"",SUMIFS(BD!$T$3:$T$5001,BD!$A$3:$A$5001,Z$3,BD!$B$3:$B$5001,$A$341)))</f>
        <v/>
      </c>
      <c r="AA358" s="185" t="str">
        <f>IF(AA$3="","",IF(COUNTIFS(BD!$A$3:$A$5001,AA$3,BD!$B$3:$B$5001,$A$341,BD!$T$3:$T$5001,"&lt;&gt;")=0,"",SUMIFS(BD!$T$3:$T$5001,BD!$A$3:$A$5001,AA$3,BD!$B$3:$B$5001,$A$341)))</f>
        <v/>
      </c>
      <c r="AB358" s="185" t="str">
        <f>IF(AB$3="","",IF(COUNTIFS(BD!$A$3:$A$5001,AB$3,BD!$B$3:$B$5001,$A$341,BD!$T$3:$T$5001,"&lt;&gt;")=0,"",SUMIFS(BD!$T$3:$T$5001,BD!$A$3:$A$5001,AB$3,BD!$B$3:$B$5001,$A$341)))</f>
        <v/>
      </c>
      <c r="AC358" s="185" t="str">
        <f>IF(AC$3="","",IF(COUNTIFS(BD!$A$3:$A$5001,AC$3,BD!$B$3:$B$5001,$A$341,BD!$T$3:$T$5001,"&lt;&gt;")=0,"",SUMIFS(BD!$T$3:$T$5001,BD!$A$3:$A$5001,AC$3,BD!$B$3:$B$5001,$A$341)))</f>
        <v/>
      </c>
      <c r="AD358" s="185" t="str">
        <f>IF(AD$3="","",IF(COUNTIFS(BD!$A$3:$A$5001,AD$3,BD!$B$3:$B$5001,$A$341,BD!$T$3:$T$5001,"&lt;&gt;")=0,"",SUMIFS(BD!$T$3:$T$5001,BD!$A$3:$A$5001,AD$3,BD!$B$3:$B$5001,$A$341)))</f>
        <v/>
      </c>
      <c r="AE358" s="185" t="str">
        <f>IF(AE$3="","",IF(COUNTIFS(BD!$A$3:$A$5001,AE$3,BD!$B$3:$B$5001,$A$341,BD!$T$3:$T$5001,"&lt;&gt;")=0,"",SUMIFS(BD!$T$3:$T$5001,BD!$A$3:$A$5001,AE$3,BD!$B$3:$B$5001,$A$341)))</f>
        <v/>
      </c>
      <c r="AF358" s="185" t="str">
        <f>IF(AF$3="","",IF(COUNTIFS(BD!$A$3:$A$5001,AF$3,BD!$B$3:$B$5001,$A$341,BD!$T$3:$T$5001,"&lt;&gt;")=0,"",SUMIFS(BD!$T$3:$T$5001,BD!$A$3:$A$5001,AF$3,BD!$B$3:$B$5001,$A$341)))</f>
        <v/>
      </c>
      <c r="AG358" s="185" t="str">
        <f>IF(AG$3="","",IF(COUNTIFS(BD!$A$3:$A$5001,AG$3,BD!$B$3:$B$5001,$A$341,BD!$T$3:$T$5001,"&lt;&gt;")=0,"",SUMIFS(BD!$T$3:$T$5001,BD!$A$3:$A$5001,AG$3,BD!$B$3:$B$5001,$A$341)))</f>
        <v/>
      </c>
      <c r="AH358" s="185" t="str">
        <f>IF(AH$3="","",IF(COUNTIFS(BD!$A$3:$A$5001,AH$3,BD!$B$3:$B$5001,$A$341,BD!$T$3:$T$5001,"&lt;&gt;")=0,"",SUMIFS(BD!$T$3:$T$5001,BD!$A$3:$A$5001,AH$3,BD!$B$3:$B$5001,$A$341)))</f>
        <v/>
      </c>
      <c r="AI358" s="185" t="str">
        <f>IF(AI$3="","",IF(COUNTIFS(BD!$A$3:$A$5001,AI$3,BD!$B$3:$B$5001,$A$341,BD!$T$3:$T$5001,"&lt;&gt;")=0,"",SUMIFS(BD!$T$3:$T$5001,BD!$A$3:$A$5001,AI$3,BD!$B$3:$B$5001,$A$341)))</f>
        <v/>
      </c>
      <c r="AJ358" s="186" t="str">
        <f>IF(AJ$3="","",IF(COUNTIFS(BD!$A$3:$A$5001,AJ$3,BD!$B$3:$B$5001,$A$341,BD!$T$3:$T$5001,"&lt;&gt;")=0,"",SUMIFS(BD!$T$3:$T$5001,BD!$A$3:$A$5001,AJ$3,BD!$B$3:$B$5001,$A$341)))</f>
        <v/>
      </c>
      <c r="AK358" s="187" t="str">
        <f>IF(COUNT(F358:AJ358)=0,"",SUM(F358:AJ358))</f>
        <v/>
      </c>
    </row>
    <row r="359" ht="15.75" customHeight="1" hidden="1">
      <c r="A359" s="244"/>
      <c r="B359" s="237"/>
      <c r="C359" s="188" t="inlineStr">
        <is>
          <t xml:space="preserve">No show</t>
        </is>
      </c>
      <c r="D359" s="189" t="str">
        <f>IFERROR(1/(1/INDEX(BD!$AJ$41:$BD$41,MATCH($A$341,BD!$AJ$22:$BD$22,0))),"")</f>
        <v/>
      </c>
      <c r="E359" s="190"/>
      <c r="F359" s="191" t="str">
        <f>IF(F$3="","",IF(COUNTIFS(BD!$A$3:$A$5001,F$3,BD!$B$3:$B$5001,$A$341,BD!$U$3:$U$5001,"&lt;&gt;")=0,"",SUMIFS(BD!$U$3:$U$5001,BD!$A$3:$A$5001,F$3,BD!$B$3:$B$5001,$A$341)))</f>
        <v/>
      </c>
      <c r="G359" s="192" t="str">
        <f>IF(G$3="","",IF(COUNTIFS(BD!$A$3:$A$5001,G$3,BD!$B$3:$B$5001,$A$341,BD!$U$3:$U$5001,"&lt;&gt;")=0,"",SUMIFS(BD!$U$3:$U$5001,BD!$A$3:$A$5001,G$3,BD!$B$3:$B$5001,$A$341)))</f>
        <v/>
      </c>
      <c r="H359" s="192" t="str">
        <f>IF(H$3="","",IF(COUNTIFS(BD!$A$3:$A$5001,H$3,BD!$B$3:$B$5001,$A$341,BD!$U$3:$U$5001,"&lt;&gt;")=0,"",SUMIFS(BD!$U$3:$U$5001,BD!$A$3:$A$5001,H$3,BD!$B$3:$B$5001,$A$341)))</f>
        <v/>
      </c>
      <c r="I359" s="192" t="str">
        <f>IF(I$3="","",IF(COUNTIFS(BD!$A$3:$A$5001,I$3,BD!$B$3:$B$5001,$A$341,BD!$U$3:$U$5001,"&lt;&gt;")=0,"",SUMIFS(BD!$U$3:$U$5001,BD!$A$3:$A$5001,I$3,BD!$B$3:$B$5001,$A$341)))</f>
        <v/>
      </c>
      <c r="J359" s="192" t="str">
        <f>IF(J$3="","",IF(COUNTIFS(BD!$A$3:$A$5001,J$3,BD!$B$3:$B$5001,$A$341,BD!$U$3:$U$5001,"&lt;&gt;")=0,"",SUMIFS(BD!$U$3:$U$5001,BD!$A$3:$A$5001,J$3,BD!$B$3:$B$5001,$A$341)))</f>
        <v/>
      </c>
      <c r="K359" s="192" t="str">
        <f>IF(K$3="","",IF(COUNTIFS(BD!$A$3:$A$5001,K$3,BD!$B$3:$B$5001,$A$341,BD!$U$3:$U$5001,"&lt;&gt;")=0,"",SUMIFS(BD!$U$3:$U$5001,BD!$A$3:$A$5001,K$3,BD!$B$3:$B$5001,$A$341)))</f>
        <v/>
      </c>
      <c r="L359" s="192" t="str">
        <f>IF(L$3="","",IF(COUNTIFS(BD!$A$3:$A$5001,L$3,BD!$B$3:$B$5001,$A$341,BD!$U$3:$U$5001,"&lt;&gt;")=0,"",SUMIFS(BD!$U$3:$U$5001,BD!$A$3:$A$5001,L$3,BD!$B$3:$B$5001,$A$341)))</f>
        <v/>
      </c>
      <c r="M359" s="192" t="str">
        <f>IF(M$3="","",IF(COUNTIFS(BD!$A$3:$A$5001,M$3,BD!$B$3:$B$5001,$A$341,BD!$U$3:$U$5001,"&lt;&gt;")=0,"",SUMIFS(BD!$U$3:$U$5001,BD!$A$3:$A$5001,M$3,BD!$B$3:$B$5001,$A$341)))</f>
        <v/>
      </c>
      <c r="N359" s="192" t="str">
        <f>IF(N$3="","",IF(COUNTIFS(BD!$A$3:$A$5001,N$3,BD!$B$3:$B$5001,$A$341,BD!$U$3:$U$5001,"&lt;&gt;")=0,"",SUMIFS(BD!$U$3:$U$5001,BD!$A$3:$A$5001,N$3,BD!$B$3:$B$5001,$A$341)))</f>
        <v/>
      </c>
      <c r="O359" s="192" t="str">
        <f>IF(O$3="","",IF(COUNTIFS(BD!$A$3:$A$5001,O$3,BD!$B$3:$B$5001,$A$341,BD!$U$3:$U$5001,"&lt;&gt;")=0,"",SUMIFS(BD!$U$3:$U$5001,BD!$A$3:$A$5001,O$3,BD!$B$3:$B$5001,$A$341)))</f>
        <v/>
      </c>
      <c r="P359" s="192" t="str">
        <f>IF(P$3="","",IF(COUNTIFS(BD!$A$3:$A$5001,P$3,BD!$B$3:$B$5001,$A$341,BD!$U$3:$U$5001,"&lt;&gt;")=0,"",SUMIFS(BD!$U$3:$U$5001,BD!$A$3:$A$5001,P$3,BD!$B$3:$B$5001,$A$341)))</f>
        <v/>
      </c>
      <c r="Q359" s="192" t="str">
        <f>IF(Q$3="","",IF(COUNTIFS(BD!$A$3:$A$5001,Q$3,BD!$B$3:$B$5001,$A$341,BD!$U$3:$U$5001,"&lt;&gt;")=0,"",SUMIFS(BD!$U$3:$U$5001,BD!$A$3:$A$5001,Q$3,BD!$B$3:$B$5001,$A$341)))</f>
        <v/>
      </c>
      <c r="R359" s="192" t="str">
        <f>IF(R$3="","",IF(COUNTIFS(BD!$A$3:$A$5001,R$3,BD!$B$3:$B$5001,$A$341,BD!$U$3:$U$5001,"&lt;&gt;")=0,"",SUMIFS(BD!$U$3:$U$5001,BD!$A$3:$A$5001,R$3,BD!$B$3:$B$5001,$A$341)))</f>
        <v/>
      </c>
      <c r="S359" s="192" t="str">
        <f>IF(S$3="","",IF(COUNTIFS(BD!$A$3:$A$5001,S$3,BD!$B$3:$B$5001,$A$341,BD!$U$3:$U$5001,"&lt;&gt;")=0,"",SUMIFS(BD!$U$3:$U$5001,BD!$A$3:$A$5001,S$3,BD!$B$3:$B$5001,$A$341)))</f>
        <v/>
      </c>
      <c r="T359" s="192" t="str">
        <f>IF(T$3="","",IF(COUNTIFS(BD!$A$3:$A$5001,T$3,BD!$B$3:$B$5001,$A$341,BD!$U$3:$U$5001,"&lt;&gt;")=0,"",SUMIFS(BD!$U$3:$U$5001,BD!$A$3:$A$5001,T$3,BD!$B$3:$B$5001,$A$341)))</f>
        <v/>
      </c>
      <c r="U359" s="192" t="str">
        <f>IF(U$3="","",IF(COUNTIFS(BD!$A$3:$A$5001,U$3,BD!$B$3:$B$5001,$A$341,BD!$U$3:$U$5001,"&lt;&gt;")=0,"",SUMIFS(BD!$U$3:$U$5001,BD!$A$3:$A$5001,U$3,BD!$B$3:$B$5001,$A$341)))</f>
        <v/>
      </c>
      <c r="V359" s="192" t="str">
        <f>IF(V$3="","",IF(COUNTIFS(BD!$A$3:$A$5001,V$3,BD!$B$3:$B$5001,$A$341,BD!$U$3:$U$5001,"&lt;&gt;")=0,"",SUMIFS(BD!$U$3:$U$5001,BD!$A$3:$A$5001,V$3,BD!$B$3:$B$5001,$A$341)))</f>
        <v/>
      </c>
      <c r="W359" s="192" t="str">
        <f>IF(W$3="","",IF(COUNTIFS(BD!$A$3:$A$5001,W$3,BD!$B$3:$B$5001,$A$341,BD!$U$3:$U$5001,"&lt;&gt;")=0,"",SUMIFS(BD!$U$3:$U$5001,BD!$A$3:$A$5001,W$3,BD!$B$3:$B$5001,$A$341)))</f>
        <v/>
      </c>
      <c r="X359" s="192" t="str">
        <f>IF(X$3="","",IF(COUNTIFS(BD!$A$3:$A$5001,X$3,BD!$B$3:$B$5001,$A$341,BD!$U$3:$U$5001,"&lt;&gt;")=0,"",SUMIFS(BD!$U$3:$U$5001,BD!$A$3:$A$5001,X$3,BD!$B$3:$B$5001,$A$341)))</f>
        <v/>
      </c>
      <c r="Y359" s="192" t="str">
        <f>IF(Y$3="","",IF(COUNTIFS(BD!$A$3:$A$5001,Y$3,BD!$B$3:$B$5001,$A$341,BD!$U$3:$U$5001,"&lt;&gt;")=0,"",SUMIFS(BD!$U$3:$U$5001,BD!$A$3:$A$5001,Y$3,BD!$B$3:$B$5001,$A$341)))</f>
        <v/>
      </c>
      <c r="Z359" s="192" t="str">
        <f>IF(Z$3="","",IF(COUNTIFS(BD!$A$3:$A$5001,Z$3,BD!$B$3:$B$5001,$A$341,BD!$U$3:$U$5001,"&lt;&gt;")=0,"",SUMIFS(BD!$U$3:$U$5001,BD!$A$3:$A$5001,Z$3,BD!$B$3:$B$5001,$A$341)))</f>
        <v/>
      </c>
      <c r="AA359" s="192" t="str">
        <f>IF(AA$3="","",IF(COUNTIFS(BD!$A$3:$A$5001,AA$3,BD!$B$3:$B$5001,$A$341,BD!$U$3:$U$5001,"&lt;&gt;")=0,"",SUMIFS(BD!$U$3:$U$5001,BD!$A$3:$A$5001,AA$3,BD!$B$3:$B$5001,$A$341)))</f>
        <v/>
      </c>
      <c r="AB359" s="192" t="str">
        <f>IF(AB$3="","",IF(COUNTIFS(BD!$A$3:$A$5001,AB$3,BD!$B$3:$B$5001,$A$341,BD!$U$3:$U$5001,"&lt;&gt;")=0,"",SUMIFS(BD!$U$3:$U$5001,BD!$A$3:$A$5001,AB$3,BD!$B$3:$B$5001,$A$341)))</f>
        <v/>
      </c>
      <c r="AC359" s="192" t="str">
        <f>IF(AC$3="","",IF(COUNTIFS(BD!$A$3:$A$5001,AC$3,BD!$B$3:$B$5001,$A$341,BD!$U$3:$U$5001,"&lt;&gt;")=0,"",SUMIFS(BD!$U$3:$U$5001,BD!$A$3:$A$5001,AC$3,BD!$B$3:$B$5001,$A$341)))</f>
        <v/>
      </c>
      <c r="AD359" s="192" t="str">
        <f>IF(AD$3="","",IF(COUNTIFS(BD!$A$3:$A$5001,AD$3,BD!$B$3:$B$5001,$A$341,BD!$U$3:$U$5001,"&lt;&gt;")=0,"",SUMIFS(BD!$U$3:$U$5001,BD!$A$3:$A$5001,AD$3,BD!$B$3:$B$5001,$A$341)))</f>
        <v/>
      </c>
      <c r="AE359" s="192" t="str">
        <f>IF(AE$3="","",IF(COUNTIFS(BD!$A$3:$A$5001,AE$3,BD!$B$3:$B$5001,$A$341,BD!$U$3:$U$5001,"&lt;&gt;")=0,"",SUMIFS(BD!$U$3:$U$5001,BD!$A$3:$A$5001,AE$3,BD!$B$3:$B$5001,$A$341)))</f>
        <v/>
      </c>
      <c r="AF359" s="192" t="str">
        <f>IF(AF$3="","",IF(COUNTIFS(BD!$A$3:$A$5001,AF$3,BD!$B$3:$B$5001,$A$341,BD!$U$3:$U$5001,"&lt;&gt;")=0,"",SUMIFS(BD!$U$3:$U$5001,BD!$A$3:$A$5001,AF$3,BD!$B$3:$B$5001,$A$341)))</f>
        <v/>
      </c>
      <c r="AG359" s="192" t="str">
        <f>IF(AG$3="","",IF(COUNTIFS(BD!$A$3:$A$5001,AG$3,BD!$B$3:$B$5001,$A$341,BD!$U$3:$U$5001,"&lt;&gt;")=0,"",SUMIFS(BD!$U$3:$U$5001,BD!$A$3:$A$5001,AG$3,BD!$B$3:$B$5001,$A$341)))</f>
        <v/>
      </c>
      <c r="AH359" s="192" t="str">
        <f>IF(AH$3="","",IF(COUNTIFS(BD!$A$3:$A$5001,AH$3,BD!$B$3:$B$5001,$A$341,BD!$U$3:$U$5001,"&lt;&gt;")=0,"",SUMIFS(BD!$U$3:$U$5001,BD!$A$3:$A$5001,AH$3,BD!$B$3:$B$5001,$A$341)))</f>
        <v/>
      </c>
      <c r="AI359" s="192" t="str">
        <f>IF(AI$3="","",IF(COUNTIFS(BD!$A$3:$A$5001,AI$3,BD!$B$3:$B$5001,$A$341,BD!$U$3:$U$5001,"&lt;&gt;")=0,"",SUMIFS(BD!$U$3:$U$5001,BD!$A$3:$A$5001,AI$3,BD!$B$3:$B$5001,$A$341)))</f>
        <v/>
      </c>
      <c r="AJ359" s="193" t="str">
        <f>IF(AJ$3="","",IF(COUNTIFS(BD!$A$3:$A$5001,AJ$3,BD!$B$3:$B$5001,$A$341,BD!$U$3:$U$5001,"&lt;&gt;")=0,"",SUMIFS(BD!$U$3:$U$5001,BD!$A$3:$A$5001,AJ$3,BD!$B$3:$B$5001,$A$341)))</f>
        <v/>
      </c>
      <c r="AK359" s="194" t="str">
        <f>IF(COUNT(F359:AJ359)=0,"",SUM(F359:AJ359))</f>
        <v/>
      </c>
    </row>
    <row r="360" ht="15.75" customHeight="1" hidden="1">
      <c r="A360" s="244"/>
      <c r="B360" s="238"/>
      <c r="C360" s="195" t="inlineStr">
        <is>
          <t xml:space="preserve">Backlog</t>
        </is>
      </c>
      <c r="D360" s="196" t="str">
        <f>IFERROR(1/(1/INDEX(BD!$AJ$42:$BD$42,MATCH($A$341,BD!$AJ$22:$BD$22,0))),"")</f>
        <v/>
      </c>
      <c r="E360" s="197"/>
      <c r="F360" s="198" t="str">
        <f>IF(F$3="","",IF(COUNTIFS(BD!$A$3:$A$5001,F$3,BD!$B$3:$B$5001,$A$341,BD!$V$3:$V$5001,"&lt;&gt;")=0,"",SUMIFS(BD!$V$3:$V$5001,BD!$A$3:$A$5001,F$3,BD!$B$3:$B$5001,$A$341)))</f>
        <v/>
      </c>
      <c r="G360" s="199" t="str">
        <f>IF(G$3="","",IF(COUNTIFS(BD!$A$3:$A$5001,G$3,BD!$B$3:$B$5001,$A$341,BD!$V$3:$V$5001,"&lt;&gt;")=0,"",SUMIFS(BD!$V$3:$V$5001,BD!$A$3:$A$5001,G$3,BD!$B$3:$B$5001,$A$341)))</f>
        <v/>
      </c>
      <c r="H360" s="199" t="str">
        <f>IF(H$3="","",IF(COUNTIFS(BD!$A$3:$A$5001,H$3,BD!$B$3:$B$5001,$A$341,BD!$V$3:$V$5001,"&lt;&gt;")=0,"",SUMIFS(BD!$V$3:$V$5001,BD!$A$3:$A$5001,H$3,BD!$B$3:$B$5001,$A$341)))</f>
        <v/>
      </c>
      <c r="I360" s="199" t="str">
        <f>IF(I$3="","",IF(COUNTIFS(BD!$A$3:$A$5001,I$3,BD!$B$3:$B$5001,$A$341,BD!$V$3:$V$5001,"&lt;&gt;")=0,"",SUMIFS(BD!$V$3:$V$5001,BD!$A$3:$A$5001,I$3,BD!$B$3:$B$5001,$A$341)))</f>
        <v/>
      </c>
      <c r="J360" s="199" t="str">
        <f>IF(J$3="","",IF(COUNTIFS(BD!$A$3:$A$5001,J$3,BD!$B$3:$B$5001,$A$341,BD!$V$3:$V$5001,"&lt;&gt;")=0,"",SUMIFS(BD!$V$3:$V$5001,BD!$A$3:$A$5001,J$3,BD!$B$3:$B$5001,$A$341)))</f>
        <v/>
      </c>
      <c r="K360" s="199" t="str">
        <f>IF(K$3="","",IF(COUNTIFS(BD!$A$3:$A$5001,K$3,BD!$B$3:$B$5001,$A$341,BD!$V$3:$V$5001,"&lt;&gt;")=0,"",SUMIFS(BD!$V$3:$V$5001,BD!$A$3:$A$5001,K$3,BD!$B$3:$B$5001,$A$341)))</f>
        <v/>
      </c>
      <c r="L360" s="199" t="str">
        <f>IF(L$3="","",IF(COUNTIFS(BD!$A$3:$A$5001,L$3,BD!$B$3:$B$5001,$A$341,BD!$V$3:$V$5001,"&lt;&gt;")=0,"",SUMIFS(BD!$V$3:$V$5001,BD!$A$3:$A$5001,L$3,BD!$B$3:$B$5001,$A$341)))</f>
        <v/>
      </c>
      <c r="M360" s="199" t="str">
        <f>IF(M$3="","",IF(COUNTIFS(BD!$A$3:$A$5001,M$3,BD!$B$3:$B$5001,$A$341,BD!$V$3:$V$5001,"&lt;&gt;")=0,"",SUMIFS(BD!$V$3:$V$5001,BD!$A$3:$A$5001,M$3,BD!$B$3:$B$5001,$A$341)))</f>
        <v/>
      </c>
      <c r="N360" s="199" t="str">
        <f>IF(N$3="","",IF(COUNTIFS(BD!$A$3:$A$5001,N$3,BD!$B$3:$B$5001,$A$341,BD!$V$3:$V$5001,"&lt;&gt;")=0,"",SUMIFS(BD!$V$3:$V$5001,BD!$A$3:$A$5001,N$3,BD!$B$3:$B$5001,$A$341)))</f>
        <v/>
      </c>
      <c r="O360" s="199" t="str">
        <f>IF(O$3="","",IF(COUNTIFS(BD!$A$3:$A$5001,O$3,BD!$B$3:$B$5001,$A$341,BD!$V$3:$V$5001,"&lt;&gt;")=0,"",SUMIFS(BD!$V$3:$V$5001,BD!$A$3:$A$5001,O$3,BD!$B$3:$B$5001,$A$341)))</f>
        <v/>
      </c>
      <c r="P360" s="199" t="str">
        <f>IF(P$3="","",IF(COUNTIFS(BD!$A$3:$A$5001,P$3,BD!$B$3:$B$5001,$A$341,BD!$V$3:$V$5001,"&lt;&gt;")=0,"",SUMIFS(BD!$V$3:$V$5001,BD!$A$3:$A$5001,P$3,BD!$B$3:$B$5001,$A$341)))</f>
        <v/>
      </c>
      <c r="Q360" s="199" t="str">
        <f>IF(Q$3="","",IF(COUNTIFS(BD!$A$3:$A$5001,Q$3,BD!$B$3:$B$5001,$A$341,BD!$V$3:$V$5001,"&lt;&gt;")=0,"",SUMIFS(BD!$V$3:$V$5001,BD!$A$3:$A$5001,Q$3,BD!$B$3:$B$5001,$A$341)))</f>
        <v/>
      </c>
      <c r="R360" s="199" t="str">
        <f>IF(R$3="","",IF(COUNTIFS(BD!$A$3:$A$5001,R$3,BD!$B$3:$B$5001,$A$341,BD!$V$3:$V$5001,"&lt;&gt;")=0,"",SUMIFS(BD!$V$3:$V$5001,BD!$A$3:$A$5001,R$3,BD!$B$3:$B$5001,$A$341)))</f>
        <v/>
      </c>
      <c r="S360" s="199" t="str">
        <f>IF(S$3="","",IF(COUNTIFS(BD!$A$3:$A$5001,S$3,BD!$B$3:$B$5001,$A$341,BD!$V$3:$V$5001,"&lt;&gt;")=0,"",SUMIFS(BD!$V$3:$V$5001,BD!$A$3:$A$5001,S$3,BD!$B$3:$B$5001,$A$341)))</f>
        <v/>
      </c>
      <c r="T360" s="199" t="str">
        <f>IF(T$3="","",IF(COUNTIFS(BD!$A$3:$A$5001,T$3,BD!$B$3:$B$5001,$A$341,BD!$V$3:$V$5001,"&lt;&gt;")=0,"",SUMIFS(BD!$V$3:$V$5001,BD!$A$3:$A$5001,T$3,BD!$B$3:$B$5001,$A$341)))</f>
        <v/>
      </c>
      <c r="U360" s="199" t="str">
        <f>IF(U$3="","",IF(COUNTIFS(BD!$A$3:$A$5001,U$3,BD!$B$3:$B$5001,$A$341,BD!$V$3:$V$5001,"&lt;&gt;")=0,"",SUMIFS(BD!$V$3:$V$5001,BD!$A$3:$A$5001,U$3,BD!$B$3:$B$5001,$A$341)))</f>
        <v/>
      </c>
      <c r="V360" s="199" t="str">
        <f>IF(V$3="","",IF(COUNTIFS(BD!$A$3:$A$5001,V$3,BD!$B$3:$B$5001,$A$341,BD!$V$3:$V$5001,"&lt;&gt;")=0,"",SUMIFS(BD!$V$3:$V$5001,BD!$A$3:$A$5001,V$3,BD!$B$3:$B$5001,$A$341)))</f>
        <v/>
      </c>
      <c r="W360" s="199" t="str">
        <f>IF(W$3="","",IF(COUNTIFS(BD!$A$3:$A$5001,W$3,BD!$B$3:$B$5001,$A$341,BD!$V$3:$V$5001,"&lt;&gt;")=0,"",SUMIFS(BD!$V$3:$V$5001,BD!$A$3:$A$5001,W$3,BD!$B$3:$B$5001,$A$341)))</f>
        <v/>
      </c>
      <c r="X360" s="199" t="str">
        <f>IF(X$3="","",IF(COUNTIFS(BD!$A$3:$A$5001,X$3,BD!$B$3:$B$5001,$A$341,BD!$V$3:$V$5001,"&lt;&gt;")=0,"",SUMIFS(BD!$V$3:$V$5001,BD!$A$3:$A$5001,X$3,BD!$B$3:$B$5001,$A$341)))</f>
        <v/>
      </c>
      <c r="Y360" s="199" t="str">
        <f>IF(Y$3="","",IF(COUNTIFS(BD!$A$3:$A$5001,Y$3,BD!$B$3:$B$5001,$A$341,BD!$V$3:$V$5001,"&lt;&gt;")=0,"",SUMIFS(BD!$V$3:$V$5001,BD!$A$3:$A$5001,Y$3,BD!$B$3:$B$5001,$A$341)))</f>
        <v/>
      </c>
      <c r="Z360" s="199" t="str">
        <f>IF(Z$3="","",IF(COUNTIFS(BD!$A$3:$A$5001,Z$3,BD!$B$3:$B$5001,$A$341,BD!$V$3:$V$5001,"&lt;&gt;")=0,"",SUMIFS(BD!$V$3:$V$5001,BD!$A$3:$A$5001,Z$3,BD!$B$3:$B$5001,$A$341)))</f>
        <v/>
      </c>
      <c r="AA360" s="199" t="str">
        <f>IF(AA$3="","",IF(COUNTIFS(BD!$A$3:$A$5001,AA$3,BD!$B$3:$B$5001,$A$341,BD!$V$3:$V$5001,"&lt;&gt;")=0,"",SUMIFS(BD!$V$3:$V$5001,BD!$A$3:$A$5001,AA$3,BD!$B$3:$B$5001,$A$341)))</f>
        <v/>
      </c>
      <c r="AB360" s="199" t="str">
        <f>IF(AB$3="","",IF(COUNTIFS(BD!$A$3:$A$5001,AB$3,BD!$B$3:$B$5001,$A$341,BD!$V$3:$V$5001,"&lt;&gt;")=0,"",SUMIFS(BD!$V$3:$V$5001,BD!$A$3:$A$5001,AB$3,BD!$B$3:$B$5001,$A$341)))</f>
        <v/>
      </c>
      <c r="AC360" s="199" t="str">
        <f>IF(AC$3="","",IF(COUNTIFS(BD!$A$3:$A$5001,AC$3,BD!$B$3:$B$5001,$A$341,BD!$V$3:$V$5001,"&lt;&gt;")=0,"",SUMIFS(BD!$V$3:$V$5001,BD!$A$3:$A$5001,AC$3,BD!$B$3:$B$5001,$A$341)))</f>
        <v/>
      </c>
      <c r="AD360" s="199" t="str">
        <f>IF(AD$3="","",IF(COUNTIFS(BD!$A$3:$A$5001,AD$3,BD!$B$3:$B$5001,$A$341,BD!$V$3:$V$5001,"&lt;&gt;")=0,"",SUMIFS(BD!$V$3:$V$5001,BD!$A$3:$A$5001,AD$3,BD!$B$3:$B$5001,$A$341)))</f>
        <v/>
      </c>
      <c r="AE360" s="199" t="str">
        <f>IF(AE$3="","",IF(COUNTIFS(BD!$A$3:$A$5001,AE$3,BD!$B$3:$B$5001,$A$341,BD!$V$3:$V$5001,"&lt;&gt;")=0,"",SUMIFS(BD!$V$3:$V$5001,BD!$A$3:$A$5001,AE$3,BD!$B$3:$B$5001,$A$341)))</f>
        <v/>
      </c>
      <c r="AF360" s="199" t="str">
        <f>IF(AF$3="","",IF(COUNTIFS(BD!$A$3:$A$5001,AF$3,BD!$B$3:$B$5001,$A$341,BD!$V$3:$V$5001,"&lt;&gt;")=0,"",SUMIFS(BD!$V$3:$V$5001,BD!$A$3:$A$5001,AF$3,BD!$B$3:$B$5001,$A$341)))</f>
        <v/>
      </c>
      <c r="AG360" s="199" t="str">
        <f>IF(AG$3="","",IF(COUNTIFS(BD!$A$3:$A$5001,AG$3,BD!$B$3:$B$5001,$A$341,BD!$V$3:$V$5001,"&lt;&gt;")=0,"",SUMIFS(BD!$V$3:$V$5001,BD!$A$3:$A$5001,AG$3,BD!$B$3:$B$5001,$A$341)))</f>
        <v/>
      </c>
      <c r="AH360" s="199" t="str">
        <f>IF(AH$3="","",IF(COUNTIFS(BD!$A$3:$A$5001,AH$3,BD!$B$3:$B$5001,$A$341,BD!$V$3:$V$5001,"&lt;&gt;")=0,"",SUMIFS(BD!$V$3:$V$5001,BD!$A$3:$A$5001,AH$3,BD!$B$3:$B$5001,$A$341)))</f>
        <v/>
      </c>
      <c r="AI360" s="199" t="str">
        <f>IF(AI$3="","",IF(COUNTIFS(BD!$A$3:$A$5001,AI$3,BD!$B$3:$B$5001,$A$341,BD!$V$3:$V$5001,"&lt;&gt;")=0,"",SUMIFS(BD!$V$3:$V$5001,BD!$A$3:$A$5001,AI$3,BD!$B$3:$B$5001,$A$341)))</f>
        <v/>
      </c>
      <c r="AJ360" s="200" t="str">
        <f>IF(AJ$3="","",IF(COUNTIFS(BD!$A$3:$A$5001,AJ$3,BD!$B$3:$B$5001,$A$341,BD!$V$3:$V$5001,"&lt;&gt;")=0,"",SUMIFS(BD!$V$3:$V$5001,BD!$A$3:$A$5001,AJ$3,BD!$B$3:$B$5001,$A$341)))</f>
        <v/>
      </c>
      <c r="AK360" s="196" t="str">
        <f>IFERROR(LOOKUP(9.99E+307,F360:AJ360),"")</f>
        <v/>
      </c>
    </row>
    <row r="361" ht="15.75" customHeight="1" hidden="1">
      <c r="A361" s="244"/>
      <c r="B361" s="232" t="inlineStr">
        <is>
          <t xml:space="preserve">OCUPAÇÃO (P.P)</t>
        </is>
      </c>
      <c r="C361" s="155" t="inlineStr">
        <is>
          <t xml:space="preserve">Posições Disponíveis</t>
        </is>
      </c>
      <c r="D361" s="156" t="str">
        <f>IFERROR(1/(1/INDEX(BD!$AJ$43:$BD$43,MATCH($A$341,BD!$AJ$22:$BD$22,0))),"")</f>
        <v/>
      </c>
      <c r="E361" s="157"/>
      <c r="F361" s="158" t="str">
        <f>IF(F$3="","",IF(COUNTIFS(BD!$A$3:$A$5001,F$3,BD!$B$3:$B$5001,$A$341,BD!$W$3:$W$5001,"&lt;&gt;")=0,"",SUMIFS(BD!$W$3:$W$5001,BD!$A$3:$A$5001,F$3,BD!$B$3:$B$5001,$A$341)))</f>
        <v/>
      </c>
      <c r="G361" s="159" t="str">
        <f>IF(G$3="","",IF(COUNTIFS(BD!$A$3:$A$5001,G$3,BD!$B$3:$B$5001,$A$341,BD!$W$3:$W$5001,"&lt;&gt;")=0,"",SUMIFS(BD!$W$3:$W$5001,BD!$A$3:$A$5001,G$3,BD!$B$3:$B$5001,$A$341)))</f>
        <v/>
      </c>
      <c r="H361" s="159" t="str">
        <f>IF(H$3="","",IF(COUNTIFS(BD!$A$3:$A$5001,H$3,BD!$B$3:$B$5001,$A$341,BD!$W$3:$W$5001,"&lt;&gt;")=0,"",SUMIFS(BD!$W$3:$W$5001,BD!$A$3:$A$5001,H$3,BD!$B$3:$B$5001,$A$341)))</f>
        <v/>
      </c>
      <c r="I361" s="159" t="str">
        <f>IF(I$3="","",IF(COUNTIFS(BD!$A$3:$A$5001,I$3,BD!$B$3:$B$5001,$A$341,BD!$W$3:$W$5001,"&lt;&gt;")=0,"",SUMIFS(BD!$W$3:$W$5001,BD!$A$3:$A$5001,I$3,BD!$B$3:$B$5001,$A$341)))</f>
        <v/>
      </c>
      <c r="J361" s="159" t="str">
        <f>IF(J$3="","",IF(COUNTIFS(BD!$A$3:$A$5001,J$3,BD!$B$3:$B$5001,$A$341,BD!$W$3:$W$5001,"&lt;&gt;")=0,"",SUMIFS(BD!$W$3:$W$5001,BD!$A$3:$A$5001,J$3,BD!$B$3:$B$5001,$A$341)))</f>
        <v/>
      </c>
      <c r="K361" s="159" t="str">
        <f>IF(K$3="","",IF(COUNTIFS(BD!$A$3:$A$5001,K$3,BD!$B$3:$B$5001,$A$341,BD!$W$3:$W$5001,"&lt;&gt;")=0,"",SUMIFS(BD!$W$3:$W$5001,BD!$A$3:$A$5001,K$3,BD!$B$3:$B$5001,$A$341)))</f>
        <v/>
      </c>
      <c r="L361" s="159" t="str">
        <f>IF(L$3="","",IF(COUNTIFS(BD!$A$3:$A$5001,L$3,BD!$B$3:$B$5001,$A$341,BD!$W$3:$W$5001,"&lt;&gt;")=0,"",SUMIFS(BD!$W$3:$W$5001,BD!$A$3:$A$5001,L$3,BD!$B$3:$B$5001,$A$341)))</f>
        <v/>
      </c>
      <c r="M361" s="159" t="str">
        <f>IF(M$3="","",IF(COUNTIFS(BD!$A$3:$A$5001,M$3,BD!$B$3:$B$5001,$A$341,BD!$W$3:$W$5001,"&lt;&gt;")=0,"",SUMIFS(BD!$W$3:$W$5001,BD!$A$3:$A$5001,M$3,BD!$B$3:$B$5001,$A$341)))</f>
        <v/>
      </c>
      <c r="N361" s="159" t="str">
        <f>IF(N$3="","",IF(COUNTIFS(BD!$A$3:$A$5001,N$3,BD!$B$3:$B$5001,$A$341,BD!$W$3:$W$5001,"&lt;&gt;")=0,"",SUMIFS(BD!$W$3:$W$5001,BD!$A$3:$A$5001,N$3,BD!$B$3:$B$5001,$A$341)))</f>
        <v/>
      </c>
      <c r="O361" s="159" t="str">
        <f>IF(O$3="","",IF(COUNTIFS(BD!$A$3:$A$5001,O$3,BD!$B$3:$B$5001,$A$341,BD!$W$3:$W$5001,"&lt;&gt;")=0,"",SUMIFS(BD!$W$3:$W$5001,BD!$A$3:$A$5001,O$3,BD!$B$3:$B$5001,$A$341)))</f>
        <v/>
      </c>
      <c r="P361" s="159" t="str">
        <f>IF(P$3="","",IF(COUNTIFS(BD!$A$3:$A$5001,P$3,BD!$B$3:$B$5001,$A$341,BD!$W$3:$W$5001,"&lt;&gt;")=0,"",SUMIFS(BD!$W$3:$W$5001,BD!$A$3:$A$5001,P$3,BD!$B$3:$B$5001,$A$341)))</f>
        <v/>
      </c>
      <c r="Q361" s="159" t="str">
        <f>IF(Q$3="","",IF(COUNTIFS(BD!$A$3:$A$5001,Q$3,BD!$B$3:$B$5001,$A$341,BD!$W$3:$W$5001,"&lt;&gt;")=0,"",SUMIFS(BD!$W$3:$W$5001,BD!$A$3:$A$5001,Q$3,BD!$B$3:$B$5001,$A$341)))</f>
        <v/>
      </c>
      <c r="R361" s="159" t="str">
        <f>IF(R$3="","",IF(COUNTIFS(BD!$A$3:$A$5001,R$3,BD!$B$3:$B$5001,$A$341,BD!$W$3:$W$5001,"&lt;&gt;")=0,"",SUMIFS(BD!$W$3:$W$5001,BD!$A$3:$A$5001,R$3,BD!$B$3:$B$5001,$A$341)))</f>
        <v/>
      </c>
      <c r="S361" s="159" t="str">
        <f>IF(S$3="","",IF(COUNTIFS(BD!$A$3:$A$5001,S$3,BD!$B$3:$B$5001,$A$341,BD!$W$3:$W$5001,"&lt;&gt;")=0,"",SUMIFS(BD!$W$3:$W$5001,BD!$A$3:$A$5001,S$3,BD!$B$3:$B$5001,$A$341)))</f>
        <v/>
      </c>
      <c r="T361" s="159" t="str">
        <f>IF(T$3="","",IF(COUNTIFS(BD!$A$3:$A$5001,T$3,BD!$B$3:$B$5001,$A$341,BD!$W$3:$W$5001,"&lt;&gt;")=0,"",SUMIFS(BD!$W$3:$W$5001,BD!$A$3:$A$5001,T$3,BD!$B$3:$B$5001,$A$341)))</f>
        <v/>
      </c>
      <c r="U361" s="159" t="str">
        <f>IF(U$3="","",IF(COUNTIFS(BD!$A$3:$A$5001,U$3,BD!$B$3:$B$5001,$A$341,BD!$W$3:$W$5001,"&lt;&gt;")=0,"",SUMIFS(BD!$W$3:$W$5001,BD!$A$3:$A$5001,U$3,BD!$B$3:$B$5001,$A$341)))</f>
        <v/>
      </c>
      <c r="V361" s="159" t="str">
        <f>IF(V$3="","",IF(COUNTIFS(BD!$A$3:$A$5001,V$3,BD!$B$3:$B$5001,$A$341,BD!$W$3:$W$5001,"&lt;&gt;")=0,"",SUMIFS(BD!$W$3:$W$5001,BD!$A$3:$A$5001,V$3,BD!$B$3:$B$5001,$A$341)))</f>
        <v/>
      </c>
      <c r="W361" s="159" t="str">
        <f>IF(W$3="","",IF(COUNTIFS(BD!$A$3:$A$5001,W$3,BD!$B$3:$B$5001,$A$341,BD!$W$3:$W$5001,"&lt;&gt;")=0,"",SUMIFS(BD!$W$3:$W$5001,BD!$A$3:$A$5001,W$3,BD!$B$3:$B$5001,$A$341)))</f>
        <v/>
      </c>
      <c r="X361" s="159" t="str">
        <f>IF(X$3="","",IF(COUNTIFS(BD!$A$3:$A$5001,X$3,BD!$B$3:$B$5001,$A$341,BD!$W$3:$W$5001,"&lt;&gt;")=0,"",SUMIFS(BD!$W$3:$W$5001,BD!$A$3:$A$5001,X$3,BD!$B$3:$B$5001,$A$341)))</f>
        <v/>
      </c>
      <c r="Y361" s="159" t="str">
        <f>IF(Y$3="","",IF(COUNTIFS(BD!$A$3:$A$5001,Y$3,BD!$B$3:$B$5001,$A$341,BD!$W$3:$W$5001,"&lt;&gt;")=0,"",SUMIFS(BD!$W$3:$W$5001,BD!$A$3:$A$5001,Y$3,BD!$B$3:$B$5001,$A$341)))</f>
        <v/>
      </c>
      <c r="Z361" s="159" t="str">
        <f>IF(Z$3="","",IF(COUNTIFS(BD!$A$3:$A$5001,Z$3,BD!$B$3:$B$5001,$A$341,BD!$W$3:$W$5001,"&lt;&gt;")=0,"",SUMIFS(BD!$W$3:$W$5001,BD!$A$3:$A$5001,Z$3,BD!$B$3:$B$5001,$A$341)))</f>
        <v/>
      </c>
      <c r="AA361" s="159" t="str">
        <f>IF(AA$3="","",IF(COUNTIFS(BD!$A$3:$A$5001,AA$3,BD!$B$3:$B$5001,$A$341,BD!$W$3:$W$5001,"&lt;&gt;")=0,"",SUMIFS(BD!$W$3:$W$5001,BD!$A$3:$A$5001,AA$3,BD!$B$3:$B$5001,$A$341)))</f>
        <v/>
      </c>
      <c r="AB361" s="159" t="str">
        <f>IF(AB$3="","",IF(COUNTIFS(BD!$A$3:$A$5001,AB$3,BD!$B$3:$B$5001,$A$341,BD!$W$3:$W$5001,"&lt;&gt;")=0,"",SUMIFS(BD!$W$3:$W$5001,BD!$A$3:$A$5001,AB$3,BD!$B$3:$B$5001,$A$341)))</f>
        <v/>
      </c>
      <c r="AC361" s="159" t="str">
        <f>IF(AC$3="","",IF(COUNTIFS(BD!$A$3:$A$5001,AC$3,BD!$B$3:$B$5001,$A$341,BD!$W$3:$W$5001,"&lt;&gt;")=0,"",SUMIFS(BD!$W$3:$W$5001,BD!$A$3:$A$5001,AC$3,BD!$B$3:$B$5001,$A$341)))</f>
        <v/>
      </c>
      <c r="AD361" s="159" t="str">
        <f>IF(AD$3="","",IF(COUNTIFS(BD!$A$3:$A$5001,AD$3,BD!$B$3:$B$5001,$A$341,BD!$W$3:$W$5001,"&lt;&gt;")=0,"",SUMIFS(BD!$W$3:$W$5001,BD!$A$3:$A$5001,AD$3,BD!$B$3:$B$5001,$A$341)))</f>
        <v/>
      </c>
      <c r="AE361" s="159" t="str">
        <f>IF(AE$3="","",IF(COUNTIFS(BD!$A$3:$A$5001,AE$3,BD!$B$3:$B$5001,$A$341,BD!$W$3:$W$5001,"&lt;&gt;")=0,"",SUMIFS(BD!$W$3:$W$5001,BD!$A$3:$A$5001,AE$3,BD!$B$3:$B$5001,$A$341)))</f>
        <v/>
      </c>
      <c r="AF361" s="159" t="str">
        <f>IF(AF$3="","",IF(COUNTIFS(BD!$A$3:$A$5001,AF$3,BD!$B$3:$B$5001,$A$341,BD!$W$3:$W$5001,"&lt;&gt;")=0,"",SUMIFS(BD!$W$3:$W$5001,BD!$A$3:$A$5001,AF$3,BD!$B$3:$B$5001,$A$341)))</f>
        <v/>
      </c>
      <c r="AG361" s="159" t="str">
        <f>IF(AG$3="","",IF(COUNTIFS(BD!$A$3:$A$5001,AG$3,BD!$B$3:$B$5001,$A$341,BD!$W$3:$W$5001,"&lt;&gt;")=0,"",SUMIFS(BD!$W$3:$W$5001,BD!$A$3:$A$5001,AG$3,BD!$B$3:$B$5001,$A$341)))</f>
        <v/>
      </c>
      <c r="AH361" s="159" t="str">
        <f>IF(AH$3="","",IF(COUNTIFS(BD!$A$3:$A$5001,AH$3,BD!$B$3:$B$5001,$A$341,BD!$W$3:$W$5001,"&lt;&gt;")=0,"",SUMIFS(BD!$W$3:$W$5001,BD!$A$3:$A$5001,AH$3,BD!$B$3:$B$5001,$A$341)))</f>
        <v/>
      </c>
      <c r="AI361" s="159" t="str">
        <f>IF(AI$3="","",IF(COUNTIFS(BD!$A$3:$A$5001,AI$3,BD!$B$3:$B$5001,$A$341,BD!$W$3:$W$5001,"&lt;&gt;")=0,"",SUMIFS(BD!$W$3:$W$5001,BD!$A$3:$A$5001,AI$3,BD!$B$3:$B$5001,$A$341)))</f>
        <v/>
      </c>
      <c r="AJ361" s="160" t="str">
        <f>IF(AJ$3="","",IF(COUNTIFS(BD!$A$3:$A$5001,AJ$3,BD!$B$3:$B$5001,$A$341,BD!$W$3:$W$5001,"&lt;&gt;")=0,"",SUMIFS(BD!$W$3:$W$5001,BD!$A$3:$A$5001,AJ$3,BD!$B$3:$B$5001,$A$341)))</f>
        <v/>
      </c>
      <c r="AK361" s="161" t="str">
        <f>IF(COUNT(F361:AJ361)&gt;0,LOOKUP(9.99E+307,F361:AJ361),IFERROR(IF(INDEX(BD!$AG$3:$AG$5001,MATCH($A$341,BD!$B$3:$B$5001,0))&amp;""="Contrato","",INDEX(BD!$AG$3:$AG$5001,MATCH($A$341,BD!$B$3:$B$5001,0))&amp;""),""))</f>
        <v/>
      </c>
    </row>
    <row r="362" ht="15.75" customHeight="1" hidden="1">
      <c r="A362" s="244"/>
      <c r="B362" s="239"/>
      <c r="C362" s="201" t="inlineStr">
        <is>
          <t xml:space="preserve">Posições Ocupadas</t>
        </is>
      </c>
      <c r="D362" s="202" t="str">
        <f>IFERROR(1/(1/INDEX(BD!$AJ$44:$BD$44,MATCH($A$341,BD!$AJ$22:$BD$22,0))),"")</f>
        <v/>
      </c>
      <c r="E362" s="203"/>
      <c r="F362" s="204" t="str">
        <f>IF(F$3="","",IF(COUNTIFS(BD!$A$3:$A$5001,F$3,BD!$B$3:$B$5001,$A$341,BD!$X$3:$X$5001,"&lt;&gt;")=0,"",SUMIFS(BD!$X$3:$X$5001,BD!$A$3:$A$5001,F$3,BD!$B$3:$B$5001,$A$341)))</f>
        <v/>
      </c>
      <c r="G362" s="205" t="str">
        <f>IF(G$3="","",IF(COUNTIFS(BD!$A$3:$A$5001,G$3,BD!$B$3:$B$5001,$A$341,BD!$X$3:$X$5001,"&lt;&gt;")=0,"",SUMIFS(BD!$X$3:$X$5001,BD!$A$3:$A$5001,G$3,BD!$B$3:$B$5001,$A$341)))</f>
        <v/>
      </c>
      <c r="H362" s="205" t="str">
        <f>IF(H$3="","",IF(COUNTIFS(BD!$A$3:$A$5001,H$3,BD!$B$3:$B$5001,$A$341,BD!$X$3:$X$5001,"&lt;&gt;")=0,"",SUMIFS(BD!$X$3:$X$5001,BD!$A$3:$A$5001,H$3,BD!$B$3:$B$5001,$A$341)))</f>
        <v/>
      </c>
      <c r="I362" s="205" t="str">
        <f>IF(I$3="","",IF(COUNTIFS(BD!$A$3:$A$5001,I$3,BD!$B$3:$B$5001,$A$341,BD!$X$3:$X$5001,"&lt;&gt;")=0,"",SUMIFS(BD!$X$3:$X$5001,BD!$A$3:$A$5001,I$3,BD!$B$3:$B$5001,$A$341)))</f>
        <v/>
      </c>
      <c r="J362" s="205" t="str">
        <f>IF(J$3="","",IF(COUNTIFS(BD!$A$3:$A$5001,J$3,BD!$B$3:$B$5001,$A$341,BD!$X$3:$X$5001,"&lt;&gt;")=0,"",SUMIFS(BD!$X$3:$X$5001,BD!$A$3:$A$5001,J$3,BD!$B$3:$B$5001,$A$341)))</f>
        <v/>
      </c>
      <c r="K362" s="205" t="str">
        <f>IF(K$3="","",IF(COUNTIFS(BD!$A$3:$A$5001,K$3,BD!$B$3:$B$5001,$A$341,BD!$X$3:$X$5001,"&lt;&gt;")=0,"",SUMIFS(BD!$X$3:$X$5001,BD!$A$3:$A$5001,K$3,BD!$B$3:$B$5001,$A$341)))</f>
        <v/>
      </c>
      <c r="L362" s="205" t="str">
        <f>IF(L$3="","",IF(COUNTIFS(BD!$A$3:$A$5001,L$3,BD!$B$3:$B$5001,$A$341,BD!$X$3:$X$5001,"&lt;&gt;")=0,"",SUMIFS(BD!$X$3:$X$5001,BD!$A$3:$A$5001,L$3,BD!$B$3:$B$5001,$A$341)))</f>
        <v/>
      </c>
      <c r="M362" s="205" t="str">
        <f>IF(M$3="","",IF(COUNTIFS(BD!$A$3:$A$5001,M$3,BD!$B$3:$B$5001,$A$341,BD!$X$3:$X$5001,"&lt;&gt;")=0,"",SUMIFS(BD!$X$3:$X$5001,BD!$A$3:$A$5001,M$3,BD!$B$3:$B$5001,$A$341)))</f>
        <v/>
      </c>
      <c r="N362" s="205" t="str">
        <f>IF(N$3="","",IF(COUNTIFS(BD!$A$3:$A$5001,N$3,BD!$B$3:$B$5001,$A$341,BD!$X$3:$X$5001,"&lt;&gt;")=0,"",SUMIFS(BD!$X$3:$X$5001,BD!$A$3:$A$5001,N$3,BD!$B$3:$B$5001,$A$341)))</f>
        <v/>
      </c>
      <c r="O362" s="205" t="str">
        <f>IF(O$3="","",IF(COUNTIFS(BD!$A$3:$A$5001,O$3,BD!$B$3:$B$5001,$A$341,BD!$X$3:$X$5001,"&lt;&gt;")=0,"",SUMIFS(BD!$X$3:$X$5001,BD!$A$3:$A$5001,O$3,BD!$B$3:$B$5001,$A$341)))</f>
        <v/>
      </c>
      <c r="P362" s="205" t="str">
        <f>IF(P$3="","",IF(COUNTIFS(BD!$A$3:$A$5001,P$3,BD!$B$3:$B$5001,$A$341,BD!$X$3:$X$5001,"&lt;&gt;")=0,"",SUMIFS(BD!$X$3:$X$5001,BD!$A$3:$A$5001,P$3,BD!$B$3:$B$5001,$A$341)))</f>
        <v/>
      </c>
      <c r="Q362" s="205" t="str">
        <f>IF(Q$3="","",IF(COUNTIFS(BD!$A$3:$A$5001,Q$3,BD!$B$3:$B$5001,$A$341,BD!$X$3:$X$5001,"&lt;&gt;")=0,"",SUMIFS(BD!$X$3:$X$5001,BD!$A$3:$A$5001,Q$3,BD!$B$3:$B$5001,$A$341)))</f>
        <v/>
      </c>
      <c r="R362" s="205" t="str">
        <f>IF(R$3="","",IF(COUNTIFS(BD!$A$3:$A$5001,R$3,BD!$B$3:$B$5001,$A$341,BD!$X$3:$X$5001,"&lt;&gt;")=0,"",SUMIFS(BD!$X$3:$X$5001,BD!$A$3:$A$5001,R$3,BD!$B$3:$B$5001,$A$341)))</f>
        <v/>
      </c>
      <c r="S362" s="205" t="str">
        <f>IF(S$3="","",IF(COUNTIFS(BD!$A$3:$A$5001,S$3,BD!$B$3:$B$5001,$A$341,BD!$X$3:$X$5001,"&lt;&gt;")=0,"",SUMIFS(BD!$X$3:$X$5001,BD!$A$3:$A$5001,S$3,BD!$B$3:$B$5001,$A$341)))</f>
        <v/>
      </c>
      <c r="T362" s="205" t="str">
        <f>IF(T$3="","",IF(COUNTIFS(BD!$A$3:$A$5001,T$3,BD!$B$3:$B$5001,$A$341,BD!$X$3:$X$5001,"&lt;&gt;")=0,"",SUMIFS(BD!$X$3:$X$5001,BD!$A$3:$A$5001,T$3,BD!$B$3:$B$5001,$A$341)))</f>
        <v/>
      </c>
      <c r="U362" s="205" t="str">
        <f>IF(U$3="","",IF(COUNTIFS(BD!$A$3:$A$5001,U$3,BD!$B$3:$B$5001,$A$341,BD!$X$3:$X$5001,"&lt;&gt;")=0,"",SUMIFS(BD!$X$3:$X$5001,BD!$A$3:$A$5001,U$3,BD!$B$3:$B$5001,$A$341)))</f>
        <v/>
      </c>
      <c r="V362" s="205" t="str">
        <f>IF(V$3="","",IF(COUNTIFS(BD!$A$3:$A$5001,V$3,BD!$B$3:$B$5001,$A$341,BD!$X$3:$X$5001,"&lt;&gt;")=0,"",SUMIFS(BD!$X$3:$X$5001,BD!$A$3:$A$5001,V$3,BD!$B$3:$B$5001,$A$341)))</f>
        <v/>
      </c>
      <c r="W362" s="205" t="str">
        <f>IF(W$3="","",IF(COUNTIFS(BD!$A$3:$A$5001,W$3,BD!$B$3:$B$5001,$A$341,BD!$X$3:$X$5001,"&lt;&gt;")=0,"",SUMIFS(BD!$X$3:$X$5001,BD!$A$3:$A$5001,W$3,BD!$B$3:$B$5001,$A$341)))</f>
        <v/>
      </c>
      <c r="X362" s="205" t="str">
        <f>IF(X$3="","",IF(COUNTIFS(BD!$A$3:$A$5001,X$3,BD!$B$3:$B$5001,$A$341,BD!$X$3:$X$5001,"&lt;&gt;")=0,"",SUMIFS(BD!$X$3:$X$5001,BD!$A$3:$A$5001,X$3,BD!$B$3:$B$5001,$A$341)))</f>
        <v/>
      </c>
      <c r="Y362" s="205" t="str">
        <f>IF(Y$3="","",IF(COUNTIFS(BD!$A$3:$A$5001,Y$3,BD!$B$3:$B$5001,$A$341,BD!$X$3:$X$5001,"&lt;&gt;")=0,"",SUMIFS(BD!$X$3:$X$5001,BD!$A$3:$A$5001,Y$3,BD!$B$3:$B$5001,$A$341)))</f>
        <v/>
      </c>
      <c r="Z362" s="205" t="str">
        <f>IF(Z$3="","",IF(COUNTIFS(BD!$A$3:$A$5001,Z$3,BD!$B$3:$B$5001,$A$341,BD!$X$3:$X$5001,"&lt;&gt;")=0,"",SUMIFS(BD!$X$3:$X$5001,BD!$A$3:$A$5001,Z$3,BD!$B$3:$B$5001,$A$341)))</f>
        <v/>
      </c>
      <c r="AA362" s="205" t="str">
        <f>IF(AA$3="","",IF(COUNTIFS(BD!$A$3:$A$5001,AA$3,BD!$B$3:$B$5001,$A$341,BD!$X$3:$X$5001,"&lt;&gt;")=0,"",SUMIFS(BD!$X$3:$X$5001,BD!$A$3:$A$5001,AA$3,BD!$B$3:$B$5001,$A$341)))</f>
        <v/>
      </c>
      <c r="AB362" s="205" t="str">
        <f>IF(AB$3="","",IF(COUNTIFS(BD!$A$3:$A$5001,AB$3,BD!$B$3:$B$5001,$A$341,BD!$X$3:$X$5001,"&lt;&gt;")=0,"",SUMIFS(BD!$X$3:$X$5001,BD!$A$3:$A$5001,AB$3,BD!$B$3:$B$5001,$A$341)))</f>
        <v/>
      </c>
      <c r="AC362" s="205" t="str">
        <f>IF(AC$3="","",IF(COUNTIFS(BD!$A$3:$A$5001,AC$3,BD!$B$3:$B$5001,$A$341,BD!$X$3:$X$5001,"&lt;&gt;")=0,"",SUMIFS(BD!$X$3:$X$5001,BD!$A$3:$A$5001,AC$3,BD!$B$3:$B$5001,$A$341)))</f>
        <v/>
      </c>
      <c r="AD362" s="205" t="str">
        <f>IF(AD$3="","",IF(COUNTIFS(BD!$A$3:$A$5001,AD$3,BD!$B$3:$B$5001,$A$341,BD!$X$3:$X$5001,"&lt;&gt;")=0,"",SUMIFS(BD!$X$3:$X$5001,BD!$A$3:$A$5001,AD$3,BD!$B$3:$B$5001,$A$341)))</f>
        <v/>
      </c>
      <c r="AE362" s="205" t="str">
        <f>IF(AE$3="","",IF(COUNTIFS(BD!$A$3:$A$5001,AE$3,BD!$B$3:$B$5001,$A$341,BD!$X$3:$X$5001,"&lt;&gt;")=0,"",SUMIFS(BD!$X$3:$X$5001,BD!$A$3:$A$5001,AE$3,BD!$B$3:$B$5001,$A$341)))</f>
        <v/>
      </c>
      <c r="AF362" s="205" t="str">
        <f>IF(AF$3="","",IF(COUNTIFS(BD!$A$3:$A$5001,AF$3,BD!$B$3:$B$5001,$A$341,BD!$X$3:$X$5001,"&lt;&gt;")=0,"",SUMIFS(BD!$X$3:$X$5001,BD!$A$3:$A$5001,AF$3,BD!$B$3:$B$5001,$A$341)))</f>
        <v/>
      </c>
      <c r="AG362" s="205" t="str">
        <f>IF(AG$3="","",IF(COUNTIFS(BD!$A$3:$A$5001,AG$3,BD!$B$3:$B$5001,$A$341,BD!$X$3:$X$5001,"&lt;&gt;")=0,"",SUMIFS(BD!$X$3:$X$5001,BD!$A$3:$A$5001,AG$3,BD!$B$3:$B$5001,$A$341)))</f>
        <v/>
      </c>
      <c r="AH362" s="205" t="str">
        <f>IF(AH$3="","",IF(COUNTIFS(BD!$A$3:$A$5001,AH$3,BD!$B$3:$B$5001,$A$341,BD!$X$3:$X$5001,"&lt;&gt;")=0,"",SUMIFS(BD!$X$3:$X$5001,BD!$A$3:$A$5001,AH$3,BD!$B$3:$B$5001,$A$341)))</f>
        <v/>
      </c>
      <c r="AI362" s="205" t="str">
        <f>IF(AI$3="","",IF(COUNTIFS(BD!$A$3:$A$5001,AI$3,BD!$B$3:$B$5001,$A$341,BD!$X$3:$X$5001,"&lt;&gt;")=0,"",SUMIFS(BD!$X$3:$X$5001,BD!$A$3:$A$5001,AI$3,BD!$B$3:$B$5001,$A$341)))</f>
        <v/>
      </c>
      <c r="AJ362" s="206" t="str">
        <f>IF(AJ$3="","",IF(COUNTIFS(BD!$A$3:$A$5001,AJ$3,BD!$B$3:$B$5001,$A$341,BD!$X$3:$X$5001,"&lt;&gt;")=0,"",SUMIFS(BD!$X$3:$X$5001,BD!$A$3:$A$5001,AJ$3,BD!$B$3:$B$5001,$A$341)))</f>
        <v/>
      </c>
      <c r="AK362" s="207" t="str">
        <f>IFERROR(LOOKUP(9.99E+307,F362:AJ362),"")</f>
        <v/>
      </c>
    </row>
    <row r="363" ht="15.75" customHeight="1" hidden="1">
      <c r="A363" s="244"/>
      <c r="B363" s="233"/>
      <c r="C363" s="162" t="inlineStr">
        <is>
          <t xml:space="preserve">Taxa de Ocupação</t>
        </is>
      </c>
      <c r="D363" s="208" t="str">
        <f>IFERROR(1/(1/INDEX(BD!$AJ$45:$BD$45,MATCH($A$341,BD!$AJ$22:$BD$22,0))),"")</f>
        <v/>
      </c>
      <c r="E363" s="164"/>
      <c r="F363" s="209" t="str">
        <f>IF(AND(ISNUMBER(F361),ISNUMBER(F362)),IF(F361&gt;0,F362/F361,""),"")</f>
        <v/>
      </c>
      <c r="G363" s="210" t="str">
        <f>IF(AND(ISNUMBER(G361),ISNUMBER(G362)),IF(G361&gt;0,G362/G361,""),"")</f>
        <v/>
      </c>
      <c r="H363" s="210" t="str">
        <f>IF(AND(ISNUMBER(H361),ISNUMBER(H362)),IF(H361&gt;0,H362/H361,""),"")</f>
        <v/>
      </c>
      <c r="I363" s="210" t="str">
        <f>IF(AND(ISNUMBER(I361),ISNUMBER(I362)),IF(I361&gt;0,I362/I361,""),"")</f>
        <v/>
      </c>
      <c r="J363" s="210" t="str">
        <f>IF(AND(ISNUMBER(J361),ISNUMBER(J362)),IF(J361&gt;0,J362/J361,""),"")</f>
        <v/>
      </c>
      <c r="K363" s="210" t="str">
        <f>IF(AND(ISNUMBER(K361),ISNUMBER(K362)),IF(K361&gt;0,K362/K361,""),"")</f>
        <v/>
      </c>
      <c r="L363" s="210" t="str">
        <f>IF(AND(ISNUMBER(L361),ISNUMBER(L362)),IF(L361&gt;0,L362/L361,""),"")</f>
        <v/>
      </c>
      <c r="M363" s="210" t="str">
        <f>IF(AND(ISNUMBER(M361),ISNUMBER(M362)),IF(M361&gt;0,M362/M361,""),"")</f>
        <v/>
      </c>
      <c r="N363" s="210" t="str">
        <f>IF(AND(ISNUMBER(N361),ISNUMBER(N362)),IF(N361&gt;0,N362/N361,""),"")</f>
        <v/>
      </c>
      <c r="O363" s="210" t="str">
        <f>IF(AND(ISNUMBER(O361),ISNUMBER(O362)),IF(O361&gt;0,O362/O361,""),"")</f>
        <v/>
      </c>
      <c r="P363" s="210" t="str">
        <f>IF(AND(ISNUMBER(P361),ISNUMBER(P362)),IF(P361&gt;0,P362/P361,""),"")</f>
        <v/>
      </c>
      <c r="Q363" s="210" t="str">
        <f>IF(AND(ISNUMBER(Q361),ISNUMBER(Q362)),IF(Q361&gt;0,Q362/Q361,""),"")</f>
        <v/>
      </c>
      <c r="R363" s="210" t="str">
        <f>IF(AND(ISNUMBER(R361),ISNUMBER(R362)),IF(R361&gt;0,R362/R361,""),"")</f>
        <v/>
      </c>
      <c r="S363" s="210" t="str">
        <f>IF(AND(ISNUMBER(S361),ISNUMBER(S362)),IF(S361&gt;0,S362/S361,""),"")</f>
        <v/>
      </c>
      <c r="T363" s="210" t="str">
        <f>IF(AND(ISNUMBER(T361),ISNUMBER(T362)),IF(T361&gt;0,T362/T361,""),"")</f>
        <v/>
      </c>
      <c r="U363" s="210" t="str">
        <f>IF(AND(ISNUMBER(U361),ISNUMBER(U362)),IF(U361&gt;0,U362/U361,""),"")</f>
        <v/>
      </c>
      <c r="V363" s="210" t="str">
        <f>IF(AND(ISNUMBER(V361),ISNUMBER(V362)),IF(V361&gt;0,V362/V361,""),"")</f>
        <v/>
      </c>
      <c r="W363" s="210" t="str">
        <f>IF(AND(ISNUMBER(W361),ISNUMBER(W362)),IF(W361&gt;0,W362/W361,""),"")</f>
        <v/>
      </c>
      <c r="X363" s="210" t="str">
        <f>IF(AND(ISNUMBER(X361),ISNUMBER(X362)),IF(X361&gt;0,X362/X361,""),"")</f>
        <v/>
      </c>
      <c r="Y363" s="210" t="str">
        <f>IF(AND(ISNUMBER(Y361),ISNUMBER(Y362)),IF(Y361&gt;0,Y362/Y361,""),"")</f>
        <v/>
      </c>
      <c r="Z363" s="210" t="str">
        <f>IF(AND(ISNUMBER(Z361),ISNUMBER(Z362)),IF(Z361&gt;0,Z362/Z361,""),"")</f>
        <v/>
      </c>
      <c r="AA363" s="210" t="str">
        <f>IF(AND(ISNUMBER(AA361),ISNUMBER(AA362)),IF(AA361&gt;0,AA362/AA361,""),"")</f>
        <v/>
      </c>
      <c r="AB363" s="210" t="str">
        <f>IF(AND(ISNUMBER(AB361),ISNUMBER(AB362)),IF(AB361&gt;0,AB362/AB361,""),"")</f>
        <v/>
      </c>
      <c r="AC363" s="210" t="str">
        <f>IF(AND(ISNUMBER(AC361),ISNUMBER(AC362)),IF(AC361&gt;0,AC362/AC361,""),"")</f>
        <v/>
      </c>
      <c r="AD363" s="210" t="str">
        <f>IF(AND(ISNUMBER(AD361),ISNUMBER(AD362)),IF(AD361&gt;0,AD362/AD361,""),"")</f>
        <v/>
      </c>
      <c r="AE363" s="210" t="str">
        <f>IF(AND(ISNUMBER(AE361),ISNUMBER(AE362)),IF(AE361&gt;0,AE362/AE361,""),"")</f>
        <v/>
      </c>
      <c r="AF363" s="210" t="str">
        <f>IF(AND(ISNUMBER(AF361),ISNUMBER(AF362)),IF(AF361&gt;0,AF362/AF361,""),"")</f>
        <v/>
      </c>
      <c r="AG363" s="210" t="str">
        <f>IF(AND(ISNUMBER(AG361),ISNUMBER(AG362)),IF(AG361&gt;0,AG362/AG361,""),"")</f>
        <v/>
      </c>
      <c r="AH363" s="210" t="str">
        <f>IF(AND(ISNUMBER(AH361),ISNUMBER(AH362)),IF(AH361&gt;0,AH362/AH361,""),"")</f>
        <v/>
      </c>
      <c r="AI363" s="210" t="str">
        <f>IF(AND(ISNUMBER(AI361),ISNUMBER(AI362)),IF(AI361&gt;0,AI362/AI361,""),"")</f>
        <v/>
      </c>
      <c r="AJ363" s="211" t="str">
        <f>IF(AND(ISNUMBER(AJ361),ISNUMBER(AJ362)),IF(AJ361&gt;0,AJ362/AJ361,""),"")</f>
        <v/>
      </c>
      <c r="AK363" s="208" t="str">
        <f>IF(AND(ISNUMBER(AK361),ISNUMBER(AK362)),IF(AK361&gt;0,AK362/AK361,""),"")</f>
        <v/>
      </c>
    </row>
    <row r="364" ht="15.75" customHeight="1" hidden="1">
      <c r="A364" s="244"/>
      <c r="B364" s="240" t="inlineStr">
        <is>
          <t xml:space="preserve">GENTE</t>
        </is>
      </c>
      <c r="C364" s="212" t="inlineStr">
        <is>
          <t xml:space="preserve">Efetivo Op.</t>
        </is>
      </c>
      <c r="D364" s="213" t="str">
        <f>IFERROR(1/(1/INDEX(BD!$AJ$46:$BD$46,MATCH($A$341,BD!$AJ$22:$BD$22,0))),"")</f>
        <v/>
      </c>
      <c r="E364" s="214"/>
      <c r="F364" s="215" t="str">
        <f>IF(F$3="","",IF(COUNTIFS(BD!$A$3:$A$5001,F$3,BD!$B$3:$B$5001,$A$341,BD!$Y$3:$Y$5001,"&lt;&gt;")=0,"",SUMIFS(BD!$Y$3:$Y$5001,BD!$A$3:$A$5001,F$3,BD!$B$3:$B$5001,$A$341)))</f>
        <v/>
      </c>
      <c r="G364" s="216" t="str">
        <f>IF(G$3="","",IF(COUNTIFS(BD!$A$3:$A$5001,G$3,BD!$B$3:$B$5001,$A$341,BD!$Y$3:$Y$5001,"&lt;&gt;")=0,"",SUMIFS(BD!$Y$3:$Y$5001,BD!$A$3:$A$5001,G$3,BD!$B$3:$B$5001,$A$341)))</f>
        <v/>
      </c>
      <c r="H364" s="216" t="str">
        <f>IF(H$3="","",IF(COUNTIFS(BD!$A$3:$A$5001,H$3,BD!$B$3:$B$5001,$A$341,BD!$Y$3:$Y$5001,"&lt;&gt;")=0,"",SUMIFS(BD!$Y$3:$Y$5001,BD!$A$3:$A$5001,H$3,BD!$B$3:$B$5001,$A$341)))</f>
        <v/>
      </c>
      <c r="I364" s="216" t="str">
        <f>IF(I$3="","",IF(COUNTIFS(BD!$A$3:$A$5001,I$3,BD!$B$3:$B$5001,$A$341,BD!$Y$3:$Y$5001,"&lt;&gt;")=0,"",SUMIFS(BD!$Y$3:$Y$5001,BD!$A$3:$A$5001,I$3,BD!$B$3:$B$5001,$A$341)))</f>
        <v/>
      </c>
      <c r="J364" s="216" t="str">
        <f>IF(J$3="","",IF(COUNTIFS(BD!$A$3:$A$5001,J$3,BD!$B$3:$B$5001,$A$341,BD!$Y$3:$Y$5001,"&lt;&gt;")=0,"",SUMIFS(BD!$Y$3:$Y$5001,BD!$A$3:$A$5001,J$3,BD!$B$3:$B$5001,$A$341)))</f>
        <v/>
      </c>
      <c r="K364" s="216" t="str">
        <f>IF(K$3="","",IF(COUNTIFS(BD!$A$3:$A$5001,K$3,BD!$B$3:$B$5001,$A$341,BD!$Y$3:$Y$5001,"&lt;&gt;")=0,"",SUMIFS(BD!$Y$3:$Y$5001,BD!$A$3:$A$5001,K$3,BD!$B$3:$B$5001,$A$341)))</f>
        <v/>
      </c>
      <c r="L364" s="216" t="str">
        <f>IF(L$3="","",IF(COUNTIFS(BD!$A$3:$A$5001,L$3,BD!$B$3:$B$5001,$A$341,BD!$Y$3:$Y$5001,"&lt;&gt;")=0,"",SUMIFS(BD!$Y$3:$Y$5001,BD!$A$3:$A$5001,L$3,BD!$B$3:$B$5001,$A$341)))</f>
        <v/>
      </c>
      <c r="M364" s="216" t="str">
        <f>IF(M$3="","",IF(COUNTIFS(BD!$A$3:$A$5001,M$3,BD!$B$3:$B$5001,$A$341,BD!$Y$3:$Y$5001,"&lt;&gt;")=0,"",SUMIFS(BD!$Y$3:$Y$5001,BD!$A$3:$A$5001,M$3,BD!$B$3:$B$5001,$A$341)))</f>
        <v/>
      </c>
      <c r="N364" s="216" t="str">
        <f>IF(N$3="","",IF(COUNTIFS(BD!$A$3:$A$5001,N$3,BD!$B$3:$B$5001,$A$341,BD!$Y$3:$Y$5001,"&lt;&gt;")=0,"",SUMIFS(BD!$Y$3:$Y$5001,BD!$A$3:$A$5001,N$3,BD!$B$3:$B$5001,$A$341)))</f>
        <v/>
      </c>
      <c r="O364" s="216" t="str">
        <f>IF(O$3="","",IF(COUNTIFS(BD!$A$3:$A$5001,O$3,BD!$B$3:$B$5001,$A$341,BD!$Y$3:$Y$5001,"&lt;&gt;")=0,"",SUMIFS(BD!$Y$3:$Y$5001,BD!$A$3:$A$5001,O$3,BD!$B$3:$B$5001,$A$341)))</f>
        <v/>
      </c>
      <c r="P364" s="216" t="str">
        <f>IF(P$3="","",IF(COUNTIFS(BD!$A$3:$A$5001,P$3,BD!$B$3:$B$5001,$A$341,BD!$Y$3:$Y$5001,"&lt;&gt;")=0,"",SUMIFS(BD!$Y$3:$Y$5001,BD!$A$3:$A$5001,P$3,BD!$B$3:$B$5001,$A$341)))</f>
        <v/>
      </c>
      <c r="Q364" s="216" t="str">
        <f>IF(Q$3="","",IF(COUNTIFS(BD!$A$3:$A$5001,Q$3,BD!$B$3:$B$5001,$A$341,BD!$Y$3:$Y$5001,"&lt;&gt;")=0,"",SUMIFS(BD!$Y$3:$Y$5001,BD!$A$3:$A$5001,Q$3,BD!$B$3:$B$5001,$A$341)))</f>
        <v/>
      </c>
      <c r="R364" s="216" t="str">
        <f>IF(R$3="","",IF(COUNTIFS(BD!$A$3:$A$5001,R$3,BD!$B$3:$B$5001,$A$341,BD!$Y$3:$Y$5001,"&lt;&gt;")=0,"",SUMIFS(BD!$Y$3:$Y$5001,BD!$A$3:$A$5001,R$3,BD!$B$3:$B$5001,$A$341)))</f>
        <v/>
      </c>
      <c r="S364" s="216" t="str">
        <f>IF(S$3="","",IF(COUNTIFS(BD!$A$3:$A$5001,S$3,BD!$B$3:$B$5001,$A$341,BD!$Y$3:$Y$5001,"&lt;&gt;")=0,"",SUMIFS(BD!$Y$3:$Y$5001,BD!$A$3:$A$5001,S$3,BD!$B$3:$B$5001,$A$341)))</f>
        <v/>
      </c>
      <c r="T364" s="216" t="str">
        <f>IF(T$3="","",IF(COUNTIFS(BD!$A$3:$A$5001,T$3,BD!$B$3:$B$5001,$A$341,BD!$Y$3:$Y$5001,"&lt;&gt;")=0,"",SUMIFS(BD!$Y$3:$Y$5001,BD!$A$3:$A$5001,T$3,BD!$B$3:$B$5001,$A$341)))</f>
        <v/>
      </c>
      <c r="U364" s="216" t="str">
        <f>IF(U$3="","",IF(COUNTIFS(BD!$A$3:$A$5001,U$3,BD!$B$3:$B$5001,$A$341,BD!$Y$3:$Y$5001,"&lt;&gt;")=0,"",SUMIFS(BD!$Y$3:$Y$5001,BD!$A$3:$A$5001,U$3,BD!$B$3:$B$5001,$A$341)))</f>
        <v/>
      </c>
      <c r="V364" s="216" t="str">
        <f>IF(V$3="","",IF(COUNTIFS(BD!$A$3:$A$5001,V$3,BD!$B$3:$B$5001,$A$341,BD!$Y$3:$Y$5001,"&lt;&gt;")=0,"",SUMIFS(BD!$Y$3:$Y$5001,BD!$A$3:$A$5001,V$3,BD!$B$3:$B$5001,$A$341)))</f>
        <v/>
      </c>
      <c r="W364" s="216" t="str">
        <f>IF(W$3="","",IF(COUNTIFS(BD!$A$3:$A$5001,W$3,BD!$B$3:$B$5001,$A$341,BD!$Y$3:$Y$5001,"&lt;&gt;")=0,"",SUMIFS(BD!$Y$3:$Y$5001,BD!$A$3:$A$5001,W$3,BD!$B$3:$B$5001,$A$341)))</f>
        <v/>
      </c>
      <c r="X364" s="216" t="str">
        <f>IF(X$3="","",IF(COUNTIFS(BD!$A$3:$A$5001,X$3,BD!$B$3:$B$5001,$A$341,BD!$Y$3:$Y$5001,"&lt;&gt;")=0,"",SUMIFS(BD!$Y$3:$Y$5001,BD!$A$3:$A$5001,X$3,BD!$B$3:$B$5001,$A$341)))</f>
        <v/>
      </c>
      <c r="Y364" s="216" t="str">
        <f>IF(Y$3="","",IF(COUNTIFS(BD!$A$3:$A$5001,Y$3,BD!$B$3:$B$5001,$A$341,BD!$Y$3:$Y$5001,"&lt;&gt;")=0,"",SUMIFS(BD!$Y$3:$Y$5001,BD!$A$3:$A$5001,Y$3,BD!$B$3:$B$5001,$A$341)))</f>
        <v/>
      </c>
      <c r="Z364" s="216" t="str">
        <f>IF(Z$3="","",IF(COUNTIFS(BD!$A$3:$A$5001,Z$3,BD!$B$3:$B$5001,$A$341,BD!$Y$3:$Y$5001,"&lt;&gt;")=0,"",SUMIFS(BD!$Y$3:$Y$5001,BD!$A$3:$A$5001,Z$3,BD!$B$3:$B$5001,$A$341)))</f>
        <v/>
      </c>
      <c r="AA364" s="216" t="str">
        <f>IF(AA$3="","",IF(COUNTIFS(BD!$A$3:$A$5001,AA$3,BD!$B$3:$B$5001,$A$341,BD!$Y$3:$Y$5001,"&lt;&gt;")=0,"",SUMIFS(BD!$Y$3:$Y$5001,BD!$A$3:$A$5001,AA$3,BD!$B$3:$B$5001,$A$341)))</f>
        <v/>
      </c>
      <c r="AB364" s="216" t="str">
        <f>IF(AB$3="","",IF(COUNTIFS(BD!$A$3:$A$5001,AB$3,BD!$B$3:$B$5001,$A$341,BD!$Y$3:$Y$5001,"&lt;&gt;")=0,"",SUMIFS(BD!$Y$3:$Y$5001,BD!$A$3:$A$5001,AB$3,BD!$B$3:$B$5001,$A$341)))</f>
        <v/>
      </c>
      <c r="AC364" s="216" t="str">
        <f>IF(AC$3="","",IF(COUNTIFS(BD!$A$3:$A$5001,AC$3,BD!$B$3:$B$5001,$A$341,BD!$Y$3:$Y$5001,"&lt;&gt;")=0,"",SUMIFS(BD!$Y$3:$Y$5001,BD!$A$3:$A$5001,AC$3,BD!$B$3:$B$5001,$A$341)))</f>
        <v/>
      </c>
      <c r="AD364" s="216" t="str">
        <f>IF(AD$3="","",IF(COUNTIFS(BD!$A$3:$A$5001,AD$3,BD!$B$3:$B$5001,$A$341,BD!$Y$3:$Y$5001,"&lt;&gt;")=0,"",SUMIFS(BD!$Y$3:$Y$5001,BD!$A$3:$A$5001,AD$3,BD!$B$3:$B$5001,$A$341)))</f>
        <v/>
      </c>
      <c r="AE364" s="216" t="str">
        <f>IF(AE$3="","",IF(COUNTIFS(BD!$A$3:$A$5001,AE$3,BD!$B$3:$B$5001,$A$341,BD!$Y$3:$Y$5001,"&lt;&gt;")=0,"",SUMIFS(BD!$Y$3:$Y$5001,BD!$A$3:$A$5001,AE$3,BD!$B$3:$B$5001,$A$341)))</f>
        <v/>
      </c>
      <c r="AF364" s="216" t="str">
        <f>IF(AF$3="","",IF(COUNTIFS(BD!$A$3:$A$5001,AF$3,BD!$B$3:$B$5001,$A$341,BD!$Y$3:$Y$5001,"&lt;&gt;")=0,"",SUMIFS(BD!$Y$3:$Y$5001,BD!$A$3:$A$5001,AF$3,BD!$B$3:$B$5001,$A$341)))</f>
        <v/>
      </c>
      <c r="AG364" s="216" t="str">
        <f>IF(AG$3="","",IF(COUNTIFS(BD!$A$3:$A$5001,AG$3,BD!$B$3:$B$5001,$A$341,BD!$Y$3:$Y$5001,"&lt;&gt;")=0,"",SUMIFS(BD!$Y$3:$Y$5001,BD!$A$3:$A$5001,AG$3,BD!$B$3:$B$5001,$A$341)))</f>
        <v/>
      </c>
      <c r="AH364" s="216" t="str">
        <f>IF(AH$3="","",IF(COUNTIFS(BD!$A$3:$A$5001,AH$3,BD!$B$3:$B$5001,$A$341,BD!$Y$3:$Y$5001,"&lt;&gt;")=0,"",SUMIFS(BD!$Y$3:$Y$5001,BD!$A$3:$A$5001,AH$3,BD!$B$3:$B$5001,$A$341)))</f>
        <v/>
      </c>
      <c r="AI364" s="216" t="str">
        <f>IF(AI$3="","",IF(COUNTIFS(BD!$A$3:$A$5001,AI$3,BD!$B$3:$B$5001,$A$341,BD!$Y$3:$Y$5001,"&lt;&gt;")=0,"",SUMIFS(BD!$Y$3:$Y$5001,BD!$A$3:$A$5001,AI$3,BD!$B$3:$B$5001,$A$341)))</f>
        <v/>
      </c>
      <c r="AJ364" s="217" t="str">
        <f>IF(AJ$3="","",IF(COUNTIFS(BD!$A$3:$A$5001,AJ$3,BD!$B$3:$B$5001,$A$341,BD!$Y$3:$Y$5001,"&lt;&gt;")=0,"",SUMIFS(BD!$Y$3:$Y$5001,BD!$A$3:$A$5001,AJ$3,BD!$B$3:$B$5001,$A$341)))</f>
        <v/>
      </c>
      <c r="AK364" s="218" t="str">
        <f>IFERROR(LOOKUP(9.99E+307,F364:AJ364),"")</f>
        <v/>
      </c>
    </row>
    <row r="365" ht="15.75" customHeight="1" hidden="1">
      <c r="A365" s="244"/>
      <c r="B365" s="241"/>
      <c r="C365" s="219" t="inlineStr">
        <is>
          <t xml:space="preserve">Falta</t>
        </is>
      </c>
      <c r="D365" s="220" t="str">
        <f>IFERROR(1/(1/INDEX(BD!$AJ$47:$BD$47,MATCH($A$341,BD!$AJ$22:$BD$22,0))),"")</f>
        <v/>
      </c>
      <c r="E365" s="221"/>
      <c r="F365" s="222" t="str">
        <f>IF(F$3="","",IF(COUNTIFS(BD!$A$3:$A$5001,F$3,BD!$B$3:$B$5001,$A$341,BD!$Z$3:$Z$5001,"&lt;&gt;")=0,"",SUMIFS(BD!$Z$3:$Z$5001,BD!$A$3:$A$5001,F$3,BD!$B$3:$B$5001,$A$341)))</f>
        <v/>
      </c>
      <c r="G365" s="223" t="str">
        <f>IF(G$3="","",IF(COUNTIFS(BD!$A$3:$A$5001,G$3,BD!$B$3:$B$5001,$A$341,BD!$Z$3:$Z$5001,"&lt;&gt;")=0,"",SUMIFS(BD!$Z$3:$Z$5001,BD!$A$3:$A$5001,G$3,BD!$B$3:$B$5001,$A$341)))</f>
        <v/>
      </c>
      <c r="H365" s="223" t="str">
        <f>IF(H$3="","",IF(COUNTIFS(BD!$A$3:$A$5001,H$3,BD!$B$3:$B$5001,$A$341,BD!$Z$3:$Z$5001,"&lt;&gt;")=0,"",SUMIFS(BD!$Z$3:$Z$5001,BD!$A$3:$A$5001,H$3,BD!$B$3:$B$5001,$A$341)))</f>
        <v/>
      </c>
      <c r="I365" s="223" t="str">
        <f>IF(I$3="","",IF(COUNTIFS(BD!$A$3:$A$5001,I$3,BD!$B$3:$B$5001,$A$341,BD!$Z$3:$Z$5001,"&lt;&gt;")=0,"",SUMIFS(BD!$Z$3:$Z$5001,BD!$A$3:$A$5001,I$3,BD!$B$3:$B$5001,$A$341)))</f>
        <v/>
      </c>
      <c r="J365" s="223" t="str">
        <f>IF(J$3="","",IF(COUNTIFS(BD!$A$3:$A$5001,J$3,BD!$B$3:$B$5001,$A$341,BD!$Z$3:$Z$5001,"&lt;&gt;")=0,"",SUMIFS(BD!$Z$3:$Z$5001,BD!$A$3:$A$5001,J$3,BD!$B$3:$B$5001,$A$341)))</f>
        <v/>
      </c>
      <c r="K365" s="223" t="str">
        <f>IF(K$3="","",IF(COUNTIFS(BD!$A$3:$A$5001,K$3,BD!$B$3:$B$5001,$A$341,BD!$Z$3:$Z$5001,"&lt;&gt;")=0,"",SUMIFS(BD!$Z$3:$Z$5001,BD!$A$3:$A$5001,K$3,BD!$B$3:$B$5001,$A$341)))</f>
        <v/>
      </c>
      <c r="L365" s="223" t="str">
        <f>IF(L$3="","",IF(COUNTIFS(BD!$A$3:$A$5001,L$3,BD!$B$3:$B$5001,$A$341,BD!$Z$3:$Z$5001,"&lt;&gt;")=0,"",SUMIFS(BD!$Z$3:$Z$5001,BD!$A$3:$A$5001,L$3,BD!$B$3:$B$5001,$A$341)))</f>
        <v/>
      </c>
      <c r="M365" s="223" t="str">
        <f>IF(M$3="","",IF(COUNTIFS(BD!$A$3:$A$5001,M$3,BD!$B$3:$B$5001,$A$341,BD!$Z$3:$Z$5001,"&lt;&gt;")=0,"",SUMIFS(BD!$Z$3:$Z$5001,BD!$A$3:$A$5001,M$3,BD!$B$3:$B$5001,$A$341)))</f>
        <v/>
      </c>
      <c r="N365" s="223" t="str">
        <f>IF(N$3="","",IF(COUNTIFS(BD!$A$3:$A$5001,N$3,BD!$B$3:$B$5001,$A$341,BD!$Z$3:$Z$5001,"&lt;&gt;")=0,"",SUMIFS(BD!$Z$3:$Z$5001,BD!$A$3:$A$5001,N$3,BD!$B$3:$B$5001,$A$341)))</f>
        <v/>
      </c>
      <c r="O365" s="223" t="str">
        <f>IF(O$3="","",IF(COUNTIFS(BD!$A$3:$A$5001,O$3,BD!$B$3:$B$5001,$A$341,BD!$Z$3:$Z$5001,"&lt;&gt;")=0,"",SUMIFS(BD!$Z$3:$Z$5001,BD!$A$3:$A$5001,O$3,BD!$B$3:$B$5001,$A$341)))</f>
        <v/>
      </c>
      <c r="P365" s="223" t="str">
        <f>IF(P$3="","",IF(COUNTIFS(BD!$A$3:$A$5001,P$3,BD!$B$3:$B$5001,$A$341,BD!$Z$3:$Z$5001,"&lt;&gt;")=0,"",SUMIFS(BD!$Z$3:$Z$5001,BD!$A$3:$A$5001,P$3,BD!$B$3:$B$5001,$A$341)))</f>
        <v/>
      </c>
      <c r="Q365" s="223" t="str">
        <f>IF(Q$3="","",IF(COUNTIFS(BD!$A$3:$A$5001,Q$3,BD!$B$3:$B$5001,$A$341,BD!$Z$3:$Z$5001,"&lt;&gt;")=0,"",SUMIFS(BD!$Z$3:$Z$5001,BD!$A$3:$A$5001,Q$3,BD!$B$3:$B$5001,$A$341)))</f>
        <v/>
      </c>
      <c r="R365" s="223" t="str">
        <f>IF(R$3="","",IF(COUNTIFS(BD!$A$3:$A$5001,R$3,BD!$B$3:$B$5001,$A$341,BD!$Z$3:$Z$5001,"&lt;&gt;")=0,"",SUMIFS(BD!$Z$3:$Z$5001,BD!$A$3:$A$5001,R$3,BD!$B$3:$B$5001,$A$341)))</f>
        <v/>
      </c>
      <c r="S365" s="223" t="str">
        <f>IF(S$3="","",IF(COUNTIFS(BD!$A$3:$A$5001,S$3,BD!$B$3:$B$5001,$A$341,BD!$Z$3:$Z$5001,"&lt;&gt;")=0,"",SUMIFS(BD!$Z$3:$Z$5001,BD!$A$3:$A$5001,S$3,BD!$B$3:$B$5001,$A$341)))</f>
        <v/>
      </c>
      <c r="T365" s="223" t="str">
        <f>IF(T$3="","",IF(COUNTIFS(BD!$A$3:$A$5001,T$3,BD!$B$3:$B$5001,$A$341,BD!$Z$3:$Z$5001,"&lt;&gt;")=0,"",SUMIFS(BD!$Z$3:$Z$5001,BD!$A$3:$A$5001,T$3,BD!$B$3:$B$5001,$A$341)))</f>
        <v/>
      </c>
      <c r="U365" s="223" t="str">
        <f>IF(U$3="","",IF(COUNTIFS(BD!$A$3:$A$5001,U$3,BD!$B$3:$B$5001,$A$341,BD!$Z$3:$Z$5001,"&lt;&gt;")=0,"",SUMIFS(BD!$Z$3:$Z$5001,BD!$A$3:$A$5001,U$3,BD!$B$3:$B$5001,$A$341)))</f>
        <v/>
      </c>
      <c r="V365" s="223" t="str">
        <f>IF(V$3="","",IF(COUNTIFS(BD!$A$3:$A$5001,V$3,BD!$B$3:$B$5001,$A$341,BD!$Z$3:$Z$5001,"&lt;&gt;")=0,"",SUMIFS(BD!$Z$3:$Z$5001,BD!$A$3:$A$5001,V$3,BD!$B$3:$B$5001,$A$341)))</f>
        <v/>
      </c>
      <c r="W365" s="223" t="str">
        <f>IF(W$3="","",IF(COUNTIFS(BD!$A$3:$A$5001,W$3,BD!$B$3:$B$5001,$A$341,BD!$Z$3:$Z$5001,"&lt;&gt;")=0,"",SUMIFS(BD!$Z$3:$Z$5001,BD!$A$3:$A$5001,W$3,BD!$B$3:$B$5001,$A$341)))</f>
        <v/>
      </c>
      <c r="X365" s="223" t="str">
        <f>IF(X$3="","",IF(COUNTIFS(BD!$A$3:$A$5001,X$3,BD!$B$3:$B$5001,$A$341,BD!$Z$3:$Z$5001,"&lt;&gt;")=0,"",SUMIFS(BD!$Z$3:$Z$5001,BD!$A$3:$A$5001,X$3,BD!$B$3:$B$5001,$A$341)))</f>
        <v/>
      </c>
      <c r="Y365" s="223" t="str">
        <f>IF(Y$3="","",IF(COUNTIFS(BD!$A$3:$A$5001,Y$3,BD!$B$3:$B$5001,$A$341,BD!$Z$3:$Z$5001,"&lt;&gt;")=0,"",SUMIFS(BD!$Z$3:$Z$5001,BD!$A$3:$A$5001,Y$3,BD!$B$3:$B$5001,$A$341)))</f>
        <v/>
      </c>
      <c r="Z365" s="223" t="str">
        <f>IF(Z$3="","",IF(COUNTIFS(BD!$A$3:$A$5001,Z$3,BD!$B$3:$B$5001,$A$341,BD!$Z$3:$Z$5001,"&lt;&gt;")=0,"",SUMIFS(BD!$Z$3:$Z$5001,BD!$A$3:$A$5001,Z$3,BD!$B$3:$B$5001,$A$341)))</f>
        <v/>
      </c>
      <c r="AA365" s="223" t="str">
        <f>IF(AA$3="","",IF(COUNTIFS(BD!$A$3:$A$5001,AA$3,BD!$B$3:$B$5001,$A$341,BD!$Z$3:$Z$5001,"&lt;&gt;")=0,"",SUMIFS(BD!$Z$3:$Z$5001,BD!$A$3:$A$5001,AA$3,BD!$B$3:$B$5001,$A$341)))</f>
        <v/>
      </c>
      <c r="AB365" s="223" t="str">
        <f>IF(AB$3="","",IF(COUNTIFS(BD!$A$3:$A$5001,AB$3,BD!$B$3:$B$5001,$A$341,BD!$Z$3:$Z$5001,"&lt;&gt;")=0,"",SUMIFS(BD!$Z$3:$Z$5001,BD!$A$3:$A$5001,AB$3,BD!$B$3:$B$5001,$A$341)))</f>
        <v/>
      </c>
      <c r="AC365" s="223" t="str">
        <f>IF(AC$3="","",IF(COUNTIFS(BD!$A$3:$A$5001,AC$3,BD!$B$3:$B$5001,$A$341,BD!$Z$3:$Z$5001,"&lt;&gt;")=0,"",SUMIFS(BD!$Z$3:$Z$5001,BD!$A$3:$A$5001,AC$3,BD!$B$3:$B$5001,$A$341)))</f>
        <v/>
      </c>
      <c r="AD365" s="223" t="str">
        <f>IF(AD$3="","",IF(COUNTIFS(BD!$A$3:$A$5001,AD$3,BD!$B$3:$B$5001,$A$341,BD!$Z$3:$Z$5001,"&lt;&gt;")=0,"",SUMIFS(BD!$Z$3:$Z$5001,BD!$A$3:$A$5001,AD$3,BD!$B$3:$B$5001,$A$341)))</f>
        <v/>
      </c>
      <c r="AE365" s="223" t="str">
        <f>IF(AE$3="","",IF(COUNTIFS(BD!$A$3:$A$5001,AE$3,BD!$B$3:$B$5001,$A$341,BD!$Z$3:$Z$5001,"&lt;&gt;")=0,"",SUMIFS(BD!$Z$3:$Z$5001,BD!$A$3:$A$5001,AE$3,BD!$B$3:$B$5001,$A$341)))</f>
        <v/>
      </c>
      <c r="AF365" s="223" t="str">
        <f>IF(AF$3="","",IF(COUNTIFS(BD!$A$3:$A$5001,AF$3,BD!$B$3:$B$5001,$A$341,BD!$Z$3:$Z$5001,"&lt;&gt;")=0,"",SUMIFS(BD!$Z$3:$Z$5001,BD!$A$3:$A$5001,AF$3,BD!$B$3:$B$5001,$A$341)))</f>
        <v/>
      </c>
      <c r="AG365" s="223" t="str">
        <f>IF(AG$3="","",IF(COUNTIFS(BD!$A$3:$A$5001,AG$3,BD!$B$3:$B$5001,$A$341,BD!$Z$3:$Z$5001,"&lt;&gt;")=0,"",SUMIFS(BD!$Z$3:$Z$5001,BD!$A$3:$A$5001,AG$3,BD!$B$3:$B$5001,$A$341)))</f>
        <v/>
      </c>
      <c r="AH365" s="223" t="str">
        <f>IF(AH$3="","",IF(COUNTIFS(BD!$A$3:$A$5001,AH$3,BD!$B$3:$B$5001,$A$341,BD!$Z$3:$Z$5001,"&lt;&gt;")=0,"",SUMIFS(BD!$Z$3:$Z$5001,BD!$A$3:$A$5001,AH$3,BD!$B$3:$B$5001,$A$341)))</f>
        <v/>
      </c>
      <c r="AI365" s="223" t="str">
        <f>IF(AI$3="","",IF(COUNTIFS(BD!$A$3:$A$5001,AI$3,BD!$B$3:$B$5001,$A$341,BD!$Z$3:$Z$5001,"&lt;&gt;")=0,"",SUMIFS(BD!$Z$3:$Z$5001,BD!$A$3:$A$5001,AI$3,BD!$B$3:$B$5001,$A$341)))</f>
        <v/>
      </c>
      <c r="AJ365" s="224" t="str">
        <f>IF(AJ$3="","",IF(COUNTIFS(BD!$A$3:$A$5001,AJ$3,BD!$B$3:$B$5001,$A$341,BD!$Z$3:$Z$5001,"&lt;&gt;")=0,"",SUMIFS(BD!$Z$3:$Z$5001,BD!$A$3:$A$5001,AJ$3,BD!$B$3:$B$5001,$A$341)))</f>
        <v/>
      </c>
      <c r="AK365" s="225" t="str">
        <f>IF(COUNT(F365:AJ365)=0,"",SUM(F365:AJ365))</f>
        <v/>
      </c>
    </row>
    <row r="366" ht="15.75" customHeight="1" hidden="1">
      <c r="A366" s="244"/>
      <c r="B366" s="241"/>
      <c r="C366" s="219" t="inlineStr">
        <is>
          <t xml:space="preserve">Folga</t>
        </is>
      </c>
      <c r="D366" s="220" t="str">
        <f>IFERROR(1/(1/INDEX(BD!$AJ$48:$BD$48,MATCH($A$341,BD!$AJ$22:$BD$22,0))),"")</f>
        <v/>
      </c>
      <c r="E366" s="221"/>
      <c r="F366" s="222" t="str">
        <f>IF(F$3="","",IF(COUNTIFS(BD!$A$3:$A$5001,F$3,BD!$B$3:$B$5001,$A$341,BD!$AA$3:$AA$5001,"&lt;&gt;")=0,"",SUMIFS(BD!$AA$3:$AA$5001,BD!$A$3:$A$5001,F$3,BD!$B$3:$B$5001,$A$341)))</f>
        <v/>
      </c>
      <c r="G366" s="223" t="str">
        <f>IF(G$3="","",IF(COUNTIFS(BD!$A$3:$A$5001,G$3,BD!$B$3:$B$5001,$A$341,BD!$AA$3:$AA$5001,"&lt;&gt;")=0,"",SUMIFS(BD!$AA$3:$AA$5001,BD!$A$3:$A$5001,G$3,BD!$B$3:$B$5001,$A$341)))</f>
        <v/>
      </c>
      <c r="H366" s="223" t="str">
        <f>IF(H$3="","",IF(COUNTIFS(BD!$A$3:$A$5001,H$3,BD!$B$3:$B$5001,$A$341,BD!$AA$3:$AA$5001,"&lt;&gt;")=0,"",SUMIFS(BD!$AA$3:$AA$5001,BD!$A$3:$A$5001,H$3,BD!$B$3:$B$5001,$A$341)))</f>
        <v/>
      </c>
      <c r="I366" s="223" t="str">
        <f>IF(I$3="","",IF(COUNTIFS(BD!$A$3:$A$5001,I$3,BD!$B$3:$B$5001,$A$341,BD!$AA$3:$AA$5001,"&lt;&gt;")=0,"",SUMIFS(BD!$AA$3:$AA$5001,BD!$A$3:$A$5001,I$3,BD!$B$3:$B$5001,$A$341)))</f>
        <v/>
      </c>
      <c r="J366" s="223" t="str">
        <f>IF(J$3="","",IF(COUNTIFS(BD!$A$3:$A$5001,J$3,BD!$B$3:$B$5001,$A$341,BD!$AA$3:$AA$5001,"&lt;&gt;")=0,"",SUMIFS(BD!$AA$3:$AA$5001,BD!$A$3:$A$5001,J$3,BD!$B$3:$B$5001,$A$341)))</f>
        <v/>
      </c>
      <c r="K366" s="223" t="str">
        <f>IF(K$3="","",IF(COUNTIFS(BD!$A$3:$A$5001,K$3,BD!$B$3:$B$5001,$A$341,BD!$AA$3:$AA$5001,"&lt;&gt;")=0,"",SUMIFS(BD!$AA$3:$AA$5001,BD!$A$3:$A$5001,K$3,BD!$B$3:$B$5001,$A$341)))</f>
        <v/>
      </c>
      <c r="L366" s="223" t="str">
        <f>IF(L$3="","",IF(COUNTIFS(BD!$A$3:$A$5001,L$3,BD!$B$3:$B$5001,$A$341,BD!$AA$3:$AA$5001,"&lt;&gt;")=0,"",SUMIFS(BD!$AA$3:$AA$5001,BD!$A$3:$A$5001,L$3,BD!$B$3:$B$5001,$A$341)))</f>
        <v/>
      </c>
      <c r="M366" s="223" t="str">
        <f>IF(M$3="","",IF(COUNTIFS(BD!$A$3:$A$5001,M$3,BD!$B$3:$B$5001,$A$341,BD!$AA$3:$AA$5001,"&lt;&gt;")=0,"",SUMIFS(BD!$AA$3:$AA$5001,BD!$A$3:$A$5001,M$3,BD!$B$3:$B$5001,$A$341)))</f>
        <v/>
      </c>
      <c r="N366" s="223" t="str">
        <f>IF(N$3="","",IF(COUNTIFS(BD!$A$3:$A$5001,N$3,BD!$B$3:$B$5001,$A$341,BD!$AA$3:$AA$5001,"&lt;&gt;")=0,"",SUMIFS(BD!$AA$3:$AA$5001,BD!$A$3:$A$5001,N$3,BD!$B$3:$B$5001,$A$341)))</f>
        <v/>
      </c>
      <c r="O366" s="223" t="str">
        <f>IF(O$3="","",IF(COUNTIFS(BD!$A$3:$A$5001,O$3,BD!$B$3:$B$5001,$A$341,BD!$AA$3:$AA$5001,"&lt;&gt;")=0,"",SUMIFS(BD!$AA$3:$AA$5001,BD!$A$3:$A$5001,O$3,BD!$B$3:$B$5001,$A$341)))</f>
        <v/>
      </c>
      <c r="P366" s="223" t="str">
        <f>IF(P$3="","",IF(COUNTIFS(BD!$A$3:$A$5001,P$3,BD!$B$3:$B$5001,$A$341,BD!$AA$3:$AA$5001,"&lt;&gt;")=0,"",SUMIFS(BD!$AA$3:$AA$5001,BD!$A$3:$A$5001,P$3,BD!$B$3:$B$5001,$A$341)))</f>
        <v/>
      </c>
      <c r="Q366" s="223" t="str">
        <f>IF(Q$3="","",IF(COUNTIFS(BD!$A$3:$A$5001,Q$3,BD!$B$3:$B$5001,$A$341,BD!$AA$3:$AA$5001,"&lt;&gt;")=0,"",SUMIFS(BD!$AA$3:$AA$5001,BD!$A$3:$A$5001,Q$3,BD!$B$3:$B$5001,$A$341)))</f>
        <v/>
      </c>
      <c r="R366" s="223" t="str">
        <f>IF(R$3="","",IF(COUNTIFS(BD!$A$3:$A$5001,R$3,BD!$B$3:$B$5001,$A$341,BD!$AA$3:$AA$5001,"&lt;&gt;")=0,"",SUMIFS(BD!$AA$3:$AA$5001,BD!$A$3:$A$5001,R$3,BD!$B$3:$B$5001,$A$341)))</f>
        <v/>
      </c>
      <c r="S366" s="223" t="str">
        <f>IF(S$3="","",IF(COUNTIFS(BD!$A$3:$A$5001,S$3,BD!$B$3:$B$5001,$A$341,BD!$AA$3:$AA$5001,"&lt;&gt;")=0,"",SUMIFS(BD!$AA$3:$AA$5001,BD!$A$3:$A$5001,S$3,BD!$B$3:$B$5001,$A$341)))</f>
        <v/>
      </c>
      <c r="T366" s="223" t="str">
        <f>IF(T$3="","",IF(COUNTIFS(BD!$A$3:$A$5001,T$3,BD!$B$3:$B$5001,$A$341,BD!$AA$3:$AA$5001,"&lt;&gt;")=0,"",SUMIFS(BD!$AA$3:$AA$5001,BD!$A$3:$A$5001,T$3,BD!$B$3:$B$5001,$A$341)))</f>
        <v/>
      </c>
      <c r="U366" s="223" t="str">
        <f>IF(U$3="","",IF(COUNTIFS(BD!$A$3:$A$5001,U$3,BD!$B$3:$B$5001,$A$341,BD!$AA$3:$AA$5001,"&lt;&gt;")=0,"",SUMIFS(BD!$AA$3:$AA$5001,BD!$A$3:$A$5001,U$3,BD!$B$3:$B$5001,$A$341)))</f>
        <v/>
      </c>
      <c r="V366" s="223" t="str">
        <f>IF(V$3="","",IF(COUNTIFS(BD!$A$3:$A$5001,V$3,BD!$B$3:$B$5001,$A$341,BD!$AA$3:$AA$5001,"&lt;&gt;")=0,"",SUMIFS(BD!$AA$3:$AA$5001,BD!$A$3:$A$5001,V$3,BD!$B$3:$B$5001,$A$341)))</f>
        <v/>
      </c>
      <c r="W366" s="223" t="str">
        <f>IF(W$3="","",IF(COUNTIFS(BD!$A$3:$A$5001,W$3,BD!$B$3:$B$5001,$A$341,BD!$AA$3:$AA$5001,"&lt;&gt;")=0,"",SUMIFS(BD!$AA$3:$AA$5001,BD!$A$3:$A$5001,W$3,BD!$B$3:$B$5001,$A$341)))</f>
        <v/>
      </c>
      <c r="X366" s="223" t="str">
        <f>IF(X$3="","",IF(COUNTIFS(BD!$A$3:$A$5001,X$3,BD!$B$3:$B$5001,$A$341,BD!$AA$3:$AA$5001,"&lt;&gt;")=0,"",SUMIFS(BD!$AA$3:$AA$5001,BD!$A$3:$A$5001,X$3,BD!$B$3:$B$5001,$A$341)))</f>
        <v/>
      </c>
      <c r="Y366" s="223" t="str">
        <f>IF(Y$3="","",IF(COUNTIFS(BD!$A$3:$A$5001,Y$3,BD!$B$3:$B$5001,$A$341,BD!$AA$3:$AA$5001,"&lt;&gt;")=0,"",SUMIFS(BD!$AA$3:$AA$5001,BD!$A$3:$A$5001,Y$3,BD!$B$3:$B$5001,$A$341)))</f>
        <v/>
      </c>
      <c r="Z366" s="223" t="str">
        <f>IF(Z$3="","",IF(COUNTIFS(BD!$A$3:$A$5001,Z$3,BD!$B$3:$B$5001,$A$341,BD!$AA$3:$AA$5001,"&lt;&gt;")=0,"",SUMIFS(BD!$AA$3:$AA$5001,BD!$A$3:$A$5001,Z$3,BD!$B$3:$B$5001,$A$341)))</f>
        <v/>
      </c>
      <c r="AA366" s="223" t="str">
        <f>IF(AA$3="","",IF(COUNTIFS(BD!$A$3:$A$5001,AA$3,BD!$B$3:$B$5001,$A$341,BD!$AA$3:$AA$5001,"&lt;&gt;")=0,"",SUMIFS(BD!$AA$3:$AA$5001,BD!$A$3:$A$5001,AA$3,BD!$B$3:$B$5001,$A$341)))</f>
        <v/>
      </c>
      <c r="AB366" s="223" t="str">
        <f>IF(AB$3="","",IF(COUNTIFS(BD!$A$3:$A$5001,AB$3,BD!$B$3:$B$5001,$A$341,BD!$AA$3:$AA$5001,"&lt;&gt;")=0,"",SUMIFS(BD!$AA$3:$AA$5001,BD!$A$3:$A$5001,AB$3,BD!$B$3:$B$5001,$A$341)))</f>
        <v/>
      </c>
      <c r="AC366" s="223" t="str">
        <f>IF(AC$3="","",IF(COUNTIFS(BD!$A$3:$A$5001,AC$3,BD!$B$3:$B$5001,$A$341,BD!$AA$3:$AA$5001,"&lt;&gt;")=0,"",SUMIFS(BD!$AA$3:$AA$5001,BD!$A$3:$A$5001,AC$3,BD!$B$3:$B$5001,$A$341)))</f>
        <v/>
      </c>
      <c r="AD366" s="223" t="str">
        <f>IF(AD$3="","",IF(COUNTIFS(BD!$A$3:$A$5001,AD$3,BD!$B$3:$B$5001,$A$341,BD!$AA$3:$AA$5001,"&lt;&gt;")=0,"",SUMIFS(BD!$AA$3:$AA$5001,BD!$A$3:$A$5001,AD$3,BD!$B$3:$B$5001,$A$341)))</f>
        <v/>
      </c>
      <c r="AE366" s="223" t="str">
        <f>IF(AE$3="","",IF(COUNTIFS(BD!$A$3:$A$5001,AE$3,BD!$B$3:$B$5001,$A$341,BD!$AA$3:$AA$5001,"&lt;&gt;")=0,"",SUMIFS(BD!$AA$3:$AA$5001,BD!$A$3:$A$5001,AE$3,BD!$B$3:$B$5001,$A$341)))</f>
        <v/>
      </c>
      <c r="AF366" s="223" t="str">
        <f>IF(AF$3="","",IF(COUNTIFS(BD!$A$3:$A$5001,AF$3,BD!$B$3:$B$5001,$A$341,BD!$AA$3:$AA$5001,"&lt;&gt;")=0,"",SUMIFS(BD!$AA$3:$AA$5001,BD!$A$3:$A$5001,AF$3,BD!$B$3:$B$5001,$A$341)))</f>
        <v/>
      </c>
      <c r="AG366" s="223" t="str">
        <f>IF(AG$3="","",IF(COUNTIFS(BD!$A$3:$A$5001,AG$3,BD!$B$3:$B$5001,$A$341,BD!$AA$3:$AA$5001,"&lt;&gt;")=0,"",SUMIFS(BD!$AA$3:$AA$5001,BD!$A$3:$A$5001,AG$3,BD!$B$3:$B$5001,$A$341)))</f>
        <v/>
      </c>
      <c r="AH366" s="223" t="str">
        <f>IF(AH$3="","",IF(COUNTIFS(BD!$A$3:$A$5001,AH$3,BD!$B$3:$B$5001,$A$341,BD!$AA$3:$AA$5001,"&lt;&gt;")=0,"",SUMIFS(BD!$AA$3:$AA$5001,BD!$A$3:$A$5001,AH$3,BD!$B$3:$B$5001,$A$341)))</f>
        <v/>
      </c>
      <c r="AI366" s="223" t="str">
        <f>IF(AI$3="","",IF(COUNTIFS(BD!$A$3:$A$5001,AI$3,BD!$B$3:$B$5001,$A$341,BD!$AA$3:$AA$5001,"&lt;&gt;")=0,"",SUMIFS(BD!$AA$3:$AA$5001,BD!$A$3:$A$5001,AI$3,BD!$B$3:$B$5001,$A$341)))</f>
        <v/>
      </c>
      <c r="AJ366" s="224" t="str">
        <f>IF(AJ$3="","",IF(COUNTIFS(BD!$A$3:$A$5001,AJ$3,BD!$B$3:$B$5001,$A$341,BD!$AA$3:$AA$5001,"&lt;&gt;")=0,"",SUMIFS(BD!$AA$3:$AA$5001,BD!$A$3:$A$5001,AJ$3,BD!$B$3:$B$5001,$A$341)))</f>
        <v/>
      </c>
      <c r="AK366" s="225" t="str">
        <f>IF(COUNT(F366:AJ366)=0,"",SUM(F366:AJ366))</f>
        <v/>
      </c>
    </row>
    <row r="367" ht="15.75" customHeight="1" hidden="1">
      <c r="A367" s="244"/>
      <c r="B367" s="241"/>
      <c r="C367" s="219" t="inlineStr">
        <is>
          <t xml:space="preserve">Férias</t>
        </is>
      </c>
      <c r="D367" s="220" t="str">
        <f>IFERROR(1/(1/INDEX(BD!$AJ$49:$BD$49,MATCH($A$341,BD!$AJ$22:$BD$22,0))),"")</f>
        <v/>
      </c>
      <c r="E367" s="221"/>
      <c r="F367" s="222" t="str">
        <f>IF(F$3="","",IF(COUNTIFS(BD!$A$3:$A$5001,F$3,BD!$B$3:$B$5001,$A$341,BD!$AB$3:$AB$5001,"&lt;&gt;")=0,"",SUMIFS(BD!$AB$3:$AB$5001,BD!$A$3:$A$5001,F$3,BD!$B$3:$B$5001,$A$341)))</f>
        <v/>
      </c>
      <c r="G367" s="223" t="str">
        <f>IF(G$3="","",IF(COUNTIFS(BD!$A$3:$A$5001,G$3,BD!$B$3:$B$5001,$A$341,BD!$AB$3:$AB$5001,"&lt;&gt;")=0,"",SUMIFS(BD!$AB$3:$AB$5001,BD!$A$3:$A$5001,G$3,BD!$B$3:$B$5001,$A$341)))</f>
        <v/>
      </c>
      <c r="H367" s="223" t="str">
        <f>IF(H$3="","",IF(COUNTIFS(BD!$A$3:$A$5001,H$3,BD!$B$3:$B$5001,$A$341,BD!$AB$3:$AB$5001,"&lt;&gt;")=0,"",SUMIFS(BD!$AB$3:$AB$5001,BD!$A$3:$A$5001,H$3,BD!$B$3:$B$5001,$A$341)))</f>
        <v/>
      </c>
      <c r="I367" s="223" t="str">
        <f>IF(I$3="","",IF(COUNTIFS(BD!$A$3:$A$5001,I$3,BD!$B$3:$B$5001,$A$341,BD!$AB$3:$AB$5001,"&lt;&gt;")=0,"",SUMIFS(BD!$AB$3:$AB$5001,BD!$A$3:$A$5001,I$3,BD!$B$3:$B$5001,$A$341)))</f>
        <v/>
      </c>
      <c r="J367" s="223" t="str">
        <f>IF(J$3="","",IF(COUNTIFS(BD!$A$3:$A$5001,J$3,BD!$B$3:$B$5001,$A$341,BD!$AB$3:$AB$5001,"&lt;&gt;")=0,"",SUMIFS(BD!$AB$3:$AB$5001,BD!$A$3:$A$5001,J$3,BD!$B$3:$B$5001,$A$341)))</f>
        <v/>
      </c>
      <c r="K367" s="223" t="str">
        <f>IF(K$3="","",IF(COUNTIFS(BD!$A$3:$A$5001,K$3,BD!$B$3:$B$5001,$A$341,BD!$AB$3:$AB$5001,"&lt;&gt;")=0,"",SUMIFS(BD!$AB$3:$AB$5001,BD!$A$3:$A$5001,K$3,BD!$B$3:$B$5001,$A$341)))</f>
        <v/>
      </c>
      <c r="L367" s="223" t="str">
        <f>IF(L$3="","",IF(COUNTIFS(BD!$A$3:$A$5001,L$3,BD!$B$3:$B$5001,$A$341,BD!$AB$3:$AB$5001,"&lt;&gt;")=0,"",SUMIFS(BD!$AB$3:$AB$5001,BD!$A$3:$A$5001,L$3,BD!$B$3:$B$5001,$A$341)))</f>
        <v/>
      </c>
      <c r="M367" s="223" t="str">
        <f>IF(M$3="","",IF(COUNTIFS(BD!$A$3:$A$5001,M$3,BD!$B$3:$B$5001,$A$341,BD!$AB$3:$AB$5001,"&lt;&gt;")=0,"",SUMIFS(BD!$AB$3:$AB$5001,BD!$A$3:$A$5001,M$3,BD!$B$3:$B$5001,$A$341)))</f>
        <v/>
      </c>
      <c r="N367" s="223" t="str">
        <f>IF(N$3="","",IF(COUNTIFS(BD!$A$3:$A$5001,N$3,BD!$B$3:$B$5001,$A$341,BD!$AB$3:$AB$5001,"&lt;&gt;")=0,"",SUMIFS(BD!$AB$3:$AB$5001,BD!$A$3:$A$5001,N$3,BD!$B$3:$B$5001,$A$341)))</f>
        <v/>
      </c>
      <c r="O367" s="223" t="str">
        <f>IF(O$3="","",IF(COUNTIFS(BD!$A$3:$A$5001,O$3,BD!$B$3:$B$5001,$A$341,BD!$AB$3:$AB$5001,"&lt;&gt;")=0,"",SUMIFS(BD!$AB$3:$AB$5001,BD!$A$3:$A$5001,O$3,BD!$B$3:$B$5001,$A$341)))</f>
        <v/>
      </c>
      <c r="P367" s="223" t="str">
        <f>IF(P$3="","",IF(COUNTIFS(BD!$A$3:$A$5001,P$3,BD!$B$3:$B$5001,$A$341,BD!$AB$3:$AB$5001,"&lt;&gt;")=0,"",SUMIFS(BD!$AB$3:$AB$5001,BD!$A$3:$A$5001,P$3,BD!$B$3:$B$5001,$A$341)))</f>
        <v/>
      </c>
      <c r="Q367" s="223" t="str">
        <f>IF(Q$3="","",IF(COUNTIFS(BD!$A$3:$A$5001,Q$3,BD!$B$3:$B$5001,$A$341,BD!$AB$3:$AB$5001,"&lt;&gt;")=0,"",SUMIFS(BD!$AB$3:$AB$5001,BD!$A$3:$A$5001,Q$3,BD!$B$3:$B$5001,$A$341)))</f>
        <v/>
      </c>
      <c r="R367" s="223" t="str">
        <f>IF(R$3="","",IF(COUNTIFS(BD!$A$3:$A$5001,R$3,BD!$B$3:$B$5001,$A$341,BD!$AB$3:$AB$5001,"&lt;&gt;")=0,"",SUMIFS(BD!$AB$3:$AB$5001,BD!$A$3:$A$5001,R$3,BD!$B$3:$B$5001,$A$341)))</f>
        <v/>
      </c>
      <c r="S367" s="223" t="str">
        <f>IF(S$3="","",IF(COUNTIFS(BD!$A$3:$A$5001,S$3,BD!$B$3:$B$5001,$A$341,BD!$AB$3:$AB$5001,"&lt;&gt;")=0,"",SUMIFS(BD!$AB$3:$AB$5001,BD!$A$3:$A$5001,S$3,BD!$B$3:$B$5001,$A$341)))</f>
        <v/>
      </c>
      <c r="T367" s="223" t="str">
        <f>IF(T$3="","",IF(COUNTIFS(BD!$A$3:$A$5001,T$3,BD!$B$3:$B$5001,$A$341,BD!$AB$3:$AB$5001,"&lt;&gt;")=0,"",SUMIFS(BD!$AB$3:$AB$5001,BD!$A$3:$A$5001,T$3,BD!$B$3:$B$5001,$A$341)))</f>
        <v/>
      </c>
      <c r="U367" s="223" t="str">
        <f>IF(U$3="","",IF(COUNTIFS(BD!$A$3:$A$5001,U$3,BD!$B$3:$B$5001,$A$341,BD!$AB$3:$AB$5001,"&lt;&gt;")=0,"",SUMIFS(BD!$AB$3:$AB$5001,BD!$A$3:$A$5001,U$3,BD!$B$3:$B$5001,$A$341)))</f>
        <v/>
      </c>
      <c r="V367" s="223" t="str">
        <f>IF(V$3="","",IF(COUNTIFS(BD!$A$3:$A$5001,V$3,BD!$B$3:$B$5001,$A$341,BD!$AB$3:$AB$5001,"&lt;&gt;")=0,"",SUMIFS(BD!$AB$3:$AB$5001,BD!$A$3:$A$5001,V$3,BD!$B$3:$B$5001,$A$341)))</f>
        <v/>
      </c>
      <c r="W367" s="223" t="str">
        <f>IF(W$3="","",IF(COUNTIFS(BD!$A$3:$A$5001,W$3,BD!$B$3:$B$5001,$A$341,BD!$AB$3:$AB$5001,"&lt;&gt;")=0,"",SUMIFS(BD!$AB$3:$AB$5001,BD!$A$3:$A$5001,W$3,BD!$B$3:$B$5001,$A$341)))</f>
        <v/>
      </c>
      <c r="X367" s="223" t="str">
        <f>IF(X$3="","",IF(COUNTIFS(BD!$A$3:$A$5001,X$3,BD!$B$3:$B$5001,$A$341,BD!$AB$3:$AB$5001,"&lt;&gt;")=0,"",SUMIFS(BD!$AB$3:$AB$5001,BD!$A$3:$A$5001,X$3,BD!$B$3:$B$5001,$A$341)))</f>
        <v/>
      </c>
      <c r="Y367" s="223" t="str">
        <f>IF(Y$3="","",IF(COUNTIFS(BD!$A$3:$A$5001,Y$3,BD!$B$3:$B$5001,$A$341,BD!$AB$3:$AB$5001,"&lt;&gt;")=0,"",SUMIFS(BD!$AB$3:$AB$5001,BD!$A$3:$A$5001,Y$3,BD!$B$3:$B$5001,$A$341)))</f>
        <v/>
      </c>
      <c r="Z367" s="223" t="str">
        <f>IF(Z$3="","",IF(COUNTIFS(BD!$A$3:$A$5001,Z$3,BD!$B$3:$B$5001,$A$341,BD!$AB$3:$AB$5001,"&lt;&gt;")=0,"",SUMIFS(BD!$AB$3:$AB$5001,BD!$A$3:$A$5001,Z$3,BD!$B$3:$B$5001,$A$341)))</f>
        <v/>
      </c>
      <c r="AA367" s="223" t="str">
        <f>IF(AA$3="","",IF(COUNTIFS(BD!$A$3:$A$5001,AA$3,BD!$B$3:$B$5001,$A$341,BD!$AB$3:$AB$5001,"&lt;&gt;")=0,"",SUMIFS(BD!$AB$3:$AB$5001,BD!$A$3:$A$5001,AA$3,BD!$B$3:$B$5001,$A$341)))</f>
        <v/>
      </c>
      <c r="AB367" s="223" t="str">
        <f>IF(AB$3="","",IF(COUNTIFS(BD!$A$3:$A$5001,AB$3,BD!$B$3:$B$5001,$A$341,BD!$AB$3:$AB$5001,"&lt;&gt;")=0,"",SUMIFS(BD!$AB$3:$AB$5001,BD!$A$3:$A$5001,AB$3,BD!$B$3:$B$5001,$A$341)))</f>
        <v/>
      </c>
      <c r="AC367" s="223" t="str">
        <f>IF(AC$3="","",IF(COUNTIFS(BD!$A$3:$A$5001,AC$3,BD!$B$3:$B$5001,$A$341,BD!$AB$3:$AB$5001,"&lt;&gt;")=0,"",SUMIFS(BD!$AB$3:$AB$5001,BD!$A$3:$A$5001,AC$3,BD!$B$3:$B$5001,$A$341)))</f>
        <v/>
      </c>
      <c r="AD367" s="223" t="str">
        <f>IF(AD$3="","",IF(COUNTIFS(BD!$A$3:$A$5001,AD$3,BD!$B$3:$B$5001,$A$341,BD!$AB$3:$AB$5001,"&lt;&gt;")=0,"",SUMIFS(BD!$AB$3:$AB$5001,BD!$A$3:$A$5001,AD$3,BD!$B$3:$B$5001,$A$341)))</f>
        <v/>
      </c>
      <c r="AE367" s="223" t="str">
        <f>IF(AE$3="","",IF(COUNTIFS(BD!$A$3:$A$5001,AE$3,BD!$B$3:$B$5001,$A$341,BD!$AB$3:$AB$5001,"&lt;&gt;")=0,"",SUMIFS(BD!$AB$3:$AB$5001,BD!$A$3:$A$5001,AE$3,BD!$B$3:$B$5001,$A$341)))</f>
        <v/>
      </c>
      <c r="AF367" s="223" t="str">
        <f>IF(AF$3="","",IF(COUNTIFS(BD!$A$3:$A$5001,AF$3,BD!$B$3:$B$5001,$A$341,BD!$AB$3:$AB$5001,"&lt;&gt;")=0,"",SUMIFS(BD!$AB$3:$AB$5001,BD!$A$3:$A$5001,AF$3,BD!$B$3:$B$5001,$A$341)))</f>
        <v/>
      </c>
      <c r="AG367" s="223" t="str">
        <f>IF(AG$3="","",IF(COUNTIFS(BD!$A$3:$A$5001,AG$3,BD!$B$3:$B$5001,$A$341,BD!$AB$3:$AB$5001,"&lt;&gt;")=0,"",SUMIFS(BD!$AB$3:$AB$5001,BD!$A$3:$A$5001,AG$3,BD!$B$3:$B$5001,$A$341)))</f>
        <v/>
      </c>
      <c r="AH367" s="223" t="str">
        <f>IF(AH$3="","",IF(COUNTIFS(BD!$A$3:$A$5001,AH$3,BD!$B$3:$B$5001,$A$341,BD!$AB$3:$AB$5001,"&lt;&gt;")=0,"",SUMIFS(BD!$AB$3:$AB$5001,BD!$A$3:$A$5001,AH$3,BD!$B$3:$B$5001,$A$341)))</f>
        <v/>
      </c>
      <c r="AI367" s="223" t="str">
        <f>IF(AI$3="","",IF(COUNTIFS(BD!$A$3:$A$5001,AI$3,BD!$B$3:$B$5001,$A$341,BD!$AB$3:$AB$5001,"&lt;&gt;")=0,"",SUMIFS(BD!$AB$3:$AB$5001,BD!$A$3:$A$5001,AI$3,BD!$B$3:$B$5001,$A$341)))</f>
        <v/>
      </c>
      <c r="AJ367" s="224" t="str">
        <f>IF(AJ$3="","",IF(COUNTIFS(BD!$A$3:$A$5001,AJ$3,BD!$B$3:$B$5001,$A$341,BD!$AB$3:$AB$5001,"&lt;&gt;")=0,"",SUMIFS(BD!$AB$3:$AB$5001,BD!$A$3:$A$5001,AJ$3,BD!$B$3:$B$5001,$A$341)))</f>
        <v/>
      </c>
      <c r="AK367" s="225" t="str">
        <f>IF(COUNT(F367:AJ367)=0,"",SUM(F367:AJ367))</f>
        <v/>
      </c>
    </row>
    <row r="368" ht="15.75" customHeight="1" hidden="1">
      <c r="A368" s="244"/>
      <c r="B368" s="241"/>
      <c r="C368" s="219" t="inlineStr">
        <is>
          <t xml:space="preserve">Desligamento</t>
        </is>
      </c>
      <c r="D368" s="220" t="str">
        <f>IFERROR(1/(1/INDEX(BD!$AJ$50:$BD$50,MATCH($A$341,BD!$AJ$22:$BD$22,0))),"")</f>
        <v/>
      </c>
      <c r="E368" s="221"/>
      <c r="F368" s="222" t="str">
        <f>IF(F$3="","",IF(COUNTIFS(BD!$A$3:$A$5001,F$3,BD!$B$3:$B$5001,$A$341,BD!$AC$3:$AC$5001,"&lt;&gt;")=0,"",SUMIFS(BD!$AC$3:$AC$5001,BD!$A$3:$A$5001,F$3,BD!$B$3:$B$5001,$A$341)))</f>
        <v/>
      </c>
      <c r="G368" s="223" t="str">
        <f>IF(G$3="","",IF(COUNTIFS(BD!$A$3:$A$5001,G$3,BD!$B$3:$B$5001,$A$341,BD!$AC$3:$AC$5001,"&lt;&gt;")=0,"",SUMIFS(BD!$AC$3:$AC$5001,BD!$A$3:$A$5001,G$3,BD!$B$3:$B$5001,$A$341)))</f>
        <v/>
      </c>
      <c r="H368" s="223" t="str">
        <f>IF(H$3="","",IF(COUNTIFS(BD!$A$3:$A$5001,H$3,BD!$B$3:$B$5001,$A$341,BD!$AC$3:$AC$5001,"&lt;&gt;")=0,"",SUMIFS(BD!$AC$3:$AC$5001,BD!$A$3:$A$5001,H$3,BD!$B$3:$B$5001,$A$341)))</f>
        <v/>
      </c>
      <c r="I368" s="223" t="str">
        <f>IF(I$3="","",IF(COUNTIFS(BD!$A$3:$A$5001,I$3,BD!$B$3:$B$5001,$A$341,BD!$AC$3:$AC$5001,"&lt;&gt;")=0,"",SUMIFS(BD!$AC$3:$AC$5001,BD!$A$3:$A$5001,I$3,BD!$B$3:$B$5001,$A$341)))</f>
        <v/>
      </c>
      <c r="J368" s="223" t="str">
        <f>IF(J$3="","",IF(COUNTIFS(BD!$A$3:$A$5001,J$3,BD!$B$3:$B$5001,$A$341,BD!$AC$3:$AC$5001,"&lt;&gt;")=0,"",SUMIFS(BD!$AC$3:$AC$5001,BD!$A$3:$A$5001,J$3,BD!$B$3:$B$5001,$A$341)))</f>
        <v/>
      </c>
      <c r="K368" s="223" t="str">
        <f>IF(K$3="","",IF(COUNTIFS(BD!$A$3:$A$5001,K$3,BD!$B$3:$B$5001,$A$341,BD!$AC$3:$AC$5001,"&lt;&gt;")=0,"",SUMIFS(BD!$AC$3:$AC$5001,BD!$A$3:$A$5001,K$3,BD!$B$3:$B$5001,$A$341)))</f>
        <v/>
      </c>
      <c r="L368" s="223" t="str">
        <f>IF(L$3="","",IF(COUNTIFS(BD!$A$3:$A$5001,L$3,BD!$B$3:$B$5001,$A$341,BD!$AC$3:$AC$5001,"&lt;&gt;")=0,"",SUMIFS(BD!$AC$3:$AC$5001,BD!$A$3:$A$5001,L$3,BD!$B$3:$B$5001,$A$341)))</f>
        <v/>
      </c>
      <c r="M368" s="223" t="str">
        <f>IF(M$3="","",IF(COUNTIFS(BD!$A$3:$A$5001,M$3,BD!$B$3:$B$5001,$A$341,BD!$AC$3:$AC$5001,"&lt;&gt;")=0,"",SUMIFS(BD!$AC$3:$AC$5001,BD!$A$3:$A$5001,M$3,BD!$B$3:$B$5001,$A$341)))</f>
        <v/>
      </c>
      <c r="N368" s="223" t="str">
        <f>IF(N$3="","",IF(COUNTIFS(BD!$A$3:$A$5001,N$3,BD!$B$3:$B$5001,$A$341,BD!$AC$3:$AC$5001,"&lt;&gt;")=0,"",SUMIFS(BD!$AC$3:$AC$5001,BD!$A$3:$A$5001,N$3,BD!$B$3:$B$5001,$A$341)))</f>
        <v/>
      </c>
      <c r="O368" s="223" t="str">
        <f>IF(O$3="","",IF(COUNTIFS(BD!$A$3:$A$5001,O$3,BD!$B$3:$B$5001,$A$341,BD!$AC$3:$AC$5001,"&lt;&gt;")=0,"",SUMIFS(BD!$AC$3:$AC$5001,BD!$A$3:$A$5001,O$3,BD!$B$3:$B$5001,$A$341)))</f>
        <v/>
      </c>
      <c r="P368" s="223" t="str">
        <f>IF(P$3="","",IF(COUNTIFS(BD!$A$3:$A$5001,P$3,BD!$B$3:$B$5001,$A$341,BD!$AC$3:$AC$5001,"&lt;&gt;")=0,"",SUMIFS(BD!$AC$3:$AC$5001,BD!$A$3:$A$5001,P$3,BD!$B$3:$B$5001,$A$341)))</f>
        <v/>
      </c>
      <c r="Q368" s="223" t="str">
        <f>IF(Q$3="","",IF(COUNTIFS(BD!$A$3:$A$5001,Q$3,BD!$B$3:$B$5001,$A$341,BD!$AC$3:$AC$5001,"&lt;&gt;")=0,"",SUMIFS(BD!$AC$3:$AC$5001,BD!$A$3:$A$5001,Q$3,BD!$B$3:$B$5001,$A$341)))</f>
        <v/>
      </c>
      <c r="R368" s="223" t="str">
        <f>IF(R$3="","",IF(COUNTIFS(BD!$A$3:$A$5001,R$3,BD!$B$3:$B$5001,$A$341,BD!$AC$3:$AC$5001,"&lt;&gt;")=0,"",SUMIFS(BD!$AC$3:$AC$5001,BD!$A$3:$A$5001,R$3,BD!$B$3:$B$5001,$A$341)))</f>
        <v/>
      </c>
      <c r="S368" s="223" t="str">
        <f>IF(S$3="","",IF(COUNTIFS(BD!$A$3:$A$5001,S$3,BD!$B$3:$B$5001,$A$341,BD!$AC$3:$AC$5001,"&lt;&gt;")=0,"",SUMIFS(BD!$AC$3:$AC$5001,BD!$A$3:$A$5001,S$3,BD!$B$3:$B$5001,$A$341)))</f>
        <v/>
      </c>
      <c r="T368" s="223" t="str">
        <f>IF(T$3="","",IF(COUNTIFS(BD!$A$3:$A$5001,T$3,BD!$B$3:$B$5001,$A$341,BD!$AC$3:$AC$5001,"&lt;&gt;")=0,"",SUMIFS(BD!$AC$3:$AC$5001,BD!$A$3:$A$5001,T$3,BD!$B$3:$B$5001,$A$341)))</f>
        <v/>
      </c>
      <c r="U368" s="223" t="str">
        <f>IF(U$3="","",IF(COUNTIFS(BD!$A$3:$A$5001,U$3,BD!$B$3:$B$5001,$A$341,BD!$AC$3:$AC$5001,"&lt;&gt;")=0,"",SUMIFS(BD!$AC$3:$AC$5001,BD!$A$3:$A$5001,U$3,BD!$B$3:$B$5001,$A$341)))</f>
        <v/>
      </c>
      <c r="V368" s="223" t="str">
        <f>IF(V$3="","",IF(COUNTIFS(BD!$A$3:$A$5001,V$3,BD!$B$3:$B$5001,$A$341,BD!$AC$3:$AC$5001,"&lt;&gt;")=0,"",SUMIFS(BD!$AC$3:$AC$5001,BD!$A$3:$A$5001,V$3,BD!$B$3:$B$5001,$A$341)))</f>
        <v/>
      </c>
      <c r="W368" s="223" t="str">
        <f>IF(W$3="","",IF(COUNTIFS(BD!$A$3:$A$5001,W$3,BD!$B$3:$B$5001,$A$341,BD!$AC$3:$AC$5001,"&lt;&gt;")=0,"",SUMIFS(BD!$AC$3:$AC$5001,BD!$A$3:$A$5001,W$3,BD!$B$3:$B$5001,$A$341)))</f>
        <v/>
      </c>
      <c r="X368" s="223" t="str">
        <f>IF(X$3="","",IF(COUNTIFS(BD!$A$3:$A$5001,X$3,BD!$B$3:$B$5001,$A$341,BD!$AC$3:$AC$5001,"&lt;&gt;")=0,"",SUMIFS(BD!$AC$3:$AC$5001,BD!$A$3:$A$5001,X$3,BD!$B$3:$B$5001,$A$341)))</f>
        <v/>
      </c>
      <c r="Y368" s="223" t="str">
        <f>IF(Y$3="","",IF(COUNTIFS(BD!$A$3:$A$5001,Y$3,BD!$B$3:$B$5001,$A$341,BD!$AC$3:$AC$5001,"&lt;&gt;")=0,"",SUMIFS(BD!$AC$3:$AC$5001,BD!$A$3:$A$5001,Y$3,BD!$B$3:$B$5001,$A$341)))</f>
        <v/>
      </c>
      <c r="Z368" s="223" t="str">
        <f>IF(Z$3="","",IF(COUNTIFS(BD!$A$3:$A$5001,Z$3,BD!$B$3:$B$5001,$A$341,BD!$AC$3:$AC$5001,"&lt;&gt;")=0,"",SUMIFS(BD!$AC$3:$AC$5001,BD!$A$3:$A$5001,Z$3,BD!$B$3:$B$5001,$A$341)))</f>
        <v/>
      </c>
      <c r="AA368" s="223" t="str">
        <f>IF(AA$3="","",IF(COUNTIFS(BD!$A$3:$A$5001,AA$3,BD!$B$3:$B$5001,$A$341,BD!$AC$3:$AC$5001,"&lt;&gt;")=0,"",SUMIFS(BD!$AC$3:$AC$5001,BD!$A$3:$A$5001,AA$3,BD!$B$3:$B$5001,$A$341)))</f>
        <v/>
      </c>
      <c r="AB368" s="223" t="str">
        <f>IF(AB$3="","",IF(COUNTIFS(BD!$A$3:$A$5001,AB$3,BD!$B$3:$B$5001,$A$341,BD!$AC$3:$AC$5001,"&lt;&gt;")=0,"",SUMIFS(BD!$AC$3:$AC$5001,BD!$A$3:$A$5001,AB$3,BD!$B$3:$B$5001,$A$341)))</f>
        <v/>
      </c>
      <c r="AC368" s="223" t="str">
        <f>IF(AC$3="","",IF(COUNTIFS(BD!$A$3:$A$5001,AC$3,BD!$B$3:$B$5001,$A$341,BD!$AC$3:$AC$5001,"&lt;&gt;")=0,"",SUMIFS(BD!$AC$3:$AC$5001,BD!$A$3:$A$5001,AC$3,BD!$B$3:$B$5001,$A$341)))</f>
        <v/>
      </c>
      <c r="AD368" s="223" t="str">
        <f>IF(AD$3="","",IF(COUNTIFS(BD!$A$3:$A$5001,AD$3,BD!$B$3:$B$5001,$A$341,BD!$AC$3:$AC$5001,"&lt;&gt;")=0,"",SUMIFS(BD!$AC$3:$AC$5001,BD!$A$3:$A$5001,AD$3,BD!$B$3:$B$5001,$A$341)))</f>
        <v/>
      </c>
      <c r="AE368" s="223" t="str">
        <f>IF(AE$3="","",IF(COUNTIFS(BD!$A$3:$A$5001,AE$3,BD!$B$3:$B$5001,$A$341,BD!$AC$3:$AC$5001,"&lt;&gt;")=0,"",SUMIFS(BD!$AC$3:$AC$5001,BD!$A$3:$A$5001,AE$3,BD!$B$3:$B$5001,$A$341)))</f>
        <v/>
      </c>
      <c r="AF368" s="223" t="str">
        <f>IF(AF$3="","",IF(COUNTIFS(BD!$A$3:$A$5001,AF$3,BD!$B$3:$B$5001,$A$341,BD!$AC$3:$AC$5001,"&lt;&gt;")=0,"",SUMIFS(BD!$AC$3:$AC$5001,BD!$A$3:$A$5001,AF$3,BD!$B$3:$B$5001,$A$341)))</f>
        <v/>
      </c>
      <c r="AG368" s="223" t="str">
        <f>IF(AG$3="","",IF(COUNTIFS(BD!$A$3:$A$5001,AG$3,BD!$B$3:$B$5001,$A$341,BD!$AC$3:$AC$5001,"&lt;&gt;")=0,"",SUMIFS(BD!$AC$3:$AC$5001,BD!$A$3:$A$5001,AG$3,BD!$B$3:$B$5001,$A$341)))</f>
        <v/>
      </c>
      <c r="AH368" s="223" t="str">
        <f>IF(AH$3="","",IF(COUNTIFS(BD!$A$3:$A$5001,AH$3,BD!$B$3:$B$5001,$A$341,BD!$AC$3:$AC$5001,"&lt;&gt;")=0,"",SUMIFS(BD!$AC$3:$AC$5001,BD!$A$3:$A$5001,AH$3,BD!$B$3:$B$5001,$A$341)))</f>
        <v/>
      </c>
      <c r="AI368" s="223" t="str">
        <f>IF(AI$3="","",IF(COUNTIFS(BD!$A$3:$A$5001,AI$3,BD!$B$3:$B$5001,$A$341,BD!$AC$3:$AC$5001,"&lt;&gt;")=0,"",SUMIFS(BD!$AC$3:$AC$5001,BD!$A$3:$A$5001,AI$3,BD!$B$3:$B$5001,$A$341)))</f>
        <v/>
      </c>
      <c r="AJ368" s="224" t="str">
        <f>IF(AJ$3="","",IF(COUNTIFS(BD!$A$3:$A$5001,AJ$3,BD!$B$3:$B$5001,$A$341,BD!$AC$3:$AC$5001,"&lt;&gt;")=0,"",SUMIFS(BD!$AC$3:$AC$5001,BD!$A$3:$A$5001,AJ$3,BD!$B$3:$B$5001,$A$341)))</f>
        <v/>
      </c>
      <c r="AK368" s="225" t="str">
        <f>IF(COUNT(F368:AJ368)=0,"",SUM(F368:AJ368))</f>
        <v/>
      </c>
    </row>
    <row r="369" ht="15.75" customHeight="1" hidden="1">
      <c r="A369" s="244"/>
      <c r="B369" s="241"/>
      <c r="C369" s="219" t="inlineStr">
        <is>
          <t xml:space="preserve">Desvios Comportamentais</t>
        </is>
      </c>
      <c r="D369" s="220" t="str">
        <f>IFERROR(1/(1/INDEX(BD!$AJ$51:$BD$51,MATCH($A$341,BD!$AJ$22:$BD$22,0))),"")</f>
        <v/>
      </c>
      <c r="E369" s="221"/>
      <c r="F369" s="222" t="str">
        <f>IF(F$3="","",IF(COUNTIFS(BD!$A$3:$A$5001,F$3,BD!$B$3:$B$5001,$A$341,BD!$AD$3:$AD$5001,"&lt;&gt;")=0,"",SUMIFS(BD!$AD$3:$AD$5001,BD!$A$3:$A$5001,F$3,BD!$B$3:$B$5001,$A$341)))</f>
        <v/>
      </c>
      <c r="G369" s="223" t="str">
        <f>IF(G$3="","",IF(COUNTIFS(BD!$A$3:$A$5001,G$3,BD!$B$3:$B$5001,$A$341,BD!$AD$3:$AD$5001,"&lt;&gt;")=0,"",SUMIFS(BD!$AD$3:$AD$5001,BD!$A$3:$A$5001,G$3,BD!$B$3:$B$5001,$A$341)))</f>
        <v/>
      </c>
      <c r="H369" s="223" t="str">
        <f>IF(H$3="","",IF(COUNTIFS(BD!$A$3:$A$5001,H$3,BD!$B$3:$B$5001,$A$341,BD!$AD$3:$AD$5001,"&lt;&gt;")=0,"",SUMIFS(BD!$AD$3:$AD$5001,BD!$A$3:$A$5001,H$3,BD!$B$3:$B$5001,$A$341)))</f>
        <v/>
      </c>
      <c r="I369" s="223" t="str">
        <f>IF(I$3="","",IF(COUNTIFS(BD!$A$3:$A$5001,I$3,BD!$B$3:$B$5001,$A$341,BD!$AD$3:$AD$5001,"&lt;&gt;")=0,"",SUMIFS(BD!$AD$3:$AD$5001,BD!$A$3:$A$5001,I$3,BD!$B$3:$B$5001,$A$341)))</f>
        <v/>
      </c>
      <c r="J369" s="223" t="str">
        <f>IF(J$3="","",IF(COUNTIFS(BD!$A$3:$A$5001,J$3,BD!$B$3:$B$5001,$A$341,BD!$AD$3:$AD$5001,"&lt;&gt;")=0,"",SUMIFS(BD!$AD$3:$AD$5001,BD!$A$3:$A$5001,J$3,BD!$B$3:$B$5001,$A$341)))</f>
        <v/>
      </c>
      <c r="K369" s="223" t="str">
        <f>IF(K$3="","",IF(COUNTIFS(BD!$A$3:$A$5001,K$3,BD!$B$3:$B$5001,$A$341,BD!$AD$3:$AD$5001,"&lt;&gt;")=0,"",SUMIFS(BD!$AD$3:$AD$5001,BD!$A$3:$A$5001,K$3,BD!$B$3:$B$5001,$A$341)))</f>
        <v/>
      </c>
      <c r="L369" s="223" t="str">
        <f>IF(L$3="","",IF(COUNTIFS(BD!$A$3:$A$5001,L$3,BD!$B$3:$B$5001,$A$341,BD!$AD$3:$AD$5001,"&lt;&gt;")=0,"",SUMIFS(BD!$AD$3:$AD$5001,BD!$A$3:$A$5001,L$3,BD!$B$3:$B$5001,$A$341)))</f>
        <v/>
      </c>
      <c r="M369" s="223" t="str">
        <f>IF(M$3="","",IF(COUNTIFS(BD!$A$3:$A$5001,M$3,BD!$B$3:$B$5001,$A$341,BD!$AD$3:$AD$5001,"&lt;&gt;")=0,"",SUMIFS(BD!$AD$3:$AD$5001,BD!$A$3:$A$5001,M$3,BD!$B$3:$B$5001,$A$341)))</f>
        <v/>
      </c>
      <c r="N369" s="223" t="str">
        <f>IF(N$3="","",IF(COUNTIFS(BD!$A$3:$A$5001,N$3,BD!$B$3:$B$5001,$A$341,BD!$AD$3:$AD$5001,"&lt;&gt;")=0,"",SUMIFS(BD!$AD$3:$AD$5001,BD!$A$3:$A$5001,N$3,BD!$B$3:$B$5001,$A$341)))</f>
        <v/>
      </c>
      <c r="O369" s="223" t="str">
        <f>IF(O$3="","",IF(COUNTIFS(BD!$A$3:$A$5001,O$3,BD!$B$3:$B$5001,$A$341,BD!$AD$3:$AD$5001,"&lt;&gt;")=0,"",SUMIFS(BD!$AD$3:$AD$5001,BD!$A$3:$A$5001,O$3,BD!$B$3:$B$5001,$A$341)))</f>
        <v/>
      </c>
      <c r="P369" s="223" t="str">
        <f>IF(P$3="","",IF(COUNTIFS(BD!$A$3:$A$5001,P$3,BD!$B$3:$B$5001,$A$341,BD!$AD$3:$AD$5001,"&lt;&gt;")=0,"",SUMIFS(BD!$AD$3:$AD$5001,BD!$A$3:$A$5001,P$3,BD!$B$3:$B$5001,$A$341)))</f>
        <v/>
      </c>
      <c r="Q369" s="223" t="str">
        <f>IF(Q$3="","",IF(COUNTIFS(BD!$A$3:$A$5001,Q$3,BD!$B$3:$B$5001,$A$341,BD!$AD$3:$AD$5001,"&lt;&gt;")=0,"",SUMIFS(BD!$AD$3:$AD$5001,BD!$A$3:$A$5001,Q$3,BD!$B$3:$B$5001,$A$341)))</f>
        <v/>
      </c>
      <c r="R369" s="223" t="str">
        <f>IF(R$3="","",IF(COUNTIFS(BD!$A$3:$A$5001,R$3,BD!$B$3:$B$5001,$A$341,BD!$AD$3:$AD$5001,"&lt;&gt;")=0,"",SUMIFS(BD!$AD$3:$AD$5001,BD!$A$3:$A$5001,R$3,BD!$B$3:$B$5001,$A$341)))</f>
        <v/>
      </c>
      <c r="S369" s="223" t="str">
        <f>IF(S$3="","",IF(COUNTIFS(BD!$A$3:$A$5001,S$3,BD!$B$3:$B$5001,$A$341,BD!$AD$3:$AD$5001,"&lt;&gt;")=0,"",SUMIFS(BD!$AD$3:$AD$5001,BD!$A$3:$A$5001,S$3,BD!$B$3:$B$5001,$A$341)))</f>
        <v/>
      </c>
      <c r="T369" s="223" t="str">
        <f>IF(T$3="","",IF(COUNTIFS(BD!$A$3:$A$5001,T$3,BD!$B$3:$B$5001,$A$341,BD!$AD$3:$AD$5001,"&lt;&gt;")=0,"",SUMIFS(BD!$AD$3:$AD$5001,BD!$A$3:$A$5001,T$3,BD!$B$3:$B$5001,$A$341)))</f>
        <v/>
      </c>
      <c r="U369" s="223" t="str">
        <f>IF(U$3="","",IF(COUNTIFS(BD!$A$3:$A$5001,U$3,BD!$B$3:$B$5001,$A$341,BD!$AD$3:$AD$5001,"&lt;&gt;")=0,"",SUMIFS(BD!$AD$3:$AD$5001,BD!$A$3:$A$5001,U$3,BD!$B$3:$B$5001,$A$341)))</f>
        <v/>
      </c>
      <c r="V369" s="223" t="str">
        <f>IF(V$3="","",IF(COUNTIFS(BD!$A$3:$A$5001,V$3,BD!$B$3:$B$5001,$A$341,BD!$AD$3:$AD$5001,"&lt;&gt;")=0,"",SUMIFS(BD!$AD$3:$AD$5001,BD!$A$3:$A$5001,V$3,BD!$B$3:$B$5001,$A$341)))</f>
        <v/>
      </c>
      <c r="W369" s="223" t="str">
        <f>IF(W$3="","",IF(COUNTIFS(BD!$A$3:$A$5001,W$3,BD!$B$3:$B$5001,$A$341,BD!$AD$3:$AD$5001,"&lt;&gt;")=0,"",SUMIFS(BD!$AD$3:$AD$5001,BD!$A$3:$A$5001,W$3,BD!$B$3:$B$5001,$A$341)))</f>
        <v/>
      </c>
      <c r="X369" s="223" t="str">
        <f>IF(X$3="","",IF(COUNTIFS(BD!$A$3:$A$5001,X$3,BD!$B$3:$B$5001,$A$341,BD!$AD$3:$AD$5001,"&lt;&gt;")=0,"",SUMIFS(BD!$AD$3:$AD$5001,BD!$A$3:$A$5001,X$3,BD!$B$3:$B$5001,$A$341)))</f>
        <v/>
      </c>
      <c r="Y369" s="223" t="str">
        <f>IF(Y$3="","",IF(COUNTIFS(BD!$A$3:$A$5001,Y$3,BD!$B$3:$B$5001,$A$341,BD!$AD$3:$AD$5001,"&lt;&gt;")=0,"",SUMIFS(BD!$AD$3:$AD$5001,BD!$A$3:$A$5001,Y$3,BD!$B$3:$B$5001,$A$341)))</f>
        <v/>
      </c>
      <c r="Z369" s="223" t="str">
        <f>IF(Z$3="","",IF(COUNTIFS(BD!$A$3:$A$5001,Z$3,BD!$B$3:$B$5001,$A$341,BD!$AD$3:$AD$5001,"&lt;&gt;")=0,"",SUMIFS(BD!$AD$3:$AD$5001,BD!$A$3:$A$5001,Z$3,BD!$B$3:$B$5001,$A$341)))</f>
        <v/>
      </c>
      <c r="AA369" s="223" t="str">
        <f>IF(AA$3="","",IF(COUNTIFS(BD!$A$3:$A$5001,AA$3,BD!$B$3:$B$5001,$A$341,BD!$AD$3:$AD$5001,"&lt;&gt;")=0,"",SUMIFS(BD!$AD$3:$AD$5001,BD!$A$3:$A$5001,AA$3,BD!$B$3:$B$5001,$A$341)))</f>
        <v/>
      </c>
      <c r="AB369" s="223" t="str">
        <f>IF(AB$3="","",IF(COUNTIFS(BD!$A$3:$A$5001,AB$3,BD!$B$3:$B$5001,$A$341,BD!$AD$3:$AD$5001,"&lt;&gt;")=0,"",SUMIFS(BD!$AD$3:$AD$5001,BD!$A$3:$A$5001,AB$3,BD!$B$3:$B$5001,$A$341)))</f>
        <v/>
      </c>
      <c r="AC369" s="223" t="str">
        <f>IF(AC$3="","",IF(COUNTIFS(BD!$A$3:$A$5001,AC$3,BD!$B$3:$B$5001,$A$341,BD!$AD$3:$AD$5001,"&lt;&gt;")=0,"",SUMIFS(BD!$AD$3:$AD$5001,BD!$A$3:$A$5001,AC$3,BD!$B$3:$B$5001,$A$341)))</f>
        <v/>
      </c>
      <c r="AD369" s="223" t="str">
        <f>IF(AD$3="","",IF(COUNTIFS(BD!$A$3:$A$5001,AD$3,BD!$B$3:$B$5001,$A$341,BD!$AD$3:$AD$5001,"&lt;&gt;")=0,"",SUMIFS(BD!$AD$3:$AD$5001,BD!$A$3:$A$5001,AD$3,BD!$B$3:$B$5001,$A$341)))</f>
        <v/>
      </c>
      <c r="AE369" s="223" t="str">
        <f>IF(AE$3="","",IF(COUNTIFS(BD!$A$3:$A$5001,AE$3,BD!$B$3:$B$5001,$A$341,BD!$AD$3:$AD$5001,"&lt;&gt;")=0,"",SUMIFS(BD!$AD$3:$AD$5001,BD!$A$3:$A$5001,AE$3,BD!$B$3:$B$5001,$A$341)))</f>
        <v/>
      </c>
      <c r="AF369" s="223" t="str">
        <f>IF(AF$3="","",IF(COUNTIFS(BD!$A$3:$A$5001,AF$3,BD!$B$3:$B$5001,$A$341,BD!$AD$3:$AD$5001,"&lt;&gt;")=0,"",SUMIFS(BD!$AD$3:$AD$5001,BD!$A$3:$A$5001,AF$3,BD!$B$3:$B$5001,$A$341)))</f>
        <v/>
      </c>
      <c r="AG369" s="223" t="str">
        <f>IF(AG$3="","",IF(COUNTIFS(BD!$A$3:$A$5001,AG$3,BD!$B$3:$B$5001,$A$341,BD!$AD$3:$AD$5001,"&lt;&gt;")=0,"",SUMIFS(BD!$AD$3:$AD$5001,BD!$A$3:$A$5001,AG$3,BD!$B$3:$B$5001,$A$341)))</f>
        <v/>
      </c>
      <c r="AH369" s="223" t="str">
        <f>IF(AH$3="","",IF(COUNTIFS(BD!$A$3:$A$5001,AH$3,BD!$B$3:$B$5001,$A$341,BD!$AD$3:$AD$5001,"&lt;&gt;")=0,"",SUMIFS(BD!$AD$3:$AD$5001,BD!$A$3:$A$5001,AH$3,BD!$B$3:$B$5001,$A$341)))</f>
        <v/>
      </c>
      <c r="AI369" s="223" t="str">
        <f>IF(AI$3="","",IF(COUNTIFS(BD!$A$3:$A$5001,AI$3,BD!$B$3:$B$5001,$A$341,BD!$AD$3:$AD$5001,"&lt;&gt;")=0,"",SUMIFS(BD!$AD$3:$AD$5001,BD!$A$3:$A$5001,AI$3,BD!$B$3:$B$5001,$A$341)))</f>
        <v/>
      </c>
      <c r="AJ369" s="224" t="str">
        <f>IF(AJ$3="","",IF(COUNTIFS(BD!$A$3:$A$5001,AJ$3,BD!$B$3:$B$5001,$A$341,BD!$AD$3:$AD$5001,"&lt;&gt;")=0,"",SUMIFS(BD!$AD$3:$AD$5001,BD!$A$3:$A$5001,AJ$3,BD!$B$3:$B$5001,$A$341)))</f>
        <v/>
      </c>
      <c r="AK369" s="225" t="str">
        <f>IF(COUNT(F369:AJ369)=0,"",SUM(F369:AJ369))</f>
        <v/>
      </c>
    </row>
    <row r="370" ht="15.75" customHeight="1" hidden="1">
      <c r="A370" s="244"/>
      <c r="B370" s="241"/>
      <c r="C370" s="219" t="inlineStr">
        <is>
          <t xml:space="preserve">Acidentes CAF</t>
        </is>
      </c>
      <c r="D370" s="220" t="str">
        <f>IFERROR(1/(1/INDEX(BD!$AJ$52:$BD$52,MATCH($A$341,BD!$AJ$22:$BD$22,0))),"")</f>
        <v/>
      </c>
      <c r="E370" s="221"/>
      <c r="F370" s="222" t="str">
        <f>IF(F$3="","",IF(COUNTIFS(BD!$A$3:$A$5001,F$3,BD!$B$3:$B$5001,$A$341,BD!$AE$3:$AE$5001,"&lt;&gt;")=0,"",SUMIFS(BD!$AE$3:$AE$5001,BD!$A$3:$A$5001,F$3,BD!$B$3:$B$5001,$A$341)))</f>
        <v/>
      </c>
      <c r="G370" s="223" t="str">
        <f>IF(G$3="","",IF(COUNTIFS(BD!$A$3:$A$5001,G$3,BD!$B$3:$B$5001,$A$341,BD!$AE$3:$AE$5001,"&lt;&gt;")=0,"",SUMIFS(BD!$AE$3:$AE$5001,BD!$A$3:$A$5001,G$3,BD!$B$3:$B$5001,$A$341)))</f>
        <v/>
      </c>
      <c r="H370" s="223" t="str">
        <f>IF(H$3="","",IF(COUNTIFS(BD!$A$3:$A$5001,H$3,BD!$B$3:$B$5001,$A$341,BD!$AE$3:$AE$5001,"&lt;&gt;")=0,"",SUMIFS(BD!$AE$3:$AE$5001,BD!$A$3:$A$5001,H$3,BD!$B$3:$B$5001,$A$341)))</f>
        <v/>
      </c>
      <c r="I370" s="223" t="str">
        <f>IF(I$3="","",IF(COUNTIFS(BD!$A$3:$A$5001,I$3,BD!$B$3:$B$5001,$A$341,BD!$AE$3:$AE$5001,"&lt;&gt;")=0,"",SUMIFS(BD!$AE$3:$AE$5001,BD!$A$3:$A$5001,I$3,BD!$B$3:$B$5001,$A$341)))</f>
        <v/>
      </c>
      <c r="J370" s="223" t="str">
        <f>IF(J$3="","",IF(COUNTIFS(BD!$A$3:$A$5001,J$3,BD!$B$3:$B$5001,$A$341,BD!$AE$3:$AE$5001,"&lt;&gt;")=0,"",SUMIFS(BD!$AE$3:$AE$5001,BD!$A$3:$A$5001,J$3,BD!$B$3:$B$5001,$A$341)))</f>
        <v/>
      </c>
      <c r="K370" s="223" t="str">
        <f>IF(K$3="","",IF(COUNTIFS(BD!$A$3:$A$5001,K$3,BD!$B$3:$B$5001,$A$341,BD!$AE$3:$AE$5001,"&lt;&gt;")=0,"",SUMIFS(BD!$AE$3:$AE$5001,BD!$A$3:$A$5001,K$3,BD!$B$3:$B$5001,$A$341)))</f>
        <v/>
      </c>
      <c r="L370" s="223" t="str">
        <f>IF(L$3="","",IF(COUNTIFS(BD!$A$3:$A$5001,L$3,BD!$B$3:$B$5001,$A$341,BD!$AE$3:$AE$5001,"&lt;&gt;")=0,"",SUMIFS(BD!$AE$3:$AE$5001,BD!$A$3:$A$5001,L$3,BD!$B$3:$B$5001,$A$341)))</f>
        <v/>
      </c>
      <c r="M370" s="223" t="str">
        <f>IF(M$3="","",IF(COUNTIFS(BD!$A$3:$A$5001,M$3,BD!$B$3:$B$5001,$A$341,BD!$AE$3:$AE$5001,"&lt;&gt;")=0,"",SUMIFS(BD!$AE$3:$AE$5001,BD!$A$3:$A$5001,M$3,BD!$B$3:$B$5001,$A$341)))</f>
        <v/>
      </c>
      <c r="N370" s="223" t="str">
        <f>IF(N$3="","",IF(COUNTIFS(BD!$A$3:$A$5001,N$3,BD!$B$3:$B$5001,$A$341,BD!$AE$3:$AE$5001,"&lt;&gt;")=0,"",SUMIFS(BD!$AE$3:$AE$5001,BD!$A$3:$A$5001,N$3,BD!$B$3:$B$5001,$A$341)))</f>
        <v/>
      </c>
      <c r="O370" s="223" t="str">
        <f>IF(O$3="","",IF(COUNTIFS(BD!$A$3:$A$5001,O$3,BD!$B$3:$B$5001,$A$341,BD!$AE$3:$AE$5001,"&lt;&gt;")=0,"",SUMIFS(BD!$AE$3:$AE$5001,BD!$A$3:$A$5001,O$3,BD!$B$3:$B$5001,$A$341)))</f>
        <v/>
      </c>
      <c r="P370" s="223" t="str">
        <f>IF(P$3="","",IF(COUNTIFS(BD!$A$3:$A$5001,P$3,BD!$B$3:$B$5001,$A$341,BD!$AE$3:$AE$5001,"&lt;&gt;")=0,"",SUMIFS(BD!$AE$3:$AE$5001,BD!$A$3:$A$5001,P$3,BD!$B$3:$B$5001,$A$341)))</f>
        <v/>
      </c>
      <c r="Q370" s="223" t="str">
        <f>IF(Q$3="","",IF(COUNTIFS(BD!$A$3:$A$5001,Q$3,BD!$B$3:$B$5001,$A$341,BD!$AE$3:$AE$5001,"&lt;&gt;")=0,"",SUMIFS(BD!$AE$3:$AE$5001,BD!$A$3:$A$5001,Q$3,BD!$B$3:$B$5001,$A$341)))</f>
        <v/>
      </c>
      <c r="R370" s="223" t="str">
        <f>IF(R$3="","",IF(COUNTIFS(BD!$A$3:$A$5001,R$3,BD!$B$3:$B$5001,$A$341,BD!$AE$3:$AE$5001,"&lt;&gt;")=0,"",SUMIFS(BD!$AE$3:$AE$5001,BD!$A$3:$A$5001,R$3,BD!$B$3:$B$5001,$A$341)))</f>
        <v/>
      </c>
      <c r="S370" s="223" t="str">
        <f>IF(S$3="","",IF(COUNTIFS(BD!$A$3:$A$5001,S$3,BD!$B$3:$B$5001,$A$341,BD!$AE$3:$AE$5001,"&lt;&gt;")=0,"",SUMIFS(BD!$AE$3:$AE$5001,BD!$A$3:$A$5001,S$3,BD!$B$3:$B$5001,$A$341)))</f>
        <v/>
      </c>
      <c r="T370" s="223" t="str">
        <f>IF(T$3="","",IF(COUNTIFS(BD!$A$3:$A$5001,T$3,BD!$B$3:$B$5001,$A$341,BD!$AE$3:$AE$5001,"&lt;&gt;")=0,"",SUMIFS(BD!$AE$3:$AE$5001,BD!$A$3:$A$5001,T$3,BD!$B$3:$B$5001,$A$341)))</f>
        <v/>
      </c>
      <c r="U370" s="223" t="str">
        <f>IF(U$3="","",IF(COUNTIFS(BD!$A$3:$A$5001,U$3,BD!$B$3:$B$5001,$A$341,BD!$AE$3:$AE$5001,"&lt;&gt;")=0,"",SUMIFS(BD!$AE$3:$AE$5001,BD!$A$3:$A$5001,U$3,BD!$B$3:$B$5001,$A$341)))</f>
        <v/>
      </c>
      <c r="V370" s="223" t="str">
        <f>IF(V$3="","",IF(COUNTIFS(BD!$A$3:$A$5001,V$3,BD!$B$3:$B$5001,$A$341,BD!$AE$3:$AE$5001,"&lt;&gt;")=0,"",SUMIFS(BD!$AE$3:$AE$5001,BD!$A$3:$A$5001,V$3,BD!$B$3:$B$5001,$A$341)))</f>
        <v/>
      </c>
      <c r="W370" s="223" t="str">
        <f>IF(W$3="","",IF(COUNTIFS(BD!$A$3:$A$5001,W$3,BD!$B$3:$B$5001,$A$341,BD!$AE$3:$AE$5001,"&lt;&gt;")=0,"",SUMIFS(BD!$AE$3:$AE$5001,BD!$A$3:$A$5001,W$3,BD!$B$3:$B$5001,$A$341)))</f>
        <v/>
      </c>
      <c r="X370" s="223" t="str">
        <f>IF(X$3="","",IF(COUNTIFS(BD!$A$3:$A$5001,X$3,BD!$B$3:$B$5001,$A$341,BD!$AE$3:$AE$5001,"&lt;&gt;")=0,"",SUMIFS(BD!$AE$3:$AE$5001,BD!$A$3:$A$5001,X$3,BD!$B$3:$B$5001,$A$341)))</f>
        <v/>
      </c>
      <c r="Y370" s="223" t="str">
        <f>IF(Y$3="","",IF(COUNTIFS(BD!$A$3:$A$5001,Y$3,BD!$B$3:$B$5001,$A$341,BD!$AE$3:$AE$5001,"&lt;&gt;")=0,"",SUMIFS(BD!$AE$3:$AE$5001,BD!$A$3:$A$5001,Y$3,BD!$B$3:$B$5001,$A$341)))</f>
        <v/>
      </c>
      <c r="Z370" s="223" t="str">
        <f>IF(Z$3="","",IF(COUNTIFS(BD!$A$3:$A$5001,Z$3,BD!$B$3:$B$5001,$A$341,BD!$AE$3:$AE$5001,"&lt;&gt;")=0,"",SUMIFS(BD!$AE$3:$AE$5001,BD!$A$3:$A$5001,Z$3,BD!$B$3:$B$5001,$A$341)))</f>
        <v/>
      </c>
      <c r="AA370" s="223" t="str">
        <f>IF(AA$3="","",IF(COUNTIFS(BD!$A$3:$A$5001,AA$3,BD!$B$3:$B$5001,$A$341,BD!$AE$3:$AE$5001,"&lt;&gt;")=0,"",SUMIFS(BD!$AE$3:$AE$5001,BD!$A$3:$A$5001,AA$3,BD!$B$3:$B$5001,$A$341)))</f>
        <v/>
      </c>
      <c r="AB370" s="223" t="str">
        <f>IF(AB$3="","",IF(COUNTIFS(BD!$A$3:$A$5001,AB$3,BD!$B$3:$B$5001,$A$341,BD!$AE$3:$AE$5001,"&lt;&gt;")=0,"",SUMIFS(BD!$AE$3:$AE$5001,BD!$A$3:$A$5001,AB$3,BD!$B$3:$B$5001,$A$341)))</f>
        <v/>
      </c>
      <c r="AC370" s="223" t="str">
        <f>IF(AC$3="","",IF(COUNTIFS(BD!$A$3:$A$5001,AC$3,BD!$B$3:$B$5001,$A$341,BD!$AE$3:$AE$5001,"&lt;&gt;")=0,"",SUMIFS(BD!$AE$3:$AE$5001,BD!$A$3:$A$5001,AC$3,BD!$B$3:$B$5001,$A$341)))</f>
        <v/>
      </c>
      <c r="AD370" s="223" t="str">
        <f>IF(AD$3="","",IF(COUNTIFS(BD!$A$3:$A$5001,AD$3,BD!$B$3:$B$5001,$A$341,BD!$AE$3:$AE$5001,"&lt;&gt;")=0,"",SUMIFS(BD!$AE$3:$AE$5001,BD!$A$3:$A$5001,AD$3,BD!$B$3:$B$5001,$A$341)))</f>
        <v/>
      </c>
      <c r="AE370" s="223" t="str">
        <f>IF(AE$3="","",IF(COUNTIFS(BD!$A$3:$A$5001,AE$3,BD!$B$3:$B$5001,$A$341,BD!$AE$3:$AE$5001,"&lt;&gt;")=0,"",SUMIFS(BD!$AE$3:$AE$5001,BD!$A$3:$A$5001,AE$3,BD!$B$3:$B$5001,$A$341)))</f>
        <v/>
      </c>
      <c r="AF370" s="223" t="str">
        <f>IF(AF$3="","",IF(COUNTIFS(BD!$A$3:$A$5001,AF$3,BD!$B$3:$B$5001,$A$341,BD!$AE$3:$AE$5001,"&lt;&gt;")=0,"",SUMIFS(BD!$AE$3:$AE$5001,BD!$A$3:$A$5001,AF$3,BD!$B$3:$B$5001,$A$341)))</f>
        <v/>
      </c>
      <c r="AG370" s="223" t="str">
        <f>IF(AG$3="","",IF(COUNTIFS(BD!$A$3:$A$5001,AG$3,BD!$B$3:$B$5001,$A$341,BD!$AE$3:$AE$5001,"&lt;&gt;")=0,"",SUMIFS(BD!$AE$3:$AE$5001,BD!$A$3:$A$5001,AG$3,BD!$B$3:$B$5001,$A$341)))</f>
        <v/>
      </c>
      <c r="AH370" s="223" t="str">
        <f>IF(AH$3="","",IF(COUNTIFS(BD!$A$3:$A$5001,AH$3,BD!$B$3:$B$5001,$A$341,BD!$AE$3:$AE$5001,"&lt;&gt;")=0,"",SUMIFS(BD!$AE$3:$AE$5001,BD!$A$3:$A$5001,AH$3,BD!$B$3:$B$5001,$A$341)))</f>
        <v/>
      </c>
      <c r="AI370" s="223" t="str">
        <f>IF(AI$3="","",IF(COUNTIFS(BD!$A$3:$A$5001,AI$3,BD!$B$3:$B$5001,$A$341,BD!$AE$3:$AE$5001,"&lt;&gt;")=0,"",SUMIFS(BD!$AE$3:$AE$5001,BD!$A$3:$A$5001,AI$3,BD!$B$3:$B$5001,$A$341)))</f>
        <v/>
      </c>
      <c r="AJ370" s="224" t="str">
        <f>IF(AJ$3="","",IF(COUNTIFS(BD!$A$3:$A$5001,AJ$3,BD!$B$3:$B$5001,$A$341,BD!$AE$3:$AE$5001,"&lt;&gt;")=0,"",SUMIFS(BD!$AE$3:$AE$5001,BD!$A$3:$A$5001,AJ$3,BD!$B$3:$B$5001,$A$341)))</f>
        <v/>
      </c>
      <c r="AK370" s="225" t="str">
        <f>IF(COUNT(F370:AJ370)=0,"",SUM(F370:AJ370))</f>
        <v/>
      </c>
    </row>
    <row r="371" ht="15.75" customHeight="1" hidden="1">
      <c r="A371" s="245"/>
      <c r="B371" s="242"/>
      <c r="C371" s="226" t="inlineStr">
        <is>
          <t xml:space="preserve">Acidentes SAF</t>
        </is>
      </c>
      <c r="D371" s="227" t="str">
        <f>IFERROR(1/(1/INDEX(BD!$AJ$53:$BD$53,MATCH($A$341,BD!$AJ$22:$BD$22,0))),"")</f>
        <v/>
      </c>
      <c r="E371" s="228"/>
      <c r="F371" s="229" t="str">
        <f>IF(F$3="","",IF(COUNTIFS(BD!$A$3:$A$5001,F$3,BD!$B$3:$B$5001,$A$341,BD!$AF$3:$AF$5001,"&lt;&gt;")=0,"",SUMIFS(BD!$AF$3:$AF$5001,BD!$A$3:$A$5001,F$3,BD!$B$3:$B$5001,$A$341)))</f>
        <v/>
      </c>
      <c r="G371" s="230" t="str">
        <f>IF(G$3="","",IF(COUNTIFS(BD!$A$3:$A$5001,G$3,BD!$B$3:$B$5001,$A$341,BD!$AF$3:$AF$5001,"&lt;&gt;")=0,"",SUMIFS(BD!$AF$3:$AF$5001,BD!$A$3:$A$5001,G$3,BD!$B$3:$B$5001,$A$341)))</f>
        <v/>
      </c>
      <c r="H371" s="230" t="str">
        <f>IF(H$3="","",IF(COUNTIFS(BD!$A$3:$A$5001,H$3,BD!$B$3:$B$5001,$A$341,BD!$AF$3:$AF$5001,"&lt;&gt;")=0,"",SUMIFS(BD!$AF$3:$AF$5001,BD!$A$3:$A$5001,H$3,BD!$B$3:$B$5001,$A$341)))</f>
        <v/>
      </c>
      <c r="I371" s="230" t="str">
        <f>IF(I$3="","",IF(COUNTIFS(BD!$A$3:$A$5001,I$3,BD!$B$3:$B$5001,$A$341,BD!$AF$3:$AF$5001,"&lt;&gt;")=0,"",SUMIFS(BD!$AF$3:$AF$5001,BD!$A$3:$A$5001,I$3,BD!$B$3:$B$5001,$A$341)))</f>
        <v/>
      </c>
      <c r="J371" s="230" t="str">
        <f>IF(J$3="","",IF(COUNTIFS(BD!$A$3:$A$5001,J$3,BD!$B$3:$B$5001,$A$341,BD!$AF$3:$AF$5001,"&lt;&gt;")=0,"",SUMIFS(BD!$AF$3:$AF$5001,BD!$A$3:$A$5001,J$3,BD!$B$3:$B$5001,$A$341)))</f>
        <v/>
      </c>
      <c r="K371" s="230" t="str">
        <f>IF(K$3="","",IF(COUNTIFS(BD!$A$3:$A$5001,K$3,BD!$B$3:$B$5001,$A$341,BD!$AF$3:$AF$5001,"&lt;&gt;")=0,"",SUMIFS(BD!$AF$3:$AF$5001,BD!$A$3:$A$5001,K$3,BD!$B$3:$B$5001,$A$341)))</f>
        <v/>
      </c>
      <c r="L371" s="230" t="str">
        <f>IF(L$3="","",IF(COUNTIFS(BD!$A$3:$A$5001,L$3,BD!$B$3:$B$5001,$A$341,BD!$AF$3:$AF$5001,"&lt;&gt;")=0,"",SUMIFS(BD!$AF$3:$AF$5001,BD!$A$3:$A$5001,L$3,BD!$B$3:$B$5001,$A$341)))</f>
        <v/>
      </c>
      <c r="M371" s="230" t="str">
        <f>IF(M$3="","",IF(COUNTIFS(BD!$A$3:$A$5001,M$3,BD!$B$3:$B$5001,$A$341,BD!$AF$3:$AF$5001,"&lt;&gt;")=0,"",SUMIFS(BD!$AF$3:$AF$5001,BD!$A$3:$A$5001,M$3,BD!$B$3:$B$5001,$A$341)))</f>
        <v/>
      </c>
      <c r="N371" s="230" t="str">
        <f>IF(N$3="","",IF(COUNTIFS(BD!$A$3:$A$5001,N$3,BD!$B$3:$B$5001,$A$341,BD!$AF$3:$AF$5001,"&lt;&gt;")=0,"",SUMIFS(BD!$AF$3:$AF$5001,BD!$A$3:$A$5001,N$3,BD!$B$3:$B$5001,$A$341)))</f>
        <v/>
      </c>
      <c r="O371" s="230" t="str">
        <f>IF(O$3="","",IF(COUNTIFS(BD!$A$3:$A$5001,O$3,BD!$B$3:$B$5001,$A$341,BD!$AF$3:$AF$5001,"&lt;&gt;")=0,"",SUMIFS(BD!$AF$3:$AF$5001,BD!$A$3:$A$5001,O$3,BD!$B$3:$B$5001,$A$341)))</f>
        <v/>
      </c>
      <c r="P371" s="230" t="str">
        <f>IF(P$3="","",IF(COUNTIFS(BD!$A$3:$A$5001,P$3,BD!$B$3:$B$5001,$A$341,BD!$AF$3:$AF$5001,"&lt;&gt;")=0,"",SUMIFS(BD!$AF$3:$AF$5001,BD!$A$3:$A$5001,P$3,BD!$B$3:$B$5001,$A$341)))</f>
        <v/>
      </c>
      <c r="Q371" s="230" t="str">
        <f>IF(Q$3="","",IF(COUNTIFS(BD!$A$3:$A$5001,Q$3,BD!$B$3:$B$5001,$A$341,BD!$AF$3:$AF$5001,"&lt;&gt;")=0,"",SUMIFS(BD!$AF$3:$AF$5001,BD!$A$3:$A$5001,Q$3,BD!$B$3:$B$5001,$A$341)))</f>
        <v/>
      </c>
      <c r="R371" s="230" t="str">
        <f>IF(R$3="","",IF(COUNTIFS(BD!$A$3:$A$5001,R$3,BD!$B$3:$B$5001,$A$341,BD!$AF$3:$AF$5001,"&lt;&gt;")=0,"",SUMIFS(BD!$AF$3:$AF$5001,BD!$A$3:$A$5001,R$3,BD!$B$3:$B$5001,$A$341)))</f>
        <v/>
      </c>
      <c r="S371" s="230" t="str">
        <f>IF(S$3="","",IF(COUNTIFS(BD!$A$3:$A$5001,S$3,BD!$B$3:$B$5001,$A$341,BD!$AF$3:$AF$5001,"&lt;&gt;")=0,"",SUMIFS(BD!$AF$3:$AF$5001,BD!$A$3:$A$5001,S$3,BD!$B$3:$B$5001,$A$341)))</f>
        <v/>
      </c>
      <c r="T371" s="230" t="str">
        <f>IF(T$3="","",IF(COUNTIFS(BD!$A$3:$A$5001,T$3,BD!$B$3:$B$5001,$A$341,BD!$AF$3:$AF$5001,"&lt;&gt;")=0,"",SUMIFS(BD!$AF$3:$AF$5001,BD!$A$3:$A$5001,T$3,BD!$B$3:$B$5001,$A$341)))</f>
        <v/>
      </c>
      <c r="U371" s="230" t="str">
        <f>IF(U$3="","",IF(COUNTIFS(BD!$A$3:$A$5001,U$3,BD!$B$3:$B$5001,$A$341,BD!$AF$3:$AF$5001,"&lt;&gt;")=0,"",SUMIFS(BD!$AF$3:$AF$5001,BD!$A$3:$A$5001,U$3,BD!$B$3:$B$5001,$A$341)))</f>
        <v/>
      </c>
      <c r="V371" s="230" t="str">
        <f>IF(V$3="","",IF(COUNTIFS(BD!$A$3:$A$5001,V$3,BD!$B$3:$B$5001,$A$341,BD!$AF$3:$AF$5001,"&lt;&gt;")=0,"",SUMIFS(BD!$AF$3:$AF$5001,BD!$A$3:$A$5001,V$3,BD!$B$3:$B$5001,$A$341)))</f>
        <v/>
      </c>
      <c r="W371" s="230" t="str">
        <f>IF(W$3="","",IF(COUNTIFS(BD!$A$3:$A$5001,W$3,BD!$B$3:$B$5001,$A$341,BD!$AF$3:$AF$5001,"&lt;&gt;")=0,"",SUMIFS(BD!$AF$3:$AF$5001,BD!$A$3:$A$5001,W$3,BD!$B$3:$B$5001,$A$341)))</f>
        <v/>
      </c>
      <c r="X371" s="230" t="str">
        <f>IF(X$3="","",IF(COUNTIFS(BD!$A$3:$A$5001,X$3,BD!$B$3:$B$5001,$A$341,BD!$AF$3:$AF$5001,"&lt;&gt;")=0,"",SUMIFS(BD!$AF$3:$AF$5001,BD!$A$3:$A$5001,X$3,BD!$B$3:$B$5001,$A$341)))</f>
        <v/>
      </c>
      <c r="Y371" s="230" t="str">
        <f>IF(Y$3="","",IF(COUNTIFS(BD!$A$3:$A$5001,Y$3,BD!$B$3:$B$5001,$A$341,BD!$AF$3:$AF$5001,"&lt;&gt;")=0,"",SUMIFS(BD!$AF$3:$AF$5001,BD!$A$3:$A$5001,Y$3,BD!$B$3:$B$5001,$A$341)))</f>
        <v/>
      </c>
      <c r="Z371" s="230" t="str">
        <f>IF(Z$3="","",IF(COUNTIFS(BD!$A$3:$A$5001,Z$3,BD!$B$3:$B$5001,$A$341,BD!$AF$3:$AF$5001,"&lt;&gt;")=0,"",SUMIFS(BD!$AF$3:$AF$5001,BD!$A$3:$A$5001,Z$3,BD!$B$3:$B$5001,$A$341)))</f>
        <v/>
      </c>
      <c r="AA371" s="230" t="str">
        <f>IF(AA$3="","",IF(COUNTIFS(BD!$A$3:$A$5001,AA$3,BD!$B$3:$B$5001,$A$341,BD!$AF$3:$AF$5001,"&lt;&gt;")=0,"",SUMIFS(BD!$AF$3:$AF$5001,BD!$A$3:$A$5001,AA$3,BD!$B$3:$B$5001,$A$341)))</f>
        <v/>
      </c>
      <c r="AB371" s="230" t="str">
        <f>IF(AB$3="","",IF(COUNTIFS(BD!$A$3:$A$5001,AB$3,BD!$B$3:$B$5001,$A$341,BD!$AF$3:$AF$5001,"&lt;&gt;")=0,"",SUMIFS(BD!$AF$3:$AF$5001,BD!$A$3:$A$5001,AB$3,BD!$B$3:$B$5001,$A$341)))</f>
        <v/>
      </c>
      <c r="AC371" s="230" t="str">
        <f>IF(AC$3="","",IF(COUNTIFS(BD!$A$3:$A$5001,AC$3,BD!$B$3:$B$5001,$A$341,BD!$AF$3:$AF$5001,"&lt;&gt;")=0,"",SUMIFS(BD!$AF$3:$AF$5001,BD!$A$3:$A$5001,AC$3,BD!$B$3:$B$5001,$A$341)))</f>
        <v/>
      </c>
      <c r="AD371" s="230" t="str">
        <f>IF(AD$3="","",IF(COUNTIFS(BD!$A$3:$A$5001,AD$3,BD!$B$3:$B$5001,$A$341,BD!$AF$3:$AF$5001,"&lt;&gt;")=0,"",SUMIFS(BD!$AF$3:$AF$5001,BD!$A$3:$A$5001,AD$3,BD!$B$3:$B$5001,$A$341)))</f>
        <v/>
      </c>
      <c r="AE371" s="230" t="str">
        <f>IF(AE$3="","",IF(COUNTIFS(BD!$A$3:$A$5001,AE$3,BD!$B$3:$B$5001,$A$341,BD!$AF$3:$AF$5001,"&lt;&gt;")=0,"",SUMIFS(BD!$AF$3:$AF$5001,BD!$A$3:$A$5001,AE$3,BD!$B$3:$B$5001,$A$341)))</f>
        <v/>
      </c>
      <c r="AF371" s="230" t="str">
        <f>IF(AF$3="","",IF(COUNTIFS(BD!$A$3:$A$5001,AF$3,BD!$B$3:$B$5001,$A$341,BD!$AF$3:$AF$5001,"&lt;&gt;")=0,"",SUMIFS(BD!$AF$3:$AF$5001,BD!$A$3:$A$5001,AF$3,BD!$B$3:$B$5001,$A$341)))</f>
        <v/>
      </c>
      <c r="AG371" s="230" t="str">
        <f>IF(AG$3="","",IF(COUNTIFS(BD!$A$3:$A$5001,AG$3,BD!$B$3:$B$5001,$A$341,BD!$AF$3:$AF$5001,"&lt;&gt;")=0,"",SUMIFS(BD!$AF$3:$AF$5001,BD!$A$3:$A$5001,AG$3,BD!$B$3:$B$5001,$A$341)))</f>
        <v/>
      </c>
      <c r="AH371" s="230" t="str">
        <f>IF(AH$3="","",IF(COUNTIFS(BD!$A$3:$A$5001,AH$3,BD!$B$3:$B$5001,$A$341,BD!$AF$3:$AF$5001,"&lt;&gt;")=0,"",SUMIFS(BD!$AF$3:$AF$5001,BD!$A$3:$A$5001,AH$3,BD!$B$3:$B$5001,$A$341)))</f>
        <v/>
      </c>
      <c r="AI371" s="230" t="str">
        <f>IF(AI$3="","",IF(COUNTIFS(BD!$A$3:$A$5001,AI$3,BD!$B$3:$B$5001,$A$341,BD!$AF$3:$AF$5001,"&lt;&gt;")=0,"",SUMIFS(BD!$AF$3:$AF$5001,BD!$A$3:$A$5001,AI$3,BD!$B$3:$B$5001,$A$341)))</f>
        <v/>
      </c>
      <c r="AJ371" s="231" t="str">
        <f>IF(AJ$3="","",IF(COUNTIFS(BD!$A$3:$A$5001,AJ$3,BD!$B$3:$B$5001,$A$341,BD!$AF$3:$AF$5001,"&lt;&gt;")=0,"",SUMIFS(BD!$AF$3:$AF$5001,BD!$A$3:$A$5001,AJ$3,BD!$B$3:$B$5001,$A$341)))</f>
        <v/>
      </c>
      <c r="AK371" s="227" t="str">
        <f>IF(COUNT(F371:AJ371)=0,"",SUM(F371:AJ371))</f>
        <v/>
      </c>
    </row>
    <row r="373" ht="15.75" customHeight="1" hidden="1">
      <c r="A373" s="243"/>
      <c r="B373" s="232" t="inlineStr">
        <is>
          <t xml:space="preserve">IN</t>
        </is>
      </c>
      <c r="C373" s="155" t="inlineStr">
        <is>
          <t xml:space="preserve">Veículos Recebidos</t>
        </is>
      </c>
      <c r="D373" s="156" t="str">
        <f>IFERROR(1/(1/INDEX(BD!$AJ$23:$BD$23,MATCH($A$373,BD!$AJ$22:$BD$22,0))),"")</f>
        <v/>
      </c>
      <c r="E373" s="157"/>
      <c r="F373" s="158" t="str">
        <f>IF(F$3="","",IF(COUNTIFS(BD!$A$3:$A$5001,F$3,BD!$B$3:$B$5001,$A$373,BD!$C$3:$C$5001,"&lt;&gt;")=0,"",SUMIFS(BD!$C$3:$C$5001,BD!$A$3:$A$5001,F$3,BD!$B$3:$B$5001,$A$373)))</f>
        <v/>
      </c>
      <c r="G373" s="159" t="str">
        <f>IF(G$3="","",IF(COUNTIFS(BD!$A$3:$A$5001,G$3,BD!$B$3:$B$5001,$A$373,BD!$C$3:$C$5001,"&lt;&gt;")=0,"",SUMIFS(BD!$C$3:$C$5001,BD!$A$3:$A$5001,G$3,BD!$B$3:$B$5001,$A$373)))</f>
        <v/>
      </c>
      <c r="H373" s="159" t="str">
        <f>IF(H$3="","",IF(COUNTIFS(BD!$A$3:$A$5001,H$3,BD!$B$3:$B$5001,$A$373,BD!$C$3:$C$5001,"&lt;&gt;")=0,"",SUMIFS(BD!$C$3:$C$5001,BD!$A$3:$A$5001,H$3,BD!$B$3:$B$5001,$A$373)))</f>
        <v/>
      </c>
      <c r="I373" s="159" t="str">
        <f>IF(I$3="","",IF(COUNTIFS(BD!$A$3:$A$5001,I$3,BD!$B$3:$B$5001,$A$373,BD!$C$3:$C$5001,"&lt;&gt;")=0,"",SUMIFS(BD!$C$3:$C$5001,BD!$A$3:$A$5001,I$3,BD!$B$3:$B$5001,$A$373)))</f>
        <v/>
      </c>
      <c r="J373" s="159" t="str">
        <f>IF(J$3="","",IF(COUNTIFS(BD!$A$3:$A$5001,J$3,BD!$B$3:$B$5001,$A$373,BD!$C$3:$C$5001,"&lt;&gt;")=0,"",SUMIFS(BD!$C$3:$C$5001,BD!$A$3:$A$5001,J$3,BD!$B$3:$B$5001,$A$373)))</f>
        <v/>
      </c>
      <c r="K373" s="159" t="str">
        <f>IF(K$3="","",IF(COUNTIFS(BD!$A$3:$A$5001,K$3,BD!$B$3:$B$5001,$A$373,BD!$C$3:$C$5001,"&lt;&gt;")=0,"",SUMIFS(BD!$C$3:$C$5001,BD!$A$3:$A$5001,K$3,BD!$B$3:$B$5001,$A$373)))</f>
        <v/>
      </c>
      <c r="L373" s="159" t="str">
        <f>IF(L$3="","",IF(COUNTIFS(BD!$A$3:$A$5001,L$3,BD!$B$3:$B$5001,$A$373,BD!$C$3:$C$5001,"&lt;&gt;")=0,"",SUMIFS(BD!$C$3:$C$5001,BD!$A$3:$A$5001,L$3,BD!$B$3:$B$5001,$A$373)))</f>
        <v/>
      </c>
      <c r="M373" s="159" t="str">
        <f>IF(M$3="","",IF(COUNTIFS(BD!$A$3:$A$5001,M$3,BD!$B$3:$B$5001,$A$373,BD!$C$3:$C$5001,"&lt;&gt;")=0,"",SUMIFS(BD!$C$3:$C$5001,BD!$A$3:$A$5001,M$3,BD!$B$3:$B$5001,$A$373)))</f>
        <v/>
      </c>
      <c r="N373" s="159" t="str">
        <f>IF(N$3="","",IF(COUNTIFS(BD!$A$3:$A$5001,N$3,BD!$B$3:$B$5001,$A$373,BD!$C$3:$C$5001,"&lt;&gt;")=0,"",SUMIFS(BD!$C$3:$C$5001,BD!$A$3:$A$5001,N$3,BD!$B$3:$B$5001,$A$373)))</f>
        <v/>
      </c>
      <c r="O373" s="159" t="str">
        <f>IF(O$3="","",IF(COUNTIFS(BD!$A$3:$A$5001,O$3,BD!$B$3:$B$5001,$A$373,BD!$C$3:$C$5001,"&lt;&gt;")=0,"",SUMIFS(BD!$C$3:$C$5001,BD!$A$3:$A$5001,O$3,BD!$B$3:$B$5001,$A$373)))</f>
        <v/>
      </c>
      <c r="P373" s="159" t="str">
        <f>IF(P$3="","",IF(COUNTIFS(BD!$A$3:$A$5001,P$3,BD!$B$3:$B$5001,$A$373,BD!$C$3:$C$5001,"&lt;&gt;")=0,"",SUMIFS(BD!$C$3:$C$5001,BD!$A$3:$A$5001,P$3,BD!$B$3:$B$5001,$A$373)))</f>
        <v/>
      </c>
      <c r="Q373" s="159" t="str">
        <f>IF(Q$3="","",IF(COUNTIFS(BD!$A$3:$A$5001,Q$3,BD!$B$3:$B$5001,$A$373,BD!$C$3:$C$5001,"&lt;&gt;")=0,"",SUMIFS(BD!$C$3:$C$5001,BD!$A$3:$A$5001,Q$3,BD!$B$3:$B$5001,$A$373)))</f>
        <v/>
      </c>
      <c r="R373" s="159" t="str">
        <f>IF(R$3="","",IF(COUNTIFS(BD!$A$3:$A$5001,R$3,BD!$B$3:$B$5001,$A$373,BD!$C$3:$C$5001,"&lt;&gt;")=0,"",SUMIFS(BD!$C$3:$C$5001,BD!$A$3:$A$5001,R$3,BD!$B$3:$B$5001,$A$373)))</f>
        <v/>
      </c>
      <c r="S373" s="159" t="str">
        <f>IF(S$3="","",IF(COUNTIFS(BD!$A$3:$A$5001,S$3,BD!$B$3:$B$5001,$A$373,BD!$C$3:$C$5001,"&lt;&gt;")=0,"",SUMIFS(BD!$C$3:$C$5001,BD!$A$3:$A$5001,S$3,BD!$B$3:$B$5001,$A$373)))</f>
        <v/>
      </c>
      <c r="T373" s="159" t="str">
        <f>IF(T$3="","",IF(COUNTIFS(BD!$A$3:$A$5001,T$3,BD!$B$3:$B$5001,$A$373,BD!$C$3:$C$5001,"&lt;&gt;")=0,"",SUMIFS(BD!$C$3:$C$5001,BD!$A$3:$A$5001,T$3,BD!$B$3:$B$5001,$A$373)))</f>
        <v/>
      </c>
      <c r="U373" s="159" t="str">
        <f>IF(U$3="","",IF(COUNTIFS(BD!$A$3:$A$5001,U$3,BD!$B$3:$B$5001,$A$373,BD!$C$3:$C$5001,"&lt;&gt;")=0,"",SUMIFS(BD!$C$3:$C$5001,BD!$A$3:$A$5001,U$3,BD!$B$3:$B$5001,$A$373)))</f>
        <v/>
      </c>
      <c r="V373" s="159" t="str">
        <f>IF(V$3="","",IF(COUNTIFS(BD!$A$3:$A$5001,V$3,BD!$B$3:$B$5001,$A$373,BD!$C$3:$C$5001,"&lt;&gt;")=0,"",SUMIFS(BD!$C$3:$C$5001,BD!$A$3:$A$5001,V$3,BD!$B$3:$B$5001,$A$373)))</f>
        <v/>
      </c>
      <c r="W373" s="159" t="str">
        <f>IF(W$3="","",IF(COUNTIFS(BD!$A$3:$A$5001,W$3,BD!$B$3:$B$5001,$A$373,BD!$C$3:$C$5001,"&lt;&gt;")=0,"",SUMIFS(BD!$C$3:$C$5001,BD!$A$3:$A$5001,W$3,BD!$B$3:$B$5001,$A$373)))</f>
        <v/>
      </c>
      <c r="X373" s="159" t="str">
        <f>IF(X$3="","",IF(COUNTIFS(BD!$A$3:$A$5001,X$3,BD!$B$3:$B$5001,$A$373,BD!$C$3:$C$5001,"&lt;&gt;")=0,"",SUMIFS(BD!$C$3:$C$5001,BD!$A$3:$A$5001,X$3,BD!$B$3:$B$5001,$A$373)))</f>
        <v/>
      </c>
      <c r="Y373" s="159" t="str">
        <f>IF(Y$3="","",IF(COUNTIFS(BD!$A$3:$A$5001,Y$3,BD!$B$3:$B$5001,$A$373,BD!$C$3:$C$5001,"&lt;&gt;")=0,"",SUMIFS(BD!$C$3:$C$5001,BD!$A$3:$A$5001,Y$3,BD!$B$3:$B$5001,$A$373)))</f>
        <v/>
      </c>
      <c r="Z373" s="159" t="str">
        <f>IF(Z$3="","",IF(COUNTIFS(BD!$A$3:$A$5001,Z$3,BD!$B$3:$B$5001,$A$373,BD!$C$3:$C$5001,"&lt;&gt;")=0,"",SUMIFS(BD!$C$3:$C$5001,BD!$A$3:$A$5001,Z$3,BD!$B$3:$B$5001,$A$373)))</f>
        <v/>
      </c>
      <c r="AA373" s="159" t="str">
        <f>IF(AA$3="","",IF(COUNTIFS(BD!$A$3:$A$5001,AA$3,BD!$B$3:$B$5001,$A$373,BD!$C$3:$C$5001,"&lt;&gt;")=0,"",SUMIFS(BD!$C$3:$C$5001,BD!$A$3:$A$5001,AA$3,BD!$B$3:$B$5001,$A$373)))</f>
        <v/>
      </c>
      <c r="AB373" s="159" t="str">
        <f>IF(AB$3="","",IF(COUNTIFS(BD!$A$3:$A$5001,AB$3,BD!$B$3:$B$5001,$A$373,BD!$C$3:$C$5001,"&lt;&gt;")=0,"",SUMIFS(BD!$C$3:$C$5001,BD!$A$3:$A$5001,AB$3,BD!$B$3:$B$5001,$A$373)))</f>
        <v/>
      </c>
      <c r="AC373" s="159" t="str">
        <f>IF(AC$3="","",IF(COUNTIFS(BD!$A$3:$A$5001,AC$3,BD!$B$3:$B$5001,$A$373,BD!$C$3:$C$5001,"&lt;&gt;")=0,"",SUMIFS(BD!$C$3:$C$5001,BD!$A$3:$A$5001,AC$3,BD!$B$3:$B$5001,$A$373)))</f>
        <v/>
      </c>
      <c r="AD373" s="159" t="str">
        <f>IF(AD$3="","",IF(COUNTIFS(BD!$A$3:$A$5001,AD$3,BD!$B$3:$B$5001,$A$373,BD!$C$3:$C$5001,"&lt;&gt;")=0,"",SUMIFS(BD!$C$3:$C$5001,BD!$A$3:$A$5001,AD$3,BD!$B$3:$B$5001,$A$373)))</f>
        <v/>
      </c>
      <c r="AE373" s="159" t="str">
        <f>IF(AE$3="","",IF(COUNTIFS(BD!$A$3:$A$5001,AE$3,BD!$B$3:$B$5001,$A$373,BD!$C$3:$C$5001,"&lt;&gt;")=0,"",SUMIFS(BD!$C$3:$C$5001,BD!$A$3:$A$5001,AE$3,BD!$B$3:$B$5001,$A$373)))</f>
        <v/>
      </c>
      <c r="AF373" s="159" t="str">
        <f>IF(AF$3="","",IF(COUNTIFS(BD!$A$3:$A$5001,AF$3,BD!$B$3:$B$5001,$A$373,BD!$C$3:$C$5001,"&lt;&gt;")=0,"",SUMIFS(BD!$C$3:$C$5001,BD!$A$3:$A$5001,AF$3,BD!$B$3:$B$5001,$A$373)))</f>
        <v/>
      </c>
      <c r="AG373" s="159" t="str">
        <f>IF(AG$3="","",IF(COUNTIFS(BD!$A$3:$A$5001,AG$3,BD!$B$3:$B$5001,$A$373,BD!$C$3:$C$5001,"&lt;&gt;")=0,"",SUMIFS(BD!$C$3:$C$5001,BD!$A$3:$A$5001,AG$3,BD!$B$3:$B$5001,$A$373)))</f>
        <v/>
      </c>
      <c r="AH373" s="159" t="str">
        <f>IF(AH$3="","",IF(COUNTIFS(BD!$A$3:$A$5001,AH$3,BD!$B$3:$B$5001,$A$373,BD!$C$3:$C$5001,"&lt;&gt;")=0,"",SUMIFS(BD!$C$3:$C$5001,BD!$A$3:$A$5001,AH$3,BD!$B$3:$B$5001,$A$373)))</f>
        <v/>
      </c>
      <c r="AI373" s="159" t="str">
        <f>IF(AI$3="","",IF(COUNTIFS(BD!$A$3:$A$5001,AI$3,BD!$B$3:$B$5001,$A$373,BD!$C$3:$C$5001,"&lt;&gt;")=0,"",SUMIFS(BD!$C$3:$C$5001,BD!$A$3:$A$5001,AI$3,BD!$B$3:$B$5001,$A$373)))</f>
        <v/>
      </c>
      <c r="AJ373" s="160" t="str">
        <f>IF(AJ$3="","",IF(COUNTIFS(BD!$A$3:$A$5001,AJ$3,BD!$B$3:$B$5001,$A$373,BD!$C$3:$C$5001,"&lt;&gt;")=0,"",SUMIFS(BD!$C$3:$C$5001,BD!$A$3:$A$5001,AJ$3,BD!$B$3:$B$5001,$A$373)))</f>
        <v/>
      </c>
      <c r="AK373" s="161" t="str">
        <f>IF(COUNT(F373:AJ373)=0,"",SUM(F373:AJ373))</f>
        <v/>
      </c>
    </row>
    <row r="374" ht="15.75" customHeight="1" hidden="1">
      <c r="A374" s="244"/>
      <c r="B374" s="239"/>
      <c r="C374" s="201" t="inlineStr">
        <is>
          <t xml:space="preserve">Pallets Movimentados</t>
        </is>
      </c>
      <c r="D374" s="202" t="str">
        <f>IFERROR(1/(1/INDEX(BD!$AJ$24:$BD$24,MATCH($A$373,BD!$AJ$22:$BD$22,0))),"")</f>
        <v/>
      </c>
      <c r="E374" s="203"/>
      <c r="F374" s="204" t="str">
        <f>IF(F$3="","",IF(COUNTIFS(BD!$A$3:$A$5001,F$3,BD!$B$3:$B$5001,$A$373,BD!$D$3:$D$5001,"&lt;&gt;")=0,"",SUMIFS(BD!$D$3:$D$5001,BD!$A$3:$A$5001,F$3,BD!$B$3:$B$5001,$A$373)))</f>
        <v/>
      </c>
      <c r="G374" s="205" t="str">
        <f>IF(G$3="","",IF(COUNTIFS(BD!$A$3:$A$5001,G$3,BD!$B$3:$B$5001,$A$373,BD!$D$3:$D$5001,"&lt;&gt;")=0,"",SUMIFS(BD!$D$3:$D$5001,BD!$A$3:$A$5001,G$3,BD!$B$3:$B$5001,$A$373)))</f>
        <v/>
      </c>
      <c r="H374" s="205" t="str">
        <f>IF(H$3="","",IF(COUNTIFS(BD!$A$3:$A$5001,H$3,BD!$B$3:$B$5001,$A$373,BD!$D$3:$D$5001,"&lt;&gt;")=0,"",SUMIFS(BD!$D$3:$D$5001,BD!$A$3:$A$5001,H$3,BD!$B$3:$B$5001,$A$373)))</f>
        <v/>
      </c>
      <c r="I374" s="205" t="str">
        <f>IF(I$3="","",IF(COUNTIFS(BD!$A$3:$A$5001,I$3,BD!$B$3:$B$5001,$A$373,BD!$D$3:$D$5001,"&lt;&gt;")=0,"",SUMIFS(BD!$D$3:$D$5001,BD!$A$3:$A$5001,I$3,BD!$B$3:$B$5001,$A$373)))</f>
        <v/>
      </c>
      <c r="J374" s="205" t="str">
        <f>IF(J$3="","",IF(COUNTIFS(BD!$A$3:$A$5001,J$3,BD!$B$3:$B$5001,$A$373,BD!$D$3:$D$5001,"&lt;&gt;")=0,"",SUMIFS(BD!$D$3:$D$5001,BD!$A$3:$A$5001,J$3,BD!$B$3:$B$5001,$A$373)))</f>
        <v/>
      </c>
      <c r="K374" s="205" t="str">
        <f>IF(K$3="","",IF(COUNTIFS(BD!$A$3:$A$5001,K$3,BD!$B$3:$B$5001,$A$373,BD!$D$3:$D$5001,"&lt;&gt;")=0,"",SUMIFS(BD!$D$3:$D$5001,BD!$A$3:$A$5001,K$3,BD!$B$3:$B$5001,$A$373)))</f>
        <v/>
      </c>
      <c r="L374" s="205" t="str">
        <f>IF(L$3="","",IF(COUNTIFS(BD!$A$3:$A$5001,L$3,BD!$B$3:$B$5001,$A$373,BD!$D$3:$D$5001,"&lt;&gt;")=0,"",SUMIFS(BD!$D$3:$D$5001,BD!$A$3:$A$5001,L$3,BD!$B$3:$B$5001,$A$373)))</f>
        <v/>
      </c>
      <c r="M374" s="205" t="str">
        <f>IF(M$3="","",IF(COUNTIFS(BD!$A$3:$A$5001,M$3,BD!$B$3:$B$5001,$A$373,BD!$D$3:$D$5001,"&lt;&gt;")=0,"",SUMIFS(BD!$D$3:$D$5001,BD!$A$3:$A$5001,M$3,BD!$B$3:$B$5001,$A$373)))</f>
        <v/>
      </c>
      <c r="N374" s="205" t="str">
        <f>IF(N$3="","",IF(COUNTIFS(BD!$A$3:$A$5001,N$3,BD!$B$3:$B$5001,$A$373,BD!$D$3:$D$5001,"&lt;&gt;")=0,"",SUMIFS(BD!$D$3:$D$5001,BD!$A$3:$A$5001,N$3,BD!$B$3:$B$5001,$A$373)))</f>
        <v/>
      </c>
      <c r="O374" s="205" t="str">
        <f>IF(O$3="","",IF(COUNTIFS(BD!$A$3:$A$5001,O$3,BD!$B$3:$B$5001,$A$373,BD!$D$3:$D$5001,"&lt;&gt;")=0,"",SUMIFS(BD!$D$3:$D$5001,BD!$A$3:$A$5001,O$3,BD!$B$3:$B$5001,$A$373)))</f>
        <v/>
      </c>
      <c r="P374" s="205" t="str">
        <f>IF(P$3="","",IF(COUNTIFS(BD!$A$3:$A$5001,P$3,BD!$B$3:$B$5001,$A$373,BD!$D$3:$D$5001,"&lt;&gt;")=0,"",SUMIFS(BD!$D$3:$D$5001,BD!$A$3:$A$5001,P$3,BD!$B$3:$B$5001,$A$373)))</f>
        <v/>
      </c>
      <c r="Q374" s="205" t="str">
        <f>IF(Q$3="","",IF(COUNTIFS(BD!$A$3:$A$5001,Q$3,BD!$B$3:$B$5001,$A$373,BD!$D$3:$D$5001,"&lt;&gt;")=0,"",SUMIFS(BD!$D$3:$D$5001,BD!$A$3:$A$5001,Q$3,BD!$B$3:$B$5001,$A$373)))</f>
        <v/>
      </c>
      <c r="R374" s="205" t="str">
        <f>IF(R$3="","",IF(COUNTIFS(BD!$A$3:$A$5001,R$3,BD!$B$3:$B$5001,$A$373,BD!$D$3:$D$5001,"&lt;&gt;")=0,"",SUMIFS(BD!$D$3:$D$5001,BD!$A$3:$A$5001,R$3,BD!$B$3:$B$5001,$A$373)))</f>
        <v/>
      </c>
      <c r="S374" s="205" t="str">
        <f>IF(S$3="","",IF(COUNTIFS(BD!$A$3:$A$5001,S$3,BD!$B$3:$B$5001,$A$373,BD!$D$3:$D$5001,"&lt;&gt;")=0,"",SUMIFS(BD!$D$3:$D$5001,BD!$A$3:$A$5001,S$3,BD!$B$3:$B$5001,$A$373)))</f>
        <v/>
      </c>
      <c r="T374" s="205" t="str">
        <f>IF(T$3="","",IF(COUNTIFS(BD!$A$3:$A$5001,T$3,BD!$B$3:$B$5001,$A$373,BD!$D$3:$D$5001,"&lt;&gt;")=0,"",SUMIFS(BD!$D$3:$D$5001,BD!$A$3:$A$5001,T$3,BD!$B$3:$B$5001,$A$373)))</f>
        <v/>
      </c>
      <c r="U374" s="205" t="str">
        <f>IF(U$3="","",IF(COUNTIFS(BD!$A$3:$A$5001,U$3,BD!$B$3:$B$5001,$A$373,BD!$D$3:$D$5001,"&lt;&gt;")=0,"",SUMIFS(BD!$D$3:$D$5001,BD!$A$3:$A$5001,U$3,BD!$B$3:$B$5001,$A$373)))</f>
        <v/>
      </c>
      <c r="V374" s="205" t="str">
        <f>IF(V$3="","",IF(COUNTIFS(BD!$A$3:$A$5001,V$3,BD!$B$3:$B$5001,$A$373,BD!$D$3:$D$5001,"&lt;&gt;")=0,"",SUMIFS(BD!$D$3:$D$5001,BD!$A$3:$A$5001,V$3,BD!$B$3:$B$5001,$A$373)))</f>
        <v/>
      </c>
      <c r="W374" s="205" t="str">
        <f>IF(W$3="","",IF(COUNTIFS(BD!$A$3:$A$5001,W$3,BD!$B$3:$B$5001,$A$373,BD!$D$3:$D$5001,"&lt;&gt;")=0,"",SUMIFS(BD!$D$3:$D$5001,BD!$A$3:$A$5001,W$3,BD!$B$3:$B$5001,$A$373)))</f>
        <v/>
      </c>
      <c r="X374" s="205" t="str">
        <f>IF(X$3="","",IF(COUNTIFS(BD!$A$3:$A$5001,X$3,BD!$B$3:$B$5001,$A$373,BD!$D$3:$D$5001,"&lt;&gt;")=0,"",SUMIFS(BD!$D$3:$D$5001,BD!$A$3:$A$5001,X$3,BD!$B$3:$B$5001,$A$373)))</f>
        <v/>
      </c>
      <c r="Y374" s="205" t="str">
        <f>IF(Y$3="","",IF(COUNTIFS(BD!$A$3:$A$5001,Y$3,BD!$B$3:$B$5001,$A$373,BD!$D$3:$D$5001,"&lt;&gt;")=0,"",SUMIFS(BD!$D$3:$D$5001,BD!$A$3:$A$5001,Y$3,BD!$B$3:$B$5001,$A$373)))</f>
        <v/>
      </c>
      <c r="Z374" s="205" t="str">
        <f>IF(Z$3="","",IF(COUNTIFS(BD!$A$3:$A$5001,Z$3,BD!$B$3:$B$5001,$A$373,BD!$D$3:$D$5001,"&lt;&gt;")=0,"",SUMIFS(BD!$D$3:$D$5001,BD!$A$3:$A$5001,Z$3,BD!$B$3:$B$5001,$A$373)))</f>
        <v/>
      </c>
      <c r="AA374" s="205" t="str">
        <f>IF(AA$3="","",IF(COUNTIFS(BD!$A$3:$A$5001,AA$3,BD!$B$3:$B$5001,$A$373,BD!$D$3:$D$5001,"&lt;&gt;")=0,"",SUMIFS(BD!$D$3:$D$5001,BD!$A$3:$A$5001,AA$3,BD!$B$3:$B$5001,$A$373)))</f>
        <v/>
      </c>
      <c r="AB374" s="205" t="str">
        <f>IF(AB$3="","",IF(COUNTIFS(BD!$A$3:$A$5001,AB$3,BD!$B$3:$B$5001,$A$373,BD!$D$3:$D$5001,"&lt;&gt;")=0,"",SUMIFS(BD!$D$3:$D$5001,BD!$A$3:$A$5001,AB$3,BD!$B$3:$B$5001,$A$373)))</f>
        <v/>
      </c>
      <c r="AC374" s="205" t="str">
        <f>IF(AC$3="","",IF(COUNTIFS(BD!$A$3:$A$5001,AC$3,BD!$B$3:$B$5001,$A$373,BD!$D$3:$D$5001,"&lt;&gt;")=0,"",SUMIFS(BD!$D$3:$D$5001,BD!$A$3:$A$5001,AC$3,BD!$B$3:$B$5001,$A$373)))</f>
        <v/>
      </c>
      <c r="AD374" s="205" t="str">
        <f>IF(AD$3="","",IF(COUNTIFS(BD!$A$3:$A$5001,AD$3,BD!$B$3:$B$5001,$A$373,BD!$D$3:$D$5001,"&lt;&gt;")=0,"",SUMIFS(BD!$D$3:$D$5001,BD!$A$3:$A$5001,AD$3,BD!$B$3:$B$5001,$A$373)))</f>
        <v/>
      </c>
      <c r="AE374" s="205" t="str">
        <f>IF(AE$3="","",IF(COUNTIFS(BD!$A$3:$A$5001,AE$3,BD!$B$3:$B$5001,$A$373,BD!$D$3:$D$5001,"&lt;&gt;")=0,"",SUMIFS(BD!$D$3:$D$5001,BD!$A$3:$A$5001,AE$3,BD!$B$3:$B$5001,$A$373)))</f>
        <v/>
      </c>
      <c r="AF374" s="205" t="str">
        <f>IF(AF$3="","",IF(COUNTIFS(BD!$A$3:$A$5001,AF$3,BD!$B$3:$B$5001,$A$373,BD!$D$3:$D$5001,"&lt;&gt;")=0,"",SUMIFS(BD!$D$3:$D$5001,BD!$A$3:$A$5001,AF$3,BD!$B$3:$B$5001,$A$373)))</f>
        <v/>
      </c>
      <c r="AG374" s="205" t="str">
        <f>IF(AG$3="","",IF(COUNTIFS(BD!$A$3:$A$5001,AG$3,BD!$B$3:$B$5001,$A$373,BD!$D$3:$D$5001,"&lt;&gt;")=0,"",SUMIFS(BD!$D$3:$D$5001,BD!$A$3:$A$5001,AG$3,BD!$B$3:$B$5001,$A$373)))</f>
        <v/>
      </c>
      <c r="AH374" s="205" t="str">
        <f>IF(AH$3="","",IF(COUNTIFS(BD!$A$3:$A$5001,AH$3,BD!$B$3:$B$5001,$A$373,BD!$D$3:$D$5001,"&lt;&gt;")=0,"",SUMIFS(BD!$D$3:$D$5001,BD!$A$3:$A$5001,AH$3,BD!$B$3:$B$5001,$A$373)))</f>
        <v/>
      </c>
      <c r="AI374" s="205" t="str">
        <f>IF(AI$3="","",IF(COUNTIFS(BD!$A$3:$A$5001,AI$3,BD!$B$3:$B$5001,$A$373,BD!$D$3:$D$5001,"&lt;&gt;")=0,"",SUMIFS(BD!$D$3:$D$5001,BD!$A$3:$A$5001,AI$3,BD!$B$3:$B$5001,$A$373)))</f>
        <v/>
      </c>
      <c r="AJ374" s="206" t="str">
        <f>IF(AJ$3="","",IF(COUNTIFS(BD!$A$3:$A$5001,AJ$3,BD!$B$3:$B$5001,$A$373,BD!$D$3:$D$5001,"&lt;&gt;")=0,"",SUMIFS(BD!$D$3:$D$5001,BD!$A$3:$A$5001,AJ$3,BD!$B$3:$B$5001,$A$373)))</f>
        <v/>
      </c>
      <c r="AK374" s="207" t="str">
        <f>IF(COUNT(F374:AJ374)=0,"",SUM(F374:AJ374))</f>
        <v/>
      </c>
    </row>
    <row r="375" ht="15.75" customHeight="1" hidden="1">
      <c r="A375" s="244"/>
      <c r="B375" s="239"/>
      <c r="C375" s="201" t="inlineStr">
        <is>
          <t xml:space="preserve">Toneladas Movimentadas</t>
        </is>
      </c>
      <c r="D375" s="202" t="str">
        <f>IFERROR(1/(1/INDEX(BD!$AJ$25:$BD$25,MATCH($A$373,BD!$AJ$22:$BD$22,0))),"")</f>
        <v/>
      </c>
      <c r="E375" s="203"/>
      <c r="F375" s="265" t="str">
        <f>IF(F$3="","",IF(COUNTIFS(BD!$A$3:$A$5001,F$3,BD!$B$3:$B$5001,$A$373,BD!$E$3:$E$5001,"&lt;&gt;")=0,"",SUMIFS(BD!$E$3:$E$5001,BD!$A$3:$A$5001,F$3,BD!$B$3:$B$5001,$A$373)))</f>
        <v/>
      </c>
      <c r="G375" s="266" t="str">
        <f>IF(G$3="","",IF(COUNTIFS(BD!$A$3:$A$5001,G$3,BD!$B$3:$B$5001,$A$373,BD!$E$3:$E$5001,"&lt;&gt;")=0,"",SUMIFS(BD!$E$3:$E$5001,BD!$A$3:$A$5001,G$3,BD!$B$3:$B$5001,$A$373)))</f>
        <v/>
      </c>
      <c r="H375" s="266" t="str">
        <f>IF(H$3="","",IF(COUNTIFS(BD!$A$3:$A$5001,H$3,BD!$B$3:$B$5001,$A$373,BD!$E$3:$E$5001,"&lt;&gt;")=0,"",SUMIFS(BD!$E$3:$E$5001,BD!$A$3:$A$5001,H$3,BD!$B$3:$B$5001,$A$373)))</f>
        <v/>
      </c>
      <c r="I375" s="266" t="str">
        <f>IF(I$3="","",IF(COUNTIFS(BD!$A$3:$A$5001,I$3,BD!$B$3:$B$5001,$A$373,BD!$E$3:$E$5001,"&lt;&gt;")=0,"",SUMIFS(BD!$E$3:$E$5001,BD!$A$3:$A$5001,I$3,BD!$B$3:$B$5001,$A$373)))</f>
        <v/>
      </c>
      <c r="J375" s="266" t="str">
        <f>IF(J$3="","",IF(COUNTIFS(BD!$A$3:$A$5001,J$3,BD!$B$3:$B$5001,$A$373,BD!$E$3:$E$5001,"&lt;&gt;")=0,"",SUMIFS(BD!$E$3:$E$5001,BD!$A$3:$A$5001,J$3,BD!$B$3:$B$5001,$A$373)))</f>
        <v/>
      </c>
      <c r="K375" s="266" t="str">
        <f>IF(K$3="","",IF(COUNTIFS(BD!$A$3:$A$5001,K$3,BD!$B$3:$B$5001,$A$373,BD!$E$3:$E$5001,"&lt;&gt;")=0,"",SUMIFS(BD!$E$3:$E$5001,BD!$A$3:$A$5001,K$3,BD!$B$3:$B$5001,$A$373)))</f>
        <v/>
      </c>
      <c r="L375" s="266" t="str">
        <f>IF(L$3="","",IF(COUNTIFS(BD!$A$3:$A$5001,L$3,BD!$B$3:$B$5001,$A$373,BD!$E$3:$E$5001,"&lt;&gt;")=0,"",SUMIFS(BD!$E$3:$E$5001,BD!$A$3:$A$5001,L$3,BD!$B$3:$B$5001,$A$373)))</f>
        <v/>
      </c>
      <c r="M375" s="266" t="str">
        <f>IF(M$3="","",IF(COUNTIFS(BD!$A$3:$A$5001,M$3,BD!$B$3:$B$5001,$A$373,BD!$E$3:$E$5001,"&lt;&gt;")=0,"",SUMIFS(BD!$E$3:$E$5001,BD!$A$3:$A$5001,M$3,BD!$B$3:$B$5001,$A$373)))</f>
        <v/>
      </c>
      <c r="N375" s="266" t="str">
        <f>IF(N$3="","",IF(COUNTIFS(BD!$A$3:$A$5001,N$3,BD!$B$3:$B$5001,$A$373,BD!$E$3:$E$5001,"&lt;&gt;")=0,"",SUMIFS(BD!$E$3:$E$5001,BD!$A$3:$A$5001,N$3,BD!$B$3:$B$5001,$A$373)))</f>
        <v/>
      </c>
      <c r="O375" s="266" t="str">
        <f>IF(O$3="","",IF(COUNTIFS(BD!$A$3:$A$5001,O$3,BD!$B$3:$B$5001,$A$373,BD!$E$3:$E$5001,"&lt;&gt;")=0,"",SUMIFS(BD!$E$3:$E$5001,BD!$A$3:$A$5001,O$3,BD!$B$3:$B$5001,$A$373)))</f>
        <v/>
      </c>
      <c r="P375" s="266" t="str">
        <f>IF(P$3="","",IF(COUNTIFS(BD!$A$3:$A$5001,P$3,BD!$B$3:$B$5001,$A$373,BD!$E$3:$E$5001,"&lt;&gt;")=0,"",SUMIFS(BD!$E$3:$E$5001,BD!$A$3:$A$5001,P$3,BD!$B$3:$B$5001,$A$373)))</f>
        <v/>
      </c>
      <c r="Q375" s="266" t="str">
        <f>IF(Q$3="","",IF(COUNTIFS(BD!$A$3:$A$5001,Q$3,BD!$B$3:$B$5001,$A$373,BD!$E$3:$E$5001,"&lt;&gt;")=0,"",SUMIFS(BD!$E$3:$E$5001,BD!$A$3:$A$5001,Q$3,BD!$B$3:$B$5001,$A$373)))</f>
        <v/>
      </c>
      <c r="R375" s="266" t="str">
        <f>IF(R$3="","",IF(COUNTIFS(BD!$A$3:$A$5001,R$3,BD!$B$3:$B$5001,$A$373,BD!$E$3:$E$5001,"&lt;&gt;")=0,"",SUMIFS(BD!$E$3:$E$5001,BD!$A$3:$A$5001,R$3,BD!$B$3:$B$5001,$A$373)))</f>
        <v/>
      </c>
      <c r="S375" s="266" t="str">
        <f>IF(S$3="","",IF(COUNTIFS(BD!$A$3:$A$5001,S$3,BD!$B$3:$B$5001,$A$373,BD!$E$3:$E$5001,"&lt;&gt;")=0,"",SUMIFS(BD!$E$3:$E$5001,BD!$A$3:$A$5001,S$3,BD!$B$3:$B$5001,$A$373)))</f>
        <v/>
      </c>
      <c r="T375" s="266" t="str">
        <f>IF(T$3="","",IF(COUNTIFS(BD!$A$3:$A$5001,T$3,BD!$B$3:$B$5001,$A$373,BD!$E$3:$E$5001,"&lt;&gt;")=0,"",SUMIFS(BD!$E$3:$E$5001,BD!$A$3:$A$5001,T$3,BD!$B$3:$B$5001,$A$373)))</f>
        <v/>
      </c>
      <c r="U375" s="266" t="str">
        <f>IF(U$3="","",IF(COUNTIFS(BD!$A$3:$A$5001,U$3,BD!$B$3:$B$5001,$A$373,BD!$E$3:$E$5001,"&lt;&gt;")=0,"",SUMIFS(BD!$E$3:$E$5001,BD!$A$3:$A$5001,U$3,BD!$B$3:$B$5001,$A$373)))</f>
        <v/>
      </c>
      <c r="V375" s="266" t="str">
        <f>IF(V$3="","",IF(COUNTIFS(BD!$A$3:$A$5001,V$3,BD!$B$3:$B$5001,$A$373,BD!$E$3:$E$5001,"&lt;&gt;")=0,"",SUMIFS(BD!$E$3:$E$5001,BD!$A$3:$A$5001,V$3,BD!$B$3:$B$5001,$A$373)))</f>
        <v/>
      </c>
      <c r="W375" s="266" t="str">
        <f>IF(W$3="","",IF(COUNTIFS(BD!$A$3:$A$5001,W$3,BD!$B$3:$B$5001,$A$373,BD!$E$3:$E$5001,"&lt;&gt;")=0,"",SUMIFS(BD!$E$3:$E$5001,BD!$A$3:$A$5001,W$3,BD!$B$3:$B$5001,$A$373)))</f>
        <v/>
      </c>
      <c r="X375" s="266" t="str">
        <f>IF(X$3="","",IF(COUNTIFS(BD!$A$3:$A$5001,X$3,BD!$B$3:$B$5001,$A$373,BD!$E$3:$E$5001,"&lt;&gt;")=0,"",SUMIFS(BD!$E$3:$E$5001,BD!$A$3:$A$5001,X$3,BD!$B$3:$B$5001,$A$373)))</f>
        <v/>
      </c>
      <c r="Y375" s="266" t="str">
        <f>IF(Y$3="","",IF(COUNTIFS(BD!$A$3:$A$5001,Y$3,BD!$B$3:$B$5001,$A$373,BD!$E$3:$E$5001,"&lt;&gt;")=0,"",SUMIFS(BD!$E$3:$E$5001,BD!$A$3:$A$5001,Y$3,BD!$B$3:$B$5001,$A$373)))</f>
        <v/>
      </c>
      <c r="Z375" s="266" t="str">
        <f>IF(Z$3="","",IF(COUNTIFS(BD!$A$3:$A$5001,Z$3,BD!$B$3:$B$5001,$A$373,BD!$E$3:$E$5001,"&lt;&gt;")=0,"",SUMIFS(BD!$E$3:$E$5001,BD!$A$3:$A$5001,Z$3,BD!$B$3:$B$5001,$A$373)))</f>
        <v/>
      </c>
      <c r="AA375" s="266" t="str">
        <f>IF(AA$3="","",IF(COUNTIFS(BD!$A$3:$A$5001,AA$3,BD!$B$3:$B$5001,$A$373,BD!$E$3:$E$5001,"&lt;&gt;")=0,"",SUMIFS(BD!$E$3:$E$5001,BD!$A$3:$A$5001,AA$3,BD!$B$3:$B$5001,$A$373)))</f>
        <v/>
      </c>
      <c r="AB375" s="266" t="str">
        <f>IF(AB$3="","",IF(COUNTIFS(BD!$A$3:$A$5001,AB$3,BD!$B$3:$B$5001,$A$373,BD!$E$3:$E$5001,"&lt;&gt;")=0,"",SUMIFS(BD!$E$3:$E$5001,BD!$A$3:$A$5001,AB$3,BD!$B$3:$B$5001,$A$373)))</f>
        <v/>
      </c>
      <c r="AC375" s="266" t="str">
        <f>IF(AC$3="","",IF(COUNTIFS(BD!$A$3:$A$5001,AC$3,BD!$B$3:$B$5001,$A$373,BD!$E$3:$E$5001,"&lt;&gt;")=0,"",SUMIFS(BD!$E$3:$E$5001,BD!$A$3:$A$5001,AC$3,BD!$B$3:$B$5001,$A$373)))</f>
        <v/>
      </c>
      <c r="AD375" s="266" t="str">
        <f>IF(AD$3="","",IF(COUNTIFS(BD!$A$3:$A$5001,AD$3,BD!$B$3:$B$5001,$A$373,BD!$E$3:$E$5001,"&lt;&gt;")=0,"",SUMIFS(BD!$E$3:$E$5001,BD!$A$3:$A$5001,AD$3,BD!$B$3:$B$5001,$A$373)))</f>
        <v/>
      </c>
      <c r="AE375" s="266" t="str">
        <f>IF(AE$3="","",IF(COUNTIFS(BD!$A$3:$A$5001,AE$3,BD!$B$3:$B$5001,$A$373,BD!$E$3:$E$5001,"&lt;&gt;")=0,"",SUMIFS(BD!$E$3:$E$5001,BD!$A$3:$A$5001,AE$3,BD!$B$3:$B$5001,$A$373)))</f>
        <v/>
      </c>
      <c r="AF375" s="266" t="str">
        <f>IF(AF$3="","",IF(COUNTIFS(BD!$A$3:$A$5001,AF$3,BD!$B$3:$B$5001,$A$373,BD!$E$3:$E$5001,"&lt;&gt;")=0,"",SUMIFS(BD!$E$3:$E$5001,BD!$A$3:$A$5001,AF$3,BD!$B$3:$B$5001,$A$373)))</f>
        <v/>
      </c>
      <c r="AG375" s="266" t="str">
        <f>IF(AG$3="","",IF(COUNTIFS(BD!$A$3:$A$5001,AG$3,BD!$B$3:$B$5001,$A$373,BD!$E$3:$E$5001,"&lt;&gt;")=0,"",SUMIFS(BD!$E$3:$E$5001,BD!$A$3:$A$5001,AG$3,BD!$B$3:$B$5001,$A$373)))</f>
        <v/>
      </c>
      <c r="AH375" s="266" t="str">
        <f>IF(AH$3="","",IF(COUNTIFS(BD!$A$3:$A$5001,AH$3,BD!$B$3:$B$5001,$A$373,BD!$E$3:$E$5001,"&lt;&gt;")=0,"",SUMIFS(BD!$E$3:$E$5001,BD!$A$3:$A$5001,AH$3,BD!$B$3:$B$5001,$A$373)))</f>
        <v/>
      </c>
      <c r="AI375" s="266" t="str">
        <f>IF(AI$3="","",IF(COUNTIFS(BD!$A$3:$A$5001,AI$3,BD!$B$3:$B$5001,$A$373,BD!$E$3:$E$5001,"&lt;&gt;")=0,"",SUMIFS(BD!$E$3:$E$5001,BD!$A$3:$A$5001,AI$3,BD!$B$3:$B$5001,$A$373)))</f>
        <v/>
      </c>
      <c r="AJ375" s="267" t="str">
        <f>IF(AJ$3="","",IF(COUNTIFS(BD!$A$3:$A$5001,AJ$3,BD!$B$3:$B$5001,$A$373,BD!$E$3:$E$5001,"&lt;&gt;")=0,"",SUMIFS(BD!$E$3:$E$5001,BD!$A$3:$A$5001,AJ$3,BD!$B$3:$B$5001,$A$373)))</f>
        <v/>
      </c>
      <c r="AK375" s="268" t="str">
        <f>IF(COUNT(F375:AJ375)=0,"",SUM(F375:AJ375))</f>
        <v/>
      </c>
    </row>
    <row r="376" ht="15.75" customHeight="1" hidden="1">
      <c r="A376" s="244"/>
      <c r="B376" s="239"/>
      <c r="C376" s="201" t="inlineStr">
        <is>
          <t xml:space="preserve">Linhas NF</t>
        </is>
      </c>
      <c r="D376" s="202" t="str">
        <f>IFERROR(1/(1/INDEX(BD!$AJ$26:$BD$26,MATCH($A$373,BD!$AJ$22:$BD$22,0))),"")</f>
        <v/>
      </c>
      <c r="E376" s="203"/>
      <c r="F376" s="204" t="str">
        <f>IF(F$3="","",IF(COUNTIFS(BD!$A$3:$A$5001,F$3,BD!$B$3:$B$5001,$A$373,BD!$F$3:$F$5001,"&lt;&gt;")=0,"",SUMIFS(BD!$F$3:$F$5001,BD!$A$3:$A$5001,F$3,BD!$B$3:$B$5001,$A$373)))</f>
        <v/>
      </c>
      <c r="G376" s="205" t="str">
        <f>IF(G$3="","",IF(COUNTIFS(BD!$A$3:$A$5001,G$3,BD!$B$3:$B$5001,$A$373,BD!$F$3:$F$5001,"&lt;&gt;")=0,"",SUMIFS(BD!$F$3:$F$5001,BD!$A$3:$A$5001,G$3,BD!$B$3:$B$5001,$A$373)))</f>
        <v/>
      </c>
      <c r="H376" s="205" t="str">
        <f>IF(H$3="","",IF(COUNTIFS(BD!$A$3:$A$5001,H$3,BD!$B$3:$B$5001,$A$373,BD!$F$3:$F$5001,"&lt;&gt;")=0,"",SUMIFS(BD!$F$3:$F$5001,BD!$A$3:$A$5001,H$3,BD!$B$3:$B$5001,$A$373)))</f>
        <v/>
      </c>
      <c r="I376" s="205" t="str">
        <f>IF(I$3="","",IF(COUNTIFS(BD!$A$3:$A$5001,I$3,BD!$B$3:$B$5001,$A$373,BD!$F$3:$F$5001,"&lt;&gt;")=0,"",SUMIFS(BD!$F$3:$F$5001,BD!$A$3:$A$5001,I$3,BD!$B$3:$B$5001,$A$373)))</f>
        <v/>
      </c>
      <c r="J376" s="205" t="str">
        <f>IF(J$3="","",IF(COUNTIFS(BD!$A$3:$A$5001,J$3,BD!$B$3:$B$5001,$A$373,BD!$F$3:$F$5001,"&lt;&gt;")=0,"",SUMIFS(BD!$F$3:$F$5001,BD!$A$3:$A$5001,J$3,BD!$B$3:$B$5001,$A$373)))</f>
        <v/>
      </c>
      <c r="K376" s="205" t="str">
        <f>IF(K$3="","",IF(COUNTIFS(BD!$A$3:$A$5001,K$3,BD!$B$3:$B$5001,$A$373,BD!$F$3:$F$5001,"&lt;&gt;")=0,"",SUMIFS(BD!$F$3:$F$5001,BD!$A$3:$A$5001,K$3,BD!$B$3:$B$5001,$A$373)))</f>
        <v/>
      </c>
      <c r="L376" s="205" t="str">
        <f>IF(L$3="","",IF(COUNTIFS(BD!$A$3:$A$5001,L$3,BD!$B$3:$B$5001,$A$373,BD!$F$3:$F$5001,"&lt;&gt;")=0,"",SUMIFS(BD!$F$3:$F$5001,BD!$A$3:$A$5001,L$3,BD!$B$3:$B$5001,$A$373)))</f>
        <v/>
      </c>
      <c r="M376" s="205" t="str">
        <f>IF(M$3="","",IF(COUNTIFS(BD!$A$3:$A$5001,M$3,BD!$B$3:$B$5001,$A$373,BD!$F$3:$F$5001,"&lt;&gt;")=0,"",SUMIFS(BD!$F$3:$F$5001,BD!$A$3:$A$5001,M$3,BD!$B$3:$B$5001,$A$373)))</f>
        <v/>
      </c>
      <c r="N376" s="205" t="str">
        <f>IF(N$3="","",IF(COUNTIFS(BD!$A$3:$A$5001,N$3,BD!$B$3:$B$5001,$A$373,BD!$F$3:$F$5001,"&lt;&gt;")=0,"",SUMIFS(BD!$F$3:$F$5001,BD!$A$3:$A$5001,N$3,BD!$B$3:$B$5001,$A$373)))</f>
        <v/>
      </c>
      <c r="O376" s="205" t="str">
        <f>IF(O$3="","",IF(COUNTIFS(BD!$A$3:$A$5001,O$3,BD!$B$3:$B$5001,$A$373,BD!$F$3:$F$5001,"&lt;&gt;")=0,"",SUMIFS(BD!$F$3:$F$5001,BD!$A$3:$A$5001,O$3,BD!$B$3:$B$5001,$A$373)))</f>
        <v/>
      </c>
      <c r="P376" s="205" t="str">
        <f>IF(P$3="","",IF(COUNTIFS(BD!$A$3:$A$5001,P$3,BD!$B$3:$B$5001,$A$373,BD!$F$3:$F$5001,"&lt;&gt;")=0,"",SUMIFS(BD!$F$3:$F$5001,BD!$A$3:$A$5001,P$3,BD!$B$3:$B$5001,$A$373)))</f>
        <v/>
      </c>
      <c r="Q376" s="205" t="str">
        <f>IF(Q$3="","",IF(COUNTIFS(BD!$A$3:$A$5001,Q$3,BD!$B$3:$B$5001,$A$373,BD!$F$3:$F$5001,"&lt;&gt;")=0,"",SUMIFS(BD!$F$3:$F$5001,BD!$A$3:$A$5001,Q$3,BD!$B$3:$B$5001,$A$373)))</f>
        <v/>
      </c>
      <c r="R376" s="205" t="str">
        <f>IF(R$3="","",IF(COUNTIFS(BD!$A$3:$A$5001,R$3,BD!$B$3:$B$5001,$A$373,BD!$F$3:$F$5001,"&lt;&gt;")=0,"",SUMIFS(BD!$F$3:$F$5001,BD!$A$3:$A$5001,R$3,BD!$B$3:$B$5001,$A$373)))</f>
        <v/>
      </c>
      <c r="S376" s="205" t="str">
        <f>IF(S$3="","",IF(COUNTIFS(BD!$A$3:$A$5001,S$3,BD!$B$3:$B$5001,$A$373,BD!$F$3:$F$5001,"&lt;&gt;")=0,"",SUMIFS(BD!$F$3:$F$5001,BD!$A$3:$A$5001,S$3,BD!$B$3:$B$5001,$A$373)))</f>
        <v/>
      </c>
      <c r="T376" s="205" t="str">
        <f>IF(T$3="","",IF(COUNTIFS(BD!$A$3:$A$5001,T$3,BD!$B$3:$B$5001,$A$373,BD!$F$3:$F$5001,"&lt;&gt;")=0,"",SUMIFS(BD!$F$3:$F$5001,BD!$A$3:$A$5001,T$3,BD!$B$3:$B$5001,$A$373)))</f>
        <v/>
      </c>
      <c r="U376" s="205" t="str">
        <f>IF(U$3="","",IF(COUNTIFS(BD!$A$3:$A$5001,U$3,BD!$B$3:$B$5001,$A$373,BD!$F$3:$F$5001,"&lt;&gt;")=0,"",SUMIFS(BD!$F$3:$F$5001,BD!$A$3:$A$5001,U$3,BD!$B$3:$B$5001,$A$373)))</f>
        <v/>
      </c>
      <c r="V376" s="205" t="str">
        <f>IF(V$3="","",IF(COUNTIFS(BD!$A$3:$A$5001,V$3,BD!$B$3:$B$5001,$A$373,BD!$F$3:$F$5001,"&lt;&gt;")=0,"",SUMIFS(BD!$F$3:$F$5001,BD!$A$3:$A$5001,V$3,BD!$B$3:$B$5001,$A$373)))</f>
        <v/>
      </c>
      <c r="W376" s="205" t="str">
        <f>IF(W$3="","",IF(COUNTIFS(BD!$A$3:$A$5001,W$3,BD!$B$3:$B$5001,$A$373,BD!$F$3:$F$5001,"&lt;&gt;")=0,"",SUMIFS(BD!$F$3:$F$5001,BD!$A$3:$A$5001,W$3,BD!$B$3:$B$5001,$A$373)))</f>
        <v/>
      </c>
      <c r="X376" s="205" t="str">
        <f>IF(X$3="","",IF(COUNTIFS(BD!$A$3:$A$5001,X$3,BD!$B$3:$B$5001,$A$373,BD!$F$3:$F$5001,"&lt;&gt;")=0,"",SUMIFS(BD!$F$3:$F$5001,BD!$A$3:$A$5001,X$3,BD!$B$3:$B$5001,$A$373)))</f>
        <v/>
      </c>
      <c r="Y376" s="205" t="str">
        <f>IF(Y$3="","",IF(COUNTIFS(BD!$A$3:$A$5001,Y$3,BD!$B$3:$B$5001,$A$373,BD!$F$3:$F$5001,"&lt;&gt;")=0,"",SUMIFS(BD!$F$3:$F$5001,BD!$A$3:$A$5001,Y$3,BD!$B$3:$B$5001,$A$373)))</f>
        <v/>
      </c>
      <c r="Z376" s="205" t="str">
        <f>IF(Z$3="","",IF(COUNTIFS(BD!$A$3:$A$5001,Z$3,BD!$B$3:$B$5001,$A$373,BD!$F$3:$F$5001,"&lt;&gt;")=0,"",SUMIFS(BD!$F$3:$F$5001,BD!$A$3:$A$5001,Z$3,BD!$B$3:$B$5001,$A$373)))</f>
        <v/>
      </c>
      <c r="AA376" s="205" t="str">
        <f>IF(AA$3="","",IF(COUNTIFS(BD!$A$3:$A$5001,AA$3,BD!$B$3:$B$5001,$A$373,BD!$F$3:$F$5001,"&lt;&gt;")=0,"",SUMIFS(BD!$F$3:$F$5001,BD!$A$3:$A$5001,AA$3,BD!$B$3:$B$5001,$A$373)))</f>
        <v/>
      </c>
      <c r="AB376" s="205" t="str">
        <f>IF(AB$3="","",IF(COUNTIFS(BD!$A$3:$A$5001,AB$3,BD!$B$3:$B$5001,$A$373,BD!$F$3:$F$5001,"&lt;&gt;")=0,"",SUMIFS(BD!$F$3:$F$5001,BD!$A$3:$A$5001,AB$3,BD!$B$3:$B$5001,$A$373)))</f>
        <v/>
      </c>
      <c r="AC376" s="205" t="str">
        <f>IF(AC$3="","",IF(COUNTIFS(BD!$A$3:$A$5001,AC$3,BD!$B$3:$B$5001,$A$373,BD!$F$3:$F$5001,"&lt;&gt;")=0,"",SUMIFS(BD!$F$3:$F$5001,BD!$A$3:$A$5001,AC$3,BD!$B$3:$B$5001,$A$373)))</f>
        <v/>
      </c>
      <c r="AD376" s="205" t="str">
        <f>IF(AD$3="","",IF(COUNTIFS(BD!$A$3:$A$5001,AD$3,BD!$B$3:$B$5001,$A$373,BD!$F$3:$F$5001,"&lt;&gt;")=0,"",SUMIFS(BD!$F$3:$F$5001,BD!$A$3:$A$5001,AD$3,BD!$B$3:$B$5001,$A$373)))</f>
        <v/>
      </c>
      <c r="AE376" s="205" t="str">
        <f>IF(AE$3="","",IF(COUNTIFS(BD!$A$3:$A$5001,AE$3,BD!$B$3:$B$5001,$A$373,BD!$F$3:$F$5001,"&lt;&gt;")=0,"",SUMIFS(BD!$F$3:$F$5001,BD!$A$3:$A$5001,AE$3,BD!$B$3:$B$5001,$A$373)))</f>
        <v/>
      </c>
      <c r="AF376" s="205" t="str">
        <f>IF(AF$3="","",IF(COUNTIFS(BD!$A$3:$A$5001,AF$3,BD!$B$3:$B$5001,$A$373,BD!$F$3:$F$5001,"&lt;&gt;")=0,"",SUMIFS(BD!$F$3:$F$5001,BD!$A$3:$A$5001,AF$3,BD!$B$3:$B$5001,$A$373)))</f>
        <v/>
      </c>
      <c r="AG376" s="205" t="str">
        <f>IF(AG$3="","",IF(COUNTIFS(BD!$A$3:$A$5001,AG$3,BD!$B$3:$B$5001,$A$373,BD!$F$3:$F$5001,"&lt;&gt;")=0,"",SUMIFS(BD!$F$3:$F$5001,BD!$A$3:$A$5001,AG$3,BD!$B$3:$B$5001,$A$373)))</f>
        <v/>
      </c>
      <c r="AH376" s="205" t="str">
        <f>IF(AH$3="","",IF(COUNTIFS(BD!$A$3:$A$5001,AH$3,BD!$B$3:$B$5001,$A$373,BD!$F$3:$F$5001,"&lt;&gt;")=0,"",SUMIFS(BD!$F$3:$F$5001,BD!$A$3:$A$5001,AH$3,BD!$B$3:$B$5001,$A$373)))</f>
        <v/>
      </c>
      <c r="AI376" s="205" t="str">
        <f>IF(AI$3="","",IF(COUNTIFS(BD!$A$3:$A$5001,AI$3,BD!$B$3:$B$5001,$A$373,BD!$F$3:$F$5001,"&lt;&gt;")=0,"",SUMIFS(BD!$F$3:$F$5001,BD!$A$3:$A$5001,AI$3,BD!$B$3:$B$5001,$A$373)))</f>
        <v/>
      </c>
      <c r="AJ376" s="206" t="str">
        <f>IF(AJ$3="","",IF(COUNTIFS(BD!$A$3:$A$5001,AJ$3,BD!$B$3:$B$5001,$A$373,BD!$F$3:$F$5001,"&lt;&gt;")=0,"",SUMIFS(BD!$F$3:$F$5001,BD!$A$3:$A$5001,AJ$3,BD!$B$3:$B$5001,$A$373)))</f>
        <v/>
      </c>
      <c r="AK376" s="207" t="str">
        <f>IF(COUNT(F376:AJ376)=0,"",SUM(F376:AJ376))</f>
        <v/>
      </c>
    </row>
    <row r="377" ht="15.75" customHeight="1" hidden="1">
      <c r="A377" s="244"/>
      <c r="B377" s="239"/>
      <c r="C377" s="201" t="inlineStr">
        <is>
          <t xml:space="preserve">Caixas Movimentadas</t>
        </is>
      </c>
      <c r="D377" s="202" t="str">
        <f>IFERROR(1/(1/INDEX(BD!$AJ$27:$BD$27,MATCH($A$373,BD!$AJ$22:$BD$22,0))),"")</f>
        <v/>
      </c>
      <c r="E377" s="203"/>
      <c r="F377" s="204" t="str">
        <f>IF(F$3="","",IF(COUNTIFS(BD!$A$3:$A$5001,F$3,BD!$B$3:$B$5001,$A$373,BD!$G$3:$G$5001,"&lt;&gt;")=0,"",SUMIFS(BD!$G$3:$G$5001,BD!$A$3:$A$5001,F$3,BD!$B$3:$B$5001,$A$373)))</f>
        <v/>
      </c>
      <c r="G377" s="205" t="str">
        <f>IF(G$3="","",IF(COUNTIFS(BD!$A$3:$A$5001,G$3,BD!$B$3:$B$5001,$A$373,BD!$G$3:$G$5001,"&lt;&gt;")=0,"",SUMIFS(BD!$G$3:$G$5001,BD!$A$3:$A$5001,G$3,BD!$B$3:$B$5001,$A$373)))</f>
        <v/>
      </c>
      <c r="H377" s="205" t="str">
        <f>IF(H$3="","",IF(COUNTIFS(BD!$A$3:$A$5001,H$3,BD!$B$3:$B$5001,$A$373,BD!$G$3:$G$5001,"&lt;&gt;")=0,"",SUMIFS(BD!$G$3:$G$5001,BD!$A$3:$A$5001,H$3,BD!$B$3:$B$5001,$A$373)))</f>
        <v/>
      </c>
      <c r="I377" s="205" t="str">
        <f>IF(I$3="","",IF(COUNTIFS(BD!$A$3:$A$5001,I$3,BD!$B$3:$B$5001,$A$373,BD!$G$3:$G$5001,"&lt;&gt;")=0,"",SUMIFS(BD!$G$3:$G$5001,BD!$A$3:$A$5001,I$3,BD!$B$3:$B$5001,$A$373)))</f>
        <v/>
      </c>
      <c r="J377" s="205" t="str">
        <f>IF(J$3="","",IF(COUNTIFS(BD!$A$3:$A$5001,J$3,BD!$B$3:$B$5001,$A$373,BD!$G$3:$G$5001,"&lt;&gt;")=0,"",SUMIFS(BD!$G$3:$G$5001,BD!$A$3:$A$5001,J$3,BD!$B$3:$B$5001,$A$373)))</f>
        <v/>
      </c>
      <c r="K377" s="205" t="str">
        <f>IF(K$3="","",IF(COUNTIFS(BD!$A$3:$A$5001,K$3,BD!$B$3:$B$5001,$A$373,BD!$G$3:$G$5001,"&lt;&gt;")=0,"",SUMIFS(BD!$G$3:$G$5001,BD!$A$3:$A$5001,K$3,BD!$B$3:$B$5001,$A$373)))</f>
        <v/>
      </c>
      <c r="L377" s="205" t="str">
        <f>IF(L$3="","",IF(COUNTIFS(BD!$A$3:$A$5001,L$3,BD!$B$3:$B$5001,$A$373,BD!$G$3:$G$5001,"&lt;&gt;")=0,"",SUMIFS(BD!$G$3:$G$5001,BD!$A$3:$A$5001,L$3,BD!$B$3:$B$5001,$A$373)))</f>
        <v/>
      </c>
      <c r="M377" s="205" t="str">
        <f>IF(M$3="","",IF(COUNTIFS(BD!$A$3:$A$5001,M$3,BD!$B$3:$B$5001,$A$373,BD!$G$3:$G$5001,"&lt;&gt;")=0,"",SUMIFS(BD!$G$3:$G$5001,BD!$A$3:$A$5001,M$3,BD!$B$3:$B$5001,$A$373)))</f>
        <v/>
      </c>
      <c r="N377" s="205" t="str">
        <f>IF(N$3="","",IF(COUNTIFS(BD!$A$3:$A$5001,N$3,BD!$B$3:$B$5001,$A$373,BD!$G$3:$G$5001,"&lt;&gt;")=0,"",SUMIFS(BD!$G$3:$G$5001,BD!$A$3:$A$5001,N$3,BD!$B$3:$B$5001,$A$373)))</f>
        <v/>
      </c>
      <c r="O377" s="205" t="str">
        <f>IF(O$3="","",IF(COUNTIFS(BD!$A$3:$A$5001,O$3,BD!$B$3:$B$5001,$A$373,BD!$G$3:$G$5001,"&lt;&gt;")=0,"",SUMIFS(BD!$G$3:$G$5001,BD!$A$3:$A$5001,O$3,BD!$B$3:$B$5001,$A$373)))</f>
        <v/>
      </c>
      <c r="P377" s="205" t="str">
        <f>IF(P$3="","",IF(COUNTIFS(BD!$A$3:$A$5001,P$3,BD!$B$3:$B$5001,$A$373,BD!$G$3:$G$5001,"&lt;&gt;")=0,"",SUMIFS(BD!$G$3:$G$5001,BD!$A$3:$A$5001,P$3,BD!$B$3:$B$5001,$A$373)))</f>
        <v/>
      </c>
      <c r="Q377" s="205" t="str">
        <f>IF(Q$3="","",IF(COUNTIFS(BD!$A$3:$A$5001,Q$3,BD!$B$3:$B$5001,$A$373,BD!$G$3:$G$5001,"&lt;&gt;")=0,"",SUMIFS(BD!$G$3:$G$5001,BD!$A$3:$A$5001,Q$3,BD!$B$3:$B$5001,$A$373)))</f>
        <v/>
      </c>
      <c r="R377" s="205" t="str">
        <f>IF(R$3="","",IF(COUNTIFS(BD!$A$3:$A$5001,R$3,BD!$B$3:$B$5001,$A$373,BD!$G$3:$G$5001,"&lt;&gt;")=0,"",SUMIFS(BD!$G$3:$G$5001,BD!$A$3:$A$5001,R$3,BD!$B$3:$B$5001,$A$373)))</f>
        <v/>
      </c>
      <c r="S377" s="205" t="str">
        <f>IF(S$3="","",IF(COUNTIFS(BD!$A$3:$A$5001,S$3,BD!$B$3:$B$5001,$A$373,BD!$G$3:$G$5001,"&lt;&gt;")=0,"",SUMIFS(BD!$G$3:$G$5001,BD!$A$3:$A$5001,S$3,BD!$B$3:$B$5001,$A$373)))</f>
        <v/>
      </c>
      <c r="T377" s="205" t="str">
        <f>IF(T$3="","",IF(COUNTIFS(BD!$A$3:$A$5001,T$3,BD!$B$3:$B$5001,$A$373,BD!$G$3:$G$5001,"&lt;&gt;")=0,"",SUMIFS(BD!$G$3:$G$5001,BD!$A$3:$A$5001,T$3,BD!$B$3:$B$5001,$A$373)))</f>
        <v/>
      </c>
      <c r="U377" s="205" t="str">
        <f>IF(U$3="","",IF(COUNTIFS(BD!$A$3:$A$5001,U$3,BD!$B$3:$B$5001,$A$373,BD!$G$3:$G$5001,"&lt;&gt;")=0,"",SUMIFS(BD!$G$3:$G$5001,BD!$A$3:$A$5001,U$3,BD!$B$3:$B$5001,$A$373)))</f>
        <v/>
      </c>
      <c r="V377" s="205" t="str">
        <f>IF(V$3="","",IF(COUNTIFS(BD!$A$3:$A$5001,V$3,BD!$B$3:$B$5001,$A$373,BD!$G$3:$G$5001,"&lt;&gt;")=0,"",SUMIFS(BD!$G$3:$G$5001,BD!$A$3:$A$5001,V$3,BD!$B$3:$B$5001,$A$373)))</f>
        <v/>
      </c>
      <c r="W377" s="205" t="str">
        <f>IF(W$3="","",IF(COUNTIFS(BD!$A$3:$A$5001,W$3,BD!$B$3:$B$5001,$A$373,BD!$G$3:$G$5001,"&lt;&gt;")=0,"",SUMIFS(BD!$G$3:$G$5001,BD!$A$3:$A$5001,W$3,BD!$B$3:$B$5001,$A$373)))</f>
        <v/>
      </c>
      <c r="X377" s="205" t="str">
        <f>IF(X$3="","",IF(COUNTIFS(BD!$A$3:$A$5001,X$3,BD!$B$3:$B$5001,$A$373,BD!$G$3:$G$5001,"&lt;&gt;")=0,"",SUMIFS(BD!$G$3:$G$5001,BD!$A$3:$A$5001,X$3,BD!$B$3:$B$5001,$A$373)))</f>
        <v/>
      </c>
      <c r="Y377" s="205" t="str">
        <f>IF(Y$3="","",IF(COUNTIFS(BD!$A$3:$A$5001,Y$3,BD!$B$3:$B$5001,$A$373,BD!$G$3:$G$5001,"&lt;&gt;")=0,"",SUMIFS(BD!$G$3:$G$5001,BD!$A$3:$A$5001,Y$3,BD!$B$3:$B$5001,$A$373)))</f>
        <v/>
      </c>
      <c r="Z377" s="205" t="str">
        <f>IF(Z$3="","",IF(COUNTIFS(BD!$A$3:$A$5001,Z$3,BD!$B$3:$B$5001,$A$373,BD!$G$3:$G$5001,"&lt;&gt;")=0,"",SUMIFS(BD!$G$3:$G$5001,BD!$A$3:$A$5001,Z$3,BD!$B$3:$B$5001,$A$373)))</f>
        <v/>
      </c>
      <c r="AA377" s="205" t="str">
        <f>IF(AA$3="","",IF(COUNTIFS(BD!$A$3:$A$5001,AA$3,BD!$B$3:$B$5001,$A$373,BD!$G$3:$G$5001,"&lt;&gt;")=0,"",SUMIFS(BD!$G$3:$G$5001,BD!$A$3:$A$5001,AA$3,BD!$B$3:$B$5001,$A$373)))</f>
        <v/>
      </c>
      <c r="AB377" s="205" t="str">
        <f>IF(AB$3="","",IF(COUNTIFS(BD!$A$3:$A$5001,AB$3,BD!$B$3:$B$5001,$A$373,BD!$G$3:$G$5001,"&lt;&gt;")=0,"",SUMIFS(BD!$G$3:$G$5001,BD!$A$3:$A$5001,AB$3,BD!$B$3:$B$5001,$A$373)))</f>
        <v/>
      </c>
      <c r="AC377" s="205" t="str">
        <f>IF(AC$3="","",IF(COUNTIFS(BD!$A$3:$A$5001,AC$3,BD!$B$3:$B$5001,$A$373,BD!$G$3:$G$5001,"&lt;&gt;")=0,"",SUMIFS(BD!$G$3:$G$5001,BD!$A$3:$A$5001,AC$3,BD!$B$3:$B$5001,$A$373)))</f>
        <v/>
      </c>
      <c r="AD377" s="205" t="str">
        <f>IF(AD$3="","",IF(COUNTIFS(BD!$A$3:$A$5001,AD$3,BD!$B$3:$B$5001,$A$373,BD!$G$3:$G$5001,"&lt;&gt;")=0,"",SUMIFS(BD!$G$3:$G$5001,BD!$A$3:$A$5001,AD$3,BD!$B$3:$B$5001,$A$373)))</f>
        <v/>
      </c>
      <c r="AE377" s="205" t="str">
        <f>IF(AE$3="","",IF(COUNTIFS(BD!$A$3:$A$5001,AE$3,BD!$B$3:$B$5001,$A$373,BD!$G$3:$G$5001,"&lt;&gt;")=0,"",SUMIFS(BD!$G$3:$G$5001,BD!$A$3:$A$5001,AE$3,BD!$B$3:$B$5001,$A$373)))</f>
        <v/>
      </c>
      <c r="AF377" s="205" t="str">
        <f>IF(AF$3="","",IF(COUNTIFS(BD!$A$3:$A$5001,AF$3,BD!$B$3:$B$5001,$A$373,BD!$G$3:$G$5001,"&lt;&gt;")=0,"",SUMIFS(BD!$G$3:$G$5001,BD!$A$3:$A$5001,AF$3,BD!$B$3:$B$5001,$A$373)))</f>
        <v/>
      </c>
      <c r="AG377" s="205" t="str">
        <f>IF(AG$3="","",IF(COUNTIFS(BD!$A$3:$A$5001,AG$3,BD!$B$3:$B$5001,$A$373,BD!$G$3:$G$5001,"&lt;&gt;")=0,"",SUMIFS(BD!$G$3:$G$5001,BD!$A$3:$A$5001,AG$3,BD!$B$3:$B$5001,$A$373)))</f>
        <v/>
      </c>
      <c r="AH377" s="205" t="str">
        <f>IF(AH$3="","",IF(COUNTIFS(BD!$A$3:$A$5001,AH$3,BD!$B$3:$B$5001,$A$373,BD!$G$3:$G$5001,"&lt;&gt;")=0,"",SUMIFS(BD!$G$3:$G$5001,BD!$A$3:$A$5001,AH$3,BD!$B$3:$B$5001,$A$373)))</f>
        <v/>
      </c>
      <c r="AI377" s="205" t="str">
        <f>IF(AI$3="","",IF(COUNTIFS(BD!$A$3:$A$5001,AI$3,BD!$B$3:$B$5001,$A$373,BD!$G$3:$G$5001,"&lt;&gt;")=0,"",SUMIFS(BD!$G$3:$G$5001,BD!$A$3:$A$5001,AI$3,BD!$B$3:$B$5001,$A$373)))</f>
        <v/>
      </c>
      <c r="AJ377" s="206" t="str">
        <f>IF(AJ$3="","",IF(COUNTIFS(BD!$A$3:$A$5001,AJ$3,BD!$B$3:$B$5001,$A$373,BD!$G$3:$G$5001,"&lt;&gt;")=0,"",SUMIFS(BD!$G$3:$G$5001,BD!$A$3:$A$5001,AJ$3,BD!$B$3:$B$5001,$A$373)))</f>
        <v/>
      </c>
      <c r="AK377" s="207" t="str">
        <f>IF(COUNT(F377:AJ377)=0,"",SUM(F377:AJ377))</f>
        <v/>
      </c>
    </row>
    <row r="378" ht="15.75" customHeight="1" hidden="1">
      <c r="A378" s="244"/>
      <c r="B378" s="239"/>
      <c r="C378" s="201" t="inlineStr">
        <is>
          <t xml:space="preserve">Itens Recebidos</t>
        </is>
      </c>
      <c r="D378" s="202" t="str">
        <f>IFERROR(1/(1/INDEX(BD!$AJ$28:$BD$28,MATCH($A$373,BD!$AJ$22:$BD$22,0))),"")</f>
        <v/>
      </c>
      <c r="E378" s="203"/>
      <c r="F378" s="204" t="str">
        <f>IF(F$3="","",IF(COUNTIFS(BD!$A$3:$A$5001,F$3,BD!$B$3:$B$5001,$A$373,BD!$H$3:$H$5001,"&lt;&gt;")=0,"",SUMIFS(BD!$H$3:$H$5001,BD!$A$3:$A$5001,F$3,BD!$B$3:$B$5001,$A$373)))</f>
        <v/>
      </c>
      <c r="G378" s="205" t="str">
        <f>IF(G$3="","",IF(COUNTIFS(BD!$A$3:$A$5001,G$3,BD!$B$3:$B$5001,$A$373,BD!$H$3:$H$5001,"&lt;&gt;")=0,"",SUMIFS(BD!$H$3:$H$5001,BD!$A$3:$A$5001,G$3,BD!$B$3:$B$5001,$A$373)))</f>
        <v/>
      </c>
      <c r="H378" s="205" t="str">
        <f>IF(H$3="","",IF(COUNTIFS(BD!$A$3:$A$5001,H$3,BD!$B$3:$B$5001,$A$373,BD!$H$3:$H$5001,"&lt;&gt;")=0,"",SUMIFS(BD!$H$3:$H$5001,BD!$A$3:$A$5001,H$3,BD!$B$3:$B$5001,$A$373)))</f>
        <v/>
      </c>
      <c r="I378" s="205" t="str">
        <f>IF(I$3="","",IF(COUNTIFS(BD!$A$3:$A$5001,I$3,BD!$B$3:$B$5001,$A$373,BD!$H$3:$H$5001,"&lt;&gt;")=0,"",SUMIFS(BD!$H$3:$H$5001,BD!$A$3:$A$5001,I$3,BD!$B$3:$B$5001,$A$373)))</f>
        <v/>
      </c>
      <c r="J378" s="205" t="str">
        <f>IF(J$3="","",IF(COUNTIFS(BD!$A$3:$A$5001,J$3,BD!$B$3:$B$5001,$A$373,BD!$H$3:$H$5001,"&lt;&gt;")=0,"",SUMIFS(BD!$H$3:$H$5001,BD!$A$3:$A$5001,J$3,BD!$B$3:$B$5001,$A$373)))</f>
        <v/>
      </c>
      <c r="K378" s="205" t="str">
        <f>IF(K$3="","",IF(COUNTIFS(BD!$A$3:$A$5001,K$3,BD!$B$3:$B$5001,$A$373,BD!$H$3:$H$5001,"&lt;&gt;")=0,"",SUMIFS(BD!$H$3:$H$5001,BD!$A$3:$A$5001,K$3,BD!$B$3:$B$5001,$A$373)))</f>
        <v/>
      </c>
      <c r="L378" s="205" t="str">
        <f>IF(L$3="","",IF(COUNTIFS(BD!$A$3:$A$5001,L$3,BD!$B$3:$B$5001,$A$373,BD!$H$3:$H$5001,"&lt;&gt;")=0,"",SUMIFS(BD!$H$3:$H$5001,BD!$A$3:$A$5001,L$3,BD!$B$3:$B$5001,$A$373)))</f>
        <v/>
      </c>
      <c r="M378" s="205" t="str">
        <f>IF(M$3="","",IF(COUNTIFS(BD!$A$3:$A$5001,M$3,BD!$B$3:$B$5001,$A$373,BD!$H$3:$H$5001,"&lt;&gt;")=0,"",SUMIFS(BD!$H$3:$H$5001,BD!$A$3:$A$5001,M$3,BD!$B$3:$B$5001,$A$373)))</f>
        <v/>
      </c>
      <c r="N378" s="205" t="str">
        <f>IF(N$3="","",IF(COUNTIFS(BD!$A$3:$A$5001,N$3,BD!$B$3:$B$5001,$A$373,BD!$H$3:$H$5001,"&lt;&gt;")=0,"",SUMIFS(BD!$H$3:$H$5001,BD!$A$3:$A$5001,N$3,BD!$B$3:$B$5001,$A$373)))</f>
        <v/>
      </c>
      <c r="O378" s="205" t="str">
        <f>IF(O$3="","",IF(COUNTIFS(BD!$A$3:$A$5001,O$3,BD!$B$3:$B$5001,$A$373,BD!$H$3:$H$5001,"&lt;&gt;")=0,"",SUMIFS(BD!$H$3:$H$5001,BD!$A$3:$A$5001,O$3,BD!$B$3:$B$5001,$A$373)))</f>
        <v/>
      </c>
      <c r="P378" s="205" t="str">
        <f>IF(P$3="","",IF(COUNTIFS(BD!$A$3:$A$5001,P$3,BD!$B$3:$B$5001,$A$373,BD!$H$3:$H$5001,"&lt;&gt;")=0,"",SUMIFS(BD!$H$3:$H$5001,BD!$A$3:$A$5001,P$3,BD!$B$3:$B$5001,$A$373)))</f>
        <v/>
      </c>
      <c r="Q378" s="205" t="str">
        <f>IF(Q$3="","",IF(COUNTIFS(BD!$A$3:$A$5001,Q$3,BD!$B$3:$B$5001,$A$373,BD!$H$3:$H$5001,"&lt;&gt;")=0,"",SUMIFS(BD!$H$3:$H$5001,BD!$A$3:$A$5001,Q$3,BD!$B$3:$B$5001,$A$373)))</f>
        <v/>
      </c>
      <c r="R378" s="205" t="str">
        <f>IF(R$3="","",IF(COUNTIFS(BD!$A$3:$A$5001,R$3,BD!$B$3:$B$5001,$A$373,BD!$H$3:$H$5001,"&lt;&gt;")=0,"",SUMIFS(BD!$H$3:$H$5001,BD!$A$3:$A$5001,R$3,BD!$B$3:$B$5001,$A$373)))</f>
        <v/>
      </c>
      <c r="S378" s="205" t="str">
        <f>IF(S$3="","",IF(COUNTIFS(BD!$A$3:$A$5001,S$3,BD!$B$3:$B$5001,$A$373,BD!$H$3:$H$5001,"&lt;&gt;")=0,"",SUMIFS(BD!$H$3:$H$5001,BD!$A$3:$A$5001,S$3,BD!$B$3:$B$5001,$A$373)))</f>
        <v/>
      </c>
      <c r="T378" s="205" t="str">
        <f>IF(T$3="","",IF(COUNTIFS(BD!$A$3:$A$5001,T$3,BD!$B$3:$B$5001,$A$373,BD!$H$3:$H$5001,"&lt;&gt;")=0,"",SUMIFS(BD!$H$3:$H$5001,BD!$A$3:$A$5001,T$3,BD!$B$3:$B$5001,$A$373)))</f>
        <v/>
      </c>
      <c r="U378" s="205" t="str">
        <f>IF(U$3="","",IF(COUNTIFS(BD!$A$3:$A$5001,U$3,BD!$B$3:$B$5001,$A$373,BD!$H$3:$H$5001,"&lt;&gt;")=0,"",SUMIFS(BD!$H$3:$H$5001,BD!$A$3:$A$5001,U$3,BD!$B$3:$B$5001,$A$373)))</f>
        <v/>
      </c>
      <c r="V378" s="205" t="str">
        <f>IF(V$3="","",IF(COUNTIFS(BD!$A$3:$A$5001,V$3,BD!$B$3:$B$5001,$A$373,BD!$H$3:$H$5001,"&lt;&gt;")=0,"",SUMIFS(BD!$H$3:$H$5001,BD!$A$3:$A$5001,V$3,BD!$B$3:$B$5001,$A$373)))</f>
        <v/>
      </c>
      <c r="W378" s="205" t="str">
        <f>IF(W$3="","",IF(COUNTIFS(BD!$A$3:$A$5001,W$3,BD!$B$3:$B$5001,$A$373,BD!$H$3:$H$5001,"&lt;&gt;")=0,"",SUMIFS(BD!$H$3:$H$5001,BD!$A$3:$A$5001,W$3,BD!$B$3:$B$5001,$A$373)))</f>
        <v/>
      </c>
      <c r="X378" s="205" t="str">
        <f>IF(X$3="","",IF(COUNTIFS(BD!$A$3:$A$5001,X$3,BD!$B$3:$B$5001,$A$373,BD!$H$3:$H$5001,"&lt;&gt;")=0,"",SUMIFS(BD!$H$3:$H$5001,BD!$A$3:$A$5001,X$3,BD!$B$3:$B$5001,$A$373)))</f>
        <v/>
      </c>
      <c r="Y378" s="205" t="str">
        <f>IF(Y$3="","",IF(COUNTIFS(BD!$A$3:$A$5001,Y$3,BD!$B$3:$B$5001,$A$373,BD!$H$3:$H$5001,"&lt;&gt;")=0,"",SUMIFS(BD!$H$3:$H$5001,BD!$A$3:$A$5001,Y$3,BD!$B$3:$B$5001,$A$373)))</f>
        <v/>
      </c>
      <c r="Z378" s="205" t="str">
        <f>IF(Z$3="","",IF(COUNTIFS(BD!$A$3:$A$5001,Z$3,BD!$B$3:$B$5001,$A$373,BD!$H$3:$H$5001,"&lt;&gt;")=0,"",SUMIFS(BD!$H$3:$H$5001,BD!$A$3:$A$5001,Z$3,BD!$B$3:$B$5001,$A$373)))</f>
        <v/>
      </c>
      <c r="AA378" s="205" t="str">
        <f>IF(AA$3="","",IF(COUNTIFS(BD!$A$3:$A$5001,AA$3,BD!$B$3:$B$5001,$A$373,BD!$H$3:$H$5001,"&lt;&gt;")=0,"",SUMIFS(BD!$H$3:$H$5001,BD!$A$3:$A$5001,AA$3,BD!$B$3:$B$5001,$A$373)))</f>
        <v/>
      </c>
      <c r="AB378" s="205" t="str">
        <f>IF(AB$3="","",IF(COUNTIFS(BD!$A$3:$A$5001,AB$3,BD!$B$3:$B$5001,$A$373,BD!$H$3:$H$5001,"&lt;&gt;")=0,"",SUMIFS(BD!$H$3:$H$5001,BD!$A$3:$A$5001,AB$3,BD!$B$3:$B$5001,$A$373)))</f>
        <v/>
      </c>
      <c r="AC378" s="205" t="str">
        <f>IF(AC$3="","",IF(COUNTIFS(BD!$A$3:$A$5001,AC$3,BD!$B$3:$B$5001,$A$373,BD!$H$3:$H$5001,"&lt;&gt;")=0,"",SUMIFS(BD!$H$3:$H$5001,BD!$A$3:$A$5001,AC$3,BD!$B$3:$B$5001,$A$373)))</f>
        <v/>
      </c>
      <c r="AD378" s="205" t="str">
        <f>IF(AD$3="","",IF(COUNTIFS(BD!$A$3:$A$5001,AD$3,BD!$B$3:$B$5001,$A$373,BD!$H$3:$H$5001,"&lt;&gt;")=0,"",SUMIFS(BD!$H$3:$H$5001,BD!$A$3:$A$5001,AD$3,BD!$B$3:$B$5001,$A$373)))</f>
        <v/>
      </c>
      <c r="AE378" s="205" t="str">
        <f>IF(AE$3="","",IF(COUNTIFS(BD!$A$3:$A$5001,AE$3,BD!$B$3:$B$5001,$A$373,BD!$H$3:$H$5001,"&lt;&gt;")=0,"",SUMIFS(BD!$H$3:$H$5001,BD!$A$3:$A$5001,AE$3,BD!$B$3:$B$5001,$A$373)))</f>
        <v/>
      </c>
      <c r="AF378" s="205" t="str">
        <f>IF(AF$3="","",IF(COUNTIFS(BD!$A$3:$A$5001,AF$3,BD!$B$3:$B$5001,$A$373,BD!$H$3:$H$5001,"&lt;&gt;")=0,"",SUMIFS(BD!$H$3:$H$5001,BD!$A$3:$A$5001,AF$3,BD!$B$3:$B$5001,$A$373)))</f>
        <v/>
      </c>
      <c r="AG378" s="205" t="str">
        <f>IF(AG$3="","",IF(COUNTIFS(BD!$A$3:$A$5001,AG$3,BD!$B$3:$B$5001,$A$373,BD!$H$3:$H$5001,"&lt;&gt;")=0,"",SUMIFS(BD!$H$3:$H$5001,BD!$A$3:$A$5001,AG$3,BD!$B$3:$B$5001,$A$373)))</f>
        <v/>
      </c>
      <c r="AH378" s="205" t="str">
        <f>IF(AH$3="","",IF(COUNTIFS(BD!$A$3:$A$5001,AH$3,BD!$B$3:$B$5001,$A$373,BD!$H$3:$H$5001,"&lt;&gt;")=0,"",SUMIFS(BD!$H$3:$H$5001,BD!$A$3:$A$5001,AH$3,BD!$B$3:$B$5001,$A$373)))</f>
        <v/>
      </c>
      <c r="AI378" s="205" t="str">
        <f>IF(AI$3="","",IF(COUNTIFS(BD!$A$3:$A$5001,AI$3,BD!$B$3:$B$5001,$A$373,BD!$H$3:$H$5001,"&lt;&gt;")=0,"",SUMIFS(BD!$H$3:$H$5001,BD!$A$3:$A$5001,AI$3,BD!$B$3:$B$5001,$A$373)))</f>
        <v/>
      </c>
      <c r="AJ378" s="206" t="str">
        <f>IF(AJ$3="","",IF(COUNTIFS(BD!$A$3:$A$5001,AJ$3,BD!$B$3:$B$5001,$A$373,BD!$H$3:$H$5001,"&lt;&gt;")=0,"",SUMIFS(BD!$H$3:$H$5001,BD!$A$3:$A$5001,AJ$3,BD!$B$3:$B$5001,$A$373)))</f>
        <v/>
      </c>
      <c r="AK378" s="207" t="str">
        <f>IF(COUNT(F378:AJ378)=0,"",SUM(F378:AJ378))</f>
        <v/>
      </c>
    </row>
    <row r="379" ht="15.75" customHeight="1" hidden="1">
      <c r="A379" s="244"/>
      <c r="B379" s="239"/>
      <c r="C379" s="201" t="inlineStr">
        <is>
          <t xml:space="preserve">Itens Recebidos CX Mista</t>
        </is>
      </c>
      <c r="D379" s="202" t="str">
        <f>IFERROR(1/(1/INDEX(BD!$AJ$29:$BD$29,MATCH($A$373,BD!$AJ$22:$BD$22,0))),"")</f>
        <v/>
      </c>
      <c r="E379" s="203"/>
      <c r="F379" s="204" t="str">
        <f>IF(F$3="","",IF(COUNTIFS(BD!$A$3:$A$5001,F$3,BD!$B$3:$B$5001,$A$373,BD!$I$3:$I$5001,"&lt;&gt;")=0,"",SUMIFS(BD!$I$3:$I$5001,BD!$A$3:$A$5001,F$3,BD!$B$3:$B$5001,$A$373)))</f>
        <v/>
      </c>
      <c r="G379" s="205" t="str">
        <f>IF(G$3="","",IF(COUNTIFS(BD!$A$3:$A$5001,G$3,BD!$B$3:$B$5001,$A$373,BD!$I$3:$I$5001,"&lt;&gt;")=0,"",SUMIFS(BD!$I$3:$I$5001,BD!$A$3:$A$5001,G$3,BD!$B$3:$B$5001,$A$373)))</f>
        <v/>
      </c>
      <c r="H379" s="205" t="str">
        <f>IF(H$3="","",IF(COUNTIFS(BD!$A$3:$A$5001,H$3,BD!$B$3:$B$5001,$A$373,BD!$I$3:$I$5001,"&lt;&gt;")=0,"",SUMIFS(BD!$I$3:$I$5001,BD!$A$3:$A$5001,H$3,BD!$B$3:$B$5001,$A$373)))</f>
        <v/>
      </c>
      <c r="I379" s="205" t="str">
        <f>IF(I$3="","",IF(COUNTIFS(BD!$A$3:$A$5001,I$3,BD!$B$3:$B$5001,$A$373,BD!$I$3:$I$5001,"&lt;&gt;")=0,"",SUMIFS(BD!$I$3:$I$5001,BD!$A$3:$A$5001,I$3,BD!$B$3:$B$5001,$A$373)))</f>
        <v/>
      </c>
      <c r="J379" s="205" t="str">
        <f>IF(J$3="","",IF(COUNTIFS(BD!$A$3:$A$5001,J$3,BD!$B$3:$B$5001,$A$373,BD!$I$3:$I$5001,"&lt;&gt;")=0,"",SUMIFS(BD!$I$3:$I$5001,BD!$A$3:$A$5001,J$3,BD!$B$3:$B$5001,$A$373)))</f>
        <v/>
      </c>
      <c r="K379" s="205" t="str">
        <f>IF(K$3="","",IF(COUNTIFS(BD!$A$3:$A$5001,K$3,BD!$B$3:$B$5001,$A$373,BD!$I$3:$I$5001,"&lt;&gt;")=0,"",SUMIFS(BD!$I$3:$I$5001,BD!$A$3:$A$5001,K$3,BD!$B$3:$B$5001,$A$373)))</f>
        <v/>
      </c>
      <c r="L379" s="205" t="str">
        <f>IF(L$3="","",IF(COUNTIFS(BD!$A$3:$A$5001,L$3,BD!$B$3:$B$5001,$A$373,BD!$I$3:$I$5001,"&lt;&gt;")=0,"",SUMIFS(BD!$I$3:$I$5001,BD!$A$3:$A$5001,L$3,BD!$B$3:$B$5001,$A$373)))</f>
        <v/>
      </c>
      <c r="M379" s="205" t="str">
        <f>IF(M$3="","",IF(COUNTIFS(BD!$A$3:$A$5001,M$3,BD!$B$3:$B$5001,$A$373,BD!$I$3:$I$5001,"&lt;&gt;")=0,"",SUMIFS(BD!$I$3:$I$5001,BD!$A$3:$A$5001,M$3,BD!$B$3:$B$5001,$A$373)))</f>
        <v/>
      </c>
      <c r="N379" s="205" t="str">
        <f>IF(N$3="","",IF(COUNTIFS(BD!$A$3:$A$5001,N$3,BD!$B$3:$B$5001,$A$373,BD!$I$3:$I$5001,"&lt;&gt;")=0,"",SUMIFS(BD!$I$3:$I$5001,BD!$A$3:$A$5001,N$3,BD!$B$3:$B$5001,$A$373)))</f>
        <v/>
      </c>
      <c r="O379" s="205" t="str">
        <f>IF(O$3="","",IF(COUNTIFS(BD!$A$3:$A$5001,O$3,BD!$B$3:$B$5001,$A$373,BD!$I$3:$I$5001,"&lt;&gt;")=0,"",SUMIFS(BD!$I$3:$I$5001,BD!$A$3:$A$5001,O$3,BD!$B$3:$B$5001,$A$373)))</f>
        <v/>
      </c>
      <c r="P379" s="205" t="str">
        <f>IF(P$3="","",IF(COUNTIFS(BD!$A$3:$A$5001,P$3,BD!$B$3:$B$5001,$A$373,BD!$I$3:$I$5001,"&lt;&gt;")=0,"",SUMIFS(BD!$I$3:$I$5001,BD!$A$3:$A$5001,P$3,BD!$B$3:$B$5001,$A$373)))</f>
        <v/>
      </c>
      <c r="Q379" s="205" t="str">
        <f>IF(Q$3="","",IF(COUNTIFS(BD!$A$3:$A$5001,Q$3,BD!$B$3:$B$5001,$A$373,BD!$I$3:$I$5001,"&lt;&gt;")=0,"",SUMIFS(BD!$I$3:$I$5001,BD!$A$3:$A$5001,Q$3,BD!$B$3:$B$5001,$A$373)))</f>
        <v/>
      </c>
      <c r="R379" s="205" t="str">
        <f>IF(R$3="","",IF(COUNTIFS(BD!$A$3:$A$5001,R$3,BD!$B$3:$B$5001,$A$373,BD!$I$3:$I$5001,"&lt;&gt;")=0,"",SUMIFS(BD!$I$3:$I$5001,BD!$A$3:$A$5001,R$3,BD!$B$3:$B$5001,$A$373)))</f>
        <v/>
      </c>
      <c r="S379" s="205" t="str">
        <f>IF(S$3="","",IF(COUNTIFS(BD!$A$3:$A$5001,S$3,BD!$B$3:$B$5001,$A$373,BD!$I$3:$I$5001,"&lt;&gt;")=0,"",SUMIFS(BD!$I$3:$I$5001,BD!$A$3:$A$5001,S$3,BD!$B$3:$B$5001,$A$373)))</f>
        <v/>
      </c>
      <c r="T379" s="205" t="str">
        <f>IF(T$3="","",IF(COUNTIFS(BD!$A$3:$A$5001,T$3,BD!$B$3:$B$5001,$A$373,BD!$I$3:$I$5001,"&lt;&gt;")=0,"",SUMIFS(BD!$I$3:$I$5001,BD!$A$3:$A$5001,T$3,BD!$B$3:$B$5001,$A$373)))</f>
        <v/>
      </c>
      <c r="U379" s="205" t="str">
        <f>IF(U$3="","",IF(COUNTIFS(BD!$A$3:$A$5001,U$3,BD!$B$3:$B$5001,$A$373,BD!$I$3:$I$5001,"&lt;&gt;")=0,"",SUMIFS(BD!$I$3:$I$5001,BD!$A$3:$A$5001,U$3,BD!$B$3:$B$5001,$A$373)))</f>
        <v/>
      </c>
      <c r="V379" s="205" t="str">
        <f>IF(V$3="","",IF(COUNTIFS(BD!$A$3:$A$5001,V$3,BD!$B$3:$B$5001,$A$373,BD!$I$3:$I$5001,"&lt;&gt;")=0,"",SUMIFS(BD!$I$3:$I$5001,BD!$A$3:$A$5001,V$3,BD!$B$3:$B$5001,$A$373)))</f>
        <v/>
      </c>
      <c r="W379" s="205" t="str">
        <f>IF(W$3="","",IF(COUNTIFS(BD!$A$3:$A$5001,W$3,BD!$B$3:$B$5001,$A$373,BD!$I$3:$I$5001,"&lt;&gt;")=0,"",SUMIFS(BD!$I$3:$I$5001,BD!$A$3:$A$5001,W$3,BD!$B$3:$B$5001,$A$373)))</f>
        <v/>
      </c>
      <c r="X379" s="205" t="str">
        <f>IF(X$3="","",IF(COUNTIFS(BD!$A$3:$A$5001,X$3,BD!$B$3:$B$5001,$A$373,BD!$I$3:$I$5001,"&lt;&gt;")=0,"",SUMIFS(BD!$I$3:$I$5001,BD!$A$3:$A$5001,X$3,BD!$B$3:$B$5001,$A$373)))</f>
        <v/>
      </c>
      <c r="Y379" s="205" t="str">
        <f>IF(Y$3="","",IF(COUNTIFS(BD!$A$3:$A$5001,Y$3,BD!$B$3:$B$5001,$A$373,BD!$I$3:$I$5001,"&lt;&gt;")=0,"",SUMIFS(BD!$I$3:$I$5001,BD!$A$3:$A$5001,Y$3,BD!$B$3:$B$5001,$A$373)))</f>
        <v/>
      </c>
      <c r="Z379" s="205" t="str">
        <f>IF(Z$3="","",IF(COUNTIFS(BD!$A$3:$A$5001,Z$3,BD!$B$3:$B$5001,$A$373,BD!$I$3:$I$5001,"&lt;&gt;")=0,"",SUMIFS(BD!$I$3:$I$5001,BD!$A$3:$A$5001,Z$3,BD!$B$3:$B$5001,$A$373)))</f>
        <v/>
      </c>
      <c r="AA379" s="205" t="str">
        <f>IF(AA$3="","",IF(COUNTIFS(BD!$A$3:$A$5001,AA$3,BD!$B$3:$B$5001,$A$373,BD!$I$3:$I$5001,"&lt;&gt;")=0,"",SUMIFS(BD!$I$3:$I$5001,BD!$A$3:$A$5001,AA$3,BD!$B$3:$B$5001,$A$373)))</f>
        <v/>
      </c>
      <c r="AB379" s="205" t="str">
        <f>IF(AB$3="","",IF(COUNTIFS(BD!$A$3:$A$5001,AB$3,BD!$B$3:$B$5001,$A$373,BD!$I$3:$I$5001,"&lt;&gt;")=0,"",SUMIFS(BD!$I$3:$I$5001,BD!$A$3:$A$5001,AB$3,BD!$B$3:$B$5001,$A$373)))</f>
        <v/>
      </c>
      <c r="AC379" s="205" t="str">
        <f>IF(AC$3="","",IF(COUNTIFS(BD!$A$3:$A$5001,AC$3,BD!$B$3:$B$5001,$A$373,BD!$I$3:$I$5001,"&lt;&gt;")=0,"",SUMIFS(BD!$I$3:$I$5001,BD!$A$3:$A$5001,AC$3,BD!$B$3:$B$5001,$A$373)))</f>
        <v/>
      </c>
      <c r="AD379" s="205" t="str">
        <f>IF(AD$3="","",IF(COUNTIFS(BD!$A$3:$A$5001,AD$3,BD!$B$3:$B$5001,$A$373,BD!$I$3:$I$5001,"&lt;&gt;")=0,"",SUMIFS(BD!$I$3:$I$5001,BD!$A$3:$A$5001,AD$3,BD!$B$3:$B$5001,$A$373)))</f>
        <v/>
      </c>
      <c r="AE379" s="205" t="str">
        <f>IF(AE$3="","",IF(COUNTIFS(BD!$A$3:$A$5001,AE$3,BD!$B$3:$B$5001,$A$373,BD!$I$3:$I$5001,"&lt;&gt;")=0,"",SUMIFS(BD!$I$3:$I$5001,BD!$A$3:$A$5001,AE$3,BD!$B$3:$B$5001,$A$373)))</f>
        <v/>
      </c>
      <c r="AF379" s="205" t="str">
        <f>IF(AF$3="","",IF(COUNTIFS(BD!$A$3:$A$5001,AF$3,BD!$B$3:$B$5001,$A$373,BD!$I$3:$I$5001,"&lt;&gt;")=0,"",SUMIFS(BD!$I$3:$I$5001,BD!$A$3:$A$5001,AF$3,BD!$B$3:$B$5001,$A$373)))</f>
        <v/>
      </c>
      <c r="AG379" s="205" t="str">
        <f>IF(AG$3="","",IF(COUNTIFS(BD!$A$3:$A$5001,AG$3,BD!$B$3:$B$5001,$A$373,BD!$I$3:$I$5001,"&lt;&gt;")=0,"",SUMIFS(BD!$I$3:$I$5001,BD!$A$3:$A$5001,AG$3,BD!$B$3:$B$5001,$A$373)))</f>
        <v/>
      </c>
      <c r="AH379" s="205" t="str">
        <f>IF(AH$3="","",IF(COUNTIFS(BD!$A$3:$A$5001,AH$3,BD!$B$3:$B$5001,$A$373,BD!$I$3:$I$5001,"&lt;&gt;")=0,"",SUMIFS(BD!$I$3:$I$5001,BD!$A$3:$A$5001,AH$3,BD!$B$3:$B$5001,$A$373)))</f>
        <v/>
      </c>
      <c r="AI379" s="205" t="str">
        <f>IF(AI$3="","",IF(COUNTIFS(BD!$A$3:$A$5001,AI$3,BD!$B$3:$B$5001,$A$373,BD!$I$3:$I$5001,"&lt;&gt;")=0,"",SUMIFS(BD!$I$3:$I$5001,BD!$A$3:$A$5001,AI$3,BD!$B$3:$B$5001,$A$373)))</f>
        <v/>
      </c>
      <c r="AJ379" s="206" t="str">
        <f>IF(AJ$3="","",IF(COUNTIFS(BD!$A$3:$A$5001,AJ$3,BD!$B$3:$B$5001,$A$373,BD!$I$3:$I$5001,"&lt;&gt;")=0,"",SUMIFS(BD!$I$3:$I$5001,BD!$A$3:$A$5001,AJ$3,BD!$B$3:$B$5001,$A$373)))</f>
        <v/>
      </c>
      <c r="AK379" s="207" t="str">
        <f>IF(COUNT(F379:AJ379)=0,"",SUM(F379:AJ379))</f>
        <v/>
      </c>
    </row>
    <row r="380" ht="15.75" customHeight="1" hidden="1">
      <c r="A380" s="244"/>
      <c r="B380" s="239"/>
      <c r="C380" s="201" t="inlineStr">
        <is>
          <t xml:space="preserve">Caixas Fechadas</t>
        </is>
      </c>
      <c r="D380" s="202" t="str">
        <f>IFERROR(1/(1/INDEX(BD!$AJ$30:$BD$30,MATCH($A$373,BD!$AJ$22:$BD$22,0))),"")</f>
        <v/>
      </c>
      <c r="E380" s="203"/>
      <c r="F380" s="204" t="str">
        <f>IF(F$3="","",IF(COUNTIFS(BD!$A$3:$A$5001,F$3,BD!$B$3:$B$5001,$A$373,BD!$J$3:$J$5001,"&lt;&gt;")=0,"",SUMIFS(BD!$J$3:$J$5001,BD!$A$3:$A$5001,F$3,BD!$B$3:$B$5001,$A$373)))</f>
        <v/>
      </c>
      <c r="G380" s="205" t="str">
        <f>IF(G$3="","",IF(COUNTIFS(BD!$A$3:$A$5001,G$3,BD!$B$3:$B$5001,$A$373,BD!$J$3:$J$5001,"&lt;&gt;")=0,"",SUMIFS(BD!$J$3:$J$5001,BD!$A$3:$A$5001,G$3,BD!$B$3:$B$5001,$A$373)))</f>
        <v/>
      </c>
      <c r="H380" s="205" t="str">
        <f>IF(H$3="","",IF(COUNTIFS(BD!$A$3:$A$5001,H$3,BD!$B$3:$B$5001,$A$373,BD!$J$3:$J$5001,"&lt;&gt;")=0,"",SUMIFS(BD!$J$3:$J$5001,BD!$A$3:$A$5001,H$3,BD!$B$3:$B$5001,$A$373)))</f>
        <v/>
      </c>
      <c r="I380" s="205" t="str">
        <f>IF(I$3="","",IF(COUNTIFS(BD!$A$3:$A$5001,I$3,BD!$B$3:$B$5001,$A$373,BD!$J$3:$J$5001,"&lt;&gt;")=0,"",SUMIFS(BD!$J$3:$J$5001,BD!$A$3:$A$5001,I$3,BD!$B$3:$B$5001,$A$373)))</f>
        <v/>
      </c>
      <c r="J380" s="205" t="str">
        <f>IF(J$3="","",IF(COUNTIFS(BD!$A$3:$A$5001,J$3,BD!$B$3:$B$5001,$A$373,BD!$J$3:$J$5001,"&lt;&gt;")=0,"",SUMIFS(BD!$J$3:$J$5001,BD!$A$3:$A$5001,J$3,BD!$B$3:$B$5001,$A$373)))</f>
        <v/>
      </c>
      <c r="K380" s="205" t="str">
        <f>IF(K$3="","",IF(COUNTIFS(BD!$A$3:$A$5001,K$3,BD!$B$3:$B$5001,$A$373,BD!$J$3:$J$5001,"&lt;&gt;")=0,"",SUMIFS(BD!$J$3:$J$5001,BD!$A$3:$A$5001,K$3,BD!$B$3:$B$5001,$A$373)))</f>
        <v/>
      </c>
      <c r="L380" s="205" t="str">
        <f>IF(L$3="","",IF(COUNTIFS(BD!$A$3:$A$5001,L$3,BD!$B$3:$B$5001,$A$373,BD!$J$3:$J$5001,"&lt;&gt;")=0,"",SUMIFS(BD!$J$3:$J$5001,BD!$A$3:$A$5001,L$3,BD!$B$3:$B$5001,$A$373)))</f>
        <v/>
      </c>
      <c r="M380" s="205" t="str">
        <f>IF(M$3="","",IF(COUNTIFS(BD!$A$3:$A$5001,M$3,BD!$B$3:$B$5001,$A$373,BD!$J$3:$J$5001,"&lt;&gt;")=0,"",SUMIFS(BD!$J$3:$J$5001,BD!$A$3:$A$5001,M$3,BD!$B$3:$B$5001,$A$373)))</f>
        <v/>
      </c>
      <c r="N380" s="205" t="str">
        <f>IF(N$3="","",IF(COUNTIFS(BD!$A$3:$A$5001,N$3,BD!$B$3:$B$5001,$A$373,BD!$J$3:$J$5001,"&lt;&gt;")=0,"",SUMIFS(BD!$J$3:$J$5001,BD!$A$3:$A$5001,N$3,BD!$B$3:$B$5001,$A$373)))</f>
        <v/>
      </c>
      <c r="O380" s="205" t="str">
        <f>IF(O$3="","",IF(COUNTIFS(BD!$A$3:$A$5001,O$3,BD!$B$3:$B$5001,$A$373,BD!$J$3:$J$5001,"&lt;&gt;")=0,"",SUMIFS(BD!$J$3:$J$5001,BD!$A$3:$A$5001,O$3,BD!$B$3:$B$5001,$A$373)))</f>
        <v/>
      </c>
      <c r="P380" s="205" t="str">
        <f>IF(P$3="","",IF(COUNTIFS(BD!$A$3:$A$5001,P$3,BD!$B$3:$B$5001,$A$373,BD!$J$3:$J$5001,"&lt;&gt;")=0,"",SUMIFS(BD!$J$3:$J$5001,BD!$A$3:$A$5001,P$3,BD!$B$3:$B$5001,$A$373)))</f>
        <v/>
      </c>
      <c r="Q380" s="205" t="str">
        <f>IF(Q$3="","",IF(COUNTIFS(BD!$A$3:$A$5001,Q$3,BD!$B$3:$B$5001,$A$373,BD!$J$3:$J$5001,"&lt;&gt;")=0,"",SUMIFS(BD!$J$3:$J$5001,BD!$A$3:$A$5001,Q$3,BD!$B$3:$B$5001,$A$373)))</f>
        <v/>
      </c>
      <c r="R380" s="205" t="str">
        <f>IF(R$3="","",IF(COUNTIFS(BD!$A$3:$A$5001,R$3,BD!$B$3:$B$5001,$A$373,BD!$J$3:$J$5001,"&lt;&gt;")=0,"",SUMIFS(BD!$J$3:$J$5001,BD!$A$3:$A$5001,R$3,BD!$B$3:$B$5001,$A$373)))</f>
        <v/>
      </c>
      <c r="S380" s="205" t="str">
        <f>IF(S$3="","",IF(COUNTIFS(BD!$A$3:$A$5001,S$3,BD!$B$3:$B$5001,$A$373,BD!$J$3:$J$5001,"&lt;&gt;")=0,"",SUMIFS(BD!$J$3:$J$5001,BD!$A$3:$A$5001,S$3,BD!$B$3:$B$5001,$A$373)))</f>
        <v/>
      </c>
      <c r="T380" s="205" t="str">
        <f>IF(T$3="","",IF(COUNTIFS(BD!$A$3:$A$5001,T$3,BD!$B$3:$B$5001,$A$373,BD!$J$3:$J$5001,"&lt;&gt;")=0,"",SUMIFS(BD!$J$3:$J$5001,BD!$A$3:$A$5001,T$3,BD!$B$3:$B$5001,$A$373)))</f>
        <v/>
      </c>
      <c r="U380" s="205" t="str">
        <f>IF(U$3="","",IF(COUNTIFS(BD!$A$3:$A$5001,U$3,BD!$B$3:$B$5001,$A$373,BD!$J$3:$J$5001,"&lt;&gt;")=0,"",SUMIFS(BD!$J$3:$J$5001,BD!$A$3:$A$5001,U$3,BD!$B$3:$B$5001,$A$373)))</f>
        <v/>
      </c>
      <c r="V380" s="205" t="str">
        <f>IF(V$3="","",IF(COUNTIFS(BD!$A$3:$A$5001,V$3,BD!$B$3:$B$5001,$A$373,BD!$J$3:$J$5001,"&lt;&gt;")=0,"",SUMIFS(BD!$J$3:$J$5001,BD!$A$3:$A$5001,V$3,BD!$B$3:$B$5001,$A$373)))</f>
        <v/>
      </c>
      <c r="W380" s="205" t="str">
        <f>IF(W$3="","",IF(COUNTIFS(BD!$A$3:$A$5001,W$3,BD!$B$3:$B$5001,$A$373,BD!$J$3:$J$5001,"&lt;&gt;")=0,"",SUMIFS(BD!$J$3:$J$5001,BD!$A$3:$A$5001,W$3,BD!$B$3:$B$5001,$A$373)))</f>
        <v/>
      </c>
      <c r="X380" s="205" t="str">
        <f>IF(X$3="","",IF(COUNTIFS(BD!$A$3:$A$5001,X$3,BD!$B$3:$B$5001,$A$373,BD!$J$3:$J$5001,"&lt;&gt;")=0,"",SUMIFS(BD!$J$3:$J$5001,BD!$A$3:$A$5001,X$3,BD!$B$3:$B$5001,$A$373)))</f>
        <v/>
      </c>
      <c r="Y380" s="205" t="str">
        <f>IF(Y$3="","",IF(COUNTIFS(BD!$A$3:$A$5001,Y$3,BD!$B$3:$B$5001,$A$373,BD!$J$3:$J$5001,"&lt;&gt;")=0,"",SUMIFS(BD!$J$3:$J$5001,BD!$A$3:$A$5001,Y$3,BD!$B$3:$B$5001,$A$373)))</f>
        <v/>
      </c>
      <c r="Z380" s="205" t="str">
        <f>IF(Z$3="","",IF(COUNTIFS(BD!$A$3:$A$5001,Z$3,BD!$B$3:$B$5001,$A$373,BD!$J$3:$J$5001,"&lt;&gt;")=0,"",SUMIFS(BD!$J$3:$J$5001,BD!$A$3:$A$5001,Z$3,BD!$B$3:$B$5001,$A$373)))</f>
        <v/>
      </c>
      <c r="AA380" s="205" t="str">
        <f>IF(AA$3="","",IF(COUNTIFS(BD!$A$3:$A$5001,AA$3,BD!$B$3:$B$5001,$A$373,BD!$J$3:$J$5001,"&lt;&gt;")=0,"",SUMIFS(BD!$J$3:$J$5001,BD!$A$3:$A$5001,AA$3,BD!$B$3:$B$5001,$A$373)))</f>
        <v/>
      </c>
      <c r="AB380" s="205" t="str">
        <f>IF(AB$3="","",IF(COUNTIFS(BD!$A$3:$A$5001,AB$3,BD!$B$3:$B$5001,$A$373,BD!$J$3:$J$5001,"&lt;&gt;")=0,"",SUMIFS(BD!$J$3:$J$5001,BD!$A$3:$A$5001,AB$3,BD!$B$3:$B$5001,$A$373)))</f>
        <v/>
      </c>
      <c r="AC380" s="205" t="str">
        <f>IF(AC$3="","",IF(COUNTIFS(BD!$A$3:$A$5001,AC$3,BD!$B$3:$B$5001,$A$373,BD!$J$3:$J$5001,"&lt;&gt;")=0,"",SUMIFS(BD!$J$3:$J$5001,BD!$A$3:$A$5001,AC$3,BD!$B$3:$B$5001,$A$373)))</f>
        <v/>
      </c>
      <c r="AD380" s="205" t="str">
        <f>IF(AD$3="","",IF(COUNTIFS(BD!$A$3:$A$5001,AD$3,BD!$B$3:$B$5001,$A$373,BD!$J$3:$J$5001,"&lt;&gt;")=0,"",SUMIFS(BD!$J$3:$J$5001,BD!$A$3:$A$5001,AD$3,BD!$B$3:$B$5001,$A$373)))</f>
        <v/>
      </c>
      <c r="AE380" s="205" t="str">
        <f>IF(AE$3="","",IF(COUNTIFS(BD!$A$3:$A$5001,AE$3,BD!$B$3:$B$5001,$A$373,BD!$J$3:$J$5001,"&lt;&gt;")=0,"",SUMIFS(BD!$J$3:$J$5001,BD!$A$3:$A$5001,AE$3,BD!$B$3:$B$5001,$A$373)))</f>
        <v/>
      </c>
      <c r="AF380" s="205" t="str">
        <f>IF(AF$3="","",IF(COUNTIFS(BD!$A$3:$A$5001,AF$3,BD!$B$3:$B$5001,$A$373,BD!$J$3:$J$5001,"&lt;&gt;")=0,"",SUMIFS(BD!$J$3:$J$5001,BD!$A$3:$A$5001,AF$3,BD!$B$3:$B$5001,$A$373)))</f>
        <v/>
      </c>
      <c r="AG380" s="205" t="str">
        <f>IF(AG$3="","",IF(COUNTIFS(BD!$A$3:$A$5001,AG$3,BD!$B$3:$B$5001,$A$373,BD!$J$3:$J$5001,"&lt;&gt;")=0,"",SUMIFS(BD!$J$3:$J$5001,BD!$A$3:$A$5001,AG$3,BD!$B$3:$B$5001,$A$373)))</f>
        <v/>
      </c>
      <c r="AH380" s="205" t="str">
        <f>IF(AH$3="","",IF(COUNTIFS(BD!$A$3:$A$5001,AH$3,BD!$B$3:$B$5001,$A$373,BD!$J$3:$J$5001,"&lt;&gt;")=0,"",SUMIFS(BD!$J$3:$J$5001,BD!$A$3:$A$5001,AH$3,BD!$B$3:$B$5001,$A$373)))</f>
        <v/>
      </c>
      <c r="AI380" s="205" t="str">
        <f>IF(AI$3="","",IF(COUNTIFS(BD!$A$3:$A$5001,AI$3,BD!$B$3:$B$5001,$A$373,BD!$J$3:$J$5001,"&lt;&gt;")=0,"",SUMIFS(BD!$J$3:$J$5001,BD!$A$3:$A$5001,AI$3,BD!$B$3:$B$5001,$A$373)))</f>
        <v/>
      </c>
      <c r="AJ380" s="206" t="str">
        <f>IF(AJ$3="","",IF(COUNTIFS(BD!$A$3:$A$5001,AJ$3,BD!$B$3:$B$5001,$A$373,BD!$J$3:$J$5001,"&lt;&gt;")=0,"",SUMIFS(BD!$J$3:$J$5001,BD!$A$3:$A$5001,AJ$3,BD!$B$3:$B$5001,$A$373)))</f>
        <v/>
      </c>
      <c r="AK380" s="207" t="str">
        <f>IF(COUNT(F380:AJ380)=0,"",SUM(F380:AJ380))</f>
        <v/>
      </c>
    </row>
    <row r="381" ht="15.75" customHeight="1" hidden="1">
      <c r="A381" s="244"/>
      <c r="B381" s="233"/>
      <c r="C381" s="162" t="inlineStr">
        <is>
          <t xml:space="preserve">Caixas Mistas Recebidas</t>
        </is>
      </c>
      <c r="D381" s="163" t="str">
        <f>IFERROR(1/(1/INDEX(BD!$AJ$31:$BD$31,MATCH($A$373,BD!$AJ$22:$BD$22,0))),"")</f>
        <v/>
      </c>
      <c r="E381" s="164"/>
      <c r="F381" s="165" t="str">
        <f>IF(F$3="","",IF(COUNTIFS(BD!$A$3:$A$5001,F$3,BD!$B$3:$B$5001,$A$373,BD!$K$3:$K$5001,"&lt;&gt;")=0,"",SUMIFS(BD!$K$3:$K$5001,BD!$A$3:$A$5001,F$3,BD!$B$3:$B$5001,$A$373)))</f>
        <v/>
      </c>
      <c r="G381" s="166" t="str">
        <f>IF(G$3="","",IF(COUNTIFS(BD!$A$3:$A$5001,G$3,BD!$B$3:$B$5001,$A$373,BD!$K$3:$K$5001,"&lt;&gt;")=0,"",SUMIFS(BD!$K$3:$K$5001,BD!$A$3:$A$5001,G$3,BD!$B$3:$B$5001,$A$373)))</f>
        <v/>
      </c>
      <c r="H381" s="166" t="str">
        <f>IF(H$3="","",IF(COUNTIFS(BD!$A$3:$A$5001,H$3,BD!$B$3:$B$5001,$A$373,BD!$K$3:$K$5001,"&lt;&gt;")=0,"",SUMIFS(BD!$K$3:$K$5001,BD!$A$3:$A$5001,H$3,BD!$B$3:$B$5001,$A$373)))</f>
        <v/>
      </c>
      <c r="I381" s="166" t="str">
        <f>IF(I$3="","",IF(COUNTIFS(BD!$A$3:$A$5001,I$3,BD!$B$3:$B$5001,$A$373,BD!$K$3:$K$5001,"&lt;&gt;")=0,"",SUMIFS(BD!$K$3:$K$5001,BD!$A$3:$A$5001,I$3,BD!$B$3:$B$5001,$A$373)))</f>
        <v/>
      </c>
      <c r="J381" s="166" t="str">
        <f>IF(J$3="","",IF(COUNTIFS(BD!$A$3:$A$5001,J$3,BD!$B$3:$B$5001,$A$373,BD!$K$3:$K$5001,"&lt;&gt;")=0,"",SUMIFS(BD!$K$3:$K$5001,BD!$A$3:$A$5001,J$3,BD!$B$3:$B$5001,$A$373)))</f>
        <v/>
      </c>
      <c r="K381" s="166" t="str">
        <f>IF(K$3="","",IF(COUNTIFS(BD!$A$3:$A$5001,K$3,BD!$B$3:$B$5001,$A$373,BD!$K$3:$K$5001,"&lt;&gt;")=0,"",SUMIFS(BD!$K$3:$K$5001,BD!$A$3:$A$5001,K$3,BD!$B$3:$B$5001,$A$373)))</f>
        <v/>
      </c>
      <c r="L381" s="166" t="str">
        <f>IF(L$3="","",IF(COUNTIFS(BD!$A$3:$A$5001,L$3,BD!$B$3:$B$5001,$A$373,BD!$K$3:$K$5001,"&lt;&gt;")=0,"",SUMIFS(BD!$K$3:$K$5001,BD!$A$3:$A$5001,L$3,BD!$B$3:$B$5001,$A$373)))</f>
        <v/>
      </c>
      <c r="M381" s="166" t="str">
        <f>IF(M$3="","",IF(COUNTIFS(BD!$A$3:$A$5001,M$3,BD!$B$3:$B$5001,$A$373,BD!$K$3:$K$5001,"&lt;&gt;")=0,"",SUMIFS(BD!$K$3:$K$5001,BD!$A$3:$A$5001,M$3,BD!$B$3:$B$5001,$A$373)))</f>
        <v/>
      </c>
      <c r="N381" s="166" t="str">
        <f>IF(N$3="","",IF(COUNTIFS(BD!$A$3:$A$5001,N$3,BD!$B$3:$B$5001,$A$373,BD!$K$3:$K$5001,"&lt;&gt;")=0,"",SUMIFS(BD!$K$3:$K$5001,BD!$A$3:$A$5001,N$3,BD!$B$3:$B$5001,$A$373)))</f>
        <v/>
      </c>
      <c r="O381" s="166" t="str">
        <f>IF(O$3="","",IF(COUNTIFS(BD!$A$3:$A$5001,O$3,BD!$B$3:$B$5001,$A$373,BD!$K$3:$K$5001,"&lt;&gt;")=0,"",SUMIFS(BD!$K$3:$K$5001,BD!$A$3:$A$5001,O$3,BD!$B$3:$B$5001,$A$373)))</f>
        <v/>
      </c>
      <c r="P381" s="166" t="str">
        <f>IF(P$3="","",IF(COUNTIFS(BD!$A$3:$A$5001,P$3,BD!$B$3:$B$5001,$A$373,BD!$K$3:$K$5001,"&lt;&gt;")=0,"",SUMIFS(BD!$K$3:$K$5001,BD!$A$3:$A$5001,P$3,BD!$B$3:$B$5001,$A$373)))</f>
        <v/>
      </c>
      <c r="Q381" s="166" t="str">
        <f>IF(Q$3="","",IF(COUNTIFS(BD!$A$3:$A$5001,Q$3,BD!$B$3:$B$5001,$A$373,BD!$K$3:$K$5001,"&lt;&gt;")=0,"",SUMIFS(BD!$K$3:$K$5001,BD!$A$3:$A$5001,Q$3,BD!$B$3:$B$5001,$A$373)))</f>
        <v/>
      </c>
      <c r="R381" s="166" t="str">
        <f>IF(R$3="","",IF(COUNTIFS(BD!$A$3:$A$5001,R$3,BD!$B$3:$B$5001,$A$373,BD!$K$3:$K$5001,"&lt;&gt;")=0,"",SUMIFS(BD!$K$3:$K$5001,BD!$A$3:$A$5001,R$3,BD!$B$3:$B$5001,$A$373)))</f>
        <v/>
      </c>
      <c r="S381" s="166" t="str">
        <f>IF(S$3="","",IF(COUNTIFS(BD!$A$3:$A$5001,S$3,BD!$B$3:$B$5001,$A$373,BD!$K$3:$K$5001,"&lt;&gt;")=0,"",SUMIFS(BD!$K$3:$K$5001,BD!$A$3:$A$5001,S$3,BD!$B$3:$B$5001,$A$373)))</f>
        <v/>
      </c>
      <c r="T381" s="166" t="str">
        <f>IF(T$3="","",IF(COUNTIFS(BD!$A$3:$A$5001,T$3,BD!$B$3:$B$5001,$A$373,BD!$K$3:$K$5001,"&lt;&gt;")=0,"",SUMIFS(BD!$K$3:$K$5001,BD!$A$3:$A$5001,T$3,BD!$B$3:$B$5001,$A$373)))</f>
        <v/>
      </c>
      <c r="U381" s="166" t="str">
        <f>IF(U$3="","",IF(COUNTIFS(BD!$A$3:$A$5001,U$3,BD!$B$3:$B$5001,$A$373,BD!$K$3:$K$5001,"&lt;&gt;")=0,"",SUMIFS(BD!$K$3:$K$5001,BD!$A$3:$A$5001,U$3,BD!$B$3:$B$5001,$A$373)))</f>
        <v/>
      </c>
      <c r="V381" s="166" t="str">
        <f>IF(V$3="","",IF(COUNTIFS(BD!$A$3:$A$5001,V$3,BD!$B$3:$B$5001,$A$373,BD!$K$3:$K$5001,"&lt;&gt;")=0,"",SUMIFS(BD!$K$3:$K$5001,BD!$A$3:$A$5001,V$3,BD!$B$3:$B$5001,$A$373)))</f>
        <v/>
      </c>
      <c r="W381" s="166" t="str">
        <f>IF(W$3="","",IF(COUNTIFS(BD!$A$3:$A$5001,W$3,BD!$B$3:$B$5001,$A$373,BD!$K$3:$K$5001,"&lt;&gt;")=0,"",SUMIFS(BD!$K$3:$K$5001,BD!$A$3:$A$5001,W$3,BD!$B$3:$B$5001,$A$373)))</f>
        <v/>
      </c>
      <c r="X381" s="166" t="str">
        <f>IF(X$3="","",IF(COUNTIFS(BD!$A$3:$A$5001,X$3,BD!$B$3:$B$5001,$A$373,BD!$K$3:$K$5001,"&lt;&gt;")=0,"",SUMIFS(BD!$K$3:$K$5001,BD!$A$3:$A$5001,X$3,BD!$B$3:$B$5001,$A$373)))</f>
        <v/>
      </c>
      <c r="Y381" s="166" t="str">
        <f>IF(Y$3="","",IF(COUNTIFS(BD!$A$3:$A$5001,Y$3,BD!$B$3:$B$5001,$A$373,BD!$K$3:$K$5001,"&lt;&gt;")=0,"",SUMIFS(BD!$K$3:$K$5001,BD!$A$3:$A$5001,Y$3,BD!$B$3:$B$5001,$A$373)))</f>
        <v/>
      </c>
      <c r="Z381" s="166" t="str">
        <f>IF(Z$3="","",IF(COUNTIFS(BD!$A$3:$A$5001,Z$3,BD!$B$3:$B$5001,$A$373,BD!$K$3:$K$5001,"&lt;&gt;")=0,"",SUMIFS(BD!$K$3:$K$5001,BD!$A$3:$A$5001,Z$3,BD!$B$3:$B$5001,$A$373)))</f>
        <v/>
      </c>
      <c r="AA381" s="166" t="str">
        <f>IF(AA$3="","",IF(COUNTIFS(BD!$A$3:$A$5001,AA$3,BD!$B$3:$B$5001,$A$373,BD!$K$3:$K$5001,"&lt;&gt;")=0,"",SUMIFS(BD!$K$3:$K$5001,BD!$A$3:$A$5001,AA$3,BD!$B$3:$B$5001,$A$373)))</f>
        <v/>
      </c>
      <c r="AB381" s="166" t="str">
        <f>IF(AB$3="","",IF(COUNTIFS(BD!$A$3:$A$5001,AB$3,BD!$B$3:$B$5001,$A$373,BD!$K$3:$K$5001,"&lt;&gt;")=0,"",SUMIFS(BD!$K$3:$K$5001,BD!$A$3:$A$5001,AB$3,BD!$B$3:$B$5001,$A$373)))</f>
        <v/>
      </c>
      <c r="AC381" s="166" t="str">
        <f>IF(AC$3="","",IF(COUNTIFS(BD!$A$3:$A$5001,AC$3,BD!$B$3:$B$5001,$A$373,BD!$K$3:$K$5001,"&lt;&gt;")=0,"",SUMIFS(BD!$K$3:$K$5001,BD!$A$3:$A$5001,AC$3,BD!$B$3:$B$5001,$A$373)))</f>
        <v/>
      </c>
      <c r="AD381" s="166" t="str">
        <f>IF(AD$3="","",IF(COUNTIFS(BD!$A$3:$A$5001,AD$3,BD!$B$3:$B$5001,$A$373,BD!$K$3:$K$5001,"&lt;&gt;")=0,"",SUMIFS(BD!$K$3:$K$5001,BD!$A$3:$A$5001,AD$3,BD!$B$3:$B$5001,$A$373)))</f>
        <v/>
      </c>
      <c r="AE381" s="166" t="str">
        <f>IF(AE$3="","",IF(COUNTIFS(BD!$A$3:$A$5001,AE$3,BD!$B$3:$B$5001,$A$373,BD!$K$3:$K$5001,"&lt;&gt;")=0,"",SUMIFS(BD!$K$3:$K$5001,BD!$A$3:$A$5001,AE$3,BD!$B$3:$B$5001,$A$373)))</f>
        <v/>
      </c>
      <c r="AF381" s="166" t="str">
        <f>IF(AF$3="","",IF(COUNTIFS(BD!$A$3:$A$5001,AF$3,BD!$B$3:$B$5001,$A$373,BD!$K$3:$K$5001,"&lt;&gt;")=0,"",SUMIFS(BD!$K$3:$K$5001,BD!$A$3:$A$5001,AF$3,BD!$B$3:$B$5001,$A$373)))</f>
        <v/>
      </c>
      <c r="AG381" s="166" t="str">
        <f>IF(AG$3="","",IF(COUNTIFS(BD!$A$3:$A$5001,AG$3,BD!$B$3:$B$5001,$A$373,BD!$K$3:$K$5001,"&lt;&gt;")=0,"",SUMIFS(BD!$K$3:$K$5001,BD!$A$3:$A$5001,AG$3,BD!$B$3:$B$5001,$A$373)))</f>
        <v/>
      </c>
      <c r="AH381" s="166" t="str">
        <f>IF(AH$3="","",IF(COUNTIFS(BD!$A$3:$A$5001,AH$3,BD!$B$3:$B$5001,$A$373,BD!$K$3:$K$5001,"&lt;&gt;")=0,"",SUMIFS(BD!$K$3:$K$5001,BD!$A$3:$A$5001,AH$3,BD!$B$3:$B$5001,$A$373)))</f>
        <v/>
      </c>
      <c r="AI381" s="166" t="str">
        <f>IF(AI$3="","",IF(COUNTIFS(BD!$A$3:$A$5001,AI$3,BD!$B$3:$B$5001,$A$373,BD!$K$3:$K$5001,"&lt;&gt;")=0,"",SUMIFS(BD!$K$3:$K$5001,BD!$A$3:$A$5001,AI$3,BD!$B$3:$B$5001,$A$373)))</f>
        <v/>
      </c>
      <c r="AJ381" s="167" t="str">
        <f>IF(AJ$3="","",IF(COUNTIFS(BD!$A$3:$A$5001,AJ$3,BD!$B$3:$B$5001,$A$373,BD!$K$3:$K$5001,"&lt;&gt;")=0,"",SUMIFS(BD!$K$3:$K$5001,BD!$A$3:$A$5001,AJ$3,BD!$B$3:$B$5001,$A$373)))</f>
        <v/>
      </c>
      <c r="AK381" s="163" t="str">
        <f>IF(COUNT(F381:AJ381)=0,"",SUM(F381:AJ381))</f>
        <v/>
      </c>
    </row>
    <row r="382" ht="15.75" customHeight="1" hidden="1">
      <c r="A382" s="244"/>
      <c r="B382" s="234" t="inlineStr">
        <is>
          <t xml:space="preserve">OUT</t>
        </is>
      </c>
      <c r="C382" s="168" t="inlineStr">
        <is>
          <t xml:space="preserve">Veículos Expedidos</t>
        </is>
      </c>
      <c r="D382" s="169" t="str">
        <f>IFERROR(1/(1/INDEX(BD!$AJ$32:$BD$32,MATCH($A$373,BD!$AJ$22:$BD$22,0))),"")</f>
        <v/>
      </c>
      <c r="E382" s="170"/>
      <c r="F382" s="171" t="str">
        <f>IF(F$3="","",IF(COUNTIFS(BD!$A$3:$A$5001,F$3,BD!$B$3:$B$5001,$A$373,BD!$L$3:$L$5001,"&lt;&gt;")=0,"",SUMIFS(BD!$L$3:$L$5001,BD!$A$3:$A$5001,F$3,BD!$B$3:$B$5001,$A$373)))</f>
        <v/>
      </c>
      <c r="G382" s="172" t="str">
        <f>IF(G$3="","",IF(COUNTIFS(BD!$A$3:$A$5001,G$3,BD!$B$3:$B$5001,$A$373,BD!$L$3:$L$5001,"&lt;&gt;")=0,"",SUMIFS(BD!$L$3:$L$5001,BD!$A$3:$A$5001,G$3,BD!$B$3:$B$5001,$A$373)))</f>
        <v/>
      </c>
      <c r="H382" s="172" t="str">
        <f>IF(H$3="","",IF(COUNTIFS(BD!$A$3:$A$5001,H$3,BD!$B$3:$B$5001,$A$373,BD!$L$3:$L$5001,"&lt;&gt;")=0,"",SUMIFS(BD!$L$3:$L$5001,BD!$A$3:$A$5001,H$3,BD!$B$3:$B$5001,$A$373)))</f>
        <v/>
      </c>
      <c r="I382" s="172" t="str">
        <f>IF(I$3="","",IF(COUNTIFS(BD!$A$3:$A$5001,I$3,BD!$B$3:$B$5001,$A$373,BD!$L$3:$L$5001,"&lt;&gt;")=0,"",SUMIFS(BD!$L$3:$L$5001,BD!$A$3:$A$5001,I$3,BD!$B$3:$B$5001,$A$373)))</f>
        <v/>
      </c>
      <c r="J382" s="172" t="str">
        <f>IF(J$3="","",IF(COUNTIFS(BD!$A$3:$A$5001,J$3,BD!$B$3:$B$5001,$A$373,BD!$L$3:$L$5001,"&lt;&gt;")=0,"",SUMIFS(BD!$L$3:$L$5001,BD!$A$3:$A$5001,J$3,BD!$B$3:$B$5001,$A$373)))</f>
        <v/>
      </c>
      <c r="K382" s="172" t="str">
        <f>IF(K$3="","",IF(COUNTIFS(BD!$A$3:$A$5001,K$3,BD!$B$3:$B$5001,$A$373,BD!$L$3:$L$5001,"&lt;&gt;")=0,"",SUMIFS(BD!$L$3:$L$5001,BD!$A$3:$A$5001,K$3,BD!$B$3:$B$5001,$A$373)))</f>
        <v/>
      </c>
      <c r="L382" s="172" t="str">
        <f>IF(L$3="","",IF(COUNTIFS(BD!$A$3:$A$5001,L$3,BD!$B$3:$B$5001,$A$373,BD!$L$3:$L$5001,"&lt;&gt;")=0,"",SUMIFS(BD!$L$3:$L$5001,BD!$A$3:$A$5001,L$3,BD!$B$3:$B$5001,$A$373)))</f>
        <v/>
      </c>
      <c r="M382" s="172" t="str">
        <f>IF(M$3="","",IF(COUNTIFS(BD!$A$3:$A$5001,M$3,BD!$B$3:$B$5001,$A$373,BD!$L$3:$L$5001,"&lt;&gt;")=0,"",SUMIFS(BD!$L$3:$L$5001,BD!$A$3:$A$5001,M$3,BD!$B$3:$B$5001,$A$373)))</f>
        <v/>
      </c>
      <c r="N382" s="172" t="str">
        <f>IF(N$3="","",IF(COUNTIFS(BD!$A$3:$A$5001,N$3,BD!$B$3:$B$5001,$A$373,BD!$L$3:$L$5001,"&lt;&gt;")=0,"",SUMIFS(BD!$L$3:$L$5001,BD!$A$3:$A$5001,N$3,BD!$B$3:$B$5001,$A$373)))</f>
        <v/>
      </c>
      <c r="O382" s="172" t="str">
        <f>IF(O$3="","",IF(COUNTIFS(BD!$A$3:$A$5001,O$3,BD!$B$3:$B$5001,$A$373,BD!$L$3:$L$5001,"&lt;&gt;")=0,"",SUMIFS(BD!$L$3:$L$5001,BD!$A$3:$A$5001,O$3,BD!$B$3:$B$5001,$A$373)))</f>
        <v/>
      </c>
      <c r="P382" s="172" t="str">
        <f>IF(P$3="","",IF(COUNTIFS(BD!$A$3:$A$5001,P$3,BD!$B$3:$B$5001,$A$373,BD!$L$3:$L$5001,"&lt;&gt;")=0,"",SUMIFS(BD!$L$3:$L$5001,BD!$A$3:$A$5001,P$3,BD!$B$3:$B$5001,$A$373)))</f>
        <v/>
      </c>
      <c r="Q382" s="172" t="str">
        <f>IF(Q$3="","",IF(COUNTIFS(BD!$A$3:$A$5001,Q$3,BD!$B$3:$B$5001,$A$373,BD!$L$3:$L$5001,"&lt;&gt;")=0,"",SUMIFS(BD!$L$3:$L$5001,BD!$A$3:$A$5001,Q$3,BD!$B$3:$B$5001,$A$373)))</f>
        <v/>
      </c>
      <c r="R382" s="172" t="str">
        <f>IF(R$3="","",IF(COUNTIFS(BD!$A$3:$A$5001,R$3,BD!$B$3:$B$5001,$A$373,BD!$L$3:$L$5001,"&lt;&gt;")=0,"",SUMIFS(BD!$L$3:$L$5001,BD!$A$3:$A$5001,R$3,BD!$B$3:$B$5001,$A$373)))</f>
        <v/>
      </c>
      <c r="S382" s="172" t="str">
        <f>IF(S$3="","",IF(COUNTIFS(BD!$A$3:$A$5001,S$3,BD!$B$3:$B$5001,$A$373,BD!$L$3:$L$5001,"&lt;&gt;")=0,"",SUMIFS(BD!$L$3:$L$5001,BD!$A$3:$A$5001,S$3,BD!$B$3:$B$5001,$A$373)))</f>
        <v/>
      </c>
      <c r="T382" s="172" t="str">
        <f>IF(T$3="","",IF(COUNTIFS(BD!$A$3:$A$5001,T$3,BD!$B$3:$B$5001,$A$373,BD!$L$3:$L$5001,"&lt;&gt;")=0,"",SUMIFS(BD!$L$3:$L$5001,BD!$A$3:$A$5001,T$3,BD!$B$3:$B$5001,$A$373)))</f>
        <v/>
      </c>
      <c r="U382" s="172" t="str">
        <f>IF(U$3="","",IF(COUNTIFS(BD!$A$3:$A$5001,U$3,BD!$B$3:$B$5001,$A$373,BD!$L$3:$L$5001,"&lt;&gt;")=0,"",SUMIFS(BD!$L$3:$L$5001,BD!$A$3:$A$5001,U$3,BD!$B$3:$B$5001,$A$373)))</f>
        <v/>
      </c>
      <c r="V382" s="172" t="str">
        <f>IF(V$3="","",IF(COUNTIFS(BD!$A$3:$A$5001,V$3,BD!$B$3:$B$5001,$A$373,BD!$L$3:$L$5001,"&lt;&gt;")=0,"",SUMIFS(BD!$L$3:$L$5001,BD!$A$3:$A$5001,V$3,BD!$B$3:$B$5001,$A$373)))</f>
        <v/>
      </c>
      <c r="W382" s="172" t="str">
        <f>IF(W$3="","",IF(COUNTIFS(BD!$A$3:$A$5001,W$3,BD!$B$3:$B$5001,$A$373,BD!$L$3:$L$5001,"&lt;&gt;")=0,"",SUMIFS(BD!$L$3:$L$5001,BD!$A$3:$A$5001,W$3,BD!$B$3:$B$5001,$A$373)))</f>
        <v/>
      </c>
      <c r="X382" s="172" t="str">
        <f>IF(X$3="","",IF(COUNTIFS(BD!$A$3:$A$5001,X$3,BD!$B$3:$B$5001,$A$373,BD!$L$3:$L$5001,"&lt;&gt;")=0,"",SUMIFS(BD!$L$3:$L$5001,BD!$A$3:$A$5001,X$3,BD!$B$3:$B$5001,$A$373)))</f>
        <v/>
      </c>
      <c r="Y382" s="172" t="str">
        <f>IF(Y$3="","",IF(COUNTIFS(BD!$A$3:$A$5001,Y$3,BD!$B$3:$B$5001,$A$373,BD!$L$3:$L$5001,"&lt;&gt;")=0,"",SUMIFS(BD!$L$3:$L$5001,BD!$A$3:$A$5001,Y$3,BD!$B$3:$B$5001,$A$373)))</f>
        <v/>
      </c>
      <c r="Z382" s="172" t="str">
        <f>IF(Z$3="","",IF(COUNTIFS(BD!$A$3:$A$5001,Z$3,BD!$B$3:$B$5001,$A$373,BD!$L$3:$L$5001,"&lt;&gt;")=0,"",SUMIFS(BD!$L$3:$L$5001,BD!$A$3:$A$5001,Z$3,BD!$B$3:$B$5001,$A$373)))</f>
        <v/>
      </c>
      <c r="AA382" s="172" t="str">
        <f>IF(AA$3="","",IF(COUNTIFS(BD!$A$3:$A$5001,AA$3,BD!$B$3:$B$5001,$A$373,BD!$L$3:$L$5001,"&lt;&gt;")=0,"",SUMIFS(BD!$L$3:$L$5001,BD!$A$3:$A$5001,AA$3,BD!$B$3:$B$5001,$A$373)))</f>
        <v/>
      </c>
      <c r="AB382" s="172" t="str">
        <f>IF(AB$3="","",IF(COUNTIFS(BD!$A$3:$A$5001,AB$3,BD!$B$3:$B$5001,$A$373,BD!$L$3:$L$5001,"&lt;&gt;")=0,"",SUMIFS(BD!$L$3:$L$5001,BD!$A$3:$A$5001,AB$3,BD!$B$3:$B$5001,$A$373)))</f>
        <v/>
      </c>
      <c r="AC382" s="172" t="str">
        <f>IF(AC$3="","",IF(COUNTIFS(BD!$A$3:$A$5001,AC$3,BD!$B$3:$B$5001,$A$373,BD!$L$3:$L$5001,"&lt;&gt;")=0,"",SUMIFS(BD!$L$3:$L$5001,BD!$A$3:$A$5001,AC$3,BD!$B$3:$B$5001,$A$373)))</f>
        <v/>
      </c>
      <c r="AD382" s="172" t="str">
        <f>IF(AD$3="","",IF(COUNTIFS(BD!$A$3:$A$5001,AD$3,BD!$B$3:$B$5001,$A$373,BD!$L$3:$L$5001,"&lt;&gt;")=0,"",SUMIFS(BD!$L$3:$L$5001,BD!$A$3:$A$5001,AD$3,BD!$B$3:$B$5001,$A$373)))</f>
        <v/>
      </c>
      <c r="AE382" s="172" t="str">
        <f>IF(AE$3="","",IF(COUNTIFS(BD!$A$3:$A$5001,AE$3,BD!$B$3:$B$5001,$A$373,BD!$L$3:$L$5001,"&lt;&gt;")=0,"",SUMIFS(BD!$L$3:$L$5001,BD!$A$3:$A$5001,AE$3,BD!$B$3:$B$5001,$A$373)))</f>
        <v/>
      </c>
      <c r="AF382" s="172" t="str">
        <f>IF(AF$3="","",IF(COUNTIFS(BD!$A$3:$A$5001,AF$3,BD!$B$3:$B$5001,$A$373,BD!$L$3:$L$5001,"&lt;&gt;")=0,"",SUMIFS(BD!$L$3:$L$5001,BD!$A$3:$A$5001,AF$3,BD!$B$3:$B$5001,$A$373)))</f>
        <v/>
      </c>
      <c r="AG382" s="172" t="str">
        <f>IF(AG$3="","",IF(COUNTIFS(BD!$A$3:$A$5001,AG$3,BD!$B$3:$B$5001,$A$373,BD!$L$3:$L$5001,"&lt;&gt;")=0,"",SUMIFS(BD!$L$3:$L$5001,BD!$A$3:$A$5001,AG$3,BD!$B$3:$B$5001,$A$373)))</f>
        <v/>
      </c>
      <c r="AH382" s="172" t="str">
        <f>IF(AH$3="","",IF(COUNTIFS(BD!$A$3:$A$5001,AH$3,BD!$B$3:$B$5001,$A$373,BD!$L$3:$L$5001,"&lt;&gt;")=0,"",SUMIFS(BD!$L$3:$L$5001,BD!$A$3:$A$5001,AH$3,BD!$B$3:$B$5001,$A$373)))</f>
        <v/>
      </c>
      <c r="AI382" s="172" t="str">
        <f>IF(AI$3="","",IF(COUNTIFS(BD!$A$3:$A$5001,AI$3,BD!$B$3:$B$5001,$A$373,BD!$L$3:$L$5001,"&lt;&gt;")=0,"",SUMIFS(BD!$L$3:$L$5001,BD!$A$3:$A$5001,AI$3,BD!$B$3:$B$5001,$A$373)))</f>
        <v/>
      </c>
      <c r="AJ382" s="173" t="str">
        <f>IF(AJ$3="","",IF(COUNTIFS(BD!$A$3:$A$5001,AJ$3,BD!$B$3:$B$5001,$A$373,BD!$L$3:$L$5001,"&lt;&gt;")=0,"",SUMIFS(BD!$L$3:$L$5001,BD!$A$3:$A$5001,AJ$3,BD!$B$3:$B$5001,$A$373)))</f>
        <v/>
      </c>
      <c r="AK382" s="174" t="str">
        <f>IF(COUNT(F382:AJ382)=0,"",SUM(F382:AJ382))</f>
        <v/>
      </c>
    </row>
    <row r="383" ht="15.75" customHeight="1" hidden="1">
      <c r="A383" s="244"/>
      <c r="B383" s="261"/>
      <c r="C383" s="250" t="inlineStr">
        <is>
          <t xml:space="preserve">Pedidos Expedidos</t>
        </is>
      </c>
      <c r="D383" s="251" t="str">
        <f>IFERROR(1/(1/INDEX(BD!$AJ$33:$BD$33,MATCH($A$373,BD!$AJ$22:$BD$22,0))),"")</f>
        <v/>
      </c>
      <c r="E383" s="252"/>
      <c r="F383" s="253" t="str">
        <f>IF(F$3="","",IF(COUNTIFS(BD!$A$3:$A$5001,F$3,BD!$B$3:$B$5001,$A$373,BD!$M$3:$M$5001,"&lt;&gt;")=0,"",SUMIFS(BD!$M$3:$M$5001,BD!$A$3:$A$5001,F$3,BD!$B$3:$B$5001,$A$373)))</f>
        <v/>
      </c>
      <c r="G383" s="254" t="str">
        <f>IF(G$3="","",IF(COUNTIFS(BD!$A$3:$A$5001,G$3,BD!$B$3:$B$5001,$A$373,BD!$M$3:$M$5001,"&lt;&gt;")=0,"",SUMIFS(BD!$M$3:$M$5001,BD!$A$3:$A$5001,G$3,BD!$B$3:$B$5001,$A$373)))</f>
        <v/>
      </c>
      <c r="H383" s="254" t="str">
        <f>IF(H$3="","",IF(COUNTIFS(BD!$A$3:$A$5001,H$3,BD!$B$3:$B$5001,$A$373,BD!$M$3:$M$5001,"&lt;&gt;")=0,"",SUMIFS(BD!$M$3:$M$5001,BD!$A$3:$A$5001,H$3,BD!$B$3:$B$5001,$A$373)))</f>
        <v/>
      </c>
      <c r="I383" s="254" t="str">
        <f>IF(I$3="","",IF(COUNTIFS(BD!$A$3:$A$5001,I$3,BD!$B$3:$B$5001,$A$373,BD!$M$3:$M$5001,"&lt;&gt;")=0,"",SUMIFS(BD!$M$3:$M$5001,BD!$A$3:$A$5001,I$3,BD!$B$3:$B$5001,$A$373)))</f>
        <v/>
      </c>
      <c r="J383" s="254" t="str">
        <f>IF(J$3="","",IF(COUNTIFS(BD!$A$3:$A$5001,J$3,BD!$B$3:$B$5001,$A$373,BD!$M$3:$M$5001,"&lt;&gt;")=0,"",SUMIFS(BD!$M$3:$M$5001,BD!$A$3:$A$5001,J$3,BD!$B$3:$B$5001,$A$373)))</f>
        <v/>
      </c>
      <c r="K383" s="254" t="str">
        <f>IF(K$3="","",IF(COUNTIFS(BD!$A$3:$A$5001,K$3,BD!$B$3:$B$5001,$A$373,BD!$M$3:$M$5001,"&lt;&gt;")=0,"",SUMIFS(BD!$M$3:$M$5001,BD!$A$3:$A$5001,K$3,BD!$B$3:$B$5001,$A$373)))</f>
        <v/>
      </c>
      <c r="L383" s="254" t="str">
        <f>IF(L$3="","",IF(COUNTIFS(BD!$A$3:$A$5001,L$3,BD!$B$3:$B$5001,$A$373,BD!$M$3:$M$5001,"&lt;&gt;")=0,"",SUMIFS(BD!$M$3:$M$5001,BD!$A$3:$A$5001,L$3,BD!$B$3:$B$5001,$A$373)))</f>
        <v/>
      </c>
      <c r="M383" s="254" t="str">
        <f>IF(M$3="","",IF(COUNTIFS(BD!$A$3:$A$5001,M$3,BD!$B$3:$B$5001,$A$373,BD!$M$3:$M$5001,"&lt;&gt;")=0,"",SUMIFS(BD!$M$3:$M$5001,BD!$A$3:$A$5001,M$3,BD!$B$3:$B$5001,$A$373)))</f>
        <v/>
      </c>
      <c r="N383" s="254" t="str">
        <f>IF(N$3="","",IF(COUNTIFS(BD!$A$3:$A$5001,N$3,BD!$B$3:$B$5001,$A$373,BD!$M$3:$M$5001,"&lt;&gt;")=0,"",SUMIFS(BD!$M$3:$M$5001,BD!$A$3:$A$5001,N$3,BD!$B$3:$B$5001,$A$373)))</f>
        <v/>
      </c>
      <c r="O383" s="254" t="str">
        <f>IF(O$3="","",IF(COUNTIFS(BD!$A$3:$A$5001,O$3,BD!$B$3:$B$5001,$A$373,BD!$M$3:$M$5001,"&lt;&gt;")=0,"",SUMIFS(BD!$M$3:$M$5001,BD!$A$3:$A$5001,O$3,BD!$B$3:$B$5001,$A$373)))</f>
        <v/>
      </c>
      <c r="P383" s="254" t="str">
        <f>IF(P$3="","",IF(COUNTIFS(BD!$A$3:$A$5001,P$3,BD!$B$3:$B$5001,$A$373,BD!$M$3:$M$5001,"&lt;&gt;")=0,"",SUMIFS(BD!$M$3:$M$5001,BD!$A$3:$A$5001,P$3,BD!$B$3:$B$5001,$A$373)))</f>
        <v/>
      </c>
      <c r="Q383" s="254" t="str">
        <f>IF(Q$3="","",IF(COUNTIFS(BD!$A$3:$A$5001,Q$3,BD!$B$3:$B$5001,$A$373,BD!$M$3:$M$5001,"&lt;&gt;")=0,"",SUMIFS(BD!$M$3:$M$5001,BD!$A$3:$A$5001,Q$3,BD!$B$3:$B$5001,$A$373)))</f>
        <v/>
      </c>
      <c r="R383" s="254" t="str">
        <f>IF(R$3="","",IF(COUNTIFS(BD!$A$3:$A$5001,R$3,BD!$B$3:$B$5001,$A$373,BD!$M$3:$M$5001,"&lt;&gt;")=0,"",SUMIFS(BD!$M$3:$M$5001,BD!$A$3:$A$5001,R$3,BD!$B$3:$B$5001,$A$373)))</f>
        <v/>
      </c>
      <c r="S383" s="254" t="str">
        <f>IF(S$3="","",IF(COUNTIFS(BD!$A$3:$A$5001,S$3,BD!$B$3:$B$5001,$A$373,BD!$M$3:$M$5001,"&lt;&gt;")=0,"",SUMIFS(BD!$M$3:$M$5001,BD!$A$3:$A$5001,S$3,BD!$B$3:$B$5001,$A$373)))</f>
        <v/>
      </c>
      <c r="T383" s="254" t="str">
        <f>IF(T$3="","",IF(COUNTIFS(BD!$A$3:$A$5001,T$3,BD!$B$3:$B$5001,$A$373,BD!$M$3:$M$5001,"&lt;&gt;")=0,"",SUMIFS(BD!$M$3:$M$5001,BD!$A$3:$A$5001,T$3,BD!$B$3:$B$5001,$A$373)))</f>
        <v/>
      </c>
      <c r="U383" s="254" t="str">
        <f>IF(U$3="","",IF(COUNTIFS(BD!$A$3:$A$5001,U$3,BD!$B$3:$B$5001,$A$373,BD!$M$3:$M$5001,"&lt;&gt;")=0,"",SUMIFS(BD!$M$3:$M$5001,BD!$A$3:$A$5001,U$3,BD!$B$3:$B$5001,$A$373)))</f>
        <v/>
      </c>
      <c r="V383" s="254" t="str">
        <f>IF(V$3="","",IF(COUNTIFS(BD!$A$3:$A$5001,V$3,BD!$B$3:$B$5001,$A$373,BD!$M$3:$M$5001,"&lt;&gt;")=0,"",SUMIFS(BD!$M$3:$M$5001,BD!$A$3:$A$5001,V$3,BD!$B$3:$B$5001,$A$373)))</f>
        <v/>
      </c>
      <c r="W383" s="254" t="str">
        <f>IF(W$3="","",IF(COUNTIFS(BD!$A$3:$A$5001,W$3,BD!$B$3:$B$5001,$A$373,BD!$M$3:$M$5001,"&lt;&gt;")=0,"",SUMIFS(BD!$M$3:$M$5001,BD!$A$3:$A$5001,W$3,BD!$B$3:$B$5001,$A$373)))</f>
        <v/>
      </c>
      <c r="X383" s="254" t="str">
        <f>IF(X$3="","",IF(COUNTIFS(BD!$A$3:$A$5001,X$3,BD!$B$3:$B$5001,$A$373,BD!$M$3:$M$5001,"&lt;&gt;")=0,"",SUMIFS(BD!$M$3:$M$5001,BD!$A$3:$A$5001,X$3,BD!$B$3:$B$5001,$A$373)))</f>
        <v/>
      </c>
      <c r="Y383" s="254" t="str">
        <f>IF(Y$3="","",IF(COUNTIFS(BD!$A$3:$A$5001,Y$3,BD!$B$3:$B$5001,$A$373,BD!$M$3:$M$5001,"&lt;&gt;")=0,"",SUMIFS(BD!$M$3:$M$5001,BD!$A$3:$A$5001,Y$3,BD!$B$3:$B$5001,$A$373)))</f>
        <v/>
      </c>
      <c r="Z383" s="254" t="str">
        <f>IF(Z$3="","",IF(COUNTIFS(BD!$A$3:$A$5001,Z$3,BD!$B$3:$B$5001,$A$373,BD!$M$3:$M$5001,"&lt;&gt;")=0,"",SUMIFS(BD!$M$3:$M$5001,BD!$A$3:$A$5001,Z$3,BD!$B$3:$B$5001,$A$373)))</f>
        <v/>
      </c>
      <c r="AA383" s="254" t="str">
        <f>IF(AA$3="","",IF(COUNTIFS(BD!$A$3:$A$5001,AA$3,BD!$B$3:$B$5001,$A$373,BD!$M$3:$M$5001,"&lt;&gt;")=0,"",SUMIFS(BD!$M$3:$M$5001,BD!$A$3:$A$5001,AA$3,BD!$B$3:$B$5001,$A$373)))</f>
        <v/>
      </c>
      <c r="AB383" s="254" t="str">
        <f>IF(AB$3="","",IF(COUNTIFS(BD!$A$3:$A$5001,AB$3,BD!$B$3:$B$5001,$A$373,BD!$M$3:$M$5001,"&lt;&gt;")=0,"",SUMIFS(BD!$M$3:$M$5001,BD!$A$3:$A$5001,AB$3,BD!$B$3:$B$5001,$A$373)))</f>
        <v/>
      </c>
      <c r="AC383" s="254" t="str">
        <f>IF(AC$3="","",IF(COUNTIFS(BD!$A$3:$A$5001,AC$3,BD!$B$3:$B$5001,$A$373,BD!$M$3:$M$5001,"&lt;&gt;")=0,"",SUMIFS(BD!$M$3:$M$5001,BD!$A$3:$A$5001,AC$3,BD!$B$3:$B$5001,$A$373)))</f>
        <v/>
      </c>
      <c r="AD383" s="254" t="str">
        <f>IF(AD$3="","",IF(COUNTIFS(BD!$A$3:$A$5001,AD$3,BD!$B$3:$B$5001,$A$373,BD!$M$3:$M$5001,"&lt;&gt;")=0,"",SUMIFS(BD!$M$3:$M$5001,BD!$A$3:$A$5001,AD$3,BD!$B$3:$B$5001,$A$373)))</f>
        <v/>
      </c>
      <c r="AE383" s="254" t="str">
        <f>IF(AE$3="","",IF(COUNTIFS(BD!$A$3:$A$5001,AE$3,BD!$B$3:$B$5001,$A$373,BD!$M$3:$M$5001,"&lt;&gt;")=0,"",SUMIFS(BD!$M$3:$M$5001,BD!$A$3:$A$5001,AE$3,BD!$B$3:$B$5001,$A$373)))</f>
        <v/>
      </c>
      <c r="AF383" s="254" t="str">
        <f>IF(AF$3="","",IF(COUNTIFS(BD!$A$3:$A$5001,AF$3,BD!$B$3:$B$5001,$A$373,BD!$M$3:$M$5001,"&lt;&gt;")=0,"",SUMIFS(BD!$M$3:$M$5001,BD!$A$3:$A$5001,AF$3,BD!$B$3:$B$5001,$A$373)))</f>
        <v/>
      </c>
      <c r="AG383" s="254" t="str">
        <f>IF(AG$3="","",IF(COUNTIFS(BD!$A$3:$A$5001,AG$3,BD!$B$3:$B$5001,$A$373,BD!$M$3:$M$5001,"&lt;&gt;")=0,"",SUMIFS(BD!$M$3:$M$5001,BD!$A$3:$A$5001,AG$3,BD!$B$3:$B$5001,$A$373)))</f>
        <v/>
      </c>
      <c r="AH383" s="254" t="str">
        <f>IF(AH$3="","",IF(COUNTIFS(BD!$A$3:$A$5001,AH$3,BD!$B$3:$B$5001,$A$373,BD!$M$3:$M$5001,"&lt;&gt;")=0,"",SUMIFS(BD!$M$3:$M$5001,BD!$A$3:$A$5001,AH$3,BD!$B$3:$B$5001,$A$373)))</f>
        <v/>
      </c>
      <c r="AI383" s="254" t="str">
        <f>IF(AI$3="","",IF(COUNTIFS(BD!$A$3:$A$5001,AI$3,BD!$B$3:$B$5001,$A$373,BD!$M$3:$M$5001,"&lt;&gt;")=0,"",SUMIFS(BD!$M$3:$M$5001,BD!$A$3:$A$5001,AI$3,BD!$B$3:$B$5001,$A$373)))</f>
        <v/>
      </c>
      <c r="AJ383" s="255" t="str">
        <f>IF(AJ$3="","",IF(COUNTIFS(BD!$A$3:$A$5001,AJ$3,BD!$B$3:$B$5001,$A$373,BD!$M$3:$M$5001,"&lt;&gt;")=0,"",SUMIFS(BD!$M$3:$M$5001,BD!$A$3:$A$5001,AJ$3,BD!$B$3:$B$5001,$A$373)))</f>
        <v/>
      </c>
      <c r="AK383" s="256" t="str">
        <f>IF(COUNT(F383:AJ383)=0,"",SUM(F383:AJ383))</f>
        <v/>
      </c>
    </row>
    <row r="384" ht="15.75" customHeight="1" hidden="1">
      <c r="A384" s="244"/>
      <c r="B384" s="261"/>
      <c r="C384" s="250" t="inlineStr">
        <is>
          <t xml:space="preserve">Pedidos Faturados</t>
        </is>
      </c>
      <c r="D384" s="251" t="str">
        <f>IFERROR(1/(1/INDEX(BD!$AJ$34:$BD$34,MATCH($A$373,BD!$AJ$22:$BD$22,0))),"")</f>
        <v/>
      </c>
      <c r="E384" s="252"/>
      <c r="F384" s="253" t="str">
        <f>IF(F$3="","",IF(COUNTIFS(BD!$A$3:$A$5001,F$3,BD!$B$3:$B$5001,$A$373,BD!$N$3:$N$5001,"&lt;&gt;")=0,"",SUMIFS(BD!$N$3:$N$5001,BD!$A$3:$A$5001,F$3,BD!$B$3:$B$5001,$A$373)))</f>
        <v/>
      </c>
      <c r="G384" s="254" t="str">
        <f>IF(G$3="","",IF(COUNTIFS(BD!$A$3:$A$5001,G$3,BD!$B$3:$B$5001,$A$373,BD!$N$3:$N$5001,"&lt;&gt;")=0,"",SUMIFS(BD!$N$3:$N$5001,BD!$A$3:$A$5001,G$3,BD!$B$3:$B$5001,$A$373)))</f>
        <v/>
      </c>
      <c r="H384" s="254" t="str">
        <f>IF(H$3="","",IF(COUNTIFS(BD!$A$3:$A$5001,H$3,BD!$B$3:$B$5001,$A$373,BD!$N$3:$N$5001,"&lt;&gt;")=0,"",SUMIFS(BD!$N$3:$N$5001,BD!$A$3:$A$5001,H$3,BD!$B$3:$B$5001,$A$373)))</f>
        <v/>
      </c>
      <c r="I384" s="254" t="str">
        <f>IF(I$3="","",IF(COUNTIFS(BD!$A$3:$A$5001,I$3,BD!$B$3:$B$5001,$A$373,BD!$N$3:$N$5001,"&lt;&gt;")=0,"",SUMIFS(BD!$N$3:$N$5001,BD!$A$3:$A$5001,I$3,BD!$B$3:$B$5001,$A$373)))</f>
        <v/>
      </c>
      <c r="J384" s="254" t="str">
        <f>IF(J$3="","",IF(COUNTIFS(BD!$A$3:$A$5001,J$3,BD!$B$3:$B$5001,$A$373,BD!$N$3:$N$5001,"&lt;&gt;")=0,"",SUMIFS(BD!$N$3:$N$5001,BD!$A$3:$A$5001,J$3,BD!$B$3:$B$5001,$A$373)))</f>
        <v/>
      </c>
      <c r="K384" s="254" t="str">
        <f>IF(K$3="","",IF(COUNTIFS(BD!$A$3:$A$5001,K$3,BD!$B$3:$B$5001,$A$373,BD!$N$3:$N$5001,"&lt;&gt;")=0,"",SUMIFS(BD!$N$3:$N$5001,BD!$A$3:$A$5001,K$3,BD!$B$3:$B$5001,$A$373)))</f>
        <v/>
      </c>
      <c r="L384" s="254" t="str">
        <f>IF(L$3="","",IF(COUNTIFS(BD!$A$3:$A$5001,L$3,BD!$B$3:$B$5001,$A$373,BD!$N$3:$N$5001,"&lt;&gt;")=0,"",SUMIFS(BD!$N$3:$N$5001,BD!$A$3:$A$5001,L$3,BD!$B$3:$B$5001,$A$373)))</f>
        <v/>
      </c>
      <c r="M384" s="254" t="str">
        <f>IF(M$3="","",IF(COUNTIFS(BD!$A$3:$A$5001,M$3,BD!$B$3:$B$5001,$A$373,BD!$N$3:$N$5001,"&lt;&gt;")=0,"",SUMIFS(BD!$N$3:$N$5001,BD!$A$3:$A$5001,M$3,BD!$B$3:$B$5001,$A$373)))</f>
        <v/>
      </c>
      <c r="N384" s="254" t="str">
        <f>IF(N$3="","",IF(COUNTIFS(BD!$A$3:$A$5001,N$3,BD!$B$3:$B$5001,$A$373,BD!$N$3:$N$5001,"&lt;&gt;")=0,"",SUMIFS(BD!$N$3:$N$5001,BD!$A$3:$A$5001,N$3,BD!$B$3:$B$5001,$A$373)))</f>
        <v/>
      </c>
      <c r="O384" s="254" t="str">
        <f>IF(O$3="","",IF(COUNTIFS(BD!$A$3:$A$5001,O$3,BD!$B$3:$B$5001,$A$373,BD!$N$3:$N$5001,"&lt;&gt;")=0,"",SUMIFS(BD!$N$3:$N$5001,BD!$A$3:$A$5001,O$3,BD!$B$3:$B$5001,$A$373)))</f>
        <v/>
      </c>
      <c r="P384" s="254" t="str">
        <f>IF(P$3="","",IF(COUNTIFS(BD!$A$3:$A$5001,P$3,BD!$B$3:$B$5001,$A$373,BD!$N$3:$N$5001,"&lt;&gt;")=0,"",SUMIFS(BD!$N$3:$N$5001,BD!$A$3:$A$5001,P$3,BD!$B$3:$B$5001,$A$373)))</f>
        <v/>
      </c>
      <c r="Q384" s="254" t="str">
        <f>IF(Q$3="","",IF(COUNTIFS(BD!$A$3:$A$5001,Q$3,BD!$B$3:$B$5001,$A$373,BD!$N$3:$N$5001,"&lt;&gt;")=0,"",SUMIFS(BD!$N$3:$N$5001,BD!$A$3:$A$5001,Q$3,BD!$B$3:$B$5001,$A$373)))</f>
        <v/>
      </c>
      <c r="R384" s="254" t="str">
        <f>IF(R$3="","",IF(COUNTIFS(BD!$A$3:$A$5001,R$3,BD!$B$3:$B$5001,$A$373,BD!$N$3:$N$5001,"&lt;&gt;")=0,"",SUMIFS(BD!$N$3:$N$5001,BD!$A$3:$A$5001,R$3,BD!$B$3:$B$5001,$A$373)))</f>
        <v/>
      </c>
      <c r="S384" s="254" t="str">
        <f>IF(S$3="","",IF(COUNTIFS(BD!$A$3:$A$5001,S$3,BD!$B$3:$B$5001,$A$373,BD!$N$3:$N$5001,"&lt;&gt;")=0,"",SUMIFS(BD!$N$3:$N$5001,BD!$A$3:$A$5001,S$3,BD!$B$3:$B$5001,$A$373)))</f>
        <v/>
      </c>
      <c r="T384" s="254" t="str">
        <f>IF(T$3="","",IF(COUNTIFS(BD!$A$3:$A$5001,T$3,BD!$B$3:$B$5001,$A$373,BD!$N$3:$N$5001,"&lt;&gt;")=0,"",SUMIFS(BD!$N$3:$N$5001,BD!$A$3:$A$5001,T$3,BD!$B$3:$B$5001,$A$373)))</f>
        <v/>
      </c>
      <c r="U384" s="254" t="str">
        <f>IF(U$3="","",IF(COUNTIFS(BD!$A$3:$A$5001,U$3,BD!$B$3:$B$5001,$A$373,BD!$N$3:$N$5001,"&lt;&gt;")=0,"",SUMIFS(BD!$N$3:$N$5001,BD!$A$3:$A$5001,U$3,BD!$B$3:$B$5001,$A$373)))</f>
        <v/>
      </c>
      <c r="V384" s="254" t="str">
        <f>IF(V$3="","",IF(COUNTIFS(BD!$A$3:$A$5001,V$3,BD!$B$3:$B$5001,$A$373,BD!$N$3:$N$5001,"&lt;&gt;")=0,"",SUMIFS(BD!$N$3:$N$5001,BD!$A$3:$A$5001,V$3,BD!$B$3:$B$5001,$A$373)))</f>
        <v/>
      </c>
      <c r="W384" s="254" t="str">
        <f>IF(W$3="","",IF(COUNTIFS(BD!$A$3:$A$5001,W$3,BD!$B$3:$B$5001,$A$373,BD!$N$3:$N$5001,"&lt;&gt;")=0,"",SUMIFS(BD!$N$3:$N$5001,BD!$A$3:$A$5001,W$3,BD!$B$3:$B$5001,$A$373)))</f>
        <v/>
      </c>
      <c r="X384" s="254" t="str">
        <f>IF(X$3="","",IF(COUNTIFS(BD!$A$3:$A$5001,X$3,BD!$B$3:$B$5001,$A$373,BD!$N$3:$N$5001,"&lt;&gt;")=0,"",SUMIFS(BD!$N$3:$N$5001,BD!$A$3:$A$5001,X$3,BD!$B$3:$B$5001,$A$373)))</f>
        <v/>
      </c>
      <c r="Y384" s="254" t="str">
        <f>IF(Y$3="","",IF(COUNTIFS(BD!$A$3:$A$5001,Y$3,BD!$B$3:$B$5001,$A$373,BD!$N$3:$N$5001,"&lt;&gt;")=0,"",SUMIFS(BD!$N$3:$N$5001,BD!$A$3:$A$5001,Y$3,BD!$B$3:$B$5001,$A$373)))</f>
        <v/>
      </c>
      <c r="Z384" s="254" t="str">
        <f>IF(Z$3="","",IF(COUNTIFS(BD!$A$3:$A$5001,Z$3,BD!$B$3:$B$5001,$A$373,BD!$N$3:$N$5001,"&lt;&gt;")=0,"",SUMIFS(BD!$N$3:$N$5001,BD!$A$3:$A$5001,Z$3,BD!$B$3:$B$5001,$A$373)))</f>
        <v/>
      </c>
      <c r="AA384" s="254" t="str">
        <f>IF(AA$3="","",IF(COUNTIFS(BD!$A$3:$A$5001,AA$3,BD!$B$3:$B$5001,$A$373,BD!$N$3:$N$5001,"&lt;&gt;")=0,"",SUMIFS(BD!$N$3:$N$5001,BD!$A$3:$A$5001,AA$3,BD!$B$3:$B$5001,$A$373)))</f>
        <v/>
      </c>
      <c r="AB384" s="254" t="str">
        <f>IF(AB$3="","",IF(COUNTIFS(BD!$A$3:$A$5001,AB$3,BD!$B$3:$B$5001,$A$373,BD!$N$3:$N$5001,"&lt;&gt;")=0,"",SUMIFS(BD!$N$3:$N$5001,BD!$A$3:$A$5001,AB$3,BD!$B$3:$B$5001,$A$373)))</f>
        <v/>
      </c>
      <c r="AC384" s="254" t="str">
        <f>IF(AC$3="","",IF(COUNTIFS(BD!$A$3:$A$5001,AC$3,BD!$B$3:$B$5001,$A$373,BD!$N$3:$N$5001,"&lt;&gt;")=0,"",SUMIFS(BD!$N$3:$N$5001,BD!$A$3:$A$5001,AC$3,BD!$B$3:$B$5001,$A$373)))</f>
        <v/>
      </c>
      <c r="AD384" s="254" t="str">
        <f>IF(AD$3="","",IF(COUNTIFS(BD!$A$3:$A$5001,AD$3,BD!$B$3:$B$5001,$A$373,BD!$N$3:$N$5001,"&lt;&gt;")=0,"",SUMIFS(BD!$N$3:$N$5001,BD!$A$3:$A$5001,AD$3,BD!$B$3:$B$5001,$A$373)))</f>
        <v/>
      </c>
      <c r="AE384" s="254" t="str">
        <f>IF(AE$3="","",IF(COUNTIFS(BD!$A$3:$A$5001,AE$3,BD!$B$3:$B$5001,$A$373,BD!$N$3:$N$5001,"&lt;&gt;")=0,"",SUMIFS(BD!$N$3:$N$5001,BD!$A$3:$A$5001,AE$3,BD!$B$3:$B$5001,$A$373)))</f>
        <v/>
      </c>
      <c r="AF384" s="254" t="str">
        <f>IF(AF$3="","",IF(COUNTIFS(BD!$A$3:$A$5001,AF$3,BD!$B$3:$B$5001,$A$373,BD!$N$3:$N$5001,"&lt;&gt;")=0,"",SUMIFS(BD!$N$3:$N$5001,BD!$A$3:$A$5001,AF$3,BD!$B$3:$B$5001,$A$373)))</f>
        <v/>
      </c>
      <c r="AG384" s="254" t="str">
        <f>IF(AG$3="","",IF(COUNTIFS(BD!$A$3:$A$5001,AG$3,BD!$B$3:$B$5001,$A$373,BD!$N$3:$N$5001,"&lt;&gt;")=0,"",SUMIFS(BD!$N$3:$N$5001,BD!$A$3:$A$5001,AG$3,BD!$B$3:$B$5001,$A$373)))</f>
        <v/>
      </c>
      <c r="AH384" s="254" t="str">
        <f>IF(AH$3="","",IF(COUNTIFS(BD!$A$3:$A$5001,AH$3,BD!$B$3:$B$5001,$A$373,BD!$N$3:$N$5001,"&lt;&gt;")=0,"",SUMIFS(BD!$N$3:$N$5001,BD!$A$3:$A$5001,AH$3,BD!$B$3:$B$5001,$A$373)))</f>
        <v/>
      </c>
      <c r="AI384" s="254" t="str">
        <f>IF(AI$3="","",IF(COUNTIFS(BD!$A$3:$A$5001,AI$3,BD!$B$3:$B$5001,$A$373,BD!$N$3:$N$5001,"&lt;&gt;")=0,"",SUMIFS(BD!$N$3:$N$5001,BD!$A$3:$A$5001,AI$3,BD!$B$3:$B$5001,$A$373)))</f>
        <v/>
      </c>
      <c r="AJ384" s="255" t="str">
        <f>IF(AJ$3="","",IF(COUNTIFS(BD!$A$3:$A$5001,AJ$3,BD!$B$3:$B$5001,$A$373,BD!$N$3:$N$5001,"&lt;&gt;")=0,"",SUMIFS(BD!$N$3:$N$5001,BD!$A$3:$A$5001,AJ$3,BD!$B$3:$B$5001,$A$373)))</f>
        <v/>
      </c>
      <c r="AK384" s="256" t="str">
        <f>IF(COUNT(F384:AJ384)=0,"",SUM(F384:AJ384))</f>
        <v/>
      </c>
    </row>
    <row r="385" ht="15.75" customHeight="1" hidden="1">
      <c r="A385" s="244"/>
      <c r="B385" s="261"/>
      <c r="C385" s="250" t="inlineStr">
        <is>
          <t xml:space="preserve">Itens Expedidos</t>
        </is>
      </c>
      <c r="D385" s="251" t="str">
        <f>IFERROR(1/(1/INDEX(BD!$AJ$35:$BD$35,MATCH($A$373,BD!$AJ$22:$BD$22,0))),"")</f>
        <v/>
      </c>
      <c r="E385" s="252"/>
      <c r="F385" s="253" t="str">
        <f>IF(F$3="","",IF(COUNTIFS(BD!$A$3:$A$5001,F$3,BD!$B$3:$B$5001,$A$373,BD!$O$3:$O$5001,"&lt;&gt;")=0,"",SUMIFS(BD!$O$3:$O$5001,BD!$A$3:$A$5001,F$3,BD!$B$3:$B$5001,$A$373)))</f>
        <v/>
      </c>
      <c r="G385" s="254" t="str">
        <f>IF(G$3="","",IF(COUNTIFS(BD!$A$3:$A$5001,G$3,BD!$B$3:$B$5001,$A$373,BD!$O$3:$O$5001,"&lt;&gt;")=0,"",SUMIFS(BD!$O$3:$O$5001,BD!$A$3:$A$5001,G$3,BD!$B$3:$B$5001,$A$373)))</f>
        <v/>
      </c>
      <c r="H385" s="254" t="str">
        <f>IF(H$3="","",IF(COUNTIFS(BD!$A$3:$A$5001,H$3,BD!$B$3:$B$5001,$A$373,BD!$O$3:$O$5001,"&lt;&gt;")=0,"",SUMIFS(BD!$O$3:$O$5001,BD!$A$3:$A$5001,H$3,BD!$B$3:$B$5001,$A$373)))</f>
        <v/>
      </c>
      <c r="I385" s="254" t="str">
        <f>IF(I$3="","",IF(COUNTIFS(BD!$A$3:$A$5001,I$3,BD!$B$3:$B$5001,$A$373,BD!$O$3:$O$5001,"&lt;&gt;")=0,"",SUMIFS(BD!$O$3:$O$5001,BD!$A$3:$A$5001,I$3,BD!$B$3:$B$5001,$A$373)))</f>
        <v/>
      </c>
      <c r="J385" s="254" t="str">
        <f>IF(J$3="","",IF(COUNTIFS(BD!$A$3:$A$5001,J$3,BD!$B$3:$B$5001,$A$373,BD!$O$3:$O$5001,"&lt;&gt;")=0,"",SUMIFS(BD!$O$3:$O$5001,BD!$A$3:$A$5001,J$3,BD!$B$3:$B$5001,$A$373)))</f>
        <v/>
      </c>
      <c r="K385" s="254" t="str">
        <f>IF(K$3="","",IF(COUNTIFS(BD!$A$3:$A$5001,K$3,BD!$B$3:$B$5001,$A$373,BD!$O$3:$O$5001,"&lt;&gt;")=0,"",SUMIFS(BD!$O$3:$O$5001,BD!$A$3:$A$5001,K$3,BD!$B$3:$B$5001,$A$373)))</f>
        <v/>
      </c>
      <c r="L385" s="254" t="str">
        <f>IF(L$3="","",IF(COUNTIFS(BD!$A$3:$A$5001,L$3,BD!$B$3:$B$5001,$A$373,BD!$O$3:$O$5001,"&lt;&gt;")=0,"",SUMIFS(BD!$O$3:$O$5001,BD!$A$3:$A$5001,L$3,BD!$B$3:$B$5001,$A$373)))</f>
        <v/>
      </c>
      <c r="M385" s="254" t="str">
        <f>IF(M$3="","",IF(COUNTIFS(BD!$A$3:$A$5001,M$3,BD!$B$3:$B$5001,$A$373,BD!$O$3:$O$5001,"&lt;&gt;")=0,"",SUMIFS(BD!$O$3:$O$5001,BD!$A$3:$A$5001,M$3,BD!$B$3:$B$5001,$A$373)))</f>
        <v/>
      </c>
      <c r="N385" s="254" t="str">
        <f>IF(N$3="","",IF(COUNTIFS(BD!$A$3:$A$5001,N$3,BD!$B$3:$B$5001,$A$373,BD!$O$3:$O$5001,"&lt;&gt;")=0,"",SUMIFS(BD!$O$3:$O$5001,BD!$A$3:$A$5001,N$3,BD!$B$3:$B$5001,$A$373)))</f>
        <v/>
      </c>
      <c r="O385" s="254" t="str">
        <f>IF(O$3="","",IF(COUNTIFS(BD!$A$3:$A$5001,O$3,BD!$B$3:$B$5001,$A$373,BD!$O$3:$O$5001,"&lt;&gt;")=0,"",SUMIFS(BD!$O$3:$O$5001,BD!$A$3:$A$5001,O$3,BD!$B$3:$B$5001,$A$373)))</f>
        <v/>
      </c>
      <c r="P385" s="254" t="str">
        <f>IF(P$3="","",IF(COUNTIFS(BD!$A$3:$A$5001,P$3,BD!$B$3:$B$5001,$A$373,BD!$O$3:$O$5001,"&lt;&gt;")=0,"",SUMIFS(BD!$O$3:$O$5001,BD!$A$3:$A$5001,P$3,BD!$B$3:$B$5001,$A$373)))</f>
        <v/>
      </c>
      <c r="Q385" s="254" t="str">
        <f>IF(Q$3="","",IF(COUNTIFS(BD!$A$3:$A$5001,Q$3,BD!$B$3:$B$5001,$A$373,BD!$O$3:$O$5001,"&lt;&gt;")=0,"",SUMIFS(BD!$O$3:$O$5001,BD!$A$3:$A$5001,Q$3,BD!$B$3:$B$5001,$A$373)))</f>
        <v/>
      </c>
      <c r="R385" s="254" t="str">
        <f>IF(R$3="","",IF(COUNTIFS(BD!$A$3:$A$5001,R$3,BD!$B$3:$B$5001,$A$373,BD!$O$3:$O$5001,"&lt;&gt;")=0,"",SUMIFS(BD!$O$3:$O$5001,BD!$A$3:$A$5001,R$3,BD!$B$3:$B$5001,$A$373)))</f>
        <v/>
      </c>
      <c r="S385" s="254" t="str">
        <f>IF(S$3="","",IF(COUNTIFS(BD!$A$3:$A$5001,S$3,BD!$B$3:$B$5001,$A$373,BD!$O$3:$O$5001,"&lt;&gt;")=0,"",SUMIFS(BD!$O$3:$O$5001,BD!$A$3:$A$5001,S$3,BD!$B$3:$B$5001,$A$373)))</f>
        <v/>
      </c>
      <c r="T385" s="254" t="str">
        <f>IF(T$3="","",IF(COUNTIFS(BD!$A$3:$A$5001,T$3,BD!$B$3:$B$5001,$A$373,BD!$O$3:$O$5001,"&lt;&gt;")=0,"",SUMIFS(BD!$O$3:$O$5001,BD!$A$3:$A$5001,T$3,BD!$B$3:$B$5001,$A$373)))</f>
        <v/>
      </c>
      <c r="U385" s="254" t="str">
        <f>IF(U$3="","",IF(COUNTIFS(BD!$A$3:$A$5001,U$3,BD!$B$3:$B$5001,$A$373,BD!$O$3:$O$5001,"&lt;&gt;")=0,"",SUMIFS(BD!$O$3:$O$5001,BD!$A$3:$A$5001,U$3,BD!$B$3:$B$5001,$A$373)))</f>
        <v/>
      </c>
      <c r="V385" s="254" t="str">
        <f>IF(V$3="","",IF(COUNTIFS(BD!$A$3:$A$5001,V$3,BD!$B$3:$B$5001,$A$373,BD!$O$3:$O$5001,"&lt;&gt;")=0,"",SUMIFS(BD!$O$3:$O$5001,BD!$A$3:$A$5001,V$3,BD!$B$3:$B$5001,$A$373)))</f>
        <v/>
      </c>
      <c r="W385" s="254" t="str">
        <f>IF(W$3="","",IF(COUNTIFS(BD!$A$3:$A$5001,W$3,BD!$B$3:$B$5001,$A$373,BD!$O$3:$O$5001,"&lt;&gt;")=0,"",SUMIFS(BD!$O$3:$O$5001,BD!$A$3:$A$5001,W$3,BD!$B$3:$B$5001,$A$373)))</f>
        <v/>
      </c>
      <c r="X385" s="254" t="str">
        <f>IF(X$3="","",IF(COUNTIFS(BD!$A$3:$A$5001,X$3,BD!$B$3:$B$5001,$A$373,BD!$O$3:$O$5001,"&lt;&gt;")=0,"",SUMIFS(BD!$O$3:$O$5001,BD!$A$3:$A$5001,X$3,BD!$B$3:$B$5001,$A$373)))</f>
        <v/>
      </c>
      <c r="Y385" s="254" t="str">
        <f>IF(Y$3="","",IF(COUNTIFS(BD!$A$3:$A$5001,Y$3,BD!$B$3:$B$5001,$A$373,BD!$O$3:$O$5001,"&lt;&gt;")=0,"",SUMIFS(BD!$O$3:$O$5001,BD!$A$3:$A$5001,Y$3,BD!$B$3:$B$5001,$A$373)))</f>
        <v/>
      </c>
      <c r="Z385" s="254" t="str">
        <f>IF(Z$3="","",IF(COUNTIFS(BD!$A$3:$A$5001,Z$3,BD!$B$3:$B$5001,$A$373,BD!$O$3:$O$5001,"&lt;&gt;")=0,"",SUMIFS(BD!$O$3:$O$5001,BD!$A$3:$A$5001,Z$3,BD!$B$3:$B$5001,$A$373)))</f>
        <v/>
      </c>
      <c r="AA385" s="254" t="str">
        <f>IF(AA$3="","",IF(COUNTIFS(BD!$A$3:$A$5001,AA$3,BD!$B$3:$B$5001,$A$373,BD!$O$3:$O$5001,"&lt;&gt;")=0,"",SUMIFS(BD!$O$3:$O$5001,BD!$A$3:$A$5001,AA$3,BD!$B$3:$B$5001,$A$373)))</f>
        <v/>
      </c>
      <c r="AB385" s="254" t="str">
        <f>IF(AB$3="","",IF(COUNTIFS(BD!$A$3:$A$5001,AB$3,BD!$B$3:$B$5001,$A$373,BD!$O$3:$O$5001,"&lt;&gt;")=0,"",SUMIFS(BD!$O$3:$O$5001,BD!$A$3:$A$5001,AB$3,BD!$B$3:$B$5001,$A$373)))</f>
        <v/>
      </c>
      <c r="AC385" s="254" t="str">
        <f>IF(AC$3="","",IF(COUNTIFS(BD!$A$3:$A$5001,AC$3,BD!$B$3:$B$5001,$A$373,BD!$O$3:$O$5001,"&lt;&gt;")=0,"",SUMIFS(BD!$O$3:$O$5001,BD!$A$3:$A$5001,AC$3,BD!$B$3:$B$5001,$A$373)))</f>
        <v/>
      </c>
      <c r="AD385" s="254" t="str">
        <f>IF(AD$3="","",IF(COUNTIFS(BD!$A$3:$A$5001,AD$3,BD!$B$3:$B$5001,$A$373,BD!$O$3:$O$5001,"&lt;&gt;")=0,"",SUMIFS(BD!$O$3:$O$5001,BD!$A$3:$A$5001,AD$3,BD!$B$3:$B$5001,$A$373)))</f>
        <v/>
      </c>
      <c r="AE385" s="254" t="str">
        <f>IF(AE$3="","",IF(COUNTIFS(BD!$A$3:$A$5001,AE$3,BD!$B$3:$B$5001,$A$373,BD!$O$3:$O$5001,"&lt;&gt;")=0,"",SUMIFS(BD!$O$3:$O$5001,BD!$A$3:$A$5001,AE$3,BD!$B$3:$B$5001,$A$373)))</f>
        <v/>
      </c>
      <c r="AF385" s="254" t="str">
        <f>IF(AF$3="","",IF(COUNTIFS(BD!$A$3:$A$5001,AF$3,BD!$B$3:$B$5001,$A$373,BD!$O$3:$O$5001,"&lt;&gt;")=0,"",SUMIFS(BD!$O$3:$O$5001,BD!$A$3:$A$5001,AF$3,BD!$B$3:$B$5001,$A$373)))</f>
        <v/>
      </c>
      <c r="AG385" s="254" t="str">
        <f>IF(AG$3="","",IF(COUNTIFS(BD!$A$3:$A$5001,AG$3,BD!$B$3:$B$5001,$A$373,BD!$O$3:$O$5001,"&lt;&gt;")=0,"",SUMIFS(BD!$O$3:$O$5001,BD!$A$3:$A$5001,AG$3,BD!$B$3:$B$5001,$A$373)))</f>
        <v/>
      </c>
      <c r="AH385" s="254" t="str">
        <f>IF(AH$3="","",IF(COUNTIFS(BD!$A$3:$A$5001,AH$3,BD!$B$3:$B$5001,$A$373,BD!$O$3:$O$5001,"&lt;&gt;")=0,"",SUMIFS(BD!$O$3:$O$5001,BD!$A$3:$A$5001,AH$3,BD!$B$3:$B$5001,$A$373)))</f>
        <v/>
      </c>
      <c r="AI385" s="254" t="str">
        <f>IF(AI$3="","",IF(COUNTIFS(BD!$A$3:$A$5001,AI$3,BD!$B$3:$B$5001,$A$373,BD!$O$3:$O$5001,"&lt;&gt;")=0,"",SUMIFS(BD!$O$3:$O$5001,BD!$A$3:$A$5001,AI$3,BD!$B$3:$B$5001,$A$373)))</f>
        <v/>
      </c>
      <c r="AJ385" s="255" t="str">
        <f>IF(AJ$3="","",IF(COUNTIFS(BD!$A$3:$A$5001,AJ$3,BD!$B$3:$B$5001,$A$373,BD!$O$3:$O$5001,"&lt;&gt;")=0,"",SUMIFS(BD!$O$3:$O$5001,BD!$A$3:$A$5001,AJ$3,BD!$B$3:$B$5001,$A$373)))</f>
        <v/>
      </c>
      <c r="AK385" s="256" t="str">
        <f>IF(COUNT(F385:AJ385)=0,"",SUM(F385:AJ385))</f>
        <v/>
      </c>
    </row>
    <row r="386" ht="15.75" customHeight="1" hidden="1">
      <c r="A386" s="244"/>
      <c r="B386" s="261"/>
      <c r="C386" s="250" t="inlineStr">
        <is>
          <t xml:space="preserve">Linhas NF</t>
        </is>
      </c>
      <c r="D386" s="251" t="str">
        <f>IFERROR(1/(1/INDEX(BD!$AJ$36:$BD$36,MATCH($A$373,BD!$AJ$22:$BD$22,0))),"")</f>
        <v/>
      </c>
      <c r="E386" s="252"/>
      <c r="F386" s="253" t="str">
        <f>IF(F$3="","",IF(COUNTIFS(BD!$A$3:$A$5001,F$3,BD!$B$3:$B$5001,$A$373,BD!$P$3:$P$5001,"&lt;&gt;")=0,"",SUMIFS(BD!$P$3:$P$5001,BD!$A$3:$A$5001,F$3,BD!$B$3:$B$5001,$A$373)))</f>
        <v/>
      </c>
      <c r="G386" s="254" t="str">
        <f>IF(G$3="","",IF(COUNTIFS(BD!$A$3:$A$5001,G$3,BD!$B$3:$B$5001,$A$373,BD!$P$3:$P$5001,"&lt;&gt;")=0,"",SUMIFS(BD!$P$3:$P$5001,BD!$A$3:$A$5001,G$3,BD!$B$3:$B$5001,$A$373)))</f>
        <v/>
      </c>
      <c r="H386" s="254" t="str">
        <f>IF(H$3="","",IF(COUNTIFS(BD!$A$3:$A$5001,H$3,BD!$B$3:$B$5001,$A$373,BD!$P$3:$P$5001,"&lt;&gt;")=0,"",SUMIFS(BD!$P$3:$P$5001,BD!$A$3:$A$5001,H$3,BD!$B$3:$B$5001,$A$373)))</f>
        <v/>
      </c>
      <c r="I386" s="254" t="str">
        <f>IF(I$3="","",IF(COUNTIFS(BD!$A$3:$A$5001,I$3,BD!$B$3:$B$5001,$A$373,BD!$P$3:$P$5001,"&lt;&gt;")=0,"",SUMIFS(BD!$P$3:$P$5001,BD!$A$3:$A$5001,I$3,BD!$B$3:$B$5001,$A$373)))</f>
        <v/>
      </c>
      <c r="J386" s="254" t="str">
        <f>IF(J$3="","",IF(COUNTIFS(BD!$A$3:$A$5001,J$3,BD!$B$3:$B$5001,$A$373,BD!$P$3:$P$5001,"&lt;&gt;")=0,"",SUMIFS(BD!$P$3:$P$5001,BD!$A$3:$A$5001,J$3,BD!$B$3:$B$5001,$A$373)))</f>
        <v/>
      </c>
      <c r="K386" s="254" t="str">
        <f>IF(K$3="","",IF(COUNTIFS(BD!$A$3:$A$5001,K$3,BD!$B$3:$B$5001,$A$373,BD!$P$3:$P$5001,"&lt;&gt;")=0,"",SUMIFS(BD!$P$3:$P$5001,BD!$A$3:$A$5001,K$3,BD!$B$3:$B$5001,$A$373)))</f>
        <v/>
      </c>
      <c r="L386" s="254" t="str">
        <f>IF(L$3="","",IF(COUNTIFS(BD!$A$3:$A$5001,L$3,BD!$B$3:$B$5001,$A$373,BD!$P$3:$P$5001,"&lt;&gt;")=0,"",SUMIFS(BD!$P$3:$P$5001,BD!$A$3:$A$5001,L$3,BD!$B$3:$B$5001,$A$373)))</f>
        <v/>
      </c>
      <c r="M386" s="254" t="str">
        <f>IF(M$3="","",IF(COUNTIFS(BD!$A$3:$A$5001,M$3,BD!$B$3:$B$5001,$A$373,BD!$P$3:$P$5001,"&lt;&gt;")=0,"",SUMIFS(BD!$P$3:$P$5001,BD!$A$3:$A$5001,M$3,BD!$B$3:$B$5001,$A$373)))</f>
        <v/>
      </c>
      <c r="N386" s="254" t="str">
        <f>IF(N$3="","",IF(COUNTIFS(BD!$A$3:$A$5001,N$3,BD!$B$3:$B$5001,$A$373,BD!$P$3:$P$5001,"&lt;&gt;")=0,"",SUMIFS(BD!$P$3:$P$5001,BD!$A$3:$A$5001,N$3,BD!$B$3:$B$5001,$A$373)))</f>
        <v/>
      </c>
      <c r="O386" s="254" t="str">
        <f>IF(O$3="","",IF(COUNTIFS(BD!$A$3:$A$5001,O$3,BD!$B$3:$B$5001,$A$373,BD!$P$3:$P$5001,"&lt;&gt;")=0,"",SUMIFS(BD!$P$3:$P$5001,BD!$A$3:$A$5001,O$3,BD!$B$3:$B$5001,$A$373)))</f>
        <v/>
      </c>
      <c r="P386" s="254" t="str">
        <f>IF(P$3="","",IF(COUNTIFS(BD!$A$3:$A$5001,P$3,BD!$B$3:$B$5001,$A$373,BD!$P$3:$P$5001,"&lt;&gt;")=0,"",SUMIFS(BD!$P$3:$P$5001,BD!$A$3:$A$5001,P$3,BD!$B$3:$B$5001,$A$373)))</f>
        <v/>
      </c>
      <c r="Q386" s="254" t="str">
        <f>IF(Q$3="","",IF(COUNTIFS(BD!$A$3:$A$5001,Q$3,BD!$B$3:$B$5001,$A$373,BD!$P$3:$P$5001,"&lt;&gt;")=0,"",SUMIFS(BD!$P$3:$P$5001,BD!$A$3:$A$5001,Q$3,BD!$B$3:$B$5001,$A$373)))</f>
        <v/>
      </c>
      <c r="R386" s="254" t="str">
        <f>IF(R$3="","",IF(COUNTIFS(BD!$A$3:$A$5001,R$3,BD!$B$3:$B$5001,$A$373,BD!$P$3:$P$5001,"&lt;&gt;")=0,"",SUMIFS(BD!$P$3:$P$5001,BD!$A$3:$A$5001,R$3,BD!$B$3:$B$5001,$A$373)))</f>
        <v/>
      </c>
      <c r="S386" s="254" t="str">
        <f>IF(S$3="","",IF(COUNTIFS(BD!$A$3:$A$5001,S$3,BD!$B$3:$B$5001,$A$373,BD!$P$3:$P$5001,"&lt;&gt;")=0,"",SUMIFS(BD!$P$3:$P$5001,BD!$A$3:$A$5001,S$3,BD!$B$3:$B$5001,$A$373)))</f>
        <v/>
      </c>
      <c r="T386" s="254" t="str">
        <f>IF(T$3="","",IF(COUNTIFS(BD!$A$3:$A$5001,T$3,BD!$B$3:$B$5001,$A$373,BD!$P$3:$P$5001,"&lt;&gt;")=0,"",SUMIFS(BD!$P$3:$P$5001,BD!$A$3:$A$5001,T$3,BD!$B$3:$B$5001,$A$373)))</f>
        <v/>
      </c>
      <c r="U386" s="254" t="str">
        <f>IF(U$3="","",IF(COUNTIFS(BD!$A$3:$A$5001,U$3,BD!$B$3:$B$5001,$A$373,BD!$P$3:$P$5001,"&lt;&gt;")=0,"",SUMIFS(BD!$P$3:$P$5001,BD!$A$3:$A$5001,U$3,BD!$B$3:$B$5001,$A$373)))</f>
        <v/>
      </c>
      <c r="V386" s="254" t="str">
        <f>IF(V$3="","",IF(COUNTIFS(BD!$A$3:$A$5001,V$3,BD!$B$3:$B$5001,$A$373,BD!$P$3:$P$5001,"&lt;&gt;")=0,"",SUMIFS(BD!$P$3:$P$5001,BD!$A$3:$A$5001,V$3,BD!$B$3:$B$5001,$A$373)))</f>
        <v/>
      </c>
      <c r="W386" s="254" t="str">
        <f>IF(W$3="","",IF(COUNTIFS(BD!$A$3:$A$5001,W$3,BD!$B$3:$B$5001,$A$373,BD!$P$3:$P$5001,"&lt;&gt;")=0,"",SUMIFS(BD!$P$3:$P$5001,BD!$A$3:$A$5001,W$3,BD!$B$3:$B$5001,$A$373)))</f>
        <v/>
      </c>
      <c r="X386" s="254" t="str">
        <f>IF(X$3="","",IF(COUNTIFS(BD!$A$3:$A$5001,X$3,BD!$B$3:$B$5001,$A$373,BD!$P$3:$P$5001,"&lt;&gt;")=0,"",SUMIFS(BD!$P$3:$P$5001,BD!$A$3:$A$5001,X$3,BD!$B$3:$B$5001,$A$373)))</f>
        <v/>
      </c>
      <c r="Y386" s="254" t="str">
        <f>IF(Y$3="","",IF(COUNTIFS(BD!$A$3:$A$5001,Y$3,BD!$B$3:$B$5001,$A$373,BD!$P$3:$P$5001,"&lt;&gt;")=0,"",SUMIFS(BD!$P$3:$P$5001,BD!$A$3:$A$5001,Y$3,BD!$B$3:$B$5001,$A$373)))</f>
        <v/>
      </c>
      <c r="Z386" s="254" t="str">
        <f>IF(Z$3="","",IF(COUNTIFS(BD!$A$3:$A$5001,Z$3,BD!$B$3:$B$5001,$A$373,BD!$P$3:$P$5001,"&lt;&gt;")=0,"",SUMIFS(BD!$P$3:$P$5001,BD!$A$3:$A$5001,Z$3,BD!$B$3:$B$5001,$A$373)))</f>
        <v/>
      </c>
      <c r="AA386" s="254" t="str">
        <f>IF(AA$3="","",IF(COUNTIFS(BD!$A$3:$A$5001,AA$3,BD!$B$3:$B$5001,$A$373,BD!$P$3:$P$5001,"&lt;&gt;")=0,"",SUMIFS(BD!$P$3:$P$5001,BD!$A$3:$A$5001,AA$3,BD!$B$3:$B$5001,$A$373)))</f>
        <v/>
      </c>
      <c r="AB386" s="254" t="str">
        <f>IF(AB$3="","",IF(COUNTIFS(BD!$A$3:$A$5001,AB$3,BD!$B$3:$B$5001,$A$373,BD!$P$3:$P$5001,"&lt;&gt;")=0,"",SUMIFS(BD!$P$3:$P$5001,BD!$A$3:$A$5001,AB$3,BD!$B$3:$B$5001,$A$373)))</f>
        <v/>
      </c>
      <c r="AC386" s="254" t="str">
        <f>IF(AC$3="","",IF(COUNTIFS(BD!$A$3:$A$5001,AC$3,BD!$B$3:$B$5001,$A$373,BD!$P$3:$P$5001,"&lt;&gt;")=0,"",SUMIFS(BD!$P$3:$P$5001,BD!$A$3:$A$5001,AC$3,BD!$B$3:$B$5001,$A$373)))</f>
        <v/>
      </c>
      <c r="AD386" s="254" t="str">
        <f>IF(AD$3="","",IF(COUNTIFS(BD!$A$3:$A$5001,AD$3,BD!$B$3:$B$5001,$A$373,BD!$P$3:$P$5001,"&lt;&gt;")=0,"",SUMIFS(BD!$P$3:$P$5001,BD!$A$3:$A$5001,AD$3,BD!$B$3:$B$5001,$A$373)))</f>
        <v/>
      </c>
      <c r="AE386" s="254" t="str">
        <f>IF(AE$3="","",IF(COUNTIFS(BD!$A$3:$A$5001,AE$3,BD!$B$3:$B$5001,$A$373,BD!$P$3:$P$5001,"&lt;&gt;")=0,"",SUMIFS(BD!$P$3:$P$5001,BD!$A$3:$A$5001,AE$3,BD!$B$3:$B$5001,$A$373)))</f>
        <v/>
      </c>
      <c r="AF386" s="254" t="str">
        <f>IF(AF$3="","",IF(COUNTIFS(BD!$A$3:$A$5001,AF$3,BD!$B$3:$B$5001,$A$373,BD!$P$3:$P$5001,"&lt;&gt;")=0,"",SUMIFS(BD!$P$3:$P$5001,BD!$A$3:$A$5001,AF$3,BD!$B$3:$B$5001,$A$373)))</f>
        <v/>
      </c>
      <c r="AG386" s="254" t="str">
        <f>IF(AG$3="","",IF(COUNTIFS(BD!$A$3:$A$5001,AG$3,BD!$B$3:$B$5001,$A$373,BD!$P$3:$P$5001,"&lt;&gt;")=0,"",SUMIFS(BD!$P$3:$P$5001,BD!$A$3:$A$5001,AG$3,BD!$B$3:$B$5001,$A$373)))</f>
        <v/>
      </c>
      <c r="AH386" s="254" t="str">
        <f>IF(AH$3="","",IF(COUNTIFS(BD!$A$3:$A$5001,AH$3,BD!$B$3:$B$5001,$A$373,BD!$P$3:$P$5001,"&lt;&gt;")=0,"",SUMIFS(BD!$P$3:$P$5001,BD!$A$3:$A$5001,AH$3,BD!$B$3:$B$5001,$A$373)))</f>
        <v/>
      </c>
      <c r="AI386" s="254" t="str">
        <f>IF(AI$3="","",IF(COUNTIFS(BD!$A$3:$A$5001,AI$3,BD!$B$3:$B$5001,$A$373,BD!$P$3:$P$5001,"&lt;&gt;")=0,"",SUMIFS(BD!$P$3:$P$5001,BD!$A$3:$A$5001,AI$3,BD!$B$3:$B$5001,$A$373)))</f>
        <v/>
      </c>
      <c r="AJ386" s="255" t="str">
        <f>IF(AJ$3="","",IF(COUNTIFS(BD!$A$3:$A$5001,AJ$3,BD!$B$3:$B$5001,$A$373,BD!$P$3:$P$5001,"&lt;&gt;")=0,"",SUMIFS(BD!$P$3:$P$5001,BD!$A$3:$A$5001,AJ$3,BD!$B$3:$B$5001,$A$373)))</f>
        <v/>
      </c>
      <c r="AK386" s="256" t="str">
        <f>IF(COUNT(F386:AJ386)=0,"",SUM(F386:AJ386))</f>
        <v/>
      </c>
    </row>
    <row r="387" ht="15.75" customHeight="1" hidden="1">
      <c r="A387" s="244"/>
      <c r="B387" s="261"/>
      <c r="C387" s="250" t="inlineStr">
        <is>
          <t xml:space="preserve">Caixas Expedidas</t>
        </is>
      </c>
      <c r="D387" s="251" t="str">
        <f>IFERROR(1/(1/INDEX(BD!$AJ$37:$BD$37,MATCH($A$373,BD!$AJ$22:$BD$22,0))),"")</f>
        <v/>
      </c>
      <c r="E387" s="252"/>
      <c r="F387" s="253" t="str">
        <f>IF(F$3="","",IF(COUNTIFS(BD!$A$3:$A$5001,F$3,BD!$B$3:$B$5001,$A$373,BD!$Q$3:$Q$5001,"&lt;&gt;")=0,"",SUMIFS(BD!$Q$3:$Q$5001,BD!$A$3:$A$5001,F$3,BD!$B$3:$B$5001,$A$373)))</f>
        <v/>
      </c>
      <c r="G387" s="254" t="str">
        <f>IF(G$3="","",IF(COUNTIFS(BD!$A$3:$A$5001,G$3,BD!$B$3:$B$5001,$A$373,BD!$Q$3:$Q$5001,"&lt;&gt;")=0,"",SUMIFS(BD!$Q$3:$Q$5001,BD!$A$3:$A$5001,G$3,BD!$B$3:$B$5001,$A$373)))</f>
        <v/>
      </c>
      <c r="H387" s="254" t="str">
        <f>IF(H$3="","",IF(COUNTIFS(BD!$A$3:$A$5001,H$3,BD!$B$3:$B$5001,$A$373,BD!$Q$3:$Q$5001,"&lt;&gt;")=0,"",SUMIFS(BD!$Q$3:$Q$5001,BD!$A$3:$A$5001,H$3,BD!$B$3:$B$5001,$A$373)))</f>
        <v/>
      </c>
      <c r="I387" s="254" t="str">
        <f>IF(I$3="","",IF(COUNTIFS(BD!$A$3:$A$5001,I$3,BD!$B$3:$B$5001,$A$373,BD!$Q$3:$Q$5001,"&lt;&gt;")=0,"",SUMIFS(BD!$Q$3:$Q$5001,BD!$A$3:$A$5001,I$3,BD!$B$3:$B$5001,$A$373)))</f>
        <v/>
      </c>
      <c r="J387" s="254" t="str">
        <f>IF(J$3="","",IF(COUNTIFS(BD!$A$3:$A$5001,J$3,BD!$B$3:$B$5001,$A$373,BD!$Q$3:$Q$5001,"&lt;&gt;")=0,"",SUMIFS(BD!$Q$3:$Q$5001,BD!$A$3:$A$5001,J$3,BD!$B$3:$B$5001,$A$373)))</f>
        <v/>
      </c>
      <c r="K387" s="254" t="str">
        <f>IF(K$3="","",IF(COUNTIFS(BD!$A$3:$A$5001,K$3,BD!$B$3:$B$5001,$A$373,BD!$Q$3:$Q$5001,"&lt;&gt;")=0,"",SUMIFS(BD!$Q$3:$Q$5001,BD!$A$3:$A$5001,K$3,BD!$B$3:$B$5001,$A$373)))</f>
        <v/>
      </c>
      <c r="L387" s="254" t="str">
        <f>IF(L$3="","",IF(COUNTIFS(BD!$A$3:$A$5001,L$3,BD!$B$3:$B$5001,$A$373,BD!$Q$3:$Q$5001,"&lt;&gt;")=0,"",SUMIFS(BD!$Q$3:$Q$5001,BD!$A$3:$A$5001,L$3,BD!$B$3:$B$5001,$A$373)))</f>
        <v/>
      </c>
      <c r="M387" s="254" t="str">
        <f>IF(M$3="","",IF(COUNTIFS(BD!$A$3:$A$5001,M$3,BD!$B$3:$B$5001,$A$373,BD!$Q$3:$Q$5001,"&lt;&gt;")=0,"",SUMIFS(BD!$Q$3:$Q$5001,BD!$A$3:$A$5001,M$3,BD!$B$3:$B$5001,$A$373)))</f>
        <v/>
      </c>
      <c r="N387" s="254" t="str">
        <f>IF(N$3="","",IF(COUNTIFS(BD!$A$3:$A$5001,N$3,BD!$B$3:$B$5001,$A$373,BD!$Q$3:$Q$5001,"&lt;&gt;")=0,"",SUMIFS(BD!$Q$3:$Q$5001,BD!$A$3:$A$5001,N$3,BD!$B$3:$B$5001,$A$373)))</f>
        <v/>
      </c>
      <c r="O387" s="254" t="str">
        <f>IF(O$3="","",IF(COUNTIFS(BD!$A$3:$A$5001,O$3,BD!$B$3:$B$5001,$A$373,BD!$Q$3:$Q$5001,"&lt;&gt;")=0,"",SUMIFS(BD!$Q$3:$Q$5001,BD!$A$3:$A$5001,O$3,BD!$B$3:$B$5001,$A$373)))</f>
        <v/>
      </c>
      <c r="P387" s="254" t="str">
        <f>IF(P$3="","",IF(COUNTIFS(BD!$A$3:$A$5001,P$3,BD!$B$3:$B$5001,$A$373,BD!$Q$3:$Q$5001,"&lt;&gt;")=0,"",SUMIFS(BD!$Q$3:$Q$5001,BD!$A$3:$A$5001,P$3,BD!$B$3:$B$5001,$A$373)))</f>
        <v/>
      </c>
      <c r="Q387" s="254" t="str">
        <f>IF(Q$3="","",IF(COUNTIFS(BD!$A$3:$A$5001,Q$3,BD!$B$3:$B$5001,$A$373,BD!$Q$3:$Q$5001,"&lt;&gt;")=0,"",SUMIFS(BD!$Q$3:$Q$5001,BD!$A$3:$A$5001,Q$3,BD!$B$3:$B$5001,$A$373)))</f>
        <v/>
      </c>
      <c r="R387" s="254" t="str">
        <f>IF(R$3="","",IF(COUNTIFS(BD!$A$3:$A$5001,R$3,BD!$B$3:$B$5001,$A$373,BD!$Q$3:$Q$5001,"&lt;&gt;")=0,"",SUMIFS(BD!$Q$3:$Q$5001,BD!$A$3:$A$5001,R$3,BD!$B$3:$B$5001,$A$373)))</f>
        <v/>
      </c>
      <c r="S387" s="254" t="str">
        <f>IF(S$3="","",IF(COUNTIFS(BD!$A$3:$A$5001,S$3,BD!$B$3:$B$5001,$A$373,BD!$Q$3:$Q$5001,"&lt;&gt;")=0,"",SUMIFS(BD!$Q$3:$Q$5001,BD!$A$3:$A$5001,S$3,BD!$B$3:$B$5001,$A$373)))</f>
        <v/>
      </c>
      <c r="T387" s="254" t="str">
        <f>IF(T$3="","",IF(COUNTIFS(BD!$A$3:$A$5001,T$3,BD!$B$3:$B$5001,$A$373,BD!$Q$3:$Q$5001,"&lt;&gt;")=0,"",SUMIFS(BD!$Q$3:$Q$5001,BD!$A$3:$A$5001,T$3,BD!$B$3:$B$5001,$A$373)))</f>
        <v/>
      </c>
      <c r="U387" s="254" t="str">
        <f>IF(U$3="","",IF(COUNTIFS(BD!$A$3:$A$5001,U$3,BD!$B$3:$B$5001,$A$373,BD!$Q$3:$Q$5001,"&lt;&gt;")=0,"",SUMIFS(BD!$Q$3:$Q$5001,BD!$A$3:$A$5001,U$3,BD!$B$3:$B$5001,$A$373)))</f>
        <v/>
      </c>
      <c r="V387" s="254" t="str">
        <f>IF(V$3="","",IF(COUNTIFS(BD!$A$3:$A$5001,V$3,BD!$B$3:$B$5001,$A$373,BD!$Q$3:$Q$5001,"&lt;&gt;")=0,"",SUMIFS(BD!$Q$3:$Q$5001,BD!$A$3:$A$5001,V$3,BD!$B$3:$B$5001,$A$373)))</f>
        <v/>
      </c>
      <c r="W387" s="254" t="str">
        <f>IF(W$3="","",IF(COUNTIFS(BD!$A$3:$A$5001,W$3,BD!$B$3:$B$5001,$A$373,BD!$Q$3:$Q$5001,"&lt;&gt;")=0,"",SUMIFS(BD!$Q$3:$Q$5001,BD!$A$3:$A$5001,W$3,BD!$B$3:$B$5001,$A$373)))</f>
        <v/>
      </c>
      <c r="X387" s="254" t="str">
        <f>IF(X$3="","",IF(COUNTIFS(BD!$A$3:$A$5001,X$3,BD!$B$3:$B$5001,$A$373,BD!$Q$3:$Q$5001,"&lt;&gt;")=0,"",SUMIFS(BD!$Q$3:$Q$5001,BD!$A$3:$A$5001,X$3,BD!$B$3:$B$5001,$A$373)))</f>
        <v/>
      </c>
      <c r="Y387" s="254" t="str">
        <f>IF(Y$3="","",IF(COUNTIFS(BD!$A$3:$A$5001,Y$3,BD!$B$3:$B$5001,$A$373,BD!$Q$3:$Q$5001,"&lt;&gt;")=0,"",SUMIFS(BD!$Q$3:$Q$5001,BD!$A$3:$A$5001,Y$3,BD!$B$3:$B$5001,$A$373)))</f>
        <v/>
      </c>
      <c r="Z387" s="254" t="str">
        <f>IF(Z$3="","",IF(COUNTIFS(BD!$A$3:$A$5001,Z$3,BD!$B$3:$B$5001,$A$373,BD!$Q$3:$Q$5001,"&lt;&gt;")=0,"",SUMIFS(BD!$Q$3:$Q$5001,BD!$A$3:$A$5001,Z$3,BD!$B$3:$B$5001,$A$373)))</f>
        <v/>
      </c>
      <c r="AA387" s="254" t="str">
        <f>IF(AA$3="","",IF(COUNTIFS(BD!$A$3:$A$5001,AA$3,BD!$B$3:$B$5001,$A$373,BD!$Q$3:$Q$5001,"&lt;&gt;")=0,"",SUMIFS(BD!$Q$3:$Q$5001,BD!$A$3:$A$5001,AA$3,BD!$B$3:$B$5001,$A$373)))</f>
        <v/>
      </c>
      <c r="AB387" s="254" t="str">
        <f>IF(AB$3="","",IF(COUNTIFS(BD!$A$3:$A$5001,AB$3,BD!$B$3:$B$5001,$A$373,BD!$Q$3:$Q$5001,"&lt;&gt;")=0,"",SUMIFS(BD!$Q$3:$Q$5001,BD!$A$3:$A$5001,AB$3,BD!$B$3:$B$5001,$A$373)))</f>
        <v/>
      </c>
      <c r="AC387" s="254" t="str">
        <f>IF(AC$3="","",IF(COUNTIFS(BD!$A$3:$A$5001,AC$3,BD!$B$3:$B$5001,$A$373,BD!$Q$3:$Q$5001,"&lt;&gt;")=0,"",SUMIFS(BD!$Q$3:$Q$5001,BD!$A$3:$A$5001,AC$3,BD!$B$3:$B$5001,$A$373)))</f>
        <v/>
      </c>
      <c r="AD387" s="254" t="str">
        <f>IF(AD$3="","",IF(COUNTIFS(BD!$A$3:$A$5001,AD$3,BD!$B$3:$B$5001,$A$373,BD!$Q$3:$Q$5001,"&lt;&gt;")=0,"",SUMIFS(BD!$Q$3:$Q$5001,BD!$A$3:$A$5001,AD$3,BD!$B$3:$B$5001,$A$373)))</f>
        <v/>
      </c>
      <c r="AE387" s="254" t="str">
        <f>IF(AE$3="","",IF(COUNTIFS(BD!$A$3:$A$5001,AE$3,BD!$B$3:$B$5001,$A$373,BD!$Q$3:$Q$5001,"&lt;&gt;")=0,"",SUMIFS(BD!$Q$3:$Q$5001,BD!$A$3:$A$5001,AE$3,BD!$B$3:$B$5001,$A$373)))</f>
        <v/>
      </c>
      <c r="AF387" s="254" t="str">
        <f>IF(AF$3="","",IF(COUNTIFS(BD!$A$3:$A$5001,AF$3,BD!$B$3:$B$5001,$A$373,BD!$Q$3:$Q$5001,"&lt;&gt;")=0,"",SUMIFS(BD!$Q$3:$Q$5001,BD!$A$3:$A$5001,AF$3,BD!$B$3:$B$5001,$A$373)))</f>
        <v/>
      </c>
      <c r="AG387" s="254" t="str">
        <f>IF(AG$3="","",IF(COUNTIFS(BD!$A$3:$A$5001,AG$3,BD!$B$3:$B$5001,$A$373,BD!$Q$3:$Q$5001,"&lt;&gt;")=0,"",SUMIFS(BD!$Q$3:$Q$5001,BD!$A$3:$A$5001,AG$3,BD!$B$3:$B$5001,$A$373)))</f>
        <v/>
      </c>
      <c r="AH387" s="254" t="str">
        <f>IF(AH$3="","",IF(COUNTIFS(BD!$A$3:$A$5001,AH$3,BD!$B$3:$B$5001,$A$373,BD!$Q$3:$Q$5001,"&lt;&gt;")=0,"",SUMIFS(BD!$Q$3:$Q$5001,BD!$A$3:$A$5001,AH$3,BD!$B$3:$B$5001,$A$373)))</f>
        <v/>
      </c>
      <c r="AI387" s="254" t="str">
        <f>IF(AI$3="","",IF(COUNTIFS(BD!$A$3:$A$5001,AI$3,BD!$B$3:$B$5001,$A$373,BD!$Q$3:$Q$5001,"&lt;&gt;")=0,"",SUMIFS(BD!$Q$3:$Q$5001,BD!$A$3:$A$5001,AI$3,BD!$B$3:$B$5001,$A$373)))</f>
        <v/>
      </c>
      <c r="AJ387" s="255" t="str">
        <f>IF(AJ$3="","",IF(COUNTIFS(BD!$A$3:$A$5001,AJ$3,BD!$B$3:$B$5001,$A$373,BD!$Q$3:$Q$5001,"&lt;&gt;")=0,"",SUMIFS(BD!$Q$3:$Q$5001,BD!$A$3:$A$5001,AJ$3,BD!$B$3:$B$5001,$A$373)))</f>
        <v/>
      </c>
      <c r="AK387" s="256" t="str">
        <f>IF(COUNT(F387:AJ387)=0,"",SUM(F387:AJ387))</f>
        <v/>
      </c>
    </row>
    <row r="388" ht="15.75" customHeight="1" hidden="1">
      <c r="A388" s="244"/>
      <c r="B388" s="261"/>
      <c r="C388" s="250" t="inlineStr">
        <is>
          <t xml:space="preserve">Pallets Movimentados</t>
        </is>
      </c>
      <c r="D388" s="251" t="str">
        <f>IFERROR(1/(1/INDEX(BD!$AJ$38:$BD$38,MATCH($A$373,BD!$AJ$22:$BD$22,0))),"")</f>
        <v/>
      </c>
      <c r="E388" s="252"/>
      <c r="F388" s="253" t="str">
        <f>IF(F$3="","",IF(COUNTIFS(BD!$A$3:$A$5001,F$3,BD!$B$3:$B$5001,$A$373,BD!$R$3:$R$5001,"&lt;&gt;")=0,"",SUMIFS(BD!$R$3:$R$5001,BD!$A$3:$A$5001,F$3,BD!$B$3:$B$5001,$A$373)))</f>
        <v/>
      </c>
      <c r="G388" s="254" t="str">
        <f>IF(G$3="","",IF(COUNTIFS(BD!$A$3:$A$5001,G$3,BD!$B$3:$B$5001,$A$373,BD!$R$3:$R$5001,"&lt;&gt;")=0,"",SUMIFS(BD!$R$3:$R$5001,BD!$A$3:$A$5001,G$3,BD!$B$3:$B$5001,$A$373)))</f>
        <v/>
      </c>
      <c r="H388" s="254" t="str">
        <f>IF(H$3="","",IF(COUNTIFS(BD!$A$3:$A$5001,H$3,BD!$B$3:$B$5001,$A$373,BD!$R$3:$R$5001,"&lt;&gt;")=0,"",SUMIFS(BD!$R$3:$R$5001,BD!$A$3:$A$5001,H$3,BD!$B$3:$B$5001,$A$373)))</f>
        <v/>
      </c>
      <c r="I388" s="254" t="str">
        <f>IF(I$3="","",IF(COUNTIFS(BD!$A$3:$A$5001,I$3,BD!$B$3:$B$5001,$A$373,BD!$R$3:$R$5001,"&lt;&gt;")=0,"",SUMIFS(BD!$R$3:$R$5001,BD!$A$3:$A$5001,I$3,BD!$B$3:$B$5001,$A$373)))</f>
        <v/>
      </c>
      <c r="J388" s="254" t="str">
        <f>IF(J$3="","",IF(COUNTIFS(BD!$A$3:$A$5001,J$3,BD!$B$3:$B$5001,$A$373,BD!$R$3:$R$5001,"&lt;&gt;")=0,"",SUMIFS(BD!$R$3:$R$5001,BD!$A$3:$A$5001,J$3,BD!$B$3:$B$5001,$A$373)))</f>
        <v/>
      </c>
      <c r="K388" s="254" t="str">
        <f>IF(K$3="","",IF(COUNTIFS(BD!$A$3:$A$5001,K$3,BD!$B$3:$B$5001,$A$373,BD!$R$3:$R$5001,"&lt;&gt;")=0,"",SUMIFS(BD!$R$3:$R$5001,BD!$A$3:$A$5001,K$3,BD!$B$3:$B$5001,$A$373)))</f>
        <v/>
      </c>
      <c r="L388" s="254" t="str">
        <f>IF(L$3="","",IF(COUNTIFS(BD!$A$3:$A$5001,L$3,BD!$B$3:$B$5001,$A$373,BD!$R$3:$R$5001,"&lt;&gt;")=0,"",SUMIFS(BD!$R$3:$R$5001,BD!$A$3:$A$5001,L$3,BD!$B$3:$B$5001,$A$373)))</f>
        <v/>
      </c>
      <c r="M388" s="254" t="str">
        <f>IF(M$3="","",IF(COUNTIFS(BD!$A$3:$A$5001,M$3,BD!$B$3:$B$5001,$A$373,BD!$R$3:$R$5001,"&lt;&gt;")=0,"",SUMIFS(BD!$R$3:$R$5001,BD!$A$3:$A$5001,M$3,BD!$B$3:$B$5001,$A$373)))</f>
        <v/>
      </c>
      <c r="N388" s="254" t="str">
        <f>IF(N$3="","",IF(COUNTIFS(BD!$A$3:$A$5001,N$3,BD!$B$3:$B$5001,$A$373,BD!$R$3:$R$5001,"&lt;&gt;")=0,"",SUMIFS(BD!$R$3:$R$5001,BD!$A$3:$A$5001,N$3,BD!$B$3:$B$5001,$A$373)))</f>
        <v/>
      </c>
      <c r="O388" s="254" t="str">
        <f>IF(O$3="","",IF(COUNTIFS(BD!$A$3:$A$5001,O$3,BD!$B$3:$B$5001,$A$373,BD!$R$3:$R$5001,"&lt;&gt;")=0,"",SUMIFS(BD!$R$3:$R$5001,BD!$A$3:$A$5001,O$3,BD!$B$3:$B$5001,$A$373)))</f>
        <v/>
      </c>
      <c r="P388" s="254" t="str">
        <f>IF(P$3="","",IF(COUNTIFS(BD!$A$3:$A$5001,P$3,BD!$B$3:$B$5001,$A$373,BD!$R$3:$R$5001,"&lt;&gt;")=0,"",SUMIFS(BD!$R$3:$R$5001,BD!$A$3:$A$5001,P$3,BD!$B$3:$B$5001,$A$373)))</f>
        <v/>
      </c>
      <c r="Q388" s="254" t="str">
        <f>IF(Q$3="","",IF(COUNTIFS(BD!$A$3:$A$5001,Q$3,BD!$B$3:$B$5001,$A$373,BD!$R$3:$R$5001,"&lt;&gt;")=0,"",SUMIFS(BD!$R$3:$R$5001,BD!$A$3:$A$5001,Q$3,BD!$B$3:$B$5001,$A$373)))</f>
        <v/>
      </c>
      <c r="R388" s="254" t="str">
        <f>IF(R$3="","",IF(COUNTIFS(BD!$A$3:$A$5001,R$3,BD!$B$3:$B$5001,$A$373,BD!$R$3:$R$5001,"&lt;&gt;")=0,"",SUMIFS(BD!$R$3:$R$5001,BD!$A$3:$A$5001,R$3,BD!$B$3:$B$5001,$A$373)))</f>
        <v/>
      </c>
      <c r="S388" s="254" t="str">
        <f>IF(S$3="","",IF(COUNTIFS(BD!$A$3:$A$5001,S$3,BD!$B$3:$B$5001,$A$373,BD!$R$3:$R$5001,"&lt;&gt;")=0,"",SUMIFS(BD!$R$3:$R$5001,BD!$A$3:$A$5001,S$3,BD!$B$3:$B$5001,$A$373)))</f>
        <v/>
      </c>
      <c r="T388" s="254" t="str">
        <f>IF(T$3="","",IF(COUNTIFS(BD!$A$3:$A$5001,T$3,BD!$B$3:$B$5001,$A$373,BD!$R$3:$R$5001,"&lt;&gt;")=0,"",SUMIFS(BD!$R$3:$R$5001,BD!$A$3:$A$5001,T$3,BD!$B$3:$B$5001,$A$373)))</f>
        <v/>
      </c>
      <c r="U388" s="254" t="str">
        <f>IF(U$3="","",IF(COUNTIFS(BD!$A$3:$A$5001,U$3,BD!$B$3:$B$5001,$A$373,BD!$R$3:$R$5001,"&lt;&gt;")=0,"",SUMIFS(BD!$R$3:$R$5001,BD!$A$3:$A$5001,U$3,BD!$B$3:$B$5001,$A$373)))</f>
        <v/>
      </c>
      <c r="V388" s="254" t="str">
        <f>IF(V$3="","",IF(COUNTIFS(BD!$A$3:$A$5001,V$3,BD!$B$3:$B$5001,$A$373,BD!$R$3:$R$5001,"&lt;&gt;")=0,"",SUMIFS(BD!$R$3:$R$5001,BD!$A$3:$A$5001,V$3,BD!$B$3:$B$5001,$A$373)))</f>
        <v/>
      </c>
      <c r="W388" s="254" t="str">
        <f>IF(W$3="","",IF(COUNTIFS(BD!$A$3:$A$5001,W$3,BD!$B$3:$B$5001,$A$373,BD!$R$3:$R$5001,"&lt;&gt;")=0,"",SUMIFS(BD!$R$3:$R$5001,BD!$A$3:$A$5001,W$3,BD!$B$3:$B$5001,$A$373)))</f>
        <v/>
      </c>
      <c r="X388" s="254" t="str">
        <f>IF(X$3="","",IF(COUNTIFS(BD!$A$3:$A$5001,X$3,BD!$B$3:$B$5001,$A$373,BD!$R$3:$R$5001,"&lt;&gt;")=0,"",SUMIFS(BD!$R$3:$R$5001,BD!$A$3:$A$5001,X$3,BD!$B$3:$B$5001,$A$373)))</f>
        <v/>
      </c>
      <c r="Y388" s="254" t="str">
        <f>IF(Y$3="","",IF(COUNTIFS(BD!$A$3:$A$5001,Y$3,BD!$B$3:$B$5001,$A$373,BD!$R$3:$R$5001,"&lt;&gt;")=0,"",SUMIFS(BD!$R$3:$R$5001,BD!$A$3:$A$5001,Y$3,BD!$B$3:$B$5001,$A$373)))</f>
        <v/>
      </c>
      <c r="Z388" s="254" t="str">
        <f>IF(Z$3="","",IF(COUNTIFS(BD!$A$3:$A$5001,Z$3,BD!$B$3:$B$5001,$A$373,BD!$R$3:$R$5001,"&lt;&gt;")=0,"",SUMIFS(BD!$R$3:$R$5001,BD!$A$3:$A$5001,Z$3,BD!$B$3:$B$5001,$A$373)))</f>
        <v/>
      </c>
      <c r="AA388" s="254" t="str">
        <f>IF(AA$3="","",IF(COUNTIFS(BD!$A$3:$A$5001,AA$3,BD!$B$3:$B$5001,$A$373,BD!$R$3:$R$5001,"&lt;&gt;")=0,"",SUMIFS(BD!$R$3:$R$5001,BD!$A$3:$A$5001,AA$3,BD!$B$3:$B$5001,$A$373)))</f>
        <v/>
      </c>
      <c r="AB388" s="254" t="str">
        <f>IF(AB$3="","",IF(COUNTIFS(BD!$A$3:$A$5001,AB$3,BD!$B$3:$B$5001,$A$373,BD!$R$3:$R$5001,"&lt;&gt;")=0,"",SUMIFS(BD!$R$3:$R$5001,BD!$A$3:$A$5001,AB$3,BD!$B$3:$B$5001,$A$373)))</f>
        <v/>
      </c>
      <c r="AC388" s="254" t="str">
        <f>IF(AC$3="","",IF(COUNTIFS(BD!$A$3:$A$5001,AC$3,BD!$B$3:$B$5001,$A$373,BD!$R$3:$R$5001,"&lt;&gt;")=0,"",SUMIFS(BD!$R$3:$R$5001,BD!$A$3:$A$5001,AC$3,BD!$B$3:$B$5001,$A$373)))</f>
        <v/>
      </c>
      <c r="AD388" s="254" t="str">
        <f>IF(AD$3="","",IF(COUNTIFS(BD!$A$3:$A$5001,AD$3,BD!$B$3:$B$5001,$A$373,BD!$R$3:$R$5001,"&lt;&gt;")=0,"",SUMIFS(BD!$R$3:$R$5001,BD!$A$3:$A$5001,AD$3,BD!$B$3:$B$5001,$A$373)))</f>
        <v/>
      </c>
      <c r="AE388" s="254" t="str">
        <f>IF(AE$3="","",IF(COUNTIFS(BD!$A$3:$A$5001,AE$3,BD!$B$3:$B$5001,$A$373,BD!$R$3:$R$5001,"&lt;&gt;")=0,"",SUMIFS(BD!$R$3:$R$5001,BD!$A$3:$A$5001,AE$3,BD!$B$3:$B$5001,$A$373)))</f>
        <v/>
      </c>
      <c r="AF388" s="254" t="str">
        <f>IF(AF$3="","",IF(COUNTIFS(BD!$A$3:$A$5001,AF$3,BD!$B$3:$B$5001,$A$373,BD!$R$3:$R$5001,"&lt;&gt;")=0,"",SUMIFS(BD!$R$3:$R$5001,BD!$A$3:$A$5001,AF$3,BD!$B$3:$B$5001,$A$373)))</f>
        <v/>
      </c>
      <c r="AG388" s="254" t="str">
        <f>IF(AG$3="","",IF(COUNTIFS(BD!$A$3:$A$5001,AG$3,BD!$B$3:$B$5001,$A$373,BD!$R$3:$R$5001,"&lt;&gt;")=0,"",SUMIFS(BD!$R$3:$R$5001,BD!$A$3:$A$5001,AG$3,BD!$B$3:$B$5001,$A$373)))</f>
        <v/>
      </c>
      <c r="AH388" s="254" t="str">
        <f>IF(AH$3="","",IF(COUNTIFS(BD!$A$3:$A$5001,AH$3,BD!$B$3:$B$5001,$A$373,BD!$R$3:$R$5001,"&lt;&gt;")=0,"",SUMIFS(BD!$R$3:$R$5001,BD!$A$3:$A$5001,AH$3,BD!$B$3:$B$5001,$A$373)))</f>
        <v/>
      </c>
      <c r="AI388" s="254" t="str">
        <f>IF(AI$3="","",IF(COUNTIFS(BD!$A$3:$A$5001,AI$3,BD!$B$3:$B$5001,$A$373,BD!$R$3:$R$5001,"&lt;&gt;")=0,"",SUMIFS(BD!$R$3:$R$5001,BD!$A$3:$A$5001,AI$3,BD!$B$3:$B$5001,$A$373)))</f>
        <v/>
      </c>
      <c r="AJ388" s="255" t="str">
        <f>IF(AJ$3="","",IF(COUNTIFS(BD!$A$3:$A$5001,AJ$3,BD!$B$3:$B$5001,$A$373,BD!$R$3:$R$5001,"&lt;&gt;")=0,"",SUMIFS(BD!$R$3:$R$5001,BD!$A$3:$A$5001,AJ$3,BD!$B$3:$B$5001,$A$373)))</f>
        <v/>
      </c>
      <c r="AK388" s="256" t="str">
        <f>IF(COUNT(F388:AJ388)=0,"",SUM(F388:AJ388))</f>
        <v/>
      </c>
    </row>
    <row r="389" ht="15.75" customHeight="1" hidden="1">
      <c r="A389" s="244"/>
      <c r="B389" s="235"/>
      <c r="C389" s="175" t="inlineStr">
        <is>
          <t xml:space="preserve">Toneladas Movimentadas</t>
        </is>
      </c>
      <c r="D389" s="176" t="str">
        <f>IFERROR(1/(1/INDEX(BD!$AJ$39:$BD$39,MATCH($A$373,BD!$AJ$22:$BD$22,0))),"")</f>
        <v/>
      </c>
      <c r="E389" s="177"/>
      <c r="F389" s="257" t="str">
        <f>IF(F$3="","",IF(COUNTIFS(BD!$A$3:$A$5001,F$3,BD!$B$3:$B$5001,$A$373,BD!$S$3:$S$5001,"&lt;&gt;")=0,"",SUMIFS(BD!$S$3:$S$5001,BD!$A$3:$A$5001,F$3,BD!$B$3:$B$5001,$A$373)))</f>
        <v/>
      </c>
      <c r="G389" s="258" t="str">
        <f>IF(G$3="","",IF(COUNTIFS(BD!$A$3:$A$5001,G$3,BD!$B$3:$B$5001,$A$373,BD!$S$3:$S$5001,"&lt;&gt;")=0,"",SUMIFS(BD!$S$3:$S$5001,BD!$A$3:$A$5001,G$3,BD!$B$3:$B$5001,$A$373)))</f>
        <v/>
      </c>
      <c r="H389" s="258" t="str">
        <f>IF(H$3="","",IF(COUNTIFS(BD!$A$3:$A$5001,H$3,BD!$B$3:$B$5001,$A$373,BD!$S$3:$S$5001,"&lt;&gt;")=0,"",SUMIFS(BD!$S$3:$S$5001,BD!$A$3:$A$5001,H$3,BD!$B$3:$B$5001,$A$373)))</f>
        <v/>
      </c>
      <c r="I389" s="258" t="str">
        <f>IF(I$3="","",IF(COUNTIFS(BD!$A$3:$A$5001,I$3,BD!$B$3:$B$5001,$A$373,BD!$S$3:$S$5001,"&lt;&gt;")=0,"",SUMIFS(BD!$S$3:$S$5001,BD!$A$3:$A$5001,I$3,BD!$B$3:$B$5001,$A$373)))</f>
        <v/>
      </c>
      <c r="J389" s="258" t="str">
        <f>IF(J$3="","",IF(COUNTIFS(BD!$A$3:$A$5001,J$3,BD!$B$3:$B$5001,$A$373,BD!$S$3:$S$5001,"&lt;&gt;")=0,"",SUMIFS(BD!$S$3:$S$5001,BD!$A$3:$A$5001,J$3,BD!$B$3:$B$5001,$A$373)))</f>
        <v/>
      </c>
      <c r="K389" s="258" t="str">
        <f>IF(K$3="","",IF(COUNTIFS(BD!$A$3:$A$5001,K$3,BD!$B$3:$B$5001,$A$373,BD!$S$3:$S$5001,"&lt;&gt;")=0,"",SUMIFS(BD!$S$3:$S$5001,BD!$A$3:$A$5001,K$3,BD!$B$3:$B$5001,$A$373)))</f>
        <v/>
      </c>
      <c r="L389" s="258" t="str">
        <f>IF(L$3="","",IF(COUNTIFS(BD!$A$3:$A$5001,L$3,BD!$B$3:$B$5001,$A$373,BD!$S$3:$S$5001,"&lt;&gt;")=0,"",SUMIFS(BD!$S$3:$S$5001,BD!$A$3:$A$5001,L$3,BD!$B$3:$B$5001,$A$373)))</f>
        <v/>
      </c>
      <c r="M389" s="258" t="str">
        <f>IF(M$3="","",IF(COUNTIFS(BD!$A$3:$A$5001,M$3,BD!$B$3:$B$5001,$A$373,BD!$S$3:$S$5001,"&lt;&gt;")=0,"",SUMIFS(BD!$S$3:$S$5001,BD!$A$3:$A$5001,M$3,BD!$B$3:$B$5001,$A$373)))</f>
        <v/>
      </c>
      <c r="N389" s="258" t="str">
        <f>IF(N$3="","",IF(COUNTIFS(BD!$A$3:$A$5001,N$3,BD!$B$3:$B$5001,$A$373,BD!$S$3:$S$5001,"&lt;&gt;")=0,"",SUMIFS(BD!$S$3:$S$5001,BD!$A$3:$A$5001,N$3,BD!$B$3:$B$5001,$A$373)))</f>
        <v/>
      </c>
      <c r="O389" s="258" t="str">
        <f>IF(O$3="","",IF(COUNTIFS(BD!$A$3:$A$5001,O$3,BD!$B$3:$B$5001,$A$373,BD!$S$3:$S$5001,"&lt;&gt;")=0,"",SUMIFS(BD!$S$3:$S$5001,BD!$A$3:$A$5001,O$3,BD!$B$3:$B$5001,$A$373)))</f>
        <v/>
      </c>
      <c r="P389" s="258" t="str">
        <f>IF(P$3="","",IF(COUNTIFS(BD!$A$3:$A$5001,P$3,BD!$B$3:$B$5001,$A$373,BD!$S$3:$S$5001,"&lt;&gt;")=0,"",SUMIFS(BD!$S$3:$S$5001,BD!$A$3:$A$5001,P$3,BD!$B$3:$B$5001,$A$373)))</f>
        <v/>
      </c>
      <c r="Q389" s="258" t="str">
        <f>IF(Q$3="","",IF(COUNTIFS(BD!$A$3:$A$5001,Q$3,BD!$B$3:$B$5001,$A$373,BD!$S$3:$S$5001,"&lt;&gt;")=0,"",SUMIFS(BD!$S$3:$S$5001,BD!$A$3:$A$5001,Q$3,BD!$B$3:$B$5001,$A$373)))</f>
        <v/>
      </c>
      <c r="R389" s="258" t="str">
        <f>IF(R$3="","",IF(COUNTIFS(BD!$A$3:$A$5001,R$3,BD!$B$3:$B$5001,$A$373,BD!$S$3:$S$5001,"&lt;&gt;")=0,"",SUMIFS(BD!$S$3:$S$5001,BD!$A$3:$A$5001,R$3,BD!$B$3:$B$5001,$A$373)))</f>
        <v/>
      </c>
      <c r="S389" s="258" t="str">
        <f>IF(S$3="","",IF(COUNTIFS(BD!$A$3:$A$5001,S$3,BD!$B$3:$B$5001,$A$373,BD!$S$3:$S$5001,"&lt;&gt;")=0,"",SUMIFS(BD!$S$3:$S$5001,BD!$A$3:$A$5001,S$3,BD!$B$3:$B$5001,$A$373)))</f>
        <v/>
      </c>
      <c r="T389" s="258" t="str">
        <f>IF(T$3="","",IF(COUNTIFS(BD!$A$3:$A$5001,T$3,BD!$B$3:$B$5001,$A$373,BD!$S$3:$S$5001,"&lt;&gt;")=0,"",SUMIFS(BD!$S$3:$S$5001,BD!$A$3:$A$5001,T$3,BD!$B$3:$B$5001,$A$373)))</f>
        <v/>
      </c>
      <c r="U389" s="258" t="str">
        <f>IF(U$3="","",IF(COUNTIFS(BD!$A$3:$A$5001,U$3,BD!$B$3:$B$5001,$A$373,BD!$S$3:$S$5001,"&lt;&gt;")=0,"",SUMIFS(BD!$S$3:$S$5001,BD!$A$3:$A$5001,U$3,BD!$B$3:$B$5001,$A$373)))</f>
        <v/>
      </c>
      <c r="V389" s="258" t="str">
        <f>IF(V$3="","",IF(COUNTIFS(BD!$A$3:$A$5001,V$3,BD!$B$3:$B$5001,$A$373,BD!$S$3:$S$5001,"&lt;&gt;")=0,"",SUMIFS(BD!$S$3:$S$5001,BD!$A$3:$A$5001,V$3,BD!$B$3:$B$5001,$A$373)))</f>
        <v/>
      </c>
      <c r="W389" s="258" t="str">
        <f>IF(W$3="","",IF(COUNTIFS(BD!$A$3:$A$5001,W$3,BD!$B$3:$B$5001,$A$373,BD!$S$3:$S$5001,"&lt;&gt;")=0,"",SUMIFS(BD!$S$3:$S$5001,BD!$A$3:$A$5001,W$3,BD!$B$3:$B$5001,$A$373)))</f>
        <v/>
      </c>
      <c r="X389" s="258" t="str">
        <f>IF(X$3="","",IF(COUNTIFS(BD!$A$3:$A$5001,X$3,BD!$B$3:$B$5001,$A$373,BD!$S$3:$S$5001,"&lt;&gt;")=0,"",SUMIFS(BD!$S$3:$S$5001,BD!$A$3:$A$5001,X$3,BD!$B$3:$B$5001,$A$373)))</f>
        <v/>
      </c>
      <c r="Y389" s="258" t="str">
        <f>IF(Y$3="","",IF(COUNTIFS(BD!$A$3:$A$5001,Y$3,BD!$B$3:$B$5001,$A$373,BD!$S$3:$S$5001,"&lt;&gt;")=0,"",SUMIFS(BD!$S$3:$S$5001,BD!$A$3:$A$5001,Y$3,BD!$B$3:$B$5001,$A$373)))</f>
        <v/>
      </c>
      <c r="Z389" s="258" t="str">
        <f>IF(Z$3="","",IF(COUNTIFS(BD!$A$3:$A$5001,Z$3,BD!$B$3:$B$5001,$A$373,BD!$S$3:$S$5001,"&lt;&gt;")=0,"",SUMIFS(BD!$S$3:$S$5001,BD!$A$3:$A$5001,Z$3,BD!$B$3:$B$5001,$A$373)))</f>
        <v/>
      </c>
      <c r="AA389" s="258" t="str">
        <f>IF(AA$3="","",IF(COUNTIFS(BD!$A$3:$A$5001,AA$3,BD!$B$3:$B$5001,$A$373,BD!$S$3:$S$5001,"&lt;&gt;")=0,"",SUMIFS(BD!$S$3:$S$5001,BD!$A$3:$A$5001,AA$3,BD!$B$3:$B$5001,$A$373)))</f>
        <v/>
      </c>
      <c r="AB389" s="258" t="str">
        <f>IF(AB$3="","",IF(COUNTIFS(BD!$A$3:$A$5001,AB$3,BD!$B$3:$B$5001,$A$373,BD!$S$3:$S$5001,"&lt;&gt;")=0,"",SUMIFS(BD!$S$3:$S$5001,BD!$A$3:$A$5001,AB$3,BD!$B$3:$B$5001,$A$373)))</f>
        <v/>
      </c>
      <c r="AC389" s="258" t="str">
        <f>IF(AC$3="","",IF(COUNTIFS(BD!$A$3:$A$5001,AC$3,BD!$B$3:$B$5001,$A$373,BD!$S$3:$S$5001,"&lt;&gt;")=0,"",SUMIFS(BD!$S$3:$S$5001,BD!$A$3:$A$5001,AC$3,BD!$B$3:$B$5001,$A$373)))</f>
        <v/>
      </c>
      <c r="AD389" s="258" t="str">
        <f>IF(AD$3="","",IF(COUNTIFS(BD!$A$3:$A$5001,AD$3,BD!$B$3:$B$5001,$A$373,BD!$S$3:$S$5001,"&lt;&gt;")=0,"",SUMIFS(BD!$S$3:$S$5001,BD!$A$3:$A$5001,AD$3,BD!$B$3:$B$5001,$A$373)))</f>
        <v/>
      </c>
      <c r="AE389" s="258" t="str">
        <f>IF(AE$3="","",IF(COUNTIFS(BD!$A$3:$A$5001,AE$3,BD!$B$3:$B$5001,$A$373,BD!$S$3:$S$5001,"&lt;&gt;")=0,"",SUMIFS(BD!$S$3:$S$5001,BD!$A$3:$A$5001,AE$3,BD!$B$3:$B$5001,$A$373)))</f>
        <v/>
      </c>
      <c r="AF389" s="258" t="str">
        <f>IF(AF$3="","",IF(COUNTIFS(BD!$A$3:$A$5001,AF$3,BD!$B$3:$B$5001,$A$373,BD!$S$3:$S$5001,"&lt;&gt;")=0,"",SUMIFS(BD!$S$3:$S$5001,BD!$A$3:$A$5001,AF$3,BD!$B$3:$B$5001,$A$373)))</f>
        <v/>
      </c>
      <c r="AG389" s="258" t="str">
        <f>IF(AG$3="","",IF(COUNTIFS(BD!$A$3:$A$5001,AG$3,BD!$B$3:$B$5001,$A$373,BD!$S$3:$S$5001,"&lt;&gt;")=0,"",SUMIFS(BD!$S$3:$S$5001,BD!$A$3:$A$5001,AG$3,BD!$B$3:$B$5001,$A$373)))</f>
        <v/>
      </c>
      <c r="AH389" s="258" t="str">
        <f>IF(AH$3="","",IF(COUNTIFS(BD!$A$3:$A$5001,AH$3,BD!$B$3:$B$5001,$A$373,BD!$S$3:$S$5001,"&lt;&gt;")=0,"",SUMIFS(BD!$S$3:$S$5001,BD!$A$3:$A$5001,AH$3,BD!$B$3:$B$5001,$A$373)))</f>
        <v/>
      </c>
      <c r="AI389" s="258" t="str">
        <f>IF(AI$3="","",IF(COUNTIFS(BD!$A$3:$A$5001,AI$3,BD!$B$3:$B$5001,$A$373,BD!$S$3:$S$5001,"&lt;&gt;")=0,"",SUMIFS(BD!$S$3:$S$5001,BD!$A$3:$A$5001,AI$3,BD!$B$3:$B$5001,$A$373)))</f>
        <v/>
      </c>
      <c r="AJ389" s="259" t="str">
        <f>IF(AJ$3="","",IF(COUNTIFS(BD!$A$3:$A$5001,AJ$3,BD!$B$3:$B$5001,$A$373,BD!$S$3:$S$5001,"&lt;&gt;")=0,"",SUMIFS(BD!$S$3:$S$5001,BD!$A$3:$A$5001,AJ$3,BD!$B$3:$B$5001,$A$373)))</f>
        <v/>
      </c>
      <c r="AK389" s="260" t="str">
        <f>IF(COUNT(F389:AJ389)=0,"",SUM(F389:AJ389))</f>
        <v/>
      </c>
    </row>
    <row r="390" ht="15.75" customHeight="1" hidden="1">
      <c r="A390" s="244"/>
      <c r="B390" s="236" t="inlineStr">
        <is>
          <t xml:space="preserve">NC</t>
        </is>
      </c>
      <c r="C390" s="181" t="inlineStr">
        <is>
          <t xml:space="preserve">Incidentes</t>
        </is>
      </c>
      <c r="D390" s="182" t="str">
        <f>IFERROR(1/(1/INDEX(BD!$AJ$40:$BD$40,MATCH($A$373,BD!$AJ$22:$BD$22,0))),"")</f>
        <v/>
      </c>
      <c r="E390" s="183"/>
      <c r="F390" s="184" t="str">
        <f>IF(F$3="","",IF(COUNTIFS(BD!$A$3:$A$5001,F$3,BD!$B$3:$B$5001,$A$373,BD!$T$3:$T$5001,"&lt;&gt;")=0,"",SUMIFS(BD!$T$3:$T$5001,BD!$A$3:$A$5001,F$3,BD!$B$3:$B$5001,$A$373)))</f>
        <v/>
      </c>
      <c r="G390" s="185" t="str">
        <f>IF(G$3="","",IF(COUNTIFS(BD!$A$3:$A$5001,G$3,BD!$B$3:$B$5001,$A$373,BD!$T$3:$T$5001,"&lt;&gt;")=0,"",SUMIFS(BD!$T$3:$T$5001,BD!$A$3:$A$5001,G$3,BD!$B$3:$B$5001,$A$373)))</f>
        <v/>
      </c>
      <c r="H390" s="185" t="str">
        <f>IF(H$3="","",IF(COUNTIFS(BD!$A$3:$A$5001,H$3,BD!$B$3:$B$5001,$A$373,BD!$T$3:$T$5001,"&lt;&gt;")=0,"",SUMIFS(BD!$T$3:$T$5001,BD!$A$3:$A$5001,H$3,BD!$B$3:$B$5001,$A$373)))</f>
        <v/>
      </c>
      <c r="I390" s="185" t="str">
        <f>IF(I$3="","",IF(COUNTIFS(BD!$A$3:$A$5001,I$3,BD!$B$3:$B$5001,$A$373,BD!$T$3:$T$5001,"&lt;&gt;")=0,"",SUMIFS(BD!$T$3:$T$5001,BD!$A$3:$A$5001,I$3,BD!$B$3:$B$5001,$A$373)))</f>
        <v/>
      </c>
      <c r="J390" s="185" t="str">
        <f>IF(J$3="","",IF(COUNTIFS(BD!$A$3:$A$5001,J$3,BD!$B$3:$B$5001,$A$373,BD!$T$3:$T$5001,"&lt;&gt;")=0,"",SUMIFS(BD!$T$3:$T$5001,BD!$A$3:$A$5001,J$3,BD!$B$3:$B$5001,$A$373)))</f>
        <v/>
      </c>
      <c r="K390" s="185" t="str">
        <f>IF(K$3="","",IF(COUNTIFS(BD!$A$3:$A$5001,K$3,BD!$B$3:$B$5001,$A$373,BD!$T$3:$T$5001,"&lt;&gt;")=0,"",SUMIFS(BD!$T$3:$T$5001,BD!$A$3:$A$5001,K$3,BD!$B$3:$B$5001,$A$373)))</f>
        <v/>
      </c>
      <c r="L390" s="185" t="str">
        <f>IF(L$3="","",IF(COUNTIFS(BD!$A$3:$A$5001,L$3,BD!$B$3:$B$5001,$A$373,BD!$T$3:$T$5001,"&lt;&gt;")=0,"",SUMIFS(BD!$T$3:$T$5001,BD!$A$3:$A$5001,L$3,BD!$B$3:$B$5001,$A$373)))</f>
        <v/>
      </c>
      <c r="M390" s="185" t="str">
        <f>IF(M$3="","",IF(COUNTIFS(BD!$A$3:$A$5001,M$3,BD!$B$3:$B$5001,$A$373,BD!$T$3:$T$5001,"&lt;&gt;")=0,"",SUMIFS(BD!$T$3:$T$5001,BD!$A$3:$A$5001,M$3,BD!$B$3:$B$5001,$A$373)))</f>
        <v/>
      </c>
      <c r="N390" s="185" t="str">
        <f>IF(N$3="","",IF(COUNTIFS(BD!$A$3:$A$5001,N$3,BD!$B$3:$B$5001,$A$373,BD!$T$3:$T$5001,"&lt;&gt;")=0,"",SUMIFS(BD!$T$3:$T$5001,BD!$A$3:$A$5001,N$3,BD!$B$3:$B$5001,$A$373)))</f>
        <v/>
      </c>
      <c r="O390" s="185" t="str">
        <f>IF(O$3="","",IF(COUNTIFS(BD!$A$3:$A$5001,O$3,BD!$B$3:$B$5001,$A$373,BD!$T$3:$T$5001,"&lt;&gt;")=0,"",SUMIFS(BD!$T$3:$T$5001,BD!$A$3:$A$5001,O$3,BD!$B$3:$B$5001,$A$373)))</f>
        <v/>
      </c>
      <c r="P390" s="185" t="str">
        <f>IF(P$3="","",IF(COUNTIFS(BD!$A$3:$A$5001,P$3,BD!$B$3:$B$5001,$A$373,BD!$T$3:$T$5001,"&lt;&gt;")=0,"",SUMIFS(BD!$T$3:$T$5001,BD!$A$3:$A$5001,P$3,BD!$B$3:$B$5001,$A$373)))</f>
        <v/>
      </c>
      <c r="Q390" s="185" t="str">
        <f>IF(Q$3="","",IF(COUNTIFS(BD!$A$3:$A$5001,Q$3,BD!$B$3:$B$5001,$A$373,BD!$T$3:$T$5001,"&lt;&gt;")=0,"",SUMIFS(BD!$T$3:$T$5001,BD!$A$3:$A$5001,Q$3,BD!$B$3:$B$5001,$A$373)))</f>
        <v/>
      </c>
      <c r="R390" s="185" t="str">
        <f>IF(R$3="","",IF(COUNTIFS(BD!$A$3:$A$5001,R$3,BD!$B$3:$B$5001,$A$373,BD!$T$3:$T$5001,"&lt;&gt;")=0,"",SUMIFS(BD!$T$3:$T$5001,BD!$A$3:$A$5001,R$3,BD!$B$3:$B$5001,$A$373)))</f>
        <v/>
      </c>
      <c r="S390" s="185" t="str">
        <f>IF(S$3="","",IF(COUNTIFS(BD!$A$3:$A$5001,S$3,BD!$B$3:$B$5001,$A$373,BD!$T$3:$T$5001,"&lt;&gt;")=0,"",SUMIFS(BD!$T$3:$T$5001,BD!$A$3:$A$5001,S$3,BD!$B$3:$B$5001,$A$373)))</f>
        <v/>
      </c>
      <c r="T390" s="185" t="str">
        <f>IF(T$3="","",IF(COUNTIFS(BD!$A$3:$A$5001,T$3,BD!$B$3:$B$5001,$A$373,BD!$T$3:$T$5001,"&lt;&gt;")=0,"",SUMIFS(BD!$T$3:$T$5001,BD!$A$3:$A$5001,T$3,BD!$B$3:$B$5001,$A$373)))</f>
        <v/>
      </c>
      <c r="U390" s="185" t="str">
        <f>IF(U$3="","",IF(COUNTIFS(BD!$A$3:$A$5001,U$3,BD!$B$3:$B$5001,$A$373,BD!$T$3:$T$5001,"&lt;&gt;")=0,"",SUMIFS(BD!$T$3:$T$5001,BD!$A$3:$A$5001,U$3,BD!$B$3:$B$5001,$A$373)))</f>
        <v/>
      </c>
      <c r="V390" s="185" t="str">
        <f>IF(V$3="","",IF(COUNTIFS(BD!$A$3:$A$5001,V$3,BD!$B$3:$B$5001,$A$373,BD!$T$3:$T$5001,"&lt;&gt;")=0,"",SUMIFS(BD!$T$3:$T$5001,BD!$A$3:$A$5001,V$3,BD!$B$3:$B$5001,$A$373)))</f>
        <v/>
      </c>
      <c r="W390" s="185" t="str">
        <f>IF(W$3="","",IF(COUNTIFS(BD!$A$3:$A$5001,W$3,BD!$B$3:$B$5001,$A$373,BD!$T$3:$T$5001,"&lt;&gt;")=0,"",SUMIFS(BD!$T$3:$T$5001,BD!$A$3:$A$5001,W$3,BD!$B$3:$B$5001,$A$373)))</f>
        <v/>
      </c>
      <c r="X390" s="185" t="str">
        <f>IF(X$3="","",IF(COUNTIFS(BD!$A$3:$A$5001,X$3,BD!$B$3:$B$5001,$A$373,BD!$T$3:$T$5001,"&lt;&gt;")=0,"",SUMIFS(BD!$T$3:$T$5001,BD!$A$3:$A$5001,X$3,BD!$B$3:$B$5001,$A$373)))</f>
        <v/>
      </c>
      <c r="Y390" s="185" t="str">
        <f>IF(Y$3="","",IF(COUNTIFS(BD!$A$3:$A$5001,Y$3,BD!$B$3:$B$5001,$A$373,BD!$T$3:$T$5001,"&lt;&gt;")=0,"",SUMIFS(BD!$T$3:$T$5001,BD!$A$3:$A$5001,Y$3,BD!$B$3:$B$5001,$A$373)))</f>
        <v/>
      </c>
      <c r="Z390" s="185" t="str">
        <f>IF(Z$3="","",IF(COUNTIFS(BD!$A$3:$A$5001,Z$3,BD!$B$3:$B$5001,$A$373,BD!$T$3:$T$5001,"&lt;&gt;")=0,"",SUMIFS(BD!$T$3:$T$5001,BD!$A$3:$A$5001,Z$3,BD!$B$3:$B$5001,$A$373)))</f>
        <v/>
      </c>
      <c r="AA390" s="185" t="str">
        <f>IF(AA$3="","",IF(COUNTIFS(BD!$A$3:$A$5001,AA$3,BD!$B$3:$B$5001,$A$373,BD!$T$3:$T$5001,"&lt;&gt;")=0,"",SUMIFS(BD!$T$3:$T$5001,BD!$A$3:$A$5001,AA$3,BD!$B$3:$B$5001,$A$373)))</f>
        <v/>
      </c>
      <c r="AB390" s="185" t="str">
        <f>IF(AB$3="","",IF(COUNTIFS(BD!$A$3:$A$5001,AB$3,BD!$B$3:$B$5001,$A$373,BD!$T$3:$T$5001,"&lt;&gt;")=0,"",SUMIFS(BD!$T$3:$T$5001,BD!$A$3:$A$5001,AB$3,BD!$B$3:$B$5001,$A$373)))</f>
        <v/>
      </c>
      <c r="AC390" s="185" t="str">
        <f>IF(AC$3="","",IF(COUNTIFS(BD!$A$3:$A$5001,AC$3,BD!$B$3:$B$5001,$A$373,BD!$T$3:$T$5001,"&lt;&gt;")=0,"",SUMIFS(BD!$T$3:$T$5001,BD!$A$3:$A$5001,AC$3,BD!$B$3:$B$5001,$A$373)))</f>
        <v/>
      </c>
      <c r="AD390" s="185" t="str">
        <f>IF(AD$3="","",IF(COUNTIFS(BD!$A$3:$A$5001,AD$3,BD!$B$3:$B$5001,$A$373,BD!$T$3:$T$5001,"&lt;&gt;")=0,"",SUMIFS(BD!$T$3:$T$5001,BD!$A$3:$A$5001,AD$3,BD!$B$3:$B$5001,$A$373)))</f>
        <v/>
      </c>
      <c r="AE390" s="185" t="str">
        <f>IF(AE$3="","",IF(COUNTIFS(BD!$A$3:$A$5001,AE$3,BD!$B$3:$B$5001,$A$373,BD!$T$3:$T$5001,"&lt;&gt;")=0,"",SUMIFS(BD!$T$3:$T$5001,BD!$A$3:$A$5001,AE$3,BD!$B$3:$B$5001,$A$373)))</f>
        <v/>
      </c>
      <c r="AF390" s="185" t="str">
        <f>IF(AF$3="","",IF(COUNTIFS(BD!$A$3:$A$5001,AF$3,BD!$B$3:$B$5001,$A$373,BD!$T$3:$T$5001,"&lt;&gt;")=0,"",SUMIFS(BD!$T$3:$T$5001,BD!$A$3:$A$5001,AF$3,BD!$B$3:$B$5001,$A$373)))</f>
        <v/>
      </c>
      <c r="AG390" s="185" t="str">
        <f>IF(AG$3="","",IF(COUNTIFS(BD!$A$3:$A$5001,AG$3,BD!$B$3:$B$5001,$A$373,BD!$T$3:$T$5001,"&lt;&gt;")=0,"",SUMIFS(BD!$T$3:$T$5001,BD!$A$3:$A$5001,AG$3,BD!$B$3:$B$5001,$A$373)))</f>
        <v/>
      </c>
      <c r="AH390" s="185" t="str">
        <f>IF(AH$3="","",IF(COUNTIFS(BD!$A$3:$A$5001,AH$3,BD!$B$3:$B$5001,$A$373,BD!$T$3:$T$5001,"&lt;&gt;")=0,"",SUMIFS(BD!$T$3:$T$5001,BD!$A$3:$A$5001,AH$3,BD!$B$3:$B$5001,$A$373)))</f>
        <v/>
      </c>
      <c r="AI390" s="185" t="str">
        <f>IF(AI$3="","",IF(COUNTIFS(BD!$A$3:$A$5001,AI$3,BD!$B$3:$B$5001,$A$373,BD!$T$3:$T$5001,"&lt;&gt;")=0,"",SUMIFS(BD!$T$3:$T$5001,BD!$A$3:$A$5001,AI$3,BD!$B$3:$B$5001,$A$373)))</f>
        <v/>
      </c>
      <c r="AJ390" s="186" t="str">
        <f>IF(AJ$3="","",IF(COUNTIFS(BD!$A$3:$A$5001,AJ$3,BD!$B$3:$B$5001,$A$373,BD!$T$3:$T$5001,"&lt;&gt;")=0,"",SUMIFS(BD!$T$3:$T$5001,BD!$A$3:$A$5001,AJ$3,BD!$B$3:$B$5001,$A$373)))</f>
        <v/>
      </c>
      <c r="AK390" s="187" t="str">
        <f>IF(COUNT(F390:AJ390)=0,"",SUM(F390:AJ390))</f>
        <v/>
      </c>
    </row>
    <row r="391" ht="15.75" customHeight="1" hidden="1">
      <c r="A391" s="244"/>
      <c r="B391" s="237"/>
      <c r="C391" s="188" t="inlineStr">
        <is>
          <t xml:space="preserve">No show</t>
        </is>
      </c>
      <c r="D391" s="189" t="str">
        <f>IFERROR(1/(1/INDEX(BD!$AJ$41:$BD$41,MATCH($A$373,BD!$AJ$22:$BD$22,0))),"")</f>
        <v/>
      </c>
      <c r="E391" s="190"/>
      <c r="F391" s="191" t="str">
        <f>IF(F$3="","",IF(COUNTIFS(BD!$A$3:$A$5001,F$3,BD!$B$3:$B$5001,$A$373,BD!$U$3:$U$5001,"&lt;&gt;")=0,"",SUMIFS(BD!$U$3:$U$5001,BD!$A$3:$A$5001,F$3,BD!$B$3:$B$5001,$A$373)))</f>
        <v/>
      </c>
      <c r="G391" s="192" t="str">
        <f>IF(G$3="","",IF(COUNTIFS(BD!$A$3:$A$5001,G$3,BD!$B$3:$B$5001,$A$373,BD!$U$3:$U$5001,"&lt;&gt;")=0,"",SUMIFS(BD!$U$3:$U$5001,BD!$A$3:$A$5001,G$3,BD!$B$3:$B$5001,$A$373)))</f>
        <v/>
      </c>
      <c r="H391" s="192" t="str">
        <f>IF(H$3="","",IF(COUNTIFS(BD!$A$3:$A$5001,H$3,BD!$B$3:$B$5001,$A$373,BD!$U$3:$U$5001,"&lt;&gt;")=0,"",SUMIFS(BD!$U$3:$U$5001,BD!$A$3:$A$5001,H$3,BD!$B$3:$B$5001,$A$373)))</f>
        <v/>
      </c>
      <c r="I391" s="192" t="str">
        <f>IF(I$3="","",IF(COUNTIFS(BD!$A$3:$A$5001,I$3,BD!$B$3:$B$5001,$A$373,BD!$U$3:$U$5001,"&lt;&gt;")=0,"",SUMIFS(BD!$U$3:$U$5001,BD!$A$3:$A$5001,I$3,BD!$B$3:$B$5001,$A$373)))</f>
        <v/>
      </c>
      <c r="J391" s="192" t="str">
        <f>IF(J$3="","",IF(COUNTIFS(BD!$A$3:$A$5001,J$3,BD!$B$3:$B$5001,$A$373,BD!$U$3:$U$5001,"&lt;&gt;")=0,"",SUMIFS(BD!$U$3:$U$5001,BD!$A$3:$A$5001,J$3,BD!$B$3:$B$5001,$A$373)))</f>
        <v/>
      </c>
      <c r="K391" s="192" t="str">
        <f>IF(K$3="","",IF(COUNTIFS(BD!$A$3:$A$5001,K$3,BD!$B$3:$B$5001,$A$373,BD!$U$3:$U$5001,"&lt;&gt;")=0,"",SUMIFS(BD!$U$3:$U$5001,BD!$A$3:$A$5001,K$3,BD!$B$3:$B$5001,$A$373)))</f>
        <v/>
      </c>
      <c r="L391" s="192" t="str">
        <f>IF(L$3="","",IF(COUNTIFS(BD!$A$3:$A$5001,L$3,BD!$B$3:$B$5001,$A$373,BD!$U$3:$U$5001,"&lt;&gt;")=0,"",SUMIFS(BD!$U$3:$U$5001,BD!$A$3:$A$5001,L$3,BD!$B$3:$B$5001,$A$373)))</f>
        <v/>
      </c>
      <c r="M391" s="192" t="str">
        <f>IF(M$3="","",IF(COUNTIFS(BD!$A$3:$A$5001,M$3,BD!$B$3:$B$5001,$A$373,BD!$U$3:$U$5001,"&lt;&gt;")=0,"",SUMIFS(BD!$U$3:$U$5001,BD!$A$3:$A$5001,M$3,BD!$B$3:$B$5001,$A$373)))</f>
        <v/>
      </c>
      <c r="N391" s="192" t="str">
        <f>IF(N$3="","",IF(COUNTIFS(BD!$A$3:$A$5001,N$3,BD!$B$3:$B$5001,$A$373,BD!$U$3:$U$5001,"&lt;&gt;")=0,"",SUMIFS(BD!$U$3:$U$5001,BD!$A$3:$A$5001,N$3,BD!$B$3:$B$5001,$A$373)))</f>
        <v/>
      </c>
      <c r="O391" s="192" t="str">
        <f>IF(O$3="","",IF(COUNTIFS(BD!$A$3:$A$5001,O$3,BD!$B$3:$B$5001,$A$373,BD!$U$3:$U$5001,"&lt;&gt;")=0,"",SUMIFS(BD!$U$3:$U$5001,BD!$A$3:$A$5001,O$3,BD!$B$3:$B$5001,$A$373)))</f>
        <v/>
      </c>
      <c r="P391" s="192" t="str">
        <f>IF(P$3="","",IF(COUNTIFS(BD!$A$3:$A$5001,P$3,BD!$B$3:$B$5001,$A$373,BD!$U$3:$U$5001,"&lt;&gt;")=0,"",SUMIFS(BD!$U$3:$U$5001,BD!$A$3:$A$5001,P$3,BD!$B$3:$B$5001,$A$373)))</f>
        <v/>
      </c>
      <c r="Q391" s="192" t="str">
        <f>IF(Q$3="","",IF(COUNTIFS(BD!$A$3:$A$5001,Q$3,BD!$B$3:$B$5001,$A$373,BD!$U$3:$U$5001,"&lt;&gt;")=0,"",SUMIFS(BD!$U$3:$U$5001,BD!$A$3:$A$5001,Q$3,BD!$B$3:$B$5001,$A$373)))</f>
        <v/>
      </c>
      <c r="R391" s="192" t="str">
        <f>IF(R$3="","",IF(COUNTIFS(BD!$A$3:$A$5001,R$3,BD!$B$3:$B$5001,$A$373,BD!$U$3:$U$5001,"&lt;&gt;")=0,"",SUMIFS(BD!$U$3:$U$5001,BD!$A$3:$A$5001,R$3,BD!$B$3:$B$5001,$A$373)))</f>
        <v/>
      </c>
      <c r="S391" s="192" t="str">
        <f>IF(S$3="","",IF(COUNTIFS(BD!$A$3:$A$5001,S$3,BD!$B$3:$B$5001,$A$373,BD!$U$3:$U$5001,"&lt;&gt;")=0,"",SUMIFS(BD!$U$3:$U$5001,BD!$A$3:$A$5001,S$3,BD!$B$3:$B$5001,$A$373)))</f>
        <v/>
      </c>
      <c r="T391" s="192" t="str">
        <f>IF(T$3="","",IF(COUNTIFS(BD!$A$3:$A$5001,T$3,BD!$B$3:$B$5001,$A$373,BD!$U$3:$U$5001,"&lt;&gt;")=0,"",SUMIFS(BD!$U$3:$U$5001,BD!$A$3:$A$5001,T$3,BD!$B$3:$B$5001,$A$373)))</f>
        <v/>
      </c>
      <c r="U391" s="192" t="str">
        <f>IF(U$3="","",IF(COUNTIFS(BD!$A$3:$A$5001,U$3,BD!$B$3:$B$5001,$A$373,BD!$U$3:$U$5001,"&lt;&gt;")=0,"",SUMIFS(BD!$U$3:$U$5001,BD!$A$3:$A$5001,U$3,BD!$B$3:$B$5001,$A$373)))</f>
        <v/>
      </c>
      <c r="V391" s="192" t="str">
        <f>IF(V$3="","",IF(COUNTIFS(BD!$A$3:$A$5001,V$3,BD!$B$3:$B$5001,$A$373,BD!$U$3:$U$5001,"&lt;&gt;")=0,"",SUMIFS(BD!$U$3:$U$5001,BD!$A$3:$A$5001,V$3,BD!$B$3:$B$5001,$A$373)))</f>
        <v/>
      </c>
      <c r="W391" s="192" t="str">
        <f>IF(W$3="","",IF(COUNTIFS(BD!$A$3:$A$5001,W$3,BD!$B$3:$B$5001,$A$373,BD!$U$3:$U$5001,"&lt;&gt;")=0,"",SUMIFS(BD!$U$3:$U$5001,BD!$A$3:$A$5001,W$3,BD!$B$3:$B$5001,$A$373)))</f>
        <v/>
      </c>
      <c r="X391" s="192" t="str">
        <f>IF(X$3="","",IF(COUNTIFS(BD!$A$3:$A$5001,X$3,BD!$B$3:$B$5001,$A$373,BD!$U$3:$U$5001,"&lt;&gt;")=0,"",SUMIFS(BD!$U$3:$U$5001,BD!$A$3:$A$5001,X$3,BD!$B$3:$B$5001,$A$373)))</f>
        <v/>
      </c>
      <c r="Y391" s="192" t="str">
        <f>IF(Y$3="","",IF(COUNTIFS(BD!$A$3:$A$5001,Y$3,BD!$B$3:$B$5001,$A$373,BD!$U$3:$U$5001,"&lt;&gt;")=0,"",SUMIFS(BD!$U$3:$U$5001,BD!$A$3:$A$5001,Y$3,BD!$B$3:$B$5001,$A$373)))</f>
        <v/>
      </c>
      <c r="Z391" s="192" t="str">
        <f>IF(Z$3="","",IF(COUNTIFS(BD!$A$3:$A$5001,Z$3,BD!$B$3:$B$5001,$A$373,BD!$U$3:$U$5001,"&lt;&gt;")=0,"",SUMIFS(BD!$U$3:$U$5001,BD!$A$3:$A$5001,Z$3,BD!$B$3:$B$5001,$A$373)))</f>
        <v/>
      </c>
      <c r="AA391" s="192" t="str">
        <f>IF(AA$3="","",IF(COUNTIFS(BD!$A$3:$A$5001,AA$3,BD!$B$3:$B$5001,$A$373,BD!$U$3:$U$5001,"&lt;&gt;")=0,"",SUMIFS(BD!$U$3:$U$5001,BD!$A$3:$A$5001,AA$3,BD!$B$3:$B$5001,$A$373)))</f>
        <v/>
      </c>
      <c r="AB391" s="192" t="str">
        <f>IF(AB$3="","",IF(COUNTIFS(BD!$A$3:$A$5001,AB$3,BD!$B$3:$B$5001,$A$373,BD!$U$3:$U$5001,"&lt;&gt;")=0,"",SUMIFS(BD!$U$3:$U$5001,BD!$A$3:$A$5001,AB$3,BD!$B$3:$B$5001,$A$373)))</f>
        <v/>
      </c>
      <c r="AC391" s="192" t="str">
        <f>IF(AC$3="","",IF(COUNTIFS(BD!$A$3:$A$5001,AC$3,BD!$B$3:$B$5001,$A$373,BD!$U$3:$U$5001,"&lt;&gt;")=0,"",SUMIFS(BD!$U$3:$U$5001,BD!$A$3:$A$5001,AC$3,BD!$B$3:$B$5001,$A$373)))</f>
        <v/>
      </c>
      <c r="AD391" s="192" t="str">
        <f>IF(AD$3="","",IF(COUNTIFS(BD!$A$3:$A$5001,AD$3,BD!$B$3:$B$5001,$A$373,BD!$U$3:$U$5001,"&lt;&gt;")=0,"",SUMIFS(BD!$U$3:$U$5001,BD!$A$3:$A$5001,AD$3,BD!$B$3:$B$5001,$A$373)))</f>
        <v/>
      </c>
      <c r="AE391" s="192" t="str">
        <f>IF(AE$3="","",IF(COUNTIFS(BD!$A$3:$A$5001,AE$3,BD!$B$3:$B$5001,$A$373,BD!$U$3:$U$5001,"&lt;&gt;")=0,"",SUMIFS(BD!$U$3:$U$5001,BD!$A$3:$A$5001,AE$3,BD!$B$3:$B$5001,$A$373)))</f>
        <v/>
      </c>
      <c r="AF391" s="192" t="str">
        <f>IF(AF$3="","",IF(COUNTIFS(BD!$A$3:$A$5001,AF$3,BD!$B$3:$B$5001,$A$373,BD!$U$3:$U$5001,"&lt;&gt;")=0,"",SUMIFS(BD!$U$3:$U$5001,BD!$A$3:$A$5001,AF$3,BD!$B$3:$B$5001,$A$373)))</f>
        <v/>
      </c>
      <c r="AG391" s="192" t="str">
        <f>IF(AG$3="","",IF(COUNTIFS(BD!$A$3:$A$5001,AG$3,BD!$B$3:$B$5001,$A$373,BD!$U$3:$U$5001,"&lt;&gt;")=0,"",SUMIFS(BD!$U$3:$U$5001,BD!$A$3:$A$5001,AG$3,BD!$B$3:$B$5001,$A$373)))</f>
        <v/>
      </c>
      <c r="AH391" s="192" t="str">
        <f>IF(AH$3="","",IF(COUNTIFS(BD!$A$3:$A$5001,AH$3,BD!$B$3:$B$5001,$A$373,BD!$U$3:$U$5001,"&lt;&gt;")=0,"",SUMIFS(BD!$U$3:$U$5001,BD!$A$3:$A$5001,AH$3,BD!$B$3:$B$5001,$A$373)))</f>
        <v/>
      </c>
      <c r="AI391" s="192" t="str">
        <f>IF(AI$3="","",IF(COUNTIFS(BD!$A$3:$A$5001,AI$3,BD!$B$3:$B$5001,$A$373,BD!$U$3:$U$5001,"&lt;&gt;")=0,"",SUMIFS(BD!$U$3:$U$5001,BD!$A$3:$A$5001,AI$3,BD!$B$3:$B$5001,$A$373)))</f>
        <v/>
      </c>
      <c r="AJ391" s="193" t="str">
        <f>IF(AJ$3="","",IF(COUNTIFS(BD!$A$3:$A$5001,AJ$3,BD!$B$3:$B$5001,$A$373,BD!$U$3:$U$5001,"&lt;&gt;")=0,"",SUMIFS(BD!$U$3:$U$5001,BD!$A$3:$A$5001,AJ$3,BD!$B$3:$B$5001,$A$373)))</f>
        <v/>
      </c>
      <c r="AK391" s="194" t="str">
        <f>IF(COUNT(F391:AJ391)=0,"",SUM(F391:AJ391))</f>
        <v/>
      </c>
    </row>
    <row r="392" ht="15.75" customHeight="1" hidden="1">
      <c r="A392" s="244"/>
      <c r="B392" s="238"/>
      <c r="C392" s="195" t="inlineStr">
        <is>
          <t xml:space="preserve">Backlog</t>
        </is>
      </c>
      <c r="D392" s="196" t="str">
        <f>IFERROR(1/(1/INDEX(BD!$AJ$42:$BD$42,MATCH($A$373,BD!$AJ$22:$BD$22,0))),"")</f>
        <v/>
      </c>
      <c r="E392" s="197"/>
      <c r="F392" s="198" t="str">
        <f>IF(F$3="","",IF(COUNTIFS(BD!$A$3:$A$5001,F$3,BD!$B$3:$B$5001,$A$373,BD!$V$3:$V$5001,"&lt;&gt;")=0,"",SUMIFS(BD!$V$3:$V$5001,BD!$A$3:$A$5001,F$3,BD!$B$3:$B$5001,$A$373)))</f>
        <v/>
      </c>
      <c r="G392" s="199" t="str">
        <f>IF(G$3="","",IF(COUNTIFS(BD!$A$3:$A$5001,G$3,BD!$B$3:$B$5001,$A$373,BD!$V$3:$V$5001,"&lt;&gt;")=0,"",SUMIFS(BD!$V$3:$V$5001,BD!$A$3:$A$5001,G$3,BD!$B$3:$B$5001,$A$373)))</f>
        <v/>
      </c>
      <c r="H392" s="199" t="str">
        <f>IF(H$3="","",IF(COUNTIFS(BD!$A$3:$A$5001,H$3,BD!$B$3:$B$5001,$A$373,BD!$V$3:$V$5001,"&lt;&gt;")=0,"",SUMIFS(BD!$V$3:$V$5001,BD!$A$3:$A$5001,H$3,BD!$B$3:$B$5001,$A$373)))</f>
        <v/>
      </c>
      <c r="I392" s="199" t="str">
        <f>IF(I$3="","",IF(COUNTIFS(BD!$A$3:$A$5001,I$3,BD!$B$3:$B$5001,$A$373,BD!$V$3:$V$5001,"&lt;&gt;")=0,"",SUMIFS(BD!$V$3:$V$5001,BD!$A$3:$A$5001,I$3,BD!$B$3:$B$5001,$A$373)))</f>
        <v/>
      </c>
      <c r="J392" s="199" t="str">
        <f>IF(J$3="","",IF(COUNTIFS(BD!$A$3:$A$5001,J$3,BD!$B$3:$B$5001,$A$373,BD!$V$3:$V$5001,"&lt;&gt;")=0,"",SUMIFS(BD!$V$3:$V$5001,BD!$A$3:$A$5001,J$3,BD!$B$3:$B$5001,$A$373)))</f>
        <v/>
      </c>
      <c r="K392" s="199" t="str">
        <f>IF(K$3="","",IF(COUNTIFS(BD!$A$3:$A$5001,K$3,BD!$B$3:$B$5001,$A$373,BD!$V$3:$V$5001,"&lt;&gt;")=0,"",SUMIFS(BD!$V$3:$V$5001,BD!$A$3:$A$5001,K$3,BD!$B$3:$B$5001,$A$373)))</f>
        <v/>
      </c>
      <c r="L392" s="199" t="str">
        <f>IF(L$3="","",IF(COUNTIFS(BD!$A$3:$A$5001,L$3,BD!$B$3:$B$5001,$A$373,BD!$V$3:$V$5001,"&lt;&gt;")=0,"",SUMIFS(BD!$V$3:$V$5001,BD!$A$3:$A$5001,L$3,BD!$B$3:$B$5001,$A$373)))</f>
        <v/>
      </c>
      <c r="M392" s="199" t="str">
        <f>IF(M$3="","",IF(COUNTIFS(BD!$A$3:$A$5001,M$3,BD!$B$3:$B$5001,$A$373,BD!$V$3:$V$5001,"&lt;&gt;")=0,"",SUMIFS(BD!$V$3:$V$5001,BD!$A$3:$A$5001,M$3,BD!$B$3:$B$5001,$A$373)))</f>
        <v/>
      </c>
      <c r="N392" s="199" t="str">
        <f>IF(N$3="","",IF(COUNTIFS(BD!$A$3:$A$5001,N$3,BD!$B$3:$B$5001,$A$373,BD!$V$3:$V$5001,"&lt;&gt;")=0,"",SUMIFS(BD!$V$3:$V$5001,BD!$A$3:$A$5001,N$3,BD!$B$3:$B$5001,$A$373)))</f>
        <v/>
      </c>
      <c r="O392" s="199" t="str">
        <f>IF(O$3="","",IF(COUNTIFS(BD!$A$3:$A$5001,O$3,BD!$B$3:$B$5001,$A$373,BD!$V$3:$V$5001,"&lt;&gt;")=0,"",SUMIFS(BD!$V$3:$V$5001,BD!$A$3:$A$5001,O$3,BD!$B$3:$B$5001,$A$373)))</f>
        <v/>
      </c>
      <c r="P392" s="199" t="str">
        <f>IF(P$3="","",IF(COUNTIFS(BD!$A$3:$A$5001,P$3,BD!$B$3:$B$5001,$A$373,BD!$V$3:$V$5001,"&lt;&gt;")=0,"",SUMIFS(BD!$V$3:$V$5001,BD!$A$3:$A$5001,P$3,BD!$B$3:$B$5001,$A$373)))</f>
        <v/>
      </c>
      <c r="Q392" s="199" t="str">
        <f>IF(Q$3="","",IF(COUNTIFS(BD!$A$3:$A$5001,Q$3,BD!$B$3:$B$5001,$A$373,BD!$V$3:$V$5001,"&lt;&gt;")=0,"",SUMIFS(BD!$V$3:$V$5001,BD!$A$3:$A$5001,Q$3,BD!$B$3:$B$5001,$A$373)))</f>
        <v/>
      </c>
      <c r="R392" s="199" t="str">
        <f>IF(R$3="","",IF(COUNTIFS(BD!$A$3:$A$5001,R$3,BD!$B$3:$B$5001,$A$373,BD!$V$3:$V$5001,"&lt;&gt;")=0,"",SUMIFS(BD!$V$3:$V$5001,BD!$A$3:$A$5001,R$3,BD!$B$3:$B$5001,$A$373)))</f>
        <v/>
      </c>
      <c r="S392" s="199" t="str">
        <f>IF(S$3="","",IF(COUNTIFS(BD!$A$3:$A$5001,S$3,BD!$B$3:$B$5001,$A$373,BD!$V$3:$V$5001,"&lt;&gt;")=0,"",SUMIFS(BD!$V$3:$V$5001,BD!$A$3:$A$5001,S$3,BD!$B$3:$B$5001,$A$373)))</f>
        <v/>
      </c>
      <c r="T392" s="199" t="str">
        <f>IF(T$3="","",IF(COUNTIFS(BD!$A$3:$A$5001,T$3,BD!$B$3:$B$5001,$A$373,BD!$V$3:$V$5001,"&lt;&gt;")=0,"",SUMIFS(BD!$V$3:$V$5001,BD!$A$3:$A$5001,T$3,BD!$B$3:$B$5001,$A$373)))</f>
        <v/>
      </c>
      <c r="U392" s="199" t="str">
        <f>IF(U$3="","",IF(COUNTIFS(BD!$A$3:$A$5001,U$3,BD!$B$3:$B$5001,$A$373,BD!$V$3:$V$5001,"&lt;&gt;")=0,"",SUMIFS(BD!$V$3:$V$5001,BD!$A$3:$A$5001,U$3,BD!$B$3:$B$5001,$A$373)))</f>
        <v/>
      </c>
      <c r="V392" s="199" t="str">
        <f>IF(V$3="","",IF(COUNTIFS(BD!$A$3:$A$5001,V$3,BD!$B$3:$B$5001,$A$373,BD!$V$3:$V$5001,"&lt;&gt;")=0,"",SUMIFS(BD!$V$3:$V$5001,BD!$A$3:$A$5001,V$3,BD!$B$3:$B$5001,$A$373)))</f>
        <v/>
      </c>
      <c r="W392" s="199" t="str">
        <f>IF(W$3="","",IF(COUNTIFS(BD!$A$3:$A$5001,W$3,BD!$B$3:$B$5001,$A$373,BD!$V$3:$V$5001,"&lt;&gt;")=0,"",SUMIFS(BD!$V$3:$V$5001,BD!$A$3:$A$5001,W$3,BD!$B$3:$B$5001,$A$373)))</f>
        <v/>
      </c>
      <c r="X392" s="199" t="str">
        <f>IF(X$3="","",IF(COUNTIFS(BD!$A$3:$A$5001,X$3,BD!$B$3:$B$5001,$A$373,BD!$V$3:$V$5001,"&lt;&gt;")=0,"",SUMIFS(BD!$V$3:$V$5001,BD!$A$3:$A$5001,X$3,BD!$B$3:$B$5001,$A$373)))</f>
        <v/>
      </c>
      <c r="Y392" s="199" t="str">
        <f>IF(Y$3="","",IF(COUNTIFS(BD!$A$3:$A$5001,Y$3,BD!$B$3:$B$5001,$A$373,BD!$V$3:$V$5001,"&lt;&gt;")=0,"",SUMIFS(BD!$V$3:$V$5001,BD!$A$3:$A$5001,Y$3,BD!$B$3:$B$5001,$A$373)))</f>
        <v/>
      </c>
      <c r="Z392" s="199" t="str">
        <f>IF(Z$3="","",IF(COUNTIFS(BD!$A$3:$A$5001,Z$3,BD!$B$3:$B$5001,$A$373,BD!$V$3:$V$5001,"&lt;&gt;")=0,"",SUMIFS(BD!$V$3:$V$5001,BD!$A$3:$A$5001,Z$3,BD!$B$3:$B$5001,$A$373)))</f>
        <v/>
      </c>
      <c r="AA392" s="199" t="str">
        <f>IF(AA$3="","",IF(COUNTIFS(BD!$A$3:$A$5001,AA$3,BD!$B$3:$B$5001,$A$373,BD!$V$3:$V$5001,"&lt;&gt;")=0,"",SUMIFS(BD!$V$3:$V$5001,BD!$A$3:$A$5001,AA$3,BD!$B$3:$B$5001,$A$373)))</f>
        <v/>
      </c>
      <c r="AB392" s="199" t="str">
        <f>IF(AB$3="","",IF(COUNTIFS(BD!$A$3:$A$5001,AB$3,BD!$B$3:$B$5001,$A$373,BD!$V$3:$V$5001,"&lt;&gt;")=0,"",SUMIFS(BD!$V$3:$V$5001,BD!$A$3:$A$5001,AB$3,BD!$B$3:$B$5001,$A$373)))</f>
        <v/>
      </c>
      <c r="AC392" s="199" t="str">
        <f>IF(AC$3="","",IF(COUNTIFS(BD!$A$3:$A$5001,AC$3,BD!$B$3:$B$5001,$A$373,BD!$V$3:$V$5001,"&lt;&gt;")=0,"",SUMIFS(BD!$V$3:$V$5001,BD!$A$3:$A$5001,AC$3,BD!$B$3:$B$5001,$A$373)))</f>
        <v/>
      </c>
      <c r="AD392" s="199" t="str">
        <f>IF(AD$3="","",IF(COUNTIFS(BD!$A$3:$A$5001,AD$3,BD!$B$3:$B$5001,$A$373,BD!$V$3:$V$5001,"&lt;&gt;")=0,"",SUMIFS(BD!$V$3:$V$5001,BD!$A$3:$A$5001,AD$3,BD!$B$3:$B$5001,$A$373)))</f>
        <v/>
      </c>
      <c r="AE392" s="199" t="str">
        <f>IF(AE$3="","",IF(COUNTIFS(BD!$A$3:$A$5001,AE$3,BD!$B$3:$B$5001,$A$373,BD!$V$3:$V$5001,"&lt;&gt;")=0,"",SUMIFS(BD!$V$3:$V$5001,BD!$A$3:$A$5001,AE$3,BD!$B$3:$B$5001,$A$373)))</f>
        <v/>
      </c>
      <c r="AF392" s="199" t="str">
        <f>IF(AF$3="","",IF(COUNTIFS(BD!$A$3:$A$5001,AF$3,BD!$B$3:$B$5001,$A$373,BD!$V$3:$V$5001,"&lt;&gt;")=0,"",SUMIFS(BD!$V$3:$V$5001,BD!$A$3:$A$5001,AF$3,BD!$B$3:$B$5001,$A$373)))</f>
        <v/>
      </c>
      <c r="AG392" s="199" t="str">
        <f>IF(AG$3="","",IF(COUNTIFS(BD!$A$3:$A$5001,AG$3,BD!$B$3:$B$5001,$A$373,BD!$V$3:$V$5001,"&lt;&gt;")=0,"",SUMIFS(BD!$V$3:$V$5001,BD!$A$3:$A$5001,AG$3,BD!$B$3:$B$5001,$A$373)))</f>
        <v/>
      </c>
      <c r="AH392" s="199" t="str">
        <f>IF(AH$3="","",IF(COUNTIFS(BD!$A$3:$A$5001,AH$3,BD!$B$3:$B$5001,$A$373,BD!$V$3:$V$5001,"&lt;&gt;")=0,"",SUMIFS(BD!$V$3:$V$5001,BD!$A$3:$A$5001,AH$3,BD!$B$3:$B$5001,$A$373)))</f>
        <v/>
      </c>
      <c r="AI392" s="199" t="str">
        <f>IF(AI$3="","",IF(COUNTIFS(BD!$A$3:$A$5001,AI$3,BD!$B$3:$B$5001,$A$373,BD!$V$3:$V$5001,"&lt;&gt;")=0,"",SUMIFS(BD!$V$3:$V$5001,BD!$A$3:$A$5001,AI$3,BD!$B$3:$B$5001,$A$373)))</f>
        <v/>
      </c>
      <c r="AJ392" s="200" t="str">
        <f>IF(AJ$3="","",IF(COUNTIFS(BD!$A$3:$A$5001,AJ$3,BD!$B$3:$B$5001,$A$373,BD!$V$3:$V$5001,"&lt;&gt;")=0,"",SUMIFS(BD!$V$3:$V$5001,BD!$A$3:$A$5001,AJ$3,BD!$B$3:$B$5001,$A$373)))</f>
        <v/>
      </c>
      <c r="AK392" s="196" t="str">
        <f>IFERROR(LOOKUP(9.99E+307,F392:AJ392),"")</f>
        <v/>
      </c>
    </row>
    <row r="393" ht="15.75" customHeight="1" hidden="1">
      <c r="A393" s="244"/>
      <c r="B393" s="232" t="inlineStr">
        <is>
          <t xml:space="preserve">OCUPAÇÃO (P.P)</t>
        </is>
      </c>
      <c r="C393" s="155" t="inlineStr">
        <is>
          <t xml:space="preserve">Posições Disponíveis</t>
        </is>
      </c>
      <c r="D393" s="156" t="str">
        <f>IFERROR(1/(1/INDEX(BD!$AJ$43:$BD$43,MATCH($A$373,BD!$AJ$22:$BD$22,0))),"")</f>
        <v/>
      </c>
      <c r="E393" s="157"/>
      <c r="F393" s="158" t="str">
        <f>IF(F$3="","",IF(COUNTIFS(BD!$A$3:$A$5001,F$3,BD!$B$3:$B$5001,$A$373,BD!$W$3:$W$5001,"&lt;&gt;")=0,"",SUMIFS(BD!$W$3:$W$5001,BD!$A$3:$A$5001,F$3,BD!$B$3:$B$5001,$A$373)))</f>
        <v/>
      </c>
      <c r="G393" s="159" t="str">
        <f>IF(G$3="","",IF(COUNTIFS(BD!$A$3:$A$5001,G$3,BD!$B$3:$B$5001,$A$373,BD!$W$3:$W$5001,"&lt;&gt;")=0,"",SUMIFS(BD!$W$3:$W$5001,BD!$A$3:$A$5001,G$3,BD!$B$3:$B$5001,$A$373)))</f>
        <v/>
      </c>
      <c r="H393" s="159" t="str">
        <f>IF(H$3="","",IF(COUNTIFS(BD!$A$3:$A$5001,H$3,BD!$B$3:$B$5001,$A$373,BD!$W$3:$W$5001,"&lt;&gt;")=0,"",SUMIFS(BD!$W$3:$W$5001,BD!$A$3:$A$5001,H$3,BD!$B$3:$B$5001,$A$373)))</f>
        <v/>
      </c>
      <c r="I393" s="159" t="str">
        <f>IF(I$3="","",IF(COUNTIFS(BD!$A$3:$A$5001,I$3,BD!$B$3:$B$5001,$A$373,BD!$W$3:$W$5001,"&lt;&gt;")=0,"",SUMIFS(BD!$W$3:$W$5001,BD!$A$3:$A$5001,I$3,BD!$B$3:$B$5001,$A$373)))</f>
        <v/>
      </c>
      <c r="J393" s="159" t="str">
        <f>IF(J$3="","",IF(COUNTIFS(BD!$A$3:$A$5001,J$3,BD!$B$3:$B$5001,$A$373,BD!$W$3:$W$5001,"&lt;&gt;")=0,"",SUMIFS(BD!$W$3:$W$5001,BD!$A$3:$A$5001,J$3,BD!$B$3:$B$5001,$A$373)))</f>
        <v/>
      </c>
      <c r="K393" s="159" t="str">
        <f>IF(K$3="","",IF(COUNTIFS(BD!$A$3:$A$5001,K$3,BD!$B$3:$B$5001,$A$373,BD!$W$3:$W$5001,"&lt;&gt;")=0,"",SUMIFS(BD!$W$3:$W$5001,BD!$A$3:$A$5001,K$3,BD!$B$3:$B$5001,$A$373)))</f>
        <v/>
      </c>
      <c r="L393" s="159" t="str">
        <f>IF(L$3="","",IF(COUNTIFS(BD!$A$3:$A$5001,L$3,BD!$B$3:$B$5001,$A$373,BD!$W$3:$W$5001,"&lt;&gt;")=0,"",SUMIFS(BD!$W$3:$W$5001,BD!$A$3:$A$5001,L$3,BD!$B$3:$B$5001,$A$373)))</f>
        <v/>
      </c>
      <c r="M393" s="159" t="str">
        <f>IF(M$3="","",IF(COUNTIFS(BD!$A$3:$A$5001,M$3,BD!$B$3:$B$5001,$A$373,BD!$W$3:$W$5001,"&lt;&gt;")=0,"",SUMIFS(BD!$W$3:$W$5001,BD!$A$3:$A$5001,M$3,BD!$B$3:$B$5001,$A$373)))</f>
        <v/>
      </c>
      <c r="N393" s="159" t="str">
        <f>IF(N$3="","",IF(COUNTIFS(BD!$A$3:$A$5001,N$3,BD!$B$3:$B$5001,$A$373,BD!$W$3:$W$5001,"&lt;&gt;")=0,"",SUMIFS(BD!$W$3:$W$5001,BD!$A$3:$A$5001,N$3,BD!$B$3:$B$5001,$A$373)))</f>
        <v/>
      </c>
      <c r="O393" s="159" t="str">
        <f>IF(O$3="","",IF(COUNTIFS(BD!$A$3:$A$5001,O$3,BD!$B$3:$B$5001,$A$373,BD!$W$3:$W$5001,"&lt;&gt;")=0,"",SUMIFS(BD!$W$3:$W$5001,BD!$A$3:$A$5001,O$3,BD!$B$3:$B$5001,$A$373)))</f>
        <v/>
      </c>
      <c r="P393" s="159" t="str">
        <f>IF(P$3="","",IF(COUNTIFS(BD!$A$3:$A$5001,P$3,BD!$B$3:$B$5001,$A$373,BD!$W$3:$W$5001,"&lt;&gt;")=0,"",SUMIFS(BD!$W$3:$W$5001,BD!$A$3:$A$5001,P$3,BD!$B$3:$B$5001,$A$373)))</f>
        <v/>
      </c>
      <c r="Q393" s="159" t="str">
        <f>IF(Q$3="","",IF(COUNTIFS(BD!$A$3:$A$5001,Q$3,BD!$B$3:$B$5001,$A$373,BD!$W$3:$W$5001,"&lt;&gt;")=0,"",SUMIFS(BD!$W$3:$W$5001,BD!$A$3:$A$5001,Q$3,BD!$B$3:$B$5001,$A$373)))</f>
        <v/>
      </c>
      <c r="R393" s="159" t="str">
        <f>IF(R$3="","",IF(COUNTIFS(BD!$A$3:$A$5001,R$3,BD!$B$3:$B$5001,$A$373,BD!$W$3:$W$5001,"&lt;&gt;")=0,"",SUMIFS(BD!$W$3:$W$5001,BD!$A$3:$A$5001,R$3,BD!$B$3:$B$5001,$A$373)))</f>
        <v/>
      </c>
      <c r="S393" s="159" t="str">
        <f>IF(S$3="","",IF(COUNTIFS(BD!$A$3:$A$5001,S$3,BD!$B$3:$B$5001,$A$373,BD!$W$3:$W$5001,"&lt;&gt;")=0,"",SUMIFS(BD!$W$3:$W$5001,BD!$A$3:$A$5001,S$3,BD!$B$3:$B$5001,$A$373)))</f>
        <v/>
      </c>
      <c r="T393" s="159" t="str">
        <f>IF(T$3="","",IF(COUNTIFS(BD!$A$3:$A$5001,T$3,BD!$B$3:$B$5001,$A$373,BD!$W$3:$W$5001,"&lt;&gt;")=0,"",SUMIFS(BD!$W$3:$W$5001,BD!$A$3:$A$5001,T$3,BD!$B$3:$B$5001,$A$373)))</f>
        <v/>
      </c>
      <c r="U393" s="159" t="str">
        <f>IF(U$3="","",IF(COUNTIFS(BD!$A$3:$A$5001,U$3,BD!$B$3:$B$5001,$A$373,BD!$W$3:$W$5001,"&lt;&gt;")=0,"",SUMIFS(BD!$W$3:$W$5001,BD!$A$3:$A$5001,U$3,BD!$B$3:$B$5001,$A$373)))</f>
        <v/>
      </c>
      <c r="V393" s="159" t="str">
        <f>IF(V$3="","",IF(COUNTIFS(BD!$A$3:$A$5001,V$3,BD!$B$3:$B$5001,$A$373,BD!$W$3:$W$5001,"&lt;&gt;")=0,"",SUMIFS(BD!$W$3:$W$5001,BD!$A$3:$A$5001,V$3,BD!$B$3:$B$5001,$A$373)))</f>
        <v/>
      </c>
      <c r="W393" s="159" t="str">
        <f>IF(W$3="","",IF(COUNTIFS(BD!$A$3:$A$5001,W$3,BD!$B$3:$B$5001,$A$373,BD!$W$3:$W$5001,"&lt;&gt;")=0,"",SUMIFS(BD!$W$3:$W$5001,BD!$A$3:$A$5001,W$3,BD!$B$3:$B$5001,$A$373)))</f>
        <v/>
      </c>
      <c r="X393" s="159" t="str">
        <f>IF(X$3="","",IF(COUNTIFS(BD!$A$3:$A$5001,X$3,BD!$B$3:$B$5001,$A$373,BD!$W$3:$W$5001,"&lt;&gt;")=0,"",SUMIFS(BD!$W$3:$W$5001,BD!$A$3:$A$5001,X$3,BD!$B$3:$B$5001,$A$373)))</f>
        <v/>
      </c>
      <c r="Y393" s="159" t="str">
        <f>IF(Y$3="","",IF(COUNTIFS(BD!$A$3:$A$5001,Y$3,BD!$B$3:$B$5001,$A$373,BD!$W$3:$W$5001,"&lt;&gt;")=0,"",SUMIFS(BD!$W$3:$W$5001,BD!$A$3:$A$5001,Y$3,BD!$B$3:$B$5001,$A$373)))</f>
        <v/>
      </c>
      <c r="Z393" s="159" t="str">
        <f>IF(Z$3="","",IF(COUNTIFS(BD!$A$3:$A$5001,Z$3,BD!$B$3:$B$5001,$A$373,BD!$W$3:$W$5001,"&lt;&gt;")=0,"",SUMIFS(BD!$W$3:$W$5001,BD!$A$3:$A$5001,Z$3,BD!$B$3:$B$5001,$A$373)))</f>
        <v/>
      </c>
      <c r="AA393" s="159" t="str">
        <f>IF(AA$3="","",IF(COUNTIFS(BD!$A$3:$A$5001,AA$3,BD!$B$3:$B$5001,$A$373,BD!$W$3:$W$5001,"&lt;&gt;")=0,"",SUMIFS(BD!$W$3:$W$5001,BD!$A$3:$A$5001,AA$3,BD!$B$3:$B$5001,$A$373)))</f>
        <v/>
      </c>
      <c r="AB393" s="159" t="str">
        <f>IF(AB$3="","",IF(COUNTIFS(BD!$A$3:$A$5001,AB$3,BD!$B$3:$B$5001,$A$373,BD!$W$3:$W$5001,"&lt;&gt;")=0,"",SUMIFS(BD!$W$3:$W$5001,BD!$A$3:$A$5001,AB$3,BD!$B$3:$B$5001,$A$373)))</f>
        <v/>
      </c>
      <c r="AC393" s="159" t="str">
        <f>IF(AC$3="","",IF(COUNTIFS(BD!$A$3:$A$5001,AC$3,BD!$B$3:$B$5001,$A$373,BD!$W$3:$W$5001,"&lt;&gt;")=0,"",SUMIFS(BD!$W$3:$W$5001,BD!$A$3:$A$5001,AC$3,BD!$B$3:$B$5001,$A$373)))</f>
        <v/>
      </c>
      <c r="AD393" s="159" t="str">
        <f>IF(AD$3="","",IF(COUNTIFS(BD!$A$3:$A$5001,AD$3,BD!$B$3:$B$5001,$A$373,BD!$W$3:$W$5001,"&lt;&gt;")=0,"",SUMIFS(BD!$W$3:$W$5001,BD!$A$3:$A$5001,AD$3,BD!$B$3:$B$5001,$A$373)))</f>
        <v/>
      </c>
      <c r="AE393" s="159" t="str">
        <f>IF(AE$3="","",IF(COUNTIFS(BD!$A$3:$A$5001,AE$3,BD!$B$3:$B$5001,$A$373,BD!$W$3:$W$5001,"&lt;&gt;")=0,"",SUMIFS(BD!$W$3:$W$5001,BD!$A$3:$A$5001,AE$3,BD!$B$3:$B$5001,$A$373)))</f>
        <v/>
      </c>
      <c r="AF393" s="159" t="str">
        <f>IF(AF$3="","",IF(COUNTIFS(BD!$A$3:$A$5001,AF$3,BD!$B$3:$B$5001,$A$373,BD!$W$3:$W$5001,"&lt;&gt;")=0,"",SUMIFS(BD!$W$3:$W$5001,BD!$A$3:$A$5001,AF$3,BD!$B$3:$B$5001,$A$373)))</f>
        <v/>
      </c>
      <c r="AG393" s="159" t="str">
        <f>IF(AG$3="","",IF(COUNTIFS(BD!$A$3:$A$5001,AG$3,BD!$B$3:$B$5001,$A$373,BD!$W$3:$W$5001,"&lt;&gt;")=0,"",SUMIFS(BD!$W$3:$W$5001,BD!$A$3:$A$5001,AG$3,BD!$B$3:$B$5001,$A$373)))</f>
        <v/>
      </c>
      <c r="AH393" s="159" t="str">
        <f>IF(AH$3="","",IF(COUNTIFS(BD!$A$3:$A$5001,AH$3,BD!$B$3:$B$5001,$A$373,BD!$W$3:$W$5001,"&lt;&gt;")=0,"",SUMIFS(BD!$W$3:$W$5001,BD!$A$3:$A$5001,AH$3,BD!$B$3:$B$5001,$A$373)))</f>
        <v/>
      </c>
      <c r="AI393" s="159" t="str">
        <f>IF(AI$3="","",IF(COUNTIFS(BD!$A$3:$A$5001,AI$3,BD!$B$3:$B$5001,$A$373,BD!$W$3:$W$5001,"&lt;&gt;")=0,"",SUMIFS(BD!$W$3:$W$5001,BD!$A$3:$A$5001,AI$3,BD!$B$3:$B$5001,$A$373)))</f>
        <v/>
      </c>
      <c r="AJ393" s="160" t="str">
        <f>IF(AJ$3="","",IF(COUNTIFS(BD!$A$3:$A$5001,AJ$3,BD!$B$3:$B$5001,$A$373,BD!$W$3:$W$5001,"&lt;&gt;")=0,"",SUMIFS(BD!$W$3:$W$5001,BD!$A$3:$A$5001,AJ$3,BD!$B$3:$B$5001,$A$373)))</f>
        <v/>
      </c>
      <c r="AK393" s="161" t="str">
        <f>IF(COUNT(F393:AJ393)&gt;0,LOOKUP(9.99E+307,F393:AJ393),IFERROR(IF(INDEX(BD!$AG$3:$AG$5001,MATCH($A$373,BD!$B$3:$B$5001,0))&amp;""="Contrato","",INDEX(BD!$AG$3:$AG$5001,MATCH($A$373,BD!$B$3:$B$5001,0))&amp;""),""))</f>
        <v/>
      </c>
    </row>
    <row r="394" ht="15.75" customHeight="1" hidden="1">
      <c r="A394" s="244"/>
      <c r="B394" s="239"/>
      <c r="C394" s="201" t="inlineStr">
        <is>
          <t xml:space="preserve">Posições Ocupadas</t>
        </is>
      </c>
      <c r="D394" s="202" t="str">
        <f>IFERROR(1/(1/INDEX(BD!$AJ$44:$BD$44,MATCH($A$373,BD!$AJ$22:$BD$22,0))),"")</f>
        <v/>
      </c>
      <c r="E394" s="203"/>
      <c r="F394" s="204" t="str">
        <f>IF(F$3="","",IF(COUNTIFS(BD!$A$3:$A$5001,F$3,BD!$B$3:$B$5001,$A$373,BD!$X$3:$X$5001,"&lt;&gt;")=0,"",SUMIFS(BD!$X$3:$X$5001,BD!$A$3:$A$5001,F$3,BD!$B$3:$B$5001,$A$373)))</f>
        <v/>
      </c>
      <c r="G394" s="205" t="str">
        <f>IF(G$3="","",IF(COUNTIFS(BD!$A$3:$A$5001,G$3,BD!$B$3:$B$5001,$A$373,BD!$X$3:$X$5001,"&lt;&gt;")=0,"",SUMIFS(BD!$X$3:$X$5001,BD!$A$3:$A$5001,G$3,BD!$B$3:$B$5001,$A$373)))</f>
        <v/>
      </c>
      <c r="H394" s="205" t="str">
        <f>IF(H$3="","",IF(COUNTIFS(BD!$A$3:$A$5001,H$3,BD!$B$3:$B$5001,$A$373,BD!$X$3:$X$5001,"&lt;&gt;")=0,"",SUMIFS(BD!$X$3:$X$5001,BD!$A$3:$A$5001,H$3,BD!$B$3:$B$5001,$A$373)))</f>
        <v/>
      </c>
      <c r="I394" s="205" t="str">
        <f>IF(I$3="","",IF(COUNTIFS(BD!$A$3:$A$5001,I$3,BD!$B$3:$B$5001,$A$373,BD!$X$3:$X$5001,"&lt;&gt;")=0,"",SUMIFS(BD!$X$3:$X$5001,BD!$A$3:$A$5001,I$3,BD!$B$3:$B$5001,$A$373)))</f>
        <v/>
      </c>
      <c r="J394" s="205" t="str">
        <f>IF(J$3="","",IF(COUNTIFS(BD!$A$3:$A$5001,J$3,BD!$B$3:$B$5001,$A$373,BD!$X$3:$X$5001,"&lt;&gt;")=0,"",SUMIFS(BD!$X$3:$X$5001,BD!$A$3:$A$5001,J$3,BD!$B$3:$B$5001,$A$373)))</f>
        <v/>
      </c>
      <c r="K394" s="205" t="str">
        <f>IF(K$3="","",IF(COUNTIFS(BD!$A$3:$A$5001,K$3,BD!$B$3:$B$5001,$A$373,BD!$X$3:$X$5001,"&lt;&gt;")=0,"",SUMIFS(BD!$X$3:$X$5001,BD!$A$3:$A$5001,K$3,BD!$B$3:$B$5001,$A$373)))</f>
        <v/>
      </c>
      <c r="L394" s="205" t="str">
        <f>IF(L$3="","",IF(COUNTIFS(BD!$A$3:$A$5001,L$3,BD!$B$3:$B$5001,$A$373,BD!$X$3:$X$5001,"&lt;&gt;")=0,"",SUMIFS(BD!$X$3:$X$5001,BD!$A$3:$A$5001,L$3,BD!$B$3:$B$5001,$A$373)))</f>
        <v/>
      </c>
      <c r="M394" s="205" t="str">
        <f>IF(M$3="","",IF(COUNTIFS(BD!$A$3:$A$5001,M$3,BD!$B$3:$B$5001,$A$373,BD!$X$3:$X$5001,"&lt;&gt;")=0,"",SUMIFS(BD!$X$3:$X$5001,BD!$A$3:$A$5001,M$3,BD!$B$3:$B$5001,$A$373)))</f>
        <v/>
      </c>
      <c r="N394" s="205" t="str">
        <f>IF(N$3="","",IF(COUNTIFS(BD!$A$3:$A$5001,N$3,BD!$B$3:$B$5001,$A$373,BD!$X$3:$X$5001,"&lt;&gt;")=0,"",SUMIFS(BD!$X$3:$X$5001,BD!$A$3:$A$5001,N$3,BD!$B$3:$B$5001,$A$373)))</f>
        <v/>
      </c>
      <c r="O394" s="205" t="str">
        <f>IF(O$3="","",IF(COUNTIFS(BD!$A$3:$A$5001,O$3,BD!$B$3:$B$5001,$A$373,BD!$X$3:$X$5001,"&lt;&gt;")=0,"",SUMIFS(BD!$X$3:$X$5001,BD!$A$3:$A$5001,O$3,BD!$B$3:$B$5001,$A$373)))</f>
        <v/>
      </c>
      <c r="P394" s="205" t="str">
        <f>IF(P$3="","",IF(COUNTIFS(BD!$A$3:$A$5001,P$3,BD!$B$3:$B$5001,$A$373,BD!$X$3:$X$5001,"&lt;&gt;")=0,"",SUMIFS(BD!$X$3:$X$5001,BD!$A$3:$A$5001,P$3,BD!$B$3:$B$5001,$A$373)))</f>
        <v/>
      </c>
      <c r="Q394" s="205" t="str">
        <f>IF(Q$3="","",IF(COUNTIFS(BD!$A$3:$A$5001,Q$3,BD!$B$3:$B$5001,$A$373,BD!$X$3:$X$5001,"&lt;&gt;")=0,"",SUMIFS(BD!$X$3:$X$5001,BD!$A$3:$A$5001,Q$3,BD!$B$3:$B$5001,$A$373)))</f>
        <v/>
      </c>
      <c r="R394" s="205" t="str">
        <f>IF(R$3="","",IF(COUNTIFS(BD!$A$3:$A$5001,R$3,BD!$B$3:$B$5001,$A$373,BD!$X$3:$X$5001,"&lt;&gt;")=0,"",SUMIFS(BD!$X$3:$X$5001,BD!$A$3:$A$5001,R$3,BD!$B$3:$B$5001,$A$373)))</f>
        <v/>
      </c>
      <c r="S394" s="205" t="str">
        <f>IF(S$3="","",IF(COUNTIFS(BD!$A$3:$A$5001,S$3,BD!$B$3:$B$5001,$A$373,BD!$X$3:$X$5001,"&lt;&gt;")=0,"",SUMIFS(BD!$X$3:$X$5001,BD!$A$3:$A$5001,S$3,BD!$B$3:$B$5001,$A$373)))</f>
        <v/>
      </c>
      <c r="T394" s="205" t="str">
        <f>IF(T$3="","",IF(COUNTIFS(BD!$A$3:$A$5001,T$3,BD!$B$3:$B$5001,$A$373,BD!$X$3:$X$5001,"&lt;&gt;")=0,"",SUMIFS(BD!$X$3:$X$5001,BD!$A$3:$A$5001,T$3,BD!$B$3:$B$5001,$A$373)))</f>
        <v/>
      </c>
      <c r="U394" s="205" t="str">
        <f>IF(U$3="","",IF(COUNTIFS(BD!$A$3:$A$5001,U$3,BD!$B$3:$B$5001,$A$373,BD!$X$3:$X$5001,"&lt;&gt;")=0,"",SUMIFS(BD!$X$3:$X$5001,BD!$A$3:$A$5001,U$3,BD!$B$3:$B$5001,$A$373)))</f>
        <v/>
      </c>
      <c r="V394" s="205" t="str">
        <f>IF(V$3="","",IF(COUNTIFS(BD!$A$3:$A$5001,V$3,BD!$B$3:$B$5001,$A$373,BD!$X$3:$X$5001,"&lt;&gt;")=0,"",SUMIFS(BD!$X$3:$X$5001,BD!$A$3:$A$5001,V$3,BD!$B$3:$B$5001,$A$373)))</f>
        <v/>
      </c>
      <c r="W394" s="205" t="str">
        <f>IF(W$3="","",IF(COUNTIFS(BD!$A$3:$A$5001,W$3,BD!$B$3:$B$5001,$A$373,BD!$X$3:$X$5001,"&lt;&gt;")=0,"",SUMIFS(BD!$X$3:$X$5001,BD!$A$3:$A$5001,W$3,BD!$B$3:$B$5001,$A$373)))</f>
        <v/>
      </c>
      <c r="X394" s="205" t="str">
        <f>IF(X$3="","",IF(COUNTIFS(BD!$A$3:$A$5001,X$3,BD!$B$3:$B$5001,$A$373,BD!$X$3:$X$5001,"&lt;&gt;")=0,"",SUMIFS(BD!$X$3:$X$5001,BD!$A$3:$A$5001,X$3,BD!$B$3:$B$5001,$A$373)))</f>
        <v/>
      </c>
      <c r="Y394" s="205" t="str">
        <f>IF(Y$3="","",IF(COUNTIFS(BD!$A$3:$A$5001,Y$3,BD!$B$3:$B$5001,$A$373,BD!$X$3:$X$5001,"&lt;&gt;")=0,"",SUMIFS(BD!$X$3:$X$5001,BD!$A$3:$A$5001,Y$3,BD!$B$3:$B$5001,$A$373)))</f>
        <v/>
      </c>
      <c r="Z394" s="205" t="str">
        <f>IF(Z$3="","",IF(COUNTIFS(BD!$A$3:$A$5001,Z$3,BD!$B$3:$B$5001,$A$373,BD!$X$3:$X$5001,"&lt;&gt;")=0,"",SUMIFS(BD!$X$3:$X$5001,BD!$A$3:$A$5001,Z$3,BD!$B$3:$B$5001,$A$373)))</f>
        <v/>
      </c>
      <c r="AA394" s="205" t="str">
        <f>IF(AA$3="","",IF(COUNTIFS(BD!$A$3:$A$5001,AA$3,BD!$B$3:$B$5001,$A$373,BD!$X$3:$X$5001,"&lt;&gt;")=0,"",SUMIFS(BD!$X$3:$X$5001,BD!$A$3:$A$5001,AA$3,BD!$B$3:$B$5001,$A$373)))</f>
        <v/>
      </c>
      <c r="AB394" s="205" t="str">
        <f>IF(AB$3="","",IF(COUNTIFS(BD!$A$3:$A$5001,AB$3,BD!$B$3:$B$5001,$A$373,BD!$X$3:$X$5001,"&lt;&gt;")=0,"",SUMIFS(BD!$X$3:$X$5001,BD!$A$3:$A$5001,AB$3,BD!$B$3:$B$5001,$A$373)))</f>
        <v/>
      </c>
      <c r="AC394" s="205" t="str">
        <f>IF(AC$3="","",IF(COUNTIFS(BD!$A$3:$A$5001,AC$3,BD!$B$3:$B$5001,$A$373,BD!$X$3:$X$5001,"&lt;&gt;")=0,"",SUMIFS(BD!$X$3:$X$5001,BD!$A$3:$A$5001,AC$3,BD!$B$3:$B$5001,$A$373)))</f>
        <v/>
      </c>
      <c r="AD394" s="205" t="str">
        <f>IF(AD$3="","",IF(COUNTIFS(BD!$A$3:$A$5001,AD$3,BD!$B$3:$B$5001,$A$373,BD!$X$3:$X$5001,"&lt;&gt;")=0,"",SUMIFS(BD!$X$3:$X$5001,BD!$A$3:$A$5001,AD$3,BD!$B$3:$B$5001,$A$373)))</f>
        <v/>
      </c>
      <c r="AE394" s="205" t="str">
        <f>IF(AE$3="","",IF(COUNTIFS(BD!$A$3:$A$5001,AE$3,BD!$B$3:$B$5001,$A$373,BD!$X$3:$X$5001,"&lt;&gt;")=0,"",SUMIFS(BD!$X$3:$X$5001,BD!$A$3:$A$5001,AE$3,BD!$B$3:$B$5001,$A$373)))</f>
        <v/>
      </c>
      <c r="AF394" s="205" t="str">
        <f>IF(AF$3="","",IF(COUNTIFS(BD!$A$3:$A$5001,AF$3,BD!$B$3:$B$5001,$A$373,BD!$X$3:$X$5001,"&lt;&gt;")=0,"",SUMIFS(BD!$X$3:$X$5001,BD!$A$3:$A$5001,AF$3,BD!$B$3:$B$5001,$A$373)))</f>
        <v/>
      </c>
      <c r="AG394" s="205" t="str">
        <f>IF(AG$3="","",IF(COUNTIFS(BD!$A$3:$A$5001,AG$3,BD!$B$3:$B$5001,$A$373,BD!$X$3:$X$5001,"&lt;&gt;")=0,"",SUMIFS(BD!$X$3:$X$5001,BD!$A$3:$A$5001,AG$3,BD!$B$3:$B$5001,$A$373)))</f>
        <v/>
      </c>
      <c r="AH394" s="205" t="str">
        <f>IF(AH$3="","",IF(COUNTIFS(BD!$A$3:$A$5001,AH$3,BD!$B$3:$B$5001,$A$373,BD!$X$3:$X$5001,"&lt;&gt;")=0,"",SUMIFS(BD!$X$3:$X$5001,BD!$A$3:$A$5001,AH$3,BD!$B$3:$B$5001,$A$373)))</f>
        <v/>
      </c>
      <c r="AI394" s="205" t="str">
        <f>IF(AI$3="","",IF(COUNTIFS(BD!$A$3:$A$5001,AI$3,BD!$B$3:$B$5001,$A$373,BD!$X$3:$X$5001,"&lt;&gt;")=0,"",SUMIFS(BD!$X$3:$X$5001,BD!$A$3:$A$5001,AI$3,BD!$B$3:$B$5001,$A$373)))</f>
        <v/>
      </c>
      <c r="AJ394" s="206" t="str">
        <f>IF(AJ$3="","",IF(COUNTIFS(BD!$A$3:$A$5001,AJ$3,BD!$B$3:$B$5001,$A$373,BD!$X$3:$X$5001,"&lt;&gt;")=0,"",SUMIFS(BD!$X$3:$X$5001,BD!$A$3:$A$5001,AJ$3,BD!$B$3:$B$5001,$A$373)))</f>
        <v/>
      </c>
      <c r="AK394" s="207" t="str">
        <f>IFERROR(LOOKUP(9.99E+307,F394:AJ394),"")</f>
        <v/>
      </c>
    </row>
    <row r="395" ht="15.75" customHeight="1" hidden="1">
      <c r="A395" s="244"/>
      <c r="B395" s="233"/>
      <c r="C395" s="162" t="inlineStr">
        <is>
          <t xml:space="preserve">Taxa de Ocupação</t>
        </is>
      </c>
      <c r="D395" s="208" t="str">
        <f>IFERROR(1/(1/INDEX(BD!$AJ$45:$BD$45,MATCH($A$373,BD!$AJ$22:$BD$22,0))),"")</f>
        <v/>
      </c>
      <c r="E395" s="164"/>
      <c r="F395" s="209" t="str">
        <f>IF(AND(ISNUMBER(F393),ISNUMBER(F394)),IF(F393&gt;0,F394/F393,""),"")</f>
        <v/>
      </c>
      <c r="G395" s="210" t="str">
        <f>IF(AND(ISNUMBER(G393),ISNUMBER(G394)),IF(G393&gt;0,G394/G393,""),"")</f>
        <v/>
      </c>
      <c r="H395" s="210" t="str">
        <f>IF(AND(ISNUMBER(H393),ISNUMBER(H394)),IF(H393&gt;0,H394/H393,""),"")</f>
        <v/>
      </c>
      <c r="I395" s="210" t="str">
        <f>IF(AND(ISNUMBER(I393),ISNUMBER(I394)),IF(I393&gt;0,I394/I393,""),"")</f>
        <v/>
      </c>
      <c r="J395" s="210" t="str">
        <f>IF(AND(ISNUMBER(J393),ISNUMBER(J394)),IF(J393&gt;0,J394/J393,""),"")</f>
        <v/>
      </c>
      <c r="K395" s="210" t="str">
        <f>IF(AND(ISNUMBER(K393),ISNUMBER(K394)),IF(K393&gt;0,K394/K393,""),"")</f>
        <v/>
      </c>
      <c r="L395" s="210" t="str">
        <f>IF(AND(ISNUMBER(L393),ISNUMBER(L394)),IF(L393&gt;0,L394/L393,""),"")</f>
        <v/>
      </c>
      <c r="M395" s="210" t="str">
        <f>IF(AND(ISNUMBER(M393),ISNUMBER(M394)),IF(M393&gt;0,M394/M393,""),"")</f>
        <v/>
      </c>
      <c r="N395" s="210" t="str">
        <f>IF(AND(ISNUMBER(N393),ISNUMBER(N394)),IF(N393&gt;0,N394/N393,""),"")</f>
        <v/>
      </c>
      <c r="O395" s="210" t="str">
        <f>IF(AND(ISNUMBER(O393),ISNUMBER(O394)),IF(O393&gt;0,O394/O393,""),"")</f>
        <v/>
      </c>
      <c r="P395" s="210" t="str">
        <f>IF(AND(ISNUMBER(P393),ISNUMBER(P394)),IF(P393&gt;0,P394/P393,""),"")</f>
        <v/>
      </c>
      <c r="Q395" s="210" t="str">
        <f>IF(AND(ISNUMBER(Q393),ISNUMBER(Q394)),IF(Q393&gt;0,Q394/Q393,""),"")</f>
        <v/>
      </c>
      <c r="R395" s="210" t="str">
        <f>IF(AND(ISNUMBER(R393),ISNUMBER(R394)),IF(R393&gt;0,R394/R393,""),"")</f>
        <v/>
      </c>
      <c r="S395" s="210" t="str">
        <f>IF(AND(ISNUMBER(S393),ISNUMBER(S394)),IF(S393&gt;0,S394/S393,""),"")</f>
        <v/>
      </c>
      <c r="T395" s="210" t="str">
        <f>IF(AND(ISNUMBER(T393),ISNUMBER(T394)),IF(T393&gt;0,T394/T393,""),"")</f>
        <v/>
      </c>
      <c r="U395" s="210" t="str">
        <f>IF(AND(ISNUMBER(U393),ISNUMBER(U394)),IF(U393&gt;0,U394/U393,""),"")</f>
        <v/>
      </c>
      <c r="V395" s="210" t="str">
        <f>IF(AND(ISNUMBER(V393),ISNUMBER(V394)),IF(V393&gt;0,V394/V393,""),"")</f>
        <v/>
      </c>
      <c r="W395" s="210" t="str">
        <f>IF(AND(ISNUMBER(W393),ISNUMBER(W394)),IF(W393&gt;0,W394/W393,""),"")</f>
        <v/>
      </c>
      <c r="X395" s="210" t="str">
        <f>IF(AND(ISNUMBER(X393),ISNUMBER(X394)),IF(X393&gt;0,X394/X393,""),"")</f>
        <v/>
      </c>
      <c r="Y395" s="210" t="str">
        <f>IF(AND(ISNUMBER(Y393),ISNUMBER(Y394)),IF(Y393&gt;0,Y394/Y393,""),"")</f>
        <v/>
      </c>
      <c r="Z395" s="210" t="str">
        <f>IF(AND(ISNUMBER(Z393),ISNUMBER(Z394)),IF(Z393&gt;0,Z394/Z393,""),"")</f>
        <v/>
      </c>
      <c r="AA395" s="210" t="str">
        <f>IF(AND(ISNUMBER(AA393),ISNUMBER(AA394)),IF(AA393&gt;0,AA394/AA393,""),"")</f>
        <v/>
      </c>
      <c r="AB395" s="210" t="str">
        <f>IF(AND(ISNUMBER(AB393),ISNUMBER(AB394)),IF(AB393&gt;0,AB394/AB393,""),"")</f>
        <v/>
      </c>
      <c r="AC395" s="210" t="str">
        <f>IF(AND(ISNUMBER(AC393),ISNUMBER(AC394)),IF(AC393&gt;0,AC394/AC393,""),"")</f>
        <v/>
      </c>
      <c r="AD395" s="210" t="str">
        <f>IF(AND(ISNUMBER(AD393),ISNUMBER(AD394)),IF(AD393&gt;0,AD394/AD393,""),"")</f>
        <v/>
      </c>
      <c r="AE395" s="210" t="str">
        <f>IF(AND(ISNUMBER(AE393),ISNUMBER(AE394)),IF(AE393&gt;0,AE394/AE393,""),"")</f>
        <v/>
      </c>
      <c r="AF395" s="210" t="str">
        <f>IF(AND(ISNUMBER(AF393),ISNUMBER(AF394)),IF(AF393&gt;0,AF394/AF393,""),"")</f>
        <v/>
      </c>
      <c r="AG395" s="210" t="str">
        <f>IF(AND(ISNUMBER(AG393),ISNUMBER(AG394)),IF(AG393&gt;0,AG394/AG393,""),"")</f>
        <v/>
      </c>
      <c r="AH395" s="210" t="str">
        <f>IF(AND(ISNUMBER(AH393),ISNUMBER(AH394)),IF(AH393&gt;0,AH394/AH393,""),"")</f>
        <v/>
      </c>
      <c r="AI395" s="210" t="str">
        <f>IF(AND(ISNUMBER(AI393),ISNUMBER(AI394)),IF(AI393&gt;0,AI394/AI393,""),"")</f>
        <v/>
      </c>
      <c r="AJ395" s="211" t="str">
        <f>IF(AND(ISNUMBER(AJ393),ISNUMBER(AJ394)),IF(AJ393&gt;0,AJ394/AJ393,""),"")</f>
        <v/>
      </c>
      <c r="AK395" s="208" t="str">
        <f>IF(AND(ISNUMBER(AK393),ISNUMBER(AK394)),IF(AK393&gt;0,AK394/AK393,""),"")</f>
        <v/>
      </c>
    </row>
    <row r="396" ht="15.75" customHeight="1" hidden="1">
      <c r="A396" s="244"/>
      <c r="B396" s="240" t="inlineStr">
        <is>
          <t xml:space="preserve">GENTE</t>
        </is>
      </c>
      <c r="C396" s="212" t="inlineStr">
        <is>
          <t xml:space="preserve">Efetivo Op.</t>
        </is>
      </c>
      <c r="D396" s="213" t="str">
        <f>IFERROR(1/(1/INDEX(BD!$AJ$46:$BD$46,MATCH($A$373,BD!$AJ$22:$BD$22,0))),"")</f>
        <v/>
      </c>
      <c r="E396" s="214"/>
      <c r="F396" s="215" t="str">
        <f>IF(F$3="","",IF(COUNTIFS(BD!$A$3:$A$5001,F$3,BD!$B$3:$B$5001,$A$373,BD!$Y$3:$Y$5001,"&lt;&gt;")=0,"",SUMIFS(BD!$Y$3:$Y$5001,BD!$A$3:$A$5001,F$3,BD!$B$3:$B$5001,$A$373)))</f>
        <v/>
      </c>
      <c r="G396" s="216" t="str">
        <f>IF(G$3="","",IF(COUNTIFS(BD!$A$3:$A$5001,G$3,BD!$B$3:$B$5001,$A$373,BD!$Y$3:$Y$5001,"&lt;&gt;")=0,"",SUMIFS(BD!$Y$3:$Y$5001,BD!$A$3:$A$5001,G$3,BD!$B$3:$B$5001,$A$373)))</f>
        <v/>
      </c>
      <c r="H396" s="216" t="str">
        <f>IF(H$3="","",IF(COUNTIFS(BD!$A$3:$A$5001,H$3,BD!$B$3:$B$5001,$A$373,BD!$Y$3:$Y$5001,"&lt;&gt;")=0,"",SUMIFS(BD!$Y$3:$Y$5001,BD!$A$3:$A$5001,H$3,BD!$B$3:$B$5001,$A$373)))</f>
        <v/>
      </c>
      <c r="I396" s="216" t="str">
        <f>IF(I$3="","",IF(COUNTIFS(BD!$A$3:$A$5001,I$3,BD!$B$3:$B$5001,$A$373,BD!$Y$3:$Y$5001,"&lt;&gt;")=0,"",SUMIFS(BD!$Y$3:$Y$5001,BD!$A$3:$A$5001,I$3,BD!$B$3:$B$5001,$A$373)))</f>
        <v/>
      </c>
      <c r="J396" s="216" t="str">
        <f>IF(J$3="","",IF(COUNTIFS(BD!$A$3:$A$5001,J$3,BD!$B$3:$B$5001,$A$373,BD!$Y$3:$Y$5001,"&lt;&gt;")=0,"",SUMIFS(BD!$Y$3:$Y$5001,BD!$A$3:$A$5001,J$3,BD!$B$3:$B$5001,$A$373)))</f>
        <v/>
      </c>
      <c r="K396" s="216" t="str">
        <f>IF(K$3="","",IF(COUNTIFS(BD!$A$3:$A$5001,K$3,BD!$B$3:$B$5001,$A$373,BD!$Y$3:$Y$5001,"&lt;&gt;")=0,"",SUMIFS(BD!$Y$3:$Y$5001,BD!$A$3:$A$5001,K$3,BD!$B$3:$B$5001,$A$373)))</f>
        <v/>
      </c>
      <c r="L396" s="216" t="str">
        <f>IF(L$3="","",IF(COUNTIFS(BD!$A$3:$A$5001,L$3,BD!$B$3:$B$5001,$A$373,BD!$Y$3:$Y$5001,"&lt;&gt;")=0,"",SUMIFS(BD!$Y$3:$Y$5001,BD!$A$3:$A$5001,L$3,BD!$B$3:$B$5001,$A$373)))</f>
        <v/>
      </c>
      <c r="M396" s="216" t="str">
        <f>IF(M$3="","",IF(COUNTIFS(BD!$A$3:$A$5001,M$3,BD!$B$3:$B$5001,$A$373,BD!$Y$3:$Y$5001,"&lt;&gt;")=0,"",SUMIFS(BD!$Y$3:$Y$5001,BD!$A$3:$A$5001,M$3,BD!$B$3:$B$5001,$A$373)))</f>
        <v/>
      </c>
      <c r="N396" s="216" t="str">
        <f>IF(N$3="","",IF(COUNTIFS(BD!$A$3:$A$5001,N$3,BD!$B$3:$B$5001,$A$373,BD!$Y$3:$Y$5001,"&lt;&gt;")=0,"",SUMIFS(BD!$Y$3:$Y$5001,BD!$A$3:$A$5001,N$3,BD!$B$3:$B$5001,$A$373)))</f>
        <v/>
      </c>
      <c r="O396" s="216" t="str">
        <f>IF(O$3="","",IF(COUNTIFS(BD!$A$3:$A$5001,O$3,BD!$B$3:$B$5001,$A$373,BD!$Y$3:$Y$5001,"&lt;&gt;")=0,"",SUMIFS(BD!$Y$3:$Y$5001,BD!$A$3:$A$5001,O$3,BD!$B$3:$B$5001,$A$373)))</f>
        <v/>
      </c>
      <c r="P396" s="216" t="str">
        <f>IF(P$3="","",IF(COUNTIFS(BD!$A$3:$A$5001,P$3,BD!$B$3:$B$5001,$A$373,BD!$Y$3:$Y$5001,"&lt;&gt;")=0,"",SUMIFS(BD!$Y$3:$Y$5001,BD!$A$3:$A$5001,P$3,BD!$B$3:$B$5001,$A$373)))</f>
        <v/>
      </c>
      <c r="Q396" s="216" t="str">
        <f>IF(Q$3="","",IF(COUNTIFS(BD!$A$3:$A$5001,Q$3,BD!$B$3:$B$5001,$A$373,BD!$Y$3:$Y$5001,"&lt;&gt;")=0,"",SUMIFS(BD!$Y$3:$Y$5001,BD!$A$3:$A$5001,Q$3,BD!$B$3:$B$5001,$A$373)))</f>
        <v/>
      </c>
      <c r="R396" s="216" t="str">
        <f>IF(R$3="","",IF(COUNTIFS(BD!$A$3:$A$5001,R$3,BD!$B$3:$B$5001,$A$373,BD!$Y$3:$Y$5001,"&lt;&gt;")=0,"",SUMIFS(BD!$Y$3:$Y$5001,BD!$A$3:$A$5001,R$3,BD!$B$3:$B$5001,$A$373)))</f>
        <v/>
      </c>
      <c r="S396" s="216" t="str">
        <f>IF(S$3="","",IF(COUNTIFS(BD!$A$3:$A$5001,S$3,BD!$B$3:$B$5001,$A$373,BD!$Y$3:$Y$5001,"&lt;&gt;")=0,"",SUMIFS(BD!$Y$3:$Y$5001,BD!$A$3:$A$5001,S$3,BD!$B$3:$B$5001,$A$373)))</f>
        <v/>
      </c>
      <c r="T396" s="216" t="str">
        <f>IF(T$3="","",IF(COUNTIFS(BD!$A$3:$A$5001,T$3,BD!$B$3:$B$5001,$A$373,BD!$Y$3:$Y$5001,"&lt;&gt;")=0,"",SUMIFS(BD!$Y$3:$Y$5001,BD!$A$3:$A$5001,T$3,BD!$B$3:$B$5001,$A$373)))</f>
        <v/>
      </c>
      <c r="U396" s="216" t="str">
        <f>IF(U$3="","",IF(COUNTIFS(BD!$A$3:$A$5001,U$3,BD!$B$3:$B$5001,$A$373,BD!$Y$3:$Y$5001,"&lt;&gt;")=0,"",SUMIFS(BD!$Y$3:$Y$5001,BD!$A$3:$A$5001,U$3,BD!$B$3:$B$5001,$A$373)))</f>
        <v/>
      </c>
      <c r="V396" s="216" t="str">
        <f>IF(V$3="","",IF(COUNTIFS(BD!$A$3:$A$5001,V$3,BD!$B$3:$B$5001,$A$373,BD!$Y$3:$Y$5001,"&lt;&gt;")=0,"",SUMIFS(BD!$Y$3:$Y$5001,BD!$A$3:$A$5001,V$3,BD!$B$3:$B$5001,$A$373)))</f>
        <v/>
      </c>
      <c r="W396" s="216" t="str">
        <f>IF(W$3="","",IF(COUNTIFS(BD!$A$3:$A$5001,W$3,BD!$B$3:$B$5001,$A$373,BD!$Y$3:$Y$5001,"&lt;&gt;")=0,"",SUMIFS(BD!$Y$3:$Y$5001,BD!$A$3:$A$5001,W$3,BD!$B$3:$B$5001,$A$373)))</f>
        <v/>
      </c>
      <c r="X396" s="216" t="str">
        <f>IF(X$3="","",IF(COUNTIFS(BD!$A$3:$A$5001,X$3,BD!$B$3:$B$5001,$A$373,BD!$Y$3:$Y$5001,"&lt;&gt;")=0,"",SUMIFS(BD!$Y$3:$Y$5001,BD!$A$3:$A$5001,X$3,BD!$B$3:$B$5001,$A$373)))</f>
        <v/>
      </c>
      <c r="Y396" s="216" t="str">
        <f>IF(Y$3="","",IF(COUNTIFS(BD!$A$3:$A$5001,Y$3,BD!$B$3:$B$5001,$A$373,BD!$Y$3:$Y$5001,"&lt;&gt;")=0,"",SUMIFS(BD!$Y$3:$Y$5001,BD!$A$3:$A$5001,Y$3,BD!$B$3:$B$5001,$A$373)))</f>
        <v/>
      </c>
      <c r="Z396" s="216" t="str">
        <f>IF(Z$3="","",IF(COUNTIFS(BD!$A$3:$A$5001,Z$3,BD!$B$3:$B$5001,$A$373,BD!$Y$3:$Y$5001,"&lt;&gt;")=0,"",SUMIFS(BD!$Y$3:$Y$5001,BD!$A$3:$A$5001,Z$3,BD!$B$3:$B$5001,$A$373)))</f>
        <v/>
      </c>
      <c r="AA396" s="216" t="str">
        <f>IF(AA$3="","",IF(COUNTIFS(BD!$A$3:$A$5001,AA$3,BD!$B$3:$B$5001,$A$373,BD!$Y$3:$Y$5001,"&lt;&gt;")=0,"",SUMIFS(BD!$Y$3:$Y$5001,BD!$A$3:$A$5001,AA$3,BD!$B$3:$B$5001,$A$373)))</f>
        <v/>
      </c>
      <c r="AB396" s="216" t="str">
        <f>IF(AB$3="","",IF(COUNTIFS(BD!$A$3:$A$5001,AB$3,BD!$B$3:$B$5001,$A$373,BD!$Y$3:$Y$5001,"&lt;&gt;")=0,"",SUMIFS(BD!$Y$3:$Y$5001,BD!$A$3:$A$5001,AB$3,BD!$B$3:$B$5001,$A$373)))</f>
        <v/>
      </c>
      <c r="AC396" s="216" t="str">
        <f>IF(AC$3="","",IF(COUNTIFS(BD!$A$3:$A$5001,AC$3,BD!$B$3:$B$5001,$A$373,BD!$Y$3:$Y$5001,"&lt;&gt;")=0,"",SUMIFS(BD!$Y$3:$Y$5001,BD!$A$3:$A$5001,AC$3,BD!$B$3:$B$5001,$A$373)))</f>
        <v/>
      </c>
      <c r="AD396" s="216" t="str">
        <f>IF(AD$3="","",IF(COUNTIFS(BD!$A$3:$A$5001,AD$3,BD!$B$3:$B$5001,$A$373,BD!$Y$3:$Y$5001,"&lt;&gt;")=0,"",SUMIFS(BD!$Y$3:$Y$5001,BD!$A$3:$A$5001,AD$3,BD!$B$3:$B$5001,$A$373)))</f>
        <v/>
      </c>
      <c r="AE396" s="216" t="str">
        <f>IF(AE$3="","",IF(COUNTIFS(BD!$A$3:$A$5001,AE$3,BD!$B$3:$B$5001,$A$373,BD!$Y$3:$Y$5001,"&lt;&gt;")=0,"",SUMIFS(BD!$Y$3:$Y$5001,BD!$A$3:$A$5001,AE$3,BD!$B$3:$B$5001,$A$373)))</f>
        <v/>
      </c>
      <c r="AF396" s="216" t="str">
        <f>IF(AF$3="","",IF(COUNTIFS(BD!$A$3:$A$5001,AF$3,BD!$B$3:$B$5001,$A$373,BD!$Y$3:$Y$5001,"&lt;&gt;")=0,"",SUMIFS(BD!$Y$3:$Y$5001,BD!$A$3:$A$5001,AF$3,BD!$B$3:$B$5001,$A$373)))</f>
        <v/>
      </c>
      <c r="AG396" s="216" t="str">
        <f>IF(AG$3="","",IF(COUNTIFS(BD!$A$3:$A$5001,AG$3,BD!$B$3:$B$5001,$A$373,BD!$Y$3:$Y$5001,"&lt;&gt;")=0,"",SUMIFS(BD!$Y$3:$Y$5001,BD!$A$3:$A$5001,AG$3,BD!$B$3:$B$5001,$A$373)))</f>
        <v/>
      </c>
      <c r="AH396" s="216" t="str">
        <f>IF(AH$3="","",IF(COUNTIFS(BD!$A$3:$A$5001,AH$3,BD!$B$3:$B$5001,$A$373,BD!$Y$3:$Y$5001,"&lt;&gt;")=0,"",SUMIFS(BD!$Y$3:$Y$5001,BD!$A$3:$A$5001,AH$3,BD!$B$3:$B$5001,$A$373)))</f>
        <v/>
      </c>
      <c r="AI396" s="216" t="str">
        <f>IF(AI$3="","",IF(COUNTIFS(BD!$A$3:$A$5001,AI$3,BD!$B$3:$B$5001,$A$373,BD!$Y$3:$Y$5001,"&lt;&gt;")=0,"",SUMIFS(BD!$Y$3:$Y$5001,BD!$A$3:$A$5001,AI$3,BD!$B$3:$B$5001,$A$373)))</f>
        <v/>
      </c>
      <c r="AJ396" s="217" t="str">
        <f>IF(AJ$3="","",IF(COUNTIFS(BD!$A$3:$A$5001,AJ$3,BD!$B$3:$B$5001,$A$373,BD!$Y$3:$Y$5001,"&lt;&gt;")=0,"",SUMIFS(BD!$Y$3:$Y$5001,BD!$A$3:$A$5001,AJ$3,BD!$B$3:$B$5001,$A$373)))</f>
        <v/>
      </c>
      <c r="AK396" s="218" t="str">
        <f>IFERROR(LOOKUP(9.99E+307,F396:AJ396),"")</f>
        <v/>
      </c>
    </row>
    <row r="397" ht="15.75" customHeight="1" hidden="1">
      <c r="A397" s="244"/>
      <c r="B397" s="241"/>
      <c r="C397" s="219" t="inlineStr">
        <is>
          <t xml:space="preserve">Falta</t>
        </is>
      </c>
      <c r="D397" s="220" t="str">
        <f>IFERROR(1/(1/INDEX(BD!$AJ$47:$BD$47,MATCH($A$373,BD!$AJ$22:$BD$22,0))),"")</f>
        <v/>
      </c>
      <c r="E397" s="221"/>
      <c r="F397" s="222" t="str">
        <f>IF(F$3="","",IF(COUNTIFS(BD!$A$3:$A$5001,F$3,BD!$B$3:$B$5001,$A$373,BD!$Z$3:$Z$5001,"&lt;&gt;")=0,"",SUMIFS(BD!$Z$3:$Z$5001,BD!$A$3:$A$5001,F$3,BD!$B$3:$B$5001,$A$373)))</f>
        <v/>
      </c>
      <c r="G397" s="223" t="str">
        <f>IF(G$3="","",IF(COUNTIFS(BD!$A$3:$A$5001,G$3,BD!$B$3:$B$5001,$A$373,BD!$Z$3:$Z$5001,"&lt;&gt;")=0,"",SUMIFS(BD!$Z$3:$Z$5001,BD!$A$3:$A$5001,G$3,BD!$B$3:$B$5001,$A$373)))</f>
        <v/>
      </c>
      <c r="H397" s="223" t="str">
        <f>IF(H$3="","",IF(COUNTIFS(BD!$A$3:$A$5001,H$3,BD!$B$3:$B$5001,$A$373,BD!$Z$3:$Z$5001,"&lt;&gt;")=0,"",SUMIFS(BD!$Z$3:$Z$5001,BD!$A$3:$A$5001,H$3,BD!$B$3:$B$5001,$A$373)))</f>
        <v/>
      </c>
      <c r="I397" s="223" t="str">
        <f>IF(I$3="","",IF(COUNTIFS(BD!$A$3:$A$5001,I$3,BD!$B$3:$B$5001,$A$373,BD!$Z$3:$Z$5001,"&lt;&gt;")=0,"",SUMIFS(BD!$Z$3:$Z$5001,BD!$A$3:$A$5001,I$3,BD!$B$3:$B$5001,$A$373)))</f>
        <v/>
      </c>
      <c r="J397" s="223" t="str">
        <f>IF(J$3="","",IF(COUNTIFS(BD!$A$3:$A$5001,J$3,BD!$B$3:$B$5001,$A$373,BD!$Z$3:$Z$5001,"&lt;&gt;")=0,"",SUMIFS(BD!$Z$3:$Z$5001,BD!$A$3:$A$5001,J$3,BD!$B$3:$B$5001,$A$373)))</f>
        <v/>
      </c>
      <c r="K397" s="223" t="str">
        <f>IF(K$3="","",IF(COUNTIFS(BD!$A$3:$A$5001,K$3,BD!$B$3:$B$5001,$A$373,BD!$Z$3:$Z$5001,"&lt;&gt;")=0,"",SUMIFS(BD!$Z$3:$Z$5001,BD!$A$3:$A$5001,K$3,BD!$B$3:$B$5001,$A$373)))</f>
        <v/>
      </c>
      <c r="L397" s="223" t="str">
        <f>IF(L$3="","",IF(COUNTIFS(BD!$A$3:$A$5001,L$3,BD!$B$3:$B$5001,$A$373,BD!$Z$3:$Z$5001,"&lt;&gt;")=0,"",SUMIFS(BD!$Z$3:$Z$5001,BD!$A$3:$A$5001,L$3,BD!$B$3:$B$5001,$A$373)))</f>
        <v/>
      </c>
      <c r="M397" s="223" t="str">
        <f>IF(M$3="","",IF(COUNTIFS(BD!$A$3:$A$5001,M$3,BD!$B$3:$B$5001,$A$373,BD!$Z$3:$Z$5001,"&lt;&gt;")=0,"",SUMIFS(BD!$Z$3:$Z$5001,BD!$A$3:$A$5001,M$3,BD!$B$3:$B$5001,$A$373)))</f>
        <v/>
      </c>
      <c r="N397" s="223" t="str">
        <f>IF(N$3="","",IF(COUNTIFS(BD!$A$3:$A$5001,N$3,BD!$B$3:$B$5001,$A$373,BD!$Z$3:$Z$5001,"&lt;&gt;")=0,"",SUMIFS(BD!$Z$3:$Z$5001,BD!$A$3:$A$5001,N$3,BD!$B$3:$B$5001,$A$373)))</f>
        <v/>
      </c>
      <c r="O397" s="223" t="str">
        <f>IF(O$3="","",IF(COUNTIFS(BD!$A$3:$A$5001,O$3,BD!$B$3:$B$5001,$A$373,BD!$Z$3:$Z$5001,"&lt;&gt;")=0,"",SUMIFS(BD!$Z$3:$Z$5001,BD!$A$3:$A$5001,O$3,BD!$B$3:$B$5001,$A$373)))</f>
        <v/>
      </c>
      <c r="P397" s="223" t="str">
        <f>IF(P$3="","",IF(COUNTIFS(BD!$A$3:$A$5001,P$3,BD!$B$3:$B$5001,$A$373,BD!$Z$3:$Z$5001,"&lt;&gt;")=0,"",SUMIFS(BD!$Z$3:$Z$5001,BD!$A$3:$A$5001,P$3,BD!$B$3:$B$5001,$A$373)))</f>
        <v/>
      </c>
      <c r="Q397" s="223" t="str">
        <f>IF(Q$3="","",IF(COUNTIFS(BD!$A$3:$A$5001,Q$3,BD!$B$3:$B$5001,$A$373,BD!$Z$3:$Z$5001,"&lt;&gt;")=0,"",SUMIFS(BD!$Z$3:$Z$5001,BD!$A$3:$A$5001,Q$3,BD!$B$3:$B$5001,$A$373)))</f>
        <v/>
      </c>
      <c r="R397" s="223" t="str">
        <f>IF(R$3="","",IF(COUNTIFS(BD!$A$3:$A$5001,R$3,BD!$B$3:$B$5001,$A$373,BD!$Z$3:$Z$5001,"&lt;&gt;")=0,"",SUMIFS(BD!$Z$3:$Z$5001,BD!$A$3:$A$5001,R$3,BD!$B$3:$B$5001,$A$373)))</f>
        <v/>
      </c>
      <c r="S397" s="223" t="str">
        <f>IF(S$3="","",IF(COUNTIFS(BD!$A$3:$A$5001,S$3,BD!$B$3:$B$5001,$A$373,BD!$Z$3:$Z$5001,"&lt;&gt;")=0,"",SUMIFS(BD!$Z$3:$Z$5001,BD!$A$3:$A$5001,S$3,BD!$B$3:$B$5001,$A$373)))</f>
        <v/>
      </c>
      <c r="T397" s="223" t="str">
        <f>IF(T$3="","",IF(COUNTIFS(BD!$A$3:$A$5001,T$3,BD!$B$3:$B$5001,$A$373,BD!$Z$3:$Z$5001,"&lt;&gt;")=0,"",SUMIFS(BD!$Z$3:$Z$5001,BD!$A$3:$A$5001,T$3,BD!$B$3:$B$5001,$A$373)))</f>
        <v/>
      </c>
      <c r="U397" s="223" t="str">
        <f>IF(U$3="","",IF(COUNTIFS(BD!$A$3:$A$5001,U$3,BD!$B$3:$B$5001,$A$373,BD!$Z$3:$Z$5001,"&lt;&gt;")=0,"",SUMIFS(BD!$Z$3:$Z$5001,BD!$A$3:$A$5001,U$3,BD!$B$3:$B$5001,$A$373)))</f>
        <v/>
      </c>
      <c r="V397" s="223" t="str">
        <f>IF(V$3="","",IF(COUNTIFS(BD!$A$3:$A$5001,V$3,BD!$B$3:$B$5001,$A$373,BD!$Z$3:$Z$5001,"&lt;&gt;")=0,"",SUMIFS(BD!$Z$3:$Z$5001,BD!$A$3:$A$5001,V$3,BD!$B$3:$B$5001,$A$373)))</f>
        <v/>
      </c>
      <c r="W397" s="223" t="str">
        <f>IF(W$3="","",IF(COUNTIFS(BD!$A$3:$A$5001,W$3,BD!$B$3:$B$5001,$A$373,BD!$Z$3:$Z$5001,"&lt;&gt;")=0,"",SUMIFS(BD!$Z$3:$Z$5001,BD!$A$3:$A$5001,W$3,BD!$B$3:$B$5001,$A$373)))</f>
        <v/>
      </c>
      <c r="X397" s="223" t="str">
        <f>IF(X$3="","",IF(COUNTIFS(BD!$A$3:$A$5001,X$3,BD!$B$3:$B$5001,$A$373,BD!$Z$3:$Z$5001,"&lt;&gt;")=0,"",SUMIFS(BD!$Z$3:$Z$5001,BD!$A$3:$A$5001,X$3,BD!$B$3:$B$5001,$A$373)))</f>
        <v/>
      </c>
      <c r="Y397" s="223" t="str">
        <f>IF(Y$3="","",IF(COUNTIFS(BD!$A$3:$A$5001,Y$3,BD!$B$3:$B$5001,$A$373,BD!$Z$3:$Z$5001,"&lt;&gt;")=0,"",SUMIFS(BD!$Z$3:$Z$5001,BD!$A$3:$A$5001,Y$3,BD!$B$3:$B$5001,$A$373)))</f>
        <v/>
      </c>
      <c r="Z397" s="223" t="str">
        <f>IF(Z$3="","",IF(COUNTIFS(BD!$A$3:$A$5001,Z$3,BD!$B$3:$B$5001,$A$373,BD!$Z$3:$Z$5001,"&lt;&gt;")=0,"",SUMIFS(BD!$Z$3:$Z$5001,BD!$A$3:$A$5001,Z$3,BD!$B$3:$B$5001,$A$373)))</f>
        <v/>
      </c>
      <c r="AA397" s="223" t="str">
        <f>IF(AA$3="","",IF(COUNTIFS(BD!$A$3:$A$5001,AA$3,BD!$B$3:$B$5001,$A$373,BD!$Z$3:$Z$5001,"&lt;&gt;")=0,"",SUMIFS(BD!$Z$3:$Z$5001,BD!$A$3:$A$5001,AA$3,BD!$B$3:$B$5001,$A$373)))</f>
        <v/>
      </c>
      <c r="AB397" s="223" t="str">
        <f>IF(AB$3="","",IF(COUNTIFS(BD!$A$3:$A$5001,AB$3,BD!$B$3:$B$5001,$A$373,BD!$Z$3:$Z$5001,"&lt;&gt;")=0,"",SUMIFS(BD!$Z$3:$Z$5001,BD!$A$3:$A$5001,AB$3,BD!$B$3:$B$5001,$A$373)))</f>
        <v/>
      </c>
      <c r="AC397" s="223" t="str">
        <f>IF(AC$3="","",IF(COUNTIFS(BD!$A$3:$A$5001,AC$3,BD!$B$3:$B$5001,$A$373,BD!$Z$3:$Z$5001,"&lt;&gt;")=0,"",SUMIFS(BD!$Z$3:$Z$5001,BD!$A$3:$A$5001,AC$3,BD!$B$3:$B$5001,$A$373)))</f>
        <v/>
      </c>
      <c r="AD397" s="223" t="str">
        <f>IF(AD$3="","",IF(COUNTIFS(BD!$A$3:$A$5001,AD$3,BD!$B$3:$B$5001,$A$373,BD!$Z$3:$Z$5001,"&lt;&gt;")=0,"",SUMIFS(BD!$Z$3:$Z$5001,BD!$A$3:$A$5001,AD$3,BD!$B$3:$B$5001,$A$373)))</f>
        <v/>
      </c>
      <c r="AE397" s="223" t="str">
        <f>IF(AE$3="","",IF(COUNTIFS(BD!$A$3:$A$5001,AE$3,BD!$B$3:$B$5001,$A$373,BD!$Z$3:$Z$5001,"&lt;&gt;")=0,"",SUMIFS(BD!$Z$3:$Z$5001,BD!$A$3:$A$5001,AE$3,BD!$B$3:$B$5001,$A$373)))</f>
        <v/>
      </c>
      <c r="AF397" s="223" t="str">
        <f>IF(AF$3="","",IF(COUNTIFS(BD!$A$3:$A$5001,AF$3,BD!$B$3:$B$5001,$A$373,BD!$Z$3:$Z$5001,"&lt;&gt;")=0,"",SUMIFS(BD!$Z$3:$Z$5001,BD!$A$3:$A$5001,AF$3,BD!$B$3:$B$5001,$A$373)))</f>
        <v/>
      </c>
      <c r="AG397" s="223" t="str">
        <f>IF(AG$3="","",IF(COUNTIFS(BD!$A$3:$A$5001,AG$3,BD!$B$3:$B$5001,$A$373,BD!$Z$3:$Z$5001,"&lt;&gt;")=0,"",SUMIFS(BD!$Z$3:$Z$5001,BD!$A$3:$A$5001,AG$3,BD!$B$3:$B$5001,$A$373)))</f>
        <v/>
      </c>
      <c r="AH397" s="223" t="str">
        <f>IF(AH$3="","",IF(COUNTIFS(BD!$A$3:$A$5001,AH$3,BD!$B$3:$B$5001,$A$373,BD!$Z$3:$Z$5001,"&lt;&gt;")=0,"",SUMIFS(BD!$Z$3:$Z$5001,BD!$A$3:$A$5001,AH$3,BD!$B$3:$B$5001,$A$373)))</f>
        <v/>
      </c>
      <c r="AI397" s="223" t="str">
        <f>IF(AI$3="","",IF(COUNTIFS(BD!$A$3:$A$5001,AI$3,BD!$B$3:$B$5001,$A$373,BD!$Z$3:$Z$5001,"&lt;&gt;")=0,"",SUMIFS(BD!$Z$3:$Z$5001,BD!$A$3:$A$5001,AI$3,BD!$B$3:$B$5001,$A$373)))</f>
        <v/>
      </c>
      <c r="AJ397" s="224" t="str">
        <f>IF(AJ$3="","",IF(COUNTIFS(BD!$A$3:$A$5001,AJ$3,BD!$B$3:$B$5001,$A$373,BD!$Z$3:$Z$5001,"&lt;&gt;")=0,"",SUMIFS(BD!$Z$3:$Z$5001,BD!$A$3:$A$5001,AJ$3,BD!$B$3:$B$5001,$A$373)))</f>
        <v/>
      </c>
      <c r="AK397" s="225" t="str">
        <f>IF(COUNT(F397:AJ397)=0,"",SUM(F397:AJ397))</f>
        <v/>
      </c>
    </row>
    <row r="398" ht="15.75" customHeight="1" hidden="1">
      <c r="A398" s="244"/>
      <c r="B398" s="241"/>
      <c r="C398" s="219" t="inlineStr">
        <is>
          <t xml:space="preserve">Folga</t>
        </is>
      </c>
      <c r="D398" s="220" t="str">
        <f>IFERROR(1/(1/INDEX(BD!$AJ$48:$BD$48,MATCH($A$373,BD!$AJ$22:$BD$22,0))),"")</f>
        <v/>
      </c>
      <c r="E398" s="221"/>
      <c r="F398" s="222" t="str">
        <f>IF(F$3="","",IF(COUNTIFS(BD!$A$3:$A$5001,F$3,BD!$B$3:$B$5001,$A$373,BD!$AA$3:$AA$5001,"&lt;&gt;")=0,"",SUMIFS(BD!$AA$3:$AA$5001,BD!$A$3:$A$5001,F$3,BD!$B$3:$B$5001,$A$373)))</f>
        <v/>
      </c>
      <c r="G398" s="223" t="str">
        <f>IF(G$3="","",IF(COUNTIFS(BD!$A$3:$A$5001,G$3,BD!$B$3:$B$5001,$A$373,BD!$AA$3:$AA$5001,"&lt;&gt;")=0,"",SUMIFS(BD!$AA$3:$AA$5001,BD!$A$3:$A$5001,G$3,BD!$B$3:$B$5001,$A$373)))</f>
        <v/>
      </c>
      <c r="H398" s="223" t="str">
        <f>IF(H$3="","",IF(COUNTIFS(BD!$A$3:$A$5001,H$3,BD!$B$3:$B$5001,$A$373,BD!$AA$3:$AA$5001,"&lt;&gt;")=0,"",SUMIFS(BD!$AA$3:$AA$5001,BD!$A$3:$A$5001,H$3,BD!$B$3:$B$5001,$A$373)))</f>
        <v/>
      </c>
      <c r="I398" s="223" t="str">
        <f>IF(I$3="","",IF(COUNTIFS(BD!$A$3:$A$5001,I$3,BD!$B$3:$B$5001,$A$373,BD!$AA$3:$AA$5001,"&lt;&gt;")=0,"",SUMIFS(BD!$AA$3:$AA$5001,BD!$A$3:$A$5001,I$3,BD!$B$3:$B$5001,$A$373)))</f>
        <v/>
      </c>
      <c r="J398" s="223" t="str">
        <f>IF(J$3="","",IF(COUNTIFS(BD!$A$3:$A$5001,J$3,BD!$B$3:$B$5001,$A$373,BD!$AA$3:$AA$5001,"&lt;&gt;")=0,"",SUMIFS(BD!$AA$3:$AA$5001,BD!$A$3:$A$5001,J$3,BD!$B$3:$B$5001,$A$373)))</f>
        <v/>
      </c>
      <c r="K398" s="223" t="str">
        <f>IF(K$3="","",IF(COUNTIFS(BD!$A$3:$A$5001,K$3,BD!$B$3:$B$5001,$A$373,BD!$AA$3:$AA$5001,"&lt;&gt;")=0,"",SUMIFS(BD!$AA$3:$AA$5001,BD!$A$3:$A$5001,K$3,BD!$B$3:$B$5001,$A$373)))</f>
        <v/>
      </c>
      <c r="L398" s="223" t="str">
        <f>IF(L$3="","",IF(COUNTIFS(BD!$A$3:$A$5001,L$3,BD!$B$3:$B$5001,$A$373,BD!$AA$3:$AA$5001,"&lt;&gt;")=0,"",SUMIFS(BD!$AA$3:$AA$5001,BD!$A$3:$A$5001,L$3,BD!$B$3:$B$5001,$A$373)))</f>
        <v/>
      </c>
      <c r="M398" s="223" t="str">
        <f>IF(M$3="","",IF(COUNTIFS(BD!$A$3:$A$5001,M$3,BD!$B$3:$B$5001,$A$373,BD!$AA$3:$AA$5001,"&lt;&gt;")=0,"",SUMIFS(BD!$AA$3:$AA$5001,BD!$A$3:$A$5001,M$3,BD!$B$3:$B$5001,$A$373)))</f>
        <v/>
      </c>
      <c r="N398" s="223" t="str">
        <f>IF(N$3="","",IF(COUNTIFS(BD!$A$3:$A$5001,N$3,BD!$B$3:$B$5001,$A$373,BD!$AA$3:$AA$5001,"&lt;&gt;")=0,"",SUMIFS(BD!$AA$3:$AA$5001,BD!$A$3:$A$5001,N$3,BD!$B$3:$B$5001,$A$373)))</f>
        <v/>
      </c>
      <c r="O398" s="223" t="str">
        <f>IF(O$3="","",IF(COUNTIFS(BD!$A$3:$A$5001,O$3,BD!$B$3:$B$5001,$A$373,BD!$AA$3:$AA$5001,"&lt;&gt;")=0,"",SUMIFS(BD!$AA$3:$AA$5001,BD!$A$3:$A$5001,O$3,BD!$B$3:$B$5001,$A$373)))</f>
        <v/>
      </c>
      <c r="P398" s="223" t="str">
        <f>IF(P$3="","",IF(COUNTIFS(BD!$A$3:$A$5001,P$3,BD!$B$3:$B$5001,$A$373,BD!$AA$3:$AA$5001,"&lt;&gt;")=0,"",SUMIFS(BD!$AA$3:$AA$5001,BD!$A$3:$A$5001,P$3,BD!$B$3:$B$5001,$A$373)))</f>
        <v/>
      </c>
      <c r="Q398" s="223" t="str">
        <f>IF(Q$3="","",IF(COUNTIFS(BD!$A$3:$A$5001,Q$3,BD!$B$3:$B$5001,$A$373,BD!$AA$3:$AA$5001,"&lt;&gt;")=0,"",SUMIFS(BD!$AA$3:$AA$5001,BD!$A$3:$A$5001,Q$3,BD!$B$3:$B$5001,$A$373)))</f>
        <v/>
      </c>
      <c r="R398" s="223" t="str">
        <f>IF(R$3="","",IF(COUNTIFS(BD!$A$3:$A$5001,R$3,BD!$B$3:$B$5001,$A$373,BD!$AA$3:$AA$5001,"&lt;&gt;")=0,"",SUMIFS(BD!$AA$3:$AA$5001,BD!$A$3:$A$5001,R$3,BD!$B$3:$B$5001,$A$373)))</f>
        <v/>
      </c>
      <c r="S398" s="223" t="str">
        <f>IF(S$3="","",IF(COUNTIFS(BD!$A$3:$A$5001,S$3,BD!$B$3:$B$5001,$A$373,BD!$AA$3:$AA$5001,"&lt;&gt;")=0,"",SUMIFS(BD!$AA$3:$AA$5001,BD!$A$3:$A$5001,S$3,BD!$B$3:$B$5001,$A$373)))</f>
        <v/>
      </c>
      <c r="T398" s="223" t="str">
        <f>IF(T$3="","",IF(COUNTIFS(BD!$A$3:$A$5001,T$3,BD!$B$3:$B$5001,$A$373,BD!$AA$3:$AA$5001,"&lt;&gt;")=0,"",SUMIFS(BD!$AA$3:$AA$5001,BD!$A$3:$A$5001,T$3,BD!$B$3:$B$5001,$A$373)))</f>
        <v/>
      </c>
      <c r="U398" s="223" t="str">
        <f>IF(U$3="","",IF(COUNTIFS(BD!$A$3:$A$5001,U$3,BD!$B$3:$B$5001,$A$373,BD!$AA$3:$AA$5001,"&lt;&gt;")=0,"",SUMIFS(BD!$AA$3:$AA$5001,BD!$A$3:$A$5001,U$3,BD!$B$3:$B$5001,$A$373)))</f>
        <v/>
      </c>
      <c r="V398" s="223" t="str">
        <f>IF(V$3="","",IF(COUNTIFS(BD!$A$3:$A$5001,V$3,BD!$B$3:$B$5001,$A$373,BD!$AA$3:$AA$5001,"&lt;&gt;")=0,"",SUMIFS(BD!$AA$3:$AA$5001,BD!$A$3:$A$5001,V$3,BD!$B$3:$B$5001,$A$373)))</f>
        <v/>
      </c>
      <c r="W398" s="223" t="str">
        <f>IF(W$3="","",IF(COUNTIFS(BD!$A$3:$A$5001,W$3,BD!$B$3:$B$5001,$A$373,BD!$AA$3:$AA$5001,"&lt;&gt;")=0,"",SUMIFS(BD!$AA$3:$AA$5001,BD!$A$3:$A$5001,W$3,BD!$B$3:$B$5001,$A$373)))</f>
        <v/>
      </c>
      <c r="X398" s="223" t="str">
        <f>IF(X$3="","",IF(COUNTIFS(BD!$A$3:$A$5001,X$3,BD!$B$3:$B$5001,$A$373,BD!$AA$3:$AA$5001,"&lt;&gt;")=0,"",SUMIFS(BD!$AA$3:$AA$5001,BD!$A$3:$A$5001,X$3,BD!$B$3:$B$5001,$A$373)))</f>
        <v/>
      </c>
      <c r="Y398" s="223" t="str">
        <f>IF(Y$3="","",IF(COUNTIFS(BD!$A$3:$A$5001,Y$3,BD!$B$3:$B$5001,$A$373,BD!$AA$3:$AA$5001,"&lt;&gt;")=0,"",SUMIFS(BD!$AA$3:$AA$5001,BD!$A$3:$A$5001,Y$3,BD!$B$3:$B$5001,$A$373)))</f>
        <v/>
      </c>
      <c r="Z398" s="223" t="str">
        <f>IF(Z$3="","",IF(COUNTIFS(BD!$A$3:$A$5001,Z$3,BD!$B$3:$B$5001,$A$373,BD!$AA$3:$AA$5001,"&lt;&gt;")=0,"",SUMIFS(BD!$AA$3:$AA$5001,BD!$A$3:$A$5001,Z$3,BD!$B$3:$B$5001,$A$373)))</f>
        <v/>
      </c>
      <c r="AA398" s="223" t="str">
        <f>IF(AA$3="","",IF(COUNTIFS(BD!$A$3:$A$5001,AA$3,BD!$B$3:$B$5001,$A$373,BD!$AA$3:$AA$5001,"&lt;&gt;")=0,"",SUMIFS(BD!$AA$3:$AA$5001,BD!$A$3:$A$5001,AA$3,BD!$B$3:$B$5001,$A$373)))</f>
        <v/>
      </c>
      <c r="AB398" s="223" t="str">
        <f>IF(AB$3="","",IF(COUNTIFS(BD!$A$3:$A$5001,AB$3,BD!$B$3:$B$5001,$A$373,BD!$AA$3:$AA$5001,"&lt;&gt;")=0,"",SUMIFS(BD!$AA$3:$AA$5001,BD!$A$3:$A$5001,AB$3,BD!$B$3:$B$5001,$A$373)))</f>
        <v/>
      </c>
      <c r="AC398" s="223" t="str">
        <f>IF(AC$3="","",IF(COUNTIFS(BD!$A$3:$A$5001,AC$3,BD!$B$3:$B$5001,$A$373,BD!$AA$3:$AA$5001,"&lt;&gt;")=0,"",SUMIFS(BD!$AA$3:$AA$5001,BD!$A$3:$A$5001,AC$3,BD!$B$3:$B$5001,$A$373)))</f>
        <v/>
      </c>
      <c r="AD398" s="223" t="str">
        <f>IF(AD$3="","",IF(COUNTIFS(BD!$A$3:$A$5001,AD$3,BD!$B$3:$B$5001,$A$373,BD!$AA$3:$AA$5001,"&lt;&gt;")=0,"",SUMIFS(BD!$AA$3:$AA$5001,BD!$A$3:$A$5001,AD$3,BD!$B$3:$B$5001,$A$373)))</f>
        <v/>
      </c>
      <c r="AE398" s="223" t="str">
        <f>IF(AE$3="","",IF(COUNTIFS(BD!$A$3:$A$5001,AE$3,BD!$B$3:$B$5001,$A$373,BD!$AA$3:$AA$5001,"&lt;&gt;")=0,"",SUMIFS(BD!$AA$3:$AA$5001,BD!$A$3:$A$5001,AE$3,BD!$B$3:$B$5001,$A$373)))</f>
        <v/>
      </c>
      <c r="AF398" s="223" t="str">
        <f>IF(AF$3="","",IF(COUNTIFS(BD!$A$3:$A$5001,AF$3,BD!$B$3:$B$5001,$A$373,BD!$AA$3:$AA$5001,"&lt;&gt;")=0,"",SUMIFS(BD!$AA$3:$AA$5001,BD!$A$3:$A$5001,AF$3,BD!$B$3:$B$5001,$A$373)))</f>
        <v/>
      </c>
      <c r="AG398" s="223" t="str">
        <f>IF(AG$3="","",IF(COUNTIFS(BD!$A$3:$A$5001,AG$3,BD!$B$3:$B$5001,$A$373,BD!$AA$3:$AA$5001,"&lt;&gt;")=0,"",SUMIFS(BD!$AA$3:$AA$5001,BD!$A$3:$A$5001,AG$3,BD!$B$3:$B$5001,$A$373)))</f>
        <v/>
      </c>
      <c r="AH398" s="223" t="str">
        <f>IF(AH$3="","",IF(COUNTIFS(BD!$A$3:$A$5001,AH$3,BD!$B$3:$B$5001,$A$373,BD!$AA$3:$AA$5001,"&lt;&gt;")=0,"",SUMIFS(BD!$AA$3:$AA$5001,BD!$A$3:$A$5001,AH$3,BD!$B$3:$B$5001,$A$373)))</f>
        <v/>
      </c>
      <c r="AI398" s="223" t="str">
        <f>IF(AI$3="","",IF(COUNTIFS(BD!$A$3:$A$5001,AI$3,BD!$B$3:$B$5001,$A$373,BD!$AA$3:$AA$5001,"&lt;&gt;")=0,"",SUMIFS(BD!$AA$3:$AA$5001,BD!$A$3:$A$5001,AI$3,BD!$B$3:$B$5001,$A$373)))</f>
        <v/>
      </c>
      <c r="AJ398" s="224" t="str">
        <f>IF(AJ$3="","",IF(COUNTIFS(BD!$A$3:$A$5001,AJ$3,BD!$B$3:$B$5001,$A$373,BD!$AA$3:$AA$5001,"&lt;&gt;")=0,"",SUMIFS(BD!$AA$3:$AA$5001,BD!$A$3:$A$5001,AJ$3,BD!$B$3:$B$5001,$A$373)))</f>
        <v/>
      </c>
      <c r="AK398" s="225" t="str">
        <f>IF(COUNT(F398:AJ398)=0,"",SUM(F398:AJ398))</f>
        <v/>
      </c>
    </row>
    <row r="399" ht="15.75" customHeight="1" hidden="1">
      <c r="A399" s="244"/>
      <c r="B399" s="241"/>
      <c r="C399" s="219" t="inlineStr">
        <is>
          <t xml:space="preserve">Férias</t>
        </is>
      </c>
      <c r="D399" s="220" t="str">
        <f>IFERROR(1/(1/INDEX(BD!$AJ$49:$BD$49,MATCH($A$373,BD!$AJ$22:$BD$22,0))),"")</f>
        <v/>
      </c>
      <c r="E399" s="221"/>
      <c r="F399" s="222" t="str">
        <f>IF(F$3="","",IF(COUNTIFS(BD!$A$3:$A$5001,F$3,BD!$B$3:$B$5001,$A$373,BD!$AB$3:$AB$5001,"&lt;&gt;")=0,"",SUMIFS(BD!$AB$3:$AB$5001,BD!$A$3:$A$5001,F$3,BD!$B$3:$B$5001,$A$373)))</f>
        <v/>
      </c>
      <c r="G399" s="223" t="str">
        <f>IF(G$3="","",IF(COUNTIFS(BD!$A$3:$A$5001,G$3,BD!$B$3:$B$5001,$A$373,BD!$AB$3:$AB$5001,"&lt;&gt;")=0,"",SUMIFS(BD!$AB$3:$AB$5001,BD!$A$3:$A$5001,G$3,BD!$B$3:$B$5001,$A$373)))</f>
        <v/>
      </c>
      <c r="H399" s="223" t="str">
        <f>IF(H$3="","",IF(COUNTIFS(BD!$A$3:$A$5001,H$3,BD!$B$3:$B$5001,$A$373,BD!$AB$3:$AB$5001,"&lt;&gt;")=0,"",SUMIFS(BD!$AB$3:$AB$5001,BD!$A$3:$A$5001,H$3,BD!$B$3:$B$5001,$A$373)))</f>
        <v/>
      </c>
      <c r="I399" s="223" t="str">
        <f>IF(I$3="","",IF(COUNTIFS(BD!$A$3:$A$5001,I$3,BD!$B$3:$B$5001,$A$373,BD!$AB$3:$AB$5001,"&lt;&gt;")=0,"",SUMIFS(BD!$AB$3:$AB$5001,BD!$A$3:$A$5001,I$3,BD!$B$3:$B$5001,$A$373)))</f>
        <v/>
      </c>
      <c r="J399" s="223" t="str">
        <f>IF(J$3="","",IF(COUNTIFS(BD!$A$3:$A$5001,J$3,BD!$B$3:$B$5001,$A$373,BD!$AB$3:$AB$5001,"&lt;&gt;")=0,"",SUMIFS(BD!$AB$3:$AB$5001,BD!$A$3:$A$5001,J$3,BD!$B$3:$B$5001,$A$373)))</f>
        <v/>
      </c>
      <c r="K399" s="223" t="str">
        <f>IF(K$3="","",IF(COUNTIFS(BD!$A$3:$A$5001,K$3,BD!$B$3:$B$5001,$A$373,BD!$AB$3:$AB$5001,"&lt;&gt;")=0,"",SUMIFS(BD!$AB$3:$AB$5001,BD!$A$3:$A$5001,K$3,BD!$B$3:$B$5001,$A$373)))</f>
        <v/>
      </c>
      <c r="L399" s="223" t="str">
        <f>IF(L$3="","",IF(COUNTIFS(BD!$A$3:$A$5001,L$3,BD!$B$3:$B$5001,$A$373,BD!$AB$3:$AB$5001,"&lt;&gt;")=0,"",SUMIFS(BD!$AB$3:$AB$5001,BD!$A$3:$A$5001,L$3,BD!$B$3:$B$5001,$A$373)))</f>
        <v/>
      </c>
      <c r="M399" s="223" t="str">
        <f>IF(M$3="","",IF(COUNTIFS(BD!$A$3:$A$5001,M$3,BD!$B$3:$B$5001,$A$373,BD!$AB$3:$AB$5001,"&lt;&gt;")=0,"",SUMIFS(BD!$AB$3:$AB$5001,BD!$A$3:$A$5001,M$3,BD!$B$3:$B$5001,$A$373)))</f>
        <v/>
      </c>
      <c r="N399" s="223" t="str">
        <f>IF(N$3="","",IF(COUNTIFS(BD!$A$3:$A$5001,N$3,BD!$B$3:$B$5001,$A$373,BD!$AB$3:$AB$5001,"&lt;&gt;")=0,"",SUMIFS(BD!$AB$3:$AB$5001,BD!$A$3:$A$5001,N$3,BD!$B$3:$B$5001,$A$373)))</f>
        <v/>
      </c>
      <c r="O399" s="223" t="str">
        <f>IF(O$3="","",IF(COUNTIFS(BD!$A$3:$A$5001,O$3,BD!$B$3:$B$5001,$A$373,BD!$AB$3:$AB$5001,"&lt;&gt;")=0,"",SUMIFS(BD!$AB$3:$AB$5001,BD!$A$3:$A$5001,O$3,BD!$B$3:$B$5001,$A$373)))</f>
        <v/>
      </c>
      <c r="P399" s="223" t="str">
        <f>IF(P$3="","",IF(COUNTIFS(BD!$A$3:$A$5001,P$3,BD!$B$3:$B$5001,$A$373,BD!$AB$3:$AB$5001,"&lt;&gt;")=0,"",SUMIFS(BD!$AB$3:$AB$5001,BD!$A$3:$A$5001,P$3,BD!$B$3:$B$5001,$A$373)))</f>
        <v/>
      </c>
      <c r="Q399" s="223" t="str">
        <f>IF(Q$3="","",IF(COUNTIFS(BD!$A$3:$A$5001,Q$3,BD!$B$3:$B$5001,$A$373,BD!$AB$3:$AB$5001,"&lt;&gt;")=0,"",SUMIFS(BD!$AB$3:$AB$5001,BD!$A$3:$A$5001,Q$3,BD!$B$3:$B$5001,$A$373)))</f>
        <v/>
      </c>
      <c r="R399" s="223" t="str">
        <f>IF(R$3="","",IF(COUNTIFS(BD!$A$3:$A$5001,R$3,BD!$B$3:$B$5001,$A$373,BD!$AB$3:$AB$5001,"&lt;&gt;")=0,"",SUMIFS(BD!$AB$3:$AB$5001,BD!$A$3:$A$5001,R$3,BD!$B$3:$B$5001,$A$373)))</f>
        <v/>
      </c>
      <c r="S399" s="223" t="str">
        <f>IF(S$3="","",IF(COUNTIFS(BD!$A$3:$A$5001,S$3,BD!$B$3:$B$5001,$A$373,BD!$AB$3:$AB$5001,"&lt;&gt;")=0,"",SUMIFS(BD!$AB$3:$AB$5001,BD!$A$3:$A$5001,S$3,BD!$B$3:$B$5001,$A$373)))</f>
        <v/>
      </c>
      <c r="T399" s="223" t="str">
        <f>IF(T$3="","",IF(COUNTIFS(BD!$A$3:$A$5001,T$3,BD!$B$3:$B$5001,$A$373,BD!$AB$3:$AB$5001,"&lt;&gt;")=0,"",SUMIFS(BD!$AB$3:$AB$5001,BD!$A$3:$A$5001,T$3,BD!$B$3:$B$5001,$A$373)))</f>
        <v/>
      </c>
      <c r="U399" s="223" t="str">
        <f>IF(U$3="","",IF(COUNTIFS(BD!$A$3:$A$5001,U$3,BD!$B$3:$B$5001,$A$373,BD!$AB$3:$AB$5001,"&lt;&gt;")=0,"",SUMIFS(BD!$AB$3:$AB$5001,BD!$A$3:$A$5001,U$3,BD!$B$3:$B$5001,$A$373)))</f>
        <v/>
      </c>
      <c r="V399" s="223" t="str">
        <f>IF(V$3="","",IF(COUNTIFS(BD!$A$3:$A$5001,V$3,BD!$B$3:$B$5001,$A$373,BD!$AB$3:$AB$5001,"&lt;&gt;")=0,"",SUMIFS(BD!$AB$3:$AB$5001,BD!$A$3:$A$5001,V$3,BD!$B$3:$B$5001,$A$373)))</f>
        <v/>
      </c>
      <c r="W399" s="223" t="str">
        <f>IF(W$3="","",IF(COUNTIFS(BD!$A$3:$A$5001,W$3,BD!$B$3:$B$5001,$A$373,BD!$AB$3:$AB$5001,"&lt;&gt;")=0,"",SUMIFS(BD!$AB$3:$AB$5001,BD!$A$3:$A$5001,W$3,BD!$B$3:$B$5001,$A$373)))</f>
        <v/>
      </c>
      <c r="X399" s="223" t="str">
        <f>IF(X$3="","",IF(COUNTIFS(BD!$A$3:$A$5001,X$3,BD!$B$3:$B$5001,$A$373,BD!$AB$3:$AB$5001,"&lt;&gt;")=0,"",SUMIFS(BD!$AB$3:$AB$5001,BD!$A$3:$A$5001,X$3,BD!$B$3:$B$5001,$A$373)))</f>
        <v/>
      </c>
      <c r="Y399" s="223" t="str">
        <f>IF(Y$3="","",IF(COUNTIFS(BD!$A$3:$A$5001,Y$3,BD!$B$3:$B$5001,$A$373,BD!$AB$3:$AB$5001,"&lt;&gt;")=0,"",SUMIFS(BD!$AB$3:$AB$5001,BD!$A$3:$A$5001,Y$3,BD!$B$3:$B$5001,$A$373)))</f>
        <v/>
      </c>
      <c r="Z399" s="223" t="str">
        <f>IF(Z$3="","",IF(COUNTIFS(BD!$A$3:$A$5001,Z$3,BD!$B$3:$B$5001,$A$373,BD!$AB$3:$AB$5001,"&lt;&gt;")=0,"",SUMIFS(BD!$AB$3:$AB$5001,BD!$A$3:$A$5001,Z$3,BD!$B$3:$B$5001,$A$373)))</f>
        <v/>
      </c>
      <c r="AA399" s="223" t="str">
        <f>IF(AA$3="","",IF(COUNTIFS(BD!$A$3:$A$5001,AA$3,BD!$B$3:$B$5001,$A$373,BD!$AB$3:$AB$5001,"&lt;&gt;")=0,"",SUMIFS(BD!$AB$3:$AB$5001,BD!$A$3:$A$5001,AA$3,BD!$B$3:$B$5001,$A$373)))</f>
        <v/>
      </c>
      <c r="AB399" s="223" t="str">
        <f>IF(AB$3="","",IF(COUNTIFS(BD!$A$3:$A$5001,AB$3,BD!$B$3:$B$5001,$A$373,BD!$AB$3:$AB$5001,"&lt;&gt;")=0,"",SUMIFS(BD!$AB$3:$AB$5001,BD!$A$3:$A$5001,AB$3,BD!$B$3:$B$5001,$A$373)))</f>
        <v/>
      </c>
      <c r="AC399" s="223" t="str">
        <f>IF(AC$3="","",IF(COUNTIFS(BD!$A$3:$A$5001,AC$3,BD!$B$3:$B$5001,$A$373,BD!$AB$3:$AB$5001,"&lt;&gt;")=0,"",SUMIFS(BD!$AB$3:$AB$5001,BD!$A$3:$A$5001,AC$3,BD!$B$3:$B$5001,$A$373)))</f>
        <v/>
      </c>
      <c r="AD399" s="223" t="str">
        <f>IF(AD$3="","",IF(COUNTIFS(BD!$A$3:$A$5001,AD$3,BD!$B$3:$B$5001,$A$373,BD!$AB$3:$AB$5001,"&lt;&gt;")=0,"",SUMIFS(BD!$AB$3:$AB$5001,BD!$A$3:$A$5001,AD$3,BD!$B$3:$B$5001,$A$373)))</f>
        <v/>
      </c>
      <c r="AE399" s="223" t="str">
        <f>IF(AE$3="","",IF(COUNTIFS(BD!$A$3:$A$5001,AE$3,BD!$B$3:$B$5001,$A$373,BD!$AB$3:$AB$5001,"&lt;&gt;")=0,"",SUMIFS(BD!$AB$3:$AB$5001,BD!$A$3:$A$5001,AE$3,BD!$B$3:$B$5001,$A$373)))</f>
        <v/>
      </c>
      <c r="AF399" s="223" t="str">
        <f>IF(AF$3="","",IF(COUNTIFS(BD!$A$3:$A$5001,AF$3,BD!$B$3:$B$5001,$A$373,BD!$AB$3:$AB$5001,"&lt;&gt;")=0,"",SUMIFS(BD!$AB$3:$AB$5001,BD!$A$3:$A$5001,AF$3,BD!$B$3:$B$5001,$A$373)))</f>
        <v/>
      </c>
      <c r="AG399" s="223" t="str">
        <f>IF(AG$3="","",IF(COUNTIFS(BD!$A$3:$A$5001,AG$3,BD!$B$3:$B$5001,$A$373,BD!$AB$3:$AB$5001,"&lt;&gt;")=0,"",SUMIFS(BD!$AB$3:$AB$5001,BD!$A$3:$A$5001,AG$3,BD!$B$3:$B$5001,$A$373)))</f>
        <v/>
      </c>
      <c r="AH399" s="223" t="str">
        <f>IF(AH$3="","",IF(COUNTIFS(BD!$A$3:$A$5001,AH$3,BD!$B$3:$B$5001,$A$373,BD!$AB$3:$AB$5001,"&lt;&gt;")=0,"",SUMIFS(BD!$AB$3:$AB$5001,BD!$A$3:$A$5001,AH$3,BD!$B$3:$B$5001,$A$373)))</f>
        <v/>
      </c>
      <c r="AI399" s="223" t="str">
        <f>IF(AI$3="","",IF(COUNTIFS(BD!$A$3:$A$5001,AI$3,BD!$B$3:$B$5001,$A$373,BD!$AB$3:$AB$5001,"&lt;&gt;")=0,"",SUMIFS(BD!$AB$3:$AB$5001,BD!$A$3:$A$5001,AI$3,BD!$B$3:$B$5001,$A$373)))</f>
        <v/>
      </c>
      <c r="AJ399" s="224" t="str">
        <f>IF(AJ$3="","",IF(COUNTIFS(BD!$A$3:$A$5001,AJ$3,BD!$B$3:$B$5001,$A$373,BD!$AB$3:$AB$5001,"&lt;&gt;")=0,"",SUMIFS(BD!$AB$3:$AB$5001,BD!$A$3:$A$5001,AJ$3,BD!$B$3:$B$5001,$A$373)))</f>
        <v/>
      </c>
      <c r="AK399" s="225" t="str">
        <f>IF(COUNT(F399:AJ399)=0,"",SUM(F399:AJ399))</f>
        <v/>
      </c>
    </row>
    <row r="400" ht="15.75" customHeight="1" hidden="1">
      <c r="A400" s="244"/>
      <c r="B400" s="241"/>
      <c r="C400" s="219" t="inlineStr">
        <is>
          <t xml:space="preserve">Desligamento</t>
        </is>
      </c>
      <c r="D400" s="220" t="str">
        <f>IFERROR(1/(1/INDEX(BD!$AJ$50:$BD$50,MATCH($A$373,BD!$AJ$22:$BD$22,0))),"")</f>
        <v/>
      </c>
      <c r="E400" s="221"/>
      <c r="F400" s="222" t="str">
        <f>IF(F$3="","",IF(COUNTIFS(BD!$A$3:$A$5001,F$3,BD!$B$3:$B$5001,$A$373,BD!$AC$3:$AC$5001,"&lt;&gt;")=0,"",SUMIFS(BD!$AC$3:$AC$5001,BD!$A$3:$A$5001,F$3,BD!$B$3:$B$5001,$A$373)))</f>
        <v/>
      </c>
      <c r="G400" s="223" t="str">
        <f>IF(G$3="","",IF(COUNTIFS(BD!$A$3:$A$5001,G$3,BD!$B$3:$B$5001,$A$373,BD!$AC$3:$AC$5001,"&lt;&gt;")=0,"",SUMIFS(BD!$AC$3:$AC$5001,BD!$A$3:$A$5001,G$3,BD!$B$3:$B$5001,$A$373)))</f>
        <v/>
      </c>
      <c r="H400" s="223" t="str">
        <f>IF(H$3="","",IF(COUNTIFS(BD!$A$3:$A$5001,H$3,BD!$B$3:$B$5001,$A$373,BD!$AC$3:$AC$5001,"&lt;&gt;")=0,"",SUMIFS(BD!$AC$3:$AC$5001,BD!$A$3:$A$5001,H$3,BD!$B$3:$B$5001,$A$373)))</f>
        <v/>
      </c>
      <c r="I400" s="223" t="str">
        <f>IF(I$3="","",IF(COUNTIFS(BD!$A$3:$A$5001,I$3,BD!$B$3:$B$5001,$A$373,BD!$AC$3:$AC$5001,"&lt;&gt;")=0,"",SUMIFS(BD!$AC$3:$AC$5001,BD!$A$3:$A$5001,I$3,BD!$B$3:$B$5001,$A$373)))</f>
        <v/>
      </c>
      <c r="J400" s="223" t="str">
        <f>IF(J$3="","",IF(COUNTIFS(BD!$A$3:$A$5001,J$3,BD!$B$3:$B$5001,$A$373,BD!$AC$3:$AC$5001,"&lt;&gt;")=0,"",SUMIFS(BD!$AC$3:$AC$5001,BD!$A$3:$A$5001,J$3,BD!$B$3:$B$5001,$A$373)))</f>
        <v/>
      </c>
      <c r="K400" s="223" t="str">
        <f>IF(K$3="","",IF(COUNTIFS(BD!$A$3:$A$5001,K$3,BD!$B$3:$B$5001,$A$373,BD!$AC$3:$AC$5001,"&lt;&gt;")=0,"",SUMIFS(BD!$AC$3:$AC$5001,BD!$A$3:$A$5001,K$3,BD!$B$3:$B$5001,$A$373)))</f>
        <v/>
      </c>
      <c r="L400" s="223" t="str">
        <f>IF(L$3="","",IF(COUNTIFS(BD!$A$3:$A$5001,L$3,BD!$B$3:$B$5001,$A$373,BD!$AC$3:$AC$5001,"&lt;&gt;")=0,"",SUMIFS(BD!$AC$3:$AC$5001,BD!$A$3:$A$5001,L$3,BD!$B$3:$B$5001,$A$373)))</f>
        <v/>
      </c>
      <c r="M400" s="223" t="str">
        <f>IF(M$3="","",IF(COUNTIFS(BD!$A$3:$A$5001,M$3,BD!$B$3:$B$5001,$A$373,BD!$AC$3:$AC$5001,"&lt;&gt;")=0,"",SUMIFS(BD!$AC$3:$AC$5001,BD!$A$3:$A$5001,M$3,BD!$B$3:$B$5001,$A$373)))</f>
        <v/>
      </c>
      <c r="N400" s="223" t="str">
        <f>IF(N$3="","",IF(COUNTIFS(BD!$A$3:$A$5001,N$3,BD!$B$3:$B$5001,$A$373,BD!$AC$3:$AC$5001,"&lt;&gt;")=0,"",SUMIFS(BD!$AC$3:$AC$5001,BD!$A$3:$A$5001,N$3,BD!$B$3:$B$5001,$A$373)))</f>
        <v/>
      </c>
      <c r="O400" s="223" t="str">
        <f>IF(O$3="","",IF(COUNTIFS(BD!$A$3:$A$5001,O$3,BD!$B$3:$B$5001,$A$373,BD!$AC$3:$AC$5001,"&lt;&gt;")=0,"",SUMIFS(BD!$AC$3:$AC$5001,BD!$A$3:$A$5001,O$3,BD!$B$3:$B$5001,$A$373)))</f>
        <v/>
      </c>
      <c r="P400" s="223" t="str">
        <f>IF(P$3="","",IF(COUNTIFS(BD!$A$3:$A$5001,P$3,BD!$B$3:$B$5001,$A$373,BD!$AC$3:$AC$5001,"&lt;&gt;")=0,"",SUMIFS(BD!$AC$3:$AC$5001,BD!$A$3:$A$5001,P$3,BD!$B$3:$B$5001,$A$373)))</f>
        <v/>
      </c>
      <c r="Q400" s="223" t="str">
        <f>IF(Q$3="","",IF(COUNTIFS(BD!$A$3:$A$5001,Q$3,BD!$B$3:$B$5001,$A$373,BD!$AC$3:$AC$5001,"&lt;&gt;")=0,"",SUMIFS(BD!$AC$3:$AC$5001,BD!$A$3:$A$5001,Q$3,BD!$B$3:$B$5001,$A$373)))</f>
        <v/>
      </c>
      <c r="R400" s="223" t="str">
        <f>IF(R$3="","",IF(COUNTIFS(BD!$A$3:$A$5001,R$3,BD!$B$3:$B$5001,$A$373,BD!$AC$3:$AC$5001,"&lt;&gt;")=0,"",SUMIFS(BD!$AC$3:$AC$5001,BD!$A$3:$A$5001,R$3,BD!$B$3:$B$5001,$A$373)))</f>
        <v/>
      </c>
      <c r="S400" s="223" t="str">
        <f>IF(S$3="","",IF(COUNTIFS(BD!$A$3:$A$5001,S$3,BD!$B$3:$B$5001,$A$373,BD!$AC$3:$AC$5001,"&lt;&gt;")=0,"",SUMIFS(BD!$AC$3:$AC$5001,BD!$A$3:$A$5001,S$3,BD!$B$3:$B$5001,$A$373)))</f>
        <v/>
      </c>
      <c r="T400" s="223" t="str">
        <f>IF(T$3="","",IF(COUNTIFS(BD!$A$3:$A$5001,T$3,BD!$B$3:$B$5001,$A$373,BD!$AC$3:$AC$5001,"&lt;&gt;")=0,"",SUMIFS(BD!$AC$3:$AC$5001,BD!$A$3:$A$5001,T$3,BD!$B$3:$B$5001,$A$373)))</f>
        <v/>
      </c>
      <c r="U400" s="223" t="str">
        <f>IF(U$3="","",IF(COUNTIFS(BD!$A$3:$A$5001,U$3,BD!$B$3:$B$5001,$A$373,BD!$AC$3:$AC$5001,"&lt;&gt;")=0,"",SUMIFS(BD!$AC$3:$AC$5001,BD!$A$3:$A$5001,U$3,BD!$B$3:$B$5001,$A$373)))</f>
        <v/>
      </c>
      <c r="V400" s="223" t="str">
        <f>IF(V$3="","",IF(COUNTIFS(BD!$A$3:$A$5001,V$3,BD!$B$3:$B$5001,$A$373,BD!$AC$3:$AC$5001,"&lt;&gt;")=0,"",SUMIFS(BD!$AC$3:$AC$5001,BD!$A$3:$A$5001,V$3,BD!$B$3:$B$5001,$A$373)))</f>
        <v/>
      </c>
      <c r="W400" s="223" t="str">
        <f>IF(W$3="","",IF(COUNTIFS(BD!$A$3:$A$5001,W$3,BD!$B$3:$B$5001,$A$373,BD!$AC$3:$AC$5001,"&lt;&gt;")=0,"",SUMIFS(BD!$AC$3:$AC$5001,BD!$A$3:$A$5001,W$3,BD!$B$3:$B$5001,$A$373)))</f>
        <v/>
      </c>
      <c r="X400" s="223" t="str">
        <f>IF(X$3="","",IF(COUNTIFS(BD!$A$3:$A$5001,X$3,BD!$B$3:$B$5001,$A$373,BD!$AC$3:$AC$5001,"&lt;&gt;")=0,"",SUMIFS(BD!$AC$3:$AC$5001,BD!$A$3:$A$5001,X$3,BD!$B$3:$B$5001,$A$373)))</f>
        <v/>
      </c>
      <c r="Y400" s="223" t="str">
        <f>IF(Y$3="","",IF(COUNTIFS(BD!$A$3:$A$5001,Y$3,BD!$B$3:$B$5001,$A$373,BD!$AC$3:$AC$5001,"&lt;&gt;")=0,"",SUMIFS(BD!$AC$3:$AC$5001,BD!$A$3:$A$5001,Y$3,BD!$B$3:$B$5001,$A$373)))</f>
        <v/>
      </c>
      <c r="Z400" s="223" t="str">
        <f>IF(Z$3="","",IF(COUNTIFS(BD!$A$3:$A$5001,Z$3,BD!$B$3:$B$5001,$A$373,BD!$AC$3:$AC$5001,"&lt;&gt;")=0,"",SUMIFS(BD!$AC$3:$AC$5001,BD!$A$3:$A$5001,Z$3,BD!$B$3:$B$5001,$A$373)))</f>
        <v/>
      </c>
      <c r="AA400" s="223" t="str">
        <f>IF(AA$3="","",IF(COUNTIFS(BD!$A$3:$A$5001,AA$3,BD!$B$3:$B$5001,$A$373,BD!$AC$3:$AC$5001,"&lt;&gt;")=0,"",SUMIFS(BD!$AC$3:$AC$5001,BD!$A$3:$A$5001,AA$3,BD!$B$3:$B$5001,$A$373)))</f>
        <v/>
      </c>
      <c r="AB400" s="223" t="str">
        <f>IF(AB$3="","",IF(COUNTIFS(BD!$A$3:$A$5001,AB$3,BD!$B$3:$B$5001,$A$373,BD!$AC$3:$AC$5001,"&lt;&gt;")=0,"",SUMIFS(BD!$AC$3:$AC$5001,BD!$A$3:$A$5001,AB$3,BD!$B$3:$B$5001,$A$373)))</f>
        <v/>
      </c>
      <c r="AC400" s="223" t="str">
        <f>IF(AC$3="","",IF(COUNTIFS(BD!$A$3:$A$5001,AC$3,BD!$B$3:$B$5001,$A$373,BD!$AC$3:$AC$5001,"&lt;&gt;")=0,"",SUMIFS(BD!$AC$3:$AC$5001,BD!$A$3:$A$5001,AC$3,BD!$B$3:$B$5001,$A$373)))</f>
        <v/>
      </c>
      <c r="AD400" s="223" t="str">
        <f>IF(AD$3="","",IF(COUNTIFS(BD!$A$3:$A$5001,AD$3,BD!$B$3:$B$5001,$A$373,BD!$AC$3:$AC$5001,"&lt;&gt;")=0,"",SUMIFS(BD!$AC$3:$AC$5001,BD!$A$3:$A$5001,AD$3,BD!$B$3:$B$5001,$A$373)))</f>
        <v/>
      </c>
      <c r="AE400" s="223" t="str">
        <f>IF(AE$3="","",IF(COUNTIFS(BD!$A$3:$A$5001,AE$3,BD!$B$3:$B$5001,$A$373,BD!$AC$3:$AC$5001,"&lt;&gt;")=0,"",SUMIFS(BD!$AC$3:$AC$5001,BD!$A$3:$A$5001,AE$3,BD!$B$3:$B$5001,$A$373)))</f>
        <v/>
      </c>
      <c r="AF400" s="223" t="str">
        <f>IF(AF$3="","",IF(COUNTIFS(BD!$A$3:$A$5001,AF$3,BD!$B$3:$B$5001,$A$373,BD!$AC$3:$AC$5001,"&lt;&gt;")=0,"",SUMIFS(BD!$AC$3:$AC$5001,BD!$A$3:$A$5001,AF$3,BD!$B$3:$B$5001,$A$373)))</f>
        <v/>
      </c>
      <c r="AG400" s="223" t="str">
        <f>IF(AG$3="","",IF(COUNTIFS(BD!$A$3:$A$5001,AG$3,BD!$B$3:$B$5001,$A$373,BD!$AC$3:$AC$5001,"&lt;&gt;")=0,"",SUMIFS(BD!$AC$3:$AC$5001,BD!$A$3:$A$5001,AG$3,BD!$B$3:$B$5001,$A$373)))</f>
        <v/>
      </c>
      <c r="AH400" s="223" t="str">
        <f>IF(AH$3="","",IF(COUNTIFS(BD!$A$3:$A$5001,AH$3,BD!$B$3:$B$5001,$A$373,BD!$AC$3:$AC$5001,"&lt;&gt;")=0,"",SUMIFS(BD!$AC$3:$AC$5001,BD!$A$3:$A$5001,AH$3,BD!$B$3:$B$5001,$A$373)))</f>
        <v/>
      </c>
      <c r="AI400" s="223" t="str">
        <f>IF(AI$3="","",IF(COUNTIFS(BD!$A$3:$A$5001,AI$3,BD!$B$3:$B$5001,$A$373,BD!$AC$3:$AC$5001,"&lt;&gt;")=0,"",SUMIFS(BD!$AC$3:$AC$5001,BD!$A$3:$A$5001,AI$3,BD!$B$3:$B$5001,$A$373)))</f>
        <v/>
      </c>
      <c r="AJ400" s="224" t="str">
        <f>IF(AJ$3="","",IF(COUNTIFS(BD!$A$3:$A$5001,AJ$3,BD!$B$3:$B$5001,$A$373,BD!$AC$3:$AC$5001,"&lt;&gt;")=0,"",SUMIFS(BD!$AC$3:$AC$5001,BD!$A$3:$A$5001,AJ$3,BD!$B$3:$B$5001,$A$373)))</f>
        <v/>
      </c>
      <c r="AK400" s="225" t="str">
        <f>IF(COUNT(F400:AJ400)=0,"",SUM(F400:AJ400))</f>
        <v/>
      </c>
    </row>
    <row r="401" ht="15.75" customHeight="1" hidden="1">
      <c r="A401" s="244"/>
      <c r="B401" s="241"/>
      <c r="C401" s="219" t="inlineStr">
        <is>
          <t xml:space="preserve">Desvios Comportamentais</t>
        </is>
      </c>
      <c r="D401" s="220" t="str">
        <f>IFERROR(1/(1/INDEX(BD!$AJ$51:$BD$51,MATCH($A$373,BD!$AJ$22:$BD$22,0))),"")</f>
        <v/>
      </c>
      <c r="E401" s="221"/>
      <c r="F401" s="222" t="str">
        <f>IF(F$3="","",IF(COUNTIFS(BD!$A$3:$A$5001,F$3,BD!$B$3:$B$5001,$A$373,BD!$AD$3:$AD$5001,"&lt;&gt;")=0,"",SUMIFS(BD!$AD$3:$AD$5001,BD!$A$3:$A$5001,F$3,BD!$B$3:$B$5001,$A$373)))</f>
        <v/>
      </c>
      <c r="G401" s="223" t="str">
        <f>IF(G$3="","",IF(COUNTIFS(BD!$A$3:$A$5001,G$3,BD!$B$3:$B$5001,$A$373,BD!$AD$3:$AD$5001,"&lt;&gt;")=0,"",SUMIFS(BD!$AD$3:$AD$5001,BD!$A$3:$A$5001,G$3,BD!$B$3:$B$5001,$A$373)))</f>
        <v/>
      </c>
      <c r="H401" s="223" t="str">
        <f>IF(H$3="","",IF(COUNTIFS(BD!$A$3:$A$5001,H$3,BD!$B$3:$B$5001,$A$373,BD!$AD$3:$AD$5001,"&lt;&gt;")=0,"",SUMIFS(BD!$AD$3:$AD$5001,BD!$A$3:$A$5001,H$3,BD!$B$3:$B$5001,$A$373)))</f>
        <v/>
      </c>
      <c r="I401" s="223" t="str">
        <f>IF(I$3="","",IF(COUNTIFS(BD!$A$3:$A$5001,I$3,BD!$B$3:$B$5001,$A$373,BD!$AD$3:$AD$5001,"&lt;&gt;")=0,"",SUMIFS(BD!$AD$3:$AD$5001,BD!$A$3:$A$5001,I$3,BD!$B$3:$B$5001,$A$373)))</f>
        <v/>
      </c>
      <c r="J401" s="223" t="str">
        <f>IF(J$3="","",IF(COUNTIFS(BD!$A$3:$A$5001,J$3,BD!$B$3:$B$5001,$A$373,BD!$AD$3:$AD$5001,"&lt;&gt;")=0,"",SUMIFS(BD!$AD$3:$AD$5001,BD!$A$3:$A$5001,J$3,BD!$B$3:$B$5001,$A$373)))</f>
        <v/>
      </c>
      <c r="K401" s="223" t="str">
        <f>IF(K$3="","",IF(COUNTIFS(BD!$A$3:$A$5001,K$3,BD!$B$3:$B$5001,$A$373,BD!$AD$3:$AD$5001,"&lt;&gt;")=0,"",SUMIFS(BD!$AD$3:$AD$5001,BD!$A$3:$A$5001,K$3,BD!$B$3:$B$5001,$A$373)))</f>
        <v/>
      </c>
      <c r="L401" s="223" t="str">
        <f>IF(L$3="","",IF(COUNTIFS(BD!$A$3:$A$5001,L$3,BD!$B$3:$B$5001,$A$373,BD!$AD$3:$AD$5001,"&lt;&gt;")=0,"",SUMIFS(BD!$AD$3:$AD$5001,BD!$A$3:$A$5001,L$3,BD!$B$3:$B$5001,$A$373)))</f>
        <v/>
      </c>
      <c r="M401" s="223" t="str">
        <f>IF(M$3="","",IF(COUNTIFS(BD!$A$3:$A$5001,M$3,BD!$B$3:$B$5001,$A$373,BD!$AD$3:$AD$5001,"&lt;&gt;")=0,"",SUMIFS(BD!$AD$3:$AD$5001,BD!$A$3:$A$5001,M$3,BD!$B$3:$B$5001,$A$373)))</f>
        <v/>
      </c>
      <c r="N401" s="223" t="str">
        <f>IF(N$3="","",IF(COUNTIFS(BD!$A$3:$A$5001,N$3,BD!$B$3:$B$5001,$A$373,BD!$AD$3:$AD$5001,"&lt;&gt;")=0,"",SUMIFS(BD!$AD$3:$AD$5001,BD!$A$3:$A$5001,N$3,BD!$B$3:$B$5001,$A$373)))</f>
        <v/>
      </c>
      <c r="O401" s="223" t="str">
        <f>IF(O$3="","",IF(COUNTIFS(BD!$A$3:$A$5001,O$3,BD!$B$3:$B$5001,$A$373,BD!$AD$3:$AD$5001,"&lt;&gt;")=0,"",SUMIFS(BD!$AD$3:$AD$5001,BD!$A$3:$A$5001,O$3,BD!$B$3:$B$5001,$A$373)))</f>
        <v/>
      </c>
      <c r="P401" s="223" t="str">
        <f>IF(P$3="","",IF(COUNTIFS(BD!$A$3:$A$5001,P$3,BD!$B$3:$B$5001,$A$373,BD!$AD$3:$AD$5001,"&lt;&gt;")=0,"",SUMIFS(BD!$AD$3:$AD$5001,BD!$A$3:$A$5001,P$3,BD!$B$3:$B$5001,$A$373)))</f>
        <v/>
      </c>
      <c r="Q401" s="223" t="str">
        <f>IF(Q$3="","",IF(COUNTIFS(BD!$A$3:$A$5001,Q$3,BD!$B$3:$B$5001,$A$373,BD!$AD$3:$AD$5001,"&lt;&gt;")=0,"",SUMIFS(BD!$AD$3:$AD$5001,BD!$A$3:$A$5001,Q$3,BD!$B$3:$B$5001,$A$373)))</f>
        <v/>
      </c>
      <c r="R401" s="223" t="str">
        <f>IF(R$3="","",IF(COUNTIFS(BD!$A$3:$A$5001,R$3,BD!$B$3:$B$5001,$A$373,BD!$AD$3:$AD$5001,"&lt;&gt;")=0,"",SUMIFS(BD!$AD$3:$AD$5001,BD!$A$3:$A$5001,R$3,BD!$B$3:$B$5001,$A$373)))</f>
        <v/>
      </c>
      <c r="S401" s="223" t="str">
        <f>IF(S$3="","",IF(COUNTIFS(BD!$A$3:$A$5001,S$3,BD!$B$3:$B$5001,$A$373,BD!$AD$3:$AD$5001,"&lt;&gt;")=0,"",SUMIFS(BD!$AD$3:$AD$5001,BD!$A$3:$A$5001,S$3,BD!$B$3:$B$5001,$A$373)))</f>
        <v/>
      </c>
      <c r="T401" s="223" t="str">
        <f>IF(T$3="","",IF(COUNTIFS(BD!$A$3:$A$5001,T$3,BD!$B$3:$B$5001,$A$373,BD!$AD$3:$AD$5001,"&lt;&gt;")=0,"",SUMIFS(BD!$AD$3:$AD$5001,BD!$A$3:$A$5001,T$3,BD!$B$3:$B$5001,$A$373)))</f>
        <v/>
      </c>
      <c r="U401" s="223" t="str">
        <f>IF(U$3="","",IF(COUNTIFS(BD!$A$3:$A$5001,U$3,BD!$B$3:$B$5001,$A$373,BD!$AD$3:$AD$5001,"&lt;&gt;")=0,"",SUMIFS(BD!$AD$3:$AD$5001,BD!$A$3:$A$5001,U$3,BD!$B$3:$B$5001,$A$373)))</f>
        <v/>
      </c>
      <c r="V401" s="223" t="str">
        <f>IF(V$3="","",IF(COUNTIFS(BD!$A$3:$A$5001,V$3,BD!$B$3:$B$5001,$A$373,BD!$AD$3:$AD$5001,"&lt;&gt;")=0,"",SUMIFS(BD!$AD$3:$AD$5001,BD!$A$3:$A$5001,V$3,BD!$B$3:$B$5001,$A$373)))</f>
        <v/>
      </c>
      <c r="W401" s="223" t="str">
        <f>IF(W$3="","",IF(COUNTIFS(BD!$A$3:$A$5001,W$3,BD!$B$3:$B$5001,$A$373,BD!$AD$3:$AD$5001,"&lt;&gt;")=0,"",SUMIFS(BD!$AD$3:$AD$5001,BD!$A$3:$A$5001,W$3,BD!$B$3:$B$5001,$A$373)))</f>
        <v/>
      </c>
      <c r="X401" s="223" t="str">
        <f>IF(X$3="","",IF(COUNTIFS(BD!$A$3:$A$5001,X$3,BD!$B$3:$B$5001,$A$373,BD!$AD$3:$AD$5001,"&lt;&gt;")=0,"",SUMIFS(BD!$AD$3:$AD$5001,BD!$A$3:$A$5001,X$3,BD!$B$3:$B$5001,$A$373)))</f>
        <v/>
      </c>
      <c r="Y401" s="223" t="str">
        <f>IF(Y$3="","",IF(COUNTIFS(BD!$A$3:$A$5001,Y$3,BD!$B$3:$B$5001,$A$373,BD!$AD$3:$AD$5001,"&lt;&gt;")=0,"",SUMIFS(BD!$AD$3:$AD$5001,BD!$A$3:$A$5001,Y$3,BD!$B$3:$B$5001,$A$373)))</f>
        <v/>
      </c>
      <c r="Z401" s="223" t="str">
        <f>IF(Z$3="","",IF(COUNTIFS(BD!$A$3:$A$5001,Z$3,BD!$B$3:$B$5001,$A$373,BD!$AD$3:$AD$5001,"&lt;&gt;")=0,"",SUMIFS(BD!$AD$3:$AD$5001,BD!$A$3:$A$5001,Z$3,BD!$B$3:$B$5001,$A$373)))</f>
        <v/>
      </c>
      <c r="AA401" s="223" t="str">
        <f>IF(AA$3="","",IF(COUNTIFS(BD!$A$3:$A$5001,AA$3,BD!$B$3:$B$5001,$A$373,BD!$AD$3:$AD$5001,"&lt;&gt;")=0,"",SUMIFS(BD!$AD$3:$AD$5001,BD!$A$3:$A$5001,AA$3,BD!$B$3:$B$5001,$A$373)))</f>
        <v/>
      </c>
      <c r="AB401" s="223" t="str">
        <f>IF(AB$3="","",IF(COUNTIFS(BD!$A$3:$A$5001,AB$3,BD!$B$3:$B$5001,$A$373,BD!$AD$3:$AD$5001,"&lt;&gt;")=0,"",SUMIFS(BD!$AD$3:$AD$5001,BD!$A$3:$A$5001,AB$3,BD!$B$3:$B$5001,$A$373)))</f>
        <v/>
      </c>
      <c r="AC401" s="223" t="str">
        <f>IF(AC$3="","",IF(COUNTIFS(BD!$A$3:$A$5001,AC$3,BD!$B$3:$B$5001,$A$373,BD!$AD$3:$AD$5001,"&lt;&gt;")=0,"",SUMIFS(BD!$AD$3:$AD$5001,BD!$A$3:$A$5001,AC$3,BD!$B$3:$B$5001,$A$373)))</f>
        <v/>
      </c>
      <c r="AD401" s="223" t="str">
        <f>IF(AD$3="","",IF(COUNTIFS(BD!$A$3:$A$5001,AD$3,BD!$B$3:$B$5001,$A$373,BD!$AD$3:$AD$5001,"&lt;&gt;")=0,"",SUMIFS(BD!$AD$3:$AD$5001,BD!$A$3:$A$5001,AD$3,BD!$B$3:$B$5001,$A$373)))</f>
        <v/>
      </c>
      <c r="AE401" s="223" t="str">
        <f>IF(AE$3="","",IF(COUNTIFS(BD!$A$3:$A$5001,AE$3,BD!$B$3:$B$5001,$A$373,BD!$AD$3:$AD$5001,"&lt;&gt;")=0,"",SUMIFS(BD!$AD$3:$AD$5001,BD!$A$3:$A$5001,AE$3,BD!$B$3:$B$5001,$A$373)))</f>
        <v/>
      </c>
      <c r="AF401" s="223" t="str">
        <f>IF(AF$3="","",IF(COUNTIFS(BD!$A$3:$A$5001,AF$3,BD!$B$3:$B$5001,$A$373,BD!$AD$3:$AD$5001,"&lt;&gt;")=0,"",SUMIFS(BD!$AD$3:$AD$5001,BD!$A$3:$A$5001,AF$3,BD!$B$3:$B$5001,$A$373)))</f>
        <v/>
      </c>
      <c r="AG401" s="223" t="str">
        <f>IF(AG$3="","",IF(COUNTIFS(BD!$A$3:$A$5001,AG$3,BD!$B$3:$B$5001,$A$373,BD!$AD$3:$AD$5001,"&lt;&gt;")=0,"",SUMIFS(BD!$AD$3:$AD$5001,BD!$A$3:$A$5001,AG$3,BD!$B$3:$B$5001,$A$373)))</f>
        <v/>
      </c>
      <c r="AH401" s="223" t="str">
        <f>IF(AH$3="","",IF(COUNTIFS(BD!$A$3:$A$5001,AH$3,BD!$B$3:$B$5001,$A$373,BD!$AD$3:$AD$5001,"&lt;&gt;")=0,"",SUMIFS(BD!$AD$3:$AD$5001,BD!$A$3:$A$5001,AH$3,BD!$B$3:$B$5001,$A$373)))</f>
        <v/>
      </c>
      <c r="AI401" s="223" t="str">
        <f>IF(AI$3="","",IF(COUNTIFS(BD!$A$3:$A$5001,AI$3,BD!$B$3:$B$5001,$A$373,BD!$AD$3:$AD$5001,"&lt;&gt;")=0,"",SUMIFS(BD!$AD$3:$AD$5001,BD!$A$3:$A$5001,AI$3,BD!$B$3:$B$5001,$A$373)))</f>
        <v/>
      </c>
      <c r="AJ401" s="224" t="str">
        <f>IF(AJ$3="","",IF(COUNTIFS(BD!$A$3:$A$5001,AJ$3,BD!$B$3:$B$5001,$A$373,BD!$AD$3:$AD$5001,"&lt;&gt;")=0,"",SUMIFS(BD!$AD$3:$AD$5001,BD!$A$3:$A$5001,AJ$3,BD!$B$3:$B$5001,$A$373)))</f>
        <v/>
      </c>
      <c r="AK401" s="225" t="str">
        <f>IF(COUNT(F401:AJ401)=0,"",SUM(F401:AJ401))</f>
        <v/>
      </c>
    </row>
    <row r="402" ht="15.75" customHeight="1" hidden="1">
      <c r="A402" s="244"/>
      <c r="B402" s="241"/>
      <c r="C402" s="219" t="inlineStr">
        <is>
          <t xml:space="preserve">Acidentes CAF</t>
        </is>
      </c>
      <c r="D402" s="220" t="str">
        <f>IFERROR(1/(1/INDEX(BD!$AJ$52:$BD$52,MATCH($A$373,BD!$AJ$22:$BD$22,0))),"")</f>
        <v/>
      </c>
      <c r="E402" s="221"/>
      <c r="F402" s="222" t="str">
        <f>IF(F$3="","",IF(COUNTIFS(BD!$A$3:$A$5001,F$3,BD!$B$3:$B$5001,$A$373,BD!$AE$3:$AE$5001,"&lt;&gt;")=0,"",SUMIFS(BD!$AE$3:$AE$5001,BD!$A$3:$A$5001,F$3,BD!$B$3:$B$5001,$A$373)))</f>
        <v/>
      </c>
      <c r="G402" s="223" t="str">
        <f>IF(G$3="","",IF(COUNTIFS(BD!$A$3:$A$5001,G$3,BD!$B$3:$B$5001,$A$373,BD!$AE$3:$AE$5001,"&lt;&gt;")=0,"",SUMIFS(BD!$AE$3:$AE$5001,BD!$A$3:$A$5001,G$3,BD!$B$3:$B$5001,$A$373)))</f>
        <v/>
      </c>
      <c r="H402" s="223" t="str">
        <f>IF(H$3="","",IF(COUNTIFS(BD!$A$3:$A$5001,H$3,BD!$B$3:$B$5001,$A$373,BD!$AE$3:$AE$5001,"&lt;&gt;")=0,"",SUMIFS(BD!$AE$3:$AE$5001,BD!$A$3:$A$5001,H$3,BD!$B$3:$B$5001,$A$373)))</f>
        <v/>
      </c>
      <c r="I402" s="223" t="str">
        <f>IF(I$3="","",IF(COUNTIFS(BD!$A$3:$A$5001,I$3,BD!$B$3:$B$5001,$A$373,BD!$AE$3:$AE$5001,"&lt;&gt;")=0,"",SUMIFS(BD!$AE$3:$AE$5001,BD!$A$3:$A$5001,I$3,BD!$B$3:$B$5001,$A$373)))</f>
        <v/>
      </c>
      <c r="J402" s="223" t="str">
        <f>IF(J$3="","",IF(COUNTIFS(BD!$A$3:$A$5001,J$3,BD!$B$3:$B$5001,$A$373,BD!$AE$3:$AE$5001,"&lt;&gt;")=0,"",SUMIFS(BD!$AE$3:$AE$5001,BD!$A$3:$A$5001,J$3,BD!$B$3:$B$5001,$A$373)))</f>
        <v/>
      </c>
      <c r="K402" s="223" t="str">
        <f>IF(K$3="","",IF(COUNTIFS(BD!$A$3:$A$5001,K$3,BD!$B$3:$B$5001,$A$373,BD!$AE$3:$AE$5001,"&lt;&gt;")=0,"",SUMIFS(BD!$AE$3:$AE$5001,BD!$A$3:$A$5001,K$3,BD!$B$3:$B$5001,$A$373)))</f>
        <v/>
      </c>
      <c r="L402" s="223" t="str">
        <f>IF(L$3="","",IF(COUNTIFS(BD!$A$3:$A$5001,L$3,BD!$B$3:$B$5001,$A$373,BD!$AE$3:$AE$5001,"&lt;&gt;")=0,"",SUMIFS(BD!$AE$3:$AE$5001,BD!$A$3:$A$5001,L$3,BD!$B$3:$B$5001,$A$373)))</f>
        <v/>
      </c>
      <c r="M402" s="223" t="str">
        <f>IF(M$3="","",IF(COUNTIFS(BD!$A$3:$A$5001,M$3,BD!$B$3:$B$5001,$A$373,BD!$AE$3:$AE$5001,"&lt;&gt;")=0,"",SUMIFS(BD!$AE$3:$AE$5001,BD!$A$3:$A$5001,M$3,BD!$B$3:$B$5001,$A$373)))</f>
        <v/>
      </c>
      <c r="N402" s="223" t="str">
        <f>IF(N$3="","",IF(COUNTIFS(BD!$A$3:$A$5001,N$3,BD!$B$3:$B$5001,$A$373,BD!$AE$3:$AE$5001,"&lt;&gt;")=0,"",SUMIFS(BD!$AE$3:$AE$5001,BD!$A$3:$A$5001,N$3,BD!$B$3:$B$5001,$A$373)))</f>
        <v/>
      </c>
      <c r="O402" s="223" t="str">
        <f>IF(O$3="","",IF(COUNTIFS(BD!$A$3:$A$5001,O$3,BD!$B$3:$B$5001,$A$373,BD!$AE$3:$AE$5001,"&lt;&gt;")=0,"",SUMIFS(BD!$AE$3:$AE$5001,BD!$A$3:$A$5001,O$3,BD!$B$3:$B$5001,$A$373)))</f>
        <v/>
      </c>
      <c r="P402" s="223" t="str">
        <f>IF(P$3="","",IF(COUNTIFS(BD!$A$3:$A$5001,P$3,BD!$B$3:$B$5001,$A$373,BD!$AE$3:$AE$5001,"&lt;&gt;")=0,"",SUMIFS(BD!$AE$3:$AE$5001,BD!$A$3:$A$5001,P$3,BD!$B$3:$B$5001,$A$373)))</f>
        <v/>
      </c>
      <c r="Q402" s="223" t="str">
        <f>IF(Q$3="","",IF(COUNTIFS(BD!$A$3:$A$5001,Q$3,BD!$B$3:$B$5001,$A$373,BD!$AE$3:$AE$5001,"&lt;&gt;")=0,"",SUMIFS(BD!$AE$3:$AE$5001,BD!$A$3:$A$5001,Q$3,BD!$B$3:$B$5001,$A$373)))</f>
        <v/>
      </c>
      <c r="R402" s="223" t="str">
        <f>IF(R$3="","",IF(COUNTIFS(BD!$A$3:$A$5001,R$3,BD!$B$3:$B$5001,$A$373,BD!$AE$3:$AE$5001,"&lt;&gt;")=0,"",SUMIFS(BD!$AE$3:$AE$5001,BD!$A$3:$A$5001,R$3,BD!$B$3:$B$5001,$A$373)))</f>
        <v/>
      </c>
      <c r="S402" s="223" t="str">
        <f>IF(S$3="","",IF(COUNTIFS(BD!$A$3:$A$5001,S$3,BD!$B$3:$B$5001,$A$373,BD!$AE$3:$AE$5001,"&lt;&gt;")=0,"",SUMIFS(BD!$AE$3:$AE$5001,BD!$A$3:$A$5001,S$3,BD!$B$3:$B$5001,$A$373)))</f>
        <v/>
      </c>
      <c r="T402" s="223" t="str">
        <f>IF(T$3="","",IF(COUNTIFS(BD!$A$3:$A$5001,T$3,BD!$B$3:$B$5001,$A$373,BD!$AE$3:$AE$5001,"&lt;&gt;")=0,"",SUMIFS(BD!$AE$3:$AE$5001,BD!$A$3:$A$5001,T$3,BD!$B$3:$B$5001,$A$373)))</f>
        <v/>
      </c>
      <c r="U402" s="223" t="str">
        <f>IF(U$3="","",IF(COUNTIFS(BD!$A$3:$A$5001,U$3,BD!$B$3:$B$5001,$A$373,BD!$AE$3:$AE$5001,"&lt;&gt;")=0,"",SUMIFS(BD!$AE$3:$AE$5001,BD!$A$3:$A$5001,U$3,BD!$B$3:$B$5001,$A$373)))</f>
        <v/>
      </c>
      <c r="V402" s="223" t="str">
        <f>IF(V$3="","",IF(COUNTIFS(BD!$A$3:$A$5001,V$3,BD!$B$3:$B$5001,$A$373,BD!$AE$3:$AE$5001,"&lt;&gt;")=0,"",SUMIFS(BD!$AE$3:$AE$5001,BD!$A$3:$A$5001,V$3,BD!$B$3:$B$5001,$A$373)))</f>
        <v/>
      </c>
      <c r="W402" s="223" t="str">
        <f>IF(W$3="","",IF(COUNTIFS(BD!$A$3:$A$5001,W$3,BD!$B$3:$B$5001,$A$373,BD!$AE$3:$AE$5001,"&lt;&gt;")=0,"",SUMIFS(BD!$AE$3:$AE$5001,BD!$A$3:$A$5001,W$3,BD!$B$3:$B$5001,$A$373)))</f>
        <v/>
      </c>
      <c r="X402" s="223" t="str">
        <f>IF(X$3="","",IF(COUNTIFS(BD!$A$3:$A$5001,X$3,BD!$B$3:$B$5001,$A$373,BD!$AE$3:$AE$5001,"&lt;&gt;")=0,"",SUMIFS(BD!$AE$3:$AE$5001,BD!$A$3:$A$5001,X$3,BD!$B$3:$B$5001,$A$373)))</f>
        <v/>
      </c>
      <c r="Y402" s="223" t="str">
        <f>IF(Y$3="","",IF(COUNTIFS(BD!$A$3:$A$5001,Y$3,BD!$B$3:$B$5001,$A$373,BD!$AE$3:$AE$5001,"&lt;&gt;")=0,"",SUMIFS(BD!$AE$3:$AE$5001,BD!$A$3:$A$5001,Y$3,BD!$B$3:$B$5001,$A$373)))</f>
        <v/>
      </c>
      <c r="Z402" s="223" t="str">
        <f>IF(Z$3="","",IF(COUNTIFS(BD!$A$3:$A$5001,Z$3,BD!$B$3:$B$5001,$A$373,BD!$AE$3:$AE$5001,"&lt;&gt;")=0,"",SUMIFS(BD!$AE$3:$AE$5001,BD!$A$3:$A$5001,Z$3,BD!$B$3:$B$5001,$A$373)))</f>
        <v/>
      </c>
      <c r="AA402" s="223" t="str">
        <f>IF(AA$3="","",IF(COUNTIFS(BD!$A$3:$A$5001,AA$3,BD!$B$3:$B$5001,$A$373,BD!$AE$3:$AE$5001,"&lt;&gt;")=0,"",SUMIFS(BD!$AE$3:$AE$5001,BD!$A$3:$A$5001,AA$3,BD!$B$3:$B$5001,$A$373)))</f>
        <v/>
      </c>
      <c r="AB402" s="223" t="str">
        <f>IF(AB$3="","",IF(COUNTIFS(BD!$A$3:$A$5001,AB$3,BD!$B$3:$B$5001,$A$373,BD!$AE$3:$AE$5001,"&lt;&gt;")=0,"",SUMIFS(BD!$AE$3:$AE$5001,BD!$A$3:$A$5001,AB$3,BD!$B$3:$B$5001,$A$373)))</f>
        <v/>
      </c>
      <c r="AC402" s="223" t="str">
        <f>IF(AC$3="","",IF(COUNTIFS(BD!$A$3:$A$5001,AC$3,BD!$B$3:$B$5001,$A$373,BD!$AE$3:$AE$5001,"&lt;&gt;")=0,"",SUMIFS(BD!$AE$3:$AE$5001,BD!$A$3:$A$5001,AC$3,BD!$B$3:$B$5001,$A$373)))</f>
        <v/>
      </c>
      <c r="AD402" s="223" t="str">
        <f>IF(AD$3="","",IF(COUNTIFS(BD!$A$3:$A$5001,AD$3,BD!$B$3:$B$5001,$A$373,BD!$AE$3:$AE$5001,"&lt;&gt;")=0,"",SUMIFS(BD!$AE$3:$AE$5001,BD!$A$3:$A$5001,AD$3,BD!$B$3:$B$5001,$A$373)))</f>
        <v/>
      </c>
      <c r="AE402" s="223" t="str">
        <f>IF(AE$3="","",IF(COUNTIFS(BD!$A$3:$A$5001,AE$3,BD!$B$3:$B$5001,$A$373,BD!$AE$3:$AE$5001,"&lt;&gt;")=0,"",SUMIFS(BD!$AE$3:$AE$5001,BD!$A$3:$A$5001,AE$3,BD!$B$3:$B$5001,$A$373)))</f>
        <v/>
      </c>
      <c r="AF402" s="223" t="str">
        <f>IF(AF$3="","",IF(COUNTIFS(BD!$A$3:$A$5001,AF$3,BD!$B$3:$B$5001,$A$373,BD!$AE$3:$AE$5001,"&lt;&gt;")=0,"",SUMIFS(BD!$AE$3:$AE$5001,BD!$A$3:$A$5001,AF$3,BD!$B$3:$B$5001,$A$373)))</f>
        <v/>
      </c>
      <c r="AG402" s="223" t="str">
        <f>IF(AG$3="","",IF(COUNTIFS(BD!$A$3:$A$5001,AG$3,BD!$B$3:$B$5001,$A$373,BD!$AE$3:$AE$5001,"&lt;&gt;")=0,"",SUMIFS(BD!$AE$3:$AE$5001,BD!$A$3:$A$5001,AG$3,BD!$B$3:$B$5001,$A$373)))</f>
        <v/>
      </c>
      <c r="AH402" s="223" t="str">
        <f>IF(AH$3="","",IF(COUNTIFS(BD!$A$3:$A$5001,AH$3,BD!$B$3:$B$5001,$A$373,BD!$AE$3:$AE$5001,"&lt;&gt;")=0,"",SUMIFS(BD!$AE$3:$AE$5001,BD!$A$3:$A$5001,AH$3,BD!$B$3:$B$5001,$A$373)))</f>
        <v/>
      </c>
      <c r="AI402" s="223" t="str">
        <f>IF(AI$3="","",IF(COUNTIFS(BD!$A$3:$A$5001,AI$3,BD!$B$3:$B$5001,$A$373,BD!$AE$3:$AE$5001,"&lt;&gt;")=0,"",SUMIFS(BD!$AE$3:$AE$5001,BD!$A$3:$A$5001,AI$3,BD!$B$3:$B$5001,$A$373)))</f>
        <v/>
      </c>
      <c r="AJ402" s="224" t="str">
        <f>IF(AJ$3="","",IF(COUNTIFS(BD!$A$3:$A$5001,AJ$3,BD!$B$3:$B$5001,$A$373,BD!$AE$3:$AE$5001,"&lt;&gt;")=0,"",SUMIFS(BD!$AE$3:$AE$5001,BD!$A$3:$A$5001,AJ$3,BD!$B$3:$B$5001,$A$373)))</f>
        <v/>
      </c>
      <c r="AK402" s="225" t="str">
        <f>IF(COUNT(F402:AJ402)=0,"",SUM(F402:AJ402))</f>
        <v/>
      </c>
    </row>
    <row r="403" ht="15.75" customHeight="1" hidden="1">
      <c r="A403" s="245"/>
      <c r="B403" s="242"/>
      <c r="C403" s="226" t="inlineStr">
        <is>
          <t xml:space="preserve">Acidentes SAF</t>
        </is>
      </c>
      <c r="D403" s="227" t="str">
        <f>IFERROR(1/(1/INDEX(BD!$AJ$53:$BD$53,MATCH($A$373,BD!$AJ$22:$BD$22,0))),"")</f>
        <v/>
      </c>
      <c r="E403" s="228"/>
      <c r="F403" s="229" t="str">
        <f>IF(F$3="","",IF(COUNTIFS(BD!$A$3:$A$5001,F$3,BD!$B$3:$B$5001,$A$373,BD!$AF$3:$AF$5001,"&lt;&gt;")=0,"",SUMIFS(BD!$AF$3:$AF$5001,BD!$A$3:$A$5001,F$3,BD!$B$3:$B$5001,$A$373)))</f>
        <v/>
      </c>
      <c r="G403" s="230" t="str">
        <f>IF(G$3="","",IF(COUNTIFS(BD!$A$3:$A$5001,G$3,BD!$B$3:$B$5001,$A$373,BD!$AF$3:$AF$5001,"&lt;&gt;")=0,"",SUMIFS(BD!$AF$3:$AF$5001,BD!$A$3:$A$5001,G$3,BD!$B$3:$B$5001,$A$373)))</f>
        <v/>
      </c>
      <c r="H403" s="230" t="str">
        <f>IF(H$3="","",IF(COUNTIFS(BD!$A$3:$A$5001,H$3,BD!$B$3:$B$5001,$A$373,BD!$AF$3:$AF$5001,"&lt;&gt;")=0,"",SUMIFS(BD!$AF$3:$AF$5001,BD!$A$3:$A$5001,H$3,BD!$B$3:$B$5001,$A$373)))</f>
        <v/>
      </c>
      <c r="I403" s="230" t="str">
        <f>IF(I$3="","",IF(COUNTIFS(BD!$A$3:$A$5001,I$3,BD!$B$3:$B$5001,$A$373,BD!$AF$3:$AF$5001,"&lt;&gt;")=0,"",SUMIFS(BD!$AF$3:$AF$5001,BD!$A$3:$A$5001,I$3,BD!$B$3:$B$5001,$A$373)))</f>
        <v/>
      </c>
      <c r="J403" s="230" t="str">
        <f>IF(J$3="","",IF(COUNTIFS(BD!$A$3:$A$5001,J$3,BD!$B$3:$B$5001,$A$373,BD!$AF$3:$AF$5001,"&lt;&gt;")=0,"",SUMIFS(BD!$AF$3:$AF$5001,BD!$A$3:$A$5001,J$3,BD!$B$3:$B$5001,$A$373)))</f>
        <v/>
      </c>
      <c r="K403" s="230" t="str">
        <f>IF(K$3="","",IF(COUNTIFS(BD!$A$3:$A$5001,K$3,BD!$B$3:$B$5001,$A$373,BD!$AF$3:$AF$5001,"&lt;&gt;")=0,"",SUMIFS(BD!$AF$3:$AF$5001,BD!$A$3:$A$5001,K$3,BD!$B$3:$B$5001,$A$373)))</f>
        <v/>
      </c>
      <c r="L403" s="230" t="str">
        <f>IF(L$3="","",IF(COUNTIFS(BD!$A$3:$A$5001,L$3,BD!$B$3:$B$5001,$A$373,BD!$AF$3:$AF$5001,"&lt;&gt;")=0,"",SUMIFS(BD!$AF$3:$AF$5001,BD!$A$3:$A$5001,L$3,BD!$B$3:$B$5001,$A$373)))</f>
        <v/>
      </c>
      <c r="M403" s="230" t="str">
        <f>IF(M$3="","",IF(COUNTIFS(BD!$A$3:$A$5001,M$3,BD!$B$3:$B$5001,$A$373,BD!$AF$3:$AF$5001,"&lt;&gt;")=0,"",SUMIFS(BD!$AF$3:$AF$5001,BD!$A$3:$A$5001,M$3,BD!$B$3:$B$5001,$A$373)))</f>
        <v/>
      </c>
      <c r="N403" s="230" t="str">
        <f>IF(N$3="","",IF(COUNTIFS(BD!$A$3:$A$5001,N$3,BD!$B$3:$B$5001,$A$373,BD!$AF$3:$AF$5001,"&lt;&gt;")=0,"",SUMIFS(BD!$AF$3:$AF$5001,BD!$A$3:$A$5001,N$3,BD!$B$3:$B$5001,$A$373)))</f>
        <v/>
      </c>
      <c r="O403" s="230" t="str">
        <f>IF(O$3="","",IF(COUNTIFS(BD!$A$3:$A$5001,O$3,BD!$B$3:$B$5001,$A$373,BD!$AF$3:$AF$5001,"&lt;&gt;")=0,"",SUMIFS(BD!$AF$3:$AF$5001,BD!$A$3:$A$5001,O$3,BD!$B$3:$B$5001,$A$373)))</f>
        <v/>
      </c>
      <c r="P403" s="230" t="str">
        <f>IF(P$3="","",IF(COUNTIFS(BD!$A$3:$A$5001,P$3,BD!$B$3:$B$5001,$A$373,BD!$AF$3:$AF$5001,"&lt;&gt;")=0,"",SUMIFS(BD!$AF$3:$AF$5001,BD!$A$3:$A$5001,P$3,BD!$B$3:$B$5001,$A$373)))</f>
        <v/>
      </c>
      <c r="Q403" s="230" t="str">
        <f>IF(Q$3="","",IF(COUNTIFS(BD!$A$3:$A$5001,Q$3,BD!$B$3:$B$5001,$A$373,BD!$AF$3:$AF$5001,"&lt;&gt;")=0,"",SUMIFS(BD!$AF$3:$AF$5001,BD!$A$3:$A$5001,Q$3,BD!$B$3:$B$5001,$A$373)))</f>
        <v/>
      </c>
      <c r="R403" s="230" t="str">
        <f>IF(R$3="","",IF(COUNTIFS(BD!$A$3:$A$5001,R$3,BD!$B$3:$B$5001,$A$373,BD!$AF$3:$AF$5001,"&lt;&gt;")=0,"",SUMIFS(BD!$AF$3:$AF$5001,BD!$A$3:$A$5001,R$3,BD!$B$3:$B$5001,$A$373)))</f>
        <v/>
      </c>
      <c r="S403" s="230" t="str">
        <f>IF(S$3="","",IF(COUNTIFS(BD!$A$3:$A$5001,S$3,BD!$B$3:$B$5001,$A$373,BD!$AF$3:$AF$5001,"&lt;&gt;")=0,"",SUMIFS(BD!$AF$3:$AF$5001,BD!$A$3:$A$5001,S$3,BD!$B$3:$B$5001,$A$373)))</f>
        <v/>
      </c>
      <c r="T403" s="230" t="str">
        <f>IF(T$3="","",IF(COUNTIFS(BD!$A$3:$A$5001,T$3,BD!$B$3:$B$5001,$A$373,BD!$AF$3:$AF$5001,"&lt;&gt;")=0,"",SUMIFS(BD!$AF$3:$AF$5001,BD!$A$3:$A$5001,T$3,BD!$B$3:$B$5001,$A$373)))</f>
        <v/>
      </c>
      <c r="U403" s="230" t="str">
        <f>IF(U$3="","",IF(COUNTIFS(BD!$A$3:$A$5001,U$3,BD!$B$3:$B$5001,$A$373,BD!$AF$3:$AF$5001,"&lt;&gt;")=0,"",SUMIFS(BD!$AF$3:$AF$5001,BD!$A$3:$A$5001,U$3,BD!$B$3:$B$5001,$A$373)))</f>
        <v/>
      </c>
      <c r="V403" s="230" t="str">
        <f>IF(V$3="","",IF(COUNTIFS(BD!$A$3:$A$5001,V$3,BD!$B$3:$B$5001,$A$373,BD!$AF$3:$AF$5001,"&lt;&gt;")=0,"",SUMIFS(BD!$AF$3:$AF$5001,BD!$A$3:$A$5001,V$3,BD!$B$3:$B$5001,$A$373)))</f>
        <v/>
      </c>
      <c r="W403" s="230" t="str">
        <f>IF(W$3="","",IF(COUNTIFS(BD!$A$3:$A$5001,W$3,BD!$B$3:$B$5001,$A$373,BD!$AF$3:$AF$5001,"&lt;&gt;")=0,"",SUMIFS(BD!$AF$3:$AF$5001,BD!$A$3:$A$5001,W$3,BD!$B$3:$B$5001,$A$373)))</f>
        <v/>
      </c>
      <c r="X403" s="230" t="str">
        <f>IF(X$3="","",IF(COUNTIFS(BD!$A$3:$A$5001,X$3,BD!$B$3:$B$5001,$A$373,BD!$AF$3:$AF$5001,"&lt;&gt;")=0,"",SUMIFS(BD!$AF$3:$AF$5001,BD!$A$3:$A$5001,X$3,BD!$B$3:$B$5001,$A$373)))</f>
        <v/>
      </c>
      <c r="Y403" s="230" t="str">
        <f>IF(Y$3="","",IF(COUNTIFS(BD!$A$3:$A$5001,Y$3,BD!$B$3:$B$5001,$A$373,BD!$AF$3:$AF$5001,"&lt;&gt;")=0,"",SUMIFS(BD!$AF$3:$AF$5001,BD!$A$3:$A$5001,Y$3,BD!$B$3:$B$5001,$A$373)))</f>
        <v/>
      </c>
      <c r="Z403" s="230" t="str">
        <f>IF(Z$3="","",IF(COUNTIFS(BD!$A$3:$A$5001,Z$3,BD!$B$3:$B$5001,$A$373,BD!$AF$3:$AF$5001,"&lt;&gt;")=0,"",SUMIFS(BD!$AF$3:$AF$5001,BD!$A$3:$A$5001,Z$3,BD!$B$3:$B$5001,$A$373)))</f>
        <v/>
      </c>
      <c r="AA403" s="230" t="str">
        <f>IF(AA$3="","",IF(COUNTIFS(BD!$A$3:$A$5001,AA$3,BD!$B$3:$B$5001,$A$373,BD!$AF$3:$AF$5001,"&lt;&gt;")=0,"",SUMIFS(BD!$AF$3:$AF$5001,BD!$A$3:$A$5001,AA$3,BD!$B$3:$B$5001,$A$373)))</f>
        <v/>
      </c>
      <c r="AB403" s="230" t="str">
        <f>IF(AB$3="","",IF(COUNTIFS(BD!$A$3:$A$5001,AB$3,BD!$B$3:$B$5001,$A$373,BD!$AF$3:$AF$5001,"&lt;&gt;")=0,"",SUMIFS(BD!$AF$3:$AF$5001,BD!$A$3:$A$5001,AB$3,BD!$B$3:$B$5001,$A$373)))</f>
        <v/>
      </c>
      <c r="AC403" s="230" t="str">
        <f>IF(AC$3="","",IF(COUNTIFS(BD!$A$3:$A$5001,AC$3,BD!$B$3:$B$5001,$A$373,BD!$AF$3:$AF$5001,"&lt;&gt;")=0,"",SUMIFS(BD!$AF$3:$AF$5001,BD!$A$3:$A$5001,AC$3,BD!$B$3:$B$5001,$A$373)))</f>
        <v/>
      </c>
      <c r="AD403" s="230" t="str">
        <f>IF(AD$3="","",IF(COUNTIFS(BD!$A$3:$A$5001,AD$3,BD!$B$3:$B$5001,$A$373,BD!$AF$3:$AF$5001,"&lt;&gt;")=0,"",SUMIFS(BD!$AF$3:$AF$5001,BD!$A$3:$A$5001,AD$3,BD!$B$3:$B$5001,$A$373)))</f>
        <v/>
      </c>
      <c r="AE403" s="230" t="str">
        <f>IF(AE$3="","",IF(COUNTIFS(BD!$A$3:$A$5001,AE$3,BD!$B$3:$B$5001,$A$373,BD!$AF$3:$AF$5001,"&lt;&gt;")=0,"",SUMIFS(BD!$AF$3:$AF$5001,BD!$A$3:$A$5001,AE$3,BD!$B$3:$B$5001,$A$373)))</f>
        <v/>
      </c>
      <c r="AF403" s="230" t="str">
        <f>IF(AF$3="","",IF(COUNTIFS(BD!$A$3:$A$5001,AF$3,BD!$B$3:$B$5001,$A$373,BD!$AF$3:$AF$5001,"&lt;&gt;")=0,"",SUMIFS(BD!$AF$3:$AF$5001,BD!$A$3:$A$5001,AF$3,BD!$B$3:$B$5001,$A$373)))</f>
        <v/>
      </c>
      <c r="AG403" s="230" t="str">
        <f>IF(AG$3="","",IF(COUNTIFS(BD!$A$3:$A$5001,AG$3,BD!$B$3:$B$5001,$A$373,BD!$AF$3:$AF$5001,"&lt;&gt;")=0,"",SUMIFS(BD!$AF$3:$AF$5001,BD!$A$3:$A$5001,AG$3,BD!$B$3:$B$5001,$A$373)))</f>
        <v/>
      </c>
      <c r="AH403" s="230" t="str">
        <f>IF(AH$3="","",IF(COUNTIFS(BD!$A$3:$A$5001,AH$3,BD!$B$3:$B$5001,$A$373,BD!$AF$3:$AF$5001,"&lt;&gt;")=0,"",SUMIFS(BD!$AF$3:$AF$5001,BD!$A$3:$A$5001,AH$3,BD!$B$3:$B$5001,$A$373)))</f>
        <v/>
      </c>
      <c r="AI403" s="230" t="str">
        <f>IF(AI$3="","",IF(COUNTIFS(BD!$A$3:$A$5001,AI$3,BD!$B$3:$B$5001,$A$373,BD!$AF$3:$AF$5001,"&lt;&gt;")=0,"",SUMIFS(BD!$AF$3:$AF$5001,BD!$A$3:$A$5001,AI$3,BD!$B$3:$B$5001,$A$373)))</f>
        <v/>
      </c>
      <c r="AJ403" s="231" t="str">
        <f>IF(AJ$3="","",IF(COUNTIFS(BD!$A$3:$A$5001,AJ$3,BD!$B$3:$B$5001,$A$373,BD!$AF$3:$AF$5001,"&lt;&gt;")=0,"",SUMIFS(BD!$AF$3:$AF$5001,BD!$A$3:$A$5001,AJ$3,BD!$B$3:$B$5001,$A$373)))</f>
        <v/>
      </c>
      <c r="AK403" s="227" t="str">
        <f>IF(COUNT(F403:AJ403)=0,"",SUM(F403:AJ403))</f>
        <v/>
      </c>
    </row>
    <row r="405" ht="15.75" customHeight="1" hidden="1">
      <c r="A405" s="243"/>
      <c r="B405" s="232" t="inlineStr">
        <is>
          <t xml:space="preserve">IN</t>
        </is>
      </c>
      <c r="C405" s="155" t="inlineStr">
        <is>
          <t xml:space="preserve">Veículos Recebidos</t>
        </is>
      </c>
      <c r="D405" s="156" t="str">
        <f>IFERROR(1/(1/INDEX(BD!$AJ$23:$BD$23,MATCH($A$405,BD!$AJ$22:$BD$22,0))),"")</f>
        <v/>
      </c>
      <c r="E405" s="157"/>
      <c r="F405" s="158" t="str">
        <f>IF(F$3="","",IF(COUNTIFS(BD!$A$3:$A$5001,F$3,BD!$B$3:$B$5001,$A$405,BD!$C$3:$C$5001,"&lt;&gt;")=0,"",SUMIFS(BD!$C$3:$C$5001,BD!$A$3:$A$5001,F$3,BD!$B$3:$B$5001,$A$405)))</f>
        <v/>
      </c>
      <c r="G405" s="159" t="str">
        <f>IF(G$3="","",IF(COUNTIFS(BD!$A$3:$A$5001,G$3,BD!$B$3:$B$5001,$A$405,BD!$C$3:$C$5001,"&lt;&gt;")=0,"",SUMIFS(BD!$C$3:$C$5001,BD!$A$3:$A$5001,G$3,BD!$B$3:$B$5001,$A$405)))</f>
        <v/>
      </c>
      <c r="H405" s="159" t="str">
        <f>IF(H$3="","",IF(COUNTIFS(BD!$A$3:$A$5001,H$3,BD!$B$3:$B$5001,$A$405,BD!$C$3:$C$5001,"&lt;&gt;")=0,"",SUMIFS(BD!$C$3:$C$5001,BD!$A$3:$A$5001,H$3,BD!$B$3:$B$5001,$A$405)))</f>
        <v/>
      </c>
      <c r="I405" s="159" t="str">
        <f>IF(I$3="","",IF(COUNTIFS(BD!$A$3:$A$5001,I$3,BD!$B$3:$B$5001,$A$405,BD!$C$3:$C$5001,"&lt;&gt;")=0,"",SUMIFS(BD!$C$3:$C$5001,BD!$A$3:$A$5001,I$3,BD!$B$3:$B$5001,$A$405)))</f>
        <v/>
      </c>
      <c r="J405" s="159" t="str">
        <f>IF(J$3="","",IF(COUNTIFS(BD!$A$3:$A$5001,J$3,BD!$B$3:$B$5001,$A$405,BD!$C$3:$C$5001,"&lt;&gt;")=0,"",SUMIFS(BD!$C$3:$C$5001,BD!$A$3:$A$5001,J$3,BD!$B$3:$B$5001,$A$405)))</f>
        <v/>
      </c>
      <c r="K405" s="159" t="str">
        <f>IF(K$3="","",IF(COUNTIFS(BD!$A$3:$A$5001,K$3,BD!$B$3:$B$5001,$A$405,BD!$C$3:$C$5001,"&lt;&gt;")=0,"",SUMIFS(BD!$C$3:$C$5001,BD!$A$3:$A$5001,K$3,BD!$B$3:$B$5001,$A$405)))</f>
        <v/>
      </c>
      <c r="L405" s="159" t="str">
        <f>IF(L$3="","",IF(COUNTIFS(BD!$A$3:$A$5001,L$3,BD!$B$3:$B$5001,$A$405,BD!$C$3:$C$5001,"&lt;&gt;")=0,"",SUMIFS(BD!$C$3:$C$5001,BD!$A$3:$A$5001,L$3,BD!$B$3:$B$5001,$A$405)))</f>
        <v/>
      </c>
      <c r="M405" s="159" t="str">
        <f>IF(M$3="","",IF(COUNTIFS(BD!$A$3:$A$5001,M$3,BD!$B$3:$B$5001,$A$405,BD!$C$3:$C$5001,"&lt;&gt;")=0,"",SUMIFS(BD!$C$3:$C$5001,BD!$A$3:$A$5001,M$3,BD!$B$3:$B$5001,$A$405)))</f>
        <v/>
      </c>
      <c r="N405" s="159" t="str">
        <f>IF(N$3="","",IF(COUNTIFS(BD!$A$3:$A$5001,N$3,BD!$B$3:$B$5001,$A$405,BD!$C$3:$C$5001,"&lt;&gt;")=0,"",SUMIFS(BD!$C$3:$C$5001,BD!$A$3:$A$5001,N$3,BD!$B$3:$B$5001,$A$405)))</f>
        <v/>
      </c>
      <c r="O405" s="159" t="str">
        <f>IF(O$3="","",IF(COUNTIFS(BD!$A$3:$A$5001,O$3,BD!$B$3:$B$5001,$A$405,BD!$C$3:$C$5001,"&lt;&gt;")=0,"",SUMIFS(BD!$C$3:$C$5001,BD!$A$3:$A$5001,O$3,BD!$B$3:$B$5001,$A$405)))</f>
        <v/>
      </c>
      <c r="P405" s="159" t="str">
        <f>IF(P$3="","",IF(COUNTIFS(BD!$A$3:$A$5001,P$3,BD!$B$3:$B$5001,$A$405,BD!$C$3:$C$5001,"&lt;&gt;")=0,"",SUMIFS(BD!$C$3:$C$5001,BD!$A$3:$A$5001,P$3,BD!$B$3:$B$5001,$A$405)))</f>
        <v/>
      </c>
      <c r="Q405" s="159" t="str">
        <f>IF(Q$3="","",IF(COUNTIFS(BD!$A$3:$A$5001,Q$3,BD!$B$3:$B$5001,$A$405,BD!$C$3:$C$5001,"&lt;&gt;")=0,"",SUMIFS(BD!$C$3:$C$5001,BD!$A$3:$A$5001,Q$3,BD!$B$3:$B$5001,$A$405)))</f>
        <v/>
      </c>
      <c r="R405" s="159" t="str">
        <f>IF(R$3="","",IF(COUNTIFS(BD!$A$3:$A$5001,R$3,BD!$B$3:$B$5001,$A$405,BD!$C$3:$C$5001,"&lt;&gt;")=0,"",SUMIFS(BD!$C$3:$C$5001,BD!$A$3:$A$5001,R$3,BD!$B$3:$B$5001,$A$405)))</f>
        <v/>
      </c>
      <c r="S405" s="159" t="str">
        <f>IF(S$3="","",IF(COUNTIFS(BD!$A$3:$A$5001,S$3,BD!$B$3:$B$5001,$A$405,BD!$C$3:$C$5001,"&lt;&gt;")=0,"",SUMIFS(BD!$C$3:$C$5001,BD!$A$3:$A$5001,S$3,BD!$B$3:$B$5001,$A$405)))</f>
        <v/>
      </c>
      <c r="T405" s="159" t="str">
        <f>IF(T$3="","",IF(COUNTIFS(BD!$A$3:$A$5001,T$3,BD!$B$3:$B$5001,$A$405,BD!$C$3:$C$5001,"&lt;&gt;")=0,"",SUMIFS(BD!$C$3:$C$5001,BD!$A$3:$A$5001,T$3,BD!$B$3:$B$5001,$A$405)))</f>
        <v/>
      </c>
      <c r="U405" s="159" t="str">
        <f>IF(U$3="","",IF(COUNTIFS(BD!$A$3:$A$5001,U$3,BD!$B$3:$B$5001,$A$405,BD!$C$3:$C$5001,"&lt;&gt;")=0,"",SUMIFS(BD!$C$3:$C$5001,BD!$A$3:$A$5001,U$3,BD!$B$3:$B$5001,$A$405)))</f>
        <v/>
      </c>
      <c r="V405" s="159" t="str">
        <f>IF(V$3="","",IF(COUNTIFS(BD!$A$3:$A$5001,V$3,BD!$B$3:$B$5001,$A$405,BD!$C$3:$C$5001,"&lt;&gt;")=0,"",SUMIFS(BD!$C$3:$C$5001,BD!$A$3:$A$5001,V$3,BD!$B$3:$B$5001,$A$405)))</f>
        <v/>
      </c>
      <c r="W405" s="159" t="str">
        <f>IF(W$3="","",IF(COUNTIFS(BD!$A$3:$A$5001,W$3,BD!$B$3:$B$5001,$A$405,BD!$C$3:$C$5001,"&lt;&gt;")=0,"",SUMIFS(BD!$C$3:$C$5001,BD!$A$3:$A$5001,W$3,BD!$B$3:$B$5001,$A$405)))</f>
        <v/>
      </c>
      <c r="X405" s="159" t="str">
        <f>IF(X$3="","",IF(COUNTIFS(BD!$A$3:$A$5001,X$3,BD!$B$3:$B$5001,$A$405,BD!$C$3:$C$5001,"&lt;&gt;")=0,"",SUMIFS(BD!$C$3:$C$5001,BD!$A$3:$A$5001,X$3,BD!$B$3:$B$5001,$A$405)))</f>
        <v/>
      </c>
      <c r="Y405" s="159" t="str">
        <f>IF(Y$3="","",IF(COUNTIFS(BD!$A$3:$A$5001,Y$3,BD!$B$3:$B$5001,$A$405,BD!$C$3:$C$5001,"&lt;&gt;")=0,"",SUMIFS(BD!$C$3:$C$5001,BD!$A$3:$A$5001,Y$3,BD!$B$3:$B$5001,$A$405)))</f>
        <v/>
      </c>
      <c r="Z405" s="159" t="str">
        <f>IF(Z$3="","",IF(COUNTIFS(BD!$A$3:$A$5001,Z$3,BD!$B$3:$B$5001,$A$405,BD!$C$3:$C$5001,"&lt;&gt;")=0,"",SUMIFS(BD!$C$3:$C$5001,BD!$A$3:$A$5001,Z$3,BD!$B$3:$B$5001,$A$405)))</f>
        <v/>
      </c>
      <c r="AA405" s="159" t="str">
        <f>IF(AA$3="","",IF(COUNTIFS(BD!$A$3:$A$5001,AA$3,BD!$B$3:$B$5001,$A$405,BD!$C$3:$C$5001,"&lt;&gt;")=0,"",SUMIFS(BD!$C$3:$C$5001,BD!$A$3:$A$5001,AA$3,BD!$B$3:$B$5001,$A$405)))</f>
        <v/>
      </c>
      <c r="AB405" s="159" t="str">
        <f>IF(AB$3="","",IF(COUNTIFS(BD!$A$3:$A$5001,AB$3,BD!$B$3:$B$5001,$A$405,BD!$C$3:$C$5001,"&lt;&gt;")=0,"",SUMIFS(BD!$C$3:$C$5001,BD!$A$3:$A$5001,AB$3,BD!$B$3:$B$5001,$A$405)))</f>
        <v/>
      </c>
      <c r="AC405" s="159" t="str">
        <f>IF(AC$3="","",IF(COUNTIFS(BD!$A$3:$A$5001,AC$3,BD!$B$3:$B$5001,$A$405,BD!$C$3:$C$5001,"&lt;&gt;")=0,"",SUMIFS(BD!$C$3:$C$5001,BD!$A$3:$A$5001,AC$3,BD!$B$3:$B$5001,$A$405)))</f>
        <v/>
      </c>
      <c r="AD405" s="159" t="str">
        <f>IF(AD$3="","",IF(COUNTIFS(BD!$A$3:$A$5001,AD$3,BD!$B$3:$B$5001,$A$405,BD!$C$3:$C$5001,"&lt;&gt;")=0,"",SUMIFS(BD!$C$3:$C$5001,BD!$A$3:$A$5001,AD$3,BD!$B$3:$B$5001,$A$405)))</f>
        <v/>
      </c>
      <c r="AE405" s="159" t="str">
        <f>IF(AE$3="","",IF(COUNTIFS(BD!$A$3:$A$5001,AE$3,BD!$B$3:$B$5001,$A$405,BD!$C$3:$C$5001,"&lt;&gt;")=0,"",SUMIFS(BD!$C$3:$C$5001,BD!$A$3:$A$5001,AE$3,BD!$B$3:$B$5001,$A$405)))</f>
        <v/>
      </c>
      <c r="AF405" s="159" t="str">
        <f>IF(AF$3="","",IF(COUNTIFS(BD!$A$3:$A$5001,AF$3,BD!$B$3:$B$5001,$A$405,BD!$C$3:$C$5001,"&lt;&gt;")=0,"",SUMIFS(BD!$C$3:$C$5001,BD!$A$3:$A$5001,AF$3,BD!$B$3:$B$5001,$A$405)))</f>
        <v/>
      </c>
      <c r="AG405" s="159" t="str">
        <f>IF(AG$3="","",IF(COUNTIFS(BD!$A$3:$A$5001,AG$3,BD!$B$3:$B$5001,$A$405,BD!$C$3:$C$5001,"&lt;&gt;")=0,"",SUMIFS(BD!$C$3:$C$5001,BD!$A$3:$A$5001,AG$3,BD!$B$3:$B$5001,$A$405)))</f>
        <v/>
      </c>
      <c r="AH405" s="159" t="str">
        <f>IF(AH$3="","",IF(COUNTIFS(BD!$A$3:$A$5001,AH$3,BD!$B$3:$B$5001,$A$405,BD!$C$3:$C$5001,"&lt;&gt;")=0,"",SUMIFS(BD!$C$3:$C$5001,BD!$A$3:$A$5001,AH$3,BD!$B$3:$B$5001,$A$405)))</f>
        <v/>
      </c>
      <c r="AI405" s="159" t="str">
        <f>IF(AI$3="","",IF(COUNTIFS(BD!$A$3:$A$5001,AI$3,BD!$B$3:$B$5001,$A$405,BD!$C$3:$C$5001,"&lt;&gt;")=0,"",SUMIFS(BD!$C$3:$C$5001,BD!$A$3:$A$5001,AI$3,BD!$B$3:$B$5001,$A$405)))</f>
        <v/>
      </c>
      <c r="AJ405" s="160" t="str">
        <f>IF(AJ$3="","",IF(COUNTIFS(BD!$A$3:$A$5001,AJ$3,BD!$B$3:$B$5001,$A$405,BD!$C$3:$C$5001,"&lt;&gt;")=0,"",SUMIFS(BD!$C$3:$C$5001,BD!$A$3:$A$5001,AJ$3,BD!$B$3:$B$5001,$A$405)))</f>
        <v/>
      </c>
      <c r="AK405" s="161" t="str">
        <f>IF(COUNT(F405:AJ405)=0,"",SUM(F405:AJ405))</f>
        <v/>
      </c>
    </row>
    <row r="406" ht="15.75" customHeight="1" hidden="1">
      <c r="A406" s="244"/>
      <c r="B406" s="239"/>
      <c r="C406" s="201" t="inlineStr">
        <is>
          <t xml:space="preserve">Pallets Movimentados</t>
        </is>
      </c>
      <c r="D406" s="202" t="str">
        <f>IFERROR(1/(1/INDEX(BD!$AJ$24:$BD$24,MATCH($A$405,BD!$AJ$22:$BD$22,0))),"")</f>
        <v/>
      </c>
      <c r="E406" s="203"/>
      <c r="F406" s="204" t="str">
        <f>IF(F$3="","",IF(COUNTIFS(BD!$A$3:$A$5001,F$3,BD!$B$3:$B$5001,$A$405,BD!$D$3:$D$5001,"&lt;&gt;")=0,"",SUMIFS(BD!$D$3:$D$5001,BD!$A$3:$A$5001,F$3,BD!$B$3:$B$5001,$A$405)))</f>
        <v/>
      </c>
      <c r="G406" s="205" t="str">
        <f>IF(G$3="","",IF(COUNTIFS(BD!$A$3:$A$5001,G$3,BD!$B$3:$B$5001,$A$405,BD!$D$3:$D$5001,"&lt;&gt;")=0,"",SUMIFS(BD!$D$3:$D$5001,BD!$A$3:$A$5001,G$3,BD!$B$3:$B$5001,$A$405)))</f>
        <v/>
      </c>
      <c r="H406" s="205" t="str">
        <f>IF(H$3="","",IF(COUNTIFS(BD!$A$3:$A$5001,H$3,BD!$B$3:$B$5001,$A$405,BD!$D$3:$D$5001,"&lt;&gt;")=0,"",SUMIFS(BD!$D$3:$D$5001,BD!$A$3:$A$5001,H$3,BD!$B$3:$B$5001,$A$405)))</f>
        <v/>
      </c>
      <c r="I406" s="205" t="str">
        <f>IF(I$3="","",IF(COUNTIFS(BD!$A$3:$A$5001,I$3,BD!$B$3:$B$5001,$A$405,BD!$D$3:$D$5001,"&lt;&gt;")=0,"",SUMIFS(BD!$D$3:$D$5001,BD!$A$3:$A$5001,I$3,BD!$B$3:$B$5001,$A$405)))</f>
        <v/>
      </c>
      <c r="J406" s="205" t="str">
        <f>IF(J$3="","",IF(COUNTIFS(BD!$A$3:$A$5001,J$3,BD!$B$3:$B$5001,$A$405,BD!$D$3:$D$5001,"&lt;&gt;")=0,"",SUMIFS(BD!$D$3:$D$5001,BD!$A$3:$A$5001,J$3,BD!$B$3:$B$5001,$A$405)))</f>
        <v/>
      </c>
      <c r="K406" s="205" t="str">
        <f>IF(K$3="","",IF(COUNTIFS(BD!$A$3:$A$5001,K$3,BD!$B$3:$B$5001,$A$405,BD!$D$3:$D$5001,"&lt;&gt;")=0,"",SUMIFS(BD!$D$3:$D$5001,BD!$A$3:$A$5001,K$3,BD!$B$3:$B$5001,$A$405)))</f>
        <v/>
      </c>
      <c r="L406" s="205" t="str">
        <f>IF(L$3="","",IF(COUNTIFS(BD!$A$3:$A$5001,L$3,BD!$B$3:$B$5001,$A$405,BD!$D$3:$D$5001,"&lt;&gt;")=0,"",SUMIFS(BD!$D$3:$D$5001,BD!$A$3:$A$5001,L$3,BD!$B$3:$B$5001,$A$405)))</f>
        <v/>
      </c>
      <c r="M406" s="205" t="str">
        <f>IF(M$3="","",IF(COUNTIFS(BD!$A$3:$A$5001,M$3,BD!$B$3:$B$5001,$A$405,BD!$D$3:$D$5001,"&lt;&gt;")=0,"",SUMIFS(BD!$D$3:$D$5001,BD!$A$3:$A$5001,M$3,BD!$B$3:$B$5001,$A$405)))</f>
        <v/>
      </c>
      <c r="N406" s="205" t="str">
        <f>IF(N$3="","",IF(COUNTIFS(BD!$A$3:$A$5001,N$3,BD!$B$3:$B$5001,$A$405,BD!$D$3:$D$5001,"&lt;&gt;")=0,"",SUMIFS(BD!$D$3:$D$5001,BD!$A$3:$A$5001,N$3,BD!$B$3:$B$5001,$A$405)))</f>
        <v/>
      </c>
      <c r="O406" s="205" t="str">
        <f>IF(O$3="","",IF(COUNTIFS(BD!$A$3:$A$5001,O$3,BD!$B$3:$B$5001,$A$405,BD!$D$3:$D$5001,"&lt;&gt;")=0,"",SUMIFS(BD!$D$3:$D$5001,BD!$A$3:$A$5001,O$3,BD!$B$3:$B$5001,$A$405)))</f>
        <v/>
      </c>
      <c r="P406" s="205" t="str">
        <f>IF(P$3="","",IF(COUNTIFS(BD!$A$3:$A$5001,P$3,BD!$B$3:$B$5001,$A$405,BD!$D$3:$D$5001,"&lt;&gt;")=0,"",SUMIFS(BD!$D$3:$D$5001,BD!$A$3:$A$5001,P$3,BD!$B$3:$B$5001,$A$405)))</f>
        <v/>
      </c>
      <c r="Q406" s="205" t="str">
        <f>IF(Q$3="","",IF(COUNTIFS(BD!$A$3:$A$5001,Q$3,BD!$B$3:$B$5001,$A$405,BD!$D$3:$D$5001,"&lt;&gt;")=0,"",SUMIFS(BD!$D$3:$D$5001,BD!$A$3:$A$5001,Q$3,BD!$B$3:$B$5001,$A$405)))</f>
        <v/>
      </c>
      <c r="R406" s="205" t="str">
        <f>IF(R$3="","",IF(COUNTIFS(BD!$A$3:$A$5001,R$3,BD!$B$3:$B$5001,$A$405,BD!$D$3:$D$5001,"&lt;&gt;")=0,"",SUMIFS(BD!$D$3:$D$5001,BD!$A$3:$A$5001,R$3,BD!$B$3:$B$5001,$A$405)))</f>
        <v/>
      </c>
      <c r="S406" s="205" t="str">
        <f>IF(S$3="","",IF(COUNTIFS(BD!$A$3:$A$5001,S$3,BD!$B$3:$B$5001,$A$405,BD!$D$3:$D$5001,"&lt;&gt;")=0,"",SUMIFS(BD!$D$3:$D$5001,BD!$A$3:$A$5001,S$3,BD!$B$3:$B$5001,$A$405)))</f>
        <v/>
      </c>
      <c r="T406" s="205" t="str">
        <f>IF(T$3="","",IF(COUNTIFS(BD!$A$3:$A$5001,T$3,BD!$B$3:$B$5001,$A$405,BD!$D$3:$D$5001,"&lt;&gt;")=0,"",SUMIFS(BD!$D$3:$D$5001,BD!$A$3:$A$5001,T$3,BD!$B$3:$B$5001,$A$405)))</f>
        <v/>
      </c>
      <c r="U406" s="205" t="str">
        <f>IF(U$3="","",IF(COUNTIFS(BD!$A$3:$A$5001,U$3,BD!$B$3:$B$5001,$A$405,BD!$D$3:$D$5001,"&lt;&gt;")=0,"",SUMIFS(BD!$D$3:$D$5001,BD!$A$3:$A$5001,U$3,BD!$B$3:$B$5001,$A$405)))</f>
        <v/>
      </c>
      <c r="V406" s="205" t="str">
        <f>IF(V$3="","",IF(COUNTIFS(BD!$A$3:$A$5001,V$3,BD!$B$3:$B$5001,$A$405,BD!$D$3:$D$5001,"&lt;&gt;")=0,"",SUMIFS(BD!$D$3:$D$5001,BD!$A$3:$A$5001,V$3,BD!$B$3:$B$5001,$A$405)))</f>
        <v/>
      </c>
      <c r="W406" s="205" t="str">
        <f>IF(W$3="","",IF(COUNTIFS(BD!$A$3:$A$5001,W$3,BD!$B$3:$B$5001,$A$405,BD!$D$3:$D$5001,"&lt;&gt;")=0,"",SUMIFS(BD!$D$3:$D$5001,BD!$A$3:$A$5001,W$3,BD!$B$3:$B$5001,$A$405)))</f>
        <v/>
      </c>
      <c r="X406" s="205" t="str">
        <f>IF(X$3="","",IF(COUNTIFS(BD!$A$3:$A$5001,X$3,BD!$B$3:$B$5001,$A$405,BD!$D$3:$D$5001,"&lt;&gt;")=0,"",SUMIFS(BD!$D$3:$D$5001,BD!$A$3:$A$5001,X$3,BD!$B$3:$B$5001,$A$405)))</f>
        <v/>
      </c>
      <c r="Y406" s="205" t="str">
        <f>IF(Y$3="","",IF(COUNTIFS(BD!$A$3:$A$5001,Y$3,BD!$B$3:$B$5001,$A$405,BD!$D$3:$D$5001,"&lt;&gt;")=0,"",SUMIFS(BD!$D$3:$D$5001,BD!$A$3:$A$5001,Y$3,BD!$B$3:$B$5001,$A$405)))</f>
        <v/>
      </c>
      <c r="Z406" s="205" t="str">
        <f>IF(Z$3="","",IF(COUNTIFS(BD!$A$3:$A$5001,Z$3,BD!$B$3:$B$5001,$A$405,BD!$D$3:$D$5001,"&lt;&gt;")=0,"",SUMIFS(BD!$D$3:$D$5001,BD!$A$3:$A$5001,Z$3,BD!$B$3:$B$5001,$A$405)))</f>
        <v/>
      </c>
      <c r="AA406" s="205" t="str">
        <f>IF(AA$3="","",IF(COUNTIFS(BD!$A$3:$A$5001,AA$3,BD!$B$3:$B$5001,$A$405,BD!$D$3:$D$5001,"&lt;&gt;")=0,"",SUMIFS(BD!$D$3:$D$5001,BD!$A$3:$A$5001,AA$3,BD!$B$3:$B$5001,$A$405)))</f>
        <v/>
      </c>
      <c r="AB406" s="205" t="str">
        <f>IF(AB$3="","",IF(COUNTIFS(BD!$A$3:$A$5001,AB$3,BD!$B$3:$B$5001,$A$405,BD!$D$3:$D$5001,"&lt;&gt;")=0,"",SUMIFS(BD!$D$3:$D$5001,BD!$A$3:$A$5001,AB$3,BD!$B$3:$B$5001,$A$405)))</f>
        <v/>
      </c>
      <c r="AC406" s="205" t="str">
        <f>IF(AC$3="","",IF(COUNTIFS(BD!$A$3:$A$5001,AC$3,BD!$B$3:$B$5001,$A$405,BD!$D$3:$D$5001,"&lt;&gt;")=0,"",SUMIFS(BD!$D$3:$D$5001,BD!$A$3:$A$5001,AC$3,BD!$B$3:$B$5001,$A$405)))</f>
        <v/>
      </c>
      <c r="AD406" s="205" t="str">
        <f>IF(AD$3="","",IF(COUNTIFS(BD!$A$3:$A$5001,AD$3,BD!$B$3:$B$5001,$A$405,BD!$D$3:$D$5001,"&lt;&gt;")=0,"",SUMIFS(BD!$D$3:$D$5001,BD!$A$3:$A$5001,AD$3,BD!$B$3:$B$5001,$A$405)))</f>
        <v/>
      </c>
      <c r="AE406" s="205" t="str">
        <f>IF(AE$3="","",IF(COUNTIFS(BD!$A$3:$A$5001,AE$3,BD!$B$3:$B$5001,$A$405,BD!$D$3:$D$5001,"&lt;&gt;")=0,"",SUMIFS(BD!$D$3:$D$5001,BD!$A$3:$A$5001,AE$3,BD!$B$3:$B$5001,$A$405)))</f>
        <v/>
      </c>
      <c r="AF406" s="205" t="str">
        <f>IF(AF$3="","",IF(COUNTIFS(BD!$A$3:$A$5001,AF$3,BD!$B$3:$B$5001,$A$405,BD!$D$3:$D$5001,"&lt;&gt;")=0,"",SUMIFS(BD!$D$3:$D$5001,BD!$A$3:$A$5001,AF$3,BD!$B$3:$B$5001,$A$405)))</f>
        <v/>
      </c>
      <c r="AG406" s="205" t="str">
        <f>IF(AG$3="","",IF(COUNTIFS(BD!$A$3:$A$5001,AG$3,BD!$B$3:$B$5001,$A$405,BD!$D$3:$D$5001,"&lt;&gt;")=0,"",SUMIFS(BD!$D$3:$D$5001,BD!$A$3:$A$5001,AG$3,BD!$B$3:$B$5001,$A$405)))</f>
        <v/>
      </c>
      <c r="AH406" s="205" t="str">
        <f>IF(AH$3="","",IF(COUNTIFS(BD!$A$3:$A$5001,AH$3,BD!$B$3:$B$5001,$A$405,BD!$D$3:$D$5001,"&lt;&gt;")=0,"",SUMIFS(BD!$D$3:$D$5001,BD!$A$3:$A$5001,AH$3,BD!$B$3:$B$5001,$A$405)))</f>
        <v/>
      </c>
      <c r="AI406" s="205" t="str">
        <f>IF(AI$3="","",IF(COUNTIFS(BD!$A$3:$A$5001,AI$3,BD!$B$3:$B$5001,$A$405,BD!$D$3:$D$5001,"&lt;&gt;")=0,"",SUMIFS(BD!$D$3:$D$5001,BD!$A$3:$A$5001,AI$3,BD!$B$3:$B$5001,$A$405)))</f>
        <v/>
      </c>
      <c r="AJ406" s="206" t="str">
        <f>IF(AJ$3="","",IF(COUNTIFS(BD!$A$3:$A$5001,AJ$3,BD!$B$3:$B$5001,$A$405,BD!$D$3:$D$5001,"&lt;&gt;")=0,"",SUMIFS(BD!$D$3:$D$5001,BD!$A$3:$A$5001,AJ$3,BD!$B$3:$B$5001,$A$405)))</f>
        <v/>
      </c>
      <c r="AK406" s="207" t="str">
        <f>IF(COUNT(F406:AJ406)=0,"",SUM(F406:AJ406))</f>
        <v/>
      </c>
    </row>
    <row r="407" ht="15.75" customHeight="1" hidden="1">
      <c r="A407" s="244"/>
      <c r="B407" s="239"/>
      <c r="C407" s="201" t="inlineStr">
        <is>
          <t xml:space="preserve">Toneladas Movimentadas</t>
        </is>
      </c>
      <c r="D407" s="202" t="str">
        <f>IFERROR(1/(1/INDEX(BD!$AJ$25:$BD$25,MATCH($A$405,BD!$AJ$22:$BD$22,0))),"")</f>
        <v/>
      </c>
      <c r="E407" s="203"/>
      <c r="F407" s="265" t="str">
        <f>IF(F$3="","",IF(COUNTIFS(BD!$A$3:$A$5001,F$3,BD!$B$3:$B$5001,$A$405,BD!$E$3:$E$5001,"&lt;&gt;")=0,"",SUMIFS(BD!$E$3:$E$5001,BD!$A$3:$A$5001,F$3,BD!$B$3:$B$5001,$A$405)))</f>
        <v/>
      </c>
      <c r="G407" s="266" t="str">
        <f>IF(G$3="","",IF(COUNTIFS(BD!$A$3:$A$5001,G$3,BD!$B$3:$B$5001,$A$405,BD!$E$3:$E$5001,"&lt;&gt;")=0,"",SUMIFS(BD!$E$3:$E$5001,BD!$A$3:$A$5001,G$3,BD!$B$3:$B$5001,$A$405)))</f>
        <v/>
      </c>
      <c r="H407" s="266" t="str">
        <f>IF(H$3="","",IF(COUNTIFS(BD!$A$3:$A$5001,H$3,BD!$B$3:$B$5001,$A$405,BD!$E$3:$E$5001,"&lt;&gt;")=0,"",SUMIFS(BD!$E$3:$E$5001,BD!$A$3:$A$5001,H$3,BD!$B$3:$B$5001,$A$405)))</f>
        <v/>
      </c>
      <c r="I407" s="266" t="str">
        <f>IF(I$3="","",IF(COUNTIFS(BD!$A$3:$A$5001,I$3,BD!$B$3:$B$5001,$A$405,BD!$E$3:$E$5001,"&lt;&gt;")=0,"",SUMIFS(BD!$E$3:$E$5001,BD!$A$3:$A$5001,I$3,BD!$B$3:$B$5001,$A$405)))</f>
        <v/>
      </c>
      <c r="J407" s="266" t="str">
        <f>IF(J$3="","",IF(COUNTIFS(BD!$A$3:$A$5001,J$3,BD!$B$3:$B$5001,$A$405,BD!$E$3:$E$5001,"&lt;&gt;")=0,"",SUMIFS(BD!$E$3:$E$5001,BD!$A$3:$A$5001,J$3,BD!$B$3:$B$5001,$A$405)))</f>
        <v/>
      </c>
      <c r="K407" s="266" t="str">
        <f>IF(K$3="","",IF(COUNTIFS(BD!$A$3:$A$5001,K$3,BD!$B$3:$B$5001,$A$405,BD!$E$3:$E$5001,"&lt;&gt;")=0,"",SUMIFS(BD!$E$3:$E$5001,BD!$A$3:$A$5001,K$3,BD!$B$3:$B$5001,$A$405)))</f>
        <v/>
      </c>
      <c r="L407" s="266" t="str">
        <f>IF(L$3="","",IF(COUNTIFS(BD!$A$3:$A$5001,L$3,BD!$B$3:$B$5001,$A$405,BD!$E$3:$E$5001,"&lt;&gt;")=0,"",SUMIFS(BD!$E$3:$E$5001,BD!$A$3:$A$5001,L$3,BD!$B$3:$B$5001,$A$405)))</f>
        <v/>
      </c>
      <c r="M407" s="266" t="str">
        <f>IF(M$3="","",IF(COUNTIFS(BD!$A$3:$A$5001,M$3,BD!$B$3:$B$5001,$A$405,BD!$E$3:$E$5001,"&lt;&gt;")=0,"",SUMIFS(BD!$E$3:$E$5001,BD!$A$3:$A$5001,M$3,BD!$B$3:$B$5001,$A$405)))</f>
        <v/>
      </c>
      <c r="N407" s="266" t="str">
        <f>IF(N$3="","",IF(COUNTIFS(BD!$A$3:$A$5001,N$3,BD!$B$3:$B$5001,$A$405,BD!$E$3:$E$5001,"&lt;&gt;")=0,"",SUMIFS(BD!$E$3:$E$5001,BD!$A$3:$A$5001,N$3,BD!$B$3:$B$5001,$A$405)))</f>
        <v/>
      </c>
      <c r="O407" s="266" t="str">
        <f>IF(O$3="","",IF(COUNTIFS(BD!$A$3:$A$5001,O$3,BD!$B$3:$B$5001,$A$405,BD!$E$3:$E$5001,"&lt;&gt;")=0,"",SUMIFS(BD!$E$3:$E$5001,BD!$A$3:$A$5001,O$3,BD!$B$3:$B$5001,$A$405)))</f>
        <v/>
      </c>
      <c r="P407" s="266" t="str">
        <f>IF(P$3="","",IF(COUNTIFS(BD!$A$3:$A$5001,P$3,BD!$B$3:$B$5001,$A$405,BD!$E$3:$E$5001,"&lt;&gt;")=0,"",SUMIFS(BD!$E$3:$E$5001,BD!$A$3:$A$5001,P$3,BD!$B$3:$B$5001,$A$405)))</f>
        <v/>
      </c>
      <c r="Q407" s="266" t="str">
        <f>IF(Q$3="","",IF(COUNTIFS(BD!$A$3:$A$5001,Q$3,BD!$B$3:$B$5001,$A$405,BD!$E$3:$E$5001,"&lt;&gt;")=0,"",SUMIFS(BD!$E$3:$E$5001,BD!$A$3:$A$5001,Q$3,BD!$B$3:$B$5001,$A$405)))</f>
        <v/>
      </c>
      <c r="R407" s="266" t="str">
        <f>IF(R$3="","",IF(COUNTIFS(BD!$A$3:$A$5001,R$3,BD!$B$3:$B$5001,$A$405,BD!$E$3:$E$5001,"&lt;&gt;")=0,"",SUMIFS(BD!$E$3:$E$5001,BD!$A$3:$A$5001,R$3,BD!$B$3:$B$5001,$A$405)))</f>
        <v/>
      </c>
      <c r="S407" s="266" t="str">
        <f>IF(S$3="","",IF(COUNTIFS(BD!$A$3:$A$5001,S$3,BD!$B$3:$B$5001,$A$405,BD!$E$3:$E$5001,"&lt;&gt;")=0,"",SUMIFS(BD!$E$3:$E$5001,BD!$A$3:$A$5001,S$3,BD!$B$3:$B$5001,$A$405)))</f>
        <v/>
      </c>
      <c r="T407" s="266" t="str">
        <f>IF(T$3="","",IF(COUNTIFS(BD!$A$3:$A$5001,T$3,BD!$B$3:$B$5001,$A$405,BD!$E$3:$E$5001,"&lt;&gt;")=0,"",SUMIFS(BD!$E$3:$E$5001,BD!$A$3:$A$5001,T$3,BD!$B$3:$B$5001,$A$405)))</f>
        <v/>
      </c>
      <c r="U407" s="266" t="str">
        <f>IF(U$3="","",IF(COUNTIFS(BD!$A$3:$A$5001,U$3,BD!$B$3:$B$5001,$A$405,BD!$E$3:$E$5001,"&lt;&gt;")=0,"",SUMIFS(BD!$E$3:$E$5001,BD!$A$3:$A$5001,U$3,BD!$B$3:$B$5001,$A$405)))</f>
        <v/>
      </c>
      <c r="V407" s="266" t="str">
        <f>IF(V$3="","",IF(COUNTIFS(BD!$A$3:$A$5001,V$3,BD!$B$3:$B$5001,$A$405,BD!$E$3:$E$5001,"&lt;&gt;")=0,"",SUMIFS(BD!$E$3:$E$5001,BD!$A$3:$A$5001,V$3,BD!$B$3:$B$5001,$A$405)))</f>
        <v/>
      </c>
      <c r="W407" s="266" t="str">
        <f>IF(W$3="","",IF(COUNTIFS(BD!$A$3:$A$5001,W$3,BD!$B$3:$B$5001,$A$405,BD!$E$3:$E$5001,"&lt;&gt;")=0,"",SUMIFS(BD!$E$3:$E$5001,BD!$A$3:$A$5001,W$3,BD!$B$3:$B$5001,$A$405)))</f>
        <v/>
      </c>
      <c r="X407" s="266" t="str">
        <f>IF(X$3="","",IF(COUNTIFS(BD!$A$3:$A$5001,X$3,BD!$B$3:$B$5001,$A$405,BD!$E$3:$E$5001,"&lt;&gt;")=0,"",SUMIFS(BD!$E$3:$E$5001,BD!$A$3:$A$5001,X$3,BD!$B$3:$B$5001,$A$405)))</f>
        <v/>
      </c>
      <c r="Y407" s="266" t="str">
        <f>IF(Y$3="","",IF(COUNTIFS(BD!$A$3:$A$5001,Y$3,BD!$B$3:$B$5001,$A$405,BD!$E$3:$E$5001,"&lt;&gt;")=0,"",SUMIFS(BD!$E$3:$E$5001,BD!$A$3:$A$5001,Y$3,BD!$B$3:$B$5001,$A$405)))</f>
        <v/>
      </c>
      <c r="Z407" s="266" t="str">
        <f>IF(Z$3="","",IF(COUNTIFS(BD!$A$3:$A$5001,Z$3,BD!$B$3:$B$5001,$A$405,BD!$E$3:$E$5001,"&lt;&gt;")=0,"",SUMIFS(BD!$E$3:$E$5001,BD!$A$3:$A$5001,Z$3,BD!$B$3:$B$5001,$A$405)))</f>
        <v/>
      </c>
      <c r="AA407" s="266" t="str">
        <f>IF(AA$3="","",IF(COUNTIFS(BD!$A$3:$A$5001,AA$3,BD!$B$3:$B$5001,$A$405,BD!$E$3:$E$5001,"&lt;&gt;")=0,"",SUMIFS(BD!$E$3:$E$5001,BD!$A$3:$A$5001,AA$3,BD!$B$3:$B$5001,$A$405)))</f>
        <v/>
      </c>
      <c r="AB407" s="266" t="str">
        <f>IF(AB$3="","",IF(COUNTIFS(BD!$A$3:$A$5001,AB$3,BD!$B$3:$B$5001,$A$405,BD!$E$3:$E$5001,"&lt;&gt;")=0,"",SUMIFS(BD!$E$3:$E$5001,BD!$A$3:$A$5001,AB$3,BD!$B$3:$B$5001,$A$405)))</f>
        <v/>
      </c>
      <c r="AC407" s="266" t="str">
        <f>IF(AC$3="","",IF(COUNTIFS(BD!$A$3:$A$5001,AC$3,BD!$B$3:$B$5001,$A$405,BD!$E$3:$E$5001,"&lt;&gt;")=0,"",SUMIFS(BD!$E$3:$E$5001,BD!$A$3:$A$5001,AC$3,BD!$B$3:$B$5001,$A$405)))</f>
        <v/>
      </c>
      <c r="AD407" s="266" t="str">
        <f>IF(AD$3="","",IF(COUNTIFS(BD!$A$3:$A$5001,AD$3,BD!$B$3:$B$5001,$A$405,BD!$E$3:$E$5001,"&lt;&gt;")=0,"",SUMIFS(BD!$E$3:$E$5001,BD!$A$3:$A$5001,AD$3,BD!$B$3:$B$5001,$A$405)))</f>
        <v/>
      </c>
      <c r="AE407" s="266" t="str">
        <f>IF(AE$3="","",IF(COUNTIFS(BD!$A$3:$A$5001,AE$3,BD!$B$3:$B$5001,$A$405,BD!$E$3:$E$5001,"&lt;&gt;")=0,"",SUMIFS(BD!$E$3:$E$5001,BD!$A$3:$A$5001,AE$3,BD!$B$3:$B$5001,$A$405)))</f>
        <v/>
      </c>
      <c r="AF407" s="266" t="str">
        <f>IF(AF$3="","",IF(COUNTIFS(BD!$A$3:$A$5001,AF$3,BD!$B$3:$B$5001,$A$405,BD!$E$3:$E$5001,"&lt;&gt;")=0,"",SUMIFS(BD!$E$3:$E$5001,BD!$A$3:$A$5001,AF$3,BD!$B$3:$B$5001,$A$405)))</f>
        <v/>
      </c>
      <c r="AG407" s="266" t="str">
        <f>IF(AG$3="","",IF(COUNTIFS(BD!$A$3:$A$5001,AG$3,BD!$B$3:$B$5001,$A$405,BD!$E$3:$E$5001,"&lt;&gt;")=0,"",SUMIFS(BD!$E$3:$E$5001,BD!$A$3:$A$5001,AG$3,BD!$B$3:$B$5001,$A$405)))</f>
        <v/>
      </c>
      <c r="AH407" s="266" t="str">
        <f>IF(AH$3="","",IF(COUNTIFS(BD!$A$3:$A$5001,AH$3,BD!$B$3:$B$5001,$A$405,BD!$E$3:$E$5001,"&lt;&gt;")=0,"",SUMIFS(BD!$E$3:$E$5001,BD!$A$3:$A$5001,AH$3,BD!$B$3:$B$5001,$A$405)))</f>
        <v/>
      </c>
      <c r="AI407" s="266" t="str">
        <f>IF(AI$3="","",IF(COUNTIFS(BD!$A$3:$A$5001,AI$3,BD!$B$3:$B$5001,$A$405,BD!$E$3:$E$5001,"&lt;&gt;")=0,"",SUMIFS(BD!$E$3:$E$5001,BD!$A$3:$A$5001,AI$3,BD!$B$3:$B$5001,$A$405)))</f>
        <v/>
      </c>
      <c r="AJ407" s="267" t="str">
        <f>IF(AJ$3="","",IF(COUNTIFS(BD!$A$3:$A$5001,AJ$3,BD!$B$3:$B$5001,$A$405,BD!$E$3:$E$5001,"&lt;&gt;")=0,"",SUMIFS(BD!$E$3:$E$5001,BD!$A$3:$A$5001,AJ$3,BD!$B$3:$B$5001,$A$405)))</f>
        <v/>
      </c>
      <c r="AK407" s="268" t="str">
        <f>IF(COUNT(F407:AJ407)=0,"",SUM(F407:AJ407))</f>
        <v/>
      </c>
    </row>
    <row r="408" ht="15.75" customHeight="1" hidden="1">
      <c r="A408" s="244"/>
      <c r="B408" s="239"/>
      <c r="C408" s="201" t="inlineStr">
        <is>
          <t xml:space="preserve">Linhas NF</t>
        </is>
      </c>
      <c r="D408" s="202" t="str">
        <f>IFERROR(1/(1/INDEX(BD!$AJ$26:$BD$26,MATCH($A$405,BD!$AJ$22:$BD$22,0))),"")</f>
        <v/>
      </c>
      <c r="E408" s="203"/>
      <c r="F408" s="204" t="str">
        <f>IF(F$3="","",IF(COUNTIFS(BD!$A$3:$A$5001,F$3,BD!$B$3:$B$5001,$A$405,BD!$F$3:$F$5001,"&lt;&gt;")=0,"",SUMIFS(BD!$F$3:$F$5001,BD!$A$3:$A$5001,F$3,BD!$B$3:$B$5001,$A$405)))</f>
        <v/>
      </c>
      <c r="G408" s="205" t="str">
        <f>IF(G$3="","",IF(COUNTIFS(BD!$A$3:$A$5001,G$3,BD!$B$3:$B$5001,$A$405,BD!$F$3:$F$5001,"&lt;&gt;")=0,"",SUMIFS(BD!$F$3:$F$5001,BD!$A$3:$A$5001,G$3,BD!$B$3:$B$5001,$A$405)))</f>
        <v/>
      </c>
      <c r="H408" s="205" t="str">
        <f>IF(H$3="","",IF(COUNTIFS(BD!$A$3:$A$5001,H$3,BD!$B$3:$B$5001,$A$405,BD!$F$3:$F$5001,"&lt;&gt;")=0,"",SUMIFS(BD!$F$3:$F$5001,BD!$A$3:$A$5001,H$3,BD!$B$3:$B$5001,$A$405)))</f>
        <v/>
      </c>
      <c r="I408" s="205" t="str">
        <f>IF(I$3="","",IF(COUNTIFS(BD!$A$3:$A$5001,I$3,BD!$B$3:$B$5001,$A$405,BD!$F$3:$F$5001,"&lt;&gt;")=0,"",SUMIFS(BD!$F$3:$F$5001,BD!$A$3:$A$5001,I$3,BD!$B$3:$B$5001,$A$405)))</f>
        <v/>
      </c>
      <c r="J408" s="205" t="str">
        <f>IF(J$3="","",IF(COUNTIFS(BD!$A$3:$A$5001,J$3,BD!$B$3:$B$5001,$A$405,BD!$F$3:$F$5001,"&lt;&gt;")=0,"",SUMIFS(BD!$F$3:$F$5001,BD!$A$3:$A$5001,J$3,BD!$B$3:$B$5001,$A$405)))</f>
        <v/>
      </c>
      <c r="K408" s="205" t="str">
        <f>IF(K$3="","",IF(COUNTIFS(BD!$A$3:$A$5001,K$3,BD!$B$3:$B$5001,$A$405,BD!$F$3:$F$5001,"&lt;&gt;")=0,"",SUMIFS(BD!$F$3:$F$5001,BD!$A$3:$A$5001,K$3,BD!$B$3:$B$5001,$A$405)))</f>
        <v/>
      </c>
      <c r="L408" s="205" t="str">
        <f>IF(L$3="","",IF(COUNTIFS(BD!$A$3:$A$5001,L$3,BD!$B$3:$B$5001,$A$405,BD!$F$3:$F$5001,"&lt;&gt;")=0,"",SUMIFS(BD!$F$3:$F$5001,BD!$A$3:$A$5001,L$3,BD!$B$3:$B$5001,$A$405)))</f>
        <v/>
      </c>
      <c r="M408" s="205" t="str">
        <f>IF(M$3="","",IF(COUNTIFS(BD!$A$3:$A$5001,M$3,BD!$B$3:$B$5001,$A$405,BD!$F$3:$F$5001,"&lt;&gt;")=0,"",SUMIFS(BD!$F$3:$F$5001,BD!$A$3:$A$5001,M$3,BD!$B$3:$B$5001,$A$405)))</f>
        <v/>
      </c>
      <c r="N408" s="205" t="str">
        <f>IF(N$3="","",IF(COUNTIFS(BD!$A$3:$A$5001,N$3,BD!$B$3:$B$5001,$A$405,BD!$F$3:$F$5001,"&lt;&gt;")=0,"",SUMIFS(BD!$F$3:$F$5001,BD!$A$3:$A$5001,N$3,BD!$B$3:$B$5001,$A$405)))</f>
        <v/>
      </c>
      <c r="O408" s="205" t="str">
        <f>IF(O$3="","",IF(COUNTIFS(BD!$A$3:$A$5001,O$3,BD!$B$3:$B$5001,$A$405,BD!$F$3:$F$5001,"&lt;&gt;")=0,"",SUMIFS(BD!$F$3:$F$5001,BD!$A$3:$A$5001,O$3,BD!$B$3:$B$5001,$A$405)))</f>
        <v/>
      </c>
      <c r="P408" s="205" t="str">
        <f>IF(P$3="","",IF(COUNTIFS(BD!$A$3:$A$5001,P$3,BD!$B$3:$B$5001,$A$405,BD!$F$3:$F$5001,"&lt;&gt;")=0,"",SUMIFS(BD!$F$3:$F$5001,BD!$A$3:$A$5001,P$3,BD!$B$3:$B$5001,$A$405)))</f>
        <v/>
      </c>
      <c r="Q408" s="205" t="str">
        <f>IF(Q$3="","",IF(COUNTIFS(BD!$A$3:$A$5001,Q$3,BD!$B$3:$B$5001,$A$405,BD!$F$3:$F$5001,"&lt;&gt;")=0,"",SUMIFS(BD!$F$3:$F$5001,BD!$A$3:$A$5001,Q$3,BD!$B$3:$B$5001,$A$405)))</f>
        <v/>
      </c>
      <c r="R408" s="205" t="str">
        <f>IF(R$3="","",IF(COUNTIFS(BD!$A$3:$A$5001,R$3,BD!$B$3:$B$5001,$A$405,BD!$F$3:$F$5001,"&lt;&gt;")=0,"",SUMIFS(BD!$F$3:$F$5001,BD!$A$3:$A$5001,R$3,BD!$B$3:$B$5001,$A$405)))</f>
        <v/>
      </c>
      <c r="S408" s="205" t="str">
        <f>IF(S$3="","",IF(COUNTIFS(BD!$A$3:$A$5001,S$3,BD!$B$3:$B$5001,$A$405,BD!$F$3:$F$5001,"&lt;&gt;")=0,"",SUMIFS(BD!$F$3:$F$5001,BD!$A$3:$A$5001,S$3,BD!$B$3:$B$5001,$A$405)))</f>
        <v/>
      </c>
      <c r="T408" s="205" t="str">
        <f>IF(T$3="","",IF(COUNTIFS(BD!$A$3:$A$5001,T$3,BD!$B$3:$B$5001,$A$405,BD!$F$3:$F$5001,"&lt;&gt;")=0,"",SUMIFS(BD!$F$3:$F$5001,BD!$A$3:$A$5001,T$3,BD!$B$3:$B$5001,$A$405)))</f>
        <v/>
      </c>
      <c r="U408" s="205" t="str">
        <f>IF(U$3="","",IF(COUNTIFS(BD!$A$3:$A$5001,U$3,BD!$B$3:$B$5001,$A$405,BD!$F$3:$F$5001,"&lt;&gt;")=0,"",SUMIFS(BD!$F$3:$F$5001,BD!$A$3:$A$5001,U$3,BD!$B$3:$B$5001,$A$405)))</f>
        <v/>
      </c>
      <c r="V408" s="205" t="str">
        <f>IF(V$3="","",IF(COUNTIFS(BD!$A$3:$A$5001,V$3,BD!$B$3:$B$5001,$A$405,BD!$F$3:$F$5001,"&lt;&gt;")=0,"",SUMIFS(BD!$F$3:$F$5001,BD!$A$3:$A$5001,V$3,BD!$B$3:$B$5001,$A$405)))</f>
        <v/>
      </c>
      <c r="W408" s="205" t="str">
        <f>IF(W$3="","",IF(COUNTIFS(BD!$A$3:$A$5001,W$3,BD!$B$3:$B$5001,$A$405,BD!$F$3:$F$5001,"&lt;&gt;")=0,"",SUMIFS(BD!$F$3:$F$5001,BD!$A$3:$A$5001,W$3,BD!$B$3:$B$5001,$A$405)))</f>
        <v/>
      </c>
      <c r="X408" s="205" t="str">
        <f>IF(X$3="","",IF(COUNTIFS(BD!$A$3:$A$5001,X$3,BD!$B$3:$B$5001,$A$405,BD!$F$3:$F$5001,"&lt;&gt;")=0,"",SUMIFS(BD!$F$3:$F$5001,BD!$A$3:$A$5001,X$3,BD!$B$3:$B$5001,$A$405)))</f>
        <v/>
      </c>
      <c r="Y408" s="205" t="str">
        <f>IF(Y$3="","",IF(COUNTIFS(BD!$A$3:$A$5001,Y$3,BD!$B$3:$B$5001,$A$405,BD!$F$3:$F$5001,"&lt;&gt;")=0,"",SUMIFS(BD!$F$3:$F$5001,BD!$A$3:$A$5001,Y$3,BD!$B$3:$B$5001,$A$405)))</f>
        <v/>
      </c>
      <c r="Z408" s="205" t="str">
        <f>IF(Z$3="","",IF(COUNTIFS(BD!$A$3:$A$5001,Z$3,BD!$B$3:$B$5001,$A$405,BD!$F$3:$F$5001,"&lt;&gt;")=0,"",SUMIFS(BD!$F$3:$F$5001,BD!$A$3:$A$5001,Z$3,BD!$B$3:$B$5001,$A$405)))</f>
        <v/>
      </c>
      <c r="AA408" s="205" t="str">
        <f>IF(AA$3="","",IF(COUNTIFS(BD!$A$3:$A$5001,AA$3,BD!$B$3:$B$5001,$A$405,BD!$F$3:$F$5001,"&lt;&gt;")=0,"",SUMIFS(BD!$F$3:$F$5001,BD!$A$3:$A$5001,AA$3,BD!$B$3:$B$5001,$A$405)))</f>
        <v/>
      </c>
      <c r="AB408" s="205" t="str">
        <f>IF(AB$3="","",IF(COUNTIFS(BD!$A$3:$A$5001,AB$3,BD!$B$3:$B$5001,$A$405,BD!$F$3:$F$5001,"&lt;&gt;")=0,"",SUMIFS(BD!$F$3:$F$5001,BD!$A$3:$A$5001,AB$3,BD!$B$3:$B$5001,$A$405)))</f>
        <v/>
      </c>
      <c r="AC408" s="205" t="str">
        <f>IF(AC$3="","",IF(COUNTIFS(BD!$A$3:$A$5001,AC$3,BD!$B$3:$B$5001,$A$405,BD!$F$3:$F$5001,"&lt;&gt;")=0,"",SUMIFS(BD!$F$3:$F$5001,BD!$A$3:$A$5001,AC$3,BD!$B$3:$B$5001,$A$405)))</f>
        <v/>
      </c>
      <c r="AD408" s="205" t="str">
        <f>IF(AD$3="","",IF(COUNTIFS(BD!$A$3:$A$5001,AD$3,BD!$B$3:$B$5001,$A$405,BD!$F$3:$F$5001,"&lt;&gt;")=0,"",SUMIFS(BD!$F$3:$F$5001,BD!$A$3:$A$5001,AD$3,BD!$B$3:$B$5001,$A$405)))</f>
        <v/>
      </c>
      <c r="AE408" s="205" t="str">
        <f>IF(AE$3="","",IF(COUNTIFS(BD!$A$3:$A$5001,AE$3,BD!$B$3:$B$5001,$A$405,BD!$F$3:$F$5001,"&lt;&gt;")=0,"",SUMIFS(BD!$F$3:$F$5001,BD!$A$3:$A$5001,AE$3,BD!$B$3:$B$5001,$A$405)))</f>
        <v/>
      </c>
      <c r="AF408" s="205" t="str">
        <f>IF(AF$3="","",IF(COUNTIFS(BD!$A$3:$A$5001,AF$3,BD!$B$3:$B$5001,$A$405,BD!$F$3:$F$5001,"&lt;&gt;")=0,"",SUMIFS(BD!$F$3:$F$5001,BD!$A$3:$A$5001,AF$3,BD!$B$3:$B$5001,$A$405)))</f>
        <v/>
      </c>
      <c r="AG408" s="205" t="str">
        <f>IF(AG$3="","",IF(COUNTIFS(BD!$A$3:$A$5001,AG$3,BD!$B$3:$B$5001,$A$405,BD!$F$3:$F$5001,"&lt;&gt;")=0,"",SUMIFS(BD!$F$3:$F$5001,BD!$A$3:$A$5001,AG$3,BD!$B$3:$B$5001,$A$405)))</f>
        <v/>
      </c>
      <c r="AH408" s="205" t="str">
        <f>IF(AH$3="","",IF(COUNTIFS(BD!$A$3:$A$5001,AH$3,BD!$B$3:$B$5001,$A$405,BD!$F$3:$F$5001,"&lt;&gt;")=0,"",SUMIFS(BD!$F$3:$F$5001,BD!$A$3:$A$5001,AH$3,BD!$B$3:$B$5001,$A$405)))</f>
        <v/>
      </c>
      <c r="AI408" s="205" t="str">
        <f>IF(AI$3="","",IF(COUNTIFS(BD!$A$3:$A$5001,AI$3,BD!$B$3:$B$5001,$A$405,BD!$F$3:$F$5001,"&lt;&gt;")=0,"",SUMIFS(BD!$F$3:$F$5001,BD!$A$3:$A$5001,AI$3,BD!$B$3:$B$5001,$A$405)))</f>
        <v/>
      </c>
      <c r="AJ408" s="206" t="str">
        <f>IF(AJ$3="","",IF(COUNTIFS(BD!$A$3:$A$5001,AJ$3,BD!$B$3:$B$5001,$A$405,BD!$F$3:$F$5001,"&lt;&gt;")=0,"",SUMIFS(BD!$F$3:$F$5001,BD!$A$3:$A$5001,AJ$3,BD!$B$3:$B$5001,$A$405)))</f>
        <v/>
      </c>
      <c r="AK408" s="207" t="str">
        <f>IF(COUNT(F408:AJ408)=0,"",SUM(F408:AJ408))</f>
        <v/>
      </c>
    </row>
    <row r="409" ht="15.75" customHeight="1" hidden="1">
      <c r="A409" s="244"/>
      <c r="B409" s="239"/>
      <c r="C409" s="201" t="inlineStr">
        <is>
          <t xml:space="preserve">Caixas Movimentadas</t>
        </is>
      </c>
      <c r="D409" s="202" t="str">
        <f>IFERROR(1/(1/INDEX(BD!$AJ$27:$BD$27,MATCH($A$405,BD!$AJ$22:$BD$22,0))),"")</f>
        <v/>
      </c>
      <c r="E409" s="203"/>
      <c r="F409" s="204" t="str">
        <f>IF(F$3="","",IF(COUNTIFS(BD!$A$3:$A$5001,F$3,BD!$B$3:$B$5001,$A$405,BD!$G$3:$G$5001,"&lt;&gt;")=0,"",SUMIFS(BD!$G$3:$G$5001,BD!$A$3:$A$5001,F$3,BD!$B$3:$B$5001,$A$405)))</f>
        <v/>
      </c>
      <c r="G409" s="205" t="str">
        <f>IF(G$3="","",IF(COUNTIFS(BD!$A$3:$A$5001,G$3,BD!$B$3:$B$5001,$A$405,BD!$G$3:$G$5001,"&lt;&gt;")=0,"",SUMIFS(BD!$G$3:$G$5001,BD!$A$3:$A$5001,G$3,BD!$B$3:$B$5001,$A$405)))</f>
        <v/>
      </c>
      <c r="H409" s="205" t="str">
        <f>IF(H$3="","",IF(COUNTIFS(BD!$A$3:$A$5001,H$3,BD!$B$3:$B$5001,$A$405,BD!$G$3:$G$5001,"&lt;&gt;")=0,"",SUMIFS(BD!$G$3:$G$5001,BD!$A$3:$A$5001,H$3,BD!$B$3:$B$5001,$A$405)))</f>
        <v/>
      </c>
      <c r="I409" s="205" t="str">
        <f>IF(I$3="","",IF(COUNTIFS(BD!$A$3:$A$5001,I$3,BD!$B$3:$B$5001,$A$405,BD!$G$3:$G$5001,"&lt;&gt;")=0,"",SUMIFS(BD!$G$3:$G$5001,BD!$A$3:$A$5001,I$3,BD!$B$3:$B$5001,$A$405)))</f>
        <v/>
      </c>
      <c r="J409" s="205" t="str">
        <f>IF(J$3="","",IF(COUNTIFS(BD!$A$3:$A$5001,J$3,BD!$B$3:$B$5001,$A$405,BD!$G$3:$G$5001,"&lt;&gt;")=0,"",SUMIFS(BD!$G$3:$G$5001,BD!$A$3:$A$5001,J$3,BD!$B$3:$B$5001,$A$405)))</f>
        <v/>
      </c>
      <c r="K409" s="205" t="str">
        <f>IF(K$3="","",IF(COUNTIFS(BD!$A$3:$A$5001,K$3,BD!$B$3:$B$5001,$A$405,BD!$G$3:$G$5001,"&lt;&gt;")=0,"",SUMIFS(BD!$G$3:$G$5001,BD!$A$3:$A$5001,K$3,BD!$B$3:$B$5001,$A$405)))</f>
        <v/>
      </c>
      <c r="L409" s="205" t="str">
        <f>IF(L$3="","",IF(COUNTIFS(BD!$A$3:$A$5001,L$3,BD!$B$3:$B$5001,$A$405,BD!$G$3:$G$5001,"&lt;&gt;")=0,"",SUMIFS(BD!$G$3:$G$5001,BD!$A$3:$A$5001,L$3,BD!$B$3:$B$5001,$A$405)))</f>
        <v/>
      </c>
      <c r="M409" s="205" t="str">
        <f>IF(M$3="","",IF(COUNTIFS(BD!$A$3:$A$5001,M$3,BD!$B$3:$B$5001,$A$405,BD!$G$3:$G$5001,"&lt;&gt;")=0,"",SUMIFS(BD!$G$3:$G$5001,BD!$A$3:$A$5001,M$3,BD!$B$3:$B$5001,$A$405)))</f>
        <v/>
      </c>
      <c r="N409" s="205" t="str">
        <f>IF(N$3="","",IF(COUNTIFS(BD!$A$3:$A$5001,N$3,BD!$B$3:$B$5001,$A$405,BD!$G$3:$G$5001,"&lt;&gt;")=0,"",SUMIFS(BD!$G$3:$G$5001,BD!$A$3:$A$5001,N$3,BD!$B$3:$B$5001,$A$405)))</f>
        <v/>
      </c>
      <c r="O409" s="205" t="str">
        <f>IF(O$3="","",IF(COUNTIFS(BD!$A$3:$A$5001,O$3,BD!$B$3:$B$5001,$A$405,BD!$G$3:$G$5001,"&lt;&gt;")=0,"",SUMIFS(BD!$G$3:$G$5001,BD!$A$3:$A$5001,O$3,BD!$B$3:$B$5001,$A$405)))</f>
        <v/>
      </c>
      <c r="P409" s="205" t="str">
        <f>IF(P$3="","",IF(COUNTIFS(BD!$A$3:$A$5001,P$3,BD!$B$3:$B$5001,$A$405,BD!$G$3:$G$5001,"&lt;&gt;")=0,"",SUMIFS(BD!$G$3:$G$5001,BD!$A$3:$A$5001,P$3,BD!$B$3:$B$5001,$A$405)))</f>
        <v/>
      </c>
      <c r="Q409" s="205" t="str">
        <f>IF(Q$3="","",IF(COUNTIFS(BD!$A$3:$A$5001,Q$3,BD!$B$3:$B$5001,$A$405,BD!$G$3:$G$5001,"&lt;&gt;")=0,"",SUMIFS(BD!$G$3:$G$5001,BD!$A$3:$A$5001,Q$3,BD!$B$3:$B$5001,$A$405)))</f>
        <v/>
      </c>
      <c r="R409" s="205" t="str">
        <f>IF(R$3="","",IF(COUNTIFS(BD!$A$3:$A$5001,R$3,BD!$B$3:$B$5001,$A$405,BD!$G$3:$G$5001,"&lt;&gt;")=0,"",SUMIFS(BD!$G$3:$G$5001,BD!$A$3:$A$5001,R$3,BD!$B$3:$B$5001,$A$405)))</f>
        <v/>
      </c>
      <c r="S409" s="205" t="str">
        <f>IF(S$3="","",IF(COUNTIFS(BD!$A$3:$A$5001,S$3,BD!$B$3:$B$5001,$A$405,BD!$G$3:$G$5001,"&lt;&gt;")=0,"",SUMIFS(BD!$G$3:$G$5001,BD!$A$3:$A$5001,S$3,BD!$B$3:$B$5001,$A$405)))</f>
        <v/>
      </c>
      <c r="T409" s="205" t="str">
        <f>IF(T$3="","",IF(COUNTIFS(BD!$A$3:$A$5001,T$3,BD!$B$3:$B$5001,$A$405,BD!$G$3:$G$5001,"&lt;&gt;")=0,"",SUMIFS(BD!$G$3:$G$5001,BD!$A$3:$A$5001,T$3,BD!$B$3:$B$5001,$A$405)))</f>
        <v/>
      </c>
      <c r="U409" s="205" t="str">
        <f>IF(U$3="","",IF(COUNTIFS(BD!$A$3:$A$5001,U$3,BD!$B$3:$B$5001,$A$405,BD!$G$3:$G$5001,"&lt;&gt;")=0,"",SUMIFS(BD!$G$3:$G$5001,BD!$A$3:$A$5001,U$3,BD!$B$3:$B$5001,$A$405)))</f>
        <v/>
      </c>
      <c r="V409" s="205" t="str">
        <f>IF(V$3="","",IF(COUNTIFS(BD!$A$3:$A$5001,V$3,BD!$B$3:$B$5001,$A$405,BD!$G$3:$G$5001,"&lt;&gt;")=0,"",SUMIFS(BD!$G$3:$G$5001,BD!$A$3:$A$5001,V$3,BD!$B$3:$B$5001,$A$405)))</f>
        <v/>
      </c>
      <c r="W409" s="205" t="str">
        <f>IF(W$3="","",IF(COUNTIFS(BD!$A$3:$A$5001,W$3,BD!$B$3:$B$5001,$A$405,BD!$G$3:$G$5001,"&lt;&gt;")=0,"",SUMIFS(BD!$G$3:$G$5001,BD!$A$3:$A$5001,W$3,BD!$B$3:$B$5001,$A$405)))</f>
        <v/>
      </c>
      <c r="X409" s="205" t="str">
        <f>IF(X$3="","",IF(COUNTIFS(BD!$A$3:$A$5001,X$3,BD!$B$3:$B$5001,$A$405,BD!$G$3:$G$5001,"&lt;&gt;")=0,"",SUMIFS(BD!$G$3:$G$5001,BD!$A$3:$A$5001,X$3,BD!$B$3:$B$5001,$A$405)))</f>
        <v/>
      </c>
      <c r="Y409" s="205" t="str">
        <f>IF(Y$3="","",IF(COUNTIFS(BD!$A$3:$A$5001,Y$3,BD!$B$3:$B$5001,$A$405,BD!$G$3:$G$5001,"&lt;&gt;")=0,"",SUMIFS(BD!$G$3:$G$5001,BD!$A$3:$A$5001,Y$3,BD!$B$3:$B$5001,$A$405)))</f>
        <v/>
      </c>
      <c r="Z409" s="205" t="str">
        <f>IF(Z$3="","",IF(COUNTIFS(BD!$A$3:$A$5001,Z$3,BD!$B$3:$B$5001,$A$405,BD!$G$3:$G$5001,"&lt;&gt;")=0,"",SUMIFS(BD!$G$3:$G$5001,BD!$A$3:$A$5001,Z$3,BD!$B$3:$B$5001,$A$405)))</f>
        <v/>
      </c>
      <c r="AA409" s="205" t="str">
        <f>IF(AA$3="","",IF(COUNTIFS(BD!$A$3:$A$5001,AA$3,BD!$B$3:$B$5001,$A$405,BD!$G$3:$G$5001,"&lt;&gt;")=0,"",SUMIFS(BD!$G$3:$G$5001,BD!$A$3:$A$5001,AA$3,BD!$B$3:$B$5001,$A$405)))</f>
        <v/>
      </c>
      <c r="AB409" s="205" t="str">
        <f>IF(AB$3="","",IF(COUNTIFS(BD!$A$3:$A$5001,AB$3,BD!$B$3:$B$5001,$A$405,BD!$G$3:$G$5001,"&lt;&gt;")=0,"",SUMIFS(BD!$G$3:$G$5001,BD!$A$3:$A$5001,AB$3,BD!$B$3:$B$5001,$A$405)))</f>
        <v/>
      </c>
      <c r="AC409" s="205" t="str">
        <f>IF(AC$3="","",IF(COUNTIFS(BD!$A$3:$A$5001,AC$3,BD!$B$3:$B$5001,$A$405,BD!$G$3:$G$5001,"&lt;&gt;")=0,"",SUMIFS(BD!$G$3:$G$5001,BD!$A$3:$A$5001,AC$3,BD!$B$3:$B$5001,$A$405)))</f>
        <v/>
      </c>
      <c r="AD409" s="205" t="str">
        <f>IF(AD$3="","",IF(COUNTIFS(BD!$A$3:$A$5001,AD$3,BD!$B$3:$B$5001,$A$405,BD!$G$3:$G$5001,"&lt;&gt;")=0,"",SUMIFS(BD!$G$3:$G$5001,BD!$A$3:$A$5001,AD$3,BD!$B$3:$B$5001,$A$405)))</f>
        <v/>
      </c>
      <c r="AE409" s="205" t="str">
        <f>IF(AE$3="","",IF(COUNTIFS(BD!$A$3:$A$5001,AE$3,BD!$B$3:$B$5001,$A$405,BD!$G$3:$G$5001,"&lt;&gt;")=0,"",SUMIFS(BD!$G$3:$G$5001,BD!$A$3:$A$5001,AE$3,BD!$B$3:$B$5001,$A$405)))</f>
        <v/>
      </c>
      <c r="AF409" s="205" t="str">
        <f>IF(AF$3="","",IF(COUNTIFS(BD!$A$3:$A$5001,AF$3,BD!$B$3:$B$5001,$A$405,BD!$G$3:$G$5001,"&lt;&gt;")=0,"",SUMIFS(BD!$G$3:$G$5001,BD!$A$3:$A$5001,AF$3,BD!$B$3:$B$5001,$A$405)))</f>
        <v/>
      </c>
      <c r="AG409" s="205" t="str">
        <f>IF(AG$3="","",IF(COUNTIFS(BD!$A$3:$A$5001,AG$3,BD!$B$3:$B$5001,$A$405,BD!$G$3:$G$5001,"&lt;&gt;")=0,"",SUMIFS(BD!$G$3:$G$5001,BD!$A$3:$A$5001,AG$3,BD!$B$3:$B$5001,$A$405)))</f>
        <v/>
      </c>
      <c r="AH409" s="205" t="str">
        <f>IF(AH$3="","",IF(COUNTIFS(BD!$A$3:$A$5001,AH$3,BD!$B$3:$B$5001,$A$405,BD!$G$3:$G$5001,"&lt;&gt;")=0,"",SUMIFS(BD!$G$3:$G$5001,BD!$A$3:$A$5001,AH$3,BD!$B$3:$B$5001,$A$405)))</f>
        <v/>
      </c>
      <c r="AI409" s="205" t="str">
        <f>IF(AI$3="","",IF(COUNTIFS(BD!$A$3:$A$5001,AI$3,BD!$B$3:$B$5001,$A$405,BD!$G$3:$G$5001,"&lt;&gt;")=0,"",SUMIFS(BD!$G$3:$G$5001,BD!$A$3:$A$5001,AI$3,BD!$B$3:$B$5001,$A$405)))</f>
        <v/>
      </c>
      <c r="AJ409" s="206" t="str">
        <f>IF(AJ$3="","",IF(COUNTIFS(BD!$A$3:$A$5001,AJ$3,BD!$B$3:$B$5001,$A$405,BD!$G$3:$G$5001,"&lt;&gt;")=0,"",SUMIFS(BD!$G$3:$G$5001,BD!$A$3:$A$5001,AJ$3,BD!$B$3:$B$5001,$A$405)))</f>
        <v/>
      </c>
      <c r="AK409" s="207" t="str">
        <f>IF(COUNT(F409:AJ409)=0,"",SUM(F409:AJ409))</f>
        <v/>
      </c>
    </row>
    <row r="410" ht="15.75" customHeight="1" hidden="1">
      <c r="A410" s="244"/>
      <c r="B410" s="239"/>
      <c r="C410" s="201" t="inlineStr">
        <is>
          <t xml:space="preserve">Itens Recebidos</t>
        </is>
      </c>
      <c r="D410" s="202" t="str">
        <f>IFERROR(1/(1/INDEX(BD!$AJ$28:$BD$28,MATCH($A$405,BD!$AJ$22:$BD$22,0))),"")</f>
        <v/>
      </c>
      <c r="E410" s="203"/>
      <c r="F410" s="204" t="str">
        <f>IF(F$3="","",IF(COUNTIFS(BD!$A$3:$A$5001,F$3,BD!$B$3:$B$5001,$A$405,BD!$H$3:$H$5001,"&lt;&gt;")=0,"",SUMIFS(BD!$H$3:$H$5001,BD!$A$3:$A$5001,F$3,BD!$B$3:$B$5001,$A$405)))</f>
        <v/>
      </c>
      <c r="G410" s="205" t="str">
        <f>IF(G$3="","",IF(COUNTIFS(BD!$A$3:$A$5001,G$3,BD!$B$3:$B$5001,$A$405,BD!$H$3:$H$5001,"&lt;&gt;")=0,"",SUMIFS(BD!$H$3:$H$5001,BD!$A$3:$A$5001,G$3,BD!$B$3:$B$5001,$A$405)))</f>
        <v/>
      </c>
      <c r="H410" s="205" t="str">
        <f>IF(H$3="","",IF(COUNTIFS(BD!$A$3:$A$5001,H$3,BD!$B$3:$B$5001,$A$405,BD!$H$3:$H$5001,"&lt;&gt;")=0,"",SUMIFS(BD!$H$3:$H$5001,BD!$A$3:$A$5001,H$3,BD!$B$3:$B$5001,$A$405)))</f>
        <v/>
      </c>
      <c r="I410" s="205" t="str">
        <f>IF(I$3="","",IF(COUNTIFS(BD!$A$3:$A$5001,I$3,BD!$B$3:$B$5001,$A$405,BD!$H$3:$H$5001,"&lt;&gt;")=0,"",SUMIFS(BD!$H$3:$H$5001,BD!$A$3:$A$5001,I$3,BD!$B$3:$B$5001,$A$405)))</f>
        <v/>
      </c>
      <c r="J410" s="205" t="str">
        <f>IF(J$3="","",IF(COUNTIFS(BD!$A$3:$A$5001,J$3,BD!$B$3:$B$5001,$A$405,BD!$H$3:$H$5001,"&lt;&gt;")=0,"",SUMIFS(BD!$H$3:$H$5001,BD!$A$3:$A$5001,J$3,BD!$B$3:$B$5001,$A$405)))</f>
        <v/>
      </c>
      <c r="K410" s="205" t="str">
        <f>IF(K$3="","",IF(COUNTIFS(BD!$A$3:$A$5001,K$3,BD!$B$3:$B$5001,$A$405,BD!$H$3:$H$5001,"&lt;&gt;")=0,"",SUMIFS(BD!$H$3:$H$5001,BD!$A$3:$A$5001,K$3,BD!$B$3:$B$5001,$A$405)))</f>
        <v/>
      </c>
      <c r="L410" s="205" t="str">
        <f>IF(L$3="","",IF(COUNTIFS(BD!$A$3:$A$5001,L$3,BD!$B$3:$B$5001,$A$405,BD!$H$3:$H$5001,"&lt;&gt;")=0,"",SUMIFS(BD!$H$3:$H$5001,BD!$A$3:$A$5001,L$3,BD!$B$3:$B$5001,$A$405)))</f>
        <v/>
      </c>
      <c r="M410" s="205" t="str">
        <f>IF(M$3="","",IF(COUNTIFS(BD!$A$3:$A$5001,M$3,BD!$B$3:$B$5001,$A$405,BD!$H$3:$H$5001,"&lt;&gt;")=0,"",SUMIFS(BD!$H$3:$H$5001,BD!$A$3:$A$5001,M$3,BD!$B$3:$B$5001,$A$405)))</f>
        <v/>
      </c>
      <c r="N410" s="205" t="str">
        <f>IF(N$3="","",IF(COUNTIFS(BD!$A$3:$A$5001,N$3,BD!$B$3:$B$5001,$A$405,BD!$H$3:$H$5001,"&lt;&gt;")=0,"",SUMIFS(BD!$H$3:$H$5001,BD!$A$3:$A$5001,N$3,BD!$B$3:$B$5001,$A$405)))</f>
        <v/>
      </c>
      <c r="O410" s="205" t="str">
        <f>IF(O$3="","",IF(COUNTIFS(BD!$A$3:$A$5001,O$3,BD!$B$3:$B$5001,$A$405,BD!$H$3:$H$5001,"&lt;&gt;")=0,"",SUMIFS(BD!$H$3:$H$5001,BD!$A$3:$A$5001,O$3,BD!$B$3:$B$5001,$A$405)))</f>
        <v/>
      </c>
      <c r="P410" s="205" t="str">
        <f>IF(P$3="","",IF(COUNTIFS(BD!$A$3:$A$5001,P$3,BD!$B$3:$B$5001,$A$405,BD!$H$3:$H$5001,"&lt;&gt;")=0,"",SUMIFS(BD!$H$3:$H$5001,BD!$A$3:$A$5001,P$3,BD!$B$3:$B$5001,$A$405)))</f>
        <v/>
      </c>
      <c r="Q410" s="205" t="str">
        <f>IF(Q$3="","",IF(COUNTIFS(BD!$A$3:$A$5001,Q$3,BD!$B$3:$B$5001,$A$405,BD!$H$3:$H$5001,"&lt;&gt;")=0,"",SUMIFS(BD!$H$3:$H$5001,BD!$A$3:$A$5001,Q$3,BD!$B$3:$B$5001,$A$405)))</f>
        <v/>
      </c>
      <c r="R410" s="205" t="str">
        <f>IF(R$3="","",IF(COUNTIFS(BD!$A$3:$A$5001,R$3,BD!$B$3:$B$5001,$A$405,BD!$H$3:$H$5001,"&lt;&gt;")=0,"",SUMIFS(BD!$H$3:$H$5001,BD!$A$3:$A$5001,R$3,BD!$B$3:$B$5001,$A$405)))</f>
        <v/>
      </c>
      <c r="S410" s="205" t="str">
        <f>IF(S$3="","",IF(COUNTIFS(BD!$A$3:$A$5001,S$3,BD!$B$3:$B$5001,$A$405,BD!$H$3:$H$5001,"&lt;&gt;")=0,"",SUMIFS(BD!$H$3:$H$5001,BD!$A$3:$A$5001,S$3,BD!$B$3:$B$5001,$A$405)))</f>
        <v/>
      </c>
      <c r="T410" s="205" t="str">
        <f>IF(T$3="","",IF(COUNTIFS(BD!$A$3:$A$5001,T$3,BD!$B$3:$B$5001,$A$405,BD!$H$3:$H$5001,"&lt;&gt;")=0,"",SUMIFS(BD!$H$3:$H$5001,BD!$A$3:$A$5001,T$3,BD!$B$3:$B$5001,$A$405)))</f>
        <v/>
      </c>
      <c r="U410" s="205" t="str">
        <f>IF(U$3="","",IF(COUNTIFS(BD!$A$3:$A$5001,U$3,BD!$B$3:$B$5001,$A$405,BD!$H$3:$H$5001,"&lt;&gt;")=0,"",SUMIFS(BD!$H$3:$H$5001,BD!$A$3:$A$5001,U$3,BD!$B$3:$B$5001,$A$405)))</f>
        <v/>
      </c>
      <c r="V410" s="205" t="str">
        <f>IF(V$3="","",IF(COUNTIFS(BD!$A$3:$A$5001,V$3,BD!$B$3:$B$5001,$A$405,BD!$H$3:$H$5001,"&lt;&gt;")=0,"",SUMIFS(BD!$H$3:$H$5001,BD!$A$3:$A$5001,V$3,BD!$B$3:$B$5001,$A$405)))</f>
        <v/>
      </c>
      <c r="W410" s="205" t="str">
        <f>IF(W$3="","",IF(COUNTIFS(BD!$A$3:$A$5001,W$3,BD!$B$3:$B$5001,$A$405,BD!$H$3:$H$5001,"&lt;&gt;")=0,"",SUMIFS(BD!$H$3:$H$5001,BD!$A$3:$A$5001,W$3,BD!$B$3:$B$5001,$A$405)))</f>
        <v/>
      </c>
      <c r="X410" s="205" t="str">
        <f>IF(X$3="","",IF(COUNTIFS(BD!$A$3:$A$5001,X$3,BD!$B$3:$B$5001,$A$405,BD!$H$3:$H$5001,"&lt;&gt;")=0,"",SUMIFS(BD!$H$3:$H$5001,BD!$A$3:$A$5001,X$3,BD!$B$3:$B$5001,$A$405)))</f>
        <v/>
      </c>
      <c r="Y410" s="205" t="str">
        <f>IF(Y$3="","",IF(COUNTIFS(BD!$A$3:$A$5001,Y$3,BD!$B$3:$B$5001,$A$405,BD!$H$3:$H$5001,"&lt;&gt;")=0,"",SUMIFS(BD!$H$3:$H$5001,BD!$A$3:$A$5001,Y$3,BD!$B$3:$B$5001,$A$405)))</f>
        <v/>
      </c>
      <c r="Z410" s="205" t="str">
        <f>IF(Z$3="","",IF(COUNTIFS(BD!$A$3:$A$5001,Z$3,BD!$B$3:$B$5001,$A$405,BD!$H$3:$H$5001,"&lt;&gt;")=0,"",SUMIFS(BD!$H$3:$H$5001,BD!$A$3:$A$5001,Z$3,BD!$B$3:$B$5001,$A$405)))</f>
        <v/>
      </c>
      <c r="AA410" s="205" t="str">
        <f>IF(AA$3="","",IF(COUNTIFS(BD!$A$3:$A$5001,AA$3,BD!$B$3:$B$5001,$A$405,BD!$H$3:$H$5001,"&lt;&gt;")=0,"",SUMIFS(BD!$H$3:$H$5001,BD!$A$3:$A$5001,AA$3,BD!$B$3:$B$5001,$A$405)))</f>
        <v/>
      </c>
      <c r="AB410" s="205" t="str">
        <f>IF(AB$3="","",IF(COUNTIFS(BD!$A$3:$A$5001,AB$3,BD!$B$3:$B$5001,$A$405,BD!$H$3:$H$5001,"&lt;&gt;")=0,"",SUMIFS(BD!$H$3:$H$5001,BD!$A$3:$A$5001,AB$3,BD!$B$3:$B$5001,$A$405)))</f>
        <v/>
      </c>
      <c r="AC410" s="205" t="str">
        <f>IF(AC$3="","",IF(COUNTIFS(BD!$A$3:$A$5001,AC$3,BD!$B$3:$B$5001,$A$405,BD!$H$3:$H$5001,"&lt;&gt;")=0,"",SUMIFS(BD!$H$3:$H$5001,BD!$A$3:$A$5001,AC$3,BD!$B$3:$B$5001,$A$405)))</f>
        <v/>
      </c>
      <c r="AD410" s="205" t="str">
        <f>IF(AD$3="","",IF(COUNTIFS(BD!$A$3:$A$5001,AD$3,BD!$B$3:$B$5001,$A$405,BD!$H$3:$H$5001,"&lt;&gt;")=0,"",SUMIFS(BD!$H$3:$H$5001,BD!$A$3:$A$5001,AD$3,BD!$B$3:$B$5001,$A$405)))</f>
        <v/>
      </c>
      <c r="AE410" s="205" t="str">
        <f>IF(AE$3="","",IF(COUNTIFS(BD!$A$3:$A$5001,AE$3,BD!$B$3:$B$5001,$A$405,BD!$H$3:$H$5001,"&lt;&gt;")=0,"",SUMIFS(BD!$H$3:$H$5001,BD!$A$3:$A$5001,AE$3,BD!$B$3:$B$5001,$A$405)))</f>
        <v/>
      </c>
      <c r="AF410" s="205" t="str">
        <f>IF(AF$3="","",IF(COUNTIFS(BD!$A$3:$A$5001,AF$3,BD!$B$3:$B$5001,$A$405,BD!$H$3:$H$5001,"&lt;&gt;")=0,"",SUMIFS(BD!$H$3:$H$5001,BD!$A$3:$A$5001,AF$3,BD!$B$3:$B$5001,$A$405)))</f>
        <v/>
      </c>
      <c r="AG410" s="205" t="str">
        <f>IF(AG$3="","",IF(COUNTIFS(BD!$A$3:$A$5001,AG$3,BD!$B$3:$B$5001,$A$405,BD!$H$3:$H$5001,"&lt;&gt;")=0,"",SUMIFS(BD!$H$3:$H$5001,BD!$A$3:$A$5001,AG$3,BD!$B$3:$B$5001,$A$405)))</f>
        <v/>
      </c>
      <c r="AH410" s="205" t="str">
        <f>IF(AH$3="","",IF(COUNTIFS(BD!$A$3:$A$5001,AH$3,BD!$B$3:$B$5001,$A$405,BD!$H$3:$H$5001,"&lt;&gt;")=0,"",SUMIFS(BD!$H$3:$H$5001,BD!$A$3:$A$5001,AH$3,BD!$B$3:$B$5001,$A$405)))</f>
        <v/>
      </c>
      <c r="AI410" s="205" t="str">
        <f>IF(AI$3="","",IF(COUNTIFS(BD!$A$3:$A$5001,AI$3,BD!$B$3:$B$5001,$A$405,BD!$H$3:$H$5001,"&lt;&gt;")=0,"",SUMIFS(BD!$H$3:$H$5001,BD!$A$3:$A$5001,AI$3,BD!$B$3:$B$5001,$A$405)))</f>
        <v/>
      </c>
      <c r="AJ410" s="206" t="str">
        <f>IF(AJ$3="","",IF(COUNTIFS(BD!$A$3:$A$5001,AJ$3,BD!$B$3:$B$5001,$A$405,BD!$H$3:$H$5001,"&lt;&gt;")=0,"",SUMIFS(BD!$H$3:$H$5001,BD!$A$3:$A$5001,AJ$3,BD!$B$3:$B$5001,$A$405)))</f>
        <v/>
      </c>
      <c r="AK410" s="207" t="str">
        <f>IF(COUNT(F410:AJ410)=0,"",SUM(F410:AJ410))</f>
        <v/>
      </c>
    </row>
    <row r="411" ht="15.75" customHeight="1" hidden="1">
      <c r="A411" s="244"/>
      <c r="B411" s="239"/>
      <c r="C411" s="201" t="inlineStr">
        <is>
          <t xml:space="preserve">Itens Recebidos CX Mista</t>
        </is>
      </c>
      <c r="D411" s="202" t="str">
        <f>IFERROR(1/(1/INDEX(BD!$AJ$29:$BD$29,MATCH($A$405,BD!$AJ$22:$BD$22,0))),"")</f>
        <v/>
      </c>
      <c r="E411" s="203"/>
      <c r="F411" s="204" t="str">
        <f>IF(F$3="","",IF(COUNTIFS(BD!$A$3:$A$5001,F$3,BD!$B$3:$B$5001,$A$405,BD!$I$3:$I$5001,"&lt;&gt;")=0,"",SUMIFS(BD!$I$3:$I$5001,BD!$A$3:$A$5001,F$3,BD!$B$3:$B$5001,$A$405)))</f>
        <v/>
      </c>
      <c r="G411" s="205" t="str">
        <f>IF(G$3="","",IF(COUNTIFS(BD!$A$3:$A$5001,G$3,BD!$B$3:$B$5001,$A$405,BD!$I$3:$I$5001,"&lt;&gt;")=0,"",SUMIFS(BD!$I$3:$I$5001,BD!$A$3:$A$5001,G$3,BD!$B$3:$B$5001,$A$405)))</f>
        <v/>
      </c>
      <c r="H411" s="205" t="str">
        <f>IF(H$3="","",IF(COUNTIFS(BD!$A$3:$A$5001,H$3,BD!$B$3:$B$5001,$A$405,BD!$I$3:$I$5001,"&lt;&gt;")=0,"",SUMIFS(BD!$I$3:$I$5001,BD!$A$3:$A$5001,H$3,BD!$B$3:$B$5001,$A$405)))</f>
        <v/>
      </c>
      <c r="I411" s="205" t="str">
        <f>IF(I$3="","",IF(COUNTIFS(BD!$A$3:$A$5001,I$3,BD!$B$3:$B$5001,$A$405,BD!$I$3:$I$5001,"&lt;&gt;")=0,"",SUMIFS(BD!$I$3:$I$5001,BD!$A$3:$A$5001,I$3,BD!$B$3:$B$5001,$A$405)))</f>
        <v/>
      </c>
      <c r="J411" s="205" t="str">
        <f>IF(J$3="","",IF(COUNTIFS(BD!$A$3:$A$5001,J$3,BD!$B$3:$B$5001,$A$405,BD!$I$3:$I$5001,"&lt;&gt;")=0,"",SUMIFS(BD!$I$3:$I$5001,BD!$A$3:$A$5001,J$3,BD!$B$3:$B$5001,$A$405)))</f>
        <v/>
      </c>
      <c r="K411" s="205" t="str">
        <f>IF(K$3="","",IF(COUNTIFS(BD!$A$3:$A$5001,K$3,BD!$B$3:$B$5001,$A$405,BD!$I$3:$I$5001,"&lt;&gt;")=0,"",SUMIFS(BD!$I$3:$I$5001,BD!$A$3:$A$5001,K$3,BD!$B$3:$B$5001,$A$405)))</f>
        <v/>
      </c>
      <c r="L411" s="205" t="str">
        <f>IF(L$3="","",IF(COUNTIFS(BD!$A$3:$A$5001,L$3,BD!$B$3:$B$5001,$A$405,BD!$I$3:$I$5001,"&lt;&gt;")=0,"",SUMIFS(BD!$I$3:$I$5001,BD!$A$3:$A$5001,L$3,BD!$B$3:$B$5001,$A$405)))</f>
        <v/>
      </c>
      <c r="M411" s="205" t="str">
        <f>IF(M$3="","",IF(COUNTIFS(BD!$A$3:$A$5001,M$3,BD!$B$3:$B$5001,$A$405,BD!$I$3:$I$5001,"&lt;&gt;")=0,"",SUMIFS(BD!$I$3:$I$5001,BD!$A$3:$A$5001,M$3,BD!$B$3:$B$5001,$A$405)))</f>
        <v/>
      </c>
      <c r="N411" s="205" t="str">
        <f>IF(N$3="","",IF(COUNTIFS(BD!$A$3:$A$5001,N$3,BD!$B$3:$B$5001,$A$405,BD!$I$3:$I$5001,"&lt;&gt;")=0,"",SUMIFS(BD!$I$3:$I$5001,BD!$A$3:$A$5001,N$3,BD!$B$3:$B$5001,$A$405)))</f>
        <v/>
      </c>
      <c r="O411" s="205" t="str">
        <f>IF(O$3="","",IF(COUNTIFS(BD!$A$3:$A$5001,O$3,BD!$B$3:$B$5001,$A$405,BD!$I$3:$I$5001,"&lt;&gt;")=0,"",SUMIFS(BD!$I$3:$I$5001,BD!$A$3:$A$5001,O$3,BD!$B$3:$B$5001,$A$405)))</f>
        <v/>
      </c>
      <c r="P411" s="205" t="str">
        <f>IF(P$3="","",IF(COUNTIFS(BD!$A$3:$A$5001,P$3,BD!$B$3:$B$5001,$A$405,BD!$I$3:$I$5001,"&lt;&gt;")=0,"",SUMIFS(BD!$I$3:$I$5001,BD!$A$3:$A$5001,P$3,BD!$B$3:$B$5001,$A$405)))</f>
        <v/>
      </c>
      <c r="Q411" s="205" t="str">
        <f>IF(Q$3="","",IF(COUNTIFS(BD!$A$3:$A$5001,Q$3,BD!$B$3:$B$5001,$A$405,BD!$I$3:$I$5001,"&lt;&gt;")=0,"",SUMIFS(BD!$I$3:$I$5001,BD!$A$3:$A$5001,Q$3,BD!$B$3:$B$5001,$A$405)))</f>
        <v/>
      </c>
      <c r="R411" s="205" t="str">
        <f>IF(R$3="","",IF(COUNTIFS(BD!$A$3:$A$5001,R$3,BD!$B$3:$B$5001,$A$405,BD!$I$3:$I$5001,"&lt;&gt;")=0,"",SUMIFS(BD!$I$3:$I$5001,BD!$A$3:$A$5001,R$3,BD!$B$3:$B$5001,$A$405)))</f>
        <v/>
      </c>
      <c r="S411" s="205" t="str">
        <f>IF(S$3="","",IF(COUNTIFS(BD!$A$3:$A$5001,S$3,BD!$B$3:$B$5001,$A$405,BD!$I$3:$I$5001,"&lt;&gt;")=0,"",SUMIFS(BD!$I$3:$I$5001,BD!$A$3:$A$5001,S$3,BD!$B$3:$B$5001,$A$405)))</f>
        <v/>
      </c>
      <c r="T411" s="205" t="str">
        <f>IF(T$3="","",IF(COUNTIFS(BD!$A$3:$A$5001,T$3,BD!$B$3:$B$5001,$A$405,BD!$I$3:$I$5001,"&lt;&gt;")=0,"",SUMIFS(BD!$I$3:$I$5001,BD!$A$3:$A$5001,T$3,BD!$B$3:$B$5001,$A$405)))</f>
        <v/>
      </c>
      <c r="U411" s="205" t="str">
        <f>IF(U$3="","",IF(COUNTIFS(BD!$A$3:$A$5001,U$3,BD!$B$3:$B$5001,$A$405,BD!$I$3:$I$5001,"&lt;&gt;")=0,"",SUMIFS(BD!$I$3:$I$5001,BD!$A$3:$A$5001,U$3,BD!$B$3:$B$5001,$A$405)))</f>
        <v/>
      </c>
      <c r="V411" s="205" t="str">
        <f>IF(V$3="","",IF(COUNTIFS(BD!$A$3:$A$5001,V$3,BD!$B$3:$B$5001,$A$405,BD!$I$3:$I$5001,"&lt;&gt;")=0,"",SUMIFS(BD!$I$3:$I$5001,BD!$A$3:$A$5001,V$3,BD!$B$3:$B$5001,$A$405)))</f>
        <v/>
      </c>
      <c r="W411" s="205" t="str">
        <f>IF(W$3="","",IF(COUNTIFS(BD!$A$3:$A$5001,W$3,BD!$B$3:$B$5001,$A$405,BD!$I$3:$I$5001,"&lt;&gt;")=0,"",SUMIFS(BD!$I$3:$I$5001,BD!$A$3:$A$5001,W$3,BD!$B$3:$B$5001,$A$405)))</f>
        <v/>
      </c>
      <c r="X411" s="205" t="str">
        <f>IF(X$3="","",IF(COUNTIFS(BD!$A$3:$A$5001,X$3,BD!$B$3:$B$5001,$A$405,BD!$I$3:$I$5001,"&lt;&gt;")=0,"",SUMIFS(BD!$I$3:$I$5001,BD!$A$3:$A$5001,X$3,BD!$B$3:$B$5001,$A$405)))</f>
        <v/>
      </c>
      <c r="Y411" s="205" t="str">
        <f>IF(Y$3="","",IF(COUNTIFS(BD!$A$3:$A$5001,Y$3,BD!$B$3:$B$5001,$A$405,BD!$I$3:$I$5001,"&lt;&gt;")=0,"",SUMIFS(BD!$I$3:$I$5001,BD!$A$3:$A$5001,Y$3,BD!$B$3:$B$5001,$A$405)))</f>
        <v/>
      </c>
      <c r="Z411" s="205" t="str">
        <f>IF(Z$3="","",IF(COUNTIFS(BD!$A$3:$A$5001,Z$3,BD!$B$3:$B$5001,$A$405,BD!$I$3:$I$5001,"&lt;&gt;")=0,"",SUMIFS(BD!$I$3:$I$5001,BD!$A$3:$A$5001,Z$3,BD!$B$3:$B$5001,$A$405)))</f>
        <v/>
      </c>
      <c r="AA411" s="205" t="str">
        <f>IF(AA$3="","",IF(COUNTIFS(BD!$A$3:$A$5001,AA$3,BD!$B$3:$B$5001,$A$405,BD!$I$3:$I$5001,"&lt;&gt;")=0,"",SUMIFS(BD!$I$3:$I$5001,BD!$A$3:$A$5001,AA$3,BD!$B$3:$B$5001,$A$405)))</f>
        <v/>
      </c>
      <c r="AB411" s="205" t="str">
        <f>IF(AB$3="","",IF(COUNTIFS(BD!$A$3:$A$5001,AB$3,BD!$B$3:$B$5001,$A$405,BD!$I$3:$I$5001,"&lt;&gt;")=0,"",SUMIFS(BD!$I$3:$I$5001,BD!$A$3:$A$5001,AB$3,BD!$B$3:$B$5001,$A$405)))</f>
        <v/>
      </c>
      <c r="AC411" s="205" t="str">
        <f>IF(AC$3="","",IF(COUNTIFS(BD!$A$3:$A$5001,AC$3,BD!$B$3:$B$5001,$A$405,BD!$I$3:$I$5001,"&lt;&gt;")=0,"",SUMIFS(BD!$I$3:$I$5001,BD!$A$3:$A$5001,AC$3,BD!$B$3:$B$5001,$A$405)))</f>
        <v/>
      </c>
      <c r="AD411" s="205" t="str">
        <f>IF(AD$3="","",IF(COUNTIFS(BD!$A$3:$A$5001,AD$3,BD!$B$3:$B$5001,$A$405,BD!$I$3:$I$5001,"&lt;&gt;")=0,"",SUMIFS(BD!$I$3:$I$5001,BD!$A$3:$A$5001,AD$3,BD!$B$3:$B$5001,$A$405)))</f>
        <v/>
      </c>
      <c r="AE411" s="205" t="str">
        <f>IF(AE$3="","",IF(COUNTIFS(BD!$A$3:$A$5001,AE$3,BD!$B$3:$B$5001,$A$405,BD!$I$3:$I$5001,"&lt;&gt;")=0,"",SUMIFS(BD!$I$3:$I$5001,BD!$A$3:$A$5001,AE$3,BD!$B$3:$B$5001,$A$405)))</f>
        <v/>
      </c>
      <c r="AF411" s="205" t="str">
        <f>IF(AF$3="","",IF(COUNTIFS(BD!$A$3:$A$5001,AF$3,BD!$B$3:$B$5001,$A$405,BD!$I$3:$I$5001,"&lt;&gt;")=0,"",SUMIFS(BD!$I$3:$I$5001,BD!$A$3:$A$5001,AF$3,BD!$B$3:$B$5001,$A$405)))</f>
        <v/>
      </c>
      <c r="AG411" s="205" t="str">
        <f>IF(AG$3="","",IF(COUNTIFS(BD!$A$3:$A$5001,AG$3,BD!$B$3:$B$5001,$A$405,BD!$I$3:$I$5001,"&lt;&gt;")=0,"",SUMIFS(BD!$I$3:$I$5001,BD!$A$3:$A$5001,AG$3,BD!$B$3:$B$5001,$A$405)))</f>
        <v/>
      </c>
      <c r="AH411" s="205" t="str">
        <f>IF(AH$3="","",IF(COUNTIFS(BD!$A$3:$A$5001,AH$3,BD!$B$3:$B$5001,$A$405,BD!$I$3:$I$5001,"&lt;&gt;")=0,"",SUMIFS(BD!$I$3:$I$5001,BD!$A$3:$A$5001,AH$3,BD!$B$3:$B$5001,$A$405)))</f>
        <v/>
      </c>
      <c r="AI411" s="205" t="str">
        <f>IF(AI$3="","",IF(COUNTIFS(BD!$A$3:$A$5001,AI$3,BD!$B$3:$B$5001,$A$405,BD!$I$3:$I$5001,"&lt;&gt;")=0,"",SUMIFS(BD!$I$3:$I$5001,BD!$A$3:$A$5001,AI$3,BD!$B$3:$B$5001,$A$405)))</f>
        <v/>
      </c>
      <c r="AJ411" s="206" t="str">
        <f>IF(AJ$3="","",IF(COUNTIFS(BD!$A$3:$A$5001,AJ$3,BD!$B$3:$B$5001,$A$405,BD!$I$3:$I$5001,"&lt;&gt;")=0,"",SUMIFS(BD!$I$3:$I$5001,BD!$A$3:$A$5001,AJ$3,BD!$B$3:$B$5001,$A$405)))</f>
        <v/>
      </c>
      <c r="AK411" s="207" t="str">
        <f>IF(COUNT(F411:AJ411)=0,"",SUM(F411:AJ411))</f>
        <v/>
      </c>
    </row>
    <row r="412" ht="15.75" customHeight="1" hidden="1">
      <c r="A412" s="244"/>
      <c r="B412" s="239"/>
      <c r="C412" s="201" t="inlineStr">
        <is>
          <t xml:space="preserve">Caixas Fechadas</t>
        </is>
      </c>
      <c r="D412" s="202" t="str">
        <f>IFERROR(1/(1/INDEX(BD!$AJ$30:$BD$30,MATCH($A$405,BD!$AJ$22:$BD$22,0))),"")</f>
        <v/>
      </c>
      <c r="E412" s="203"/>
      <c r="F412" s="204" t="str">
        <f>IF(F$3="","",IF(COUNTIFS(BD!$A$3:$A$5001,F$3,BD!$B$3:$B$5001,$A$405,BD!$J$3:$J$5001,"&lt;&gt;")=0,"",SUMIFS(BD!$J$3:$J$5001,BD!$A$3:$A$5001,F$3,BD!$B$3:$B$5001,$A$405)))</f>
        <v/>
      </c>
      <c r="G412" s="205" t="str">
        <f>IF(G$3="","",IF(COUNTIFS(BD!$A$3:$A$5001,G$3,BD!$B$3:$B$5001,$A$405,BD!$J$3:$J$5001,"&lt;&gt;")=0,"",SUMIFS(BD!$J$3:$J$5001,BD!$A$3:$A$5001,G$3,BD!$B$3:$B$5001,$A$405)))</f>
        <v/>
      </c>
      <c r="H412" s="205" t="str">
        <f>IF(H$3="","",IF(COUNTIFS(BD!$A$3:$A$5001,H$3,BD!$B$3:$B$5001,$A$405,BD!$J$3:$J$5001,"&lt;&gt;")=0,"",SUMIFS(BD!$J$3:$J$5001,BD!$A$3:$A$5001,H$3,BD!$B$3:$B$5001,$A$405)))</f>
        <v/>
      </c>
      <c r="I412" s="205" t="str">
        <f>IF(I$3="","",IF(COUNTIFS(BD!$A$3:$A$5001,I$3,BD!$B$3:$B$5001,$A$405,BD!$J$3:$J$5001,"&lt;&gt;")=0,"",SUMIFS(BD!$J$3:$J$5001,BD!$A$3:$A$5001,I$3,BD!$B$3:$B$5001,$A$405)))</f>
        <v/>
      </c>
      <c r="J412" s="205" t="str">
        <f>IF(J$3="","",IF(COUNTIFS(BD!$A$3:$A$5001,J$3,BD!$B$3:$B$5001,$A$405,BD!$J$3:$J$5001,"&lt;&gt;")=0,"",SUMIFS(BD!$J$3:$J$5001,BD!$A$3:$A$5001,J$3,BD!$B$3:$B$5001,$A$405)))</f>
        <v/>
      </c>
      <c r="K412" s="205" t="str">
        <f>IF(K$3="","",IF(COUNTIFS(BD!$A$3:$A$5001,K$3,BD!$B$3:$B$5001,$A$405,BD!$J$3:$J$5001,"&lt;&gt;")=0,"",SUMIFS(BD!$J$3:$J$5001,BD!$A$3:$A$5001,K$3,BD!$B$3:$B$5001,$A$405)))</f>
        <v/>
      </c>
      <c r="L412" s="205" t="str">
        <f>IF(L$3="","",IF(COUNTIFS(BD!$A$3:$A$5001,L$3,BD!$B$3:$B$5001,$A$405,BD!$J$3:$J$5001,"&lt;&gt;")=0,"",SUMIFS(BD!$J$3:$J$5001,BD!$A$3:$A$5001,L$3,BD!$B$3:$B$5001,$A$405)))</f>
        <v/>
      </c>
      <c r="M412" s="205" t="str">
        <f>IF(M$3="","",IF(COUNTIFS(BD!$A$3:$A$5001,M$3,BD!$B$3:$B$5001,$A$405,BD!$J$3:$J$5001,"&lt;&gt;")=0,"",SUMIFS(BD!$J$3:$J$5001,BD!$A$3:$A$5001,M$3,BD!$B$3:$B$5001,$A$405)))</f>
        <v/>
      </c>
      <c r="N412" s="205" t="str">
        <f>IF(N$3="","",IF(COUNTIFS(BD!$A$3:$A$5001,N$3,BD!$B$3:$B$5001,$A$405,BD!$J$3:$J$5001,"&lt;&gt;")=0,"",SUMIFS(BD!$J$3:$J$5001,BD!$A$3:$A$5001,N$3,BD!$B$3:$B$5001,$A$405)))</f>
        <v/>
      </c>
      <c r="O412" s="205" t="str">
        <f>IF(O$3="","",IF(COUNTIFS(BD!$A$3:$A$5001,O$3,BD!$B$3:$B$5001,$A$405,BD!$J$3:$J$5001,"&lt;&gt;")=0,"",SUMIFS(BD!$J$3:$J$5001,BD!$A$3:$A$5001,O$3,BD!$B$3:$B$5001,$A$405)))</f>
        <v/>
      </c>
      <c r="P412" s="205" t="str">
        <f>IF(P$3="","",IF(COUNTIFS(BD!$A$3:$A$5001,P$3,BD!$B$3:$B$5001,$A$405,BD!$J$3:$J$5001,"&lt;&gt;")=0,"",SUMIFS(BD!$J$3:$J$5001,BD!$A$3:$A$5001,P$3,BD!$B$3:$B$5001,$A$405)))</f>
        <v/>
      </c>
      <c r="Q412" s="205" t="str">
        <f>IF(Q$3="","",IF(COUNTIFS(BD!$A$3:$A$5001,Q$3,BD!$B$3:$B$5001,$A$405,BD!$J$3:$J$5001,"&lt;&gt;")=0,"",SUMIFS(BD!$J$3:$J$5001,BD!$A$3:$A$5001,Q$3,BD!$B$3:$B$5001,$A$405)))</f>
        <v/>
      </c>
      <c r="R412" s="205" t="str">
        <f>IF(R$3="","",IF(COUNTIFS(BD!$A$3:$A$5001,R$3,BD!$B$3:$B$5001,$A$405,BD!$J$3:$J$5001,"&lt;&gt;")=0,"",SUMIFS(BD!$J$3:$J$5001,BD!$A$3:$A$5001,R$3,BD!$B$3:$B$5001,$A$405)))</f>
        <v/>
      </c>
      <c r="S412" s="205" t="str">
        <f>IF(S$3="","",IF(COUNTIFS(BD!$A$3:$A$5001,S$3,BD!$B$3:$B$5001,$A$405,BD!$J$3:$J$5001,"&lt;&gt;")=0,"",SUMIFS(BD!$J$3:$J$5001,BD!$A$3:$A$5001,S$3,BD!$B$3:$B$5001,$A$405)))</f>
        <v/>
      </c>
      <c r="T412" s="205" t="str">
        <f>IF(T$3="","",IF(COUNTIFS(BD!$A$3:$A$5001,T$3,BD!$B$3:$B$5001,$A$405,BD!$J$3:$J$5001,"&lt;&gt;")=0,"",SUMIFS(BD!$J$3:$J$5001,BD!$A$3:$A$5001,T$3,BD!$B$3:$B$5001,$A$405)))</f>
        <v/>
      </c>
      <c r="U412" s="205" t="str">
        <f>IF(U$3="","",IF(COUNTIFS(BD!$A$3:$A$5001,U$3,BD!$B$3:$B$5001,$A$405,BD!$J$3:$J$5001,"&lt;&gt;")=0,"",SUMIFS(BD!$J$3:$J$5001,BD!$A$3:$A$5001,U$3,BD!$B$3:$B$5001,$A$405)))</f>
        <v/>
      </c>
      <c r="V412" s="205" t="str">
        <f>IF(V$3="","",IF(COUNTIFS(BD!$A$3:$A$5001,V$3,BD!$B$3:$B$5001,$A$405,BD!$J$3:$J$5001,"&lt;&gt;")=0,"",SUMIFS(BD!$J$3:$J$5001,BD!$A$3:$A$5001,V$3,BD!$B$3:$B$5001,$A$405)))</f>
        <v/>
      </c>
      <c r="W412" s="205" t="str">
        <f>IF(W$3="","",IF(COUNTIFS(BD!$A$3:$A$5001,W$3,BD!$B$3:$B$5001,$A$405,BD!$J$3:$J$5001,"&lt;&gt;")=0,"",SUMIFS(BD!$J$3:$J$5001,BD!$A$3:$A$5001,W$3,BD!$B$3:$B$5001,$A$405)))</f>
        <v/>
      </c>
      <c r="X412" s="205" t="str">
        <f>IF(X$3="","",IF(COUNTIFS(BD!$A$3:$A$5001,X$3,BD!$B$3:$B$5001,$A$405,BD!$J$3:$J$5001,"&lt;&gt;")=0,"",SUMIFS(BD!$J$3:$J$5001,BD!$A$3:$A$5001,X$3,BD!$B$3:$B$5001,$A$405)))</f>
        <v/>
      </c>
      <c r="Y412" s="205" t="str">
        <f>IF(Y$3="","",IF(COUNTIFS(BD!$A$3:$A$5001,Y$3,BD!$B$3:$B$5001,$A$405,BD!$J$3:$J$5001,"&lt;&gt;")=0,"",SUMIFS(BD!$J$3:$J$5001,BD!$A$3:$A$5001,Y$3,BD!$B$3:$B$5001,$A$405)))</f>
        <v/>
      </c>
      <c r="Z412" s="205" t="str">
        <f>IF(Z$3="","",IF(COUNTIFS(BD!$A$3:$A$5001,Z$3,BD!$B$3:$B$5001,$A$405,BD!$J$3:$J$5001,"&lt;&gt;")=0,"",SUMIFS(BD!$J$3:$J$5001,BD!$A$3:$A$5001,Z$3,BD!$B$3:$B$5001,$A$405)))</f>
        <v/>
      </c>
      <c r="AA412" s="205" t="str">
        <f>IF(AA$3="","",IF(COUNTIFS(BD!$A$3:$A$5001,AA$3,BD!$B$3:$B$5001,$A$405,BD!$J$3:$J$5001,"&lt;&gt;")=0,"",SUMIFS(BD!$J$3:$J$5001,BD!$A$3:$A$5001,AA$3,BD!$B$3:$B$5001,$A$405)))</f>
        <v/>
      </c>
      <c r="AB412" s="205" t="str">
        <f>IF(AB$3="","",IF(COUNTIFS(BD!$A$3:$A$5001,AB$3,BD!$B$3:$B$5001,$A$405,BD!$J$3:$J$5001,"&lt;&gt;")=0,"",SUMIFS(BD!$J$3:$J$5001,BD!$A$3:$A$5001,AB$3,BD!$B$3:$B$5001,$A$405)))</f>
        <v/>
      </c>
      <c r="AC412" s="205" t="str">
        <f>IF(AC$3="","",IF(COUNTIFS(BD!$A$3:$A$5001,AC$3,BD!$B$3:$B$5001,$A$405,BD!$J$3:$J$5001,"&lt;&gt;")=0,"",SUMIFS(BD!$J$3:$J$5001,BD!$A$3:$A$5001,AC$3,BD!$B$3:$B$5001,$A$405)))</f>
        <v/>
      </c>
      <c r="AD412" s="205" t="str">
        <f>IF(AD$3="","",IF(COUNTIFS(BD!$A$3:$A$5001,AD$3,BD!$B$3:$B$5001,$A$405,BD!$J$3:$J$5001,"&lt;&gt;")=0,"",SUMIFS(BD!$J$3:$J$5001,BD!$A$3:$A$5001,AD$3,BD!$B$3:$B$5001,$A$405)))</f>
        <v/>
      </c>
      <c r="AE412" s="205" t="str">
        <f>IF(AE$3="","",IF(COUNTIFS(BD!$A$3:$A$5001,AE$3,BD!$B$3:$B$5001,$A$405,BD!$J$3:$J$5001,"&lt;&gt;")=0,"",SUMIFS(BD!$J$3:$J$5001,BD!$A$3:$A$5001,AE$3,BD!$B$3:$B$5001,$A$405)))</f>
        <v/>
      </c>
      <c r="AF412" s="205" t="str">
        <f>IF(AF$3="","",IF(COUNTIFS(BD!$A$3:$A$5001,AF$3,BD!$B$3:$B$5001,$A$405,BD!$J$3:$J$5001,"&lt;&gt;")=0,"",SUMIFS(BD!$J$3:$J$5001,BD!$A$3:$A$5001,AF$3,BD!$B$3:$B$5001,$A$405)))</f>
        <v/>
      </c>
      <c r="AG412" s="205" t="str">
        <f>IF(AG$3="","",IF(COUNTIFS(BD!$A$3:$A$5001,AG$3,BD!$B$3:$B$5001,$A$405,BD!$J$3:$J$5001,"&lt;&gt;")=0,"",SUMIFS(BD!$J$3:$J$5001,BD!$A$3:$A$5001,AG$3,BD!$B$3:$B$5001,$A$405)))</f>
        <v/>
      </c>
      <c r="AH412" s="205" t="str">
        <f>IF(AH$3="","",IF(COUNTIFS(BD!$A$3:$A$5001,AH$3,BD!$B$3:$B$5001,$A$405,BD!$J$3:$J$5001,"&lt;&gt;")=0,"",SUMIFS(BD!$J$3:$J$5001,BD!$A$3:$A$5001,AH$3,BD!$B$3:$B$5001,$A$405)))</f>
        <v/>
      </c>
      <c r="AI412" s="205" t="str">
        <f>IF(AI$3="","",IF(COUNTIFS(BD!$A$3:$A$5001,AI$3,BD!$B$3:$B$5001,$A$405,BD!$J$3:$J$5001,"&lt;&gt;")=0,"",SUMIFS(BD!$J$3:$J$5001,BD!$A$3:$A$5001,AI$3,BD!$B$3:$B$5001,$A$405)))</f>
        <v/>
      </c>
      <c r="AJ412" s="206" t="str">
        <f>IF(AJ$3="","",IF(COUNTIFS(BD!$A$3:$A$5001,AJ$3,BD!$B$3:$B$5001,$A$405,BD!$J$3:$J$5001,"&lt;&gt;")=0,"",SUMIFS(BD!$J$3:$J$5001,BD!$A$3:$A$5001,AJ$3,BD!$B$3:$B$5001,$A$405)))</f>
        <v/>
      </c>
      <c r="AK412" s="207" t="str">
        <f>IF(COUNT(F412:AJ412)=0,"",SUM(F412:AJ412))</f>
        <v/>
      </c>
    </row>
    <row r="413" ht="15.75" customHeight="1" hidden="1">
      <c r="A413" s="244"/>
      <c r="B413" s="233"/>
      <c r="C413" s="162" t="inlineStr">
        <is>
          <t xml:space="preserve">Caixas Mistas Recebidas</t>
        </is>
      </c>
      <c r="D413" s="163" t="str">
        <f>IFERROR(1/(1/INDEX(BD!$AJ$31:$BD$31,MATCH($A$405,BD!$AJ$22:$BD$22,0))),"")</f>
        <v/>
      </c>
      <c r="E413" s="164"/>
      <c r="F413" s="165" t="str">
        <f>IF(F$3="","",IF(COUNTIFS(BD!$A$3:$A$5001,F$3,BD!$B$3:$B$5001,$A$405,BD!$K$3:$K$5001,"&lt;&gt;")=0,"",SUMIFS(BD!$K$3:$K$5001,BD!$A$3:$A$5001,F$3,BD!$B$3:$B$5001,$A$405)))</f>
        <v/>
      </c>
      <c r="G413" s="166" t="str">
        <f>IF(G$3="","",IF(COUNTIFS(BD!$A$3:$A$5001,G$3,BD!$B$3:$B$5001,$A$405,BD!$K$3:$K$5001,"&lt;&gt;")=0,"",SUMIFS(BD!$K$3:$K$5001,BD!$A$3:$A$5001,G$3,BD!$B$3:$B$5001,$A$405)))</f>
        <v/>
      </c>
      <c r="H413" s="166" t="str">
        <f>IF(H$3="","",IF(COUNTIFS(BD!$A$3:$A$5001,H$3,BD!$B$3:$B$5001,$A$405,BD!$K$3:$K$5001,"&lt;&gt;")=0,"",SUMIFS(BD!$K$3:$K$5001,BD!$A$3:$A$5001,H$3,BD!$B$3:$B$5001,$A$405)))</f>
        <v/>
      </c>
      <c r="I413" s="166" t="str">
        <f>IF(I$3="","",IF(COUNTIFS(BD!$A$3:$A$5001,I$3,BD!$B$3:$B$5001,$A$405,BD!$K$3:$K$5001,"&lt;&gt;")=0,"",SUMIFS(BD!$K$3:$K$5001,BD!$A$3:$A$5001,I$3,BD!$B$3:$B$5001,$A$405)))</f>
        <v/>
      </c>
      <c r="J413" s="166" t="str">
        <f>IF(J$3="","",IF(COUNTIFS(BD!$A$3:$A$5001,J$3,BD!$B$3:$B$5001,$A$405,BD!$K$3:$K$5001,"&lt;&gt;")=0,"",SUMIFS(BD!$K$3:$K$5001,BD!$A$3:$A$5001,J$3,BD!$B$3:$B$5001,$A$405)))</f>
        <v/>
      </c>
      <c r="K413" s="166" t="str">
        <f>IF(K$3="","",IF(COUNTIFS(BD!$A$3:$A$5001,K$3,BD!$B$3:$B$5001,$A$405,BD!$K$3:$K$5001,"&lt;&gt;")=0,"",SUMIFS(BD!$K$3:$K$5001,BD!$A$3:$A$5001,K$3,BD!$B$3:$B$5001,$A$405)))</f>
        <v/>
      </c>
      <c r="L413" s="166" t="str">
        <f>IF(L$3="","",IF(COUNTIFS(BD!$A$3:$A$5001,L$3,BD!$B$3:$B$5001,$A$405,BD!$K$3:$K$5001,"&lt;&gt;")=0,"",SUMIFS(BD!$K$3:$K$5001,BD!$A$3:$A$5001,L$3,BD!$B$3:$B$5001,$A$405)))</f>
        <v/>
      </c>
      <c r="M413" s="166" t="str">
        <f>IF(M$3="","",IF(COUNTIFS(BD!$A$3:$A$5001,M$3,BD!$B$3:$B$5001,$A$405,BD!$K$3:$K$5001,"&lt;&gt;")=0,"",SUMIFS(BD!$K$3:$K$5001,BD!$A$3:$A$5001,M$3,BD!$B$3:$B$5001,$A$405)))</f>
        <v/>
      </c>
      <c r="N413" s="166" t="str">
        <f>IF(N$3="","",IF(COUNTIFS(BD!$A$3:$A$5001,N$3,BD!$B$3:$B$5001,$A$405,BD!$K$3:$K$5001,"&lt;&gt;")=0,"",SUMIFS(BD!$K$3:$K$5001,BD!$A$3:$A$5001,N$3,BD!$B$3:$B$5001,$A$405)))</f>
        <v/>
      </c>
      <c r="O413" s="166" t="str">
        <f>IF(O$3="","",IF(COUNTIFS(BD!$A$3:$A$5001,O$3,BD!$B$3:$B$5001,$A$405,BD!$K$3:$K$5001,"&lt;&gt;")=0,"",SUMIFS(BD!$K$3:$K$5001,BD!$A$3:$A$5001,O$3,BD!$B$3:$B$5001,$A$405)))</f>
        <v/>
      </c>
      <c r="P413" s="166" t="str">
        <f>IF(P$3="","",IF(COUNTIFS(BD!$A$3:$A$5001,P$3,BD!$B$3:$B$5001,$A$405,BD!$K$3:$K$5001,"&lt;&gt;")=0,"",SUMIFS(BD!$K$3:$K$5001,BD!$A$3:$A$5001,P$3,BD!$B$3:$B$5001,$A$405)))</f>
        <v/>
      </c>
      <c r="Q413" s="166" t="str">
        <f>IF(Q$3="","",IF(COUNTIFS(BD!$A$3:$A$5001,Q$3,BD!$B$3:$B$5001,$A$405,BD!$K$3:$K$5001,"&lt;&gt;")=0,"",SUMIFS(BD!$K$3:$K$5001,BD!$A$3:$A$5001,Q$3,BD!$B$3:$B$5001,$A$405)))</f>
        <v/>
      </c>
      <c r="R413" s="166" t="str">
        <f>IF(R$3="","",IF(COUNTIFS(BD!$A$3:$A$5001,R$3,BD!$B$3:$B$5001,$A$405,BD!$K$3:$K$5001,"&lt;&gt;")=0,"",SUMIFS(BD!$K$3:$K$5001,BD!$A$3:$A$5001,R$3,BD!$B$3:$B$5001,$A$405)))</f>
        <v/>
      </c>
      <c r="S413" s="166" t="str">
        <f>IF(S$3="","",IF(COUNTIFS(BD!$A$3:$A$5001,S$3,BD!$B$3:$B$5001,$A$405,BD!$K$3:$K$5001,"&lt;&gt;")=0,"",SUMIFS(BD!$K$3:$K$5001,BD!$A$3:$A$5001,S$3,BD!$B$3:$B$5001,$A$405)))</f>
        <v/>
      </c>
      <c r="T413" s="166" t="str">
        <f>IF(T$3="","",IF(COUNTIFS(BD!$A$3:$A$5001,T$3,BD!$B$3:$B$5001,$A$405,BD!$K$3:$K$5001,"&lt;&gt;")=0,"",SUMIFS(BD!$K$3:$K$5001,BD!$A$3:$A$5001,T$3,BD!$B$3:$B$5001,$A$405)))</f>
        <v/>
      </c>
      <c r="U413" s="166" t="str">
        <f>IF(U$3="","",IF(COUNTIFS(BD!$A$3:$A$5001,U$3,BD!$B$3:$B$5001,$A$405,BD!$K$3:$K$5001,"&lt;&gt;")=0,"",SUMIFS(BD!$K$3:$K$5001,BD!$A$3:$A$5001,U$3,BD!$B$3:$B$5001,$A$405)))</f>
        <v/>
      </c>
      <c r="V413" s="166" t="str">
        <f>IF(V$3="","",IF(COUNTIFS(BD!$A$3:$A$5001,V$3,BD!$B$3:$B$5001,$A$405,BD!$K$3:$K$5001,"&lt;&gt;")=0,"",SUMIFS(BD!$K$3:$K$5001,BD!$A$3:$A$5001,V$3,BD!$B$3:$B$5001,$A$405)))</f>
        <v/>
      </c>
      <c r="W413" s="166" t="str">
        <f>IF(W$3="","",IF(COUNTIFS(BD!$A$3:$A$5001,W$3,BD!$B$3:$B$5001,$A$405,BD!$K$3:$K$5001,"&lt;&gt;")=0,"",SUMIFS(BD!$K$3:$K$5001,BD!$A$3:$A$5001,W$3,BD!$B$3:$B$5001,$A$405)))</f>
        <v/>
      </c>
      <c r="X413" s="166" t="str">
        <f>IF(X$3="","",IF(COUNTIFS(BD!$A$3:$A$5001,X$3,BD!$B$3:$B$5001,$A$405,BD!$K$3:$K$5001,"&lt;&gt;")=0,"",SUMIFS(BD!$K$3:$K$5001,BD!$A$3:$A$5001,X$3,BD!$B$3:$B$5001,$A$405)))</f>
        <v/>
      </c>
      <c r="Y413" s="166" t="str">
        <f>IF(Y$3="","",IF(COUNTIFS(BD!$A$3:$A$5001,Y$3,BD!$B$3:$B$5001,$A$405,BD!$K$3:$K$5001,"&lt;&gt;")=0,"",SUMIFS(BD!$K$3:$K$5001,BD!$A$3:$A$5001,Y$3,BD!$B$3:$B$5001,$A$405)))</f>
        <v/>
      </c>
      <c r="Z413" s="166" t="str">
        <f>IF(Z$3="","",IF(COUNTIFS(BD!$A$3:$A$5001,Z$3,BD!$B$3:$B$5001,$A$405,BD!$K$3:$K$5001,"&lt;&gt;")=0,"",SUMIFS(BD!$K$3:$K$5001,BD!$A$3:$A$5001,Z$3,BD!$B$3:$B$5001,$A$405)))</f>
        <v/>
      </c>
      <c r="AA413" s="166" t="str">
        <f>IF(AA$3="","",IF(COUNTIFS(BD!$A$3:$A$5001,AA$3,BD!$B$3:$B$5001,$A$405,BD!$K$3:$K$5001,"&lt;&gt;")=0,"",SUMIFS(BD!$K$3:$K$5001,BD!$A$3:$A$5001,AA$3,BD!$B$3:$B$5001,$A$405)))</f>
        <v/>
      </c>
      <c r="AB413" s="166" t="str">
        <f>IF(AB$3="","",IF(COUNTIFS(BD!$A$3:$A$5001,AB$3,BD!$B$3:$B$5001,$A$405,BD!$K$3:$K$5001,"&lt;&gt;")=0,"",SUMIFS(BD!$K$3:$K$5001,BD!$A$3:$A$5001,AB$3,BD!$B$3:$B$5001,$A$405)))</f>
        <v/>
      </c>
      <c r="AC413" s="166" t="str">
        <f>IF(AC$3="","",IF(COUNTIFS(BD!$A$3:$A$5001,AC$3,BD!$B$3:$B$5001,$A$405,BD!$K$3:$K$5001,"&lt;&gt;")=0,"",SUMIFS(BD!$K$3:$K$5001,BD!$A$3:$A$5001,AC$3,BD!$B$3:$B$5001,$A$405)))</f>
        <v/>
      </c>
      <c r="AD413" s="166" t="str">
        <f>IF(AD$3="","",IF(COUNTIFS(BD!$A$3:$A$5001,AD$3,BD!$B$3:$B$5001,$A$405,BD!$K$3:$K$5001,"&lt;&gt;")=0,"",SUMIFS(BD!$K$3:$K$5001,BD!$A$3:$A$5001,AD$3,BD!$B$3:$B$5001,$A$405)))</f>
        <v/>
      </c>
      <c r="AE413" s="166" t="str">
        <f>IF(AE$3="","",IF(COUNTIFS(BD!$A$3:$A$5001,AE$3,BD!$B$3:$B$5001,$A$405,BD!$K$3:$K$5001,"&lt;&gt;")=0,"",SUMIFS(BD!$K$3:$K$5001,BD!$A$3:$A$5001,AE$3,BD!$B$3:$B$5001,$A$405)))</f>
        <v/>
      </c>
      <c r="AF413" s="166" t="str">
        <f>IF(AF$3="","",IF(COUNTIFS(BD!$A$3:$A$5001,AF$3,BD!$B$3:$B$5001,$A$405,BD!$K$3:$K$5001,"&lt;&gt;")=0,"",SUMIFS(BD!$K$3:$K$5001,BD!$A$3:$A$5001,AF$3,BD!$B$3:$B$5001,$A$405)))</f>
        <v/>
      </c>
      <c r="AG413" s="166" t="str">
        <f>IF(AG$3="","",IF(COUNTIFS(BD!$A$3:$A$5001,AG$3,BD!$B$3:$B$5001,$A$405,BD!$K$3:$K$5001,"&lt;&gt;")=0,"",SUMIFS(BD!$K$3:$K$5001,BD!$A$3:$A$5001,AG$3,BD!$B$3:$B$5001,$A$405)))</f>
        <v/>
      </c>
      <c r="AH413" s="166" t="str">
        <f>IF(AH$3="","",IF(COUNTIFS(BD!$A$3:$A$5001,AH$3,BD!$B$3:$B$5001,$A$405,BD!$K$3:$K$5001,"&lt;&gt;")=0,"",SUMIFS(BD!$K$3:$K$5001,BD!$A$3:$A$5001,AH$3,BD!$B$3:$B$5001,$A$405)))</f>
        <v/>
      </c>
      <c r="AI413" s="166" t="str">
        <f>IF(AI$3="","",IF(COUNTIFS(BD!$A$3:$A$5001,AI$3,BD!$B$3:$B$5001,$A$405,BD!$K$3:$K$5001,"&lt;&gt;")=0,"",SUMIFS(BD!$K$3:$K$5001,BD!$A$3:$A$5001,AI$3,BD!$B$3:$B$5001,$A$405)))</f>
        <v/>
      </c>
      <c r="AJ413" s="167" t="str">
        <f>IF(AJ$3="","",IF(COUNTIFS(BD!$A$3:$A$5001,AJ$3,BD!$B$3:$B$5001,$A$405,BD!$K$3:$K$5001,"&lt;&gt;")=0,"",SUMIFS(BD!$K$3:$K$5001,BD!$A$3:$A$5001,AJ$3,BD!$B$3:$B$5001,$A$405)))</f>
        <v/>
      </c>
      <c r="AK413" s="163" t="str">
        <f>IF(COUNT(F413:AJ413)=0,"",SUM(F413:AJ413))</f>
        <v/>
      </c>
    </row>
    <row r="414" ht="15.75" customHeight="1" hidden="1">
      <c r="A414" s="244"/>
      <c r="B414" s="234" t="inlineStr">
        <is>
          <t xml:space="preserve">OUT</t>
        </is>
      </c>
      <c r="C414" s="168" t="inlineStr">
        <is>
          <t xml:space="preserve">Veículos Expedidos</t>
        </is>
      </c>
      <c r="D414" s="169" t="str">
        <f>IFERROR(1/(1/INDEX(BD!$AJ$32:$BD$32,MATCH($A$405,BD!$AJ$22:$BD$22,0))),"")</f>
        <v/>
      </c>
      <c r="E414" s="170"/>
      <c r="F414" s="171" t="str">
        <f>IF(F$3="","",IF(COUNTIFS(BD!$A$3:$A$5001,F$3,BD!$B$3:$B$5001,$A$405,BD!$L$3:$L$5001,"&lt;&gt;")=0,"",SUMIFS(BD!$L$3:$L$5001,BD!$A$3:$A$5001,F$3,BD!$B$3:$B$5001,$A$405)))</f>
        <v/>
      </c>
      <c r="G414" s="172" t="str">
        <f>IF(G$3="","",IF(COUNTIFS(BD!$A$3:$A$5001,G$3,BD!$B$3:$B$5001,$A$405,BD!$L$3:$L$5001,"&lt;&gt;")=0,"",SUMIFS(BD!$L$3:$L$5001,BD!$A$3:$A$5001,G$3,BD!$B$3:$B$5001,$A$405)))</f>
        <v/>
      </c>
      <c r="H414" s="172" t="str">
        <f>IF(H$3="","",IF(COUNTIFS(BD!$A$3:$A$5001,H$3,BD!$B$3:$B$5001,$A$405,BD!$L$3:$L$5001,"&lt;&gt;")=0,"",SUMIFS(BD!$L$3:$L$5001,BD!$A$3:$A$5001,H$3,BD!$B$3:$B$5001,$A$405)))</f>
        <v/>
      </c>
      <c r="I414" s="172" t="str">
        <f>IF(I$3="","",IF(COUNTIFS(BD!$A$3:$A$5001,I$3,BD!$B$3:$B$5001,$A$405,BD!$L$3:$L$5001,"&lt;&gt;")=0,"",SUMIFS(BD!$L$3:$L$5001,BD!$A$3:$A$5001,I$3,BD!$B$3:$B$5001,$A$405)))</f>
        <v/>
      </c>
      <c r="J414" s="172" t="str">
        <f>IF(J$3="","",IF(COUNTIFS(BD!$A$3:$A$5001,J$3,BD!$B$3:$B$5001,$A$405,BD!$L$3:$L$5001,"&lt;&gt;")=0,"",SUMIFS(BD!$L$3:$L$5001,BD!$A$3:$A$5001,J$3,BD!$B$3:$B$5001,$A$405)))</f>
        <v/>
      </c>
      <c r="K414" s="172" t="str">
        <f>IF(K$3="","",IF(COUNTIFS(BD!$A$3:$A$5001,K$3,BD!$B$3:$B$5001,$A$405,BD!$L$3:$L$5001,"&lt;&gt;")=0,"",SUMIFS(BD!$L$3:$L$5001,BD!$A$3:$A$5001,K$3,BD!$B$3:$B$5001,$A$405)))</f>
        <v/>
      </c>
      <c r="L414" s="172" t="str">
        <f>IF(L$3="","",IF(COUNTIFS(BD!$A$3:$A$5001,L$3,BD!$B$3:$B$5001,$A$405,BD!$L$3:$L$5001,"&lt;&gt;")=0,"",SUMIFS(BD!$L$3:$L$5001,BD!$A$3:$A$5001,L$3,BD!$B$3:$B$5001,$A$405)))</f>
        <v/>
      </c>
      <c r="M414" s="172" t="str">
        <f>IF(M$3="","",IF(COUNTIFS(BD!$A$3:$A$5001,M$3,BD!$B$3:$B$5001,$A$405,BD!$L$3:$L$5001,"&lt;&gt;")=0,"",SUMIFS(BD!$L$3:$L$5001,BD!$A$3:$A$5001,M$3,BD!$B$3:$B$5001,$A$405)))</f>
        <v/>
      </c>
      <c r="N414" s="172" t="str">
        <f>IF(N$3="","",IF(COUNTIFS(BD!$A$3:$A$5001,N$3,BD!$B$3:$B$5001,$A$405,BD!$L$3:$L$5001,"&lt;&gt;")=0,"",SUMIFS(BD!$L$3:$L$5001,BD!$A$3:$A$5001,N$3,BD!$B$3:$B$5001,$A$405)))</f>
        <v/>
      </c>
      <c r="O414" s="172" t="str">
        <f>IF(O$3="","",IF(COUNTIFS(BD!$A$3:$A$5001,O$3,BD!$B$3:$B$5001,$A$405,BD!$L$3:$L$5001,"&lt;&gt;")=0,"",SUMIFS(BD!$L$3:$L$5001,BD!$A$3:$A$5001,O$3,BD!$B$3:$B$5001,$A$405)))</f>
        <v/>
      </c>
      <c r="P414" s="172" t="str">
        <f>IF(P$3="","",IF(COUNTIFS(BD!$A$3:$A$5001,P$3,BD!$B$3:$B$5001,$A$405,BD!$L$3:$L$5001,"&lt;&gt;")=0,"",SUMIFS(BD!$L$3:$L$5001,BD!$A$3:$A$5001,P$3,BD!$B$3:$B$5001,$A$405)))</f>
        <v/>
      </c>
      <c r="Q414" s="172" t="str">
        <f>IF(Q$3="","",IF(COUNTIFS(BD!$A$3:$A$5001,Q$3,BD!$B$3:$B$5001,$A$405,BD!$L$3:$L$5001,"&lt;&gt;")=0,"",SUMIFS(BD!$L$3:$L$5001,BD!$A$3:$A$5001,Q$3,BD!$B$3:$B$5001,$A$405)))</f>
        <v/>
      </c>
      <c r="R414" s="172" t="str">
        <f>IF(R$3="","",IF(COUNTIFS(BD!$A$3:$A$5001,R$3,BD!$B$3:$B$5001,$A$405,BD!$L$3:$L$5001,"&lt;&gt;")=0,"",SUMIFS(BD!$L$3:$L$5001,BD!$A$3:$A$5001,R$3,BD!$B$3:$B$5001,$A$405)))</f>
        <v/>
      </c>
      <c r="S414" s="172" t="str">
        <f>IF(S$3="","",IF(COUNTIFS(BD!$A$3:$A$5001,S$3,BD!$B$3:$B$5001,$A$405,BD!$L$3:$L$5001,"&lt;&gt;")=0,"",SUMIFS(BD!$L$3:$L$5001,BD!$A$3:$A$5001,S$3,BD!$B$3:$B$5001,$A$405)))</f>
        <v/>
      </c>
      <c r="T414" s="172" t="str">
        <f>IF(T$3="","",IF(COUNTIFS(BD!$A$3:$A$5001,T$3,BD!$B$3:$B$5001,$A$405,BD!$L$3:$L$5001,"&lt;&gt;")=0,"",SUMIFS(BD!$L$3:$L$5001,BD!$A$3:$A$5001,T$3,BD!$B$3:$B$5001,$A$405)))</f>
        <v/>
      </c>
      <c r="U414" s="172" t="str">
        <f>IF(U$3="","",IF(COUNTIFS(BD!$A$3:$A$5001,U$3,BD!$B$3:$B$5001,$A$405,BD!$L$3:$L$5001,"&lt;&gt;")=0,"",SUMIFS(BD!$L$3:$L$5001,BD!$A$3:$A$5001,U$3,BD!$B$3:$B$5001,$A$405)))</f>
        <v/>
      </c>
      <c r="V414" s="172" t="str">
        <f>IF(V$3="","",IF(COUNTIFS(BD!$A$3:$A$5001,V$3,BD!$B$3:$B$5001,$A$405,BD!$L$3:$L$5001,"&lt;&gt;")=0,"",SUMIFS(BD!$L$3:$L$5001,BD!$A$3:$A$5001,V$3,BD!$B$3:$B$5001,$A$405)))</f>
        <v/>
      </c>
      <c r="W414" s="172" t="str">
        <f>IF(W$3="","",IF(COUNTIFS(BD!$A$3:$A$5001,W$3,BD!$B$3:$B$5001,$A$405,BD!$L$3:$L$5001,"&lt;&gt;")=0,"",SUMIFS(BD!$L$3:$L$5001,BD!$A$3:$A$5001,W$3,BD!$B$3:$B$5001,$A$405)))</f>
        <v/>
      </c>
      <c r="X414" s="172" t="str">
        <f>IF(X$3="","",IF(COUNTIFS(BD!$A$3:$A$5001,X$3,BD!$B$3:$B$5001,$A$405,BD!$L$3:$L$5001,"&lt;&gt;")=0,"",SUMIFS(BD!$L$3:$L$5001,BD!$A$3:$A$5001,X$3,BD!$B$3:$B$5001,$A$405)))</f>
        <v/>
      </c>
      <c r="Y414" s="172" t="str">
        <f>IF(Y$3="","",IF(COUNTIFS(BD!$A$3:$A$5001,Y$3,BD!$B$3:$B$5001,$A$405,BD!$L$3:$L$5001,"&lt;&gt;")=0,"",SUMIFS(BD!$L$3:$L$5001,BD!$A$3:$A$5001,Y$3,BD!$B$3:$B$5001,$A$405)))</f>
        <v/>
      </c>
      <c r="Z414" s="172" t="str">
        <f>IF(Z$3="","",IF(COUNTIFS(BD!$A$3:$A$5001,Z$3,BD!$B$3:$B$5001,$A$405,BD!$L$3:$L$5001,"&lt;&gt;")=0,"",SUMIFS(BD!$L$3:$L$5001,BD!$A$3:$A$5001,Z$3,BD!$B$3:$B$5001,$A$405)))</f>
        <v/>
      </c>
      <c r="AA414" s="172" t="str">
        <f>IF(AA$3="","",IF(COUNTIFS(BD!$A$3:$A$5001,AA$3,BD!$B$3:$B$5001,$A$405,BD!$L$3:$L$5001,"&lt;&gt;")=0,"",SUMIFS(BD!$L$3:$L$5001,BD!$A$3:$A$5001,AA$3,BD!$B$3:$B$5001,$A$405)))</f>
        <v/>
      </c>
      <c r="AB414" s="172" t="str">
        <f>IF(AB$3="","",IF(COUNTIFS(BD!$A$3:$A$5001,AB$3,BD!$B$3:$B$5001,$A$405,BD!$L$3:$L$5001,"&lt;&gt;")=0,"",SUMIFS(BD!$L$3:$L$5001,BD!$A$3:$A$5001,AB$3,BD!$B$3:$B$5001,$A$405)))</f>
        <v/>
      </c>
      <c r="AC414" s="172" t="str">
        <f>IF(AC$3="","",IF(COUNTIFS(BD!$A$3:$A$5001,AC$3,BD!$B$3:$B$5001,$A$405,BD!$L$3:$L$5001,"&lt;&gt;")=0,"",SUMIFS(BD!$L$3:$L$5001,BD!$A$3:$A$5001,AC$3,BD!$B$3:$B$5001,$A$405)))</f>
        <v/>
      </c>
      <c r="AD414" s="172" t="str">
        <f>IF(AD$3="","",IF(COUNTIFS(BD!$A$3:$A$5001,AD$3,BD!$B$3:$B$5001,$A$405,BD!$L$3:$L$5001,"&lt;&gt;")=0,"",SUMIFS(BD!$L$3:$L$5001,BD!$A$3:$A$5001,AD$3,BD!$B$3:$B$5001,$A$405)))</f>
        <v/>
      </c>
      <c r="AE414" s="172" t="str">
        <f>IF(AE$3="","",IF(COUNTIFS(BD!$A$3:$A$5001,AE$3,BD!$B$3:$B$5001,$A$405,BD!$L$3:$L$5001,"&lt;&gt;")=0,"",SUMIFS(BD!$L$3:$L$5001,BD!$A$3:$A$5001,AE$3,BD!$B$3:$B$5001,$A$405)))</f>
        <v/>
      </c>
      <c r="AF414" s="172" t="str">
        <f>IF(AF$3="","",IF(COUNTIFS(BD!$A$3:$A$5001,AF$3,BD!$B$3:$B$5001,$A$405,BD!$L$3:$L$5001,"&lt;&gt;")=0,"",SUMIFS(BD!$L$3:$L$5001,BD!$A$3:$A$5001,AF$3,BD!$B$3:$B$5001,$A$405)))</f>
        <v/>
      </c>
      <c r="AG414" s="172" t="str">
        <f>IF(AG$3="","",IF(COUNTIFS(BD!$A$3:$A$5001,AG$3,BD!$B$3:$B$5001,$A$405,BD!$L$3:$L$5001,"&lt;&gt;")=0,"",SUMIFS(BD!$L$3:$L$5001,BD!$A$3:$A$5001,AG$3,BD!$B$3:$B$5001,$A$405)))</f>
        <v/>
      </c>
      <c r="AH414" s="172" t="str">
        <f>IF(AH$3="","",IF(COUNTIFS(BD!$A$3:$A$5001,AH$3,BD!$B$3:$B$5001,$A$405,BD!$L$3:$L$5001,"&lt;&gt;")=0,"",SUMIFS(BD!$L$3:$L$5001,BD!$A$3:$A$5001,AH$3,BD!$B$3:$B$5001,$A$405)))</f>
        <v/>
      </c>
      <c r="AI414" s="172" t="str">
        <f>IF(AI$3="","",IF(COUNTIFS(BD!$A$3:$A$5001,AI$3,BD!$B$3:$B$5001,$A$405,BD!$L$3:$L$5001,"&lt;&gt;")=0,"",SUMIFS(BD!$L$3:$L$5001,BD!$A$3:$A$5001,AI$3,BD!$B$3:$B$5001,$A$405)))</f>
        <v/>
      </c>
      <c r="AJ414" s="173" t="str">
        <f>IF(AJ$3="","",IF(COUNTIFS(BD!$A$3:$A$5001,AJ$3,BD!$B$3:$B$5001,$A$405,BD!$L$3:$L$5001,"&lt;&gt;")=0,"",SUMIFS(BD!$L$3:$L$5001,BD!$A$3:$A$5001,AJ$3,BD!$B$3:$B$5001,$A$405)))</f>
        <v/>
      </c>
      <c r="AK414" s="174" t="str">
        <f>IF(COUNT(F414:AJ414)=0,"",SUM(F414:AJ414))</f>
        <v/>
      </c>
    </row>
    <row r="415" ht="15.75" customHeight="1" hidden="1">
      <c r="A415" s="244"/>
      <c r="B415" s="261"/>
      <c r="C415" s="250" t="inlineStr">
        <is>
          <t xml:space="preserve">Pedidos Expedidos</t>
        </is>
      </c>
      <c r="D415" s="251" t="str">
        <f>IFERROR(1/(1/INDEX(BD!$AJ$33:$BD$33,MATCH($A$405,BD!$AJ$22:$BD$22,0))),"")</f>
        <v/>
      </c>
      <c r="E415" s="252"/>
      <c r="F415" s="253" t="str">
        <f>IF(F$3="","",IF(COUNTIFS(BD!$A$3:$A$5001,F$3,BD!$B$3:$B$5001,$A$405,BD!$M$3:$M$5001,"&lt;&gt;")=0,"",SUMIFS(BD!$M$3:$M$5001,BD!$A$3:$A$5001,F$3,BD!$B$3:$B$5001,$A$405)))</f>
        <v/>
      </c>
      <c r="G415" s="254" t="str">
        <f>IF(G$3="","",IF(COUNTIFS(BD!$A$3:$A$5001,G$3,BD!$B$3:$B$5001,$A$405,BD!$M$3:$M$5001,"&lt;&gt;")=0,"",SUMIFS(BD!$M$3:$M$5001,BD!$A$3:$A$5001,G$3,BD!$B$3:$B$5001,$A$405)))</f>
        <v/>
      </c>
      <c r="H415" s="254" t="str">
        <f>IF(H$3="","",IF(COUNTIFS(BD!$A$3:$A$5001,H$3,BD!$B$3:$B$5001,$A$405,BD!$M$3:$M$5001,"&lt;&gt;")=0,"",SUMIFS(BD!$M$3:$M$5001,BD!$A$3:$A$5001,H$3,BD!$B$3:$B$5001,$A$405)))</f>
        <v/>
      </c>
      <c r="I415" s="254" t="str">
        <f>IF(I$3="","",IF(COUNTIFS(BD!$A$3:$A$5001,I$3,BD!$B$3:$B$5001,$A$405,BD!$M$3:$M$5001,"&lt;&gt;")=0,"",SUMIFS(BD!$M$3:$M$5001,BD!$A$3:$A$5001,I$3,BD!$B$3:$B$5001,$A$405)))</f>
        <v/>
      </c>
      <c r="J415" s="254" t="str">
        <f>IF(J$3="","",IF(COUNTIFS(BD!$A$3:$A$5001,J$3,BD!$B$3:$B$5001,$A$405,BD!$M$3:$M$5001,"&lt;&gt;")=0,"",SUMIFS(BD!$M$3:$M$5001,BD!$A$3:$A$5001,J$3,BD!$B$3:$B$5001,$A$405)))</f>
        <v/>
      </c>
      <c r="K415" s="254" t="str">
        <f>IF(K$3="","",IF(COUNTIFS(BD!$A$3:$A$5001,K$3,BD!$B$3:$B$5001,$A$405,BD!$M$3:$M$5001,"&lt;&gt;")=0,"",SUMIFS(BD!$M$3:$M$5001,BD!$A$3:$A$5001,K$3,BD!$B$3:$B$5001,$A$405)))</f>
        <v/>
      </c>
      <c r="L415" s="254" t="str">
        <f>IF(L$3="","",IF(COUNTIFS(BD!$A$3:$A$5001,L$3,BD!$B$3:$B$5001,$A$405,BD!$M$3:$M$5001,"&lt;&gt;")=0,"",SUMIFS(BD!$M$3:$M$5001,BD!$A$3:$A$5001,L$3,BD!$B$3:$B$5001,$A$405)))</f>
        <v/>
      </c>
      <c r="M415" s="254" t="str">
        <f>IF(M$3="","",IF(COUNTIFS(BD!$A$3:$A$5001,M$3,BD!$B$3:$B$5001,$A$405,BD!$M$3:$M$5001,"&lt;&gt;")=0,"",SUMIFS(BD!$M$3:$M$5001,BD!$A$3:$A$5001,M$3,BD!$B$3:$B$5001,$A$405)))</f>
        <v/>
      </c>
      <c r="N415" s="254" t="str">
        <f>IF(N$3="","",IF(COUNTIFS(BD!$A$3:$A$5001,N$3,BD!$B$3:$B$5001,$A$405,BD!$M$3:$M$5001,"&lt;&gt;")=0,"",SUMIFS(BD!$M$3:$M$5001,BD!$A$3:$A$5001,N$3,BD!$B$3:$B$5001,$A$405)))</f>
        <v/>
      </c>
      <c r="O415" s="254" t="str">
        <f>IF(O$3="","",IF(COUNTIFS(BD!$A$3:$A$5001,O$3,BD!$B$3:$B$5001,$A$405,BD!$M$3:$M$5001,"&lt;&gt;")=0,"",SUMIFS(BD!$M$3:$M$5001,BD!$A$3:$A$5001,O$3,BD!$B$3:$B$5001,$A$405)))</f>
        <v/>
      </c>
      <c r="P415" s="254" t="str">
        <f>IF(P$3="","",IF(COUNTIFS(BD!$A$3:$A$5001,P$3,BD!$B$3:$B$5001,$A$405,BD!$M$3:$M$5001,"&lt;&gt;")=0,"",SUMIFS(BD!$M$3:$M$5001,BD!$A$3:$A$5001,P$3,BD!$B$3:$B$5001,$A$405)))</f>
        <v/>
      </c>
      <c r="Q415" s="254" t="str">
        <f>IF(Q$3="","",IF(COUNTIFS(BD!$A$3:$A$5001,Q$3,BD!$B$3:$B$5001,$A$405,BD!$M$3:$M$5001,"&lt;&gt;")=0,"",SUMIFS(BD!$M$3:$M$5001,BD!$A$3:$A$5001,Q$3,BD!$B$3:$B$5001,$A$405)))</f>
        <v/>
      </c>
      <c r="R415" s="254" t="str">
        <f>IF(R$3="","",IF(COUNTIFS(BD!$A$3:$A$5001,R$3,BD!$B$3:$B$5001,$A$405,BD!$M$3:$M$5001,"&lt;&gt;")=0,"",SUMIFS(BD!$M$3:$M$5001,BD!$A$3:$A$5001,R$3,BD!$B$3:$B$5001,$A$405)))</f>
        <v/>
      </c>
      <c r="S415" s="254" t="str">
        <f>IF(S$3="","",IF(COUNTIFS(BD!$A$3:$A$5001,S$3,BD!$B$3:$B$5001,$A$405,BD!$M$3:$M$5001,"&lt;&gt;")=0,"",SUMIFS(BD!$M$3:$M$5001,BD!$A$3:$A$5001,S$3,BD!$B$3:$B$5001,$A$405)))</f>
        <v/>
      </c>
      <c r="T415" s="254" t="str">
        <f>IF(T$3="","",IF(COUNTIFS(BD!$A$3:$A$5001,T$3,BD!$B$3:$B$5001,$A$405,BD!$M$3:$M$5001,"&lt;&gt;")=0,"",SUMIFS(BD!$M$3:$M$5001,BD!$A$3:$A$5001,T$3,BD!$B$3:$B$5001,$A$405)))</f>
        <v/>
      </c>
      <c r="U415" s="254" t="str">
        <f>IF(U$3="","",IF(COUNTIFS(BD!$A$3:$A$5001,U$3,BD!$B$3:$B$5001,$A$405,BD!$M$3:$M$5001,"&lt;&gt;")=0,"",SUMIFS(BD!$M$3:$M$5001,BD!$A$3:$A$5001,U$3,BD!$B$3:$B$5001,$A$405)))</f>
        <v/>
      </c>
      <c r="V415" s="254" t="str">
        <f>IF(V$3="","",IF(COUNTIFS(BD!$A$3:$A$5001,V$3,BD!$B$3:$B$5001,$A$405,BD!$M$3:$M$5001,"&lt;&gt;")=0,"",SUMIFS(BD!$M$3:$M$5001,BD!$A$3:$A$5001,V$3,BD!$B$3:$B$5001,$A$405)))</f>
        <v/>
      </c>
      <c r="W415" s="254" t="str">
        <f>IF(W$3="","",IF(COUNTIFS(BD!$A$3:$A$5001,W$3,BD!$B$3:$B$5001,$A$405,BD!$M$3:$M$5001,"&lt;&gt;")=0,"",SUMIFS(BD!$M$3:$M$5001,BD!$A$3:$A$5001,W$3,BD!$B$3:$B$5001,$A$405)))</f>
        <v/>
      </c>
      <c r="X415" s="254" t="str">
        <f>IF(X$3="","",IF(COUNTIFS(BD!$A$3:$A$5001,X$3,BD!$B$3:$B$5001,$A$405,BD!$M$3:$M$5001,"&lt;&gt;")=0,"",SUMIFS(BD!$M$3:$M$5001,BD!$A$3:$A$5001,X$3,BD!$B$3:$B$5001,$A$405)))</f>
        <v/>
      </c>
      <c r="Y415" s="254" t="str">
        <f>IF(Y$3="","",IF(COUNTIFS(BD!$A$3:$A$5001,Y$3,BD!$B$3:$B$5001,$A$405,BD!$M$3:$M$5001,"&lt;&gt;")=0,"",SUMIFS(BD!$M$3:$M$5001,BD!$A$3:$A$5001,Y$3,BD!$B$3:$B$5001,$A$405)))</f>
        <v/>
      </c>
      <c r="Z415" s="254" t="str">
        <f>IF(Z$3="","",IF(COUNTIFS(BD!$A$3:$A$5001,Z$3,BD!$B$3:$B$5001,$A$405,BD!$M$3:$M$5001,"&lt;&gt;")=0,"",SUMIFS(BD!$M$3:$M$5001,BD!$A$3:$A$5001,Z$3,BD!$B$3:$B$5001,$A$405)))</f>
        <v/>
      </c>
      <c r="AA415" s="254" t="str">
        <f>IF(AA$3="","",IF(COUNTIFS(BD!$A$3:$A$5001,AA$3,BD!$B$3:$B$5001,$A$405,BD!$M$3:$M$5001,"&lt;&gt;")=0,"",SUMIFS(BD!$M$3:$M$5001,BD!$A$3:$A$5001,AA$3,BD!$B$3:$B$5001,$A$405)))</f>
        <v/>
      </c>
      <c r="AB415" s="254" t="str">
        <f>IF(AB$3="","",IF(COUNTIFS(BD!$A$3:$A$5001,AB$3,BD!$B$3:$B$5001,$A$405,BD!$M$3:$M$5001,"&lt;&gt;")=0,"",SUMIFS(BD!$M$3:$M$5001,BD!$A$3:$A$5001,AB$3,BD!$B$3:$B$5001,$A$405)))</f>
        <v/>
      </c>
      <c r="AC415" s="254" t="str">
        <f>IF(AC$3="","",IF(COUNTIFS(BD!$A$3:$A$5001,AC$3,BD!$B$3:$B$5001,$A$405,BD!$M$3:$M$5001,"&lt;&gt;")=0,"",SUMIFS(BD!$M$3:$M$5001,BD!$A$3:$A$5001,AC$3,BD!$B$3:$B$5001,$A$405)))</f>
        <v/>
      </c>
      <c r="AD415" s="254" t="str">
        <f>IF(AD$3="","",IF(COUNTIFS(BD!$A$3:$A$5001,AD$3,BD!$B$3:$B$5001,$A$405,BD!$M$3:$M$5001,"&lt;&gt;")=0,"",SUMIFS(BD!$M$3:$M$5001,BD!$A$3:$A$5001,AD$3,BD!$B$3:$B$5001,$A$405)))</f>
        <v/>
      </c>
      <c r="AE415" s="254" t="str">
        <f>IF(AE$3="","",IF(COUNTIFS(BD!$A$3:$A$5001,AE$3,BD!$B$3:$B$5001,$A$405,BD!$M$3:$M$5001,"&lt;&gt;")=0,"",SUMIFS(BD!$M$3:$M$5001,BD!$A$3:$A$5001,AE$3,BD!$B$3:$B$5001,$A$405)))</f>
        <v/>
      </c>
      <c r="AF415" s="254" t="str">
        <f>IF(AF$3="","",IF(COUNTIFS(BD!$A$3:$A$5001,AF$3,BD!$B$3:$B$5001,$A$405,BD!$M$3:$M$5001,"&lt;&gt;")=0,"",SUMIFS(BD!$M$3:$M$5001,BD!$A$3:$A$5001,AF$3,BD!$B$3:$B$5001,$A$405)))</f>
        <v/>
      </c>
      <c r="AG415" s="254" t="str">
        <f>IF(AG$3="","",IF(COUNTIFS(BD!$A$3:$A$5001,AG$3,BD!$B$3:$B$5001,$A$405,BD!$M$3:$M$5001,"&lt;&gt;")=0,"",SUMIFS(BD!$M$3:$M$5001,BD!$A$3:$A$5001,AG$3,BD!$B$3:$B$5001,$A$405)))</f>
        <v/>
      </c>
      <c r="AH415" s="254" t="str">
        <f>IF(AH$3="","",IF(COUNTIFS(BD!$A$3:$A$5001,AH$3,BD!$B$3:$B$5001,$A$405,BD!$M$3:$M$5001,"&lt;&gt;")=0,"",SUMIFS(BD!$M$3:$M$5001,BD!$A$3:$A$5001,AH$3,BD!$B$3:$B$5001,$A$405)))</f>
        <v/>
      </c>
      <c r="AI415" s="254" t="str">
        <f>IF(AI$3="","",IF(COUNTIFS(BD!$A$3:$A$5001,AI$3,BD!$B$3:$B$5001,$A$405,BD!$M$3:$M$5001,"&lt;&gt;")=0,"",SUMIFS(BD!$M$3:$M$5001,BD!$A$3:$A$5001,AI$3,BD!$B$3:$B$5001,$A$405)))</f>
        <v/>
      </c>
      <c r="AJ415" s="255" t="str">
        <f>IF(AJ$3="","",IF(COUNTIFS(BD!$A$3:$A$5001,AJ$3,BD!$B$3:$B$5001,$A$405,BD!$M$3:$M$5001,"&lt;&gt;")=0,"",SUMIFS(BD!$M$3:$M$5001,BD!$A$3:$A$5001,AJ$3,BD!$B$3:$B$5001,$A$405)))</f>
        <v/>
      </c>
      <c r="AK415" s="256" t="str">
        <f>IF(COUNT(F415:AJ415)=0,"",SUM(F415:AJ415))</f>
        <v/>
      </c>
    </row>
    <row r="416" ht="15.75" customHeight="1" hidden="1">
      <c r="A416" s="244"/>
      <c r="B416" s="261"/>
      <c r="C416" s="250" t="inlineStr">
        <is>
          <t xml:space="preserve">Pedidos Faturados</t>
        </is>
      </c>
      <c r="D416" s="251" t="str">
        <f>IFERROR(1/(1/INDEX(BD!$AJ$34:$BD$34,MATCH($A$405,BD!$AJ$22:$BD$22,0))),"")</f>
        <v/>
      </c>
      <c r="E416" s="252"/>
      <c r="F416" s="253" t="str">
        <f>IF(F$3="","",IF(COUNTIFS(BD!$A$3:$A$5001,F$3,BD!$B$3:$B$5001,$A$405,BD!$N$3:$N$5001,"&lt;&gt;")=0,"",SUMIFS(BD!$N$3:$N$5001,BD!$A$3:$A$5001,F$3,BD!$B$3:$B$5001,$A$405)))</f>
        <v/>
      </c>
      <c r="G416" s="254" t="str">
        <f>IF(G$3="","",IF(COUNTIFS(BD!$A$3:$A$5001,G$3,BD!$B$3:$B$5001,$A$405,BD!$N$3:$N$5001,"&lt;&gt;")=0,"",SUMIFS(BD!$N$3:$N$5001,BD!$A$3:$A$5001,G$3,BD!$B$3:$B$5001,$A$405)))</f>
        <v/>
      </c>
      <c r="H416" s="254" t="str">
        <f>IF(H$3="","",IF(COUNTIFS(BD!$A$3:$A$5001,H$3,BD!$B$3:$B$5001,$A$405,BD!$N$3:$N$5001,"&lt;&gt;")=0,"",SUMIFS(BD!$N$3:$N$5001,BD!$A$3:$A$5001,H$3,BD!$B$3:$B$5001,$A$405)))</f>
        <v/>
      </c>
      <c r="I416" s="254" t="str">
        <f>IF(I$3="","",IF(COUNTIFS(BD!$A$3:$A$5001,I$3,BD!$B$3:$B$5001,$A$405,BD!$N$3:$N$5001,"&lt;&gt;")=0,"",SUMIFS(BD!$N$3:$N$5001,BD!$A$3:$A$5001,I$3,BD!$B$3:$B$5001,$A$405)))</f>
        <v/>
      </c>
      <c r="J416" s="254" t="str">
        <f>IF(J$3="","",IF(COUNTIFS(BD!$A$3:$A$5001,J$3,BD!$B$3:$B$5001,$A$405,BD!$N$3:$N$5001,"&lt;&gt;")=0,"",SUMIFS(BD!$N$3:$N$5001,BD!$A$3:$A$5001,J$3,BD!$B$3:$B$5001,$A$405)))</f>
        <v/>
      </c>
      <c r="K416" s="254" t="str">
        <f>IF(K$3="","",IF(COUNTIFS(BD!$A$3:$A$5001,K$3,BD!$B$3:$B$5001,$A$405,BD!$N$3:$N$5001,"&lt;&gt;")=0,"",SUMIFS(BD!$N$3:$N$5001,BD!$A$3:$A$5001,K$3,BD!$B$3:$B$5001,$A$405)))</f>
        <v/>
      </c>
      <c r="L416" s="254" t="str">
        <f>IF(L$3="","",IF(COUNTIFS(BD!$A$3:$A$5001,L$3,BD!$B$3:$B$5001,$A$405,BD!$N$3:$N$5001,"&lt;&gt;")=0,"",SUMIFS(BD!$N$3:$N$5001,BD!$A$3:$A$5001,L$3,BD!$B$3:$B$5001,$A$405)))</f>
        <v/>
      </c>
      <c r="M416" s="254" t="str">
        <f>IF(M$3="","",IF(COUNTIFS(BD!$A$3:$A$5001,M$3,BD!$B$3:$B$5001,$A$405,BD!$N$3:$N$5001,"&lt;&gt;")=0,"",SUMIFS(BD!$N$3:$N$5001,BD!$A$3:$A$5001,M$3,BD!$B$3:$B$5001,$A$405)))</f>
        <v/>
      </c>
      <c r="N416" s="254" t="str">
        <f>IF(N$3="","",IF(COUNTIFS(BD!$A$3:$A$5001,N$3,BD!$B$3:$B$5001,$A$405,BD!$N$3:$N$5001,"&lt;&gt;")=0,"",SUMIFS(BD!$N$3:$N$5001,BD!$A$3:$A$5001,N$3,BD!$B$3:$B$5001,$A$405)))</f>
        <v/>
      </c>
      <c r="O416" s="254" t="str">
        <f>IF(O$3="","",IF(COUNTIFS(BD!$A$3:$A$5001,O$3,BD!$B$3:$B$5001,$A$405,BD!$N$3:$N$5001,"&lt;&gt;")=0,"",SUMIFS(BD!$N$3:$N$5001,BD!$A$3:$A$5001,O$3,BD!$B$3:$B$5001,$A$405)))</f>
        <v/>
      </c>
      <c r="P416" s="254" t="str">
        <f>IF(P$3="","",IF(COUNTIFS(BD!$A$3:$A$5001,P$3,BD!$B$3:$B$5001,$A$405,BD!$N$3:$N$5001,"&lt;&gt;")=0,"",SUMIFS(BD!$N$3:$N$5001,BD!$A$3:$A$5001,P$3,BD!$B$3:$B$5001,$A$405)))</f>
        <v/>
      </c>
      <c r="Q416" s="254" t="str">
        <f>IF(Q$3="","",IF(COUNTIFS(BD!$A$3:$A$5001,Q$3,BD!$B$3:$B$5001,$A$405,BD!$N$3:$N$5001,"&lt;&gt;")=0,"",SUMIFS(BD!$N$3:$N$5001,BD!$A$3:$A$5001,Q$3,BD!$B$3:$B$5001,$A$405)))</f>
        <v/>
      </c>
      <c r="R416" s="254" t="str">
        <f>IF(R$3="","",IF(COUNTIFS(BD!$A$3:$A$5001,R$3,BD!$B$3:$B$5001,$A$405,BD!$N$3:$N$5001,"&lt;&gt;")=0,"",SUMIFS(BD!$N$3:$N$5001,BD!$A$3:$A$5001,R$3,BD!$B$3:$B$5001,$A$405)))</f>
        <v/>
      </c>
      <c r="S416" s="254" t="str">
        <f>IF(S$3="","",IF(COUNTIFS(BD!$A$3:$A$5001,S$3,BD!$B$3:$B$5001,$A$405,BD!$N$3:$N$5001,"&lt;&gt;")=0,"",SUMIFS(BD!$N$3:$N$5001,BD!$A$3:$A$5001,S$3,BD!$B$3:$B$5001,$A$405)))</f>
        <v/>
      </c>
      <c r="T416" s="254" t="str">
        <f>IF(T$3="","",IF(COUNTIFS(BD!$A$3:$A$5001,T$3,BD!$B$3:$B$5001,$A$405,BD!$N$3:$N$5001,"&lt;&gt;")=0,"",SUMIFS(BD!$N$3:$N$5001,BD!$A$3:$A$5001,T$3,BD!$B$3:$B$5001,$A$405)))</f>
        <v/>
      </c>
      <c r="U416" s="254" t="str">
        <f>IF(U$3="","",IF(COUNTIFS(BD!$A$3:$A$5001,U$3,BD!$B$3:$B$5001,$A$405,BD!$N$3:$N$5001,"&lt;&gt;")=0,"",SUMIFS(BD!$N$3:$N$5001,BD!$A$3:$A$5001,U$3,BD!$B$3:$B$5001,$A$405)))</f>
        <v/>
      </c>
      <c r="V416" s="254" t="str">
        <f>IF(V$3="","",IF(COUNTIFS(BD!$A$3:$A$5001,V$3,BD!$B$3:$B$5001,$A$405,BD!$N$3:$N$5001,"&lt;&gt;")=0,"",SUMIFS(BD!$N$3:$N$5001,BD!$A$3:$A$5001,V$3,BD!$B$3:$B$5001,$A$405)))</f>
        <v/>
      </c>
      <c r="W416" s="254" t="str">
        <f>IF(W$3="","",IF(COUNTIFS(BD!$A$3:$A$5001,W$3,BD!$B$3:$B$5001,$A$405,BD!$N$3:$N$5001,"&lt;&gt;")=0,"",SUMIFS(BD!$N$3:$N$5001,BD!$A$3:$A$5001,W$3,BD!$B$3:$B$5001,$A$405)))</f>
        <v/>
      </c>
      <c r="X416" s="254" t="str">
        <f>IF(X$3="","",IF(COUNTIFS(BD!$A$3:$A$5001,X$3,BD!$B$3:$B$5001,$A$405,BD!$N$3:$N$5001,"&lt;&gt;")=0,"",SUMIFS(BD!$N$3:$N$5001,BD!$A$3:$A$5001,X$3,BD!$B$3:$B$5001,$A$405)))</f>
        <v/>
      </c>
      <c r="Y416" s="254" t="str">
        <f>IF(Y$3="","",IF(COUNTIFS(BD!$A$3:$A$5001,Y$3,BD!$B$3:$B$5001,$A$405,BD!$N$3:$N$5001,"&lt;&gt;")=0,"",SUMIFS(BD!$N$3:$N$5001,BD!$A$3:$A$5001,Y$3,BD!$B$3:$B$5001,$A$405)))</f>
        <v/>
      </c>
      <c r="Z416" s="254" t="str">
        <f>IF(Z$3="","",IF(COUNTIFS(BD!$A$3:$A$5001,Z$3,BD!$B$3:$B$5001,$A$405,BD!$N$3:$N$5001,"&lt;&gt;")=0,"",SUMIFS(BD!$N$3:$N$5001,BD!$A$3:$A$5001,Z$3,BD!$B$3:$B$5001,$A$405)))</f>
        <v/>
      </c>
      <c r="AA416" s="254" t="str">
        <f>IF(AA$3="","",IF(COUNTIFS(BD!$A$3:$A$5001,AA$3,BD!$B$3:$B$5001,$A$405,BD!$N$3:$N$5001,"&lt;&gt;")=0,"",SUMIFS(BD!$N$3:$N$5001,BD!$A$3:$A$5001,AA$3,BD!$B$3:$B$5001,$A$405)))</f>
        <v/>
      </c>
      <c r="AB416" s="254" t="str">
        <f>IF(AB$3="","",IF(COUNTIFS(BD!$A$3:$A$5001,AB$3,BD!$B$3:$B$5001,$A$405,BD!$N$3:$N$5001,"&lt;&gt;")=0,"",SUMIFS(BD!$N$3:$N$5001,BD!$A$3:$A$5001,AB$3,BD!$B$3:$B$5001,$A$405)))</f>
        <v/>
      </c>
      <c r="AC416" s="254" t="str">
        <f>IF(AC$3="","",IF(COUNTIFS(BD!$A$3:$A$5001,AC$3,BD!$B$3:$B$5001,$A$405,BD!$N$3:$N$5001,"&lt;&gt;")=0,"",SUMIFS(BD!$N$3:$N$5001,BD!$A$3:$A$5001,AC$3,BD!$B$3:$B$5001,$A$405)))</f>
        <v/>
      </c>
      <c r="AD416" s="254" t="str">
        <f>IF(AD$3="","",IF(COUNTIFS(BD!$A$3:$A$5001,AD$3,BD!$B$3:$B$5001,$A$405,BD!$N$3:$N$5001,"&lt;&gt;")=0,"",SUMIFS(BD!$N$3:$N$5001,BD!$A$3:$A$5001,AD$3,BD!$B$3:$B$5001,$A$405)))</f>
        <v/>
      </c>
      <c r="AE416" s="254" t="str">
        <f>IF(AE$3="","",IF(COUNTIFS(BD!$A$3:$A$5001,AE$3,BD!$B$3:$B$5001,$A$405,BD!$N$3:$N$5001,"&lt;&gt;")=0,"",SUMIFS(BD!$N$3:$N$5001,BD!$A$3:$A$5001,AE$3,BD!$B$3:$B$5001,$A$405)))</f>
        <v/>
      </c>
      <c r="AF416" s="254" t="str">
        <f>IF(AF$3="","",IF(COUNTIFS(BD!$A$3:$A$5001,AF$3,BD!$B$3:$B$5001,$A$405,BD!$N$3:$N$5001,"&lt;&gt;")=0,"",SUMIFS(BD!$N$3:$N$5001,BD!$A$3:$A$5001,AF$3,BD!$B$3:$B$5001,$A$405)))</f>
        <v/>
      </c>
      <c r="AG416" s="254" t="str">
        <f>IF(AG$3="","",IF(COUNTIFS(BD!$A$3:$A$5001,AG$3,BD!$B$3:$B$5001,$A$405,BD!$N$3:$N$5001,"&lt;&gt;")=0,"",SUMIFS(BD!$N$3:$N$5001,BD!$A$3:$A$5001,AG$3,BD!$B$3:$B$5001,$A$405)))</f>
        <v/>
      </c>
      <c r="AH416" s="254" t="str">
        <f>IF(AH$3="","",IF(COUNTIFS(BD!$A$3:$A$5001,AH$3,BD!$B$3:$B$5001,$A$405,BD!$N$3:$N$5001,"&lt;&gt;")=0,"",SUMIFS(BD!$N$3:$N$5001,BD!$A$3:$A$5001,AH$3,BD!$B$3:$B$5001,$A$405)))</f>
        <v/>
      </c>
      <c r="AI416" s="254" t="str">
        <f>IF(AI$3="","",IF(COUNTIFS(BD!$A$3:$A$5001,AI$3,BD!$B$3:$B$5001,$A$405,BD!$N$3:$N$5001,"&lt;&gt;")=0,"",SUMIFS(BD!$N$3:$N$5001,BD!$A$3:$A$5001,AI$3,BD!$B$3:$B$5001,$A$405)))</f>
        <v/>
      </c>
      <c r="AJ416" s="255" t="str">
        <f>IF(AJ$3="","",IF(COUNTIFS(BD!$A$3:$A$5001,AJ$3,BD!$B$3:$B$5001,$A$405,BD!$N$3:$N$5001,"&lt;&gt;")=0,"",SUMIFS(BD!$N$3:$N$5001,BD!$A$3:$A$5001,AJ$3,BD!$B$3:$B$5001,$A$405)))</f>
        <v/>
      </c>
      <c r="AK416" s="256" t="str">
        <f>IF(COUNT(F416:AJ416)=0,"",SUM(F416:AJ416))</f>
        <v/>
      </c>
    </row>
    <row r="417" ht="15.75" customHeight="1" hidden="1">
      <c r="A417" s="244"/>
      <c r="B417" s="261"/>
      <c r="C417" s="250" t="inlineStr">
        <is>
          <t xml:space="preserve">Itens Expedidos</t>
        </is>
      </c>
      <c r="D417" s="251" t="str">
        <f>IFERROR(1/(1/INDEX(BD!$AJ$35:$BD$35,MATCH($A$405,BD!$AJ$22:$BD$22,0))),"")</f>
        <v/>
      </c>
      <c r="E417" s="252"/>
      <c r="F417" s="253" t="str">
        <f>IF(F$3="","",IF(COUNTIFS(BD!$A$3:$A$5001,F$3,BD!$B$3:$B$5001,$A$405,BD!$O$3:$O$5001,"&lt;&gt;")=0,"",SUMIFS(BD!$O$3:$O$5001,BD!$A$3:$A$5001,F$3,BD!$B$3:$B$5001,$A$405)))</f>
        <v/>
      </c>
      <c r="G417" s="254" t="str">
        <f>IF(G$3="","",IF(COUNTIFS(BD!$A$3:$A$5001,G$3,BD!$B$3:$B$5001,$A$405,BD!$O$3:$O$5001,"&lt;&gt;")=0,"",SUMIFS(BD!$O$3:$O$5001,BD!$A$3:$A$5001,G$3,BD!$B$3:$B$5001,$A$405)))</f>
        <v/>
      </c>
      <c r="H417" s="254" t="str">
        <f>IF(H$3="","",IF(COUNTIFS(BD!$A$3:$A$5001,H$3,BD!$B$3:$B$5001,$A$405,BD!$O$3:$O$5001,"&lt;&gt;")=0,"",SUMIFS(BD!$O$3:$O$5001,BD!$A$3:$A$5001,H$3,BD!$B$3:$B$5001,$A$405)))</f>
        <v/>
      </c>
      <c r="I417" s="254" t="str">
        <f>IF(I$3="","",IF(COUNTIFS(BD!$A$3:$A$5001,I$3,BD!$B$3:$B$5001,$A$405,BD!$O$3:$O$5001,"&lt;&gt;")=0,"",SUMIFS(BD!$O$3:$O$5001,BD!$A$3:$A$5001,I$3,BD!$B$3:$B$5001,$A$405)))</f>
        <v/>
      </c>
      <c r="J417" s="254" t="str">
        <f>IF(J$3="","",IF(COUNTIFS(BD!$A$3:$A$5001,J$3,BD!$B$3:$B$5001,$A$405,BD!$O$3:$O$5001,"&lt;&gt;")=0,"",SUMIFS(BD!$O$3:$O$5001,BD!$A$3:$A$5001,J$3,BD!$B$3:$B$5001,$A$405)))</f>
        <v/>
      </c>
      <c r="K417" s="254" t="str">
        <f>IF(K$3="","",IF(COUNTIFS(BD!$A$3:$A$5001,K$3,BD!$B$3:$B$5001,$A$405,BD!$O$3:$O$5001,"&lt;&gt;")=0,"",SUMIFS(BD!$O$3:$O$5001,BD!$A$3:$A$5001,K$3,BD!$B$3:$B$5001,$A$405)))</f>
        <v/>
      </c>
      <c r="L417" s="254" t="str">
        <f>IF(L$3="","",IF(COUNTIFS(BD!$A$3:$A$5001,L$3,BD!$B$3:$B$5001,$A$405,BD!$O$3:$O$5001,"&lt;&gt;")=0,"",SUMIFS(BD!$O$3:$O$5001,BD!$A$3:$A$5001,L$3,BD!$B$3:$B$5001,$A$405)))</f>
        <v/>
      </c>
      <c r="M417" s="254" t="str">
        <f>IF(M$3="","",IF(COUNTIFS(BD!$A$3:$A$5001,M$3,BD!$B$3:$B$5001,$A$405,BD!$O$3:$O$5001,"&lt;&gt;")=0,"",SUMIFS(BD!$O$3:$O$5001,BD!$A$3:$A$5001,M$3,BD!$B$3:$B$5001,$A$405)))</f>
        <v/>
      </c>
      <c r="N417" s="254" t="str">
        <f>IF(N$3="","",IF(COUNTIFS(BD!$A$3:$A$5001,N$3,BD!$B$3:$B$5001,$A$405,BD!$O$3:$O$5001,"&lt;&gt;")=0,"",SUMIFS(BD!$O$3:$O$5001,BD!$A$3:$A$5001,N$3,BD!$B$3:$B$5001,$A$405)))</f>
        <v/>
      </c>
      <c r="O417" s="254" t="str">
        <f>IF(O$3="","",IF(COUNTIFS(BD!$A$3:$A$5001,O$3,BD!$B$3:$B$5001,$A$405,BD!$O$3:$O$5001,"&lt;&gt;")=0,"",SUMIFS(BD!$O$3:$O$5001,BD!$A$3:$A$5001,O$3,BD!$B$3:$B$5001,$A$405)))</f>
        <v/>
      </c>
      <c r="P417" s="254" t="str">
        <f>IF(P$3="","",IF(COUNTIFS(BD!$A$3:$A$5001,P$3,BD!$B$3:$B$5001,$A$405,BD!$O$3:$O$5001,"&lt;&gt;")=0,"",SUMIFS(BD!$O$3:$O$5001,BD!$A$3:$A$5001,P$3,BD!$B$3:$B$5001,$A$405)))</f>
        <v/>
      </c>
      <c r="Q417" s="254" t="str">
        <f>IF(Q$3="","",IF(COUNTIFS(BD!$A$3:$A$5001,Q$3,BD!$B$3:$B$5001,$A$405,BD!$O$3:$O$5001,"&lt;&gt;")=0,"",SUMIFS(BD!$O$3:$O$5001,BD!$A$3:$A$5001,Q$3,BD!$B$3:$B$5001,$A$405)))</f>
        <v/>
      </c>
      <c r="R417" s="254" t="str">
        <f>IF(R$3="","",IF(COUNTIFS(BD!$A$3:$A$5001,R$3,BD!$B$3:$B$5001,$A$405,BD!$O$3:$O$5001,"&lt;&gt;")=0,"",SUMIFS(BD!$O$3:$O$5001,BD!$A$3:$A$5001,R$3,BD!$B$3:$B$5001,$A$405)))</f>
        <v/>
      </c>
      <c r="S417" s="254" t="str">
        <f>IF(S$3="","",IF(COUNTIFS(BD!$A$3:$A$5001,S$3,BD!$B$3:$B$5001,$A$405,BD!$O$3:$O$5001,"&lt;&gt;")=0,"",SUMIFS(BD!$O$3:$O$5001,BD!$A$3:$A$5001,S$3,BD!$B$3:$B$5001,$A$405)))</f>
        <v/>
      </c>
      <c r="T417" s="254" t="str">
        <f>IF(T$3="","",IF(COUNTIFS(BD!$A$3:$A$5001,T$3,BD!$B$3:$B$5001,$A$405,BD!$O$3:$O$5001,"&lt;&gt;")=0,"",SUMIFS(BD!$O$3:$O$5001,BD!$A$3:$A$5001,T$3,BD!$B$3:$B$5001,$A$405)))</f>
        <v/>
      </c>
      <c r="U417" s="254" t="str">
        <f>IF(U$3="","",IF(COUNTIFS(BD!$A$3:$A$5001,U$3,BD!$B$3:$B$5001,$A$405,BD!$O$3:$O$5001,"&lt;&gt;")=0,"",SUMIFS(BD!$O$3:$O$5001,BD!$A$3:$A$5001,U$3,BD!$B$3:$B$5001,$A$405)))</f>
        <v/>
      </c>
      <c r="V417" s="254" t="str">
        <f>IF(V$3="","",IF(COUNTIFS(BD!$A$3:$A$5001,V$3,BD!$B$3:$B$5001,$A$405,BD!$O$3:$O$5001,"&lt;&gt;")=0,"",SUMIFS(BD!$O$3:$O$5001,BD!$A$3:$A$5001,V$3,BD!$B$3:$B$5001,$A$405)))</f>
        <v/>
      </c>
      <c r="W417" s="254" t="str">
        <f>IF(W$3="","",IF(COUNTIFS(BD!$A$3:$A$5001,W$3,BD!$B$3:$B$5001,$A$405,BD!$O$3:$O$5001,"&lt;&gt;")=0,"",SUMIFS(BD!$O$3:$O$5001,BD!$A$3:$A$5001,W$3,BD!$B$3:$B$5001,$A$405)))</f>
        <v/>
      </c>
      <c r="X417" s="254" t="str">
        <f>IF(X$3="","",IF(COUNTIFS(BD!$A$3:$A$5001,X$3,BD!$B$3:$B$5001,$A$405,BD!$O$3:$O$5001,"&lt;&gt;")=0,"",SUMIFS(BD!$O$3:$O$5001,BD!$A$3:$A$5001,X$3,BD!$B$3:$B$5001,$A$405)))</f>
        <v/>
      </c>
      <c r="Y417" s="254" t="str">
        <f>IF(Y$3="","",IF(COUNTIFS(BD!$A$3:$A$5001,Y$3,BD!$B$3:$B$5001,$A$405,BD!$O$3:$O$5001,"&lt;&gt;")=0,"",SUMIFS(BD!$O$3:$O$5001,BD!$A$3:$A$5001,Y$3,BD!$B$3:$B$5001,$A$405)))</f>
        <v/>
      </c>
      <c r="Z417" s="254" t="str">
        <f>IF(Z$3="","",IF(COUNTIFS(BD!$A$3:$A$5001,Z$3,BD!$B$3:$B$5001,$A$405,BD!$O$3:$O$5001,"&lt;&gt;")=0,"",SUMIFS(BD!$O$3:$O$5001,BD!$A$3:$A$5001,Z$3,BD!$B$3:$B$5001,$A$405)))</f>
        <v/>
      </c>
      <c r="AA417" s="254" t="str">
        <f>IF(AA$3="","",IF(COUNTIFS(BD!$A$3:$A$5001,AA$3,BD!$B$3:$B$5001,$A$405,BD!$O$3:$O$5001,"&lt;&gt;")=0,"",SUMIFS(BD!$O$3:$O$5001,BD!$A$3:$A$5001,AA$3,BD!$B$3:$B$5001,$A$405)))</f>
        <v/>
      </c>
      <c r="AB417" s="254" t="str">
        <f>IF(AB$3="","",IF(COUNTIFS(BD!$A$3:$A$5001,AB$3,BD!$B$3:$B$5001,$A$405,BD!$O$3:$O$5001,"&lt;&gt;")=0,"",SUMIFS(BD!$O$3:$O$5001,BD!$A$3:$A$5001,AB$3,BD!$B$3:$B$5001,$A$405)))</f>
        <v/>
      </c>
      <c r="AC417" s="254" t="str">
        <f>IF(AC$3="","",IF(COUNTIFS(BD!$A$3:$A$5001,AC$3,BD!$B$3:$B$5001,$A$405,BD!$O$3:$O$5001,"&lt;&gt;")=0,"",SUMIFS(BD!$O$3:$O$5001,BD!$A$3:$A$5001,AC$3,BD!$B$3:$B$5001,$A$405)))</f>
        <v/>
      </c>
      <c r="AD417" s="254" t="str">
        <f>IF(AD$3="","",IF(COUNTIFS(BD!$A$3:$A$5001,AD$3,BD!$B$3:$B$5001,$A$405,BD!$O$3:$O$5001,"&lt;&gt;")=0,"",SUMIFS(BD!$O$3:$O$5001,BD!$A$3:$A$5001,AD$3,BD!$B$3:$B$5001,$A$405)))</f>
        <v/>
      </c>
      <c r="AE417" s="254" t="str">
        <f>IF(AE$3="","",IF(COUNTIFS(BD!$A$3:$A$5001,AE$3,BD!$B$3:$B$5001,$A$405,BD!$O$3:$O$5001,"&lt;&gt;")=0,"",SUMIFS(BD!$O$3:$O$5001,BD!$A$3:$A$5001,AE$3,BD!$B$3:$B$5001,$A$405)))</f>
        <v/>
      </c>
      <c r="AF417" s="254" t="str">
        <f>IF(AF$3="","",IF(COUNTIFS(BD!$A$3:$A$5001,AF$3,BD!$B$3:$B$5001,$A$405,BD!$O$3:$O$5001,"&lt;&gt;")=0,"",SUMIFS(BD!$O$3:$O$5001,BD!$A$3:$A$5001,AF$3,BD!$B$3:$B$5001,$A$405)))</f>
        <v/>
      </c>
      <c r="AG417" s="254" t="str">
        <f>IF(AG$3="","",IF(COUNTIFS(BD!$A$3:$A$5001,AG$3,BD!$B$3:$B$5001,$A$405,BD!$O$3:$O$5001,"&lt;&gt;")=0,"",SUMIFS(BD!$O$3:$O$5001,BD!$A$3:$A$5001,AG$3,BD!$B$3:$B$5001,$A$405)))</f>
        <v/>
      </c>
      <c r="AH417" s="254" t="str">
        <f>IF(AH$3="","",IF(COUNTIFS(BD!$A$3:$A$5001,AH$3,BD!$B$3:$B$5001,$A$405,BD!$O$3:$O$5001,"&lt;&gt;")=0,"",SUMIFS(BD!$O$3:$O$5001,BD!$A$3:$A$5001,AH$3,BD!$B$3:$B$5001,$A$405)))</f>
        <v/>
      </c>
      <c r="AI417" s="254" t="str">
        <f>IF(AI$3="","",IF(COUNTIFS(BD!$A$3:$A$5001,AI$3,BD!$B$3:$B$5001,$A$405,BD!$O$3:$O$5001,"&lt;&gt;")=0,"",SUMIFS(BD!$O$3:$O$5001,BD!$A$3:$A$5001,AI$3,BD!$B$3:$B$5001,$A$405)))</f>
        <v/>
      </c>
      <c r="AJ417" s="255" t="str">
        <f>IF(AJ$3="","",IF(COUNTIFS(BD!$A$3:$A$5001,AJ$3,BD!$B$3:$B$5001,$A$405,BD!$O$3:$O$5001,"&lt;&gt;")=0,"",SUMIFS(BD!$O$3:$O$5001,BD!$A$3:$A$5001,AJ$3,BD!$B$3:$B$5001,$A$405)))</f>
        <v/>
      </c>
      <c r="AK417" s="256" t="str">
        <f>IF(COUNT(F417:AJ417)=0,"",SUM(F417:AJ417))</f>
        <v/>
      </c>
    </row>
    <row r="418" ht="15.75" customHeight="1" hidden="1">
      <c r="A418" s="244"/>
      <c r="B418" s="261"/>
      <c r="C418" s="250" t="inlineStr">
        <is>
          <t xml:space="preserve">Linhas NF</t>
        </is>
      </c>
      <c r="D418" s="251" t="str">
        <f>IFERROR(1/(1/INDEX(BD!$AJ$36:$BD$36,MATCH($A$405,BD!$AJ$22:$BD$22,0))),"")</f>
        <v/>
      </c>
      <c r="E418" s="252"/>
      <c r="F418" s="253" t="str">
        <f>IF(F$3="","",IF(COUNTIFS(BD!$A$3:$A$5001,F$3,BD!$B$3:$B$5001,$A$405,BD!$P$3:$P$5001,"&lt;&gt;")=0,"",SUMIFS(BD!$P$3:$P$5001,BD!$A$3:$A$5001,F$3,BD!$B$3:$B$5001,$A$405)))</f>
        <v/>
      </c>
      <c r="G418" s="254" t="str">
        <f>IF(G$3="","",IF(COUNTIFS(BD!$A$3:$A$5001,G$3,BD!$B$3:$B$5001,$A$405,BD!$P$3:$P$5001,"&lt;&gt;")=0,"",SUMIFS(BD!$P$3:$P$5001,BD!$A$3:$A$5001,G$3,BD!$B$3:$B$5001,$A$405)))</f>
        <v/>
      </c>
      <c r="H418" s="254" t="str">
        <f>IF(H$3="","",IF(COUNTIFS(BD!$A$3:$A$5001,H$3,BD!$B$3:$B$5001,$A$405,BD!$P$3:$P$5001,"&lt;&gt;")=0,"",SUMIFS(BD!$P$3:$P$5001,BD!$A$3:$A$5001,H$3,BD!$B$3:$B$5001,$A$405)))</f>
        <v/>
      </c>
      <c r="I418" s="254" t="str">
        <f>IF(I$3="","",IF(COUNTIFS(BD!$A$3:$A$5001,I$3,BD!$B$3:$B$5001,$A$405,BD!$P$3:$P$5001,"&lt;&gt;")=0,"",SUMIFS(BD!$P$3:$P$5001,BD!$A$3:$A$5001,I$3,BD!$B$3:$B$5001,$A$405)))</f>
        <v/>
      </c>
      <c r="J418" s="254" t="str">
        <f>IF(J$3="","",IF(COUNTIFS(BD!$A$3:$A$5001,J$3,BD!$B$3:$B$5001,$A$405,BD!$P$3:$P$5001,"&lt;&gt;")=0,"",SUMIFS(BD!$P$3:$P$5001,BD!$A$3:$A$5001,J$3,BD!$B$3:$B$5001,$A$405)))</f>
        <v/>
      </c>
      <c r="K418" s="254" t="str">
        <f>IF(K$3="","",IF(COUNTIFS(BD!$A$3:$A$5001,K$3,BD!$B$3:$B$5001,$A$405,BD!$P$3:$P$5001,"&lt;&gt;")=0,"",SUMIFS(BD!$P$3:$P$5001,BD!$A$3:$A$5001,K$3,BD!$B$3:$B$5001,$A$405)))</f>
        <v/>
      </c>
      <c r="L418" s="254" t="str">
        <f>IF(L$3="","",IF(COUNTIFS(BD!$A$3:$A$5001,L$3,BD!$B$3:$B$5001,$A$405,BD!$P$3:$P$5001,"&lt;&gt;")=0,"",SUMIFS(BD!$P$3:$P$5001,BD!$A$3:$A$5001,L$3,BD!$B$3:$B$5001,$A$405)))</f>
        <v/>
      </c>
      <c r="M418" s="254" t="str">
        <f>IF(M$3="","",IF(COUNTIFS(BD!$A$3:$A$5001,M$3,BD!$B$3:$B$5001,$A$405,BD!$P$3:$P$5001,"&lt;&gt;")=0,"",SUMIFS(BD!$P$3:$P$5001,BD!$A$3:$A$5001,M$3,BD!$B$3:$B$5001,$A$405)))</f>
        <v/>
      </c>
      <c r="N418" s="254" t="str">
        <f>IF(N$3="","",IF(COUNTIFS(BD!$A$3:$A$5001,N$3,BD!$B$3:$B$5001,$A$405,BD!$P$3:$P$5001,"&lt;&gt;")=0,"",SUMIFS(BD!$P$3:$P$5001,BD!$A$3:$A$5001,N$3,BD!$B$3:$B$5001,$A$405)))</f>
        <v/>
      </c>
      <c r="O418" s="254" t="str">
        <f>IF(O$3="","",IF(COUNTIFS(BD!$A$3:$A$5001,O$3,BD!$B$3:$B$5001,$A$405,BD!$P$3:$P$5001,"&lt;&gt;")=0,"",SUMIFS(BD!$P$3:$P$5001,BD!$A$3:$A$5001,O$3,BD!$B$3:$B$5001,$A$405)))</f>
        <v/>
      </c>
      <c r="P418" s="254" t="str">
        <f>IF(P$3="","",IF(COUNTIFS(BD!$A$3:$A$5001,P$3,BD!$B$3:$B$5001,$A$405,BD!$P$3:$P$5001,"&lt;&gt;")=0,"",SUMIFS(BD!$P$3:$P$5001,BD!$A$3:$A$5001,P$3,BD!$B$3:$B$5001,$A$405)))</f>
        <v/>
      </c>
      <c r="Q418" s="254" t="str">
        <f>IF(Q$3="","",IF(COUNTIFS(BD!$A$3:$A$5001,Q$3,BD!$B$3:$B$5001,$A$405,BD!$P$3:$P$5001,"&lt;&gt;")=0,"",SUMIFS(BD!$P$3:$P$5001,BD!$A$3:$A$5001,Q$3,BD!$B$3:$B$5001,$A$405)))</f>
        <v/>
      </c>
      <c r="R418" s="254" t="str">
        <f>IF(R$3="","",IF(COUNTIFS(BD!$A$3:$A$5001,R$3,BD!$B$3:$B$5001,$A$405,BD!$P$3:$P$5001,"&lt;&gt;")=0,"",SUMIFS(BD!$P$3:$P$5001,BD!$A$3:$A$5001,R$3,BD!$B$3:$B$5001,$A$405)))</f>
        <v/>
      </c>
      <c r="S418" s="254" t="str">
        <f>IF(S$3="","",IF(COUNTIFS(BD!$A$3:$A$5001,S$3,BD!$B$3:$B$5001,$A$405,BD!$P$3:$P$5001,"&lt;&gt;")=0,"",SUMIFS(BD!$P$3:$P$5001,BD!$A$3:$A$5001,S$3,BD!$B$3:$B$5001,$A$405)))</f>
        <v/>
      </c>
      <c r="T418" s="254" t="str">
        <f>IF(T$3="","",IF(COUNTIFS(BD!$A$3:$A$5001,T$3,BD!$B$3:$B$5001,$A$405,BD!$P$3:$P$5001,"&lt;&gt;")=0,"",SUMIFS(BD!$P$3:$P$5001,BD!$A$3:$A$5001,T$3,BD!$B$3:$B$5001,$A$405)))</f>
        <v/>
      </c>
      <c r="U418" s="254" t="str">
        <f>IF(U$3="","",IF(COUNTIFS(BD!$A$3:$A$5001,U$3,BD!$B$3:$B$5001,$A$405,BD!$P$3:$P$5001,"&lt;&gt;")=0,"",SUMIFS(BD!$P$3:$P$5001,BD!$A$3:$A$5001,U$3,BD!$B$3:$B$5001,$A$405)))</f>
        <v/>
      </c>
      <c r="V418" s="254" t="str">
        <f>IF(V$3="","",IF(COUNTIFS(BD!$A$3:$A$5001,V$3,BD!$B$3:$B$5001,$A$405,BD!$P$3:$P$5001,"&lt;&gt;")=0,"",SUMIFS(BD!$P$3:$P$5001,BD!$A$3:$A$5001,V$3,BD!$B$3:$B$5001,$A$405)))</f>
        <v/>
      </c>
      <c r="W418" s="254" t="str">
        <f>IF(W$3="","",IF(COUNTIFS(BD!$A$3:$A$5001,W$3,BD!$B$3:$B$5001,$A$405,BD!$P$3:$P$5001,"&lt;&gt;")=0,"",SUMIFS(BD!$P$3:$P$5001,BD!$A$3:$A$5001,W$3,BD!$B$3:$B$5001,$A$405)))</f>
        <v/>
      </c>
      <c r="X418" s="254" t="str">
        <f>IF(X$3="","",IF(COUNTIFS(BD!$A$3:$A$5001,X$3,BD!$B$3:$B$5001,$A$405,BD!$P$3:$P$5001,"&lt;&gt;")=0,"",SUMIFS(BD!$P$3:$P$5001,BD!$A$3:$A$5001,X$3,BD!$B$3:$B$5001,$A$405)))</f>
        <v/>
      </c>
      <c r="Y418" s="254" t="str">
        <f>IF(Y$3="","",IF(COUNTIFS(BD!$A$3:$A$5001,Y$3,BD!$B$3:$B$5001,$A$405,BD!$P$3:$P$5001,"&lt;&gt;")=0,"",SUMIFS(BD!$P$3:$P$5001,BD!$A$3:$A$5001,Y$3,BD!$B$3:$B$5001,$A$405)))</f>
        <v/>
      </c>
      <c r="Z418" s="254" t="str">
        <f>IF(Z$3="","",IF(COUNTIFS(BD!$A$3:$A$5001,Z$3,BD!$B$3:$B$5001,$A$405,BD!$P$3:$P$5001,"&lt;&gt;")=0,"",SUMIFS(BD!$P$3:$P$5001,BD!$A$3:$A$5001,Z$3,BD!$B$3:$B$5001,$A$405)))</f>
        <v/>
      </c>
      <c r="AA418" s="254" t="str">
        <f>IF(AA$3="","",IF(COUNTIFS(BD!$A$3:$A$5001,AA$3,BD!$B$3:$B$5001,$A$405,BD!$P$3:$P$5001,"&lt;&gt;")=0,"",SUMIFS(BD!$P$3:$P$5001,BD!$A$3:$A$5001,AA$3,BD!$B$3:$B$5001,$A$405)))</f>
        <v/>
      </c>
      <c r="AB418" s="254" t="str">
        <f>IF(AB$3="","",IF(COUNTIFS(BD!$A$3:$A$5001,AB$3,BD!$B$3:$B$5001,$A$405,BD!$P$3:$P$5001,"&lt;&gt;")=0,"",SUMIFS(BD!$P$3:$P$5001,BD!$A$3:$A$5001,AB$3,BD!$B$3:$B$5001,$A$405)))</f>
        <v/>
      </c>
      <c r="AC418" s="254" t="str">
        <f>IF(AC$3="","",IF(COUNTIFS(BD!$A$3:$A$5001,AC$3,BD!$B$3:$B$5001,$A$405,BD!$P$3:$P$5001,"&lt;&gt;")=0,"",SUMIFS(BD!$P$3:$P$5001,BD!$A$3:$A$5001,AC$3,BD!$B$3:$B$5001,$A$405)))</f>
        <v/>
      </c>
      <c r="AD418" s="254" t="str">
        <f>IF(AD$3="","",IF(COUNTIFS(BD!$A$3:$A$5001,AD$3,BD!$B$3:$B$5001,$A$405,BD!$P$3:$P$5001,"&lt;&gt;")=0,"",SUMIFS(BD!$P$3:$P$5001,BD!$A$3:$A$5001,AD$3,BD!$B$3:$B$5001,$A$405)))</f>
        <v/>
      </c>
      <c r="AE418" s="254" t="str">
        <f>IF(AE$3="","",IF(COUNTIFS(BD!$A$3:$A$5001,AE$3,BD!$B$3:$B$5001,$A$405,BD!$P$3:$P$5001,"&lt;&gt;")=0,"",SUMIFS(BD!$P$3:$P$5001,BD!$A$3:$A$5001,AE$3,BD!$B$3:$B$5001,$A$405)))</f>
        <v/>
      </c>
      <c r="AF418" s="254" t="str">
        <f>IF(AF$3="","",IF(COUNTIFS(BD!$A$3:$A$5001,AF$3,BD!$B$3:$B$5001,$A$405,BD!$P$3:$P$5001,"&lt;&gt;")=0,"",SUMIFS(BD!$P$3:$P$5001,BD!$A$3:$A$5001,AF$3,BD!$B$3:$B$5001,$A$405)))</f>
        <v/>
      </c>
      <c r="AG418" s="254" t="str">
        <f>IF(AG$3="","",IF(COUNTIFS(BD!$A$3:$A$5001,AG$3,BD!$B$3:$B$5001,$A$405,BD!$P$3:$P$5001,"&lt;&gt;")=0,"",SUMIFS(BD!$P$3:$P$5001,BD!$A$3:$A$5001,AG$3,BD!$B$3:$B$5001,$A$405)))</f>
        <v/>
      </c>
      <c r="AH418" s="254" t="str">
        <f>IF(AH$3="","",IF(COUNTIFS(BD!$A$3:$A$5001,AH$3,BD!$B$3:$B$5001,$A$405,BD!$P$3:$P$5001,"&lt;&gt;")=0,"",SUMIFS(BD!$P$3:$P$5001,BD!$A$3:$A$5001,AH$3,BD!$B$3:$B$5001,$A$405)))</f>
        <v/>
      </c>
      <c r="AI418" s="254" t="str">
        <f>IF(AI$3="","",IF(COUNTIFS(BD!$A$3:$A$5001,AI$3,BD!$B$3:$B$5001,$A$405,BD!$P$3:$P$5001,"&lt;&gt;")=0,"",SUMIFS(BD!$P$3:$P$5001,BD!$A$3:$A$5001,AI$3,BD!$B$3:$B$5001,$A$405)))</f>
        <v/>
      </c>
      <c r="AJ418" s="255" t="str">
        <f>IF(AJ$3="","",IF(COUNTIFS(BD!$A$3:$A$5001,AJ$3,BD!$B$3:$B$5001,$A$405,BD!$P$3:$P$5001,"&lt;&gt;")=0,"",SUMIFS(BD!$P$3:$P$5001,BD!$A$3:$A$5001,AJ$3,BD!$B$3:$B$5001,$A$405)))</f>
        <v/>
      </c>
      <c r="AK418" s="256" t="str">
        <f>IF(COUNT(F418:AJ418)=0,"",SUM(F418:AJ418))</f>
        <v/>
      </c>
    </row>
    <row r="419" ht="15.75" customHeight="1" hidden="1">
      <c r="A419" s="244"/>
      <c r="B419" s="261"/>
      <c r="C419" s="250" t="inlineStr">
        <is>
          <t xml:space="preserve">Caixas Expedidas</t>
        </is>
      </c>
      <c r="D419" s="251" t="str">
        <f>IFERROR(1/(1/INDEX(BD!$AJ$37:$BD$37,MATCH($A$405,BD!$AJ$22:$BD$22,0))),"")</f>
        <v/>
      </c>
      <c r="E419" s="252"/>
      <c r="F419" s="253" t="str">
        <f>IF(F$3="","",IF(COUNTIFS(BD!$A$3:$A$5001,F$3,BD!$B$3:$B$5001,$A$405,BD!$Q$3:$Q$5001,"&lt;&gt;")=0,"",SUMIFS(BD!$Q$3:$Q$5001,BD!$A$3:$A$5001,F$3,BD!$B$3:$B$5001,$A$405)))</f>
        <v/>
      </c>
      <c r="G419" s="254" t="str">
        <f>IF(G$3="","",IF(COUNTIFS(BD!$A$3:$A$5001,G$3,BD!$B$3:$B$5001,$A$405,BD!$Q$3:$Q$5001,"&lt;&gt;")=0,"",SUMIFS(BD!$Q$3:$Q$5001,BD!$A$3:$A$5001,G$3,BD!$B$3:$B$5001,$A$405)))</f>
        <v/>
      </c>
      <c r="H419" s="254" t="str">
        <f>IF(H$3="","",IF(COUNTIFS(BD!$A$3:$A$5001,H$3,BD!$B$3:$B$5001,$A$405,BD!$Q$3:$Q$5001,"&lt;&gt;")=0,"",SUMIFS(BD!$Q$3:$Q$5001,BD!$A$3:$A$5001,H$3,BD!$B$3:$B$5001,$A$405)))</f>
        <v/>
      </c>
      <c r="I419" s="254" t="str">
        <f>IF(I$3="","",IF(COUNTIFS(BD!$A$3:$A$5001,I$3,BD!$B$3:$B$5001,$A$405,BD!$Q$3:$Q$5001,"&lt;&gt;")=0,"",SUMIFS(BD!$Q$3:$Q$5001,BD!$A$3:$A$5001,I$3,BD!$B$3:$B$5001,$A$405)))</f>
        <v/>
      </c>
      <c r="J419" s="254" t="str">
        <f>IF(J$3="","",IF(COUNTIFS(BD!$A$3:$A$5001,J$3,BD!$B$3:$B$5001,$A$405,BD!$Q$3:$Q$5001,"&lt;&gt;")=0,"",SUMIFS(BD!$Q$3:$Q$5001,BD!$A$3:$A$5001,J$3,BD!$B$3:$B$5001,$A$405)))</f>
        <v/>
      </c>
      <c r="K419" s="254" t="str">
        <f>IF(K$3="","",IF(COUNTIFS(BD!$A$3:$A$5001,K$3,BD!$B$3:$B$5001,$A$405,BD!$Q$3:$Q$5001,"&lt;&gt;")=0,"",SUMIFS(BD!$Q$3:$Q$5001,BD!$A$3:$A$5001,K$3,BD!$B$3:$B$5001,$A$405)))</f>
        <v/>
      </c>
      <c r="L419" s="254" t="str">
        <f>IF(L$3="","",IF(COUNTIFS(BD!$A$3:$A$5001,L$3,BD!$B$3:$B$5001,$A$405,BD!$Q$3:$Q$5001,"&lt;&gt;")=0,"",SUMIFS(BD!$Q$3:$Q$5001,BD!$A$3:$A$5001,L$3,BD!$B$3:$B$5001,$A$405)))</f>
        <v/>
      </c>
      <c r="M419" s="254" t="str">
        <f>IF(M$3="","",IF(COUNTIFS(BD!$A$3:$A$5001,M$3,BD!$B$3:$B$5001,$A$405,BD!$Q$3:$Q$5001,"&lt;&gt;")=0,"",SUMIFS(BD!$Q$3:$Q$5001,BD!$A$3:$A$5001,M$3,BD!$B$3:$B$5001,$A$405)))</f>
        <v/>
      </c>
      <c r="N419" s="254" t="str">
        <f>IF(N$3="","",IF(COUNTIFS(BD!$A$3:$A$5001,N$3,BD!$B$3:$B$5001,$A$405,BD!$Q$3:$Q$5001,"&lt;&gt;")=0,"",SUMIFS(BD!$Q$3:$Q$5001,BD!$A$3:$A$5001,N$3,BD!$B$3:$B$5001,$A$405)))</f>
        <v/>
      </c>
      <c r="O419" s="254" t="str">
        <f>IF(O$3="","",IF(COUNTIFS(BD!$A$3:$A$5001,O$3,BD!$B$3:$B$5001,$A$405,BD!$Q$3:$Q$5001,"&lt;&gt;")=0,"",SUMIFS(BD!$Q$3:$Q$5001,BD!$A$3:$A$5001,O$3,BD!$B$3:$B$5001,$A$405)))</f>
        <v/>
      </c>
      <c r="P419" s="254" t="str">
        <f>IF(P$3="","",IF(COUNTIFS(BD!$A$3:$A$5001,P$3,BD!$B$3:$B$5001,$A$405,BD!$Q$3:$Q$5001,"&lt;&gt;")=0,"",SUMIFS(BD!$Q$3:$Q$5001,BD!$A$3:$A$5001,P$3,BD!$B$3:$B$5001,$A$405)))</f>
        <v/>
      </c>
      <c r="Q419" s="254" t="str">
        <f>IF(Q$3="","",IF(COUNTIFS(BD!$A$3:$A$5001,Q$3,BD!$B$3:$B$5001,$A$405,BD!$Q$3:$Q$5001,"&lt;&gt;")=0,"",SUMIFS(BD!$Q$3:$Q$5001,BD!$A$3:$A$5001,Q$3,BD!$B$3:$B$5001,$A$405)))</f>
        <v/>
      </c>
      <c r="R419" s="254" t="str">
        <f>IF(R$3="","",IF(COUNTIFS(BD!$A$3:$A$5001,R$3,BD!$B$3:$B$5001,$A$405,BD!$Q$3:$Q$5001,"&lt;&gt;")=0,"",SUMIFS(BD!$Q$3:$Q$5001,BD!$A$3:$A$5001,R$3,BD!$B$3:$B$5001,$A$405)))</f>
        <v/>
      </c>
      <c r="S419" s="254" t="str">
        <f>IF(S$3="","",IF(COUNTIFS(BD!$A$3:$A$5001,S$3,BD!$B$3:$B$5001,$A$405,BD!$Q$3:$Q$5001,"&lt;&gt;")=0,"",SUMIFS(BD!$Q$3:$Q$5001,BD!$A$3:$A$5001,S$3,BD!$B$3:$B$5001,$A$405)))</f>
        <v/>
      </c>
      <c r="T419" s="254" t="str">
        <f>IF(T$3="","",IF(COUNTIFS(BD!$A$3:$A$5001,T$3,BD!$B$3:$B$5001,$A$405,BD!$Q$3:$Q$5001,"&lt;&gt;")=0,"",SUMIFS(BD!$Q$3:$Q$5001,BD!$A$3:$A$5001,T$3,BD!$B$3:$B$5001,$A$405)))</f>
        <v/>
      </c>
      <c r="U419" s="254" t="str">
        <f>IF(U$3="","",IF(COUNTIFS(BD!$A$3:$A$5001,U$3,BD!$B$3:$B$5001,$A$405,BD!$Q$3:$Q$5001,"&lt;&gt;")=0,"",SUMIFS(BD!$Q$3:$Q$5001,BD!$A$3:$A$5001,U$3,BD!$B$3:$B$5001,$A$405)))</f>
        <v/>
      </c>
      <c r="V419" s="254" t="str">
        <f>IF(V$3="","",IF(COUNTIFS(BD!$A$3:$A$5001,V$3,BD!$B$3:$B$5001,$A$405,BD!$Q$3:$Q$5001,"&lt;&gt;")=0,"",SUMIFS(BD!$Q$3:$Q$5001,BD!$A$3:$A$5001,V$3,BD!$B$3:$B$5001,$A$405)))</f>
        <v/>
      </c>
      <c r="W419" s="254" t="str">
        <f>IF(W$3="","",IF(COUNTIFS(BD!$A$3:$A$5001,W$3,BD!$B$3:$B$5001,$A$405,BD!$Q$3:$Q$5001,"&lt;&gt;")=0,"",SUMIFS(BD!$Q$3:$Q$5001,BD!$A$3:$A$5001,W$3,BD!$B$3:$B$5001,$A$405)))</f>
        <v/>
      </c>
      <c r="X419" s="254" t="str">
        <f>IF(X$3="","",IF(COUNTIFS(BD!$A$3:$A$5001,X$3,BD!$B$3:$B$5001,$A$405,BD!$Q$3:$Q$5001,"&lt;&gt;")=0,"",SUMIFS(BD!$Q$3:$Q$5001,BD!$A$3:$A$5001,X$3,BD!$B$3:$B$5001,$A$405)))</f>
        <v/>
      </c>
      <c r="Y419" s="254" t="str">
        <f>IF(Y$3="","",IF(COUNTIFS(BD!$A$3:$A$5001,Y$3,BD!$B$3:$B$5001,$A$405,BD!$Q$3:$Q$5001,"&lt;&gt;")=0,"",SUMIFS(BD!$Q$3:$Q$5001,BD!$A$3:$A$5001,Y$3,BD!$B$3:$B$5001,$A$405)))</f>
        <v/>
      </c>
      <c r="Z419" s="254" t="str">
        <f>IF(Z$3="","",IF(COUNTIFS(BD!$A$3:$A$5001,Z$3,BD!$B$3:$B$5001,$A$405,BD!$Q$3:$Q$5001,"&lt;&gt;")=0,"",SUMIFS(BD!$Q$3:$Q$5001,BD!$A$3:$A$5001,Z$3,BD!$B$3:$B$5001,$A$405)))</f>
        <v/>
      </c>
      <c r="AA419" s="254" t="str">
        <f>IF(AA$3="","",IF(COUNTIFS(BD!$A$3:$A$5001,AA$3,BD!$B$3:$B$5001,$A$405,BD!$Q$3:$Q$5001,"&lt;&gt;")=0,"",SUMIFS(BD!$Q$3:$Q$5001,BD!$A$3:$A$5001,AA$3,BD!$B$3:$B$5001,$A$405)))</f>
        <v/>
      </c>
      <c r="AB419" s="254" t="str">
        <f>IF(AB$3="","",IF(COUNTIFS(BD!$A$3:$A$5001,AB$3,BD!$B$3:$B$5001,$A$405,BD!$Q$3:$Q$5001,"&lt;&gt;")=0,"",SUMIFS(BD!$Q$3:$Q$5001,BD!$A$3:$A$5001,AB$3,BD!$B$3:$B$5001,$A$405)))</f>
        <v/>
      </c>
      <c r="AC419" s="254" t="str">
        <f>IF(AC$3="","",IF(COUNTIFS(BD!$A$3:$A$5001,AC$3,BD!$B$3:$B$5001,$A$405,BD!$Q$3:$Q$5001,"&lt;&gt;")=0,"",SUMIFS(BD!$Q$3:$Q$5001,BD!$A$3:$A$5001,AC$3,BD!$B$3:$B$5001,$A$405)))</f>
        <v/>
      </c>
      <c r="AD419" s="254" t="str">
        <f>IF(AD$3="","",IF(COUNTIFS(BD!$A$3:$A$5001,AD$3,BD!$B$3:$B$5001,$A$405,BD!$Q$3:$Q$5001,"&lt;&gt;")=0,"",SUMIFS(BD!$Q$3:$Q$5001,BD!$A$3:$A$5001,AD$3,BD!$B$3:$B$5001,$A$405)))</f>
        <v/>
      </c>
      <c r="AE419" s="254" t="str">
        <f>IF(AE$3="","",IF(COUNTIFS(BD!$A$3:$A$5001,AE$3,BD!$B$3:$B$5001,$A$405,BD!$Q$3:$Q$5001,"&lt;&gt;")=0,"",SUMIFS(BD!$Q$3:$Q$5001,BD!$A$3:$A$5001,AE$3,BD!$B$3:$B$5001,$A$405)))</f>
        <v/>
      </c>
      <c r="AF419" s="254" t="str">
        <f>IF(AF$3="","",IF(COUNTIFS(BD!$A$3:$A$5001,AF$3,BD!$B$3:$B$5001,$A$405,BD!$Q$3:$Q$5001,"&lt;&gt;")=0,"",SUMIFS(BD!$Q$3:$Q$5001,BD!$A$3:$A$5001,AF$3,BD!$B$3:$B$5001,$A$405)))</f>
        <v/>
      </c>
      <c r="AG419" s="254" t="str">
        <f>IF(AG$3="","",IF(COUNTIFS(BD!$A$3:$A$5001,AG$3,BD!$B$3:$B$5001,$A$405,BD!$Q$3:$Q$5001,"&lt;&gt;")=0,"",SUMIFS(BD!$Q$3:$Q$5001,BD!$A$3:$A$5001,AG$3,BD!$B$3:$B$5001,$A$405)))</f>
        <v/>
      </c>
      <c r="AH419" s="254" t="str">
        <f>IF(AH$3="","",IF(COUNTIFS(BD!$A$3:$A$5001,AH$3,BD!$B$3:$B$5001,$A$405,BD!$Q$3:$Q$5001,"&lt;&gt;")=0,"",SUMIFS(BD!$Q$3:$Q$5001,BD!$A$3:$A$5001,AH$3,BD!$B$3:$B$5001,$A$405)))</f>
        <v/>
      </c>
      <c r="AI419" s="254" t="str">
        <f>IF(AI$3="","",IF(COUNTIFS(BD!$A$3:$A$5001,AI$3,BD!$B$3:$B$5001,$A$405,BD!$Q$3:$Q$5001,"&lt;&gt;")=0,"",SUMIFS(BD!$Q$3:$Q$5001,BD!$A$3:$A$5001,AI$3,BD!$B$3:$B$5001,$A$405)))</f>
        <v/>
      </c>
      <c r="AJ419" s="255" t="str">
        <f>IF(AJ$3="","",IF(COUNTIFS(BD!$A$3:$A$5001,AJ$3,BD!$B$3:$B$5001,$A$405,BD!$Q$3:$Q$5001,"&lt;&gt;")=0,"",SUMIFS(BD!$Q$3:$Q$5001,BD!$A$3:$A$5001,AJ$3,BD!$B$3:$B$5001,$A$405)))</f>
        <v/>
      </c>
      <c r="AK419" s="256" t="str">
        <f>IF(COUNT(F419:AJ419)=0,"",SUM(F419:AJ419))</f>
        <v/>
      </c>
    </row>
    <row r="420" ht="15.75" customHeight="1" hidden="1">
      <c r="A420" s="244"/>
      <c r="B420" s="261"/>
      <c r="C420" s="250" t="inlineStr">
        <is>
          <t xml:space="preserve">Pallets Movimentados</t>
        </is>
      </c>
      <c r="D420" s="251" t="str">
        <f>IFERROR(1/(1/INDEX(BD!$AJ$38:$BD$38,MATCH($A$405,BD!$AJ$22:$BD$22,0))),"")</f>
        <v/>
      </c>
      <c r="E420" s="252"/>
      <c r="F420" s="253" t="str">
        <f>IF(F$3="","",IF(COUNTIFS(BD!$A$3:$A$5001,F$3,BD!$B$3:$B$5001,$A$405,BD!$R$3:$R$5001,"&lt;&gt;")=0,"",SUMIFS(BD!$R$3:$R$5001,BD!$A$3:$A$5001,F$3,BD!$B$3:$B$5001,$A$405)))</f>
        <v/>
      </c>
      <c r="G420" s="254" t="str">
        <f>IF(G$3="","",IF(COUNTIFS(BD!$A$3:$A$5001,G$3,BD!$B$3:$B$5001,$A$405,BD!$R$3:$R$5001,"&lt;&gt;")=0,"",SUMIFS(BD!$R$3:$R$5001,BD!$A$3:$A$5001,G$3,BD!$B$3:$B$5001,$A$405)))</f>
        <v/>
      </c>
      <c r="H420" s="254" t="str">
        <f>IF(H$3="","",IF(COUNTIFS(BD!$A$3:$A$5001,H$3,BD!$B$3:$B$5001,$A$405,BD!$R$3:$R$5001,"&lt;&gt;")=0,"",SUMIFS(BD!$R$3:$R$5001,BD!$A$3:$A$5001,H$3,BD!$B$3:$B$5001,$A$405)))</f>
        <v/>
      </c>
      <c r="I420" s="254" t="str">
        <f>IF(I$3="","",IF(COUNTIFS(BD!$A$3:$A$5001,I$3,BD!$B$3:$B$5001,$A$405,BD!$R$3:$R$5001,"&lt;&gt;")=0,"",SUMIFS(BD!$R$3:$R$5001,BD!$A$3:$A$5001,I$3,BD!$B$3:$B$5001,$A$405)))</f>
        <v/>
      </c>
      <c r="J420" s="254" t="str">
        <f>IF(J$3="","",IF(COUNTIFS(BD!$A$3:$A$5001,J$3,BD!$B$3:$B$5001,$A$405,BD!$R$3:$R$5001,"&lt;&gt;")=0,"",SUMIFS(BD!$R$3:$R$5001,BD!$A$3:$A$5001,J$3,BD!$B$3:$B$5001,$A$405)))</f>
        <v/>
      </c>
      <c r="K420" s="254" t="str">
        <f>IF(K$3="","",IF(COUNTIFS(BD!$A$3:$A$5001,K$3,BD!$B$3:$B$5001,$A$405,BD!$R$3:$R$5001,"&lt;&gt;")=0,"",SUMIFS(BD!$R$3:$R$5001,BD!$A$3:$A$5001,K$3,BD!$B$3:$B$5001,$A$405)))</f>
        <v/>
      </c>
      <c r="L420" s="254" t="str">
        <f>IF(L$3="","",IF(COUNTIFS(BD!$A$3:$A$5001,L$3,BD!$B$3:$B$5001,$A$405,BD!$R$3:$R$5001,"&lt;&gt;")=0,"",SUMIFS(BD!$R$3:$R$5001,BD!$A$3:$A$5001,L$3,BD!$B$3:$B$5001,$A$405)))</f>
        <v/>
      </c>
      <c r="M420" s="254" t="str">
        <f>IF(M$3="","",IF(COUNTIFS(BD!$A$3:$A$5001,M$3,BD!$B$3:$B$5001,$A$405,BD!$R$3:$R$5001,"&lt;&gt;")=0,"",SUMIFS(BD!$R$3:$R$5001,BD!$A$3:$A$5001,M$3,BD!$B$3:$B$5001,$A$405)))</f>
        <v/>
      </c>
      <c r="N420" s="254" t="str">
        <f>IF(N$3="","",IF(COUNTIFS(BD!$A$3:$A$5001,N$3,BD!$B$3:$B$5001,$A$405,BD!$R$3:$R$5001,"&lt;&gt;")=0,"",SUMIFS(BD!$R$3:$R$5001,BD!$A$3:$A$5001,N$3,BD!$B$3:$B$5001,$A$405)))</f>
        <v/>
      </c>
      <c r="O420" s="254" t="str">
        <f>IF(O$3="","",IF(COUNTIFS(BD!$A$3:$A$5001,O$3,BD!$B$3:$B$5001,$A$405,BD!$R$3:$R$5001,"&lt;&gt;")=0,"",SUMIFS(BD!$R$3:$R$5001,BD!$A$3:$A$5001,O$3,BD!$B$3:$B$5001,$A$405)))</f>
        <v/>
      </c>
      <c r="P420" s="254" t="str">
        <f>IF(P$3="","",IF(COUNTIFS(BD!$A$3:$A$5001,P$3,BD!$B$3:$B$5001,$A$405,BD!$R$3:$R$5001,"&lt;&gt;")=0,"",SUMIFS(BD!$R$3:$R$5001,BD!$A$3:$A$5001,P$3,BD!$B$3:$B$5001,$A$405)))</f>
        <v/>
      </c>
      <c r="Q420" s="254" t="str">
        <f>IF(Q$3="","",IF(COUNTIFS(BD!$A$3:$A$5001,Q$3,BD!$B$3:$B$5001,$A$405,BD!$R$3:$R$5001,"&lt;&gt;")=0,"",SUMIFS(BD!$R$3:$R$5001,BD!$A$3:$A$5001,Q$3,BD!$B$3:$B$5001,$A$405)))</f>
        <v/>
      </c>
      <c r="R420" s="254" t="str">
        <f>IF(R$3="","",IF(COUNTIFS(BD!$A$3:$A$5001,R$3,BD!$B$3:$B$5001,$A$405,BD!$R$3:$R$5001,"&lt;&gt;")=0,"",SUMIFS(BD!$R$3:$R$5001,BD!$A$3:$A$5001,R$3,BD!$B$3:$B$5001,$A$405)))</f>
        <v/>
      </c>
      <c r="S420" s="254" t="str">
        <f>IF(S$3="","",IF(COUNTIFS(BD!$A$3:$A$5001,S$3,BD!$B$3:$B$5001,$A$405,BD!$R$3:$R$5001,"&lt;&gt;")=0,"",SUMIFS(BD!$R$3:$R$5001,BD!$A$3:$A$5001,S$3,BD!$B$3:$B$5001,$A$405)))</f>
        <v/>
      </c>
      <c r="T420" s="254" t="str">
        <f>IF(T$3="","",IF(COUNTIFS(BD!$A$3:$A$5001,T$3,BD!$B$3:$B$5001,$A$405,BD!$R$3:$R$5001,"&lt;&gt;")=0,"",SUMIFS(BD!$R$3:$R$5001,BD!$A$3:$A$5001,T$3,BD!$B$3:$B$5001,$A$405)))</f>
        <v/>
      </c>
      <c r="U420" s="254" t="str">
        <f>IF(U$3="","",IF(COUNTIFS(BD!$A$3:$A$5001,U$3,BD!$B$3:$B$5001,$A$405,BD!$R$3:$R$5001,"&lt;&gt;")=0,"",SUMIFS(BD!$R$3:$R$5001,BD!$A$3:$A$5001,U$3,BD!$B$3:$B$5001,$A$405)))</f>
        <v/>
      </c>
      <c r="V420" s="254" t="str">
        <f>IF(V$3="","",IF(COUNTIFS(BD!$A$3:$A$5001,V$3,BD!$B$3:$B$5001,$A$405,BD!$R$3:$R$5001,"&lt;&gt;")=0,"",SUMIFS(BD!$R$3:$R$5001,BD!$A$3:$A$5001,V$3,BD!$B$3:$B$5001,$A$405)))</f>
        <v/>
      </c>
      <c r="W420" s="254" t="str">
        <f>IF(W$3="","",IF(COUNTIFS(BD!$A$3:$A$5001,W$3,BD!$B$3:$B$5001,$A$405,BD!$R$3:$R$5001,"&lt;&gt;")=0,"",SUMIFS(BD!$R$3:$R$5001,BD!$A$3:$A$5001,W$3,BD!$B$3:$B$5001,$A$405)))</f>
        <v/>
      </c>
      <c r="X420" s="254" t="str">
        <f>IF(X$3="","",IF(COUNTIFS(BD!$A$3:$A$5001,X$3,BD!$B$3:$B$5001,$A$405,BD!$R$3:$R$5001,"&lt;&gt;")=0,"",SUMIFS(BD!$R$3:$R$5001,BD!$A$3:$A$5001,X$3,BD!$B$3:$B$5001,$A$405)))</f>
        <v/>
      </c>
      <c r="Y420" s="254" t="str">
        <f>IF(Y$3="","",IF(COUNTIFS(BD!$A$3:$A$5001,Y$3,BD!$B$3:$B$5001,$A$405,BD!$R$3:$R$5001,"&lt;&gt;")=0,"",SUMIFS(BD!$R$3:$R$5001,BD!$A$3:$A$5001,Y$3,BD!$B$3:$B$5001,$A$405)))</f>
        <v/>
      </c>
      <c r="Z420" s="254" t="str">
        <f>IF(Z$3="","",IF(COUNTIFS(BD!$A$3:$A$5001,Z$3,BD!$B$3:$B$5001,$A$405,BD!$R$3:$R$5001,"&lt;&gt;")=0,"",SUMIFS(BD!$R$3:$R$5001,BD!$A$3:$A$5001,Z$3,BD!$B$3:$B$5001,$A$405)))</f>
        <v/>
      </c>
      <c r="AA420" s="254" t="str">
        <f>IF(AA$3="","",IF(COUNTIFS(BD!$A$3:$A$5001,AA$3,BD!$B$3:$B$5001,$A$405,BD!$R$3:$R$5001,"&lt;&gt;")=0,"",SUMIFS(BD!$R$3:$R$5001,BD!$A$3:$A$5001,AA$3,BD!$B$3:$B$5001,$A$405)))</f>
        <v/>
      </c>
      <c r="AB420" s="254" t="str">
        <f>IF(AB$3="","",IF(COUNTIFS(BD!$A$3:$A$5001,AB$3,BD!$B$3:$B$5001,$A$405,BD!$R$3:$R$5001,"&lt;&gt;")=0,"",SUMIFS(BD!$R$3:$R$5001,BD!$A$3:$A$5001,AB$3,BD!$B$3:$B$5001,$A$405)))</f>
        <v/>
      </c>
      <c r="AC420" s="254" t="str">
        <f>IF(AC$3="","",IF(COUNTIFS(BD!$A$3:$A$5001,AC$3,BD!$B$3:$B$5001,$A$405,BD!$R$3:$R$5001,"&lt;&gt;")=0,"",SUMIFS(BD!$R$3:$R$5001,BD!$A$3:$A$5001,AC$3,BD!$B$3:$B$5001,$A$405)))</f>
        <v/>
      </c>
      <c r="AD420" s="254" t="str">
        <f>IF(AD$3="","",IF(COUNTIFS(BD!$A$3:$A$5001,AD$3,BD!$B$3:$B$5001,$A$405,BD!$R$3:$R$5001,"&lt;&gt;")=0,"",SUMIFS(BD!$R$3:$R$5001,BD!$A$3:$A$5001,AD$3,BD!$B$3:$B$5001,$A$405)))</f>
        <v/>
      </c>
      <c r="AE420" s="254" t="str">
        <f>IF(AE$3="","",IF(COUNTIFS(BD!$A$3:$A$5001,AE$3,BD!$B$3:$B$5001,$A$405,BD!$R$3:$R$5001,"&lt;&gt;")=0,"",SUMIFS(BD!$R$3:$R$5001,BD!$A$3:$A$5001,AE$3,BD!$B$3:$B$5001,$A$405)))</f>
        <v/>
      </c>
      <c r="AF420" s="254" t="str">
        <f>IF(AF$3="","",IF(COUNTIFS(BD!$A$3:$A$5001,AF$3,BD!$B$3:$B$5001,$A$405,BD!$R$3:$R$5001,"&lt;&gt;")=0,"",SUMIFS(BD!$R$3:$R$5001,BD!$A$3:$A$5001,AF$3,BD!$B$3:$B$5001,$A$405)))</f>
        <v/>
      </c>
      <c r="AG420" s="254" t="str">
        <f>IF(AG$3="","",IF(COUNTIFS(BD!$A$3:$A$5001,AG$3,BD!$B$3:$B$5001,$A$405,BD!$R$3:$R$5001,"&lt;&gt;")=0,"",SUMIFS(BD!$R$3:$R$5001,BD!$A$3:$A$5001,AG$3,BD!$B$3:$B$5001,$A$405)))</f>
        <v/>
      </c>
      <c r="AH420" s="254" t="str">
        <f>IF(AH$3="","",IF(COUNTIFS(BD!$A$3:$A$5001,AH$3,BD!$B$3:$B$5001,$A$405,BD!$R$3:$R$5001,"&lt;&gt;")=0,"",SUMIFS(BD!$R$3:$R$5001,BD!$A$3:$A$5001,AH$3,BD!$B$3:$B$5001,$A$405)))</f>
        <v/>
      </c>
      <c r="AI420" s="254" t="str">
        <f>IF(AI$3="","",IF(COUNTIFS(BD!$A$3:$A$5001,AI$3,BD!$B$3:$B$5001,$A$405,BD!$R$3:$R$5001,"&lt;&gt;")=0,"",SUMIFS(BD!$R$3:$R$5001,BD!$A$3:$A$5001,AI$3,BD!$B$3:$B$5001,$A$405)))</f>
        <v/>
      </c>
      <c r="AJ420" s="255" t="str">
        <f>IF(AJ$3="","",IF(COUNTIFS(BD!$A$3:$A$5001,AJ$3,BD!$B$3:$B$5001,$A$405,BD!$R$3:$R$5001,"&lt;&gt;")=0,"",SUMIFS(BD!$R$3:$R$5001,BD!$A$3:$A$5001,AJ$3,BD!$B$3:$B$5001,$A$405)))</f>
        <v/>
      </c>
      <c r="AK420" s="256" t="str">
        <f>IF(COUNT(F420:AJ420)=0,"",SUM(F420:AJ420))</f>
        <v/>
      </c>
    </row>
    <row r="421" ht="15.75" customHeight="1" hidden="1">
      <c r="A421" s="244"/>
      <c r="B421" s="235"/>
      <c r="C421" s="175" t="inlineStr">
        <is>
          <t xml:space="preserve">Toneladas Movimentadas</t>
        </is>
      </c>
      <c r="D421" s="176" t="str">
        <f>IFERROR(1/(1/INDEX(BD!$AJ$39:$BD$39,MATCH($A$405,BD!$AJ$22:$BD$22,0))),"")</f>
        <v/>
      </c>
      <c r="E421" s="177"/>
      <c r="F421" s="257" t="str">
        <f>IF(F$3="","",IF(COUNTIFS(BD!$A$3:$A$5001,F$3,BD!$B$3:$B$5001,$A$405,BD!$S$3:$S$5001,"&lt;&gt;")=0,"",SUMIFS(BD!$S$3:$S$5001,BD!$A$3:$A$5001,F$3,BD!$B$3:$B$5001,$A$405)))</f>
        <v/>
      </c>
      <c r="G421" s="258" t="str">
        <f>IF(G$3="","",IF(COUNTIFS(BD!$A$3:$A$5001,G$3,BD!$B$3:$B$5001,$A$405,BD!$S$3:$S$5001,"&lt;&gt;")=0,"",SUMIFS(BD!$S$3:$S$5001,BD!$A$3:$A$5001,G$3,BD!$B$3:$B$5001,$A$405)))</f>
        <v/>
      </c>
      <c r="H421" s="258" t="str">
        <f>IF(H$3="","",IF(COUNTIFS(BD!$A$3:$A$5001,H$3,BD!$B$3:$B$5001,$A$405,BD!$S$3:$S$5001,"&lt;&gt;")=0,"",SUMIFS(BD!$S$3:$S$5001,BD!$A$3:$A$5001,H$3,BD!$B$3:$B$5001,$A$405)))</f>
        <v/>
      </c>
      <c r="I421" s="258" t="str">
        <f>IF(I$3="","",IF(COUNTIFS(BD!$A$3:$A$5001,I$3,BD!$B$3:$B$5001,$A$405,BD!$S$3:$S$5001,"&lt;&gt;")=0,"",SUMIFS(BD!$S$3:$S$5001,BD!$A$3:$A$5001,I$3,BD!$B$3:$B$5001,$A$405)))</f>
        <v/>
      </c>
      <c r="J421" s="258" t="str">
        <f>IF(J$3="","",IF(COUNTIFS(BD!$A$3:$A$5001,J$3,BD!$B$3:$B$5001,$A$405,BD!$S$3:$S$5001,"&lt;&gt;")=0,"",SUMIFS(BD!$S$3:$S$5001,BD!$A$3:$A$5001,J$3,BD!$B$3:$B$5001,$A$405)))</f>
        <v/>
      </c>
      <c r="K421" s="258" t="str">
        <f>IF(K$3="","",IF(COUNTIFS(BD!$A$3:$A$5001,K$3,BD!$B$3:$B$5001,$A$405,BD!$S$3:$S$5001,"&lt;&gt;")=0,"",SUMIFS(BD!$S$3:$S$5001,BD!$A$3:$A$5001,K$3,BD!$B$3:$B$5001,$A$405)))</f>
        <v/>
      </c>
      <c r="L421" s="258" t="str">
        <f>IF(L$3="","",IF(COUNTIFS(BD!$A$3:$A$5001,L$3,BD!$B$3:$B$5001,$A$405,BD!$S$3:$S$5001,"&lt;&gt;")=0,"",SUMIFS(BD!$S$3:$S$5001,BD!$A$3:$A$5001,L$3,BD!$B$3:$B$5001,$A$405)))</f>
        <v/>
      </c>
      <c r="M421" s="258" t="str">
        <f>IF(M$3="","",IF(COUNTIFS(BD!$A$3:$A$5001,M$3,BD!$B$3:$B$5001,$A$405,BD!$S$3:$S$5001,"&lt;&gt;")=0,"",SUMIFS(BD!$S$3:$S$5001,BD!$A$3:$A$5001,M$3,BD!$B$3:$B$5001,$A$405)))</f>
        <v/>
      </c>
      <c r="N421" s="258" t="str">
        <f>IF(N$3="","",IF(COUNTIFS(BD!$A$3:$A$5001,N$3,BD!$B$3:$B$5001,$A$405,BD!$S$3:$S$5001,"&lt;&gt;")=0,"",SUMIFS(BD!$S$3:$S$5001,BD!$A$3:$A$5001,N$3,BD!$B$3:$B$5001,$A$405)))</f>
        <v/>
      </c>
      <c r="O421" s="258" t="str">
        <f>IF(O$3="","",IF(COUNTIFS(BD!$A$3:$A$5001,O$3,BD!$B$3:$B$5001,$A$405,BD!$S$3:$S$5001,"&lt;&gt;")=0,"",SUMIFS(BD!$S$3:$S$5001,BD!$A$3:$A$5001,O$3,BD!$B$3:$B$5001,$A$405)))</f>
        <v/>
      </c>
      <c r="P421" s="258" t="str">
        <f>IF(P$3="","",IF(COUNTIFS(BD!$A$3:$A$5001,P$3,BD!$B$3:$B$5001,$A$405,BD!$S$3:$S$5001,"&lt;&gt;")=0,"",SUMIFS(BD!$S$3:$S$5001,BD!$A$3:$A$5001,P$3,BD!$B$3:$B$5001,$A$405)))</f>
        <v/>
      </c>
      <c r="Q421" s="258" t="str">
        <f>IF(Q$3="","",IF(COUNTIFS(BD!$A$3:$A$5001,Q$3,BD!$B$3:$B$5001,$A$405,BD!$S$3:$S$5001,"&lt;&gt;")=0,"",SUMIFS(BD!$S$3:$S$5001,BD!$A$3:$A$5001,Q$3,BD!$B$3:$B$5001,$A$405)))</f>
        <v/>
      </c>
      <c r="R421" s="258" t="str">
        <f>IF(R$3="","",IF(COUNTIFS(BD!$A$3:$A$5001,R$3,BD!$B$3:$B$5001,$A$405,BD!$S$3:$S$5001,"&lt;&gt;")=0,"",SUMIFS(BD!$S$3:$S$5001,BD!$A$3:$A$5001,R$3,BD!$B$3:$B$5001,$A$405)))</f>
        <v/>
      </c>
      <c r="S421" s="258" t="str">
        <f>IF(S$3="","",IF(COUNTIFS(BD!$A$3:$A$5001,S$3,BD!$B$3:$B$5001,$A$405,BD!$S$3:$S$5001,"&lt;&gt;")=0,"",SUMIFS(BD!$S$3:$S$5001,BD!$A$3:$A$5001,S$3,BD!$B$3:$B$5001,$A$405)))</f>
        <v/>
      </c>
      <c r="T421" s="258" t="str">
        <f>IF(T$3="","",IF(COUNTIFS(BD!$A$3:$A$5001,T$3,BD!$B$3:$B$5001,$A$405,BD!$S$3:$S$5001,"&lt;&gt;")=0,"",SUMIFS(BD!$S$3:$S$5001,BD!$A$3:$A$5001,T$3,BD!$B$3:$B$5001,$A$405)))</f>
        <v/>
      </c>
      <c r="U421" s="258" t="str">
        <f>IF(U$3="","",IF(COUNTIFS(BD!$A$3:$A$5001,U$3,BD!$B$3:$B$5001,$A$405,BD!$S$3:$S$5001,"&lt;&gt;")=0,"",SUMIFS(BD!$S$3:$S$5001,BD!$A$3:$A$5001,U$3,BD!$B$3:$B$5001,$A$405)))</f>
        <v/>
      </c>
      <c r="V421" s="258" t="str">
        <f>IF(V$3="","",IF(COUNTIFS(BD!$A$3:$A$5001,V$3,BD!$B$3:$B$5001,$A$405,BD!$S$3:$S$5001,"&lt;&gt;")=0,"",SUMIFS(BD!$S$3:$S$5001,BD!$A$3:$A$5001,V$3,BD!$B$3:$B$5001,$A$405)))</f>
        <v/>
      </c>
      <c r="W421" s="258" t="str">
        <f>IF(W$3="","",IF(COUNTIFS(BD!$A$3:$A$5001,W$3,BD!$B$3:$B$5001,$A$405,BD!$S$3:$S$5001,"&lt;&gt;")=0,"",SUMIFS(BD!$S$3:$S$5001,BD!$A$3:$A$5001,W$3,BD!$B$3:$B$5001,$A$405)))</f>
        <v/>
      </c>
      <c r="X421" s="258" t="str">
        <f>IF(X$3="","",IF(COUNTIFS(BD!$A$3:$A$5001,X$3,BD!$B$3:$B$5001,$A$405,BD!$S$3:$S$5001,"&lt;&gt;")=0,"",SUMIFS(BD!$S$3:$S$5001,BD!$A$3:$A$5001,X$3,BD!$B$3:$B$5001,$A$405)))</f>
        <v/>
      </c>
      <c r="Y421" s="258" t="str">
        <f>IF(Y$3="","",IF(COUNTIFS(BD!$A$3:$A$5001,Y$3,BD!$B$3:$B$5001,$A$405,BD!$S$3:$S$5001,"&lt;&gt;")=0,"",SUMIFS(BD!$S$3:$S$5001,BD!$A$3:$A$5001,Y$3,BD!$B$3:$B$5001,$A$405)))</f>
        <v/>
      </c>
      <c r="Z421" s="258" t="str">
        <f>IF(Z$3="","",IF(COUNTIFS(BD!$A$3:$A$5001,Z$3,BD!$B$3:$B$5001,$A$405,BD!$S$3:$S$5001,"&lt;&gt;")=0,"",SUMIFS(BD!$S$3:$S$5001,BD!$A$3:$A$5001,Z$3,BD!$B$3:$B$5001,$A$405)))</f>
        <v/>
      </c>
      <c r="AA421" s="258" t="str">
        <f>IF(AA$3="","",IF(COUNTIFS(BD!$A$3:$A$5001,AA$3,BD!$B$3:$B$5001,$A$405,BD!$S$3:$S$5001,"&lt;&gt;")=0,"",SUMIFS(BD!$S$3:$S$5001,BD!$A$3:$A$5001,AA$3,BD!$B$3:$B$5001,$A$405)))</f>
        <v/>
      </c>
      <c r="AB421" s="258" t="str">
        <f>IF(AB$3="","",IF(COUNTIFS(BD!$A$3:$A$5001,AB$3,BD!$B$3:$B$5001,$A$405,BD!$S$3:$S$5001,"&lt;&gt;")=0,"",SUMIFS(BD!$S$3:$S$5001,BD!$A$3:$A$5001,AB$3,BD!$B$3:$B$5001,$A$405)))</f>
        <v/>
      </c>
      <c r="AC421" s="258" t="str">
        <f>IF(AC$3="","",IF(COUNTIFS(BD!$A$3:$A$5001,AC$3,BD!$B$3:$B$5001,$A$405,BD!$S$3:$S$5001,"&lt;&gt;")=0,"",SUMIFS(BD!$S$3:$S$5001,BD!$A$3:$A$5001,AC$3,BD!$B$3:$B$5001,$A$405)))</f>
        <v/>
      </c>
      <c r="AD421" s="258" t="str">
        <f>IF(AD$3="","",IF(COUNTIFS(BD!$A$3:$A$5001,AD$3,BD!$B$3:$B$5001,$A$405,BD!$S$3:$S$5001,"&lt;&gt;")=0,"",SUMIFS(BD!$S$3:$S$5001,BD!$A$3:$A$5001,AD$3,BD!$B$3:$B$5001,$A$405)))</f>
        <v/>
      </c>
      <c r="AE421" s="258" t="str">
        <f>IF(AE$3="","",IF(COUNTIFS(BD!$A$3:$A$5001,AE$3,BD!$B$3:$B$5001,$A$405,BD!$S$3:$S$5001,"&lt;&gt;")=0,"",SUMIFS(BD!$S$3:$S$5001,BD!$A$3:$A$5001,AE$3,BD!$B$3:$B$5001,$A$405)))</f>
        <v/>
      </c>
      <c r="AF421" s="258" t="str">
        <f>IF(AF$3="","",IF(COUNTIFS(BD!$A$3:$A$5001,AF$3,BD!$B$3:$B$5001,$A$405,BD!$S$3:$S$5001,"&lt;&gt;")=0,"",SUMIFS(BD!$S$3:$S$5001,BD!$A$3:$A$5001,AF$3,BD!$B$3:$B$5001,$A$405)))</f>
        <v/>
      </c>
      <c r="AG421" s="258" t="str">
        <f>IF(AG$3="","",IF(COUNTIFS(BD!$A$3:$A$5001,AG$3,BD!$B$3:$B$5001,$A$405,BD!$S$3:$S$5001,"&lt;&gt;")=0,"",SUMIFS(BD!$S$3:$S$5001,BD!$A$3:$A$5001,AG$3,BD!$B$3:$B$5001,$A$405)))</f>
        <v/>
      </c>
      <c r="AH421" s="258" t="str">
        <f>IF(AH$3="","",IF(COUNTIFS(BD!$A$3:$A$5001,AH$3,BD!$B$3:$B$5001,$A$405,BD!$S$3:$S$5001,"&lt;&gt;")=0,"",SUMIFS(BD!$S$3:$S$5001,BD!$A$3:$A$5001,AH$3,BD!$B$3:$B$5001,$A$405)))</f>
        <v/>
      </c>
      <c r="AI421" s="258" t="str">
        <f>IF(AI$3="","",IF(COUNTIFS(BD!$A$3:$A$5001,AI$3,BD!$B$3:$B$5001,$A$405,BD!$S$3:$S$5001,"&lt;&gt;")=0,"",SUMIFS(BD!$S$3:$S$5001,BD!$A$3:$A$5001,AI$3,BD!$B$3:$B$5001,$A$405)))</f>
        <v/>
      </c>
      <c r="AJ421" s="259" t="str">
        <f>IF(AJ$3="","",IF(COUNTIFS(BD!$A$3:$A$5001,AJ$3,BD!$B$3:$B$5001,$A$405,BD!$S$3:$S$5001,"&lt;&gt;")=0,"",SUMIFS(BD!$S$3:$S$5001,BD!$A$3:$A$5001,AJ$3,BD!$B$3:$B$5001,$A$405)))</f>
        <v/>
      </c>
      <c r="AK421" s="260" t="str">
        <f>IF(COUNT(F421:AJ421)=0,"",SUM(F421:AJ421))</f>
        <v/>
      </c>
    </row>
    <row r="422" ht="15.75" customHeight="1" hidden="1">
      <c r="A422" s="244"/>
      <c r="B422" s="236" t="inlineStr">
        <is>
          <t xml:space="preserve">NC</t>
        </is>
      </c>
      <c r="C422" s="181" t="inlineStr">
        <is>
          <t xml:space="preserve">Incidentes</t>
        </is>
      </c>
      <c r="D422" s="182" t="str">
        <f>IFERROR(1/(1/INDEX(BD!$AJ$40:$BD$40,MATCH($A$405,BD!$AJ$22:$BD$22,0))),"")</f>
        <v/>
      </c>
      <c r="E422" s="183"/>
      <c r="F422" s="184" t="str">
        <f>IF(F$3="","",IF(COUNTIFS(BD!$A$3:$A$5001,F$3,BD!$B$3:$B$5001,$A$405,BD!$T$3:$T$5001,"&lt;&gt;")=0,"",SUMIFS(BD!$T$3:$T$5001,BD!$A$3:$A$5001,F$3,BD!$B$3:$B$5001,$A$405)))</f>
        <v/>
      </c>
      <c r="G422" s="185" t="str">
        <f>IF(G$3="","",IF(COUNTIFS(BD!$A$3:$A$5001,G$3,BD!$B$3:$B$5001,$A$405,BD!$T$3:$T$5001,"&lt;&gt;")=0,"",SUMIFS(BD!$T$3:$T$5001,BD!$A$3:$A$5001,G$3,BD!$B$3:$B$5001,$A$405)))</f>
        <v/>
      </c>
      <c r="H422" s="185" t="str">
        <f>IF(H$3="","",IF(COUNTIFS(BD!$A$3:$A$5001,H$3,BD!$B$3:$B$5001,$A$405,BD!$T$3:$T$5001,"&lt;&gt;")=0,"",SUMIFS(BD!$T$3:$T$5001,BD!$A$3:$A$5001,H$3,BD!$B$3:$B$5001,$A$405)))</f>
        <v/>
      </c>
      <c r="I422" s="185" t="str">
        <f>IF(I$3="","",IF(COUNTIFS(BD!$A$3:$A$5001,I$3,BD!$B$3:$B$5001,$A$405,BD!$T$3:$T$5001,"&lt;&gt;")=0,"",SUMIFS(BD!$T$3:$T$5001,BD!$A$3:$A$5001,I$3,BD!$B$3:$B$5001,$A$405)))</f>
        <v/>
      </c>
      <c r="J422" s="185" t="str">
        <f>IF(J$3="","",IF(COUNTIFS(BD!$A$3:$A$5001,J$3,BD!$B$3:$B$5001,$A$405,BD!$T$3:$T$5001,"&lt;&gt;")=0,"",SUMIFS(BD!$T$3:$T$5001,BD!$A$3:$A$5001,J$3,BD!$B$3:$B$5001,$A$405)))</f>
        <v/>
      </c>
      <c r="K422" s="185" t="str">
        <f>IF(K$3="","",IF(COUNTIFS(BD!$A$3:$A$5001,K$3,BD!$B$3:$B$5001,$A$405,BD!$T$3:$T$5001,"&lt;&gt;")=0,"",SUMIFS(BD!$T$3:$T$5001,BD!$A$3:$A$5001,K$3,BD!$B$3:$B$5001,$A$405)))</f>
        <v/>
      </c>
      <c r="L422" s="185" t="str">
        <f>IF(L$3="","",IF(COUNTIFS(BD!$A$3:$A$5001,L$3,BD!$B$3:$B$5001,$A$405,BD!$T$3:$T$5001,"&lt;&gt;")=0,"",SUMIFS(BD!$T$3:$T$5001,BD!$A$3:$A$5001,L$3,BD!$B$3:$B$5001,$A$405)))</f>
        <v/>
      </c>
      <c r="M422" s="185" t="str">
        <f>IF(M$3="","",IF(COUNTIFS(BD!$A$3:$A$5001,M$3,BD!$B$3:$B$5001,$A$405,BD!$T$3:$T$5001,"&lt;&gt;")=0,"",SUMIFS(BD!$T$3:$T$5001,BD!$A$3:$A$5001,M$3,BD!$B$3:$B$5001,$A$405)))</f>
        <v/>
      </c>
      <c r="N422" s="185" t="str">
        <f>IF(N$3="","",IF(COUNTIFS(BD!$A$3:$A$5001,N$3,BD!$B$3:$B$5001,$A$405,BD!$T$3:$T$5001,"&lt;&gt;")=0,"",SUMIFS(BD!$T$3:$T$5001,BD!$A$3:$A$5001,N$3,BD!$B$3:$B$5001,$A$405)))</f>
        <v/>
      </c>
      <c r="O422" s="185" t="str">
        <f>IF(O$3="","",IF(COUNTIFS(BD!$A$3:$A$5001,O$3,BD!$B$3:$B$5001,$A$405,BD!$T$3:$T$5001,"&lt;&gt;")=0,"",SUMIFS(BD!$T$3:$T$5001,BD!$A$3:$A$5001,O$3,BD!$B$3:$B$5001,$A$405)))</f>
        <v/>
      </c>
      <c r="P422" s="185" t="str">
        <f>IF(P$3="","",IF(COUNTIFS(BD!$A$3:$A$5001,P$3,BD!$B$3:$B$5001,$A$405,BD!$T$3:$T$5001,"&lt;&gt;")=0,"",SUMIFS(BD!$T$3:$T$5001,BD!$A$3:$A$5001,P$3,BD!$B$3:$B$5001,$A$405)))</f>
        <v/>
      </c>
      <c r="Q422" s="185" t="str">
        <f>IF(Q$3="","",IF(COUNTIFS(BD!$A$3:$A$5001,Q$3,BD!$B$3:$B$5001,$A$405,BD!$T$3:$T$5001,"&lt;&gt;")=0,"",SUMIFS(BD!$T$3:$T$5001,BD!$A$3:$A$5001,Q$3,BD!$B$3:$B$5001,$A$405)))</f>
        <v/>
      </c>
      <c r="R422" s="185" t="str">
        <f>IF(R$3="","",IF(COUNTIFS(BD!$A$3:$A$5001,R$3,BD!$B$3:$B$5001,$A$405,BD!$T$3:$T$5001,"&lt;&gt;")=0,"",SUMIFS(BD!$T$3:$T$5001,BD!$A$3:$A$5001,R$3,BD!$B$3:$B$5001,$A$405)))</f>
        <v/>
      </c>
      <c r="S422" s="185" t="str">
        <f>IF(S$3="","",IF(COUNTIFS(BD!$A$3:$A$5001,S$3,BD!$B$3:$B$5001,$A$405,BD!$T$3:$T$5001,"&lt;&gt;")=0,"",SUMIFS(BD!$T$3:$T$5001,BD!$A$3:$A$5001,S$3,BD!$B$3:$B$5001,$A$405)))</f>
        <v/>
      </c>
      <c r="T422" s="185" t="str">
        <f>IF(T$3="","",IF(COUNTIFS(BD!$A$3:$A$5001,T$3,BD!$B$3:$B$5001,$A$405,BD!$T$3:$T$5001,"&lt;&gt;")=0,"",SUMIFS(BD!$T$3:$T$5001,BD!$A$3:$A$5001,T$3,BD!$B$3:$B$5001,$A$405)))</f>
        <v/>
      </c>
      <c r="U422" s="185" t="str">
        <f>IF(U$3="","",IF(COUNTIFS(BD!$A$3:$A$5001,U$3,BD!$B$3:$B$5001,$A$405,BD!$T$3:$T$5001,"&lt;&gt;")=0,"",SUMIFS(BD!$T$3:$T$5001,BD!$A$3:$A$5001,U$3,BD!$B$3:$B$5001,$A$405)))</f>
        <v/>
      </c>
      <c r="V422" s="185" t="str">
        <f>IF(V$3="","",IF(COUNTIFS(BD!$A$3:$A$5001,V$3,BD!$B$3:$B$5001,$A$405,BD!$T$3:$T$5001,"&lt;&gt;")=0,"",SUMIFS(BD!$T$3:$T$5001,BD!$A$3:$A$5001,V$3,BD!$B$3:$B$5001,$A$405)))</f>
        <v/>
      </c>
      <c r="W422" s="185" t="str">
        <f>IF(W$3="","",IF(COUNTIFS(BD!$A$3:$A$5001,W$3,BD!$B$3:$B$5001,$A$405,BD!$T$3:$T$5001,"&lt;&gt;")=0,"",SUMIFS(BD!$T$3:$T$5001,BD!$A$3:$A$5001,W$3,BD!$B$3:$B$5001,$A$405)))</f>
        <v/>
      </c>
      <c r="X422" s="185" t="str">
        <f>IF(X$3="","",IF(COUNTIFS(BD!$A$3:$A$5001,X$3,BD!$B$3:$B$5001,$A$405,BD!$T$3:$T$5001,"&lt;&gt;")=0,"",SUMIFS(BD!$T$3:$T$5001,BD!$A$3:$A$5001,X$3,BD!$B$3:$B$5001,$A$405)))</f>
        <v/>
      </c>
      <c r="Y422" s="185" t="str">
        <f>IF(Y$3="","",IF(COUNTIFS(BD!$A$3:$A$5001,Y$3,BD!$B$3:$B$5001,$A$405,BD!$T$3:$T$5001,"&lt;&gt;")=0,"",SUMIFS(BD!$T$3:$T$5001,BD!$A$3:$A$5001,Y$3,BD!$B$3:$B$5001,$A$405)))</f>
        <v/>
      </c>
      <c r="Z422" s="185" t="str">
        <f>IF(Z$3="","",IF(COUNTIFS(BD!$A$3:$A$5001,Z$3,BD!$B$3:$B$5001,$A$405,BD!$T$3:$T$5001,"&lt;&gt;")=0,"",SUMIFS(BD!$T$3:$T$5001,BD!$A$3:$A$5001,Z$3,BD!$B$3:$B$5001,$A$405)))</f>
        <v/>
      </c>
      <c r="AA422" s="185" t="str">
        <f>IF(AA$3="","",IF(COUNTIFS(BD!$A$3:$A$5001,AA$3,BD!$B$3:$B$5001,$A$405,BD!$T$3:$T$5001,"&lt;&gt;")=0,"",SUMIFS(BD!$T$3:$T$5001,BD!$A$3:$A$5001,AA$3,BD!$B$3:$B$5001,$A$405)))</f>
        <v/>
      </c>
      <c r="AB422" s="185" t="str">
        <f>IF(AB$3="","",IF(COUNTIFS(BD!$A$3:$A$5001,AB$3,BD!$B$3:$B$5001,$A$405,BD!$T$3:$T$5001,"&lt;&gt;")=0,"",SUMIFS(BD!$T$3:$T$5001,BD!$A$3:$A$5001,AB$3,BD!$B$3:$B$5001,$A$405)))</f>
        <v/>
      </c>
      <c r="AC422" s="185" t="str">
        <f>IF(AC$3="","",IF(COUNTIFS(BD!$A$3:$A$5001,AC$3,BD!$B$3:$B$5001,$A$405,BD!$T$3:$T$5001,"&lt;&gt;")=0,"",SUMIFS(BD!$T$3:$T$5001,BD!$A$3:$A$5001,AC$3,BD!$B$3:$B$5001,$A$405)))</f>
        <v/>
      </c>
      <c r="AD422" s="185" t="str">
        <f>IF(AD$3="","",IF(COUNTIFS(BD!$A$3:$A$5001,AD$3,BD!$B$3:$B$5001,$A$405,BD!$T$3:$T$5001,"&lt;&gt;")=0,"",SUMIFS(BD!$T$3:$T$5001,BD!$A$3:$A$5001,AD$3,BD!$B$3:$B$5001,$A$405)))</f>
        <v/>
      </c>
      <c r="AE422" s="185" t="str">
        <f>IF(AE$3="","",IF(COUNTIFS(BD!$A$3:$A$5001,AE$3,BD!$B$3:$B$5001,$A$405,BD!$T$3:$T$5001,"&lt;&gt;")=0,"",SUMIFS(BD!$T$3:$T$5001,BD!$A$3:$A$5001,AE$3,BD!$B$3:$B$5001,$A$405)))</f>
        <v/>
      </c>
      <c r="AF422" s="185" t="str">
        <f>IF(AF$3="","",IF(COUNTIFS(BD!$A$3:$A$5001,AF$3,BD!$B$3:$B$5001,$A$405,BD!$T$3:$T$5001,"&lt;&gt;")=0,"",SUMIFS(BD!$T$3:$T$5001,BD!$A$3:$A$5001,AF$3,BD!$B$3:$B$5001,$A$405)))</f>
        <v/>
      </c>
      <c r="AG422" s="185" t="str">
        <f>IF(AG$3="","",IF(COUNTIFS(BD!$A$3:$A$5001,AG$3,BD!$B$3:$B$5001,$A$405,BD!$T$3:$T$5001,"&lt;&gt;")=0,"",SUMIFS(BD!$T$3:$T$5001,BD!$A$3:$A$5001,AG$3,BD!$B$3:$B$5001,$A$405)))</f>
        <v/>
      </c>
      <c r="AH422" s="185" t="str">
        <f>IF(AH$3="","",IF(COUNTIFS(BD!$A$3:$A$5001,AH$3,BD!$B$3:$B$5001,$A$405,BD!$T$3:$T$5001,"&lt;&gt;")=0,"",SUMIFS(BD!$T$3:$T$5001,BD!$A$3:$A$5001,AH$3,BD!$B$3:$B$5001,$A$405)))</f>
        <v/>
      </c>
      <c r="AI422" s="185" t="str">
        <f>IF(AI$3="","",IF(COUNTIFS(BD!$A$3:$A$5001,AI$3,BD!$B$3:$B$5001,$A$405,BD!$T$3:$T$5001,"&lt;&gt;")=0,"",SUMIFS(BD!$T$3:$T$5001,BD!$A$3:$A$5001,AI$3,BD!$B$3:$B$5001,$A$405)))</f>
        <v/>
      </c>
      <c r="AJ422" s="186" t="str">
        <f>IF(AJ$3="","",IF(COUNTIFS(BD!$A$3:$A$5001,AJ$3,BD!$B$3:$B$5001,$A$405,BD!$T$3:$T$5001,"&lt;&gt;")=0,"",SUMIFS(BD!$T$3:$T$5001,BD!$A$3:$A$5001,AJ$3,BD!$B$3:$B$5001,$A$405)))</f>
        <v/>
      </c>
      <c r="AK422" s="187" t="str">
        <f>IF(COUNT(F422:AJ422)=0,"",SUM(F422:AJ422))</f>
        <v/>
      </c>
    </row>
    <row r="423" ht="15.75" customHeight="1" hidden="1">
      <c r="A423" s="244"/>
      <c r="B423" s="237"/>
      <c r="C423" s="188" t="inlineStr">
        <is>
          <t xml:space="preserve">No show</t>
        </is>
      </c>
      <c r="D423" s="189" t="str">
        <f>IFERROR(1/(1/INDEX(BD!$AJ$41:$BD$41,MATCH($A$405,BD!$AJ$22:$BD$22,0))),"")</f>
        <v/>
      </c>
      <c r="E423" s="190"/>
      <c r="F423" s="191" t="str">
        <f>IF(F$3="","",IF(COUNTIFS(BD!$A$3:$A$5001,F$3,BD!$B$3:$B$5001,$A$405,BD!$U$3:$U$5001,"&lt;&gt;")=0,"",SUMIFS(BD!$U$3:$U$5001,BD!$A$3:$A$5001,F$3,BD!$B$3:$B$5001,$A$405)))</f>
        <v/>
      </c>
      <c r="G423" s="192" t="str">
        <f>IF(G$3="","",IF(COUNTIFS(BD!$A$3:$A$5001,G$3,BD!$B$3:$B$5001,$A$405,BD!$U$3:$U$5001,"&lt;&gt;")=0,"",SUMIFS(BD!$U$3:$U$5001,BD!$A$3:$A$5001,G$3,BD!$B$3:$B$5001,$A$405)))</f>
        <v/>
      </c>
      <c r="H423" s="192" t="str">
        <f>IF(H$3="","",IF(COUNTIFS(BD!$A$3:$A$5001,H$3,BD!$B$3:$B$5001,$A$405,BD!$U$3:$U$5001,"&lt;&gt;")=0,"",SUMIFS(BD!$U$3:$U$5001,BD!$A$3:$A$5001,H$3,BD!$B$3:$B$5001,$A$405)))</f>
        <v/>
      </c>
      <c r="I423" s="192" t="str">
        <f>IF(I$3="","",IF(COUNTIFS(BD!$A$3:$A$5001,I$3,BD!$B$3:$B$5001,$A$405,BD!$U$3:$U$5001,"&lt;&gt;")=0,"",SUMIFS(BD!$U$3:$U$5001,BD!$A$3:$A$5001,I$3,BD!$B$3:$B$5001,$A$405)))</f>
        <v/>
      </c>
      <c r="J423" s="192" t="str">
        <f>IF(J$3="","",IF(COUNTIFS(BD!$A$3:$A$5001,J$3,BD!$B$3:$B$5001,$A$405,BD!$U$3:$U$5001,"&lt;&gt;")=0,"",SUMIFS(BD!$U$3:$U$5001,BD!$A$3:$A$5001,J$3,BD!$B$3:$B$5001,$A$405)))</f>
        <v/>
      </c>
      <c r="K423" s="192" t="str">
        <f>IF(K$3="","",IF(COUNTIFS(BD!$A$3:$A$5001,K$3,BD!$B$3:$B$5001,$A$405,BD!$U$3:$U$5001,"&lt;&gt;")=0,"",SUMIFS(BD!$U$3:$U$5001,BD!$A$3:$A$5001,K$3,BD!$B$3:$B$5001,$A$405)))</f>
        <v/>
      </c>
      <c r="L423" s="192" t="str">
        <f>IF(L$3="","",IF(COUNTIFS(BD!$A$3:$A$5001,L$3,BD!$B$3:$B$5001,$A$405,BD!$U$3:$U$5001,"&lt;&gt;")=0,"",SUMIFS(BD!$U$3:$U$5001,BD!$A$3:$A$5001,L$3,BD!$B$3:$B$5001,$A$405)))</f>
        <v/>
      </c>
      <c r="M423" s="192" t="str">
        <f>IF(M$3="","",IF(COUNTIFS(BD!$A$3:$A$5001,M$3,BD!$B$3:$B$5001,$A$405,BD!$U$3:$U$5001,"&lt;&gt;")=0,"",SUMIFS(BD!$U$3:$U$5001,BD!$A$3:$A$5001,M$3,BD!$B$3:$B$5001,$A$405)))</f>
        <v/>
      </c>
      <c r="N423" s="192" t="str">
        <f>IF(N$3="","",IF(COUNTIFS(BD!$A$3:$A$5001,N$3,BD!$B$3:$B$5001,$A$405,BD!$U$3:$U$5001,"&lt;&gt;")=0,"",SUMIFS(BD!$U$3:$U$5001,BD!$A$3:$A$5001,N$3,BD!$B$3:$B$5001,$A$405)))</f>
        <v/>
      </c>
      <c r="O423" s="192" t="str">
        <f>IF(O$3="","",IF(COUNTIFS(BD!$A$3:$A$5001,O$3,BD!$B$3:$B$5001,$A$405,BD!$U$3:$U$5001,"&lt;&gt;")=0,"",SUMIFS(BD!$U$3:$U$5001,BD!$A$3:$A$5001,O$3,BD!$B$3:$B$5001,$A$405)))</f>
        <v/>
      </c>
      <c r="P423" s="192" t="str">
        <f>IF(P$3="","",IF(COUNTIFS(BD!$A$3:$A$5001,P$3,BD!$B$3:$B$5001,$A$405,BD!$U$3:$U$5001,"&lt;&gt;")=0,"",SUMIFS(BD!$U$3:$U$5001,BD!$A$3:$A$5001,P$3,BD!$B$3:$B$5001,$A$405)))</f>
        <v/>
      </c>
      <c r="Q423" s="192" t="str">
        <f>IF(Q$3="","",IF(COUNTIFS(BD!$A$3:$A$5001,Q$3,BD!$B$3:$B$5001,$A$405,BD!$U$3:$U$5001,"&lt;&gt;")=0,"",SUMIFS(BD!$U$3:$U$5001,BD!$A$3:$A$5001,Q$3,BD!$B$3:$B$5001,$A$405)))</f>
        <v/>
      </c>
      <c r="R423" s="192" t="str">
        <f>IF(R$3="","",IF(COUNTIFS(BD!$A$3:$A$5001,R$3,BD!$B$3:$B$5001,$A$405,BD!$U$3:$U$5001,"&lt;&gt;")=0,"",SUMIFS(BD!$U$3:$U$5001,BD!$A$3:$A$5001,R$3,BD!$B$3:$B$5001,$A$405)))</f>
        <v/>
      </c>
      <c r="S423" s="192" t="str">
        <f>IF(S$3="","",IF(COUNTIFS(BD!$A$3:$A$5001,S$3,BD!$B$3:$B$5001,$A$405,BD!$U$3:$U$5001,"&lt;&gt;")=0,"",SUMIFS(BD!$U$3:$U$5001,BD!$A$3:$A$5001,S$3,BD!$B$3:$B$5001,$A$405)))</f>
        <v/>
      </c>
      <c r="T423" s="192" t="str">
        <f>IF(T$3="","",IF(COUNTIFS(BD!$A$3:$A$5001,T$3,BD!$B$3:$B$5001,$A$405,BD!$U$3:$U$5001,"&lt;&gt;")=0,"",SUMIFS(BD!$U$3:$U$5001,BD!$A$3:$A$5001,T$3,BD!$B$3:$B$5001,$A$405)))</f>
        <v/>
      </c>
      <c r="U423" s="192" t="str">
        <f>IF(U$3="","",IF(COUNTIFS(BD!$A$3:$A$5001,U$3,BD!$B$3:$B$5001,$A$405,BD!$U$3:$U$5001,"&lt;&gt;")=0,"",SUMIFS(BD!$U$3:$U$5001,BD!$A$3:$A$5001,U$3,BD!$B$3:$B$5001,$A$405)))</f>
        <v/>
      </c>
      <c r="V423" s="192" t="str">
        <f>IF(V$3="","",IF(COUNTIFS(BD!$A$3:$A$5001,V$3,BD!$B$3:$B$5001,$A$405,BD!$U$3:$U$5001,"&lt;&gt;")=0,"",SUMIFS(BD!$U$3:$U$5001,BD!$A$3:$A$5001,V$3,BD!$B$3:$B$5001,$A$405)))</f>
        <v/>
      </c>
      <c r="W423" s="192" t="str">
        <f>IF(W$3="","",IF(COUNTIFS(BD!$A$3:$A$5001,W$3,BD!$B$3:$B$5001,$A$405,BD!$U$3:$U$5001,"&lt;&gt;")=0,"",SUMIFS(BD!$U$3:$U$5001,BD!$A$3:$A$5001,W$3,BD!$B$3:$B$5001,$A$405)))</f>
        <v/>
      </c>
      <c r="X423" s="192" t="str">
        <f>IF(X$3="","",IF(COUNTIFS(BD!$A$3:$A$5001,X$3,BD!$B$3:$B$5001,$A$405,BD!$U$3:$U$5001,"&lt;&gt;")=0,"",SUMIFS(BD!$U$3:$U$5001,BD!$A$3:$A$5001,X$3,BD!$B$3:$B$5001,$A$405)))</f>
        <v/>
      </c>
      <c r="Y423" s="192" t="str">
        <f>IF(Y$3="","",IF(COUNTIFS(BD!$A$3:$A$5001,Y$3,BD!$B$3:$B$5001,$A$405,BD!$U$3:$U$5001,"&lt;&gt;")=0,"",SUMIFS(BD!$U$3:$U$5001,BD!$A$3:$A$5001,Y$3,BD!$B$3:$B$5001,$A$405)))</f>
        <v/>
      </c>
      <c r="Z423" s="192" t="str">
        <f>IF(Z$3="","",IF(COUNTIFS(BD!$A$3:$A$5001,Z$3,BD!$B$3:$B$5001,$A$405,BD!$U$3:$U$5001,"&lt;&gt;")=0,"",SUMIFS(BD!$U$3:$U$5001,BD!$A$3:$A$5001,Z$3,BD!$B$3:$B$5001,$A$405)))</f>
        <v/>
      </c>
      <c r="AA423" s="192" t="str">
        <f>IF(AA$3="","",IF(COUNTIFS(BD!$A$3:$A$5001,AA$3,BD!$B$3:$B$5001,$A$405,BD!$U$3:$U$5001,"&lt;&gt;")=0,"",SUMIFS(BD!$U$3:$U$5001,BD!$A$3:$A$5001,AA$3,BD!$B$3:$B$5001,$A$405)))</f>
        <v/>
      </c>
      <c r="AB423" s="192" t="str">
        <f>IF(AB$3="","",IF(COUNTIFS(BD!$A$3:$A$5001,AB$3,BD!$B$3:$B$5001,$A$405,BD!$U$3:$U$5001,"&lt;&gt;")=0,"",SUMIFS(BD!$U$3:$U$5001,BD!$A$3:$A$5001,AB$3,BD!$B$3:$B$5001,$A$405)))</f>
        <v/>
      </c>
      <c r="AC423" s="192" t="str">
        <f>IF(AC$3="","",IF(COUNTIFS(BD!$A$3:$A$5001,AC$3,BD!$B$3:$B$5001,$A$405,BD!$U$3:$U$5001,"&lt;&gt;")=0,"",SUMIFS(BD!$U$3:$U$5001,BD!$A$3:$A$5001,AC$3,BD!$B$3:$B$5001,$A$405)))</f>
        <v/>
      </c>
      <c r="AD423" s="192" t="str">
        <f>IF(AD$3="","",IF(COUNTIFS(BD!$A$3:$A$5001,AD$3,BD!$B$3:$B$5001,$A$405,BD!$U$3:$U$5001,"&lt;&gt;")=0,"",SUMIFS(BD!$U$3:$U$5001,BD!$A$3:$A$5001,AD$3,BD!$B$3:$B$5001,$A$405)))</f>
        <v/>
      </c>
      <c r="AE423" s="192" t="str">
        <f>IF(AE$3="","",IF(COUNTIFS(BD!$A$3:$A$5001,AE$3,BD!$B$3:$B$5001,$A$405,BD!$U$3:$U$5001,"&lt;&gt;")=0,"",SUMIFS(BD!$U$3:$U$5001,BD!$A$3:$A$5001,AE$3,BD!$B$3:$B$5001,$A$405)))</f>
        <v/>
      </c>
      <c r="AF423" s="192" t="str">
        <f>IF(AF$3="","",IF(COUNTIFS(BD!$A$3:$A$5001,AF$3,BD!$B$3:$B$5001,$A$405,BD!$U$3:$U$5001,"&lt;&gt;")=0,"",SUMIFS(BD!$U$3:$U$5001,BD!$A$3:$A$5001,AF$3,BD!$B$3:$B$5001,$A$405)))</f>
        <v/>
      </c>
      <c r="AG423" s="192" t="str">
        <f>IF(AG$3="","",IF(COUNTIFS(BD!$A$3:$A$5001,AG$3,BD!$B$3:$B$5001,$A$405,BD!$U$3:$U$5001,"&lt;&gt;")=0,"",SUMIFS(BD!$U$3:$U$5001,BD!$A$3:$A$5001,AG$3,BD!$B$3:$B$5001,$A$405)))</f>
        <v/>
      </c>
      <c r="AH423" s="192" t="str">
        <f>IF(AH$3="","",IF(COUNTIFS(BD!$A$3:$A$5001,AH$3,BD!$B$3:$B$5001,$A$405,BD!$U$3:$U$5001,"&lt;&gt;")=0,"",SUMIFS(BD!$U$3:$U$5001,BD!$A$3:$A$5001,AH$3,BD!$B$3:$B$5001,$A$405)))</f>
        <v/>
      </c>
      <c r="AI423" s="192" t="str">
        <f>IF(AI$3="","",IF(COUNTIFS(BD!$A$3:$A$5001,AI$3,BD!$B$3:$B$5001,$A$405,BD!$U$3:$U$5001,"&lt;&gt;")=0,"",SUMIFS(BD!$U$3:$U$5001,BD!$A$3:$A$5001,AI$3,BD!$B$3:$B$5001,$A$405)))</f>
        <v/>
      </c>
      <c r="AJ423" s="193" t="str">
        <f>IF(AJ$3="","",IF(COUNTIFS(BD!$A$3:$A$5001,AJ$3,BD!$B$3:$B$5001,$A$405,BD!$U$3:$U$5001,"&lt;&gt;")=0,"",SUMIFS(BD!$U$3:$U$5001,BD!$A$3:$A$5001,AJ$3,BD!$B$3:$B$5001,$A$405)))</f>
        <v/>
      </c>
      <c r="AK423" s="194" t="str">
        <f>IF(COUNT(F423:AJ423)=0,"",SUM(F423:AJ423))</f>
        <v/>
      </c>
    </row>
    <row r="424" ht="15.75" customHeight="1" hidden="1">
      <c r="A424" s="244"/>
      <c r="B424" s="238"/>
      <c r="C424" s="195" t="inlineStr">
        <is>
          <t xml:space="preserve">Backlog</t>
        </is>
      </c>
      <c r="D424" s="196" t="str">
        <f>IFERROR(1/(1/INDEX(BD!$AJ$42:$BD$42,MATCH($A$405,BD!$AJ$22:$BD$22,0))),"")</f>
        <v/>
      </c>
      <c r="E424" s="197"/>
      <c r="F424" s="198" t="str">
        <f>IF(F$3="","",IF(COUNTIFS(BD!$A$3:$A$5001,F$3,BD!$B$3:$B$5001,$A$405,BD!$V$3:$V$5001,"&lt;&gt;")=0,"",SUMIFS(BD!$V$3:$V$5001,BD!$A$3:$A$5001,F$3,BD!$B$3:$B$5001,$A$405)))</f>
        <v/>
      </c>
      <c r="G424" s="199" t="str">
        <f>IF(G$3="","",IF(COUNTIFS(BD!$A$3:$A$5001,G$3,BD!$B$3:$B$5001,$A$405,BD!$V$3:$V$5001,"&lt;&gt;")=0,"",SUMIFS(BD!$V$3:$V$5001,BD!$A$3:$A$5001,G$3,BD!$B$3:$B$5001,$A$405)))</f>
        <v/>
      </c>
      <c r="H424" s="199" t="str">
        <f>IF(H$3="","",IF(COUNTIFS(BD!$A$3:$A$5001,H$3,BD!$B$3:$B$5001,$A$405,BD!$V$3:$V$5001,"&lt;&gt;")=0,"",SUMIFS(BD!$V$3:$V$5001,BD!$A$3:$A$5001,H$3,BD!$B$3:$B$5001,$A$405)))</f>
        <v/>
      </c>
      <c r="I424" s="199" t="str">
        <f>IF(I$3="","",IF(COUNTIFS(BD!$A$3:$A$5001,I$3,BD!$B$3:$B$5001,$A$405,BD!$V$3:$V$5001,"&lt;&gt;")=0,"",SUMIFS(BD!$V$3:$V$5001,BD!$A$3:$A$5001,I$3,BD!$B$3:$B$5001,$A$405)))</f>
        <v/>
      </c>
      <c r="J424" s="199" t="str">
        <f>IF(J$3="","",IF(COUNTIFS(BD!$A$3:$A$5001,J$3,BD!$B$3:$B$5001,$A$405,BD!$V$3:$V$5001,"&lt;&gt;")=0,"",SUMIFS(BD!$V$3:$V$5001,BD!$A$3:$A$5001,J$3,BD!$B$3:$B$5001,$A$405)))</f>
        <v/>
      </c>
      <c r="K424" s="199" t="str">
        <f>IF(K$3="","",IF(COUNTIFS(BD!$A$3:$A$5001,K$3,BD!$B$3:$B$5001,$A$405,BD!$V$3:$V$5001,"&lt;&gt;")=0,"",SUMIFS(BD!$V$3:$V$5001,BD!$A$3:$A$5001,K$3,BD!$B$3:$B$5001,$A$405)))</f>
        <v/>
      </c>
      <c r="L424" s="199" t="str">
        <f>IF(L$3="","",IF(COUNTIFS(BD!$A$3:$A$5001,L$3,BD!$B$3:$B$5001,$A$405,BD!$V$3:$V$5001,"&lt;&gt;")=0,"",SUMIFS(BD!$V$3:$V$5001,BD!$A$3:$A$5001,L$3,BD!$B$3:$B$5001,$A$405)))</f>
        <v/>
      </c>
      <c r="M424" s="199" t="str">
        <f>IF(M$3="","",IF(COUNTIFS(BD!$A$3:$A$5001,M$3,BD!$B$3:$B$5001,$A$405,BD!$V$3:$V$5001,"&lt;&gt;")=0,"",SUMIFS(BD!$V$3:$V$5001,BD!$A$3:$A$5001,M$3,BD!$B$3:$B$5001,$A$405)))</f>
        <v/>
      </c>
      <c r="N424" s="199" t="str">
        <f>IF(N$3="","",IF(COUNTIFS(BD!$A$3:$A$5001,N$3,BD!$B$3:$B$5001,$A$405,BD!$V$3:$V$5001,"&lt;&gt;")=0,"",SUMIFS(BD!$V$3:$V$5001,BD!$A$3:$A$5001,N$3,BD!$B$3:$B$5001,$A$405)))</f>
        <v/>
      </c>
      <c r="O424" s="199" t="str">
        <f>IF(O$3="","",IF(COUNTIFS(BD!$A$3:$A$5001,O$3,BD!$B$3:$B$5001,$A$405,BD!$V$3:$V$5001,"&lt;&gt;")=0,"",SUMIFS(BD!$V$3:$V$5001,BD!$A$3:$A$5001,O$3,BD!$B$3:$B$5001,$A$405)))</f>
        <v/>
      </c>
      <c r="P424" s="199" t="str">
        <f>IF(P$3="","",IF(COUNTIFS(BD!$A$3:$A$5001,P$3,BD!$B$3:$B$5001,$A$405,BD!$V$3:$V$5001,"&lt;&gt;")=0,"",SUMIFS(BD!$V$3:$V$5001,BD!$A$3:$A$5001,P$3,BD!$B$3:$B$5001,$A$405)))</f>
        <v/>
      </c>
      <c r="Q424" s="199" t="str">
        <f>IF(Q$3="","",IF(COUNTIFS(BD!$A$3:$A$5001,Q$3,BD!$B$3:$B$5001,$A$405,BD!$V$3:$V$5001,"&lt;&gt;")=0,"",SUMIFS(BD!$V$3:$V$5001,BD!$A$3:$A$5001,Q$3,BD!$B$3:$B$5001,$A$405)))</f>
        <v/>
      </c>
      <c r="R424" s="199" t="str">
        <f>IF(R$3="","",IF(COUNTIFS(BD!$A$3:$A$5001,R$3,BD!$B$3:$B$5001,$A$405,BD!$V$3:$V$5001,"&lt;&gt;")=0,"",SUMIFS(BD!$V$3:$V$5001,BD!$A$3:$A$5001,R$3,BD!$B$3:$B$5001,$A$405)))</f>
        <v/>
      </c>
      <c r="S424" s="199" t="str">
        <f>IF(S$3="","",IF(COUNTIFS(BD!$A$3:$A$5001,S$3,BD!$B$3:$B$5001,$A$405,BD!$V$3:$V$5001,"&lt;&gt;")=0,"",SUMIFS(BD!$V$3:$V$5001,BD!$A$3:$A$5001,S$3,BD!$B$3:$B$5001,$A$405)))</f>
        <v/>
      </c>
      <c r="T424" s="199" t="str">
        <f>IF(T$3="","",IF(COUNTIFS(BD!$A$3:$A$5001,T$3,BD!$B$3:$B$5001,$A$405,BD!$V$3:$V$5001,"&lt;&gt;")=0,"",SUMIFS(BD!$V$3:$V$5001,BD!$A$3:$A$5001,T$3,BD!$B$3:$B$5001,$A$405)))</f>
        <v/>
      </c>
      <c r="U424" s="199" t="str">
        <f>IF(U$3="","",IF(COUNTIFS(BD!$A$3:$A$5001,U$3,BD!$B$3:$B$5001,$A$405,BD!$V$3:$V$5001,"&lt;&gt;")=0,"",SUMIFS(BD!$V$3:$V$5001,BD!$A$3:$A$5001,U$3,BD!$B$3:$B$5001,$A$405)))</f>
        <v/>
      </c>
      <c r="V424" s="199" t="str">
        <f>IF(V$3="","",IF(COUNTIFS(BD!$A$3:$A$5001,V$3,BD!$B$3:$B$5001,$A$405,BD!$V$3:$V$5001,"&lt;&gt;")=0,"",SUMIFS(BD!$V$3:$V$5001,BD!$A$3:$A$5001,V$3,BD!$B$3:$B$5001,$A$405)))</f>
        <v/>
      </c>
      <c r="W424" s="199" t="str">
        <f>IF(W$3="","",IF(COUNTIFS(BD!$A$3:$A$5001,W$3,BD!$B$3:$B$5001,$A$405,BD!$V$3:$V$5001,"&lt;&gt;")=0,"",SUMIFS(BD!$V$3:$V$5001,BD!$A$3:$A$5001,W$3,BD!$B$3:$B$5001,$A$405)))</f>
        <v/>
      </c>
      <c r="X424" s="199" t="str">
        <f>IF(X$3="","",IF(COUNTIFS(BD!$A$3:$A$5001,X$3,BD!$B$3:$B$5001,$A$405,BD!$V$3:$V$5001,"&lt;&gt;")=0,"",SUMIFS(BD!$V$3:$V$5001,BD!$A$3:$A$5001,X$3,BD!$B$3:$B$5001,$A$405)))</f>
        <v/>
      </c>
      <c r="Y424" s="199" t="str">
        <f>IF(Y$3="","",IF(COUNTIFS(BD!$A$3:$A$5001,Y$3,BD!$B$3:$B$5001,$A$405,BD!$V$3:$V$5001,"&lt;&gt;")=0,"",SUMIFS(BD!$V$3:$V$5001,BD!$A$3:$A$5001,Y$3,BD!$B$3:$B$5001,$A$405)))</f>
        <v/>
      </c>
      <c r="Z424" s="199" t="str">
        <f>IF(Z$3="","",IF(COUNTIFS(BD!$A$3:$A$5001,Z$3,BD!$B$3:$B$5001,$A$405,BD!$V$3:$V$5001,"&lt;&gt;")=0,"",SUMIFS(BD!$V$3:$V$5001,BD!$A$3:$A$5001,Z$3,BD!$B$3:$B$5001,$A$405)))</f>
        <v/>
      </c>
      <c r="AA424" s="199" t="str">
        <f>IF(AA$3="","",IF(COUNTIFS(BD!$A$3:$A$5001,AA$3,BD!$B$3:$B$5001,$A$405,BD!$V$3:$V$5001,"&lt;&gt;")=0,"",SUMIFS(BD!$V$3:$V$5001,BD!$A$3:$A$5001,AA$3,BD!$B$3:$B$5001,$A$405)))</f>
        <v/>
      </c>
      <c r="AB424" s="199" t="str">
        <f>IF(AB$3="","",IF(COUNTIFS(BD!$A$3:$A$5001,AB$3,BD!$B$3:$B$5001,$A$405,BD!$V$3:$V$5001,"&lt;&gt;")=0,"",SUMIFS(BD!$V$3:$V$5001,BD!$A$3:$A$5001,AB$3,BD!$B$3:$B$5001,$A$405)))</f>
        <v/>
      </c>
      <c r="AC424" s="199" t="str">
        <f>IF(AC$3="","",IF(COUNTIFS(BD!$A$3:$A$5001,AC$3,BD!$B$3:$B$5001,$A$405,BD!$V$3:$V$5001,"&lt;&gt;")=0,"",SUMIFS(BD!$V$3:$V$5001,BD!$A$3:$A$5001,AC$3,BD!$B$3:$B$5001,$A$405)))</f>
        <v/>
      </c>
      <c r="AD424" s="199" t="str">
        <f>IF(AD$3="","",IF(COUNTIFS(BD!$A$3:$A$5001,AD$3,BD!$B$3:$B$5001,$A$405,BD!$V$3:$V$5001,"&lt;&gt;")=0,"",SUMIFS(BD!$V$3:$V$5001,BD!$A$3:$A$5001,AD$3,BD!$B$3:$B$5001,$A$405)))</f>
        <v/>
      </c>
      <c r="AE424" s="199" t="str">
        <f>IF(AE$3="","",IF(COUNTIFS(BD!$A$3:$A$5001,AE$3,BD!$B$3:$B$5001,$A$405,BD!$V$3:$V$5001,"&lt;&gt;")=0,"",SUMIFS(BD!$V$3:$V$5001,BD!$A$3:$A$5001,AE$3,BD!$B$3:$B$5001,$A$405)))</f>
        <v/>
      </c>
      <c r="AF424" s="199" t="str">
        <f>IF(AF$3="","",IF(COUNTIFS(BD!$A$3:$A$5001,AF$3,BD!$B$3:$B$5001,$A$405,BD!$V$3:$V$5001,"&lt;&gt;")=0,"",SUMIFS(BD!$V$3:$V$5001,BD!$A$3:$A$5001,AF$3,BD!$B$3:$B$5001,$A$405)))</f>
        <v/>
      </c>
      <c r="AG424" s="199" t="str">
        <f>IF(AG$3="","",IF(COUNTIFS(BD!$A$3:$A$5001,AG$3,BD!$B$3:$B$5001,$A$405,BD!$V$3:$V$5001,"&lt;&gt;")=0,"",SUMIFS(BD!$V$3:$V$5001,BD!$A$3:$A$5001,AG$3,BD!$B$3:$B$5001,$A$405)))</f>
        <v/>
      </c>
      <c r="AH424" s="199" t="str">
        <f>IF(AH$3="","",IF(COUNTIFS(BD!$A$3:$A$5001,AH$3,BD!$B$3:$B$5001,$A$405,BD!$V$3:$V$5001,"&lt;&gt;")=0,"",SUMIFS(BD!$V$3:$V$5001,BD!$A$3:$A$5001,AH$3,BD!$B$3:$B$5001,$A$405)))</f>
        <v/>
      </c>
      <c r="AI424" s="199" t="str">
        <f>IF(AI$3="","",IF(COUNTIFS(BD!$A$3:$A$5001,AI$3,BD!$B$3:$B$5001,$A$405,BD!$V$3:$V$5001,"&lt;&gt;")=0,"",SUMIFS(BD!$V$3:$V$5001,BD!$A$3:$A$5001,AI$3,BD!$B$3:$B$5001,$A$405)))</f>
        <v/>
      </c>
      <c r="AJ424" s="200" t="str">
        <f>IF(AJ$3="","",IF(COUNTIFS(BD!$A$3:$A$5001,AJ$3,BD!$B$3:$B$5001,$A$405,BD!$V$3:$V$5001,"&lt;&gt;")=0,"",SUMIFS(BD!$V$3:$V$5001,BD!$A$3:$A$5001,AJ$3,BD!$B$3:$B$5001,$A$405)))</f>
        <v/>
      </c>
      <c r="AK424" s="196" t="str">
        <f>IFERROR(LOOKUP(9.99E+307,F424:AJ424),"")</f>
        <v/>
      </c>
    </row>
    <row r="425" ht="15.75" customHeight="1" hidden="1">
      <c r="A425" s="244"/>
      <c r="B425" s="232" t="inlineStr">
        <is>
          <t xml:space="preserve">OCUPAÇÃO (P.P)</t>
        </is>
      </c>
      <c r="C425" s="155" t="inlineStr">
        <is>
          <t xml:space="preserve">Posições Disponíveis</t>
        </is>
      </c>
      <c r="D425" s="156" t="str">
        <f>IFERROR(1/(1/INDEX(BD!$AJ$43:$BD$43,MATCH($A$405,BD!$AJ$22:$BD$22,0))),"")</f>
        <v/>
      </c>
      <c r="E425" s="157"/>
      <c r="F425" s="158" t="str">
        <f>IF(F$3="","",IF(COUNTIFS(BD!$A$3:$A$5001,F$3,BD!$B$3:$B$5001,$A$405,BD!$W$3:$W$5001,"&lt;&gt;")=0,"",SUMIFS(BD!$W$3:$W$5001,BD!$A$3:$A$5001,F$3,BD!$B$3:$B$5001,$A$405)))</f>
        <v/>
      </c>
      <c r="G425" s="159" t="str">
        <f>IF(G$3="","",IF(COUNTIFS(BD!$A$3:$A$5001,G$3,BD!$B$3:$B$5001,$A$405,BD!$W$3:$W$5001,"&lt;&gt;")=0,"",SUMIFS(BD!$W$3:$W$5001,BD!$A$3:$A$5001,G$3,BD!$B$3:$B$5001,$A$405)))</f>
        <v/>
      </c>
      <c r="H425" s="159" t="str">
        <f>IF(H$3="","",IF(COUNTIFS(BD!$A$3:$A$5001,H$3,BD!$B$3:$B$5001,$A$405,BD!$W$3:$W$5001,"&lt;&gt;")=0,"",SUMIFS(BD!$W$3:$W$5001,BD!$A$3:$A$5001,H$3,BD!$B$3:$B$5001,$A$405)))</f>
        <v/>
      </c>
      <c r="I425" s="159" t="str">
        <f>IF(I$3="","",IF(COUNTIFS(BD!$A$3:$A$5001,I$3,BD!$B$3:$B$5001,$A$405,BD!$W$3:$W$5001,"&lt;&gt;")=0,"",SUMIFS(BD!$W$3:$W$5001,BD!$A$3:$A$5001,I$3,BD!$B$3:$B$5001,$A$405)))</f>
        <v/>
      </c>
      <c r="J425" s="159" t="str">
        <f>IF(J$3="","",IF(COUNTIFS(BD!$A$3:$A$5001,J$3,BD!$B$3:$B$5001,$A$405,BD!$W$3:$W$5001,"&lt;&gt;")=0,"",SUMIFS(BD!$W$3:$W$5001,BD!$A$3:$A$5001,J$3,BD!$B$3:$B$5001,$A$405)))</f>
        <v/>
      </c>
      <c r="K425" s="159" t="str">
        <f>IF(K$3="","",IF(COUNTIFS(BD!$A$3:$A$5001,K$3,BD!$B$3:$B$5001,$A$405,BD!$W$3:$W$5001,"&lt;&gt;")=0,"",SUMIFS(BD!$W$3:$W$5001,BD!$A$3:$A$5001,K$3,BD!$B$3:$B$5001,$A$405)))</f>
        <v/>
      </c>
      <c r="L425" s="159" t="str">
        <f>IF(L$3="","",IF(COUNTIFS(BD!$A$3:$A$5001,L$3,BD!$B$3:$B$5001,$A$405,BD!$W$3:$W$5001,"&lt;&gt;")=0,"",SUMIFS(BD!$W$3:$W$5001,BD!$A$3:$A$5001,L$3,BD!$B$3:$B$5001,$A$405)))</f>
        <v/>
      </c>
      <c r="M425" s="159" t="str">
        <f>IF(M$3="","",IF(COUNTIFS(BD!$A$3:$A$5001,M$3,BD!$B$3:$B$5001,$A$405,BD!$W$3:$W$5001,"&lt;&gt;")=0,"",SUMIFS(BD!$W$3:$W$5001,BD!$A$3:$A$5001,M$3,BD!$B$3:$B$5001,$A$405)))</f>
        <v/>
      </c>
      <c r="N425" s="159" t="str">
        <f>IF(N$3="","",IF(COUNTIFS(BD!$A$3:$A$5001,N$3,BD!$B$3:$B$5001,$A$405,BD!$W$3:$W$5001,"&lt;&gt;")=0,"",SUMIFS(BD!$W$3:$W$5001,BD!$A$3:$A$5001,N$3,BD!$B$3:$B$5001,$A$405)))</f>
        <v/>
      </c>
      <c r="O425" s="159" t="str">
        <f>IF(O$3="","",IF(COUNTIFS(BD!$A$3:$A$5001,O$3,BD!$B$3:$B$5001,$A$405,BD!$W$3:$W$5001,"&lt;&gt;")=0,"",SUMIFS(BD!$W$3:$W$5001,BD!$A$3:$A$5001,O$3,BD!$B$3:$B$5001,$A$405)))</f>
        <v/>
      </c>
      <c r="P425" s="159" t="str">
        <f>IF(P$3="","",IF(COUNTIFS(BD!$A$3:$A$5001,P$3,BD!$B$3:$B$5001,$A$405,BD!$W$3:$W$5001,"&lt;&gt;")=0,"",SUMIFS(BD!$W$3:$W$5001,BD!$A$3:$A$5001,P$3,BD!$B$3:$B$5001,$A$405)))</f>
        <v/>
      </c>
      <c r="Q425" s="159" t="str">
        <f>IF(Q$3="","",IF(COUNTIFS(BD!$A$3:$A$5001,Q$3,BD!$B$3:$B$5001,$A$405,BD!$W$3:$W$5001,"&lt;&gt;")=0,"",SUMIFS(BD!$W$3:$W$5001,BD!$A$3:$A$5001,Q$3,BD!$B$3:$B$5001,$A$405)))</f>
        <v/>
      </c>
      <c r="R425" s="159" t="str">
        <f>IF(R$3="","",IF(COUNTIFS(BD!$A$3:$A$5001,R$3,BD!$B$3:$B$5001,$A$405,BD!$W$3:$W$5001,"&lt;&gt;")=0,"",SUMIFS(BD!$W$3:$W$5001,BD!$A$3:$A$5001,R$3,BD!$B$3:$B$5001,$A$405)))</f>
        <v/>
      </c>
      <c r="S425" s="159" t="str">
        <f>IF(S$3="","",IF(COUNTIFS(BD!$A$3:$A$5001,S$3,BD!$B$3:$B$5001,$A$405,BD!$W$3:$W$5001,"&lt;&gt;")=0,"",SUMIFS(BD!$W$3:$W$5001,BD!$A$3:$A$5001,S$3,BD!$B$3:$B$5001,$A$405)))</f>
        <v/>
      </c>
      <c r="T425" s="159" t="str">
        <f>IF(T$3="","",IF(COUNTIFS(BD!$A$3:$A$5001,T$3,BD!$B$3:$B$5001,$A$405,BD!$W$3:$W$5001,"&lt;&gt;")=0,"",SUMIFS(BD!$W$3:$W$5001,BD!$A$3:$A$5001,T$3,BD!$B$3:$B$5001,$A$405)))</f>
        <v/>
      </c>
      <c r="U425" s="159" t="str">
        <f>IF(U$3="","",IF(COUNTIFS(BD!$A$3:$A$5001,U$3,BD!$B$3:$B$5001,$A$405,BD!$W$3:$W$5001,"&lt;&gt;")=0,"",SUMIFS(BD!$W$3:$W$5001,BD!$A$3:$A$5001,U$3,BD!$B$3:$B$5001,$A$405)))</f>
        <v/>
      </c>
      <c r="V425" s="159" t="str">
        <f>IF(V$3="","",IF(COUNTIFS(BD!$A$3:$A$5001,V$3,BD!$B$3:$B$5001,$A$405,BD!$W$3:$W$5001,"&lt;&gt;")=0,"",SUMIFS(BD!$W$3:$W$5001,BD!$A$3:$A$5001,V$3,BD!$B$3:$B$5001,$A$405)))</f>
        <v/>
      </c>
      <c r="W425" s="159" t="str">
        <f>IF(W$3="","",IF(COUNTIFS(BD!$A$3:$A$5001,W$3,BD!$B$3:$B$5001,$A$405,BD!$W$3:$W$5001,"&lt;&gt;")=0,"",SUMIFS(BD!$W$3:$W$5001,BD!$A$3:$A$5001,W$3,BD!$B$3:$B$5001,$A$405)))</f>
        <v/>
      </c>
      <c r="X425" s="159" t="str">
        <f>IF(X$3="","",IF(COUNTIFS(BD!$A$3:$A$5001,X$3,BD!$B$3:$B$5001,$A$405,BD!$W$3:$W$5001,"&lt;&gt;")=0,"",SUMIFS(BD!$W$3:$W$5001,BD!$A$3:$A$5001,X$3,BD!$B$3:$B$5001,$A$405)))</f>
        <v/>
      </c>
      <c r="Y425" s="159" t="str">
        <f>IF(Y$3="","",IF(COUNTIFS(BD!$A$3:$A$5001,Y$3,BD!$B$3:$B$5001,$A$405,BD!$W$3:$W$5001,"&lt;&gt;")=0,"",SUMIFS(BD!$W$3:$W$5001,BD!$A$3:$A$5001,Y$3,BD!$B$3:$B$5001,$A$405)))</f>
        <v/>
      </c>
      <c r="Z425" s="159" t="str">
        <f>IF(Z$3="","",IF(COUNTIFS(BD!$A$3:$A$5001,Z$3,BD!$B$3:$B$5001,$A$405,BD!$W$3:$W$5001,"&lt;&gt;")=0,"",SUMIFS(BD!$W$3:$W$5001,BD!$A$3:$A$5001,Z$3,BD!$B$3:$B$5001,$A$405)))</f>
        <v/>
      </c>
      <c r="AA425" s="159" t="str">
        <f>IF(AA$3="","",IF(COUNTIFS(BD!$A$3:$A$5001,AA$3,BD!$B$3:$B$5001,$A$405,BD!$W$3:$W$5001,"&lt;&gt;")=0,"",SUMIFS(BD!$W$3:$W$5001,BD!$A$3:$A$5001,AA$3,BD!$B$3:$B$5001,$A$405)))</f>
        <v/>
      </c>
      <c r="AB425" s="159" t="str">
        <f>IF(AB$3="","",IF(COUNTIFS(BD!$A$3:$A$5001,AB$3,BD!$B$3:$B$5001,$A$405,BD!$W$3:$W$5001,"&lt;&gt;")=0,"",SUMIFS(BD!$W$3:$W$5001,BD!$A$3:$A$5001,AB$3,BD!$B$3:$B$5001,$A$405)))</f>
        <v/>
      </c>
      <c r="AC425" s="159" t="str">
        <f>IF(AC$3="","",IF(COUNTIFS(BD!$A$3:$A$5001,AC$3,BD!$B$3:$B$5001,$A$405,BD!$W$3:$W$5001,"&lt;&gt;")=0,"",SUMIFS(BD!$W$3:$W$5001,BD!$A$3:$A$5001,AC$3,BD!$B$3:$B$5001,$A$405)))</f>
        <v/>
      </c>
      <c r="AD425" s="159" t="str">
        <f>IF(AD$3="","",IF(COUNTIFS(BD!$A$3:$A$5001,AD$3,BD!$B$3:$B$5001,$A$405,BD!$W$3:$W$5001,"&lt;&gt;")=0,"",SUMIFS(BD!$W$3:$W$5001,BD!$A$3:$A$5001,AD$3,BD!$B$3:$B$5001,$A$405)))</f>
        <v/>
      </c>
      <c r="AE425" s="159" t="str">
        <f>IF(AE$3="","",IF(COUNTIFS(BD!$A$3:$A$5001,AE$3,BD!$B$3:$B$5001,$A$405,BD!$W$3:$W$5001,"&lt;&gt;")=0,"",SUMIFS(BD!$W$3:$W$5001,BD!$A$3:$A$5001,AE$3,BD!$B$3:$B$5001,$A$405)))</f>
        <v/>
      </c>
      <c r="AF425" s="159" t="str">
        <f>IF(AF$3="","",IF(COUNTIFS(BD!$A$3:$A$5001,AF$3,BD!$B$3:$B$5001,$A$405,BD!$W$3:$W$5001,"&lt;&gt;")=0,"",SUMIFS(BD!$W$3:$W$5001,BD!$A$3:$A$5001,AF$3,BD!$B$3:$B$5001,$A$405)))</f>
        <v/>
      </c>
      <c r="AG425" s="159" t="str">
        <f>IF(AG$3="","",IF(COUNTIFS(BD!$A$3:$A$5001,AG$3,BD!$B$3:$B$5001,$A$405,BD!$W$3:$W$5001,"&lt;&gt;")=0,"",SUMIFS(BD!$W$3:$W$5001,BD!$A$3:$A$5001,AG$3,BD!$B$3:$B$5001,$A$405)))</f>
        <v/>
      </c>
      <c r="AH425" s="159" t="str">
        <f>IF(AH$3="","",IF(COUNTIFS(BD!$A$3:$A$5001,AH$3,BD!$B$3:$B$5001,$A$405,BD!$W$3:$W$5001,"&lt;&gt;")=0,"",SUMIFS(BD!$W$3:$W$5001,BD!$A$3:$A$5001,AH$3,BD!$B$3:$B$5001,$A$405)))</f>
        <v/>
      </c>
      <c r="AI425" s="159" t="str">
        <f>IF(AI$3="","",IF(COUNTIFS(BD!$A$3:$A$5001,AI$3,BD!$B$3:$B$5001,$A$405,BD!$W$3:$W$5001,"&lt;&gt;")=0,"",SUMIFS(BD!$W$3:$W$5001,BD!$A$3:$A$5001,AI$3,BD!$B$3:$B$5001,$A$405)))</f>
        <v/>
      </c>
      <c r="AJ425" s="160" t="str">
        <f>IF(AJ$3="","",IF(COUNTIFS(BD!$A$3:$A$5001,AJ$3,BD!$B$3:$B$5001,$A$405,BD!$W$3:$W$5001,"&lt;&gt;")=0,"",SUMIFS(BD!$W$3:$W$5001,BD!$A$3:$A$5001,AJ$3,BD!$B$3:$B$5001,$A$405)))</f>
        <v/>
      </c>
      <c r="AK425" s="161" t="str">
        <f>IF(COUNT(F425:AJ425)&gt;0,LOOKUP(9.99E+307,F425:AJ425),IFERROR(IF(INDEX(BD!$AG$3:$AG$5001,MATCH($A$405,BD!$B$3:$B$5001,0))&amp;""="Contrato","",INDEX(BD!$AG$3:$AG$5001,MATCH($A$405,BD!$B$3:$B$5001,0))&amp;""),""))</f>
        <v/>
      </c>
    </row>
    <row r="426" ht="15.75" customHeight="1" hidden="1">
      <c r="A426" s="244"/>
      <c r="B426" s="239"/>
      <c r="C426" s="201" t="inlineStr">
        <is>
          <t xml:space="preserve">Posições Ocupadas</t>
        </is>
      </c>
      <c r="D426" s="202" t="str">
        <f>IFERROR(1/(1/INDEX(BD!$AJ$44:$BD$44,MATCH($A$405,BD!$AJ$22:$BD$22,0))),"")</f>
        <v/>
      </c>
      <c r="E426" s="203"/>
      <c r="F426" s="204" t="str">
        <f>IF(F$3="","",IF(COUNTIFS(BD!$A$3:$A$5001,F$3,BD!$B$3:$B$5001,$A$405,BD!$X$3:$X$5001,"&lt;&gt;")=0,"",SUMIFS(BD!$X$3:$X$5001,BD!$A$3:$A$5001,F$3,BD!$B$3:$B$5001,$A$405)))</f>
        <v/>
      </c>
      <c r="G426" s="205" t="str">
        <f>IF(G$3="","",IF(COUNTIFS(BD!$A$3:$A$5001,G$3,BD!$B$3:$B$5001,$A$405,BD!$X$3:$X$5001,"&lt;&gt;")=0,"",SUMIFS(BD!$X$3:$X$5001,BD!$A$3:$A$5001,G$3,BD!$B$3:$B$5001,$A$405)))</f>
        <v/>
      </c>
      <c r="H426" s="205" t="str">
        <f>IF(H$3="","",IF(COUNTIFS(BD!$A$3:$A$5001,H$3,BD!$B$3:$B$5001,$A$405,BD!$X$3:$X$5001,"&lt;&gt;")=0,"",SUMIFS(BD!$X$3:$X$5001,BD!$A$3:$A$5001,H$3,BD!$B$3:$B$5001,$A$405)))</f>
        <v/>
      </c>
      <c r="I426" s="205" t="str">
        <f>IF(I$3="","",IF(COUNTIFS(BD!$A$3:$A$5001,I$3,BD!$B$3:$B$5001,$A$405,BD!$X$3:$X$5001,"&lt;&gt;")=0,"",SUMIFS(BD!$X$3:$X$5001,BD!$A$3:$A$5001,I$3,BD!$B$3:$B$5001,$A$405)))</f>
        <v/>
      </c>
      <c r="J426" s="205" t="str">
        <f>IF(J$3="","",IF(COUNTIFS(BD!$A$3:$A$5001,J$3,BD!$B$3:$B$5001,$A$405,BD!$X$3:$X$5001,"&lt;&gt;")=0,"",SUMIFS(BD!$X$3:$X$5001,BD!$A$3:$A$5001,J$3,BD!$B$3:$B$5001,$A$405)))</f>
        <v/>
      </c>
      <c r="K426" s="205" t="str">
        <f>IF(K$3="","",IF(COUNTIFS(BD!$A$3:$A$5001,K$3,BD!$B$3:$B$5001,$A$405,BD!$X$3:$X$5001,"&lt;&gt;")=0,"",SUMIFS(BD!$X$3:$X$5001,BD!$A$3:$A$5001,K$3,BD!$B$3:$B$5001,$A$405)))</f>
        <v/>
      </c>
      <c r="L426" s="205" t="str">
        <f>IF(L$3="","",IF(COUNTIFS(BD!$A$3:$A$5001,L$3,BD!$B$3:$B$5001,$A$405,BD!$X$3:$X$5001,"&lt;&gt;")=0,"",SUMIFS(BD!$X$3:$X$5001,BD!$A$3:$A$5001,L$3,BD!$B$3:$B$5001,$A$405)))</f>
        <v/>
      </c>
      <c r="M426" s="205" t="str">
        <f>IF(M$3="","",IF(COUNTIFS(BD!$A$3:$A$5001,M$3,BD!$B$3:$B$5001,$A$405,BD!$X$3:$X$5001,"&lt;&gt;")=0,"",SUMIFS(BD!$X$3:$X$5001,BD!$A$3:$A$5001,M$3,BD!$B$3:$B$5001,$A$405)))</f>
        <v/>
      </c>
      <c r="N426" s="205" t="str">
        <f>IF(N$3="","",IF(COUNTIFS(BD!$A$3:$A$5001,N$3,BD!$B$3:$B$5001,$A$405,BD!$X$3:$X$5001,"&lt;&gt;")=0,"",SUMIFS(BD!$X$3:$X$5001,BD!$A$3:$A$5001,N$3,BD!$B$3:$B$5001,$A$405)))</f>
        <v/>
      </c>
      <c r="O426" s="205" t="str">
        <f>IF(O$3="","",IF(COUNTIFS(BD!$A$3:$A$5001,O$3,BD!$B$3:$B$5001,$A$405,BD!$X$3:$X$5001,"&lt;&gt;")=0,"",SUMIFS(BD!$X$3:$X$5001,BD!$A$3:$A$5001,O$3,BD!$B$3:$B$5001,$A$405)))</f>
        <v/>
      </c>
      <c r="P426" s="205" t="str">
        <f>IF(P$3="","",IF(COUNTIFS(BD!$A$3:$A$5001,P$3,BD!$B$3:$B$5001,$A$405,BD!$X$3:$X$5001,"&lt;&gt;")=0,"",SUMIFS(BD!$X$3:$X$5001,BD!$A$3:$A$5001,P$3,BD!$B$3:$B$5001,$A$405)))</f>
        <v/>
      </c>
      <c r="Q426" s="205" t="str">
        <f>IF(Q$3="","",IF(COUNTIFS(BD!$A$3:$A$5001,Q$3,BD!$B$3:$B$5001,$A$405,BD!$X$3:$X$5001,"&lt;&gt;")=0,"",SUMIFS(BD!$X$3:$X$5001,BD!$A$3:$A$5001,Q$3,BD!$B$3:$B$5001,$A$405)))</f>
        <v/>
      </c>
      <c r="R426" s="205" t="str">
        <f>IF(R$3="","",IF(COUNTIFS(BD!$A$3:$A$5001,R$3,BD!$B$3:$B$5001,$A$405,BD!$X$3:$X$5001,"&lt;&gt;")=0,"",SUMIFS(BD!$X$3:$X$5001,BD!$A$3:$A$5001,R$3,BD!$B$3:$B$5001,$A$405)))</f>
        <v/>
      </c>
      <c r="S426" s="205" t="str">
        <f>IF(S$3="","",IF(COUNTIFS(BD!$A$3:$A$5001,S$3,BD!$B$3:$B$5001,$A$405,BD!$X$3:$X$5001,"&lt;&gt;")=0,"",SUMIFS(BD!$X$3:$X$5001,BD!$A$3:$A$5001,S$3,BD!$B$3:$B$5001,$A$405)))</f>
        <v/>
      </c>
      <c r="T426" s="205" t="str">
        <f>IF(T$3="","",IF(COUNTIFS(BD!$A$3:$A$5001,T$3,BD!$B$3:$B$5001,$A$405,BD!$X$3:$X$5001,"&lt;&gt;")=0,"",SUMIFS(BD!$X$3:$X$5001,BD!$A$3:$A$5001,T$3,BD!$B$3:$B$5001,$A$405)))</f>
        <v/>
      </c>
      <c r="U426" s="205" t="str">
        <f>IF(U$3="","",IF(COUNTIFS(BD!$A$3:$A$5001,U$3,BD!$B$3:$B$5001,$A$405,BD!$X$3:$X$5001,"&lt;&gt;")=0,"",SUMIFS(BD!$X$3:$X$5001,BD!$A$3:$A$5001,U$3,BD!$B$3:$B$5001,$A$405)))</f>
        <v/>
      </c>
      <c r="V426" s="205" t="str">
        <f>IF(V$3="","",IF(COUNTIFS(BD!$A$3:$A$5001,V$3,BD!$B$3:$B$5001,$A$405,BD!$X$3:$X$5001,"&lt;&gt;")=0,"",SUMIFS(BD!$X$3:$X$5001,BD!$A$3:$A$5001,V$3,BD!$B$3:$B$5001,$A$405)))</f>
        <v/>
      </c>
      <c r="W426" s="205" t="str">
        <f>IF(W$3="","",IF(COUNTIFS(BD!$A$3:$A$5001,W$3,BD!$B$3:$B$5001,$A$405,BD!$X$3:$X$5001,"&lt;&gt;")=0,"",SUMIFS(BD!$X$3:$X$5001,BD!$A$3:$A$5001,W$3,BD!$B$3:$B$5001,$A$405)))</f>
        <v/>
      </c>
      <c r="X426" s="205" t="str">
        <f>IF(X$3="","",IF(COUNTIFS(BD!$A$3:$A$5001,X$3,BD!$B$3:$B$5001,$A$405,BD!$X$3:$X$5001,"&lt;&gt;")=0,"",SUMIFS(BD!$X$3:$X$5001,BD!$A$3:$A$5001,X$3,BD!$B$3:$B$5001,$A$405)))</f>
        <v/>
      </c>
      <c r="Y426" s="205" t="str">
        <f>IF(Y$3="","",IF(COUNTIFS(BD!$A$3:$A$5001,Y$3,BD!$B$3:$B$5001,$A$405,BD!$X$3:$X$5001,"&lt;&gt;")=0,"",SUMIFS(BD!$X$3:$X$5001,BD!$A$3:$A$5001,Y$3,BD!$B$3:$B$5001,$A$405)))</f>
        <v/>
      </c>
      <c r="Z426" s="205" t="str">
        <f>IF(Z$3="","",IF(COUNTIFS(BD!$A$3:$A$5001,Z$3,BD!$B$3:$B$5001,$A$405,BD!$X$3:$X$5001,"&lt;&gt;")=0,"",SUMIFS(BD!$X$3:$X$5001,BD!$A$3:$A$5001,Z$3,BD!$B$3:$B$5001,$A$405)))</f>
        <v/>
      </c>
      <c r="AA426" s="205" t="str">
        <f>IF(AA$3="","",IF(COUNTIFS(BD!$A$3:$A$5001,AA$3,BD!$B$3:$B$5001,$A$405,BD!$X$3:$X$5001,"&lt;&gt;")=0,"",SUMIFS(BD!$X$3:$X$5001,BD!$A$3:$A$5001,AA$3,BD!$B$3:$B$5001,$A$405)))</f>
        <v/>
      </c>
      <c r="AB426" s="205" t="str">
        <f>IF(AB$3="","",IF(COUNTIFS(BD!$A$3:$A$5001,AB$3,BD!$B$3:$B$5001,$A$405,BD!$X$3:$X$5001,"&lt;&gt;")=0,"",SUMIFS(BD!$X$3:$X$5001,BD!$A$3:$A$5001,AB$3,BD!$B$3:$B$5001,$A$405)))</f>
        <v/>
      </c>
      <c r="AC426" s="205" t="str">
        <f>IF(AC$3="","",IF(COUNTIFS(BD!$A$3:$A$5001,AC$3,BD!$B$3:$B$5001,$A$405,BD!$X$3:$X$5001,"&lt;&gt;")=0,"",SUMIFS(BD!$X$3:$X$5001,BD!$A$3:$A$5001,AC$3,BD!$B$3:$B$5001,$A$405)))</f>
        <v/>
      </c>
      <c r="AD426" s="205" t="str">
        <f>IF(AD$3="","",IF(COUNTIFS(BD!$A$3:$A$5001,AD$3,BD!$B$3:$B$5001,$A$405,BD!$X$3:$X$5001,"&lt;&gt;")=0,"",SUMIFS(BD!$X$3:$X$5001,BD!$A$3:$A$5001,AD$3,BD!$B$3:$B$5001,$A$405)))</f>
        <v/>
      </c>
      <c r="AE426" s="205" t="str">
        <f>IF(AE$3="","",IF(COUNTIFS(BD!$A$3:$A$5001,AE$3,BD!$B$3:$B$5001,$A$405,BD!$X$3:$X$5001,"&lt;&gt;")=0,"",SUMIFS(BD!$X$3:$X$5001,BD!$A$3:$A$5001,AE$3,BD!$B$3:$B$5001,$A$405)))</f>
        <v/>
      </c>
      <c r="AF426" s="205" t="str">
        <f>IF(AF$3="","",IF(COUNTIFS(BD!$A$3:$A$5001,AF$3,BD!$B$3:$B$5001,$A$405,BD!$X$3:$X$5001,"&lt;&gt;")=0,"",SUMIFS(BD!$X$3:$X$5001,BD!$A$3:$A$5001,AF$3,BD!$B$3:$B$5001,$A$405)))</f>
        <v/>
      </c>
      <c r="AG426" s="205" t="str">
        <f>IF(AG$3="","",IF(COUNTIFS(BD!$A$3:$A$5001,AG$3,BD!$B$3:$B$5001,$A$405,BD!$X$3:$X$5001,"&lt;&gt;")=0,"",SUMIFS(BD!$X$3:$X$5001,BD!$A$3:$A$5001,AG$3,BD!$B$3:$B$5001,$A$405)))</f>
        <v/>
      </c>
      <c r="AH426" s="205" t="str">
        <f>IF(AH$3="","",IF(COUNTIFS(BD!$A$3:$A$5001,AH$3,BD!$B$3:$B$5001,$A$405,BD!$X$3:$X$5001,"&lt;&gt;")=0,"",SUMIFS(BD!$X$3:$X$5001,BD!$A$3:$A$5001,AH$3,BD!$B$3:$B$5001,$A$405)))</f>
        <v/>
      </c>
      <c r="AI426" s="205" t="str">
        <f>IF(AI$3="","",IF(COUNTIFS(BD!$A$3:$A$5001,AI$3,BD!$B$3:$B$5001,$A$405,BD!$X$3:$X$5001,"&lt;&gt;")=0,"",SUMIFS(BD!$X$3:$X$5001,BD!$A$3:$A$5001,AI$3,BD!$B$3:$B$5001,$A$405)))</f>
        <v/>
      </c>
      <c r="AJ426" s="206" t="str">
        <f>IF(AJ$3="","",IF(COUNTIFS(BD!$A$3:$A$5001,AJ$3,BD!$B$3:$B$5001,$A$405,BD!$X$3:$X$5001,"&lt;&gt;")=0,"",SUMIFS(BD!$X$3:$X$5001,BD!$A$3:$A$5001,AJ$3,BD!$B$3:$B$5001,$A$405)))</f>
        <v/>
      </c>
      <c r="AK426" s="207" t="str">
        <f>IFERROR(LOOKUP(9.99E+307,F426:AJ426),"")</f>
        <v/>
      </c>
    </row>
    <row r="427" ht="15.75" customHeight="1" hidden="1">
      <c r="A427" s="244"/>
      <c r="B427" s="233"/>
      <c r="C427" s="162" t="inlineStr">
        <is>
          <t xml:space="preserve">Taxa de Ocupação</t>
        </is>
      </c>
      <c r="D427" s="208" t="str">
        <f>IFERROR(1/(1/INDEX(BD!$AJ$45:$BD$45,MATCH($A$405,BD!$AJ$22:$BD$22,0))),"")</f>
        <v/>
      </c>
      <c r="E427" s="164"/>
      <c r="F427" s="209" t="str">
        <f>IF(AND(ISNUMBER(F425),ISNUMBER(F426)),IF(F425&gt;0,F426/F425,""),"")</f>
        <v/>
      </c>
      <c r="G427" s="210" t="str">
        <f>IF(AND(ISNUMBER(G425),ISNUMBER(G426)),IF(G425&gt;0,G426/G425,""),"")</f>
        <v/>
      </c>
      <c r="H427" s="210" t="str">
        <f>IF(AND(ISNUMBER(H425),ISNUMBER(H426)),IF(H425&gt;0,H426/H425,""),"")</f>
        <v/>
      </c>
      <c r="I427" s="210" t="str">
        <f>IF(AND(ISNUMBER(I425),ISNUMBER(I426)),IF(I425&gt;0,I426/I425,""),"")</f>
        <v/>
      </c>
      <c r="J427" s="210" t="str">
        <f>IF(AND(ISNUMBER(J425),ISNUMBER(J426)),IF(J425&gt;0,J426/J425,""),"")</f>
        <v/>
      </c>
      <c r="K427" s="210" t="str">
        <f>IF(AND(ISNUMBER(K425),ISNUMBER(K426)),IF(K425&gt;0,K426/K425,""),"")</f>
        <v/>
      </c>
      <c r="L427" s="210" t="str">
        <f>IF(AND(ISNUMBER(L425),ISNUMBER(L426)),IF(L425&gt;0,L426/L425,""),"")</f>
        <v/>
      </c>
      <c r="M427" s="210" t="str">
        <f>IF(AND(ISNUMBER(M425),ISNUMBER(M426)),IF(M425&gt;0,M426/M425,""),"")</f>
        <v/>
      </c>
      <c r="N427" s="210" t="str">
        <f>IF(AND(ISNUMBER(N425),ISNUMBER(N426)),IF(N425&gt;0,N426/N425,""),"")</f>
        <v/>
      </c>
      <c r="O427" s="210" t="str">
        <f>IF(AND(ISNUMBER(O425),ISNUMBER(O426)),IF(O425&gt;0,O426/O425,""),"")</f>
        <v/>
      </c>
      <c r="P427" s="210" t="str">
        <f>IF(AND(ISNUMBER(P425),ISNUMBER(P426)),IF(P425&gt;0,P426/P425,""),"")</f>
        <v/>
      </c>
      <c r="Q427" s="210" t="str">
        <f>IF(AND(ISNUMBER(Q425),ISNUMBER(Q426)),IF(Q425&gt;0,Q426/Q425,""),"")</f>
        <v/>
      </c>
      <c r="R427" s="210" t="str">
        <f>IF(AND(ISNUMBER(R425),ISNUMBER(R426)),IF(R425&gt;0,R426/R425,""),"")</f>
        <v/>
      </c>
      <c r="S427" s="210" t="str">
        <f>IF(AND(ISNUMBER(S425),ISNUMBER(S426)),IF(S425&gt;0,S426/S425,""),"")</f>
        <v/>
      </c>
      <c r="T427" s="210" t="str">
        <f>IF(AND(ISNUMBER(T425),ISNUMBER(T426)),IF(T425&gt;0,T426/T425,""),"")</f>
        <v/>
      </c>
      <c r="U427" s="210" t="str">
        <f>IF(AND(ISNUMBER(U425),ISNUMBER(U426)),IF(U425&gt;0,U426/U425,""),"")</f>
        <v/>
      </c>
      <c r="V427" s="210" t="str">
        <f>IF(AND(ISNUMBER(V425),ISNUMBER(V426)),IF(V425&gt;0,V426/V425,""),"")</f>
        <v/>
      </c>
      <c r="W427" s="210" t="str">
        <f>IF(AND(ISNUMBER(W425),ISNUMBER(W426)),IF(W425&gt;0,W426/W425,""),"")</f>
        <v/>
      </c>
      <c r="X427" s="210" t="str">
        <f>IF(AND(ISNUMBER(X425),ISNUMBER(X426)),IF(X425&gt;0,X426/X425,""),"")</f>
        <v/>
      </c>
      <c r="Y427" s="210" t="str">
        <f>IF(AND(ISNUMBER(Y425),ISNUMBER(Y426)),IF(Y425&gt;0,Y426/Y425,""),"")</f>
        <v/>
      </c>
      <c r="Z427" s="210" t="str">
        <f>IF(AND(ISNUMBER(Z425),ISNUMBER(Z426)),IF(Z425&gt;0,Z426/Z425,""),"")</f>
        <v/>
      </c>
      <c r="AA427" s="210" t="str">
        <f>IF(AND(ISNUMBER(AA425),ISNUMBER(AA426)),IF(AA425&gt;0,AA426/AA425,""),"")</f>
        <v/>
      </c>
      <c r="AB427" s="210" t="str">
        <f>IF(AND(ISNUMBER(AB425),ISNUMBER(AB426)),IF(AB425&gt;0,AB426/AB425,""),"")</f>
        <v/>
      </c>
      <c r="AC427" s="210" t="str">
        <f>IF(AND(ISNUMBER(AC425),ISNUMBER(AC426)),IF(AC425&gt;0,AC426/AC425,""),"")</f>
        <v/>
      </c>
      <c r="AD427" s="210" t="str">
        <f>IF(AND(ISNUMBER(AD425),ISNUMBER(AD426)),IF(AD425&gt;0,AD426/AD425,""),"")</f>
        <v/>
      </c>
      <c r="AE427" s="210" t="str">
        <f>IF(AND(ISNUMBER(AE425),ISNUMBER(AE426)),IF(AE425&gt;0,AE426/AE425,""),"")</f>
        <v/>
      </c>
      <c r="AF427" s="210" t="str">
        <f>IF(AND(ISNUMBER(AF425),ISNUMBER(AF426)),IF(AF425&gt;0,AF426/AF425,""),"")</f>
        <v/>
      </c>
      <c r="AG427" s="210" t="str">
        <f>IF(AND(ISNUMBER(AG425),ISNUMBER(AG426)),IF(AG425&gt;0,AG426/AG425,""),"")</f>
        <v/>
      </c>
      <c r="AH427" s="210" t="str">
        <f>IF(AND(ISNUMBER(AH425),ISNUMBER(AH426)),IF(AH425&gt;0,AH426/AH425,""),"")</f>
        <v/>
      </c>
      <c r="AI427" s="210" t="str">
        <f>IF(AND(ISNUMBER(AI425),ISNUMBER(AI426)),IF(AI425&gt;0,AI426/AI425,""),"")</f>
        <v/>
      </c>
      <c r="AJ427" s="211" t="str">
        <f>IF(AND(ISNUMBER(AJ425),ISNUMBER(AJ426)),IF(AJ425&gt;0,AJ426/AJ425,""),"")</f>
        <v/>
      </c>
      <c r="AK427" s="208" t="str">
        <f>IF(AND(ISNUMBER(AK425),ISNUMBER(AK426)),IF(AK425&gt;0,AK426/AK425,""),"")</f>
        <v/>
      </c>
    </row>
    <row r="428" ht="15.75" customHeight="1" hidden="1">
      <c r="A428" s="244"/>
      <c r="B428" s="240" t="inlineStr">
        <is>
          <t xml:space="preserve">GENTE</t>
        </is>
      </c>
      <c r="C428" s="212" t="inlineStr">
        <is>
          <t xml:space="preserve">Efetivo Op.</t>
        </is>
      </c>
      <c r="D428" s="213" t="str">
        <f>IFERROR(1/(1/INDEX(BD!$AJ$46:$BD$46,MATCH($A$405,BD!$AJ$22:$BD$22,0))),"")</f>
        <v/>
      </c>
      <c r="E428" s="214"/>
      <c r="F428" s="215" t="str">
        <f>IF(F$3="","",IF(COUNTIFS(BD!$A$3:$A$5001,F$3,BD!$B$3:$B$5001,$A$405,BD!$Y$3:$Y$5001,"&lt;&gt;")=0,"",SUMIFS(BD!$Y$3:$Y$5001,BD!$A$3:$A$5001,F$3,BD!$B$3:$B$5001,$A$405)))</f>
        <v/>
      </c>
      <c r="G428" s="216" t="str">
        <f>IF(G$3="","",IF(COUNTIFS(BD!$A$3:$A$5001,G$3,BD!$B$3:$B$5001,$A$405,BD!$Y$3:$Y$5001,"&lt;&gt;")=0,"",SUMIFS(BD!$Y$3:$Y$5001,BD!$A$3:$A$5001,G$3,BD!$B$3:$B$5001,$A$405)))</f>
        <v/>
      </c>
      <c r="H428" s="216" t="str">
        <f>IF(H$3="","",IF(COUNTIFS(BD!$A$3:$A$5001,H$3,BD!$B$3:$B$5001,$A$405,BD!$Y$3:$Y$5001,"&lt;&gt;")=0,"",SUMIFS(BD!$Y$3:$Y$5001,BD!$A$3:$A$5001,H$3,BD!$B$3:$B$5001,$A$405)))</f>
        <v/>
      </c>
      <c r="I428" s="216" t="str">
        <f>IF(I$3="","",IF(COUNTIFS(BD!$A$3:$A$5001,I$3,BD!$B$3:$B$5001,$A$405,BD!$Y$3:$Y$5001,"&lt;&gt;")=0,"",SUMIFS(BD!$Y$3:$Y$5001,BD!$A$3:$A$5001,I$3,BD!$B$3:$B$5001,$A$405)))</f>
        <v/>
      </c>
      <c r="J428" s="216" t="str">
        <f>IF(J$3="","",IF(COUNTIFS(BD!$A$3:$A$5001,J$3,BD!$B$3:$B$5001,$A$405,BD!$Y$3:$Y$5001,"&lt;&gt;")=0,"",SUMIFS(BD!$Y$3:$Y$5001,BD!$A$3:$A$5001,J$3,BD!$B$3:$B$5001,$A$405)))</f>
        <v/>
      </c>
      <c r="K428" s="216" t="str">
        <f>IF(K$3="","",IF(COUNTIFS(BD!$A$3:$A$5001,K$3,BD!$B$3:$B$5001,$A$405,BD!$Y$3:$Y$5001,"&lt;&gt;")=0,"",SUMIFS(BD!$Y$3:$Y$5001,BD!$A$3:$A$5001,K$3,BD!$B$3:$B$5001,$A$405)))</f>
        <v/>
      </c>
      <c r="L428" s="216" t="str">
        <f>IF(L$3="","",IF(COUNTIFS(BD!$A$3:$A$5001,L$3,BD!$B$3:$B$5001,$A$405,BD!$Y$3:$Y$5001,"&lt;&gt;")=0,"",SUMIFS(BD!$Y$3:$Y$5001,BD!$A$3:$A$5001,L$3,BD!$B$3:$B$5001,$A$405)))</f>
        <v/>
      </c>
      <c r="M428" s="216" t="str">
        <f>IF(M$3="","",IF(COUNTIFS(BD!$A$3:$A$5001,M$3,BD!$B$3:$B$5001,$A$405,BD!$Y$3:$Y$5001,"&lt;&gt;")=0,"",SUMIFS(BD!$Y$3:$Y$5001,BD!$A$3:$A$5001,M$3,BD!$B$3:$B$5001,$A$405)))</f>
        <v/>
      </c>
      <c r="N428" s="216" t="str">
        <f>IF(N$3="","",IF(COUNTIFS(BD!$A$3:$A$5001,N$3,BD!$B$3:$B$5001,$A$405,BD!$Y$3:$Y$5001,"&lt;&gt;")=0,"",SUMIFS(BD!$Y$3:$Y$5001,BD!$A$3:$A$5001,N$3,BD!$B$3:$B$5001,$A$405)))</f>
        <v/>
      </c>
      <c r="O428" s="216" t="str">
        <f>IF(O$3="","",IF(COUNTIFS(BD!$A$3:$A$5001,O$3,BD!$B$3:$B$5001,$A$405,BD!$Y$3:$Y$5001,"&lt;&gt;")=0,"",SUMIFS(BD!$Y$3:$Y$5001,BD!$A$3:$A$5001,O$3,BD!$B$3:$B$5001,$A$405)))</f>
        <v/>
      </c>
      <c r="P428" s="216" t="str">
        <f>IF(P$3="","",IF(COUNTIFS(BD!$A$3:$A$5001,P$3,BD!$B$3:$B$5001,$A$405,BD!$Y$3:$Y$5001,"&lt;&gt;")=0,"",SUMIFS(BD!$Y$3:$Y$5001,BD!$A$3:$A$5001,P$3,BD!$B$3:$B$5001,$A$405)))</f>
        <v/>
      </c>
      <c r="Q428" s="216" t="str">
        <f>IF(Q$3="","",IF(COUNTIFS(BD!$A$3:$A$5001,Q$3,BD!$B$3:$B$5001,$A$405,BD!$Y$3:$Y$5001,"&lt;&gt;")=0,"",SUMIFS(BD!$Y$3:$Y$5001,BD!$A$3:$A$5001,Q$3,BD!$B$3:$B$5001,$A$405)))</f>
        <v/>
      </c>
      <c r="R428" s="216" t="str">
        <f>IF(R$3="","",IF(COUNTIFS(BD!$A$3:$A$5001,R$3,BD!$B$3:$B$5001,$A$405,BD!$Y$3:$Y$5001,"&lt;&gt;")=0,"",SUMIFS(BD!$Y$3:$Y$5001,BD!$A$3:$A$5001,R$3,BD!$B$3:$B$5001,$A$405)))</f>
        <v/>
      </c>
      <c r="S428" s="216" t="str">
        <f>IF(S$3="","",IF(COUNTIFS(BD!$A$3:$A$5001,S$3,BD!$B$3:$B$5001,$A$405,BD!$Y$3:$Y$5001,"&lt;&gt;")=0,"",SUMIFS(BD!$Y$3:$Y$5001,BD!$A$3:$A$5001,S$3,BD!$B$3:$B$5001,$A$405)))</f>
        <v/>
      </c>
      <c r="T428" s="216" t="str">
        <f>IF(T$3="","",IF(COUNTIFS(BD!$A$3:$A$5001,T$3,BD!$B$3:$B$5001,$A$405,BD!$Y$3:$Y$5001,"&lt;&gt;")=0,"",SUMIFS(BD!$Y$3:$Y$5001,BD!$A$3:$A$5001,T$3,BD!$B$3:$B$5001,$A$405)))</f>
        <v/>
      </c>
      <c r="U428" s="216" t="str">
        <f>IF(U$3="","",IF(COUNTIFS(BD!$A$3:$A$5001,U$3,BD!$B$3:$B$5001,$A$405,BD!$Y$3:$Y$5001,"&lt;&gt;")=0,"",SUMIFS(BD!$Y$3:$Y$5001,BD!$A$3:$A$5001,U$3,BD!$B$3:$B$5001,$A$405)))</f>
        <v/>
      </c>
      <c r="V428" s="216" t="str">
        <f>IF(V$3="","",IF(COUNTIFS(BD!$A$3:$A$5001,V$3,BD!$B$3:$B$5001,$A$405,BD!$Y$3:$Y$5001,"&lt;&gt;")=0,"",SUMIFS(BD!$Y$3:$Y$5001,BD!$A$3:$A$5001,V$3,BD!$B$3:$B$5001,$A$405)))</f>
        <v/>
      </c>
      <c r="W428" s="216" t="str">
        <f>IF(W$3="","",IF(COUNTIFS(BD!$A$3:$A$5001,W$3,BD!$B$3:$B$5001,$A$405,BD!$Y$3:$Y$5001,"&lt;&gt;")=0,"",SUMIFS(BD!$Y$3:$Y$5001,BD!$A$3:$A$5001,W$3,BD!$B$3:$B$5001,$A$405)))</f>
        <v/>
      </c>
      <c r="X428" s="216" t="str">
        <f>IF(X$3="","",IF(COUNTIFS(BD!$A$3:$A$5001,X$3,BD!$B$3:$B$5001,$A$405,BD!$Y$3:$Y$5001,"&lt;&gt;")=0,"",SUMIFS(BD!$Y$3:$Y$5001,BD!$A$3:$A$5001,X$3,BD!$B$3:$B$5001,$A$405)))</f>
        <v/>
      </c>
      <c r="Y428" s="216" t="str">
        <f>IF(Y$3="","",IF(COUNTIFS(BD!$A$3:$A$5001,Y$3,BD!$B$3:$B$5001,$A$405,BD!$Y$3:$Y$5001,"&lt;&gt;")=0,"",SUMIFS(BD!$Y$3:$Y$5001,BD!$A$3:$A$5001,Y$3,BD!$B$3:$B$5001,$A$405)))</f>
        <v/>
      </c>
      <c r="Z428" s="216" t="str">
        <f>IF(Z$3="","",IF(COUNTIFS(BD!$A$3:$A$5001,Z$3,BD!$B$3:$B$5001,$A$405,BD!$Y$3:$Y$5001,"&lt;&gt;")=0,"",SUMIFS(BD!$Y$3:$Y$5001,BD!$A$3:$A$5001,Z$3,BD!$B$3:$B$5001,$A$405)))</f>
        <v/>
      </c>
      <c r="AA428" s="216" t="str">
        <f>IF(AA$3="","",IF(COUNTIFS(BD!$A$3:$A$5001,AA$3,BD!$B$3:$B$5001,$A$405,BD!$Y$3:$Y$5001,"&lt;&gt;")=0,"",SUMIFS(BD!$Y$3:$Y$5001,BD!$A$3:$A$5001,AA$3,BD!$B$3:$B$5001,$A$405)))</f>
        <v/>
      </c>
      <c r="AB428" s="216" t="str">
        <f>IF(AB$3="","",IF(COUNTIFS(BD!$A$3:$A$5001,AB$3,BD!$B$3:$B$5001,$A$405,BD!$Y$3:$Y$5001,"&lt;&gt;")=0,"",SUMIFS(BD!$Y$3:$Y$5001,BD!$A$3:$A$5001,AB$3,BD!$B$3:$B$5001,$A$405)))</f>
        <v/>
      </c>
      <c r="AC428" s="216" t="str">
        <f>IF(AC$3="","",IF(COUNTIFS(BD!$A$3:$A$5001,AC$3,BD!$B$3:$B$5001,$A$405,BD!$Y$3:$Y$5001,"&lt;&gt;")=0,"",SUMIFS(BD!$Y$3:$Y$5001,BD!$A$3:$A$5001,AC$3,BD!$B$3:$B$5001,$A$405)))</f>
        <v/>
      </c>
      <c r="AD428" s="216" t="str">
        <f>IF(AD$3="","",IF(COUNTIFS(BD!$A$3:$A$5001,AD$3,BD!$B$3:$B$5001,$A$405,BD!$Y$3:$Y$5001,"&lt;&gt;")=0,"",SUMIFS(BD!$Y$3:$Y$5001,BD!$A$3:$A$5001,AD$3,BD!$B$3:$B$5001,$A$405)))</f>
        <v/>
      </c>
      <c r="AE428" s="216" t="str">
        <f>IF(AE$3="","",IF(COUNTIFS(BD!$A$3:$A$5001,AE$3,BD!$B$3:$B$5001,$A$405,BD!$Y$3:$Y$5001,"&lt;&gt;")=0,"",SUMIFS(BD!$Y$3:$Y$5001,BD!$A$3:$A$5001,AE$3,BD!$B$3:$B$5001,$A$405)))</f>
        <v/>
      </c>
      <c r="AF428" s="216" t="str">
        <f>IF(AF$3="","",IF(COUNTIFS(BD!$A$3:$A$5001,AF$3,BD!$B$3:$B$5001,$A$405,BD!$Y$3:$Y$5001,"&lt;&gt;")=0,"",SUMIFS(BD!$Y$3:$Y$5001,BD!$A$3:$A$5001,AF$3,BD!$B$3:$B$5001,$A$405)))</f>
        <v/>
      </c>
      <c r="AG428" s="216" t="str">
        <f>IF(AG$3="","",IF(COUNTIFS(BD!$A$3:$A$5001,AG$3,BD!$B$3:$B$5001,$A$405,BD!$Y$3:$Y$5001,"&lt;&gt;")=0,"",SUMIFS(BD!$Y$3:$Y$5001,BD!$A$3:$A$5001,AG$3,BD!$B$3:$B$5001,$A$405)))</f>
        <v/>
      </c>
      <c r="AH428" s="216" t="str">
        <f>IF(AH$3="","",IF(COUNTIFS(BD!$A$3:$A$5001,AH$3,BD!$B$3:$B$5001,$A$405,BD!$Y$3:$Y$5001,"&lt;&gt;")=0,"",SUMIFS(BD!$Y$3:$Y$5001,BD!$A$3:$A$5001,AH$3,BD!$B$3:$B$5001,$A$405)))</f>
        <v/>
      </c>
      <c r="AI428" s="216" t="str">
        <f>IF(AI$3="","",IF(COUNTIFS(BD!$A$3:$A$5001,AI$3,BD!$B$3:$B$5001,$A$405,BD!$Y$3:$Y$5001,"&lt;&gt;")=0,"",SUMIFS(BD!$Y$3:$Y$5001,BD!$A$3:$A$5001,AI$3,BD!$B$3:$B$5001,$A$405)))</f>
        <v/>
      </c>
      <c r="AJ428" s="217" t="str">
        <f>IF(AJ$3="","",IF(COUNTIFS(BD!$A$3:$A$5001,AJ$3,BD!$B$3:$B$5001,$A$405,BD!$Y$3:$Y$5001,"&lt;&gt;")=0,"",SUMIFS(BD!$Y$3:$Y$5001,BD!$A$3:$A$5001,AJ$3,BD!$B$3:$B$5001,$A$405)))</f>
        <v/>
      </c>
      <c r="AK428" s="218" t="str">
        <f>IFERROR(LOOKUP(9.99E+307,F428:AJ428),"")</f>
        <v/>
      </c>
    </row>
    <row r="429" ht="15.75" customHeight="1" hidden="1">
      <c r="A429" s="244"/>
      <c r="B429" s="241"/>
      <c r="C429" s="219" t="inlineStr">
        <is>
          <t xml:space="preserve">Falta</t>
        </is>
      </c>
      <c r="D429" s="220" t="str">
        <f>IFERROR(1/(1/INDEX(BD!$AJ$47:$BD$47,MATCH($A$405,BD!$AJ$22:$BD$22,0))),"")</f>
        <v/>
      </c>
      <c r="E429" s="221"/>
      <c r="F429" s="222" t="str">
        <f>IF(F$3="","",IF(COUNTIFS(BD!$A$3:$A$5001,F$3,BD!$B$3:$B$5001,$A$405,BD!$Z$3:$Z$5001,"&lt;&gt;")=0,"",SUMIFS(BD!$Z$3:$Z$5001,BD!$A$3:$A$5001,F$3,BD!$B$3:$B$5001,$A$405)))</f>
        <v/>
      </c>
      <c r="G429" s="223" t="str">
        <f>IF(G$3="","",IF(COUNTIFS(BD!$A$3:$A$5001,G$3,BD!$B$3:$B$5001,$A$405,BD!$Z$3:$Z$5001,"&lt;&gt;")=0,"",SUMIFS(BD!$Z$3:$Z$5001,BD!$A$3:$A$5001,G$3,BD!$B$3:$B$5001,$A$405)))</f>
        <v/>
      </c>
      <c r="H429" s="223" t="str">
        <f>IF(H$3="","",IF(COUNTIFS(BD!$A$3:$A$5001,H$3,BD!$B$3:$B$5001,$A$405,BD!$Z$3:$Z$5001,"&lt;&gt;")=0,"",SUMIFS(BD!$Z$3:$Z$5001,BD!$A$3:$A$5001,H$3,BD!$B$3:$B$5001,$A$405)))</f>
        <v/>
      </c>
      <c r="I429" s="223" t="str">
        <f>IF(I$3="","",IF(COUNTIFS(BD!$A$3:$A$5001,I$3,BD!$B$3:$B$5001,$A$405,BD!$Z$3:$Z$5001,"&lt;&gt;")=0,"",SUMIFS(BD!$Z$3:$Z$5001,BD!$A$3:$A$5001,I$3,BD!$B$3:$B$5001,$A$405)))</f>
        <v/>
      </c>
      <c r="J429" s="223" t="str">
        <f>IF(J$3="","",IF(COUNTIFS(BD!$A$3:$A$5001,J$3,BD!$B$3:$B$5001,$A$405,BD!$Z$3:$Z$5001,"&lt;&gt;")=0,"",SUMIFS(BD!$Z$3:$Z$5001,BD!$A$3:$A$5001,J$3,BD!$B$3:$B$5001,$A$405)))</f>
        <v/>
      </c>
      <c r="K429" s="223" t="str">
        <f>IF(K$3="","",IF(COUNTIFS(BD!$A$3:$A$5001,K$3,BD!$B$3:$B$5001,$A$405,BD!$Z$3:$Z$5001,"&lt;&gt;")=0,"",SUMIFS(BD!$Z$3:$Z$5001,BD!$A$3:$A$5001,K$3,BD!$B$3:$B$5001,$A$405)))</f>
        <v/>
      </c>
      <c r="L429" s="223" t="str">
        <f>IF(L$3="","",IF(COUNTIFS(BD!$A$3:$A$5001,L$3,BD!$B$3:$B$5001,$A$405,BD!$Z$3:$Z$5001,"&lt;&gt;")=0,"",SUMIFS(BD!$Z$3:$Z$5001,BD!$A$3:$A$5001,L$3,BD!$B$3:$B$5001,$A$405)))</f>
        <v/>
      </c>
      <c r="M429" s="223" t="str">
        <f>IF(M$3="","",IF(COUNTIFS(BD!$A$3:$A$5001,M$3,BD!$B$3:$B$5001,$A$405,BD!$Z$3:$Z$5001,"&lt;&gt;")=0,"",SUMIFS(BD!$Z$3:$Z$5001,BD!$A$3:$A$5001,M$3,BD!$B$3:$B$5001,$A$405)))</f>
        <v/>
      </c>
      <c r="N429" s="223" t="str">
        <f>IF(N$3="","",IF(COUNTIFS(BD!$A$3:$A$5001,N$3,BD!$B$3:$B$5001,$A$405,BD!$Z$3:$Z$5001,"&lt;&gt;")=0,"",SUMIFS(BD!$Z$3:$Z$5001,BD!$A$3:$A$5001,N$3,BD!$B$3:$B$5001,$A$405)))</f>
        <v/>
      </c>
      <c r="O429" s="223" t="str">
        <f>IF(O$3="","",IF(COUNTIFS(BD!$A$3:$A$5001,O$3,BD!$B$3:$B$5001,$A$405,BD!$Z$3:$Z$5001,"&lt;&gt;")=0,"",SUMIFS(BD!$Z$3:$Z$5001,BD!$A$3:$A$5001,O$3,BD!$B$3:$B$5001,$A$405)))</f>
        <v/>
      </c>
      <c r="P429" s="223" t="str">
        <f>IF(P$3="","",IF(COUNTIFS(BD!$A$3:$A$5001,P$3,BD!$B$3:$B$5001,$A$405,BD!$Z$3:$Z$5001,"&lt;&gt;")=0,"",SUMIFS(BD!$Z$3:$Z$5001,BD!$A$3:$A$5001,P$3,BD!$B$3:$B$5001,$A$405)))</f>
        <v/>
      </c>
      <c r="Q429" s="223" t="str">
        <f>IF(Q$3="","",IF(COUNTIFS(BD!$A$3:$A$5001,Q$3,BD!$B$3:$B$5001,$A$405,BD!$Z$3:$Z$5001,"&lt;&gt;")=0,"",SUMIFS(BD!$Z$3:$Z$5001,BD!$A$3:$A$5001,Q$3,BD!$B$3:$B$5001,$A$405)))</f>
        <v/>
      </c>
      <c r="R429" s="223" t="str">
        <f>IF(R$3="","",IF(COUNTIFS(BD!$A$3:$A$5001,R$3,BD!$B$3:$B$5001,$A$405,BD!$Z$3:$Z$5001,"&lt;&gt;")=0,"",SUMIFS(BD!$Z$3:$Z$5001,BD!$A$3:$A$5001,R$3,BD!$B$3:$B$5001,$A$405)))</f>
        <v/>
      </c>
      <c r="S429" s="223" t="str">
        <f>IF(S$3="","",IF(COUNTIFS(BD!$A$3:$A$5001,S$3,BD!$B$3:$B$5001,$A$405,BD!$Z$3:$Z$5001,"&lt;&gt;")=0,"",SUMIFS(BD!$Z$3:$Z$5001,BD!$A$3:$A$5001,S$3,BD!$B$3:$B$5001,$A$405)))</f>
        <v/>
      </c>
      <c r="T429" s="223" t="str">
        <f>IF(T$3="","",IF(COUNTIFS(BD!$A$3:$A$5001,T$3,BD!$B$3:$B$5001,$A$405,BD!$Z$3:$Z$5001,"&lt;&gt;")=0,"",SUMIFS(BD!$Z$3:$Z$5001,BD!$A$3:$A$5001,T$3,BD!$B$3:$B$5001,$A$405)))</f>
        <v/>
      </c>
      <c r="U429" s="223" t="str">
        <f>IF(U$3="","",IF(COUNTIFS(BD!$A$3:$A$5001,U$3,BD!$B$3:$B$5001,$A$405,BD!$Z$3:$Z$5001,"&lt;&gt;")=0,"",SUMIFS(BD!$Z$3:$Z$5001,BD!$A$3:$A$5001,U$3,BD!$B$3:$B$5001,$A$405)))</f>
        <v/>
      </c>
      <c r="V429" s="223" t="str">
        <f>IF(V$3="","",IF(COUNTIFS(BD!$A$3:$A$5001,V$3,BD!$B$3:$B$5001,$A$405,BD!$Z$3:$Z$5001,"&lt;&gt;")=0,"",SUMIFS(BD!$Z$3:$Z$5001,BD!$A$3:$A$5001,V$3,BD!$B$3:$B$5001,$A$405)))</f>
        <v/>
      </c>
      <c r="W429" s="223" t="str">
        <f>IF(W$3="","",IF(COUNTIFS(BD!$A$3:$A$5001,W$3,BD!$B$3:$B$5001,$A$405,BD!$Z$3:$Z$5001,"&lt;&gt;")=0,"",SUMIFS(BD!$Z$3:$Z$5001,BD!$A$3:$A$5001,W$3,BD!$B$3:$B$5001,$A$405)))</f>
        <v/>
      </c>
      <c r="X429" s="223" t="str">
        <f>IF(X$3="","",IF(COUNTIFS(BD!$A$3:$A$5001,X$3,BD!$B$3:$B$5001,$A$405,BD!$Z$3:$Z$5001,"&lt;&gt;")=0,"",SUMIFS(BD!$Z$3:$Z$5001,BD!$A$3:$A$5001,X$3,BD!$B$3:$B$5001,$A$405)))</f>
        <v/>
      </c>
      <c r="Y429" s="223" t="str">
        <f>IF(Y$3="","",IF(COUNTIFS(BD!$A$3:$A$5001,Y$3,BD!$B$3:$B$5001,$A$405,BD!$Z$3:$Z$5001,"&lt;&gt;")=0,"",SUMIFS(BD!$Z$3:$Z$5001,BD!$A$3:$A$5001,Y$3,BD!$B$3:$B$5001,$A$405)))</f>
        <v/>
      </c>
      <c r="Z429" s="223" t="str">
        <f>IF(Z$3="","",IF(COUNTIFS(BD!$A$3:$A$5001,Z$3,BD!$B$3:$B$5001,$A$405,BD!$Z$3:$Z$5001,"&lt;&gt;")=0,"",SUMIFS(BD!$Z$3:$Z$5001,BD!$A$3:$A$5001,Z$3,BD!$B$3:$B$5001,$A$405)))</f>
        <v/>
      </c>
      <c r="AA429" s="223" t="str">
        <f>IF(AA$3="","",IF(COUNTIFS(BD!$A$3:$A$5001,AA$3,BD!$B$3:$B$5001,$A$405,BD!$Z$3:$Z$5001,"&lt;&gt;")=0,"",SUMIFS(BD!$Z$3:$Z$5001,BD!$A$3:$A$5001,AA$3,BD!$B$3:$B$5001,$A$405)))</f>
        <v/>
      </c>
      <c r="AB429" s="223" t="str">
        <f>IF(AB$3="","",IF(COUNTIFS(BD!$A$3:$A$5001,AB$3,BD!$B$3:$B$5001,$A$405,BD!$Z$3:$Z$5001,"&lt;&gt;")=0,"",SUMIFS(BD!$Z$3:$Z$5001,BD!$A$3:$A$5001,AB$3,BD!$B$3:$B$5001,$A$405)))</f>
        <v/>
      </c>
      <c r="AC429" s="223" t="str">
        <f>IF(AC$3="","",IF(COUNTIFS(BD!$A$3:$A$5001,AC$3,BD!$B$3:$B$5001,$A$405,BD!$Z$3:$Z$5001,"&lt;&gt;")=0,"",SUMIFS(BD!$Z$3:$Z$5001,BD!$A$3:$A$5001,AC$3,BD!$B$3:$B$5001,$A$405)))</f>
        <v/>
      </c>
      <c r="AD429" s="223" t="str">
        <f>IF(AD$3="","",IF(COUNTIFS(BD!$A$3:$A$5001,AD$3,BD!$B$3:$B$5001,$A$405,BD!$Z$3:$Z$5001,"&lt;&gt;")=0,"",SUMIFS(BD!$Z$3:$Z$5001,BD!$A$3:$A$5001,AD$3,BD!$B$3:$B$5001,$A$405)))</f>
        <v/>
      </c>
      <c r="AE429" s="223" t="str">
        <f>IF(AE$3="","",IF(COUNTIFS(BD!$A$3:$A$5001,AE$3,BD!$B$3:$B$5001,$A$405,BD!$Z$3:$Z$5001,"&lt;&gt;")=0,"",SUMIFS(BD!$Z$3:$Z$5001,BD!$A$3:$A$5001,AE$3,BD!$B$3:$B$5001,$A$405)))</f>
        <v/>
      </c>
      <c r="AF429" s="223" t="str">
        <f>IF(AF$3="","",IF(COUNTIFS(BD!$A$3:$A$5001,AF$3,BD!$B$3:$B$5001,$A$405,BD!$Z$3:$Z$5001,"&lt;&gt;")=0,"",SUMIFS(BD!$Z$3:$Z$5001,BD!$A$3:$A$5001,AF$3,BD!$B$3:$B$5001,$A$405)))</f>
        <v/>
      </c>
      <c r="AG429" s="223" t="str">
        <f>IF(AG$3="","",IF(COUNTIFS(BD!$A$3:$A$5001,AG$3,BD!$B$3:$B$5001,$A$405,BD!$Z$3:$Z$5001,"&lt;&gt;")=0,"",SUMIFS(BD!$Z$3:$Z$5001,BD!$A$3:$A$5001,AG$3,BD!$B$3:$B$5001,$A$405)))</f>
        <v/>
      </c>
      <c r="AH429" s="223" t="str">
        <f>IF(AH$3="","",IF(COUNTIFS(BD!$A$3:$A$5001,AH$3,BD!$B$3:$B$5001,$A$405,BD!$Z$3:$Z$5001,"&lt;&gt;")=0,"",SUMIFS(BD!$Z$3:$Z$5001,BD!$A$3:$A$5001,AH$3,BD!$B$3:$B$5001,$A$405)))</f>
        <v/>
      </c>
      <c r="AI429" s="223" t="str">
        <f>IF(AI$3="","",IF(COUNTIFS(BD!$A$3:$A$5001,AI$3,BD!$B$3:$B$5001,$A$405,BD!$Z$3:$Z$5001,"&lt;&gt;")=0,"",SUMIFS(BD!$Z$3:$Z$5001,BD!$A$3:$A$5001,AI$3,BD!$B$3:$B$5001,$A$405)))</f>
        <v/>
      </c>
      <c r="AJ429" s="224" t="str">
        <f>IF(AJ$3="","",IF(COUNTIFS(BD!$A$3:$A$5001,AJ$3,BD!$B$3:$B$5001,$A$405,BD!$Z$3:$Z$5001,"&lt;&gt;")=0,"",SUMIFS(BD!$Z$3:$Z$5001,BD!$A$3:$A$5001,AJ$3,BD!$B$3:$B$5001,$A$405)))</f>
        <v/>
      </c>
      <c r="AK429" s="225" t="str">
        <f>IF(COUNT(F429:AJ429)=0,"",SUM(F429:AJ429))</f>
        <v/>
      </c>
    </row>
    <row r="430" ht="15.75" customHeight="1" hidden="1">
      <c r="A430" s="244"/>
      <c r="B430" s="241"/>
      <c r="C430" s="219" t="inlineStr">
        <is>
          <t xml:space="preserve">Folga</t>
        </is>
      </c>
      <c r="D430" s="220" t="str">
        <f>IFERROR(1/(1/INDEX(BD!$AJ$48:$BD$48,MATCH($A$405,BD!$AJ$22:$BD$22,0))),"")</f>
        <v/>
      </c>
      <c r="E430" s="221"/>
      <c r="F430" s="222" t="str">
        <f>IF(F$3="","",IF(COUNTIFS(BD!$A$3:$A$5001,F$3,BD!$B$3:$B$5001,$A$405,BD!$AA$3:$AA$5001,"&lt;&gt;")=0,"",SUMIFS(BD!$AA$3:$AA$5001,BD!$A$3:$A$5001,F$3,BD!$B$3:$B$5001,$A$405)))</f>
        <v/>
      </c>
      <c r="G430" s="223" t="str">
        <f>IF(G$3="","",IF(COUNTIFS(BD!$A$3:$A$5001,G$3,BD!$B$3:$B$5001,$A$405,BD!$AA$3:$AA$5001,"&lt;&gt;")=0,"",SUMIFS(BD!$AA$3:$AA$5001,BD!$A$3:$A$5001,G$3,BD!$B$3:$B$5001,$A$405)))</f>
        <v/>
      </c>
      <c r="H430" s="223" t="str">
        <f>IF(H$3="","",IF(COUNTIFS(BD!$A$3:$A$5001,H$3,BD!$B$3:$B$5001,$A$405,BD!$AA$3:$AA$5001,"&lt;&gt;")=0,"",SUMIFS(BD!$AA$3:$AA$5001,BD!$A$3:$A$5001,H$3,BD!$B$3:$B$5001,$A$405)))</f>
        <v/>
      </c>
      <c r="I430" s="223" t="str">
        <f>IF(I$3="","",IF(COUNTIFS(BD!$A$3:$A$5001,I$3,BD!$B$3:$B$5001,$A$405,BD!$AA$3:$AA$5001,"&lt;&gt;")=0,"",SUMIFS(BD!$AA$3:$AA$5001,BD!$A$3:$A$5001,I$3,BD!$B$3:$B$5001,$A$405)))</f>
        <v/>
      </c>
      <c r="J430" s="223" t="str">
        <f>IF(J$3="","",IF(COUNTIFS(BD!$A$3:$A$5001,J$3,BD!$B$3:$B$5001,$A$405,BD!$AA$3:$AA$5001,"&lt;&gt;")=0,"",SUMIFS(BD!$AA$3:$AA$5001,BD!$A$3:$A$5001,J$3,BD!$B$3:$B$5001,$A$405)))</f>
        <v/>
      </c>
      <c r="K430" s="223" t="str">
        <f>IF(K$3="","",IF(COUNTIFS(BD!$A$3:$A$5001,K$3,BD!$B$3:$B$5001,$A$405,BD!$AA$3:$AA$5001,"&lt;&gt;")=0,"",SUMIFS(BD!$AA$3:$AA$5001,BD!$A$3:$A$5001,K$3,BD!$B$3:$B$5001,$A$405)))</f>
        <v/>
      </c>
      <c r="L430" s="223" t="str">
        <f>IF(L$3="","",IF(COUNTIFS(BD!$A$3:$A$5001,L$3,BD!$B$3:$B$5001,$A$405,BD!$AA$3:$AA$5001,"&lt;&gt;")=0,"",SUMIFS(BD!$AA$3:$AA$5001,BD!$A$3:$A$5001,L$3,BD!$B$3:$B$5001,$A$405)))</f>
        <v/>
      </c>
      <c r="M430" s="223" t="str">
        <f>IF(M$3="","",IF(COUNTIFS(BD!$A$3:$A$5001,M$3,BD!$B$3:$B$5001,$A$405,BD!$AA$3:$AA$5001,"&lt;&gt;")=0,"",SUMIFS(BD!$AA$3:$AA$5001,BD!$A$3:$A$5001,M$3,BD!$B$3:$B$5001,$A$405)))</f>
        <v/>
      </c>
      <c r="N430" s="223" t="str">
        <f>IF(N$3="","",IF(COUNTIFS(BD!$A$3:$A$5001,N$3,BD!$B$3:$B$5001,$A$405,BD!$AA$3:$AA$5001,"&lt;&gt;")=0,"",SUMIFS(BD!$AA$3:$AA$5001,BD!$A$3:$A$5001,N$3,BD!$B$3:$B$5001,$A$405)))</f>
        <v/>
      </c>
      <c r="O430" s="223" t="str">
        <f>IF(O$3="","",IF(COUNTIFS(BD!$A$3:$A$5001,O$3,BD!$B$3:$B$5001,$A$405,BD!$AA$3:$AA$5001,"&lt;&gt;")=0,"",SUMIFS(BD!$AA$3:$AA$5001,BD!$A$3:$A$5001,O$3,BD!$B$3:$B$5001,$A$405)))</f>
        <v/>
      </c>
      <c r="P430" s="223" t="str">
        <f>IF(P$3="","",IF(COUNTIFS(BD!$A$3:$A$5001,P$3,BD!$B$3:$B$5001,$A$405,BD!$AA$3:$AA$5001,"&lt;&gt;")=0,"",SUMIFS(BD!$AA$3:$AA$5001,BD!$A$3:$A$5001,P$3,BD!$B$3:$B$5001,$A$405)))</f>
        <v/>
      </c>
      <c r="Q430" s="223" t="str">
        <f>IF(Q$3="","",IF(COUNTIFS(BD!$A$3:$A$5001,Q$3,BD!$B$3:$B$5001,$A$405,BD!$AA$3:$AA$5001,"&lt;&gt;")=0,"",SUMIFS(BD!$AA$3:$AA$5001,BD!$A$3:$A$5001,Q$3,BD!$B$3:$B$5001,$A$405)))</f>
        <v/>
      </c>
      <c r="R430" s="223" t="str">
        <f>IF(R$3="","",IF(COUNTIFS(BD!$A$3:$A$5001,R$3,BD!$B$3:$B$5001,$A$405,BD!$AA$3:$AA$5001,"&lt;&gt;")=0,"",SUMIFS(BD!$AA$3:$AA$5001,BD!$A$3:$A$5001,R$3,BD!$B$3:$B$5001,$A$405)))</f>
        <v/>
      </c>
      <c r="S430" s="223" t="str">
        <f>IF(S$3="","",IF(COUNTIFS(BD!$A$3:$A$5001,S$3,BD!$B$3:$B$5001,$A$405,BD!$AA$3:$AA$5001,"&lt;&gt;")=0,"",SUMIFS(BD!$AA$3:$AA$5001,BD!$A$3:$A$5001,S$3,BD!$B$3:$B$5001,$A$405)))</f>
        <v/>
      </c>
      <c r="T430" s="223" t="str">
        <f>IF(T$3="","",IF(COUNTIFS(BD!$A$3:$A$5001,T$3,BD!$B$3:$B$5001,$A$405,BD!$AA$3:$AA$5001,"&lt;&gt;")=0,"",SUMIFS(BD!$AA$3:$AA$5001,BD!$A$3:$A$5001,T$3,BD!$B$3:$B$5001,$A$405)))</f>
        <v/>
      </c>
      <c r="U430" s="223" t="str">
        <f>IF(U$3="","",IF(COUNTIFS(BD!$A$3:$A$5001,U$3,BD!$B$3:$B$5001,$A$405,BD!$AA$3:$AA$5001,"&lt;&gt;")=0,"",SUMIFS(BD!$AA$3:$AA$5001,BD!$A$3:$A$5001,U$3,BD!$B$3:$B$5001,$A$405)))</f>
        <v/>
      </c>
      <c r="V430" s="223" t="str">
        <f>IF(V$3="","",IF(COUNTIFS(BD!$A$3:$A$5001,V$3,BD!$B$3:$B$5001,$A$405,BD!$AA$3:$AA$5001,"&lt;&gt;")=0,"",SUMIFS(BD!$AA$3:$AA$5001,BD!$A$3:$A$5001,V$3,BD!$B$3:$B$5001,$A$405)))</f>
        <v/>
      </c>
      <c r="W430" s="223" t="str">
        <f>IF(W$3="","",IF(COUNTIFS(BD!$A$3:$A$5001,W$3,BD!$B$3:$B$5001,$A$405,BD!$AA$3:$AA$5001,"&lt;&gt;")=0,"",SUMIFS(BD!$AA$3:$AA$5001,BD!$A$3:$A$5001,W$3,BD!$B$3:$B$5001,$A$405)))</f>
        <v/>
      </c>
      <c r="X430" s="223" t="str">
        <f>IF(X$3="","",IF(COUNTIFS(BD!$A$3:$A$5001,X$3,BD!$B$3:$B$5001,$A$405,BD!$AA$3:$AA$5001,"&lt;&gt;")=0,"",SUMIFS(BD!$AA$3:$AA$5001,BD!$A$3:$A$5001,X$3,BD!$B$3:$B$5001,$A$405)))</f>
        <v/>
      </c>
      <c r="Y430" s="223" t="str">
        <f>IF(Y$3="","",IF(COUNTIFS(BD!$A$3:$A$5001,Y$3,BD!$B$3:$B$5001,$A$405,BD!$AA$3:$AA$5001,"&lt;&gt;")=0,"",SUMIFS(BD!$AA$3:$AA$5001,BD!$A$3:$A$5001,Y$3,BD!$B$3:$B$5001,$A$405)))</f>
        <v/>
      </c>
      <c r="Z430" s="223" t="str">
        <f>IF(Z$3="","",IF(COUNTIFS(BD!$A$3:$A$5001,Z$3,BD!$B$3:$B$5001,$A$405,BD!$AA$3:$AA$5001,"&lt;&gt;")=0,"",SUMIFS(BD!$AA$3:$AA$5001,BD!$A$3:$A$5001,Z$3,BD!$B$3:$B$5001,$A$405)))</f>
        <v/>
      </c>
      <c r="AA430" s="223" t="str">
        <f>IF(AA$3="","",IF(COUNTIFS(BD!$A$3:$A$5001,AA$3,BD!$B$3:$B$5001,$A$405,BD!$AA$3:$AA$5001,"&lt;&gt;")=0,"",SUMIFS(BD!$AA$3:$AA$5001,BD!$A$3:$A$5001,AA$3,BD!$B$3:$B$5001,$A$405)))</f>
        <v/>
      </c>
      <c r="AB430" s="223" t="str">
        <f>IF(AB$3="","",IF(COUNTIFS(BD!$A$3:$A$5001,AB$3,BD!$B$3:$B$5001,$A$405,BD!$AA$3:$AA$5001,"&lt;&gt;")=0,"",SUMIFS(BD!$AA$3:$AA$5001,BD!$A$3:$A$5001,AB$3,BD!$B$3:$B$5001,$A$405)))</f>
        <v/>
      </c>
      <c r="AC430" s="223" t="str">
        <f>IF(AC$3="","",IF(COUNTIFS(BD!$A$3:$A$5001,AC$3,BD!$B$3:$B$5001,$A$405,BD!$AA$3:$AA$5001,"&lt;&gt;")=0,"",SUMIFS(BD!$AA$3:$AA$5001,BD!$A$3:$A$5001,AC$3,BD!$B$3:$B$5001,$A$405)))</f>
        <v/>
      </c>
      <c r="AD430" s="223" t="str">
        <f>IF(AD$3="","",IF(COUNTIFS(BD!$A$3:$A$5001,AD$3,BD!$B$3:$B$5001,$A$405,BD!$AA$3:$AA$5001,"&lt;&gt;")=0,"",SUMIFS(BD!$AA$3:$AA$5001,BD!$A$3:$A$5001,AD$3,BD!$B$3:$B$5001,$A$405)))</f>
        <v/>
      </c>
      <c r="AE430" s="223" t="str">
        <f>IF(AE$3="","",IF(COUNTIFS(BD!$A$3:$A$5001,AE$3,BD!$B$3:$B$5001,$A$405,BD!$AA$3:$AA$5001,"&lt;&gt;")=0,"",SUMIFS(BD!$AA$3:$AA$5001,BD!$A$3:$A$5001,AE$3,BD!$B$3:$B$5001,$A$405)))</f>
        <v/>
      </c>
      <c r="AF430" s="223" t="str">
        <f>IF(AF$3="","",IF(COUNTIFS(BD!$A$3:$A$5001,AF$3,BD!$B$3:$B$5001,$A$405,BD!$AA$3:$AA$5001,"&lt;&gt;")=0,"",SUMIFS(BD!$AA$3:$AA$5001,BD!$A$3:$A$5001,AF$3,BD!$B$3:$B$5001,$A$405)))</f>
        <v/>
      </c>
      <c r="AG430" s="223" t="str">
        <f>IF(AG$3="","",IF(COUNTIFS(BD!$A$3:$A$5001,AG$3,BD!$B$3:$B$5001,$A$405,BD!$AA$3:$AA$5001,"&lt;&gt;")=0,"",SUMIFS(BD!$AA$3:$AA$5001,BD!$A$3:$A$5001,AG$3,BD!$B$3:$B$5001,$A$405)))</f>
        <v/>
      </c>
      <c r="AH430" s="223" t="str">
        <f>IF(AH$3="","",IF(COUNTIFS(BD!$A$3:$A$5001,AH$3,BD!$B$3:$B$5001,$A$405,BD!$AA$3:$AA$5001,"&lt;&gt;")=0,"",SUMIFS(BD!$AA$3:$AA$5001,BD!$A$3:$A$5001,AH$3,BD!$B$3:$B$5001,$A$405)))</f>
        <v/>
      </c>
      <c r="AI430" s="223" t="str">
        <f>IF(AI$3="","",IF(COUNTIFS(BD!$A$3:$A$5001,AI$3,BD!$B$3:$B$5001,$A$405,BD!$AA$3:$AA$5001,"&lt;&gt;")=0,"",SUMIFS(BD!$AA$3:$AA$5001,BD!$A$3:$A$5001,AI$3,BD!$B$3:$B$5001,$A$405)))</f>
        <v/>
      </c>
      <c r="AJ430" s="224" t="str">
        <f>IF(AJ$3="","",IF(COUNTIFS(BD!$A$3:$A$5001,AJ$3,BD!$B$3:$B$5001,$A$405,BD!$AA$3:$AA$5001,"&lt;&gt;")=0,"",SUMIFS(BD!$AA$3:$AA$5001,BD!$A$3:$A$5001,AJ$3,BD!$B$3:$B$5001,$A$405)))</f>
        <v/>
      </c>
      <c r="AK430" s="225" t="str">
        <f>IF(COUNT(F430:AJ430)=0,"",SUM(F430:AJ430))</f>
        <v/>
      </c>
    </row>
    <row r="431" ht="15.75" customHeight="1" hidden="1">
      <c r="A431" s="244"/>
      <c r="B431" s="241"/>
      <c r="C431" s="219" t="inlineStr">
        <is>
          <t xml:space="preserve">Férias</t>
        </is>
      </c>
      <c r="D431" s="220" t="str">
        <f>IFERROR(1/(1/INDEX(BD!$AJ$49:$BD$49,MATCH($A$405,BD!$AJ$22:$BD$22,0))),"")</f>
        <v/>
      </c>
      <c r="E431" s="221"/>
      <c r="F431" s="222" t="str">
        <f>IF(F$3="","",IF(COUNTIFS(BD!$A$3:$A$5001,F$3,BD!$B$3:$B$5001,$A$405,BD!$AB$3:$AB$5001,"&lt;&gt;")=0,"",SUMIFS(BD!$AB$3:$AB$5001,BD!$A$3:$A$5001,F$3,BD!$B$3:$B$5001,$A$405)))</f>
        <v/>
      </c>
      <c r="G431" s="223" t="str">
        <f>IF(G$3="","",IF(COUNTIFS(BD!$A$3:$A$5001,G$3,BD!$B$3:$B$5001,$A$405,BD!$AB$3:$AB$5001,"&lt;&gt;")=0,"",SUMIFS(BD!$AB$3:$AB$5001,BD!$A$3:$A$5001,G$3,BD!$B$3:$B$5001,$A$405)))</f>
        <v/>
      </c>
      <c r="H431" s="223" t="str">
        <f>IF(H$3="","",IF(COUNTIFS(BD!$A$3:$A$5001,H$3,BD!$B$3:$B$5001,$A$405,BD!$AB$3:$AB$5001,"&lt;&gt;")=0,"",SUMIFS(BD!$AB$3:$AB$5001,BD!$A$3:$A$5001,H$3,BD!$B$3:$B$5001,$A$405)))</f>
        <v/>
      </c>
      <c r="I431" s="223" t="str">
        <f>IF(I$3="","",IF(COUNTIFS(BD!$A$3:$A$5001,I$3,BD!$B$3:$B$5001,$A$405,BD!$AB$3:$AB$5001,"&lt;&gt;")=0,"",SUMIFS(BD!$AB$3:$AB$5001,BD!$A$3:$A$5001,I$3,BD!$B$3:$B$5001,$A$405)))</f>
        <v/>
      </c>
      <c r="J431" s="223" t="str">
        <f>IF(J$3="","",IF(COUNTIFS(BD!$A$3:$A$5001,J$3,BD!$B$3:$B$5001,$A$405,BD!$AB$3:$AB$5001,"&lt;&gt;")=0,"",SUMIFS(BD!$AB$3:$AB$5001,BD!$A$3:$A$5001,J$3,BD!$B$3:$B$5001,$A$405)))</f>
        <v/>
      </c>
      <c r="K431" s="223" t="str">
        <f>IF(K$3="","",IF(COUNTIFS(BD!$A$3:$A$5001,K$3,BD!$B$3:$B$5001,$A$405,BD!$AB$3:$AB$5001,"&lt;&gt;")=0,"",SUMIFS(BD!$AB$3:$AB$5001,BD!$A$3:$A$5001,K$3,BD!$B$3:$B$5001,$A$405)))</f>
        <v/>
      </c>
      <c r="L431" s="223" t="str">
        <f>IF(L$3="","",IF(COUNTIFS(BD!$A$3:$A$5001,L$3,BD!$B$3:$B$5001,$A$405,BD!$AB$3:$AB$5001,"&lt;&gt;")=0,"",SUMIFS(BD!$AB$3:$AB$5001,BD!$A$3:$A$5001,L$3,BD!$B$3:$B$5001,$A$405)))</f>
        <v/>
      </c>
      <c r="M431" s="223" t="str">
        <f>IF(M$3="","",IF(COUNTIFS(BD!$A$3:$A$5001,M$3,BD!$B$3:$B$5001,$A$405,BD!$AB$3:$AB$5001,"&lt;&gt;")=0,"",SUMIFS(BD!$AB$3:$AB$5001,BD!$A$3:$A$5001,M$3,BD!$B$3:$B$5001,$A$405)))</f>
        <v/>
      </c>
      <c r="N431" s="223" t="str">
        <f>IF(N$3="","",IF(COUNTIFS(BD!$A$3:$A$5001,N$3,BD!$B$3:$B$5001,$A$405,BD!$AB$3:$AB$5001,"&lt;&gt;")=0,"",SUMIFS(BD!$AB$3:$AB$5001,BD!$A$3:$A$5001,N$3,BD!$B$3:$B$5001,$A$405)))</f>
        <v/>
      </c>
      <c r="O431" s="223" t="str">
        <f>IF(O$3="","",IF(COUNTIFS(BD!$A$3:$A$5001,O$3,BD!$B$3:$B$5001,$A$405,BD!$AB$3:$AB$5001,"&lt;&gt;")=0,"",SUMIFS(BD!$AB$3:$AB$5001,BD!$A$3:$A$5001,O$3,BD!$B$3:$B$5001,$A$405)))</f>
        <v/>
      </c>
      <c r="P431" s="223" t="str">
        <f>IF(P$3="","",IF(COUNTIFS(BD!$A$3:$A$5001,P$3,BD!$B$3:$B$5001,$A$405,BD!$AB$3:$AB$5001,"&lt;&gt;")=0,"",SUMIFS(BD!$AB$3:$AB$5001,BD!$A$3:$A$5001,P$3,BD!$B$3:$B$5001,$A$405)))</f>
        <v/>
      </c>
      <c r="Q431" s="223" t="str">
        <f>IF(Q$3="","",IF(COUNTIFS(BD!$A$3:$A$5001,Q$3,BD!$B$3:$B$5001,$A$405,BD!$AB$3:$AB$5001,"&lt;&gt;")=0,"",SUMIFS(BD!$AB$3:$AB$5001,BD!$A$3:$A$5001,Q$3,BD!$B$3:$B$5001,$A$405)))</f>
        <v/>
      </c>
      <c r="R431" s="223" t="str">
        <f>IF(R$3="","",IF(COUNTIFS(BD!$A$3:$A$5001,R$3,BD!$B$3:$B$5001,$A$405,BD!$AB$3:$AB$5001,"&lt;&gt;")=0,"",SUMIFS(BD!$AB$3:$AB$5001,BD!$A$3:$A$5001,R$3,BD!$B$3:$B$5001,$A$405)))</f>
        <v/>
      </c>
      <c r="S431" s="223" t="str">
        <f>IF(S$3="","",IF(COUNTIFS(BD!$A$3:$A$5001,S$3,BD!$B$3:$B$5001,$A$405,BD!$AB$3:$AB$5001,"&lt;&gt;")=0,"",SUMIFS(BD!$AB$3:$AB$5001,BD!$A$3:$A$5001,S$3,BD!$B$3:$B$5001,$A$405)))</f>
        <v/>
      </c>
      <c r="T431" s="223" t="str">
        <f>IF(T$3="","",IF(COUNTIFS(BD!$A$3:$A$5001,T$3,BD!$B$3:$B$5001,$A$405,BD!$AB$3:$AB$5001,"&lt;&gt;")=0,"",SUMIFS(BD!$AB$3:$AB$5001,BD!$A$3:$A$5001,T$3,BD!$B$3:$B$5001,$A$405)))</f>
        <v/>
      </c>
      <c r="U431" s="223" t="str">
        <f>IF(U$3="","",IF(COUNTIFS(BD!$A$3:$A$5001,U$3,BD!$B$3:$B$5001,$A$405,BD!$AB$3:$AB$5001,"&lt;&gt;")=0,"",SUMIFS(BD!$AB$3:$AB$5001,BD!$A$3:$A$5001,U$3,BD!$B$3:$B$5001,$A$405)))</f>
        <v/>
      </c>
      <c r="V431" s="223" t="str">
        <f>IF(V$3="","",IF(COUNTIFS(BD!$A$3:$A$5001,V$3,BD!$B$3:$B$5001,$A$405,BD!$AB$3:$AB$5001,"&lt;&gt;")=0,"",SUMIFS(BD!$AB$3:$AB$5001,BD!$A$3:$A$5001,V$3,BD!$B$3:$B$5001,$A$405)))</f>
        <v/>
      </c>
      <c r="W431" s="223" t="str">
        <f>IF(W$3="","",IF(COUNTIFS(BD!$A$3:$A$5001,W$3,BD!$B$3:$B$5001,$A$405,BD!$AB$3:$AB$5001,"&lt;&gt;")=0,"",SUMIFS(BD!$AB$3:$AB$5001,BD!$A$3:$A$5001,W$3,BD!$B$3:$B$5001,$A$405)))</f>
        <v/>
      </c>
      <c r="X431" s="223" t="str">
        <f>IF(X$3="","",IF(COUNTIFS(BD!$A$3:$A$5001,X$3,BD!$B$3:$B$5001,$A$405,BD!$AB$3:$AB$5001,"&lt;&gt;")=0,"",SUMIFS(BD!$AB$3:$AB$5001,BD!$A$3:$A$5001,X$3,BD!$B$3:$B$5001,$A$405)))</f>
        <v/>
      </c>
      <c r="Y431" s="223" t="str">
        <f>IF(Y$3="","",IF(COUNTIFS(BD!$A$3:$A$5001,Y$3,BD!$B$3:$B$5001,$A$405,BD!$AB$3:$AB$5001,"&lt;&gt;")=0,"",SUMIFS(BD!$AB$3:$AB$5001,BD!$A$3:$A$5001,Y$3,BD!$B$3:$B$5001,$A$405)))</f>
        <v/>
      </c>
      <c r="Z431" s="223" t="str">
        <f>IF(Z$3="","",IF(COUNTIFS(BD!$A$3:$A$5001,Z$3,BD!$B$3:$B$5001,$A$405,BD!$AB$3:$AB$5001,"&lt;&gt;")=0,"",SUMIFS(BD!$AB$3:$AB$5001,BD!$A$3:$A$5001,Z$3,BD!$B$3:$B$5001,$A$405)))</f>
        <v/>
      </c>
      <c r="AA431" s="223" t="str">
        <f>IF(AA$3="","",IF(COUNTIFS(BD!$A$3:$A$5001,AA$3,BD!$B$3:$B$5001,$A$405,BD!$AB$3:$AB$5001,"&lt;&gt;")=0,"",SUMIFS(BD!$AB$3:$AB$5001,BD!$A$3:$A$5001,AA$3,BD!$B$3:$B$5001,$A$405)))</f>
        <v/>
      </c>
      <c r="AB431" s="223" t="str">
        <f>IF(AB$3="","",IF(COUNTIFS(BD!$A$3:$A$5001,AB$3,BD!$B$3:$B$5001,$A$405,BD!$AB$3:$AB$5001,"&lt;&gt;")=0,"",SUMIFS(BD!$AB$3:$AB$5001,BD!$A$3:$A$5001,AB$3,BD!$B$3:$B$5001,$A$405)))</f>
        <v/>
      </c>
      <c r="AC431" s="223" t="str">
        <f>IF(AC$3="","",IF(COUNTIFS(BD!$A$3:$A$5001,AC$3,BD!$B$3:$B$5001,$A$405,BD!$AB$3:$AB$5001,"&lt;&gt;")=0,"",SUMIFS(BD!$AB$3:$AB$5001,BD!$A$3:$A$5001,AC$3,BD!$B$3:$B$5001,$A$405)))</f>
        <v/>
      </c>
      <c r="AD431" s="223" t="str">
        <f>IF(AD$3="","",IF(COUNTIFS(BD!$A$3:$A$5001,AD$3,BD!$B$3:$B$5001,$A$405,BD!$AB$3:$AB$5001,"&lt;&gt;")=0,"",SUMIFS(BD!$AB$3:$AB$5001,BD!$A$3:$A$5001,AD$3,BD!$B$3:$B$5001,$A$405)))</f>
        <v/>
      </c>
      <c r="AE431" s="223" t="str">
        <f>IF(AE$3="","",IF(COUNTIFS(BD!$A$3:$A$5001,AE$3,BD!$B$3:$B$5001,$A$405,BD!$AB$3:$AB$5001,"&lt;&gt;")=0,"",SUMIFS(BD!$AB$3:$AB$5001,BD!$A$3:$A$5001,AE$3,BD!$B$3:$B$5001,$A$405)))</f>
        <v/>
      </c>
      <c r="AF431" s="223" t="str">
        <f>IF(AF$3="","",IF(COUNTIFS(BD!$A$3:$A$5001,AF$3,BD!$B$3:$B$5001,$A$405,BD!$AB$3:$AB$5001,"&lt;&gt;")=0,"",SUMIFS(BD!$AB$3:$AB$5001,BD!$A$3:$A$5001,AF$3,BD!$B$3:$B$5001,$A$405)))</f>
        <v/>
      </c>
      <c r="AG431" s="223" t="str">
        <f>IF(AG$3="","",IF(COUNTIFS(BD!$A$3:$A$5001,AG$3,BD!$B$3:$B$5001,$A$405,BD!$AB$3:$AB$5001,"&lt;&gt;")=0,"",SUMIFS(BD!$AB$3:$AB$5001,BD!$A$3:$A$5001,AG$3,BD!$B$3:$B$5001,$A$405)))</f>
        <v/>
      </c>
      <c r="AH431" s="223" t="str">
        <f>IF(AH$3="","",IF(COUNTIFS(BD!$A$3:$A$5001,AH$3,BD!$B$3:$B$5001,$A$405,BD!$AB$3:$AB$5001,"&lt;&gt;")=0,"",SUMIFS(BD!$AB$3:$AB$5001,BD!$A$3:$A$5001,AH$3,BD!$B$3:$B$5001,$A$405)))</f>
        <v/>
      </c>
      <c r="AI431" s="223" t="str">
        <f>IF(AI$3="","",IF(COUNTIFS(BD!$A$3:$A$5001,AI$3,BD!$B$3:$B$5001,$A$405,BD!$AB$3:$AB$5001,"&lt;&gt;")=0,"",SUMIFS(BD!$AB$3:$AB$5001,BD!$A$3:$A$5001,AI$3,BD!$B$3:$B$5001,$A$405)))</f>
        <v/>
      </c>
      <c r="AJ431" s="224" t="str">
        <f>IF(AJ$3="","",IF(COUNTIFS(BD!$A$3:$A$5001,AJ$3,BD!$B$3:$B$5001,$A$405,BD!$AB$3:$AB$5001,"&lt;&gt;")=0,"",SUMIFS(BD!$AB$3:$AB$5001,BD!$A$3:$A$5001,AJ$3,BD!$B$3:$B$5001,$A$405)))</f>
        <v/>
      </c>
      <c r="AK431" s="225" t="str">
        <f>IF(COUNT(F431:AJ431)=0,"",SUM(F431:AJ431))</f>
        <v/>
      </c>
    </row>
    <row r="432" ht="15.75" customHeight="1" hidden="1">
      <c r="A432" s="244"/>
      <c r="B432" s="241"/>
      <c r="C432" s="219" t="inlineStr">
        <is>
          <t xml:space="preserve">Desligamento</t>
        </is>
      </c>
      <c r="D432" s="220" t="str">
        <f>IFERROR(1/(1/INDEX(BD!$AJ$50:$BD$50,MATCH($A$405,BD!$AJ$22:$BD$22,0))),"")</f>
        <v/>
      </c>
      <c r="E432" s="221"/>
      <c r="F432" s="222" t="str">
        <f>IF(F$3="","",IF(COUNTIFS(BD!$A$3:$A$5001,F$3,BD!$B$3:$B$5001,$A$405,BD!$AC$3:$AC$5001,"&lt;&gt;")=0,"",SUMIFS(BD!$AC$3:$AC$5001,BD!$A$3:$A$5001,F$3,BD!$B$3:$B$5001,$A$405)))</f>
        <v/>
      </c>
      <c r="G432" s="223" t="str">
        <f>IF(G$3="","",IF(COUNTIFS(BD!$A$3:$A$5001,G$3,BD!$B$3:$B$5001,$A$405,BD!$AC$3:$AC$5001,"&lt;&gt;")=0,"",SUMIFS(BD!$AC$3:$AC$5001,BD!$A$3:$A$5001,G$3,BD!$B$3:$B$5001,$A$405)))</f>
        <v/>
      </c>
      <c r="H432" s="223" t="str">
        <f>IF(H$3="","",IF(COUNTIFS(BD!$A$3:$A$5001,H$3,BD!$B$3:$B$5001,$A$405,BD!$AC$3:$AC$5001,"&lt;&gt;")=0,"",SUMIFS(BD!$AC$3:$AC$5001,BD!$A$3:$A$5001,H$3,BD!$B$3:$B$5001,$A$405)))</f>
        <v/>
      </c>
      <c r="I432" s="223" t="str">
        <f>IF(I$3="","",IF(COUNTIFS(BD!$A$3:$A$5001,I$3,BD!$B$3:$B$5001,$A$405,BD!$AC$3:$AC$5001,"&lt;&gt;")=0,"",SUMIFS(BD!$AC$3:$AC$5001,BD!$A$3:$A$5001,I$3,BD!$B$3:$B$5001,$A$405)))</f>
        <v/>
      </c>
      <c r="J432" s="223" t="str">
        <f>IF(J$3="","",IF(COUNTIFS(BD!$A$3:$A$5001,J$3,BD!$B$3:$B$5001,$A$405,BD!$AC$3:$AC$5001,"&lt;&gt;")=0,"",SUMIFS(BD!$AC$3:$AC$5001,BD!$A$3:$A$5001,J$3,BD!$B$3:$B$5001,$A$405)))</f>
        <v/>
      </c>
      <c r="K432" s="223" t="str">
        <f>IF(K$3="","",IF(COUNTIFS(BD!$A$3:$A$5001,K$3,BD!$B$3:$B$5001,$A$405,BD!$AC$3:$AC$5001,"&lt;&gt;")=0,"",SUMIFS(BD!$AC$3:$AC$5001,BD!$A$3:$A$5001,K$3,BD!$B$3:$B$5001,$A$405)))</f>
        <v/>
      </c>
      <c r="L432" s="223" t="str">
        <f>IF(L$3="","",IF(COUNTIFS(BD!$A$3:$A$5001,L$3,BD!$B$3:$B$5001,$A$405,BD!$AC$3:$AC$5001,"&lt;&gt;")=0,"",SUMIFS(BD!$AC$3:$AC$5001,BD!$A$3:$A$5001,L$3,BD!$B$3:$B$5001,$A$405)))</f>
        <v/>
      </c>
      <c r="M432" s="223" t="str">
        <f>IF(M$3="","",IF(COUNTIFS(BD!$A$3:$A$5001,M$3,BD!$B$3:$B$5001,$A$405,BD!$AC$3:$AC$5001,"&lt;&gt;")=0,"",SUMIFS(BD!$AC$3:$AC$5001,BD!$A$3:$A$5001,M$3,BD!$B$3:$B$5001,$A$405)))</f>
        <v/>
      </c>
      <c r="N432" s="223" t="str">
        <f>IF(N$3="","",IF(COUNTIFS(BD!$A$3:$A$5001,N$3,BD!$B$3:$B$5001,$A$405,BD!$AC$3:$AC$5001,"&lt;&gt;")=0,"",SUMIFS(BD!$AC$3:$AC$5001,BD!$A$3:$A$5001,N$3,BD!$B$3:$B$5001,$A$405)))</f>
        <v/>
      </c>
      <c r="O432" s="223" t="str">
        <f>IF(O$3="","",IF(COUNTIFS(BD!$A$3:$A$5001,O$3,BD!$B$3:$B$5001,$A$405,BD!$AC$3:$AC$5001,"&lt;&gt;")=0,"",SUMIFS(BD!$AC$3:$AC$5001,BD!$A$3:$A$5001,O$3,BD!$B$3:$B$5001,$A$405)))</f>
        <v/>
      </c>
      <c r="P432" s="223" t="str">
        <f>IF(P$3="","",IF(COUNTIFS(BD!$A$3:$A$5001,P$3,BD!$B$3:$B$5001,$A$405,BD!$AC$3:$AC$5001,"&lt;&gt;")=0,"",SUMIFS(BD!$AC$3:$AC$5001,BD!$A$3:$A$5001,P$3,BD!$B$3:$B$5001,$A$405)))</f>
        <v/>
      </c>
      <c r="Q432" s="223" t="str">
        <f>IF(Q$3="","",IF(COUNTIFS(BD!$A$3:$A$5001,Q$3,BD!$B$3:$B$5001,$A$405,BD!$AC$3:$AC$5001,"&lt;&gt;")=0,"",SUMIFS(BD!$AC$3:$AC$5001,BD!$A$3:$A$5001,Q$3,BD!$B$3:$B$5001,$A$405)))</f>
        <v/>
      </c>
      <c r="R432" s="223" t="str">
        <f>IF(R$3="","",IF(COUNTIFS(BD!$A$3:$A$5001,R$3,BD!$B$3:$B$5001,$A$405,BD!$AC$3:$AC$5001,"&lt;&gt;")=0,"",SUMIFS(BD!$AC$3:$AC$5001,BD!$A$3:$A$5001,R$3,BD!$B$3:$B$5001,$A$405)))</f>
        <v/>
      </c>
      <c r="S432" s="223" t="str">
        <f>IF(S$3="","",IF(COUNTIFS(BD!$A$3:$A$5001,S$3,BD!$B$3:$B$5001,$A$405,BD!$AC$3:$AC$5001,"&lt;&gt;")=0,"",SUMIFS(BD!$AC$3:$AC$5001,BD!$A$3:$A$5001,S$3,BD!$B$3:$B$5001,$A$405)))</f>
        <v/>
      </c>
      <c r="T432" s="223" t="str">
        <f>IF(T$3="","",IF(COUNTIFS(BD!$A$3:$A$5001,T$3,BD!$B$3:$B$5001,$A$405,BD!$AC$3:$AC$5001,"&lt;&gt;")=0,"",SUMIFS(BD!$AC$3:$AC$5001,BD!$A$3:$A$5001,T$3,BD!$B$3:$B$5001,$A$405)))</f>
        <v/>
      </c>
      <c r="U432" s="223" t="str">
        <f>IF(U$3="","",IF(COUNTIFS(BD!$A$3:$A$5001,U$3,BD!$B$3:$B$5001,$A$405,BD!$AC$3:$AC$5001,"&lt;&gt;")=0,"",SUMIFS(BD!$AC$3:$AC$5001,BD!$A$3:$A$5001,U$3,BD!$B$3:$B$5001,$A$405)))</f>
        <v/>
      </c>
      <c r="V432" s="223" t="str">
        <f>IF(V$3="","",IF(COUNTIFS(BD!$A$3:$A$5001,V$3,BD!$B$3:$B$5001,$A$405,BD!$AC$3:$AC$5001,"&lt;&gt;")=0,"",SUMIFS(BD!$AC$3:$AC$5001,BD!$A$3:$A$5001,V$3,BD!$B$3:$B$5001,$A$405)))</f>
        <v/>
      </c>
      <c r="W432" s="223" t="str">
        <f>IF(W$3="","",IF(COUNTIFS(BD!$A$3:$A$5001,W$3,BD!$B$3:$B$5001,$A$405,BD!$AC$3:$AC$5001,"&lt;&gt;")=0,"",SUMIFS(BD!$AC$3:$AC$5001,BD!$A$3:$A$5001,W$3,BD!$B$3:$B$5001,$A$405)))</f>
        <v/>
      </c>
      <c r="X432" s="223" t="str">
        <f>IF(X$3="","",IF(COUNTIFS(BD!$A$3:$A$5001,X$3,BD!$B$3:$B$5001,$A$405,BD!$AC$3:$AC$5001,"&lt;&gt;")=0,"",SUMIFS(BD!$AC$3:$AC$5001,BD!$A$3:$A$5001,X$3,BD!$B$3:$B$5001,$A$405)))</f>
        <v/>
      </c>
      <c r="Y432" s="223" t="str">
        <f>IF(Y$3="","",IF(COUNTIFS(BD!$A$3:$A$5001,Y$3,BD!$B$3:$B$5001,$A$405,BD!$AC$3:$AC$5001,"&lt;&gt;")=0,"",SUMIFS(BD!$AC$3:$AC$5001,BD!$A$3:$A$5001,Y$3,BD!$B$3:$B$5001,$A$405)))</f>
        <v/>
      </c>
      <c r="Z432" s="223" t="str">
        <f>IF(Z$3="","",IF(COUNTIFS(BD!$A$3:$A$5001,Z$3,BD!$B$3:$B$5001,$A$405,BD!$AC$3:$AC$5001,"&lt;&gt;")=0,"",SUMIFS(BD!$AC$3:$AC$5001,BD!$A$3:$A$5001,Z$3,BD!$B$3:$B$5001,$A$405)))</f>
        <v/>
      </c>
      <c r="AA432" s="223" t="str">
        <f>IF(AA$3="","",IF(COUNTIFS(BD!$A$3:$A$5001,AA$3,BD!$B$3:$B$5001,$A$405,BD!$AC$3:$AC$5001,"&lt;&gt;")=0,"",SUMIFS(BD!$AC$3:$AC$5001,BD!$A$3:$A$5001,AA$3,BD!$B$3:$B$5001,$A$405)))</f>
        <v/>
      </c>
      <c r="AB432" s="223" t="str">
        <f>IF(AB$3="","",IF(COUNTIFS(BD!$A$3:$A$5001,AB$3,BD!$B$3:$B$5001,$A$405,BD!$AC$3:$AC$5001,"&lt;&gt;")=0,"",SUMIFS(BD!$AC$3:$AC$5001,BD!$A$3:$A$5001,AB$3,BD!$B$3:$B$5001,$A$405)))</f>
        <v/>
      </c>
      <c r="AC432" s="223" t="str">
        <f>IF(AC$3="","",IF(COUNTIFS(BD!$A$3:$A$5001,AC$3,BD!$B$3:$B$5001,$A$405,BD!$AC$3:$AC$5001,"&lt;&gt;")=0,"",SUMIFS(BD!$AC$3:$AC$5001,BD!$A$3:$A$5001,AC$3,BD!$B$3:$B$5001,$A$405)))</f>
        <v/>
      </c>
      <c r="AD432" s="223" t="str">
        <f>IF(AD$3="","",IF(COUNTIFS(BD!$A$3:$A$5001,AD$3,BD!$B$3:$B$5001,$A$405,BD!$AC$3:$AC$5001,"&lt;&gt;")=0,"",SUMIFS(BD!$AC$3:$AC$5001,BD!$A$3:$A$5001,AD$3,BD!$B$3:$B$5001,$A$405)))</f>
        <v/>
      </c>
      <c r="AE432" s="223" t="str">
        <f>IF(AE$3="","",IF(COUNTIFS(BD!$A$3:$A$5001,AE$3,BD!$B$3:$B$5001,$A$405,BD!$AC$3:$AC$5001,"&lt;&gt;")=0,"",SUMIFS(BD!$AC$3:$AC$5001,BD!$A$3:$A$5001,AE$3,BD!$B$3:$B$5001,$A$405)))</f>
        <v/>
      </c>
      <c r="AF432" s="223" t="str">
        <f>IF(AF$3="","",IF(COUNTIFS(BD!$A$3:$A$5001,AF$3,BD!$B$3:$B$5001,$A$405,BD!$AC$3:$AC$5001,"&lt;&gt;")=0,"",SUMIFS(BD!$AC$3:$AC$5001,BD!$A$3:$A$5001,AF$3,BD!$B$3:$B$5001,$A$405)))</f>
        <v/>
      </c>
      <c r="AG432" s="223" t="str">
        <f>IF(AG$3="","",IF(COUNTIFS(BD!$A$3:$A$5001,AG$3,BD!$B$3:$B$5001,$A$405,BD!$AC$3:$AC$5001,"&lt;&gt;")=0,"",SUMIFS(BD!$AC$3:$AC$5001,BD!$A$3:$A$5001,AG$3,BD!$B$3:$B$5001,$A$405)))</f>
        <v/>
      </c>
      <c r="AH432" s="223" t="str">
        <f>IF(AH$3="","",IF(COUNTIFS(BD!$A$3:$A$5001,AH$3,BD!$B$3:$B$5001,$A$405,BD!$AC$3:$AC$5001,"&lt;&gt;")=0,"",SUMIFS(BD!$AC$3:$AC$5001,BD!$A$3:$A$5001,AH$3,BD!$B$3:$B$5001,$A$405)))</f>
        <v/>
      </c>
      <c r="AI432" s="223" t="str">
        <f>IF(AI$3="","",IF(COUNTIFS(BD!$A$3:$A$5001,AI$3,BD!$B$3:$B$5001,$A$405,BD!$AC$3:$AC$5001,"&lt;&gt;")=0,"",SUMIFS(BD!$AC$3:$AC$5001,BD!$A$3:$A$5001,AI$3,BD!$B$3:$B$5001,$A$405)))</f>
        <v/>
      </c>
      <c r="AJ432" s="224" t="str">
        <f>IF(AJ$3="","",IF(COUNTIFS(BD!$A$3:$A$5001,AJ$3,BD!$B$3:$B$5001,$A$405,BD!$AC$3:$AC$5001,"&lt;&gt;")=0,"",SUMIFS(BD!$AC$3:$AC$5001,BD!$A$3:$A$5001,AJ$3,BD!$B$3:$B$5001,$A$405)))</f>
        <v/>
      </c>
      <c r="AK432" s="225" t="str">
        <f>IF(COUNT(F432:AJ432)=0,"",SUM(F432:AJ432))</f>
        <v/>
      </c>
    </row>
    <row r="433" ht="15.75" customHeight="1" hidden="1">
      <c r="A433" s="244"/>
      <c r="B433" s="241"/>
      <c r="C433" s="219" t="inlineStr">
        <is>
          <t xml:space="preserve">Desvios Comportamentais</t>
        </is>
      </c>
      <c r="D433" s="220" t="str">
        <f>IFERROR(1/(1/INDEX(BD!$AJ$51:$BD$51,MATCH($A$405,BD!$AJ$22:$BD$22,0))),"")</f>
        <v/>
      </c>
      <c r="E433" s="221"/>
      <c r="F433" s="222" t="str">
        <f>IF(F$3="","",IF(COUNTIFS(BD!$A$3:$A$5001,F$3,BD!$B$3:$B$5001,$A$405,BD!$AD$3:$AD$5001,"&lt;&gt;")=0,"",SUMIFS(BD!$AD$3:$AD$5001,BD!$A$3:$A$5001,F$3,BD!$B$3:$B$5001,$A$405)))</f>
        <v/>
      </c>
      <c r="G433" s="223" t="str">
        <f>IF(G$3="","",IF(COUNTIFS(BD!$A$3:$A$5001,G$3,BD!$B$3:$B$5001,$A$405,BD!$AD$3:$AD$5001,"&lt;&gt;")=0,"",SUMIFS(BD!$AD$3:$AD$5001,BD!$A$3:$A$5001,G$3,BD!$B$3:$B$5001,$A$405)))</f>
        <v/>
      </c>
      <c r="H433" s="223" t="str">
        <f>IF(H$3="","",IF(COUNTIFS(BD!$A$3:$A$5001,H$3,BD!$B$3:$B$5001,$A$405,BD!$AD$3:$AD$5001,"&lt;&gt;")=0,"",SUMIFS(BD!$AD$3:$AD$5001,BD!$A$3:$A$5001,H$3,BD!$B$3:$B$5001,$A$405)))</f>
        <v/>
      </c>
      <c r="I433" s="223" t="str">
        <f>IF(I$3="","",IF(COUNTIFS(BD!$A$3:$A$5001,I$3,BD!$B$3:$B$5001,$A$405,BD!$AD$3:$AD$5001,"&lt;&gt;")=0,"",SUMIFS(BD!$AD$3:$AD$5001,BD!$A$3:$A$5001,I$3,BD!$B$3:$B$5001,$A$405)))</f>
        <v/>
      </c>
      <c r="J433" s="223" t="str">
        <f>IF(J$3="","",IF(COUNTIFS(BD!$A$3:$A$5001,J$3,BD!$B$3:$B$5001,$A$405,BD!$AD$3:$AD$5001,"&lt;&gt;")=0,"",SUMIFS(BD!$AD$3:$AD$5001,BD!$A$3:$A$5001,J$3,BD!$B$3:$B$5001,$A$405)))</f>
        <v/>
      </c>
      <c r="K433" s="223" t="str">
        <f>IF(K$3="","",IF(COUNTIFS(BD!$A$3:$A$5001,K$3,BD!$B$3:$B$5001,$A$405,BD!$AD$3:$AD$5001,"&lt;&gt;")=0,"",SUMIFS(BD!$AD$3:$AD$5001,BD!$A$3:$A$5001,K$3,BD!$B$3:$B$5001,$A$405)))</f>
        <v/>
      </c>
      <c r="L433" s="223" t="str">
        <f>IF(L$3="","",IF(COUNTIFS(BD!$A$3:$A$5001,L$3,BD!$B$3:$B$5001,$A$405,BD!$AD$3:$AD$5001,"&lt;&gt;")=0,"",SUMIFS(BD!$AD$3:$AD$5001,BD!$A$3:$A$5001,L$3,BD!$B$3:$B$5001,$A$405)))</f>
        <v/>
      </c>
      <c r="M433" s="223" t="str">
        <f>IF(M$3="","",IF(COUNTIFS(BD!$A$3:$A$5001,M$3,BD!$B$3:$B$5001,$A$405,BD!$AD$3:$AD$5001,"&lt;&gt;")=0,"",SUMIFS(BD!$AD$3:$AD$5001,BD!$A$3:$A$5001,M$3,BD!$B$3:$B$5001,$A$405)))</f>
        <v/>
      </c>
      <c r="N433" s="223" t="str">
        <f>IF(N$3="","",IF(COUNTIFS(BD!$A$3:$A$5001,N$3,BD!$B$3:$B$5001,$A$405,BD!$AD$3:$AD$5001,"&lt;&gt;")=0,"",SUMIFS(BD!$AD$3:$AD$5001,BD!$A$3:$A$5001,N$3,BD!$B$3:$B$5001,$A$405)))</f>
        <v/>
      </c>
      <c r="O433" s="223" t="str">
        <f>IF(O$3="","",IF(COUNTIFS(BD!$A$3:$A$5001,O$3,BD!$B$3:$B$5001,$A$405,BD!$AD$3:$AD$5001,"&lt;&gt;")=0,"",SUMIFS(BD!$AD$3:$AD$5001,BD!$A$3:$A$5001,O$3,BD!$B$3:$B$5001,$A$405)))</f>
        <v/>
      </c>
      <c r="P433" s="223" t="str">
        <f>IF(P$3="","",IF(COUNTIFS(BD!$A$3:$A$5001,P$3,BD!$B$3:$B$5001,$A$405,BD!$AD$3:$AD$5001,"&lt;&gt;")=0,"",SUMIFS(BD!$AD$3:$AD$5001,BD!$A$3:$A$5001,P$3,BD!$B$3:$B$5001,$A$405)))</f>
        <v/>
      </c>
      <c r="Q433" s="223" t="str">
        <f>IF(Q$3="","",IF(COUNTIFS(BD!$A$3:$A$5001,Q$3,BD!$B$3:$B$5001,$A$405,BD!$AD$3:$AD$5001,"&lt;&gt;")=0,"",SUMIFS(BD!$AD$3:$AD$5001,BD!$A$3:$A$5001,Q$3,BD!$B$3:$B$5001,$A$405)))</f>
        <v/>
      </c>
      <c r="R433" s="223" t="str">
        <f>IF(R$3="","",IF(COUNTIFS(BD!$A$3:$A$5001,R$3,BD!$B$3:$B$5001,$A$405,BD!$AD$3:$AD$5001,"&lt;&gt;")=0,"",SUMIFS(BD!$AD$3:$AD$5001,BD!$A$3:$A$5001,R$3,BD!$B$3:$B$5001,$A$405)))</f>
        <v/>
      </c>
      <c r="S433" s="223" t="str">
        <f>IF(S$3="","",IF(COUNTIFS(BD!$A$3:$A$5001,S$3,BD!$B$3:$B$5001,$A$405,BD!$AD$3:$AD$5001,"&lt;&gt;")=0,"",SUMIFS(BD!$AD$3:$AD$5001,BD!$A$3:$A$5001,S$3,BD!$B$3:$B$5001,$A$405)))</f>
        <v/>
      </c>
      <c r="T433" s="223" t="str">
        <f>IF(T$3="","",IF(COUNTIFS(BD!$A$3:$A$5001,T$3,BD!$B$3:$B$5001,$A$405,BD!$AD$3:$AD$5001,"&lt;&gt;")=0,"",SUMIFS(BD!$AD$3:$AD$5001,BD!$A$3:$A$5001,T$3,BD!$B$3:$B$5001,$A$405)))</f>
        <v/>
      </c>
      <c r="U433" s="223" t="str">
        <f>IF(U$3="","",IF(COUNTIFS(BD!$A$3:$A$5001,U$3,BD!$B$3:$B$5001,$A$405,BD!$AD$3:$AD$5001,"&lt;&gt;")=0,"",SUMIFS(BD!$AD$3:$AD$5001,BD!$A$3:$A$5001,U$3,BD!$B$3:$B$5001,$A$405)))</f>
        <v/>
      </c>
      <c r="V433" s="223" t="str">
        <f>IF(V$3="","",IF(COUNTIFS(BD!$A$3:$A$5001,V$3,BD!$B$3:$B$5001,$A$405,BD!$AD$3:$AD$5001,"&lt;&gt;")=0,"",SUMIFS(BD!$AD$3:$AD$5001,BD!$A$3:$A$5001,V$3,BD!$B$3:$B$5001,$A$405)))</f>
        <v/>
      </c>
      <c r="W433" s="223" t="str">
        <f>IF(W$3="","",IF(COUNTIFS(BD!$A$3:$A$5001,W$3,BD!$B$3:$B$5001,$A$405,BD!$AD$3:$AD$5001,"&lt;&gt;")=0,"",SUMIFS(BD!$AD$3:$AD$5001,BD!$A$3:$A$5001,W$3,BD!$B$3:$B$5001,$A$405)))</f>
        <v/>
      </c>
      <c r="X433" s="223" t="str">
        <f>IF(X$3="","",IF(COUNTIFS(BD!$A$3:$A$5001,X$3,BD!$B$3:$B$5001,$A$405,BD!$AD$3:$AD$5001,"&lt;&gt;")=0,"",SUMIFS(BD!$AD$3:$AD$5001,BD!$A$3:$A$5001,X$3,BD!$B$3:$B$5001,$A$405)))</f>
        <v/>
      </c>
      <c r="Y433" s="223" t="str">
        <f>IF(Y$3="","",IF(COUNTIFS(BD!$A$3:$A$5001,Y$3,BD!$B$3:$B$5001,$A$405,BD!$AD$3:$AD$5001,"&lt;&gt;")=0,"",SUMIFS(BD!$AD$3:$AD$5001,BD!$A$3:$A$5001,Y$3,BD!$B$3:$B$5001,$A$405)))</f>
        <v/>
      </c>
      <c r="Z433" s="223" t="str">
        <f>IF(Z$3="","",IF(COUNTIFS(BD!$A$3:$A$5001,Z$3,BD!$B$3:$B$5001,$A$405,BD!$AD$3:$AD$5001,"&lt;&gt;")=0,"",SUMIFS(BD!$AD$3:$AD$5001,BD!$A$3:$A$5001,Z$3,BD!$B$3:$B$5001,$A$405)))</f>
        <v/>
      </c>
      <c r="AA433" s="223" t="str">
        <f>IF(AA$3="","",IF(COUNTIFS(BD!$A$3:$A$5001,AA$3,BD!$B$3:$B$5001,$A$405,BD!$AD$3:$AD$5001,"&lt;&gt;")=0,"",SUMIFS(BD!$AD$3:$AD$5001,BD!$A$3:$A$5001,AA$3,BD!$B$3:$B$5001,$A$405)))</f>
        <v/>
      </c>
      <c r="AB433" s="223" t="str">
        <f>IF(AB$3="","",IF(COUNTIFS(BD!$A$3:$A$5001,AB$3,BD!$B$3:$B$5001,$A$405,BD!$AD$3:$AD$5001,"&lt;&gt;")=0,"",SUMIFS(BD!$AD$3:$AD$5001,BD!$A$3:$A$5001,AB$3,BD!$B$3:$B$5001,$A$405)))</f>
        <v/>
      </c>
      <c r="AC433" s="223" t="str">
        <f>IF(AC$3="","",IF(COUNTIFS(BD!$A$3:$A$5001,AC$3,BD!$B$3:$B$5001,$A$405,BD!$AD$3:$AD$5001,"&lt;&gt;")=0,"",SUMIFS(BD!$AD$3:$AD$5001,BD!$A$3:$A$5001,AC$3,BD!$B$3:$B$5001,$A$405)))</f>
        <v/>
      </c>
      <c r="AD433" s="223" t="str">
        <f>IF(AD$3="","",IF(COUNTIFS(BD!$A$3:$A$5001,AD$3,BD!$B$3:$B$5001,$A$405,BD!$AD$3:$AD$5001,"&lt;&gt;")=0,"",SUMIFS(BD!$AD$3:$AD$5001,BD!$A$3:$A$5001,AD$3,BD!$B$3:$B$5001,$A$405)))</f>
        <v/>
      </c>
      <c r="AE433" s="223" t="str">
        <f>IF(AE$3="","",IF(COUNTIFS(BD!$A$3:$A$5001,AE$3,BD!$B$3:$B$5001,$A$405,BD!$AD$3:$AD$5001,"&lt;&gt;")=0,"",SUMIFS(BD!$AD$3:$AD$5001,BD!$A$3:$A$5001,AE$3,BD!$B$3:$B$5001,$A$405)))</f>
        <v/>
      </c>
      <c r="AF433" s="223" t="str">
        <f>IF(AF$3="","",IF(COUNTIFS(BD!$A$3:$A$5001,AF$3,BD!$B$3:$B$5001,$A$405,BD!$AD$3:$AD$5001,"&lt;&gt;")=0,"",SUMIFS(BD!$AD$3:$AD$5001,BD!$A$3:$A$5001,AF$3,BD!$B$3:$B$5001,$A$405)))</f>
        <v/>
      </c>
      <c r="AG433" s="223" t="str">
        <f>IF(AG$3="","",IF(COUNTIFS(BD!$A$3:$A$5001,AG$3,BD!$B$3:$B$5001,$A$405,BD!$AD$3:$AD$5001,"&lt;&gt;")=0,"",SUMIFS(BD!$AD$3:$AD$5001,BD!$A$3:$A$5001,AG$3,BD!$B$3:$B$5001,$A$405)))</f>
        <v/>
      </c>
      <c r="AH433" s="223" t="str">
        <f>IF(AH$3="","",IF(COUNTIFS(BD!$A$3:$A$5001,AH$3,BD!$B$3:$B$5001,$A$405,BD!$AD$3:$AD$5001,"&lt;&gt;")=0,"",SUMIFS(BD!$AD$3:$AD$5001,BD!$A$3:$A$5001,AH$3,BD!$B$3:$B$5001,$A$405)))</f>
        <v/>
      </c>
      <c r="AI433" s="223" t="str">
        <f>IF(AI$3="","",IF(COUNTIFS(BD!$A$3:$A$5001,AI$3,BD!$B$3:$B$5001,$A$405,BD!$AD$3:$AD$5001,"&lt;&gt;")=0,"",SUMIFS(BD!$AD$3:$AD$5001,BD!$A$3:$A$5001,AI$3,BD!$B$3:$B$5001,$A$405)))</f>
        <v/>
      </c>
      <c r="AJ433" s="224" t="str">
        <f>IF(AJ$3="","",IF(COUNTIFS(BD!$A$3:$A$5001,AJ$3,BD!$B$3:$B$5001,$A$405,BD!$AD$3:$AD$5001,"&lt;&gt;")=0,"",SUMIFS(BD!$AD$3:$AD$5001,BD!$A$3:$A$5001,AJ$3,BD!$B$3:$B$5001,$A$405)))</f>
        <v/>
      </c>
      <c r="AK433" s="225" t="str">
        <f>IF(COUNT(F433:AJ433)=0,"",SUM(F433:AJ433))</f>
        <v/>
      </c>
    </row>
    <row r="434" ht="15.75" customHeight="1" hidden="1">
      <c r="A434" s="244"/>
      <c r="B434" s="241"/>
      <c r="C434" s="219" t="inlineStr">
        <is>
          <t xml:space="preserve">Acidentes CAF</t>
        </is>
      </c>
      <c r="D434" s="220" t="str">
        <f>IFERROR(1/(1/INDEX(BD!$AJ$52:$BD$52,MATCH($A$405,BD!$AJ$22:$BD$22,0))),"")</f>
        <v/>
      </c>
      <c r="E434" s="221"/>
      <c r="F434" s="222" t="str">
        <f>IF(F$3="","",IF(COUNTIFS(BD!$A$3:$A$5001,F$3,BD!$B$3:$B$5001,$A$405,BD!$AE$3:$AE$5001,"&lt;&gt;")=0,"",SUMIFS(BD!$AE$3:$AE$5001,BD!$A$3:$A$5001,F$3,BD!$B$3:$B$5001,$A$405)))</f>
        <v/>
      </c>
      <c r="G434" s="223" t="str">
        <f>IF(G$3="","",IF(COUNTIFS(BD!$A$3:$A$5001,G$3,BD!$B$3:$B$5001,$A$405,BD!$AE$3:$AE$5001,"&lt;&gt;")=0,"",SUMIFS(BD!$AE$3:$AE$5001,BD!$A$3:$A$5001,G$3,BD!$B$3:$B$5001,$A$405)))</f>
        <v/>
      </c>
      <c r="H434" s="223" t="str">
        <f>IF(H$3="","",IF(COUNTIFS(BD!$A$3:$A$5001,H$3,BD!$B$3:$B$5001,$A$405,BD!$AE$3:$AE$5001,"&lt;&gt;")=0,"",SUMIFS(BD!$AE$3:$AE$5001,BD!$A$3:$A$5001,H$3,BD!$B$3:$B$5001,$A$405)))</f>
        <v/>
      </c>
      <c r="I434" s="223" t="str">
        <f>IF(I$3="","",IF(COUNTIFS(BD!$A$3:$A$5001,I$3,BD!$B$3:$B$5001,$A$405,BD!$AE$3:$AE$5001,"&lt;&gt;")=0,"",SUMIFS(BD!$AE$3:$AE$5001,BD!$A$3:$A$5001,I$3,BD!$B$3:$B$5001,$A$405)))</f>
        <v/>
      </c>
      <c r="J434" s="223" t="str">
        <f>IF(J$3="","",IF(COUNTIFS(BD!$A$3:$A$5001,J$3,BD!$B$3:$B$5001,$A$405,BD!$AE$3:$AE$5001,"&lt;&gt;")=0,"",SUMIFS(BD!$AE$3:$AE$5001,BD!$A$3:$A$5001,J$3,BD!$B$3:$B$5001,$A$405)))</f>
        <v/>
      </c>
      <c r="K434" s="223" t="str">
        <f>IF(K$3="","",IF(COUNTIFS(BD!$A$3:$A$5001,K$3,BD!$B$3:$B$5001,$A$405,BD!$AE$3:$AE$5001,"&lt;&gt;")=0,"",SUMIFS(BD!$AE$3:$AE$5001,BD!$A$3:$A$5001,K$3,BD!$B$3:$B$5001,$A$405)))</f>
        <v/>
      </c>
      <c r="L434" s="223" t="str">
        <f>IF(L$3="","",IF(COUNTIFS(BD!$A$3:$A$5001,L$3,BD!$B$3:$B$5001,$A$405,BD!$AE$3:$AE$5001,"&lt;&gt;")=0,"",SUMIFS(BD!$AE$3:$AE$5001,BD!$A$3:$A$5001,L$3,BD!$B$3:$B$5001,$A$405)))</f>
        <v/>
      </c>
      <c r="M434" s="223" t="str">
        <f>IF(M$3="","",IF(COUNTIFS(BD!$A$3:$A$5001,M$3,BD!$B$3:$B$5001,$A$405,BD!$AE$3:$AE$5001,"&lt;&gt;")=0,"",SUMIFS(BD!$AE$3:$AE$5001,BD!$A$3:$A$5001,M$3,BD!$B$3:$B$5001,$A$405)))</f>
        <v/>
      </c>
      <c r="N434" s="223" t="str">
        <f>IF(N$3="","",IF(COUNTIFS(BD!$A$3:$A$5001,N$3,BD!$B$3:$B$5001,$A$405,BD!$AE$3:$AE$5001,"&lt;&gt;")=0,"",SUMIFS(BD!$AE$3:$AE$5001,BD!$A$3:$A$5001,N$3,BD!$B$3:$B$5001,$A$405)))</f>
        <v/>
      </c>
      <c r="O434" s="223" t="str">
        <f>IF(O$3="","",IF(COUNTIFS(BD!$A$3:$A$5001,O$3,BD!$B$3:$B$5001,$A$405,BD!$AE$3:$AE$5001,"&lt;&gt;")=0,"",SUMIFS(BD!$AE$3:$AE$5001,BD!$A$3:$A$5001,O$3,BD!$B$3:$B$5001,$A$405)))</f>
        <v/>
      </c>
      <c r="P434" s="223" t="str">
        <f>IF(P$3="","",IF(COUNTIFS(BD!$A$3:$A$5001,P$3,BD!$B$3:$B$5001,$A$405,BD!$AE$3:$AE$5001,"&lt;&gt;")=0,"",SUMIFS(BD!$AE$3:$AE$5001,BD!$A$3:$A$5001,P$3,BD!$B$3:$B$5001,$A$405)))</f>
        <v/>
      </c>
      <c r="Q434" s="223" t="str">
        <f>IF(Q$3="","",IF(COUNTIFS(BD!$A$3:$A$5001,Q$3,BD!$B$3:$B$5001,$A$405,BD!$AE$3:$AE$5001,"&lt;&gt;")=0,"",SUMIFS(BD!$AE$3:$AE$5001,BD!$A$3:$A$5001,Q$3,BD!$B$3:$B$5001,$A$405)))</f>
        <v/>
      </c>
      <c r="R434" s="223" t="str">
        <f>IF(R$3="","",IF(COUNTIFS(BD!$A$3:$A$5001,R$3,BD!$B$3:$B$5001,$A$405,BD!$AE$3:$AE$5001,"&lt;&gt;")=0,"",SUMIFS(BD!$AE$3:$AE$5001,BD!$A$3:$A$5001,R$3,BD!$B$3:$B$5001,$A$405)))</f>
        <v/>
      </c>
      <c r="S434" s="223" t="str">
        <f>IF(S$3="","",IF(COUNTIFS(BD!$A$3:$A$5001,S$3,BD!$B$3:$B$5001,$A$405,BD!$AE$3:$AE$5001,"&lt;&gt;")=0,"",SUMIFS(BD!$AE$3:$AE$5001,BD!$A$3:$A$5001,S$3,BD!$B$3:$B$5001,$A$405)))</f>
        <v/>
      </c>
      <c r="T434" s="223" t="str">
        <f>IF(T$3="","",IF(COUNTIFS(BD!$A$3:$A$5001,T$3,BD!$B$3:$B$5001,$A$405,BD!$AE$3:$AE$5001,"&lt;&gt;")=0,"",SUMIFS(BD!$AE$3:$AE$5001,BD!$A$3:$A$5001,T$3,BD!$B$3:$B$5001,$A$405)))</f>
        <v/>
      </c>
      <c r="U434" s="223" t="str">
        <f>IF(U$3="","",IF(COUNTIFS(BD!$A$3:$A$5001,U$3,BD!$B$3:$B$5001,$A$405,BD!$AE$3:$AE$5001,"&lt;&gt;")=0,"",SUMIFS(BD!$AE$3:$AE$5001,BD!$A$3:$A$5001,U$3,BD!$B$3:$B$5001,$A$405)))</f>
        <v/>
      </c>
      <c r="V434" s="223" t="str">
        <f>IF(V$3="","",IF(COUNTIFS(BD!$A$3:$A$5001,V$3,BD!$B$3:$B$5001,$A$405,BD!$AE$3:$AE$5001,"&lt;&gt;")=0,"",SUMIFS(BD!$AE$3:$AE$5001,BD!$A$3:$A$5001,V$3,BD!$B$3:$B$5001,$A$405)))</f>
        <v/>
      </c>
      <c r="W434" s="223" t="str">
        <f>IF(W$3="","",IF(COUNTIFS(BD!$A$3:$A$5001,W$3,BD!$B$3:$B$5001,$A$405,BD!$AE$3:$AE$5001,"&lt;&gt;")=0,"",SUMIFS(BD!$AE$3:$AE$5001,BD!$A$3:$A$5001,W$3,BD!$B$3:$B$5001,$A$405)))</f>
        <v/>
      </c>
      <c r="X434" s="223" t="str">
        <f>IF(X$3="","",IF(COUNTIFS(BD!$A$3:$A$5001,X$3,BD!$B$3:$B$5001,$A$405,BD!$AE$3:$AE$5001,"&lt;&gt;")=0,"",SUMIFS(BD!$AE$3:$AE$5001,BD!$A$3:$A$5001,X$3,BD!$B$3:$B$5001,$A$405)))</f>
        <v/>
      </c>
      <c r="Y434" s="223" t="str">
        <f>IF(Y$3="","",IF(COUNTIFS(BD!$A$3:$A$5001,Y$3,BD!$B$3:$B$5001,$A$405,BD!$AE$3:$AE$5001,"&lt;&gt;")=0,"",SUMIFS(BD!$AE$3:$AE$5001,BD!$A$3:$A$5001,Y$3,BD!$B$3:$B$5001,$A$405)))</f>
        <v/>
      </c>
      <c r="Z434" s="223" t="str">
        <f>IF(Z$3="","",IF(COUNTIFS(BD!$A$3:$A$5001,Z$3,BD!$B$3:$B$5001,$A$405,BD!$AE$3:$AE$5001,"&lt;&gt;")=0,"",SUMIFS(BD!$AE$3:$AE$5001,BD!$A$3:$A$5001,Z$3,BD!$B$3:$B$5001,$A$405)))</f>
        <v/>
      </c>
      <c r="AA434" s="223" t="str">
        <f>IF(AA$3="","",IF(COUNTIFS(BD!$A$3:$A$5001,AA$3,BD!$B$3:$B$5001,$A$405,BD!$AE$3:$AE$5001,"&lt;&gt;")=0,"",SUMIFS(BD!$AE$3:$AE$5001,BD!$A$3:$A$5001,AA$3,BD!$B$3:$B$5001,$A$405)))</f>
        <v/>
      </c>
      <c r="AB434" s="223" t="str">
        <f>IF(AB$3="","",IF(COUNTIFS(BD!$A$3:$A$5001,AB$3,BD!$B$3:$B$5001,$A$405,BD!$AE$3:$AE$5001,"&lt;&gt;")=0,"",SUMIFS(BD!$AE$3:$AE$5001,BD!$A$3:$A$5001,AB$3,BD!$B$3:$B$5001,$A$405)))</f>
        <v/>
      </c>
      <c r="AC434" s="223" t="str">
        <f>IF(AC$3="","",IF(COUNTIFS(BD!$A$3:$A$5001,AC$3,BD!$B$3:$B$5001,$A$405,BD!$AE$3:$AE$5001,"&lt;&gt;")=0,"",SUMIFS(BD!$AE$3:$AE$5001,BD!$A$3:$A$5001,AC$3,BD!$B$3:$B$5001,$A$405)))</f>
        <v/>
      </c>
      <c r="AD434" s="223" t="str">
        <f>IF(AD$3="","",IF(COUNTIFS(BD!$A$3:$A$5001,AD$3,BD!$B$3:$B$5001,$A$405,BD!$AE$3:$AE$5001,"&lt;&gt;")=0,"",SUMIFS(BD!$AE$3:$AE$5001,BD!$A$3:$A$5001,AD$3,BD!$B$3:$B$5001,$A$405)))</f>
        <v/>
      </c>
      <c r="AE434" s="223" t="str">
        <f>IF(AE$3="","",IF(COUNTIFS(BD!$A$3:$A$5001,AE$3,BD!$B$3:$B$5001,$A$405,BD!$AE$3:$AE$5001,"&lt;&gt;")=0,"",SUMIFS(BD!$AE$3:$AE$5001,BD!$A$3:$A$5001,AE$3,BD!$B$3:$B$5001,$A$405)))</f>
        <v/>
      </c>
      <c r="AF434" s="223" t="str">
        <f>IF(AF$3="","",IF(COUNTIFS(BD!$A$3:$A$5001,AF$3,BD!$B$3:$B$5001,$A$405,BD!$AE$3:$AE$5001,"&lt;&gt;")=0,"",SUMIFS(BD!$AE$3:$AE$5001,BD!$A$3:$A$5001,AF$3,BD!$B$3:$B$5001,$A$405)))</f>
        <v/>
      </c>
      <c r="AG434" s="223" t="str">
        <f>IF(AG$3="","",IF(COUNTIFS(BD!$A$3:$A$5001,AG$3,BD!$B$3:$B$5001,$A$405,BD!$AE$3:$AE$5001,"&lt;&gt;")=0,"",SUMIFS(BD!$AE$3:$AE$5001,BD!$A$3:$A$5001,AG$3,BD!$B$3:$B$5001,$A$405)))</f>
        <v/>
      </c>
      <c r="AH434" s="223" t="str">
        <f>IF(AH$3="","",IF(COUNTIFS(BD!$A$3:$A$5001,AH$3,BD!$B$3:$B$5001,$A$405,BD!$AE$3:$AE$5001,"&lt;&gt;")=0,"",SUMIFS(BD!$AE$3:$AE$5001,BD!$A$3:$A$5001,AH$3,BD!$B$3:$B$5001,$A$405)))</f>
        <v/>
      </c>
      <c r="AI434" s="223" t="str">
        <f>IF(AI$3="","",IF(COUNTIFS(BD!$A$3:$A$5001,AI$3,BD!$B$3:$B$5001,$A$405,BD!$AE$3:$AE$5001,"&lt;&gt;")=0,"",SUMIFS(BD!$AE$3:$AE$5001,BD!$A$3:$A$5001,AI$3,BD!$B$3:$B$5001,$A$405)))</f>
        <v/>
      </c>
      <c r="AJ434" s="224" t="str">
        <f>IF(AJ$3="","",IF(COUNTIFS(BD!$A$3:$A$5001,AJ$3,BD!$B$3:$B$5001,$A$405,BD!$AE$3:$AE$5001,"&lt;&gt;")=0,"",SUMIFS(BD!$AE$3:$AE$5001,BD!$A$3:$A$5001,AJ$3,BD!$B$3:$B$5001,$A$405)))</f>
        <v/>
      </c>
      <c r="AK434" s="225" t="str">
        <f>IF(COUNT(F434:AJ434)=0,"",SUM(F434:AJ434))</f>
        <v/>
      </c>
    </row>
    <row r="435" ht="15.75" customHeight="1" hidden="1">
      <c r="A435" s="245"/>
      <c r="B435" s="242"/>
      <c r="C435" s="226" t="inlineStr">
        <is>
          <t xml:space="preserve">Acidentes SAF</t>
        </is>
      </c>
      <c r="D435" s="227" t="str">
        <f>IFERROR(1/(1/INDEX(BD!$AJ$53:$BD$53,MATCH($A$405,BD!$AJ$22:$BD$22,0))),"")</f>
        <v/>
      </c>
      <c r="E435" s="228"/>
      <c r="F435" s="229" t="str">
        <f>IF(F$3="","",IF(COUNTIFS(BD!$A$3:$A$5001,F$3,BD!$B$3:$B$5001,$A$405,BD!$AF$3:$AF$5001,"&lt;&gt;")=0,"",SUMIFS(BD!$AF$3:$AF$5001,BD!$A$3:$A$5001,F$3,BD!$B$3:$B$5001,$A$405)))</f>
        <v/>
      </c>
      <c r="G435" s="230" t="str">
        <f>IF(G$3="","",IF(COUNTIFS(BD!$A$3:$A$5001,G$3,BD!$B$3:$B$5001,$A$405,BD!$AF$3:$AF$5001,"&lt;&gt;")=0,"",SUMIFS(BD!$AF$3:$AF$5001,BD!$A$3:$A$5001,G$3,BD!$B$3:$B$5001,$A$405)))</f>
        <v/>
      </c>
      <c r="H435" s="230" t="str">
        <f>IF(H$3="","",IF(COUNTIFS(BD!$A$3:$A$5001,H$3,BD!$B$3:$B$5001,$A$405,BD!$AF$3:$AF$5001,"&lt;&gt;")=0,"",SUMIFS(BD!$AF$3:$AF$5001,BD!$A$3:$A$5001,H$3,BD!$B$3:$B$5001,$A$405)))</f>
        <v/>
      </c>
      <c r="I435" s="230" t="str">
        <f>IF(I$3="","",IF(COUNTIFS(BD!$A$3:$A$5001,I$3,BD!$B$3:$B$5001,$A$405,BD!$AF$3:$AF$5001,"&lt;&gt;")=0,"",SUMIFS(BD!$AF$3:$AF$5001,BD!$A$3:$A$5001,I$3,BD!$B$3:$B$5001,$A$405)))</f>
        <v/>
      </c>
      <c r="J435" s="230" t="str">
        <f>IF(J$3="","",IF(COUNTIFS(BD!$A$3:$A$5001,J$3,BD!$B$3:$B$5001,$A$405,BD!$AF$3:$AF$5001,"&lt;&gt;")=0,"",SUMIFS(BD!$AF$3:$AF$5001,BD!$A$3:$A$5001,J$3,BD!$B$3:$B$5001,$A$405)))</f>
        <v/>
      </c>
      <c r="K435" s="230" t="str">
        <f>IF(K$3="","",IF(COUNTIFS(BD!$A$3:$A$5001,K$3,BD!$B$3:$B$5001,$A$405,BD!$AF$3:$AF$5001,"&lt;&gt;")=0,"",SUMIFS(BD!$AF$3:$AF$5001,BD!$A$3:$A$5001,K$3,BD!$B$3:$B$5001,$A$405)))</f>
        <v/>
      </c>
      <c r="L435" s="230" t="str">
        <f>IF(L$3="","",IF(COUNTIFS(BD!$A$3:$A$5001,L$3,BD!$B$3:$B$5001,$A$405,BD!$AF$3:$AF$5001,"&lt;&gt;")=0,"",SUMIFS(BD!$AF$3:$AF$5001,BD!$A$3:$A$5001,L$3,BD!$B$3:$B$5001,$A$405)))</f>
        <v/>
      </c>
      <c r="M435" s="230" t="str">
        <f>IF(M$3="","",IF(COUNTIFS(BD!$A$3:$A$5001,M$3,BD!$B$3:$B$5001,$A$405,BD!$AF$3:$AF$5001,"&lt;&gt;")=0,"",SUMIFS(BD!$AF$3:$AF$5001,BD!$A$3:$A$5001,M$3,BD!$B$3:$B$5001,$A$405)))</f>
        <v/>
      </c>
      <c r="N435" s="230" t="str">
        <f>IF(N$3="","",IF(COUNTIFS(BD!$A$3:$A$5001,N$3,BD!$B$3:$B$5001,$A$405,BD!$AF$3:$AF$5001,"&lt;&gt;")=0,"",SUMIFS(BD!$AF$3:$AF$5001,BD!$A$3:$A$5001,N$3,BD!$B$3:$B$5001,$A$405)))</f>
        <v/>
      </c>
      <c r="O435" s="230" t="str">
        <f>IF(O$3="","",IF(COUNTIFS(BD!$A$3:$A$5001,O$3,BD!$B$3:$B$5001,$A$405,BD!$AF$3:$AF$5001,"&lt;&gt;")=0,"",SUMIFS(BD!$AF$3:$AF$5001,BD!$A$3:$A$5001,O$3,BD!$B$3:$B$5001,$A$405)))</f>
        <v/>
      </c>
      <c r="P435" s="230" t="str">
        <f>IF(P$3="","",IF(COUNTIFS(BD!$A$3:$A$5001,P$3,BD!$B$3:$B$5001,$A$405,BD!$AF$3:$AF$5001,"&lt;&gt;")=0,"",SUMIFS(BD!$AF$3:$AF$5001,BD!$A$3:$A$5001,P$3,BD!$B$3:$B$5001,$A$405)))</f>
        <v/>
      </c>
      <c r="Q435" s="230" t="str">
        <f>IF(Q$3="","",IF(COUNTIFS(BD!$A$3:$A$5001,Q$3,BD!$B$3:$B$5001,$A$405,BD!$AF$3:$AF$5001,"&lt;&gt;")=0,"",SUMIFS(BD!$AF$3:$AF$5001,BD!$A$3:$A$5001,Q$3,BD!$B$3:$B$5001,$A$405)))</f>
        <v/>
      </c>
      <c r="R435" s="230" t="str">
        <f>IF(R$3="","",IF(COUNTIFS(BD!$A$3:$A$5001,R$3,BD!$B$3:$B$5001,$A$405,BD!$AF$3:$AF$5001,"&lt;&gt;")=0,"",SUMIFS(BD!$AF$3:$AF$5001,BD!$A$3:$A$5001,R$3,BD!$B$3:$B$5001,$A$405)))</f>
        <v/>
      </c>
      <c r="S435" s="230" t="str">
        <f>IF(S$3="","",IF(COUNTIFS(BD!$A$3:$A$5001,S$3,BD!$B$3:$B$5001,$A$405,BD!$AF$3:$AF$5001,"&lt;&gt;")=0,"",SUMIFS(BD!$AF$3:$AF$5001,BD!$A$3:$A$5001,S$3,BD!$B$3:$B$5001,$A$405)))</f>
        <v/>
      </c>
      <c r="T435" s="230" t="str">
        <f>IF(T$3="","",IF(COUNTIFS(BD!$A$3:$A$5001,T$3,BD!$B$3:$B$5001,$A$405,BD!$AF$3:$AF$5001,"&lt;&gt;")=0,"",SUMIFS(BD!$AF$3:$AF$5001,BD!$A$3:$A$5001,T$3,BD!$B$3:$B$5001,$A$405)))</f>
        <v/>
      </c>
      <c r="U435" s="230" t="str">
        <f>IF(U$3="","",IF(COUNTIFS(BD!$A$3:$A$5001,U$3,BD!$B$3:$B$5001,$A$405,BD!$AF$3:$AF$5001,"&lt;&gt;")=0,"",SUMIFS(BD!$AF$3:$AF$5001,BD!$A$3:$A$5001,U$3,BD!$B$3:$B$5001,$A$405)))</f>
        <v/>
      </c>
      <c r="V435" s="230" t="str">
        <f>IF(V$3="","",IF(COUNTIFS(BD!$A$3:$A$5001,V$3,BD!$B$3:$B$5001,$A$405,BD!$AF$3:$AF$5001,"&lt;&gt;")=0,"",SUMIFS(BD!$AF$3:$AF$5001,BD!$A$3:$A$5001,V$3,BD!$B$3:$B$5001,$A$405)))</f>
        <v/>
      </c>
      <c r="W435" s="230" t="str">
        <f>IF(W$3="","",IF(COUNTIFS(BD!$A$3:$A$5001,W$3,BD!$B$3:$B$5001,$A$405,BD!$AF$3:$AF$5001,"&lt;&gt;")=0,"",SUMIFS(BD!$AF$3:$AF$5001,BD!$A$3:$A$5001,W$3,BD!$B$3:$B$5001,$A$405)))</f>
        <v/>
      </c>
      <c r="X435" s="230" t="str">
        <f>IF(X$3="","",IF(COUNTIFS(BD!$A$3:$A$5001,X$3,BD!$B$3:$B$5001,$A$405,BD!$AF$3:$AF$5001,"&lt;&gt;")=0,"",SUMIFS(BD!$AF$3:$AF$5001,BD!$A$3:$A$5001,X$3,BD!$B$3:$B$5001,$A$405)))</f>
        <v/>
      </c>
      <c r="Y435" s="230" t="str">
        <f>IF(Y$3="","",IF(COUNTIFS(BD!$A$3:$A$5001,Y$3,BD!$B$3:$B$5001,$A$405,BD!$AF$3:$AF$5001,"&lt;&gt;")=0,"",SUMIFS(BD!$AF$3:$AF$5001,BD!$A$3:$A$5001,Y$3,BD!$B$3:$B$5001,$A$405)))</f>
        <v/>
      </c>
      <c r="Z435" s="230" t="str">
        <f>IF(Z$3="","",IF(COUNTIFS(BD!$A$3:$A$5001,Z$3,BD!$B$3:$B$5001,$A$405,BD!$AF$3:$AF$5001,"&lt;&gt;")=0,"",SUMIFS(BD!$AF$3:$AF$5001,BD!$A$3:$A$5001,Z$3,BD!$B$3:$B$5001,$A$405)))</f>
        <v/>
      </c>
      <c r="AA435" s="230" t="str">
        <f>IF(AA$3="","",IF(COUNTIFS(BD!$A$3:$A$5001,AA$3,BD!$B$3:$B$5001,$A$405,BD!$AF$3:$AF$5001,"&lt;&gt;")=0,"",SUMIFS(BD!$AF$3:$AF$5001,BD!$A$3:$A$5001,AA$3,BD!$B$3:$B$5001,$A$405)))</f>
        <v/>
      </c>
      <c r="AB435" s="230" t="str">
        <f>IF(AB$3="","",IF(COUNTIFS(BD!$A$3:$A$5001,AB$3,BD!$B$3:$B$5001,$A$405,BD!$AF$3:$AF$5001,"&lt;&gt;")=0,"",SUMIFS(BD!$AF$3:$AF$5001,BD!$A$3:$A$5001,AB$3,BD!$B$3:$B$5001,$A$405)))</f>
        <v/>
      </c>
      <c r="AC435" s="230" t="str">
        <f>IF(AC$3="","",IF(COUNTIFS(BD!$A$3:$A$5001,AC$3,BD!$B$3:$B$5001,$A$405,BD!$AF$3:$AF$5001,"&lt;&gt;")=0,"",SUMIFS(BD!$AF$3:$AF$5001,BD!$A$3:$A$5001,AC$3,BD!$B$3:$B$5001,$A$405)))</f>
        <v/>
      </c>
      <c r="AD435" s="230" t="str">
        <f>IF(AD$3="","",IF(COUNTIFS(BD!$A$3:$A$5001,AD$3,BD!$B$3:$B$5001,$A$405,BD!$AF$3:$AF$5001,"&lt;&gt;")=0,"",SUMIFS(BD!$AF$3:$AF$5001,BD!$A$3:$A$5001,AD$3,BD!$B$3:$B$5001,$A$405)))</f>
        <v/>
      </c>
      <c r="AE435" s="230" t="str">
        <f>IF(AE$3="","",IF(COUNTIFS(BD!$A$3:$A$5001,AE$3,BD!$B$3:$B$5001,$A$405,BD!$AF$3:$AF$5001,"&lt;&gt;")=0,"",SUMIFS(BD!$AF$3:$AF$5001,BD!$A$3:$A$5001,AE$3,BD!$B$3:$B$5001,$A$405)))</f>
        <v/>
      </c>
      <c r="AF435" s="230" t="str">
        <f>IF(AF$3="","",IF(COUNTIFS(BD!$A$3:$A$5001,AF$3,BD!$B$3:$B$5001,$A$405,BD!$AF$3:$AF$5001,"&lt;&gt;")=0,"",SUMIFS(BD!$AF$3:$AF$5001,BD!$A$3:$A$5001,AF$3,BD!$B$3:$B$5001,$A$405)))</f>
        <v/>
      </c>
      <c r="AG435" s="230" t="str">
        <f>IF(AG$3="","",IF(COUNTIFS(BD!$A$3:$A$5001,AG$3,BD!$B$3:$B$5001,$A$405,BD!$AF$3:$AF$5001,"&lt;&gt;")=0,"",SUMIFS(BD!$AF$3:$AF$5001,BD!$A$3:$A$5001,AG$3,BD!$B$3:$B$5001,$A$405)))</f>
        <v/>
      </c>
      <c r="AH435" s="230" t="str">
        <f>IF(AH$3="","",IF(COUNTIFS(BD!$A$3:$A$5001,AH$3,BD!$B$3:$B$5001,$A$405,BD!$AF$3:$AF$5001,"&lt;&gt;")=0,"",SUMIFS(BD!$AF$3:$AF$5001,BD!$A$3:$A$5001,AH$3,BD!$B$3:$B$5001,$A$405)))</f>
        <v/>
      </c>
      <c r="AI435" s="230" t="str">
        <f>IF(AI$3="","",IF(COUNTIFS(BD!$A$3:$A$5001,AI$3,BD!$B$3:$B$5001,$A$405,BD!$AF$3:$AF$5001,"&lt;&gt;")=0,"",SUMIFS(BD!$AF$3:$AF$5001,BD!$A$3:$A$5001,AI$3,BD!$B$3:$B$5001,$A$405)))</f>
        <v/>
      </c>
      <c r="AJ435" s="231" t="str">
        <f>IF(AJ$3="","",IF(COUNTIFS(BD!$A$3:$A$5001,AJ$3,BD!$B$3:$B$5001,$A$405,BD!$AF$3:$AF$5001,"&lt;&gt;")=0,"",SUMIFS(BD!$AF$3:$AF$5001,BD!$A$3:$A$5001,AJ$3,BD!$B$3:$B$5001,$A$405)))</f>
        <v/>
      </c>
      <c r="AK435" s="227" t="str">
        <f>IF(COUNT(F435:AJ435)=0,"",SUM(F435:AJ435))</f>
        <v/>
      </c>
    </row>
    <row r="437" ht="15.75" customHeight="1" hidden="1">
      <c r="A437" s="243"/>
      <c r="B437" s="232" t="inlineStr">
        <is>
          <t xml:space="preserve">IN</t>
        </is>
      </c>
      <c r="C437" s="155" t="inlineStr">
        <is>
          <t xml:space="preserve">Veículos Recebidos</t>
        </is>
      </c>
      <c r="D437" s="156" t="str">
        <f>IFERROR(1/(1/INDEX(BD!$AJ$23:$BD$23,MATCH($A$437,BD!$AJ$22:$BD$22,0))),"")</f>
        <v/>
      </c>
      <c r="E437" s="157"/>
      <c r="F437" s="158" t="str">
        <f>IF(F$3="","",IF(COUNTIFS(BD!$A$3:$A$5001,F$3,BD!$B$3:$B$5001,$A$437,BD!$C$3:$C$5001,"&lt;&gt;")=0,"",SUMIFS(BD!$C$3:$C$5001,BD!$A$3:$A$5001,F$3,BD!$B$3:$B$5001,$A$437)))</f>
        <v/>
      </c>
      <c r="G437" s="159" t="str">
        <f>IF(G$3="","",IF(COUNTIFS(BD!$A$3:$A$5001,G$3,BD!$B$3:$B$5001,$A$437,BD!$C$3:$C$5001,"&lt;&gt;")=0,"",SUMIFS(BD!$C$3:$C$5001,BD!$A$3:$A$5001,G$3,BD!$B$3:$B$5001,$A$437)))</f>
        <v/>
      </c>
      <c r="H437" s="159" t="str">
        <f>IF(H$3="","",IF(COUNTIFS(BD!$A$3:$A$5001,H$3,BD!$B$3:$B$5001,$A$437,BD!$C$3:$C$5001,"&lt;&gt;")=0,"",SUMIFS(BD!$C$3:$C$5001,BD!$A$3:$A$5001,H$3,BD!$B$3:$B$5001,$A$437)))</f>
        <v/>
      </c>
      <c r="I437" s="159" t="str">
        <f>IF(I$3="","",IF(COUNTIFS(BD!$A$3:$A$5001,I$3,BD!$B$3:$B$5001,$A$437,BD!$C$3:$C$5001,"&lt;&gt;")=0,"",SUMIFS(BD!$C$3:$C$5001,BD!$A$3:$A$5001,I$3,BD!$B$3:$B$5001,$A$437)))</f>
        <v/>
      </c>
      <c r="J437" s="159" t="str">
        <f>IF(J$3="","",IF(COUNTIFS(BD!$A$3:$A$5001,J$3,BD!$B$3:$B$5001,$A$437,BD!$C$3:$C$5001,"&lt;&gt;")=0,"",SUMIFS(BD!$C$3:$C$5001,BD!$A$3:$A$5001,J$3,BD!$B$3:$B$5001,$A$437)))</f>
        <v/>
      </c>
      <c r="K437" s="159" t="str">
        <f>IF(K$3="","",IF(COUNTIFS(BD!$A$3:$A$5001,K$3,BD!$B$3:$B$5001,$A$437,BD!$C$3:$C$5001,"&lt;&gt;")=0,"",SUMIFS(BD!$C$3:$C$5001,BD!$A$3:$A$5001,K$3,BD!$B$3:$B$5001,$A$437)))</f>
        <v/>
      </c>
      <c r="L437" s="159" t="str">
        <f>IF(L$3="","",IF(COUNTIFS(BD!$A$3:$A$5001,L$3,BD!$B$3:$B$5001,$A$437,BD!$C$3:$C$5001,"&lt;&gt;")=0,"",SUMIFS(BD!$C$3:$C$5001,BD!$A$3:$A$5001,L$3,BD!$B$3:$B$5001,$A$437)))</f>
        <v/>
      </c>
      <c r="M437" s="159" t="str">
        <f>IF(M$3="","",IF(COUNTIFS(BD!$A$3:$A$5001,M$3,BD!$B$3:$B$5001,$A$437,BD!$C$3:$C$5001,"&lt;&gt;")=0,"",SUMIFS(BD!$C$3:$C$5001,BD!$A$3:$A$5001,M$3,BD!$B$3:$B$5001,$A$437)))</f>
        <v/>
      </c>
      <c r="N437" s="159" t="str">
        <f>IF(N$3="","",IF(COUNTIFS(BD!$A$3:$A$5001,N$3,BD!$B$3:$B$5001,$A$437,BD!$C$3:$C$5001,"&lt;&gt;")=0,"",SUMIFS(BD!$C$3:$C$5001,BD!$A$3:$A$5001,N$3,BD!$B$3:$B$5001,$A$437)))</f>
        <v/>
      </c>
      <c r="O437" s="159" t="str">
        <f>IF(O$3="","",IF(COUNTIFS(BD!$A$3:$A$5001,O$3,BD!$B$3:$B$5001,$A$437,BD!$C$3:$C$5001,"&lt;&gt;")=0,"",SUMIFS(BD!$C$3:$C$5001,BD!$A$3:$A$5001,O$3,BD!$B$3:$B$5001,$A$437)))</f>
        <v/>
      </c>
      <c r="P437" s="159" t="str">
        <f>IF(P$3="","",IF(COUNTIFS(BD!$A$3:$A$5001,P$3,BD!$B$3:$B$5001,$A$437,BD!$C$3:$C$5001,"&lt;&gt;")=0,"",SUMIFS(BD!$C$3:$C$5001,BD!$A$3:$A$5001,P$3,BD!$B$3:$B$5001,$A$437)))</f>
        <v/>
      </c>
      <c r="Q437" s="159" t="str">
        <f>IF(Q$3="","",IF(COUNTIFS(BD!$A$3:$A$5001,Q$3,BD!$B$3:$B$5001,$A$437,BD!$C$3:$C$5001,"&lt;&gt;")=0,"",SUMIFS(BD!$C$3:$C$5001,BD!$A$3:$A$5001,Q$3,BD!$B$3:$B$5001,$A$437)))</f>
        <v/>
      </c>
      <c r="R437" s="159" t="str">
        <f>IF(R$3="","",IF(COUNTIFS(BD!$A$3:$A$5001,R$3,BD!$B$3:$B$5001,$A$437,BD!$C$3:$C$5001,"&lt;&gt;")=0,"",SUMIFS(BD!$C$3:$C$5001,BD!$A$3:$A$5001,R$3,BD!$B$3:$B$5001,$A$437)))</f>
        <v/>
      </c>
      <c r="S437" s="159" t="str">
        <f>IF(S$3="","",IF(COUNTIFS(BD!$A$3:$A$5001,S$3,BD!$B$3:$B$5001,$A$437,BD!$C$3:$C$5001,"&lt;&gt;")=0,"",SUMIFS(BD!$C$3:$C$5001,BD!$A$3:$A$5001,S$3,BD!$B$3:$B$5001,$A$437)))</f>
        <v/>
      </c>
      <c r="T437" s="159" t="str">
        <f>IF(T$3="","",IF(COUNTIFS(BD!$A$3:$A$5001,T$3,BD!$B$3:$B$5001,$A$437,BD!$C$3:$C$5001,"&lt;&gt;")=0,"",SUMIFS(BD!$C$3:$C$5001,BD!$A$3:$A$5001,T$3,BD!$B$3:$B$5001,$A$437)))</f>
        <v/>
      </c>
      <c r="U437" s="159" t="str">
        <f>IF(U$3="","",IF(COUNTIFS(BD!$A$3:$A$5001,U$3,BD!$B$3:$B$5001,$A$437,BD!$C$3:$C$5001,"&lt;&gt;")=0,"",SUMIFS(BD!$C$3:$C$5001,BD!$A$3:$A$5001,U$3,BD!$B$3:$B$5001,$A$437)))</f>
        <v/>
      </c>
      <c r="V437" s="159" t="str">
        <f>IF(V$3="","",IF(COUNTIFS(BD!$A$3:$A$5001,V$3,BD!$B$3:$B$5001,$A$437,BD!$C$3:$C$5001,"&lt;&gt;")=0,"",SUMIFS(BD!$C$3:$C$5001,BD!$A$3:$A$5001,V$3,BD!$B$3:$B$5001,$A$437)))</f>
        <v/>
      </c>
      <c r="W437" s="159" t="str">
        <f>IF(W$3="","",IF(COUNTIFS(BD!$A$3:$A$5001,W$3,BD!$B$3:$B$5001,$A$437,BD!$C$3:$C$5001,"&lt;&gt;")=0,"",SUMIFS(BD!$C$3:$C$5001,BD!$A$3:$A$5001,W$3,BD!$B$3:$B$5001,$A$437)))</f>
        <v/>
      </c>
      <c r="X437" s="159" t="str">
        <f>IF(X$3="","",IF(COUNTIFS(BD!$A$3:$A$5001,X$3,BD!$B$3:$B$5001,$A$437,BD!$C$3:$C$5001,"&lt;&gt;")=0,"",SUMIFS(BD!$C$3:$C$5001,BD!$A$3:$A$5001,X$3,BD!$B$3:$B$5001,$A$437)))</f>
        <v/>
      </c>
      <c r="Y437" s="159" t="str">
        <f>IF(Y$3="","",IF(COUNTIFS(BD!$A$3:$A$5001,Y$3,BD!$B$3:$B$5001,$A$437,BD!$C$3:$C$5001,"&lt;&gt;")=0,"",SUMIFS(BD!$C$3:$C$5001,BD!$A$3:$A$5001,Y$3,BD!$B$3:$B$5001,$A$437)))</f>
        <v/>
      </c>
      <c r="Z437" s="159" t="str">
        <f>IF(Z$3="","",IF(COUNTIFS(BD!$A$3:$A$5001,Z$3,BD!$B$3:$B$5001,$A$437,BD!$C$3:$C$5001,"&lt;&gt;")=0,"",SUMIFS(BD!$C$3:$C$5001,BD!$A$3:$A$5001,Z$3,BD!$B$3:$B$5001,$A$437)))</f>
        <v/>
      </c>
      <c r="AA437" s="159" t="str">
        <f>IF(AA$3="","",IF(COUNTIFS(BD!$A$3:$A$5001,AA$3,BD!$B$3:$B$5001,$A$437,BD!$C$3:$C$5001,"&lt;&gt;")=0,"",SUMIFS(BD!$C$3:$C$5001,BD!$A$3:$A$5001,AA$3,BD!$B$3:$B$5001,$A$437)))</f>
        <v/>
      </c>
      <c r="AB437" s="159" t="str">
        <f>IF(AB$3="","",IF(COUNTIFS(BD!$A$3:$A$5001,AB$3,BD!$B$3:$B$5001,$A$437,BD!$C$3:$C$5001,"&lt;&gt;")=0,"",SUMIFS(BD!$C$3:$C$5001,BD!$A$3:$A$5001,AB$3,BD!$B$3:$B$5001,$A$437)))</f>
        <v/>
      </c>
      <c r="AC437" s="159" t="str">
        <f>IF(AC$3="","",IF(COUNTIFS(BD!$A$3:$A$5001,AC$3,BD!$B$3:$B$5001,$A$437,BD!$C$3:$C$5001,"&lt;&gt;")=0,"",SUMIFS(BD!$C$3:$C$5001,BD!$A$3:$A$5001,AC$3,BD!$B$3:$B$5001,$A$437)))</f>
        <v/>
      </c>
      <c r="AD437" s="159" t="str">
        <f>IF(AD$3="","",IF(COUNTIFS(BD!$A$3:$A$5001,AD$3,BD!$B$3:$B$5001,$A$437,BD!$C$3:$C$5001,"&lt;&gt;")=0,"",SUMIFS(BD!$C$3:$C$5001,BD!$A$3:$A$5001,AD$3,BD!$B$3:$B$5001,$A$437)))</f>
        <v/>
      </c>
      <c r="AE437" s="159" t="str">
        <f>IF(AE$3="","",IF(COUNTIFS(BD!$A$3:$A$5001,AE$3,BD!$B$3:$B$5001,$A$437,BD!$C$3:$C$5001,"&lt;&gt;")=0,"",SUMIFS(BD!$C$3:$C$5001,BD!$A$3:$A$5001,AE$3,BD!$B$3:$B$5001,$A$437)))</f>
        <v/>
      </c>
      <c r="AF437" s="159" t="str">
        <f>IF(AF$3="","",IF(COUNTIFS(BD!$A$3:$A$5001,AF$3,BD!$B$3:$B$5001,$A$437,BD!$C$3:$C$5001,"&lt;&gt;")=0,"",SUMIFS(BD!$C$3:$C$5001,BD!$A$3:$A$5001,AF$3,BD!$B$3:$B$5001,$A$437)))</f>
        <v/>
      </c>
      <c r="AG437" s="159" t="str">
        <f>IF(AG$3="","",IF(COUNTIFS(BD!$A$3:$A$5001,AG$3,BD!$B$3:$B$5001,$A$437,BD!$C$3:$C$5001,"&lt;&gt;")=0,"",SUMIFS(BD!$C$3:$C$5001,BD!$A$3:$A$5001,AG$3,BD!$B$3:$B$5001,$A$437)))</f>
        <v/>
      </c>
      <c r="AH437" s="159" t="str">
        <f>IF(AH$3="","",IF(COUNTIFS(BD!$A$3:$A$5001,AH$3,BD!$B$3:$B$5001,$A$437,BD!$C$3:$C$5001,"&lt;&gt;")=0,"",SUMIFS(BD!$C$3:$C$5001,BD!$A$3:$A$5001,AH$3,BD!$B$3:$B$5001,$A$437)))</f>
        <v/>
      </c>
      <c r="AI437" s="159" t="str">
        <f>IF(AI$3="","",IF(COUNTIFS(BD!$A$3:$A$5001,AI$3,BD!$B$3:$B$5001,$A$437,BD!$C$3:$C$5001,"&lt;&gt;")=0,"",SUMIFS(BD!$C$3:$C$5001,BD!$A$3:$A$5001,AI$3,BD!$B$3:$B$5001,$A$437)))</f>
        <v/>
      </c>
      <c r="AJ437" s="160" t="str">
        <f>IF(AJ$3="","",IF(COUNTIFS(BD!$A$3:$A$5001,AJ$3,BD!$B$3:$B$5001,$A$437,BD!$C$3:$C$5001,"&lt;&gt;")=0,"",SUMIFS(BD!$C$3:$C$5001,BD!$A$3:$A$5001,AJ$3,BD!$B$3:$B$5001,$A$437)))</f>
        <v/>
      </c>
      <c r="AK437" s="161" t="str">
        <f>IF(COUNT(F437:AJ437)=0,"",SUM(F437:AJ437))</f>
        <v/>
      </c>
    </row>
    <row r="438" ht="15.75" customHeight="1" hidden="1">
      <c r="A438" s="244"/>
      <c r="B438" s="239"/>
      <c r="C438" s="201" t="inlineStr">
        <is>
          <t xml:space="preserve">Pallets Movimentados</t>
        </is>
      </c>
      <c r="D438" s="202" t="str">
        <f>IFERROR(1/(1/INDEX(BD!$AJ$24:$BD$24,MATCH($A$437,BD!$AJ$22:$BD$22,0))),"")</f>
        <v/>
      </c>
      <c r="E438" s="203"/>
      <c r="F438" s="204" t="str">
        <f>IF(F$3="","",IF(COUNTIFS(BD!$A$3:$A$5001,F$3,BD!$B$3:$B$5001,$A$437,BD!$D$3:$D$5001,"&lt;&gt;")=0,"",SUMIFS(BD!$D$3:$D$5001,BD!$A$3:$A$5001,F$3,BD!$B$3:$B$5001,$A$437)))</f>
        <v/>
      </c>
      <c r="G438" s="205" t="str">
        <f>IF(G$3="","",IF(COUNTIFS(BD!$A$3:$A$5001,G$3,BD!$B$3:$B$5001,$A$437,BD!$D$3:$D$5001,"&lt;&gt;")=0,"",SUMIFS(BD!$D$3:$D$5001,BD!$A$3:$A$5001,G$3,BD!$B$3:$B$5001,$A$437)))</f>
        <v/>
      </c>
      <c r="H438" s="205" t="str">
        <f>IF(H$3="","",IF(COUNTIFS(BD!$A$3:$A$5001,H$3,BD!$B$3:$B$5001,$A$437,BD!$D$3:$D$5001,"&lt;&gt;")=0,"",SUMIFS(BD!$D$3:$D$5001,BD!$A$3:$A$5001,H$3,BD!$B$3:$B$5001,$A$437)))</f>
        <v/>
      </c>
      <c r="I438" s="205" t="str">
        <f>IF(I$3="","",IF(COUNTIFS(BD!$A$3:$A$5001,I$3,BD!$B$3:$B$5001,$A$437,BD!$D$3:$D$5001,"&lt;&gt;")=0,"",SUMIFS(BD!$D$3:$D$5001,BD!$A$3:$A$5001,I$3,BD!$B$3:$B$5001,$A$437)))</f>
        <v/>
      </c>
      <c r="J438" s="205" t="str">
        <f>IF(J$3="","",IF(COUNTIFS(BD!$A$3:$A$5001,J$3,BD!$B$3:$B$5001,$A$437,BD!$D$3:$D$5001,"&lt;&gt;")=0,"",SUMIFS(BD!$D$3:$D$5001,BD!$A$3:$A$5001,J$3,BD!$B$3:$B$5001,$A$437)))</f>
        <v/>
      </c>
      <c r="K438" s="205" t="str">
        <f>IF(K$3="","",IF(COUNTIFS(BD!$A$3:$A$5001,K$3,BD!$B$3:$B$5001,$A$437,BD!$D$3:$D$5001,"&lt;&gt;")=0,"",SUMIFS(BD!$D$3:$D$5001,BD!$A$3:$A$5001,K$3,BD!$B$3:$B$5001,$A$437)))</f>
        <v/>
      </c>
      <c r="L438" s="205" t="str">
        <f>IF(L$3="","",IF(COUNTIFS(BD!$A$3:$A$5001,L$3,BD!$B$3:$B$5001,$A$437,BD!$D$3:$D$5001,"&lt;&gt;")=0,"",SUMIFS(BD!$D$3:$D$5001,BD!$A$3:$A$5001,L$3,BD!$B$3:$B$5001,$A$437)))</f>
        <v/>
      </c>
      <c r="M438" s="205" t="str">
        <f>IF(M$3="","",IF(COUNTIFS(BD!$A$3:$A$5001,M$3,BD!$B$3:$B$5001,$A$437,BD!$D$3:$D$5001,"&lt;&gt;")=0,"",SUMIFS(BD!$D$3:$D$5001,BD!$A$3:$A$5001,M$3,BD!$B$3:$B$5001,$A$437)))</f>
        <v/>
      </c>
      <c r="N438" s="205" t="str">
        <f>IF(N$3="","",IF(COUNTIFS(BD!$A$3:$A$5001,N$3,BD!$B$3:$B$5001,$A$437,BD!$D$3:$D$5001,"&lt;&gt;")=0,"",SUMIFS(BD!$D$3:$D$5001,BD!$A$3:$A$5001,N$3,BD!$B$3:$B$5001,$A$437)))</f>
        <v/>
      </c>
      <c r="O438" s="205" t="str">
        <f>IF(O$3="","",IF(COUNTIFS(BD!$A$3:$A$5001,O$3,BD!$B$3:$B$5001,$A$437,BD!$D$3:$D$5001,"&lt;&gt;")=0,"",SUMIFS(BD!$D$3:$D$5001,BD!$A$3:$A$5001,O$3,BD!$B$3:$B$5001,$A$437)))</f>
        <v/>
      </c>
      <c r="P438" s="205" t="str">
        <f>IF(P$3="","",IF(COUNTIFS(BD!$A$3:$A$5001,P$3,BD!$B$3:$B$5001,$A$437,BD!$D$3:$D$5001,"&lt;&gt;")=0,"",SUMIFS(BD!$D$3:$D$5001,BD!$A$3:$A$5001,P$3,BD!$B$3:$B$5001,$A$437)))</f>
        <v/>
      </c>
      <c r="Q438" s="205" t="str">
        <f>IF(Q$3="","",IF(COUNTIFS(BD!$A$3:$A$5001,Q$3,BD!$B$3:$B$5001,$A$437,BD!$D$3:$D$5001,"&lt;&gt;")=0,"",SUMIFS(BD!$D$3:$D$5001,BD!$A$3:$A$5001,Q$3,BD!$B$3:$B$5001,$A$437)))</f>
        <v/>
      </c>
      <c r="R438" s="205" t="str">
        <f>IF(R$3="","",IF(COUNTIFS(BD!$A$3:$A$5001,R$3,BD!$B$3:$B$5001,$A$437,BD!$D$3:$D$5001,"&lt;&gt;")=0,"",SUMIFS(BD!$D$3:$D$5001,BD!$A$3:$A$5001,R$3,BD!$B$3:$B$5001,$A$437)))</f>
        <v/>
      </c>
      <c r="S438" s="205" t="str">
        <f>IF(S$3="","",IF(COUNTIFS(BD!$A$3:$A$5001,S$3,BD!$B$3:$B$5001,$A$437,BD!$D$3:$D$5001,"&lt;&gt;")=0,"",SUMIFS(BD!$D$3:$D$5001,BD!$A$3:$A$5001,S$3,BD!$B$3:$B$5001,$A$437)))</f>
        <v/>
      </c>
      <c r="T438" s="205" t="str">
        <f>IF(T$3="","",IF(COUNTIFS(BD!$A$3:$A$5001,T$3,BD!$B$3:$B$5001,$A$437,BD!$D$3:$D$5001,"&lt;&gt;")=0,"",SUMIFS(BD!$D$3:$D$5001,BD!$A$3:$A$5001,T$3,BD!$B$3:$B$5001,$A$437)))</f>
        <v/>
      </c>
      <c r="U438" s="205" t="str">
        <f>IF(U$3="","",IF(COUNTIFS(BD!$A$3:$A$5001,U$3,BD!$B$3:$B$5001,$A$437,BD!$D$3:$D$5001,"&lt;&gt;")=0,"",SUMIFS(BD!$D$3:$D$5001,BD!$A$3:$A$5001,U$3,BD!$B$3:$B$5001,$A$437)))</f>
        <v/>
      </c>
      <c r="V438" s="205" t="str">
        <f>IF(V$3="","",IF(COUNTIFS(BD!$A$3:$A$5001,V$3,BD!$B$3:$B$5001,$A$437,BD!$D$3:$D$5001,"&lt;&gt;")=0,"",SUMIFS(BD!$D$3:$D$5001,BD!$A$3:$A$5001,V$3,BD!$B$3:$B$5001,$A$437)))</f>
        <v/>
      </c>
      <c r="W438" s="205" t="str">
        <f>IF(W$3="","",IF(COUNTIFS(BD!$A$3:$A$5001,W$3,BD!$B$3:$B$5001,$A$437,BD!$D$3:$D$5001,"&lt;&gt;")=0,"",SUMIFS(BD!$D$3:$D$5001,BD!$A$3:$A$5001,W$3,BD!$B$3:$B$5001,$A$437)))</f>
        <v/>
      </c>
      <c r="X438" s="205" t="str">
        <f>IF(X$3="","",IF(COUNTIFS(BD!$A$3:$A$5001,X$3,BD!$B$3:$B$5001,$A$437,BD!$D$3:$D$5001,"&lt;&gt;")=0,"",SUMIFS(BD!$D$3:$D$5001,BD!$A$3:$A$5001,X$3,BD!$B$3:$B$5001,$A$437)))</f>
        <v/>
      </c>
      <c r="Y438" s="205" t="str">
        <f>IF(Y$3="","",IF(COUNTIFS(BD!$A$3:$A$5001,Y$3,BD!$B$3:$B$5001,$A$437,BD!$D$3:$D$5001,"&lt;&gt;")=0,"",SUMIFS(BD!$D$3:$D$5001,BD!$A$3:$A$5001,Y$3,BD!$B$3:$B$5001,$A$437)))</f>
        <v/>
      </c>
      <c r="Z438" s="205" t="str">
        <f>IF(Z$3="","",IF(COUNTIFS(BD!$A$3:$A$5001,Z$3,BD!$B$3:$B$5001,$A$437,BD!$D$3:$D$5001,"&lt;&gt;")=0,"",SUMIFS(BD!$D$3:$D$5001,BD!$A$3:$A$5001,Z$3,BD!$B$3:$B$5001,$A$437)))</f>
        <v/>
      </c>
      <c r="AA438" s="205" t="str">
        <f>IF(AA$3="","",IF(COUNTIFS(BD!$A$3:$A$5001,AA$3,BD!$B$3:$B$5001,$A$437,BD!$D$3:$D$5001,"&lt;&gt;")=0,"",SUMIFS(BD!$D$3:$D$5001,BD!$A$3:$A$5001,AA$3,BD!$B$3:$B$5001,$A$437)))</f>
        <v/>
      </c>
      <c r="AB438" s="205" t="str">
        <f>IF(AB$3="","",IF(COUNTIFS(BD!$A$3:$A$5001,AB$3,BD!$B$3:$B$5001,$A$437,BD!$D$3:$D$5001,"&lt;&gt;")=0,"",SUMIFS(BD!$D$3:$D$5001,BD!$A$3:$A$5001,AB$3,BD!$B$3:$B$5001,$A$437)))</f>
        <v/>
      </c>
      <c r="AC438" s="205" t="str">
        <f>IF(AC$3="","",IF(COUNTIFS(BD!$A$3:$A$5001,AC$3,BD!$B$3:$B$5001,$A$437,BD!$D$3:$D$5001,"&lt;&gt;")=0,"",SUMIFS(BD!$D$3:$D$5001,BD!$A$3:$A$5001,AC$3,BD!$B$3:$B$5001,$A$437)))</f>
        <v/>
      </c>
      <c r="AD438" s="205" t="str">
        <f>IF(AD$3="","",IF(COUNTIFS(BD!$A$3:$A$5001,AD$3,BD!$B$3:$B$5001,$A$437,BD!$D$3:$D$5001,"&lt;&gt;")=0,"",SUMIFS(BD!$D$3:$D$5001,BD!$A$3:$A$5001,AD$3,BD!$B$3:$B$5001,$A$437)))</f>
        <v/>
      </c>
      <c r="AE438" s="205" t="str">
        <f>IF(AE$3="","",IF(COUNTIFS(BD!$A$3:$A$5001,AE$3,BD!$B$3:$B$5001,$A$437,BD!$D$3:$D$5001,"&lt;&gt;")=0,"",SUMIFS(BD!$D$3:$D$5001,BD!$A$3:$A$5001,AE$3,BD!$B$3:$B$5001,$A$437)))</f>
        <v/>
      </c>
      <c r="AF438" s="205" t="str">
        <f>IF(AF$3="","",IF(COUNTIFS(BD!$A$3:$A$5001,AF$3,BD!$B$3:$B$5001,$A$437,BD!$D$3:$D$5001,"&lt;&gt;")=0,"",SUMIFS(BD!$D$3:$D$5001,BD!$A$3:$A$5001,AF$3,BD!$B$3:$B$5001,$A$437)))</f>
        <v/>
      </c>
      <c r="AG438" s="205" t="str">
        <f>IF(AG$3="","",IF(COUNTIFS(BD!$A$3:$A$5001,AG$3,BD!$B$3:$B$5001,$A$437,BD!$D$3:$D$5001,"&lt;&gt;")=0,"",SUMIFS(BD!$D$3:$D$5001,BD!$A$3:$A$5001,AG$3,BD!$B$3:$B$5001,$A$437)))</f>
        <v/>
      </c>
      <c r="AH438" s="205" t="str">
        <f>IF(AH$3="","",IF(COUNTIFS(BD!$A$3:$A$5001,AH$3,BD!$B$3:$B$5001,$A$437,BD!$D$3:$D$5001,"&lt;&gt;")=0,"",SUMIFS(BD!$D$3:$D$5001,BD!$A$3:$A$5001,AH$3,BD!$B$3:$B$5001,$A$437)))</f>
        <v/>
      </c>
      <c r="AI438" s="205" t="str">
        <f>IF(AI$3="","",IF(COUNTIFS(BD!$A$3:$A$5001,AI$3,BD!$B$3:$B$5001,$A$437,BD!$D$3:$D$5001,"&lt;&gt;")=0,"",SUMIFS(BD!$D$3:$D$5001,BD!$A$3:$A$5001,AI$3,BD!$B$3:$B$5001,$A$437)))</f>
        <v/>
      </c>
      <c r="AJ438" s="206" t="str">
        <f>IF(AJ$3="","",IF(COUNTIFS(BD!$A$3:$A$5001,AJ$3,BD!$B$3:$B$5001,$A$437,BD!$D$3:$D$5001,"&lt;&gt;")=0,"",SUMIFS(BD!$D$3:$D$5001,BD!$A$3:$A$5001,AJ$3,BD!$B$3:$B$5001,$A$437)))</f>
        <v/>
      </c>
      <c r="AK438" s="207" t="str">
        <f>IF(COUNT(F438:AJ438)=0,"",SUM(F438:AJ438))</f>
        <v/>
      </c>
    </row>
    <row r="439" ht="15.75" customHeight="1" hidden="1">
      <c r="A439" s="244"/>
      <c r="B439" s="239"/>
      <c r="C439" s="201" t="inlineStr">
        <is>
          <t xml:space="preserve">Toneladas Movimentadas</t>
        </is>
      </c>
      <c r="D439" s="202" t="str">
        <f>IFERROR(1/(1/INDEX(BD!$AJ$25:$BD$25,MATCH($A$437,BD!$AJ$22:$BD$22,0))),"")</f>
        <v/>
      </c>
      <c r="E439" s="203"/>
      <c r="F439" s="265" t="str">
        <f>IF(F$3="","",IF(COUNTIFS(BD!$A$3:$A$5001,F$3,BD!$B$3:$B$5001,$A$437,BD!$E$3:$E$5001,"&lt;&gt;")=0,"",SUMIFS(BD!$E$3:$E$5001,BD!$A$3:$A$5001,F$3,BD!$B$3:$B$5001,$A$437)))</f>
        <v/>
      </c>
      <c r="G439" s="266" t="str">
        <f>IF(G$3="","",IF(COUNTIFS(BD!$A$3:$A$5001,G$3,BD!$B$3:$B$5001,$A$437,BD!$E$3:$E$5001,"&lt;&gt;")=0,"",SUMIFS(BD!$E$3:$E$5001,BD!$A$3:$A$5001,G$3,BD!$B$3:$B$5001,$A$437)))</f>
        <v/>
      </c>
      <c r="H439" s="266" t="str">
        <f>IF(H$3="","",IF(COUNTIFS(BD!$A$3:$A$5001,H$3,BD!$B$3:$B$5001,$A$437,BD!$E$3:$E$5001,"&lt;&gt;")=0,"",SUMIFS(BD!$E$3:$E$5001,BD!$A$3:$A$5001,H$3,BD!$B$3:$B$5001,$A$437)))</f>
        <v/>
      </c>
      <c r="I439" s="266" t="str">
        <f>IF(I$3="","",IF(COUNTIFS(BD!$A$3:$A$5001,I$3,BD!$B$3:$B$5001,$A$437,BD!$E$3:$E$5001,"&lt;&gt;")=0,"",SUMIFS(BD!$E$3:$E$5001,BD!$A$3:$A$5001,I$3,BD!$B$3:$B$5001,$A$437)))</f>
        <v/>
      </c>
      <c r="J439" s="266" t="str">
        <f>IF(J$3="","",IF(COUNTIFS(BD!$A$3:$A$5001,J$3,BD!$B$3:$B$5001,$A$437,BD!$E$3:$E$5001,"&lt;&gt;")=0,"",SUMIFS(BD!$E$3:$E$5001,BD!$A$3:$A$5001,J$3,BD!$B$3:$B$5001,$A$437)))</f>
        <v/>
      </c>
      <c r="K439" s="266" t="str">
        <f>IF(K$3="","",IF(COUNTIFS(BD!$A$3:$A$5001,K$3,BD!$B$3:$B$5001,$A$437,BD!$E$3:$E$5001,"&lt;&gt;")=0,"",SUMIFS(BD!$E$3:$E$5001,BD!$A$3:$A$5001,K$3,BD!$B$3:$B$5001,$A$437)))</f>
        <v/>
      </c>
      <c r="L439" s="266" t="str">
        <f>IF(L$3="","",IF(COUNTIFS(BD!$A$3:$A$5001,L$3,BD!$B$3:$B$5001,$A$437,BD!$E$3:$E$5001,"&lt;&gt;")=0,"",SUMIFS(BD!$E$3:$E$5001,BD!$A$3:$A$5001,L$3,BD!$B$3:$B$5001,$A$437)))</f>
        <v/>
      </c>
      <c r="M439" s="266" t="str">
        <f>IF(M$3="","",IF(COUNTIFS(BD!$A$3:$A$5001,M$3,BD!$B$3:$B$5001,$A$437,BD!$E$3:$E$5001,"&lt;&gt;")=0,"",SUMIFS(BD!$E$3:$E$5001,BD!$A$3:$A$5001,M$3,BD!$B$3:$B$5001,$A$437)))</f>
        <v/>
      </c>
      <c r="N439" s="266" t="str">
        <f>IF(N$3="","",IF(COUNTIFS(BD!$A$3:$A$5001,N$3,BD!$B$3:$B$5001,$A$437,BD!$E$3:$E$5001,"&lt;&gt;")=0,"",SUMIFS(BD!$E$3:$E$5001,BD!$A$3:$A$5001,N$3,BD!$B$3:$B$5001,$A$437)))</f>
        <v/>
      </c>
      <c r="O439" s="266" t="str">
        <f>IF(O$3="","",IF(COUNTIFS(BD!$A$3:$A$5001,O$3,BD!$B$3:$B$5001,$A$437,BD!$E$3:$E$5001,"&lt;&gt;")=0,"",SUMIFS(BD!$E$3:$E$5001,BD!$A$3:$A$5001,O$3,BD!$B$3:$B$5001,$A$437)))</f>
        <v/>
      </c>
      <c r="P439" s="266" t="str">
        <f>IF(P$3="","",IF(COUNTIFS(BD!$A$3:$A$5001,P$3,BD!$B$3:$B$5001,$A$437,BD!$E$3:$E$5001,"&lt;&gt;")=0,"",SUMIFS(BD!$E$3:$E$5001,BD!$A$3:$A$5001,P$3,BD!$B$3:$B$5001,$A$437)))</f>
        <v/>
      </c>
      <c r="Q439" s="266" t="str">
        <f>IF(Q$3="","",IF(COUNTIFS(BD!$A$3:$A$5001,Q$3,BD!$B$3:$B$5001,$A$437,BD!$E$3:$E$5001,"&lt;&gt;")=0,"",SUMIFS(BD!$E$3:$E$5001,BD!$A$3:$A$5001,Q$3,BD!$B$3:$B$5001,$A$437)))</f>
        <v/>
      </c>
      <c r="R439" s="266" t="str">
        <f>IF(R$3="","",IF(COUNTIFS(BD!$A$3:$A$5001,R$3,BD!$B$3:$B$5001,$A$437,BD!$E$3:$E$5001,"&lt;&gt;")=0,"",SUMIFS(BD!$E$3:$E$5001,BD!$A$3:$A$5001,R$3,BD!$B$3:$B$5001,$A$437)))</f>
        <v/>
      </c>
      <c r="S439" s="266" t="str">
        <f>IF(S$3="","",IF(COUNTIFS(BD!$A$3:$A$5001,S$3,BD!$B$3:$B$5001,$A$437,BD!$E$3:$E$5001,"&lt;&gt;")=0,"",SUMIFS(BD!$E$3:$E$5001,BD!$A$3:$A$5001,S$3,BD!$B$3:$B$5001,$A$437)))</f>
        <v/>
      </c>
      <c r="T439" s="266" t="str">
        <f>IF(T$3="","",IF(COUNTIFS(BD!$A$3:$A$5001,T$3,BD!$B$3:$B$5001,$A$437,BD!$E$3:$E$5001,"&lt;&gt;")=0,"",SUMIFS(BD!$E$3:$E$5001,BD!$A$3:$A$5001,T$3,BD!$B$3:$B$5001,$A$437)))</f>
        <v/>
      </c>
      <c r="U439" s="266" t="str">
        <f>IF(U$3="","",IF(COUNTIFS(BD!$A$3:$A$5001,U$3,BD!$B$3:$B$5001,$A$437,BD!$E$3:$E$5001,"&lt;&gt;")=0,"",SUMIFS(BD!$E$3:$E$5001,BD!$A$3:$A$5001,U$3,BD!$B$3:$B$5001,$A$437)))</f>
        <v/>
      </c>
      <c r="V439" s="266" t="str">
        <f>IF(V$3="","",IF(COUNTIFS(BD!$A$3:$A$5001,V$3,BD!$B$3:$B$5001,$A$437,BD!$E$3:$E$5001,"&lt;&gt;")=0,"",SUMIFS(BD!$E$3:$E$5001,BD!$A$3:$A$5001,V$3,BD!$B$3:$B$5001,$A$437)))</f>
        <v/>
      </c>
      <c r="W439" s="266" t="str">
        <f>IF(W$3="","",IF(COUNTIFS(BD!$A$3:$A$5001,W$3,BD!$B$3:$B$5001,$A$437,BD!$E$3:$E$5001,"&lt;&gt;")=0,"",SUMIFS(BD!$E$3:$E$5001,BD!$A$3:$A$5001,W$3,BD!$B$3:$B$5001,$A$437)))</f>
        <v/>
      </c>
      <c r="X439" s="266" t="str">
        <f>IF(X$3="","",IF(COUNTIFS(BD!$A$3:$A$5001,X$3,BD!$B$3:$B$5001,$A$437,BD!$E$3:$E$5001,"&lt;&gt;")=0,"",SUMIFS(BD!$E$3:$E$5001,BD!$A$3:$A$5001,X$3,BD!$B$3:$B$5001,$A$437)))</f>
        <v/>
      </c>
      <c r="Y439" s="266" t="str">
        <f>IF(Y$3="","",IF(COUNTIFS(BD!$A$3:$A$5001,Y$3,BD!$B$3:$B$5001,$A$437,BD!$E$3:$E$5001,"&lt;&gt;")=0,"",SUMIFS(BD!$E$3:$E$5001,BD!$A$3:$A$5001,Y$3,BD!$B$3:$B$5001,$A$437)))</f>
        <v/>
      </c>
      <c r="Z439" s="266" t="str">
        <f>IF(Z$3="","",IF(COUNTIFS(BD!$A$3:$A$5001,Z$3,BD!$B$3:$B$5001,$A$437,BD!$E$3:$E$5001,"&lt;&gt;")=0,"",SUMIFS(BD!$E$3:$E$5001,BD!$A$3:$A$5001,Z$3,BD!$B$3:$B$5001,$A$437)))</f>
        <v/>
      </c>
      <c r="AA439" s="266" t="str">
        <f>IF(AA$3="","",IF(COUNTIFS(BD!$A$3:$A$5001,AA$3,BD!$B$3:$B$5001,$A$437,BD!$E$3:$E$5001,"&lt;&gt;")=0,"",SUMIFS(BD!$E$3:$E$5001,BD!$A$3:$A$5001,AA$3,BD!$B$3:$B$5001,$A$437)))</f>
        <v/>
      </c>
      <c r="AB439" s="266" t="str">
        <f>IF(AB$3="","",IF(COUNTIFS(BD!$A$3:$A$5001,AB$3,BD!$B$3:$B$5001,$A$437,BD!$E$3:$E$5001,"&lt;&gt;")=0,"",SUMIFS(BD!$E$3:$E$5001,BD!$A$3:$A$5001,AB$3,BD!$B$3:$B$5001,$A$437)))</f>
        <v/>
      </c>
      <c r="AC439" s="266" t="str">
        <f>IF(AC$3="","",IF(COUNTIFS(BD!$A$3:$A$5001,AC$3,BD!$B$3:$B$5001,$A$437,BD!$E$3:$E$5001,"&lt;&gt;")=0,"",SUMIFS(BD!$E$3:$E$5001,BD!$A$3:$A$5001,AC$3,BD!$B$3:$B$5001,$A$437)))</f>
        <v/>
      </c>
      <c r="AD439" s="266" t="str">
        <f>IF(AD$3="","",IF(COUNTIFS(BD!$A$3:$A$5001,AD$3,BD!$B$3:$B$5001,$A$437,BD!$E$3:$E$5001,"&lt;&gt;")=0,"",SUMIFS(BD!$E$3:$E$5001,BD!$A$3:$A$5001,AD$3,BD!$B$3:$B$5001,$A$437)))</f>
        <v/>
      </c>
      <c r="AE439" s="266" t="str">
        <f>IF(AE$3="","",IF(COUNTIFS(BD!$A$3:$A$5001,AE$3,BD!$B$3:$B$5001,$A$437,BD!$E$3:$E$5001,"&lt;&gt;")=0,"",SUMIFS(BD!$E$3:$E$5001,BD!$A$3:$A$5001,AE$3,BD!$B$3:$B$5001,$A$437)))</f>
        <v/>
      </c>
      <c r="AF439" s="266" t="str">
        <f>IF(AF$3="","",IF(COUNTIFS(BD!$A$3:$A$5001,AF$3,BD!$B$3:$B$5001,$A$437,BD!$E$3:$E$5001,"&lt;&gt;")=0,"",SUMIFS(BD!$E$3:$E$5001,BD!$A$3:$A$5001,AF$3,BD!$B$3:$B$5001,$A$437)))</f>
        <v/>
      </c>
      <c r="AG439" s="266" t="str">
        <f>IF(AG$3="","",IF(COUNTIFS(BD!$A$3:$A$5001,AG$3,BD!$B$3:$B$5001,$A$437,BD!$E$3:$E$5001,"&lt;&gt;")=0,"",SUMIFS(BD!$E$3:$E$5001,BD!$A$3:$A$5001,AG$3,BD!$B$3:$B$5001,$A$437)))</f>
        <v/>
      </c>
      <c r="AH439" s="266" t="str">
        <f>IF(AH$3="","",IF(COUNTIFS(BD!$A$3:$A$5001,AH$3,BD!$B$3:$B$5001,$A$437,BD!$E$3:$E$5001,"&lt;&gt;")=0,"",SUMIFS(BD!$E$3:$E$5001,BD!$A$3:$A$5001,AH$3,BD!$B$3:$B$5001,$A$437)))</f>
        <v/>
      </c>
      <c r="AI439" s="266" t="str">
        <f>IF(AI$3="","",IF(COUNTIFS(BD!$A$3:$A$5001,AI$3,BD!$B$3:$B$5001,$A$437,BD!$E$3:$E$5001,"&lt;&gt;")=0,"",SUMIFS(BD!$E$3:$E$5001,BD!$A$3:$A$5001,AI$3,BD!$B$3:$B$5001,$A$437)))</f>
        <v/>
      </c>
      <c r="AJ439" s="267" t="str">
        <f>IF(AJ$3="","",IF(COUNTIFS(BD!$A$3:$A$5001,AJ$3,BD!$B$3:$B$5001,$A$437,BD!$E$3:$E$5001,"&lt;&gt;")=0,"",SUMIFS(BD!$E$3:$E$5001,BD!$A$3:$A$5001,AJ$3,BD!$B$3:$B$5001,$A$437)))</f>
        <v/>
      </c>
      <c r="AK439" s="268" t="str">
        <f>IF(COUNT(F439:AJ439)=0,"",SUM(F439:AJ439))</f>
        <v/>
      </c>
    </row>
    <row r="440" ht="15.75" customHeight="1" hidden="1">
      <c r="A440" s="244"/>
      <c r="B440" s="239"/>
      <c r="C440" s="201" t="inlineStr">
        <is>
          <t xml:space="preserve">Linhas NF</t>
        </is>
      </c>
      <c r="D440" s="202" t="str">
        <f>IFERROR(1/(1/INDEX(BD!$AJ$26:$BD$26,MATCH($A$437,BD!$AJ$22:$BD$22,0))),"")</f>
        <v/>
      </c>
      <c r="E440" s="203"/>
      <c r="F440" s="204" t="str">
        <f>IF(F$3="","",IF(COUNTIFS(BD!$A$3:$A$5001,F$3,BD!$B$3:$B$5001,$A$437,BD!$F$3:$F$5001,"&lt;&gt;")=0,"",SUMIFS(BD!$F$3:$F$5001,BD!$A$3:$A$5001,F$3,BD!$B$3:$B$5001,$A$437)))</f>
        <v/>
      </c>
      <c r="G440" s="205" t="str">
        <f>IF(G$3="","",IF(COUNTIFS(BD!$A$3:$A$5001,G$3,BD!$B$3:$B$5001,$A$437,BD!$F$3:$F$5001,"&lt;&gt;")=0,"",SUMIFS(BD!$F$3:$F$5001,BD!$A$3:$A$5001,G$3,BD!$B$3:$B$5001,$A$437)))</f>
        <v/>
      </c>
      <c r="H440" s="205" t="str">
        <f>IF(H$3="","",IF(COUNTIFS(BD!$A$3:$A$5001,H$3,BD!$B$3:$B$5001,$A$437,BD!$F$3:$F$5001,"&lt;&gt;")=0,"",SUMIFS(BD!$F$3:$F$5001,BD!$A$3:$A$5001,H$3,BD!$B$3:$B$5001,$A$437)))</f>
        <v/>
      </c>
      <c r="I440" s="205" t="str">
        <f>IF(I$3="","",IF(COUNTIFS(BD!$A$3:$A$5001,I$3,BD!$B$3:$B$5001,$A$437,BD!$F$3:$F$5001,"&lt;&gt;")=0,"",SUMIFS(BD!$F$3:$F$5001,BD!$A$3:$A$5001,I$3,BD!$B$3:$B$5001,$A$437)))</f>
        <v/>
      </c>
      <c r="J440" s="205" t="str">
        <f>IF(J$3="","",IF(COUNTIFS(BD!$A$3:$A$5001,J$3,BD!$B$3:$B$5001,$A$437,BD!$F$3:$F$5001,"&lt;&gt;")=0,"",SUMIFS(BD!$F$3:$F$5001,BD!$A$3:$A$5001,J$3,BD!$B$3:$B$5001,$A$437)))</f>
        <v/>
      </c>
      <c r="K440" s="205" t="str">
        <f>IF(K$3="","",IF(COUNTIFS(BD!$A$3:$A$5001,K$3,BD!$B$3:$B$5001,$A$437,BD!$F$3:$F$5001,"&lt;&gt;")=0,"",SUMIFS(BD!$F$3:$F$5001,BD!$A$3:$A$5001,K$3,BD!$B$3:$B$5001,$A$437)))</f>
        <v/>
      </c>
      <c r="L440" s="205" t="str">
        <f>IF(L$3="","",IF(COUNTIFS(BD!$A$3:$A$5001,L$3,BD!$B$3:$B$5001,$A$437,BD!$F$3:$F$5001,"&lt;&gt;")=0,"",SUMIFS(BD!$F$3:$F$5001,BD!$A$3:$A$5001,L$3,BD!$B$3:$B$5001,$A$437)))</f>
        <v/>
      </c>
      <c r="M440" s="205" t="str">
        <f>IF(M$3="","",IF(COUNTIFS(BD!$A$3:$A$5001,M$3,BD!$B$3:$B$5001,$A$437,BD!$F$3:$F$5001,"&lt;&gt;")=0,"",SUMIFS(BD!$F$3:$F$5001,BD!$A$3:$A$5001,M$3,BD!$B$3:$B$5001,$A$437)))</f>
        <v/>
      </c>
      <c r="N440" s="205" t="str">
        <f>IF(N$3="","",IF(COUNTIFS(BD!$A$3:$A$5001,N$3,BD!$B$3:$B$5001,$A$437,BD!$F$3:$F$5001,"&lt;&gt;")=0,"",SUMIFS(BD!$F$3:$F$5001,BD!$A$3:$A$5001,N$3,BD!$B$3:$B$5001,$A$437)))</f>
        <v/>
      </c>
      <c r="O440" s="205" t="str">
        <f>IF(O$3="","",IF(COUNTIFS(BD!$A$3:$A$5001,O$3,BD!$B$3:$B$5001,$A$437,BD!$F$3:$F$5001,"&lt;&gt;")=0,"",SUMIFS(BD!$F$3:$F$5001,BD!$A$3:$A$5001,O$3,BD!$B$3:$B$5001,$A$437)))</f>
        <v/>
      </c>
      <c r="P440" s="205" t="str">
        <f>IF(P$3="","",IF(COUNTIFS(BD!$A$3:$A$5001,P$3,BD!$B$3:$B$5001,$A$437,BD!$F$3:$F$5001,"&lt;&gt;")=0,"",SUMIFS(BD!$F$3:$F$5001,BD!$A$3:$A$5001,P$3,BD!$B$3:$B$5001,$A$437)))</f>
        <v/>
      </c>
      <c r="Q440" s="205" t="str">
        <f>IF(Q$3="","",IF(COUNTIFS(BD!$A$3:$A$5001,Q$3,BD!$B$3:$B$5001,$A$437,BD!$F$3:$F$5001,"&lt;&gt;")=0,"",SUMIFS(BD!$F$3:$F$5001,BD!$A$3:$A$5001,Q$3,BD!$B$3:$B$5001,$A$437)))</f>
        <v/>
      </c>
      <c r="R440" s="205" t="str">
        <f>IF(R$3="","",IF(COUNTIFS(BD!$A$3:$A$5001,R$3,BD!$B$3:$B$5001,$A$437,BD!$F$3:$F$5001,"&lt;&gt;")=0,"",SUMIFS(BD!$F$3:$F$5001,BD!$A$3:$A$5001,R$3,BD!$B$3:$B$5001,$A$437)))</f>
        <v/>
      </c>
      <c r="S440" s="205" t="str">
        <f>IF(S$3="","",IF(COUNTIFS(BD!$A$3:$A$5001,S$3,BD!$B$3:$B$5001,$A$437,BD!$F$3:$F$5001,"&lt;&gt;")=0,"",SUMIFS(BD!$F$3:$F$5001,BD!$A$3:$A$5001,S$3,BD!$B$3:$B$5001,$A$437)))</f>
        <v/>
      </c>
      <c r="T440" s="205" t="str">
        <f>IF(T$3="","",IF(COUNTIFS(BD!$A$3:$A$5001,T$3,BD!$B$3:$B$5001,$A$437,BD!$F$3:$F$5001,"&lt;&gt;")=0,"",SUMIFS(BD!$F$3:$F$5001,BD!$A$3:$A$5001,T$3,BD!$B$3:$B$5001,$A$437)))</f>
        <v/>
      </c>
      <c r="U440" s="205" t="str">
        <f>IF(U$3="","",IF(COUNTIFS(BD!$A$3:$A$5001,U$3,BD!$B$3:$B$5001,$A$437,BD!$F$3:$F$5001,"&lt;&gt;")=0,"",SUMIFS(BD!$F$3:$F$5001,BD!$A$3:$A$5001,U$3,BD!$B$3:$B$5001,$A$437)))</f>
        <v/>
      </c>
      <c r="V440" s="205" t="str">
        <f>IF(V$3="","",IF(COUNTIFS(BD!$A$3:$A$5001,V$3,BD!$B$3:$B$5001,$A$437,BD!$F$3:$F$5001,"&lt;&gt;")=0,"",SUMIFS(BD!$F$3:$F$5001,BD!$A$3:$A$5001,V$3,BD!$B$3:$B$5001,$A$437)))</f>
        <v/>
      </c>
      <c r="W440" s="205" t="str">
        <f>IF(W$3="","",IF(COUNTIFS(BD!$A$3:$A$5001,W$3,BD!$B$3:$B$5001,$A$437,BD!$F$3:$F$5001,"&lt;&gt;")=0,"",SUMIFS(BD!$F$3:$F$5001,BD!$A$3:$A$5001,W$3,BD!$B$3:$B$5001,$A$437)))</f>
        <v/>
      </c>
      <c r="X440" s="205" t="str">
        <f>IF(X$3="","",IF(COUNTIFS(BD!$A$3:$A$5001,X$3,BD!$B$3:$B$5001,$A$437,BD!$F$3:$F$5001,"&lt;&gt;")=0,"",SUMIFS(BD!$F$3:$F$5001,BD!$A$3:$A$5001,X$3,BD!$B$3:$B$5001,$A$437)))</f>
        <v/>
      </c>
      <c r="Y440" s="205" t="str">
        <f>IF(Y$3="","",IF(COUNTIFS(BD!$A$3:$A$5001,Y$3,BD!$B$3:$B$5001,$A$437,BD!$F$3:$F$5001,"&lt;&gt;")=0,"",SUMIFS(BD!$F$3:$F$5001,BD!$A$3:$A$5001,Y$3,BD!$B$3:$B$5001,$A$437)))</f>
        <v/>
      </c>
      <c r="Z440" s="205" t="str">
        <f>IF(Z$3="","",IF(COUNTIFS(BD!$A$3:$A$5001,Z$3,BD!$B$3:$B$5001,$A$437,BD!$F$3:$F$5001,"&lt;&gt;")=0,"",SUMIFS(BD!$F$3:$F$5001,BD!$A$3:$A$5001,Z$3,BD!$B$3:$B$5001,$A$437)))</f>
        <v/>
      </c>
      <c r="AA440" s="205" t="str">
        <f>IF(AA$3="","",IF(COUNTIFS(BD!$A$3:$A$5001,AA$3,BD!$B$3:$B$5001,$A$437,BD!$F$3:$F$5001,"&lt;&gt;")=0,"",SUMIFS(BD!$F$3:$F$5001,BD!$A$3:$A$5001,AA$3,BD!$B$3:$B$5001,$A$437)))</f>
        <v/>
      </c>
      <c r="AB440" s="205" t="str">
        <f>IF(AB$3="","",IF(COUNTIFS(BD!$A$3:$A$5001,AB$3,BD!$B$3:$B$5001,$A$437,BD!$F$3:$F$5001,"&lt;&gt;")=0,"",SUMIFS(BD!$F$3:$F$5001,BD!$A$3:$A$5001,AB$3,BD!$B$3:$B$5001,$A$437)))</f>
        <v/>
      </c>
      <c r="AC440" s="205" t="str">
        <f>IF(AC$3="","",IF(COUNTIFS(BD!$A$3:$A$5001,AC$3,BD!$B$3:$B$5001,$A$437,BD!$F$3:$F$5001,"&lt;&gt;")=0,"",SUMIFS(BD!$F$3:$F$5001,BD!$A$3:$A$5001,AC$3,BD!$B$3:$B$5001,$A$437)))</f>
        <v/>
      </c>
      <c r="AD440" s="205" t="str">
        <f>IF(AD$3="","",IF(COUNTIFS(BD!$A$3:$A$5001,AD$3,BD!$B$3:$B$5001,$A$437,BD!$F$3:$F$5001,"&lt;&gt;")=0,"",SUMIFS(BD!$F$3:$F$5001,BD!$A$3:$A$5001,AD$3,BD!$B$3:$B$5001,$A$437)))</f>
        <v/>
      </c>
      <c r="AE440" s="205" t="str">
        <f>IF(AE$3="","",IF(COUNTIFS(BD!$A$3:$A$5001,AE$3,BD!$B$3:$B$5001,$A$437,BD!$F$3:$F$5001,"&lt;&gt;")=0,"",SUMIFS(BD!$F$3:$F$5001,BD!$A$3:$A$5001,AE$3,BD!$B$3:$B$5001,$A$437)))</f>
        <v/>
      </c>
      <c r="AF440" s="205" t="str">
        <f>IF(AF$3="","",IF(COUNTIFS(BD!$A$3:$A$5001,AF$3,BD!$B$3:$B$5001,$A$437,BD!$F$3:$F$5001,"&lt;&gt;")=0,"",SUMIFS(BD!$F$3:$F$5001,BD!$A$3:$A$5001,AF$3,BD!$B$3:$B$5001,$A$437)))</f>
        <v/>
      </c>
      <c r="AG440" s="205" t="str">
        <f>IF(AG$3="","",IF(COUNTIFS(BD!$A$3:$A$5001,AG$3,BD!$B$3:$B$5001,$A$437,BD!$F$3:$F$5001,"&lt;&gt;")=0,"",SUMIFS(BD!$F$3:$F$5001,BD!$A$3:$A$5001,AG$3,BD!$B$3:$B$5001,$A$437)))</f>
        <v/>
      </c>
      <c r="AH440" s="205" t="str">
        <f>IF(AH$3="","",IF(COUNTIFS(BD!$A$3:$A$5001,AH$3,BD!$B$3:$B$5001,$A$437,BD!$F$3:$F$5001,"&lt;&gt;")=0,"",SUMIFS(BD!$F$3:$F$5001,BD!$A$3:$A$5001,AH$3,BD!$B$3:$B$5001,$A$437)))</f>
        <v/>
      </c>
      <c r="AI440" s="205" t="str">
        <f>IF(AI$3="","",IF(COUNTIFS(BD!$A$3:$A$5001,AI$3,BD!$B$3:$B$5001,$A$437,BD!$F$3:$F$5001,"&lt;&gt;")=0,"",SUMIFS(BD!$F$3:$F$5001,BD!$A$3:$A$5001,AI$3,BD!$B$3:$B$5001,$A$437)))</f>
        <v/>
      </c>
      <c r="AJ440" s="206" t="str">
        <f>IF(AJ$3="","",IF(COUNTIFS(BD!$A$3:$A$5001,AJ$3,BD!$B$3:$B$5001,$A$437,BD!$F$3:$F$5001,"&lt;&gt;")=0,"",SUMIFS(BD!$F$3:$F$5001,BD!$A$3:$A$5001,AJ$3,BD!$B$3:$B$5001,$A$437)))</f>
        <v/>
      </c>
      <c r="AK440" s="207" t="str">
        <f>IF(COUNT(F440:AJ440)=0,"",SUM(F440:AJ440))</f>
        <v/>
      </c>
    </row>
    <row r="441" ht="15.75" customHeight="1" hidden="1">
      <c r="A441" s="244"/>
      <c r="B441" s="239"/>
      <c r="C441" s="201" t="inlineStr">
        <is>
          <t xml:space="preserve">Caixas Movimentadas</t>
        </is>
      </c>
      <c r="D441" s="202" t="str">
        <f>IFERROR(1/(1/INDEX(BD!$AJ$27:$BD$27,MATCH($A$437,BD!$AJ$22:$BD$22,0))),"")</f>
        <v/>
      </c>
      <c r="E441" s="203"/>
      <c r="F441" s="204" t="str">
        <f>IF(F$3="","",IF(COUNTIFS(BD!$A$3:$A$5001,F$3,BD!$B$3:$B$5001,$A$437,BD!$G$3:$G$5001,"&lt;&gt;")=0,"",SUMIFS(BD!$G$3:$G$5001,BD!$A$3:$A$5001,F$3,BD!$B$3:$B$5001,$A$437)))</f>
        <v/>
      </c>
      <c r="G441" s="205" t="str">
        <f>IF(G$3="","",IF(COUNTIFS(BD!$A$3:$A$5001,G$3,BD!$B$3:$B$5001,$A$437,BD!$G$3:$G$5001,"&lt;&gt;")=0,"",SUMIFS(BD!$G$3:$G$5001,BD!$A$3:$A$5001,G$3,BD!$B$3:$B$5001,$A$437)))</f>
        <v/>
      </c>
      <c r="H441" s="205" t="str">
        <f>IF(H$3="","",IF(COUNTIFS(BD!$A$3:$A$5001,H$3,BD!$B$3:$B$5001,$A$437,BD!$G$3:$G$5001,"&lt;&gt;")=0,"",SUMIFS(BD!$G$3:$G$5001,BD!$A$3:$A$5001,H$3,BD!$B$3:$B$5001,$A$437)))</f>
        <v/>
      </c>
      <c r="I441" s="205" t="str">
        <f>IF(I$3="","",IF(COUNTIFS(BD!$A$3:$A$5001,I$3,BD!$B$3:$B$5001,$A$437,BD!$G$3:$G$5001,"&lt;&gt;")=0,"",SUMIFS(BD!$G$3:$G$5001,BD!$A$3:$A$5001,I$3,BD!$B$3:$B$5001,$A$437)))</f>
        <v/>
      </c>
      <c r="J441" s="205" t="str">
        <f>IF(J$3="","",IF(COUNTIFS(BD!$A$3:$A$5001,J$3,BD!$B$3:$B$5001,$A$437,BD!$G$3:$G$5001,"&lt;&gt;")=0,"",SUMIFS(BD!$G$3:$G$5001,BD!$A$3:$A$5001,J$3,BD!$B$3:$B$5001,$A$437)))</f>
        <v/>
      </c>
      <c r="K441" s="205" t="str">
        <f>IF(K$3="","",IF(COUNTIFS(BD!$A$3:$A$5001,K$3,BD!$B$3:$B$5001,$A$437,BD!$G$3:$G$5001,"&lt;&gt;")=0,"",SUMIFS(BD!$G$3:$G$5001,BD!$A$3:$A$5001,K$3,BD!$B$3:$B$5001,$A$437)))</f>
        <v/>
      </c>
      <c r="L441" s="205" t="str">
        <f>IF(L$3="","",IF(COUNTIFS(BD!$A$3:$A$5001,L$3,BD!$B$3:$B$5001,$A$437,BD!$G$3:$G$5001,"&lt;&gt;")=0,"",SUMIFS(BD!$G$3:$G$5001,BD!$A$3:$A$5001,L$3,BD!$B$3:$B$5001,$A$437)))</f>
        <v/>
      </c>
      <c r="M441" s="205" t="str">
        <f>IF(M$3="","",IF(COUNTIFS(BD!$A$3:$A$5001,M$3,BD!$B$3:$B$5001,$A$437,BD!$G$3:$G$5001,"&lt;&gt;")=0,"",SUMIFS(BD!$G$3:$G$5001,BD!$A$3:$A$5001,M$3,BD!$B$3:$B$5001,$A$437)))</f>
        <v/>
      </c>
      <c r="N441" s="205" t="str">
        <f>IF(N$3="","",IF(COUNTIFS(BD!$A$3:$A$5001,N$3,BD!$B$3:$B$5001,$A$437,BD!$G$3:$G$5001,"&lt;&gt;")=0,"",SUMIFS(BD!$G$3:$G$5001,BD!$A$3:$A$5001,N$3,BD!$B$3:$B$5001,$A$437)))</f>
        <v/>
      </c>
      <c r="O441" s="205" t="str">
        <f>IF(O$3="","",IF(COUNTIFS(BD!$A$3:$A$5001,O$3,BD!$B$3:$B$5001,$A$437,BD!$G$3:$G$5001,"&lt;&gt;")=0,"",SUMIFS(BD!$G$3:$G$5001,BD!$A$3:$A$5001,O$3,BD!$B$3:$B$5001,$A$437)))</f>
        <v/>
      </c>
      <c r="P441" s="205" t="str">
        <f>IF(P$3="","",IF(COUNTIFS(BD!$A$3:$A$5001,P$3,BD!$B$3:$B$5001,$A$437,BD!$G$3:$G$5001,"&lt;&gt;")=0,"",SUMIFS(BD!$G$3:$G$5001,BD!$A$3:$A$5001,P$3,BD!$B$3:$B$5001,$A$437)))</f>
        <v/>
      </c>
      <c r="Q441" s="205" t="str">
        <f>IF(Q$3="","",IF(COUNTIFS(BD!$A$3:$A$5001,Q$3,BD!$B$3:$B$5001,$A$437,BD!$G$3:$G$5001,"&lt;&gt;")=0,"",SUMIFS(BD!$G$3:$G$5001,BD!$A$3:$A$5001,Q$3,BD!$B$3:$B$5001,$A$437)))</f>
        <v/>
      </c>
      <c r="R441" s="205" t="str">
        <f>IF(R$3="","",IF(COUNTIFS(BD!$A$3:$A$5001,R$3,BD!$B$3:$B$5001,$A$437,BD!$G$3:$G$5001,"&lt;&gt;")=0,"",SUMIFS(BD!$G$3:$G$5001,BD!$A$3:$A$5001,R$3,BD!$B$3:$B$5001,$A$437)))</f>
        <v/>
      </c>
      <c r="S441" s="205" t="str">
        <f>IF(S$3="","",IF(COUNTIFS(BD!$A$3:$A$5001,S$3,BD!$B$3:$B$5001,$A$437,BD!$G$3:$G$5001,"&lt;&gt;")=0,"",SUMIFS(BD!$G$3:$G$5001,BD!$A$3:$A$5001,S$3,BD!$B$3:$B$5001,$A$437)))</f>
        <v/>
      </c>
      <c r="T441" s="205" t="str">
        <f>IF(T$3="","",IF(COUNTIFS(BD!$A$3:$A$5001,T$3,BD!$B$3:$B$5001,$A$437,BD!$G$3:$G$5001,"&lt;&gt;")=0,"",SUMIFS(BD!$G$3:$G$5001,BD!$A$3:$A$5001,T$3,BD!$B$3:$B$5001,$A$437)))</f>
        <v/>
      </c>
      <c r="U441" s="205" t="str">
        <f>IF(U$3="","",IF(COUNTIFS(BD!$A$3:$A$5001,U$3,BD!$B$3:$B$5001,$A$437,BD!$G$3:$G$5001,"&lt;&gt;")=0,"",SUMIFS(BD!$G$3:$G$5001,BD!$A$3:$A$5001,U$3,BD!$B$3:$B$5001,$A$437)))</f>
        <v/>
      </c>
      <c r="V441" s="205" t="str">
        <f>IF(V$3="","",IF(COUNTIFS(BD!$A$3:$A$5001,V$3,BD!$B$3:$B$5001,$A$437,BD!$G$3:$G$5001,"&lt;&gt;")=0,"",SUMIFS(BD!$G$3:$G$5001,BD!$A$3:$A$5001,V$3,BD!$B$3:$B$5001,$A$437)))</f>
        <v/>
      </c>
      <c r="W441" s="205" t="str">
        <f>IF(W$3="","",IF(COUNTIFS(BD!$A$3:$A$5001,W$3,BD!$B$3:$B$5001,$A$437,BD!$G$3:$G$5001,"&lt;&gt;")=0,"",SUMIFS(BD!$G$3:$G$5001,BD!$A$3:$A$5001,W$3,BD!$B$3:$B$5001,$A$437)))</f>
        <v/>
      </c>
      <c r="X441" s="205" t="str">
        <f>IF(X$3="","",IF(COUNTIFS(BD!$A$3:$A$5001,X$3,BD!$B$3:$B$5001,$A$437,BD!$G$3:$G$5001,"&lt;&gt;")=0,"",SUMIFS(BD!$G$3:$G$5001,BD!$A$3:$A$5001,X$3,BD!$B$3:$B$5001,$A$437)))</f>
        <v/>
      </c>
      <c r="Y441" s="205" t="str">
        <f>IF(Y$3="","",IF(COUNTIFS(BD!$A$3:$A$5001,Y$3,BD!$B$3:$B$5001,$A$437,BD!$G$3:$G$5001,"&lt;&gt;")=0,"",SUMIFS(BD!$G$3:$G$5001,BD!$A$3:$A$5001,Y$3,BD!$B$3:$B$5001,$A$437)))</f>
        <v/>
      </c>
      <c r="Z441" s="205" t="str">
        <f>IF(Z$3="","",IF(COUNTIFS(BD!$A$3:$A$5001,Z$3,BD!$B$3:$B$5001,$A$437,BD!$G$3:$G$5001,"&lt;&gt;")=0,"",SUMIFS(BD!$G$3:$G$5001,BD!$A$3:$A$5001,Z$3,BD!$B$3:$B$5001,$A$437)))</f>
        <v/>
      </c>
      <c r="AA441" s="205" t="str">
        <f>IF(AA$3="","",IF(COUNTIFS(BD!$A$3:$A$5001,AA$3,BD!$B$3:$B$5001,$A$437,BD!$G$3:$G$5001,"&lt;&gt;")=0,"",SUMIFS(BD!$G$3:$G$5001,BD!$A$3:$A$5001,AA$3,BD!$B$3:$B$5001,$A$437)))</f>
        <v/>
      </c>
      <c r="AB441" s="205" t="str">
        <f>IF(AB$3="","",IF(COUNTIFS(BD!$A$3:$A$5001,AB$3,BD!$B$3:$B$5001,$A$437,BD!$G$3:$G$5001,"&lt;&gt;")=0,"",SUMIFS(BD!$G$3:$G$5001,BD!$A$3:$A$5001,AB$3,BD!$B$3:$B$5001,$A$437)))</f>
        <v/>
      </c>
      <c r="AC441" s="205" t="str">
        <f>IF(AC$3="","",IF(COUNTIFS(BD!$A$3:$A$5001,AC$3,BD!$B$3:$B$5001,$A$437,BD!$G$3:$G$5001,"&lt;&gt;")=0,"",SUMIFS(BD!$G$3:$G$5001,BD!$A$3:$A$5001,AC$3,BD!$B$3:$B$5001,$A$437)))</f>
        <v/>
      </c>
      <c r="AD441" s="205" t="str">
        <f>IF(AD$3="","",IF(COUNTIFS(BD!$A$3:$A$5001,AD$3,BD!$B$3:$B$5001,$A$437,BD!$G$3:$G$5001,"&lt;&gt;")=0,"",SUMIFS(BD!$G$3:$G$5001,BD!$A$3:$A$5001,AD$3,BD!$B$3:$B$5001,$A$437)))</f>
        <v/>
      </c>
      <c r="AE441" s="205" t="str">
        <f>IF(AE$3="","",IF(COUNTIFS(BD!$A$3:$A$5001,AE$3,BD!$B$3:$B$5001,$A$437,BD!$G$3:$G$5001,"&lt;&gt;")=0,"",SUMIFS(BD!$G$3:$G$5001,BD!$A$3:$A$5001,AE$3,BD!$B$3:$B$5001,$A$437)))</f>
        <v/>
      </c>
      <c r="AF441" s="205" t="str">
        <f>IF(AF$3="","",IF(COUNTIFS(BD!$A$3:$A$5001,AF$3,BD!$B$3:$B$5001,$A$437,BD!$G$3:$G$5001,"&lt;&gt;")=0,"",SUMIFS(BD!$G$3:$G$5001,BD!$A$3:$A$5001,AF$3,BD!$B$3:$B$5001,$A$437)))</f>
        <v/>
      </c>
      <c r="AG441" s="205" t="str">
        <f>IF(AG$3="","",IF(COUNTIFS(BD!$A$3:$A$5001,AG$3,BD!$B$3:$B$5001,$A$437,BD!$G$3:$G$5001,"&lt;&gt;")=0,"",SUMIFS(BD!$G$3:$G$5001,BD!$A$3:$A$5001,AG$3,BD!$B$3:$B$5001,$A$437)))</f>
        <v/>
      </c>
      <c r="AH441" s="205" t="str">
        <f>IF(AH$3="","",IF(COUNTIFS(BD!$A$3:$A$5001,AH$3,BD!$B$3:$B$5001,$A$437,BD!$G$3:$G$5001,"&lt;&gt;")=0,"",SUMIFS(BD!$G$3:$G$5001,BD!$A$3:$A$5001,AH$3,BD!$B$3:$B$5001,$A$437)))</f>
        <v/>
      </c>
      <c r="AI441" s="205" t="str">
        <f>IF(AI$3="","",IF(COUNTIFS(BD!$A$3:$A$5001,AI$3,BD!$B$3:$B$5001,$A$437,BD!$G$3:$G$5001,"&lt;&gt;")=0,"",SUMIFS(BD!$G$3:$G$5001,BD!$A$3:$A$5001,AI$3,BD!$B$3:$B$5001,$A$437)))</f>
        <v/>
      </c>
      <c r="AJ441" s="206" t="str">
        <f>IF(AJ$3="","",IF(COUNTIFS(BD!$A$3:$A$5001,AJ$3,BD!$B$3:$B$5001,$A$437,BD!$G$3:$G$5001,"&lt;&gt;")=0,"",SUMIFS(BD!$G$3:$G$5001,BD!$A$3:$A$5001,AJ$3,BD!$B$3:$B$5001,$A$437)))</f>
        <v/>
      </c>
      <c r="AK441" s="207" t="str">
        <f>IF(COUNT(F441:AJ441)=0,"",SUM(F441:AJ441))</f>
        <v/>
      </c>
    </row>
    <row r="442" ht="15.75" customHeight="1" hidden="1">
      <c r="A442" s="244"/>
      <c r="B442" s="239"/>
      <c r="C442" s="201" t="inlineStr">
        <is>
          <t xml:space="preserve">Itens Recebidos</t>
        </is>
      </c>
      <c r="D442" s="202" t="str">
        <f>IFERROR(1/(1/INDEX(BD!$AJ$28:$BD$28,MATCH($A$437,BD!$AJ$22:$BD$22,0))),"")</f>
        <v/>
      </c>
      <c r="E442" s="203"/>
      <c r="F442" s="204" t="str">
        <f>IF(F$3="","",IF(COUNTIFS(BD!$A$3:$A$5001,F$3,BD!$B$3:$B$5001,$A$437,BD!$H$3:$H$5001,"&lt;&gt;")=0,"",SUMIFS(BD!$H$3:$H$5001,BD!$A$3:$A$5001,F$3,BD!$B$3:$B$5001,$A$437)))</f>
        <v/>
      </c>
      <c r="G442" s="205" t="str">
        <f>IF(G$3="","",IF(COUNTIFS(BD!$A$3:$A$5001,G$3,BD!$B$3:$B$5001,$A$437,BD!$H$3:$H$5001,"&lt;&gt;")=0,"",SUMIFS(BD!$H$3:$H$5001,BD!$A$3:$A$5001,G$3,BD!$B$3:$B$5001,$A$437)))</f>
        <v/>
      </c>
      <c r="H442" s="205" t="str">
        <f>IF(H$3="","",IF(COUNTIFS(BD!$A$3:$A$5001,H$3,BD!$B$3:$B$5001,$A$437,BD!$H$3:$H$5001,"&lt;&gt;")=0,"",SUMIFS(BD!$H$3:$H$5001,BD!$A$3:$A$5001,H$3,BD!$B$3:$B$5001,$A$437)))</f>
        <v/>
      </c>
      <c r="I442" s="205" t="str">
        <f>IF(I$3="","",IF(COUNTIFS(BD!$A$3:$A$5001,I$3,BD!$B$3:$B$5001,$A$437,BD!$H$3:$H$5001,"&lt;&gt;")=0,"",SUMIFS(BD!$H$3:$H$5001,BD!$A$3:$A$5001,I$3,BD!$B$3:$B$5001,$A$437)))</f>
        <v/>
      </c>
      <c r="J442" s="205" t="str">
        <f>IF(J$3="","",IF(COUNTIFS(BD!$A$3:$A$5001,J$3,BD!$B$3:$B$5001,$A$437,BD!$H$3:$H$5001,"&lt;&gt;")=0,"",SUMIFS(BD!$H$3:$H$5001,BD!$A$3:$A$5001,J$3,BD!$B$3:$B$5001,$A$437)))</f>
        <v/>
      </c>
      <c r="K442" s="205" t="str">
        <f>IF(K$3="","",IF(COUNTIFS(BD!$A$3:$A$5001,K$3,BD!$B$3:$B$5001,$A$437,BD!$H$3:$H$5001,"&lt;&gt;")=0,"",SUMIFS(BD!$H$3:$H$5001,BD!$A$3:$A$5001,K$3,BD!$B$3:$B$5001,$A$437)))</f>
        <v/>
      </c>
      <c r="L442" s="205" t="str">
        <f>IF(L$3="","",IF(COUNTIFS(BD!$A$3:$A$5001,L$3,BD!$B$3:$B$5001,$A$437,BD!$H$3:$H$5001,"&lt;&gt;")=0,"",SUMIFS(BD!$H$3:$H$5001,BD!$A$3:$A$5001,L$3,BD!$B$3:$B$5001,$A$437)))</f>
        <v/>
      </c>
      <c r="M442" s="205" t="str">
        <f>IF(M$3="","",IF(COUNTIFS(BD!$A$3:$A$5001,M$3,BD!$B$3:$B$5001,$A$437,BD!$H$3:$H$5001,"&lt;&gt;")=0,"",SUMIFS(BD!$H$3:$H$5001,BD!$A$3:$A$5001,M$3,BD!$B$3:$B$5001,$A$437)))</f>
        <v/>
      </c>
      <c r="N442" s="205" t="str">
        <f>IF(N$3="","",IF(COUNTIFS(BD!$A$3:$A$5001,N$3,BD!$B$3:$B$5001,$A$437,BD!$H$3:$H$5001,"&lt;&gt;")=0,"",SUMIFS(BD!$H$3:$H$5001,BD!$A$3:$A$5001,N$3,BD!$B$3:$B$5001,$A$437)))</f>
        <v/>
      </c>
      <c r="O442" s="205" t="str">
        <f>IF(O$3="","",IF(COUNTIFS(BD!$A$3:$A$5001,O$3,BD!$B$3:$B$5001,$A$437,BD!$H$3:$H$5001,"&lt;&gt;")=0,"",SUMIFS(BD!$H$3:$H$5001,BD!$A$3:$A$5001,O$3,BD!$B$3:$B$5001,$A$437)))</f>
        <v/>
      </c>
      <c r="P442" s="205" t="str">
        <f>IF(P$3="","",IF(COUNTIFS(BD!$A$3:$A$5001,P$3,BD!$B$3:$B$5001,$A$437,BD!$H$3:$H$5001,"&lt;&gt;")=0,"",SUMIFS(BD!$H$3:$H$5001,BD!$A$3:$A$5001,P$3,BD!$B$3:$B$5001,$A$437)))</f>
        <v/>
      </c>
      <c r="Q442" s="205" t="str">
        <f>IF(Q$3="","",IF(COUNTIFS(BD!$A$3:$A$5001,Q$3,BD!$B$3:$B$5001,$A$437,BD!$H$3:$H$5001,"&lt;&gt;")=0,"",SUMIFS(BD!$H$3:$H$5001,BD!$A$3:$A$5001,Q$3,BD!$B$3:$B$5001,$A$437)))</f>
        <v/>
      </c>
      <c r="R442" s="205" t="str">
        <f>IF(R$3="","",IF(COUNTIFS(BD!$A$3:$A$5001,R$3,BD!$B$3:$B$5001,$A$437,BD!$H$3:$H$5001,"&lt;&gt;")=0,"",SUMIFS(BD!$H$3:$H$5001,BD!$A$3:$A$5001,R$3,BD!$B$3:$B$5001,$A$437)))</f>
        <v/>
      </c>
      <c r="S442" s="205" t="str">
        <f>IF(S$3="","",IF(COUNTIFS(BD!$A$3:$A$5001,S$3,BD!$B$3:$B$5001,$A$437,BD!$H$3:$H$5001,"&lt;&gt;")=0,"",SUMIFS(BD!$H$3:$H$5001,BD!$A$3:$A$5001,S$3,BD!$B$3:$B$5001,$A$437)))</f>
        <v/>
      </c>
      <c r="T442" s="205" t="str">
        <f>IF(T$3="","",IF(COUNTIFS(BD!$A$3:$A$5001,T$3,BD!$B$3:$B$5001,$A$437,BD!$H$3:$H$5001,"&lt;&gt;")=0,"",SUMIFS(BD!$H$3:$H$5001,BD!$A$3:$A$5001,T$3,BD!$B$3:$B$5001,$A$437)))</f>
        <v/>
      </c>
      <c r="U442" s="205" t="str">
        <f>IF(U$3="","",IF(COUNTIFS(BD!$A$3:$A$5001,U$3,BD!$B$3:$B$5001,$A$437,BD!$H$3:$H$5001,"&lt;&gt;")=0,"",SUMIFS(BD!$H$3:$H$5001,BD!$A$3:$A$5001,U$3,BD!$B$3:$B$5001,$A$437)))</f>
        <v/>
      </c>
      <c r="V442" s="205" t="str">
        <f>IF(V$3="","",IF(COUNTIFS(BD!$A$3:$A$5001,V$3,BD!$B$3:$B$5001,$A$437,BD!$H$3:$H$5001,"&lt;&gt;")=0,"",SUMIFS(BD!$H$3:$H$5001,BD!$A$3:$A$5001,V$3,BD!$B$3:$B$5001,$A$437)))</f>
        <v/>
      </c>
      <c r="W442" s="205" t="str">
        <f>IF(W$3="","",IF(COUNTIFS(BD!$A$3:$A$5001,W$3,BD!$B$3:$B$5001,$A$437,BD!$H$3:$H$5001,"&lt;&gt;")=0,"",SUMIFS(BD!$H$3:$H$5001,BD!$A$3:$A$5001,W$3,BD!$B$3:$B$5001,$A$437)))</f>
        <v/>
      </c>
      <c r="X442" s="205" t="str">
        <f>IF(X$3="","",IF(COUNTIFS(BD!$A$3:$A$5001,X$3,BD!$B$3:$B$5001,$A$437,BD!$H$3:$H$5001,"&lt;&gt;")=0,"",SUMIFS(BD!$H$3:$H$5001,BD!$A$3:$A$5001,X$3,BD!$B$3:$B$5001,$A$437)))</f>
        <v/>
      </c>
      <c r="Y442" s="205" t="str">
        <f>IF(Y$3="","",IF(COUNTIFS(BD!$A$3:$A$5001,Y$3,BD!$B$3:$B$5001,$A$437,BD!$H$3:$H$5001,"&lt;&gt;")=0,"",SUMIFS(BD!$H$3:$H$5001,BD!$A$3:$A$5001,Y$3,BD!$B$3:$B$5001,$A$437)))</f>
        <v/>
      </c>
      <c r="Z442" s="205" t="str">
        <f>IF(Z$3="","",IF(COUNTIFS(BD!$A$3:$A$5001,Z$3,BD!$B$3:$B$5001,$A$437,BD!$H$3:$H$5001,"&lt;&gt;")=0,"",SUMIFS(BD!$H$3:$H$5001,BD!$A$3:$A$5001,Z$3,BD!$B$3:$B$5001,$A$437)))</f>
        <v/>
      </c>
      <c r="AA442" s="205" t="str">
        <f>IF(AA$3="","",IF(COUNTIFS(BD!$A$3:$A$5001,AA$3,BD!$B$3:$B$5001,$A$437,BD!$H$3:$H$5001,"&lt;&gt;")=0,"",SUMIFS(BD!$H$3:$H$5001,BD!$A$3:$A$5001,AA$3,BD!$B$3:$B$5001,$A$437)))</f>
        <v/>
      </c>
      <c r="AB442" s="205" t="str">
        <f>IF(AB$3="","",IF(COUNTIFS(BD!$A$3:$A$5001,AB$3,BD!$B$3:$B$5001,$A$437,BD!$H$3:$H$5001,"&lt;&gt;")=0,"",SUMIFS(BD!$H$3:$H$5001,BD!$A$3:$A$5001,AB$3,BD!$B$3:$B$5001,$A$437)))</f>
        <v/>
      </c>
      <c r="AC442" s="205" t="str">
        <f>IF(AC$3="","",IF(COUNTIFS(BD!$A$3:$A$5001,AC$3,BD!$B$3:$B$5001,$A$437,BD!$H$3:$H$5001,"&lt;&gt;")=0,"",SUMIFS(BD!$H$3:$H$5001,BD!$A$3:$A$5001,AC$3,BD!$B$3:$B$5001,$A$437)))</f>
        <v/>
      </c>
      <c r="AD442" s="205" t="str">
        <f>IF(AD$3="","",IF(COUNTIFS(BD!$A$3:$A$5001,AD$3,BD!$B$3:$B$5001,$A$437,BD!$H$3:$H$5001,"&lt;&gt;")=0,"",SUMIFS(BD!$H$3:$H$5001,BD!$A$3:$A$5001,AD$3,BD!$B$3:$B$5001,$A$437)))</f>
        <v/>
      </c>
      <c r="AE442" s="205" t="str">
        <f>IF(AE$3="","",IF(COUNTIFS(BD!$A$3:$A$5001,AE$3,BD!$B$3:$B$5001,$A$437,BD!$H$3:$H$5001,"&lt;&gt;")=0,"",SUMIFS(BD!$H$3:$H$5001,BD!$A$3:$A$5001,AE$3,BD!$B$3:$B$5001,$A$437)))</f>
        <v/>
      </c>
      <c r="AF442" s="205" t="str">
        <f>IF(AF$3="","",IF(COUNTIFS(BD!$A$3:$A$5001,AF$3,BD!$B$3:$B$5001,$A$437,BD!$H$3:$H$5001,"&lt;&gt;")=0,"",SUMIFS(BD!$H$3:$H$5001,BD!$A$3:$A$5001,AF$3,BD!$B$3:$B$5001,$A$437)))</f>
        <v/>
      </c>
      <c r="AG442" s="205" t="str">
        <f>IF(AG$3="","",IF(COUNTIFS(BD!$A$3:$A$5001,AG$3,BD!$B$3:$B$5001,$A$437,BD!$H$3:$H$5001,"&lt;&gt;")=0,"",SUMIFS(BD!$H$3:$H$5001,BD!$A$3:$A$5001,AG$3,BD!$B$3:$B$5001,$A$437)))</f>
        <v/>
      </c>
      <c r="AH442" s="205" t="str">
        <f>IF(AH$3="","",IF(COUNTIFS(BD!$A$3:$A$5001,AH$3,BD!$B$3:$B$5001,$A$437,BD!$H$3:$H$5001,"&lt;&gt;")=0,"",SUMIFS(BD!$H$3:$H$5001,BD!$A$3:$A$5001,AH$3,BD!$B$3:$B$5001,$A$437)))</f>
        <v/>
      </c>
      <c r="AI442" s="205" t="str">
        <f>IF(AI$3="","",IF(COUNTIFS(BD!$A$3:$A$5001,AI$3,BD!$B$3:$B$5001,$A$437,BD!$H$3:$H$5001,"&lt;&gt;")=0,"",SUMIFS(BD!$H$3:$H$5001,BD!$A$3:$A$5001,AI$3,BD!$B$3:$B$5001,$A$437)))</f>
        <v/>
      </c>
      <c r="AJ442" s="206" t="str">
        <f>IF(AJ$3="","",IF(COUNTIFS(BD!$A$3:$A$5001,AJ$3,BD!$B$3:$B$5001,$A$437,BD!$H$3:$H$5001,"&lt;&gt;")=0,"",SUMIFS(BD!$H$3:$H$5001,BD!$A$3:$A$5001,AJ$3,BD!$B$3:$B$5001,$A$437)))</f>
        <v/>
      </c>
      <c r="AK442" s="207" t="str">
        <f>IF(COUNT(F442:AJ442)=0,"",SUM(F442:AJ442))</f>
        <v/>
      </c>
    </row>
    <row r="443" ht="15.75" customHeight="1" hidden="1">
      <c r="A443" s="244"/>
      <c r="B443" s="239"/>
      <c r="C443" s="201" t="inlineStr">
        <is>
          <t xml:space="preserve">Itens Recebidos CX Mista</t>
        </is>
      </c>
      <c r="D443" s="202" t="str">
        <f>IFERROR(1/(1/INDEX(BD!$AJ$29:$BD$29,MATCH($A$437,BD!$AJ$22:$BD$22,0))),"")</f>
        <v/>
      </c>
      <c r="E443" s="203"/>
      <c r="F443" s="204" t="str">
        <f>IF(F$3="","",IF(COUNTIFS(BD!$A$3:$A$5001,F$3,BD!$B$3:$B$5001,$A$437,BD!$I$3:$I$5001,"&lt;&gt;")=0,"",SUMIFS(BD!$I$3:$I$5001,BD!$A$3:$A$5001,F$3,BD!$B$3:$B$5001,$A$437)))</f>
        <v/>
      </c>
      <c r="G443" s="205" t="str">
        <f>IF(G$3="","",IF(COUNTIFS(BD!$A$3:$A$5001,G$3,BD!$B$3:$B$5001,$A$437,BD!$I$3:$I$5001,"&lt;&gt;")=0,"",SUMIFS(BD!$I$3:$I$5001,BD!$A$3:$A$5001,G$3,BD!$B$3:$B$5001,$A$437)))</f>
        <v/>
      </c>
      <c r="H443" s="205" t="str">
        <f>IF(H$3="","",IF(COUNTIFS(BD!$A$3:$A$5001,H$3,BD!$B$3:$B$5001,$A$437,BD!$I$3:$I$5001,"&lt;&gt;")=0,"",SUMIFS(BD!$I$3:$I$5001,BD!$A$3:$A$5001,H$3,BD!$B$3:$B$5001,$A$437)))</f>
        <v/>
      </c>
      <c r="I443" s="205" t="str">
        <f>IF(I$3="","",IF(COUNTIFS(BD!$A$3:$A$5001,I$3,BD!$B$3:$B$5001,$A$437,BD!$I$3:$I$5001,"&lt;&gt;")=0,"",SUMIFS(BD!$I$3:$I$5001,BD!$A$3:$A$5001,I$3,BD!$B$3:$B$5001,$A$437)))</f>
        <v/>
      </c>
      <c r="J443" s="205" t="str">
        <f>IF(J$3="","",IF(COUNTIFS(BD!$A$3:$A$5001,J$3,BD!$B$3:$B$5001,$A$437,BD!$I$3:$I$5001,"&lt;&gt;")=0,"",SUMIFS(BD!$I$3:$I$5001,BD!$A$3:$A$5001,J$3,BD!$B$3:$B$5001,$A$437)))</f>
        <v/>
      </c>
      <c r="K443" s="205" t="str">
        <f>IF(K$3="","",IF(COUNTIFS(BD!$A$3:$A$5001,K$3,BD!$B$3:$B$5001,$A$437,BD!$I$3:$I$5001,"&lt;&gt;")=0,"",SUMIFS(BD!$I$3:$I$5001,BD!$A$3:$A$5001,K$3,BD!$B$3:$B$5001,$A$437)))</f>
        <v/>
      </c>
      <c r="L443" s="205" t="str">
        <f>IF(L$3="","",IF(COUNTIFS(BD!$A$3:$A$5001,L$3,BD!$B$3:$B$5001,$A$437,BD!$I$3:$I$5001,"&lt;&gt;")=0,"",SUMIFS(BD!$I$3:$I$5001,BD!$A$3:$A$5001,L$3,BD!$B$3:$B$5001,$A$437)))</f>
        <v/>
      </c>
      <c r="M443" s="205" t="str">
        <f>IF(M$3="","",IF(COUNTIFS(BD!$A$3:$A$5001,M$3,BD!$B$3:$B$5001,$A$437,BD!$I$3:$I$5001,"&lt;&gt;")=0,"",SUMIFS(BD!$I$3:$I$5001,BD!$A$3:$A$5001,M$3,BD!$B$3:$B$5001,$A$437)))</f>
        <v/>
      </c>
      <c r="N443" s="205" t="str">
        <f>IF(N$3="","",IF(COUNTIFS(BD!$A$3:$A$5001,N$3,BD!$B$3:$B$5001,$A$437,BD!$I$3:$I$5001,"&lt;&gt;")=0,"",SUMIFS(BD!$I$3:$I$5001,BD!$A$3:$A$5001,N$3,BD!$B$3:$B$5001,$A$437)))</f>
        <v/>
      </c>
      <c r="O443" s="205" t="str">
        <f>IF(O$3="","",IF(COUNTIFS(BD!$A$3:$A$5001,O$3,BD!$B$3:$B$5001,$A$437,BD!$I$3:$I$5001,"&lt;&gt;")=0,"",SUMIFS(BD!$I$3:$I$5001,BD!$A$3:$A$5001,O$3,BD!$B$3:$B$5001,$A$437)))</f>
        <v/>
      </c>
      <c r="P443" s="205" t="str">
        <f>IF(P$3="","",IF(COUNTIFS(BD!$A$3:$A$5001,P$3,BD!$B$3:$B$5001,$A$437,BD!$I$3:$I$5001,"&lt;&gt;")=0,"",SUMIFS(BD!$I$3:$I$5001,BD!$A$3:$A$5001,P$3,BD!$B$3:$B$5001,$A$437)))</f>
        <v/>
      </c>
      <c r="Q443" s="205" t="str">
        <f>IF(Q$3="","",IF(COUNTIFS(BD!$A$3:$A$5001,Q$3,BD!$B$3:$B$5001,$A$437,BD!$I$3:$I$5001,"&lt;&gt;")=0,"",SUMIFS(BD!$I$3:$I$5001,BD!$A$3:$A$5001,Q$3,BD!$B$3:$B$5001,$A$437)))</f>
        <v/>
      </c>
      <c r="R443" s="205" t="str">
        <f>IF(R$3="","",IF(COUNTIFS(BD!$A$3:$A$5001,R$3,BD!$B$3:$B$5001,$A$437,BD!$I$3:$I$5001,"&lt;&gt;")=0,"",SUMIFS(BD!$I$3:$I$5001,BD!$A$3:$A$5001,R$3,BD!$B$3:$B$5001,$A$437)))</f>
        <v/>
      </c>
      <c r="S443" s="205" t="str">
        <f>IF(S$3="","",IF(COUNTIFS(BD!$A$3:$A$5001,S$3,BD!$B$3:$B$5001,$A$437,BD!$I$3:$I$5001,"&lt;&gt;")=0,"",SUMIFS(BD!$I$3:$I$5001,BD!$A$3:$A$5001,S$3,BD!$B$3:$B$5001,$A$437)))</f>
        <v/>
      </c>
      <c r="T443" s="205" t="str">
        <f>IF(T$3="","",IF(COUNTIFS(BD!$A$3:$A$5001,T$3,BD!$B$3:$B$5001,$A$437,BD!$I$3:$I$5001,"&lt;&gt;")=0,"",SUMIFS(BD!$I$3:$I$5001,BD!$A$3:$A$5001,T$3,BD!$B$3:$B$5001,$A$437)))</f>
        <v/>
      </c>
      <c r="U443" s="205" t="str">
        <f>IF(U$3="","",IF(COUNTIFS(BD!$A$3:$A$5001,U$3,BD!$B$3:$B$5001,$A$437,BD!$I$3:$I$5001,"&lt;&gt;")=0,"",SUMIFS(BD!$I$3:$I$5001,BD!$A$3:$A$5001,U$3,BD!$B$3:$B$5001,$A$437)))</f>
        <v/>
      </c>
      <c r="V443" s="205" t="str">
        <f>IF(V$3="","",IF(COUNTIFS(BD!$A$3:$A$5001,V$3,BD!$B$3:$B$5001,$A$437,BD!$I$3:$I$5001,"&lt;&gt;")=0,"",SUMIFS(BD!$I$3:$I$5001,BD!$A$3:$A$5001,V$3,BD!$B$3:$B$5001,$A$437)))</f>
        <v/>
      </c>
      <c r="W443" s="205" t="str">
        <f>IF(W$3="","",IF(COUNTIFS(BD!$A$3:$A$5001,W$3,BD!$B$3:$B$5001,$A$437,BD!$I$3:$I$5001,"&lt;&gt;")=0,"",SUMIFS(BD!$I$3:$I$5001,BD!$A$3:$A$5001,W$3,BD!$B$3:$B$5001,$A$437)))</f>
        <v/>
      </c>
      <c r="X443" s="205" t="str">
        <f>IF(X$3="","",IF(COUNTIFS(BD!$A$3:$A$5001,X$3,BD!$B$3:$B$5001,$A$437,BD!$I$3:$I$5001,"&lt;&gt;")=0,"",SUMIFS(BD!$I$3:$I$5001,BD!$A$3:$A$5001,X$3,BD!$B$3:$B$5001,$A$437)))</f>
        <v/>
      </c>
      <c r="Y443" s="205" t="str">
        <f>IF(Y$3="","",IF(COUNTIFS(BD!$A$3:$A$5001,Y$3,BD!$B$3:$B$5001,$A$437,BD!$I$3:$I$5001,"&lt;&gt;")=0,"",SUMIFS(BD!$I$3:$I$5001,BD!$A$3:$A$5001,Y$3,BD!$B$3:$B$5001,$A$437)))</f>
        <v/>
      </c>
      <c r="Z443" s="205" t="str">
        <f>IF(Z$3="","",IF(COUNTIFS(BD!$A$3:$A$5001,Z$3,BD!$B$3:$B$5001,$A$437,BD!$I$3:$I$5001,"&lt;&gt;")=0,"",SUMIFS(BD!$I$3:$I$5001,BD!$A$3:$A$5001,Z$3,BD!$B$3:$B$5001,$A$437)))</f>
        <v/>
      </c>
      <c r="AA443" s="205" t="str">
        <f>IF(AA$3="","",IF(COUNTIFS(BD!$A$3:$A$5001,AA$3,BD!$B$3:$B$5001,$A$437,BD!$I$3:$I$5001,"&lt;&gt;")=0,"",SUMIFS(BD!$I$3:$I$5001,BD!$A$3:$A$5001,AA$3,BD!$B$3:$B$5001,$A$437)))</f>
        <v/>
      </c>
      <c r="AB443" s="205" t="str">
        <f>IF(AB$3="","",IF(COUNTIFS(BD!$A$3:$A$5001,AB$3,BD!$B$3:$B$5001,$A$437,BD!$I$3:$I$5001,"&lt;&gt;")=0,"",SUMIFS(BD!$I$3:$I$5001,BD!$A$3:$A$5001,AB$3,BD!$B$3:$B$5001,$A$437)))</f>
        <v/>
      </c>
      <c r="AC443" s="205" t="str">
        <f>IF(AC$3="","",IF(COUNTIFS(BD!$A$3:$A$5001,AC$3,BD!$B$3:$B$5001,$A$437,BD!$I$3:$I$5001,"&lt;&gt;")=0,"",SUMIFS(BD!$I$3:$I$5001,BD!$A$3:$A$5001,AC$3,BD!$B$3:$B$5001,$A$437)))</f>
        <v/>
      </c>
      <c r="AD443" s="205" t="str">
        <f>IF(AD$3="","",IF(COUNTIFS(BD!$A$3:$A$5001,AD$3,BD!$B$3:$B$5001,$A$437,BD!$I$3:$I$5001,"&lt;&gt;")=0,"",SUMIFS(BD!$I$3:$I$5001,BD!$A$3:$A$5001,AD$3,BD!$B$3:$B$5001,$A$437)))</f>
        <v/>
      </c>
      <c r="AE443" s="205" t="str">
        <f>IF(AE$3="","",IF(COUNTIFS(BD!$A$3:$A$5001,AE$3,BD!$B$3:$B$5001,$A$437,BD!$I$3:$I$5001,"&lt;&gt;")=0,"",SUMIFS(BD!$I$3:$I$5001,BD!$A$3:$A$5001,AE$3,BD!$B$3:$B$5001,$A$437)))</f>
        <v/>
      </c>
      <c r="AF443" s="205" t="str">
        <f>IF(AF$3="","",IF(COUNTIFS(BD!$A$3:$A$5001,AF$3,BD!$B$3:$B$5001,$A$437,BD!$I$3:$I$5001,"&lt;&gt;")=0,"",SUMIFS(BD!$I$3:$I$5001,BD!$A$3:$A$5001,AF$3,BD!$B$3:$B$5001,$A$437)))</f>
        <v/>
      </c>
      <c r="AG443" s="205" t="str">
        <f>IF(AG$3="","",IF(COUNTIFS(BD!$A$3:$A$5001,AG$3,BD!$B$3:$B$5001,$A$437,BD!$I$3:$I$5001,"&lt;&gt;")=0,"",SUMIFS(BD!$I$3:$I$5001,BD!$A$3:$A$5001,AG$3,BD!$B$3:$B$5001,$A$437)))</f>
        <v/>
      </c>
      <c r="AH443" s="205" t="str">
        <f>IF(AH$3="","",IF(COUNTIFS(BD!$A$3:$A$5001,AH$3,BD!$B$3:$B$5001,$A$437,BD!$I$3:$I$5001,"&lt;&gt;")=0,"",SUMIFS(BD!$I$3:$I$5001,BD!$A$3:$A$5001,AH$3,BD!$B$3:$B$5001,$A$437)))</f>
        <v/>
      </c>
      <c r="AI443" s="205" t="str">
        <f>IF(AI$3="","",IF(COUNTIFS(BD!$A$3:$A$5001,AI$3,BD!$B$3:$B$5001,$A$437,BD!$I$3:$I$5001,"&lt;&gt;")=0,"",SUMIFS(BD!$I$3:$I$5001,BD!$A$3:$A$5001,AI$3,BD!$B$3:$B$5001,$A$437)))</f>
        <v/>
      </c>
      <c r="AJ443" s="206" t="str">
        <f>IF(AJ$3="","",IF(COUNTIFS(BD!$A$3:$A$5001,AJ$3,BD!$B$3:$B$5001,$A$437,BD!$I$3:$I$5001,"&lt;&gt;")=0,"",SUMIFS(BD!$I$3:$I$5001,BD!$A$3:$A$5001,AJ$3,BD!$B$3:$B$5001,$A$437)))</f>
        <v/>
      </c>
      <c r="AK443" s="207" t="str">
        <f>IF(COUNT(F443:AJ443)=0,"",SUM(F443:AJ443))</f>
        <v/>
      </c>
    </row>
    <row r="444" ht="15.75" customHeight="1" hidden="1">
      <c r="A444" s="244"/>
      <c r="B444" s="239"/>
      <c r="C444" s="201" t="inlineStr">
        <is>
          <t xml:space="preserve">Caixas Fechadas</t>
        </is>
      </c>
      <c r="D444" s="202" t="str">
        <f>IFERROR(1/(1/INDEX(BD!$AJ$30:$BD$30,MATCH($A$437,BD!$AJ$22:$BD$22,0))),"")</f>
        <v/>
      </c>
      <c r="E444" s="203"/>
      <c r="F444" s="204" t="str">
        <f>IF(F$3="","",IF(COUNTIFS(BD!$A$3:$A$5001,F$3,BD!$B$3:$B$5001,$A$437,BD!$J$3:$J$5001,"&lt;&gt;")=0,"",SUMIFS(BD!$J$3:$J$5001,BD!$A$3:$A$5001,F$3,BD!$B$3:$B$5001,$A$437)))</f>
        <v/>
      </c>
      <c r="G444" s="205" t="str">
        <f>IF(G$3="","",IF(COUNTIFS(BD!$A$3:$A$5001,G$3,BD!$B$3:$B$5001,$A$437,BD!$J$3:$J$5001,"&lt;&gt;")=0,"",SUMIFS(BD!$J$3:$J$5001,BD!$A$3:$A$5001,G$3,BD!$B$3:$B$5001,$A$437)))</f>
        <v/>
      </c>
      <c r="H444" s="205" t="str">
        <f>IF(H$3="","",IF(COUNTIFS(BD!$A$3:$A$5001,H$3,BD!$B$3:$B$5001,$A$437,BD!$J$3:$J$5001,"&lt;&gt;")=0,"",SUMIFS(BD!$J$3:$J$5001,BD!$A$3:$A$5001,H$3,BD!$B$3:$B$5001,$A$437)))</f>
        <v/>
      </c>
      <c r="I444" s="205" t="str">
        <f>IF(I$3="","",IF(COUNTIFS(BD!$A$3:$A$5001,I$3,BD!$B$3:$B$5001,$A$437,BD!$J$3:$J$5001,"&lt;&gt;")=0,"",SUMIFS(BD!$J$3:$J$5001,BD!$A$3:$A$5001,I$3,BD!$B$3:$B$5001,$A$437)))</f>
        <v/>
      </c>
      <c r="J444" s="205" t="str">
        <f>IF(J$3="","",IF(COUNTIFS(BD!$A$3:$A$5001,J$3,BD!$B$3:$B$5001,$A$437,BD!$J$3:$J$5001,"&lt;&gt;")=0,"",SUMIFS(BD!$J$3:$J$5001,BD!$A$3:$A$5001,J$3,BD!$B$3:$B$5001,$A$437)))</f>
        <v/>
      </c>
      <c r="K444" s="205" t="str">
        <f>IF(K$3="","",IF(COUNTIFS(BD!$A$3:$A$5001,K$3,BD!$B$3:$B$5001,$A$437,BD!$J$3:$J$5001,"&lt;&gt;")=0,"",SUMIFS(BD!$J$3:$J$5001,BD!$A$3:$A$5001,K$3,BD!$B$3:$B$5001,$A$437)))</f>
        <v/>
      </c>
      <c r="L444" s="205" t="str">
        <f>IF(L$3="","",IF(COUNTIFS(BD!$A$3:$A$5001,L$3,BD!$B$3:$B$5001,$A$437,BD!$J$3:$J$5001,"&lt;&gt;")=0,"",SUMIFS(BD!$J$3:$J$5001,BD!$A$3:$A$5001,L$3,BD!$B$3:$B$5001,$A$437)))</f>
        <v/>
      </c>
      <c r="M444" s="205" t="str">
        <f>IF(M$3="","",IF(COUNTIFS(BD!$A$3:$A$5001,M$3,BD!$B$3:$B$5001,$A$437,BD!$J$3:$J$5001,"&lt;&gt;")=0,"",SUMIFS(BD!$J$3:$J$5001,BD!$A$3:$A$5001,M$3,BD!$B$3:$B$5001,$A$437)))</f>
        <v/>
      </c>
      <c r="N444" s="205" t="str">
        <f>IF(N$3="","",IF(COUNTIFS(BD!$A$3:$A$5001,N$3,BD!$B$3:$B$5001,$A$437,BD!$J$3:$J$5001,"&lt;&gt;")=0,"",SUMIFS(BD!$J$3:$J$5001,BD!$A$3:$A$5001,N$3,BD!$B$3:$B$5001,$A$437)))</f>
        <v/>
      </c>
      <c r="O444" s="205" t="str">
        <f>IF(O$3="","",IF(COUNTIFS(BD!$A$3:$A$5001,O$3,BD!$B$3:$B$5001,$A$437,BD!$J$3:$J$5001,"&lt;&gt;")=0,"",SUMIFS(BD!$J$3:$J$5001,BD!$A$3:$A$5001,O$3,BD!$B$3:$B$5001,$A$437)))</f>
        <v/>
      </c>
      <c r="P444" s="205" t="str">
        <f>IF(P$3="","",IF(COUNTIFS(BD!$A$3:$A$5001,P$3,BD!$B$3:$B$5001,$A$437,BD!$J$3:$J$5001,"&lt;&gt;")=0,"",SUMIFS(BD!$J$3:$J$5001,BD!$A$3:$A$5001,P$3,BD!$B$3:$B$5001,$A$437)))</f>
        <v/>
      </c>
      <c r="Q444" s="205" t="str">
        <f>IF(Q$3="","",IF(COUNTIFS(BD!$A$3:$A$5001,Q$3,BD!$B$3:$B$5001,$A$437,BD!$J$3:$J$5001,"&lt;&gt;")=0,"",SUMIFS(BD!$J$3:$J$5001,BD!$A$3:$A$5001,Q$3,BD!$B$3:$B$5001,$A$437)))</f>
        <v/>
      </c>
      <c r="R444" s="205" t="str">
        <f>IF(R$3="","",IF(COUNTIFS(BD!$A$3:$A$5001,R$3,BD!$B$3:$B$5001,$A$437,BD!$J$3:$J$5001,"&lt;&gt;")=0,"",SUMIFS(BD!$J$3:$J$5001,BD!$A$3:$A$5001,R$3,BD!$B$3:$B$5001,$A$437)))</f>
        <v/>
      </c>
      <c r="S444" s="205" t="str">
        <f>IF(S$3="","",IF(COUNTIFS(BD!$A$3:$A$5001,S$3,BD!$B$3:$B$5001,$A$437,BD!$J$3:$J$5001,"&lt;&gt;")=0,"",SUMIFS(BD!$J$3:$J$5001,BD!$A$3:$A$5001,S$3,BD!$B$3:$B$5001,$A$437)))</f>
        <v/>
      </c>
      <c r="T444" s="205" t="str">
        <f>IF(T$3="","",IF(COUNTIFS(BD!$A$3:$A$5001,T$3,BD!$B$3:$B$5001,$A$437,BD!$J$3:$J$5001,"&lt;&gt;")=0,"",SUMIFS(BD!$J$3:$J$5001,BD!$A$3:$A$5001,T$3,BD!$B$3:$B$5001,$A$437)))</f>
        <v/>
      </c>
      <c r="U444" s="205" t="str">
        <f>IF(U$3="","",IF(COUNTIFS(BD!$A$3:$A$5001,U$3,BD!$B$3:$B$5001,$A$437,BD!$J$3:$J$5001,"&lt;&gt;")=0,"",SUMIFS(BD!$J$3:$J$5001,BD!$A$3:$A$5001,U$3,BD!$B$3:$B$5001,$A$437)))</f>
        <v/>
      </c>
      <c r="V444" s="205" t="str">
        <f>IF(V$3="","",IF(COUNTIFS(BD!$A$3:$A$5001,V$3,BD!$B$3:$B$5001,$A$437,BD!$J$3:$J$5001,"&lt;&gt;")=0,"",SUMIFS(BD!$J$3:$J$5001,BD!$A$3:$A$5001,V$3,BD!$B$3:$B$5001,$A$437)))</f>
        <v/>
      </c>
      <c r="W444" s="205" t="str">
        <f>IF(W$3="","",IF(COUNTIFS(BD!$A$3:$A$5001,W$3,BD!$B$3:$B$5001,$A$437,BD!$J$3:$J$5001,"&lt;&gt;")=0,"",SUMIFS(BD!$J$3:$J$5001,BD!$A$3:$A$5001,W$3,BD!$B$3:$B$5001,$A$437)))</f>
        <v/>
      </c>
      <c r="X444" s="205" t="str">
        <f>IF(X$3="","",IF(COUNTIFS(BD!$A$3:$A$5001,X$3,BD!$B$3:$B$5001,$A$437,BD!$J$3:$J$5001,"&lt;&gt;")=0,"",SUMIFS(BD!$J$3:$J$5001,BD!$A$3:$A$5001,X$3,BD!$B$3:$B$5001,$A$437)))</f>
        <v/>
      </c>
      <c r="Y444" s="205" t="str">
        <f>IF(Y$3="","",IF(COUNTIFS(BD!$A$3:$A$5001,Y$3,BD!$B$3:$B$5001,$A$437,BD!$J$3:$J$5001,"&lt;&gt;")=0,"",SUMIFS(BD!$J$3:$J$5001,BD!$A$3:$A$5001,Y$3,BD!$B$3:$B$5001,$A$437)))</f>
        <v/>
      </c>
      <c r="Z444" s="205" t="str">
        <f>IF(Z$3="","",IF(COUNTIFS(BD!$A$3:$A$5001,Z$3,BD!$B$3:$B$5001,$A$437,BD!$J$3:$J$5001,"&lt;&gt;")=0,"",SUMIFS(BD!$J$3:$J$5001,BD!$A$3:$A$5001,Z$3,BD!$B$3:$B$5001,$A$437)))</f>
        <v/>
      </c>
      <c r="AA444" s="205" t="str">
        <f>IF(AA$3="","",IF(COUNTIFS(BD!$A$3:$A$5001,AA$3,BD!$B$3:$B$5001,$A$437,BD!$J$3:$J$5001,"&lt;&gt;")=0,"",SUMIFS(BD!$J$3:$J$5001,BD!$A$3:$A$5001,AA$3,BD!$B$3:$B$5001,$A$437)))</f>
        <v/>
      </c>
      <c r="AB444" s="205" t="str">
        <f>IF(AB$3="","",IF(COUNTIFS(BD!$A$3:$A$5001,AB$3,BD!$B$3:$B$5001,$A$437,BD!$J$3:$J$5001,"&lt;&gt;")=0,"",SUMIFS(BD!$J$3:$J$5001,BD!$A$3:$A$5001,AB$3,BD!$B$3:$B$5001,$A$437)))</f>
        <v/>
      </c>
      <c r="AC444" s="205" t="str">
        <f>IF(AC$3="","",IF(COUNTIFS(BD!$A$3:$A$5001,AC$3,BD!$B$3:$B$5001,$A$437,BD!$J$3:$J$5001,"&lt;&gt;")=0,"",SUMIFS(BD!$J$3:$J$5001,BD!$A$3:$A$5001,AC$3,BD!$B$3:$B$5001,$A$437)))</f>
        <v/>
      </c>
      <c r="AD444" s="205" t="str">
        <f>IF(AD$3="","",IF(COUNTIFS(BD!$A$3:$A$5001,AD$3,BD!$B$3:$B$5001,$A$437,BD!$J$3:$J$5001,"&lt;&gt;")=0,"",SUMIFS(BD!$J$3:$J$5001,BD!$A$3:$A$5001,AD$3,BD!$B$3:$B$5001,$A$437)))</f>
        <v/>
      </c>
      <c r="AE444" s="205" t="str">
        <f>IF(AE$3="","",IF(COUNTIFS(BD!$A$3:$A$5001,AE$3,BD!$B$3:$B$5001,$A$437,BD!$J$3:$J$5001,"&lt;&gt;")=0,"",SUMIFS(BD!$J$3:$J$5001,BD!$A$3:$A$5001,AE$3,BD!$B$3:$B$5001,$A$437)))</f>
        <v/>
      </c>
      <c r="AF444" s="205" t="str">
        <f>IF(AF$3="","",IF(COUNTIFS(BD!$A$3:$A$5001,AF$3,BD!$B$3:$B$5001,$A$437,BD!$J$3:$J$5001,"&lt;&gt;")=0,"",SUMIFS(BD!$J$3:$J$5001,BD!$A$3:$A$5001,AF$3,BD!$B$3:$B$5001,$A$437)))</f>
        <v/>
      </c>
      <c r="AG444" s="205" t="str">
        <f>IF(AG$3="","",IF(COUNTIFS(BD!$A$3:$A$5001,AG$3,BD!$B$3:$B$5001,$A$437,BD!$J$3:$J$5001,"&lt;&gt;")=0,"",SUMIFS(BD!$J$3:$J$5001,BD!$A$3:$A$5001,AG$3,BD!$B$3:$B$5001,$A$437)))</f>
        <v/>
      </c>
      <c r="AH444" s="205" t="str">
        <f>IF(AH$3="","",IF(COUNTIFS(BD!$A$3:$A$5001,AH$3,BD!$B$3:$B$5001,$A$437,BD!$J$3:$J$5001,"&lt;&gt;")=0,"",SUMIFS(BD!$J$3:$J$5001,BD!$A$3:$A$5001,AH$3,BD!$B$3:$B$5001,$A$437)))</f>
        <v/>
      </c>
      <c r="AI444" s="205" t="str">
        <f>IF(AI$3="","",IF(COUNTIFS(BD!$A$3:$A$5001,AI$3,BD!$B$3:$B$5001,$A$437,BD!$J$3:$J$5001,"&lt;&gt;")=0,"",SUMIFS(BD!$J$3:$J$5001,BD!$A$3:$A$5001,AI$3,BD!$B$3:$B$5001,$A$437)))</f>
        <v/>
      </c>
      <c r="AJ444" s="206" t="str">
        <f>IF(AJ$3="","",IF(COUNTIFS(BD!$A$3:$A$5001,AJ$3,BD!$B$3:$B$5001,$A$437,BD!$J$3:$J$5001,"&lt;&gt;")=0,"",SUMIFS(BD!$J$3:$J$5001,BD!$A$3:$A$5001,AJ$3,BD!$B$3:$B$5001,$A$437)))</f>
        <v/>
      </c>
      <c r="AK444" s="207" t="str">
        <f>IF(COUNT(F444:AJ444)=0,"",SUM(F444:AJ444))</f>
        <v/>
      </c>
    </row>
    <row r="445" ht="15.75" customHeight="1" hidden="1">
      <c r="A445" s="244"/>
      <c r="B445" s="233"/>
      <c r="C445" s="162" t="inlineStr">
        <is>
          <t xml:space="preserve">Caixas Mistas Recebidas</t>
        </is>
      </c>
      <c r="D445" s="163" t="str">
        <f>IFERROR(1/(1/INDEX(BD!$AJ$31:$BD$31,MATCH($A$437,BD!$AJ$22:$BD$22,0))),"")</f>
        <v/>
      </c>
      <c r="E445" s="164"/>
      <c r="F445" s="165" t="str">
        <f>IF(F$3="","",IF(COUNTIFS(BD!$A$3:$A$5001,F$3,BD!$B$3:$B$5001,$A$437,BD!$K$3:$K$5001,"&lt;&gt;")=0,"",SUMIFS(BD!$K$3:$K$5001,BD!$A$3:$A$5001,F$3,BD!$B$3:$B$5001,$A$437)))</f>
        <v/>
      </c>
      <c r="G445" s="166" t="str">
        <f>IF(G$3="","",IF(COUNTIFS(BD!$A$3:$A$5001,G$3,BD!$B$3:$B$5001,$A$437,BD!$K$3:$K$5001,"&lt;&gt;")=0,"",SUMIFS(BD!$K$3:$K$5001,BD!$A$3:$A$5001,G$3,BD!$B$3:$B$5001,$A$437)))</f>
        <v/>
      </c>
      <c r="H445" s="166" t="str">
        <f>IF(H$3="","",IF(COUNTIFS(BD!$A$3:$A$5001,H$3,BD!$B$3:$B$5001,$A$437,BD!$K$3:$K$5001,"&lt;&gt;")=0,"",SUMIFS(BD!$K$3:$K$5001,BD!$A$3:$A$5001,H$3,BD!$B$3:$B$5001,$A$437)))</f>
        <v/>
      </c>
      <c r="I445" s="166" t="str">
        <f>IF(I$3="","",IF(COUNTIFS(BD!$A$3:$A$5001,I$3,BD!$B$3:$B$5001,$A$437,BD!$K$3:$K$5001,"&lt;&gt;")=0,"",SUMIFS(BD!$K$3:$K$5001,BD!$A$3:$A$5001,I$3,BD!$B$3:$B$5001,$A$437)))</f>
        <v/>
      </c>
      <c r="J445" s="166" t="str">
        <f>IF(J$3="","",IF(COUNTIFS(BD!$A$3:$A$5001,J$3,BD!$B$3:$B$5001,$A$437,BD!$K$3:$K$5001,"&lt;&gt;")=0,"",SUMIFS(BD!$K$3:$K$5001,BD!$A$3:$A$5001,J$3,BD!$B$3:$B$5001,$A$437)))</f>
        <v/>
      </c>
      <c r="K445" s="166" t="str">
        <f>IF(K$3="","",IF(COUNTIFS(BD!$A$3:$A$5001,K$3,BD!$B$3:$B$5001,$A$437,BD!$K$3:$K$5001,"&lt;&gt;")=0,"",SUMIFS(BD!$K$3:$K$5001,BD!$A$3:$A$5001,K$3,BD!$B$3:$B$5001,$A$437)))</f>
        <v/>
      </c>
      <c r="L445" s="166" t="str">
        <f>IF(L$3="","",IF(COUNTIFS(BD!$A$3:$A$5001,L$3,BD!$B$3:$B$5001,$A$437,BD!$K$3:$K$5001,"&lt;&gt;")=0,"",SUMIFS(BD!$K$3:$K$5001,BD!$A$3:$A$5001,L$3,BD!$B$3:$B$5001,$A$437)))</f>
        <v/>
      </c>
      <c r="M445" s="166" t="str">
        <f>IF(M$3="","",IF(COUNTIFS(BD!$A$3:$A$5001,M$3,BD!$B$3:$B$5001,$A$437,BD!$K$3:$K$5001,"&lt;&gt;")=0,"",SUMIFS(BD!$K$3:$K$5001,BD!$A$3:$A$5001,M$3,BD!$B$3:$B$5001,$A$437)))</f>
        <v/>
      </c>
      <c r="N445" s="166" t="str">
        <f>IF(N$3="","",IF(COUNTIFS(BD!$A$3:$A$5001,N$3,BD!$B$3:$B$5001,$A$437,BD!$K$3:$K$5001,"&lt;&gt;")=0,"",SUMIFS(BD!$K$3:$K$5001,BD!$A$3:$A$5001,N$3,BD!$B$3:$B$5001,$A$437)))</f>
        <v/>
      </c>
      <c r="O445" s="166" t="str">
        <f>IF(O$3="","",IF(COUNTIFS(BD!$A$3:$A$5001,O$3,BD!$B$3:$B$5001,$A$437,BD!$K$3:$K$5001,"&lt;&gt;")=0,"",SUMIFS(BD!$K$3:$K$5001,BD!$A$3:$A$5001,O$3,BD!$B$3:$B$5001,$A$437)))</f>
        <v/>
      </c>
      <c r="P445" s="166" t="str">
        <f>IF(P$3="","",IF(COUNTIFS(BD!$A$3:$A$5001,P$3,BD!$B$3:$B$5001,$A$437,BD!$K$3:$K$5001,"&lt;&gt;")=0,"",SUMIFS(BD!$K$3:$K$5001,BD!$A$3:$A$5001,P$3,BD!$B$3:$B$5001,$A$437)))</f>
        <v/>
      </c>
      <c r="Q445" s="166" t="str">
        <f>IF(Q$3="","",IF(COUNTIFS(BD!$A$3:$A$5001,Q$3,BD!$B$3:$B$5001,$A$437,BD!$K$3:$K$5001,"&lt;&gt;")=0,"",SUMIFS(BD!$K$3:$K$5001,BD!$A$3:$A$5001,Q$3,BD!$B$3:$B$5001,$A$437)))</f>
        <v/>
      </c>
      <c r="R445" s="166" t="str">
        <f>IF(R$3="","",IF(COUNTIFS(BD!$A$3:$A$5001,R$3,BD!$B$3:$B$5001,$A$437,BD!$K$3:$K$5001,"&lt;&gt;")=0,"",SUMIFS(BD!$K$3:$K$5001,BD!$A$3:$A$5001,R$3,BD!$B$3:$B$5001,$A$437)))</f>
        <v/>
      </c>
      <c r="S445" s="166" t="str">
        <f>IF(S$3="","",IF(COUNTIFS(BD!$A$3:$A$5001,S$3,BD!$B$3:$B$5001,$A$437,BD!$K$3:$K$5001,"&lt;&gt;")=0,"",SUMIFS(BD!$K$3:$K$5001,BD!$A$3:$A$5001,S$3,BD!$B$3:$B$5001,$A$437)))</f>
        <v/>
      </c>
      <c r="T445" s="166" t="str">
        <f>IF(T$3="","",IF(COUNTIFS(BD!$A$3:$A$5001,T$3,BD!$B$3:$B$5001,$A$437,BD!$K$3:$K$5001,"&lt;&gt;")=0,"",SUMIFS(BD!$K$3:$K$5001,BD!$A$3:$A$5001,T$3,BD!$B$3:$B$5001,$A$437)))</f>
        <v/>
      </c>
      <c r="U445" s="166" t="str">
        <f>IF(U$3="","",IF(COUNTIFS(BD!$A$3:$A$5001,U$3,BD!$B$3:$B$5001,$A$437,BD!$K$3:$K$5001,"&lt;&gt;")=0,"",SUMIFS(BD!$K$3:$K$5001,BD!$A$3:$A$5001,U$3,BD!$B$3:$B$5001,$A$437)))</f>
        <v/>
      </c>
      <c r="V445" s="166" t="str">
        <f>IF(V$3="","",IF(COUNTIFS(BD!$A$3:$A$5001,V$3,BD!$B$3:$B$5001,$A$437,BD!$K$3:$K$5001,"&lt;&gt;")=0,"",SUMIFS(BD!$K$3:$K$5001,BD!$A$3:$A$5001,V$3,BD!$B$3:$B$5001,$A$437)))</f>
        <v/>
      </c>
      <c r="W445" s="166" t="str">
        <f>IF(W$3="","",IF(COUNTIFS(BD!$A$3:$A$5001,W$3,BD!$B$3:$B$5001,$A$437,BD!$K$3:$K$5001,"&lt;&gt;")=0,"",SUMIFS(BD!$K$3:$K$5001,BD!$A$3:$A$5001,W$3,BD!$B$3:$B$5001,$A$437)))</f>
        <v/>
      </c>
      <c r="X445" s="166" t="str">
        <f>IF(X$3="","",IF(COUNTIFS(BD!$A$3:$A$5001,X$3,BD!$B$3:$B$5001,$A$437,BD!$K$3:$K$5001,"&lt;&gt;")=0,"",SUMIFS(BD!$K$3:$K$5001,BD!$A$3:$A$5001,X$3,BD!$B$3:$B$5001,$A$437)))</f>
        <v/>
      </c>
      <c r="Y445" s="166" t="str">
        <f>IF(Y$3="","",IF(COUNTIFS(BD!$A$3:$A$5001,Y$3,BD!$B$3:$B$5001,$A$437,BD!$K$3:$K$5001,"&lt;&gt;")=0,"",SUMIFS(BD!$K$3:$K$5001,BD!$A$3:$A$5001,Y$3,BD!$B$3:$B$5001,$A$437)))</f>
        <v/>
      </c>
      <c r="Z445" s="166" t="str">
        <f>IF(Z$3="","",IF(COUNTIFS(BD!$A$3:$A$5001,Z$3,BD!$B$3:$B$5001,$A$437,BD!$K$3:$K$5001,"&lt;&gt;")=0,"",SUMIFS(BD!$K$3:$K$5001,BD!$A$3:$A$5001,Z$3,BD!$B$3:$B$5001,$A$437)))</f>
        <v/>
      </c>
      <c r="AA445" s="166" t="str">
        <f>IF(AA$3="","",IF(COUNTIFS(BD!$A$3:$A$5001,AA$3,BD!$B$3:$B$5001,$A$437,BD!$K$3:$K$5001,"&lt;&gt;")=0,"",SUMIFS(BD!$K$3:$K$5001,BD!$A$3:$A$5001,AA$3,BD!$B$3:$B$5001,$A$437)))</f>
        <v/>
      </c>
      <c r="AB445" s="166" t="str">
        <f>IF(AB$3="","",IF(COUNTIFS(BD!$A$3:$A$5001,AB$3,BD!$B$3:$B$5001,$A$437,BD!$K$3:$K$5001,"&lt;&gt;")=0,"",SUMIFS(BD!$K$3:$K$5001,BD!$A$3:$A$5001,AB$3,BD!$B$3:$B$5001,$A$437)))</f>
        <v/>
      </c>
      <c r="AC445" s="166" t="str">
        <f>IF(AC$3="","",IF(COUNTIFS(BD!$A$3:$A$5001,AC$3,BD!$B$3:$B$5001,$A$437,BD!$K$3:$K$5001,"&lt;&gt;")=0,"",SUMIFS(BD!$K$3:$K$5001,BD!$A$3:$A$5001,AC$3,BD!$B$3:$B$5001,$A$437)))</f>
        <v/>
      </c>
      <c r="AD445" s="166" t="str">
        <f>IF(AD$3="","",IF(COUNTIFS(BD!$A$3:$A$5001,AD$3,BD!$B$3:$B$5001,$A$437,BD!$K$3:$K$5001,"&lt;&gt;")=0,"",SUMIFS(BD!$K$3:$K$5001,BD!$A$3:$A$5001,AD$3,BD!$B$3:$B$5001,$A$437)))</f>
        <v/>
      </c>
      <c r="AE445" s="166" t="str">
        <f>IF(AE$3="","",IF(COUNTIFS(BD!$A$3:$A$5001,AE$3,BD!$B$3:$B$5001,$A$437,BD!$K$3:$K$5001,"&lt;&gt;")=0,"",SUMIFS(BD!$K$3:$K$5001,BD!$A$3:$A$5001,AE$3,BD!$B$3:$B$5001,$A$437)))</f>
        <v/>
      </c>
      <c r="AF445" s="166" t="str">
        <f>IF(AF$3="","",IF(COUNTIFS(BD!$A$3:$A$5001,AF$3,BD!$B$3:$B$5001,$A$437,BD!$K$3:$K$5001,"&lt;&gt;")=0,"",SUMIFS(BD!$K$3:$K$5001,BD!$A$3:$A$5001,AF$3,BD!$B$3:$B$5001,$A$437)))</f>
        <v/>
      </c>
      <c r="AG445" s="166" t="str">
        <f>IF(AG$3="","",IF(COUNTIFS(BD!$A$3:$A$5001,AG$3,BD!$B$3:$B$5001,$A$437,BD!$K$3:$K$5001,"&lt;&gt;")=0,"",SUMIFS(BD!$K$3:$K$5001,BD!$A$3:$A$5001,AG$3,BD!$B$3:$B$5001,$A$437)))</f>
        <v/>
      </c>
      <c r="AH445" s="166" t="str">
        <f>IF(AH$3="","",IF(COUNTIFS(BD!$A$3:$A$5001,AH$3,BD!$B$3:$B$5001,$A$437,BD!$K$3:$K$5001,"&lt;&gt;")=0,"",SUMIFS(BD!$K$3:$K$5001,BD!$A$3:$A$5001,AH$3,BD!$B$3:$B$5001,$A$437)))</f>
        <v/>
      </c>
      <c r="AI445" s="166" t="str">
        <f>IF(AI$3="","",IF(COUNTIFS(BD!$A$3:$A$5001,AI$3,BD!$B$3:$B$5001,$A$437,BD!$K$3:$K$5001,"&lt;&gt;")=0,"",SUMIFS(BD!$K$3:$K$5001,BD!$A$3:$A$5001,AI$3,BD!$B$3:$B$5001,$A$437)))</f>
        <v/>
      </c>
      <c r="AJ445" s="167" t="str">
        <f>IF(AJ$3="","",IF(COUNTIFS(BD!$A$3:$A$5001,AJ$3,BD!$B$3:$B$5001,$A$437,BD!$K$3:$K$5001,"&lt;&gt;")=0,"",SUMIFS(BD!$K$3:$K$5001,BD!$A$3:$A$5001,AJ$3,BD!$B$3:$B$5001,$A$437)))</f>
        <v/>
      </c>
      <c r="AK445" s="163" t="str">
        <f>IF(COUNT(F445:AJ445)=0,"",SUM(F445:AJ445))</f>
        <v/>
      </c>
    </row>
    <row r="446" ht="15.75" customHeight="1" hidden="1">
      <c r="A446" s="244"/>
      <c r="B446" s="234" t="inlineStr">
        <is>
          <t xml:space="preserve">OUT</t>
        </is>
      </c>
      <c r="C446" s="168" t="inlineStr">
        <is>
          <t xml:space="preserve">Veículos Expedidos</t>
        </is>
      </c>
      <c r="D446" s="169" t="str">
        <f>IFERROR(1/(1/INDEX(BD!$AJ$32:$BD$32,MATCH($A$437,BD!$AJ$22:$BD$22,0))),"")</f>
        <v/>
      </c>
      <c r="E446" s="170"/>
      <c r="F446" s="171" t="str">
        <f>IF(F$3="","",IF(COUNTIFS(BD!$A$3:$A$5001,F$3,BD!$B$3:$B$5001,$A$437,BD!$L$3:$L$5001,"&lt;&gt;")=0,"",SUMIFS(BD!$L$3:$L$5001,BD!$A$3:$A$5001,F$3,BD!$B$3:$B$5001,$A$437)))</f>
        <v/>
      </c>
      <c r="G446" s="172" t="str">
        <f>IF(G$3="","",IF(COUNTIFS(BD!$A$3:$A$5001,G$3,BD!$B$3:$B$5001,$A$437,BD!$L$3:$L$5001,"&lt;&gt;")=0,"",SUMIFS(BD!$L$3:$L$5001,BD!$A$3:$A$5001,G$3,BD!$B$3:$B$5001,$A$437)))</f>
        <v/>
      </c>
      <c r="H446" s="172" t="str">
        <f>IF(H$3="","",IF(COUNTIFS(BD!$A$3:$A$5001,H$3,BD!$B$3:$B$5001,$A$437,BD!$L$3:$L$5001,"&lt;&gt;")=0,"",SUMIFS(BD!$L$3:$L$5001,BD!$A$3:$A$5001,H$3,BD!$B$3:$B$5001,$A$437)))</f>
        <v/>
      </c>
      <c r="I446" s="172" t="str">
        <f>IF(I$3="","",IF(COUNTIFS(BD!$A$3:$A$5001,I$3,BD!$B$3:$B$5001,$A$437,BD!$L$3:$L$5001,"&lt;&gt;")=0,"",SUMIFS(BD!$L$3:$L$5001,BD!$A$3:$A$5001,I$3,BD!$B$3:$B$5001,$A$437)))</f>
        <v/>
      </c>
      <c r="J446" s="172" t="str">
        <f>IF(J$3="","",IF(COUNTIFS(BD!$A$3:$A$5001,J$3,BD!$B$3:$B$5001,$A$437,BD!$L$3:$L$5001,"&lt;&gt;")=0,"",SUMIFS(BD!$L$3:$L$5001,BD!$A$3:$A$5001,J$3,BD!$B$3:$B$5001,$A$437)))</f>
        <v/>
      </c>
      <c r="K446" s="172" t="str">
        <f>IF(K$3="","",IF(COUNTIFS(BD!$A$3:$A$5001,K$3,BD!$B$3:$B$5001,$A$437,BD!$L$3:$L$5001,"&lt;&gt;")=0,"",SUMIFS(BD!$L$3:$L$5001,BD!$A$3:$A$5001,K$3,BD!$B$3:$B$5001,$A$437)))</f>
        <v/>
      </c>
      <c r="L446" s="172" t="str">
        <f>IF(L$3="","",IF(COUNTIFS(BD!$A$3:$A$5001,L$3,BD!$B$3:$B$5001,$A$437,BD!$L$3:$L$5001,"&lt;&gt;")=0,"",SUMIFS(BD!$L$3:$L$5001,BD!$A$3:$A$5001,L$3,BD!$B$3:$B$5001,$A$437)))</f>
        <v/>
      </c>
      <c r="M446" s="172" t="str">
        <f>IF(M$3="","",IF(COUNTIFS(BD!$A$3:$A$5001,M$3,BD!$B$3:$B$5001,$A$437,BD!$L$3:$L$5001,"&lt;&gt;")=0,"",SUMIFS(BD!$L$3:$L$5001,BD!$A$3:$A$5001,M$3,BD!$B$3:$B$5001,$A$437)))</f>
        <v/>
      </c>
      <c r="N446" s="172" t="str">
        <f>IF(N$3="","",IF(COUNTIFS(BD!$A$3:$A$5001,N$3,BD!$B$3:$B$5001,$A$437,BD!$L$3:$L$5001,"&lt;&gt;")=0,"",SUMIFS(BD!$L$3:$L$5001,BD!$A$3:$A$5001,N$3,BD!$B$3:$B$5001,$A$437)))</f>
        <v/>
      </c>
      <c r="O446" s="172" t="str">
        <f>IF(O$3="","",IF(COUNTIFS(BD!$A$3:$A$5001,O$3,BD!$B$3:$B$5001,$A$437,BD!$L$3:$L$5001,"&lt;&gt;")=0,"",SUMIFS(BD!$L$3:$L$5001,BD!$A$3:$A$5001,O$3,BD!$B$3:$B$5001,$A$437)))</f>
        <v/>
      </c>
      <c r="P446" s="172" t="str">
        <f>IF(P$3="","",IF(COUNTIFS(BD!$A$3:$A$5001,P$3,BD!$B$3:$B$5001,$A$437,BD!$L$3:$L$5001,"&lt;&gt;")=0,"",SUMIFS(BD!$L$3:$L$5001,BD!$A$3:$A$5001,P$3,BD!$B$3:$B$5001,$A$437)))</f>
        <v/>
      </c>
      <c r="Q446" s="172" t="str">
        <f>IF(Q$3="","",IF(COUNTIFS(BD!$A$3:$A$5001,Q$3,BD!$B$3:$B$5001,$A$437,BD!$L$3:$L$5001,"&lt;&gt;")=0,"",SUMIFS(BD!$L$3:$L$5001,BD!$A$3:$A$5001,Q$3,BD!$B$3:$B$5001,$A$437)))</f>
        <v/>
      </c>
      <c r="R446" s="172" t="str">
        <f>IF(R$3="","",IF(COUNTIFS(BD!$A$3:$A$5001,R$3,BD!$B$3:$B$5001,$A$437,BD!$L$3:$L$5001,"&lt;&gt;")=0,"",SUMIFS(BD!$L$3:$L$5001,BD!$A$3:$A$5001,R$3,BD!$B$3:$B$5001,$A$437)))</f>
        <v/>
      </c>
      <c r="S446" s="172" t="str">
        <f>IF(S$3="","",IF(COUNTIFS(BD!$A$3:$A$5001,S$3,BD!$B$3:$B$5001,$A$437,BD!$L$3:$L$5001,"&lt;&gt;")=0,"",SUMIFS(BD!$L$3:$L$5001,BD!$A$3:$A$5001,S$3,BD!$B$3:$B$5001,$A$437)))</f>
        <v/>
      </c>
      <c r="T446" s="172" t="str">
        <f>IF(T$3="","",IF(COUNTIFS(BD!$A$3:$A$5001,T$3,BD!$B$3:$B$5001,$A$437,BD!$L$3:$L$5001,"&lt;&gt;")=0,"",SUMIFS(BD!$L$3:$L$5001,BD!$A$3:$A$5001,T$3,BD!$B$3:$B$5001,$A$437)))</f>
        <v/>
      </c>
      <c r="U446" s="172" t="str">
        <f>IF(U$3="","",IF(COUNTIFS(BD!$A$3:$A$5001,U$3,BD!$B$3:$B$5001,$A$437,BD!$L$3:$L$5001,"&lt;&gt;")=0,"",SUMIFS(BD!$L$3:$L$5001,BD!$A$3:$A$5001,U$3,BD!$B$3:$B$5001,$A$437)))</f>
        <v/>
      </c>
      <c r="V446" s="172" t="str">
        <f>IF(V$3="","",IF(COUNTIFS(BD!$A$3:$A$5001,V$3,BD!$B$3:$B$5001,$A$437,BD!$L$3:$L$5001,"&lt;&gt;")=0,"",SUMIFS(BD!$L$3:$L$5001,BD!$A$3:$A$5001,V$3,BD!$B$3:$B$5001,$A$437)))</f>
        <v/>
      </c>
      <c r="W446" s="172" t="str">
        <f>IF(W$3="","",IF(COUNTIFS(BD!$A$3:$A$5001,W$3,BD!$B$3:$B$5001,$A$437,BD!$L$3:$L$5001,"&lt;&gt;")=0,"",SUMIFS(BD!$L$3:$L$5001,BD!$A$3:$A$5001,W$3,BD!$B$3:$B$5001,$A$437)))</f>
        <v/>
      </c>
      <c r="X446" s="172" t="str">
        <f>IF(X$3="","",IF(COUNTIFS(BD!$A$3:$A$5001,X$3,BD!$B$3:$B$5001,$A$437,BD!$L$3:$L$5001,"&lt;&gt;")=0,"",SUMIFS(BD!$L$3:$L$5001,BD!$A$3:$A$5001,X$3,BD!$B$3:$B$5001,$A$437)))</f>
        <v/>
      </c>
      <c r="Y446" s="172" t="str">
        <f>IF(Y$3="","",IF(COUNTIFS(BD!$A$3:$A$5001,Y$3,BD!$B$3:$B$5001,$A$437,BD!$L$3:$L$5001,"&lt;&gt;")=0,"",SUMIFS(BD!$L$3:$L$5001,BD!$A$3:$A$5001,Y$3,BD!$B$3:$B$5001,$A$437)))</f>
        <v/>
      </c>
      <c r="Z446" s="172" t="str">
        <f>IF(Z$3="","",IF(COUNTIFS(BD!$A$3:$A$5001,Z$3,BD!$B$3:$B$5001,$A$437,BD!$L$3:$L$5001,"&lt;&gt;")=0,"",SUMIFS(BD!$L$3:$L$5001,BD!$A$3:$A$5001,Z$3,BD!$B$3:$B$5001,$A$437)))</f>
        <v/>
      </c>
      <c r="AA446" s="172" t="str">
        <f>IF(AA$3="","",IF(COUNTIFS(BD!$A$3:$A$5001,AA$3,BD!$B$3:$B$5001,$A$437,BD!$L$3:$L$5001,"&lt;&gt;")=0,"",SUMIFS(BD!$L$3:$L$5001,BD!$A$3:$A$5001,AA$3,BD!$B$3:$B$5001,$A$437)))</f>
        <v/>
      </c>
      <c r="AB446" s="172" t="str">
        <f>IF(AB$3="","",IF(COUNTIFS(BD!$A$3:$A$5001,AB$3,BD!$B$3:$B$5001,$A$437,BD!$L$3:$L$5001,"&lt;&gt;")=0,"",SUMIFS(BD!$L$3:$L$5001,BD!$A$3:$A$5001,AB$3,BD!$B$3:$B$5001,$A$437)))</f>
        <v/>
      </c>
      <c r="AC446" s="172" t="str">
        <f>IF(AC$3="","",IF(COUNTIFS(BD!$A$3:$A$5001,AC$3,BD!$B$3:$B$5001,$A$437,BD!$L$3:$L$5001,"&lt;&gt;")=0,"",SUMIFS(BD!$L$3:$L$5001,BD!$A$3:$A$5001,AC$3,BD!$B$3:$B$5001,$A$437)))</f>
        <v/>
      </c>
      <c r="AD446" s="172" t="str">
        <f>IF(AD$3="","",IF(COUNTIFS(BD!$A$3:$A$5001,AD$3,BD!$B$3:$B$5001,$A$437,BD!$L$3:$L$5001,"&lt;&gt;")=0,"",SUMIFS(BD!$L$3:$L$5001,BD!$A$3:$A$5001,AD$3,BD!$B$3:$B$5001,$A$437)))</f>
        <v/>
      </c>
      <c r="AE446" s="172" t="str">
        <f>IF(AE$3="","",IF(COUNTIFS(BD!$A$3:$A$5001,AE$3,BD!$B$3:$B$5001,$A$437,BD!$L$3:$L$5001,"&lt;&gt;")=0,"",SUMIFS(BD!$L$3:$L$5001,BD!$A$3:$A$5001,AE$3,BD!$B$3:$B$5001,$A$437)))</f>
        <v/>
      </c>
      <c r="AF446" s="172" t="str">
        <f>IF(AF$3="","",IF(COUNTIFS(BD!$A$3:$A$5001,AF$3,BD!$B$3:$B$5001,$A$437,BD!$L$3:$L$5001,"&lt;&gt;")=0,"",SUMIFS(BD!$L$3:$L$5001,BD!$A$3:$A$5001,AF$3,BD!$B$3:$B$5001,$A$437)))</f>
        <v/>
      </c>
      <c r="AG446" s="172" t="str">
        <f>IF(AG$3="","",IF(COUNTIFS(BD!$A$3:$A$5001,AG$3,BD!$B$3:$B$5001,$A$437,BD!$L$3:$L$5001,"&lt;&gt;")=0,"",SUMIFS(BD!$L$3:$L$5001,BD!$A$3:$A$5001,AG$3,BD!$B$3:$B$5001,$A$437)))</f>
        <v/>
      </c>
      <c r="AH446" s="172" t="str">
        <f>IF(AH$3="","",IF(COUNTIFS(BD!$A$3:$A$5001,AH$3,BD!$B$3:$B$5001,$A$437,BD!$L$3:$L$5001,"&lt;&gt;")=0,"",SUMIFS(BD!$L$3:$L$5001,BD!$A$3:$A$5001,AH$3,BD!$B$3:$B$5001,$A$437)))</f>
        <v/>
      </c>
      <c r="AI446" s="172" t="str">
        <f>IF(AI$3="","",IF(COUNTIFS(BD!$A$3:$A$5001,AI$3,BD!$B$3:$B$5001,$A$437,BD!$L$3:$L$5001,"&lt;&gt;")=0,"",SUMIFS(BD!$L$3:$L$5001,BD!$A$3:$A$5001,AI$3,BD!$B$3:$B$5001,$A$437)))</f>
        <v/>
      </c>
      <c r="AJ446" s="173" t="str">
        <f>IF(AJ$3="","",IF(COUNTIFS(BD!$A$3:$A$5001,AJ$3,BD!$B$3:$B$5001,$A$437,BD!$L$3:$L$5001,"&lt;&gt;")=0,"",SUMIFS(BD!$L$3:$L$5001,BD!$A$3:$A$5001,AJ$3,BD!$B$3:$B$5001,$A$437)))</f>
        <v/>
      </c>
      <c r="AK446" s="174" t="str">
        <f>IF(COUNT(F446:AJ446)=0,"",SUM(F446:AJ446))</f>
        <v/>
      </c>
    </row>
    <row r="447" ht="15.75" customHeight="1" hidden="1">
      <c r="A447" s="244"/>
      <c r="B447" s="261"/>
      <c r="C447" s="250" t="inlineStr">
        <is>
          <t xml:space="preserve">Pedidos Expedidos</t>
        </is>
      </c>
      <c r="D447" s="251" t="str">
        <f>IFERROR(1/(1/INDEX(BD!$AJ$33:$BD$33,MATCH($A$437,BD!$AJ$22:$BD$22,0))),"")</f>
        <v/>
      </c>
      <c r="E447" s="252"/>
      <c r="F447" s="253" t="str">
        <f>IF(F$3="","",IF(COUNTIFS(BD!$A$3:$A$5001,F$3,BD!$B$3:$B$5001,$A$437,BD!$M$3:$M$5001,"&lt;&gt;")=0,"",SUMIFS(BD!$M$3:$M$5001,BD!$A$3:$A$5001,F$3,BD!$B$3:$B$5001,$A$437)))</f>
        <v/>
      </c>
      <c r="G447" s="254" t="str">
        <f>IF(G$3="","",IF(COUNTIFS(BD!$A$3:$A$5001,G$3,BD!$B$3:$B$5001,$A$437,BD!$M$3:$M$5001,"&lt;&gt;")=0,"",SUMIFS(BD!$M$3:$M$5001,BD!$A$3:$A$5001,G$3,BD!$B$3:$B$5001,$A$437)))</f>
        <v/>
      </c>
      <c r="H447" s="254" t="str">
        <f>IF(H$3="","",IF(COUNTIFS(BD!$A$3:$A$5001,H$3,BD!$B$3:$B$5001,$A$437,BD!$M$3:$M$5001,"&lt;&gt;")=0,"",SUMIFS(BD!$M$3:$M$5001,BD!$A$3:$A$5001,H$3,BD!$B$3:$B$5001,$A$437)))</f>
        <v/>
      </c>
      <c r="I447" s="254" t="str">
        <f>IF(I$3="","",IF(COUNTIFS(BD!$A$3:$A$5001,I$3,BD!$B$3:$B$5001,$A$437,BD!$M$3:$M$5001,"&lt;&gt;")=0,"",SUMIFS(BD!$M$3:$M$5001,BD!$A$3:$A$5001,I$3,BD!$B$3:$B$5001,$A$437)))</f>
        <v/>
      </c>
      <c r="J447" s="254" t="str">
        <f>IF(J$3="","",IF(COUNTIFS(BD!$A$3:$A$5001,J$3,BD!$B$3:$B$5001,$A$437,BD!$M$3:$M$5001,"&lt;&gt;")=0,"",SUMIFS(BD!$M$3:$M$5001,BD!$A$3:$A$5001,J$3,BD!$B$3:$B$5001,$A$437)))</f>
        <v/>
      </c>
      <c r="K447" s="254" t="str">
        <f>IF(K$3="","",IF(COUNTIFS(BD!$A$3:$A$5001,K$3,BD!$B$3:$B$5001,$A$437,BD!$M$3:$M$5001,"&lt;&gt;")=0,"",SUMIFS(BD!$M$3:$M$5001,BD!$A$3:$A$5001,K$3,BD!$B$3:$B$5001,$A$437)))</f>
        <v/>
      </c>
      <c r="L447" s="254" t="str">
        <f>IF(L$3="","",IF(COUNTIFS(BD!$A$3:$A$5001,L$3,BD!$B$3:$B$5001,$A$437,BD!$M$3:$M$5001,"&lt;&gt;")=0,"",SUMIFS(BD!$M$3:$M$5001,BD!$A$3:$A$5001,L$3,BD!$B$3:$B$5001,$A$437)))</f>
        <v/>
      </c>
      <c r="M447" s="254" t="str">
        <f>IF(M$3="","",IF(COUNTIFS(BD!$A$3:$A$5001,M$3,BD!$B$3:$B$5001,$A$437,BD!$M$3:$M$5001,"&lt;&gt;")=0,"",SUMIFS(BD!$M$3:$M$5001,BD!$A$3:$A$5001,M$3,BD!$B$3:$B$5001,$A$437)))</f>
        <v/>
      </c>
      <c r="N447" s="254" t="str">
        <f>IF(N$3="","",IF(COUNTIFS(BD!$A$3:$A$5001,N$3,BD!$B$3:$B$5001,$A$437,BD!$M$3:$M$5001,"&lt;&gt;")=0,"",SUMIFS(BD!$M$3:$M$5001,BD!$A$3:$A$5001,N$3,BD!$B$3:$B$5001,$A$437)))</f>
        <v/>
      </c>
      <c r="O447" s="254" t="str">
        <f>IF(O$3="","",IF(COUNTIFS(BD!$A$3:$A$5001,O$3,BD!$B$3:$B$5001,$A$437,BD!$M$3:$M$5001,"&lt;&gt;")=0,"",SUMIFS(BD!$M$3:$M$5001,BD!$A$3:$A$5001,O$3,BD!$B$3:$B$5001,$A$437)))</f>
        <v/>
      </c>
      <c r="P447" s="254" t="str">
        <f>IF(P$3="","",IF(COUNTIFS(BD!$A$3:$A$5001,P$3,BD!$B$3:$B$5001,$A$437,BD!$M$3:$M$5001,"&lt;&gt;")=0,"",SUMIFS(BD!$M$3:$M$5001,BD!$A$3:$A$5001,P$3,BD!$B$3:$B$5001,$A$437)))</f>
        <v/>
      </c>
      <c r="Q447" s="254" t="str">
        <f>IF(Q$3="","",IF(COUNTIFS(BD!$A$3:$A$5001,Q$3,BD!$B$3:$B$5001,$A$437,BD!$M$3:$M$5001,"&lt;&gt;")=0,"",SUMIFS(BD!$M$3:$M$5001,BD!$A$3:$A$5001,Q$3,BD!$B$3:$B$5001,$A$437)))</f>
        <v/>
      </c>
      <c r="R447" s="254" t="str">
        <f>IF(R$3="","",IF(COUNTIFS(BD!$A$3:$A$5001,R$3,BD!$B$3:$B$5001,$A$437,BD!$M$3:$M$5001,"&lt;&gt;")=0,"",SUMIFS(BD!$M$3:$M$5001,BD!$A$3:$A$5001,R$3,BD!$B$3:$B$5001,$A$437)))</f>
        <v/>
      </c>
      <c r="S447" s="254" t="str">
        <f>IF(S$3="","",IF(COUNTIFS(BD!$A$3:$A$5001,S$3,BD!$B$3:$B$5001,$A$437,BD!$M$3:$M$5001,"&lt;&gt;")=0,"",SUMIFS(BD!$M$3:$M$5001,BD!$A$3:$A$5001,S$3,BD!$B$3:$B$5001,$A$437)))</f>
        <v/>
      </c>
      <c r="T447" s="254" t="str">
        <f>IF(T$3="","",IF(COUNTIFS(BD!$A$3:$A$5001,T$3,BD!$B$3:$B$5001,$A$437,BD!$M$3:$M$5001,"&lt;&gt;")=0,"",SUMIFS(BD!$M$3:$M$5001,BD!$A$3:$A$5001,T$3,BD!$B$3:$B$5001,$A$437)))</f>
        <v/>
      </c>
      <c r="U447" s="254" t="str">
        <f>IF(U$3="","",IF(COUNTIFS(BD!$A$3:$A$5001,U$3,BD!$B$3:$B$5001,$A$437,BD!$M$3:$M$5001,"&lt;&gt;")=0,"",SUMIFS(BD!$M$3:$M$5001,BD!$A$3:$A$5001,U$3,BD!$B$3:$B$5001,$A$437)))</f>
        <v/>
      </c>
      <c r="V447" s="254" t="str">
        <f>IF(V$3="","",IF(COUNTIFS(BD!$A$3:$A$5001,V$3,BD!$B$3:$B$5001,$A$437,BD!$M$3:$M$5001,"&lt;&gt;")=0,"",SUMIFS(BD!$M$3:$M$5001,BD!$A$3:$A$5001,V$3,BD!$B$3:$B$5001,$A$437)))</f>
        <v/>
      </c>
      <c r="W447" s="254" t="str">
        <f>IF(W$3="","",IF(COUNTIFS(BD!$A$3:$A$5001,W$3,BD!$B$3:$B$5001,$A$437,BD!$M$3:$M$5001,"&lt;&gt;")=0,"",SUMIFS(BD!$M$3:$M$5001,BD!$A$3:$A$5001,W$3,BD!$B$3:$B$5001,$A$437)))</f>
        <v/>
      </c>
      <c r="X447" s="254" t="str">
        <f>IF(X$3="","",IF(COUNTIFS(BD!$A$3:$A$5001,X$3,BD!$B$3:$B$5001,$A$437,BD!$M$3:$M$5001,"&lt;&gt;")=0,"",SUMIFS(BD!$M$3:$M$5001,BD!$A$3:$A$5001,X$3,BD!$B$3:$B$5001,$A$437)))</f>
        <v/>
      </c>
      <c r="Y447" s="254" t="str">
        <f>IF(Y$3="","",IF(COUNTIFS(BD!$A$3:$A$5001,Y$3,BD!$B$3:$B$5001,$A$437,BD!$M$3:$M$5001,"&lt;&gt;")=0,"",SUMIFS(BD!$M$3:$M$5001,BD!$A$3:$A$5001,Y$3,BD!$B$3:$B$5001,$A$437)))</f>
        <v/>
      </c>
      <c r="Z447" s="254" t="str">
        <f>IF(Z$3="","",IF(COUNTIFS(BD!$A$3:$A$5001,Z$3,BD!$B$3:$B$5001,$A$437,BD!$M$3:$M$5001,"&lt;&gt;")=0,"",SUMIFS(BD!$M$3:$M$5001,BD!$A$3:$A$5001,Z$3,BD!$B$3:$B$5001,$A$437)))</f>
        <v/>
      </c>
      <c r="AA447" s="254" t="str">
        <f>IF(AA$3="","",IF(COUNTIFS(BD!$A$3:$A$5001,AA$3,BD!$B$3:$B$5001,$A$437,BD!$M$3:$M$5001,"&lt;&gt;")=0,"",SUMIFS(BD!$M$3:$M$5001,BD!$A$3:$A$5001,AA$3,BD!$B$3:$B$5001,$A$437)))</f>
        <v/>
      </c>
      <c r="AB447" s="254" t="str">
        <f>IF(AB$3="","",IF(COUNTIFS(BD!$A$3:$A$5001,AB$3,BD!$B$3:$B$5001,$A$437,BD!$M$3:$M$5001,"&lt;&gt;")=0,"",SUMIFS(BD!$M$3:$M$5001,BD!$A$3:$A$5001,AB$3,BD!$B$3:$B$5001,$A$437)))</f>
        <v/>
      </c>
      <c r="AC447" s="254" t="str">
        <f>IF(AC$3="","",IF(COUNTIFS(BD!$A$3:$A$5001,AC$3,BD!$B$3:$B$5001,$A$437,BD!$M$3:$M$5001,"&lt;&gt;")=0,"",SUMIFS(BD!$M$3:$M$5001,BD!$A$3:$A$5001,AC$3,BD!$B$3:$B$5001,$A$437)))</f>
        <v/>
      </c>
      <c r="AD447" s="254" t="str">
        <f>IF(AD$3="","",IF(COUNTIFS(BD!$A$3:$A$5001,AD$3,BD!$B$3:$B$5001,$A$437,BD!$M$3:$M$5001,"&lt;&gt;")=0,"",SUMIFS(BD!$M$3:$M$5001,BD!$A$3:$A$5001,AD$3,BD!$B$3:$B$5001,$A$437)))</f>
        <v/>
      </c>
      <c r="AE447" s="254" t="str">
        <f>IF(AE$3="","",IF(COUNTIFS(BD!$A$3:$A$5001,AE$3,BD!$B$3:$B$5001,$A$437,BD!$M$3:$M$5001,"&lt;&gt;")=0,"",SUMIFS(BD!$M$3:$M$5001,BD!$A$3:$A$5001,AE$3,BD!$B$3:$B$5001,$A$437)))</f>
        <v/>
      </c>
      <c r="AF447" s="254" t="str">
        <f>IF(AF$3="","",IF(COUNTIFS(BD!$A$3:$A$5001,AF$3,BD!$B$3:$B$5001,$A$437,BD!$M$3:$M$5001,"&lt;&gt;")=0,"",SUMIFS(BD!$M$3:$M$5001,BD!$A$3:$A$5001,AF$3,BD!$B$3:$B$5001,$A$437)))</f>
        <v/>
      </c>
      <c r="AG447" s="254" t="str">
        <f>IF(AG$3="","",IF(COUNTIFS(BD!$A$3:$A$5001,AG$3,BD!$B$3:$B$5001,$A$437,BD!$M$3:$M$5001,"&lt;&gt;")=0,"",SUMIFS(BD!$M$3:$M$5001,BD!$A$3:$A$5001,AG$3,BD!$B$3:$B$5001,$A$437)))</f>
        <v/>
      </c>
      <c r="AH447" s="254" t="str">
        <f>IF(AH$3="","",IF(COUNTIFS(BD!$A$3:$A$5001,AH$3,BD!$B$3:$B$5001,$A$437,BD!$M$3:$M$5001,"&lt;&gt;")=0,"",SUMIFS(BD!$M$3:$M$5001,BD!$A$3:$A$5001,AH$3,BD!$B$3:$B$5001,$A$437)))</f>
        <v/>
      </c>
      <c r="AI447" s="254" t="str">
        <f>IF(AI$3="","",IF(COUNTIFS(BD!$A$3:$A$5001,AI$3,BD!$B$3:$B$5001,$A$437,BD!$M$3:$M$5001,"&lt;&gt;")=0,"",SUMIFS(BD!$M$3:$M$5001,BD!$A$3:$A$5001,AI$3,BD!$B$3:$B$5001,$A$437)))</f>
        <v/>
      </c>
      <c r="AJ447" s="255" t="str">
        <f>IF(AJ$3="","",IF(COUNTIFS(BD!$A$3:$A$5001,AJ$3,BD!$B$3:$B$5001,$A$437,BD!$M$3:$M$5001,"&lt;&gt;")=0,"",SUMIFS(BD!$M$3:$M$5001,BD!$A$3:$A$5001,AJ$3,BD!$B$3:$B$5001,$A$437)))</f>
        <v/>
      </c>
      <c r="AK447" s="256" t="str">
        <f>IF(COUNT(F447:AJ447)=0,"",SUM(F447:AJ447))</f>
        <v/>
      </c>
    </row>
    <row r="448" ht="15.75" customHeight="1" hidden="1">
      <c r="A448" s="244"/>
      <c r="B448" s="261"/>
      <c r="C448" s="250" t="inlineStr">
        <is>
          <t xml:space="preserve">Pedidos Faturados</t>
        </is>
      </c>
      <c r="D448" s="251" t="str">
        <f>IFERROR(1/(1/INDEX(BD!$AJ$34:$BD$34,MATCH($A$437,BD!$AJ$22:$BD$22,0))),"")</f>
        <v/>
      </c>
      <c r="E448" s="252"/>
      <c r="F448" s="253" t="str">
        <f>IF(F$3="","",IF(COUNTIFS(BD!$A$3:$A$5001,F$3,BD!$B$3:$B$5001,$A$437,BD!$N$3:$N$5001,"&lt;&gt;")=0,"",SUMIFS(BD!$N$3:$N$5001,BD!$A$3:$A$5001,F$3,BD!$B$3:$B$5001,$A$437)))</f>
        <v/>
      </c>
      <c r="G448" s="254" t="str">
        <f>IF(G$3="","",IF(COUNTIFS(BD!$A$3:$A$5001,G$3,BD!$B$3:$B$5001,$A$437,BD!$N$3:$N$5001,"&lt;&gt;")=0,"",SUMIFS(BD!$N$3:$N$5001,BD!$A$3:$A$5001,G$3,BD!$B$3:$B$5001,$A$437)))</f>
        <v/>
      </c>
      <c r="H448" s="254" t="str">
        <f>IF(H$3="","",IF(COUNTIFS(BD!$A$3:$A$5001,H$3,BD!$B$3:$B$5001,$A$437,BD!$N$3:$N$5001,"&lt;&gt;")=0,"",SUMIFS(BD!$N$3:$N$5001,BD!$A$3:$A$5001,H$3,BD!$B$3:$B$5001,$A$437)))</f>
        <v/>
      </c>
      <c r="I448" s="254" t="str">
        <f>IF(I$3="","",IF(COUNTIFS(BD!$A$3:$A$5001,I$3,BD!$B$3:$B$5001,$A$437,BD!$N$3:$N$5001,"&lt;&gt;")=0,"",SUMIFS(BD!$N$3:$N$5001,BD!$A$3:$A$5001,I$3,BD!$B$3:$B$5001,$A$437)))</f>
        <v/>
      </c>
      <c r="J448" s="254" t="str">
        <f>IF(J$3="","",IF(COUNTIFS(BD!$A$3:$A$5001,J$3,BD!$B$3:$B$5001,$A$437,BD!$N$3:$N$5001,"&lt;&gt;")=0,"",SUMIFS(BD!$N$3:$N$5001,BD!$A$3:$A$5001,J$3,BD!$B$3:$B$5001,$A$437)))</f>
        <v/>
      </c>
      <c r="K448" s="254" t="str">
        <f>IF(K$3="","",IF(COUNTIFS(BD!$A$3:$A$5001,K$3,BD!$B$3:$B$5001,$A$437,BD!$N$3:$N$5001,"&lt;&gt;")=0,"",SUMIFS(BD!$N$3:$N$5001,BD!$A$3:$A$5001,K$3,BD!$B$3:$B$5001,$A$437)))</f>
        <v/>
      </c>
      <c r="L448" s="254" t="str">
        <f>IF(L$3="","",IF(COUNTIFS(BD!$A$3:$A$5001,L$3,BD!$B$3:$B$5001,$A$437,BD!$N$3:$N$5001,"&lt;&gt;")=0,"",SUMIFS(BD!$N$3:$N$5001,BD!$A$3:$A$5001,L$3,BD!$B$3:$B$5001,$A$437)))</f>
        <v/>
      </c>
      <c r="M448" s="254" t="str">
        <f>IF(M$3="","",IF(COUNTIFS(BD!$A$3:$A$5001,M$3,BD!$B$3:$B$5001,$A$437,BD!$N$3:$N$5001,"&lt;&gt;")=0,"",SUMIFS(BD!$N$3:$N$5001,BD!$A$3:$A$5001,M$3,BD!$B$3:$B$5001,$A$437)))</f>
        <v/>
      </c>
      <c r="N448" s="254" t="str">
        <f>IF(N$3="","",IF(COUNTIFS(BD!$A$3:$A$5001,N$3,BD!$B$3:$B$5001,$A$437,BD!$N$3:$N$5001,"&lt;&gt;")=0,"",SUMIFS(BD!$N$3:$N$5001,BD!$A$3:$A$5001,N$3,BD!$B$3:$B$5001,$A$437)))</f>
        <v/>
      </c>
      <c r="O448" s="254" t="str">
        <f>IF(O$3="","",IF(COUNTIFS(BD!$A$3:$A$5001,O$3,BD!$B$3:$B$5001,$A$437,BD!$N$3:$N$5001,"&lt;&gt;")=0,"",SUMIFS(BD!$N$3:$N$5001,BD!$A$3:$A$5001,O$3,BD!$B$3:$B$5001,$A$437)))</f>
        <v/>
      </c>
      <c r="P448" s="254" t="str">
        <f>IF(P$3="","",IF(COUNTIFS(BD!$A$3:$A$5001,P$3,BD!$B$3:$B$5001,$A$437,BD!$N$3:$N$5001,"&lt;&gt;")=0,"",SUMIFS(BD!$N$3:$N$5001,BD!$A$3:$A$5001,P$3,BD!$B$3:$B$5001,$A$437)))</f>
        <v/>
      </c>
      <c r="Q448" s="254" t="str">
        <f>IF(Q$3="","",IF(COUNTIFS(BD!$A$3:$A$5001,Q$3,BD!$B$3:$B$5001,$A$437,BD!$N$3:$N$5001,"&lt;&gt;")=0,"",SUMIFS(BD!$N$3:$N$5001,BD!$A$3:$A$5001,Q$3,BD!$B$3:$B$5001,$A$437)))</f>
        <v/>
      </c>
      <c r="R448" s="254" t="str">
        <f>IF(R$3="","",IF(COUNTIFS(BD!$A$3:$A$5001,R$3,BD!$B$3:$B$5001,$A$437,BD!$N$3:$N$5001,"&lt;&gt;")=0,"",SUMIFS(BD!$N$3:$N$5001,BD!$A$3:$A$5001,R$3,BD!$B$3:$B$5001,$A$437)))</f>
        <v/>
      </c>
      <c r="S448" s="254" t="str">
        <f>IF(S$3="","",IF(COUNTIFS(BD!$A$3:$A$5001,S$3,BD!$B$3:$B$5001,$A$437,BD!$N$3:$N$5001,"&lt;&gt;")=0,"",SUMIFS(BD!$N$3:$N$5001,BD!$A$3:$A$5001,S$3,BD!$B$3:$B$5001,$A$437)))</f>
        <v/>
      </c>
      <c r="T448" s="254" t="str">
        <f>IF(T$3="","",IF(COUNTIFS(BD!$A$3:$A$5001,T$3,BD!$B$3:$B$5001,$A$437,BD!$N$3:$N$5001,"&lt;&gt;")=0,"",SUMIFS(BD!$N$3:$N$5001,BD!$A$3:$A$5001,T$3,BD!$B$3:$B$5001,$A$437)))</f>
        <v/>
      </c>
      <c r="U448" s="254" t="str">
        <f>IF(U$3="","",IF(COUNTIFS(BD!$A$3:$A$5001,U$3,BD!$B$3:$B$5001,$A$437,BD!$N$3:$N$5001,"&lt;&gt;")=0,"",SUMIFS(BD!$N$3:$N$5001,BD!$A$3:$A$5001,U$3,BD!$B$3:$B$5001,$A$437)))</f>
        <v/>
      </c>
      <c r="V448" s="254" t="str">
        <f>IF(V$3="","",IF(COUNTIFS(BD!$A$3:$A$5001,V$3,BD!$B$3:$B$5001,$A$437,BD!$N$3:$N$5001,"&lt;&gt;")=0,"",SUMIFS(BD!$N$3:$N$5001,BD!$A$3:$A$5001,V$3,BD!$B$3:$B$5001,$A$437)))</f>
        <v/>
      </c>
      <c r="W448" s="254" t="str">
        <f>IF(W$3="","",IF(COUNTIFS(BD!$A$3:$A$5001,W$3,BD!$B$3:$B$5001,$A$437,BD!$N$3:$N$5001,"&lt;&gt;")=0,"",SUMIFS(BD!$N$3:$N$5001,BD!$A$3:$A$5001,W$3,BD!$B$3:$B$5001,$A$437)))</f>
        <v/>
      </c>
      <c r="X448" s="254" t="str">
        <f>IF(X$3="","",IF(COUNTIFS(BD!$A$3:$A$5001,X$3,BD!$B$3:$B$5001,$A$437,BD!$N$3:$N$5001,"&lt;&gt;")=0,"",SUMIFS(BD!$N$3:$N$5001,BD!$A$3:$A$5001,X$3,BD!$B$3:$B$5001,$A$437)))</f>
        <v/>
      </c>
      <c r="Y448" s="254" t="str">
        <f>IF(Y$3="","",IF(COUNTIFS(BD!$A$3:$A$5001,Y$3,BD!$B$3:$B$5001,$A$437,BD!$N$3:$N$5001,"&lt;&gt;")=0,"",SUMIFS(BD!$N$3:$N$5001,BD!$A$3:$A$5001,Y$3,BD!$B$3:$B$5001,$A$437)))</f>
        <v/>
      </c>
      <c r="Z448" s="254" t="str">
        <f>IF(Z$3="","",IF(COUNTIFS(BD!$A$3:$A$5001,Z$3,BD!$B$3:$B$5001,$A$437,BD!$N$3:$N$5001,"&lt;&gt;")=0,"",SUMIFS(BD!$N$3:$N$5001,BD!$A$3:$A$5001,Z$3,BD!$B$3:$B$5001,$A$437)))</f>
        <v/>
      </c>
      <c r="AA448" s="254" t="str">
        <f>IF(AA$3="","",IF(COUNTIFS(BD!$A$3:$A$5001,AA$3,BD!$B$3:$B$5001,$A$437,BD!$N$3:$N$5001,"&lt;&gt;")=0,"",SUMIFS(BD!$N$3:$N$5001,BD!$A$3:$A$5001,AA$3,BD!$B$3:$B$5001,$A$437)))</f>
        <v/>
      </c>
      <c r="AB448" s="254" t="str">
        <f>IF(AB$3="","",IF(COUNTIFS(BD!$A$3:$A$5001,AB$3,BD!$B$3:$B$5001,$A$437,BD!$N$3:$N$5001,"&lt;&gt;")=0,"",SUMIFS(BD!$N$3:$N$5001,BD!$A$3:$A$5001,AB$3,BD!$B$3:$B$5001,$A$437)))</f>
        <v/>
      </c>
      <c r="AC448" s="254" t="str">
        <f>IF(AC$3="","",IF(COUNTIFS(BD!$A$3:$A$5001,AC$3,BD!$B$3:$B$5001,$A$437,BD!$N$3:$N$5001,"&lt;&gt;")=0,"",SUMIFS(BD!$N$3:$N$5001,BD!$A$3:$A$5001,AC$3,BD!$B$3:$B$5001,$A$437)))</f>
        <v/>
      </c>
      <c r="AD448" s="254" t="str">
        <f>IF(AD$3="","",IF(COUNTIFS(BD!$A$3:$A$5001,AD$3,BD!$B$3:$B$5001,$A$437,BD!$N$3:$N$5001,"&lt;&gt;")=0,"",SUMIFS(BD!$N$3:$N$5001,BD!$A$3:$A$5001,AD$3,BD!$B$3:$B$5001,$A$437)))</f>
        <v/>
      </c>
      <c r="AE448" s="254" t="str">
        <f>IF(AE$3="","",IF(COUNTIFS(BD!$A$3:$A$5001,AE$3,BD!$B$3:$B$5001,$A$437,BD!$N$3:$N$5001,"&lt;&gt;")=0,"",SUMIFS(BD!$N$3:$N$5001,BD!$A$3:$A$5001,AE$3,BD!$B$3:$B$5001,$A$437)))</f>
        <v/>
      </c>
      <c r="AF448" s="254" t="str">
        <f>IF(AF$3="","",IF(COUNTIFS(BD!$A$3:$A$5001,AF$3,BD!$B$3:$B$5001,$A$437,BD!$N$3:$N$5001,"&lt;&gt;")=0,"",SUMIFS(BD!$N$3:$N$5001,BD!$A$3:$A$5001,AF$3,BD!$B$3:$B$5001,$A$437)))</f>
        <v/>
      </c>
      <c r="AG448" s="254" t="str">
        <f>IF(AG$3="","",IF(COUNTIFS(BD!$A$3:$A$5001,AG$3,BD!$B$3:$B$5001,$A$437,BD!$N$3:$N$5001,"&lt;&gt;")=0,"",SUMIFS(BD!$N$3:$N$5001,BD!$A$3:$A$5001,AG$3,BD!$B$3:$B$5001,$A$437)))</f>
        <v/>
      </c>
      <c r="AH448" s="254" t="str">
        <f>IF(AH$3="","",IF(COUNTIFS(BD!$A$3:$A$5001,AH$3,BD!$B$3:$B$5001,$A$437,BD!$N$3:$N$5001,"&lt;&gt;")=0,"",SUMIFS(BD!$N$3:$N$5001,BD!$A$3:$A$5001,AH$3,BD!$B$3:$B$5001,$A$437)))</f>
        <v/>
      </c>
      <c r="AI448" s="254" t="str">
        <f>IF(AI$3="","",IF(COUNTIFS(BD!$A$3:$A$5001,AI$3,BD!$B$3:$B$5001,$A$437,BD!$N$3:$N$5001,"&lt;&gt;")=0,"",SUMIFS(BD!$N$3:$N$5001,BD!$A$3:$A$5001,AI$3,BD!$B$3:$B$5001,$A$437)))</f>
        <v/>
      </c>
      <c r="AJ448" s="255" t="str">
        <f>IF(AJ$3="","",IF(COUNTIFS(BD!$A$3:$A$5001,AJ$3,BD!$B$3:$B$5001,$A$437,BD!$N$3:$N$5001,"&lt;&gt;")=0,"",SUMIFS(BD!$N$3:$N$5001,BD!$A$3:$A$5001,AJ$3,BD!$B$3:$B$5001,$A$437)))</f>
        <v/>
      </c>
      <c r="AK448" s="256" t="str">
        <f>IF(COUNT(F448:AJ448)=0,"",SUM(F448:AJ448))</f>
        <v/>
      </c>
    </row>
    <row r="449" ht="15.75" customHeight="1" hidden="1">
      <c r="A449" s="244"/>
      <c r="B449" s="261"/>
      <c r="C449" s="250" t="inlineStr">
        <is>
          <t xml:space="preserve">Itens Expedidos</t>
        </is>
      </c>
      <c r="D449" s="251" t="str">
        <f>IFERROR(1/(1/INDEX(BD!$AJ$35:$BD$35,MATCH($A$437,BD!$AJ$22:$BD$22,0))),"")</f>
        <v/>
      </c>
      <c r="E449" s="252"/>
      <c r="F449" s="253" t="str">
        <f>IF(F$3="","",IF(COUNTIFS(BD!$A$3:$A$5001,F$3,BD!$B$3:$B$5001,$A$437,BD!$O$3:$O$5001,"&lt;&gt;")=0,"",SUMIFS(BD!$O$3:$O$5001,BD!$A$3:$A$5001,F$3,BD!$B$3:$B$5001,$A$437)))</f>
        <v/>
      </c>
      <c r="G449" s="254" t="str">
        <f>IF(G$3="","",IF(COUNTIFS(BD!$A$3:$A$5001,G$3,BD!$B$3:$B$5001,$A$437,BD!$O$3:$O$5001,"&lt;&gt;")=0,"",SUMIFS(BD!$O$3:$O$5001,BD!$A$3:$A$5001,G$3,BD!$B$3:$B$5001,$A$437)))</f>
        <v/>
      </c>
      <c r="H449" s="254" t="str">
        <f>IF(H$3="","",IF(COUNTIFS(BD!$A$3:$A$5001,H$3,BD!$B$3:$B$5001,$A$437,BD!$O$3:$O$5001,"&lt;&gt;")=0,"",SUMIFS(BD!$O$3:$O$5001,BD!$A$3:$A$5001,H$3,BD!$B$3:$B$5001,$A$437)))</f>
        <v/>
      </c>
      <c r="I449" s="254" t="str">
        <f>IF(I$3="","",IF(COUNTIFS(BD!$A$3:$A$5001,I$3,BD!$B$3:$B$5001,$A$437,BD!$O$3:$O$5001,"&lt;&gt;")=0,"",SUMIFS(BD!$O$3:$O$5001,BD!$A$3:$A$5001,I$3,BD!$B$3:$B$5001,$A$437)))</f>
        <v/>
      </c>
      <c r="J449" s="254" t="str">
        <f>IF(J$3="","",IF(COUNTIFS(BD!$A$3:$A$5001,J$3,BD!$B$3:$B$5001,$A$437,BD!$O$3:$O$5001,"&lt;&gt;")=0,"",SUMIFS(BD!$O$3:$O$5001,BD!$A$3:$A$5001,J$3,BD!$B$3:$B$5001,$A$437)))</f>
        <v/>
      </c>
      <c r="K449" s="254" t="str">
        <f>IF(K$3="","",IF(COUNTIFS(BD!$A$3:$A$5001,K$3,BD!$B$3:$B$5001,$A$437,BD!$O$3:$O$5001,"&lt;&gt;")=0,"",SUMIFS(BD!$O$3:$O$5001,BD!$A$3:$A$5001,K$3,BD!$B$3:$B$5001,$A$437)))</f>
        <v/>
      </c>
      <c r="L449" s="254" t="str">
        <f>IF(L$3="","",IF(COUNTIFS(BD!$A$3:$A$5001,L$3,BD!$B$3:$B$5001,$A$437,BD!$O$3:$O$5001,"&lt;&gt;")=0,"",SUMIFS(BD!$O$3:$O$5001,BD!$A$3:$A$5001,L$3,BD!$B$3:$B$5001,$A$437)))</f>
        <v/>
      </c>
      <c r="M449" s="254" t="str">
        <f>IF(M$3="","",IF(COUNTIFS(BD!$A$3:$A$5001,M$3,BD!$B$3:$B$5001,$A$437,BD!$O$3:$O$5001,"&lt;&gt;")=0,"",SUMIFS(BD!$O$3:$O$5001,BD!$A$3:$A$5001,M$3,BD!$B$3:$B$5001,$A$437)))</f>
        <v/>
      </c>
      <c r="N449" s="254" t="str">
        <f>IF(N$3="","",IF(COUNTIFS(BD!$A$3:$A$5001,N$3,BD!$B$3:$B$5001,$A$437,BD!$O$3:$O$5001,"&lt;&gt;")=0,"",SUMIFS(BD!$O$3:$O$5001,BD!$A$3:$A$5001,N$3,BD!$B$3:$B$5001,$A$437)))</f>
        <v/>
      </c>
      <c r="O449" s="254" t="str">
        <f>IF(O$3="","",IF(COUNTIFS(BD!$A$3:$A$5001,O$3,BD!$B$3:$B$5001,$A$437,BD!$O$3:$O$5001,"&lt;&gt;")=0,"",SUMIFS(BD!$O$3:$O$5001,BD!$A$3:$A$5001,O$3,BD!$B$3:$B$5001,$A$437)))</f>
        <v/>
      </c>
      <c r="P449" s="254" t="str">
        <f>IF(P$3="","",IF(COUNTIFS(BD!$A$3:$A$5001,P$3,BD!$B$3:$B$5001,$A$437,BD!$O$3:$O$5001,"&lt;&gt;")=0,"",SUMIFS(BD!$O$3:$O$5001,BD!$A$3:$A$5001,P$3,BD!$B$3:$B$5001,$A$437)))</f>
        <v/>
      </c>
      <c r="Q449" s="254" t="str">
        <f>IF(Q$3="","",IF(COUNTIFS(BD!$A$3:$A$5001,Q$3,BD!$B$3:$B$5001,$A$437,BD!$O$3:$O$5001,"&lt;&gt;")=0,"",SUMIFS(BD!$O$3:$O$5001,BD!$A$3:$A$5001,Q$3,BD!$B$3:$B$5001,$A$437)))</f>
        <v/>
      </c>
      <c r="R449" s="254" t="str">
        <f>IF(R$3="","",IF(COUNTIFS(BD!$A$3:$A$5001,R$3,BD!$B$3:$B$5001,$A$437,BD!$O$3:$O$5001,"&lt;&gt;")=0,"",SUMIFS(BD!$O$3:$O$5001,BD!$A$3:$A$5001,R$3,BD!$B$3:$B$5001,$A$437)))</f>
        <v/>
      </c>
      <c r="S449" s="254" t="str">
        <f>IF(S$3="","",IF(COUNTIFS(BD!$A$3:$A$5001,S$3,BD!$B$3:$B$5001,$A$437,BD!$O$3:$O$5001,"&lt;&gt;")=0,"",SUMIFS(BD!$O$3:$O$5001,BD!$A$3:$A$5001,S$3,BD!$B$3:$B$5001,$A$437)))</f>
        <v/>
      </c>
      <c r="T449" s="254" t="str">
        <f>IF(T$3="","",IF(COUNTIFS(BD!$A$3:$A$5001,T$3,BD!$B$3:$B$5001,$A$437,BD!$O$3:$O$5001,"&lt;&gt;")=0,"",SUMIFS(BD!$O$3:$O$5001,BD!$A$3:$A$5001,T$3,BD!$B$3:$B$5001,$A$437)))</f>
        <v/>
      </c>
      <c r="U449" s="254" t="str">
        <f>IF(U$3="","",IF(COUNTIFS(BD!$A$3:$A$5001,U$3,BD!$B$3:$B$5001,$A$437,BD!$O$3:$O$5001,"&lt;&gt;")=0,"",SUMIFS(BD!$O$3:$O$5001,BD!$A$3:$A$5001,U$3,BD!$B$3:$B$5001,$A$437)))</f>
        <v/>
      </c>
      <c r="V449" s="254" t="str">
        <f>IF(V$3="","",IF(COUNTIFS(BD!$A$3:$A$5001,V$3,BD!$B$3:$B$5001,$A$437,BD!$O$3:$O$5001,"&lt;&gt;")=0,"",SUMIFS(BD!$O$3:$O$5001,BD!$A$3:$A$5001,V$3,BD!$B$3:$B$5001,$A$437)))</f>
        <v/>
      </c>
      <c r="W449" s="254" t="str">
        <f>IF(W$3="","",IF(COUNTIFS(BD!$A$3:$A$5001,W$3,BD!$B$3:$B$5001,$A$437,BD!$O$3:$O$5001,"&lt;&gt;")=0,"",SUMIFS(BD!$O$3:$O$5001,BD!$A$3:$A$5001,W$3,BD!$B$3:$B$5001,$A$437)))</f>
        <v/>
      </c>
      <c r="X449" s="254" t="str">
        <f>IF(X$3="","",IF(COUNTIFS(BD!$A$3:$A$5001,X$3,BD!$B$3:$B$5001,$A$437,BD!$O$3:$O$5001,"&lt;&gt;")=0,"",SUMIFS(BD!$O$3:$O$5001,BD!$A$3:$A$5001,X$3,BD!$B$3:$B$5001,$A$437)))</f>
        <v/>
      </c>
      <c r="Y449" s="254" t="str">
        <f>IF(Y$3="","",IF(COUNTIFS(BD!$A$3:$A$5001,Y$3,BD!$B$3:$B$5001,$A$437,BD!$O$3:$O$5001,"&lt;&gt;")=0,"",SUMIFS(BD!$O$3:$O$5001,BD!$A$3:$A$5001,Y$3,BD!$B$3:$B$5001,$A$437)))</f>
        <v/>
      </c>
      <c r="Z449" s="254" t="str">
        <f>IF(Z$3="","",IF(COUNTIFS(BD!$A$3:$A$5001,Z$3,BD!$B$3:$B$5001,$A$437,BD!$O$3:$O$5001,"&lt;&gt;")=0,"",SUMIFS(BD!$O$3:$O$5001,BD!$A$3:$A$5001,Z$3,BD!$B$3:$B$5001,$A$437)))</f>
        <v/>
      </c>
      <c r="AA449" s="254" t="str">
        <f>IF(AA$3="","",IF(COUNTIFS(BD!$A$3:$A$5001,AA$3,BD!$B$3:$B$5001,$A$437,BD!$O$3:$O$5001,"&lt;&gt;")=0,"",SUMIFS(BD!$O$3:$O$5001,BD!$A$3:$A$5001,AA$3,BD!$B$3:$B$5001,$A$437)))</f>
        <v/>
      </c>
      <c r="AB449" s="254" t="str">
        <f>IF(AB$3="","",IF(COUNTIFS(BD!$A$3:$A$5001,AB$3,BD!$B$3:$B$5001,$A$437,BD!$O$3:$O$5001,"&lt;&gt;")=0,"",SUMIFS(BD!$O$3:$O$5001,BD!$A$3:$A$5001,AB$3,BD!$B$3:$B$5001,$A$437)))</f>
        <v/>
      </c>
      <c r="AC449" s="254" t="str">
        <f>IF(AC$3="","",IF(COUNTIFS(BD!$A$3:$A$5001,AC$3,BD!$B$3:$B$5001,$A$437,BD!$O$3:$O$5001,"&lt;&gt;")=0,"",SUMIFS(BD!$O$3:$O$5001,BD!$A$3:$A$5001,AC$3,BD!$B$3:$B$5001,$A$437)))</f>
        <v/>
      </c>
      <c r="AD449" s="254" t="str">
        <f>IF(AD$3="","",IF(COUNTIFS(BD!$A$3:$A$5001,AD$3,BD!$B$3:$B$5001,$A$437,BD!$O$3:$O$5001,"&lt;&gt;")=0,"",SUMIFS(BD!$O$3:$O$5001,BD!$A$3:$A$5001,AD$3,BD!$B$3:$B$5001,$A$437)))</f>
        <v/>
      </c>
      <c r="AE449" s="254" t="str">
        <f>IF(AE$3="","",IF(COUNTIFS(BD!$A$3:$A$5001,AE$3,BD!$B$3:$B$5001,$A$437,BD!$O$3:$O$5001,"&lt;&gt;")=0,"",SUMIFS(BD!$O$3:$O$5001,BD!$A$3:$A$5001,AE$3,BD!$B$3:$B$5001,$A$437)))</f>
        <v/>
      </c>
      <c r="AF449" s="254" t="str">
        <f>IF(AF$3="","",IF(COUNTIFS(BD!$A$3:$A$5001,AF$3,BD!$B$3:$B$5001,$A$437,BD!$O$3:$O$5001,"&lt;&gt;")=0,"",SUMIFS(BD!$O$3:$O$5001,BD!$A$3:$A$5001,AF$3,BD!$B$3:$B$5001,$A$437)))</f>
        <v/>
      </c>
      <c r="AG449" s="254" t="str">
        <f>IF(AG$3="","",IF(COUNTIFS(BD!$A$3:$A$5001,AG$3,BD!$B$3:$B$5001,$A$437,BD!$O$3:$O$5001,"&lt;&gt;")=0,"",SUMIFS(BD!$O$3:$O$5001,BD!$A$3:$A$5001,AG$3,BD!$B$3:$B$5001,$A$437)))</f>
        <v/>
      </c>
      <c r="AH449" s="254" t="str">
        <f>IF(AH$3="","",IF(COUNTIFS(BD!$A$3:$A$5001,AH$3,BD!$B$3:$B$5001,$A$437,BD!$O$3:$O$5001,"&lt;&gt;")=0,"",SUMIFS(BD!$O$3:$O$5001,BD!$A$3:$A$5001,AH$3,BD!$B$3:$B$5001,$A$437)))</f>
        <v/>
      </c>
      <c r="AI449" s="254" t="str">
        <f>IF(AI$3="","",IF(COUNTIFS(BD!$A$3:$A$5001,AI$3,BD!$B$3:$B$5001,$A$437,BD!$O$3:$O$5001,"&lt;&gt;")=0,"",SUMIFS(BD!$O$3:$O$5001,BD!$A$3:$A$5001,AI$3,BD!$B$3:$B$5001,$A$437)))</f>
        <v/>
      </c>
      <c r="AJ449" s="255" t="str">
        <f>IF(AJ$3="","",IF(COUNTIFS(BD!$A$3:$A$5001,AJ$3,BD!$B$3:$B$5001,$A$437,BD!$O$3:$O$5001,"&lt;&gt;")=0,"",SUMIFS(BD!$O$3:$O$5001,BD!$A$3:$A$5001,AJ$3,BD!$B$3:$B$5001,$A$437)))</f>
        <v/>
      </c>
      <c r="AK449" s="256" t="str">
        <f>IF(COUNT(F449:AJ449)=0,"",SUM(F449:AJ449))</f>
        <v/>
      </c>
    </row>
    <row r="450" ht="15.75" customHeight="1" hidden="1">
      <c r="A450" s="244"/>
      <c r="B450" s="261"/>
      <c r="C450" s="250" t="inlineStr">
        <is>
          <t xml:space="preserve">Linhas NF</t>
        </is>
      </c>
      <c r="D450" s="251" t="str">
        <f>IFERROR(1/(1/INDEX(BD!$AJ$36:$BD$36,MATCH($A$437,BD!$AJ$22:$BD$22,0))),"")</f>
        <v/>
      </c>
      <c r="E450" s="252"/>
      <c r="F450" s="253" t="str">
        <f>IF(F$3="","",IF(COUNTIFS(BD!$A$3:$A$5001,F$3,BD!$B$3:$B$5001,$A$437,BD!$P$3:$P$5001,"&lt;&gt;")=0,"",SUMIFS(BD!$P$3:$P$5001,BD!$A$3:$A$5001,F$3,BD!$B$3:$B$5001,$A$437)))</f>
        <v/>
      </c>
      <c r="G450" s="254" t="str">
        <f>IF(G$3="","",IF(COUNTIFS(BD!$A$3:$A$5001,G$3,BD!$B$3:$B$5001,$A$437,BD!$P$3:$P$5001,"&lt;&gt;")=0,"",SUMIFS(BD!$P$3:$P$5001,BD!$A$3:$A$5001,G$3,BD!$B$3:$B$5001,$A$437)))</f>
        <v/>
      </c>
      <c r="H450" s="254" t="str">
        <f>IF(H$3="","",IF(COUNTIFS(BD!$A$3:$A$5001,H$3,BD!$B$3:$B$5001,$A$437,BD!$P$3:$P$5001,"&lt;&gt;")=0,"",SUMIFS(BD!$P$3:$P$5001,BD!$A$3:$A$5001,H$3,BD!$B$3:$B$5001,$A$437)))</f>
        <v/>
      </c>
      <c r="I450" s="254" t="str">
        <f>IF(I$3="","",IF(COUNTIFS(BD!$A$3:$A$5001,I$3,BD!$B$3:$B$5001,$A$437,BD!$P$3:$P$5001,"&lt;&gt;")=0,"",SUMIFS(BD!$P$3:$P$5001,BD!$A$3:$A$5001,I$3,BD!$B$3:$B$5001,$A$437)))</f>
        <v/>
      </c>
      <c r="J450" s="254" t="str">
        <f>IF(J$3="","",IF(COUNTIFS(BD!$A$3:$A$5001,J$3,BD!$B$3:$B$5001,$A$437,BD!$P$3:$P$5001,"&lt;&gt;")=0,"",SUMIFS(BD!$P$3:$P$5001,BD!$A$3:$A$5001,J$3,BD!$B$3:$B$5001,$A$437)))</f>
        <v/>
      </c>
      <c r="K450" s="254" t="str">
        <f>IF(K$3="","",IF(COUNTIFS(BD!$A$3:$A$5001,K$3,BD!$B$3:$B$5001,$A$437,BD!$P$3:$P$5001,"&lt;&gt;")=0,"",SUMIFS(BD!$P$3:$P$5001,BD!$A$3:$A$5001,K$3,BD!$B$3:$B$5001,$A$437)))</f>
        <v/>
      </c>
      <c r="L450" s="254" t="str">
        <f>IF(L$3="","",IF(COUNTIFS(BD!$A$3:$A$5001,L$3,BD!$B$3:$B$5001,$A$437,BD!$P$3:$P$5001,"&lt;&gt;")=0,"",SUMIFS(BD!$P$3:$P$5001,BD!$A$3:$A$5001,L$3,BD!$B$3:$B$5001,$A$437)))</f>
        <v/>
      </c>
      <c r="M450" s="254" t="str">
        <f>IF(M$3="","",IF(COUNTIFS(BD!$A$3:$A$5001,M$3,BD!$B$3:$B$5001,$A$437,BD!$P$3:$P$5001,"&lt;&gt;")=0,"",SUMIFS(BD!$P$3:$P$5001,BD!$A$3:$A$5001,M$3,BD!$B$3:$B$5001,$A$437)))</f>
        <v/>
      </c>
      <c r="N450" s="254" t="str">
        <f>IF(N$3="","",IF(COUNTIFS(BD!$A$3:$A$5001,N$3,BD!$B$3:$B$5001,$A$437,BD!$P$3:$P$5001,"&lt;&gt;")=0,"",SUMIFS(BD!$P$3:$P$5001,BD!$A$3:$A$5001,N$3,BD!$B$3:$B$5001,$A$437)))</f>
        <v/>
      </c>
      <c r="O450" s="254" t="str">
        <f>IF(O$3="","",IF(COUNTIFS(BD!$A$3:$A$5001,O$3,BD!$B$3:$B$5001,$A$437,BD!$P$3:$P$5001,"&lt;&gt;")=0,"",SUMIFS(BD!$P$3:$P$5001,BD!$A$3:$A$5001,O$3,BD!$B$3:$B$5001,$A$437)))</f>
        <v/>
      </c>
      <c r="P450" s="254" t="str">
        <f>IF(P$3="","",IF(COUNTIFS(BD!$A$3:$A$5001,P$3,BD!$B$3:$B$5001,$A$437,BD!$P$3:$P$5001,"&lt;&gt;")=0,"",SUMIFS(BD!$P$3:$P$5001,BD!$A$3:$A$5001,P$3,BD!$B$3:$B$5001,$A$437)))</f>
        <v/>
      </c>
      <c r="Q450" s="254" t="str">
        <f>IF(Q$3="","",IF(COUNTIFS(BD!$A$3:$A$5001,Q$3,BD!$B$3:$B$5001,$A$437,BD!$P$3:$P$5001,"&lt;&gt;")=0,"",SUMIFS(BD!$P$3:$P$5001,BD!$A$3:$A$5001,Q$3,BD!$B$3:$B$5001,$A$437)))</f>
        <v/>
      </c>
      <c r="R450" s="254" t="str">
        <f>IF(R$3="","",IF(COUNTIFS(BD!$A$3:$A$5001,R$3,BD!$B$3:$B$5001,$A$437,BD!$P$3:$P$5001,"&lt;&gt;")=0,"",SUMIFS(BD!$P$3:$P$5001,BD!$A$3:$A$5001,R$3,BD!$B$3:$B$5001,$A$437)))</f>
        <v/>
      </c>
      <c r="S450" s="254" t="str">
        <f>IF(S$3="","",IF(COUNTIFS(BD!$A$3:$A$5001,S$3,BD!$B$3:$B$5001,$A$437,BD!$P$3:$P$5001,"&lt;&gt;")=0,"",SUMIFS(BD!$P$3:$P$5001,BD!$A$3:$A$5001,S$3,BD!$B$3:$B$5001,$A$437)))</f>
        <v/>
      </c>
      <c r="T450" s="254" t="str">
        <f>IF(T$3="","",IF(COUNTIFS(BD!$A$3:$A$5001,T$3,BD!$B$3:$B$5001,$A$437,BD!$P$3:$P$5001,"&lt;&gt;")=0,"",SUMIFS(BD!$P$3:$P$5001,BD!$A$3:$A$5001,T$3,BD!$B$3:$B$5001,$A$437)))</f>
        <v/>
      </c>
      <c r="U450" s="254" t="str">
        <f>IF(U$3="","",IF(COUNTIFS(BD!$A$3:$A$5001,U$3,BD!$B$3:$B$5001,$A$437,BD!$P$3:$P$5001,"&lt;&gt;")=0,"",SUMIFS(BD!$P$3:$P$5001,BD!$A$3:$A$5001,U$3,BD!$B$3:$B$5001,$A$437)))</f>
        <v/>
      </c>
      <c r="V450" s="254" t="str">
        <f>IF(V$3="","",IF(COUNTIFS(BD!$A$3:$A$5001,V$3,BD!$B$3:$B$5001,$A$437,BD!$P$3:$P$5001,"&lt;&gt;")=0,"",SUMIFS(BD!$P$3:$P$5001,BD!$A$3:$A$5001,V$3,BD!$B$3:$B$5001,$A$437)))</f>
        <v/>
      </c>
      <c r="W450" s="254" t="str">
        <f>IF(W$3="","",IF(COUNTIFS(BD!$A$3:$A$5001,W$3,BD!$B$3:$B$5001,$A$437,BD!$P$3:$P$5001,"&lt;&gt;")=0,"",SUMIFS(BD!$P$3:$P$5001,BD!$A$3:$A$5001,W$3,BD!$B$3:$B$5001,$A$437)))</f>
        <v/>
      </c>
      <c r="X450" s="254" t="str">
        <f>IF(X$3="","",IF(COUNTIFS(BD!$A$3:$A$5001,X$3,BD!$B$3:$B$5001,$A$437,BD!$P$3:$P$5001,"&lt;&gt;")=0,"",SUMIFS(BD!$P$3:$P$5001,BD!$A$3:$A$5001,X$3,BD!$B$3:$B$5001,$A$437)))</f>
        <v/>
      </c>
      <c r="Y450" s="254" t="str">
        <f>IF(Y$3="","",IF(COUNTIFS(BD!$A$3:$A$5001,Y$3,BD!$B$3:$B$5001,$A$437,BD!$P$3:$P$5001,"&lt;&gt;")=0,"",SUMIFS(BD!$P$3:$P$5001,BD!$A$3:$A$5001,Y$3,BD!$B$3:$B$5001,$A$437)))</f>
        <v/>
      </c>
      <c r="Z450" s="254" t="str">
        <f>IF(Z$3="","",IF(COUNTIFS(BD!$A$3:$A$5001,Z$3,BD!$B$3:$B$5001,$A$437,BD!$P$3:$P$5001,"&lt;&gt;")=0,"",SUMIFS(BD!$P$3:$P$5001,BD!$A$3:$A$5001,Z$3,BD!$B$3:$B$5001,$A$437)))</f>
        <v/>
      </c>
      <c r="AA450" s="254" t="str">
        <f>IF(AA$3="","",IF(COUNTIFS(BD!$A$3:$A$5001,AA$3,BD!$B$3:$B$5001,$A$437,BD!$P$3:$P$5001,"&lt;&gt;")=0,"",SUMIFS(BD!$P$3:$P$5001,BD!$A$3:$A$5001,AA$3,BD!$B$3:$B$5001,$A$437)))</f>
        <v/>
      </c>
      <c r="AB450" s="254" t="str">
        <f>IF(AB$3="","",IF(COUNTIFS(BD!$A$3:$A$5001,AB$3,BD!$B$3:$B$5001,$A$437,BD!$P$3:$P$5001,"&lt;&gt;")=0,"",SUMIFS(BD!$P$3:$P$5001,BD!$A$3:$A$5001,AB$3,BD!$B$3:$B$5001,$A$437)))</f>
        <v/>
      </c>
      <c r="AC450" s="254" t="str">
        <f>IF(AC$3="","",IF(COUNTIFS(BD!$A$3:$A$5001,AC$3,BD!$B$3:$B$5001,$A$437,BD!$P$3:$P$5001,"&lt;&gt;")=0,"",SUMIFS(BD!$P$3:$P$5001,BD!$A$3:$A$5001,AC$3,BD!$B$3:$B$5001,$A$437)))</f>
        <v/>
      </c>
      <c r="AD450" s="254" t="str">
        <f>IF(AD$3="","",IF(COUNTIFS(BD!$A$3:$A$5001,AD$3,BD!$B$3:$B$5001,$A$437,BD!$P$3:$P$5001,"&lt;&gt;")=0,"",SUMIFS(BD!$P$3:$P$5001,BD!$A$3:$A$5001,AD$3,BD!$B$3:$B$5001,$A$437)))</f>
        <v/>
      </c>
      <c r="AE450" s="254" t="str">
        <f>IF(AE$3="","",IF(COUNTIFS(BD!$A$3:$A$5001,AE$3,BD!$B$3:$B$5001,$A$437,BD!$P$3:$P$5001,"&lt;&gt;")=0,"",SUMIFS(BD!$P$3:$P$5001,BD!$A$3:$A$5001,AE$3,BD!$B$3:$B$5001,$A$437)))</f>
        <v/>
      </c>
      <c r="AF450" s="254" t="str">
        <f>IF(AF$3="","",IF(COUNTIFS(BD!$A$3:$A$5001,AF$3,BD!$B$3:$B$5001,$A$437,BD!$P$3:$P$5001,"&lt;&gt;")=0,"",SUMIFS(BD!$P$3:$P$5001,BD!$A$3:$A$5001,AF$3,BD!$B$3:$B$5001,$A$437)))</f>
        <v/>
      </c>
      <c r="AG450" s="254" t="str">
        <f>IF(AG$3="","",IF(COUNTIFS(BD!$A$3:$A$5001,AG$3,BD!$B$3:$B$5001,$A$437,BD!$P$3:$P$5001,"&lt;&gt;")=0,"",SUMIFS(BD!$P$3:$P$5001,BD!$A$3:$A$5001,AG$3,BD!$B$3:$B$5001,$A$437)))</f>
        <v/>
      </c>
      <c r="AH450" s="254" t="str">
        <f>IF(AH$3="","",IF(COUNTIFS(BD!$A$3:$A$5001,AH$3,BD!$B$3:$B$5001,$A$437,BD!$P$3:$P$5001,"&lt;&gt;")=0,"",SUMIFS(BD!$P$3:$P$5001,BD!$A$3:$A$5001,AH$3,BD!$B$3:$B$5001,$A$437)))</f>
        <v/>
      </c>
      <c r="AI450" s="254" t="str">
        <f>IF(AI$3="","",IF(COUNTIFS(BD!$A$3:$A$5001,AI$3,BD!$B$3:$B$5001,$A$437,BD!$P$3:$P$5001,"&lt;&gt;")=0,"",SUMIFS(BD!$P$3:$P$5001,BD!$A$3:$A$5001,AI$3,BD!$B$3:$B$5001,$A$437)))</f>
        <v/>
      </c>
      <c r="AJ450" s="255" t="str">
        <f>IF(AJ$3="","",IF(COUNTIFS(BD!$A$3:$A$5001,AJ$3,BD!$B$3:$B$5001,$A$437,BD!$P$3:$P$5001,"&lt;&gt;")=0,"",SUMIFS(BD!$P$3:$P$5001,BD!$A$3:$A$5001,AJ$3,BD!$B$3:$B$5001,$A$437)))</f>
        <v/>
      </c>
      <c r="AK450" s="256" t="str">
        <f>IF(COUNT(F450:AJ450)=0,"",SUM(F450:AJ450))</f>
        <v/>
      </c>
    </row>
    <row r="451" ht="15.75" customHeight="1" hidden="1">
      <c r="A451" s="244"/>
      <c r="B451" s="261"/>
      <c r="C451" s="250" t="inlineStr">
        <is>
          <t xml:space="preserve">Caixas Expedidas</t>
        </is>
      </c>
      <c r="D451" s="251" t="str">
        <f>IFERROR(1/(1/INDEX(BD!$AJ$37:$BD$37,MATCH($A$437,BD!$AJ$22:$BD$22,0))),"")</f>
        <v/>
      </c>
      <c r="E451" s="252"/>
      <c r="F451" s="253" t="str">
        <f>IF(F$3="","",IF(COUNTIFS(BD!$A$3:$A$5001,F$3,BD!$B$3:$B$5001,$A$437,BD!$Q$3:$Q$5001,"&lt;&gt;")=0,"",SUMIFS(BD!$Q$3:$Q$5001,BD!$A$3:$A$5001,F$3,BD!$B$3:$B$5001,$A$437)))</f>
        <v/>
      </c>
      <c r="G451" s="254" t="str">
        <f>IF(G$3="","",IF(COUNTIFS(BD!$A$3:$A$5001,G$3,BD!$B$3:$B$5001,$A$437,BD!$Q$3:$Q$5001,"&lt;&gt;")=0,"",SUMIFS(BD!$Q$3:$Q$5001,BD!$A$3:$A$5001,G$3,BD!$B$3:$B$5001,$A$437)))</f>
        <v/>
      </c>
      <c r="H451" s="254" t="str">
        <f>IF(H$3="","",IF(COUNTIFS(BD!$A$3:$A$5001,H$3,BD!$B$3:$B$5001,$A$437,BD!$Q$3:$Q$5001,"&lt;&gt;")=0,"",SUMIFS(BD!$Q$3:$Q$5001,BD!$A$3:$A$5001,H$3,BD!$B$3:$B$5001,$A$437)))</f>
        <v/>
      </c>
      <c r="I451" s="254" t="str">
        <f>IF(I$3="","",IF(COUNTIFS(BD!$A$3:$A$5001,I$3,BD!$B$3:$B$5001,$A$437,BD!$Q$3:$Q$5001,"&lt;&gt;")=0,"",SUMIFS(BD!$Q$3:$Q$5001,BD!$A$3:$A$5001,I$3,BD!$B$3:$B$5001,$A$437)))</f>
        <v/>
      </c>
      <c r="J451" s="254" t="str">
        <f>IF(J$3="","",IF(COUNTIFS(BD!$A$3:$A$5001,J$3,BD!$B$3:$B$5001,$A$437,BD!$Q$3:$Q$5001,"&lt;&gt;")=0,"",SUMIFS(BD!$Q$3:$Q$5001,BD!$A$3:$A$5001,J$3,BD!$B$3:$B$5001,$A$437)))</f>
        <v/>
      </c>
      <c r="K451" s="254" t="str">
        <f>IF(K$3="","",IF(COUNTIFS(BD!$A$3:$A$5001,K$3,BD!$B$3:$B$5001,$A$437,BD!$Q$3:$Q$5001,"&lt;&gt;")=0,"",SUMIFS(BD!$Q$3:$Q$5001,BD!$A$3:$A$5001,K$3,BD!$B$3:$B$5001,$A$437)))</f>
        <v/>
      </c>
      <c r="L451" s="254" t="str">
        <f>IF(L$3="","",IF(COUNTIFS(BD!$A$3:$A$5001,L$3,BD!$B$3:$B$5001,$A$437,BD!$Q$3:$Q$5001,"&lt;&gt;")=0,"",SUMIFS(BD!$Q$3:$Q$5001,BD!$A$3:$A$5001,L$3,BD!$B$3:$B$5001,$A$437)))</f>
        <v/>
      </c>
      <c r="M451" s="254" t="str">
        <f>IF(M$3="","",IF(COUNTIFS(BD!$A$3:$A$5001,M$3,BD!$B$3:$B$5001,$A$437,BD!$Q$3:$Q$5001,"&lt;&gt;")=0,"",SUMIFS(BD!$Q$3:$Q$5001,BD!$A$3:$A$5001,M$3,BD!$B$3:$B$5001,$A$437)))</f>
        <v/>
      </c>
      <c r="N451" s="254" t="str">
        <f>IF(N$3="","",IF(COUNTIFS(BD!$A$3:$A$5001,N$3,BD!$B$3:$B$5001,$A$437,BD!$Q$3:$Q$5001,"&lt;&gt;")=0,"",SUMIFS(BD!$Q$3:$Q$5001,BD!$A$3:$A$5001,N$3,BD!$B$3:$B$5001,$A$437)))</f>
        <v/>
      </c>
      <c r="O451" s="254" t="str">
        <f>IF(O$3="","",IF(COUNTIFS(BD!$A$3:$A$5001,O$3,BD!$B$3:$B$5001,$A$437,BD!$Q$3:$Q$5001,"&lt;&gt;")=0,"",SUMIFS(BD!$Q$3:$Q$5001,BD!$A$3:$A$5001,O$3,BD!$B$3:$B$5001,$A$437)))</f>
        <v/>
      </c>
      <c r="P451" s="254" t="str">
        <f>IF(P$3="","",IF(COUNTIFS(BD!$A$3:$A$5001,P$3,BD!$B$3:$B$5001,$A$437,BD!$Q$3:$Q$5001,"&lt;&gt;")=0,"",SUMIFS(BD!$Q$3:$Q$5001,BD!$A$3:$A$5001,P$3,BD!$B$3:$B$5001,$A$437)))</f>
        <v/>
      </c>
      <c r="Q451" s="254" t="str">
        <f>IF(Q$3="","",IF(COUNTIFS(BD!$A$3:$A$5001,Q$3,BD!$B$3:$B$5001,$A$437,BD!$Q$3:$Q$5001,"&lt;&gt;")=0,"",SUMIFS(BD!$Q$3:$Q$5001,BD!$A$3:$A$5001,Q$3,BD!$B$3:$B$5001,$A$437)))</f>
        <v/>
      </c>
      <c r="R451" s="254" t="str">
        <f>IF(R$3="","",IF(COUNTIFS(BD!$A$3:$A$5001,R$3,BD!$B$3:$B$5001,$A$437,BD!$Q$3:$Q$5001,"&lt;&gt;")=0,"",SUMIFS(BD!$Q$3:$Q$5001,BD!$A$3:$A$5001,R$3,BD!$B$3:$B$5001,$A$437)))</f>
        <v/>
      </c>
      <c r="S451" s="254" t="str">
        <f>IF(S$3="","",IF(COUNTIFS(BD!$A$3:$A$5001,S$3,BD!$B$3:$B$5001,$A$437,BD!$Q$3:$Q$5001,"&lt;&gt;")=0,"",SUMIFS(BD!$Q$3:$Q$5001,BD!$A$3:$A$5001,S$3,BD!$B$3:$B$5001,$A$437)))</f>
        <v/>
      </c>
      <c r="T451" s="254" t="str">
        <f>IF(T$3="","",IF(COUNTIFS(BD!$A$3:$A$5001,T$3,BD!$B$3:$B$5001,$A$437,BD!$Q$3:$Q$5001,"&lt;&gt;")=0,"",SUMIFS(BD!$Q$3:$Q$5001,BD!$A$3:$A$5001,T$3,BD!$B$3:$B$5001,$A$437)))</f>
        <v/>
      </c>
      <c r="U451" s="254" t="str">
        <f>IF(U$3="","",IF(COUNTIFS(BD!$A$3:$A$5001,U$3,BD!$B$3:$B$5001,$A$437,BD!$Q$3:$Q$5001,"&lt;&gt;")=0,"",SUMIFS(BD!$Q$3:$Q$5001,BD!$A$3:$A$5001,U$3,BD!$B$3:$B$5001,$A$437)))</f>
        <v/>
      </c>
      <c r="V451" s="254" t="str">
        <f>IF(V$3="","",IF(COUNTIFS(BD!$A$3:$A$5001,V$3,BD!$B$3:$B$5001,$A$437,BD!$Q$3:$Q$5001,"&lt;&gt;")=0,"",SUMIFS(BD!$Q$3:$Q$5001,BD!$A$3:$A$5001,V$3,BD!$B$3:$B$5001,$A$437)))</f>
        <v/>
      </c>
      <c r="W451" s="254" t="str">
        <f>IF(W$3="","",IF(COUNTIFS(BD!$A$3:$A$5001,W$3,BD!$B$3:$B$5001,$A$437,BD!$Q$3:$Q$5001,"&lt;&gt;")=0,"",SUMIFS(BD!$Q$3:$Q$5001,BD!$A$3:$A$5001,W$3,BD!$B$3:$B$5001,$A$437)))</f>
        <v/>
      </c>
      <c r="X451" s="254" t="str">
        <f>IF(X$3="","",IF(COUNTIFS(BD!$A$3:$A$5001,X$3,BD!$B$3:$B$5001,$A$437,BD!$Q$3:$Q$5001,"&lt;&gt;")=0,"",SUMIFS(BD!$Q$3:$Q$5001,BD!$A$3:$A$5001,X$3,BD!$B$3:$B$5001,$A$437)))</f>
        <v/>
      </c>
      <c r="Y451" s="254" t="str">
        <f>IF(Y$3="","",IF(COUNTIFS(BD!$A$3:$A$5001,Y$3,BD!$B$3:$B$5001,$A$437,BD!$Q$3:$Q$5001,"&lt;&gt;")=0,"",SUMIFS(BD!$Q$3:$Q$5001,BD!$A$3:$A$5001,Y$3,BD!$B$3:$B$5001,$A$437)))</f>
        <v/>
      </c>
      <c r="Z451" s="254" t="str">
        <f>IF(Z$3="","",IF(COUNTIFS(BD!$A$3:$A$5001,Z$3,BD!$B$3:$B$5001,$A$437,BD!$Q$3:$Q$5001,"&lt;&gt;")=0,"",SUMIFS(BD!$Q$3:$Q$5001,BD!$A$3:$A$5001,Z$3,BD!$B$3:$B$5001,$A$437)))</f>
        <v/>
      </c>
      <c r="AA451" s="254" t="str">
        <f>IF(AA$3="","",IF(COUNTIFS(BD!$A$3:$A$5001,AA$3,BD!$B$3:$B$5001,$A$437,BD!$Q$3:$Q$5001,"&lt;&gt;")=0,"",SUMIFS(BD!$Q$3:$Q$5001,BD!$A$3:$A$5001,AA$3,BD!$B$3:$B$5001,$A$437)))</f>
        <v/>
      </c>
      <c r="AB451" s="254" t="str">
        <f>IF(AB$3="","",IF(COUNTIFS(BD!$A$3:$A$5001,AB$3,BD!$B$3:$B$5001,$A$437,BD!$Q$3:$Q$5001,"&lt;&gt;")=0,"",SUMIFS(BD!$Q$3:$Q$5001,BD!$A$3:$A$5001,AB$3,BD!$B$3:$B$5001,$A$437)))</f>
        <v/>
      </c>
      <c r="AC451" s="254" t="str">
        <f>IF(AC$3="","",IF(COUNTIFS(BD!$A$3:$A$5001,AC$3,BD!$B$3:$B$5001,$A$437,BD!$Q$3:$Q$5001,"&lt;&gt;")=0,"",SUMIFS(BD!$Q$3:$Q$5001,BD!$A$3:$A$5001,AC$3,BD!$B$3:$B$5001,$A$437)))</f>
        <v/>
      </c>
      <c r="AD451" s="254" t="str">
        <f>IF(AD$3="","",IF(COUNTIFS(BD!$A$3:$A$5001,AD$3,BD!$B$3:$B$5001,$A$437,BD!$Q$3:$Q$5001,"&lt;&gt;")=0,"",SUMIFS(BD!$Q$3:$Q$5001,BD!$A$3:$A$5001,AD$3,BD!$B$3:$B$5001,$A$437)))</f>
        <v/>
      </c>
      <c r="AE451" s="254" t="str">
        <f>IF(AE$3="","",IF(COUNTIFS(BD!$A$3:$A$5001,AE$3,BD!$B$3:$B$5001,$A$437,BD!$Q$3:$Q$5001,"&lt;&gt;")=0,"",SUMIFS(BD!$Q$3:$Q$5001,BD!$A$3:$A$5001,AE$3,BD!$B$3:$B$5001,$A$437)))</f>
        <v/>
      </c>
      <c r="AF451" s="254" t="str">
        <f>IF(AF$3="","",IF(COUNTIFS(BD!$A$3:$A$5001,AF$3,BD!$B$3:$B$5001,$A$437,BD!$Q$3:$Q$5001,"&lt;&gt;")=0,"",SUMIFS(BD!$Q$3:$Q$5001,BD!$A$3:$A$5001,AF$3,BD!$B$3:$B$5001,$A$437)))</f>
        <v/>
      </c>
      <c r="AG451" s="254" t="str">
        <f>IF(AG$3="","",IF(COUNTIFS(BD!$A$3:$A$5001,AG$3,BD!$B$3:$B$5001,$A$437,BD!$Q$3:$Q$5001,"&lt;&gt;")=0,"",SUMIFS(BD!$Q$3:$Q$5001,BD!$A$3:$A$5001,AG$3,BD!$B$3:$B$5001,$A$437)))</f>
        <v/>
      </c>
      <c r="AH451" s="254" t="str">
        <f>IF(AH$3="","",IF(COUNTIFS(BD!$A$3:$A$5001,AH$3,BD!$B$3:$B$5001,$A$437,BD!$Q$3:$Q$5001,"&lt;&gt;")=0,"",SUMIFS(BD!$Q$3:$Q$5001,BD!$A$3:$A$5001,AH$3,BD!$B$3:$B$5001,$A$437)))</f>
        <v/>
      </c>
      <c r="AI451" s="254" t="str">
        <f>IF(AI$3="","",IF(COUNTIFS(BD!$A$3:$A$5001,AI$3,BD!$B$3:$B$5001,$A$437,BD!$Q$3:$Q$5001,"&lt;&gt;")=0,"",SUMIFS(BD!$Q$3:$Q$5001,BD!$A$3:$A$5001,AI$3,BD!$B$3:$B$5001,$A$437)))</f>
        <v/>
      </c>
      <c r="AJ451" s="255" t="str">
        <f>IF(AJ$3="","",IF(COUNTIFS(BD!$A$3:$A$5001,AJ$3,BD!$B$3:$B$5001,$A$437,BD!$Q$3:$Q$5001,"&lt;&gt;")=0,"",SUMIFS(BD!$Q$3:$Q$5001,BD!$A$3:$A$5001,AJ$3,BD!$B$3:$B$5001,$A$437)))</f>
        <v/>
      </c>
      <c r="AK451" s="256" t="str">
        <f>IF(COUNT(F451:AJ451)=0,"",SUM(F451:AJ451))</f>
        <v/>
      </c>
    </row>
    <row r="452" ht="15.75" customHeight="1" hidden="1">
      <c r="A452" s="244"/>
      <c r="B452" s="261"/>
      <c r="C452" s="250" t="inlineStr">
        <is>
          <t xml:space="preserve">Pallets Movimentados</t>
        </is>
      </c>
      <c r="D452" s="251" t="str">
        <f>IFERROR(1/(1/INDEX(BD!$AJ$38:$BD$38,MATCH($A$437,BD!$AJ$22:$BD$22,0))),"")</f>
        <v/>
      </c>
      <c r="E452" s="252"/>
      <c r="F452" s="253" t="str">
        <f>IF(F$3="","",IF(COUNTIFS(BD!$A$3:$A$5001,F$3,BD!$B$3:$B$5001,$A$437,BD!$R$3:$R$5001,"&lt;&gt;")=0,"",SUMIFS(BD!$R$3:$R$5001,BD!$A$3:$A$5001,F$3,BD!$B$3:$B$5001,$A$437)))</f>
        <v/>
      </c>
      <c r="G452" s="254" t="str">
        <f>IF(G$3="","",IF(COUNTIFS(BD!$A$3:$A$5001,G$3,BD!$B$3:$B$5001,$A$437,BD!$R$3:$R$5001,"&lt;&gt;")=0,"",SUMIFS(BD!$R$3:$R$5001,BD!$A$3:$A$5001,G$3,BD!$B$3:$B$5001,$A$437)))</f>
        <v/>
      </c>
      <c r="H452" s="254" t="str">
        <f>IF(H$3="","",IF(COUNTIFS(BD!$A$3:$A$5001,H$3,BD!$B$3:$B$5001,$A$437,BD!$R$3:$R$5001,"&lt;&gt;")=0,"",SUMIFS(BD!$R$3:$R$5001,BD!$A$3:$A$5001,H$3,BD!$B$3:$B$5001,$A$437)))</f>
        <v/>
      </c>
      <c r="I452" s="254" t="str">
        <f>IF(I$3="","",IF(COUNTIFS(BD!$A$3:$A$5001,I$3,BD!$B$3:$B$5001,$A$437,BD!$R$3:$R$5001,"&lt;&gt;")=0,"",SUMIFS(BD!$R$3:$R$5001,BD!$A$3:$A$5001,I$3,BD!$B$3:$B$5001,$A$437)))</f>
        <v/>
      </c>
      <c r="J452" s="254" t="str">
        <f>IF(J$3="","",IF(COUNTIFS(BD!$A$3:$A$5001,J$3,BD!$B$3:$B$5001,$A$437,BD!$R$3:$R$5001,"&lt;&gt;")=0,"",SUMIFS(BD!$R$3:$R$5001,BD!$A$3:$A$5001,J$3,BD!$B$3:$B$5001,$A$437)))</f>
        <v/>
      </c>
      <c r="K452" s="254" t="str">
        <f>IF(K$3="","",IF(COUNTIFS(BD!$A$3:$A$5001,K$3,BD!$B$3:$B$5001,$A$437,BD!$R$3:$R$5001,"&lt;&gt;")=0,"",SUMIFS(BD!$R$3:$R$5001,BD!$A$3:$A$5001,K$3,BD!$B$3:$B$5001,$A$437)))</f>
        <v/>
      </c>
      <c r="L452" s="254" t="str">
        <f>IF(L$3="","",IF(COUNTIFS(BD!$A$3:$A$5001,L$3,BD!$B$3:$B$5001,$A$437,BD!$R$3:$R$5001,"&lt;&gt;")=0,"",SUMIFS(BD!$R$3:$R$5001,BD!$A$3:$A$5001,L$3,BD!$B$3:$B$5001,$A$437)))</f>
        <v/>
      </c>
      <c r="M452" s="254" t="str">
        <f>IF(M$3="","",IF(COUNTIFS(BD!$A$3:$A$5001,M$3,BD!$B$3:$B$5001,$A$437,BD!$R$3:$R$5001,"&lt;&gt;")=0,"",SUMIFS(BD!$R$3:$R$5001,BD!$A$3:$A$5001,M$3,BD!$B$3:$B$5001,$A$437)))</f>
        <v/>
      </c>
      <c r="N452" s="254" t="str">
        <f>IF(N$3="","",IF(COUNTIFS(BD!$A$3:$A$5001,N$3,BD!$B$3:$B$5001,$A$437,BD!$R$3:$R$5001,"&lt;&gt;")=0,"",SUMIFS(BD!$R$3:$R$5001,BD!$A$3:$A$5001,N$3,BD!$B$3:$B$5001,$A$437)))</f>
        <v/>
      </c>
      <c r="O452" s="254" t="str">
        <f>IF(O$3="","",IF(COUNTIFS(BD!$A$3:$A$5001,O$3,BD!$B$3:$B$5001,$A$437,BD!$R$3:$R$5001,"&lt;&gt;")=0,"",SUMIFS(BD!$R$3:$R$5001,BD!$A$3:$A$5001,O$3,BD!$B$3:$B$5001,$A$437)))</f>
        <v/>
      </c>
      <c r="P452" s="254" t="str">
        <f>IF(P$3="","",IF(COUNTIFS(BD!$A$3:$A$5001,P$3,BD!$B$3:$B$5001,$A$437,BD!$R$3:$R$5001,"&lt;&gt;")=0,"",SUMIFS(BD!$R$3:$R$5001,BD!$A$3:$A$5001,P$3,BD!$B$3:$B$5001,$A$437)))</f>
        <v/>
      </c>
      <c r="Q452" s="254" t="str">
        <f>IF(Q$3="","",IF(COUNTIFS(BD!$A$3:$A$5001,Q$3,BD!$B$3:$B$5001,$A$437,BD!$R$3:$R$5001,"&lt;&gt;")=0,"",SUMIFS(BD!$R$3:$R$5001,BD!$A$3:$A$5001,Q$3,BD!$B$3:$B$5001,$A$437)))</f>
        <v/>
      </c>
      <c r="R452" s="254" t="str">
        <f>IF(R$3="","",IF(COUNTIFS(BD!$A$3:$A$5001,R$3,BD!$B$3:$B$5001,$A$437,BD!$R$3:$R$5001,"&lt;&gt;")=0,"",SUMIFS(BD!$R$3:$R$5001,BD!$A$3:$A$5001,R$3,BD!$B$3:$B$5001,$A$437)))</f>
        <v/>
      </c>
      <c r="S452" s="254" t="str">
        <f>IF(S$3="","",IF(COUNTIFS(BD!$A$3:$A$5001,S$3,BD!$B$3:$B$5001,$A$437,BD!$R$3:$R$5001,"&lt;&gt;")=0,"",SUMIFS(BD!$R$3:$R$5001,BD!$A$3:$A$5001,S$3,BD!$B$3:$B$5001,$A$437)))</f>
        <v/>
      </c>
      <c r="T452" s="254" t="str">
        <f>IF(T$3="","",IF(COUNTIFS(BD!$A$3:$A$5001,T$3,BD!$B$3:$B$5001,$A$437,BD!$R$3:$R$5001,"&lt;&gt;")=0,"",SUMIFS(BD!$R$3:$R$5001,BD!$A$3:$A$5001,T$3,BD!$B$3:$B$5001,$A$437)))</f>
        <v/>
      </c>
      <c r="U452" s="254" t="str">
        <f>IF(U$3="","",IF(COUNTIFS(BD!$A$3:$A$5001,U$3,BD!$B$3:$B$5001,$A$437,BD!$R$3:$R$5001,"&lt;&gt;")=0,"",SUMIFS(BD!$R$3:$R$5001,BD!$A$3:$A$5001,U$3,BD!$B$3:$B$5001,$A$437)))</f>
        <v/>
      </c>
      <c r="V452" s="254" t="str">
        <f>IF(V$3="","",IF(COUNTIFS(BD!$A$3:$A$5001,V$3,BD!$B$3:$B$5001,$A$437,BD!$R$3:$R$5001,"&lt;&gt;")=0,"",SUMIFS(BD!$R$3:$R$5001,BD!$A$3:$A$5001,V$3,BD!$B$3:$B$5001,$A$437)))</f>
        <v/>
      </c>
      <c r="W452" s="254" t="str">
        <f>IF(W$3="","",IF(COUNTIFS(BD!$A$3:$A$5001,W$3,BD!$B$3:$B$5001,$A$437,BD!$R$3:$R$5001,"&lt;&gt;")=0,"",SUMIFS(BD!$R$3:$R$5001,BD!$A$3:$A$5001,W$3,BD!$B$3:$B$5001,$A$437)))</f>
        <v/>
      </c>
      <c r="X452" s="254" t="str">
        <f>IF(X$3="","",IF(COUNTIFS(BD!$A$3:$A$5001,X$3,BD!$B$3:$B$5001,$A$437,BD!$R$3:$R$5001,"&lt;&gt;")=0,"",SUMIFS(BD!$R$3:$R$5001,BD!$A$3:$A$5001,X$3,BD!$B$3:$B$5001,$A$437)))</f>
        <v/>
      </c>
      <c r="Y452" s="254" t="str">
        <f>IF(Y$3="","",IF(COUNTIFS(BD!$A$3:$A$5001,Y$3,BD!$B$3:$B$5001,$A$437,BD!$R$3:$R$5001,"&lt;&gt;")=0,"",SUMIFS(BD!$R$3:$R$5001,BD!$A$3:$A$5001,Y$3,BD!$B$3:$B$5001,$A$437)))</f>
        <v/>
      </c>
      <c r="Z452" s="254" t="str">
        <f>IF(Z$3="","",IF(COUNTIFS(BD!$A$3:$A$5001,Z$3,BD!$B$3:$B$5001,$A$437,BD!$R$3:$R$5001,"&lt;&gt;")=0,"",SUMIFS(BD!$R$3:$R$5001,BD!$A$3:$A$5001,Z$3,BD!$B$3:$B$5001,$A$437)))</f>
        <v/>
      </c>
      <c r="AA452" s="254" t="str">
        <f>IF(AA$3="","",IF(COUNTIFS(BD!$A$3:$A$5001,AA$3,BD!$B$3:$B$5001,$A$437,BD!$R$3:$R$5001,"&lt;&gt;")=0,"",SUMIFS(BD!$R$3:$R$5001,BD!$A$3:$A$5001,AA$3,BD!$B$3:$B$5001,$A$437)))</f>
        <v/>
      </c>
      <c r="AB452" s="254" t="str">
        <f>IF(AB$3="","",IF(COUNTIFS(BD!$A$3:$A$5001,AB$3,BD!$B$3:$B$5001,$A$437,BD!$R$3:$R$5001,"&lt;&gt;")=0,"",SUMIFS(BD!$R$3:$R$5001,BD!$A$3:$A$5001,AB$3,BD!$B$3:$B$5001,$A$437)))</f>
        <v/>
      </c>
      <c r="AC452" s="254" t="str">
        <f>IF(AC$3="","",IF(COUNTIFS(BD!$A$3:$A$5001,AC$3,BD!$B$3:$B$5001,$A$437,BD!$R$3:$R$5001,"&lt;&gt;")=0,"",SUMIFS(BD!$R$3:$R$5001,BD!$A$3:$A$5001,AC$3,BD!$B$3:$B$5001,$A$437)))</f>
        <v/>
      </c>
      <c r="AD452" s="254" t="str">
        <f>IF(AD$3="","",IF(COUNTIFS(BD!$A$3:$A$5001,AD$3,BD!$B$3:$B$5001,$A$437,BD!$R$3:$R$5001,"&lt;&gt;")=0,"",SUMIFS(BD!$R$3:$R$5001,BD!$A$3:$A$5001,AD$3,BD!$B$3:$B$5001,$A$437)))</f>
        <v/>
      </c>
      <c r="AE452" s="254" t="str">
        <f>IF(AE$3="","",IF(COUNTIFS(BD!$A$3:$A$5001,AE$3,BD!$B$3:$B$5001,$A$437,BD!$R$3:$R$5001,"&lt;&gt;")=0,"",SUMIFS(BD!$R$3:$R$5001,BD!$A$3:$A$5001,AE$3,BD!$B$3:$B$5001,$A$437)))</f>
        <v/>
      </c>
      <c r="AF452" s="254" t="str">
        <f>IF(AF$3="","",IF(COUNTIFS(BD!$A$3:$A$5001,AF$3,BD!$B$3:$B$5001,$A$437,BD!$R$3:$R$5001,"&lt;&gt;")=0,"",SUMIFS(BD!$R$3:$R$5001,BD!$A$3:$A$5001,AF$3,BD!$B$3:$B$5001,$A$437)))</f>
        <v/>
      </c>
      <c r="AG452" s="254" t="str">
        <f>IF(AG$3="","",IF(COUNTIFS(BD!$A$3:$A$5001,AG$3,BD!$B$3:$B$5001,$A$437,BD!$R$3:$R$5001,"&lt;&gt;")=0,"",SUMIFS(BD!$R$3:$R$5001,BD!$A$3:$A$5001,AG$3,BD!$B$3:$B$5001,$A$437)))</f>
        <v/>
      </c>
      <c r="AH452" s="254" t="str">
        <f>IF(AH$3="","",IF(COUNTIFS(BD!$A$3:$A$5001,AH$3,BD!$B$3:$B$5001,$A$437,BD!$R$3:$R$5001,"&lt;&gt;")=0,"",SUMIFS(BD!$R$3:$R$5001,BD!$A$3:$A$5001,AH$3,BD!$B$3:$B$5001,$A$437)))</f>
        <v/>
      </c>
      <c r="AI452" s="254" t="str">
        <f>IF(AI$3="","",IF(COUNTIFS(BD!$A$3:$A$5001,AI$3,BD!$B$3:$B$5001,$A$437,BD!$R$3:$R$5001,"&lt;&gt;")=0,"",SUMIFS(BD!$R$3:$R$5001,BD!$A$3:$A$5001,AI$3,BD!$B$3:$B$5001,$A$437)))</f>
        <v/>
      </c>
      <c r="AJ452" s="255" t="str">
        <f>IF(AJ$3="","",IF(COUNTIFS(BD!$A$3:$A$5001,AJ$3,BD!$B$3:$B$5001,$A$437,BD!$R$3:$R$5001,"&lt;&gt;")=0,"",SUMIFS(BD!$R$3:$R$5001,BD!$A$3:$A$5001,AJ$3,BD!$B$3:$B$5001,$A$437)))</f>
        <v/>
      </c>
      <c r="AK452" s="256" t="str">
        <f>IF(COUNT(F452:AJ452)=0,"",SUM(F452:AJ452))</f>
        <v/>
      </c>
    </row>
    <row r="453" ht="15.75" customHeight="1" hidden="1">
      <c r="A453" s="244"/>
      <c r="B453" s="235"/>
      <c r="C453" s="175" t="inlineStr">
        <is>
          <t xml:space="preserve">Toneladas Movimentadas</t>
        </is>
      </c>
      <c r="D453" s="176" t="str">
        <f>IFERROR(1/(1/INDEX(BD!$AJ$39:$BD$39,MATCH($A$437,BD!$AJ$22:$BD$22,0))),"")</f>
        <v/>
      </c>
      <c r="E453" s="177"/>
      <c r="F453" s="257" t="str">
        <f>IF(F$3="","",IF(COUNTIFS(BD!$A$3:$A$5001,F$3,BD!$B$3:$B$5001,$A$437,BD!$S$3:$S$5001,"&lt;&gt;")=0,"",SUMIFS(BD!$S$3:$S$5001,BD!$A$3:$A$5001,F$3,BD!$B$3:$B$5001,$A$437)))</f>
        <v/>
      </c>
      <c r="G453" s="258" t="str">
        <f>IF(G$3="","",IF(COUNTIFS(BD!$A$3:$A$5001,G$3,BD!$B$3:$B$5001,$A$437,BD!$S$3:$S$5001,"&lt;&gt;")=0,"",SUMIFS(BD!$S$3:$S$5001,BD!$A$3:$A$5001,G$3,BD!$B$3:$B$5001,$A$437)))</f>
        <v/>
      </c>
      <c r="H453" s="258" t="str">
        <f>IF(H$3="","",IF(COUNTIFS(BD!$A$3:$A$5001,H$3,BD!$B$3:$B$5001,$A$437,BD!$S$3:$S$5001,"&lt;&gt;")=0,"",SUMIFS(BD!$S$3:$S$5001,BD!$A$3:$A$5001,H$3,BD!$B$3:$B$5001,$A$437)))</f>
        <v/>
      </c>
      <c r="I453" s="258" t="str">
        <f>IF(I$3="","",IF(COUNTIFS(BD!$A$3:$A$5001,I$3,BD!$B$3:$B$5001,$A$437,BD!$S$3:$S$5001,"&lt;&gt;")=0,"",SUMIFS(BD!$S$3:$S$5001,BD!$A$3:$A$5001,I$3,BD!$B$3:$B$5001,$A$437)))</f>
        <v/>
      </c>
      <c r="J453" s="258" t="str">
        <f>IF(J$3="","",IF(COUNTIFS(BD!$A$3:$A$5001,J$3,BD!$B$3:$B$5001,$A$437,BD!$S$3:$S$5001,"&lt;&gt;")=0,"",SUMIFS(BD!$S$3:$S$5001,BD!$A$3:$A$5001,J$3,BD!$B$3:$B$5001,$A$437)))</f>
        <v/>
      </c>
      <c r="K453" s="258" t="str">
        <f>IF(K$3="","",IF(COUNTIFS(BD!$A$3:$A$5001,K$3,BD!$B$3:$B$5001,$A$437,BD!$S$3:$S$5001,"&lt;&gt;")=0,"",SUMIFS(BD!$S$3:$S$5001,BD!$A$3:$A$5001,K$3,BD!$B$3:$B$5001,$A$437)))</f>
        <v/>
      </c>
      <c r="L453" s="258" t="str">
        <f>IF(L$3="","",IF(COUNTIFS(BD!$A$3:$A$5001,L$3,BD!$B$3:$B$5001,$A$437,BD!$S$3:$S$5001,"&lt;&gt;")=0,"",SUMIFS(BD!$S$3:$S$5001,BD!$A$3:$A$5001,L$3,BD!$B$3:$B$5001,$A$437)))</f>
        <v/>
      </c>
      <c r="M453" s="258" t="str">
        <f>IF(M$3="","",IF(COUNTIFS(BD!$A$3:$A$5001,M$3,BD!$B$3:$B$5001,$A$437,BD!$S$3:$S$5001,"&lt;&gt;")=0,"",SUMIFS(BD!$S$3:$S$5001,BD!$A$3:$A$5001,M$3,BD!$B$3:$B$5001,$A$437)))</f>
        <v/>
      </c>
      <c r="N453" s="258" t="str">
        <f>IF(N$3="","",IF(COUNTIFS(BD!$A$3:$A$5001,N$3,BD!$B$3:$B$5001,$A$437,BD!$S$3:$S$5001,"&lt;&gt;")=0,"",SUMIFS(BD!$S$3:$S$5001,BD!$A$3:$A$5001,N$3,BD!$B$3:$B$5001,$A$437)))</f>
        <v/>
      </c>
      <c r="O453" s="258" t="str">
        <f>IF(O$3="","",IF(COUNTIFS(BD!$A$3:$A$5001,O$3,BD!$B$3:$B$5001,$A$437,BD!$S$3:$S$5001,"&lt;&gt;")=0,"",SUMIFS(BD!$S$3:$S$5001,BD!$A$3:$A$5001,O$3,BD!$B$3:$B$5001,$A$437)))</f>
        <v/>
      </c>
      <c r="P453" s="258" t="str">
        <f>IF(P$3="","",IF(COUNTIFS(BD!$A$3:$A$5001,P$3,BD!$B$3:$B$5001,$A$437,BD!$S$3:$S$5001,"&lt;&gt;")=0,"",SUMIFS(BD!$S$3:$S$5001,BD!$A$3:$A$5001,P$3,BD!$B$3:$B$5001,$A$437)))</f>
        <v/>
      </c>
      <c r="Q453" s="258" t="str">
        <f>IF(Q$3="","",IF(COUNTIFS(BD!$A$3:$A$5001,Q$3,BD!$B$3:$B$5001,$A$437,BD!$S$3:$S$5001,"&lt;&gt;")=0,"",SUMIFS(BD!$S$3:$S$5001,BD!$A$3:$A$5001,Q$3,BD!$B$3:$B$5001,$A$437)))</f>
        <v/>
      </c>
      <c r="R453" s="258" t="str">
        <f>IF(R$3="","",IF(COUNTIFS(BD!$A$3:$A$5001,R$3,BD!$B$3:$B$5001,$A$437,BD!$S$3:$S$5001,"&lt;&gt;")=0,"",SUMIFS(BD!$S$3:$S$5001,BD!$A$3:$A$5001,R$3,BD!$B$3:$B$5001,$A$437)))</f>
        <v/>
      </c>
      <c r="S453" s="258" t="str">
        <f>IF(S$3="","",IF(COUNTIFS(BD!$A$3:$A$5001,S$3,BD!$B$3:$B$5001,$A$437,BD!$S$3:$S$5001,"&lt;&gt;")=0,"",SUMIFS(BD!$S$3:$S$5001,BD!$A$3:$A$5001,S$3,BD!$B$3:$B$5001,$A$437)))</f>
        <v/>
      </c>
      <c r="T453" s="258" t="str">
        <f>IF(T$3="","",IF(COUNTIFS(BD!$A$3:$A$5001,T$3,BD!$B$3:$B$5001,$A$437,BD!$S$3:$S$5001,"&lt;&gt;")=0,"",SUMIFS(BD!$S$3:$S$5001,BD!$A$3:$A$5001,T$3,BD!$B$3:$B$5001,$A$437)))</f>
        <v/>
      </c>
      <c r="U453" s="258" t="str">
        <f>IF(U$3="","",IF(COUNTIFS(BD!$A$3:$A$5001,U$3,BD!$B$3:$B$5001,$A$437,BD!$S$3:$S$5001,"&lt;&gt;")=0,"",SUMIFS(BD!$S$3:$S$5001,BD!$A$3:$A$5001,U$3,BD!$B$3:$B$5001,$A$437)))</f>
        <v/>
      </c>
      <c r="V453" s="258" t="str">
        <f>IF(V$3="","",IF(COUNTIFS(BD!$A$3:$A$5001,V$3,BD!$B$3:$B$5001,$A$437,BD!$S$3:$S$5001,"&lt;&gt;")=0,"",SUMIFS(BD!$S$3:$S$5001,BD!$A$3:$A$5001,V$3,BD!$B$3:$B$5001,$A$437)))</f>
        <v/>
      </c>
      <c r="W453" s="258" t="str">
        <f>IF(W$3="","",IF(COUNTIFS(BD!$A$3:$A$5001,W$3,BD!$B$3:$B$5001,$A$437,BD!$S$3:$S$5001,"&lt;&gt;")=0,"",SUMIFS(BD!$S$3:$S$5001,BD!$A$3:$A$5001,W$3,BD!$B$3:$B$5001,$A$437)))</f>
        <v/>
      </c>
      <c r="X453" s="258" t="str">
        <f>IF(X$3="","",IF(COUNTIFS(BD!$A$3:$A$5001,X$3,BD!$B$3:$B$5001,$A$437,BD!$S$3:$S$5001,"&lt;&gt;")=0,"",SUMIFS(BD!$S$3:$S$5001,BD!$A$3:$A$5001,X$3,BD!$B$3:$B$5001,$A$437)))</f>
        <v/>
      </c>
      <c r="Y453" s="258" t="str">
        <f>IF(Y$3="","",IF(COUNTIFS(BD!$A$3:$A$5001,Y$3,BD!$B$3:$B$5001,$A$437,BD!$S$3:$S$5001,"&lt;&gt;")=0,"",SUMIFS(BD!$S$3:$S$5001,BD!$A$3:$A$5001,Y$3,BD!$B$3:$B$5001,$A$437)))</f>
        <v/>
      </c>
      <c r="Z453" s="258" t="str">
        <f>IF(Z$3="","",IF(COUNTIFS(BD!$A$3:$A$5001,Z$3,BD!$B$3:$B$5001,$A$437,BD!$S$3:$S$5001,"&lt;&gt;")=0,"",SUMIFS(BD!$S$3:$S$5001,BD!$A$3:$A$5001,Z$3,BD!$B$3:$B$5001,$A$437)))</f>
        <v/>
      </c>
      <c r="AA453" s="258" t="str">
        <f>IF(AA$3="","",IF(COUNTIFS(BD!$A$3:$A$5001,AA$3,BD!$B$3:$B$5001,$A$437,BD!$S$3:$S$5001,"&lt;&gt;")=0,"",SUMIFS(BD!$S$3:$S$5001,BD!$A$3:$A$5001,AA$3,BD!$B$3:$B$5001,$A$437)))</f>
        <v/>
      </c>
      <c r="AB453" s="258" t="str">
        <f>IF(AB$3="","",IF(COUNTIFS(BD!$A$3:$A$5001,AB$3,BD!$B$3:$B$5001,$A$437,BD!$S$3:$S$5001,"&lt;&gt;")=0,"",SUMIFS(BD!$S$3:$S$5001,BD!$A$3:$A$5001,AB$3,BD!$B$3:$B$5001,$A$437)))</f>
        <v/>
      </c>
      <c r="AC453" s="258" t="str">
        <f>IF(AC$3="","",IF(COUNTIFS(BD!$A$3:$A$5001,AC$3,BD!$B$3:$B$5001,$A$437,BD!$S$3:$S$5001,"&lt;&gt;")=0,"",SUMIFS(BD!$S$3:$S$5001,BD!$A$3:$A$5001,AC$3,BD!$B$3:$B$5001,$A$437)))</f>
        <v/>
      </c>
      <c r="AD453" s="258" t="str">
        <f>IF(AD$3="","",IF(COUNTIFS(BD!$A$3:$A$5001,AD$3,BD!$B$3:$B$5001,$A$437,BD!$S$3:$S$5001,"&lt;&gt;")=0,"",SUMIFS(BD!$S$3:$S$5001,BD!$A$3:$A$5001,AD$3,BD!$B$3:$B$5001,$A$437)))</f>
        <v/>
      </c>
      <c r="AE453" s="258" t="str">
        <f>IF(AE$3="","",IF(COUNTIFS(BD!$A$3:$A$5001,AE$3,BD!$B$3:$B$5001,$A$437,BD!$S$3:$S$5001,"&lt;&gt;")=0,"",SUMIFS(BD!$S$3:$S$5001,BD!$A$3:$A$5001,AE$3,BD!$B$3:$B$5001,$A$437)))</f>
        <v/>
      </c>
      <c r="AF453" s="258" t="str">
        <f>IF(AF$3="","",IF(COUNTIFS(BD!$A$3:$A$5001,AF$3,BD!$B$3:$B$5001,$A$437,BD!$S$3:$S$5001,"&lt;&gt;")=0,"",SUMIFS(BD!$S$3:$S$5001,BD!$A$3:$A$5001,AF$3,BD!$B$3:$B$5001,$A$437)))</f>
        <v/>
      </c>
      <c r="AG453" s="258" t="str">
        <f>IF(AG$3="","",IF(COUNTIFS(BD!$A$3:$A$5001,AG$3,BD!$B$3:$B$5001,$A$437,BD!$S$3:$S$5001,"&lt;&gt;")=0,"",SUMIFS(BD!$S$3:$S$5001,BD!$A$3:$A$5001,AG$3,BD!$B$3:$B$5001,$A$437)))</f>
        <v/>
      </c>
      <c r="AH453" s="258" t="str">
        <f>IF(AH$3="","",IF(COUNTIFS(BD!$A$3:$A$5001,AH$3,BD!$B$3:$B$5001,$A$437,BD!$S$3:$S$5001,"&lt;&gt;")=0,"",SUMIFS(BD!$S$3:$S$5001,BD!$A$3:$A$5001,AH$3,BD!$B$3:$B$5001,$A$437)))</f>
        <v/>
      </c>
      <c r="AI453" s="258" t="str">
        <f>IF(AI$3="","",IF(COUNTIFS(BD!$A$3:$A$5001,AI$3,BD!$B$3:$B$5001,$A$437,BD!$S$3:$S$5001,"&lt;&gt;")=0,"",SUMIFS(BD!$S$3:$S$5001,BD!$A$3:$A$5001,AI$3,BD!$B$3:$B$5001,$A$437)))</f>
        <v/>
      </c>
      <c r="AJ453" s="259" t="str">
        <f>IF(AJ$3="","",IF(COUNTIFS(BD!$A$3:$A$5001,AJ$3,BD!$B$3:$B$5001,$A$437,BD!$S$3:$S$5001,"&lt;&gt;")=0,"",SUMIFS(BD!$S$3:$S$5001,BD!$A$3:$A$5001,AJ$3,BD!$B$3:$B$5001,$A$437)))</f>
        <v/>
      </c>
      <c r="AK453" s="260" t="str">
        <f>IF(COUNT(F453:AJ453)=0,"",SUM(F453:AJ453))</f>
        <v/>
      </c>
    </row>
    <row r="454" ht="15.75" customHeight="1" hidden="1">
      <c r="A454" s="244"/>
      <c r="B454" s="236" t="inlineStr">
        <is>
          <t xml:space="preserve">NC</t>
        </is>
      </c>
      <c r="C454" s="181" t="inlineStr">
        <is>
          <t xml:space="preserve">Incidentes</t>
        </is>
      </c>
      <c r="D454" s="182" t="str">
        <f>IFERROR(1/(1/INDEX(BD!$AJ$40:$BD$40,MATCH($A$437,BD!$AJ$22:$BD$22,0))),"")</f>
        <v/>
      </c>
      <c r="E454" s="183"/>
      <c r="F454" s="184" t="str">
        <f>IF(F$3="","",IF(COUNTIFS(BD!$A$3:$A$5001,F$3,BD!$B$3:$B$5001,$A$437,BD!$T$3:$T$5001,"&lt;&gt;")=0,"",SUMIFS(BD!$T$3:$T$5001,BD!$A$3:$A$5001,F$3,BD!$B$3:$B$5001,$A$437)))</f>
        <v/>
      </c>
      <c r="G454" s="185" t="str">
        <f>IF(G$3="","",IF(COUNTIFS(BD!$A$3:$A$5001,G$3,BD!$B$3:$B$5001,$A$437,BD!$T$3:$T$5001,"&lt;&gt;")=0,"",SUMIFS(BD!$T$3:$T$5001,BD!$A$3:$A$5001,G$3,BD!$B$3:$B$5001,$A$437)))</f>
        <v/>
      </c>
      <c r="H454" s="185" t="str">
        <f>IF(H$3="","",IF(COUNTIFS(BD!$A$3:$A$5001,H$3,BD!$B$3:$B$5001,$A$437,BD!$T$3:$T$5001,"&lt;&gt;")=0,"",SUMIFS(BD!$T$3:$T$5001,BD!$A$3:$A$5001,H$3,BD!$B$3:$B$5001,$A$437)))</f>
        <v/>
      </c>
      <c r="I454" s="185" t="str">
        <f>IF(I$3="","",IF(COUNTIFS(BD!$A$3:$A$5001,I$3,BD!$B$3:$B$5001,$A$437,BD!$T$3:$T$5001,"&lt;&gt;")=0,"",SUMIFS(BD!$T$3:$T$5001,BD!$A$3:$A$5001,I$3,BD!$B$3:$B$5001,$A$437)))</f>
        <v/>
      </c>
      <c r="J454" s="185" t="str">
        <f>IF(J$3="","",IF(COUNTIFS(BD!$A$3:$A$5001,J$3,BD!$B$3:$B$5001,$A$437,BD!$T$3:$T$5001,"&lt;&gt;")=0,"",SUMIFS(BD!$T$3:$T$5001,BD!$A$3:$A$5001,J$3,BD!$B$3:$B$5001,$A$437)))</f>
        <v/>
      </c>
      <c r="K454" s="185" t="str">
        <f>IF(K$3="","",IF(COUNTIFS(BD!$A$3:$A$5001,K$3,BD!$B$3:$B$5001,$A$437,BD!$T$3:$T$5001,"&lt;&gt;")=0,"",SUMIFS(BD!$T$3:$T$5001,BD!$A$3:$A$5001,K$3,BD!$B$3:$B$5001,$A$437)))</f>
        <v/>
      </c>
      <c r="L454" s="185" t="str">
        <f>IF(L$3="","",IF(COUNTIFS(BD!$A$3:$A$5001,L$3,BD!$B$3:$B$5001,$A$437,BD!$T$3:$T$5001,"&lt;&gt;")=0,"",SUMIFS(BD!$T$3:$T$5001,BD!$A$3:$A$5001,L$3,BD!$B$3:$B$5001,$A$437)))</f>
        <v/>
      </c>
      <c r="M454" s="185" t="str">
        <f>IF(M$3="","",IF(COUNTIFS(BD!$A$3:$A$5001,M$3,BD!$B$3:$B$5001,$A$437,BD!$T$3:$T$5001,"&lt;&gt;")=0,"",SUMIFS(BD!$T$3:$T$5001,BD!$A$3:$A$5001,M$3,BD!$B$3:$B$5001,$A$437)))</f>
        <v/>
      </c>
      <c r="N454" s="185" t="str">
        <f>IF(N$3="","",IF(COUNTIFS(BD!$A$3:$A$5001,N$3,BD!$B$3:$B$5001,$A$437,BD!$T$3:$T$5001,"&lt;&gt;")=0,"",SUMIFS(BD!$T$3:$T$5001,BD!$A$3:$A$5001,N$3,BD!$B$3:$B$5001,$A$437)))</f>
        <v/>
      </c>
      <c r="O454" s="185" t="str">
        <f>IF(O$3="","",IF(COUNTIFS(BD!$A$3:$A$5001,O$3,BD!$B$3:$B$5001,$A$437,BD!$T$3:$T$5001,"&lt;&gt;")=0,"",SUMIFS(BD!$T$3:$T$5001,BD!$A$3:$A$5001,O$3,BD!$B$3:$B$5001,$A$437)))</f>
        <v/>
      </c>
      <c r="P454" s="185" t="str">
        <f>IF(P$3="","",IF(COUNTIFS(BD!$A$3:$A$5001,P$3,BD!$B$3:$B$5001,$A$437,BD!$T$3:$T$5001,"&lt;&gt;")=0,"",SUMIFS(BD!$T$3:$T$5001,BD!$A$3:$A$5001,P$3,BD!$B$3:$B$5001,$A$437)))</f>
        <v/>
      </c>
      <c r="Q454" s="185" t="str">
        <f>IF(Q$3="","",IF(COUNTIFS(BD!$A$3:$A$5001,Q$3,BD!$B$3:$B$5001,$A$437,BD!$T$3:$T$5001,"&lt;&gt;")=0,"",SUMIFS(BD!$T$3:$T$5001,BD!$A$3:$A$5001,Q$3,BD!$B$3:$B$5001,$A$437)))</f>
        <v/>
      </c>
      <c r="R454" s="185" t="str">
        <f>IF(R$3="","",IF(COUNTIFS(BD!$A$3:$A$5001,R$3,BD!$B$3:$B$5001,$A$437,BD!$T$3:$T$5001,"&lt;&gt;")=0,"",SUMIFS(BD!$T$3:$T$5001,BD!$A$3:$A$5001,R$3,BD!$B$3:$B$5001,$A$437)))</f>
        <v/>
      </c>
      <c r="S454" s="185" t="str">
        <f>IF(S$3="","",IF(COUNTIFS(BD!$A$3:$A$5001,S$3,BD!$B$3:$B$5001,$A$437,BD!$T$3:$T$5001,"&lt;&gt;")=0,"",SUMIFS(BD!$T$3:$T$5001,BD!$A$3:$A$5001,S$3,BD!$B$3:$B$5001,$A$437)))</f>
        <v/>
      </c>
      <c r="T454" s="185" t="str">
        <f>IF(T$3="","",IF(COUNTIFS(BD!$A$3:$A$5001,T$3,BD!$B$3:$B$5001,$A$437,BD!$T$3:$T$5001,"&lt;&gt;")=0,"",SUMIFS(BD!$T$3:$T$5001,BD!$A$3:$A$5001,T$3,BD!$B$3:$B$5001,$A$437)))</f>
        <v/>
      </c>
      <c r="U454" s="185" t="str">
        <f>IF(U$3="","",IF(COUNTIFS(BD!$A$3:$A$5001,U$3,BD!$B$3:$B$5001,$A$437,BD!$T$3:$T$5001,"&lt;&gt;")=0,"",SUMIFS(BD!$T$3:$T$5001,BD!$A$3:$A$5001,U$3,BD!$B$3:$B$5001,$A$437)))</f>
        <v/>
      </c>
      <c r="V454" s="185" t="str">
        <f>IF(V$3="","",IF(COUNTIFS(BD!$A$3:$A$5001,V$3,BD!$B$3:$B$5001,$A$437,BD!$T$3:$T$5001,"&lt;&gt;")=0,"",SUMIFS(BD!$T$3:$T$5001,BD!$A$3:$A$5001,V$3,BD!$B$3:$B$5001,$A$437)))</f>
        <v/>
      </c>
      <c r="W454" s="185" t="str">
        <f>IF(W$3="","",IF(COUNTIFS(BD!$A$3:$A$5001,W$3,BD!$B$3:$B$5001,$A$437,BD!$T$3:$T$5001,"&lt;&gt;")=0,"",SUMIFS(BD!$T$3:$T$5001,BD!$A$3:$A$5001,W$3,BD!$B$3:$B$5001,$A$437)))</f>
        <v/>
      </c>
      <c r="X454" s="185" t="str">
        <f>IF(X$3="","",IF(COUNTIFS(BD!$A$3:$A$5001,X$3,BD!$B$3:$B$5001,$A$437,BD!$T$3:$T$5001,"&lt;&gt;")=0,"",SUMIFS(BD!$T$3:$T$5001,BD!$A$3:$A$5001,X$3,BD!$B$3:$B$5001,$A$437)))</f>
        <v/>
      </c>
      <c r="Y454" s="185" t="str">
        <f>IF(Y$3="","",IF(COUNTIFS(BD!$A$3:$A$5001,Y$3,BD!$B$3:$B$5001,$A$437,BD!$T$3:$T$5001,"&lt;&gt;")=0,"",SUMIFS(BD!$T$3:$T$5001,BD!$A$3:$A$5001,Y$3,BD!$B$3:$B$5001,$A$437)))</f>
        <v/>
      </c>
      <c r="Z454" s="185" t="str">
        <f>IF(Z$3="","",IF(COUNTIFS(BD!$A$3:$A$5001,Z$3,BD!$B$3:$B$5001,$A$437,BD!$T$3:$T$5001,"&lt;&gt;")=0,"",SUMIFS(BD!$T$3:$T$5001,BD!$A$3:$A$5001,Z$3,BD!$B$3:$B$5001,$A$437)))</f>
        <v/>
      </c>
      <c r="AA454" s="185" t="str">
        <f>IF(AA$3="","",IF(COUNTIFS(BD!$A$3:$A$5001,AA$3,BD!$B$3:$B$5001,$A$437,BD!$T$3:$T$5001,"&lt;&gt;")=0,"",SUMIFS(BD!$T$3:$T$5001,BD!$A$3:$A$5001,AA$3,BD!$B$3:$B$5001,$A$437)))</f>
        <v/>
      </c>
      <c r="AB454" s="185" t="str">
        <f>IF(AB$3="","",IF(COUNTIFS(BD!$A$3:$A$5001,AB$3,BD!$B$3:$B$5001,$A$437,BD!$T$3:$T$5001,"&lt;&gt;")=0,"",SUMIFS(BD!$T$3:$T$5001,BD!$A$3:$A$5001,AB$3,BD!$B$3:$B$5001,$A$437)))</f>
        <v/>
      </c>
      <c r="AC454" s="185" t="str">
        <f>IF(AC$3="","",IF(COUNTIFS(BD!$A$3:$A$5001,AC$3,BD!$B$3:$B$5001,$A$437,BD!$T$3:$T$5001,"&lt;&gt;")=0,"",SUMIFS(BD!$T$3:$T$5001,BD!$A$3:$A$5001,AC$3,BD!$B$3:$B$5001,$A$437)))</f>
        <v/>
      </c>
      <c r="AD454" s="185" t="str">
        <f>IF(AD$3="","",IF(COUNTIFS(BD!$A$3:$A$5001,AD$3,BD!$B$3:$B$5001,$A$437,BD!$T$3:$T$5001,"&lt;&gt;")=0,"",SUMIFS(BD!$T$3:$T$5001,BD!$A$3:$A$5001,AD$3,BD!$B$3:$B$5001,$A$437)))</f>
        <v/>
      </c>
      <c r="AE454" s="185" t="str">
        <f>IF(AE$3="","",IF(COUNTIFS(BD!$A$3:$A$5001,AE$3,BD!$B$3:$B$5001,$A$437,BD!$T$3:$T$5001,"&lt;&gt;")=0,"",SUMIFS(BD!$T$3:$T$5001,BD!$A$3:$A$5001,AE$3,BD!$B$3:$B$5001,$A$437)))</f>
        <v/>
      </c>
      <c r="AF454" s="185" t="str">
        <f>IF(AF$3="","",IF(COUNTIFS(BD!$A$3:$A$5001,AF$3,BD!$B$3:$B$5001,$A$437,BD!$T$3:$T$5001,"&lt;&gt;")=0,"",SUMIFS(BD!$T$3:$T$5001,BD!$A$3:$A$5001,AF$3,BD!$B$3:$B$5001,$A$437)))</f>
        <v/>
      </c>
      <c r="AG454" s="185" t="str">
        <f>IF(AG$3="","",IF(COUNTIFS(BD!$A$3:$A$5001,AG$3,BD!$B$3:$B$5001,$A$437,BD!$T$3:$T$5001,"&lt;&gt;")=0,"",SUMIFS(BD!$T$3:$T$5001,BD!$A$3:$A$5001,AG$3,BD!$B$3:$B$5001,$A$437)))</f>
        <v/>
      </c>
      <c r="AH454" s="185" t="str">
        <f>IF(AH$3="","",IF(COUNTIFS(BD!$A$3:$A$5001,AH$3,BD!$B$3:$B$5001,$A$437,BD!$T$3:$T$5001,"&lt;&gt;")=0,"",SUMIFS(BD!$T$3:$T$5001,BD!$A$3:$A$5001,AH$3,BD!$B$3:$B$5001,$A$437)))</f>
        <v/>
      </c>
      <c r="AI454" s="185" t="str">
        <f>IF(AI$3="","",IF(COUNTIFS(BD!$A$3:$A$5001,AI$3,BD!$B$3:$B$5001,$A$437,BD!$T$3:$T$5001,"&lt;&gt;")=0,"",SUMIFS(BD!$T$3:$T$5001,BD!$A$3:$A$5001,AI$3,BD!$B$3:$B$5001,$A$437)))</f>
        <v/>
      </c>
      <c r="AJ454" s="186" t="str">
        <f>IF(AJ$3="","",IF(COUNTIFS(BD!$A$3:$A$5001,AJ$3,BD!$B$3:$B$5001,$A$437,BD!$T$3:$T$5001,"&lt;&gt;")=0,"",SUMIFS(BD!$T$3:$T$5001,BD!$A$3:$A$5001,AJ$3,BD!$B$3:$B$5001,$A$437)))</f>
        <v/>
      </c>
      <c r="AK454" s="187" t="str">
        <f>IF(COUNT(F454:AJ454)=0,"",SUM(F454:AJ454))</f>
        <v/>
      </c>
    </row>
    <row r="455" ht="15.75" customHeight="1" hidden="1">
      <c r="A455" s="244"/>
      <c r="B455" s="237"/>
      <c r="C455" s="188" t="inlineStr">
        <is>
          <t xml:space="preserve">No show</t>
        </is>
      </c>
      <c r="D455" s="189" t="str">
        <f>IFERROR(1/(1/INDEX(BD!$AJ$41:$BD$41,MATCH($A$437,BD!$AJ$22:$BD$22,0))),"")</f>
        <v/>
      </c>
      <c r="E455" s="190"/>
      <c r="F455" s="191" t="str">
        <f>IF(F$3="","",IF(COUNTIFS(BD!$A$3:$A$5001,F$3,BD!$B$3:$B$5001,$A$437,BD!$U$3:$U$5001,"&lt;&gt;")=0,"",SUMIFS(BD!$U$3:$U$5001,BD!$A$3:$A$5001,F$3,BD!$B$3:$B$5001,$A$437)))</f>
        <v/>
      </c>
      <c r="G455" s="192" t="str">
        <f>IF(G$3="","",IF(COUNTIFS(BD!$A$3:$A$5001,G$3,BD!$B$3:$B$5001,$A$437,BD!$U$3:$U$5001,"&lt;&gt;")=0,"",SUMIFS(BD!$U$3:$U$5001,BD!$A$3:$A$5001,G$3,BD!$B$3:$B$5001,$A$437)))</f>
        <v/>
      </c>
      <c r="H455" s="192" t="str">
        <f>IF(H$3="","",IF(COUNTIFS(BD!$A$3:$A$5001,H$3,BD!$B$3:$B$5001,$A$437,BD!$U$3:$U$5001,"&lt;&gt;")=0,"",SUMIFS(BD!$U$3:$U$5001,BD!$A$3:$A$5001,H$3,BD!$B$3:$B$5001,$A$437)))</f>
        <v/>
      </c>
      <c r="I455" s="192" t="str">
        <f>IF(I$3="","",IF(COUNTIFS(BD!$A$3:$A$5001,I$3,BD!$B$3:$B$5001,$A$437,BD!$U$3:$U$5001,"&lt;&gt;")=0,"",SUMIFS(BD!$U$3:$U$5001,BD!$A$3:$A$5001,I$3,BD!$B$3:$B$5001,$A$437)))</f>
        <v/>
      </c>
      <c r="J455" s="192" t="str">
        <f>IF(J$3="","",IF(COUNTIFS(BD!$A$3:$A$5001,J$3,BD!$B$3:$B$5001,$A$437,BD!$U$3:$U$5001,"&lt;&gt;")=0,"",SUMIFS(BD!$U$3:$U$5001,BD!$A$3:$A$5001,J$3,BD!$B$3:$B$5001,$A$437)))</f>
        <v/>
      </c>
      <c r="K455" s="192" t="str">
        <f>IF(K$3="","",IF(COUNTIFS(BD!$A$3:$A$5001,K$3,BD!$B$3:$B$5001,$A$437,BD!$U$3:$U$5001,"&lt;&gt;")=0,"",SUMIFS(BD!$U$3:$U$5001,BD!$A$3:$A$5001,K$3,BD!$B$3:$B$5001,$A$437)))</f>
        <v/>
      </c>
      <c r="L455" s="192" t="str">
        <f>IF(L$3="","",IF(COUNTIFS(BD!$A$3:$A$5001,L$3,BD!$B$3:$B$5001,$A$437,BD!$U$3:$U$5001,"&lt;&gt;")=0,"",SUMIFS(BD!$U$3:$U$5001,BD!$A$3:$A$5001,L$3,BD!$B$3:$B$5001,$A$437)))</f>
        <v/>
      </c>
      <c r="M455" s="192" t="str">
        <f>IF(M$3="","",IF(COUNTIFS(BD!$A$3:$A$5001,M$3,BD!$B$3:$B$5001,$A$437,BD!$U$3:$U$5001,"&lt;&gt;")=0,"",SUMIFS(BD!$U$3:$U$5001,BD!$A$3:$A$5001,M$3,BD!$B$3:$B$5001,$A$437)))</f>
        <v/>
      </c>
      <c r="N455" s="192" t="str">
        <f>IF(N$3="","",IF(COUNTIFS(BD!$A$3:$A$5001,N$3,BD!$B$3:$B$5001,$A$437,BD!$U$3:$U$5001,"&lt;&gt;")=0,"",SUMIFS(BD!$U$3:$U$5001,BD!$A$3:$A$5001,N$3,BD!$B$3:$B$5001,$A$437)))</f>
        <v/>
      </c>
      <c r="O455" s="192" t="str">
        <f>IF(O$3="","",IF(COUNTIFS(BD!$A$3:$A$5001,O$3,BD!$B$3:$B$5001,$A$437,BD!$U$3:$U$5001,"&lt;&gt;")=0,"",SUMIFS(BD!$U$3:$U$5001,BD!$A$3:$A$5001,O$3,BD!$B$3:$B$5001,$A$437)))</f>
        <v/>
      </c>
      <c r="P455" s="192" t="str">
        <f>IF(P$3="","",IF(COUNTIFS(BD!$A$3:$A$5001,P$3,BD!$B$3:$B$5001,$A$437,BD!$U$3:$U$5001,"&lt;&gt;")=0,"",SUMIFS(BD!$U$3:$U$5001,BD!$A$3:$A$5001,P$3,BD!$B$3:$B$5001,$A$437)))</f>
        <v/>
      </c>
      <c r="Q455" s="192" t="str">
        <f>IF(Q$3="","",IF(COUNTIFS(BD!$A$3:$A$5001,Q$3,BD!$B$3:$B$5001,$A$437,BD!$U$3:$U$5001,"&lt;&gt;")=0,"",SUMIFS(BD!$U$3:$U$5001,BD!$A$3:$A$5001,Q$3,BD!$B$3:$B$5001,$A$437)))</f>
        <v/>
      </c>
      <c r="R455" s="192" t="str">
        <f>IF(R$3="","",IF(COUNTIFS(BD!$A$3:$A$5001,R$3,BD!$B$3:$B$5001,$A$437,BD!$U$3:$U$5001,"&lt;&gt;")=0,"",SUMIFS(BD!$U$3:$U$5001,BD!$A$3:$A$5001,R$3,BD!$B$3:$B$5001,$A$437)))</f>
        <v/>
      </c>
      <c r="S455" s="192" t="str">
        <f>IF(S$3="","",IF(COUNTIFS(BD!$A$3:$A$5001,S$3,BD!$B$3:$B$5001,$A$437,BD!$U$3:$U$5001,"&lt;&gt;")=0,"",SUMIFS(BD!$U$3:$U$5001,BD!$A$3:$A$5001,S$3,BD!$B$3:$B$5001,$A$437)))</f>
        <v/>
      </c>
      <c r="T455" s="192" t="str">
        <f>IF(T$3="","",IF(COUNTIFS(BD!$A$3:$A$5001,T$3,BD!$B$3:$B$5001,$A$437,BD!$U$3:$U$5001,"&lt;&gt;")=0,"",SUMIFS(BD!$U$3:$U$5001,BD!$A$3:$A$5001,T$3,BD!$B$3:$B$5001,$A$437)))</f>
        <v/>
      </c>
      <c r="U455" s="192" t="str">
        <f>IF(U$3="","",IF(COUNTIFS(BD!$A$3:$A$5001,U$3,BD!$B$3:$B$5001,$A$437,BD!$U$3:$U$5001,"&lt;&gt;")=0,"",SUMIFS(BD!$U$3:$U$5001,BD!$A$3:$A$5001,U$3,BD!$B$3:$B$5001,$A$437)))</f>
        <v/>
      </c>
      <c r="V455" s="192" t="str">
        <f>IF(V$3="","",IF(COUNTIFS(BD!$A$3:$A$5001,V$3,BD!$B$3:$B$5001,$A$437,BD!$U$3:$U$5001,"&lt;&gt;")=0,"",SUMIFS(BD!$U$3:$U$5001,BD!$A$3:$A$5001,V$3,BD!$B$3:$B$5001,$A$437)))</f>
        <v/>
      </c>
      <c r="W455" s="192" t="str">
        <f>IF(W$3="","",IF(COUNTIFS(BD!$A$3:$A$5001,W$3,BD!$B$3:$B$5001,$A$437,BD!$U$3:$U$5001,"&lt;&gt;")=0,"",SUMIFS(BD!$U$3:$U$5001,BD!$A$3:$A$5001,W$3,BD!$B$3:$B$5001,$A$437)))</f>
        <v/>
      </c>
      <c r="X455" s="192" t="str">
        <f>IF(X$3="","",IF(COUNTIFS(BD!$A$3:$A$5001,X$3,BD!$B$3:$B$5001,$A$437,BD!$U$3:$U$5001,"&lt;&gt;")=0,"",SUMIFS(BD!$U$3:$U$5001,BD!$A$3:$A$5001,X$3,BD!$B$3:$B$5001,$A$437)))</f>
        <v/>
      </c>
      <c r="Y455" s="192" t="str">
        <f>IF(Y$3="","",IF(COUNTIFS(BD!$A$3:$A$5001,Y$3,BD!$B$3:$B$5001,$A$437,BD!$U$3:$U$5001,"&lt;&gt;")=0,"",SUMIFS(BD!$U$3:$U$5001,BD!$A$3:$A$5001,Y$3,BD!$B$3:$B$5001,$A$437)))</f>
        <v/>
      </c>
      <c r="Z455" s="192" t="str">
        <f>IF(Z$3="","",IF(COUNTIFS(BD!$A$3:$A$5001,Z$3,BD!$B$3:$B$5001,$A$437,BD!$U$3:$U$5001,"&lt;&gt;")=0,"",SUMIFS(BD!$U$3:$U$5001,BD!$A$3:$A$5001,Z$3,BD!$B$3:$B$5001,$A$437)))</f>
        <v/>
      </c>
      <c r="AA455" s="192" t="str">
        <f>IF(AA$3="","",IF(COUNTIFS(BD!$A$3:$A$5001,AA$3,BD!$B$3:$B$5001,$A$437,BD!$U$3:$U$5001,"&lt;&gt;")=0,"",SUMIFS(BD!$U$3:$U$5001,BD!$A$3:$A$5001,AA$3,BD!$B$3:$B$5001,$A$437)))</f>
        <v/>
      </c>
      <c r="AB455" s="192" t="str">
        <f>IF(AB$3="","",IF(COUNTIFS(BD!$A$3:$A$5001,AB$3,BD!$B$3:$B$5001,$A$437,BD!$U$3:$U$5001,"&lt;&gt;")=0,"",SUMIFS(BD!$U$3:$U$5001,BD!$A$3:$A$5001,AB$3,BD!$B$3:$B$5001,$A$437)))</f>
        <v/>
      </c>
      <c r="AC455" s="192" t="str">
        <f>IF(AC$3="","",IF(COUNTIFS(BD!$A$3:$A$5001,AC$3,BD!$B$3:$B$5001,$A$437,BD!$U$3:$U$5001,"&lt;&gt;")=0,"",SUMIFS(BD!$U$3:$U$5001,BD!$A$3:$A$5001,AC$3,BD!$B$3:$B$5001,$A$437)))</f>
        <v/>
      </c>
      <c r="AD455" s="192" t="str">
        <f>IF(AD$3="","",IF(COUNTIFS(BD!$A$3:$A$5001,AD$3,BD!$B$3:$B$5001,$A$437,BD!$U$3:$U$5001,"&lt;&gt;")=0,"",SUMIFS(BD!$U$3:$U$5001,BD!$A$3:$A$5001,AD$3,BD!$B$3:$B$5001,$A$437)))</f>
        <v/>
      </c>
      <c r="AE455" s="192" t="str">
        <f>IF(AE$3="","",IF(COUNTIFS(BD!$A$3:$A$5001,AE$3,BD!$B$3:$B$5001,$A$437,BD!$U$3:$U$5001,"&lt;&gt;")=0,"",SUMIFS(BD!$U$3:$U$5001,BD!$A$3:$A$5001,AE$3,BD!$B$3:$B$5001,$A$437)))</f>
        <v/>
      </c>
      <c r="AF455" s="192" t="str">
        <f>IF(AF$3="","",IF(COUNTIFS(BD!$A$3:$A$5001,AF$3,BD!$B$3:$B$5001,$A$437,BD!$U$3:$U$5001,"&lt;&gt;")=0,"",SUMIFS(BD!$U$3:$U$5001,BD!$A$3:$A$5001,AF$3,BD!$B$3:$B$5001,$A$437)))</f>
        <v/>
      </c>
      <c r="AG455" s="192" t="str">
        <f>IF(AG$3="","",IF(COUNTIFS(BD!$A$3:$A$5001,AG$3,BD!$B$3:$B$5001,$A$437,BD!$U$3:$U$5001,"&lt;&gt;")=0,"",SUMIFS(BD!$U$3:$U$5001,BD!$A$3:$A$5001,AG$3,BD!$B$3:$B$5001,$A$437)))</f>
        <v/>
      </c>
      <c r="AH455" s="192" t="str">
        <f>IF(AH$3="","",IF(COUNTIFS(BD!$A$3:$A$5001,AH$3,BD!$B$3:$B$5001,$A$437,BD!$U$3:$U$5001,"&lt;&gt;")=0,"",SUMIFS(BD!$U$3:$U$5001,BD!$A$3:$A$5001,AH$3,BD!$B$3:$B$5001,$A$437)))</f>
        <v/>
      </c>
      <c r="AI455" s="192" t="str">
        <f>IF(AI$3="","",IF(COUNTIFS(BD!$A$3:$A$5001,AI$3,BD!$B$3:$B$5001,$A$437,BD!$U$3:$U$5001,"&lt;&gt;")=0,"",SUMIFS(BD!$U$3:$U$5001,BD!$A$3:$A$5001,AI$3,BD!$B$3:$B$5001,$A$437)))</f>
        <v/>
      </c>
      <c r="AJ455" s="193" t="str">
        <f>IF(AJ$3="","",IF(COUNTIFS(BD!$A$3:$A$5001,AJ$3,BD!$B$3:$B$5001,$A$437,BD!$U$3:$U$5001,"&lt;&gt;")=0,"",SUMIFS(BD!$U$3:$U$5001,BD!$A$3:$A$5001,AJ$3,BD!$B$3:$B$5001,$A$437)))</f>
        <v/>
      </c>
      <c r="AK455" s="194" t="str">
        <f>IF(COUNT(F455:AJ455)=0,"",SUM(F455:AJ455))</f>
        <v/>
      </c>
    </row>
    <row r="456" ht="15.75" customHeight="1" hidden="1">
      <c r="A456" s="244"/>
      <c r="B456" s="238"/>
      <c r="C456" s="195" t="inlineStr">
        <is>
          <t xml:space="preserve">Backlog</t>
        </is>
      </c>
      <c r="D456" s="196" t="str">
        <f>IFERROR(1/(1/INDEX(BD!$AJ$42:$BD$42,MATCH($A$437,BD!$AJ$22:$BD$22,0))),"")</f>
        <v/>
      </c>
      <c r="E456" s="197"/>
      <c r="F456" s="198" t="str">
        <f>IF(F$3="","",IF(COUNTIFS(BD!$A$3:$A$5001,F$3,BD!$B$3:$B$5001,$A$437,BD!$V$3:$V$5001,"&lt;&gt;")=0,"",SUMIFS(BD!$V$3:$V$5001,BD!$A$3:$A$5001,F$3,BD!$B$3:$B$5001,$A$437)))</f>
        <v/>
      </c>
      <c r="G456" s="199" t="str">
        <f>IF(G$3="","",IF(COUNTIFS(BD!$A$3:$A$5001,G$3,BD!$B$3:$B$5001,$A$437,BD!$V$3:$V$5001,"&lt;&gt;")=0,"",SUMIFS(BD!$V$3:$V$5001,BD!$A$3:$A$5001,G$3,BD!$B$3:$B$5001,$A$437)))</f>
        <v/>
      </c>
      <c r="H456" s="199" t="str">
        <f>IF(H$3="","",IF(COUNTIFS(BD!$A$3:$A$5001,H$3,BD!$B$3:$B$5001,$A$437,BD!$V$3:$V$5001,"&lt;&gt;")=0,"",SUMIFS(BD!$V$3:$V$5001,BD!$A$3:$A$5001,H$3,BD!$B$3:$B$5001,$A$437)))</f>
        <v/>
      </c>
      <c r="I456" s="199" t="str">
        <f>IF(I$3="","",IF(COUNTIFS(BD!$A$3:$A$5001,I$3,BD!$B$3:$B$5001,$A$437,BD!$V$3:$V$5001,"&lt;&gt;")=0,"",SUMIFS(BD!$V$3:$V$5001,BD!$A$3:$A$5001,I$3,BD!$B$3:$B$5001,$A$437)))</f>
        <v/>
      </c>
      <c r="J456" s="199" t="str">
        <f>IF(J$3="","",IF(COUNTIFS(BD!$A$3:$A$5001,J$3,BD!$B$3:$B$5001,$A$437,BD!$V$3:$V$5001,"&lt;&gt;")=0,"",SUMIFS(BD!$V$3:$V$5001,BD!$A$3:$A$5001,J$3,BD!$B$3:$B$5001,$A$437)))</f>
        <v/>
      </c>
      <c r="K456" s="199" t="str">
        <f>IF(K$3="","",IF(COUNTIFS(BD!$A$3:$A$5001,K$3,BD!$B$3:$B$5001,$A$437,BD!$V$3:$V$5001,"&lt;&gt;")=0,"",SUMIFS(BD!$V$3:$V$5001,BD!$A$3:$A$5001,K$3,BD!$B$3:$B$5001,$A$437)))</f>
        <v/>
      </c>
      <c r="L456" s="199" t="str">
        <f>IF(L$3="","",IF(COUNTIFS(BD!$A$3:$A$5001,L$3,BD!$B$3:$B$5001,$A$437,BD!$V$3:$V$5001,"&lt;&gt;")=0,"",SUMIFS(BD!$V$3:$V$5001,BD!$A$3:$A$5001,L$3,BD!$B$3:$B$5001,$A$437)))</f>
        <v/>
      </c>
      <c r="M456" s="199" t="str">
        <f>IF(M$3="","",IF(COUNTIFS(BD!$A$3:$A$5001,M$3,BD!$B$3:$B$5001,$A$437,BD!$V$3:$V$5001,"&lt;&gt;")=0,"",SUMIFS(BD!$V$3:$V$5001,BD!$A$3:$A$5001,M$3,BD!$B$3:$B$5001,$A$437)))</f>
        <v/>
      </c>
      <c r="N456" s="199" t="str">
        <f>IF(N$3="","",IF(COUNTIFS(BD!$A$3:$A$5001,N$3,BD!$B$3:$B$5001,$A$437,BD!$V$3:$V$5001,"&lt;&gt;")=0,"",SUMIFS(BD!$V$3:$V$5001,BD!$A$3:$A$5001,N$3,BD!$B$3:$B$5001,$A$437)))</f>
        <v/>
      </c>
      <c r="O456" s="199" t="str">
        <f>IF(O$3="","",IF(COUNTIFS(BD!$A$3:$A$5001,O$3,BD!$B$3:$B$5001,$A$437,BD!$V$3:$V$5001,"&lt;&gt;")=0,"",SUMIFS(BD!$V$3:$V$5001,BD!$A$3:$A$5001,O$3,BD!$B$3:$B$5001,$A$437)))</f>
        <v/>
      </c>
      <c r="P456" s="199" t="str">
        <f>IF(P$3="","",IF(COUNTIFS(BD!$A$3:$A$5001,P$3,BD!$B$3:$B$5001,$A$437,BD!$V$3:$V$5001,"&lt;&gt;")=0,"",SUMIFS(BD!$V$3:$V$5001,BD!$A$3:$A$5001,P$3,BD!$B$3:$B$5001,$A$437)))</f>
        <v/>
      </c>
      <c r="Q456" s="199" t="str">
        <f>IF(Q$3="","",IF(COUNTIFS(BD!$A$3:$A$5001,Q$3,BD!$B$3:$B$5001,$A$437,BD!$V$3:$V$5001,"&lt;&gt;")=0,"",SUMIFS(BD!$V$3:$V$5001,BD!$A$3:$A$5001,Q$3,BD!$B$3:$B$5001,$A$437)))</f>
        <v/>
      </c>
      <c r="R456" s="199" t="str">
        <f>IF(R$3="","",IF(COUNTIFS(BD!$A$3:$A$5001,R$3,BD!$B$3:$B$5001,$A$437,BD!$V$3:$V$5001,"&lt;&gt;")=0,"",SUMIFS(BD!$V$3:$V$5001,BD!$A$3:$A$5001,R$3,BD!$B$3:$B$5001,$A$437)))</f>
        <v/>
      </c>
      <c r="S456" s="199" t="str">
        <f>IF(S$3="","",IF(COUNTIFS(BD!$A$3:$A$5001,S$3,BD!$B$3:$B$5001,$A$437,BD!$V$3:$V$5001,"&lt;&gt;")=0,"",SUMIFS(BD!$V$3:$V$5001,BD!$A$3:$A$5001,S$3,BD!$B$3:$B$5001,$A$437)))</f>
        <v/>
      </c>
      <c r="T456" s="199" t="str">
        <f>IF(T$3="","",IF(COUNTIFS(BD!$A$3:$A$5001,T$3,BD!$B$3:$B$5001,$A$437,BD!$V$3:$V$5001,"&lt;&gt;")=0,"",SUMIFS(BD!$V$3:$V$5001,BD!$A$3:$A$5001,T$3,BD!$B$3:$B$5001,$A$437)))</f>
        <v/>
      </c>
      <c r="U456" s="199" t="str">
        <f>IF(U$3="","",IF(COUNTIFS(BD!$A$3:$A$5001,U$3,BD!$B$3:$B$5001,$A$437,BD!$V$3:$V$5001,"&lt;&gt;")=0,"",SUMIFS(BD!$V$3:$V$5001,BD!$A$3:$A$5001,U$3,BD!$B$3:$B$5001,$A$437)))</f>
        <v/>
      </c>
      <c r="V456" s="199" t="str">
        <f>IF(V$3="","",IF(COUNTIFS(BD!$A$3:$A$5001,V$3,BD!$B$3:$B$5001,$A$437,BD!$V$3:$V$5001,"&lt;&gt;")=0,"",SUMIFS(BD!$V$3:$V$5001,BD!$A$3:$A$5001,V$3,BD!$B$3:$B$5001,$A$437)))</f>
        <v/>
      </c>
      <c r="W456" s="199" t="str">
        <f>IF(W$3="","",IF(COUNTIFS(BD!$A$3:$A$5001,W$3,BD!$B$3:$B$5001,$A$437,BD!$V$3:$V$5001,"&lt;&gt;")=0,"",SUMIFS(BD!$V$3:$V$5001,BD!$A$3:$A$5001,W$3,BD!$B$3:$B$5001,$A$437)))</f>
        <v/>
      </c>
      <c r="X456" s="199" t="str">
        <f>IF(X$3="","",IF(COUNTIFS(BD!$A$3:$A$5001,X$3,BD!$B$3:$B$5001,$A$437,BD!$V$3:$V$5001,"&lt;&gt;")=0,"",SUMIFS(BD!$V$3:$V$5001,BD!$A$3:$A$5001,X$3,BD!$B$3:$B$5001,$A$437)))</f>
        <v/>
      </c>
      <c r="Y456" s="199" t="str">
        <f>IF(Y$3="","",IF(COUNTIFS(BD!$A$3:$A$5001,Y$3,BD!$B$3:$B$5001,$A$437,BD!$V$3:$V$5001,"&lt;&gt;")=0,"",SUMIFS(BD!$V$3:$V$5001,BD!$A$3:$A$5001,Y$3,BD!$B$3:$B$5001,$A$437)))</f>
        <v/>
      </c>
      <c r="Z456" s="199" t="str">
        <f>IF(Z$3="","",IF(COUNTIFS(BD!$A$3:$A$5001,Z$3,BD!$B$3:$B$5001,$A$437,BD!$V$3:$V$5001,"&lt;&gt;")=0,"",SUMIFS(BD!$V$3:$V$5001,BD!$A$3:$A$5001,Z$3,BD!$B$3:$B$5001,$A$437)))</f>
        <v/>
      </c>
      <c r="AA456" s="199" t="str">
        <f>IF(AA$3="","",IF(COUNTIFS(BD!$A$3:$A$5001,AA$3,BD!$B$3:$B$5001,$A$437,BD!$V$3:$V$5001,"&lt;&gt;")=0,"",SUMIFS(BD!$V$3:$V$5001,BD!$A$3:$A$5001,AA$3,BD!$B$3:$B$5001,$A$437)))</f>
        <v/>
      </c>
      <c r="AB456" s="199" t="str">
        <f>IF(AB$3="","",IF(COUNTIFS(BD!$A$3:$A$5001,AB$3,BD!$B$3:$B$5001,$A$437,BD!$V$3:$V$5001,"&lt;&gt;")=0,"",SUMIFS(BD!$V$3:$V$5001,BD!$A$3:$A$5001,AB$3,BD!$B$3:$B$5001,$A$437)))</f>
        <v/>
      </c>
      <c r="AC456" s="199" t="str">
        <f>IF(AC$3="","",IF(COUNTIFS(BD!$A$3:$A$5001,AC$3,BD!$B$3:$B$5001,$A$437,BD!$V$3:$V$5001,"&lt;&gt;")=0,"",SUMIFS(BD!$V$3:$V$5001,BD!$A$3:$A$5001,AC$3,BD!$B$3:$B$5001,$A$437)))</f>
        <v/>
      </c>
      <c r="AD456" s="199" t="str">
        <f>IF(AD$3="","",IF(COUNTIFS(BD!$A$3:$A$5001,AD$3,BD!$B$3:$B$5001,$A$437,BD!$V$3:$V$5001,"&lt;&gt;")=0,"",SUMIFS(BD!$V$3:$V$5001,BD!$A$3:$A$5001,AD$3,BD!$B$3:$B$5001,$A$437)))</f>
        <v/>
      </c>
      <c r="AE456" s="199" t="str">
        <f>IF(AE$3="","",IF(COUNTIFS(BD!$A$3:$A$5001,AE$3,BD!$B$3:$B$5001,$A$437,BD!$V$3:$V$5001,"&lt;&gt;")=0,"",SUMIFS(BD!$V$3:$V$5001,BD!$A$3:$A$5001,AE$3,BD!$B$3:$B$5001,$A$437)))</f>
        <v/>
      </c>
      <c r="AF456" s="199" t="str">
        <f>IF(AF$3="","",IF(COUNTIFS(BD!$A$3:$A$5001,AF$3,BD!$B$3:$B$5001,$A$437,BD!$V$3:$V$5001,"&lt;&gt;")=0,"",SUMIFS(BD!$V$3:$V$5001,BD!$A$3:$A$5001,AF$3,BD!$B$3:$B$5001,$A$437)))</f>
        <v/>
      </c>
      <c r="AG456" s="199" t="str">
        <f>IF(AG$3="","",IF(COUNTIFS(BD!$A$3:$A$5001,AG$3,BD!$B$3:$B$5001,$A$437,BD!$V$3:$V$5001,"&lt;&gt;")=0,"",SUMIFS(BD!$V$3:$V$5001,BD!$A$3:$A$5001,AG$3,BD!$B$3:$B$5001,$A$437)))</f>
        <v/>
      </c>
      <c r="AH456" s="199" t="str">
        <f>IF(AH$3="","",IF(COUNTIFS(BD!$A$3:$A$5001,AH$3,BD!$B$3:$B$5001,$A$437,BD!$V$3:$V$5001,"&lt;&gt;")=0,"",SUMIFS(BD!$V$3:$V$5001,BD!$A$3:$A$5001,AH$3,BD!$B$3:$B$5001,$A$437)))</f>
        <v/>
      </c>
      <c r="AI456" s="199" t="str">
        <f>IF(AI$3="","",IF(COUNTIFS(BD!$A$3:$A$5001,AI$3,BD!$B$3:$B$5001,$A$437,BD!$V$3:$V$5001,"&lt;&gt;")=0,"",SUMIFS(BD!$V$3:$V$5001,BD!$A$3:$A$5001,AI$3,BD!$B$3:$B$5001,$A$437)))</f>
        <v/>
      </c>
      <c r="AJ456" s="200" t="str">
        <f>IF(AJ$3="","",IF(COUNTIFS(BD!$A$3:$A$5001,AJ$3,BD!$B$3:$B$5001,$A$437,BD!$V$3:$V$5001,"&lt;&gt;")=0,"",SUMIFS(BD!$V$3:$V$5001,BD!$A$3:$A$5001,AJ$3,BD!$B$3:$B$5001,$A$437)))</f>
        <v/>
      </c>
      <c r="AK456" s="196" t="str">
        <f>IFERROR(LOOKUP(9.99E+307,F456:AJ456),"")</f>
        <v/>
      </c>
    </row>
    <row r="457" ht="15.75" customHeight="1" hidden="1">
      <c r="A457" s="244"/>
      <c r="B457" s="232" t="inlineStr">
        <is>
          <t xml:space="preserve">OCUPAÇÃO (P.P)</t>
        </is>
      </c>
      <c r="C457" s="155" t="inlineStr">
        <is>
          <t xml:space="preserve">Posições Disponíveis</t>
        </is>
      </c>
      <c r="D457" s="156" t="str">
        <f>IFERROR(1/(1/INDEX(BD!$AJ$43:$BD$43,MATCH($A$437,BD!$AJ$22:$BD$22,0))),"")</f>
        <v/>
      </c>
      <c r="E457" s="157"/>
      <c r="F457" s="158" t="str">
        <f>IF(F$3="","",IF(COUNTIFS(BD!$A$3:$A$5001,F$3,BD!$B$3:$B$5001,$A$437,BD!$W$3:$W$5001,"&lt;&gt;")=0,"",SUMIFS(BD!$W$3:$W$5001,BD!$A$3:$A$5001,F$3,BD!$B$3:$B$5001,$A$437)))</f>
        <v/>
      </c>
      <c r="G457" s="159" t="str">
        <f>IF(G$3="","",IF(COUNTIFS(BD!$A$3:$A$5001,G$3,BD!$B$3:$B$5001,$A$437,BD!$W$3:$W$5001,"&lt;&gt;")=0,"",SUMIFS(BD!$W$3:$W$5001,BD!$A$3:$A$5001,G$3,BD!$B$3:$B$5001,$A$437)))</f>
        <v/>
      </c>
      <c r="H457" s="159" t="str">
        <f>IF(H$3="","",IF(COUNTIFS(BD!$A$3:$A$5001,H$3,BD!$B$3:$B$5001,$A$437,BD!$W$3:$W$5001,"&lt;&gt;")=0,"",SUMIFS(BD!$W$3:$W$5001,BD!$A$3:$A$5001,H$3,BD!$B$3:$B$5001,$A$437)))</f>
        <v/>
      </c>
      <c r="I457" s="159" t="str">
        <f>IF(I$3="","",IF(COUNTIFS(BD!$A$3:$A$5001,I$3,BD!$B$3:$B$5001,$A$437,BD!$W$3:$W$5001,"&lt;&gt;")=0,"",SUMIFS(BD!$W$3:$W$5001,BD!$A$3:$A$5001,I$3,BD!$B$3:$B$5001,$A$437)))</f>
        <v/>
      </c>
      <c r="J457" s="159" t="str">
        <f>IF(J$3="","",IF(COUNTIFS(BD!$A$3:$A$5001,J$3,BD!$B$3:$B$5001,$A$437,BD!$W$3:$W$5001,"&lt;&gt;")=0,"",SUMIFS(BD!$W$3:$W$5001,BD!$A$3:$A$5001,J$3,BD!$B$3:$B$5001,$A$437)))</f>
        <v/>
      </c>
      <c r="K457" s="159" t="str">
        <f>IF(K$3="","",IF(COUNTIFS(BD!$A$3:$A$5001,K$3,BD!$B$3:$B$5001,$A$437,BD!$W$3:$W$5001,"&lt;&gt;")=0,"",SUMIFS(BD!$W$3:$W$5001,BD!$A$3:$A$5001,K$3,BD!$B$3:$B$5001,$A$437)))</f>
        <v/>
      </c>
      <c r="L457" s="159" t="str">
        <f>IF(L$3="","",IF(COUNTIFS(BD!$A$3:$A$5001,L$3,BD!$B$3:$B$5001,$A$437,BD!$W$3:$W$5001,"&lt;&gt;")=0,"",SUMIFS(BD!$W$3:$W$5001,BD!$A$3:$A$5001,L$3,BD!$B$3:$B$5001,$A$437)))</f>
        <v/>
      </c>
      <c r="M457" s="159" t="str">
        <f>IF(M$3="","",IF(COUNTIFS(BD!$A$3:$A$5001,M$3,BD!$B$3:$B$5001,$A$437,BD!$W$3:$W$5001,"&lt;&gt;")=0,"",SUMIFS(BD!$W$3:$W$5001,BD!$A$3:$A$5001,M$3,BD!$B$3:$B$5001,$A$437)))</f>
        <v/>
      </c>
      <c r="N457" s="159" t="str">
        <f>IF(N$3="","",IF(COUNTIFS(BD!$A$3:$A$5001,N$3,BD!$B$3:$B$5001,$A$437,BD!$W$3:$W$5001,"&lt;&gt;")=0,"",SUMIFS(BD!$W$3:$W$5001,BD!$A$3:$A$5001,N$3,BD!$B$3:$B$5001,$A$437)))</f>
        <v/>
      </c>
      <c r="O457" s="159" t="str">
        <f>IF(O$3="","",IF(COUNTIFS(BD!$A$3:$A$5001,O$3,BD!$B$3:$B$5001,$A$437,BD!$W$3:$W$5001,"&lt;&gt;")=0,"",SUMIFS(BD!$W$3:$W$5001,BD!$A$3:$A$5001,O$3,BD!$B$3:$B$5001,$A$437)))</f>
        <v/>
      </c>
      <c r="P457" s="159" t="str">
        <f>IF(P$3="","",IF(COUNTIFS(BD!$A$3:$A$5001,P$3,BD!$B$3:$B$5001,$A$437,BD!$W$3:$W$5001,"&lt;&gt;")=0,"",SUMIFS(BD!$W$3:$W$5001,BD!$A$3:$A$5001,P$3,BD!$B$3:$B$5001,$A$437)))</f>
        <v/>
      </c>
      <c r="Q457" s="159" t="str">
        <f>IF(Q$3="","",IF(COUNTIFS(BD!$A$3:$A$5001,Q$3,BD!$B$3:$B$5001,$A$437,BD!$W$3:$W$5001,"&lt;&gt;")=0,"",SUMIFS(BD!$W$3:$W$5001,BD!$A$3:$A$5001,Q$3,BD!$B$3:$B$5001,$A$437)))</f>
        <v/>
      </c>
      <c r="R457" s="159" t="str">
        <f>IF(R$3="","",IF(COUNTIFS(BD!$A$3:$A$5001,R$3,BD!$B$3:$B$5001,$A$437,BD!$W$3:$W$5001,"&lt;&gt;")=0,"",SUMIFS(BD!$W$3:$W$5001,BD!$A$3:$A$5001,R$3,BD!$B$3:$B$5001,$A$437)))</f>
        <v/>
      </c>
      <c r="S457" s="159" t="str">
        <f>IF(S$3="","",IF(COUNTIFS(BD!$A$3:$A$5001,S$3,BD!$B$3:$B$5001,$A$437,BD!$W$3:$W$5001,"&lt;&gt;")=0,"",SUMIFS(BD!$W$3:$W$5001,BD!$A$3:$A$5001,S$3,BD!$B$3:$B$5001,$A$437)))</f>
        <v/>
      </c>
      <c r="T457" s="159" t="str">
        <f>IF(T$3="","",IF(COUNTIFS(BD!$A$3:$A$5001,T$3,BD!$B$3:$B$5001,$A$437,BD!$W$3:$W$5001,"&lt;&gt;")=0,"",SUMIFS(BD!$W$3:$W$5001,BD!$A$3:$A$5001,T$3,BD!$B$3:$B$5001,$A$437)))</f>
        <v/>
      </c>
      <c r="U457" s="159" t="str">
        <f>IF(U$3="","",IF(COUNTIFS(BD!$A$3:$A$5001,U$3,BD!$B$3:$B$5001,$A$437,BD!$W$3:$W$5001,"&lt;&gt;")=0,"",SUMIFS(BD!$W$3:$W$5001,BD!$A$3:$A$5001,U$3,BD!$B$3:$B$5001,$A$437)))</f>
        <v/>
      </c>
      <c r="V457" s="159" t="str">
        <f>IF(V$3="","",IF(COUNTIFS(BD!$A$3:$A$5001,V$3,BD!$B$3:$B$5001,$A$437,BD!$W$3:$W$5001,"&lt;&gt;")=0,"",SUMIFS(BD!$W$3:$W$5001,BD!$A$3:$A$5001,V$3,BD!$B$3:$B$5001,$A$437)))</f>
        <v/>
      </c>
      <c r="W457" s="159" t="str">
        <f>IF(W$3="","",IF(COUNTIFS(BD!$A$3:$A$5001,W$3,BD!$B$3:$B$5001,$A$437,BD!$W$3:$W$5001,"&lt;&gt;")=0,"",SUMIFS(BD!$W$3:$W$5001,BD!$A$3:$A$5001,W$3,BD!$B$3:$B$5001,$A$437)))</f>
        <v/>
      </c>
      <c r="X457" s="159" t="str">
        <f>IF(X$3="","",IF(COUNTIFS(BD!$A$3:$A$5001,X$3,BD!$B$3:$B$5001,$A$437,BD!$W$3:$W$5001,"&lt;&gt;")=0,"",SUMIFS(BD!$W$3:$W$5001,BD!$A$3:$A$5001,X$3,BD!$B$3:$B$5001,$A$437)))</f>
        <v/>
      </c>
      <c r="Y457" s="159" t="str">
        <f>IF(Y$3="","",IF(COUNTIFS(BD!$A$3:$A$5001,Y$3,BD!$B$3:$B$5001,$A$437,BD!$W$3:$W$5001,"&lt;&gt;")=0,"",SUMIFS(BD!$W$3:$W$5001,BD!$A$3:$A$5001,Y$3,BD!$B$3:$B$5001,$A$437)))</f>
        <v/>
      </c>
      <c r="Z457" s="159" t="str">
        <f>IF(Z$3="","",IF(COUNTIFS(BD!$A$3:$A$5001,Z$3,BD!$B$3:$B$5001,$A$437,BD!$W$3:$W$5001,"&lt;&gt;")=0,"",SUMIFS(BD!$W$3:$W$5001,BD!$A$3:$A$5001,Z$3,BD!$B$3:$B$5001,$A$437)))</f>
        <v/>
      </c>
      <c r="AA457" s="159" t="str">
        <f>IF(AA$3="","",IF(COUNTIFS(BD!$A$3:$A$5001,AA$3,BD!$B$3:$B$5001,$A$437,BD!$W$3:$W$5001,"&lt;&gt;")=0,"",SUMIFS(BD!$W$3:$W$5001,BD!$A$3:$A$5001,AA$3,BD!$B$3:$B$5001,$A$437)))</f>
        <v/>
      </c>
      <c r="AB457" s="159" t="str">
        <f>IF(AB$3="","",IF(COUNTIFS(BD!$A$3:$A$5001,AB$3,BD!$B$3:$B$5001,$A$437,BD!$W$3:$W$5001,"&lt;&gt;")=0,"",SUMIFS(BD!$W$3:$W$5001,BD!$A$3:$A$5001,AB$3,BD!$B$3:$B$5001,$A$437)))</f>
        <v/>
      </c>
      <c r="AC457" s="159" t="str">
        <f>IF(AC$3="","",IF(COUNTIFS(BD!$A$3:$A$5001,AC$3,BD!$B$3:$B$5001,$A$437,BD!$W$3:$W$5001,"&lt;&gt;")=0,"",SUMIFS(BD!$W$3:$W$5001,BD!$A$3:$A$5001,AC$3,BD!$B$3:$B$5001,$A$437)))</f>
        <v/>
      </c>
      <c r="AD457" s="159" t="str">
        <f>IF(AD$3="","",IF(COUNTIFS(BD!$A$3:$A$5001,AD$3,BD!$B$3:$B$5001,$A$437,BD!$W$3:$W$5001,"&lt;&gt;")=0,"",SUMIFS(BD!$W$3:$W$5001,BD!$A$3:$A$5001,AD$3,BD!$B$3:$B$5001,$A$437)))</f>
        <v/>
      </c>
      <c r="AE457" s="159" t="str">
        <f>IF(AE$3="","",IF(COUNTIFS(BD!$A$3:$A$5001,AE$3,BD!$B$3:$B$5001,$A$437,BD!$W$3:$W$5001,"&lt;&gt;")=0,"",SUMIFS(BD!$W$3:$W$5001,BD!$A$3:$A$5001,AE$3,BD!$B$3:$B$5001,$A$437)))</f>
        <v/>
      </c>
      <c r="AF457" s="159" t="str">
        <f>IF(AF$3="","",IF(COUNTIFS(BD!$A$3:$A$5001,AF$3,BD!$B$3:$B$5001,$A$437,BD!$W$3:$W$5001,"&lt;&gt;")=0,"",SUMIFS(BD!$W$3:$W$5001,BD!$A$3:$A$5001,AF$3,BD!$B$3:$B$5001,$A$437)))</f>
        <v/>
      </c>
      <c r="AG457" s="159" t="str">
        <f>IF(AG$3="","",IF(COUNTIFS(BD!$A$3:$A$5001,AG$3,BD!$B$3:$B$5001,$A$437,BD!$W$3:$W$5001,"&lt;&gt;")=0,"",SUMIFS(BD!$W$3:$W$5001,BD!$A$3:$A$5001,AG$3,BD!$B$3:$B$5001,$A$437)))</f>
        <v/>
      </c>
      <c r="AH457" s="159" t="str">
        <f>IF(AH$3="","",IF(COUNTIFS(BD!$A$3:$A$5001,AH$3,BD!$B$3:$B$5001,$A$437,BD!$W$3:$W$5001,"&lt;&gt;")=0,"",SUMIFS(BD!$W$3:$W$5001,BD!$A$3:$A$5001,AH$3,BD!$B$3:$B$5001,$A$437)))</f>
        <v/>
      </c>
      <c r="AI457" s="159" t="str">
        <f>IF(AI$3="","",IF(COUNTIFS(BD!$A$3:$A$5001,AI$3,BD!$B$3:$B$5001,$A$437,BD!$W$3:$W$5001,"&lt;&gt;")=0,"",SUMIFS(BD!$W$3:$W$5001,BD!$A$3:$A$5001,AI$3,BD!$B$3:$B$5001,$A$437)))</f>
        <v/>
      </c>
      <c r="AJ457" s="160" t="str">
        <f>IF(AJ$3="","",IF(COUNTIFS(BD!$A$3:$A$5001,AJ$3,BD!$B$3:$B$5001,$A$437,BD!$W$3:$W$5001,"&lt;&gt;")=0,"",SUMIFS(BD!$W$3:$W$5001,BD!$A$3:$A$5001,AJ$3,BD!$B$3:$B$5001,$A$437)))</f>
        <v/>
      </c>
      <c r="AK457" s="161" t="str">
        <f>IF(COUNT(F457:AJ457)&gt;0,LOOKUP(9.99E+307,F457:AJ457),IFERROR(IF(INDEX(BD!$AG$3:$AG$5001,MATCH($A$437,BD!$B$3:$B$5001,0))&amp;""="Contrato","",INDEX(BD!$AG$3:$AG$5001,MATCH($A$437,BD!$B$3:$B$5001,0))&amp;""),""))</f>
        <v/>
      </c>
    </row>
    <row r="458" ht="15.75" customHeight="1" hidden="1">
      <c r="A458" s="244"/>
      <c r="B458" s="239"/>
      <c r="C458" s="201" t="inlineStr">
        <is>
          <t xml:space="preserve">Posições Ocupadas</t>
        </is>
      </c>
      <c r="D458" s="202" t="str">
        <f>IFERROR(1/(1/INDEX(BD!$AJ$44:$BD$44,MATCH($A$437,BD!$AJ$22:$BD$22,0))),"")</f>
        <v/>
      </c>
      <c r="E458" s="203"/>
      <c r="F458" s="204" t="str">
        <f>IF(F$3="","",IF(COUNTIFS(BD!$A$3:$A$5001,F$3,BD!$B$3:$B$5001,$A$437,BD!$X$3:$X$5001,"&lt;&gt;")=0,"",SUMIFS(BD!$X$3:$X$5001,BD!$A$3:$A$5001,F$3,BD!$B$3:$B$5001,$A$437)))</f>
        <v/>
      </c>
      <c r="G458" s="205" t="str">
        <f>IF(G$3="","",IF(COUNTIFS(BD!$A$3:$A$5001,G$3,BD!$B$3:$B$5001,$A$437,BD!$X$3:$X$5001,"&lt;&gt;")=0,"",SUMIFS(BD!$X$3:$X$5001,BD!$A$3:$A$5001,G$3,BD!$B$3:$B$5001,$A$437)))</f>
        <v/>
      </c>
      <c r="H458" s="205" t="str">
        <f>IF(H$3="","",IF(COUNTIFS(BD!$A$3:$A$5001,H$3,BD!$B$3:$B$5001,$A$437,BD!$X$3:$X$5001,"&lt;&gt;")=0,"",SUMIFS(BD!$X$3:$X$5001,BD!$A$3:$A$5001,H$3,BD!$B$3:$B$5001,$A$437)))</f>
        <v/>
      </c>
      <c r="I458" s="205" t="str">
        <f>IF(I$3="","",IF(COUNTIFS(BD!$A$3:$A$5001,I$3,BD!$B$3:$B$5001,$A$437,BD!$X$3:$X$5001,"&lt;&gt;")=0,"",SUMIFS(BD!$X$3:$X$5001,BD!$A$3:$A$5001,I$3,BD!$B$3:$B$5001,$A$437)))</f>
        <v/>
      </c>
      <c r="J458" s="205" t="str">
        <f>IF(J$3="","",IF(COUNTIFS(BD!$A$3:$A$5001,J$3,BD!$B$3:$B$5001,$A$437,BD!$X$3:$X$5001,"&lt;&gt;")=0,"",SUMIFS(BD!$X$3:$X$5001,BD!$A$3:$A$5001,J$3,BD!$B$3:$B$5001,$A$437)))</f>
        <v/>
      </c>
      <c r="K458" s="205" t="str">
        <f>IF(K$3="","",IF(COUNTIFS(BD!$A$3:$A$5001,K$3,BD!$B$3:$B$5001,$A$437,BD!$X$3:$X$5001,"&lt;&gt;")=0,"",SUMIFS(BD!$X$3:$X$5001,BD!$A$3:$A$5001,K$3,BD!$B$3:$B$5001,$A$437)))</f>
        <v/>
      </c>
      <c r="L458" s="205" t="str">
        <f>IF(L$3="","",IF(COUNTIFS(BD!$A$3:$A$5001,L$3,BD!$B$3:$B$5001,$A$437,BD!$X$3:$X$5001,"&lt;&gt;")=0,"",SUMIFS(BD!$X$3:$X$5001,BD!$A$3:$A$5001,L$3,BD!$B$3:$B$5001,$A$437)))</f>
        <v/>
      </c>
      <c r="M458" s="205" t="str">
        <f>IF(M$3="","",IF(COUNTIFS(BD!$A$3:$A$5001,M$3,BD!$B$3:$B$5001,$A$437,BD!$X$3:$X$5001,"&lt;&gt;")=0,"",SUMIFS(BD!$X$3:$X$5001,BD!$A$3:$A$5001,M$3,BD!$B$3:$B$5001,$A$437)))</f>
        <v/>
      </c>
      <c r="N458" s="205" t="str">
        <f>IF(N$3="","",IF(COUNTIFS(BD!$A$3:$A$5001,N$3,BD!$B$3:$B$5001,$A$437,BD!$X$3:$X$5001,"&lt;&gt;")=0,"",SUMIFS(BD!$X$3:$X$5001,BD!$A$3:$A$5001,N$3,BD!$B$3:$B$5001,$A$437)))</f>
        <v/>
      </c>
      <c r="O458" s="205" t="str">
        <f>IF(O$3="","",IF(COUNTIFS(BD!$A$3:$A$5001,O$3,BD!$B$3:$B$5001,$A$437,BD!$X$3:$X$5001,"&lt;&gt;")=0,"",SUMIFS(BD!$X$3:$X$5001,BD!$A$3:$A$5001,O$3,BD!$B$3:$B$5001,$A$437)))</f>
        <v/>
      </c>
      <c r="P458" s="205" t="str">
        <f>IF(P$3="","",IF(COUNTIFS(BD!$A$3:$A$5001,P$3,BD!$B$3:$B$5001,$A$437,BD!$X$3:$X$5001,"&lt;&gt;")=0,"",SUMIFS(BD!$X$3:$X$5001,BD!$A$3:$A$5001,P$3,BD!$B$3:$B$5001,$A$437)))</f>
        <v/>
      </c>
      <c r="Q458" s="205" t="str">
        <f>IF(Q$3="","",IF(COUNTIFS(BD!$A$3:$A$5001,Q$3,BD!$B$3:$B$5001,$A$437,BD!$X$3:$X$5001,"&lt;&gt;")=0,"",SUMIFS(BD!$X$3:$X$5001,BD!$A$3:$A$5001,Q$3,BD!$B$3:$B$5001,$A$437)))</f>
        <v/>
      </c>
      <c r="R458" s="205" t="str">
        <f>IF(R$3="","",IF(COUNTIFS(BD!$A$3:$A$5001,R$3,BD!$B$3:$B$5001,$A$437,BD!$X$3:$X$5001,"&lt;&gt;")=0,"",SUMIFS(BD!$X$3:$X$5001,BD!$A$3:$A$5001,R$3,BD!$B$3:$B$5001,$A$437)))</f>
        <v/>
      </c>
      <c r="S458" s="205" t="str">
        <f>IF(S$3="","",IF(COUNTIFS(BD!$A$3:$A$5001,S$3,BD!$B$3:$B$5001,$A$437,BD!$X$3:$X$5001,"&lt;&gt;")=0,"",SUMIFS(BD!$X$3:$X$5001,BD!$A$3:$A$5001,S$3,BD!$B$3:$B$5001,$A$437)))</f>
        <v/>
      </c>
      <c r="T458" s="205" t="str">
        <f>IF(T$3="","",IF(COUNTIFS(BD!$A$3:$A$5001,T$3,BD!$B$3:$B$5001,$A$437,BD!$X$3:$X$5001,"&lt;&gt;")=0,"",SUMIFS(BD!$X$3:$X$5001,BD!$A$3:$A$5001,T$3,BD!$B$3:$B$5001,$A$437)))</f>
        <v/>
      </c>
      <c r="U458" s="205" t="str">
        <f>IF(U$3="","",IF(COUNTIFS(BD!$A$3:$A$5001,U$3,BD!$B$3:$B$5001,$A$437,BD!$X$3:$X$5001,"&lt;&gt;")=0,"",SUMIFS(BD!$X$3:$X$5001,BD!$A$3:$A$5001,U$3,BD!$B$3:$B$5001,$A$437)))</f>
        <v/>
      </c>
      <c r="V458" s="205" t="str">
        <f>IF(V$3="","",IF(COUNTIFS(BD!$A$3:$A$5001,V$3,BD!$B$3:$B$5001,$A$437,BD!$X$3:$X$5001,"&lt;&gt;")=0,"",SUMIFS(BD!$X$3:$X$5001,BD!$A$3:$A$5001,V$3,BD!$B$3:$B$5001,$A$437)))</f>
        <v/>
      </c>
      <c r="W458" s="205" t="str">
        <f>IF(W$3="","",IF(COUNTIFS(BD!$A$3:$A$5001,W$3,BD!$B$3:$B$5001,$A$437,BD!$X$3:$X$5001,"&lt;&gt;")=0,"",SUMIFS(BD!$X$3:$X$5001,BD!$A$3:$A$5001,W$3,BD!$B$3:$B$5001,$A$437)))</f>
        <v/>
      </c>
      <c r="X458" s="205" t="str">
        <f>IF(X$3="","",IF(COUNTIFS(BD!$A$3:$A$5001,X$3,BD!$B$3:$B$5001,$A$437,BD!$X$3:$X$5001,"&lt;&gt;")=0,"",SUMIFS(BD!$X$3:$X$5001,BD!$A$3:$A$5001,X$3,BD!$B$3:$B$5001,$A$437)))</f>
        <v/>
      </c>
      <c r="Y458" s="205" t="str">
        <f>IF(Y$3="","",IF(COUNTIFS(BD!$A$3:$A$5001,Y$3,BD!$B$3:$B$5001,$A$437,BD!$X$3:$X$5001,"&lt;&gt;")=0,"",SUMIFS(BD!$X$3:$X$5001,BD!$A$3:$A$5001,Y$3,BD!$B$3:$B$5001,$A$437)))</f>
        <v/>
      </c>
      <c r="Z458" s="205" t="str">
        <f>IF(Z$3="","",IF(COUNTIFS(BD!$A$3:$A$5001,Z$3,BD!$B$3:$B$5001,$A$437,BD!$X$3:$X$5001,"&lt;&gt;")=0,"",SUMIFS(BD!$X$3:$X$5001,BD!$A$3:$A$5001,Z$3,BD!$B$3:$B$5001,$A$437)))</f>
        <v/>
      </c>
      <c r="AA458" s="205" t="str">
        <f>IF(AA$3="","",IF(COUNTIFS(BD!$A$3:$A$5001,AA$3,BD!$B$3:$B$5001,$A$437,BD!$X$3:$X$5001,"&lt;&gt;")=0,"",SUMIFS(BD!$X$3:$X$5001,BD!$A$3:$A$5001,AA$3,BD!$B$3:$B$5001,$A$437)))</f>
        <v/>
      </c>
      <c r="AB458" s="205" t="str">
        <f>IF(AB$3="","",IF(COUNTIFS(BD!$A$3:$A$5001,AB$3,BD!$B$3:$B$5001,$A$437,BD!$X$3:$X$5001,"&lt;&gt;")=0,"",SUMIFS(BD!$X$3:$X$5001,BD!$A$3:$A$5001,AB$3,BD!$B$3:$B$5001,$A$437)))</f>
        <v/>
      </c>
      <c r="AC458" s="205" t="str">
        <f>IF(AC$3="","",IF(COUNTIFS(BD!$A$3:$A$5001,AC$3,BD!$B$3:$B$5001,$A$437,BD!$X$3:$X$5001,"&lt;&gt;")=0,"",SUMIFS(BD!$X$3:$X$5001,BD!$A$3:$A$5001,AC$3,BD!$B$3:$B$5001,$A$437)))</f>
        <v/>
      </c>
      <c r="AD458" s="205" t="str">
        <f>IF(AD$3="","",IF(COUNTIFS(BD!$A$3:$A$5001,AD$3,BD!$B$3:$B$5001,$A$437,BD!$X$3:$X$5001,"&lt;&gt;")=0,"",SUMIFS(BD!$X$3:$X$5001,BD!$A$3:$A$5001,AD$3,BD!$B$3:$B$5001,$A$437)))</f>
        <v/>
      </c>
      <c r="AE458" s="205" t="str">
        <f>IF(AE$3="","",IF(COUNTIFS(BD!$A$3:$A$5001,AE$3,BD!$B$3:$B$5001,$A$437,BD!$X$3:$X$5001,"&lt;&gt;")=0,"",SUMIFS(BD!$X$3:$X$5001,BD!$A$3:$A$5001,AE$3,BD!$B$3:$B$5001,$A$437)))</f>
        <v/>
      </c>
      <c r="AF458" s="205" t="str">
        <f>IF(AF$3="","",IF(COUNTIFS(BD!$A$3:$A$5001,AF$3,BD!$B$3:$B$5001,$A$437,BD!$X$3:$X$5001,"&lt;&gt;")=0,"",SUMIFS(BD!$X$3:$X$5001,BD!$A$3:$A$5001,AF$3,BD!$B$3:$B$5001,$A$437)))</f>
        <v/>
      </c>
      <c r="AG458" s="205" t="str">
        <f>IF(AG$3="","",IF(COUNTIFS(BD!$A$3:$A$5001,AG$3,BD!$B$3:$B$5001,$A$437,BD!$X$3:$X$5001,"&lt;&gt;")=0,"",SUMIFS(BD!$X$3:$X$5001,BD!$A$3:$A$5001,AG$3,BD!$B$3:$B$5001,$A$437)))</f>
        <v/>
      </c>
      <c r="AH458" s="205" t="str">
        <f>IF(AH$3="","",IF(COUNTIFS(BD!$A$3:$A$5001,AH$3,BD!$B$3:$B$5001,$A$437,BD!$X$3:$X$5001,"&lt;&gt;")=0,"",SUMIFS(BD!$X$3:$X$5001,BD!$A$3:$A$5001,AH$3,BD!$B$3:$B$5001,$A$437)))</f>
        <v/>
      </c>
      <c r="AI458" s="205" t="str">
        <f>IF(AI$3="","",IF(COUNTIFS(BD!$A$3:$A$5001,AI$3,BD!$B$3:$B$5001,$A$437,BD!$X$3:$X$5001,"&lt;&gt;")=0,"",SUMIFS(BD!$X$3:$X$5001,BD!$A$3:$A$5001,AI$3,BD!$B$3:$B$5001,$A$437)))</f>
        <v/>
      </c>
      <c r="AJ458" s="206" t="str">
        <f>IF(AJ$3="","",IF(COUNTIFS(BD!$A$3:$A$5001,AJ$3,BD!$B$3:$B$5001,$A$437,BD!$X$3:$X$5001,"&lt;&gt;")=0,"",SUMIFS(BD!$X$3:$X$5001,BD!$A$3:$A$5001,AJ$3,BD!$B$3:$B$5001,$A$437)))</f>
        <v/>
      </c>
      <c r="AK458" s="207" t="str">
        <f>IFERROR(LOOKUP(9.99E+307,F458:AJ458),"")</f>
        <v/>
      </c>
    </row>
    <row r="459" ht="15.75" customHeight="1" hidden="1">
      <c r="A459" s="244"/>
      <c r="B459" s="233"/>
      <c r="C459" s="162" t="inlineStr">
        <is>
          <t xml:space="preserve">Taxa de Ocupação</t>
        </is>
      </c>
      <c r="D459" s="208" t="str">
        <f>IFERROR(1/(1/INDEX(BD!$AJ$45:$BD$45,MATCH($A$437,BD!$AJ$22:$BD$22,0))),"")</f>
        <v/>
      </c>
      <c r="E459" s="164"/>
      <c r="F459" s="209" t="str">
        <f>IF(AND(ISNUMBER(F457),ISNUMBER(F458)),IF(F457&gt;0,F458/F457,""),"")</f>
        <v/>
      </c>
      <c r="G459" s="210" t="str">
        <f>IF(AND(ISNUMBER(G457),ISNUMBER(G458)),IF(G457&gt;0,G458/G457,""),"")</f>
        <v/>
      </c>
      <c r="H459" s="210" t="str">
        <f>IF(AND(ISNUMBER(H457),ISNUMBER(H458)),IF(H457&gt;0,H458/H457,""),"")</f>
        <v/>
      </c>
      <c r="I459" s="210" t="str">
        <f>IF(AND(ISNUMBER(I457),ISNUMBER(I458)),IF(I457&gt;0,I458/I457,""),"")</f>
        <v/>
      </c>
      <c r="J459" s="210" t="str">
        <f>IF(AND(ISNUMBER(J457),ISNUMBER(J458)),IF(J457&gt;0,J458/J457,""),"")</f>
        <v/>
      </c>
      <c r="K459" s="210" t="str">
        <f>IF(AND(ISNUMBER(K457),ISNUMBER(K458)),IF(K457&gt;0,K458/K457,""),"")</f>
        <v/>
      </c>
      <c r="L459" s="210" t="str">
        <f>IF(AND(ISNUMBER(L457),ISNUMBER(L458)),IF(L457&gt;0,L458/L457,""),"")</f>
        <v/>
      </c>
      <c r="M459" s="210" t="str">
        <f>IF(AND(ISNUMBER(M457),ISNUMBER(M458)),IF(M457&gt;0,M458/M457,""),"")</f>
        <v/>
      </c>
      <c r="N459" s="210" t="str">
        <f>IF(AND(ISNUMBER(N457),ISNUMBER(N458)),IF(N457&gt;0,N458/N457,""),"")</f>
        <v/>
      </c>
      <c r="O459" s="210" t="str">
        <f>IF(AND(ISNUMBER(O457),ISNUMBER(O458)),IF(O457&gt;0,O458/O457,""),"")</f>
        <v/>
      </c>
      <c r="P459" s="210" t="str">
        <f>IF(AND(ISNUMBER(P457),ISNUMBER(P458)),IF(P457&gt;0,P458/P457,""),"")</f>
        <v/>
      </c>
      <c r="Q459" s="210" t="str">
        <f>IF(AND(ISNUMBER(Q457),ISNUMBER(Q458)),IF(Q457&gt;0,Q458/Q457,""),"")</f>
        <v/>
      </c>
      <c r="R459" s="210" t="str">
        <f>IF(AND(ISNUMBER(R457),ISNUMBER(R458)),IF(R457&gt;0,R458/R457,""),"")</f>
        <v/>
      </c>
      <c r="S459" s="210" t="str">
        <f>IF(AND(ISNUMBER(S457),ISNUMBER(S458)),IF(S457&gt;0,S458/S457,""),"")</f>
        <v/>
      </c>
      <c r="T459" s="210" t="str">
        <f>IF(AND(ISNUMBER(T457),ISNUMBER(T458)),IF(T457&gt;0,T458/T457,""),"")</f>
        <v/>
      </c>
      <c r="U459" s="210" t="str">
        <f>IF(AND(ISNUMBER(U457),ISNUMBER(U458)),IF(U457&gt;0,U458/U457,""),"")</f>
        <v/>
      </c>
      <c r="V459" s="210" t="str">
        <f>IF(AND(ISNUMBER(V457),ISNUMBER(V458)),IF(V457&gt;0,V458/V457,""),"")</f>
        <v/>
      </c>
      <c r="W459" s="210" t="str">
        <f>IF(AND(ISNUMBER(W457),ISNUMBER(W458)),IF(W457&gt;0,W458/W457,""),"")</f>
        <v/>
      </c>
      <c r="X459" s="210" t="str">
        <f>IF(AND(ISNUMBER(X457),ISNUMBER(X458)),IF(X457&gt;0,X458/X457,""),"")</f>
        <v/>
      </c>
      <c r="Y459" s="210" t="str">
        <f>IF(AND(ISNUMBER(Y457),ISNUMBER(Y458)),IF(Y457&gt;0,Y458/Y457,""),"")</f>
        <v/>
      </c>
      <c r="Z459" s="210" t="str">
        <f>IF(AND(ISNUMBER(Z457),ISNUMBER(Z458)),IF(Z457&gt;0,Z458/Z457,""),"")</f>
        <v/>
      </c>
      <c r="AA459" s="210" t="str">
        <f>IF(AND(ISNUMBER(AA457),ISNUMBER(AA458)),IF(AA457&gt;0,AA458/AA457,""),"")</f>
        <v/>
      </c>
      <c r="AB459" s="210" t="str">
        <f>IF(AND(ISNUMBER(AB457),ISNUMBER(AB458)),IF(AB457&gt;0,AB458/AB457,""),"")</f>
        <v/>
      </c>
      <c r="AC459" s="210" t="str">
        <f>IF(AND(ISNUMBER(AC457),ISNUMBER(AC458)),IF(AC457&gt;0,AC458/AC457,""),"")</f>
        <v/>
      </c>
      <c r="AD459" s="210" t="str">
        <f>IF(AND(ISNUMBER(AD457),ISNUMBER(AD458)),IF(AD457&gt;0,AD458/AD457,""),"")</f>
        <v/>
      </c>
      <c r="AE459" s="210" t="str">
        <f>IF(AND(ISNUMBER(AE457),ISNUMBER(AE458)),IF(AE457&gt;0,AE458/AE457,""),"")</f>
        <v/>
      </c>
      <c r="AF459" s="210" t="str">
        <f>IF(AND(ISNUMBER(AF457),ISNUMBER(AF458)),IF(AF457&gt;0,AF458/AF457,""),"")</f>
        <v/>
      </c>
      <c r="AG459" s="210" t="str">
        <f>IF(AND(ISNUMBER(AG457),ISNUMBER(AG458)),IF(AG457&gt;0,AG458/AG457,""),"")</f>
        <v/>
      </c>
      <c r="AH459" s="210" t="str">
        <f>IF(AND(ISNUMBER(AH457),ISNUMBER(AH458)),IF(AH457&gt;0,AH458/AH457,""),"")</f>
        <v/>
      </c>
      <c r="AI459" s="210" t="str">
        <f>IF(AND(ISNUMBER(AI457),ISNUMBER(AI458)),IF(AI457&gt;0,AI458/AI457,""),"")</f>
        <v/>
      </c>
      <c r="AJ459" s="211" t="str">
        <f>IF(AND(ISNUMBER(AJ457),ISNUMBER(AJ458)),IF(AJ457&gt;0,AJ458/AJ457,""),"")</f>
        <v/>
      </c>
      <c r="AK459" s="208" t="str">
        <f>IF(AND(ISNUMBER(AK457),ISNUMBER(AK458)),IF(AK457&gt;0,AK458/AK457,""),"")</f>
        <v/>
      </c>
    </row>
    <row r="460" ht="15.75" customHeight="1" hidden="1">
      <c r="A460" s="244"/>
      <c r="B460" s="240" t="inlineStr">
        <is>
          <t xml:space="preserve">GENTE</t>
        </is>
      </c>
      <c r="C460" s="212" t="inlineStr">
        <is>
          <t xml:space="preserve">Efetivo Op.</t>
        </is>
      </c>
      <c r="D460" s="213" t="str">
        <f>IFERROR(1/(1/INDEX(BD!$AJ$46:$BD$46,MATCH($A$437,BD!$AJ$22:$BD$22,0))),"")</f>
        <v/>
      </c>
      <c r="E460" s="214"/>
      <c r="F460" s="215" t="str">
        <f>IF(F$3="","",IF(COUNTIFS(BD!$A$3:$A$5001,F$3,BD!$B$3:$B$5001,$A$437,BD!$Y$3:$Y$5001,"&lt;&gt;")=0,"",SUMIFS(BD!$Y$3:$Y$5001,BD!$A$3:$A$5001,F$3,BD!$B$3:$B$5001,$A$437)))</f>
        <v/>
      </c>
      <c r="G460" s="216" t="str">
        <f>IF(G$3="","",IF(COUNTIFS(BD!$A$3:$A$5001,G$3,BD!$B$3:$B$5001,$A$437,BD!$Y$3:$Y$5001,"&lt;&gt;")=0,"",SUMIFS(BD!$Y$3:$Y$5001,BD!$A$3:$A$5001,G$3,BD!$B$3:$B$5001,$A$437)))</f>
        <v/>
      </c>
      <c r="H460" s="216" t="str">
        <f>IF(H$3="","",IF(COUNTIFS(BD!$A$3:$A$5001,H$3,BD!$B$3:$B$5001,$A$437,BD!$Y$3:$Y$5001,"&lt;&gt;")=0,"",SUMIFS(BD!$Y$3:$Y$5001,BD!$A$3:$A$5001,H$3,BD!$B$3:$B$5001,$A$437)))</f>
        <v/>
      </c>
      <c r="I460" s="216" t="str">
        <f>IF(I$3="","",IF(COUNTIFS(BD!$A$3:$A$5001,I$3,BD!$B$3:$B$5001,$A$437,BD!$Y$3:$Y$5001,"&lt;&gt;")=0,"",SUMIFS(BD!$Y$3:$Y$5001,BD!$A$3:$A$5001,I$3,BD!$B$3:$B$5001,$A$437)))</f>
        <v/>
      </c>
      <c r="J460" s="216" t="str">
        <f>IF(J$3="","",IF(COUNTIFS(BD!$A$3:$A$5001,J$3,BD!$B$3:$B$5001,$A$437,BD!$Y$3:$Y$5001,"&lt;&gt;")=0,"",SUMIFS(BD!$Y$3:$Y$5001,BD!$A$3:$A$5001,J$3,BD!$B$3:$B$5001,$A$437)))</f>
        <v/>
      </c>
      <c r="K460" s="216" t="str">
        <f>IF(K$3="","",IF(COUNTIFS(BD!$A$3:$A$5001,K$3,BD!$B$3:$B$5001,$A$437,BD!$Y$3:$Y$5001,"&lt;&gt;")=0,"",SUMIFS(BD!$Y$3:$Y$5001,BD!$A$3:$A$5001,K$3,BD!$B$3:$B$5001,$A$437)))</f>
        <v/>
      </c>
      <c r="L460" s="216" t="str">
        <f>IF(L$3="","",IF(COUNTIFS(BD!$A$3:$A$5001,L$3,BD!$B$3:$B$5001,$A$437,BD!$Y$3:$Y$5001,"&lt;&gt;")=0,"",SUMIFS(BD!$Y$3:$Y$5001,BD!$A$3:$A$5001,L$3,BD!$B$3:$B$5001,$A$437)))</f>
        <v/>
      </c>
      <c r="M460" s="216" t="str">
        <f>IF(M$3="","",IF(COUNTIFS(BD!$A$3:$A$5001,M$3,BD!$B$3:$B$5001,$A$437,BD!$Y$3:$Y$5001,"&lt;&gt;")=0,"",SUMIFS(BD!$Y$3:$Y$5001,BD!$A$3:$A$5001,M$3,BD!$B$3:$B$5001,$A$437)))</f>
        <v/>
      </c>
      <c r="N460" s="216" t="str">
        <f>IF(N$3="","",IF(COUNTIFS(BD!$A$3:$A$5001,N$3,BD!$B$3:$B$5001,$A$437,BD!$Y$3:$Y$5001,"&lt;&gt;")=0,"",SUMIFS(BD!$Y$3:$Y$5001,BD!$A$3:$A$5001,N$3,BD!$B$3:$B$5001,$A$437)))</f>
        <v/>
      </c>
      <c r="O460" s="216" t="str">
        <f>IF(O$3="","",IF(COUNTIFS(BD!$A$3:$A$5001,O$3,BD!$B$3:$B$5001,$A$437,BD!$Y$3:$Y$5001,"&lt;&gt;")=0,"",SUMIFS(BD!$Y$3:$Y$5001,BD!$A$3:$A$5001,O$3,BD!$B$3:$B$5001,$A$437)))</f>
        <v/>
      </c>
      <c r="P460" s="216" t="str">
        <f>IF(P$3="","",IF(COUNTIFS(BD!$A$3:$A$5001,P$3,BD!$B$3:$B$5001,$A$437,BD!$Y$3:$Y$5001,"&lt;&gt;")=0,"",SUMIFS(BD!$Y$3:$Y$5001,BD!$A$3:$A$5001,P$3,BD!$B$3:$B$5001,$A$437)))</f>
        <v/>
      </c>
      <c r="Q460" s="216" t="str">
        <f>IF(Q$3="","",IF(COUNTIFS(BD!$A$3:$A$5001,Q$3,BD!$B$3:$B$5001,$A$437,BD!$Y$3:$Y$5001,"&lt;&gt;")=0,"",SUMIFS(BD!$Y$3:$Y$5001,BD!$A$3:$A$5001,Q$3,BD!$B$3:$B$5001,$A$437)))</f>
        <v/>
      </c>
      <c r="R460" s="216" t="str">
        <f>IF(R$3="","",IF(COUNTIFS(BD!$A$3:$A$5001,R$3,BD!$B$3:$B$5001,$A$437,BD!$Y$3:$Y$5001,"&lt;&gt;")=0,"",SUMIFS(BD!$Y$3:$Y$5001,BD!$A$3:$A$5001,R$3,BD!$B$3:$B$5001,$A$437)))</f>
        <v/>
      </c>
      <c r="S460" s="216" t="str">
        <f>IF(S$3="","",IF(COUNTIFS(BD!$A$3:$A$5001,S$3,BD!$B$3:$B$5001,$A$437,BD!$Y$3:$Y$5001,"&lt;&gt;")=0,"",SUMIFS(BD!$Y$3:$Y$5001,BD!$A$3:$A$5001,S$3,BD!$B$3:$B$5001,$A$437)))</f>
        <v/>
      </c>
      <c r="T460" s="216" t="str">
        <f>IF(T$3="","",IF(COUNTIFS(BD!$A$3:$A$5001,T$3,BD!$B$3:$B$5001,$A$437,BD!$Y$3:$Y$5001,"&lt;&gt;")=0,"",SUMIFS(BD!$Y$3:$Y$5001,BD!$A$3:$A$5001,T$3,BD!$B$3:$B$5001,$A$437)))</f>
        <v/>
      </c>
      <c r="U460" s="216" t="str">
        <f>IF(U$3="","",IF(COUNTIFS(BD!$A$3:$A$5001,U$3,BD!$B$3:$B$5001,$A$437,BD!$Y$3:$Y$5001,"&lt;&gt;")=0,"",SUMIFS(BD!$Y$3:$Y$5001,BD!$A$3:$A$5001,U$3,BD!$B$3:$B$5001,$A$437)))</f>
        <v/>
      </c>
      <c r="V460" s="216" t="str">
        <f>IF(V$3="","",IF(COUNTIFS(BD!$A$3:$A$5001,V$3,BD!$B$3:$B$5001,$A$437,BD!$Y$3:$Y$5001,"&lt;&gt;")=0,"",SUMIFS(BD!$Y$3:$Y$5001,BD!$A$3:$A$5001,V$3,BD!$B$3:$B$5001,$A$437)))</f>
        <v/>
      </c>
      <c r="W460" s="216" t="str">
        <f>IF(W$3="","",IF(COUNTIFS(BD!$A$3:$A$5001,W$3,BD!$B$3:$B$5001,$A$437,BD!$Y$3:$Y$5001,"&lt;&gt;")=0,"",SUMIFS(BD!$Y$3:$Y$5001,BD!$A$3:$A$5001,W$3,BD!$B$3:$B$5001,$A$437)))</f>
        <v/>
      </c>
      <c r="X460" s="216" t="str">
        <f>IF(X$3="","",IF(COUNTIFS(BD!$A$3:$A$5001,X$3,BD!$B$3:$B$5001,$A$437,BD!$Y$3:$Y$5001,"&lt;&gt;")=0,"",SUMIFS(BD!$Y$3:$Y$5001,BD!$A$3:$A$5001,X$3,BD!$B$3:$B$5001,$A$437)))</f>
        <v/>
      </c>
      <c r="Y460" s="216" t="str">
        <f>IF(Y$3="","",IF(COUNTIFS(BD!$A$3:$A$5001,Y$3,BD!$B$3:$B$5001,$A$437,BD!$Y$3:$Y$5001,"&lt;&gt;")=0,"",SUMIFS(BD!$Y$3:$Y$5001,BD!$A$3:$A$5001,Y$3,BD!$B$3:$B$5001,$A$437)))</f>
        <v/>
      </c>
      <c r="Z460" s="216" t="str">
        <f>IF(Z$3="","",IF(COUNTIFS(BD!$A$3:$A$5001,Z$3,BD!$B$3:$B$5001,$A$437,BD!$Y$3:$Y$5001,"&lt;&gt;")=0,"",SUMIFS(BD!$Y$3:$Y$5001,BD!$A$3:$A$5001,Z$3,BD!$B$3:$B$5001,$A$437)))</f>
        <v/>
      </c>
      <c r="AA460" s="216" t="str">
        <f>IF(AA$3="","",IF(COUNTIFS(BD!$A$3:$A$5001,AA$3,BD!$B$3:$B$5001,$A$437,BD!$Y$3:$Y$5001,"&lt;&gt;")=0,"",SUMIFS(BD!$Y$3:$Y$5001,BD!$A$3:$A$5001,AA$3,BD!$B$3:$B$5001,$A$437)))</f>
        <v/>
      </c>
      <c r="AB460" s="216" t="str">
        <f>IF(AB$3="","",IF(COUNTIFS(BD!$A$3:$A$5001,AB$3,BD!$B$3:$B$5001,$A$437,BD!$Y$3:$Y$5001,"&lt;&gt;")=0,"",SUMIFS(BD!$Y$3:$Y$5001,BD!$A$3:$A$5001,AB$3,BD!$B$3:$B$5001,$A$437)))</f>
        <v/>
      </c>
      <c r="AC460" s="216" t="str">
        <f>IF(AC$3="","",IF(COUNTIFS(BD!$A$3:$A$5001,AC$3,BD!$B$3:$B$5001,$A$437,BD!$Y$3:$Y$5001,"&lt;&gt;")=0,"",SUMIFS(BD!$Y$3:$Y$5001,BD!$A$3:$A$5001,AC$3,BD!$B$3:$B$5001,$A$437)))</f>
        <v/>
      </c>
      <c r="AD460" s="216" t="str">
        <f>IF(AD$3="","",IF(COUNTIFS(BD!$A$3:$A$5001,AD$3,BD!$B$3:$B$5001,$A$437,BD!$Y$3:$Y$5001,"&lt;&gt;")=0,"",SUMIFS(BD!$Y$3:$Y$5001,BD!$A$3:$A$5001,AD$3,BD!$B$3:$B$5001,$A$437)))</f>
        <v/>
      </c>
      <c r="AE460" s="216" t="str">
        <f>IF(AE$3="","",IF(COUNTIFS(BD!$A$3:$A$5001,AE$3,BD!$B$3:$B$5001,$A$437,BD!$Y$3:$Y$5001,"&lt;&gt;")=0,"",SUMIFS(BD!$Y$3:$Y$5001,BD!$A$3:$A$5001,AE$3,BD!$B$3:$B$5001,$A$437)))</f>
        <v/>
      </c>
      <c r="AF460" s="216" t="str">
        <f>IF(AF$3="","",IF(COUNTIFS(BD!$A$3:$A$5001,AF$3,BD!$B$3:$B$5001,$A$437,BD!$Y$3:$Y$5001,"&lt;&gt;")=0,"",SUMIFS(BD!$Y$3:$Y$5001,BD!$A$3:$A$5001,AF$3,BD!$B$3:$B$5001,$A$437)))</f>
        <v/>
      </c>
      <c r="AG460" s="216" t="str">
        <f>IF(AG$3="","",IF(COUNTIFS(BD!$A$3:$A$5001,AG$3,BD!$B$3:$B$5001,$A$437,BD!$Y$3:$Y$5001,"&lt;&gt;")=0,"",SUMIFS(BD!$Y$3:$Y$5001,BD!$A$3:$A$5001,AG$3,BD!$B$3:$B$5001,$A$437)))</f>
        <v/>
      </c>
      <c r="AH460" s="216" t="str">
        <f>IF(AH$3="","",IF(COUNTIFS(BD!$A$3:$A$5001,AH$3,BD!$B$3:$B$5001,$A$437,BD!$Y$3:$Y$5001,"&lt;&gt;")=0,"",SUMIFS(BD!$Y$3:$Y$5001,BD!$A$3:$A$5001,AH$3,BD!$B$3:$B$5001,$A$437)))</f>
        <v/>
      </c>
      <c r="AI460" s="216" t="str">
        <f>IF(AI$3="","",IF(COUNTIFS(BD!$A$3:$A$5001,AI$3,BD!$B$3:$B$5001,$A$437,BD!$Y$3:$Y$5001,"&lt;&gt;")=0,"",SUMIFS(BD!$Y$3:$Y$5001,BD!$A$3:$A$5001,AI$3,BD!$B$3:$B$5001,$A$437)))</f>
        <v/>
      </c>
      <c r="AJ460" s="217" t="str">
        <f>IF(AJ$3="","",IF(COUNTIFS(BD!$A$3:$A$5001,AJ$3,BD!$B$3:$B$5001,$A$437,BD!$Y$3:$Y$5001,"&lt;&gt;")=0,"",SUMIFS(BD!$Y$3:$Y$5001,BD!$A$3:$A$5001,AJ$3,BD!$B$3:$B$5001,$A$437)))</f>
        <v/>
      </c>
      <c r="AK460" s="218" t="str">
        <f>IFERROR(LOOKUP(9.99E+307,F460:AJ460),"")</f>
        <v/>
      </c>
    </row>
    <row r="461" ht="15.75" customHeight="1" hidden="1">
      <c r="A461" s="244"/>
      <c r="B461" s="241"/>
      <c r="C461" s="219" t="inlineStr">
        <is>
          <t xml:space="preserve">Falta</t>
        </is>
      </c>
      <c r="D461" s="220" t="str">
        <f>IFERROR(1/(1/INDEX(BD!$AJ$47:$BD$47,MATCH($A$437,BD!$AJ$22:$BD$22,0))),"")</f>
        <v/>
      </c>
      <c r="E461" s="221"/>
      <c r="F461" s="222" t="str">
        <f>IF(F$3="","",IF(COUNTIFS(BD!$A$3:$A$5001,F$3,BD!$B$3:$B$5001,$A$437,BD!$Z$3:$Z$5001,"&lt;&gt;")=0,"",SUMIFS(BD!$Z$3:$Z$5001,BD!$A$3:$A$5001,F$3,BD!$B$3:$B$5001,$A$437)))</f>
        <v/>
      </c>
      <c r="G461" s="223" t="str">
        <f>IF(G$3="","",IF(COUNTIFS(BD!$A$3:$A$5001,G$3,BD!$B$3:$B$5001,$A$437,BD!$Z$3:$Z$5001,"&lt;&gt;")=0,"",SUMIFS(BD!$Z$3:$Z$5001,BD!$A$3:$A$5001,G$3,BD!$B$3:$B$5001,$A$437)))</f>
        <v/>
      </c>
      <c r="H461" s="223" t="str">
        <f>IF(H$3="","",IF(COUNTIFS(BD!$A$3:$A$5001,H$3,BD!$B$3:$B$5001,$A$437,BD!$Z$3:$Z$5001,"&lt;&gt;")=0,"",SUMIFS(BD!$Z$3:$Z$5001,BD!$A$3:$A$5001,H$3,BD!$B$3:$B$5001,$A$437)))</f>
        <v/>
      </c>
      <c r="I461" s="223" t="str">
        <f>IF(I$3="","",IF(COUNTIFS(BD!$A$3:$A$5001,I$3,BD!$B$3:$B$5001,$A$437,BD!$Z$3:$Z$5001,"&lt;&gt;")=0,"",SUMIFS(BD!$Z$3:$Z$5001,BD!$A$3:$A$5001,I$3,BD!$B$3:$B$5001,$A$437)))</f>
        <v/>
      </c>
      <c r="J461" s="223" t="str">
        <f>IF(J$3="","",IF(COUNTIFS(BD!$A$3:$A$5001,J$3,BD!$B$3:$B$5001,$A$437,BD!$Z$3:$Z$5001,"&lt;&gt;")=0,"",SUMIFS(BD!$Z$3:$Z$5001,BD!$A$3:$A$5001,J$3,BD!$B$3:$B$5001,$A$437)))</f>
        <v/>
      </c>
      <c r="K461" s="223" t="str">
        <f>IF(K$3="","",IF(COUNTIFS(BD!$A$3:$A$5001,K$3,BD!$B$3:$B$5001,$A$437,BD!$Z$3:$Z$5001,"&lt;&gt;")=0,"",SUMIFS(BD!$Z$3:$Z$5001,BD!$A$3:$A$5001,K$3,BD!$B$3:$B$5001,$A$437)))</f>
        <v/>
      </c>
      <c r="L461" s="223" t="str">
        <f>IF(L$3="","",IF(COUNTIFS(BD!$A$3:$A$5001,L$3,BD!$B$3:$B$5001,$A$437,BD!$Z$3:$Z$5001,"&lt;&gt;")=0,"",SUMIFS(BD!$Z$3:$Z$5001,BD!$A$3:$A$5001,L$3,BD!$B$3:$B$5001,$A$437)))</f>
        <v/>
      </c>
      <c r="M461" s="223" t="str">
        <f>IF(M$3="","",IF(COUNTIFS(BD!$A$3:$A$5001,M$3,BD!$B$3:$B$5001,$A$437,BD!$Z$3:$Z$5001,"&lt;&gt;")=0,"",SUMIFS(BD!$Z$3:$Z$5001,BD!$A$3:$A$5001,M$3,BD!$B$3:$B$5001,$A$437)))</f>
        <v/>
      </c>
      <c r="N461" s="223" t="str">
        <f>IF(N$3="","",IF(COUNTIFS(BD!$A$3:$A$5001,N$3,BD!$B$3:$B$5001,$A$437,BD!$Z$3:$Z$5001,"&lt;&gt;")=0,"",SUMIFS(BD!$Z$3:$Z$5001,BD!$A$3:$A$5001,N$3,BD!$B$3:$B$5001,$A$437)))</f>
        <v/>
      </c>
      <c r="O461" s="223" t="str">
        <f>IF(O$3="","",IF(COUNTIFS(BD!$A$3:$A$5001,O$3,BD!$B$3:$B$5001,$A$437,BD!$Z$3:$Z$5001,"&lt;&gt;")=0,"",SUMIFS(BD!$Z$3:$Z$5001,BD!$A$3:$A$5001,O$3,BD!$B$3:$B$5001,$A$437)))</f>
        <v/>
      </c>
      <c r="P461" s="223" t="str">
        <f>IF(P$3="","",IF(COUNTIFS(BD!$A$3:$A$5001,P$3,BD!$B$3:$B$5001,$A$437,BD!$Z$3:$Z$5001,"&lt;&gt;")=0,"",SUMIFS(BD!$Z$3:$Z$5001,BD!$A$3:$A$5001,P$3,BD!$B$3:$B$5001,$A$437)))</f>
        <v/>
      </c>
      <c r="Q461" s="223" t="str">
        <f>IF(Q$3="","",IF(COUNTIFS(BD!$A$3:$A$5001,Q$3,BD!$B$3:$B$5001,$A$437,BD!$Z$3:$Z$5001,"&lt;&gt;")=0,"",SUMIFS(BD!$Z$3:$Z$5001,BD!$A$3:$A$5001,Q$3,BD!$B$3:$B$5001,$A$437)))</f>
        <v/>
      </c>
      <c r="R461" s="223" t="str">
        <f>IF(R$3="","",IF(COUNTIFS(BD!$A$3:$A$5001,R$3,BD!$B$3:$B$5001,$A$437,BD!$Z$3:$Z$5001,"&lt;&gt;")=0,"",SUMIFS(BD!$Z$3:$Z$5001,BD!$A$3:$A$5001,R$3,BD!$B$3:$B$5001,$A$437)))</f>
        <v/>
      </c>
      <c r="S461" s="223" t="str">
        <f>IF(S$3="","",IF(COUNTIFS(BD!$A$3:$A$5001,S$3,BD!$B$3:$B$5001,$A$437,BD!$Z$3:$Z$5001,"&lt;&gt;")=0,"",SUMIFS(BD!$Z$3:$Z$5001,BD!$A$3:$A$5001,S$3,BD!$B$3:$B$5001,$A$437)))</f>
        <v/>
      </c>
      <c r="T461" s="223" t="str">
        <f>IF(T$3="","",IF(COUNTIFS(BD!$A$3:$A$5001,T$3,BD!$B$3:$B$5001,$A$437,BD!$Z$3:$Z$5001,"&lt;&gt;")=0,"",SUMIFS(BD!$Z$3:$Z$5001,BD!$A$3:$A$5001,T$3,BD!$B$3:$B$5001,$A$437)))</f>
        <v/>
      </c>
      <c r="U461" s="223" t="str">
        <f>IF(U$3="","",IF(COUNTIFS(BD!$A$3:$A$5001,U$3,BD!$B$3:$B$5001,$A$437,BD!$Z$3:$Z$5001,"&lt;&gt;")=0,"",SUMIFS(BD!$Z$3:$Z$5001,BD!$A$3:$A$5001,U$3,BD!$B$3:$B$5001,$A$437)))</f>
        <v/>
      </c>
      <c r="V461" s="223" t="str">
        <f>IF(V$3="","",IF(COUNTIFS(BD!$A$3:$A$5001,V$3,BD!$B$3:$B$5001,$A$437,BD!$Z$3:$Z$5001,"&lt;&gt;")=0,"",SUMIFS(BD!$Z$3:$Z$5001,BD!$A$3:$A$5001,V$3,BD!$B$3:$B$5001,$A$437)))</f>
        <v/>
      </c>
      <c r="W461" s="223" t="str">
        <f>IF(W$3="","",IF(COUNTIFS(BD!$A$3:$A$5001,W$3,BD!$B$3:$B$5001,$A$437,BD!$Z$3:$Z$5001,"&lt;&gt;")=0,"",SUMIFS(BD!$Z$3:$Z$5001,BD!$A$3:$A$5001,W$3,BD!$B$3:$B$5001,$A$437)))</f>
        <v/>
      </c>
      <c r="X461" s="223" t="str">
        <f>IF(X$3="","",IF(COUNTIFS(BD!$A$3:$A$5001,X$3,BD!$B$3:$B$5001,$A$437,BD!$Z$3:$Z$5001,"&lt;&gt;")=0,"",SUMIFS(BD!$Z$3:$Z$5001,BD!$A$3:$A$5001,X$3,BD!$B$3:$B$5001,$A$437)))</f>
        <v/>
      </c>
      <c r="Y461" s="223" t="str">
        <f>IF(Y$3="","",IF(COUNTIFS(BD!$A$3:$A$5001,Y$3,BD!$B$3:$B$5001,$A$437,BD!$Z$3:$Z$5001,"&lt;&gt;")=0,"",SUMIFS(BD!$Z$3:$Z$5001,BD!$A$3:$A$5001,Y$3,BD!$B$3:$B$5001,$A$437)))</f>
        <v/>
      </c>
      <c r="Z461" s="223" t="str">
        <f>IF(Z$3="","",IF(COUNTIFS(BD!$A$3:$A$5001,Z$3,BD!$B$3:$B$5001,$A$437,BD!$Z$3:$Z$5001,"&lt;&gt;")=0,"",SUMIFS(BD!$Z$3:$Z$5001,BD!$A$3:$A$5001,Z$3,BD!$B$3:$B$5001,$A$437)))</f>
        <v/>
      </c>
      <c r="AA461" s="223" t="str">
        <f>IF(AA$3="","",IF(COUNTIFS(BD!$A$3:$A$5001,AA$3,BD!$B$3:$B$5001,$A$437,BD!$Z$3:$Z$5001,"&lt;&gt;")=0,"",SUMIFS(BD!$Z$3:$Z$5001,BD!$A$3:$A$5001,AA$3,BD!$B$3:$B$5001,$A$437)))</f>
        <v/>
      </c>
      <c r="AB461" s="223" t="str">
        <f>IF(AB$3="","",IF(COUNTIFS(BD!$A$3:$A$5001,AB$3,BD!$B$3:$B$5001,$A$437,BD!$Z$3:$Z$5001,"&lt;&gt;")=0,"",SUMIFS(BD!$Z$3:$Z$5001,BD!$A$3:$A$5001,AB$3,BD!$B$3:$B$5001,$A$437)))</f>
        <v/>
      </c>
      <c r="AC461" s="223" t="str">
        <f>IF(AC$3="","",IF(COUNTIFS(BD!$A$3:$A$5001,AC$3,BD!$B$3:$B$5001,$A$437,BD!$Z$3:$Z$5001,"&lt;&gt;")=0,"",SUMIFS(BD!$Z$3:$Z$5001,BD!$A$3:$A$5001,AC$3,BD!$B$3:$B$5001,$A$437)))</f>
        <v/>
      </c>
      <c r="AD461" s="223" t="str">
        <f>IF(AD$3="","",IF(COUNTIFS(BD!$A$3:$A$5001,AD$3,BD!$B$3:$B$5001,$A$437,BD!$Z$3:$Z$5001,"&lt;&gt;")=0,"",SUMIFS(BD!$Z$3:$Z$5001,BD!$A$3:$A$5001,AD$3,BD!$B$3:$B$5001,$A$437)))</f>
        <v/>
      </c>
      <c r="AE461" s="223" t="str">
        <f>IF(AE$3="","",IF(COUNTIFS(BD!$A$3:$A$5001,AE$3,BD!$B$3:$B$5001,$A$437,BD!$Z$3:$Z$5001,"&lt;&gt;")=0,"",SUMIFS(BD!$Z$3:$Z$5001,BD!$A$3:$A$5001,AE$3,BD!$B$3:$B$5001,$A$437)))</f>
        <v/>
      </c>
      <c r="AF461" s="223" t="str">
        <f>IF(AF$3="","",IF(COUNTIFS(BD!$A$3:$A$5001,AF$3,BD!$B$3:$B$5001,$A$437,BD!$Z$3:$Z$5001,"&lt;&gt;")=0,"",SUMIFS(BD!$Z$3:$Z$5001,BD!$A$3:$A$5001,AF$3,BD!$B$3:$B$5001,$A$437)))</f>
        <v/>
      </c>
      <c r="AG461" s="223" t="str">
        <f>IF(AG$3="","",IF(COUNTIFS(BD!$A$3:$A$5001,AG$3,BD!$B$3:$B$5001,$A$437,BD!$Z$3:$Z$5001,"&lt;&gt;")=0,"",SUMIFS(BD!$Z$3:$Z$5001,BD!$A$3:$A$5001,AG$3,BD!$B$3:$B$5001,$A$437)))</f>
        <v/>
      </c>
      <c r="AH461" s="223" t="str">
        <f>IF(AH$3="","",IF(COUNTIFS(BD!$A$3:$A$5001,AH$3,BD!$B$3:$B$5001,$A$437,BD!$Z$3:$Z$5001,"&lt;&gt;")=0,"",SUMIFS(BD!$Z$3:$Z$5001,BD!$A$3:$A$5001,AH$3,BD!$B$3:$B$5001,$A$437)))</f>
        <v/>
      </c>
      <c r="AI461" s="223" t="str">
        <f>IF(AI$3="","",IF(COUNTIFS(BD!$A$3:$A$5001,AI$3,BD!$B$3:$B$5001,$A$437,BD!$Z$3:$Z$5001,"&lt;&gt;")=0,"",SUMIFS(BD!$Z$3:$Z$5001,BD!$A$3:$A$5001,AI$3,BD!$B$3:$B$5001,$A$437)))</f>
        <v/>
      </c>
      <c r="AJ461" s="224" t="str">
        <f>IF(AJ$3="","",IF(COUNTIFS(BD!$A$3:$A$5001,AJ$3,BD!$B$3:$B$5001,$A$437,BD!$Z$3:$Z$5001,"&lt;&gt;")=0,"",SUMIFS(BD!$Z$3:$Z$5001,BD!$A$3:$A$5001,AJ$3,BD!$B$3:$B$5001,$A$437)))</f>
        <v/>
      </c>
      <c r="AK461" s="225" t="str">
        <f>IF(COUNT(F461:AJ461)=0,"",SUM(F461:AJ461))</f>
        <v/>
      </c>
    </row>
    <row r="462" ht="15.75" customHeight="1" hidden="1">
      <c r="A462" s="244"/>
      <c r="B462" s="241"/>
      <c r="C462" s="219" t="inlineStr">
        <is>
          <t xml:space="preserve">Folga</t>
        </is>
      </c>
      <c r="D462" s="220" t="str">
        <f>IFERROR(1/(1/INDEX(BD!$AJ$48:$BD$48,MATCH($A$437,BD!$AJ$22:$BD$22,0))),"")</f>
        <v/>
      </c>
      <c r="E462" s="221"/>
      <c r="F462" s="222" t="str">
        <f>IF(F$3="","",IF(COUNTIFS(BD!$A$3:$A$5001,F$3,BD!$B$3:$B$5001,$A$437,BD!$AA$3:$AA$5001,"&lt;&gt;")=0,"",SUMIFS(BD!$AA$3:$AA$5001,BD!$A$3:$A$5001,F$3,BD!$B$3:$B$5001,$A$437)))</f>
        <v/>
      </c>
      <c r="G462" s="223" t="str">
        <f>IF(G$3="","",IF(COUNTIFS(BD!$A$3:$A$5001,G$3,BD!$B$3:$B$5001,$A$437,BD!$AA$3:$AA$5001,"&lt;&gt;")=0,"",SUMIFS(BD!$AA$3:$AA$5001,BD!$A$3:$A$5001,G$3,BD!$B$3:$B$5001,$A$437)))</f>
        <v/>
      </c>
      <c r="H462" s="223" t="str">
        <f>IF(H$3="","",IF(COUNTIFS(BD!$A$3:$A$5001,H$3,BD!$B$3:$B$5001,$A$437,BD!$AA$3:$AA$5001,"&lt;&gt;")=0,"",SUMIFS(BD!$AA$3:$AA$5001,BD!$A$3:$A$5001,H$3,BD!$B$3:$B$5001,$A$437)))</f>
        <v/>
      </c>
      <c r="I462" s="223" t="str">
        <f>IF(I$3="","",IF(COUNTIFS(BD!$A$3:$A$5001,I$3,BD!$B$3:$B$5001,$A$437,BD!$AA$3:$AA$5001,"&lt;&gt;")=0,"",SUMIFS(BD!$AA$3:$AA$5001,BD!$A$3:$A$5001,I$3,BD!$B$3:$B$5001,$A$437)))</f>
        <v/>
      </c>
      <c r="J462" s="223" t="str">
        <f>IF(J$3="","",IF(COUNTIFS(BD!$A$3:$A$5001,J$3,BD!$B$3:$B$5001,$A$437,BD!$AA$3:$AA$5001,"&lt;&gt;")=0,"",SUMIFS(BD!$AA$3:$AA$5001,BD!$A$3:$A$5001,J$3,BD!$B$3:$B$5001,$A$437)))</f>
        <v/>
      </c>
      <c r="K462" s="223" t="str">
        <f>IF(K$3="","",IF(COUNTIFS(BD!$A$3:$A$5001,K$3,BD!$B$3:$B$5001,$A$437,BD!$AA$3:$AA$5001,"&lt;&gt;")=0,"",SUMIFS(BD!$AA$3:$AA$5001,BD!$A$3:$A$5001,K$3,BD!$B$3:$B$5001,$A$437)))</f>
        <v/>
      </c>
      <c r="L462" s="223" t="str">
        <f>IF(L$3="","",IF(COUNTIFS(BD!$A$3:$A$5001,L$3,BD!$B$3:$B$5001,$A$437,BD!$AA$3:$AA$5001,"&lt;&gt;")=0,"",SUMIFS(BD!$AA$3:$AA$5001,BD!$A$3:$A$5001,L$3,BD!$B$3:$B$5001,$A$437)))</f>
        <v/>
      </c>
      <c r="M462" s="223" t="str">
        <f>IF(M$3="","",IF(COUNTIFS(BD!$A$3:$A$5001,M$3,BD!$B$3:$B$5001,$A$437,BD!$AA$3:$AA$5001,"&lt;&gt;")=0,"",SUMIFS(BD!$AA$3:$AA$5001,BD!$A$3:$A$5001,M$3,BD!$B$3:$B$5001,$A$437)))</f>
        <v/>
      </c>
      <c r="N462" s="223" t="str">
        <f>IF(N$3="","",IF(COUNTIFS(BD!$A$3:$A$5001,N$3,BD!$B$3:$B$5001,$A$437,BD!$AA$3:$AA$5001,"&lt;&gt;")=0,"",SUMIFS(BD!$AA$3:$AA$5001,BD!$A$3:$A$5001,N$3,BD!$B$3:$B$5001,$A$437)))</f>
        <v/>
      </c>
      <c r="O462" s="223" t="str">
        <f>IF(O$3="","",IF(COUNTIFS(BD!$A$3:$A$5001,O$3,BD!$B$3:$B$5001,$A$437,BD!$AA$3:$AA$5001,"&lt;&gt;")=0,"",SUMIFS(BD!$AA$3:$AA$5001,BD!$A$3:$A$5001,O$3,BD!$B$3:$B$5001,$A$437)))</f>
        <v/>
      </c>
      <c r="P462" s="223" t="str">
        <f>IF(P$3="","",IF(COUNTIFS(BD!$A$3:$A$5001,P$3,BD!$B$3:$B$5001,$A$437,BD!$AA$3:$AA$5001,"&lt;&gt;")=0,"",SUMIFS(BD!$AA$3:$AA$5001,BD!$A$3:$A$5001,P$3,BD!$B$3:$B$5001,$A$437)))</f>
        <v/>
      </c>
      <c r="Q462" s="223" t="str">
        <f>IF(Q$3="","",IF(COUNTIFS(BD!$A$3:$A$5001,Q$3,BD!$B$3:$B$5001,$A$437,BD!$AA$3:$AA$5001,"&lt;&gt;")=0,"",SUMIFS(BD!$AA$3:$AA$5001,BD!$A$3:$A$5001,Q$3,BD!$B$3:$B$5001,$A$437)))</f>
        <v/>
      </c>
      <c r="R462" s="223" t="str">
        <f>IF(R$3="","",IF(COUNTIFS(BD!$A$3:$A$5001,R$3,BD!$B$3:$B$5001,$A$437,BD!$AA$3:$AA$5001,"&lt;&gt;")=0,"",SUMIFS(BD!$AA$3:$AA$5001,BD!$A$3:$A$5001,R$3,BD!$B$3:$B$5001,$A$437)))</f>
        <v/>
      </c>
      <c r="S462" s="223" t="str">
        <f>IF(S$3="","",IF(COUNTIFS(BD!$A$3:$A$5001,S$3,BD!$B$3:$B$5001,$A$437,BD!$AA$3:$AA$5001,"&lt;&gt;")=0,"",SUMIFS(BD!$AA$3:$AA$5001,BD!$A$3:$A$5001,S$3,BD!$B$3:$B$5001,$A$437)))</f>
        <v/>
      </c>
      <c r="T462" s="223" t="str">
        <f>IF(T$3="","",IF(COUNTIFS(BD!$A$3:$A$5001,T$3,BD!$B$3:$B$5001,$A$437,BD!$AA$3:$AA$5001,"&lt;&gt;")=0,"",SUMIFS(BD!$AA$3:$AA$5001,BD!$A$3:$A$5001,T$3,BD!$B$3:$B$5001,$A$437)))</f>
        <v/>
      </c>
      <c r="U462" s="223" t="str">
        <f>IF(U$3="","",IF(COUNTIFS(BD!$A$3:$A$5001,U$3,BD!$B$3:$B$5001,$A$437,BD!$AA$3:$AA$5001,"&lt;&gt;")=0,"",SUMIFS(BD!$AA$3:$AA$5001,BD!$A$3:$A$5001,U$3,BD!$B$3:$B$5001,$A$437)))</f>
        <v/>
      </c>
      <c r="V462" s="223" t="str">
        <f>IF(V$3="","",IF(COUNTIFS(BD!$A$3:$A$5001,V$3,BD!$B$3:$B$5001,$A$437,BD!$AA$3:$AA$5001,"&lt;&gt;")=0,"",SUMIFS(BD!$AA$3:$AA$5001,BD!$A$3:$A$5001,V$3,BD!$B$3:$B$5001,$A$437)))</f>
        <v/>
      </c>
      <c r="W462" s="223" t="str">
        <f>IF(W$3="","",IF(COUNTIFS(BD!$A$3:$A$5001,W$3,BD!$B$3:$B$5001,$A$437,BD!$AA$3:$AA$5001,"&lt;&gt;")=0,"",SUMIFS(BD!$AA$3:$AA$5001,BD!$A$3:$A$5001,W$3,BD!$B$3:$B$5001,$A$437)))</f>
        <v/>
      </c>
      <c r="X462" s="223" t="str">
        <f>IF(X$3="","",IF(COUNTIFS(BD!$A$3:$A$5001,X$3,BD!$B$3:$B$5001,$A$437,BD!$AA$3:$AA$5001,"&lt;&gt;")=0,"",SUMIFS(BD!$AA$3:$AA$5001,BD!$A$3:$A$5001,X$3,BD!$B$3:$B$5001,$A$437)))</f>
        <v/>
      </c>
      <c r="Y462" s="223" t="str">
        <f>IF(Y$3="","",IF(COUNTIFS(BD!$A$3:$A$5001,Y$3,BD!$B$3:$B$5001,$A$437,BD!$AA$3:$AA$5001,"&lt;&gt;")=0,"",SUMIFS(BD!$AA$3:$AA$5001,BD!$A$3:$A$5001,Y$3,BD!$B$3:$B$5001,$A$437)))</f>
        <v/>
      </c>
      <c r="Z462" s="223" t="str">
        <f>IF(Z$3="","",IF(COUNTIFS(BD!$A$3:$A$5001,Z$3,BD!$B$3:$B$5001,$A$437,BD!$AA$3:$AA$5001,"&lt;&gt;")=0,"",SUMIFS(BD!$AA$3:$AA$5001,BD!$A$3:$A$5001,Z$3,BD!$B$3:$B$5001,$A$437)))</f>
        <v/>
      </c>
      <c r="AA462" s="223" t="str">
        <f>IF(AA$3="","",IF(COUNTIFS(BD!$A$3:$A$5001,AA$3,BD!$B$3:$B$5001,$A$437,BD!$AA$3:$AA$5001,"&lt;&gt;")=0,"",SUMIFS(BD!$AA$3:$AA$5001,BD!$A$3:$A$5001,AA$3,BD!$B$3:$B$5001,$A$437)))</f>
        <v/>
      </c>
      <c r="AB462" s="223" t="str">
        <f>IF(AB$3="","",IF(COUNTIFS(BD!$A$3:$A$5001,AB$3,BD!$B$3:$B$5001,$A$437,BD!$AA$3:$AA$5001,"&lt;&gt;")=0,"",SUMIFS(BD!$AA$3:$AA$5001,BD!$A$3:$A$5001,AB$3,BD!$B$3:$B$5001,$A$437)))</f>
        <v/>
      </c>
      <c r="AC462" s="223" t="str">
        <f>IF(AC$3="","",IF(COUNTIFS(BD!$A$3:$A$5001,AC$3,BD!$B$3:$B$5001,$A$437,BD!$AA$3:$AA$5001,"&lt;&gt;")=0,"",SUMIFS(BD!$AA$3:$AA$5001,BD!$A$3:$A$5001,AC$3,BD!$B$3:$B$5001,$A$437)))</f>
        <v/>
      </c>
      <c r="AD462" s="223" t="str">
        <f>IF(AD$3="","",IF(COUNTIFS(BD!$A$3:$A$5001,AD$3,BD!$B$3:$B$5001,$A$437,BD!$AA$3:$AA$5001,"&lt;&gt;")=0,"",SUMIFS(BD!$AA$3:$AA$5001,BD!$A$3:$A$5001,AD$3,BD!$B$3:$B$5001,$A$437)))</f>
        <v/>
      </c>
      <c r="AE462" s="223" t="str">
        <f>IF(AE$3="","",IF(COUNTIFS(BD!$A$3:$A$5001,AE$3,BD!$B$3:$B$5001,$A$437,BD!$AA$3:$AA$5001,"&lt;&gt;")=0,"",SUMIFS(BD!$AA$3:$AA$5001,BD!$A$3:$A$5001,AE$3,BD!$B$3:$B$5001,$A$437)))</f>
        <v/>
      </c>
      <c r="AF462" s="223" t="str">
        <f>IF(AF$3="","",IF(COUNTIFS(BD!$A$3:$A$5001,AF$3,BD!$B$3:$B$5001,$A$437,BD!$AA$3:$AA$5001,"&lt;&gt;")=0,"",SUMIFS(BD!$AA$3:$AA$5001,BD!$A$3:$A$5001,AF$3,BD!$B$3:$B$5001,$A$437)))</f>
        <v/>
      </c>
      <c r="AG462" s="223" t="str">
        <f>IF(AG$3="","",IF(COUNTIFS(BD!$A$3:$A$5001,AG$3,BD!$B$3:$B$5001,$A$437,BD!$AA$3:$AA$5001,"&lt;&gt;")=0,"",SUMIFS(BD!$AA$3:$AA$5001,BD!$A$3:$A$5001,AG$3,BD!$B$3:$B$5001,$A$437)))</f>
        <v/>
      </c>
      <c r="AH462" s="223" t="str">
        <f>IF(AH$3="","",IF(COUNTIFS(BD!$A$3:$A$5001,AH$3,BD!$B$3:$B$5001,$A$437,BD!$AA$3:$AA$5001,"&lt;&gt;")=0,"",SUMIFS(BD!$AA$3:$AA$5001,BD!$A$3:$A$5001,AH$3,BD!$B$3:$B$5001,$A$437)))</f>
        <v/>
      </c>
      <c r="AI462" s="223" t="str">
        <f>IF(AI$3="","",IF(COUNTIFS(BD!$A$3:$A$5001,AI$3,BD!$B$3:$B$5001,$A$437,BD!$AA$3:$AA$5001,"&lt;&gt;")=0,"",SUMIFS(BD!$AA$3:$AA$5001,BD!$A$3:$A$5001,AI$3,BD!$B$3:$B$5001,$A$437)))</f>
        <v/>
      </c>
      <c r="AJ462" s="224" t="str">
        <f>IF(AJ$3="","",IF(COUNTIFS(BD!$A$3:$A$5001,AJ$3,BD!$B$3:$B$5001,$A$437,BD!$AA$3:$AA$5001,"&lt;&gt;")=0,"",SUMIFS(BD!$AA$3:$AA$5001,BD!$A$3:$A$5001,AJ$3,BD!$B$3:$B$5001,$A$437)))</f>
        <v/>
      </c>
      <c r="AK462" s="225" t="str">
        <f>IF(COUNT(F462:AJ462)=0,"",SUM(F462:AJ462))</f>
        <v/>
      </c>
    </row>
    <row r="463" ht="15.75" customHeight="1" hidden="1">
      <c r="A463" s="244"/>
      <c r="B463" s="241"/>
      <c r="C463" s="219" t="inlineStr">
        <is>
          <t xml:space="preserve">Férias</t>
        </is>
      </c>
      <c r="D463" s="220" t="str">
        <f>IFERROR(1/(1/INDEX(BD!$AJ$49:$BD$49,MATCH($A$437,BD!$AJ$22:$BD$22,0))),"")</f>
        <v/>
      </c>
      <c r="E463" s="221"/>
      <c r="F463" s="222" t="str">
        <f>IF(F$3="","",IF(COUNTIFS(BD!$A$3:$A$5001,F$3,BD!$B$3:$B$5001,$A$437,BD!$AB$3:$AB$5001,"&lt;&gt;")=0,"",SUMIFS(BD!$AB$3:$AB$5001,BD!$A$3:$A$5001,F$3,BD!$B$3:$B$5001,$A$437)))</f>
        <v/>
      </c>
      <c r="G463" s="223" t="str">
        <f>IF(G$3="","",IF(COUNTIFS(BD!$A$3:$A$5001,G$3,BD!$B$3:$B$5001,$A$437,BD!$AB$3:$AB$5001,"&lt;&gt;")=0,"",SUMIFS(BD!$AB$3:$AB$5001,BD!$A$3:$A$5001,G$3,BD!$B$3:$B$5001,$A$437)))</f>
        <v/>
      </c>
      <c r="H463" s="223" t="str">
        <f>IF(H$3="","",IF(COUNTIFS(BD!$A$3:$A$5001,H$3,BD!$B$3:$B$5001,$A$437,BD!$AB$3:$AB$5001,"&lt;&gt;")=0,"",SUMIFS(BD!$AB$3:$AB$5001,BD!$A$3:$A$5001,H$3,BD!$B$3:$B$5001,$A$437)))</f>
        <v/>
      </c>
      <c r="I463" s="223" t="str">
        <f>IF(I$3="","",IF(COUNTIFS(BD!$A$3:$A$5001,I$3,BD!$B$3:$B$5001,$A$437,BD!$AB$3:$AB$5001,"&lt;&gt;")=0,"",SUMIFS(BD!$AB$3:$AB$5001,BD!$A$3:$A$5001,I$3,BD!$B$3:$B$5001,$A$437)))</f>
        <v/>
      </c>
      <c r="J463" s="223" t="str">
        <f>IF(J$3="","",IF(COUNTIFS(BD!$A$3:$A$5001,J$3,BD!$B$3:$B$5001,$A$437,BD!$AB$3:$AB$5001,"&lt;&gt;")=0,"",SUMIFS(BD!$AB$3:$AB$5001,BD!$A$3:$A$5001,J$3,BD!$B$3:$B$5001,$A$437)))</f>
        <v/>
      </c>
      <c r="K463" s="223" t="str">
        <f>IF(K$3="","",IF(COUNTIFS(BD!$A$3:$A$5001,K$3,BD!$B$3:$B$5001,$A$437,BD!$AB$3:$AB$5001,"&lt;&gt;")=0,"",SUMIFS(BD!$AB$3:$AB$5001,BD!$A$3:$A$5001,K$3,BD!$B$3:$B$5001,$A$437)))</f>
        <v/>
      </c>
      <c r="L463" s="223" t="str">
        <f>IF(L$3="","",IF(COUNTIFS(BD!$A$3:$A$5001,L$3,BD!$B$3:$B$5001,$A$437,BD!$AB$3:$AB$5001,"&lt;&gt;")=0,"",SUMIFS(BD!$AB$3:$AB$5001,BD!$A$3:$A$5001,L$3,BD!$B$3:$B$5001,$A$437)))</f>
        <v/>
      </c>
      <c r="M463" s="223" t="str">
        <f>IF(M$3="","",IF(COUNTIFS(BD!$A$3:$A$5001,M$3,BD!$B$3:$B$5001,$A$437,BD!$AB$3:$AB$5001,"&lt;&gt;")=0,"",SUMIFS(BD!$AB$3:$AB$5001,BD!$A$3:$A$5001,M$3,BD!$B$3:$B$5001,$A$437)))</f>
        <v/>
      </c>
      <c r="N463" s="223" t="str">
        <f>IF(N$3="","",IF(COUNTIFS(BD!$A$3:$A$5001,N$3,BD!$B$3:$B$5001,$A$437,BD!$AB$3:$AB$5001,"&lt;&gt;")=0,"",SUMIFS(BD!$AB$3:$AB$5001,BD!$A$3:$A$5001,N$3,BD!$B$3:$B$5001,$A$437)))</f>
        <v/>
      </c>
      <c r="O463" s="223" t="str">
        <f>IF(O$3="","",IF(COUNTIFS(BD!$A$3:$A$5001,O$3,BD!$B$3:$B$5001,$A$437,BD!$AB$3:$AB$5001,"&lt;&gt;")=0,"",SUMIFS(BD!$AB$3:$AB$5001,BD!$A$3:$A$5001,O$3,BD!$B$3:$B$5001,$A$437)))</f>
        <v/>
      </c>
      <c r="P463" s="223" t="str">
        <f>IF(P$3="","",IF(COUNTIFS(BD!$A$3:$A$5001,P$3,BD!$B$3:$B$5001,$A$437,BD!$AB$3:$AB$5001,"&lt;&gt;")=0,"",SUMIFS(BD!$AB$3:$AB$5001,BD!$A$3:$A$5001,P$3,BD!$B$3:$B$5001,$A$437)))</f>
        <v/>
      </c>
      <c r="Q463" s="223" t="str">
        <f>IF(Q$3="","",IF(COUNTIFS(BD!$A$3:$A$5001,Q$3,BD!$B$3:$B$5001,$A$437,BD!$AB$3:$AB$5001,"&lt;&gt;")=0,"",SUMIFS(BD!$AB$3:$AB$5001,BD!$A$3:$A$5001,Q$3,BD!$B$3:$B$5001,$A$437)))</f>
        <v/>
      </c>
      <c r="R463" s="223" t="str">
        <f>IF(R$3="","",IF(COUNTIFS(BD!$A$3:$A$5001,R$3,BD!$B$3:$B$5001,$A$437,BD!$AB$3:$AB$5001,"&lt;&gt;")=0,"",SUMIFS(BD!$AB$3:$AB$5001,BD!$A$3:$A$5001,R$3,BD!$B$3:$B$5001,$A$437)))</f>
        <v/>
      </c>
      <c r="S463" s="223" t="str">
        <f>IF(S$3="","",IF(COUNTIFS(BD!$A$3:$A$5001,S$3,BD!$B$3:$B$5001,$A$437,BD!$AB$3:$AB$5001,"&lt;&gt;")=0,"",SUMIFS(BD!$AB$3:$AB$5001,BD!$A$3:$A$5001,S$3,BD!$B$3:$B$5001,$A$437)))</f>
        <v/>
      </c>
      <c r="T463" s="223" t="str">
        <f>IF(T$3="","",IF(COUNTIFS(BD!$A$3:$A$5001,T$3,BD!$B$3:$B$5001,$A$437,BD!$AB$3:$AB$5001,"&lt;&gt;")=0,"",SUMIFS(BD!$AB$3:$AB$5001,BD!$A$3:$A$5001,T$3,BD!$B$3:$B$5001,$A$437)))</f>
        <v/>
      </c>
      <c r="U463" s="223" t="str">
        <f>IF(U$3="","",IF(COUNTIFS(BD!$A$3:$A$5001,U$3,BD!$B$3:$B$5001,$A$437,BD!$AB$3:$AB$5001,"&lt;&gt;")=0,"",SUMIFS(BD!$AB$3:$AB$5001,BD!$A$3:$A$5001,U$3,BD!$B$3:$B$5001,$A$437)))</f>
        <v/>
      </c>
      <c r="V463" s="223" t="str">
        <f>IF(V$3="","",IF(COUNTIFS(BD!$A$3:$A$5001,V$3,BD!$B$3:$B$5001,$A$437,BD!$AB$3:$AB$5001,"&lt;&gt;")=0,"",SUMIFS(BD!$AB$3:$AB$5001,BD!$A$3:$A$5001,V$3,BD!$B$3:$B$5001,$A$437)))</f>
        <v/>
      </c>
      <c r="W463" s="223" t="str">
        <f>IF(W$3="","",IF(COUNTIFS(BD!$A$3:$A$5001,W$3,BD!$B$3:$B$5001,$A$437,BD!$AB$3:$AB$5001,"&lt;&gt;")=0,"",SUMIFS(BD!$AB$3:$AB$5001,BD!$A$3:$A$5001,W$3,BD!$B$3:$B$5001,$A$437)))</f>
        <v/>
      </c>
      <c r="X463" s="223" t="str">
        <f>IF(X$3="","",IF(COUNTIFS(BD!$A$3:$A$5001,X$3,BD!$B$3:$B$5001,$A$437,BD!$AB$3:$AB$5001,"&lt;&gt;")=0,"",SUMIFS(BD!$AB$3:$AB$5001,BD!$A$3:$A$5001,X$3,BD!$B$3:$B$5001,$A$437)))</f>
        <v/>
      </c>
      <c r="Y463" s="223" t="str">
        <f>IF(Y$3="","",IF(COUNTIFS(BD!$A$3:$A$5001,Y$3,BD!$B$3:$B$5001,$A$437,BD!$AB$3:$AB$5001,"&lt;&gt;")=0,"",SUMIFS(BD!$AB$3:$AB$5001,BD!$A$3:$A$5001,Y$3,BD!$B$3:$B$5001,$A$437)))</f>
        <v/>
      </c>
      <c r="Z463" s="223" t="str">
        <f>IF(Z$3="","",IF(COUNTIFS(BD!$A$3:$A$5001,Z$3,BD!$B$3:$B$5001,$A$437,BD!$AB$3:$AB$5001,"&lt;&gt;")=0,"",SUMIFS(BD!$AB$3:$AB$5001,BD!$A$3:$A$5001,Z$3,BD!$B$3:$B$5001,$A$437)))</f>
        <v/>
      </c>
      <c r="AA463" s="223" t="str">
        <f>IF(AA$3="","",IF(COUNTIFS(BD!$A$3:$A$5001,AA$3,BD!$B$3:$B$5001,$A$437,BD!$AB$3:$AB$5001,"&lt;&gt;")=0,"",SUMIFS(BD!$AB$3:$AB$5001,BD!$A$3:$A$5001,AA$3,BD!$B$3:$B$5001,$A$437)))</f>
        <v/>
      </c>
      <c r="AB463" s="223" t="str">
        <f>IF(AB$3="","",IF(COUNTIFS(BD!$A$3:$A$5001,AB$3,BD!$B$3:$B$5001,$A$437,BD!$AB$3:$AB$5001,"&lt;&gt;")=0,"",SUMIFS(BD!$AB$3:$AB$5001,BD!$A$3:$A$5001,AB$3,BD!$B$3:$B$5001,$A$437)))</f>
        <v/>
      </c>
      <c r="AC463" s="223" t="str">
        <f>IF(AC$3="","",IF(COUNTIFS(BD!$A$3:$A$5001,AC$3,BD!$B$3:$B$5001,$A$437,BD!$AB$3:$AB$5001,"&lt;&gt;")=0,"",SUMIFS(BD!$AB$3:$AB$5001,BD!$A$3:$A$5001,AC$3,BD!$B$3:$B$5001,$A$437)))</f>
        <v/>
      </c>
      <c r="AD463" s="223" t="str">
        <f>IF(AD$3="","",IF(COUNTIFS(BD!$A$3:$A$5001,AD$3,BD!$B$3:$B$5001,$A$437,BD!$AB$3:$AB$5001,"&lt;&gt;")=0,"",SUMIFS(BD!$AB$3:$AB$5001,BD!$A$3:$A$5001,AD$3,BD!$B$3:$B$5001,$A$437)))</f>
        <v/>
      </c>
      <c r="AE463" s="223" t="str">
        <f>IF(AE$3="","",IF(COUNTIFS(BD!$A$3:$A$5001,AE$3,BD!$B$3:$B$5001,$A$437,BD!$AB$3:$AB$5001,"&lt;&gt;")=0,"",SUMIFS(BD!$AB$3:$AB$5001,BD!$A$3:$A$5001,AE$3,BD!$B$3:$B$5001,$A$437)))</f>
        <v/>
      </c>
      <c r="AF463" s="223" t="str">
        <f>IF(AF$3="","",IF(COUNTIFS(BD!$A$3:$A$5001,AF$3,BD!$B$3:$B$5001,$A$437,BD!$AB$3:$AB$5001,"&lt;&gt;")=0,"",SUMIFS(BD!$AB$3:$AB$5001,BD!$A$3:$A$5001,AF$3,BD!$B$3:$B$5001,$A$437)))</f>
        <v/>
      </c>
      <c r="AG463" s="223" t="str">
        <f>IF(AG$3="","",IF(COUNTIFS(BD!$A$3:$A$5001,AG$3,BD!$B$3:$B$5001,$A$437,BD!$AB$3:$AB$5001,"&lt;&gt;")=0,"",SUMIFS(BD!$AB$3:$AB$5001,BD!$A$3:$A$5001,AG$3,BD!$B$3:$B$5001,$A$437)))</f>
        <v/>
      </c>
      <c r="AH463" s="223" t="str">
        <f>IF(AH$3="","",IF(COUNTIFS(BD!$A$3:$A$5001,AH$3,BD!$B$3:$B$5001,$A$437,BD!$AB$3:$AB$5001,"&lt;&gt;")=0,"",SUMIFS(BD!$AB$3:$AB$5001,BD!$A$3:$A$5001,AH$3,BD!$B$3:$B$5001,$A$437)))</f>
        <v/>
      </c>
      <c r="AI463" s="223" t="str">
        <f>IF(AI$3="","",IF(COUNTIFS(BD!$A$3:$A$5001,AI$3,BD!$B$3:$B$5001,$A$437,BD!$AB$3:$AB$5001,"&lt;&gt;")=0,"",SUMIFS(BD!$AB$3:$AB$5001,BD!$A$3:$A$5001,AI$3,BD!$B$3:$B$5001,$A$437)))</f>
        <v/>
      </c>
      <c r="AJ463" s="224" t="str">
        <f>IF(AJ$3="","",IF(COUNTIFS(BD!$A$3:$A$5001,AJ$3,BD!$B$3:$B$5001,$A$437,BD!$AB$3:$AB$5001,"&lt;&gt;")=0,"",SUMIFS(BD!$AB$3:$AB$5001,BD!$A$3:$A$5001,AJ$3,BD!$B$3:$B$5001,$A$437)))</f>
        <v/>
      </c>
      <c r="AK463" s="225" t="str">
        <f>IF(COUNT(F463:AJ463)=0,"",SUM(F463:AJ463))</f>
        <v/>
      </c>
    </row>
    <row r="464" ht="15.75" customHeight="1" hidden="1">
      <c r="A464" s="244"/>
      <c r="B464" s="241"/>
      <c r="C464" s="219" t="inlineStr">
        <is>
          <t xml:space="preserve">Desligamento</t>
        </is>
      </c>
      <c r="D464" s="220" t="str">
        <f>IFERROR(1/(1/INDEX(BD!$AJ$50:$BD$50,MATCH($A$437,BD!$AJ$22:$BD$22,0))),"")</f>
        <v/>
      </c>
      <c r="E464" s="221"/>
      <c r="F464" s="222" t="str">
        <f>IF(F$3="","",IF(COUNTIFS(BD!$A$3:$A$5001,F$3,BD!$B$3:$B$5001,$A$437,BD!$AC$3:$AC$5001,"&lt;&gt;")=0,"",SUMIFS(BD!$AC$3:$AC$5001,BD!$A$3:$A$5001,F$3,BD!$B$3:$B$5001,$A$437)))</f>
        <v/>
      </c>
      <c r="G464" s="223" t="str">
        <f>IF(G$3="","",IF(COUNTIFS(BD!$A$3:$A$5001,G$3,BD!$B$3:$B$5001,$A$437,BD!$AC$3:$AC$5001,"&lt;&gt;")=0,"",SUMIFS(BD!$AC$3:$AC$5001,BD!$A$3:$A$5001,G$3,BD!$B$3:$B$5001,$A$437)))</f>
        <v/>
      </c>
      <c r="H464" s="223" t="str">
        <f>IF(H$3="","",IF(COUNTIFS(BD!$A$3:$A$5001,H$3,BD!$B$3:$B$5001,$A$437,BD!$AC$3:$AC$5001,"&lt;&gt;")=0,"",SUMIFS(BD!$AC$3:$AC$5001,BD!$A$3:$A$5001,H$3,BD!$B$3:$B$5001,$A$437)))</f>
        <v/>
      </c>
      <c r="I464" s="223" t="str">
        <f>IF(I$3="","",IF(COUNTIFS(BD!$A$3:$A$5001,I$3,BD!$B$3:$B$5001,$A$437,BD!$AC$3:$AC$5001,"&lt;&gt;")=0,"",SUMIFS(BD!$AC$3:$AC$5001,BD!$A$3:$A$5001,I$3,BD!$B$3:$B$5001,$A$437)))</f>
        <v/>
      </c>
      <c r="J464" s="223" t="str">
        <f>IF(J$3="","",IF(COUNTIFS(BD!$A$3:$A$5001,J$3,BD!$B$3:$B$5001,$A$437,BD!$AC$3:$AC$5001,"&lt;&gt;")=0,"",SUMIFS(BD!$AC$3:$AC$5001,BD!$A$3:$A$5001,J$3,BD!$B$3:$B$5001,$A$437)))</f>
        <v/>
      </c>
      <c r="K464" s="223" t="str">
        <f>IF(K$3="","",IF(COUNTIFS(BD!$A$3:$A$5001,K$3,BD!$B$3:$B$5001,$A$437,BD!$AC$3:$AC$5001,"&lt;&gt;")=0,"",SUMIFS(BD!$AC$3:$AC$5001,BD!$A$3:$A$5001,K$3,BD!$B$3:$B$5001,$A$437)))</f>
        <v/>
      </c>
      <c r="L464" s="223" t="str">
        <f>IF(L$3="","",IF(COUNTIFS(BD!$A$3:$A$5001,L$3,BD!$B$3:$B$5001,$A$437,BD!$AC$3:$AC$5001,"&lt;&gt;")=0,"",SUMIFS(BD!$AC$3:$AC$5001,BD!$A$3:$A$5001,L$3,BD!$B$3:$B$5001,$A$437)))</f>
        <v/>
      </c>
      <c r="M464" s="223" t="str">
        <f>IF(M$3="","",IF(COUNTIFS(BD!$A$3:$A$5001,M$3,BD!$B$3:$B$5001,$A$437,BD!$AC$3:$AC$5001,"&lt;&gt;")=0,"",SUMIFS(BD!$AC$3:$AC$5001,BD!$A$3:$A$5001,M$3,BD!$B$3:$B$5001,$A$437)))</f>
        <v/>
      </c>
      <c r="N464" s="223" t="str">
        <f>IF(N$3="","",IF(COUNTIFS(BD!$A$3:$A$5001,N$3,BD!$B$3:$B$5001,$A$437,BD!$AC$3:$AC$5001,"&lt;&gt;")=0,"",SUMIFS(BD!$AC$3:$AC$5001,BD!$A$3:$A$5001,N$3,BD!$B$3:$B$5001,$A$437)))</f>
        <v/>
      </c>
      <c r="O464" s="223" t="str">
        <f>IF(O$3="","",IF(COUNTIFS(BD!$A$3:$A$5001,O$3,BD!$B$3:$B$5001,$A$437,BD!$AC$3:$AC$5001,"&lt;&gt;")=0,"",SUMIFS(BD!$AC$3:$AC$5001,BD!$A$3:$A$5001,O$3,BD!$B$3:$B$5001,$A$437)))</f>
        <v/>
      </c>
      <c r="P464" s="223" t="str">
        <f>IF(P$3="","",IF(COUNTIFS(BD!$A$3:$A$5001,P$3,BD!$B$3:$B$5001,$A$437,BD!$AC$3:$AC$5001,"&lt;&gt;")=0,"",SUMIFS(BD!$AC$3:$AC$5001,BD!$A$3:$A$5001,P$3,BD!$B$3:$B$5001,$A$437)))</f>
        <v/>
      </c>
      <c r="Q464" s="223" t="str">
        <f>IF(Q$3="","",IF(COUNTIFS(BD!$A$3:$A$5001,Q$3,BD!$B$3:$B$5001,$A$437,BD!$AC$3:$AC$5001,"&lt;&gt;")=0,"",SUMIFS(BD!$AC$3:$AC$5001,BD!$A$3:$A$5001,Q$3,BD!$B$3:$B$5001,$A$437)))</f>
        <v/>
      </c>
      <c r="R464" s="223" t="str">
        <f>IF(R$3="","",IF(COUNTIFS(BD!$A$3:$A$5001,R$3,BD!$B$3:$B$5001,$A$437,BD!$AC$3:$AC$5001,"&lt;&gt;")=0,"",SUMIFS(BD!$AC$3:$AC$5001,BD!$A$3:$A$5001,R$3,BD!$B$3:$B$5001,$A$437)))</f>
        <v/>
      </c>
      <c r="S464" s="223" t="str">
        <f>IF(S$3="","",IF(COUNTIFS(BD!$A$3:$A$5001,S$3,BD!$B$3:$B$5001,$A$437,BD!$AC$3:$AC$5001,"&lt;&gt;")=0,"",SUMIFS(BD!$AC$3:$AC$5001,BD!$A$3:$A$5001,S$3,BD!$B$3:$B$5001,$A$437)))</f>
        <v/>
      </c>
      <c r="T464" s="223" t="str">
        <f>IF(T$3="","",IF(COUNTIFS(BD!$A$3:$A$5001,T$3,BD!$B$3:$B$5001,$A$437,BD!$AC$3:$AC$5001,"&lt;&gt;")=0,"",SUMIFS(BD!$AC$3:$AC$5001,BD!$A$3:$A$5001,T$3,BD!$B$3:$B$5001,$A$437)))</f>
        <v/>
      </c>
      <c r="U464" s="223" t="str">
        <f>IF(U$3="","",IF(COUNTIFS(BD!$A$3:$A$5001,U$3,BD!$B$3:$B$5001,$A$437,BD!$AC$3:$AC$5001,"&lt;&gt;")=0,"",SUMIFS(BD!$AC$3:$AC$5001,BD!$A$3:$A$5001,U$3,BD!$B$3:$B$5001,$A$437)))</f>
        <v/>
      </c>
      <c r="V464" s="223" t="str">
        <f>IF(V$3="","",IF(COUNTIFS(BD!$A$3:$A$5001,V$3,BD!$B$3:$B$5001,$A$437,BD!$AC$3:$AC$5001,"&lt;&gt;")=0,"",SUMIFS(BD!$AC$3:$AC$5001,BD!$A$3:$A$5001,V$3,BD!$B$3:$B$5001,$A$437)))</f>
        <v/>
      </c>
      <c r="W464" s="223" t="str">
        <f>IF(W$3="","",IF(COUNTIFS(BD!$A$3:$A$5001,W$3,BD!$B$3:$B$5001,$A$437,BD!$AC$3:$AC$5001,"&lt;&gt;")=0,"",SUMIFS(BD!$AC$3:$AC$5001,BD!$A$3:$A$5001,W$3,BD!$B$3:$B$5001,$A$437)))</f>
        <v/>
      </c>
      <c r="X464" s="223" t="str">
        <f>IF(X$3="","",IF(COUNTIFS(BD!$A$3:$A$5001,X$3,BD!$B$3:$B$5001,$A$437,BD!$AC$3:$AC$5001,"&lt;&gt;")=0,"",SUMIFS(BD!$AC$3:$AC$5001,BD!$A$3:$A$5001,X$3,BD!$B$3:$B$5001,$A$437)))</f>
        <v/>
      </c>
      <c r="Y464" s="223" t="str">
        <f>IF(Y$3="","",IF(COUNTIFS(BD!$A$3:$A$5001,Y$3,BD!$B$3:$B$5001,$A$437,BD!$AC$3:$AC$5001,"&lt;&gt;")=0,"",SUMIFS(BD!$AC$3:$AC$5001,BD!$A$3:$A$5001,Y$3,BD!$B$3:$B$5001,$A$437)))</f>
        <v/>
      </c>
      <c r="Z464" s="223" t="str">
        <f>IF(Z$3="","",IF(COUNTIFS(BD!$A$3:$A$5001,Z$3,BD!$B$3:$B$5001,$A$437,BD!$AC$3:$AC$5001,"&lt;&gt;")=0,"",SUMIFS(BD!$AC$3:$AC$5001,BD!$A$3:$A$5001,Z$3,BD!$B$3:$B$5001,$A$437)))</f>
        <v/>
      </c>
      <c r="AA464" s="223" t="str">
        <f>IF(AA$3="","",IF(COUNTIFS(BD!$A$3:$A$5001,AA$3,BD!$B$3:$B$5001,$A$437,BD!$AC$3:$AC$5001,"&lt;&gt;")=0,"",SUMIFS(BD!$AC$3:$AC$5001,BD!$A$3:$A$5001,AA$3,BD!$B$3:$B$5001,$A$437)))</f>
        <v/>
      </c>
      <c r="AB464" s="223" t="str">
        <f>IF(AB$3="","",IF(COUNTIFS(BD!$A$3:$A$5001,AB$3,BD!$B$3:$B$5001,$A$437,BD!$AC$3:$AC$5001,"&lt;&gt;")=0,"",SUMIFS(BD!$AC$3:$AC$5001,BD!$A$3:$A$5001,AB$3,BD!$B$3:$B$5001,$A$437)))</f>
        <v/>
      </c>
      <c r="AC464" s="223" t="str">
        <f>IF(AC$3="","",IF(COUNTIFS(BD!$A$3:$A$5001,AC$3,BD!$B$3:$B$5001,$A$437,BD!$AC$3:$AC$5001,"&lt;&gt;")=0,"",SUMIFS(BD!$AC$3:$AC$5001,BD!$A$3:$A$5001,AC$3,BD!$B$3:$B$5001,$A$437)))</f>
        <v/>
      </c>
      <c r="AD464" s="223" t="str">
        <f>IF(AD$3="","",IF(COUNTIFS(BD!$A$3:$A$5001,AD$3,BD!$B$3:$B$5001,$A$437,BD!$AC$3:$AC$5001,"&lt;&gt;")=0,"",SUMIFS(BD!$AC$3:$AC$5001,BD!$A$3:$A$5001,AD$3,BD!$B$3:$B$5001,$A$437)))</f>
        <v/>
      </c>
      <c r="AE464" s="223" t="str">
        <f>IF(AE$3="","",IF(COUNTIFS(BD!$A$3:$A$5001,AE$3,BD!$B$3:$B$5001,$A$437,BD!$AC$3:$AC$5001,"&lt;&gt;")=0,"",SUMIFS(BD!$AC$3:$AC$5001,BD!$A$3:$A$5001,AE$3,BD!$B$3:$B$5001,$A$437)))</f>
        <v/>
      </c>
      <c r="AF464" s="223" t="str">
        <f>IF(AF$3="","",IF(COUNTIFS(BD!$A$3:$A$5001,AF$3,BD!$B$3:$B$5001,$A$437,BD!$AC$3:$AC$5001,"&lt;&gt;")=0,"",SUMIFS(BD!$AC$3:$AC$5001,BD!$A$3:$A$5001,AF$3,BD!$B$3:$B$5001,$A$437)))</f>
        <v/>
      </c>
      <c r="AG464" s="223" t="str">
        <f>IF(AG$3="","",IF(COUNTIFS(BD!$A$3:$A$5001,AG$3,BD!$B$3:$B$5001,$A$437,BD!$AC$3:$AC$5001,"&lt;&gt;")=0,"",SUMIFS(BD!$AC$3:$AC$5001,BD!$A$3:$A$5001,AG$3,BD!$B$3:$B$5001,$A$437)))</f>
        <v/>
      </c>
      <c r="AH464" s="223" t="str">
        <f>IF(AH$3="","",IF(COUNTIFS(BD!$A$3:$A$5001,AH$3,BD!$B$3:$B$5001,$A$437,BD!$AC$3:$AC$5001,"&lt;&gt;")=0,"",SUMIFS(BD!$AC$3:$AC$5001,BD!$A$3:$A$5001,AH$3,BD!$B$3:$B$5001,$A$437)))</f>
        <v/>
      </c>
      <c r="AI464" s="223" t="str">
        <f>IF(AI$3="","",IF(COUNTIFS(BD!$A$3:$A$5001,AI$3,BD!$B$3:$B$5001,$A$437,BD!$AC$3:$AC$5001,"&lt;&gt;")=0,"",SUMIFS(BD!$AC$3:$AC$5001,BD!$A$3:$A$5001,AI$3,BD!$B$3:$B$5001,$A$437)))</f>
        <v/>
      </c>
      <c r="AJ464" s="224" t="str">
        <f>IF(AJ$3="","",IF(COUNTIFS(BD!$A$3:$A$5001,AJ$3,BD!$B$3:$B$5001,$A$437,BD!$AC$3:$AC$5001,"&lt;&gt;")=0,"",SUMIFS(BD!$AC$3:$AC$5001,BD!$A$3:$A$5001,AJ$3,BD!$B$3:$B$5001,$A$437)))</f>
        <v/>
      </c>
      <c r="AK464" s="225" t="str">
        <f>IF(COUNT(F464:AJ464)=0,"",SUM(F464:AJ464))</f>
        <v/>
      </c>
    </row>
    <row r="465" ht="15.75" customHeight="1" hidden="1">
      <c r="A465" s="244"/>
      <c r="B465" s="241"/>
      <c r="C465" s="219" t="inlineStr">
        <is>
          <t xml:space="preserve">Desvios Comportamentais</t>
        </is>
      </c>
      <c r="D465" s="220" t="str">
        <f>IFERROR(1/(1/INDEX(BD!$AJ$51:$BD$51,MATCH($A$437,BD!$AJ$22:$BD$22,0))),"")</f>
        <v/>
      </c>
      <c r="E465" s="221"/>
      <c r="F465" s="222" t="str">
        <f>IF(F$3="","",IF(COUNTIFS(BD!$A$3:$A$5001,F$3,BD!$B$3:$B$5001,$A$437,BD!$AD$3:$AD$5001,"&lt;&gt;")=0,"",SUMIFS(BD!$AD$3:$AD$5001,BD!$A$3:$A$5001,F$3,BD!$B$3:$B$5001,$A$437)))</f>
        <v/>
      </c>
      <c r="G465" s="223" t="str">
        <f>IF(G$3="","",IF(COUNTIFS(BD!$A$3:$A$5001,G$3,BD!$B$3:$B$5001,$A$437,BD!$AD$3:$AD$5001,"&lt;&gt;")=0,"",SUMIFS(BD!$AD$3:$AD$5001,BD!$A$3:$A$5001,G$3,BD!$B$3:$B$5001,$A$437)))</f>
        <v/>
      </c>
      <c r="H465" s="223" t="str">
        <f>IF(H$3="","",IF(COUNTIFS(BD!$A$3:$A$5001,H$3,BD!$B$3:$B$5001,$A$437,BD!$AD$3:$AD$5001,"&lt;&gt;")=0,"",SUMIFS(BD!$AD$3:$AD$5001,BD!$A$3:$A$5001,H$3,BD!$B$3:$B$5001,$A$437)))</f>
        <v/>
      </c>
      <c r="I465" s="223" t="str">
        <f>IF(I$3="","",IF(COUNTIFS(BD!$A$3:$A$5001,I$3,BD!$B$3:$B$5001,$A$437,BD!$AD$3:$AD$5001,"&lt;&gt;")=0,"",SUMIFS(BD!$AD$3:$AD$5001,BD!$A$3:$A$5001,I$3,BD!$B$3:$B$5001,$A$437)))</f>
        <v/>
      </c>
      <c r="J465" s="223" t="str">
        <f>IF(J$3="","",IF(COUNTIFS(BD!$A$3:$A$5001,J$3,BD!$B$3:$B$5001,$A$437,BD!$AD$3:$AD$5001,"&lt;&gt;")=0,"",SUMIFS(BD!$AD$3:$AD$5001,BD!$A$3:$A$5001,J$3,BD!$B$3:$B$5001,$A$437)))</f>
        <v/>
      </c>
      <c r="K465" s="223" t="str">
        <f>IF(K$3="","",IF(COUNTIFS(BD!$A$3:$A$5001,K$3,BD!$B$3:$B$5001,$A$437,BD!$AD$3:$AD$5001,"&lt;&gt;")=0,"",SUMIFS(BD!$AD$3:$AD$5001,BD!$A$3:$A$5001,K$3,BD!$B$3:$B$5001,$A$437)))</f>
        <v/>
      </c>
      <c r="L465" s="223" t="str">
        <f>IF(L$3="","",IF(COUNTIFS(BD!$A$3:$A$5001,L$3,BD!$B$3:$B$5001,$A$437,BD!$AD$3:$AD$5001,"&lt;&gt;")=0,"",SUMIFS(BD!$AD$3:$AD$5001,BD!$A$3:$A$5001,L$3,BD!$B$3:$B$5001,$A$437)))</f>
        <v/>
      </c>
      <c r="M465" s="223" t="str">
        <f>IF(M$3="","",IF(COUNTIFS(BD!$A$3:$A$5001,M$3,BD!$B$3:$B$5001,$A$437,BD!$AD$3:$AD$5001,"&lt;&gt;")=0,"",SUMIFS(BD!$AD$3:$AD$5001,BD!$A$3:$A$5001,M$3,BD!$B$3:$B$5001,$A$437)))</f>
        <v/>
      </c>
      <c r="N465" s="223" t="str">
        <f>IF(N$3="","",IF(COUNTIFS(BD!$A$3:$A$5001,N$3,BD!$B$3:$B$5001,$A$437,BD!$AD$3:$AD$5001,"&lt;&gt;")=0,"",SUMIFS(BD!$AD$3:$AD$5001,BD!$A$3:$A$5001,N$3,BD!$B$3:$B$5001,$A$437)))</f>
        <v/>
      </c>
      <c r="O465" s="223" t="str">
        <f>IF(O$3="","",IF(COUNTIFS(BD!$A$3:$A$5001,O$3,BD!$B$3:$B$5001,$A$437,BD!$AD$3:$AD$5001,"&lt;&gt;")=0,"",SUMIFS(BD!$AD$3:$AD$5001,BD!$A$3:$A$5001,O$3,BD!$B$3:$B$5001,$A$437)))</f>
        <v/>
      </c>
      <c r="P465" s="223" t="str">
        <f>IF(P$3="","",IF(COUNTIFS(BD!$A$3:$A$5001,P$3,BD!$B$3:$B$5001,$A$437,BD!$AD$3:$AD$5001,"&lt;&gt;")=0,"",SUMIFS(BD!$AD$3:$AD$5001,BD!$A$3:$A$5001,P$3,BD!$B$3:$B$5001,$A$437)))</f>
        <v/>
      </c>
      <c r="Q465" s="223" t="str">
        <f>IF(Q$3="","",IF(COUNTIFS(BD!$A$3:$A$5001,Q$3,BD!$B$3:$B$5001,$A$437,BD!$AD$3:$AD$5001,"&lt;&gt;")=0,"",SUMIFS(BD!$AD$3:$AD$5001,BD!$A$3:$A$5001,Q$3,BD!$B$3:$B$5001,$A$437)))</f>
        <v/>
      </c>
      <c r="R465" s="223" t="str">
        <f>IF(R$3="","",IF(COUNTIFS(BD!$A$3:$A$5001,R$3,BD!$B$3:$B$5001,$A$437,BD!$AD$3:$AD$5001,"&lt;&gt;")=0,"",SUMIFS(BD!$AD$3:$AD$5001,BD!$A$3:$A$5001,R$3,BD!$B$3:$B$5001,$A$437)))</f>
        <v/>
      </c>
      <c r="S465" s="223" t="str">
        <f>IF(S$3="","",IF(COUNTIFS(BD!$A$3:$A$5001,S$3,BD!$B$3:$B$5001,$A$437,BD!$AD$3:$AD$5001,"&lt;&gt;")=0,"",SUMIFS(BD!$AD$3:$AD$5001,BD!$A$3:$A$5001,S$3,BD!$B$3:$B$5001,$A$437)))</f>
        <v/>
      </c>
      <c r="T465" s="223" t="str">
        <f>IF(T$3="","",IF(COUNTIFS(BD!$A$3:$A$5001,T$3,BD!$B$3:$B$5001,$A$437,BD!$AD$3:$AD$5001,"&lt;&gt;")=0,"",SUMIFS(BD!$AD$3:$AD$5001,BD!$A$3:$A$5001,T$3,BD!$B$3:$B$5001,$A$437)))</f>
        <v/>
      </c>
      <c r="U465" s="223" t="str">
        <f>IF(U$3="","",IF(COUNTIFS(BD!$A$3:$A$5001,U$3,BD!$B$3:$B$5001,$A$437,BD!$AD$3:$AD$5001,"&lt;&gt;")=0,"",SUMIFS(BD!$AD$3:$AD$5001,BD!$A$3:$A$5001,U$3,BD!$B$3:$B$5001,$A$437)))</f>
        <v/>
      </c>
      <c r="V465" s="223" t="str">
        <f>IF(V$3="","",IF(COUNTIFS(BD!$A$3:$A$5001,V$3,BD!$B$3:$B$5001,$A$437,BD!$AD$3:$AD$5001,"&lt;&gt;")=0,"",SUMIFS(BD!$AD$3:$AD$5001,BD!$A$3:$A$5001,V$3,BD!$B$3:$B$5001,$A$437)))</f>
        <v/>
      </c>
      <c r="W465" s="223" t="str">
        <f>IF(W$3="","",IF(COUNTIFS(BD!$A$3:$A$5001,W$3,BD!$B$3:$B$5001,$A$437,BD!$AD$3:$AD$5001,"&lt;&gt;")=0,"",SUMIFS(BD!$AD$3:$AD$5001,BD!$A$3:$A$5001,W$3,BD!$B$3:$B$5001,$A$437)))</f>
        <v/>
      </c>
      <c r="X465" s="223" t="str">
        <f>IF(X$3="","",IF(COUNTIFS(BD!$A$3:$A$5001,X$3,BD!$B$3:$B$5001,$A$437,BD!$AD$3:$AD$5001,"&lt;&gt;")=0,"",SUMIFS(BD!$AD$3:$AD$5001,BD!$A$3:$A$5001,X$3,BD!$B$3:$B$5001,$A$437)))</f>
        <v/>
      </c>
      <c r="Y465" s="223" t="str">
        <f>IF(Y$3="","",IF(COUNTIFS(BD!$A$3:$A$5001,Y$3,BD!$B$3:$B$5001,$A$437,BD!$AD$3:$AD$5001,"&lt;&gt;")=0,"",SUMIFS(BD!$AD$3:$AD$5001,BD!$A$3:$A$5001,Y$3,BD!$B$3:$B$5001,$A$437)))</f>
        <v/>
      </c>
      <c r="Z465" s="223" t="str">
        <f>IF(Z$3="","",IF(COUNTIFS(BD!$A$3:$A$5001,Z$3,BD!$B$3:$B$5001,$A$437,BD!$AD$3:$AD$5001,"&lt;&gt;")=0,"",SUMIFS(BD!$AD$3:$AD$5001,BD!$A$3:$A$5001,Z$3,BD!$B$3:$B$5001,$A$437)))</f>
        <v/>
      </c>
      <c r="AA465" s="223" t="str">
        <f>IF(AA$3="","",IF(COUNTIFS(BD!$A$3:$A$5001,AA$3,BD!$B$3:$B$5001,$A$437,BD!$AD$3:$AD$5001,"&lt;&gt;")=0,"",SUMIFS(BD!$AD$3:$AD$5001,BD!$A$3:$A$5001,AA$3,BD!$B$3:$B$5001,$A$437)))</f>
        <v/>
      </c>
      <c r="AB465" s="223" t="str">
        <f>IF(AB$3="","",IF(COUNTIFS(BD!$A$3:$A$5001,AB$3,BD!$B$3:$B$5001,$A$437,BD!$AD$3:$AD$5001,"&lt;&gt;")=0,"",SUMIFS(BD!$AD$3:$AD$5001,BD!$A$3:$A$5001,AB$3,BD!$B$3:$B$5001,$A$437)))</f>
        <v/>
      </c>
      <c r="AC465" s="223" t="str">
        <f>IF(AC$3="","",IF(COUNTIFS(BD!$A$3:$A$5001,AC$3,BD!$B$3:$B$5001,$A$437,BD!$AD$3:$AD$5001,"&lt;&gt;")=0,"",SUMIFS(BD!$AD$3:$AD$5001,BD!$A$3:$A$5001,AC$3,BD!$B$3:$B$5001,$A$437)))</f>
        <v/>
      </c>
      <c r="AD465" s="223" t="str">
        <f>IF(AD$3="","",IF(COUNTIFS(BD!$A$3:$A$5001,AD$3,BD!$B$3:$B$5001,$A$437,BD!$AD$3:$AD$5001,"&lt;&gt;")=0,"",SUMIFS(BD!$AD$3:$AD$5001,BD!$A$3:$A$5001,AD$3,BD!$B$3:$B$5001,$A$437)))</f>
        <v/>
      </c>
      <c r="AE465" s="223" t="str">
        <f>IF(AE$3="","",IF(COUNTIFS(BD!$A$3:$A$5001,AE$3,BD!$B$3:$B$5001,$A$437,BD!$AD$3:$AD$5001,"&lt;&gt;")=0,"",SUMIFS(BD!$AD$3:$AD$5001,BD!$A$3:$A$5001,AE$3,BD!$B$3:$B$5001,$A$437)))</f>
        <v/>
      </c>
      <c r="AF465" s="223" t="str">
        <f>IF(AF$3="","",IF(COUNTIFS(BD!$A$3:$A$5001,AF$3,BD!$B$3:$B$5001,$A$437,BD!$AD$3:$AD$5001,"&lt;&gt;")=0,"",SUMIFS(BD!$AD$3:$AD$5001,BD!$A$3:$A$5001,AF$3,BD!$B$3:$B$5001,$A$437)))</f>
        <v/>
      </c>
      <c r="AG465" s="223" t="str">
        <f>IF(AG$3="","",IF(COUNTIFS(BD!$A$3:$A$5001,AG$3,BD!$B$3:$B$5001,$A$437,BD!$AD$3:$AD$5001,"&lt;&gt;")=0,"",SUMIFS(BD!$AD$3:$AD$5001,BD!$A$3:$A$5001,AG$3,BD!$B$3:$B$5001,$A$437)))</f>
        <v/>
      </c>
      <c r="AH465" s="223" t="str">
        <f>IF(AH$3="","",IF(COUNTIFS(BD!$A$3:$A$5001,AH$3,BD!$B$3:$B$5001,$A$437,BD!$AD$3:$AD$5001,"&lt;&gt;")=0,"",SUMIFS(BD!$AD$3:$AD$5001,BD!$A$3:$A$5001,AH$3,BD!$B$3:$B$5001,$A$437)))</f>
        <v/>
      </c>
      <c r="AI465" s="223" t="str">
        <f>IF(AI$3="","",IF(COUNTIFS(BD!$A$3:$A$5001,AI$3,BD!$B$3:$B$5001,$A$437,BD!$AD$3:$AD$5001,"&lt;&gt;")=0,"",SUMIFS(BD!$AD$3:$AD$5001,BD!$A$3:$A$5001,AI$3,BD!$B$3:$B$5001,$A$437)))</f>
        <v/>
      </c>
      <c r="AJ465" s="224" t="str">
        <f>IF(AJ$3="","",IF(COUNTIFS(BD!$A$3:$A$5001,AJ$3,BD!$B$3:$B$5001,$A$437,BD!$AD$3:$AD$5001,"&lt;&gt;")=0,"",SUMIFS(BD!$AD$3:$AD$5001,BD!$A$3:$A$5001,AJ$3,BD!$B$3:$B$5001,$A$437)))</f>
        <v/>
      </c>
      <c r="AK465" s="225" t="str">
        <f>IF(COUNT(F465:AJ465)=0,"",SUM(F465:AJ465))</f>
        <v/>
      </c>
    </row>
    <row r="466" ht="15.75" customHeight="1" hidden="1">
      <c r="A466" s="244"/>
      <c r="B466" s="241"/>
      <c r="C466" s="219" t="inlineStr">
        <is>
          <t xml:space="preserve">Acidentes CAF</t>
        </is>
      </c>
      <c r="D466" s="220" t="str">
        <f>IFERROR(1/(1/INDEX(BD!$AJ$52:$BD$52,MATCH($A$437,BD!$AJ$22:$BD$22,0))),"")</f>
        <v/>
      </c>
      <c r="E466" s="221"/>
      <c r="F466" s="222" t="str">
        <f>IF(F$3="","",IF(COUNTIFS(BD!$A$3:$A$5001,F$3,BD!$B$3:$B$5001,$A$437,BD!$AE$3:$AE$5001,"&lt;&gt;")=0,"",SUMIFS(BD!$AE$3:$AE$5001,BD!$A$3:$A$5001,F$3,BD!$B$3:$B$5001,$A$437)))</f>
        <v/>
      </c>
      <c r="G466" s="223" t="str">
        <f>IF(G$3="","",IF(COUNTIFS(BD!$A$3:$A$5001,G$3,BD!$B$3:$B$5001,$A$437,BD!$AE$3:$AE$5001,"&lt;&gt;")=0,"",SUMIFS(BD!$AE$3:$AE$5001,BD!$A$3:$A$5001,G$3,BD!$B$3:$B$5001,$A$437)))</f>
        <v/>
      </c>
      <c r="H466" s="223" t="str">
        <f>IF(H$3="","",IF(COUNTIFS(BD!$A$3:$A$5001,H$3,BD!$B$3:$B$5001,$A$437,BD!$AE$3:$AE$5001,"&lt;&gt;")=0,"",SUMIFS(BD!$AE$3:$AE$5001,BD!$A$3:$A$5001,H$3,BD!$B$3:$B$5001,$A$437)))</f>
        <v/>
      </c>
      <c r="I466" s="223" t="str">
        <f>IF(I$3="","",IF(COUNTIFS(BD!$A$3:$A$5001,I$3,BD!$B$3:$B$5001,$A$437,BD!$AE$3:$AE$5001,"&lt;&gt;")=0,"",SUMIFS(BD!$AE$3:$AE$5001,BD!$A$3:$A$5001,I$3,BD!$B$3:$B$5001,$A$437)))</f>
        <v/>
      </c>
      <c r="J466" s="223" t="str">
        <f>IF(J$3="","",IF(COUNTIFS(BD!$A$3:$A$5001,J$3,BD!$B$3:$B$5001,$A$437,BD!$AE$3:$AE$5001,"&lt;&gt;")=0,"",SUMIFS(BD!$AE$3:$AE$5001,BD!$A$3:$A$5001,J$3,BD!$B$3:$B$5001,$A$437)))</f>
        <v/>
      </c>
      <c r="K466" s="223" t="str">
        <f>IF(K$3="","",IF(COUNTIFS(BD!$A$3:$A$5001,K$3,BD!$B$3:$B$5001,$A$437,BD!$AE$3:$AE$5001,"&lt;&gt;")=0,"",SUMIFS(BD!$AE$3:$AE$5001,BD!$A$3:$A$5001,K$3,BD!$B$3:$B$5001,$A$437)))</f>
        <v/>
      </c>
      <c r="L466" s="223" t="str">
        <f>IF(L$3="","",IF(COUNTIFS(BD!$A$3:$A$5001,L$3,BD!$B$3:$B$5001,$A$437,BD!$AE$3:$AE$5001,"&lt;&gt;")=0,"",SUMIFS(BD!$AE$3:$AE$5001,BD!$A$3:$A$5001,L$3,BD!$B$3:$B$5001,$A$437)))</f>
        <v/>
      </c>
      <c r="M466" s="223" t="str">
        <f>IF(M$3="","",IF(COUNTIFS(BD!$A$3:$A$5001,M$3,BD!$B$3:$B$5001,$A$437,BD!$AE$3:$AE$5001,"&lt;&gt;")=0,"",SUMIFS(BD!$AE$3:$AE$5001,BD!$A$3:$A$5001,M$3,BD!$B$3:$B$5001,$A$437)))</f>
        <v/>
      </c>
      <c r="N466" s="223" t="str">
        <f>IF(N$3="","",IF(COUNTIFS(BD!$A$3:$A$5001,N$3,BD!$B$3:$B$5001,$A$437,BD!$AE$3:$AE$5001,"&lt;&gt;")=0,"",SUMIFS(BD!$AE$3:$AE$5001,BD!$A$3:$A$5001,N$3,BD!$B$3:$B$5001,$A$437)))</f>
        <v/>
      </c>
      <c r="O466" s="223" t="str">
        <f>IF(O$3="","",IF(COUNTIFS(BD!$A$3:$A$5001,O$3,BD!$B$3:$B$5001,$A$437,BD!$AE$3:$AE$5001,"&lt;&gt;")=0,"",SUMIFS(BD!$AE$3:$AE$5001,BD!$A$3:$A$5001,O$3,BD!$B$3:$B$5001,$A$437)))</f>
        <v/>
      </c>
      <c r="P466" s="223" t="str">
        <f>IF(P$3="","",IF(COUNTIFS(BD!$A$3:$A$5001,P$3,BD!$B$3:$B$5001,$A$437,BD!$AE$3:$AE$5001,"&lt;&gt;")=0,"",SUMIFS(BD!$AE$3:$AE$5001,BD!$A$3:$A$5001,P$3,BD!$B$3:$B$5001,$A$437)))</f>
        <v/>
      </c>
      <c r="Q466" s="223" t="str">
        <f>IF(Q$3="","",IF(COUNTIFS(BD!$A$3:$A$5001,Q$3,BD!$B$3:$B$5001,$A$437,BD!$AE$3:$AE$5001,"&lt;&gt;")=0,"",SUMIFS(BD!$AE$3:$AE$5001,BD!$A$3:$A$5001,Q$3,BD!$B$3:$B$5001,$A$437)))</f>
        <v/>
      </c>
      <c r="R466" s="223" t="str">
        <f>IF(R$3="","",IF(COUNTIFS(BD!$A$3:$A$5001,R$3,BD!$B$3:$B$5001,$A$437,BD!$AE$3:$AE$5001,"&lt;&gt;")=0,"",SUMIFS(BD!$AE$3:$AE$5001,BD!$A$3:$A$5001,R$3,BD!$B$3:$B$5001,$A$437)))</f>
        <v/>
      </c>
      <c r="S466" s="223" t="str">
        <f>IF(S$3="","",IF(COUNTIFS(BD!$A$3:$A$5001,S$3,BD!$B$3:$B$5001,$A$437,BD!$AE$3:$AE$5001,"&lt;&gt;")=0,"",SUMIFS(BD!$AE$3:$AE$5001,BD!$A$3:$A$5001,S$3,BD!$B$3:$B$5001,$A$437)))</f>
        <v/>
      </c>
      <c r="T466" s="223" t="str">
        <f>IF(T$3="","",IF(COUNTIFS(BD!$A$3:$A$5001,T$3,BD!$B$3:$B$5001,$A$437,BD!$AE$3:$AE$5001,"&lt;&gt;")=0,"",SUMIFS(BD!$AE$3:$AE$5001,BD!$A$3:$A$5001,T$3,BD!$B$3:$B$5001,$A$437)))</f>
        <v/>
      </c>
      <c r="U466" s="223" t="str">
        <f>IF(U$3="","",IF(COUNTIFS(BD!$A$3:$A$5001,U$3,BD!$B$3:$B$5001,$A$437,BD!$AE$3:$AE$5001,"&lt;&gt;")=0,"",SUMIFS(BD!$AE$3:$AE$5001,BD!$A$3:$A$5001,U$3,BD!$B$3:$B$5001,$A$437)))</f>
        <v/>
      </c>
      <c r="V466" s="223" t="str">
        <f>IF(V$3="","",IF(COUNTIFS(BD!$A$3:$A$5001,V$3,BD!$B$3:$B$5001,$A$437,BD!$AE$3:$AE$5001,"&lt;&gt;")=0,"",SUMIFS(BD!$AE$3:$AE$5001,BD!$A$3:$A$5001,V$3,BD!$B$3:$B$5001,$A$437)))</f>
        <v/>
      </c>
      <c r="W466" s="223" t="str">
        <f>IF(W$3="","",IF(COUNTIFS(BD!$A$3:$A$5001,W$3,BD!$B$3:$B$5001,$A$437,BD!$AE$3:$AE$5001,"&lt;&gt;")=0,"",SUMIFS(BD!$AE$3:$AE$5001,BD!$A$3:$A$5001,W$3,BD!$B$3:$B$5001,$A$437)))</f>
        <v/>
      </c>
      <c r="X466" s="223" t="str">
        <f>IF(X$3="","",IF(COUNTIFS(BD!$A$3:$A$5001,X$3,BD!$B$3:$B$5001,$A$437,BD!$AE$3:$AE$5001,"&lt;&gt;")=0,"",SUMIFS(BD!$AE$3:$AE$5001,BD!$A$3:$A$5001,X$3,BD!$B$3:$B$5001,$A$437)))</f>
        <v/>
      </c>
      <c r="Y466" s="223" t="str">
        <f>IF(Y$3="","",IF(COUNTIFS(BD!$A$3:$A$5001,Y$3,BD!$B$3:$B$5001,$A$437,BD!$AE$3:$AE$5001,"&lt;&gt;")=0,"",SUMIFS(BD!$AE$3:$AE$5001,BD!$A$3:$A$5001,Y$3,BD!$B$3:$B$5001,$A$437)))</f>
        <v/>
      </c>
      <c r="Z466" s="223" t="str">
        <f>IF(Z$3="","",IF(COUNTIFS(BD!$A$3:$A$5001,Z$3,BD!$B$3:$B$5001,$A$437,BD!$AE$3:$AE$5001,"&lt;&gt;")=0,"",SUMIFS(BD!$AE$3:$AE$5001,BD!$A$3:$A$5001,Z$3,BD!$B$3:$B$5001,$A$437)))</f>
        <v/>
      </c>
      <c r="AA466" s="223" t="str">
        <f>IF(AA$3="","",IF(COUNTIFS(BD!$A$3:$A$5001,AA$3,BD!$B$3:$B$5001,$A$437,BD!$AE$3:$AE$5001,"&lt;&gt;")=0,"",SUMIFS(BD!$AE$3:$AE$5001,BD!$A$3:$A$5001,AA$3,BD!$B$3:$B$5001,$A$437)))</f>
        <v/>
      </c>
      <c r="AB466" s="223" t="str">
        <f>IF(AB$3="","",IF(COUNTIFS(BD!$A$3:$A$5001,AB$3,BD!$B$3:$B$5001,$A$437,BD!$AE$3:$AE$5001,"&lt;&gt;")=0,"",SUMIFS(BD!$AE$3:$AE$5001,BD!$A$3:$A$5001,AB$3,BD!$B$3:$B$5001,$A$437)))</f>
        <v/>
      </c>
      <c r="AC466" s="223" t="str">
        <f>IF(AC$3="","",IF(COUNTIFS(BD!$A$3:$A$5001,AC$3,BD!$B$3:$B$5001,$A$437,BD!$AE$3:$AE$5001,"&lt;&gt;")=0,"",SUMIFS(BD!$AE$3:$AE$5001,BD!$A$3:$A$5001,AC$3,BD!$B$3:$B$5001,$A$437)))</f>
        <v/>
      </c>
      <c r="AD466" s="223" t="str">
        <f>IF(AD$3="","",IF(COUNTIFS(BD!$A$3:$A$5001,AD$3,BD!$B$3:$B$5001,$A$437,BD!$AE$3:$AE$5001,"&lt;&gt;")=0,"",SUMIFS(BD!$AE$3:$AE$5001,BD!$A$3:$A$5001,AD$3,BD!$B$3:$B$5001,$A$437)))</f>
        <v/>
      </c>
      <c r="AE466" s="223" t="str">
        <f>IF(AE$3="","",IF(COUNTIFS(BD!$A$3:$A$5001,AE$3,BD!$B$3:$B$5001,$A$437,BD!$AE$3:$AE$5001,"&lt;&gt;")=0,"",SUMIFS(BD!$AE$3:$AE$5001,BD!$A$3:$A$5001,AE$3,BD!$B$3:$B$5001,$A$437)))</f>
        <v/>
      </c>
      <c r="AF466" s="223" t="str">
        <f>IF(AF$3="","",IF(COUNTIFS(BD!$A$3:$A$5001,AF$3,BD!$B$3:$B$5001,$A$437,BD!$AE$3:$AE$5001,"&lt;&gt;")=0,"",SUMIFS(BD!$AE$3:$AE$5001,BD!$A$3:$A$5001,AF$3,BD!$B$3:$B$5001,$A$437)))</f>
        <v/>
      </c>
      <c r="AG466" s="223" t="str">
        <f>IF(AG$3="","",IF(COUNTIFS(BD!$A$3:$A$5001,AG$3,BD!$B$3:$B$5001,$A$437,BD!$AE$3:$AE$5001,"&lt;&gt;")=0,"",SUMIFS(BD!$AE$3:$AE$5001,BD!$A$3:$A$5001,AG$3,BD!$B$3:$B$5001,$A$437)))</f>
        <v/>
      </c>
      <c r="AH466" s="223" t="str">
        <f>IF(AH$3="","",IF(COUNTIFS(BD!$A$3:$A$5001,AH$3,BD!$B$3:$B$5001,$A$437,BD!$AE$3:$AE$5001,"&lt;&gt;")=0,"",SUMIFS(BD!$AE$3:$AE$5001,BD!$A$3:$A$5001,AH$3,BD!$B$3:$B$5001,$A$437)))</f>
        <v/>
      </c>
      <c r="AI466" s="223" t="str">
        <f>IF(AI$3="","",IF(COUNTIFS(BD!$A$3:$A$5001,AI$3,BD!$B$3:$B$5001,$A$437,BD!$AE$3:$AE$5001,"&lt;&gt;")=0,"",SUMIFS(BD!$AE$3:$AE$5001,BD!$A$3:$A$5001,AI$3,BD!$B$3:$B$5001,$A$437)))</f>
        <v/>
      </c>
      <c r="AJ466" s="224" t="str">
        <f>IF(AJ$3="","",IF(COUNTIFS(BD!$A$3:$A$5001,AJ$3,BD!$B$3:$B$5001,$A$437,BD!$AE$3:$AE$5001,"&lt;&gt;")=0,"",SUMIFS(BD!$AE$3:$AE$5001,BD!$A$3:$A$5001,AJ$3,BD!$B$3:$B$5001,$A$437)))</f>
        <v/>
      </c>
      <c r="AK466" s="225" t="str">
        <f>IF(COUNT(F466:AJ466)=0,"",SUM(F466:AJ466))</f>
        <v/>
      </c>
    </row>
    <row r="467" ht="15.75" customHeight="1" hidden="1">
      <c r="A467" s="245"/>
      <c r="B467" s="242"/>
      <c r="C467" s="226" t="inlineStr">
        <is>
          <t xml:space="preserve">Acidentes SAF</t>
        </is>
      </c>
      <c r="D467" s="227" t="str">
        <f>IFERROR(1/(1/INDEX(BD!$AJ$53:$BD$53,MATCH($A$437,BD!$AJ$22:$BD$22,0))),"")</f>
        <v/>
      </c>
      <c r="E467" s="228"/>
      <c r="F467" s="229" t="str">
        <f>IF(F$3="","",IF(COUNTIFS(BD!$A$3:$A$5001,F$3,BD!$B$3:$B$5001,$A$437,BD!$AF$3:$AF$5001,"&lt;&gt;")=0,"",SUMIFS(BD!$AF$3:$AF$5001,BD!$A$3:$A$5001,F$3,BD!$B$3:$B$5001,$A$437)))</f>
        <v/>
      </c>
      <c r="G467" s="230" t="str">
        <f>IF(G$3="","",IF(COUNTIFS(BD!$A$3:$A$5001,G$3,BD!$B$3:$B$5001,$A$437,BD!$AF$3:$AF$5001,"&lt;&gt;")=0,"",SUMIFS(BD!$AF$3:$AF$5001,BD!$A$3:$A$5001,G$3,BD!$B$3:$B$5001,$A$437)))</f>
        <v/>
      </c>
      <c r="H467" s="230" t="str">
        <f>IF(H$3="","",IF(COUNTIFS(BD!$A$3:$A$5001,H$3,BD!$B$3:$B$5001,$A$437,BD!$AF$3:$AF$5001,"&lt;&gt;")=0,"",SUMIFS(BD!$AF$3:$AF$5001,BD!$A$3:$A$5001,H$3,BD!$B$3:$B$5001,$A$437)))</f>
        <v/>
      </c>
      <c r="I467" s="230" t="str">
        <f>IF(I$3="","",IF(COUNTIFS(BD!$A$3:$A$5001,I$3,BD!$B$3:$B$5001,$A$437,BD!$AF$3:$AF$5001,"&lt;&gt;")=0,"",SUMIFS(BD!$AF$3:$AF$5001,BD!$A$3:$A$5001,I$3,BD!$B$3:$B$5001,$A$437)))</f>
        <v/>
      </c>
      <c r="J467" s="230" t="str">
        <f>IF(J$3="","",IF(COUNTIFS(BD!$A$3:$A$5001,J$3,BD!$B$3:$B$5001,$A$437,BD!$AF$3:$AF$5001,"&lt;&gt;")=0,"",SUMIFS(BD!$AF$3:$AF$5001,BD!$A$3:$A$5001,J$3,BD!$B$3:$B$5001,$A$437)))</f>
        <v/>
      </c>
      <c r="K467" s="230" t="str">
        <f>IF(K$3="","",IF(COUNTIFS(BD!$A$3:$A$5001,K$3,BD!$B$3:$B$5001,$A$437,BD!$AF$3:$AF$5001,"&lt;&gt;")=0,"",SUMIFS(BD!$AF$3:$AF$5001,BD!$A$3:$A$5001,K$3,BD!$B$3:$B$5001,$A$437)))</f>
        <v/>
      </c>
      <c r="L467" s="230" t="str">
        <f>IF(L$3="","",IF(COUNTIFS(BD!$A$3:$A$5001,L$3,BD!$B$3:$B$5001,$A$437,BD!$AF$3:$AF$5001,"&lt;&gt;")=0,"",SUMIFS(BD!$AF$3:$AF$5001,BD!$A$3:$A$5001,L$3,BD!$B$3:$B$5001,$A$437)))</f>
        <v/>
      </c>
      <c r="M467" s="230" t="str">
        <f>IF(M$3="","",IF(COUNTIFS(BD!$A$3:$A$5001,M$3,BD!$B$3:$B$5001,$A$437,BD!$AF$3:$AF$5001,"&lt;&gt;")=0,"",SUMIFS(BD!$AF$3:$AF$5001,BD!$A$3:$A$5001,M$3,BD!$B$3:$B$5001,$A$437)))</f>
        <v/>
      </c>
      <c r="N467" s="230" t="str">
        <f>IF(N$3="","",IF(COUNTIFS(BD!$A$3:$A$5001,N$3,BD!$B$3:$B$5001,$A$437,BD!$AF$3:$AF$5001,"&lt;&gt;")=0,"",SUMIFS(BD!$AF$3:$AF$5001,BD!$A$3:$A$5001,N$3,BD!$B$3:$B$5001,$A$437)))</f>
        <v/>
      </c>
      <c r="O467" s="230" t="str">
        <f>IF(O$3="","",IF(COUNTIFS(BD!$A$3:$A$5001,O$3,BD!$B$3:$B$5001,$A$437,BD!$AF$3:$AF$5001,"&lt;&gt;")=0,"",SUMIFS(BD!$AF$3:$AF$5001,BD!$A$3:$A$5001,O$3,BD!$B$3:$B$5001,$A$437)))</f>
        <v/>
      </c>
      <c r="P467" s="230" t="str">
        <f>IF(P$3="","",IF(COUNTIFS(BD!$A$3:$A$5001,P$3,BD!$B$3:$B$5001,$A$437,BD!$AF$3:$AF$5001,"&lt;&gt;")=0,"",SUMIFS(BD!$AF$3:$AF$5001,BD!$A$3:$A$5001,P$3,BD!$B$3:$B$5001,$A$437)))</f>
        <v/>
      </c>
      <c r="Q467" s="230" t="str">
        <f>IF(Q$3="","",IF(COUNTIFS(BD!$A$3:$A$5001,Q$3,BD!$B$3:$B$5001,$A$437,BD!$AF$3:$AF$5001,"&lt;&gt;")=0,"",SUMIFS(BD!$AF$3:$AF$5001,BD!$A$3:$A$5001,Q$3,BD!$B$3:$B$5001,$A$437)))</f>
        <v/>
      </c>
      <c r="R467" s="230" t="str">
        <f>IF(R$3="","",IF(COUNTIFS(BD!$A$3:$A$5001,R$3,BD!$B$3:$B$5001,$A$437,BD!$AF$3:$AF$5001,"&lt;&gt;")=0,"",SUMIFS(BD!$AF$3:$AF$5001,BD!$A$3:$A$5001,R$3,BD!$B$3:$B$5001,$A$437)))</f>
        <v/>
      </c>
      <c r="S467" s="230" t="str">
        <f>IF(S$3="","",IF(COUNTIFS(BD!$A$3:$A$5001,S$3,BD!$B$3:$B$5001,$A$437,BD!$AF$3:$AF$5001,"&lt;&gt;")=0,"",SUMIFS(BD!$AF$3:$AF$5001,BD!$A$3:$A$5001,S$3,BD!$B$3:$B$5001,$A$437)))</f>
        <v/>
      </c>
      <c r="T467" s="230" t="str">
        <f>IF(T$3="","",IF(COUNTIFS(BD!$A$3:$A$5001,T$3,BD!$B$3:$B$5001,$A$437,BD!$AF$3:$AF$5001,"&lt;&gt;")=0,"",SUMIFS(BD!$AF$3:$AF$5001,BD!$A$3:$A$5001,T$3,BD!$B$3:$B$5001,$A$437)))</f>
        <v/>
      </c>
      <c r="U467" s="230" t="str">
        <f>IF(U$3="","",IF(COUNTIFS(BD!$A$3:$A$5001,U$3,BD!$B$3:$B$5001,$A$437,BD!$AF$3:$AF$5001,"&lt;&gt;")=0,"",SUMIFS(BD!$AF$3:$AF$5001,BD!$A$3:$A$5001,U$3,BD!$B$3:$B$5001,$A$437)))</f>
        <v/>
      </c>
      <c r="V467" s="230" t="str">
        <f>IF(V$3="","",IF(COUNTIFS(BD!$A$3:$A$5001,V$3,BD!$B$3:$B$5001,$A$437,BD!$AF$3:$AF$5001,"&lt;&gt;")=0,"",SUMIFS(BD!$AF$3:$AF$5001,BD!$A$3:$A$5001,V$3,BD!$B$3:$B$5001,$A$437)))</f>
        <v/>
      </c>
      <c r="W467" s="230" t="str">
        <f>IF(W$3="","",IF(COUNTIFS(BD!$A$3:$A$5001,W$3,BD!$B$3:$B$5001,$A$437,BD!$AF$3:$AF$5001,"&lt;&gt;")=0,"",SUMIFS(BD!$AF$3:$AF$5001,BD!$A$3:$A$5001,W$3,BD!$B$3:$B$5001,$A$437)))</f>
        <v/>
      </c>
      <c r="X467" s="230" t="str">
        <f>IF(X$3="","",IF(COUNTIFS(BD!$A$3:$A$5001,X$3,BD!$B$3:$B$5001,$A$437,BD!$AF$3:$AF$5001,"&lt;&gt;")=0,"",SUMIFS(BD!$AF$3:$AF$5001,BD!$A$3:$A$5001,X$3,BD!$B$3:$B$5001,$A$437)))</f>
        <v/>
      </c>
      <c r="Y467" s="230" t="str">
        <f>IF(Y$3="","",IF(COUNTIFS(BD!$A$3:$A$5001,Y$3,BD!$B$3:$B$5001,$A$437,BD!$AF$3:$AF$5001,"&lt;&gt;")=0,"",SUMIFS(BD!$AF$3:$AF$5001,BD!$A$3:$A$5001,Y$3,BD!$B$3:$B$5001,$A$437)))</f>
        <v/>
      </c>
      <c r="Z467" s="230" t="str">
        <f>IF(Z$3="","",IF(COUNTIFS(BD!$A$3:$A$5001,Z$3,BD!$B$3:$B$5001,$A$437,BD!$AF$3:$AF$5001,"&lt;&gt;")=0,"",SUMIFS(BD!$AF$3:$AF$5001,BD!$A$3:$A$5001,Z$3,BD!$B$3:$B$5001,$A$437)))</f>
        <v/>
      </c>
      <c r="AA467" s="230" t="str">
        <f>IF(AA$3="","",IF(COUNTIFS(BD!$A$3:$A$5001,AA$3,BD!$B$3:$B$5001,$A$437,BD!$AF$3:$AF$5001,"&lt;&gt;")=0,"",SUMIFS(BD!$AF$3:$AF$5001,BD!$A$3:$A$5001,AA$3,BD!$B$3:$B$5001,$A$437)))</f>
        <v/>
      </c>
      <c r="AB467" s="230" t="str">
        <f>IF(AB$3="","",IF(COUNTIFS(BD!$A$3:$A$5001,AB$3,BD!$B$3:$B$5001,$A$437,BD!$AF$3:$AF$5001,"&lt;&gt;")=0,"",SUMIFS(BD!$AF$3:$AF$5001,BD!$A$3:$A$5001,AB$3,BD!$B$3:$B$5001,$A$437)))</f>
        <v/>
      </c>
      <c r="AC467" s="230" t="str">
        <f>IF(AC$3="","",IF(COUNTIFS(BD!$A$3:$A$5001,AC$3,BD!$B$3:$B$5001,$A$437,BD!$AF$3:$AF$5001,"&lt;&gt;")=0,"",SUMIFS(BD!$AF$3:$AF$5001,BD!$A$3:$A$5001,AC$3,BD!$B$3:$B$5001,$A$437)))</f>
        <v/>
      </c>
      <c r="AD467" s="230" t="str">
        <f>IF(AD$3="","",IF(COUNTIFS(BD!$A$3:$A$5001,AD$3,BD!$B$3:$B$5001,$A$437,BD!$AF$3:$AF$5001,"&lt;&gt;")=0,"",SUMIFS(BD!$AF$3:$AF$5001,BD!$A$3:$A$5001,AD$3,BD!$B$3:$B$5001,$A$437)))</f>
        <v/>
      </c>
      <c r="AE467" s="230" t="str">
        <f>IF(AE$3="","",IF(COUNTIFS(BD!$A$3:$A$5001,AE$3,BD!$B$3:$B$5001,$A$437,BD!$AF$3:$AF$5001,"&lt;&gt;")=0,"",SUMIFS(BD!$AF$3:$AF$5001,BD!$A$3:$A$5001,AE$3,BD!$B$3:$B$5001,$A$437)))</f>
        <v/>
      </c>
      <c r="AF467" s="230" t="str">
        <f>IF(AF$3="","",IF(COUNTIFS(BD!$A$3:$A$5001,AF$3,BD!$B$3:$B$5001,$A$437,BD!$AF$3:$AF$5001,"&lt;&gt;")=0,"",SUMIFS(BD!$AF$3:$AF$5001,BD!$A$3:$A$5001,AF$3,BD!$B$3:$B$5001,$A$437)))</f>
        <v/>
      </c>
      <c r="AG467" s="230" t="str">
        <f>IF(AG$3="","",IF(COUNTIFS(BD!$A$3:$A$5001,AG$3,BD!$B$3:$B$5001,$A$437,BD!$AF$3:$AF$5001,"&lt;&gt;")=0,"",SUMIFS(BD!$AF$3:$AF$5001,BD!$A$3:$A$5001,AG$3,BD!$B$3:$B$5001,$A$437)))</f>
        <v/>
      </c>
      <c r="AH467" s="230" t="str">
        <f>IF(AH$3="","",IF(COUNTIFS(BD!$A$3:$A$5001,AH$3,BD!$B$3:$B$5001,$A$437,BD!$AF$3:$AF$5001,"&lt;&gt;")=0,"",SUMIFS(BD!$AF$3:$AF$5001,BD!$A$3:$A$5001,AH$3,BD!$B$3:$B$5001,$A$437)))</f>
        <v/>
      </c>
      <c r="AI467" s="230" t="str">
        <f>IF(AI$3="","",IF(COUNTIFS(BD!$A$3:$A$5001,AI$3,BD!$B$3:$B$5001,$A$437,BD!$AF$3:$AF$5001,"&lt;&gt;")=0,"",SUMIFS(BD!$AF$3:$AF$5001,BD!$A$3:$A$5001,AI$3,BD!$B$3:$B$5001,$A$437)))</f>
        <v/>
      </c>
      <c r="AJ467" s="231" t="str">
        <f>IF(AJ$3="","",IF(COUNTIFS(BD!$A$3:$A$5001,AJ$3,BD!$B$3:$B$5001,$A$437,BD!$AF$3:$AF$5001,"&lt;&gt;")=0,"",SUMIFS(BD!$AF$3:$AF$5001,BD!$A$3:$A$5001,AJ$3,BD!$B$3:$B$5001,$A$437)))</f>
        <v/>
      </c>
      <c r="AK467" s="227" t="str">
        <f>IF(COUNT(F467:AJ467)=0,"",SUM(F467:AJ467))</f>
        <v/>
      </c>
    </row>
    <row r="469" ht="15.75" customHeight="1" hidden="1">
      <c r="A469" s="243"/>
      <c r="B469" s="232" t="inlineStr">
        <is>
          <t xml:space="preserve">IN</t>
        </is>
      </c>
      <c r="C469" s="155" t="inlineStr">
        <is>
          <t xml:space="preserve">Veículos Recebidos</t>
        </is>
      </c>
      <c r="D469" s="156" t="str">
        <f>IFERROR(1/(1/INDEX(BD!$AJ$23:$BD$23,MATCH($A$469,BD!$AJ$22:$BD$22,0))),"")</f>
        <v/>
      </c>
      <c r="E469" s="157"/>
      <c r="F469" s="158" t="str">
        <f>IF(F$3="","",IF(COUNTIFS(BD!$A$3:$A$5001,F$3,BD!$B$3:$B$5001,$A$469,BD!$C$3:$C$5001,"&lt;&gt;")=0,"",SUMIFS(BD!$C$3:$C$5001,BD!$A$3:$A$5001,F$3,BD!$B$3:$B$5001,$A$469)))</f>
        <v/>
      </c>
      <c r="G469" s="159" t="str">
        <f>IF(G$3="","",IF(COUNTIFS(BD!$A$3:$A$5001,G$3,BD!$B$3:$B$5001,$A$469,BD!$C$3:$C$5001,"&lt;&gt;")=0,"",SUMIFS(BD!$C$3:$C$5001,BD!$A$3:$A$5001,G$3,BD!$B$3:$B$5001,$A$469)))</f>
        <v/>
      </c>
      <c r="H469" s="159" t="str">
        <f>IF(H$3="","",IF(COUNTIFS(BD!$A$3:$A$5001,H$3,BD!$B$3:$B$5001,$A$469,BD!$C$3:$C$5001,"&lt;&gt;")=0,"",SUMIFS(BD!$C$3:$C$5001,BD!$A$3:$A$5001,H$3,BD!$B$3:$B$5001,$A$469)))</f>
        <v/>
      </c>
      <c r="I469" s="159" t="str">
        <f>IF(I$3="","",IF(COUNTIFS(BD!$A$3:$A$5001,I$3,BD!$B$3:$B$5001,$A$469,BD!$C$3:$C$5001,"&lt;&gt;")=0,"",SUMIFS(BD!$C$3:$C$5001,BD!$A$3:$A$5001,I$3,BD!$B$3:$B$5001,$A$469)))</f>
        <v/>
      </c>
      <c r="J469" s="159" t="str">
        <f>IF(J$3="","",IF(COUNTIFS(BD!$A$3:$A$5001,J$3,BD!$B$3:$B$5001,$A$469,BD!$C$3:$C$5001,"&lt;&gt;")=0,"",SUMIFS(BD!$C$3:$C$5001,BD!$A$3:$A$5001,J$3,BD!$B$3:$B$5001,$A$469)))</f>
        <v/>
      </c>
      <c r="K469" s="159" t="str">
        <f>IF(K$3="","",IF(COUNTIFS(BD!$A$3:$A$5001,K$3,BD!$B$3:$B$5001,$A$469,BD!$C$3:$C$5001,"&lt;&gt;")=0,"",SUMIFS(BD!$C$3:$C$5001,BD!$A$3:$A$5001,K$3,BD!$B$3:$B$5001,$A$469)))</f>
        <v/>
      </c>
      <c r="L469" s="159" t="str">
        <f>IF(L$3="","",IF(COUNTIFS(BD!$A$3:$A$5001,L$3,BD!$B$3:$B$5001,$A$469,BD!$C$3:$C$5001,"&lt;&gt;")=0,"",SUMIFS(BD!$C$3:$C$5001,BD!$A$3:$A$5001,L$3,BD!$B$3:$B$5001,$A$469)))</f>
        <v/>
      </c>
      <c r="M469" s="159" t="str">
        <f>IF(M$3="","",IF(COUNTIFS(BD!$A$3:$A$5001,M$3,BD!$B$3:$B$5001,$A$469,BD!$C$3:$C$5001,"&lt;&gt;")=0,"",SUMIFS(BD!$C$3:$C$5001,BD!$A$3:$A$5001,M$3,BD!$B$3:$B$5001,$A$469)))</f>
        <v/>
      </c>
      <c r="N469" s="159" t="str">
        <f>IF(N$3="","",IF(COUNTIFS(BD!$A$3:$A$5001,N$3,BD!$B$3:$B$5001,$A$469,BD!$C$3:$C$5001,"&lt;&gt;")=0,"",SUMIFS(BD!$C$3:$C$5001,BD!$A$3:$A$5001,N$3,BD!$B$3:$B$5001,$A$469)))</f>
        <v/>
      </c>
      <c r="O469" s="159" t="str">
        <f>IF(O$3="","",IF(COUNTIFS(BD!$A$3:$A$5001,O$3,BD!$B$3:$B$5001,$A$469,BD!$C$3:$C$5001,"&lt;&gt;")=0,"",SUMIFS(BD!$C$3:$C$5001,BD!$A$3:$A$5001,O$3,BD!$B$3:$B$5001,$A$469)))</f>
        <v/>
      </c>
      <c r="P469" s="159" t="str">
        <f>IF(P$3="","",IF(COUNTIFS(BD!$A$3:$A$5001,P$3,BD!$B$3:$B$5001,$A$469,BD!$C$3:$C$5001,"&lt;&gt;")=0,"",SUMIFS(BD!$C$3:$C$5001,BD!$A$3:$A$5001,P$3,BD!$B$3:$B$5001,$A$469)))</f>
        <v/>
      </c>
      <c r="Q469" s="159" t="str">
        <f>IF(Q$3="","",IF(COUNTIFS(BD!$A$3:$A$5001,Q$3,BD!$B$3:$B$5001,$A$469,BD!$C$3:$C$5001,"&lt;&gt;")=0,"",SUMIFS(BD!$C$3:$C$5001,BD!$A$3:$A$5001,Q$3,BD!$B$3:$B$5001,$A$469)))</f>
        <v/>
      </c>
      <c r="R469" s="159" t="str">
        <f>IF(R$3="","",IF(COUNTIFS(BD!$A$3:$A$5001,R$3,BD!$B$3:$B$5001,$A$469,BD!$C$3:$C$5001,"&lt;&gt;")=0,"",SUMIFS(BD!$C$3:$C$5001,BD!$A$3:$A$5001,R$3,BD!$B$3:$B$5001,$A$469)))</f>
        <v/>
      </c>
      <c r="S469" s="159" t="str">
        <f>IF(S$3="","",IF(COUNTIFS(BD!$A$3:$A$5001,S$3,BD!$B$3:$B$5001,$A$469,BD!$C$3:$C$5001,"&lt;&gt;")=0,"",SUMIFS(BD!$C$3:$C$5001,BD!$A$3:$A$5001,S$3,BD!$B$3:$B$5001,$A$469)))</f>
        <v/>
      </c>
      <c r="T469" s="159" t="str">
        <f>IF(T$3="","",IF(COUNTIFS(BD!$A$3:$A$5001,T$3,BD!$B$3:$B$5001,$A$469,BD!$C$3:$C$5001,"&lt;&gt;")=0,"",SUMIFS(BD!$C$3:$C$5001,BD!$A$3:$A$5001,T$3,BD!$B$3:$B$5001,$A$469)))</f>
        <v/>
      </c>
      <c r="U469" s="159" t="str">
        <f>IF(U$3="","",IF(COUNTIFS(BD!$A$3:$A$5001,U$3,BD!$B$3:$B$5001,$A$469,BD!$C$3:$C$5001,"&lt;&gt;")=0,"",SUMIFS(BD!$C$3:$C$5001,BD!$A$3:$A$5001,U$3,BD!$B$3:$B$5001,$A$469)))</f>
        <v/>
      </c>
      <c r="V469" s="159" t="str">
        <f>IF(V$3="","",IF(COUNTIFS(BD!$A$3:$A$5001,V$3,BD!$B$3:$B$5001,$A$469,BD!$C$3:$C$5001,"&lt;&gt;")=0,"",SUMIFS(BD!$C$3:$C$5001,BD!$A$3:$A$5001,V$3,BD!$B$3:$B$5001,$A$469)))</f>
        <v/>
      </c>
      <c r="W469" s="159" t="str">
        <f>IF(W$3="","",IF(COUNTIFS(BD!$A$3:$A$5001,W$3,BD!$B$3:$B$5001,$A$469,BD!$C$3:$C$5001,"&lt;&gt;")=0,"",SUMIFS(BD!$C$3:$C$5001,BD!$A$3:$A$5001,W$3,BD!$B$3:$B$5001,$A$469)))</f>
        <v/>
      </c>
      <c r="X469" s="159" t="str">
        <f>IF(X$3="","",IF(COUNTIFS(BD!$A$3:$A$5001,X$3,BD!$B$3:$B$5001,$A$469,BD!$C$3:$C$5001,"&lt;&gt;")=0,"",SUMIFS(BD!$C$3:$C$5001,BD!$A$3:$A$5001,X$3,BD!$B$3:$B$5001,$A$469)))</f>
        <v/>
      </c>
      <c r="Y469" s="159" t="str">
        <f>IF(Y$3="","",IF(COUNTIFS(BD!$A$3:$A$5001,Y$3,BD!$B$3:$B$5001,$A$469,BD!$C$3:$C$5001,"&lt;&gt;")=0,"",SUMIFS(BD!$C$3:$C$5001,BD!$A$3:$A$5001,Y$3,BD!$B$3:$B$5001,$A$469)))</f>
        <v/>
      </c>
      <c r="Z469" s="159" t="str">
        <f>IF(Z$3="","",IF(COUNTIFS(BD!$A$3:$A$5001,Z$3,BD!$B$3:$B$5001,$A$469,BD!$C$3:$C$5001,"&lt;&gt;")=0,"",SUMIFS(BD!$C$3:$C$5001,BD!$A$3:$A$5001,Z$3,BD!$B$3:$B$5001,$A$469)))</f>
        <v/>
      </c>
      <c r="AA469" s="159" t="str">
        <f>IF(AA$3="","",IF(COUNTIFS(BD!$A$3:$A$5001,AA$3,BD!$B$3:$B$5001,$A$469,BD!$C$3:$C$5001,"&lt;&gt;")=0,"",SUMIFS(BD!$C$3:$C$5001,BD!$A$3:$A$5001,AA$3,BD!$B$3:$B$5001,$A$469)))</f>
        <v/>
      </c>
      <c r="AB469" s="159" t="str">
        <f>IF(AB$3="","",IF(COUNTIFS(BD!$A$3:$A$5001,AB$3,BD!$B$3:$B$5001,$A$469,BD!$C$3:$C$5001,"&lt;&gt;")=0,"",SUMIFS(BD!$C$3:$C$5001,BD!$A$3:$A$5001,AB$3,BD!$B$3:$B$5001,$A$469)))</f>
        <v/>
      </c>
      <c r="AC469" s="159" t="str">
        <f>IF(AC$3="","",IF(COUNTIFS(BD!$A$3:$A$5001,AC$3,BD!$B$3:$B$5001,$A$469,BD!$C$3:$C$5001,"&lt;&gt;")=0,"",SUMIFS(BD!$C$3:$C$5001,BD!$A$3:$A$5001,AC$3,BD!$B$3:$B$5001,$A$469)))</f>
        <v/>
      </c>
      <c r="AD469" s="159" t="str">
        <f>IF(AD$3="","",IF(COUNTIFS(BD!$A$3:$A$5001,AD$3,BD!$B$3:$B$5001,$A$469,BD!$C$3:$C$5001,"&lt;&gt;")=0,"",SUMIFS(BD!$C$3:$C$5001,BD!$A$3:$A$5001,AD$3,BD!$B$3:$B$5001,$A$469)))</f>
        <v/>
      </c>
      <c r="AE469" s="159" t="str">
        <f>IF(AE$3="","",IF(COUNTIFS(BD!$A$3:$A$5001,AE$3,BD!$B$3:$B$5001,$A$469,BD!$C$3:$C$5001,"&lt;&gt;")=0,"",SUMIFS(BD!$C$3:$C$5001,BD!$A$3:$A$5001,AE$3,BD!$B$3:$B$5001,$A$469)))</f>
        <v/>
      </c>
      <c r="AF469" s="159" t="str">
        <f>IF(AF$3="","",IF(COUNTIFS(BD!$A$3:$A$5001,AF$3,BD!$B$3:$B$5001,$A$469,BD!$C$3:$C$5001,"&lt;&gt;")=0,"",SUMIFS(BD!$C$3:$C$5001,BD!$A$3:$A$5001,AF$3,BD!$B$3:$B$5001,$A$469)))</f>
        <v/>
      </c>
      <c r="AG469" s="159" t="str">
        <f>IF(AG$3="","",IF(COUNTIFS(BD!$A$3:$A$5001,AG$3,BD!$B$3:$B$5001,$A$469,BD!$C$3:$C$5001,"&lt;&gt;")=0,"",SUMIFS(BD!$C$3:$C$5001,BD!$A$3:$A$5001,AG$3,BD!$B$3:$B$5001,$A$469)))</f>
        <v/>
      </c>
      <c r="AH469" s="159" t="str">
        <f>IF(AH$3="","",IF(COUNTIFS(BD!$A$3:$A$5001,AH$3,BD!$B$3:$B$5001,$A$469,BD!$C$3:$C$5001,"&lt;&gt;")=0,"",SUMIFS(BD!$C$3:$C$5001,BD!$A$3:$A$5001,AH$3,BD!$B$3:$B$5001,$A$469)))</f>
        <v/>
      </c>
      <c r="AI469" s="159" t="str">
        <f>IF(AI$3="","",IF(COUNTIFS(BD!$A$3:$A$5001,AI$3,BD!$B$3:$B$5001,$A$469,BD!$C$3:$C$5001,"&lt;&gt;")=0,"",SUMIFS(BD!$C$3:$C$5001,BD!$A$3:$A$5001,AI$3,BD!$B$3:$B$5001,$A$469)))</f>
        <v/>
      </c>
      <c r="AJ469" s="160" t="str">
        <f>IF(AJ$3="","",IF(COUNTIFS(BD!$A$3:$A$5001,AJ$3,BD!$B$3:$B$5001,$A$469,BD!$C$3:$C$5001,"&lt;&gt;")=0,"",SUMIFS(BD!$C$3:$C$5001,BD!$A$3:$A$5001,AJ$3,BD!$B$3:$B$5001,$A$469)))</f>
        <v/>
      </c>
      <c r="AK469" s="161" t="str">
        <f>IF(COUNT(F469:AJ469)=0,"",SUM(F469:AJ469))</f>
        <v/>
      </c>
    </row>
    <row r="470" ht="15.75" customHeight="1" hidden="1">
      <c r="A470" s="244"/>
      <c r="B470" s="239"/>
      <c r="C470" s="201" t="inlineStr">
        <is>
          <t xml:space="preserve">Pallets Movimentados</t>
        </is>
      </c>
      <c r="D470" s="202" t="str">
        <f>IFERROR(1/(1/INDEX(BD!$AJ$24:$BD$24,MATCH($A$469,BD!$AJ$22:$BD$22,0))),"")</f>
        <v/>
      </c>
      <c r="E470" s="203"/>
      <c r="F470" s="204" t="str">
        <f>IF(F$3="","",IF(COUNTIFS(BD!$A$3:$A$5001,F$3,BD!$B$3:$B$5001,$A$469,BD!$D$3:$D$5001,"&lt;&gt;")=0,"",SUMIFS(BD!$D$3:$D$5001,BD!$A$3:$A$5001,F$3,BD!$B$3:$B$5001,$A$469)))</f>
        <v/>
      </c>
      <c r="G470" s="205" t="str">
        <f>IF(G$3="","",IF(COUNTIFS(BD!$A$3:$A$5001,G$3,BD!$B$3:$B$5001,$A$469,BD!$D$3:$D$5001,"&lt;&gt;")=0,"",SUMIFS(BD!$D$3:$D$5001,BD!$A$3:$A$5001,G$3,BD!$B$3:$B$5001,$A$469)))</f>
        <v/>
      </c>
      <c r="H470" s="205" t="str">
        <f>IF(H$3="","",IF(COUNTIFS(BD!$A$3:$A$5001,H$3,BD!$B$3:$B$5001,$A$469,BD!$D$3:$D$5001,"&lt;&gt;")=0,"",SUMIFS(BD!$D$3:$D$5001,BD!$A$3:$A$5001,H$3,BD!$B$3:$B$5001,$A$469)))</f>
        <v/>
      </c>
      <c r="I470" s="205" t="str">
        <f>IF(I$3="","",IF(COUNTIFS(BD!$A$3:$A$5001,I$3,BD!$B$3:$B$5001,$A$469,BD!$D$3:$D$5001,"&lt;&gt;")=0,"",SUMIFS(BD!$D$3:$D$5001,BD!$A$3:$A$5001,I$3,BD!$B$3:$B$5001,$A$469)))</f>
        <v/>
      </c>
      <c r="J470" s="205" t="str">
        <f>IF(J$3="","",IF(COUNTIFS(BD!$A$3:$A$5001,J$3,BD!$B$3:$B$5001,$A$469,BD!$D$3:$D$5001,"&lt;&gt;")=0,"",SUMIFS(BD!$D$3:$D$5001,BD!$A$3:$A$5001,J$3,BD!$B$3:$B$5001,$A$469)))</f>
        <v/>
      </c>
      <c r="K470" s="205" t="str">
        <f>IF(K$3="","",IF(COUNTIFS(BD!$A$3:$A$5001,K$3,BD!$B$3:$B$5001,$A$469,BD!$D$3:$D$5001,"&lt;&gt;")=0,"",SUMIFS(BD!$D$3:$D$5001,BD!$A$3:$A$5001,K$3,BD!$B$3:$B$5001,$A$469)))</f>
        <v/>
      </c>
      <c r="L470" s="205" t="str">
        <f>IF(L$3="","",IF(COUNTIFS(BD!$A$3:$A$5001,L$3,BD!$B$3:$B$5001,$A$469,BD!$D$3:$D$5001,"&lt;&gt;")=0,"",SUMIFS(BD!$D$3:$D$5001,BD!$A$3:$A$5001,L$3,BD!$B$3:$B$5001,$A$469)))</f>
        <v/>
      </c>
      <c r="M470" s="205" t="str">
        <f>IF(M$3="","",IF(COUNTIFS(BD!$A$3:$A$5001,M$3,BD!$B$3:$B$5001,$A$469,BD!$D$3:$D$5001,"&lt;&gt;")=0,"",SUMIFS(BD!$D$3:$D$5001,BD!$A$3:$A$5001,M$3,BD!$B$3:$B$5001,$A$469)))</f>
        <v/>
      </c>
      <c r="N470" s="205" t="str">
        <f>IF(N$3="","",IF(COUNTIFS(BD!$A$3:$A$5001,N$3,BD!$B$3:$B$5001,$A$469,BD!$D$3:$D$5001,"&lt;&gt;")=0,"",SUMIFS(BD!$D$3:$D$5001,BD!$A$3:$A$5001,N$3,BD!$B$3:$B$5001,$A$469)))</f>
        <v/>
      </c>
      <c r="O470" s="205" t="str">
        <f>IF(O$3="","",IF(COUNTIFS(BD!$A$3:$A$5001,O$3,BD!$B$3:$B$5001,$A$469,BD!$D$3:$D$5001,"&lt;&gt;")=0,"",SUMIFS(BD!$D$3:$D$5001,BD!$A$3:$A$5001,O$3,BD!$B$3:$B$5001,$A$469)))</f>
        <v/>
      </c>
      <c r="P470" s="205" t="str">
        <f>IF(P$3="","",IF(COUNTIFS(BD!$A$3:$A$5001,P$3,BD!$B$3:$B$5001,$A$469,BD!$D$3:$D$5001,"&lt;&gt;")=0,"",SUMIFS(BD!$D$3:$D$5001,BD!$A$3:$A$5001,P$3,BD!$B$3:$B$5001,$A$469)))</f>
        <v/>
      </c>
      <c r="Q470" s="205" t="str">
        <f>IF(Q$3="","",IF(COUNTIFS(BD!$A$3:$A$5001,Q$3,BD!$B$3:$B$5001,$A$469,BD!$D$3:$D$5001,"&lt;&gt;")=0,"",SUMIFS(BD!$D$3:$D$5001,BD!$A$3:$A$5001,Q$3,BD!$B$3:$B$5001,$A$469)))</f>
        <v/>
      </c>
      <c r="R470" s="205" t="str">
        <f>IF(R$3="","",IF(COUNTIFS(BD!$A$3:$A$5001,R$3,BD!$B$3:$B$5001,$A$469,BD!$D$3:$D$5001,"&lt;&gt;")=0,"",SUMIFS(BD!$D$3:$D$5001,BD!$A$3:$A$5001,R$3,BD!$B$3:$B$5001,$A$469)))</f>
        <v/>
      </c>
      <c r="S470" s="205" t="str">
        <f>IF(S$3="","",IF(COUNTIFS(BD!$A$3:$A$5001,S$3,BD!$B$3:$B$5001,$A$469,BD!$D$3:$D$5001,"&lt;&gt;")=0,"",SUMIFS(BD!$D$3:$D$5001,BD!$A$3:$A$5001,S$3,BD!$B$3:$B$5001,$A$469)))</f>
        <v/>
      </c>
      <c r="T470" s="205" t="str">
        <f>IF(T$3="","",IF(COUNTIFS(BD!$A$3:$A$5001,T$3,BD!$B$3:$B$5001,$A$469,BD!$D$3:$D$5001,"&lt;&gt;")=0,"",SUMIFS(BD!$D$3:$D$5001,BD!$A$3:$A$5001,T$3,BD!$B$3:$B$5001,$A$469)))</f>
        <v/>
      </c>
      <c r="U470" s="205" t="str">
        <f>IF(U$3="","",IF(COUNTIFS(BD!$A$3:$A$5001,U$3,BD!$B$3:$B$5001,$A$469,BD!$D$3:$D$5001,"&lt;&gt;")=0,"",SUMIFS(BD!$D$3:$D$5001,BD!$A$3:$A$5001,U$3,BD!$B$3:$B$5001,$A$469)))</f>
        <v/>
      </c>
      <c r="V470" s="205" t="str">
        <f>IF(V$3="","",IF(COUNTIFS(BD!$A$3:$A$5001,V$3,BD!$B$3:$B$5001,$A$469,BD!$D$3:$D$5001,"&lt;&gt;")=0,"",SUMIFS(BD!$D$3:$D$5001,BD!$A$3:$A$5001,V$3,BD!$B$3:$B$5001,$A$469)))</f>
        <v/>
      </c>
      <c r="W470" s="205" t="str">
        <f>IF(W$3="","",IF(COUNTIFS(BD!$A$3:$A$5001,W$3,BD!$B$3:$B$5001,$A$469,BD!$D$3:$D$5001,"&lt;&gt;")=0,"",SUMIFS(BD!$D$3:$D$5001,BD!$A$3:$A$5001,W$3,BD!$B$3:$B$5001,$A$469)))</f>
        <v/>
      </c>
      <c r="X470" s="205" t="str">
        <f>IF(X$3="","",IF(COUNTIFS(BD!$A$3:$A$5001,X$3,BD!$B$3:$B$5001,$A$469,BD!$D$3:$D$5001,"&lt;&gt;")=0,"",SUMIFS(BD!$D$3:$D$5001,BD!$A$3:$A$5001,X$3,BD!$B$3:$B$5001,$A$469)))</f>
        <v/>
      </c>
      <c r="Y470" s="205" t="str">
        <f>IF(Y$3="","",IF(COUNTIFS(BD!$A$3:$A$5001,Y$3,BD!$B$3:$B$5001,$A$469,BD!$D$3:$D$5001,"&lt;&gt;")=0,"",SUMIFS(BD!$D$3:$D$5001,BD!$A$3:$A$5001,Y$3,BD!$B$3:$B$5001,$A$469)))</f>
        <v/>
      </c>
      <c r="Z470" s="205" t="str">
        <f>IF(Z$3="","",IF(COUNTIFS(BD!$A$3:$A$5001,Z$3,BD!$B$3:$B$5001,$A$469,BD!$D$3:$D$5001,"&lt;&gt;")=0,"",SUMIFS(BD!$D$3:$D$5001,BD!$A$3:$A$5001,Z$3,BD!$B$3:$B$5001,$A$469)))</f>
        <v/>
      </c>
      <c r="AA470" s="205" t="str">
        <f>IF(AA$3="","",IF(COUNTIFS(BD!$A$3:$A$5001,AA$3,BD!$B$3:$B$5001,$A$469,BD!$D$3:$D$5001,"&lt;&gt;")=0,"",SUMIFS(BD!$D$3:$D$5001,BD!$A$3:$A$5001,AA$3,BD!$B$3:$B$5001,$A$469)))</f>
        <v/>
      </c>
      <c r="AB470" s="205" t="str">
        <f>IF(AB$3="","",IF(COUNTIFS(BD!$A$3:$A$5001,AB$3,BD!$B$3:$B$5001,$A$469,BD!$D$3:$D$5001,"&lt;&gt;")=0,"",SUMIFS(BD!$D$3:$D$5001,BD!$A$3:$A$5001,AB$3,BD!$B$3:$B$5001,$A$469)))</f>
        <v/>
      </c>
      <c r="AC470" s="205" t="str">
        <f>IF(AC$3="","",IF(COUNTIFS(BD!$A$3:$A$5001,AC$3,BD!$B$3:$B$5001,$A$469,BD!$D$3:$D$5001,"&lt;&gt;")=0,"",SUMIFS(BD!$D$3:$D$5001,BD!$A$3:$A$5001,AC$3,BD!$B$3:$B$5001,$A$469)))</f>
        <v/>
      </c>
      <c r="AD470" s="205" t="str">
        <f>IF(AD$3="","",IF(COUNTIFS(BD!$A$3:$A$5001,AD$3,BD!$B$3:$B$5001,$A$469,BD!$D$3:$D$5001,"&lt;&gt;")=0,"",SUMIFS(BD!$D$3:$D$5001,BD!$A$3:$A$5001,AD$3,BD!$B$3:$B$5001,$A$469)))</f>
        <v/>
      </c>
      <c r="AE470" s="205" t="str">
        <f>IF(AE$3="","",IF(COUNTIFS(BD!$A$3:$A$5001,AE$3,BD!$B$3:$B$5001,$A$469,BD!$D$3:$D$5001,"&lt;&gt;")=0,"",SUMIFS(BD!$D$3:$D$5001,BD!$A$3:$A$5001,AE$3,BD!$B$3:$B$5001,$A$469)))</f>
        <v/>
      </c>
      <c r="AF470" s="205" t="str">
        <f>IF(AF$3="","",IF(COUNTIFS(BD!$A$3:$A$5001,AF$3,BD!$B$3:$B$5001,$A$469,BD!$D$3:$D$5001,"&lt;&gt;")=0,"",SUMIFS(BD!$D$3:$D$5001,BD!$A$3:$A$5001,AF$3,BD!$B$3:$B$5001,$A$469)))</f>
        <v/>
      </c>
      <c r="AG470" s="205" t="str">
        <f>IF(AG$3="","",IF(COUNTIFS(BD!$A$3:$A$5001,AG$3,BD!$B$3:$B$5001,$A$469,BD!$D$3:$D$5001,"&lt;&gt;")=0,"",SUMIFS(BD!$D$3:$D$5001,BD!$A$3:$A$5001,AG$3,BD!$B$3:$B$5001,$A$469)))</f>
        <v/>
      </c>
      <c r="AH470" s="205" t="str">
        <f>IF(AH$3="","",IF(COUNTIFS(BD!$A$3:$A$5001,AH$3,BD!$B$3:$B$5001,$A$469,BD!$D$3:$D$5001,"&lt;&gt;")=0,"",SUMIFS(BD!$D$3:$D$5001,BD!$A$3:$A$5001,AH$3,BD!$B$3:$B$5001,$A$469)))</f>
        <v/>
      </c>
      <c r="AI470" s="205" t="str">
        <f>IF(AI$3="","",IF(COUNTIFS(BD!$A$3:$A$5001,AI$3,BD!$B$3:$B$5001,$A$469,BD!$D$3:$D$5001,"&lt;&gt;")=0,"",SUMIFS(BD!$D$3:$D$5001,BD!$A$3:$A$5001,AI$3,BD!$B$3:$B$5001,$A$469)))</f>
        <v/>
      </c>
      <c r="AJ470" s="206" t="str">
        <f>IF(AJ$3="","",IF(COUNTIFS(BD!$A$3:$A$5001,AJ$3,BD!$B$3:$B$5001,$A$469,BD!$D$3:$D$5001,"&lt;&gt;")=0,"",SUMIFS(BD!$D$3:$D$5001,BD!$A$3:$A$5001,AJ$3,BD!$B$3:$B$5001,$A$469)))</f>
        <v/>
      </c>
      <c r="AK470" s="207" t="str">
        <f>IF(COUNT(F470:AJ470)=0,"",SUM(F470:AJ470))</f>
        <v/>
      </c>
    </row>
    <row r="471" ht="15.75" customHeight="1" hidden="1">
      <c r="A471" s="244"/>
      <c r="B471" s="239"/>
      <c r="C471" s="201" t="inlineStr">
        <is>
          <t xml:space="preserve">Toneladas Movimentadas</t>
        </is>
      </c>
      <c r="D471" s="202" t="str">
        <f>IFERROR(1/(1/INDEX(BD!$AJ$25:$BD$25,MATCH($A$469,BD!$AJ$22:$BD$22,0))),"")</f>
        <v/>
      </c>
      <c r="E471" s="203"/>
      <c r="F471" s="265" t="str">
        <f>IF(F$3="","",IF(COUNTIFS(BD!$A$3:$A$5001,F$3,BD!$B$3:$B$5001,$A$469,BD!$E$3:$E$5001,"&lt;&gt;")=0,"",SUMIFS(BD!$E$3:$E$5001,BD!$A$3:$A$5001,F$3,BD!$B$3:$B$5001,$A$469)))</f>
        <v/>
      </c>
      <c r="G471" s="266" t="str">
        <f>IF(G$3="","",IF(COUNTIFS(BD!$A$3:$A$5001,G$3,BD!$B$3:$B$5001,$A$469,BD!$E$3:$E$5001,"&lt;&gt;")=0,"",SUMIFS(BD!$E$3:$E$5001,BD!$A$3:$A$5001,G$3,BD!$B$3:$B$5001,$A$469)))</f>
        <v/>
      </c>
      <c r="H471" s="266" t="str">
        <f>IF(H$3="","",IF(COUNTIFS(BD!$A$3:$A$5001,H$3,BD!$B$3:$B$5001,$A$469,BD!$E$3:$E$5001,"&lt;&gt;")=0,"",SUMIFS(BD!$E$3:$E$5001,BD!$A$3:$A$5001,H$3,BD!$B$3:$B$5001,$A$469)))</f>
        <v/>
      </c>
      <c r="I471" s="266" t="str">
        <f>IF(I$3="","",IF(COUNTIFS(BD!$A$3:$A$5001,I$3,BD!$B$3:$B$5001,$A$469,BD!$E$3:$E$5001,"&lt;&gt;")=0,"",SUMIFS(BD!$E$3:$E$5001,BD!$A$3:$A$5001,I$3,BD!$B$3:$B$5001,$A$469)))</f>
        <v/>
      </c>
      <c r="J471" s="266" t="str">
        <f>IF(J$3="","",IF(COUNTIFS(BD!$A$3:$A$5001,J$3,BD!$B$3:$B$5001,$A$469,BD!$E$3:$E$5001,"&lt;&gt;")=0,"",SUMIFS(BD!$E$3:$E$5001,BD!$A$3:$A$5001,J$3,BD!$B$3:$B$5001,$A$469)))</f>
        <v/>
      </c>
      <c r="K471" s="266" t="str">
        <f>IF(K$3="","",IF(COUNTIFS(BD!$A$3:$A$5001,K$3,BD!$B$3:$B$5001,$A$469,BD!$E$3:$E$5001,"&lt;&gt;")=0,"",SUMIFS(BD!$E$3:$E$5001,BD!$A$3:$A$5001,K$3,BD!$B$3:$B$5001,$A$469)))</f>
        <v/>
      </c>
      <c r="L471" s="266" t="str">
        <f>IF(L$3="","",IF(COUNTIFS(BD!$A$3:$A$5001,L$3,BD!$B$3:$B$5001,$A$469,BD!$E$3:$E$5001,"&lt;&gt;")=0,"",SUMIFS(BD!$E$3:$E$5001,BD!$A$3:$A$5001,L$3,BD!$B$3:$B$5001,$A$469)))</f>
        <v/>
      </c>
      <c r="M471" s="266" t="str">
        <f>IF(M$3="","",IF(COUNTIFS(BD!$A$3:$A$5001,M$3,BD!$B$3:$B$5001,$A$469,BD!$E$3:$E$5001,"&lt;&gt;")=0,"",SUMIFS(BD!$E$3:$E$5001,BD!$A$3:$A$5001,M$3,BD!$B$3:$B$5001,$A$469)))</f>
        <v/>
      </c>
      <c r="N471" s="266" t="str">
        <f>IF(N$3="","",IF(COUNTIFS(BD!$A$3:$A$5001,N$3,BD!$B$3:$B$5001,$A$469,BD!$E$3:$E$5001,"&lt;&gt;")=0,"",SUMIFS(BD!$E$3:$E$5001,BD!$A$3:$A$5001,N$3,BD!$B$3:$B$5001,$A$469)))</f>
        <v/>
      </c>
      <c r="O471" s="266" t="str">
        <f>IF(O$3="","",IF(COUNTIFS(BD!$A$3:$A$5001,O$3,BD!$B$3:$B$5001,$A$469,BD!$E$3:$E$5001,"&lt;&gt;")=0,"",SUMIFS(BD!$E$3:$E$5001,BD!$A$3:$A$5001,O$3,BD!$B$3:$B$5001,$A$469)))</f>
        <v/>
      </c>
      <c r="P471" s="266" t="str">
        <f>IF(P$3="","",IF(COUNTIFS(BD!$A$3:$A$5001,P$3,BD!$B$3:$B$5001,$A$469,BD!$E$3:$E$5001,"&lt;&gt;")=0,"",SUMIFS(BD!$E$3:$E$5001,BD!$A$3:$A$5001,P$3,BD!$B$3:$B$5001,$A$469)))</f>
        <v/>
      </c>
      <c r="Q471" s="266" t="str">
        <f>IF(Q$3="","",IF(COUNTIFS(BD!$A$3:$A$5001,Q$3,BD!$B$3:$B$5001,$A$469,BD!$E$3:$E$5001,"&lt;&gt;")=0,"",SUMIFS(BD!$E$3:$E$5001,BD!$A$3:$A$5001,Q$3,BD!$B$3:$B$5001,$A$469)))</f>
        <v/>
      </c>
      <c r="R471" s="266" t="str">
        <f>IF(R$3="","",IF(COUNTIFS(BD!$A$3:$A$5001,R$3,BD!$B$3:$B$5001,$A$469,BD!$E$3:$E$5001,"&lt;&gt;")=0,"",SUMIFS(BD!$E$3:$E$5001,BD!$A$3:$A$5001,R$3,BD!$B$3:$B$5001,$A$469)))</f>
        <v/>
      </c>
      <c r="S471" s="266" t="str">
        <f>IF(S$3="","",IF(COUNTIFS(BD!$A$3:$A$5001,S$3,BD!$B$3:$B$5001,$A$469,BD!$E$3:$E$5001,"&lt;&gt;")=0,"",SUMIFS(BD!$E$3:$E$5001,BD!$A$3:$A$5001,S$3,BD!$B$3:$B$5001,$A$469)))</f>
        <v/>
      </c>
      <c r="T471" s="266" t="str">
        <f>IF(T$3="","",IF(COUNTIFS(BD!$A$3:$A$5001,T$3,BD!$B$3:$B$5001,$A$469,BD!$E$3:$E$5001,"&lt;&gt;")=0,"",SUMIFS(BD!$E$3:$E$5001,BD!$A$3:$A$5001,T$3,BD!$B$3:$B$5001,$A$469)))</f>
        <v/>
      </c>
      <c r="U471" s="266" t="str">
        <f>IF(U$3="","",IF(COUNTIFS(BD!$A$3:$A$5001,U$3,BD!$B$3:$B$5001,$A$469,BD!$E$3:$E$5001,"&lt;&gt;")=0,"",SUMIFS(BD!$E$3:$E$5001,BD!$A$3:$A$5001,U$3,BD!$B$3:$B$5001,$A$469)))</f>
        <v/>
      </c>
      <c r="V471" s="266" t="str">
        <f>IF(V$3="","",IF(COUNTIFS(BD!$A$3:$A$5001,V$3,BD!$B$3:$B$5001,$A$469,BD!$E$3:$E$5001,"&lt;&gt;")=0,"",SUMIFS(BD!$E$3:$E$5001,BD!$A$3:$A$5001,V$3,BD!$B$3:$B$5001,$A$469)))</f>
        <v/>
      </c>
      <c r="W471" s="266" t="str">
        <f>IF(W$3="","",IF(COUNTIFS(BD!$A$3:$A$5001,W$3,BD!$B$3:$B$5001,$A$469,BD!$E$3:$E$5001,"&lt;&gt;")=0,"",SUMIFS(BD!$E$3:$E$5001,BD!$A$3:$A$5001,W$3,BD!$B$3:$B$5001,$A$469)))</f>
        <v/>
      </c>
      <c r="X471" s="266" t="str">
        <f>IF(X$3="","",IF(COUNTIFS(BD!$A$3:$A$5001,X$3,BD!$B$3:$B$5001,$A$469,BD!$E$3:$E$5001,"&lt;&gt;")=0,"",SUMIFS(BD!$E$3:$E$5001,BD!$A$3:$A$5001,X$3,BD!$B$3:$B$5001,$A$469)))</f>
        <v/>
      </c>
      <c r="Y471" s="266" t="str">
        <f>IF(Y$3="","",IF(COUNTIFS(BD!$A$3:$A$5001,Y$3,BD!$B$3:$B$5001,$A$469,BD!$E$3:$E$5001,"&lt;&gt;")=0,"",SUMIFS(BD!$E$3:$E$5001,BD!$A$3:$A$5001,Y$3,BD!$B$3:$B$5001,$A$469)))</f>
        <v/>
      </c>
      <c r="Z471" s="266" t="str">
        <f>IF(Z$3="","",IF(COUNTIFS(BD!$A$3:$A$5001,Z$3,BD!$B$3:$B$5001,$A$469,BD!$E$3:$E$5001,"&lt;&gt;")=0,"",SUMIFS(BD!$E$3:$E$5001,BD!$A$3:$A$5001,Z$3,BD!$B$3:$B$5001,$A$469)))</f>
        <v/>
      </c>
      <c r="AA471" s="266" t="str">
        <f>IF(AA$3="","",IF(COUNTIFS(BD!$A$3:$A$5001,AA$3,BD!$B$3:$B$5001,$A$469,BD!$E$3:$E$5001,"&lt;&gt;")=0,"",SUMIFS(BD!$E$3:$E$5001,BD!$A$3:$A$5001,AA$3,BD!$B$3:$B$5001,$A$469)))</f>
        <v/>
      </c>
      <c r="AB471" s="266" t="str">
        <f>IF(AB$3="","",IF(COUNTIFS(BD!$A$3:$A$5001,AB$3,BD!$B$3:$B$5001,$A$469,BD!$E$3:$E$5001,"&lt;&gt;")=0,"",SUMIFS(BD!$E$3:$E$5001,BD!$A$3:$A$5001,AB$3,BD!$B$3:$B$5001,$A$469)))</f>
        <v/>
      </c>
      <c r="AC471" s="266" t="str">
        <f>IF(AC$3="","",IF(COUNTIFS(BD!$A$3:$A$5001,AC$3,BD!$B$3:$B$5001,$A$469,BD!$E$3:$E$5001,"&lt;&gt;")=0,"",SUMIFS(BD!$E$3:$E$5001,BD!$A$3:$A$5001,AC$3,BD!$B$3:$B$5001,$A$469)))</f>
        <v/>
      </c>
      <c r="AD471" s="266" t="str">
        <f>IF(AD$3="","",IF(COUNTIFS(BD!$A$3:$A$5001,AD$3,BD!$B$3:$B$5001,$A$469,BD!$E$3:$E$5001,"&lt;&gt;")=0,"",SUMIFS(BD!$E$3:$E$5001,BD!$A$3:$A$5001,AD$3,BD!$B$3:$B$5001,$A$469)))</f>
        <v/>
      </c>
      <c r="AE471" s="266" t="str">
        <f>IF(AE$3="","",IF(COUNTIFS(BD!$A$3:$A$5001,AE$3,BD!$B$3:$B$5001,$A$469,BD!$E$3:$E$5001,"&lt;&gt;")=0,"",SUMIFS(BD!$E$3:$E$5001,BD!$A$3:$A$5001,AE$3,BD!$B$3:$B$5001,$A$469)))</f>
        <v/>
      </c>
      <c r="AF471" s="266" t="str">
        <f>IF(AF$3="","",IF(COUNTIFS(BD!$A$3:$A$5001,AF$3,BD!$B$3:$B$5001,$A$469,BD!$E$3:$E$5001,"&lt;&gt;")=0,"",SUMIFS(BD!$E$3:$E$5001,BD!$A$3:$A$5001,AF$3,BD!$B$3:$B$5001,$A$469)))</f>
        <v/>
      </c>
      <c r="AG471" s="266" t="str">
        <f>IF(AG$3="","",IF(COUNTIFS(BD!$A$3:$A$5001,AG$3,BD!$B$3:$B$5001,$A$469,BD!$E$3:$E$5001,"&lt;&gt;")=0,"",SUMIFS(BD!$E$3:$E$5001,BD!$A$3:$A$5001,AG$3,BD!$B$3:$B$5001,$A$469)))</f>
        <v/>
      </c>
      <c r="AH471" s="266" t="str">
        <f>IF(AH$3="","",IF(COUNTIFS(BD!$A$3:$A$5001,AH$3,BD!$B$3:$B$5001,$A$469,BD!$E$3:$E$5001,"&lt;&gt;")=0,"",SUMIFS(BD!$E$3:$E$5001,BD!$A$3:$A$5001,AH$3,BD!$B$3:$B$5001,$A$469)))</f>
        <v/>
      </c>
      <c r="AI471" s="266" t="str">
        <f>IF(AI$3="","",IF(COUNTIFS(BD!$A$3:$A$5001,AI$3,BD!$B$3:$B$5001,$A$469,BD!$E$3:$E$5001,"&lt;&gt;")=0,"",SUMIFS(BD!$E$3:$E$5001,BD!$A$3:$A$5001,AI$3,BD!$B$3:$B$5001,$A$469)))</f>
        <v/>
      </c>
      <c r="AJ471" s="267" t="str">
        <f>IF(AJ$3="","",IF(COUNTIFS(BD!$A$3:$A$5001,AJ$3,BD!$B$3:$B$5001,$A$469,BD!$E$3:$E$5001,"&lt;&gt;")=0,"",SUMIFS(BD!$E$3:$E$5001,BD!$A$3:$A$5001,AJ$3,BD!$B$3:$B$5001,$A$469)))</f>
        <v/>
      </c>
      <c r="AK471" s="268" t="str">
        <f>IF(COUNT(F471:AJ471)=0,"",SUM(F471:AJ471))</f>
        <v/>
      </c>
    </row>
    <row r="472" ht="15.75" customHeight="1" hidden="1">
      <c r="A472" s="244"/>
      <c r="B472" s="239"/>
      <c r="C472" s="201" t="inlineStr">
        <is>
          <t xml:space="preserve">Linhas NF</t>
        </is>
      </c>
      <c r="D472" s="202" t="str">
        <f>IFERROR(1/(1/INDEX(BD!$AJ$26:$BD$26,MATCH($A$469,BD!$AJ$22:$BD$22,0))),"")</f>
        <v/>
      </c>
      <c r="E472" s="203"/>
      <c r="F472" s="204" t="str">
        <f>IF(F$3="","",IF(COUNTIFS(BD!$A$3:$A$5001,F$3,BD!$B$3:$B$5001,$A$469,BD!$F$3:$F$5001,"&lt;&gt;")=0,"",SUMIFS(BD!$F$3:$F$5001,BD!$A$3:$A$5001,F$3,BD!$B$3:$B$5001,$A$469)))</f>
        <v/>
      </c>
      <c r="G472" s="205" t="str">
        <f>IF(G$3="","",IF(COUNTIFS(BD!$A$3:$A$5001,G$3,BD!$B$3:$B$5001,$A$469,BD!$F$3:$F$5001,"&lt;&gt;")=0,"",SUMIFS(BD!$F$3:$F$5001,BD!$A$3:$A$5001,G$3,BD!$B$3:$B$5001,$A$469)))</f>
        <v/>
      </c>
      <c r="H472" s="205" t="str">
        <f>IF(H$3="","",IF(COUNTIFS(BD!$A$3:$A$5001,H$3,BD!$B$3:$B$5001,$A$469,BD!$F$3:$F$5001,"&lt;&gt;")=0,"",SUMIFS(BD!$F$3:$F$5001,BD!$A$3:$A$5001,H$3,BD!$B$3:$B$5001,$A$469)))</f>
        <v/>
      </c>
      <c r="I472" s="205" t="str">
        <f>IF(I$3="","",IF(COUNTIFS(BD!$A$3:$A$5001,I$3,BD!$B$3:$B$5001,$A$469,BD!$F$3:$F$5001,"&lt;&gt;")=0,"",SUMIFS(BD!$F$3:$F$5001,BD!$A$3:$A$5001,I$3,BD!$B$3:$B$5001,$A$469)))</f>
        <v/>
      </c>
      <c r="J472" s="205" t="str">
        <f>IF(J$3="","",IF(COUNTIFS(BD!$A$3:$A$5001,J$3,BD!$B$3:$B$5001,$A$469,BD!$F$3:$F$5001,"&lt;&gt;")=0,"",SUMIFS(BD!$F$3:$F$5001,BD!$A$3:$A$5001,J$3,BD!$B$3:$B$5001,$A$469)))</f>
        <v/>
      </c>
      <c r="K472" s="205" t="str">
        <f>IF(K$3="","",IF(COUNTIFS(BD!$A$3:$A$5001,K$3,BD!$B$3:$B$5001,$A$469,BD!$F$3:$F$5001,"&lt;&gt;")=0,"",SUMIFS(BD!$F$3:$F$5001,BD!$A$3:$A$5001,K$3,BD!$B$3:$B$5001,$A$469)))</f>
        <v/>
      </c>
      <c r="L472" s="205" t="str">
        <f>IF(L$3="","",IF(COUNTIFS(BD!$A$3:$A$5001,L$3,BD!$B$3:$B$5001,$A$469,BD!$F$3:$F$5001,"&lt;&gt;")=0,"",SUMIFS(BD!$F$3:$F$5001,BD!$A$3:$A$5001,L$3,BD!$B$3:$B$5001,$A$469)))</f>
        <v/>
      </c>
      <c r="M472" s="205" t="str">
        <f>IF(M$3="","",IF(COUNTIFS(BD!$A$3:$A$5001,M$3,BD!$B$3:$B$5001,$A$469,BD!$F$3:$F$5001,"&lt;&gt;")=0,"",SUMIFS(BD!$F$3:$F$5001,BD!$A$3:$A$5001,M$3,BD!$B$3:$B$5001,$A$469)))</f>
        <v/>
      </c>
      <c r="N472" s="205" t="str">
        <f>IF(N$3="","",IF(COUNTIFS(BD!$A$3:$A$5001,N$3,BD!$B$3:$B$5001,$A$469,BD!$F$3:$F$5001,"&lt;&gt;")=0,"",SUMIFS(BD!$F$3:$F$5001,BD!$A$3:$A$5001,N$3,BD!$B$3:$B$5001,$A$469)))</f>
        <v/>
      </c>
      <c r="O472" s="205" t="str">
        <f>IF(O$3="","",IF(COUNTIFS(BD!$A$3:$A$5001,O$3,BD!$B$3:$B$5001,$A$469,BD!$F$3:$F$5001,"&lt;&gt;")=0,"",SUMIFS(BD!$F$3:$F$5001,BD!$A$3:$A$5001,O$3,BD!$B$3:$B$5001,$A$469)))</f>
        <v/>
      </c>
      <c r="P472" s="205" t="str">
        <f>IF(P$3="","",IF(COUNTIFS(BD!$A$3:$A$5001,P$3,BD!$B$3:$B$5001,$A$469,BD!$F$3:$F$5001,"&lt;&gt;")=0,"",SUMIFS(BD!$F$3:$F$5001,BD!$A$3:$A$5001,P$3,BD!$B$3:$B$5001,$A$469)))</f>
        <v/>
      </c>
      <c r="Q472" s="205" t="str">
        <f>IF(Q$3="","",IF(COUNTIFS(BD!$A$3:$A$5001,Q$3,BD!$B$3:$B$5001,$A$469,BD!$F$3:$F$5001,"&lt;&gt;")=0,"",SUMIFS(BD!$F$3:$F$5001,BD!$A$3:$A$5001,Q$3,BD!$B$3:$B$5001,$A$469)))</f>
        <v/>
      </c>
      <c r="R472" s="205" t="str">
        <f>IF(R$3="","",IF(COUNTIFS(BD!$A$3:$A$5001,R$3,BD!$B$3:$B$5001,$A$469,BD!$F$3:$F$5001,"&lt;&gt;")=0,"",SUMIFS(BD!$F$3:$F$5001,BD!$A$3:$A$5001,R$3,BD!$B$3:$B$5001,$A$469)))</f>
        <v/>
      </c>
      <c r="S472" s="205" t="str">
        <f>IF(S$3="","",IF(COUNTIFS(BD!$A$3:$A$5001,S$3,BD!$B$3:$B$5001,$A$469,BD!$F$3:$F$5001,"&lt;&gt;")=0,"",SUMIFS(BD!$F$3:$F$5001,BD!$A$3:$A$5001,S$3,BD!$B$3:$B$5001,$A$469)))</f>
        <v/>
      </c>
      <c r="T472" s="205" t="str">
        <f>IF(T$3="","",IF(COUNTIFS(BD!$A$3:$A$5001,T$3,BD!$B$3:$B$5001,$A$469,BD!$F$3:$F$5001,"&lt;&gt;")=0,"",SUMIFS(BD!$F$3:$F$5001,BD!$A$3:$A$5001,T$3,BD!$B$3:$B$5001,$A$469)))</f>
        <v/>
      </c>
      <c r="U472" s="205" t="str">
        <f>IF(U$3="","",IF(COUNTIFS(BD!$A$3:$A$5001,U$3,BD!$B$3:$B$5001,$A$469,BD!$F$3:$F$5001,"&lt;&gt;")=0,"",SUMIFS(BD!$F$3:$F$5001,BD!$A$3:$A$5001,U$3,BD!$B$3:$B$5001,$A$469)))</f>
        <v/>
      </c>
      <c r="V472" s="205" t="str">
        <f>IF(V$3="","",IF(COUNTIFS(BD!$A$3:$A$5001,V$3,BD!$B$3:$B$5001,$A$469,BD!$F$3:$F$5001,"&lt;&gt;")=0,"",SUMIFS(BD!$F$3:$F$5001,BD!$A$3:$A$5001,V$3,BD!$B$3:$B$5001,$A$469)))</f>
        <v/>
      </c>
      <c r="W472" s="205" t="str">
        <f>IF(W$3="","",IF(COUNTIFS(BD!$A$3:$A$5001,W$3,BD!$B$3:$B$5001,$A$469,BD!$F$3:$F$5001,"&lt;&gt;")=0,"",SUMIFS(BD!$F$3:$F$5001,BD!$A$3:$A$5001,W$3,BD!$B$3:$B$5001,$A$469)))</f>
        <v/>
      </c>
      <c r="X472" s="205" t="str">
        <f>IF(X$3="","",IF(COUNTIFS(BD!$A$3:$A$5001,X$3,BD!$B$3:$B$5001,$A$469,BD!$F$3:$F$5001,"&lt;&gt;")=0,"",SUMIFS(BD!$F$3:$F$5001,BD!$A$3:$A$5001,X$3,BD!$B$3:$B$5001,$A$469)))</f>
        <v/>
      </c>
      <c r="Y472" s="205" t="str">
        <f>IF(Y$3="","",IF(COUNTIFS(BD!$A$3:$A$5001,Y$3,BD!$B$3:$B$5001,$A$469,BD!$F$3:$F$5001,"&lt;&gt;")=0,"",SUMIFS(BD!$F$3:$F$5001,BD!$A$3:$A$5001,Y$3,BD!$B$3:$B$5001,$A$469)))</f>
        <v/>
      </c>
      <c r="Z472" s="205" t="str">
        <f>IF(Z$3="","",IF(COUNTIFS(BD!$A$3:$A$5001,Z$3,BD!$B$3:$B$5001,$A$469,BD!$F$3:$F$5001,"&lt;&gt;")=0,"",SUMIFS(BD!$F$3:$F$5001,BD!$A$3:$A$5001,Z$3,BD!$B$3:$B$5001,$A$469)))</f>
        <v/>
      </c>
      <c r="AA472" s="205" t="str">
        <f>IF(AA$3="","",IF(COUNTIFS(BD!$A$3:$A$5001,AA$3,BD!$B$3:$B$5001,$A$469,BD!$F$3:$F$5001,"&lt;&gt;")=0,"",SUMIFS(BD!$F$3:$F$5001,BD!$A$3:$A$5001,AA$3,BD!$B$3:$B$5001,$A$469)))</f>
        <v/>
      </c>
      <c r="AB472" s="205" t="str">
        <f>IF(AB$3="","",IF(COUNTIFS(BD!$A$3:$A$5001,AB$3,BD!$B$3:$B$5001,$A$469,BD!$F$3:$F$5001,"&lt;&gt;")=0,"",SUMIFS(BD!$F$3:$F$5001,BD!$A$3:$A$5001,AB$3,BD!$B$3:$B$5001,$A$469)))</f>
        <v/>
      </c>
      <c r="AC472" s="205" t="str">
        <f>IF(AC$3="","",IF(COUNTIFS(BD!$A$3:$A$5001,AC$3,BD!$B$3:$B$5001,$A$469,BD!$F$3:$F$5001,"&lt;&gt;")=0,"",SUMIFS(BD!$F$3:$F$5001,BD!$A$3:$A$5001,AC$3,BD!$B$3:$B$5001,$A$469)))</f>
        <v/>
      </c>
      <c r="AD472" s="205" t="str">
        <f>IF(AD$3="","",IF(COUNTIFS(BD!$A$3:$A$5001,AD$3,BD!$B$3:$B$5001,$A$469,BD!$F$3:$F$5001,"&lt;&gt;")=0,"",SUMIFS(BD!$F$3:$F$5001,BD!$A$3:$A$5001,AD$3,BD!$B$3:$B$5001,$A$469)))</f>
        <v/>
      </c>
      <c r="AE472" s="205" t="str">
        <f>IF(AE$3="","",IF(COUNTIFS(BD!$A$3:$A$5001,AE$3,BD!$B$3:$B$5001,$A$469,BD!$F$3:$F$5001,"&lt;&gt;")=0,"",SUMIFS(BD!$F$3:$F$5001,BD!$A$3:$A$5001,AE$3,BD!$B$3:$B$5001,$A$469)))</f>
        <v/>
      </c>
      <c r="AF472" s="205" t="str">
        <f>IF(AF$3="","",IF(COUNTIFS(BD!$A$3:$A$5001,AF$3,BD!$B$3:$B$5001,$A$469,BD!$F$3:$F$5001,"&lt;&gt;")=0,"",SUMIFS(BD!$F$3:$F$5001,BD!$A$3:$A$5001,AF$3,BD!$B$3:$B$5001,$A$469)))</f>
        <v/>
      </c>
      <c r="AG472" s="205" t="str">
        <f>IF(AG$3="","",IF(COUNTIFS(BD!$A$3:$A$5001,AG$3,BD!$B$3:$B$5001,$A$469,BD!$F$3:$F$5001,"&lt;&gt;")=0,"",SUMIFS(BD!$F$3:$F$5001,BD!$A$3:$A$5001,AG$3,BD!$B$3:$B$5001,$A$469)))</f>
        <v/>
      </c>
      <c r="AH472" s="205" t="str">
        <f>IF(AH$3="","",IF(COUNTIFS(BD!$A$3:$A$5001,AH$3,BD!$B$3:$B$5001,$A$469,BD!$F$3:$F$5001,"&lt;&gt;")=0,"",SUMIFS(BD!$F$3:$F$5001,BD!$A$3:$A$5001,AH$3,BD!$B$3:$B$5001,$A$469)))</f>
        <v/>
      </c>
      <c r="AI472" s="205" t="str">
        <f>IF(AI$3="","",IF(COUNTIFS(BD!$A$3:$A$5001,AI$3,BD!$B$3:$B$5001,$A$469,BD!$F$3:$F$5001,"&lt;&gt;")=0,"",SUMIFS(BD!$F$3:$F$5001,BD!$A$3:$A$5001,AI$3,BD!$B$3:$B$5001,$A$469)))</f>
        <v/>
      </c>
      <c r="AJ472" s="206" t="str">
        <f>IF(AJ$3="","",IF(COUNTIFS(BD!$A$3:$A$5001,AJ$3,BD!$B$3:$B$5001,$A$469,BD!$F$3:$F$5001,"&lt;&gt;")=0,"",SUMIFS(BD!$F$3:$F$5001,BD!$A$3:$A$5001,AJ$3,BD!$B$3:$B$5001,$A$469)))</f>
        <v/>
      </c>
      <c r="AK472" s="207" t="str">
        <f>IF(COUNT(F472:AJ472)=0,"",SUM(F472:AJ472))</f>
        <v/>
      </c>
    </row>
    <row r="473" ht="15.75" customHeight="1" hidden="1">
      <c r="A473" s="244"/>
      <c r="B473" s="239"/>
      <c r="C473" s="201" t="inlineStr">
        <is>
          <t xml:space="preserve">Caixas Movimentadas</t>
        </is>
      </c>
      <c r="D473" s="202" t="str">
        <f>IFERROR(1/(1/INDEX(BD!$AJ$27:$BD$27,MATCH($A$469,BD!$AJ$22:$BD$22,0))),"")</f>
        <v/>
      </c>
      <c r="E473" s="203"/>
      <c r="F473" s="204" t="str">
        <f>IF(F$3="","",IF(COUNTIFS(BD!$A$3:$A$5001,F$3,BD!$B$3:$B$5001,$A$469,BD!$G$3:$G$5001,"&lt;&gt;")=0,"",SUMIFS(BD!$G$3:$G$5001,BD!$A$3:$A$5001,F$3,BD!$B$3:$B$5001,$A$469)))</f>
        <v/>
      </c>
      <c r="G473" s="205" t="str">
        <f>IF(G$3="","",IF(COUNTIFS(BD!$A$3:$A$5001,G$3,BD!$B$3:$B$5001,$A$469,BD!$G$3:$G$5001,"&lt;&gt;")=0,"",SUMIFS(BD!$G$3:$G$5001,BD!$A$3:$A$5001,G$3,BD!$B$3:$B$5001,$A$469)))</f>
        <v/>
      </c>
      <c r="H473" s="205" t="str">
        <f>IF(H$3="","",IF(COUNTIFS(BD!$A$3:$A$5001,H$3,BD!$B$3:$B$5001,$A$469,BD!$G$3:$G$5001,"&lt;&gt;")=0,"",SUMIFS(BD!$G$3:$G$5001,BD!$A$3:$A$5001,H$3,BD!$B$3:$B$5001,$A$469)))</f>
        <v/>
      </c>
      <c r="I473" s="205" t="str">
        <f>IF(I$3="","",IF(COUNTIFS(BD!$A$3:$A$5001,I$3,BD!$B$3:$B$5001,$A$469,BD!$G$3:$G$5001,"&lt;&gt;")=0,"",SUMIFS(BD!$G$3:$G$5001,BD!$A$3:$A$5001,I$3,BD!$B$3:$B$5001,$A$469)))</f>
        <v/>
      </c>
      <c r="J473" s="205" t="str">
        <f>IF(J$3="","",IF(COUNTIFS(BD!$A$3:$A$5001,J$3,BD!$B$3:$B$5001,$A$469,BD!$G$3:$G$5001,"&lt;&gt;")=0,"",SUMIFS(BD!$G$3:$G$5001,BD!$A$3:$A$5001,J$3,BD!$B$3:$B$5001,$A$469)))</f>
        <v/>
      </c>
      <c r="K473" s="205" t="str">
        <f>IF(K$3="","",IF(COUNTIFS(BD!$A$3:$A$5001,K$3,BD!$B$3:$B$5001,$A$469,BD!$G$3:$G$5001,"&lt;&gt;")=0,"",SUMIFS(BD!$G$3:$G$5001,BD!$A$3:$A$5001,K$3,BD!$B$3:$B$5001,$A$469)))</f>
        <v/>
      </c>
      <c r="L473" s="205" t="str">
        <f>IF(L$3="","",IF(COUNTIFS(BD!$A$3:$A$5001,L$3,BD!$B$3:$B$5001,$A$469,BD!$G$3:$G$5001,"&lt;&gt;")=0,"",SUMIFS(BD!$G$3:$G$5001,BD!$A$3:$A$5001,L$3,BD!$B$3:$B$5001,$A$469)))</f>
        <v/>
      </c>
      <c r="M473" s="205" t="str">
        <f>IF(M$3="","",IF(COUNTIFS(BD!$A$3:$A$5001,M$3,BD!$B$3:$B$5001,$A$469,BD!$G$3:$G$5001,"&lt;&gt;")=0,"",SUMIFS(BD!$G$3:$G$5001,BD!$A$3:$A$5001,M$3,BD!$B$3:$B$5001,$A$469)))</f>
        <v/>
      </c>
      <c r="N473" s="205" t="str">
        <f>IF(N$3="","",IF(COUNTIFS(BD!$A$3:$A$5001,N$3,BD!$B$3:$B$5001,$A$469,BD!$G$3:$G$5001,"&lt;&gt;")=0,"",SUMIFS(BD!$G$3:$G$5001,BD!$A$3:$A$5001,N$3,BD!$B$3:$B$5001,$A$469)))</f>
        <v/>
      </c>
      <c r="O473" s="205" t="str">
        <f>IF(O$3="","",IF(COUNTIFS(BD!$A$3:$A$5001,O$3,BD!$B$3:$B$5001,$A$469,BD!$G$3:$G$5001,"&lt;&gt;")=0,"",SUMIFS(BD!$G$3:$G$5001,BD!$A$3:$A$5001,O$3,BD!$B$3:$B$5001,$A$469)))</f>
        <v/>
      </c>
      <c r="P473" s="205" t="str">
        <f>IF(P$3="","",IF(COUNTIFS(BD!$A$3:$A$5001,P$3,BD!$B$3:$B$5001,$A$469,BD!$G$3:$G$5001,"&lt;&gt;")=0,"",SUMIFS(BD!$G$3:$G$5001,BD!$A$3:$A$5001,P$3,BD!$B$3:$B$5001,$A$469)))</f>
        <v/>
      </c>
      <c r="Q473" s="205" t="str">
        <f>IF(Q$3="","",IF(COUNTIFS(BD!$A$3:$A$5001,Q$3,BD!$B$3:$B$5001,$A$469,BD!$G$3:$G$5001,"&lt;&gt;")=0,"",SUMIFS(BD!$G$3:$G$5001,BD!$A$3:$A$5001,Q$3,BD!$B$3:$B$5001,$A$469)))</f>
        <v/>
      </c>
      <c r="R473" s="205" t="str">
        <f>IF(R$3="","",IF(COUNTIFS(BD!$A$3:$A$5001,R$3,BD!$B$3:$B$5001,$A$469,BD!$G$3:$G$5001,"&lt;&gt;")=0,"",SUMIFS(BD!$G$3:$G$5001,BD!$A$3:$A$5001,R$3,BD!$B$3:$B$5001,$A$469)))</f>
        <v/>
      </c>
      <c r="S473" s="205" t="str">
        <f>IF(S$3="","",IF(COUNTIFS(BD!$A$3:$A$5001,S$3,BD!$B$3:$B$5001,$A$469,BD!$G$3:$G$5001,"&lt;&gt;")=0,"",SUMIFS(BD!$G$3:$G$5001,BD!$A$3:$A$5001,S$3,BD!$B$3:$B$5001,$A$469)))</f>
        <v/>
      </c>
      <c r="T473" s="205" t="str">
        <f>IF(T$3="","",IF(COUNTIFS(BD!$A$3:$A$5001,T$3,BD!$B$3:$B$5001,$A$469,BD!$G$3:$G$5001,"&lt;&gt;")=0,"",SUMIFS(BD!$G$3:$G$5001,BD!$A$3:$A$5001,T$3,BD!$B$3:$B$5001,$A$469)))</f>
        <v/>
      </c>
      <c r="U473" s="205" t="str">
        <f>IF(U$3="","",IF(COUNTIFS(BD!$A$3:$A$5001,U$3,BD!$B$3:$B$5001,$A$469,BD!$G$3:$G$5001,"&lt;&gt;")=0,"",SUMIFS(BD!$G$3:$G$5001,BD!$A$3:$A$5001,U$3,BD!$B$3:$B$5001,$A$469)))</f>
        <v/>
      </c>
      <c r="V473" s="205" t="str">
        <f>IF(V$3="","",IF(COUNTIFS(BD!$A$3:$A$5001,V$3,BD!$B$3:$B$5001,$A$469,BD!$G$3:$G$5001,"&lt;&gt;")=0,"",SUMIFS(BD!$G$3:$G$5001,BD!$A$3:$A$5001,V$3,BD!$B$3:$B$5001,$A$469)))</f>
        <v/>
      </c>
      <c r="W473" s="205" t="str">
        <f>IF(W$3="","",IF(COUNTIFS(BD!$A$3:$A$5001,W$3,BD!$B$3:$B$5001,$A$469,BD!$G$3:$G$5001,"&lt;&gt;")=0,"",SUMIFS(BD!$G$3:$G$5001,BD!$A$3:$A$5001,W$3,BD!$B$3:$B$5001,$A$469)))</f>
        <v/>
      </c>
      <c r="X473" s="205" t="str">
        <f>IF(X$3="","",IF(COUNTIFS(BD!$A$3:$A$5001,X$3,BD!$B$3:$B$5001,$A$469,BD!$G$3:$G$5001,"&lt;&gt;")=0,"",SUMIFS(BD!$G$3:$G$5001,BD!$A$3:$A$5001,X$3,BD!$B$3:$B$5001,$A$469)))</f>
        <v/>
      </c>
      <c r="Y473" s="205" t="str">
        <f>IF(Y$3="","",IF(COUNTIFS(BD!$A$3:$A$5001,Y$3,BD!$B$3:$B$5001,$A$469,BD!$G$3:$G$5001,"&lt;&gt;")=0,"",SUMIFS(BD!$G$3:$G$5001,BD!$A$3:$A$5001,Y$3,BD!$B$3:$B$5001,$A$469)))</f>
        <v/>
      </c>
      <c r="Z473" s="205" t="str">
        <f>IF(Z$3="","",IF(COUNTIFS(BD!$A$3:$A$5001,Z$3,BD!$B$3:$B$5001,$A$469,BD!$G$3:$G$5001,"&lt;&gt;")=0,"",SUMIFS(BD!$G$3:$G$5001,BD!$A$3:$A$5001,Z$3,BD!$B$3:$B$5001,$A$469)))</f>
        <v/>
      </c>
      <c r="AA473" s="205" t="str">
        <f>IF(AA$3="","",IF(COUNTIFS(BD!$A$3:$A$5001,AA$3,BD!$B$3:$B$5001,$A$469,BD!$G$3:$G$5001,"&lt;&gt;")=0,"",SUMIFS(BD!$G$3:$G$5001,BD!$A$3:$A$5001,AA$3,BD!$B$3:$B$5001,$A$469)))</f>
        <v/>
      </c>
      <c r="AB473" s="205" t="str">
        <f>IF(AB$3="","",IF(COUNTIFS(BD!$A$3:$A$5001,AB$3,BD!$B$3:$B$5001,$A$469,BD!$G$3:$G$5001,"&lt;&gt;")=0,"",SUMIFS(BD!$G$3:$G$5001,BD!$A$3:$A$5001,AB$3,BD!$B$3:$B$5001,$A$469)))</f>
        <v/>
      </c>
      <c r="AC473" s="205" t="str">
        <f>IF(AC$3="","",IF(COUNTIFS(BD!$A$3:$A$5001,AC$3,BD!$B$3:$B$5001,$A$469,BD!$G$3:$G$5001,"&lt;&gt;")=0,"",SUMIFS(BD!$G$3:$G$5001,BD!$A$3:$A$5001,AC$3,BD!$B$3:$B$5001,$A$469)))</f>
        <v/>
      </c>
      <c r="AD473" s="205" t="str">
        <f>IF(AD$3="","",IF(COUNTIFS(BD!$A$3:$A$5001,AD$3,BD!$B$3:$B$5001,$A$469,BD!$G$3:$G$5001,"&lt;&gt;")=0,"",SUMIFS(BD!$G$3:$G$5001,BD!$A$3:$A$5001,AD$3,BD!$B$3:$B$5001,$A$469)))</f>
        <v/>
      </c>
      <c r="AE473" s="205" t="str">
        <f>IF(AE$3="","",IF(COUNTIFS(BD!$A$3:$A$5001,AE$3,BD!$B$3:$B$5001,$A$469,BD!$G$3:$G$5001,"&lt;&gt;")=0,"",SUMIFS(BD!$G$3:$G$5001,BD!$A$3:$A$5001,AE$3,BD!$B$3:$B$5001,$A$469)))</f>
        <v/>
      </c>
      <c r="AF473" s="205" t="str">
        <f>IF(AF$3="","",IF(COUNTIFS(BD!$A$3:$A$5001,AF$3,BD!$B$3:$B$5001,$A$469,BD!$G$3:$G$5001,"&lt;&gt;")=0,"",SUMIFS(BD!$G$3:$G$5001,BD!$A$3:$A$5001,AF$3,BD!$B$3:$B$5001,$A$469)))</f>
        <v/>
      </c>
      <c r="AG473" s="205" t="str">
        <f>IF(AG$3="","",IF(COUNTIFS(BD!$A$3:$A$5001,AG$3,BD!$B$3:$B$5001,$A$469,BD!$G$3:$G$5001,"&lt;&gt;")=0,"",SUMIFS(BD!$G$3:$G$5001,BD!$A$3:$A$5001,AG$3,BD!$B$3:$B$5001,$A$469)))</f>
        <v/>
      </c>
      <c r="AH473" s="205" t="str">
        <f>IF(AH$3="","",IF(COUNTIFS(BD!$A$3:$A$5001,AH$3,BD!$B$3:$B$5001,$A$469,BD!$G$3:$G$5001,"&lt;&gt;")=0,"",SUMIFS(BD!$G$3:$G$5001,BD!$A$3:$A$5001,AH$3,BD!$B$3:$B$5001,$A$469)))</f>
        <v/>
      </c>
      <c r="AI473" s="205" t="str">
        <f>IF(AI$3="","",IF(COUNTIFS(BD!$A$3:$A$5001,AI$3,BD!$B$3:$B$5001,$A$469,BD!$G$3:$G$5001,"&lt;&gt;")=0,"",SUMIFS(BD!$G$3:$G$5001,BD!$A$3:$A$5001,AI$3,BD!$B$3:$B$5001,$A$469)))</f>
        <v/>
      </c>
      <c r="AJ473" s="206" t="str">
        <f>IF(AJ$3="","",IF(COUNTIFS(BD!$A$3:$A$5001,AJ$3,BD!$B$3:$B$5001,$A$469,BD!$G$3:$G$5001,"&lt;&gt;")=0,"",SUMIFS(BD!$G$3:$G$5001,BD!$A$3:$A$5001,AJ$3,BD!$B$3:$B$5001,$A$469)))</f>
        <v/>
      </c>
      <c r="AK473" s="207" t="str">
        <f>IF(COUNT(F473:AJ473)=0,"",SUM(F473:AJ473))</f>
        <v/>
      </c>
    </row>
    <row r="474" ht="15.75" customHeight="1" hidden="1">
      <c r="A474" s="244"/>
      <c r="B474" s="239"/>
      <c r="C474" s="201" t="inlineStr">
        <is>
          <t xml:space="preserve">Itens Recebidos</t>
        </is>
      </c>
      <c r="D474" s="202" t="str">
        <f>IFERROR(1/(1/INDEX(BD!$AJ$28:$BD$28,MATCH($A$469,BD!$AJ$22:$BD$22,0))),"")</f>
        <v/>
      </c>
      <c r="E474" s="203"/>
      <c r="F474" s="204" t="str">
        <f>IF(F$3="","",IF(COUNTIFS(BD!$A$3:$A$5001,F$3,BD!$B$3:$B$5001,$A$469,BD!$H$3:$H$5001,"&lt;&gt;")=0,"",SUMIFS(BD!$H$3:$H$5001,BD!$A$3:$A$5001,F$3,BD!$B$3:$B$5001,$A$469)))</f>
        <v/>
      </c>
      <c r="G474" s="205" t="str">
        <f>IF(G$3="","",IF(COUNTIFS(BD!$A$3:$A$5001,G$3,BD!$B$3:$B$5001,$A$469,BD!$H$3:$H$5001,"&lt;&gt;")=0,"",SUMIFS(BD!$H$3:$H$5001,BD!$A$3:$A$5001,G$3,BD!$B$3:$B$5001,$A$469)))</f>
        <v/>
      </c>
      <c r="H474" s="205" t="str">
        <f>IF(H$3="","",IF(COUNTIFS(BD!$A$3:$A$5001,H$3,BD!$B$3:$B$5001,$A$469,BD!$H$3:$H$5001,"&lt;&gt;")=0,"",SUMIFS(BD!$H$3:$H$5001,BD!$A$3:$A$5001,H$3,BD!$B$3:$B$5001,$A$469)))</f>
        <v/>
      </c>
      <c r="I474" s="205" t="str">
        <f>IF(I$3="","",IF(COUNTIFS(BD!$A$3:$A$5001,I$3,BD!$B$3:$B$5001,$A$469,BD!$H$3:$H$5001,"&lt;&gt;")=0,"",SUMIFS(BD!$H$3:$H$5001,BD!$A$3:$A$5001,I$3,BD!$B$3:$B$5001,$A$469)))</f>
        <v/>
      </c>
      <c r="J474" s="205" t="str">
        <f>IF(J$3="","",IF(COUNTIFS(BD!$A$3:$A$5001,J$3,BD!$B$3:$B$5001,$A$469,BD!$H$3:$H$5001,"&lt;&gt;")=0,"",SUMIFS(BD!$H$3:$H$5001,BD!$A$3:$A$5001,J$3,BD!$B$3:$B$5001,$A$469)))</f>
        <v/>
      </c>
      <c r="K474" s="205" t="str">
        <f>IF(K$3="","",IF(COUNTIFS(BD!$A$3:$A$5001,K$3,BD!$B$3:$B$5001,$A$469,BD!$H$3:$H$5001,"&lt;&gt;")=0,"",SUMIFS(BD!$H$3:$H$5001,BD!$A$3:$A$5001,K$3,BD!$B$3:$B$5001,$A$469)))</f>
        <v/>
      </c>
      <c r="L474" s="205" t="str">
        <f>IF(L$3="","",IF(COUNTIFS(BD!$A$3:$A$5001,L$3,BD!$B$3:$B$5001,$A$469,BD!$H$3:$H$5001,"&lt;&gt;")=0,"",SUMIFS(BD!$H$3:$H$5001,BD!$A$3:$A$5001,L$3,BD!$B$3:$B$5001,$A$469)))</f>
        <v/>
      </c>
      <c r="M474" s="205" t="str">
        <f>IF(M$3="","",IF(COUNTIFS(BD!$A$3:$A$5001,M$3,BD!$B$3:$B$5001,$A$469,BD!$H$3:$H$5001,"&lt;&gt;")=0,"",SUMIFS(BD!$H$3:$H$5001,BD!$A$3:$A$5001,M$3,BD!$B$3:$B$5001,$A$469)))</f>
        <v/>
      </c>
      <c r="N474" s="205" t="str">
        <f>IF(N$3="","",IF(COUNTIFS(BD!$A$3:$A$5001,N$3,BD!$B$3:$B$5001,$A$469,BD!$H$3:$H$5001,"&lt;&gt;")=0,"",SUMIFS(BD!$H$3:$H$5001,BD!$A$3:$A$5001,N$3,BD!$B$3:$B$5001,$A$469)))</f>
        <v/>
      </c>
      <c r="O474" s="205" t="str">
        <f>IF(O$3="","",IF(COUNTIFS(BD!$A$3:$A$5001,O$3,BD!$B$3:$B$5001,$A$469,BD!$H$3:$H$5001,"&lt;&gt;")=0,"",SUMIFS(BD!$H$3:$H$5001,BD!$A$3:$A$5001,O$3,BD!$B$3:$B$5001,$A$469)))</f>
        <v/>
      </c>
      <c r="P474" s="205" t="str">
        <f>IF(P$3="","",IF(COUNTIFS(BD!$A$3:$A$5001,P$3,BD!$B$3:$B$5001,$A$469,BD!$H$3:$H$5001,"&lt;&gt;")=0,"",SUMIFS(BD!$H$3:$H$5001,BD!$A$3:$A$5001,P$3,BD!$B$3:$B$5001,$A$469)))</f>
        <v/>
      </c>
      <c r="Q474" s="205" t="str">
        <f>IF(Q$3="","",IF(COUNTIFS(BD!$A$3:$A$5001,Q$3,BD!$B$3:$B$5001,$A$469,BD!$H$3:$H$5001,"&lt;&gt;")=0,"",SUMIFS(BD!$H$3:$H$5001,BD!$A$3:$A$5001,Q$3,BD!$B$3:$B$5001,$A$469)))</f>
        <v/>
      </c>
      <c r="R474" s="205" t="str">
        <f>IF(R$3="","",IF(COUNTIFS(BD!$A$3:$A$5001,R$3,BD!$B$3:$B$5001,$A$469,BD!$H$3:$H$5001,"&lt;&gt;")=0,"",SUMIFS(BD!$H$3:$H$5001,BD!$A$3:$A$5001,R$3,BD!$B$3:$B$5001,$A$469)))</f>
        <v/>
      </c>
      <c r="S474" s="205" t="str">
        <f>IF(S$3="","",IF(COUNTIFS(BD!$A$3:$A$5001,S$3,BD!$B$3:$B$5001,$A$469,BD!$H$3:$H$5001,"&lt;&gt;")=0,"",SUMIFS(BD!$H$3:$H$5001,BD!$A$3:$A$5001,S$3,BD!$B$3:$B$5001,$A$469)))</f>
        <v/>
      </c>
      <c r="T474" s="205" t="str">
        <f>IF(T$3="","",IF(COUNTIFS(BD!$A$3:$A$5001,T$3,BD!$B$3:$B$5001,$A$469,BD!$H$3:$H$5001,"&lt;&gt;")=0,"",SUMIFS(BD!$H$3:$H$5001,BD!$A$3:$A$5001,T$3,BD!$B$3:$B$5001,$A$469)))</f>
        <v/>
      </c>
      <c r="U474" s="205" t="str">
        <f>IF(U$3="","",IF(COUNTIFS(BD!$A$3:$A$5001,U$3,BD!$B$3:$B$5001,$A$469,BD!$H$3:$H$5001,"&lt;&gt;")=0,"",SUMIFS(BD!$H$3:$H$5001,BD!$A$3:$A$5001,U$3,BD!$B$3:$B$5001,$A$469)))</f>
        <v/>
      </c>
      <c r="V474" s="205" t="str">
        <f>IF(V$3="","",IF(COUNTIFS(BD!$A$3:$A$5001,V$3,BD!$B$3:$B$5001,$A$469,BD!$H$3:$H$5001,"&lt;&gt;")=0,"",SUMIFS(BD!$H$3:$H$5001,BD!$A$3:$A$5001,V$3,BD!$B$3:$B$5001,$A$469)))</f>
        <v/>
      </c>
      <c r="W474" s="205" t="str">
        <f>IF(W$3="","",IF(COUNTIFS(BD!$A$3:$A$5001,W$3,BD!$B$3:$B$5001,$A$469,BD!$H$3:$H$5001,"&lt;&gt;")=0,"",SUMIFS(BD!$H$3:$H$5001,BD!$A$3:$A$5001,W$3,BD!$B$3:$B$5001,$A$469)))</f>
        <v/>
      </c>
      <c r="X474" s="205" t="str">
        <f>IF(X$3="","",IF(COUNTIFS(BD!$A$3:$A$5001,X$3,BD!$B$3:$B$5001,$A$469,BD!$H$3:$H$5001,"&lt;&gt;")=0,"",SUMIFS(BD!$H$3:$H$5001,BD!$A$3:$A$5001,X$3,BD!$B$3:$B$5001,$A$469)))</f>
        <v/>
      </c>
      <c r="Y474" s="205" t="str">
        <f>IF(Y$3="","",IF(COUNTIFS(BD!$A$3:$A$5001,Y$3,BD!$B$3:$B$5001,$A$469,BD!$H$3:$H$5001,"&lt;&gt;")=0,"",SUMIFS(BD!$H$3:$H$5001,BD!$A$3:$A$5001,Y$3,BD!$B$3:$B$5001,$A$469)))</f>
        <v/>
      </c>
      <c r="Z474" s="205" t="str">
        <f>IF(Z$3="","",IF(COUNTIFS(BD!$A$3:$A$5001,Z$3,BD!$B$3:$B$5001,$A$469,BD!$H$3:$H$5001,"&lt;&gt;")=0,"",SUMIFS(BD!$H$3:$H$5001,BD!$A$3:$A$5001,Z$3,BD!$B$3:$B$5001,$A$469)))</f>
        <v/>
      </c>
      <c r="AA474" s="205" t="str">
        <f>IF(AA$3="","",IF(COUNTIFS(BD!$A$3:$A$5001,AA$3,BD!$B$3:$B$5001,$A$469,BD!$H$3:$H$5001,"&lt;&gt;")=0,"",SUMIFS(BD!$H$3:$H$5001,BD!$A$3:$A$5001,AA$3,BD!$B$3:$B$5001,$A$469)))</f>
        <v/>
      </c>
      <c r="AB474" s="205" t="str">
        <f>IF(AB$3="","",IF(COUNTIFS(BD!$A$3:$A$5001,AB$3,BD!$B$3:$B$5001,$A$469,BD!$H$3:$H$5001,"&lt;&gt;")=0,"",SUMIFS(BD!$H$3:$H$5001,BD!$A$3:$A$5001,AB$3,BD!$B$3:$B$5001,$A$469)))</f>
        <v/>
      </c>
      <c r="AC474" s="205" t="str">
        <f>IF(AC$3="","",IF(COUNTIFS(BD!$A$3:$A$5001,AC$3,BD!$B$3:$B$5001,$A$469,BD!$H$3:$H$5001,"&lt;&gt;")=0,"",SUMIFS(BD!$H$3:$H$5001,BD!$A$3:$A$5001,AC$3,BD!$B$3:$B$5001,$A$469)))</f>
        <v/>
      </c>
      <c r="AD474" s="205" t="str">
        <f>IF(AD$3="","",IF(COUNTIFS(BD!$A$3:$A$5001,AD$3,BD!$B$3:$B$5001,$A$469,BD!$H$3:$H$5001,"&lt;&gt;")=0,"",SUMIFS(BD!$H$3:$H$5001,BD!$A$3:$A$5001,AD$3,BD!$B$3:$B$5001,$A$469)))</f>
        <v/>
      </c>
      <c r="AE474" s="205" t="str">
        <f>IF(AE$3="","",IF(COUNTIFS(BD!$A$3:$A$5001,AE$3,BD!$B$3:$B$5001,$A$469,BD!$H$3:$H$5001,"&lt;&gt;")=0,"",SUMIFS(BD!$H$3:$H$5001,BD!$A$3:$A$5001,AE$3,BD!$B$3:$B$5001,$A$469)))</f>
        <v/>
      </c>
      <c r="AF474" s="205" t="str">
        <f>IF(AF$3="","",IF(COUNTIFS(BD!$A$3:$A$5001,AF$3,BD!$B$3:$B$5001,$A$469,BD!$H$3:$H$5001,"&lt;&gt;")=0,"",SUMIFS(BD!$H$3:$H$5001,BD!$A$3:$A$5001,AF$3,BD!$B$3:$B$5001,$A$469)))</f>
        <v/>
      </c>
      <c r="AG474" s="205" t="str">
        <f>IF(AG$3="","",IF(COUNTIFS(BD!$A$3:$A$5001,AG$3,BD!$B$3:$B$5001,$A$469,BD!$H$3:$H$5001,"&lt;&gt;")=0,"",SUMIFS(BD!$H$3:$H$5001,BD!$A$3:$A$5001,AG$3,BD!$B$3:$B$5001,$A$469)))</f>
        <v/>
      </c>
      <c r="AH474" s="205" t="str">
        <f>IF(AH$3="","",IF(COUNTIFS(BD!$A$3:$A$5001,AH$3,BD!$B$3:$B$5001,$A$469,BD!$H$3:$H$5001,"&lt;&gt;")=0,"",SUMIFS(BD!$H$3:$H$5001,BD!$A$3:$A$5001,AH$3,BD!$B$3:$B$5001,$A$469)))</f>
        <v/>
      </c>
      <c r="AI474" s="205" t="str">
        <f>IF(AI$3="","",IF(COUNTIFS(BD!$A$3:$A$5001,AI$3,BD!$B$3:$B$5001,$A$469,BD!$H$3:$H$5001,"&lt;&gt;")=0,"",SUMIFS(BD!$H$3:$H$5001,BD!$A$3:$A$5001,AI$3,BD!$B$3:$B$5001,$A$469)))</f>
        <v/>
      </c>
      <c r="AJ474" s="206" t="str">
        <f>IF(AJ$3="","",IF(COUNTIFS(BD!$A$3:$A$5001,AJ$3,BD!$B$3:$B$5001,$A$469,BD!$H$3:$H$5001,"&lt;&gt;")=0,"",SUMIFS(BD!$H$3:$H$5001,BD!$A$3:$A$5001,AJ$3,BD!$B$3:$B$5001,$A$469)))</f>
        <v/>
      </c>
      <c r="AK474" s="207" t="str">
        <f>IF(COUNT(F474:AJ474)=0,"",SUM(F474:AJ474))</f>
        <v/>
      </c>
    </row>
    <row r="475" ht="15.75" customHeight="1" hidden="1">
      <c r="A475" s="244"/>
      <c r="B475" s="239"/>
      <c r="C475" s="201" t="inlineStr">
        <is>
          <t xml:space="preserve">Itens Recebidos CX Mista</t>
        </is>
      </c>
      <c r="D475" s="202" t="str">
        <f>IFERROR(1/(1/INDEX(BD!$AJ$29:$BD$29,MATCH($A$469,BD!$AJ$22:$BD$22,0))),"")</f>
        <v/>
      </c>
      <c r="E475" s="203"/>
      <c r="F475" s="204" t="str">
        <f>IF(F$3="","",IF(COUNTIFS(BD!$A$3:$A$5001,F$3,BD!$B$3:$B$5001,$A$469,BD!$I$3:$I$5001,"&lt;&gt;")=0,"",SUMIFS(BD!$I$3:$I$5001,BD!$A$3:$A$5001,F$3,BD!$B$3:$B$5001,$A$469)))</f>
        <v/>
      </c>
      <c r="G475" s="205" t="str">
        <f>IF(G$3="","",IF(COUNTIFS(BD!$A$3:$A$5001,G$3,BD!$B$3:$B$5001,$A$469,BD!$I$3:$I$5001,"&lt;&gt;")=0,"",SUMIFS(BD!$I$3:$I$5001,BD!$A$3:$A$5001,G$3,BD!$B$3:$B$5001,$A$469)))</f>
        <v/>
      </c>
      <c r="H475" s="205" t="str">
        <f>IF(H$3="","",IF(COUNTIFS(BD!$A$3:$A$5001,H$3,BD!$B$3:$B$5001,$A$469,BD!$I$3:$I$5001,"&lt;&gt;")=0,"",SUMIFS(BD!$I$3:$I$5001,BD!$A$3:$A$5001,H$3,BD!$B$3:$B$5001,$A$469)))</f>
        <v/>
      </c>
      <c r="I475" s="205" t="str">
        <f>IF(I$3="","",IF(COUNTIFS(BD!$A$3:$A$5001,I$3,BD!$B$3:$B$5001,$A$469,BD!$I$3:$I$5001,"&lt;&gt;")=0,"",SUMIFS(BD!$I$3:$I$5001,BD!$A$3:$A$5001,I$3,BD!$B$3:$B$5001,$A$469)))</f>
        <v/>
      </c>
      <c r="J475" s="205" t="str">
        <f>IF(J$3="","",IF(COUNTIFS(BD!$A$3:$A$5001,J$3,BD!$B$3:$B$5001,$A$469,BD!$I$3:$I$5001,"&lt;&gt;")=0,"",SUMIFS(BD!$I$3:$I$5001,BD!$A$3:$A$5001,J$3,BD!$B$3:$B$5001,$A$469)))</f>
        <v/>
      </c>
      <c r="K475" s="205" t="str">
        <f>IF(K$3="","",IF(COUNTIFS(BD!$A$3:$A$5001,K$3,BD!$B$3:$B$5001,$A$469,BD!$I$3:$I$5001,"&lt;&gt;")=0,"",SUMIFS(BD!$I$3:$I$5001,BD!$A$3:$A$5001,K$3,BD!$B$3:$B$5001,$A$469)))</f>
        <v/>
      </c>
      <c r="L475" s="205" t="str">
        <f>IF(L$3="","",IF(COUNTIFS(BD!$A$3:$A$5001,L$3,BD!$B$3:$B$5001,$A$469,BD!$I$3:$I$5001,"&lt;&gt;")=0,"",SUMIFS(BD!$I$3:$I$5001,BD!$A$3:$A$5001,L$3,BD!$B$3:$B$5001,$A$469)))</f>
        <v/>
      </c>
      <c r="M475" s="205" t="str">
        <f>IF(M$3="","",IF(COUNTIFS(BD!$A$3:$A$5001,M$3,BD!$B$3:$B$5001,$A$469,BD!$I$3:$I$5001,"&lt;&gt;")=0,"",SUMIFS(BD!$I$3:$I$5001,BD!$A$3:$A$5001,M$3,BD!$B$3:$B$5001,$A$469)))</f>
        <v/>
      </c>
      <c r="N475" s="205" t="str">
        <f>IF(N$3="","",IF(COUNTIFS(BD!$A$3:$A$5001,N$3,BD!$B$3:$B$5001,$A$469,BD!$I$3:$I$5001,"&lt;&gt;")=0,"",SUMIFS(BD!$I$3:$I$5001,BD!$A$3:$A$5001,N$3,BD!$B$3:$B$5001,$A$469)))</f>
        <v/>
      </c>
      <c r="O475" s="205" t="str">
        <f>IF(O$3="","",IF(COUNTIFS(BD!$A$3:$A$5001,O$3,BD!$B$3:$B$5001,$A$469,BD!$I$3:$I$5001,"&lt;&gt;")=0,"",SUMIFS(BD!$I$3:$I$5001,BD!$A$3:$A$5001,O$3,BD!$B$3:$B$5001,$A$469)))</f>
        <v/>
      </c>
      <c r="P475" s="205" t="str">
        <f>IF(P$3="","",IF(COUNTIFS(BD!$A$3:$A$5001,P$3,BD!$B$3:$B$5001,$A$469,BD!$I$3:$I$5001,"&lt;&gt;")=0,"",SUMIFS(BD!$I$3:$I$5001,BD!$A$3:$A$5001,P$3,BD!$B$3:$B$5001,$A$469)))</f>
        <v/>
      </c>
      <c r="Q475" s="205" t="str">
        <f>IF(Q$3="","",IF(COUNTIFS(BD!$A$3:$A$5001,Q$3,BD!$B$3:$B$5001,$A$469,BD!$I$3:$I$5001,"&lt;&gt;")=0,"",SUMIFS(BD!$I$3:$I$5001,BD!$A$3:$A$5001,Q$3,BD!$B$3:$B$5001,$A$469)))</f>
        <v/>
      </c>
      <c r="R475" s="205" t="str">
        <f>IF(R$3="","",IF(COUNTIFS(BD!$A$3:$A$5001,R$3,BD!$B$3:$B$5001,$A$469,BD!$I$3:$I$5001,"&lt;&gt;")=0,"",SUMIFS(BD!$I$3:$I$5001,BD!$A$3:$A$5001,R$3,BD!$B$3:$B$5001,$A$469)))</f>
        <v/>
      </c>
      <c r="S475" s="205" t="str">
        <f>IF(S$3="","",IF(COUNTIFS(BD!$A$3:$A$5001,S$3,BD!$B$3:$B$5001,$A$469,BD!$I$3:$I$5001,"&lt;&gt;")=0,"",SUMIFS(BD!$I$3:$I$5001,BD!$A$3:$A$5001,S$3,BD!$B$3:$B$5001,$A$469)))</f>
        <v/>
      </c>
      <c r="T475" s="205" t="str">
        <f>IF(T$3="","",IF(COUNTIFS(BD!$A$3:$A$5001,T$3,BD!$B$3:$B$5001,$A$469,BD!$I$3:$I$5001,"&lt;&gt;")=0,"",SUMIFS(BD!$I$3:$I$5001,BD!$A$3:$A$5001,T$3,BD!$B$3:$B$5001,$A$469)))</f>
        <v/>
      </c>
      <c r="U475" s="205" t="str">
        <f>IF(U$3="","",IF(COUNTIFS(BD!$A$3:$A$5001,U$3,BD!$B$3:$B$5001,$A$469,BD!$I$3:$I$5001,"&lt;&gt;")=0,"",SUMIFS(BD!$I$3:$I$5001,BD!$A$3:$A$5001,U$3,BD!$B$3:$B$5001,$A$469)))</f>
        <v/>
      </c>
      <c r="V475" s="205" t="str">
        <f>IF(V$3="","",IF(COUNTIFS(BD!$A$3:$A$5001,V$3,BD!$B$3:$B$5001,$A$469,BD!$I$3:$I$5001,"&lt;&gt;")=0,"",SUMIFS(BD!$I$3:$I$5001,BD!$A$3:$A$5001,V$3,BD!$B$3:$B$5001,$A$469)))</f>
        <v/>
      </c>
      <c r="W475" s="205" t="str">
        <f>IF(W$3="","",IF(COUNTIFS(BD!$A$3:$A$5001,W$3,BD!$B$3:$B$5001,$A$469,BD!$I$3:$I$5001,"&lt;&gt;")=0,"",SUMIFS(BD!$I$3:$I$5001,BD!$A$3:$A$5001,W$3,BD!$B$3:$B$5001,$A$469)))</f>
        <v/>
      </c>
      <c r="X475" s="205" t="str">
        <f>IF(X$3="","",IF(COUNTIFS(BD!$A$3:$A$5001,X$3,BD!$B$3:$B$5001,$A$469,BD!$I$3:$I$5001,"&lt;&gt;")=0,"",SUMIFS(BD!$I$3:$I$5001,BD!$A$3:$A$5001,X$3,BD!$B$3:$B$5001,$A$469)))</f>
        <v/>
      </c>
      <c r="Y475" s="205" t="str">
        <f>IF(Y$3="","",IF(COUNTIFS(BD!$A$3:$A$5001,Y$3,BD!$B$3:$B$5001,$A$469,BD!$I$3:$I$5001,"&lt;&gt;")=0,"",SUMIFS(BD!$I$3:$I$5001,BD!$A$3:$A$5001,Y$3,BD!$B$3:$B$5001,$A$469)))</f>
        <v/>
      </c>
      <c r="Z475" s="205" t="str">
        <f>IF(Z$3="","",IF(COUNTIFS(BD!$A$3:$A$5001,Z$3,BD!$B$3:$B$5001,$A$469,BD!$I$3:$I$5001,"&lt;&gt;")=0,"",SUMIFS(BD!$I$3:$I$5001,BD!$A$3:$A$5001,Z$3,BD!$B$3:$B$5001,$A$469)))</f>
        <v/>
      </c>
      <c r="AA475" s="205" t="str">
        <f>IF(AA$3="","",IF(COUNTIFS(BD!$A$3:$A$5001,AA$3,BD!$B$3:$B$5001,$A$469,BD!$I$3:$I$5001,"&lt;&gt;")=0,"",SUMIFS(BD!$I$3:$I$5001,BD!$A$3:$A$5001,AA$3,BD!$B$3:$B$5001,$A$469)))</f>
        <v/>
      </c>
      <c r="AB475" s="205" t="str">
        <f>IF(AB$3="","",IF(COUNTIFS(BD!$A$3:$A$5001,AB$3,BD!$B$3:$B$5001,$A$469,BD!$I$3:$I$5001,"&lt;&gt;")=0,"",SUMIFS(BD!$I$3:$I$5001,BD!$A$3:$A$5001,AB$3,BD!$B$3:$B$5001,$A$469)))</f>
        <v/>
      </c>
      <c r="AC475" s="205" t="str">
        <f>IF(AC$3="","",IF(COUNTIFS(BD!$A$3:$A$5001,AC$3,BD!$B$3:$B$5001,$A$469,BD!$I$3:$I$5001,"&lt;&gt;")=0,"",SUMIFS(BD!$I$3:$I$5001,BD!$A$3:$A$5001,AC$3,BD!$B$3:$B$5001,$A$469)))</f>
        <v/>
      </c>
      <c r="AD475" s="205" t="str">
        <f>IF(AD$3="","",IF(COUNTIFS(BD!$A$3:$A$5001,AD$3,BD!$B$3:$B$5001,$A$469,BD!$I$3:$I$5001,"&lt;&gt;")=0,"",SUMIFS(BD!$I$3:$I$5001,BD!$A$3:$A$5001,AD$3,BD!$B$3:$B$5001,$A$469)))</f>
        <v/>
      </c>
      <c r="AE475" s="205" t="str">
        <f>IF(AE$3="","",IF(COUNTIFS(BD!$A$3:$A$5001,AE$3,BD!$B$3:$B$5001,$A$469,BD!$I$3:$I$5001,"&lt;&gt;")=0,"",SUMIFS(BD!$I$3:$I$5001,BD!$A$3:$A$5001,AE$3,BD!$B$3:$B$5001,$A$469)))</f>
        <v/>
      </c>
      <c r="AF475" s="205" t="str">
        <f>IF(AF$3="","",IF(COUNTIFS(BD!$A$3:$A$5001,AF$3,BD!$B$3:$B$5001,$A$469,BD!$I$3:$I$5001,"&lt;&gt;")=0,"",SUMIFS(BD!$I$3:$I$5001,BD!$A$3:$A$5001,AF$3,BD!$B$3:$B$5001,$A$469)))</f>
        <v/>
      </c>
      <c r="AG475" s="205" t="str">
        <f>IF(AG$3="","",IF(COUNTIFS(BD!$A$3:$A$5001,AG$3,BD!$B$3:$B$5001,$A$469,BD!$I$3:$I$5001,"&lt;&gt;")=0,"",SUMIFS(BD!$I$3:$I$5001,BD!$A$3:$A$5001,AG$3,BD!$B$3:$B$5001,$A$469)))</f>
        <v/>
      </c>
      <c r="AH475" s="205" t="str">
        <f>IF(AH$3="","",IF(COUNTIFS(BD!$A$3:$A$5001,AH$3,BD!$B$3:$B$5001,$A$469,BD!$I$3:$I$5001,"&lt;&gt;")=0,"",SUMIFS(BD!$I$3:$I$5001,BD!$A$3:$A$5001,AH$3,BD!$B$3:$B$5001,$A$469)))</f>
        <v/>
      </c>
      <c r="AI475" s="205" t="str">
        <f>IF(AI$3="","",IF(COUNTIFS(BD!$A$3:$A$5001,AI$3,BD!$B$3:$B$5001,$A$469,BD!$I$3:$I$5001,"&lt;&gt;")=0,"",SUMIFS(BD!$I$3:$I$5001,BD!$A$3:$A$5001,AI$3,BD!$B$3:$B$5001,$A$469)))</f>
        <v/>
      </c>
      <c r="AJ475" s="206" t="str">
        <f>IF(AJ$3="","",IF(COUNTIFS(BD!$A$3:$A$5001,AJ$3,BD!$B$3:$B$5001,$A$469,BD!$I$3:$I$5001,"&lt;&gt;")=0,"",SUMIFS(BD!$I$3:$I$5001,BD!$A$3:$A$5001,AJ$3,BD!$B$3:$B$5001,$A$469)))</f>
        <v/>
      </c>
      <c r="AK475" s="207" t="str">
        <f>IF(COUNT(F475:AJ475)=0,"",SUM(F475:AJ475))</f>
        <v/>
      </c>
    </row>
    <row r="476" ht="15.75" customHeight="1" hidden="1">
      <c r="A476" s="244"/>
      <c r="B476" s="239"/>
      <c r="C476" s="201" t="inlineStr">
        <is>
          <t xml:space="preserve">Caixas Fechadas</t>
        </is>
      </c>
      <c r="D476" s="202" t="str">
        <f>IFERROR(1/(1/INDEX(BD!$AJ$30:$BD$30,MATCH($A$469,BD!$AJ$22:$BD$22,0))),"")</f>
        <v/>
      </c>
      <c r="E476" s="203"/>
      <c r="F476" s="204" t="str">
        <f>IF(F$3="","",IF(COUNTIFS(BD!$A$3:$A$5001,F$3,BD!$B$3:$B$5001,$A$469,BD!$J$3:$J$5001,"&lt;&gt;")=0,"",SUMIFS(BD!$J$3:$J$5001,BD!$A$3:$A$5001,F$3,BD!$B$3:$B$5001,$A$469)))</f>
        <v/>
      </c>
      <c r="G476" s="205" t="str">
        <f>IF(G$3="","",IF(COUNTIFS(BD!$A$3:$A$5001,G$3,BD!$B$3:$B$5001,$A$469,BD!$J$3:$J$5001,"&lt;&gt;")=0,"",SUMIFS(BD!$J$3:$J$5001,BD!$A$3:$A$5001,G$3,BD!$B$3:$B$5001,$A$469)))</f>
        <v/>
      </c>
      <c r="H476" s="205" t="str">
        <f>IF(H$3="","",IF(COUNTIFS(BD!$A$3:$A$5001,H$3,BD!$B$3:$B$5001,$A$469,BD!$J$3:$J$5001,"&lt;&gt;")=0,"",SUMIFS(BD!$J$3:$J$5001,BD!$A$3:$A$5001,H$3,BD!$B$3:$B$5001,$A$469)))</f>
        <v/>
      </c>
      <c r="I476" s="205" t="str">
        <f>IF(I$3="","",IF(COUNTIFS(BD!$A$3:$A$5001,I$3,BD!$B$3:$B$5001,$A$469,BD!$J$3:$J$5001,"&lt;&gt;")=0,"",SUMIFS(BD!$J$3:$J$5001,BD!$A$3:$A$5001,I$3,BD!$B$3:$B$5001,$A$469)))</f>
        <v/>
      </c>
      <c r="J476" s="205" t="str">
        <f>IF(J$3="","",IF(COUNTIFS(BD!$A$3:$A$5001,J$3,BD!$B$3:$B$5001,$A$469,BD!$J$3:$J$5001,"&lt;&gt;")=0,"",SUMIFS(BD!$J$3:$J$5001,BD!$A$3:$A$5001,J$3,BD!$B$3:$B$5001,$A$469)))</f>
        <v/>
      </c>
      <c r="K476" s="205" t="str">
        <f>IF(K$3="","",IF(COUNTIFS(BD!$A$3:$A$5001,K$3,BD!$B$3:$B$5001,$A$469,BD!$J$3:$J$5001,"&lt;&gt;")=0,"",SUMIFS(BD!$J$3:$J$5001,BD!$A$3:$A$5001,K$3,BD!$B$3:$B$5001,$A$469)))</f>
        <v/>
      </c>
      <c r="L476" s="205" t="str">
        <f>IF(L$3="","",IF(COUNTIFS(BD!$A$3:$A$5001,L$3,BD!$B$3:$B$5001,$A$469,BD!$J$3:$J$5001,"&lt;&gt;")=0,"",SUMIFS(BD!$J$3:$J$5001,BD!$A$3:$A$5001,L$3,BD!$B$3:$B$5001,$A$469)))</f>
        <v/>
      </c>
      <c r="M476" s="205" t="str">
        <f>IF(M$3="","",IF(COUNTIFS(BD!$A$3:$A$5001,M$3,BD!$B$3:$B$5001,$A$469,BD!$J$3:$J$5001,"&lt;&gt;")=0,"",SUMIFS(BD!$J$3:$J$5001,BD!$A$3:$A$5001,M$3,BD!$B$3:$B$5001,$A$469)))</f>
        <v/>
      </c>
      <c r="N476" s="205" t="str">
        <f>IF(N$3="","",IF(COUNTIFS(BD!$A$3:$A$5001,N$3,BD!$B$3:$B$5001,$A$469,BD!$J$3:$J$5001,"&lt;&gt;")=0,"",SUMIFS(BD!$J$3:$J$5001,BD!$A$3:$A$5001,N$3,BD!$B$3:$B$5001,$A$469)))</f>
        <v/>
      </c>
      <c r="O476" s="205" t="str">
        <f>IF(O$3="","",IF(COUNTIFS(BD!$A$3:$A$5001,O$3,BD!$B$3:$B$5001,$A$469,BD!$J$3:$J$5001,"&lt;&gt;")=0,"",SUMIFS(BD!$J$3:$J$5001,BD!$A$3:$A$5001,O$3,BD!$B$3:$B$5001,$A$469)))</f>
        <v/>
      </c>
      <c r="P476" s="205" t="str">
        <f>IF(P$3="","",IF(COUNTIFS(BD!$A$3:$A$5001,P$3,BD!$B$3:$B$5001,$A$469,BD!$J$3:$J$5001,"&lt;&gt;")=0,"",SUMIFS(BD!$J$3:$J$5001,BD!$A$3:$A$5001,P$3,BD!$B$3:$B$5001,$A$469)))</f>
        <v/>
      </c>
      <c r="Q476" s="205" t="str">
        <f>IF(Q$3="","",IF(COUNTIFS(BD!$A$3:$A$5001,Q$3,BD!$B$3:$B$5001,$A$469,BD!$J$3:$J$5001,"&lt;&gt;")=0,"",SUMIFS(BD!$J$3:$J$5001,BD!$A$3:$A$5001,Q$3,BD!$B$3:$B$5001,$A$469)))</f>
        <v/>
      </c>
      <c r="R476" s="205" t="str">
        <f>IF(R$3="","",IF(COUNTIFS(BD!$A$3:$A$5001,R$3,BD!$B$3:$B$5001,$A$469,BD!$J$3:$J$5001,"&lt;&gt;")=0,"",SUMIFS(BD!$J$3:$J$5001,BD!$A$3:$A$5001,R$3,BD!$B$3:$B$5001,$A$469)))</f>
        <v/>
      </c>
      <c r="S476" s="205" t="str">
        <f>IF(S$3="","",IF(COUNTIFS(BD!$A$3:$A$5001,S$3,BD!$B$3:$B$5001,$A$469,BD!$J$3:$J$5001,"&lt;&gt;")=0,"",SUMIFS(BD!$J$3:$J$5001,BD!$A$3:$A$5001,S$3,BD!$B$3:$B$5001,$A$469)))</f>
        <v/>
      </c>
      <c r="T476" s="205" t="str">
        <f>IF(T$3="","",IF(COUNTIFS(BD!$A$3:$A$5001,T$3,BD!$B$3:$B$5001,$A$469,BD!$J$3:$J$5001,"&lt;&gt;")=0,"",SUMIFS(BD!$J$3:$J$5001,BD!$A$3:$A$5001,T$3,BD!$B$3:$B$5001,$A$469)))</f>
        <v/>
      </c>
      <c r="U476" s="205" t="str">
        <f>IF(U$3="","",IF(COUNTIFS(BD!$A$3:$A$5001,U$3,BD!$B$3:$B$5001,$A$469,BD!$J$3:$J$5001,"&lt;&gt;")=0,"",SUMIFS(BD!$J$3:$J$5001,BD!$A$3:$A$5001,U$3,BD!$B$3:$B$5001,$A$469)))</f>
        <v/>
      </c>
      <c r="V476" s="205" t="str">
        <f>IF(V$3="","",IF(COUNTIFS(BD!$A$3:$A$5001,V$3,BD!$B$3:$B$5001,$A$469,BD!$J$3:$J$5001,"&lt;&gt;")=0,"",SUMIFS(BD!$J$3:$J$5001,BD!$A$3:$A$5001,V$3,BD!$B$3:$B$5001,$A$469)))</f>
        <v/>
      </c>
      <c r="W476" s="205" t="str">
        <f>IF(W$3="","",IF(COUNTIFS(BD!$A$3:$A$5001,W$3,BD!$B$3:$B$5001,$A$469,BD!$J$3:$J$5001,"&lt;&gt;")=0,"",SUMIFS(BD!$J$3:$J$5001,BD!$A$3:$A$5001,W$3,BD!$B$3:$B$5001,$A$469)))</f>
        <v/>
      </c>
      <c r="X476" s="205" t="str">
        <f>IF(X$3="","",IF(COUNTIFS(BD!$A$3:$A$5001,X$3,BD!$B$3:$B$5001,$A$469,BD!$J$3:$J$5001,"&lt;&gt;")=0,"",SUMIFS(BD!$J$3:$J$5001,BD!$A$3:$A$5001,X$3,BD!$B$3:$B$5001,$A$469)))</f>
        <v/>
      </c>
      <c r="Y476" s="205" t="str">
        <f>IF(Y$3="","",IF(COUNTIFS(BD!$A$3:$A$5001,Y$3,BD!$B$3:$B$5001,$A$469,BD!$J$3:$J$5001,"&lt;&gt;")=0,"",SUMIFS(BD!$J$3:$J$5001,BD!$A$3:$A$5001,Y$3,BD!$B$3:$B$5001,$A$469)))</f>
        <v/>
      </c>
      <c r="Z476" s="205" t="str">
        <f>IF(Z$3="","",IF(COUNTIFS(BD!$A$3:$A$5001,Z$3,BD!$B$3:$B$5001,$A$469,BD!$J$3:$J$5001,"&lt;&gt;")=0,"",SUMIFS(BD!$J$3:$J$5001,BD!$A$3:$A$5001,Z$3,BD!$B$3:$B$5001,$A$469)))</f>
        <v/>
      </c>
      <c r="AA476" s="205" t="str">
        <f>IF(AA$3="","",IF(COUNTIFS(BD!$A$3:$A$5001,AA$3,BD!$B$3:$B$5001,$A$469,BD!$J$3:$J$5001,"&lt;&gt;")=0,"",SUMIFS(BD!$J$3:$J$5001,BD!$A$3:$A$5001,AA$3,BD!$B$3:$B$5001,$A$469)))</f>
        <v/>
      </c>
      <c r="AB476" s="205" t="str">
        <f>IF(AB$3="","",IF(COUNTIFS(BD!$A$3:$A$5001,AB$3,BD!$B$3:$B$5001,$A$469,BD!$J$3:$J$5001,"&lt;&gt;")=0,"",SUMIFS(BD!$J$3:$J$5001,BD!$A$3:$A$5001,AB$3,BD!$B$3:$B$5001,$A$469)))</f>
        <v/>
      </c>
      <c r="AC476" s="205" t="str">
        <f>IF(AC$3="","",IF(COUNTIFS(BD!$A$3:$A$5001,AC$3,BD!$B$3:$B$5001,$A$469,BD!$J$3:$J$5001,"&lt;&gt;")=0,"",SUMIFS(BD!$J$3:$J$5001,BD!$A$3:$A$5001,AC$3,BD!$B$3:$B$5001,$A$469)))</f>
        <v/>
      </c>
      <c r="AD476" s="205" t="str">
        <f>IF(AD$3="","",IF(COUNTIFS(BD!$A$3:$A$5001,AD$3,BD!$B$3:$B$5001,$A$469,BD!$J$3:$J$5001,"&lt;&gt;")=0,"",SUMIFS(BD!$J$3:$J$5001,BD!$A$3:$A$5001,AD$3,BD!$B$3:$B$5001,$A$469)))</f>
        <v/>
      </c>
      <c r="AE476" s="205" t="str">
        <f>IF(AE$3="","",IF(COUNTIFS(BD!$A$3:$A$5001,AE$3,BD!$B$3:$B$5001,$A$469,BD!$J$3:$J$5001,"&lt;&gt;")=0,"",SUMIFS(BD!$J$3:$J$5001,BD!$A$3:$A$5001,AE$3,BD!$B$3:$B$5001,$A$469)))</f>
        <v/>
      </c>
      <c r="AF476" s="205" t="str">
        <f>IF(AF$3="","",IF(COUNTIFS(BD!$A$3:$A$5001,AF$3,BD!$B$3:$B$5001,$A$469,BD!$J$3:$J$5001,"&lt;&gt;")=0,"",SUMIFS(BD!$J$3:$J$5001,BD!$A$3:$A$5001,AF$3,BD!$B$3:$B$5001,$A$469)))</f>
        <v/>
      </c>
      <c r="AG476" s="205" t="str">
        <f>IF(AG$3="","",IF(COUNTIFS(BD!$A$3:$A$5001,AG$3,BD!$B$3:$B$5001,$A$469,BD!$J$3:$J$5001,"&lt;&gt;")=0,"",SUMIFS(BD!$J$3:$J$5001,BD!$A$3:$A$5001,AG$3,BD!$B$3:$B$5001,$A$469)))</f>
        <v/>
      </c>
      <c r="AH476" s="205" t="str">
        <f>IF(AH$3="","",IF(COUNTIFS(BD!$A$3:$A$5001,AH$3,BD!$B$3:$B$5001,$A$469,BD!$J$3:$J$5001,"&lt;&gt;")=0,"",SUMIFS(BD!$J$3:$J$5001,BD!$A$3:$A$5001,AH$3,BD!$B$3:$B$5001,$A$469)))</f>
        <v/>
      </c>
      <c r="AI476" s="205" t="str">
        <f>IF(AI$3="","",IF(COUNTIFS(BD!$A$3:$A$5001,AI$3,BD!$B$3:$B$5001,$A$469,BD!$J$3:$J$5001,"&lt;&gt;")=0,"",SUMIFS(BD!$J$3:$J$5001,BD!$A$3:$A$5001,AI$3,BD!$B$3:$B$5001,$A$469)))</f>
        <v/>
      </c>
      <c r="AJ476" s="206" t="str">
        <f>IF(AJ$3="","",IF(COUNTIFS(BD!$A$3:$A$5001,AJ$3,BD!$B$3:$B$5001,$A$469,BD!$J$3:$J$5001,"&lt;&gt;")=0,"",SUMIFS(BD!$J$3:$J$5001,BD!$A$3:$A$5001,AJ$3,BD!$B$3:$B$5001,$A$469)))</f>
        <v/>
      </c>
      <c r="AK476" s="207" t="str">
        <f>IF(COUNT(F476:AJ476)=0,"",SUM(F476:AJ476))</f>
        <v/>
      </c>
    </row>
    <row r="477" ht="15.75" customHeight="1" hidden="1">
      <c r="A477" s="244"/>
      <c r="B477" s="233"/>
      <c r="C477" s="162" t="inlineStr">
        <is>
          <t xml:space="preserve">Caixas Mistas Recebidas</t>
        </is>
      </c>
      <c r="D477" s="163" t="str">
        <f>IFERROR(1/(1/INDEX(BD!$AJ$31:$BD$31,MATCH($A$469,BD!$AJ$22:$BD$22,0))),"")</f>
        <v/>
      </c>
      <c r="E477" s="164"/>
      <c r="F477" s="165" t="str">
        <f>IF(F$3="","",IF(COUNTIFS(BD!$A$3:$A$5001,F$3,BD!$B$3:$B$5001,$A$469,BD!$K$3:$K$5001,"&lt;&gt;")=0,"",SUMIFS(BD!$K$3:$K$5001,BD!$A$3:$A$5001,F$3,BD!$B$3:$B$5001,$A$469)))</f>
        <v/>
      </c>
      <c r="G477" s="166" t="str">
        <f>IF(G$3="","",IF(COUNTIFS(BD!$A$3:$A$5001,G$3,BD!$B$3:$B$5001,$A$469,BD!$K$3:$K$5001,"&lt;&gt;")=0,"",SUMIFS(BD!$K$3:$K$5001,BD!$A$3:$A$5001,G$3,BD!$B$3:$B$5001,$A$469)))</f>
        <v/>
      </c>
      <c r="H477" s="166" t="str">
        <f>IF(H$3="","",IF(COUNTIFS(BD!$A$3:$A$5001,H$3,BD!$B$3:$B$5001,$A$469,BD!$K$3:$K$5001,"&lt;&gt;")=0,"",SUMIFS(BD!$K$3:$K$5001,BD!$A$3:$A$5001,H$3,BD!$B$3:$B$5001,$A$469)))</f>
        <v/>
      </c>
      <c r="I477" s="166" t="str">
        <f>IF(I$3="","",IF(COUNTIFS(BD!$A$3:$A$5001,I$3,BD!$B$3:$B$5001,$A$469,BD!$K$3:$K$5001,"&lt;&gt;")=0,"",SUMIFS(BD!$K$3:$K$5001,BD!$A$3:$A$5001,I$3,BD!$B$3:$B$5001,$A$469)))</f>
        <v/>
      </c>
      <c r="J477" s="166" t="str">
        <f>IF(J$3="","",IF(COUNTIFS(BD!$A$3:$A$5001,J$3,BD!$B$3:$B$5001,$A$469,BD!$K$3:$K$5001,"&lt;&gt;")=0,"",SUMIFS(BD!$K$3:$K$5001,BD!$A$3:$A$5001,J$3,BD!$B$3:$B$5001,$A$469)))</f>
        <v/>
      </c>
      <c r="K477" s="166" t="str">
        <f>IF(K$3="","",IF(COUNTIFS(BD!$A$3:$A$5001,K$3,BD!$B$3:$B$5001,$A$469,BD!$K$3:$K$5001,"&lt;&gt;")=0,"",SUMIFS(BD!$K$3:$K$5001,BD!$A$3:$A$5001,K$3,BD!$B$3:$B$5001,$A$469)))</f>
        <v/>
      </c>
      <c r="L477" s="166" t="str">
        <f>IF(L$3="","",IF(COUNTIFS(BD!$A$3:$A$5001,L$3,BD!$B$3:$B$5001,$A$469,BD!$K$3:$K$5001,"&lt;&gt;")=0,"",SUMIFS(BD!$K$3:$K$5001,BD!$A$3:$A$5001,L$3,BD!$B$3:$B$5001,$A$469)))</f>
        <v/>
      </c>
      <c r="M477" s="166" t="str">
        <f>IF(M$3="","",IF(COUNTIFS(BD!$A$3:$A$5001,M$3,BD!$B$3:$B$5001,$A$469,BD!$K$3:$K$5001,"&lt;&gt;")=0,"",SUMIFS(BD!$K$3:$K$5001,BD!$A$3:$A$5001,M$3,BD!$B$3:$B$5001,$A$469)))</f>
        <v/>
      </c>
      <c r="N477" s="166" t="str">
        <f>IF(N$3="","",IF(COUNTIFS(BD!$A$3:$A$5001,N$3,BD!$B$3:$B$5001,$A$469,BD!$K$3:$K$5001,"&lt;&gt;")=0,"",SUMIFS(BD!$K$3:$K$5001,BD!$A$3:$A$5001,N$3,BD!$B$3:$B$5001,$A$469)))</f>
        <v/>
      </c>
      <c r="O477" s="166" t="str">
        <f>IF(O$3="","",IF(COUNTIFS(BD!$A$3:$A$5001,O$3,BD!$B$3:$B$5001,$A$469,BD!$K$3:$K$5001,"&lt;&gt;")=0,"",SUMIFS(BD!$K$3:$K$5001,BD!$A$3:$A$5001,O$3,BD!$B$3:$B$5001,$A$469)))</f>
        <v/>
      </c>
      <c r="P477" s="166" t="str">
        <f>IF(P$3="","",IF(COUNTIFS(BD!$A$3:$A$5001,P$3,BD!$B$3:$B$5001,$A$469,BD!$K$3:$K$5001,"&lt;&gt;")=0,"",SUMIFS(BD!$K$3:$K$5001,BD!$A$3:$A$5001,P$3,BD!$B$3:$B$5001,$A$469)))</f>
        <v/>
      </c>
      <c r="Q477" s="166" t="str">
        <f>IF(Q$3="","",IF(COUNTIFS(BD!$A$3:$A$5001,Q$3,BD!$B$3:$B$5001,$A$469,BD!$K$3:$K$5001,"&lt;&gt;")=0,"",SUMIFS(BD!$K$3:$K$5001,BD!$A$3:$A$5001,Q$3,BD!$B$3:$B$5001,$A$469)))</f>
        <v/>
      </c>
      <c r="R477" s="166" t="str">
        <f>IF(R$3="","",IF(COUNTIFS(BD!$A$3:$A$5001,R$3,BD!$B$3:$B$5001,$A$469,BD!$K$3:$K$5001,"&lt;&gt;")=0,"",SUMIFS(BD!$K$3:$K$5001,BD!$A$3:$A$5001,R$3,BD!$B$3:$B$5001,$A$469)))</f>
        <v/>
      </c>
      <c r="S477" s="166" t="str">
        <f>IF(S$3="","",IF(COUNTIFS(BD!$A$3:$A$5001,S$3,BD!$B$3:$B$5001,$A$469,BD!$K$3:$K$5001,"&lt;&gt;")=0,"",SUMIFS(BD!$K$3:$K$5001,BD!$A$3:$A$5001,S$3,BD!$B$3:$B$5001,$A$469)))</f>
        <v/>
      </c>
      <c r="T477" s="166" t="str">
        <f>IF(T$3="","",IF(COUNTIFS(BD!$A$3:$A$5001,T$3,BD!$B$3:$B$5001,$A$469,BD!$K$3:$K$5001,"&lt;&gt;")=0,"",SUMIFS(BD!$K$3:$K$5001,BD!$A$3:$A$5001,T$3,BD!$B$3:$B$5001,$A$469)))</f>
        <v/>
      </c>
      <c r="U477" s="166" t="str">
        <f>IF(U$3="","",IF(COUNTIFS(BD!$A$3:$A$5001,U$3,BD!$B$3:$B$5001,$A$469,BD!$K$3:$K$5001,"&lt;&gt;")=0,"",SUMIFS(BD!$K$3:$K$5001,BD!$A$3:$A$5001,U$3,BD!$B$3:$B$5001,$A$469)))</f>
        <v/>
      </c>
      <c r="V477" s="166" t="str">
        <f>IF(V$3="","",IF(COUNTIFS(BD!$A$3:$A$5001,V$3,BD!$B$3:$B$5001,$A$469,BD!$K$3:$K$5001,"&lt;&gt;")=0,"",SUMIFS(BD!$K$3:$K$5001,BD!$A$3:$A$5001,V$3,BD!$B$3:$B$5001,$A$469)))</f>
        <v/>
      </c>
      <c r="W477" s="166" t="str">
        <f>IF(W$3="","",IF(COUNTIFS(BD!$A$3:$A$5001,W$3,BD!$B$3:$B$5001,$A$469,BD!$K$3:$K$5001,"&lt;&gt;")=0,"",SUMIFS(BD!$K$3:$K$5001,BD!$A$3:$A$5001,W$3,BD!$B$3:$B$5001,$A$469)))</f>
        <v/>
      </c>
      <c r="X477" s="166" t="str">
        <f>IF(X$3="","",IF(COUNTIFS(BD!$A$3:$A$5001,X$3,BD!$B$3:$B$5001,$A$469,BD!$K$3:$K$5001,"&lt;&gt;")=0,"",SUMIFS(BD!$K$3:$K$5001,BD!$A$3:$A$5001,X$3,BD!$B$3:$B$5001,$A$469)))</f>
        <v/>
      </c>
      <c r="Y477" s="166" t="str">
        <f>IF(Y$3="","",IF(COUNTIFS(BD!$A$3:$A$5001,Y$3,BD!$B$3:$B$5001,$A$469,BD!$K$3:$K$5001,"&lt;&gt;")=0,"",SUMIFS(BD!$K$3:$K$5001,BD!$A$3:$A$5001,Y$3,BD!$B$3:$B$5001,$A$469)))</f>
        <v/>
      </c>
      <c r="Z477" s="166" t="str">
        <f>IF(Z$3="","",IF(COUNTIFS(BD!$A$3:$A$5001,Z$3,BD!$B$3:$B$5001,$A$469,BD!$K$3:$K$5001,"&lt;&gt;")=0,"",SUMIFS(BD!$K$3:$K$5001,BD!$A$3:$A$5001,Z$3,BD!$B$3:$B$5001,$A$469)))</f>
        <v/>
      </c>
      <c r="AA477" s="166" t="str">
        <f>IF(AA$3="","",IF(COUNTIFS(BD!$A$3:$A$5001,AA$3,BD!$B$3:$B$5001,$A$469,BD!$K$3:$K$5001,"&lt;&gt;")=0,"",SUMIFS(BD!$K$3:$K$5001,BD!$A$3:$A$5001,AA$3,BD!$B$3:$B$5001,$A$469)))</f>
        <v/>
      </c>
      <c r="AB477" s="166" t="str">
        <f>IF(AB$3="","",IF(COUNTIFS(BD!$A$3:$A$5001,AB$3,BD!$B$3:$B$5001,$A$469,BD!$K$3:$K$5001,"&lt;&gt;")=0,"",SUMIFS(BD!$K$3:$K$5001,BD!$A$3:$A$5001,AB$3,BD!$B$3:$B$5001,$A$469)))</f>
        <v/>
      </c>
      <c r="AC477" s="166" t="str">
        <f>IF(AC$3="","",IF(COUNTIFS(BD!$A$3:$A$5001,AC$3,BD!$B$3:$B$5001,$A$469,BD!$K$3:$K$5001,"&lt;&gt;")=0,"",SUMIFS(BD!$K$3:$K$5001,BD!$A$3:$A$5001,AC$3,BD!$B$3:$B$5001,$A$469)))</f>
        <v/>
      </c>
      <c r="AD477" s="166" t="str">
        <f>IF(AD$3="","",IF(COUNTIFS(BD!$A$3:$A$5001,AD$3,BD!$B$3:$B$5001,$A$469,BD!$K$3:$K$5001,"&lt;&gt;")=0,"",SUMIFS(BD!$K$3:$K$5001,BD!$A$3:$A$5001,AD$3,BD!$B$3:$B$5001,$A$469)))</f>
        <v/>
      </c>
      <c r="AE477" s="166" t="str">
        <f>IF(AE$3="","",IF(COUNTIFS(BD!$A$3:$A$5001,AE$3,BD!$B$3:$B$5001,$A$469,BD!$K$3:$K$5001,"&lt;&gt;")=0,"",SUMIFS(BD!$K$3:$K$5001,BD!$A$3:$A$5001,AE$3,BD!$B$3:$B$5001,$A$469)))</f>
        <v/>
      </c>
      <c r="AF477" s="166" t="str">
        <f>IF(AF$3="","",IF(COUNTIFS(BD!$A$3:$A$5001,AF$3,BD!$B$3:$B$5001,$A$469,BD!$K$3:$K$5001,"&lt;&gt;")=0,"",SUMIFS(BD!$K$3:$K$5001,BD!$A$3:$A$5001,AF$3,BD!$B$3:$B$5001,$A$469)))</f>
        <v/>
      </c>
      <c r="AG477" s="166" t="str">
        <f>IF(AG$3="","",IF(COUNTIFS(BD!$A$3:$A$5001,AG$3,BD!$B$3:$B$5001,$A$469,BD!$K$3:$K$5001,"&lt;&gt;")=0,"",SUMIFS(BD!$K$3:$K$5001,BD!$A$3:$A$5001,AG$3,BD!$B$3:$B$5001,$A$469)))</f>
        <v/>
      </c>
      <c r="AH477" s="166" t="str">
        <f>IF(AH$3="","",IF(COUNTIFS(BD!$A$3:$A$5001,AH$3,BD!$B$3:$B$5001,$A$469,BD!$K$3:$K$5001,"&lt;&gt;")=0,"",SUMIFS(BD!$K$3:$K$5001,BD!$A$3:$A$5001,AH$3,BD!$B$3:$B$5001,$A$469)))</f>
        <v/>
      </c>
      <c r="AI477" s="166" t="str">
        <f>IF(AI$3="","",IF(COUNTIFS(BD!$A$3:$A$5001,AI$3,BD!$B$3:$B$5001,$A$469,BD!$K$3:$K$5001,"&lt;&gt;")=0,"",SUMIFS(BD!$K$3:$K$5001,BD!$A$3:$A$5001,AI$3,BD!$B$3:$B$5001,$A$469)))</f>
        <v/>
      </c>
      <c r="AJ477" s="167" t="str">
        <f>IF(AJ$3="","",IF(COUNTIFS(BD!$A$3:$A$5001,AJ$3,BD!$B$3:$B$5001,$A$469,BD!$K$3:$K$5001,"&lt;&gt;")=0,"",SUMIFS(BD!$K$3:$K$5001,BD!$A$3:$A$5001,AJ$3,BD!$B$3:$B$5001,$A$469)))</f>
        <v/>
      </c>
      <c r="AK477" s="163" t="str">
        <f>IF(COUNT(F477:AJ477)=0,"",SUM(F477:AJ477))</f>
        <v/>
      </c>
    </row>
    <row r="478" ht="15.75" customHeight="1" hidden="1">
      <c r="A478" s="244"/>
      <c r="B478" s="234" t="inlineStr">
        <is>
          <t xml:space="preserve">OUT</t>
        </is>
      </c>
      <c r="C478" s="168" t="inlineStr">
        <is>
          <t xml:space="preserve">Veículos Expedidos</t>
        </is>
      </c>
      <c r="D478" s="169" t="str">
        <f>IFERROR(1/(1/INDEX(BD!$AJ$32:$BD$32,MATCH($A$469,BD!$AJ$22:$BD$22,0))),"")</f>
        <v/>
      </c>
      <c r="E478" s="170"/>
      <c r="F478" s="171" t="str">
        <f>IF(F$3="","",IF(COUNTIFS(BD!$A$3:$A$5001,F$3,BD!$B$3:$B$5001,$A$469,BD!$L$3:$L$5001,"&lt;&gt;")=0,"",SUMIFS(BD!$L$3:$L$5001,BD!$A$3:$A$5001,F$3,BD!$B$3:$B$5001,$A$469)))</f>
        <v/>
      </c>
      <c r="G478" s="172" t="str">
        <f>IF(G$3="","",IF(COUNTIFS(BD!$A$3:$A$5001,G$3,BD!$B$3:$B$5001,$A$469,BD!$L$3:$L$5001,"&lt;&gt;")=0,"",SUMIFS(BD!$L$3:$L$5001,BD!$A$3:$A$5001,G$3,BD!$B$3:$B$5001,$A$469)))</f>
        <v/>
      </c>
      <c r="H478" s="172" t="str">
        <f>IF(H$3="","",IF(COUNTIFS(BD!$A$3:$A$5001,H$3,BD!$B$3:$B$5001,$A$469,BD!$L$3:$L$5001,"&lt;&gt;")=0,"",SUMIFS(BD!$L$3:$L$5001,BD!$A$3:$A$5001,H$3,BD!$B$3:$B$5001,$A$469)))</f>
        <v/>
      </c>
      <c r="I478" s="172" t="str">
        <f>IF(I$3="","",IF(COUNTIFS(BD!$A$3:$A$5001,I$3,BD!$B$3:$B$5001,$A$469,BD!$L$3:$L$5001,"&lt;&gt;")=0,"",SUMIFS(BD!$L$3:$L$5001,BD!$A$3:$A$5001,I$3,BD!$B$3:$B$5001,$A$469)))</f>
        <v/>
      </c>
      <c r="J478" s="172" t="str">
        <f>IF(J$3="","",IF(COUNTIFS(BD!$A$3:$A$5001,J$3,BD!$B$3:$B$5001,$A$469,BD!$L$3:$L$5001,"&lt;&gt;")=0,"",SUMIFS(BD!$L$3:$L$5001,BD!$A$3:$A$5001,J$3,BD!$B$3:$B$5001,$A$469)))</f>
        <v/>
      </c>
      <c r="K478" s="172" t="str">
        <f>IF(K$3="","",IF(COUNTIFS(BD!$A$3:$A$5001,K$3,BD!$B$3:$B$5001,$A$469,BD!$L$3:$L$5001,"&lt;&gt;")=0,"",SUMIFS(BD!$L$3:$L$5001,BD!$A$3:$A$5001,K$3,BD!$B$3:$B$5001,$A$469)))</f>
        <v/>
      </c>
      <c r="L478" s="172" t="str">
        <f>IF(L$3="","",IF(COUNTIFS(BD!$A$3:$A$5001,L$3,BD!$B$3:$B$5001,$A$469,BD!$L$3:$L$5001,"&lt;&gt;")=0,"",SUMIFS(BD!$L$3:$L$5001,BD!$A$3:$A$5001,L$3,BD!$B$3:$B$5001,$A$469)))</f>
        <v/>
      </c>
      <c r="M478" s="172" t="str">
        <f>IF(M$3="","",IF(COUNTIFS(BD!$A$3:$A$5001,M$3,BD!$B$3:$B$5001,$A$469,BD!$L$3:$L$5001,"&lt;&gt;")=0,"",SUMIFS(BD!$L$3:$L$5001,BD!$A$3:$A$5001,M$3,BD!$B$3:$B$5001,$A$469)))</f>
        <v/>
      </c>
      <c r="N478" s="172" t="str">
        <f>IF(N$3="","",IF(COUNTIFS(BD!$A$3:$A$5001,N$3,BD!$B$3:$B$5001,$A$469,BD!$L$3:$L$5001,"&lt;&gt;")=0,"",SUMIFS(BD!$L$3:$L$5001,BD!$A$3:$A$5001,N$3,BD!$B$3:$B$5001,$A$469)))</f>
        <v/>
      </c>
      <c r="O478" s="172" t="str">
        <f>IF(O$3="","",IF(COUNTIFS(BD!$A$3:$A$5001,O$3,BD!$B$3:$B$5001,$A$469,BD!$L$3:$L$5001,"&lt;&gt;")=0,"",SUMIFS(BD!$L$3:$L$5001,BD!$A$3:$A$5001,O$3,BD!$B$3:$B$5001,$A$469)))</f>
        <v/>
      </c>
      <c r="P478" s="172" t="str">
        <f>IF(P$3="","",IF(COUNTIFS(BD!$A$3:$A$5001,P$3,BD!$B$3:$B$5001,$A$469,BD!$L$3:$L$5001,"&lt;&gt;")=0,"",SUMIFS(BD!$L$3:$L$5001,BD!$A$3:$A$5001,P$3,BD!$B$3:$B$5001,$A$469)))</f>
        <v/>
      </c>
      <c r="Q478" s="172" t="str">
        <f>IF(Q$3="","",IF(COUNTIFS(BD!$A$3:$A$5001,Q$3,BD!$B$3:$B$5001,$A$469,BD!$L$3:$L$5001,"&lt;&gt;")=0,"",SUMIFS(BD!$L$3:$L$5001,BD!$A$3:$A$5001,Q$3,BD!$B$3:$B$5001,$A$469)))</f>
        <v/>
      </c>
      <c r="R478" s="172" t="str">
        <f>IF(R$3="","",IF(COUNTIFS(BD!$A$3:$A$5001,R$3,BD!$B$3:$B$5001,$A$469,BD!$L$3:$L$5001,"&lt;&gt;")=0,"",SUMIFS(BD!$L$3:$L$5001,BD!$A$3:$A$5001,R$3,BD!$B$3:$B$5001,$A$469)))</f>
        <v/>
      </c>
      <c r="S478" s="172" t="str">
        <f>IF(S$3="","",IF(COUNTIFS(BD!$A$3:$A$5001,S$3,BD!$B$3:$B$5001,$A$469,BD!$L$3:$L$5001,"&lt;&gt;")=0,"",SUMIFS(BD!$L$3:$L$5001,BD!$A$3:$A$5001,S$3,BD!$B$3:$B$5001,$A$469)))</f>
        <v/>
      </c>
      <c r="T478" s="172" t="str">
        <f>IF(T$3="","",IF(COUNTIFS(BD!$A$3:$A$5001,T$3,BD!$B$3:$B$5001,$A$469,BD!$L$3:$L$5001,"&lt;&gt;")=0,"",SUMIFS(BD!$L$3:$L$5001,BD!$A$3:$A$5001,T$3,BD!$B$3:$B$5001,$A$469)))</f>
        <v/>
      </c>
      <c r="U478" s="172" t="str">
        <f>IF(U$3="","",IF(COUNTIFS(BD!$A$3:$A$5001,U$3,BD!$B$3:$B$5001,$A$469,BD!$L$3:$L$5001,"&lt;&gt;")=0,"",SUMIFS(BD!$L$3:$L$5001,BD!$A$3:$A$5001,U$3,BD!$B$3:$B$5001,$A$469)))</f>
        <v/>
      </c>
      <c r="V478" s="172" t="str">
        <f>IF(V$3="","",IF(COUNTIFS(BD!$A$3:$A$5001,V$3,BD!$B$3:$B$5001,$A$469,BD!$L$3:$L$5001,"&lt;&gt;")=0,"",SUMIFS(BD!$L$3:$L$5001,BD!$A$3:$A$5001,V$3,BD!$B$3:$B$5001,$A$469)))</f>
        <v/>
      </c>
      <c r="W478" s="172" t="str">
        <f>IF(W$3="","",IF(COUNTIFS(BD!$A$3:$A$5001,W$3,BD!$B$3:$B$5001,$A$469,BD!$L$3:$L$5001,"&lt;&gt;")=0,"",SUMIFS(BD!$L$3:$L$5001,BD!$A$3:$A$5001,W$3,BD!$B$3:$B$5001,$A$469)))</f>
        <v/>
      </c>
      <c r="X478" s="172" t="str">
        <f>IF(X$3="","",IF(COUNTIFS(BD!$A$3:$A$5001,X$3,BD!$B$3:$B$5001,$A$469,BD!$L$3:$L$5001,"&lt;&gt;")=0,"",SUMIFS(BD!$L$3:$L$5001,BD!$A$3:$A$5001,X$3,BD!$B$3:$B$5001,$A$469)))</f>
        <v/>
      </c>
      <c r="Y478" s="172" t="str">
        <f>IF(Y$3="","",IF(COUNTIFS(BD!$A$3:$A$5001,Y$3,BD!$B$3:$B$5001,$A$469,BD!$L$3:$L$5001,"&lt;&gt;")=0,"",SUMIFS(BD!$L$3:$L$5001,BD!$A$3:$A$5001,Y$3,BD!$B$3:$B$5001,$A$469)))</f>
        <v/>
      </c>
      <c r="Z478" s="172" t="str">
        <f>IF(Z$3="","",IF(COUNTIFS(BD!$A$3:$A$5001,Z$3,BD!$B$3:$B$5001,$A$469,BD!$L$3:$L$5001,"&lt;&gt;")=0,"",SUMIFS(BD!$L$3:$L$5001,BD!$A$3:$A$5001,Z$3,BD!$B$3:$B$5001,$A$469)))</f>
        <v/>
      </c>
      <c r="AA478" s="172" t="str">
        <f>IF(AA$3="","",IF(COUNTIFS(BD!$A$3:$A$5001,AA$3,BD!$B$3:$B$5001,$A$469,BD!$L$3:$L$5001,"&lt;&gt;")=0,"",SUMIFS(BD!$L$3:$L$5001,BD!$A$3:$A$5001,AA$3,BD!$B$3:$B$5001,$A$469)))</f>
        <v/>
      </c>
      <c r="AB478" s="172" t="str">
        <f>IF(AB$3="","",IF(COUNTIFS(BD!$A$3:$A$5001,AB$3,BD!$B$3:$B$5001,$A$469,BD!$L$3:$L$5001,"&lt;&gt;")=0,"",SUMIFS(BD!$L$3:$L$5001,BD!$A$3:$A$5001,AB$3,BD!$B$3:$B$5001,$A$469)))</f>
        <v/>
      </c>
      <c r="AC478" s="172" t="str">
        <f>IF(AC$3="","",IF(COUNTIFS(BD!$A$3:$A$5001,AC$3,BD!$B$3:$B$5001,$A$469,BD!$L$3:$L$5001,"&lt;&gt;")=0,"",SUMIFS(BD!$L$3:$L$5001,BD!$A$3:$A$5001,AC$3,BD!$B$3:$B$5001,$A$469)))</f>
        <v/>
      </c>
      <c r="AD478" s="172" t="str">
        <f>IF(AD$3="","",IF(COUNTIFS(BD!$A$3:$A$5001,AD$3,BD!$B$3:$B$5001,$A$469,BD!$L$3:$L$5001,"&lt;&gt;")=0,"",SUMIFS(BD!$L$3:$L$5001,BD!$A$3:$A$5001,AD$3,BD!$B$3:$B$5001,$A$469)))</f>
        <v/>
      </c>
      <c r="AE478" s="172" t="str">
        <f>IF(AE$3="","",IF(COUNTIFS(BD!$A$3:$A$5001,AE$3,BD!$B$3:$B$5001,$A$469,BD!$L$3:$L$5001,"&lt;&gt;")=0,"",SUMIFS(BD!$L$3:$L$5001,BD!$A$3:$A$5001,AE$3,BD!$B$3:$B$5001,$A$469)))</f>
        <v/>
      </c>
      <c r="AF478" s="172" t="str">
        <f>IF(AF$3="","",IF(COUNTIFS(BD!$A$3:$A$5001,AF$3,BD!$B$3:$B$5001,$A$469,BD!$L$3:$L$5001,"&lt;&gt;")=0,"",SUMIFS(BD!$L$3:$L$5001,BD!$A$3:$A$5001,AF$3,BD!$B$3:$B$5001,$A$469)))</f>
        <v/>
      </c>
      <c r="AG478" s="172" t="str">
        <f>IF(AG$3="","",IF(COUNTIFS(BD!$A$3:$A$5001,AG$3,BD!$B$3:$B$5001,$A$469,BD!$L$3:$L$5001,"&lt;&gt;")=0,"",SUMIFS(BD!$L$3:$L$5001,BD!$A$3:$A$5001,AG$3,BD!$B$3:$B$5001,$A$469)))</f>
        <v/>
      </c>
      <c r="AH478" s="172" t="str">
        <f>IF(AH$3="","",IF(COUNTIFS(BD!$A$3:$A$5001,AH$3,BD!$B$3:$B$5001,$A$469,BD!$L$3:$L$5001,"&lt;&gt;")=0,"",SUMIFS(BD!$L$3:$L$5001,BD!$A$3:$A$5001,AH$3,BD!$B$3:$B$5001,$A$469)))</f>
        <v/>
      </c>
      <c r="AI478" s="172" t="str">
        <f>IF(AI$3="","",IF(COUNTIFS(BD!$A$3:$A$5001,AI$3,BD!$B$3:$B$5001,$A$469,BD!$L$3:$L$5001,"&lt;&gt;")=0,"",SUMIFS(BD!$L$3:$L$5001,BD!$A$3:$A$5001,AI$3,BD!$B$3:$B$5001,$A$469)))</f>
        <v/>
      </c>
      <c r="AJ478" s="173" t="str">
        <f>IF(AJ$3="","",IF(COUNTIFS(BD!$A$3:$A$5001,AJ$3,BD!$B$3:$B$5001,$A$469,BD!$L$3:$L$5001,"&lt;&gt;")=0,"",SUMIFS(BD!$L$3:$L$5001,BD!$A$3:$A$5001,AJ$3,BD!$B$3:$B$5001,$A$469)))</f>
        <v/>
      </c>
      <c r="AK478" s="174" t="str">
        <f>IF(COUNT(F478:AJ478)=0,"",SUM(F478:AJ478))</f>
        <v/>
      </c>
    </row>
    <row r="479" ht="15.75" customHeight="1" hidden="1">
      <c r="A479" s="244"/>
      <c r="B479" s="261"/>
      <c r="C479" s="250" t="inlineStr">
        <is>
          <t xml:space="preserve">Pedidos Expedidos</t>
        </is>
      </c>
      <c r="D479" s="251" t="str">
        <f>IFERROR(1/(1/INDEX(BD!$AJ$33:$BD$33,MATCH($A$469,BD!$AJ$22:$BD$22,0))),"")</f>
        <v/>
      </c>
      <c r="E479" s="252"/>
      <c r="F479" s="253" t="str">
        <f>IF(F$3="","",IF(COUNTIFS(BD!$A$3:$A$5001,F$3,BD!$B$3:$B$5001,$A$469,BD!$M$3:$M$5001,"&lt;&gt;")=0,"",SUMIFS(BD!$M$3:$M$5001,BD!$A$3:$A$5001,F$3,BD!$B$3:$B$5001,$A$469)))</f>
        <v/>
      </c>
      <c r="G479" s="254" t="str">
        <f>IF(G$3="","",IF(COUNTIFS(BD!$A$3:$A$5001,G$3,BD!$B$3:$B$5001,$A$469,BD!$M$3:$M$5001,"&lt;&gt;")=0,"",SUMIFS(BD!$M$3:$M$5001,BD!$A$3:$A$5001,G$3,BD!$B$3:$B$5001,$A$469)))</f>
        <v/>
      </c>
      <c r="H479" s="254" t="str">
        <f>IF(H$3="","",IF(COUNTIFS(BD!$A$3:$A$5001,H$3,BD!$B$3:$B$5001,$A$469,BD!$M$3:$M$5001,"&lt;&gt;")=0,"",SUMIFS(BD!$M$3:$M$5001,BD!$A$3:$A$5001,H$3,BD!$B$3:$B$5001,$A$469)))</f>
        <v/>
      </c>
      <c r="I479" s="254" t="str">
        <f>IF(I$3="","",IF(COUNTIFS(BD!$A$3:$A$5001,I$3,BD!$B$3:$B$5001,$A$469,BD!$M$3:$M$5001,"&lt;&gt;")=0,"",SUMIFS(BD!$M$3:$M$5001,BD!$A$3:$A$5001,I$3,BD!$B$3:$B$5001,$A$469)))</f>
        <v/>
      </c>
      <c r="J479" s="254" t="str">
        <f>IF(J$3="","",IF(COUNTIFS(BD!$A$3:$A$5001,J$3,BD!$B$3:$B$5001,$A$469,BD!$M$3:$M$5001,"&lt;&gt;")=0,"",SUMIFS(BD!$M$3:$M$5001,BD!$A$3:$A$5001,J$3,BD!$B$3:$B$5001,$A$469)))</f>
        <v/>
      </c>
      <c r="K479" s="254" t="str">
        <f>IF(K$3="","",IF(COUNTIFS(BD!$A$3:$A$5001,K$3,BD!$B$3:$B$5001,$A$469,BD!$M$3:$M$5001,"&lt;&gt;")=0,"",SUMIFS(BD!$M$3:$M$5001,BD!$A$3:$A$5001,K$3,BD!$B$3:$B$5001,$A$469)))</f>
        <v/>
      </c>
      <c r="L479" s="254" t="str">
        <f>IF(L$3="","",IF(COUNTIFS(BD!$A$3:$A$5001,L$3,BD!$B$3:$B$5001,$A$469,BD!$M$3:$M$5001,"&lt;&gt;")=0,"",SUMIFS(BD!$M$3:$M$5001,BD!$A$3:$A$5001,L$3,BD!$B$3:$B$5001,$A$469)))</f>
        <v/>
      </c>
      <c r="M479" s="254" t="str">
        <f>IF(M$3="","",IF(COUNTIFS(BD!$A$3:$A$5001,M$3,BD!$B$3:$B$5001,$A$469,BD!$M$3:$M$5001,"&lt;&gt;")=0,"",SUMIFS(BD!$M$3:$M$5001,BD!$A$3:$A$5001,M$3,BD!$B$3:$B$5001,$A$469)))</f>
        <v/>
      </c>
      <c r="N479" s="254" t="str">
        <f>IF(N$3="","",IF(COUNTIFS(BD!$A$3:$A$5001,N$3,BD!$B$3:$B$5001,$A$469,BD!$M$3:$M$5001,"&lt;&gt;")=0,"",SUMIFS(BD!$M$3:$M$5001,BD!$A$3:$A$5001,N$3,BD!$B$3:$B$5001,$A$469)))</f>
        <v/>
      </c>
      <c r="O479" s="254" t="str">
        <f>IF(O$3="","",IF(COUNTIFS(BD!$A$3:$A$5001,O$3,BD!$B$3:$B$5001,$A$469,BD!$M$3:$M$5001,"&lt;&gt;")=0,"",SUMIFS(BD!$M$3:$M$5001,BD!$A$3:$A$5001,O$3,BD!$B$3:$B$5001,$A$469)))</f>
        <v/>
      </c>
      <c r="P479" s="254" t="str">
        <f>IF(P$3="","",IF(COUNTIFS(BD!$A$3:$A$5001,P$3,BD!$B$3:$B$5001,$A$469,BD!$M$3:$M$5001,"&lt;&gt;")=0,"",SUMIFS(BD!$M$3:$M$5001,BD!$A$3:$A$5001,P$3,BD!$B$3:$B$5001,$A$469)))</f>
        <v/>
      </c>
      <c r="Q479" s="254" t="str">
        <f>IF(Q$3="","",IF(COUNTIFS(BD!$A$3:$A$5001,Q$3,BD!$B$3:$B$5001,$A$469,BD!$M$3:$M$5001,"&lt;&gt;")=0,"",SUMIFS(BD!$M$3:$M$5001,BD!$A$3:$A$5001,Q$3,BD!$B$3:$B$5001,$A$469)))</f>
        <v/>
      </c>
      <c r="R479" s="254" t="str">
        <f>IF(R$3="","",IF(COUNTIFS(BD!$A$3:$A$5001,R$3,BD!$B$3:$B$5001,$A$469,BD!$M$3:$M$5001,"&lt;&gt;")=0,"",SUMIFS(BD!$M$3:$M$5001,BD!$A$3:$A$5001,R$3,BD!$B$3:$B$5001,$A$469)))</f>
        <v/>
      </c>
      <c r="S479" s="254" t="str">
        <f>IF(S$3="","",IF(COUNTIFS(BD!$A$3:$A$5001,S$3,BD!$B$3:$B$5001,$A$469,BD!$M$3:$M$5001,"&lt;&gt;")=0,"",SUMIFS(BD!$M$3:$M$5001,BD!$A$3:$A$5001,S$3,BD!$B$3:$B$5001,$A$469)))</f>
        <v/>
      </c>
      <c r="T479" s="254" t="str">
        <f>IF(T$3="","",IF(COUNTIFS(BD!$A$3:$A$5001,T$3,BD!$B$3:$B$5001,$A$469,BD!$M$3:$M$5001,"&lt;&gt;")=0,"",SUMIFS(BD!$M$3:$M$5001,BD!$A$3:$A$5001,T$3,BD!$B$3:$B$5001,$A$469)))</f>
        <v/>
      </c>
      <c r="U479" s="254" t="str">
        <f>IF(U$3="","",IF(COUNTIFS(BD!$A$3:$A$5001,U$3,BD!$B$3:$B$5001,$A$469,BD!$M$3:$M$5001,"&lt;&gt;")=0,"",SUMIFS(BD!$M$3:$M$5001,BD!$A$3:$A$5001,U$3,BD!$B$3:$B$5001,$A$469)))</f>
        <v/>
      </c>
      <c r="V479" s="254" t="str">
        <f>IF(V$3="","",IF(COUNTIFS(BD!$A$3:$A$5001,V$3,BD!$B$3:$B$5001,$A$469,BD!$M$3:$M$5001,"&lt;&gt;")=0,"",SUMIFS(BD!$M$3:$M$5001,BD!$A$3:$A$5001,V$3,BD!$B$3:$B$5001,$A$469)))</f>
        <v/>
      </c>
      <c r="W479" s="254" t="str">
        <f>IF(W$3="","",IF(COUNTIFS(BD!$A$3:$A$5001,W$3,BD!$B$3:$B$5001,$A$469,BD!$M$3:$M$5001,"&lt;&gt;")=0,"",SUMIFS(BD!$M$3:$M$5001,BD!$A$3:$A$5001,W$3,BD!$B$3:$B$5001,$A$469)))</f>
        <v/>
      </c>
      <c r="X479" s="254" t="str">
        <f>IF(X$3="","",IF(COUNTIFS(BD!$A$3:$A$5001,X$3,BD!$B$3:$B$5001,$A$469,BD!$M$3:$M$5001,"&lt;&gt;")=0,"",SUMIFS(BD!$M$3:$M$5001,BD!$A$3:$A$5001,X$3,BD!$B$3:$B$5001,$A$469)))</f>
        <v/>
      </c>
      <c r="Y479" s="254" t="str">
        <f>IF(Y$3="","",IF(COUNTIFS(BD!$A$3:$A$5001,Y$3,BD!$B$3:$B$5001,$A$469,BD!$M$3:$M$5001,"&lt;&gt;")=0,"",SUMIFS(BD!$M$3:$M$5001,BD!$A$3:$A$5001,Y$3,BD!$B$3:$B$5001,$A$469)))</f>
        <v/>
      </c>
      <c r="Z479" s="254" t="str">
        <f>IF(Z$3="","",IF(COUNTIFS(BD!$A$3:$A$5001,Z$3,BD!$B$3:$B$5001,$A$469,BD!$M$3:$M$5001,"&lt;&gt;")=0,"",SUMIFS(BD!$M$3:$M$5001,BD!$A$3:$A$5001,Z$3,BD!$B$3:$B$5001,$A$469)))</f>
        <v/>
      </c>
      <c r="AA479" s="254" t="str">
        <f>IF(AA$3="","",IF(COUNTIFS(BD!$A$3:$A$5001,AA$3,BD!$B$3:$B$5001,$A$469,BD!$M$3:$M$5001,"&lt;&gt;")=0,"",SUMIFS(BD!$M$3:$M$5001,BD!$A$3:$A$5001,AA$3,BD!$B$3:$B$5001,$A$469)))</f>
        <v/>
      </c>
      <c r="AB479" s="254" t="str">
        <f>IF(AB$3="","",IF(COUNTIFS(BD!$A$3:$A$5001,AB$3,BD!$B$3:$B$5001,$A$469,BD!$M$3:$M$5001,"&lt;&gt;")=0,"",SUMIFS(BD!$M$3:$M$5001,BD!$A$3:$A$5001,AB$3,BD!$B$3:$B$5001,$A$469)))</f>
        <v/>
      </c>
      <c r="AC479" s="254" t="str">
        <f>IF(AC$3="","",IF(COUNTIFS(BD!$A$3:$A$5001,AC$3,BD!$B$3:$B$5001,$A$469,BD!$M$3:$M$5001,"&lt;&gt;")=0,"",SUMIFS(BD!$M$3:$M$5001,BD!$A$3:$A$5001,AC$3,BD!$B$3:$B$5001,$A$469)))</f>
        <v/>
      </c>
      <c r="AD479" s="254" t="str">
        <f>IF(AD$3="","",IF(COUNTIFS(BD!$A$3:$A$5001,AD$3,BD!$B$3:$B$5001,$A$469,BD!$M$3:$M$5001,"&lt;&gt;")=0,"",SUMIFS(BD!$M$3:$M$5001,BD!$A$3:$A$5001,AD$3,BD!$B$3:$B$5001,$A$469)))</f>
        <v/>
      </c>
      <c r="AE479" s="254" t="str">
        <f>IF(AE$3="","",IF(COUNTIFS(BD!$A$3:$A$5001,AE$3,BD!$B$3:$B$5001,$A$469,BD!$M$3:$M$5001,"&lt;&gt;")=0,"",SUMIFS(BD!$M$3:$M$5001,BD!$A$3:$A$5001,AE$3,BD!$B$3:$B$5001,$A$469)))</f>
        <v/>
      </c>
      <c r="AF479" s="254" t="str">
        <f>IF(AF$3="","",IF(COUNTIFS(BD!$A$3:$A$5001,AF$3,BD!$B$3:$B$5001,$A$469,BD!$M$3:$M$5001,"&lt;&gt;")=0,"",SUMIFS(BD!$M$3:$M$5001,BD!$A$3:$A$5001,AF$3,BD!$B$3:$B$5001,$A$469)))</f>
        <v/>
      </c>
      <c r="AG479" s="254" t="str">
        <f>IF(AG$3="","",IF(COUNTIFS(BD!$A$3:$A$5001,AG$3,BD!$B$3:$B$5001,$A$469,BD!$M$3:$M$5001,"&lt;&gt;")=0,"",SUMIFS(BD!$M$3:$M$5001,BD!$A$3:$A$5001,AG$3,BD!$B$3:$B$5001,$A$469)))</f>
        <v/>
      </c>
      <c r="AH479" s="254" t="str">
        <f>IF(AH$3="","",IF(COUNTIFS(BD!$A$3:$A$5001,AH$3,BD!$B$3:$B$5001,$A$469,BD!$M$3:$M$5001,"&lt;&gt;")=0,"",SUMIFS(BD!$M$3:$M$5001,BD!$A$3:$A$5001,AH$3,BD!$B$3:$B$5001,$A$469)))</f>
        <v/>
      </c>
      <c r="AI479" s="254" t="str">
        <f>IF(AI$3="","",IF(COUNTIFS(BD!$A$3:$A$5001,AI$3,BD!$B$3:$B$5001,$A$469,BD!$M$3:$M$5001,"&lt;&gt;")=0,"",SUMIFS(BD!$M$3:$M$5001,BD!$A$3:$A$5001,AI$3,BD!$B$3:$B$5001,$A$469)))</f>
        <v/>
      </c>
      <c r="AJ479" s="255" t="str">
        <f>IF(AJ$3="","",IF(COUNTIFS(BD!$A$3:$A$5001,AJ$3,BD!$B$3:$B$5001,$A$469,BD!$M$3:$M$5001,"&lt;&gt;")=0,"",SUMIFS(BD!$M$3:$M$5001,BD!$A$3:$A$5001,AJ$3,BD!$B$3:$B$5001,$A$469)))</f>
        <v/>
      </c>
      <c r="AK479" s="256" t="str">
        <f>IF(COUNT(F479:AJ479)=0,"",SUM(F479:AJ479))</f>
        <v/>
      </c>
    </row>
    <row r="480" ht="15.75" customHeight="1" hidden="1">
      <c r="A480" s="244"/>
      <c r="B480" s="261"/>
      <c r="C480" s="250" t="inlineStr">
        <is>
          <t xml:space="preserve">Pedidos Faturados</t>
        </is>
      </c>
      <c r="D480" s="251" t="str">
        <f>IFERROR(1/(1/INDEX(BD!$AJ$34:$BD$34,MATCH($A$469,BD!$AJ$22:$BD$22,0))),"")</f>
        <v/>
      </c>
      <c r="E480" s="252"/>
      <c r="F480" s="253" t="str">
        <f>IF(F$3="","",IF(COUNTIFS(BD!$A$3:$A$5001,F$3,BD!$B$3:$B$5001,$A$469,BD!$N$3:$N$5001,"&lt;&gt;")=0,"",SUMIFS(BD!$N$3:$N$5001,BD!$A$3:$A$5001,F$3,BD!$B$3:$B$5001,$A$469)))</f>
        <v/>
      </c>
      <c r="G480" s="254" t="str">
        <f>IF(G$3="","",IF(COUNTIFS(BD!$A$3:$A$5001,G$3,BD!$B$3:$B$5001,$A$469,BD!$N$3:$N$5001,"&lt;&gt;")=0,"",SUMIFS(BD!$N$3:$N$5001,BD!$A$3:$A$5001,G$3,BD!$B$3:$B$5001,$A$469)))</f>
        <v/>
      </c>
      <c r="H480" s="254" t="str">
        <f>IF(H$3="","",IF(COUNTIFS(BD!$A$3:$A$5001,H$3,BD!$B$3:$B$5001,$A$469,BD!$N$3:$N$5001,"&lt;&gt;")=0,"",SUMIFS(BD!$N$3:$N$5001,BD!$A$3:$A$5001,H$3,BD!$B$3:$B$5001,$A$469)))</f>
        <v/>
      </c>
      <c r="I480" s="254" t="str">
        <f>IF(I$3="","",IF(COUNTIFS(BD!$A$3:$A$5001,I$3,BD!$B$3:$B$5001,$A$469,BD!$N$3:$N$5001,"&lt;&gt;")=0,"",SUMIFS(BD!$N$3:$N$5001,BD!$A$3:$A$5001,I$3,BD!$B$3:$B$5001,$A$469)))</f>
        <v/>
      </c>
      <c r="J480" s="254" t="str">
        <f>IF(J$3="","",IF(COUNTIFS(BD!$A$3:$A$5001,J$3,BD!$B$3:$B$5001,$A$469,BD!$N$3:$N$5001,"&lt;&gt;")=0,"",SUMIFS(BD!$N$3:$N$5001,BD!$A$3:$A$5001,J$3,BD!$B$3:$B$5001,$A$469)))</f>
        <v/>
      </c>
      <c r="K480" s="254" t="str">
        <f>IF(K$3="","",IF(COUNTIFS(BD!$A$3:$A$5001,K$3,BD!$B$3:$B$5001,$A$469,BD!$N$3:$N$5001,"&lt;&gt;")=0,"",SUMIFS(BD!$N$3:$N$5001,BD!$A$3:$A$5001,K$3,BD!$B$3:$B$5001,$A$469)))</f>
        <v/>
      </c>
      <c r="L480" s="254" t="str">
        <f>IF(L$3="","",IF(COUNTIFS(BD!$A$3:$A$5001,L$3,BD!$B$3:$B$5001,$A$469,BD!$N$3:$N$5001,"&lt;&gt;")=0,"",SUMIFS(BD!$N$3:$N$5001,BD!$A$3:$A$5001,L$3,BD!$B$3:$B$5001,$A$469)))</f>
        <v/>
      </c>
      <c r="M480" s="254" t="str">
        <f>IF(M$3="","",IF(COUNTIFS(BD!$A$3:$A$5001,M$3,BD!$B$3:$B$5001,$A$469,BD!$N$3:$N$5001,"&lt;&gt;")=0,"",SUMIFS(BD!$N$3:$N$5001,BD!$A$3:$A$5001,M$3,BD!$B$3:$B$5001,$A$469)))</f>
        <v/>
      </c>
      <c r="N480" s="254" t="str">
        <f>IF(N$3="","",IF(COUNTIFS(BD!$A$3:$A$5001,N$3,BD!$B$3:$B$5001,$A$469,BD!$N$3:$N$5001,"&lt;&gt;")=0,"",SUMIFS(BD!$N$3:$N$5001,BD!$A$3:$A$5001,N$3,BD!$B$3:$B$5001,$A$469)))</f>
        <v/>
      </c>
      <c r="O480" s="254" t="str">
        <f>IF(O$3="","",IF(COUNTIFS(BD!$A$3:$A$5001,O$3,BD!$B$3:$B$5001,$A$469,BD!$N$3:$N$5001,"&lt;&gt;")=0,"",SUMIFS(BD!$N$3:$N$5001,BD!$A$3:$A$5001,O$3,BD!$B$3:$B$5001,$A$469)))</f>
        <v/>
      </c>
      <c r="P480" s="254" t="str">
        <f>IF(P$3="","",IF(COUNTIFS(BD!$A$3:$A$5001,P$3,BD!$B$3:$B$5001,$A$469,BD!$N$3:$N$5001,"&lt;&gt;")=0,"",SUMIFS(BD!$N$3:$N$5001,BD!$A$3:$A$5001,P$3,BD!$B$3:$B$5001,$A$469)))</f>
        <v/>
      </c>
      <c r="Q480" s="254" t="str">
        <f>IF(Q$3="","",IF(COUNTIFS(BD!$A$3:$A$5001,Q$3,BD!$B$3:$B$5001,$A$469,BD!$N$3:$N$5001,"&lt;&gt;")=0,"",SUMIFS(BD!$N$3:$N$5001,BD!$A$3:$A$5001,Q$3,BD!$B$3:$B$5001,$A$469)))</f>
        <v/>
      </c>
      <c r="R480" s="254" t="str">
        <f>IF(R$3="","",IF(COUNTIFS(BD!$A$3:$A$5001,R$3,BD!$B$3:$B$5001,$A$469,BD!$N$3:$N$5001,"&lt;&gt;")=0,"",SUMIFS(BD!$N$3:$N$5001,BD!$A$3:$A$5001,R$3,BD!$B$3:$B$5001,$A$469)))</f>
        <v/>
      </c>
      <c r="S480" s="254" t="str">
        <f>IF(S$3="","",IF(COUNTIFS(BD!$A$3:$A$5001,S$3,BD!$B$3:$B$5001,$A$469,BD!$N$3:$N$5001,"&lt;&gt;")=0,"",SUMIFS(BD!$N$3:$N$5001,BD!$A$3:$A$5001,S$3,BD!$B$3:$B$5001,$A$469)))</f>
        <v/>
      </c>
      <c r="T480" s="254" t="str">
        <f>IF(T$3="","",IF(COUNTIFS(BD!$A$3:$A$5001,T$3,BD!$B$3:$B$5001,$A$469,BD!$N$3:$N$5001,"&lt;&gt;")=0,"",SUMIFS(BD!$N$3:$N$5001,BD!$A$3:$A$5001,T$3,BD!$B$3:$B$5001,$A$469)))</f>
        <v/>
      </c>
      <c r="U480" s="254" t="str">
        <f>IF(U$3="","",IF(COUNTIFS(BD!$A$3:$A$5001,U$3,BD!$B$3:$B$5001,$A$469,BD!$N$3:$N$5001,"&lt;&gt;")=0,"",SUMIFS(BD!$N$3:$N$5001,BD!$A$3:$A$5001,U$3,BD!$B$3:$B$5001,$A$469)))</f>
        <v/>
      </c>
      <c r="V480" s="254" t="str">
        <f>IF(V$3="","",IF(COUNTIFS(BD!$A$3:$A$5001,V$3,BD!$B$3:$B$5001,$A$469,BD!$N$3:$N$5001,"&lt;&gt;")=0,"",SUMIFS(BD!$N$3:$N$5001,BD!$A$3:$A$5001,V$3,BD!$B$3:$B$5001,$A$469)))</f>
        <v/>
      </c>
      <c r="W480" s="254" t="str">
        <f>IF(W$3="","",IF(COUNTIFS(BD!$A$3:$A$5001,W$3,BD!$B$3:$B$5001,$A$469,BD!$N$3:$N$5001,"&lt;&gt;")=0,"",SUMIFS(BD!$N$3:$N$5001,BD!$A$3:$A$5001,W$3,BD!$B$3:$B$5001,$A$469)))</f>
        <v/>
      </c>
      <c r="X480" s="254" t="str">
        <f>IF(X$3="","",IF(COUNTIFS(BD!$A$3:$A$5001,X$3,BD!$B$3:$B$5001,$A$469,BD!$N$3:$N$5001,"&lt;&gt;")=0,"",SUMIFS(BD!$N$3:$N$5001,BD!$A$3:$A$5001,X$3,BD!$B$3:$B$5001,$A$469)))</f>
        <v/>
      </c>
      <c r="Y480" s="254" t="str">
        <f>IF(Y$3="","",IF(COUNTIFS(BD!$A$3:$A$5001,Y$3,BD!$B$3:$B$5001,$A$469,BD!$N$3:$N$5001,"&lt;&gt;")=0,"",SUMIFS(BD!$N$3:$N$5001,BD!$A$3:$A$5001,Y$3,BD!$B$3:$B$5001,$A$469)))</f>
        <v/>
      </c>
      <c r="Z480" s="254" t="str">
        <f>IF(Z$3="","",IF(COUNTIFS(BD!$A$3:$A$5001,Z$3,BD!$B$3:$B$5001,$A$469,BD!$N$3:$N$5001,"&lt;&gt;")=0,"",SUMIFS(BD!$N$3:$N$5001,BD!$A$3:$A$5001,Z$3,BD!$B$3:$B$5001,$A$469)))</f>
        <v/>
      </c>
      <c r="AA480" s="254" t="str">
        <f>IF(AA$3="","",IF(COUNTIFS(BD!$A$3:$A$5001,AA$3,BD!$B$3:$B$5001,$A$469,BD!$N$3:$N$5001,"&lt;&gt;")=0,"",SUMIFS(BD!$N$3:$N$5001,BD!$A$3:$A$5001,AA$3,BD!$B$3:$B$5001,$A$469)))</f>
        <v/>
      </c>
      <c r="AB480" s="254" t="str">
        <f>IF(AB$3="","",IF(COUNTIFS(BD!$A$3:$A$5001,AB$3,BD!$B$3:$B$5001,$A$469,BD!$N$3:$N$5001,"&lt;&gt;")=0,"",SUMIFS(BD!$N$3:$N$5001,BD!$A$3:$A$5001,AB$3,BD!$B$3:$B$5001,$A$469)))</f>
        <v/>
      </c>
      <c r="AC480" s="254" t="str">
        <f>IF(AC$3="","",IF(COUNTIFS(BD!$A$3:$A$5001,AC$3,BD!$B$3:$B$5001,$A$469,BD!$N$3:$N$5001,"&lt;&gt;")=0,"",SUMIFS(BD!$N$3:$N$5001,BD!$A$3:$A$5001,AC$3,BD!$B$3:$B$5001,$A$469)))</f>
        <v/>
      </c>
      <c r="AD480" s="254" t="str">
        <f>IF(AD$3="","",IF(COUNTIFS(BD!$A$3:$A$5001,AD$3,BD!$B$3:$B$5001,$A$469,BD!$N$3:$N$5001,"&lt;&gt;")=0,"",SUMIFS(BD!$N$3:$N$5001,BD!$A$3:$A$5001,AD$3,BD!$B$3:$B$5001,$A$469)))</f>
        <v/>
      </c>
      <c r="AE480" s="254" t="str">
        <f>IF(AE$3="","",IF(COUNTIFS(BD!$A$3:$A$5001,AE$3,BD!$B$3:$B$5001,$A$469,BD!$N$3:$N$5001,"&lt;&gt;")=0,"",SUMIFS(BD!$N$3:$N$5001,BD!$A$3:$A$5001,AE$3,BD!$B$3:$B$5001,$A$469)))</f>
        <v/>
      </c>
      <c r="AF480" s="254" t="str">
        <f>IF(AF$3="","",IF(COUNTIFS(BD!$A$3:$A$5001,AF$3,BD!$B$3:$B$5001,$A$469,BD!$N$3:$N$5001,"&lt;&gt;")=0,"",SUMIFS(BD!$N$3:$N$5001,BD!$A$3:$A$5001,AF$3,BD!$B$3:$B$5001,$A$469)))</f>
        <v/>
      </c>
      <c r="AG480" s="254" t="str">
        <f>IF(AG$3="","",IF(COUNTIFS(BD!$A$3:$A$5001,AG$3,BD!$B$3:$B$5001,$A$469,BD!$N$3:$N$5001,"&lt;&gt;")=0,"",SUMIFS(BD!$N$3:$N$5001,BD!$A$3:$A$5001,AG$3,BD!$B$3:$B$5001,$A$469)))</f>
        <v/>
      </c>
      <c r="AH480" s="254" t="str">
        <f>IF(AH$3="","",IF(COUNTIFS(BD!$A$3:$A$5001,AH$3,BD!$B$3:$B$5001,$A$469,BD!$N$3:$N$5001,"&lt;&gt;")=0,"",SUMIFS(BD!$N$3:$N$5001,BD!$A$3:$A$5001,AH$3,BD!$B$3:$B$5001,$A$469)))</f>
        <v/>
      </c>
      <c r="AI480" s="254" t="str">
        <f>IF(AI$3="","",IF(COUNTIFS(BD!$A$3:$A$5001,AI$3,BD!$B$3:$B$5001,$A$469,BD!$N$3:$N$5001,"&lt;&gt;")=0,"",SUMIFS(BD!$N$3:$N$5001,BD!$A$3:$A$5001,AI$3,BD!$B$3:$B$5001,$A$469)))</f>
        <v/>
      </c>
      <c r="AJ480" s="255" t="str">
        <f>IF(AJ$3="","",IF(COUNTIFS(BD!$A$3:$A$5001,AJ$3,BD!$B$3:$B$5001,$A$469,BD!$N$3:$N$5001,"&lt;&gt;")=0,"",SUMIFS(BD!$N$3:$N$5001,BD!$A$3:$A$5001,AJ$3,BD!$B$3:$B$5001,$A$469)))</f>
        <v/>
      </c>
      <c r="AK480" s="256" t="str">
        <f>IF(COUNT(F480:AJ480)=0,"",SUM(F480:AJ480))</f>
        <v/>
      </c>
    </row>
    <row r="481" ht="15.75" customHeight="1" hidden="1">
      <c r="A481" s="244"/>
      <c r="B481" s="261"/>
      <c r="C481" s="250" t="inlineStr">
        <is>
          <t xml:space="preserve">Itens Expedidos</t>
        </is>
      </c>
      <c r="D481" s="251" t="str">
        <f>IFERROR(1/(1/INDEX(BD!$AJ$35:$BD$35,MATCH($A$469,BD!$AJ$22:$BD$22,0))),"")</f>
        <v/>
      </c>
      <c r="E481" s="252"/>
      <c r="F481" s="253" t="str">
        <f>IF(F$3="","",IF(COUNTIFS(BD!$A$3:$A$5001,F$3,BD!$B$3:$B$5001,$A$469,BD!$O$3:$O$5001,"&lt;&gt;")=0,"",SUMIFS(BD!$O$3:$O$5001,BD!$A$3:$A$5001,F$3,BD!$B$3:$B$5001,$A$469)))</f>
        <v/>
      </c>
      <c r="G481" s="254" t="str">
        <f>IF(G$3="","",IF(COUNTIFS(BD!$A$3:$A$5001,G$3,BD!$B$3:$B$5001,$A$469,BD!$O$3:$O$5001,"&lt;&gt;")=0,"",SUMIFS(BD!$O$3:$O$5001,BD!$A$3:$A$5001,G$3,BD!$B$3:$B$5001,$A$469)))</f>
        <v/>
      </c>
      <c r="H481" s="254" t="str">
        <f>IF(H$3="","",IF(COUNTIFS(BD!$A$3:$A$5001,H$3,BD!$B$3:$B$5001,$A$469,BD!$O$3:$O$5001,"&lt;&gt;")=0,"",SUMIFS(BD!$O$3:$O$5001,BD!$A$3:$A$5001,H$3,BD!$B$3:$B$5001,$A$469)))</f>
        <v/>
      </c>
      <c r="I481" s="254" t="str">
        <f>IF(I$3="","",IF(COUNTIFS(BD!$A$3:$A$5001,I$3,BD!$B$3:$B$5001,$A$469,BD!$O$3:$O$5001,"&lt;&gt;")=0,"",SUMIFS(BD!$O$3:$O$5001,BD!$A$3:$A$5001,I$3,BD!$B$3:$B$5001,$A$469)))</f>
        <v/>
      </c>
      <c r="J481" s="254" t="str">
        <f>IF(J$3="","",IF(COUNTIFS(BD!$A$3:$A$5001,J$3,BD!$B$3:$B$5001,$A$469,BD!$O$3:$O$5001,"&lt;&gt;")=0,"",SUMIFS(BD!$O$3:$O$5001,BD!$A$3:$A$5001,J$3,BD!$B$3:$B$5001,$A$469)))</f>
        <v/>
      </c>
      <c r="K481" s="254" t="str">
        <f>IF(K$3="","",IF(COUNTIFS(BD!$A$3:$A$5001,K$3,BD!$B$3:$B$5001,$A$469,BD!$O$3:$O$5001,"&lt;&gt;")=0,"",SUMIFS(BD!$O$3:$O$5001,BD!$A$3:$A$5001,K$3,BD!$B$3:$B$5001,$A$469)))</f>
        <v/>
      </c>
      <c r="L481" s="254" t="str">
        <f>IF(L$3="","",IF(COUNTIFS(BD!$A$3:$A$5001,L$3,BD!$B$3:$B$5001,$A$469,BD!$O$3:$O$5001,"&lt;&gt;")=0,"",SUMIFS(BD!$O$3:$O$5001,BD!$A$3:$A$5001,L$3,BD!$B$3:$B$5001,$A$469)))</f>
        <v/>
      </c>
      <c r="M481" s="254" t="str">
        <f>IF(M$3="","",IF(COUNTIFS(BD!$A$3:$A$5001,M$3,BD!$B$3:$B$5001,$A$469,BD!$O$3:$O$5001,"&lt;&gt;")=0,"",SUMIFS(BD!$O$3:$O$5001,BD!$A$3:$A$5001,M$3,BD!$B$3:$B$5001,$A$469)))</f>
        <v/>
      </c>
      <c r="N481" s="254" t="str">
        <f>IF(N$3="","",IF(COUNTIFS(BD!$A$3:$A$5001,N$3,BD!$B$3:$B$5001,$A$469,BD!$O$3:$O$5001,"&lt;&gt;")=0,"",SUMIFS(BD!$O$3:$O$5001,BD!$A$3:$A$5001,N$3,BD!$B$3:$B$5001,$A$469)))</f>
        <v/>
      </c>
      <c r="O481" s="254" t="str">
        <f>IF(O$3="","",IF(COUNTIFS(BD!$A$3:$A$5001,O$3,BD!$B$3:$B$5001,$A$469,BD!$O$3:$O$5001,"&lt;&gt;")=0,"",SUMIFS(BD!$O$3:$O$5001,BD!$A$3:$A$5001,O$3,BD!$B$3:$B$5001,$A$469)))</f>
        <v/>
      </c>
      <c r="P481" s="254" t="str">
        <f>IF(P$3="","",IF(COUNTIFS(BD!$A$3:$A$5001,P$3,BD!$B$3:$B$5001,$A$469,BD!$O$3:$O$5001,"&lt;&gt;")=0,"",SUMIFS(BD!$O$3:$O$5001,BD!$A$3:$A$5001,P$3,BD!$B$3:$B$5001,$A$469)))</f>
        <v/>
      </c>
      <c r="Q481" s="254" t="str">
        <f>IF(Q$3="","",IF(COUNTIFS(BD!$A$3:$A$5001,Q$3,BD!$B$3:$B$5001,$A$469,BD!$O$3:$O$5001,"&lt;&gt;")=0,"",SUMIFS(BD!$O$3:$O$5001,BD!$A$3:$A$5001,Q$3,BD!$B$3:$B$5001,$A$469)))</f>
        <v/>
      </c>
      <c r="R481" s="254" t="str">
        <f>IF(R$3="","",IF(COUNTIFS(BD!$A$3:$A$5001,R$3,BD!$B$3:$B$5001,$A$469,BD!$O$3:$O$5001,"&lt;&gt;")=0,"",SUMIFS(BD!$O$3:$O$5001,BD!$A$3:$A$5001,R$3,BD!$B$3:$B$5001,$A$469)))</f>
        <v/>
      </c>
      <c r="S481" s="254" t="str">
        <f>IF(S$3="","",IF(COUNTIFS(BD!$A$3:$A$5001,S$3,BD!$B$3:$B$5001,$A$469,BD!$O$3:$O$5001,"&lt;&gt;")=0,"",SUMIFS(BD!$O$3:$O$5001,BD!$A$3:$A$5001,S$3,BD!$B$3:$B$5001,$A$469)))</f>
        <v/>
      </c>
      <c r="T481" s="254" t="str">
        <f>IF(T$3="","",IF(COUNTIFS(BD!$A$3:$A$5001,T$3,BD!$B$3:$B$5001,$A$469,BD!$O$3:$O$5001,"&lt;&gt;")=0,"",SUMIFS(BD!$O$3:$O$5001,BD!$A$3:$A$5001,T$3,BD!$B$3:$B$5001,$A$469)))</f>
        <v/>
      </c>
      <c r="U481" s="254" t="str">
        <f>IF(U$3="","",IF(COUNTIFS(BD!$A$3:$A$5001,U$3,BD!$B$3:$B$5001,$A$469,BD!$O$3:$O$5001,"&lt;&gt;")=0,"",SUMIFS(BD!$O$3:$O$5001,BD!$A$3:$A$5001,U$3,BD!$B$3:$B$5001,$A$469)))</f>
        <v/>
      </c>
      <c r="V481" s="254" t="str">
        <f>IF(V$3="","",IF(COUNTIFS(BD!$A$3:$A$5001,V$3,BD!$B$3:$B$5001,$A$469,BD!$O$3:$O$5001,"&lt;&gt;")=0,"",SUMIFS(BD!$O$3:$O$5001,BD!$A$3:$A$5001,V$3,BD!$B$3:$B$5001,$A$469)))</f>
        <v/>
      </c>
      <c r="W481" s="254" t="str">
        <f>IF(W$3="","",IF(COUNTIFS(BD!$A$3:$A$5001,W$3,BD!$B$3:$B$5001,$A$469,BD!$O$3:$O$5001,"&lt;&gt;")=0,"",SUMIFS(BD!$O$3:$O$5001,BD!$A$3:$A$5001,W$3,BD!$B$3:$B$5001,$A$469)))</f>
        <v/>
      </c>
      <c r="X481" s="254" t="str">
        <f>IF(X$3="","",IF(COUNTIFS(BD!$A$3:$A$5001,X$3,BD!$B$3:$B$5001,$A$469,BD!$O$3:$O$5001,"&lt;&gt;")=0,"",SUMIFS(BD!$O$3:$O$5001,BD!$A$3:$A$5001,X$3,BD!$B$3:$B$5001,$A$469)))</f>
        <v/>
      </c>
      <c r="Y481" s="254" t="str">
        <f>IF(Y$3="","",IF(COUNTIFS(BD!$A$3:$A$5001,Y$3,BD!$B$3:$B$5001,$A$469,BD!$O$3:$O$5001,"&lt;&gt;")=0,"",SUMIFS(BD!$O$3:$O$5001,BD!$A$3:$A$5001,Y$3,BD!$B$3:$B$5001,$A$469)))</f>
        <v/>
      </c>
      <c r="Z481" s="254" t="str">
        <f>IF(Z$3="","",IF(COUNTIFS(BD!$A$3:$A$5001,Z$3,BD!$B$3:$B$5001,$A$469,BD!$O$3:$O$5001,"&lt;&gt;")=0,"",SUMIFS(BD!$O$3:$O$5001,BD!$A$3:$A$5001,Z$3,BD!$B$3:$B$5001,$A$469)))</f>
        <v/>
      </c>
      <c r="AA481" s="254" t="str">
        <f>IF(AA$3="","",IF(COUNTIFS(BD!$A$3:$A$5001,AA$3,BD!$B$3:$B$5001,$A$469,BD!$O$3:$O$5001,"&lt;&gt;")=0,"",SUMIFS(BD!$O$3:$O$5001,BD!$A$3:$A$5001,AA$3,BD!$B$3:$B$5001,$A$469)))</f>
        <v/>
      </c>
      <c r="AB481" s="254" t="str">
        <f>IF(AB$3="","",IF(COUNTIFS(BD!$A$3:$A$5001,AB$3,BD!$B$3:$B$5001,$A$469,BD!$O$3:$O$5001,"&lt;&gt;")=0,"",SUMIFS(BD!$O$3:$O$5001,BD!$A$3:$A$5001,AB$3,BD!$B$3:$B$5001,$A$469)))</f>
        <v/>
      </c>
      <c r="AC481" s="254" t="str">
        <f>IF(AC$3="","",IF(COUNTIFS(BD!$A$3:$A$5001,AC$3,BD!$B$3:$B$5001,$A$469,BD!$O$3:$O$5001,"&lt;&gt;")=0,"",SUMIFS(BD!$O$3:$O$5001,BD!$A$3:$A$5001,AC$3,BD!$B$3:$B$5001,$A$469)))</f>
        <v/>
      </c>
      <c r="AD481" s="254" t="str">
        <f>IF(AD$3="","",IF(COUNTIFS(BD!$A$3:$A$5001,AD$3,BD!$B$3:$B$5001,$A$469,BD!$O$3:$O$5001,"&lt;&gt;")=0,"",SUMIFS(BD!$O$3:$O$5001,BD!$A$3:$A$5001,AD$3,BD!$B$3:$B$5001,$A$469)))</f>
        <v/>
      </c>
      <c r="AE481" s="254" t="str">
        <f>IF(AE$3="","",IF(COUNTIFS(BD!$A$3:$A$5001,AE$3,BD!$B$3:$B$5001,$A$469,BD!$O$3:$O$5001,"&lt;&gt;")=0,"",SUMIFS(BD!$O$3:$O$5001,BD!$A$3:$A$5001,AE$3,BD!$B$3:$B$5001,$A$469)))</f>
        <v/>
      </c>
      <c r="AF481" s="254" t="str">
        <f>IF(AF$3="","",IF(COUNTIFS(BD!$A$3:$A$5001,AF$3,BD!$B$3:$B$5001,$A$469,BD!$O$3:$O$5001,"&lt;&gt;")=0,"",SUMIFS(BD!$O$3:$O$5001,BD!$A$3:$A$5001,AF$3,BD!$B$3:$B$5001,$A$469)))</f>
        <v/>
      </c>
      <c r="AG481" s="254" t="str">
        <f>IF(AG$3="","",IF(COUNTIFS(BD!$A$3:$A$5001,AG$3,BD!$B$3:$B$5001,$A$469,BD!$O$3:$O$5001,"&lt;&gt;")=0,"",SUMIFS(BD!$O$3:$O$5001,BD!$A$3:$A$5001,AG$3,BD!$B$3:$B$5001,$A$469)))</f>
        <v/>
      </c>
      <c r="AH481" s="254" t="str">
        <f>IF(AH$3="","",IF(COUNTIFS(BD!$A$3:$A$5001,AH$3,BD!$B$3:$B$5001,$A$469,BD!$O$3:$O$5001,"&lt;&gt;")=0,"",SUMIFS(BD!$O$3:$O$5001,BD!$A$3:$A$5001,AH$3,BD!$B$3:$B$5001,$A$469)))</f>
        <v/>
      </c>
      <c r="AI481" s="254" t="str">
        <f>IF(AI$3="","",IF(COUNTIFS(BD!$A$3:$A$5001,AI$3,BD!$B$3:$B$5001,$A$469,BD!$O$3:$O$5001,"&lt;&gt;")=0,"",SUMIFS(BD!$O$3:$O$5001,BD!$A$3:$A$5001,AI$3,BD!$B$3:$B$5001,$A$469)))</f>
        <v/>
      </c>
      <c r="AJ481" s="255" t="str">
        <f>IF(AJ$3="","",IF(COUNTIFS(BD!$A$3:$A$5001,AJ$3,BD!$B$3:$B$5001,$A$469,BD!$O$3:$O$5001,"&lt;&gt;")=0,"",SUMIFS(BD!$O$3:$O$5001,BD!$A$3:$A$5001,AJ$3,BD!$B$3:$B$5001,$A$469)))</f>
        <v/>
      </c>
      <c r="AK481" s="256" t="str">
        <f>IF(COUNT(F481:AJ481)=0,"",SUM(F481:AJ481))</f>
        <v/>
      </c>
    </row>
    <row r="482" ht="15.75" customHeight="1" hidden="1">
      <c r="A482" s="244"/>
      <c r="B482" s="261"/>
      <c r="C482" s="250" t="inlineStr">
        <is>
          <t xml:space="preserve">Linhas NF</t>
        </is>
      </c>
      <c r="D482" s="251" t="str">
        <f>IFERROR(1/(1/INDEX(BD!$AJ$36:$BD$36,MATCH($A$469,BD!$AJ$22:$BD$22,0))),"")</f>
        <v/>
      </c>
      <c r="E482" s="252"/>
      <c r="F482" s="253" t="str">
        <f>IF(F$3="","",IF(COUNTIFS(BD!$A$3:$A$5001,F$3,BD!$B$3:$B$5001,$A$469,BD!$P$3:$P$5001,"&lt;&gt;")=0,"",SUMIFS(BD!$P$3:$P$5001,BD!$A$3:$A$5001,F$3,BD!$B$3:$B$5001,$A$469)))</f>
        <v/>
      </c>
      <c r="G482" s="254" t="str">
        <f>IF(G$3="","",IF(COUNTIFS(BD!$A$3:$A$5001,G$3,BD!$B$3:$B$5001,$A$469,BD!$P$3:$P$5001,"&lt;&gt;")=0,"",SUMIFS(BD!$P$3:$P$5001,BD!$A$3:$A$5001,G$3,BD!$B$3:$B$5001,$A$469)))</f>
        <v/>
      </c>
      <c r="H482" s="254" t="str">
        <f>IF(H$3="","",IF(COUNTIFS(BD!$A$3:$A$5001,H$3,BD!$B$3:$B$5001,$A$469,BD!$P$3:$P$5001,"&lt;&gt;")=0,"",SUMIFS(BD!$P$3:$P$5001,BD!$A$3:$A$5001,H$3,BD!$B$3:$B$5001,$A$469)))</f>
        <v/>
      </c>
      <c r="I482" s="254" t="str">
        <f>IF(I$3="","",IF(COUNTIFS(BD!$A$3:$A$5001,I$3,BD!$B$3:$B$5001,$A$469,BD!$P$3:$P$5001,"&lt;&gt;")=0,"",SUMIFS(BD!$P$3:$P$5001,BD!$A$3:$A$5001,I$3,BD!$B$3:$B$5001,$A$469)))</f>
        <v/>
      </c>
      <c r="J482" s="254" t="str">
        <f>IF(J$3="","",IF(COUNTIFS(BD!$A$3:$A$5001,J$3,BD!$B$3:$B$5001,$A$469,BD!$P$3:$P$5001,"&lt;&gt;")=0,"",SUMIFS(BD!$P$3:$P$5001,BD!$A$3:$A$5001,J$3,BD!$B$3:$B$5001,$A$469)))</f>
        <v/>
      </c>
      <c r="K482" s="254" t="str">
        <f>IF(K$3="","",IF(COUNTIFS(BD!$A$3:$A$5001,K$3,BD!$B$3:$B$5001,$A$469,BD!$P$3:$P$5001,"&lt;&gt;")=0,"",SUMIFS(BD!$P$3:$P$5001,BD!$A$3:$A$5001,K$3,BD!$B$3:$B$5001,$A$469)))</f>
        <v/>
      </c>
      <c r="L482" s="254" t="str">
        <f>IF(L$3="","",IF(COUNTIFS(BD!$A$3:$A$5001,L$3,BD!$B$3:$B$5001,$A$469,BD!$P$3:$P$5001,"&lt;&gt;")=0,"",SUMIFS(BD!$P$3:$P$5001,BD!$A$3:$A$5001,L$3,BD!$B$3:$B$5001,$A$469)))</f>
        <v/>
      </c>
      <c r="M482" s="254" t="str">
        <f>IF(M$3="","",IF(COUNTIFS(BD!$A$3:$A$5001,M$3,BD!$B$3:$B$5001,$A$469,BD!$P$3:$P$5001,"&lt;&gt;")=0,"",SUMIFS(BD!$P$3:$P$5001,BD!$A$3:$A$5001,M$3,BD!$B$3:$B$5001,$A$469)))</f>
        <v/>
      </c>
      <c r="N482" s="254" t="str">
        <f>IF(N$3="","",IF(COUNTIFS(BD!$A$3:$A$5001,N$3,BD!$B$3:$B$5001,$A$469,BD!$P$3:$P$5001,"&lt;&gt;")=0,"",SUMIFS(BD!$P$3:$P$5001,BD!$A$3:$A$5001,N$3,BD!$B$3:$B$5001,$A$469)))</f>
        <v/>
      </c>
      <c r="O482" s="254" t="str">
        <f>IF(O$3="","",IF(COUNTIFS(BD!$A$3:$A$5001,O$3,BD!$B$3:$B$5001,$A$469,BD!$P$3:$P$5001,"&lt;&gt;")=0,"",SUMIFS(BD!$P$3:$P$5001,BD!$A$3:$A$5001,O$3,BD!$B$3:$B$5001,$A$469)))</f>
        <v/>
      </c>
      <c r="P482" s="254" t="str">
        <f>IF(P$3="","",IF(COUNTIFS(BD!$A$3:$A$5001,P$3,BD!$B$3:$B$5001,$A$469,BD!$P$3:$P$5001,"&lt;&gt;")=0,"",SUMIFS(BD!$P$3:$P$5001,BD!$A$3:$A$5001,P$3,BD!$B$3:$B$5001,$A$469)))</f>
        <v/>
      </c>
      <c r="Q482" s="254" t="str">
        <f>IF(Q$3="","",IF(COUNTIFS(BD!$A$3:$A$5001,Q$3,BD!$B$3:$B$5001,$A$469,BD!$P$3:$P$5001,"&lt;&gt;")=0,"",SUMIFS(BD!$P$3:$P$5001,BD!$A$3:$A$5001,Q$3,BD!$B$3:$B$5001,$A$469)))</f>
        <v/>
      </c>
      <c r="R482" s="254" t="str">
        <f>IF(R$3="","",IF(COUNTIFS(BD!$A$3:$A$5001,R$3,BD!$B$3:$B$5001,$A$469,BD!$P$3:$P$5001,"&lt;&gt;")=0,"",SUMIFS(BD!$P$3:$P$5001,BD!$A$3:$A$5001,R$3,BD!$B$3:$B$5001,$A$469)))</f>
        <v/>
      </c>
      <c r="S482" s="254" t="str">
        <f>IF(S$3="","",IF(COUNTIFS(BD!$A$3:$A$5001,S$3,BD!$B$3:$B$5001,$A$469,BD!$P$3:$P$5001,"&lt;&gt;")=0,"",SUMIFS(BD!$P$3:$P$5001,BD!$A$3:$A$5001,S$3,BD!$B$3:$B$5001,$A$469)))</f>
        <v/>
      </c>
      <c r="T482" s="254" t="str">
        <f>IF(T$3="","",IF(COUNTIFS(BD!$A$3:$A$5001,T$3,BD!$B$3:$B$5001,$A$469,BD!$P$3:$P$5001,"&lt;&gt;")=0,"",SUMIFS(BD!$P$3:$P$5001,BD!$A$3:$A$5001,T$3,BD!$B$3:$B$5001,$A$469)))</f>
        <v/>
      </c>
      <c r="U482" s="254" t="str">
        <f>IF(U$3="","",IF(COUNTIFS(BD!$A$3:$A$5001,U$3,BD!$B$3:$B$5001,$A$469,BD!$P$3:$P$5001,"&lt;&gt;")=0,"",SUMIFS(BD!$P$3:$P$5001,BD!$A$3:$A$5001,U$3,BD!$B$3:$B$5001,$A$469)))</f>
        <v/>
      </c>
      <c r="V482" s="254" t="str">
        <f>IF(V$3="","",IF(COUNTIFS(BD!$A$3:$A$5001,V$3,BD!$B$3:$B$5001,$A$469,BD!$P$3:$P$5001,"&lt;&gt;")=0,"",SUMIFS(BD!$P$3:$P$5001,BD!$A$3:$A$5001,V$3,BD!$B$3:$B$5001,$A$469)))</f>
        <v/>
      </c>
      <c r="W482" s="254" t="str">
        <f>IF(W$3="","",IF(COUNTIFS(BD!$A$3:$A$5001,W$3,BD!$B$3:$B$5001,$A$469,BD!$P$3:$P$5001,"&lt;&gt;")=0,"",SUMIFS(BD!$P$3:$P$5001,BD!$A$3:$A$5001,W$3,BD!$B$3:$B$5001,$A$469)))</f>
        <v/>
      </c>
      <c r="X482" s="254" t="str">
        <f>IF(X$3="","",IF(COUNTIFS(BD!$A$3:$A$5001,X$3,BD!$B$3:$B$5001,$A$469,BD!$P$3:$P$5001,"&lt;&gt;")=0,"",SUMIFS(BD!$P$3:$P$5001,BD!$A$3:$A$5001,X$3,BD!$B$3:$B$5001,$A$469)))</f>
        <v/>
      </c>
      <c r="Y482" s="254" t="str">
        <f>IF(Y$3="","",IF(COUNTIFS(BD!$A$3:$A$5001,Y$3,BD!$B$3:$B$5001,$A$469,BD!$P$3:$P$5001,"&lt;&gt;")=0,"",SUMIFS(BD!$P$3:$P$5001,BD!$A$3:$A$5001,Y$3,BD!$B$3:$B$5001,$A$469)))</f>
        <v/>
      </c>
      <c r="Z482" s="254" t="str">
        <f>IF(Z$3="","",IF(COUNTIFS(BD!$A$3:$A$5001,Z$3,BD!$B$3:$B$5001,$A$469,BD!$P$3:$P$5001,"&lt;&gt;")=0,"",SUMIFS(BD!$P$3:$P$5001,BD!$A$3:$A$5001,Z$3,BD!$B$3:$B$5001,$A$469)))</f>
        <v/>
      </c>
      <c r="AA482" s="254" t="str">
        <f>IF(AA$3="","",IF(COUNTIFS(BD!$A$3:$A$5001,AA$3,BD!$B$3:$B$5001,$A$469,BD!$P$3:$P$5001,"&lt;&gt;")=0,"",SUMIFS(BD!$P$3:$P$5001,BD!$A$3:$A$5001,AA$3,BD!$B$3:$B$5001,$A$469)))</f>
        <v/>
      </c>
      <c r="AB482" s="254" t="str">
        <f>IF(AB$3="","",IF(COUNTIFS(BD!$A$3:$A$5001,AB$3,BD!$B$3:$B$5001,$A$469,BD!$P$3:$P$5001,"&lt;&gt;")=0,"",SUMIFS(BD!$P$3:$P$5001,BD!$A$3:$A$5001,AB$3,BD!$B$3:$B$5001,$A$469)))</f>
        <v/>
      </c>
      <c r="AC482" s="254" t="str">
        <f>IF(AC$3="","",IF(COUNTIFS(BD!$A$3:$A$5001,AC$3,BD!$B$3:$B$5001,$A$469,BD!$P$3:$P$5001,"&lt;&gt;")=0,"",SUMIFS(BD!$P$3:$P$5001,BD!$A$3:$A$5001,AC$3,BD!$B$3:$B$5001,$A$469)))</f>
        <v/>
      </c>
      <c r="AD482" s="254" t="str">
        <f>IF(AD$3="","",IF(COUNTIFS(BD!$A$3:$A$5001,AD$3,BD!$B$3:$B$5001,$A$469,BD!$P$3:$P$5001,"&lt;&gt;")=0,"",SUMIFS(BD!$P$3:$P$5001,BD!$A$3:$A$5001,AD$3,BD!$B$3:$B$5001,$A$469)))</f>
        <v/>
      </c>
      <c r="AE482" s="254" t="str">
        <f>IF(AE$3="","",IF(COUNTIFS(BD!$A$3:$A$5001,AE$3,BD!$B$3:$B$5001,$A$469,BD!$P$3:$P$5001,"&lt;&gt;")=0,"",SUMIFS(BD!$P$3:$P$5001,BD!$A$3:$A$5001,AE$3,BD!$B$3:$B$5001,$A$469)))</f>
        <v/>
      </c>
      <c r="AF482" s="254" t="str">
        <f>IF(AF$3="","",IF(COUNTIFS(BD!$A$3:$A$5001,AF$3,BD!$B$3:$B$5001,$A$469,BD!$P$3:$P$5001,"&lt;&gt;")=0,"",SUMIFS(BD!$P$3:$P$5001,BD!$A$3:$A$5001,AF$3,BD!$B$3:$B$5001,$A$469)))</f>
        <v/>
      </c>
      <c r="AG482" s="254" t="str">
        <f>IF(AG$3="","",IF(COUNTIFS(BD!$A$3:$A$5001,AG$3,BD!$B$3:$B$5001,$A$469,BD!$P$3:$P$5001,"&lt;&gt;")=0,"",SUMIFS(BD!$P$3:$P$5001,BD!$A$3:$A$5001,AG$3,BD!$B$3:$B$5001,$A$469)))</f>
        <v/>
      </c>
      <c r="AH482" s="254" t="str">
        <f>IF(AH$3="","",IF(COUNTIFS(BD!$A$3:$A$5001,AH$3,BD!$B$3:$B$5001,$A$469,BD!$P$3:$P$5001,"&lt;&gt;")=0,"",SUMIFS(BD!$P$3:$P$5001,BD!$A$3:$A$5001,AH$3,BD!$B$3:$B$5001,$A$469)))</f>
        <v/>
      </c>
      <c r="AI482" s="254" t="str">
        <f>IF(AI$3="","",IF(COUNTIFS(BD!$A$3:$A$5001,AI$3,BD!$B$3:$B$5001,$A$469,BD!$P$3:$P$5001,"&lt;&gt;")=0,"",SUMIFS(BD!$P$3:$P$5001,BD!$A$3:$A$5001,AI$3,BD!$B$3:$B$5001,$A$469)))</f>
        <v/>
      </c>
      <c r="AJ482" s="255" t="str">
        <f>IF(AJ$3="","",IF(COUNTIFS(BD!$A$3:$A$5001,AJ$3,BD!$B$3:$B$5001,$A$469,BD!$P$3:$P$5001,"&lt;&gt;")=0,"",SUMIFS(BD!$P$3:$P$5001,BD!$A$3:$A$5001,AJ$3,BD!$B$3:$B$5001,$A$469)))</f>
        <v/>
      </c>
      <c r="AK482" s="256" t="str">
        <f>IF(COUNT(F482:AJ482)=0,"",SUM(F482:AJ482))</f>
        <v/>
      </c>
    </row>
    <row r="483" ht="15.75" customHeight="1" hidden="1">
      <c r="A483" s="244"/>
      <c r="B483" s="261"/>
      <c r="C483" s="250" t="inlineStr">
        <is>
          <t xml:space="preserve">Caixas Expedidas</t>
        </is>
      </c>
      <c r="D483" s="251" t="str">
        <f>IFERROR(1/(1/INDEX(BD!$AJ$37:$BD$37,MATCH($A$469,BD!$AJ$22:$BD$22,0))),"")</f>
        <v/>
      </c>
      <c r="E483" s="252"/>
      <c r="F483" s="253" t="str">
        <f>IF(F$3="","",IF(COUNTIFS(BD!$A$3:$A$5001,F$3,BD!$B$3:$B$5001,$A$469,BD!$Q$3:$Q$5001,"&lt;&gt;")=0,"",SUMIFS(BD!$Q$3:$Q$5001,BD!$A$3:$A$5001,F$3,BD!$B$3:$B$5001,$A$469)))</f>
        <v/>
      </c>
      <c r="G483" s="254" t="str">
        <f>IF(G$3="","",IF(COUNTIFS(BD!$A$3:$A$5001,G$3,BD!$B$3:$B$5001,$A$469,BD!$Q$3:$Q$5001,"&lt;&gt;")=0,"",SUMIFS(BD!$Q$3:$Q$5001,BD!$A$3:$A$5001,G$3,BD!$B$3:$B$5001,$A$469)))</f>
        <v/>
      </c>
      <c r="H483" s="254" t="str">
        <f>IF(H$3="","",IF(COUNTIFS(BD!$A$3:$A$5001,H$3,BD!$B$3:$B$5001,$A$469,BD!$Q$3:$Q$5001,"&lt;&gt;")=0,"",SUMIFS(BD!$Q$3:$Q$5001,BD!$A$3:$A$5001,H$3,BD!$B$3:$B$5001,$A$469)))</f>
        <v/>
      </c>
      <c r="I483" s="254" t="str">
        <f>IF(I$3="","",IF(COUNTIFS(BD!$A$3:$A$5001,I$3,BD!$B$3:$B$5001,$A$469,BD!$Q$3:$Q$5001,"&lt;&gt;")=0,"",SUMIFS(BD!$Q$3:$Q$5001,BD!$A$3:$A$5001,I$3,BD!$B$3:$B$5001,$A$469)))</f>
        <v/>
      </c>
      <c r="J483" s="254" t="str">
        <f>IF(J$3="","",IF(COUNTIFS(BD!$A$3:$A$5001,J$3,BD!$B$3:$B$5001,$A$469,BD!$Q$3:$Q$5001,"&lt;&gt;")=0,"",SUMIFS(BD!$Q$3:$Q$5001,BD!$A$3:$A$5001,J$3,BD!$B$3:$B$5001,$A$469)))</f>
        <v/>
      </c>
      <c r="K483" s="254" t="str">
        <f>IF(K$3="","",IF(COUNTIFS(BD!$A$3:$A$5001,K$3,BD!$B$3:$B$5001,$A$469,BD!$Q$3:$Q$5001,"&lt;&gt;")=0,"",SUMIFS(BD!$Q$3:$Q$5001,BD!$A$3:$A$5001,K$3,BD!$B$3:$B$5001,$A$469)))</f>
        <v/>
      </c>
      <c r="L483" s="254" t="str">
        <f>IF(L$3="","",IF(COUNTIFS(BD!$A$3:$A$5001,L$3,BD!$B$3:$B$5001,$A$469,BD!$Q$3:$Q$5001,"&lt;&gt;")=0,"",SUMIFS(BD!$Q$3:$Q$5001,BD!$A$3:$A$5001,L$3,BD!$B$3:$B$5001,$A$469)))</f>
        <v/>
      </c>
      <c r="M483" s="254" t="str">
        <f>IF(M$3="","",IF(COUNTIFS(BD!$A$3:$A$5001,M$3,BD!$B$3:$B$5001,$A$469,BD!$Q$3:$Q$5001,"&lt;&gt;")=0,"",SUMIFS(BD!$Q$3:$Q$5001,BD!$A$3:$A$5001,M$3,BD!$B$3:$B$5001,$A$469)))</f>
        <v/>
      </c>
      <c r="N483" s="254" t="str">
        <f>IF(N$3="","",IF(COUNTIFS(BD!$A$3:$A$5001,N$3,BD!$B$3:$B$5001,$A$469,BD!$Q$3:$Q$5001,"&lt;&gt;")=0,"",SUMIFS(BD!$Q$3:$Q$5001,BD!$A$3:$A$5001,N$3,BD!$B$3:$B$5001,$A$469)))</f>
        <v/>
      </c>
      <c r="O483" s="254" t="str">
        <f>IF(O$3="","",IF(COUNTIFS(BD!$A$3:$A$5001,O$3,BD!$B$3:$B$5001,$A$469,BD!$Q$3:$Q$5001,"&lt;&gt;")=0,"",SUMIFS(BD!$Q$3:$Q$5001,BD!$A$3:$A$5001,O$3,BD!$B$3:$B$5001,$A$469)))</f>
        <v/>
      </c>
      <c r="P483" s="254" t="str">
        <f>IF(P$3="","",IF(COUNTIFS(BD!$A$3:$A$5001,P$3,BD!$B$3:$B$5001,$A$469,BD!$Q$3:$Q$5001,"&lt;&gt;")=0,"",SUMIFS(BD!$Q$3:$Q$5001,BD!$A$3:$A$5001,P$3,BD!$B$3:$B$5001,$A$469)))</f>
        <v/>
      </c>
      <c r="Q483" s="254" t="str">
        <f>IF(Q$3="","",IF(COUNTIFS(BD!$A$3:$A$5001,Q$3,BD!$B$3:$B$5001,$A$469,BD!$Q$3:$Q$5001,"&lt;&gt;")=0,"",SUMIFS(BD!$Q$3:$Q$5001,BD!$A$3:$A$5001,Q$3,BD!$B$3:$B$5001,$A$469)))</f>
        <v/>
      </c>
      <c r="R483" s="254" t="str">
        <f>IF(R$3="","",IF(COUNTIFS(BD!$A$3:$A$5001,R$3,BD!$B$3:$B$5001,$A$469,BD!$Q$3:$Q$5001,"&lt;&gt;")=0,"",SUMIFS(BD!$Q$3:$Q$5001,BD!$A$3:$A$5001,R$3,BD!$B$3:$B$5001,$A$469)))</f>
        <v/>
      </c>
      <c r="S483" s="254" t="str">
        <f>IF(S$3="","",IF(COUNTIFS(BD!$A$3:$A$5001,S$3,BD!$B$3:$B$5001,$A$469,BD!$Q$3:$Q$5001,"&lt;&gt;")=0,"",SUMIFS(BD!$Q$3:$Q$5001,BD!$A$3:$A$5001,S$3,BD!$B$3:$B$5001,$A$469)))</f>
        <v/>
      </c>
      <c r="T483" s="254" t="str">
        <f>IF(T$3="","",IF(COUNTIFS(BD!$A$3:$A$5001,T$3,BD!$B$3:$B$5001,$A$469,BD!$Q$3:$Q$5001,"&lt;&gt;")=0,"",SUMIFS(BD!$Q$3:$Q$5001,BD!$A$3:$A$5001,T$3,BD!$B$3:$B$5001,$A$469)))</f>
        <v/>
      </c>
      <c r="U483" s="254" t="str">
        <f>IF(U$3="","",IF(COUNTIFS(BD!$A$3:$A$5001,U$3,BD!$B$3:$B$5001,$A$469,BD!$Q$3:$Q$5001,"&lt;&gt;")=0,"",SUMIFS(BD!$Q$3:$Q$5001,BD!$A$3:$A$5001,U$3,BD!$B$3:$B$5001,$A$469)))</f>
        <v/>
      </c>
      <c r="V483" s="254" t="str">
        <f>IF(V$3="","",IF(COUNTIFS(BD!$A$3:$A$5001,V$3,BD!$B$3:$B$5001,$A$469,BD!$Q$3:$Q$5001,"&lt;&gt;")=0,"",SUMIFS(BD!$Q$3:$Q$5001,BD!$A$3:$A$5001,V$3,BD!$B$3:$B$5001,$A$469)))</f>
        <v/>
      </c>
      <c r="W483" s="254" t="str">
        <f>IF(W$3="","",IF(COUNTIFS(BD!$A$3:$A$5001,W$3,BD!$B$3:$B$5001,$A$469,BD!$Q$3:$Q$5001,"&lt;&gt;")=0,"",SUMIFS(BD!$Q$3:$Q$5001,BD!$A$3:$A$5001,W$3,BD!$B$3:$B$5001,$A$469)))</f>
        <v/>
      </c>
      <c r="X483" s="254" t="str">
        <f>IF(X$3="","",IF(COUNTIFS(BD!$A$3:$A$5001,X$3,BD!$B$3:$B$5001,$A$469,BD!$Q$3:$Q$5001,"&lt;&gt;")=0,"",SUMIFS(BD!$Q$3:$Q$5001,BD!$A$3:$A$5001,X$3,BD!$B$3:$B$5001,$A$469)))</f>
        <v/>
      </c>
      <c r="Y483" s="254" t="str">
        <f>IF(Y$3="","",IF(COUNTIFS(BD!$A$3:$A$5001,Y$3,BD!$B$3:$B$5001,$A$469,BD!$Q$3:$Q$5001,"&lt;&gt;")=0,"",SUMIFS(BD!$Q$3:$Q$5001,BD!$A$3:$A$5001,Y$3,BD!$B$3:$B$5001,$A$469)))</f>
        <v/>
      </c>
      <c r="Z483" s="254" t="str">
        <f>IF(Z$3="","",IF(COUNTIFS(BD!$A$3:$A$5001,Z$3,BD!$B$3:$B$5001,$A$469,BD!$Q$3:$Q$5001,"&lt;&gt;")=0,"",SUMIFS(BD!$Q$3:$Q$5001,BD!$A$3:$A$5001,Z$3,BD!$B$3:$B$5001,$A$469)))</f>
        <v/>
      </c>
      <c r="AA483" s="254" t="str">
        <f>IF(AA$3="","",IF(COUNTIFS(BD!$A$3:$A$5001,AA$3,BD!$B$3:$B$5001,$A$469,BD!$Q$3:$Q$5001,"&lt;&gt;")=0,"",SUMIFS(BD!$Q$3:$Q$5001,BD!$A$3:$A$5001,AA$3,BD!$B$3:$B$5001,$A$469)))</f>
        <v/>
      </c>
      <c r="AB483" s="254" t="str">
        <f>IF(AB$3="","",IF(COUNTIFS(BD!$A$3:$A$5001,AB$3,BD!$B$3:$B$5001,$A$469,BD!$Q$3:$Q$5001,"&lt;&gt;")=0,"",SUMIFS(BD!$Q$3:$Q$5001,BD!$A$3:$A$5001,AB$3,BD!$B$3:$B$5001,$A$469)))</f>
        <v/>
      </c>
      <c r="AC483" s="254" t="str">
        <f>IF(AC$3="","",IF(COUNTIFS(BD!$A$3:$A$5001,AC$3,BD!$B$3:$B$5001,$A$469,BD!$Q$3:$Q$5001,"&lt;&gt;")=0,"",SUMIFS(BD!$Q$3:$Q$5001,BD!$A$3:$A$5001,AC$3,BD!$B$3:$B$5001,$A$469)))</f>
        <v/>
      </c>
      <c r="AD483" s="254" t="str">
        <f>IF(AD$3="","",IF(COUNTIFS(BD!$A$3:$A$5001,AD$3,BD!$B$3:$B$5001,$A$469,BD!$Q$3:$Q$5001,"&lt;&gt;")=0,"",SUMIFS(BD!$Q$3:$Q$5001,BD!$A$3:$A$5001,AD$3,BD!$B$3:$B$5001,$A$469)))</f>
        <v/>
      </c>
      <c r="AE483" s="254" t="str">
        <f>IF(AE$3="","",IF(COUNTIFS(BD!$A$3:$A$5001,AE$3,BD!$B$3:$B$5001,$A$469,BD!$Q$3:$Q$5001,"&lt;&gt;")=0,"",SUMIFS(BD!$Q$3:$Q$5001,BD!$A$3:$A$5001,AE$3,BD!$B$3:$B$5001,$A$469)))</f>
        <v/>
      </c>
      <c r="AF483" s="254" t="str">
        <f>IF(AF$3="","",IF(COUNTIFS(BD!$A$3:$A$5001,AF$3,BD!$B$3:$B$5001,$A$469,BD!$Q$3:$Q$5001,"&lt;&gt;")=0,"",SUMIFS(BD!$Q$3:$Q$5001,BD!$A$3:$A$5001,AF$3,BD!$B$3:$B$5001,$A$469)))</f>
        <v/>
      </c>
      <c r="AG483" s="254" t="str">
        <f>IF(AG$3="","",IF(COUNTIFS(BD!$A$3:$A$5001,AG$3,BD!$B$3:$B$5001,$A$469,BD!$Q$3:$Q$5001,"&lt;&gt;")=0,"",SUMIFS(BD!$Q$3:$Q$5001,BD!$A$3:$A$5001,AG$3,BD!$B$3:$B$5001,$A$469)))</f>
        <v/>
      </c>
      <c r="AH483" s="254" t="str">
        <f>IF(AH$3="","",IF(COUNTIFS(BD!$A$3:$A$5001,AH$3,BD!$B$3:$B$5001,$A$469,BD!$Q$3:$Q$5001,"&lt;&gt;")=0,"",SUMIFS(BD!$Q$3:$Q$5001,BD!$A$3:$A$5001,AH$3,BD!$B$3:$B$5001,$A$469)))</f>
        <v/>
      </c>
      <c r="AI483" s="254" t="str">
        <f>IF(AI$3="","",IF(COUNTIFS(BD!$A$3:$A$5001,AI$3,BD!$B$3:$B$5001,$A$469,BD!$Q$3:$Q$5001,"&lt;&gt;")=0,"",SUMIFS(BD!$Q$3:$Q$5001,BD!$A$3:$A$5001,AI$3,BD!$B$3:$B$5001,$A$469)))</f>
        <v/>
      </c>
      <c r="AJ483" s="255" t="str">
        <f>IF(AJ$3="","",IF(COUNTIFS(BD!$A$3:$A$5001,AJ$3,BD!$B$3:$B$5001,$A$469,BD!$Q$3:$Q$5001,"&lt;&gt;")=0,"",SUMIFS(BD!$Q$3:$Q$5001,BD!$A$3:$A$5001,AJ$3,BD!$B$3:$B$5001,$A$469)))</f>
        <v/>
      </c>
      <c r="AK483" s="256" t="str">
        <f>IF(COUNT(F483:AJ483)=0,"",SUM(F483:AJ483))</f>
        <v/>
      </c>
    </row>
    <row r="484" ht="15.75" customHeight="1" hidden="1">
      <c r="A484" s="244"/>
      <c r="B484" s="261"/>
      <c r="C484" s="250" t="inlineStr">
        <is>
          <t xml:space="preserve">Pallets Movimentados</t>
        </is>
      </c>
      <c r="D484" s="251" t="str">
        <f>IFERROR(1/(1/INDEX(BD!$AJ$38:$BD$38,MATCH($A$469,BD!$AJ$22:$BD$22,0))),"")</f>
        <v/>
      </c>
      <c r="E484" s="252"/>
      <c r="F484" s="253" t="str">
        <f>IF(F$3="","",IF(COUNTIFS(BD!$A$3:$A$5001,F$3,BD!$B$3:$B$5001,$A$469,BD!$R$3:$R$5001,"&lt;&gt;")=0,"",SUMIFS(BD!$R$3:$R$5001,BD!$A$3:$A$5001,F$3,BD!$B$3:$B$5001,$A$469)))</f>
        <v/>
      </c>
      <c r="G484" s="254" t="str">
        <f>IF(G$3="","",IF(COUNTIFS(BD!$A$3:$A$5001,G$3,BD!$B$3:$B$5001,$A$469,BD!$R$3:$R$5001,"&lt;&gt;")=0,"",SUMIFS(BD!$R$3:$R$5001,BD!$A$3:$A$5001,G$3,BD!$B$3:$B$5001,$A$469)))</f>
        <v/>
      </c>
      <c r="H484" s="254" t="str">
        <f>IF(H$3="","",IF(COUNTIFS(BD!$A$3:$A$5001,H$3,BD!$B$3:$B$5001,$A$469,BD!$R$3:$R$5001,"&lt;&gt;")=0,"",SUMIFS(BD!$R$3:$R$5001,BD!$A$3:$A$5001,H$3,BD!$B$3:$B$5001,$A$469)))</f>
        <v/>
      </c>
      <c r="I484" s="254" t="str">
        <f>IF(I$3="","",IF(COUNTIFS(BD!$A$3:$A$5001,I$3,BD!$B$3:$B$5001,$A$469,BD!$R$3:$R$5001,"&lt;&gt;")=0,"",SUMIFS(BD!$R$3:$R$5001,BD!$A$3:$A$5001,I$3,BD!$B$3:$B$5001,$A$469)))</f>
        <v/>
      </c>
      <c r="J484" s="254" t="str">
        <f>IF(J$3="","",IF(COUNTIFS(BD!$A$3:$A$5001,J$3,BD!$B$3:$B$5001,$A$469,BD!$R$3:$R$5001,"&lt;&gt;")=0,"",SUMIFS(BD!$R$3:$R$5001,BD!$A$3:$A$5001,J$3,BD!$B$3:$B$5001,$A$469)))</f>
        <v/>
      </c>
      <c r="K484" s="254" t="str">
        <f>IF(K$3="","",IF(COUNTIFS(BD!$A$3:$A$5001,K$3,BD!$B$3:$B$5001,$A$469,BD!$R$3:$R$5001,"&lt;&gt;")=0,"",SUMIFS(BD!$R$3:$R$5001,BD!$A$3:$A$5001,K$3,BD!$B$3:$B$5001,$A$469)))</f>
        <v/>
      </c>
      <c r="L484" s="254" t="str">
        <f>IF(L$3="","",IF(COUNTIFS(BD!$A$3:$A$5001,L$3,BD!$B$3:$B$5001,$A$469,BD!$R$3:$R$5001,"&lt;&gt;")=0,"",SUMIFS(BD!$R$3:$R$5001,BD!$A$3:$A$5001,L$3,BD!$B$3:$B$5001,$A$469)))</f>
        <v/>
      </c>
      <c r="M484" s="254" t="str">
        <f>IF(M$3="","",IF(COUNTIFS(BD!$A$3:$A$5001,M$3,BD!$B$3:$B$5001,$A$469,BD!$R$3:$R$5001,"&lt;&gt;")=0,"",SUMIFS(BD!$R$3:$R$5001,BD!$A$3:$A$5001,M$3,BD!$B$3:$B$5001,$A$469)))</f>
        <v/>
      </c>
      <c r="N484" s="254" t="str">
        <f>IF(N$3="","",IF(COUNTIFS(BD!$A$3:$A$5001,N$3,BD!$B$3:$B$5001,$A$469,BD!$R$3:$R$5001,"&lt;&gt;")=0,"",SUMIFS(BD!$R$3:$R$5001,BD!$A$3:$A$5001,N$3,BD!$B$3:$B$5001,$A$469)))</f>
        <v/>
      </c>
      <c r="O484" s="254" t="str">
        <f>IF(O$3="","",IF(COUNTIFS(BD!$A$3:$A$5001,O$3,BD!$B$3:$B$5001,$A$469,BD!$R$3:$R$5001,"&lt;&gt;")=0,"",SUMIFS(BD!$R$3:$R$5001,BD!$A$3:$A$5001,O$3,BD!$B$3:$B$5001,$A$469)))</f>
        <v/>
      </c>
      <c r="P484" s="254" t="str">
        <f>IF(P$3="","",IF(COUNTIFS(BD!$A$3:$A$5001,P$3,BD!$B$3:$B$5001,$A$469,BD!$R$3:$R$5001,"&lt;&gt;")=0,"",SUMIFS(BD!$R$3:$R$5001,BD!$A$3:$A$5001,P$3,BD!$B$3:$B$5001,$A$469)))</f>
        <v/>
      </c>
      <c r="Q484" s="254" t="str">
        <f>IF(Q$3="","",IF(COUNTIFS(BD!$A$3:$A$5001,Q$3,BD!$B$3:$B$5001,$A$469,BD!$R$3:$R$5001,"&lt;&gt;")=0,"",SUMIFS(BD!$R$3:$R$5001,BD!$A$3:$A$5001,Q$3,BD!$B$3:$B$5001,$A$469)))</f>
        <v/>
      </c>
      <c r="R484" s="254" t="str">
        <f>IF(R$3="","",IF(COUNTIFS(BD!$A$3:$A$5001,R$3,BD!$B$3:$B$5001,$A$469,BD!$R$3:$R$5001,"&lt;&gt;")=0,"",SUMIFS(BD!$R$3:$R$5001,BD!$A$3:$A$5001,R$3,BD!$B$3:$B$5001,$A$469)))</f>
        <v/>
      </c>
      <c r="S484" s="254" t="str">
        <f>IF(S$3="","",IF(COUNTIFS(BD!$A$3:$A$5001,S$3,BD!$B$3:$B$5001,$A$469,BD!$R$3:$R$5001,"&lt;&gt;")=0,"",SUMIFS(BD!$R$3:$R$5001,BD!$A$3:$A$5001,S$3,BD!$B$3:$B$5001,$A$469)))</f>
        <v/>
      </c>
      <c r="T484" s="254" t="str">
        <f>IF(T$3="","",IF(COUNTIFS(BD!$A$3:$A$5001,T$3,BD!$B$3:$B$5001,$A$469,BD!$R$3:$R$5001,"&lt;&gt;")=0,"",SUMIFS(BD!$R$3:$R$5001,BD!$A$3:$A$5001,T$3,BD!$B$3:$B$5001,$A$469)))</f>
        <v/>
      </c>
      <c r="U484" s="254" t="str">
        <f>IF(U$3="","",IF(COUNTIFS(BD!$A$3:$A$5001,U$3,BD!$B$3:$B$5001,$A$469,BD!$R$3:$R$5001,"&lt;&gt;")=0,"",SUMIFS(BD!$R$3:$R$5001,BD!$A$3:$A$5001,U$3,BD!$B$3:$B$5001,$A$469)))</f>
        <v/>
      </c>
      <c r="V484" s="254" t="str">
        <f>IF(V$3="","",IF(COUNTIFS(BD!$A$3:$A$5001,V$3,BD!$B$3:$B$5001,$A$469,BD!$R$3:$R$5001,"&lt;&gt;")=0,"",SUMIFS(BD!$R$3:$R$5001,BD!$A$3:$A$5001,V$3,BD!$B$3:$B$5001,$A$469)))</f>
        <v/>
      </c>
      <c r="W484" s="254" t="str">
        <f>IF(W$3="","",IF(COUNTIFS(BD!$A$3:$A$5001,W$3,BD!$B$3:$B$5001,$A$469,BD!$R$3:$R$5001,"&lt;&gt;")=0,"",SUMIFS(BD!$R$3:$R$5001,BD!$A$3:$A$5001,W$3,BD!$B$3:$B$5001,$A$469)))</f>
        <v/>
      </c>
      <c r="X484" s="254" t="str">
        <f>IF(X$3="","",IF(COUNTIFS(BD!$A$3:$A$5001,X$3,BD!$B$3:$B$5001,$A$469,BD!$R$3:$R$5001,"&lt;&gt;")=0,"",SUMIFS(BD!$R$3:$R$5001,BD!$A$3:$A$5001,X$3,BD!$B$3:$B$5001,$A$469)))</f>
        <v/>
      </c>
      <c r="Y484" s="254" t="str">
        <f>IF(Y$3="","",IF(COUNTIFS(BD!$A$3:$A$5001,Y$3,BD!$B$3:$B$5001,$A$469,BD!$R$3:$R$5001,"&lt;&gt;")=0,"",SUMIFS(BD!$R$3:$R$5001,BD!$A$3:$A$5001,Y$3,BD!$B$3:$B$5001,$A$469)))</f>
        <v/>
      </c>
      <c r="Z484" s="254" t="str">
        <f>IF(Z$3="","",IF(COUNTIFS(BD!$A$3:$A$5001,Z$3,BD!$B$3:$B$5001,$A$469,BD!$R$3:$R$5001,"&lt;&gt;")=0,"",SUMIFS(BD!$R$3:$R$5001,BD!$A$3:$A$5001,Z$3,BD!$B$3:$B$5001,$A$469)))</f>
        <v/>
      </c>
      <c r="AA484" s="254" t="str">
        <f>IF(AA$3="","",IF(COUNTIFS(BD!$A$3:$A$5001,AA$3,BD!$B$3:$B$5001,$A$469,BD!$R$3:$R$5001,"&lt;&gt;")=0,"",SUMIFS(BD!$R$3:$R$5001,BD!$A$3:$A$5001,AA$3,BD!$B$3:$B$5001,$A$469)))</f>
        <v/>
      </c>
      <c r="AB484" s="254" t="str">
        <f>IF(AB$3="","",IF(COUNTIFS(BD!$A$3:$A$5001,AB$3,BD!$B$3:$B$5001,$A$469,BD!$R$3:$R$5001,"&lt;&gt;")=0,"",SUMIFS(BD!$R$3:$R$5001,BD!$A$3:$A$5001,AB$3,BD!$B$3:$B$5001,$A$469)))</f>
        <v/>
      </c>
      <c r="AC484" s="254" t="str">
        <f>IF(AC$3="","",IF(COUNTIFS(BD!$A$3:$A$5001,AC$3,BD!$B$3:$B$5001,$A$469,BD!$R$3:$R$5001,"&lt;&gt;")=0,"",SUMIFS(BD!$R$3:$R$5001,BD!$A$3:$A$5001,AC$3,BD!$B$3:$B$5001,$A$469)))</f>
        <v/>
      </c>
      <c r="AD484" s="254" t="str">
        <f>IF(AD$3="","",IF(COUNTIFS(BD!$A$3:$A$5001,AD$3,BD!$B$3:$B$5001,$A$469,BD!$R$3:$R$5001,"&lt;&gt;")=0,"",SUMIFS(BD!$R$3:$R$5001,BD!$A$3:$A$5001,AD$3,BD!$B$3:$B$5001,$A$469)))</f>
        <v/>
      </c>
      <c r="AE484" s="254" t="str">
        <f>IF(AE$3="","",IF(COUNTIFS(BD!$A$3:$A$5001,AE$3,BD!$B$3:$B$5001,$A$469,BD!$R$3:$R$5001,"&lt;&gt;")=0,"",SUMIFS(BD!$R$3:$R$5001,BD!$A$3:$A$5001,AE$3,BD!$B$3:$B$5001,$A$469)))</f>
        <v/>
      </c>
      <c r="AF484" s="254" t="str">
        <f>IF(AF$3="","",IF(COUNTIFS(BD!$A$3:$A$5001,AF$3,BD!$B$3:$B$5001,$A$469,BD!$R$3:$R$5001,"&lt;&gt;")=0,"",SUMIFS(BD!$R$3:$R$5001,BD!$A$3:$A$5001,AF$3,BD!$B$3:$B$5001,$A$469)))</f>
        <v/>
      </c>
      <c r="AG484" s="254" t="str">
        <f>IF(AG$3="","",IF(COUNTIFS(BD!$A$3:$A$5001,AG$3,BD!$B$3:$B$5001,$A$469,BD!$R$3:$R$5001,"&lt;&gt;")=0,"",SUMIFS(BD!$R$3:$R$5001,BD!$A$3:$A$5001,AG$3,BD!$B$3:$B$5001,$A$469)))</f>
        <v/>
      </c>
      <c r="AH484" s="254" t="str">
        <f>IF(AH$3="","",IF(COUNTIFS(BD!$A$3:$A$5001,AH$3,BD!$B$3:$B$5001,$A$469,BD!$R$3:$R$5001,"&lt;&gt;")=0,"",SUMIFS(BD!$R$3:$R$5001,BD!$A$3:$A$5001,AH$3,BD!$B$3:$B$5001,$A$469)))</f>
        <v/>
      </c>
      <c r="AI484" s="254" t="str">
        <f>IF(AI$3="","",IF(COUNTIFS(BD!$A$3:$A$5001,AI$3,BD!$B$3:$B$5001,$A$469,BD!$R$3:$R$5001,"&lt;&gt;")=0,"",SUMIFS(BD!$R$3:$R$5001,BD!$A$3:$A$5001,AI$3,BD!$B$3:$B$5001,$A$469)))</f>
        <v/>
      </c>
      <c r="AJ484" s="255" t="str">
        <f>IF(AJ$3="","",IF(COUNTIFS(BD!$A$3:$A$5001,AJ$3,BD!$B$3:$B$5001,$A$469,BD!$R$3:$R$5001,"&lt;&gt;")=0,"",SUMIFS(BD!$R$3:$R$5001,BD!$A$3:$A$5001,AJ$3,BD!$B$3:$B$5001,$A$469)))</f>
        <v/>
      </c>
      <c r="AK484" s="256" t="str">
        <f>IF(COUNT(F484:AJ484)=0,"",SUM(F484:AJ484))</f>
        <v/>
      </c>
    </row>
    <row r="485" ht="15.75" customHeight="1" hidden="1">
      <c r="A485" s="244"/>
      <c r="B485" s="235"/>
      <c r="C485" s="175" t="inlineStr">
        <is>
          <t xml:space="preserve">Toneladas Movimentadas</t>
        </is>
      </c>
      <c r="D485" s="176" t="str">
        <f>IFERROR(1/(1/INDEX(BD!$AJ$39:$BD$39,MATCH($A$469,BD!$AJ$22:$BD$22,0))),"")</f>
        <v/>
      </c>
      <c r="E485" s="177"/>
      <c r="F485" s="257" t="str">
        <f>IF(F$3="","",IF(COUNTIFS(BD!$A$3:$A$5001,F$3,BD!$B$3:$B$5001,$A$469,BD!$S$3:$S$5001,"&lt;&gt;")=0,"",SUMIFS(BD!$S$3:$S$5001,BD!$A$3:$A$5001,F$3,BD!$B$3:$B$5001,$A$469)))</f>
        <v/>
      </c>
      <c r="G485" s="258" t="str">
        <f>IF(G$3="","",IF(COUNTIFS(BD!$A$3:$A$5001,G$3,BD!$B$3:$B$5001,$A$469,BD!$S$3:$S$5001,"&lt;&gt;")=0,"",SUMIFS(BD!$S$3:$S$5001,BD!$A$3:$A$5001,G$3,BD!$B$3:$B$5001,$A$469)))</f>
        <v/>
      </c>
      <c r="H485" s="258" t="str">
        <f>IF(H$3="","",IF(COUNTIFS(BD!$A$3:$A$5001,H$3,BD!$B$3:$B$5001,$A$469,BD!$S$3:$S$5001,"&lt;&gt;")=0,"",SUMIFS(BD!$S$3:$S$5001,BD!$A$3:$A$5001,H$3,BD!$B$3:$B$5001,$A$469)))</f>
        <v/>
      </c>
      <c r="I485" s="258" t="str">
        <f>IF(I$3="","",IF(COUNTIFS(BD!$A$3:$A$5001,I$3,BD!$B$3:$B$5001,$A$469,BD!$S$3:$S$5001,"&lt;&gt;")=0,"",SUMIFS(BD!$S$3:$S$5001,BD!$A$3:$A$5001,I$3,BD!$B$3:$B$5001,$A$469)))</f>
        <v/>
      </c>
      <c r="J485" s="258" t="str">
        <f>IF(J$3="","",IF(COUNTIFS(BD!$A$3:$A$5001,J$3,BD!$B$3:$B$5001,$A$469,BD!$S$3:$S$5001,"&lt;&gt;")=0,"",SUMIFS(BD!$S$3:$S$5001,BD!$A$3:$A$5001,J$3,BD!$B$3:$B$5001,$A$469)))</f>
        <v/>
      </c>
      <c r="K485" s="258" t="str">
        <f>IF(K$3="","",IF(COUNTIFS(BD!$A$3:$A$5001,K$3,BD!$B$3:$B$5001,$A$469,BD!$S$3:$S$5001,"&lt;&gt;")=0,"",SUMIFS(BD!$S$3:$S$5001,BD!$A$3:$A$5001,K$3,BD!$B$3:$B$5001,$A$469)))</f>
        <v/>
      </c>
      <c r="L485" s="258" t="str">
        <f>IF(L$3="","",IF(COUNTIFS(BD!$A$3:$A$5001,L$3,BD!$B$3:$B$5001,$A$469,BD!$S$3:$S$5001,"&lt;&gt;")=0,"",SUMIFS(BD!$S$3:$S$5001,BD!$A$3:$A$5001,L$3,BD!$B$3:$B$5001,$A$469)))</f>
        <v/>
      </c>
      <c r="M485" s="258" t="str">
        <f>IF(M$3="","",IF(COUNTIFS(BD!$A$3:$A$5001,M$3,BD!$B$3:$B$5001,$A$469,BD!$S$3:$S$5001,"&lt;&gt;")=0,"",SUMIFS(BD!$S$3:$S$5001,BD!$A$3:$A$5001,M$3,BD!$B$3:$B$5001,$A$469)))</f>
        <v/>
      </c>
      <c r="N485" s="258" t="str">
        <f>IF(N$3="","",IF(COUNTIFS(BD!$A$3:$A$5001,N$3,BD!$B$3:$B$5001,$A$469,BD!$S$3:$S$5001,"&lt;&gt;")=0,"",SUMIFS(BD!$S$3:$S$5001,BD!$A$3:$A$5001,N$3,BD!$B$3:$B$5001,$A$469)))</f>
        <v/>
      </c>
      <c r="O485" s="258" t="str">
        <f>IF(O$3="","",IF(COUNTIFS(BD!$A$3:$A$5001,O$3,BD!$B$3:$B$5001,$A$469,BD!$S$3:$S$5001,"&lt;&gt;")=0,"",SUMIFS(BD!$S$3:$S$5001,BD!$A$3:$A$5001,O$3,BD!$B$3:$B$5001,$A$469)))</f>
        <v/>
      </c>
      <c r="P485" s="258" t="str">
        <f>IF(P$3="","",IF(COUNTIFS(BD!$A$3:$A$5001,P$3,BD!$B$3:$B$5001,$A$469,BD!$S$3:$S$5001,"&lt;&gt;")=0,"",SUMIFS(BD!$S$3:$S$5001,BD!$A$3:$A$5001,P$3,BD!$B$3:$B$5001,$A$469)))</f>
        <v/>
      </c>
      <c r="Q485" s="258" t="str">
        <f>IF(Q$3="","",IF(COUNTIFS(BD!$A$3:$A$5001,Q$3,BD!$B$3:$B$5001,$A$469,BD!$S$3:$S$5001,"&lt;&gt;")=0,"",SUMIFS(BD!$S$3:$S$5001,BD!$A$3:$A$5001,Q$3,BD!$B$3:$B$5001,$A$469)))</f>
        <v/>
      </c>
      <c r="R485" s="258" t="str">
        <f>IF(R$3="","",IF(COUNTIFS(BD!$A$3:$A$5001,R$3,BD!$B$3:$B$5001,$A$469,BD!$S$3:$S$5001,"&lt;&gt;")=0,"",SUMIFS(BD!$S$3:$S$5001,BD!$A$3:$A$5001,R$3,BD!$B$3:$B$5001,$A$469)))</f>
        <v/>
      </c>
      <c r="S485" s="258" t="str">
        <f>IF(S$3="","",IF(COUNTIFS(BD!$A$3:$A$5001,S$3,BD!$B$3:$B$5001,$A$469,BD!$S$3:$S$5001,"&lt;&gt;")=0,"",SUMIFS(BD!$S$3:$S$5001,BD!$A$3:$A$5001,S$3,BD!$B$3:$B$5001,$A$469)))</f>
        <v/>
      </c>
      <c r="T485" s="258" t="str">
        <f>IF(T$3="","",IF(COUNTIFS(BD!$A$3:$A$5001,T$3,BD!$B$3:$B$5001,$A$469,BD!$S$3:$S$5001,"&lt;&gt;")=0,"",SUMIFS(BD!$S$3:$S$5001,BD!$A$3:$A$5001,T$3,BD!$B$3:$B$5001,$A$469)))</f>
        <v/>
      </c>
      <c r="U485" s="258" t="str">
        <f>IF(U$3="","",IF(COUNTIFS(BD!$A$3:$A$5001,U$3,BD!$B$3:$B$5001,$A$469,BD!$S$3:$S$5001,"&lt;&gt;")=0,"",SUMIFS(BD!$S$3:$S$5001,BD!$A$3:$A$5001,U$3,BD!$B$3:$B$5001,$A$469)))</f>
        <v/>
      </c>
      <c r="V485" s="258" t="str">
        <f>IF(V$3="","",IF(COUNTIFS(BD!$A$3:$A$5001,V$3,BD!$B$3:$B$5001,$A$469,BD!$S$3:$S$5001,"&lt;&gt;")=0,"",SUMIFS(BD!$S$3:$S$5001,BD!$A$3:$A$5001,V$3,BD!$B$3:$B$5001,$A$469)))</f>
        <v/>
      </c>
      <c r="W485" s="258" t="str">
        <f>IF(W$3="","",IF(COUNTIFS(BD!$A$3:$A$5001,W$3,BD!$B$3:$B$5001,$A$469,BD!$S$3:$S$5001,"&lt;&gt;")=0,"",SUMIFS(BD!$S$3:$S$5001,BD!$A$3:$A$5001,W$3,BD!$B$3:$B$5001,$A$469)))</f>
        <v/>
      </c>
      <c r="X485" s="258" t="str">
        <f>IF(X$3="","",IF(COUNTIFS(BD!$A$3:$A$5001,X$3,BD!$B$3:$B$5001,$A$469,BD!$S$3:$S$5001,"&lt;&gt;")=0,"",SUMIFS(BD!$S$3:$S$5001,BD!$A$3:$A$5001,X$3,BD!$B$3:$B$5001,$A$469)))</f>
        <v/>
      </c>
      <c r="Y485" s="258" t="str">
        <f>IF(Y$3="","",IF(COUNTIFS(BD!$A$3:$A$5001,Y$3,BD!$B$3:$B$5001,$A$469,BD!$S$3:$S$5001,"&lt;&gt;")=0,"",SUMIFS(BD!$S$3:$S$5001,BD!$A$3:$A$5001,Y$3,BD!$B$3:$B$5001,$A$469)))</f>
        <v/>
      </c>
      <c r="Z485" s="258" t="str">
        <f>IF(Z$3="","",IF(COUNTIFS(BD!$A$3:$A$5001,Z$3,BD!$B$3:$B$5001,$A$469,BD!$S$3:$S$5001,"&lt;&gt;")=0,"",SUMIFS(BD!$S$3:$S$5001,BD!$A$3:$A$5001,Z$3,BD!$B$3:$B$5001,$A$469)))</f>
        <v/>
      </c>
      <c r="AA485" s="258" t="str">
        <f>IF(AA$3="","",IF(COUNTIFS(BD!$A$3:$A$5001,AA$3,BD!$B$3:$B$5001,$A$469,BD!$S$3:$S$5001,"&lt;&gt;")=0,"",SUMIFS(BD!$S$3:$S$5001,BD!$A$3:$A$5001,AA$3,BD!$B$3:$B$5001,$A$469)))</f>
        <v/>
      </c>
      <c r="AB485" s="258" t="str">
        <f>IF(AB$3="","",IF(COUNTIFS(BD!$A$3:$A$5001,AB$3,BD!$B$3:$B$5001,$A$469,BD!$S$3:$S$5001,"&lt;&gt;")=0,"",SUMIFS(BD!$S$3:$S$5001,BD!$A$3:$A$5001,AB$3,BD!$B$3:$B$5001,$A$469)))</f>
        <v/>
      </c>
      <c r="AC485" s="258" t="str">
        <f>IF(AC$3="","",IF(COUNTIFS(BD!$A$3:$A$5001,AC$3,BD!$B$3:$B$5001,$A$469,BD!$S$3:$S$5001,"&lt;&gt;")=0,"",SUMIFS(BD!$S$3:$S$5001,BD!$A$3:$A$5001,AC$3,BD!$B$3:$B$5001,$A$469)))</f>
        <v/>
      </c>
      <c r="AD485" s="258" t="str">
        <f>IF(AD$3="","",IF(COUNTIFS(BD!$A$3:$A$5001,AD$3,BD!$B$3:$B$5001,$A$469,BD!$S$3:$S$5001,"&lt;&gt;")=0,"",SUMIFS(BD!$S$3:$S$5001,BD!$A$3:$A$5001,AD$3,BD!$B$3:$B$5001,$A$469)))</f>
        <v/>
      </c>
      <c r="AE485" s="258" t="str">
        <f>IF(AE$3="","",IF(COUNTIFS(BD!$A$3:$A$5001,AE$3,BD!$B$3:$B$5001,$A$469,BD!$S$3:$S$5001,"&lt;&gt;")=0,"",SUMIFS(BD!$S$3:$S$5001,BD!$A$3:$A$5001,AE$3,BD!$B$3:$B$5001,$A$469)))</f>
        <v/>
      </c>
      <c r="AF485" s="258" t="str">
        <f>IF(AF$3="","",IF(COUNTIFS(BD!$A$3:$A$5001,AF$3,BD!$B$3:$B$5001,$A$469,BD!$S$3:$S$5001,"&lt;&gt;")=0,"",SUMIFS(BD!$S$3:$S$5001,BD!$A$3:$A$5001,AF$3,BD!$B$3:$B$5001,$A$469)))</f>
        <v/>
      </c>
      <c r="AG485" s="258" t="str">
        <f>IF(AG$3="","",IF(COUNTIFS(BD!$A$3:$A$5001,AG$3,BD!$B$3:$B$5001,$A$469,BD!$S$3:$S$5001,"&lt;&gt;")=0,"",SUMIFS(BD!$S$3:$S$5001,BD!$A$3:$A$5001,AG$3,BD!$B$3:$B$5001,$A$469)))</f>
        <v/>
      </c>
      <c r="AH485" s="258" t="str">
        <f>IF(AH$3="","",IF(COUNTIFS(BD!$A$3:$A$5001,AH$3,BD!$B$3:$B$5001,$A$469,BD!$S$3:$S$5001,"&lt;&gt;")=0,"",SUMIFS(BD!$S$3:$S$5001,BD!$A$3:$A$5001,AH$3,BD!$B$3:$B$5001,$A$469)))</f>
        <v/>
      </c>
      <c r="AI485" s="258" t="str">
        <f>IF(AI$3="","",IF(COUNTIFS(BD!$A$3:$A$5001,AI$3,BD!$B$3:$B$5001,$A$469,BD!$S$3:$S$5001,"&lt;&gt;")=0,"",SUMIFS(BD!$S$3:$S$5001,BD!$A$3:$A$5001,AI$3,BD!$B$3:$B$5001,$A$469)))</f>
        <v/>
      </c>
      <c r="AJ485" s="259" t="str">
        <f>IF(AJ$3="","",IF(COUNTIFS(BD!$A$3:$A$5001,AJ$3,BD!$B$3:$B$5001,$A$469,BD!$S$3:$S$5001,"&lt;&gt;")=0,"",SUMIFS(BD!$S$3:$S$5001,BD!$A$3:$A$5001,AJ$3,BD!$B$3:$B$5001,$A$469)))</f>
        <v/>
      </c>
      <c r="AK485" s="260" t="str">
        <f>IF(COUNT(F485:AJ485)=0,"",SUM(F485:AJ485))</f>
        <v/>
      </c>
    </row>
    <row r="486" ht="15.75" customHeight="1" hidden="1">
      <c r="A486" s="244"/>
      <c r="B486" s="236" t="inlineStr">
        <is>
          <t xml:space="preserve">NC</t>
        </is>
      </c>
      <c r="C486" s="181" t="inlineStr">
        <is>
          <t xml:space="preserve">Incidentes</t>
        </is>
      </c>
      <c r="D486" s="182" t="str">
        <f>IFERROR(1/(1/INDEX(BD!$AJ$40:$BD$40,MATCH($A$469,BD!$AJ$22:$BD$22,0))),"")</f>
        <v/>
      </c>
      <c r="E486" s="183"/>
      <c r="F486" s="184" t="str">
        <f>IF(F$3="","",IF(COUNTIFS(BD!$A$3:$A$5001,F$3,BD!$B$3:$B$5001,$A$469,BD!$T$3:$T$5001,"&lt;&gt;")=0,"",SUMIFS(BD!$T$3:$T$5001,BD!$A$3:$A$5001,F$3,BD!$B$3:$B$5001,$A$469)))</f>
        <v/>
      </c>
      <c r="G486" s="185" t="str">
        <f>IF(G$3="","",IF(COUNTIFS(BD!$A$3:$A$5001,G$3,BD!$B$3:$B$5001,$A$469,BD!$T$3:$T$5001,"&lt;&gt;")=0,"",SUMIFS(BD!$T$3:$T$5001,BD!$A$3:$A$5001,G$3,BD!$B$3:$B$5001,$A$469)))</f>
        <v/>
      </c>
      <c r="H486" s="185" t="str">
        <f>IF(H$3="","",IF(COUNTIFS(BD!$A$3:$A$5001,H$3,BD!$B$3:$B$5001,$A$469,BD!$T$3:$T$5001,"&lt;&gt;")=0,"",SUMIFS(BD!$T$3:$T$5001,BD!$A$3:$A$5001,H$3,BD!$B$3:$B$5001,$A$469)))</f>
        <v/>
      </c>
      <c r="I486" s="185" t="str">
        <f>IF(I$3="","",IF(COUNTIFS(BD!$A$3:$A$5001,I$3,BD!$B$3:$B$5001,$A$469,BD!$T$3:$T$5001,"&lt;&gt;")=0,"",SUMIFS(BD!$T$3:$T$5001,BD!$A$3:$A$5001,I$3,BD!$B$3:$B$5001,$A$469)))</f>
        <v/>
      </c>
      <c r="J486" s="185" t="str">
        <f>IF(J$3="","",IF(COUNTIFS(BD!$A$3:$A$5001,J$3,BD!$B$3:$B$5001,$A$469,BD!$T$3:$T$5001,"&lt;&gt;")=0,"",SUMIFS(BD!$T$3:$T$5001,BD!$A$3:$A$5001,J$3,BD!$B$3:$B$5001,$A$469)))</f>
        <v/>
      </c>
      <c r="K486" s="185" t="str">
        <f>IF(K$3="","",IF(COUNTIFS(BD!$A$3:$A$5001,K$3,BD!$B$3:$B$5001,$A$469,BD!$T$3:$T$5001,"&lt;&gt;")=0,"",SUMIFS(BD!$T$3:$T$5001,BD!$A$3:$A$5001,K$3,BD!$B$3:$B$5001,$A$469)))</f>
        <v/>
      </c>
      <c r="L486" s="185" t="str">
        <f>IF(L$3="","",IF(COUNTIFS(BD!$A$3:$A$5001,L$3,BD!$B$3:$B$5001,$A$469,BD!$T$3:$T$5001,"&lt;&gt;")=0,"",SUMIFS(BD!$T$3:$T$5001,BD!$A$3:$A$5001,L$3,BD!$B$3:$B$5001,$A$469)))</f>
        <v/>
      </c>
      <c r="M486" s="185" t="str">
        <f>IF(M$3="","",IF(COUNTIFS(BD!$A$3:$A$5001,M$3,BD!$B$3:$B$5001,$A$469,BD!$T$3:$T$5001,"&lt;&gt;")=0,"",SUMIFS(BD!$T$3:$T$5001,BD!$A$3:$A$5001,M$3,BD!$B$3:$B$5001,$A$469)))</f>
        <v/>
      </c>
      <c r="N486" s="185" t="str">
        <f>IF(N$3="","",IF(COUNTIFS(BD!$A$3:$A$5001,N$3,BD!$B$3:$B$5001,$A$469,BD!$T$3:$T$5001,"&lt;&gt;")=0,"",SUMIFS(BD!$T$3:$T$5001,BD!$A$3:$A$5001,N$3,BD!$B$3:$B$5001,$A$469)))</f>
        <v/>
      </c>
      <c r="O486" s="185" t="str">
        <f>IF(O$3="","",IF(COUNTIFS(BD!$A$3:$A$5001,O$3,BD!$B$3:$B$5001,$A$469,BD!$T$3:$T$5001,"&lt;&gt;")=0,"",SUMIFS(BD!$T$3:$T$5001,BD!$A$3:$A$5001,O$3,BD!$B$3:$B$5001,$A$469)))</f>
        <v/>
      </c>
      <c r="P486" s="185" t="str">
        <f>IF(P$3="","",IF(COUNTIFS(BD!$A$3:$A$5001,P$3,BD!$B$3:$B$5001,$A$469,BD!$T$3:$T$5001,"&lt;&gt;")=0,"",SUMIFS(BD!$T$3:$T$5001,BD!$A$3:$A$5001,P$3,BD!$B$3:$B$5001,$A$469)))</f>
        <v/>
      </c>
      <c r="Q486" s="185" t="str">
        <f>IF(Q$3="","",IF(COUNTIFS(BD!$A$3:$A$5001,Q$3,BD!$B$3:$B$5001,$A$469,BD!$T$3:$T$5001,"&lt;&gt;")=0,"",SUMIFS(BD!$T$3:$T$5001,BD!$A$3:$A$5001,Q$3,BD!$B$3:$B$5001,$A$469)))</f>
        <v/>
      </c>
      <c r="R486" s="185" t="str">
        <f>IF(R$3="","",IF(COUNTIFS(BD!$A$3:$A$5001,R$3,BD!$B$3:$B$5001,$A$469,BD!$T$3:$T$5001,"&lt;&gt;")=0,"",SUMIFS(BD!$T$3:$T$5001,BD!$A$3:$A$5001,R$3,BD!$B$3:$B$5001,$A$469)))</f>
        <v/>
      </c>
      <c r="S486" s="185" t="str">
        <f>IF(S$3="","",IF(COUNTIFS(BD!$A$3:$A$5001,S$3,BD!$B$3:$B$5001,$A$469,BD!$T$3:$T$5001,"&lt;&gt;")=0,"",SUMIFS(BD!$T$3:$T$5001,BD!$A$3:$A$5001,S$3,BD!$B$3:$B$5001,$A$469)))</f>
        <v/>
      </c>
      <c r="T486" s="185" t="str">
        <f>IF(T$3="","",IF(COUNTIFS(BD!$A$3:$A$5001,T$3,BD!$B$3:$B$5001,$A$469,BD!$T$3:$T$5001,"&lt;&gt;")=0,"",SUMIFS(BD!$T$3:$T$5001,BD!$A$3:$A$5001,T$3,BD!$B$3:$B$5001,$A$469)))</f>
        <v/>
      </c>
      <c r="U486" s="185" t="str">
        <f>IF(U$3="","",IF(COUNTIFS(BD!$A$3:$A$5001,U$3,BD!$B$3:$B$5001,$A$469,BD!$T$3:$T$5001,"&lt;&gt;")=0,"",SUMIFS(BD!$T$3:$T$5001,BD!$A$3:$A$5001,U$3,BD!$B$3:$B$5001,$A$469)))</f>
        <v/>
      </c>
      <c r="V486" s="185" t="str">
        <f>IF(V$3="","",IF(COUNTIFS(BD!$A$3:$A$5001,V$3,BD!$B$3:$B$5001,$A$469,BD!$T$3:$T$5001,"&lt;&gt;")=0,"",SUMIFS(BD!$T$3:$T$5001,BD!$A$3:$A$5001,V$3,BD!$B$3:$B$5001,$A$469)))</f>
        <v/>
      </c>
      <c r="W486" s="185" t="str">
        <f>IF(W$3="","",IF(COUNTIFS(BD!$A$3:$A$5001,W$3,BD!$B$3:$B$5001,$A$469,BD!$T$3:$T$5001,"&lt;&gt;")=0,"",SUMIFS(BD!$T$3:$T$5001,BD!$A$3:$A$5001,W$3,BD!$B$3:$B$5001,$A$469)))</f>
        <v/>
      </c>
      <c r="X486" s="185" t="str">
        <f>IF(X$3="","",IF(COUNTIFS(BD!$A$3:$A$5001,X$3,BD!$B$3:$B$5001,$A$469,BD!$T$3:$T$5001,"&lt;&gt;")=0,"",SUMIFS(BD!$T$3:$T$5001,BD!$A$3:$A$5001,X$3,BD!$B$3:$B$5001,$A$469)))</f>
        <v/>
      </c>
      <c r="Y486" s="185" t="str">
        <f>IF(Y$3="","",IF(COUNTIFS(BD!$A$3:$A$5001,Y$3,BD!$B$3:$B$5001,$A$469,BD!$T$3:$T$5001,"&lt;&gt;")=0,"",SUMIFS(BD!$T$3:$T$5001,BD!$A$3:$A$5001,Y$3,BD!$B$3:$B$5001,$A$469)))</f>
        <v/>
      </c>
      <c r="Z486" s="185" t="str">
        <f>IF(Z$3="","",IF(COUNTIFS(BD!$A$3:$A$5001,Z$3,BD!$B$3:$B$5001,$A$469,BD!$T$3:$T$5001,"&lt;&gt;")=0,"",SUMIFS(BD!$T$3:$T$5001,BD!$A$3:$A$5001,Z$3,BD!$B$3:$B$5001,$A$469)))</f>
        <v/>
      </c>
      <c r="AA486" s="185" t="str">
        <f>IF(AA$3="","",IF(COUNTIFS(BD!$A$3:$A$5001,AA$3,BD!$B$3:$B$5001,$A$469,BD!$T$3:$T$5001,"&lt;&gt;")=0,"",SUMIFS(BD!$T$3:$T$5001,BD!$A$3:$A$5001,AA$3,BD!$B$3:$B$5001,$A$469)))</f>
        <v/>
      </c>
      <c r="AB486" s="185" t="str">
        <f>IF(AB$3="","",IF(COUNTIFS(BD!$A$3:$A$5001,AB$3,BD!$B$3:$B$5001,$A$469,BD!$T$3:$T$5001,"&lt;&gt;")=0,"",SUMIFS(BD!$T$3:$T$5001,BD!$A$3:$A$5001,AB$3,BD!$B$3:$B$5001,$A$469)))</f>
        <v/>
      </c>
      <c r="AC486" s="185" t="str">
        <f>IF(AC$3="","",IF(COUNTIFS(BD!$A$3:$A$5001,AC$3,BD!$B$3:$B$5001,$A$469,BD!$T$3:$T$5001,"&lt;&gt;")=0,"",SUMIFS(BD!$T$3:$T$5001,BD!$A$3:$A$5001,AC$3,BD!$B$3:$B$5001,$A$469)))</f>
        <v/>
      </c>
      <c r="AD486" s="185" t="str">
        <f>IF(AD$3="","",IF(COUNTIFS(BD!$A$3:$A$5001,AD$3,BD!$B$3:$B$5001,$A$469,BD!$T$3:$T$5001,"&lt;&gt;")=0,"",SUMIFS(BD!$T$3:$T$5001,BD!$A$3:$A$5001,AD$3,BD!$B$3:$B$5001,$A$469)))</f>
        <v/>
      </c>
      <c r="AE486" s="185" t="str">
        <f>IF(AE$3="","",IF(COUNTIFS(BD!$A$3:$A$5001,AE$3,BD!$B$3:$B$5001,$A$469,BD!$T$3:$T$5001,"&lt;&gt;")=0,"",SUMIFS(BD!$T$3:$T$5001,BD!$A$3:$A$5001,AE$3,BD!$B$3:$B$5001,$A$469)))</f>
        <v/>
      </c>
      <c r="AF486" s="185" t="str">
        <f>IF(AF$3="","",IF(COUNTIFS(BD!$A$3:$A$5001,AF$3,BD!$B$3:$B$5001,$A$469,BD!$T$3:$T$5001,"&lt;&gt;")=0,"",SUMIFS(BD!$T$3:$T$5001,BD!$A$3:$A$5001,AF$3,BD!$B$3:$B$5001,$A$469)))</f>
        <v/>
      </c>
      <c r="AG486" s="185" t="str">
        <f>IF(AG$3="","",IF(COUNTIFS(BD!$A$3:$A$5001,AG$3,BD!$B$3:$B$5001,$A$469,BD!$T$3:$T$5001,"&lt;&gt;")=0,"",SUMIFS(BD!$T$3:$T$5001,BD!$A$3:$A$5001,AG$3,BD!$B$3:$B$5001,$A$469)))</f>
        <v/>
      </c>
      <c r="AH486" s="185" t="str">
        <f>IF(AH$3="","",IF(COUNTIFS(BD!$A$3:$A$5001,AH$3,BD!$B$3:$B$5001,$A$469,BD!$T$3:$T$5001,"&lt;&gt;")=0,"",SUMIFS(BD!$T$3:$T$5001,BD!$A$3:$A$5001,AH$3,BD!$B$3:$B$5001,$A$469)))</f>
        <v/>
      </c>
      <c r="AI486" s="185" t="str">
        <f>IF(AI$3="","",IF(COUNTIFS(BD!$A$3:$A$5001,AI$3,BD!$B$3:$B$5001,$A$469,BD!$T$3:$T$5001,"&lt;&gt;")=0,"",SUMIFS(BD!$T$3:$T$5001,BD!$A$3:$A$5001,AI$3,BD!$B$3:$B$5001,$A$469)))</f>
        <v/>
      </c>
      <c r="AJ486" s="186" t="str">
        <f>IF(AJ$3="","",IF(COUNTIFS(BD!$A$3:$A$5001,AJ$3,BD!$B$3:$B$5001,$A$469,BD!$T$3:$T$5001,"&lt;&gt;")=0,"",SUMIFS(BD!$T$3:$T$5001,BD!$A$3:$A$5001,AJ$3,BD!$B$3:$B$5001,$A$469)))</f>
        <v/>
      </c>
      <c r="AK486" s="187" t="str">
        <f>IF(COUNT(F486:AJ486)=0,"",SUM(F486:AJ486))</f>
        <v/>
      </c>
    </row>
    <row r="487" ht="15.75" customHeight="1" hidden="1">
      <c r="A487" s="244"/>
      <c r="B487" s="237"/>
      <c r="C487" s="188" t="inlineStr">
        <is>
          <t xml:space="preserve">No show</t>
        </is>
      </c>
      <c r="D487" s="189" t="str">
        <f>IFERROR(1/(1/INDEX(BD!$AJ$41:$BD$41,MATCH($A$469,BD!$AJ$22:$BD$22,0))),"")</f>
        <v/>
      </c>
      <c r="E487" s="190"/>
      <c r="F487" s="191" t="str">
        <f>IF(F$3="","",IF(COUNTIFS(BD!$A$3:$A$5001,F$3,BD!$B$3:$B$5001,$A$469,BD!$U$3:$U$5001,"&lt;&gt;")=0,"",SUMIFS(BD!$U$3:$U$5001,BD!$A$3:$A$5001,F$3,BD!$B$3:$B$5001,$A$469)))</f>
        <v/>
      </c>
      <c r="G487" s="192" t="str">
        <f>IF(G$3="","",IF(COUNTIFS(BD!$A$3:$A$5001,G$3,BD!$B$3:$B$5001,$A$469,BD!$U$3:$U$5001,"&lt;&gt;")=0,"",SUMIFS(BD!$U$3:$U$5001,BD!$A$3:$A$5001,G$3,BD!$B$3:$B$5001,$A$469)))</f>
        <v/>
      </c>
      <c r="H487" s="192" t="str">
        <f>IF(H$3="","",IF(COUNTIFS(BD!$A$3:$A$5001,H$3,BD!$B$3:$B$5001,$A$469,BD!$U$3:$U$5001,"&lt;&gt;")=0,"",SUMIFS(BD!$U$3:$U$5001,BD!$A$3:$A$5001,H$3,BD!$B$3:$B$5001,$A$469)))</f>
        <v/>
      </c>
      <c r="I487" s="192" t="str">
        <f>IF(I$3="","",IF(COUNTIFS(BD!$A$3:$A$5001,I$3,BD!$B$3:$B$5001,$A$469,BD!$U$3:$U$5001,"&lt;&gt;")=0,"",SUMIFS(BD!$U$3:$U$5001,BD!$A$3:$A$5001,I$3,BD!$B$3:$B$5001,$A$469)))</f>
        <v/>
      </c>
      <c r="J487" s="192" t="str">
        <f>IF(J$3="","",IF(COUNTIFS(BD!$A$3:$A$5001,J$3,BD!$B$3:$B$5001,$A$469,BD!$U$3:$U$5001,"&lt;&gt;")=0,"",SUMIFS(BD!$U$3:$U$5001,BD!$A$3:$A$5001,J$3,BD!$B$3:$B$5001,$A$469)))</f>
        <v/>
      </c>
      <c r="K487" s="192" t="str">
        <f>IF(K$3="","",IF(COUNTIFS(BD!$A$3:$A$5001,K$3,BD!$B$3:$B$5001,$A$469,BD!$U$3:$U$5001,"&lt;&gt;")=0,"",SUMIFS(BD!$U$3:$U$5001,BD!$A$3:$A$5001,K$3,BD!$B$3:$B$5001,$A$469)))</f>
        <v/>
      </c>
      <c r="L487" s="192" t="str">
        <f>IF(L$3="","",IF(COUNTIFS(BD!$A$3:$A$5001,L$3,BD!$B$3:$B$5001,$A$469,BD!$U$3:$U$5001,"&lt;&gt;")=0,"",SUMIFS(BD!$U$3:$U$5001,BD!$A$3:$A$5001,L$3,BD!$B$3:$B$5001,$A$469)))</f>
        <v/>
      </c>
      <c r="M487" s="192" t="str">
        <f>IF(M$3="","",IF(COUNTIFS(BD!$A$3:$A$5001,M$3,BD!$B$3:$B$5001,$A$469,BD!$U$3:$U$5001,"&lt;&gt;")=0,"",SUMIFS(BD!$U$3:$U$5001,BD!$A$3:$A$5001,M$3,BD!$B$3:$B$5001,$A$469)))</f>
        <v/>
      </c>
      <c r="N487" s="192" t="str">
        <f>IF(N$3="","",IF(COUNTIFS(BD!$A$3:$A$5001,N$3,BD!$B$3:$B$5001,$A$469,BD!$U$3:$U$5001,"&lt;&gt;")=0,"",SUMIFS(BD!$U$3:$U$5001,BD!$A$3:$A$5001,N$3,BD!$B$3:$B$5001,$A$469)))</f>
        <v/>
      </c>
      <c r="O487" s="192" t="str">
        <f>IF(O$3="","",IF(COUNTIFS(BD!$A$3:$A$5001,O$3,BD!$B$3:$B$5001,$A$469,BD!$U$3:$U$5001,"&lt;&gt;")=0,"",SUMIFS(BD!$U$3:$U$5001,BD!$A$3:$A$5001,O$3,BD!$B$3:$B$5001,$A$469)))</f>
        <v/>
      </c>
      <c r="P487" s="192" t="str">
        <f>IF(P$3="","",IF(COUNTIFS(BD!$A$3:$A$5001,P$3,BD!$B$3:$B$5001,$A$469,BD!$U$3:$U$5001,"&lt;&gt;")=0,"",SUMIFS(BD!$U$3:$U$5001,BD!$A$3:$A$5001,P$3,BD!$B$3:$B$5001,$A$469)))</f>
        <v/>
      </c>
      <c r="Q487" s="192" t="str">
        <f>IF(Q$3="","",IF(COUNTIFS(BD!$A$3:$A$5001,Q$3,BD!$B$3:$B$5001,$A$469,BD!$U$3:$U$5001,"&lt;&gt;")=0,"",SUMIFS(BD!$U$3:$U$5001,BD!$A$3:$A$5001,Q$3,BD!$B$3:$B$5001,$A$469)))</f>
        <v/>
      </c>
      <c r="R487" s="192" t="str">
        <f>IF(R$3="","",IF(COUNTIFS(BD!$A$3:$A$5001,R$3,BD!$B$3:$B$5001,$A$469,BD!$U$3:$U$5001,"&lt;&gt;")=0,"",SUMIFS(BD!$U$3:$U$5001,BD!$A$3:$A$5001,R$3,BD!$B$3:$B$5001,$A$469)))</f>
        <v/>
      </c>
      <c r="S487" s="192" t="str">
        <f>IF(S$3="","",IF(COUNTIFS(BD!$A$3:$A$5001,S$3,BD!$B$3:$B$5001,$A$469,BD!$U$3:$U$5001,"&lt;&gt;")=0,"",SUMIFS(BD!$U$3:$U$5001,BD!$A$3:$A$5001,S$3,BD!$B$3:$B$5001,$A$469)))</f>
        <v/>
      </c>
      <c r="T487" s="192" t="str">
        <f>IF(T$3="","",IF(COUNTIFS(BD!$A$3:$A$5001,T$3,BD!$B$3:$B$5001,$A$469,BD!$U$3:$U$5001,"&lt;&gt;")=0,"",SUMIFS(BD!$U$3:$U$5001,BD!$A$3:$A$5001,T$3,BD!$B$3:$B$5001,$A$469)))</f>
        <v/>
      </c>
      <c r="U487" s="192" t="str">
        <f>IF(U$3="","",IF(COUNTIFS(BD!$A$3:$A$5001,U$3,BD!$B$3:$B$5001,$A$469,BD!$U$3:$U$5001,"&lt;&gt;")=0,"",SUMIFS(BD!$U$3:$U$5001,BD!$A$3:$A$5001,U$3,BD!$B$3:$B$5001,$A$469)))</f>
        <v/>
      </c>
      <c r="V487" s="192" t="str">
        <f>IF(V$3="","",IF(COUNTIFS(BD!$A$3:$A$5001,V$3,BD!$B$3:$B$5001,$A$469,BD!$U$3:$U$5001,"&lt;&gt;")=0,"",SUMIFS(BD!$U$3:$U$5001,BD!$A$3:$A$5001,V$3,BD!$B$3:$B$5001,$A$469)))</f>
        <v/>
      </c>
      <c r="W487" s="192" t="str">
        <f>IF(W$3="","",IF(COUNTIFS(BD!$A$3:$A$5001,W$3,BD!$B$3:$B$5001,$A$469,BD!$U$3:$U$5001,"&lt;&gt;")=0,"",SUMIFS(BD!$U$3:$U$5001,BD!$A$3:$A$5001,W$3,BD!$B$3:$B$5001,$A$469)))</f>
        <v/>
      </c>
      <c r="X487" s="192" t="str">
        <f>IF(X$3="","",IF(COUNTIFS(BD!$A$3:$A$5001,X$3,BD!$B$3:$B$5001,$A$469,BD!$U$3:$U$5001,"&lt;&gt;")=0,"",SUMIFS(BD!$U$3:$U$5001,BD!$A$3:$A$5001,X$3,BD!$B$3:$B$5001,$A$469)))</f>
        <v/>
      </c>
      <c r="Y487" s="192" t="str">
        <f>IF(Y$3="","",IF(COUNTIFS(BD!$A$3:$A$5001,Y$3,BD!$B$3:$B$5001,$A$469,BD!$U$3:$U$5001,"&lt;&gt;")=0,"",SUMIFS(BD!$U$3:$U$5001,BD!$A$3:$A$5001,Y$3,BD!$B$3:$B$5001,$A$469)))</f>
        <v/>
      </c>
      <c r="Z487" s="192" t="str">
        <f>IF(Z$3="","",IF(COUNTIFS(BD!$A$3:$A$5001,Z$3,BD!$B$3:$B$5001,$A$469,BD!$U$3:$U$5001,"&lt;&gt;")=0,"",SUMIFS(BD!$U$3:$U$5001,BD!$A$3:$A$5001,Z$3,BD!$B$3:$B$5001,$A$469)))</f>
        <v/>
      </c>
      <c r="AA487" s="192" t="str">
        <f>IF(AA$3="","",IF(COUNTIFS(BD!$A$3:$A$5001,AA$3,BD!$B$3:$B$5001,$A$469,BD!$U$3:$U$5001,"&lt;&gt;")=0,"",SUMIFS(BD!$U$3:$U$5001,BD!$A$3:$A$5001,AA$3,BD!$B$3:$B$5001,$A$469)))</f>
        <v/>
      </c>
      <c r="AB487" s="192" t="str">
        <f>IF(AB$3="","",IF(COUNTIFS(BD!$A$3:$A$5001,AB$3,BD!$B$3:$B$5001,$A$469,BD!$U$3:$U$5001,"&lt;&gt;")=0,"",SUMIFS(BD!$U$3:$U$5001,BD!$A$3:$A$5001,AB$3,BD!$B$3:$B$5001,$A$469)))</f>
        <v/>
      </c>
      <c r="AC487" s="192" t="str">
        <f>IF(AC$3="","",IF(COUNTIFS(BD!$A$3:$A$5001,AC$3,BD!$B$3:$B$5001,$A$469,BD!$U$3:$U$5001,"&lt;&gt;")=0,"",SUMIFS(BD!$U$3:$U$5001,BD!$A$3:$A$5001,AC$3,BD!$B$3:$B$5001,$A$469)))</f>
        <v/>
      </c>
      <c r="AD487" s="192" t="str">
        <f>IF(AD$3="","",IF(COUNTIFS(BD!$A$3:$A$5001,AD$3,BD!$B$3:$B$5001,$A$469,BD!$U$3:$U$5001,"&lt;&gt;")=0,"",SUMIFS(BD!$U$3:$U$5001,BD!$A$3:$A$5001,AD$3,BD!$B$3:$B$5001,$A$469)))</f>
        <v/>
      </c>
      <c r="AE487" s="192" t="str">
        <f>IF(AE$3="","",IF(COUNTIFS(BD!$A$3:$A$5001,AE$3,BD!$B$3:$B$5001,$A$469,BD!$U$3:$U$5001,"&lt;&gt;")=0,"",SUMIFS(BD!$U$3:$U$5001,BD!$A$3:$A$5001,AE$3,BD!$B$3:$B$5001,$A$469)))</f>
        <v/>
      </c>
      <c r="AF487" s="192" t="str">
        <f>IF(AF$3="","",IF(COUNTIFS(BD!$A$3:$A$5001,AF$3,BD!$B$3:$B$5001,$A$469,BD!$U$3:$U$5001,"&lt;&gt;")=0,"",SUMIFS(BD!$U$3:$U$5001,BD!$A$3:$A$5001,AF$3,BD!$B$3:$B$5001,$A$469)))</f>
        <v/>
      </c>
      <c r="AG487" s="192" t="str">
        <f>IF(AG$3="","",IF(COUNTIFS(BD!$A$3:$A$5001,AG$3,BD!$B$3:$B$5001,$A$469,BD!$U$3:$U$5001,"&lt;&gt;")=0,"",SUMIFS(BD!$U$3:$U$5001,BD!$A$3:$A$5001,AG$3,BD!$B$3:$B$5001,$A$469)))</f>
        <v/>
      </c>
      <c r="AH487" s="192" t="str">
        <f>IF(AH$3="","",IF(COUNTIFS(BD!$A$3:$A$5001,AH$3,BD!$B$3:$B$5001,$A$469,BD!$U$3:$U$5001,"&lt;&gt;")=0,"",SUMIFS(BD!$U$3:$U$5001,BD!$A$3:$A$5001,AH$3,BD!$B$3:$B$5001,$A$469)))</f>
        <v/>
      </c>
      <c r="AI487" s="192" t="str">
        <f>IF(AI$3="","",IF(COUNTIFS(BD!$A$3:$A$5001,AI$3,BD!$B$3:$B$5001,$A$469,BD!$U$3:$U$5001,"&lt;&gt;")=0,"",SUMIFS(BD!$U$3:$U$5001,BD!$A$3:$A$5001,AI$3,BD!$B$3:$B$5001,$A$469)))</f>
        <v/>
      </c>
      <c r="AJ487" s="193" t="str">
        <f>IF(AJ$3="","",IF(COUNTIFS(BD!$A$3:$A$5001,AJ$3,BD!$B$3:$B$5001,$A$469,BD!$U$3:$U$5001,"&lt;&gt;")=0,"",SUMIFS(BD!$U$3:$U$5001,BD!$A$3:$A$5001,AJ$3,BD!$B$3:$B$5001,$A$469)))</f>
        <v/>
      </c>
      <c r="AK487" s="194" t="str">
        <f>IF(COUNT(F487:AJ487)=0,"",SUM(F487:AJ487))</f>
        <v/>
      </c>
    </row>
    <row r="488" ht="15.75" customHeight="1" hidden="1">
      <c r="A488" s="244"/>
      <c r="B488" s="238"/>
      <c r="C488" s="195" t="inlineStr">
        <is>
          <t xml:space="preserve">Backlog</t>
        </is>
      </c>
      <c r="D488" s="196" t="str">
        <f>IFERROR(1/(1/INDEX(BD!$AJ$42:$BD$42,MATCH($A$469,BD!$AJ$22:$BD$22,0))),"")</f>
        <v/>
      </c>
      <c r="E488" s="197"/>
      <c r="F488" s="198" t="str">
        <f>IF(F$3="","",IF(COUNTIFS(BD!$A$3:$A$5001,F$3,BD!$B$3:$B$5001,$A$469,BD!$V$3:$V$5001,"&lt;&gt;")=0,"",SUMIFS(BD!$V$3:$V$5001,BD!$A$3:$A$5001,F$3,BD!$B$3:$B$5001,$A$469)))</f>
        <v/>
      </c>
      <c r="G488" s="199" t="str">
        <f>IF(G$3="","",IF(COUNTIFS(BD!$A$3:$A$5001,G$3,BD!$B$3:$B$5001,$A$469,BD!$V$3:$V$5001,"&lt;&gt;")=0,"",SUMIFS(BD!$V$3:$V$5001,BD!$A$3:$A$5001,G$3,BD!$B$3:$B$5001,$A$469)))</f>
        <v/>
      </c>
      <c r="H488" s="199" t="str">
        <f>IF(H$3="","",IF(COUNTIFS(BD!$A$3:$A$5001,H$3,BD!$B$3:$B$5001,$A$469,BD!$V$3:$V$5001,"&lt;&gt;")=0,"",SUMIFS(BD!$V$3:$V$5001,BD!$A$3:$A$5001,H$3,BD!$B$3:$B$5001,$A$469)))</f>
        <v/>
      </c>
      <c r="I488" s="199" t="str">
        <f>IF(I$3="","",IF(COUNTIFS(BD!$A$3:$A$5001,I$3,BD!$B$3:$B$5001,$A$469,BD!$V$3:$V$5001,"&lt;&gt;")=0,"",SUMIFS(BD!$V$3:$V$5001,BD!$A$3:$A$5001,I$3,BD!$B$3:$B$5001,$A$469)))</f>
        <v/>
      </c>
      <c r="J488" s="199" t="str">
        <f>IF(J$3="","",IF(COUNTIFS(BD!$A$3:$A$5001,J$3,BD!$B$3:$B$5001,$A$469,BD!$V$3:$V$5001,"&lt;&gt;")=0,"",SUMIFS(BD!$V$3:$V$5001,BD!$A$3:$A$5001,J$3,BD!$B$3:$B$5001,$A$469)))</f>
        <v/>
      </c>
      <c r="K488" s="199" t="str">
        <f>IF(K$3="","",IF(COUNTIFS(BD!$A$3:$A$5001,K$3,BD!$B$3:$B$5001,$A$469,BD!$V$3:$V$5001,"&lt;&gt;")=0,"",SUMIFS(BD!$V$3:$V$5001,BD!$A$3:$A$5001,K$3,BD!$B$3:$B$5001,$A$469)))</f>
        <v/>
      </c>
      <c r="L488" s="199" t="str">
        <f>IF(L$3="","",IF(COUNTIFS(BD!$A$3:$A$5001,L$3,BD!$B$3:$B$5001,$A$469,BD!$V$3:$V$5001,"&lt;&gt;")=0,"",SUMIFS(BD!$V$3:$V$5001,BD!$A$3:$A$5001,L$3,BD!$B$3:$B$5001,$A$469)))</f>
        <v/>
      </c>
      <c r="M488" s="199" t="str">
        <f>IF(M$3="","",IF(COUNTIFS(BD!$A$3:$A$5001,M$3,BD!$B$3:$B$5001,$A$469,BD!$V$3:$V$5001,"&lt;&gt;")=0,"",SUMIFS(BD!$V$3:$V$5001,BD!$A$3:$A$5001,M$3,BD!$B$3:$B$5001,$A$469)))</f>
        <v/>
      </c>
      <c r="N488" s="199" t="str">
        <f>IF(N$3="","",IF(COUNTIFS(BD!$A$3:$A$5001,N$3,BD!$B$3:$B$5001,$A$469,BD!$V$3:$V$5001,"&lt;&gt;")=0,"",SUMIFS(BD!$V$3:$V$5001,BD!$A$3:$A$5001,N$3,BD!$B$3:$B$5001,$A$469)))</f>
        <v/>
      </c>
      <c r="O488" s="199" t="str">
        <f>IF(O$3="","",IF(COUNTIFS(BD!$A$3:$A$5001,O$3,BD!$B$3:$B$5001,$A$469,BD!$V$3:$V$5001,"&lt;&gt;")=0,"",SUMIFS(BD!$V$3:$V$5001,BD!$A$3:$A$5001,O$3,BD!$B$3:$B$5001,$A$469)))</f>
        <v/>
      </c>
      <c r="P488" s="199" t="str">
        <f>IF(P$3="","",IF(COUNTIFS(BD!$A$3:$A$5001,P$3,BD!$B$3:$B$5001,$A$469,BD!$V$3:$V$5001,"&lt;&gt;")=0,"",SUMIFS(BD!$V$3:$V$5001,BD!$A$3:$A$5001,P$3,BD!$B$3:$B$5001,$A$469)))</f>
        <v/>
      </c>
      <c r="Q488" s="199" t="str">
        <f>IF(Q$3="","",IF(COUNTIFS(BD!$A$3:$A$5001,Q$3,BD!$B$3:$B$5001,$A$469,BD!$V$3:$V$5001,"&lt;&gt;")=0,"",SUMIFS(BD!$V$3:$V$5001,BD!$A$3:$A$5001,Q$3,BD!$B$3:$B$5001,$A$469)))</f>
        <v/>
      </c>
      <c r="R488" s="199" t="str">
        <f>IF(R$3="","",IF(COUNTIFS(BD!$A$3:$A$5001,R$3,BD!$B$3:$B$5001,$A$469,BD!$V$3:$V$5001,"&lt;&gt;")=0,"",SUMIFS(BD!$V$3:$V$5001,BD!$A$3:$A$5001,R$3,BD!$B$3:$B$5001,$A$469)))</f>
        <v/>
      </c>
      <c r="S488" s="199" t="str">
        <f>IF(S$3="","",IF(COUNTIFS(BD!$A$3:$A$5001,S$3,BD!$B$3:$B$5001,$A$469,BD!$V$3:$V$5001,"&lt;&gt;")=0,"",SUMIFS(BD!$V$3:$V$5001,BD!$A$3:$A$5001,S$3,BD!$B$3:$B$5001,$A$469)))</f>
        <v/>
      </c>
      <c r="T488" s="199" t="str">
        <f>IF(T$3="","",IF(COUNTIFS(BD!$A$3:$A$5001,T$3,BD!$B$3:$B$5001,$A$469,BD!$V$3:$V$5001,"&lt;&gt;")=0,"",SUMIFS(BD!$V$3:$V$5001,BD!$A$3:$A$5001,T$3,BD!$B$3:$B$5001,$A$469)))</f>
        <v/>
      </c>
      <c r="U488" s="199" t="str">
        <f>IF(U$3="","",IF(COUNTIFS(BD!$A$3:$A$5001,U$3,BD!$B$3:$B$5001,$A$469,BD!$V$3:$V$5001,"&lt;&gt;")=0,"",SUMIFS(BD!$V$3:$V$5001,BD!$A$3:$A$5001,U$3,BD!$B$3:$B$5001,$A$469)))</f>
        <v/>
      </c>
      <c r="V488" s="199" t="str">
        <f>IF(V$3="","",IF(COUNTIFS(BD!$A$3:$A$5001,V$3,BD!$B$3:$B$5001,$A$469,BD!$V$3:$V$5001,"&lt;&gt;")=0,"",SUMIFS(BD!$V$3:$V$5001,BD!$A$3:$A$5001,V$3,BD!$B$3:$B$5001,$A$469)))</f>
        <v/>
      </c>
      <c r="W488" s="199" t="str">
        <f>IF(W$3="","",IF(COUNTIFS(BD!$A$3:$A$5001,W$3,BD!$B$3:$B$5001,$A$469,BD!$V$3:$V$5001,"&lt;&gt;")=0,"",SUMIFS(BD!$V$3:$V$5001,BD!$A$3:$A$5001,W$3,BD!$B$3:$B$5001,$A$469)))</f>
        <v/>
      </c>
      <c r="X488" s="199" t="str">
        <f>IF(X$3="","",IF(COUNTIFS(BD!$A$3:$A$5001,X$3,BD!$B$3:$B$5001,$A$469,BD!$V$3:$V$5001,"&lt;&gt;")=0,"",SUMIFS(BD!$V$3:$V$5001,BD!$A$3:$A$5001,X$3,BD!$B$3:$B$5001,$A$469)))</f>
        <v/>
      </c>
      <c r="Y488" s="199" t="str">
        <f>IF(Y$3="","",IF(COUNTIFS(BD!$A$3:$A$5001,Y$3,BD!$B$3:$B$5001,$A$469,BD!$V$3:$V$5001,"&lt;&gt;")=0,"",SUMIFS(BD!$V$3:$V$5001,BD!$A$3:$A$5001,Y$3,BD!$B$3:$B$5001,$A$469)))</f>
        <v/>
      </c>
      <c r="Z488" s="199" t="str">
        <f>IF(Z$3="","",IF(COUNTIFS(BD!$A$3:$A$5001,Z$3,BD!$B$3:$B$5001,$A$469,BD!$V$3:$V$5001,"&lt;&gt;")=0,"",SUMIFS(BD!$V$3:$V$5001,BD!$A$3:$A$5001,Z$3,BD!$B$3:$B$5001,$A$469)))</f>
        <v/>
      </c>
      <c r="AA488" s="199" t="str">
        <f>IF(AA$3="","",IF(COUNTIFS(BD!$A$3:$A$5001,AA$3,BD!$B$3:$B$5001,$A$469,BD!$V$3:$V$5001,"&lt;&gt;")=0,"",SUMIFS(BD!$V$3:$V$5001,BD!$A$3:$A$5001,AA$3,BD!$B$3:$B$5001,$A$469)))</f>
        <v/>
      </c>
      <c r="AB488" s="199" t="str">
        <f>IF(AB$3="","",IF(COUNTIFS(BD!$A$3:$A$5001,AB$3,BD!$B$3:$B$5001,$A$469,BD!$V$3:$V$5001,"&lt;&gt;")=0,"",SUMIFS(BD!$V$3:$V$5001,BD!$A$3:$A$5001,AB$3,BD!$B$3:$B$5001,$A$469)))</f>
        <v/>
      </c>
      <c r="AC488" s="199" t="str">
        <f>IF(AC$3="","",IF(COUNTIFS(BD!$A$3:$A$5001,AC$3,BD!$B$3:$B$5001,$A$469,BD!$V$3:$V$5001,"&lt;&gt;")=0,"",SUMIFS(BD!$V$3:$V$5001,BD!$A$3:$A$5001,AC$3,BD!$B$3:$B$5001,$A$469)))</f>
        <v/>
      </c>
      <c r="AD488" s="199" t="str">
        <f>IF(AD$3="","",IF(COUNTIFS(BD!$A$3:$A$5001,AD$3,BD!$B$3:$B$5001,$A$469,BD!$V$3:$V$5001,"&lt;&gt;")=0,"",SUMIFS(BD!$V$3:$V$5001,BD!$A$3:$A$5001,AD$3,BD!$B$3:$B$5001,$A$469)))</f>
        <v/>
      </c>
      <c r="AE488" s="199" t="str">
        <f>IF(AE$3="","",IF(COUNTIFS(BD!$A$3:$A$5001,AE$3,BD!$B$3:$B$5001,$A$469,BD!$V$3:$V$5001,"&lt;&gt;")=0,"",SUMIFS(BD!$V$3:$V$5001,BD!$A$3:$A$5001,AE$3,BD!$B$3:$B$5001,$A$469)))</f>
        <v/>
      </c>
      <c r="AF488" s="199" t="str">
        <f>IF(AF$3="","",IF(COUNTIFS(BD!$A$3:$A$5001,AF$3,BD!$B$3:$B$5001,$A$469,BD!$V$3:$V$5001,"&lt;&gt;")=0,"",SUMIFS(BD!$V$3:$V$5001,BD!$A$3:$A$5001,AF$3,BD!$B$3:$B$5001,$A$469)))</f>
        <v/>
      </c>
      <c r="AG488" s="199" t="str">
        <f>IF(AG$3="","",IF(COUNTIFS(BD!$A$3:$A$5001,AG$3,BD!$B$3:$B$5001,$A$469,BD!$V$3:$V$5001,"&lt;&gt;")=0,"",SUMIFS(BD!$V$3:$V$5001,BD!$A$3:$A$5001,AG$3,BD!$B$3:$B$5001,$A$469)))</f>
        <v/>
      </c>
      <c r="AH488" s="199" t="str">
        <f>IF(AH$3="","",IF(COUNTIFS(BD!$A$3:$A$5001,AH$3,BD!$B$3:$B$5001,$A$469,BD!$V$3:$V$5001,"&lt;&gt;")=0,"",SUMIFS(BD!$V$3:$V$5001,BD!$A$3:$A$5001,AH$3,BD!$B$3:$B$5001,$A$469)))</f>
        <v/>
      </c>
      <c r="AI488" s="199" t="str">
        <f>IF(AI$3="","",IF(COUNTIFS(BD!$A$3:$A$5001,AI$3,BD!$B$3:$B$5001,$A$469,BD!$V$3:$V$5001,"&lt;&gt;")=0,"",SUMIFS(BD!$V$3:$V$5001,BD!$A$3:$A$5001,AI$3,BD!$B$3:$B$5001,$A$469)))</f>
        <v/>
      </c>
      <c r="AJ488" s="200" t="str">
        <f>IF(AJ$3="","",IF(COUNTIFS(BD!$A$3:$A$5001,AJ$3,BD!$B$3:$B$5001,$A$469,BD!$V$3:$V$5001,"&lt;&gt;")=0,"",SUMIFS(BD!$V$3:$V$5001,BD!$A$3:$A$5001,AJ$3,BD!$B$3:$B$5001,$A$469)))</f>
        <v/>
      </c>
      <c r="AK488" s="196" t="str">
        <f>IFERROR(LOOKUP(9.99E+307,F488:AJ488),"")</f>
        <v/>
      </c>
    </row>
    <row r="489" ht="15.75" customHeight="1" hidden="1">
      <c r="A489" s="244"/>
      <c r="B489" s="232" t="inlineStr">
        <is>
          <t xml:space="preserve">OCUPAÇÃO (P.P)</t>
        </is>
      </c>
      <c r="C489" s="155" t="inlineStr">
        <is>
          <t xml:space="preserve">Posições Disponíveis</t>
        </is>
      </c>
      <c r="D489" s="156" t="str">
        <f>IFERROR(1/(1/INDEX(BD!$AJ$43:$BD$43,MATCH($A$469,BD!$AJ$22:$BD$22,0))),"")</f>
        <v/>
      </c>
      <c r="E489" s="157"/>
      <c r="F489" s="158" t="str">
        <f>IF(F$3="","",IF(COUNTIFS(BD!$A$3:$A$5001,F$3,BD!$B$3:$B$5001,$A$469,BD!$W$3:$W$5001,"&lt;&gt;")=0,"",SUMIFS(BD!$W$3:$W$5001,BD!$A$3:$A$5001,F$3,BD!$B$3:$B$5001,$A$469)))</f>
        <v/>
      </c>
      <c r="G489" s="159" t="str">
        <f>IF(G$3="","",IF(COUNTIFS(BD!$A$3:$A$5001,G$3,BD!$B$3:$B$5001,$A$469,BD!$W$3:$W$5001,"&lt;&gt;")=0,"",SUMIFS(BD!$W$3:$W$5001,BD!$A$3:$A$5001,G$3,BD!$B$3:$B$5001,$A$469)))</f>
        <v/>
      </c>
      <c r="H489" s="159" t="str">
        <f>IF(H$3="","",IF(COUNTIFS(BD!$A$3:$A$5001,H$3,BD!$B$3:$B$5001,$A$469,BD!$W$3:$W$5001,"&lt;&gt;")=0,"",SUMIFS(BD!$W$3:$W$5001,BD!$A$3:$A$5001,H$3,BD!$B$3:$B$5001,$A$469)))</f>
        <v/>
      </c>
      <c r="I489" s="159" t="str">
        <f>IF(I$3="","",IF(COUNTIFS(BD!$A$3:$A$5001,I$3,BD!$B$3:$B$5001,$A$469,BD!$W$3:$W$5001,"&lt;&gt;")=0,"",SUMIFS(BD!$W$3:$W$5001,BD!$A$3:$A$5001,I$3,BD!$B$3:$B$5001,$A$469)))</f>
        <v/>
      </c>
      <c r="J489" s="159" t="str">
        <f>IF(J$3="","",IF(COUNTIFS(BD!$A$3:$A$5001,J$3,BD!$B$3:$B$5001,$A$469,BD!$W$3:$W$5001,"&lt;&gt;")=0,"",SUMIFS(BD!$W$3:$W$5001,BD!$A$3:$A$5001,J$3,BD!$B$3:$B$5001,$A$469)))</f>
        <v/>
      </c>
      <c r="K489" s="159" t="str">
        <f>IF(K$3="","",IF(COUNTIFS(BD!$A$3:$A$5001,K$3,BD!$B$3:$B$5001,$A$469,BD!$W$3:$W$5001,"&lt;&gt;")=0,"",SUMIFS(BD!$W$3:$W$5001,BD!$A$3:$A$5001,K$3,BD!$B$3:$B$5001,$A$469)))</f>
        <v/>
      </c>
      <c r="L489" s="159" t="str">
        <f>IF(L$3="","",IF(COUNTIFS(BD!$A$3:$A$5001,L$3,BD!$B$3:$B$5001,$A$469,BD!$W$3:$W$5001,"&lt;&gt;")=0,"",SUMIFS(BD!$W$3:$W$5001,BD!$A$3:$A$5001,L$3,BD!$B$3:$B$5001,$A$469)))</f>
        <v/>
      </c>
      <c r="M489" s="159" t="str">
        <f>IF(M$3="","",IF(COUNTIFS(BD!$A$3:$A$5001,M$3,BD!$B$3:$B$5001,$A$469,BD!$W$3:$W$5001,"&lt;&gt;")=0,"",SUMIFS(BD!$W$3:$W$5001,BD!$A$3:$A$5001,M$3,BD!$B$3:$B$5001,$A$469)))</f>
        <v/>
      </c>
      <c r="N489" s="159" t="str">
        <f>IF(N$3="","",IF(COUNTIFS(BD!$A$3:$A$5001,N$3,BD!$B$3:$B$5001,$A$469,BD!$W$3:$W$5001,"&lt;&gt;")=0,"",SUMIFS(BD!$W$3:$W$5001,BD!$A$3:$A$5001,N$3,BD!$B$3:$B$5001,$A$469)))</f>
        <v/>
      </c>
      <c r="O489" s="159" t="str">
        <f>IF(O$3="","",IF(COUNTIFS(BD!$A$3:$A$5001,O$3,BD!$B$3:$B$5001,$A$469,BD!$W$3:$W$5001,"&lt;&gt;")=0,"",SUMIFS(BD!$W$3:$W$5001,BD!$A$3:$A$5001,O$3,BD!$B$3:$B$5001,$A$469)))</f>
        <v/>
      </c>
      <c r="P489" s="159" t="str">
        <f>IF(P$3="","",IF(COUNTIFS(BD!$A$3:$A$5001,P$3,BD!$B$3:$B$5001,$A$469,BD!$W$3:$W$5001,"&lt;&gt;")=0,"",SUMIFS(BD!$W$3:$W$5001,BD!$A$3:$A$5001,P$3,BD!$B$3:$B$5001,$A$469)))</f>
        <v/>
      </c>
      <c r="Q489" s="159" t="str">
        <f>IF(Q$3="","",IF(COUNTIFS(BD!$A$3:$A$5001,Q$3,BD!$B$3:$B$5001,$A$469,BD!$W$3:$W$5001,"&lt;&gt;")=0,"",SUMIFS(BD!$W$3:$W$5001,BD!$A$3:$A$5001,Q$3,BD!$B$3:$B$5001,$A$469)))</f>
        <v/>
      </c>
      <c r="R489" s="159" t="str">
        <f>IF(R$3="","",IF(COUNTIFS(BD!$A$3:$A$5001,R$3,BD!$B$3:$B$5001,$A$469,BD!$W$3:$W$5001,"&lt;&gt;")=0,"",SUMIFS(BD!$W$3:$W$5001,BD!$A$3:$A$5001,R$3,BD!$B$3:$B$5001,$A$469)))</f>
        <v/>
      </c>
      <c r="S489" s="159" t="str">
        <f>IF(S$3="","",IF(COUNTIFS(BD!$A$3:$A$5001,S$3,BD!$B$3:$B$5001,$A$469,BD!$W$3:$W$5001,"&lt;&gt;")=0,"",SUMIFS(BD!$W$3:$W$5001,BD!$A$3:$A$5001,S$3,BD!$B$3:$B$5001,$A$469)))</f>
        <v/>
      </c>
      <c r="T489" s="159" t="str">
        <f>IF(T$3="","",IF(COUNTIFS(BD!$A$3:$A$5001,T$3,BD!$B$3:$B$5001,$A$469,BD!$W$3:$W$5001,"&lt;&gt;")=0,"",SUMIFS(BD!$W$3:$W$5001,BD!$A$3:$A$5001,T$3,BD!$B$3:$B$5001,$A$469)))</f>
        <v/>
      </c>
      <c r="U489" s="159" t="str">
        <f>IF(U$3="","",IF(COUNTIFS(BD!$A$3:$A$5001,U$3,BD!$B$3:$B$5001,$A$469,BD!$W$3:$W$5001,"&lt;&gt;")=0,"",SUMIFS(BD!$W$3:$W$5001,BD!$A$3:$A$5001,U$3,BD!$B$3:$B$5001,$A$469)))</f>
        <v/>
      </c>
      <c r="V489" s="159" t="str">
        <f>IF(V$3="","",IF(COUNTIFS(BD!$A$3:$A$5001,V$3,BD!$B$3:$B$5001,$A$469,BD!$W$3:$W$5001,"&lt;&gt;")=0,"",SUMIFS(BD!$W$3:$W$5001,BD!$A$3:$A$5001,V$3,BD!$B$3:$B$5001,$A$469)))</f>
        <v/>
      </c>
      <c r="W489" s="159" t="str">
        <f>IF(W$3="","",IF(COUNTIFS(BD!$A$3:$A$5001,W$3,BD!$B$3:$B$5001,$A$469,BD!$W$3:$W$5001,"&lt;&gt;")=0,"",SUMIFS(BD!$W$3:$W$5001,BD!$A$3:$A$5001,W$3,BD!$B$3:$B$5001,$A$469)))</f>
        <v/>
      </c>
      <c r="X489" s="159" t="str">
        <f>IF(X$3="","",IF(COUNTIFS(BD!$A$3:$A$5001,X$3,BD!$B$3:$B$5001,$A$469,BD!$W$3:$W$5001,"&lt;&gt;")=0,"",SUMIFS(BD!$W$3:$W$5001,BD!$A$3:$A$5001,X$3,BD!$B$3:$B$5001,$A$469)))</f>
        <v/>
      </c>
      <c r="Y489" s="159" t="str">
        <f>IF(Y$3="","",IF(COUNTIFS(BD!$A$3:$A$5001,Y$3,BD!$B$3:$B$5001,$A$469,BD!$W$3:$W$5001,"&lt;&gt;")=0,"",SUMIFS(BD!$W$3:$W$5001,BD!$A$3:$A$5001,Y$3,BD!$B$3:$B$5001,$A$469)))</f>
        <v/>
      </c>
      <c r="Z489" s="159" t="str">
        <f>IF(Z$3="","",IF(COUNTIFS(BD!$A$3:$A$5001,Z$3,BD!$B$3:$B$5001,$A$469,BD!$W$3:$W$5001,"&lt;&gt;")=0,"",SUMIFS(BD!$W$3:$W$5001,BD!$A$3:$A$5001,Z$3,BD!$B$3:$B$5001,$A$469)))</f>
        <v/>
      </c>
      <c r="AA489" s="159" t="str">
        <f>IF(AA$3="","",IF(COUNTIFS(BD!$A$3:$A$5001,AA$3,BD!$B$3:$B$5001,$A$469,BD!$W$3:$W$5001,"&lt;&gt;")=0,"",SUMIFS(BD!$W$3:$W$5001,BD!$A$3:$A$5001,AA$3,BD!$B$3:$B$5001,$A$469)))</f>
        <v/>
      </c>
      <c r="AB489" s="159" t="str">
        <f>IF(AB$3="","",IF(COUNTIFS(BD!$A$3:$A$5001,AB$3,BD!$B$3:$B$5001,$A$469,BD!$W$3:$W$5001,"&lt;&gt;")=0,"",SUMIFS(BD!$W$3:$W$5001,BD!$A$3:$A$5001,AB$3,BD!$B$3:$B$5001,$A$469)))</f>
        <v/>
      </c>
      <c r="AC489" s="159" t="str">
        <f>IF(AC$3="","",IF(COUNTIFS(BD!$A$3:$A$5001,AC$3,BD!$B$3:$B$5001,$A$469,BD!$W$3:$W$5001,"&lt;&gt;")=0,"",SUMIFS(BD!$W$3:$W$5001,BD!$A$3:$A$5001,AC$3,BD!$B$3:$B$5001,$A$469)))</f>
        <v/>
      </c>
      <c r="AD489" s="159" t="str">
        <f>IF(AD$3="","",IF(COUNTIFS(BD!$A$3:$A$5001,AD$3,BD!$B$3:$B$5001,$A$469,BD!$W$3:$W$5001,"&lt;&gt;")=0,"",SUMIFS(BD!$W$3:$W$5001,BD!$A$3:$A$5001,AD$3,BD!$B$3:$B$5001,$A$469)))</f>
        <v/>
      </c>
      <c r="AE489" s="159" t="str">
        <f>IF(AE$3="","",IF(COUNTIFS(BD!$A$3:$A$5001,AE$3,BD!$B$3:$B$5001,$A$469,BD!$W$3:$W$5001,"&lt;&gt;")=0,"",SUMIFS(BD!$W$3:$W$5001,BD!$A$3:$A$5001,AE$3,BD!$B$3:$B$5001,$A$469)))</f>
        <v/>
      </c>
      <c r="AF489" s="159" t="str">
        <f>IF(AF$3="","",IF(COUNTIFS(BD!$A$3:$A$5001,AF$3,BD!$B$3:$B$5001,$A$469,BD!$W$3:$W$5001,"&lt;&gt;")=0,"",SUMIFS(BD!$W$3:$W$5001,BD!$A$3:$A$5001,AF$3,BD!$B$3:$B$5001,$A$469)))</f>
        <v/>
      </c>
      <c r="AG489" s="159" t="str">
        <f>IF(AG$3="","",IF(COUNTIFS(BD!$A$3:$A$5001,AG$3,BD!$B$3:$B$5001,$A$469,BD!$W$3:$W$5001,"&lt;&gt;")=0,"",SUMIFS(BD!$W$3:$W$5001,BD!$A$3:$A$5001,AG$3,BD!$B$3:$B$5001,$A$469)))</f>
        <v/>
      </c>
      <c r="AH489" s="159" t="str">
        <f>IF(AH$3="","",IF(COUNTIFS(BD!$A$3:$A$5001,AH$3,BD!$B$3:$B$5001,$A$469,BD!$W$3:$W$5001,"&lt;&gt;")=0,"",SUMIFS(BD!$W$3:$W$5001,BD!$A$3:$A$5001,AH$3,BD!$B$3:$B$5001,$A$469)))</f>
        <v/>
      </c>
      <c r="AI489" s="159" t="str">
        <f>IF(AI$3="","",IF(COUNTIFS(BD!$A$3:$A$5001,AI$3,BD!$B$3:$B$5001,$A$469,BD!$W$3:$W$5001,"&lt;&gt;")=0,"",SUMIFS(BD!$W$3:$W$5001,BD!$A$3:$A$5001,AI$3,BD!$B$3:$B$5001,$A$469)))</f>
        <v/>
      </c>
      <c r="AJ489" s="160" t="str">
        <f>IF(AJ$3="","",IF(COUNTIFS(BD!$A$3:$A$5001,AJ$3,BD!$B$3:$B$5001,$A$469,BD!$W$3:$W$5001,"&lt;&gt;")=0,"",SUMIFS(BD!$W$3:$W$5001,BD!$A$3:$A$5001,AJ$3,BD!$B$3:$B$5001,$A$469)))</f>
        <v/>
      </c>
      <c r="AK489" s="161" t="str">
        <f>IF(COUNT(F489:AJ489)&gt;0,LOOKUP(9.99E+307,F489:AJ489),IFERROR(IF(INDEX(BD!$AG$3:$AG$5001,MATCH($A$469,BD!$B$3:$B$5001,0))&amp;""="Contrato","",INDEX(BD!$AG$3:$AG$5001,MATCH($A$469,BD!$B$3:$B$5001,0))&amp;""),""))</f>
        <v/>
      </c>
    </row>
    <row r="490" ht="15.75" customHeight="1" hidden="1">
      <c r="A490" s="244"/>
      <c r="B490" s="239"/>
      <c r="C490" s="201" t="inlineStr">
        <is>
          <t xml:space="preserve">Posições Ocupadas</t>
        </is>
      </c>
      <c r="D490" s="202" t="str">
        <f>IFERROR(1/(1/INDEX(BD!$AJ$44:$BD$44,MATCH($A$469,BD!$AJ$22:$BD$22,0))),"")</f>
        <v/>
      </c>
      <c r="E490" s="203"/>
      <c r="F490" s="204" t="str">
        <f>IF(F$3="","",IF(COUNTIFS(BD!$A$3:$A$5001,F$3,BD!$B$3:$B$5001,$A$469,BD!$X$3:$X$5001,"&lt;&gt;")=0,"",SUMIFS(BD!$X$3:$X$5001,BD!$A$3:$A$5001,F$3,BD!$B$3:$B$5001,$A$469)))</f>
        <v/>
      </c>
      <c r="G490" s="205" t="str">
        <f>IF(G$3="","",IF(COUNTIFS(BD!$A$3:$A$5001,G$3,BD!$B$3:$B$5001,$A$469,BD!$X$3:$X$5001,"&lt;&gt;")=0,"",SUMIFS(BD!$X$3:$X$5001,BD!$A$3:$A$5001,G$3,BD!$B$3:$B$5001,$A$469)))</f>
        <v/>
      </c>
      <c r="H490" s="205" t="str">
        <f>IF(H$3="","",IF(COUNTIFS(BD!$A$3:$A$5001,H$3,BD!$B$3:$B$5001,$A$469,BD!$X$3:$X$5001,"&lt;&gt;")=0,"",SUMIFS(BD!$X$3:$X$5001,BD!$A$3:$A$5001,H$3,BD!$B$3:$B$5001,$A$469)))</f>
        <v/>
      </c>
      <c r="I490" s="205" t="str">
        <f>IF(I$3="","",IF(COUNTIFS(BD!$A$3:$A$5001,I$3,BD!$B$3:$B$5001,$A$469,BD!$X$3:$X$5001,"&lt;&gt;")=0,"",SUMIFS(BD!$X$3:$X$5001,BD!$A$3:$A$5001,I$3,BD!$B$3:$B$5001,$A$469)))</f>
        <v/>
      </c>
      <c r="J490" s="205" t="str">
        <f>IF(J$3="","",IF(COUNTIFS(BD!$A$3:$A$5001,J$3,BD!$B$3:$B$5001,$A$469,BD!$X$3:$X$5001,"&lt;&gt;")=0,"",SUMIFS(BD!$X$3:$X$5001,BD!$A$3:$A$5001,J$3,BD!$B$3:$B$5001,$A$469)))</f>
        <v/>
      </c>
      <c r="K490" s="205" t="str">
        <f>IF(K$3="","",IF(COUNTIFS(BD!$A$3:$A$5001,K$3,BD!$B$3:$B$5001,$A$469,BD!$X$3:$X$5001,"&lt;&gt;")=0,"",SUMIFS(BD!$X$3:$X$5001,BD!$A$3:$A$5001,K$3,BD!$B$3:$B$5001,$A$469)))</f>
        <v/>
      </c>
      <c r="L490" s="205" t="str">
        <f>IF(L$3="","",IF(COUNTIFS(BD!$A$3:$A$5001,L$3,BD!$B$3:$B$5001,$A$469,BD!$X$3:$X$5001,"&lt;&gt;")=0,"",SUMIFS(BD!$X$3:$X$5001,BD!$A$3:$A$5001,L$3,BD!$B$3:$B$5001,$A$469)))</f>
        <v/>
      </c>
      <c r="M490" s="205" t="str">
        <f>IF(M$3="","",IF(COUNTIFS(BD!$A$3:$A$5001,M$3,BD!$B$3:$B$5001,$A$469,BD!$X$3:$X$5001,"&lt;&gt;")=0,"",SUMIFS(BD!$X$3:$X$5001,BD!$A$3:$A$5001,M$3,BD!$B$3:$B$5001,$A$469)))</f>
        <v/>
      </c>
      <c r="N490" s="205" t="str">
        <f>IF(N$3="","",IF(COUNTIFS(BD!$A$3:$A$5001,N$3,BD!$B$3:$B$5001,$A$469,BD!$X$3:$X$5001,"&lt;&gt;")=0,"",SUMIFS(BD!$X$3:$X$5001,BD!$A$3:$A$5001,N$3,BD!$B$3:$B$5001,$A$469)))</f>
        <v/>
      </c>
      <c r="O490" s="205" t="str">
        <f>IF(O$3="","",IF(COUNTIFS(BD!$A$3:$A$5001,O$3,BD!$B$3:$B$5001,$A$469,BD!$X$3:$X$5001,"&lt;&gt;")=0,"",SUMIFS(BD!$X$3:$X$5001,BD!$A$3:$A$5001,O$3,BD!$B$3:$B$5001,$A$469)))</f>
        <v/>
      </c>
      <c r="P490" s="205" t="str">
        <f>IF(P$3="","",IF(COUNTIFS(BD!$A$3:$A$5001,P$3,BD!$B$3:$B$5001,$A$469,BD!$X$3:$X$5001,"&lt;&gt;")=0,"",SUMIFS(BD!$X$3:$X$5001,BD!$A$3:$A$5001,P$3,BD!$B$3:$B$5001,$A$469)))</f>
        <v/>
      </c>
      <c r="Q490" s="205" t="str">
        <f>IF(Q$3="","",IF(COUNTIFS(BD!$A$3:$A$5001,Q$3,BD!$B$3:$B$5001,$A$469,BD!$X$3:$X$5001,"&lt;&gt;")=0,"",SUMIFS(BD!$X$3:$X$5001,BD!$A$3:$A$5001,Q$3,BD!$B$3:$B$5001,$A$469)))</f>
        <v/>
      </c>
      <c r="R490" s="205" t="str">
        <f>IF(R$3="","",IF(COUNTIFS(BD!$A$3:$A$5001,R$3,BD!$B$3:$B$5001,$A$469,BD!$X$3:$X$5001,"&lt;&gt;")=0,"",SUMIFS(BD!$X$3:$X$5001,BD!$A$3:$A$5001,R$3,BD!$B$3:$B$5001,$A$469)))</f>
        <v/>
      </c>
      <c r="S490" s="205" t="str">
        <f>IF(S$3="","",IF(COUNTIFS(BD!$A$3:$A$5001,S$3,BD!$B$3:$B$5001,$A$469,BD!$X$3:$X$5001,"&lt;&gt;")=0,"",SUMIFS(BD!$X$3:$X$5001,BD!$A$3:$A$5001,S$3,BD!$B$3:$B$5001,$A$469)))</f>
        <v/>
      </c>
      <c r="T490" s="205" t="str">
        <f>IF(T$3="","",IF(COUNTIFS(BD!$A$3:$A$5001,T$3,BD!$B$3:$B$5001,$A$469,BD!$X$3:$X$5001,"&lt;&gt;")=0,"",SUMIFS(BD!$X$3:$X$5001,BD!$A$3:$A$5001,T$3,BD!$B$3:$B$5001,$A$469)))</f>
        <v/>
      </c>
      <c r="U490" s="205" t="str">
        <f>IF(U$3="","",IF(COUNTIFS(BD!$A$3:$A$5001,U$3,BD!$B$3:$B$5001,$A$469,BD!$X$3:$X$5001,"&lt;&gt;")=0,"",SUMIFS(BD!$X$3:$X$5001,BD!$A$3:$A$5001,U$3,BD!$B$3:$B$5001,$A$469)))</f>
        <v/>
      </c>
      <c r="V490" s="205" t="str">
        <f>IF(V$3="","",IF(COUNTIFS(BD!$A$3:$A$5001,V$3,BD!$B$3:$B$5001,$A$469,BD!$X$3:$X$5001,"&lt;&gt;")=0,"",SUMIFS(BD!$X$3:$X$5001,BD!$A$3:$A$5001,V$3,BD!$B$3:$B$5001,$A$469)))</f>
        <v/>
      </c>
      <c r="W490" s="205" t="str">
        <f>IF(W$3="","",IF(COUNTIFS(BD!$A$3:$A$5001,W$3,BD!$B$3:$B$5001,$A$469,BD!$X$3:$X$5001,"&lt;&gt;")=0,"",SUMIFS(BD!$X$3:$X$5001,BD!$A$3:$A$5001,W$3,BD!$B$3:$B$5001,$A$469)))</f>
        <v/>
      </c>
      <c r="X490" s="205" t="str">
        <f>IF(X$3="","",IF(COUNTIFS(BD!$A$3:$A$5001,X$3,BD!$B$3:$B$5001,$A$469,BD!$X$3:$X$5001,"&lt;&gt;")=0,"",SUMIFS(BD!$X$3:$X$5001,BD!$A$3:$A$5001,X$3,BD!$B$3:$B$5001,$A$469)))</f>
        <v/>
      </c>
      <c r="Y490" s="205" t="str">
        <f>IF(Y$3="","",IF(COUNTIFS(BD!$A$3:$A$5001,Y$3,BD!$B$3:$B$5001,$A$469,BD!$X$3:$X$5001,"&lt;&gt;")=0,"",SUMIFS(BD!$X$3:$X$5001,BD!$A$3:$A$5001,Y$3,BD!$B$3:$B$5001,$A$469)))</f>
        <v/>
      </c>
      <c r="Z490" s="205" t="str">
        <f>IF(Z$3="","",IF(COUNTIFS(BD!$A$3:$A$5001,Z$3,BD!$B$3:$B$5001,$A$469,BD!$X$3:$X$5001,"&lt;&gt;")=0,"",SUMIFS(BD!$X$3:$X$5001,BD!$A$3:$A$5001,Z$3,BD!$B$3:$B$5001,$A$469)))</f>
        <v/>
      </c>
      <c r="AA490" s="205" t="str">
        <f>IF(AA$3="","",IF(COUNTIFS(BD!$A$3:$A$5001,AA$3,BD!$B$3:$B$5001,$A$469,BD!$X$3:$X$5001,"&lt;&gt;")=0,"",SUMIFS(BD!$X$3:$X$5001,BD!$A$3:$A$5001,AA$3,BD!$B$3:$B$5001,$A$469)))</f>
        <v/>
      </c>
      <c r="AB490" s="205" t="str">
        <f>IF(AB$3="","",IF(COUNTIFS(BD!$A$3:$A$5001,AB$3,BD!$B$3:$B$5001,$A$469,BD!$X$3:$X$5001,"&lt;&gt;")=0,"",SUMIFS(BD!$X$3:$X$5001,BD!$A$3:$A$5001,AB$3,BD!$B$3:$B$5001,$A$469)))</f>
        <v/>
      </c>
      <c r="AC490" s="205" t="str">
        <f>IF(AC$3="","",IF(COUNTIFS(BD!$A$3:$A$5001,AC$3,BD!$B$3:$B$5001,$A$469,BD!$X$3:$X$5001,"&lt;&gt;")=0,"",SUMIFS(BD!$X$3:$X$5001,BD!$A$3:$A$5001,AC$3,BD!$B$3:$B$5001,$A$469)))</f>
        <v/>
      </c>
      <c r="AD490" s="205" t="str">
        <f>IF(AD$3="","",IF(COUNTIFS(BD!$A$3:$A$5001,AD$3,BD!$B$3:$B$5001,$A$469,BD!$X$3:$X$5001,"&lt;&gt;")=0,"",SUMIFS(BD!$X$3:$X$5001,BD!$A$3:$A$5001,AD$3,BD!$B$3:$B$5001,$A$469)))</f>
        <v/>
      </c>
      <c r="AE490" s="205" t="str">
        <f>IF(AE$3="","",IF(COUNTIFS(BD!$A$3:$A$5001,AE$3,BD!$B$3:$B$5001,$A$469,BD!$X$3:$X$5001,"&lt;&gt;")=0,"",SUMIFS(BD!$X$3:$X$5001,BD!$A$3:$A$5001,AE$3,BD!$B$3:$B$5001,$A$469)))</f>
        <v/>
      </c>
      <c r="AF490" s="205" t="str">
        <f>IF(AF$3="","",IF(COUNTIFS(BD!$A$3:$A$5001,AF$3,BD!$B$3:$B$5001,$A$469,BD!$X$3:$X$5001,"&lt;&gt;")=0,"",SUMIFS(BD!$X$3:$X$5001,BD!$A$3:$A$5001,AF$3,BD!$B$3:$B$5001,$A$469)))</f>
        <v/>
      </c>
      <c r="AG490" s="205" t="str">
        <f>IF(AG$3="","",IF(COUNTIFS(BD!$A$3:$A$5001,AG$3,BD!$B$3:$B$5001,$A$469,BD!$X$3:$X$5001,"&lt;&gt;")=0,"",SUMIFS(BD!$X$3:$X$5001,BD!$A$3:$A$5001,AG$3,BD!$B$3:$B$5001,$A$469)))</f>
        <v/>
      </c>
      <c r="AH490" s="205" t="str">
        <f>IF(AH$3="","",IF(COUNTIFS(BD!$A$3:$A$5001,AH$3,BD!$B$3:$B$5001,$A$469,BD!$X$3:$X$5001,"&lt;&gt;")=0,"",SUMIFS(BD!$X$3:$X$5001,BD!$A$3:$A$5001,AH$3,BD!$B$3:$B$5001,$A$469)))</f>
        <v/>
      </c>
      <c r="AI490" s="205" t="str">
        <f>IF(AI$3="","",IF(COUNTIFS(BD!$A$3:$A$5001,AI$3,BD!$B$3:$B$5001,$A$469,BD!$X$3:$X$5001,"&lt;&gt;")=0,"",SUMIFS(BD!$X$3:$X$5001,BD!$A$3:$A$5001,AI$3,BD!$B$3:$B$5001,$A$469)))</f>
        <v/>
      </c>
      <c r="AJ490" s="206" t="str">
        <f>IF(AJ$3="","",IF(COUNTIFS(BD!$A$3:$A$5001,AJ$3,BD!$B$3:$B$5001,$A$469,BD!$X$3:$X$5001,"&lt;&gt;")=0,"",SUMIFS(BD!$X$3:$X$5001,BD!$A$3:$A$5001,AJ$3,BD!$B$3:$B$5001,$A$469)))</f>
        <v/>
      </c>
      <c r="AK490" s="207" t="str">
        <f>IFERROR(LOOKUP(9.99E+307,F490:AJ490),"")</f>
        <v/>
      </c>
    </row>
    <row r="491" ht="15.75" customHeight="1" hidden="1">
      <c r="A491" s="244"/>
      <c r="B491" s="233"/>
      <c r="C491" s="162" t="inlineStr">
        <is>
          <t xml:space="preserve">Taxa de Ocupação</t>
        </is>
      </c>
      <c r="D491" s="208" t="str">
        <f>IFERROR(1/(1/INDEX(BD!$AJ$45:$BD$45,MATCH($A$469,BD!$AJ$22:$BD$22,0))),"")</f>
        <v/>
      </c>
      <c r="E491" s="164"/>
      <c r="F491" s="209" t="str">
        <f>IF(AND(ISNUMBER(F489),ISNUMBER(F490)),IF(F489&gt;0,F490/F489,""),"")</f>
        <v/>
      </c>
      <c r="G491" s="210" t="str">
        <f>IF(AND(ISNUMBER(G489),ISNUMBER(G490)),IF(G489&gt;0,G490/G489,""),"")</f>
        <v/>
      </c>
      <c r="H491" s="210" t="str">
        <f>IF(AND(ISNUMBER(H489),ISNUMBER(H490)),IF(H489&gt;0,H490/H489,""),"")</f>
        <v/>
      </c>
      <c r="I491" s="210" t="str">
        <f>IF(AND(ISNUMBER(I489),ISNUMBER(I490)),IF(I489&gt;0,I490/I489,""),"")</f>
        <v/>
      </c>
      <c r="J491" s="210" t="str">
        <f>IF(AND(ISNUMBER(J489),ISNUMBER(J490)),IF(J489&gt;0,J490/J489,""),"")</f>
        <v/>
      </c>
      <c r="K491" s="210" t="str">
        <f>IF(AND(ISNUMBER(K489),ISNUMBER(K490)),IF(K489&gt;0,K490/K489,""),"")</f>
        <v/>
      </c>
      <c r="L491" s="210" t="str">
        <f>IF(AND(ISNUMBER(L489),ISNUMBER(L490)),IF(L489&gt;0,L490/L489,""),"")</f>
        <v/>
      </c>
      <c r="M491" s="210" t="str">
        <f>IF(AND(ISNUMBER(M489),ISNUMBER(M490)),IF(M489&gt;0,M490/M489,""),"")</f>
        <v/>
      </c>
      <c r="N491" s="210" t="str">
        <f>IF(AND(ISNUMBER(N489),ISNUMBER(N490)),IF(N489&gt;0,N490/N489,""),"")</f>
        <v/>
      </c>
      <c r="O491" s="210" t="str">
        <f>IF(AND(ISNUMBER(O489),ISNUMBER(O490)),IF(O489&gt;0,O490/O489,""),"")</f>
        <v/>
      </c>
      <c r="P491" s="210" t="str">
        <f>IF(AND(ISNUMBER(P489),ISNUMBER(P490)),IF(P489&gt;0,P490/P489,""),"")</f>
        <v/>
      </c>
      <c r="Q491" s="210" t="str">
        <f>IF(AND(ISNUMBER(Q489),ISNUMBER(Q490)),IF(Q489&gt;0,Q490/Q489,""),"")</f>
        <v/>
      </c>
      <c r="R491" s="210" t="str">
        <f>IF(AND(ISNUMBER(R489),ISNUMBER(R490)),IF(R489&gt;0,R490/R489,""),"")</f>
        <v/>
      </c>
      <c r="S491" s="210" t="str">
        <f>IF(AND(ISNUMBER(S489),ISNUMBER(S490)),IF(S489&gt;0,S490/S489,""),"")</f>
        <v/>
      </c>
      <c r="T491" s="210" t="str">
        <f>IF(AND(ISNUMBER(T489),ISNUMBER(T490)),IF(T489&gt;0,T490/T489,""),"")</f>
        <v/>
      </c>
      <c r="U491" s="210" t="str">
        <f>IF(AND(ISNUMBER(U489),ISNUMBER(U490)),IF(U489&gt;0,U490/U489,""),"")</f>
        <v/>
      </c>
      <c r="V491" s="210" t="str">
        <f>IF(AND(ISNUMBER(V489),ISNUMBER(V490)),IF(V489&gt;0,V490/V489,""),"")</f>
        <v/>
      </c>
      <c r="W491" s="210" t="str">
        <f>IF(AND(ISNUMBER(W489),ISNUMBER(W490)),IF(W489&gt;0,W490/W489,""),"")</f>
        <v/>
      </c>
      <c r="X491" s="210" t="str">
        <f>IF(AND(ISNUMBER(X489),ISNUMBER(X490)),IF(X489&gt;0,X490/X489,""),"")</f>
        <v/>
      </c>
      <c r="Y491" s="210" t="str">
        <f>IF(AND(ISNUMBER(Y489),ISNUMBER(Y490)),IF(Y489&gt;0,Y490/Y489,""),"")</f>
        <v/>
      </c>
      <c r="Z491" s="210" t="str">
        <f>IF(AND(ISNUMBER(Z489),ISNUMBER(Z490)),IF(Z489&gt;0,Z490/Z489,""),"")</f>
        <v/>
      </c>
      <c r="AA491" s="210" t="str">
        <f>IF(AND(ISNUMBER(AA489),ISNUMBER(AA490)),IF(AA489&gt;0,AA490/AA489,""),"")</f>
        <v/>
      </c>
      <c r="AB491" s="210" t="str">
        <f>IF(AND(ISNUMBER(AB489),ISNUMBER(AB490)),IF(AB489&gt;0,AB490/AB489,""),"")</f>
        <v/>
      </c>
      <c r="AC491" s="210" t="str">
        <f>IF(AND(ISNUMBER(AC489),ISNUMBER(AC490)),IF(AC489&gt;0,AC490/AC489,""),"")</f>
        <v/>
      </c>
      <c r="AD491" s="210" t="str">
        <f>IF(AND(ISNUMBER(AD489),ISNUMBER(AD490)),IF(AD489&gt;0,AD490/AD489,""),"")</f>
        <v/>
      </c>
      <c r="AE491" s="210" t="str">
        <f>IF(AND(ISNUMBER(AE489),ISNUMBER(AE490)),IF(AE489&gt;0,AE490/AE489,""),"")</f>
        <v/>
      </c>
      <c r="AF491" s="210" t="str">
        <f>IF(AND(ISNUMBER(AF489),ISNUMBER(AF490)),IF(AF489&gt;0,AF490/AF489,""),"")</f>
        <v/>
      </c>
      <c r="AG491" s="210" t="str">
        <f>IF(AND(ISNUMBER(AG489),ISNUMBER(AG490)),IF(AG489&gt;0,AG490/AG489,""),"")</f>
        <v/>
      </c>
      <c r="AH491" s="210" t="str">
        <f>IF(AND(ISNUMBER(AH489),ISNUMBER(AH490)),IF(AH489&gt;0,AH490/AH489,""),"")</f>
        <v/>
      </c>
      <c r="AI491" s="210" t="str">
        <f>IF(AND(ISNUMBER(AI489),ISNUMBER(AI490)),IF(AI489&gt;0,AI490/AI489,""),"")</f>
        <v/>
      </c>
      <c r="AJ491" s="211" t="str">
        <f>IF(AND(ISNUMBER(AJ489),ISNUMBER(AJ490)),IF(AJ489&gt;0,AJ490/AJ489,""),"")</f>
        <v/>
      </c>
      <c r="AK491" s="208" t="str">
        <f>IF(AND(ISNUMBER(AK489),ISNUMBER(AK490)),IF(AK489&gt;0,AK490/AK489,""),"")</f>
        <v/>
      </c>
    </row>
    <row r="492" ht="15.75" customHeight="1" hidden="1">
      <c r="A492" s="244"/>
      <c r="B492" s="240" t="inlineStr">
        <is>
          <t xml:space="preserve">GENTE</t>
        </is>
      </c>
      <c r="C492" s="212" t="inlineStr">
        <is>
          <t xml:space="preserve">Efetivo Op.</t>
        </is>
      </c>
      <c r="D492" s="213" t="str">
        <f>IFERROR(1/(1/INDEX(BD!$AJ$46:$BD$46,MATCH($A$469,BD!$AJ$22:$BD$22,0))),"")</f>
        <v/>
      </c>
      <c r="E492" s="214"/>
      <c r="F492" s="215" t="str">
        <f>IF(F$3="","",IF(COUNTIFS(BD!$A$3:$A$5001,F$3,BD!$B$3:$B$5001,$A$469,BD!$Y$3:$Y$5001,"&lt;&gt;")=0,"",SUMIFS(BD!$Y$3:$Y$5001,BD!$A$3:$A$5001,F$3,BD!$B$3:$B$5001,$A$469)))</f>
        <v/>
      </c>
      <c r="G492" s="216" t="str">
        <f>IF(G$3="","",IF(COUNTIFS(BD!$A$3:$A$5001,G$3,BD!$B$3:$B$5001,$A$469,BD!$Y$3:$Y$5001,"&lt;&gt;")=0,"",SUMIFS(BD!$Y$3:$Y$5001,BD!$A$3:$A$5001,G$3,BD!$B$3:$B$5001,$A$469)))</f>
        <v/>
      </c>
      <c r="H492" s="216" t="str">
        <f>IF(H$3="","",IF(COUNTIFS(BD!$A$3:$A$5001,H$3,BD!$B$3:$B$5001,$A$469,BD!$Y$3:$Y$5001,"&lt;&gt;")=0,"",SUMIFS(BD!$Y$3:$Y$5001,BD!$A$3:$A$5001,H$3,BD!$B$3:$B$5001,$A$469)))</f>
        <v/>
      </c>
      <c r="I492" s="216" t="str">
        <f>IF(I$3="","",IF(COUNTIFS(BD!$A$3:$A$5001,I$3,BD!$B$3:$B$5001,$A$469,BD!$Y$3:$Y$5001,"&lt;&gt;")=0,"",SUMIFS(BD!$Y$3:$Y$5001,BD!$A$3:$A$5001,I$3,BD!$B$3:$B$5001,$A$469)))</f>
        <v/>
      </c>
      <c r="J492" s="216" t="str">
        <f>IF(J$3="","",IF(COUNTIFS(BD!$A$3:$A$5001,J$3,BD!$B$3:$B$5001,$A$469,BD!$Y$3:$Y$5001,"&lt;&gt;")=0,"",SUMIFS(BD!$Y$3:$Y$5001,BD!$A$3:$A$5001,J$3,BD!$B$3:$B$5001,$A$469)))</f>
        <v/>
      </c>
      <c r="K492" s="216" t="str">
        <f>IF(K$3="","",IF(COUNTIFS(BD!$A$3:$A$5001,K$3,BD!$B$3:$B$5001,$A$469,BD!$Y$3:$Y$5001,"&lt;&gt;")=0,"",SUMIFS(BD!$Y$3:$Y$5001,BD!$A$3:$A$5001,K$3,BD!$B$3:$B$5001,$A$469)))</f>
        <v/>
      </c>
      <c r="L492" s="216" t="str">
        <f>IF(L$3="","",IF(COUNTIFS(BD!$A$3:$A$5001,L$3,BD!$B$3:$B$5001,$A$469,BD!$Y$3:$Y$5001,"&lt;&gt;")=0,"",SUMIFS(BD!$Y$3:$Y$5001,BD!$A$3:$A$5001,L$3,BD!$B$3:$B$5001,$A$469)))</f>
        <v/>
      </c>
      <c r="M492" s="216" t="str">
        <f>IF(M$3="","",IF(COUNTIFS(BD!$A$3:$A$5001,M$3,BD!$B$3:$B$5001,$A$469,BD!$Y$3:$Y$5001,"&lt;&gt;")=0,"",SUMIFS(BD!$Y$3:$Y$5001,BD!$A$3:$A$5001,M$3,BD!$B$3:$B$5001,$A$469)))</f>
        <v/>
      </c>
      <c r="N492" s="216" t="str">
        <f>IF(N$3="","",IF(COUNTIFS(BD!$A$3:$A$5001,N$3,BD!$B$3:$B$5001,$A$469,BD!$Y$3:$Y$5001,"&lt;&gt;")=0,"",SUMIFS(BD!$Y$3:$Y$5001,BD!$A$3:$A$5001,N$3,BD!$B$3:$B$5001,$A$469)))</f>
        <v/>
      </c>
      <c r="O492" s="216" t="str">
        <f>IF(O$3="","",IF(COUNTIFS(BD!$A$3:$A$5001,O$3,BD!$B$3:$B$5001,$A$469,BD!$Y$3:$Y$5001,"&lt;&gt;")=0,"",SUMIFS(BD!$Y$3:$Y$5001,BD!$A$3:$A$5001,O$3,BD!$B$3:$B$5001,$A$469)))</f>
        <v/>
      </c>
      <c r="P492" s="216" t="str">
        <f>IF(P$3="","",IF(COUNTIFS(BD!$A$3:$A$5001,P$3,BD!$B$3:$B$5001,$A$469,BD!$Y$3:$Y$5001,"&lt;&gt;")=0,"",SUMIFS(BD!$Y$3:$Y$5001,BD!$A$3:$A$5001,P$3,BD!$B$3:$B$5001,$A$469)))</f>
        <v/>
      </c>
      <c r="Q492" s="216" t="str">
        <f>IF(Q$3="","",IF(COUNTIFS(BD!$A$3:$A$5001,Q$3,BD!$B$3:$B$5001,$A$469,BD!$Y$3:$Y$5001,"&lt;&gt;")=0,"",SUMIFS(BD!$Y$3:$Y$5001,BD!$A$3:$A$5001,Q$3,BD!$B$3:$B$5001,$A$469)))</f>
        <v/>
      </c>
      <c r="R492" s="216" t="str">
        <f>IF(R$3="","",IF(COUNTIFS(BD!$A$3:$A$5001,R$3,BD!$B$3:$B$5001,$A$469,BD!$Y$3:$Y$5001,"&lt;&gt;")=0,"",SUMIFS(BD!$Y$3:$Y$5001,BD!$A$3:$A$5001,R$3,BD!$B$3:$B$5001,$A$469)))</f>
        <v/>
      </c>
      <c r="S492" s="216" t="str">
        <f>IF(S$3="","",IF(COUNTIFS(BD!$A$3:$A$5001,S$3,BD!$B$3:$B$5001,$A$469,BD!$Y$3:$Y$5001,"&lt;&gt;")=0,"",SUMIFS(BD!$Y$3:$Y$5001,BD!$A$3:$A$5001,S$3,BD!$B$3:$B$5001,$A$469)))</f>
        <v/>
      </c>
      <c r="T492" s="216" t="str">
        <f>IF(T$3="","",IF(COUNTIFS(BD!$A$3:$A$5001,T$3,BD!$B$3:$B$5001,$A$469,BD!$Y$3:$Y$5001,"&lt;&gt;")=0,"",SUMIFS(BD!$Y$3:$Y$5001,BD!$A$3:$A$5001,T$3,BD!$B$3:$B$5001,$A$469)))</f>
        <v/>
      </c>
      <c r="U492" s="216" t="str">
        <f>IF(U$3="","",IF(COUNTIFS(BD!$A$3:$A$5001,U$3,BD!$B$3:$B$5001,$A$469,BD!$Y$3:$Y$5001,"&lt;&gt;")=0,"",SUMIFS(BD!$Y$3:$Y$5001,BD!$A$3:$A$5001,U$3,BD!$B$3:$B$5001,$A$469)))</f>
        <v/>
      </c>
      <c r="V492" s="216" t="str">
        <f>IF(V$3="","",IF(COUNTIFS(BD!$A$3:$A$5001,V$3,BD!$B$3:$B$5001,$A$469,BD!$Y$3:$Y$5001,"&lt;&gt;")=0,"",SUMIFS(BD!$Y$3:$Y$5001,BD!$A$3:$A$5001,V$3,BD!$B$3:$B$5001,$A$469)))</f>
        <v/>
      </c>
      <c r="W492" s="216" t="str">
        <f>IF(W$3="","",IF(COUNTIFS(BD!$A$3:$A$5001,W$3,BD!$B$3:$B$5001,$A$469,BD!$Y$3:$Y$5001,"&lt;&gt;")=0,"",SUMIFS(BD!$Y$3:$Y$5001,BD!$A$3:$A$5001,W$3,BD!$B$3:$B$5001,$A$469)))</f>
        <v/>
      </c>
      <c r="X492" s="216" t="str">
        <f>IF(X$3="","",IF(COUNTIFS(BD!$A$3:$A$5001,X$3,BD!$B$3:$B$5001,$A$469,BD!$Y$3:$Y$5001,"&lt;&gt;")=0,"",SUMIFS(BD!$Y$3:$Y$5001,BD!$A$3:$A$5001,X$3,BD!$B$3:$B$5001,$A$469)))</f>
        <v/>
      </c>
      <c r="Y492" s="216" t="str">
        <f>IF(Y$3="","",IF(COUNTIFS(BD!$A$3:$A$5001,Y$3,BD!$B$3:$B$5001,$A$469,BD!$Y$3:$Y$5001,"&lt;&gt;")=0,"",SUMIFS(BD!$Y$3:$Y$5001,BD!$A$3:$A$5001,Y$3,BD!$B$3:$B$5001,$A$469)))</f>
        <v/>
      </c>
      <c r="Z492" s="216" t="str">
        <f>IF(Z$3="","",IF(COUNTIFS(BD!$A$3:$A$5001,Z$3,BD!$B$3:$B$5001,$A$469,BD!$Y$3:$Y$5001,"&lt;&gt;")=0,"",SUMIFS(BD!$Y$3:$Y$5001,BD!$A$3:$A$5001,Z$3,BD!$B$3:$B$5001,$A$469)))</f>
        <v/>
      </c>
      <c r="AA492" s="216" t="str">
        <f>IF(AA$3="","",IF(COUNTIFS(BD!$A$3:$A$5001,AA$3,BD!$B$3:$B$5001,$A$469,BD!$Y$3:$Y$5001,"&lt;&gt;")=0,"",SUMIFS(BD!$Y$3:$Y$5001,BD!$A$3:$A$5001,AA$3,BD!$B$3:$B$5001,$A$469)))</f>
        <v/>
      </c>
      <c r="AB492" s="216" t="str">
        <f>IF(AB$3="","",IF(COUNTIFS(BD!$A$3:$A$5001,AB$3,BD!$B$3:$B$5001,$A$469,BD!$Y$3:$Y$5001,"&lt;&gt;")=0,"",SUMIFS(BD!$Y$3:$Y$5001,BD!$A$3:$A$5001,AB$3,BD!$B$3:$B$5001,$A$469)))</f>
        <v/>
      </c>
      <c r="AC492" s="216" t="str">
        <f>IF(AC$3="","",IF(COUNTIFS(BD!$A$3:$A$5001,AC$3,BD!$B$3:$B$5001,$A$469,BD!$Y$3:$Y$5001,"&lt;&gt;")=0,"",SUMIFS(BD!$Y$3:$Y$5001,BD!$A$3:$A$5001,AC$3,BD!$B$3:$B$5001,$A$469)))</f>
        <v/>
      </c>
      <c r="AD492" s="216" t="str">
        <f>IF(AD$3="","",IF(COUNTIFS(BD!$A$3:$A$5001,AD$3,BD!$B$3:$B$5001,$A$469,BD!$Y$3:$Y$5001,"&lt;&gt;")=0,"",SUMIFS(BD!$Y$3:$Y$5001,BD!$A$3:$A$5001,AD$3,BD!$B$3:$B$5001,$A$469)))</f>
        <v/>
      </c>
      <c r="AE492" s="216" t="str">
        <f>IF(AE$3="","",IF(COUNTIFS(BD!$A$3:$A$5001,AE$3,BD!$B$3:$B$5001,$A$469,BD!$Y$3:$Y$5001,"&lt;&gt;")=0,"",SUMIFS(BD!$Y$3:$Y$5001,BD!$A$3:$A$5001,AE$3,BD!$B$3:$B$5001,$A$469)))</f>
        <v/>
      </c>
      <c r="AF492" s="216" t="str">
        <f>IF(AF$3="","",IF(COUNTIFS(BD!$A$3:$A$5001,AF$3,BD!$B$3:$B$5001,$A$469,BD!$Y$3:$Y$5001,"&lt;&gt;")=0,"",SUMIFS(BD!$Y$3:$Y$5001,BD!$A$3:$A$5001,AF$3,BD!$B$3:$B$5001,$A$469)))</f>
        <v/>
      </c>
      <c r="AG492" s="216" t="str">
        <f>IF(AG$3="","",IF(COUNTIFS(BD!$A$3:$A$5001,AG$3,BD!$B$3:$B$5001,$A$469,BD!$Y$3:$Y$5001,"&lt;&gt;")=0,"",SUMIFS(BD!$Y$3:$Y$5001,BD!$A$3:$A$5001,AG$3,BD!$B$3:$B$5001,$A$469)))</f>
        <v/>
      </c>
      <c r="AH492" s="216" t="str">
        <f>IF(AH$3="","",IF(COUNTIFS(BD!$A$3:$A$5001,AH$3,BD!$B$3:$B$5001,$A$469,BD!$Y$3:$Y$5001,"&lt;&gt;")=0,"",SUMIFS(BD!$Y$3:$Y$5001,BD!$A$3:$A$5001,AH$3,BD!$B$3:$B$5001,$A$469)))</f>
        <v/>
      </c>
      <c r="AI492" s="216" t="str">
        <f>IF(AI$3="","",IF(COUNTIFS(BD!$A$3:$A$5001,AI$3,BD!$B$3:$B$5001,$A$469,BD!$Y$3:$Y$5001,"&lt;&gt;")=0,"",SUMIFS(BD!$Y$3:$Y$5001,BD!$A$3:$A$5001,AI$3,BD!$B$3:$B$5001,$A$469)))</f>
        <v/>
      </c>
      <c r="AJ492" s="217" t="str">
        <f>IF(AJ$3="","",IF(COUNTIFS(BD!$A$3:$A$5001,AJ$3,BD!$B$3:$B$5001,$A$469,BD!$Y$3:$Y$5001,"&lt;&gt;")=0,"",SUMIFS(BD!$Y$3:$Y$5001,BD!$A$3:$A$5001,AJ$3,BD!$B$3:$B$5001,$A$469)))</f>
        <v/>
      </c>
      <c r="AK492" s="218" t="str">
        <f>IFERROR(LOOKUP(9.99E+307,F492:AJ492),"")</f>
        <v/>
      </c>
    </row>
    <row r="493" ht="15.75" customHeight="1" hidden="1">
      <c r="A493" s="244"/>
      <c r="B493" s="241"/>
      <c r="C493" s="219" t="inlineStr">
        <is>
          <t xml:space="preserve">Falta</t>
        </is>
      </c>
      <c r="D493" s="220" t="str">
        <f>IFERROR(1/(1/INDEX(BD!$AJ$47:$BD$47,MATCH($A$469,BD!$AJ$22:$BD$22,0))),"")</f>
        <v/>
      </c>
      <c r="E493" s="221"/>
      <c r="F493" s="222" t="str">
        <f>IF(F$3="","",IF(COUNTIFS(BD!$A$3:$A$5001,F$3,BD!$B$3:$B$5001,$A$469,BD!$Z$3:$Z$5001,"&lt;&gt;")=0,"",SUMIFS(BD!$Z$3:$Z$5001,BD!$A$3:$A$5001,F$3,BD!$B$3:$B$5001,$A$469)))</f>
        <v/>
      </c>
      <c r="G493" s="223" t="str">
        <f>IF(G$3="","",IF(COUNTIFS(BD!$A$3:$A$5001,G$3,BD!$B$3:$B$5001,$A$469,BD!$Z$3:$Z$5001,"&lt;&gt;")=0,"",SUMIFS(BD!$Z$3:$Z$5001,BD!$A$3:$A$5001,G$3,BD!$B$3:$B$5001,$A$469)))</f>
        <v/>
      </c>
      <c r="H493" s="223" t="str">
        <f>IF(H$3="","",IF(COUNTIFS(BD!$A$3:$A$5001,H$3,BD!$B$3:$B$5001,$A$469,BD!$Z$3:$Z$5001,"&lt;&gt;")=0,"",SUMIFS(BD!$Z$3:$Z$5001,BD!$A$3:$A$5001,H$3,BD!$B$3:$B$5001,$A$469)))</f>
        <v/>
      </c>
      <c r="I493" s="223" t="str">
        <f>IF(I$3="","",IF(COUNTIFS(BD!$A$3:$A$5001,I$3,BD!$B$3:$B$5001,$A$469,BD!$Z$3:$Z$5001,"&lt;&gt;")=0,"",SUMIFS(BD!$Z$3:$Z$5001,BD!$A$3:$A$5001,I$3,BD!$B$3:$B$5001,$A$469)))</f>
        <v/>
      </c>
      <c r="J493" s="223" t="str">
        <f>IF(J$3="","",IF(COUNTIFS(BD!$A$3:$A$5001,J$3,BD!$B$3:$B$5001,$A$469,BD!$Z$3:$Z$5001,"&lt;&gt;")=0,"",SUMIFS(BD!$Z$3:$Z$5001,BD!$A$3:$A$5001,J$3,BD!$B$3:$B$5001,$A$469)))</f>
        <v/>
      </c>
      <c r="K493" s="223" t="str">
        <f>IF(K$3="","",IF(COUNTIFS(BD!$A$3:$A$5001,K$3,BD!$B$3:$B$5001,$A$469,BD!$Z$3:$Z$5001,"&lt;&gt;")=0,"",SUMIFS(BD!$Z$3:$Z$5001,BD!$A$3:$A$5001,K$3,BD!$B$3:$B$5001,$A$469)))</f>
        <v/>
      </c>
      <c r="L493" s="223" t="str">
        <f>IF(L$3="","",IF(COUNTIFS(BD!$A$3:$A$5001,L$3,BD!$B$3:$B$5001,$A$469,BD!$Z$3:$Z$5001,"&lt;&gt;")=0,"",SUMIFS(BD!$Z$3:$Z$5001,BD!$A$3:$A$5001,L$3,BD!$B$3:$B$5001,$A$469)))</f>
        <v/>
      </c>
      <c r="M493" s="223" t="str">
        <f>IF(M$3="","",IF(COUNTIFS(BD!$A$3:$A$5001,M$3,BD!$B$3:$B$5001,$A$469,BD!$Z$3:$Z$5001,"&lt;&gt;")=0,"",SUMIFS(BD!$Z$3:$Z$5001,BD!$A$3:$A$5001,M$3,BD!$B$3:$B$5001,$A$469)))</f>
        <v/>
      </c>
      <c r="N493" s="223" t="str">
        <f>IF(N$3="","",IF(COUNTIFS(BD!$A$3:$A$5001,N$3,BD!$B$3:$B$5001,$A$469,BD!$Z$3:$Z$5001,"&lt;&gt;")=0,"",SUMIFS(BD!$Z$3:$Z$5001,BD!$A$3:$A$5001,N$3,BD!$B$3:$B$5001,$A$469)))</f>
        <v/>
      </c>
      <c r="O493" s="223" t="str">
        <f>IF(O$3="","",IF(COUNTIFS(BD!$A$3:$A$5001,O$3,BD!$B$3:$B$5001,$A$469,BD!$Z$3:$Z$5001,"&lt;&gt;")=0,"",SUMIFS(BD!$Z$3:$Z$5001,BD!$A$3:$A$5001,O$3,BD!$B$3:$B$5001,$A$469)))</f>
        <v/>
      </c>
      <c r="P493" s="223" t="str">
        <f>IF(P$3="","",IF(COUNTIFS(BD!$A$3:$A$5001,P$3,BD!$B$3:$B$5001,$A$469,BD!$Z$3:$Z$5001,"&lt;&gt;")=0,"",SUMIFS(BD!$Z$3:$Z$5001,BD!$A$3:$A$5001,P$3,BD!$B$3:$B$5001,$A$469)))</f>
        <v/>
      </c>
      <c r="Q493" s="223" t="str">
        <f>IF(Q$3="","",IF(COUNTIFS(BD!$A$3:$A$5001,Q$3,BD!$B$3:$B$5001,$A$469,BD!$Z$3:$Z$5001,"&lt;&gt;")=0,"",SUMIFS(BD!$Z$3:$Z$5001,BD!$A$3:$A$5001,Q$3,BD!$B$3:$B$5001,$A$469)))</f>
        <v/>
      </c>
      <c r="R493" s="223" t="str">
        <f>IF(R$3="","",IF(COUNTIFS(BD!$A$3:$A$5001,R$3,BD!$B$3:$B$5001,$A$469,BD!$Z$3:$Z$5001,"&lt;&gt;")=0,"",SUMIFS(BD!$Z$3:$Z$5001,BD!$A$3:$A$5001,R$3,BD!$B$3:$B$5001,$A$469)))</f>
        <v/>
      </c>
      <c r="S493" s="223" t="str">
        <f>IF(S$3="","",IF(COUNTIFS(BD!$A$3:$A$5001,S$3,BD!$B$3:$B$5001,$A$469,BD!$Z$3:$Z$5001,"&lt;&gt;")=0,"",SUMIFS(BD!$Z$3:$Z$5001,BD!$A$3:$A$5001,S$3,BD!$B$3:$B$5001,$A$469)))</f>
        <v/>
      </c>
      <c r="T493" s="223" t="str">
        <f>IF(T$3="","",IF(COUNTIFS(BD!$A$3:$A$5001,T$3,BD!$B$3:$B$5001,$A$469,BD!$Z$3:$Z$5001,"&lt;&gt;")=0,"",SUMIFS(BD!$Z$3:$Z$5001,BD!$A$3:$A$5001,T$3,BD!$B$3:$B$5001,$A$469)))</f>
        <v/>
      </c>
      <c r="U493" s="223" t="str">
        <f>IF(U$3="","",IF(COUNTIFS(BD!$A$3:$A$5001,U$3,BD!$B$3:$B$5001,$A$469,BD!$Z$3:$Z$5001,"&lt;&gt;")=0,"",SUMIFS(BD!$Z$3:$Z$5001,BD!$A$3:$A$5001,U$3,BD!$B$3:$B$5001,$A$469)))</f>
        <v/>
      </c>
      <c r="V493" s="223" t="str">
        <f>IF(V$3="","",IF(COUNTIFS(BD!$A$3:$A$5001,V$3,BD!$B$3:$B$5001,$A$469,BD!$Z$3:$Z$5001,"&lt;&gt;")=0,"",SUMIFS(BD!$Z$3:$Z$5001,BD!$A$3:$A$5001,V$3,BD!$B$3:$B$5001,$A$469)))</f>
        <v/>
      </c>
      <c r="W493" s="223" t="str">
        <f>IF(W$3="","",IF(COUNTIFS(BD!$A$3:$A$5001,W$3,BD!$B$3:$B$5001,$A$469,BD!$Z$3:$Z$5001,"&lt;&gt;")=0,"",SUMIFS(BD!$Z$3:$Z$5001,BD!$A$3:$A$5001,W$3,BD!$B$3:$B$5001,$A$469)))</f>
        <v/>
      </c>
      <c r="X493" s="223" t="str">
        <f>IF(X$3="","",IF(COUNTIFS(BD!$A$3:$A$5001,X$3,BD!$B$3:$B$5001,$A$469,BD!$Z$3:$Z$5001,"&lt;&gt;")=0,"",SUMIFS(BD!$Z$3:$Z$5001,BD!$A$3:$A$5001,X$3,BD!$B$3:$B$5001,$A$469)))</f>
        <v/>
      </c>
      <c r="Y493" s="223" t="str">
        <f>IF(Y$3="","",IF(COUNTIFS(BD!$A$3:$A$5001,Y$3,BD!$B$3:$B$5001,$A$469,BD!$Z$3:$Z$5001,"&lt;&gt;")=0,"",SUMIFS(BD!$Z$3:$Z$5001,BD!$A$3:$A$5001,Y$3,BD!$B$3:$B$5001,$A$469)))</f>
        <v/>
      </c>
      <c r="Z493" s="223" t="str">
        <f>IF(Z$3="","",IF(COUNTIFS(BD!$A$3:$A$5001,Z$3,BD!$B$3:$B$5001,$A$469,BD!$Z$3:$Z$5001,"&lt;&gt;")=0,"",SUMIFS(BD!$Z$3:$Z$5001,BD!$A$3:$A$5001,Z$3,BD!$B$3:$B$5001,$A$469)))</f>
        <v/>
      </c>
      <c r="AA493" s="223" t="str">
        <f>IF(AA$3="","",IF(COUNTIFS(BD!$A$3:$A$5001,AA$3,BD!$B$3:$B$5001,$A$469,BD!$Z$3:$Z$5001,"&lt;&gt;")=0,"",SUMIFS(BD!$Z$3:$Z$5001,BD!$A$3:$A$5001,AA$3,BD!$B$3:$B$5001,$A$469)))</f>
        <v/>
      </c>
      <c r="AB493" s="223" t="str">
        <f>IF(AB$3="","",IF(COUNTIFS(BD!$A$3:$A$5001,AB$3,BD!$B$3:$B$5001,$A$469,BD!$Z$3:$Z$5001,"&lt;&gt;")=0,"",SUMIFS(BD!$Z$3:$Z$5001,BD!$A$3:$A$5001,AB$3,BD!$B$3:$B$5001,$A$469)))</f>
        <v/>
      </c>
      <c r="AC493" s="223" t="str">
        <f>IF(AC$3="","",IF(COUNTIFS(BD!$A$3:$A$5001,AC$3,BD!$B$3:$B$5001,$A$469,BD!$Z$3:$Z$5001,"&lt;&gt;")=0,"",SUMIFS(BD!$Z$3:$Z$5001,BD!$A$3:$A$5001,AC$3,BD!$B$3:$B$5001,$A$469)))</f>
        <v/>
      </c>
      <c r="AD493" s="223" t="str">
        <f>IF(AD$3="","",IF(COUNTIFS(BD!$A$3:$A$5001,AD$3,BD!$B$3:$B$5001,$A$469,BD!$Z$3:$Z$5001,"&lt;&gt;")=0,"",SUMIFS(BD!$Z$3:$Z$5001,BD!$A$3:$A$5001,AD$3,BD!$B$3:$B$5001,$A$469)))</f>
        <v/>
      </c>
      <c r="AE493" s="223" t="str">
        <f>IF(AE$3="","",IF(COUNTIFS(BD!$A$3:$A$5001,AE$3,BD!$B$3:$B$5001,$A$469,BD!$Z$3:$Z$5001,"&lt;&gt;")=0,"",SUMIFS(BD!$Z$3:$Z$5001,BD!$A$3:$A$5001,AE$3,BD!$B$3:$B$5001,$A$469)))</f>
        <v/>
      </c>
      <c r="AF493" s="223" t="str">
        <f>IF(AF$3="","",IF(COUNTIFS(BD!$A$3:$A$5001,AF$3,BD!$B$3:$B$5001,$A$469,BD!$Z$3:$Z$5001,"&lt;&gt;")=0,"",SUMIFS(BD!$Z$3:$Z$5001,BD!$A$3:$A$5001,AF$3,BD!$B$3:$B$5001,$A$469)))</f>
        <v/>
      </c>
      <c r="AG493" s="223" t="str">
        <f>IF(AG$3="","",IF(COUNTIFS(BD!$A$3:$A$5001,AG$3,BD!$B$3:$B$5001,$A$469,BD!$Z$3:$Z$5001,"&lt;&gt;")=0,"",SUMIFS(BD!$Z$3:$Z$5001,BD!$A$3:$A$5001,AG$3,BD!$B$3:$B$5001,$A$469)))</f>
        <v/>
      </c>
      <c r="AH493" s="223" t="str">
        <f>IF(AH$3="","",IF(COUNTIFS(BD!$A$3:$A$5001,AH$3,BD!$B$3:$B$5001,$A$469,BD!$Z$3:$Z$5001,"&lt;&gt;")=0,"",SUMIFS(BD!$Z$3:$Z$5001,BD!$A$3:$A$5001,AH$3,BD!$B$3:$B$5001,$A$469)))</f>
        <v/>
      </c>
      <c r="AI493" s="223" t="str">
        <f>IF(AI$3="","",IF(COUNTIFS(BD!$A$3:$A$5001,AI$3,BD!$B$3:$B$5001,$A$469,BD!$Z$3:$Z$5001,"&lt;&gt;")=0,"",SUMIFS(BD!$Z$3:$Z$5001,BD!$A$3:$A$5001,AI$3,BD!$B$3:$B$5001,$A$469)))</f>
        <v/>
      </c>
      <c r="AJ493" s="224" t="str">
        <f>IF(AJ$3="","",IF(COUNTIFS(BD!$A$3:$A$5001,AJ$3,BD!$B$3:$B$5001,$A$469,BD!$Z$3:$Z$5001,"&lt;&gt;")=0,"",SUMIFS(BD!$Z$3:$Z$5001,BD!$A$3:$A$5001,AJ$3,BD!$B$3:$B$5001,$A$469)))</f>
        <v/>
      </c>
      <c r="AK493" s="225" t="str">
        <f>IF(COUNT(F493:AJ493)=0,"",SUM(F493:AJ493))</f>
        <v/>
      </c>
    </row>
    <row r="494" ht="15.75" customHeight="1" hidden="1">
      <c r="A494" s="244"/>
      <c r="B494" s="241"/>
      <c r="C494" s="219" t="inlineStr">
        <is>
          <t xml:space="preserve">Folga</t>
        </is>
      </c>
      <c r="D494" s="220" t="str">
        <f>IFERROR(1/(1/INDEX(BD!$AJ$48:$BD$48,MATCH($A$469,BD!$AJ$22:$BD$22,0))),"")</f>
        <v/>
      </c>
      <c r="E494" s="221"/>
      <c r="F494" s="222" t="str">
        <f>IF(F$3="","",IF(COUNTIFS(BD!$A$3:$A$5001,F$3,BD!$B$3:$B$5001,$A$469,BD!$AA$3:$AA$5001,"&lt;&gt;")=0,"",SUMIFS(BD!$AA$3:$AA$5001,BD!$A$3:$A$5001,F$3,BD!$B$3:$B$5001,$A$469)))</f>
        <v/>
      </c>
      <c r="G494" s="223" t="str">
        <f>IF(G$3="","",IF(COUNTIFS(BD!$A$3:$A$5001,G$3,BD!$B$3:$B$5001,$A$469,BD!$AA$3:$AA$5001,"&lt;&gt;")=0,"",SUMIFS(BD!$AA$3:$AA$5001,BD!$A$3:$A$5001,G$3,BD!$B$3:$B$5001,$A$469)))</f>
        <v/>
      </c>
      <c r="H494" s="223" t="str">
        <f>IF(H$3="","",IF(COUNTIFS(BD!$A$3:$A$5001,H$3,BD!$B$3:$B$5001,$A$469,BD!$AA$3:$AA$5001,"&lt;&gt;")=0,"",SUMIFS(BD!$AA$3:$AA$5001,BD!$A$3:$A$5001,H$3,BD!$B$3:$B$5001,$A$469)))</f>
        <v/>
      </c>
      <c r="I494" s="223" t="str">
        <f>IF(I$3="","",IF(COUNTIFS(BD!$A$3:$A$5001,I$3,BD!$B$3:$B$5001,$A$469,BD!$AA$3:$AA$5001,"&lt;&gt;")=0,"",SUMIFS(BD!$AA$3:$AA$5001,BD!$A$3:$A$5001,I$3,BD!$B$3:$B$5001,$A$469)))</f>
        <v/>
      </c>
      <c r="J494" s="223" t="str">
        <f>IF(J$3="","",IF(COUNTIFS(BD!$A$3:$A$5001,J$3,BD!$B$3:$B$5001,$A$469,BD!$AA$3:$AA$5001,"&lt;&gt;")=0,"",SUMIFS(BD!$AA$3:$AA$5001,BD!$A$3:$A$5001,J$3,BD!$B$3:$B$5001,$A$469)))</f>
        <v/>
      </c>
      <c r="K494" s="223" t="str">
        <f>IF(K$3="","",IF(COUNTIFS(BD!$A$3:$A$5001,K$3,BD!$B$3:$B$5001,$A$469,BD!$AA$3:$AA$5001,"&lt;&gt;")=0,"",SUMIFS(BD!$AA$3:$AA$5001,BD!$A$3:$A$5001,K$3,BD!$B$3:$B$5001,$A$469)))</f>
        <v/>
      </c>
      <c r="L494" s="223" t="str">
        <f>IF(L$3="","",IF(COUNTIFS(BD!$A$3:$A$5001,L$3,BD!$B$3:$B$5001,$A$469,BD!$AA$3:$AA$5001,"&lt;&gt;")=0,"",SUMIFS(BD!$AA$3:$AA$5001,BD!$A$3:$A$5001,L$3,BD!$B$3:$B$5001,$A$469)))</f>
        <v/>
      </c>
      <c r="M494" s="223" t="str">
        <f>IF(M$3="","",IF(COUNTIFS(BD!$A$3:$A$5001,M$3,BD!$B$3:$B$5001,$A$469,BD!$AA$3:$AA$5001,"&lt;&gt;")=0,"",SUMIFS(BD!$AA$3:$AA$5001,BD!$A$3:$A$5001,M$3,BD!$B$3:$B$5001,$A$469)))</f>
        <v/>
      </c>
      <c r="N494" s="223" t="str">
        <f>IF(N$3="","",IF(COUNTIFS(BD!$A$3:$A$5001,N$3,BD!$B$3:$B$5001,$A$469,BD!$AA$3:$AA$5001,"&lt;&gt;")=0,"",SUMIFS(BD!$AA$3:$AA$5001,BD!$A$3:$A$5001,N$3,BD!$B$3:$B$5001,$A$469)))</f>
        <v/>
      </c>
      <c r="O494" s="223" t="str">
        <f>IF(O$3="","",IF(COUNTIFS(BD!$A$3:$A$5001,O$3,BD!$B$3:$B$5001,$A$469,BD!$AA$3:$AA$5001,"&lt;&gt;")=0,"",SUMIFS(BD!$AA$3:$AA$5001,BD!$A$3:$A$5001,O$3,BD!$B$3:$B$5001,$A$469)))</f>
        <v/>
      </c>
      <c r="P494" s="223" t="str">
        <f>IF(P$3="","",IF(COUNTIFS(BD!$A$3:$A$5001,P$3,BD!$B$3:$B$5001,$A$469,BD!$AA$3:$AA$5001,"&lt;&gt;")=0,"",SUMIFS(BD!$AA$3:$AA$5001,BD!$A$3:$A$5001,P$3,BD!$B$3:$B$5001,$A$469)))</f>
        <v/>
      </c>
      <c r="Q494" s="223" t="str">
        <f>IF(Q$3="","",IF(COUNTIFS(BD!$A$3:$A$5001,Q$3,BD!$B$3:$B$5001,$A$469,BD!$AA$3:$AA$5001,"&lt;&gt;")=0,"",SUMIFS(BD!$AA$3:$AA$5001,BD!$A$3:$A$5001,Q$3,BD!$B$3:$B$5001,$A$469)))</f>
        <v/>
      </c>
      <c r="R494" s="223" t="str">
        <f>IF(R$3="","",IF(COUNTIFS(BD!$A$3:$A$5001,R$3,BD!$B$3:$B$5001,$A$469,BD!$AA$3:$AA$5001,"&lt;&gt;")=0,"",SUMIFS(BD!$AA$3:$AA$5001,BD!$A$3:$A$5001,R$3,BD!$B$3:$B$5001,$A$469)))</f>
        <v/>
      </c>
      <c r="S494" s="223" t="str">
        <f>IF(S$3="","",IF(COUNTIFS(BD!$A$3:$A$5001,S$3,BD!$B$3:$B$5001,$A$469,BD!$AA$3:$AA$5001,"&lt;&gt;")=0,"",SUMIFS(BD!$AA$3:$AA$5001,BD!$A$3:$A$5001,S$3,BD!$B$3:$B$5001,$A$469)))</f>
        <v/>
      </c>
      <c r="T494" s="223" t="str">
        <f>IF(T$3="","",IF(COUNTIFS(BD!$A$3:$A$5001,T$3,BD!$B$3:$B$5001,$A$469,BD!$AA$3:$AA$5001,"&lt;&gt;")=0,"",SUMIFS(BD!$AA$3:$AA$5001,BD!$A$3:$A$5001,T$3,BD!$B$3:$B$5001,$A$469)))</f>
        <v/>
      </c>
      <c r="U494" s="223" t="str">
        <f>IF(U$3="","",IF(COUNTIFS(BD!$A$3:$A$5001,U$3,BD!$B$3:$B$5001,$A$469,BD!$AA$3:$AA$5001,"&lt;&gt;")=0,"",SUMIFS(BD!$AA$3:$AA$5001,BD!$A$3:$A$5001,U$3,BD!$B$3:$B$5001,$A$469)))</f>
        <v/>
      </c>
      <c r="V494" s="223" t="str">
        <f>IF(V$3="","",IF(COUNTIFS(BD!$A$3:$A$5001,V$3,BD!$B$3:$B$5001,$A$469,BD!$AA$3:$AA$5001,"&lt;&gt;")=0,"",SUMIFS(BD!$AA$3:$AA$5001,BD!$A$3:$A$5001,V$3,BD!$B$3:$B$5001,$A$469)))</f>
        <v/>
      </c>
      <c r="W494" s="223" t="str">
        <f>IF(W$3="","",IF(COUNTIFS(BD!$A$3:$A$5001,W$3,BD!$B$3:$B$5001,$A$469,BD!$AA$3:$AA$5001,"&lt;&gt;")=0,"",SUMIFS(BD!$AA$3:$AA$5001,BD!$A$3:$A$5001,W$3,BD!$B$3:$B$5001,$A$469)))</f>
        <v/>
      </c>
      <c r="X494" s="223" t="str">
        <f>IF(X$3="","",IF(COUNTIFS(BD!$A$3:$A$5001,X$3,BD!$B$3:$B$5001,$A$469,BD!$AA$3:$AA$5001,"&lt;&gt;")=0,"",SUMIFS(BD!$AA$3:$AA$5001,BD!$A$3:$A$5001,X$3,BD!$B$3:$B$5001,$A$469)))</f>
        <v/>
      </c>
      <c r="Y494" s="223" t="str">
        <f>IF(Y$3="","",IF(COUNTIFS(BD!$A$3:$A$5001,Y$3,BD!$B$3:$B$5001,$A$469,BD!$AA$3:$AA$5001,"&lt;&gt;")=0,"",SUMIFS(BD!$AA$3:$AA$5001,BD!$A$3:$A$5001,Y$3,BD!$B$3:$B$5001,$A$469)))</f>
        <v/>
      </c>
      <c r="Z494" s="223" t="str">
        <f>IF(Z$3="","",IF(COUNTIFS(BD!$A$3:$A$5001,Z$3,BD!$B$3:$B$5001,$A$469,BD!$AA$3:$AA$5001,"&lt;&gt;")=0,"",SUMIFS(BD!$AA$3:$AA$5001,BD!$A$3:$A$5001,Z$3,BD!$B$3:$B$5001,$A$469)))</f>
        <v/>
      </c>
      <c r="AA494" s="223" t="str">
        <f>IF(AA$3="","",IF(COUNTIFS(BD!$A$3:$A$5001,AA$3,BD!$B$3:$B$5001,$A$469,BD!$AA$3:$AA$5001,"&lt;&gt;")=0,"",SUMIFS(BD!$AA$3:$AA$5001,BD!$A$3:$A$5001,AA$3,BD!$B$3:$B$5001,$A$469)))</f>
        <v/>
      </c>
      <c r="AB494" s="223" t="str">
        <f>IF(AB$3="","",IF(COUNTIFS(BD!$A$3:$A$5001,AB$3,BD!$B$3:$B$5001,$A$469,BD!$AA$3:$AA$5001,"&lt;&gt;")=0,"",SUMIFS(BD!$AA$3:$AA$5001,BD!$A$3:$A$5001,AB$3,BD!$B$3:$B$5001,$A$469)))</f>
        <v/>
      </c>
      <c r="AC494" s="223" t="str">
        <f>IF(AC$3="","",IF(COUNTIFS(BD!$A$3:$A$5001,AC$3,BD!$B$3:$B$5001,$A$469,BD!$AA$3:$AA$5001,"&lt;&gt;")=0,"",SUMIFS(BD!$AA$3:$AA$5001,BD!$A$3:$A$5001,AC$3,BD!$B$3:$B$5001,$A$469)))</f>
        <v/>
      </c>
      <c r="AD494" s="223" t="str">
        <f>IF(AD$3="","",IF(COUNTIFS(BD!$A$3:$A$5001,AD$3,BD!$B$3:$B$5001,$A$469,BD!$AA$3:$AA$5001,"&lt;&gt;")=0,"",SUMIFS(BD!$AA$3:$AA$5001,BD!$A$3:$A$5001,AD$3,BD!$B$3:$B$5001,$A$469)))</f>
        <v/>
      </c>
      <c r="AE494" s="223" t="str">
        <f>IF(AE$3="","",IF(COUNTIFS(BD!$A$3:$A$5001,AE$3,BD!$B$3:$B$5001,$A$469,BD!$AA$3:$AA$5001,"&lt;&gt;")=0,"",SUMIFS(BD!$AA$3:$AA$5001,BD!$A$3:$A$5001,AE$3,BD!$B$3:$B$5001,$A$469)))</f>
        <v/>
      </c>
      <c r="AF494" s="223" t="str">
        <f>IF(AF$3="","",IF(COUNTIFS(BD!$A$3:$A$5001,AF$3,BD!$B$3:$B$5001,$A$469,BD!$AA$3:$AA$5001,"&lt;&gt;")=0,"",SUMIFS(BD!$AA$3:$AA$5001,BD!$A$3:$A$5001,AF$3,BD!$B$3:$B$5001,$A$469)))</f>
        <v/>
      </c>
      <c r="AG494" s="223" t="str">
        <f>IF(AG$3="","",IF(COUNTIFS(BD!$A$3:$A$5001,AG$3,BD!$B$3:$B$5001,$A$469,BD!$AA$3:$AA$5001,"&lt;&gt;")=0,"",SUMIFS(BD!$AA$3:$AA$5001,BD!$A$3:$A$5001,AG$3,BD!$B$3:$B$5001,$A$469)))</f>
        <v/>
      </c>
      <c r="AH494" s="223" t="str">
        <f>IF(AH$3="","",IF(COUNTIFS(BD!$A$3:$A$5001,AH$3,BD!$B$3:$B$5001,$A$469,BD!$AA$3:$AA$5001,"&lt;&gt;")=0,"",SUMIFS(BD!$AA$3:$AA$5001,BD!$A$3:$A$5001,AH$3,BD!$B$3:$B$5001,$A$469)))</f>
        <v/>
      </c>
      <c r="AI494" s="223" t="str">
        <f>IF(AI$3="","",IF(COUNTIFS(BD!$A$3:$A$5001,AI$3,BD!$B$3:$B$5001,$A$469,BD!$AA$3:$AA$5001,"&lt;&gt;")=0,"",SUMIFS(BD!$AA$3:$AA$5001,BD!$A$3:$A$5001,AI$3,BD!$B$3:$B$5001,$A$469)))</f>
        <v/>
      </c>
      <c r="AJ494" s="224" t="str">
        <f>IF(AJ$3="","",IF(COUNTIFS(BD!$A$3:$A$5001,AJ$3,BD!$B$3:$B$5001,$A$469,BD!$AA$3:$AA$5001,"&lt;&gt;")=0,"",SUMIFS(BD!$AA$3:$AA$5001,BD!$A$3:$A$5001,AJ$3,BD!$B$3:$B$5001,$A$469)))</f>
        <v/>
      </c>
      <c r="AK494" s="225" t="str">
        <f>IF(COUNT(F494:AJ494)=0,"",SUM(F494:AJ494))</f>
        <v/>
      </c>
    </row>
    <row r="495" ht="15.75" customHeight="1" hidden="1">
      <c r="A495" s="244"/>
      <c r="B495" s="241"/>
      <c r="C495" s="219" t="inlineStr">
        <is>
          <t xml:space="preserve">Férias</t>
        </is>
      </c>
      <c r="D495" s="220" t="str">
        <f>IFERROR(1/(1/INDEX(BD!$AJ$49:$BD$49,MATCH($A$469,BD!$AJ$22:$BD$22,0))),"")</f>
        <v/>
      </c>
      <c r="E495" s="221"/>
      <c r="F495" s="222" t="str">
        <f>IF(F$3="","",IF(COUNTIFS(BD!$A$3:$A$5001,F$3,BD!$B$3:$B$5001,$A$469,BD!$AB$3:$AB$5001,"&lt;&gt;")=0,"",SUMIFS(BD!$AB$3:$AB$5001,BD!$A$3:$A$5001,F$3,BD!$B$3:$B$5001,$A$469)))</f>
        <v/>
      </c>
      <c r="G495" s="223" t="str">
        <f>IF(G$3="","",IF(COUNTIFS(BD!$A$3:$A$5001,G$3,BD!$B$3:$B$5001,$A$469,BD!$AB$3:$AB$5001,"&lt;&gt;")=0,"",SUMIFS(BD!$AB$3:$AB$5001,BD!$A$3:$A$5001,G$3,BD!$B$3:$B$5001,$A$469)))</f>
        <v/>
      </c>
      <c r="H495" s="223" t="str">
        <f>IF(H$3="","",IF(COUNTIFS(BD!$A$3:$A$5001,H$3,BD!$B$3:$B$5001,$A$469,BD!$AB$3:$AB$5001,"&lt;&gt;")=0,"",SUMIFS(BD!$AB$3:$AB$5001,BD!$A$3:$A$5001,H$3,BD!$B$3:$B$5001,$A$469)))</f>
        <v/>
      </c>
      <c r="I495" s="223" t="str">
        <f>IF(I$3="","",IF(COUNTIFS(BD!$A$3:$A$5001,I$3,BD!$B$3:$B$5001,$A$469,BD!$AB$3:$AB$5001,"&lt;&gt;")=0,"",SUMIFS(BD!$AB$3:$AB$5001,BD!$A$3:$A$5001,I$3,BD!$B$3:$B$5001,$A$469)))</f>
        <v/>
      </c>
      <c r="J495" s="223" t="str">
        <f>IF(J$3="","",IF(COUNTIFS(BD!$A$3:$A$5001,J$3,BD!$B$3:$B$5001,$A$469,BD!$AB$3:$AB$5001,"&lt;&gt;")=0,"",SUMIFS(BD!$AB$3:$AB$5001,BD!$A$3:$A$5001,J$3,BD!$B$3:$B$5001,$A$469)))</f>
        <v/>
      </c>
      <c r="K495" s="223" t="str">
        <f>IF(K$3="","",IF(COUNTIFS(BD!$A$3:$A$5001,K$3,BD!$B$3:$B$5001,$A$469,BD!$AB$3:$AB$5001,"&lt;&gt;")=0,"",SUMIFS(BD!$AB$3:$AB$5001,BD!$A$3:$A$5001,K$3,BD!$B$3:$B$5001,$A$469)))</f>
        <v/>
      </c>
      <c r="L495" s="223" t="str">
        <f>IF(L$3="","",IF(COUNTIFS(BD!$A$3:$A$5001,L$3,BD!$B$3:$B$5001,$A$469,BD!$AB$3:$AB$5001,"&lt;&gt;")=0,"",SUMIFS(BD!$AB$3:$AB$5001,BD!$A$3:$A$5001,L$3,BD!$B$3:$B$5001,$A$469)))</f>
        <v/>
      </c>
      <c r="M495" s="223" t="str">
        <f>IF(M$3="","",IF(COUNTIFS(BD!$A$3:$A$5001,M$3,BD!$B$3:$B$5001,$A$469,BD!$AB$3:$AB$5001,"&lt;&gt;")=0,"",SUMIFS(BD!$AB$3:$AB$5001,BD!$A$3:$A$5001,M$3,BD!$B$3:$B$5001,$A$469)))</f>
        <v/>
      </c>
      <c r="N495" s="223" t="str">
        <f>IF(N$3="","",IF(COUNTIFS(BD!$A$3:$A$5001,N$3,BD!$B$3:$B$5001,$A$469,BD!$AB$3:$AB$5001,"&lt;&gt;")=0,"",SUMIFS(BD!$AB$3:$AB$5001,BD!$A$3:$A$5001,N$3,BD!$B$3:$B$5001,$A$469)))</f>
        <v/>
      </c>
      <c r="O495" s="223" t="str">
        <f>IF(O$3="","",IF(COUNTIFS(BD!$A$3:$A$5001,O$3,BD!$B$3:$B$5001,$A$469,BD!$AB$3:$AB$5001,"&lt;&gt;")=0,"",SUMIFS(BD!$AB$3:$AB$5001,BD!$A$3:$A$5001,O$3,BD!$B$3:$B$5001,$A$469)))</f>
        <v/>
      </c>
      <c r="P495" s="223" t="str">
        <f>IF(P$3="","",IF(COUNTIFS(BD!$A$3:$A$5001,P$3,BD!$B$3:$B$5001,$A$469,BD!$AB$3:$AB$5001,"&lt;&gt;")=0,"",SUMIFS(BD!$AB$3:$AB$5001,BD!$A$3:$A$5001,P$3,BD!$B$3:$B$5001,$A$469)))</f>
        <v/>
      </c>
      <c r="Q495" s="223" t="str">
        <f>IF(Q$3="","",IF(COUNTIFS(BD!$A$3:$A$5001,Q$3,BD!$B$3:$B$5001,$A$469,BD!$AB$3:$AB$5001,"&lt;&gt;")=0,"",SUMIFS(BD!$AB$3:$AB$5001,BD!$A$3:$A$5001,Q$3,BD!$B$3:$B$5001,$A$469)))</f>
        <v/>
      </c>
      <c r="R495" s="223" t="str">
        <f>IF(R$3="","",IF(COUNTIFS(BD!$A$3:$A$5001,R$3,BD!$B$3:$B$5001,$A$469,BD!$AB$3:$AB$5001,"&lt;&gt;")=0,"",SUMIFS(BD!$AB$3:$AB$5001,BD!$A$3:$A$5001,R$3,BD!$B$3:$B$5001,$A$469)))</f>
        <v/>
      </c>
      <c r="S495" s="223" t="str">
        <f>IF(S$3="","",IF(COUNTIFS(BD!$A$3:$A$5001,S$3,BD!$B$3:$B$5001,$A$469,BD!$AB$3:$AB$5001,"&lt;&gt;")=0,"",SUMIFS(BD!$AB$3:$AB$5001,BD!$A$3:$A$5001,S$3,BD!$B$3:$B$5001,$A$469)))</f>
        <v/>
      </c>
      <c r="T495" s="223" t="str">
        <f>IF(T$3="","",IF(COUNTIFS(BD!$A$3:$A$5001,T$3,BD!$B$3:$B$5001,$A$469,BD!$AB$3:$AB$5001,"&lt;&gt;")=0,"",SUMIFS(BD!$AB$3:$AB$5001,BD!$A$3:$A$5001,T$3,BD!$B$3:$B$5001,$A$469)))</f>
        <v/>
      </c>
      <c r="U495" s="223" t="str">
        <f>IF(U$3="","",IF(COUNTIFS(BD!$A$3:$A$5001,U$3,BD!$B$3:$B$5001,$A$469,BD!$AB$3:$AB$5001,"&lt;&gt;")=0,"",SUMIFS(BD!$AB$3:$AB$5001,BD!$A$3:$A$5001,U$3,BD!$B$3:$B$5001,$A$469)))</f>
        <v/>
      </c>
      <c r="V495" s="223" t="str">
        <f>IF(V$3="","",IF(COUNTIFS(BD!$A$3:$A$5001,V$3,BD!$B$3:$B$5001,$A$469,BD!$AB$3:$AB$5001,"&lt;&gt;")=0,"",SUMIFS(BD!$AB$3:$AB$5001,BD!$A$3:$A$5001,V$3,BD!$B$3:$B$5001,$A$469)))</f>
        <v/>
      </c>
      <c r="W495" s="223" t="str">
        <f>IF(W$3="","",IF(COUNTIFS(BD!$A$3:$A$5001,W$3,BD!$B$3:$B$5001,$A$469,BD!$AB$3:$AB$5001,"&lt;&gt;")=0,"",SUMIFS(BD!$AB$3:$AB$5001,BD!$A$3:$A$5001,W$3,BD!$B$3:$B$5001,$A$469)))</f>
        <v/>
      </c>
      <c r="X495" s="223" t="str">
        <f>IF(X$3="","",IF(COUNTIFS(BD!$A$3:$A$5001,X$3,BD!$B$3:$B$5001,$A$469,BD!$AB$3:$AB$5001,"&lt;&gt;")=0,"",SUMIFS(BD!$AB$3:$AB$5001,BD!$A$3:$A$5001,X$3,BD!$B$3:$B$5001,$A$469)))</f>
        <v/>
      </c>
      <c r="Y495" s="223" t="str">
        <f>IF(Y$3="","",IF(COUNTIFS(BD!$A$3:$A$5001,Y$3,BD!$B$3:$B$5001,$A$469,BD!$AB$3:$AB$5001,"&lt;&gt;")=0,"",SUMIFS(BD!$AB$3:$AB$5001,BD!$A$3:$A$5001,Y$3,BD!$B$3:$B$5001,$A$469)))</f>
        <v/>
      </c>
      <c r="Z495" s="223" t="str">
        <f>IF(Z$3="","",IF(COUNTIFS(BD!$A$3:$A$5001,Z$3,BD!$B$3:$B$5001,$A$469,BD!$AB$3:$AB$5001,"&lt;&gt;")=0,"",SUMIFS(BD!$AB$3:$AB$5001,BD!$A$3:$A$5001,Z$3,BD!$B$3:$B$5001,$A$469)))</f>
        <v/>
      </c>
      <c r="AA495" s="223" t="str">
        <f>IF(AA$3="","",IF(COUNTIFS(BD!$A$3:$A$5001,AA$3,BD!$B$3:$B$5001,$A$469,BD!$AB$3:$AB$5001,"&lt;&gt;")=0,"",SUMIFS(BD!$AB$3:$AB$5001,BD!$A$3:$A$5001,AA$3,BD!$B$3:$B$5001,$A$469)))</f>
        <v/>
      </c>
      <c r="AB495" s="223" t="str">
        <f>IF(AB$3="","",IF(COUNTIFS(BD!$A$3:$A$5001,AB$3,BD!$B$3:$B$5001,$A$469,BD!$AB$3:$AB$5001,"&lt;&gt;")=0,"",SUMIFS(BD!$AB$3:$AB$5001,BD!$A$3:$A$5001,AB$3,BD!$B$3:$B$5001,$A$469)))</f>
        <v/>
      </c>
      <c r="AC495" s="223" t="str">
        <f>IF(AC$3="","",IF(COUNTIFS(BD!$A$3:$A$5001,AC$3,BD!$B$3:$B$5001,$A$469,BD!$AB$3:$AB$5001,"&lt;&gt;")=0,"",SUMIFS(BD!$AB$3:$AB$5001,BD!$A$3:$A$5001,AC$3,BD!$B$3:$B$5001,$A$469)))</f>
        <v/>
      </c>
      <c r="AD495" s="223" t="str">
        <f>IF(AD$3="","",IF(COUNTIFS(BD!$A$3:$A$5001,AD$3,BD!$B$3:$B$5001,$A$469,BD!$AB$3:$AB$5001,"&lt;&gt;")=0,"",SUMIFS(BD!$AB$3:$AB$5001,BD!$A$3:$A$5001,AD$3,BD!$B$3:$B$5001,$A$469)))</f>
        <v/>
      </c>
      <c r="AE495" s="223" t="str">
        <f>IF(AE$3="","",IF(COUNTIFS(BD!$A$3:$A$5001,AE$3,BD!$B$3:$B$5001,$A$469,BD!$AB$3:$AB$5001,"&lt;&gt;")=0,"",SUMIFS(BD!$AB$3:$AB$5001,BD!$A$3:$A$5001,AE$3,BD!$B$3:$B$5001,$A$469)))</f>
        <v/>
      </c>
      <c r="AF495" s="223" t="str">
        <f>IF(AF$3="","",IF(COUNTIFS(BD!$A$3:$A$5001,AF$3,BD!$B$3:$B$5001,$A$469,BD!$AB$3:$AB$5001,"&lt;&gt;")=0,"",SUMIFS(BD!$AB$3:$AB$5001,BD!$A$3:$A$5001,AF$3,BD!$B$3:$B$5001,$A$469)))</f>
        <v/>
      </c>
      <c r="AG495" s="223" t="str">
        <f>IF(AG$3="","",IF(COUNTIFS(BD!$A$3:$A$5001,AG$3,BD!$B$3:$B$5001,$A$469,BD!$AB$3:$AB$5001,"&lt;&gt;")=0,"",SUMIFS(BD!$AB$3:$AB$5001,BD!$A$3:$A$5001,AG$3,BD!$B$3:$B$5001,$A$469)))</f>
        <v/>
      </c>
      <c r="AH495" s="223" t="str">
        <f>IF(AH$3="","",IF(COUNTIFS(BD!$A$3:$A$5001,AH$3,BD!$B$3:$B$5001,$A$469,BD!$AB$3:$AB$5001,"&lt;&gt;")=0,"",SUMIFS(BD!$AB$3:$AB$5001,BD!$A$3:$A$5001,AH$3,BD!$B$3:$B$5001,$A$469)))</f>
        <v/>
      </c>
      <c r="AI495" s="223" t="str">
        <f>IF(AI$3="","",IF(COUNTIFS(BD!$A$3:$A$5001,AI$3,BD!$B$3:$B$5001,$A$469,BD!$AB$3:$AB$5001,"&lt;&gt;")=0,"",SUMIFS(BD!$AB$3:$AB$5001,BD!$A$3:$A$5001,AI$3,BD!$B$3:$B$5001,$A$469)))</f>
        <v/>
      </c>
      <c r="AJ495" s="224" t="str">
        <f>IF(AJ$3="","",IF(COUNTIFS(BD!$A$3:$A$5001,AJ$3,BD!$B$3:$B$5001,$A$469,BD!$AB$3:$AB$5001,"&lt;&gt;")=0,"",SUMIFS(BD!$AB$3:$AB$5001,BD!$A$3:$A$5001,AJ$3,BD!$B$3:$B$5001,$A$469)))</f>
        <v/>
      </c>
      <c r="AK495" s="225" t="str">
        <f>IF(COUNT(F495:AJ495)=0,"",SUM(F495:AJ495))</f>
        <v/>
      </c>
    </row>
    <row r="496" ht="15.75" customHeight="1" hidden="1">
      <c r="A496" s="244"/>
      <c r="B496" s="241"/>
      <c r="C496" s="219" t="inlineStr">
        <is>
          <t xml:space="preserve">Desligamento</t>
        </is>
      </c>
      <c r="D496" s="220" t="str">
        <f>IFERROR(1/(1/INDEX(BD!$AJ$50:$BD$50,MATCH($A$469,BD!$AJ$22:$BD$22,0))),"")</f>
        <v/>
      </c>
      <c r="E496" s="221"/>
      <c r="F496" s="222" t="str">
        <f>IF(F$3="","",IF(COUNTIFS(BD!$A$3:$A$5001,F$3,BD!$B$3:$B$5001,$A$469,BD!$AC$3:$AC$5001,"&lt;&gt;")=0,"",SUMIFS(BD!$AC$3:$AC$5001,BD!$A$3:$A$5001,F$3,BD!$B$3:$B$5001,$A$469)))</f>
        <v/>
      </c>
      <c r="G496" s="223" t="str">
        <f>IF(G$3="","",IF(COUNTIFS(BD!$A$3:$A$5001,G$3,BD!$B$3:$B$5001,$A$469,BD!$AC$3:$AC$5001,"&lt;&gt;")=0,"",SUMIFS(BD!$AC$3:$AC$5001,BD!$A$3:$A$5001,G$3,BD!$B$3:$B$5001,$A$469)))</f>
        <v/>
      </c>
      <c r="H496" s="223" t="str">
        <f>IF(H$3="","",IF(COUNTIFS(BD!$A$3:$A$5001,H$3,BD!$B$3:$B$5001,$A$469,BD!$AC$3:$AC$5001,"&lt;&gt;")=0,"",SUMIFS(BD!$AC$3:$AC$5001,BD!$A$3:$A$5001,H$3,BD!$B$3:$B$5001,$A$469)))</f>
        <v/>
      </c>
      <c r="I496" s="223" t="str">
        <f>IF(I$3="","",IF(COUNTIFS(BD!$A$3:$A$5001,I$3,BD!$B$3:$B$5001,$A$469,BD!$AC$3:$AC$5001,"&lt;&gt;")=0,"",SUMIFS(BD!$AC$3:$AC$5001,BD!$A$3:$A$5001,I$3,BD!$B$3:$B$5001,$A$469)))</f>
        <v/>
      </c>
      <c r="J496" s="223" t="str">
        <f>IF(J$3="","",IF(COUNTIFS(BD!$A$3:$A$5001,J$3,BD!$B$3:$B$5001,$A$469,BD!$AC$3:$AC$5001,"&lt;&gt;")=0,"",SUMIFS(BD!$AC$3:$AC$5001,BD!$A$3:$A$5001,J$3,BD!$B$3:$B$5001,$A$469)))</f>
        <v/>
      </c>
      <c r="K496" s="223" t="str">
        <f>IF(K$3="","",IF(COUNTIFS(BD!$A$3:$A$5001,K$3,BD!$B$3:$B$5001,$A$469,BD!$AC$3:$AC$5001,"&lt;&gt;")=0,"",SUMIFS(BD!$AC$3:$AC$5001,BD!$A$3:$A$5001,K$3,BD!$B$3:$B$5001,$A$469)))</f>
        <v/>
      </c>
      <c r="L496" s="223" t="str">
        <f>IF(L$3="","",IF(COUNTIFS(BD!$A$3:$A$5001,L$3,BD!$B$3:$B$5001,$A$469,BD!$AC$3:$AC$5001,"&lt;&gt;")=0,"",SUMIFS(BD!$AC$3:$AC$5001,BD!$A$3:$A$5001,L$3,BD!$B$3:$B$5001,$A$469)))</f>
        <v/>
      </c>
      <c r="M496" s="223" t="str">
        <f>IF(M$3="","",IF(COUNTIFS(BD!$A$3:$A$5001,M$3,BD!$B$3:$B$5001,$A$469,BD!$AC$3:$AC$5001,"&lt;&gt;")=0,"",SUMIFS(BD!$AC$3:$AC$5001,BD!$A$3:$A$5001,M$3,BD!$B$3:$B$5001,$A$469)))</f>
        <v/>
      </c>
      <c r="N496" s="223" t="str">
        <f>IF(N$3="","",IF(COUNTIFS(BD!$A$3:$A$5001,N$3,BD!$B$3:$B$5001,$A$469,BD!$AC$3:$AC$5001,"&lt;&gt;")=0,"",SUMIFS(BD!$AC$3:$AC$5001,BD!$A$3:$A$5001,N$3,BD!$B$3:$B$5001,$A$469)))</f>
        <v/>
      </c>
      <c r="O496" s="223" t="str">
        <f>IF(O$3="","",IF(COUNTIFS(BD!$A$3:$A$5001,O$3,BD!$B$3:$B$5001,$A$469,BD!$AC$3:$AC$5001,"&lt;&gt;")=0,"",SUMIFS(BD!$AC$3:$AC$5001,BD!$A$3:$A$5001,O$3,BD!$B$3:$B$5001,$A$469)))</f>
        <v/>
      </c>
      <c r="P496" s="223" t="str">
        <f>IF(P$3="","",IF(COUNTIFS(BD!$A$3:$A$5001,P$3,BD!$B$3:$B$5001,$A$469,BD!$AC$3:$AC$5001,"&lt;&gt;")=0,"",SUMIFS(BD!$AC$3:$AC$5001,BD!$A$3:$A$5001,P$3,BD!$B$3:$B$5001,$A$469)))</f>
        <v/>
      </c>
      <c r="Q496" s="223" t="str">
        <f>IF(Q$3="","",IF(COUNTIFS(BD!$A$3:$A$5001,Q$3,BD!$B$3:$B$5001,$A$469,BD!$AC$3:$AC$5001,"&lt;&gt;")=0,"",SUMIFS(BD!$AC$3:$AC$5001,BD!$A$3:$A$5001,Q$3,BD!$B$3:$B$5001,$A$469)))</f>
        <v/>
      </c>
      <c r="R496" s="223" t="str">
        <f>IF(R$3="","",IF(COUNTIFS(BD!$A$3:$A$5001,R$3,BD!$B$3:$B$5001,$A$469,BD!$AC$3:$AC$5001,"&lt;&gt;")=0,"",SUMIFS(BD!$AC$3:$AC$5001,BD!$A$3:$A$5001,R$3,BD!$B$3:$B$5001,$A$469)))</f>
        <v/>
      </c>
      <c r="S496" s="223" t="str">
        <f>IF(S$3="","",IF(COUNTIFS(BD!$A$3:$A$5001,S$3,BD!$B$3:$B$5001,$A$469,BD!$AC$3:$AC$5001,"&lt;&gt;")=0,"",SUMIFS(BD!$AC$3:$AC$5001,BD!$A$3:$A$5001,S$3,BD!$B$3:$B$5001,$A$469)))</f>
        <v/>
      </c>
      <c r="T496" s="223" t="str">
        <f>IF(T$3="","",IF(COUNTIFS(BD!$A$3:$A$5001,T$3,BD!$B$3:$B$5001,$A$469,BD!$AC$3:$AC$5001,"&lt;&gt;")=0,"",SUMIFS(BD!$AC$3:$AC$5001,BD!$A$3:$A$5001,T$3,BD!$B$3:$B$5001,$A$469)))</f>
        <v/>
      </c>
      <c r="U496" s="223" t="str">
        <f>IF(U$3="","",IF(COUNTIFS(BD!$A$3:$A$5001,U$3,BD!$B$3:$B$5001,$A$469,BD!$AC$3:$AC$5001,"&lt;&gt;")=0,"",SUMIFS(BD!$AC$3:$AC$5001,BD!$A$3:$A$5001,U$3,BD!$B$3:$B$5001,$A$469)))</f>
        <v/>
      </c>
      <c r="V496" s="223" t="str">
        <f>IF(V$3="","",IF(COUNTIFS(BD!$A$3:$A$5001,V$3,BD!$B$3:$B$5001,$A$469,BD!$AC$3:$AC$5001,"&lt;&gt;")=0,"",SUMIFS(BD!$AC$3:$AC$5001,BD!$A$3:$A$5001,V$3,BD!$B$3:$B$5001,$A$469)))</f>
        <v/>
      </c>
      <c r="W496" s="223" t="str">
        <f>IF(W$3="","",IF(COUNTIFS(BD!$A$3:$A$5001,W$3,BD!$B$3:$B$5001,$A$469,BD!$AC$3:$AC$5001,"&lt;&gt;")=0,"",SUMIFS(BD!$AC$3:$AC$5001,BD!$A$3:$A$5001,W$3,BD!$B$3:$B$5001,$A$469)))</f>
        <v/>
      </c>
      <c r="X496" s="223" t="str">
        <f>IF(X$3="","",IF(COUNTIFS(BD!$A$3:$A$5001,X$3,BD!$B$3:$B$5001,$A$469,BD!$AC$3:$AC$5001,"&lt;&gt;")=0,"",SUMIFS(BD!$AC$3:$AC$5001,BD!$A$3:$A$5001,X$3,BD!$B$3:$B$5001,$A$469)))</f>
        <v/>
      </c>
      <c r="Y496" s="223" t="str">
        <f>IF(Y$3="","",IF(COUNTIFS(BD!$A$3:$A$5001,Y$3,BD!$B$3:$B$5001,$A$469,BD!$AC$3:$AC$5001,"&lt;&gt;")=0,"",SUMIFS(BD!$AC$3:$AC$5001,BD!$A$3:$A$5001,Y$3,BD!$B$3:$B$5001,$A$469)))</f>
        <v/>
      </c>
      <c r="Z496" s="223" t="str">
        <f>IF(Z$3="","",IF(COUNTIFS(BD!$A$3:$A$5001,Z$3,BD!$B$3:$B$5001,$A$469,BD!$AC$3:$AC$5001,"&lt;&gt;")=0,"",SUMIFS(BD!$AC$3:$AC$5001,BD!$A$3:$A$5001,Z$3,BD!$B$3:$B$5001,$A$469)))</f>
        <v/>
      </c>
      <c r="AA496" s="223" t="str">
        <f>IF(AA$3="","",IF(COUNTIFS(BD!$A$3:$A$5001,AA$3,BD!$B$3:$B$5001,$A$469,BD!$AC$3:$AC$5001,"&lt;&gt;")=0,"",SUMIFS(BD!$AC$3:$AC$5001,BD!$A$3:$A$5001,AA$3,BD!$B$3:$B$5001,$A$469)))</f>
        <v/>
      </c>
      <c r="AB496" s="223" t="str">
        <f>IF(AB$3="","",IF(COUNTIFS(BD!$A$3:$A$5001,AB$3,BD!$B$3:$B$5001,$A$469,BD!$AC$3:$AC$5001,"&lt;&gt;")=0,"",SUMIFS(BD!$AC$3:$AC$5001,BD!$A$3:$A$5001,AB$3,BD!$B$3:$B$5001,$A$469)))</f>
        <v/>
      </c>
      <c r="AC496" s="223" t="str">
        <f>IF(AC$3="","",IF(COUNTIFS(BD!$A$3:$A$5001,AC$3,BD!$B$3:$B$5001,$A$469,BD!$AC$3:$AC$5001,"&lt;&gt;")=0,"",SUMIFS(BD!$AC$3:$AC$5001,BD!$A$3:$A$5001,AC$3,BD!$B$3:$B$5001,$A$469)))</f>
        <v/>
      </c>
      <c r="AD496" s="223" t="str">
        <f>IF(AD$3="","",IF(COUNTIFS(BD!$A$3:$A$5001,AD$3,BD!$B$3:$B$5001,$A$469,BD!$AC$3:$AC$5001,"&lt;&gt;")=0,"",SUMIFS(BD!$AC$3:$AC$5001,BD!$A$3:$A$5001,AD$3,BD!$B$3:$B$5001,$A$469)))</f>
        <v/>
      </c>
      <c r="AE496" s="223" t="str">
        <f>IF(AE$3="","",IF(COUNTIFS(BD!$A$3:$A$5001,AE$3,BD!$B$3:$B$5001,$A$469,BD!$AC$3:$AC$5001,"&lt;&gt;")=0,"",SUMIFS(BD!$AC$3:$AC$5001,BD!$A$3:$A$5001,AE$3,BD!$B$3:$B$5001,$A$469)))</f>
        <v/>
      </c>
      <c r="AF496" s="223" t="str">
        <f>IF(AF$3="","",IF(COUNTIFS(BD!$A$3:$A$5001,AF$3,BD!$B$3:$B$5001,$A$469,BD!$AC$3:$AC$5001,"&lt;&gt;")=0,"",SUMIFS(BD!$AC$3:$AC$5001,BD!$A$3:$A$5001,AF$3,BD!$B$3:$B$5001,$A$469)))</f>
        <v/>
      </c>
      <c r="AG496" s="223" t="str">
        <f>IF(AG$3="","",IF(COUNTIFS(BD!$A$3:$A$5001,AG$3,BD!$B$3:$B$5001,$A$469,BD!$AC$3:$AC$5001,"&lt;&gt;")=0,"",SUMIFS(BD!$AC$3:$AC$5001,BD!$A$3:$A$5001,AG$3,BD!$B$3:$B$5001,$A$469)))</f>
        <v/>
      </c>
      <c r="AH496" s="223" t="str">
        <f>IF(AH$3="","",IF(COUNTIFS(BD!$A$3:$A$5001,AH$3,BD!$B$3:$B$5001,$A$469,BD!$AC$3:$AC$5001,"&lt;&gt;")=0,"",SUMIFS(BD!$AC$3:$AC$5001,BD!$A$3:$A$5001,AH$3,BD!$B$3:$B$5001,$A$469)))</f>
        <v/>
      </c>
      <c r="AI496" s="223" t="str">
        <f>IF(AI$3="","",IF(COUNTIFS(BD!$A$3:$A$5001,AI$3,BD!$B$3:$B$5001,$A$469,BD!$AC$3:$AC$5001,"&lt;&gt;")=0,"",SUMIFS(BD!$AC$3:$AC$5001,BD!$A$3:$A$5001,AI$3,BD!$B$3:$B$5001,$A$469)))</f>
        <v/>
      </c>
      <c r="AJ496" s="224" t="str">
        <f>IF(AJ$3="","",IF(COUNTIFS(BD!$A$3:$A$5001,AJ$3,BD!$B$3:$B$5001,$A$469,BD!$AC$3:$AC$5001,"&lt;&gt;")=0,"",SUMIFS(BD!$AC$3:$AC$5001,BD!$A$3:$A$5001,AJ$3,BD!$B$3:$B$5001,$A$469)))</f>
        <v/>
      </c>
      <c r="AK496" s="225" t="str">
        <f>IF(COUNT(F496:AJ496)=0,"",SUM(F496:AJ496))</f>
        <v/>
      </c>
    </row>
    <row r="497" ht="15.75" customHeight="1" hidden="1">
      <c r="A497" s="244"/>
      <c r="B497" s="241"/>
      <c r="C497" s="219" t="inlineStr">
        <is>
          <t xml:space="preserve">Desvios Comportamentais</t>
        </is>
      </c>
      <c r="D497" s="220" t="str">
        <f>IFERROR(1/(1/INDEX(BD!$AJ$51:$BD$51,MATCH($A$469,BD!$AJ$22:$BD$22,0))),"")</f>
        <v/>
      </c>
      <c r="E497" s="221"/>
      <c r="F497" s="222" t="str">
        <f>IF(F$3="","",IF(COUNTIFS(BD!$A$3:$A$5001,F$3,BD!$B$3:$B$5001,$A$469,BD!$AD$3:$AD$5001,"&lt;&gt;")=0,"",SUMIFS(BD!$AD$3:$AD$5001,BD!$A$3:$A$5001,F$3,BD!$B$3:$B$5001,$A$469)))</f>
        <v/>
      </c>
      <c r="G497" s="223" t="str">
        <f>IF(G$3="","",IF(COUNTIFS(BD!$A$3:$A$5001,G$3,BD!$B$3:$B$5001,$A$469,BD!$AD$3:$AD$5001,"&lt;&gt;")=0,"",SUMIFS(BD!$AD$3:$AD$5001,BD!$A$3:$A$5001,G$3,BD!$B$3:$B$5001,$A$469)))</f>
        <v/>
      </c>
      <c r="H497" s="223" t="str">
        <f>IF(H$3="","",IF(COUNTIFS(BD!$A$3:$A$5001,H$3,BD!$B$3:$B$5001,$A$469,BD!$AD$3:$AD$5001,"&lt;&gt;")=0,"",SUMIFS(BD!$AD$3:$AD$5001,BD!$A$3:$A$5001,H$3,BD!$B$3:$B$5001,$A$469)))</f>
        <v/>
      </c>
      <c r="I497" s="223" t="str">
        <f>IF(I$3="","",IF(COUNTIFS(BD!$A$3:$A$5001,I$3,BD!$B$3:$B$5001,$A$469,BD!$AD$3:$AD$5001,"&lt;&gt;")=0,"",SUMIFS(BD!$AD$3:$AD$5001,BD!$A$3:$A$5001,I$3,BD!$B$3:$B$5001,$A$469)))</f>
        <v/>
      </c>
      <c r="J497" s="223" t="str">
        <f>IF(J$3="","",IF(COUNTIFS(BD!$A$3:$A$5001,J$3,BD!$B$3:$B$5001,$A$469,BD!$AD$3:$AD$5001,"&lt;&gt;")=0,"",SUMIFS(BD!$AD$3:$AD$5001,BD!$A$3:$A$5001,J$3,BD!$B$3:$B$5001,$A$469)))</f>
        <v/>
      </c>
      <c r="K497" s="223" t="str">
        <f>IF(K$3="","",IF(COUNTIFS(BD!$A$3:$A$5001,K$3,BD!$B$3:$B$5001,$A$469,BD!$AD$3:$AD$5001,"&lt;&gt;")=0,"",SUMIFS(BD!$AD$3:$AD$5001,BD!$A$3:$A$5001,K$3,BD!$B$3:$B$5001,$A$469)))</f>
        <v/>
      </c>
      <c r="L497" s="223" t="str">
        <f>IF(L$3="","",IF(COUNTIFS(BD!$A$3:$A$5001,L$3,BD!$B$3:$B$5001,$A$469,BD!$AD$3:$AD$5001,"&lt;&gt;")=0,"",SUMIFS(BD!$AD$3:$AD$5001,BD!$A$3:$A$5001,L$3,BD!$B$3:$B$5001,$A$469)))</f>
        <v/>
      </c>
      <c r="M497" s="223" t="str">
        <f>IF(M$3="","",IF(COUNTIFS(BD!$A$3:$A$5001,M$3,BD!$B$3:$B$5001,$A$469,BD!$AD$3:$AD$5001,"&lt;&gt;")=0,"",SUMIFS(BD!$AD$3:$AD$5001,BD!$A$3:$A$5001,M$3,BD!$B$3:$B$5001,$A$469)))</f>
        <v/>
      </c>
      <c r="N497" s="223" t="str">
        <f>IF(N$3="","",IF(COUNTIFS(BD!$A$3:$A$5001,N$3,BD!$B$3:$B$5001,$A$469,BD!$AD$3:$AD$5001,"&lt;&gt;")=0,"",SUMIFS(BD!$AD$3:$AD$5001,BD!$A$3:$A$5001,N$3,BD!$B$3:$B$5001,$A$469)))</f>
        <v/>
      </c>
      <c r="O497" s="223" t="str">
        <f>IF(O$3="","",IF(COUNTIFS(BD!$A$3:$A$5001,O$3,BD!$B$3:$B$5001,$A$469,BD!$AD$3:$AD$5001,"&lt;&gt;")=0,"",SUMIFS(BD!$AD$3:$AD$5001,BD!$A$3:$A$5001,O$3,BD!$B$3:$B$5001,$A$469)))</f>
        <v/>
      </c>
      <c r="P497" s="223" t="str">
        <f>IF(P$3="","",IF(COUNTIFS(BD!$A$3:$A$5001,P$3,BD!$B$3:$B$5001,$A$469,BD!$AD$3:$AD$5001,"&lt;&gt;")=0,"",SUMIFS(BD!$AD$3:$AD$5001,BD!$A$3:$A$5001,P$3,BD!$B$3:$B$5001,$A$469)))</f>
        <v/>
      </c>
      <c r="Q497" s="223" t="str">
        <f>IF(Q$3="","",IF(COUNTIFS(BD!$A$3:$A$5001,Q$3,BD!$B$3:$B$5001,$A$469,BD!$AD$3:$AD$5001,"&lt;&gt;")=0,"",SUMIFS(BD!$AD$3:$AD$5001,BD!$A$3:$A$5001,Q$3,BD!$B$3:$B$5001,$A$469)))</f>
        <v/>
      </c>
      <c r="R497" s="223" t="str">
        <f>IF(R$3="","",IF(COUNTIFS(BD!$A$3:$A$5001,R$3,BD!$B$3:$B$5001,$A$469,BD!$AD$3:$AD$5001,"&lt;&gt;")=0,"",SUMIFS(BD!$AD$3:$AD$5001,BD!$A$3:$A$5001,R$3,BD!$B$3:$B$5001,$A$469)))</f>
        <v/>
      </c>
      <c r="S497" s="223" t="str">
        <f>IF(S$3="","",IF(COUNTIFS(BD!$A$3:$A$5001,S$3,BD!$B$3:$B$5001,$A$469,BD!$AD$3:$AD$5001,"&lt;&gt;")=0,"",SUMIFS(BD!$AD$3:$AD$5001,BD!$A$3:$A$5001,S$3,BD!$B$3:$B$5001,$A$469)))</f>
        <v/>
      </c>
      <c r="T497" s="223" t="str">
        <f>IF(T$3="","",IF(COUNTIFS(BD!$A$3:$A$5001,T$3,BD!$B$3:$B$5001,$A$469,BD!$AD$3:$AD$5001,"&lt;&gt;")=0,"",SUMIFS(BD!$AD$3:$AD$5001,BD!$A$3:$A$5001,T$3,BD!$B$3:$B$5001,$A$469)))</f>
        <v/>
      </c>
      <c r="U497" s="223" t="str">
        <f>IF(U$3="","",IF(COUNTIFS(BD!$A$3:$A$5001,U$3,BD!$B$3:$B$5001,$A$469,BD!$AD$3:$AD$5001,"&lt;&gt;")=0,"",SUMIFS(BD!$AD$3:$AD$5001,BD!$A$3:$A$5001,U$3,BD!$B$3:$B$5001,$A$469)))</f>
        <v/>
      </c>
      <c r="V497" s="223" t="str">
        <f>IF(V$3="","",IF(COUNTIFS(BD!$A$3:$A$5001,V$3,BD!$B$3:$B$5001,$A$469,BD!$AD$3:$AD$5001,"&lt;&gt;")=0,"",SUMIFS(BD!$AD$3:$AD$5001,BD!$A$3:$A$5001,V$3,BD!$B$3:$B$5001,$A$469)))</f>
        <v/>
      </c>
      <c r="W497" s="223" t="str">
        <f>IF(W$3="","",IF(COUNTIFS(BD!$A$3:$A$5001,W$3,BD!$B$3:$B$5001,$A$469,BD!$AD$3:$AD$5001,"&lt;&gt;")=0,"",SUMIFS(BD!$AD$3:$AD$5001,BD!$A$3:$A$5001,W$3,BD!$B$3:$B$5001,$A$469)))</f>
        <v/>
      </c>
      <c r="X497" s="223" t="str">
        <f>IF(X$3="","",IF(COUNTIFS(BD!$A$3:$A$5001,X$3,BD!$B$3:$B$5001,$A$469,BD!$AD$3:$AD$5001,"&lt;&gt;")=0,"",SUMIFS(BD!$AD$3:$AD$5001,BD!$A$3:$A$5001,X$3,BD!$B$3:$B$5001,$A$469)))</f>
        <v/>
      </c>
      <c r="Y497" s="223" t="str">
        <f>IF(Y$3="","",IF(COUNTIFS(BD!$A$3:$A$5001,Y$3,BD!$B$3:$B$5001,$A$469,BD!$AD$3:$AD$5001,"&lt;&gt;")=0,"",SUMIFS(BD!$AD$3:$AD$5001,BD!$A$3:$A$5001,Y$3,BD!$B$3:$B$5001,$A$469)))</f>
        <v/>
      </c>
      <c r="Z497" s="223" t="str">
        <f>IF(Z$3="","",IF(COUNTIFS(BD!$A$3:$A$5001,Z$3,BD!$B$3:$B$5001,$A$469,BD!$AD$3:$AD$5001,"&lt;&gt;")=0,"",SUMIFS(BD!$AD$3:$AD$5001,BD!$A$3:$A$5001,Z$3,BD!$B$3:$B$5001,$A$469)))</f>
        <v/>
      </c>
      <c r="AA497" s="223" t="str">
        <f>IF(AA$3="","",IF(COUNTIFS(BD!$A$3:$A$5001,AA$3,BD!$B$3:$B$5001,$A$469,BD!$AD$3:$AD$5001,"&lt;&gt;")=0,"",SUMIFS(BD!$AD$3:$AD$5001,BD!$A$3:$A$5001,AA$3,BD!$B$3:$B$5001,$A$469)))</f>
        <v/>
      </c>
      <c r="AB497" s="223" t="str">
        <f>IF(AB$3="","",IF(COUNTIFS(BD!$A$3:$A$5001,AB$3,BD!$B$3:$B$5001,$A$469,BD!$AD$3:$AD$5001,"&lt;&gt;")=0,"",SUMIFS(BD!$AD$3:$AD$5001,BD!$A$3:$A$5001,AB$3,BD!$B$3:$B$5001,$A$469)))</f>
        <v/>
      </c>
      <c r="AC497" s="223" t="str">
        <f>IF(AC$3="","",IF(COUNTIFS(BD!$A$3:$A$5001,AC$3,BD!$B$3:$B$5001,$A$469,BD!$AD$3:$AD$5001,"&lt;&gt;")=0,"",SUMIFS(BD!$AD$3:$AD$5001,BD!$A$3:$A$5001,AC$3,BD!$B$3:$B$5001,$A$469)))</f>
        <v/>
      </c>
      <c r="AD497" s="223" t="str">
        <f>IF(AD$3="","",IF(COUNTIFS(BD!$A$3:$A$5001,AD$3,BD!$B$3:$B$5001,$A$469,BD!$AD$3:$AD$5001,"&lt;&gt;")=0,"",SUMIFS(BD!$AD$3:$AD$5001,BD!$A$3:$A$5001,AD$3,BD!$B$3:$B$5001,$A$469)))</f>
        <v/>
      </c>
      <c r="AE497" s="223" t="str">
        <f>IF(AE$3="","",IF(COUNTIFS(BD!$A$3:$A$5001,AE$3,BD!$B$3:$B$5001,$A$469,BD!$AD$3:$AD$5001,"&lt;&gt;")=0,"",SUMIFS(BD!$AD$3:$AD$5001,BD!$A$3:$A$5001,AE$3,BD!$B$3:$B$5001,$A$469)))</f>
        <v/>
      </c>
      <c r="AF497" s="223" t="str">
        <f>IF(AF$3="","",IF(COUNTIFS(BD!$A$3:$A$5001,AF$3,BD!$B$3:$B$5001,$A$469,BD!$AD$3:$AD$5001,"&lt;&gt;")=0,"",SUMIFS(BD!$AD$3:$AD$5001,BD!$A$3:$A$5001,AF$3,BD!$B$3:$B$5001,$A$469)))</f>
        <v/>
      </c>
      <c r="AG497" s="223" t="str">
        <f>IF(AG$3="","",IF(COUNTIFS(BD!$A$3:$A$5001,AG$3,BD!$B$3:$B$5001,$A$469,BD!$AD$3:$AD$5001,"&lt;&gt;")=0,"",SUMIFS(BD!$AD$3:$AD$5001,BD!$A$3:$A$5001,AG$3,BD!$B$3:$B$5001,$A$469)))</f>
        <v/>
      </c>
      <c r="AH497" s="223" t="str">
        <f>IF(AH$3="","",IF(COUNTIFS(BD!$A$3:$A$5001,AH$3,BD!$B$3:$B$5001,$A$469,BD!$AD$3:$AD$5001,"&lt;&gt;")=0,"",SUMIFS(BD!$AD$3:$AD$5001,BD!$A$3:$A$5001,AH$3,BD!$B$3:$B$5001,$A$469)))</f>
        <v/>
      </c>
      <c r="AI497" s="223" t="str">
        <f>IF(AI$3="","",IF(COUNTIFS(BD!$A$3:$A$5001,AI$3,BD!$B$3:$B$5001,$A$469,BD!$AD$3:$AD$5001,"&lt;&gt;")=0,"",SUMIFS(BD!$AD$3:$AD$5001,BD!$A$3:$A$5001,AI$3,BD!$B$3:$B$5001,$A$469)))</f>
        <v/>
      </c>
      <c r="AJ497" s="224" t="str">
        <f>IF(AJ$3="","",IF(COUNTIFS(BD!$A$3:$A$5001,AJ$3,BD!$B$3:$B$5001,$A$469,BD!$AD$3:$AD$5001,"&lt;&gt;")=0,"",SUMIFS(BD!$AD$3:$AD$5001,BD!$A$3:$A$5001,AJ$3,BD!$B$3:$B$5001,$A$469)))</f>
        <v/>
      </c>
      <c r="AK497" s="225" t="str">
        <f>IF(COUNT(F497:AJ497)=0,"",SUM(F497:AJ497))</f>
        <v/>
      </c>
    </row>
    <row r="498" ht="15.75" customHeight="1" hidden="1">
      <c r="A498" s="244"/>
      <c r="B498" s="241"/>
      <c r="C498" s="219" t="inlineStr">
        <is>
          <t xml:space="preserve">Acidentes CAF</t>
        </is>
      </c>
      <c r="D498" s="220" t="str">
        <f>IFERROR(1/(1/INDEX(BD!$AJ$52:$BD$52,MATCH($A$469,BD!$AJ$22:$BD$22,0))),"")</f>
        <v/>
      </c>
      <c r="E498" s="221"/>
      <c r="F498" s="222" t="str">
        <f>IF(F$3="","",IF(COUNTIFS(BD!$A$3:$A$5001,F$3,BD!$B$3:$B$5001,$A$469,BD!$AE$3:$AE$5001,"&lt;&gt;")=0,"",SUMIFS(BD!$AE$3:$AE$5001,BD!$A$3:$A$5001,F$3,BD!$B$3:$B$5001,$A$469)))</f>
        <v/>
      </c>
      <c r="G498" s="223" t="str">
        <f>IF(G$3="","",IF(COUNTIFS(BD!$A$3:$A$5001,G$3,BD!$B$3:$B$5001,$A$469,BD!$AE$3:$AE$5001,"&lt;&gt;")=0,"",SUMIFS(BD!$AE$3:$AE$5001,BD!$A$3:$A$5001,G$3,BD!$B$3:$B$5001,$A$469)))</f>
        <v/>
      </c>
      <c r="H498" s="223" t="str">
        <f>IF(H$3="","",IF(COUNTIFS(BD!$A$3:$A$5001,H$3,BD!$B$3:$B$5001,$A$469,BD!$AE$3:$AE$5001,"&lt;&gt;")=0,"",SUMIFS(BD!$AE$3:$AE$5001,BD!$A$3:$A$5001,H$3,BD!$B$3:$B$5001,$A$469)))</f>
        <v/>
      </c>
      <c r="I498" s="223" t="str">
        <f>IF(I$3="","",IF(COUNTIFS(BD!$A$3:$A$5001,I$3,BD!$B$3:$B$5001,$A$469,BD!$AE$3:$AE$5001,"&lt;&gt;")=0,"",SUMIFS(BD!$AE$3:$AE$5001,BD!$A$3:$A$5001,I$3,BD!$B$3:$B$5001,$A$469)))</f>
        <v/>
      </c>
      <c r="J498" s="223" t="str">
        <f>IF(J$3="","",IF(COUNTIFS(BD!$A$3:$A$5001,J$3,BD!$B$3:$B$5001,$A$469,BD!$AE$3:$AE$5001,"&lt;&gt;")=0,"",SUMIFS(BD!$AE$3:$AE$5001,BD!$A$3:$A$5001,J$3,BD!$B$3:$B$5001,$A$469)))</f>
        <v/>
      </c>
      <c r="K498" s="223" t="str">
        <f>IF(K$3="","",IF(COUNTIFS(BD!$A$3:$A$5001,K$3,BD!$B$3:$B$5001,$A$469,BD!$AE$3:$AE$5001,"&lt;&gt;")=0,"",SUMIFS(BD!$AE$3:$AE$5001,BD!$A$3:$A$5001,K$3,BD!$B$3:$B$5001,$A$469)))</f>
        <v/>
      </c>
      <c r="L498" s="223" t="str">
        <f>IF(L$3="","",IF(COUNTIFS(BD!$A$3:$A$5001,L$3,BD!$B$3:$B$5001,$A$469,BD!$AE$3:$AE$5001,"&lt;&gt;")=0,"",SUMIFS(BD!$AE$3:$AE$5001,BD!$A$3:$A$5001,L$3,BD!$B$3:$B$5001,$A$469)))</f>
        <v/>
      </c>
      <c r="M498" s="223" t="str">
        <f>IF(M$3="","",IF(COUNTIFS(BD!$A$3:$A$5001,M$3,BD!$B$3:$B$5001,$A$469,BD!$AE$3:$AE$5001,"&lt;&gt;")=0,"",SUMIFS(BD!$AE$3:$AE$5001,BD!$A$3:$A$5001,M$3,BD!$B$3:$B$5001,$A$469)))</f>
        <v/>
      </c>
      <c r="N498" s="223" t="str">
        <f>IF(N$3="","",IF(COUNTIFS(BD!$A$3:$A$5001,N$3,BD!$B$3:$B$5001,$A$469,BD!$AE$3:$AE$5001,"&lt;&gt;")=0,"",SUMIFS(BD!$AE$3:$AE$5001,BD!$A$3:$A$5001,N$3,BD!$B$3:$B$5001,$A$469)))</f>
        <v/>
      </c>
      <c r="O498" s="223" t="str">
        <f>IF(O$3="","",IF(COUNTIFS(BD!$A$3:$A$5001,O$3,BD!$B$3:$B$5001,$A$469,BD!$AE$3:$AE$5001,"&lt;&gt;")=0,"",SUMIFS(BD!$AE$3:$AE$5001,BD!$A$3:$A$5001,O$3,BD!$B$3:$B$5001,$A$469)))</f>
        <v/>
      </c>
      <c r="P498" s="223" t="str">
        <f>IF(P$3="","",IF(COUNTIFS(BD!$A$3:$A$5001,P$3,BD!$B$3:$B$5001,$A$469,BD!$AE$3:$AE$5001,"&lt;&gt;")=0,"",SUMIFS(BD!$AE$3:$AE$5001,BD!$A$3:$A$5001,P$3,BD!$B$3:$B$5001,$A$469)))</f>
        <v/>
      </c>
      <c r="Q498" s="223" t="str">
        <f>IF(Q$3="","",IF(COUNTIFS(BD!$A$3:$A$5001,Q$3,BD!$B$3:$B$5001,$A$469,BD!$AE$3:$AE$5001,"&lt;&gt;")=0,"",SUMIFS(BD!$AE$3:$AE$5001,BD!$A$3:$A$5001,Q$3,BD!$B$3:$B$5001,$A$469)))</f>
        <v/>
      </c>
      <c r="R498" s="223" t="str">
        <f>IF(R$3="","",IF(COUNTIFS(BD!$A$3:$A$5001,R$3,BD!$B$3:$B$5001,$A$469,BD!$AE$3:$AE$5001,"&lt;&gt;")=0,"",SUMIFS(BD!$AE$3:$AE$5001,BD!$A$3:$A$5001,R$3,BD!$B$3:$B$5001,$A$469)))</f>
        <v/>
      </c>
      <c r="S498" s="223" t="str">
        <f>IF(S$3="","",IF(COUNTIFS(BD!$A$3:$A$5001,S$3,BD!$B$3:$B$5001,$A$469,BD!$AE$3:$AE$5001,"&lt;&gt;")=0,"",SUMIFS(BD!$AE$3:$AE$5001,BD!$A$3:$A$5001,S$3,BD!$B$3:$B$5001,$A$469)))</f>
        <v/>
      </c>
      <c r="T498" s="223" t="str">
        <f>IF(T$3="","",IF(COUNTIFS(BD!$A$3:$A$5001,T$3,BD!$B$3:$B$5001,$A$469,BD!$AE$3:$AE$5001,"&lt;&gt;")=0,"",SUMIFS(BD!$AE$3:$AE$5001,BD!$A$3:$A$5001,T$3,BD!$B$3:$B$5001,$A$469)))</f>
        <v/>
      </c>
      <c r="U498" s="223" t="str">
        <f>IF(U$3="","",IF(COUNTIFS(BD!$A$3:$A$5001,U$3,BD!$B$3:$B$5001,$A$469,BD!$AE$3:$AE$5001,"&lt;&gt;")=0,"",SUMIFS(BD!$AE$3:$AE$5001,BD!$A$3:$A$5001,U$3,BD!$B$3:$B$5001,$A$469)))</f>
        <v/>
      </c>
      <c r="V498" s="223" t="str">
        <f>IF(V$3="","",IF(COUNTIFS(BD!$A$3:$A$5001,V$3,BD!$B$3:$B$5001,$A$469,BD!$AE$3:$AE$5001,"&lt;&gt;")=0,"",SUMIFS(BD!$AE$3:$AE$5001,BD!$A$3:$A$5001,V$3,BD!$B$3:$B$5001,$A$469)))</f>
        <v/>
      </c>
      <c r="W498" s="223" t="str">
        <f>IF(W$3="","",IF(COUNTIFS(BD!$A$3:$A$5001,W$3,BD!$B$3:$B$5001,$A$469,BD!$AE$3:$AE$5001,"&lt;&gt;")=0,"",SUMIFS(BD!$AE$3:$AE$5001,BD!$A$3:$A$5001,W$3,BD!$B$3:$B$5001,$A$469)))</f>
        <v/>
      </c>
      <c r="X498" s="223" t="str">
        <f>IF(X$3="","",IF(COUNTIFS(BD!$A$3:$A$5001,X$3,BD!$B$3:$B$5001,$A$469,BD!$AE$3:$AE$5001,"&lt;&gt;")=0,"",SUMIFS(BD!$AE$3:$AE$5001,BD!$A$3:$A$5001,X$3,BD!$B$3:$B$5001,$A$469)))</f>
        <v/>
      </c>
      <c r="Y498" s="223" t="str">
        <f>IF(Y$3="","",IF(COUNTIFS(BD!$A$3:$A$5001,Y$3,BD!$B$3:$B$5001,$A$469,BD!$AE$3:$AE$5001,"&lt;&gt;")=0,"",SUMIFS(BD!$AE$3:$AE$5001,BD!$A$3:$A$5001,Y$3,BD!$B$3:$B$5001,$A$469)))</f>
        <v/>
      </c>
      <c r="Z498" s="223" t="str">
        <f>IF(Z$3="","",IF(COUNTIFS(BD!$A$3:$A$5001,Z$3,BD!$B$3:$B$5001,$A$469,BD!$AE$3:$AE$5001,"&lt;&gt;")=0,"",SUMIFS(BD!$AE$3:$AE$5001,BD!$A$3:$A$5001,Z$3,BD!$B$3:$B$5001,$A$469)))</f>
        <v/>
      </c>
      <c r="AA498" s="223" t="str">
        <f>IF(AA$3="","",IF(COUNTIFS(BD!$A$3:$A$5001,AA$3,BD!$B$3:$B$5001,$A$469,BD!$AE$3:$AE$5001,"&lt;&gt;")=0,"",SUMIFS(BD!$AE$3:$AE$5001,BD!$A$3:$A$5001,AA$3,BD!$B$3:$B$5001,$A$469)))</f>
        <v/>
      </c>
      <c r="AB498" s="223" t="str">
        <f>IF(AB$3="","",IF(COUNTIFS(BD!$A$3:$A$5001,AB$3,BD!$B$3:$B$5001,$A$469,BD!$AE$3:$AE$5001,"&lt;&gt;")=0,"",SUMIFS(BD!$AE$3:$AE$5001,BD!$A$3:$A$5001,AB$3,BD!$B$3:$B$5001,$A$469)))</f>
        <v/>
      </c>
      <c r="AC498" s="223" t="str">
        <f>IF(AC$3="","",IF(COUNTIFS(BD!$A$3:$A$5001,AC$3,BD!$B$3:$B$5001,$A$469,BD!$AE$3:$AE$5001,"&lt;&gt;")=0,"",SUMIFS(BD!$AE$3:$AE$5001,BD!$A$3:$A$5001,AC$3,BD!$B$3:$B$5001,$A$469)))</f>
        <v/>
      </c>
      <c r="AD498" s="223" t="str">
        <f>IF(AD$3="","",IF(COUNTIFS(BD!$A$3:$A$5001,AD$3,BD!$B$3:$B$5001,$A$469,BD!$AE$3:$AE$5001,"&lt;&gt;")=0,"",SUMIFS(BD!$AE$3:$AE$5001,BD!$A$3:$A$5001,AD$3,BD!$B$3:$B$5001,$A$469)))</f>
        <v/>
      </c>
      <c r="AE498" s="223" t="str">
        <f>IF(AE$3="","",IF(COUNTIFS(BD!$A$3:$A$5001,AE$3,BD!$B$3:$B$5001,$A$469,BD!$AE$3:$AE$5001,"&lt;&gt;")=0,"",SUMIFS(BD!$AE$3:$AE$5001,BD!$A$3:$A$5001,AE$3,BD!$B$3:$B$5001,$A$469)))</f>
        <v/>
      </c>
      <c r="AF498" s="223" t="str">
        <f>IF(AF$3="","",IF(COUNTIFS(BD!$A$3:$A$5001,AF$3,BD!$B$3:$B$5001,$A$469,BD!$AE$3:$AE$5001,"&lt;&gt;")=0,"",SUMIFS(BD!$AE$3:$AE$5001,BD!$A$3:$A$5001,AF$3,BD!$B$3:$B$5001,$A$469)))</f>
        <v/>
      </c>
      <c r="AG498" s="223" t="str">
        <f>IF(AG$3="","",IF(COUNTIFS(BD!$A$3:$A$5001,AG$3,BD!$B$3:$B$5001,$A$469,BD!$AE$3:$AE$5001,"&lt;&gt;")=0,"",SUMIFS(BD!$AE$3:$AE$5001,BD!$A$3:$A$5001,AG$3,BD!$B$3:$B$5001,$A$469)))</f>
        <v/>
      </c>
      <c r="AH498" s="223" t="str">
        <f>IF(AH$3="","",IF(COUNTIFS(BD!$A$3:$A$5001,AH$3,BD!$B$3:$B$5001,$A$469,BD!$AE$3:$AE$5001,"&lt;&gt;")=0,"",SUMIFS(BD!$AE$3:$AE$5001,BD!$A$3:$A$5001,AH$3,BD!$B$3:$B$5001,$A$469)))</f>
        <v/>
      </c>
      <c r="AI498" s="223" t="str">
        <f>IF(AI$3="","",IF(COUNTIFS(BD!$A$3:$A$5001,AI$3,BD!$B$3:$B$5001,$A$469,BD!$AE$3:$AE$5001,"&lt;&gt;")=0,"",SUMIFS(BD!$AE$3:$AE$5001,BD!$A$3:$A$5001,AI$3,BD!$B$3:$B$5001,$A$469)))</f>
        <v/>
      </c>
      <c r="AJ498" s="224" t="str">
        <f>IF(AJ$3="","",IF(COUNTIFS(BD!$A$3:$A$5001,AJ$3,BD!$B$3:$B$5001,$A$469,BD!$AE$3:$AE$5001,"&lt;&gt;")=0,"",SUMIFS(BD!$AE$3:$AE$5001,BD!$A$3:$A$5001,AJ$3,BD!$B$3:$B$5001,$A$469)))</f>
        <v/>
      </c>
      <c r="AK498" s="225" t="str">
        <f>IF(COUNT(F498:AJ498)=0,"",SUM(F498:AJ498))</f>
        <v/>
      </c>
    </row>
    <row r="499" ht="15.75" customHeight="1" hidden="1">
      <c r="A499" s="245"/>
      <c r="B499" s="242"/>
      <c r="C499" s="226" t="inlineStr">
        <is>
          <t xml:space="preserve">Acidentes SAF</t>
        </is>
      </c>
      <c r="D499" s="227" t="str">
        <f>IFERROR(1/(1/INDEX(BD!$AJ$53:$BD$53,MATCH($A$469,BD!$AJ$22:$BD$22,0))),"")</f>
        <v/>
      </c>
      <c r="E499" s="228"/>
      <c r="F499" s="229" t="str">
        <f>IF(F$3="","",IF(COUNTIFS(BD!$A$3:$A$5001,F$3,BD!$B$3:$B$5001,$A$469,BD!$AF$3:$AF$5001,"&lt;&gt;")=0,"",SUMIFS(BD!$AF$3:$AF$5001,BD!$A$3:$A$5001,F$3,BD!$B$3:$B$5001,$A$469)))</f>
        <v/>
      </c>
      <c r="G499" s="230" t="str">
        <f>IF(G$3="","",IF(COUNTIFS(BD!$A$3:$A$5001,G$3,BD!$B$3:$B$5001,$A$469,BD!$AF$3:$AF$5001,"&lt;&gt;")=0,"",SUMIFS(BD!$AF$3:$AF$5001,BD!$A$3:$A$5001,G$3,BD!$B$3:$B$5001,$A$469)))</f>
        <v/>
      </c>
      <c r="H499" s="230" t="str">
        <f>IF(H$3="","",IF(COUNTIFS(BD!$A$3:$A$5001,H$3,BD!$B$3:$B$5001,$A$469,BD!$AF$3:$AF$5001,"&lt;&gt;")=0,"",SUMIFS(BD!$AF$3:$AF$5001,BD!$A$3:$A$5001,H$3,BD!$B$3:$B$5001,$A$469)))</f>
        <v/>
      </c>
      <c r="I499" s="230" t="str">
        <f>IF(I$3="","",IF(COUNTIFS(BD!$A$3:$A$5001,I$3,BD!$B$3:$B$5001,$A$469,BD!$AF$3:$AF$5001,"&lt;&gt;")=0,"",SUMIFS(BD!$AF$3:$AF$5001,BD!$A$3:$A$5001,I$3,BD!$B$3:$B$5001,$A$469)))</f>
        <v/>
      </c>
      <c r="J499" s="230" t="str">
        <f>IF(J$3="","",IF(COUNTIFS(BD!$A$3:$A$5001,J$3,BD!$B$3:$B$5001,$A$469,BD!$AF$3:$AF$5001,"&lt;&gt;")=0,"",SUMIFS(BD!$AF$3:$AF$5001,BD!$A$3:$A$5001,J$3,BD!$B$3:$B$5001,$A$469)))</f>
        <v/>
      </c>
      <c r="K499" s="230" t="str">
        <f>IF(K$3="","",IF(COUNTIFS(BD!$A$3:$A$5001,K$3,BD!$B$3:$B$5001,$A$469,BD!$AF$3:$AF$5001,"&lt;&gt;")=0,"",SUMIFS(BD!$AF$3:$AF$5001,BD!$A$3:$A$5001,K$3,BD!$B$3:$B$5001,$A$469)))</f>
        <v/>
      </c>
      <c r="L499" s="230" t="str">
        <f>IF(L$3="","",IF(COUNTIFS(BD!$A$3:$A$5001,L$3,BD!$B$3:$B$5001,$A$469,BD!$AF$3:$AF$5001,"&lt;&gt;")=0,"",SUMIFS(BD!$AF$3:$AF$5001,BD!$A$3:$A$5001,L$3,BD!$B$3:$B$5001,$A$469)))</f>
        <v/>
      </c>
      <c r="M499" s="230" t="str">
        <f>IF(M$3="","",IF(COUNTIFS(BD!$A$3:$A$5001,M$3,BD!$B$3:$B$5001,$A$469,BD!$AF$3:$AF$5001,"&lt;&gt;")=0,"",SUMIFS(BD!$AF$3:$AF$5001,BD!$A$3:$A$5001,M$3,BD!$B$3:$B$5001,$A$469)))</f>
        <v/>
      </c>
      <c r="N499" s="230" t="str">
        <f>IF(N$3="","",IF(COUNTIFS(BD!$A$3:$A$5001,N$3,BD!$B$3:$B$5001,$A$469,BD!$AF$3:$AF$5001,"&lt;&gt;")=0,"",SUMIFS(BD!$AF$3:$AF$5001,BD!$A$3:$A$5001,N$3,BD!$B$3:$B$5001,$A$469)))</f>
        <v/>
      </c>
      <c r="O499" s="230" t="str">
        <f>IF(O$3="","",IF(COUNTIFS(BD!$A$3:$A$5001,O$3,BD!$B$3:$B$5001,$A$469,BD!$AF$3:$AF$5001,"&lt;&gt;")=0,"",SUMIFS(BD!$AF$3:$AF$5001,BD!$A$3:$A$5001,O$3,BD!$B$3:$B$5001,$A$469)))</f>
        <v/>
      </c>
      <c r="P499" s="230" t="str">
        <f>IF(P$3="","",IF(COUNTIFS(BD!$A$3:$A$5001,P$3,BD!$B$3:$B$5001,$A$469,BD!$AF$3:$AF$5001,"&lt;&gt;")=0,"",SUMIFS(BD!$AF$3:$AF$5001,BD!$A$3:$A$5001,P$3,BD!$B$3:$B$5001,$A$469)))</f>
        <v/>
      </c>
      <c r="Q499" s="230" t="str">
        <f>IF(Q$3="","",IF(COUNTIFS(BD!$A$3:$A$5001,Q$3,BD!$B$3:$B$5001,$A$469,BD!$AF$3:$AF$5001,"&lt;&gt;")=0,"",SUMIFS(BD!$AF$3:$AF$5001,BD!$A$3:$A$5001,Q$3,BD!$B$3:$B$5001,$A$469)))</f>
        <v/>
      </c>
      <c r="R499" s="230" t="str">
        <f>IF(R$3="","",IF(COUNTIFS(BD!$A$3:$A$5001,R$3,BD!$B$3:$B$5001,$A$469,BD!$AF$3:$AF$5001,"&lt;&gt;")=0,"",SUMIFS(BD!$AF$3:$AF$5001,BD!$A$3:$A$5001,R$3,BD!$B$3:$B$5001,$A$469)))</f>
        <v/>
      </c>
      <c r="S499" s="230" t="str">
        <f>IF(S$3="","",IF(COUNTIFS(BD!$A$3:$A$5001,S$3,BD!$B$3:$B$5001,$A$469,BD!$AF$3:$AF$5001,"&lt;&gt;")=0,"",SUMIFS(BD!$AF$3:$AF$5001,BD!$A$3:$A$5001,S$3,BD!$B$3:$B$5001,$A$469)))</f>
        <v/>
      </c>
      <c r="T499" s="230" t="str">
        <f>IF(T$3="","",IF(COUNTIFS(BD!$A$3:$A$5001,T$3,BD!$B$3:$B$5001,$A$469,BD!$AF$3:$AF$5001,"&lt;&gt;")=0,"",SUMIFS(BD!$AF$3:$AF$5001,BD!$A$3:$A$5001,T$3,BD!$B$3:$B$5001,$A$469)))</f>
        <v/>
      </c>
      <c r="U499" s="230" t="str">
        <f>IF(U$3="","",IF(COUNTIFS(BD!$A$3:$A$5001,U$3,BD!$B$3:$B$5001,$A$469,BD!$AF$3:$AF$5001,"&lt;&gt;")=0,"",SUMIFS(BD!$AF$3:$AF$5001,BD!$A$3:$A$5001,U$3,BD!$B$3:$B$5001,$A$469)))</f>
        <v/>
      </c>
      <c r="V499" s="230" t="str">
        <f>IF(V$3="","",IF(COUNTIFS(BD!$A$3:$A$5001,V$3,BD!$B$3:$B$5001,$A$469,BD!$AF$3:$AF$5001,"&lt;&gt;")=0,"",SUMIFS(BD!$AF$3:$AF$5001,BD!$A$3:$A$5001,V$3,BD!$B$3:$B$5001,$A$469)))</f>
        <v/>
      </c>
      <c r="W499" s="230" t="str">
        <f>IF(W$3="","",IF(COUNTIFS(BD!$A$3:$A$5001,W$3,BD!$B$3:$B$5001,$A$469,BD!$AF$3:$AF$5001,"&lt;&gt;")=0,"",SUMIFS(BD!$AF$3:$AF$5001,BD!$A$3:$A$5001,W$3,BD!$B$3:$B$5001,$A$469)))</f>
        <v/>
      </c>
      <c r="X499" s="230" t="str">
        <f>IF(X$3="","",IF(COUNTIFS(BD!$A$3:$A$5001,X$3,BD!$B$3:$B$5001,$A$469,BD!$AF$3:$AF$5001,"&lt;&gt;")=0,"",SUMIFS(BD!$AF$3:$AF$5001,BD!$A$3:$A$5001,X$3,BD!$B$3:$B$5001,$A$469)))</f>
        <v/>
      </c>
      <c r="Y499" s="230" t="str">
        <f>IF(Y$3="","",IF(COUNTIFS(BD!$A$3:$A$5001,Y$3,BD!$B$3:$B$5001,$A$469,BD!$AF$3:$AF$5001,"&lt;&gt;")=0,"",SUMIFS(BD!$AF$3:$AF$5001,BD!$A$3:$A$5001,Y$3,BD!$B$3:$B$5001,$A$469)))</f>
        <v/>
      </c>
      <c r="Z499" s="230" t="str">
        <f>IF(Z$3="","",IF(COUNTIFS(BD!$A$3:$A$5001,Z$3,BD!$B$3:$B$5001,$A$469,BD!$AF$3:$AF$5001,"&lt;&gt;")=0,"",SUMIFS(BD!$AF$3:$AF$5001,BD!$A$3:$A$5001,Z$3,BD!$B$3:$B$5001,$A$469)))</f>
        <v/>
      </c>
      <c r="AA499" s="230" t="str">
        <f>IF(AA$3="","",IF(COUNTIFS(BD!$A$3:$A$5001,AA$3,BD!$B$3:$B$5001,$A$469,BD!$AF$3:$AF$5001,"&lt;&gt;")=0,"",SUMIFS(BD!$AF$3:$AF$5001,BD!$A$3:$A$5001,AA$3,BD!$B$3:$B$5001,$A$469)))</f>
        <v/>
      </c>
      <c r="AB499" s="230" t="str">
        <f>IF(AB$3="","",IF(COUNTIFS(BD!$A$3:$A$5001,AB$3,BD!$B$3:$B$5001,$A$469,BD!$AF$3:$AF$5001,"&lt;&gt;")=0,"",SUMIFS(BD!$AF$3:$AF$5001,BD!$A$3:$A$5001,AB$3,BD!$B$3:$B$5001,$A$469)))</f>
        <v/>
      </c>
      <c r="AC499" s="230" t="str">
        <f>IF(AC$3="","",IF(COUNTIFS(BD!$A$3:$A$5001,AC$3,BD!$B$3:$B$5001,$A$469,BD!$AF$3:$AF$5001,"&lt;&gt;")=0,"",SUMIFS(BD!$AF$3:$AF$5001,BD!$A$3:$A$5001,AC$3,BD!$B$3:$B$5001,$A$469)))</f>
        <v/>
      </c>
      <c r="AD499" s="230" t="str">
        <f>IF(AD$3="","",IF(COUNTIFS(BD!$A$3:$A$5001,AD$3,BD!$B$3:$B$5001,$A$469,BD!$AF$3:$AF$5001,"&lt;&gt;")=0,"",SUMIFS(BD!$AF$3:$AF$5001,BD!$A$3:$A$5001,AD$3,BD!$B$3:$B$5001,$A$469)))</f>
        <v/>
      </c>
      <c r="AE499" s="230" t="str">
        <f>IF(AE$3="","",IF(COUNTIFS(BD!$A$3:$A$5001,AE$3,BD!$B$3:$B$5001,$A$469,BD!$AF$3:$AF$5001,"&lt;&gt;")=0,"",SUMIFS(BD!$AF$3:$AF$5001,BD!$A$3:$A$5001,AE$3,BD!$B$3:$B$5001,$A$469)))</f>
        <v/>
      </c>
      <c r="AF499" s="230" t="str">
        <f>IF(AF$3="","",IF(COUNTIFS(BD!$A$3:$A$5001,AF$3,BD!$B$3:$B$5001,$A$469,BD!$AF$3:$AF$5001,"&lt;&gt;")=0,"",SUMIFS(BD!$AF$3:$AF$5001,BD!$A$3:$A$5001,AF$3,BD!$B$3:$B$5001,$A$469)))</f>
        <v/>
      </c>
      <c r="AG499" s="230" t="str">
        <f>IF(AG$3="","",IF(COUNTIFS(BD!$A$3:$A$5001,AG$3,BD!$B$3:$B$5001,$A$469,BD!$AF$3:$AF$5001,"&lt;&gt;")=0,"",SUMIFS(BD!$AF$3:$AF$5001,BD!$A$3:$A$5001,AG$3,BD!$B$3:$B$5001,$A$469)))</f>
        <v/>
      </c>
      <c r="AH499" s="230" t="str">
        <f>IF(AH$3="","",IF(COUNTIFS(BD!$A$3:$A$5001,AH$3,BD!$B$3:$B$5001,$A$469,BD!$AF$3:$AF$5001,"&lt;&gt;")=0,"",SUMIFS(BD!$AF$3:$AF$5001,BD!$A$3:$A$5001,AH$3,BD!$B$3:$B$5001,$A$469)))</f>
        <v/>
      </c>
      <c r="AI499" s="230" t="str">
        <f>IF(AI$3="","",IF(COUNTIFS(BD!$A$3:$A$5001,AI$3,BD!$B$3:$B$5001,$A$469,BD!$AF$3:$AF$5001,"&lt;&gt;")=0,"",SUMIFS(BD!$AF$3:$AF$5001,BD!$A$3:$A$5001,AI$3,BD!$B$3:$B$5001,$A$469)))</f>
        <v/>
      </c>
      <c r="AJ499" s="231" t="str">
        <f>IF(AJ$3="","",IF(COUNTIFS(BD!$A$3:$A$5001,AJ$3,BD!$B$3:$B$5001,$A$469,BD!$AF$3:$AF$5001,"&lt;&gt;")=0,"",SUMIFS(BD!$AF$3:$AF$5001,BD!$A$3:$A$5001,AJ$3,BD!$B$3:$B$5001,$A$469)))</f>
        <v/>
      </c>
      <c r="AK499" s="227" t="str">
        <f>IF(COUNT(F499:AJ499)=0,"",SUM(F499:AJ499))</f>
        <v/>
      </c>
    </row>
    <row r="501" ht="15.75" customHeight="1" hidden="1">
      <c r="A501" s="243"/>
      <c r="B501" s="232" t="inlineStr">
        <is>
          <t xml:space="preserve">IN</t>
        </is>
      </c>
      <c r="C501" s="155" t="inlineStr">
        <is>
          <t xml:space="preserve">Veículos Recebidos</t>
        </is>
      </c>
      <c r="D501" s="156" t="str">
        <f>IFERROR(1/(1/INDEX(BD!$AJ$23:$BD$23,MATCH($A$501,BD!$AJ$22:$BD$22,0))),"")</f>
        <v/>
      </c>
      <c r="E501" s="157"/>
      <c r="F501" s="158" t="str">
        <f>IF(F$3="","",IF(COUNTIFS(BD!$A$3:$A$5001,F$3,BD!$B$3:$B$5001,$A$501,BD!$C$3:$C$5001,"&lt;&gt;")=0,"",SUMIFS(BD!$C$3:$C$5001,BD!$A$3:$A$5001,F$3,BD!$B$3:$B$5001,$A$501)))</f>
        <v/>
      </c>
      <c r="G501" s="159" t="str">
        <f>IF(G$3="","",IF(COUNTIFS(BD!$A$3:$A$5001,G$3,BD!$B$3:$B$5001,$A$501,BD!$C$3:$C$5001,"&lt;&gt;")=0,"",SUMIFS(BD!$C$3:$C$5001,BD!$A$3:$A$5001,G$3,BD!$B$3:$B$5001,$A$501)))</f>
        <v/>
      </c>
      <c r="H501" s="159" t="str">
        <f>IF(H$3="","",IF(COUNTIFS(BD!$A$3:$A$5001,H$3,BD!$B$3:$B$5001,$A$501,BD!$C$3:$C$5001,"&lt;&gt;")=0,"",SUMIFS(BD!$C$3:$C$5001,BD!$A$3:$A$5001,H$3,BD!$B$3:$B$5001,$A$501)))</f>
        <v/>
      </c>
      <c r="I501" s="159" t="str">
        <f>IF(I$3="","",IF(COUNTIFS(BD!$A$3:$A$5001,I$3,BD!$B$3:$B$5001,$A$501,BD!$C$3:$C$5001,"&lt;&gt;")=0,"",SUMIFS(BD!$C$3:$C$5001,BD!$A$3:$A$5001,I$3,BD!$B$3:$B$5001,$A$501)))</f>
        <v/>
      </c>
      <c r="J501" s="159" t="str">
        <f>IF(J$3="","",IF(COUNTIFS(BD!$A$3:$A$5001,J$3,BD!$B$3:$B$5001,$A$501,BD!$C$3:$C$5001,"&lt;&gt;")=0,"",SUMIFS(BD!$C$3:$C$5001,BD!$A$3:$A$5001,J$3,BD!$B$3:$B$5001,$A$501)))</f>
        <v/>
      </c>
      <c r="K501" s="159" t="str">
        <f>IF(K$3="","",IF(COUNTIFS(BD!$A$3:$A$5001,K$3,BD!$B$3:$B$5001,$A$501,BD!$C$3:$C$5001,"&lt;&gt;")=0,"",SUMIFS(BD!$C$3:$C$5001,BD!$A$3:$A$5001,K$3,BD!$B$3:$B$5001,$A$501)))</f>
        <v/>
      </c>
      <c r="L501" s="159" t="str">
        <f>IF(L$3="","",IF(COUNTIFS(BD!$A$3:$A$5001,L$3,BD!$B$3:$B$5001,$A$501,BD!$C$3:$C$5001,"&lt;&gt;")=0,"",SUMIFS(BD!$C$3:$C$5001,BD!$A$3:$A$5001,L$3,BD!$B$3:$B$5001,$A$501)))</f>
        <v/>
      </c>
      <c r="M501" s="159" t="str">
        <f>IF(M$3="","",IF(COUNTIFS(BD!$A$3:$A$5001,M$3,BD!$B$3:$B$5001,$A$501,BD!$C$3:$C$5001,"&lt;&gt;")=0,"",SUMIFS(BD!$C$3:$C$5001,BD!$A$3:$A$5001,M$3,BD!$B$3:$B$5001,$A$501)))</f>
        <v/>
      </c>
      <c r="N501" s="159" t="str">
        <f>IF(N$3="","",IF(COUNTIFS(BD!$A$3:$A$5001,N$3,BD!$B$3:$B$5001,$A$501,BD!$C$3:$C$5001,"&lt;&gt;")=0,"",SUMIFS(BD!$C$3:$C$5001,BD!$A$3:$A$5001,N$3,BD!$B$3:$B$5001,$A$501)))</f>
        <v/>
      </c>
      <c r="O501" s="159" t="str">
        <f>IF(O$3="","",IF(COUNTIFS(BD!$A$3:$A$5001,O$3,BD!$B$3:$B$5001,$A$501,BD!$C$3:$C$5001,"&lt;&gt;")=0,"",SUMIFS(BD!$C$3:$C$5001,BD!$A$3:$A$5001,O$3,BD!$B$3:$B$5001,$A$501)))</f>
        <v/>
      </c>
      <c r="P501" s="159" t="str">
        <f>IF(P$3="","",IF(COUNTIFS(BD!$A$3:$A$5001,P$3,BD!$B$3:$B$5001,$A$501,BD!$C$3:$C$5001,"&lt;&gt;")=0,"",SUMIFS(BD!$C$3:$C$5001,BD!$A$3:$A$5001,P$3,BD!$B$3:$B$5001,$A$501)))</f>
        <v/>
      </c>
      <c r="Q501" s="159" t="str">
        <f>IF(Q$3="","",IF(COUNTIFS(BD!$A$3:$A$5001,Q$3,BD!$B$3:$B$5001,$A$501,BD!$C$3:$C$5001,"&lt;&gt;")=0,"",SUMIFS(BD!$C$3:$C$5001,BD!$A$3:$A$5001,Q$3,BD!$B$3:$B$5001,$A$501)))</f>
        <v/>
      </c>
      <c r="R501" s="159" t="str">
        <f>IF(R$3="","",IF(COUNTIFS(BD!$A$3:$A$5001,R$3,BD!$B$3:$B$5001,$A$501,BD!$C$3:$C$5001,"&lt;&gt;")=0,"",SUMIFS(BD!$C$3:$C$5001,BD!$A$3:$A$5001,R$3,BD!$B$3:$B$5001,$A$501)))</f>
        <v/>
      </c>
      <c r="S501" s="159" t="str">
        <f>IF(S$3="","",IF(COUNTIFS(BD!$A$3:$A$5001,S$3,BD!$B$3:$B$5001,$A$501,BD!$C$3:$C$5001,"&lt;&gt;")=0,"",SUMIFS(BD!$C$3:$C$5001,BD!$A$3:$A$5001,S$3,BD!$B$3:$B$5001,$A$501)))</f>
        <v/>
      </c>
      <c r="T501" s="159" t="str">
        <f>IF(T$3="","",IF(COUNTIFS(BD!$A$3:$A$5001,T$3,BD!$B$3:$B$5001,$A$501,BD!$C$3:$C$5001,"&lt;&gt;")=0,"",SUMIFS(BD!$C$3:$C$5001,BD!$A$3:$A$5001,T$3,BD!$B$3:$B$5001,$A$501)))</f>
        <v/>
      </c>
      <c r="U501" s="159" t="str">
        <f>IF(U$3="","",IF(COUNTIFS(BD!$A$3:$A$5001,U$3,BD!$B$3:$B$5001,$A$501,BD!$C$3:$C$5001,"&lt;&gt;")=0,"",SUMIFS(BD!$C$3:$C$5001,BD!$A$3:$A$5001,U$3,BD!$B$3:$B$5001,$A$501)))</f>
        <v/>
      </c>
      <c r="V501" s="159" t="str">
        <f>IF(V$3="","",IF(COUNTIFS(BD!$A$3:$A$5001,V$3,BD!$B$3:$B$5001,$A$501,BD!$C$3:$C$5001,"&lt;&gt;")=0,"",SUMIFS(BD!$C$3:$C$5001,BD!$A$3:$A$5001,V$3,BD!$B$3:$B$5001,$A$501)))</f>
        <v/>
      </c>
      <c r="W501" s="159" t="str">
        <f>IF(W$3="","",IF(COUNTIFS(BD!$A$3:$A$5001,W$3,BD!$B$3:$B$5001,$A$501,BD!$C$3:$C$5001,"&lt;&gt;")=0,"",SUMIFS(BD!$C$3:$C$5001,BD!$A$3:$A$5001,W$3,BD!$B$3:$B$5001,$A$501)))</f>
        <v/>
      </c>
      <c r="X501" s="159" t="str">
        <f>IF(X$3="","",IF(COUNTIFS(BD!$A$3:$A$5001,X$3,BD!$B$3:$B$5001,$A$501,BD!$C$3:$C$5001,"&lt;&gt;")=0,"",SUMIFS(BD!$C$3:$C$5001,BD!$A$3:$A$5001,X$3,BD!$B$3:$B$5001,$A$501)))</f>
        <v/>
      </c>
      <c r="Y501" s="159" t="str">
        <f>IF(Y$3="","",IF(COUNTIFS(BD!$A$3:$A$5001,Y$3,BD!$B$3:$B$5001,$A$501,BD!$C$3:$C$5001,"&lt;&gt;")=0,"",SUMIFS(BD!$C$3:$C$5001,BD!$A$3:$A$5001,Y$3,BD!$B$3:$B$5001,$A$501)))</f>
        <v/>
      </c>
      <c r="Z501" s="159" t="str">
        <f>IF(Z$3="","",IF(COUNTIFS(BD!$A$3:$A$5001,Z$3,BD!$B$3:$B$5001,$A$501,BD!$C$3:$C$5001,"&lt;&gt;")=0,"",SUMIFS(BD!$C$3:$C$5001,BD!$A$3:$A$5001,Z$3,BD!$B$3:$B$5001,$A$501)))</f>
        <v/>
      </c>
      <c r="AA501" s="159" t="str">
        <f>IF(AA$3="","",IF(COUNTIFS(BD!$A$3:$A$5001,AA$3,BD!$B$3:$B$5001,$A$501,BD!$C$3:$C$5001,"&lt;&gt;")=0,"",SUMIFS(BD!$C$3:$C$5001,BD!$A$3:$A$5001,AA$3,BD!$B$3:$B$5001,$A$501)))</f>
        <v/>
      </c>
      <c r="AB501" s="159" t="str">
        <f>IF(AB$3="","",IF(COUNTIFS(BD!$A$3:$A$5001,AB$3,BD!$B$3:$B$5001,$A$501,BD!$C$3:$C$5001,"&lt;&gt;")=0,"",SUMIFS(BD!$C$3:$C$5001,BD!$A$3:$A$5001,AB$3,BD!$B$3:$B$5001,$A$501)))</f>
        <v/>
      </c>
      <c r="AC501" s="159" t="str">
        <f>IF(AC$3="","",IF(COUNTIFS(BD!$A$3:$A$5001,AC$3,BD!$B$3:$B$5001,$A$501,BD!$C$3:$C$5001,"&lt;&gt;")=0,"",SUMIFS(BD!$C$3:$C$5001,BD!$A$3:$A$5001,AC$3,BD!$B$3:$B$5001,$A$501)))</f>
        <v/>
      </c>
      <c r="AD501" s="159" t="str">
        <f>IF(AD$3="","",IF(COUNTIFS(BD!$A$3:$A$5001,AD$3,BD!$B$3:$B$5001,$A$501,BD!$C$3:$C$5001,"&lt;&gt;")=0,"",SUMIFS(BD!$C$3:$C$5001,BD!$A$3:$A$5001,AD$3,BD!$B$3:$B$5001,$A$501)))</f>
        <v/>
      </c>
      <c r="AE501" s="159" t="str">
        <f>IF(AE$3="","",IF(COUNTIFS(BD!$A$3:$A$5001,AE$3,BD!$B$3:$B$5001,$A$501,BD!$C$3:$C$5001,"&lt;&gt;")=0,"",SUMIFS(BD!$C$3:$C$5001,BD!$A$3:$A$5001,AE$3,BD!$B$3:$B$5001,$A$501)))</f>
        <v/>
      </c>
      <c r="AF501" s="159" t="str">
        <f>IF(AF$3="","",IF(COUNTIFS(BD!$A$3:$A$5001,AF$3,BD!$B$3:$B$5001,$A$501,BD!$C$3:$C$5001,"&lt;&gt;")=0,"",SUMIFS(BD!$C$3:$C$5001,BD!$A$3:$A$5001,AF$3,BD!$B$3:$B$5001,$A$501)))</f>
        <v/>
      </c>
      <c r="AG501" s="159" t="str">
        <f>IF(AG$3="","",IF(COUNTIFS(BD!$A$3:$A$5001,AG$3,BD!$B$3:$B$5001,$A$501,BD!$C$3:$C$5001,"&lt;&gt;")=0,"",SUMIFS(BD!$C$3:$C$5001,BD!$A$3:$A$5001,AG$3,BD!$B$3:$B$5001,$A$501)))</f>
        <v/>
      </c>
      <c r="AH501" s="159" t="str">
        <f>IF(AH$3="","",IF(COUNTIFS(BD!$A$3:$A$5001,AH$3,BD!$B$3:$B$5001,$A$501,BD!$C$3:$C$5001,"&lt;&gt;")=0,"",SUMIFS(BD!$C$3:$C$5001,BD!$A$3:$A$5001,AH$3,BD!$B$3:$B$5001,$A$501)))</f>
        <v/>
      </c>
      <c r="AI501" s="159" t="str">
        <f>IF(AI$3="","",IF(COUNTIFS(BD!$A$3:$A$5001,AI$3,BD!$B$3:$B$5001,$A$501,BD!$C$3:$C$5001,"&lt;&gt;")=0,"",SUMIFS(BD!$C$3:$C$5001,BD!$A$3:$A$5001,AI$3,BD!$B$3:$B$5001,$A$501)))</f>
        <v/>
      </c>
      <c r="AJ501" s="160" t="str">
        <f>IF(AJ$3="","",IF(COUNTIFS(BD!$A$3:$A$5001,AJ$3,BD!$B$3:$B$5001,$A$501,BD!$C$3:$C$5001,"&lt;&gt;")=0,"",SUMIFS(BD!$C$3:$C$5001,BD!$A$3:$A$5001,AJ$3,BD!$B$3:$B$5001,$A$501)))</f>
        <v/>
      </c>
      <c r="AK501" s="161" t="str">
        <f>IF(COUNT(F501:AJ501)=0,"",SUM(F501:AJ501))</f>
        <v/>
      </c>
    </row>
    <row r="502" ht="15.75" customHeight="1" hidden="1">
      <c r="A502" s="244"/>
      <c r="B502" s="239"/>
      <c r="C502" s="201" t="inlineStr">
        <is>
          <t xml:space="preserve">Pallets Movimentados</t>
        </is>
      </c>
      <c r="D502" s="202" t="str">
        <f>IFERROR(1/(1/INDEX(BD!$AJ$24:$BD$24,MATCH($A$501,BD!$AJ$22:$BD$22,0))),"")</f>
        <v/>
      </c>
      <c r="E502" s="203"/>
      <c r="F502" s="204" t="str">
        <f>IF(F$3="","",IF(COUNTIFS(BD!$A$3:$A$5001,F$3,BD!$B$3:$B$5001,$A$501,BD!$D$3:$D$5001,"&lt;&gt;")=0,"",SUMIFS(BD!$D$3:$D$5001,BD!$A$3:$A$5001,F$3,BD!$B$3:$B$5001,$A$501)))</f>
        <v/>
      </c>
      <c r="G502" s="205" t="str">
        <f>IF(G$3="","",IF(COUNTIFS(BD!$A$3:$A$5001,G$3,BD!$B$3:$B$5001,$A$501,BD!$D$3:$D$5001,"&lt;&gt;")=0,"",SUMIFS(BD!$D$3:$D$5001,BD!$A$3:$A$5001,G$3,BD!$B$3:$B$5001,$A$501)))</f>
        <v/>
      </c>
      <c r="H502" s="205" t="str">
        <f>IF(H$3="","",IF(COUNTIFS(BD!$A$3:$A$5001,H$3,BD!$B$3:$B$5001,$A$501,BD!$D$3:$D$5001,"&lt;&gt;")=0,"",SUMIFS(BD!$D$3:$D$5001,BD!$A$3:$A$5001,H$3,BD!$B$3:$B$5001,$A$501)))</f>
        <v/>
      </c>
      <c r="I502" s="205" t="str">
        <f>IF(I$3="","",IF(COUNTIFS(BD!$A$3:$A$5001,I$3,BD!$B$3:$B$5001,$A$501,BD!$D$3:$D$5001,"&lt;&gt;")=0,"",SUMIFS(BD!$D$3:$D$5001,BD!$A$3:$A$5001,I$3,BD!$B$3:$B$5001,$A$501)))</f>
        <v/>
      </c>
      <c r="J502" s="205" t="str">
        <f>IF(J$3="","",IF(COUNTIFS(BD!$A$3:$A$5001,J$3,BD!$B$3:$B$5001,$A$501,BD!$D$3:$D$5001,"&lt;&gt;")=0,"",SUMIFS(BD!$D$3:$D$5001,BD!$A$3:$A$5001,J$3,BD!$B$3:$B$5001,$A$501)))</f>
        <v/>
      </c>
      <c r="K502" s="205" t="str">
        <f>IF(K$3="","",IF(COUNTIFS(BD!$A$3:$A$5001,K$3,BD!$B$3:$B$5001,$A$501,BD!$D$3:$D$5001,"&lt;&gt;")=0,"",SUMIFS(BD!$D$3:$D$5001,BD!$A$3:$A$5001,K$3,BD!$B$3:$B$5001,$A$501)))</f>
        <v/>
      </c>
      <c r="L502" s="205" t="str">
        <f>IF(L$3="","",IF(COUNTIFS(BD!$A$3:$A$5001,L$3,BD!$B$3:$B$5001,$A$501,BD!$D$3:$D$5001,"&lt;&gt;")=0,"",SUMIFS(BD!$D$3:$D$5001,BD!$A$3:$A$5001,L$3,BD!$B$3:$B$5001,$A$501)))</f>
        <v/>
      </c>
      <c r="M502" s="205" t="str">
        <f>IF(M$3="","",IF(COUNTIFS(BD!$A$3:$A$5001,M$3,BD!$B$3:$B$5001,$A$501,BD!$D$3:$D$5001,"&lt;&gt;")=0,"",SUMIFS(BD!$D$3:$D$5001,BD!$A$3:$A$5001,M$3,BD!$B$3:$B$5001,$A$501)))</f>
        <v/>
      </c>
      <c r="N502" s="205" t="str">
        <f>IF(N$3="","",IF(COUNTIFS(BD!$A$3:$A$5001,N$3,BD!$B$3:$B$5001,$A$501,BD!$D$3:$D$5001,"&lt;&gt;")=0,"",SUMIFS(BD!$D$3:$D$5001,BD!$A$3:$A$5001,N$3,BD!$B$3:$B$5001,$A$501)))</f>
        <v/>
      </c>
      <c r="O502" s="205" t="str">
        <f>IF(O$3="","",IF(COUNTIFS(BD!$A$3:$A$5001,O$3,BD!$B$3:$B$5001,$A$501,BD!$D$3:$D$5001,"&lt;&gt;")=0,"",SUMIFS(BD!$D$3:$D$5001,BD!$A$3:$A$5001,O$3,BD!$B$3:$B$5001,$A$501)))</f>
        <v/>
      </c>
      <c r="P502" s="205" t="str">
        <f>IF(P$3="","",IF(COUNTIFS(BD!$A$3:$A$5001,P$3,BD!$B$3:$B$5001,$A$501,BD!$D$3:$D$5001,"&lt;&gt;")=0,"",SUMIFS(BD!$D$3:$D$5001,BD!$A$3:$A$5001,P$3,BD!$B$3:$B$5001,$A$501)))</f>
        <v/>
      </c>
      <c r="Q502" s="205" t="str">
        <f>IF(Q$3="","",IF(COUNTIFS(BD!$A$3:$A$5001,Q$3,BD!$B$3:$B$5001,$A$501,BD!$D$3:$D$5001,"&lt;&gt;")=0,"",SUMIFS(BD!$D$3:$D$5001,BD!$A$3:$A$5001,Q$3,BD!$B$3:$B$5001,$A$501)))</f>
        <v/>
      </c>
      <c r="R502" s="205" t="str">
        <f>IF(R$3="","",IF(COUNTIFS(BD!$A$3:$A$5001,R$3,BD!$B$3:$B$5001,$A$501,BD!$D$3:$D$5001,"&lt;&gt;")=0,"",SUMIFS(BD!$D$3:$D$5001,BD!$A$3:$A$5001,R$3,BD!$B$3:$B$5001,$A$501)))</f>
        <v/>
      </c>
      <c r="S502" s="205" t="str">
        <f>IF(S$3="","",IF(COUNTIFS(BD!$A$3:$A$5001,S$3,BD!$B$3:$B$5001,$A$501,BD!$D$3:$D$5001,"&lt;&gt;")=0,"",SUMIFS(BD!$D$3:$D$5001,BD!$A$3:$A$5001,S$3,BD!$B$3:$B$5001,$A$501)))</f>
        <v/>
      </c>
      <c r="T502" s="205" t="str">
        <f>IF(T$3="","",IF(COUNTIFS(BD!$A$3:$A$5001,T$3,BD!$B$3:$B$5001,$A$501,BD!$D$3:$D$5001,"&lt;&gt;")=0,"",SUMIFS(BD!$D$3:$D$5001,BD!$A$3:$A$5001,T$3,BD!$B$3:$B$5001,$A$501)))</f>
        <v/>
      </c>
      <c r="U502" s="205" t="str">
        <f>IF(U$3="","",IF(COUNTIFS(BD!$A$3:$A$5001,U$3,BD!$B$3:$B$5001,$A$501,BD!$D$3:$D$5001,"&lt;&gt;")=0,"",SUMIFS(BD!$D$3:$D$5001,BD!$A$3:$A$5001,U$3,BD!$B$3:$B$5001,$A$501)))</f>
        <v/>
      </c>
      <c r="V502" s="205" t="str">
        <f>IF(V$3="","",IF(COUNTIFS(BD!$A$3:$A$5001,V$3,BD!$B$3:$B$5001,$A$501,BD!$D$3:$D$5001,"&lt;&gt;")=0,"",SUMIFS(BD!$D$3:$D$5001,BD!$A$3:$A$5001,V$3,BD!$B$3:$B$5001,$A$501)))</f>
        <v/>
      </c>
      <c r="W502" s="205" t="str">
        <f>IF(W$3="","",IF(COUNTIFS(BD!$A$3:$A$5001,W$3,BD!$B$3:$B$5001,$A$501,BD!$D$3:$D$5001,"&lt;&gt;")=0,"",SUMIFS(BD!$D$3:$D$5001,BD!$A$3:$A$5001,W$3,BD!$B$3:$B$5001,$A$501)))</f>
        <v/>
      </c>
      <c r="X502" s="205" t="str">
        <f>IF(X$3="","",IF(COUNTIFS(BD!$A$3:$A$5001,X$3,BD!$B$3:$B$5001,$A$501,BD!$D$3:$D$5001,"&lt;&gt;")=0,"",SUMIFS(BD!$D$3:$D$5001,BD!$A$3:$A$5001,X$3,BD!$B$3:$B$5001,$A$501)))</f>
        <v/>
      </c>
      <c r="Y502" s="205" t="str">
        <f>IF(Y$3="","",IF(COUNTIFS(BD!$A$3:$A$5001,Y$3,BD!$B$3:$B$5001,$A$501,BD!$D$3:$D$5001,"&lt;&gt;")=0,"",SUMIFS(BD!$D$3:$D$5001,BD!$A$3:$A$5001,Y$3,BD!$B$3:$B$5001,$A$501)))</f>
        <v/>
      </c>
      <c r="Z502" s="205" t="str">
        <f>IF(Z$3="","",IF(COUNTIFS(BD!$A$3:$A$5001,Z$3,BD!$B$3:$B$5001,$A$501,BD!$D$3:$D$5001,"&lt;&gt;")=0,"",SUMIFS(BD!$D$3:$D$5001,BD!$A$3:$A$5001,Z$3,BD!$B$3:$B$5001,$A$501)))</f>
        <v/>
      </c>
      <c r="AA502" s="205" t="str">
        <f>IF(AA$3="","",IF(COUNTIFS(BD!$A$3:$A$5001,AA$3,BD!$B$3:$B$5001,$A$501,BD!$D$3:$D$5001,"&lt;&gt;")=0,"",SUMIFS(BD!$D$3:$D$5001,BD!$A$3:$A$5001,AA$3,BD!$B$3:$B$5001,$A$501)))</f>
        <v/>
      </c>
      <c r="AB502" s="205" t="str">
        <f>IF(AB$3="","",IF(COUNTIFS(BD!$A$3:$A$5001,AB$3,BD!$B$3:$B$5001,$A$501,BD!$D$3:$D$5001,"&lt;&gt;")=0,"",SUMIFS(BD!$D$3:$D$5001,BD!$A$3:$A$5001,AB$3,BD!$B$3:$B$5001,$A$501)))</f>
        <v/>
      </c>
      <c r="AC502" s="205" t="str">
        <f>IF(AC$3="","",IF(COUNTIFS(BD!$A$3:$A$5001,AC$3,BD!$B$3:$B$5001,$A$501,BD!$D$3:$D$5001,"&lt;&gt;")=0,"",SUMIFS(BD!$D$3:$D$5001,BD!$A$3:$A$5001,AC$3,BD!$B$3:$B$5001,$A$501)))</f>
        <v/>
      </c>
      <c r="AD502" s="205" t="str">
        <f>IF(AD$3="","",IF(COUNTIFS(BD!$A$3:$A$5001,AD$3,BD!$B$3:$B$5001,$A$501,BD!$D$3:$D$5001,"&lt;&gt;")=0,"",SUMIFS(BD!$D$3:$D$5001,BD!$A$3:$A$5001,AD$3,BD!$B$3:$B$5001,$A$501)))</f>
        <v/>
      </c>
      <c r="AE502" s="205" t="str">
        <f>IF(AE$3="","",IF(COUNTIFS(BD!$A$3:$A$5001,AE$3,BD!$B$3:$B$5001,$A$501,BD!$D$3:$D$5001,"&lt;&gt;")=0,"",SUMIFS(BD!$D$3:$D$5001,BD!$A$3:$A$5001,AE$3,BD!$B$3:$B$5001,$A$501)))</f>
        <v/>
      </c>
      <c r="AF502" s="205" t="str">
        <f>IF(AF$3="","",IF(COUNTIFS(BD!$A$3:$A$5001,AF$3,BD!$B$3:$B$5001,$A$501,BD!$D$3:$D$5001,"&lt;&gt;")=0,"",SUMIFS(BD!$D$3:$D$5001,BD!$A$3:$A$5001,AF$3,BD!$B$3:$B$5001,$A$501)))</f>
        <v/>
      </c>
      <c r="AG502" s="205" t="str">
        <f>IF(AG$3="","",IF(COUNTIFS(BD!$A$3:$A$5001,AG$3,BD!$B$3:$B$5001,$A$501,BD!$D$3:$D$5001,"&lt;&gt;")=0,"",SUMIFS(BD!$D$3:$D$5001,BD!$A$3:$A$5001,AG$3,BD!$B$3:$B$5001,$A$501)))</f>
        <v/>
      </c>
      <c r="AH502" s="205" t="str">
        <f>IF(AH$3="","",IF(COUNTIFS(BD!$A$3:$A$5001,AH$3,BD!$B$3:$B$5001,$A$501,BD!$D$3:$D$5001,"&lt;&gt;")=0,"",SUMIFS(BD!$D$3:$D$5001,BD!$A$3:$A$5001,AH$3,BD!$B$3:$B$5001,$A$501)))</f>
        <v/>
      </c>
      <c r="AI502" s="205" t="str">
        <f>IF(AI$3="","",IF(COUNTIFS(BD!$A$3:$A$5001,AI$3,BD!$B$3:$B$5001,$A$501,BD!$D$3:$D$5001,"&lt;&gt;")=0,"",SUMIFS(BD!$D$3:$D$5001,BD!$A$3:$A$5001,AI$3,BD!$B$3:$B$5001,$A$501)))</f>
        <v/>
      </c>
      <c r="AJ502" s="206" t="str">
        <f>IF(AJ$3="","",IF(COUNTIFS(BD!$A$3:$A$5001,AJ$3,BD!$B$3:$B$5001,$A$501,BD!$D$3:$D$5001,"&lt;&gt;")=0,"",SUMIFS(BD!$D$3:$D$5001,BD!$A$3:$A$5001,AJ$3,BD!$B$3:$B$5001,$A$501)))</f>
        <v/>
      </c>
      <c r="AK502" s="207" t="str">
        <f>IF(COUNT(F502:AJ502)=0,"",SUM(F502:AJ502))</f>
        <v/>
      </c>
    </row>
    <row r="503" ht="15.75" customHeight="1" hidden="1">
      <c r="A503" s="244"/>
      <c r="B503" s="239"/>
      <c r="C503" s="201" t="inlineStr">
        <is>
          <t xml:space="preserve">Toneladas Movimentadas</t>
        </is>
      </c>
      <c r="D503" s="202" t="str">
        <f>IFERROR(1/(1/INDEX(BD!$AJ$25:$BD$25,MATCH($A$501,BD!$AJ$22:$BD$22,0))),"")</f>
        <v/>
      </c>
      <c r="E503" s="203"/>
      <c r="F503" s="265" t="str">
        <f>IF(F$3="","",IF(COUNTIFS(BD!$A$3:$A$5001,F$3,BD!$B$3:$B$5001,$A$501,BD!$E$3:$E$5001,"&lt;&gt;")=0,"",SUMIFS(BD!$E$3:$E$5001,BD!$A$3:$A$5001,F$3,BD!$B$3:$B$5001,$A$501)))</f>
        <v/>
      </c>
      <c r="G503" s="266" t="str">
        <f>IF(G$3="","",IF(COUNTIFS(BD!$A$3:$A$5001,G$3,BD!$B$3:$B$5001,$A$501,BD!$E$3:$E$5001,"&lt;&gt;")=0,"",SUMIFS(BD!$E$3:$E$5001,BD!$A$3:$A$5001,G$3,BD!$B$3:$B$5001,$A$501)))</f>
        <v/>
      </c>
      <c r="H503" s="266" t="str">
        <f>IF(H$3="","",IF(COUNTIFS(BD!$A$3:$A$5001,H$3,BD!$B$3:$B$5001,$A$501,BD!$E$3:$E$5001,"&lt;&gt;")=0,"",SUMIFS(BD!$E$3:$E$5001,BD!$A$3:$A$5001,H$3,BD!$B$3:$B$5001,$A$501)))</f>
        <v/>
      </c>
      <c r="I503" s="266" t="str">
        <f>IF(I$3="","",IF(COUNTIFS(BD!$A$3:$A$5001,I$3,BD!$B$3:$B$5001,$A$501,BD!$E$3:$E$5001,"&lt;&gt;")=0,"",SUMIFS(BD!$E$3:$E$5001,BD!$A$3:$A$5001,I$3,BD!$B$3:$B$5001,$A$501)))</f>
        <v/>
      </c>
      <c r="J503" s="266" t="str">
        <f>IF(J$3="","",IF(COUNTIFS(BD!$A$3:$A$5001,J$3,BD!$B$3:$B$5001,$A$501,BD!$E$3:$E$5001,"&lt;&gt;")=0,"",SUMIFS(BD!$E$3:$E$5001,BD!$A$3:$A$5001,J$3,BD!$B$3:$B$5001,$A$501)))</f>
        <v/>
      </c>
      <c r="K503" s="266" t="str">
        <f>IF(K$3="","",IF(COUNTIFS(BD!$A$3:$A$5001,K$3,BD!$B$3:$B$5001,$A$501,BD!$E$3:$E$5001,"&lt;&gt;")=0,"",SUMIFS(BD!$E$3:$E$5001,BD!$A$3:$A$5001,K$3,BD!$B$3:$B$5001,$A$501)))</f>
        <v/>
      </c>
      <c r="L503" s="266" t="str">
        <f>IF(L$3="","",IF(COUNTIFS(BD!$A$3:$A$5001,L$3,BD!$B$3:$B$5001,$A$501,BD!$E$3:$E$5001,"&lt;&gt;")=0,"",SUMIFS(BD!$E$3:$E$5001,BD!$A$3:$A$5001,L$3,BD!$B$3:$B$5001,$A$501)))</f>
        <v/>
      </c>
      <c r="M503" s="266" t="str">
        <f>IF(M$3="","",IF(COUNTIFS(BD!$A$3:$A$5001,M$3,BD!$B$3:$B$5001,$A$501,BD!$E$3:$E$5001,"&lt;&gt;")=0,"",SUMIFS(BD!$E$3:$E$5001,BD!$A$3:$A$5001,M$3,BD!$B$3:$B$5001,$A$501)))</f>
        <v/>
      </c>
      <c r="N503" s="266" t="str">
        <f>IF(N$3="","",IF(COUNTIFS(BD!$A$3:$A$5001,N$3,BD!$B$3:$B$5001,$A$501,BD!$E$3:$E$5001,"&lt;&gt;")=0,"",SUMIFS(BD!$E$3:$E$5001,BD!$A$3:$A$5001,N$3,BD!$B$3:$B$5001,$A$501)))</f>
        <v/>
      </c>
      <c r="O503" s="266" t="str">
        <f>IF(O$3="","",IF(COUNTIFS(BD!$A$3:$A$5001,O$3,BD!$B$3:$B$5001,$A$501,BD!$E$3:$E$5001,"&lt;&gt;")=0,"",SUMIFS(BD!$E$3:$E$5001,BD!$A$3:$A$5001,O$3,BD!$B$3:$B$5001,$A$501)))</f>
        <v/>
      </c>
      <c r="P503" s="266" t="str">
        <f>IF(P$3="","",IF(COUNTIFS(BD!$A$3:$A$5001,P$3,BD!$B$3:$B$5001,$A$501,BD!$E$3:$E$5001,"&lt;&gt;")=0,"",SUMIFS(BD!$E$3:$E$5001,BD!$A$3:$A$5001,P$3,BD!$B$3:$B$5001,$A$501)))</f>
        <v/>
      </c>
      <c r="Q503" s="266" t="str">
        <f>IF(Q$3="","",IF(COUNTIFS(BD!$A$3:$A$5001,Q$3,BD!$B$3:$B$5001,$A$501,BD!$E$3:$E$5001,"&lt;&gt;")=0,"",SUMIFS(BD!$E$3:$E$5001,BD!$A$3:$A$5001,Q$3,BD!$B$3:$B$5001,$A$501)))</f>
        <v/>
      </c>
      <c r="R503" s="266" t="str">
        <f>IF(R$3="","",IF(COUNTIFS(BD!$A$3:$A$5001,R$3,BD!$B$3:$B$5001,$A$501,BD!$E$3:$E$5001,"&lt;&gt;")=0,"",SUMIFS(BD!$E$3:$E$5001,BD!$A$3:$A$5001,R$3,BD!$B$3:$B$5001,$A$501)))</f>
        <v/>
      </c>
      <c r="S503" s="266" t="str">
        <f>IF(S$3="","",IF(COUNTIFS(BD!$A$3:$A$5001,S$3,BD!$B$3:$B$5001,$A$501,BD!$E$3:$E$5001,"&lt;&gt;")=0,"",SUMIFS(BD!$E$3:$E$5001,BD!$A$3:$A$5001,S$3,BD!$B$3:$B$5001,$A$501)))</f>
        <v/>
      </c>
      <c r="T503" s="266" t="str">
        <f>IF(T$3="","",IF(COUNTIFS(BD!$A$3:$A$5001,T$3,BD!$B$3:$B$5001,$A$501,BD!$E$3:$E$5001,"&lt;&gt;")=0,"",SUMIFS(BD!$E$3:$E$5001,BD!$A$3:$A$5001,T$3,BD!$B$3:$B$5001,$A$501)))</f>
        <v/>
      </c>
      <c r="U503" s="266" t="str">
        <f>IF(U$3="","",IF(COUNTIFS(BD!$A$3:$A$5001,U$3,BD!$B$3:$B$5001,$A$501,BD!$E$3:$E$5001,"&lt;&gt;")=0,"",SUMIFS(BD!$E$3:$E$5001,BD!$A$3:$A$5001,U$3,BD!$B$3:$B$5001,$A$501)))</f>
        <v/>
      </c>
      <c r="V503" s="266" t="str">
        <f>IF(V$3="","",IF(COUNTIFS(BD!$A$3:$A$5001,V$3,BD!$B$3:$B$5001,$A$501,BD!$E$3:$E$5001,"&lt;&gt;")=0,"",SUMIFS(BD!$E$3:$E$5001,BD!$A$3:$A$5001,V$3,BD!$B$3:$B$5001,$A$501)))</f>
        <v/>
      </c>
      <c r="W503" s="266" t="str">
        <f>IF(W$3="","",IF(COUNTIFS(BD!$A$3:$A$5001,W$3,BD!$B$3:$B$5001,$A$501,BD!$E$3:$E$5001,"&lt;&gt;")=0,"",SUMIFS(BD!$E$3:$E$5001,BD!$A$3:$A$5001,W$3,BD!$B$3:$B$5001,$A$501)))</f>
        <v/>
      </c>
      <c r="X503" s="266" t="str">
        <f>IF(X$3="","",IF(COUNTIFS(BD!$A$3:$A$5001,X$3,BD!$B$3:$B$5001,$A$501,BD!$E$3:$E$5001,"&lt;&gt;")=0,"",SUMIFS(BD!$E$3:$E$5001,BD!$A$3:$A$5001,X$3,BD!$B$3:$B$5001,$A$501)))</f>
        <v/>
      </c>
      <c r="Y503" s="266" t="str">
        <f>IF(Y$3="","",IF(COUNTIFS(BD!$A$3:$A$5001,Y$3,BD!$B$3:$B$5001,$A$501,BD!$E$3:$E$5001,"&lt;&gt;")=0,"",SUMIFS(BD!$E$3:$E$5001,BD!$A$3:$A$5001,Y$3,BD!$B$3:$B$5001,$A$501)))</f>
        <v/>
      </c>
      <c r="Z503" s="266" t="str">
        <f>IF(Z$3="","",IF(COUNTIFS(BD!$A$3:$A$5001,Z$3,BD!$B$3:$B$5001,$A$501,BD!$E$3:$E$5001,"&lt;&gt;")=0,"",SUMIFS(BD!$E$3:$E$5001,BD!$A$3:$A$5001,Z$3,BD!$B$3:$B$5001,$A$501)))</f>
        <v/>
      </c>
      <c r="AA503" s="266" t="str">
        <f>IF(AA$3="","",IF(COUNTIFS(BD!$A$3:$A$5001,AA$3,BD!$B$3:$B$5001,$A$501,BD!$E$3:$E$5001,"&lt;&gt;")=0,"",SUMIFS(BD!$E$3:$E$5001,BD!$A$3:$A$5001,AA$3,BD!$B$3:$B$5001,$A$501)))</f>
        <v/>
      </c>
      <c r="AB503" s="266" t="str">
        <f>IF(AB$3="","",IF(COUNTIFS(BD!$A$3:$A$5001,AB$3,BD!$B$3:$B$5001,$A$501,BD!$E$3:$E$5001,"&lt;&gt;")=0,"",SUMIFS(BD!$E$3:$E$5001,BD!$A$3:$A$5001,AB$3,BD!$B$3:$B$5001,$A$501)))</f>
        <v/>
      </c>
      <c r="AC503" s="266" t="str">
        <f>IF(AC$3="","",IF(COUNTIFS(BD!$A$3:$A$5001,AC$3,BD!$B$3:$B$5001,$A$501,BD!$E$3:$E$5001,"&lt;&gt;")=0,"",SUMIFS(BD!$E$3:$E$5001,BD!$A$3:$A$5001,AC$3,BD!$B$3:$B$5001,$A$501)))</f>
        <v/>
      </c>
      <c r="AD503" s="266" t="str">
        <f>IF(AD$3="","",IF(COUNTIFS(BD!$A$3:$A$5001,AD$3,BD!$B$3:$B$5001,$A$501,BD!$E$3:$E$5001,"&lt;&gt;")=0,"",SUMIFS(BD!$E$3:$E$5001,BD!$A$3:$A$5001,AD$3,BD!$B$3:$B$5001,$A$501)))</f>
        <v/>
      </c>
      <c r="AE503" s="266" t="str">
        <f>IF(AE$3="","",IF(COUNTIFS(BD!$A$3:$A$5001,AE$3,BD!$B$3:$B$5001,$A$501,BD!$E$3:$E$5001,"&lt;&gt;")=0,"",SUMIFS(BD!$E$3:$E$5001,BD!$A$3:$A$5001,AE$3,BD!$B$3:$B$5001,$A$501)))</f>
        <v/>
      </c>
      <c r="AF503" s="266" t="str">
        <f>IF(AF$3="","",IF(COUNTIFS(BD!$A$3:$A$5001,AF$3,BD!$B$3:$B$5001,$A$501,BD!$E$3:$E$5001,"&lt;&gt;")=0,"",SUMIFS(BD!$E$3:$E$5001,BD!$A$3:$A$5001,AF$3,BD!$B$3:$B$5001,$A$501)))</f>
        <v/>
      </c>
      <c r="AG503" s="266" t="str">
        <f>IF(AG$3="","",IF(COUNTIFS(BD!$A$3:$A$5001,AG$3,BD!$B$3:$B$5001,$A$501,BD!$E$3:$E$5001,"&lt;&gt;")=0,"",SUMIFS(BD!$E$3:$E$5001,BD!$A$3:$A$5001,AG$3,BD!$B$3:$B$5001,$A$501)))</f>
        <v/>
      </c>
      <c r="AH503" s="266" t="str">
        <f>IF(AH$3="","",IF(COUNTIFS(BD!$A$3:$A$5001,AH$3,BD!$B$3:$B$5001,$A$501,BD!$E$3:$E$5001,"&lt;&gt;")=0,"",SUMIFS(BD!$E$3:$E$5001,BD!$A$3:$A$5001,AH$3,BD!$B$3:$B$5001,$A$501)))</f>
        <v/>
      </c>
      <c r="AI503" s="266" t="str">
        <f>IF(AI$3="","",IF(COUNTIFS(BD!$A$3:$A$5001,AI$3,BD!$B$3:$B$5001,$A$501,BD!$E$3:$E$5001,"&lt;&gt;")=0,"",SUMIFS(BD!$E$3:$E$5001,BD!$A$3:$A$5001,AI$3,BD!$B$3:$B$5001,$A$501)))</f>
        <v/>
      </c>
      <c r="AJ503" s="267" t="str">
        <f>IF(AJ$3="","",IF(COUNTIFS(BD!$A$3:$A$5001,AJ$3,BD!$B$3:$B$5001,$A$501,BD!$E$3:$E$5001,"&lt;&gt;")=0,"",SUMIFS(BD!$E$3:$E$5001,BD!$A$3:$A$5001,AJ$3,BD!$B$3:$B$5001,$A$501)))</f>
        <v/>
      </c>
      <c r="AK503" s="268" t="str">
        <f>IF(COUNT(F503:AJ503)=0,"",SUM(F503:AJ503))</f>
        <v/>
      </c>
    </row>
    <row r="504" ht="15.75" customHeight="1" hidden="1">
      <c r="A504" s="244"/>
      <c r="B504" s="239"/>
      <c r="C504" s="201" t="inlineStr">
        <is>
          <t xml:space="preserve">Linhas NF</t>
        </is>
      </c>
      <c r="D504" s="202" t="str">
        <f>IFERROR(1/(1/INDEX(BD!$AJ$26:$BD$26,MATCH($A$501,BD!$AJ$22:$BD$22,0))),"")</f>
        <v/>
      </c>
      <c r="E504" s="203"/>
      <c r="F504" s="204" t="str">
        <f>IF(F$3="","",IF(COUNTIFS(BD!$A$3:$A$5001,F$3,BD!$B$3:$B$5001,$A$501,BD!$F$3:$F$5001,"&lt;&gt;")=0,"",SUMIFS(BD!$F$3:$F$5001,BD!$A$3:$A$5001,F$3,BD!$B$3:$B$5001,$A$501)))</f>
        <v/>
      </c>
      <c r="G504" s="205" t="str">
        <f>IF(G$3="","",IF(COUNTIFS(BD!$A$3:$A$5001,G$3,BD!$B$3:$B$5001,$A$501,BD!$F$3:$F$5001,"&lt;&gt;")=0,"",SUMIFS(BD!$F$3:$F$5001,BD!$A$3:$A$5001,G$3,BD!$B$3:$B$5001,$A$501)))</f>
        <v/>
      </c>
      <c r="H504" s="205" t="str">
        <f>IF(H$3="","",IF(COUNTIFS(BD!$A$3:$A$5001,H$3,BD!$B$3:$B$5001,$A$501,BD!$F$3:$F$5001,"&lt;&gt;")=0,"",SUMIFS(BD!$F$3:$F$5001,BD!$A$3:$A$5001,H$3,BD!$B$3:$B$5001,$A$501)))</f>
        <v/>
      </c>
      <c r="I504" s="205" t="str">
        <f>IF(I$3="","",IF(COUNTIFS(BD!$A$3:$A$5001,I$3,BD!$B$3:$B$5001,$A$501,BD!$F$3:$F$5001,"&lt;&gt;")=0,"",SUMIFS(BD!$F$3:$F$5001,BD!$A$3:$A$5001,I$3,BD!$B$3:$B$5001,$A$501)))</f>
        <v/>
      </c>
      <c r="J504" s="205" t="str">
        <f>IF(J$3="","",IF(COUNTIFS(BD!$A$3:$A$5001,J$3,BD!$B$3:$B$5001,$A$501,BD!$F$3:$F$5001,"&lt;&gt;")=0,"",SUMIFS(BD!$F$3:$F$5001,BD!$A$3:$A$5001,J$3,BD!$B$3:$B$5001,$A$501)))</f>
        <v/>
      </c>
      <c r="K504" s="205" t="str">
        <f>IF(K$3="","",IF(COUNTIFS(BD!$A$3:$A$5001,K$3,BD!$B$3:$B$5001,$A$501,BD!$F$3:$F$5001,"&lt;&gt;")=0,"",SUMIFS(BD!$F$3:$F$5001,BD!$A$3:$A$5001,K$3,BD!$B$3:$B$5001,$A$501)))</f>
        <v/>
      </c>
      <c r="L504" s="205" t="str">
        <f>IF(L$3="","",IF(COUNTIFS(BD!$A$3:$A$5001,L$3,BD!$B$3:$B$5001,$A$501,BD!$F$3:$F$5001,"&lt;&gt;")=0,"",SUMIFS(BD!$F$3:$F$5001,BD!$A$3:$A$5001,L$3,BD!$B$3:$B$5001,$A$501)))</f>
        <v/>
      </c>
      <c r="M504" s="205" t="str">
        <f>IF(M$3="","",IF(COUNTIFS(BD!$A$3:$A$5001,M$3,BD!$B$3:$B$5001,$A$501,BD!$F$3:$F$5001,"&lt;&gt;")=0,"",SUMIFS(BD!$F$3:$F$5001,BD!$A$3:$A$5001,M$3,BD!$B$3:$B$5001,$A$501)))</f>
        <v/>
      </c>
      <c r="N504" s="205" t="str">
        <f>IF(N$3="","",IF(COUNTIFS(BD!$A$3:$A$5001,N$3,BD!$B$3:$B$5001,$A$501,BD!$F$3:$F$5001,"&lt;&gt;")=0,"",SUMIFS(BD!$F$3:$F$5001,BD!$A$3:$A$5001,N$3,BD!$B$3:$B$5001,$A$501)))</f>
        <v/>
      </c>
      <c r="O504" s="205" t="str">
        <f>IF(O$3="","",IF(COUNTIFS(BD!$A$3:$A$5001,O$3,BD!$B$3:$B$5001,$A$501,BD!$F$3:$F$5001,"&lt;&gt;")=0,"",SUMIFS(BD!$F$3:$F$5001,BD!$A$3:$A$5001,O$3,BD!$B$3:$B$5001,$A$501)))</f>
        <v/>
      </c>
      <c r="P504" s="205" t="str">
        <f>IF(P$3="","",IF(COUNTIFS(BD!$A$3:$A$5001,P$3,BD!$B$3:$B$5001,$A$501,BD!$F$3:$F$5001,"&lt;&gt;")=0,"",SUMIFS(BD!$F$3:$F$5001,BD!$A$3:$A$5001,P$3,BD!$B$3:$B$5001,$A$501)))</f>
        <v/>
      </c>
      <c r="Q504" s="205" t="str">
        <f>IF(Q$3="","",IF(COUNTIFS(BD!$A$3:$A$5001,Q$3,BD!$B$3:$B$5001,$A$501,BD!$F$3:$F$5001,"&lt;&gt;")=0,"",SUMIFS(BD!$F$3:$F$5001,BD!$A$3:$A$5001,Q$3,BD!$B$3:$B$5001,$A$501)))</f>
        <v/>
      </c>
      <c r="R504" s="205" t="str">
        <f>IF(R$3="","",IF(COUNTIFS(BD!$A$3:$A$5001,R$3,BD!$B$3:$B$5001,$A$501,BD!$F$3:$F$5001,"&lt;&gt;")=0,"",SUMIFS(BD!$F$3:$F$5001,BD!$A$3:$A$5001,R$3,BD!$B$3:$B$5001,$A$501)))</f>
        <v/>
      </c>
      <c r="S504" s="205" t="str">
        <f>IF(S$3="","",IF(COUNTIFS(BD!$A$3:$A$5001,S$3,BD!$B$3:$B$5001,$A$501,BD!$F$3:$F$5001,"&lt;&gt;")=0,"",SUMIFS(BD!$F$3:$F$5001,BD!$A$3:$A$5001,S$3,BD!$B$3:$B$5001,$A$501)))</f>
        <v/>
      </c>
      <c r="T504" s="205" t="str">
        <f>IF(T$3="","",IF(COUNTIFS(BD!$A$3:$A$5001,T$3,BD!$B$3:$B$5001,$A$501,BD!$F$3:$F$5001,"&lt;&gt;")=0,"",SUMIFS(BD!$F$3:$F$5001,BD!$A$3:$A$5001,T$3,BD!$B$3:$B$5001,$A$501)))</f>
        <v/>
      </c>
      <c r="U504" s="205" t="str">
        <f>IF(U$3="","",IF(COUNTIFS(BD!$A$3:$A$5001,U$3,BD!$B$3:$B$5001,$A$501,BD!$F$3:$F$5001,"&lt;&gt;")=0,"",SUMIFS(BD!$F$3:$F$5001,BD!$A$3:$A$5001,U$3,BD!$B$3:$B$5001,$A$501)))</f>
        <v/>
      </c>
      <c r="V504" s="205" t="str">
        <f>IF(V$3="","",IF(COUNTIFS(BD!$A$3:$A$5001,V$3,BD!$B$3:$B$5001,$A$501,BD!$F$3:$F$5001,"&lt;&gt;")=0,"",SUMIFS(BD!$F$3:$F$5001,BD!$A$3:$A$5001,V$3,BD!$B$3:$B$5001,$A$501)))</f>
        <v/>
      </c>
      <c r="W504" s="205" t="str">
        <f>IF(W$3="","",IF(COUNTIFS(BD!$A$3:$A$5001,W$3,BD!$B$3:$B$5001,$A$501,BD!$F$3:$F$5001,"&lt;&gt;")=0,"",SUMIFS(BD!$F$3:$F$5001,BD!$A$3:$A$5001,W$3,BD!$B$3:$B$5001,$A$501)))</f>
        <v/>
      </c>
      <c r="X504" s="205" t="str">
        <f>IF(X$3="","",IF(COUNTIFS(BD!$A$3:$A$5001,X$3,BD!$B$3:$B$5001,$A$501,BD!$F$3:$F$5001,"&lt;&gt;")=0,"",SUMIFS(BD!$F$3:$F$5001,BD!$A$3:$A$5001,X$3,BD!$B$3:$B$5001,$A$501)))</f>
        <v/>
      </c>
      <c r="Y504" s="205" t="str">
        <f>IF(Y$3="","",IF(COUNTIFS(BD!$A$3:$A$5001,Y$3,BD!$B$3:$B$5001,$A$501,BD!$F$3:$F$5001,"&lt;&gt;")=0,"",SUMIFS(BD!$F$3:$F$5001,BD!$A$3:$A$5001,Y$3,BD!$B$3:$B$5001,$A$501)))</f>
        <v/>
      </c>
      <c r="Z504" s="205" t="str">
        <f>IF(Z$3="","",IF(COUNTIFS(BD!$A$3:$A$5001,Z$3,BD!$B$3:$B$5001,$A$501,BD!$F$3:$F$5001,"&lt;&gt;")=0,"",SUMIFS(BD!$F$3:$F$5001,BD!$A$3:$A$5001,Z$3,BD!$B$3:$B$5001,$A$501)))</f>
        <v/>
      </c>
      <c r="AA504" s="205" t="str">
        <f>IF(AA$3="","",IF(COUNTIFS(BD!$A$3:$A$5001,AA$3,BD!$B$3:$B$5001,$A$501,BD!$F$3:$F$5001,"&lt;&gt;")=0,"",SUMIFS(BD!$F$3:$F$5001,BD!$A$3:$A$5001,AA$3,BD!$B$3:$B$5001,$A$501)))</f>
        <v/>
      </c>
      <c r="AB504" s="205" t="str">
        <f>IF(AB$3="","",IF(COUNTIFS(BD!$A$3:$A$5001,AB$3,BD!$B$3:$B$5001,$A$501,BD!$F$3:$F$5001,"&lt;&gt;")=0,"",SUMIFS(BD!$F$3:$F$5001,BD!$A$3:$A$5001,AB$3,BD!$B$3:$B$5001,$A$501)))</f>
        <v/>
      </c>
      <c r="AC504" s="205" t="str">
        <f>IF(AC$3="","",IF(COUNTIFS(BD!$A$3:$A$5001,AC$3,BD!$B$3:$B$5001,$A$501,BD!$F$3:$F$5001,"&lt;&gt;")=0,"",SUMIFS(BD!$F$3:$F$5001,BD!$A$3:$A$5001,AC$3,BD!$B$3:$B$5001,$A$501)))</f>
        <v/>
      </c>
      <c r="AD504" s="205" t="str">
        <f>IF(AD$3="","",IF(COUNTIFS(BD!$A$3:$A$5001,AD$3,BD!$B$3:$B$5001,$A$501,BD!$F$3:$F$5001,"&lt;&gt;")=0,"",SUMIFS(BD!$F$3:$F$5001,BD!$A$3:$A$5001,AD$3,BD!$B$3:$B$5001,$A$501)))</f>
        <v/>
      </c>
      <c r="AE504" s="205" t="str">
        <f>IF(AE$3="","",IF(COUNTIFS(BD!$A$3:$A$5001,AE$3,BD!$B$3:$B$5001,$A$501,BD!$F$3:$F$5001,"&lt;&gt;")=0,"",SUMIFS(BD!$F$3:$F$5001,BD!$A$3:$A$5001,AE$3,BD!$B$3:$B$5001,$A$501)))</f>
        <v/>
      </c>
      <c r="AF504" s="205" t="str">
        <f>IF(AF$3="","",IF(COUNTIFS(BD!$A$3:$A$5001,AF$3,BD!$B$3:$B$5001,$A$501,BD!$F$3:$F$5001,"&lt;&gt;")=0,"",SUMIFS(BD!$F$3:$F$5001,BD!$A$3:$A$5001,AF$3,BD!$B$3:$B$5001,$A$501)))</f>
        <v/>
      </c>
      <c r="AG504" s="205" t="str">
        <f>IF(AG$3="","",IF(COUNTIFS(BD!$A$3:$A$5001,AG$3,BD!$B$3:$B$5001,$A$501,BD!$F$3:$F$5001,"&lt;&gt;")=0,"",SUMIFS(BD!$F$3:$F$5001,BD!$A$3:$A$5001,AG$3,BD!$B$3:$B$5001,$A$501)))</f>
        <v/>
      </c>
      <c r="AH504" s="205" t="str">
        <f>IF(AH$3="","",IF(COUNTIFS(BD!$A$3:$A$5001,AH$3,BD!$B$3:$B$5001,$A$501,BD!$F$3:$F$5001,"&lt;&gt;")=0,"",SUMIFS(BD!$F$3:$F$5001,BD!$A$3:$A$5001,AH$3,BD!$B$3:$B$5001,$A$501)))</f>
        <v/>
      </c>
      <c r="AI504" s="205" t="str">
        <f>IF(AI$3="","",IF(COUNTIFS(BD!$A$3:$A$5001,AI$3,BD!$B$3:$B$5001,$A$501,BD!$F$3:$F$5001,"&lt;&gt;")=0,"",SUMIFS(BD!$F$3:$F$5001,BD!$A$3:$A$5001,AI$3,BD!$B$3:$B$5001,$A$501)))</f>
        <v/>
      </c>
      <c r="AJ504" s="206" t="str">
        <f>IF(AJ$3="","",IF(COUNTIFS(BD!$A$3:$A$5001,AJ$3,BD!$B$3:$B$5001,$A$501,BD!$F$3:$F$5001,"&lt;&gt;")=0,"",SUMIFS(BD!$F$3:$F$5001,BD!$A$3:$A$5001,AJ$3,BD!$B$3:$B$5001,$A$501)))</f>
        <v/>
      </c>
      <c r="AK504" s="207" t="str">
        <f>IF(COUNT(F504:AJ504)=0,"",SUM(F504:AJ504))</f>
        <v/>
      </c>
    </row>
    <row r="505" ht="15.75" customHeight="1" hidden="1">
      <c r="A505" s="244"/>
      <c r="B505" s="239"/>
      <c r="C505" s="201" t="inlineStr">
        <is>
          <t xml:space="preserve">Caixas Movimentadas</t>
        </is>
      </c>
      <c r="D505" s="202" t="str">
        <f>IFERROR(1/(1/INDEX(BD!$AJ$27:$BD$27,MATCH($A$501,BD!$AJ$22:$BD$22,0))),"")</f>
        <v/>
      </c>
      <c r="E505" s="203"/>
      <c r="F505" s="204" t="str">
        <f>IF(F$3="","",IF(COUNTIFS(BD!$A$3:$A$5001,F$3,BD!$B$3:$B$5001,$A$501,BD!$G$3:$G$5001,"&lt;&gt;")=0,"",SUMIFS(BD!$G$3:$G$5001,BD!$A$3:$A$5001,F$3,BD!$B$3:$B$5001,$A$501)))</f>
        <v/>
      </c>
      <c r="G505" s="205" t="str">
        <f>IF(G$3="","",IF(COUNTIFS(BD!$A$3:$A$5001,G$3,BD!$B$3:$B$5001,$A$501,BD!$G$3:$G$5001,"&lt;&gt;")=0,"",SUMIFS(BD!$G$3:$G$5001,BD!$A$3:$A$5001,G$3,BD!$B$3:$B$5001,$A$501)))</f>
        <v/>
      </c>
      <c r="H505" s="205" t="str">
        <f>IF(H$3="","",IF(COUNTIFS(BD!$A$3:$A$5001,H$3,BD!$B$3:$B$5001,$A$501,BD!$G$3:$G$5001,"&lt;&gt;")=0,"",SUMIFS(BD!$G$3:$G$5001,BD!$A$3:$A$5001,H$3,BD!$B$3:$B$5001,$A$501)))</f>
        <v/>
      </c>
      <c r="I505" s="205" t="str">
        <f>IF(I$3="","",IF(COUNTIFS(BD!$A$3:$A$5001,I$3,BD!$B$3:$B$5001,$A$501,BD!$G$3:$G$5001,"&lt;&gt;")=0,"",SUMIFS(BD!$G$3:$G$5001,BD!$A$3:$A$5001,I$3,BD!$B$3:$B$5001,$A$501)))</f>
        <v/>
      </c>
      <c r="J505" s="205" t="str">
        <f>IF(J$3="","",IF(COUNTIFS(BD!$A$3:$A$5001,J$3,BD!$B$3:$B$5001,$A$501,BD!$G$3:$G$5001,"&lt;&gt;")=0,"",SUMIFS(BD!$G$3:$G$5001,BD!$A$3:$A$5001,J$3,BD!$B$3:$B$5001,$A$501)))</f>
        <v/>
      </c>
      <c r="K505" s="205" t="str">
        <f>IF(K$3="","",IF(COUNTIFS(BD!$A$3:$A$5001,K$3,BD!$B$3:$B$5001,$A$501,BD!$G$3:$G$5001,"&lt;&gt;")=0,"",SUMIFS(BD!$G$3:$G$5001,BD!$A$3:$A$5001,K$3,BD!$B$3:$B$5001,$A$501)))</f>
        <v/>
      </c>
      <c r="L505" s="205" t="str">
        <f>IF(L$3="","",IF(COUNTIFS(BD!$A$3:$A$5001,L$3,BD!$B$3:$B$5001,$A$501,BD!$G$3:$G$5001,"&lt;&gt;")=0,"",SUMIFS(BD!$G$3:$G$5001,BD!$A$3:$A$5001,L$3,BD!$B$3:$B$5001,$A$501)))</f>
        <v/>
      </c>
      <c r="M505" s="205" t="str">
        <f>IF(M$3="","",IF(COUNTIFS(BD!$A$3:$A$5001,M$3,BD!$B$3:$B$5001,$A$501,BD!$G$3:$G$5001,"&lt;&gt;")=0,"",SUMIFS(BD!$G$3:$G$5001,BD!$A$3:$A$5001,M$3,BD!$B$3:$B$5001,$A$501)))</f>
        <v/>
      </c>
      <c r="N505" s="205" t="str">
        <f>IF(N$3="","",IF(COUNTIFS(BD!$A$3:$A$5001,N$3,BD!$B$3:$B$5001,$A$501,BD!$G$3:$G$5001,"&lt;&gt;")=0,"",SUMIFS(BD!$G$3:$G$5001,BD!$A$3:$A$5001,N$3,BD!$B$3:$B$5001,$A$501)))</f>
        <v/>
      </c>
      <c r="O505" s="205" t="str">
        <f>IF(O$3="","",IF(COUNTIFS(BD!$A$3:$A$5001,O$3,BD!$B$3:$B$5001,$A$501,BD!$G$3:$G$5001,"&lt;&gt;")=0,"",SUMIFS(BD!$G$3:$G$5001,BD!$A$3:$A$5001,O$3,BD!$B$3:$B$5001,$A$501)))</f>
        <v/>
      </c>
      <c r="P505" s="205" t="str">
        <f>IF(P$3="","",IF(COUNTIFS(BD!$A$3:$A$5001,P$3,BD!$B$3:$B$5001,$A$501,BD!$G$3:$G$5001,"&lt;&gt;")=0,"",SUMIFS(BD!$G$3:$G$5001,BD!$A$3:$A$5001,P$3,BD!$B$3:$B$5001,$A$501)))</f>
        <v/>
      </c>
      <c r="Q505" s="205" t="str">
        <f>IF(Q$3="","",IF(COUNTIFS(BD!$A$3:$A$5001,Q$3,BD!$B$3:$B$5001,$A$501,BD!$G$3:$G$5001,"&lt;&gt;")=0,"",SUMIFS(BD!$G$3:$G$5001,BD!$A$3:$A$5001,Q$3,BD!$B$3:$B$5001,$A$501)))</f>
        <v/>
      </c>
      <c r="R505" s="205" t="str">
        <f>IF(R$3="","",IF(COUNTIFS(BD!$A$3:$A$5001,R$3,BD!$B$3:$B$5001,$A$501,BD!$G$3:$G$5001,"&lt;&gt;")=0,"",SUMIFS(BD!$G$3:$G$5001,BD!$A$3:$A$5001,R$3,BD!$B$3:$B$5001,$A$501)))</f>
        <v/>
      </c>
      <c r="S505" s="205" t="str">
        <f>IF(S$3="","",IF(COUNTIFS(BD!$A$3:$A$5001,S$3,BD!$B$3:$B$5001,$A$501,BD!$G$3:$G$5001,"&lt;&gt;")=0,"",SUMIFS(BD!$G$3:$G$5001,BD!$A$3:$A$5001,S$3,BD!$B$3:$B$5001,$A$501)))</f>
        <v/>
      </c>
      <c r="T505" s="205" t="str">
        <f>IF(T$3="","",IF(COUNTIFS(BD!$A$3:$A$5001,T$3,BD!$B$3:$B$5001,$A$501,BD!$G$3:$G$5001,"&lt;&gt;")=0,"",SUMIFS(BD!$G$3:$G$5001,BD!$A$3:$A$5001,T$3,BD!$B$3:$B$5001,$A$501)))</f>
        <v/>
      </c>
      <c r="U505" s="205" t="str">
        <f>IF(U$3="","",IF(COUNTIFS(BD!$A$3:$A$5001,U$3,BD!$B$3:$B$5001,$A$501,BD!$G$3:$G$5001,"&lt;&gt;")=0,"",SUMIFS(BD!$G$3:$G$5001,BD!$A$3:$A$5001,U$3,BD!$B$3:$B$5001,$A$501)))</f>
        <v/>
      </c>
      <c r="V505" s="205" t="str">
        <f>IF(V$3="","",IF(COUNTIFS(BD!$A$3:$A$5001,V$3,BD!$B$3:$B$5001,$A$501,BD!$G$3:$G$5001,"&lt;&gt;")=0,"",SUMIFS(BD!$G$3:$G$5001,BD!$A$3:$A$5001,V$3,BD!$B$3:$B$5001,$A$501)))</f>
        <v/>
      </c>
      <c r="W505" s="205" t="str">
        <f>IF(W$3="","",IF(COUNTIFS(BD!$A$3:$A$5001,W$3,BD!$B$3:$B$5001,$A$501,BD!$G$3:$G$5001,"&lt;&gt;")=0,"",SUMIFS(BD!$G$3:$G$5001,BD!$A$3:$A$5001,W$3,BD!$B$3:$B$5001,$A$501)))</f>
        <v/>
      </c>
      <c r="X505" s="205" t="str">
        <f>IF(X$3="","",IF(COUNTIFS(BD!$A$3:$A$5001,X$3,BD!$B$3:$B$5001,$A$501,BD!$G$3:$G$5001,"&lt;&gt;")=0,"",SUMIFS(BD!$G$3:$G$5001,BD!$A$3:$A$5001,X$3,BD!$B$3:$B$5001,$A$501)))</f>
        <v/>
      </c>
      <c r="Y505" s="205" t="str">
        <f>IF(Y$3="","",IF(COUNTIFS(BD!$A$3:$A$5001,Y$3,BD!$B$3:$B$5001,$A$501,BD!$G$3:$G$5001,"&lt;&gt;")=0,"",SUMIFS(BD!$G$3:$G$5001,BD!$A$3:$A$5001,Y$3,BD!$B$3:$B$5001,$A$501)))</f>
        <v/>
      </c>
      <c r="Z505" s="205" t="str">
        <f>IF(Z$3="","",IF(COUNTIFS(BD!$A$3:$A$5001,Z$3,BD!$B$3:$B$5001,$A$501,BD!$G$3:$G$5001,"&lt;&gt;")=0,"",SUMIFS(BD!$G$3:$G$5001,BD!$A$3:$A$5001,Z$3,BD!$B$3:$B$5001,$A$501)))</f>
        <v/>
      </c>
      <c r="AA505" s="205" t="str">
        <f>IF(AA$3="","",IF(COUNTIFS(BD!$A$3:$A$5001,AA$3,BD!$B$3:$B$5001,$A$501,BD!$G$3:$G$5001,"&lt;&gt;")=0,"",SUMIFS(BD!$G$3:$G$5001,BD!$A$3:$A$5001,AA$3,BD!$B$3:$B$5001,$A$501)))</f>
        <v/>
      </c>
      <c r="AB505" s="205" t="str">
        <f>IF(AB$3="","",IF(COUNTIFS(BD!$A$3:$A$5001,AB$3,BD!$B$3:$B$5001,$A$501,BD!$G$3:$G$5001,"&lt;&gt;")=0,"",SUMIFS(BD!$G$3:$G$5001,BD!$A$3:$A$5001,AB$3,BD!$B$3:$B$5001,$A$501)))</f>
        <v/>
      </c>
      <c r="AC505" s="205" t="str">
        <f>IF(AC$3="","",IF(COUNTIFS(BD!$A$3:$A$5001,AC$3,BD!$B$3:$B$5001,$A$501,BD!$G$3:$G$5001,"&lt;&gt;")=0,"",SUMIFS(BD!$G$3:$G$5001,BD!$A$3:$A$5001,AC$3,BD!$B$3:$B$5001,$A$501)))</f>
        <v/>
      </c>
      <c r="AD505" s="205" t="str">
        <f>IF(AD$3="","",IF(COUNTIFS(BD!$A$3:$A$5001,AD$3,BD!$B$3:$B$5001,$A$501,BD!$G$3:$G$5001,"&lt;&gt;")=0,"",SUMIFS(BD!$G$3:$G$5001,BD!$A$3:$A$5001,AD$3,BD!$B$3:$B$5001,$A$501)))</f>
        <v/>
      </c>
      <c r="AE505" s="205" t="str">
        <f>IF(AE$3="","",IF(COUNTIFS(BD!$A$3:$A$5001,AE$3,BD!$B$3:$B$5001,$A$501,BD!$G$3:$G$5001,"&lt;&gt;")=0,"",SUMIFS(BD!$G$3:$G$5001,BD!$A$3:$A$5001,AE$3,BD!$B$3:$B$5001,$A$501)))</f>
        <v/>
      </c>
      <c r="AF505" s="205" t="str">
        <f>IF(AF$3="","",IF(COUNTIFS(BD!$A$3:$A$5001,AF$3,BD!$B$3:$B$5001,$A$501,BD!$G$3:$G$5001,"&lt;&gt;")=0,"",SUMIFS(BD!$G$3:$G$5001,BD!$A$3:$A$5001,AF$3,BD!$B$3:$B$5001,$A$501)))</f>
        <v/>
      </c>
      <c r="AG505" s="205" t="str">
        <f>IF(AG$3="","",IF(COUNTIFS(BD!$A$3:$A$5001,AG$3,BD!$B$3:$B$5001,$A$501,BD!$G$3:$G$5001,"&lt;&gt;")=0,"",SUMIFS(BD!$G$3:$G$5001,BD!$A$3:$A$5001,AG$3,BD!$B$3:$B$5001,$A$501)))</f>
        <v/>
      </c>
      <c r="AH505" s="205" t="str">
        <f>IF(AH$3="","",IF(COUNTIFS(BD!$A$3:$A$5001,AH$3,BD!$B$3:$B$5001,$A$501,BD!$G$3:$G$5001,"&lt;&gt;")=0,"",SUMIFS(BD!$G$3:$G$5001,BD!$A$3:$A$5001,AH$3,BD!$B$3:$B$5001,$A$501)))</f>
        <v/>
      </c>
      <c r="AI505" s="205" t="str">
        <f>IF(AI$3="","",IF(COUNTIFS(BD!$A$3:$A$5001,AI$3,BD!$B$3:$B$5001,$A$501,BD!$G$3:$G$5001,"&lt;&gt;")=0,"",SUMIFS(BD!$G$3:$G$5001,BD!$A$3:$A$5001,AI$3,BD!$B$3:$B$5001,$A$501)))</f>
        <v/>
      </c>
      <c r="AJ505" s="206" t="str">
        <f>IF(AJ$3="","",IF(COUNTIFS(BD!$A$3:$A$5001,AJ$3,BD!$B$3:$B$5001,$A$501,BD!$G$3:$G$5001,"&lt;&gt;")=0,"",SUMIFS(BD!$G$3:$G$5001,BD!$A$3:$A$5001,AJ$3,BD!$B$3:$B$5001,$A$501)))</f>
        <v/>
      </c>
      <c r="AK505" s="207" t="str">
        <f>IF(COUNT(F505:AJ505)=0,"",SUM(F505:AJ505))</f>
        <v/>
      </c>
    </row>
    <row r="506" ht="15.75" customHeight="1" hidden="1">
      <c r="A506" s="244"/>
      <c r="B506" s="239"/>
      <c r="C506" s="201" t="inlineStr">
        <is>
          <t xml:space="preserve">Itens Recebidos</t>
        </is>
      </c>
      <c r="D506" s="202" t="str">
        <f>IFERROR(1/(1/INDEX(BD!$AJ$28:$BD$28,MATCH($A$501,BD!$AJ$22:$BD$22,0))),"")</f>
        <v/>
      </c>
      <c r="E506" s="203"/>
      <c r="F506" s="204" t="str">
        <f>IF(F$3="","",IF(COUNTIFS(BD!$A$3:$A$5001,F$3,BD!$B$3:$B$5001,$A$501,BD!$H$3:$H$5001,"&lt;&gt;")=0,"",SUMIFS(BD!$H$3:$H$5001,BD!$A$3:$A$5001,F$3,BD!$B$3:$B$5001,$A$501)))</f>
        <v/>
      </c>
      <c r="G506" s="205" t="str">
        <f>IF(G$3="","",IF(COUNTIFS(BD!$A$3:$A$5001,G$3,BD!$B$3:$B$5001,$A$501,BD!$H$3:$H$5001,"&lt;&gt;")=0,"",SUMIFS(BD!$H$3:$H$5001,BD!$A$3:$A$5001,G$3,BD!$B$3:$B$5001,$A$501)))</f>
        <v/>
      </c>
      <c r="H506" s="205" t="str">
        <f>IF(H$3="","",IF(COUNTIFS(BD!$A$3:$A$5001,H$3,BD!$B$3:$B$5001,$A$501,BD!$H$3:$H$5001,"&lt;&gt;")=0,"",SUMIFS(BD!$H$3:$H$5001,BD!$A$3:$A$5001,H$3,BD!$B$3:$B$5001,$A$501)))</f>
        <v/>
      </c>
      <c r="I506" s="205" t="str">
        <f>IF(I$3="","",IF(COUNTIFS(BD!$A$3:$A$5001,I$3,BD!$B$3:$B$5001,$A$501,BD!$H$3:$H$5001,"&lt;&gt;")=0,"",SUMIFS(BD!$H$3:$H$5001,BD!$A$3:$A$5001,I$3,BD!$B$3:$B$5001,$A$501)))</f>
        <v/>
      </c>
      <c r="J506" s="205" t="str">
        <f>IF(J$3="","",IF(COUNTIFS(BD!$A$3:$A$5001,J$3,BD!$B$3:$B$5001,$A$501,BD!$H$3:$H$5001,"&lt;&gt;")=0,"",SUMIFS(BD!$H$3:$H$5001,BD!$A$3:$A$5001,J$3,BD!$B$3:$B$5001,$A$501)))</f>
        <v/>
      </c>
      <c r="K506" s="205" t="str">
        <f>IF(K$3="","",IF(COUNTIFS(BD!$A$3:$A$5001,K$3,BD!$B$3:$B$5001,$A$501,BD!$H$3:$H$5001,"&lt;&gt;")=0,"",SUMIFS(BD!$H$3:$H$5001,BD!$A$3:$A$5001,K$3,BD!$B$3:$B$5001,$A$501)))</f>
        <v/>
      </c>
      <c r="L506" s="205" t="str">
        <f>IF(L$3="","",IF(COUNTIFS(BD!$A$3:$A$5001,L$3,BD!$B$3:$B$5001,$A$501,BD!$H$3:$H$5001,"&lt;&gt;")=0,"",SUMIFS(BD!$H$3:$H$5001,BD!$A$3:$A$5001,L$3,BD!$B$3:$B$5001,$A$501)))</f>
        <v/>
      </c>
      <c r="M506" s="205" t="str">
        <f>IF(M$3="","",IF(COUNTIFS(BD!$A$3:$A$5001,M$3,BD!$B$3:$B$5001,$A$501,BD!$H$3:$H$5001,"&lt;&gt;")=0,"",SUMIFS(BD!$H$3:$H$5001,BD!$A$3:$A$5001,M$3,BD!$B$3:$B$5001,$A$501)))</f>
        <v/>
      </c>
      <c r="N506" s="205" t="str">
        <f>IF(N$3="","",IF(COUNTIFS(BD!$A$3:$A$5001,N$3,BD!$B$3:$B$5001,$A$501,BD!$H$3:$H$5001,"&lt;&gt;")=0,"",SUMIFS(BD!$H$3:$H$5001,BD!$A$3:$A$5001,N$3,BD!$B$3:$B$5001,$A$501)))</f>
        <v/>
      </c>
      <c r="O506" s="205" t="str">
        <f>IF(O$3="","",IF(COUNTIFS(BD!$A$3:$A$5001,O$3,BD!$B$3:$B$5001,$A$501,BD!$H$3:$H$5001,"&lt;&gt;")=0,"",SUMIFS(BD!$H$3:$H$5001,BD!$A$3:$A$5001,O$3,BD!$B$3:$B$5001,$A$501)))</f>
        <v/>
      </c>
      <c r="P506" s="205" t="str">
        <f>IF(P$3="","",IF(COUNTIFS(BD!$A$3:$A$5001,P$3,BD!$B$3:$B$5001,$A$501,BD!$H$3:$H$5001,"&lt;&gt;")=0,"",SUMIFS(BD!$H$3:$H$5001,BD!$A$3:$A$5001,P$3,BD!$B$3:$B$5001,$A$501)))</f>
        <v/>
      </c>
      <c r="Q506" s="205" t="str">
        <f>IF(Q$3="","",IF(COUNTIFS(BD!$A$3:$A$5001,Q$3,BD!$B$3:$B$5001,$A$501,BD!$H$3:$H$5001,"&lt;&gt;")=0,"",SUMIFS(BD!$H$3:$H$5001,BD!$A$3:$A$5001,Q$3,BD!$B$3:$B$5001,$A$501)))</f>
        <v/>
      </c>
      <c r="R506" s="205" t="str">
        <f>IF(R$3="","",IF(COUNTIFS(BD!$A$3:$A$5001,R$3,BD!$B$3:$B$5001,$A$501,BD!$H$3:$H$5001,"&lt;&gt;")=0,"",SUMIFS(BD!$H$3:$H$5001,BD!$A$3:$A$5001,R$3,BD!$B$3:$B$5001,$A$501)))</f>
        <v/>
      </c>
      <c r="S506" s="205" t="str">
        <f>IF(S$3="","",IF(COUNTIFS(BD!$A$3:$A$5001,S$3,BD!$B$3:$B$5001,$A$501,BD!$H$3:$H$5001,"&lt;&gt;")=0,"",SUMIFS(BD!$H$3:$H$5001,BD!$A$3:$A$5001,S$3,BD!$B$3:$B$5001,$A$501)))</f>
        <v/>
      </c>
      <c r="T506" s="205" t="str">
        <f>IF(T$3="","",IF(COUNTIFS(BD!$A$3:$A$5001,T$3,BD!$B$3:$B$5001,$A$501,BD!$H$3:$H$5001,"&lt;&gt;")=0,"",SUMIFS(BD!$H$3:$H$5001,BD!$A$3:$A$5001,T$3,BD!$B$3:$B$5001,$A$501)))</f>
        <v/>
      </c>
      <c r="U506" s="205" t="str">
        <f>IF(U$3="","",IF(COUNTIFS(BD!$A$3:$A$5001,U$3,BD!$B$3:$B$5001,$A$501,BD!$H$3:$H$5001,"&lt;&gt;")=0,"",SUMIFS(BD!$H$3:$H$5001,BD!$A$3:$A$5001,U$3,BD!$B$3:$B$5001,$A$501)))</f>
        <v/>
      </c>
      <c r="V506" s="205" t="str">
        <f>IF(V$3="","",IF(COUNTIFS(BD!$A$3:$A$5001,V$3,BD!$B$3:$B$5001,$A$501,BD!$H$3:$H$5001,"&lt;&gt;")=0,"",SUMIFS(BD!$H$3:$H$5001,BD!$A$3:$A$5001,V$3,BD!$B$3:$B$5001,$A$501)))</f>
        <v/>
      </c>
      <c r="W506" s="205" t="str">
        <f>IF(W$3="","",IF(COUNTIFS(BD!$A$3:$A$5001,W$3,BD!$B$3:$B$5001,$A$501,BD!$H$3:$H$5001,"&lt;&gt;")=0,"",SUMIFS(BD!$H$3:$H$5001,BD!$A$3:$A$5001,W$3,BD!$B$3:$B$5001,$A$501)))</f>
        <v/>
      </c>
      <c r="X506" s="205" t="str">
        <f>IF(X$3="","",IF(COUNTIFS(BD!$A$3:$A$5001,X$3,BD!$B$3:$B$5001,$A$501,BD!$H$3:$H$5001,"&lt;&gt;")=0,"",SUMIFS(BD!$H$3:$H$5001,BD!$A$3:$A$5001,X$3,BD!$B$3:$B$5001,$A$501)))</f>
        <v/>
      </c>
      <c r="Y506" s="205" t="str">
        <f>IF(Y$3="","",IF(COUNTIFS(BD!$A$3:$A$5001,Y$3,BD!$B$3:$B$5001,$A$501,BD!$H$3:$H$5001,"&lt;&gt;")=0,"",SUMIFS(BD!$H$3:$H$5001,BD!$A$3:$A$5001,Y$3,BD!$B$3:$B$5001,$A$501)))</f>
        <v/>
      </c>
      <c r="Z506" s="205" t="str">
        <f>IF(Z$3="","",IF(COUNTIFS(BD!$A$3:$A$5001,Z$3,BD!$B$3:$B$5001,$A$501,BD!$H$3:$H$5001,"&lt;&gt;")=0,"",SUMIFS(BD!$H$3:$H$5001,BD!$A$3:$A$5001,Z$3,BD!$B$3:$B$5001,$A$501)))</f>
        <v/>
      </c>
      <c r="AA506" s="205" t="str">
        <f>IF(AA$3="","",IF(COUNTIFS(BD!$A$3:$A$5001,AA$3,BD!$B$3:$B$5001,$A$501,BD!$H$3:$H$5001,"&lt;&gt;")=0,"",SUMIFS(BD!$H$3:$H$5001,BD!$A$3:$A$5001,AA$3,BD!$B$3:$B$5001,$A$501)))</f>
        <v/>
      </c>
      <c r="AB506" s="205" t="str">
        <f>IF(AB$3="","",IF(COUNTIFS(BD!$A$3:$A$5001,AB$3,BD!$B$3:$B$5001,$A$501,BD!$H$3:$H$5001,"&lt;&gt;")=0,"",SUMIFS(BD!$H$3:$H$5001,BD!$A$3:$A$5001,AB$3,BD!$B$3:$B$5001,$A$501)))</f>
        <v/>
      </c>
      <c r="AC506" s="205" t="str">
        <f>IF(AC$3="","",IF(COUNTIFS(BD!$A$3:$A$5001,AC$3,BD!$B$3:$B$5001,$A$501,BD!$H$3:$H$5001,"&lt;&gt;")=0,"",SUMIFS(BD!$H$3:$H$5001,BD!$A$3:$A$5001,AC$3,BD!$B$3:$B$5001,$A$501)))</f>
        <v/>
      </c>
      <c r="AD506" s="205" t="str">
        <f>IF(AD$3="","",IF(COUNTIFS(BD!$A$3:$A$5001,AD$3,BD!$B$3:$B$5001,$A$501,BD!$H$3:$H$5001,"&lt;&gt;")=0,"",SUMIFS(BD!$H$3:$H$5001,BD!$A$3:$A$5001,AD$3,BD!$B$3:$B$5001,$A$501)))</f>
        <v/>
      </c>
      <c r="AE506" s="205" t="str">
        <f>IF(AE$3="","",IF(COUNTIFS(BD!$A$3:$A$5001,AE$3,BD!$B$3:$B$5001,$A$501,BD!$H$3:$H$5001,"&lt;&gt;")=0,"",SUMIFS(BD!$H$3:$H$5001,BD!$A$3:$A$5001,AE$3,BD!$B$3:$B$5001,$A$501)))</f>
        <v/>
      </c>
      <c r="AF506" s="205" t="str">
        <f>IF(AF$3="","",IF(COUNTIFS(BD!$A$3:$A$5001,AF$3,BD!$B$3:$B$5001,$A$501,BD!$H$3:$H$5001,"&lt;&gt;")=0,"",SUMIFS(BD!$H$3:$H$5001,BD!$A$3:$A$5001,AF$3,BD!$B$3:$B$5001,$A$501)))</f>
        <v/>
      </c>
      <c r="AG506" s="205" t="str">
        <f>IF(AG$3="","",IF(COUNTIFS(BD!$A$3:$A$5001,AG$3,BD!$B$3:$B$5001,$A$501,BD!$H$3:$H$5001,"&lt;&gt;")=0,"",SUMIFS(BD!$H$3:$H$5001,BD!$A$3:$A$5001,AG$3,BD!$B$3:$B$5001,$A$501)))</f>
        <v/>
      </c>
      <c r="AH506" s="205" t="str">
        <f>IF(AH$3="","",IF(COUNTIFS(BD!$A$3:$A$5001,AH$3,BD!$B$3:$B$5001,$A$501,BD!$H$3:$H$5001,"&lt;&gt;")=0,"",SUMIFS(BD!$H$3:$H$5001,BD!$A$3:$A$5001,AH$3,BD!$B$3:$B$5001,$A$501)))</f>
        <v/>
      </c>
      <c r="AI506" s="205" t="str">
        <f>IF(AI$3="","",IF(COUNTIFS(BD!$A$3:$A$5001,AI$3,BD!$B$3:$B$5001,$A$501,BD!$H$3:$H$5001,"&lt;&gt;")=0,"",SUMIFS(BD!$H$3:$H$5001,BD!$A$3:$A$5001,AI$3,BD!$B$3:$B$5001,$A$501)))</f>
        <v/>
      </c>
      <c r="AJ506" s="206" t="str">
        <f>IF(AJ$3="","",IF(COUNTIFS(BD!$A$3:$A$5001,AJ$3,BD!$B$3:$B$5001,$A$501,BD!$H$3:$H$5001,"&lt;&gt;")=0,"",SUMIFS(BD!$H$3:$H$5001,BD!$A$3:$A$5001,AJ$3,BD!$B$3:$B$5001,$A$501)))</f>
        <v/>
      </c>
      <c r="AK506" s="207" t="str">
        <f>IF(COUNT(F506:AJ506)=0,"",SUM(F506:AJ506))</f>
        <v/>
      </c>
    </row>
    <row r="507" ht="15.75" customHeight="1" hidden="1">
      <c r="A507" s="244"/>
      <c r="B507" s="239"/>
      <c r="C507" s="201" t="inlineStr">
        <is>
          <t xml:space="preserve">Itens Recebidos CX Mista</t>
        </is>
      </c>
      <c r="D507" s="202" t="str">
        <f>IFERROR(1/(1/INDEX(BD!$AJ$29:$BD$29,MATCH($A$501,BD!$AJ$22:$BD$22,0))),"")</f>
        <v/>
      </c>
      <c r="E507" s="203"/>
      <c r="F507" s="204" t="str">
        <f>IF(F$3="","",IF(COUNTIFS(BD!$A$3:$A$5001,F$3,BD!$B$3:$B$5001,$A$501,BD!$I$3:$I$5001,"&lt;&gt;")=0,"",SUMIFS(BD!$I$3:$I$5001,BD!$A$3:$A$5001,F$3,BD!$B$3:$B$5001,$A$501)))</f>
        <v/>
      </c>
      <c r="G507" s="205" t="str">
        <f>IF(G$3="","",IF(COUNTIFS(BD!$A$3:$A$5001,G$3,BD!$B$3:$B$5001,$A$501,BD!$I$3:$I$5001,"&lt;&gt;")=0,"",SUMIFS(BD!$I$3:$I$5001,BD!$A$3:$A$5001,G$3,BD!$B$3:$B$5001,$A$501)))</f>
        <v/>
      </c>
      <c r="H507" s="205" t="str">
        <f>IF(H$3="","",IF(COUNTIFS(BD!$A$3:$A$5001,H$3,BD!$B$3:$B$5001,$A$501,BD!$I$3:$I$5001,"&lt;&gt;")=0,"",SUMIFS(BD!$I$3:$I$5001,BD!$A$3:$A$5001,H$3,BD!$B$3:$B$5001,$A$501)))</f>
        <v/>
      </c>
      <c r="I507" s="205" t="str">
        <f>IF(I$3="","",IF(COUNTIFS(BD!$A$3:$A$5001,I$3,BD!$B$3:$B$5001,$A$501,BD!$I$3:$I$5001,"&lt;&gt;")=0,"",SUMIFS(BD!$I$3:$I$5001,BD!$A$3:$A$5001,I$3,BD!$B$3:$B$5001,$A$501)))</f>
        <v/>
      </c>
      <c r="J507" s="205" t="str">
        <f>IF(J$3="","",IF(COUNTIFS(BD!$A$3:$A$5001,J$3,BD!$B$3:$B$5001,$A$501,BD!$I$3:$I$5001,"&lt;&gt;")=0,"",SUMIFS(BD!$I$3:$I$5001,BD!$A$3:$A$5001,J$3,BD!$B$3:$B$5001,$A$501)))</f>
        <v/>
      </c>
      <c r="K507" s="205" t="str">
        <f>IF(K$3="","",IF(COUNTIFS(BD!$A$3:$A$5001,K$3,BD!$B$3:$B$5001,$A$501,BD!$I$3:$I$5001,"&lt;&gt;")=0,"",SUMIFS(BD!$I$3:$I$5001,BD!$A$3:$A$5001,K$3,BD!$B$3:$B$5001,$A$501)))</f>
        <v/>
      </c>
      <c r="L507" s="205" t="str">
        <f>IF(L$3="","",IF(COUNTIFS(BD!$A$3:$A$5001,L$3,BD!$B$3:$B$5001,$A$501,BD!$I$3:$I$5001,"&lt;&gt;")=0,"",SUMIFS(BD!$I$3:$I$5001,BD!$A$3:$A$5001,L$3,BD!$B$3:$B$5001,$A$501)))</f>
        <v/>
      </c>
      <c r="M507" s="205" t="str">
        <f>IF(M$3="","",IF(COUNTIFS(BD!$A$3:$A$5001,M$3,BD!$B$3:$B$5001,$A$501,BD!$I$3:$I$5001,"&lt;&gt;")=0,"",SUMIFS(BD!$I$3:$I$5001,BD!$A$3:$A$5001,M$3,BD!$B$3:$B$5001,$A$501)))</f>
        <v/>
      </c>
      <c r="N507" s="205" t="str">
        <f>IF(N$3="","",IF(COUNTIFS(BD!$A$3:$A$5001,N$3,BD!$B$3:$B$5001,$A$501,BD!$I$3:$I$5001,"&lt;&gt;")=0,"",SUMIFS(BD!$I$3:$I$5001,BD!$A$3:$A$5001,N$3,BD!$B$3:$B$5001,$A$501)))</f>
        <v/>
      </c>
      <c r="O507" s="205" t="str">
        <f>IF(O$3="","",IF(COUNTIFS(BD!$A$3:$A$5001,O$3,BD!$B$3:$B$5001,$A$501,BD!$I$3:$I$5001,"&lt;&gt;")=0,"",SUMIFS(BD!$I$3:$I$5001,BD!$A$3:$A$5001,O$3,BD!$B$3:$B$5001,$A$501)))</f>
        <v/>
      </c>
      <c r="P507" s="205" t="str">
        <f>IF(P$3="","",IF(COUNTIFS(BD!$A$3:$A$5001,P$3,BD!$B$3:$B$5001,$A$501,BD!$I$3:$I$5001,"&lt;&gt;")=0,"",SUMIFS(BD!$I$3:$I$5001,BD!$A$3:$A$5001,P$3,BD!$B$3:$B$5001,$A$501)))</f>
        <v/>
      </c>
      <c r="Q507" s="205" t="str">
        <f>IF(Q$3="","",IF(COUNTIFS(BD!$A$3:$A$5001,Q$3,BD!$B$3:$B$5001,$A$501,BD!$I$3:$I$5001,"&lt;&gt;")=0,"",SUMIFS(BD!$I$3:$I$5001,BD!$A$3:$A$5001,Q$3,BD!$B$3:$B$5001,$A$501)))</f>
        <v/>
      </c>
      <c r="R507" s="205" t="str">
        <f>IF(R$3="","",IF(COUNTIFS(BD!$A$3:$A$5001,R$3,BD!$B$3:$B$5001,$A$501,BD!$I$3:$I$5001,"&lt;&gt;")=0,"",SUMIFS(BD!$I$3:$I$5001,BD!$A$3:$A$5001,R$3,BD!$B$3:$B$5001,$A$501)))</f>
        <v/>
      </c>
      <c r="S507" s="205" t="str">
        <f>IF(S$3="","",IF(COUNTIFS(BD!$A$3:$A$5001,S$3,BD!$B$3:$B$5001,$A$501,BD!$I$3:$I$5001,"&lt;&gt;")=0,"",SUMIFS(BD!$I$3:$I$5001,BD!$A$3:$A$5001,S$3,BD!$B$3:$B$5001,$A$501)))</f>
        <v/>
      </c>
      <c r="T507" s="205" t="str">
        <f>IF(T$3="","",IF(COUNTIFS(BD!$A$3:$A$5001,T$3,BD!$B$3:$B$5001,$A$501,BD!$I$3:$I$5001,"&lt;&gt;")=0,"",SUMIFS(BD!$I$3:$I$5001,BD!$A$3:$A$5001,T$3,BD!$B$3:$B$5001,$A$501)))</f>
        <v/>
      </c>
      <c r="U507" s="205" t="str">
        <f>IF(U$3="","",IF(COUNTIFS(BD!$A$3:$A$5001,U$3,BD!$B$3:$B$5001,$A$501,BD!$I$3:$I$5001,"&lt;&gt;")=0,"",SUMIFS(BD!$I$3:$I$5001,BD!$A$3:$A$5001,U$3,BD!$B$3:$B$5001,$A$501)))</f>
        <v/>
      </c>
      <c r="V507" s="205" t="str">
        <f>IF(V$3="","",IF(COUNTIFS(BD!$A$3:$A$5001,V$3,BD!$B$3:$B$5001,$A$501,BD!$I$3:$I$5001,"&lt;&gt;")=0,"",SUMIFS(BD!$I$3:$I$5001,BD!$A$3:$A$5001,V$3,BD!$B$3:$B$5001,$A$501)))</f>
        <v/>
      </c>
      <c r="W507" s="205" t="str">
        <f>IF(W$3="","",IF(COUNTIFS(BD!$A$3:$A$5001,W$3,BD!$B$3:$B$5001,$A$501,BD!$I$3:$I$5001,"&lt;&gt;")=0,"",SUMIFS(BD!$I$3:$I$5001,BD!$A$3:$A$5001,W$3,BD!$B$3:$B$5001,$A$501)))</f>
        <v/>
      </c>
      <c r="X507" s="205" t="str">
        <f>IF(X$3="","",IF(COUNTIFS(BD!$A$3:$A$5001,X$3,BD!$B$3:$B$5001,$A$501,BD!$I$3:$I$5001,"&lt;&gt;")=0,"",SUMIFS(BD!$I$3:$I$5001,BD!$A$3:$A$5001,X$3,BD!$B$3:$B$5001,$A$501)))</f>
        <v/>
      </c>
      <c r="Y507" s="205" t="str">
        <f>IF(Y$3="","",IF(COUNTIFS(BD!$A$3:$A$5001,Y$3,BD!$B$3:$B$5001,$A$501,BD!$I$3:$I$5001,"&lt;&gt;")=0,"",SUMIFS(BD!$I$3:$I$5001,BD!$A$3:$A$5001,Y$3,BD!$B$3:$B$5001,$A$501)))</f>
        <v/>
      </c>
      <c r="Z507" s="205" t="str">
        <f>IF(Z$3="","",IF(COUNTIFS(BD!$A$3:$A$5001,Z$3,BD!$B$3:$B$5001,$A$501,BD!$I$3:$I$5001,"&lt;&gt;")=0,"",SUMIFS(BD!$I$3:$I$5001,BD!$A$3:$A$5001,Z$3,BD!$B$3:$B$5001,$A$501)))</f>
        <v/>
      </c>
      <c r="AA507" s="205" t="str">
        <f>IF(AA$3="","",IF(COUNTIFS(BD!$A$3:$A$5001,AA$3,BD!$B$3:$B$5001,$A$501,BD!$I$3:$I$5001,"&lt;&gt;")=0,"",SUMIFS(BD!$I$3:$I$5001,BD!$A$3:$A$5001,AA$3,BD!$B$3:$B$5001,$A$501)))</f>
        <v/>
      </c>
      <c r="AB507" s="205" t="str">
        <f>IF(AB$3="","",IF(COUNTIFS(BD!$A$3:$A$5001,AB$3,BD!$B$3:$B$5001,$A$501,BD!$I$3:$I$5001,"&lt;&gt;")=0,"",SUMIFS(BD!$I$3:$I$5001,BD!$A$3:$A$5001,AB$3,BD!$B$3:$B$5001,$A$501)))</f>
        <v/>
      </c>
      <c r="AC507" s="205" t="str">
        <f>IF(AC$3="","",IF(COUNTIFS(BD!$A$3:$A$5001,AC$3,BD!$B$3:$B$5001,$A$501,BD!$I$3:$I$5001,"&lt;&gt;")=0,"",SUMIFS(BD!$I$3:$I$5001,BD!$A$3:$A$5001,AC$3,BD!$B$3:$B$5001,$A$501)))</f>
        <v/>
      </c>
      <c r="AD507" s="205" t="str">
        <f>IF(AD$3="","",IF(COUNTIFS(BD!$A$3:$A$5001,AD$3,BD!$B$3:$B$5001,$A$501,BD!$I$3:$I$5001,"&lt;&gt;")=0,"",SUMIFS(BD!$I$3:$I$5001,BD!$A$3:$A$5001,AD$3,BD!$B$3:$B$5001,$A$501)))</f>
        <v/>
      </c>
      <c r="AE507" s="205" t="str">
        <f>IF(AE$3="","",IF(COUNTIFS(BD!$A$3:$A$5001,AE$3,BD!$B$3:$B$5001,$A$501,BD!$I$3:$I$5001,"&lt;&gt;")=0,"",SUMIFS(BD!$I$3:$I$5001,BD!$A$3:$A$5001,AE$3,BD!$B$3:$B$5001,$A$501)))</f>
        <v/>
      </c>
      <c r="AF507" s="205" t="str">
        <f>IF(AF$3="","",IF(COUNTIFS(BD!$A$3:$A$5001,AF$3,BD!$B$3:$B$5001,$A$501,BD!$I$3:$I$5001,"&lt;&gt;")=0,"",SUMIFS(BD!$I$3:$I$5001,BD!$A$3:$A$5001,AF$3,BD!$B$3:$B$5001,$A$501)))</f>
        <v/>
      </c>
      <c r="AG507" s="205" t="str">
        <f>IF(AG$3="","",IF(COUNTIFS(BD!$A$3:$A$5001,AG$3,BD!$B$3:$B$5001,$A$501,BD!$I$3:$I$5001,"&lt;&gt;")=0,"",SUMIFS(BD!$I$3:$I$5001,BD!$A$3:$A$5001,AG$3,BD!$B$3:$B$5001,$A$501)))</f>
        <v/>
      </c>
      <c r="AH507" s="205" t="str">
        <f>IF(AH$3="","",IF(COUNTIFS(BD!$A$3:$A$5001,AH$3,BD!$B$3:$B$5001,$A$501,BD!$I$3:$I$5001,"&lt;&gt;")=0,"",SUMIFS(BD!$I$3:$I$5001,BD!$A$3:$A$5001,AH$3,BD!$B$3:$B$5001,$A$501)))</f>
        <v/>
      </c>
      <c r="AI507" s="205" t="str">
        <f>IF(AI$3="","",IF(COUNTIFS(BD!$A$3:$A$5001,AI$3,BD!$B$3:$B$5001,$A$501,BD!$I$3:$I$5001,"&lt;&gt;")=0,"",SUMIFS(BD!$I$3:$I$5001,BD!$A$3:$A$5001,AI$3,BD!$B$3:$B$5001,$A$501)))</f>
        <v/>
      </c>
      <c r="AJ507" s="206" t="str">
        <f>IF(AJ$3="","",IF(COUNTIFS(BD!$A$3:$A$5001,AJ$3,BD!$B$3:$B$5001,$A$501,BD!$I$3:$I$5001,"&lt;&gt;")=0,"",SUMIFS(BD!$I$3:$I$5001,BD!$A$3:$A$5001,AJ$3,BD!$B$3:$B$5001,$A$501)))</f>
        <v/>
      </c>
      <c r="AK507" s="207" t="str">
        <f>IF(COUNT(F507:AJ507)=0,"",SUM(F507:AJ507))</f>
        <v/>
      </c>
    </row>
    <row r="508" ht="15.75" customHeight="1" hidden="1">
      <c r="A508" s="244"/>
      <c r="B508" s="239"/>
      <c r="C508" s="201" t="inlineStr">
        <is>
          <t xml:space="preserve">Caixas Fechadas</t>
        </is>
      </c>
      <c r="D508" s="202" t="str">
        <f>IFERROR(1/(1/INDEX(BD!$AJ$30:$BD$30,MATCH($A$501,BD!$AJ$22:$BD$22,0))),"")</f>
        <v/>
      </c>
      <c r="E508" s="203"/>
      <c r="F508" s="204" t="str">
        <f>IF(F$3="","",IF(COUNTIFS(BD!$A$3:$A$5001,F$3,BD!$B$3:$B$5001,$A$501,BD!$J$3:$J$5001,"&lt;&gt;")=0,"",SUMIFS(BD!$J$3:$J$5001,BD!$A$3:$A$5001,F$3,BD!$B$3:$B$5001,$A$501)))</f>
        <v/>
      </c>
      <c r="G508" s="205" t="str">
        <f>IF(G$3="","",IF(COUNTIFS(BD!$A$3:$A$5001,G$3,BD!$B$3:$B$5001,$A$501,BD!$J$3:$J$5001,"&lt;&gt;")=0,"",SUMIFS(BD!$J$3:$J$5001,BD!$A$3:$A$5001,G$3,BD!$B$3:$B$5001,$A$501)))</f>
        <v/>
      </c>
      <c r="H508" s="205" t="str">
        <f>IF(H$3="","",IF(COUNTIFS(BD!$A$3:$A$5001,H$3,BD!$B$3:$B$5001,$A$501,BD!$J$3:$J$5001,"&lt;&gt;")=0,"",SUMIFS(BD!$J$3:$J$5001,BD!$A$3:$A$5001,H$3,BD!$B$3:$B$5001,$A$501)))</f>
        <v/>
      </c>
      <c r="I508" s="205" t="str">
        <f>IF(I$3="","",IF(COUNTIFS(BD!$A$3:$A$5001,I$3,BD!$B$3:$B$5001,$A$501,BD!$J$3:$J$5001,"&lt;&gt;")=0,"",SUMIFS(BD!$J$3:$J$5001,BD!$A$3:$A$5001,I$3,BD!$B$3:$B$5001,$A$501)))</f>
        <v/>
      </c>
      <c r="J508" s="205" t="str">
        <f>IF(J$3="","",IF(COUNTIFS(BD!$A$3:$A$5001,J$3,BD!$B$3:$B$5001,$A$501,BD!$J$3:$J$5001,"&lt;&gt;")=0,"",SUMIFS(BD!$J$3:$J$5001,BD!$A$3:$A$5001,J$3,BD!$B$3:$B$5001,$A$501)))</f>
        <v/>
      </c>
      <c r="K508" s="205" t="str">
        <f>IF(K$3="","",IF(COUNTIFS(BD!$A$3:$A$5001,K$3,BD!$B$3:$B$5001,$A$501,BD!$J$3:$J$5001,"&lt;&gt;")=0,"",SUMIFS(BD!$J$3:$J$5001,BD!$A$3:$A$5001,K$3,BD!$B$3:$B$5001,$A$501)))</f>
        <v/>
      </c>
      <c r="L508" s="205" t="str">
        <f>IF(L$3="","",IF(COUNTIFS(BD!$A$3:$A$5001,L$3,BD!$B$3:$B$5001,$A$501,BD!$J$3:$J$5001,"&lt;&gt;")=0,"",SUMIFS(BD!$J$3:$J$5001,BD!$A$3:$A$5001,L$3,BD!$B$3:$B$5001,$A$501)))</f>
        <v/>
      </c>
      <c r="M508" s="205" t="str">
        <f>IF(M$3="","",IF(COUNTIFS(BD!$A$3:$A$5001,M$3,BD!$B$3:$B$5001,$A$501,BD!$J$3:$J$5001,"&lt;&gt;")=0,"",SUMIFS(BD!$J$3:$J$5001,BD!$A$3:$A$5001,M$3,BD!$B$3:$B$5001,$A$501)))</f>
        <v/>
      </c>
      <c r="N508" s="205" t="str">
        <f>IF(N$3="","",IF(COUNTIFS(BD!$A$3:$A$5001,N$3,BD!$B$3:$B$5001,$A$501,BD!$J$3:$J$5001,"&lt;&gt;")=0,"",SUMIFS(BD!$J$3:$J$5001,BD!$A$3:$A$5001,N$3,BD!$B$3:$B$5001,$A$501)))</f>
        <v/>
      </c>
      <c r="O508" s="205" t="str">
        <f>IF(O$3="","",IF(COUNTIFS(BD!$A$3:$A$5001,O$3,BD!$B$3:$B$5001,$A$501,BD!$J$3:$J$5001,"&lt;&gt;")=0,"",SUMIFS(BD!$J$3:$J$5001,BD!$A$3:$A$5001,O$3,BD!$B$3:$B$5001,$A$501)))</f>
        <v/>
      </c>
      <c r="P508" s="205" t="str">
        <f>IF(P$3="","",IF(COUNTIFS(BD!$A$3:$A$5001,P$3,BD!$B$3:$B$5001,$A$501,BD!$J$3:$J$5001,"&lt;&gt;")=0,"",SUMIFS(BD!$J$3:$J$5001,BD!$A$3:$A$5001,P$3,BD!$B$3:$B$5001,$A$501)))</f>
        <v/>
      </c>
      <c r="Q508" s="205" t="str">
        <f>IF(Q$3="","",IF(COUNTIFS(BD!$A$3:$A$5001,Q$3,BD!$B$3:$B$5001,$A$501,BD!$J$3:$J$5001,"&lt;&gt;")=0,"",SUMIFS(BD!$J$3:$J$5001,BD!$A$3:$A$5001,Q$3,BD!$B$3:$B$5001,$A$501)))</f>
        <v/>
      </c>
      <c r="R508" s="205" t="str">
        <f>IF(R$3="","",IF(COUNTIFS(BD!$A$3:$A$5001,R$3,BD!$B$3:$B$5001,$A$501,BD!$J$3:$J$5001,"&lt;&gt;")=0,"",SUMIFS(BD!$J$3:$J$5001,BD!$A$3:$A$5001,R$3,BD!$B$3:$B$5001,$A$501)))</f>
        <v/>
      </c>
      <c r="S508" s="205" t="str">
        <f>IF(S$3="","",IF(COUNTIFS(BD!$A$3:$A$5001,S$3,BD!$B$3:$B$5001,$A$501,BD!$J$3:$J$5001,"&lt;&gt;")=0,"",SUMIFS(BD!$J$3:$J$5001,BD!$A$3:$A$5001,S$3,BD!$B$3:$B$5001,$A$501)))</f>
        <v/>
      </c>
      <c r="T508" s="205" t="str">
        <f>IF(T$3="","",IF(COUNTIFS(BD!$A$3:$A$5001,T$3,BD!$B$3:$B$5001,$A$501,BD!$J$3:$J$5001,"&lt;&gt;")=0,"",SUMIFS(BD!$J$3:$J$5001,BD!$A$3:$A$5001,T$3,BD!$B$3:$B$5001,$A$501)))</f>
        <v/>
      </c>
      <c r="U508" s="205" t="str">
        <f>IF(U$3="","",IF(COUNTIFS(BD!$A$3:$A$5001,U$3,BD!$B$3:$B$5001,$A$501,BD!$J$3:$J$5001,"&lt;&gt;")=0,"",SUMIFS(BD!$J$3:$J$5001,BD!$A$3:$A$5001,U$3,BD!$B$3:$B$5001,$A$501)))</f>
        <v/>
      </c>
      <c r="V508" s="205" t="str">
        <f>IF(V$3="","",IF(COUNTIFS(BD!$A$3:$A$5001,V$3,BD!$B$3:$B$5001,$A$501,BD!$J$3:$J$5001,"&lt;&gt;")=0,"",SUMIFS(BD!$J$3:$J$5001,BD!$A$3:$A$5001,V$3,BD!$B$3:$B$5001,$A$501)))</f>
        <v/>
      </c>
      <c r="W508" s="205" t="str">
        <f>IF(W$3="","",IF(COUNTIFS(BD!$A$3:$A$5001,W$3,BD!$B$3:$B$5001,$A$501,BD!$J$3:$J$5001,"&lt;&gt;")=0,"",SUMIFS(BD!$J$3:$J$5001,BD!$A$3:$A$5001,W$3,BD!$B$3:$B$5001,$A$501)))</f>
        <v/>
      </c>
      <c r="X508" s="205" t="str">
        <f>IF(X$3="","",IF(COUNTIFS(BD!$A$3:$A$5001,X$3,BD!$B$3:$B$5001,$A$501,BD!$J$3:$J$5001,"&lt;&gt;")=0,"",SUMIFS(BD!$J$3:$J$5001,BD!$A$3:$A$5001,X$3,BD!$B$3:$B$5001,$A$501)))</f>
        <v/>
      </c>
      <c r="Y508" s="205" t="str">
        <f>IF(Y$3="","",IF(COUNTIFS(BD!$A$3:$A$5001,Y$3,BD!$B$3:$B$5001,$A$501,BD!$J$3:$J$5001,"&lt;&gt;")=0,"",SUMIFS(BD!$J$3:$J$5001,BD!$A$3:$A$5001,Y$3,BD!$B$3:$B$5001,$A$501)))</f>
        <v/>
      </c>
      <c r="Z508" s="205" t="str">
        <f>IF(Z$3="","",IF(COUNTIFS(BD!$A$3:$A$5001,Z$3,BD!$B$3:$B$5001,$A$501,BD!$J$3:$J$5001,"&lt;&gt;")=0,"",SUMIFS(BD!$J$3:$J$5001,BD!$A$3:$A$5001,Z$3,BD!$B$3:$B$5001,$A$501)))</f>
        <v/>
      </c>
      <c r="AA508" s="205" t="str">
        <f>IF(AA$3="","",IF(COUNTIFS(BD!$A$3:$A$5001,AA$3,BD!$B$3:$B$5001,$A$501,BD!$J$3:$J$5001,"&lt;&gt;")=0,"",SUMIFS(BD!$J$3:$J$5001,BD!$A$3:$A$5001,AA$3,BD!$B$3:$B$5001,$A$501)))</f>
        <v/>
      </c>
      <c r="AB508" s="205" t="str">
        <f>IF(AB$3="","",IF(COUNTIFS(BD!$A$3:$A$5001,AB$3,BD!$B$3:$B$5001,$A$501,BD!$J$3:$J$5001,"&lt;&gt;")=0,"",SUMIFS(BD!$J$3:$J$5001,BD!$A$3:$A$5001,AB$3,BD!$B$3:$B$5001,$A$501)))</f>
        <v/>
      </c>
      <c r="AC508" s="205" t="str">
        <f>IF(AC$3="","",IF(COUNTIFS(BD!$A$3:$A$5001,AC$3,BD!$B$3:$B$5001,$A$501,BD!$J$3:$J$5001,"&lt;&gt;")=0,"",SUMIFS(BD!$J$3:$J$5001,BD!$A$3:$A$5001,AC$3,BD!$B$3:$B$5001,$A$501)))</f>
        <v/>
      </c>
      <c r="AD508" s="205" t="str">
        <f>IF(AD$3="","",IF(COUNTIFS(BD!$A$3:$A$5001,AD$3,BD!$B$3:$B$5001,$A$501,BD!$J$3:$J$5001,"&lt;&gt;")=0,"",SUMIFS(BD!$J$3:$J$5001,BD!$A$3:$A$5001,AD$3,BD!$B$3:$B$5001,$A$501)))</f>
        <v/>
      </c>
      <c r="AE508" s="205" t="str">
        <f>IF(AE$3="","",IF(COUNTIFS(BD!$A$3:$A$5001,AE$3,BD!$B$3:$B$5001,$A$501,BD!$J$3:$J$5001,"&lt;&gt;")=0,"",SUMIFS(BD!$J$3:$J$5001,BD!$A$3:$A$5001,AE$3,BD!$B$3:$B$5001,$A$501)))</f>
        <v/>
      </c>
      <c r="AF508" s="205" t="str">
        <f>IF(AF$3="","",IF(COUNTIFS(BD!$A$3:$A$5001,AF$3,BD!$B$3:$B$5001,$A$501,BD!$J$3:$J$5001,"&lt;&gt;")=0,"",SUMIFS(BD!$J$3:$J$5001,BD!$A$3:$A$5001,AF$3,BD!$B$3:$B$5001,$A$501)))</f>
        <v/>
      </c>
      <c r="AG508" s="205" t="str">
        <f>IF(AG$3="","",IF(COUNTIFS(BD!$A$3:$A$5001,AG$3,BD!$B$3:$B$5001,$A$501,BD!$J$3:$J$5001,"&lt;&gt;")=0,"",SUMIFS(BD!$J$3:$J$5001,BD!$A$3:$A$5001,AG$3,BD!$B$3:$B$5001,$A$501)))</f>
        <v/>
      </c>
      <c r="AH508" s="205" t="str">
        <f>IF(AH$3="","",IF(COUNTIFS(BD!$A$3:$A$5001,AH$3,BD!$B$3:$B$5001,$A$501,BD!$J$3:$J$5001,"&lt;&gt;")=0,"",SUMIFS(BD!$J$3:$J$5001,BD!$A$3:$A$5001,AH$3,BD!$B$3:$B$5001,$A$501)))</f>
        <v/>
      </c>
      <c r="AI508" s="205" t="str">
        <f>IF(AI$3="","",IF(COUNTIFS(BD!$A$3:$A$5001,AI$3,BD!$B$3:$B$5001,$A$501,BD!$J$3:$J$5001,"&lt;&gt;")=0,"",SUMIFS(BD!$J$3:$J$5001,BD!$A$3:$A$5001,AI$3,BD!$B$3:$B$5001,$A$501)))</f>
        <v/>
      </c>
      <c r="AJ508" s="206" t="str">
        <f>IF(AJ$3="","",IF(COUNTIFS(BD!$A$3:$A$5001,AJ$3,BD!$B$3:$B$5001,$A$501,BD!$J$3:$J$5001,"&lt;&gt;")=0,"",SUMIFS(BD!$J$3:$J$5001,BD!$A$3:$A$5001,AJ$3,BD!$B$3:$B$5001,$A$501)))</f>
        <v/>
      </c>
      <c r="AK508" s="207" t="str">
        <f>IF(COUNT(F508:AJ508)=0,"",SUM(F508:AJ508))</f>
        <v/>
      </c>
    </row>
    <row r="509" ht="15.75" customHeight="1" hidden="1">
      <c r="A509" s="244"/>
      <c r="B509" s="233"/>
      <c r="C509" s="162" t="inlineStr">
        <is>
          <t xml:space="preserve">Caixas Mistas Recebidas</t>
        </is>
      </c>
      <c r="D509" s="163" t="str">
        <f>IFERROR(1/(1/INDEX(BD!$AJ$31:$BD$31,MATCH($A$501,BD!$AJ$22:$BD$22,0))),"")</f>
        <v/>
      </c>
      <c r="E509" s="164"/>
      <c r="F509" s="165" t="str">
        <f>IF(F$3="","",IF(COUNTIFS(BD!$A$3:$A$5001,F$3,BD!$B$3:$B$5001,$A$501,BD!$K$3:$K$5001,"&lt;&gt;")=0,"",SUMIFS(BD!$K$3:$K$5001,BD!$A$3:$A$5001,F$3,BD!$B$3:$B$5001,$A$501)))</f>
        <v/>
      </c>
      <c r="G509" s="166" t="str">
        <f>IF(G$3="","",IF(COUNTIFS(BD!$A$3:$A$5001,G$3,BD!$B$3:$B$5001,$A$501,BD!$K$3:$K$5001,"&lt;&gt;")=0,"",SUMIFS(BD!$K$3:$K$5001,BD!$A$3:$A$5001,G$3,BD!$B$3:$B$5001,$A$501)))</f>
        <v/>
      </c>
      <c r="H509" s="166" t="str">
        <f>IF(H$3="","",IF(COUNTIFS(BD!$A$3:$A$5001,H$3,BD!$B$3:$B$5001,$A$501,BD!$K$3:$K$5001,"&lt;&gt;")=0,"",SUMIFS(BD!$K$3:$K$5001,BD!$A$3:$A$5001,H$3,BD!$B$3:$B$5001,$A$501)))</f>
        <v/>
      </c>
      <c r="I509" s="166" t="str">
        <f>IF(I$3="","",IF(COUNTIFS(BD!$A$3:$A$5001,I$3,BD!$B$3:$B$5001,$A$501,BD!$K$3:$K$5001,"&lt;&gt;")=0,"",SUMIFS(BD!$K$3:$K$5001,BD!$A$3:$A$5001,I$3,BD!$B$3:$B$5001,$A$501)))</f>
        <v/>
      </c>
      <c r="J509" s="166" t="str">
        <f>IF(J$3="","",IF(COUNTIFS(BD!$A$3:$A$5001,J$3,BD!$B$3:$B$5001,$A$501,BD!$K$3:$K$5001,"&lt;&gt;")=0,"",SUMIFS(BD!$K$3:$K$5001,BD!$A$3:$A$5001,J$3,BD!$B$3:$B$5001,$A$501)))</f>
        <v/>
      </c>
      <c r="K509" s="166" t="str">
        <f>IF(K$3="","",IF(COUNTIFS(BD!$A$3:$A$5001,K$3,BD!$B$3:$B$5001,$A$501,BD!$K$3:$K$5001,"&lt;&gt;")=0,"",SUMIFS(BD!$K$3:$K$5001,BD!$A$3:$A$5001,K$3,BD!$B$3:$B$5001,$A$501)))</f>
        <v/>
      </c>
      <c r="L509" s="166" t="str">
        <f>IF(L$3="","",IF(COUNTIFS(BD!$A$3:$A$5001,L$3,BD!$B$3:$B$5001,$A$501,BD!$K$3:$K$5001,"&lt;&gt;")=0,"",SUMIFS(BD!$K$3:$K$5001,BD!$A$3:$A$5001,L$3,BD!$B$3:$B$5001,$A$501)))</f>
        <v/>
      </c>
      <c r="M509" s="166" t="str">
        <f>IF(M$3="","",IF(COUNTIFS(BD!$A$3:$A$5001,M$3,BD!$B$3:$B$5001,$A$501,BD!$K$3:$K$5001,"&lt;&gt;")=0,"",SUMIFS(BD!$K$3:$K$5001,BD!$A$3:$A$5001,M$3,BD!$B$3:$B$5001,$A$501)))</f>
        <v/>
      </c>
      <c r="N509" s="166" t="str">
        <f>IF(N$3="","",IF(COUNTIFS(BD!$A$3:$A$5001,N$3,BD!$B$3:$B$5001,$A$501,BD!$K$3:$K$5001,"&lt;&gt;")=0,"",SUMIFS(BD!$K$3:$K$5001,BD!$A$3:$A$5001,N$3,BD!$B$3:$B$5001,$A$501)))</f>
        <v/>
      </c>
      <c r="O509" s="166" t="str">
        <f>IF(O$3="","",IF(COUNTIFS(BD!$A$3:$A$5001,O$3,BD!$B$3:$B$5001,$A$501,BD!$K$3:$K$5001,"&lt;&gt;")=0,"",SUMIFS(BD!$K$3:$K$5001,BD!$A$3:$A$5001,O$3,BD!$B$3:$B$5001,$A$501)))</f>
        <v/>
      </c>
      <c r="P509" s="166" t="str">
        <f>IF(P$3="","",IF(COUNTIFS(BD!$A$3:$A$5001,P$3,BD!$B$3:$B$5001,$A$501,BD!$K$3:$K$5001,"&lt;&gt;")=0,"",SUMIFS(BD!$K$3:$K$5001,BD!$A$3:$A$5001,P$3,BD!$B$3:$B$5001,$A$501)))</f>
        <v/>
      </c>
      <c r="Q509" s="166" t="str">
        <f>IF(Q$3="","",IF(COUNTIFS(BD!$A$3:$A$5001,Q$3,BD!$B$3:$B$5001,$A$501,BD!$K$3:$K$5001,"&lt;&gt;")=0,"",SUMIFS(BD!$K$3:$K$5001,BD!$A$3:$A$5001,Q$3,BD!$B$3:$B$5001,$A$501)))</f>
        <v/>
      </c>
      <c r="R509" s="166" t="str">
        <f>IF(R$3="","",IF(COUNTIFS(BD!$A$3:$A$5001,R$3,BD!$B$3:$B$5001,$A$501,BD!$K$3:$K$5001,"&lt;&gt;")=0,"",SUMIFS(BD!$K$3:$K$5001,BD!$A$3:$A$5001,R$3,BD!$B$3:$B$5001,$A$501)))</f>
        <v/>
      </c>
      <c r="S509" s="166" t="str">
        <f>IF(S$3="","",IF(COUNTIFS(BD!$A$3:$A$5001,S$3,BD!$B$3:$B$5001,$A$501,BD!$K$3:$K$5001,"&lt;&gt;")=0,"",SUMIFS(BD!$K$3:$K$5001,BD!$A$3:$A$5001,S$3,BD!$B$3:$B$5001,$A$501)))</f>
        <v/>
      </c>
      <c r="T509" s="166" t="str">
        <f>IF(T$3="","",IF(COUNTIFS(BD!$A$3:$A$5001,T$3,BD!$B$3:$B$5001,$A$501,BD!$K$3:$K$5001,"&lt;&gt;")=0,"",SUMIFS(BD!$K$3:$K$5001,BD!$A$3:$A$5001,T$3,BD!$B$3:$B$5001,$A$501)))</f>
        <v/>
      </c>
      <c r="U509" s="166" t="str">
        <f>IF(U$3="","",IF(COUNTIFS(BD!$A$3:$A$5001,U$3,BD!$B$3:$B$5001,$A$501,BD!$K$3:$K$5001,"&lt;&gt;")=0,"",SUMIFS(BD!$K$3:$K$5001,BD!$A$3:$A$5001,U$3,BD!$B$3:$B$5001,$A$501)))</f>
        <v/>
      </c>
      <c r="V509" s="166" t="str">
        <f>IF(V$3="","",IF(COUNTIFS(BD!$A$3:$A$5001,V$3,BD!$B$3:$B$5001,$A$501,BD!$K$3:$K$5001,"&lt;&gt;")=0,"",SUMIFS(BD!$K$3:$K$5001,BD!$A$3:$A$5001,V$3,BD!$B$3:$B$5001,$A$501)))</f>
        <v/>
      </c>
      <c r="W509" s="166" t="str">
        <f>IF(W$3="","",IF(COUNTIFS(BD!$A$3:$A$5001,W$3,BD!$B$3:$B$5001,$A$501,BD!$K$3:$K$5001,"&lt;&gt;")=0,"",SUMIFS(BD!$K$3:$K$5001,BD!$A$3:$A$5001,W$3,BD!$B$3:$B$5001,$A$501)))</f>
        <v/>
      </c>
      <c r="X509" s="166" t="str">
        <f>IF(X$3="","",IF(COUNTIFS(BD!$A$3:$A$5001,X$3,BD!$B$3:$B$5001,$A$501,BD!$K$3:$K$5001,"&lt;&gt;")=0,"",SUMIFS(BD!$K$3:$K$5001,BD!$A$3:$A$5001,X$3,BD!$B$3:$B$5001,$A$501)))</f>
        <v/>
      </c>
      <c r="Y509" s="166" t="str">
        <f>IF(Y$3="","",IF(COUNTIFS(BD!$A$3:$A$5001,Y$3,BD!$B$3:$B$5001,$A$501,BD!$K$3:$K$5001,"&lt;&gt;")=0,"",SUMIFS(BD!$K$3:$K$5001,BD!$A$3:$A$5001,Y$3,BD!$B$3:$B$5001,$A$501)))</f>
        <v/>
      </c>
      <c r="Z509" s="166" t="str">
        <f>IF(Z$3="","",IF(COUNTIFS(BD!$A$3:$A$5001,Z$3,BD!$B$3:$B$5001,$A$501,BD!$K$3:$K$5001,"&lt;&gt;")=0,"",SUMIFS(BD!$K$3:$K$5001,BD!$A$3:$A$5001,Z$3,BD!$B$3:$B$5001,$A$501)))</f>
        <v/>
      </c>
      <c r="AA509" s="166" t="str">
        <f>IF(AA$3="","",IF(COUNTIFS(BD!$A$3:$A$5001,AA$3,BD!$B$3:$B$5001,$A$501,BD!$K$3:$K$5001,"&lt;&gt;")=0,"",SUMIFS(BD!$K$3:$K$5001,BD!$A$3:$A$5001,AA$3,BD!$B$3:$B$5001,$A$501)))</f>
        <v/>
      </c>
      <c r="AB509" s="166" t="str">
        <f>IF(AB$3="","",IF(COUNTIFS(BD!$A$3:$A$5001,AB$3,BD!$B$3:$B$5001,$A$501,BD!$K$3:$K$5001,"&lt;&gt;")=0,"",SUMIFS(BD!$K$3:$K$5001,BD!$A$3:$A$5001,AB$3,BD!$B$3:$B$5001,$A$501)))</f>
        <v/>
      </c>
      <c r="AC509" s="166" t="str">
        <f>IF(AC$3="","",IF(COUNTIFS(BD!$A$3:$A$5001,AC$3,BD!$B$3:$B$5001,$A$501,BD!$K$3:$K$5001,"&lt;&gt;")=0,"",SUMIFS(BD!$K$3:$K$5001,BD!$A$3:$A$5001,AC$3,BD!$B$3:$B$5001,$A$501)))</f>
        <v/>
      </c>
      <c r="AD509" s="166" t="str">
        <f>IF(AD$3="","",IF(COUNTIFS(BD!$A$3:$A$5001,AD$3,BD!$B$3:$B$5001,$A$501,BD!$K$3:$K$5001,"&lt;&gt;")=0,"",SUMIFS(BD!$K$3:$K$5001,BD!$A$3:$A$5001,AD$3,BD!$B$3:$B$5001,$A$501)))</f>
        <v/>
      </c>
      <c r="AE509" s="166" t="str">
        <f>IF(AE$3="","",IF(COUNTIFS(BD!$A$3:$A$5001,AE$3,BD!$B$3:$B$5001,$A$501,BD!$K$3:$K$5001,"&lt;&gt;")=0,"",SUMIFS(BD!$K$3:$K$5001,BD!$A$3:$A$5001,AE$3,BD!$B$3:$B$5001,$A$501)))</f>
        <v/>
      </c>
      <c r="AF509" s="166" t="str">
        <f>IF(AF$3="","",IF(COUNTIFS(BD!$A$3:$A$5001,AF$3,BD!$B$3:$B$5001,$A$501,BD!$K$3:$K$5001,"&lt;&gt;")=0,"",SUMIFS(BD!$K$3:$K$5001,BD!$A$3:$A$5001,AF$3,BD!$B$3:$B$5001,$A$501)))</f>
        <v/>
      </c>
      <c r="AG509" s="166" t="str">
        <f>IF(AG$3="","",IF(COUNTIFS(BD!$A$3:$A$5001,AG$3,BD!$B$3:$B$5001,$A$501,BD!$K$3:$K$5001,"&lt;&gt;")=0,"",SUMIFS(BD!$K$3:$K$5001,BD!$A$3:$A$5001,AG$3,BD!$B$3:$B$5001,$A$501)))</f>
        <v/>
      </c>
      <c r="AH509" s="166" t="str">
        <f>IF(AH$3="","",IF(COUNTIFS(BD!$A$3:$A$5001,AH$3,BD!$B$3:$B$5001,$A$501,BD!$K$3:$K$5001,"&lt;&gt;")=0,"",SUMIFS(BD!$K$3:$K$5001,BD!$A$3:$A$5001,AH$3,BD!$B$3:$B$5001,$A$501)))</f>
        <v/>
      </c>
      <c r="AI509" s="166" t="str">
        <f>IF(AI$3="","",IF(COUNTIFS(BD!$A$3:$A$5001,AI$3,BD!$B$3:$B$5001,$A$501,BD!$K$3:$K$5001,"&lt;&gt;")=0,"",SUMIFS(BD!$K$3:$K$5001,BD!$A$3:$A$5001,AI$3,BD!$B$3:$B$5001,$A$501)))</f>
        <v/>
      </c>
      <c r="AJ509" s="167" t="str">
        <f>IF(AJ$3="","",IF(COUNTIFS(BD!$A$3:$A$5001,AJ$3,BD!$B$3:$B$5001,$A$501,BD!$K$3:$K$5001,"&lt;&gt;")=0,"",SUMIFS(BD!$K$3:$K$5001,BD!$A$3:$A$5001,AJ$3,BD!$B$3:$B$5001,$A$501)))</f>
        <v/>
      </c>
      <c r="AK509" s="163" t="str">
        <f>IF(COUNT(F509:AJ509)=0,"",SUM(F509:AJ509))</f>
        <v/>
      </c>
    </row>
    <row r="510" ht="15.75" customHeight="1" hidden="1">
      <c r="A510" s="244"/>
      <c r="B510" s="234" t="inlineStr">
        <is>
          <t xml:space="preserve">OUT</t>
        </is>
      </c>
      <c r="C510" s="168" t="inlineStr">
        <is>
          <t xml:space="preserve">Veículos Expedidos</t>
        </is>
      </c>
      <c r="D510" s="169" t="str">
        <f>IFERROR(1/(1/INDEX(BD!$AJ$32:$BD$32,MATCH($A$501,BD!$AJ$22:$BD$22,0))),"")</f>
        <v/>
      </c>
      <c r="E510" s="170"/>
      <c r="F510" s="171" t="str">
        <f>IF(F$3="","",IF(COUNTIFS(BD!$A$3:$A$5001,F$3,BD!$B$3:$B$5001,$A$501,BD!$L$3:$L$5001,"&lt;&gt;")=0,"",SUMIFS(BD!$L$3:$L$5001,BD!$A$3:$A$5001,F$3,BD!$B$3:$B$5001,$A$501)))</f>
        <v/>
      </c>
      <c r="G510" s="172" t="str">
        <f>IF(G$3="","",IF(COUNTIFS(BD!$A$3:$A$5001,G$3,BD!$B$3:$B$5001,$A$501,BD!$L$3:$L$5001,"&lt;&gt;")=0,"",SUMIFS(BD!$L$3:$L$5001,BD!$A$3:$A$5001,G$3,BD!$B$3:$B$5001,$A$501)))</f>
        <v/>
      </c>
      <c r="H510" s="172" t="str">
        <f>IF(H$3="","",IF(COUNTIFS(BD!$A$3:$A$5001,H$3,BD!$B$3:$B$5001,$A$501,BD!$L$3:$L$5001,"&lt;&gt;")=0,"",SUMIFS(BD!$L$3:$L$5001,BD!$A$3:$A$5001,H$3,BD!$B$3:$B$5001,$A$501)))</f>
        <v/>
      </c>
      <c r="I510" s="172" t="str">
        <f>IF(I$3="","",IF(COUNTIFS(BD!$A$3:$A$5001,I$3,BD!$B$3:$B$5001,$A$501,BD!$L$3:$L$5001,"&lt;&gt;")=0,"",SUMIFS(BD!$L$3:$L$5001,BD!$A$3:$A$5001,I$3,BD!$B$3:$B$5001,$A$501)))</f>
        <v/>
      </c>
      <c r="J510" s="172" t="str">
        <f>IF(J$3="","",IF(COUNTIFS(BD!$A$3:$A$5001,J$3,BD!$B$3:$B$5001,$A$501,BD!$L$3:$L$5001,"&lt;&gt;")=0,"",SUMIFS(BD!$L$3:$L$5001,BD!$A$3:$A$5001,J$3,BD!$B$3:$B$5001,$A$501)))</f>
        <v/>
      </c>
      <c r="K510" s="172" t="str">
        <f>IF(K$3="","",IF(COUNTIFS(BD!$A$3:$A$5001,K$3,BD!$B$3:$B$5001,$A$501,BD!$L$3:$L$5001,"&lt;&gt;")=0,"",SUMIFS(BD!$L$3:$L$5001,BD!$A$3:$A$5001,K$3,BD!$B$3:$B$5001,$A$501)))</f>
        <v/>
      </c>
      <c r="L510" s="172" t="str">
        <f>IF(L$3="","",IF(COUNTIFS(BD!$A$3:$A$5001,L$3,BD!$B$3:$B$5001,$A$501,BD!$L$3:$L$5001,"&lt;&gt;")=0,"",SUMIFS(BD!$L$3:$L$5001,BD!$A$3:$A$5001,L$3,BD!$B$3:$B$5001,$A$501)))</f>
        <v/>
      </c>
      <c r="M510" s="172" t="str">
        <f>IF(M$3="","",IF(COUNTIFS(BD!$A$3:$A$5001,M$3,BD!$B$3:$B$5001,$A$501,BD!$L$3:$L$5001,"&lt;&gt;")=0,"",SUMIFS(BD!$L$3:$L$5001,BD!$A$3:$A$5001,M$3,BD!$B$3:$B$5001,$A$501)))</f>
        <v/>
      </c>
      <c r="N510" s="172" t="str">
        <f>IF(N$3="","",IF(COUNTIFS(BD!$A$3:$A$5001,N$3,BD!$B$3:$B$5001,$A$501,BD!$L$3:$L$5001,"&lt;&gt;")=0,"",SUMIFS(BD!$L$3:$L$5001,BD!$A$3:$A$5001,N$3,BD!$B$3:$B$5001,$A$501)))</f>
        <v/>
      </c>
      <c r="O510" s="172" t="str">
        <f>IF(O$3="","",IF(COUNTIFS(BD!$A$3:$A$5001,O$3,BD!$B$3:$B$5001,$A$501,BD!$L$3:$L$5001,"&lt;&gt;")=0,"",SUMIFS(BD!$L$3:$L$5001,BD!$A$3:$A$5001,O$3,BD!$B$3:$B$5001,$A$501)))</f>
        <v/>
      </c>
      <c r="P510" s="172" t="str">
        <f>IF(P$3="","",IF(COUNTIFS(BD!$A$3:$A$5001,P$3,BD!$B$3:$B$5001,$A$501,BD!$L$3:$L$5001,"&lt;&gt;")=0,"",SUMIFS(BD!$L$3:$L$5001,BD!$A$3:$A$5001,P$3,BD!$B$3:$B$5001,$A$501)))</f>
        <v/>
      </c>
      <c r="Q510" s="172" t="str">
        <f>IF(Q$3="","",IF(COUNTIFS(BD!$A$3:$A$5001,Q$3,BD!$B$3:$B$5001,$A$501,BD!$L$3:$L$5001,"&lt;&gt;")=0,"",SUMIFS(BD!$L$3:$L$5001,BD!$A$3:$A$5001,Q$3,BD!$B$3:$B$5001,$A$501)))</f>
        <v/>
      </c>
      <c r="R510" s="172" t="str">
        <f>IF(R$3="","",IF(COUNTIFS(BD!$A$3:$A$5001,R$3,BD!$B$3:$B$5001,$A$501,BD!$L$3:$L$5001,"&lt;&gt;")=0,"",SUMIFS(BD!$L$3:$L$5001,BD!$A$3:$A$5001,R$3,BD!$B$3:$B$5001,$A$501)))</f>
        <v/>
      </c>
      <c r="S510" s="172" t="str">
        <f>IF(S$3="","",IF(COUNTIFS(BD!$A$3:$A$5001,S$3,BD!$B$3:$B$5001,$A$501,BD!$L$3:$L$5001,"&lt;&gt;")=0,"",SUMIFS(BD!$L$3:$L$5001,BD!$A$3:$A$5001,S$3,BD!$B$3:$B$5001,$A$501)))</f>
        <v/>
      </c>
      <c r="T510" s="172" t="str">
        <f>IF(T$3="","",IF(COUNTIFS(BD!$A$3:$A$5001,T$3,BD!$B$3:$B$5001,$A$501,BD!$L$3:$L$5001,"&lt;&gt;")=0,"",SUMIFS(BD!$L$3:$L$5001,BD!$A$3:$A$5001,T$3,BD!$B$3:$B$5001,$A$501)))</f>
        <v/>
      </c>
      <c r="U510" s="172" t="str">
        <f>IF(U$3="","",IF(COUNTIFS(BD!$A$3:$A$5001,U$3,BD!$B$3:$B$5001,$A$501,BD!$L$3:$L$5001,"&lt;&gt;")=0,"",SUMIFS(BD!$L$3:$L$5001,BD!$A$3:$A$5001,U$3,BD!$B$3:$B$5001,$A$501)))</f>
        <v/>
      </c>
      <c r="V510" s="172" t="str">
        <f>IF(V$3="","",IF(COUNTIFS(BD!$A$3:$A$5001,V$3,BD!$B$3:$B$5001,$A$501,BD!$L$3:$L$5001,"&lt;&gt;")=0,"",SUMIFS(BD!$L$3:$L$5001,BD!$A$3:$A$5001,V$3,BD!$B$3:$B$5001,$A$501)))</f>
        <v/>
      </c>
      <c r="W510" s="172" t="str">
        <f>IF(W$3="","",IF(COUNTIFS(BD!$A$3:$A$5001,W$3,BD!$B$3:$B$5001,$A$501,BD!$L$3:$L$5001,"&lt;&gt;")=0,"",SUMIFS(BD!$L$3:$L$5001,BD!$A$3:$A$5001,W$3,BD!$B$3:$B$5001,$A$501)))</f>
        <v/>
      </c>
      <c r="X510" s="172" t="str">
        <f>IF(X$3="","",IF(COUNTIFS(BD!$A$3:$A$5001,X$3,BD!$B$3:$B$5001,$A$501,BD!$L$3:$L$5001,"&lt;&gt;")=0,"",SUMIFS(BD!$L$3:$L$5001,BD!$A$3:$A$5001,X$3,BD!$B$3:$B$5001,$A$501)))</f>
        <v/>
      </c>
      <c r="Y510" s="172" t="str">
        <f>IF(Y$3="","",IF(COUNTIFS(BD!$A$3:$A$5001,Y$3,BD!$B$3:$B$5001,$A$501,BD!$L$3:$L$5001,"&lt;&gt;")=0,"",SUMIFS(BD!$L$3:$L$5001,BD!$A$3:$A$5001,Y$3,BD!$B$3:$B$5001,$A$501)))</f>
        <v/>
      </c>
      <c r="Z510" s="172" t="str">
        <f>IF(Z$3="","",IF(COUNTIFS(BD!$A$3:$A$5001,Z$3,BD!$B$3:$B$5001,$A$501,BD!$L$3:$L$5001,"&lt;&gt;")=0,"",SUMIFS(BD!$L$3:$L$5001,BD!$A$3:$A$5001,Z$3,BD!$B$3:$B$5001,$A$501)))</f>
        <v/>
      </c>
      <c r="AA510" s="172" t="str">
        <f>IF(AA$3="","",IF(COUNTIFS(BD!$A$3:$A$5001,AA$3,BD!$B$3:$B$5001,$A$501,BD!$L$3:$L$5001,"&lt;&gt;")=0,"",SUMIFS(BD!$L$3:$L$5001,BD!$A$3:$A$5001,AA$3,BD!$B$3:$B$5001,$A$501)))</f>
        <v/>
      </c>
      <c r="AB510" s="172" t="str">
        <f>IF(AB$3="","",IF(COUNTIFS(BD!$A$3:$A$5001,AB$3,BD!$B$3:$B$5001,$A$501,BD!$L$3:$L$5001,"&lt;&gt;")=0,"",SUMIFS(BD!$L$3:$L$5001,BD!$A$3:$A$5001,AB$3,BD!$B$3:$B$5001,$A$501)))</f>
        <v/>
      </c>
      <c r="AC510" s="172" t="str">
        <f>IF(AC$3="","",IF(COUNTIFS(BD!$A$3:$A$5001,AC$3,BD!$B$3:$B$5001,$A$501,BD!$L$3:$L$5001,"&lt;&gt;")=0,"",SUMIFS(BD!$L$3:$L$5001,BD!$A$3:$A$5001,AC$3,BD!$B$3:$B$5001,$A$501)))</f>
        <v/>
      </c>
      <c r="AD510" s="172" t="str">
        <f>IF(AD$3="","",IF(COUNTIFS(BD!$A$3:$A$5001,AD$3,BD!$B$3:$B$5001,$A$501,BD!$L$3:$L$5001,"&lt;&gt;")=0,"",SUMIFS(BD!$L$3:$L$5001,BD!$A$3:$A$5001,AD$3,BD!$B$3:$B$5001,$A$501)))</f>
        <v/>
      </c>
      <c r="AE510" s="172" t="str">
        <f>IF(AE$3="","",IF(COUNTIFS(BD!$A$3:$A$5001,AE$3,BD!$B$3:$B$5001,$A$501,BD!$L$3:$L$5001,"&lt;&gt;")=0,"",SUMIFS(BD!$L$3:$L$5001,BD!$A$3:$A$5001,AE$3,BD!$B$3:$B$5001,$A$501)))</f>
        <v/>
      </c>
      <c r="AF510" s="172" t="str">
        <f>IF(AF$3="","",IF(COUNTIFS(BD!$A$3:$A$5001,AF$3,BD!$B$3:$B$5001,$A$501,BD!$L$3:$L$5001,"&lt;&gt;")=0,"",SUMIFS(BD!$L$3:$L$5001,BD!$A$3:$A$5001,AF$3,BD!$B$3:$B$5001,$A$501)))</f>
        <v/>
      </c>
      <c r="AG510" s="172" t="str">
        <f>IF(AG$3="","",IF(COUNTIFS(BD!$A$3:$A$5001,AG$3,BD!$B$3:$B$5001,$A$501,BD!$L$3:$L$5001,"&lt;&gt;")=0,"",SUMIFS(BD!$L$3:$L$5001,BD!$A$3:$A$5001,AG$3,BD!$B$3:$B$5001,$A$501)))</f>
        <v/>
      </c>
      <c r="AH510" s="172" t="str">
        <f>IF(AH$3="","",IF(COUNTIFS(BD!$A$3:$A$5001,AH$3,BD!$B$3:$B$5001,$A$501,BD!$L$3:$L$5001,"&lt;&gt;")=0,"",SUMIFS(BD!$L$3:$L$5001,BD!$A$3:$A$5001,AH$3,BD!$B$3:$B$5001,$A$501)))</f>
        <v/>
      </c>
      <c r="AI510" s="172" t="str">
        <f>IF(AI$3="","",IF(COUNTIFS(BD!$A$3:$A$5001,AI$3,BD!$B$3:$B$5001,$A$501,BD!$L$3:$L$5001,"&lt;&gt;")=0,"",SUMIFS(BD!$L$3:$L$5001,BD!$A$3:$A$5001,AI$3,BD!$B$3:$B$5001,$A$501)))</f>
        <v/>
      </c>
      <c r="AJ510" s="173" t="str">
        <f>IF(AJ$3="","",IF(COUNTIFS(BD!$A$3:$A$5001,AJ$3,BD!$B$3:$B$5001,$A$501,BD!$L$3:$L$5001,"&lt;&gt;")=0,"",SUMIFS(BD!$L$3:$L$5001,BD!$A$3:$A$5001,AJ$3,BD!$B$3:$B$5001,$A$501)))</f>
        <v/>
      </c>
      <c r="AK510" s="174" t="str">
        <f>IF(COUNT(F510:AJ510)=0,"",SUM(F510:AJ510))</f>
        <v/>
      </c>
    </row>
    <row r="511" ht="15.75" customHeight="1" hidden="1">
      <c r="A511" s="244"/>
      <c r="B511" s="261"/>
      <c r="C511" s="250" t="inlineStr">
        <is>
          <t xml:space="preserve">Pedidos Expedidos</t>
        </is>
      </c>
      <c r="D511" s="251" t="str">
        <f>IFERROR(1/(1/INDEX(BD!$AJ$33:$BD$33,MATCH($A$501,BD!$AJ$22:$BD$22,0))),"")</f>
        <v/>
      </c>
      <c r="E511" s="252"/>
      <c r="F511" s="253" t="str">
        <f>IF(F$3="","",IF(COUNTIFS(BD!$A$3:$A$5001,F$3,BD!$B$3:$B$5001,$A$501,BD!$M$3:$M$5001,"&lt;&gt;")=0,"",SUMIFS(BD!$M$3:$M$5001,BD!$A$3:$A$5001,F$3,BD!$B$3:$B$5001,$A$501)))</f>
        <v/>
      </c>
      <c r="G511" s="254" t="str">
        <f>IF(G$3="","",IF(COUNTIFS(BD!$A$3:$A$5001,G$3,BD!$B$3:$B$5001,$A$501,BD!$M$3:$M$5001,"&lt;&gt;")=0,"",SUMIFS(BD!$M$3:$M$5001,BD!$A$3:$A$5001,G$3,BD!$B$3:$B$5001,$A$501)))</f>
        <v/>
      </c>
      <c r="H511" s="254" t="str">
        <f>IF(H$3="","",IF(COUNTIFS(BD!$A$3:$A$5001,H$3,BD!$B$3:$B$5001,$A$501,BD!$M$3:$M$5001,"&lt;&gt;")=0,"",SUMIFS(BD!$M$3:$M$5001,BD!$A$3:$A$5001,H$3,BD!$B$3:$B$5001,$A$501)))</f>
        <v/>
      </c>
      <c r="I511" s="254" t="str">
        <f>IF(I$3="","",IF(COUNTIFS(BD!$A$3:$A$5001,I$3,BD!$B$3:$B$5001,$A$501,BD!$M$3:$M$5001,"&lt;&gt;")=0,"",SUMIFS(BD!$M$3:$M$5001,BD!$A$3:$A$5001,I$3,BD!$B$3:$B$5001,$A$501)))</f>
        <v/>
      </c>
      <c r="J511" s="254" t="str">
        <f>IF(J$3="","",IF(COUNTIFS(BD!$A$3:$A$5001,J$3,BD!$B$3:$B$5001,$A$501,BD!$M$3:$M$5001,"&lt;&gt;")=0,"",SUMIFS(BD!$M$3:$M$5001,BD!$A$3:$A$5001,J$3,BD!$B$3:$B$5001,$A$501)))</f>
        <v/>
      </c>
      <c r="K511" s="254" t="str">
        <f>IF(K$3="","",IF(COUNTIFS(BD!$A$3:$A$5001,K$3,BD!$B$3:$B$5001,$A$501,BD!$M$3:$M$5001,"&lt;&gt;")=0,"",SUMIFS(BD!$M$3:$M$5001,BD!$A$3:$A$5001,K$3,BD!$B$3:$B$5001,$A$501)))</f>
        <v/>
      </c>
      <c r="L511" s="254" t="str">
        <f>IF(L$3="","",IF(COUNTIFS(BD!$A$3:$A$5001,L$3,BD!$B$3:$B$5001,$A$501,BD!$M$3:$M$5001,"&lt;&gt;")=0,"",SUMIFS(BD!$M$3:$M$5001,BD!$A$3:$A$5001,L$3,BD!$B$3:$B$5001,$A$501)))</f>
        <v/>
      </c>
      <c r="M511" s="254" t="str">
        <f>IF(M$3="","",IF(COUNTIFS(BD!$A$3:$A$5001,M$3,BD!$B$3:$B$5001,$A$501,BD!$M$3:$M$5001,"&lt;&gt;")=0,"",SUMIFS(BD!$M$3:$M$5001,BD!$A$3:$A$5001,M$3,BD!$B$3:$B$5001,$A$501)))</f>
        <v/>
      </c>
      <c r="N511" s="254" t="str">
        <f>IF(N$3="","",IF(COUNTIFS(BD!$A$3:$A$5001,N$3,BD!$B$3:$B$5001,$A$501,BD!$M$3:$M$5001,"&lt;&gt;")=0,"",SUMIFS(BD!$M$3:$M$5001,BD!$A$3:$A$5001,N$3,BD!$B$3:$B$5001,$A$501)))</f>
        <v/>
      </c>
      <c r="O511" s="254" t="str">
        <f>IF(O$3="","",IF(COUNTIFS(BD!$A$3:$A$5001,O$3,BD!$B$3:$B$5001,$A$501,BD!$M$3:$M$5001,"&lt;&gt;")=0,"",SUMIFS(BD!$M$3:$M$5001,BD!$A$3:$A$5001,O$3,BD!$B$3:$B$5001,$A$501)))</f>
        <v/>
      </c>
      <c r="P511" s="254" t="str">
        <f>IF(P$3="","",IF(COUNTIFS(BD!$A$3:$A$5001,P$3,BD!$B$3:$B$5001,$A$501,BD!$M$3:$M$5001,"&lt;&gt;")=0,"",SUMIFS(BD!$M$3:$M$5001,BD!$A$3:$A$5001,P$3,BD!$B$3:$B$5001,$A$501)))</f>
        <v/>
      </c>
      <c r="Q511" s="254" t="str">
        <f>IF(Q$3="","",IF(COUNTIFS(BD!$A$3:$A$5001,Q$3,BD!$B$3:$B$5001,$A$501,BD!$M$3:$M$5001,"&lt;&gt;")=0,"",SUMIFS(BD!$M$3:$M$5001,BD!$A$3:$A$5001,Q$3,BD!$B$3:$B$5001,$A$501)))</f>
        <v/>
      </c>
      <c r="R511" s="254" t="str">
        <f>IF(R$3="","",IF(COUNTIFS(BD!$A$3:$A$5001,R$3,BD!$B$3:$B$5001,$A$501,BD!$M$3:$M$5001,"&lt;&gt;")=0,"",SUMIFS(BD!$M$3:$M$5001,BD!$A$3:$A$5001,R$3,BD!$B$3:$B$5001,$A$501)))</f>
        <v/>
      </c>
      <c r="S511" s="254" t="str">
        <f>IF(S$3="","",IF(COUNTIFS(BD!$A$3:$A$5001,S$3,BD!$B$3:$B$5001,$A$501,BD!$M$3:$M$5001,"&lt;&gt;")=0,"",SUMIFS(BD!$M$3:$M$5001,BD!$A$3:$A$5001,S$3,BD!$B$3:$B$5001,$A$501)))</f>
        <v/>
      </c>
      <c r="T511" s="254" t="str">
        <f>IF(T$3="","",IF(COUNTIFS(BD!$A$3:$A$5001,T$3,BD!$B$3:$B$5001,$A$501,BD!$M$3:$M$5001,"&lt;&gt;")=0,"",SUMIFS(BD!$M$3:$M$5001,BD!$A$3:$A$5001,T$3,BD!$B$3:$B$5001,$A$501)))</f>
        <v/>
      </c>
      <c r="U511" s="254" t="str">
        <f>IF(U$3="","",IF(COUNTIFS(BD!$A$3:$A$5001,U$3,BD!$B$3:$B$5001,$A$501,BD!$M$3:$M$5001,"&lt;&gt;")=0,"",SUMIFS(BD!$M$3:$M$5001,BD!$A$3:$A$5001,U$3,BD!$B$3:$B$5001,$A$501)))</f>
        <v/>
      </c>
      <c r="V511" s="254" t="str">
        <f>IF(V$3="","",IF(COUNTIFS(BD!$A$3:$A$5001,V$3,BD!$B$3:$B$5001,$A$501,BD!$M$3:$M$5001,"&lt;&gt;")=0,"",SUMIFS(BD!$M$3:$M$5001,BD!$A$3:$A$5001,V$3,BD!$B$3:$B$5001,$A$501)))</f>
        <v/>
      </c>
      <c r="W511" s="254" t="str">
        <f>IF(W$3="","",IF(COUNTIFS(BD!$A$3:$A$5001,W$3,BD!$B$3:$B$5001,$A$501,BD!$M$3:$M$5001,"&lt;&gt;")=0,"",SUMIFS(BD!$M$3:$M$5001,BD!$A$3:$A$5001,W$3,BD!$B$3:$B$5001,$A$501)))</f>
        <v/>
      </c>
      <c r="X511" s="254" t="str">
        <f>IF(X$3="","",IF(COUNTIFS(BD!$A$3:$A$5001,X$3,BD!$B$3:$B$5001,$A$501,BD!$M$3:$M$5001,"&lt;&gt;")=0,"",SUMIFS(BD!$M$3:$M$5001,BD!$A$3:$A$5001,X$3,BD!$B$3:$B$5001,$A$501)))</f>
        <v/>
      </c>
      <c r="Y511" s="254" t="str">
        <f>IF(Y$3="","",IF(COUNTIFS(BD!$A$3:$A$5001,Y$3,BD!$B$3:$B$5001,$A$501,BD!$M$3:$M$5001,"&lt;&gt;")=0,"",SUMIFS(BD!$M$3:$M$5001,BD!$A$3:$A$5001,Y$3,BD!$B$3:$B$5001,$A$501)))</f>
        <v/>
      </c>
      <c r="Z511" s="254" t="str">
        <f>IF(Z$3="","",IF(COUNTIFS(BD!$A$3:$A$5001,Z$3,BD!$B$3:$B$5001,$A$501,BD!$M$3:$M$5001,"&lt;&gt;")=0,"",SUMIFS(BD!$M$3:$M$5001,BD!$A$3:$A$5001,Z$3,BD!$B$3:$B$5001,$A$501)))</f>
        <v/>
      </c>
      <c r="AA511" s="254" t="str">
        <f>IF(AA$3="","",IF(COUNTIFS(BD!$A$3:$A$5001,AA$3,BD!$B$3:$B$5001,$A$501,BD!$M$3:$M$5001,"&lt;&gt;")=0,"",SUMIFS(BD!$M$3:$M$5001,BD!$A$3:$A$5001,AA$3,BD!$B$3:$B$5001,$A$501)))</f>
        <v/>
      </c>
      <c r="AB511" s="254" t="str">
        <f>IF(AB$3="","",IF(COUNTIFS(BD!$A$3:$A$5001,AB$3,BD!$B$3:$B$5001,$A$501,BD!$M$3:$M$5001,"&lt;&gt;")=0,"",SUMIFS(BD!$M$3:$M$5001,BD!$A$3:$A$5001,AB$3,BD!$B$3:$B$5001,$A$501)))</f>
        <v/>
      </c>
      <c r="AC511" s="254" t="str">
        <f>IF(AC$3="","",IF(COUNTIFS(BD!$A$3:$A$5001,AC$3,BD!$B$3:$B$5001,$A$501,BD!$M$3:$M$5001,"&lt;&gt;")=0,"",SUMIFS(BD!$M$3:$M$5001,BD!$A$3:$A$5001,AC$3,BD!$B$3:$B$5001,$A$501)))</f>
        <v/>
      </c>
      <c r="AD511" s="254" t="str">
        <f>IF(AD$3="","",IF(COUNTIFS(BD!$A$3:$A$5001,AD$3,BD!$B$3:$B$5001,$A$501,BD!$M$3:$M$5001,"&lt;&gt;")=0,"",SUMIFS(BD!$M$3:$M$5001,BD!$A$3:$A$5001,AD$3,BD!$B$3:$B$5001,$A$501)))</f>
        <v/>
      </c>
      <c r="AE511" s="254" t="str">
        <f>IF(AE$3="","",IF(COUNTIFS(BD!$A$3:$A$5001,AE$3,BD!$B$3:$B$5001,$A$501,BD!$M$3:$M$5001,"&lt;&gt;")=0,"",SUMIFS(BD!$M$3:$M$5001,BD!$A$3:$A$5001,AE$3,BD!$B$3:$B$5001,$A$501)))</f>
        <v/>
      </c>
      <c r="AF511" s="254" t="str">
        <f>IF(AF$3="","",IF(COUNTIFS(BD!$A$3:$A$5001,AF$3,BD!$B$3:$B$5001,$A$501,BD!$M$3:$M$5001,"&lt;&gt;")=0,"",SUMIFS(BD!$M$3:$M$5001,BD!$A$3:$A$5001,AF$3,BD!$B$3:$B$5001,$A$501)))</f>
        <v/>
      </c>
      <c r="AG511" s="254" t="str">
        <f>IF(AG$3="","",IF(COUNTIFS(BD!$A$3:$A$5001,AG$3,BD!$B$3:$B$5001,$A$501,BD!$M$3:$M$5001,"&lt;&gt;")=0,"",SUMIFS(BD!$M$3:$M$5001,BD!$A$3:$A$5001,AG$3,BD!$B$3:$B$5001,$A$501)))</f>
        <v/>
      </c>
      <c r="AH511" s="254" t="str">
        <f>IF(AH$3="","",IF(COUNTIFS(BD!$A$3:$A$5001,AH$3,BD!$B$3:$B$5001,$A$501,BD!$M$3:$M$5001,"&lt;&gt;")=0,"",SUMIFS(BD!$M$3:$M$5001,BD!$A$3:$A$5001,AH$3,BD!$B$3:$B$5001,$A$501)))</f>
        <v/>
      </c>
      <c r="AI511" s="254" t="str">
        <f>IF(AI$3="","",IF(COUNTIFS(BD!$A$3:$A$5001,AI$3,BD!$B$3:$B$5001,$A$501,BD!$M$3:$M$5001,"&lt;&gt;")=0,"",SUMIFS(BD!$M$3:$M$5001,BD!$A$3:$A$5001,AI$3,BD!$B$3:$B$5001,$A$501)))</f>
        <v/>
      </c>
      <c r="AJ511" s="255" t="str">
        <f>IF(AJ$3="","",IF(COUNTIFS(BD!$A$3:$A$5001,AJ$3,BD!$B$3:$B$5001,$A$501,BD!$M$3:$M$5001,"&lt;&gt;")=0,"",SUMIFS(BD!$M$3:$M$5001,BD!$A$3:$A$5001,AJ$3,BD!$B$3:$B$5001,$A$501)))</f>
        <v/>
      </c>
      <c r="AK511" s="256" t="str">
        <f>IF(COUNT(F511:AJ511)=0,"",SUM(F511:AJ511))</f>
        <v/>
      </c>
    </row>
    <row r="512" ht="15.75" customHeight="1" hidden="1">
      <c r="A512" s="244"/>
      <c r="B512" s="261"/>
      <c r="C512" s="250" t="inlineStr">
        <is>
          <t xml:space="preserve">Pedidos Faturados</t>
        </is>
      </c>
      <c r="D512" s="251" t="str">
        <f>IFERROR(1/(1/INDEX(BD!$AJ$34:$BD$34,MATCH($A$501,BD!$AJ$22:$BD$22,0))),"")</f>
        <v/>
      </c>
      <c r="E512" s="252"/>
      <c r="F512" s="253" t="str">
        <f>IF(F$3="","",IF(COUNTIFS(BD!$A$3:$A$5001,F$3,BD!$B$3:$B$5001,$A$501,BD!$N$3:$N$5001,"&lt;&gt;")=0,"",SUMIFS(BD!$N$3:$N$5001,BD!$A$3:$A$5001,F$3,BD!$B$3:$B$5001,$A$501)))</f>
        <v/>
      </c>
      <c r="G512" s="254" t="str">
        <f>IF(G$3="","",IF(COUNTIFS(BD!$A$3:$A$5001,G$3,BD!$B$3:$B$5001,$A$501,BD!$N$3:$N$5001,"&lt;&gt;")=0,"",SUMIFS(BD!$N$3:$N$5001,BD!$A$3:$A$5001,G$3,BD!$B$3:$B$5001,$A$501)))</f>
        <v/>
      </c>
      <c r="H512" s="254" t="str">
        <f>IF(H$3="","",IF(COUNTIFS(BD!$A$3:$A$5001,H$3,BD!$B$3:$B$5001,$A$501,BD!$N$3:$N$5001,"&lt;&gt;")=0,"",SUMIFS(BD!$N$3:$N$5001,BD!$A$3:$A$5001,H$3,BD!$B$3:$B$5001,$A$501)))</f>
        <v/>
      </c>
      <c r="I512" s="254" t="str">
        <f>IF(I$3="","",IF(COUNTIFS(BD!$A$3:$A$5001,I$3,BD!$B$3:$B$5001,$A$501,BD!$N$3:$N$5001,"&lt;&gt;")=0,"",SUMIFS(BD!$N$3:$N$5001,BD!$A$3:$A$5001,I$3,BD!$B$3:$B$5001,$A$501)))</f>
        <v/>
      </c>
      <c r="J512" s="254" t="str">
        <f>IF(J$3="","",IF(COUNTIFS(BD!$A$3:$A$5001,J$3,BD!$B$3:$B$5001,$A$501,BD!$N$3:$N$5001,"&lt;&gt;")=0,"",SUMIFS(BD!$N$3:$N$5001,BD!$A$3:$A$5001,J$3,BD!$B$3:$B$5001,$A$501)))</f>
        <v/>
      </c>
      <c r="K512" s="254" t="str">
        <f>IF(K$3="","",IF(COUNTIFS(BD!$A$3:$A$5001,K$3,BD!$B$3:$B$5001,$A$501,BD!$N$3:$N$5001,"&lt;&gt;")=0,"",SUMIFS(BD!$N$3:$N$5001,BD!$A$3:$A$5001,K$3,BD!$B$3:$B$5001,$A$501)))</f>
        <v/>
      </c>
      <c r="L512" s="254" t="str">
        <f>IF(L$3="","",IF(COUNTIFS(BD!$A$3:$A$5001,L$3,BD!$B$3:$B$5001,$A$501,BD!$N$3:$N$5001,"&lt;&gt;")=0,"",SUMIFS(BD!$N$3:$N$5001,BD!$A$3:$A$5001,L$3,BD!$B$3:$B$5001,$A$501)))</f>
        <v/>
      </c>
      <c r="M512" s="254" t="str">
        <f>IF(M$3="","",IF(COUNTIFS(BD!$A$3:$A$5001,M$3,BD!$B$3:$B$5001,$A$501,BD!$N$3:$N$5001,"&lt;&gt;")=0,"",SUMIFS(BD!$N$3:$N$5001,BD!$A$3:$A$5001,M$3,BD!$B$3:$B$5001,$A$501)))</f>
        <v/>
      </c>
      <c r="N512" s="254" t="str">
        <f>IF(N$3="","",IF(COUNTIFS(BD!$A$3:$A$5001,N$3,BD!$B$3:$B$5001,$A$501,BD!$N$3:$N$5001,"&lt;&gt;")=0,"",SUMIFS(BD!$N$3:$N$5001,BD!$A$3:$A$5001,N$3,BD!$B$3:$B$5001,$A$501)))</f>
        <v/>
      </c>
      <c r="O512" s="254" t="str">
        <f>IF(O$3="","",IF(COUNTIFS(BD!$A$3:$A$5001,O$3,BD!$B$3:$B$5001,$A$501,BD!$N$3:$N$5001,"&lt;&gt;")=0,"",SUMIFS(BD!$N$3:$N$5001,BD!$A$3:$A$5001,O$3,BD!$B$3:$B$5001,$A$501)))</f>
        <v/>
      </c>
      <c r="P512" s="254" t="str">
        <f>IF(P$3="","",IF(COUNTIFS(BD!$A$3:$A$5001,P$3,BD!$B$3:$B$5001,$A$501,BD!$N$3:$N$5001,"&lt;&gt;")=0,"",SUMIFS(BD!$N$3:$N$5001,BD!$A$3:$A$5001,P$3,BD!$B$3:$B$5001,$A$501)))</f>
        <v/>
      </c>
      <c r="Q512" s="254" t="str">
        <f>IF(Q$3="","",IF(COUNTIFS(BD!$A$3:$A$5001,Q$3,BD!$B$3:$B$5001,$A$501,BD!$N$3:$N$5001,"&lt;&gt;")=0,"",SUMIFS(BD!$N$3:$N$5001,BD!$A$3:$A$5001,Q$3,BD!$B$3:$B$5001,$A$501)))</f>
        <v/>
      </c>
      <c r="R512" s="254" t="str">
        <f>IF(R$3="","",IF(COUNTIFS(BD!$A$3:$A$5001,R$3,BD!$B$3:$B$5001,$A$501,BD!$N$3:$N$5001,"&lt;&gt;")=0,"",SUMIFS(BD!$N$3:$N$5001,BD!$A$3:$A$5001,R$3,BD!$B$3:$B$5001,$A$501)))</f>
        <v/>
      </c>
      <c r="S512" s="254" t="str">
        <f>IF(S$3="","",IF(COUNTIFS(BD!$A$3:$A$5001,S$3,BD!$B$3:$B$5001,$A$501,BD!$N$3:$N$5001,"&lt;&gt;")=0,"",SUMIFS(BD!$N$3:$N$5001,BD!$A$3:$A$5001,S$3,BD!$B$3:$B$5001,$A$501)))</f>
        <v/>
      </c>
      <c r="T512" s="254" t="str">
        <f>IF(T$3="","",IF(COUNTIFS(BD!$A$3:$A$5001,T$3,BD!$B$3:$B$5001,$A$501,BD!$N$3:$N$5001,"&lt;&gt;")=0,"",SUMIFS(BD!$N$3:$N$5001,BD!$A$3:$A$5001,T$3,BD!$B$3:$B$5001,$A$501)))</f>
        <v/>
      </c>
      <c r="U512" s="254" t="str">
        <f>IF(U$3="","",IF(COUNTIFS(BD!$A$3:$A$5001,U$3,BD!$B$3:$B$5001,$A$501,BD!$N$3:$N$5001,"&lt;&gt;")=0,"",SUMIFS(BD!$N$3:$N$5001,BD!$A$3:$A$5001,U$3,BD!$B$3:$B$5001,$A$501)))</f>
        <v/>
      </c>
      <c r="V512" s="254" t="str">
        <f>IF(V$3="","",IF(COUNTIFS(BD!$A$3:$A$5001,V$3,BD!$B$3:$B$5001,$A$501,BD!$N$3:$N$5001,"&lt;&gt;")=0,"",SUMIFS(BD!$N$3:$N$5001,BD!$A$3:$A$5001,V$3,BD!$B$3:$B$5001,$A$501)))</f>
        <v/>
      </c>
      <c r="W512" s="254" t="str">
        <f>IF(W$3="","",IF(COUNTIFS(BD!$A$3:$A$5001,W$3,BD!$B$3:$B$5001,$A$501,BD!$N$3:$N$5001,"&lt;&gt;")=0,"",SUMIFS(BD!$N$3:$N$5001,BD!$A$3:$A$5001,W$3,BD!$B$3:$B$5001,$A$501)))</f>
        <v/>
      </c>
      <c r="X512" s="254" t="str">
        <f>IF(X$3="","",IF(COUNTIFS(BD!$A$3:$A$5001,X$3,BD!$B$3:$B$5001,$A$501,BD!$N$3:$N$5001,"&lt;&gt;")=0,"",SUMIFS(BD!$N$3:$N$5001,BD!$A$3:$A$5001,X$3,BD!$B$3:$B$5001,$A$501)))</f>
        <v/>
      </c>
      <c r="Y512" s="254" t="str">
        <f>IF(Y$3="","",IF(COUNTIFS(BD!$A$3:$A$5001,Y$3,BD!$B$3:$B$5001,$A$501,BD!$N$3:$N$5001,"&lt;&gt;")=0,"",SUMIFS(BD!$N$3:$N$5001,BD!$A$3:$A$5001,Y$3,BD!$B$3:$B$5001,$A$501)))</f>
        <v/>
      </c>
      <c r="Z512" s="254" t="str">
        <f>IF(Z$3="","",IF(COUNTIFS(BD!$A$3:$A$5001,Z$3,BD!$B$3:$B$5001,$A$501,BD!$N$3:$N$5001,"&lt;&gt;")=0,"",SUMIFS(BD!$N$3:$N$5001,BD!$A$3:$A$5001,Z$3,BD!$B$3:$B$5001,$A$501)))</f>
        <v/>
      </c>
      <c r="AA512" s="254" t="str">
        <f>IF(AA$3="","",IF(COUNTIFS(BD!$A$3:$A$5001,AA$3,BD!$B$3:$B$5001,$A$501,BD!$N$3:$N$5001,"&lt;&gt;")=0,"",SUMIFS(BD!$N$3:$N$5001,BD!$A$3:$A$5001,AA$3,BD!$B$3:$B$5001,$A$501)))</f>
        <v/>
      </c>
      <c r="AB512" s="254" t="str">
        <f>IF(AB$3="","",IF(COUNTIFS(BD!$A$3:$A$5001,AB$3,BD!$B$3:$B$5001,$A$501,BD!$N$3:$N$5001,"&lt;&gt;")=0,"",SUMIFS(BD!$N$3:$N$5001,BD!$A$3:$A$5001,AB$3,BD!$B$3:$B$5001,$A$501)))</f>
        <v/>
      </c>
      <c r="AC512" s="254" t="str">
        <f>IF(AC$3="","",IF(COUNTIFS(BD!$A$3:$A$5001,AC$3,BD!$B$3:$B$5001,$A$501,BD!$N$3:$N$5001,"&lt;&gt;")=0,"",SUMIFS(BD!$N$3:$N$5001,BD!$A$3:$A$5001,AC$3,BD!$B$3:$B$5001,$A$501)))</f>
        <v/>
      </c>
      <c r="AD512" s="254" t="str">
        <f>IF(AD$3="","",IF(COUNTIFS(BD!$A$3:$A$5001,AD$3,BD!$B$3:$B$5001,$A$501,BD!$N$3:$N$5001,"&lt;&gt;")=0,"",SUMIFS(BD!$N$3:$N$5001,BD!$A$3:$A$5001,AD$3,BD!$B$3:$B$5001,$A$501)))</f>
        <v/>
      </c>
      <c r="AE512" s="254" t="str">
        <f>IF(AE$3="","",IF(COUNTIFS(BD!$A$3:$A$5001,AE$3,BD!$B$3:$B$5001,$A$501,BD!$N$3:$N$5001,"&lt;&gt;")=0,"",SUMIFS(BD!$N$3:$N$5001,BD!$A$3:$A$5001,AE$3,BD!$B$3:$B$5001,$A$501)))</f>
        <v/>
      </c>
      <c r="AF512" s="254" t="str">
        <f>IF(AF$3="","",IF(COUNTIFS(BD!$A$3:$A$5001,AF$3,BD!$B$3:$B$5001,$A$501,BD!$N$3:$N$5001,"&lt;&gt;")=0,"",SUMIFS(BD!$N$3:$N$5001,BD!$A$3:$A$5001,AF$3,BD!$B$3:$B$5001,$A$501)))</f>
        <v/>
      </c>
      <c r="AG512" s="254" t="str">
        <f>IF(AG$3="","",IF(COUNTIFS(BD!$A$3:$A$5001,AG$3,BD!$B$3:$B$5001,$A$501,BD!$N$3:$N$5001,"&lt;&gt;")=0,"",SUMIFS(BD!$N$3:$N$5001,BD!$A$3:$A$5001,AG$3,BD!$B$3:$B$5001,$A$501)))</f>
        <v/>
      </c>
      <c r="AH512" s="254" t="str">
        <f>IF(AH$3="","",IF(COUNTIFS(BD!$A$3:$A$5001,AH$3,BD!$B$3:$B$5001,$A$501,BD!$N$3:$N$5001,"&lt;&gt;")=0,"",SUMIFS(BD!$N$3:$N$5001,BD!$A$3:$A$5001,AH$3,BD!$B$3:$B$5001,$A$501)))</f>
        <v/>
      </c>
      <c r="AI512" s="254" t="str">
        <f>IF(AI$3="","",IF(COUNTIFS(BD!$A$3:$A$5001,AI$3,BD!$B$3:$B$5001,$A$501,BD!$N$3:$N$5001,"&lt;&gt;")=0,"",SUMIFS(BD!$N$3:$N$5001,BD!$A$3:$A$5001,AI$3,BD!$B$3:$B$5001,$A$501)))</f>
        <v/>
      </c>
      <c r="AJ512" s="255" t="str">
        <f>IF(AJ$3="","",IF(COUNTIFS(BD!$A$3:$A$5001,AJ$3,BD!$B$3:$B$5001,$A$501,BD!$N$3:$N$5001,"&lt;&gt;")=0,"",SUMIFS(BD!$N$3:$N$5001,BD!$A$3:$A$5001,AJ$3,BD!$B$3:$B$5001,$A$501)))</f>
        <v/>
      </c>
      <c r="AK512" s="256" t="str">
        <f>IF(COUNT(F512:AJ512)=0,"",SUM(F512:AJ512))</f>
        <v/>
      </c>
    </row>
    <row r="513" ht="15.75" customHeight="1" hidden="1">
      <c r="A513" s="244"/>
      <c r="B513" s="261"/>
      <c r="C513" s="250" t="inlineStr">
        <is>
          <t xml:space="preserve">Itens Expedidos</t>
        </is>
      </c>
      <c r="D513" s="251" t="str">
        <f>IFERROR(1/(1/INDEX(BD!$AJ$35:$BD$35,MATCH($A$501,BD!$AJ$22:$BD$22,0))),"")</f>
        <v/>
      </c>
      <c r="E513" s="252"/>
      <c r="F513" s="253" t="str">
        <f>IF(F$3="","",IF(COUNTIFS(BD!$A$3:$A$5001,F$3,BD!$B$3:$B$5001,$A$501,BD!$O$3:$O$5001,"&lt;&gt;")=0,"",SUMIFS(BD!$O$3:$O$5001,BD!$A$3:$A$5001,F$3,BD!$B$3:$B$5001,$A$501)))</f>
        <v/>
      </c>
      <c r="G513" s="254" t="str">
        <f>IF(G$3="","",IF(COUNTIFS(BD!$A$3:$A$5001,G$3,BD!$B$3:$B$5001,$A$501,BD!$O$3:$O$5001,"&lt;&gt;")=0,"",SUMIFS(BD!$O$3:$O$5001,BD!$A$3:$A$5001,G$3,BD!$B$3:$B$5001,$A$501)))</f>
        <v/>
      </c>
      <c r="H513" s="254" t="str">
        <f>IF(H$3="","",IF(COUNTIFS(BD!$A$3:$A$5001,H$3,BD!$B$3:$B$5001,$A$501,BD!$O$3:$O$5001,"&lt;&gt;")=0,"",SUMIFS(BD!$O$3:$O$5001,BD!$A$3:$A$5001,H$3,BD!$B$3:$B$5001,$A$501)))</f>
        <v/>
      </c>
      <c r="I513" s="254" t="str">
        <f>IF(I$3="","",IF(COUNTIFS(BD!$A$3:$A$5001,I$3,BD!$B$3:$B$5001,$A$501,BD!$O$3:$O$5001,"&lt;&gt;")=0,"",SUMIFS(BD!$O$3:$O$5001,BD!$A$3:$A$5001,I$3,BD!$B$3:$B$5001,$A$501)))</f>
        <v/>
      </c>
      <c r="J513" s="254" t="str">
        <f>IF(J$3="","",IF(COUNTIFS(BD!$A$3:$A$5001,J$3,BD!$B$3:$B$5001,$A$501,BD!$O$3:$O$5001,"&lt;&gt;")=0,"",SUMIFS(BD!$O$3:$O$5001,BD!$A$3:$A$5001,J$3,BD!$B$3:$B$5001,$A$501)))</f>
        <v/>
      </c>
      <c r="K513" s="254" t="str">
        <f>IF(K$3="","",IF(COUNTIFS(BD!$A$3:$A$5001,K$3,BD!$B$3:$B$5001,$A$501,BD!$O$3:$O$5001,"&lt;&gt;")=0,"",SUMIFS(BD!$O$3:$O$5001,BD!$A$3:$A$5001,K$3,BD!$B$3:$B$5001,$A$501)))</f>
        <v/>
      </c>
      <c r="L513" s="254" t="str">
        <f>IF(L$3="","",IF(COUNTIFS(BD!$A$3:$A$5001,L$3,BD!$B$3:$B$5001,$A$501,BD!$O$3:$O$5001,"&lt;&gt;")=0,"",SUMIFS(BD!$O$3:$O$5001,BD!$A$3:$A$5001,L$3,BD!$B$3:$B$5001,$A$501)))</f>
        <v/>
      </c>
      <c r="M513" s="254" t="str">
        <f>IF(M$3="","",IF(COUNTIFS(BD!$A$3:$A$5001,M$3,BD!$B$3:$B$5001,$A$501,BD!$O$3:$O$5001,"&lt;&gt;")=0,"",SUMIFS(BD!$O$3:$O$5001,BD!$A$3:$A$5001,M$3,BD!$B$3:$B$5001,$A$501)))</f>
        <v/>
      </c>
      <c r="N513" s="254" t="str">
        <f>IF(N$3="","",IF(COUNTIFS(BD!$A$3:$A$5001,N$3,BD!$B$3:$B$5001,$A$501,BD!$O$3:$O$5001,"&lt;&gt;")=0,"",SUMIFS(BD!$O$3:$O$5001,BD!$A$3:$A$5001,N$3,BD!$B$3:$B$5001,$A$501)))</f>
        <v/>
      </c>
      <c r="O513" s="254" t="str">
        <f>IF(O$3="","",IF(COUNTIFS(BD!$A$3:$A$5001,O$3,BD!$B$3:$B$5001,$A$501,BD!$O$3:$O$5001,"&lt;&gt;")=0,"",SUMIFS(BD!$O$3:$O$5001,BD!$A$3:$A$5001,O$3,BD!$B$3:$B$5001,$A$501)))</f>
        <v/>
      </c>
      <c r="P513" s="254" t="str">
        <f>IF(P$3="","",IF(COUNTIFS(BD!$A$3:$A$5001,P$3,BD!$B$3:$B$5001,$A$501,BD!$O$3:$O$5001,"&lt;&gt;")=0,"",SUMIFS(BD!$O$3:$O$5001,BD!$A$3:$A$5001,P$3,BD!$B$3:$B$5001,$A$501)))</f>
        <v/>
      </c>
      <c r="Q513" s="254" t="str">
        <f>IF(Q$3="","",IF(COUNTIFS(BD!$A$3:$A$5001,Q$3,BD!$B$3:$B$5001,$A$501,BD!$O$3:$O$5001,"&lt;&gt;")=0,"",SUMIFS(BD!$O$3:$O$5001,BD!$A$3:$A$5001,Q$3,BD!$B$3:$B$5001,$A$501)))</f>
        <v/>
      </c>
      <c r="R513" s="254" t="str">
        <f>IF(R$3="","",IF(COUNTIFS(BD!$A$3:$A$5001,R$3,BD!$B$3:$B$5001,$A$501,BD!$O$3:$O$5001,"&lt;&gt;")=0,"",SUMIFS(BD!$O$3:$O$5001,BD!$A$3:$A$5001,R$3,BD!$B$3:$B$5001,$A$501)))</f>
        <v/>
      </c>
      <c r="S513" s="254" t="str">
        <f>IF(S$3="","",IF(COUNTIFS(BD!$A$3:$A$5001,S$3,BD!$B$3:$B$5001,$A$501,BD!$O$3:$O$5001,"&lt;&gt;")=0,"",SUMIFS(BD!$O$3:$O$5001,BD!$A$3:$A$5001,S$3,BD!$B$3:$B$5001,$A$501)))</f>
        <v/>
      </c>
      <c r="T513" s="254" t="str">
        <f>IF(T$3="","",IF(COUNTIFS(BD!$A$3:$A$5001,T$3,BD!$B$3:$B$5001,$A$501,BD!$O$3:$O$5001,"&lt;&gt;")=0,"",SUMIFS(BD!$O$3:$O$5001,BD!$A$3:$A$5001,T$3,BD!$B$3:$B$5001,$A$501)))</f>
        <v/>
      </c>
      <c r="U513" s="254" t="str">
        <f>IF(U$3="","",IF(COUNTIFS(BD!$A$3:$A$5001,U$3,BD!$B$3:$B$5001,$A$501,BD!$O$3:$O$5001,"&lt;&gt;")=0,"",SUMIFS(BD!$O$3:$O$5001,BD!$A$3:$A$5001,U$3,BD!$B$3:$B$5001,$A$501)))</f>
        <v/>
      </c>
      <c r="V513" s="254" t="str">
        <f>IF(V$3="","",IF(COUNTIFS(BD!$A$3:$A$5001,V$3,BD!$B$3:$B$5001,$A$501,BD!$O$3:$O$5001,"&lt;&gt;")=0,"",SUMIFS(BD!$O$3:$O$5001,BD!$A$3:$A$5001,V$3,BD!$B$3:$B$5001,$A$501)))</f>
        <v/>
      </c>
      <c r="W513" s="254" t="str">
        <f>IF(W$3="","",IF(COUNTIFS(BD!$A$3:$A$5001,W$3,BD!$B$3:$B$5001,$A$501,BD!$O$3:$O$5001,"&lt;&gt;")=0,"",SUMIFS(BD!$O$3:$O$5001,BD!$A$3:$A$5001,W$3,BD!$B$3:$B$5001,$A$501)))</f>
        <v/>
      </c>
      <c r="X513" s="254" t="str">
        <f>IF(X$3="","",IF(COUNTIFS(BD!$A$3:$A$5001,X$3,BD!$B$3:$B$5001,$A$501,BD!$O$3:$O$5001,"&lt;&gt;")=0,"",SUMIFS(BD!$O$3:$O$5001,BD!$A$3:$A$5001,X$3,BD!$B$3:$B$5001,$A$501)))</f>
        <v/>
      </c>
      <c r="Y513" s="254" t="str">
        <f>IF(Y$3="","",IF(COUNTIFS(BD!$A$3:$A$5001,Y$3,BD!$B$3:$B$5001,$A$501,BD!$O$3:$O$5001,"&lt;&gt;")=0,"",SUMIFS(BD!$O$3:$O$5001,BD!$A$3:$A$5001,Y$3,BD!$B$3:$B$5001,$A$501)))</f>
        <v/>
      </c>
      <c r="Z513" s="254" t="str">
        <f>IF(Z$3="","",IF(COUNTIFS(BD!$A$3:$A$5001,Z$3,BD!$B$3:$B$5001,$A$501,BD!$O$3:$O$5001,"&lt;&gt;")=0,"",SUMIFS(BD!$O$3:$O$5001,BD!$A$3:$A$5001,Z$3,BD!$B$3:$B$5001,$A$501)))</f>
        <v/>
      </c>
      <c r="AA513" s="254" t="str">
        <f>IF(AA$3="","",IF(COUNTIFS(BD!$A$3:$A$5001,AA$3,BD!$B$3:$B$5001,$A$501,BD!$O$3:$O$5001,"&lt;&gt;")=0,"",SUMIFS(BD!$O$3:$O$5001,BD!$A$3:$A$5001,AA$3,BD!$B$3:$B$5001,$A$501)))</f>
        <v/>
      </c>
      <c r="AB513" s="254" t="str">
        <f>IF(AB$3="","",IF(COUNTIFS(BD!$A$3:$A$5001,AB$3,BD!$B$3:$B$5001,$A$501,BD!$O$3:$O$5001,"&lt;&gt;")=0,"",SUMIFS(BD!$O$3:$O$5001,BD!$A$3:$A$5001,AB$3,BD!$B$3:$B$5001,$A$501)))</f>
        <v/>
      </c>
      <c r="AC513" s="254" t="str">
        <f>IF(AC$3="","",IF(COUNTIFS(BD!$A$3:$A$5001,AC$3,BD!$B$3:$B$5001,$A$501,BD!$O$3:$O$5001,"&lt;&gt;")=0,"",SUMIFS(BD!$O$3:$O$5001,BD!$A$3:$A$5001,AC$3,BD!$B$3:$B$5001,$A$501)))</f>
        <v/>
      </c>
      <c r="AD513" s="254" t="str">
        <f>IF(AD$3="","",IF(COUNTIFS(BD!$A$3:$A$5001,AD$3,BD!$B$3:$B$5001,$A$501,BD!$O$3:$O$5001,"&lt;&gt;")=0,"",SUMIFS(BD!$O$3:$O$5001,BD!$A$3:$A$5001,AD$3,BD!$B$3:$B$5001,$A$501)))</f>
        <v/>
      </c>
      <c r="AE513" s="254" t="str">
        <f>IF(AE$3="","",IF(COUNTIFS(BD!$A$3:$A$5001,AE$3,BD!$B$3:$B$5001,$A$501,BD!$O$3:$O$5001,"&lt;&gt;")=0,"",SUMIFS(BD!$O$3:$O$5001,BD!$A$3:$A$5001,AE$3,BD!$B$3:$B$5001,$A$501)))</f>
        <v/>
      </c>
      <c r="AF513" s="254" t="str">
        <f>IF(AF$3="","",IF(COUNTIFS(BD!$A$3:$A$5001,AF$3,BD!$B$3:$B$5001,$A$501,BD!$O$3:$O$5001,"&lt;&gt;")=0,"",SUMIFS(BD!$O$3:$O$5001,BD!$A$3:$A$5001,AF$3,BD!$B$3:$B$5001,$A$501)))</f>
        <v/>
      </c>
      <c r="AG513" s="254" t="str">
        <f>IF(AG$3="","",IF(COUNTIFS(BD!$A$3:$A$5001,AG$3,BD!$B$3:$B$5001,$A$501,BD!$O$3:$O$5001,"&lt;&gt;")=0,"",SUMIFS(BD!$O$3:$O$5001,BD!$A$3:$A$5001,AG$3,BD!$B$3:$B$5001,$A$501)))</f>
        <v/>
      </c>
      <c r="AH513" s="254" t="str">
        <f>IF(AH$3="","",IF(COUNTIFS(BD!$A$3:$A$5001,AH$3,BD!$B$3:$B$5001,$A$501,BD!$O$3:$O$5001,"&lt;&gt;")=0,"",SUMIFS(BD!$O$3:$O$5001,BD!$A$3:$A$5001,AH$3,BD!$B$3:$B$5001,$A$501)))</f>
        <v/>
      </c>
      <c r="AI513" s="254" t="str">
        <f>IF(AI$3="","",IF(COUNTIFS(BD!$A$3:$A$5001,AI$3,BD!$B$3:$B$5001,$A$501,BD!$O$3:$O$5001,"&lt;&gt;")=0,"",SUMIFS(BD!$O$3:$O$5001,BD!$A$3:$A$5001,AI$3,BD!$B$3:$B$5001,$A$501)))</f>
        <v/>
      </c>
      <c r="AJ513" s="255" t="str">
        <f>IF(AJ$3="","",IF(COUNTIFS(BD!$A$3:$A$5001,AJ$3,BD!$B$3:$B$5001,$A$501,BD!$O$3:$O$5001,"&lt;&gt;")=0,"",SUMIFS(BD!$O$3:$O$5001,BD!$A$3:$A$5001,AJ$3,BD!$B$3:$B$5001,$A$501)))</f>
        <v/>
      </c>
      <c r="AK513" s="256" t="str">
        <f>IF(COUNT(F513:AJ513)=0,"",SUM(F513:AJ513))</f>
        <v/>
      </c>
    </row>
    <row r="514" ht="15.75" customHeight="1" hidden="1">
      <c r="A514" s="244"/>
      <c r="B514" s="261"/>
      <c r="C514" s="250" t="inlineStr">
        <is>
          <t xml:space="preserve">Linhas NF</t>
        </is>
      </c>
      <c r="D514" s="251" t="str">
        <f>IFERROR(1/(1/INDEX(BD!$AJ$36:$BD$36,MATCH($A$501,BD!$AJ$22:$BD$22,0))),"")</f>
        <v/>
      </c>
      <c r="E514" s="252"/>
      <c r="F514" s="253" t="str">
        <f>IF(F$3="","",IF(COUNTIFS(BD!$A$3:$A$5001,F$3,BD!$B$3:$B$5001,$A$501,BD!$P$3:$P$5001,"&lt;&gt;")=0,"",SUMIFS(BD!$P$3:$P$5001,BD!$A$3:$A$5001,F$3,BD!$B$3:$B$5001,$A$501)))</f>
        <v/>
      </c>
      <c r="G514" s="254" t="str">
        <f>IF(G$3="","",IF(COUNTIFS(BD!$A$3:$A$5001,G$3,BD!$B$3:$B$5001,$A$501,BD!$P$3:$P$5001,"&lt;&gt;")=0,"",SUMIFS(BD!$P$3:$P$5001,BD!$A$3:$A$5001,G$3,BD!$B$3:$B$5001,$A$501)))</f>
        <v/>
      </c>
      <c r="H514" s="254" t="str">
        <f>IF(H$3="","",IF(COUNTIFS(BD!$A$3:$A$5001,H$3,BD!$B$3:$B$5001,$A$501,BD!$P$3:$P$5001,"&lt;&gt;")=0,"",SUMIFS(BD!$P$3:$P$5001,BD!$A$3:$A$5001,H$3,BD!$B$3:$B$5001,$A$501)))</f>
        <v/>
      </c>
      <c r="I514" s="254" t="str">
        <f>IF(I$3="","",IF(COUNTIFS(BD!$A$3:$A$5001,I$3,BD!$B$3:$B$5001,$A$501,BD!$P$3:$P$5001,"&lt;&gt;")=0,"",SUMIFS(BD!$P$3:$P$5001,BD!$A$3:$A$5001,I$3,BD!$B$3:$B$5001,$A$501)))</f>
        <v/>
      </c>
      <c r="J514" s="254" t="str">
        <f>IF(J$3="","",IF(COUNTIFS(BD!$A$3:$A$5001,J$3,BD!$B$3:$B$5001,$A$501,BD!$P$3:$P$5001,"&lt;&gt;")=0,"",SUMIFS(BD!$P$3:$P$5001,BD!$A$3:$A$5001,J$3,BD!$B$3:$B$5001,$A$501)))</f>
        <v/>
      </c>
      <c r="K514" s="254" t="str">
        <f>IF(K$3="","",IF(COUNTIFS(BD!$A$3:$A$5001,K$3,BD!$B$3:$B$5001,$A$501,BD!$P$3:$P$5001,"&lt;&gt;")=0,"",SUMIFS(BD!$P$3:$P$5001,BD!$A$3:$A$5001,K$3,BD!$B$3:$B$5001,$A$501)))</f>
        <v/>
      </c>
      <c r="L514" s="254" t="str">
        <f>IF(L$3="","",IF(COUNTIFS(BD!$A$3:$A$5001,L$3,BD!$B$3:$B$5001,$A$501,BD!$P$3:$P$5001,"&lt;&gt;")=0,"",SUMIFS(BD!$P$3:$P$5001,BD!$A$3:$A$5001,L$3,BD!$B$3:$B$5001,$A$501)))</f>
        <v/>
      </c>
      <c r="M514" s="254" t="str">
        <f>IF(M$3="","",IF(COUNTIFS(BD!$A$3:$A$5001,M$3,BD!$B$3:$B$5001,$A$501,BD!$P$3:$P$5001,"&lt;&gt;")=0,"",SUMIFS(BD!$P$3:$P$5001,BD!$A$3:$A$5001,M$3,BD!$B$3:$B$5001,$A$501)))</f>
        <v/>
      </c>
      <c r="N514" s="254" t="str">
        <f>IF(N$3="","",IF(COUNTIFS(BD!$A$3:$A$5001,N$3,BD!$B$3:$B$5001,$A$501,BD!$P$3:$P$5001,"&lt;&gt;")=0,"",SUMIFS(BD!$P$3:$P$5001,BD!$A$3:$A$5001,N$3,BD!$B$3:$B$5001,$A$501)))</f>
        <v/>
      </c>
      <c r="O514" s="254" t="str">
        <f>IF(O$3="","",IF(COUNTIFS(BD!$A$3:$A$5001,O$3,BD!$B$3:$B$5001,$A$501,BD!$P$3:$P$5001,"&lt;&gt;")=0,"",SUMIFS(BD!$P$3:$P$5001,BD!$A$3:$A$5001,O$3,BD!$B$3:$B$5001,$A$501)))</f>
        <v/>
      </c>
      <c r="P514" s="254" t="str">
        <f>IF(P$3="","",IF(COUNTIFS(BD!$A$3:$A$5001,P$3,BD!$B$3:$B$5001,$A$501,BD!$P$3:$P$5001,"&lt;&gt;")=0,"",SUMIFS(BD!$P$3:$P$5001,BD!$A$3:$A$5001,P$3,BD!$B$3:$B$5001,$A$501)))</f>
        <v/>
      </c>
      <c r="Q514" s="254" t="str">
        <f>IF(Q$3="","",IF(COUNTIFS(BD!$A$3:$A$5001,Q$3,BD!$B$3:$B$5001,$A$501,BD!$P$3:$P$5001,"&lt;&gt;")=0,"",SUMIFS(BD!$P$3:$P$5001,BD!$A$3:$A$5001,Q$3,BD!$B$3:$B$5001,$A$501)))</f>
        <v/>
      </c>
      <c r="R514" s="254" t="str">
        <f>IF(R$3="","",IF(COUNTIFS(BD!$A$3:$A$5001,R$3,BD!$B$3:$B$5001,$A$501,BD!$P$3:$P$5001,"&lt;&gt;")=0,"",SUMIFS(BD!$P$3:$P$5001,BD!$A$3:$A$5001,R$3,BD!$B$3:$B$5001,$A$501)))</f>
        <v/>
      </c>
      <c r="S514" s="254" t="str">
        <f>IF(S$3="","",IF(COUNTIFS(BD!$A$3:$A$5001,S$3,BD!$B$3:$B$5001,$A$501,BD!$P$3:$P$5001,"&lt;&gt;")=0,"",SUMIFS(BD!$P$3:$P$5001,BD!$A$3:$A$5001,S$3,BD!$B$3:$B$5001,$A$501)))</f>
        <v/>
      </c>
      <c r="T514" s="254" t="str">
        <f>IF(T$3="","",IF(COUNTIFS(BD!$A$3:$A$5001,T$3,BD!$B$3:$B$5001,$A$501,BD!$P$3:$P$5001,"&lt;&gt;")=0,"",SUMIFS(BD!$P$3:$P$5001,BD!$A$3:$A$5001,T$3,BD!$B$3:$B$5001,$A$501)))</f>
        <v/>
      </c>
      <c r="U514" s="254" t="str">
        <f>IF(U$3="","",IF(COUNTIFS(BD!$A$3:$A$5001,U$3,BD!$B$3:$B$5001,$A$501,BD!$P$3:$P$5001,"&lt;&gt;")=0,"",SUMIFS(BD!$P$3:$P$5001,BD!$A$3:$A$5001,U$3,BD!$B$3:$B$5001,$A$501)))</f>
        <v/>
      </c>
      <c r="V514" s="254" t="str">
        <f>IF(V$3="","",IF(COUNTIFS(BD!$A$3:$A$5001,V$3,BD!$B$3:$B$5001,$A$501,BD!$P$3:$P$5001,"&lt;&gt;")=0,"",SUMIFS(BD!$P$3:$P$5001,BD!$A$3:$A$5001,V$3,BD!$B$3:$B$5001,$A$501)))</f>
        <v/>
      </c>
      <c r="W514" s="254" t="str">
        <f>IF(W$3="","",IF(COUNTIFS(BD!$A$3:$A$5001,W$3,BD!$B$3:$B$5001,$A$501,BD!$P$3:$P$5001,"&lt;&gt;")=0,"",SUMIFS(BD!$P$3:$P$5001,BD!$A$3:$A$5001,W$3,BD!$B$3:$B$5001,$A$501)))</f>
        <v/>
      </c>
      <c r="X514" s="254" t="str">
        <f>IF(X$3="","",IF(COUNTIFS(BD!$A$3:$A$5001,X$3,BD!$B$3:$B$5001,$A$501,BD!$P$3:$P$5001,"&lt;&gt;")=0,"",SUMIFS(BD!$P$3:$P$5001,BD!$A$3:$A$5001,X$3,BD!$B$3:$B$5001,$A$501)))</f>
        <v/>
      </c>
      <c r="Y514" s="254" t="str">
        <f>IF(Y$3="","",IF(COUNTIFS(BD!$A$3:$A$5001,Y$3,BD!$B$3:$B$5001,$A$501,BD!$P$3:$P$5001,"&lt;&gt;")=0,"",SUMIFS(BD!$P$3:$P$5001,BD!$A$3:$A$5001,Y$3,BD!$B$3:$B$5001,$A$501)))</f>
        <v/>
      </c>
      <c r="Z514" s="254" t="str">
        <f>IF(Z$3="","",IF(COUNTIFS(BD!$A$3:$A$5001,Z$3,BD!$B$3:$B$5001,$A$501,BD!$P$3:$P$5001,"&lt;&gt;")=0,"",SUMIFS(BD!$P$3:$P$5001,BD!$A$3:$A$5001,Z$3,BD!$B$3:$B$5001,$A$501)))</f>
        <v/>
      </c>
      <c r="AA514" s="254" t="str">
        <f>IF(AA$3="","",IF(COUNTIFS(BD!$A$3:$A$5001,AA$3,BD!$B$3:$B$5001,$A$501,BD!$P$3:$P$5001,"&lt;&gt;")=0,"",SUMIFS(BD!$P$3:$P$5001,BD!$A$3:$A$5001,AA$3,BD!$B$3:$B$5001,$A$501)))</f>
        <v/>
      </c>
      <c r="AB514" s="254" t="str">
        <f>IF(AB$3="","",IF(COUNTIFS(BD!$A$3:$A$5001,AB$3,BD!$B$3:$B$5001,$A$501,BD!$P$3:$P$5001,"&lt;&gt;")=0,"",SUMIFS(BD!$P$3:$P$5001,BD!$A$3:$A$5001,AB$3,BD!$B$3:$B$5001,$A$501)))</f>
        <v/>
      </c>
      <c r="AC514" s="254" t="str">
        <f>IF(AC$3="","",IF(COUNTIFS(BD!$A$3:$A$5001,AC$3,BD!$B$3:$B$5001,$A$501,BD!$P$3:$P$5001,"&lt;&gt;")=0,"",SUMIFS(BD!$P$3:$P$5001,BD!$A$3:$A$5001,AC$3,BD!$B$3:$B$5001,$A$501)))</f>
        <v/>
      </c>
      <c r="AD514" s="254" t="str">
        <f>IF(AD$3="","",IF(COUNTIFS(BD!$A$3:$A$5001,AD$3,BD!$B$3:$B$5001,$A$501,BD!$P$3:$P$5001,"&lt;&gt;")=0,"",SUMIFS(BD!$P$3:$P$5001,BD!$A$3:$A$5001,AD$3,BD!$B$3:$B$5001,$A$501)))</f>
        <v/>
      </c>
      <c r="AE514" s="254" t="str">
        <f>IF(AE$3="","",IF(COUNTIFS(BD!$A$3:$A$5001,AE$3,BD!$B$3:$B$5001,$A$501,BD!$P$3:$P$5001,"&lt;&gt;")=0,"",SUMIFS(BD!$P$3:$P$5001,BD!$A$3:$A$5001,AE$3,BD!$B$3:$B$5001,$A$501)))</f>
        <v/>
      </c>
      <c r="AF514" s="254" t="str">
        <f>IF(AF$3="","",IF(COUNTIFS(BD!$A$3:$A$5001,AF$3,BD!$B$3:$B$5001,$A$501,BD!$P$3:$P$5001,"&lt;&gt;")=0,"",SUMIFS(BD!$P$3:$P$5001,BD!$A$3:$A$5001,AF$3,BD!$B$3:$B$5001,$A$501)))</f>
        <v/>
      </c>
      <c r="AG514" s="254" t="str">
        <f>IF(AG$3="","",IF(COUNTIFS(BD!$A$3:$A$5001,AG$3,BD!$B$3:$B$5001,$A$501,BD!$P$3:$P$5001,"&lt;&gt;")=0,"",SUMIFS(BD!$P$3:$P$5001,BD!$A$3:$A$5001,AG$3,BD!$B$3:$B$5001,$A$501)))</f>
        <v/>
      </c>
      <c r="AH514" s="254" t="str">
        <f>IF(AH$3="","",IF(COUNTIFS(BD!$A$3:$A$5001,AH$3,BD!$B$3:$B$5001,$A$501,BD!$P$3:$P$5001,"&lt;&gt;")=0,"",SUMIFS(BD!$P$3:$P$5001,BD!$A$3:$A$5001,AH$3,BD!$B$3:$B$5001,$A$501)))</f>
        <v/>
      </c>
      <c r="AI514" s="254" t="str">
        <f>IF(AI$3="","",IF(COUNTIFS(BD!$A$3:$A$5001,AI$3,BD!$B$3:$B$5001,$A$501,BD!$P$3:$P$5001,"&lt;&gt;")=0,"",SUMIFS(BD!$P$3:$P$5001,BD!$A$3:$A$5001,AI$3,BD!$B$3:$B$5001,$A$501)))</f>
        <v/>
      </c>
      <c r="AJ514" s="255" t="str">
        <f>IF(AJ$3="","",IF(COUNTIFS(BD!$A$3:$A$5001,AJ$3,BD!$B$3:$B$5001,$A$501,BD!$P$3:$P$5001,"&lt;&gt;")=0,"",SUMIFS(BD!$P$3:$P$5001,BD!$A$3:$A$5001,AJ$3,BD!$B$3:$B$5001,$A$501)))</f>
        <v/>
      </c>
      <c r="AK514" s="256" t="str">
        <f>IF(COUNT(F514:AJ514)=0,"",SUM(F514:AJ514))</f>
        <v/>
      </c>
    </row>
    <row r="515" ht="15.75" customHeight="1" hidden="1">
      <c r="A515" s="244"/>
      <c r="B515" s="261"/>
      <c r="C515" s="250" t="inlineStr">
        <is>
          <t xml:space="preserve">Caixas Expedidas</t>
        </is>
      </c>
      <c r="D515" s="251" t="str">
        <f>IFERROR(1/(1/INDEX(BD!$AJ$37:$BD$37,MATCH($A$501,BD!$AJ$22:$BD$22,0))),"")</f>
        <v/>
      </c>
      <c r="E515" s="252"/>
      <c r="F515" s="253" t="str">
        <f>IF(F$3="","",IF(COUNTIFS(BD!$A$3:$A$5001,F$3,BD!$B$3:$B$5001,$A$501,BD!$Q$3:$Q$5001,"&lt;&gt;")=0,"",SUMIFS(BD!$Q$3:$Q$5001,BD!$A$3:$A$5001,F$3,BD!$B$3:$B$5001,$A$501)))</f>
        <v/>
      </c>
      <c r="G515" s="254" t="str">
        <f>IF(G$3="","",IF(COUNTIFS(BD!$A$3:$A$5001,G$3,BD!$B$3:$B$5001,$A$501,BD!$Q$3:$Q$5001,"&lt;&gt;")=0,"",SUMIFS(BD!$Q$3:$Q$5001,BD!$A$3:$A$5001,G$3,BD!$B$3:$B$5001,$A$501)))</f>
        <v/>
      </c>
      <c r="H515" s="254" t="str">
        <f>IF(H$3="","",IF(COUNTIFS(BD!$A$3:$A$5001,H$3,BD!$B$3:$B$5001,$A$501,BD!$Q$3:$Q$5001,"&lt;&gt;")=0,"",SUMIFS(BD!$Q$3:$Q$5001,BD!$A$3:$A$5001,H$3,BD!$B$3:$B$5001,$A$501)))</f>
        <v/>
      </c>
      <c r="I515" s="254" t="str">
        <f>IF(I$3="","",IF(COUNTIFS(BD!$A$3:$A$5001,I$3,BD!$B$3:$B$5001,$A$501,BD!$Q$3:$Q$5001,"&lt;&gt;")=0,"",SUMIFS(BD!$Q$3:$Q$5001,BD!$A$3:$A$5001,I$3,BD!$B$3:$B$5001,$A$501)))</f>
        <v/>
      </c>
      <c r="J515" s="254" t="str">
        <f>IF(J$3="","",IF(COUNTIFS(BD!$A$3:$A$5001,J$3,BD!$B$3:$B$5001,$A$501,BD!$Q$3:$Q$5001,"&lt;&gt;")=0,"",SUMIFS(BD!$Q$3:$Q$5001,BD!$A$3:$A$5001,J$3,BD!$B$3:$B$5001,$A$501)))</f>
        <v/>
      </c>
      <c r="K515" s="254" t="str">
        <f>IF(K$3="","",IF(COUNTIFS(BD!$A$3:$A$5001,K$3,BD!$B$3:$B$5001,$A$501,BD!$Q$3:$Q$5001,"&lt;&gt;")=0,"",SUMIFS(BD!$Q$3:$Q$5001,BD!$A$3:$A$5001,K$3,BD!$B$3:$B$5001,$A$501)))</f>
        <v/>
      </c>
      <c r="L515" s="254" t="str">
        <f>IF(L$3="","",IF(COUNTIFS(BD!$A$3:$A$5001,L$3,BD!$B$3:$B$5001,$A$501,BD!$Q$3:$Q$5001,"&lt;&gt;")=0,"",SUMIFS(BD!$Q$3:$Q$5001,BD!$A$3:$A$5001,L$3,BD!$B$3:$B$5001,$A$501)))</f>
        <v/>
      </c>
      <c r="M515" s="254" t="str">
        <f>IF(M$3="","",IF(COUNTIFS(BD!$A$3:$A$5001,M$3,BD!$B$3:$B$5001,$A$501,BD!$Q$3:$Q$5001,"&lt;&gt;")=0,"",SUMIFS(BD!$Q$3:$Q$5001,BD!$A$3:$A$5001,M$3,BD!$B$3:$B$5001,$A$501)))</f>
        <v/>
      </c>
      <c r="N515" s="254" t="str">
        <f>IF(N$3="","",IF(COUNTIFS(BD!$A$3:$A$5001,N$3,BD!$B$3:$B$5001,$A$501,BD!$Q$3:$Q$5001,"&lt;&gt;")=0,"",SUMIFS(BD!$Q$3:$Q$5001,BD!$A$3:$A$5001,N$3,BD!$B$3:$B$5001,$A$501)))</f>
        <v/>
      </c>
      <c r="O515" s="254" t="str">
        <f>IF(O$3="","",IF(COUNTIFS(BD!$A$3:$A$5001,O$3,BD!$B$3:$B$5001,$A$501,BD!$Q$3:$Q$5001,"&lt;&gt;")=0,"",SUMIFS(BD!$Q$3:$Q$5001,BD!$A$3:$A$5001,O$3,BD!$B$3:$B$5001,$A$501)))</f>
        <v/>
      </c>
      <c r="P515" s="254" t="str">
        <f>IF(P$3="","",IF(COUNTIFS(BD!$A$3:$A$5001,P$3,BD!$B$3:$B$5001,$A$501,BD!$Q$3:$Q$5001,"&lt;&gt;")=0,"",SUMIFS(BD!$Q$3:$Q$5001,BD!$A$3:$A$5001,P$3,BD!$B$3:$B$5001,$A$501)))</f>
        <v/>
      </c>
      <c r="Q515" s="254" t="str">
        <f>IF(Q$3="","",IF(COUNTIFS(BD!$A$3:$A$5001,Q$3,BD!$B$3:$B$5001,$A$501,BD!$Q$3:$Q$5001,"&lt;&gt;")=0,"",SUMIFS(BD!$Q$3:$Q$5001,BD!$A$3:$A$5001,Q$3,BD!$B$3:$B$5001,$A$501)))</f>
        <v/>
      </c>
      <c r="R515" s="254" t="str">
        <f>IF(R$3="","",IF(COUNTIFS(BD!$A$3:$A$5001,R$3,BD!$B$3:$B$5001,$A$501,BD!$Q$3:$Q$5001,"&lt;&gt;")=0,"",SUMIFS(BD!$Q$3:$Q$5001,BD!$A$3:$A$5001,R$3,BD!$B$3:$B$5001,$A$501)))</f>
        <v/>
      </c>
      <c r="S515" s="254" t="str">
        <f>IF(S$3="","",IF(COUNTIFS(BD!$A$3:$A$5001,S$3,BD!$B$3:$B$5001,$A$501,BD!$Q$3:$Q$5001,"&lt;&gt;")=0,"",SUMIFS(BD!$Q$3:$Q$5001,BD!$A$3:$A$5001,S$3,BD!$B$3:$B$5001,$A$501)))</f>
        <v/>
      </c>
      <c r="T515" s="254" t="str">
        <f>IF(T$3="","",IF(COUNTIFS(BD!$A$3:$A$5001,T$3,BD!$B$3:$B$5001,$A$501,BD!$Q$3:$Q$5001,"&lt;&gt;")=0,"",SUMIFS(BD!$Q$3:$Q$5001,BD!$A$3:$A$5001,T$3,BD!$B$3:$B$5001,$A$501)))</f>
        <v/>
      </c>
      <c r="U515" s="254" t="str">
        <f>IF(U$3="","",IF(COUNTIFS(BD!$A$3:$A$5001,U$3,BD!$B$3:$B$5001,$A$501,BD!$Q$3:$Q$5001,"&lt;&gt;")=0,"",SUMIFS(BD!$Q$3:$Q$5001,BD!$A$3:$A$5001,U$3,BD!$B$3:$B$5001,$A$501)))</f>
        <v/>
      </c>
      <c r="V515" s="254" t="str">
        <f>IF(V$3="","",IF(COUNTIFS(BD!$A$3:$A$5001,V$3,BD!$B$3:$B$5001,$A$501,BD!$Q$3:$Q$5001,"&lt;&gt;")=0,"",SUMIFS(BD!$Q$3:$Q$5001,BD!$A$3:$A$5001,V$3,BD!$B$3:$B$5001,$A$501)))</f>
        <v/>
      </c>
      <c r="W515" s="254" t="str">
        <f>IF(W$3="","",IF(COUNTIFS(BD!$A$3:$A$5001,W$3,BD!$B$3:$B$5001,$A$501,BD!$Q$3:$Q$5001,"&lt;&gt;")=0,"",SUMIFS(BD!$Q$3:$Q$5001,BD!$A$3:$A$5001,W$3,BD!$B$3:$B$5001,$A$501)))</f>
        <v/>
      </c>
      <c r="X515" s="254" t="str">
        <f>IF(X$3="","",IF(COUNTIFS(BD!$A$3:$A$5001,X$3,BD!$B$3:$B$5001,$A$501,BD!$Q$3:$Q$5001,"&lt;&gt;")=0,"",SUMIFS(BD!$Q$3:$Q$5001,BD!$A$3:$A$5001,X$3,BD!$B$3:$B$5001,$A$501)))</f>
        <v/>
      </c>
      <c r="Y515" s="254" t="str">
        <f>IF(Y$3="","",IF(COUNTIFS(BD!$A$3:$A$5001,Y$3,BD!$B$3:$B$5001,$A$501,BD!$Q$3:$Q$5001,"&lt;&gt;")=0,"",SUMIFS(BD!$Q$3:$Q$5001,BD!$A$3:$A$5001,Y$3,BD!$B$3:$B$5001,$A$501)))</f>
        <v/>
      </c>
      <c r="Z515" s="254" t="str">
        <f>IF(Z$3="","",IF(COUNTIFS(BD!$A$3:$A$5001,Z$3,BD!$B$3:$B$5001,$A$501,BD!$Q$3:$Q$5001,"&lt;&gt;")=0,"",SUMIFS(BD!$Q$3:$Q$5001,BD!$A$3:$A$5001,Z$3,BD!$B$3:$B$5001,$A$501)))</f>
        <v/>
      </c>
      <c r="AA515" s="254" t="str">
        <f>IF(AA$3="","",IF(COUNTIFS(BD!$A$3:$A$5001,AA$3,BD!$B$3:$B$5001,$A$501,BD!$Q$3:$Q$5001,"&lt;&gt;")=0,"",SUMIFS(BD!$Q$3:$Q$5001,BD!$A$3:$A$5001,AA$3,BD!$B$3:$B$5001,$A$501)))</f>
        <v/>
      </c>
      <c r="AB515" s="254" t="str">
        <f>IF(AB$3="","",IF(COUNTIFS(BD!$A$3:$A$5001,AB$3,BD!$B$3:$B$5001,$A$501,BD!$Q$3:$Q$5001,"&lt;&gt;")=0,"",SUMIFS(BD!$Q$3:$Q$5001,BD!$A$3:$A$5001,AB$3,BD!$B$3:$B$5001,$A$501)))</f>
        <v/>
      </c>
      <c r="AC515" s="254" t="str">
        <f>IF(AC$3="","",IF(COUNTIFS(BD!$A$3:$A$5001,AC$3,BD!$B$3:$B$5001,$A$501,BD!$Q$3:$Q$5001,"&lt;&gt;")=0,"",SUMIFS(BD!$Q$3:$Q$5001,BD!$A$3:$A$5001,AC$3,BD!$B$3:$B$5001,$A$501)))</f>
        <v/>
      </c>
      <c r="AD515" s="254" t="str">
        <f>IF(AD$3="","",IF(COUNTIFS(BD!$A$3:$A$5001,AD$3,BD!$B$3:$B$5001,$A$501,BD!$Q$3:$Q$5001,"&lt;&gt;")=0,"",SUMIFS(BD!$Q$3:$Q$5001,BD!$A$3:$A$5001,AD$3,BD!$B$3:$B$5001,$A$501)))</f>
        <v/>
      </c>
      <c r="AE515" s="254" t="str">
        <f>IF(AE$3="","",IF(COUNTIFS(BD!$A$3:$A$5001,AE$3,BD!$B$3:$B$5001,$A$501,BD!$Q$3:$Q$5001,"&lt;&gt;")=0,"",SUMIFS(BD!$Q$3:$Q$5001,BD!$A$3:$A$5001,AE$3,BD!$B$3:$B$5001,$A$501)))</f>
        <v/>
      </c>
      <c r="AF515" s="254" t="str">
        <f>IF(AF$3="","",IF(COUNTIFS(BD!$A$3:$A$5001,AF$3,BD!$B$3:$B$5001,$A$501,BD!$Q$3:$Q$5001,"&lt;&gt;")=0,"",SUMIFS(BD!$Q$3:$Q$5001,BD!$A$3:$A$5001,AF$3,BD!$B$3:$B$5001,$A$501)))</f>
        <v/>
      </c>
      <c r="AG515" s="254" t="str">
        <f>IF(AG$3="","",IF(COUNTIFS(BD!$A$3:$A$5001,AG$3,BD!$B$3:$B$5001,$A$501,BD!$Q$3:$Q$5001,"&lt;&gt;")=0,"",SUMIFS(BD!$Q$3:$Q$5001,BD!$A$3:$A$5001,AG$3,BD!$B$3:$B$5001,$A$501)))</f>
        <v/>
      </c>
      <c r="AH515" s="254" t="str">
        <f>IF(AH$3="","",IF(COUNTIFS(BD!$A$3:$A$5001,AH$3,BD!$B$3:$B$5001,$A$501,BD!$Q$3:$Q$5001,"&lt;&gt;")=0,"",SUMIFS(BD!$Q$3:$Q$5001,BD!$A$3:$A$5001,AH$3,BD!$B$3:$B$5001,$A$501)))</f>
        <v/>
      </c>
      <c r="AI515" s="254" t="str">
        <f>IF(AI$3="","",IF(COUNTIFS(BD!$A$3:$A$5001,AI$3,BD!$B$3:$B$5001,$A$501,BD!$Q$3:$Q$5001,"&lt;&gt;")=0,"",SUMIFS(BD!$Q$3:$Q$5001,BD!$A$3:$A$5001,AI$3,BD!$B$3:$B$5001,$A$501)))</f>
        <v/>
      </c>
      <c r="AJ515" s="255" t="str">
        <f>IF(AJ$3="","",IF(COUNTIFS(BD!$A$3:$A$5001,AJ$3,BD!$B$3:$B$5001,$A$501,BD!$Q$3:$Q$5001,"&lt;&gt;")=0,"",SUMIFS(BD!$Q$3:$Q$5001,BD!$A$3:$A$5001,AJ$3,BD!$B$3:$B$5001,$A$501)))</f>
        <v/>
      </c>
      <c r="AK515" s="256" t="str">
        <f>IF(COUNT(F515:AJ515)=0,"",SUM(F515:AJ515))</f>
        <v/>
      </c>
    </row>
    <row r="516" ht="15.75" customHeight="1" hidden="1">
      <c r="A516" s="244"/>
      <c r="B516" s="261"/>
      <c r="C516" s="250" t="inlineStr">
        <is>
          <t xml:space="preserve">Pallets Movimentados</t>
        </is>
      </c>
      <c r="D516" s="251" t="str">
        <f>IFERROR(1/(1/INDEX(BD!$AJ$38:$BD$38,MATCH($A$501,BD!$AJ$22:$BD$22,0))),"")</f>
        <v/>
      </c>
      <c r="E516" s="252"/>
      <c r="F516" s="253" t="str">
        <f>IF(F$3="","",IF(COUNTIFS(BD!$A$3:$A$5001,F$3,BD!$B$3:$B$5001,$A$501,BD!$R$3:$R$5001,"&lt;&gt;")=0,"",SUMIFS(BD!$R$3:$R$5001,BD!$A$3:$A$5001,F$3,BD!$B$3:$B$5001,$A$501)))</f>
        <v/>
      </c>
      <c r="G516" s="254" t="str">
        <f>IF(G$3="","",IF(COUNTIFS(BD!$A$3:$A$5001,G$3,BD!$B$3:$B$5001,$A$501,BD!$R$3:$R$5001,"&lt;&gt;")=0,"",SUMIFS(BD!$R$3:$R$5001,BD!$A$3:$A$5001,G$3,BD!$B$3:$B$5001,$A$501)))</f>
        <v/>
      </c>
      <c r="H516" s="254" t="str">
        <f>IF(H$3="","",IF(COUNTIFS(BD!$A$3:$A$5001,H$3,BD!$B$3:$B$5001,$A$501,BD!$R$3:$R$5001,"&lt;&gt;")=0,"",SUMIFS(BD!$R$3:$R$5001,BD!$A$3:$A$5001,H$3,BD!$B$3:$B$5001,$A$501)))</f>
        <v/>
      </c>
      <c r="I516" s="254" t="str">
        <f>IF(I$3="","",IF(COUNTIFS(BD!$A$3:$A$5001,I$3,BD!$B$3:$B$5001,$A$501,BD!$R$3:$R$5001,"&lt;&gt;")=0,"",SUMIFS(BD!$R$3:$R$5001,BD!$A$3:$A$5001,I$3,BD!$B$3:$B$5001,$A$501)))</f>
        <v/>
      </c>
      <c r="J516" s="254" t="str">
        <f>IF(J$3="","",IF(COUNTIFS(BD!$A$3:$A$5001,J$3,BD!$B$3:$B$5001,$A$501,BD!$R$3:$R$5001,"&lt;&gt;")=0,"",SUMIFS(BD!$R$3:$R$5001,BD!$A$3:$A$5001,J$3,BD!$B$3:$B$5001,$A$501)))</f>
        <v/>
      </c>
      <c r="K516" s="254" t="str">
        <f>IF(K$3="","",IF(COUNTIFS(BD!$A$3:$A$5001,K$3,BD!$B$3:$B$5001,$A$501,BD!$R$3:$R$5001,"&lt;&gt;")=0,"",SUMIFS(BD!$R$3:$R$5001,BD!$A$3:$A$5001,K$3,BD!$B$3:$B$5001,$A$501)))</f>
        <v/>
      </c>
      <c r="L516" s="254" t="str">
        <f>IF(L$3="","",IF(COUNTIFS(BD!$A$3:$A$5001,L$3,BD!$B$3:$B$5001,$A$501,BD!$R$3:$R$5001,"&lt;&gt;")=0,"",SUMIFS(BD!$R$3:$R$5001,BD!$A$3:$A$5001,L$3,BD!$B$3:$B$5001,$A$501)))</f>
        <v/>
      </c>
      <c r="M516" s="254" t="str">
        <f>IF(M$3="","",IF(COUNTIFS(BD!$A$3:$A$5001,M$3,BD!$B$3:$B$5001,$A$501,BD!$R$3:$R$5001,"&lt;&gt;")=0,"",SUMIFS(BD!$R$3:$R$5001,BD!$A$3:$A$5001,M$3,BD!$B$3:$B$5001,$A$501)))</f>
        <v/>
      </c>
      <c r="N516" s="254" t="str">
        <f>IF(N$3="","",IF(COUNTIFS(BD!$A$3:$A$5001,N$3,BD!$B$3:$B$5001,$A$501,BD!$R$3:$R$5001,"&lt;&gt;")=0,"",SUMIFS(BD!$R$3:$R$5001,BD!$A$3:$A$5001,N$3,BD!$B$3:$B$5001,$A$501)))</f>
        <v/>
      </c>
      <c r="O516" s="254" t="str">
        <f>IF(O$3="","",IF(COUNTIFS(BD!$A$3:$A$5001,O$3,BD!$B$3:$B$5001,$A$501,BD!$R$3:$R$5001,"&lt;&gt;")=0,"",SUMIFS(BD!$R$3:$R$5001,BD!$A$3:$A$5001,O$3,BD!$B$3:$B$5001,$A$501)))</f>
        <v/>
      </c>
      <c r="P516" s="254" t="str">
        <f>IF(P$3="","",IF(COUNTIFS(BD!$A$3:$A$5001,P$3,BD!$B$3:$B$5001,$A$501,BD!$R$3:$R$5001,"&lt;&gt;")=0,"",SUMIFS(BD!$R$3:$R$5001,BD!$A$3:$A$5001,P$3,BD!$B$3:$B$5001,$A$501)))</f>
        <v/>
      </c>
      <c r="Q516" s="254" t="str">
        <f>IF(Q$3="","",IF(COUNTIFS(BD!$A$3:$A$5001,Q$3,BD!$B$3:$B$5001,$A$501,BD!$R$3:$R$5001,"&lt;&gt;")=0,"",SUMIFS(BD!$R$3:$R$5001,BD!$A$3:$A$5001,Q$3,BD!$B$3:$B$5001,$A$501)))</f>
        <v/>
      </c>
      <c r="R516" s="254" t="str">
        <f>IF(R$3="","",IF(COUNTIFS(BD!$A$3:$A$5001,R$3,BD!$B$3:$B$5001,$A$501,BD!$R$3:$R$5001,"&lt;&gt;")=0,"",SUMIFS(BD!$R$3:$R$5001,BD!$A$3:$A$5001,R$3,BD!$B$3:$B$5001,$A$501)))</f>
        <v/>
      </c>
      <c r="S516" s="254" t="str">
        <f>IF(S$3="","",IF(COUNTIFS(BD!$A$3:$A$5001,S$3,BD!$B$3:$B$5001,$A$501,BD!$R$3:$R$5001,"&lt;&gt;")=0,"",SUMIFS(BD!$R$3:$R$5001,BD!$A$3:$A$5001,S$3,BD!$B$3:$B$5001,$A$501)))</f>
        <v/>
      </c>
      <c r="T516" s="254" t="str">
        <f>IF(T$3="","",IF(COUNTIFS(BD!$A$3:$A$5001,T$3,BD!$B$3:$B$5001,$A$501,BD!$R$3:$R$5001,"&lt;&gt;")=0,"",SUMIFS(BD!$R$3:$R$5001,BD!$A$3:$A$5001,T$3,BD!$B$3:$B$5001,$A$501)))</f>
        <v/>
      </c>
      <c r="U516" s="254" t="str">
        <f>IF(U$3="","",IF(COUNTIFS(BD!$A$3:$A$5001,U$3,BD!$B$3:$B$5001,$A$501,BD!$R$3:$R$5001,"&lt;&gt;")=0,"",SUMIFS(BD!$R$3:$R$5001,BD!$A$3:$A$5001,U$3,BD!$B$3:$B$5001,$A$501)))</f>
        <v/>
      </c>
      <c r="V516" s="254" t="str">
        <f>IF(V$3="","",IF(COUNTIFS(BD!$A$3:$A$5001,V$3,BD!$B$3:$B$5001,$A$501,BD!$R$3:$R$5001,"&lt;&gt;")=0,"",SUMIFS(BD!$R$3:$R$5001,BD!$A$3:$A$5001,V$3,BD!$B$3:$B$5001,$A$501)))</f>
        <v/>
      </c>
      <c r="W516" s="254" t="str">
        <f>IF(W$3="","",IF(COUNTIFS(BD!$A$3:$A$5001,W$3,BD!$B$3:$B$5001,$A$501,BD!$R$3:$R$5001,"&lt;&gt;")=0,"",SUMIFS(BD!$R$3:$R$5001,BD!$A$3:$A$5001,W$3,BD!$B$3:$B$5001,$A$501)))</f>
        <v/>
      </c>
      <c r="X516" s="254" t="str">
        <f>IF(X$3="","",IF(COUNTIFS(BD!$A$3:$A$5001,X$3,BD!$B$3:$B$5001,$A$501,BD!$R$3:$R$5001,"&lt;&gt;")=0,"",SUMIFS(BD!$R$3:$R$5001,BD!$A$3:$A$5001,X$3,BD!$B$3:$B$5001,$A$501)))</f>
        <v/>
      </c>
      <c r="Y516" s="254" t="str">
        <f>IF(Y$3="","",IF(COUNTIFS(BD!$A$3:$A$5001,Y$3,BD!$B$3:$B$5001,$A$501,BD!$R$3:$R$5001,"&lt;&gt;")=0,"",SUMIFS(BD!$R$3:$R$5001,BD!$A$3:$A$5001,Y$3,BD!$B$3:$B$5001,$A$501)))</f>
        <v/>
      </c>
      <c r="Z516" s="254" t="str">
        <f>IF(Z$3="","",IF(COUNTIFS(BD!$A$3:$A$5001,Z$3,BD!$B$3:$B$5001,$A$501,BD!$R$3:$R$5001,"&lt;&gt;")=0,"",SUMIFS(BD!$R$3:$R$5001,BD!$A$3:$A$5001,Z$3,BD!$B$3:$B$5001,$A$501)))</f>
        <v/>
      </c>
      <c r="AA516" s="254" t="str">
        <f>IF(AA$3="","",IF(COUNTIFS(BD!$A$3:$A$5001,AA$3,BD!$B$3:$B$5001,$A$501,BD!$R$3:$R$5001,"&lt;&gt;")=0,"",SUMIFS(BD!$R$3:$R$5001,BD!$A$3:$A$5001,AA$3,BD!$B$3:$B$5001,$A$501)))</f>
        <v/>
      </c>
      <c r="AB516" s="254" t="str">
        <f>IF(AB$3="","",IF(COUNTIFS(BD!$A$3:$A$5001,AB$3,BD!$B$3:$B$5001,$A$501,BD!$R$3:$R$5001,"&lt;&gt;")=0,"",SUMIFS(BD!$R$3:$R$5001,BD!$A$3:$A$5001,AB$3,BD!$B$3:$B$5001,$A$501)))</f>
        <v/>
      </c>
      <c r="AC516" s="254" t="str">
        <f>IF(AC$3="","",IF(COUNTIFS(BD!$A$3:$A$5001,AC$3,BD!$B$3:$B$5001,$A$501,BD!$R$3:$R$5001,"&lt;&gt;")=0,"",SUMIFS(BD!$R$3:$R$5001,BD!$A$3:$A$5001,AC$3,BD!$B$3:$B$5001,$A$501)))</f>
        <v/>
      </c>
      <c r="AD516" s="254" t="str">
        <f>IF(AD$3="","",IF(COUNTIFS(BD!$A$3:$A$5001,AD$3,BD!$B$3:$B$5001,$A$501,BD!$R$3:$R$5001,"&lt;&gt;")=0,"",SUMIFS(BD!$R$3:$R$5001,BD!$A$3:$A$5001,AD$3,BD!$B$3:$B$5001,$A$501)))</f>
        <v/>
      </c>
      <c r="AE516" s="254" t="str">
        <f>IF(AE$3="","",IF(COUNTIFS(BD!$A$3:$A$5001,AE$3,BD!$B$3:$B$5001,$A$501,BD!$R$3:$R$5001,"&lt;&gt;")=0,"",SUMIFS(BD!$R$3:$R$5001,BD!$A$3:$A$5001,AE$3,BD!$B$3:$B$5001,$A$501)))</f>
        <v/>
      </c>
      <c r="AF516" s="254" t="str">
        <f>IF(AF$3="","",IF(COUNTIFS(BD!$A$3:$A$5001,AF$3,BD!$B$3:$B$5001,$A$501,BD!$R$3:$R$5001,"&lt;&gt;")=0,"",SUMIFS(BD!$R$3:$R$5001,BD!$A$3:$A$5001,AF$3,BD!$B$3:$B$5001,$A$501)))</f>
        <v/>
      </c>
      <c r="AG516" s="254" t="str">
        <f>IF(AG$3="","",IF(COUNTIFS(BD!$A$3:$A$5001,AG$3,BD!$B$3:$B$5001,$A$501,BD!$R$3:$R$5001,"&lt;&gt;")=0,"",SUMIFS(BD!$R$3:$R$5001,BD!$A$3:$A$5001,AG$3,BD!$B$3:$B$5001,$A$501)))</f>
        <v/>
      </c>
      <c r="AH516" s="254" t="str">
        <f>IF(AH$3="","",IF(COUNTIFS(BD!$A$3:$A$5001,AH$3,BD!$B$3:$B$5001,$A$501,BD!$R$3:$R$5001,"&lt;&gt;")=0,"",SUMIFS(BD!$R$3:$R$5001,BD!$A$3:$A$5001,AH$3,BD!$B$3:$B$5001,$A$501)))</f>
        <v/>
      </c>
      <c r="AI516" s="254" t="str">
        <f>IF(AI$3="","",IF(COUNTIFS(BD!$A$3:$A$5001,AI$3,BD!$B$3:$B$5001,$A$501,BD!$R$3:$R$5001,"&lt;&gt;")=0,"",SUMIFS(BD!$R$3:$R$5001,BD!$A$3:$A$5001,AI$3,BD!$B$3:$B$5001,$A$501)))</f>
        <v/>
      </c>
      <c r="AJ516" s="255" t="str">
        <f>IF(AJ$3="","",IF(COUNTIFS(BD!$A$3:$A$5001,AJ$3,BD!$B$3:$B$5001,$A$501,BD!$R$3:$R$5001,"&lt;&gt;")=0,"",SUMIFS(BD!$R$3:$R$5001,BD!$A$3:$A$5001,AJ$3,BD!$B$3:$B$5001,$A$501)))</f>
        <v/>
      </c>
      <c r="AK516" s="256" t="str">
        <f>IF(COUNT(F516:AJ516)=0,"",SUM(F516:AJ516))</f>
        <v/>
      </c>
    </row>
    <row r="517" ht="15.75" customHeight="1" hidden="1">
      <c r="A517" s="244"/>
      <c r="B517" s="235"/>
      <c r="C517" s="175" t="inlineStr">
        <is>
          <t xml:space="preserve">Toneladas Movimentadas</t>
        </is>
      </c>
      <c r="D517" s="176" t="str">
        <f>IFERROR(1/(1/INDEX(BD!$AJ$39:$BD$39,MATCH($A$501,BD!$AJ$22:$BD$22,0))),"")</f>
        <v/>
      </c>
      <c r="E517" s="177"/>
      <c r="F517" s="257" t="str">
        <f>IF(F$3="","",IF(COUNTIFS(BD!$A$3:$A$5001,F$3,BD!$B$3:$B$5001,$A$501,BD!$S$3:$S$5001,"&lt;&gt;")=0,"",SUMIFS(BD!$S$3:$S$5001,BD!$A$3:$A$5001,F$3,BD!$B$3:$B$5001,$A$501)))</f>
        <v/>
      </c>
      <c r="G517" s="258" t="str">
        <f>IF(G$3="","",IF(COUNTIFS(BD!$A$3:$A$5001,G$3,BD!$B$3:$B$5001,$A$501,BD!$S$3:$S$5001,"&lt;&gt;")=0,"",SUMIFS(BD!$S$3:$S$5001,BD!$A$3:$A$5001,G$3,BD!$B$3:$B$5001,$A$501)))</f>
        <v/>
      </c>
      <c r="H517" s="258" t="str">
        <f>IF(H$3="","",IF(COUNTIFS(BD!$A$3:$A$5001,H$3,BD!$B$3:$B$5001,$A$501,BD!$S$3:$S$5001,"&lt;&gt;")=0,"",SUMIFS(BD!$S$3:$S$5001,BD!$A$3:$A$5001,H$3,BD!$B$3:$B$5001,$A$501)))</f>
        <v/>
      </c>
      <c r="I517" s="258" t="str">
        <f>IF(I$3="","",IF(COUNTIFS(BD!$A$3:$A$5001,I$3,BD!$B$3:$B$5001,$A$501,BD!$S$3:$S$5001,"&lt;&gt;")=0,"",SUMIFS(BD!$S$3:$S$5001,BD!$A$3:$A$5001,I$3,BD!$B$3:$B$5001,$A$501)))</f>
        <v/>
      </c>
      <c r="J517" s="258" t="str">
        <f>IF(J$3="","",IF(COUNTIFS(BD!$A$3:$A$5001,J$3,BD!$B$3:$B$5001,$A$501,BD!$S$3:$S$5001,"&lt;&gt;")=0,"",SUMIFS(BD!$S$3:$S$5001,BD!$A$3:$A$5001,J$3,BD!$B$3:$B$5001,$A$501)))</f>
        <v/>
      </c>
      <c r="K517" s="258" t="str">
        <f>IF(K$3="","",IF(COUNTIFS(BD!$A$3:$A$5001,K$3,BD!$B$3:$B$5001,$A$501,BD!$S$3:$S$5001,"&lt;&gt;")=0,"",SUMIFS(BD!$S$3:$S$5001,BD!$A$3:$A$5001,K$3,BD!$B$3:$B$5001,$A$501)))</f>
        <v/>
      </c>
      <c r="L517" s="258" t="str">
        <f>IF(L$3="","",IF(COUNTIFS(BD!$A$3:$A$5001,L$3,BD!$B$3:$B$5001,$A$501,BD!$S$3:$S$5001,"&lt;&gt;")=0,"",SUMIFS(BD!$S$3:$S$5001,BD!$A$3:$A$5001,L$3,BD!$B$3:$B$5001,$A$501)))</f>
        <v/>
      </c>
      <c r="M517" s="258" t="str">
        <f>IF(M$3="","",IF(COUNTIFS(BD!$A$3:$A$5001,M$3,BD!$B$3:$B$5001,$A$501,BD!$S$3:$S$5001,"&lt;&gt;")=0,"",SUMIFS(BD!$S$3:$S$5001,BD!$A$3:$A$5001,M$3,BD!$B$3:$B$5001,$A$501)))</f>
        <v/>
      </c>
      <c r="N517" s="258" t="str">
        <f>IF(N$3="","",IF(COUNTIFS(BD!$A$3:$A$5001,N$3,BD!$B$3:$B$5001,$A$501,BD!$S$3:$S$5001,"&lt;&gt;")=0,"",SUMIFS(BD!$S$3:$S$5001,BD!$A$3:$A$5001,N$3,BD!$B$3:$B$5001,$A$501)))</f>
        <v/>
      </c>
      <c r="O517" s="258" t="str">
        <f>IF(O$3="","",IF(COUNTIFS(BD!$A$3:$A$5001,O$3,BD!$B$3:$B$5001,$A$501,BD!$S$3:$S$5001,"&lt;&gt;")=0,"",SUMIFS(BD!$S$3:$S$5001,BD!$A$3:$A$5001,O$3,BD!$B$3:$B$5001,$A$501)))</f>
        <v/>
      </c>
      <c r="P517" s="258" t="str">
        <f>IF(P$3="","",IF(COUNTIFS(BD!$A$3:$A$5001,P$3,BD!$B$3:$B$5001,$A$501,BD!$S$3:$S$5001,"&lt;&gt;")=0,"",SUMIFS(BD!$S$3:$S$5001,BD!$A$3:$A$5001,P$3,BD!$B$3:$B$5001,$A$501)))</f>
        <v/>
      </c>
      <c r="Q517" s="258" t="str">
        <f>IF(Q$3="","",IF(COUNTIFS(BD!$A$3:$A$5001,Q$3,BD!$B$3:$B$5001,$A$501,BD!$S$3:$S$5001,"&lt;&gt;")=0,"",SUMIFS(BD!$S$3:$S$5001,BD!$A$3:$A$5001,Q$3,BD!$B$3:$B$5001,$A$501)))</f>
        <v/>
      </c>
      <c r="R517" s="258" t="str">
        <f>IF(R$3="","",IF(COUNTIFS(BD!$A$3:$A$5001,R$3,BD!$B$3:$B$5001,$A$501,BD!$S$3:$S$5001,"&lt;&gt;")=0,"",SUMIFS(BD!$S$3:$S$5001,BD!$A$3:$A$5001,R$3,BD!$B$3:$B$5001,$A$501)))</f>
        <v/>
      </c>
      <c r="S517" s="258" t="str">
        <f>IF(S$3="","",IF(COUNTIFS(BD!$A$3:$A$5001,S$3,BD!$B$3:$B$5001,$A$501,BD!$S$3:$S$5001,"&lt;&gt;")=0,"",SUMIFS(BD!$S$3:$S$5001,BD!$A$3:$A$5001,S$3,BD!$B$3:$B$5001,$A$501)))</f>
        <v/>
      </c>
      <c r="T517" s="258" t="str">
        <f>IF(T$3="","",IF(COUNTIFS(BD!$A$3:$A$5001,T$3,BD!$B$3:$B$5001,$A$501,BD!$S$3:$S$5001,"&lt;&gt;")=0,"",SUMIFS(BD!$S$3:$S$5001,BD!$A$3:$A$5001,T$3,BD!$B$3:$B$5001,$A$501)))</f>
        <v/>
      </c>
      <c r="U517" s="258" t="str">
        <f>IF(U$3="","",IF(COUNTIFS(BD!$A$3:$A$5001,U$3,BD!$B$3:$B$5001,$A$501,BD!$S$3:$S$5001,"&lt;&gt;")=0,"",SUMIFS(BD!$S$3:$S$5001,BD!$A$3:$A$5001,U$3,BD!$B$3:$B$5001,$A$501)))</f>
        <v/>
      </c>
      <c r="V517" s="258" t="str">
        <f>IF(V$3="","",IF(COUNTIFS(BD!$A$3:$A$5001,V$3,BD!$B$3:$B$5001,$A$501,BD!$S$3:$S$5001,"&lt;&gt;")=0,"",SUMIFS(BD!$S$3:$S$5001,BD!$A$3:$A$5001,V$3,BD!$B$3:$B$5001,$A$501)))</f>
        <v/>
      </c>
      <c r="W517" s="258" t="str">
        <f>IF(W$3="","",IF(COUNTIFS(BD!$A$3:$A$5001,W$3,BD!$B$3:$B$5001,$A$501,BD!$S$3:$S$5001,"&lt;&gt;")=0,"",SUMIFS(BD!$S$3:$S$5001,BD!$A$3:$A$5001,W$3,BD!$B$3:$B$5001,$A$501)))</f>
        <v/>
      </c>
      <c r="X517" s="258" t="str">
        <f>IF(X$3="","",IF(COUNTIFS(BD!$A$3:$A$5001,X$3,BD!$B$3:$B$5001,$A$501,BD!$S$3:$S$5001,"&lt;&gt;")=0,"",SUMIFS(BD!$S$3:$S$5001,BD!$A$3:$A$5001,X$3,BD!$B$3:$B$5001,$A$501)))</f>
        <v/>
      </c>
      <c r="Y517" s="258" t="str">
        <f>IF(Y$3="","",IF(COUNTIFS(BD!$A$3:$A$5001,Y$3,BD!$B$3:$B$5001,$A$501,BD!$S$3:$S$5001,"&lt;&gt;")=0,"",SUMIFS(BD!$S$3:$S$5001,BD!$A$3:$A$5001,Y$3,BD!$B$3:$B$5001,$A$501)))</f>
        <v/>
      </c>
      <c r="Z517" s="258" t="str">
        <f>IF(Z$3="","",IF(COUNTIFS(BD!$A$3:$A$5001,Z$3,BD!$B$3:$B$5001,$A$501,BD!$S$3:$S$5001,"&lt;&gt;")=0,"",SUMIFS(BD!$S$3:$S$5001,BD!$A$3:$A$5001,Z$3,BD!$B$3:$B$5001,$A$501)))</f>
        <v/>
      </c>
      <c r="AA517" s="258" t="str">
        <f>IF(AA$3="","",IF(COUNTIFS(BD!$A$3:$A$5001,AA$3,BD!$B$3:$B$5001,$A$501,BD!$S$3:$S$5001,"&lt;&gt;")=0,"",SUMIFS(BD!$S$3:$S$5001,BD!$A$3:$A$5001,AA$3,BD!$B$3:$B$5001,$A$501)))</f>
        <v/>
      </c>
      <c r="AB517" s="258" t="str">
        <f>IF(AB$3="","",IF(COUNTIFS(BD!$A$3:$A$5001,AB$3,BD!$B$3:$B$5001,$A$501,BD!$S$3:$S$5001,"&lt;&gt;")=0,"",SUMIFS(BD!$S$3:$S$5001,BD!$A$3:$A$5001,AB$3,BD!$B$3:$B$5001,$A$501)))</f>
        <v/>
      </c>
      <c r="AC517" s="258" t="str">
        <f>IF(AC$3="","",IF(COUNTIFS(BD!$A$3:$A$5001,AC$3,BD!$B$3:$B$5001,$A$501,BD!$S$3:$S$5001,"&lt;&gt;")=0,"",SUMIFS(BD!$S$3:$S$5001,BD!$A$3:$A$5001,AC$3,BD!$B$3:$B$5001,$A$501)))</f>
        <v/>
      </c>
      <c r="AD517" s="258" t="str">
        <f>IF(AD$3="","",IF(COUNTIFS(BD!$A$3:$A$5001,AD$3,BD!$B$3:$B$5001,$A$501,BD!$S$3:$S$5001,"&lt;&gt;")=0,"",SUMIFS(BD!$S$3:$S$5001,BD!$A$3:$A$5001,AD$3,BD!$B$3:$B$5001,$A$501)))</f>
        <v/>
      </c>
      <c r="AE517" s="258" t="str">
        <f>IF(AE$3="","",IF(COUNTIFS(BD!$A$3:$A$5001,AE$3,BD!$B$3:$B$5001,$A$501,BD!$S$3:$S$5001,"&lt;&gt;")=0,"",SUMIFS(BD!$S$3:$S$5001,BD!$A$3:$A$5001,AE$3,BD!$B$3:$B$5001,$A$501)))</f>
        <v/>
      </c>
      <c r="AF517" s="258" t="str">
        <f>IF(AF$3="","",IF(COUNTIFS(BD!$A$3:$A$5001,AF$3,BD!$B$3:$B$5001,$A$501,BD!$S$3:$S$5001,"&lt;&gt;")=0,"",SUMIFS(BD!$S$3:$S$5001,BD!$A$3:$A$5001,AF$3,BD!$B$3:$B$5001,$A$501)))</f>
        <v/>
      </c>
      <c r="AG517" s="258" t="str">
        <f>IF(AG$3="","",IF(COUNTIFS(BD!$A$3:$A$5001,AG$3,BD!$B$3:$B$5001,$A$501,BD!$S$3:$S$5001,"&lt;&gt;")=0,"",SUMIFS(BD!$S$3:$S$5001,BD!$A$3:$A$5001,AG$3,BD!$B$3:$B$5001,$A$501)))</f>
        <v/>
      </c>
      <c r="AH517" s="258" t="str">
        <f>IF(AH$3="","",IF(COUNTIFS(BD!$A$3:$A$5001,AH$3,BD!$B$3:$B$5001,$A$501,BD!$S$3:$S$5001,"&lt;&gt;")=0,"",SUMIFS(BD!$S$3:$S$5001,BD!$A$3:$A$5001,AH$3,BD!$B$3:$B$5001,$A$501)))</f>
        <v/>
      </c>
      <c r="AI517" s="258" t="str">
        <f>IF(AI$3="","",IF(COUNTIFS(BD!$A$3:$A$5001,AI$3,BD!$B$3:$B$5001,$A$501,BD!$S$3:$S$5001,"&lt;&gt;")=0,"",SUMIFS(BD!$S$3:$S$5001,BD!$A$3:$A$5001,AI$3,BD!$B$3:$B$5001,$A$501)))</f>
        <v/>
      </c>
      <c r="AJ517" s="259" t="str">
        <f>IF(AJ$3="","",IF(COUNTIFS(BD!$A$3:$A$5001,AJ$3,BD!$B$3:$B$5001,$A$501,BD!$S$3:$S$5001,"&lt;&gt;")=0,"",SUMIFS(BD!$S$3:$S$5001,BD!$A$3:$A$5001,AJ$3,BD!$B$3:$B$5001,$A$501)))</f>
        <v/>
      </c>
      <c r="AK517" s="260" t="str">
        <f>IF(COUNT(F517:AJ517)=0,"",SUM(F517:AJ517))</f>
        <v/>
      </c>
    </row>
    <row r="518" ht="15.75" customHeight="1" hidden="1">
      <c r="A518" s="244"/>
      <c r="B518" s="236" t="inlineStr">
        <is>
          <t xml:space="preserve">NC</t>
        </is>
      </c>
      <c r="C518" s="181" t="inlineStr">
        <is>
          <t xml:space="preserve">Incidentes</t>
        </is>
      </c>
      <c r="D518" s="182" t="str">
        <f>IFERROR(1/(1/INDEX(BD!$AJ$40:$BD$40,MATCH($A$501,BD!$AJ$22:$BD$22,0))),"")</f>
        <v/>
      </c>
      <c r="E518" s="183"/>
      <c r="F518" s="184" t="str">
        <f>IF(F$3="","",IF(COUNTIFS(BD!$A$3:$A$5001,F$3,BD!$B$3:$B$5001,$A$501,BD!$T$3:$T$5001,"&lt;&gt;")=0,"",SUMIFS(BD!$T$3:$T$5001,BD!$A$3:$A$5001,F$3,BD!$B$3:$B$5001,$A$501)))</f>
        <v/>
      </c>
      <c r="G518" s="185" t="str">
        <f>IF(G$3="","",IF(COUNTIFS(BD!$A$3:$A$5001,G$3,BD!$B$3:$B$5001,$A$501,BD!$T$3:$T$5001,"&lt;&gt;")=0,"",SUMIFS(BD!$T$3:$T$5001,BD!$A$3:$A$5001,G$3,BD!$B$3:$B$5001,$A$501)))</f>
        <v/>
      </c>
      <c r="H518" s="185" t="str">
        <f>IF(H$3="","",IF(COUNTIFS(BD!$A$3:$A$5001,H$3,BD!$B$3:$B$5001,$A$501,BD!$T$3:$T$5001,"&lt;&gt;")=0,"",SUMIFS(BD!$T$3:$T$5001,BD!$A$3:$A$5001,H$3,BD!$B$3:$B$5001,$A$501)))</f>
        <v/>
      </c>
      <c r="I518" s="185" t="str">
        <f>IF(I$3="","",IF(COUNTIFS(BD!$A$3:$A$5001,I$3,BD!$B$3:$B$5001,$A$501,BD!$T$3:$T$5001,"&lt;&gt;")=0,"",SUMIFS(BD!$T$3:$T$5001,BD!$A$3:$A$5001,I$3,BD!$B$3:$B$5001,$A$501)))</f>
        <v/>
      </c>
      <c r="J518" s="185" t="str">
        <f>IF(J$3="","",IF(COUNTIFS(BD!$A$3:$A$5001,J$3,BD!$B$3:$B$5001,$A$501,BD!$T$3:$T$5001,"&lt;&gt;")=0,"",SUMIFS(BD!$T$3:$T$5001,BD!$A$3:$A$5001,J$3,BD!$B$3:$B$5001,$A$501)))</f>
        <v/>
      </c>
      <c r="K518" s="185" t="str">
        <f>IF(K$3="","",IF(COUNTIFS(BD!$A$3:$A$5001,K$3,BD!$B$3:$B$5001,$A$501,BD!$T$3:$T$5001,"&lt;&gt;")=0,"",SUMIFS(BD!$T$3:$T$5001,BD!$A$3:$A$5001,K$3,BD!$B$3:$B$5001,$A$501)))</f>
        <v/>
      </c>
      <c r="L518" s="185" t="str">
        <f>IF(L$3="","",IF(COUNTIFS(BD!$A$3:$A$5001,L$3,BD!$B$3:$B$5001,$A$501,BD!$T$3:$T$5001,"&lt;&gt;")=0,"",SUMIFS(BD!$T$3:$T$5001,BD!$A$3:$A$5001,L$3,BD!$B$3:$B$5001,$A$501)))</f>
        <v/>
      </c>
      <c r="M518" s="185" t="str">
        <f>IF(M$3="","",IF(COUNTIFS(BD!$A$3:$A$5001,M$3,BD!$B$3:$B$5001,$A$501,BD!$T$3:$T$5001,"&lt;&gt;")=0,"",SUMIFS(BD!$T$3:$T$5001,BD!$A$3:$A$5001,M$3,BD!$B$3:$B$5001,$A$501)))</f>
        <v/>
      </c>
      <c r="N518" s="185" t="str">
        <f>IF(N$3="","",IF(COUNTIFS(BD!$A$3:$A$5001,N$3,BD!$B$3:$B$5001,$A$501,BD!$T$3:$T$5001,"&lt;&gt;")=0,"",SUMIFS(BD!$T$3:$T$5001,BD!$A$3:$A$5001,N$3,BD!$B$3:$B$5001,$A$501)))</f>
        <v/>
      </c>
      <c r="O518" s="185" t="str">
        <f>IF(O$3="","",IF(COUNTIFS(BD!$A$3:$A$5001,O$3,BD!$B$3:$B$5001,$A$501,BD!$T$3:$T$5001,"&lt;&gt;")=0,"",SUMIFS(BD!$T$3:$T$5001,BD!$A$3:$A$5001,O$3,BD!$B$3:$B$5001,$A$501)))</f>
        <v/>
      </c>
      <c r="P518" s="185" t="str">
        <f>IF(P$3="","",IF(COUNTIFS(BD!$A$3:$A$5001,P$3,BD!$B$3:$B$5001,$A$501,BD!$T$3:$T$5001,"&lt;&gt;")=0,"",SUMIFS(BD!$T$3:$T$5001,BD!$A$3:$A$5001,P$3,BD!$B$3:$B$5001,$A$501)))</f>
        <v/>
      </c>
      <c r="Q518" s="185" t="str">
        <f>IF(Q$3="","",IF(COUNTIFS(BD!$A$3:$A$5001,Q$3,BD!$B$3:$B$5001,$A$501,BD!$T$3:$T$5001,"&lt;&gt;")=0,"",SUMIFS(BD!$T$3:$T$5001,BD!$A$3:$A$5001,Q$3,BD!$B$3:$B$5001,$A$501)))</f>
        <v/>
      </c>
      <c r="R518" s="185" t="str">
        <f>IF(R$3="","",IF(COUNTIFS(BD!$A$3:$A$5001,R$3,BD!$B$3:$B$5001,$A$501,BD!$T$3:$T$5001,"&lt;&gt;")=0,"",SUMIFS(BD!$T$3:$T$5001,BD!$A$3:$A$5001,R$3,BD!$B$3:$B$5001,$A$501)))</f>
        <v/>
      </c>
      <c r="S518" s="185" t="str">
        <f>IF(S$3="","",IF(COUNTIFS(BD!$A$3:$A$5001,S$3,BD!$B$3:$B$5001,$A$501,BD!$T$3:$T$5001,"&lt;&gt;")=0,"",SUMIFS(BD!$T$3:$T$5001,BD!$A$3:$A$5001,S$3,BD!$B$3:$B$5001,$A$501)))</f>
        <v/>
      </c>
      <c r="T518" s="185" t="str">
        <f>IF(T$3="","",IF(COUNTIFS(BD!$A$3:$A$5001,T$3,BD!$B$3:$B$5001,$A$501,BD!$T$3:$T$5001,"&lt;&gt;")=0,"",SUMIFS(BD!$T$3:$T$5001,BD!$A$3:$A$5001,T$3,BD!$B$3:$B$5001,$A$501)))</f>
        <v/>
      </c>
      <c r="U518" s="185" t="str">
        <f>IF(U$3="","",IF(COUNTIFS(BD!$A$3:$A$5001,U$3,BD!$B$3:$B$5001,$A$501,BD!$T$3:$T$5001,"&lt;&gt;")=0,"",SUMIFS(BD!$T$3:$T$5001,BD!$A$3:$A$5001,U$3,BD!$B$3:$B$5001,$A$501)))</f>
        <v/>
      </c>
      <c r="V518" s="185" t="str">
        <f>IF(V$3="","",IF(COUNTIFS(BD!$A$3:$A$5001,V$3,BD!$B$3:$B$5001,$A$501,BD!$T$3:$T$5001,"&lt;&gt;")=0,"",SUMIFS(BD!$T$3:$T$5001,BD!$A$3:$A$5001,V$3,BD!$B$3:$B$5001,$A$501)))</f>
        <v/>
      </c>
      <c r="W518" s="185" t="str">
        <f>IF(W$3="","",IF(COUNTIFS(BD!$A$3:$A$5001,W$3,BD!$B$3:$B$5001,$A$501,BD!$T$3:$T$5001,"&lt;&gt;")=0,"",SUMIFS(BD!$T$3:$T$5001,BD!$A$3:$A$5001,W$3,BD!$B$3:$B$5001,$A$501)))</f>
        <v/>
      </c>
      <c r="X518" s="185" t="str">
        <f>IF(X$3="","",IF(COUNTIFS(BD!$A$3:$A$5001,X$3,BD!$B$3:$B$5001,$A$501,BD!$T$3:$T$5001,"&lt;&gt;")=0,"",SUMIFS(BD!$T$3:$T$5001,BD!$A$3:$A$5001,X$3,BD!$B$3:$B$5001,$A$501)))</f>
        <v/>
      </c>
      <c r="Y518" s="185" t="str">
        <f>IF(Y$3="","",IF(COUNTIFS(BD!$A$3:$A$5001,Y$3,BD!$B$3:$B$5001,$A$501,BD!$T$3:$T$5001,"&lt;&gt;")=0,"",SUMIFS(BD!$T$3:$T$5001,BD!$A$3:$A$5001,Y$3,BD!$B$3:$B$5001,$A$501)))</f>
        <v/>
      </c>
      <c r="Z518" s="185" t="str">
        <f>IF(Z$3="","",IF(COUNTIFS(BD!$A$3:$A$5001,Z$3,BD!$B$3:$B$5001,$A$501,BD!$T$3:$T$5001,"&lt;&gt;")=0,"",SUMIFS(BD!$T$3:$T$5001,BD!$A$3:$A$5001,Z$3,BD!$B$3:$B$5001,$A$501)))</f>
        <v/>
      </c>
      <c r="AA518" s="185" t="str">
        <f>IF(AA$3="","",IF(COUNTIFS(BD!$A$3:$A$5001,AA$3,BD!$B$3:$B$5001,$A$501,BD!$T$3:$T$5001,"&lt;&gt;")=0,"",SUMIFS(BD!$T$3:$T$5001,BD!$A$3:$A$5001,AA$3,BD!$B$3:$B$5001,$A$501)))</f>
        <v/>
      </c>
      <c r="AB518" s="185" t="str">
        <f>IF(AB$3="","",IF(COUNTIFS(BD!$A$3:$A$5001,AB$3,BD!$B$3:$B$5001,$A$501,BD!$T$3:$T$5001,"&lt;&gt;")=0,"",SUMIFS(BD!$T$3:$T$5001,BD!$A$3:$A$5001,AB$3,BD!$B$3:$B$5001,$A$501)))</f>
        <v/>
      </c>
      <c r="AC518" s="185" t="str">
        <f>IF(AC$3="","",IF(COUNTIFS(BD!$A$3:$A$5001,AC$3,BD!$B$3:$B$5001,$A$501,BD!$T$3:$T$5001,"&lt;&gt;")=0,"",SUMIFS(BD!$T$3:$T$5001,BD!$A$3:$A$5001,AC$3,BD!$B$3:$B$5001,$A$501)))</f>
        <v/>
      </c>
      <c r="AD518" s="185" t="str">
        <f>IF(AD$3="","",IF(COUNTIFS(BD!$A$3:$A$5001,AD$3,BD!$B$3:$B$5001,$A$501,BD!$T$3:$T$5001,"&lt;&gt;")=0,"",SUMIFS(BD!$T$3:$T$5001,BD!$A$3:$A$5001,AD$3,BD!$B$3:$B$5001,$A$501)))</f>
        <v/>
      </c>
      <c r="AE518" s="185" t="str">
        <f>IF(AE$3="","",IF(COUNTIFS(BD!$A$3:$A$5001,AE$3,BD!$B$3:$B$5001,$A$501,BD!$T$3:$T$5001,"&lt;&gt;")=0,"",SUMIFS(BD!$T$3:$T$5001,BD!$A$3:$A$5001,AE$3,BD!$B$3:$B$5001,$A$501)))</f>
        <v/>
      </c>
      <c r="AF518" s="185" t="str">
        <f>IF(AF$3="","",IF(COUNTIFS(BD!$A$3:$A$5001,AF$3,BD!$B$3:$B$5001,$A$501,BD!$T$3:$T$5001,"&lt;&gt;")=0,"",SUMIFS(BD!$T$3:$T$5001,BD!$A$3:$A$5001,AF$3,BD!$B$3:$B$5001,$A$501)))</f>
        <v/>
      </c>
      <c r="AG518" s="185" t="str">
        <f>IF(AG$3="","",IF(COUNTIFS(BD!$A$3:$A$5001,AG$3,BD!$B$3:$B$5001,$A$501,BD!$T$3:$T$5001,"&lt;&gt;")=0,"",SUMIFS(BD!$T$3:$T$5001,BD!$A$3:$A$5001,AG$3,BD!$B$3:$B$5001,$A$501)))</f>
        <v/>
      </c>
      <c r="AH518" s="185" t="str">
        <f>IF(AH$3="","",IF(COUNTIFS(BD!$A$3:$A$5001,AH$3,BD!$B$3:$B$5001,$A$501,BD!$T$3:$T$5001,"&lt;&gt;")=0,"",SUMIFS(BD!$T$3:$T$5001,BD!$A$3:$A$5001,AH$3,BD!$B$3:$B$5001,$A$501)))</f>
        <v/>
      </c>
      <c r="AI518" s="185" t="str">
        <f>IF(AI$3="","",IF(COUNTIFS(BD!$A$3:$A$5001,AI$3,BD!$B$3:$B$5001,$A$501,BD!$T$3:$T$5001,"&lt;&gt;")=0,"",SUMIFS(BD!$T$3:$T$5001,BD!$A$3:$A$5001,AI$3,BD!$B$3:$B$5001,$A$501)))</f>
        <v/>
      </c>
      <c r="AJ518" s="186" t="str">
        <f>IF(AJ$3="","",IF(COUNTIFS(BD!$A$3:$A$5001,AJ$3,BD!$B$3:$B$5001,$A$501,BD!$T$3:$T$5001,"&lt;&gt;")=0,"",SUMIFS(BD!$T$3:$T$5001,BD!$A$3:$A$5001,AJ$3,BD!$B$3:$B$5001,$A$501)))</f>
        <v/>
      </c>
      <c r="AK518" s="187" t="str">
        <f>IF(COUNT(F518:AJ518)=0,"",SUM(F518:AJ518))</f>
        <v/>
      </c>
    </row>
    <row r="519" ht="15.75" customHeight="1" hidden="1">
      <c r="A519" s="244"/>
      <c r="B519" s="237"/>
      <c r="C519" s="188" t="inlineStr">
        <is>
          <t xml:space="preserve">No show</t>
        </is>
      </c>
      <c r="D519" s="189" t="str">
        <f>IFERROR(1/(1/INDEX(BD!$AJ$41:$BD$41,MATCH($A$501,BD!$AJ$22:$BD$22,0))),"")</f>
        <v/>
      </c>
      <c r="E519" s="190"/>
      <c r="F519" s="191" t="str">
        <f>IF(F$3="","",IF(COUNTIFS(BD!$A$3:$A$5001,F$3,BD!$B$3:$B$5001,$A$501,BD!$U$3:$U$5001,"&lt;&gt;")=0,"",SUMIFS(BD!$U$3:$U$5001,BD!$A$3:$A$5001,F$3,BD!$B$3:$B$5001,$A$501)))</f>
        <v/>
      </c>
      <c r="G519" s="192" t="str">
        <f>IF(G$3="","",IF(COUNTIFS(BD!$A$3:$A$5001,G$3,BD!$B$3:$B$5001,$A$501,BD!$U$3:$U$5001,"&lt;&gt;")=0,"",SUMIFS(BD!$U$3:$U$5001,BD!$A$3:$A$5001,G$3,BD!$B$3:$B$5001,$A$501)))</f>
        <v/>
      </c>
      <c r="H519" s="192" t="str">
        <f>IF(H$3="","",IF(COUNTIFS(BD!$A$3:$A$5001,H$3,BD!$B$3:$B$5001,$A$501,BD!$U$3:$U$5001,"&lt;&gt;")=0,"",SUMIFS(BD!$U$3:$U$5001,BD!$A$3:$A$5001,H$3,BD!$B$3:$B$5001,$A$501)))</f>
        <v/>
      </c>
      <c r="I519" s="192" t="str">
        <f>IF(I$3="","",IF(COUNTIFS(BD!$A$3:$A$5001,I$3,BD!$B$3:$B$5001,$A$501,BD!$U$3:$U$5001,"&lt;&gt;")=0,"",SUMIFS(BD!$U$3:$U$5001,BD!$A$3:$A$5001,I$3,BD!$B$3:$B$5001,$A$501)))</f>
        <v/>
      </c>
      <c r="J519" s="192" t="str">
        <f>IF(J$3="","",IF(COUNTIFS(BD!$A$3:$A$5001,J$3,BD!$B$3:$B$5001,$A$501,BD!$U$3:$U$5001,"&lt;&gt;")=0,"",SUMIFS(BD!$U$3:$U$5001,BD!$A$3:$A$5001,J$3,BD!$B$3:$B$5001,$A$501)))</f>
        <v/>
      </c>
      <c r="K519" s="192" t="str">
        <f>IF(K$3="","",IF(COUNTIFS(BD!$A$3:$A$5001,K$3,BD!$B$3:$B$5001,$A$501,BD!$U$3:$U$5001,"&lt;&gt;")=0,"",SUMIFS(BD!$U$3:$U$5001,BD!$A$3:$A$5001,K$3,BD!$B$3:$B$5001,$A$501)))</f>
        <v/>
      </c>
      <c r="L519" s="192" t="str">
        <f>IF(L$3="","",IF(COUNTIFS(BD!$A$3:$A$5001,L$3,BD!$B$3:$B$5001,$A$501,BD!$U$3:$U$5001,"&lt;&gt;")=0,"",SUMIFS(BD!$U$3:$U$5001,BD!$A$3:$A$5001,L$3,BD!$B$3:$B$5001,$A$501)))</f>
        <v/>
      </c>
      <c r="M519" s="192" t="str">
        <f>IF(M$3="","",IF(COUNTIFS(BD!$A$3:$A$5001,M$3,BD!$B$3:$B$5001,$A$501,BD!$U$3:$U$5001,"&lt;&gt;")=0,"",SUMIFS(BD!$U$3:$U$5001,BD!$A$3:$A$5001,M$3,BD!$B$3:$B$5001,$A$501)))</f>
        <v/>
      </c>
      <c r="N519" s="192" t="str">
        <f>IF(N$3="","",IF(COUNTIFS(BD!$A$3:$A$5001,N$3,BD!$B$3:$B$5001,$A$501,BD!$U$3:$U$5001,"&lt;&gt;")=0,"",SUMIFS(BD!$U$3:$U$5001,BD!$A$3:$A$5001,N$3,BD!$B$3:$B$5001,$A$501)))</f>
        <v/>
      </c>
      <c r="O519" s="192" t="str">
        <f>IF(O$3="","",IF(COUNTIFS(BD!$A$3:$A$5001,O$3,BD!$B$3:$B$5001,$A$501,BD!$U$3:$U$5001,"&lt;&gt;")=0,"",SUMIFS(BD!$U$3:$U$5001,BD!$A$3:$A$5001,O$3,BD!$B$3:$B$5001,$A$501)))</f>
        <v/>
      </c>
      <c r="P519" s="192" t="str">
        <f>IF(P$3="","",IF(COUNTIFS(BD!$A$3:$A$5001,P$3,BD!$B$3:$B$5001,$A$501,BD!$U$3:$U$5001,"&lt;&gt;")=0,"",SUMIFS(BD!$U$3:$U$5001,BD!$A$3:$A$5001,P$3,BD!$B$3:$B$5001,$A$501)))</f>
        <v/>
      </c>
      <c r="Q519" s="192" t="str">
        <f>IF(Q$3="","",IF(COUNTIFS(BD!$A$3:$A$5001,Q$3,BD!$B$3:$B$5001,$A$501,BD!$U$3:$U$5001,"&lt;&gt;")=0,"",SUMIFS(BD!$U$3:$U$5001,BD!$A$3:$A$5001,Q$3,BD!$B$3:$B$5001,$A$501)))</f>
        <v/>
      </c>
      <c r="R519" s="192" t="str">
        <f>IF(R$3="","",IF(COUNTIFS(BD!$A$3:$A$5001,R$3,BD!$B$3:$B$5001,$A$501,BD!$U$3:$U$5001,"&lt;&gt;")=0,"",SUMIFS(BD!$U$3:$U$5001,BD!$A$3:$A$5001,R$3,BD!$B$3:$B$5001,$A$501)))</f>
        <v/>
      </c>
      <c r="S519" s="192" t="str">
        <f>IF(S$3="","",IF(COUNTIFS(BD!$A$3:$A$5001,S$3,BD!$B$3:$B$5001,$A$501,BD!$U$3:$U$5001,"&lt;&gt;")=0,"",SUMIFS(BD!$U$3:$U$5001,BD!$A$3:$A$5001,S$3,BD!$B$3:$B$5001,$A$501)))</f>
        <v/>
      </c>
      <c r="T519" s="192" t="str">
        <f>IF(T$3="","",IF(COUNTIFS(BD!$A$3:$A$5001,T$3,BD!$B$3:$B$5001,$A$501,BD!$U$3:$U$5001,"&lt;&gt;")=0,"",SUMIFS(BD!$U$3:$U$5001,BD!$A$3:$A$5001,T$3,BD!$B$3:$B$5001,$A$501)))</f>
        <v/>
      </c>
      <c r="U519" s="192" t="str">
        <f>IF(U$3="","",IF(COUNTIFS(BD!$A$3:$A$5001,U$3,BD!$B$3:$B$5001,$A$501,BD!$U$3:$U$5001,"&lt;&gt;")=0,"",SUMIFS(BD!$U$3:$U$5001,BD!$A$3:$A$5001,U$3,BD!$B$3:$B$5001,$A$501)))</f>
        <v/>
      </c>
      <c r="V519" s="192" t="str">
        <f>IF(V$3="","",IF(COUNTIFS(BD!$A$3:$A$5001,V$3,BD!$B$3:$B$5001,$A$501,BD!$U$3:$U$5001,"&lt;&gt;")=0,"",SUMIFS(BD!$U$3:$U$5001,BD!$A$3:$A$5001,V$3,BD!$B$3:$B$5001,$A$501)))</f>
        <v/>
      </c>
      <c r="W519" s="192" t="str">
        <f>IF(W$3="","",IF(COUNTIFS(BD!$A$3:$A$5001,W$3,BD!$B$3:$B$5001,$A$501,BD!$U$3:$U$5001,"&lt;&gt;")=0,"",SUMIFS(BD!$U$3:$U$5001,BD!$A$3:$A$5001,W$3,BD!$B$3:$B$5001,$A$501)))</f>
        <v/>
      </c>
      <c r="X519" s="192" t="str">
        <f>IF(X$3="","",IF(COUNTIFS(BD!$A$3:$A$5001,X$3,BD!$B$3:$B$5001,$A$501,BD!$U$3:$U$5001,"&lt;&gt;")=0,"",SUMIFS(BD!$U$3:$U$5001,BD!$A$3:$A$5001,X$3,BD!$B$3:$B$5001,$A$501)))</f>
        <v/>
      </c>
      <c r="Y519" s="192" t="str">
        <f>IF(Y$3="","",IF(COUNTIFS(BD!$A$3:$A$5001,Y$3,BD!$B$3:$B$5001,$A$501,BD!$U$3:$U$5001,"&lt;&gt;")=0,"",SUMIFS(BD!$U$3:$U$5001,BD!$A$3:$A$5001,Y$3,BD!$B$3:$B$5001,$A$501)))</f>
        <v/>
      </c>
      <c r="Z519" s="192" t="str">
        <f>IF(Z$3="","",IF(COUNTIFS(BD!$A$3:$A$5001,Z$3,BD!$B$3:$B$5001,$A$501,BD!$U$3:$U$5001,"&lt;&gt;")=0,"",SUMIFS(BD!$U$3:$U$5001,BD!$A$3:$A$5001,Z$3,BD!$B$3:$B$5001,$A$501)))</f>
        <v/>
      </c>
      <c r="AA519" s="192" t="str">
        <f>IF(AA$3="","",IF(COUNTIFS(BD!$A$3:$A$5001,AA$3,BD!$B$3:$B$5001,$A$501,BD!$U$3:$U$5001,"&lt;&gt;")=0,"",SUMIFS(BD!$U$3:$U$5001,BD!$A$3:$A$5001,AA$3,BD!$B$3:$B$5001,$A$501)))</f>
        <v/>
      </c>
      <c r="AB519" s="192" t="str">
        <f>IF(AB$3="","",IF(COUNTIFS(BD!$A$3:$A$5001,AB$3,BD!$B$3:$B$5001,$A$501,BD!$U$3:$U$5001,"&lt;&gt;")=0,"",SUMIFS(BD!$U$3:$U$5001,BD!$A$3:$A$5001,AB$3,BD!$B$3:$B$5001,$A$501)))</f>
        <v/>
      </c>
      <c r="AC519" s="192" t="str">
        <f>IF(AC$3="","",IF(COUNTIFS(BD!$A$3:$A$5001,AC$3,BD!$B$3:$B$5001,$A$501,BD!$U$3:$U$5001,"&lt;&gt;")=0,"",SUMIFS(BD!$U$3:$U$5001,BD!$A$3:$A$5001,AC$3,BD!$B$3:$B$5001,$A$501)))</f>
        <v/>
      </c>
      <c r="AD519" s="192" t="str">
        <f>IF(AD$3="","",IF(COUNTIFS(BD!$A$3:$A$5001,AD$3,BD!$B$3:$B$5001,$A$501,BD!$U$3:$U$5001,"&lt;&gt;")=0,"",SUMIFS(BD!$U$3:$U$5001,BD!$A$3:$A$5001,AD$3,BD!$B$3:$B$5001,$A$501)))</f>
        <v/>
      </c>
      <c r="AE519" s="192" t="str">
        <f>IF(AE$3="","",IF(COUNTIFS(BD!$A$3:$A$5001,AE$3,BD!$B$3:$B$5001,$A$501,BD!$U$3:$U$5001,"&lt;&gt;")=0,"",SUMIFS(BD!$U$3:$U$5001,BD!$A$3:$A$5001,AE$3,BD!$B$3:$B$5001,$A$501)))</f>
        <v/>
      </c>
      <c r="AF519" s="192" t="str">
        <f>IF(AF$3="","",IF(COUNTIFS(BD!$A$3:$A$5001,AF$3,BD!$B$3:$B$5001,$A$501,BD!$U$3:$U$5001,"&lt;&gt;")=0,"",SUMIFS(BD!$U$3:$U$5001,BD!$A$3:$A$5001,AF$3,BD!$B$3:$B$5001,$A$501)))</f>
        <v/>
      </c>
      <c r="AG519" s="192" t="str">
        <f>IF(AG$3="","",IF(COUNTIFS(BD!$A$3:$A$5001,AG$3,BD!$B$3:$B$5001,$A$501,BD!$U$3:$U$5001,"&lt;&gt;")=0,"",SUMIFS(BD!$U$3:$U$5001,BD!$A$3:$A$5001,AG$3,BD!$B$3:$B$5001,$A$501)))</f>
        <v/>
      </c>
      <c r="AH519" s="192" t="str">
        <f>IF(AH$3="","",IF(COUNTIFS(BD!$A$3:$A$5001,AH$3,BD!$B$3:$B$5001,$A$501,BD!$U$3:$U$5001,"&lt;&gt;")=0,"",SUMIFS(BD!$U$3:$U$5001,BD!$A$3:$A$5001,AH$3,BD!$B$3:$B$5001,$A$501)))</f>
        <v/>
      </c>
      <c r="AI519" s="192" t="str">
        <f>IF(AI$3="","",IF(COUNTIFS(BD!$A$3:$A$5001,AI$3,BD!$B$3:$B$5001,$A$501,BD!$U$3:$U$5001,"&lt;&gt;")=0,"",SUMIFS(BD!$U$3:$U$5001,BD!$A$3:$A$5001,AI$3,BD!$B$3:$B$5001,$A$501)))</f>
        <v/>
      </c>
      <c r="AJ519" s="193" t="str">
        <f>IF(AJ$3="","",IF(COUNTIFS(BD!$A$3:$A$5001,AJ$3,BD!$B$3:$B$5001,$A$501,BD!$U$3:$U$5001,"&lt;&gt;")=0,"",SUMIFS(BD!$U$3:$U$5001,BD!$A$3:$A$5001,AJ$3,BD!$B$3:$B$5001,$A$501)))</f>
        <v/>
      </c>
      <c r="AK519" s="194" t="str">
        <f>IF(COUNT(F519:AJ519)=0,"",SUM(F519:AJ519))</f>
        <v/>
      </c>
    </row>
    <row r="520" ht="15.75" customHeight="1" hidden="1">
      <c r="A520" s="244"/>
      <c r="B520" s="238"/>
      <c r="C520" s="195" t="inlineStr">
        <is>
          <t xml:space="preserve">Backlog</t>
        </is>
      </c>
      <c r="D520" s="196" t="str">
        <f>IFERROR(1/(1/INDEX(BD!$AJ$42:$BD$42,MATCH($A$501,BD!$AJ$22:$BD$22,0))),"")</f>
        <v/>
      </c>
      <c r="E520" s="197"/>
      <c r="F520" s="198" t="str">
        <f>IF(F$3="","",IF(COUNTIFS(BD!$A$3:$A$5001,F$3,BD!$B$3:$B$5001,$A$501,BD!$V$3:$V$5001,"&lt;&gt;")=0,"",SUMIFS(BD!$V$3:$V$5001,BD!$A$3:$A$5001,F$3,BD!$B$3:$B$5001,$A$501)))</f>
        <v/>
      </c>
      <c r="G520" s="199" t="str">
        <f>IF(G$3="","",IF(COUNTIFS(BD!$A$3:$A$5001,G$3,BD!$B$3:$B$5001,$A$501,BD!$V$3:$V$5001,"&lt;&gt;")=0,"",SUMIFS(BD!$V$3:$V$5001,BD!$A$3:$A$5001,G$3,BD!$B$3:$B$5001,$A$501)))</f>
        <v/>
      </c>
      <c r="H520" s="199" t="str">
        <f>IF(H$3="","",IF(COUNTIFS(BD!$A$3:$A$5001,H$3,BD!$B$3:$B$5001,$A$501,BD!$V$3:$V$5001,"&lt;&gt;")=0,"",SUMIFS(BD!$V$3:$V$5001,BD!$A$3:$A$5001,H$3,BD!$B$3:$B$5001,$A$501)))</f>
        <v/>
      </c>
      <c r="I520" s="199" t="str">
        <f>IF(I$3="","",IF(COUNTIFS(BD!$A$3:$A$5001,I$3,BD!$B$3:$B$5001,$A$501,BD!$V$3:$V$5001,"&lt;&gt;")=0,"",SUMIFS(BD!$V$3:$V$5001,BD!$A$3:$A$5001,I$3,BD!$B$3:$B$5001,$A$501)))</f>
        <v/>
      </c>
      <c r="J520" s="199" t="str">
        <f>IF(J$3="","",IF(COUNTIFS(BD!$A$3:$A$5001,J$3,BD!$B$3:$B$5001,$A$501,BD!$V$3:$V$5001,"&lt;&gt;")=0,"",SUMIFS(BD!$V$3:$V$5001,BD!$A$3:$A$5001,J$3,BD!$B$3:$B$5001,$A$501)))</f>
        <v/>
      </c>
      <c r="K520" s="199" t="str">
        <f>IF(K$3="","",IF(COUNTIFS(BD!$A$3:$A$5001,K$3,BD!$B$3:$B$5001,$A$501,BD!$V$3:$V$5001,"&lt;&gt;")=0,"",SUMIFS(BD!$V$3:$V$5001,BD!$A$3:$A$5001,K$3,BD!$B$3:$B$5001,$A$501)))</f>
        <v/>
      </c>
      <c r="L520" s="199" t="str">
        <f>IF(L$3="","",IF(COUNTIFS(BD!$A$3:$A$5001,L$3,BD!$B$3:$B$5001,$A$501,BD!$V$3:$V$5001,"&lt;&gt;")=0,"",SUMIFS(BD!$V$3:$V$5001,BD!$A$3:$A$5001,L$3,BD!$B$3:$B$5001,$A$501)))</f>
        <v/>
      </c>
      <c r="M520" s="199" t="str">
        <f>IF(M$3="","",IF(COUNTIFS(BD!$A$3:$A$5001,M$3,BD!$B$3:$B$5001,$A$501,BD!$V$3:$V$5001,"&lt;&gt;")=0,"",SUMIFS(BD!$V$3:$V$5001,BD!$A$3:$A$5001,M$3,BD!$B$3:$B$5001,$A$501)))</f>
        <v/>
      </c>
      <c r="N520" s="199" t="str">
        <f>IF(N$3="","",IF(COUNTIFS(BD!$A$3:$A$5001,N$3,BD!$B$3:$B$5001,$A$501,BD!$V$3:$V$5001,"&lt;&gt;")=0,"",SUMIFS(BD!$V$3:$V$5001,BD!$A$3:$A$5001,N$3,BD!$B$3:$B$5001,$A$501)))</f>
        <v/>
      </c>
      <c r="O520" s="199" t="str">
        <f>IF(O$3="","",IF(COUNTIFS(BD!$A$3:$A$5001,O$3,BD!$B$3:$B$5001,$A$501,BD!$V$3:$V$5001,"&lt;&gt;")=0,"",SUMIFS(BD!$V$3:$V$5001,BD!$A$3:$A$5001,O$3,BD!$B$3:$B$5001,$A$501)))</f>
        <v/>
      </c>
      <c r="P520" s="199" t="str">
        <f>IF(P$3="","",IF(COUNTIFS(BD!$A$3:$A$5001,P$3,BD!$B$3:$B$5001,$A$501,BD!$V$3:$V$5001,"&lt;&gt;")=0,"",SUMIFS(BD!$V$3:$V$5001,BD!$A$3:$A$5001,P$3,BD!$B$3:$B$5001,$A$501)))</f>
        <v/>
      </c>
      <c r="Q520" s="199" t="str">
        <f>IF(Q$3="","",IF(COUNTIFS(BD!$A$3:$A$5001,Q$3,BD!$B$3:$B$5001,$A$501,BD!$V$3:$V$5001,"&lt;&gt;")=0,"",SUMIFS(BD!$V$3:$V$5001,BD!$A$3:$A$5001,Q$3,BD!$B$3:$B$5001,$A$501)))</f>
        <v/>
      </c>
      <c r="R520" s="199" t="str">
        <f>IF(R$3="","",IF(COUNTIFS(BD!$A$3:$A$5001,R$3,BD!$B$3:$B$5001,$A$501,BD!$V$3:$V$5001,"&lt;&gt;")=0,"",SUMIFS(BD!$V$3:$V$5001,BD!$A$3:$A$5001,R$3,BD!$B$3:$B$5001,$A$501)))</f>
        <v/>
      </c>
      <c r="S520" s="199" t="str">
        <f>IF(S$3="","",IF(COUNTIFS(BD!$A$3:$A$5001,S$3,BD!$B$3:$B$5001,$A$501,BD!$V$3:$V$5001,"&lt;&gt;")=0,"",SUMIFS(BD!$V$3:$V$5001,BD!$A$3:$A$5001,S$3,BD!$B$3:$B$5001,$A$501)))</f>
        <v/>
      </c>
      <c r="T520" s="199" t="str">
        <f>IF(T$3="","",IF(COUNTIFS(BD!$A$3:$A$5001,T$3,BD!$B$3:$B$5001,$A$501,BD!$V$3:$V$5001,"&lt;&gt;")=0,"",SUMIFS(BD!$V$3:$V$5001,BD!$A$3:$A$5001,T$3,BD!$B$3:$B$5001,$A$501)))</f>
        <v/>
      </c>
      <c r="U520" s="199" t="str">
        <f>IF(U$3="","",IF(COUNTIFS(BD!$A$3:$A$5001,U$3,BD!$B$3:$B$5001,$A$501,BD!$V$3:$V$5001,"&lt;&gt;")=0,"",SUMIFS(BD!$V$3:$V$5001,BD!$A$3:$A$5001,U$3,BD!$B$3:$B$5001,$A$501)))</f>
        <v/>
      </c>
      <c r="V520" s="199" t="str">
        <f>IF(V$3="","",IF(COUNTIFS(BD!$A$3:$A$5001,V$3,BD!$B$3:$B$5001,$A$501,BD!$V$3:$V$5001,"&lt;&gt;")=0,"",SUMIFS(BD!$V$3:$V$5001,BD!$A$3:$A$5001,V$3,BD!$B$3:$B$5001,$A$501)))</f>
        <v/>
      </c>
      <c r="W520" s="199" t="str">
        <f>IF(W$3="","",IF(COUNTIFS(BD!$A$3:$A$5001,W$3,BD!$B$3:$B$5001,$A$501,BD!$V$3:$V$5001,"&lt;&gt;")=0,"",SUMIFS(BD!$V$3:$V$5001,BD!$A$3:$A$5001,W$3,BD!$B$3:$B$5001,$A$501)))</f>
        <v/>
      </c>
      <c r="X520" s="199" t="str">
        <f>IF(X$3="","",IF(COUNTIFS(BD!$A$3:$A$5001,X$3,BD!$B$3:$B$5001,$A$501,BD!$V$3:$V$5001,"&lt;&gt;")=0,"",SUMIFS(BD!$V$3:$V$5001,BD!$A$3:$A$5001,X$3,BD!$B$3:$B$5001,$A$501)))</f>
        <v/>
      </c>
      <c r="Y520" s="199" t="str">
        <f>IF(Y$3="","",IF(COUNTIFS(BD!$A$3:$A$5001,Y$3,BD!$B$3:$B$5001,$A$501,BD!$V$3:$V$5001,"&lt;&gt;")=0,"",SUMIFS(BD!$V$3:$V$5001,BD!$A$3:$A$5001,Y$3,BD!$B$3:$B$5001,$A$501)))</f>
        <v/>
      </c>
      <c r="Z520" s="199" t="str">
        <f>IF(Z$3="","",IF(COUNTIFS(BD!$A$3:$A$5001,Z$3,BD!$B$3:$B$5001,$A$501,BD!$V$3:$V$5001,"&lt;&gt;")=0,"",SUMIFS(BD!$V$3:$V$5001,BD!$A$3:$A$5001,Z$3,BD!$B$3:$B$5001,$A$501)))</f>
        <v/>
      </c>
      <c r="AA520" s="199" t="str">
        <f>IF(AA$3="","",IF(COUNTIFS(BD!$A$3:$A$5001,AA$3,BD!$B$3:$B$5001,$A$501,BD!$V$3:$V$5001,"&lt;&gt;")=0,"",SUMIFS(BD!$V$3:$V$5001,BD!$A$3:$A$5001,AA$3,BD!$B$3:$B$5001,$A$501)))</f>
        <v/>
      </c>
      <c r="AB520" s="199" t="str">
        <f>IF(AB$3="","",IF(COUNTIFS(BD!$A$3:$A$5001,AB$3,BD!$B$3:$B$5001,$A$501,BD!$V$3:$V$5001,"&lt;&gt;")=0,"",SUMIFS(BD!$V$3:$V$5001,BD!$A$3:$A$5001,AB$3,BD!$B$3:$B$5001,$A$501)))</f>
        <v/>
      </c>
      <c r="AC520" s="199" t="str">
        <f>IF(AC$3="","",IF(COUNTIFS(BD!$A$3:$A$5001,AC$3,BD!$B$3:$B$5001,$A$501,BD!$V$3:$V$5001,"&lt;&gt;")=0,"",SUMIFS(BD!$V$3:$V$5001,BD!$A$3:$A$5001,AC$3,BD!$B$3:$B$5001,$A$501)))</f>
        <v/>
      </c>
      <c r="AD520" s="199" t="str">
        <f>IF(AD$3="","",IF(COUNTIFS(BD!$A$3:$A$5001,AD$3,BD!$B$3:$B$5001,$A$501,BD!$V$3:$V$5001,"&lt;&gt;")=0,"",SUMIFS(BD!$V$3:$V$5001,BD!$A$3:$A$5001,AD$3,BD!$B$3:$B$5001,$A$501)))</f>
        <v/>
      </c>
      <c r="AE520" s="199" t="str">
        <f>IF(AE$3="","",IF(COUNTIFS(BD!$A$3:$A$5001,AE$3,BD!$B$3:$B$5001,$A$501,BD!$V$3:$V$5001,"&lt;&gt;")=0,"",SUMIFS(BD!$V$3:$V$5001,BD!$A$3:$A$5001,AE$3,BD!$B$3:$B$5001,$A$501)))</f>
        <v/>
      </c>
      <c r="AF520" s="199" t="str">
        <f>IF(AF$3="","",IF(COUNTIFS(BD!$A$3:$A$5001,AF$3,BD!$B$3:$B$5001,$A$501,BD!$V$3:$V$5001,"&lt;&gt;")=0,"",SUMIFS(BD!$V$3:$V$5001,BD!$A$3:$A$5001,AF$3,BD!$B$3:$B$5001,$A$501)))</f>
        <v/>
      </c>
      <c r="AG520" s="199" t="str">
        <f>IF(AG$3="","",IF(COUNTIFS(BD!$A$3:$A$5001,AG$3,BD!$B$3:$B$5001,$A$501,BD!$V$3:$V$5001,"&lt;&gt;")=0,"",SUMIFS(BD!$V$3:$V$5001,BD!$A$3:$A$5001,AG$3,BD!$B$3:$B$5001,$A$501)))</f>
        <v/>
      </c>
      <c r="AH520" s="199" t="str">
        <f>IF(AH$3="","",IF(COUNTIFS(BD!$A$3:$A$5001,AH$3,BD!$B$3:$B$5001,$A$501,BD!$V$3:$V$5001,"&lt;&gt;")=0,"",SUMIFS(BD!$V$3:$V$5001,BD!$A$3:$A$5001,AH$3,BD!$B$3:$B$5001,$A$501)))</f>
        <v/>
      </c>
      <c r="AI520" s="199" t="str">
        <f>IF(AI$3="","",IF(COUNTIFS(BD!$A$3:$A$5001,AI$3,BD!$B$3:$B$5001,$A$501,BD!$V$3:$V$5001,"&lt;&gt;")=0,"",SUMIFS(BD!$V$3:$V$5001,BD!$A$3:$A$5001,AI$3,BD!$B$3:$B$5001,$A$501)))</f>
        <v/>
      </c>
      <c r="AJ520" s="200" t="str">
        <f>IF(AJ$3="","",IF(COUNTIFS(BD!$A$3:$A$5001,AJ$3,BD!$B$3:$B$5001,$A$501,BD!$V$3:$V$5001,"&lt;&gt;")=0,"",SUMIFS(BD!$V$3:$V$5001,BD!$A$3:$A$5001,AJ$3,BD!$B$3:$B$5001,$A$501)))</f>
        <v/>
      </c>
      <c r="AK520" s="196" t="str">
        <f>IFERROR(LOOKUP(9.99E+307,F520:AJ520),"")</f>
        <v/>
      </c>
    </row>
    <row r="521" ht="15.75" customHeight="1" hidden="1">
      <c r="A521" s="244"/>
      <c r="B521" s="232" t="inlineStr">
        <is>
          <t xml:space="preserve">OCUPAÇÃO (P.P)</t>
        </is>
      </c>
      <c r="C521" s="155" t="inlineStr">
        <is>
          <t xml:space="preserve">Posições Disponíveis</t>
        </is>
      </c>
      <c r="D521" s="156" t="str">
        <f>IFERROR(1/(1/INDEX(BD!$AJ$43:$BD$43,MATCH($A$501,BD!$AJ$22:$BD$22,0))),"")</f>
        <v/>
      </c>
      <c r="E521" s="157"/>
      <c r="F521" s="158" t="str">
        <f>IF(F$3="","",IF(COUNTIFS(BD!$A$3:$A$5001,F$3,BD!$B$3:$B$5001,$A$501,BD!$W$3:$W$5001,"&lt;&gt;")=0,"",SUMIFS(BD!$W$3:$W$5001,BD!$A$3:$A$5001,F$3,BD!$B$3:$B$5001,$A$501)))</f>
        <v/>
      </c>
      <c r="G521" s="159" t="str">
        <f>IF(G$3="","",IF(COUNTIFS(BD!$A$3:$A$5001,G$3,BD!$B$3:$B$5001,$A$501,BD!$W$3:$W$5001,"&lt;&gt;")=0,"",SUMIFS(BD!$W$3:$W$5001,BD!$A$3:$A$5001,G$3,BD!$B$3:$B$5001,$A$501)))</f>
        <v/>
      </c>
      <c r="H521" s="159" t="str">
        <f>IF(H$3="","",IF(COUNTIFS(BD!$A$3:$A$5001,H$3,BD!$B$3:$B$5001,$A$501,BD!$W$3:$W$5001,"&lt;&gt;")=0,"",SUMIFS(BD!$W$3:$W$5001,BD!$A$3:$A$5001,H$3,BD!$B$3:$B$5001,$A$501)))</f>
        <v/>
      </c>
      <c r="I521" s="159" t="str">
        <f>IF(I$3="","",IF(COUNTIFS(BD!$A$3:$A$5001,I$3,BD!$B$3:$B$5001,$A$501,BD!$W$3:$W$5001,"&lt;&gt;")=0,"",SUMIFS(BD!$W$3:$W$5001,BD!$A$3:$A$5001,I$3,BD!$B$3:$B$5001,$A$501)))</f>
        <v/>
      </c>
      <c r="J521" s="159" t="str">
        <f>IF(J$3="","",IF(COUNTIFS(BD!$A$3:$A$5001,J$3,BD!$B$3:$B$5001,$A$501,BD!$W$3:$W$5001,"&lt;&gt;")=0,"",SUMIFS(BD!$W$3:$W$5001,BD!$A$3:$A$5001,J$3,BD!$B$3:$B$5001,$A$501)))</f>
        <v/>
      </c>
      <c r="K521" s="159" t="str">
        <f>IF(K$3="","",IF(COUNTIFS(BD!$A$3:$A$5001,K$3,BD!$B$3:$B$5001,$A$501,BD!$W$3:$W$5001,"&lt;&gt;")=0,"",SUMIFS(BD!$W$3:$W$5001,BD!$A$3:$A$5001,K$3,BD!$B$3:$B$5001,$A$501)))</f>
        <v/>
      </c>
      <c r="L521" s="159" t="str">
        <f>IF(L$3="","",IF(COUNTIFS(BD!$A$3:$A$5001,L$3,BD!$B$3:$B$5001,$A$501,BD!$W$3:$W$5001,"&lt;&gt;")=0,"",SUMIFS(BD!$W$3:$W$5001,BD!$A$3:$A$5001,L$3,BD!$B$3:$B$5001,$A$501)))</f>
        <v/>
      </c>
      <c r="M521" s="159" t="str">
        <f>IF(M$3="","",IF(COUNTIFS(BD!$A$3:$A$5001,M$3,BD!$B$3:$B$5001,$A$501,BD!$W$3:$W$5001,"&lt;&gt;")=0,"",SUMIFS(BD!$W$3:$W$5001,BD!$A$3:$A$5001,M$3,BD!$B$3:$B$5001,$A$501)))</f>
        <v/>
      </c>
      <c r="N521" s="159" t="str">
        <f>IF(N$3="","",IF(COUNTIFS(BD!$A$3:$A$5001,N$3,BD!$B$3:$B$5001,$A$501,BD!$W$3:$W$5001,"&lt;&gt;")=0,"",SUMIFS(BD!$W$3:$W$5001,BD!$A$3:$A$5001,N$3,BD!$B$3:$B$5001,$A$501)))</f>
        <v/>
      </c>
      <c r="O521" s="159" t="str">
        <f>IF(O$3="","",IF(COUNTIFS(BD!$A$3:$A$5001,O$3,BD!$B$3:$B$5001,$A$501,BD!$W$3:$W$5001,"&lt;&gt;")=0,"",SUMIFS(BD!$W$3:$W$5001,BD!$A$3:$A$5001,O$3,BD!$B$3:$B$5001,$A$501)))</f>
        <v/>
      </c>
      <c r="P521" s="159" t="str">
        <f>IF(P$3="","",IF(COUNTIFS(BD!$A$3:$A$5001,P$3,BD!$B$3:$B$5001,$A$501,BD!$W$3:$W$5001,"&lt;&gt;")=0,"",SUMIFS(BD!$W$3:$W$5001,BD!$A$3:$A$5001,P$3,BD!$B$3:$B$5001,$A$501)))</f>
        <v/>
      </c>
      <c r="Q521" s="159" t="str">
        <f>IF(Q$3="","",IF(COUNTIFS(BD!$A$3:$A$5001,Q$3,BD!$B$3:$B$5001,$A$501,BD!$W$3:$W$5001,"&lt;&gt;")=0,"",SUMIFS(BD!$W$3:$W$5001,BD!$A$3:$A$5001,Q$3,BD!$B$3:$B$5001,$A$501)))</f>
        <v/>
      </c>
      <c r="R521" s="159" t="str">
        <f>IF(R$3="","",IF(COUNTIFS(BD!$A$3:$A$5001,R$3,BD!$B$3:$B$5001,$A$501,BD!$W$3:$W$5001,"&lt;&gt;")=0,"",SUMIFS(BD!$W$3:$W$5001,BD!$A$3:$A$5001,R$3,BD!$B$3:$B$5001,$A$501)))</f>
        <v/>
      </c>
      <c r="S521" s="159" t="str">
        <f>IF(S$3="","",IF(COUNTIFS(BD!$A$3:$A$5001,S$3,BD!$B$3:$B$5001,$A$501,BD!$W$3:$W$5001,"&lt;&gt;")=0,"",SUMIFS(BD!$W$3:$W$5001,BD!$A$3:$A$5001,S$3,BD!$B$3:$B$5001,$A$501)))</f>
        <v/>
      </c>
      <c r="T521" s="159" t="str">
        <f>IF(T$3="","",IF(COUNTIFS(BD!$A$3:$A$5001,T$3,BD!$B$3:$B$5001,$A$501,BD!$W$3:$W$5001,"&lt;&gt;")=0,"",SUMIFS(BD!$W$3:$W$5001,BD!$A$3:$A$5001,T$3,BD!$B$3:$B$5001,$A$501)))</f>
        <v/>
      </c>
      <c r="U521" s="159" t="str">
        <f>IF(U$3="","",IF(COUNTIFS(BD!$A$3:$A$5001,U$3,BD!$B$3:$B$5001,$A$501,BD!$W$3:$W$5001,"&lt;&gt;")=0,"",SUMIFS(BD!$W$3:$W$5001,BD!$A$3:$A$5001,U$3,BD!$B$3:$B$5001,$A$501)))</f>
        <v/>
      </c>
      <c r="V521" s="159" t="str">
        <f>IF(V$3="","",IF(COUNTIFS(BD!$A$3:$A$5001,V$3,BD!$B$3:$B$5001,$A$501,BD!$W$3:$W$5001,"&lt;&gt;")=0,"",SUMIFS(BD!$W$3:$W$5001,BD!$A$3:$A$5001,V$3,BD!$B$3:$B$5001,$A$501)))</f>
        <v/>
      </c>
      <c r="W521" s="159" t="str">
        <f>IF(W$3="","",IF(COUNTIFS(BD!$A$3:$A$5001,W$3,BD!$B$3:$B$5001,$A$501,BD!$W$3:$W$5001,"&lt;&gt;")=0,"",SUMIFS(BD!$W$3:$W$5001,BD!$A$3:$A$5001,W$3,BD!$B$3:$B$5001,$A$501)))</f>
        <v/>
      </c>
      <c r="X521" s="159" t="str">
        <f>IF(X$3="","",IF(COUNTIFS(BD!$A$3:$A$5001,X$3,BD!$B$3:$B$5001,$A$501,BD!$W$3:$W$5001,"&lt;&gt;")=0,"",SUMIFS(BD!$W$3:$W$5001,BD!$A$3:$A$5001,X$3,BD!$B$3:$B$5001,$A$501)))</f>
        <v/>
      </c>
      <c r="Y521" s="159" t="str">
        <f>IF(Y$3="","",IF(COUNTIFS(BD!$A$3:$A$5001,Y$3,BD!$B$3:$B$5001,$A$501,BD!$W$3:$W$5001,"&lt;&gt;")=0,"",SUMIFS(BD!$W$3:$W$5001,BD!$A$3:$A$5001,Y$3,BD!$B$3:$B$5001,$A$501)))</f>
        <v/>
      </c>
      <c r="Z521" s="159" t="str">
        <f>IF(Z$3="","",IF(COUNTIFS(BD!$A$3:$A$5001,Z$3,BD!$B$3:$B$5001,$A$501,BD!$W$3:$W$5001,"&lt;&gt;")=0,"",SUMIFS(BD!$W$3:$W$5001,BD!$A$3:$A$5001,Z$3,BD!$B$3:$B$5001,$A$501)))</f>
        <v/>
      </c>
      <c r="AA521" s="159" t="str">
        <f>IF(AA$3="","",IF(COUNTIFS(BD!$A$3:$A$5001,AA$3,BD!$B$3:$B$5001,$A$501,BD!$W$3:$W$5001,"&lt;&gt;")=0,"",SUMIFS(BD!$W$3:$W$5001,BD!$A$3:$A$5001,AA$3,BD!$B$3:$B$5001,$A$501)))</f>
        <v/>
      </c>
      <c r="AB521" s="159" t="str">
        <f>IF(AB$3="","",IF(COUNTIFS(BD!$A$3:$A$5001,AB$3,BD!$B$3:$B$5001,$A$501,BD!$W$3:$W$5001,"&lt;&gt;")=0,"",SUMIFS(BD!$W$3:$W$5001,BD!$A$3:$A$5001,AB$3,BD!$B$3:$B$5001,$A$501)))</f>
        <v/>
      </c>
      <c r="AC521" s="159" t="str">
        <f>IF(AC$3="","",IF(COUNTIFS(BD!$A$3:$A$5001,AC$3,BD!$B$3:$B$5001,$A$501,BD!$W$3:$W$5001,"&lt;&gt;")=0,"",SUMIFS(BD!$W$3:$W$5001,BD!$A$3:$A$5001,AC$3,BD!$B$3:$B$5001,$A$501)))</f>
        <v/>
      </c>
      <c r="AD521" s="159" t="str">
        <f>IF(AD$3="","",IF(COUNTIFS(BD!$A$3:$A$5001,AD$3,BD!$B$3:$B$5001,$A$501,BD!$W$3:$W$5001,"&lt;&gt;")=0,"",SUMIFS(BD!$W$3:$W$5001,BD!$A$3:$A$5001,AD$3,BD!$B$3:$B$5001,$A$501)))</f>
        <v/>
      </c>
      <c r="AE521" s="159" t="str">
        <f>IF(AE$3="","",IF(COUNTIFS(BD!$A$3:$A$5001,AE$3,BD!$B$3:$B$5001,$A$501,BD!$W$3:$W$5001,"&lt;&gt;")=0,"",SUMIFS(BD!$W$3:$W$5001,BD!$A$3:$A$5001,AE$3,BD!$B$3:$B$5001,$A$501)))</f>
        <v/>
      </c>
      <c r="AF521" s="159" t="str">
        <f>IF(AF$3="","",IF(COUNTIFS(BD!$A$3:$A$5001,AF$3,BD!$B$3:$B$5001,$A$501,BD!$W$3:$W$5001,"&lt;&gt;")=0,"",SUMIFS(BD!$W$3:$W$5001,BD!$A$3:$A$5001,AF$3,BD!$B$3:$B$5001,$A$501)))</f>
        <v/>
      </c>
      <c r="AG521" s="159" t="str">
        <f>IF(AG$3="","",IF(COUNTIFS(BD!$A$3:$A$5001,AG$3,BD!$B$3:$B$5001,$A$501,BD!$W$3:$W$5001,"&lt;&gt;")=0,"",SUMIFS(BD!$W$3:$W$5001,BD!$A$3:$A$5001,AG$3,BD!$B$3:$B$5001,$A$501)))</f>
        <v/>
      </c>
      <c r="AH521" s="159" t="str">
        <f>IF(AH$3="","",IF(COUNTIFS(BD!$A$3:$A$5001,AH$3,BD!$B$3:$B$5001,$A$501,BD!$W$3:$W$5001,"&lt;&gt;")=0,"",SUMIFS(BD!$W$3:$W$5001,BD!$A$3:$A$5001,AH$3,BD!$B$3:$B$5001,$A$501)))</f>
        <v/>
      </c>
      <c r="AI521" s="159" t="str">
        <f>IF(AI$3="","",IF(COUNTIFS(BD!$A$3:$A$5001,AI$3,BD!$B$3:$B$5001,$A$501,BD!$W$3:$W$5001,"&lt;&gt;")=0,"",SUMIFS(BD!$W$3:$W$5001,BD!$A$3:$A$5001,AI$3,BD!$B$3:$B$5001,$A$501)))</f>
        <v/>
      </c>
      <c r="AJ521" s="160" t="str">
        <f>IF(AJ$3="","",IF(COUNTIFS(BD!$A$3:$A$5001,AJ$3,BD!$B$3:$B$5001,$A$501,BD!$W$3:$W$5001,"&lt;&gt;")=0,"",SUMIFS(BD!$W$3:$W$5001,BD!$A$3:$A$5001,AJ$3,BD!$B$3:$B$5001,$A$501)))</f>
        <v/>
      </c>
      <c r="AK521" s="161" t="str">
        <f>IF(COUNT(F521:AJ521)&gt;0,LOOKUP(9.99E+307,F521:AJ521),IFERROR(IF(INDEX(BD!$AG$3:$AG$5001,MATCH($A$501,BD!$B$3:$B$5001,0))&amp;""="Contrato","",INDEX(BD!$AG$3:$AG$5001,MATCH($A$501,BD!$B$3:$B$5001,0))&amp;""),""))</f>
        <v/>
      </c>
    </row>
    <row r="522" ht="15.75" customHeight="1" hidden="1">
      <c r="A522" s="244"/>
      <c r="B522" s="239"/>
      <c r="C522" s="201" t="inlineStr">
        <is>
          <t xml:space="preserve">Posições Ocupadas</t>
        </is>
      </c>
      <c r="D522" s="202" t="str">
        <f>IFERROR(1/(1/INDEX(BD!$AJ$44:$BD$44,MATCH($A$501,BD!$AJ$22:$BD$22,0))),"")</f>
        <v/>
      </c>
      <c r="E522" s="203"/>
      <c r="F522" s="204" t="str">
        <f>IF(F$3="","",IF(COUNTIFS(BD!$A$3:$A$5001,F$3,BD!$B$3:$B$5001,$A$501,BD!$X$3:$X$5001,"&lt;&gt;")=0,"",SUMIFS(BD!$X$3:$X$5001,BD!$A$3:$A$5001,F$3,BD!$B$3:$B$5001,$A$501)))</f>
        <v/>
      </c>
      <c r="G522" s="205" t="str">
        <f>IF(G$3="","",IF(COUNTIFS(BD!$A$3:$A$5001,G$3,BD!$B$3:$B$5001,$A$501,BD!$X$3:$X$5001,"&lt;&gt;")=0,"",SUMIFS(BD!$X$3:$X$5001,BD!$A$3:$A$5001,G$3,BD!$B$3:$B$5001,$A$501)))</f>
        <v/>
      </c>
      <c r="H522" s="205" t="str">
        <f>IF(H$3="","",IF(COUNTIFS(BD!$A$3:$A$5001,H$3,BD!$B$3:$B$5001,$A$501,BD!$X$3:$X$5001,"&lt;&gt;")=0,"",SUMIFS(BD!$X$3:$X$5001,BD!$A$3:$A$5001,H$3,BD!$B$3:$B$5001,$A$501)))</f>
        <v/>
      </c>
      <c r="I522" s="205" t="str">
        <f>IF(I$3="","",IF(COUNTIFS(BD!$A$3:$A$5001,I$3,BD!$B$3:$B$5001,$A$501,BD!$X$3:$X$5001,"&lt;&gt;")=0,"",SUMIFS(BD!$X$3:$X$5001,BD!$A$3:$A$5001,I$3,BD!$B$3:$B$5001,$A$501)))</f>
        <v/>
      </c>
      <c r="J522" s="205" t="str">
        <f>IF(J$3="","",IF(COUNTIFS(BD!$A$3:$A$5001,J$3,BD!$B$3:$B$5001,$A$501,BD!$X$3:$X$5001,"&lt;&gt;")=0,"",SUMIFS(BD!$X$3:$X$5001,BD!$A$3:$A$5001,J$3,BD!$B$3:$B$5001,$A$501)))</f>
        <v/>
      </c>
      <c r="K522" s="205" t="str">
        <f>IF(K$3="","",IF(COUNTIFS(BD!$A$3:$A$5001,K$3,BD!$B$3:$B$5001,$A$501,BD!$X$3:$X$5001,"&lt;&gt;")=0,"",SUMIFS(BD!$X$3:$X$5001,BD!$A$3:$A$5001,K$3,BD!$B$3:$B$5001,$A$501)))</f>
        <v/>
      </c>
      <c r="L522" s="205" t="str">
        <f>IF(L$3="","",IF(COUNTIFS(BD!$A$3:$A$5001,L$3,BD!$B$3:$B$5001,$A$501,BD!$X$3:$X$5001,"&lt;&gt;")=0,"",SUMIFS(BD!$X$3:$X$5001,BD!$A$3:$A$5001,L$3,BD!$B$3:$B$5001,$A$501)))</f>
        <v/>
      </c>
      <c r="M522" s="205" t="str">
        <f>IF(M$3="","",IF(COUNTIFS(BD!$A$3:$A$5001,M$3,BD!$B$3:$B$5001,$A$501,BD!$X$3:$X$5001,"&lt;&gt;")=0,"",SUMIFS(BD!$X$3:$X$5001,BD!$A$3:$A$5001,M$3,BD!$B$3:$B$5001,$A$501)))</f>
        <v/>
      </c>
      <c r="N522" s="205" t="str">
        <f>IF(N$3="","",IF(COUNTIFS(BD!$A$3:$A$5001,N$3,BD!$B$3:$B$5001,$A$501,BD!$X$3:$X$5001,"&lt;&gt;")=0,"",SUMIFS(BD!$X$3:$X$5001,BD!$A$3:$A$5001,N$3,BD!$B$3:$B$5001,$A$501)))</f>
        <v/>
      </c>
      <c r="O522" s="205" t="str">
        <f>IF(O$3="","",IF(COUNTIFS(BD!$A$3:$A$5001,O$3,BD!$B$3:$B$5001,$A$501,BD!$X$3:$X$5001,"&lt;&gt;")=0,"",SUMIFS(BD!$X$3:$X$5001,BD!$A$3:$A$5001,O$3,BD!$B$3:$B$5001,$A$501)))</f>
        <v/>
      </c>
      <c r="P522" s="205" t="str">
        <f>IF(P$3="","",IF(COUNTIFS(BD!$A$3:$A$5001,P$3,BD!$B$3:$B$5001,$A$501,BD!$X$3:$X$5001,"&lt;&gt;")=0,"",SUMIFS(BD!$X$3:$X$5001,BD!$A$3:$A$5001,P$3,BD!$B$3:$B$5001,$A$501)))</f>
        <v/>
      </c>
      <c r="Q522" s="205" t="str">
        <f>IF(Q$3="","",IF(COUNTIFS(BD!$A$3:$A$5001,Q$3,BD!$B$3:$B$5001,$A$501,BD!$X$3:$X$5001,"&lt;&gt;")=0,"",SUMIFS(BD!$X$3:$X$5001,BD!$A$3:$A$5001,Q$3,BD!$B$3:$B$5001,$A$501)))</f>
        <v/>
      </c>
      <c r="R522" s="205" t="str">
        <f>IF(R$3="","",IF(COUNTIFS(BD!$A$3:$A$5001,R$3,BD!$B$3:$B$5001,$A$501,BD!$X$3:$X$5001,"&lt;&gt;")=0,"",SUMIFS(BD!$X$3:$X$5001,BD!$A$3:$A$5001,R$3,BD!$B$3:$B$5001,$A$501)))</f>
        <v/>
      </c>
      <c r="S522" s="205" t="str">
        <f>IF(S$3="","",IF(COUNTIFS(BD!$A$3:$A$5001,S$3,BD!$B$3:$B$5001,$A$501,BD!$X$3:$X$5001,"&lt;&gt;")=0,"",SUMIFS(BD!$X$3:$X$5001,BD!$A$3:$A$5001,S$3,BD!$B$3:$B$5001,$A$501)))</f>
        <v/>
      </c>
      <c r="T522" s="205" t="str">
        <f>IF(T$3="","",IF(COUNTIFS(BD!$A$3:$A$5001,T$3,BD!$B$3:$B$5001,$A$501,BD!$X$3:$X$5001,"&lt;&gt;")=0,"",SUMIFS(BD!$X$3:$X$5001,BD!$A$3:$A$5001,T$3,BD!$B$3:$B$5001,$A$501)))</f>
        <v/>
      </c>
      <c r="U522" s="205" t="str">
        <f>IF(U$3="","",IF(COUNTIFS(BD!$A$3:$A$5001,U$3,BD!$B$3:$B$5001,$A$501,BD!$X$3:$X$5001,"&lt;&gt;")=0,"",SUMIFS(BD!$X$3:$X$5001,BD!$A$3:$A$5001,U$3,BD!$B$3:$B$5001,$A$501)))</f>
        <v/>
      </c>
      <c r="V522" s="205" t="str">
        <f>IF(V$3="","",IF(COUNTIFS(BD!$A$3:$A$5001,V$3,BD!$B$3:$B$5001,$A$501,BD!$X$3:$X$5001,"&lt;&gt;")=0,"",SUMIFS(BD!$X$3:$X$5001,BD!$A$3:$A$5001,V$3,BD!$B$3:$B$5001,$A$501)))</f>
        <v/>
      </c>
      <c r="W522" s="205" t="str">
        <f>IF(W$3="","",IF(COUNTIFS(BD!$A$3:$A$5001,W$3,BD!$B$3:$B$5001,$A$501,BD!$X$3:$X$5001,"&lt;&gt;")=0,"",SUMIFS(BD!$X$3:$X$5001,BD!$A$3:$A$5001,W$3,BD!$B$3:$B$5001,$A$501)))</f>
        <v/>
      </c>
      <c r="X522" s="205" t="str">
        <f>IF(X$3="","",IF(COUNTIFS(BD!$A$3:$A$5001,X$3,BD!$B$3:$B$5001,$A$501,BD!$X$3:$X$5001,"&lt;&gt;")=0,"",SUMIFS(BD!$X$3:$X$5001,BD!$A$3:$A$5001,X$3,BD!$B$3:$B$5001,$A$501)))</f>
        <v/>
      </c>
      <c r="Y522" s="205" t="str">
        <f>IF(Y$3="","",IF(COUNTIFS(BD!$A$3:$A$5001,Y$3,BD!$B$3:$B$5001,$A$501,BD!$X$3:$X$5001,"&lt;&gt;")=0,"",SUMIFS(BD!$X$3:$X$5001,BD!$A$3:$A$5001,Y$3,BD!$B$3:$B$5001,$A$501)))</f>
        <v/>
      </c>
      <c r="Z522" s="205" t="str">
        <f>IF(Z$3="","",IF(COUNTIFS(BD!$A$3:$A$5001,Z$3,BD!$B$3:$B$5001,$A$501,BD!$X$3:$X$5001,"&lt;&gt;")=0,"",SUMIFS(BD!$X$3:$X$5001,BD!$A$3:$A$5001,Z$3,BD!$B$3:$B$5001,$A$501)))</f>
        <v/>
      </c>
      <c r="AA522" s="205" t="str">
        <f>IF(AA$3="","",IF(COUNTIFS(BD!$A$3:$A$5001,AA$3,BD!$B$3:$B$5001,$A$501,BD!$X$3:$X$5001,"&lt;&gt;")=0,"",SUMIFS(BD!$X$3:$X$5001,BD!$A$3:$A$5001,AA$3,BD!$B$3:$B$5001,$A$501)))</f>
        <v/>
      </c>
      <c r="AB522" s="205" t="str">
        <f>IF(AB$3="","",IF(COUNTIFS(BD!$A$3:$A$5001,AB$3,BD!$B$3:$B$5001,$A$501,BD!$X$3:$X$5001,"&lt;&gt;")=0,"",SUMIFS(BD!$X$3:$X$5001,BD!$A$3:$A$5001,AB$3,BD!$B$3:$B$5001,$A$501)))</f>
        <v/>
      </c>
      <c r="AC522" s="205" t="str">
        <f>IF(AC$3="","",IF(COUNTIFS(BD!$A$3:$A$5001,AC$3,BD!$B$3:$B$5001,$A$501,BD!$X$3:$X$5001,"&lt;&gt;")=0,"",SUMIFS(BD!$X$3:$X$5001,BD!$A$3:$A$5001,AC$3,BD!$B$3:$B$5001,$A$501)))</f>
        <v/>
      </c>
      <c r="AD522" s="205" t="str">
        <f>IF(AD$3="","",IF(COUNTIFS(BD!$A$3:$A$5001,AD$3,BD!$B$3:$B$5001,$A$501,BD!$X$3:$X$5001,"&lt;&gt;")=0,"",SUMIFS(BD!$X$3:$X$5001,BD!$A$3:$A$5001,AD$3,BD!$B$3:$B$5001,$A$501)))</f>
        <v/>
      </c>
      <c r="AE522" s="205" t="str">
        <f>IF(AE$3="","",IF(COUNTIFS(BD!$A$3:$A$5001,AE$3,BD!$B$3:$B$5001,$A$501,BD!$X$3:$X$5001,"&lt;&gt;")=0,"",SUMIFS(BD!$X$3:$X$5001,BD!$A$3:$A$5001,AE$3,BD!$B$3:$B$5001,$A$501)))</f>
        <v/>
      </c>
      <c r="AF522" s="205" t="str">
        <f>IF(AF$3="","",IF(COUNTIFS(BD!$A$3:$A$5001,AF$3,BD!$B$3:$B$5001,$A$501,BD!$X$3:$X$5001,"&lt;&gt;")=0,"",SUMIFS(BD!$X$3:$X$5001,BD!$A$3:$A$5001,AF$3,BD!$B$3:$B$5001,$A$501)))</f>
        <v/>
      </c>
      <c r="AG522" s="205" t="str">
        <f>IF(AG$3="","",IF(COUNTIFS(BD!$A$3:$A$5001,AG$3,BD!$B$3:$B$5001,$A$501,BD!$X$3:$X$5001,"&lt;&gt;")=0,"",SUMIFS(BD!$X$3:$X$5001,BD!$A$3:$A$5001,AG$3,BD!$B$3:$B$5001,$A$501)))</f>
        <v/>
      </c>
      <c r="AH522" s="205" t="str">
        <f>IF(AH$3="","",IF(COUNTIFS(BD!$A$3:$A$5001,AH$3,BD!$B$3:$B$5001,$A$501,BD!$X$3:$X$5001,"&lt;&gt;")=0,"",SUMIFS(BD!$X$3:$X$5001,BD!$A$3:$A$5001,AH$3,BD!$B$3:$B$5001,$A$501)))</f>
        <v/>
      </c>
      <c r="AI522" s="205" t="str">
        <f>IF(AI$3="","",IF(COUNTIFS(BD!$A$3:$A$5001,AI$3,BD!$B$3:$B$5001,$A$501,BD!$X$3:$X$5001,"&lt;&gt;")=0,"",SUMIFS(BD!$X$3:$X$5001,BD!$A$3:$A$5001,AI$3,BD!$B$3:$B$5001,$A$501)))</f>
        <v/>
      </c>
      <c r="AJ522" s="206" t="str">
        <f>IF(AJ$3="","",IF(COUNTIFS(BD!$A$3:$A$5001,AJ$3,BD!$B$3:$B$5001,$A$501,BD!$X$3:$X$5001,"&lt;&gt;")=0,"",SUMIFS(BD!$X$3:$X$5001,BD!$A$3:$A$5001,AJ$3,BD!$B$3:$B$5001,$A$501)))</f>
        <v/>
      </c>
      <c r="AK522" s="207" t="str">
        <f>IFERROR(LOOKUP(9.99E+307,F522:AJ522),"")</f>
        <v/>
      </c>
    </row>
    <row r="523" ht="15.75" customHeight="1" hidden="1">
      <c r="A523" s="244"/>
      <c r="B523" s="233"/>
      <c r="C523" s="162" t="inlineStr">
        <is>
          <t xml:space="preserve">Taxa de Ocupação</t>
        </is>
      </c>
      <c r="D523" s="208" t="str">
        <f>IFERROR(1/(1/INDEX(BD!$AJ$45:$BD$45,MATCH($A$501,BD!$AJ$22:$BD$22,0))),"")</f>
        <v/>
      </c>
      <c r="E523" s="164"/>
      <c r="F523" s="209" t="str">
        <f>IF(AND(ISNUMBER(F521),ISNUMBER(F522)),IF(F521&gt;0,F522/F521,""),"")</f>
        <v/>
      </c>
      <c r="G523" s="210" t="str">
        <f>IF(AND(ISNUMBER(G521),ISNUMBER(G522)),IF(G521&gt;0,G522/G521,""),"")</f>
        <v/>
      </c>
      <c r="H523" s="210" t="str">
        <f>IF(AND(ISNUMBER(H521),ISNUMBER(H522)),IF(H521&gt;0,H522/H521,""),"")</f>
        <v/>
      </c>
      <c r="I523" s="210" t="str">
        <f>IF(AND(ISNUMBER(I521),ISNUMBER(I522)),IF(I521&gt;0,I522/I521,""),"")</f>
        <v/>
      </c>
      <c r="J523" s="210" t="str">
        <f>IF(AND(ISNUMBER(J521),ISNUMBER(J522)),IF(J521&gt;0,J522/J521,""),"")</f>
        <v/>
      </c>
      <c r="K523" s="210" t="str">
        <f>IF(AND(ISNUMBER(K521),ISNUMBER(K522)),IF(K521&gt;0,K522/K521,""),"")</f>
        <v/>
      </c>
      <c r="L523" s="210" t="str">
        <f>IF(AND(ISNUMBER(L521),ISNUMBER(L522)),IF(L521&gt;0,L522/L521,""),"")</f>
        <v/>
      </c>
      <c r="M523" s="210" t="str">
        <f>IF(AND(ISNUMBER(M521),ISNUMBER(M522)),IF(M521&gt;0,M522/M521,""),"")</f>
        <v/>
      </c>
      <c r="N523" s="210" t="str">
        <f>IF(AND(ISNUMBER(N521),ISNUMBER(N522)),IF(N521&gt;0,N522/N521,""),"")</f>
        <v/>
      </c>
      <c r="O523" s="210" t="str">
        <f>IF(AND(ISNUMBER(O521),ISNUMBER(O522)),IF(O521&gt;0,O522/O521,""),"")</f>
        <v/>
      </c>
      <c r="P523" s="210" t="str">
        <f>IF(AND(ISNUMBER(P521),ISNUMBER(P522)),IF(P521&gt;0,P522/P521,""),"")</f>
        <v/>
      </c>
      <c r="Q523" s="210" t="str">
        <f>IF(AND(ISNUMBER(Q521),ISNUMBER(Q522)),IF(Q521&gt;0,Q522/Q521,""),"")</f>
        <v/>
      </c>
      <c r="R523" s="210" t="str">
        <f>IF(AND(ISNUMBER(R521),ISNUMBER(R522)),IF(R521&gt;0,R522/R521,""),"")</f>
        <v/>
      </c>
      <c r="S523" s="210" t="str">
        <f>IF(AND(ISNUMBER(S521),ISNUMBER(S522)),IF(S521&gt;0,S522/S521,""),"")</f>
        <v/>
      </c>
      <c r="T523" s="210" t="str">
        <f>IF(AND(ISNUMBER(T521),ISNUMBER(T522)),IF(T521&gt;0,T522/T521,""),"")</f>
        <v/>
      </c>
      <c r="U523" s="210" t="str">
        <f>IF(AND(ISNUMBER(U521),ISNUMBER(U522)),IF(U521&gt;0,U522/U521,""),"")</f>
        <v/>
      </c>
      <c r="V523" s="210" t="str">
        <f>IF(AND(ISNUMBER(V521),ISNUMBER(V522)),IF(V521&gt;0,V522/V521,""),"")</f>
        <v/>
      </c>
      <c r="W523" s="210" t="str">
        <f>IF(AND(ISNUMBER(W521),ISNUMBER(W522)),IF(W521&gt;0,W522/W521,""),"")</f>
        <v/>
      </c>
      <c r="X523" s="210" t="str">
        <f>IF(AND(ISNUMBER(X521),ISNUMBER(X522)),IF(X521&gt;0,X522/X521,""),"")</f>
        <v/>
      </c>
      <c r="Y523" s="210" t="str">
        <f>IF(AND(ISNUMBER(Y521),ISNUMBER(Y522)),IF(Y521&gt;0,Y522/Y521,""),"")</f>
        <v/>
      </c>
      <c r="Z523" s="210" t="str">
        <f>IF(AND(ISNUMBER(Z521),ISNUMBER(Z522)),IF(Z521&gt;0,Z522/Z521,""),"")</f>
        <v/>
      </c>
      <c r="AA523" s="210" t="str">
        <f>IF(AND(ISNUMBER(AA521),ISNUMBER(AA522)),IF(AA521&gt;0,AA522/AA521,""),"")</f>
        <v/>
      </c>
      <c r="AB523" s="210" t="str">
        <f>IF(AND(ISNUMBER(AB521),ISNUMBER(AB522)),IF(AB521&gt;0,AB522/AB521,""),"")</f>
        <v/>
      </c>
      <c r="AC523" s="210" t="str">
        <f>IF(AND(ISNUMBER(AC521),ISNUMBER(AC522)),IF(AC521&gt;0,AC522/AC521,""),"")</f>
        <v/>
      </c>
      <c r="AD523" s="210" t="str">
        <f>IF(AND(ISNUMBER(AD521),ISNUMBER(AD522)),IF(AD521&gt;0,AD522/AD521,""),"")</f>
        <v/>
      </c>
      <c r="AE523" s="210" t="str">
        <f>IF(AND(ISNUMBER(AE521),ISNUMBER(AE522)),IF(AE521&gt;0,AE522/AE521,""),"")</f>
        <v/>
      </c>
      <c r="AF523" s="210" t="str">
        <f>IF(AND(ISNUMBER(AF521),ISNUMBER(AF522)),IF(AF521&gt;0,AF522/AF521,""),"")</f>
        <v/>
      </c>
      <c r="AG523" s="210" t="str">
        <f>IF(AND(ISNUMBER(AG521),ISNUMBER(AG522)),IF(AG521&gt;0,AG522/AG521,""),"")</f>
        <v/>
      </c>
      <c r="AH523" s="210" t="str">
        <f>IF(AND(ISNUMBER(AH521),ISNUMBER(AH522)),IF(AH521&gt;0,AH522/AH521,""),"")</f>
        <v/>
      </c>
      <c r="AI523" s="210" t="str">
        <f>IF(AND(ISNUMBER(AI521),ISNUMBER(AI522)),IF(AI521&gt;0,AI522/AI521,""),"")</f>
        <v/>
      </c>
      <c r="AJ523" s="211" t="str">
        <f>IF(AND(ISNUMBER(AJ521),ISNUMBER(AJ522)),IF(AJ521&gt;0,AJ522/AJ521,""),"")</f>
        <v/>
      </c>
      <c r="AK523" s="208" t="str">
        <f>IF(AND(ISNUMBER(AK521),ISNUMBER(AK522)),IF(AK521&gt;0,AK522/AK521,""),"")</f>
        <v/>
      </c>
    </row>
    <row r="524" ht="15.75" customHeight="1" hidden="1">
      <c r="A524" s="244"/>
      <c r="B524" s="240" t="inlineStr">
        <is>
          <t xml:space="preserve">GENTE</t>
        </is>
      </c>
      <c r="C524" s="212" t="inlineStr">
        <is>
          <t xml:space="preserve">Efetivo Op.</t>
        </is>
      </c>
      <c r="D524" s="213" t="str">
        <f>IFERROR(1/(1/INDEX(BD!$AJ$46:$BD$46,MATCH($A$501,BD!$AJ$22:$BD$22,0))),"")</f>
        <v/>
      </c>
      <c r="E524" s="214"/>
      <c r="F524" s="215" t="str">
        <f>IF(F$3="","",IF(COUNTIFS(BD!$A$3:$A$5001,F$3,BD!$B$3:$B$5001,$A$501,BD!$Y$3:$Y$5001,"&lt;&gt;")=0,"",SUMIFS(BD!$Y$3:$Y$5001,BD!$A$3:$A$5001,F$3,BD!$B$3:$B$5001,$A$501)))</f>
        <v/>
      </c>
      <c r="G524" s="216" t="str">
        <f>IF(G$3="","",IF(COUNTIFS(BD!$A$3:$A$5001,G$3,BD!$B$3:$B$5001,$A$501,BD!$Y$3:$Y$5001,"&lt;&gt;")=0,"",SUMIFS(BD!$Y$3:$Y$5001,BD!$A$3:$A$5001,G$3,BD!$B$3:$B$5001,$A$501)))</f>
        <v/>
      </c>
      <c r="H524" s="216" t="str">
        <f>IF(H$3="","",IF(COUNTIFS(BD!$A$3:$A$5001,H$3,BD!$B$3:$B$5001,$A$501,BD!$Y$3:$Y$5001,"&lt;&gt;")=0,"",SUMIFS(BD!$Y$3:$Y$5001,BD!$A$3:$A$5001,H$3,BD!$B$3:$B$5001,$A$501)))</f>
        <v/>
      </c>
      <c r="I524" s="216" t="str">
        <f>IF(I$3="","",IF(COUNTIFS(BD!$A$3:$A$5001,I$3,BD!$B$3:$B$5001,$A$501,BD!$Y$3:$Y$5001,"&lt;&gt;")=0,"",SUMIFS(BD!$Y$3:$Y$5001,BD!$A$3:$A$5001,I$3,BD!$B$3:$B$5001,$A$501)))</f>
        <v/>
      </c>
      <c r="J524" s="216" t="str">
        <f>IF(J$3="","",IF(COUNTIFS(BD!$A$3:$A$5001,J$3,BD!$B$3:$B$5001,$A$501,BD!$Y$3:$Y$5001,"&lt;&gt;")=0,"",SUMIFS(BD!$Y$3:$Y$5001,BD!$A$3:$A$5001,J$3,BD!$B$3:$B$5001,$A$501)))</f>
        <v/>
      </c>
      <c r="K524" s="216" t="str">
        <f>IF(K$3="","",IF(COUNTIFS(BD!$A$3:$A$5001,K$3,BD!$B$3:$B$5001,$A$501,BD!$Y$3:$Y$5001,"&lt;&gt;")=0,"",SUMIFS(BD!$Y$3:$Y$5001,BD!$A$3:$A$5001,K$3,BD!$B$3:$B$5001,$A$501)))</f>
        <v/>
      </c>
      <c r="L524" s="216" t="str">
        <f>IF(L$3="","",IF(COUNTIFS(BD!$A$3:$A$5001,L$3,BD!$B$3:$B$5001,$A$501,BD!$Y$3:$Y$5001,"&lt;&gt;")=0,"",SUMIFS(BD!$Y$3:$Y$5001,BD!$A$3:$A$5001,L$3,BD!$B$3:$B$5001,$A$501)))</f>
        <v/>
      </c>
      <c r="M524" s="216" t="str">
        <f>IF(M$3="","",IF(COUNTIFS(BD!$A$3:$A$5001,M$3,BD!$B$3:$B$5001,$A$501,BD!$Y$3:$Y$5001,"&lt;&gt;")=0,"",SUMIFS(BD!$Y$3:$Y$5001,BD!$A$3:$A$5001,M$3,BD!$B$3:$B$5001,$A$501)))</f>
        <v/>
      </c>
      <c r="N524" s="216" t="str">
        <f>IF(N$3="","",IF(COUNTIFS(BD!$A$3:$A$5001,N$3,BD!$B$3:$B$5001,$A$501,BD!$Y$3:$Y$5001,"&lt;&gt;")=0,"",SUMIFS(BD!$Y$3:$Y$5001,BD!$A$3:$A$5001,N$3,BD!$B$3:$B$5001,$A$501)))</f>
        <v/>
      </c>
      <c r="O524" s="216" t="str">
        <f>IF(O$3="","",IF(COUNTIFS(BD!$A$3:$A$5001,O$3,BD!$B$3:$B$5001,$A$501,BD!$Y$3:$Y$5001,"&lt;&gt;")=0,"",SUMIFS(BD!$Y$3:$Y$5001,BD!$A$3:$A$5001,O$3,BD!$B$3:$B$5001,$A$501)))</f>
        <v/>
      </c>
      <c r="P524" s="216" t="str">
        <f>IF(P$3="","",IF(COUNTIFS(BD!$A$3:$A$5001,P$3,BD!$B$3:$B$5001,$A$501,BD!$Y$3:$Y$5001,"&lt;&gt;")=0,"",SUMIFS(BD!$Y$3:$Y$5001,BD!$A$3:$A$5001,P$3,BD!$B$3:$B$5001,$A$501)))</f>
        <v/>
      </c>
      <c r="Q524" s="216" t="str">
        <f>IF(Q$3="","",IF(COUNTIFS(BD!$A$3:$A$5001,Q$3,BD!$B$3:$B$5001,$A$501,BD!$Y$3:$Y$5001,"&lt;&gt;")=0,"",SUMIFS(BD!$Y$3:$Y$5001,BD!$A$3:$A$5001,Q$3,BD!$B$3:$B$5001,$A$501)))</f>
        <v/>
      </c>
      <c r="R524" s="216" t="str">
        <f>IF(R$3="","",IF(COUNTIFS(BD!$A$3:$A$5001,R$3,BD!$B$3:$B$5001,$A$501,BD!$Y$3:$Y$5001,"&lt;&gt;")=0,"",SUMIFS(BD!$Y$3:$Y$5001,BD!$A$3:$A$5001,R$3,BD!$B$3:$B$5001,$A$501)))</f>
        <v/>
      </c>
      <c r="S524" s="216" t="str">
        <f>IF(S$3="","",IF(COUNTIFS(BD!$A$3:$A$5001,S$3,BD!$B$3:$B$5001,$A$501,BD!$Y$3:$Y$5001,"&lt;&gt;")=0,"",SUMIFS(BD!$Y$3:$Y$5001,BD!$A$3:$A$5001,S$3,BD!$B$3:$B$5001,$A$501)))</f>
        <v/>
      </c>
      <c r="T524" s="216" t="str">
        <f>IF(T$3="","",IF(COUNTIFS(BD!$A$3:$A$5001,T$3,BD!$B$3:$B$5001,$A$501,BD!$Y$3:$Y$5001,"&lt;&gt;")=0,"",SUMIFS(BD!$Y$3:$Y$5001,BD!$A$3:$A$5001,T$3,BD!$B$3:$B$5001,$A$501)))</f>
        <v/>
      </c>
      <c r="U524" s="216" t="str">
        <f>IF(U$3="","",IF(COUNTIFS(BD!$A$3:$A$5001,U$3,BD!$B$3:$B$5001,$A$501,BD!$Y$3:$Y$5001,"&lt;&gt;")=0,"",SUMIFS(BD!$Y$3:$Y$5001,BD!$A$3:$A$5001,U$3,BD!$B$3:$B$5001,$A$501)))</f>
        <v/>
      </c>
      <c r="V524" s="216" t="str">
        <f>IF(V$3="","",IF(COUNTIFS(BD!$A$3:$A$5001,V$3,BD!$B$3:$B$5001,$A$501,BD!$Y$3:$Y$5001,"&lt;&gt;")=0,"",SUMIFS(BD!$Y$3:$Y$5001,BD!$A$3:$A$5001,V$3,BD!$B$3:$B$5001,$A$501)))</f>
        <v/>
      </c>
      <c r="W524" s="216" t="str">
        <f>IF(W$3="","",IF(COUNTIFS(BD!$A$3:$A$5001,W$3,BD!$B$3:$B$5001,$A$501,BD!$Y$3:$Y$5001,"&lt;&gt;")=0,"",SUMIFS(BD!$Y$3:$Y$5001,BD!$A$3:$A$5001,W$3,BD!$B$3:$B$5001,$A$501)))</f>
        <v/>
      </c>
      <c r="X524" s="216" t="str">
        <f>IF(X$3="","",IF(COUNTIFS(BD!$A$3:$A$5001,X$3,BD!$B$3:$B$5001,$A$501,BD!$Y$3:$Y$5001,"&lt;&gt;")=0,"",SUMIFS(BD!$Y$3:$Y$5001,BD!$A$3:$A$5001,X$3,BD!$B$3:$B$5001,$A$501)))</f>
        <v/>
      </c>
      <c r="Y524" s="216" t="str">
        <f>IF(Y$3="","",IF(COUNTIFS(BD!$A$3:$A$5001,Y$3,BD!$B$3:$B$5001,$A$501,BD!$Y$3:$Y$5001,"&lt;&gt;")=0,"",SUMIFS(BD!$Y$3:$Y$5001,BD!$A$3:$A$5001,Y$3,BD!$B$3:$B$5001,$A$501)))</f>
        <v/>
      </c>
      <c r="Z524" s="216" t="str">
        <f>IF(Z$3="","",IF(COUNTIFS(BD!$A$3:$A$5001,Z$3,BD!$B$3:$B$5001,$A$501,BD!$Y$3:$Y$5001,"&lt;&gt;")=0,"",SUMIFS(BD!$Y$3:$Y$5001,BD!$A$3:$A$5001,Z$3,BD!$B$3:$B$5001,$A$501)))</f>
        <v/>
      </c>
      <c r="AA524" s="216" t="str">
        <f>IF(AA$3="","",IF(COUNTIFS(BD!$A$3:$A$5001,AA$3,BD!$B$3:$B$5001,$A$501,BD!$Y$3:$Y$5001,"&lt;&gt;")=0,"",SUMIFS(BD!$Y$3:$Y$5001,BD!$A$3:$A$5001,AA$3,BD!$B$3:$B$5001,$A$501)))</f>
        <v/>
      </c>
      <c r="AB524" s="216" t="str">
        <f>IF(AB$3="","",IF(COUNTIFS(BD!$A$3:$A$5001,AB$3,BD!$B$3:$B$5001,$A$501,BD!$Y$3:$Y$5001,"&lt;&gt;")=0,"",SUMIFS(BD!$Y$3:$Y$5001,BD!$A$3:$A$5001,AB$3,BD!$B$3:$B$5001,$A$501)))</f>
        <v/>
      </c>
      <c r="AC524" s="216" t="str">
        <f>IF(AC$3="","",IF(COUNTIFS(BD!$A$3:$A$5001,AC$3,BD!$B$3:$B$5001,$A$501,BD!$Y$3:$Y$5001,"&lt;&gt;")=0,"",SUMIFS(BD!$Y$3:$Y$5001,BD!$A$3:$A$5001,AC$3,BD!$B$3:$B$5001,$A$501)))</f>
        <v/>
      </c>
      <c r="AD524" s="216" t="str">
        <f>IF(AD$3="","",IF(COUNTIFS(BD!$A$3:$A$5001,AD$3,BD!$B$3:$B$5001,$A$501,BD!$Y$3:$Y$5001,"&lt;&gt;")=0,"",SUMIFS(BD!$Y$3:$Y$5001,BD!$A$3:$A$5001,AD$3,BD!$B$3:$B$5001,$A$501)))</f>
        <v/>
      </c>
      <c r="AE524" s="216" t="str">
        <f>IF(AE$3="","",IF(COUNTIFS(BD!$A$3:$A$5001,AE$3,BD!$B$3:$B$5001,$A$501,BD!$Y$3:$Y$5001,"&lt;&gt;")=0,"",SUMIFS(BD!$Y$3:$Y$5001,BD!$A$3:$A$5001,AE$3,BD!$B$3:$B$5001,$A$501)))</f>
        <v/>
      </c>
      <c r="AF524" s="216" t="str">
        <f>IF(AF$3="","",IF(COUNTIFS(BD!$A$3:$A$5001,AF$3,BD!$B$3:$B$5001,$A$501,BD!$Y$3:$Y$5001,"&lt;&gt;")=0,"",SUMIFS(BD!$Y$3:$Y$5001,BD!$A$3:$A$5001,AF$3,BD!$B$3:$B$5001,$A$501)))</f>
        <v/>
      </c>
      <c r="AG524" s="216" t="str">
        <f>IF(AG$3="","",IF(COUNTIFS(BD!$A$3:$A$5001,AG$3,BD!$B$3:$B$5001,$A$501,BD!$Y$3:$Y$5001,"&lt;&gt;")=0,"",SUMIFS(BD!$Y$3:$Y$5001,BD!$A$3:$A$5001,AG$3,BD!$B$3:$B$5001,$A$501)))</f>
        <v/>
      </c>
      <c r="AH524" s="216" t="str">
        <f>IF(AH$3="","",IF(COUNTIFS(BD!$A$3:$A$5001,AH$3,BD!$B$3:$B$5001,$A$501,BD!$Y$3:$Y$5001,"&lt;&gt;")=0,"",SUMIFS(BD!$Y$3:$Y$5001,BD!$A$3:$A$5001,AH$3,BD!$B$3:$B$5001,$A$501)))</f>
        <v/>
      </c>
      <c r="AI524" s="216" t="str">
        <f>IF(AI$3="","",IF(COUNTIFS(BD!$A$3:$A$5001,AI$3,BD!$B$3:$B$5001,$A$501,BD!$Y$3:$Y$5001,"&lt;&gt;")=0,"",SUMIFS(BD!$Y$3:$Y$5001,BD!$A$3:$A$5001,AI$3,BD!$B$3:$B$5001,$A$501)))</f>
        <v/>
      </c>
      <c r="AJ524" s="217" t="str">
        <f>IF(AJ$3="","",IF(COUNTIFS(BD!$A$3:$A$5001,AJ$3,BD!$B$3:$B$5001,$A$501,BD!$Y$3:$Y$5001,"&lt;&gt;")=0,"",SUMIFS(BD!$Y$3:$Y$5001,BD!$A$3:$A$5001,AJ$3,BD!$B$3:$B$5001,$A$501)))</f>
        <v/>
      </c>
      <c r="AK524" s="218" t="str">
        <f>IFERROR(LOOKUP(9.99E+307,F524:AJ524),"")</f>
        <v/>
      </c>
    </row>
    <row r="525" ht="15.75" customHeight="1" hidden="1">
      <c r="A525" s="244"/>
      <c r="B525" s="241"/>
      <c r="C525" s="219" t="inlineStr">
        <is>
          <t xml:space="preserve">Falta</t>
        </is>
      </c>
      <c r="D525" s="220" t="str">
        <f>IFERROR(1/(1/INDEX(BD!$AJ$47:$BD$47,MATCH($A$501,BD!$AJ$22:$BD$22,0))),"")</f>
        <v/>
      </c>
      <c r="E525" s="221"/>
      <c r="F525" s="222" t="str">
        <f>IF(F$3="","",IF(COUNTIFS(BD!$A$3:$A$5001,F$3,BD!$B$3:$B$5001,$A$501,BD!$Z$3:$Z$5001,"&lt;&gt;")=0,"",SUMIFS(BD!$Z$3:$Z$5001,BD!$A$3:$A$5001,F$3,BD!$B$3:$B$5001,$A$501)))</f>
        <v/>
      </c>
      <c r="G525" s="223" t="str">
        <f>IF(G$3="","",IF(COUNTIFS(BD!$A$3:$A$5001,G$3,BD!$B$3:$B$5001,$A$501,BD!$Z$3:$Z$5001,"&lt;&gt;")=0,"",SUMIFS(BD!$Z$3:$Z$5001,BD!$A$3:$A$5001,G$3,BD!$B$3:$B$5001,$A$501)))</f>
        <v/>
      </c>
      <c r="H525" s="223" t="str">
        <f>IF(H$3="","",IF(COUNTIFS(BD!$A$3:$A$5001,H$3,BD!$B$3:$B$5001,$A$501,BD!$Z$3:$Z$5001,"&lt;&gt;")=0,"",SUMIFS(BD!$Z$3:$Z$5001,BD!$A$3:$A$5001,H$3,BD!$B$3:$B$5001,$A$501)))</f>
        <v/>
      </c>
      <c r="I525" s="223" t="str">
        <f>IF(I$3="","",IF(COUNTIFS(BD!$A$3:$A$5001,I$3,BD!$B$3:$B$5001,$A$501,BD!$Z$3:$Z$5001,"&lt;&gt;")=0,"",SUMIFS(BD!$Z$3:$Z$5001,BD!$A$3:$A$5001,I$3,BD!$B$3:$B$5001,$A$501)))</f>
        <v/>
      </c>
      <c r="J525" s="223" t="str">
        <f>IF(J$3="","",IF(COUNTIFS(BD!$A$3:$A$5001,J$3,BD!$B$3:$B$5001,$A$501,BD!$Z$3:$Z$5001,"&lt;&gt;")=0,"",SUMIFS(BD!$Z$3:$Z$5001,BD!$A$3:$A$5001,J$3,BD!$B$3:$B$5001,$A$501)))</f>
        <v/>
      </c>
      <c r="K525" s="223" t="str">
        <f>IF(K$3="","",IF(COUNTIFS(BD!$A$3:$A$5001,K$3,BD!$B$3:$B$5001,$A$501,BD!$Z$3:$Z$5001,"&lt;&gt;")=0,"",SUMIFS(BD!$Z$3:$Z$5001,BD!$A$3:$A$5001,K$3,BD!$B$3:$B$5001,$A$501)))</f>
        <v/>
      </c>
      <c r="L525" s="223" t="str">
        <f>IF(L$3="","",IF(COUNTIFS(BD!$A$3:$A$5001,L$3,BD!$B$3:$B$5001,$A$501,BD!$Z$3:$Z$5001,"&lt;&gt;")=0,"",SUMIFS(BD!$Z$3:$Z$5001,BD!$A$3:$A$5001,L$3,BD!$B$3:$B$5001,$A$501)))</f>
        <v/>
      </c>
      <c r="M525" s="223" t="str">
        <f>IF(M$3="","",IF(COUNTIFS(BD!$A$3:$A$5001,M$3,BD!$B$3:$B$5001,$A$501,BD!$Z$3:$Z$5001,"&lt;&gt;")=0,"",SUMIFS(BD!$Z$3:$Z$5001,BD!$A$3:$A$5001,M$3,BD!$B$3:$B$5001,$A$501)))</f>
        <v/>
      </c>
      <c r="N525" s="223" t="str">
        <f>IF(N$3="","",IF(COUNTIFS(BD!$A$3:$A$5001,N$3,BD!$B$3:$B$5001,$A$501,BD!$Z$3:$Z$5001,"&lt;&gt;")=0,"",SUMIFS(BD!$Z$3:$Z$5001,BD!$A$3:$A$5001,N$3,BD!$B$3:$B$5001,$A$501)))</f>
        <v/>
      </c>
      <c r="O525" s="223" t="str">
        <f>IF(O$3="","",IF(COUNTIFS(BD!$A$3:$A$5001,O$3,BD!$B$3:$B$5001,$A$501,BD!$Z$3:$Z$5001,"&lt;&gt;")=0,"",SUMIFS(BD!$Z$3:$Z$5001,BD!$A$3:$A$5001,O$3,BD!$B$3:$B$5001,$A$501)))</f>
        <v/>
      </c>
      <c r="P525" s="223" t="str">
        <f>IF(P$3="","",IF(COUNTIFS(BD!$A$3:$A$5001,P$3,BD!$B$3:$B$5001,$A$501,BD!$Z$3:$Z$5001,"&lt;&gt;")=0,"",SUMIFS(BD!$Z$3:$Z$5001,BD!$A$3:$A$5001,P$3,BD!$B$3:$B$5001,$A$501)))</f>
        <v/>
      </c>
      <c r="Q525" s="223" t="str">
        <f>IF(Q$3="","",IF(COUNTIFS(BD!$A$3:$A$5001,Q$3,BD!$B$3:$B$5001,$A$501,BD!$Z$3:$Z$5001,"&lt;&gt;")=0,"",SUMIFS(BD!$Z$3:$Z$5001,BD!$A$3:$A$5001,Q$3,BD!$B$3:$B$5001,$A$501)))</f>
        <v/>
      </c>
      <c r="R525" s="223" t="str">
        <f>IF(R$3="","",IF(COUNTIFS(BD!$A$3:$A$5001,R$3,BD!$B$3:$B$5001,$A$501,BD!$Z$3:$Z$5001,"&lt;&gt;")=0,"",SUMIFS(BD!$Z$3:$Z$5001,BD!$A$3:$A$5001,R$3,BD!$B$3:$B$5001,$A$501)))</f>
        <v/>
      </c>
      <c r="S525" s="223" t="str">
        <f>IF(S$3="","",IF(COUNTIFS(BD!$A$3:$A$5001,S$3,BD!$B$3:$B$5001,$A$501,BD!$Z$3:$Z$5001,"&lt;&gt;")=0,"",SUMIFS(BD!$Z$3:$Z$5001,BD!$A$3:$A$5001,S$3,BD!$B$3:$B$5001,$A$501)))</f>
        <v/>
      </c>
      <c r="T525" s="223" t="str">
        <f>IF(T$3="","",IF(COUNTIFS(BD!$A$3:$A$5001,T$3,BD!$B$3:$B$5001,$A$501,BD!$Z$3:$Z$5001,"&lt;&gt;")=0,"",SUMIFS(BD!$Z$3:$Z$5001,BD!$A$3:$A$5001,T$3,BD!$B$3:$B$5001,$A$501)))</f>
        <v/>
      </c>
      <c r="U525" s="223" t="str">
        <f>IF(U$3="","",IF(COUNTIFS(BD!$A$3:$A$5001,U$3,BD!$B$3:$B$5001,$A$501,BD!$Z$3:$Z$5001,"&lt;&gt;")=0,"",SUMIFS(BD!$Z$3:$Z$5001,BD!$A$3:$A$5001,U$3,BD!$B$3:$B$5001,$A$501)))</f>
        <v/>
      </c>
      <c r="V525" s="223" t="str">
        <f>IF(V$3="","",IF(COUNTIFS(BD!$A$3:$A$5001,V$3,BD!$B$3:$B$5001,$A$501,BD!$Z$3:$Z$5001,"&lt;&gt;")=0,"",SUMIFS(BD!$Z$3:$Z$5001,BD!$A$3:$A$5001,V$3,BD!$B$3:$B$5001,$A$501)))</f>
        <v/>
      </c>
      <c r="W525" s="223" t="str">
        <f>IF(W$3="","",IF(COUNTIFS(BD!$A$3:$A$5001,W$3,BD!$B$3:$B$5001,$A$501,BD!$Z$3:$Z$5001,"&lt;&gt;")=0,"",SUMIFS(BD!$Z$3:$Z$5001,BD!$A$3:$A$5001,W$3,BD!$B$3:$B$5001,$A$501)))</f>
        <v/>
      </c>
      <c r="X525" s="223" t="str">
        <f>IF(X$3="","",IF(COUNTIFS(BD!$A$3:$A$5001,X$3,BD!$B$3:$B$5001,$A$501,BD!$Z$3:$Z$5001,"&lt;&gt;")=0,"",SUMIFS(BD!$Z$3:$Z$5001,BD!$A$3:$A$5001,X$3,BD!$B$3:$B$5001,$A$501)))</f>
        <v/>
      </c>
      <c r="Y525" s="223" t="str">
        <f>IF(Y$3="","",IF(COUNTIFS(BD!$A$3:$A$5001,Y$3,BD!$B$3:$B$5001,$A$501,BD!$Z$3:$Z$5001,"&lt;&gt;")=0,"",SUMIFS(BD!$Z$3:$Z$5001,BD!$A$3:$A$5001,Y$3,BD!$B$3:$B$5001,$A$501)))</f>
        <v/>
      </c>
      <c r="Z525" s="223" t="str">
        <f>IF(Z$3="","",IF(COUNTIFS(BD!$A$3:$A$5001,Z$3,BD!$B$3:$B$5001,$A$501,BD!$Z$3:$Z$5001,"&lt;&gt;")=0,"",SUMIFS(BD!$Z$3:$Z$5001,BD!$A$3:$A$5001,Z$3,BD!$B$3:$B$5001,$A$501)))</f>
        <v/>
      </c>
      <c r="AA525" s="223" t="str">
        <f>IF(AA$3="","",IF(COUNTIFS(BD!$A$3:$A$5001,AA$3,BD!$B$3:$B$5001,$A$501,BD!$Z$3:$Z$5001,"&lt;&gt;")=0,"",SUMIFS(BD!$Z$3:$Z$5001,BD!$A$3:$A$5001,AA$3,BD!$B$3:$B$5001,$A$501)))</f>
        <v/>
      </c>
      <c r="AB525" s="223" t="str">
        <f>IF(AB$3="","",IF(COUNTIFS(BD!$A$3:$A$5001,AB$3,BD!$B$3:$B$5001,$A$501,BD!$Z$3:$Z$5001,"&lt;&gt;")=0,"",SUMIFS(BD!$Z$3:$Z$5001,BD!$A$3:$A$5001,AB$3,BD!$B$3:$B$5001,$A$501)))</f>
        <v/>
      </c>
      <c r="AC525" s="223" t="str">
        <f>IF(AC$3="","",IF(COUNTIFS(BD!$A$3:$A$5001,AC$3,BD!$B$3:$B$5001,$A$501,BD!$Z$3:$Z$5001,"&lt;&gt;")=0,"",SUMIFS(BD!$Z$3:$Z$5001,BD!$A$3:$A$5001,AC$3,BD!$B$3:$B$5001,$A$501)))</f>
        <v/>
      </c>
      <c r="AD525" s="223" t="str">
        <f>IF(AD$3="","",IF(COUNTIFS(BD!$A$3:$A$5001,AD$3,BD!$B$3:$B$5001,$A$501,BD!$Z$3:$Z$5001,"&lt;&gt;")=0,"",SUMIFS(BD!$Z$3:$Z$5001,BD!$A$3:$A$5001,AD$3,BD!$B$3:$B$5001,$A$501)))</f>
        <v/>
      </c>
      <c r="AE525" s="223" t="str">
        <f>IF(AE$3="","",IF(COUNTIFS(BD!$A$3:$A$5001,AE$3,BD!$B$3:$B$5001,$A$501,BD!$Z$3:$Z$5001,"&lt;&gt;")=0,"",SUMIFS(BD!$Z$3:$Z$5001,BD!$A$3:$A$5001,AE$3,BD!$B$3:$B$5001,$A$501)))</f>
        <v/>
      </c>
      <c r="AF525" s="223" t="str">
        <f>IF(AF$3="","",IF(COUNTIFS(BD!$A$3:$A$5001,AF$3,BD!$B$3:$B$5001,$A$501,BD!$Z$3:$Z$5001,"&lt;&gt;")=0,"",SUMIFS(BD!$Z$3:$Z$5001,BD!$A$3:$A$5001,AF$3,BD!$B$3:$B$5001,$A$501)))</f>
        <v/>
      </c>
      <c r="AG525" s="223" t="str">
        <f>IF(AG$3="","",IF(COUNTIFS(BD!$A$3:$A$5001,AG$3,BD!$B$3:$B$5001,$A$501,BD!$Z$3:$Z$5001,"&lt;&gt;")=0,"",SUMIFS(BD!$Z$3:$Z$5001,BD!$A$3:$A$5001,AG$3,BD!$B$3:$B$5001,$A$501)))</f>
        <v/>
      </c>
      <c r="AH525" s="223" t="str">
        <f>IF(AH$3="","",IF(COUNTIFS(BD!$A$3:$A$5001,AH$3,BD!$B$3:$B$5001,$A$501,BD!$Z$3:$Z$5001,"&lt;&gt;")=0,"",SUMIFS(BD!$Z$3:$Z$5001,BD!$A$3:$A$5001,AH$3,BD!$B$3:$B$5001,$A$501)))</f>
        <v/>
      </c>
      <c r="AI525" s="223" t="str">
        <f>IF(AI$3="","",IF(COUNTIFS(BD!$A$3:$A$5001,AI$3,BD!$B$3:$B$5001,$A$501,BD!$Z$3:$Z$5001,"&lt;&gt;")=0,"",SUMIFS(BD!$Z$3:$Z$5001,BD!$A$3:$A$5001,AI$3,BD!$B$3:$B$5001,$A$501)))</f>
        <v/>
      </c>
      <c r="AJ525" s="224" t="str">
        <f>IF(AJ$3="","",IF(COUNTIFS(BD!$A$3:$A$5001,AJ$3,BD!$B$3:$B$5001,$A$501,BD!$Z$3:$Z$5001,"&lt;&gt;")=0,"",SUMIFS(BD!$Z$3:$Z$5001,BD!$A$3:$A$5001,AJ$3,BD!$B$3:$B$5001,$A$501)))</f>
        <v/>
      </c>
      <c r="AK525" s="225" t="str">
        <f>IF(COUNT(F525:AJ525)=0,"",SUM(F525:AJ525))</f>
        <v/>
      </c>
    </row>
    <row r="526" ht="15.75" customHeight="1" hidden="1">
      <c r="A526" s="244"/>
      <c r="B526" s="241"/>
      <c r="C526" s="219" t="inlineStr">
        <is>
          <t xml:space="preserve">Folga</t>
        </is>
      </c>
      <c r="D526" s="220" t="str">
        <f>IFERROR(1/(1/INDEX(BD!$AJ$48:$BD$48,MATCH($A$501,BD!$AJ$22:$BD$22,0))),"")</f>
        <v/>
      </c>
      <c r="E526" s="221"/>
      <c r="F526" s="222" t="str">
        <f>IF(F$3="","",IF(COUNTIFS(BD!$A$3:$A$5001,F$3,BD!$B$3:$B$5001,$A$501,BD!$AA$3:$AA$5001,"&lt;&gt;")=0,"",SUMIFS(BD!$AA$3:$AA$5001,BD!$A$3:$A$5001,F$3,BD!$B$3:$B$5001,$A$501)))</f>
        <v/>
      </c>
      <c r="G526" s="223" t="str">
        <f>IF(G$3="","",IF(COUNTIFS(BD!$A$3:$A$5001,G$3,BD!$B$3:$B$5001,$A$501,BD!$AA$3:$AA$5001,"&lt;&gt;")=0,"",SUMIFS(BD!$AA$3:$AA$5001,BD!$A$3:$A$5001,G$3,BD!$B$3:$B$5001,$A$501)))</f>
        <v/>
      </c>
      <c r="H526" s="223" t="str">
        <f>IF(H$3="","",IF(COUNTIFS(BD!$A$3:$A$5001,H$3,BD!$B$3:$B$5001,$A$501,BD!$AA$3:$AA$5001,"&lt;&gt;")=0,"",SUMIFS(BD!$AA$3:$AA$5001,BD!$A$3:$A$5001,H$3,BD!$B$3:$B$5001,$A$501)))</f>
        <v/>
      </c>
      <c r="I526" s="223" t="str">
        <f>IF(I$3="","",IF(COUNTIFS(BD!$A$3:$A$5001,I$3,BD!$B$3:$B$5001,$A$501,BD!$AA$3:$AA$5001,"&lt;&gt;")=0,"",SUMIFS(BD!$AA$3:$AA$5001,BD!$A$3:$A$5001,I$3,BD!$B$3:$B$5001,$A$501)))</f>
        <v/>
      </c>
      <c r="J526" s="223" t="str">
        <f>IF(J$3="","",IF(COUNTIFS(BD!$A$3:$A$5001,J$3,BD!$B$3:$B$5001,$A$501,BD!$AA$3:$AA$5001,"&lt;&gt;")=0,"",SUMIFS(BD!$AA$3:$AA$5001,BD!$A$3:$A$5001,J$3,BD!$B$3:$B$5001,$A$501)))</f>
        <v/>
      </c>
      <c r="K526" s="223" t="str">
        <f>IF(K$3="","",IF(COUNTIFS(BD!$A$3:$A$5001,K$3,BD!$B$3:$B$5001,$A$501,BD!$AA$3:$AA$5001,"&lt;&gt;")=0,"",SUMIFS(BD!$AA$3:$AA$5001,BD!$A$3:$A$5001,K$3,BD!$B$3:$B$5001,$A$501)))</f>
        <v/>
      </c>
      <c r="L526" s="223" t="str">
        <f>IF(L$3="","",IF(COUNTIFS(BD!$A$3:$A$5001,L$3,BD!$B$3:$B$5001,$A$501,BD!$AA$3:$AA$5001,"&lt;&gt;")=0,"",SUMIFS(BD!$AA$3:$AA$5001,BD!$A$3:$A$5001,L$3,BD!$B$3:$B$5001,$A$501)))</f>
        <v/>
      </c>
      <c r="M526" s="223" t="str">
        <f>IF(M$3="","",IF(COUNTIFS(BD!$A$3:$A$5001,M$3,BD!$B$3:$B$5001,$A$501,BD!$AA$3:$AA$5001,"&lt;&gt;")=0,"",SUMIFS(BD!$AA$3:$AA$5001,BD!$A$3:$A$5001,M$3,BD!$B$3:$B$5001,$A$501)))</f>
        <v/>
      </c>
      <c r="N526" s="223" t="str">
        <f>IF(N$3="","",IF(COUNTIFS(BD!$A$3:$A$5001,N$3,BD!$B$3:$B$5001,$A$501,BD!$AA$3:$AA$5001,"&lt;&gt;")=0,"",SUMIFS(BD!$AA$3:$AA$5001,BD!$A$3:$A$5001,N$3,BD!$B$3:$B$5001,$A$501)))</f>
        <v/>
      </c>
      <c r="O526" s="223" t="str">
        <f>IF(O$3="","",IF(COUNTIFS(BD!$A$3:$A$5001,O$3,BD!$B$3:$B$5001,$A$501,BD!$AA$3:$AA$5001,"&lt;&gt;")=0,"",SUMIFS(BD!$AA$3:$AA$5001,BD!$A$3:$A$5001,O$3,BD!$B$3:$B$5001,$A$501)))</f>
        <v/>
      </c>
      <c r="P526" s="223" t="str">
        <f>IF(P$3="","",IF(COUNTIFS(BD!$A$3:$A$5001,P$3,BD!$B$3:$B$5001,$A$501,BD!$AA$3:$AA$5001,"&lt;&gt;")=0,"",SUMIFS(BD!$AA$3:$AA$5001,BD!$A$3:$A$5001,P$3,BD!$B$3:$B$5001,$A$501)))</f>
        <v/>
      </c>
      <c r="Q526" s="223" t="str">
        <f>IF(Q$3="","",IF(COUNTIFS(BD!$A$3:$A$5001,Q$3,BD!$B$3:$B$5001,$A$501,BD!$AA$3:$AA$5001,"&lt;&gt;")=0,"",SUMIFS(BD!$AA$3:$AA$5001,BD!$A$3:$A$5001,Q$3,BD!$B$3:$B$5001,$A$501)))</f>
        <v/>
      </c>
      <c r="R526" s="223" t="str">
        <f>IF(R$3="","",IF(COUNTIFS(BD!$A$3:$A$5001,R$3,BD!$B$3:$B$5001,$A$501,BD!$AA$3:$AA$5001,"&lt;&gt;")=0,"",SUMIFS(BD!$AA$3:$AA$5001,BD!$A$3:$A$5001,R$3,BD!$B$3:$B$5001,$A$501)))</f>
        <v/>
      </c>
      <c r="S526" s="223" t="str">
        <f>IF(S$3="","",IF(COUNTIFS(BD!$A$3:$A$5001,S$3,BD!$B$3:$B$5001,$A$501,BD!$AA$3:$AA$5001,"&lt;&gt;")=0,"",SUMIFS(BD!$AA$3:$AA$5001,BD!$A$3:$A$5001,S$3,BD!$B$3:$B$5001,$A$501)))</f>
        <v/>
      </c>
      <c r="T526" s="223" t="str">
        <f>IF(T$3="","",IF(COUNTIFS(BD!$A$3:$A$5001,T$3,BD!$B$3:$B$5001,$A$501,BD!$AA$3:$AA$5001,"&lt;&gt;")=0,"",SUMIFS(BD!$AA$3:$AA$5001,BD!$A$3:$A$5001,T$3,BD!$B$3:$B$5001,$A$501)))</f>
        <v/>
      </c>
      <c r="U526" s="223" t="str">
        <f>IF(U$3="","",IF(COUNTIFS(BD!$A$3:$A$5001,U$3,BD!$B$3:$B$5001,$A$501,BD!$AA$3:$AA$5001,"&lt;&gt;")=0,"",SUMIFS(BD!$AA$3:$AA$5001,BD!$A$3:$A$5001,U$3,BD!$B$3:$B$5001,$A$501)))</f>
        <v/>
      </c>
      <c r="V526" s="223" t="str">
        <f>IF(V$3="","",IF(COUNTIFS(BD!$A$3:$A$5001,V$3,BD!$B$3:$B$5001,$A$501,BD!$AA$3:$AA$5001,"&lt;&gt;")=0,"",SUMIFS(BD!$AA$3:$AA$5001,BD!$A$3:$A$5001,V$3,BD!$B$3:$B$5001,$A$501)))</f>
        <v/>
      </c>
      <c r="W526" s="223" t="str">
        <f>IF(W$3="","",IF(COUNTIFS(BD!$A$3:$A$5001,W$3,BD!$B$3:$B$5001,$A$501,BD!$AA$3:$AA$5001,"&lt;&gt;")=0,"",SUMIFS(BD!$AA$3:$AA$5001,BD!$A$3:$A$5001,W$3,BD!$B$3:$B$5001,$A$501)))</f>
        <v/>
      </c>
      <c r="X526" s="223" t="str">
        <f>IF(X$3="","",IF(COUNTIFS(BD!$A$3:$A$5001,X$3,BD!$B$3:$B$5001,$A$501,BD!$AA$3:$AA$5001,"&lt;&gt;")=0,"",SUMIFS(BD!$AA$3:$AA$5001,BD!$A$3:$A$5001,X$3,BD!$B$3:$B$5001,$A$501)))</f>
        <v/>
      </c>
      <c r="Y526" s="223" t="str">
        <f>IF(Y$3="","",IF(COUNTIFS(BD!$A$3:$A$5001,Y$3,BD!$B$3:$B$5001,$A$501,BD!$AA$3:$AA$5001,"&lt;&gt;")=0,"",SUMIFS(BD!$AA$3:$AA$5001,BD!$A$3:$A$5001,Y$3,BD!$B$3:$B$5001,$A$501)))</f>
        <v/>
      </c>
      <c r="Z526" s="223" t="str">
        <f>IF(Z$3="","",IF(COUNTIFS(BD!$A$3:$A$5001,Z$3,BD!$B$3:$B$5001,$A$501,BD!$AA$3:$AA$5001,"&lt;&gt;")=0,"",SUMIFS(BD!$AA$3:$AA$5001,BD!$A$3:$A$5001,Z$3,BD!$B$3:$B$5001,$A$501)))</f>
        <v/>
      </c>
      <c r="AA526" s="223" t="str">
        <f>IF(AA$3="","",IF(COUNTIFS(BD!$A$3:$A$5001,AA$3,BD!$B$3:$B$5001,$A$501,BD!$AA$3:$AA$5001,"&lt;&gt;")=0,"",SUMIFS(BD!$AA$3:$AA$5001,BD!$A$3:$A$5001,AA$3,BD!$B$3:$B$5001,$A$501)))</f>
        <v/>
      </c>
      <c r="AB526" s="223" t="str">
        <f>IF(AB$3="","",IF(COUNTIFS(BD!$A$3:$A$5001,AB$3,BD!$B$3:$B$5001,$A$501,BD!$AA$3:$AA$5001,"&lt;&gt;")=0,"",SUMIFS(BD!$AA$3:$AA$5001,BD!$A$3:$A$5001,AB$3,BD!$B$3:$B$5001,$A$501)))</f>
        <v/>
      </c>
      <c r="AC526" s="223" t="str">
        <f>IF(AC$3="","",IF(COUNTIFS(BD!$A$3:$A$5001,AC$3,BD!$B$3:$B$5001,$A$501,BD!$AA$3:$AA$5001,"&lt;&gt;")=0,"",SUMIFS(BD!$AA$3:$AA$5001,BD!$A$3:$A$5001,AC$3,BD!$B$3:$B$5001,$A$501)))</f>
        <v/>
      </c>
      <c r="AD526" s="223" t="str">
        <f>IF(AD$3="","",IF(COUNTIFS(BD!$A$3:$A$5001,AD$3,BD!$B$3:$B$5001,$A$501,BD!$AA$3:$AA$5001,"&lt;&gt;")=0,"",SUMIFS(BD!$AA$3:$AA$5001,BD!$A$3:$A$5001,AD$3,BD!$B$3:$B$5001,$A$501)))</f>
        <v/>
      </c>
      <c r="AE526" s="223" t="str">
        <f>IF(AE$3="","",IF(COUNTIFS(BD!$A$3:$A$5001,AE$3,BD!$B$3:$B$5001,$A$501,BD!$AA$3:$AA$5001,"&lt;&gt;")=0,"",SUMIFS(BD!$AA$3:$AA$5001,BD!$A$3:$A$5001,AE$3,BD!$B$3:$B$5001,$A$501)))</f>
        <v/>
      </c>
      <c r="AF526" s="223" t="str">
        <f>IF(AF$3="","",IF(COUNTIFS(BD!$A$3:$A$5001,AF$3,BD!$B$3:$B$5001,$A$501,BD!$AA$3:$AA$5001,"&lt;&gt;")=0,"",SUMIFS(BD!$AA$3:$AA$5001,BD!$A$3:$A$5001,AF$3,BD!$B$3:$B$5001,$A$501)))</f>
        <v/>
      </c>
      <c r="AG526" s="223" t="str">
        <f>IF(AG$3="","",IF(COUNTIFS(BD!$A$3:$A$5001,AG$3,BD!$B$3:$B$5001,$A$501,BD!$AA$3:$AA$5001,"&lt;&gt;")=0,"",SUMIFS(BD!$AA$3:$AA$5001,BD!$A$3:$A$5001,AG$3,BD!$B$3:$B$5001,$A$501)))</f>
        <v/>
      </c>
      <c r="AH526" s="223" t="str">
        <f>IF(AH$3="","",IF(COUNTIFS(BD!$A$3:$A$5001,AH$3,BD!$B$3:$B$5001,$A$501,BD!$AA$3:$AA$5001,"&lt;&gt;")=0,"",SUMIFS(BD!$AA$3:$AA$5001,BD!$A$3:$A$5001,AH$3,BD!$B$3:$B$5001,$A$501)))</f>
        <v/>
      </c>
      <c r="AI526" s="223" t="str">
        <f>IF(AI$3="","",IF(COUNTIFS(BD!$A$3:$A$5001,AI$3,BD!$B$3:$B$5001,$A$501,BD!$AA$3:$AA$5001,"&lt;&gt;")=0,"",SUMIFS(BD!$AA$3:$AA$5001,BD!$A$3:$A$5001,AI$3,BD!$B$3:$B$5001,$A$501)))</f>
        <v/>
      </c>
      <c r="AJ526" s="224" t="str">
        <f>IF(AJ$3="","",IF(COUNTIFS(BD!$A$3:$A$5001,AJ$3,BD!$B$3:$B$5001,$A$501,BD!$AA$3:$AA$5001,"&lt;&gt;")=0,"",SUMIFS(BD!$AA$3:$AA$5001,BD!$A$3:$A$5001,AJ$3,BD!$B$3:$B$5001,$A$501)))</f>
        <v/>
      </c>
      <c r="AK526" s="225" t="str">
        <f>IF(COUNT(F526:AJ526)=0,"",SUM(F526:AJ526))</f>
        <v/>
      </c>
    </row>
    <row r="527" ht="15.75" customHeight="1" hidden="1">
      <c r="A527" s="244"/>
      <c r="B527" s="241"/>
      <c r="C527" s="219" t="inlineStr">
        <is>
          <t xml:space="preserve">Férias</t>
        </is>
      </c>
      <c r="D527" s="220" t="str">
        <f>IFERROR(1/(1/INDEX(BD!$AJ$49:$BD$49,MATCH($A$501,BD!$AJ$22:$BD$22,0))),"")</f>
        <v/>
      </c>
      <c r="E527" s="221"/>
      <c r="F527" s="222" t="str">
        <f>IF(F$3="","",IF(COUNTIFS(BD!$A$3:$A$5001,F$3,BD!$B$3:$B$5001,$A$501,BD!$AB$3:$AB$5001,"&lt;&gt;")=0,"",SUMIFS(BD!$AB$3:$AB$5001,BD!$A$3:$A$5001,F$3,BD!$B$3:$B$5001,$A$501)))</f>
        <v/>
      </c>
      <c r="G527" s="223" t="str">
        <f>IF(G$3="","",IF(COUNTIFS(BD!$A$3:$A$5001,G$3,BD!$B$3:$B$5001,$A$501,BD!$AB$3:$AB$5001,"&lt;&gt;")=0,"",SUMIFS(BD!$AB$3:$AB$5001,BD!$A$3:$A$5001,G$3,BD!$B$3:$B$5001,$A$501)))</f>
        <v/>
      </c>
      <c r="H527" s="223" t="str">
        <f>IF(H$3="","",IF(COUNTIFS(BD!$A$3:$A$5001,H$3,BD!$B$3:$B$5001,$A$501,BD!$AB$3:$AB$5001,"&lt;&gt;")=0,"",SUMIFS(BD!$AB$3:$AB$5001,BD!$A$3:$A$5001,H$3,BD!$B$3:$B$5001,$A$501)))</f>
        <v/>
      </c>
      <c r="I527" s="223" t="str">
        <f>IF(I$3="","",IF(COUNTIFS(BD!$A$3:$A$5001,I$3,BD!$B$3:$B$5001,$A$501,BD!$AB$3:$AB$5001,"&lt;&gt;")=0,"",SUMIFS(BD!$AB$3:$AB$5001,BD!$A$3:$A$5001,I$3,BD!$B$3:$B$5001,$A$501)))</f>
        <v/>
      </c>
      <c r="J527" s="223" t="str">
        <f>IF(J$3="","",IF(COUNTIFS(BD!$A$3:$A$5001,J$3,BD!$B$3:$B$5001,$A$501,BD!$AB$3:$AB$5001,"&lt;&gt;")=0,"",SUMIFS(BD!$AB$3:$AB$5001,BD!$A$3:$A$5001,J$3,BD!$B$3:$B$5001,$A$501)))</f>
        <v/>
      </c>
      <c r="K527" s="223" t="str">
        <f>IF(K$3="","",IF(COUNTIFS(BD!$A$3:$A$5001,K$3,BD!$B$3:$B$5001,$A$501,BD!$AB$3:$AB$5001,"&lt;&gt;")=0,"",SUMIFS(BD!$AB$3:$AB$5001,BD!$A$3:$A$5001,K$3,BD!$B$3:$B$5001,$A$501)))</f>
        <v/>
      </c>
      <c r="L527" s="223" t="str">
        <f>IF(L$3="","",IF(COUNTIFS(BD!$A$3:$A$5001,L$3,BD!$B$3:$B$5001,$A$501,BD!$AB$3:$AB$5001,"&lt;&gt;")=0,"",SUMIFS(BD!$AB$3:$AB$5001,BD!$A$3:$A$5001,L$3,BD!$B$3:$B$5001,$A$501)))</f>
        <v/>
      </c>
      <c r="M527" s="223" t="str">
        <f>IF(M$3="","",IF(COUNTIFS(BD!$A$3:$A$5001,M$3,BD!$B$3:$B$5001,$A$501,BD!$AB$3:$AB$5001,"&lt;&gt;")=0,"",SUMIFS(BD!$AB$3:$AB$5001,BD!$A$3:$A$5001,M$3,BD!$B$3:$B$5001,$A$501)))</f>
        <v/>
      </c>
      <c r="N527" s="223" t="str">
        <f>IF(N$3="","",IF(COUNTIFS(BD!$A$3:$A$5001,N$3,BD!$B$3:$B$5001,$A$501,BD!$AB$3:$AB$5001,"&lt;&gt;")=0,"",SUMIFS(BD!$AB$3:$AB$5001,BD!$A$3:$A$5001,N$3,BD!$B$3:$B$5001,$A$501)))</f>
        <v/>
      </c>
      <c r="O527" s="223" t="str">
        <f>IF(O$3="","",IF(COUNTIFS(BD!$A$3:$A$5001,O$3,BD!$B$3:$B$5001,$A$501,BD!$AB$3:$AB$5001,"&lt;&gt;")=0,"",SUMIFS(BD!$AB$3:$AB$5001,BD!$A$3:$A$5001,O$3,BD!$B$3:$B$5001,$A$501)))</f>
        <v/>
      </c>
      <c r="P527" s="223" t="str">
        <f>IF(P$3="","",IF(COUNTIFS(BD!$A$3:$A$5001,P$3,BD!$B$3:$B$5001,$A$501,BD!$AB$3:$AB$5001,"&lt;&gt;")=0,"",SUMIFS(BD!$AB$3:$AB$5001,BD!$A$3:$A$5001,P$3,BD!$B$3:$B$5001,$A$501)))</f>
        <v/>
      </c>
      <c r="Q527" s="223" t="str">
        <f>IF(Q$3="","",IF(COUNTIFS(BD!$A$3:$A$5001,Q$3,BD!$B$3:$B$5001,$A$501,BD!$AB$3:$AB$5001,"&lt;&gt;")=0,"",SUMIFS(BD!$AB$3:$AB$5001,BD!$A$3:$A$5001,Q$3,BD!$B$3:$B$5001,$A$501)))</f>
        <v/>
      </c>
      <c r="R527" s="223" t="str">
        <f>IF(R$3="","",IF(COUNTIFS(BD!$A$3:$A$5001,R$3,BD!$B$3:$B$5001,$A$501,BD!$AB$3:$AB$5001,"&lt;&gt;")=0,"",SUMIFS(BD!$AB$3:$AB$5001,BD!$A$3:$A$5001,R$3,BD!$B$3:$B$5001,$A$501)))</f>
        <v/>
      </c>
      <c r="S527" s="223" t="str">
        <f>IF(S$3="","",IF(COUNTIFS(BD!$A$3:$A$5001,S$3,BD!$B$3:$B$5001,$A$501,BD!$AB$3:$AB$5001,"&lt;&gt;")=0,"",SUMIFS(BD!$AB$3:$AB$5001,BD!$A$3:$A$5001,S$3,BD!$B$3:$B$5001,$A$501)))</f>
        <v/>
      </c>
      <c r="T527" s="223" t="str">
        <f>IF(T$3="","",IF(COUNTIFS(BD!$A$3:$A$5001,T$3,BD!$B$3:$B$5001,$A$501,BD!$AB$3:$AB$5001,"&lt;&gt;")=0,"",SUMIFS(BD!$AB$3:$AB$5001,BD!$A$3:$A$5001,T$3,BD!$B$3:$B$5001,$A$501)))</f>
        <v/>
      </c>
      <c r="U527" s="223" t="str">
        <f>IF(U$3="","",IF(COUNTIFS(BD!$A$3:$A$5001,U$3,BD!$B$3:$B$5001,$A$501,BD!$AB$3:$AB$5001,"&lt;&gt;")=0,"",SUMIFS(BD!$AB$3:$AB$5001,BD!$A$3:$A$5001,U$3,BD!$B$3:$B$5001,$A$501)))</f>
        <v/>
      </c>
      <c r="V527" s="223" t="str">
        <f>IF(V$3="","",IF(COUNTIFS(BD!$A$3:$A$5001,V$3,BD!$B$3:$B$5001,$A$501,BD!$AB$3:$AB$5001,"&lt;&gt;")=0,"",SUMIFS(BD!$AB$3:$AB$5001,BD!$A$3:$A$5001,V$3,BD!$B$3:$B$5001,$A$501)))</f>
        <v/>
      </c>
      <c r="W527" s="223" t="str">
        <f>IF(W$3="","",IF(COUNTIFS(BD!$A$3:$A$5001,W$3,BD!$B$3:$B$5001,$A$501,BD!$AB$3:$AB$5001,"&lt;&gt;")=0,"",SUMIFS(BD!$AB$3:$AB$5001,BD!$A$3:$A$5001,W$3,BD!$B$3:$B$5001,$A$501)))</f>
        <v/>
      </c>
      <c r="X527" s="223" t="str">
        <f>IF(X$3="","",IF(COUNTIFS(BD!$A$3:$A$5001,X$3,BD!$B$3:$B$5001,$A$501,BD!$AB$3:$AB$5001,"&lt;&gt;")=0,"",SUMIFS(BD!$AB$3:$AB$5001,BD!$A$3:$A$5001,X$3,BD!$B$3:$B$5001,$A$501)))</f>
        <v/>
      </c>
      <c r="Y527" s="223" t="str">
        <f>IF(Y$3="","",IF(COUNTIFS(BD!$A$3:$A$5001,Y$3,BD!$B$3:$B$5001,$A$501,BD!$AB$3:$AB$5001,"&lt;&gt;")=0,"",SUMIFS(BD!$AB$3:$AB$5001,BD!$A$3:$A$5001,Y$3,BD!$B$3:$B$5001,$A$501)))</f>
        <v/>
      </c>
      <c r="Z527" s="223" t="str">
        <f>IF(Z$3="","",IF(COUNTIFS(BD!$A$3:$A$5001,Z$3,BD!$B$3:$B$5001,$A$501,BD!$AB$3:$AB$5001,"&lt;&gt;")=0,"",SUMIFS(BD!$AB$3:$AB$5001,BD!$A$3:$A$5001,Z$3,BD!$B$3:$B$5001,$A$501)))</f>
        <v/>
      </c>
      <c r="AA527" s="223" t="str">
        <f>IF(AA$3="","",IF(COUNTIFS(BD!$A$3:$A$5001,AA$3,BD!$B$3:$B$5001,$A$501,BD!$AB$3:$AB$5001,"&lt;&gt;")=0,"",SUMIFS(BD!$AB$3:$AB$5001,BD!$A$3:$A$5001,AA$3,BD!$B$3:$B$5001,$A$501)))</f>
        <v/>
      </c>
      <c r="AB527" s="223" t="str">
        <f>IF(AB$3="","",IF(COUNTIFS(BD!$A$3:$A$5001,AB$3,BD!$B$3:$B$5001,$A$501,BD!$AB$3:$AB$5001,"&lt;&gt;")=0,"",SUMIFS(BD!$AB$3:$AB$5001,BD!$A$3:$A$5001,AB$3,BD!$B$3:$B$5001,$A$501)))</f>
        <v/>
      </c>
      <c r="AC527" s="223" t="str">
        <f>IF(AC$3="","",IF(COUNTIFS(BD!$A$3:$A$5001,AC$3,BD!$B$3:$B$5001,$A$501,BD!$AB$3:$AB$5001,"&lt;&gt;")=0,"",SUMIFS(BD!$AB$3:$AB$5001,BD!$A$3:$A$5001,AC$3,BD!$B$3:$B$5001,$A$501)))</f>
        <v/>
      </c>
      <c r="AD527" s="223" t="str">
        <f>IF(AD$3="","",IF(COUNTIFS(BD!$A$3:$A$5001,AD$3,BD!$B$3:$B$5001,$A$501,BD!$AB$3:$AB$5001,"&lt;&gt;")=0,"",SUMIFS(BD!$AB$3:$AB$5001,BD!$A$3:$A$5001,AD$3,BD!$B$3:$B$5001,$A$501)))</f>
        <v/>
      </c>
      <c r="AE527" s="223" t="str">
        <f>IF(AE$3="","",IF(COUNTIFS(BD!$A$3:$A$5001,AE$3,BD!$B$3:$B$5001,$A$501,BD!$AB$3:$AB$5001,"&lt;&gt;")=0,"",SUMIFS(BD!$AB$3:$AB$5001,BD!$A$3:$A$5001,AE$3,BD!$B$3:$B$5001,$A$501)))</f>
        <v/>
      </c>
      <c r="AF527" s="223" t="str">
        <f>IF(AF$3="","",IF(COUNTIFS(BD!$A$3:$A$5001,AF$3,BD!$B$3:$B$5001,$A$501,BD!$AB$3:$AB$5001,"&lt;&gt;")=0,"",SUMIFS(BD!$AB$3:$AB$5001,BD!$A$3:$A$5001,AF$3,BD!$B$3:$B$5001,$A$501)))</f>
        <v/>
      </c>
      <c r="AG527" s="223" t="str">
        <f>IF(AG$3="","",IF(COUNTIFS(BD!$A$3:$A$5001,AG$3,BD!$B$3:$B$5001,$A$501,BD!$AB$3:$AB$5001,"&lt;&gt;")=0,"",SUMIFS(BD!$AB$3:$AB$5001,BD!$A$3:$A$5001,AG$3,BD!$B$3:$B$5001,$A$501)))</f>
        <v/>
      </c>
      <c r="AH527" s="223" t="str">
        <f>IF(AH$3="","",IF(COUNTIFS(BD!$A$3:$A$5001,AH$3,BD!$B$3:$B$5001,$A$501,BD!$AB$3:$AB$5001,"&lt;&gt;")=0,"",SUMIFS(BD!$AB$3:$AB$5001,BD!$A$3:$A$5001,AH$3,BD!$B$3:$B$5001,$A$501)))</f>
        <v/>
      </c>
      <c r="AI527" s="223" t="str">
        <f>IF(AI$3="","",IF(COUNTIFS(BD!$A$3:$A$5001,AI$3,BD!$B$3:$B$5001,$A$501,BD!$AB$3:$AB$5001,"&lt;&gt;")=0,"",SUMIFS(BD!$AB$3:$AB$5001,BD!$A$3:$A$5001,AI$3,BD!$B$3:$B$5001,$A$501)))</f>
        <v/>
      </c>
      <c r="AJ527" s="224" t="str">
        <f>IF(AJ$3="","",IF(COUNTIFS(BD!$A$3:$A$5001,AJ$3,BD!$B$3:$B$5001,$A$501,BD!$AB$3:$AB$5001,"&lt;&gt;")=0,"",SUMIFS(BD!$AB$3:$AB$5001,BD!$A$3:$A$5001,AJ$3,BD!$B$3:$B$5001,$A$501)))</f>
        <v/>
      </c>
      <c r="AK527" s="225" t="str">
        <f>IF(COUNT(F527:AJ527)=0,"",SUM(F527:AJ527))</f>
        <v/>
      </c>
    </row>
    <row r="528" ht="15.75" customHeight="1" hidden="1">
      <c r="A528" s="244"/>
      <c r="B528" s="241"/>
      <c r="C528" s="219" t="inlineStr">
        <is>
          <t xml:space="preserve">Desligamento</t>
        </is>
      </c>
      <c r="D528" s="220" t="str">
        <f>IFERROR(1/(1/INDEX(BD!$AJ$50:$BD$50,MATCH($A$501,BD!$AJ$22:$BD$22,0))),"")</f>
        <v/>
      </c>
      <c r="E528" s="221"/>
      <c r="F528" s="222" t="str">
        <f>IF(F$3="","",IF(COUNTIFS(BD!$A$3:$A$5001,F$3,BD!$B$3:$B$5001,$A$501,BD!$AC$3:$AC$5001,"&lt;&gt;")=0,"",SUMIFS(BD!$AC$3:$AC$5001,BD!$A$3:$A$5001,F$3,BD!$B$3:$B$5001,$A$501)))</f>
        <v/>
      </c>
      <c r="G528" s="223" t="str">
        <f>IF(G$3="","",IF(COUNTIFS(BD!$A$3:$A$5001,G$3,BD!$B$3:$B$5001,$A$501,BD!$AC$3:$AC$5001,"&lt;&gt;")=0,"",SUMIFS(BD!$AC$3:$AC$5001,BD!$A$3:$A$5001,G$3,BD!$B$3:$B$5001,$A$501)))</f>
        <v/>
      </c>
      <c r="H528" s="223" t="str">
        <f>IF(H$3="","",IF(COUNTIFS(BD!$A$3:$A$5001,H$3,BD!$B$3:$B$5001,$A$501,BD!$AC$3:$AC$5001,"&lt;&gt;")=0,"",SUMIFS(BD!$AC$3:$AC$5001,BD!$A$3:$A$5001,H$3,BD!$B$3:$B$5001,$A$501)))</f>
        <v/>
      </c>
      <c r="I528" s="223" t="str">
        <f>IF(I$3="","",IF(COUNTIFS(BD!$A$3:$A$5001,I$3,BD!$B$3:$B$5001,$A$501,BD!$AC$3:$AC$5001,"&lt;&gt;")=0,"",SUMIFS(BD!$AC$3:$AC$5001,BD!$A$3:$A$5001,I$3,BD!$B$3:$B$5001,$A$501)))</f>
        <v/>
      </c>
      <c r="J528" s="223" t="str">
        <f>IF(J$3="","",IF(COUNTIFS(BD!$A$3:$A$5001,J$3,BD!$B$3:$B$5001,$A$501,BD!$AC$3:$AC$5001,"&lt;&gt;")=0,"",SUMIFS(BD!$AC$3:$AC$5001,BD!$A$3:$A$5001,J$3,BD!$B$3:$B$5001,$A$501)))</f>
        <v/>
      </c>
      <c r="K528" s="223" t="str">
        <f>IF(K$3="","",IF(COUNTIFS(BD!$A$3:$A$5001,K$3,BD!$B$3:$B$5001,$A$501,BD!$AC$3:$AC$5001,"&lt;&gt;")=0,"",SUMIFS(BD!$AC$3:$AC$5001,BD!$A$3:$A$5001,K$3,BD!$B$3:$B$5001,$A$501)))</f>
        <v/>
      </c>
      <c r="L528" s="223" t="str">
        <f>IF(L$3="","",IF(COUNTIFS(BD!$A$3:$A$5001,L$3,BD!$B$3:$B$5001,$A$501,BD!$AC$3:$AC$5001,"&lt;&gt;")=0,"",SUMIFS(BD!$AC$3:$AC$5001,BD!$A$3:$A$5001,L$3,BD!$B$3:$B$5001,$A$501)))</f>
        <v/>
      </c>
      <c r="M528" s="223" t="str">
        <f>IF(M$3="","",IF(COUNTIFS(BD!$A$3:$A$5001,M$3,BD!$B$3:$B$5001,$A$501,BD!$AC$3:$AC$5001,"&lt;&gt;")=0,"",SUMIFS(BD!$AC$3:$AC$5001,BD!$A$3:$A$5001,M$3,BD!$B$3:$B$5001,$A$501)))</f>
        <v/>
      </c>
      <c r="N528" s="223" t="str">
        <f>IF(N$3="","",IF(COUNTIFS(BD!$A$3:$A$5001,N$3,BD!$B$3:$B$5001,$A$501,BD!$AC$3:$AC$5001,"&lt;&gt;")=0,"",SUMIFS(BD!$AC$3:$AC$5001,BD!$A$3:$A$5001,N$3,BD!$B$3:$B$5001,$A$501)))</f>
        <v/>
      </c>
      <c r="O528" s="223" t="str">
        <f>IF(O$3="","",IF(COUNTIFS(BD!$A$3:$A$5001,O$3,BD!$B$3:$B$5001,$A$501,BD!$AC$3:$AC$5001,"&lt;&gt;")=0,"",SUMIFS(BD!$AC$3:$AC$5001,BD!$A$3:$A$5001,O$3,BD!$B$3:$B$5001,$A$501)))</f>
        <v/>
      </c>
      <c r="P528" s="223" t="str">
        <f>IF(P$3="","",IF(COUNTIFS(BD!$A$3:$A$5001,P$3,BD!$B$3:$B$5001,$A$501,BD!$AC$3:$AC$5001,"&lt;&gt;")=0,"",SUMIFS(BD!$AC$3:$AC$5001,BD!$A$3:$A$5001,P$3,BD!$B$3:$B$5001,$A$501)))</f>
        <v/>
      </c>
      <c r="Q528" s="223" t="str">
        <f>IF(Q$3="","",IF(COUNTIFS(BD!$A$3:$A$5001,Q$3,BD!$B$3:$B$5001,$A$501,BD!$AC$3:$AC$5001,"&lt;&gt;")=0,"",SUMIFS(BD!$AC$3:$AC$5001,BD!$A$3:$A$5001,Q$3,BD!$B$3:$B$5001,$A$501)))</f>
        <v/>
      </c>
      <c r="R528" s="223" t="str">
        <f>IF(R$3="","",IF(COUNTIFS(BD!$A$3:$A$5001,R$3,BD!$B$3:$B$5001,$A$501,BD!$AC$3:$AC$5001,"&lt;&gt;")=0,"",SUMIFS(BD!$AC$3:$AC$5001,BD!$A$3:$A$5001,R$3,BD!$B$3:$B$5001,$A$501)))</f>
        <v/>
      </c>
      <c r="S528" s="223" t="str">
        <f>IF(S$3="","",IF(COUNTIFS(BD!$A$3:$A$5001,S$3,BD!$B$3:$B$5001,$A$501,BD!$AC$3:$AC$5001,"&lt;&gt;")=0,"",SUMIFS(BD!$AC$3:$AC$5001,BD!$A$3:$A$5001,S$3,BD!$B$3:$B$5001,$A$501)))</f>
        <v/>
      </c>
      <c r="T528" s="223" t="str">
        <f>IF(T$3="","",IF(COUNTIFS(BD!$A$3:$A$5001,T$3,BD!$B$3:$B$5001,$A$501,BD!$AC$3:$AC$5001,"&lt;&gt;")=0,"",SUMIFS(BD!$AC$3:$AC$5001,BD!$A$3:$A$5001,T$3,BD!$B$3:$B$5001,$A$501)))</f>
        <v/>
      </c>
      <c r="U528" s="223" t="str">
        <f>IF(U$3="","",IF(COUNTIFS(BD!$A$3:$A$5001,U$3,BD!$B$3:$B$5001,$A$501,BD!$AC$3:$AC$5001,"&lt;&gt;")=0,"",SUMIFS(BD!$AC$3:$AC$5001,BD!$A$3:$A$5001,U$3,BD!$B$3:$B$5001,$A$501)))</f>
        <v/>
      </c>
      <c r="V528" s="223" t="str">
        <f>IF(V$3="","",IF(COUNTIFS(BD!$A$3:$A$5001,V$3,BD!$B$3:$B$5001,$A$501,BD!$AC$3:$AC$5001,"&lt;&gt;")=0,"",SUMIFS(BD!$AC$3:$AC$5001,BD!$A$3:$A$5001,V$3,BD!$B$3:$B$5001,$A$501)))</f>
        <v/>
      </c>
      <c r="W528" s="223" t="str">
        <f>IF(W$3="","",IF(COUNTIFS(BD!$A$3:$A$5001,W$3,BD!$B$3:$B$5001,$A$501,BD!$AC$3:$AC$5001,"&lt;&gt;")=0,"",SUMIFS(BD!$AC$3:$AC$5001,BD!$A$3:$A$5001,W$3,BD!$B$3:$B$5001,$A$501)))</f>
        <v/>
      </c>
      <c r="X528" s="223" t="str">
        <f>IF(X$3="","",IF(COUNTIFS(BD!$A$3:$A$5001,X$3,BD!$B$3:$B$5001,$A$501,BD!$AC$3:$AC$5001,"&lt;&gt;")=0,"",SUMIFS(BD!$AC$3:$AC$5001,BD!$A$3:$A$5001,X$3,BD!$B$3:$B$5001,$A$501)))</f>
        <v/>
      </c>
      <c r="Y528" s="223" t="str">
        <f>IF(Y$3="","",IF(COUNTIFS(BD!$A$3:$A$5001,Y$3,BD!$B$3:$B$5001,$A$501,BD!$AC$3:$AC$5001,"&lt;&gt;")=0,"",SUMIFS(BD!$AC$3:$AC$5001,BD!$A$3:$A$5001,Y$3,BD!$B$3:$B$5001,$A$501)))</f>
        <v/>
      </c>
      <c r="Z528" s="223" t="str">
        <f>IF(Z$3="","",IF(COUNTIFS(BD!$A$3:$A$5001,Z$3,BD!$B$3:$B$5001,$A$501,BD!$AC$3:$AC$5001,"&lt;&gt;")=0,"",SUMIFS(BD!$AC$3:$AC$5001,BD!$A$3:$A$5001,Z$3,BD!$B$3:$B$5001,$A$501)))</f>
        <v/>
      </c>
      <c r="AA528" s="223" t="str">
        <f>IF(AA$3="","",IF(COUNTIFS(BD!$A$3:$A$5001,AA$3,BD!$B$3:$B$5001,$A$501,BD!$AC$3:$AC$5001,"&lt;&gt;")=0,"",SUMIFS(BD!$AC$3:$AC$5001,BD!$A$3:$A$5001,AA$3,BD!$B$3:$B$5001,$A$501)))</f>
        <v/>
      </c>
      <c r="AB528" s="223" t="str">
        <f>IF(AB$3="","",IF(COUNTIFS(BD!$A$3:$A$5001,AB$3,BD!$B$3:$B$5001,$A$501,BD!$AC$3:$AC$5001,"&lt;&gt;")=0,"",SUMIFS(BD!$AC$3:$AC$5001,BD!$A$3:$A$5001,AB$3,BD!$B$3:$B$5001,$A$501)))</f>
        <v/>
      </c>
      <c r="AC528" s="223" t="str">
        <f>IF(AC$3="","",IF(COUNTIFS(BD!$A$3:$A$5001,AC$3,BD!$B$3:$B$5001,$A$501,BD!$AC$3:$AC$5001,"&lt;&gt;")=0,"",SUMIFS(BD!$AC$3:$AC$5001,BD!$A$3:$A$5001,AC$3,BD!$B$3:$B$5001,$A$501)))</f>
        <v/>
      </c>
      <c r="AD528" s="223" t="str">
        <f>IF(AD$3="","",IF(COUNTIFS(BD!$A$3:$A$5001,AD$3,BD!$B$3:$B$5001,$A$501,BD!$AC$3:$AC$5001,"&lt;&gt;")=0,"",SUMIFS(BD!$AC$3:$AC$5001,BD!$A$3:$A$5001,AD$3,BD!$B$3:$B$5001,$A$501)))</f>
        <v/>
      </c>
      <c r="AE528" s="223" t="str">
        <f>IF(AE$3="","",IF(COUNTIFS(BD!$A$3:$A$5001,AE$3,BD!$B$3:$B$5001,$A$501,BD!$AC$3:$AC$5001,"&lt;&gt;")=0,"",SUMIFS(BD!$AC$3:$AC$5001,BD!$A$3:$A$5001,AE$3,BD!$B$3:$B$5001,$A$501)))</f>
        <v/>
      </c>
      <c r="AF528" s="223" t="str">
        <f>IF(AF$3="","",IF(COUNTIFS(BD!$A$3:$A$5001,AF$3,BD!$B$3:$B$5001,$A$501,BD!$AC$3:$AC$5001,"&lt;&gt;")=0,"",SUMIFS(BD!$AC$3:$AC$5001,BD!$A$3:$A$5001,AF$3,BD!$B$3:$B$5001,$A$501)))</f>
        <v/>
      </c>
      <c r="AG528" s="223" t="str">
        <f>IF(AG$3="","",IF(COUNTIFS(BD!$A$3:$A$5001,AG$3,BD!$B$3:$B$5001,$A$501,BD!$AC$3:$AC$5001,"&lt;&gt;")=0,"",SUMIFS(BD!$AC$3:$AC$5001,BD!$A$3:$A$5001,AG$3,BD!$B$3:$B$5001,$A$501)))</f>
        <v/>
      </c>
      <c r="AH528" s="223" t="str">
        <f>IF(AH$3="","",IF(COUNTIFS(BD!$A$3:$A$5001,AH$3,BD!$B$3:$B$5001,$A$501,BD!$AC$3:$AC$5001,"&lt;&gt;")=0,"",SUMIFS(BD!$AC$3:$AC$5001,BD!$A$3:$A$5001,AH$3,BD!$B$3:$B$5001,$A$501)))</f>
        <v/>
      </c>
      <c r="AI528" s="223" t="str">
        <f>IF(AI$3="","",IF(COUNTIFS(BD!$A$3:$A$5001,AI$3,BD!$B$3:$B$5001,$A$501,BD!$AC$3:$AC$5001,"&lt;&gt;")=0,"",SUMIFS(BD!$AC$3:$AC$5001,BD!$A$3:$A$5001,AI$3,BD!$B$3:$B$5001,$A$501)))</f>
        <v/>
      </c>
      <c r="AJ528" s="224" t="str">
        <f>IF(AJ$3="","",IF(COUNTIFS(BD!$A$3:$A$5001,AJ$3,BD!$B$3:$B$5001,$A$501,BD!$AC$3:$AC$5001,"&lt;&gt;")=0,"",SUMIFS(BD!$AC$3:$AC$5001,BD!$A$3:$A$5001,AJ$3,BD!$B$3:$B$5001,$A$501)))</f>
        <v/>
      </c>
      <c r="AK528" s="225" t="str">
        <f>IF(COUNT(F528:AJ528)=0,"",SUM(F528:AJ528))</f>
        <v/>
      </c>
    </row>
    <row r="529" ht="15.75" customHeight="1" hidden="1">
      <c r="A529" s="244"/>
      <c r="B529" s="241"/>
      <c r="C529" s="219" t="inlineStr">
        <is>
          <t xml:space="preserve">Desvios Comportamentais</t>
        </is>
      </c>
      <c r="D529" s="220" t="str">
        <f>IFERROR(1/(1/INDEX(BD!$AJ$51:$BD$51,MATCH($A$501,BD!$AJ$22:$BD$22,0))),"")</f>
        <v/>
      </c>
      <c r="E529" s="221"/>
      <c r="F529" s="222" t="str">
        <f>IF(F$3="","",IF(COUNTIFS(BD!$A$3:$A$5001,F$3,BD!$B$3:$B$5001,$A$501,BD!$AD$3:$AD$5001,"&lt;&gt;")=0,"",SUMIFS(BD!$AD$3:$AD$5001,BD!$A$3:$A$5001,F$3,BD!$B$3:$B$5001,$A$501)))</f>
        <v/>
      </c>
      <c r="G529" s="223" t="str">
        <f>IF(G$3="","",IF(COUNTIFS(BD!$A$3:$A$5001,G$3,BD!$B$3:$B$5001,$A$501,BD!$AD$3:$AD$5001,"&lt;&gt;")=0,"",SUMIFS(BD!$AD$3:$AD$5001,BD!$A$3:$A$5001,G$3,BD!$B$3:$B$5001,$A$501)))</f>
        <v/>
      </c>
      <c r="H529" s="223" t="str">
        <f>IF(H$3="","",IF(COUNTIFS(BD!$A$3:$A$5001,H$3,BD!$B$3:$B$5001,$A$501,BD!$AD$3:$AD$5001,"&lt;&gt;")=0,"",SUMIFS(BD!$AD$3:$AD$5001,BD!$A$3:$A$5001,H$3,BD!$B$3:$B$5001,$A$501)))</f>
        <v/>
      </c>
      <c r="I529" s="223" t="str">
        <f>IF(I$3="","",IF(COUNTIFS(BD!$A$3:$A$5001,I$3,BD!$B$3:$B$5001,$A$501,BD!$AD$3:$AD$5001,"&lt;&gt;")=0,"",SUMIFS(BD!$AD$3:$AD$5001,BD!$A$3:$A$5001,I$3,BD!$B$3:$B$5001,$A$501)))</f>
        <v/>
      </c>
      <c r="J529" s="223" t="str">
        <f>IF(J$3="","",IF(COUNTIFS(BD!$A$3:$A$5001,J$3,BD!$B$3:$B$5001,$A$501,BD!$AD$3:$AD$5001,"&lt;&gt;")=0,"",SUMIFS(BD!$AD$3:$AD$5001,BD!$A$3:$A$5001,J$3,BD!$B$3:$B$5001,$A$501)))</f>
        <v/>
      </c>
      <c r="K529" s="223" t="str">
        <f>IF(K$3="","",IF(COUNTIFS(BD!$A$3:$A$5001,K$3,BD!$B$3:$B$5001,$A$501,BD!$AD$3:$AD$5001,"&lt;&gt;")=0,"",SUMIFS(BD!$AD$3:$AD$5001,BD!$A$3:$A$5001,K$3,BD!$B$3:$B$5001,$A$501)))</f>
        <v/>
      </c>
      <c r="L529" s="223" t="str">
        <f>IF(L$3="","",IF(COUNTIFS(BD!$A$3:$A$5001,L$3,BD!$B$3:$B$5001,$A$501,BD!$AD$3:$AD$5001,"&lt;&gt;")=0,"",SUMIFS(BD!$AD$3:$AD$5001,BD!$A$3:$A$5001,L$3,BD!$B$3:$B$5001,$A$501)))</f>
        <v/>
      </c>
      <c r="M529" s="223" t="str">
        <f>IF(M$3="","",IF(COUNTIFS(BD!$A$3:$A$5001,M$3,BD!$B$3:$B$5001,$A$501,BD!$AD$3:$AD$5001,"&lt;&gt;")=0,"",SUMIFS(BD!$AD$3:$AD$5001,BD!$A$3:$A$5001,M$3,BD!$B$3:$B$5001,$A$501)))</f>
        <v/>
      </c>
      <c r="N529" s="223" t="str">
        <f>IF(N$3="","",IF(COUNTIFS(BD!$A$3:$A$5001,N$3,BD!$B$3:$B$5001,$A$501,BD!$AD$3:$AD$5001,"&lt;&gt;")=0,"",SUMIFS(BD!$AD$3:$AD$5001,BD!$A$3:$A$5001,N$3,BD!$B$3:$B$5001,$A$501)))</f>
        <v/>
      </c>
      <c r="O529" s="223" t="str">
        <f>IF(O$3="","",IF(COUNTIFS(BD!$A$3:$A$5001,O$3,BD!$B$3:$B$5001,$A$501,BD!$AD$3:$AD$5001,"&lt;&gt;")=0,"",SUMIFS(BD!$AD$3:$AD$5001,BD!$A$3:$A$5001,O$3,BD!$B$3:$B$5001,$A$501)))</f>
        <v/>
      </c>
      <c r="P529" s="223" t="str">
        <f>IF(P$3="","",IF(COUNTIFS(BD!$A$3:$A$5001,P$3,BD!$B$3:$B$5001,$A$501,BD!$AD$3:$AD$5001,"&lt;&gt;")=0,"",SUMIFS(BD!$AD$3:$AD$5001,BD!$A$3:$A$5001,P$3,BD!$B$3:$B$5001,$A$501)))</f>
        <v/>
      </c>
      <c r="Q529" s="223" t="str">
        <f>IF(Q$3="","",IF(COUNTIFS(BD!$A$3:$A$5001,Q$3,BD!$B$3:$B$5001,$A$501,BD!$AD$3:$AD$5001,"&lt;&gt;")=0,"",SUMIFS(BD!$AD$3:$AD$5001,BD!$A$3:$A$5001,Q$3,BD!$B$3:$B$5001,$A$501)))</f>
        <v/>
      </c>
      <c r="R529" s="223" t="str">
        <f>IF(R$3="","",IF(COUNTIFS(BD!$A$3:$A$5001,R$3,BD!$B$3:$B$5001,$A$501,BD!$AD$3:$AD$5001,"&lt;&gt;")=0,"",SUMIFS(BD!$AD$3:$AD$5001,BD!$A$3:$A$5001,R$3,BD!$B$3:$B$5001,$A$501)))</f>
        <v/>
      </c>
      <c r="S529" s="223" t="str">
        <f>IF(S$3="","",IF(COUNTIFS(BD!$A$3:$A$5001,S$3,BD!$B$3:$B$5001,$A$501,BD!$AD$3:$AD$5001,"&lt;&gt;")=0,"",SUMIFS(BD!$AD$3:$AD$5001,BD!$A$3:$A$5001,S$3,BD!$B$3:$B$5001,$A$501)))</f>
        <v/>
      </c>
      <c r="T529" s="223" t="str">
        <f>IF(T$3="","",IF(COUNTIFS(BD!$A$3:$A$5001,T$3,BD!$B$3:$B$5001,$A$501,BD!$AD$3:$AD$5001,"&lt;&gt;")=0,"",SUMIFS(BD!$AD$3:$AD$5001,BD!$A$3:$A$5001,T$3,BD!$B$3:$B$5001,$A$501)))</f>
        <v/>
      </c>
      <c r="U529" s="223" t="str">
        <f>IF(U$3="","",IF(COUNTIFS(BD!$A$3:$A$5001,U$3,BD!$B$3:$B$5001,$A$501,BD!$AD$3:$AD$5001,"&lt;&gt;")=0,"",SUMIFS(BD!$AD$3:$AD$5001,BD!$A$3:$A$5001,U$3,BD!$B$3:$B$5001,$A$501)))</f>
        <v/>
      </c>
      <c r="V529" s="223" t="str">
        <f>IF(V$3="","",IF(COUNTIFS(BD!$A$3:$A$5001,V$3,BD!$B$3:$B$5001,$A$501,BD!$AD$3:$AD$5001,"&lt;&gt;")=0,"",SUMIFS(BD!$AD$3:$AD$5001,BD!$A$3:$A$5001,V$3,BD!$B$3:$B$5001,$A$501)))</f>
        <v/>
      </c>
      <c r="W529" s="223" t="str">
        <f>IF(W$3="","",IF(COUNTIFS(BD!$A$3:$A$5001,W$3,BD!$B$3:$B$5001,$A$501,BD!$AD$3:$AD$5001,"&lt;&gt;")=0,"",SUMIFS(BD!$AD$3:$AD$5001,BD!$A$3:$A$5001,W$3,BD!$B$3:$B$5001,$A$501)))</f>
        <v/>
      </c>
      <c r="X529" s="223" t="str">
        <f>IF(X$3="","",IF(COUNTIFS(BD!$A$3:$A$5001,X$3,BD!$B$3:$B$5001,$A$501,BD!$AD$3:$AD$5001,"&lt;&gt;")=0,"",SUMIFS(BD!$AD$3:$AD$5001,BD!$A$3:$A$5001,X$3,BD!$B$3:$B$5001,$A$501)))</f>
        <v/>
      </c>
      <c r="Y529" s="223" t="str">
        <f>IF(Y$3="","",IF(COUNTIFS(BD!$A$3:$A$5001,Y$3,BD!$B$3:$B$5001,$A$501,BD!$AD$3:$AD$5001,"&lt;&gt;")=0,"",SUMIFS(BD!$AD$3:$AD$5001,BD!$A$3:$A$5001,Y$3,BD!$B$3:$B$5001,$A$501)))</f>
        <v/>
      </c>
      <c r="Z529" s="223" t="str">
        <f>IF(Z$3="","",IF(COUNTIFS(BD!$A$3:$A$5001,Z$3,BD!$B$3:$B$5001,$A$501,BD!$AD$3:$AD$5001,"&lt;&gt;")=0,"",SUMIFS(BD!$AD$3:$AD$5001,BD!$A$3:$A$5001,Z$3,BD!$B$3:$B$5001,$A$501)))</f>
        <v/>
      </c>
      <c r="AA529" s="223" t="str">
        <f>IF(AA$3="","",IF(COUNTIFS(BD!$A$3:$A$5001,AA$3,BD!$B$3:$B$5001,$A$501,BD!$AD$3:$AD$5001,"&lt;&gt;")=0,"",SUMIFS(BD!$AD$3:$AD$5001,BD!$A$3:$A$5001,AA$3,BD!$B$3:$B$5001,$A$501)))</f>
        <v/>
      </c>
      <c r="AB529" s="223" t="str">
        <f>IF(AB$3="","",IF(COUNTIFS(BD!$A$3:$A$5001,AB$3,BD!$B$3:$B$5001,$A$501,BD!$AD$3:$AD$5001,"&lt;&gt;")=0,"",SUMIFS(BD!$AD$3:$AD$5001,BD!$A$3:$A$5001,AB$3,BD!$B$3:$B$5001,$A$501)))</f>
        <v/>
      </c>
      <c r="AC529" s="223" t="str">
        <f>IF(AC$3="","",IF(COUNTIFS(BD!$A$3:$A$5001,AC$3,BD!$B$3:$B$5001,$A$501,BD!$AD$3:$AD$5001,"&lt;&gt;")=0,"",SUMIFS(BD!$AD$3:$AD$5001,BD!$A$3:$A$5001,AC$3,BD!$B$3:$B$5001,$A$501)))</f>
        <v/>
      </c>
      <c r="AD529" s="223" t="str">
        <f>IF(AD$3="","",IF(COUNTIFS(BD!$A$3:$A$5001,AD$3,BD!$B$3:$B$5001,$A$501,BD!$AD$3:$AD$5001,"&lt;&gt;")=0,"",SUMIFS(BD!$AD$3:$AD$5001,BD!$A$3:$A$5001,AD$3,BD!$B$3:$B$5001,$A$501)))</f>
        <v/>
      </c>
      <c r="AE529" s="223" t="str">
        <f>IF(AE$3="","",IF(COUNTIFS(BD!$A$3:$A$5001,AE$3,BD!$B$3:$B$5001,$A$501,BD!$AD$3:$AD$5001,"&lt;&gt;")=0,"",SUMIFS(BD!$AD$3:$AD$5001,BD!$A$3:$A$5001,AE$3,BD!$B$3:$B$5001,$A$501)))</f>
        <v/>
      </c>
      <c r="AF529" s="223" t="str">
        <f>IF(AF$3="","",IF(COUNTIFS(BD!$A$3:$A$5001,AF$3,BD!$B$3:$B$5001,$A$501,BD!$AD$3:$AD$5001,"&lt;&gt;")=0,"",SUMIFS(BD!$AD$3:$AD$5001,BD!$A$3:$A$5001,AF$3,BD!$B$3:$B$5001,$A$501)))</f>
        <v/>
      </c>
      <c r="AG529" s="223" t="str">
        <f>IF(AG$3="","",IF(COUNTIFS(BD!$A$3:$A$5001,AG$3,BD!$B$3:$B$5001,$A$501,BD!$AD$3:$AD$5001,"&lt;&gt;")=0,"",SUMIFS(BD!$AD$3:$AD$5001,BD!$A$3:$A$5001,AG$3,BD!$B$3:$B$5001,$A$501)))</f>
        <v/>
      </c>
      <c r="AH529" s="223" t="str">
        <f>IF(AH$3="","",IF(COUNTIFS(BD!$A$3:$A$5001,AH$3,BD!$B$3:$B$5001,$A$501,BD!$AD$3:$AD$5001,"&lt;&gt;")=0,"",SUMIFS(BD!$AD$3:$AD$5001,BD!$A$3:$A$5001,AH$3,BD!$B$3:$B$5001,$A$501)))</f>
        <v/>
      </c>
      <c r="AI529" s="223" t="str">
        <f>IF(AI$3="","",IF(COUNTIFS(BD!$A$3:$A$5001,AI$3,BD!$B$3:$B$5001,$A$501,BD!$AD$3:$AD$5001,"&lt;&gt;")=0,"",SUMIFS(BD!$AD$3:$AD$5001,BD!$A$3:$A$5001,AI$3,BD!$B$3:$B$5001,$A$501)))</f>
        <v/>
      </c>
      <c r="AJ529" s="224" t="str">
        <f>IF(AJ$3="","",IF(COUNTIFS(BD!$A$3:$A$5001,AJ$3,BD!$B$3:$B$5001,$A$501,BD!$AD$3:$AD$5001,"&lt;&gt;")=0,"",SUMIFS(BD!$AD$3:$AD$5001,BD!$A$3:$A$5001,AJ$3,BD!$B$3:$B$5001,$A$501)))</f>
        <v/>
      </c>
      <c r="AK529" s="225" t="str">
        <f>IF(COUNT(F529:AJ529)=0,"",SUM(F529:AJ529))</f>
        <v/>
      </c>
    </row>
    <row r="530" ht="15.75" customHeight="1" hidden="1">
      <c r="A530" s="244"/>
      <c r="B530" s="241"/>
      <c r="C530" s="219" t="inlineStr">
        <is>
          <t xml:space="preserve">Acidentes CAF</t>
        </is>
      </c>
      <c r="D530" s="220" t="str">
        <f>IFERROR(1/(1/INDEX(BD!$AJ$52:$BD$52,MATCH($A$501,BD!$AJ$22:$BD$22,0))),"")</f>
        <v/>
      </c>
      <c r="E530" s="221"/>
      <c r="F530" s="222" t="str">
        <f>IF(F$3="","",IF(COUNTIFS(BD!$A$3:$A$5001,F$3,BD!$B$3:$B$5001,$A$501,BD!$AE$3:$AE$5001,"&lt;&gt;")=0,"",SUMIFS(BD!$AE$3:$AE$5001,BD!$A$3:$A$5001,F$3,BD!$B$3:$B$5001,$A$501)))</f>
        <v/>
      </c>
      <c r="G530" s="223" t="str">
        <f>IF(G$3="","",IF(COUNTIFS(BD!$A$3:$A$5001,G$3,BD!$B$3:$B$5001,$A$501,BD!$AE$3:$AE$5001,"&lt;&gt;")=0,"",SUMIFS(BD!$AE$3:$AE$5001,BD!$A$3:$A$5001,G$3,BD!$B$3:$B$5001,$A$501)))</f>
        <v/>
      </c>
      <c r="H530" s="223" t="str">
        <f>IF(H$3="","",IF(COUNTIFS(BD!$A$3:$A$5001,H$3,BD!$B$3:$B$5001,$A$501,BD!$AE$3:$AE$5001,"&lt;&gt;")=0,"",SUMIFS(BD!$AE$3:$AE$5001,BD!$A$3:$A$5001,H$3,BD!$B$3:$B$5001,$A$501)))</f>
        <v/>
      </c>
      <c r="I530" s="223" t="str">
        <f>IF(I$3="","",IF(COUNTIFS(BD!$A$3:$A$5001,I$3,BD!$B$3:$B$5001,$A$501,BD!$AE$3:$AE$5001,"&lt;&gt;")=0,"",SUMIFS(BD!$AE$3:$AE$5001,BD!$A$3:$A$5001,I$3,BD!$B$3:$B$5001,$A$501)))</f>
        <v/>
      </c>
      <c r="J530" s="223" t="str">
        <f>IF(J$3="","",IF(COUNTIFS(BD!$A$3:$A$5001,J$3,BD!$B$3:$B$5001,$A$501,BD!$AE$3:$AE$5001,"&lt;&gt;")=0,"",SUMIFS(BD!$AE$3:$AE$5001,BD!$A$3:$A$5001,J$3,BD!$B$3:$B$5001,$A$501)))</f>
        <v/>
      </c>
      <c r="K530" s="223" t="str">
        <f>IF(K$3="","",IF(COUNTIFS(BD!$A$3:$A$5001,K$3,BD!$B$3:$B$5001,$A$501,BD!$AE$3:$AE$5001,"&lt;&gt;")=0,"",SUMIFS(BD!$AE$3:$AE$5001,BD!$A$3:$A$5001,K$3,BD!$B$3:$B$5001,$A$501)))</f>
        <v/>
      </c>
      <c r="L530" s="223" t="str">
        <f>IF(L$3="","",IF(COUNTIFS(BD!$A$3:$A$5001,L$3,BD!$B$3:$B$5001,$A$501,BD!$AE$3:$AE$5001,"&lt;&gt;")=0,"",SUMIFS(BD!$AE$3:$AE$5001,BD!$A$3:$A$5001,L$3,BD!$B$3:$B$5001,$A$501)))</f>
        <v/>
      </c>
      <c r="M530" s="223" t="str">
        <f>IF(M$3="","",IF(COUNTIFS(BD!$A$3:$A$5001,M$3,BD!$B$3:$B$5001,$A$501,BD!$AE$3:$AE$5001,"&lt;&gt;")=0,"",SUMIFS(BD!$AE$3:$AE$5001,BD!$A$3:$A$5001,M$3,BD!$B$3:$B$5001,$A$501)))</f>
        <v/>
      </c>
      <c r="N530" s="223" t="str">
        <f>IF(N$3="","",IF(COUNTIFS(BD!$A$3:$A$5001,N$3,BD!$B$3:$B$5001,$A$501,BD!$AE$3:$AE$5001,"&lt;&gt;")=0,"",SUMIFS(BD!$AE$3:$AE$5001,BD!$A$3:$A$5001,N$3,BD!$B$3:$B$5001,$A$501)))</f>
        <v/>
      </c>
      <c r="O530" s="223" t="str">
        <f>IF(O$3="","",IF(COUNTIFS(BD!$A$3:$A$5001,O$3,BD!$B$3:$B$5001,$A$501,BD!$AE$3:$AE$5001,"&lt;&gt;")=0,"",SUMIFS(BD!$AE$3:$AE$5001,BD!$A$3:$A$5001,O$3,BD!$B$3:$B$5001,$A$501)))</f>
        <v/>
      </c>
      <c r="P530" s="223" t="str">
        <f>IF(P$3="","",IF(COUNTIFS(BD!$A$3:$A$5001,P$3,BD!$B$3:$B$5001,$A$501,BD!$AE$3:$AE$5001,"&lt;&gt;")=0,"",SUMIFS(BD!$AE$3:$AE$5001,BD!$A$3:$A$5001,P$3,BD!$B$3:$B$5001,$A$501)))</f>
        <v/>
      </c>
      <c r="Q530" s="223" t="str">
        <f>IF(Q$3="","",IF(COUNTIFS(BD!$A$3:$A$5001,Q$3,BD!$B$3:$B$5001,$A$501,BD!$AE$3:$AE$5001,"&lt;&gt;")=0,"",SUMIFS(BD!$AE$3:$AE$5001,BD!$A$3:$A$5001,Q$3,BD!$B$3:$B$5001,$A$501)))</f>
        <v/>
      </c>
      <c r="R530" s="223" t="str">
        <f>IF(R$3="","",IF(COUNTIFS(BD!$A$3:$A$5001,R$3,BD!$B$3:$B$5001,$A$501,BD!$AE$3:$AE$5001,"&lt;&gt;")=0,"",SUMIFS(BD!$AE$3:$AE$5001,BD!$A$3:$A$5001,R$3,BD!$B$3:$B$5001,$A$501)))</f>
        <v/>
      </c>
      <c r="S530" s="223" t="str">
        <f>IF(S$3="","",IF(COUNTIFS(BD!$A$3:$A$5001,S$3,BD!$B$3:$B$5001,$A$501,BD!$AE$3:$AE$5001,"&lt;&gt;")=0,"",SUMIFS(BD!$AE$3:$AE$5001,BD!$A$3:$A$5001,S$3,BD!$B$3:$B$5001,$A$501)))</f>
        <v/>
      </c>
      <c r="T530" s="223" t="str">
        <f>IF(T$3="","",IF(COUNTIFS(BD!$A$3:$A$5001,T$3,BD!$B$3:$B$5001,$A$501,BD!$AE$3:$AE$5001,"&lt;&gt;")=0,"",SUMIFS(BD!$AE$3:$AE$5001,BD!$A$3:$A$5001,T$3,BD!$B$3:$B$5001,$A$501)))</f>
        <v/>
      </c>
      <c r="U530" s="223" t="str">
        <f>IF(U$3="","",IF(COUNTIFS(BD!$A$3:$A$5001,U$3,BD!$B$3:$B$5001,$A$501,BD!$AE$3:$AE$5001,"&lt;&gt;")=0,"",SUMIFS(BD!$AE$3:$AE$5001,BD!$A$3:$A$5001,U$3,BD!$B$3:$B$5001,$A$501)))</f>
        <v/>
      </c>
      <c r="V530" s="223" t="str">
        <f>IF(V$3="","",IF(COUNTIFS(BD!$A$3:$A$5001,V$3,BD!$B$3:$B$5001,$A$501,BD!$AE$3:$AE$5001,"&lt;&gt;")=0,"",SUMIFS(BD!$AE$3:$AE$5001,BD!$A$3:$A$5001,V$3,BD!$B$3:$B$5001,$A$501)))</f>
        <v/>
      </c>
      <c r="W530" s="223" t="str">
        <f>IF(W$3="","",IF(COUNTIFS(BD!$A$3:$A$5001,W$3,BD!$B$3:$B$5001,$A$501,BD!$AE$3:$AE$5001,"&lt;&gt;")=0,"",SUMIFS(BD!$AE$3:$AE$5001,BD!$A$3:$A$5001,W$3,BD!$B$3:$B$5001,$A$501)))</f>
        <v/>
      </c>
      <c r="X530" s="223" t="str">
        <f>IF(X$3="","",IF(COUNTIFS(BD!$A$3:$A$5001,X$3,BD!$B$3:$B$5001,$A$501,BD!$AE$3:$AE$5001,"&lt;&gt;")=0,"",SUMIFS(BD!$AE$3:$AE$5001,BD!$A$3:$A$5001,X$3,BD!$B$3:$B$5001,$A$501)))</f>
        <v/>
      </c>
      <c r="Y530" s="223" t="str">
        <f>IF(Y$3="","",IF(COUNTIFS(BD!$A$3:$A$5001,Y$3,BD!$B$3:$B$5001,$A$501,BD!$AE$3:$AE$5001,"&lt;&gt;")=0,"",SUMIFS(BD!$AE$3:$AE$5001,BD!$A$3:$A$5001,Y$3,BD!$B$3:$B$5001,$A$501)))</f>
        <v/>
      </c>
      <c r="Z530" s="223" t="str">
        <f>IF(Z$3="","",IF(COUNTIFS(BD!$A$3:$A$5001,Z$3,BD!$B$3:$B$5001,$A$501,BD!$AE$3:$AE$5001,"&lt;&gt;")=0,"",SUMIFS(BD!$AE$3:$AE$5001,BD!$A$3:$A$5001,Z$3,BD!$B$3:$B$5001,$A$501)))</f>
        <v/>
      </c>
      <c r="AA530" s="223" t="str">
        <f>IF(AA$3="","",IF(COUNTIFS(BD!$A$3:$A$5001,AA$3,BD!$B$3:$B$5001,$A$501,BD!$AE$3:$AE$5001,"&lt;&gt;")=0,"",SUMIFS(BD!$AE$3:$AE$5001,BD!$A$3:$A$5001,AA$3,BD!$B$3:$B$5001,$A$501)))</f>
        <v/>
      </c>
      <c r="AB530" s="223" t="str">
        <f>IF(AB$3="","",IF(COUNTIFS(BD!$A$3:$A$5001,AB$3,BD!$B$3:$B$5001,$A$501,BD!$AE$3:$AE$5001,"&lt;&gt;")=0,"",SUMIFS(BD!$AE$3:$AE$5001,BD!$A$3:$A$5001,AB$3,BD!$B$3:$B$5001,$A$501)))</f>
        <v/>
      </c>
      <c r="AC530" s="223" t="str">
        <f>IF(AC$3="","",IF(COUNTIFS(BD!$A$3:$A$5001,AC$3,BD!$B$3:$B$5001,$A$501,BD!$AE$3:$AE$5001,"&lt;&gt;")=0,"",SUMIFS(BD!$AE$3:$AE$5001,BD!$A$3:$A$5001,AC$3,BD!$B$3:$B$5001,$A$501)))</f>
        <v/>
      </c>
      <c r="AD530" s="223" t="str">
        <f>IF(AD$3="","",IF(COUNTIFS(BD!$A$3:$A$5001,AD$3,BD!$B$3:$B$5001,$A$501,BD!$AE$3:$AE$5001,"&lt;&gt;")=0,"",SUMIFS(BD!$AE$3:$AE$5001,BD!$A$3:$A$5001,AD$3,BD!$B$3:$B$5001,$A$501)))</f>
        <v/>
      </c>
      <c r="AE530" s="223" t="str">
        <f>IF(AE$3="","",IF(COUNTIFS(BD!$A$3:$A$5001,AE$3,BD!$B$3:$B$5001,$A$501,BD!$AE$3:$AE$5001,"&lt;&gt;")=0,"",SUMIFS(BD!$AE$3:$AE$5001,BD!$A$3:$A$5001,AE$3,BD!$B$3:$B$5001,$A$501)))</f>
        <v/>
      </c>
      <c r="AF530" s="223" t="str">
        <f>IF(AF$3="","",IF(COUNTIFS(BD!$A$3:$A$5001,AF$3,BD!$B$3:$B$5001,$A$501,BD!$AE$3:$AE$5001,"&lt;&gt;")=0,"",SUMIFS(BD!$AE$3:$AE$5001,BD!$A$3:$A$5001,AF$3,BD!$B$3:$B$5001,$A$501)))</f>
        <v/>
      </c>
      <c r="AG530" s="223" t="str">
        <f>IF(AG$3="","",IF(COUNTIFS(BD!$A$3:$A$5001,AG$3,BD!$B$3:$B$5001,$A$501,BD!$AE$3:$AE$5001,"&lt;&gt;")=0,"",SUMIFS(BD!$AE$3:$AE$5001,BD!$A$3:$A$5001,AG$3,BD!$B$3:$B$5001,$A$501)))</f>
        <v/>
      </c>
      <c r="AH530" s="223" t="str">
        <f>IF(AH$3="","",IF(COUNTIFS(BD!$A$3:$A$5001,AH$3,BD!$B$3:$B$5001,$A$501,BD!$AE$3:$AE$5001,"&lt;&gt;")=0,"",SUMIFS(BD!$AE$3:$AE$5001,BD!$A$3:$A$5001,AH$3,BD!$B$3:$B$5001,$A$501)))</f>
        <v/>
      </c>
      <c r="AI530" s="223" t="str">
        <f>IF(AI$3="","",IF(COUNTIFS(BD!$A$3:$A$5001,AI$3,BD!$B$3:$B$5001,$A$501,BD!$AE$3:$AE$5001,"&lt;&gt;")=0,"",SUMIFS(BD!$AE$3:$AE$5001,BD!$A$3:$A$5001,AI$3,BD!$B$3:$B$5001,$A$501)))</f>
        <v/>
      </c>
      <c r="AJ530" s="224" t="str">
        <f>IF(AJ$3="","",IF(COUNTIFS(BD!$A$3:$A$5001,AJ$3,BD!$B$3:$B$5001,$A$501,BD!$AE$3:$AE$5001,"&lt;&gt;")=0,"",SUMIFS(BD!$AE$3:$AE$5001,BD!$A$3:$A$5001,AJ$3,BD!$B$3:$B$5001,$A$501)))</f>
        <v/>
      </c>
      <c r="AK530" s="225" t="str">
        <f>IF(COUNT(F530:AJ530)=0,"",SUM(F530:AJ530))</f>
        <v/>
      </c>
    </row>
    <row r="531" ht="15.75" customHeight="1" hidden="1">
      <c r="A531" s="245"/>
      <c r="B531" s="242"/>
      <c r="C531" s="226" t="inlineStr">
        <is>
          <t xml:space="preserve">Acidentes SAF</t>
        </is>
      </c>
      <c r="D531" s="227" t="str">
        <f>IFERROR(1/(1/INDEX(BD!$AJ$53:$BD$53,MATCH($A$501,BD!$AJ$22:$BD$22,0))),"")</f>
        <v/>
      </c>
      <c r="E531" s="228"/>
      <c r="F531" s="229" t="str">
        <f>IF(F$3="","",IF(COUNTIFS(BD!$A$3:$A$5001,F$3,BD!$B$3:$B$5001,$A$501,BD!$AF$3:$AF$5001,"&lt;&gt;")=0,"",SUMIFS(BD!$AF$3:$AF$5001,BD!$A$3:$A$5001,F$3,BD!$B$3:$B$5001,$A$501)))</f>
        <v/>
      </c>
      <c r="G531" s="230" t="str">
        <f>IF(G$3="","",IF(COUNTIFS(BD!$A$3:$A$5001,G$3,BD!$B$3:$B$5001,$A$501,BD!$AF$3:$AF$5001,"&lt;&gt;")=0,"",SUMIFS(BD!$AF$3:$AF$5001,BD!$A$3:$A$5001,G$3,BD!$B$3:$B$5001,$A$501)))</f>
        <v/>
      </c>
      <c r="H531" s="230" t="str">
        <f>IF(H$3="","",IF(COUNTIFS(BD!$A$3:$A$5001,H$3,BD!$B$3:$B$5001,$A$501,BD!$AF$3:$AF$5001,"&lt;&gt;")=0,"",SUMIFS(BD!$AF$3:$AF$5001,BD!$A$3:$A$5001,H$3,BD!$B$3:$B$5001,$A$501)))</f>
        <v/>
      </c>
      <c r="I531" s="230" t="str">
        <f>IF(I$3="","",IF(COUNTIFS(BD!$A$3:$A$5001,I$3,BD!$B$3:$B$5001,$A$501,BD!$AF$3:$AF$5001,"&lt;&gt;")=0,"",SUMIFS(BD!$AF$3:$AF$5001,BD!$A$3:$A$5001,I$3,BD!$B$3:$B$5001,$A$501)))</f>
        <v/>
      </c>
      <c r="J531" s="230" t="str">
        <f>IF(J$3="","",IF(COUNTIFS(BD!$A$3:$A$5001,J$3,BD!$B$3:$B$5001,$A$501,BD!$AF$3:$AF$5001,"&lt;&gt;")=0,"",SUMIFS(BD!$AF$3:$AF$5001,BD!$A$3:$A$5001,J$3,BD!$B$3:$B$5001,$A$501)))</f>
        <v/>
      </c>
      <c r="K531" s="230" t="str">
        <f>IF(K$3="","",IF(COUNTIFS(BD!$A$3:$A$5001,K$3,BD!$B$3:$B$5001,$A$501,BD!$AF$3:$AF$5001,"&lt;&gt;")=0,"",SUMIFS(BD!$AF$3:$AF$5001,BD!$A$3:$A$5001,K$3,BD!$B$3:$B$5001,$A$501)))</f>
        <v/>
      </c>
      <c r="L531" s="230" t="str">
        <f>IF(L$3="","",IF(COUNTIFS(BD!$A$3:$A$5001,L$3,BD!$B$3:$B$5001,$A$501,BD!$AF$3:$AF$5001,"&lt;&gt;")=0,"",SUMIFS(BD!$AF$3:$AF$5001,BD!$A$3:$A$5001,L$3,BD!$B$3:$B$5001,$A$501)))</f>
        <v/>
      </c>
      <c r="M531" s="230" t="str">
        <f>IF(M$3="","",IF(COUNTIFS(BD!$A$3:$A$5001,M$3,BD!$B$3:$B$5001,$A$501,BD!$AF$3:$AF$5001,"&lt;&gt;")=0,"",SUMIFS(BD!$AF$3:$AF$5001,BD!$A$3:$A$5001,M$3,BD!$B$3:$B$5001,$A$501)))</f>
        <v/>
      </c>
      <c r="N531" s="230" t="str">
        <f>IF(N$3="","",IF(COUNTIFS(BD!$A$3:$A$5001,N$3,BD!$B$3:$B$5001,$A$501,BD!$AF$3:$AF$5001,"&lt;&gt;")=0,"",SUMIFS(BD!$AF$3:$AF$5001,BD!$A$3:$A$5001,N$3,BD!$B$3:$B$5001,$A$501)))</f>
        <v/>
      </c>
      <c r="O531" s="230" t="str">
        <f>IF(O$3="","",IF(COUNTIFS(BD!$A$3:$A$5001,O$3,BD!$B$3:$B$5001,$A$501,BD!$AF$3:$AF$5001,"&lt;&gt;")=0,"",SUMIFS(BD!$AF$3:$AF$5001,BD!$A$3:$A$5001,O$3,BD!$B$3:$B$5001,$A$501)))</f>
        <v/>
      </c>
      <c r="P531" s="230" t="str">
        <f>IF(P$3="","",IF(COUNTIFS(BD!$A$3:$A$5001,P$3,BD!$B$3:$B$5001,$A$501,BD!$AF$3:$AF$5001,"&lt;&gt;")=0,"",SUMIFS(BD!$AF$3:$AF$5001,BD!$A$3:$A$5001,P$3,BD!$B$3:$B$5001,$A$501)))</f>
        <v/>
      </c>
      <c r="Q531" s="230" t="str">
        <f>IF(Q$3="","",IF(COUNTIFS(BD!$A$3:$A$5001,Q$3,BD!$B$3:$B$5001,$A$501,BD!$AF$3:$AF$5001,"&lt;&gt;")=0,"",SUMIFS(BD!$AF$3:$AF$5001,BD!$A$3:$A$5001,Q$3,BD!$B$3:$B$5001,$A$501)))</f>
        <v/>
      </c>
      <c r="R531" s="230" t="str">
        <f>IF(R$3="","",IF(COUNTIFS(BD!$A$3:$A$5001,R$3,BD!$B$3:$B$5001,$A$501,BD!$AF$3:$AF$5001,"&lt;&gt;")=0,"",SUMIFS(BD!$AF$3:$AF$5001,BD!$A$3:$A$5001,R$3,BD!$B$3:$B$5001,$A$501)))</f>
        <v/>
      </c>
      <c r="S531" s="230" t="str">
        <f>IF(S$3="","",IF(COUNTIFS(BD!$A$3:$A$5001,S$3,BD!$B$3:$B$5001,$A$501,BD!$AF$3:$AF$5001,"&lt;&gt;")=0,"",SUMIFS(BD!$AF$3:$AF$5001,BD!$A$3:$A$5001,S$3,BD!$B$3:$B$5001,$A$501)))</f>
        <v/>
      </c>
      <c r="T531" s="230" t="str">
        <f>IF(T$3="","",IF(COUNTIFS(BD!$A$3:$A$5001,T$3,BD!$B$3:$B$5001,$A$501,BD!$AF$3:$AF$5001,"&lt;&gt;")=0,"",SUMIFS(BD!$AF$3:$AF$5001,BD!$A$3:$A$5001,T$3,BD!$B$3:$B$5001,$A$501)))</f>
        <v/>
      </c>
      <c r="U531" s="230" t="str">
        <f>IF(U$3="","",IF(COUNTIFS(BD!$A$3:$A$5001,U$3,BD!$B$3:$B$5001,$A$501,BD!$AF$3:$AF$5001,"&lt;&gt;")=0,"",SUMIFS(BD!$AF$3:$AF$5001,BD!$A$3:$A$5001,U$3,BD!$B$3:$B$5001,$A$501)))</f>
        <v/>
      </c>
      <c r="V531" s="230" t="str">
        <f>IF(V$3="","",IF(COUNTIFS(BD!$A$3:$A$5001,V$3,BD!$B$3:$B$5001,$A$501,BD!$AF$3:$AF$5001,"&lt;&gt;")=0,"",SUMIFS(BD!$AF$3:$AF$5001,BD!$A$3:$A$5001,V$3,BD!$B$3:$B$5001,$A$501)))</f>
        <v/>
      </c>
      <c r="W531" s="230" t="str">
        <f>IF(W$3="","",IF(COUNTIFS(BD!$A$3:$A$5001,W$3,BD!$B$3:$B$5001,$A$501,BD!$AF$3:$AF$5001,"&lt;&gt;")=0,"",SUMIFS(BD!$AF$3:$AF$5001,BD!$A$3:$A$5001,W$3,BD!$B$3:$B$5001,$A$501)))</f>
        <v/>
      </c>
      <c r="X531" s="230" t="str">
        <f>IF(X$3="","",IF(COUNTIFS(BD!$A$3:$A$5001,X$3,BD!$B$3:$B$5001,$A$501,BD!$AF$3:$AF$5001,"&lt;&gt;")=0,"",SUMIFS(BD!$AF$3:$AF$5001,BD!$A$3:$A$5001,X$3,BD!$B$3:$B$5001,$A$501)))</f>
        <v/>
      </c>
      <c r="Y531" s="230" t="str">
        <f>IF(Y$3="","",IF(COUNTIFS(BD!$A$3:$A$5001,Y$3,BD!$B$3:$B$5001,$A$501,BD!$AF$3:$AF$5001,"&lt;&gt;")=0,"",SUMIFS(BD!$AF$3:$AF$5001,BD!$A$3:$A$5001,Y$3,BD!$B$3:$B$5001,$A$501)))</f>
        <v/>
      </c>
      <c r="Z531" s="230" t="str">
        <f>IF(Z$3="","",IF(COUNTIFS(BD!$A$3:$A$5001,Z$3,BD!$B$3:$B$5001,$A$501,BD!$AF$3:$AF$5001,"&lt;&gt;")=0,"",SUMIFS(BD!$AF$3:$AF$5001,BD!$A$3:$A$5001,Z$3,BD!$B$3:$B$5001,$A$501)))</f>
        <v/>
      </c>
      <c r="AA531" s="230" t="str">
        <f>IF(AA$3="","",IF(COUNTIFS(BD!$A$3:$A$5001,AA$3,BD!$B$3:$B$5001,$A$501,BD!$AF$3:$AF$5001,"&lt;&gt;")=0,"",SUMIFS(BD!$AF$3:$AF$5001,BD!$A$3:$A$5001,AA$3,BD!$B$3:$B$5001,$A$501)))</f>
        <v/>
      </c>
      <c r="AB531" s="230" t="str">
        <f>IF(AB$3="","",IF(COUNTIFS(BD!$A$3:$A$5001,AB$3,BD!$B$3:$B$5001,$A$501,BD!$AF$3:$AF$5001,"&lt;&gt;")=0,"",SUMIFS(BD!$AF$3:$AF$5001,BD!$A$3:$A$5001,AB$3,BD!$B$3:$B$5001,$A$501)))</f>
        <v/>
      </c>
      <c r="AC531" s="230" t="str">
        <f>IF(AC$3="","",IF(COUNTIFS(BD!$A$3:$A$5001,AC$3,BD!$B$3:$B$5001,$A$501,BD!$AF$3:$AF$5001,"&lt;&gt;")=0,"",SUMIFS(BD!$AF$3:$AF$5001,BD!$A$3:$A$5001,AC$3,BD!$B$3:$B$5001,$A$501)))</f>
        <v/>
      </c>
      <c r="AD531" s="230" t="str">
        <f>IF(AD$3="","",IF(COUNTIFS(BD!$A$3:$A$5001,AD$3,BD!$B$3:$B$5001,$A$501,BD!$AF$3:$AF$5001,"&lt;&gt;")=0,"",SUMIFS(BD!$AF$3:$AF$5001,BD!$A$3:$A$5001,AD$3,BD!$B$3:$B$5001,$A$501)))</f>
        <v/>
      </c>
      <c r="AE531" s="230" t="str">
        <f>IF(AE$3="","",IF(COUNTIFS(BD!$A$3:$A$5001,AE$3,BD!$B$3:$B$5001,$A$501,BD!$AF$3:$AF$5001,"&lt;&gt;")=0,"",SUMIFS(BD!$AF$3:$AF$5001,BD!$A$3:$A$5001,AE$3,BD!$B$3:$B$5001,$A$501)))</f>
        <v/>
      </c>
      <c r="AF531" s="230" t="str">
        <f>IF(AF$3="","",IF(COUNTIFS(BD!$A$3:$A$5001,AF$3,BD!$B$3:$B$5001,$A$501,BD!$AF$3:$AF$5001,"&lt;&gt;")=0,"",SUMIFS(BD!$AF$3:$AF$5001,BD!$A$3:$A$5001,AF$3,BD!$B$3:$B$5001,$A$501)))</f>
        <v/>
      </c>
      <c r="AG531" s="230" t="str">
        <f>IF(AG$3="","",IF(COUNTIFS(BD!$A$3:$A$5001,AG$3,BD!$B$3:$B$5001,$A$501,BD!$AF$3:$AF$5001,"&lt;&gt;")=0,"",SUMIFS(BD!$AF$3:$AF$5001,BD!$A$3:$A$5001,AG$3,BD!$B$3:$B$5001,$A$501)))</f>
        <v/>
      </c>
      <c r="AH531" s="230" t="str">
        <f>IF(AH$3="","",IF(COUNTIFS(BD!$A$3:$A$5001,AH$3,BD!$B$3:$B$5001,$A$501,BD!$AF$3:$AF$5001,"&lt;&gt;")=0,"",SUMIFS(BD!$AF$3:$AF$5001,BD!$A$3:$A$5001,AH$3,BD!$B$3:$B$5001,$A$501)))</f>
        <v/>
      </c>
      <c r="AI531" s="230" t="str">
        <f>IF(AI$3="","",IF(COUNTIFS(BD!$A$3:$A$5001,AI$3,BD!$B$3:$B$5001,$A$501,BD!$AF$3:$AF$5001,"&lt;&gt;")=0,"",SUMIFS(BD!$AF$3:$AF$5001,BD!$A$3:$A$5001,AI$3,BD!$B$3:$B$5001,$A$501)))</f>
        <v/>
      </c>
      <c r="AJ531" s="231" t="str">
        <f>IF(AJ$3="","",IF(COUNTIFS(BD!$A$3:$A$5001,AJ$3,BD!$B$3:$B$5001,$A$501,BD!$AF$3:$AF$5001,"&lt;&gt;")=0,"",SUMIFS(BD!$AF$3:$AF$5001,BD!$A$3:$A$5001,AJ$3,BD!$B$3:$B$5001,$A$501)))</f>
        <v/>
      </c>
      <c r="AK531" s="227" t="str">
        <f>IF(COUNT(F531:AJ531)=0,"",SUM(F531:AJ531))</f>
        <v/>
      </c>
    </row>
    <row r="533">
      <c r="A533" s="31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128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1"/>
    <mergeCell ref="B12:B14"/>
    <mergeCell ref="B15:B22"/>
    <mergeCell ref="A5:A22"/>
    <mergeCell ref="B24:B26"/>
    <mergeCell ref="B27:B29"/>
    <mergeCell ref="B30:B32"/>
    <mergeCell ref="B33:B35"/>
    <mergeCell ref="B36:B43"/>
    <mergeCell ref="A24:A43"/>
    <mergeCell ref="B45:B47"/>
    <mergeCell ref="B48:B50"/>
    <mergeCell ref="B51:B53"/>
    <mergeCell ref="B54:B56"/>
    <mergeCell ref="B57:B64"/>
    <mergeCell ref="A45:A64"/>
    <mergeCell ref="B66:B71"/>
    <mergeCell ref="B72:B76"/>
    <mergeCell ref="B77:B79"/>
    <mergeCell ref="B80:B82"/>
    <mergeCell ref="B83:B90"/>
    <mergeCell ref="A66:A90"/>
    <mergeCell ref="B92:B94"/>
    <mergeCell ref="B95:B97"/>
    <mergeCell ref="B98:B100"/>
    <mergeCell ref="B101:B103"/>
    <mergeCell ref="B104:B111"/>
    <mergeCell ref="A92:A111"/>
    <mergeCell ref="B113:B115"/>
    <mergeCell ref="B116:B118"/>
    <mergeCell ref="B119:B121"/>
    <mergeCell ref="B122:B124"/>
    <mergeCell ref="B125:B132"/>
    <mergeCell ref="A113:A132"/>
    <mergeCell ref="B134:B135"/>
    <mergeCell ref="B136:B137"/>
    <mergeCell ref="B138:B140"/>
    <mergeCell ref="B141:B143"/>
    <mergeCell ref="B144:B151"/>
    <mergeCell ref="A134:A151"/>
    <mergeCell ref="B153:B155"/>
    <mergeCell ref="B156:B158"/>
    <mergeCell ref="B159:B161"/>
    <mergeCell ref="B162:B164"/>
    <mergeCell ref="B165:B172"/>
    <mergeCell ref="A153:A172"/>
    <mergeCell ref="B174:B175"/>
    <mergeCell ref="B176:B177"/>
    <mergeCell ref="B178:B180"/>
    <mergeCell ref="B181:B183"/>
    <mergeCell ref="B184:B191"/>
    <mergeCell ref="A174:A191"/>
    <mergeCell ref="B193:B194"/>
    <mergeCell ref="B195:B196"/>
    <mergeCell ref="B197:B199"/>
    <mergeCell ref="B200:B202"/>
    <mergeCell ref="B203:B210"/>
    <mergeCell ref="A193:A210"/>
    <mergeCell ref="A212:AK212"/>
    <mergeCell ref="B213:B221"/>
    <mergeCell ref="B222:B229"/>
    <mergeCell ref="B230:B232"/>
    <mergeCell ref="B233:B235"/>
    <mergeCell ref="B236:B243"/>
    <mergeCell ref="A213:A243"/>
    <mergeCell ref="B245:B253"/>
    <mergeCell ref="B254:B261"/>
    <mergeCell ref="B262:B264"/>
    <mergeCell ref="B265:B267"/>
    <mergeCell ref="B268:B275"/>
    <mergeCell ref="A245:A275"/>
    <mergeCell ref="B277:B285"/>
    <mergeCell ref="B286:B293"/>
    <mergeCell ref="B294:B296"/>
    <mergeCell ref="B297:B299"/>
    <mergeCell ref="B300:B307"/>
    <mergeCell ref="A277:A307"/>
    <mergeCell ref="B309:B317"/>
    <mergeCell ref="B318:B325"/>
    <mergeCell ref="B326:B328"/>
    <mergeCell ref="B329:B331"/>
    <mergeCell ref="B332:B339"/>
    <mergeCell ref="A309:A339"/>
    <mergeCell ref="B341:B349"/>
    <mergeCell ref="B350:B357"/>
    <mergeCell ref="B358:B360"/>
    <mergeCell ref="B361:B363"/>
    <mergeCell ref="B364:B371"/>
    <mergeCell ref="A341:A371"/>
    <mergeCell ref="B373:B381"/>
    <mergeCell ref="B382:B389"/>
    <mergeCell ref="B390:B392"/>
    <mergeCell ref="B393:B395"/>
    <mergeCell ref="B396:B403"/>
    <mergeCell ref="A373:A403"/>
    <mergeCell ref="B405:B413"/>
    <mergeCell ref="B414:B421"/>
    <mergeCell ref="B422:B424"/>
    <mergeCell ref="B425:B427"/>
    <mergeCell ref="B428:B435"/>
    <mergeCell ref="A405:A435"/>
    <mergeCell ref="B437:B445"/>
    <mergeCell ref="B446:B453"/>
    <mergeCell ref="B454:B456"/>
    <mergeCell ref="B457:B459"/>
    <mergeCell ref="B460:B467"/>
    <mergeCell ref="A437:A467"/>
    <mergeCell ref="B469:B477"/>
    <mergeCell ref="B478:B485"/>
    <mergeCell ref="B486:B488"/>
    <mergeCell ref="B489:B491"/>
    <mergeCell ref="B492:B499"/>
    <mergeCell ref="A469:A499"/>
    <mergeCell ref="B501:B509"/>
    <mergeCell ref="B510:B517"/>
    <mergeCell ref="B518:B520"/>
    <mergeCell ref="B521:B523"/>
    <mergeCell ref="B524:B531"/>
    <mergeCell ref="A501:A531"/>
  </mergeCells>
  <conditionalFormatting sqref="F3:AJ3">
    <cfRule type="expression" dxfId="13" priority="1">
      <formula>AND(ISNUMBER(F3),WEEKDAY(F3,2)&gt;5)</formula>
    </cfRule>
  </conditionalFormatting>
  <conditionalFormatting sqref="F9:AJ9">
    <cfRule type="expression" dxfId="14" priority="2">
      <formula>AND(ISNUMBER(F9),F9&gt;0)</formula>
    </cfRule>
  </conditionalFormatting>
  <conditionalFormatting sqref="F14:AJ14 AK14">
    <cfRule type="expression" dxfId="15" priority="3" stopIfTrue="1">
      <formula>AND(ISNUMBER(F14),F14&gt;1)</formula>
    </cfRule>
  </conditionalFormatting>
  <conditionalFormatting sqref="F14:AJ14 AK14">
    <cfRule type="expression" dxfId="16" priority="4" stopIfTrue="1">
      <formula>AND(ISNUMBER(F14),F14&gt;=calculos!$B$6)</formula>
    </cfRule>
  </conditionalFormatting>
  <conditionalFormatting sqref="F14:AJ14 AK14">
    <cfRule type="expression" dxfId="17" priority="5" stopIfTrue="1">
      <formula>AND(ISNUMBER(F14),F14&gt;=calculos!$B$5)</formula>
    </cfRule>
  </conditionalFormatting>
  <conditionalFormatting sqref="F14:AJ14 AK14">
    <cfRule type="expression" dxfId="18" priority="6">
      <formula>ISNUMBER(F14)</formula>
    </cfRule>
  </conditionalFormatting>
  <conditionalFormatting sqref="F30:AJ30">
    <cfRule type="expression" dxfId="14" priority="7">
      <formula>AND(ISNUMBER(F30),F30&gt;0)</formula>
    </cfRule>
  </conditionalFormatting>
  <conditionalFormatting sqref="F35:AJ35 AK35">
    <cfRule type="expression" dxfId="15" priority="8" stopIfTrue="1">
      <formula>AND(ISNUMBER(F35),F35&gt;1)</formula>
    </cfRule>
  </conditionalFormatting>
  <conditionalFormatting sqref="F35:AJ35 AK35">
    <cfRule type="expression" dxfId="16" priority="9" stopIfTrue="1">
      <formula>AND(ISNUMBER(F35),F35&gt;=calculos!$B$6)</formula>
    </cfRule>
  </conditionalFormatting>
  <conditionalFormatting sqref="F35:AJ35 AK35">
    <cfRule type="expression" dxfId="17" priority="10" stopIfTrue="1">
      <formula>AND(ISNUMBER(F35),F35&gt;=calculos!$B$5)</formula>
    </cfRule>
  </conditionalFormatting>
  <conditionalFormatting sqref="F35:AJ35 AK35">
    <cfRule type="expression" dxfId="18" priority="11">
      <formula>ISNUMBER(F35)</formula>
    </cfRule>
  </conditionalFormatting>
  <conditionalFormatting sqref="F51:AJ51">
    <cfRule type="expression" dxfId="14" priority="12">
      <formula>AND(ISNUMBER(F51),F51&gt;0)</formula>
    </cfRule>
  </conditionalFormatting>
  <conditionalFormatting sqref="F56:AJ56 AK56">
    <cfRule type="expression" dxfId="15" priority="13" stopIfTrue="1">
      <formula>AND(ISNUMBER(F56),F56&gt;1)</formula>
    </cfRule>
  </conditionalFormatting>
  <conditionalFormatting sqref="F56:AJ56 AK56">
    <cfRule type="expression" dxfId="16" priority="14" stopIfTrue="1">
      <formula>AND(ISNUMBER(F56),F56&gt;=calculos!$B$6)</formula>
    </cfRule>
  </conditionalFormatting>
  <conditionalFormatting sqref="F56:AJ56 AK56">
    <cfRule type="expression" dxfId="17" priority="15" stopIfTrue="1">
      <formula>AND(ISNUMBER(F56),F56&gt;=calculos!$B$5)</formula>
    </cfRule>
  </conditionalFormatting>
  <conditionalFormatting sqref="F56:AJ56 AK56">
    <cfRule type="expression" dxfId="18" priority="16">
      <formula>ISNUMBER(F56)</formula>
    </cfRule>
  </conditionalFormatting>
  <conditionalFormatting sqref="F77:AJ77">
    <cfRule type="expression" dxfId="14" priority="17">
      <formula>AND(ISNUMBER(F77),F77&gt;0)</formula>
    </cfRule>
  </conditionalFormatting>
  <conditionalFormatting sqref="F82:AJ82 AK82">
    <cfRule type="expression" dxfId="15" priority="18" stopIfTrue="1">
      <formula>AND(ISNUMBER(F82),F82&gt;1)</formula>
    </cfRule>
  </conditionalFormatting>
  <conditionalFormatting sqref="F82:AJ82 AK82">
    <cfRule type="expression" dxfId="16" priority="19" stopIfTrue="1">
      <formula>AND(ISNUMBER(F82),F82&gt;=calculos!$B$6)</formula>
    </cfRule>
  </conditionalFormatting>
  <conditionalFormatting sqref="F82:AJ82 AK82">
    <cfRule type="expression" dxfId="17" priority="20" stopIfTrue="1">
      <formula>AND(ISNUMBER(F82),F82&gt;=calculos!$B$5)</formula>
    </cfRule>
  </conditionalFormatting>
  <conditionalFormatting sqref="F82:AJ82 AK82">
    <cfRule type="expression" dxfId="18" priority="21">
      <formula>ISNUMBER(F82)</formula>
    </cfRule>
  </conditionalFormatting>
  <conditionalFormatting sqref="F98:AJ98">
    <cfRule type="expression" dxfId="14" priority="22">
      <formula>AND(ISNUMBER(F98),F98&gt;0)</formula>
    </cfRule>
  </conditionalFormatting>
  <conditionalFormatting sqref="F103:AJ103 AK103">
    <cfRule type="expression" dxfId="15" priority="23" stopIfTrue="1">
      <formula>AND(ISNUMBER(F103),F103&gt;1)</formula>
    </cfRule>
  </conditionalFormatting>
  <conditionalFormatting sqref="F103:AJ103 AK103">
    <cfRule type="expression" dxfId="16" priority="24" stopIfTrue="1">
      <formula>AND(ISNUMBER(F103),F103&gt;=calculos!$B$6)</formula>
    </cfRule>
  </conditionalFormatting>
  <conditionalFormatting sqref="F103:AJ103 AK103">
    <cfRule type="expression" dxfId="17" priority="25" stopIfTrue="1">
      <formula>AND(ISNUMBER(F103),F103&gt;=calculos!$B$5)</formula>
    </cfRule>
  </conditionalFormatting>
  <conditionalFormatting sqref="F103:AJ103 AK103">
    <cfRule type="expression" dxfId="18" priority="26">
      <formula>ISNUMBER(F103)</formula>
    </cfRule>
  </conditionalFormatting>
  <conditionalFormatting sqref="F119:AJ119">
    <cfRule type="expression" dxfId="14" priority="27">
      <formula>AND(ISNUMBER(F119),F119&gt;0)</formula>
    </cfRule>
  </conditionalFormatting>
  <conditionalFormatting sqref="F124:AJ124 AK124">
    <cfRule type="expression" dxfId="15" priority="28" stopIfTrue="1">
      <formula>AND(ISNUMBER(F124),F124&gt;1)</formula>
    </cfRule>
  </conditionalFormatting>
  <conditionalFormatting sqref="F124:AJ124 AK124">
    <cfRule type="expression" dxfId="16" priority="29" stopIfTrue="1">
      <formula>AND(ISNUMBER(F124),F124&gt;=calculos!$B$6)</formula>
    </cfRule>
  </conditionalFormatting>
  <conditionalFormatting sqref="F124:AJ124 AK124">
    <cfRule type="expression" dxfId="17" priority="30" stopIfTrue="1">
      <formula>AND(ISNUMBER(F124),F124&gt;=calculos!$B$5)</formula>
    </cfRule>
  </conditionalFormatting>
  <conditionalFormatting sqref="F124:AJ124 AK124">
    <cfRule type="expression" dxfId="18" priority="31">
      <formula>ISNUMBER(F124)</formula>
    </cfRule>
  </conditionalFormatting>
  <conditionalFormatting sqref="F138:AJ138">
    <cfRule type="expression" dxfId="14" priority="32">
      <formula>AND(ISNUMBER(F138),F138&gt;0)</formula>
    </cfRule>
  </conditionalFormatting>
  <conditionalFormatting sqref="F143:AJ143 AK143">
    <cfRule type="expression" dxfId="15" priority="33" stopIfTrue="1">
      <formula>AND(ISNUMBER(F143),F143&gt;1)</formula>
    </cfRule>
  </conditionalFormatting>
  <conditionalFormatting sqref="F143:AJ143 AK143">
    <cfRule type="expression" dxfId="16" priority="34" stopIfTrue="1">
      <formula>AND(ISNUMBER(F143),F143&gt;=calculos!$B$6)</formula>
    </cfRule>
  </conditionalFormatting>
  <conditionalFormatting sqref="F143:AJ143 AK143">
    <cfRule type="expression" dxfId="17" priority="35" stopIfTrue="1">
      <formula>AND(ISNUMBER(F143),F143&gt;=calculos!$B$5)</formula>
    </cfRule>
  </conditionalFormatting>
  <conditionalFormatting sqref="F143:AJ143 AK143">
    <cfRule type="expression" dxfId="18" priority="36">
      <formula>ISNUMBER(F143)</formula>
    </cfRule>
  </conditionalFormatting>
  <conditionalFormatting sqref="F159:AJ159">
    <cfRule type="expression" dxfId="14" priority="37">
      <formula>AND(ISNUMBER(F159),F159&gt;0)</formula>
    </cfRule>
  </conditionalFormatting>
  <conditionalFormatting sqref="F164:AJ164 AK164">
    <cfRule type="expression" dxfId="15" priority="38" stopIfTrue="1">
      <formula>AND(ISNUMBER(F164),F164&gt;1)</formula>
    </cfRule>
  </conditionalFormatting>
  <conditionalFormatting sqref="F164:AJ164 AK164">
    <cfRule type="expression" dxfId="16" priority="39" stopIfTrue="1">
      <formula>AND(ISNUMBER(F164),F164&gt;=calculos!$B$6)</formula>
    </cfRule>
  </conditionalFormatting>
  <conditionalFormatting sqref="F164:AJ164 AK164">
    <cfRule type="expression" dxfId="17" priority="40" stopIfTrue="1">
      <formula>AND(ISNUMBER(F164),F164&gt;=calculos!$B$5)</formula>
    </cfRule>
  </conditionalFormatting>
  <conditionalFormatting sqref="F164:AJ164 AK164">
    <cfRule type="expression" dxfId="18" priority="41">
      <formula>ISNUMBER(F164)</formula>
    </cfRule>
  </conditionalFormatting>
  <conditionalFormatting sqref="F178:AJ178">
    <cfRule type="expression" dxfId="14" priority="42">
      <formula>AND(ISNUMBER(F178),F178&gt;0)</formula>
    </cfRule>
  </conditionalFormatting>
  <conditionalFormatting sqref="F183:AJ183 AK183">
    <cfRule type="expression" dxfId="15" priority="43" stopIfTrue="1">
      <formula>AND(ISNUMBER(F183),F183&gt;1)</formula>
    </cfRule>
  </conditionalFormatting>
  <conditionalFormatting sqref="F183:AJ183 AK183">
    <cfRule type="expression" dxfId="16" priority="44" stopIfTrue="1">
      <formula>AND(ISNUMBER(F183),F183&gt;=calculos!$B$6)</formula>
    </cfRule>
  </conditionalFormatting>
  <conditionalFormatting sqref="F183:AJ183 AK183">
    <cfRule type="expression" dxfId="17" priority="45" stopIfTrue="1">
      <formula>AND(ISNUMBER(F183),F183&gt;=calculos!$B$5)</formula>
    </cfRule>
  </conditionalFormatting>
  <conditionalFormatting sqref="F183:AJ183 AK183">
    <cfRule type="expression" dxfId="18" priority="46">
      <formula>ISNUMBER(F183)</formula>
    </cfRule>
  </conditionalFormatting>
  <conditionalFormatting sqref="F197:AJ197">
    <cfRule type="expression" dxfId="14" priority="47">
      <formula>AND(ISNUMBER(F197),F197&gt;0)</formula>
    </cfRule>
  </conditionalFormatting>
  <conditionalFormatting sqref="F202:AJ202 AK202">
    <cfRule type="expression" dxfId="15" priority="48" stopIfTrue="1">
      <formula>AND(ISNUMBER(F202),F202&gt;1)</formula>
    </cfRule>
  </conditionalFormatting>
  <conditionalFormatting sqref="F202:AJ202 AK202">
    <cfRule type="expression" dxfId="16" priority="49" stopIfTrue="1">
      <formula>AND(ISNUMBER(F202),F202&gt;=calculos!$B$6)</formula>
    </cfRule>
  </conditionalFormatting>
  <conditionalFormatting sqref="F202:AJ202 AK202">
    <cfRule type="expression" dxfId="17" priority="50" stopIfTrue="1">
      <formula>AND(ISNUMBER(F202),F202&gt;=calculos!$B$5)</formula>
    </cfRule>
  </conditionalFormatting>
  <conditionalFormatting sqref="F202:AJ202 AK202">
    <cfRule type="expression" dxfId="18" priority="51">
      <formula>ISNUMBER(F202)</formula>
    </cfRule>
  </conditionalFormatting>
  <conditionalFormatting sqref="F230:AJ230">
    <cfRule type="expression" dxfId="14" priority="52">
      <formula>AND(ISNUMBER(F230),F230&gt;0)</formula>
    </cfRule>
  </conditionalFormatting>
  <conditionalFormatting sqref="F235:AJ235 AK235">
    <cfRule type="expression" dxfId="15" priority="53" stopIfTrue="1">
      <formula>AND(ISNUMBER(F235),F235&gt;1)</formula>
    </cfRule>
  </conditionalFormatting>
  <conditionalFormatting sqref="F235:AJ235 AK235">
    <cfRule type="expression" dxfId="16" priority="54" stopIfTrue="1">
      <formula>AND(ISNUMBER(F235),F235&gt;=calculos!$B$6)</formula>
    </cfRule>
  </conditionalFormatting>
  <conditionalFormatting sqref="F235:AJ235 AK235">
    <cfRule type="expression" dxfId="17" priority="55" stopIfTrue="1">
      <formula>AND(ISNUMBER(F235),F235&gt;=calculos!$B$5)</formula>
    </cfRule>
  </conditionalFormatting>
  <conditionalFormatting sqref="F235:AJ235 AK235">
    <cfRule type="expression" dxfId="18" priority="56">
      <formula>ISNUMBER(F235)</formula>
    </cfRule>
  </conditionalFormatting>
  <conditionalFormatting sqref="F262:AJ262">
    <cfRule type="expression" dxfId="14" priority="57">
      <formula>AND(ISNUMBER(F262),F262&gt;0)</formula>
    </cfRule>
  </conditionalFormatting>
  <conditionalFormatting sqref="F267:AJ267 AK267">
    <cfRule type="expression" dxfId="15" priority="58" stopIfTrue="1">
      <formula>AND(ISNUMBER(F267),F267&gt;1)</formula>
    </cfRule>
  </conditionalFormatting>
  <conditionalFormatting sqref="F267:AJ267 AK267">
    <cfRule type="expression" dxfId="16" priority="59" stopIfTrue="1">
      <formula>AND(ISNUMBER(F267),F267&gt;=calculos!$B$6)</formula>
    </cfRule>
  </conditionalFormatting>
  <conditionalFormatting sqref="F267:AJ267 AK267">
    <cfRule type="expression" dxfId="17" priority="60" stopIfTrue="1">
      <formula>AND(ISNUMBER(F267),F267&gt;=calculos!$B$5)</formula>
    </cfRule>
  </conditionalFormatting>
  <conditionalFormatting sqref="F267:AJ267 AK267">
    <cfRule type="expression" dxfId="18" priority="61">
      <formula>ISNUMBER(F267)</formula>
    </cfRule>
  </conditionalFormatting>
  <conditionalFormatting sqref="F294:AJ294">
    <cfRule type="expression" dxfId="14" priority="62">
      <formula>AND(ISNUMBER(F294),F294&gt;0)</formula>
    </cfRule>
  </conditionalFormatting>
  <conditionalFormatting sqref="F299:AJ299 AK299">
    <cfRule type="expression" dxfId="15" priority="63" stopIfTrue="1">
      <formula>AND(ISNUMBER(F299),F299&gt;1)</formula>
    </cfRule>
  </conditionalFormatting>
  <conditionalFormatting sqref="F299:AJ299 AK299">
    <cfRule type="expression" dxfId="16" priority="64" stopIfTrue="1">
      <formula>AND(ISNUMBER(F299),F299&gt;=calculos!$B$6)</formula>
    </cfRule>
  </conditionalFormatting>
  <conditionalFormatting sqref="F299:AJ299 AK299">
    <cfRule type="expression" dxfId="17" priority="65" stopIfTrue="1">
      <formula>AND(ISNUMBER(F299),F299&gt;=calculos!$B$5)</formula>
    </cfRule>
  </conditionalFormatting>
  <conditionalFormatting sqref="F299:AJ299 AK299">
    <cfRule type="expression" dxfId="18" priority="66">
      <formula>ISNUMBER(F299)</formula>
    </cfRule>
  </conditionalFormatting>
  <conditionalFormatting sqref="F326:AJ326">
    <cfRule type="expression" dxfId="14" priority="67">
      <formula>AND(ISNUMBER(F326),F326&gt;0)</formula>
    </cfRule>
  </conditionalFormatting>
  <conditionalFormatting sqref="F331:AJ331 AK331">
    <cfRule type="expression" dxfId="15" priority="68" stopIfTrue="1">
      <formula>AND(ISNUMBER(F331),F331&gt;1)</formula>
    </cfRule>
  </conditionalFormatting>
  <conditionalFormatting sqref="F331:AJ331 AK331">
    <cfRule type="expression" dxfId="16" priority="69" stopIfTrue="1">
      <formula>AND(ISNUMBER(F331),F331&gt;=calculos!$B$6)</formula>
    </cfRule>
  </conditionalFormatting>
  <conditionalFormatting sqref="F331:AJ331 AK331">
    <cfRule type="expression" dxfId="17" priority="70" stopIfTrue="1">
      <formula>AND(ISNUMBER(F331),F331&gt;=calculos!$B$5)</formula>
    </cfRule>
  </conditionalFormatting>
  <conditionalFormatting sqref="F331:AJ331 AK331">
    <cfRule type="expression" dxfId="18" priority="71">
      <formula>ISNUMBER(F331)</formula>
    </cfRule>
  </conditionalFormatting>
  <conditionalFormatting sqref="F358:AJ358">
    <cfRule type="expression" dxfId="14" priority="72">
      <formula>AND(ISNUMBER(F358),F358&gt;0)</formula>
    </cfRule>
  </conditionalFormatting>
  <conditionalFormatting sqref="F363:AJ363 AK363">
    <cfRule type="expression" dxfId="15" priority="73" stopIfTrue="1">
      <formula>AND(ISNUMBER(F363),F363&gt;1)</formula>
    </cfRule>
  </conditionalFormatting>
  <conditionalFormatting sqref="F363:AJ363 AK363">
    <cfRule type="expression" dxfId="16" priority="74" stopIfTrue="1">
      <formula>AND(ISNUMBER(F363),F363&gt;=calculos!$B$6)</formula>
    </cfRule>
  </conditionalFormatting>
  <conditionalFormatting sqref="F363:AJ363 AK363">
    <cfRule type="expression" dxfId="17" priority="75" stopIfTrue="1">
      <formula>AND(ISNUMBER(F363),F363&gt;=calculos!$B$5)</formula>
    </cfRule>
  </conditionalFormatting>
  <conditionalFormatting sqref="F363:AJ363 AK363">
    <cfRule type="expression" dxfId="18" priority="76">
      <formula>ISNUMBER(F363)</formula>
    </cfRule>
  </conditionalFormatting>
  <conditionalFormatting sqref="F390:AJ390">
    <cfRule type="expression" dxfId="14" priority="77">
      <formula>AND(ISNUMBER(F390),F390&gt;0)</formula>
    </cfRule>
  </conditionalFormatting>
  <conditionalFormatting sqref="F395:AJ395 AK395">
    <cfRule type="expression" dxfId="15" priority="78" stopIfTrue="1">
      <formula>AND(ISNUMBER(F395),F395&gt;1)</formula>
    </cfRule>
  </conditionalFormatting>
  <conditionalFormatting sqref="F395:AJ395 AK395">
    <cfRule type="expression" dxfId="16" priority="79" stopIfTrue="1">
      <formula>AND(ISNUMBER(F395),F395&gt;=calculos!$B$6)</formula>
    </cfRule>
  </conditionalFormatting>
  <conditionalFormatting sqref="F395:AJ395 AK395">
    <cfRule type="expression" dxfId="17" priority="80" stopIfTrue="1">
      <formula>AND(ISNUMBER(F395),F395&gt;=calculos!$B$5)</formula>
    </cfRule>
  </conditionalFormatting>
  <conditionalFormatting sqref="F395:AJ395 AK395">
    <cfRule type="expression" dxfId="18" priority="81">
      <formula>ISNUMBER(F395)</formula>
    </cfRule>
  </conditionalFormatting>
  <conditionalFormatting sqref="F422:AJ422">
    <cfRule type="expression" dxfId="14" priority="82">
      <formula>AND(ISNUMBER(F422),F422&gt;0)</formula>
    </cfRule>
  </conditionalFormatting>
  <conditionalFormatting sqref="F427:AJ427 AK427">
    <cfRule type="expression" dxfId="15" priority="83" stopIfTrue="1">
      <formula>AND(ISNUMBER(F427),F427&gt;1)</formula>
    </cfRule>
  </conditionalFormatting>
  <conditionalFormatting sqref="F427:AJ427 AK427">
    <cfRule type="expression" dxfId="16" priority="84" stopIfTrue="1">
      <formula>AND(ISNUMBER(F427),F427&gt;=calculos!$B$6)</formula>
    </cfRule>
  </conditionalFormatting>
  <conditionalFormatting sqref="F427:AJ427 AK427">
    <cfRule type="expression" dxfId="17" priority="85" stopIfTrue="1">
      <formula>AND(ISNUMBER(F427),F427&gt;=calculos!$B$5)</formula>
    </cfRule>
  </conditionalFormatting>
  <conditionalFormatting sqref="F427:AJ427 AK427">
    <cfRule type="expression" dxfId="18" priority="86">
      <formula>ISNUMBER(F427)</formula>
    </cfRule>
  </conditionalFormatting>
  <conditionalFormatting sqref="F454:AJ454">
    <cfRule type="expression" dxfId="14" priority="87">
      <formula>AND(ISNUMBER(F454),F454&gt;0)</formula>
    </cfRule>
  </conditionalFormatting>
  <conditionalFormatting sqref="F459:AJ459 AK459">
    <cfRule type="expression" dxfId="15" priority="88" stopIfTrue="1">
      <formula>AND(ISNUMBER(F459),F459&gt;1)</formula>
    </cfRule>
  </conditionalFormatting>
  <conditionalFormatting sqref="F459:AJ459 AK459">
    <cfRule type="expression" dxfId="16" priority="89" stopIfTrue="1">
      <formula>AND(ISNUMBER(F459),F459&gt;=calculos!$B$6)</formula>
    </cfRule>
  </conditionalFormatting>
  <conditionalFormatting sqref="F459:AJ459 AK459">
    <cfRule type="expression" dxfId="17" priority="90" stopIfTrue="1">
      <formula>AND(ISNUMBER(F459),F459&gt;=calculos!$B$5)</formula>
    </cfRule>
  </conditionalFormatting>
  <conditionalFormatting sqref="F459:AJ459 AK459">
    <cfRule type="expression" dxfId="18" priority="91">
      <formula>ISNUMBER(F459)</formula>
    </cfRule>
  </conditionalFormatting>
  <conditionalFormatting sqref="F486:AJ486">
    <cfRule type="expression" dxfId="14" priority="92">
      <formula>AND(ISNUMBER(F486),F486&gt;0)</formula>
    </cfRule>
  </conditionalFormatting>
  <conditionalFormatting sqref="F491:AJ491 AK491">
    <cfRule type="expression" dxfId="15" priority="93" stopIfTrue="1">
      <formula>AND(ISNUMBER(F491),F491&gt;1)</formula>
    </cfRule>
  </conditionalFormatting>
  <conditionalFormatting sqref="F491:AJ491 AK491">
    <cfRule type="expression" dxfId="16" priority="94" stopIfTrue="1">
      <formula>AND(ISNUMBER(F491),F491&gt;=calculos!$B$6)</formula>
    </cfRule>
  </conditionalFormatting>
  <conditionalFormatting sqref="F491:AJ491 AK491">
    <cfRule type="expression" dxfId="17" priority="95" stopIfTrue="1">
      <formula>AND(ISNUMBER(F491),F491&gt;=calculos!$B$5)</formula>
    </cfRule>
  </conditionalFormatting>
  <conditionalFormatting sqref="F491:AJ491 AK491">
    <cfRule type="expression" dxfId="18" priority="96">
      <formula>ISNUMBER(F491)</formula>
    </cfRule>
  </conditionalFormatting>
  <conditionalFormatting sqref="F518:AJ518">
    <cfRule type="expression" dxfId="14" priority="97">
      <formula>AND(ISNUMBER(F518),F518&gt;0)</formula>
    </cfRule>
  </conditionalFormatting>
  <conditionalFormatting sqref="F523:AJ523 AK523">
    <cfRule type="expression" dxfId="15" priority="98" stopIfTrue="1">
      <formula>AND(ISNUMBER(F523),F523&gt;1)</formula>
    </cfRule>
  </conditionalFormatting>
  <conditionalFormatting sqref="F523:AJ523 AK523">
    <cfRule type="expression" dxfId="16" priority="99" stopIfTrue="1">
      <formula>AND(ISNUMBER(F523),F523&gt;=calculos!$B$6)</formula>
    </cfRule>
  </conditionalFormatting>
  <conditionalFormatting sqref="F523:AJ523 AK523">
    <cfRule type="expression" dxfId="17" priority="100" stopIfTrue="1">
      <formula>AND(ISNUMBER(F523),F523&gt;=calculos!$B$5)</formula>
    </cfRule>
  </conditionalFormatting>
  <conditionalFormatting sqref="F523:AJ523 AK523">
    <cfRule type="expression" dxfId="18" priority="101">
      <formula>ISNUMBER(F523)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3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97"/>
      <c r="B1" s="97"/>
      <c r="C1" s="97"/>
      <c r="D1" s="97"/>
      <c r="E1" s="97"/>
      <c r="F1" s="97"/>
      <c r="G1" s="137" t="str">
        <f>"CONSOL MENSAL · QUADRO DE INDICADORES"&amp;IF(calculos_quadro!$E$2="",""," · "&amp;calculos_quadro!$E$2)</f>
        <v>CONSOL MENSAL · QUADRO DE INDICADORES · TPC</v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8" t="inlineStr">
        <is>
          <t xml:space="preserve">OUTUBRO · 2026</t>
        </is>
      </c>
      <c r="W1" s="138"/>
      <c r="X1" s="138"/>
      <c r="Y1" s="138"/>
      <c r="Z1" s="138"/>
      <c r="AA1" s="138"/>
    </row>
    <row r="3" ht="24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Q3" s="269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69"/>
      <c r="S3" s="269"/>
      <c r="T3" s="269"/>
      <c r="U3" s="269"/>
      <c r="V3" s="269"/>
      <c r="W3" s="269"/>
      <c r="X3" s="269"/>
      <c r="Y3" s="269"/>
      <c r="Z3" s="269"/>
    </row>
    <row r="5" ht="20" customHeight="1">
      <c r="B5" s="270" t="inlineStr">
        <is>
          <t xml:space="preserve">QUADRO DE INDICADORES · cliente e mês selecionados</t>
        </is>
      </c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  <c r="P5" s="270"/>
      <c r="Q5" s="270"/>
      <c r="R5" s="270"/>
      <c r="S5" s="270"/>
      <c r="T5" s="270"/>
      <c r="U5" s="270"/>
      <c r="V5" s="270"/>
      <c r="W5" s="270"/>
      <c r="X5" s="270"/>
      <c r="Y5" s="270"/>
      <c r="Z5" s="270"/>
    </row>
    <row r="6" ht="28" customHeight="1">
      <c r="B6" s="271" t="inlineStr">
        <is>
          <t xml:space="preserve">GRUPO</t>
        </is>
      </c>
      <c r="C6" s="272"/>
      <c r="D6" s="271" t="inlineStr">
        <is>
          <t xml:space="preserve">INDICADOR</t>
        </is>
      </c>
      <c r="E6" s="273"/>
      <c r="F6" s="273"/>
      <c r="G6" s="272"/>
      <c r="H6" s="274" t="inlineStr">
        <is>
          <t xml:space="preserve">META</t>
        </is>
      </c>
      <c r="I6" s="275"/>
      <c r="J6" s="274" t="inlineStr">
        <is>
          <t xml:space="preserve">REALIZADO</t>
        </is>
      </c>
      <c r="K6" s="276"/>
      <c r="L6" s="275"/>
      <c r="M6" s="274" t="inlineStr">
        <is>
          <t xml:space="preserve">MÉDIA / DIA</t>
        </is>
      </c>
      <c r="N6" s="275"/>
      <c r="O6" s="274" t="inlineStr">
        <is>
          <t xml:space="preserve">MÁXIMO NO DIA</t>
        </is>
      </c>
      <c r="P6" s="276"/>
      <c r="Q6" s="275"/>
      <c r="R6" s="274" t="inlineStr">
        <is>
          <t xml:space="preserve">MÊS ANTERIOR</t>
        </is>
      </c>
      <c r="S6" s="275"/>
      <c r="T6" s="274" t="inlineStr">
        <is>
          <t xml:space="preserve">VARIAÇÃO</t>
        </is>
      </c>
      <c r="U6" s="276"/>
      <c r="V6" s="275"/>
      <c r="W6" s="274" t="inlineStr">
        <is>
          <t xml:space="preserve">% DA META</t>
        </is>
      </c>
      <c r="X6" s="275"/>
      <c r="Y6" s="274" t="inlineStr">
        <is>
          <t xml:space="preserve">STATUS</t>
        </is>
      </c>
      <c r="Z6" s="275"/>
    </row>
    <row r="7" ht="16" customHeight="1">
      <c r="B7" s="491" t="inlineStr">
        <is>
          <t xml:space="preserve">IN</t>
        </is>
      </c>
      <c r="C7" s="155"/>
      <c r="D7" s="278" t="inlineStr">
        <is>
          <t xml:space="preserve">Veículos Recebidos</t>
        </is>
      </c>
      <c r="E7" s="277"/>
      <c r="F7" s="277"/>
      <c r="G7" s="277"/>
      <c r="H7" s="280" t="str">
        <f>IF(calculos_quadro!$B$303=0,"—",calculos_quadro!$C$48)</f>
        <v/>
      </c>
      <c r="I7" s="279"/>
      <c r="J7" s="282">
        <f>IF(calculos_quadro!$B$303=0,"—",calculos_quadro!$C$43)</f>
        <v>0</v>
      </c>
      <c r="K7" s="281"/>
      <c r="L7" s="281"/>
      <c r="M7" s="284" t="str">
        <f>IF(calculos_quadro!$B$303=0,"—",calculos_quadro!$C$44)</f>
        <v/>
      </c>
      <c r="N7" s="283"/>
      <c r="O7" s="286">
        <f>IF(calculos_quadro!$B$303=0,"—",calculos_quadro!$C$45)</f>
        <v>0</v>
      </c>
      <c r="P7" s="285"/>
      <c r="Q7" s="285"/>
      <c r="R7" s="286" t="str">
        <f>IF(calculos_quadro!$B$303=0,"—",calculos_quadro!$C$46)</f>
        <v/>
      </c>
      <c r="S7" s="285"/>
      <c r="T7" s="288" t="str">
        <f>IF(calculos_quadro!$B$303=0,"—",calculos_quadro!$C$47)</f>
        <v/>
      </c>
      <c r="U7" s="287"/>
      <c r="V7" s="287"/>
      <c r="W7" s="290" t="str">
        <f>IF(calculos_quadro!$B$303=0,"—",calculos_quadro!$C$49)</f>
        <v/>
      </c>
      <c r="X7" s="289"/>
      <c r="Y7" s="292" t="str">
        <f>IF(calculos_quadro!$B$303=0,"—",calculos_quadro!$C$50)</f>
        <v/>
      </c>
      <c r="Z7" s="293"/>
    </row>
    <row r="8" ht="16" customHeight="1">
      <c r="B8" s="492"/>
      <c r="C8" s="201"/>
      <c r="D8" s="295" t="inlineStr">
        <is>
          <t xml:space="preserve">Pallets Movimentados</t>
        </is>
      </c>
      <c r="E8" s="294"/>
      <c r="F8" s="294"/>
      <c r="G8" s="294"/>
      <c r="H8" s="297" t="str">
        <f>IF(calculos_quadro!$B$304=0,"—",calculos_quadro!$D$48)</f>
        <v/>
      </c>
      <c r="I8" s="296"/>
      <c r="J8" s="299">
        <f>IF(calculos_quadro!$B$304=0,"—",calculos_quadro!$D$43)</f>
        <v>0</v>
      </c>
      <c r="K8" s="298"/>
      <c r="L8" s="298"/>
      <c r="M8" s="301" t="str">
        <f>IF(calculos_quadro!$B$304=0,"—",calculos_quadro!$D$44)</f>
        <v/>
      </c>
      <c r="N8" s="300"/>
      <c r="O8" s="303">
        <f>IF(calculos_quadro!$B$304=0,"—",calculos_quadro!$D$45)</f>
        <v>0</v>
      </c>
      <c r="P8" s="302"/>
      <c r="Q8" s="302"/>
      <c r="R8" s="303" t="str">
        <f>IF(calculos_quadro!$B$304=0,"—",calculos_quadro!$D$46)</f>
        <v/>
      </c>
      <c r="S8" s="302"/>
      <c r="T8" s="305" t="str">
        <f>IF(calculos_quadro!$B$304=0,"—",calculos_quadro!$D$47)</f>
        <v/>
      </c>
      <c r="U8" s="304"/>
      <c r="V8" s="304"/>
      <c r="W8" s="307" t="str">
        <f>IF(calculos_quadro!$B$304=0,"—",calculos_quadro!$D$49)</f>
        <v/>
      </c>
      <c r="X8" s="306"/>
      <c r="Y8" s="309" t="str">
        <f>IF(calculos_quadro!$B$304=0,"—",calculos_quadro!$D$50)</f>
        <v/>
      </c>
      <c r="Z8" s="310"/>
    </row>
    <row r="9" ht="16" customHeight="1">
      <c r="B9" s="492"/>
      <c r="C9" s="201"/>
      <c r="D9" s="295" t="inlineStr">
        <is>
          <t xml:space="preserve">Toneladas Movimentadas</t>
        </is>
      </c>
      <c r="E9" s="294"/>
      <c r="F9" s="294"/>
      <c r="G9" s="294"/>
      <c r="H9" s="297" t="str">
        <f>IF(calculos_quadro!$B$305=0,"—",calculos_quadro!$E$48)</f>
        <v/>
      </c>
      <c r="I9" s="296"/>
      <c r="J9" s="312">
        <f>IF(calculos_quadro!$B$305=0,"—",calculos_quadro!$E$43)</f>
        <v>0</v>
      </c>
      <c r="K9" s="311"/>
      <c r="L9" s="311"/>
      <c r="M9" s="301" t="str">
        <f>IF(calculos_quadro!$B$305=0,"—",calculos_quadro!$E$44)</f>
        <v/>
      </c>
      <c r="N9" s="300"/>
      <c r="O9" s="301">
        <f>IF(calculos_quadro!$B$305=0,"—",calculos_quadro!$E$45)</f>
        <v>0</v>
      </c>
      <c r="P9" s="300"/>
      <c r="Q9" s="300"/>
      <c r="R9" s="301" t="str">
        <f>IF(calculos_quadro!$B$305=0,"—",calculos_quadro!$E$46)</f>
        <v/>
      </c>
      <c r="S9" s="300"/>
      <c r="T9" s="305" t="str">
        <f>IF(calculos_quadro!$B$305=0,"—",calculos_quadro!$E$47)</f>
        <v/>
      </c>
      <c r="U9" s="304"/>
      <c r="V9" s="304"/>
      <c r="W9" s="307" t="str">
        <f>IF(calculos_quadro!$B$305=0,"—",calculos_quadro!$E$49)</f>
        <v/>
      </c>
      <c r="X9" s="306"/>
      <c r="Y9" s="309" t="str">
        <f>IF(calculos_quadro!$B$305=0,"—",calculos_quadro!$E$50)</f>
        <v/>
      </c>
      <c r="Z9" s="310"/>
    </row>
    <row r="10" ht="16" customHeight="1">
      <c r="B10" s="492"/>
      <c r="C10" s="201"/>
      <c r="D10" s="295" t="inlineStr">
        <is>
          <t xml:space="preserve">Linhas NF</t>
        </is>
      </c>
      <c r="E10" s="294"/>
      <c r="F10" s="294"/>
      <c r="G10" s="294"/>
      <c r="H10" s="297" t="str">
        <f>IF(calculos_quadro!$B$306=0,"—",calculos_quadro!$F$48)</f>
        <v/>
      </c>
      <c r="I10" s="296"/>
      <c r="J10" s="299">
        <f>IF(calculos_quadro!$B$306=0,"—",calculos_quadro!$F$43)</f>
        <v>0</v>
      </c>
      <c r="K10" s="298"/>
      <c r="L10" s="298"/>
      <c r="M10" s="301" t="str">
        <f>IF(calculos_quadro!$B$306=0,"—",calculos_quadro!$F$44)</f>
        <v/>
      </c>
      <c r="N10" s="300"/>
      <c r="O10" s="303">
        <f>IF(calculos_quadro!$B$306=0,"—",calculos_quadro!$F$45)</f>
        <v>0</v>
      </c>
      <c r="P10" s="302"/>
      <c r="Q10" s="302"/>
      <c r="R10" s="303" t="str">
        <f>IF(calculos_quadro!$B$306=0,"—",calculos_quadro!$F$46)</f>
        <v/>
      </c>
      <c r="S10" s="302"/>
      <c r="T10" s="305" t="str">
        <f>IF(calculos_quadro!$B$306=0,"—",calculos_quadro!$F$47)</f>
        <v/>
      </c>
      <c r="U10" s="304"/>
      <c r="V10" s="304"/>
      <c r="W10" s="307" t="str">
        <f>IF(calculos_quadro!$B$306=0,"—",calculos_quadro!$F$49)</f>
        <v/>
      </c>
      <c r="X10" s="306"/>
      <c r="Y10" s="309" t="str">
        <f>IF(calculos_quadro!$B$306=0,"—",calculos_quadro!$F$50)</f>
        <v/>
      </c>
      <c r="Z10" s="310"/>
    </row>
    <row r="11" ht="16" customHeight="1">
      <c r="B11" s="492"/>
      <c r="C11" s="201"/>
      <c r="D11" s="295" t="inlineStr">
        <is>
          <t xml:space="preserve">Caixas Movimentadas</t>
        </is>
      </c>
      <c r="E11" s="294"/>
      <c r="F11" s="294"/>
      <c r="G11" s="294"/>
      <c r="H11" s="297" t="str">
        <f>IF(calculos_quadro!$B$307=0,"—",calculos_quadro!$G$48)</f>
        <v/>
      </c>
      <c r="I11" s="296"/>
      <c r="J11" s="299">
        <f>IF(calculos_quadro!$B$307=0,"—",calculos_quadro!$G$43)</f>
        <v>0</v>
      </c>
      <c r="K11" s="298"/>
      <c r="L11" s="298"/>
      <c r="M11" s="301" t="str">
        <f>IF(calculos_quadro!$B$307=0,"—",calculos_quadro!$G$44)</f>
        <v/>
      </c>
      <c r="N11" s="300"/>
      <c r="O11" s="303">
        <f>IF(calculos_quadro!$B$307=0,"—",calculos_quadro!$G$45)</f>
        <v>0</v>
      </c>
      <c r="P11" s="302"/>
      <c r="Q11" s="302"/>
      <c r="R11" s="303" t="str">
        <f>IF(calculos_quadro!$B$307=0,"—",calculos_quadro!$G$46)</f>
        <v/>
      </c>
      <c r="S11" s="302"/>
      <c r="T11" s="305" t="str">
        <f>IF(calculos_quadro!$B$307=0,"—",calculos_quadro!$G$47)</f>
        <v/>
      </c>
      <c r="U11" s="304"/>
      <c r="V11" s="304"/>
      <c r="W11" s="307" t="str">
        <f>IF(calculos_quadro!$B$307=0,"—",calculos_quadro!$G$49)</f>
        <v/>
      </c>
      <c r="X11" s="306"/>
      <c r="Y11" s="309" t="str">
        <f>IF(calculos_quadro!$B$307=0,"—",calculos_quadro!$G$50)</f>
        <v/>
      </c>
      <c r="Z11" s="310"/>
    </row>
    <row r="12" ht="16" customHeight="1">
      <c r="B12" s="492"/>
      <c r="C12" s="201"/>
      <c r="D12" s="295" t="inlineStr">
        <is>
          <t xml:space="preserve">Itens Recebidos</t>
        </is>
      </c>
      <c r="E12" s="294"/>
      <c r="F12" s="294"/>
      <c r="G12" s="294"/>
      <c r="H12" s="297" t="str">
        <f>IF(calculos_quadro!$B$308=0,"—",calculos_quadro!$H$48)</f>
        <v/>
      </c>
      <c r="I12" s="296"/>
      <c r="J12" s="299">
        <f>IF(calculos_quadro!$B$308=0,"—",calculos_quadro!$H$43)</f>
        <v>0</v>
      </c>
      <c r="K12" s="298"/>
      <c r="L12" s="298"/>
      <c r="M12" s="301" t="str">
        <f>IF(calculos_quadro!$B$308=0,"—",calculos_quadro!$H$44)</f>
        <v/>
      </c>
      <c r="N12" s="300"/>
      <c r="O12" s="303">
        <f>IF(calculos_quadro!$B$308=0,"—",calculos_quadro!$H$45)</f>
        <v>0</v>
      </c>
      <c r="P12" s="302"/>
      <c r="Q12" s="302"/>
      <c r="R12" s="303" t="str">
        <f>IF(calculos_quadro!$B$308=0,"—",calculos_quadro!$H$46)</f>
        <v/>
      </c>
      <c r="S12" s="302"/>
      <c r="T12" s="305" t="str">
        <f>IF(calculos_quadro!$B$308=0,"—",calculos_quadro!$H$47)</f>
        <v/>
      </c>
      <c r="U12" s="304"/>
      <c r="V12" s="304"/>
      <c r="W12" s="307" t="str">
        <f>IF(calculos_quadro!$B$308=0,"—",calculos_quadro!$H$49)</f>
        <v/>
      </c>
      <c r="X12" s="306"/>
      <c r="Y12" s="309" t="str">
        <f>IF(calculos_quadro!$B$308=0,"—",calculos_quadro!$H$50)</f>
        <v/>
      </c>
      <c r="Z12" s="310"/>
    </row>
    <row r="13" ht="16" customHeight="1">
      <c r="B13" s="492"/>
      <c r="C13" s="201"/>
      <c r="D13" s="295" t="inlineStr">
        <is>
          <t xml:space="preserve">Itens Recebidos CX Mista</t>
        </is>
      </c>
      <c r="E13" s="294"/>
      <c r="F13" s="294"/>
      <c r="G13" s="294"/>
      <c r="H13" s="297" t="str">
        <f>IF(calculos_quadro!$B$309=0,"—",calculos_quadro!$I$48)</f>
        <v/>
      </c>
      <c r="I13" s="296"/>
      <c r="J13" s="299">
        <f>IF(calculos_quadro!$B$309=0,"—",calculos_quadro!$I$43)</f>
        <v>0</v>
      </c>
      <c r="K13" s="298"/>
      <c r="L13" s="298"/>
      <c r="M13" s="301" t="str">
        <f>IF(calculos_quadro!$B$309=0,"—",calculos_quadro!$I$44)</f>
        <v/>
      </c>
      <c r="N13" s="300"/>
      <c r="O13" s="303">
        <f>IF(calculos_quadro!$B$309=0,"—",calculos_quadro!$I$45)</f>
        <v>0</v>
      </c>
      <c r="P13" s="302"/>
      <c r="Q13" s="302"/>
      <c r="R13" s="303" t="str">
        <f>IF(calculos_quadro!$B$309=0,"—",calculos_quadro!$I$46)</f>
        <v/>
      </c>
      <c r="S13" s="302"/>
      <c r="T13" s="305" t="str">
        <f>IF(calculos_quadro!$B$309=0,"—",calculos_quadro!$I$47)</f>
        <v/>
      </c>
      <c r="U13" s="304"/>
      <c r="V13" s="304"/>
      <c r="W13" s="307" t="str">
        <f>IF(calculos_quadro!$B$309=0,"—",calculos_quadro!$I$49)</f>
        <v/>
      </c>
      <c r="X13" s="306"/>
      <c r="Y13" s="309" t="str">
        <f>IF(calculos_quadro!$B$309=0,"—",calculos_quadro!$I$50)</f>
        <v/>
      </c>
      <c r="Z13" s="310"/>
    </row>
    <row r="14" ht="16" customHeight="1">
      <c r="B14" s="492"/>
      <c r="C14" s="201"/>
      <c r="D14" s="295" t="inlineStr">
        <is>
          <t xml:space="preserve">Caixas Fechadas</t>
        </is>
      </c>
      <c r="E14" s="294"/>
      <c r="F14" s="294"/>
      <c r="G14" s="294"/>
      <c r="H14" s="297" t="str">
        <f>IF(calculos_quadro!$B$310=0,"—",calculos_quadro!$J$48)</f>
        <v/>
      </c>
      <c r="I14" s="296"/>
      <c r="J14" s="299">
        <f>IF(calculos_quadro!$B$310=0,"—",calculos_quadro!$J$43)</f>
        <v>0</v>
      </c>
      <c r="K14" s="298"/>
      <c r="L14" s="298"/>
      <c r="M14" s="301" t="str">
        <f>IF(calculos_quadro!$B$310=0,"—",calculos_quadro!$J$44)</f>
        <v/>
      </c>
      <c r="N14" s="300"/>
      <c r="O14" s="303">
        <f>IF(calculos_quadro!$B$310=0,"—",calculos_quadro!$J$45)</f>
        <v>0</v>
      </c>
      <c r="P14" s="302"/>
      <c r="Q14" s="302"/>
      <c r="R14" s="303" t="str">
        <f>IF(calculos_quadro!$B$310=0,"—",calculos_quadro!$J$46)</f>
        <v/>
      </c>
      <c r="S14" s="302"/>
      <c r="T14" s="305" t="str">
        <f>IF(calculos_quadro!$B$310=0,"—",calculos_quadro!$J$47)</f>
        <v/>
      </c>
      <c r="U14" s="304"/>
      <c r="V14" s="304"/>
      <c r="W14" s="307" t="str">
        <f>IF(calculos_quadro!$B$310=0,"—",calculos_quadro!$J$49)</f>
        <v/>
      </c>
      <c r="X14" s="306"/>
      <c r="Y14" s="309" t="str">
        <f>IF(calculos_quadro!$B$310=0,"—",calculos_quadro!$J$50)</f>
        <v/>
      </c>
      <c r="Z14" s="310"/>
    </row>
    <row r="15" ht="16" customHeight="1">
      <c r="B15" s="493"/>
      <c r="C15" s="162"/>
      <c r="D15" s="314" t="inlineStr">
        <is>
          <t xml:space="preserve">Caixas Mistas Recebidas</t>
        </is>
      </c>
      <c r="E15" s="313"/>
      <c r="F15" s="313"/>
      <c r="G15" s="313"/>
      <c r="H15" s="316" t="str">
        <f>IF(calculos_quadro!$B$311=0,"—",calculos_quadro!$K$48)</f>
        <v/>
      </c>
      <c r="I15" s="315"/>
      <c r="J15" s="318">
        <f>IF(calculos_quadro!$B$311=0,"—",calculos_quadro!$K$43)</f>
        <v>0</v>
      </c>
      <c r="K15" s="317"/>
      <c r="L15" s="317"/>
      <c r="M15" s="320" t="str">
        <f>IF(calculos_quadro!$B$311=0,"—",calculos_quadro!$K$44)</f>
        <v/>
      </c>
      <c r="N15" s="319"/>
      <c r="O15" s="322">
        <f>IF(calculos_quadro!$B$311=0,"—",calculos_quadro!$K$45)</f>
        <v>0</v>
      </c>
      <c r="P15" s="321"/>
      <c r="Q15" s="321"/>
      <c r="R15" s="322" t="str">
        <f>IF(calculos_quadro!$B$311=0,"—",calculos_quadro!$K$46)</f>
        <v/>
      </c>
      <c r="S15" s="321"/>
      <c r="T15" s="324" t="str">
        <f>IF(calculos_quadro!$B$311=0,"—",calculos_quadro!$K$47)</f>
        <v/>
      </c>
      <c r="U15" s="323"/>
      <c r="V15" s="323"/>
      <c r="W15" s="326" t="str">
        <f>IF(calculos_quadro!$B$311=0,"—",calculos_quadro!$K$49)</f>
        <v/>
      </c>
      <c r="X15" s="325"/>
      <c r="Y15" s="328" t="str">
        <f>IF(calculos_quadro!$B$311=0,"—",calculos_quadro!$K$50)</f>
        <v/>
      </c>
      <c r="Z15" s="329"/>
    </row>
    <row r="16" ht="16" customHeight="1">
      <c r="B16" s="494" t="inlineStr">
        <is>
          <t xml:space="preserve">OUT</t>
        </is>
      </c>
      <c r="C16" s="168"/>
      <c r="D16" s="331" t="inlineStr">
        <is>
          <t xml:space="preserve">Veículos Expedidos</t>
        </is>
      </c>
      <c r="E16" s="330"/>
      <c r="F16" s="330"/>
      <c r="G16" s="330"/>
      <c r="H16" s="333" t="str">
        <f>IF(calculos_quadro!$B$312=0,"—",calculos_quadro!$L$48)</f>
        <v/>
      </c>
      <c r="I16" s="332"/>
      <c r="J16" s="335">
        <f>IF(calculos_quadro!$B$312=0,"—",calculos_quadro!$L$43)</f>
        <v>0</v>
      </c>
      <c r="K16" s="334"/>
      <c r="L16" s="334"/>
      <c r="M16" s="337" t="str">
        <f>IF(calculos_quadro!$B$312=0,"—",calculos_quadro!$L$44)</f>
        <v/>
      </c>
      <c r="N16" s="336"/>
      <c r="O16" s="339">
        <f>IF(calculos_quadro!$B$312=0,"—",calculos_quadro!$L$45)</f>
        <v>0</v>
      </c>
      <c r="P16" s="338"/>
      <c r="Q16" s="338"/>
      <c r="R16" s="339" t="str">
        <f>IF(calculos_quadro!$B$312=0,"—",calculos_quadro!$L$46)</f>
        <v/>
      </c>
      <c r="S16" s="338"/>
      <c r="T16" s="341" t="str">
        <f>IF(calculos_quadro!$B$312=0,"—",calculos_quadro!$L$47)</f>
        <v/>
      </c>
      <c r="U16" s="340"/>
      <c r="V16" s="340"/>
      <c r="W16" s="343" t="str">
        <f>IF(calculos_quadro!$B$312=0,"—",calculos_quadro!$L$49)</f>
        <v/>
      </c>
      <c r="X16" s="342"/>
      <c r="Y16" s="345" t="str">
        <f>IF(calculos_quadro!$B$312=0,"—",calculos_quadro!$L$50)</f>
        <v/>
      </c>
      <c r="Z16" s="346"/>
    </row>
    <row r="17" ht="16" customHeight="1">
      <c r="B17" s="495"/>
      <c r="C17" s="250"/>
      <c r="D17" s="348" t="inlineStr">
        <is>
          <t xml:space="preserve">Pedidos Expedidos</t>
        </is>
      </c>
      <c r="E17" s="347"/>
      <c r="F17" s="347"/>
      <c r="G17" s="347"/>
      <c r="H17" s="350" t="str">
        <f>IF(calculos_quadro!$B$313=0,"—",calculos_quadro!$M$48)</f>
        <v/>
      </c>
      <c r="I17" s="349"/>
      <c r="J17" s="352">
        <f>IF(calculos_quadro!$B$313=0,"—",calculos_quadro!$M$43)</f>
        <v>0</v>
      </c>
      <c r="K17" s="351"/>
      <c r="L17" s="351"/>
      <c r="M17" s="354" t="str">
        <f>IF(calculos_quadro!$B$313=0,"—",calculos_quadro!$M$44)</f>
        <v/>
      </c>
      <c r="N17" s="353"/>
      <c r="O17" s="356">
        <f>IF(calculos_quadro!$B$313=0,"—",calculos_quadro!$M$45)</f>
        <v>0</v>
      </c>
      <c r="P17" s="355"/>
      <c r="Q17" s="355"/>
      <c r="R17" s="356" t="str">
        <f>IF(calculos_quadro!$B$313=0,"—",calculos_quadro!$M$46)</f>
        <v/>
      </c>
      <c r="S17" s="355"/>
      <c r="T17" s="358" t="str">
        <f>IF(calculos_quadro!$B$313=0,"—",calculos_quadro!$M$47)</f>
        <v/>
      </c>
      <c r="U17" s="357"/>
      <c r="V17" s="357"/>
      <c r="W17" s="360" t="str">
        <f>IF(calculos_quadro!$B$313=0,"—",calculos_quadro!$M$49)</f>
        <v/>
      </c>
      <c r="X17" s="359"/>
      <c r="Y17" s="362" t="str">
        <f>IF(calculos_quadro!$B$313=0,"—",calculos_quadro!$M$50)</f>
        <v/>
      </c>
      <c r="Z17" s="363"/>
    </row>
    <row r="18" ht="16" customHeight="1">
      <c r="B18" s="495"/>
      <c r="C18" s="250"/>
      <c r="D18" s="348" t="inlineStr">
        <is>
          <t xml:space="preserve">Pedidos Faturados</t>
        </is>
      </c>
      <c r="E18" s="347"/>
      <c r="F18" s="347"/>
      <c r="G18" s="347"/>
      <c r="H18" s="350" t="str">
        <f>IF(calculos_quadro!$B$314=0,"—",calculos_quadro!$N$48)</f>
        <v/>
      </c>
      <c r="I18" s="349"/>
      <c r="J18" s="352">
        <f>IF(calculos_quadro!$B$314=0,"—",calculos_quadro!$N$43)</f>
        <v>0</v>
      </c>
      <c r="K18" s="351"/>
      <c r="L18" s="351"/>
      <c r="M18" s="354" t="str">
        <f>IF(calculos_quadro!$B$314=0,"—",calculos_quadro!$N$44)</f>
        <v/>
      </c>
      <c r="N18" s="353"/>
      <c r="O18" s="356">
        <f>IF(calculos_quadro!$B$314=0,"—",calculos_quadro!$N$45)</f>
        <v>0</v>
      </c>
      <c r="P18" s="355"/>
      <c r="Q18" s="355"/>
      <c r="R18" s="356" t="str">
        <f>IF(calculos_quadro!$B$314=0,"—",calculos_quadro!$N$46)</f>
        <v/>
      </c>
      <c r="S18" s="355"/>
      <c r="T18" s="358" t="str">
        <f>IF(calculos_quadro!$B$314=0,"—",calculos_quadro!$N$47)</f>
        <v/>
      </c>
      <c r="U18" s="357"/>
      <c r="V18" s="357"/>
      <c r="W18" s="360" t="str">
        <f>IF(calculos_quadro!$B$314=0,"—",calculos_quadro!$N$49)</f>
        <v/>
      </c>
      <c r="X18" s="359"/>
      <c r="Y18" s="362" t="str">
        <f>IF(calculos_quadro!$B$314=0,"—",calculos_quadro!$N$50)</f>
        <v/>
      </c>
      <c r="Z18" s="363"/>
    </row>
    <row r="19" ht="16" customHeight="1">
      <c r="B19" s="495"/>
      <c r="C19" s="250"/>
      <c r="D19" s="348" t="inlineStr">
        <is>
          <t xml:space="preserve">Itens Expedidos</t>
        </is>
      </c>
      <c r="E19" s="347"/>
      <c r="F19" s="347"/>
      <c r="G19" s="347"/>
      <c r="H19" s="350" t="str">
        <f>IF(calculos_quadro!$B$315=0,"—",calculos_quadro!$O$48)</f>
        <v/>
      </c>
      <c r="I19" s="349"/>
      <c r="J19" s="352">
        <f>IF(calculos_quadro!$B$315=0,"—",calculos_quadro!$O$43)</f>
        <v>0</v>
      </c>
      <c r="K19" s="351"/>
      <c r="L19" s="351"/>
      <c r="M19" s="354" t="str">
        <f>IF(calculos_quadro!$B$315=0,"—",calculos_quadro!$O$44)</f>
        <v/>
      </c>
      <c r="N19" s="353"/>
      <c r="O19" s="356">
        <f>IF(calculos_quadro!$B$315=0,"—",calculos_quadro!$O$45)</f>
        <v>0</v>
      </c>
      <c r="P19" s="355"/>
      <c r="Q19" s="355"/>
      <c r="R19" s="356" t="str">
        <f>IF(calculos_quadro!$B$315=0,"—",calculos_quadro!$O$46)</f>
        <v/>
      </c>
      <c r="S19" s="355"/>
      <c r="T19" s="358" t="str">
        <f>IF(calculos_quadro!$B$315=0,"—",calculos_quadro!$O$47)</f>
        <v/>
      </c>
      <c r="U19" s="357"/>
      <c r="V19" s="357"/>
      <c r="W19" s="360" t="str">
        <f>IF(calculos_quadro!$B$315=0,"—",calculos_quadro!$O$49)</f>
        <v/>
      </c>
      <c r="X19" s="359"/>
      <c r="Y19" s="362" t="str">
        <f>IF(calculos_quadro!$B$315=0,"—",calculos_quadro!$O$50)</f>
        <v/>
      </c>
      <c r="Z19" s="363"/>
    </row>
    <row r="20" ht="16" customHeight="1">
      <c r="B20" s="495"/>
      <c r="C20" s="250"/>
      <c r="D20" s="348" t="inlineStr">
        <is>
          <t xml:space="preserve">Linhas NF</t>
        </is>
      </c>
      <c r="E20" s="347"/>
      <c r="F20" s="347"/>
      <c r="G20" s="347"/>
      <c r="H20" s="350" t="str">
        <f>IF(calculos_quadro!$B$316=0,"—",calculos_quadro!$P$48)</f>
        <v/>
      </c>
      <c r="I20" s="349"/>
      <c r="J20" s="352">
        <f>IF(calculos_quadro!$B$316=0,"—",calculos_quadro!$P$43)</f>
        <v>0</v>
      </c>
      <c r="K20" s="351"/>
      <c r="L20" s="351"/>
      <c r="M20" s="354" t="str">
        <f>IF(calculos_quadro!$B$316=0,"—",calculos_quadro!$P$44)</f>
        <v/>
      </c>
      <c r="N20" s="353"/>
      <c r="O20" s="356">
        <f>IF(calculos_quadro!$B$316=0,"—",calculos_quadro!$P$45)</f>
        <v>0</v>
      </c>
      <c r="P20" s="355"/>
      <c r="Q20" s="355"/>
      <c r="R20" s="356" t="str">
        <f>IF(calculos_quadro!$B$316=0,"—",calculos_quadro!$P$46)</f>
        <v/>
      </c>
      <c r="S20" s="355"/>
      <c r="T20" s="358" t="str">
        <f>IF(calculos_quadro!$B$316=0,"—",calculos_quadro!$P$47)</f>
        <v/>
      </c>
      <c r="U20" s="357"/>
      <c r="V20" s="357"/>
      <c r="W20" s="360" t="str">
        <f>IF(calculos_quadro!$B$316=0,"—",calculos_quadro!$P$49)</f>
        <v/>
      </c>
      <c r="X20" s="359"/>
      <c r="Y20" s="362" t="str">
        <f>IF(calculos_quadro!$B$316=0,"—",calculos_quadro!$P$50)</f>
        <v/>
      </c>
      <c r="Z20" s="363"/>
    </row>
    <row r="21" ht="16" customHeight="1">
      <c r="B21" s="495"/>
      <c r="C21" s="250"/>
      <c r="D21" s="348" t="inlineStr">
        <is>
          <t xml:space="preserve">Caixas Expedidas</t>
        </is>
      </c>
      <c r="E21" s="347"/>
      <c r="F21" s="347"/>
      <c r="G21" s="347"/>
      <c r="H21" s="350" t="str">
        <f>IF(calculos_quadro!$B$317=0,"—",calculos_quadro!$Q$48)</f>
        <v/>
      </c>
      <c r="I21" s="349"/>
      <c r="J21" s="352">
        <f>IF(calculos_quadro!$B$317=0,"—",calculos_quadro!$Q$43)</f>
        <v>0</v>
      </c>
      <c r="K21" s="351"/>
      <c r="L21" s="351"/>
      <c r="M21" s="354" t="str">
        <f>IF(calculos_quadro!$B$317=0,"—",calculos_quadro!$Q$44)</f>
        <v/>
      </c>
      <c r="N21" s="353"/>
      <c r="O21" s="356">
        <f>IF(calculos_quadro!$B$317=0,"—",calculos_quadro!$Q$45)</f>
        <v>0</v>
      </c>
      <c r="P21" s="355"/>
      <c r="Q21" s="355"/>
      <c r="R21" s="356" t="str">
        <f>IF(calculos_quadro!$B$317=0,"—",calculos_quadro!$Q$46)</f>
        <v/>
      </c>
      <c r="S21" s="355"/>
      <c r="T21" s="358" t="str">
        <f>IF(calculos_quadro!$B$317=0,"—",calculos_quadro!$Q$47)</f>
        <v/>
      </c>
      <c r="U21" s="357"/>
      <c r="V21" s="357"/>
      <c r="W21" s="360" t="str">
        <f>IF(calculos_quadro!$B$317=0,"—",calculos_quadro!$Q$49)</f>
        <v/>
      </c>
      <c r="X21" s="359"/>
      <c r="Y21" s="362" t="str">
        <f>IF(calculos_quadro!$B$317=0,"—",calculos_quadro!$Q$50)</f>
        <v/>
      </c>
      <c r="Z21" s="363"/>
    </row>
    <row r="22" ht="16" customHeight="1">
      <c r="B22" s="495"/>
      <c r="C22" s="250"/>
      <c r="D22" s="348" t="inlineStr">
        <is>
          <t xml:space="preserve">Pallets Movimentados</t>
        </is>
      </c>
      <c r="E22" s="347"/>
      <c r="F22" s="347"/>
      <c r="G22" s="347"/>
      <c r="H22" s="350" t="str">
        <f>IF(calculos_quadro!$B$318=0,"—",calculos_quadro!$R$48)</f>
        <v/>
      </c>
      <c r="I22" s="349"/>
      <c r="J22" s="352">
        <f>IF(calculos_quadro!$B$318=0,"—",calculos_quadro!$R$43)</f>
        <v>0</v>
      </c>
      <c r="K22" s="351"/>
      <c r="L22" s="351"/>
      <c r="M22" s="354" t="str">
        <f>IF(calculos_quadro!$B$318=0,"—",calculos_quadro!$R$44)</f>
        <v/>
      </c>
      <c r="N22" s="353"/>
      <c r="O22" s="356">
        <f>IF(calculos_quadro!$B$318=0,"—",calculos_quadro!$R$45)</f>
        <v>0</v>
      </c>
      <c r="P22" s="355"/>
      <c r="Q22" s="355"/>
      <c r="R22" s="356" t="str">
        <f>IF(calculos_quadro!$B$318=0,"—",calculos_quadro!$R$46)</f>
        <v/>
      </c>
      <c r="S22" s="355"/>
      <c r="T22" s="358" t="str">
        <f>IF(calculos_quadro!$B$318=0,"—",calculos_quadro!$R$47)</f>
        <v/>
      </c>
      <c r="U22" s="357"/>
      <c r="V22" s="357"/>
      <c r="W22" s="360" t="str">
        <f>IF(calculos_quadro!$B$318=0,"—",calculos_quadro!$R$49)</f>
        <v/>
      </c>
      <c r="X22" s="359"/>
      <c r="Y22" s="362" t="str">
        <f>IF(calculos_quadro!$B$318=0,"—",calculos_quadro!$R$50)</f>
        <v/>
      </c>
      <c r="Z22" s="363"/>
    </row>
    <row r="23" ht="16" customHeight="1">
      <c r="B23" s="496"/>
      <c r="C23" s="175"/>
      <c r="D23" s="365" t="inlineStr">
        <is>
          <t xml:space="preserve">Toneladas Movimentadas</t>
        </is>
      </c>
      <c r="E23" s="364"/>
      <c r="F23" s="364"/>
      <c r="G23" s="364"/>
      <c r="H23" s="367" t="str">
        <f>IF(calculos_quadro!$B$319=0,"—",calculos_quadro!$S$48)</f>
        <v/>
      </c>
      <c r="I23" s="366"/>
      <c r="J23" s="369">
        <f>IF(calculos_quadro!$B$319=0,"—",calculos_quadro!$S$43)</f>
        <v>0</v>
      </c>
      <c r="K23" s="368"/>
      <c r="L23" s="368"/>
      <c r="M23" s="371" t="str">
        <f>IF(calculos_quadro!$B$319=0,"—",calculos_quadro!$S$44)</f>
        <v/>
      </c>
      <c r="N23" s="370"/>
      <c r="O23" s="371">
        <f>IF(calculos_quadro!$B$319=0,"—",calculos_quadro!$S$45)</f>
        <v>0</v>
      </c>
      <c r="P23" s="370"/>
      <c r="Q23" s="370"/>
      <c r="R23" s="371" t="str">
        <f>IF(calculos_quadro!$B$319=0,"—",calculos_quadro!$S$46)</f>
        <v/>
      </c>
      <c r="S23" s="370"/>
      <c r="T23" s="373" t="str">
        <f>IF(calculos_quadro!$B$319=0,"—",calculos_quadro!$S$47)</f>
        <v/>
      </c>
      <c r="U23" s="372"/>
      <c r="V23" s="372"/>
      <c r="W23" s="375" t="str">
        <f>IF(calculos_quadro!$B$319=0,"—",calculos_quadro!$S$49)</f>
        <v/>
      </c>
      <c r="X23" s="374"/>
      <c r="Y23" s="377" t="str">
        <f>IF(calculos_quadro!$B$319=0,"—",calculos_quadro!$S$50)</f>
        <v/>
      </c>
      <c r="Z23" s="378"/>
    </row>
    <row r="24" ht="16" customHeight="1">
      <c r="B24" s="497" t="inlineStr">
        <is>
          <t xml:space="preserve">NC</t>
        </is>
      </c>
      <c r="C24" s="181"/>
      <c r="D24" s="380" t="inlineStr">
        <is>
          <t xml:space="preserve">Incidentes</t>
        </is>
      </c>
      <c r="E24" s="379"/>
      <c r="F24" s="379"/>
      <c r="G24" s="379"/>
      <c r="H24" s="382" t="str">
        <f>IF(calculos_quadro!$B$320=0,"—",calculos_quadro!$T$48)</f>
        <v/>
      </c>
      <c r="I24" s="381"/>
      <c r="J24" s="384">
        <f>IF(calculos_quadro!$B$320=0,"—",calculos_quadro!$T$43)</f>
        <v>0</v>
      </c>
      <c r="K24" s="383"/>
      <c r="L24" s="383"/>
      <c r="M24" s="386" t="str">
        <f>IF(calculos_quadro!$B$320=0,"—",calculos_quadro!$T$44)</f>
        <v/>
      </c>
      <c r="N24" s="385"/>
      <c r="O24" s="388">
        <f>IF(calculos_quadro!$B$320=0,"—",calculos_quadro!$T$45)</f>
        <v>0</v>
      </c>
      <c r="P24" s="387"/>
      <c r="Q24" s="387"/>
      <c r="R24" s="388" t="str">
        <f>IF(calculos_quadro!$B$320=0,"—",calculos_quadro!$T$46)</f>
        <v/>
      </c>
      <c r="S24" s="387"/>
      <c r="T24" s="390" t="str">
        <f>IF(calculos_quadro!$B$320=0,"—",calculos_quadro!$T$47)</f>
        <v/>
      </c>
      <c r="U24" s="389"/>
      <c r="V24" s="389"/>
      <c r="W24" s="392" t="str">
        <f>IF(calculos_quadro!$B$320=0,"—",calculos_quadro!$T$49)</f>
        <v/>
      </c>
      <c r="X24" s="391"/>
      <c r="Y24" s="394" t="str">
        <f>IF(calculos_quadro!$B$320=0,"—",calculos_quadro!$T$50)</f>
        <v/>
      </c>
      <c r="Z24" s="395"/>
    </row>
    <row r="25" ht="16" customHeight="1">
      <c r="B25" s="498"/>
      <c r="C25" s="188"/>
      <c r="D25" s="397" t="inlineStr">
        <is>
          <t xml:space="preserve">No show</t>
        </is>
      </c>
      <c r="E25" s="396"/>
      <c r="F25" s="396"/>
      <c r="G25" s="396"/>
      <c r="H25" s="399" t="str">
        <f>IF(calculos_quadro!$B$321=0,"—",calculos_quadro!$U$48)</f>
        <v/>
      </c>
      <c r="I25" s="398"/>
      <c r="J25" s="401">
        <f>IF(calculos_quadro!$B$321=0,"—",calculos_quadro!$U$43)</f>
        <v>0</v>
      </c>
      <c r="K25" s="400"/>
      <c r="L25" s="400"/>
      <c r="M25" s="403" t="str">
        <f>IF(calculos_quadro!$B$321=0,"—",calculos_quadro!$U$44)</f>
        <v/>
      </c>
      <c r="N25" s="402"/>
      <c r="O25" s="405">
        <f>IF(calculos_quadro!$B$321=0,"—",calculos_quadro!$U$45)</f>
        <v>0</v>
      </c>
      <c r="P25" s="404"/>
      <c r="Q25" s="404"/>
      <c r="R25" s="405" t="str">
        <f>IF(calculos_quadro!$B$321=0,"—",calculos_quadro!$U$46)</f>
        <v/>
      </c>
      <c r="S25" s="404"/>
      <c r="T25" s="407" t="str">
        <f>IF(calculos_quadro!$B$321=0,"—",calculos_quadro!$U$47)</f>
        <v/>
      </c>
      <c r="U25" s="406"/>
      <c r="V25" s="406"/>
      <c r="W25" s="409" t="str">
        <f>IF(calculos_quadro!$B$321=0,"—",calculos_quadro!$U$49)</f>
        <v/>
      </c>
      <c r="X25" s="408"/>
      <c r="Y25" s="411" t="str">
        <f>IF(calculos_quadro!$B$321=0,"—",calculos_quadro!$U$50)</f>
        <v/>
      </c>
      <c r="Z25" s="412"/>
    </row>
    <row r="26" ht="16" customHeight="1">
      <c r="B26" s="499"/>
      <c r="C26" s="195"/>
      <c r="D26" s="414" t="inlineStr">
        <is>
          <t xml:space="preserve">Backlog</t>
        </is>
      </c>
      <c r="E26" s="413"/>
      <c r="F26" s="413"/>
      <c r="G26" s="413"/>
      <c r="H26" s="416" t="str">
        <f>IF(calculos_quadro!$B$322=0,"—",calculos_quadro!$V$48)</f>
        <v/>
      </c>
      <c r="I26" s="415"/>
      <c r="J26" s="418" t="str">
        <f>IF(calculos_quadro!$B$322=0,"—",calculos_quadro!$V$43)</f>
        <v/>
      </c>
      <c r="K26" s="417"/>
      <c r="L26" s="417"/>
      <c r="M26" s="420" t="str">
        <f>IF(calculos_quadro!$B$322=0,"—",calculos_quadro!$V$44)</f>
        <v/>
      </c>
      <c r="N26" s="419"/>
      <c r="O26" s="422" t="str">
        <f>IF(calculos_quadro!$B$322=0,"—",calculos_quadro!$V$45)</f>
        <v/>
      </c>
      <c r="P26" s="421"/>
      <c r="Q26" s="421"/>
      <c r="R26" s="422" t="str">
        <f>IF(calculos_quadro!$B$322=0,"—",calculos_quadro!$V$46)</f>
        <v/>
      </c>
      <c r="S26" s="421"/>
      <c r="T26" s="424" t="str">
        <f>IF(calculos_quadro!$B$322=0,"—",calculos_quadro!$V$47)</f>
        <v/>
      </c>
      <c r="U26" s="423"/>
      <c r="V26" s="423"/>
      <c r="W26" s="426" t="str">
        <f>IF(calculos_quadro!$B$322=0,"—",calculos_quadro!$V$49)</f>
        <v/>
      </c>
      <c r="X26" s="425"/>
      <c r="Y26" s="428" t="str">
        <f>IF(calculos_quadro!$B$322=0,"—",calculos_quadro!$V$50)</f>
        <v/>
      </c>
      <c r="Z26" s="429"/>
    </row>
    <row r="27" ht="16" customHeight="1">
      <c r="B27" s="491" t="inlineStr">
        <is>
          <t xml:space="preserve">OCUPAÇÃO (P.P)</t>
        </is>
      </c>
      <c r="C27" s="155"/>
      <c r="D27" s="278" t="inlineStr">
        <is>
          <t xml:space="preserve">Posições Disponíveis</t>
        </is>
      </c>
      <c r="E27" s="277"/>
      <c r="F27" s="277"/>
      <c r="G27" s="277"/>
      <c r="H27" s="280" t="str">
        <f>IF(calculos_quadro!$B$323=0,"—",calculos_quadro!$W$48)</f>
        <v/>
      </c>
      <c r="I27" s="279"/>
      <c r="J27" s="431" t="str">
        <f>IF(calculos_quadro!$B$323=0,"—",calculos_quadro!$W$43)</f>
        <v/>
      </c>
      <c r="K27" s="430"/>
      <c r="L27" s="430"/>
      <c r="M27" s="284"/>
      <c r="N27" s="283"/>
      <c r="O27" s="433" t="str">
        <f>IF(calculos_quadro!$B$323=0,"—",calculos_quadro!$W$45)</f>
        <v/>
      </c>
      <c r="P27" s="432"/>
      <c r="Q27" s="432"/>
      <c r="R27" s="433" t="str">
        <f>IF(calculos_quadro!$B$323=0,"—",calculos_quadro!$W$46)</f>
        <v/>
      </c>
      <c r="S27" s="432"/>
      <c r="T27" s="288" t="str">
        <f>IF(calculos_quadro!$B$323=0,"—",calculos_quadro!$W$47)</f>
        <v/>
      </c>
      <c r="U27" s="287"/>
      <c r="V27" s="287"/>
      <c r="W27" s="290" t="str">
        <f>IF(calculos_quadro!$B$323=0,"—",calculos_quadro!$W$49)</f>
        <v/>
      </c>
      <c r="X27" s="289"/>
      <c r="Y27" s="292" t="str">
        <f>IF(calculos_quadro!$B$323=0,"—",calculos_quadro!$W$50)</f>
        <v/>
      </c>
      <c r="Z27" s="293"/>
    </row>
    <row r="28" ht="16" customHeight="1">
      <c r="B28" s="492"/>
      <c r="C28" s="201"/>
      <c r="D28" s="295" t="inlineStr">
        <is>
          <t xml:space="preserve">Posições Ocupadas</t>
        </is>
      </c>
      <c r="E28" s="294"/>
      <c r="F28" s="294"/>
      <c r="G28" s="294"/>
      <c r="H28" s="297" t="str">
        <f>IF(calculos_quadro!$B$324=0,"—",calculos_quadro!$X$48)</f>
        <v/>
      </c>
      <c r="I28" s="296"/>
      <c r="J28" s="299" t="str">
        <f>IF(calculos_quadro!$B$324=0,"—",calculos_quadro!$X$43)</f>
        <v/>
      </c>
      <c r="K28" s="298"/>
      <c r="L28" s="298"/>
      <c r="M28" s="301" t="str">
        <f>IF(calculos_quadro!$B$324=0,"—",calculos_quadro!$X$44)</f>
        <v/>
      </c>
      <c r="N28" s="300"/>
      <c r="O28" s="303" t="str">
        <f>IF(calculos_quadro!$B$324=0,"—",calculos_quadro!$X$45)</f>
        <v/>
      </c>
      <c r="P28" s="302"/>
      <c r="Q28" s="302"/>
      <c r="R28" s="303" t="str">
        <f>IF(calculos_quadro!$B$324=0,"—",calculos_quadro!$X$46)</f>
        <v/>
      </c>
      <c r="S28" s="302"/>
      <c r="T28" s="305" t="str">
        <f>IF(calculos_quadro!$B$324=0,"—",calculos_quadro!$X$47)</f>
        <v/>
      </c>
      <c r="U28" s="304"/>
      <c r="V28" s="304"/>
      <c r="W28" s="307" t="str">
        <f>IF(calculos_quadro!$B$324=0,"—",calculos_quadro!$X$49)</f>
        <v/>
      </c>
      <c r="X28" s="306"/>
      <c r="Y28" s="309" t="str">
        <f>IF(calculos_quadro!$B$324=0,"—",calculos_quadro!$X$50)</f>
        <v/>
      </c>
      <c r="Z28" s="310"/>
    </row>
    <row r="29" ht="16" customHeight="1">
      <c r="B29" s="493"/>
      <c r="C29" s="162"/>
      <c r="D29" s="314" t="inlineStr">
        <is>
          <t xml:space="preserve">Taxa de Ocupação</t>
        </is>
      </c>
      <c r="E29" s="313"/>
      <c r="F29" s="313"/>
      <c r="G29" s="313"/>
      <c r="H29" s="435" t="str">
        <f>IF(calculos_quadro!$B$325=0,"—",calculos_quadro!$Y$48)</f>
        <v/>
      </c>
      <c r="I29" s="434"/>
      <c r="J29" s="437" t="str">
        <f>IF(calculos_quadro!$B$325=0,"—",calculos_quadro!$Y$43)</f>
        <v/>
      </c>
      <c r="K29" s="436"/>
      <c r="L29" s="436"/>
      <c r="M29" s="439" t="str">
        <f>IF(calculos_quadro!$B$325=0,"—",calculos_quadro!$Y$44)</f>
        <v/>
      </c>
      <c r="N29" s="438"/>
      <c r="O29" s="439" t="str">
        <f>IF(calculos_quadro!$B$325=0,"—",calculos_quadro!$Y$45)</f>
        <v/>
      </c>
      <c r="P29" s="438"/>
      <c r="Q29" s="438"/>
      <c r="R29" s="439" t="str">
        <f>IF(calculos_quadro!$B$325=0,"—",calculos_quadro!$Y$46)</f>
        <v/>
      </c>
      <c r="S29" s="438"/>
      <c r="T29" s="324" t="str">
        <f>IF(calculos_quadro!$B$325=0,"—",calculos_quadro!$Y$47)</f>
        <v/>
      </c>
      <c r="U29" s="323"/>
      <c r="V29" s="323"/>
      <c r="W29" s="326" t="str">
        <f>IF(calculos_quadro!$B$325=0,"—",calculos_quadro!$Y$49)</f>
        <v/>
      </c>
      <c r="X29" s="325"/>
      <c r="Y29" s="328" t="str">
        <f>IF(calculos_quadro!$B$325=0,"—",calculos_quadro!$Y$50)</f>
        <v/>
      </c>
      <c r="Z29" s="329"/>
    </row>
    <row r="30" ht="16" customHeight="1">
      <c r="B30" s="500" t="inlineStr">
        <is>
          <t xml:space="preserve">GENTE</t>
        </is>
      </c>
      <c r="C30" s="212"/>
      <c r="D30" s="441" t="inlineStr">
        <is>
          <t xml:space="preserve">Efetivo Op.</t>
        </is>
      </c>
      <c r="E30" s="440"/>
      <c r="F30" s="440"/>
      <c r="G30" s="440"/>
      <c r="H30" s="443" t="str">
        <f>IF(calculos_quadro!$B$326=0,"—",calculos_quadro!$Z$48)</f>
        <v/>
      </c>
      <c r="I30" s="442"/>
      <c r="J30" s="445" t="str">
        <f>IF(calculos_quadro!$B$326=0,"—",calculos_quadro!$Z$43)</f>
        <v/>
      </c>
      <c r="K30" s="444"/>
      <c r="L30" s="444"/>
      <c r="M30" s="447" t="str">
        <f>IF(calculos_quadro!$B$326=0,"—",calculos_quadro!$Z$44)</f>
        <v/>
      </c>
      <c r="N30" s="446"/>
      <c r="O30" s="449" t="str">
        <f>IF(calculos_quadro!$B$326=0,"—",calculos_quadro!$Z$45)</f>
        <v/>
      </c>
      <c r="P30" s="448"/>
      <c r="Q30" s="448"/>
      <c r="R30" s="449" t="str">
        <f>IF(calculos_quadro!$B$326=0,"—",calculos_quadro!$Z$46)</f>
        <v/>
      </c>
      <c r="S30" s="448"/>
      <c r="T30" s="451" t="str">
        <f>IF(calculos_quadro!$B$326=0,"—",calculos_quadro!$Z$47)</f>
        <v/>
      </c>
      <c r="U30" s="450"/>
      <c r="V30" s="450"/>
      <c r="W30" s="453" t="str">
        <f>IF(calculos_quadro!$B$326=0,"—",calculos_quadro!$Z$49)</f>
        <v/>
      </c>
      <c r="X30" s="452"/>
      <c r="Y30" s="455" t="str">
        <f>IF(calculos_quadro!$B$326=0,"—",calculos_quadro!$Z$50)</f>
        <v/>
      </c>
      <c r="Z30" s="456"/>
    </row>
    <row r="31" ht="16" customHeight="1">
      <c r="B31" s="501"/>
      <c r="C31" s="219"/>
      <c r="D31" s="458" t="inlineStr">
        <is>
          <t xml:space="preserve">Falta</t>
        </is>
      </c>
      <c r="E31" s="457"/>
      <c r="F31" s="457"/>
      <c r="G31" s="457"/>
      <c r="H31" s="460" t="str">
        <f>IF(calculos_quadro!$B$327=0,"—",calculos_quadro!$AA$48)</f>
        <v/>
      </c>
      <c r="I31" s="459"/>
      <c r="J31" s="462">
        <f>IF(calculos_quadro!$B$327=0,"—",calculos_quadro!$AA$43)</f>
        <v>0</v>
      </c>
      <c r="K31" s="461"/>
      <c r="L31" s="461"/>
      <c r="M31" s="464" t="str">
        <f>IF(calculos_quadro!$B$327=0,"—",calculos_quadro!$AA$44)</f>
        <v/>
      </c>
      <c r="N31" s="463"/>
      <c r="O31" s="466">
        <f>IF(calculos_quadro!$B$327=0,"—",calculos_quadro!$AA$45)</f>
        <v>0</v>
      </c>
      <c r="P31" s="465"/>
      <c r="Q31" s="465"/>
      <c r="R31" s="466" t="str">
        <f>IF(calculos_quadro!$B$327=0,"—",calculos_quadro!$AA$46)</f>
        <v/>
      </c>
      <c r="S31" s="465"/>
      <c r="T31" s="468" t="str">
        <f>IF(calculos_quadro!$B$327=0,"—",calculos_quadro!$AA$47)</f>
        <v/>
      </c>
      <c r="U31" s="467"/>
      <c r="V31" s="467"/>
      <c r="W31" s="470" t="str">
        <f>IF(calculos_quadro!$B$327=0,"—",calculos_quadro!$AA$49)</f>
        <v/>
      </c>
      <c r="X31" s="469"/>
      <c r="Y31" s="472" t="str">
        <f>IF(calculos_quadro!$B$327=0,"—",calculos_quadro!$AA$50)</f>
        <v/>
      </c>
      <c r="Z31" s="473"/>
    </row>
    <row r="32" ht="16" customHeight="1">
      <c r="B32" s="501"/>
      <c r="C32" s="219"/>
      <c r="D32" s="458" t="inlineStr">
        <is>
          <t xml:space="preserve">Folga</t>
        </is>
      </c>
      <c r="E32" s="457"/>
      <c r="F32" s="457"/>
      <c r="G32" s="457"/>
      <c r="H32" s="460" t="str">
        <f>IF(calculos_quadro!$B$328=0,"—",calculos_quadro!$AB$48)</f>
        <v/>
      </c>
      <c r="I32" s="459"/>
      <c r="J32" s="462">
        <f>IF(calculos_quadro!$B$328=0,"—",calculos_quadro!$AB$43)</f>
        <v>0</v>
      </c>
      <c r="K32" s="461"/>
      <c r="L32" s="461"/>
      <c r="M32" s="464" t="str">
        <f>IF(calculos_quadro!$B$328=0,"—",calculos_quadro!$AB$44)</f>
        <v/>
      </c>
      <c r="N32" s="463"/>
      <c r="O32" s="466">
        <f>IF(calculos_quadro!$B$328=0,"—",calculos_quadro!$AB$45)</f>
        <v>0</v>
      </c>
      <c r="P32" s="465"/>
      <c r="Q32" s="465"/>
      <c r="R32" s="466" t="str">
        <f>IF(calculos_quadro!$B$328=0,"—",calculos_quadro!$AB$46)</f>
        <v/>
      </c>
      <c r="S32" s="465"/>
      <c r="T32" s="468" t="str">
        <f>IF(calculos_quadro!$B$328=0,"—",calculos_quadro!$AB$47)</f>
        <v/>
      </c>
      <c r="U32" s="467"/>
      <c r="V32" s="467"/>
      <c r="W32" s="470" t="str">
        <f>IF(calculos_quadro!$B$328=0,"—",calculos_quadro!$AB$49)</f>
        <v/>
      </c>
      <c r="X32" s="469"/>
      <c r="Y32" s="472" t="str">
        <f>IF(calculos_quadro!$B$328=0,"—",calculos_quadro!$AB$50)</f>
        <v/>
      </c>
      <c r="Z32" s="473"/>
    </row>
    <row r="33" ht="16" customHeight="1">
      <c r="B33" s="501"/>
      <c r="C33" s="219"/>
      <c r="D33" s="458" t="inlineStr">
        <is>
          <t xml:space="preserve">Férias</t>
        </is>
      </c>
      <c r="E33" s="457"/>
      <c r="F33" s="457"/>
      <c r="G33" s="457"/>
      <c r="H33" s="460" t="str">
        <f>IF(calculos_quadro!$B$329=0,"—",calculos_quadro!$AC$48)</f>
        <v/>
      </c>
      <c r="I33" s="459"/>
      <c r="J33" s="462">
        <f>IF(calculos_quadro!$B$329=0,"—",calculos_quadro!$AC$43)</f>
        <v>0</v>
      </c>
      <c r="K33" s="461"/>
      <c r="L33" s="461"/>
      <c r="M33" s="464" t="str">
        <f>IF(calculos_quadro!$B$329=0,"—",calculos_quadro!$AC$44)</f>
        <v/>
      </c>
      <c r="N33" s="463"/>
      <c r="O33" s="466">
        <f>IF(calculos_quadro!$B$329=0,"—",calculos_quadro!$AC$45)</f>
        <v>0</v>
      </c>
      <c r="P33" s="465"/>
      <c r="Q33" s="465"/>
      <c r="R33" s="466" t="str">
        <f>IF(calculos_quadro!$B$329=0,"—",calculos_quadro!$AC$46)</f>
        <v/>
      </c>
      <c r="S33" s="465"/>
      <c r="T33" s="468" t="str">
        <f>IF(calculos_quadro!$B$329=0,"—",calculos_quadro!$AC$47)</f>
        <v/>
      </c>
      <c r="U33" s="467"/>
      <c r="V33" s="467"/>
      <c r="W33" s="470" t="str">
        <f>IF(calculos_quadro!$B$329=0,"—",calculos_quadro!$AC$49)</f>
        <v/>
      </c>
      <c r="X33" s="469"/>
      <c r="Y33" s="472" t="str">
        <f>IF(calculos_quadro!$B$329=0,"—",calculos_quadro!$AC$50)</f>
        <v/>
      </c>
      <c r="Z33" s="473"/>
    </row>
    <row r="34" ht="16" customHeight="1">
      <c r="B34" s="501"/>
      <c r="C34" s="219"/>
      <c r="D34" s="458" t="inlineStr">
        <is>
          <t xml:space="preserve">Desligamento</t>
        </is>
      </c>
      <c r="E34" s="457"/>
      <c r="F34" s="457"/>
      <c r="G34" s="457"/>
      <c r="H34" s="460" t="str">
        <f>IF(calculos_quadro!$B$330=0,"—",calculos_quadro!$AD$48)</f>
        <v/>
      </c>
      <c r="I34" s="459"/>
      <c r="J34" s="462">
        <f>IF(calculos_quadro!$B$330=0,"—",calculos_quadro!$AD$43)</f>
        <v>0</v>
      </c>
      <c r="K34" s="461"/>
      <c r="L34" s="461"/>
      <c r="M34" s="464" t="str">
        <f>IF(calculos_quadro!$B$330=0,"—",calculos_quadro!$AD$44)</f>
        <v/>
      </c>
      <c r="N34" s="463"/>
      <c r="O34" s="466">
        <f>IF(calculos_quadro!$B$330=0,"—",calculos_quadro!$AD$45)</f>
        <v>0</v>
      </c>
      <c r="P34" s="465"/>
      <c r="Q34" s="465"/>
      <c r="R34" s="466" t="str">
        <f>IF(calculos_quadro!$B$330=0,"—",calculos_quadro!$AD$46)</f>
        <v/>
      </c>
      <c r="S34" s="465"/>
      <c r="T34" s="468" t="str">
        <f>IF(calculos_quadro!$B$330=0,"—",calculos_quadro!$AD$47)</f>
        <v/>
      </c>
      <c r="U34" s="467"/>
      <c r="V34" s="467"/>
      <c r="W34" s="470" t="str">
        <f>IF(calculos_quadro!$B$330=0,"—",calculos_quadro!$AD$49)</f>
        <v/>
      </c>
      <c r="X34" s="469"/>
      <c r="Y34" s="472" t="str">
        <f>IF(calculos_quadro!$B$330=0,"—",calculos_quadro!$AD$50)</f>
        <v/>
      </c>
      <c r="Z34" s="473"/>
    </row>
    <row r="35" ht="16" customHeight="1">
      <c r="B35" s="501"/>
      <c r="C35" s="219"/>
      <c r="D35" s="458" t="inlineStr">
        <is>
          <t xml:space="preserve">Desvios Comportamentais</t>
        </is>
      </c>
      <c r="E35" s="457"/>
      <c r="F35" s="457"/>
      <c r="G35" s="457"/>
      <c r="H35" s="460" t="str">
        <f>IF(calculos_quadro!$B$331=0,"—",calculos_quadro!$AE$48)</f>
        <v/>
      </c>
      <c r="I35" s="459"/>
      <c r="J35" s="462">
        <f>IF(calculos_quadro!$B$331=0,"—",calculos_quadro!$AE$43)</f>
        <v>0</v>
      </c>
      <c r="K35" s="461"/>
      <c r="L35" s="461"/>
      <c r="M35" s="464" t="str">
        <f>IF(calculos_quadro!$B$331=0,"—",calculos_quadro!$AE$44)</f>
        <v/>
      </c>
      <c r="N35" s="463"/>
      <c r="O35" s="466">
        <f>IF(calculos_quadro!$B$331=0,"—",calculos_quadro!$AE$45)</f>
        <v>0</v>
      </c>
      <c r="P35" s="465"/>
      <c r="Q35" s="465"/>
      <c r="R35" s="466" t="str">
        <f>IF(calculos_quadro!$B$331=0,"—",calculos_quadro!$AE$46)</f>
        <v/>
      </c>
      <c r="S35" s="465"/>
      <c r="T35" s="468" t="str">
        <f>IF(calculos_quadro!$B$331=0,"—",calculos_quadro!$AE$47)</f>
        <v/>
      </c>
      <c r="U35" s="467"/>
      <c r="V35" s="467"/>
      <c r="W35" s="470" t="str">
        <f>IF(calculos_quadro!$B$331=0,"—",calculos_quadro!$AE$49)</f>
        <v/>
      </c>
      <c r="X35" s="469"/>
      <c r="Y35" s="472" t="str">
        <f>IF(calculos_quadro!$B$331=0,"—",calculos_quadro!$AE$50)</f>
        <v/>
      </c>
      <c r="Z35" s="473"/>
    </row>
    <row r="36" ht="16" customHeight="1">
      <c r="B36" s="501"/>
      <c r="C36" s="219"/>
      <c r="D36" s="458" t="inlineStr">
        <is>
          <t xml:space="preserve">Acidentes CAF</t>
        </is>
      </c>
      <c r="E36" s="457"/>
      <c r="F36" s="457"/>
      <c r="G36" s="457"/>
      <c r="H36" s="460" t="str">
        <f>IF(calculos_quadro!$B$332=0,"—",calculos_quadro!$AF$48)</f>
        <v/>
      </c>
      <c r="I36" s="459"/>
      <c r="J36" s="462">
        <f>IF(calculos_quadro!$B$332=0,"—",calculos_quadro!$AF$43)</f>
        <v>0</v>
      </c>
      <c r="K36" s="461"/>
      <c r="L36" s="461"/>
      <c r="M36" s="464" t="str">
        <f>IF(calculos_quadro!$B$332=0,"—",calculos_quadro!$AF$44)</f>
        <v/>
      </c>
      <c r="N36" s="463"/>
      <c r="O36" s="466">
        <f>IF(calculos_quadro!$B$332=0,"—",calculos_quadro!$AF$45)</f>
        <v>0</v>
      </c>
      <c r="P36" s="465"/>
      <c r="Q36" s="465"/>
      <c r="R36" s="466" t="str">
        <f>IF(calculos_quadro!$B$332=0,"—",calculos_quadro!$AF$46)</f>
        <v/>
      </c>
      <c r="S36" s="465"/>
      <c r="T36" s="468" t="str">
        <f>IF(calculos_quadro!$B$332=0,"—",calculos_quadro!$AF$47)</f>
        <v/>
      </c>
      <c r="U36" s="467"/>
      <c r="V36" s="467"/>
      <c r="W36" s="470" t="str">
        <f>IF(calculos_quadro!$B$332=0,"—",calculos_quadro!$AF$49)</f>
        <v/>
      </c>
      <c r="X36" s="469"/>
      <c r="Y36" s="472" t="str">
        <f>IF(calculos_quadro!$B$332=0,"—",calculos_quadro!$AF$50)</f>
        <v/>
      </c>
      <c r="Z36" s="473"/>
    </row>
    <row r="37" ht="16" customHeight="1">
      <c r="B37" s="502"/>
      <c r="C37" s="226"/>
      <c r="D37" s="475" t="inlineStr">
        <is>
          <t xml:space="preserve">Acidentes SAF</t>
        </is>
      </c>
      <c r="E37" s="474"/>
      <c r="F37" s="474"/>
      <c r="G37" s="474"/>
      <c r="H37" s="477" t="str">
        <f>IF(calculos_quadro!$B$333=0,"—",calculos_quadro!$AG$48)</f>
        <v/>
      </c>
      <c r="I37" s="476"/>
      <c r="J37" s="479">
        <f>IF(calculos_quadro!$B$333=0,"—",calculos_quadro!$AG$43)</f>
        <v>0</v>
      </c>
      <c r="K37" s="478"/>
      <c r="L37" s="478"/>
      <c r="M37" s="481" t="str">
        <f>IF(calculos_quadro!$B$333=0,"—",calculos_quadro!$AG$44)</f>
        <v/>
      </c>
      <c r="N37" s="480"/>
      <c r="O37" s="483">
        <f>IF(calculos_quadro!$B$333=0,"—",calculos_quadro!$AG$45)</f>
        <v>0</v>
      </c>
      <c r="P37" s="482"/>
      <c r="Q37" s="482"/>
      <c r="R37" s="483" t="str">
        <f>IF(calculos_quadro!$B$333=0,"—",calculos_quadro!$AG$46)</f>
        <v/>
      </c>
      <c r="S37" s="482"/>
      <c r="T37" s="485" t="str">
        <f>IF(calculos_quadro!$B$333=0,"—",calculos_quadro!$AG$47)</f>
        <v/>
      </c>
      <c r="U37" s="484"/>
      <c r="V37" s="484"/>
      <c r="W37" s="487" t="str">
        <f>IF(calculos_quadro!$B$333=0,"—",calculos_quadro!$AG$49)</f>
        <v/>
      </c>
      <c r="X37" s="486"/>
      <c r="Y37" s="489" t="str">
        <f>IF(calculos_quadro!$B$333=0,"—",calculos_quadro!$AG$50)</f>
        <v/>
      </c>
      <c r="Z37" s="490"/>
    </row>
    <row r="38">
      <c r="B38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0" ht="20" customHeight="1">
      <c r="B40" s="270" t="inlineStr">
        <is>
          <t xml:space="preserve">RESUMO POR CLIENTE · mês inteiro · segue o filtro desta aba</t>
        </is>
      </c>
      <c r="C40" s="270"/>
      <c r="D40" s="270"/>
      <c r="E40" s="270"/>
      <c r="F40" s="270"/>
      <c r="G40" s="270"/>
      <c r="H40" s="270"/>
      <c r="I40" s="270"/>
      <c r="J40" s="270"/>
      <c r="K40" s="270"/>
      <c r="L40" s="270"/>
      <c r="M40" s="270"/>
      <c r="N40" s="270"/>
      <c r="O40" s="270"/>
      <c r="P40" s="270"/>
      <c r="Q40" s="270"/>
      <c r="R40" s="270"/>
      <c r="S40" s="270"/>
      <c r="T40" s="270"/>
      <c r="U40" s="270"/>
      <c r="V40" s="270"/>
      <c r="W40" s="270"/>
      <c r="X40" s="270"/>
      <c r="Y40" s="270"/>
      <c r="Z40" s="270"/>
    </row>
    <row r="41" ht="30" customHeight="1">
      <c r="B41" s="503" t="inlineStr">
        <is>
          <t xml:space="preserve">GRUPO</t>
        </is>
      </c>
      <c r="C41" s="504"/>
      <c r="D41" s="503" t="inlineStr">
        <is>
          <t xml:space="preserve">INDICADOR</t>
        </is>
      </c>
      <c r="E41" s="505"/>
      <c r="F41" s="505"/>
      <c r="G41" s="504"/>
      <c r="H41" s="506" t="str">
        <f>calculos_quadro!$G$280&amp;""</f>
        <v>Alpargatas</v>
      </c>
      <c r="I41" s="506" t="str">
        <f>calculos_quadro!$G$281&amp;""</f>
        <v>Basf</v>
      </c>
      <c r="J41" s="507" t="str">
        <f>calculos_quadro!$G$282&amp;""</f>
        <v>Beautybiz</v>
      </c>
      <c r="K41" s="508"/>
      <c r="L41" s="506" t="str">
        <f>calculos_quadro!$G$283&amp;""</f>
        <v>Boticário</v>
      </c>
      <c r="M41" s="506" t="str">
        <f>calculos_quadro!$G$284&amp;""</f>
        <v>Confiance</v>
      </c>
      <c r="N41" s="506" t="str">
        <f>calculos_quadro!$G$285&amp;""</f>
        <v>GE Vernova</v>
      </c>
      <c r="O41" s="507" t="str">
        <f>calculos_quadro!$G$286&amp;""</f>
        <v>Omnilife</v>
      </c>
      <c r="P41" s="508"/>
      <c r="Q41" s="506" t="str">
        <f>calculos_quadro!$G$287&amp;""</f>
        <v>Supply</v>
      </c>
      <c r="R41" s="506" t="str">
        <f>calculos_quadro!$G$288&amp;""</f>
        <v>Vedacit</v>
      </c>
      <c r="S41" s="506" t="str">
        <f>calculos_quadro!$G$289&amp;""</f>
        <v>Vestas</v>
      </c>
      <c r="T41" s="507" t="str">
        <f>calculos_quadro!$G$290&amp;""</f>
        <v/>
      </c>
      <c r="U41" s="508"/>
      <c r="V41" s="506" t="str">
        <f>calculos_quadro!$G$291&amp;""</f>
        <v/>
      </c>
      <c r="W41" s="506" t="str">
        <f>calculos_quadro!$G$292&amp;""</f>
        <v/>
      </c>
      <c r="X41" s="506" t="str">
        <f>calculos_quadro!$G$293&amp;""</f>
        <v/>
      </c>
      <c r="Y41" s="506" t="str">
        <f>calculos_quadro!$G$294&amp;""</f>
        <v/>
      </c>
      <c r="Z41" s="506" t="str">
        <f>calculos_quadro!$G$295&amp;""</f>
        <v/>
      </c>
    </row>
    <row r="42" ht="15.75" customHeight="1">
      <c r="B42" s="491" t="inlineStr">
        <is>
          <t xml:space="preserve">IN</t>
        </is>
      </c>
      <c r="C42" s="155"/>
      <c r="D42" s="278" t="inlineStr">
        <is>
          <t xml:space="preserve">Veículos Recebidos</t>
        </is>
      </c>
      <c r="E42" s="277"/>
      <c r="F42" s="277"/>
      <c r="G42" s="277"/>
      <c r="H42" s="286">
        <f>IF(calculos_quadro!$G$280="","",IFERROR(INDEX(calculos_quadro!$B$101:$U$101,MATCH(calculos_quadro!$G$280,calculos_quadro!$B$100:$U$100,0)),""))</f>
        <v>0</v>
      </c>
      <c r="I42" s="286">
        <f>IF(calculos_quadro!$G$281="","",IFERROR(INDEX(calculos_quadro!$B$101:$U$101,MATCH(calculos_quadro!$G$281,calculos_quadro!$B$100:$U$100,0)),""))</f>
        <v>0</v>
      </c>
      <c r="J42" s="286">
        <f>IF(calculos_quadro!$G$282="","",IFERROR(INDEX(calculos_quadro!$B$101:$U$101,MATCH(calculos_quadro!$G$282,calculos_quadro!$B$100:$U$100,0)),""))</f>
        <v>0</v>
      </c>
      <c r="K42" s="285"/>
      <c r="L42" s="286">
        <f>IF(calculos_quadro!$G$283="","",IFERROR(INDEX(calculos_quadro!$B$101:$U$101,MATCH(calculos_quadro!$G$283,calculos_quadro!$B$100:$U$100,0)),""))</f>
        <v>0</v>
      </c>
      <c r="M42" s="286">
        <f>IF(calculos_quadro!$G$284="","",IFERROR(INDEX(calculos_quadro!$B$101:$U$101,MATCH(calculos_quadro!$G$284,calculos_quadro!$B$100:$U$100,0)),""))</f>
        <v>0</v>
      </c>
      <c r="N42" s="286">
        <f>IF(calculos_quadro!$G$285="","",IFERROR(INDEX(calculos_quadro!$B$101:$U$101,MATCH(calculos_quadro!$G$285,calculos_quadro!$B$100:$U$100,0)),""))</f>
        <v>0</v>
      </c>
      <c r="O42" s="286">
        <f>IF(calculos_quadro!$G$286="","",IFERROR(INDEX(calculos_quadro!$B$101:$U$101,MATCH(calculos_quadro!$G$286,calculos_quadro!$B$100:$U$100,0)),""))</f>
        <v>0</v>
      </c>
      <c r="P42" s="285"/>
      <c r="Q42" s="286">
        <f>IF(calculos_quadro!$G$287="","",IFERROR(INDEX(calculos_quadro!$B$101:$U$101,MATCH(calculos_quadro!$G$287,calculos_quadro!$B$100:$U$100,0)),""))</f>
        <v>0</v>
      </c>
      <c r="R42" s="286">
        <f>IF(calculos_quadro!$G$288="","",IFERROR(INDEX(calculos_quadro!$B$101:$U$101,MATCH(calculos_quadro!$G$288,calculos_quadro!$B$100:$U$100,0)),""))</f>
        <v>0</v>
      </c>
      <c r="S42" s="286">
        <f>IF(calculos_quadro!$G$289="","",IFERROR(INDEX(calculos_quadro!$B$101:$U$101,MATCH(calculos_quadro!$G$289,calculos_quadro!$B$100:$U$100,0)),""))</f>
        <v>0</v>
      </c>
      <c r="T42" s="286" t="str">
        <f>IF(calculos_quadro!$G$290="","",IFERROR(INDEX(calculos_quadro!$B$101:$U$101,MATCH(calculos_quadro!$G$290,calculos_quadro!$B$100:$U$100,0)),""))</f>
        <v/>
      </c>
      <c r="U42" s="285"/>
      <c r="V42" s="286" t="str">
        <f>IF(calculos_quadro!$G$291="","",IFERROR(INDEX(calculos_quadro!$B$101:$U$101,MATCH(calculos_quadro!$G$291,calculos_quadro!$B$100:$U$100,0)),""))</f>
        <v/>
      </c>
      <c r="W42" s="286" t="str">
        <f>IF(calculos_quadro!$G$292="","",IFERROR(INDEX(calculos_quadro!$B$101:$U$101,MATCH(calculos_quadro!$G$292,calculos_quadro!$B$100:$U$100,0)),""))</f>
        <v/>
      </c>
      <c r="X42" s="286" t="str">
        <f>IF(calculos_quadro!$G$293="","",IFERROR(INDEX(calculos_quadro!$B$101:$U$101,MATCH(calculos_quadro!$G$293,calculos_quadro!$B$100:$U$100,0)),""))</f>
        <v/>
      </c>
      <c r="Y42" s="286" t="str">
        <f>IF(calculos_quadro!$G$294="","",IFERROR(INDEX(calculos_quadro!$B$101:$U$101,MATCH(calculos_quadro!$G$294,calculos_quadro!$B$100:$U$100,0)),""))</f>
        <v/>
      </c>
      <c r="Z42" s="286" t="str">
        <f>IF(calculos_quadro!$G$295="","",IFERROR(INDEX(calculos_quadro!$B$101:$U$101,MATCH(calculos_quadro!$G$295,calculos_quadro!$B$100:$U$100,0)),""))</f>
        <v/>
      </c>
    </row>
    <row r="43" ht="15.75" customHeight="1">
      <c r="B43" s="492"/>
      <c r="C43" s="201"/>
      <c r="D43" s="295" t="inlineStr">
        <is>
          <t xml:space="preserve">Pallets Movimentados</t>
        </is>
      </c>
      <c r="E43" s="294"/>
      <c r="F43" s="294"/>
      <c r="G43" s="294"/>
      <c r="H43" s="303" t="str">
        <f>IF(calculos_quadro!$G$280="","",IFERROR(INDEX(calculos_quadro!$B$102:$U$102,MATCH(calculos_quadro!$G$280,calculos_quadro!$B$100:$U$100,0)),""))</f>
        <v>—</v>
      </c>
      <c r="I43" s="303">
        <f>IF(calculos_quadro!$G$281="","",IFERROR(INDEX(calculos_quadro!$B$102:$U$102,MATCH(calculos_quadro!$G$281,calculos_quadro!$B$100:$U$100,0)),""))</f>
        <v>0</v>
      </c>
      <c r="J43" s="303">
        <f>IF(calculos_quadro!$G$282="","",IFERROR(INDEX(calculos_quadro!$B$102:$U$102,MATCH(calculos_quadro!$G$282,calculos_quadro!$B$100:$U$100,0)),""))</f>
        <v>0</v>
      </c>
      <c r="K43" s="302"/>
      <c r="L43" s="303">
        <f>IF(calculos_quadro!$G$283="","",IFERROR(INDEX(calculos_quadro!$B$102:$U$102,MATCH(calculos_quadro!$G$283,calculos_quadro!$B$100:$U$100,0)),""))</f>
        <v>0</v>
      </c>
      <c r="M43" s="303">
        <f>IF(calculos_quadro!$G$284="","",IFERROR(INDEX(calculos_quadro!$B$102:$U$102,MATCH(calculos_quadro!$G$284,calculos_quadro!$B$100:$U$100,0)),""))</f>
        <v>0</v>
      </c>
      <c r="N43" s="303">
        <f>IF(calculos_quadro!$G$285="","",IFERROR(INDEX(calculos_quadro!$B$102:$U$102,MATCH(calculos_quadro!$G$285,calculos_quadro!$B$100:$U$100,0)),""))</f>
        <v>0</v>
      </c>
      <c r="O43" s="303">
        <f>IF(calculos_quadro!$G$286="","",IFERROR(INDEX(calculos_quadro!$B$102:$U$102,MATCH(calculos_quadro!$G$286,calculos_quadro!$B$100:$U$100,0)),""))</f>
        <v>0</v>
      </c>
      <c r="P43" s="302"/>
      <c r="Q43" s="303">
        <f>IF(calculos_quadro!$G$287="","",IFERROR(INDEX(calculos_quadro!$B$102:$U$102,MATCH(calculos_quadro!$G$287,calculos_quadro!$B$100:$U$100,0)),""))</f>
        <v>0</v>
      </c>
      <c r="R43" s="303">
        <f>IF(calculos_quadro!$G$288="","",IFERROR(INDEX(calculos_quadro!$B$102:$U$102,MATCH(calculos_quadro!$G$288,calculos_quadro!$B$100:$U$100,0)),""))</f>
        <v>0</v>
      </c>
      <c r="S43" s="303" t="str">
        <f>IF(calculos_quadro!$G$289="","",IFERROR(INDEX(calculos_quadro!$B$102:$U$102,MATCH(calculos_quadro!$G$289,calculos_quadro!$B$100:$U$100,0)),""))</f>
        <v>—</v>
      </c>
      <c r="T43" s="303" t="str">
        <f>IF(calculos_quadro!$G$290="","",IFERROR(INDEX(calculos_quadro!$B$102:$U$102,MATCH(calculos_quadro!$G$290,calculos_quadro!$B$100:$U$100,0)),""))</f>
        <v/>
      </c>
      <c r="U43" s="302"/>
      <c r="V43" s="303" t="str">
        <f>IF(calculos_quadro!$G$291="","",IFERROR(INDEX(calculos_quadro!$B$102:$U$102,MATCH(calculos_quadro!$G$291,calculos_quadro!$B$100:$U$100,0)),""))</f>
        <v/>
      </c>
      <c r="W43" s="303" t="str">
        <f>IF(calculos_quadro!$G$292="","",IFERROR(INDEX(calculos_quadro!$B$102:$U$102,MATCH(calculos_quadro!$G$292,calculos_quadro!$B$100:$U$100,0)),""))</f>
        <v/>
      </c>
      <c r="X43" s="303" t="str">
        <f>IF(calculos_quadro!$G$293="","",IFERROR(INDEX(calculos_quadro!$B$102:$U$102,MATCH(calculos_quadro!$G$293,calculos_quadro!$B$100:$U$100,0)),""))</f>
        <v/>
      </c>
      <c r="Y43" s="303" t="str">
        <f>IF(calculos_quadro!$G$294="","",IFERROR(INDEX(calculos_quadro!$B$102:$U$102,MATCH(calculos_quadro!$G$294,calculos_quadro!$B$100:$U$100,0)),""))</f>
        <v/>
      </c>
      <c r="Z43" s="303" t="str">
        <f>IF(calculos_quadro!$G$295="","",IFERROR(INDEX(calculos_quadro!$B$102:$U$102,MATCH(calculos_quadro!$G$295,calculos_quadro!$B$100:$U$100,0)),""))</f>
        <v/>
      </c>
    </row>
    <row r="44" ht="15.75" customHeight="1">
      <c r="B44" s="492"/>
      <c r="C44" s="201"/>
      <c r="D44" s="295" t="inlineStr">
        <is>
          <t xml:space="preserve">Toneladas Movimentadas</t>
        </is>
      </c>
      <c r="E44" s="294"/>
      <c r="F44" s="294"/>
      <c r="G44" s="294"/>
      <c r="H44" s="301" t="str">
        <f>IF(calculos_quadro!$G$280="","",IFERROR(INDEX(calculos_quadro!$B$103:$U$103,MATCH(calculos_quadro!$G$280,calculos_quadro!$B$100:$U$100,0)),""))</f>
        <v>—</v>
      </c>
      <c r="I44" s="301">
        <f>IF(calculos_quadro!$G$281="","",IFERROR(INDEX(calculos_quadro!$B$103:$U$103,MATCH(calculos_quadro!$G$281,calculos_quadro!$B$100:$U$100,0)),""))</f>
        <v>0</v>
      </c>
      <c r="J44" s="301" t="str">
        <f>IF(calculos_quadro!$G$282="","",IFERROR(INDEX(calculos_quadro!$B$103:$U$103,MATCH(calculos_quadro!$G$282,calculos_quadro!$B$100:$U$100,0)),""))</f>
        <v>—</v>
      </c>
      <c r="K44" s="300"/>
      <c r="L44" s="301" t="str">
        <f>IF(calculos_quadro!$G$283="","",IFERROR(INDEX(calculos_quadro!$B$103:$U$103,MATCH(calculos_quadro!$G$283,calculos_quadro!$B$100:$U$100,0)),""))</f>
        <v>—</v>
      </c>
      <c r="M44" s="301">
        <f>IF(calculos_quadro!$G$284="","",IFERROR(INDEX(calculos_quadro!$B$103:$U$103,MATCH(calculos_quadro!$G$284,calculos_quadro!$B$100:$U$100,0)),""))</f>
        <v>0</v>
      </c>
      <c r="N44" s="301" t="str">
        <f>IF(calculos_quadro!$G$285="","",IFERROR(INDEX(calculos_quadro!$B$103:$U$103,MATCH(calculos_quadro!$G$285,calculos_quadro!$B$100:$U$100,0)),""))</f>
        <v>—</v>
      </c>
      <c r="O44" s="301" t="str">
        <f>IF(calculos_quadro!$G$286="","",IFERROR(INDEX(calculos_quadro!$B$103:$U$103,MATCH(calculos_quadro!$G$286,calculos_quadro!$B$100:$U$100,0)),""))</f>
        <v>—</v>
      </c>
      <c r="P44" s="300"/>
      <c r="Q44" s="301">
        <f>IF(calculos_quadro!$G$287="","",IFERROR(INDEX(calculos_quadro!$B$103:$U$103,MATCH(calculos_quadro!$G$287,calculos_quadro!$B$100:$U$100,0)),""))</f>
        <v>0</v>
      </c>
      <c r="R44" s="301" t="str">
        <f>IF(calculos_quadro!$G$288="","",IFERROR(INDEX(calculos_quadro!$B$103:$U$103,MATCH(calculos_quadro!$G$288,calculos_quadro!$B$100:$U$100,0)),""))</f>
        <v>—</v>
      </c>
      <c r="S44" s="301" t="str">
        <f>IF(calculos_quadro!$G$289="","",IFERROR(INDEX(calculos_quadro!$B$103:$U$103,MATCH(calculos_quadro!$G$289,calculos_quadro!$B$100:$U$100,0)),""))</f>
        <v>—</v>
      </c>
      <c r="T44" s="301" t="str">
        <f>IF(calculos_quadro!$G$290="","",IFERROR(INDEX(calculos_quadro!$B$103:$U$103,MATCH(calculos_quadro!$G$290,calculos_quadro!$B$100:$U$100,0)),""))</f>
        <v/>
      </c>
      <c r="U44" s="300"/>
      <c r="V44" s="301" t="str">
        <f>IF(calculos_quadro!$G$291="","",IFERROR(INDEX(calculos_quadro!$B$103:$U$103,MATCH(calculos_quadro!$G$291,calculos_quadro!$B$100:$U$100,0)),""))</f>
        <v/>
      </c>
      <c r="W44" s="301" t="str">
        <f>IF(calculos_quadro!$G$292="","",IFERROR(INDEX(calculos_quadro!$B$103:$U$103,MATCH(calculos_quadro!$G$292,calculos_quadro!$B$100:$U$100,0)),""))</f>
        <v/>
      </c>
      <c r="X44" s="301" t="str">
        <f>IF(calculos_quadro!$G$293="","",IFERROR(INDEX(calculos_quadro!$B$103:$U$103,MATCH(calculos_quadro!$G$293,calculos_quadro!$B$100:$U$100,0)),""))</f>
        <v/>
      </c>
      <c r="Y44" s="301" t="str">
        <f>IF(calculos_quadro!$G$294="","",IFERROR(INDEX(calculos_quadro!$B$103:$U$103,MATCH(calculos_quadro!$G$294,calculos_quadro!$B$100:$U$100,0)),""))</f>
        <v/>
      </c>
      <c r="Z44" s="301" t="str">
        <f>IF(calculos_quadro!$G$295="","",IFERROR(INDEX(calculos_quadro!$B$103:$U$103,MATCH(calculos_quadro!$G$295,calculos_quadro!$B$100:$U$100,0)),""))</f>
        <v/>
      </c>
    </row>
    <row r="45" ht="15.75" customHeight="1">
      <c r="B45" s="492"/>
      <c r="C45" s="201"/>
      <c r="D45" s="295" t="inlineStr">
        <is>
          <t xml:space="preserve">Linhas NF</t>
        </is>
      </c>
      <c r="E45" s="294"/>
      <c r="F45" s="294"/>
      <c r="G45" s="294"/>
      <c r="H45" s="303" t="str">
        <f>IF(calculos_quadro!$G$280="","",IFERROR(INDEX(calculos_quadro!$B$104:$U$104,MATCH(calculos_quadro!$G$280,calculos_quadro!$B$100:$U$100,0)),""))</f>
        <v>—</v>
      </c>
      <c r="I45" s="303" t="str">
        <f>IF(calculos_quadro!$G$281="","",IFERROR(INDEX(calculos_quadro!$B$104:$U$104,MATCH(calculos_quadro!$G$281,calculos_quadro!$B$100:$U$100,0)),""))</f>
        <v>—</v>
      </c>
      <c r="J45" s="303" t="str">
        <f>IF(calculos_quadro!$G$282="","",IFERROR(INDEX(calculos_quadro!$B$104:$U$104,MATCH(calculos_quadro!$G$282,calculos_quadro!$B$100:$U$100,0)),""))</f>
        <v>—</v>
      </c>
      <c r="K45" s="302"/>
      <c r="L45" s="303" t="str">
        <f>IF(calculos_quadro!$G$283="","",IFERROR(INDEX(calculos_quadro!$B$104:$U$104,MATCH(calculos_quadro!$G$283,calculos_quadro!$B$100:$U$100,0)),""))</f>
        <v>—</v>
      </c>
      <c r="M45" s="303" t="str">
        <f>IF(calculos_quadro!$G$284="","",IFERROR(INDEX(calculos_quadro!$B$104:$U$104,MATCH(calculos_quadro!$G$284,calculos_quadro!$B$100:$U$100,0)),""))</f>
        <v>—</v>
      </c>
      <c r="N45" s="303">
        <f>IF(calculos_quadro!$G$285="","",IFERROR(INDEX(calculos_quadro!$B$104:$U$104,MATCH(calculos_quadro!$G$285,calculos_quadro!$B$100:$U$100,0)),""))</f>
        <v>0</v>
      </c>
      <c r="O45" s="303" t="str">
        <f>IF(calculos_quadro!$G$286="","",IFERROR(INDEX(calculos_quadro!$B$104:$U$104,MATCH(calculos_quadro!$G$286,calculos_quadro!$B$100:$U$100,0)),""))</f>
        <v>—</v>
      </c>
      <c r="P45" s="302"/>
      <c r="Q45" s="303" t="str">
        <f>IF(calculos_quadro!$G$287="","",IFERROR(INDEX(calculos_quadro!$B$104:$U$104,MATCH(calculos_quadro!$G$287,calculos_quadro!$B$100:$U$100,0)),""))</f>
        <v>—</v>
      </c>
      <c r="R45" s="303" t="str">
        <f>IF(calculos_quadro!$G$288="","",IFERROR(INDEX(calculos_quadro!$B$104:$U$104,MATCH(calculos_quadro!$G$288,calculos_quadro!$B$100:$U$100,0)),""))</f>
        <v>—</v>
      </c>
      <c r="S45" s="303">
        <f>IF(calculos_quadro!$G$289="","",IFERROR(INDEX(calculos_quadro!$B$104:$U$104,MATCH(calculos_quadro!$G$289,calculos_quadro!$B$100:$U$100,0)),""))</f>
        <v>0</v>
      </c>
      <c r="T45" s="303" t="str">
        <f>IF(calculos_quadro!$G$290="","",IFERROR(INDEX(calculos_quadro!$B$104:$U$104,MATCH(calculos_quadro!$G$290,calculos_quadro!$B$100:$U$100,0)),""))</f>
        <v/>
      </c>
      <c r="U45" s="302"/>
      <c r="V45" s="303" t="str">
        <f>IF(calculos_quadro!$G$291="","",IFERROR(INDEX(calculos_quadro!$B$104:$U$104,MATCH(calculos_quadro!$G$291,calculos_quadro!$B$100:$U$100,0)),""))</f>
        <v/>
      </c>
      <c r="W45" s="303" t="str">
        <f>IF(calculos_quadro!$G$292="","",IFERROR(INDEX(calculos_quadro!$B$104:$U$104,MATCH(calculos_quadro!$G$292,calculos_quadro!$B$100:$U$100,0)),""))</f>
        <v/>
      </c>
      <c r="X45" s="303" t="str">
        <f>IF(calculos_quadro!$G$293="","",IFERROR(INDEX(calculos_quadro!$B$104:$U$104,MATCH(calculos_quadro!$G$293,calculos_quadro!$B$100:$U$100,0)),""))</f>
        <v/>
      </c>
      <c r="Y45" s="303" t="str">
        <f>IF(calculos_quadro!$G$294="","",IFERROR(INDEX(calculos_quadro!$B$104:$U$104,MATCH(calculos_quadro!$G$294,calculos_quadro!$B$100:$U$100,0)),""))</f>
        <v/>
      </c>
      <c r="Z45" s="303" t="str">
        <f>IF(calculos_quadro!$G$295="","",IFERROR(INDEX(calculos_quadro!$B$104:$U$104,MATCH(calculos_quadro!$G$295,calculos_quadro!$B$100:$U$100,0)),""))</f>
        <v/>
      </c>
    </row>
    <row r="46" ht="15.75" customHeight="1">
      <c r="B46" s="492"/>
      <c r="C46" s="201"/>
      <c r="D46" s="295" t="inlineStr">
        <is>
          <t xml:space="preserve">Caixas Movimentadas</t>
        </is>
      </c>
      <c r="E46" s="294"/>
      <c r="F46" s="294"/>
      <c r="G46" s="294"/>
      <c r="H46" s="303">
        <f>IF(calculos_quadro!$G$280="","",IFERROR(INDEX(calculos_quadro!$B$105:$U$105,MATCH(calculos_quadro!$G$280,calculos_quadro!$B$100:$U$100,0)),""))</f>
        <v>0</v>
      </c>
      <c r="I46" s="303" t="str">
        <f>IF(calculos_quadro!$G$281="","",IFERROR(INDEX(calculos_quadro!$B$105:$U$105,MATCH(calculos_quadro!$G$281,calculos_quadro!$B$100:$U$100,0)),""))</f>
        <v>—</v>
      </c>
      <c r="J46" s="303">
        <f>IF(calculos_quadro!$G$282="","",IFERROR(INDEX(calculos_quadro!$B$105:$U$105,MATCH(calculos_quadro!$G$282,calculos_quadro!$B$100:$U$100,0)),""))</f>
        <v>0</v>
      </c>
      <c r="K46" s="302"/>
      <c r="L46" s="303">
        <f>IF(calculos_quadro!$G$283="","",IFERROR(INDEX(calculos_quadro!$B$105:$U$105,MATCH(calculos_quadro!$G$283,calculos_quadro!$B$100:$U$100,0)),""))</f>
        <v>0</v>
      </c>
      <c r="M46" s="303" t="str">
        <f>IF(calculos_quadro!$G$284="","",IFERROR(INDEX(calculos_quadro!$B$105:$U$105,MATCH(calculos_quadro!$G$284,calculos_quadro!$B$100:$U$100,0)),""))</f>
        <v>—</v>
      </c>
      <c r="N46" s="303" t="str">
        <f>IF(calculos_quadro!$G$285="","",IFERROR(INDEX(calculos_quadro!$B$105:$U$105,MATCH(calculos_quadro!$G$285,calculos_quadro!$B$100:$U$100,0)),""))</f>
        <v>—</v>
      </c>
      <c r="O46" s="303" t="str">
        <f>IF(calculos_quadro!$G$286="","",IFERROR(INDEX(calculos_quadro!$B$105:$U$105,MATCH(calculos_quadro!$G$286,calculos_quadro!$B$100:$U$100,0)),""))</f>
        <v>—</v>
      </c>
      <c r="P46" s="302"/>
      <c r="Q46" s="303" t="str">
        <f>IF(calculos_quadro!$G$287="","",IFERROR(INDEX(calculos_quadro!$B$105:$U$105,MATCH(calculos_quadro!$G$287,calculos_quadro!$B$100:$U$100,0)),""))</f>
        <v>—</v>
      </c>
      <c r="R46" s="303" t="str">
        <f>IF(calculos_quadro!$G$288="","",IFERROR(INDEX(calculos_quadro!$B$105:$U$105,MATCH(calculos_quadro!$G$288,calculos_quadro!$B$100:$U$100,0)),""))</f>
        <v>—</v>
      </c>
      <c r="S46" s="303" t="str">
        <f>IF(calculos_quadro!$G$289="","",IFERROR(INDEX(calculos_quadro!$B$105:$U$105,MATCH(calculos_quadro!$G$289,calculos_quadro!$B$100:$U$100,0)),""))</f>
        <v>—</v>
      </c>
      <c r="T46" s="303" t="str">
        <f>IF(calculos_quadro!$G$290="","",IFERROR(INDEX(calculos_quadro!$B$105:$U$105,MATCH(calculos_quadro!$G$290,calculos_quadro!$B$100:$U$100,0)),""))</f>
        <v/>
      </c>
      <c r="U46" s="302"/>
      <c r="V46" s="303" t="str">
        <f>IF(calculos_quadro!$G$291="","",IFERROR(INDEX(calculos_quadro!$B$105:$U$105,MATCH(calculos_quadro!$G$291,calculos_quadro!$B$100:$U$100,0)),""))</f>
        <v/>
      </c>
      <c r="W46" s="303" t="str">
        <f>IF(calculos_quadro!$G$292="","",IFERROR(INDEX(calculos_quadro!$B$105:$U$105,MATCH(calculos_quadro!$G$292,calculos_quadro!$B$100:$U$100,0)),""))</f>
        <v/>
      </c>
      <c r="X46" s="303" t="str">
        <f>IF(calculos_quadro!$G$293="","",IFERROR(INDEX(calculos_quadro!$B$105:$U$105,MATCH(calculos_quadro!$G$293,calculos_quadro!$B$100:$U$100,0)),""))</f>
        <v/>
      </c>
      <c r="Y46" s="303" t="str">
        <f>IF(calculos_quadro!$G$294="","",IFERROR(INDEX(calculos_quadro!$B$105:$U$105,MATCH(calculos_quadro!$G$294,calculos_quadro!$B$100:$U$100,0)),""))</f>
        <v/>
      </c>
      <c r="Z46" s="303" t="str">
        <f>IF(calculos_quadro!$G$295="","",IFERROR(INDEX(calculos_quadro!$B$105:$U$105,MATCH(calculos_quadro!$G$295,calculos_quadro!$B$100:$U$100,0)),""))</f>
        <v/>
      </c>
    </row>
    <row r="47" ht="15.75" customHeight="1">
      <c r="B47" s="492"/>
      <c r="C47" s="201"/>
      <c r="D47" s="295" t="inlineStr">
        <is>
          <t xml:space="preserve">Itens Recebidos</t>
        </is>
      </c>
      <c r="E47" s="294"/>
      <c r="F47" s="294"/>
      <c r="G47" s="294"/>
      <c r="H47" s="303" t="str">
        <f>IF(calculos_quadro!$G$280="","",IFERROR(INDEX(calculos_quadro!$B$106:$U$106,MATCH(calculos_quadro!$G$280,calculos_quadro!$B$100:$U$100,0)),""))</f>
        <v>—</v>
      </c>
      <c r="I47" s="303" t="str">
        <f>IF(calculos_quadro!$G$281="","",IFERROR(INDEX(calculos_quadro!$B$106:$U$106,MATCH(calculos_quadro!$G$281,calculos_quadro!$B$100:$U$100,0)),""))</f>
        <v>—</v>
      </c>
      <c r="J47" s="303" t="str">
        <f>IF(calculos_quadro!$G$282="","",IFERROR(INDEX(calculos_quadro!$B$106:$U$106,MATCH(calculos_quadro!$G$282,calculos_quadro!$B$100:$U$100,0)),""))</f>
        <v>—</v>
      </c>
      <c r="K47" s="302"/>
      <c r="L47" s="303" t="str">
        <f>IF(calculos_quadro!$G$283="","",IFERROR(INDEX(calculos_quadro!$B$106:$U$106,MATCH(calculos_quadro!$G$283,calculos_quadro!$B$100:$U$100,0)),""))</f>
        <v>—</v>
      </c>
      <c r="M47" s="303" t="str">
        <f>IF(calculos_quadro!$G$284="","",IFERROR(INDEX(calculos_quadro!$B$106:$U$106,MATCH(calculos_quadro!$G$284,calculos_quadro!$B$100:$U$100,0)),""))</f>
        <v>—</v>
      </c>
      <c r="N47" s="303" t="str">
        <f>IF(calculos_quadro!$G$285="","",IFERROR(INDEX(calculos_quadro!$B$106:$U$106,MATCH(calculos_quadro!$G$285,calculos_quadro!$B$100:$U$100,0)),""))</f>
        <v>—</v>
      </c>
      <c r="O47" s="303" t="str">
        <f>IF(calculos_quadro!$G$286="","",IFERROR(INDEX(calculos_quadro!$B$106:$U$106,MATCH(calculos_quadro!$G$286,calculos_quadro!$B$100:$U$100,0)),""))</f>
        <v>—</v>
      </c>
      <c r="P47" s="302"/>
      <c r="Q47" s="303" t="str">
        <f>IF(calculos_quadro!$G$287="","",IFERROR(INDEX(calculos_quadro!$B$106:$U$106,MATCH(calculos_quadro!$G$287,calculos_quadro!$B$100:$U$100,0)),""))</f>
        <v>—</v>
      </c>
      <c r="R47" s="303" t="str">
        <f>IF(calculos_quadro!$G$288="","",IFERROR(INDEX(calculos_quadro!$B$106:$U$106,MATCH(calculos_quadro!$G$288,calculos_quadro!$B$100:$U$100,0)),""))</f>
        <v>—</v>
      </c>
      <c r="S47" s="303" t="str">
        <f>IF(calculos_quadro!$G$289="","",IFERROR(INDEX(calculos_quadro!$B$106:$U$106,MATCH(calculos_quadro!$G$289,calculos_quadro!$B$100:$U$100,0)),""))</f>
        <v>—</v>
      </c>
      <c r="T47" s="303" t="str">
        <f>IF(calculos_quadro!$G$290="","",IFERROR(INDEX(calculos_quadro!$B$106:$U$106,MATCH(calculos_quadro!$G$290,calculos_quadro!$B$100:$U$100,0)),""))</f>
        <v/>
      </c>
      <c r="U47" s="302"/>
      <c r="V47" s="303" t="str">
        <f>IF(calculos_quadro!$G$291="","",IFERROR(INDEX(calculos_quadro!$B$106:$U$106,MATCH(calculos_quadro!$G$291,calculos_quadro!$B$100:$U$100,0)),""))</f>
        <v/>
      </c>
      <c r="W47" s="303" t="str">
        <f>IF(calculos_quadro!$G$292="","",IFERROR(INDEX(calculos_quadro!$B$106:$U$106,MATCH(calculos_quadro!$G$292,calculos_quadro!$B$100:$U$100,0)),""))</f>
        <v/>
      </c>
      <c r="X47" s="303" t="str">
        <f>IF(calculos_quadro!$G$293="","",IFERROR(INDEX(calculos_quadro!$B$106:$U$106,MATCH(calculos_quadro!$G$293,calculos_quadro!$B$100:$U$100,0)),""))</f>
        <v/>
      </c>
      <c r="Y47" s="303" t="str">
        <f>IF(calculos_quadro!$G$294="","",IFERROR(INDEX(calculos_quadro!$B$106:$U$106,MATCH(calculos_quadro!$G$294,calculos_quadro!$B$100:$U$100,0)),""))</f>
        <v/>
      </c>
      <c r="Z47" s="303" t="str">
        <f>IF(calculos_quadro!$G$295="","",IFERROR(INDEX(calculos_quadro!$B$106:$U$106,MATCH(calculos_quadro!$G$295,calculos_quadro!$B$100:$U$100,0)),""))</f>
        <v/>
      </c>
    </row>
    <row r="48" ht="15.75" customHeight="1">
      <c r="B48" s="492"/>
      <c r="C48" s="201"/>
      <c r="D48" s="295" t="inlineStr">
        <is>
          <t xml:space="preserve">Itens Recebidos CX Mista</t>
        </is>
      </c>
      <c r="E48" s="294"/>
      <c r="F48" s="294"/>
      <c r="G48" s="294"/>
      <c r="H48" s="303" t="str">
        <f>IF(calculos_quadro!$G$280="","",IFERROR(INDEX(calculos_quadro!$B$107:$U$107,MATCH(calculos_quadro!$G$280,calculos_quadro!$B$100:$U$100,0)),""))</f>
        <v>—</v>
      </c>
      <c r="I48" s="303" t="str">
        <f>IF(calculos_quadro!$G$281="","",IFERROR(INDEX(calculos_quadro!$B$107:$U$107,MATCH(calculos_quadro!$G$281,calculos_quadro!$B$100:$U$100,0)),""))</f>
        <v>—</v>
      </c>
      <c r="J48" s="303" t="str">
        <f>IF(calculos_quadro!$G$282="","",IFERROR(INDEX(calculos_quadro!$B$107:$U$107,MATCH(calculos_quadro!$G$282,calculos_quadro!$B$100:$U$100,0)),""))</f>
        <v>—</v>
      </c>
      <c r="K48" s="302"/>
      <c r="L48" s="303">
        <f>IF(calculos_quadro!$G$283="","",IFERROR(INDEX(calculos_quadro!$B$107:$U$107,MATCH(calculos_quadro!$G$283,calculos_quadro!$B$100:$U$100,0)),""))</f>
        <v>0</v>
      </c>
      <c r="M48" s="303" t="str">
        <f>IF(calculos_quadro!$G$284="","",IFERROR(INDEX(calculos_quadro!$B$107:$U$107,MATCH(calculos_quadro!$G$284,calculos_quadro!$B$100:$U$100,0)),""))</f>
        <v>—</v>
      </c>
      <c r="N48" s="303" t="str">
        <f>IF(calculos_quadro!$G$285="","",IFERROR(INDEX(calculos_quadro!$B$107:$U$107,MATCH(calculos_quadro!$G$285,calculos_quadro!$B$100:$U$100,0)),""))</f>
        <v>—</v>
      </c>
      <c r="O48" s="303" t="str">
        <f>IF(calculos_quadro!$G$286="","",IFERROR(INDEX(calculos_quadro!$B$107:$U$107,MATCH(calculos_quadro!$G$286,calculos_quadro!$B$100:$U$100,0)),""))</f>
        <v>—</v>
      </c>
      <c r="P48" s="302"/>
      <c r="Q48" s="303" t="str">
        <f>IF(calculos_quadro!$G$287="","",IFERROR(INDEX(calculos_quadro!$B$107:$U$107,MATCH(calculos_quadro!$G$287,calculos_quadro!$B$100:$U$100,0)),""))</f>
        <v>—</v>
      </c>
      <c r="R48" s="303" t="str">
        <f>IF(calculos_quadro!$G$288="","",IFERROR(INDEX(calculos_quadro!$B$107:$U$107,MATCH(calculos_quadro!$G$288,calculos_quadro!$B$100:$U$100,0)),""))</f>
        <v>—</v>
      </c>
      <c r="S48" s="303" t="str">
        <f>IF(calculos_quadro!$G$289="","",IFERROR(INDEX(calculos_quadro!$B$107:$U$107,MATCH(calculos_quadro!$G$289,calculos_quadro!$B$100:$U$100,0)),""))</f>
        <v>—</v>
      </c>
      <c r="T48" s="303" t="str">
        <f>IF(calculos_quadro!$G$290="","",IFERROR(INDEX(calculos_quadro!$B$107:$U$107,MATCH(calculos_quadro!$G$290,calculos_quadro!$B$100:$U$100,0)),""))</f>
        <v/>
      </c>
      <c r="U48" s="302"/>
      <c r="V48" s="303" t="str">
        <f>IF(calculos_quadro!$G$291="","",IFERROR(INDEX(calculos_quadro!$B$107:$U$107,MATCH(calculos_quadro!$G$291,calculos_quadro!$B$100:$U$100,0)),""))</f>
        <v/>
      </c>
      <c r="W48" s="303" t="str">
        <f>IF(calculos_quadro!$G$292="","",IFERROR(INDEX(calculos_quadro!$B$107:$U$107,MATCH(calculos_quadro!$G$292,calculos_quadro!$B$100:$U$100,0)),""))</f>
        <v/>
      </c>
      <c r="X48" s="303" t="str">
        <f>IF(calculos_quadro!$G$293="","",IFERROR(INDEX(calculos_quadro!$B$107:$U$107,MATCH(calculos_quadro!$G$293,calculos_quadro!$B$100:$U$100,0)),""))</f>
        <v/>
      </c>
      <c r="Y48" s="303" t="str">
        <f>IF(calculos_quadro!$G$294="","",IFERROR(INDEX(calculos_quadro!$B$107:$U$107,MATCH(calculos_quadro!$G$294,calculos_quadro!$B$100:$U$100,0)),""))</f>
        <v/>
      </c>
      <c r="Z48" s="303" t="str">
        <f>IF(calculos_quadro!$G$295="","",IFERROR(INDEX(calculos_quadro!$B$107:$U$107,MATCH(calculos_quadro!$G$295,calculos_quadro!$B$100:$U$100,0)),""))</f>
        <v/>
      </c>
    </row>
    <row r="49" ht="15.75" customHeight="1">
      <c r="B49" s="492"/>
      <c r="C49" s="201"/>
      <c r="D49" s="295" t="inlineStr">
        <is>
          <t xml:space="preserve">Caixas Fechadas</t>
        </is>
      </c>
      <c r="E49" s="294"/>
      <c r="F49" s="294"/>
      <c r="G49" s="294"/>
      <c r="H49" s="303" t="str">
        <f>IF(calculos_quadro!$G$280="","",IFERROR(INDEX(calculos_quadro!$B$108:$U$108,MATCH(calculos_quadro!$G$280,calculos_quadro!$B$100:$U$100,0)),""))</f>
        <v>—</v>
      </c>
      <c r="I49" s="303" t="str">
        <f>IF(calculos_quadro!$G$281="","",IFERROR(INDEX(calculos_quadro!$B$108:$U$108,MATCH(calculos_quadro!$G$281,calculos_quadro!$B$100:$U$100,0)),""))</f>
        <v>—</v>
      </c>
      <c r="J49" s="303" t="str">
        <f>IF(calculos_quadro!$G$282="","",IFERROR(INDEX(calculos_quadro!$B$108:$U$108,MATCH(calculos_quadro!$G$282,calculos_quadro!$B$100:$U$100,0)),""))</f>
        <v>—</v>
      </c>
      <c r="K49" s="302"/>
      <c r="L49" s="303">
        <f>IF(calculos_quadro!$G$283="","",IFERROR(INDEX(calculos_quadro!$B$108:$U$108,MATCH(calculos_quadro!$G$283,calculos_quadro!$B$100:$U$100,0)),""))</f>
        <v>0</v>
      </c>
      <c r="M49" s="303" t="str">
        <f>IF(calculos_quadro!$G$284="","",IFERROR(INDEX(calculos_quadro!$B$108:$U$108,MATCH(calculos_quadro!$G$284,calculos_quadro!$B$100:$U$100,0)),""))</f>
        <v>—</v>
      </c>
      <c r="N49" s="303" t="str">
        <f>IF(calculos_quadro!$G$285="","",IFERROR(INDEX(calculos_quadro!$B$108:$U$108,MATCH(calculos_quadro!$G$285,calculos_quadro!$B$100:$U$100,0)),""))</f>
        <v>—</v>
      </c>
      <c r="O49" s="303" t="str">
        <f>IF(calculos_quadro!$G$286="","",IFERROR(INDEX(calculos_quadro!$B$108:$U$108,MATCH(calculos_quadro!$G$286,calculos_quadro!$B$100:$U$100,0)),""))</f>
        <v>—</v>
      </c>
      <c r="P49" s="302"/>
      <c r="Q49" s="303" t="str">
        <f>IF(calculos_quadro!$G$287="","",IFERROR(INDEX(calculos_quadro!$B$108:$U$108,MATCH(calculos_quadro!$G$287,calculos_quadro!$B$100:$U$100,0)),""))</f>
        <v>—</v>
      </c>
      <c r="R49" s="303" t="str">
        <f>IF(calculos_quadro!$G$288="","",IFERROR(INDEX(calculos_quadro!$B$108:$U$108,MATCH(calculos_quadro!$G$288,calculos_quadro!$B$100:$U$100,0)),""))</f>
        <v>—</v>
      </c>
      <c r="S49" s="303" t="str">
        <f>IF(calculos_quadro!$G$289="","",IFERROR(INDEX(calculos_quadro!$B$108:$U$108,MATCH(calculos_quadro!$G$289,calculos_quadro!$B$100:$U$100,0)),""))</f>
        <v>—</v>
      </c>
      <c r="T49" s="303" t="str">
        <f>IF(calculos_quadro!$G$290="","",IFERROR(INDEX(calculos_quadro!$B$108:$U$108,MATCH(calculos_quadro!$G$290,calculos_quadro!$B$100:$U$100,0)),""))</f>
        <v/>
      </c>
      <c r="U49" s="302"/>
      <c r="V49" s="303" t="str">
        <f>IF(calculos_quadro!$G$291="","",IFERROR(INDEX(calculos_quadro!$B$108:$U$108,MATCH(calculos_quadro!$G$291,calculos_quadro!$B$100:$U$100,0)),""))</f>
        <v/>
      </c>
      <c r="W49" s="303" t="str">
        <f>IF(calculos_quadro!$G$292="","",IFERROR(INDEX(calculos_quadro!$B$108:$U$108,MATCH(calculos_quadro!$G$292,calculos_quadro!$B$100:$U$100,0)),""))</f>
        <v/>
      </c>
      <c r="X49" s="303" t="str">
        <f>IF(calculos_quadro!$G$293="","",IFERROR(INDEX(calculos_quadro!$B$108:$U$108,MATCH(calculos_quadro!$G$293,calculos_quadro!$B$100:$U$100,0)),""))</f>
        <v/>
      </c>
      <c r="Y49" s="303" t="str">
        <f>IF(calculos_quadro!$G$294="","",IFERROR(INDEX(calculos_quadro!$B$108:$U$108,MATCH(calculos_quadro!$G$294,calculos_quadro!$B$100:$U$100,0)),""))</f>
        <v/>
      </c>
      <c r="Z49" s="303" t="str">
        <f>IF(calculos_quadro!$G$295="","",IFERROR(INDEX(calculos_quadro!$B$108:$U$108,MATCH(calculos_quadro!$G$295,calculos_quadro!$B$100:$U$100,0)),""))</f>
        <v/>
      </c>
    </row>
    <row r="50" ht="15.75" customHeight="1">
      <c r="B50" s="493"/>
      <c r="C50" s="162"/>
      <c r="D50" s="314" t="inlineStr">
        <is>
          <t xml:space="preserve">Caixas Mistas Recebidas</t>
        </is>
      </c>
      <c r="E50" s="313"/>
      <c r="F50" s="313"/>
      <c r="G50" s="313"/>
      <c r="H50" s="322" t="str">
        <f>IF(calculos_quadro!$G$280="","",IFERROR(INDEX(calculos_quadro!$B$109:$U$109,MATCH(calculos_quadro!$G$280,calculos_quadro!$B$100:$U$100,0)),""))</f>
        <v>—</v>
      </c>
      <c r="I50" s="322" t="str">
        <f>IF(calculos_quadro!$G$281="","",IFERROR(INDEX(calculos_quadro!$B$109:$U$109,MATCH(calculos_quadro!$G$281,calculos_quadro!$B$100:$U$100,0)),""))</f>
        <v>—</v>
      </c>
      <c r="J50" s="322" t="str">
        <f>IF(calculos_quadro!$G$282="","",IFERROR(INDEX(calculos_quadro!$B$109:$U$109,MATCH(calculos_quadro!$G$282,calculos_quadro!$B$100:$U$100,0)),""))</f>
        <v>—</v>
      </c>
      <c r="K50" s="321"/>
      <c r="L50" s="322">
        <f>IF(calculos_quadro!$G$283="","",IFERROR(INDEX(calculos_quadro!$B$109:$U$109,MATCH(calculos_quadro!$G$283,calculos_quadro!$B$100:$U$100,0)),""))</f>
        <v>0</v>
      </c>
      <c r="M50" s="322" t="str">
        <f>IF(calculos_quadro!$G$284="","",IFERROR(INDEX(calculos_quadro!$B$109:$U$109,MATCH(calculos_quadro!$G$284,calculos_quadro!$B$100:$U$100,0)),""))</f>
        <v>—</v>
      </c>
      <c r="N50" s="322" t="str">
        <f>IF(calculos_quadro!$G$285="","",IFERROR(INDEX(calculos_quadro!$B$109:$U$109,MATCH(calculos_quadro!$G$285,calculos_quadro!$B$100:$U$100,0)),""))</f>
        <v>—</v>
      </c>
      <c r="O50" s="322" t="str">
        <f>IF(calculos_quadro!$G$286="","",IFERROR(INDEX(calculos_quadro!$B$109:$U$109,MATCH(calculos_quadro!$G$286,calculos_quadro!$B$100:$U$100,0)),""))</f>
        <v>—</v>
      </c>
      <c r="P50" s="321"/>
      <c r="Q50" s="322" t="str">
        <f>IF(calculos_quadro!$G$287="","",IFERROR(INDEX(calculos_quadro!$B$109:$U$109,MATCH(calculos_quadro!$G$287,calculos_quadro!$B$100:$U$100,0)),""))</f>
        <v>—</v>
      </c>
      <c r="R50" s="322" t="str">
        <f>IF(calculos_quadro!$G$288="","",IFERROR(INDEX(calculos_quadro!$B$109:$U$109,MATCH(calculos_quadro!$G$288,calculos_quadro!$B$100:$U$100,0)),""))</f>
        <v>—</v>
      </c>
      <c r="S50" s="322" t="str">
        <f>IF(calculos_quadro!$G$289="","",IFERROR(INDEX(calculos_quadro!$B$109:$U$109,MATCH(calculos_quadro!$G$289,calculos_quadro!$B$100:$U$100,0)),""))</f>
        <v>—</v>
      </c>
      <c r="T50" s="322" t="str">
        <f>IF(calculos_quadro!$G$290="","",IFERROR(INDEX(calculos_quadro!$B$109:$U$109,MATCH(calculos_quadro!$G$290,calculos_quadro!$B$100:$U$100,0)),""))</f>
        <v/>
      </c>
      <c r="U50" s="321"/>
      <c r="V50" s="322" t="str">
        <f>IF(calculos_quadro!$G$291="","",IFERROR(INDEX(calculos_quadro!$B$109:$U$109,MATCH(calculos_quadro!$G$291,calculos_quadro!$B$100:$U$100,0)),""))</f>
        <v/>
      </c>
      <c r="W50" s="322" t="str">
        <f>IF(calculos_quadro!$G$292="","",IFERROR(INDEX(calculos_quadro!$B$109:$U$109,MATCH(calculos_quadro!$G$292,calculos_quadro!$B$100:$U$100,0)),""))</f>
        <v/>
      </c>
      <c r="X50" s="322" t="str">
        <f>IF(calculos_quadro!$G$293="","",IFERROR(INDEX(calculos_quadro!$B$109:$U$109,MATCH(calculos_quadro!$G$293,calculos_quadro!$B$100:$U$100,0)),""))</f>
        <v/>
      </c>
      <c r="Y50" s="322" t="str">
        <f>IF(calculos_quadro!$G$294="","",IFERROR(INDEX(calculos_quadro!$B$109:$U$109,MATCH(calculos_quadro!$G$294,calculos_quadro!$B$100:$U$100,0)),""))</f>
        <v/>
      </c>
      <c r="Z50" s="322" t="str">
        <f>IF(calculos_quadro!$G$295="","",IFERROR(INDEX(calculos_quadro!$B$109:$U$109,MATCH(calculos_quadro!$G$295,calculos_quadro!$B$100:$U$100,0)),""))</f>
        <v/>
      </c>
    </row>
    <row r="51" ht="15.75" customHeight="1">
      <c r="B51" s="494" t="inlineStr">
        <is>
          <t xml:space="preserve">OUT</t>
        </is>
      </c>
      <c r="C51" s="168"/>
      <c r="D51" s="331" t="inlineStr">
        <is>
          <t xml:space="preserve">Veículos Expedidos</t>
        </is>
      </c>
      <c r="E51" s="330"/>
      <c r="F51" s="330"/>
      <c r="G51" s="330"/>
      <c r="H51" s="339">
        <f>IF(calculos_quadro!$G$280="","",IFERROR(INDEX(calculos_quadro!$B$110:$U$110,MATCH(calculos_quadro!$G$280,calculos_quadro!$B$100:$U$100,0)),""))</f>
        <v>0</v>
      </c>
      <c r="I51" s="339">
        <f>IF(calculos_quadro!$G$281="","",IFERROR(INDEX(calculos_quadro!$B$110:$U$110,MATCH(calculos_quadro!$G$281,calculos_quadro!$B$100:$U$100,0)),""))</f>
        <v>0</v>
      </c>
      <c r="J51" s="339">
        <f>IF(calculos_quadro!$G$282="","",IFERROR(INDEX(calculos_quadro!$B$110:$U$110,MATCH(calculos_quadro!$G$282,calculos_quadro!$B$100:$U$100,0)),""))</f>
        <v>0</v>
      </c>
      <c r="K51" s="338"/>
      <c r="L51" s="339">
        <f>IF(calculos_quadro!$G$283="","",IFERROR(INDEX(calculos_quadro!$B$110:$U$110,MATCH(calculos_quadro!$G$283,calculos_quadro!$B$100:$U$100,0)),""))</f>
        <v>0</v>
      </c>
      <c r="M51" s="339">
        <f>IF(calculos_quadro!$G$284="","",IFERROR(INDEX(calculos_quadro!$B$110:$U$110,MATCH(calculos_quadro!$G$284,calculos_quadro!$B$100:$U$100,0)),""))</f>
        <v>0</v>
      </c>
      <c r="N51" s="339">
        <f>IF(calculos_quadro!$G$285="","",IFERROR(INDEX(calculos_quadro!$B$110:$U$110,MATCH(calculos_quadro!$G$285,calculos_quadro!$B$100:$U$100,0)),""))</f>
        <v>0</v>
      </c>
      <c r="O51" s="339">
        <f>IF(calculos_quadro!$G$286="","",IFERROR(INDEX(calculos_quadro!$B$110:$U$110,MATCH(calculos_quadro!$G$286,calculos_quadro!$B$100:$U$100,0)),""))</f>
        <v>0</v>
      </c>
      <c r="P51" s="338"/>
      <c r="Q51" s="339">
        <f>IF(calculos_quadro!$G$287="","",IFERROR(INDEX(calculos_quadro!$B$110:$U$110,MATCH(calculos_quadro!$G$287,calculos_quadro!$B$100:$U$100,0)),""))</f>
        <v>0</v>
      </c>
      <c r="R51" s="339">
        <f>IF(calculos_quadro!$G$288="","",IFERROR(INDEX(calculos_quadro!$B$110:$U$110,MATCH(calculos_quadro!$G$288,calculos_quadro!$B$100:$U$100,0)),""))</f>
        <v>0</v>
      </c>
      <c r="S51" s="339">
        <f>IF(calculos_quadro!$G$289="","",IFERROR(INDEX(calculos_quadro!$B$110:$U$110,MATCH(calculos_quadro!$G$289,calculos_quadro!$B$100:$U$100,0)),""))</f>
        <v>0</v>
      </c>
      <c r="T51" s="339" t="str">
        <f>IF(calculos_quadro!$G$290="","",IFERROR(INDEX(calculos_quadro!$B$110:$U$110,MATCH(calculos_quadro!$G$290,calculos_quadro!$B$100:$U$100,0)),""))</f>
        <v/>
      </c>
      <c r="U51" s="338"/>
      <c r="V51" s="339" t="str">
        <f>IF(calculos_quadro!$G$291="","",IFERROR(INDEX(calculos_quadro!$B$110:$U$110,MATCH(calculos_quadro!$G$291,calculos_quadro!$B$100:$U$100,0)),""))</f>
        <v/>
      </c>
      <c r="W51" s="339" t="str">
        <f>IF(calculos_quadro!$G$292="","",IFERROR(INDEX(calculos_quadro!$B$110:$U$110,MATCH(calculos_quadro!$G$292,calculos_quadro!$B$100:$U$100,0)),""))</f>
        <v/>
      </c>
      <c r="X51" s="339" t="str">
        <f>IF(calculos_quadro!$G$293="","",IFERROR(INDEX(calculos_quadro!$B$110:$U$110,MATCH(calculos_quadro!$G$293,calculos_quadro!$B$100:$U$100,0)),""))</f>
        <v/>
      </c>
      <c r="Y51" s="339" t="str">
        <f>IF(calculos_quadro!$G$294="","",IFERROR(INDEX(calculos_quadro!$B$110:$U$110,MATCH(calculos_quadro!$G$294,calculos_quadro!$B$100:$U$100,0)),""))</f>
        <v/>
      </c>
      <c r="Z51" s="339" t="str">
        <f>IF(calculos_quadro!$G$295="","",IFERROR(INDEX(calculos_quadro!$B$110:$U$110,MATCH(calculos_quadro!$G$295,calculos_quadro!$B$100:$U$100,0)),""))</f>
        <v/>
      </c>
    </row>
    <row r="52" ht="15.75" customHeight="1">
      <c r="B52" s="495"/>
      <c r="C52" s="250"/>
      <c r="D52" s="348" t="inlineStr">
        <is>
          <t xml:space="preserve">Pedidos Expedidos</t>
        </is>
      </c>
      <c r="E52" s="347"/>
      <c r="F52" s="347"/>
      <c r="G52" s="347"/>
      <c r="H52" s="356" t="str">
        <f>IF(calculos_quadro!$G$280="","",IFERROR(INDEX(calculos_quadro!$B$111:$U$111,MATCH(calculos_quadro!$G$280,calculos_quadro!$B$100:$U$100,0)),""))</f>
        <v>—</v>
      </c>
      <c r="I52" s="356" t="str">
        <f>IF(calculos_quadro!$G$281="","",IFERROR(INDEX(calculos_quadro!$B$111:$U$111,MATCH(calculos_quadro!$G$281,calculos_quadro!$B$100:$U$100,0)),""))</f>
        <v>—</v>
      </c>
      <c r="J52" s="356">
        <f>IF(calculos_quadro!$G$282="","",IFERROR(INDEX(calculos_quadro!$B$111:$U$111,MATCH(calculos_quadro!$G$282,calculos_quadro!$B$100:$U$100,0)),""))</f>
        <v>0</v>
      </c>
      <c r="K52" s="355"/>
      <c r="L52" s="356" t="str">
        <f>IF(calculos_quadro!$G$283="","",IFERROR(INDEX(calculos_quadro!$B$111:$U$111,MATCH(calculos_quadro!$G$283,calculos_quadro!$B$100:$U$100,0)),""))</f>
        <v>—</v>
      </c>
      <c r="M52" s="356" t="str">
        <f>IF(calculos_quadro!$G$284="","",IFERROR(INDEX(calculos_quadro!$B$111:$U$111,MATCH(calculos_quadro!$G$284,calculos_quadro!$B$100:$U$100,0)),""))</f>
        <v>—</v>
      </c>
      <c r="N52" s="356" t="str">
        <f>IF(calculos_quadro!$G$285="","",IFERROR(INDEX(calculos_quadro!$B$111:$U$111,MATCH(calculos_quadro!$G$285,calculos_quadro!$B$100:$U$100,0)),""))</f>
        <v>—</v>
      </c>
      <c r="O52" s="356" t="str">
        <f>IF(calculos_quadro!$G$286="","",IFERROR(INDEX(calculos_quadro!$B$111:$U$111,MATCH(calculos_quadro!$G$286,calculos_quadro!$B$100:$U$100,0)),""))</f>
        <v>—</v>
      </c>
      <c r="P52" s="355"/>
      <c r="Q52" s="356" t="str">
        <f>IF(calculos_quadro!$G$287="","",IFERROR(INDEX(calculos_quadro!$B$111:$U$111,MATCH(calculos_quadro!$G$287,calculos_quadro!$B$100:$U$100,0)),""))</f>
        <v>—</v>
      </c>
      <c r="R52" s="356" t="str">
        <f>IF(calculos_quadro!$G$288="","",IFERROR(INDEX(calculos_quadro!$B$111:$U$111,MATCH(calculos_quadro!$G$288,calculos_quadro!$B$100:$U$100,0)),""))</f>
        <v>—</v>
      </c>
      <c r="S52" s="356" t="str">
        <f>IF(calculos_quadro!$G$289="","",IFERROR(INDEX(calculos_quadro!$B$111:$U$111,MATCH(calculos_quadro!$G$289,calculos_quadro!$B$100:$U$100,0)),""))</f>
        <v>—</v>
      </c>
      <c r="T52" s="356" t="str">
        <f>IF(calculos_quadro!$G$290="","",IFERROR(INDEX(calculos_quadro!$B$111:$U$111,MATCH(calculos_quadro!$G$290,calculos_quadro!$B$100:$U$100,0)),""))</f>
        <v/>
      </c>
      <c r="U52" s="355"/>
      <c r="V52" s="356" t="str">
        <f>IF(calculos_quadro!$G$291="","",IFERROR(INDEX(calculos_quadro!$B$111:$U$111,MATCH(calculos_quadro!$G$291,calculos_quadro!$B$100:$U$100,0)),""))</f>
        <v/>
      </c>
      <c r="W52" s="356" t="str">
        <f>IF(calculos_quadro!$G$292="","",IFERROR(INDEX(calculos_quadro!$B$111:$U$111,MATCH(calculos_quadro!$G$292,calculos_quadro!$B$100:$U$100,0)),""))</f>
        <v/>
      </c>
      <c r="X52" s="356" t="str">
        <f>IF(calculos_quadro!$G$293="","",IFERROR(INDEX(calculos_quadro!$B$111:$U$111,MATCH(calculos_quadro!$G$293,calculos_quadro!$B$100:$U$100,0)),""))</f>
        <v/>
      </c>
      <c r="Y52" s="356" t="str">
        <f>IF(calculos_quadro!$G$294="","",IFERROR(INDEX(calculos_quadro!$B$111:$U$111,MATCH(calculos_quadro!$G$294,calculos_quadro!$B$100:$U$100,0)),""))</f>
        <v/>
      </c>
      <c r="Z52" s="356" t="str">
        <f>IF(calculos_quadro!$G$295="","",IFERROR(INDEX(calculos_quadro!$B$111:$U$111,MATCH(calculos_quadro!$G$295,calculos_quadro!$B$100:$U$100,0)),""))</f>
        <v/>
      </c>
    </row>
    <row r="53" ht="15.75" customHeight="1">
      <c r="B53" s="495"/>
      <c r="C53" s="250"/>
      <c r="D53" s="348" t="inlineStr">
        <is>
          <t xml:space="preserve">Pedidos Faturados</t>
        </is>
      </c>
      <c r="E53" s="347"/>
      <c r="F53" s="347"/>
      <c r="G53" s="347"/>
      <c r="H53" s="356" t="str">
        <f>IF(calculos_quadro!$G$280="","",IFERROR(INDEX(calculos_quadro!$B$112:$U$112,MATCH(calculos_quadro!$G$280,calculos_quadro!$B$100:$U$100,0)),""))</f>
        <v>—</v>
      </c>
      <c r="I53" s="356" t="str">
        <f>IF(calculos_quadro!$G$281="","",IFERROR(INDEX(calculos_quadro!$B$112:$U$112,MATCH(calculos_quadro!$G$281,calculos_quadro!$B$100:$U$100,0)),""))</f>
        <v>—</v>
      </c>
      <c r="J53" s="356" t="str">
        <f>IF(calculos_quadro!$G$282="","",IFERROR(INDEX(calculos_quadro!$B$112:$U$112,MATCH(calculos_quadro!$G$282,calculos_quadro!$B$100:$U$100,0)),""))</f>
        <v>—</v>
      </c>
      <c r="K53" s="355"/>
      <c r="L53" s="356">
        <f>IF(calculos_quadro!$G$283="","",IFERROR(INDEX(calculos_quadro!$B$112:$U$112,MATCH(calculos_quadro!$G$283,calculos_quadro!$B$100:$U$100,0)),""))</f>
        <v>0</v>
      </c>
      <c r="M53" s="356" t="str">
        <f>IF(calculos_quadro!$G$284="","",IFERROR(INDEX(calculos_quadro!$B$112:$U$112,MATCH(calculos_quadro!$G$284,calculos_quadro!$B$100:$U$100,0)),""))</f>
        <v>—</v>
      </c>
      <c r="N53" s="356" t="str">
        <f>IF(calculos_quadro!$G$285="","",IFERROR(INDEX(calculos_quadro!$B$112:$U$112,MATCH(calculos_quadro!$G$285,calculos_quadro!$B$100:$U$100,0)),""))</f>
        <v>—</v>
      </c>
      <c r="O53" s="356" t="str">
        <f>IF(calculos_quadro!$G$286="","",IFERROR(INDEX(calculos_quadro!$B$112:$U$112,MATCH(calculos_quadro!$G$286,calculos_quadro!$B$100:$U$100,0)),""))</f>
        <v>—</v>
      </c>
      <c r="P53" s="355"/>
      <c r="Q53" s="356" t="str">
        <f>IF(calculos_quadro!$G$287="","",IFERROR(INDEX(calculos_quadro!$B$112:$U$112,MATCH(calculos_quadro!$G$287,calculos_quadro!$B$100:$U$100,0)),""))</f>
        <v>—</v>
      </c>
      <c r="R53" s="356" t="str">
        <f>IF(calculos_quadro!$G$288="","",IFERROR(INDEX(calculos_quadro!$B$112:$U$112,MATCH(calculos_quadro!$G$288,calculos_quadro!$B$100:$U$100,0)),""))</f>
        <v>—</v>
      </c>
      <c r="S53" s="356" t="str">
        <f>IF(calculos_quadro!$G$289="","",IFERROR(INDEX(calculos_quadro!$B$112:$U$112,MATCH(calculos_quadro!$G$289,calculos_quadro!$B$100:$U$100,0)),""))</f>
        <v>—</v>
      </c>
      <c r="T53" s="356" t="str">
        <f>IF(calculos_quadro!$G$290="","",IFERROR(INDEX(calculos_quadro!$B$112:$U$112,MATCH(calculos_quadro!$G$290,calculos_quadro!$B$100:$U$100,0)),""))</f>
        <v/>
      </c>
      <c r="U53" s="355"/>
      <c r="V53" s="356" t="str">
        <f>IF(calculos_quadro!$G$291="","",IFERROR(INDEX(calculos_quadro!$B$112:$U$112,MATCH(calculos_quadro!$G$291,calculos_quadro!$B$100:$U$100,0)),""))</f>
        <v/>
      </c>
      <c r="W53" s="356" t="str">
        <f>IF(calculos_quadro!$G$292="","",IFERROR(INDEX(calculos_quadro!$B$112:$U$112,MATCH(calculos_quadro!$G$292,calculos_quadro!$B$100:$U$100,0)),""))</f>
        <v/>
      </c>
      <c r="X53" s="356" t="str">
        <f>IF(calculos_quadro!$G$293="","",IFERROR(INDEX(calculos_quadro!$B$112:$U$112,MATCH(calculos_quadro!$G$293,calculos_quadro!$B$100:$U$100,0)),""))</f>
        <v/>
      </c>
      <c r="Y53" s="356" t="str">
        <f>IF(calculos_quadro!$G$294="","",IFERROR(INDEX(calculos_quadro!$B$112:$U$112,MATCH(calculos_quadro!$G$294,calculos_quadro!$B$100:$U$100,0)),""))</f>
        <v/>
      </c>
      <c r="Z53" s="356" t="str">
        <f>IF(calculos_quadro!$G$295="","",IFERROR(INDEX(calculos_quadro!$B$112:$U$112,MATCH(calculos_quadro!$G$295,calculos_quadro!$B$100:$U$100,0)),""))</f>
        <v/>
      </c>
    </row>
    <row r="54" ht="15.75" customHeight="1">
      <c r="B54" s="495"/>
      <c r="C54" s="250"/>
      <c r="D54" s="348" t="inlineStr">
        <is>
          <t xml:space="preserve">Itens Expedidos</t>
        </is>
      </c>
      <c r="E54" s="347"/>
      <c r="F54" s="347"/>
      <c r="G54" s="347"/>
      <c r="H54" s="356" t="str">
        <f>IF(calculos_quadro!$G$280="","",IFERROR(INDEX(calculos_quadro!$B$113:$U$113,MATCH(calculos_quadro!$G$280,calculos_quadro!$B$100:$U$100,0)),""))</f>
        <v>—</v>
      </c>
      <c r="I54" s="356" t="str">
        <f>IF(calculos_quadro!$G$281="","",IFERROR(INDEX(calculos_quadro!$B$113:$U$113,MATCH(calculos_quadro!$G$281,calculos_quadro!$B$100:$U$100,0)),""))</f>
        <v>—</v>
      </c>
      <c r="J54" s="356" t="str">
        <f>IF(calculos_quadro!$G$282="","",IFERROR(INDEX(calculos_quadro!$B$113:$U$113,MATCH(calculos_quadro!$G$282,calculos_quadro!$B$100:$U$100,0)),""))</f>
        <v>—</v>
      </c>
      <c r="K54" s="355"/>
      <c r="L54" s="356">
        <f>IF(calculos_quadro!$G$283="","",IFERROR(INDEX(calculos_quadro!$B$113:$U$113,MATCH(calculos_quadro!$G$283,calculos_quadro!$B$100:$U$100,0)),""))</f>
        <v>0</v>
      </c>
      <c r="M54" s="356" t="str">
        <f>IF(calculos_quadro!$G$284="","",IFERROR(INDEX(calculos_quadro!$B$113:$U$113,MATCH(calculos_quadro!$G$284,calculos_quadro!$B$100:$U$100,0)),""))</f>
        <v>—</v>
      </c>
      <c r="N54" s="356" t="str">
        <f>IF(calculos_quadro!$G$285="","",IFERROR(INDEX(calculos_quadro!$B$113:$U$113,MATCH(calculos_quadro!$G$285,calculos_quadro!$B$100:$U$100,0)),""))</f>
        <v>—</v>
      </c>
      <c r="O54" s="356" t="str">
        <f>IF(calculos_quadro!$G$286="","",IFERROR(INDEX(calculos_quadro!$B$113:$U$113,MATCH(calculos_quadro!$G$286,calculos_quadro!$B$100:$U$100,0)),""))</f>
        <v>—</v>
      </c>
      <c r="P54" s="355"/>
      <c r="Q54" s="356" t="str">
        <f>IF(calculos_quadro!$G$287="","",IFERROR(INDEX(calculos_quadro!$B$113:$U$113,MATCH(calculos_quadro!$G$287,calculos_quadro!$B$100:$U$100,0)),""))</f>
        <v>—</v>
      </c>
      <c r="R54" s="356" t="str">
        <f>IF(calculos_quadro!$G$288="","",IFERROR(INDEX(calculos_quadro!$B$113:$U$113,MATCH(calculos_quadro!$G$288,calculos_quadro!$B$100:$U$100,0)),""))</f>
        <v>—</v>
      </c>
      <c r="S54" s="356" t="str">
        <f>IF(calculos_quadro!$G$289="","",IFERROR(INDEX(calculos_quadro!$B$113:$U$113,MATCH(calculos_quadro!$G$289,calculos_quadro!$B$100:$U$100,0)),""))</f>
        <v>—</v>
      </c>
      <c r="T54" s="356" t="str">
        <f>IF(calculos_quadro!$G$290="","",IFERROR(INDEX(calculos_quadro!$B$113:$U$113,MATCH(calculos_quadro!$G$290,calculos_quadro!$B$100:$U$100,0)),""))</f>
        <v/>
      </c>
      <c r="U54" s="355"/>
      <c r="V54" s="356" t="str">
        <f>IF(calculos_quadro!$G$291="","",IFERROR(INDEX(calculos_quadro!$B$113:$U$113,MATCH(calculos_quadro!$G$291,calculos_quadro!$B$100:$U$100,0)),""))</f>
        <v/>
      </c>
      <c r="W54" s="356" t="str">
        <f>IF(calculos_quadro!$G$292="","",IFERROR(INDEX(calculos_quadro!$B$113:$U$113,MATCH(calculos_quadro!$G$292,calculos_quadro!$B$100:$U$100,0)),""))</f>
        <v/>
      </c>
      <c r="X54" s="356" t="str">
        <f>IF(calculos_quadro!$G$293="","",IFERROR(INDEX(calculos_quadro!$B$113:$U$113,MATCH(calculos_quadro!$G$293,calculos_quadro!$B$100:$U$100,0)),""))</f>
        <v/>
      </c>
      <c r="Y54" s="356" t="str">
        <f>IF(calculos_quadro!$G$294="","",IFERROR(INDEX(calculos_quadro!$B$113:$U$113,MATCH(calculos_quadro!$G$294,calculos_quadro!$B$100:$U$100,0)),""))</f>
        <v/>
      </c>
      <c r="Z54" s="356" t="str">
        <f>IF(calculos_quadro!$G$295="","",IFERROR(INDEX(calculos_quadro!$B$113:$U$113,MATCH(calculos_quadro!$G$295,calculos_quadro!$B$100:$U$100,0)),""))</f>
        <v/>
      </c>
    </row>
    <row r="55" ht="15.75" customHeight="1">
      <c r="B55" s="495"/>
      <c r="C55" s="250"/>
      <c r="D55" s="348" t="inlineStr">
        <is>
          <t xml:space="preserve">Linhas NF</t>
        </is>
      </c>
      <c r="E55" s="347"/>
      <c r="F55" s="347"/>
      <c r="G55" s="347"/>
      <c r="H55" s="356" t="str">
        <f>IF(calculos_quadro!$G$280="","",IFERROR(INDEX(calculos_quadro!$B$114:$U$114,MATCH(calculos_quadro!$G$280,calculos_quadro!$B$100:$U$100,0)),""))</f>
        <v>—</v>
      </c>
      <c r="I55" s="356" t="str">
        <f>IF(calculos_quadro!$G$281="","",IFERROR(INDEX(calculos_quadro!$B$114:$U$114,MATCH(calculos_quadro!$G$281,calculos_quadro!$B$100:$U$100,0)),""))</f>
        <v>—</v>
      </c>
      <c r="J55" s="356" t="str">
        <f>IF(calculos_quadro!$G$282="","",IFERROR(INDEX(calculos_quadro!$B$114:$U$114,MATCH(calculos_quadro!$G$282,calculos_quadro!$B$100:$U$100,0)),""))</f>
        <v>—</v>
      </c>
      <c r="K55" s="355"/>
      <c r="L55" s="356" t="str">
        <f>IF(calculos_quadro!$G$283="","",IFERROR(INDEX(calculos_quadro!$B$114:$U$114,MATCH(calculos_quadro!$G$283,calculos_quadro!$B$100:$U$100,0)),""))</f>
        <v>—</v>
      </c>
      <c r="M55" s="356" t="str">
        <f>IF(calculos_quadro!$G$284="","",IFERROR(INDEX(calculos_quadro!$B$114:$U$114,MATCH(calculos_quadro!$G$284,calculos_quadro!$B$100:$U$100,0)),""))</f>
        <v>—</v>
      </c>
      <c r="N55" s="356">
        <f>IF(calculos_quadro!$G$285="","",IFERROR(INDEX(calculos_quadro!$B$114:$U$114,MATCH(calculos_quadro!$G$285,calculos_quadro!$B$100:$U$100,0)),""))</f>
        <v>0</v>
      </c>
      <c r="O55" s="356" t="str">
        <f>IF(calculos_quadro!$G$286="","",IFERROR(INDEX(calculos_quadro!$B$114:$U$114,MATCH(calculos_quadro!$G$286,calculos_quadro!$B$100:$U$100,0)),""))</f>
        <v>—</v>
      </c>
      <c r="P55" s="355"/>
      <c r="Q55" s="356" t="str">
        <f>IF(calculos_quadro!$G$287="","",IFERROR(INDEX(calculos_quadro!$B$114:$U$114,MATCH(calculos_quadro!$G$287,calculos_quadro!$B$100:$U$100,0)),""))</f>
        <v>—</v>
      </c>
      <c r="R55" s="356" t="str">
        <f>IF(calculos_quadro!$G$288="","",IFERROR(INDEX(calculos_quadro!$B$114:$U$114,MATCH(calculos_quadro!$G$288,calculos_quadro!$B$100:$U$100,0)),""))</f>
        <v>—</v>
      </c>
      <c r="S55" s="356">
        <f>IF(calculos_quadro!$G$289="","",IFERROR(INDEX(calculos_quadro!$B$114:$U$114,MATCH(calculos_quadro!$G$289,calculos_quadro!$B$100:$U$100,0)),""))</f>
        <v>0</v>
      </c>
      <c r="T55" s="356" t="str">
        <f>IF(calculos_quadro!$G$290="","",IFERROR(INDEX(calculos_quadro!$B$114:$U$114,MATCH(calculos_quadro!$G$290,calculos_quadro!$B$100:$U$100,0)),""))</f>
        <v/>
      </c>
      <c r="U55" s="355"/>
      <c r="V55" s="356" t="str">
        <f>IF(calculos_quadro!$G$291="","",IFERROR(INDEX(calculos_quadro!$B$114:$U$114,MATCH(calculos_quadro!$G$291,calculos_quadro!$B$100:$U$100,0)),""))</f>
        <v/>
      </c>
      <c r="W55" s="356" t="str">
        <f>IF(calculos_quadro!$G$292="","",IFERROR(INDEX(calculos_quadro!$B$114:$U$114,MATCH(calculos_quadro!$G$292,calculos_quadro!$B$100:$U$100,0)),""))</f>
        <v/>
      </c>
      <c r="X55" s="356" t="str">
        <f>IF(calculos_quadro!$G$293="","",IFERROR(INDEX(calculos_quadro!$B$114:$U$114,MATCH(calculos_quadro!$G$293,calculos_quadro!$B$100:$U$100,0)),""))</f>
        <v/>
      </c>
      <c r="Y55" s="356" t="str">
        <f>IF(calculos_quadro!$G$294="","",IFERROR(INDEX(calculos_quadro!$B$114:$U$114,MATCH(calculos_quadro!$G$294,calculos_quadro!$B$100:$U$100,0)),""))</f>
        <v/>
      </c>
      <c r="Z55" s="356" t="str">
        <f>IF(calculos_quadro!$G$295="","",IFERROR(INDEX(calculos_quadro!$B$114:$U$114,MATCH(calculos_quadro!$G$295,calculos_quadro!$B$100:$U$100,0)),""))</f>
        <v/>
      </c>
    </row>
    <row r="56" ht="15.75" customHeight="1">
      <c r="B56" s="495"/>
      <c r="C56" s="250"/>
      <c r="D56" s="348" t="inlineStr">
        <is>
          <t xml:space="preserve">Caixas Expedidas</t>
        </is>
      </c>
      <c r="E56" s="347"/>
      <c r="F56" s="347"/>
      <c r="G56" s="347"/>
      <c r="H56" s="356">
        <f>IF(calculos_quadro!$G$280="","",IFERROR(INDEX(calculos_quadro!$B$115:$U$115,MATCH(calculos_quadro!$G$280,calculos_quadro!$B$100:$U$100,0)),""))</f>
        <v>0</v>
      </c>
      <c r="I56" s="356" t="str">
        <f>IF(calculos_quadro!$G$281="","",IFERROR(INDEX(calculos_quadro!$B$115:$U$115,MATCH(calculos_quadro!$G$281,calculos_quadro!$B$100:$U$100,0)),""))</f>
        <v>—</v>
      </c>
      <c r="J56" s="356" t="str">
        <f>IF(calculos_quadro!$G$282="","",IFERROR(INDEX(calculos_quadro!$B$115:$U$115,MATCH(calculos_quadro!$G$282,calculos_quadro!$B$100:$U$100,0)),""))</f>
        <v>—</v>
      </c>
      <c r="K56" s="355"/>
      <c r="L56" s="356">
        <f>IF(calculos_quadro!$G$283="","",IFERROR(INDEX(calculos_quadro!$B$115:$U$115,MATCH(calculos_quadro!$G$283,calculos_quadro!$B$100:$U$100,0)),""))</f>
        <v>0</v>
      </c>
      <c r="M56" s="356" t="str">
        <f>IF(calculos_quadro!$G$284="","",IFERROR(INDEX(calculos_quadro!$B$115:$U$115,MATCH(calculos_quadro!$G$284,calculos_quadro!$B$100:$U$100,0)),""))</f>
        <v>—</v>
      </c>
      <c r="N56" s="356" t="str">
        <f>IF(calculos_quadro!$G$285="","",IFERROR(INDEX(calculos_quadro!$B$115:$U$115,MATCH(calculos_quadro!$G$285,calculos_quadro!$B$100:$U$100,0)),""))</f>
        <v>—</v>
      </c>
      <c r="O56" s="356" t="str">
        <f>IF(calculos_quadro!$G$286="","",IFERROR(INDEX(calculos_quadro!$B$115:$U$115,MATCH(calculos_quadro!$G$286,calculos_quadro!$B$100:$U$100,0)),""))</f>
        <v>—</v>
      </c>
      <c r="P56" s="355"/>
      <c r="Q56" s="356" t="str">
        <f>IF(calculos_quadro!$G$287="","",IFERROR(INDEX(calculos_quadro!$B$115:$U$115,MATCH(calculos_quadro!$G$287,calculos_quadro!$B$100:$U$100,0)),""))</f>
        <v>—</v>
      </c>
      <c r="R56" s="356" t="str">
        <f>IF(calculos_quadro!$G$288="","",IFERROR(INDEX(calculos_quadro!$B$115:$U$115,MATCH(calculos_quadro!$G$288,calculos_quadro!$B$100:$U$100,0)),""))</f>
        <v>—</v>
      </c>
      <c r="S56" s="356" t="str">
        <f>IF(calculos_quadro!$G$289="","",IFERROR(INDEX(calculos_quadro!$B$115:$U$115,MATCH(calculos_quadro!$G$289,calculos_quadro!$B$100:$U$100,0)),""))</f>
        <v>—</v>
      </c>
      <c r="T56" s="356" t="str">
        <f>IF(calculos_quadro!$G$290="","",IFERROR(INDEX(calculos_quadro!$B$115:$U$115,MATCH(calculos_quadro!$G$290,calculos_quadro!$B$100:$U$100,0)),""))</f>
        <v/>
      </c>
      <c r="U56" s="355"/>
      <c r="V56" s="356" t="str">
        <f>IF(calculos_quadro!$G$291="","",IFERROR(INDEX(calculos_quadro!$B$115:$U$115,MATCH(calculos_quadro!$G$291,calculos_quadro!$B$100:$U$100,0)),""))</f>
        <v/>
      </c>
      <c r="W56" s="356" t="str">
        <f>IF(calculos_quadro!$G$292="","",IFERROR(INDEX(calculos_quadro!$B$115:$U$115,MATCH(calculos_quadro!$G$292,calculos_quadro!$B$100:$U$100,0)),""))</f>
        <v/>
      </c>
      <c r="X56" s="356" t="str">
        <f>IF(calculos_quadro!$G$293="","",IFERROR(INDEX(calculos_quadro!$B$115:$U$115,MATCH(calculos_quadro!$G$293,calculos_quadro!$B$100:$U$100,0)),""))</f>
        <v/>
      </c>
      <c r="Y56" s="356" t="str">
        <f>IF(calculos_quadro!$G$294="","",IFERROR(INDEX(calculos_quadro!$B$115:$U$115,MATCH(calculos_quadro!$G$294,calculos_quadro!$B$100:$U$100,0)),""))</f>
        <v/>
      </c>
      <c r="Z56" s="356" t="str">
        <f>IF(calculos_quadro!$G$295="","",IFERROR(INDEX(calculos_quadro!$B$115:$U$115,MATCH(calculos_quadro!$G$295,calculos_quadro!$B$100:$U$100,0)),""))</f>
        <v/>
      </c>
    </row>
    <row r="57" ht="15.75" customHeight="1">
      <c r="B57" s="495"/>
      <c r="C57" s="250"/>
      <c r="D57" s="348" t="inlineStr">
        <is>
          <t xml:space="preserve">Pallets Movimentados</t>
        </is>
      </c>
      <c r="E57" s="347"/>
      <c r="F57" s="347"/>
      <c r="G57" s="347"/>
      <c r="H57" s="356" t="str">
        <f>IF(calculos_quadro!$G$280="","",IFERROR(INDEX(calculos_quadro!$B$116:$U$116,MATCH(calculos_quadro!$G$280,calculos_quadro!$B$100:$U$100,0)),""))</f>
        <v>—</v>
      </c>
      <c r="I57" s="356">
        <f>IF(calculos_quadro!$G$281="","",IFERROR(INDEX(calculos_quadro!$B$116:$U$116,MATCH(calculos_quadro!$G$281,calculos_quadro!$B$100:$U$100,0)),""))</f>
        <v>0</v>
      </c>
      <c r="J57" s="356">
        <f>IF(calculos_quadro!$G$282="","",IFERROR(INDEX(calculos_quadro!$B$116:$U$116,MATCH(calculos_quadro!$G$282,calculos_quadro!$B$100:$U$100,0)),""))</f>
        <v>0</v>
      </c>
      <c r="K57" s="355"/>
      <c r="L57" s="356">
        <f>IF(calculos_quadro!$G$283="","",IFERROR(INDEX(calculos_quadro!$B$116:$U$116,MATCH(calculos_quadro!$G$283,calculos_quadro!$B$100:$U$100,0)),""))</f>
        <v>0</v>
      </c>
      <c r="M57" s="356">
        <f>IF(calculos_quadro!$G$284="","",IFERROR(INDEX(calculos_quadro!$B$116:$U$116,MATCH(calculos_quadro!$G$284,calculos_quadro!$B$100:$U$100,0)),""))</f>
        <v>0</v>
      </c>
      <c r="N57" s="356">
        <f>IF(calculos_quadro!$G$285="","",IFERROR(INDEX(calculos_quadro!$B$116:$U$116,MATCH(calculos_quadro!$G$285,calculos_quadro!$B$100:$U$100,0)),""))</f>
        <v>0</v>
      </c>
      <c r="O57" s="356">
        <f>IF(calculos_quadro!$G$286="","",IFERROR(INDEX(calculos_quadro!$B$116:$U$116,MATCH(calculos_quadro!$G$286,calculos_quadro!$B$100:$U$100,0)),""))</f>
        <v>0</v>
      </c>
      <c r="P57" s="355"/>
      <c r="Q57" s="356">
        <f>IF(calculos_quadro!$G$287="","",IFERROR(INDEX(calculos_quadro!$B$116:$U$116,MATCH(calculos_quadro!$G$287,calculos_quadro!$B$100:$U$100,0)),""))</f>
        <v>0</v>
      </c>
      <c r="R57" s="356">
        <f>IF(calculos_quadro!$G$288="","",IFERROR(INDEX(calculos_quadro!$B$116:$U$116,MATCH(calculos_quadro!$G$288,calculos_quadro!$B$100:$U$100,0)),""))</f>
        <v>0</v>
      </c>
      <c r="S57" s="356" t="str">
        <f>IF(calculos_quadro!$G$289="","",IFERROR(INDEX(calculos_quadro!$B$116:$U$116,MATCH(calculos_quadro!$G$289,calculos_quadro!$B$100:$U$100,0)),""))</f>
        <v>—</v>
      </c>
      <c r="T57" s="356" t="str">
        <f>IF(calculos_quadro!$G$290="","",IFERROR(INDEX(calculos_quadro!$B$116:$U$116,MATCH(calculos_quadro!$G$290,calculos_quadro!$B$100:$U$100,0)),""))</f>
        <v/>
      </c>
      <c r="U57" s="355"/>
      <c r="V57" s="356" t="str">
        <f>IF(calculos_quadro!$G$291="","",IFERROR(INDEX(calculos_quadro!$B$116:$U$116,MATCH(calculos_quadro!$G$291,calculos_quadro!$B$100:$U$100,0)),""))</f>
        <v/>
      </c>
      <c r="W57" s="356" t="str">
        <f>IF(calculos_quadro!$G$292="","",IFERROR(INDEX(calculos_quadro!$B$116:$U$116,MATCH(calculos_quadro!$G$292,calculos_quadro!$B$100:$U$100,0)),""))</f>
        <v/>
      </c>
      <c r="X57" s="356" t="str">
        <f>IF(calculos_quadro!$G$293="","",IFERROR(INDEX(calculos_quadro!$B$116:$U$116,MATCH(calculos_quadro!$G$293,calculos_quadro!$B$100:$U$100,0)),""))</f>
        <v/>
      </c>
      <c r="Y57" s="356" t="str">
        <f>IF(calculos_quadro!$G$294="","",IFERROR(INDEX(calculos_quadro!$B$116:$U$116,MATCH(calculos_quadro!$G$294,calculos_quadro!$B$100:$U$100,0)),""))</f>
        <v/>
      </c>
      <c r="Z57" s="356" t="str">
        <f>IF(calculos_quadro!$G$295="","",IFERROR(INDEX(calculos_quadro!$B$116:$U$116,MATCH(calculos_quadro!$G$295,calculos_quadro!$B$100:$U$100,0)),""))</f>
        <v/>
      </c>
    </row>
    <row r="58" ht="15.75" customHeight="1">
      <c r="B58" s="496"/>
      <c r="C58" s="175"/>
      <c r="D58" s="365" t="inlineStr">
        <is>
          <t xml:space="preserve">Toneladas Movimentadas</t>
        </is>
      </c>
      <c r="E58" s="364"/>
      <c r="F58" s="364"/>
      <c r="G58" s="364"/>
      <c r="H58" s="371" t="str">
        <f>IF(calculos_quadro!$G$280="","",IFERROR(INDEX(calculos_quadro!$B$117:$U$117,MATCH(calculos_quadro!$G$280,calculos_quadro!$B$100:$U$100,0)),""))</f>
        <v>—</v>
      </c>
      <c r="I58" s="371">
        <f>IF(calculos_quadro!$G$281="","",IFERROR(INDEX(calculos_quadro!$B$117:$U$117,MATCH(calculos_quadro!$G$281,calculos_quadro!$B$100:$U$100,0)),""))</f>
        <v>0</v>
      </c>
      <c r="J58" s="371" t="str">
        <f>IF(calculos_quadro!$G$282="","",IFERROR(INDEX(calculos_quadro!$B$117:$U$117,MATCH(calculos_quadro!$G$282,calculos_quadro!$B$100:$U$100,0)),""))</f>
        <v>—</v>
      </c>
      <c r="K58" s="370"/>
      <c r="L58" s="371" t="str">
        <f>IF(calculos_quadro!$G$283="","",IFERROR(INDEX(calculos_quadro!$B$117:$U$117,MATCH(calculos_quadro!$G$283,calculos_quadro!$B$100:$U$100,0)),""))</f>
        <v>—</v>
      </c>
      <c r="M58" s="371">
        <f>IF(calculos_quadro!$G$284="","",IFERROR(INDEX(calculos_quadro!$B$117:$U$117,MATCH(calculos_quadro!$G$284,calculos_quadro!$B$100:$U$100,0)),""))</f>
        <v>0</v>
      </c>
      <c r="N58" s="371" t="str">
        <f>IF(calculos_quadro!$G$285="","",IFERROR(INDEX(calculos_quadro!$B$117:$U$117,MATCH(calculos_quadro!$G$285,calculos_quadro!$B$100:$U$100,0)),""))</f>
        <v>—</v>
      </c>
      <c r="O58" s="371" t="str">
        <f>IF(calculos_quadro!$G$286="","",IFERROR(INDEX(calculos_quadro!$B$117:$U$117,MATCH(calculos_quadro!$G$286,calculos_quadro!$B$100:$U$100,0)),""))</f>
        <v>—</v>
      </c>
      <c r="P58" s="370"/>
      <c r="Q58" s="371">
        <f>IF(calculos_quadro!$G$287="","",IFERROR(INDEX(calculos_quadro!$B$117:$U$117,MATCH(calculos_quadro!$G$287,calculos_quadro!$B$100:$U$100,0)),""))</f>
        <v>0</v>
      </c>
      <c r="R58" s="371" t="str">
        <f>IF(calculos_quadro!$G$288="","",IFERROR(INDEX(calculos_quadro!$B$117:$U$117,MATCH(calculos_quadro!$G$288,calculos_quadro!$B$100:$U$100,0)),""))</f>
        <v>—</v>
      </c>
      <c r="S58" s="371" t="str">
        <f>IF(calculos_quadro!$G$289="","",IFERROR(INDEX(calculos_quadro!$B$117:$U$117,MATCH(calculos_quadro!$G$289,calculos_quadro!$B$100:$U$100,0)),""))</f>
        <v>—</v>
      </c>
      <c r="T58" s="371" t="str">
        <f>IF(calculos_quadro!$G$290="","",IFERROR(INDEX(calculos_quadro!$B$117:$U$117,MATCH(calculos_quadro!$G$290,calculos_quadro!$B$100:$U$100,0)),""))</f>
        <v/>
      </c>
      <c r="U58" s="370"/>
      <c r="V58" s="371" t="str">
        <f>IF(calculos_quadro!$G$291="","",IFERROR(INDEX(calculos_quadro!$B$117:$U$117,MATCH(calculos_quadro!$G$291,calculos_quadro!$B$100:$U$100,0)),""))</f>
        <v/>
      </c>
      <c r="W58" s="371" t="str">
        <f>IF(calculos_quadro!$G$292="","",IFERROR(INDEX(calculos_quadro!$B$117:$U$117,MATCH(calculos_quadro!$G$292,calculos_quadro!$B$100:$U$100,0)),""))</f>
        <v/>
      </c>
      <c r="X58" s="371" t="str">
        <f>IF(calculos_quadro!$G$293="","",IFERROR(INDEX(calculos_quadro!$B$117:$U$117,MATCH(calculos_quadro!$G$293,calculos_quadro!$B$100:$U$100,0)),""))</f>
        <v/>
      </c>
      <c r="Y58" s="371" t="str">
        <f>IF(calculos_quadro!$G$294="","",IFERROR(INDEX(calculos_quadro!$B$117:$U$117,MATCH(calculos_quadro!$G$294,calculos_quadro!$B$100:$U$100,0)),""))</f>
        <v/>
      </c>
      <c r="Z58" s="371" t="str">
        <f>IF(calculos_quadro!$G$295="","",IFERROR(INDEX(calculos_quadro!$B$117:$U$117,MATCH(calculos_quadro!$G$295,calculos_quadro!$B$100:$U$100,0)),""))</f>
        <v/>
      </c>
    </row>
    <row r="59" ht="15.75" customHeight="1">
      <c r="B59" s="497" t="inlineStr">
        <is>
          <t xml:space="preserve">NC</t>
        </is>
      </c>
      <c r="C59" s="181"/>
      <c r="D59" s="380" t="inlineStr">
        <is>
          <t xml:space="preserve">Incidentes</t>
        </is>
      </c>
      <c r="E59" s="379"/>
      <c r="F59" s="379"/>
      <c r="G59" s="379"/>
      <c r="H59" s="388">
        <f>IF(calculos_quadro!$G$280="","",IFERROR(INDEX(calculos_quadro!$B$118:$U$118,MATCH(calculos_quadro!$G$280,calculos_quadro!$B$100:$U$100,0)),""))</f>
        <v>0</v>
      </c>
      <c r="I59" s="388">
        <f>IF(calculos_quadro!$G$281="","",IFERROR(INDEX(calculos_quadro!$B$118:$U$118,MATCH(calculos_quadro!$G$281,calculos_quadro!$B$100:$U$100,0)),""))</f>
        <v>0</v>
      </c>
      <c r="J59" s="388">
        <f>IF(calculos_quadro!$G$282="","",IFERROR(INDEX(calculos_quadro!$B$118:$U$118,MATCH(calculos_quadro!$G$282,calculos_quadro!$B$100:$U$100,0)),""))</f>
        <v>0</v>
      </c>
      <c r="K59" s="387"/>
      <c r="L59" s="388">
        <f>IF(calculos_quadro!$G$283="","",IFERROR(INDEX(calculos_quadro!$B$118:$U$118,MATCH(calculos_quadro!$G$283,calculos_quadro!$B$100:$U$100,0)),""))</f>
        <v>0</v>
      </c>
      <c r="M59" s="388">
        <f>IF(calculos_quadro!$G$284="","",IFERROR(INDEX(calculos_quadro!$B$118:$U$118,MATCH(calculos_quadro!$G$284,calculos_quadro!$B$100:$U$100,0)),""))</f>
        <v>0</v>
      </c>
      <c r="N59" s="388">
        <f>IF(calculos_quadro!$G$285="","",IFERROR(INDEX(calculos_quadro!$B$118:$U$118,MATCH(calculos_quadro!$G$285,calculos_quadro!$B$100:$U$100,0)),""))</f>
        <v>0</v>
      </c>
      <c r="O59" s="388">
        <f>IF(calculos_quadro!$G$286="","",IFERROR(INDEX(calculos_quadro!$B$118:$U$118,MATCH(calculos_quadro!$G$286,calculos_quadro!$B$100:$U$100,0)),""))</f>
        <v>0</v>
      </c>
      <c r="P59" s="387"/>
      <c r="Q59" s="388">
        <f>IF(calculos_quadro!$G$287="","",IFERROR(INDEX(calculos_quadro!$B$118:$U$118,MATCH(calculos_quadro!$G$287,calculos_quadro!$B$100:$U$100,0)),""))</f>
        <v>0</v>
      </c>
      <c r="R59" s="388">
        <f>IF(calculos_quadro!$G$288="","",IFERROR(INDEX(calculos_quadro!$B$118:$U$118,MATCH(calculos_quadro!$G$288,calculos_quadro!$B$100:$U$100,0)),""))</f>
        <v>0</v>
      </c>
      <c r="S59" s="388">
        <f>IF(calculos_quadro!$G$289="","",IFERROR(INDEX(calculos_quadro!$B$118:$U$118,MATCH(calculos_quadro!$G$289,calculos_quadro!$B$100:$U$100,0)),""))</f>
        <v>0</v>
      </c>
      <c r="T59" s="388" t="str">
        <f>IF(calculos_quadro!$G$290="","",IFERROR(INDEX(calculos_quadro!$B$118:$U$118,MATCH(calculos_quadro!$G$290,calculos_quadro!$B$100:$U$100,0)),""))</f>
        <v/>
      </c>
      <c r="U59" s="387"/>
      <c r="V59" s="388" t="str">
        <f>IF(calculos_quadro!$G$291="","",IFERROR(INDEX(calculos_quadro!$B$118:$U$118,MATCH(calculos_quadro!$G$291,calculos_quadro!$B$100:$U$100,0)),""))</f>
        <v/>
      </c>
      <c r="W59" s="388" t="str">
        <f>IF(calculos_quadro!$G$292="","",IFERROR(INDEX(calculos_quadro!$B$118:$U$118,MATCH(calculos_quadro!$G$292,calculos_quadro!$B$100:$U$100,0)),""))</f>
        <v/>
      </c>
      <c r="X59" s="388" t="str">
        <f>IF(calculos_quadro!$G$293="","",IFERROR(INDEX(calculos_quadro!$B$118:$U$118,MATCH(calculos_quadro!$G$293,calculos_quadro!$B$100:$U$100,0)),""))</f>
        <v/>
      </c>
      <c r="Y59" s="388" t="str">
        <f>IF(calculos_quadro!$G$294="","",IFERROR(INDEX(calculos_quadro!$B$118:$U$118,MATCH(calculos_quadro!$G$294,calculos_quadro!$B$100:$U$100,0)),""))</f>
        <v/>
      </c>
      <c r="Z59" s="388" t="str">
        <f>IF(calculos_quadro!$G$295="","",IFERROR(INDEX(calculos_quadro!$B$118:$U$118,MATCH(calculos_quadro!$G$295,calculos_quadro!$B$100:$U$100,0)),""))</f>
        <v/>
      </c>
    </row>
    <row r="60" ht="15.75" customHeight="1">
      <c r="B60" s="498"/>
      <c r="C60" s="188"/>
      <c r="D60" s="397" t="inlineStr">
        <is>
          <t xml:space="preserve">No show</t>
        </is>
      </c>
      <c r="E60" s="396"/>
      <c r="F60" s="396"/>
      <c r="G60" s="396"/>
      <c r="H60" s="405">
        <f>IF(calculos_quadro!$G$280="","",IFERROR(INDEX(calculos_quadro!$B$119:$U$119,MATCH(calculos_quadro!$G$280,calculos_quadro!$B$100:$U$100,0)),""))</f>
        <v>0</v>
      </c>
      <c r="I60" s="405">
        <f>IF(calculos_quadro!$G$281="","",IFERROR(INDEX(calculos_quadro!$B$119:$U$119,MATCH(calculos_quadro!$G$281,calculos_quadro!$B$100:$U$100,0)),""))</f>
        <v>0</v>
      </c>
      <c r="J60" s="405">
        <f>IF(calculos_quadro!$G$282="","",IFERROR(INDEX(calculos_quadro!$B$119:$U$119,MATCH(calculos_quadro!$G$282,calculos_quadro!$B$100:$U$100,0)),""))</f>
        <v>0</v>
      </c>
      <c r="K60" s="404"/>
      <c r="L60" s="405">
        <f>IF(calculos_quadro!$G$283="","",IFERROR(INDEX(calculos_quadro!$B$119:$U$119,MATCH(calculos_quadro!$G$283,calculos_quadro!$B$100:$U$100,0)),""))</f>
        <v>0</v>
      </c>
      <c r="M60" s="405">
        <f>IF(calculos_quadro!$G$284="","",IFERROR(INDEX(calculos_quadro!$B$119:$U$119,MATCH(calculos_quadro!$G$284,calculos_quadro!$B$100:$U$100,0)),""))</f>
        <v>0</v>
      </c>
      <c r="N60" s="405">
        <f>IF(calculos_quadro!$G$285="","",IFERROR(INDEX(calculos_quadro!$B$119:$U$119,MATCH(calculos_quadro!$G$285,calculos_quadro!$B$100:$U$100,0)),""))</f>
        <v>0</v>
      </c>
      <c r="O60" s="405">
        <f>IF(calculos_quadro!$G$286="","",IFERROR(INDEX(calculos_quadro!$B$119:$U$119,MATCH(calculos_quadro!$G$286,calculos_quadro!$B$100:$U$100,0)),""))</f>
        <v>0</v>
      </c>
      <c r="P60" s="404"/>
      <c r="Q60" s="405">
        <f>IF(calculos_quadro!$G$287="","",IFERROR(INDEX(calculos_quadro!$B$119:$U$119,MATCH(calculos_quadro!$G$287,calculos_quadro!$B$100:$U$100,0)),""))</f>
        <v>0</v>
      </c>
      <c r="R60" s="405">
        <f>IF(calculos_quadro!$G$288="","",IFERROR(INDEX(calculos_quadro!$B$119:$U$119,MATCH(calculos_quadro!$G$288,calculos_quadro!$B$100:$U$100,0)),""))</f>
        <v>0</v>
      </c>
      <c r="S60" s="405">
        <f>IF(calculos_quadro!$G$289="","",IFERROR(INDEX(calculos_quadro!$B$119:$U$119,MATCH(calculos_quadro!$G$289,calculos_quadro!$B$100:$U$100,0)),""))</f>
        <v>0</v>
      </c>
      <c r="T60" s="405" t="str">
        <f>IF(calculos_quadro!$G$290="","",IFERROR(INDEX(calculos_quadro!$B$119:$U$119,MATCH(calculos_quadro!$G$290,calculos_quadro!$B$100:$U$100,0)),""))</f>
        <v/>
      </c>
      <c r="U60" s="404"/>
      <c r="V60" s="405" t="str">
        <f>IF(calculos_quadro!$G$291="","",IFERROR(INDEX(calculos_quadro!$B$119:$U$119,MATCH(calculos_quadro!$G$291,calculos_quadro!$B$100:$U$100,0)),""))</f>
        <v/>
      </c>
      <c r="W60" s="405" t="str">
        <f>IF(calculos_quadro!$G$292="","",IFERROR(INDEX(calculos_quadro!$B$119:$U$119,MATCH(calculos_quadro!$G$292,calculos_quadro!$B$100:$U$100,0)),""))</f>
        <v/>
      </c>
      <c r="X60" s="405" t="str">
        <f>IF(calculos_quadro!$G$293="","",IFERROR(INDEX(calculos_quadro!$B$119:$U$119,MATCH(calculos_quadro!$G$293,calculos_quadro!$B$100:$U$100,0)),""))</f>
        <v/>
      </c>
      <c r="Y60" s="405" t="str">
        <f>IF(calculos_quadro!$G$294="","",IFERROR(INDEX(calculos_quadro!$B$119:$U$119,MATCH(calculos_quadro!$G$294,calculos_quadro!$B$100:$U$100,0)),""))</f>
        <v/>
      </c>
      <c r="Z60" s="405" t="str">
        <f>IF(calculos_quadro!$G$295="","",IFERROR(INDEX(calculos_quadro!$B$119:$U$119,MATCH(calculos_quadro!$G$295,calculos_quadro!$B$100:$U$100,0)),""))</f>
        <v/>
      </c>
    </row>
    <row r="61" ht="15.75" customHeight="1">
      <c r="B61" s="499"/>
      <c r="C61" s="195"/>
      <c r="D61" s="414" t="inlineStr">
        <is>
          <t xml:space="preserve">Backlog</t>
        </is>
      </c>
      <c r="E61" s="413"/>
      <c r="F61" s="413"/>
      <c r="G61" s="413"/>
      <c r="H61" s="422" t="str">
        <f>IF(calculos_quadro!$G$280="","",IFERROR(INDEX(calculos_quadro!$B$120:$U$120,MATCH(calculos_quadro!$G$280,calculos_quadro!$B$100:$U$100,0)),""))</f>
        <v/>
      </c>
      <c r="I61" s="422" t="str">
        <f>IF(calculos_quadro!$G$281="","",IFERROR(INDEX(calculos_quadro!$B$120:$U$120,MATCH(calculos_quadro!$G$281,calculos_quadro!$B$100:$U$100,0)),""))</f>
        <v/>
      </c>
      <c r="J61" s="422" t="str">
        <f>IF(calculos_quadro!$G$282="","",IFERROR(INDEX(calculos_quadro!$B$120:$U$120,MATCH(calculos_quadro!$G$282,calculos_quadro!$B$100:$U$100,0)),""))</f>
        <v/>
      </c>
      <c r="K61" s="421"/>
      <c r="L61" s="422" t="str">
        <f>IF(calculos_quadro!$G$283="","",IFERROR(INDEX(calculos_quadro!$B$120:$U$120,MATCH(calculos_quadro!$G$283,calculos_quadro!$B$100:$U$100,0)),""))</f>
        <v/>
      </c>
      <c r="M61" s="422" t="str">
        <f>IF(calculos_quadro!$G$284="","",IFERROR(INDEX(calculos_quadro!$B$120:$U$120,MATCH(calculos_quadro!$G$284,calculos_quadro!$B$100:$U$100,0)),""))</f>
        <v/>
      </c>
      <c r="N61" s="422" t="str">
        <f>IF(calculos_quadro!$G$285="","",IFERROR(INDEX(calculos_quadro!$B$120:$U$120,MATCH(calculos_quadro!$G$285,calculos_quadro!$B$100:$U$100,0)),""))</f>
        <v/>
      </c>
      <c r="O61" s="422" t="str">
        <f>IF(calculos_quadro!$G$286="","",IFERROR(INDEX(calculos_quadro!$B$120:$U$120,MATCH(calculos_quadro!$G$286,calculos_quadro!$B$100:$U$100,0)),""))</f>
        <v/>
      </c>
      <c r="P61" s="421"/>
      <c r="Q61" s="422" t="str">
        <f>IF(calculos_quadro!$G$287="","",IFERROR(INDEX(calculos_quadro!$B$120:$U$120,MATCH(calculos_quadro!$G$287,calculos_quadro!$B$100:$U$100,0)),""))</f>
        <v/>
      </c>
      <c r="R61" s="422" t="str">
        <f>IF(calculos_quadro!$G$288="","",IFERROR(INDEX(calculos_quadro!$B$120:$U$120,MATCH(calculos_quadro!$G$288,calculos_quadro!$B$100:$U$100,0)),""))</f>
        <v/>
      </c>
      <c r="S61" s="422" t="str">
        <f>IF(calculos_quadro!$G$289="","",IFERROR(INDEX(calculos_quadro!$B$120:$U$120,MATCH(calculos_quadro!$G$289,calculos_quadro!$B$100:$U$100,0)),""))</f>
        <v/>
      </c>
      <c r="T61" s="422" t="str">
        <f>IF(calculos_quadro!$G$290="","",IFERROR(INDEX(calculos_quadro!$B$120:$U$120,MATCH(calculos_quadro!$G$290,calculos_quadro!$B$100:$U$100,0)),""))</f>
        <v/>
      </c>
      <c r="U61" s="421"/>
      <c r="V61" s="422" t="str">
        <f>IF(calculos_quadro!$G$291="","",IFERROR(INDEX(calculos_quadro!$B$120:$U$120,MATCH(calculos_quadro!$G$291,calculos_quadro!$B$100:$U$100,0)),""))</f>
        <v/>
      </c>
      <c r="W61" s="422" t="str">
        <f>IF(calculos_quadro!$G$292="","",IFERROR(INDEX(calculos_quadro!$B$120:$U$120,MATCH(calculos_quadro!$G$292,calculos_quadro!$B$100:$U$100,0)),""))</f>
        <v/>
      </c>
      <c r="X61" s="422" t="str">
        <f>IF(calculos_quadro!$G$293="","",IFERROR(INDEX(calculos_quadro!$B$120:$U$120,MATCH(calculos_quadro!$G$293,calculos_quadro!$B$100:$U$100,0)),""))</f>
        <v/>
      </c>
      <c r="Y61" s="422" t="str">
        <f>IF(calculos_quadro!$G$294="","",IFERROR(INDEX(calculos_quadro!$B$120:$U$120,MATCH(calculos_quadro!$G$294,calculos_quadro!$B$100:$U$100,0)),""))</f>
        <v/>
      </c>
      <c r="Z61" s="422" t="str">
        <f>IF(calculos_quadro!$G$295="","",IFERROR(INDEX(calculos_quadro!$B$120:$U$120,MATCH(calculos_quadro!$G$295,calculos_quadro!$B$100:$U$100,0)),""))</f>
        <v/>
      </c>
    </row>
    <row r="62" ht="15.75" customHeight="1">
      <c r="B62" s="491" t="inlineStr">
        <is>
          <t xml:space="preserve">OCUPAÇÃO (P.P)</t>
        </is>
      </c>
      <c r="C62" s="155"/>
      <c r="D62" s="278" t="inlineStr">
        <is>
          <t xml:space="preserve">Posições Disponíveis</t>
        </is>
      </c>
      <c r="E62" s="277"/>
      <c r="F62" s="277"/>
      <c r="G62" s="277"/>
      <c r="H62" s="286" t="str">
        <f>IF(calculos_quadro!$G$280="","",IFERROR(INDEX(calculos_quadro!$B$121:$U$121,MATCH(calculos_quadro!$G$280,calculos_quadro!$B$100:$U$100,0)),""))</f>
        <v/>
      </c>
      <c r="I62" s="286" t="str">
        <f>IF(calculos_quadro!$G$281="","",IFERROR(INDEX(calculos_quadro!$B$121:$U$121,MATCH(calculos_quadro!$G$281,calculos_quadro!$B$100:$U$100,0)),""))</f>
        <v/>
      </c>
      <c r="J62" s="286" t="str">
        <f>IF(calculos_quadro!$G$282="","",IFERROR(INDEX(calculos_quadro!$B$121:$U$121,MATCH(calculos_quadro!$G$282,calculos_quadro!$B$100:$U$100,0)),""))</f>
        <v/>
      </c>
      <c r="K62" s="285"/>
      <c r="L62" s="286" t="str">
        <f>IF(calculos_quadro!$G$283="","",IFERROR(INDEX(calculos_quadro!$B$121:$U$121,MATCH(calculos_quadro!$G$283,calculos_quadro!$B$100:$U$100,0)),""))</f>
        <v/>
      </c>
      <c r="M62" s="286" t="str">
        <f>IF(calculos_quadro!$G$284="","",IFERROR(INDEX(calculos_quadro!$B$121:$U$121,MATCH(calculos_quadro!$G$284,calculos_quadro!$B$100:$U$100,0)),""))</f>
        <v/>
      </c>
      <c r="N62" s="286" t="str">
        <f>IF(calculos_quadro!$G$285="","",IFERROR(INDEX(calculos_quadro!$B$121:$U$121,MATCH(calculos_quadro!$G$285,calculos_quadro!$B$100:$U$100,0)),""))</f>
        <v/>
      </c>
      <c r="O62" s="286" t="str">
        <f>IF(calculos_quadro!$G$286="","",IFERROR(INDEX(calculos_quadro!$B$121:$U$121,MATCH(calculos_quadro!$G$286,calculos_quadro!$B$100:$U$100,0)),""))</f>
        <v/>
      </c>
      <c r="P62" s="285"/>
      <c r="Q62" s="286" t="str">
        <f>IF(calculos_quadro!$G$287="","",IFERROR(INDEX(calculos_quadro!$B$121:$U$121,MATCH(calculos_quadro!$G$287,calculos_quadro!$B$100:$U$100,0)),""))</f>
        <v/>
      </c>
      <c r="R62" s="286" t="str">
        <f>IF(calculos_quadro!$G$288="","",IFERROR(INDEX(calculos_quadro!$B$121:$U$121,MATCH(calculos_quadro!$G$288,calculos_quadro!$B$100:$U$100,0)),""))</f>
        <v/>
      </c>
      <c r="S62" s="286" t="str">
        <f>IF(calculos_quadro!$G$289="","",IFERROR(INDEX(calculos_quadro!$B$121:$U$121,MATCH(calculos_quadro!$G$289,calculos_quadro!$B$100:$U$100,0)),""))</f>
        <v/>
      </c>
      <c r="T62" s="286" t="str">
        <f>IF(calculos_quadro!$G$290="","",IFERROR(INDEX(calculos_quadro!$B$121:$U$121,MATCH(calculos_quadro!$G$290,calculos_quadro!$B$100:$U$100,0)),""))</f>
        <v/>
      </c>
      <c r="U62" s="285"/>
      <c r="V62" s="286" t="str">
        <f>IF(calculos_quadro!$G$291="","",IFERROR(INDEX(calculos_quadro!$B$121:$U$121,MATCH(calculos_quadro!$G$291,calculos_quadro!$B$100:$U$100,0)),""))</f>
        <v/>
      </c>
      <c r="W62" s="286" t="str">
        <f>IF(calculos_quadro!$G$292="","",IFERROR(INDEX(calculos_quadro!$B$121:$U$121,MATCH(calculos_quadro!$G$292,calculos_quadro!$B$100:$U$100,0)),""))</f>
        <v/>
      </c>
      <c r="X62" s="286" t="str">
        <f>IF(calculos_quadro!$G$293="","",IFERROR(INDEX(calculos_quadro!$B$121:$U$121,MATCH(calculos_quadro!$G$293,calculos_quadro!$B$100:$U$100,0)),""))</f>
        <v/>
      </c>
      <c r="Y62" s="286" t="str">
        <f>IF(calculos_quadro!$G$294="","",IFERROR(INDEX(calculos_quadro!$B$121:$U$121,MATCH(calculos_quadro!$G$294,calculos_quadro!$B$100:$U$100,0)),""))</f>
        <v/>
      </c>
      <c r="Z62" s="286" t="str">
        <f>IF(calculos_quadro!$G$295="","",IFERROR(INDEX(calculos_quadro!$B$121:$U$121,MATCH(calculos_quadro!$G$295,calculos_quadro!$B$100:$U$100,0)),""))</f>
        <v/>
      </c>
    </row>
    <row r="63" ht="15.75" customHeight="1">
      <c r="B63" s="492"/>
      <c r="C63" s="201"/>
      <c r="D63" s="295" t="inlineStr">
        <is>
          <t xml:space="preserve">Posições Ocupadas</t>
        </is>
      </c>
      <c r="E63" s="294"/>
      <c r="F63" s="294"/>
      <c r="G63" s="294"/>
      <c r="H63" s="303" t="str">
        <f>IF(calculos_quadro!$G$280="","",IFERROR(INDEX(calculos_quadro!$B$122:$U$122,MATCH(calculos_quadro!$G$280,calculos_quadro!$B$100:$U$100,0)),""))</f>
        <v/>
      </c>
      <c r="I63" s="303" t="str">
        <f>IF(calculos_quadro!$G$281="","",IFERROR(INDEX(calculos_quadro!$B$122:$U$122,MATCH(calculos_quadro!$G$281,calculos_quadro!$B$100:$U$100,0)),""))</f>
        <v/>
      </c>
      <c r="J63" s="303" t="str">
        <f>IF(calculos_quadro!$G$282="","",IFERROR(INDEX(calculos_quadro!$B$122:$U$122,MATCH(calculos_quadro!$G$282,calculos_quadro!$B$100:$U$100,0)),""))</f>
        <v/>
      </c>
      <c r="K63" s="302"/>
      <c r="L63" s="303" t="str">
        <f>IF(calculos_quadro!$G$283="","",IFERROR(INDEX(calculos_quadro!$B$122:$U$122,MATCH(calculos_quadro!$G$283,calculos_quadro!$B$100:$U$100,0)),""))</f>
        <v/>
      </c>
      <c r="M63" s="303" t="str">
        <f>IF(calculos_quadro!$G$284="","",IFERROR(INDEX(calculos_quadro!$B$122:$U$122,MATCH(calculos_quadro!$G$284,calculos_quadro!$B$100:$U$100,0)),""))</f>
        <v/>
      </c>
      <c r="N63" s="303" t="str">
        <f>IF(calculos_quadro!$G$285="","",IFERROR(INDEX(calculos_quadro!$B$122:$U$122,MATCH(calculos_quadro!$G$285,calculos_quadro!$B$100:$U$100,0)),""))</f>
        <v/>
      </c>
      <c r="O63" s="303" t="str">
        <f>IF(calculos_quadro!$G$286="","",IFERROR(INDEX(calculos_quadro!$B$122:$U$122,MATCH(calculos_quadro!$G$286,calculos_quadro!$B$100:$U$100,0)),""))</f>
        <v/>
      </c>
      <c r="P63" s="302"/>
      <c r="Q63" s="303" t="str">
        <f>IF(calculos_quadro!$G$287="","",IFERROR(INDEX(calculos_quadro!$B$122:$U$122,MATCH(calculos_quadro!$G$287,calculos_quadro!$B$100:$U$100,0)),""))</f>
        <v/>
      </c>
      <c r="R63" s="303" t="str">
        <f>IF(calculos_quadro!$G$288="","",IFERROR(INDEX(calculos_quadro!$B$122:$U$122,MATCH(calculos_quadro!$G$288,calculos_quadro!$B$100:$U$100,0)),""))</f>
        <v/>
      </c>
      <c r="S63" s="303" t="str">
        <f>IF(calculos_quadro!$G$289="","",IFERROR(INDEX(calculos_quadro!$B$122:$U$122,MATCH(calculos_quadro!$G$289,calculos_quadro!$B$100:$U$100,0)),""))</f>
        <v/>
      </c>
      <c r="T63" s="303" t="str">
        <f>IF(calculos_quadro!$G$290="","",IFERROR(INDEX(calculos_quadro!$B$122:$U$122,MATCH(calculos_quadro!$G$290,calculos_quadro!$B$100:$U$100,0)),""))</f>
        <v/>
      </c>
      <c r="U63" s="302"/>
      <c r="V63" s="303" t="str">
        <f>IF(calculos_quadro!$G$291="","",IFERROR(INDEX(calculos_quadro!$B$122:$U$122,MATCH(calculos_quadro!$G$291,calculos_quadro!$B$100:$U$100,0)),""))</f>
        <v/>
      </c>
      <c r="W63" s="303" t="str">
        <f>IF(calculos_quadro!$G$292="","",IFERROR(INDEX(calculos_quadro!$B$122:$U$122,MATCH(calculos_quadro!$G$292,calculos_quadro!$B$100:$U$100,0)),""))</f>
        <v/>
      </c>
      <c r="X63" s="303" t="str">
        <f>IF(calculos_quadro!$G$293="","",IFERROR(INDEX(calculos_quadro!$B$122:$U$122,MATCH(calculos_quadro!$G$293,calculos_quadro!$B$100:$U$100,0)),""))</f>
        <v/>
      </c>
      <c r="Y63" s="303" t="str">
        <f>IF(calculos_quadro!$G$294="","",IFERROR(INDEX(calculos_quadro!$B$122:$U$122,MATCH(calculos_quadro!$G$294,calculos_quadro!$B$100:$U$100,0)),""))</f>
        <v/>
      </c>
      <c r="Z63" s="303" t="str">
        <f>IF(calculos_quadro!$G$295="","",IFERROR(INDEX(calculos_quadro!$B$122:$U$122,MATCH(calculos_quadro!$G$295,calculos_quadro!$B$100:$U$100,0)),""))</f>
        <v/>
      </c>
    </row>
    <row r="64" ht="15.75" customHeight="1">
      <c r="B64" s="493"/>
      <c r="C64" s="162"/>
      <c r="D64" s="314" t="inlineStr">
        <is>
          <t xml:space="preserve">Taxa de Ocupação</t>
        </is>
      </c>
      <c r="E64" s="313"/>
      <c r="F64" s="313"/>
      <c r="G64" s="313"/>
      <c r="H64" s="326" t="str">
        <f>IF(calculos_quadro!$G$280="","",IFERROR(INDEX(calculos_quadro!$B$123:$U$123,MATCH(calculos_quadro!$G$280,calculos_quadro!$B$100:$U$100,0)),""))</f>
        <v/>
      </c>
      <c r="I64" s="326" t="str">
        <f>IF(calculos_quadro!$G$281="","",IFERROR(INDEX(calculos_quadro!$B$123:$U$123,MATCH(calculos_quadro!$G$281,calculos_quadro!$B$100:$U$100,0)),""))</f>
        <v/>
      </c>
      <c r="J64" s="326" t="str">
        <f>IF(calculos_quadro!$G$282="","",IFERROR(INDEX(calculos_quadro!$B$123:$U$123,MATCH(calculos_quadro!$G$282,calculos_quadro!$B$100:$U$100,0)),""))</f>
        <v/>
      </c>
      <c r="K64" s="325"/>
      <c r="L64" s="326" t="str">
        <f>IF(calculos_quadro!$G$283="","",IFERROR(INDEX(calculos_quadro!$B$123:$U$123,MATCH(calculos_quadro!$G$283,calculos_quadro!$B$100:$U$100,0)),""))</f>
        <v/>
      </c>
      <c r="M64" s="326" t="str">
        <f>IF(calculos_quadro!$G$284="","",IFERROR(INDEX(calculos_quadro!$B$123:$U$123,MATCH(calculos_quadro!$G$284,calculos_quadro!$B$100:$U$100,0)),""))</f>
        <v/>
      </c>
      <c r="N64" s="326" t="str">
        <f>IF(calculos_quadro!$G$285="","",IFERROR(INDEX(calculos_quadro!$B$123:$U$123,MATCH(calculos_quadro!$G$285,calculos_quadro!$B$100:$U$100,0)),""))</f>
        <v/>
      </c>
      <c r="O64" s="326" t="str">
        <f>IF(calculos_quadro!$G$286="","",IFERROR(INDEX(calculos_quadro!$B$123:$U$123,MATCH(calculos_quadro!$G$286,calculos_quadro!$B$100:$U$100,0)),""))</f>
        <v/>
      </c>
      <c r="P64" s="325"/>
      <c r="Q64" s="326" t="str">
        <f>IF(calculos_quadro!$G$287="","",IFERROR(INDEX(calculos_quadro!$B$123:$U$123,MATCH(calculos_quadro!$G$287,calculos_quadro!$B$100:$U$100,0)),""))</f>
        <v/>
      </c>
      <c r="R64" s="326" t="str">
        <f>IF(calculos_quadro!$G$288="","",IFERROR(INDEX(calculos_quadro!$B$123:$U$123,MATCH(calculos_quadro!$G$288,calculos_quadro!$B$100:$U$100,0)),""))</f>
        <v/>
      </c>
      <c r="S64" s="326" t="str">
        <f>IF(calculos_quadro!$G$289="","",IFERROR(INDEX(calculos_quadro!$B$123:$U$123,MATCH(calculos_quadro!$G$289,calculos_quadro!$B$100:$U$100,0)),""))</f>
        <v/>
      </c>
      <c r="T64" s="326" t="str">
        <f>IF(calculos_quadro!$G$290="","",IFERROR(INDEX(calculos_quadro!$B$123:$U$123,MATCH(calculos_quadro!$G$290,calculos_quadro!$B$100:$U$100,0)),""))</f>
        <v/>
      </c>
      <c r="U64" s="325"/>
      <c r="V64" s="326" t="str">
        <f>IF(calculos_quadro!$G$291="","",IFERROR(INDEX(calculos_quadro!$B$123:$U$123,MATCH(calculos_quadro!$G$291,calculos_quadro!$B$100:$U$100,0)),""))</f>
        <v/>
      </c>
      <c r="W64" s="326" t="str">
        <f>IF(calculos_quadro!$G$292="","",IFERROR(INDEX(calculos_quadro!$B$123:$U$123,MATCH(calculos_quadro!$G$292,calculos_quadro!$B$100:$U$100,0)),""))</f>
        <v/>
      </c>
      <c r="X64" s="326" t="str">
        <f>IF(calculos_quadro!$G$293="","",IFERROR(INDEX(calculos_quadro!$B$123:$U$123,MATCH(calculos_quadro!$G$293,calculos_quadro!$B$100:$U$100,0)),""))</f>
        <v/>
      </c>
      <c r="Y64" s="326" t="str">
        <f>IF(calculos_quadro!$G$294="","",IFERROR(INDEX(calculos_quadro!$B$123:$U$123,MATCH(calculos_quadro!$G$294,calculos_quadro!$B$100:$U$100,0)),""))</f>
        <v/>
      </c>
      <c r="Z64" s="326" t="str">
        <f>IF(calculos_quadro!$G$295="","",IFERROR(INDEX(calculos_quadro!$B$123:$U$123,MATCH(calculos_quadro!$G$295,calculos_quadro!$B$100:$U$100,0)),""))</f>
        <v/>
      </c>
    </row>
    <row r="65" ht="15.75" customHeight="1">
      <c r="B65" s="500" t="inlineStr">
        <is>
          <t xml:space="preserve">GENTE</t>
        </is>
      </c>
      <c r="C65" s="212"/>
      <c r="D65" s="441" t="inlineStr">
        <is>
          <t xml:space="preserve">Efetivo Op.</t>
        </is>
      </c>
      <c r="E65" s="440"/>
      <c r="F65" s="440"/>
      <c r="G65" s="440"/>
      <c r="H65" s="449" t="str">
        <f>IF(calculos_quadro!$G$280="","",IFERROR(INDEX(calculos_quadro!$B$124:$U$124,MATCH(calculos_quadro!$G$280,calculos_quadro!$B$100:$U$100,0)),""))</f>
        <v/>
      </c>
      <c r="I65" s="449" t="str">
        <f>IF(calculos_quadro!$G$281="","",IFERROR(INDEX(calculos_quadro!$B$124:$U$124,MATCH(calculos_quadro!$G$281,calculos_quadro!$B$100:$U$100,0)),""))</f>
        <v/>
      </c>
      <c r="J65" s="449" t="str">
        <f>IF(calculos_quadro!$G$282="","",IFERROR(INDEX(calculos_quadro!$B$124:$U$124,MATCH(calculos_quadro!$G$282,calculos_quadro!$B$100:$U$100,0)),""))</f>
        <v/>
      </c>
      <c r="K65" s="448"/>
      <c r="L65" s="449" t="str">
        <f>IF(calculos_quadro!$G$283="","",IFERROR(INDEX(calculos_quadro!$B$124:$U$124,MATCH(calculos_quadro!$G$283,calculos_quadro!$B$100:$U$100,0)),""))</f>
        <v/>
      </c>
      <c r="M65" s="449" t="str">
        <f>IF(calculos_quadro!$G$284="","",IFERROR(INDEX(calculos_quadro!$B$124:$U$124,MATCH(calculos_quadro!$G$284,calculos_quadro!$B$100:$U$100,0)),""))</f>
        <v/>
      </c>
      <c r="N65" s="449" t="str">
        <f>IF(calculos_quadro!$G$285="","",IFERROR(INDEX(calculos_quadro!$B$124:$U$124,MATCH(calculos_quadro!$G$285,calculos_quadro!$B$100:$U$100,0)),""))</f>
        <v/>
      </c>
      <c r="O65" s="449" t="str">
        <f>IF(calculos_quadro!$G$286="","",IFERROR(INDEX(calculos_quadro!$B$124:$U$124,MATCH(calculos_quadro!$G$286,calculos_quadro!$B$100:$U$100,0)),""))</f>
        <v/>
      </c>
      <c r="P65" s="448"/>
      <c r="Q65" s="449" t="str">
        <f>IF(calculos_quadro!$G$287="","",IFERROR(INDEX(calculos_quadro!$B$124:$U$124,MATCH(calculos_quadro!$G$287,calculos_quadro!$B$100:$U$100,0)),""))</f>
        <v/>
      </c>
      <c r="R65" s="449" t="str">
        <f>IF(calculos_quadro!$G$288="","",IFERROR(INDEX(calculos_quadro!$B$124:$U$124,MATCH(calculos_quadro!$G$288,calculos_quadro!$B$100:$U$100,0)),""))</f>
        <v/>
      </c>
      <c r="S65" s="449" t="str">
        <f>IF(calculos_quadro!$G$289="","",IFERROR(INDEX(calculos_quadro!$B$124:$U$124,MATCH(calculos_quadro!$G$289,calculos_quadro!$B$100:$U$100,0)),""))</f>
        <v/>
      </c>
      <c r="T65" s="449" t="str">
        <f>IF(calculos_quadro!$G$290="","",IFERROR(INDEX(calculos_quadro!$B$124:$U$124,MATCH(calculos_quadro!$G$290,calculos_quadro!$B$100:$U$100,0)),""))</f>
        <v/>
      </c>
      <c r="U65" s="448"/>
      <c r="V65" s="449" t="str">
        <f>IF(calculos_quadro!$G$291="","",IFERROR(INDEX(calculos_quadro!$B$124:$U$124,MATCH(calculos_quadro!$G$291,calculos_quadro!$B$100:$U$100,0)),""))</f>
        <v/>
      </c>
      <c r="W65" s="449" t="str">
        <f>IF(calculos_quadro!$G$292="","",IFERROR(INDEX(calculos_quadro!$B$124:$U$124,MATCH(calculos_quadro!$G$292,calculos_quadro!$B$100:$U$100,0)),""))</f>
        <v/>
      </c>
      <c r="X65" s="449" t="str">
        <f>IF(calculos_quadro!$G$293="","",IFERROR(INDEX(calculos_quadro!$B$124:$U$124,MATCH(calculos_quadro!$G$293,calculos_quadro!$B$100:$U$100,0)),""))</f>
        <v/>
      </c>
      <c r="Y65" s="449" t="str">
        <f>IF(calculos_quadro!$G$294="","",IFERROR(INDEX(calculos_quadro!$B$124:$U$124,MATCH(calculos_quadro!$G$294,calculos_quadro!$B$100:$U$100,0)),""))</f>
        <v/>
      </c>
      <c r="Z65" s="449" t="str">
        <f>IF(calculos_quadro!$G$295="","",IFERROR(INDEX(calculos_quadro!$B$124:$U$124,MATCH(calculos_quadro!$G$295,calculos_quadro!$B$100:$U$100,0)),""))</f>
        <v/>
      </c>
    </row>
    <row r="66" ht="15.75" customHeight="1">
      <c r="B66" s="501"/>
      <c r="C66" s="219"/>
      <c r="D66" s="458" t="inlineStr">
        <is>
          <t xml:space="preserve">Falta</t>
        </is>
      </c>
      <c r="E66" s="457"/>
      <c r="F66" s="457"/>
      <c r="G66" s="457"/>
      <c r="H66" s="466">
        <f>IF(calculos_quadro!$G$280="","",IFERROR(INDEX(calculos_quadro!$B$125:$U$125,MATCH(calculos_quadro!$G$280,calculos_quadro!$B$100:$U$100,0)),""))</f>
        <v>0</v>
      </c>
      <c r="I66" s="466">
        <f>IF(calculos_quadro!$G$281="","",IFERROR(INDEX(calculos_quadro!$B$125:$U$125,MATCH(calculos_quadro!$G$281,calculos_quadro!$B$100:$U$100,0)),""))</f>
        <v>0</v>
      </c>
      <c r="J66" s="466">
        <f>IF(calculos_quadro!$G$282="","",IFERROR(INDEX(calculos_quadro!$B$125:$U$125,MATCH(calculos_quadro!$G$282,calculos_quadro!$B$100:$U$100,0)),""))</f>
        <v>0</v>
      </c>
      <c r="K66" s="465"/>
      <c r="L66" s="466">
        <f>IF(calculos_quadro!$G$283="","",IFERROR(INDEX(calculos_quadro!$B$125:$U$125,MATCH(calculos_quadro!$G$283,calculos_quadro!$B$100:$U$100,0)),""))</f>
        <v>0</v>
      </c>
      <c r="M66" s="466">
        <f>IF(calculos_quadro!$G$284="","",IFERROR(INDEX(calculos_quadro!$B$125:$U$125,MATCH(calculos_quadro!$G$284,calculos_quadro!$B$100:$U$100,0)),""))</f>
        <v>0</v>
      </c>
      <c r="N66" s="466">
        <f>IF(calculos_quadro!$G$285="","",IFERROR(INDEX(calculos_quadro!$B$125:$U$125,MATCH(calculos_quadro!$G$285,calculos_quadro!$B$100:$U$100,0)),""))</f>
        <v>0</v>
      </c>
      <c r="O66" s="466">
        <f>IF(calculos_quadro!$G$286="","",IFERROR(INDEX(calculos_quadro!$B$125:$U$125,MATCH(calculos_quadro!$G$286,calculos_quadro!$B$100:$U$100,0)),""))</f>
        <v>0</v>
      </c>
      <c r="P66" s="465"/>
      <c r="Q66" s="466">
        <f>IF(calculos_quadro!$G$287="","",IFERROR(INDEX(calculos_quadro!$B$125:$U$125,MATCH(calculos_quadro!$G$287,calculos_quadro!$B$100:$U$100,0)),""))</f>
        <v>0</v>
      </c>
      <c r="R66" s="466">
        <f>IF(calculos_quadro!$G$288="","",IFERROR(INDEX(calculos_quadro!$B$125:$U$125,MATCH(calculos_quadro!$G$288,calculos_quadro!$B$100:$U$100,0)),""))</f>
        <v>0</v>
      </c>
      <c r="S66" s="466">
        <f>IF(calculos_quadro!$G$289="","",IFERROR(INDEX(calculos_quadro!$B$125:$U$125,MATCH(calculos_quadro!$G$289,calculos_quadro!$B$100:$U$100,0)),""))</f>
        <v>0</v>
      </c>
      <c r="T66" s="466" t="str">
        <f>IF(calculos_quadro!$G$290="","",IFERROR(INDEX(calculos_quadro!$B$125:$U$125,MATCH(calculos_quadro!$G$290,calculos_quadro!$B$100:$U$100,0)),""))</f>
        <v/>
      </c>
      <c r="U66" s="465"/>
      <c r="V66" s="466" t="str">
        <f>IF(calculos_quadro!$G$291="","",IFERROR(INDEX(calculos_quadro!$B$125:$U$125,MATCH(calculos_quadro!$G$291,calculos_quadro!$B$100:$U$100,0)),""))</f>
        <v/>
      </c>
      <c r="W66" s="466" t="str">
        <f>IF(calculos_quadro!$G$292="","",IFERROR(INDEX(calculos_quadro!$B$125:$U$125,MATCH(calculos_quadro!$G$292,calculos_quadro!$B$100:$U$100,0)),""))</f>
        <v/>
      </c>
      <c r="X66" s="466" t="str">
        <f>IF(calculos_quadro!$G$293="","",IFERROR(INDEX(calculos_quadro!$B$125:$U$125,MATCH(calculos_quadro!$G$293,calculos_quadro!$B$100:$U$100,0)),""))</f>
        <v/>
      </c>
      <c r="Y66" s="466" t="str">
        <f>IF(calculos_quadro!$G$294="","",IFERROR(INDEX(calculos_quadro!$B$125:$U$125,MATCH(calculos_quadro!$G$294,calculos_quadro!$B$100:$U$100,0)),""))</f>
        <v/>
      </c>
      <c r="Z66" s="466" t="str">
        <f>IF(calculos_quadro!$G$295="","",IFERROR(INDEX(calculos_quadro!$B$125:$U$125,MATCH(calculos_quadro!$G$295,calculos_quadro!$B$100:$U$100,0)),""))</f>
        <v/>
      </c>
    </row>
    <row r="67" ht="15.75" customHeight="1">
      <c r="B67" s="501"/>
      <c r="C67" s="219"/>
      <c r="D67" s="458" t="inlineStr">
        <is>
          <t xml:space="preserve">Folga</t>
        </is>
      </c>
      <c r="E67" s="457"/>
      <c r="F67" s="457"/>
      <c r="G67" s="457"/>
      <c r="H67" s="466">
        <f>IF(calculos_quadro!$G$280="","",IFERROR(INDEX(calculos_quadro!$B$126:$U$126,MATCH(calculos_quadro!$G$280,calculos_quadro!$B$100:$U$100,0)),""))</f>
        <v>0</v>
      </c>
      <c r="I67" s="466">
        <f>IF(calculos_quadro!$G$281="","",IFERROR(INDEX(calculos_quadro!$B$126:$U$126,MATCH(calculos_quadro!$G$281,calculos_quadro!$B$100:$U$100,0)),""))</f>
        <v>0</v>
      </c>
      <c r="J67" s="466">
        <f>IF(calculos_quadro!$G$282="","",IFERROR(INDEX(calculos_quadro!$B$126:$U$126,MATCH(calculos_quadro!$G$282,calculos_quadro!$B$100:$U$100,0)),""))</f>
        <v>0</v>
      </c>
      <c r="K67" s="465"/>
      <c r="L67" s="466">
        <f>IF(calculos_quadro!$G$283="","",IFERROR(INDEX(calculos_quadro!$B$126:$U$126,MATCH(calculos_quadro!$G$283,calculos_quadro!$B$100:$U$100,0)),""))</f>
        <v>0</v>
      </c>
      <c r="M67" s="466">
        <f>IF(calculos_quadro!$G$284="","",IFERROR(INDEX(calculos_quadro!$B$126:$U$126,MATCH(calculos_quadro!$G$284,calculos_quadro!$B$100:$U$100,0)),""))</f>
        <v>0</v>
      </c>
      <c r="N67" s="466">
        <f>IF(calculos_quadro!$G$285="","",IFERROR(INDEX(calculos_quadro!$B$126:$U$126,MATCH(calculos_quadro!$G$285,calculos_quadro!$B$100:$U$100,0)),""))</f>
        <v>0</v>
      </c>
      <c r="O67" s="466">
        <f>IF(calculos_quadro!$G$286="","",IFERROR(INDEX(calculos_quadro!$B$126:$U$126,MATCH(calculos_quadro!$G$286,calculos_quadro!$B$100:$U$100,0)),""))</f>
        <v>0</v>
      </c>
      <c r="P67" s="465"/>
      <c r="Q67" s="466">
        <f>IF(calculos_quadro!$G$287="","",IFERROR(INDEX(calculos_quadro!$B$126:$U$126,MATCH(calculos_quadro!$G$287,calculos_quadro!$B$100:$U$100,0)),""))</f>
        <v>0</v>
      </c>
      <c r="R67" s="466">
        <f>IF(calculos_quadro!$G$288="","",IFERROR(INDEX(calculos_quadro!$B$126:$U$126,MATCH(calculos_quadro!$G$288,calculos_quadro!$B$100:$U$100,0)),""))</f>
        <v>0</v>
      </c>
      <c r="S67" s="466">
        <f>IF(calculos_quadro!$G$289="","",IFERROR(INDEX(calculos_quadro!$B$126:$U$126,MATCH(calculos_quadro!$G$289,calculos_quadro!$B$100:$U$100,0)),""))</f>
        <v>0</v>
      </c>
      <c r="T67" s="466" t="str">
        <f>IF(calculos_quadro!$G$290="","",IFERROR(INDEX(calculos_quadro!$B$126:$U$126,MATCH(calculos_quadro!$G$290,calculos_quadro!$B$100:$U$100,0)),""))</f>
        <v/>
      </c>
      <c r="U67" s="465"/>
      <c r="V67" s="466" t="str">
        <f>IF(calculos_quadro!$G$291="","",IFERROR(INDEX(calculos_quadro!$B$126:$U$126,MATCH(calculos_quadro!$G$291,calculos_quadro!$B$100:$U$100,0)),""))</f>
        <v/>
      </c>
      <c r="W67" s="466" t="str">
        <f>IF(calculos_quadro!$G$292="","",IFERROR(INDEX(calculos_quadro!$B$126:$U$126,MATCH(calculos_quadro!$G$292,calculos_quadro!$B$100:$U$100,0)),""))</f>
        <v/>
      </c>
      <c r="X67" s="466" t="str">
        <f>IF(calculos_quadro!$G$293="","",IFERROR(INDEX(calculos_quadro!$B$126:$U$126,MATCH(calculos_quadro!$G$293,calculos_quadro!$B$100:$U$100,0)),""))</f>
        <v/>
      </c>
      <c r="Y67" s="466" t="str">
        <f>IF(calculos_quadro!$G$294="","",IFERROR(INDEX(calculos_quadro!$B$126:$U$126,MATCH(calculos_quadro!$G$294,calculos_quadro!$B$100:$U$100,0)),""))</f>
        <v/>
      </c>
      <c r="Z67" s="466" t="str">
        <f>IF(calculos_quadro!$G$295="","",IFERROR(INDEX(calculos_quadro!$B$126:$U$126,MATCH(calculos_quadro!$G$295,calculos_quadro!$B$100:$U$100,0)),""))</f>
        <v/>
      </c>
    </row>
    <row r="68" ht="15.75" customHeight="1">
      <c r="B68" s="501"/>
      <c r="C68" s="219"/>
      <c r="D68" s="458" t="inlineStr">
        <is>
          <t xml:space="preserve">Férias</t>
        </is>
      </c>
      <c r="E68" s="457"/>
      <c r="F68" s="457"/>
      <c r="G68" s="457"/>
      <c r="H68" s="466">
        <f>IF(calculos_quadro!$G$280="","",IFERROR(INDEX(calculos_quadro!$B$127:$U$127,MATCH(calculos_quadro!$G$280,calculos_quadro!$B$100:$U$100,0)),""))</f>
        <v>0</v>
      </c>
      <c r="I68" s="466">
        <f>IF(calculos_quadro!$G$281="","",IFERROR(INDEX(calculos_quadro!$B$127:$U$127,MATCH(calculos_quadro!$G$281,calculos_quadro!$B$100:$U$100,0)),""))</f>
        <v>0</v>
      </c>
      <c r="J68" s="466">
        <f>IF(calculos_quadro!$G$282="","",IFERROR(INDEX(calculos_quadro!$B$127:$U$127,MATCH(calculos_quadro!$G$282,calculos_quadro!$B$100:$U$100,0)),""))</f>
        <v>0</v>
      </c>
      <c r="K68" s="465"/>
      <c r="L68" s="466">
        <f>IF(calculos_quadro!$G$283="","",IFERROR(INDEX(calculos_quadro!$B$127:$U$127,MATCH(calculos_quadro!$G$283,calculos_quadro!$B$100:$U$100,0)),""))</f>
        <v>0</v>
      </c>
      <c r="M68" s="466">
        <f>IF(calculos_quadro!$G$284="","",IFERROR(INDEX(calculos_quadro!$B$127:$U$127,MATCH(calculos_quadro!$G$284,calculos_quadro!$B$100:$U$100,0)),""))</f>
        <v>0</v>
      </c>
      <c r="N68" s="466">
        <f>IF(calculos_quadro!$G$285="","",IFERROR(INDEX(calculos_quadro!$B$127:$U$127,MATCH(calculos_quadro!$G$285,calculos_quadro!$B$100:$U$100,0)),""))</f>
        <v>0</v>
      </c>
      <c r="O68" s="466">
        <f>IF(calculos_quadro!$G$286="","",IFERROR(INDEX(calculos_quadro!$B$127:$U$127,MATCH(calculos_quadro!$G$286,calculos_quadro!$B$100:$U$100,0)),""))</f>
        <v>0</v>
      </c>
      <c r="P68" s="465"/>
      <c r="Q68" s="466">
        <f>IF(calculos_quadro!$G$287="","",IFERROR(INDEX(calculos_quadro!$B$127:$U$127,MATCH(calculos_quadro!$G$287,calculos_quadro!$B$100:$U$100,0)),""))</f>
        <v>0</v>
      </c>
      <c r="R68" s="466">
        <f>IF(calculos_quadro!$G$288="","",IFERROR(INDEX(calculos_quadro!$B$127:$U$127,MATCH(calculos_quadro!$G$288,calculos_quadro!$B$100:$U$100,0)),""))</f>
        <v>0</v>
      </c>
      <c r="S68" s="466">
        <f>IF(calculos_quadro!$G$289="","",IFERROR(INDEX(calculos_quadro!$B$127:$U$127,MATCH(calculos_quadro!$G$289,calculos_quadro!$B$100:$U$100,0)),""))</f>
        <v>0</v>
      </c>
      <c r="T68" s="466" t="str">
        <f>IF(calculos_quadro!$G$290="","",IFERROR(INDEX(calculos_quadro!$B$127:$U$127,MATCH(calculos_quadro!$G$290,calculos_quadro!$B$100:$U$100,0)),""))</f>
        <v/>
      </c>
      <c r="U68" s="465"/>
      <c r="V68" s="466" t="str">
        <f>IF(calculos_quadro!$G$291="","",IFERROR(INDEX(calculos_quadro!$B$127:$U$127,MATCH(calculos_quadro!$G$291,calculos_quadro!$B$100:$U$100,0)),""))</f>
        <v/>
      </c>
      <c r="W68" s="466" t="str">
        <f>IF(calculos_quadro!$G$292="","",IFERROR(INDEX(calculos_quadro!$B$127:$U$127,MATCH(calculos_quadro!$G$292,calculos_quadro!$B$100:$U$100,0)),""))</f>
        <v/>
      </c>
      <c r="X68" s="466" t="str">
        <f>IF(calculos_quadro!$G$293="","",IFERROR(INDEX(calculos_quadro!$B$127:$U$127,MATCH(calculos_quadro!$G$293,calculos_quadro!$B$100:$U$100,0)),""))</f>
        <v/>
      </c>
      <c r="Y68" s="466" t="str">
        <f>IF(calculos_quadro!$G$294="","",IFERROR(INDEX(calculos_quadro!$B$127:$U$127,MATCH(calculos_quadro!$G$294,calculos_quadro!$B$100:$U$100,0)),""))</f>
        <v/>
      </c>
      <c r="Z68" s="466" t="str">
        <f>IF(calculos_quadro!$G$295="","",IFERROR(INDEX(calculos_quadro!$B$127:$U$127,MATCH(calculos_quadro!$G$295,calculos_quadro!$B$100:$U$100,0)),""))</f>
        <v/>
      </c>
    </row>
    <row r="69" ht="15.75" customHeight="1">
      <c r="B69" s="501"/>
      <c r="C69" s="219"/>
      <c r="D69" s="458" t="inlineStr">
        <is>
          <t xml:space="preserve">Desligamento</t>
        </is>
      </c>
      <c r="E69" s="457"/>
      <c r="F69" s="457"/>
      <c r="G69" s="457"/>
      <c r="H69" s="466">
        <f>IF(calculos_quadro!$G$280="","",IFERROR(INDEX(calculos_quadro!$B$128:$U$128,MATCH(calculos_quadro!$G$280,calculos_quadro!$B$100:$U$100,0)),""))</f>
        <v>0</v>
      </c>
      <c r="I69" s="466">
        <f>IF(calculos_quadro!$G$281="","",IFERROR(INDEX(calculos_quadro!$B$128:$U$128,MATCH(calculos_quadro!$G$281,calculos_quadro!$B$100:$U$100,0)),""))</f>
        <v>0</v>
      </c>
      <c r="J69" s="466">
        <f>IF(calculos_quadro!$G$282="","",IFERROR(INDEX(calculos_quadro!$B$128:$U$128,MATCH(calculos_quadro!$G$282,calculos_quadro!$B$100:$U$100,0)),""))</f>
        <v>0</v>
      </c>
      <c r="K69" s="465"/>
      <c r="L69" s="466">
        <f>IF(calculos_quadro!$G$283="","",IFERROR(INDEX(calculos_quadro!$B$128:$U$128,MATCH(calculos_quadro!$G$283,calculos_quadro!$B$100:$U$100,0)),""))</f>
        <v>0</v>
      </c>
      <c r="M69" s="466">
        <f>IF(calculos_quadro!$G$284="","",IFERROR(INDEX(calculos_quadro!$B$128:$U$128,MATCH(calculos_quadro!$G$284,calculos_quadro!$B$100:$U$100,0)),""))</f>
        <v>0</v>
      </c>
      <c r="N69" s="466">
        <f>IF(calculos_quadro!$G$285="","",IFERROR(INDEX(calculos_quadro!$B$128:$U$128,MATCH(calculos_quadro!$G$285,calculos_quadro!$B$100:$U$100,0)),""))</f>
        <v>0</v>
      </c>
      <c r="O69" s="466">
        <f>IF(calculos_quadro!$G$286="","",IFERROR(INDEX(calculos_quadro!$B$128:$U$128,MATCH(calculos_quadro!$G$286,calculos_quadro!$B$100:$U$100,0)),""))</f>
        <v>0</v>
      </c>
      <c r="P69" s="465"/>
      <c r="Q69" s="466">
        <f>IF(calculos_quadro!$G$287="","",IFERROR(INDEX(calculos_quadro!$B$128:$U$128,MATCH(calculos_quadro!$G$287,calculos_quadro!$B$100:$U$100,0)),""))</f>
        <v>0</v>
      </c>
      <c r="R69" s="466">
        <f>IF(calculos_quadro!$G$288="","",IFERROR(INDEX(calculos_quadro!$B$128:$U$128,MATCH(calculos_quadro!$G$288,calculos_quadro!$B$100:$U$100,0)),""))</f>
        <v>0</v>
      </c>
      <c r="S69" s="466">
        <f>IF(calculos_quadro!$G$289="","",IFERROR(INDEX(calculos_quadro!$B$128:$U$128,MATCH(calculos_quadro!$G$289,calculos_quadro!$B$100:$U$100,0)),""))</f>
        <v>0</v>
      </c>
      <c r="T69" s="466" t="str">
        <f>IF(calculos_quadro!$G$290="","",IFERROR(INDEX(calculos_quadro!$B$128:$U$128,MATCH(calculos_quadro!$G$290,calculos_quadro!$B$100:$U$100,0)),""))</f>
        <v/>
      </c>
      <c r="U69" s="465"/>
      <c r="V69" s="466" t="str">
        <f>IF(calculos_quadro!$G$291="","",IFERROR(INDEX(calculos_quadro!$B$128:$U$128,MATCH(calculos_quadro!$G$291,calculos_quadro!$B$100:$U$100,0)),""))</f>
        <v/>
      </c>
      <c r="W69" s="466" t="str">
        <f>IF(calculos_quadro!$G$292="","",IFERROR(INDEX(calculos_quadro!$B$128:$U$128,MATCH(calculos_quadro!$G$292,calculos_quadro!$B$100:$U$100,0)),""))</f>
        <v/>
      </c>
      <c r="X69" s="466" t="str">
        <f>IF(calculos_quadro!$G$293="","",IFERROR(INDEX(calculos_quadro!$B$128:$U$128,MATCH(calculos_quadro!$G$293,calculos_quadro!$B$100:$U$100,0)),""))</f>
        <v/>
      </c>
      <c r="Y69" s="466" t="str">
        <f>IF(calculos_quadro!$G$294="","",IFERROR(INDEX(calculos_quadro!$B$128:$U$128,MATCH(calculos_quadro!$G$294,calculos_quadro!$B$100:$U$100,0)),""))</f>
        <v/>
      </c>
      <c r="Z69" s="466" t="str">
        <f>IF(calculos_quadro!$G$295="","",IFERROR(INDEX(calculos_quadro!$B$128:$U$128,MATCH(calculos_quadro!$G$295,calculos_quadro!$B$100:$U$100,0)),""))</f>
        <v/>
      </c>
    </row>
    <row r="70" ht="15.75" customHeight="1">
      <c r="B70" s="501"/>
      <c r="C70" s="219"/>
      <c r="D70" s="458" t="inlineStr">
        <is>
          <t xml:space="preserve">Desvios Comportamentais</t>
        </is>
      </c>
      <c r="E70" s="457"/>
      <c r="F70" s="457"/>
      <c r="G70" s="457"/>
      <c r="H70" s="466">
        <f>IF(calculos_quadro!$G$280="","",IFERROR(INDEX(calculos_quadro!$B$129:$U$129,MATCH(calculos_quadro!$G$280,calculos_quadro!$B$100:$U$100,0)),""))</f>
        <v>0</v>
      </c>
      <c r="I70" s="466">
        <f>IF(calculos_quadro!$G$281="","",IFERROR(INDEX(calculos_quadro!$B$129:$U$129,MATCH(calculos_quadro!$G$281,calculos_quadro!$B$100:$U$100,0)),""))</f>
        <v>0</v>
      </c>
      <c r="J70" s="466">
        <f>IF(calculos_quadro!$G$282="","",IFERROR(INDEX(calculos_quadro!$B$129:$U$129,MATCH(calculos_quadro!$G$282,calculos_quadro!$B$100:$U$100,0)),""))</f>
        <v>0</v>
      </c>
      <c r="K70" s="465"/>
      <c r="L70" s="466">
        <f>IF(calculos_quadro!$G$283="","",IFERROR(INDEX(calculos_quadro!$B$129:$U$129,MATCH(calculos_quadro!$G$283,calculos_quadro!$B$100:$U$100,0)),""))</f>
        <v>0</v>
      </c>
      <c r="M70" s="466">
        <f>IF(calculos_quadro!$G$284="","",IFERROR(INDEX(calculos_quadro!$B$129:$U$129,MATCH(calculos_quadro!$G$284,calculos_quadro!$B$100:$U$100,0)),""))</f>
        <v>0</v>
      </c>
      <c r="N70" s="466">
        <f>IF(calculos_quadro!$G$285="","",IFERROR(INDEX(calculos_quadro!$B$129:$U$129,MATCH(calculos_quadro!$G$285,calculos_quadro!$B$100:$U$100,0)),""))</f>
        <v>0</v>
      </c>
      <c r="O70" s="466">
        <f>IF(calculos_quadro!$G$286="","",IFERROR(INDEX(calculos_quadro!$B$129:$U$129,MATCH(calculos_quadro!$G$286,calculos_quadro!$B$100:$U$100,0)),""))</f>
        <v>0</v>
      </c>
      <c r="P70" s="465"/>
      <c r="Q70" s="466">
        <f>IF(calculos_quadro!$G$287="","",IFERROR(INDEX(calculos_quadro!$B$129:$U$129,MATCH(calculos_quadro!$G$287,calculos_quadro!$B$100:$U$100,0)),""))</f>
        <v>0</v>
      </c>
      <c r="R70" s="466">
        <f>IF(calculos_quadro!$G$288="","",IFERROR(INDEX(calculos_quadro!$B$129:$U$129,MATCH(calculos_quadro!$G$288,calculos_quadro!$B$100:$U$100,0)),""))</f>
        <v>0</v>
      </c>
      <c r="S70" s="466">
        <f>IF(calculos_quadro!$G$289="","",IFERROR(INDEX(calculos_quadro!$B$129:$U$129,MATCH(calculos_quadro!$G$289,calculos_quadro!$B$100:$U$100,0)),""))</f>
        <v>0</v>
      </c>
      <c r="T70" s="466" t="str">
        <f>IF(calculos_quadro!$G$290="","",IFERROR(INDEX(calculos_quadro!$B$129:$U$129,MATCH(calculos_quadro!$G$290,calculos_quadro!$B$100:$U$100,0)),""))</f>
        <v/>
      </c>
      <c r="U70" s="465"/>
      <c r="V70" s="466" t="str">
        <f>IF(calculos_quadro!$G$291="","",IFERROR(INDEX(calculos_quadro!$B$129:$U$129,MATCH(calculos_quadro!$G$291,calculos_quadro!$B$100:$U$100,0)),""))</f>
        <v/>
      </c>
      <c r="W70" s="466" t="str">
        <f>IF(calculos_quadro!$G$292="","",IFERROR(INDEX(calculos_quadro!$B$129:$U$129,MATCH(calculos_quadro!$G$292,calculos_quadro!$B$100:$U$100,0)),""))</f>
        <v/>
      </c>
      <c r="X70" s="466" t="str">
        <f>IF(calculos_quadro!$G$293="","",IFERROR(INDEX(calculos_quadro!$B$129:$U$129,MATCH(calculos_quadro!$G$293,calculos_quadro!$B$100:$U$100,0)),""))</f>
        <v/>
      </c>
      <c r="Y70" s="466" t="str">
        <f>IF(calculos_quadro!$G$294="","",IFERROR(INDEX(calculos_quadro!$B$129:$U$129,MATCH(calculos_quadro!$G$294,calculos_quadro!$B$100:$U$100,0)),""))</f>
        <v/>
      </c>
      <c r="Z70" s="466" t="str">
        <f>IF(calculos_quadro!$G$295="","",IFERROR(INDEX(calculos_quadro!$B$129:$U$129,MATCH(calculos_quadro!$G$295,calculos_quadro!$B$100:$U$100,0)),""))</f>
        <v/>
      </c>
    </row>
    <row r="71" ht="15.75" customHeight="1">
      <c r="B71" s="501"/>
      <c r="C71" s="219"/>
      <c r="D71" s="458" t="inlineStr">
        <is>
          <t xml:space="preserve">Acidentes CAF</t>
        </is>
      </c>
      <c r="E71" s="457"/>
      <c r="F71" s="457"/>
      <c r="G71" s="457"/>
      <c r="H71" s="466">
        <f>IF(calculos_quadro!$G$280="","",IFERROR(INDEX(calculos_quadro!$B$130:$U$130,MATCH(calculos_quadro!$G$280,calculos_quadro!$B$100:$U$100,0)),""))</f>
        <v>0</v>
      </c>
      <c r="I71" s="466">
        <f>IF(calculos_quadro!$G$281="","",IFERROR(INDEX(calculos_quadro!$B$130:$U$130,MATCH(calculos_quadro!$G$281,calculos_quadro!$B$100:$U$100,0)),""))</f>
        <v>0</v>
      </c>
      <c r="J71" s="466">
        <f>IF(calculos_quadro!$G$282="","",IFERROR(INDEX(calculos_quadro!$B$130:$U$130,MATCH(calculos_quadro!$G$282,calculos_quadro!$B$100:$U$100,0)),""))</f>
        <v>0</v>
      </c>
      <c r="K71" s="465"/>
      <c r="L71" s="466">
        <f>IF(calculos_quadro!$G$283="","",IFERROR(INDEX(calculos_quadro!$B$130:$U$130,MATCH(calculos_quadro!$G$283,calculos_quadro!$B$100:$U$100,0)),""))</f>
        <v>0</v>
      </c>
      <c r="M71" s="466">
        <f>IF(calculos_quadro!$G$284="","",IFERROR(INDEX(calculos_quadro!$B$130:$U$130,MATCH(calculos_quadro!$G$284,calculos_quadro!$B$100:$U$100,0)),""))</f>
        <v>0</v>
      </c>
      <c r="N71" s="466">
        <f>IF(calculos_quadro!$G$285="","",IFERROR(INDEX(calculos_quadro!$B$130:$U$130,MATCH(calculos_quadro!$G$285,calculos_quadro!$B$100:$U$100,0)),""))</f>
        <v>0</v>
      </c>
      <c r="O71" s="466">
        <f>IF(calculos_quadro!$G$286="","",IFERROR(INDEX(calculos_quadro!$B$130:$U$130,MATCH(calculos_quadro!$G$286,calculos_quadro!$B$100:$U$100,0)),""))</f>
        <v>0</v>
      </c>
      <c r="P71" s="465"/>
      <c r="Q71" s="466">
        <f>IF(calculos_quadro!$G$287="","",IFERROR(INDEX(calculos_quadro!$B$130:$U$130,MATCH(calculos_quadro!$G$287,calculos_quadro!$B$100:$U$100,0)),""))</f>
        <v>0</v>
      </c>
      <c r="R71" s="466">
        <f>IF(calculos_quadro!$G$288="","",IFERROR(INDEX(calculos_quadro!$B$130:$U$130,MATCH(calculos_quadro!$G$288,calculos_quadro!$B$100:$U$100,0)),""))</f>
        <v>0</v>
      </c>
      <c r="S71" s="466">
        <f>IF(calculos_quadro!$G$289="","",IFERROR(INDEX(calculos_quadro!$B$130:$U$130,MATCH(calculos_quadro!$G$289,calculos_quadro!$B$100:$U$100,0)),""))</f>
        <v>0</v>
      </c>
      <c r="T71" s="466" t="str">
        <f>IF(calculos_quadro!$G$290="","",IFERROR(INDEX(calculos_quadro!$B$130:$U$130,MATCH(calculos_quadro!$G$290,calculos_quadro!$B$100:$U$100,0)),""))</f>
        <v/>
      </c>
      <c r="U71" s="465"/>
      <c r="V71" s="466" t="str">
        <f>IF(calculos_quadro!$G$291="","",IFERROR(INDEX(calculos_quadro!$B$130:$U$130,MATCH(calculos_quadro!$G$291,calculos_quadro!$B$100:$U$100,0)),""))</f>
        <v/>
      </c>
      <c r="W71" s="466" t="str">
        <f>IF(calculos_quadro!$G$292="","",IFERROR(INDEX(calculos_quadro!$B$130:$U$130,MATCH(calculos_quadro!$G$292,calculos_quadro!$B$100:$U$100,0)),""))</f>
        <v/>
      </c>
      <c r="X71" s="466" t="str">
        <f>IF(calculos_quadro!$G$293="","",IFERROR(INDEX(calculos_quadro!$B$130:$U$130,MATCH(calculos_quadro!$G$293,calculos_quadro!$B$100:$U$100,0)),""))</f>
        <v/>
      </c>
      <c r="Y71" s="466" t="str">
        <f>IF(calculos_quadro!$G$294="","",IFERROR(INDEX(calculos_quadro!$B$130:$U$130,MATCH(calculos_quadro!$G$294,calculos_quadro!$B$100:$U$100,0)),""))</f>
        <v/>
      </c>
      <c r="Z71" s="466" t="str">
        <f>IF(calculos_quadro!$G$295="","",IFERROR(INDEX(calculos_quadro!$B$130:$U$130,MATCH(calculos_quadro!$G$295,calculos_quadro!$B$100:$U$100,0)),""))</f>
        <v/>
      </c>
    </row>
    <row r="72" ht="15.75" customHeight="1">
      <c r="B72" s="502"/>
      <c r="C72" s="226"/>
      <c r="D72" s="475" t="inlineStr">
        <is>
          <t xml:space="preserve">Acidentes SAF</t>
        </is>
      </c>
      <c r="E72" s="474"/>
      <c r="F72" s="474"/>
      <c r="G72" s="474"/>
      <c r="H72" s="483">
        <f>IF(calculos_quadro!$G$280="","",IFERROR(INDEX(calculos_quadro!$B$131:$U$131,MATCH(calculos_quadro!$G$280,calculos_quadro!$B$100:$U$100,0)),""))</f>
        <v>0</v>
      </c>
      <c r="I72" s="483">
        <f>IF(calculos_quadro!$G$281="","",IFERROR(INDEX(calculos_quadro!$B$131:$U$131,MATCH(calculos_quadro!$G$281,calculos_quadro!$B$100:$U$100,0)),""))</f>
        <v>0</v>
      </c>
      <c r="J72" s="483">
        <f>IF(calculos_quadro!$G$282="","",IFERROR(INDEX(calculos_quadro!$B$131:$U$131,MATCH(calculos_quadro!$G$282,calculos_quadro!$B$100:$U$100,0)),""))</f>
        <v>0</v>
      </c>
      <c r="K72" s="482"/>
      <c r="L72" s="483">
        <f>IF(calculos_quadro!$G$283="","",IFERROR(INDEX(calculos_quadro!$B$131:$U$131,MATCH(calculos_quadro!$G$283,calculos_quadro!$B$100:$U$100,0)),""))</f>
        <v>0</v>
      </c>
      <c r="M72" s="483">
        <f>IF(calculos_quadro!$G$284="","",IFERROR(INDEX(calculos_quadro!$B$131:$U$131,MATCH(calculos_quadro!$G$284,calculos_quadro!$B$100:$U$100,0)),""))</f>
        <v>0</v>
      </c>
      <c r="N72" s="483">
        <f>IF(calculos_quadro!$G$285="","",IFERROR(INDEX(calculos_quadro!$B$131:$U$131,MATCH(calculos_quadro!$G$285,calculos_quadro!$B$100:$U$100,0)),""))</f>
        <v>0</v>
      </c>
      <c r="O72" s="483">
        <f>IF(calculos_quadro!$G$286="","",IFERROR(INDEX(calculos_quadro!$B$131:$U$131,MATCH(calculos_quadro!$G$286,calculos_quadro!$B$100:$U$100,0)),""))</f>
        <v>0</v>
      </c>
      <c r="P72" s="482"/>
      <c r="Q72" s="483">
        <f>IF(calculos_quadro!$G$287="","",IFERROR(INDEX(calculos_quadro!$B$131:$U$131,MATCH(calculos_quadro!$G$287,calculos_quadro!$B$100:$U$100,0)),""))</f>
        <v>0</v>
      </c>
      <c r="R72" s="483">
        <f>IF(calculos_quadro!$G$288="","",IFERROR(INDEX(calculos_quadro!$B$131:$U$131,MATCH(calculos_quadro!$G$288,calculos_quadro!$B$100:$U$100,0)),""))</f>
        <v>0</v>
      </c>
      <c r="S72" s="483">
        <f>IF(calculos_quadro!$G$289="","",IFERROR(INDEX(calculos_quadro!$B$131:$U$131,MATCH(calculos_quadro!$G$289,calculos_quadro!$B$100:$U$100,0)),""))</f>
        <v>0</v>
      </c>
      <c r="T72" s="483" t="str">
        <f>IF(calculos_quadro!$G$290="","",IFERROR(INDEX(calculos_quadro!$B$131:$U$131,MATCH(calculos_quadro!$G$290,calculos_quadro!$B$100:$U$100,0)),""))</f>
        <v/>
      </c>
      <c r="U72" s="482"/>
      <c r="V72" s="483" t="str">
        <f>IF(calculos_quadro!$G$291="","",IFERROR(INDEX(calculos_quadro!$B$131:$U$131,MATCH(calculos_quadro!$G$291,calculos_quadro!$B$100:$U$100,0)),""))</f>
        <v/>
      </c>
      <c r="W72" s="483" t="str">
        <f>IF(calculos_quadro!$G$292="","",IFERROR(INDEX(calculos_quadro!$B$131:$U$131,MATCH(calculos_quadro!$G$292,calculos_quadro!$B$100:$U$100,0)),""))</f>
        <v/>
      </c>
      <c r="X72" s="483" t="str">
        <f>IF(calculos_quadro!$G$293="","",IFERROR(INDEX(calculos_quadro!$B$131:$U$131,MATCH(calculos_quadro!$G$293,calculos_quadro!$B$100:$U$100,0)),""))</f>
        <v/>
      </c>
      <c r="Y72" s="483" t="str">
        <f>IF(calculos_quadro!$G$294="","",IFERROR(INDEX(calculos_quadro!$B$131:$U$131,MATCH(calculos_quadro!$G$294,calculos_quadro!$B$100:$U$100,0)),""))</f>
        <v/>
      </c>
      <c r="Z72" s="483" t="str">
        <f>IF(calculos_quadro!$G$295="","",IFERROR(INDEX(calculos_quadro!$B$131:$U$131,MATCH(calculos_quadro!$G$295,calculos_quadro!$B$100:$U$100,0)),""))</f>
        <v/>
      </c>
    </row>
    <row r="73">
      <c r="B73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35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B7:C15"/>
    <mergeCell ref="B16:C23"/>
    <mergeCell ref="B24:C26"/>
    <mergeCell ref="B27:C29"/>
    <mergeCell ref="B30:C37"/>
    <mergeCell ref="B40:Z40"/>
    <mergeCell ref="B41:C41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B42:C50"/>
    <mergeCell ref="B51:C58"/>
    <mergeCell ref="B59:C61"/>
    <mergeCell ref="B62:C64"/>
    <mergeCell ref="B65:C72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AND(ISNUMBER(T18),T18&gt;0)</formula>
    </cfRule>
  </conditionalFormatting>
  <conditionalFormatting sqref="T18">
    <cfRule type="expression" dxfId="11" priority="57">
      <formula>AND(ISNUMBER(T18),T18&lt;0)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AND(ISNUMBER(T19),T19&gt;0)</formula>
    </cfRule>
  </conditionalFormatting>
  <conditionalFormatting sqref="T19">
    <cfRule type="expression" dxfId="11" priority="62">
      <formula>AND(ISNUMBER(T19),T19&lt;0)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AND(ISNUMBER(T20),T20&gt;0)</formula>
    </cfRule>
  </conditionalFormatting>
  <conditionalFormatting sqref="T20">
    <cfRule type="expression" dxfId="11" priority="67">
      <formula>AND(ISNUMBER(T20),T20&lt;0)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AND(ISNUMBER(T21),T21&gt;0)</formula>
    </cfRule>
  </conditionalFormatting>
  <conditionalFormatting sqref="T21">
    <cfRule type="expression" dxfId="11" priority="72">
      <formula>AND(ISNUMBER(T21),T21&lt;0)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T22">
    <cfRule type="expression" dxfId="10" priority="76">
      <formula>AND(ISNUMBER(T22),T22&gt;0)</formula>
    </cfRule>
  </conditionalFormatting>
  <conditionalFormatting sqref="T22">
    <cfRule type="expression" dxfId="11" priority="77">
      <formula>AND(ISNUMBER(T22),T22&lt;0)</formula>
    </cfRule>
  </conditionalFormatting>
  <conditionalFormatting sqref="Y22">
    <cfRule type="expression" dxfId="10" priority="78">
      <formula>OR(Y22="meta atingida",Y22="dentro do limite",Y22="ocupação alta",Y22="excede o contratado")</formula>
    </cfRule>
  </conditionalFormatting>
  <conditionalFormatting sqref="Y22">
    <cfRule type="expression" dxfId="12" priority="79">
      <formula>OR(Y22="ocupação média",Y22="abaixo da meta")</formula>
    </cfRule>
  </conditionalFormatting>
  <conditionalFormatting sqref="Y22">
    <cfRule type="expression" dxfId="11" priority="80">
      <formula>OR(Y22="ociosidade alta",Y22="acima do limite")</formula>
    </cfRule>
  </conditionalFormatting>
  <conditionalFormatting sqref="T23">
    <cfRule type="expression" dxfId="10" priority="81">
      <formula>AND(ISNUMBER(T23),T23&gt;0)</formula>
    </cfRule>
  </conditionalFormatting>
  <conditionalFormatting sqref="T23">
    <cfRule type="expression" dxfId="11" priority="82">
      <formula>AND(ISNUMBER(T23),T23&lt;0)</formula>
    </cfRule>
  </conditionalFormatting>
  <conditionalFormatting sqref="Y23">
    <cfRule type="expression" dxfId="10" priority="83">
      <formula>OR(Y23="meta atingida",Y23="dentro do limite",Y23="ocupação alta",Y23="excede o contratado")</formula>
    </cfRule>
  </conditionalFormatting>
  <conditionalFormatting sqref="Y23">
    <cfRule type="expression" dxfId="12" priority="84">
      <formula>OR(Y23="ocupação média",Y23="abaixo da meta")</formula>
    </cfRule>
  </conditionalFormatting>
  <conditionalFormatting sqref="Y23">
    <cfRule type="expression" dxfId="11" priority="85">
      <formula>OR(Y23="ociosidade alta",Y23="acima do limite")</formula>
    </cfRule>
  </conditionalFormatting>
  <conditionalFormatting sqref="T24">
    <cfRule type="expression" dxfId="10" priority="86">
      <formula>AND(ISNUMBER(T24),T24&lt;0)</formula>
    </cfRule>
  </conditionalFormatting>
  <conditionalFormatting sqref="T24">
    <cfRule type="expression" dxfId="11" priority="87">
      <formula>AND(ISNUMBER(T24),T24&gt;0)</formula>
    </cfRule>
  </conditionalFormatting>
  <conditionalFormatting sqref="Y24">
    <cfRule type="expression" dxfId="10" priority="88">
      <formula>OR(Y24="meta atingida",Y24="dentro do limite",Y24="ocupação alta",Y24="excede o contratado")</formula>
    </cfRule>
  </conditionalFormatting>
  <conditionalFormatting sqref="Y24">
    <cfRule type="expression" dxfId="12" priority="89">
      <formula>OR(Y24="ocupação média",Y24="abaixo da meta")</formula>
    </cfRule>
  </conditionalFormatting>
  <conditionalFormatting sqref="Y24">
    <cfRule type="expression" dxfId="11" priority="90">
      <formula>OR(Y24="ociosidade alta",Y24="acima do limite")</formula>
    </cfRule>
  </conditionalFormatting>
  <conditionalFormatting sqref="T25">
    <cfRule type="expression" dxfId="10" priority="91">
      <formula>AND(ISNUMBER(T25),T25&lt;0)</formula>
    </cfRule>
  </conditionalFormatting>
  <conditionalFormatting sqref="T25">
    <cfRule type="expression" dxfId="11" priority="92">
      <formula>AND(ISNUMBER(T25),T25&gt;0)</formula>
    </cfRule>
  </conditionalFormatting>
  <conditionalFormatting sqref="Y25">
    <cfRule type="expression" dxfId="10" priority="93">
      <formula>OR(Y25="meta atingida",Y25="dentro do limite",Y25="ocupação alta",Y25="excede o contratado")</formula>
    </cfRule>
  </conditionalFormatting>
  <conditionalFormatting sqref="Y25">
    <cfRule type="expression" dxfId="12" priority="94">
      <formula>OR(Y25="ocupação média",Y25="abaixo da meta")</formula>
    </cfRule>
  </conditionalFormatting>
  <conditionalFormatting sqref="Y25">
    <cfRule type="expression" dxfId="11" priority="95">
      <formula>OR(Y25="ociosidade alta",Y25="acima do limite")</formula>
    </cfRule>
  </conditionalFormatting>
  <conditionalFormatting sqref="T26">
    <cfRule type="expression" dxfId="10" priority="96">
      <formula>AND(ISNUMBER(T26),T26&lt;0)</formula>
    </cfRule>
  </conditionalFormatting>
  <conditionalFormatting sqref="T26">
    <cfRule type="expression" dxfId="11" priority="97">
      <formula>AND(ISNUMBER(T26),T26&gt;0)</formula>
    </cfRule>
  </conditionalFormatting>
  <conditionalFormatting sqref="Y26">
    <cfRule type="expression" dxfId="10" priority="98">
      <formula>OR(Y26="meta atingida",Y26="dentro do limite",Y26="ocupação alta",Y26="excede o contratado")</formula>
    </cfRule>
  </conditionalFormatting>
  <conditionalFormatting sqref="Y26">
    <cfRule type="expression" dxfId="12" priority="99">
      <formula>OR(Y26="ocupação média",Y26="abaixo da meta")</formula>
    </cfRule>
  </conditionalFormatting>
  <conditionalFormatting sqref="Y26">
    <cfRule type="expression" dxfId="11" priority="100">
      <formula>OR(Y26="ociosidade alta",Y26="acima do limite")</formula>
    </cfRule>
  </conditionalFormatting>
  <conditionalFormatting sqref="Y27">
    <cfRule type="expression" dxfId="10" priority="101">
      <formula>OR(Y27="meta atingida",Y27="dentro do limite",Y27="ocupação alta",Y27="excede o contratado")</formula>
    </cfRule>
  </conditionalFormatting>
  <conditionalFormatting sqref="Y27">
    <cfRule type="expression" dxfId="12" priority="102">
      <formula>OR(Y27="ocupação média",Y27="abaixo da meta")</formula>
    </cfRule>
  </conditionalFormatting>
  <conditionalFormatting sqref="Y27">
    <cfRule type="expression" dxfId="11" priority="103">
      <formula>OR(Y27="ociosidade alta",Y27="acima do limite")</formula>
    </cfRule>
  </conditionalFormatting>
  <conditionalFormatting sqref="Y28">
    <cfRule type="expression" dxfId="10" priority="104">
      <formula>OR(Y28="meta atingida",Y28="dentro do limite",Y28="ocupação alta",Y28="excede o contratado")</formula>
    </cfRule>
  </conditionalFormatting>
  <conditionalFormatting sqref="Y28">
    <cfRule type="expression" dxfId="12" priority="105">
      <formula>OR(Y28="ocupação média",Y28="abaixo da meta")</formula>
    </cfRule>
  </conditionalFormatting>
  <conditionalFormatting sqref="Y28">
    <cfRule type="expression" dxfId="11" priority="106">
      <formula>OR(Y28="ociosidade alta",Y28="acima do limite")</formula>
    </cfRule>
  </conditionalFormatting>
  <conditionalFormatting sqref="Y29">
    <cfRule type="expression" dxfId="10" priority="107">
      <formula>OR(Y29="meta atingida",Y29="dentro do limite",Y29="ocupação alta",Y29="excede o contratado")</formula>
    </cfRule>
  </conditionalFormatting>
  <conditionalFormatting sqref="Y29">
    <cfRule type="expression" dxfId="12" priority="108">
      <formula>OR(Y29="ocupação média",Y29="abaixo da meta")</formula>
    </cfRule>
  </conditionalFormatting>
  <conditionalFormatting sqref="Y29">
    <cfRule type="expression" dxfId="11" priority="109">
      <formula>OR(Y29="ociosidade alta",Y29="acima do limite")</formula>
    </cfRule>
  </conditionalFormatting>
  <conditionalFormatting sqref="T30">
    <cfRule type="expression" dxfId="10" priority="110">
      <formula>AND(ISNUMBER(T30),T30&gt;0)</formula>
    </cfRule>
  </conditionalFormatting>
  <conditionalFormatting sqref="T30">
    <cfRule type="expression" dxfId="11" priority="111">
      <formula>AND(ISNUMBER(T30),T30&lt;0)</formula>
    </cfRule>
  </conditionalFormatting>
  <conditionalFormatting sqref="Y30">
    <cfRule type="expression" dxfId="10" priority="112">
      <formula>OR(Y30="meta atingida",Y30="dentro do limite",Y30="ocupação alta",Y30="excede o contratado")</formula>
    </cfRule>
  </conditionalFormatting>
  <conditionalFormatting sqref="Y30">
    <cfRule type="expression" dxfId="12" priority="113">
      <formula>OR(Y30="ocupação média",Y30="abaixo da meta")</formula>
    </cfRule>
  </conditionalFormatting>
  <conditionalFormatting sqref="Y30">
    <cfRule type="expression" dxfId="11" priority="114">
      <formula>OR(Y30="ociosidade alta",Y30="acima do limite")</formula>
    </cfRule>
  </conditionalFormatting>
  <conditionalFormatting sqref="T31">
    <cfRule type="expression" dxfId="10" priority="115">
      <formula>AND(ISNUMBER(T31),T31&lt;0)</formula>
    </cfRule>
  </conditionalFormatting>
  <conditionalFormatting sqref="T31">
    <cfRule type="expression" dxfId="11" priority="116">
      <formula>AND(ISNUMBER(T31),T31&gt;0)</formula>
    </cfRule>
  </conditionalFormatting>
  <conditionalFormatting sqref="Y31">
    <cfRule type="expression" dxfId="10" priority="117">
      <formula>OR(Y31="meta atingida",Y31="dentro do limite",Y31="ocupação alta",Y31="excede o contratado")</formula>
    </cfRule>
  </conditionalFormatting>
  <conditionalFormatting sqref="Y31">
    <cfRule type="expression" dxfId="12" priority="118">
      <formula>OR(Y31="ocupação média",Y31="abaixo da meta")</formula>
    </cfRule>
  </conditionalFormatting>
  <conditionalFormatting sqref="Y31">
    <cfRule type="expression" dxfId="11" priority="119">
      <formula>OR(Y31="ociosidade alta",Y31="acima do limite")</formula>
    </cfRule>
  </conditionalFormatting>
  <conditionalFormatting sqref="Y32">
    <cfRule type="expression" dxfId="10" priority="120">
      <formula>OR(Y32="meta atingida",Y32="dentro do limite",Y32="ocupação alta",Y32="excede o contratado")</formula>
    </cfRule>
  </conditionalFormatting>
  <conditionalFormatting sqref="Y32">
    <cfRule type="expression" dxfId="12" priority="121">
      <formula>OR(Y32="ocupação média",Y32="abaixo da meta")</formula>
    </cfRule>
  </conditionalFormatting>
  <conditionalFormatting sqref="Y32">
    <cfRule type="expression" dxfId="11" priority="122">
      <formula>OR(Y32="ociosidade alta",Y32="acima do limite")</formula>
    </cfRule>
  </conditionalFormatting>
  <conditionalFormatting sqref="Y33">
    <cfRule type="expression" dxfId="10" priority="123">
      <formula>OR(Y33="meta atingida",Y33="dentro do limite",Y33="ocupação alta",Y33="excede o contratado")</formula>
    </cfRule>
  </conditionalFormatting>
  <conditionalFormatting sqref="Y33">
    <cfRule type="expression" dxfId="12" priority="124">
      <formula>OR(Y33="ocupação média",Y33="abaixo da meta")</formula>
    </cfRule>
  </conditionalFormatting>
  <conditionalFormatting sqref="Y33">
    <cfRule type="expression" dxfId="11" priority="125">
      <formula>OR(Y33="ociosidade alta",Y33="acima do limite")</formula>
    </cfRule>
  </conditionalFormatting>
  <conditionalFormatting sqref="T34">
    <cfRule type="expression" dxfId="10" priority="126">
      <formula>AND(ISNUMBER(T34),T34&lt;0)</formula>
    </cfRule>
  </conditionalFormatting>
  <conditionalFormatting sqref="T34">
    <cfRule type="expression" dxfId="11" priority="127">
      <formula>AND(ISNUMBER(T34),T34&gt;0)</formula>
    </cfRule>
  </conditionalFormatting>
  <conditionalFormatting sqref="Y34">
    <cfRule type="expression" dxfId="10" priority="128">
      <formula>OR(Y34="meta atingida",Y34="dentro do limite",Y34="ocupação alta",Y34="excede o contratado")</formula>
    </cfRule>
  </conditionalFormatting>
  <conditionalFormatting sqref="Y34">
    <cfRule type="expression" dxfId="12" priority="129">
      <formula>OR(Y34="ocupação média",Y34="abaixo da meta")</formula>
    </cfRule>
  </conditionalFormatting>
  <conditionalFormatting sqref="Y34">
    <cfRule type="expression" dxfId="11" priority="130">
      <formula>OR(Y34="ociosidade alta",Y34="acima do limite")</formula>
    </cfRule>
  </conditionalFormatting>
  <conditionalFormatting sqref="T35">
    <cfRule type="expression" dxfId="10" priority="131">
      <formula>AND(ISNUMBER(T35),T35&lt;0)</formula>
    </cfRule>
  </conditionalFormatting>
  <conditionalFormatting sqref="T35">
    <cfRule type="expression" dxfId="11" priority="132">
      <formula>AND(ISNUMBER(T35),T35&gt;0)</formula>
    </cfRule>
  </conditionalFormatting>
  <conditionalFormatting sqref="Y35">
    <cfRule type="expression" dxfId="10" priority="133">
      <formula>OR(Y35="meta atingida",Y35="dentro do limite",Y35="ocupação alta",Y35="excede o contratado")</formula>
    </cfRule>
  </conditionalFormatting>
  <conditionalFormatting sqref="Y35">
    <cfRule type="expression" dxfId="12" priority="134">
      <formula>OR(Y35="ocupação média",Y35="abaixo da meta")</formula>
    </cfRule>
  </conditionalFormatting>
  <conditionalFormatting sqref="Y35">
    <cfRule type="expression" dxfId="11" priority="135">
      <formula>OR(Y35="ociosidade alta",Y35="acima do limite")</formula>
    </cfRule>
  </conditionalFormatting>
  <conditionalFormatting sqref="T36">
    <cfRule type="expression" dxfId="10" priority="136">
      <formula>AND(ISNUMBER(T36),T36&lt;0)</formula>
    </cfRule>
  </conditionalFormatting>
  <conditionalFormatting sqref="T36">
    <cfRule type="expression" dxfId="11" priority="137">
      <formula>AND(ISNUMBER(T36),T36&gt;0)</formula>
    </cfRule>
  </conditionalFormatting>
  <conditionalFormatting sqref="Y36">
    <cfRule type="expression" dxfId="10" priority="138">
      <formula>OR(Y36="meta atingida",Y36="dentro do limite",Y36="ocupação alta",Y36="excede o contratado")</formula>
    </cfRule>
  </conditionalFormatting>
  <conditionalFormatting sqref="Y36">
    <cfRule type="expression" dxfId="12" priority="139">
      <formula>OR(Y36="ocupação média",Y36="abaixo da meta")</formula>
    </cfRule>
  </conditionalFormatting>
  <conditionalFormatting sqref="Y36">
    <cfRule type="expression" dxfId="11" priority="140">
      <formula>OR(Y36="ociosidade alta",Y36="acima do limite")</formula>
    </cfRule>
  </conditionalFormatting>
  <conditionalFormatting sqref="T37">
    <cfRule type="expression" dxfId="10" priority="141">
      <formula>AND(ISNUMBER(T37),T37&lt;0)</formula>
    </cfRule>
  </conditionalFormatting>
  <conditionalFormatting sqref="T37">
    <cfRule type="expression" dxfId="11" priority="142">
      <formula>AND(ISNUMBER(T37),T37&gt;0)</formula>
    </cfRule>
  </conditionalFormatting>
  <conditionalFormatting sqref="Y37">
    <cfRule type="expression" dxfId="10" priority="143">
      <formula>OR(Y37="meta atingida",Y37="dentro do limite",Y37="ocupação alta",Y37="excede o contratado")</formula>
    </cfRule>
  </conditionalFormatting>
  <conditionalFormatting sqref="Y37">
    <cfRule type="expression" dxfId="12" priority="144">
      <formula>OR(Y37="ocupação média",Y37="abaixo da meta")</formula>
    </cfRule>
  </conditionalFormatting>
  <conditionalFormatting sqref="Y37">
    <cfRule type="expression" dxfId="11" priority="145">
      <formula>OR(Y37="ociosidade alta",Y37="acima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43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TPC</v>
      </c>
    </row>
    <row r="3">
      <c r="A3" s="27" t="inlineStr">
        <is>
          <t xml:space="preserve">Capacidade (posições)</t>
        </is>
      </c>
      <c r="B3" s="30">
        <f>SUM($AU$13:$AU$13)</f>
        <v>23040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23040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10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Itens Recebidos</t>
        </is>
      </c>
      <c r="I11" s="37" t="inlineStr">
        <is>
          <t xml:space="preserve">IN Itens Recebidos CX Mista</t>
        </is>
      </c>
      <c r="J11" s="37" t="inlineStr">
        <is>
          <t xml:space="preserve">IN Caixas Fechadas</t>
        </is>
      </c>
      <c r="K11" s="37" t="inlineStr">
        <is>
          <t xml:space="preserve">IN Caixas Mistas Recebidas</t>
        </is>
      </c>
      <c r="L11" s="37" t="inlineStr">
        <is>
          <t xml:space="preserve">OUT Veículos Expedidos</t>
        </is>
      </c>
      <c r="M11" s="37" t="inlineStr">
        <is>
          <t xml:space="preserve">OUT Pedidos Expedidos</t>
        </is>
      </c>
      <c r="N11" s="37" t="inlineStr">
        <is>
          <t xml:space="preserve">OUT Pedidos Faturados</t>
        </is>
      </c>
      <c r="O11" s="37" t="inlineStr">
        <is>
          <t xml:space="preserve">OUT Itens Expedidos</t>
        </is>
      </c>
      <c r="P11" s="37" t="inlineStr">
        <is>
          <t xml:space="preserve">OUT Linhas NF</t>
        </is>
      </c>
      <c r="Q11" s="37" t="inlineStr">
        <is>
          <t xml:space="preserve">OUT Caixas Expedidas</t>
        </is>
      </c>
      <c r="R11" s="37" t="inlineStr">
        <is>
          <t xml:space="preserve">OUT Pallets Movimentados</t>
        </is>
      </c>
      <c r="S11" s="37" t="inlineStr">
        <is>
          <t xml:space="preserve">OUT Toneladas Movimentadas</t>
        </is>
      </c>
      <c r="T11" s="37" t="inlineStr">
        <is>
          <t xml:space="preserve">NC Incidentes</t>
        </is>
      </c>
      <c r="U11" s="37" t="inlineStr">
        <is>
          <t xml:space="preserve">NC No show</t>
        </is>
      </c>
      <c r="V11" s="37" t="inlineStr">
        <is>
          <t xml:space="preserve">NC Backlog</t>
        </is>
      </c>
      <c r="W11" s="37" t="inlineStr">
        <is>
          <t xml:space="preserve">OCUPAÇÃO (P.P) Posições Disponíveis</t>
        </is>
      </c>
      <c r="X11" s="37" t="inlineStr">
        <is>
          <t xml:space="preserve">OCUPAÇÃO (P.P) Posições Ocupadas</t>
        </is>
      </c>
      <c r="Y11" s="37" t="inlineStr">
        <is>
          <t xml:space="preserve">OCUPAÇÃO (P.P) Taxa de Ocupação</t>
        </is>
      </c>
      <c r="Z11" s="37" t="inlineStr">
        <is>
          <t xml:space="preserve">GENTE Efetivo Op.</t>
        </is>
      </c>
      <c r="AA11" s="37" t="inlineStr">
        <is>
          <t xml:space="preserve">GENTE Falta</t>
        </is>
      </c>
      <c r="AB11" s="37" t="inlineStr">
        <is>
          <t xml:space="preserve">GENTE Folga</t>
        </is>
      </c>
      <c r="AC11" s="37" t="inlineStr">
        <is>
          <t xml:space="preserve">GENTE Férias</t>
        </is>
      </c>
      <c r="AD11" s="37" t="inlineStr">
        <is>
          <t xml:space="preserve">GENTE Desligamento</t>
        </is>
      </c>
      <c r="AE11" s="37" t="inlineStr">
        <is>
          <t xml:space="preserve">GENTE Desvios Comportamentais</t>
        </is>
      </c>
      <c r="AF11" s="37" t="inlineStr">
        <is>
          <t xml:space="preserve">GENTE Acidentes CAF</t>
        </is>
      </c>
      <c r="AG11" s="37" t="inlineStr">
        <is>
          <t xml:space="preserve">GENTE Acidentes SAF</t>
        </is>
      </c>
      <c r="AH11" s="37" t="inlineStr">
        <is>
          <t xml:space="preserve">Faixa atenção</t>
        </is>
      </c>
      <c r="AI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  <c r="AX11" s="37" t="inlineStr">
        <is>
          <t xml:space="preserve">Gráf A IN (diário)</t>
        </is>
      </c>
      <c r="AY11" s="37" t="inlineStr">
        <is>
          <t xml:space="preserve">Gráf A OUT (diário)</t>
        </is>
      </c>
      <c r="AZ11" s="37" t="inlineStr">
        <is>
          <t xml:space="preserve">Gráf B IN (diário)</t>
        </is>
      </c>
      <c r="BA11" s="37" t="inlineStr">
        <is>
          <t xml:space="preserve">Gráf B OUT (diário)</t>
        </is>
      </c>
      <c r="BC11" s="37" t="inlineStr">
        <is>
          <t xml:space="preserve">Rótulo contrato (último dia)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47">
        <f>IF($B12="","",IF($B$2="Todos",SUMIFS(BD!$S$3:$S$5001,BD!$A$3:$A$5001,$B12),SUMIFS(BD!$S$3:$S$5001,BD!$A$3:$A$5001,$B12,BD!$B$3:$B$5001,$D$2)))</f>
        <v>0</v>
      </c>
      <c r="T12" s="32">
        <f>IF($B12="","",IF($B$2="Todos",SUMIFS(BD!$T$3:$T$5001,BD!$A$3:$A$5001,$B12),SUMIFS(BD!$T$3:$T$5001,BD!$A$3:$A$5001,$B12,BD!$B$3:$B$5001,$D$2)))</f>
        <v>0</v>
      </c>
      <c r="U12" s="32">
        <f>IF($B12="","",IF($B$2="Todos",SUMIFS(BD!$U$3:$U$5001,BD!$A$3:$A$5001,$B12),SUMIFS(BD!$U$3:$U$5001,BD!$A$3:$A$5001,$B12,BD!$B$3:$B$5001,$D$2)))</f>
        <v>0</v>
      </c>
      <c r="V12" s="32" t="str">
        <f>IF($B$2="Todos",IF(COUNT($C$137:$V$137)=0,"",SUM($C$137:$V$137)),IFERROR(INDEX($C$137:$V$137,MATCH($D$2,$C$136:$V$136,0)),""))</f>
        <v/>
      </c>
      <c r="W12" s="48" t="str">
        <f>IF(X12="","",IF($B$2="Todos",IF($B$4&gt;0,$B$4,IF($B$2="Todos",IF(COUNT($C$207:$V$207)=0,"",SUM($C$207:$V$207)),IFERROR(INDEX($C$207:$V$207,MATCH($D$2,$C$206:$V$206,0)),""))),IFERROR(INDEX($C$207:$V$207,MATCH($D$2,$C$206:$V$206,0)),"")))</f>
        <v/>
      </c>
      <c r="X12" s="32" t="str">
        <f>IF($B$2="Todos",IF(COUNT($C$172:$V$172)=0,"",SUM($C$172:$V$172)),IFERROR(INDEX($C$172:$V$172,MATCH($D$2,$C$171:$V$171,0)),""))</f>
        <v/>
      </c>
      <c r="Y12" s="49" t="str">
        <f>IF(AND(ISNUMBER(X12),ISNUMBER(W12)),IF(W12&gt;0,X12/W12,""),"")</f>
        <v/>
      </c>
      <c r="Z12" s="32" t="str">
        <f>IF($B$2="Todos",IF(COUNT($C$242:$V$242)=0,"",SUM($C$242:$V$242)),IFERROR(INDEX($C$242:$V$242,MATCH($D$2,$C$241:$V$241,0)),""))</f>
        <v/>
      </c>
      <c r="AA12" s="32">
        <f>IF($B12="","",IF($B$2="Todos",SUMIFS(BD!$Z$3:$Z$5001,BD!$A$3:$A$5001,$B12),SUMIFS(BD!$Z$3:$Z$5001,BD!$A$3:$A$5001,$B12,BD!$B$3:$B$5001,$D$2)))</f>
        <v>0</v>
      </c>
      <c r="AB12" s="32">
        <f>IF($B12="","",IF($B$2="Todos",SUMIFS(BD!$AA$3:$AA$5001,BD!$A$3:$A$5001,$B12),SUMIFS(BD!$AA$3:$AA$5001,BD!$A$3:$A$5001,$B12,BD!$B$3:$B$5001,$D$2)))</f>
        <v>0</v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50">
        <f>$B$5</f>
        <v>0.7</v>
      </c>
      <c r="AI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TPC</t>
        </is>
      </c>
      <c r="AQ12" s="29" t="str">
        <f>Config!$D$81&amp;" — "&amp;IF($B$2="Todos","TODOS OS CLIENTES",UPPER($B$2))</f>
        <v>MOVIMENTAÇÃO VEÍCULO/DIA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  <c r="AX12" s="61">
        <f>IF(OR($B12="",N(VALUE($AH$343))=0),"",IF(INDEX($C12:$AG12,VALUE($AH$343))="","",IF(N(VALUE($AJ$343))=0,INDEX($C12:$AG12,VALUE($AH$343)),IF(N(INDEX($C12:$AG12,N(VALUE($AJ$343))))&gt;0,INDEX($C12:$AG12,VALUE($AH$343))/INDEX($C12:$AG12,N(VALUE($AJ$343))),""))))</f>
        <v>0</v>
      </c>
      <c r="AY12" s="61">
        <f>IF(OR($B12="",N(VALUE($AI$343))=0),"",IF(INDEX($C12:$AG12,VALUE($AI$343))="","",IF(N(VALUE($AK$343))=0,INDEX($C12:$AG12,VALUE($AI$343)),IF(N(INDEX($C12:$AG12,N(VALUE($AK$343))))&gt;0,INDEX($C12:$AG12,VALUE($AI$343))/INDEX($C12:$AG12,N(VALUE($AK$343))),""))))</f>
        <v>0</v>
      </c>
      <c r="AZ12" s="61">
        <f>IF(OR($B12="",N(VALUE($AP$343))=0),"",IF(INDEX($C12:$AG12,VALUE($AP$343))="","",IF(N(VALUE($AR$343))=0,INDEX($C12:$AG12,VALUE($AP$343)),IF(N(INDEX($C12:$AG12,N(VALUE($AR$343))))&gt;0,INDEX($C12:$AG12,VALUE($AP$343))/INDEX($C12:$AG12,N(VALUE($AR$343))),""))))</f>
        <v>0</v>
      </c>
      <c r="BA12" s="61">
        <f>IF(OR($B12="",N(VALUE($AQ$343))=0),"",IF(INDEX($C12:$AG12,VALUE($AQ$343))="","",IF(N(VALUE($AS$343))=0,INDEX($C12:$AG12,VALUE($AQ$343)),IF(N(INDEX($C12:$AG12,N(VALUE($AS$343))))&gt;0,INDEX($C12:$AG12,VALUE($AQ$343))/INDEX($C12:$AG12,N(VALUE($AS$343))),""))))</f>
        <v>0</v>
      </c>
      <c r="BC12" s="32" t="str">
        <f>IF(AND($A12=$B$9,ISNUMBER(W12)),W12,NA())</f>
        <v/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47">
        <f>IF($B13="","",IF($B$2="Todos",SUMIFS(BD!$S$3:$S$5001,BD!$A$3:$A$5001,$B13),SUMIFS(BD!$S$3:$S$5001,BD!$A$3:$A$5001,$B13,BD!$B$3:$B$5001,$D$2)))</f>
        <v>0</v>
      </c>
      <c r="T13" s="32">
        <f>IF($B13="","",IF($B$2="Todos",SUMIFS(BD!$T$3:$T$5001,BD!$A$3:$A$5001,$B13),SUMIFS(BD!$T$3:$T$5001,BD!$A$3:$A$5001,$B13,BD!$B$3:$B$5001,$D$2)))</f>
        <v>0</v>
      </c>
      <c r="U13" s="32">
        <f>IF($B13="","",IF($B$2="Todos",SUMIFS(BD!$U$3:$U$5001,BD!$A$3:$A$5001,$B13),SUMIFS(BD!$U$3:$U$5001,BD!$A$3:$A$5001,$B13,BD!$B$3:$B$5001,$D$2)))</f>
        <v>0</v>
      </c>
      <c r="V13" s="32" t="str">
        <f>IF($B$2="Todos",IF(COUNT($C$138:$V$138)=0,"",SUM($C$138:$V$138)),IFERROR(INDEX($C$138:$V$138,MATCH($D$2,$C$136:$V$136,0)),""))</f>
        <v/>
      </c>
      <c r="W13" s="48" t="str">
        <f>IF(X13="","",IF($B$2="Todos",IF($B$4&gt;0,$B$4,IF($B$2="Todos",IF(COUNT($C$208:$V$208)=0,"",SUM($C$208:$V$208)),IFERROR(INDEX($C$208:$V$208,MATCH($D$2,$C$206:$V$206,0)),""))),IFERROR(INDEX($C$208:$V$208,MATCH($D$2,$C$206:$V$206,0)),"")))</f>
        <v/>
      </c>
      <c r="X13" s="32" t="str">
        <f>IF($B$2="Todos",IF(COUNT($C$173:$V$173)=0,"",SUM($C$173:$V$173)),IFERROR(INDEX($C$173:$V$173,MATCH($D$2,$C$171:$V$171,0)),""))</f>
        <v/>
      </c>
      <c r="Y13" s="49" t="str">
        <f>IF(AND(ISNUMBER(X13),ISNUMBER(W13)),IF(W13&gt;0,X13/W13,""),"")</f>
        <v/>
      </c>
      <c r="Z13" s="32" t="str">
        <f>IF($B$2="Todos",IF(COUNT($C$243:$V$243)=0,"",SUM($C$243:$V$243)),IFERROR(INDEX($C$243:$V$243,MATCH($D$2,$C$241:$V$241,0)),""))</f>
        <v/>
      </c>
      <c r="AA13" s="32">
        <f>IF($B13="","",IF($B$2="Todos",SUMIFS(BD!$Z$3:$Z$5001,BD!$A$3:$A$5001,$B13),SUMIFS(BD!$Z$3:$Z$5001,BD!$A$3:$A$5001,$B13,BD!$B$3:$B$5001,$D$2)))</f>
        <v>0</v>
      </c>
      <c r="AB13" s="32">
        <f>IF($B13="","",IF($B$2="Todos",SUMIFS(BD!$AA$3:$AA$5001,BD!$A$3:$A$5001,$B13),SUMIFS(BD!$AA$3:$AA$5001,BD!$A$3:$A$5001,$B13,BD!$B$3:$B$5001,$D$2)))</f>
        <v>0</v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50">
        <f>$B$5</f>
        <v>0.7</v>
      </c>
      <c r="AI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Alpargatas</v>
      </c>
      <c r="AO13" s="28" t="str">
        <f>IF(AN13="","",IF(INDEX(Config!$C$10:$C$29,MATCH(1,$AP$13:$AP$32,0))&amp;""="","TPC",INDEX(Config!$C$10:$C$29,MATCH(1,$AP$13:$AP$32,0))&amp;""))</f>
        <v>TPC</v>
      </c>
      <c r="AP13" s="38">
        <f>IF(Config!$B$10&amp;""="",0,0+1)</f>
        <v>1</v>
      </c>
      <c r="AQ13" s="29" t="str">
        <f>IF($AZ$343="Não se aplica",Config!$D$86,IF($AZ$343="Só ocupadas",Config!$D$85,Config!$D$84))&amp;" — "&amp;IF($B$2="Todos","TODOS OS CLIENTES",UPPER($B$2))</f>
        <v>OCUPAÇÃO DIÁRIA — TODOS OS CLIENTES</v>
      </c>
      <c r="AT13" s="40" t="inlineStr">
        <is>
          <t xml:space="preserve">TPC</t>
        </is>
      </c>
      <c r="AU13" s="41">
        <f>N(Config!$C$95)</f>
        <v>23040</v>
      </c>
      <c r="AV13" s="31" t="inlineStr">
        <is>
          <t xml:space="preserve">aba Config</t>
        </is>
      </c>
      <c r="AX13" s="61">
        <f>IF(OR($B13="",N(VALUE($AH$343))=0),"",IF(INDEX($C13:$AG13,VALUE($AH$343))="","",IF(N(VALUE($AJ$343))=0,INDEX($C13:$AG13,VALUE($AH$343)),IF(N(INDEX($C13:$AG13,N(VALUE($AJ$343))))&gt;0,INDEX($C13:$AG13,VALUE($AH$343))/INDEX($C13:$AG13,N(VALUE($AJ$343))),""))))</f>
        <v>0</v>
      </c>
      <c r="AY13" s="61">
        <f>IF(OR($B13="",N(VALUE($AI$343))=0),"",IF(INDEX($C13:$AG13,VALUE($AI$343))="","",IF(N(VALUE($AK$343))=0,INDEX($C13:$AG13,VALUE($AI$343)),IF(N(INDEX($C13:$AG13,N(VALUE($AK$343))))&gt;0,INDEX($C13:$AG13,VALUE($AI$343))/INDEX($C13:$AG13,N(VALUE($AK$343))),""))))</f>
        <v>0</v>
      </c>
      <c r="AZ13" s="61">
        <f>IF(OR($B13="",N(VALUE($AP$343))=0),"",IF(INDEX($C13:$AG13,VALUE($AP$343))="","",IF(N(VALUE($AR$343))=0,INDEX($C13:$AG13,VALUE($AP$343)),IF(N(INDEX($C13:$AG13,N(VALUE($AR$343))))&gt;0,INDEX($C13:$AG13,VALUE($AP$343))/INDEX($C13:$AG13,N(VALUE($AR$343))),""))))</f>
        <v>0</v>
      </c>
      <c r="BA13" s="61">
        <f>IF(OR($B13="",N(VALUE($AQ$343))=0),"",IF(INDEX($C13:$AG13,VALUE($AQ$343))="","",IF(N(VALUE($AS$343))=0,INDEX($C13:$AG13,VALUE($AQ$343)),IF(N(INDEX($C13:$AG13,N(VALUE($AS$343))))&gt;0,INDEX($C13:$AG13,VALUE($AQ$343))/INDEX($C13:$AG13,N(VALUE($AS$343))),""))))</f>
        <v>0</v>
      </c>
      <c r="BC13" s="32" t="str">
        <f>IF(AND($A13=$B$9,ISNUMBER(W13)),W13,NA())</f>
        <v/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47">
        <f>IF($B14="","",IF($B$2="Todos",SUMIFS(BD!$S$3:$S$5001,BD!$A$3:$A$5001,$B14),SUMIFS(BD!$S$3:$S$5001,BD!$A$3:$A$5001,$B14,BD!$B$3:$B$5001,$D$2)))</f>
        <v>0</v>
      </c>
      <c r="T14" s="32">
        <f>IF($B14="","",IF($B$2="Todos",SUMIFS(BD!$T$3:$T$5001,BD!$A$3:$A$5001,$B14),SUMIFS(BD!$T$3:$T$5001,BD!$A$3:$A$5001,$B14,BD!$B$3:$B$5001,$D$2)))</f>
        <v>0</v>
      </c>
      <c r="U14" s="32">
        <f>IF($B14="","",IF($B$2="Todos",SUMIFS(BD!$U$3:$U$5001,BD!$A$3:$A$5001,$B14),SUMIFS(BD!$U$3:$U$5001,BD!$A$3:$A$5001,$B14,BD!$B$3:$B$5001,$D$2)))</f>
        <v>0</v>
      </c>
      <c r="V14" s="32" t="str">
        <f>IF($B$2="Todos",IF(COUNT($C$139:$V$139)=0,"",SUM($C$139:$V$139)),IFERROR(INDEX($C$139:$V$139,MATCH($D$2,$C$136:$V$136,0)),""))</f>
        <v/>
      </c>
      <c r="W14" s="48" t="str">
        <f>IF(X14="","",IF($B$2="Todos",IF($B$4&gt;0,$B$4,IF($B$2="Todos",IF(COUNT($C$209:$V$209)=0,"",SUM($C$209:$V$209)),IFERROR(INDEX($C$209:$V$209,MATCH($D$2,$C$206:$V$206,0)),""))),IFERROR(INDEX($C$209:$V$209,MATCH($D$2,$C$206:$V$206,0)),"")))</f>
        <v/>
      </c>
      <c r="X14" s="32" t="str">
        <f>IF($B$2="Todos",IF(COUNT($C$174:$V$174)=0,"",SUM($C$174:$V$174)),IFERROR(INDEX($C$174:$V$174,MATCH($D$2,$C$171:$V$171,0)),""))</f>
        <v/>
      </c>
      <c r="Y14" s="49" t="str">
        <f>IF(AND(ISNUMBER(X14),ISNUMBER(W14)),IF(W14&gt;0,X14/W14,""),"")</f>
        <v/>
      </c>
      <c r="Z14" s="32" t="str">
        <f>IF($B$2="Todos",IF(COUNT($C$244:$V$244)=0,"",SUM($C$244:$V$244)),IFERROR(INDEX($C$244:$V$244,MATCH($D$2,$C$241:$V$241,0)),""))</f>
        <v/>
      </c>
      <c r="AA14" s="32">
        <f>IF($B14="","",IF($B$2="Todos",SUMIFS(BD!$Z$3:$Z$5001,BD!$A$3:$A$5001,$B14),SUMIFS(BD!$Z$3:$Z$5001,BD!$A$3:$A$5001,$B14,BD!$B$3:$B$5001,$D$2)))</f>
        <v>0</v>
      </c>
      <c r="AB14" s="32">
        <f>IF($B14="","",IF($B$2="Todos",SUMIFS(BD!$AA$3:$AA$5001,BD!$A$3:$A$5001,$B14),SUMIFS(BD!$AA$3:$AA$5001,BD!$A$3:$A$5001,$B14,BD!$B$3:$B$5001,$D$2)))</f>
        <v>0</v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50">
        <f>$B$5</f>
        <v>0.7</v>
      </c>
      <c r="AI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Basf</v>
      </c>
      <c r="AO14" s="28" t="str">
        <f>IF(AN14="","",IF(INDEX(Config!$C$10:$C$29,MATCH(2,$AP$13:$AP$32,0))&amp;""="","TPC",INDEX(Config!$C$10:$C$29,MATCH(2,$AP$13:$AP$32,0))&amp;""))</f>
        <v>TPC</v>
      </c>
      <c r="AP14" s="38">
        <f>IF(Config!$B$11&amp;""="",AP13,AP13+1)</f>
        <v>2</v>
      </c>
      <c r="AQ14" s="29" t="str">
        <f>$AL$343&amp;" — "&amp;IF($B$2="Todos","TODOS OS CLIENTES",UPPER($B$2))</f>
        <v>MOVIMENTAÇÃO PALETES/DIA — TODOS OS CLIENTES</v>
      </c>
      <c r="AX14" s="61">
        <f>IF(OR($B14="",N(VALUE($AH$343))=0),"",IF(INDEX($C14:$AG14,VALUE($AH$343))="","",IF(N(VALUE($AJ$343))=0,INDEX($C14:$AG14,VALUE($AH$343)),IF(N(INDEX($C14:$AG14,N(VALUE($AJ$343))))&gt;0,INDEX($C14:$AG14,VALUE($AH$343))/INDEX($C14:$AG14,N(VALUE($AJ$343))),""))))</f>
        <v>0</v>
      </c>
      <c r="AY14" s="61">
        <f>IF(OR($B14="",N(VALUE($AI$343))=0),"",IF(INDEX($C14:$AG14,VALUE($AI$343))="","",IF(N(VALUE($AK$343))=0,INDEX($C14:$AG14,VALUE($AI$343)),IF(N(INDEX($C14:$AG14,N(VALUE($AK$343))))&gt;0,INDEX($C14:$AG14,VALUE($AI$343))/INDEX($C14:$AG14,N(VALUE($AK$343))),""))))</f>
        <v>0</v>
      </c>
      <c r="AZ14" s="61">
        <f>IF(OR($B14="",N(VALUE($AP$343))=0),"",IF(INDEX($C14:$AG14,VALUE($AP$343))="","",IF(N(VALUE($AR$343))=0,INDEX($C14:$AG14,VALUE($AP$343)),IF(N(INDEX($C14:$AG14,N(VALUE($AR$343))))&gt;0,INDEX($C14:$AG14,VALUE($AP$343))/INDEX($C14:$AG14,N(VALUE($AR$343))),""))))</f>
        <v>0</v>
      </c>
      <c r="BA14" s="61">
        <f>IF(OR($B14="",N(VALUE($AQ$343))=0),"",IF(INDEX($C14:$AG14,VALUE($AQ$343))="","",IF(N(VALUE($AS$343))=0,INDEX($C14:$AG14,VALUE($AQ$343)),IF(N(INDEX($C14:$AG14,N(VALUE($AS$343))))&gt;0,INDEX($C14:$AG14,VALUE($AQ$343))/INDEX($C14:$AG14,N(VALUE($AS$343))),""))))</f>
        <v>0</v>
      </c>
      <c r="BC14" s="32" t="str">
        <f>IF(AND($A14=$B$9,ISNUMBER(W14)),W14,NA())</f>
        <v/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47">
        <f>IF($B15="","",IF($B$2="Todos",SUMIFS(BD!$S$3:$S$5001,BD!$A$3:$A$5001,$B15),SUMIFS(BD!$S$3:$S$5001,BD!$A$3:$A$5001,$B15,BD!$B$3:$B$5001,$D$2)))</f>
        <v>0</v>
      </c>
      <c r="T15" s="32">
        <f>IF($B15="","",IF($B$2="Todos",SUMIFS(BD!$T$3:$T$5001,BD!$A$3:$A$5001,$B15),SUMIFS(BD!$T$3:$T$5001,BD!$A$3:$A$5001,$B15,BD!$B$3:$B$5001,$D$2)))</f>
        <v>0</v>
      </c>
      <c r="U15" s="32">
        <f>IF($B15="","",IF($B$2="Todos",SUMIFS(BD!$U$3:$U$5001,BD!$A$3:$A$5001,$B15),SUMIFS(BD!$U$3:$U$5001,BD!$A$3:$A$5001,$B15,BD!$B$3:$B$5001,$D$2)))</f>
        <v>0</v>
      </c>
      <c r="V15" s="32" t="str">
        <f>IF($B$2="Todos",IF(COUNT($C$140:$V$140)=0,"",SUM($C$140:$V$140)),IFERROR(INDEX($C$140:$V$140,MATCH($D$2,$C$136:$V$136,0)),""))</f>
        <v/>
      </c>
      <c r="W15" s="48" t="str">
        <f>IF(X15="","",IF($B$2="Todos",IF($B$4&gt;0,$B$4,IF($B$2="Todos",IF(COUNT($C$210:$V$210)=0,"",SUM($C$210:$V$210)),IFERROR(INDEX($C$210:$V$210,MATCH($D$2,$C$206:$V$206,0)),""))),IFERROR(INDEX($C$210:$V$210,MATCH($D$2,$C$206:$V$206,0)),"")))</f>
        <v/>
      </c>
      <c r="X15" s="32" t="str">
        <f>IF($B$2="Todos",IF(COUNT($C$175:$V$175)=0,"",SUM($C$175:$V$175)),IFERROR(INDEX($C$175:$V$175,MATCH($D$2,$C$171:$V$171,0)),""))</f>
        <v/>
      </c>
      <c r="Y15" s="49" t="str">
        <f>IF(AND(ISNUMBER(X15),ISNUMBER(W15)),IF(W15&gt;0,X15/W15,""),"")</f>
        <v/>
      </c>
      <c r="Z15" s="32" t="str">
        <f>IF($B$2="Todos",IF(COUNT($C$245:$V$245)=0,"",SUM($C$245:$V$245)),IFERROR(INDEX($C$245:$V$245,MATCH($D$2,$C$241:$V$241,0)),""))</f>
        <v/>
      </c>
      <c r="AA15" s="32">
        <f>IF($B15="","",IF($B$2="Todos",SUMIFS(BD!$Z$3:$Z$5001,BD!$A$3:$A$5001,$B15),SUMIFS(BD!$Z$3:$Z$5001,BD!$A$3:$A$5001,$B15,BD!$B$3:$B$5001,$D$2)))</f>
        <v>0</v>
      </c>
      <c r="AB15" s="32">
        <f>IF($B15="","",IF($B$2="Todos",SUMIFS(BD!$AA$3:$AA$5001,BD!$A$3:$A$5001,$B15),SUMIFS(BD!$AA$3:$AA$5001,BD!$A$3:$A$5001,$B15,BD!$B$3:$B$5001,$D$2)))</f>
        <v>0</v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50">
        <f>$B$5</f>
        <v>0.7</v>
      </c>
      <c r="AI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Beautybiz</v>
      </c>
      <c r="AO15" s="28" t="str">
        <f>IF(AN15="","",IF(INDEX(Config!$C$10:$C$29,MATCH(3,$AP$13:$AP$32,0))&amp;""="","TPC",INDEX(Config!$C$10:$C$29,MATCH(3,$AP$13:$AP$32,0))&amp;""))</f>
        <v>TPC</v>
      </c>
      <c r="AP15" s="38">
        <f>IF(Config!$B$12&amp;""="",AP14,AP14+1)</f>
        <v>3</v>
      </c>
      <c r="AQ15" s="29" t="str">
        <f>$AT$343&amp;" — "&amp;IF($B$2="Todos","TODOS OS CLIENTES",UPPER($B$2))</f>
        <v>MOVIMENTAÇÃO TONS/DIA — TODOS OS CLIENTES</v>
      </c>
      <c r="AX15" s="61">
        <f>IF(OR($B15="",N(VALUE($AH$343))=0),"",IF(INDEX($C15:$AG15,VALUE($AH$343))="","",IF(N(VALUE($AJ$343))=0,INDEX($C15:$AG15,VALUE($AH$343)),IF(N(INDEX($C15:$AG15,N(VALUE($AJ$343))))&gt;0,INDEX($C15:$AG15,VALUE($AH$343))/INDEX($C15:$AG15,N(VALUE($AJ$343))),""))))</f>
        <v>0</v>
      </c>
      <c r="AY15" s="61">
        <f>IF(OR($B15="",N(VALUE($AI$343))=0),"",IF(INDEX($C15:$AG15,VALUE($AI$343))="","",IF(N(VALUE($AK$343))=0,INDEX($C15:$AG15,VALUE($AI$343)),IF(N(INDEX($C15:$AG15,N(VALUE($AK$343))))&gt;0,INDEX($C15:$AG15,VALUE($AI$343))/INDEX($C15:$AG15,N(VALUE($AK$343))),""))))</f>
        <v>0</v>
      </c>
      <c r="AZ15" s="61">
        <f>IF(OR($B15="",N(VALUE($AP$343))=0),"",IF(INDEX($C15:$AG15,VALUE($AP$343))="","",IF(N(VALUE($AR$343))=0,INDEX($C15:$AG15,VALUE($AP$343)),IF(N(INDEX($C15:$AG15,N(VALUE($AR$343))))&gt;0,INDEX($C15:$AG15,VALUE($AP$343))/INDEX($C15:$AG15,N(VALUE($AR$343))),""))))</f>
        <v>0</v>
      </c>
      <c r="BA15" s="61">
        <f>IF(OR($B15="",N(VALUE($AQ$343))=0),"",IF(INDEX($C15:$AG15,VALUE($AQ$343))="","",IF(N(VALUE($AS$343))=0,INDEX($C15:$AG15,VALUE($AQ$343)),IF(N(INDEX($C15:$AG15,N(VALUE($AS$343))))&gt;0,INDEX($C15:$AG15,VALUE($AQ$343))/INDEX($C15:$AG15,N(VALUE($AS$343))),""))))</f>
        <v>0</v>
      </c>
      <c r="BC15" s="32" t="str">
        <f>IF(AND($A15=$B$9,ISNUMBER(W15)),W15,NA())</f>
        <v/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47">
        <f>IF($B16="","",IF($B$2="Todos",SUMIFS(BD!$S$3:$S$5001,BD!$A$3:$A$5001,$B16),SUMIFS(BD!$S$3:$S$5001,BD!$A$3:$A$5001,$B16,BD!$B$3:$B$5001,$D$2)))</f>
        <v>0</v>
      </c>
      <c r="T16" s="32">
        <f>IF($B16="","",IF($B$2="Todos",SUMIFS(BD!$T$3:$T$5001,BD!$A$3:$A$5001,$B16),SUMIFS(BD!$T$3:$T$5001,BD!$A$3:$A$5001,$B16,BD!$B$3:$B$5001,$D$2)))</f>
        <v>0</v>
      </c>
      <c r="U16" s="32">
        <f>IF($B16="","",IF($B$2="Todos",SUMIFS(BD!$U$3:$U$5001,BD!$A$3:$A$5001,$B16),SUMIFS(BD!$U$3:$U$5001,BD!$A$3:$A$5001,$B16,BD!$B$3:$B$5001,$D$2)))</f>
        <v>0</v>
      </c>
      <c r="V16" s="32" t="str">
        <f>IF($B$2="Todos",IF(COUNT($C$141:$V$141)=0,"",SUM($C$141:$V$141)),IFERROR(INDEX($C$141:$V$141,MATCH($D$2,$C$136:$V$136,0)),""))</f>
        <v/>
      </c>
      <c r="W16" s="48" t="str">
        <f>IF(X16="","",IF($B$2="Todos",IF($B$4&gt;0,$B$4,IF($B$2="Todos",IF(COUNT($C$211:$V$211)=0,"",SUM($C$211:$V$211)),IFERROR(INDEX($C$211:$V$211,MATCH($D$2,$C$206:$V$206,0)),""))),IFERROR(INDEX($C$211:$V$211,MATCH($D$2,$C$206:$V$206,0)),"")))</f>
        <v/>
      </c>
      <c r="X16" s="32" t="str">
        <f>IF($B$2="Todos",IF(COUNT($C$176:$V$176)=0,"",SUM($C$176:$V$176)),IFERROR(INDEX($C$176:$V$176,MATCH($D$2,$C$171:$V$171,0)),""))</f>
        <v/>
      </c>
      <c r="Y16" s="49" t="str">
        <f>IF(AND(ISNUMBER(X16),ISNUMBER(W16)),IF(W16&gt;0,X16/W16,""),"")</f>
        <v/>
      </c>
      <c r="Z16" s="32" t="str">
        <f>IF($B$2="Todos",IF(COUNT($C$246:$V$246)=0,"",SUM($C$246:$V$246)),IFERROR(INDEX($C$246:$V$246,MATCH($D$2,$C$241:$V$241,0)),""))</f>
        <v/>
      </c>
      <c r="AA16" s="32">
        <f>IF($B16="","",IF($B$2="Todos",SUMIFS(BD!$Z$3:$Z$5001,BD!$A$3:$A$5001,$B16),SUMIFS(BD!$Z$3:$Z$5001,BD!$A$3:$A$5001,$B16,BD!$B$3:$B$5001,$D$2)))</f>
        <v>0</v>
      </c>
      <c r="AB16" s="32">
        <f>IF($B16="","",IF($B$2="Todos",SUMIFS(BD!$AA$3:$AA$5001,BD!$A$3:$A$5001,$B16),SUMIFS(BD!$AA$3:$AA$5001,BD!$A$3:$A$5001,$B16,BD!$B$3:$B$5001,$D$2)))</f>
        <v>0</v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50">
        <f>$B$5</f>
        <v>0.7</v>
      </c>
      <c r="AI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Boticário</v>
      </c>
      <c r="AO16" s="28" t="str">
        <f>IF(AN16="","",IF(INDEX(Config!$C$10:$C$29,MATCH(4,$AP$13:$AP$32,0))&amp;""="","TPC",INDEX(Config!$C$10:$C$29,MATCH(4,$AP$13:$AP$32,0))&amp;""))</f>
        <v>TPC</v>
      </c>
      <c r="AP16" s="38">
        <f>IF(Config!$B$13&amp;""="",AP15,AP15+1)</f>
        <v>4</v>
      </c>
      <c r="AQ16" s="29" t="str">
        <f>$AM$343&amp;" — "&amp;IF($B$2="Todos","TODOS OS CLIENTES",UPPER($B$2))</f>
        <v>ACUMULADO SEMANAL PALETES — TODOS OS CLIENTES</v>
      </c>
      <c r="AX16" s="61">
        <f>IF(OR($B16="",N(VALUE($AH$343))=0),"",IF(INDEX($C16:$AG16,VALUE($AH$343))="","",IF(N(VALUE($AJ$343))=0,INDEX($C16:$AG16,VALUE($AH$343)),IF(N(INDEX($C16:$AG16,N(VALUE($AJ$343))))&gt;0,INDEX($C16:$AG16,VALUE($AH$343))/INDEX($C16:$AG16,N(VALUE($AJ$343))),""))))</f>
        <v>0</v>
      </c>
      <c r="AY16" s="61">
        <f>IF(OR($B16="",N(VALUE($AI$343))=0),"",IF(INDEX($C16:$AG16,VALUE($AI$343))="","",IF(N(VALUE($AK$343))=0,INDEX($C16:$AG16,VALUE($AI$343)),IF(N(INDEX($C16:$AG16,N(VALUE($AK$343))))&gt;0,INDEX($C16:$AG16,VALUE($AI$343))/INDEX($C16:$AG16,N(VALUE($AK$343))),""))))</f>
        <v>0</v>
      </c>
      <c r="AZ16" s="61">
        <f>IF(OR($B16="",N(VALUE($AP$343))=0),"",IF(INDEX($C16:$AG16,VALUE($AP$343))="","",IF(N(VALUE($AR$343))=0,INDEX($C16:$AG16,VALUE($AP$343)),IF(N(INDEX($C16:$AG16,N(VALUE($AR$343))))&gt;0,INDEX($C16:$AG16,VALUE($AP$343))/INDEX($C16:$AG16,N(VALUE($AR$343))),""))))</f>
        <v>0</v>
      </c>
      <c r="BA16" s="61">
        <f>IF(OR($B16="",N(VALUE($AQ$343))=0),"",IF(INDEX($C16:$AG16,VALUE($AQ$343))="","",IF(N(VALUE($AS$343))=0,INDEX($C16:$AG16,VALUE($AQ$343)),IF(N(INDEX($C16:$AG16,N(VALUE($AS$343))))&gt;0,INDEX($C16:$AG16,VALUE($AQ$343))/INDEX($C16:$AG16,N(VALUE($AS$343))),""))))</f>
        <v>0</v>
      </c>
      <c r="BC16" s="32" t="str">
        <f>IF(AND($A16=$B$9,ISNUMBER(W16)),W16,NA())</f>
        <v/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47">
        <f>IF($B17="","",IF($B$2="Todos",SUMIFS(BD!$S$3:$S$5001,BD!$A$3:$A$5001,$B17),SUMIFS(BD!$S$3:$S$5001,BD!$A$3:$A$5001,$B17,BD!$B$3:$B$5001,$D$2)))</f>
        <v>0</v>
      </c>
      <c r="T17" s="32">
        <f>IF($B17="","",IF($B$2="Todos",SUMIFS(BD!$T$3:$T$5001,BD!$A$3:$A$5001,$B17),SUMIFS(BD!$T$3:$T$5001,BD!$A$3:$A$5001,$B17,BD!$B$3:$B$5001,$D$2)))</f>
        <v>0</v>
      </c>
      <c r="U17" s="32">
        <f>IF($B17="","",IF($B$2="Todos",SUMIFS(BD!$U$3:$U$5001,BD!$A$3:$A$5001,$B17),SUMIFS(BD!$U$3:$U$5001,BD!$A$3:$A$5001,$B17,BD!$B$3:$B$5001,$D$2)))</f>
        <v>0</v>
      </c>
      <c r="V17" s="32" t="str">
        <f>IF($B$2="Todos",IF(COUNT($C$142:$V$142)=0,"",SUM($C$142:$V$142)),IFERROR(INDEX($C$142:$V$142,MATCH($D$2,$C$136:$V$136,0)),""))</f>
        <v/>
      </c>
      <c r="W17" s="48" t="str">
        <f>IF(X17="","",IF($B$2="Todos",IF($B$4&gt;0,$B$4,IF($B$2="Todos",IF(COUNT($C$212:$V$212)=0,"",SUM($C$212:$V$212)),IFERROR(INDEX($C$212:$V$212,MATCH($D$2,$C$206:$V$206,0)),""))),IFERROR(INDEX($C$212:$V$212,MATCH($D$2,$C$206:$V$206,0)),"")))</f>
        <v/>
      </c>
      <c r="X17" s="32" t="str">
        <f>IF($B$2="Todos",IF(COUNT($C$177:$V$177)=0,"",SUM($C$177:$V$177)),IFERROR(INDEX($C$177:$V$177,MATCH($D$2,$C$171:$V$171,0)),""))</f>
        <v/>
      </c>
      <c r="Y17" s="49" t="str">
        <f>IF(AND(ISNUMBER(X17),ISNUMBER(W17)),IF(W17&gt;0,X17/W17,""),"")</f>
        <v/>
      </c>
      <c r="Z17" s="32" t="str">
        <f>IF($B$2="Todos",IF(COUNT($C$247:$V$247)=0,"",SUM($C$247:$V$247)),IFERROR(INDEX($C$247:$V$247,MATCH($D$2,$C$241:$V$241,0)),""))</f>
        <v/>
      </c>
      <c r="AA17" s="32">
        <f>IF($B17="","",IF($B$2="Todos",SUMIFS(BD!$Z$3:$Z$5001,BD!$A$3:$A$5001,$B17),SUMIFS(BD!$Z$3:$Z$5001,BD!$A$3:$A$5001,$B17,BD!$B$3:$B$5001,$D$2)))</f>
        <v>0</v>
      </c>
      <c r="AB17" s="32">
        <f>IF($B17="","",IF($B$2="Todos",SUMIFS(BD!$AA$3:$AA$5001,BD!$A$3:$A$5001,$B17),SUMIFS(BD!$AA$3:$AA$5001,BD!$A$3:$A$5001,$B17,BD!$B$3:$B$5001,$D$2)))</f>
        <v>0</v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50">
        <f>$B$5</f>
        <v>0.7</v>
      </c>
      <c r="AI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Confiance</v>
      </c>
      <c r="AO17" s="28" t="str">
        <f>IF(AN17="","",IF(INDEX(Config!$C$10:$C$29,MATCH(5,$AP$13:$AP$32,0))&amp;""="","TPC",INDEX(Config!$C$10:$C$29,MATCH(5,$AP$13:$AP$32,0))&amp;""))</f>
        <v>TPC</v>
      </c>
      <c r="AP17" s="38">
        <f>IF(Config!$B$14&amp;""="",AP16,AP16+1)</f>
        <v>5</v>
      </c>
      <c r="AQ17" s="29" t="str">
        <f>$AU$343&amp;" — "&amp;IF($B$2="Todos","TODOS OS CLIENTES",UPPER($B$2))</f>
        <v>ACUMULADO SEMANAL TONS — TODOS OS CLIENTES</v>
      </c>
      <c r="AX17" s="61">
        <f>IF(OR($B17="",N(VALUE($AH$343))=0),"",IF(INDEX($C17:$AG17,VALUE($AH$343))="","",IF(N(VALUE($AJ$343))=0,INDEX($C17:$AG17,VALUE($AH$343)),IF(N(INDEX($C17:$AG17,N(VALUE($AJ$343))))&gt;0,INDEX($C17:$AG17,VALUE($AH$343))/INDEX($C17:$AG17,N(VALUE($AJ$343))),""))))</f>
        <v>0</v>
      </c>
      <c r="AY17" s="61">
        <f>IF(OR($B17="",N(VALUE($AI$343))=0),"",IF(INDEX($C17:$AG17,VALUE($AI$343))="","",IF(N(VALUE($AK$343))=0,INDEX($C17:$AG17,VALUE($AI$343)),IF(N(INDEX($C17:$AG17,N(VALUE($AK$343))))&gt;0,INDEX($C17:$AG17,VALUE($AI$343))/INDEX($C17:$AG17,N(VALUE($AK$343))),""))))</f>
        <v>0</v>
      </c>
      <c r="AZ17" s="61">
        <f>IF(OR($B17="",N(VALUE($AP$343))=0),"",IF(INDEX($C17:$AG17,VALUE($AP$343))="","",IF(N(VALUE($AR$343))=0,INDEX($C17:$AG17,VALUE($AP$343)),IF(N(INDEX($C17:$AG17,N(VALUE($AR$343))))&gt;0,INDEX($C17:$AG17,VALUE($AP$343))/INDEX($C17:$AG17,N(VALUE($AR$343))),""))))</f>
        <v>0</v>
      </c>
      <c r="BA17" s="61">
        <f>IF(OR($B17="",N(VALUE($AQ$343))=0),"",IF(INDEX($C17:$AG17,VALUE($AQ$343))="","",IF(N(VALUE($AS$343))=0,INDEX($C17:$AG17,VALUE($AQ$343)),IF(N(INDEX($C17:$AG17,N(VALUE($AS$343))))&gt;0,INDEX($C17:$AG17,VALUE($AQ$343))/INDEX($C17:$AG17,N(VALUE($AS$343))),""))))</f>
        <v>0</v>
      </c>
      <c r="BC17" s="32" t="str">
        <f>IF(AND($A17=$B$9,ISNUMBER(W17)),W17,NA())</f>
        <v/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47">
        <f>IF($B18="","",IF($B$2="Todos",SUMIFS(BD!$S$3:$S$5001,BD!$A$3:$A$5001,$B18),SUMIFS(BD!$S$3:$S$5001,BD!$A$3:$A$5001,$B18,BD!$B$3:$B$5001,$D$2)))</f>
        <v>0</v>
      </c>
      <c r="T18" s="32">
        <f>IF($B18="","",IF($B$2="Todos",SUMIFS(BD!$T$3:$T$5001,BD!$A$3:$A$5001,$B18),SUMIFS(BD!$T$3:$T$5001,BD!$A$3:$A$5001,$B18,BD!$B$3:$B$5001,$D$2)))</f>
        <v>0</v>
      </c>
      <c r="U18" s="32">
        <f>IF($B18="","",IF($B$2="Todos",SUMIFS(BD!$U$3:$U$5001,BD!$A$3:$A$5001,$B18),SUMIFS(BD!$U$3:$U$5001,BD!$A$3:$A$5001,$B18,BD!$B$3:$B$5001,$D$2)))</f>
        <v>0</v>
      </c>
      <c r="V18" s="32" t="str">
        <f>IF($B$2="Todos",IF(COUNT($C$143:$V$143)=0,"",SUM($C$143:$V$143)),IFERROR(INDEX($C$143:$V$143,MATCH($D$2,$C$136:$V$136,0)),""))</f>
        <v/>
      </c>
      <c r="W18" s="48" t="str">
        <f>IF(X18="","",IF($B$2="Todos",IF($B$4&gt;0,$B$4,IF($B$2="Todos",IF(COUNT($C$213:$V$213)=0,"",SUM($C$213:$V$213)),IFERROR(INDEX($C$213:$V$213,MATCH($D$2,$C$206:$V$206,0)),""))),IFERROR(INDEX($C$213:$V$213,MATCH($D$2,$C$206:$V$206,0)),"")))</f>
        <v/>
      </c>
      <c r="X18" s="32" t="str">
        <f>IF($B$2="Todos",IF(COUNT($C$178:$V$178)=0,"",SUM($C$178:$V$178)),IFERROR(INDEX($C$178:$V$178,MATCH($D$2,$C$171:$V$171,0)),""))</f>
        <v/>
      </c>
      <c r="Y18" s="49" t="str">
        <f>IF(AND(ISNUMBER(X18),ISNUMBER(W18)),IF(W18&gt;0,X18/W18,""),"")</f>
        <v/>
      </c>
      <c r="Z18" s="32" t="str">
        <f>IF($B$2="Todos",IF(COUNT($C$248:$V$248)=0,"",SUM($C$248:$V$248)),IFERROR(INDEX($C$248:$V$248,MATCH($D$2,$C$241:$V$241,0)),""))</f>
        <v/>
      </c>
      <c r="AA18" s="32">
        <f>IF($B18="","",IF($B$2="Todos",SUMIFS(BD!$Z$3:$Z$5001,BD!$A$3:$A$5001,$B18),SUMIFS(BD!$Z$3:$Z$5001,BD!$A$3:$A$5001,$B18,BD!$B$3:$B$5001,$D$2)))</f>
        <v>0</v>
      </c>
      <c r="AB18" s="32">
        <f>IF($B18="","",IF($B$2="Todos",SUMIFS(BD!$AA$3:$AA$5001,BD!$A$3:$A$5001,$B18),SUMIFS(BD!$AA$3:$AA$5001,BD!$A$3:$A$5001,$B18,BD!$B$3:$B$5001,$D$2)))</f>
        <v>0</v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50">
        <f>$B$5</f>
        <v>0.7</v>
      </c>
      <c r="AI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>GE Vernova</v>
      </c>
      <c r="AO18" s="28" t="str">
        <f>IF(AN18="","",IF(INDEX(Config!$C$10:$C$29,MATCH(6,$AP$13:$AP$32,0))&amp;""="","TPC",INDEX(Config!$C$10:$C$29,MATCH(6,$AP$13:$AP$32,0))&amp;""))</f>
        <v>TPC</v>
      </c>
      <c r="AP18" s="38">
        <f>IF(Config!$B$15&amp;""="",AP17,AP17+1)</f>
        <v>6</v>
      </c>
      <c r="AX18" s="61">
        <f>IF(OR($B18="",N(VALUE($AH$343))=0),"",IF(INDEX($C18:$AG18,VALUE($AH$343))="","",IF(N(VALUE($AJ$343))=0,INDEX($C18:$AG18,VALUE($AH$343)),IF(N(INDEX($C18:$AG18,N(VALUE($AJ$343))))&gt;0,INDEX($C18:$AG18,VALUE($AH$343))/INDEX($C18:$AG18,N(VALUE($AJ$343))),""))))</f>
        <v>0</v>
      </c>
      <c r="AY18" s="61">
        <f>IF(OR($B18="",N(VALUE($AI$343))=0),"",IF(INDEX($C18:$AG18,VALUE($AI$343))="","",IF(N(VALUE($AK$343))=0,INDEX($C18:$AG18,VALUE($AI$343)),IF(N(INDEX($C18:$AG18,N(VALUE($AK$343))))&gt;0,INDEX($C18:$AG18,VALUE($AI$343))/INDEX($C18:$AG18,N(VALUE($AK$343))),""))))</f>
        <v>0</v>
      </c>
      <c r="AZ18" s="61">
        <f>IF(OR($B18="",N(VALUE($AP$343))=0),"",IF(INDEX($C18:$AG18,VALUE($AP$343))="","",IF(N(VALUE($AR$343))=0,INDEX($C18:$AG18,VALUE($AP$343)),IF(N(INDEX($C18:$AG18,N(VALUE($AR$343))))&gt;0,INDEX($C18:$AG18,VALUE($AP$343))/INDEX($C18:$AG18,N(VALUE($AR$343))),""))))</f>
        <v>0</v>
      </c>
      <c r="BA18" s="61">
        <f>IF(OR($B18="",N(VALUE($AQ$343))=0),"",IF(INDEX($C18:$AG18,VALUE($AQ$343))="","",IF(N(VALUE($AS$343))=0,INDEX($C18:$AG18,VALUE($AQ$343)),IF(N(INDEX($C18:$AG18,N(VALUE($AS$343))))&gt;0,INDEX($C18:$AG18,VALUE($AQ$343))/INDEX($C18:$AG18,N(VALUE($AS$343))),""))))</f>
        <v>0</v>
      </c>
      <c r="BC18" s="32" t="str">
        <f>IF(AND($A18=$B$9,ISNUMBER(W18)),W18,NA())</f>
        <v/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47">
        <f>IF($B19="","",IF($B$2="Todos",SUMIFS(BD!$S$3:$S$5001,BD!$A$3:$A$5001,$B19),SUMIFS(BD!$S$3:$S$5001,BD!$A$3:$A$5001,$B19,BD!$B$3:$B$5001,$D$2)))</f>
        <v>0</v>
      </c>
      <c r="T19" s="32">
        <f>IF($B19="","",IF($B$2="Todos",SUMIFS(BD!$T$3:$T$5001,BD!$A$3:$A$5001,$B19),SUMIFS(BD!$T$3:$T$5001,BD!$A$3:$A$5001,$B19,BD!$B$3:$B$5001,$D$2)))</f>
        <v>0</v>
      </c>
      <c r="U19" s="32">
        <f>IF($B19="","",IF($B$2="Todos",SUMIFS(BD!$U$3:$U$5001,BD!$A$3:$A$5001,$B19),SUMIFS(BD!$U$3:$U$5001,BD!$A$3:$A$5001,$B19,BD!$B$3:$B$5001,$D$2)))</f>
        <v>0</v>
      </c>
      <c r="V19" s="32" t="str">
        <f>IF($B$2="Todos",IF(COUNT($C$144:$V$144)=0,"",SUM($C$144:$V$144)),IFERROR(INDEX($C$144:$V$144,MATCH($D$2,$C$136:$V$136,0)),""))</f>
        <v/>
      </c>
      <c r="W19" s="48" t="str">
        <f>IF(X19="","",IF($B$2="Todos",IF($B$4&gt;0,$B$4,IF($B$2="Todos",IF(COUNT($C$214:$V$214)=0,"",SUM($C$214:$V$214)),IFERROR(INDEX($C$214:$V$214,MATCH($D$2,$C$206:$V$206,0)),""))),IFERROR(INDEX($C$214:$V$214,MATCH($D$2,$C$206:$V$206,0)),"")))</f>
        <v/>
      </c>
      <c r="X19" s="32" t="str">
        <f>IF($B$2="Todos",IF(COUNT($C$179:$V$179)=0,"",SUM($C$179:$V$179)),IFERROR(INDEX($C$179:$V$179,MATCH($D$2,$C$171:$V$171,0)),""))</f>
        <v/>
      </c>
      <c r="Y19" s="49" t="str">
        <f>IF(AND(ISNUMBER(X19),ISNUMBER(W19)),IF(W19&gt;0,X19/W19,""),"")</f>
        <v/>
      </c>
      <c r="Z19" s="32" t="str">
        <f>IF($B$2="Todos",IF(COUNT($C$249:$V$249)=0,"",SUM($C$249:$V$249)),IFERROR(INDEX($C$249:$V$249,MATCH($D$2,$C$241:$V$241,0)),""))</f>
        <v/>
      </c>
      <c r="AA19" s="32">
        <f>IF($B19="","",IF($B$2="Todos",SUMIFS(BD!$Z$3:$Z$5001,BD!$A$3:$A$5001,$B19),SUMIFS(BD!$Z$3:$Z$5001,BD!$A$3:$A$5001,$B19,BD!$B$3:$B$5001,$D$2)))</f>
        <v>0</v>
      </c>
      <c r="AB19" s="32">
        <f>IF($B19="","",IF($B$2="Todos",SUMIFS(BD!$AA$3:$AA$5001,BD!$A$3:$A$5001,$B19),SUMIFS(BD!$AA$3:$AA$5001,BD!$A$3:$A$5001,$B19,BD!$B$3:$B$5001,$D$2)))</f>
        <v>0</v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50">
        <f>$B$5</f>
        <v>0.7</v>
      </c>
      <c r="AI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>Omnilife</v>
      </c>
      <c r="AO19" s="28" t="str">
        <f>IF(AN19="","",IF(INDEX(Config!$C$10:$C$29,MATCH(7,$AP$13:$AP$32,0))&amp;""="","TPC",INDEX(Config!$C$10:$C$29,MATCH(7,$AP$13:$AP$32,0))&amp;""))</f>
        <v>TPC</v>
      </c>
      <c r="AP19" s="38">
        <f>IF(Config!$B$16&amp;""="",AP18,AP18+1)</f>
        <v>7</v>
      </c>
      <c r="AX19" s="61">
        <f>IF(OR($B19="",N(VALUE($AH$343))=0),"",IF(INDEX($C19:$AG19,VALUE($AH$343))="","",IF(N(VALUE($AJ$343))=0,INDEX($C19:$AG19,VALUE($AH$343)),IF(N(INDEX($C19:$AG19,N(VALUE($AJ$343))))&gt;0,INDEX($C19:$AG19,VALUE($AH$343))/INDEX($C19:$AG19,N(VALUE($AJ$343))),""))))</f>
        <v>0</v>
      </c>
      <c r="AY19" s="61">
        <f>IF(OR($B19="",N(VALUE($AI$343))=0),"",IF(INDEX($C19:$AG19,VALUE($AI$343))="","",IF(N(VALUE($AK$343))=0,INDEX($C19:$AG19,VALUE($AI$343)),IF(N(INDEX($C19:$AG19,N(VALUE($AK$343))))&gt;0,INDEX($C19:$AG19,VALUE($AI$343))/INDEX($C19:$AG19,N(VALUE($AK$343))),""))))</f>
        <v>0</v>
      </c>
      <c r="AZ19" s="61">
        <f>IF(OR($B19="",N(VALUE($AP$343))=0),"",IF(INDEX($C19:$AG19,VALUE($AP$343))="","",IF(N(VALUE($AR$343))=0,INDEX($C19:$AG19,VALUE($AP$343)),IF(N(INDEX($C19:$AG19,N(VALUE($AR$343))))&gt;0,INDEX($C19:$AG19,VALUE($AP$343))/INDEX($C19:$AG19,N(VALUE($AR$343))),""))))</f>
        <v>0</v>
      </c>
      <c r="BA19" s="61">
        <f>IF(OR($B19="",N(VALUE($AQ$343))=0),"",IF(INDEX($C19:$AG19,VALUE($AQ$343))="","",IF(N(VALUE($AS$343))=0,INDEX($C19:$AG19,VALUE($AQ$343)),IF(N(INDEX($C19:$AG19,N(VALUE($AS$343))))&gt;0,INDEX($C19:$AG19,VALUE($AQ$343))/INDEX($C19:$AG19,N(VALUE($AS$343))),""))))</f>
        <v>0</v>
      </c>
      <c r="BC19" s="32" t="str">
        <f>IF(AND($A19=$B$9,ISNUMBER(W19)),W19,NA())</f>
        <v/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47">
        <f>IF($B20="","",IF($B$2="Todos",SUMIFS(BD!$S$3:$S$5001,BD!$A$3:$A$5001,$B20),SUMIFS(BD!$S$3:$S$5001,BD!$A$3:$A$5001,$B20,BD!$B$3:$B$5001,$D$2)))</f>
        <v>0</v>
      </c>
      <c r="T20" s="32">
        <f>IF($B20="","",IF($B$2="Todos",SUMIFS(BD!$T$3:$T$5001,BD!$A$3:$A$5001,$B20),SUMIFS(BD!$T$3:$T$5001,BD!$A$3:$A$5001,$B20,BD!$B$3:$B$5001,$D$2)))</f>
        <v>0</v>
      </c>
      <c r="U20" s="32">
        <f>IF($B20="","",IF($B$2="Todos",SUMIFS(BD!$U$3:$U$5001,BD!$A$3:$A$5001,$B20),SUMIFS(BD!$U$3:$U$5001,BD!$A$3:$A$5001,$B20,BD!$B$3:$B$5001,$D$2)))</f>
        <v>0</v>
      </c>
      <c r="V20" s="32" t="str">
        <f>IF($B$2="Todos",IF(COUNT($C$145:$V$145)=0,"",SUM($C$145:$V$145)),IFERROR(INDEX($C$145:$V$145,MATCH($D$2,$C$136:$V$136,0)),""))</f>
        <v/>
      </c>
      <c r="W20" s="48" t="str">
        <f>IF(X20="","",IF($B$2="Todos",IF($B$4&gt;0,$B$4,IF($B$2="Todos",IF(COUNT($C$215:$V$215)=0,"",SUM($C$215:$V$215)),IFERROR(INDEX($C$215:$V$215,MATCH($D$2,$C$206:$V$206,0)),""))),IFERROR(INDEX($C$215:$V$215,MATCH($D$2,$C$206:$V$206,0)),"")))</f>
        <v/>
      </c>
      <c r="X20" s="32" t="str">
        <f>IF($B$2="Todos",IF(COUNT($C$180:$V$180)=0,"",SUM($C$180:$V$180)),IFERROR(INDEX($C$180:$V$180,MATCH($D$2,$C$171:$V$171,0)),""))</f>
        <v/>
      </c>
      <c r="Y20" s="49" t="str">
        <f>IF(AND(ISNUMBER(X20),ISNUMBER(W20)),IF(W20&gt;0,X20/W20,""),"")</f>
        <v/>
      </c>
      <c r="Z20" s="32" t="str">
        <f>IF($B$2="Todos",IF(COUNT($C$250:$V$250)=0,"",SUM($C$250:$V$250)),IFERROR(INDEX($C$250:$V$250,MATCH($D$2,$C$241:$V$241,0)),""))</f>
        <v/>
      </c>
      <c r="AA20" s="32">
        <f>IF($B20="","",IF($B$2="Todos",SUMIFS(BD!$Z$3:$Z$5001,BD!$A$3:$A$5001,$B20),SUMIFS(BD!$Z$3:$Z$5001,BD!$A$3:$A$5001,$B20,BD!$B$3:$B$5001,$D$2)))</f>
        <v>0</v>
      </c>
      <c r="AB20" s="32">
        <f>IF($B20="","",IF($B$2="Todos",SUMIFS(BD!$AA$3:$AA$5001,BD!$A$3:$A$5001,$B20),SUMIFS(BD!$AA$3:$AA$5001,BD!$A$3:$A$5001,$B20,BD!$B$3:$B$5001,$D$2)))</f>
        <v>0</v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50">
        <f>$B$5</f>
        <v>0.7</v>
      </c>
      <c r="AI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>Supply</v>
      </c>
      <c r="AO20" s="28" t="str">
        <f>IF(AN20="","",IF(INDEX(Config!$C$10:$C$29,MATCH(8,$AP$13:$AP$32,0))&amp;""="","TPC",INDEX(Config!$C$10:$C$29,MATCH(8,$AP$13:$AP$32,0))&amp;""))</f>
        <v>TPC</v>
      </c>
      <c r="AP20" s="38">
        <f>IF(Config!$B$17&amp;""="",AP19,AP19+1)</f>
        <v>8</v>
      </c>
      <c r="AX20" s="61">
        <f>IF(OR($B20="",N(VALUE($AH$343))=0),"",IF(INDEX($C20:$AG20,VALUE($AH$343))="","",IF(N(VALUE($AJ$343))=0,INDEX($C20:$AG20,VALUE($AH$343)),IF(N(INDEX($C20:$AG20,N(VALUE($AJ$343))))&gt;0,INDEX($C20:$AG20,VALUE($AH$343))/INDEX($C20:$AG20,N(VALUE($AJ$343))),""))))</f>
        <v>0</v>
      </c>
      <c r="AY20" s="61">
        <f>IF(OR($B20="",N(VALUE($AI$343))=0),"",IF(INDEX($C20:$AG20,VALUE($AI$343))="","",IF(N(VALUE($AK$343))=0,INDEX($C20:$AG20,VALUE($AI$343)),IF(N(INDEX($C20:$AG20,N(VALUE($AK$343))))&gt;0,INDEX($C20:$AG20,VALUE($AI$343))/INDEX($C20:$AG20,N(VALUE($AK$343))),""))))</f>
        <v>0</v>
      </c>
      <c r="AZ20" s="61">
        <f>IF(OR($B20="",N(VALUE($AP$343))=0),"",IF(INDEX($C20:$AG20,VALUE($AP$343))="","",IF(N(VALUE($AR$343))=0,INDEX($C20:$AG20,VALUE($AP$343)),IF(N(INDEX($C20:$AG20,N(VALUE($AR$343))))&gt;0,INDEX($C20:$AG20,VALUE($AP$343))/INDEX($C20:$AG20,N(VALUE($AR$343))),""))))</f>
        <v>0</v>
      </c>
      <c r="BA20" s="61">
        <f>IF(OR($B20="",N(VALUE($AQ$343))=0),"",IF(INDEX($C20:$AG20,VALUE($AQ$343))="","",IF(N(VALUE($AS$343))=0,INDEX($C20:$AG20,VALUE($AQ$343)),IF(N(INDEX($C20:$AG20,N(VALUE($AS$343))))&gt;0,INDEX($C20:$AG20,VALUE($AQ$343))/INDEX($C20:$AG20,N(VALUE($AS$343))),""))))</f>
        <v>0</v>
      </c>
      <c r="BC20" s="32" t="str">
        <f>IF(AND($A20=$B$9,ISNUMBER(W20)),W20,NA())</f>
        <v/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47">
        <f>IF($B21="","",IF($B$2="Todos",SUMIFS(BD!$S$3:$S$5001,BD!$A$3:$A$5001,$B21),SUMIFS(BD!$S$3:$S$5001,BD!$A$3:$A$5001,$B21,BD!$B$3:$B$5001,$D$2)))</f>
        <v>0</v>
      </c>
      <c r="T21" s="32">
        <f>IF($B21="","",IF($B$2="Todos",SUMIFS(BD!$T$3:$T$5001,BD!$A$3:$A$5001,$B21),SUMIFS(BD!$T$3:$T$5001,BD!$A$3:$A$5001,$B21,BD!$B$3:$B$5001,$D$2)))</f>
        <v>0</v>
      </c>
      <c r="U21" s="32">
        <f>IF($B21="","",IF($B$2="Todos",SUMIFS(BD!$U$3:$U$5001,BD!$A$3:$A$5001,$B21),SUMIFS(BD!$U$3:$U$5001,BD!$A$3:$A$5001,$B21,BD!$B$3:$B$5001,$D$2)))</f>
        <v>0</v>
      </c>
      <c r="V21" s="32" t="str">
        <f>IF($B$2="Todos",IF(COUNT($C$146:$V$146)=0,"",SUM($C$146:$V$146)),IFERROR(INDEX($C$146:$V$146,MATCH($D$2,$C$136:$V$136,0)),""))</f>
        <v/>
      </c>
      <c r="W21" s="48" t="str">
        <f>IF(X21="","",IF($B$2="Todos",IF($B$4&gt;0,$B$4,IF($B$2="Todos",IF(COUNT($C$216:$V$216)=0,"",SUM($C$216:$V$216)),IFERROR(INDEX($C$216:$V$216,MATCH($D$2,$C$206:$V$206,0)),""))),IFERROR(INDEX($C$216:$V$216,MATCH($D$2,$C$206:$V$206,0)),"")))</f>
        <v/>
      </c>
      <c r="X21" s="32" t="str">
        <f>IF($B$2="Todos",IF(COUNT($C$181:$V$181)=0,"",SUM($C$181:$V$181)),IFERROR(INDEX($C$181:$V$181,MATCH($D$2,$C$171:$V$171,0)),""))</f>
        <v/>
      </c>
      <c r="Y21" s="49" t="str">
        <f>IF(AND(ISNUMBER(X21),ISNUMBER(W21)),IF(W21&gt;0,X21/W21,""),"")</f>
        <v/>
      </c>
      <c r="Z21" s="32" t="str">
        <f>IF($B$2="Todos",IF(COUNT($C$251:$V$251)=0,"",SUM($C$251:$V$251)),IFERROR(INDEX($C$251:$V$251,MATCH($D$2,$C$241:$V$241,0)),""))</f>
        <v/>
      </c>
      <c r="AA21" s="32">
        <f>IF($B21="","",IF($B$2="Todos",SUMIFS(BD!$Z$3:$Z$5001,BD!$A$3:$A$5001,$B21),SUMIFS(BD!$Z$3:$Z$5001,BD!$A$3:$A$5001,$B21,BD!$B$3:$B$5001,$D$2)))</f>
        <v>0</v>
      </c>
      <c r="AB21" s="32">
        <f>IF($B21="","",IF($B$2="Todos",SUMIFS(BD!$AA$3:$AA$5001,BD!$A$3:$A$5001,$B21),SUMIFS(BD!$AA$3:$AA$5001,BD!$A$3:$A$5001,$B21,BD!$B$3:$B$5001,$D$2)))</f>
        <v>0</v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50">
        <f>$B$5</f>
        <v>0.7</v>
      </c>
      <c r="AI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>Vedacit</v>
      </c>
      <c r="AO21" s="28" t="str">
        <f>IF(AN21="","",IF(INDEX(Config!$C$10:$C$29,MATCH(9,$AP$13:$AP$32,0))&amp;""="","TPC",INDEX(Config!$C$10:$C$29,MATCH(9,$AP$13:$AP$32,0))&amp;""))</f>
        <v>TPC</v>
      </c>
      <c r="AP21" s="38">
        <f>IF(Config!$B$18&amp;""="",AP20,AP20+1)</f>
        <v>9</v>
      </c>
      <c r="AX21" s="61">
        <f>IF(OR($B21="",N(VALUE($AH$343))=0),"",IF(INDEX($C21:$AG21,VALUE($AH$343))="","",IF(N(VALUE($AJ$343))=0,INDEX($C21:$AG21,VALUE($AH$343)),IF(N(INDEX($C21:$AG21,N(VALUE($AJ$343))))&gt;0,INDEX($C21:$AG21,VALUE($AH$343))/INDEX($C21:$AG21,N(VALUE($AJ$343))),""))))</f>
        <v>0</v>
      </c>
      <c r="AY21" s="61">
        <f>IF(OR($B21="",N(VALUE($AI$343))=0),"",IF(INDEX($C21:$AG21,VALUE($AI$343))="","",IF(N(VALUE($AK$343))=0,INDEX($C21:$AG21,VALUE($AI$343)),IF(N(INDEX($C21:$AG21,N(VALUE($AK$343))))&gt;0,INDEX($C21:$AG21,VALUE($AI$343))/INDEX($C21:$AG21,N(VALUE($AK$343))),""))))</f>
        <v>0</v>
      </c>
      <c r="AZ21" s="61">
        <f>IF(OR($B21="",N(VALUE($AP$343))=0),"",IF(INDEX($C21:$AG21,VALUE($AP$343))="","",IF(N(VALUE($AR$343))=0,INDEX($C21:$AG21,VALUE($AP$343)),IF(N(INDEX($C21:$AG21,N(VALUE($AR$343))))&gt;0,INDEX($C21:$AG21,VALUE($AP$343))/INDEX($C21:$AG21,N(VALUE($AR$343))),""))))</f>
        <v>0</v>
      </c>
      <c r="BA21" s="61">
        <f>IF(OR($B21="",N(VALUE($AQ$343))=0),"",IF(INDEX($C21:$AG21,VALUE($AQ$343))="","",IF(N(VALUE($AS$343))=0,INDEX($C21:$AG21,VALUE($AQ$343)),IF(N(INDEX($C21:$AG21,N(VALUE($AS$343))))&gt;0,INDEX($C21:$AG21,VALUE($AQ$343))/INDEX($C21:$AG21,N(VALUE($AS$343))),""))))</f>
        <v>0</v>
      </c>
      <c r="BC21" s="32" t="str">
        <f>IF(AND($A21=$B$9,ISNUMBER(W21)),W21,NA())</f>
        <v/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47">
        <f>IF($B22="","",IF($B$2="Todos",SUMIFS(BD!$S$3:$S$5001,BD!$A$3:$A$5001,$B22),SUMIFS(BD!$S$3:$S$5001,BD!$A$3:$A$5001,$B22,BD!$B$3:$B$5001,$D$2)))</f>
        <v>0</v>
      </c>
      <c r="T22" s="32">
        <f>IF($B22="","",IF($B$2="Todos",SUMIFS(BD!$T$3:$T$5001,BD!$A$3:$A$5001,$B22),SUMIFS(BD!$T$3:$T$5001,BD!$A$3:$A$5001,$B22,BD!$B$3:$B$5001,$D$2)))</f>
        <v>0</v>
      </c>
      <c r="U22" s="32">
        <f>IF($B22="","",IF($B$2="Todos",SUMIFS(BD!$U$3:$U$5001,BD!$A$3:$A$5001,$B22),SUMIFS(BD!$U$3:$U$5001,BD!$A$3:$A$5001,$B22,BD!$B$3:$B$5001,$D$2)))</f>
        <v>0</v>
      </c>
      <c r="V22" s="32" t="str">
        <f>IF($B$2="Todos",IF(COUNT($C$147:$V$147)=0,"",SUM($C$147:$V$147)),IFERROR(INDEX($C$147:$V$147,MATCH($D$2,$C$136:$V$136,0)),""))</f>
        <v/>
      </c>
      <c r="W22" s="48" t="str">
        <f>IF(X22="","",IF($B$2="Todos",IF($B$4&gt;0,$B$4,IF($B$2="Todos",IF(COUNT($C$217:$V$217)=0,"",SUM($C$217:$V$217)),IFERROR(INDEX($C$217:$V$217,MATCH($D$2,$C$206:$V$206,0)),""))),IFERROR(INDEX($C$217:$V$217,MATCH($D$2,$C$206:$V$206,0)),"")))</f>
        <v/>
      </c>
      <c r="X22" s="32" t="str">
        <f>IF($B$2="Todos",IF(COUNT($C$182:$V$182)=0,"",SUM($C$182:$V$182)),IFERROR(INDEX($C$182:$V$182,MATCH($D$2,$C$171:$V$171,0)),""))</f>
        <v/>
      </c>
      <c r="Y22" s="49" t="str">
        <f>IF(AND(ISNUMBER(X22),ISNUMBER(W22)),IF(W22&gt;0,X22/W22,""),"")</f>
        <v/>
      </c>
      <c r="Z22" s="32" t="str">
        <f>IF($B$2="Todos",IF(COUNT($C$252:$V$252)=0,"",SUM($C$252:$V$252)),IFERROR(INDEX($C$252:$V$252,MATCH($D$2,$C$241:$V$241,0)),""))</f>
        <v/>
      </c>
      <c r="AA22" s="32">
        <f>IF($B22="","",IF($B$2="Todos",SUMIFS(BD!$Z$3:$Z$5001,BD!$A$3:$A$5001,$B22),SUMIFS(BD!$Z$3:$Z$5001,BD!$A$3:$A$5001,$B22,BD!$B$3:$B$5001,$D$2)))</f>
        <v>0</v>
      </c>
      <c r="AB22" s="32">
        <f>IF($B22="","",IF($B$2="Todos",SUMIFS(BD!$AA$3:$AA$5001,BD!$A$3:$A$5001,$B22),SUMIFS(BD!$AA$3:$AA$5001,BD!$A$3:$A$5001,$B22,BD!$B$3:$B$5001,$D$2)))</f>
        <v>0</v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50">
        <f>$B$5</f>
        <v>0.7</v>
      </c>
      <c r="AI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>Vestas</v>
      </c>
      <c r="AO22" s="28" t="str">
        <f>IF(AN22="","",IF(INDEX(Config!$C$10:$C$29,MATCH(10,$AP$13:$AP$32,0))&amp;""="","TPC",INDEX(Config!$C$10:$C$29,MATCH(10,$AP$13:$AP$32,0))&amp;""))</f>
        <v>TPC</v>
      </c>
      <c r="AP22" s="38">
        <f>IF(Config!$B$19&amp;""="",AP21,AP21+1)</f>
        <v>10</v>
      </c>
      <c r="AX22" s="61">
        <f>IF(OR($B22="",N(VALUE($AH$343))=0),"",IF(INDEX($C22:$AG22,VALUE($AH$343))="","",IF(N(VALUE($AJ$343))=0,INDEX($C22:$AG22,VALUE($AH$343)),IF(N(INDEX($C22:$AG22,N(VALUE($AJ$343))))&gt;0,INDEX($C22:$AG22,VALUE($AH$343))/INDEX($C22:$AG22,N(VALUE($AJ$343))),""))))</f>
        <v>0</v>
      </c>
      <c r="AY22" s="61">
        <f>IF(OR($B22="",N(VALUE($AI$343))=0),"",IF(INDEX($C22:$AG22,VALUE($AI$343))="","",IF(N(VALUE($AK$343))=0,INDEX($C22:$AG22,VALUE($AI$343)),IF(N(INDEX($C22:$AG22,N(VALUE($AK$343))))&gt;0,INDEX($C22:$AG22,VALUE($AI$343))/INDEX($C22:$AG22,N(VALUE($AK$343))),""))))</f>
        <v>0</v>
      </c>
      <c r="AZ22" s="61">
        <f>IF(OR($B22="",N(VALUE($AP$343))=0),"",IF(INDEX($C22:$AG22,VALUE($AP$343))="","",IF(N(VALUE($AR$343))=0,INDEX($C22:$AG22,VALUE($AP$343)),IF(N(INDEX($C22:$AG22,N(VALUE($AR$343))))&gt;0,INDEX($C22:$AG22,VALUE($AP$343))/INDEX($C22:$AG22,N(VALUE($AR$343))),""))))</f>
        <v>0</v>
      </c>
      <c r="BA22" s="61">
        <f>IF(OR($B22="",N(VALUE($AQ$343))=0),"",IF(INDEX($C22:$AG22,VALUE($AQ$343))="","",IF(N(VALUE($AS$343))=0,INDEX($C22:$AG22,VALUE($AQ$343)),IF(N(INDEX($C22:$AG22,N(VALUE($AS$343))))&gt;0,INDEX($C22:$AG22,VALUE($AQ$343))/INDEX($C22:$AG22,N(VALUE($AS$343))),""))))</f>
        <v>0</v>
      </c>
      <c r="BC22" s="32" t="str">
        <f>IF(AND($A22=$B$9,ISNUMBER(W22)),W22,NA())</f>
        <v/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47">
        <f>IF($B23="","",IF($B$2="Todos",SUMIFS(BD!$S$3:$S$5001,BD!$A$3:$A$5001,$B23),SUMIFS(BD!$S$3:$S$5001,BD!$A$3:$A$5001,$B23,BD!$B$3:$B$5001,$D$2)))</f>
        <v>0</v>
      </c>
      <c r="T23" s="32">
        <f>IF($B23="","",IF($B$2="Todos",SUMIFS(BD!$T$3:$T$5001,BD!$A$3:$A$5001,$B23),SUMIFS(BD!$T$3:$T$5001,BD!$A$3:$A$5001,$B23,BD!$B$3:$B$5001,$D$2)))</f>
        <v>0</v>
      </c>
      <c r="U23" s="32">
        <f>IF($B23="","",IF($B$2="Todos",SUMIFS(BD!$U$3:$U$5001,BD!$A$3:$A$5001,$B23),SUMIFS(BD!$U$3:$U$5001,BD!$A$3:$A$5001,$B23,BD!$B$3:$B$5001,$D$2)))</f>
        <v>0</v>
      </c>
      <c r="V23" s="32" t="str">
        <f>IF($B$2="Todos",IF(COUNT($C$148:$V$148)=0,"",SUM($C$148:$V$148)),IFERROR(INDEX($C$148:$V$148,MATCH($D$2,$C$136:$V$136,0)),""))</f>
        <v/>
      </c>
      <c r="W23" s="48" t="str">
        <f>IF(X23="","",IF($B$2="Todos",IF($B$4&gt;0,$B$4,IF($B$2="Todos",IF(COUNT($C$218:$V$218)=0,"",SUM($C$218:$V$218)),IFERROR(INDEX($C$218:$V$218,MATCH($D$2,$C$206:$V$206,0)),""))),IFERROR(INDEX($C$218:$V$218,MATCH($D$2,$C$206:$V$206,0)),"")))</f>
        <v/>
      </c>
      <c r="X23" s="32" t="str">
        <f>IF($B$2="Todos",IF(COUNT($C$183:$V$183)=0,"",SUM($C$183:$V$183)),IFERROR(INDEX($C$183:$V$183,MATCH($D$2,$C$171:$V$171,0)),""))</f>
        <v/>
      </c>
      <c r="Y23" s="49" t="str">
        <f>IF(AND(ISNUMBER(X23),ISNUMBER(W23)),IF(W23&gt;0,X23/W23,""),"")</f>
        <v/>
      </c>
      <c r="Z23" s="32" t="str">
        <f>IF($B$2="Todos",IF(COUNT($C$253:$V$253)=0,"",SUM($C$253:$V$253)),IFERROR(INDEX($C$253:$V$253,MATCH($D$2,$C$241:$V$241,0)),""))</f>
        <v/>
      </c>
      <c r="AA23" s="32">
        <f>IF($B23="","",IF($B$2="Todos",SUMIFS(BD!$Z$3:$Z$5001,BD!$A$3:$A$5001,$B23),SUMIFS(BD!$Z$3:$Z$5001,BD!$A$3:$A$5001,$B23,BD!$B$3:$B$5001,$D$2)))</f>
        <v>0</v>
      </c>
      <c r="AB23" s="32">
        <f>IF($B23="","",IF($B$2="Todos",SUMIFS(BD!$AA$3:$AA$5001,BD!$A$3:$A$5001,$B23),SUMIFS(BD!$AA$3:$AA$5001,BD!$A$3:$A$5001,$B23,BD!$B$3:$B$5001,$D$2)))</f>
        <v>0</v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50">
        <f>$B$5</f>
        <v>0.7</v>
      </c>
      <c r="AI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IF(AN23="","",IF(INDEX(Config!$C$10:$C$29,MATCH(11,$AP$13:$AP$32,0))&amp;""="","TPC",INDEX(Config!$C$10:$C$29,MATCH(11,$AP$13:$AP$32,0))&amp;""))</f>
        <v/>
      </c>
      <c r="AP23" s="38">
        <f>IF(Config!$B$20&amp;""="",AP22,AP22+1)</f>
        <v>10</v>
      </c>
      <c r="AX23" s="61">
        <f>IF(OR($B23="",N(VALUE($AH$343))=0),"",IF(INDEX($C23:$AG23,VALUE($AH$343))="","",IF(N(VALUE($AJ$343))=0,INDEX($C23:$AG23,VALUE($AH$343)),IF(N(INDEX($C23:$AG23,N(VALUE($AJ$343))))&gt;0,INDEX($C23:$AG23,VALUE($AH$343))/INDEX($C23:$AG23,N(VALUE($AJ$343))),""))))</f>
        <v>0</v>
      </c>
      <c r="AY23" s="61">
        <f>IF(OR($B23="",N(VALUE($AI$343))=0),"",IF(INDEX($C23:$AG23,VALUE($AI$343))="","",IF(N(VALUE($AK$343))=0,INDEX($C23:$AG23,VALUE($AI$343)),IF(N(INDEX($C23:$AG23,N(VALUE($AK$343))))&gt;0,INDEX($C23:$AG23,VALUE($AI$343))/INDEX($C23:$AG23,N(VALUE($AK$343))),""))))</f>
        <v>0</v>
      </c>
      <c r="AZ23" s="61">
        <f>IF(OR($B23="",N(VALUE($AP$343))=0),"",IF(INDEX($C23:$AG23,VALUE($AP$343))="","",IF(N(VALUE($AR$343))=0,INDEX($C23:$AG23,VALUE($AP$343)),IF(N(INDEX($C23:$AG23,N(VALUE($AR$343))))&gt;0,INDEX($C23:$AG23,VALUE($AP$343))/INDEX($C23:$AG23,N(VALUE($AR$343))),""))))</f>
        <v>0</v>
      </c>
      <c r="BA23" s="61">
        <f>IF(OR($B23="",N(VALUE($AQ$343))=0),"",IF(INDEX($C23:$AG23,VALUE($AQ$343))="","",IF(N(VALUE($AS$343))=0,INDEX($C23:$AG23,VALUE($AQ$343)),IF(N(INDEX($C23:$AG23,N(VALUE($AS$343))))&gt;0,INDEX($C23:$AG23,VALUE($AQ$343))/INDEX($C23:$AG23,N(VALUE($AS$343))),""))))</f>
        <v>0</v>
      </c>
      <c r="BC23" s="32" t="str">
        <f>IF(AND($A23=$B$9,ISNUMBER(W23)),W23,NA())</f>
        <v/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47">
        <f>IF($B24="","",IF($B$2="Todos",SUMIFS(BD!$S$3:$S$5001,BD!$A$3:$A$5001,$B24),SUMIFS(BD!$S$3:$S$5001,BD!$A$3:$A$5001,$B24,BD!$B$3:$B$5001,$D$2)))</f>
        <v>0</v>
      </c>
      <c r="T24" s="32">
        <f>IF($B24="","",IF($B$2="Todos",SUMIFS(BD!$T$3:$T$5001,BD!$A$3:$A$5001,$B24),SUMIFS(BD!$T$3:$T$5001,BD!$A$3:$A$5001,$B24,BD!$B$3:$B$5001,$D$2)))</f>
        <v>0</v>
      </c>
      <c r="U24" s="32">
        <f>IF($B24="","",IF($B$2="Todos",SUMIFS(BD!$U$3:$U$5001,BD!$A$3:$A$5001,$B24),SUMIFS(BD!$U$3:$U$5001,BD!$A$3:$A$5001,$B24,BD!$B$3:$B$5001,$D$2)))</f>
        <v>0</v>
      </c>
      <c r="V24" s="32" t="str">
        <f>IF($B$2="Todos",IF(COUNT($C$149:$V$149)=0,"",SUM($C$149:$V$149)),IFERROR(INDEX($C$149:$V$149,MATCH($D$2,$C$136:$V$136,0)),""))</f>
        <v/>
      </c>
      <c r="W24" s="48" t="str">
        <f>IF(X24="","",IF($B$2="Todos",IF($B$4&gt;0,$B$4,IF($B$2="Todos",IF(COUNT($C$219:$V$219)=0,"",SUM($C$219:$V$219)),IFERROR(INDEX($C$219:$V$219,MATCH($D$2,$C$206:$V$206,0)),""))),IFERROR(INDEX($C$219:$V$219,MATCH($D$2,$C$206:$V$206,0)),"")))</f>
        <v/>
      </c>
      <c r="X24" s="32" t="str">
        <f>IF($B$2="Todos",IF(COUNT($C$184:$V$184)=0,"",SUM($C$184:$V$184)),IFERROR(INDEX($C$184:$V$184,MATCH($D$2,$C$171:$V$171,0)),""))</f>
        <v/>
      </c>
      <c r="Y24" s="49" t="str">
        <f>IF(AND(ISNUMBER(X24),ISNUMBER(W24)),IF(W24&gt;0,X24/W24,""),"")</f>
        <v/>
      </c>
      <c r="Z24" s="32" t="str">
        <f>IF($B$2="Todos",IF(COUNT($C$254:$V$254)=0,"",SUM($C$254:$V$254)),IFERROR(INDEX($C$254:$V$254,MATCH($D$2,$C$241:$V$241,0)),""))</f>
        <v/>
      </c>
      <c r="AA24" s="32">
        <f>IF($B24="","",IF($B$2="Todos",SUMIFS(BD!$Z$3:$Z$5001,BD!$A$3:$A$5001,$B24),SUMIFS(BD!$Z$3:$Z$5001,BD!$A$3:$A$5001,$B24,BD!$B$3:$B$5001,$D$2)))</f>
        <v>0</v>
      </c>
      <c r="AB24" s="32">
        <f>IF($B24="","",IF($B$2="Todos",SUMIFS(BD!$AA$3:$AA$5001,BD!$A$3:$A$5001,$B24),SUMIFS(BD!$AA$3:$AA$5001,BD!$A$3:$A$5001,$B24,BD!$B$3:$B$5001,$D$2)))</f>
        <v>0</v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50">
        <f>$B$5</f>
        <v>0.7</v>
      </c>
      <c r="AI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IF(AN24="","",IF(INDEX(Config!$C$10:$C$29,MATCH(12,$AP$13:$AP$32,0))&amp;""="","TPC",INDEX(Config!$C$10:$C$29,MATCH(12,$AP$13:$AP$32,0))&amp;""))</f>
        <v/>
      </c>
      <c r="AP24" s="38">
        <f>IF(Config!$B$21&amp;""="",AP23,AP23+1)</f>
        <v>10</v>
      </c>
      <c r="AX24" s="61">
        <f>IF(OR($B24="",N(VALUE($AH$343))=0),"",IF(INDEX($C24:$AG24,VALUE($AH$343))="","",IF(N(VALUE($AJ$343))=0,INDEX($C24:$AG24,VALUE($AH$343)),IF(N(INDEX($C24:$AG24,N(VALUE($AJ$343))))&gt;0,INDEX($C24:$AG24,VALUE($AH$343))/INDEX($C24:$AG24,N(VALUE($AJ$343))),""))))</f>
        <v>0</v>
      </c>
      <c r="AY24" s="61">
        <f>IF(OR($B24="",N(VALUE($AI$343))=0),"",IF(INDEX($C24:$AG24,VALUE($AI$343))="","",IF(N(VALUE($AK$343))=0,INDEX($C24:$AG24,VALUE($AI$343)),IF(N(INDEX($C24:$AG24,N(VALUE($AK$343))))&gt;0,INDEX($C24:$AG24,VALUE($AI$343))/INDEX($C24:$AG24,N(VALUE($AK$343))),""))))</f>
        <v>0</v>
      </c>
      <c r="AZ24" s="61">
        <f>IF(OR($B24="",N(VALUE($AP$343))=0),"",IF(INDEX($C24:$AG24,VALUE($AP$343))="","",IF(N(VALUE($AR$343))=0,INDEX($C24:$AG24,VALUE($AP$343)),IF(N(INDEX($C24:$AG24,N(VALUE($AR$343))))&gt;0,INDEX($C24:$AG24,VALUE($AP$343))/INDEX($C24:$AG24,N(VALUE($AR$343))),""))))</f>
        <v>0</v>
      </c>
      <c r="BA24" s="61">
        <f>IF(OR($B24="",N(VALUE($AQ$343))=0),"",IF(INDEX($C24:$AG24,VALUE($AQ$343))="","",IF(N(VALUE($AS$343))=0,INDEX($C24:$AG24,VALUE($AQ$343)),IF(N(INDEX($C24:$AG24,N(VALUE($AS$343))))&gt;0,INDEX($C24:$AG24,VALUE($AQ$343))/INDEX($C24:$AG24,N(VALUE($AS$343))),""))))</f>
        <v>0</v>
      </c>
      <c r="BC24" s="32" t="str">
        <f>IF(AND($A24=$B$9,ISNUMBER(W24)),W24,NA())</f>
        <v/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47">
        <f>IF($B25="","",IF($B$2="Todos",SUMIFS(BD!$S$3:$S$5001,BD!$A$3:$A$5001,$B25),SUMIFS(BD!$S$3:$S$5001,BD!$A$3:$A$5001,$B25,BD!$B$3:$B$5001,$D$2)))</f>
        <v>0</v>
      </c>
      <c r="T25" s="32">
        <f>IF($B25="","",IF($B$2="Todos",SUMIFS(BD!$T$3:$T$5001,BD!$A$3:$A$5001,$B25),SUMIFS(BD!$T$3:$T$5001,BD!$A$3:$A$5001,$B25,BD!$B$3:$B$5001,$D$2)))</f>
        <v>0</v>
      </c>
      <c r="U25" s="32">
        <f>IF($B25="","",IF($B$2="Todos",SUMIFS(BD!$U$3:$U$5001,BD!$A$3:$A$5001,$B25),SUMIFS(BD!$U$3:$U$5001,BD!$A$3:$A$5001,$B25,BD!$B$3:$B$5001,$D$2)))</f>
        <v>0</v>
      </c>
      <c r="V25" s="32" t="str">
        <f>IF($B$2="Todos",IF(COUNT($C$150:$V$150)=0,"",SUM($C$150:$V$150)),IFERROR(INDEX($C$150:$V$150,MATCH($D$2,$C$136:$V$136,0)),""))</f>
        <v/>
      </c>
      <c r="W25" s="48" t="str">
        <f>IF(X25="","",IF($B$2="Todos",IF($B$4&gt;0,$B$4,IF($B$2="Todos",IF(COUNT($C$220:$V$220)=0,"",SUM($C$220:$V$220)),IFERROR(INDEX($C$220:$V$220,MATCH($D$2,$C$206:$V$206,0)),""))),IFERROR(INDEX($C$220:$V$220,MATCH($D$2,$C$206:$V$206,0)),"")))</f>
        <v/>
      </c>
      <c r="X25" s="32" t="str">
        <f>IF($B$2="Todos",IF(COUNT($C$185:$V$185)=0,"",SUM($C$185:$V$185)),IFERROR(INDEX($C$185:$V$185,MATCH($D$2,$C$171:$V$171,0)),""))</f>
        <v/>
      </c>
      <c r="Y25" s="49" t="str">
        <f>IF(AND(ISNUMBER(X25),ISNUMBER(W25)),IF(W25&gt;0,X25/W25,""),"")</f>
        <v/>
      </c>
      <c r="Z25" s="32" t="str">
        <f>IF($B$2="Todos",IF(COUNT($C$255:$V$255)=0,"",SUM($C$255:$V$255)),IFERROR(INDEX($C$255:$V$255,MATCH($D$2,$C$241:$V$241,0)),""))</f>
        <v/>
      </c>
      <c r="AA25" s="32">
        <f>IF($B25="","",IF($B$2="Todos",SUMIFS(BD!$Z$3:$Z$5001,BD!$A$3:$A$5001,$B25),SUMIFS(BD!$Z$3:$Z$5001,BD!$A$3:$A$5001,$B25,BD!$B$3:$B$5001,$D$2)))</f>
        <v>0</v>
      </c>
      <c r="AB25" s="32">
        <f>IF($B25="","",IF($B$2="Todos",SUMIFS(BD!$AA$3:$AA$5001,BD!$A$3:$A$5001,$B25),SUMIFS(BD!$AA$3:$AA$5001,BD!$A$3:$A$5001,$B25,BD!$B$3:$B$5001,$D$2)))</f>
        <v>0</v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50">
        <f>$B$5</f>
        <v>0.7</v>
      </c>
      <c r="AI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IF(AN25="","",IF(INDEX(Config!$C$10:$C$29,MATCH(13,$AP$13:$AP$32,0))&amp;""="","TPC",INDEX(Config!$C$10:$C$29,MATCH(13,$AP$13:$AP$32,0))&amp;""))</f>
        <v/>
      </c>
      <c r="AP25" s="38">
        <f>IF(Config!$B$22&amp;""="",AP24,AP24+1)</f>
        <v>10</v>
      </c>
      <c r="AX25" s="61">
        <f>IF(OR($B25="",N(VALUE($AH$343))=0),"",IF(INDEX($C25:$AG25,VALUE($AH$343))="","",IF(N(VALUE($AJ$343))=0,INDEX($C25:$AG25,VALUE($AH$343)),IF(N(INDEX($C25:$AG25,N(VALUE($AJ$343))))&gt;0,INDEX($C25:$AG25,VALUE($AH$343))/INDEX($C25:$AG25,N(VALUE($AJ$343))),""))))</f>
        <v>0</v>
      </c>
      <c r="AY25" s="61">
        <f>IF(OR($B25="",N(VALUE($AI$343))=0),"",IF(INDEX($C25:$AG25,VALUE($AI$343))="","",IF(N(VALUE($AK$343))=0,INDEX($C25:$AG25,VALUE($AI$343)),IF(N(INDEX($C25:$AG25,N(VALUE($AK$343))))&gt;0,INDEX($C25:$AG25,VALUE($AI$343))/INDEX($C25:$AG25,N(VALUE($AK$343))),""))))</f>
        <v>0</v>
      </c>
      <c r="AZ25" s="61">
        <f>IF(OR($B25="",N(VALUE($AP$343))=0),"",IF(INDEX($C25:$AG25,VALUE($AP$343))="","",IF(N(VALUE($AR$343))=0,INDEX($C25:$AG25,VALUE($AP$343)),IF(N(INDEX($C25:$AG25,N(VALUE($AR$343))))&gt;0,INDEX($C25:$AG25,VALUE($AP$343))/INDEX($C25:$AG25,N(VALUE($AR$343))),""))))</f>
        <v>0</v>
      </c>
      <c r="BA25" s="61">
        <f>IF(OR($B25="",N(VALUE($AQ$343))=0),"",IF(INDEX($C25:$AG25,VALUE($AQ$343))="","",IF(N(VALUE($AS$343))=0,INDEX($C25:$AG25,VALUE($AQ$343)),IF(N(INDEX($C25:$AG25,N(VALUE($AS$343))))&gt;0,INDEX($C25:$AG25,VALUE($AQ$343))/INDEX($C25:$AG25,N(VALUE($AS$343))),""))))</f>
        <v>0</v>
      </c>
      <c r="BC25" s="32" t="str">
        <f>IF(AND($A25=$B$9,ISNUMBER(W25)),W25,NA())</f>
        <v/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47">
        <f>IF($B26="","",IF($B$2="Todos",SUMIFS(BD!$S$3:$S$5001,BD!$A$3:$A$5001,$B26),SUMIFS(BD!$S$3:$S$5001,BD!$A$3:$A$5001,$B26,BD!$B$3:$B$5001,$D$2)))</f>
        <v>0</v>
      </c>
      <c r="T26" s="32">
        <f>IF($B26="","",IF($B$2="Todos",SUMIFS(BD!$T$3:$T$5001,BD!$A$3:$A$5001,$B26),SUMIFS(BD!$T$3:$T$5001,BD!$A$3:$A$5001,$B26,BD!$B$3:$B$5001,$D$2)))</f>
        <v>0</v>
      </c>
      <c r="U26" s="32">
        <f>IF($B26="","",IF($B$2="Todos",SUMIFS(BD!$U$3:$U$5001,BD!$A$3:$A$5001,$B26),SUMIFS(BD!$U$3:$U$5001,BD!$A$3:$A$5001,$B26,BD!$B$3:$B$5001,$D$2)))</f>
        <v>0</v>
      </c>
      <c r="V26" s="32" t="str">
        <f>IF($B$2="Todos",IF(COUNT($C$151:$V$151)=0,"",SUM($C$151:$V$151)),IFERROR(INDEX($C$151:$V$151,MATCH($D$2,$C$136:$V$136,0)),""))</f>
        <v/>
      </c>
      <c r="W26" s="48" t="str">
        <f>IF(X26="","",IF($B$2="Todos",IF($B$4&gt;0,$B$4,IF($B$2="Todos",IF(COUNT($C$221:$V$221)=0,"",SUM($C$221:$V$221)),IFERROR(INDEX($C$221:$V$221,MATCH($D$2,$C$206:$V$206,0)),""))),IFERROR(INDEX($C$221:$V$221,MATCH($D$2,$C$206:$V$206,0)),"")))</f>
        <v/>
      </c>
      <c r="X26" s="32" t="str">
        <f>IF($B$2="Todos",IF(COUNT($C$186:$V$186)=0,"",SUM($C$186:$V$186)),IFERROR(INDEX($C$186:$V$186,MATCH($D$2,$C$171:$V$171,0)),""))</f>
        <v/>
      </c>
      <c r="Y26" s="49" t="str">
        <f>IF(AND(ISNUMBER(X26),ISNUMBER(W26)),IF(W26&gt;0,X26/W26,""),"")</f>
        <v/>
      </c>
      <c r="Z26" s="32" t="str">
        <f>IF($B$2="Todos",IF(COUNT($C$256:$V$256)=0,"",SUM($C$256:$V$256)),IFERROR(INDEX($C$256:$V$256,MATCH($D$2,$C$241:$V$241,0)),""))</f>
        <v/>
      </c>
      <c r="AA26" s="32">
        <f>IF($B26="","",IF($B$2="Todos",SUMIFS(BD!$Z$3:$Z$5001,BD!$A$3:$A$5001,$B26),SUMIFS(BD!$Z$3:$Z$5001,BD!$A$3:$A$5001,$B26,BD!$B$3:$B$5001,$D$2)))</f>
        <v>0</v>
      </c>
      <c r="AB26" s="32">
        <f>IF($B26="","",IF($B$2="Todos",SUMIFS(BD!$AA$3:$AA$5001,BD!$A$3:$A$5001,$B26),SUMIFS(BD!$AA$3:$AA$5001,BD!$A$3:$A$5001,$B26,BD!$B$3:$B$5001,$D$2)))</f>
        <v>0</v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50">
        <f>$B$5</f>
        <v>0.7</v>
      </c>
      <c r="AI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IF(AN26="","",IF(INDEX(Config!$C$10:$C$29,MATCH(14,$AP$13:$AP$32,0))&amp;""="","TPC",INDEX(Config!$C$10:$C$29,MATCH(14,$AP$13:$AP$32,0))&amp;""))</f>
        <v/>
      </c>
      <c r="AP26" s="38">
        <f>IF(Config!$B$23&amp;""="",AP25,AP25+1)</f>
        <v>10</v>
      </c>
      <c r="AX26" s="61">
        <f>IF(OR($B26="",N(VALUE($AH$343))=0),"",IF(INDEX($C26:$AG26,VALUE($AH$343))="","",IF(N(VALUE($AJ$343))=0,INDEX($C26:$AG26,VALUE($AH$343)),IF(N(INDEX($C26:$AG26,N(VALUE($AJ$343))))&gt;0,INDEX($C26:$AG26,VALUE($AH$343))/INDEX($C26:$AG26,N(VALUE($AJ$343))),""))))</f>
        <v>0</v>
      </c>
      <c r="AY26" s="61">
        <f>IF(OR($B26="",N(VALUE($AI$343))=0),"",IF(INDEX($C26:$AG26,VALUE($AI$343))="","",IF(N(VALUE($AK$343))=0,INDEX($C26:$AG26,VALUE($AI$343)),IF(N(INDEX($C26:$AG26,N(VALUE($AK$343))))&gt;0,INDEX($C26:$AG26,VALUE($AI$343))/INDEX($C26:$AG26,N(VALUE($AK$343))),""))))</f>
        <v>0</v>
      </c>
      <c r="AZ26" s="61">
        <f>IF(OR($B26="",N(VALUE($AP$343))=0),"",IF(INDEX($C26:$AG26,VALUE($AP$343))="","",IF(N(VALUE($AR$343))=0,INDEX($C26:$AG26,VALUE($AP$343)),IF(N(INDEX($C26:$AG26,N(VALUE($AR$343))))&gt;0,INDEX($C26:$AG26,VALUE($AP$343))/INDEX($C26:$AG26,N(VALUE($AR$343))),""))))</f>
        <v>0</v>
      </c>
      <c r="BA26" s="61">
        <f>IF(OR($B26="",N(VALUE($AQ$343))=0),"",IF(INDEX($C26:$AG26,VALUE($AQ$343))="","",IF(N(VALUE($AS$343))=0,INDEX($C26:$AG26,VALUE($AQ$343)),IF(N(INDEX($C26:$AG26,N(VALUE($AS$343))))&gt;0,INDEX($C26:$AG26,VALUE($AQ$343))/INDEX($C26:$AG26,N(VALUE($AS$343))),""))))</f>
        <v>0</v>
      </c>
      <c r="BC26" s="32" t="str">
        <f>IF(AND($A26=$B$9,ISNUMBER(W26)),W26,NA())</f>
        <v/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47">
        <f>IF($B27="","",IF($B$2="Todos",SUMIFS(BD!$S$3:$S$5001,BD!$A$3:$A$5001,$B27),SUMIFS(BD!$S$3:$S$5001,BD!$A$3:$A$5001,$B27,BD!$B$3:$B$5001,$D$2)))</f>
        <v>0</v>
      </c>
      <c r="T27" s="32">
        <f>IF($B27="","",IF($B$2="Todos",SUMIFS(BD!$T$3:$T$5001,BD!$A$3:$A$5001,$B27),SUMIFS(BD!$T$3:$T$5001,BD!$A$3:$A$5001,$B27,BD!$B$3:$B$5001,$D$2)))</f>
        <v>0</v>
      </c>
      <c r="U27" s="32">
        <f>IF($B27="","",IF($B$2="Todos",SUMIFS(BD!$U$3:$U$5001,BD!$A$3:$A$5001,$B27),SUMIFS(BD!$U$3:$U$5001,BD!$A$3:$A$5001,$B27,BD!$B$3:$B$5001,$D$2)))</f>
        <v>0</v>
      </c>
      <c r="V27" s="32" t="str">
        <f>IF($B$2="Todos",IF(COUNT($C$152:$V$152)=0,"",SUM($C$152:$V$152)),IFERROR(INDEX($C$152:$V$152,MATCH($D$2,$C$136:$V$136,0)),""))</f>
        <v/>
      </c>
      <c r="W27" s="48" t="str">
        <f>IF(X27="","",IF($B$2="Todos",IF($B$4&gt;0,$B$4,IF($B$2="Todos",IF(COUNT($C$222:$V$222)=0,"",SUM($C$222:$V$222)),IFERROR(INDEX($C$222:$V$222,MATCH($D$2,$C$206:$V$206,0)),""))),IFERROR(INDEX($C$222:$V$222,MATCH($D$2,$C$206:$V$206,0)),"")))</f>
        <v/>
      </c>
      <c r="X27" s="32" t="str">
        <f>IF($B$2="Todos",IF(COUNT($C$187:$V$187)=0,"",SUM($C$187:$V$187)),IFERROR(INDEX($C$187:$V$187,MATCH($D$2,$C$171:$V$171,0)),""))</f>
        <v/>
      </c>
      <c r="Y27" s="49" t="str">
        <f>IF(AND(ISNUMBER(X27),ISNUMBER(W27)),IF(W27&gt;0,X27/W27,""),"")</f>
        <v/>
      </c>
      <c r="Z27" s="32" t="str">
        <f>IF($B$2="Todos",IF(COUNT($C$257:$V$257)=0,"",SUM($C$257:$V$257)),IFERROR(INDEX($C$257:$V$257,MATCH($D$2,$C$241:$V$241,0)),""))</f>
        <v/>
      </c>
      <c r="AA27" s="32">
        <f>IF($B27="","",IF($B$2="Todos",SUMIFS(BD!$Z$3:$Z$5001,BD!$A$3:$A$5001,$B27),SUMIFS(BD!$Z$3:$Z$5001,BD!$A$3:$A$5001,$B27,BD!$B$3:$B$5001,$D$2)))</f>
        <v>0</v>
      </c>
      <c r="AB27" s="32">
        <f>IF($B27="","",IF($B$2="Todos",SUMIFS(BD!$AA$3:$AA$5001,BD!$A$3:$A$5001,$B27),SUMIFS(BD!$AA$3:$AA$5001,BD!$A$3:$A$5001,$B27,BD!$B$3:$B$5001,$D$2)))</f>
        <v>0</v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50">
        <f>$B$5</f>
        <v>0.7</v>
      </c>
      <c r="AI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IF(AN27="","",IF(INDEX(Config!$C$10:$C$29,MATCH(15,$AP$13:$AP$32,0))&amp;""="","TPC",INDEX(Config!$C$10:$C$29,MATCH(15,$AP$13:$AP$32,0))&amp;""))</f>
        <v/>
      </c>
      <c r="AP27" s="38">
        <f>IF(Config!$B$24&amp;""="",AP26,AP26+1)</f>
        <v>10</v>
      </c>
      <c r="AX27" s="61">
        <f>IF(OR($B27="",N(VALUE($AH$343))=0),"",IF(INDEX($C27:$AG27,VALUE($AH$343))="","",IF(N(VALUE($AJ$343))=0,INDEX($C27:$AG27,VALUE($AH$343)),IF(N(INDEX($C27:$AG27,N(VALUE($AJ$343))))&gt;0,INDEX($C27:$AG27,VALUE($AH$343))/INDEX($C27:$AG27,N(VALUE($AJ$343))),""))))</f>
        <v>0</v>
      </c>
      <c r="AY27" s="61">
        <f>IF(OR($B27="",N(VALUE($AI$343))=0),"",IF(INDEX($C27:$AG27,VALUE($AI$343))="","",IF(N(VALUE($AK$343))=0,INDEX($C27:$AG27,VALUE($AI$343)),IF(N(INDEX($C27:$AG27,N(VALUE($AK$343))))&gt;0,INDEX($C27:$AG27,VALUE($AI$343))/INDEX($C27:$AG27,N(VALUE($AK$343))),""))))</f>
        <v>0</v>
      </c>
      <c r="AZ27" s="61">
        <f>IF(OR($B27="",N(VALUE($AP$343))=0),"",IF(INDEX($C27:$AG27,VALUE($AP$343))="","",IF(N(VALUE($AR$343))=0,INDEX($C27:$AG27,VALUE($AP$343)),IF(N(INDEX($C27:$AG27,N(VALUE($AR$343))))&gt;0,INDEX($C27:$AG27,VALUE($AP$343))/INDEX($C27:$AG27,N(VALUE($AR$343))),""))))</f>
        <v>0</v>
      </c>
      <c r="BA27" s="61">
        <f>IF(OR($B27="",N(VALUE($AQ$343))=0),"",IF(INDEX($C27:$AG27,VALUE($AQ$343))="","",IF(N(VALUE($AS$343))=0,INDEX($C27:$AG27,VALUE($AQ$343)),IF(N(INDEX($C27:$AG27,N(VALUE($AS$343))))&gt;0,INDEX($C27:$AG27,VALUE($AQ$343))/INDEX($C27:$AG27,N(VALUE($AS$343))),""))))</f>
        <v>0</v>
      </c>
      <c r="BC27" s="32" t="str">
        <f>IF(AND($A27=$B$9,ISNUMBER(W27)),W27,NA())</f>
        <v/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47">
        <f>IF($B28="","",IF($B$2="Todos",SUMIFS(BD!$S$3:$S$5001,BD!$A$3:$A$5001,$B28),SUMIFS(BD!$S$3:$S$5001,BD!$A$3:$A$5001,$B28,BD!$B$3:$B$5001,$D$2)))</f>
        <v>0</v>
      </c>
      <c r="T28" s="32">
        <f>IF($B28="","",IF($B$2="Todos",SUMIFS(BD!$T$3:$T$5001,BD!$A$3:$A$5001,$B28),SUMIFS(BD!$T$3:$T$5001,BD!$A$3:$A$5001,$B28,BD!$B$3:$B$5001,$D$2)))</f>
        <v>0</v>
      </c>
      <c r="U28" s="32">
        <f>IF($B28="","",IF($B$2="Todos",SUMIFS(BD!$U$3:$U$5001,BD!$A$3:$A$5001,$B28),SUMIFS(BD!$U$3:$U$5001,BD!$A$3:$A$5001,$B28,BD!$B$3:$B$5001,$D$2)))</f>
        <v>0</v>
      </c>
      <c r="V28" s="32" t="str">
        <f>IF($B$2="Todos",IF(COUNT($C$153:$V$153)=0,"",SUM($C$153:$V$153)),IFERROR(INDEX($C$153:$V$153,MATCH($D$2,$C$136:$V$136,0)),""))</f>
        <v/>
      </c>
      <c r="W28" s="48" t="str">
        <f>IF(X28="","",IF($B$2="Todos",IF($B$4&gt;0,$B$4,IF($B$2="Todos",IF(COUNT($C$223:$V$223)=0,"",SUM($C$223:$V$223)),IFERROR(INDEX($C$223:$V$223,MATCH($D$2,$C$206:$V$206,0)),""))),IFERROR(INDEX($C$223:$V$223,MATCH($D$2,$C$206:$V$206,0)),"")))</f>
        <v/>
      </c>
      <c r="X28" s="32" t="str">
        <f>IF($B$2="Todos",IF(COUNT($C$188:$V$188)=0,"",SUM($C$188:$V$188)),IFERROR(INDEX($C$188:$V$188,MATCH($D$2,$C$171:$V$171,0)),""))</f>
        <v/>
      </c>
      <c r="Y28" s="49" t="str">
        <f>IF(AND(ISNUMBER(X28),ISNUMBER(W28)),IF(W28&gt;0,X28/W28,""),"")</f>
        <v/>
      </c>
      <c r="Z28" s="32" t="str">
        <f>IF($B$2="Todos",IF(COUNT($C$258:$V$258)=0,"",SUM($C$258:$V$258)),IFERROR(INDEX($C$258:$V$258,MATCH($D$2,$C$241:$V$241,0)),""))</f>
        <v/>
      </c>
      <c r="AA28" s="32">
        <f>IF($B28="","",IF($B$2="Todos",SUMIFS(BD!$Z$3:$Z$5001,BD!$A$3:$A$5001,$B28),SUMIFS(BD!$Z$3:$Z$5001,BD!$A$3:$A$5001,$B28,BD!$B$3:$B$5001,$D$2)))</f>
        <v>0</v>
      </c>
      <c r="AB28" s="32">
        <f>IF($B28="","",IF($B$2="Todos",SUMIFS(BD!$AA$3:$AA$5001,BD!$A$3:$A$5001,$B28),SUMIFS(BD!$AA$3:$AA$5001,BD!$A$3:$A$5001,$B28,BD!$B$3:$B$5001,$D$2)))</f>
        <v>0</v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50">
        <f>$B$5</f>
        <v>0.7</v>
      </c>
      <c r="AI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IF(AN28="","",IF(INDEX(Config!$C$10:$C$29,MATCH(16,$AP$13:$AP$32,0))&amp;""="","TPC",INDEX(Config!$C$10:$C$29,MATCH(16,$AP$13:$AP$32,0))&amp;""))</f>
        <v/>
      </c>
      <c r="AP28" s="38">
        <f>IF(Config!$B$25&amp;""="",AP27,AP27+1)</f>
        <v>10</v>
      </c>
      <c r="AX28" s="61">
        <f>IF(OR($B28="",N(VALUE($AH$343))=0),"",IF(INDEX($C28:$AG28,VALUE($AH$343))="","",IF(N(VALUE($AJ$343))=0,INDEX($C28:$AG28,VALUE($AH$343)),IF(N(INDEX($C28:$AG28,N(VALUE($AJ$343))))&gt;0,INDEX($C28:$AG28,VALUE($AH$343))/INDEX($C28:$AG28,N(VALUE($AJ$343))),""))))</f>
        <v>0</v>
      </c>
      <c r="AY28" s="61">
        <f>IF(OR($B28="",N(VALUE($AI$343))=0),"",IF(INDEX($C28:$AG28,VALUE($AI$343))="","",IF(N(VALUE($AK$343))=0,INDEX($C28:$AG28,VALUE($AI$343)),IF(N(INDEX($C28:$AG28,N(VALUE($AK$343))))&gt;0,INDEX($C28:$AG28,VALUE($AI$343))/INDEX($C28:$AG28,N(VALUE($AK$343))),""))))</f>
        <v>0</v>
      </c>
      <c r="AZ28" s="61">
        <f>IF(OR($B28="",N(VALUE($AP$343))=0),"",IF(INDEX($C28:$AG28,VALUE($AP$343))="","",IF(N(VALUE($AR$343))=0,INDEX($C28:$AG28,VALUE($AP$343)),IF(N(INDEX($C28:$AG28,N(VALUE($AR$343))))&gt;0,INDEX($C28:$AG28,VALUE($AP$343))/INDEX($C28:$AG28,N(VALUE($AR$343))),""))))</f>
        <v>0</v>
      </c>
      <c r="BA28" s="61">
        <f>IF(OR($B28="",N(VALUE($AQ$343))=0),"",IF(INDEX($C28:$AG28,VALUE($AQ$343))="","",IF(N(VALUE($AS$343))=0,INDEX($C28:$AG28,VALUE($AQ$343)),IF(N(INDEX($C28:$AG28,N(VALUE($AS$343))))&gt;0,INDEX($C28:$AG28,VALUE($AQ$343))/INDEX($C28:$AG28,N(VALUE($AS$343))),""))))</f>
        <v>0</v>
      </c>
      <c r="BC28" s="32" t="str">
        <f>IF(AND($A28=$B$9,ISNUMBER(W28)),W28,NA())</f>
        <v/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47">
        <f>IF($B29="","",IF($B$2="Todos",SUMIFS(BD!$S$3:$S$5001,BD!$A$3:$A$5001,$B29),SUMIFS(BD!$S$3:$S$5001,BD!$A$3:$A$5001,$B29,BD!$B$3:$B$5001,$D$2)))</f>
        <v>0</v>
      </c>
      <c r="T29" s="32">
        <f>IF($B29="","",IF($B$2="Todos",SUMIFS(BD!$T$3:$T$5001,BD!$A$3:$A$5001,$B29),SUMIFS(BD!$T$3:$T$5001,BD!$A$3:$A$5001,$B29,BD!$B$3:$B$5001,$D$2)))</f>
        <v>0</v>
      </c>
      <c r="U29" s="32">
        <f>IF($B29="","",IF($B$2="Todos",SUMIFS(BD!$U$3:$U$5001,BD!$A$3:$A$5001,$B29),SUMIFS(BD!$U$3:$U$5001,BD!$A$3:$A$5001,$B29,BD!$B$3:$B$5001,$D$2)))</f>
        <v>0</v>
      </c>
      <c r="V29" s="32" t="str">
        <f>IF($B$2="Todos",IF(COUNT($C$154:$V$154)=0,"",SUM($C$154:$V$154)),IFERROR(INDEX($C$154:$V$154,MATCH($D$2,$C$136:$V$136,0)),""))</f>
        <v/>
      </c>
      <c r="W29" s="48" t="str">
        <f>IF(X29="","",IF($B$2="Todos",IF($B$4&gt;0,$B$4,IF($B$2="Todos",IF(COUNT($C$224:$V$224)=0,"",SUM($C$224:$V$224)),IFERROR(INDEX($C$224:$V$224,MATCH($D$2,$C$206:$V$206,0)),""))),IFERROR(INDEX($C$224:$V$224,MATCH($D$2,$C$206:$V$206,0)),"")))</f>
        <v/>
      </c>
      <c r="X29" s="32" t="str">
        <f>IF($B$2="Todos",IF(COUNT($C$189:$V$189)=0,"",SUM($C$189:$V$189)),IFERROR(INDEX($C$189:$V$189,MATCH($D$2,$C$171:$V$171,0)),""))</f>
        <v/>
      </c>
      <c r="Y29" s="49" t="str">
        <f>IF(AND(ISNUMBER(X29),ISNUMBER(W29)),IF(W29&gt;0,X29/W29,""),"")</f>
        <v/>
      </c>
      <c r="Z29" s="32" t="str">
        <f>IF($B$2="Todos",IF(COUNT($C$259:$V$259)=0,"",SUM($C$259:$V$259)),IFERROR(INDEX($C$259:$V$259,MATCH($D$2,$C$241:$V$241,0)),""))</f>
        <v/>
      </c>
      <c r="AA29" s="32">
        <f>IF($B29="","",IF($B$2="Todos",SUMIFS(BD!$Z$3:$Z$5001,BD!$A$3:$A$5001,$B29),SUMIFS(BD!$Z$3:$Z$5001,BD!$A$3:$A$5001,$B29,BD!$B$3:$B$5001,$D$2)))</f>
        <v>0</v>
      </c>
      <c r="AB29" s="32">
        <f>IF($B29="","",IF($B$2="Todos",SUMIFS(BD!$AA$3:$AA$5001,BD!$A$3:$A$5001,$B29),SUMIFS(BD!$AA$3:$AA$5001,BD!$A$3:$A$5001,$B29,BD!$B$3:$B$5001,$D$2)))</f>
        <v>0</v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50">
        <f>$B$5</f>
        <v>0.7</v>
      </c>
      <c r="AI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IF(AN29="","",IF(INDEX(Config!$C$10:$C$29,MATCH(17,$AP$13:$AP$32,0))&amp;""="","TPC",INDEX(Config!$C$10:$C$29,MATCH(17,$AP$13:$AP$32,0))&amp;""))</f>
        <v/>
      </c>
      <c r="AP29" s="38">
        <f>IF(Config!$B$26&amp;""="",AP28,AP28+1)</f>
        <v>10</v>
      </c>
      <c r="AX29" s="61">
        <f>IF(OR($B29="",N(VALUE($AH$343))=0),"",IF(INDEX($C29:$AG29,VALUE($AH$343))="","",IF(N(VALUE($AJ$343))=0,INDEX($C29:$AG29,VALUE($AH$343)),IF(N(INDEX($C29:$AG29,N(VALUE($AJ$343))))&gt;0,INDEX($C29:$AG29,VALUE($AH$343))/INDEX($C29:$AG29,N(VALUE($AJ$343))),""))))</f>
        <v>0</v>
      </c>
      <c r="AY29" s="61">
        <f>IF(OR($B29="",N(VALUE($AI$343))=0),"",IF(INDEX($C29:$AG29,VALUE($AI$343))="","",IF(N(VALUE($AK$343))=0,INDEX($C29:$AG29,VALUE($AI$343)),IF(N(INDEX($C29:$AG29,N(VALUE($AK$343))))&gt;0,INDEX($C29:$AG29,VALUE($AI$343))/INDEX($C29:$AG29,N(VALUE($AK$343))),""))))</f>
        <v>0</v>
      </c>
      <c r="AZ29" s="61">
        <f>IF(OR($B29="",N(VALUE($AP$343))=0),"",IF(INDEX($C29:$AG29,VALUE($AP$343))="","",IF(N(VALUE($AR$343))=0,INDEX($C29:$AG29,VALUE($AP$343)),IF(N(INDEX($C29:$AG29,N(VALUE($AR$343))))&gt;0,INDEX($C29:$AG29,VALUE($AP$343))/INDEX($C29:$AG29,N(VALUE($AR$343))),""))))</f>
        <v>0</v>
      </c>
      <c r="BA29" s="61">
        <f>IF(OR($B29="",N(VALUE($AQ$343))=0),"",IF(INDEX($C29:$AG29,VALUE($AQ$343))="","",IF(N(VALUE($AS$343))=0,INDEX($C29:$AG29,VALUE($AQ$343)),IF(N(INDEX($C29:$AG29,N(VALUE($AS$343))))&gt;0,INDEX($C29:$AG29,VALUE($AQ$343))/INDEX($C29:$AG29,N(VALUE($AS$343))),""))))</f>
        <v>0</v>
      </c>
      <c r="BC29" s="32" t="str">
        <f>IF(AND($A29=$B$9,ISNUMBER(W29)),W29,NA())</f>
        <v/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47">
        <f>IF($B30="","",IF($B$2="Todos",SUMIFS(BD!$S$3:$S$5001,BD!$A$3:$A$5001,$B30),SUMIFS(BD!$S$3:$S$5001,BD!$A$3:$A$5001,$B30,BD!$B$3:$B$5001,$D$2)))</f>
        <v>0</v>
      </c>
      <c r="T30" s="32">
        <f>IF($B30="","",IF($B$2="Todos",SUMIFS(BD!$T$3:$T$5001,BD!$A$3:$A$5001,$B30),SUMIFS(BD!$T$3:$T$5001,BD!$A$3:$A$5001,$B30,BD!$B$3:$B$5001,$D$2)))</f>
        <v>0</v>
      </c>
      <c r="U30" s="32">
        <f>IF($B30="","",IF($B$2="Todos",SUMIFS(BD!$U$3:$U$5001,BD!$A$3:$A$5001,$B30),SUMIFS(BD!$U$3:$U$5001,BD!$A$3:$A$5001,$B30,BD!$B$3:$B$5001,$D$2)))</f>
        <v>0</v>
      </c>
      <c r="V30" s="32" t="str">
        <f>IF($B$2="Todos",IF(COUNT($C$155:$V$155)=0,"",SUM($C$155:$V$155)),IFERROR(INDEX($C$155:$V$155,MATCH($D$2,$C$136:$V$136,0)),""))</f>
        <v/>
      </c>
      <c r="W30" s="48" t="str">
        <f>IF(X30="","",IF($B$2="Todos",IF($B$4&gt;0,$B$4,IF($B$2="Todos",IF(COUNT($C$225:$V$225)=0,"",SUM($C$225:$V$225)),IFERROR(INDEX($C$225:$V$225,MATCH($D$2,$C$206:$V$206,0)),""))),IFERROR(INDEX($C$225:$V$225,MATCH($D$2,$C$206:$V$206,0)),"")))</f>
        <v/>
      </c>
      <c r="X30" s="32" t="str">
        <f>IF($B$2="Todos",IF(COUNT($C$190:$V$190)=0,"",SUM($C$190:$V$190)),IFERROR(INDEX($C$190:$V$190,MATCH($D$2,$C$171:$V$171,0)),""))</f>
        <v/>
      </c>
      <c r="Y30" s="49" t="str">
        <f>IF(AND(ISNUMBER(X30),ISNUMBER(W30)),IF(W30&gt;0,X30/W30,""),"")</f>
        <v/>
      </c>
      <c r="Z30" s="32" t="str">
        <f>IF($B$2="Todos",IF(COUNT($C$260:$V$260)=0,"",SUM($C$260:$V$260)),IFERROR(INDEX($C$260:$V$260,MATCH($D$2,$C$241:$V$241,0)),""))</f>
        <v/>
      </c>
      <c r="AA30" s="32">
        <f>IF($B30="","",IF($B$2="Todos",SUMIFS(BD!$Z$3:$Z$5001,BD!$A$3:$A$5001,$B30),SUMIFS(BD!$Z$3:$Z$5001,BD!$A$3:$A$5001,$B30,BD!$B$3:$B$5001,$D$2)))</f>
        <v>0</v>
      </c>
      <c r="AB30" s="32">
        <f>IF($B30="","",IF($B$2="Todos",SUMIFS(BD!$AA$3:$AA$5001,BD!$A$3:$A$5001,$B30),SUMIFS(BD!$AA$3:$AA$5001,BD!$A$3:$A$5001,$B30,BD!$B$3:$B$5001,$D$2)))</f>
        <v>0</v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50">
        <f>$B$5</f>
        <v>0.7</v>
      </c>
      <c r="AI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IF(AN30="","",IF(INDEX(Config!$C$10:$C$29,MATCH(18,$AP$13:$AP$32,0))&amp;""="","TPC",INDEX(Config!$C$10:$C$29,MATCH(18,$AP$13:$AP$32,0))&amp;""))</f>
        <v/>
      </c>
      <c r="AP30" s="38">
        <f>IF(Config!$B$27&amp;""="",AP29,AP29+1)</f>
        <v>10</v>
      </c>
      <c r="AX30" s="61">
        <f>IF(OR($B30="",N(VALUE($AH$343))=0),"",IF(INDEX($C30:$AG30,VALUE($AH$343))="","",IF(N(VALUE($AJ$343))=0,INDEX($C30:$AG30,VALUE($AH$343)),IF(N(INDEX($C30:$AG30,N(VALUE($AJ$343))))&gt;0,INDEX($C30:$AG30,VALUE($AH$343))/INDEX($C30:$AG30,N(VALUE($AJ$343))),""))))</f>
        <v>0</v>
      </c>
      <c r="AY30" s="61">
        <f>IF(OR($B30="",N(VALUE($AI$343))=0),"",IF(INDEX($C30:$AG30,VALUE($AI$343))="","",IF(N(VALUE($AK$343))=0,INDEX($C30:$AG30,VALUE($AI$343)),IF(N(INDEX($C30:$AG30,N(VALUE($AK$343))))&gt;0,INDEX($C30:$AG30,VALUE($AI$343))/INDEX($C30:$AG30,N(VALUE($AK$343))),""))))</f>
        <v>0</v>
      </c>
      <c r="AZ30" s="61">
        <f>IF(OR($B30="",N(VALUE($AP$343))=0),"",IF(INDEX($C30:$AG30,VALUE($AP$343))="","",IF(N(VALUE($AR$343))=0,INDEX($C30:$AG30,VALUE($AP$343)),IF(N(INDEX($C30:$AG30,N(VALUE($AR$343))))&gt;0,INDEX($C30:$AG30,VALUE($AP$343))/INDEX($C30:$AG30,N(VALUE($AR$343))),""))))</f>
        <v>0</v>
      </c>
      <c r="BA30" s="61">
        <f>IF(OR($B30="",N(VALUE($AQ$343))=0),"",IF(INDEX($C30:$AG30,VALUE($AQ$343))="","",IF(N(VALUE($AS$343))=0,INDEX($C30:$AG30,VALUE($AQ$343)),IF(N(INDEX($C30:$AG30,N(VALUE($AS$343))))&gt;0,INDEX($C30:$AG30,VALUE($AQ$343))/INDEX($C30:$AG30,N(VALUE($AS$343))),""))))</f>
        <v>0</v>
      </c>
      <c r="BC30" s="32" t="str">
        <f>IF(AND($A30=$B$9,ISNUMBER(W30)),W30,NA())</f>
        <v/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47">
        <f>IF($B31="","",IF($B$2="Todos",SUMIFS(BD!$S$3:$S$5001,BD!$A$3:$A$5001,$B31),SUMIFS(BD!$S$3:$S$5001,BD!$A$3:$A$5001,$B31,BD!$B$3:$B$5001,$D$2)))</f>
        <v>0</v>
      </c>
      <c r="T31" s="32">
        <f>IF($B31="","",IF($B$2="Todos",SUMIFS(BD!$T$3:$T$5001,BD!$A$3:$A$5001,$B31),SUMIFS(BD!$T$3:$T$5001,BD!$A$3:$A$5001,$B31,BD!$B$3:$B$5001,$D$2)))</f>
        <v>0</v>
      </c>
      <c r="U31" s="32">
        <f>IF($B31="","",IF($B$2="Todos",SUMIFS(BD!$U$3:$U$5001,BD!$A$3:$A$5001,$B31),SUMIFS(BD!$U$3:$U$5001,BD!$A$3:$A$5001,$B31,BD!$B$3:$B$5001,$D$2)))</f>
        <v>0</v>
      </c>
      <c r="V31" s="32" t="str">
        <f>IF($B$2="Todos",IF(COUNT($C$156:$V$156)=0,"",SUM($C$156:$V$156)),IFERROR(INDEX($C$156:$V$156,MATCH($D$2,$C$136:$V$136,0)),""))</f>
        <v/>
      </c>
      <c r="W31" s="48" t="str">
        <f>IF(X31="","",IF($B$2="Todos",IF($B$4&gt;0,$B$4,IF($B$2="Todos",IF(COUNT($C$226:$V$226)=0,"",SUM($C$226:$V$226)),IFERROR(INDEX($C$226:$V$226,MATCH($D$2,$C$206:$V$206,0)),""))),IFERROR(INDEX($C$226:$V$226,MATCH($D$2,$C$206:$V$206,0)),"")))</f>
        <v/>
      </c>
      <c r="X31" s="32" t="str">
        <f>IF($B$2="Todos",IF(COUNT($C$191:$V$191)=0,"",SUM($C$191:$V$191)),IFERROR(INDEX($C$191:$V$191,MATCH($D$2,$C$171:$V$171,0)),""))</f>
        <v/>
      </c>
      <c r="Y31" s="49" t="str">
        <f>IF(AND(ISNUMBER(X31),ISNUMBER(W31)),IF(W31&gt;0,X31/W31,""),"")</f>
        <v/>
      </c>
      <c r="Z31" s="32" t="str">
        <f>IF($B$2="Todos",IF(COUNT($C$261:$V$261)=0,"",SUM($C$261:$V$261)),IFERROR(INDEX($C$261:$V$261,MATCH($D$2,$C$241:$V$241,0)),""))</f>
        <v/>
      </c>
      <c r="AA31" s="32">
        <f>IF($B31="","",IF($B$2="Todos",SUMIFS(BD!$Z$3:$Z$5001,BD!$A$3:$A$5001,$B31),SUMIFS(BD!$Z$3:$Z$5001,BD!$A$3:$A$5001,$B31,BD!$B$3:$B$5001,$D$2)))</f>
        <v>0</v>
      </c>
      <c r="AB31" s="32">
        <f>IF($B31="","",IF($B$2="Todos",SUMIFS(BD!$AA$3:$AA$5001,BD!$A$3:$A$5001,$B31),SUMIFS(BD!$AA$3:$AA$5001,BD!$A$3:$A$5001,$B31,BD!$B$3:$B$5001,$D$2)))</f>
        <v>0</v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50">
        <f>$B$5</f>
        <v>0.7</v>
      </c>
      <c r="AI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IF(AN31="","",IF(INDEX(Config!$C$10:$C$29,MATCH(19,$AP$13:$AP$32,0))&amp;""="","TPC",INDEX(Config!$C$10:$C$29,MATCH(19,$AP$13:$AP$32,0))&amp;""))</f>
        <v/>
      </c>
      <c r="AP31" s="38">
        <f>IF(Config!$B$28&amp;""="",AP30,AP30+1)</f>
        <v>10</v>
      </c>
      <c r="AX31" s="61">
        <f>IF(OR($B31="",N(VALUE($AH$343))=0),"",IF(INDEX($C31:$AG31,VALUE($AH$343))="","",IF(N(VALUE($AJ$343))=0,INDEX($C31:$AG31,VALUE($AH$343)),IF(N(INDEX($C31:$AG31,N(VALUE($AJ$343))))&gt;0,INDEX($C31:$AG31,VALUE($AH$343))/INDEX($C31:$AG31,N(VALUE($AJ$343))),""))))</f>
        <v>0</v>
      </c>
      <c r="AY31" s="61">
        <f>IF(OR($B31="",N(VALUE($AI$343))=0),"",IF(INDEX($C31:$AG31,VALUE($AI$343))="","",IF(N(VALUE($AK$343))=0,INDEX($C31:$AG31,VALUE($AI$343)),IF(N(INDEX($C31:$AG31,N(VALUE($AK$343))))&gt;0,INDEX($C31:$AG31,VALUE($AI$343))/INDEX($C31:$AG31,N(VALUE($AK$343))),""))))</f>
        <v>0</v>
      </c>
      <c r="AZ31" s="61">
        <f>IF(OR($B31="",N(VALUE($AP$343))=0),"",IF(INDEX($C31:$AG31,VALUE($AP$343))="","",IF(N(VALUE($AR$343))=0,INDEX($C31:$AG31,VALUE($AP$343)),IF(N(INDEX($C31:$AG31,N(VALUE($AR$343))))&gt;0,INDEX($C31:$AG31,VALUE($AP$343))/INDEX($C31:$AG31,N(VALUE($AR$343))),""))))</f>
        <v>0</v>
      </c>
      <c r="BA31" s="61">
        <f>IF(OR($B31="",N(VALUE($AQ$343))=0),"",IF(INDEX($C31:$AG31,VALUE($AQ$343))="","",IF(N(VALUE($AS$343))=0,INDEX($C31:$AG31,VALUE($AQ$343)),IF(N(INDEX($C31:$AG31,N(VALUE($AS$343))))&gt;0,INDEX($C31:$AG31,VALUE($AQ$343))/INDEX($C31:$AG31,N(VALUE($AS$343))),""))))</f>
        <v>0</v>
      </c>
      <c r="BC31" s="32" t="str">
        <f>IF(AND($A31=$B$9,ISNUMBER(W31)),W31,NA())</f>
        <v/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47">
        <f>IF($B32="","",IF($B$2="Todos",SUMIFS(BD!$S$3:$S$5001,BD!$A$3:$A$5001,$B32),SUMIFS(BD!$S$3:$S$5001,BD!$A$3:$A$5001,$B32,BD!$B$3:$B$5001,$D$2)))</f>
        <v>0</v>
      </c>
      <c r="T32" s="32">
        <f>IF($B32="","",IF($B$2="Todos",SUMIFS(BD!$T$3:$T$5001,BD!$A$3:$A$5001,$B32),SUMIFS(BD!$T$3:$T$5001,BD!$A$3:$A$5001,$B32,BD!$B$3:$B$5001,$D$2)))</f>
        <v>0</v>
      </c>
      <c r="U32" s="32">
        <f>IF($B32="","",IF($B$2="Todos",SUMIFS(BD!$U$3:$U$5001,BD!$A$3:$A$5001,$B32),SUMIFS(BD!$U$3:$U$5001,BD!$A$3:$A$5001,$B32,BD!$B$3:$B$5001,$D$2)))</f>
        <v>0</v>
      </c>
      <c r="V32" s="32" t="str">
        <f>IF($B$2="Todos",IF(COUNT($C$157:$V$157)=0,"",SUM($C$157:$V$157)),IFERROR(INDEX($C$157:$V$157,MATCH($D$2,$C$136:$V$136,0)),""))</f>
        <v/>
      </c>
      <c r="W32" s="48" t="str">
        <f>IF(X32="","",IF($B$2="Todos",IF($B$4&gt;0,$B$4,IF($B$2="Todos",IF(COUNT($C$227:$V$227)=0,"",SUM($C$227:$V$227)),IFERROR(INDEX($C$227:$V$227,MATCH($D$2,$C$206:$V$206,0)),""))),IFERROR(INDEX($C$227:$V$227,MATCH($D$2,$C$206:$V$206,0)),"")))</f>
        <v/>
      </c>
      <c r="X32" s="32" t="str">
        <f>IF($B$2="Todos",IF(COUNT($C$192:$V$192)=0,"",SUM($C$192:$V$192)),IFERROR(INDEX($C$192:$V$192,MATCH($D$2,$C$171:$V$171,0)),""))</f>
        <v/>
      </c>
      <c r="Y32" s="49" t="str">
        <f>IF(AND(ISNUMBER(X32),ISNUMBER(W32)),IF(W32&gt;0,X32/W32,""),"")</f>
        <v/>
      </c>
      <c r="Z32" s="32" t="str">
        <f>IF($B$2="Todos",IF(COUNT($C$262:$V$262)=0,"",SUM($C$262:$V$262)),IFERROR(INDEX($C$262:$V$262,MATCH($D$2,$C$241:$V$241,0)),""))</f>
        <v/>
      </c>
      <c r="AA32" s="32">
        <f>IF($B32="","",IF($B$2="Todos",SUMIFS(BD!$Z$3:$Z$5001,BD!$A$3:$A$5001,$B32),SUMIFS(BD!$Z$3:$Z$5001,BD!$A$3:$A$5001,$B32,BD!$B$3:$B$5001,$D$2)))</f>
        <v>0</v>
      </c>
      <c r="AB32" s="32">
        <f>IF($B32="","",IF($B$2="Todos",SUMIFS(BD!$AA$3:$AA$5001,BD!$A$3:$A$5001,$B32),SUMIFS(BD!$AA$3:$AA$5001,BD!$A$3:$A$5001,$B32,BD!$B$3:$B$5001,$D$2)))</f>
        <v>0</v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50">
        <f>$B$5</f>
        <v>0.7</v>
      </c>
      <c r="AI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IF(AN32="","",IF(INDEX(Config!$C$10:$C$29,MATCH(20,$AP$13:$AP$32,0))&amp;""="","TPC",INDEX(Config!$C$10:$C$29,MATCH(20,$AP$13:$AP$32,0))&amp;""))</f>
        <v/>
      </c>
      <c r="AP32" s="38">
        <f>IF(Config!$B$29&amp;""="",AP31,AP31+1)</f>
        <v>10</v>
      </c>
      <c r="AX32" s="61">
        <f>IF(OR($B32="",N(VALUE($AH$343))=0),"",IF(INDEX($C32:$AG32,VALUE($AH$343))="","",IF(N(VALUE($AJ$343))=0,INDEX($C32:$AG32,VALUE($AH$343)),IF(N(INDEX($C32:$AG32,N(VALUE($AJ$343))))&gt;0,INDEX($C32:$AG32,VALUE($AH$343))/INDEX($C32:$AG32,N(VALUE($AJ$343))),""))))</f>
        <v>0</v>
      </c>
      <c r="AY32" s="61">
        <f>IF(OR($B32="",N(VALUE($AI$343))=0),"",IF(INDEX($C32:$AG32,VALUE($AI$343))="","",IF(N(VALUE($AK$343))=0,INDEX($C32:$AG32,VALUE($AI$343)),IF(N(INDEX($C32:$AG32,N(VALUE($AK$343))))&gt;0,INDEX($C32:$AG32,VALUE($AI$343))/INDEX($C32:$AG32,N(VALUE($AK$343))),""))))</f>
        <v>0</v>
      </c>
      <c r="AZ32" s="61">
        <f>IF(OR($B32="",N(VALUE($AP$343))=0),"",IF(INDEX($C32:$AG32,VALUE($AP$343))="","",IF(N(VALUE($AR$343))=0,INDEX($C32:$AG32,VALUE($AP$343)),IF(N(INDEX($C32:$AG32,N(VALUE($AR$343))))&gt;0,INDEX($C32:$AG32,VALUE($AP$343))/INDEX($C32:$AG32,N(VALUE($AR$343))),""))))</f>
        <v>0</v>
      </c>
      <c r="BA32" s="61">
        <f>IF(OR($B32="",N(VALUE($AQ$343))=0),"",IF(INDEX($C32:$AG32,VALUE($AQ$343))="","",IF(N(VALUE($AS$343))=0,INDEX($C32:$AG32,VALUE($AQ$343)),IF(N(INDEX($C32:$AG32,N(VALUE($AS$343))))&gt;0,INDEX($C32:$AG32,VALUE($AQ$343))/INDEX($C32:$AG32,N(VALUE($AS$343))),""))))</f>
        <v>0</v>
      </c>
      <c r="BC32" s="32" t="str">
        <f>IF(AND($A32=$B$9,ISNUMBER(W32)),W32,NA())</f>
        <v/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47">
        <f>IF($B33="","",IF($B$2="Todos",SUMIFS(BD!$S$3:$S$5001,BD!$A$3:$A$5001,$B33),SUMIFS(BD!$S$3:$S$5001,BD!$A$3:$A$5001,$B33,BD!$B$3:$B$5001,$D$2)))</f>
        <v>0</v>
      </c>
      <c r="T33" s="32">
        <f>IF($B33="","",IF($B$2="Todos",SUMIFS(BD!$T$3:$T$5001,BD!$A$3:$A$5001,$B33),SUMIFS(BD!$T$3:$T$5001,BD!$A$3:$A$5001,$B33,BD!$B$3:$B$5001,$D$2)))</f>
        <v>0</v>
      </c>
      <c r="U33" s="32">
        <f>IF($B33="","",IF($B$2="Todos",SUMIFS(BD!$U$3:$U$5001,BD!$A$3:$A$5001,$B33),SUMIFS(BD!$U$3:$U$5001,BD!$A$3:$A$5001,$B33,BD!$B$3:$B$5001,$D$2)))</f>
        <v>0</v>
      </c>
      <c r="V33" s="32" t="str">
        <f>IF($B$2="Todos",IF(COUNT($C$158:$V$158)=0,"",SUM($C$158:$V$158)),IFERROR(INDEX($C$158:$V$158,MATCH($D$2,$C$136:$V$136,0)),""))</f>
        <v/>
      </c>
      <c r="W33" s="48" t="str">
        <f>IF(X33="","",IF($B$2="Todos",IF($B$4&gt;0,$B$4,IF($B$2="Todos",IF(COUNT($C$228:$V$228)=0,"",SUM($C$228:$V$228)),IFERROR(INDEX($C$228:$V$228,MATCH($D$2,$C$206:$V$206,0)),""))),IFERROR(INDEX($C$228:$V$228,MATCH($D$2,$C$206:$V$206,0)),"")))</f>
        <v/>
      </c>
      <c r="X33" s="32" t="str">
        <f>IF($B$2="Todos",IF(COUNT($C$193:$V$193)=0,"",SUM($C$193:$V$193)),IFERROR(INDEX($C$193:$V$193,MATCH($D$2,$C$171:$V$171,0)),""))</f>
        <v/>
      </c>
      <c r="Y33" s="49" t="str">
        <f>IF(AND(ISNUMBER(X33),ISNUMBER(W33)),IF(W33&gt;0,X33/W33,""),"")</f>
        <v/>
      </c>
      <c r="Z33" s="32" t="str">
        <f>IF($B$2="Todos",IF(COUNT($C$263:$V$263)=0,"",SUM($C$263:$V$263)),IFERROR(INDEX($C$263:$V$263,MATCH($D$2,$C$241:$V$241,0)),""))</f>
        <v/>
      </c>
      <c r="AA33" s="32">
        <f>IF($B33="","",IF($B$2="Todos",SUMIFS(BD!$Z$3:$Z$5001,BD!$A$3:$A$5001,$B33),SUMIFS(BD!$Z$3:$Z$5001,BD!$A$3:$A$5001,$B33,BD!$B$3:$B$5001,$D$2)))</f>
        <v>0</v>
      </c>
      <c r="AB33" s="32">
        <f>IF($B33="","",IF($B$2="Todos",SUMIFS(BD!$AA$3:$AA$5001,BD!$A$3:$A$5001,$B33),SUMIFS(BD!$AA$3:$AA$5001,BD!$A$3:$A$5001,$B33,BD!$B$3:$B$5001,$D$2)))</f>
        <v>0</v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50">
        <f>$B$5</f>
        <v>0.7</v>
      </c>
      <c r="AI33" s="50">
        <f>$B$6</f>
        <v>0.9</v>
      </c>
      <c r="AX33" s="61">
        <f>IF(OR($B33="",N(VALUE($AH$343))=0),"",IF(INDEX($C33:$AG33,VALUE($AH$343))="","",IF(N(VALUE($AJ$343))=0,INDEX($C33:$AG33,VALUE($AH$343)),IF(N(INDEX($C33:$AG33,N(VALUE($AJ$343))))&gt;0,INDEX($C33:$AG33,VALUE($AH$343))/INDEX($C33:$AG33,N(VALUE($AJ$343))),""))))</f>
        <v>0</v>
      </c>
      <c r="AY33" s="61">
        <f>IF(OR($B33="",N(VALUE($AI$343))=0),"",IF(INDEX($C33:$AG33,VALUE($AI$343))="","",IF(N(VALUE($AK$343))=0,INDEX($C33:$AG33,VALUE($AI$343)),IF(N(INDEX($C33:$AG33,N(VALUE($AK$343))))&gt;0,INDEX($C33:$AG33,VALUE($AI$343))/INDEX($C33:$AG33,N(VALUE($AK$343))),""))))</f>
        <v>0</v>
      </c>
      <c r="AZ33" s="61">
        <f>IF(OR($B33="",N(VALUE($AP$343))=0),"",IF(INDEX($C33:$AG33,VALUE($AP$343))="","",IF(N(VALUE($AR$343))=0,INDEX($C33:$AG33,VALUE($AP$343)),IF(N(INDEX($C33:$AG33,N(VALUE($AR$343))))&gt;0,INDEX($C33:$AG33,VALUE($AP$343))/INDEX($C33:$AG33,N(VALUE($AR$343))),""))))</f>
        <v>0</v>
      </c>
      <c r="BA33" s="61">
        <f>IF(OR($B33="",N(VALUE($AQ$343))=0),"",IF(INDEX($C33:$AG33,VALUE($AQ$343))="","",IF(N(VALUE($AS$343))=0,INDEX($C33:$AG33,VALUE($AQ$343)),IF(N(INDEX($C33:$AG33,N(VALUE($AS$343))))&gt;0,INDEX($C33:$AG33,VALUE($AQ$343))/INDEX($C33:$AG33,N(VALUE($AS$343))),""))))</f>
        <v>0</v>
      </c>
      <c r="BC33" s="32" t="str">
        <f>IF(AND($A33=$B$9,ISNUMBER(W33)),W33,NA())</f>
        <v/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47">
        <f>IF($B34="","",IF($B$2="Todos",SUMIFS(BD!$S$3:$S$5001,BD!$A$3:$A$5001,$B34),SUMIFS(BD!$S$3:$S$5001,BD!$A$3:$A$5001,$B34,BD!$B$3:$B$5001,$D$2)))</f>
        <v>0</v>
      </c>
      <c r="T34" s="32">
        <f>IF($B34="","",IF($B$2="Todos",SUMIFS(BD!$T$3:$T$5001,BD!$A$3:$A$5001,$B34),SUMIFS(BD!$T$3:$T$5001,BD!$A$3:$A$5001,$B34,BD!$B$3:$B$5001,$D$2)))</f>
        <v>0</v>
      </c>
      <c r="U34" s="32">
        <f>IF($B34="","",IF($B$2="Todos",SUMIFS(BD!$U$3:$U$5001,BD!$A$3:$A$5001,$B34),SUMIFS(BD!$U$3:$U$5001,BD!$A$3:$A$5001,$B34,BD!$B$3:$B$5001,$D$2)))</f>
        <v>0</v>
      </c>
      <c r="V34" s="32" t="str">
        <f>IF($B$2="Todos",IF(COUNT($C$159:$V$159)=0,"",SUM($C$159:$V$159)),IFERROR(INDEX($C$159:$V$159,MATCH($D$2,$C$136:$V$136,0)),""))</f>
        <v/>
      </c>
      <c r="W34" s="48" t="str">
        <f>IF(X34="","",IF($B$2="Todos",IF($B$4&gt;0,$B$4,IF($B$2="Todos",IF(COUNT($C$229:$V$229)=0,"",SUM($C$229:$V$229)),IFERROR(INDEX($C$229:$V$229,MATCH($D$2,$C$206:$V$206,0)),""))),IFERROR(INDEX($C$229:$V$229,MATCH($D$2,$C$206:$V$206,0)),"")))</f>
        <v/>
      </c>
      <c r="X34" s="32" t="str">
        <f>IF($B$2="Todos",IF(COUNT($C$194:$V$194)=0,"",SUM($C$194:$V$194)),IFERROR(INDEX($C$194:$V$194,MATCH($D$2,$C$171:$V$171,0)),""))</f>
        <v/>
      </c>
      <c r="Y34" s="49" t="str">
        <f>IF(AND(ISNUMBER(X34),ISNUMBER(W34)),IF(W34&gt;0,X34/W34,""),"")</f>
        <v/>
      </c>
      <c r="Z34" s="32" t="str">
        <f>IF($B$2="Todos",IF(COUNT($C$264:$V$264)=0,"",SUM($C$264:$V$264)),IFERROR(INDEX($C$264:$V$264,MATCH($D$2,$C$241:$V$241,0)),""))</f>
        <v/>
      </c>
      <c r="AA34" s="32">
        <f>IF($B34="","",IF($B$2="Todos",SUMIFS(BD!$Z$3:$Z$5001,BD!$A$3:$A$5001,$B34),SUMIFS(BD!$Z$3:$Z$5001,BD!$A$3:$A$5001,$B34,BD!$B$3:$B$5001,$D$2)))</f>
        <v>0</v>
      </c>
      <c r="AB34" s="32">
        <f>IF($B34="","",IF($B$2="Todos",SUMIFS(BD!$AA$3:$AA$5001,BD!$A$3:$A$5001,$B34),SUMIFS(BD!$AA$3:$AA$5001,BD!$A$3:$A$5001,$B34,BD!$B$3:$B$5001,$D$2)))</f>
        <v>0</v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50">
        <f>$B$5</f>
        <v>0.7</v>
      </c>
      <c r="AI34" s="50">
        <f>$B$6</f>
        <v>0.9</v>
      </c>
      <c r="AX34" s="61">
        <f>IF(OR($B34="",N(VALUE($AH$343))=0),"",IF(INDEX($C34:$AG34,VALUE($AH$343))="","",IF(N(VALUE($AJ$343))=0,INDEX($C34:$AG34,VALUE($AH$343)),IF(N(INDEX($C34:$AG34,N(VALUE($AJ$343))))&gt;0,INDEX($C34:$AG34,VALUE($AH$343))/INDEX($C34:$AG34,N(VALUE($AJ$343))),""))))</f>
        <v>0</v>
      </c>
      <c r="AY34" s="61">
        <f>IF(OR($B34="",N(VALUE($AI$343))=0),"",IF(INDEX($C34:$AG34,VALUE($AI$343))="","",IF(N(VALUE($AK$343))=0,INDEX($C34:$AG34,VALUE($AI$343)),IF(N(INDEX($C34:$AG34,N(VALUE($AK$343))))&gt;0,INDEX($C34:$AG34,VALUE($AI$343))/INDEX($C34:$AG34,N(VALUE($AK$343))),""))))</f>
        <v>0</v>
      </c>
      <c r="AZ34" s="61">
        <f>IF(OR($B34="",N(VALUE($AP$343))=0),"",IF(INDEX($C34:$AG34,VALUE($AP$343))="","",IF(N(VALUE($AR$343))=0,INDEX($C34:$AG34,VALUE($AP$343)),IF(N(INDEX($C34:$AG34,N(VALUE($AR$343))))&gt;0,INDEX($C34:$AG34,VALUE($AP$343))/INDEX($C34:$AG34,N(VALUE($AR$343))),""))))</f>
        <v>0</v>
      </c>
      <c r="BA34" s="61">
        <f>IF(OR($B34="",N(VALUE($AQ$343))=0),"",IF(INDEX($C34:$AG34,VALUE($AQ$343))="","",IF(N(VALUE($AS$343))=0,INDEX($C34:$AG34,VALUE($AQ$343)),IF(N(INDEX($C34:$AG34,N(VALUE($AS$343))))&gt;0,INDEX($C34:$AG34,VALUE($AQ$343))/INDEX($C34:$AG34,N(VALUE($AS$343))),""))))</f>
        <v>0</v>
      </c>
      <c r="BC34" s="32" t="str">
        <f>IF(AND($A34=$B$9,ISNUMBER(W34)),W34,NA())</f>
        <v/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47">
        <f>IF($B35="","",IF($B$2="Todos",SUMIFS(BD!$S$3:$S$5001,BD!$A$3:$A$5001,$B35),SUMIFS(BD!$S$3:$S$5001,BD!$A$3:$A$5001,$B35,BD!$B$3:$B$5001,$D$2)))</f>
        <v>0</v>
      </c>
      <c r="T35" s="32">
        <f>IF($B35="","",IF($B$2="Todos",SUMIFS(BD!$T$3:$T$5001,BD!$A$3:$A$5001,$B35),SUMIFS(BD!$T$3:$T$5001,BD!$A$3:$A$5001,$B35,BD!$B$3:$B$5001,$D$2)))</f>
        <v>0</v>
      </c>
      <c r="U35" s="32">
        <f>IF($B35="","",IF($B$2="Todos",SUMIFS(BD!$U$3:$U$5001,BD!$A$3:$A$5001,$B35),SUMIFS(BD!$U$3:$U$5001,BD!$A$3:$A$5001,$B35,BD!$B$3:$B$5001,$D$2)))</f>
        <v>0</v>
      </c>
      <c r="V35" s="32" t="str">
        <f>IF($B$2="Todos",IF(COUNT($C$160:$V$160)=0,"",SUM($C$160:$V$160)),IFERROR(INDEX($C$160:$V$160,MATCH($D$2,$C$136:$V$136,0)),""))</f>
        <v/>
      </c>
      <c r="W35" s="48" t="str">
        <f>IF(X35="","",IF($B$2="Todos",IF($B$4&gt;0,$B$4,IF($B$2="Todos",IF(COUNT($C$230:$V$230)=0,"",SUM($C$230:$V$230)),IFERROR(INDEX($C$230:$V$230,MATCH($D$2,$C$206:$V$206,0)),""))),IFERROR(INDEX($C$230:$V$230,MATCH($D$2,$C$206:$V$206,0)),"")))</f>
        <v/>
      </c>
      <c r="X35" s="32" t="str">
        <f>IF($B$2="Todos",IF(COUNT($C$195:$V$195)=0,"",SUM($C$195:$V$195)),IFERROR(INDEX($C$195:$V$195,MATCH($D$2,$C$171:$V$171,0)),""))</f>
        <v/>
      </c>
      <c r="Y35" s="49" t="str">
        <f>IF(AND(ISNUMBER(X35),ISNUMBER(W35)),IF(W35&gt;0,X35/W35,""),"")</f>
        <v/>
      </c>
      <c r="Z35" s="32" t="str">
        <f>IF($B$2="Todos",IF(COUNT($C$265:$V$265)=0,"",SUM($C$265:$V$265)),IFERROR(INDEX($C$265:$V$265,MATCH($D$2,$C$241:$V$241,0)),""))</f>
        <v/>
      </c>
      <c r="AA35" s="32">
        <f>IF($B35="","",IF($B$2="Todos",SUMIFS(BD!$Z$3:$Z$5001,BD!$A$3:$A$5001,$B35),SUMIFS(BD!$Z$3:$Z$5001,BD!$A$3:$A$5001,$B35,BD!$B$3:$B$5001,$D$2)))</f>
        <v>0</v>
      </c>
      <c r="AB35" s="32">
        <f>IF($B35="","",IF($B$2="Todos",SUMIFS(BD!$AA$3:$AA$5001,BD!$A$3:$A$5001,$B35),SUMIFS(BD!$AA$3:$AA$5001,BD!$A$3:$A$5001,$B35,BD!$B$3:$B$5001,$D$2)))</f>
        <v>0</v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50">
        <f>$B$5</f>
        <v>0.7</v>
      </c>
      <c r="AI35" s="50">
        <f>$B$6</f>
        <v>0.9</v>
      </c>
      <c r="AX35" s="61">
        <f>IF(OR($B35="",N(VALUE($AH$343))=0),"",IF(INDEX($C35:$AG35,VALUE($AH$343))="","",IF(N(VALUE($AJ$343))=0,INDEX($C35:$AG35,VALUE($AH$343)),IF(N(INDEX($C35:$AG35,N(VALUE($AJ$343))))&gt;0,INDEX($C35:$AG35,VALUE($AH$343))/INDEX($C35:$AG35,N(VALUE($AJ$343))),""))))</f>
        <v>0</v>
      </c>
      <c r="AY35" s="61">
        <f>IF(OR($B35="",N(VALUE($AI$343))=0),"",IF(INDEX($C35:$AG35,VALUE($AI$343))="","",IF(N(VALUE($AK$343))=0,INDEX($C35:$AG35,VALUE($AI$343)),IF(N(INDEX($C35:$AG35,N(VALUE($AK$343))))&gt;0,INDEX($C35:$AG35,VALUE($AI$343))/INDEX($C35:$AG35,N(VALUE($AK$343))),""))))</f>
        <v>0</v>
      </c>
      <c r="AZ35" s="61">
        <f>IF(OR($B35="",N(VALUE($AP$343))=0),"",IF(INDEX($C35:$AG35,VALUE($AP$343))="","",IF(N(VALUE($AR$343))=0,INDEX($C35:$AG35,VALUE($AP$343)),IF(N(INDEX($C35:$AG35,N(VALUE($AR$343))))&gt;0,INDEX($C35:$AG35,VALUE($AP$343))/INDEX($C35:$AG35,N(VALUE($AR$343))),""))))</f>
        <v>0</v>
      </c>
      <c r="BA35" s="61">
        <f>IF(OR($B35="",N(VALUE($AQ$343))=0),"",IF(INDEX($C35:$AG35,VALUE($AQ$343))="","",IF(N(VALUE($AS$343))=0,INDEX($C35:$AG35,VALUE($AQ$343)),IF(N(INDEX($C35:$AG35,N(VALUE($AS$343))))&gt;0,INDEX($C35:$AG35,VALUE($AQ$343))/INDEX($C35:$AG35,N(VALUE($AS$343))),""))))</f>
        <v>0</v>
      </c>
      <c r="BC35" s="32" t="str">
        <f>IF(AND($A35=$B$9,ISNUMBER(W35)),W35,NA())</f>
        <v/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47">
        <f>IF($B36="","",IF($B$2="Todos",SUMIFS(BD!$S$3:$S$5001,BD!$A$3:$A$5001,$B36),SUMIFS(BD!$S$3:$S$5001,BD!$A$3:$A$5001,$B36,BD!$B$3:$B$5001,$D$2)))</f>
        <v>0</v>
      </c>
      <c r="T36" s="32">
        <f>IF($B36="","",IF($B$2="Todos",SUMIFS(BD!$T$3:$T$5001,BD!$A$3:$A$5001,$B36),SUMIFS(BD!$T$3:$T$5001,BD!$A$3:$A$5001,$B36,BD!$B$3:$B$5001,$D$2)))</f>
        <v>0</v>
      </c>
      <c r="U36" s="32">
        <f>IF($B36="","",IF($B$2="Todos",SUMIFS(BD!$U$3:$U$5001,BD!$A$3:$A$5001,$B36),SUMIFS(BD!$U$3:$U$5001,BD!$A$3:$A$5001,$B36,BD!$B$3:$B$5001,$D$2)))</f>
        <v>0</v>
      </c>
      <c r="V36" s="32" t="str">
        <f>IF($B$2="Todos",IF(COUNT($C$161:$V$161)=0,"",SUM($C$161:$V$161)),IFERROR(INDEX($C$161:$V$161,MATCH($D$2,$C$136:$V$136,0)),""))</f>
        <v/>
      </c>
      <c r="W36" s="48" t="str">
        <f>IF(X36="","",IF($B$2="Todos",IF($B$4&gt;0,$B$4,IF($B$2="Todos",IF(COUNT($C$231:$V$231)=0,"",SUM($C$231:$V$231)),IFERROR(INDEX($C$231:$V$231,MATCH($D$2,$C$206:$V$206,0)),""))),IFERROR(INDEX($C$231:$V$231,MATCH($D$2,$C$206:$V$206,0)),"")))</f>
        <v/>
      </c>
      <c r="X36" s="32" t="str">
        <f>IF($B$2="Todos",IF(COUNT($C$196:$V$196)=0,"",SUM($C$196:$V$196)),IFERROR(INDEX($C$196:$V$196,MATCH($D$2,$C$171:$V$171,0)),""))</f>
        <v/>
      </c>
      <c r="Y36" s="49" t="str">
        <f>IF(AND(ISNUMBER(X36),ISNUMBER(W36)),IF(W36&gt;0,X36/W36,""),"")</f>
        <v/>
      </c>
      <c r="Z36" s="32" t="str">
        <f>IF($B$2="Todos",IF(COUNT($C$266:$V$266)=0,"",SUM($C$266:$V$266)),IFERROR(INDEX($C$266:$V$266,MATCH($D$2,$C$241:$V$241,0)),""))</f>
        <v/>
      </c>
      <c r="AA36" s="32">
        <f>IF($B36="","",IF($B$2="Todos",SUMIFS(BD!$Z$3:$Z$5001,BD!$A$3:$A$5001,$B36),SUMIFS(BD!$Z$3:$Z$5001,BD!$A$3:$A$5001,$B36,BD!$B$3:$B$5001,$D$2)))</f>
        <v>0</v>
      </c>
      <c r="AB36" s="32">
        <f>IF($B36="","",IF($B$2="Todos",SUMIFS(BD!$AA$3:$AA$5001,BD!$A$3:$A$5001,$B36),SUMIFS(BD!$AA$3:$AA$5001,BD!$A$3:$A$5001,$B36,BD!$B$3:$B$5001,$D$2)))</f>
        <v>0</v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50">
        <f>$B$5</f>
        <v>0.7</v>
      </c>
      <c r="AI36" s="50">
        <f>$B$6</f>
        <v>0.9</v>
      </c>
      <c r="AX36" s="61">
        <f>IF(OR($B36="",N(VALUE($AH$343))=0),"",IF(INDEX($C36:$AG36,VALUE($AH$343))="","",IF(N(VALUE($AJ$343))=0,INDEX($C36:$AG36,VALUE($AH$343)),IF(N(INDEX($C36:$AG36,N(VALUE($AJ$343))))&gt;0,INDEX($C36:$AG36,VALUE($AH$343))/INDEX($C36:$AG36,N(VALUE($AJ$343))),""))))</f>
        <v>0</v>
      </c>
      <c r="AY36" s="61">
        <f>IF(OR($B36="",N(VALUE($AI$343))=0),"",IF(INDEX($C36:$AG36,VALUE($AI$343))="","",IF(N(VALUE($AK$343))=0,INDEX($C36:$AG36,VALUE($AI$343)),IF(N(INDEX($C36:$AG36,N(VALUE($AK$343))))&gt;0,INDEX($C36:$AG36,VALUE($AI$343))/INDEX($C36:$AG36,N(VALUE($AK$343))),""))))</f>
        <v>0</v>
      </c>
      <c r="AZ36" s="61">
        <f>IF(OR($B36="",N(VALUE($AP$343))=0),"",IF(INDEX($C36:$AG36,VALUE($AP$343))="","",IF(N(VALUE($AR$343))=0,INDEX($C36:$AG36,VALUE($AP$343)),IF(N(INDEX($C36:$AG36,N(VALUE($AR$343))))&gt;0,INDEX($C36:$AG36,VALUE($AP$343))/INDEX($C36:$AG36,N(VALUE($AR$343))),""))))</f>
        <v>0</v>
      </c>
      <c r="BA36" s="61">
        <f>IF(OR($B36="",N(VALUE($AQ$343))=0),"",IF(INDEX($C36:$AG36,VALUE($AQ$343))="","",IF(N(VALUE($AS$343))=0,INDEX($C36:$AG36,VALUE($AQ$343)),IF(N(INDEX($C36:$AG36,N(VALUE($AS$343))))&gt;0,INDEX($C36:$AG36,VALUE($AQ$343))/INDEX($C36:$AG36,N(VALUE($AS$343))),""))))</f>
        <v>0</v>
      </c>
      <c r="BC36" s="32" t="str">
        <f>IF(AND($A36=$B$9,ISNUMBER(W36)),W36,NA())</f>
        <v/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47">
        <f>IF($B37="","",IF($B$2="Todos",SUMIFS(BD!$S$3:$S$5001,BD!$A$3:$A$5001,$B37),SUMIFS(BD!$S$3:$S$5001,BD!$A$3:$A$5001,$B37,BD!$B$3:$B$5001,$D$2)))</f>
        <v>0</v>
      </c>
      <c r="T37" s="32">
        <f>IF($B37="","",IF($B$2="Todos",SUMIFS(BD!$T$3:$T$5001,BD!$A$3:$A$5001,$B37),SUMIFS(BD!$T$3:$T$5001,BD!$A$3:$A$5001,$B37,BD!$B$3:$B$5001,$D$2)))</f>
        <v>0</v>
      </c>
      <c r="U37" s="32">
        <f>IF($B37="","",IF($B$2="Todos",SUMIFS(BD!$U$3:$U$5001,BD!$A$3:$A$5001,$B37),SUMIFS(BD!$U$3:$U$5001,BD!$A$3:$A$5001,$B37,BD!$B$3:$B$5001,$D$2)))</f>
        <v>0</v>
      </c>
      <c r="V37" s="32" t="str">
        <f>IF($B$2="Todos",IF(COUNT($C$162:$V$162)=0,"",SUM($C$162:$V$162)),IFERROR(INDEX($C$162:$V$162,MATCH($D$2,$C$136:$V$136,0)),""))</f>
        <v/>
      </c>
      <c r="W37" s="48" t="str">
        <f>IF(X37="","",IF($B$2="Todos",IF($B$4&gt;0,$B$4,IF($B$2="Todos",IF(COUNT($C$232:$V$232)=0,"",SUM($C$232:$V$232)),IFERROR(INDEX($C$232:$V$232,MATCH($D$2,$C$206:$V$206,0)),""))),IFERROR(INDEX($C$232:$V$232,MATCH($D$2,$C$206:$V$206,0)),"")))</f>
        <v/>
      </c>
      <c r="X37" s="32" t="str">
        <f>IF($B$2="Todos",IF(COUNT($C$197:$V$197)=0,"",SUM($C$197:$V$197)),IFERROR(INDEX($C$197:$V$197,MATCH($D$2,$C$171:$V$171,0)),""))</f>
        <v/>
      </c>
      <c r="Y37" s="49" t="str">
        <f>IF(AND(ISNUMBER(X37),ISNUMBER(W37)),IF(W37&gt;0,X37/W37,""),"")</f>
        <v/>
      </c>
      <c r="Z37" s="32" t="str">
        <f>IF($B$2="Todos",IF(COUNT($C$267:$V$267)=0,"",SUM($C$267:$V$267)),IFERROR(INDEX($C$267:$V$267,MATCH($D$2,$C$241:$V$241,0)),""))</f>
        <v/>
      </c>
      <c r="AA37" s="32">
        <f>IF($B37="","",IF($B$2="Todos",SUMIFS(BD!$Z$3:$Z$5001,BD!$A$3:$A$5001,$B37),SUMIFS(BD!$Z$3:$Z$5001,BD!$A$3:$A$5001,$B37,BD!$B$3:$B$5001,$D$2)))</f>
        <v>0</v>
      </c>
      <c r="AB37" s="32">
        <f>IF($B37="","",IF($B$2="Todos",SUMIFS(BD!$AA$3:$AA$5001,BD!$A$3:$A$5001,$B37),SUMIFS(BD!$AA$3:$AA$5001,BD!$A$3:$A$5001,$B37,BD!$B$3:$B$5001,$D$2)))</f>
        <v>0</v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50">
        <f>$B$5</f>
        <v>0.7</v>
      </c>
      <c r="AI37" s="50">
        <f>$B$6</f>
        <v>0.9</v>
      </c>
      <c r="AX37" s="61">
        <f>IF(OR($B37="",N(VALUE($AH$343))=0),"",IF(INDEX($C37:$AG37,VALUE($AH$343))="","",IF(N(VALUE($AJ$343))=0,INDEX($C37:$AG37,VALUE($AH$343)),IF(N(INDEX($C37:$AG37,N(VALUE($AJ$343))))&gt;0,INDEX($C37:$AG37,VALUE($AH$343))/INDEX($C37:$AG37,N(VALUE($AJ$343))),""))))</f>
        <v>0</v>
      </c>
      <c r="AY37" s="61">
        <f>IF(OR($B37="",N(VALUE($AI$343))=0),"",IF(INDEX($C37:$AG37,VALUE($AI$343))="","",IF(N(VALUE($AK$343))=0,INDEX($C37:$AG37,VALUE($AI$343)),IF(N(INDEX($C37:$AG37,N(VALUE($AK$343))))&gt;0,INDEX($C37:$AG37,VALUE($AI$343))/INDEX($C37:$AG37,N(VALUE($AK$343))),""))))</f>
        <v>0</v>
      </c>
      <c r="AZ37" s="61">
        <f>IF(OR($B37="",N(VALUE($AP$343))=0),"",IF(INDEX($C37:$AG37,VALUE($AP$343))="","",IF(N(VALUE($AR$343))=0,INDEX($C37:$AG37,VALUE($AP$343)),IF(N(INDEX($C37:$AG37,N(VALUE($AR$343))))&gt;0,INDEX($C37:$AG37,VALUE($AP$343))/INDEX($C37:$AG37,N(VALUE($AR$343))),""))))</f>
        <v>0</v>
      </c>
      <c r="BA37" s="61">
        <f>IF(OR($B37="",N(VALUE($AQ$343))=0),"",IF(INDEX($C37:$AG37,VALUE($AQ$343))="","",IF(N(VALUE($AS$343))=0,INDEX($C37:$AG37,VALUE($AQ$343)),IF(N(INDEX($C37:$AG37,N(VALUE($AS$343))))&gt;0,INDEX($C37:$AG37,VALUE($AQ$343))/INDEX($C37:$AG37,N(VALUE($AS$343))),""))))</f>
        <v>0</v>
      </c>
      <c r="BC37" s="32" t="str">
        <f>IF(AND($A37=$B$9,ISNUMBER(W37)),W37,NA())</f>
        <v/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47">
        <f>IF($B38="","",IF($B$2="Todos",SUMIFS(BD!$S$3:$S$5001,BD!$A$3:$A$5001,$B38),SUMIFS(BD!$S$3:$S$5001,BD!$A$3:$A$5001,$B38,BD!$B$3:$B$5001,$D$2)))</f>
        <v>0</v>
      </c>
      <c r="T38" s="32">
        <f>IF($B38="","",IF($B$2="Todos",SUMIFS(BD!$T$3:$T$5001,BD!$A$3:$A$5001,$B38),SUMIFS(BD!$T$3:$T$5001,BD!$A$3:$A$5001,$B38,BD!$B$3:$B$5001,$D$2)))</f>
        <v>0</v>
      </c>
      <c r="U38" s="32">
        <f>IF($B38="","",IF($B$2="Todos",SUMIFS(BD!$U$3:$U$5001,BD!$A$3:$A$5001,$B38),SUMIFS(BD!$U$3:$U$5001,BD!$A$3:$A$5001,$B38,BD!$B$3:$B$5001,$D$2)))</f>
        <v>0</v>
      </c>
      <c r="V38" s="32" t="str">
        <f>IF($B$2="Todos",IF(COUNT($C$163:$V$163)=0,"",SUM($C$163:$V$163)),IFERROR(INDEX($C$163:$V$163,MATCH($D$2,$C$136:$V$136,0)),""))</f>
        <v/>
      </c>
      <c r="W38" s="48" t="str">
        <f>IF(X38="","",IF($B$2="Todos",IF($B$4&gt;0,$B$4,IF($B$2="Todos",IF(COUNT($C$233:$V$233)=0,"",SUM($C$233:$V$233)),IFERROR(INDEX($C$233:$V$233,MATCH($D$2,$C$206:$V$206,0)),""))),IFERROR(INDEX($C$233:$V$233,MATCH($D$2,$C$206:$V$206,0)),"")))</f>
        <v/>
      </c>
      <c r="X38" s="32" t="str">
        <f>IF($B$2="Todos",IF(COUNT($C$198:$V$198)=0,"",SUM($C$198:$V$198)),IFERROR(INDEX($C$198:$V$198,MATCH($D$2,$C$171:$V$171,0)),""))</f>
        <v/>
      </c>
      <c r="Y38" s="49" t="str">
        <f>IF(AND(ISNUMBER(X38),ISNUMBER(W38)),IF(W38&gt;0,X38/W38,""),"")</f>
        <v/>
      </c>
      <c r="Z38" s="32" t="str">
        <f>IF($B$2="Todos",IF(COUNT($C$268:$V$268)=0,"",SUM($C$268:$V$268)),IFERROR(INDEX($C$268:$V$268,MATCH($D$2,$C$241:$V$241,0)),""))</f>
        <v/>
      </c>
      <c r="AA38" s="32">
        <f>IF($B38="","",IF($B$2="Todos",SUMIFS(BD!$Z$3:$Z$5001,BD!$A$3:$A$5001,$B38),SUMIFS(BD!$Z$3:$Z$5001,BD!$A$3:$A$5001,$B38,BD!$B$3:$B$5001,$D$2)))</f>
        <v>0</v>
      </c>
      <c r="AB38" s="32">
        <f>IF($B38="","",IF($B$2="Todos",SUMIFS(BD!$AA$3:$AA$5001,BD!$A$3:$A$5001,$B38),SUMIFS(BD!$AA$3:$AA$5001,BD!$A$3:$A$5001,$B38,BD!$B$3:$B$5001,$D$2)))</f>
        <v>0</v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50">
        <f>$B$5</f>
        <v>0.7</v>
      </c>
      <c r="AI38" s="50">
        <f>$B$6</f>
        <v>0.9</v>
      </c>
      <c r="AX38" s="61">
        <f>IF(OR($B38="",N(VALUE($AH$343))=0),"",IF(INDEX($C38:$AG38,VALUE($AH$343))="","",IF(N(VALUE($AJ$343))=0,INDEX($C38:$AG38,VALUE($AH$343)),IF(N(INDEX($C38:$AG38,N(VALUE($AJ$343))))&gt;0,INDEX($C38:$AG38,VALUE($AH$343))/INDEX($C38:$AG38,N(VALUE($AJ$343))),""))))</f>
        <v>0</v>
      </c>
      <c r="AY38" s="61">
        <f>IF(OR($B38="",N(VALUE($AI$343))=0),"",IF(INDEX($C38:$AG38,VALUE($AI$343))="","",IF(N(VALUE($AK$343))=0,INDEX($C38:$AG38,VALUE($AI$343)),IF(N(INDEX($C38:$AG38,N(VALUE($AK$343))))&gt;0,INDEX($C38:$AG38,VALUE($AI$343))/INDEX($C38:$AG38,N(VALUE($AK$343))),""))))</f>
        <v>0</v>
      </c>
      <c r="AZ38" s="61">
        <f>IF(OR($B38="",N(VALUE($AP$343))=0),"",IF(INDEX($C38:$AG38,VALUE($AP$343))="","",IF(N(VALUE($AR$343))=0,INDEX($C38:$AG38,VALUE($AP$343)),IF(N(INDEX($C38:$AG38,N(VALUE($AR$343))))&gt;0,INDEX($C38:$AG38,VALUE($AP$343))/INDEX($C38:$AG38,N(VALUE($AR$343))),""))))</f>
        <v>0</v>
      </c>
      <c r="BA38" s="61">
        <f>IF(OR($B38="",N(VALUE($AQ$343))=0),"",IF(INDEX($C38:$AG38,VALUE($AQ$343))="","",IF(N(VALUE($AS$343))=0,INDEX($C38:$AG38,VALUE($AQ$343)),IF(N(INDEX($C38:$AG38,N(VALUE($AS$343))))&gt;0,INDEX($C38:$AG38,VALUE($AQ$343))/INDEX($C38:$AG38,N(VALUE($AS$343))),""))))</f>
        <v>0</v>
      </c>
      <c r="BC38" s="32" t="str">
        <f>IF(AND($A38=$B$9,ISNUMBER(W38)),W38,NA())</f>
        <v/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47">
        <f>IF($B39="","",IF($B$2="Todos",SUMIFS(BD!$S$3:$S$5001,BD!$A$3:$A$5001,$B39),SUMIFS(BD!$S$3:$S$5001,BD!$A$3:$A$5001,$B39,BD!$B$3:$B$5001,$D$2)))</f>
        <v>0</v>
      </c>
      <c r="T39" s="32">
        <f>IF($B39="","",IF($B$2="Todos",SUMIFS(BD!$T$3:$T$5001,BD!$A$3:$A$5001,$B39),SUMIFS(BD!$T$3:$T$5001,BD!$A$3:$A$5001,$B39,BD!$B$3:$B$5001,$D$2)))</f>
        <v>0</v>
      </c>
      <c r="U39" s="32">
        <f>IF($B39="","",IF($B$2="Todos",SUMIFS(BD!$U$3:$U$5001,BD!$A$3:$A$5001,$B39),SUMIFS(BD!$U$3:$U$5001,BD!$A$3:$A$5001,$B39,BD!$B$3:$B$5001,$D$2)))</f>
        <v>0</v>
      </c>
      <c r="V39" s="32" t="str">
        <f>IF($B$2="Todos",IF(COUNT($C$164:$V$164)=0,"",SUM($C$164:$V$164)),IFERROR(INDEX($C$164:$V$164,MATCH($D$2,$C$136:$V$136,0)),""))</f>
        <v/>
      </c>
      <c r="W39" s="48" t="str">
        <f>IF(X39="","",IF($B$2="Todos",IF($B$4&gt;0,$B$4,IF($B$2="Todos",IF(COUNT($C$234:$V$234)=0,"",SUM($C$234:$V$234)),IFERROR(INDEX($C$234:$V$234,MATCH($D$2,$C$206:$V$206,0)),""))),IFERROR(INDEX($C$234:$V$234,MATCH($D$2,$C$206:$V$206,0)),"")))</f>
        <v/>
      </c>
      <c r="X39" s="32" t="str">
        <f>IF($B$2="Todos",IF(COUNT($C$199:$V$199)=0,"",SUM($C$199:$V$199)),IFERROR(INDEX($C$199:$V$199,MATCH($D$2,$C$171:$V$171,0)),""))</f>
        <v/>
      </c>
      <c r="Y39" s="49" t="str">
        <f>IF(AND(ISNUMBER(X39),ISNUMBER(W39)),IF(W39&gt;0,X39/W39,""),"")</f>
        <v/>
      </c>
      <c r="Z39" s="32" t="str">
        <f>IF($B$2="Todos",IF(COUNT($C$269:$V$269)=0,"",SUM($C$269:$V$269)),IFERROR(INDEX($C$269:$V$269,MATCH($D$2,$C$241:$V$241,0)),""))</f>
        <v/>
      </c>
      <c r="AA39" s="32">
        <f>IF($B39="","",IF($B$2="Todos",SUMIFS(BD!$Z$3:$Z$5001,BD!$A$3:$A$5001,$B39),SUMIFS(BD!$Z$3:$Z$5001,BD!$A$3:$A$5001,$B39,BD!$B$3:$B$5001,$D$2)))</f>
        <v>0</v>
      </c>
      <c r="AB39" s="32">
        <f>IF($B39="","",IF($B$2="Todos",SUMIFS(BD!$AA$3:$AA$5001,BD!$A$3:$A$5001,$B39),SUMIFS(BD!$AA$3:$AA$5001,BD!$A$3:$A$5001,$B39,BD!$B$3:$B$5001,$D$2)))</f>
        <v>0</v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50">
        <f>$B$5</f>
        <v>0.7</v>
      </c>
      <c r="AI39" s="50">
        <f>$B$6</f>
        <v>0.9</v>
      </c>
      <c r="AX39" s="61">
        <f>IF(OR($B39="",N(VALUE($AH$343))=0),"",IF(INDEX($C39:$AG39,VALUE($AH$343))="","",IF(N(VALUE($AJ$343))=0,INDEX($C39:$AG39,VALUE($AH$343)),IF(N(INDEX($C39:$AG39,N(VALUE($AJ$343))))&gt;0,INDEX($C39:$AG39,VALUE($AH$343))/INDEX($C39:$AG39,N(VALUE($AJ$343))),""))))</f>
        <v>0</v>
      </c>
      <c r="AY39" s="61">
        <f>IF(OR($B39="",N(VALUE($AI$343))=0),"",IF(INDEX($C39:$AG39,VALUE($AI$343))="","",IF(N(VALUE($AK$343))=0,INDEX($C39:$AG39,VALUE($AI$343)),IF(N(INDEX($C39:$AG39,N(VALUE($AK$343))))&gt;0,INDEX($C39:$AG39,VALUE($AI$343))/INDEX($C39:$AG39,N(VALUE($AK$343))),""))))</f>
        <v>0</v>
      </c>
      <c r="AZ39" s="61">
        <f>IF(OR($B39="",N(VALUE($AP$343))=0),"",IF(INDEX($C39:$AG39,VALUE($AP$343))="","",IF(N(VALUE($AR$343))=0,INDEX($C39:$AG39,VALUE($AP$343)),IF(N(INDEX($C39:$AG39,N(VALUE($AR$343))))&gt;0,INDEX($C39:$AG39,VALUE($AP$343))/INDEX($C39:$AG39,N(VALUE($AR$343))),""))))</f>
        <v>0</v>
      </c>
      <c r="BA39" s="61">
        <f>IF(OR($B39="",N(VALUE($AQ$343))=0),"",IF(INDEX($C39:$AG39,VALUE($AQ$343))="","",IF(N(VALUE($AS$343))=0,INDEX($C39:$AG39,VALUE($AQ$343)),IF(N(INDEX($C39:$AG39,N(VALUE($AS$343))))&gt;0,INDEX($C39:$AG39,VALUE($AQ$343))/INDEX($C39:$AG39,N(VALUE($AS$343))),""))))</f>
        <v>0</v>
      </c>
      <c r="BC39" s="32" t="str">
        <f>IF(AND($A39=$B$9,ISNUMBER(W39)),W39,NA())</f>
        <v/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47">
        <f>IF($B40="","",IF($B$2="Todos",SUMIFS(BD!$S$3:$S$5001,BD!$A$3:$A$5001,$B40),SUMIFS(BD!$S$3:$S$5001,BD!$A$3:$A$5001,$B40,BD!$B$3:$B$5001,$D$2)))</f>
        <v>0</v>
      </c>
      <c r="T40" s="32">
        <f>IF($B40="","",IF($B$2="Todos",SUMIFS(BD!$T$3:$T$5001,BD!$A$3:$A$5001,$B40),SUMIFS(BD!$T$3:$T$5001,BD!$A$3:$A$5001,$B40,BD!$B$3:$B$5001,$D$2)))</f>
        <v>0</v>
      </c>
      <c r="U40" s="32">
        <f>IF($B40="","",IF($B$2="Todos",SUMIFS(BD!$U$3:$U$5001,BD!$A$3:$A$5001,$B40),SUMIFS(BD!$U$3:$U$5001,BD!$A$3:$A$5001,$B40,BD!$B$3:$B$5001,$D$2)))</f>
        <v>0</v>
      </c>
      <c r="V40" s="32" t="str">
        <f>IF($B$2="Todos",IF(COUNT($C$165:$V$165)=0,"",SUM($C$165:$V$165)),IFERROR(INDEX($C$165:$V$165,MATCH($D$2,$C$136:$V$136,0)),""))</f>
        <v/>
      </c>
      <c r="W40" s="48" t="str">
        <f>IF(X40="","",IF($B$2="Todos",IF($B$4&gt;0,$B$4,IF($B$2="Todos",IF(COUNT($C$235:$V$235)=0,"",SUM($C$235:$V$235)),IFERROR(INDEX($C$235:$V$235,MATCH($D$2,$C$206:$V$206,0)),""))),IFERROR(INDEX($C$235:$V$235,MATCH($D$2,$C$206:$V$206,0)),"")))</f>
        <v/>
      </c>
      <c r="X40" s="32" t="str">
        <f>IF($B$2="Todos",IF(COUNT($C$200:$V$200)=0,"",SUM($C$200:$V$200)),IFERROR(INDEX($C$200:$V$200,MATCH($D$2,$C$171:$V$171,0)),""))</f>
        <v/>
      </c>
      <c r="Y40" s="49" t="str">
        <f>IF(AND(ISNUMBER(X40),ISNUMBER(W40)),IF(W40&gt;0,X40/W40,""),"")</f>
        <v/>
      </c>
      <c r="Z40" s="32" t="str">
        <f>IF($B$2="Todos",IF(COUNT($C$270:$V$270)=0,"",SUM($C$270:$V$270)),IFERROR(INDEX($C$270:$V$270,MATCH($D$2,$C$241:$V$241,0)),""))</f>
        <v/>
      </c>
      <c r="AA40" s="32">
        <f>IF($B40="","",IF($B$2="Todos",SUMIFS(BD!$Z$3:$Z$5001,BD!$A$3:$A$5001,$B40),SUMIFS(BD!$Z$3:$Z$5001,BD!$A$3:$A$5001,$B40,BD!$B$3:$B$5001,$D$2)))</f>
        <v>0</v>
      </c>
      <c r="AB40" s="32">
        <f>IF($B40="","",IF($B$2="Todos",SUMIFS(BD!$AA$3:$AA$5001,BD!$A$3:$A$5001,$B40),SUMIFS(BD!$AA$3:$AA$5001,BD!$A$3:$A$5001,$B40,BD!$B$3:$B$5001,$D$2)))</f>
        <v>0</v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50">
        <f>$B$5</f>
        <v>0.7</v>
      </c>
      <c r="AI40" s="50">
        <f>$B$6</f>
        <v>0.9</v>
      </c>
      <c r="AX40" s="61">
        <f>IF(OR($B40="",N(VALUE($AH$343))=0),"",IF(INDEX($C40:$AG40,VALUE($AH$343))="","",IF(N(VALUE($AJ$343))=0,INDEX($C40:$AG40,VALUE($AH$343)),IF(N(INDEX($C40:$AG40,N(VALUE($AJ$343))))&gt;0,INDEX($C40:$AG40,VALUE($AH$343))/INDEX($C40:$AG40,N(VALUE($AJ$343))),""))))</f>
        <v>0</v>
      </c>
      <c r="AY40" s="61">
        <f>IF(OR($B40="",N(VALUE($AI$343))=0),"",IF(INDEX($C40:$AG40,VALUE($AI$343))="","",IF(N(VALUE($AK$343))=0,INDEX($C40:$AG40,VALUE($AI$343)),IF(N(INDEX($C40:$AG40,N(VALUE($AK$343))))&gt;0,INDEX($C40:$AG40,VALUE($AI$343))/INDEX($C40:$AG40,N(VALUE($AK$343))),""))))</f>
        <v>0</v>
      </c>
      <c r="AZ40" s="61">
        <f>IF(OR($B40="",N(VALUE($AP$343))=0),"",IF(INDEX($C40:$AG40,VALUE($AP$343))="","",IF(N(VALUE($AR$343))=0,INDEX($C40:$AG40,VALUE($AP$343)),IF(N(INDEX($C40:$AG40,N(VALUE($AR$343))))&gt;0,INDEX($C40:$AG40,VALUE($AP$343))/INDEX($C40:$AG40,N(VALUE($AR$343))),""))))</f>
        <v>0</v>
      </c>
      <c r="BA40" s="61">
        <f>IF(OR($B40="",N(VALUE($AQ$343))=0),"",IF(INDEX($C40:$AG40,VALUE($AQ$343))="","",IF(N(VALUE($AS$343))=0,INDEX($C40:$AG40,VALUE($AQ$343)),IF(N(INDEX($C40:$AG40,N(VALUE($AS$343))))&gt;0,INDEX($C40:$AG40,VALUE($AQ$343))/INDEX($C40:$AG40,N(VALUE($AS$343))),""))))</f>
        <v>0</v>
      </c>
      <c r="BC40" s="32" t="str">
        <f>IF(AND($A40=$B$9,ISNUMBER(W40)),W40,NA())</f>
        <v/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47">
        <f>IF($B41="","",IF($B$2="Todos",SUMIFS(BD!$S$3:$S$5001,BD!$A$3:$A$5001,$B41),SUMIFS(BD!$S$3:$S$5001,BD!$A$3:$A$5001,$B41,BD!$B$3:$B$5001,$D$2)))</f>
        <v>0</v>
      </c>
      <c r="T41" s="32">
        <f>IF($B41="","",IF($B$2="Todos",SUMIFS(BD!$T$3:$T$5001,BD!$A$3:$A$5001,$B41),SUMIFS(BD!$T$3:$T$5001,BD!$A$3:$A$5001,$B41,BD!$B$3:$B$5001,$D$2)))</f>
        <v>0</v>
      </c>
      <c r="U41" s="32">
        <f>IF($B41="","",IF($B$2="Todos",SUMIFS(BD!$U$3:$U$5001,BD!$A$3:$A$5001,$B41),SUMIFS(BD!$U$3:$U$5001,BD!$A$3:$A$5001,$B41,BD!$B$3:$B$5001,$D$2)))</f>
        <v>0</v>
      </c>
      <c r="V41" s="32" t="str">
        <f>IF($B$2="Todos",IF(COUNT($C$166:$V$166)=0,"",SUM($C$166:$V$166)),IFERROR(INDEX($C$166:$V$166,MATCH($D$2,$C$136:$V$136,0)),""))</f>
        <v/>
      </c>
      <c r="W41" s="48" t="str">
        <f>IF(X41="","",IF($B$2="Todos",IF($B$4&gt;0,$B$4,IF($B$2="Todos",IF(COUNT($C$236:$V$236)=0,"",SUM($C$236:$V$236)),IFERROR(INDEX($C$236:$V$236,MATCH($D$2,$C$206:$V$206,0)),""))),IFERROR(INDEX($C$236:$V$236,MATCH($D$2,$C$206:$V$206,0)),"")))</f>
        <v/>
      </c>
      <c r="X41" s="32" t="str">
        <f>IF($B$2="Todos",IF(COUNT($C$201:$V$201)=0,"",SUM($C$201:$V$201)),IFERROR(INDEX($C$201:$V$201,MATCH($D$2,$C$171:$V$171,0)),""))</f>
        <v/>
      </c>
      <c r="Y41" s="49" t="str">
        <f>IF(AND(ISNUMBER(X41),ISNUMBER(W41)),IF(W41&gt;0,X41/W41,""),"")</f>
        <v/>
      </c>
      <c r="Z41" s="32" t="str">
        <f>IF($B$2="Todos",IF(COUNT($C$271:$V$271)=0,"",SUM($C$271:$V$271)),IFERROR(INDEX($C$271:$V$271,MATCH($D$2,$C$241:$V$241,0)),""))</f>
        <v/>
      </c>
      <c r="AA41" s="32">
        <f>IF($B41="","",IF($B$2="Todos",SUMIFS(BD!$Z$3:$Z$5001,BD!$A$3:$A$5001,$B41),SUMIFS(BD!$Z$3:$Z$5001,BD!$A$3:$A$5001,$B41,BD!$B$3:$B$5001,$D$2)))</f>
        <v>0</v>
      </c>
      <c r="AB41" s="32">
        <f>IF($B41="","",IF($B$2="Todos",SUMIFS(BD!$AA$3:$AA$5001,BD!$A$3:$A$5001,$B41),SUMIFS(BD!$AA$3:$AA$5001,BD!$A$3:$A$5001,$B41,BD!$B$3:$B$5001,$D$2)))</f>
        <v>0</v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50">
        <f>$B$5</f>
        <v>0.7</v>
      </c>
      <c r="AI41" s="50">
        <f>$B$6</f>
        <v>0.9</v>
      </c>
      <c r="AX41" s="61">
        <f>IF(OR($B41="",N(VALUE($AH$343))=0),"",IF(INDEX($C41:$AG41,VALUE($AH$343))="","",IF(N(VALUE($AJ$343))=0,INDEX($C41:$AG41,VALUE($AH$343)),IF(N(INDEX($C41:$AG41,N(VALUE($AJ$343))))&gt;0,INDEX($C41:$AG41,VALUE($AH$343))/INDEX($C41:$AG41,N(VALUE($AJ$343))),""))))</f>
        <v>0</v>
      </c>
      <c r="AY41" s="61">
        <f>IF(OR($B41="",N(VALUE($AI$343))=0),"",IF(INDEX($C41:$AG41,VALUE($AI$343))="","",IF(N(VALUE($AK$343))=0,INDEX($C41:$AG41,VALUE($AI$343)),IF(N(INDEX($C41:$AG41,N(VALUE($AK$343))))&gt;0,INDEX($C41:$AG41,VALUE($AI$343))/INDEX($C41:$AG41,N(VALUE($AK$343))),""))))</f>
        <v>0</v>
      </c>
      <c r="AZ41" s="61">
        <f>IF(OR($B41="",N(VALUE($AP$343))=0),"",IF(INDEX($C41:$AG41,VALUE($AP$343))="","",IF(N(VALUE($AR$343))=0,INDEX($C41:$AG41,VALUE($AP$343)),IF(N(INDEX($C41:$AG41,N(VALUE($AR$343))))&gt;0,INDEX($C41:$AG41,VALUE($AP$343))/INDEX($C41:$AG41,N(VALUE($AR$343))),""))))</f>
        <v>0</v>
      </c>
      <c r="BA41" s="61">
        <f>IF(OR($B41="",N(VALUE($AQ$343))=0),"",IF(INDEX($C41:$AG41,VALUE($AQ$343))="","",IF(N(VALUE($AS$343))=0,INDEX($C41:$AG41,VALUE($AQ$343)),IF(N(INDEX($C41:$AG41,N(VALUE($AS$343))))&gt;0,INDEX($C41:$AG41,VALUE($AQ$343))/INDEX($C41:$AG41,N(VALUE($AS$343))),""))))</f>
        <v>0</v>
      </c>
      <c r="BC41" s="32" t="str">
        <f>IF(AND($A41=$B$9,ISNUMBER(W41)),W41,NA())</f>
        <v/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47">
        <f>IF($B42="","",IF($B$2="Todos",SUMIFS(BD!$S$3:$S$5001,BD!$A$3:$A$5001,$B42),SUMIFS(BD!$S$3:$S$5001,BD!$A$3:$A$5001,$B42,BD!$B$3:$B$5001,$D$2)))</f>
        <v>0</v>
      </c>
      <c r="T42" s="32">
        <f>IF($B42="","",IF($B$2="Todos",SUMIFS(BD!$T$3:$T$5001,BD!$A$3:$A$5001,$B42),SUMIFS(BD!$T$3:$T$5001,BD!$A$3:$A$5001,$B42,BD!$B$3:$B$5001,$D$2)))</f>
        <v>0</v>
      </c>
      <c r="U42" s="32">
        <f>IF($B42="","",IF($B$2="Todos",SUMIFS(BD!$U$3:$U$5001,BD!$A$3:$A$5001,$B42),SUMIFS(BD!$U$3:$U$5001,BD!$A$3:$A$5001,$B42,BD!$B$3:$B$5001,$D$2)))</f>
        <v>0</v>
      </c>
      <c r="V42" s="32" t="str">
        <f>IF($B$2="Todos",IF(COUNT($C$167:$V$167)=0,"",SUM($C$167:$V$167)),IFERROR(INDEX($C$167:$V$167,MATCH($D$2,$C$136:$V$136,0)),""))</f>
        <v/>
      </c>
      <c r="W42" s="48" t="str">
        <f>IF(X42="","",IF($B$2="Todos",IF($B$4&gt;0,$B$4,IF($B$2="Todos",IF(COUNT($C$237:$V$237)=0,"",SUM($C$237:$V$237)),IFERROR(INDEX($C$237:$V$237,MATCH($D$2,$C$206:$V$206,0)),""))),IFERROR(INDEX($C$237:$V$237,MATCH($D$2,$C$206:$V$206,0)),"")))</f>
        <v/>
      </c>
      <c r="X42" s="32" t="str">
        <f>IF($B$2="Todos",IF(COUNT($C$202:$V$202)=0,"",SUM($C$202:$V$202)),IFERROR(INDEX($C$202:$V$202,MATCH($D$2,$C$171:$V$171,0)),""))</f>
        <v/>
      </c>
      <c r="Y42" s="49" t="str">
        <f>IF(AND(ISNUMBER(X42),ISNUMBER(W42)),IF(W42&gt;0,X42/W42,""),"")</f>
        <v/>
      </c>
      <c r="Z42" s="32" t="str">
        <f>IF($B$2="Todos",IF(COUNT($C$272:$V$272)=0,"",SUM($C$272:$V$272)),IFERROR(INDEX($C$272:$V$272,MATCH($D$2,$C$241:$V$241,0)),""))</f>
        <v/>
      </c>
      <c r="AA42" s="32">
        <f>IF($B42="","",IF($B$2="Todos",SUMIFS(BD!$Z$3:$Z$5001,BD!$A$3:$A$5001,$B42),SUMIFS(BD!$Z$3:$Z$5001,BD!$A$3:$A$5001,$B42,BD!$B$3:$B$5001,$D$2)))</f>
        <v>0</v>
      </c>
      <c r="AB42" s="32">
        <f>IF($B42="","",IF($B$2="Todos",SUMIFS(BD!$AA$3:$AA$5001,BD!$A$3:$A$5001,$B42),SUMIFS(BD!$AA$3:$AA$5001,BD!$A$3:$A$5001,$B42,BD!$B$3:$B$5001,$D$2)))</f>
        <v>0</v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50">
        <f>$B$5</f>
        <v>0.7</v>
      </c>
      <c r="AI42" s="50">
        <f>$B$6</f>
        <v>0.9</v>
      </c>
      <c r="AX42" s="61">
        <f>IF(OR($B42="",N(VALUE($AH$343))=0),"",IF(INDEX($C42:$AG42,VALUE($AH$343))="","",IF(N(VALUE($AJ$343))=0,INDEX($C42:$AG42,VALUE($AH$343)),IF(N(INDEX($C42:$AG42,N(VALUE($AJ$343))))&gt;0,INDEX($C42:$AG42,VALUE($AH$343))/INDEX($C42:$AG42,N(VALUE($AJ$343))),""))))</f>
        <v>0</v>
      </c>
      <c r="AY42" s="61">
        <f>IF(OR($B42="",N(VALUE($AI$343))=0),"",IF(INDEX($C42:$AG42,VALUE($AI$343))="","",IF(N(VALUE($AK$343))=0,INDEX($C42:$AG42,VALUE($AI$343)),IF(N(INDEX($C42:$AG42,N(VALUE($AK$343))))&gt;0,INDEX($C42:$AG42,VALUE($AI$343))/INDEX($C42:$AG42,N(VALUE($AK$343))),""))))</f>
        <v>0</v>
      </c>
      <c r="AZ42" s="61">
        <f>IF(OR($B42="",N(VALUE($AP$343))=0),"",IF(INDEX($C42:$AG42,VALUE($AP$343))="","",IF(N(VALUE($AR$343))=0,INDEX($C42:$AG42,VALUE($AP$343)),IF(N(INDEX($C42:$AG42,N(VALUE($AR$343))))&gt;0,INDEX($C42:$AG42,VALUE($AP$343))/INDEX($C42:$AG42,N(VALUE($AR$343))),""))))</f>
        <v>0</v>
      </c>
      <c r="BA42" s="61">
        <f>IF(OR($B42="",N(VALUE($AQ$343))=0),"",IF(INDEX($C42:$AG42,VALUE($AQ$343))="","",IF(N(VALUE($AS$343))=0,INDEX($C42:$AG42,VALUE($AQ$343)),IF(N(INDEX($C42:$AG42,N(VALUE($AS$343))))&gt;0,INDEX($C42:$AG42,VALUE($AQ$343))/INDEX($C42:$AG42,N(VALUE($AS$343))),""))))</f>
        <v>0</v>
      </c>
      <c r="BC42" s="32" t="str">
        <f>IF(AND($A42=$B$9,ISNUMBER(W42)),W42,NA())</f>
        <v/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3">
        <f>SUM(H12:H42)</f>
        <v>0</v>
      </c>
      <c r="I43" s="53">
        <f>SUM(I12:I42)</f>
        <v>0</v>
      </c>
      <c r="J43" s="53">
        <f>SUM(J12:J42)</f>
        <v>0</v>
      </c>
      <c r="K43" s="53">
        <f>SUM(K12:K42)</f>
        <v>0</v>
      </c>
      <c r="L43" s="53">
        <f>SUM(L12:L42)</f>
        <v>0</v>
      </c>
      <c r="M43" s="53">
        <f>SUM(M12:M42)</f>
        <v>0</v>
      </c>
      <c r="N43" s="53">
        <f>SUM(N12:N42)</f>
        <v>0</v>
      </c>
      <c r="O43" s="53">
        <f>SUM(O12:O42)</f>
        <v>0</v>
      </c>
      <c r="P43" s="53">
        <f>SUM(P12:P42)</f>
        <v>0</v>
      </c>
      <c r="Q43" s="53">
        <f>SUM(Q12:Q42)</f>
        <v>0</v>
      </c>
      <c r="R43" s="53">
        <f>SUM(R12:R42)</f>
        <v>0</v>
      </c>
      <c r="S43" s="59">
        <f>SUM(S12:S42)</f>
        <v>0</v>
      </c>
      <c r="T43" s="53">
        <f>SUM(T12:T42)</f>
        <v>0</v>
      </c>
      <c r="U43" s="53">
        <f>SUM(U12:U42)</f>
        <v>0</v>
      </c>
      <c r="V43" s="53" t="str">
        <f>IFERROR(LOOKUP(9.99E+307,V12:V42),"")</f>
        <v/>
      </c>
      <c r="W43" s="53" t="str">
        <f>IFERROR(LOOKUP(9.99E+307,W12:W42),"")</f>
        <v/>
      </c>
      <c r="X43" s="53" t="str">
        <f>IFERROR(LOOKUP(9.99E+307,X12:X42),"")</f>
        <v/>
      </c>
      <c r="Y43" s="60" t="str">
        <f>IFERROR(LOOKUP(9.99E+307,Y12:Y42),"")</f>
        <v/>
      </c>
      <c r="Z43" s="53" t="str">
        <f>IFERROR(LOOKUP(9.99E+307,Z12:Z42),"")</f>
        <v/>
      </c>
      <c r="AA43" s="53">
        <f>SUM(AA12:AA42)</f>
        <v>0</v>
      </c>
      <c r="AB43" s="53">
        <f>SUM(AB12:AB42)</f>
        <v>0</v>
      </c>
      <c r="AC43" s="53">
        <f>SUM(AC12:AC42)</f>
        <v>0</v>
      </c>
      <c r="AD43" s="53">
        <f>SUM(AD12:AD42)</f>
        <v>0</v>
      </c>
      <c r="AE43" s="53">
        <f>SUM(AE12:AE42)</f>
        <v>0</v>
      </c>
      <c r="AF43" s="53">
        <f>SUM(AF12:AF42)</f>
        <v>0</v>
      </c>
      <c r="AG43" s="53">
        <f>SUM(AG12:AG42)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IFERROR(AVERAGEIF(K12:K42,"&gt;0"),"")</f>
        <v/>
      </c>
      <c r="L44" s="54" t="str">
        <f>IFERROR(AVERAGEIF(L12:L42,"&gt;0"),"")</f>
        <v/>
      </c>
      <c r="M44" s="54" t="str">
        <f>IFERROR(AVERAGEIF(M12:M42,"&gt;0"),"")</f>
        <v/>
      </c>
      <c r="N44" s="54" t="str">
        <f>IFERROR(AVERAGEIF(N12:N42,"&gt;0"),"")</f>
        <v/>
      </c>
      <c r="O44" s="54" t="str">
        <f>IFERROR(AVERAGEIF(O12:O42,"&gt;0"),"")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IFERROR(AVERAGE(V12:V42),"")</f>
        <v/>
      </c>
      <c r="W44" s="54" t="str">
        <f>IFERROR(AVERAGE(W12:W42),"")</f>
        <v/>
      </c>
      <c r="X44" s="54" t="str">
        <f>IFERROR(AVERAGE(X12:X42),"")</f>
        <v/>
      </c>
      <c r="Y44" s="56" t="str">
        <f>IFERROR(AVERAGE(Y12:Y42),"")</f>
        <v/>
      </c>
      <c r="Z44" s="54" t="str">
        <f>IFERROR(AVERAGE(Z12:Z42),"")</f>
        <v/>
      </c>
      <c r="AA44" s="54" t="str">
        <f>IFERROR(AVERAGEIF(AA12:AA42,"&gt;0"),"")</f>
        <v/>
      </c>
      <c r="AB44" s="54" t="str">
        <f>IFERROR(AVERAGEIF(AB12:AB42,"&gt;0"),"")</f>
        <v/>
      </c>
      <c r="AC44" s="54" t="str">
        <f>IFERROR(AVERAGEIF(AC12:AC42,"&gt;0"),"")</f>
        <v/>
      </c>
      <c r="AD44" s="54" t="str">
        <f>IFERROR(AVERAGEIF(AD12:AD42,"&gt;0"),"")</f>
        <v/>
      </c>
      <c r="AE44" s="54" t="str">
        <f>IFERROR(AVERAGEIF(AE12:AE42,"&gt;0"),"")</f>
        <v/>
      </c>
      <c r="AF44" s="54" t="str">
        <f>IFERROR(AVERAGEIF(AF12:AF42,"&gt;0"),"")</f>
        <v/>
      </c>
      <c r="AG44" s="54" t="str">
        <f>IFERROR(AVERAGEIF(AG12:AG42,"&gt;0"),"")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5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>
        <f>IF(COUNT(K12:K42)=0,"",MAX(K12:K42))</f>
        <v>0</v>
      </c>
      <c r="L45" s="55">
        <f>IF(COUNT(L12:L42)=0,"",MAX(L12:L42))</f>
        <v>0</v>
      </c>
      <c r="M45" s="55">
        <f>IF(COUNT(M12:M42)=0,"",MAX(M12:M42))</f>
        <v>0</v>
      </c>
      <c r="N45" s="55">
        <f>IF(COUNT(N12:N42)=0,"",MAX(N12:N42))</f>
        <v>0</v>
      </c>
      <c r="O45" s="55">
        <f>IF(COUNT(O12:O42)=0,"",MAX(O12:O42))</f>
        <v>0</v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4">
        <f>IF(COUNT(S12:S42)=0,"",MAX(S12:S42))</f>
        <v>0</v>
      </c>
      <c r="T45" s="55">
        <f>IF(COUNT(T12:T42)=0,"",MAX(T12:T42))</f>
        <v>0</v>
      </c>
      <c r="U45" s="55">
        <f>IF(COUNT(U12:U42)=0,"",MAX(U12:U42))</f>
        <v>0</v>
      </c>
      <c r="V45" s="55" t="str">
        <f>IF(COUNT(V12:V42)=0,"",MAX(V12:V42))</f>
        <v/>
      </c>
      <c r="W45" s="55" t="str">
        <f>IF(COUNT(W12:W42)=0,"",MAX(W12:W42))</f>
        <v/>
      </c>
      <c r="X45" s="55" t="str">
        <f>IF(COUNT(X12:X42)=0,"",MAX(X12:X42))</f>
        <v/>
      </c>
      <c r="Y45" s="56" t="str">
        <f>IF(COUNT(Y12:Y42)=0,"",MAX(Y12:Y42))</f>
        <v/>
      </c>
      <c r="Z45" s="55" t="str">
        <f>IF(COUNT(Z12:Z42)=0,"",MAX(Z12:Z42))</f>
        <v/>
      </c>
      <c r="AA45" s="55">
        <f>IF(COUNT(AA12:AA42)=0,"",MAX(AA12:AA42))</f>
        <v>0</v>
      </c>
      <c r="AB45" s="55">
        <f>IF(COUNT(AB12:AB42)=0,"",MAX(AB12:AB42))</f>
        <v>0</v>
      </c>
      <c r="AC45" s="55">
        <f>IF(COUNT(AC12:AC42)=0,"",MAX(AC12:AC42))</f>
        <v>0</v>
      </c>
      <c r="AD45" s="55">
        <f>IF(COUNT(AD12:AD42)=0,"",MAX(AD12:AD42))</f>
        <v>0</v>
      </c>
      <c r="AE45" s="55">
        <f>IF(COUNT(AE12:AE42)=0,"",MAX(AE12:AE42))</f>
        <v>0</v>
      </c>
      <c r="AF45" s="55">
        <f>IF(COUNT(AF12:AF42)=0,"",MAX(AF12:AF42))</f>
        <v>0</v>
      </c>
      <c r="AG45" s="55">
        <f>IF(COUNT(AG12:AG42)=0,"",MAX(AG12:AG42))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5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5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5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5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5" t="str">
        <f>IF($B$9=0,"",IF($B$2="Todos",IF(COUNT($C$168:$V$168)=0,"",SUM($C$168:$V$168)),IFERROR(INDEX($C$168:$V$168,MATCH($D$2,$C$136:$V$136,0)),"")))</f>
        <v/>
      </c>
      <c r="W46" s="55" t="str">
        <f>IF(X46="","",IF($B$2="Todos",IF($B$4&gt;0,$B$4,IF($B$2="Todos",IF(COUNT($C$238:$V$238)=0,"",SUM($C$238:$V$238)),IFERROR(INDEX($C$238:$V$238,MATCH($D$2,$C$206:$V$206,0)),""))),IFERROR(INDEX($C$238:$V$238,MATCH($D$2,$C$206:$V$206,0)),"")))</f>
        <v/>
      </c>
      <c r="X46" s="55" t="str">
        <f>IF($B$9=0,"",IF($B$2="Todos",IF(COUNT($C$203:$V$203)=0,"",SUM($C$203:$V$203)),IFERROR(INDEX($C$203:$V$203,MATCH($D$2,$C$171:$V$171,0)),"")))</f>
        <v/>
      </c>
      <c r="Y46" s="56" t="str">
        <f>IF(AND(ISNUMBER(X46),ISNUMBER(W46)),IF(W46&gt;0,X46/W46,""),"")</f>
        <v/>
      </c>
      <c r="Z46" s="55" t="str">
        <f>IF($B$9=0,"",IF($B$2="Todos",IF(COUNT($C$273:$V$273)=0,"",SUM($C$273:$V$273)),IFERROR(INDEX($C$273:$V$273,MATCH($D$2,$C$241:$V$241,0)),"")))</f>
        <v/>
      </c>
      <c r="AA46" s="55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55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5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5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5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5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5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  <c r="W47" s="56" t="str">
        <f>IF(AND(ISNUMBER(W43),ISNUMBER(W46)),IF(W46&lt;&gt;0,W43/W46-1,""),"")</f>
        <v/>
      </c>
      <c r="X47" s="56" t="str">
        <f>IF(AND(ISNUMBER(X43),ISNUMBER(X46)),IF(X46&lt;&gt;0,X43/X46-1,""),"")</f>
        <v/>
      </c>
      <c r="Y47" s="56" t="str">
        <f>IF(AND(ISNUMBER(Y43),ISNUMBER(Y46)),IF(Y46&lt;&gt;0,Y43/Y46-1,""),"")</f>
        <v/>
      </c>
      <c r="Z47" s="56" t="str">
        <f>IF(AND(ISNUMBER(Z43),ISNUMBER(Z46)),IF(Z46&lt;&gt;0,Z43/Z46-1,""),"")</f>
        <v/>
      </c>
      <c r="AA47" s="56" t="str">
        <f>IF(AND(ISNUMBER(AA43),ISNUMBER(AA46)),IF(AA46&lt;&gt;0,AA43/AA46-1,""),"")</f>
        <v/>
      </c>
      <c r="AB47" s="56" t="str">
        <f>IF(AND(ISNUMBER(AB43),ISNUMBER(AB46)),IF(AB46&lt;&gt;0,AB43/AB46-1,""),"")</f>
        <v/>
      </c>
      <c r="AC47" s="56" t="str">
        <f>IF(AND(ISNUMBER(AC43),ISNUMBER(AC46)),IF(AC46&lt;&gt;0,AC43/AC46-1,""),"")</f>
        <v/>
      </c>
      <c r="AD47" s="56" t="str">
        <f>IF(AND(ISNUMBER(AD43),ISNUMBER(AD46)),IF(AD46&lt;&gt;0,AD43/AD46-1,""),"")</f>
        <v/>
      </c>
      <c r="AE47" s="56" t="str">
        <f>IF(AND(ISNUMBER(AE43),ISNUMBER(AE46)),IF(AE46&lt;&gt;0,AE43/AE46-1,""),"")</f>
        <v/>
      </c>
      <c r="AF47" s="56" t="str">
        <f>IF(AND(ISNUMBER(AF43),ISNUMBER(AF46)),IF(AF46&lt;&gt;0,AF43/AF46-1,""),"")</f>
        <v/>
      </c>
      <c r="AG47" s="56" t="str">
        <f>IF(AND(ISNUMBER(AG43),ISNUMBER(AG46)),IF(AG46&lt;&gt;0,AG43/AG46-1,""),"")</f>
        <v/>
      </c>
    </row>
    <row r="48">
      <c r="A48" s="52" t="inlineStr">
        <is>
          <t xml:space="preserve">Meta (seleção)</t>
        </is>
      </c>
      <c r="C48" s="55" t="str">
        <f>IFERROR(1/(1/INDEX(BD!$AJ$23:$BD$23,MATCH($B$2,BD!$AJ$22:$BD$22,0))),"")</f>
        <v/>
      </c>
      <c r="D48" s="55" t="str">
        <f>IFERROR(1/(1/INDEX(BD!$AJ$24:$BD$24,MATCH($B$2,BD!$AJ$22:$BD$22,0))),"")</f>
        <v/>
      </c>
      <c r="E48" s="55" t="str">
        <f>IFERROR(1/(1/INDEX(BD!$AJ$25:$BD$25,MATCH($B$2,BD!$AJ$22:$BD$22,0))),"")</f>
        <v/>
      </c>
      <c r="F48" s="55" t="str">
        <f>IFERROR(1/(1/INDEX(BD!$AJ$26:$BD$26,MATCH($B$2,BD!$AJ$22:$BD$22,0))),"")</f>
        <v/>
      </c>
      <c r="G48" s="55" t="str">
        <f>IFERROR(1/(1/INDEX(BD!$AJ$27:$BD$27,MATCH($B$2,BD!$AJ$22:$BD$22,0))),"")</f>
        <v/>
      </c>
      <c r="H48" s="55" t="str">
        <f>IFERROR(1/(1/INDEX(BD!$AJ$28:$BD$28,MATCH($B$2,BD!$AJ$22:$BD$22,0))),"")</f>
        <v/>
      </c>
      <c r="I48" s="55" t="str">
        <f>IFERROR(1/(1/INDEX(BD!$AJ$29:$BD$29,MATCH($B$2,BD!$AJ$22:$BD$22,0))),"")</f>
        <v/>
      </c>
      <c r="J48" s="55" t="str">
        <f>IFERROR(1/(1/INDEX(BD!$AJ$30:$BD$30,MATCH($B$2,BD!$AJ$22:$BD$22,0))),"")</f>
        <v/>
      </c>
      <c r="K48" s="55" t="str">
        <f>IFERROR(1/(1/INDEX(BD!$AJ$31:$BD$31,MATCH($B$2,BD!$AJ$22:$BD$22,0))),"")</f>
        <v/>
      </c>
      <c r="L48" s="55" t="str">
        <f>IFERROR(1/(1/INDEX(BD!$AJ$32:$BD$32,MATCH($B$2,BD!$AJ$22:$BD$22,0))),"")</f>
        <v/>
      </c>
      <c r="M48" s="55" t="str">
        <f>IFERROR(1/(1/INDEX(BD!$AJ$33:$BD$33,MATCH($B$2,BD!$AJ$22:$BD$22,0))),"")</f>
        <v/>
      </c>
      <c r="N48" s="55" t="str">
        <f>IFERROR(1/(1/INDEX(BD!$AJ$34:$BD$34,MATCH($B$2,BD!$AJ$22:$BD$22,0))),"")</f>
        <v/>
      </c>
      <c r="O48" s="55" t="str">
        <f>IFERROR(1/(1/INDEX(BD!$AJ$35:$BD$35,MATCH($B$2,BD!$AJ$22:$BD$22,0))),"")</f>
        <v/>
      </c>
      <c r="P48" s="55" t="str">
        <f>IFERROR(1/(1/INDEX(BD!$AJ$36:$BD$36,MATCH($B$2,BD!$AJ$22:$BD$22,0))),"")</f>
        <v/>
      </c>
      <c r="Q48" s="55" t="str">
        <f>IFERROR(1/(1/INDEX(BD!$AJ$37:$BD$37,MATCH($B$2,BD!$AJ$22:$BD$22,0))),"")</f>
        <v/>
      </c>
      <c r="R48" s="55" t="str">
        <f>IFERROR(1/(1/INDEX(BD!$AJ$38:$BD$38,MATCH($B$2,BD!$AJ$22:$BD$22,0))),"")</f>
        <v/>
      </c>
      <c r="S48" s="55" t="str">
        <f>IFERROR(1/(1/INDEX(BD!$AJ$39:$BD$39,MATCH($B$2,BD!$AJ$22:$BD$22,0))),"")</f>
        <v/>
      </c>
      <c r="T48" s="55" t="str">
        <f>IFERROR(1/(1/INDEX(BD!$AJ$40:$BD$40,MATCH($B$2,BD!$AJ$22:$BD$22,0))),"")</f>
        <v/>
      </c>
      <c r="U48" s="55" t="str">
        <f>IFERROR(1/(1/INDEX(BD!$AJ$41:$BD$41,MATCH($B$2,BD!$AJ$22:$BD$22,0))),"")</f>
        <v/>
      </c>
      <c r="V48" s="55" t="str">
        <f>IFERROR(1/(1/INDEX(BD!$AJ$42:$BD$42,MATCH($B$2,BD!$AJ$22:$BD$22,0))),"")</f>
        <v/>
      </c>
      <c r="W48" s="55" t="str">
        <f>IFERROR(1/(1/INDEX(BD!$AJ$43:$BD$43,MATCH($B$2,BD!$AJ$22:$BD$22,0))),"")</f>
        <v/>
      </c>
      <c r="X48" s="55" t="str">
        <f>IFERROR(1/(1/INDEX(BD!$AJ$44:$BD$44,MATCH($B$2,BD!$AJ$22:$BD$22,0))),"")</f>
        <v/>
      </c>
      <c r="Y48" s="57" t="str">
        <f>IFERROR(1/(1/INDEX(BD!$AJ$45:$BD$45,MATCH($B$2,BD!$AJ$22:$BD$22,0))),"")</f>
        <v/>
      </c>
      <c r="Z48" s="55" t="str">
        <f>IFERROR(1/(1/INDEX(BD!$AJ$46:$BD$46,MATCH($B$2,BD!$AJ$22:$BD$22,0))),"")</f>
        <v/>
      </c>
      <c r="AA48" s="55" t="str">
        <f>IFERROR(1/(1/INDEX(BD!$AJ$47:$BD$47,MATCH($B$2,BD!$AJ$22:$BD$22,0))),"")</f>
        <v/>
      </c>
      <c r="AB48" s="55" t="str">
        <f>IFERROR(1/(1/INDEX(BD!$AJ$48:$BD$48,MATCH($B$2,BD!$AJ$22:$BD$22,0))),"")</f>
        <v/>
      </c>
      <c r="AC48" s="55" t="str">
        <f>IFERROR(1/(1/INDEX(BD!$AJ$49:$BD$49,MATCH($B$2,BD!$AJ$22:$BD$22,0))),"")</f>
        <v/>
      </c>
      <c r="AD48" s="55" t="str">
        <f>IFERROR(1/(1/INDEX(BD!$AJ$50:$BD$50,MATCH($B$2,BD!$AJ$22:$BD$22,0))),"")</f>
        <v/>
      </c>
      <c r="AE48" s="55" t="str">
        <f>IFERROR(1/(1/INDEX(BD!$AJ$51:$BD$51,MATCH($B$2,BD!$AJ$22:$BD$22,0))),"")</f>
        <v/>
      </c>
      <c r="AF48" s="55" t="str">
        <f>IFERROR(1/(1/INDEX(BD!$AJ$52:$BD$52,MATCH($B$2,BD!$AJ$22:$BD$22,0))),"")</f>
        <v/>
      </c>
      <c r="AG48" s="55" t="str">
        <f>IFERROR(1/(1/INDEX(BD!$AJ$53:$BD$53,MATCH($B$2,BD!$AJ$22:$BD$22,0))),"")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  <c r="W49" s="57" t="str">
        <f>IF(AND(ISNUMBER(W48),ISNUMBER(W43)),IF(W48&gt;0,W43/W48,""),"")</f>
        <v/>
      </c>
      <c r="X49" s="57" t="str">
        <f>IF(AND(ISNUMBER(X48),ISNUMBER(X43)),IF(X48&gt;0,X43/X48,""),"")</f>
        <v/>
      </c>
      <c r="Y49" s="57" t="str">
        <f>IF(AND(ISNUMBER(Y48),ISNUMBER(Y43)),IF(Y48&gt;0,Y43/Y48,""),"")</f>
        <v/>
      </c>
      <c r="Z49" s="57" t="str">
        <f>IF(AND(ISNUMBER(Z48),ISNUMBER(Z43)),IF(Z48&gt;0,Z43/Z48,""),"")</f>
        <v/>
      </c>
      <c r="AA49" s="57" t="str">
        <f>IF(AND(ISNUMBER(AA48),ISNUMBER(AA43)),IF(AA48&gt;0,AA43/AA48,""),"")</f>
        <v/>
      </c>
      <c r="AB49" s="57" t="str">
        <f>IF(AND(ISNUMBER(AB48),ISNUMBER(AB43)),IF(AB48&gt;0,AB43/AB48,""),"")</f>
        <v/>
      </c>
      <c r="AC49" s="57" t="str">
        <f>IF(AND(ISNUMBER(AC48),ISNUMBER(AC43)),IF(AC48&gt;0,AC43/AC48,""),"")</f>
        <v/>
      </c>
      <c r="AD49" s="57" t="str">
        <f>IF(AND(ISNUMBER(AD48),ISNUMBER(AD43)),IF(AD48&gt;0,AD43/AD48,""),"")</f>
        <v/>
      </c>
      <c r="AE49" s="57" t="str">
        <f>IF(AND(ISNUMBER(AE48),ISNUMBER(AE43)),IF(AE48&gt;0,AE43/AE48,""),"")</f>
        <v/>
      </c>
      <c r="AF49" s="57" t="str">
        <f>IF(AND(ISNUMBER(AF48),ISNUMBER(AF43)),IF(AF48&gt;0,AF43/AF48,""),"")</f>
        <v/>
      </c>
      <c r="AG49" s="57" t="str">
        <f>IF(AND(ISNUMBER(AG48),ISNUMBER(AG43)),IF(AG48&gt;0,AG43/AG48,""),"")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IF(ISNUMBER(I49),IF(I49&gt;=1,"meta atingida","abaixo da meta"),"")</f>
        <v/>
      </c>
      <c r="J50" s="58" t="str">
        <f>IF(ISNUMBER(J49),IF(J49&gt;=1,"meta atingida","abaixo da meta"),"")</f>
        <v/>
      </c>
      <c r="K50" s="58" t="str">
        <f>IF(ISNUMBER(K49),IF(K49&gt;=1,"meta atingida","abaixo da meta"),"")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IF(ISNUMBER(N49),IF(N49&gt;=1,"meta atingida","abaixo da meta"),"")</f>
        <v/>
      </c>
      <c r="O50" s="58" t="str">
        <f>IF(ISNUMBER(O49),IF(O49&gt;=1,"meta atingida","abaixo da meta"),"")</f>
        <v/>
      </c>
      <c r="P50" s="58" t="str">
        <f>IF(ISNUMBER(P49),IF(P49&gt;=1,"meta atingida","abaixo da meta"),"")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IF(ISNUMBER(S49),IF(S49&gt;=1,"meta atingida","abaixo da meta"),"")</f>
        <v/>
      </c>
      <c r="T50" s="58" t="str">
        <f>IF(AND(ISNUMBER(T48),ISNUMBER(T43)),IF(T43&lt;=T48,"dentro do limite","acima do limite"),"")</f>
        <v/>
      </c>
      <c r="U50" s="58" t="str">
        <f>IF(AND(ISNUMBER(U48),ISNUMBER(U43)),IF(U43&lt;=U48,"dentro do limite","acima do limite"),"")</f>
        <v/>
      </c>
      <c r="V50" s="58" t="str">
        <f>IF(AND(ISNUMBER(V48),ISNUMBER(V43)),IF(V43&lt;=V48,"dentro do limite","acima do limite"),"")</f>
        <v/>
      </c>
      <c r="W50" s="58" t="str">
        <f>IF(ISNUMBER(W49),IF(W49&gt;=1,"meta atingida","abaixo da meta"),"")</f>
        <v/>
      </c>
      <c r="X50" s="58" t="str">
        <f>IF(ISNUMBER(X49),IF(X49&gt;=1,"meta atingida","abaixo da meta"),"")</f>
        <v/>
      </c>
      <c r="Y50" s="58" t="str">
        <f>IF(ISNUMBER(Y43),IF(Y43&gt;1,"excede o contratado",IF(Y43&gt;=$B$6,"ocupação alta",IF(Y43&gt;=$B$5,"ocupação média","ociosidade alta"))),"")</f>
        <v/>
      </c>
      <c r="Z50" s="58" t="str">
        <f>IF(ISNUMBER(Z49),IF(Z49&gt;=1,"meta atingida","abaixo da meta"),"")</f>
        <v/>
      </c>
      <c r="AA50" s="58" t="str">
        <f>IF(AND(ISNUMBER(AA48),ISNUMBER(AA43)),IF(AA43&lt;=AA48,"dentro do limite","acima do limite"),"")</f>
        <v/>
      </c>
      <c r="AB50" s="58" t="str">
        <f>IF(ISNUMBER(AB49),IF(AB49&gt;=1,"meta atingida","abaixo da meta"),"")</f>
        <v/>
      </c>
      <c r="AC50" s="58" t="str">
        <f>IF(ISNUMBER(AC49),IF(AC49&gt;=1,"meta atingida","abaixo da meta"),"")</f>
        <v/>
      </c>
      <c r="AD50" s="58" t="str">
        <f>IF(AND(ISNUMBER(AD48),ISNUMBER(AD43)),IF(AD43&lt;=AD48,"dentro do limite","acima do limite"),"")</f>
        <v/>
      </c>
      <c r="AE50" s="58" t="str">
        <f>IF(AND(ISNUMBER(AE48),ISNUMBER(AE43)),IF(AE43&lt;=AE48,"dentro do limite","acima do limite"),"")</f>
        <v/>
      </c>
      <c r="AF50" s="58" t="str">
        <f>IF(AND(ISNUMBER(AF48),ISNUMBER(AF43)),IF(AF43&lt;=AF48,"dentro do limite","acima do limite"),"")</f>
        <v/>
      </c>
      <c r="AG50" s="58" t="str">
        <f>IF(AND(ISNUMBER(AG48),ISNUMBER(AG43)),IF(AG43&lt;=AG48,"dentro do limite","acima do limite"),"")</f>
        <v/>
      </c>
    </row>
    <row r="89">
      <c r="A89" s="19" t="inlineStr">
        <is>
          <t xml:space="preserve">ACUMULADO SEMANAL — toneladas e pallets (seguem o filtro; mês do gráfico)</t>
        </is>
      </c>
    </row>
    <row r="90">
      <c r="A90" s="37" t="inlineStr">
        <is>
          <t xml:space="preserve">Semana</t>
        </is>
      </c>
      <c r="B90" s="37" t="inlineStr">
        <is>
          <t xml:space="preserve">Do dia</t>
        </is>
      </c>
      <c r="C90" s="37" t="inlineStr">
        <is>
          <t xml:space="preserve">Ao dia</t>
        </is>
      </c>
      <c r="D90" s="37" t="inlineStr">
        <is>
          <t xml:space="preserve">IN tons</t>
        </is>
      </c>
      <c r="E90" s="37" t="inlineStr">
        <is>
          <t xml:space="preserve">OUT tons</t>
        </is>
      </c>
      <c r="F90" s="37" t="inlineStr">
        <is>
          <t xml:space="preserve">IN pallets</t>
        </is>
      </c>
      <c r="G90" s="37" t="inlineStr">
        <is>
          <t xml:space="preserve">OUT pallets</t>
        </is>
      </c>
      <c r="AX90" s="37" t="inlineStr">
        <is>
          <t xml:space="preserve">Gráf A IN (semanal)</t>
        </is>
      </c>
      <c r="AY90" s="37" t="inlineStr">
        <is>
          <t xml:space="preserve">Gráf A OUT (semanal)</t>
        </is>
      </c>
      <c r="AZ90" s="37" t="inlineStr">
        <is>
          <t xml:space="preserve">Gráf B IN (semanal)</t>
        </is>
      </c>
      <c r="BA90" s="37" t="inlineStr">
        <is>
          <t xml:space="preserve">Gráf B OUT (semanal)</t>
        </is>
      </c>
    </row>
    <row r="91">
      <c r="A91" s="29" t="inlineStr">
        <is>
          <t xml:space="preserve">Sem 1 (01–07)</t>
        </is>
      </c>
      <c r="B91" s="28">
        <v>1</v>
      </c>
      <c r="C91" s="28">
        <v>7</v>
      </c>
      <c r="D91" s="61">
        <f>SUMIFS(E12:E42,A12:A42,"&gt;="&amp;$B91,A12:A42,"&lt;="&amp;$C91)</f>
        <v>0</v>
      </c>
      <c r="E91" s="61">
        <f>SUMIFS(S12:S42,A12:A42,"&gt;="&amp;$B91,A12:A42,"&lt;="&amp;$C91)</f>
        <v>0</v>
      </c>
      <c r="F91" s="32">
        <f>SUMIFS(D12:D42,A12:A42,"&gt;="&amp;$B91,A12:A42,"&lt;="&amp;$C91)</f>
        <v>0</v>
      </c>
      <c r="G91" s="32">
        <f>SUMIFS(R12:R42,A12:A42,"&gt;="&amp;$B91,A12:A42,"&lt;="&amp;$C91)</f>
        <v>0</v>
      </c>
      <c r="AX91" s="61">
        <f>IF(N(VALUE($AH$343))=0,"",IF(N(VALUE($AJ$343))=0,SUMIFS(AX$12:AX$42,$A$12:$A$42,"&gt;="&amp;$B91,$A$12:$A$42,"&lt;="&amp;$C91),IF(SUMIFS(INDEX($C$12:$AG$42,0,N(VALUE($AJ$343))),$A$12:$A$42,"&gt;="&amp;$B91,$A$12:$A$42,"&lt;="&amp;$C91)&gt;0,SUMIFS(INDEX($C$12:$AG$42,0,VALUE($AH$343)),$A$12:$A$42,"&gt;="&amp;$B91,$A$12:$A$42,"&lt;="&amp;$C91)/SUMIFS(INDEX($C$12:$AG$42,0,N(VALUE($AJ$343))),$A$12:$A$42,"&gt;="&amp;$B91,$A$12:$A$42,"&lt;="&amp;$C91),"")))</f>
        <v>0</v>
      </c>
      <c r="AY91" s="61">
        <f>IF(N(VALUE($AI$343))=0,"",IF(N(VALUE($AK$343))=0,SUMIFS(AY$12:AY$42,$A$12:$A$42,"&gt;="&amp;$B91,$A$12:$A$42,"&lt;="&amp;$C91),IF(SUMIFS(INDEX($C$12:$AG$42,0,N(VALUE($AK$343))),$A$12:$A$42,"&gt;="&amp;$B91,$A$12:$A$42,"&lt;="&amp;$C91)&gt;0,SUMIFS(INDEX($C$12:$AG$42,0,VALUE($AI$343)),$A$12:$A$42,"&gt;="&amp;$B91,$A$12:$A$42,"&lt;="&amp;$C91)/SUMIFS(INDEX($C$12:$AG$42,0,N(VALUE($AK$343))),$A$12:$A$42,"&gt;="&amp;$B91,$A$12:$A$42,"&lt;="&amp;$C91),"")))</f>
        <v>0</v>
      </c>
      <c r="AZ91" s="61">
        <f>IF(N(VALUE($AP$343))=0,"",IF(N(VALUE($AR$343))=0,SUMIFS(AZ$12:AZ$42,$A$12:$A$42,"&gt;="&amp;$B91,$A$12:$A$42,"&lt;="&amp;$C91),IF(SUMIFS(INDEX($C$12:$AG$42,0,N(VALUE($AR$343))),$A$12:$A$42,"&gt;="&amp;$B91,$A$12:$A$42,"&lt;="&amp;$C91)&gt;0,SUMIFS(INDEX($C$12:$AG$42,0,VALUE($AP$343)),$A$12:$A$42,"&gt;="&amp;$B91,$A$12:$A$42,"&lt;="&amp;$C91)/SUMIFS(INDEX($C$12:$AG$42,0,N(VALUE($AR$343))),$A$12:$A$42,"&gt;="&amp;$B91,$A$12:$A$42,"&lt;="&amp;$C91),"")))</f>
        <v>0</v>
      </c>
      <c r="BA91" s="61">
        <f>IF(N(VALUE($AQ$343))=0,"",IF(N(VALUE($AS$343))=0,SUMIFS(BA$12:BA$42,$A$12:$A$42,"&gt;="&amp;$B91,$A$12:$A$42,"&lt;="&amp;$C91),IF(SUMIFS(INDEX($C$12:$AG$42,0,N(VALUE($AS$343))),$A$12:$A$42,"&gt;="&amp;$B91,$A$12:$A$42,"&lt;="&amp;$C91)&gt;0,SUMIFS(INDEX($C$12:$AG$42,0,VALUE($AQ$343)),$A$12:$A$42,"&gt;="&amp;$B91,$A$12:$A$42,"&lt;="&amp;$C91)/SUMIFS(INDEX($C$12:$AG$42,0,N(VALUE($AS$343))),$A$12:$A$42,"&gt;="&amp;$B91,$A$12:$A$42,"&lt;="&amp;$C91),"")))</f>
        <v>0</v>
      </c>
    </row>
    <row r="92">
      <c r="A92" s="29" t="inlineStr">
        <is>
          <t xml:space="preserve">Sem 2 (08–14)</t>
        </is>
      </c>
      <c r="B92" s="28">
        <v>8</v>
      </c>
      <c r="C92" s="28">
        <v>14</v>
      </c>
      <c r="D92" s="61">
        <f>SUMIFS(E12:E42,A12:A42,"&gt;="&amp;$B92,A12:A42,"&lt;="&amp;$C92)</f>
        <v>0</v>
      </c>
      <c r="E92" s="61">
        <f>SUMIFS(S12:S42,A12:A42,"&gt;="&amp;$B92,A12:A42,"&lt;="&amp;$C92)</f>
        <v>0</v>
      </c>
      <c r="F92" s="32">
        <f>SUMIFS(D12:D42,A12:A42,"&gt;="&amp;$B92,A12:A42,"&lt;="&amp;$C92)</f>
        <v>0</v>
      </c>
      <c r="G92" s="32">
        <f>SUMIFS(R12:R42,A12:A42,"&gt;="&amp;$B92,A12:A42,"&lt;="&amp;$C92)</f>
        <v>0</v>
      </c>
      <c r="AX92" s="61">
        <f>IF(N(VALUE($AH$343))=0,"",IF(N(VALUE($AJ$343))=0,SUMIFS(AX$12:AX$42,$A$12:$A$42,"&gt;="&amp;$B92,$A$12:$A$42,"&lt;="&amp;$C92),IF(SUMIFS(INDEX($C$12:$AG$42,0,N(VALUE($AJ$343))),$A$12:$A$42,"&gt;="&amp;$B92,$A$12:$A$42,"&lt;="&amp;$C92)&gt;0,SUMIFS(INDEX($C$12:$AG$42,0,VALUE($AH$343)),$A$12:$A$42,"&gt;="&amp;$B92,$A$12:$A$42,"&lt;="&amp;$C92)/SUMIFS(INDEX($C$12:$AG$42,0,N(VALUE($AJ$343))),$A$12:$A$42,"&gt;="&amp;$B92,$A$12:$A$42,"&lt;="&amp;$C92),"")))</f>
        <v>0</v>
      </c>
      <c r="AY92" s="61">
        <f>IF(N(VALUE($AI$343))=0,"",IF(N(VALUE($AK$343))=0,SUMIFS(AY$12:AY$42,$A$12:$A$42,"&gt;="&amp;$B92,$A$12:$A$42,"&lt;="&amp;$C92),IF(SUMIFS(INDEX($C$12:$AG$42,0,N(VALUE($AK$343))),$A$12:$A$42,"&gt;="&amp;$B92,$A$12:$A$42,"&lt;="&amp;$C92)&gt;0,SUMIFS(INDEX($C$12:$AG$42,0,VALUE($AI$343)),$A$12:$A$42,"&gt;="&amp;$B92,$A$12:$A$42,"&lt;="&amp;$C92)/SUMIFS(INDEX($C$12:$AG$42,0,N(VALUE($AK$343))),$A$12:$A$42,"&gt;="&amp;$B92,$A$12:$A$42,"&lt;="&amp;$C92),"")))</f>
        <v>0</v>
      </c>
      <c r="AZ92" s="61">
        <f>IF(N(VALUE($AP$343))=0,"",IF(N(VALUE($AR$343))=0,SUMIFS(AZ$12:AZ$42,$A$12:$A$42,"&gt;="&amp;$B92,$A$12:$A$42,"&lt;="&amp;$C92),IF(SUMIFS(INDEX($C$12:$AG$42,0,N(VALUE($AR$343))),$A$12:$A$42,"&gt;="&amp;$B92,$A$12:$A$42,"&lt;="&amp;$C92)&gt;0,SUMIFS(INDEX($C$12:$AG$42,0,VALUE($AP$343)),$A$12:$A$42,"&gt;="&amp;$B92,$A$12:$A$42,"&lt;="&amp;$C92)/SUMIFS(INDEX($C$12:$AG$42,0,N(VALUE($AR$343))),$A$12:$A$42,"&gt;="&amp;$B92,$A$12:$A$42,"&lt;="&amp;$C92),"")))</f>
        <v>0</v>
      </c>
      <c r="BA92" s="61">
        <f>IF(N(VALUE($AQ$343))=0,"",IF(N(VALUE($AS$343))=0,SUMIFS(BA$12:BA$42,$A$12:$A$42,"&gt;="&amp;$B92,$A$12:$A$42,"&lt;="&amp;$C92),IF(SUMIFS(INDEX($C$12:$AG$42,0,N(VALUE($AS$343))),$A$12:$A$42,"&gt;="&amp;$B92,$A$12:$A$42,"&lt;="&amp;$C92)&gt;0,SUMIFS(INDEX($C$12:$AG$42,0,VALUE($AQ$343)),$A$12:$A$42,"&gt;="&amp;$B92,$A$12:$A$42,"&lt;="&amp;$C92)/SUMIFS(INDEX($C$12:$AG$42,0,N(VALUE($AS$343))),$A$12:$A$42,"&gt;="&amp;$B92,$A$12:$A$42,"&lt;="&amp;$C92),"")))</f>
        <v>0</v>
      </c>
    </row>
    <row r="93">
      <c r="A93" s="29" t="inlineStr">
        <is>
          <t xml:space="preserve">Sem 3 (15–21)</t>
        </is>
      </c>
      <c r="B93" s="28">
        <v>15</v>
      </c>
      <c r="C93" s="28">
        <v>21</v>
      </c>
      <c r="D93" s="61">
        <f>SUMIFS(E12:E42,A12:A42,"&gt;="&amp;$B93,A12:A42,"&lt;="&amp;$C93)</f>
        <v>0</v>
      </c>
      <c r="E93" s="61">
        <f>SUMIFS(S12:S42,A12:A42,"&gt;="&amp;$B93,A12:A42,"&lt;="&amp;$C93)</f>
        <v>0</v>
      </c>
      <c r="F93" s="32">
        <f>SUMIFS(D12:D42,A12:A42,"&gt;="&amp;$B93,A12:A42,"&lt;="&amp;$C93)</f>
        <v>0</v>
      </c>
      <c r="G93" s="32">
        <f>SUMIFS(R12:R42,A12:A42,"&gt;="&amp;$B93,A12:A42,"&lt;="&amp;$C93)</f>
        <v>0</v>
      </c>
      <c r="AX93" s="61">
        <f>IF(N(VALUE($AH$343))=0,"",IF(N(VALUE($AJ$343))=0,SUMIFS(AX$12:AX$42,$A$12:$A$42,"&gt;="&amp;$B93,$A$12:$A$42,"&lt;="&amp;$C93),IF(SUMIFS(INDEX($C$12:$AG$42,0,N(VALUE($AJ$343))),$A$12:$A$42,"&gt;="&amp;$B93,$A$12:$A$42,"&lt;="&amp;$C93)&gt;0,SUMIFS(INDEX($C$12:$AG$42,0,VALUE($AH$343)),$A$12:$A$42,"&gt;="&amp;$B93,$A$12:$A$42,"&lt;="&amp;$C93)/SUMIFS(INDEX($C$12:$AG$42,0,N(VALUE($AJ$343))),$A$12:$A$42,"&gt;="&amp;$B93,$A$12:$A$42,"&lt;="&amp;$C93),"")))</f>
        <v>0</v>
      </c>
      <c r="AY93" s="61">
        <f>IF(N(VALUE($AI$343))=0,"",IF(N(VALUE($AK$343))=0,SUMIFS(AY$12:AY$42,$A$12:$A$42,"&gt;="&amp;$B93,$A$12:$A$42,"&lt;="&amp;$C93),IF(SUMIFS(INDEX($C$12:$AG$42,0,N(VALUE($AK$343))),$A$12:$A$42,"&gt;="&amp;$B93,$A$12:$A$42,"&lt;="&amp;$C93)&gt;0,SUMIFS(INDEX($C$12:$AG$42,0,VALUE($AI$343)),$A$12:$A$42,"&gt;="&amp;$B93,$A$12:$A$42,"&lt;="&amp;$C93)/SUMIFS(INDEX($C$12:$AG$42,0,N(VALUE($AK$343))),$A$12:$A$42,"&gt;="&amp;$B93,$A$12:$A$42,"&lt;="&amp;$C93),"")))</f>
        <v>0</v>
      </c>
      <c r="AZ93" s="61">
        <f>IF(N(VALUE($AP$343))=0,"",IF(N(VALUE($AR$343))=0,SUMIFS(AZ$12:AZ$42,$A$12:$A$42,"&gt;="&amp;$B93,$A$12:$A$42,"&lt;="&amp;$C93),IF(SUMIFS(INDEX($C$12:$AG$42,0,N(VALUE($AR$343))),$A$12:$A$42,"&gt;="&amp;$B93,$A$12:$A$42,"&lt;="&amp;$C93)&gt;0,SUMIFS(INDEX($C$12:$AG$42,0,VALUE($AP$343)),$A$12:$A$42,"&gt;="&amp;$B93,$A$12:$A$42,"&lt;="&amp;$C93)/SUMIFS(INDEX($C$12:$AG$42,0,N(VALUE($AR$343))),$A$12:$A$42,"&gt;="&amp;$B93,$A$12:$A$42,"&lt;="&amp;$C93),"")))</f>
        <v>0</v>
      </c>
      <c r="BA93" s="61">
        <f>IF(N(VALUE($AQ$343))=0,"",IF(N(VALUE($AS$343))=0,SUMIFS(BA$12:BA$42,$A$12:$A$42,"&gt;="&amp;$B93,$A$12:$A$42,"&lt;="&amp;$C93),IF(SUMIFS(INDEX($C$12:$AG$42,0,N(VALUE($AS$343))),$A$12:$A$42,"&gt;="&amp;$B93,$A$12:$A$42,"&lt;="&amp;$C93)&gt;0,SUMIFS(INDEX($C$12:$AG$42,0,VALUE($AQ$343)),$A$12:$A$42,"&gt;="&amp;$B93,$A$12:$A$42,"&lt;="&amp;$C93)/SUMIFS(INDEX($C$12:$AG$42,0,N(VALUE($AS$343))),$A$12:$A$42,"&gt;="&amp;$B93,$A$12:$A$42,"&lt;="&amp;$C93),"")))</f>
        <v>0</v>
      </c>
    </row>
    <row r="94">
      <c r="A94" s="29" t="inlineStr">
        <is>
          <t xml:space="preserve">Sem 4 (22–28)</t>
        </is>
      </c>
      <c r="B94" s="28">
        <v>22</v>
      </c>
      <c r="C94" s="28">
        <v>28</v>
      </c>
      <c r="D94" s="61">
        <f>SUMIFS(E12:E42,A12:A42,"&gt;="&amp;$B94,A12:A42,"&lt;="&amp;$C94)</f>
        <v>0</v>
      </c>
      <c r="E94" s="61">
        <f>SUMIFS(S12:S42,A12:A42,"&gt;="&amp;$B94,A12:A42,"&lt;="&amp;$C94)</f>
        <v>0</v>
      </c>
      <c r="F94" s="32">
        <f>SUMIFS(D12:D42,A12:A42,"&gt;="&amp;$B94,A12:A42,"&lt;="&amp;$C94)</f>
        <v>0</v>
      </c>
      <c r="G94" s="32">
        <f>SUMIFS(R12:R42,A12:A42,"&gt;="&amp;$B94,A12:A42,"&lt;="&amp;$C94)</f>
        <v>0</v>
      </c>
      <c r="AX94" s="61">
        <f>IF(N(VALUE($AH$343))=0,"",IF(N(VALUE($AJ$343))=0,SUMIFS(AX$12:AX$42,$A$12:$A$42,"&gt;="&amp;$B94,$A$12:$A$42,"&lt;="&amp;$C94),IF(SUMIFS(INDEX($C$12:$AG$42,0,N(VALUE($AJ$343))),$A$12:$A$42,"&gt;="&amp;$B94,$A$12:$A$42,"&lt;="&amp;$C94)&gt;0,SUMIFS(INDEX($C$12:$AG$42,0,VALUE($AH$343)),$A$12:$A$42,"&gt;="&amp;$B94,$A$12:$A$42,"&lt;="&amp;$C94)/SUMIFS(INDEX($C$12:$AG$42,0,N(VALUE($AJ$343))),$A$12:$A$42,"&gt;="&amp;$B94,$A$12:$A$42,"&lt;="&amp;$C94),"")))</f>
        <v>0</v>
      </c>
      <c r="AY94" s="61">
        <f>IF(N(VALUE($AI$343))=0,"",IF(N(VALUE($AK$343))=0,SUMIFS(AY$12:AY$42,$A$12:$A$42,"&gt;="&amp;$B94,$A$12:$A$42,"&lt;="&amp;$C94),IF(SUMIFS(INDEX($C$12:$AG$42,0,N(VALUE($AK$343))),$A$12:$A$42,"&gt;="&amp;$B94,$A$12:$A$42,"&lt;="&amp;$C94)&gt;0,SUMIFS(INDEX($C$12:$AG$42,0,VALUE($AI$343)),$A$12:$A$42,"&gt;="&amp;$B94,$A$12:$A$42,"&lt;="&amp;$C94)/SUMIFS(INDEX($C$12:$AG$42,0,N(VALUE($AK$343))),$A$12:$A$42,"&gt;="&amp;$B94,$A$12:$A$42,"&lt;="&amp;$C94),"")))</f>
        <v>0</v>
      </c>
      <c r="AZ94" s="61">
        <f>IF(N(VALUE($AP$343))=0,"",IF(N(VALUE($AR$343))=0,SUMIFS(AZ$12:AZ$42,$A$12:$A$42,"&gt;="&amp;$B94,$A$12:$A$42,"&lt;="&amp;$C94),IF(SUMIFS(INDEX($C$12:$AG$42,0,N(VALUE($AR$343))),$A$12:$A$42,"&gt;="&amp;$B94,$A$12:$A$42,"&lt;="&amp;$C94)&gt;0,SUMIFS(INDEX($C$12:$AG$42,0,VALUE($AP$343)),$A$12:$A$42,"&gt;="&amp;$B94,$A$12:$A$42,"&lt;="&amp;$C94)/SUMIFS(INDEX($C$12:$AG$42,0,N(VALUE($AR$343))),$A$12:$A$42,"&gt;="&amp;$B94,$A$12:$A$42,"&lt;="&amp;$C94),"")))</f>
        <v>0</v>
      </c>
      <c r="BA94" s="61">
        <f>IF(N(VALUE($AQ$343))=0,"",IF(N(VALUE($AS$343))=0,SUMIFS(BA$12:BA$42,$A$12:$A$42,"&gt;="&amp;$B94,$A$12:$A$42,"&lt;="&amp;$C94),IF(SUMIFS(INDEX($C$12:$AG$42,0,N(VALUE($AS$343))),$A$12:$A$42,"&gt;="&amp;$B94,$A$12:$A$42,"&lt;="&amp;$C94)&gt;0,SUMIFS(INDEX($C$12:$AG$42,0,VALUE($AQ$343)),$A$12:$A$42,"&gt;="&amp;$B94,$A$12:$A$42,"&lt;="&amp;$C94)/SUMIFS(INDEX($C$12:$AG$42,0,N(VALUE($AS$343))),$A$12:$A$42,"&gt;="&amp;$B94,$A$12:$A$42,"&lt;="&amp;$C94),"")))</f>
        <v>0</v>
      </c>
    </row>
    <row r="95">
      <c r="A95" s="29" t="inlineStr">
        <is>
          <t xml:space="preserve">Sem 5 (29–fim)</t>
        </is>
      </c>
      <c r="B95" s="28">
        <v>29</v>
      </c>
      <c r="C95" s="28">
        <v>31</v>
      </c>
      <c r="D95" s="61">
        <f>SUMIFS(E12:E42,A12:A42,"&gt;="&amp;$B95,A12:A42,"&lt;="&amp;$C95)</f>
        <v>0</v>
      </c>
      <c r="E95" s="61">
        <f>SUMIFS(S12:S42,A12:A42,"&gt;="&amp;$B95,A12:A42,"&lt;="&amp;$C95)</f>
        <v>0</v>
      </c>
      <c r="F95" s="32">
        <f>SUMIFS(D12:D42,A12:A42,"&gt;="&amp;$B95,A12:A42,"&lt;="&amp;$C95)</f>
        <v>0</v>
      </c>
      <c r="G95" s="32">
        <f>SUMIFS(R12:R42,A12:A42,"&gt;="&amp;$B95,A12:A42,"&lt;="&amp;$C95)</f>
        <v>0</v>
      </c>
      <c r="AX95" s="61">
        <f>IF(N(VALUE($AH$343))=0,"",IF(N(VALUE($AJ$343))=0,SUMIFS(AX$12:AX$42,$A$12:$A$42,"&gt;="&amp;$B95,$A$12:$A$42,"&lt;="&amp;$C95),IF(SUMIFS(INDEX($C$12:$AG$42,0,N(VALUE($AJ$343))),$A$12:$A$42,"&gt;="&amp;$B95,$A$12:$A$42,"&lt;="&amp;$C95)&gt;0,SUMIFS(INDEX($C$12:$AG$42,0,VALUE($AH$343)),$A$12:$A$42,"&gt;="&amp;$B95,$A$12:$A$42,"&lt;="&amp;$C95)/SUMIFS(INDEX($C$12:$AG$42,0,N(VALUE($AJ$343))),$A$12:$A$42,"&gt;="&amp;$B95,$A$12:$A$42,"&lt;="&amp;$C95),"")))</f>
        <v>0</v>
      </c>
      <c r="AY95" s="61">
        <f>IF(N(VALUE($AI$343))=0,"",IF(N(VALUE($AK$343))=0,SUMIFS(AY$12:AY$42,$A$12:$A$42,"&gt;="&amp;$B95,$A$12:$A$42,"&lt;="&amp;$C95),IF(SUMIFS(INDEX($C$12:$AG$42,0,N(VALUE($AK$343))),$A$12:$A$42,"&gt;="&amp;$B95,$A$12:$A$42,"&lt;="&amp;$C95)&gt;0,SUMIFS(INDEX($C$12:$AG$42,0,VALUE($AI$343)),$A$12:$A$42,"&gt;="&amp;$B95,$A$12:$A$42,"&lt;="&amp;$C95)/SUMIFS(INDEX($C$12:$AG$42,0,N(VALUE($AK$343))),$A$12:$A$42,"&gt;="&amp;$B95,$A$12:$A$42,"&lt;="&amp;$C95),"")))</f>
        <v>0</v>
      </c>
      <c r="AZ95" s="61">
        <f>IF(N(VALUE($AP$343))=0,"",IF(N(VALUE($AR$343))=0,SUMIFS(AZ$12:AZ$42,$A$12:$A$42,"&gt;="&amp;$B95,$A$12:$A$42,"&lt;="&amp;$C95),IF(SUMIFS(INDEX($C$12:$AG$42,0,N(VALUE($AR$343))),$A$12:$A$42,"&gt;="&amp;$B95,$A$12:$A$42,"&lt;="&amp;$C95)&gt;0,SUMIFS(INDEX($C$12:$AG$42,0,VALUE($AP$343)),$A$12:$A$42,"&gt;="&amp;$B95,$A$12:$A$42,"&lt;="&amp;$C95)/SUMIFS(INDEX($C$12:$AG$42,0,N(VALUE($AR$343))),$A$12:$A$42,"&gt;="&amp;$B95,$A$12:$A$42,"&lt;="&amp;$C95),"")))</f>
        <v>0</v>
      </c>
      <c r="BA95" s="61">
        <f>IF(N(VALUE($AQ$343))=0,"",IF(N(VALUE($AS$343))=0,SUMIFS(BA$12:BA$42,$A$12:$A$42,"&gt;="&amp;$B95,$A$12:$A$42,"&lt;="&amp;$C95),IF(SUMIFS(INDEX($C$12:$AG$42,0,N(VALUE($AS$343))),$A$12:$A$42,"&gt;="&amp;$B95,$A$12:$A$42,"&lt;="&amp;$C95)&gt;0,SUMIFS(INDEX($C$12:$AG$42,0,VALUE($AQ$343)),$A$12:$A$42,"&gt;="&amp;$B95,$A$12:$A$42,"&lt;="&amp;$C95)/SUMIFS(INDEX($C$12:$AG$42,0,N(VALUE($AS$343))),$A$12:$A$42,"&gt;="&amp;$B95,$A$12:$A$42,"&lt;="&amp;$C95),"")))</f>
        <v>0</v>
      </c>
    </row>
    <row r="99">
      <c r="A99" s="19" t="inlineStr">
        <is>
          <t xml:space="preserve">POR CLIENTE — mês inteiro (todos os clientes). Estoque = último valor do mês.</t>
        </is>
      </c>
    </row>
    <row r="100" ht="30" customHeight="1">
      <c r="A100" s="37" t="inlineStr">
        <is>
          <t xml:space="preserve">Indicador</t>
        </is>
      </c>
      <c r="B100" s="37" t="str">
        <f>Config!$B$10&amp;""</f>
        <v>Alpargatas</v>
      </c>
      <c r="C100" s="37" t="str">
        <f>Config!$B$11&amp;""</f>
        <v>Basf</v>
      </c>
      <c r="D100" s="37" t="str">
        <f>Config!$B$12&amp;""</f>
        <v>Beautybiz</v>
      </c>
      <c r="E100" s="37" t="str">
        <f>Config!$B$13&amp;""</f>
        <v>Boticário</v>
      </c>
      <c r="F100" s="37" t="str">
        <f>Config!$B$14&amp;""</f>
        <v>Confiance</v>
      </c>
      <c r="G100" s="37" t="str">
        <f>Config!$B$15&amp;""</f>
        <v>GE Vernova</v>
      </c>
      <c r="H100" s="37" t="str">
        <f>Config!$B$16&amp;""</f>
        <v>Omnilife</v>
      </c>
      <c r="I100" s="37" t="str">
        <f>Config!$B$17&amp;""</f>
        <v>Supply</v>
      </c>
      <c r="J100" s="37" t="str">
        <f>Config!$B$18&amp;""</f>
        <v>Vedacit</v>
      </c>
      <c r="K100" s="37" t="str">
        <f>Config!$B$19&amp;""</f>
        <v>Vestas</v>
      </c>
      <c r="L100" s="37" t="str">
        <f>Config!$B$20&amp;""</f>
        <v/>
      </c>
      <c r="M100" s="37" t="str">
        <f>Config!$B$21&amp;""</f>
        <v/>
      </c>
      <c r="N100" s="37" t="str">
        <f>Config!$B$22&amp;""</f>
        <v/>
      </c>
      <c r="O100" s="37" t="str">
        <f>Config!$B$23&amp;""</f>
        <v/>
      </c>
      <c r="P100" s="37" t="str">
        <f>Config!$B$24&amp;""</f>
        <v/>
      </c>
      <c r="Q100" s="37" t="str">
        <f>Config!$B$25&amp;""</f>
        <v/>
      </c>
      <c r="R100" s="37" t="str">
        <f>Config!$B$26&amp;""</f>
        <v/>
      </c>
      <c r="S100" s="37" t="str">
        <f>Config!$B$27&amp;""</f>
        <v/>
      </c>
      <c r="T100" s="37" t="str">
        <f>Config!$B$28&amp;""</f>
        <v/>
      </c>
      <c r="U100" s="37" t="str">
        <f>Config!$B$29&amp;""</f>
        <v/>
      </c>
      <c r="V100" s="37" t="inlineStr">
        <is>
          <t xml:space="preserve">TOTAL</t>
        </is>
      </c>
    </row>
    <row r="101">
      <c r="A101" s="29" t="inlineStr">
        <is>
          <t xml:space="preserve">IN · Veículos Recebidos</t>
        </is>
      </c>
      <c r="B101" s="32">
        <f>IF(B$100="","",IF(Config!$D$35&lt;&gt;"Não",SUMIFS(BD!$C$3:$C$5001,BD!$B$3:$B$5001,B$100,BD!$A$3:$A$5001,"&gt;="&amp;$C$7,BD!$A$3:$A$5001,"&lt;="&amp;$D$7),"—"))</f>
        <v>0</v>
      </c>
      <c r="C101" s="32">
        <f>IF(C$100="","",IF(Config!$D$36&lt;&gt;"Não",SUMIFS(BD!$C$3:$C$5001,BD!$B$3:$B$5001,C$100,BD!$A$3:$A$5001,"&gt;="&amp;$C$7,BD!$A$3:$A$5001,"&lt;="&amp;$D$7),"—"))</f>
        <v>0</v>
      </c>
      <c r="D101" s="32">
        <f>IF(D$100="","",IF(Config!$D$37&lt;&gt;"Não",SUMIFS(BD!$C$3:$C$5001,BD!$B$3:$B$5001,D$100,BD!$A$3:$A$5001,"&gt;="&amp;$C$7,BD!$A$3:$A$5001,"&lt;="&amp;$D$7),"—"))</f>
        <v>0</v>
      </c>
      <c r="E101" s="32">
        <f>IF(E$100="","",IF(Config!$D$38&lt;&gt;"Não",SUMIFS(BD!$C$3:$C$5001,BD!$B$3:$B$5001,E$100,BD!$A$3:$A$5001,"&gt;="&amp;$C$7,BD!$A$3:$A$5001,"&lt;="&amp;$D$7),"—"))</f>
        <v>0</v>
      </c>
      <c r="F101" s="32">
        <f>IF(F$100="","",IF(Config!$D$39&lt;&gt;"Não",SUMIFS(BD!$C$3:$C$5001,BD!$B$3:$B$5001,F$100,BD!$A$3:$A$5001,"&gt;="&amp;$C$7,BD!$A$3:$A$5001,"&lt;="&amp;$D$7),"—"))</f>
        <v>0</v>
      </c>
      <c r="G101" s="32">
        <f>IF(G$100="","",IF(Config!$D$40&lt;&gt;"Não",SUMIFS(BD!$C$3:$C$5001,BD!$B$3:$B$5001,G$100,BD!$A$3:$A$5001,"&gt;="&amp;$C$7,BD!$A$3:$A$5001,"&lt;="&amp;$D$7),"—"))</f>
        <v>0</v>
      </c>
      <c r="H101" s="32">
        <f>IF(H$100="","",IF(Config!$D$41&lt;&gt;"Não",SUMIFS(BD!$C$3:$C$5001,BD!$B$3:$B$5001,H$100,BD!$A$3:$A$5001,"&gt;="&amp;$C$7,BD!$A$3:$A$5001,"&lt;="&amp;$D$7),"—"))</f>
        <v>0</v>
      </c>
      <c r="I101" s="32">
        <f>IF(I$100="","",IF(Config!$D$42&lt;&gt;"Não",SUMIFS(BD!$C$3:$C$5001,BD!$B$3:$B$5001,I$100,BD!$A$3:$A$5001,"&gt;="&amp;$C$7,BD!$A$3:$A$5001,"&lt;="&amp;$D$7),"—"))</f>
        <v>0</v>
      </c>
      <c r="J101" s="32">
        <f>IF(J$100="","",IF(Config!$D$43&lt;&gt;"Não",SUMIFS(BD!$C$3:$C$5001,BD!$B$3:$B$5001,J$100,BD!$A$3:$A$5001,"&gt;="&amp;$C$7,BD!$A$3:$A$5001,"&lt;="&amp;$D$7),"—"))</f>
        <v>0</v>
      </c>
      <c r="K101" s="32">
        <f>IF(K$100="","",IF(Config!$D$44&lt;&gt;"Não",SUMIFS(BD!$C$3:$C$5001,BD!$B$3:$B$5001,K$100,BD!$A$3:$A$5001,"&gt;="&amp;$C$7,BD!$A$3:$A$5001,"&lt;="&amp;$D$7),"—"))</f>
        <v>0</v>
      </c>
      <c r="L101" s="32" t="str">
        <f>IF(L$100="","",IF(Config!$D$45&lt;&gt;"Não",SUMIFS(BD!$C$3:$C$5001,BD!$B$3:$B$5001,L$100,BD!$A$3:$A$5001,"&gt;="&amp;$C$7,BD!$A$3:$A$5001,"&lt;="&amp;$D$7),"—"))</f>
        <v/>
      </c>
      <c r="M101" s="32" t="str">
        <f>IF(M$100="","",IF(Config!$D$46&lt;&gt;"Não",SUMIFS(BD!$C$3:$C$5001,BD!$B$3:$B$5001,M$100,BD!$A$3:$A$5001,"&gt;="&amp;$C$7,BD!$A$3:$A$5001,"&lt;="&amp;$D$7),"—"))</f>
        <v/>
      </c>
      <c r="N101" s="32" t="str">
        <f>IF(N$100="","",IF(Config!$D$47&lt;&gt;"Não",SUMIFS(BD!$C$3:$C$5001,BD!$B$3:$B$5001,N$100,BD!$A$3:$A$5001,"&gt;="&amp;$C$7,BD!$A$3:$A$5001,"&lt;="&amp;$D$7),"—"))</f>
        <v/>
      </c>
      <c r="O101" s="32" t="str">
        <f>IF(O$100="","",IF(Config!$D$48&lt;&gt;"Não",SUMIFS(BD!$C$3:$C$5001,BD!$B$3:$B$5001,O$100,BD!$A$3:$A$5001,"&gt;="&amp;$C$7,BD!$A$3:$A$5001,"&lt;="&amp;$D$7),"—"))</f>
        <v/>
      </c>
      <c r="P101" s="32" t="str">
        <f>IF(P$100="","",IF(Config!$D$49&lt;&gt;"Não",SUMIFS(BD!$C$3:$C$5001,BD!$B$3:$B$5001,P$100,BD!$A$3:$A$5001,"&gt;="&amp;$C$7,BD!$A$3:$A$5001,"&lt;="&amp;$D$7),"—"))</f>
        <v/>
      </c>
      <c r="Q101" s="32" t="str">
        <f>IF(Q$100="","",IF(Config!$D$50&lt;&gt;"Não",SUMIFS(BD!$C$3:$C$5001,BD!$B$3:$B$5001,Q$100,BD!$A$3:$A$5001,"&gt;="&amp;$C$7,BD!$A$3:$A$5001,"&lt;="&amp;$D$7),"—"))</f>
        <v/>
      </c>
      <c r="R101" s="32" t="str">
        <f>IF(R$100="","",IF(Config!$D$51&lt;&gt;"Não",SUMIFS(BD!$C$3:$C$5001,BD!$B$3:$B$5001,R$100,BD!$A$3:$A$5001,"&gt;="&amp;$C$7,BD!$A$3:$A$5001,"&lt;="&amp;$D$7),"—"))</f>
        <v/>
      </c>
      <c r="S101" s="32" t="str">
        <f>IF(S$100="","",IF(Config!$D$52&lt;&gt;"Não",SUMIFS(BD!$C$3:$C$5001,BD!$B$3:$B$5001,S$100,BD!$A$3:$A$5001,"&gt;="&amp;$C$7,BD!$A$3:$A$5001,"&lt;="&amp;$D$7),"—"))</f>
        <v/>
      </c>
      <c r="T101" s="32" t="str">
        <f>IF(T$100="","",IF(Config!$D$53&lt;&gt;"Não",SUMIFS(BD!$C$3:$C$5001,BD!$B$3:$B$5001,T$100,BD!$A$3:$A$5001,"&gt;="&amp;$C$7,BD!$A$3:$A$5001,"&lt;="&amp;$D$7),"—"))</f>
        <v/>
      </c>
      <c r="U101" s="32" t="str">
        <f>IF(U$100="","",IF(Config!$D$54&lt;&gt;"Não",SUMIFS(BD!$C$3:$C$5001,BD!$B$3:$B$5001,U$100,BD!$A$3:$A$5001,"&gt;="&amp;$C$7,BD!$A$3:$A$5001,"&lt;="&amp;$D$7),"—"))</f>
        <v/>
      </c>
      <c r="V101" s="62">
        <f>SUM(B101:U101)</f>
        <v>0</v>
      </c>
    </row>
    <row r="102">
      <c r="A102" s="29" t="inlineStr">
        <is>
          <t xml:space="preserve">IN · Pallets Movimentados</t>
        </is>
      </c>
      <c r="B102" s="32" t="str">
        <f>IF(B$100="","",IF(Config!$E$35&lt;&gt;"Não",SUMIFS(BD!$D$3:$D$5001,BD!$B$3:$B$5001,B$100,BD!$A$3:$A$5001,"&gt;="&amp;$C$7,BD!$A$3:$A$5001,"&lt;="&amp;$D$7),"—"))</f>
        <v>—</v>
      </c>
      <c r="C102" s="32">
        <f>IF(C$100="","",IF(Config!$E$36&lt;&gt;"Não",SUMIFS(BD!$D$3:$D$5001,BD!$B$3:$B$5001,C$100,BD!$A$3:$A$5001,"&gt;="&amp;$C$7,BD!$A$3:$A$5001,"&lt;="&amp;$D$7),"—"))</f>
        <v>0</v>
      </c>
      <c r="D102" s="32">
        <f>IF(D$100="","",IF(Config!$E$37&lt;&gt;"Não",SUMIFS(BD!$D$3:$D$5001,BD!$B$3:$B$5001,D$100,BD!$A$3:$A$5001,"&gt;="&amp;$C$7,BD!$A$3:$A$5001,"&lt;="&amp;$D$7),"—"))</f>
        <v>0</v>
      </c>
      <c r="E102" s="32">
        <f>IF(E$100="","",IF(Config!$E$38&lt;&gt;"Não",SUMIFS(BD!$D$3:$D$5001,BD!$B$3:$B$5001,E$100,BD!$A$3:$A$5001,"&gt;="&amp;$C$7,BD!$A$3:$A$5001,"&lt;="&amp;$D$7),"—"))</f>
        <v>0</v>
      </c>
      <c r="F102" s="32">
        <f>IF(F$100="","",IF(Config!$E$39&lt;&gt;"Não",SUMIFS(BD!$D$3:$D$5001,BD!$B$3:$B$5001,F$100,BD!$A$3:$A$5001,"&gt;="&amp;$C$7,BD!$A$3:$A$5001,"&lt;="&amp;$D$7),"—"))</f>
        <v>0</v>
      </c>
      <c r="G102" s="32">
        <f>IF(G$100="","",IF(Config!$E$40&lt;&gt;"Não",SUMIFS(BD!$D$3:$D$5001,BD!$B$3:$B$5001,G$100,BD!$A$3:$A$5001,"&gt;="&amp;$C$7,BD!$A$3:$A$5001,"&lt;="&amp;$D$7),"—"))</f>
        <v>0</v>
      </c>
      <c r="H102" s="32">
        <f>IF(H$100="","",IF(Config!$E$41&lt;&gt;"Não",SUMIFS(BD!$D$3:$D$5001,BD!$B$3:$B$5001,H$100,BD!$A$3:$A$5001,"&gt;="&amp;$C$7,BD!$A$3:$A$5001,"&lt;="&amp;$D$7),"—"))</f>
        <v>0</v>
      </c>
      <c r="I102" s="32">
        <f>IF(I$100="","",IF(Config!$E$42&lt;&gt;"Não",SUMIFS(BD!$D$3:$D$5001,BD!$B$3:$B$5001,I$100,BD!$A$3:$A$5001,"&gt;="&amp;$C$7,BD!$A$3:$A$5001,"&lt;="&amp;$D$7),"—"))</f>
        <v>0</v>
      </c>
      <c r="J102" s="32">
        <f>IF(J$100="","",IF(Config!$E$43&lt;&gt;"Não",SUMIFS(BD!$D$3:$D$5001,BD!$B$3:$B$5001,J$100,BD!$A$3:$A$5001,"&gt;="&amp;$C$7,BD!$A$3:$A$5001,"&lt;="&amp;$D$7),"—"))</f>
        <v>0</v>
      </c>
      <c r="K102" s="32" t="str">
        <f>IF(K$100="","",IF(Config!$E$44&lt;&gt;"Não",SUMIFS(BD!$D$3:$D$5001,BD!$B$3:$B$5001,K$100,BD!$A$3:$A$5001,"&gt;="&amp;$C$7,BD!$A$3:$A$5001,"&lt;="&amp;$D$7),"—"))</f>
        <v>—</v>
      </c>
      <c r="L102" s="32" t="str">
        <f>IF(L$100="","",IF(Config!$E$45&lt;&gt;"Não",SUMIFS(BD!$D$3:$D$5001,BD!$B$3:$B$5001,L$100,BD!$A$3:$A$5001,"&gt;="&amp;$C$7,BD!$A$3:$A$5001,"&lt;="&amp;$D$7),"—"))</f>
        <v/>
      </c>
      <c r="M102" s="32" t="str">
        <f>IF(M$100="","",IF(Config!$E$46&lt;&gt;"Não",SUMIFS(BD!$D$3:$D$5001,BD!$B$3:$B$5001,M$100,BD!$A$3:$A$5001,"&gt;="&amp;$C$7,BD!$A$3:$A$5001,"&lt;="&amp;$D$7),"—"))</f>
        <v/>
      </c>
      <c r="N102" s="32" t="str">
        <f>IF(N$100="","",IF(Config!$E$47&lt;&gt;"Não",SUMIFS(BD!$D$3:$D$5001,BD!$B$3:$B$5001,N$100,BD!$A$3:$A$5001,"&gt;="&amp;$C$7,BD!$A$3:$A$5001,"&lt;="&amp;$D$7),"—"))</f>
        <v/>
      </c>
      <c r="O102" s="32" t="str">
        <f>IF(O$100="","",IF(Config!$E$48&lt;&gt;"Não",SUMIFS(BD!$D$3:$D$5001,BD!$B$3:$B$5001,O$100,BD!$A$3:$A$5001,"&gt;="&amp;$C$7,BD!$A$3:$A$5001,"&lt;="&amp;$D$7),"—"))</f>
        <v/>
      </c>
      <c r="P102" s="32" t="str">
        <f>IF(P$100="","",IF(Config!$E$49&lt;&gt;"Não",SUMIFS(BD!$D$3:$D$5001,BD!$B$3:$B$5001,P$100,BD!$A$3:$A$5001,"&gt;="&amp;$C$7,BD!$A$3:$A$5001,"&lt;="&amp;$D$7),"—"))</f>
        <v/>
      </c>
      <c r="Q102" s="32" t="str">
        <f>IF(Q$100="","",IF(Config!$E$50&lt;&gt;"Não",SUMIFS(BD!$D$3:$D$5001,BD!$B$3:$B$5001,Q$100,BD!$A$3:$A$5001,"&gt;="&amp;$C$7,BD!$A$3:$A$5001,"&lt;="&amp;$D$7),"—"))</f>
        <v/>
      </c>
      <c r="R102" s="32" t="str">
        <f>IF(R$100="","",IF(Config!$E$51&lt;&gt;"Não",SUMIFS(BD!$D$3:$D$5001,BD!$B$3:$B$5001,R$100,BD!$A$3:$A$5001,"&gt;="&amp;$C$7,BD!$A$3:$A$5001,"&lt;="&amp;$D$7),"—"))</f>
        <v/>
      </c>
      <c r="S102" s="32" t="str">
        <f>IF(S$100="","",IF(Config!$E$52&lt;&gt;"Não",SUMIFS(BD!$D$3:$D$5001,BD!$B$3:$B$5001,S$100,BD!$A$3:$A$5001,"&gt;="&amp;$C$7,BD!$A$3:$A$5001,"&lt;="&amp;$D$7),"—"))</f>
        <v/>
      </c>
      <c r="T102" s="32" t="str">
        <f>IF(T$100="","",IF(Config!$E$53&lt;&gt;"Não",SUMIFS(BD!$D$3:$D$5001,BD!$B$3:$B$5001,T$100,BD!$A$3:$A$5001,"&gt;="&amp;$C$7,BD!$A$3:$A$5001,"&lt;="&amp;$D$7),"—"))</f>
        <v/>
      </c>
      <c r="U102" s="32" t="str">
        <f>IF(U$100="","",IF(Config!$E$54&lt;&gt;"Não",SUMIFS(BD!$D$3:$D$5001,BD!$B$3:$B$5001,U$100,BD!$A$3:$A$5001,"&gt;="&amp;$C$7,BD!$A$3:$A$5001,"&lt;="&amp;$D$7),"—"))</f>
        <v/>
      </c>
      <c r="V102" s="62">
        <f>SUM(B102:U102)</f>
        <v>0</v>
      </c>
    </row>
    <row r="103">
      <c r="A103" s="29" t="inlineStr">
        <is>
          <t xml:space="preserve">IN · Toneladas Movimentadas</t>
        </is>
      </c>
      <c r="B103" s="61" t="str">
        <f>IF(B$100="","",IF(Config!$F$35&lt;&gt;"Não",SUMIFS(BD!$E$3:$E$5001,BD!$B$3:$B$5001,B$100,BD!$A$3:$A$5001,"&gt;="&amp;$C$7,BD!$A$3:$A$5001,"&lt;="&amp;$D$7),"—"))</f>
        <v>—</v>
      </c>
      <c r="C103" s="61">
        <f>IF(C$100="","",IF(Config!$F$36&lt;&gt;"Não",SUMIFS(BD!$E$3:$E$5001,BD!$B$3:$B$5001,C$100,BD!$A$3:$A$5001,"&gt;="&amp;$C$7,BD!$A$3:$A$5001,"&lt;="&amp;$D$7),"—"))</f>
        <v>0</v>
      </c>
      <c r="D103" s="61" t="str">
        <f>IF(D$100="","",IF(Config!$F$37&lt;&gt;"Não",SUMIFS(BD!$E$3:$E$5001,BD!$B$3:$B$5001,D$100,BD!$A$3:$A$5001,"&gt;="&amp;$C$7,BD!$A$3:$A$5001,"&lt;="&amp;$D$7),"—"))</f>
        <v>—</v>
      </c>
      <c r="E103" s="61" t="str">
        <f>IF(E$100="","",IF(Config!$F$38&lt;&gt;"Não",SUMIFS(BD!$E$3:$E$5001,BD!$B$3:$B$5001,E$100,BD!$A$3:$A$5001,"&gt;="&amp;$C$7,BD!$A$3:$A$5001,"&lt;="&amp;$D$7),"—"))</f>
        <v>—</v>
      </c>
      <c r="F103" s="61">
        <f>IF(F$100="","",IF(Config!$F$39&lt;&gt;"Não",SUMIFS(BD!$E$3:$E$5001,BD!$B$3:$B$5001,F$100,BD!$A$3:$A$5001,"&gt;="&amp;$C$7,BD!$A$3:$A$5001,"&lt;="&amp;$D$7),"—"))</f>
        <v>0</v>
      </c>
      <c r="G103" s="61" t="str">
        <f>IF(G$100="","",IF(Config!$F$40&lt;&gt;"Não",SUMIFS(BD!$E$3:$E$5001,BD!$B$3:$B$5001,G$100,BD!$A$3:$A$5001,"&gt;="&amp;$C$7,BD!$A$3:$A$5001,"&lt;="&amp;$D$7),"—"))</f>
        <v>—</v>
      </c>
      <c r="H103" s="61" t="str">
        <f>IF(H$100="","",IF(Config!$F$41&lt;&gt;"Não",SUMIFS(BD!$E$3:$E$5001,BD!$B$3:$B$5001,H$100,BD!$A$3:$A$5001,"&gt;="&amp;$C$7,BD!$A$3:$A$5001,"&lt;="&amp;$D$7),"—"))</f>
        <v>—</v>
      </c>
      <c r="I103" s="61">
        <f>IF(I$100="","",IF(Config!$F$42&lt;&gt;"Não",SUMIFS(BD!$E$3:$E$5001,BD!$B$3:$B$5001,I$100,BD!$A$3:$A$5001,"&gt;="&amp;$C$7,BD!$A$3:$A$5001,"&lt;="&amp;$D$7),"—"))</f>
        <v>0</v>
      </c>
      <c r="J103" s="61" t="str">
        <f>IF(J$100="","",IF(Config!$F$43&lt;&gt;"Não",SUMIFS(BD!$E$3:$E$5001,BD!$B$3:$B$5001,J$100,BD!$A$3:$A$5001,"&gt;="&amp;$C$7,BD!$A$3:$A$5001,"&lt;="&amp;$D$7),"—"))</f>
        <v>—</v>
      </c>
      <c r="K103" s="61" t="str">
        <f>IF(K$100="","",IF(Config!$F$44&lt;&gt;"Não",SUMIFS(BD!$E$3:$E$5001,BD!$B$3:$B$5001,K$100,BD!$A$3:$A$5001,"&gt;="&amp;$C$7,BD!$A$3:$A$5001,"&lt;="&amp;$D$7),"—"))</f>
        <v>—</v>
      </c>
      <c r="L103" s="61" t="str">
        <f>IF(L$100="","",IF(Config!$F$45&lt;&gt;"Não",SUMIFS(BD!$E$3:$E$5001,BD!$B$3:$B$5001,L$100,BD!$A$3:$A$5001,"&gt;="&amp;$C$7,BD!$A$3:$A$5001,"&lt;="&amp;$D$7),"—"))</f>
        <v/>
      </c>
      <c r="M103" s="61" t="str">
        <f>IF(M$100="","",IF(Config!$F$46&lt;&gt;"Não",SUMIFS(BD!$E$3:$E$5001,BD!$B$3:$B$5001,M$100,BD!$A$3:$A$5001,"&gt;="&amp;$C$7,BD!$A$3:$A$5001,"&lt;="&amp;$D$7),"—"))</f>
        <v/>
      </c>
      <c r="N103" s="61" t="str">
        <f>IF(N$100="","",IF(Config!$F$47&lt;&gt;"Não",SUMIFS(BD!$E$3:$E$5001,BD!$B$3:$B$5001,N$100,BD!$A$3:$A$5001,"&gt;="&amp;$C$7,BD!$A$3:$A$5001,"&lt;="&amp;$D$7),"—"))</f>
        <v/>
      </c>
      <c r="O103" s="61" t="str">
        <f>IF(O$100="","",IF(Config!$F$48&lt;&gt;"Não",SUMIFS(BD!$E$3:$E$5001,BD!$B$3:$B$5001,O$100,BD!$A$3:$A$5001,"&gt;="&amp;$C$7,BD!$A$3:$A$5001,"&lt;="&amp;$D$7),"—"))</f>
        <v/>
      </c>
      <c r="P103" s="61" t="str">
        <f>IF(P$100="","",IF(Config!$F$49&lt;&gt;"Não",SUMIFS(BD!$E$3:$E$5001,BD!$B$3:$B$5001,P$100,BD!$A$3:$A$5001,"&gt;="&amp;$C$7,BD!$A$3:$A$5001,"&lt;="&amp;$D$7),"—"))</f>
        <v/>
      </c>
      <c r="Q103" s="61" t="str">
        <f>IF(Q$100="","",IF(Config!$F$50&lt;&gt;"Não",SUMIFS(BD!$E$3:$E$5001,BD!$B$3:$B$5001,Q$100,BD!$A$3:$A$5001,"&gt;="&amp;$C$7,BD!$A$3:$A$5001,"&lt;="&amp;$D$7),"—"))</f>
        <v/>
      </c>
      <c r="R103" s="61" t="str">
        <f>IF(R$100="","",IF(Config!$F$51&lt;&gt;"Não",SUMIFS(BD!$E$3:$E$5001,BD!$B$3:$B$5001,R$100,BD!$A$3:$A$5001,"&gt;="&amp;$C$7,BD!$A$3:$A$5001,"&lt;="&amp;$D$7),"—"))</f>
        <v/>
      </c>
      <c r="S103" s="61" t="str">
        <f>IF(S$100="","",IF(Config!$F$52&lt;&gt;"Não",SUMIFS(BD!$E$3:$E$5001,BD!$B$3:$B$5001,S$100,BD!$A$3:$A$5001,"&gt;="&amp;$C$7,BD!$A$3:$A$5001,"&lt;="&amp;$D$7),"—"))</f>
        <v/>
      </c>
      <c r="T103" s="61" t="str">
        <f>IF(T$100="","",IF(Config!$F$53&lt;&gt;"Não",SUMIFS(BD!$E$3:$E$5001,BD!$B$3:$B$5001,T$100,BD!$A$3:$A$5001,"&gt;="&amp;$C$7,BD!$A$3:$A$5001,"&lt;="&amp;$D$7),"—"))</f>
        <v/>
      </c>
      <c r="U103" s="61" t="str">
        <f>IF(U$100="","",IF(Config!$F$54&lt;&gt;"Não",SUMIFS(BD!$E$3:$E$5001,BD!$B$3:$B$5001,U$100,BD!$A$3:$A$5001,"&gt;="&amp;$C$7,BD!$A$3:$A$5001,"&lt;="&amp;$D$7),"—"))</f>
        <v/>
      </c>
      <c r="V103" s="63">
        <f>SUM(B103:U103)</f>
        <v>0</v>
      </c>
    </row>
    <row r="104">
      <c r="A104" s="29" t="inlineStr">
        <is>
          <t xml:space="preserve">IN · Linhas NF</t>
        </is>
      </c>
      <c r="B104" s="32" t="str">
        <f>IF(B$100="","",IF(Config!$G$35&lt;&gt;"Não",SUMIFS(BD!$F$3:$F$5001,BD!$B$3:$B$5001,B$100,BD!$A$3:$A$5001,"&gt;="&amp;$C$7,BD!$A$3:$A$5001,"&lt;="&amp;$D$7),"—"))</f>
        <v>—</v>
      </c>
      <c r="C104" s="32" t="str">
        <f>IF(C$100="","",IF(Config!$G$36&lt;&gt;"Não",SUMIFS(BD!$F$3:$F$5001,BD!$B$3:$B$5001,C$100,BD!$A$3:$A$5001,"&gt;="&amp;$C$7,BD!$A$3:$A$5001,"&lt;="&amp;$D$7),"—"))</f>
        <v>—</v>
      </c>
      <c r="D104" s="32" t="str">
        <f>IF(D$100="","",IF(Config!$G$37&lt;&gt;"Não",SUMIFS(BD!$F$3:$F$5001,BD!$B$3:$B$5001,D$100,BD!$A$3:$A$5001,"&gt;="&amp;$C$7,BD!$A$3:$A$5001,"&lt;="&amp;$D$7),"—"))</f>
        <v>—</v>
      </c>
      <c r="E104" s="32" t="str">
        <f>IF(E$100="","",IF(Config!$G$38&lt;&gt;"Não",SUMIFS(BD!$F$3:$F$5001,BD!$B$3:$B$5001,E$100,BD!$A$3:$A$5001,"&gt;="&amp;$C$7,BD!$A$3:$A$5001,"&lt;="&amp;$D$7),"—"))</f>
        <v>—</v>
      </c>
      <c r="F104" s="32" t="str">
        <f>IF(F$100="","",IF(Config!$G$39&lt;&gt;"Não",SUMIFS(BD!$F$3:$F$5001,BD!$B$3:$B$5001,F$100,BD!$A$3:$A$5001,"&gt;="&amp;$C$7,BD!$A$3:$A$5001,"&lt;="&amp;$D$7),"—"))</f>
        <v>—</v>
      </c>
      <c r="G104" s="32">
        <f>IF(G$100="","",IF(Config!$G$40&lt;&gt;"Não",SUMIFS(BD!$F$3:$F$5001,BD!$B$3:$B$5001,G$100,BD!$A$3:$A$5001,"&gt;="&amp;$C$7,BD!$A$3:$A$5001,"&lt;="&amp;$D$7),"—"))</f>
        <v>0</v>
      </c>
      <c r="H104" s="32" t="str">
        <f>IF(H$100="","",IF(Config!$G$41&lt;&gt;"Não",SUMIFS(BD!$F$3:$F$5001,BD!$B$3:$B$5001,H$100,BD!$A$3:$A$5001,"&gt;="&amp;$C$7,BD!$A$3:$A$5001,"&lt;="&amp;$D$7),"—"))</f>
        <v>—</v>
      </c>
      <c r="I104" s="32" t="str">
        <f>IF(I$100="","",IF(Config!$G$42&lt;&gt;"Não",SUMIFS(BD!$F$3:$F$5001,BD!$B$3:$B$5001,I$100,BD!$A$3:$A$5001,"&gt;="&amp;$C$7,BD!$A$3:$A$5001,"&lt;="&amp;$D$7),"—"))</f>
        <v>—</v>
      </c>
      <c r="J104" s="32" t="str">
        <f>IF(J$100="","",IF(Config!$G$43&lt;&gt;"Não",SUMIFS(BD!$F$3:$F$5001,BD!$B$3:$B$5001,J$100,BD!$A$3:$A$5001,"&gt;="&amp;$C$7,BD!$A$3:$A$5001,"&lt;="&amp;$D$7),"—"))</f>
        <v>—</v>
      </c>
      <c r="K104" s="32">
        <f>IF(K$100="","",IF(Config!$G$44&lt;&gt;"Não",SUMIFS(BD!$F$3:$F$5001,BD!$B$3:$B$5001,K$100,BD!$A$3:$A$5001,"&gt;="&amp;$C$7,BD!$A$3:$A$5001,"&lt;="&amp;$D$7),"—"))</f>
        <v>0</v>
      </c>
      <c r="L104" s="32" t="str">
        <f>IF(L$100="","",IF(Config!$G$45&lt;&gt;"Não",SUMIFS(BD!$F$3:$F$5001,BD!$B$3:$B$5001,L$100,BD!$A$3:$A$5001,"&gt;="&amp;$C$7,BD!$A$3:$A$5001,"&lt;="&amp;$D$7),"—"))</f>
        <v/>
      </c>
      <c r="M104" s="32" t="str">
        <f>IF(M$100="","",IF(Config!$G$46&lt;&gt;"Não",SUMIFS(BD!$F$3:$F$5001,BD!$B$3:$B$5001,M$100,BD!$A$3:$A$5001,"&gt;="&amp;$C$7,BD!$A$3:$A$5001,"&lt;="&amp;$D$7),"—"))</f>
        <v/>
      </c>
      <c r="N104" s="32" t="str">
        <f>IF(N$100="","",IF(Config!$G$47&lt;&gt;"Não",SUMIFS(BD!$F$3:$F$5001,BD!$B$3:$B$5001,N$100,BD!$A$3:$A$5001,"&gt;="&amp;$C$7,BD!$A$3:$A$5001,"&lt;="&amp;$D$7),"—"))</f>
        <v/>
      </c>
      <c r="O104" s="32" t="str">
        <f>IF(O$100="","",IF(Config!$G$48&lt;&gt;"Não",SUMIFS(BD!$F$3:$F$5001,BD!$B$3:$B$5001,O$100,BD!$A$3:$A$5001,"&gt;="&amp;$C$7,BD!$A$3:$A$5001,"&lt;="&amp;$D$7),"—"))</f>
        <v/>
      </c>
      <c r="P104" s="32" t="str">
        <f>IF(P$100="","",IF(Config!$G$49&lt;&gt;"Não",SUMIFS(BD!$F$3:$F$5001,BD!$B$3:$B$5001,P$100,BD!$A$3:$A$5001,"&gt;="&amp;$C$7,BD!$A$3:$A$5001,"&lt;="&amp;$D$7),"—"))</f>
        <v/>
      </c>
      <c r="Q104" s="32" t="str">
        <f>IF(Q$100="","",IF(Config!$G$50&lt;&gt;"Não",SUMIFS(BD!$F$3:$F$5001,BD!$B$3:$B$5001,Q$100,BD!$A$3:$A$5001,"&gt;="&amp;$C$7,BD!$A$3:$A$5001,"&lt;="&amp;$D$7),"—"))</f>
        <v/>
      </c>
      <c r="R104" s="32" t="str">
        <f>IF(R$100="","",IF(Config!$G$51&lt;&gt;"Não",SUMIFS(BD!$F$3:$F$5001,BD!$B$3:$B$5001,R$100,BD!$A$3:$A$5001,"&gt;="&amp;$C$7,BD!$A$3:$A$5001,"&lt;="&amp;$D$7),"—"))</f>
        <v/>
      </c>
      <c r="S104" s="32" t="str">
        <f>IF(S$100="","",IF(Config!$G$52&lt;&gt;"Não",SUMIFS(BD!$F$3:$F$5001,BD!$B$3:$B$5001,S$100,BD!$A$3:$A$5001,"&gt;="&amp;$C$7,BD!$A$3:$A$5001,"&lt;="&amp;$D$7),"—"))</f>
        <v/>
      </c>
      <c r="T104" s="32" t="str">
        <f>IF(T$100="","",IF(Config!$G$53&lt;&gt;"Não",SUMIFS(BD!$F$3:$F$5001,BD!$B$3:$B$5001,T$100,BD!$A$3:$A$5001,"&gt;="&amp;$C$7,BD!$A$3:$A$5001,"&lt;="&amp;$D$7),"—"))</f>
        <v/>
      </c>
      <c r="U104" s="32" t="str">
        <f>IF(U$100="","",IF(Config!$G$54&lt;&gt;"Não",SUMIFS(BD!$F$3:$F$5001,BD!$B$3:$B$5001,U$100,BD!$A$3:$A$5001,"&gt;="&amp;$C$7,BD!$A$3:$A$5001,"&lt;="&amp;$D$7),"—"))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IN · Caixas Movimentadas</t>
        </is>
      </c>
      <c r="B105" s="32">
        <f>IF(B$100="","",IF(Config!$H$35&lt;&gt;"Não",SUMIFS(BD!$G$3:$G$5001,BD!$B$3:$B$5001,B$100,BD!$A$3:$A$5001,"&gt;="&amp;$C$7,BD!$A$3:$A$5001,"&lt;="&amp;$D$7),"—"))</f>
        <v>0</v>
      </c>
      <c r="C105" s="32" t="str">
        <f>IF(C$100="","",IF(Config!$H$36&lt;&gt;"Não",SUMIFS(BD!$G$3:$G$5001,BD!$B$3:$B$5001,C$100,BD!$A$3:$A$5001,"&gt;="&amp;$C$7,BD!$A$3:$A$5001,"&lt;="&amp;$D$7),"—"))</f>
        <v>—</v>
      </c>
      <c r="D105" s="32">
        <f>IF(D$100="","",IF(Config!$H$37&lt;&gt;"Não",SUMIFS(BD!$G$3:$G$5001,BD!$B$3:$B$5001,D$100,BD!$A$3:$A$5001,"&gt;="&amp;$C$7,BD!$A$3:$A$5001,"&lt;="&amp;$D$7),"—"))</f>
        <v>0</v>
      </c>
      <c r="E105" s="32">
        <f>IF(E$100="","",IF(Config!$H$38&lt;&gt;"Não",SUMIFS(BD!$G$3:$G$5001,BD!$B$3:$B$5001,E$100,BD!$A$3:$A$5001,"&gt;="&amp;$C$7,BD!$A$3:$A$5001,"&lt;="&amp;$D$7),"—"))</f>
        <v>0</v>
      </c>
      <c r="F105" s="32" t="str">
        <f>IF(F$100="","",IF(Config!$H$39&lt;&gt;"Não",SUMIFS(BD!$G$3:$G$5001,BD!$B$3:$B$5001,F$100,BD!$A$3:$A$5001,"&gt;="&amp;$C$7,BD!$A$3:$A$5001,"&lt;="&amp;$D$7),"—"))</f>
        <v>—</v>
      </c>
      <c r="G105" s="32" t="str">
        <f>IF(G$100="","",IF(Config!$H$40&lt;&gt;"Não",SUMIFS(BD!$G$3:$G$5001,BD!$B$3:$B$5001,G$100,BD!$A$3:$A$5001,"&gt;="&amp;$C$7,BD!$A$3:$A$5001,"&lt;="&amp;$D$7),"—"))</f>
        <v>—</v>
      </c>
      <c r="H105" s="32" t="str">
        <f>IF(H$100="","",IF(Config!$H$41&lt;&gt;"Não",SUMIFS(BD!$G$3:$G$5001,BD!$B$3:$B$5001,H$100,BD!$A$3:$A$5001,"&gt;="&amp;$C$7,BD!$A$3:$A$5001,"&lt;="&amp;$D$7),"—"))</f>
        <v>—</v>
      </c>
      <c r="I105" s="32" t="str">
        <f>IF(I$100="","",IF(Config!$H$42&lt;&gt;"Não",SUMIFS(BD!$G$3:$G$5001,BD!$B$3:$B$5001,I$100,BD!$A$3:$A$5001,"&gt;="&amp;$C$7,BD!$A$3:$A$5001,"&lt;="&amp;$D$7),"—"))</f>
        <v>—</v>
      </c>
      <c r="J105" s="32" t="str">
        <f>IF(J$100="","",IF(Config!$H$43&lt;&gt;"Não",SUMIFS(BD!$G$3:$G$5001,BD!$B$3:$B$5001,J$100,BD!$A$3:$A$5001,"&gt;="&amp;$C$7,BD!$A$3:$A$5001,"&lt;="&amp;$D$7),"—"))</f>
        <v>—</v>
      </c>
      <c r="K105" s="32" t="str">
        <f>IF(K$100="","",IF(Config!$H$44&lt;&gt;"Não",SUMIFS(BD!$G$3:$G$5001,BD!$B$3:$B$5001,K$100,BD!$A$3:$A$5001,"&gt;="&amp;$C$7,BD!$A$3:$A$5001,"&lt;="&amp;$D$7),"—"))</f>
        <v>—</v>
      </c>
      <c r="L105" s="32" t="str">
        <f>IF(L$100="","",IF(Config!$H$45&lt;&gt;"Não",SUMIFS(BD!$G$3:$G$5001,BD!$B$3:$B$5001,L$100,BD!$A$3:$A$5001,"&gt;="&amp;$C$7,BD!$A$3:$A$5001,"&lt;="&amp;$D$7),"—"))</f>
        <v/>
      </c>
      <c r="M105" s="32" t="str">
        <f>IF(M$100="","",IF(Config!$H$46&lt;&gt;"Não",SUMIFS(BD!$G$3:$G$5001,BD!$B$3:$B$5001,M$100,BD!$A$3:$A$5001,"&gt;="&amp;$C$7,BD!$A$3:$A$5001,"&lt;="&amp;$D$7),"—"))</f>
        <v/>
      </c>
      <c r="N105" s="32" t="str">
        <f>IF(N$100="","",IF(Config!$H$47&lt;&gt;"Não",SUMIFS(BD!$G$3:$G$5001,BD!$B$3:$B$5001,N$100,BD!$A$3:$A$5001,"&gt;="&amp;$C$7,BD!$A$3:$A$5001,"&lt;="&amp;$D$7),"—"))</f>
        <v/>
      </c>
      <c r="O105" s="32" t="str">
        <f>IF(O$100="","",IF(Config!$H$48&lt;&gt;"Não",SUMIFS(BD!$G$3:$G$5001,BD!$B$3:$B$5001,O$100,BD!$A$3:$A$5001,"&gt;="&amp;$C$7,BD!$A$3:$A$5001,"&lt;="&amp;$D$7),"—"))</f>
        <v/>
      </c>
      <c r="P105" s="32" t="str">
        <f>IF(P$100="","",IF(Config!$H$49&lt;&gt;"Não",SUMIFS(BD!$G$3:$G$5001,BD!$B$3:$B$5001,P$100,BD!$A$3:$A$5001,"&gt;="&amp;$C$7,BD!$A$3:$A$5001,"&lt;="&amp;$D$7),"—"))</f>
        <v/>
      </c>
      <c r="Q105" s="32" t="str">
        <f>IF(Q$100="","",IF(Config!$H$50&lt;&gt;"Não",SUMIFS(BD!$G$3:$G$5001,BD!$B$3:$B$5001,Q$100,BD!$A$3:$A$5001,"&gt;="&amp;$C$7,BD!$A$3:$A$5001,"&lt;="&amp;$D$7),"—"))</f>
        <v/>
      </c>
      <c r="R105" s="32" t="str">
        <f>IF(R$100="","",IF(Config!$H$51&lt;&gt;"Não",SUMIFS(BD!$G$3:$G$5001,BD!$B$3:$B$5001,R$100,BD!$A$3:$A$5001,"&gt;="&amp;$C$7,BD!$A$3:$A$5001,"&lt;="&amp;$D$7),"—"))</f>
        <v/>
      </c>
      <c r="S105" s="32" t="str">
        <f>IF(S$100="","",IF(Config!$H$52&lt;&gt;"Não",SUMIFS(BD!$G$3:$G$5001,BD!$B$3:$B$5001,S$100,BD!$A$3:$A$5001,"&gt;="&amp;$C$7,BD!$A$3:$A$5001,"&lt;="&amp;$D$7),"—"))</f>
        <v/>
      </c>
      <c r="T105" s="32" t="str">
        <f>IF(T$100="","",IF(Config!$H$53&lt;&gt;"Não",SUMIFS(BD!$G$3:$G$5001,BD!$B$3:$B$5001,T$100,BD!$A$3:$A$5001,"&gt;="&amp;$C$7,BD!$A$3:$A$5001,"&lt;="&amp;$D$7),"—"))</f>
        <v/>
      </c>
      <c r="U105" s="32" t="str">
        <f>IF(U$100="","",IF(Config!$H$54&lt;&gt;"Não",SUMIFS(BD!$G$3:$G$5001,BD!$B$3:$B$5001,U$100,BD!$A$3:$A$5001,"&gt;="&amp;$C$7,BD!$A$3:$A$5001,"&lt;="&amp;$D$7),"—"))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IN · Itens Recebidos</t>
        </is>
      </c>
      <c r="B106" s="32" t="str">
        <f>IF(B$100="","",IF(Config!$I$35&lt;&gt;"Não",SUMIFS(BD!$H$3:$H$5001,BD!$B$3:$B$5001,B$100,BD!$A$3:$A$5001,"&gt;="&amp;$C$7,BD!$A$3:$A$5001,"&lt;="&amp;$D$7),"—"))</f>
        <v>—</v>
      </c>
      <c r="C106" s="32" t="str">
        <f>IF(C$100="","",IF(Config!$I$36&lt;&gt;"Não",SUMIFS(BD!$H$3:$H$5001,BD!$B$3:$B$5001,C$100,BD!$A$3:$A$5001,"&gt;="&amp;$C$7,BD!$A$3:$A$5001,"&lt;="&amp;$D$7),"—"))</f>
        <v>—</v>
      </c>
      <c r="D106" s="32" t="str">
        <f>IF(D$100="","",IF(Config!$I$37&lt;&gt;"Não",SUMIFS(BD!$H$3:$H$5001,BD!$B$3:$B$5001,D$100,BD!$A$3:$A$5001,"&gt;="&amp;$C$7,BD!$A$3:$A$5001,"&lt;="&amp;$D$7),"—"))</f>
        <v>—</v>
      </c>
      <c r="E106" s="32" t="str">
        <f>IF(E$100="","",IF(Config!$I$38&lt;&gt;"Não",SUMIFS(BD!$H$3:$H$5001,BD!$B$3:$B$5001,E$100,BD!$A$3:$A$5001,"&gt;="&amp;$C$7,BD!$A$3:$A$5001,"&lt;="&amp;$D$7),"—"))</f>
        <v>—</v>
      </c>
      <c r="F106" s="32" t="str">
        <f>IF(F$100="","",IF(Config!$I$39&lt;&gt;"Não",SUMIFS(BD!$H$3:$H$5001,BD!$B$3:$B$5001,F$100,BD!$A$3:$A$5001,"&gt;="&amp;$C$7,BD!$A$3:$A$5001,"&lt;="&amp;$D$7),"—"))</f>
        <v>—</v>
      </c>
      <c r="G106" s="32" t="str">
        <f>IF(G$100="","",IF(Config!$I$40&lt;&gt;"Não",SUMIFS(BD!$H$3:$H$5001,BD!$B$3:$B$5001,G$100,BD!$A$3:$A$5001,"&gt;="&amp;$C$7,BD!$A$3:$A$5001,"&lt;="&amp;$D$7),"—"))</f>
        <v>—</v>
      </c>
      <c r="H106" s="32" t="str">
        <f>IF(H$100="","",IF(Config!$I$41&lt;&gt;"Não",SUMIFS(BD!$H$3:$H$5001,BD!$B$3:$B$5001,H$100,BD!$A$3:$A$5001,"&gt;="&amp;$C$7,BD!$A$3:$A$5001,"&lt;="&amp;$D$7),"—"))</f>
        <v>—</v>
      </c>
      <c r="I106" s="32" t="str">
        <f>IF(I$100="","",IF(Config!$I$42&lt;&gt;"Não",SUMIFS(BD!$H$3:$H$5001,BD!$B$3:$B$5001,I$100,BD!$A$3:$A$5001,"&gt;="&amp;$C$7,BD!$A$3:$A$5001,"&lt;="&amp;$D$7),"—"))</f>
        <v>—</v>
      </c>
      <c r="J106" s="32" t="str">
        <f>IF(J$100="","",IF(Config!$I$43&lt;&gt;"Não",SUMIFS(BD!$H$3:$H$5001,BD!$B$3:$B$5001,J$100,BD!$A$3:$A$5001,"&gt;="&amp;$C$7,BD!$A$3:$A$5001,"&lt;="&amp;$D$7),"—"))</f>
        <v>—</v>
      </c>
      <c r="K106" s="32" t="str">
        <f>IF(K$100="","",IF(Config!$I$44&lt;&gt;"Não",SUMIFS(BD!$H$3:$H$5001,BD!$B$3:$B$5001,K$100,BD!$A$3:$A$5001,"&gt;="&amp;$C$7,BD!$A$3:$A$5001,"&lt;="&amp;$D$7),"—"))</f>
        <v>—</v>
      </c>
      <c r="L106" s="32" t="str">
        <f>IF(L$100="","",IF(Config!$I$45&lt;&gt;"Não",SUMIFS(BD!$H$3:$H$5001,BD!$B$3:$B$5001,L$100,BD!$A$3:$A$5001,"&gt;="&amp;$C$7,BD!$A$3:$A$5001,"&lt;="&amp;$D$7),"—"))</f>
        <v/>
      </c>
      <c r="M106" s="32" t="str">
        <f>IF(M$100="","",IF(Config!$I$46&lt;&gt;"Não",SUMIFS(BD!$H$3:$H$5001,BD!$B$3:$B$5001,M$100,BD!$A$3:$A$5001,"&gt;="&amp;$C$7,BD!$A$3:$A$5001,"&lt;="&amp;$D$7),"—"))</f>
        <v/>
      </c>
      <c r="N106" s="32" t="str">
        <f>IF(N$100="","",IF(Config!$I$47&lt;&gt;"Não",SUMIFS(BD!$H$3:$H$5001,BD!$B$3:$B$5001,N$100,BD!$A$3:$A$5001,"&gt;="&amp;$C$7,BD!$A$3:$A$5001,"&lt;="&amp;$D$7),"—"))</f>
        <v/>
      </c>
      <c r="O106" s="32" t="str">
        <f>IF(O$100="","",IF(Config!$I$48&lt;&gt;"Não",SUMIFS(BD!$H$3:$H$5001,BD!$B$3:$B$5001,O$100,BD!$A$3:$A$5001,"&gt;="&amp;$C$7,BD!$A$3:$A$5001,"&lt;="&amp;$D$7),"—"))</f>
        <v/>
      </c>
      <c r="P106" s="32" t="str">
        <f>IF(P$100="","",IF(Config!$I$49&lt;&gt;"Não",SUMIFS(BD!$H$3:$H$5001,BD!$B$3:$B$5001,P$100,BD!$A$3:$A$5001,"&gt;="&amp;$C$7,BD!$A$3:$A$5001,"&lt;="&amp;$D$7),"—"))</f>
        <v/>
      </c>
      <c r="Q106" s="32" t="str">
        <f>IF(Q$100="","",IF(Config!$I$50&lt;&gt;"Não",SUMIFS(BD!$H$3:$H$5001,BD!$B$3:$B$5001,Q$100,BD!$A$3:$A$5001,"&gt;="&amp;$C$7,BD!$A$3:$A$5001,"&lt;="&amp;$D$7),"—"))</f>
        <v/>
      </c>
      <c r="R106" s="32" t="str">
        <f>IF(R$100="","",IF(Config!$I$51&lt;&gt;"Não",SUMIFS(BD!$H$3:$H$5001,BD!$B$3:$B$5001,R$100,BD!$A$3:$A$5001,"&gt;="&amp;$C$7,BD!$A$3:$A$5001,"&lt;="&amp;$D$7),"—"))</f>
        <v/>
      </c>
      <c r="S106" s="32" t="str">
        <f>IF(S$100="","",IF(Config!$I$52&lt;&gt;"Não",SUMIFS(BD!$H$3:$H$5001,BD!$B$3:$B$5001,S$100,BD!$A$3:$A$5001,"&gt;="&amp;$C$7,BD!$A$3:$A$5001,"&lt;="&amp;$D$7),"—"))</f>
        <v/>
      </c>
      <c r="T106" s="32" t="str">
        <f>IF(T$100="","",IF(Config!$I$53&lt;&gt;"Não",SUMIFS(BD!$H$3:$H$5001,BD!$B$3:$B$5001,T$100,BD!$A$3:$A$5001,"&gt;="&amp;$C$7,BD!$A$3:$A$5001,"&lt;="&amp;$D$7),"—"))</f>
        <v/>
      </c>
      <c r="U106" s="32" t="str">
        <f>IF(U$100="","",IF(Config!$I$54&lt;&gt;"Não",SUMIFS(BD!$H$3:$H$5001,BD!$B$3:$B$5001,U$100,BD!$A$3:$A$5001,"&gt;="&amp;$C$7,BD!$A$3:$A$5001,"&lt;="&amp;$D$7),"—"))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IN · Itens Recebidos CX Mista</t>
        </is>
      </c>
      <c r="B107" s="32" t="str">
        <f>IF(B$100="","",IF(Config!$J$35&lt;&gt;"Não",SUMIFS(BD!$I$3:$I$5001,BD!$B$3:$B$5001,B$100,BD!$A$3:$A$5001,"&gt;="&amp;$C$7,BD!$A$3:$A$5001,"&lt;="&amp;$D$7),"—"))</f>
        <v>—</v>
      </c>
      <c r="C107" s="32" t="str">
        <f>IF(C$100="","",IF(Config!$J$36&lt;&gt;"Não",SUMIFS(BD!$I$3:$I$5001,BD!$B$3:$B$5001,C$100,BD!$A$3:$A$5001,"&gt;="&amp;$C$7,BD!$A$3:$A$5001,"&lt;="&amp;$D$7),"—"))</f>
        <v>—</v>
      </c>
      <c r="D107" s="32" t="str">
        <f>IF(D$100="","",IF(Config!$J$37&lt;&gt;"Não",SUMIFS(BD!$I$3:$I$5001,BD!$B$3:$B$5001,D$100,BD!$A$3:$A$5001,"&gt;="&amp;$C$7,BD!$A$3:$A$5001,"&lt;="&amp;$D$7),"—"))</f>
        <v>—</v>
      </c>
      <c r="E107" s="32">
        <f>IF(E$100="","",IF(Config!$J$38&lt;&gt;"Não",SUMIFS(BD!$I$3:$I$5001,BD!$B$3:$B$5001,E$100,BD!$A$3:$A$5001,"&gt;="&amp;$C$7,BD!$A$3:$A$5001,"&lt;="&amp;$D$7),"—"))</f>
        <v>0</v>
      </c>
      <c r="F107" s="32" t="str">
        <f>IF(F$100="","",IF(Config!$J$39&lt;&gt;"Não",SUMIFS(BD!$I$3:$I$5001,BD!$B$3:$B$5001,F$100,BD!$A$3:$A$5001,"&gt;="&amp;$C$7,BD!$A$3:$A$5001,"&lt;="&amp;$D$7),"—"))</f>
        <v>—</v>
      </c>
      <c r="G107" s="32" t="str">
        <f>IF(G$100="","",IF(Config!$J$40&lt;&gt;"Não",SUMIFS(BD!$I$3:$I$5001,BD!$B$3:$B$5001,G$100,BD!$A$3:$A$5001,"&gt;="&amp;$C$7,BD!$A$3:$A$5001,"&lt;="&amp;$D$7),"—"))</f>
        <v>—</v>
      </c>
      <c r="H107" s="32" t="str">
        <f>IF(H$100="","",IF(Config!$J$41&lt;&gt;"Não",SUMIFS(BD!$I$3:$I$5001,BD!$B$3:$B$5001,H$100,BD!$A$3:$A$5001,"&gt;="&amp;$C$7,BD!$A$3:$A$5001,"&lt;="&amp;$D$7),"—"))</f>
        <v>—</v>
      </c>
      <c r="I107" s="32" t="str">
        <f>IF(I$100="","",IF(Config!$J$42&lt;&gt;"Não",SUMIFS(BD!$I$3:$I$5001,BD!$B$3:$B$5001,I$100,BD!$A$3:$A$5001,"&gt;="&amp;$C$7,BD!$A$3:$A$5001,"&lt;="&amp;$D$7),"—"))</f>
        <v>—</v>
      </c>
      <c r="J107" s="32" t="str">
        <f>IF(J$100="","",IF(Config!$J$43&lt;&gt;"Não",SUMIFS(BD!$I$3:$I$5001,BD!$B$3:$B$5001,J$100,BD!$A$3:$A$5001,"&gt;="&amp;$C$7,BD!$A$3:$A$5001,"&lt;="&amp;$D$7),"—"))</f>
        <v>—</v>
      </c>
      <c r="K107" s="32" t="str">
        <f>IF(K$100="","",IF(Config!$J$44&lt;&gt;"Não",SUMIFS(BD!$I$3:$I$5001,BD!$B$3:$B$5001,K$100,BD!$A$3:$A$5001,"&gt;="&amp;$C$7,BD!$A$3:$A$5001,"&lt;="&amp;$D$7),"—"))</f>
        <v>—</v>
      </c>
      <c r="L107" s="32" t="str">
        <f>IF(L$100="","",IF(Config!$J$45&lt;&gt;"Não",SUMIFS(BD!$I$3:$I$5001,BD!$B$3:$B$5001,L$100,BD!$A$3:$A$5001,"&gt;="&amp;$C$7,BD!$A$3:$A$5001,"&lt;="&amp;$D$7),"—"))</f>
        <v/>
      </c>
      <c r="M107" s="32" t="str">
        <f>IF(M$100="","",IF(Config!$J$46&lt;&gt;"Não",SUMIFS(BD!$I$3:$I$5001,BD!$B$3:$B$5001,M$100,BD!$A$3:$A$5001,"&gt;="&amp;$C$7,BD!$A$3:$A$5001,"&lt;="&amp;$D$7),"—"))</f>
        <v/>
      </c>
      <c r="N107" s="32" t="str">
        <f>IF(N$100="","",IF(Config!$J$47&lt;&gt;"Não",SUMIFS(BD!$I$3:$I$5001,BD!$B$3:$B$5001,N$100,BD!$A$3:$A$5001,"&gt;="&amp;$C$7,BD!$A$3:$A$5001,"&lt;="&amp;$D$7),"—"))</f>
        <v/>
      </c>
      <c r="O107" s="32" t="str">
        <f>IF(O$100="","",IF(Config!$J$48&lt;&gt;"Não",SUMIFS(BD!$I$3:$I$5001,BD!$B$3:$B$5001,O$100,BD!$A$3:$A$5001,"&gt;="&amp;$C$7,BD!$A$3:$A$5001,"&lt;="&amp;$D$7),"—"))</f>
        <v/>
      </c>
      <c r="P107" s="32" t="str">
        <f>IF(P$100="","",IF(Config!$J$49&lt;&gt;"Não",SUMIFS(BD!$I$3:$I$5001,BD!$B$3:$B$5001,P$100,BD!$A$3:$A$5001,"&gt;="&amp;$C$7,BD!$A$3:$A$5001,"&lt;="&amp;$D$7),"—"))</f>
        <v/>
      </c>
      <c r="Q107" s="32" t="str">
        <f>IF(Q$100="","",IF(Config!$J$50&lt;&gt;"Não",SUMIFS(BD!$I$3:$I$5001,BD!$B$3:$B$5001,Q$100,BD!$A$3:$A$5001,"&gt;="&amp;$C$7,BD!$A$3:$A$5001,"&lt;="&amp;$D$7),"—"))</f>
        <v/>
      </c>
      <c r="R107" s="32" t="str">
        <f>IF(R$100="","",IF(Config!$J$51&lt;&gt;"Não",SUMIFS(BD!$I$3:$I$5001,BD!$B$3:$B$5001,R$100,BD!$A$3:$A$5001,"&gt;="&amp;$C$7,BD!$A$3:$A$5001,"&lt;="&amp;$D$7),"—"))</f>
        <v/>
      </c>
      <c r="S107" s="32" t="str">
        <f>IF(S$100="","",IF(Config!$J$52&lt;&gt;"Não",SUMIFS(BD!$I$3:$I$5001,BD!$B$3:$B$5001,S$100,BD!$A$3:$A$5001,"&gt;="&amp;$C$7,BD!$A$3:$A$5001,"&lt;="&amp;$D$7),"—"))</f>
        <v/>
      </c>
      <c r="T107" s="32" t="str">
        <f>IF(T$100="","",IF(Config!$J$53&lt;&gt;"Não",SUMIFS(BD!$I$3:$I$5001,BD!$B$3:$B$5001,T$100,BD!$A$3:$A$5001,"&gt;="&amp;$C$7,BD!$A$3:$A$5001,"&lt;="&amp;$D$7),"—"))</f>
        <v/>
      </c>
      <c r="U107" s="32" t="str">
        <f>IF(U$100="","",IF(Config!$J$54&lt;&gt;"Não",SUMIFS(BD!$I$3:$I$5001,BD!$B$3:$B$5001,U$100,BD!$A$3:$A$5001,"&gt;="&amp;$C$7,BD!$A$3:$A$5001,"&lt;="&amp;$D$7),"—"))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IN · Caixas Fechadas</t>
        </is>
      </c>
      <c r="B108" s="32" t="str">
        <f>IF(B$100="","",IF(Config!$K$35&lt;&gt;"Não",SUMIFS(BD!$J$3:$J$5001,BD!$B$3:$B$5001,B$100,BD!$A$3:$A$5001,"&gt;="&amp;$C$7,BD!$A$3:$A$5001,"&lt;="&amp;$D$7),"—"))</f>
        <v>—</v>
      </c>
      <c r="C108" s="32" t="str">
        <f>IF(C$100="","",IF(Config!$K$36&lt;&gt;"Não",SUMIFS(BD!$J$3:$J$5001,BD!$B$3:$B$5001,C$100,BD!$A$3:$A$5001,"&gt;="&amp;$C$7,BD!$A$3:$A$5001,"&lt;="&amp;$D$7),"—"))</f>
        <v>—</v>
      </c>
      <c r="D108" s="32" t="str">
        <f>IF(D$100="","",IF(Config!$K$37&lt;&gt;"Não",SUMIFS(BD!$J$3:$J$5001,BD!$B$3:$B$5001,D$100,BD!$A$3:$A$5001,"&gt;="&amp;$C$7,BD!$A$3:$A$5001,"&lt;="&amp;$D$7),"—"))</f>
        <v>—</v>
      </c>
      <c r="E108" s="32">
        <f>IF(E$100="","",IF(Config!$K$38&lt;&gt;"Não",SUMIFS(BD!$J$3:$J$5001,BD!$B$3:$B$5001,E$100,BD!$A$3:$A$5001,"&gt;="&amp;$C$7,BD!$A$3:$A$5001,"&lt;="&amp;$D$7),"—"))</f>
        <v>0</v>
      </c>
      <c r="F108" s="32" t="str">
        <f>IF(F$100="","",IF(Config!$K$39&lt;&gt;"Não",SUMIFS(BD!$J$3:$J$5001,BD!$B$3:$B$5001,F$100,BD!$A$3:$A$5001,"&gt;="&amp;$C$7,BD!$A$3:$A$5001,"&lt;="&amp;$D$7),"—"))</f>
        <v>—</v>
      </c>
      <c r="G108" s="32" t="str">
        <f>IF(G$100="","",IF(Config!$K$40&lt;&gt;"Não",SUMIFS(BD!$J$3:$J$5001,BD!$B$3:$B$5001,G$100,BD!$A$3:$A$5001,"&gt;="&amp;$C$7,BD!$A$3:$A$5001,"&lt;="&amp;$D$7),"—"))</f>
        <v>—</v>
      </c>
      <c r="H108" s="32" t="str">
        <f>IF(H$100="","",IF(Config!$K$41&lt;&gt;"Não",SUMIFS(BD!$J$3:$J$5001,BD!$B$3:$B$5001,H$100,BD!$A$3:$A$5001,"&gt;="&amp;$C$7,BD!$A$3:$A$5001,"&lt;="&amp;$D$7),"—"))</f>
        <v>—</v>
      </c>
      <c r="I108" s="32" t="str">
        <f>IF(I$100="","",IF(Config!$K$42&lt;&gt;"Não",SUMIFS(BD!$J$3:$J$5001,BD!$B$3:$B$5001,I$100,BD!$A$3:$A$5001,"&gt;="&amp;$C$7,BD!$A$3:$A$5001,"&lt;="&amp;$D$7),"—"))</f>
        <v>—</v>
      </c>
      <c r="J108" s="32" t="str">
        <f>IF(J$100="","",IF(Config!$K$43&lt;&gt;"Não",SUMIFS(BD!$J$3:$J$5001,BD!$B$3:$B$5001,J$100,BD!$A$3:$A$5001,"&gt;="&amp;$C$7,BD!$A$3:$A$5001,"&lt;="&amp;$D$7),"—"))</f>
        <v>—</v>
      </c>
      <c r="K108" s="32" t="str">
        <f>IF(K$100="","",IF(Config!$K$44&lt;&gt;"Não",SUMIFS(BD!$J$3:$J$5001,BD!$B$3:$B$5001,K$100,BD!$A$3:$A$5001,"&gt;="&amp;$C$7,BD!$A$3:$A$5001,"&lt;="&amp;$D$7),"—"))</f>
        <v>—</v>
      </c>
      <c r="L108" s="32" t="str">
        <f>IF(L$100="","",IF(Config!$K$45&lt;&gt;"Não",SUMIFS(BD!$J$3:$J$5001,BD!$B$3:$B$5001,L$100,BD!$A$3:$A$5001,"&gt;="&amp;$C$7,BD!$A$3:$A$5001,"&lt;="&amp;$D$7),"—"))</f>
        <v/>
      </c>
      <c r="M108" s="32" t="str">
        <f>IF(M$100="","",IF(Config!$K$46&lt;&gt;"Não",SUMIFS(BD!$J$3:$J$5001,BD!$B$3:$B$5001,M$100,BD!$A$3:$A$5001,"&gt;="&amp;$C$7,BD!$A$3:$A$5001,"&lt;="&amp;$D$7),"—"))</f>
        <v/>
      </c>
      <c r="N108" s="32" t="str">
        <f>IF(N$100="","",IF(Config!$K$47&lt;&gt;"Não",SUMIFS(BD!$J$3:$J$5001,BD!$B$3:$B$5001,N$100,BD!$A$3:$A$5001,"&gt;="&amp;$C$7,BD!$A$3:$A$5001,"&lt;="&amp;$D$7),"—"))</f>
        <v/>
      </c>
      <c r="O108" s="32" t="str">
        <f>IF(O$100="","",IF(Config!$K$48&lt;&gt;"Não",SUMIFS(BD!$J$3:$J$5001,BD!$B$3:$B$5001,O$100,BD!$A$3:$A$5001,"&gt;="&amp;$C$7,BD!$A$3:$A$5001,"&lt;="&amp;$D$7),"—"))</f>
        <v/>
      </c>
      <c r="P108" s="32" t="str">
        <f>IF(P$100="","",IF(Config!$K$49&lt;&gt;"Não",SUMIFS(BD!$J$3:$J$5001,BD!$B$3:$B$5001,P$100,BD!$A$3:$A$5001,"&gt;="&amp;$C$7,BD!$A$3:$A$5001,"&lt;="&amp;$D$7),"—"))</f>
        <v/>
      </c>
      <c r="Q108" s="32" t="str">
        <f>IF(Q$100="","",IF(Config!$K$50&lt;&gt;"Não",SUMIFS(BD!$J$3:$J$5001,BD!$B$3:$B$5001,Q$100,BD!$A$3:$A$5001,"&gt;="&amp;$C$7,BD!$A$3:$A$5001,"&lt;="&amp;$D$7),"—"))</f>
        <v/>
      </c>
      <c r="R108" s="32" t="str">
        <f>IF(R$100="","",IF(Config!$K$51&lt;&gt;"Não",SUMIFS(BD!$J$3:$J$5001,BD!$B$3:$B$5001,R$100,BD!$A$3:$A$5001,"&gt;="&amp;$C$7,BD!$A$3:$A$5001,"&lt;="&amp;$D$7),"—"))</f>
        <v/>
      </c>
      <c r="S108" s="32" t="str">
        <f>IF(S$100="","",IF(Config!$K$52&lt;&gt;"Não",SUMIFS(BD!$J$3:$J$5001,BD!$B$3:$B$5001,S$100,BD!$A$3:$A$5001,"&gt;="&amp;$C$7,BD!$A$3:$A$5001,"&lt;="&amp;$D$7),"—"))</f>
        <v/>
      </c>
      <c r="T108" s="32" t="str">
        <f>IF(T$100="","",IF(Config!$K$53&lt;&gt;"Não",SUMIFS(BD!$J$3:$J$5001,BD!$B$3:$B$5001,T$100,BD!$A$3:$A$5001,"&gt;="&amp;$C$7,BD!$A$3:$A$5001,"&lt;="&amp;$D$7),"—"))</f>
        <v/>
      </c>
      <c r="U108" s="32" t="str">
        <f>IF(U$100="","",IF(Config!$K$54&lt;&gt;"Não",SUMIFS(BD!$J$3:$J$5001,BD!$B$3:$B$5001,U$100,BD!$A$3:$A$5001,"&gt;="&amp;$C$7,BD!$A$3:$A$5001,"&lt;="&amp;$D$7),"—"))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IN · Caixas Mistas Recebidas</t>
        </is>
      </c>
      <c r="B109" s="32" t="str">
        <f>IF(B$100="","",IF(Config!$L$35&lt;&gt;"Não",SUMIFS(BD!$K$3:$K$5001,BD!$B$3:$B$5001,B$100,BD!$A$3:$A$5001,"&gt;="&amp;$C$7,BD!$A$3:$A$5001,"&lt;="&amp;$D$7),"—"))</f>
        <v>—</v>
      </c>
      <c r="C109" s="32" t="str">
        <f>IF(C$100="","",IF(Config!$L$36&lt;&gt;"Não",SUMIFS(BD!$K$3:$K$5001,BD!$B$3:$B$5001,C$100,BD!$A$3:$A$5001,"&gt;="&amp;$C$7,BD!$A$3:$A$5001,"&lt;="&amp;$D$7),"—"))</f>
        <v>—</v>
      </c>
      <c r="D109" s="32" t="str">
        <f>IF(D$100="","",IF(Config!$L$37&lt;&gt;"Não",SUMIFS(BD!$K$3:$K$5001,BD!$B$3:$B$5001,D$100,BD!$A$3:$A$5001,"&gt;="&amp;$C$7,BD!$A$3:$A$5001,"&lt;="&amp;$D$7),"—"))</f>
        <v>—</v>
      </c>
      <c r="E109" s="32">
        <f>IF(E$100="","",IF(Config!$L$38&lt;&gt;"Não",SUMIFS(BD!$K$3:$K$5001,BD!$B$3:$B$5001,E$100,BD!$A$3:$A$5001,"&gt;="&amp;$C$7,BD!$A$3:$A$5001,"&lt;="&amp;$D$7),"—"))</f>
        <v>0</v>
      </c>
      <c r="F109" s="32" t="str">
        <f>IF(F$100="","",IF(Config!$L$39&lt;&gt;"Não",SUMIFS(BD!$K$3:$K$5001,BD!$B$3:$B$5001,F$100,BD!$A$3:$A$5001,"&gt;="&amp;$C$7,BD!$A$3:$A$5001,"&lt;="&amp;$D$7),"—"))</f>
        <v>—</v>
      </c>
      <c r="G109" s="32" t="str">
        <f>IF(G$100="","",IF(Config!$L$40&lt;&gt;"Não",SUMIFS(BD!$K$3:$K$5001,BD!$B$3:$B$5001,G$100,BD!$A$3:$A$5001,"&gt;="&amp;$C$7,BD!$A$3:$A$5001,"&lt;="&amp;$D$7),"—"))</f>
        <v>—</v>
      </c>
      <c r="H109" s="32" t="str">
        <f>IF(H$100="","",IF(Config!$L$41&lt;&gt;"Não",SUMIFS(BD!$K$3:$K$5001,BD!$B$3:$B$5001,H$100,BD!$A$3:$A$5001,"&gt;="&amp;$C$7,BD!$A$3:$A$5001,"&lt;="&amp;$D$7),"—"))</f>
        <v>—</v>
      </c>
      <c r="I109" s="32" t="str">
        <f>IF(I$100="","",IF(Config!$L$42&lt;&gt;"Não",SUMIFS(BD!$K$3:$K$5001,BD!$B$3:$B$5001,I$100,BD!$A$3:$A$5001,"&gt;="&amp;$C$7,BD!$A$3:$A$5001,"&lt;="&amp;$D$7),"—"))</f>
        <v>—</v>
      </c>
      <c r="J109" s="32" t="str">
        <f>IF(J$100="","",IF(Config!$L$43&lt;&gt;"Não",SUMIFS(BD!$K$3:$K$5001,BD!$B$3:$B$5001,J$100,BD!$A$3:$A$5001,"&gt;="&amp;$C$7,BD!$A$3:$A$5001,"&lt;="&amp;$D$7),"—"))</f>
        <v>—</v>
      </c>
      <c r="K109" s="32" t="str">
        <f>IF(K$100="","",IF(Config!$L$44&lt;&gt;"Não",SUMIFS(BD!$K$3:$K$5001,BD!$B$3:$B$5001,K$100,BD!$A$3:$A$5001,"&gt;="&amp;$C$7,BD!$A$3:$A$5001,"&lt;="&amp;$D$7),"—"))</f>
        <v>—</v>
      </c>
      <c r="L109" s="32" t="str">
        <f>IF(L$100="","",IF(Config!$L$45&lt;&gt;"Não",SUMIFS(BD!$K$3:$K$5001,BD!$B$3:$B$5001,L$100,BD!$A$3:$A$5001,"&gt;="&amp;$C$7,BD!$A$3:$A$5001,"&lt;="&amp;$D$7),"—"))</f>
        <v/>
      </c>
      <c r="M109" s="32" t="str">
        <f>IF(M$100="","",IF(Config!$L$46&lt;&gt;"Não",SUMIFS(BD!$K$3:$K$5001,BD!$B$3:$B$5001,M$100,BD!$A$3:$A$5001,"&gt;="&amp;$C$7,BD!$A$3:$A$5001,"&lt;="&amp;$D$7),"—"))</f>
        <v/>
      </c>
      <c r="N109" s="32" t="str">
        <f>IF(N$100="","",IF(Config!$L$47&lt;&gt;"Não",SUMIFS(BD!$K$3:$K$5001,BD!$B$3:$B$5001,N$100,BD!$A$3:$A$5001,"&gt;="&amp;$C$7,BD!$A$3:$A$5001,"&lt;="&amp;$D$7),"—"))</f>
        <v/>
      </c>
      <c r="O109" s="32" t="str">
        <f>IF(O$100="","",IF(Config!$L$48&lt;&gt;"Não",SUMIFS(BD!$K$3:$K$5001,BD!$B$3:$B$5001,O$100,BD!$A$3:$A$5001,"&gt;="&amp;$C$7,BD!$A$3:$A$5001,"&lt;="&amp;$D$7),"—"))</f>
        <v/>
      </c>
      <c r="P109" s="32" t="str">
        <f>IF(P$100="","",IF(Config!$L$49&lt;&gt;"Não",SUMIFS(BD!$K$3:$K$5001,BD!$B$3:$B$5001,P$100,BD!$A$3:$A$5001,"&gt;="&amp;$C$7,BD!$A$3:$A$5001,"&lt;="&amp;$D$7),"—"))</f>
        <v/>
      </c>
      <c r="Q109" s="32" t="str">
        <f>IF(Q$100="","",IF(Config!$L$50&lt;&gt;"Não",SUMIFS(BD!$K$3:$K$5001,BD!$B$3:$B$5001,Q$100,BD!$A$3:$A$5001,"&gt;="&amp;$C$7,BD!$A$3:$A$5001,"&lt;="&amp;$D$7),"—"))</f>
        <v/>
      </c>
      <c r="R109" s="32" t="str">
        <f>IF(R$100="","",IF(Config!$L$51&lt;&gt;"Não",SUMIFS(BD!$K$3:$K$5001,BD!$B$3:$B$5001,R$100,BD!$A$3:$A$5001,"&gt;="&amp;$C$7,BD!$A$3:$A$5001,"&lt;="&amp;$D$7),"—"))</f>
        <v/>
      </c>
      <c r="S109" s="32" t="str">
        <f>IF(S$100="","",IF(Config!$L$52&lt;&gt;"Não",SUMIFS(BD!$K$3:$K$5001,BD!$B$3:$B$5001,S$100,BD!$A$3:$A$5001,"&gt;="&amp;$C$7,BD!$A$3:$A$5001,"&lt;="&amp;$D$7),"—"))</f>
        <v/>
      </c>
      <c r="T109" s="32" t="str">
        <f>IF(T$100="","",IF(Config!$L$53&lt;&gt;"Não",SUMIFS(BD!$K$3:$K$5001,BD!$B$3:$B$5001,T$100,BD!$A$3:$A$5001,"&gt;="&amp;$C$7,BD!$A$3:$A$5001,"&lt;="&amp;$D$7),"—"))</f>
        <v/>
      </c>
      <c r="U109" s="32" t="str">
        <f>IF(U$100="","",IF(Config!$L$54&lt;&gt;"Não",SUMIFS(BD!$K$3:$K$5001,BD!$B$3:$B$5001,U$100,BD!$A$3:$A$5001,"&gt;="&amp;$C$7,BD!$A$3:$A$5001,"&lt;="&amp;$D$7),"—"))</f>
        <v/>
      </c>
      <c r="V109" s="62">
        <f>SUM(B109:U109)</f>
        <v>0</v>
      </c>
    </row>
    <row r="110">
      <c r="A110" s="29" t="inlineStr">
        <is>
          <t xml:space="preserve">OUT · Veículos Expedidos</t>
        </is>
      </c>
      <c r="B110" s="32">
        <f>IF(B$100="","",IF(Config!$M$35&lt;&gt;"Não",SUMIFS(BD!$L$3:$L$5001,BD!$B$3:$B$5001,B$100,BD!$A$3:$A$5001,"&gt;="&amp;$C$7,BD!$A$3:$A$5001,"&lt;="&amp;$D$7),"—"))</f>
        <v>0</v>
      </c>
      <c r="C110" s="32">
        <f>IF(C$100="","",IF(Config!$M$36&lt;&gt;"Não",SUMIFS(BD!$L$3:$L$5001,BD!$B$3:$B$5001,C$100,BD!$A$3:$A$5001,"&gt;="&amp;$C$7,BD!$A$3:$A$5001,"&lt;="&amp;$D$7),"—"))</f>
        <v>0</v>
      </c>
      <c r="D110" s="32">
        <f>IF(D$100="","",IF(Config!$M$37&lt;&gt;"Não",SUMIFS(BD!$L$3:$L$5001,BD!$B$3:$B$5001,D$100,BD!$A$3:$A$5001,"&gt;="&amp;$C$7,BD!$A$3:$A$5001,"&lt;="&amp;$D$7),"—"))</f>
        <v>0</v>
      </c>
      <c r="E110" s="32">
        <f>IF(E$100="","",IF(Config!$M$38&lt;&gt;"Não",SUMIFS(BD!$L$3:$L$5001,BD!$B$3:$B$5001,E$100,BD!$A$3:$A$5001,"&gt;="&amp;$C$7,BD!$A$3:$A$5001,"&lt;="&amp;$D$7),"—"))</f>
        <v>0</v>
      </c>
      <c r="F110" s="32">
        <f>IF(F$100="","",IF(Config!$M$39&lt;&gt;"Não",SUMIFS(BD!$L$3:$L$5001,BD!$B$3:$B$5001,F$100,BD!$A$3:$A$5001,"&gt;="&amp;$C$7,BD!$A$3:$A$5001,"&lt;="&amp;$D$7),"—"))</f>
        <v>0</v>
      </c>
      <c r="G110" s="32">
        <f>IF(G$100="","",IF(Config!$M$40&lt;&gt;"Não",SUMIFS(BD!$L$3:$L$5001,BD!$B$3:$B$5001,G$100,BD!$A$3:$A$5001,"&gt;="&amp;$C$7,BD!$A$3:$A$5001,"&lt;="&amp;$D$7),"—"))</f>
        <v>0</v>
      </c>
      <c r="H110" s="32">
        <f>IF(H$100="","",IF(Config!$M$41&lt;&gt;"Não",SUMIFS(BD!$L$3:$L$5001,BD!$B$3:$B$5001,H$100,BD!$A$3:$A$5001,"&gt;="&amp;$C$7,BD!$A$3:$A$5001,"&lt;="&amp;$D$7),"—"))</f>
        <v>0</v>
      </c>
      <c r="I110" s="32">
        <f>IF(I$100="","",IF(Config!$M$42&lt;&gt;"Não",SUMIFS(BD!$L$3:$L$5001,BD!$B$3:$B$5001,I$100,BD!$A$3:$A$5001,"&gt;="&amp;$C$7,BD!$A$3:$A$5001,"&lt;="&amp;$D$7),"—"))</f>
        <v>0</v>
      </c>
      <c r="J110" s="32">
        <f>IF(J$100="","",IF(Config!$M$43&lt;&gt;"Não",SUMIFS(BD!$L$3:$L$5001,BD!$B$3:$B$5001,J$100,BD!$A$3:$A$5001,"&gt;="&amp;$C$7,BD!$A$3:$A$5001,"&lt;="&amp;$D$7),"—"))</f>
        <v>0</v>
      </c>
      <c r="K110" s="32">
        <f>IF(K$100="","",IF(Config!$M$44&lt;&gt;"Não",SUMIFS(BD!$L$3:$L$5001,BD!$B$3:$B$5001,K$100,BD!$A$3:$A$5001,"&gt;="&amp;$C$7,BD!$A$3:$A$5001,"&lt;="&amp;$D$7),"—"))</f>
        <v>0</v>
      </c>
      <c r="L110" s="32" t="str">
        <f>IF(L$100="","",IF(Config!$M$45&lt;&gt;"Não",SUMIFS(BD!$L$3:$L$5001,BD!$B$3:$B$5001,L$100,BD!$A$3:$A$5001,"&gt;="&amp;$C$7,BD!$A$3:$A$5001,"&lt;="&amp;$D$7),"—"))</f>
        <v/>
      </c>
      <c r="M110" s="32" t="str">
        <f>IF(M$100="","",IF(Config!$M$46&lt;&gt;"Não",SUMIFS(BD!$L$3:$L$5001,BD!$B$3:$B$5001,M$100,BD!$A$3:$A$5001,"&gt;="&amp;$C$7,BD!$A$3:$A$5001,"&lt;="&amp;$D$7),"—"))</f>
        <v/>
      </c>
      <c r="N110" s="32" t="str">
        <f>IF(N$100="","",IF(Config!$M$47&lt;&gt;"Não",SUMIFS(BD!$L$3:$L$5001,BD!$B$3:$B$5001,N$100,BD!$A$3:$A$5001,"&gt;="&amp;$C$7,BD!$A$3:$A$5001,"&lt;="&amp;$D$7),"—"))</f>
        <v/>
      </c>
      <c r="O110" s="32" t="str">
        <f>IF(O$100="","",IF(Config!$M$48&lt;&gt;"Não",SUMIFS(BD!$L$3:$L$5001,BD!$B$3:$B$5001,O$100,BD!$A$3:$A$5001,"&gt;="&amp;$C$7,BD!$A$3:$A$5001,"&lt;="&amp;$D$7),"—"))</f>
        <v/>
      </c>
      <c r="P110" s="32" t="str">
        <f>IF(P$100="","",IF(Config!$M$49&lt;&gt;"Não",SUMIFS(BD!$L$3:$L$5001,BD!$B$3:$B$5001,P$100,BD!$A$3:$A$5001,"&gt;="&amp;$C$7,BD!$A$3:$A$5001,"&lt;="&amp;$D$7),"—"))</f>
        <v/>
      </c>
      <c r="Q110" s="32" t="str">
        <f>IF(Q$100="","",IF(Config!$M$50&lt;&gt;"Não",SUMIFS(BD!$L$3:$L$5001,BD!$B$3:$B$5001,Q$100,BD!$A$3:$A$5001,"&gt;="&amp;$C$7,BD!$A$3:$A$5001,"&lt;="&amp;$D$7),"—"))</f>
        <v/>
      </c>
      <c r="R110" s="32" t="str">
        <f>IF(R$100="","",IF(Config!$M$51&lt;&gt;"Não",SUMIFS(BD!$L$3:$L$5001,BD!$B$3:$B$5001,R$100,BD!$A$3:$A$5001,"&gt;="&amp;$C$7,BD!$A$3:$A$5001,"&lt;="&amp;$D$7),"—"))</f>
        <v/>
      </c>
      <c r="S110" s="32" t="str">
        <f>IF(S$100="","",IF(Config!$M$52&lt;&gt;"Não",SUMIFS(BD!$L$3:$L$5001,BD!$B$3:$B$5001,S$100,BD!$A$3:$A$5001,"&gt;="&amp;$C$7,BD!$A$3:$A$5001,"&lt;="&amp;$D$7),"—"))</f>
        <v/>
      </c>
      <c r="T110" s="32" t="str">
        <f>IF(T$100="","",IF(Config!$M$53&lt;&gt;"Não",SUMIFS(BD!$L$3:$L$5001,BD!$B$3:$B$5001,T$100,BD!$A$3:$A$5001,"&gt;="&amp;$C$7,BD!$A$3:$A$5001,"&lt;="&amp;$D$7),"—"))</f>
        <v/>
      </c>
      <c r="U110" s="32" t="str">
        <f>IF(U$100="","",IF(Config!$M$54&lt;&gt;"Não",SUMIFS(BD!$L$3:$L$5001,BD!$B$3:$B$5001,U$100,BD!$A$3:$A$5001,"&gt;="&amp;$C$7,BD!$A$3:$A$5001,"&lt;="&amp;$D$7),"—"))</f>
        <v/>
      </c>
      <c r="V110" s="62">
        <f>SUM(B110:U110)</f>
        <v>0</v>
      </c>
    </row>
    <row r="111">
      <c r="A111" s="29" t="inlineStr">
        <is>
          <t xml:space="preserve">OUT · Pedidos Expedidos</t>
        </is>
      </c>
      <c r="B111" s="32" t="str">
        <f>IF(B$100="","",IF(Config!$N$35&lt;&gt;"Não",SUMIFS(BD!$M$3:$M$5001,BD!$B$3:$B$5001,B$100,BD!$A$3:$A$5001,"&gt;="&amp;$C$7,BD!$A$3:$A$5001,"&lt;="&amp;$D$7),"—"))</f>
        <v>—</v>
      </c>
      <c r="C111" s="32" t="str">
        <f>IF(C$100="","",IF(Config!$N$36&lt;&gt;"Não",SUMIFS(BD!$M$3:$M$5001,BD!$B$3:$B$5001,C$100,BD!$A$3:$A$5001,"&gt;="&amp;$C$7,BD!$A$3:$A$5001,"&lt;="&amp;$D$7),"—"))</f>
        <v>—</v>
      </c>
      <c r="D111" s="32">
        <f>IF(D$100="","",IF(Config!$N$37&lt;&gt;"Não",SUMIFS(BD!$M$3:$M$5001,BD!$B$3:$B$5001,D$100,BD!$A$3:$A$5001,"&gt;="&amp;$C$7,BD!$A$3:$A$5001,"&lt;="&amp;$D$7),"—"))</f>
        <v>0</v>
      </c>
      <c r="E111" s="32" t="str">
        <f>IF(E$100="","",IF(Config!$N$38&lt;&gt;"Não",SUMIFS(BD!$M$3:$M$5001,BD!$B$3:$B$5001,E$100,BD!$A$3:$A$5001,"&gt;="&amp;$C$7,BD!$A$3:$A$5001,"&lt;="&amp;$D$7),"—"))</f>
        <v>—</v>
      </c>
      <c r="F111" s="32" t="str">
        <f>IF(F$100="","",IF(Config!$N$39&lt;&gt;"Não",SUMIFS(BD!$M$3:$M$5001,BD!$B$3:$B$5001,F$100,BD!$A$3:$A$5001,"&gt;="&amp;$C$7,BD!$A$3:$A$5001,"&lt;="&amp;$D$7),"—"))</f>
        <v>—</v>
      </c>
      <c r="G111" s="32" t="str">
        <f>IF(G$100="","",IF(Config!$N$40&lt;&gt;"Não",SUMIFS(BD!$M$3:$M$5001,BD!$B$3:$B$5001,G$100,BD!$A$3:$A$5001,"&gt;="&amp;$C$7,BD!$A$3:$A$5001,"&lt;="&amp;$D$7),"—"))</f>
        <v>—</v>
      </c>
      <c r="H111" s="32" t="str">
        <f>IF(H$100="","",IF(Config!$N$41&lt;&gt;"Não",SUMIFS(BD!$M$3:$M$5001,BD!$B$3:$B$5001,H$100,BD!$A$3:$A$5001,"&gt;="&amp;$C$7,BD!$A$3:$A$5001,"&lt;="&amp;$D$7),"—"))</f>
        <v>—</v>
      </c>
      <c r="I111" s="32" t="str">
        <f>IF(I$100="","",IF(Config!$N$42&lt;&gt;"Não",SUMIFS(BD!$M$3:$M$5001,BD!$B$3:$B$5001,I$100,BD!$A$3:$A$5001,"&gt;="&amp;$C$7,BD!$A$3:$A$5001,"&lt;="&amp;$D$7),"—"))</f>
        <v>—</v>
      </c>
      <c r="J111" s="32" t="str">
        <f>IF(J$100="","",IF(Config!$N$43&lt;&gt;"Não",SUMIFS(BD!$M$3:$M$5001,BD!$B$3:$B$5001,J$100,BD!$A$3:$A$5001,"&gt;="&amp;$C$7,BD!$A$3:$A$5001,"&lt;="&amp;$D$7),"—"))</f>
        <v>—</v>
      </c>
      <c r="K111" s="32" t="str">
        <f>IF(K$100="","",IF(Config!$N$44&lt;&gt;"Não",SUMIFS(BD!$M$3:$M$5001,BD!$B$3:$B$5001,K$100,BD!$A$3:$A$5001,"&gt;="&amp;$C$7,BD!$A$3:$A$5001,"&lt;="&amp;$D$7),"—"))</f>
        <v>—</v>
      </c>
      <c r="L111" s="32" t="str">
        <f>IF(L$100="","",IF(Config!$N$45&lt;&gt;"Não",SUMIFS(BD!$M$3:$M$5001,BD!$B$3:$B$5001,L$100,BD!$A$3:$A$5001,"&gt;="&amp;$C$7,BD!$A$3:$A$5001,"&lt;="&amp;$D$7),"—"))</f>
        <v/>
      </c>
      <c r="M111" s="32" t="str">
        <f>IF(M$100="","",IF(Config!$N$46&lt;&gt;"Não",SUMIFS(BD!$M$3:$M$5001,BD!$B$3:$B$5001,M$100,BD!$A$3:$A$5001,"&gt;="&amp;$C$7,BD!$A$3:$A$5001,"&lt;="&amp;$D$7),"—"))</f>
        <v/>
      </c>
      <c r="N111" s="32" t="str">
        <f>IF(N$100="","",IF(Config!$N$47&lt;&gt;"Não",SUMIFS(BD!$M$3:$M$5001,BD!$B$3:$B$5001,N$100,BD!$A$3:$A$5001,"&gt;="&amp;$C$7,BD!$A$3:$A$5001,"&lt;="&amp;$D$7),"—"))</f>
        <v/>
      </c>
      <c r="O111" s="32" t="str">
        <f>IF(O$100="","",IF(Config!$N$48&lt;&gt;"Não",SUMIFS(BD!$M$3:$M$5001,BD!$B$3:$B$5001,O$100,BD!$A$3:$A$5001,"&gt;="&amp;$C$7,BD!$A$3:$A$5001,"&lt;="&amp;$D$7),"—"))</f>
        <v/>
      </c>
      <c r="P111" s="32" t="str">
        <f>IF(P$100="","",IF(Config!$N$49&lt;&gt;"Não",SUMIFS(BD!$M$3:$M$5001,BD!$B$3:$B$5001,P$100,BD!$A$3:$A$5001,"&gt;="&amp;$C$7,BD!$A$3:$A$5001,"&lt;="&amp;$D$7),"—"))</f>
        <v/>
      </c>
      <c r="Q111" s="32" t="str">
        <f>IF(Q$100="","",IF(Config!$N$50&lt;&gt;"Não",SUMIFS(BD!$M$3:$M$5001,BD!$B$3:$B$5001,Q$100,BD!$A$3:$A$5001,"&gt;="&amp;$C$7,BD!$A$3:$A$5001,"&lt;="&amp;$D$7),"—"))</f>
        <v/>
      </c>
      <c r="R111" s="32" t="str">
        <f>IF(R$100="","",IF(Config!$N$51&lt;&gt;"Não",SUMIFS(BD!$M$3:$M$5001,BD!$B$3:$B$5001,R$100,BD!$A$3:$A$5001,"&gt;="&amp;$C$7,BD!$A$3:$A$5001,"&lt;="&amp;$D$7),"—"))</f>
        <v/>
      </c>
      <c r="S111" s="32" t="str">
        <f>IF(S$100="","",IF(Config!$N$52&lt;&gt;"Não",SUMIFS(BD!$M$3:$M$5001,BD!$B$3:$B$5001,S$100,BD!$A$3:$A$5001,"&gt;="&amp;$C$7,BD!$A$3:$A$5001,"&lt;="&amp;$D$7),"—"))</f>
        <v/>
      </c>
      <c r="T111" s="32" t="str">
        <f>IF(T$100="","",IF(Config!$N$53&lt;&gt;"Não",SUMIFS(BD!$M$3:$M$5001,BD!$B$3:$B$5001,T$100,BD!$A$3:$A$5001,"&gt;="&amp;$C$7,BD!$A$3:$A$5001,"&lt;="&amp;$D$7),"—"))</f>
        <v/>
      </c>
      <c r="U111" s="32" t="str">
        <f>IF(U$100="","",IF(Config!$N$54&lt;&gt;"Não",SUMIFS(BD!$M$3:$M$5001,BD!$B$3:$B$5001,U$100,BD!$A$3:$A$5001,"&gt;="&amp;$C$7,BD!$A$3:$A$5001,"&lt;="&amp;$D$7),"—"))</f>
        <v/>
      </c>
      <c r="V111" s="62">
        <f>SUM(B111:U111)</f>
        <v>0</v>
      </c>
    </row>
    <row r="112">
      <c r="A112" s="29" t="inlineStr">
        <is>
          <t xml:space="preserve">OUT · Pedidos Faturados</t>
        </is>
      </c>
      <c r="B112" s="32" t="str">
        <f>IF(B$100="","",IF(Config!$O$35&lt;&gt;"Não",SUMIFS(BD!$N$3:$N$5001,BD!$B$3:$B$5001,B$100,BD!$A$3:$A$5001,"&gt;="&amp;$C$7,BD!$A$3:$A$5001,"&lt;="&amp;$D$7),"—"))</f>
        <v>—</v>
      </c>
      <c r="C112" s="32" t="str">
        <f>IF(C$100="","",IF(Config!$O$36&lt;&gt;"Não",SUMIFS(BD!$N$3:$N$5001,BD!$B$3:$B$5001,C$100,BD!$A$3:$A$5001,"&gt;="&amp;$C$7,BD!$A$3:$A$5001,"&lt;="&amp;$D$7),"—"))</f>
        <v>—</v>
      </c>
      <c r="D112" s="32" t="str">
        <f>IF(D$100="","",IF(Config!$O$37&lt;&gt;"Não",SUMIFS(BD!$N$3:$N$5001,BD!$B$3:$B$5001,D$100,BD!$A$3:$A$5001,"&gt;="&amp;$C$7,BD!$A$3:$A$5001,"&lt;="&amp;$D$7),"—"))</f>
        <v>—</v>
      </c>
      <c r="E112" s="32">
        <f>IF(E$100="","",IF(Config!$O$38&lt;&gt;"Não",SUMIFS(BD!$N$3:$N$5001,BD!$B$3:$B$5001,E$100,BD!$A$3:$A$5001,"&gt;="&amp;$C$7,BD!$A$3:$A$5001,"&lt;="&amp;$D$7),"—"))</f>
        <v>0</v>
      </c>
      <c r="F112" s="32" t="str">
        <f>IF(F$100="","",IF(Config!$O$39&lt;&gt;"Não",SUMIFS(BD!$N$3:$N$5001,BD!$B$3:$B$5001,F$100,BD!$A$3:$A$5001,"&gt;="&amp;$C$7,BD!$A$3:$A$5001,"&lt;="&amp;$D$7),"—"))</f>
        <v>—</v>
      </c>
      <c r="G112" s="32" t="str">
        <f>IF(G$100="","",IF(Config!$O$40&lt;&gt;"Não",SUMIFS(BD!$N$3:$N$5001,BD!$B$3:$B$5001,G$100,BD!$A$3:$A$5001,"&gt;="&amp;$C$7,BD!$A$3:$A$5001,"&lt;="&amp;$D$7),"—"))</f>
        <v>—</v>
      </c>
      <c r="H112" s="32" t="str">
        <f>IF(H$100="","",IF(Config!$O$41&lt;&gt;"Não",SUMIFS(BD!$N$3:$N$5001,BD!$B$3:$B$5001,H$100,BD!$A$3:$A$5001,"&gt;="&amp;$C$7,BD!$A$3:$A$5001,"&lt;="&amp;$D$7),"—"))</f>
        <v>—</v>
      </c>
      <c r="I112" s="32" t="str">
        <f>IF(I$100="","",IF(Config!$O$42&lt;&gt;"Não",SUMIFS(BD!$N$3:$N$5001,BD!$B$3:$B$5001,I$100,BD!$A$3:$A$5001,"&gt;="&amp;$C$7,BD!$A$3:$A$5001,"&lt;="&amp;$D$7),"—"))</f>
        <v>—</v>
      </c>
      <c r="J112" s="32" t="str">
        <f>IF(J$100="","",IF(Config!$O$43&lt;&gt;"Não",SUMIFS(BD!$N$3:$N$5001,BD!$B$3:$B$5001,J$100,BD!$A$3:$A$5001,"&gt;="&amp;$C$7,BD!$A$3:$A$5001,"&lt;="&amp;$D$7),"—"))</f>
        <v>—</v>
      </c>
      <c r="K112" s="32" t="str">
        <f>IF(K$100="","",IF(Config!$O$44&lt;&gt;"Não",SUMIFS(BD!$N$3:$N$5001,BD!$B$3:$B$5001,K$100,BD!$A$3:$A$5001,"&gt;="&amp;$C$7,BD!$A$3:$A$5001,"&lt;="&amp;$D$7),"—"))</f>
        <v>—</v>
      </c>
      <c r="L112" s="32" t="str">
        <f>IF(L$100="","",IF(Config!$O$45&lt;&gt;"Não",SUMIFS(BD!$N$3:$N$5001,BD!$B$3:$B$5001,L$100,BD!$A$3:$A$5001,"&gt;="&amp;$C$7,BD!$A$3:$A$5001,"&lt;="&amp;$D$7),"—"))</f>
        <v/>
      </c>
      <c r="M112" s="32" t="str">
        <f>IF(M$100="","",IF(Config!$O$46&lt;&gt;"Não",SUMIFS(BD!$N$3:$N$5001,BD!$B$3:$B$5001,M$100,BD!$A$3:$A$5001,"&gt;="&amp;$C$7,BD!$A$3:$A$5001,"&lt;="&amp;$D$7),"—"))</f>
        <v/>
      </c>
      <c r="N112" s="32" t="str">
        <f>IF(N$100="","",IF(Config!$O$47&lt;&gt;"Não",SUMIFS(BD!$N$3:$N$5001,BD!$B$3:$B$5001,N$100,BD!$A$3:$A$5001,"&gt;="&amp;$C$7,BD!$A$3:$A$5001,"&lt;="&amp;$D$7),"—"))</f>
        <v/>
      </c>
      <c r="O112" s="32" t="str">
        <f>IF(O$100="","",IF(Config!$O$48&lt;&gt;"Não",SUMIFS(BD!$N$3:$N$5001,BD!$B$3:$B$5001,O$100,BD!$A$3:$A$5001,"&gt;="&amp;$C$7,BD!$A$3:$A$5001,"&lt;="&amp;$D$7),"—"))</f>
        <v/>
      </c>
      <c r="P112" s="32" t="str">
        <f>IF(P$100="","",IF(Config!$O$49&lt;&gt;"Não",SUMIFS(BD!$N$3:$N$5001,BD!$B$3:$B$5001,P$100,BD!$A$3:$A$5001,"&gt;="&amp;$C$7,BD!$A$3:$A$5001,"&lt;="&amp;$D$7),"—"))</f>
        <v/>
      </c>
      <c r="Q112" s="32" t="str">
        <f>IF(Q$100="","",IF(Config!$O$50&lt;&gt;"Não",SUMIFS(BD!$N$3:$N$5001,BD!$B$3:$B$5001,Q$100,BD!$A$3:$A$5001,"&gt;="&amp;$C$7,BD!$A$3:$A$5001,"&lt;="&amp;$D$7),"—"))</f>
        <v/>
      </c>
      <c r="R112" s="32" t="str">
        <f>IF(R$100="","",IF(Config!$O$51&lt;&gt;"Não",SUMIFS(BD!$N$3:$N$5001,BD!$B$3:$B$5001,R$100,BD!$A$3:$A$5001,"&gt;="&amp;$C$7,BD!$A$3:$A$5001,"&lt;="&amp;$D$7),"—"))</f>
        <v/>
      </c>
      <c r="S112" s="32" t="str">
        <f>IF(S$100="","",IF(Config!$O$52&lt;&gt;"Não",SUMIFS(BD!$N$3:$N$5001,BD!$B$3:$B$5001,S$100,BD!$A$3:$A$5001,"&gt;="&amp;$C$7,BD!$A$3:$A$5001,"&lt;="&amp;$D$7),"—"))</f>
        <v/>
      </c>
      <c r="T112" s="32" t="str">
        <f>IF(T$100="","",IF(Config!$O$53&lt;&gt;"Não",SUMIFS(BD!$N$3:$N$5001,BD!$B$3:$B$5001,T$100,BD!$A$3:$A$5001,"&gt;="&amp;$C$7,BD!$A$3:$A$5001,"&lt;="&amp;$D$7),"—"))</f>
        <v/>
      </c>
      <c r="U112" s="32" t="str">
        <f>IF(U$100="","",IF(Config!$O$54&lt;&gt;"Não",SUMIFS(BD!$N$3:$N$5001,BD!$B$3:$B$5001,U$100,BD!$A$3:$A$5001,"&gt;="&amp;$C$7,BD!$A$3:$A$5001,"&lt;="&amp;$D$7),"—"))</f>
        <v/>
      </c>
      <c r="V112" s="62">
        <f>SUM(B112:U112)</f>
        <v>0</v>
      </c>
    </row>
    <row r="113">
      <c r="A113" s="29" t="inlineStr">
        <is>
          <t xml:space="preserve">OUT · Itens Expedidos</t>
        </is>
      </c>
      <c r="B113" s="32" t="str">
        <f>IF(B$100="","",IF(Config!$P$35&lt;&gt;"Não",SUMIFS(BD!$O$3:$O$5001,BD!$B$3:$B$5001,B$100,BD!$A$3:$A$5001,"&gt;="&amp;$C$7,BD!$A$3:$A$5001,"&lt;="&amp;$D$7),"—"))</f>
        <v>—</v>
      </c>
      <c r="C113" s="32" t="str">
        <f>IF(C$100="","",IF(Config!$P$36&lt;&gt;"Não",SUMIFS(BD!$O$3:$O$5001,BD!$B$3:$B$5001,C$100,BD!$A$3:$A$5001,"&gt;="&amp;$C$7,BD!$A$3:$A$5001,"&lt;="&amp;$D$7),"—"))</f>
        <v>—</v>
      </c>
      <c r="D113" s="32" t="str">
        <f>IF(D$100="","",IF(Config!$P$37&lt;&gt;"Não",SUMIFS(BD!$O$3:$O$5001,BD!$B$3:$B$5001,D$100,BD!$A$3:$A$5001,"&gt;="&amp;$C$7,BD!$A$3:$A$5001,"&lt;="&amp;$D$7),"—"))</f>
        <v>—</v>
      </c>
      <c r="E113" s="32">
        <f>IF(E$100="","",IF(Config!$P$38&lt;&gt;"Não",SUMIFS(BD!$O$3:$O$5001,BD!$B$3:$B$5001,E$100,BD!$A$3:$A$5001,"&gt;="&amp;$C$7,BD!$A$3:$A$5001,"&lt;="&amp;$D$7),"—"))</f>
        <v>0</v>
      </c>
      <c r="F113" s="32" t="str">
        <f>IF(F$100="","",IF(Config!$P$39&lt;&gt;"Não",SUMIFS(BD!$O$3:$O$5001,BD!$B$3:$B$5001,F$100,BD!$A$3:$A$5001,"&gt;="&amp;$C$7,BD!$A$3:$A$5001,"&lt;="&amp;$D$7),"—"))</f>
        <v>—</v>
      </c>
      <c r="G113" s="32" t="str">
        <f>IF(G$100="","",IF(Config!$P$40&lt;&gt;"Não",SUMIFS(BD!$O$3:$O$5001,BD!$B$3:$B$5001,G$100,BD!$A$3:$A$5001,"&gt;="&amp;$C$7,BD!$A$3:$A$5001,"&lt;="&amp;$D$7),"—"))</f>
        <v>—</v>
      </c>
      <c r="H113" s="32" t="str">
        <f>IF(H$100="","",IF(Config!$P$41&lt;&gt;"Não",SUMIFS(BD!$O$3:$O$5001,BD!$B$3:$B$5001,H$100,BD!$A$3:$A$5001,"&gt;="&amp;$C$7,BD!$A$3:$A$5001,"&lt;="&amp;$D$7),"—"))</f>
        <v>—</v>
      </c>
      <c r="I113" s="32" t="str">
        <f>IF(I$100="","",IF(Config!$P$42&lt;&gt;"Não",SUMIFS(BD!$O$3:$O$5001,BD!$B$3:$B$5001,I$100,BD!$A$3:$A$5001,"&gt;="&amp;$C$7,BD!$A$3:$A$5001,"&lt;="&amp;$D$7),"—"))</f>
        <v>—</v>
      </c>
      <c r="J113" s="32" t="str">
        <f>IF(J$100="","",IF(Config!$P$43&lt;&gt;"Não",SUMIFS(BD!$O$3:$O$5001,BD!$B$3:$B$5001,J$100,BD!$A$3:$A$5001,"&gt;="&amp;$C$7,BD!$A$3:$A$5001,"&lt;="&amp;$D$7),"—"))</f>
        <v>—</v>
      </c>
      <c r="K113" s="32" t="str">
        <f>IF(K$100="","",IF(Config!$P$44&lt;&gt;"Não",SUMIFS(BD!$O$3:$O$5001,BD!$B$3:$B$5001,K$100,BD!$A$3:$A$5001,"&gt;="&amp;$C$7,BD!$A$3:$A$5001,"&lt;="&amp;$D$7),"—"))</f>
        <v>—</v>
      </c>
      <c r="L113" s="32" t="str">
        <f>IF(L$100="","",IF(Config!$P$45&lt;&gt;"Não",SUMIFS(BD!$O$3:$O$5001,BD!$B$3:$B$5001,L$100,BD!$A$3:$A$5001,"&gt;="&amp;$C$7,BD!$A$3:$A$5001,"&lt;="&amp;$D$7),"—"))</f>
        <v/>
      </c>
      <c r="M113" s="32" t="str">
        <f>IF(M$100="","",IF(Config!$P$46&lt;&gt;"Não",SUMIFS(BD!$O$3:$O$5001,BD!$B$3:$B$5001,M$100,BD!$A$3:$A$5001,"&gt;="&amp;$C$7,BD!$A$3:$A$5001,"&lt;="&amp;$D$7),"—"))</f>
        <v/>
      </c>
      <c r="N113" s="32" t="str">
        <f>IF(N$100="","",IF(Config!$P$47&lt;&gt;"Não",SUMIFS(BD!$O$3:$O$5001,BD!$B$3:$B$5001,N$100,BD!$A$3:$A$5001,"&gt;="&amp;$C$7,BD!$A$3:$A$5001,"&lt;="&amp;$D$7),"—"))</f>
        <v/>
      </c>
      <c r="O113" s="32" t="str">
        <f>IF(O$100="","",IF(Config!$P$48&lt;&gt;"Não",SUMIFS(BD!$O$3:$O$5001,BD!$B$3:$B$5001,O$100,BD!$A$3:$A$5001,"&gt;="&amp;$C$7,BD!$A$3:$A$5001,"&lt;="&amp;$D$7),"—"))</f>
        <v/>
      </c>
      <c r="P113" s="32" t="str">
        <f>IF(P$100="","",IF(Config!$P$49&lt;&gt;"Não",SUMIFS(BD!$O$3:$O$5001,BD!$B$3:$B$5001,P$100,BD!$A$3:$A$5001,"&gt;="&amp;$C$7,BD!$A$3:$A$5001,"&lt;="&amp;$D$7),"—"))</f>
        <v/>
      </c>
      <c r="Q113" s="32" t="str">
        <f>IF(Q$100="","",IF(Config!$P$50&lt;&gt;"Não",SUMIFS(BD!$O$3:$O$5001,BD!$B$3:$B$5001,Q$100,BD!$A$3:$A$5001,"&gt;="&amp;$C$7,BD!$A$3:$A$5001,"&lt;="&amp;$D$7),"—"))</f>
        <v/>
      </c>
      <c r="R113" s="32" t="str">
        <f>IF(R$100="","",IF(Config!$P$51&lt;&gt;"Não",SUMIFS(BD!$O$3:$O$5001,BD!$B$3:$B$5001,R$100,BD!$A$3:$A$5001,"&gt;="&amp;$C$7,BD!$A$3:$A$5001,"&lt;="&amp;$D$7),"—"))</f>
        <v/>
      </c>
      <c r="S113" s="32" t="str">
        <f>IF(S$100="","",IF(Config!$P$52&lt;&gt;"Não",SUMIFS(BD!$O$3:$O$5001,BD!$B$3:$B$5001,S$100,BD!$A$3:$A$5001,"&gt;="&amp;$C$7,BD!$A$3:$A$5001,"&lt;="&amp;$D$7),"—"))</f>
        <v/>
      </c>
      <c r="T113" s="32" t="str">
        <f>IF(T$100="","",IF(Config!$P$53&lt;&gt;"Não",SUMIFS(BD!$O$3:$O$5001,BD!$B$3:$B$5001,T$100,BD!$A$3:$A$5001,"&gt;="&amp;$C$7,BD!$A$3:$A$5001,"&lt;="&amp;$D$7),"—"))</f>
        <v/>
      </c>
      <c r="U113" s="32" t="str">
        <f>IF(U$100="","",IF(Config!$P$54&lt;&gt;"Não",SUMIFS(BD!$O$3:$O$5001,BD!$B$3:$B$5001,U$100,BD!$A$3:$A$5001,"&gt;="&amp;$C$7,BD!$A$3:$A$5001,"&lt;="&amp;$D$7),"—"))</f>
        <v/>
      </c>
      <c r="V113" s="62">
        <f>SUM(B113:U113)</f>
        <v>0</v>
      </c>
    </row>
    <row r="114">
      <c r="A114" s="29" t="inlineStr">
        <is>
          <t xml:space="preserve">OUT · Linhas NF</t>
        </is>
      </c>
      <c r="B114" s="32" t="str">
        <f>IF(B$100="","",IF(Config!$Q$35&lt;&gt;"Não",SUMIFS(BD!$P$3:$P$5001,BD!$B$3:$B$5001,B$100,BD!$A$3:$A$5001,"&gt;="&amp;$C$7,BD!$A$3:$A$5001,"&lt;="&amp;$D$7),"—"))</f>
        <v>—</v>
      </c>
      <c r="C114" s="32" t="str">
        <f>IF(C$100="","",IF(Config!$Q$36&lt;&gt;"Não",SUMIFS(BD!$P$3:$P$5001,BD!$B$3:$B$5001,C$100,BD!$A$3:$A$5001,"&gt;="&amp;$C$7,BD!$A$3:$A$5001,"&lt;="&amp;$D$7),"—"))</f>
        <v>—</v>
      </c>
      <c r="D114" s="32" t="str">
        <f>IF(D$100="","",IF(Config!$Q$37&lt;&gt;"Não",SUMIFS(BD!$P$3:$P$5001,BD!$B$3:$B$5001,D$100,BD!$A$3:$A$5001,"&gt;="&amp;$C$7,BD!$A$3:$A$5001,"&lt;="&amp;$D$7),"—"))</f>
        <v>—</v>
      </c>
      <c r="E114" s="32" t="str">
        <f>IF(E$100="","",IF(Config!$Q$38&lt;&gt;"Não",SUMIFS(BD!$P$3:$P$5001,BD!$B$3:$B$5001,E$100,BD!$A$3:$A$5001,"&gt;="&amp;$C$7,BD!$A$3:$A$5001,"&lt;="&amp;$D$7),"—"))</f>
        <v>—</v>
      </c>
      <c r="F114" s="32" t="str">
        <f>IF(F$100="","",IF(Config!$Q$39&lt;&gt;"Não",SUMIFS(BD!$P$3:$P$5001,BD!$B$3:$B$5001,F$100,BD!$A$3:$A$5001,"&gt;="&amp;$C$7,BD!$A$3:$A$5001,"&lt;="&amp;$D$7),"—"))</f>
        <v>—</v>
      </c>
      <c r="G114" s="32">
        <f>IF(G$100="","",IF(Config!$Q$40&lt;&gt;"Não",SUMIFS(BD!$P$3:$P$5001,BD!$B$3:$B$5001,G$100,BD!$A$3:$A$5001,"&gt;="&amp;$C$7,BD!$A$3:$A$5001,"&lt;="&amp;$D$7),"—"))</f>
        <v>0</v>
      </c>
      <c r="H114" s="32" t="str">
        <f>IF(H$100="","",IF(Config!$Q$41&lt;&gt;"Não",SUMIFS(BD!$P$3:$P$5001,BD!$B$3:$B$5001,H$100,BD!$A$3:$A$5001,"&gt;="&amp;$C$7,BD!$A$3:$A$5001,"&lt;="&amp;$D$7),"—"))</f>
        <v>—</v>
      </c>
      <c r="I114" s="32" t="str">
        <f>IF(I$100="","",IF(Config!$Q$42&lt;&gt;"Não",SUMIFS(BD!$P$3:$P$5001,BD!$B$3:$B$5001,I$100,BD!$A$3:$A$5001,"&gt;="&amp;$C$7,BD!$A$3:$A$5001,"&lt;="&amp;$D$7),"—"))</f>
        <v>—</v>
      </c>
      <c r="J114" s="32" t="str">
        <f>IF(J$100="","",IF(Config!$Q$43&lt;&gt;"Não",SUMIFS(BD!$P$3:$P$5001,BD!$B$3:$B$5001,J$100,BD!$A$3:$A$5001,"&gt;="&amp;$C$7,BD!$A$3:$A$5001,"&lt;="&amp;$D$7),"—"))</f>
        <v>—</v>
      </c>
      <c r="K114" s="32">
        <f>IF(K$100="","",IF(Config!$Q$44&lt;&gt;"Não",SUMIFS(BD!$P$3:$P$5001,BD!$B$3:$B$5001,K$100,BD!$A$3:$A$5001,"&gt;="&amp;$C$7,BD!$A$3:$A$5001,"&lt;="&amp;$D$7),"—"))</f>
        <v>0</v>
      </c>
      <c r="L114" s="32" t="str">
        <f>IF(L$100="","",IF(Config!$Q$45&lt;&gt;"Não",SUMIFS(BD!$P$3:$P$5001,BD!$B$3:$B$5001,L$100,BD!$A$3:$A$5001,"&gt;="&amp;$C$7,BD!$A$3:$A$5001,"&lt;="&amp;$D$7),"—"))</f>
        <v/>
      </c>
      <c r="M114" s="32" t="str">
        <f>IF(M$100="","",IF(Config!$Q$46&lt;&gt;"Não",SUMIFS(BD!$P$3:$P$5001,BD!$B$3:$B$5001,M$100,BD!$A$3:$A$5001,"&gt;="&amp;$C$7,BD!$A$3:$A$5001,"&lt;="&amp;$D$7),"—"))</f>
        <v/>
      </c>
      <c r="N114" s="32" t="str">
        <f>IF(N$100="","",IF(Config!$Q$47&lt;&gt;"Não",SUMIFS(BD!$P$3:$P$5001,BD!$B$3:$B$5001,N$100,BD!$A$3:$A$5001,"&gt;="&amp;$C$7,BD!$A$3:$A$5001,"&lt;="&amp;$D$7),"—"))</f>
        <v/>
      </c>
      <c r="O114" s="32" t="str">
        <f>IF(O$100="","",IF(Config!$Q$48&lt;&gt;"Não",SUMIFS(BD!$P$3:$P$5001,BD!$B$3:$B$5001,O$100,BD!$A$3:$A$5001,"&gt;="&amp;$C$7,BD!$A$3:$A$5001,"&lt;="&amp;$D$7),"—"))</f>
        <v/>
      </c>
      <c r="P114" s="32" t="str">
        <f>IF(P$100="","",IF(Config!$Q$49&lt;&gt;"Não",SUMIFS(BD!$P$3:$P$5001,BD!$B$3:$B$5001,P$100,BD!$A$3:$A$5001,"&gt;="&amp;$C$7,BD!$A$3:$A$5001,"&lt;="&amp;$D$7),"—"))</f>
        <v/>
      </c>
      <c r="Q114" s="32" t="str">
        <f>IF(Q$100="","",IF(Config!$Q$50&lt;&gt;"Não",SUMIFS(BD!$P$3:$P$5001,BD!$B$3:$B$5001,Q$100,BD!$A$3:$A$5001,"&gt;="&amp;$C$7,BD!$A$3:$A$5001,"&lt;="&amp;$D$7),"—"))</f>
        <v/>
      </c>
      <c r="R114" s="32" t="str">
        <f>IF(R$100="","",IF(Config!$Q$51&lt;&gt;"Não",SUMIFS(BD!$P$3:$P$5001,BD!$B$3:$B$5001,R$100,BD!$A$3:$A$5001,"&gt;="&amp;$C$7,BD!$A$3:$A$5001,"&lt;="&amp;$D$7),"—"))</f>
        <v/>
      </c>
      <c r="S114" s="32" t="str">
        <f>IF(S$100="","",IF(Config!$Q$52&lt;&gt;"Não",SUMIFS(BD!$P$3:$P$5001,BD!$B$3:$B$5001,S$100,BD!$A$3:$A$5001,"&gt;="&amp;$C$7,BD!$A$3:$A$5001,"&lt;="&amp;$D$7),"—"))</f>
        <v/>
      </c>
      <c r="T114" s="32" t="str">
        <f>IF(T$100="","",IF(Config!$Q$53&lt;&gt;"Não",SUMIFS(BD!$P$3:$P$5001,BD!$B$3:$B$5001,T$100,BD!$A$3:$A$5001,"&gt;="&amp;$C$7,BD!$A$3:$A$5001,"&lt;="&amp;$D$7),"—"))</f>
        <v/>
      </c>
      <c r="U114" s="32" t="str">
        <f>IF(U$100="","",IF(Config!$Q$54&lt;&gt;"Não",SUMIFS(BD!$P$3:$P$5001,BD!$B$3:$B$5001,U$100,BD!$A$3:$A$5001,"&gt;="&amp;$C$7,BD!$A$3:$A$5001,"&lt;="&amp;$D$7),"—"))</f>
        <v/>
      </c>
      <c r="V114" s="62">
        <f>SUM(B114:U114)</f>
        <v>0</v>
      </c>
    </row>
    <row r="115">
      <c r="A115" s="29" t="inlineStr">
        <is>
          <t xml:space="preserve">OUT · Caixas Expedidas</t>
        </is>
      </c>
      <c r="B115" s="32">
        <f>IF(B$100="","",IF(Config!$R$35&lt;&gt;"Não",SUMIFS(BD!$Q$3:$Q$5001,BD!$B$3:$B$5001,B$100,BD!$A$3:$A$5001,"&gt;="&amp;$C$7,BD!$A$3:$A$5001,"&lt;="&amp;$D$7),"—"))</f>
        <v>0</v>
      </c>
      <c r="C115" s="32" t="str">
        <f>IF(C$100="","",IF(Config!$R$36&lt;&gt;"Não",SUMIFS(BD!$Q$3:$Q$5001,BD!$B$3:$B$5001,C$100,BD!$A$3:$A$5001,"&gt;="&amp;$C$7,BD!$A$3:$A$5001,"&lt;="&amp;$D$7),"—"))</f>
        <v>—</v>
      </c>
      <c r="D115" s="32" t="str">
        <f>IF(D$100="","",IF(Config!$R$37&lt;&gt;"Não",SUMIFS(BD!$Q$3:$Q$5001,BD!$B$3:$B$5001,D$100,BD!$A$3:$A$5001,"&gt;="&amp;$C$7,BD!$A$3:$A$5001,"&lt;="&amp;$D$7),"—"))</f>
        <v>—</v>
      </c>
      <c r="E115" s="32">
        <f>IF(E$100="","",IF(Config!$R$38&lt;&gt;"Não",SUMIFS(BD!$Q$3:$Q$5001,BD!$B$3:$B$5001,E$100,BD!$A$3:$A$5001,"&gt;="&amp;$C$7,BD!$A$3:$A$5001,"&lt;="&amp;$D$7),"—"))</f>
        <v>0</v>
      </c>
      <c r="F115" s="32" t="str">
        <f>IF(F$100="","",IF(Config!$R$39&lt;&gt;"Não",SUMIFS(BD!$Q$3:$Q$5001,BD!$B$3:$B$5001,F$100,BD!$A$3:$A$5001,"&gt;="&amp;$C$7,BD!$A$3:$A$5001,"&lt;="&amp;$D$7),"—"))</f>
        <v>—</v>
      </c>
      <c r="G115" s="32" t="str">
        <f>IF(G$100="","",IF(Config!$R$40&lt;&gt;"Não",SUMIFS(BD!$Q$3:$Q$5001,BD!$B$3:$B$5001,G$100,BD!$A$3:$A$5001,"&gt;="&amp;$C$7,BD!$A$3:$A$5001,"&lt;="&amp;$D$7),"—"))</f>
        <v>—</v>
      </c>
      <c r="H115" s="32" t="str">
        <f>IF(H$100="","",IF(Config!$R$41&lt;&gt;"Não",SUMIFS(BD!$Q$3:$Q$5001,BD!$B$3:$B$5001,H$100,BD!$A$3:$A$5001,"&gt;="&amp;$C$7,BD!$A$3:$A$5001,"&lt;="&amp;$D$7),"—"))</f>
        <v>—</v>
      </c>
      <c r="I115" s="32" t="str">
        <f>IF(I$100="","",IF(Config!$R$42&lt;&gt;"Não",SUMIFS(BD!$Q$3:$Q$5001,BD!$B$3:$B$5001,I$100,BD!$A$3:$A$5001,"&gt;="&amp;$C$7,BD!$A$3:$A$5001,"&lt;="&amp;$D$7),"—"))</f>
        <v>—</v>
      </c>
      <c r="J115" s="32" t="str">
        <f>IF(J$100="","",IF(Config!$R$43&lt;&gt;"Não",SUMIFS(BD!$Q$3:$Q$5001,BD!$B$3:$B$5001,J$100,BD!$A$3:$A$5001,"&gt;="&amp;$C$7,BD!$A$3:$A$5001,"&lt;="&amp;$D$7),"—"))</f>
        <v>—</v>
      </c>
      <c r="K115" s="32" t="str">
        <f>IF(K$100="","",IF(Config!$R$44&lt;&gt;"Não",SUMIFS(BD!$Q$3:$Q$5001,BD!$B$3:$B$5001,K$100,BD!$A$3:$A$5001,"&gt;="&amp;$C$7,BD!$A$3:$A$5001,"&lt;="&amp;$D$7),"—"))</f>
        <v>—</v>
      </c>
      <c r="L115" s="32" t="str">
        <f>IF(L$100="","",IF(Config!$R$45&lt;&gt;"Não",SUMIFS(BD!$Q$3:$Q$5001,BD!$B$3:$B$5001,L$100,BD!$A$3:$A$5001,"&gt;="&amp;$C$7,BD!$A$3:$A$5001,"&lt;="&amp;$D$7),"—"))</f>
        <v/>
      </c>
      <c r="M115" s="32" t="str">
        <f>IF(M$100="","",IF(Config!$R$46&lt;&gt;"Não",SUMIFS(BD!$Q$3:$Q$5001,BD!$B$3:$B$5001,M$100,BD!$A$3:$A$5001,"&gt;="&amp;$C$7,BD!$A$3:$A$5001,"&lt;="&amp;$D$7),"—"))</f>
        <v/>
      </c>
      <c r="N115" s="32" t="str">
        <f>IF(N$100="","",IF(Config!$R$47&lt;&gt;"Não",SUMIFS(BD!$Q$3:$Q$5001,BD!$B$3:$B$5001,N$100,BD!$A$3:$A$5001,"&gt;="&amp;$C$7,BD!$A$3:$A$5001,"&lt;="&amp;$D$7),"—"))</f>
        <v/>
      </c>
      <c r="O115" s="32" t="str">
        <f>IF(O$100="","",IF(Config!$R$48&lt;&gt;"Não",SUMIFS(BD!$Q$3:$Q$5001,BD!$B$3:$B$5001,O$100,BD!$A$3:$A$5001,"&gt;="&amp;$C$7,BD!$A$3:$A$5001,"&lt;="&amp;$D$7),"—"))</f>
        <v/>
      </c>
      <c r="P115" s="32" t="str">
        <f>IF(P$100="","",IF(Config!$R$49&lt;&gt;"Não",SUMIFS(BD!$Q$3:$Q$5001,BD!$B$3:$B$5001,P$100,BD!$A$3:$A$5001,"&gt;="&amp;$C$7,BD!$A$3:$A$5001,"&lt;="&amp;$D$7),"—"))</f>
        <v/>
      </c>
      <c r="Q115" s="32" t="str">
        <f>IF(Q$100="","",IF(Config!$R$50&lt;&gt;"Não",SUMIFS(BD!$Q$3:$Q$5001,BD!$B$3:$B$5001,Q$100,BD!$A$3:$A$5001,"&gt;="&amp;$C$7,BD!$A$3:$A$5001,"&lt;="&amp;$D$7),"—"))</f>
        <v/>
      </c>
      <c r="R115" s="32" t="str">
        <f>IF(R$100="","",IF(Config!$R$51&lt;&gt;"Não",SUMIFS(BD!$Q$3:$Q$5001,BD!$B$3:$B$5001,R$100,BD!$A$3:$A$5001,"&gt;="&amp;$C$7,BD!$A$3:$A$5001,"&lt;="&amp;$D$7),"—"))</f>
        <v/>
      </c>
      <c r="S115" s="32" t="str">
        <f>IF(S$100="","",IF(Config!$R$52&lt;&gt;"Não",SUMIFS(BD!$Q$3:$Q$5001,BD!$B$3:$B$5001,S$100,BD!$A$3:$A$5001,"&gt;="&amp;$C$7,BD!$A$3:$A$5001,"&lt;="&amp;$D$7),"—"))</f>
        <v/>
      </c>
      <c r="T115" s="32" t="str">
        <f>IF(T$100="","",IF(Config!$R$53&lt;&gt;"Não",SUMIFS(BD!$Q$3:$Q$5001,BD!$B$3:$B$5001,T$100,BD!$A$3:$A$5001,"&gt;="&amp;$C$7,BD!$A$3:$A$5001,"&lt;="&amp;$D$7),"—"))</f>
        <v/>
      </c>
      <c r="U115" s="32" t="str">
        <f>IF(U$100="","",IF(Config!$R$54&lt;&gt;"Não",SUMIFS(BD!$Q$3:$Q$5001,BD!$B$3:$B$5001,U$100,BD!$A$3:$A$5001,"&gt;="&amp;$C$7,BD!$A$3:$A$5001,"&lt;="&amp;$D$7),"—"))</f>
        <v/>
      </c>
      <c r="V115" s="62">
        <f>SUM(B115:U115)</f>
        <v>0</v>
      </c>
    </row>
    <row r="116">
      <c r="A116" s="29" t="inlineStr">
        <is>
          <t xml:space="preserve">OUT · Pallets Movimentados</t>
        </is>
      </c>
      <c r="B116" s="32" t="str">
        <f>IF(B$100="","",IF(Config!$S$35&lt;&gt;"Não",SUMIFS(BD!$R$3:$R$5001,BD!$B$3:$B$5001,B$100,BD!$A$3:$A$5001,"&gt;="&amp;$C$7,BD!$A$3:$A$5001,"&lt;="&amp;$D$7),"—"))</f>
        <v>—</v>
      </c>
      <c r="C116" s="32">
        <f>IF(C$100="","",IF(Config!$S$36&lt;&gt;"Não",SUMIFS(BD!$R$3:$R$5001,BD!$B$3:$B$5001,C$100,BD!$A$3:$A$5001,"&gt;="&amp;$C$7,BD!$A$3:$A$5001,"&lt;="&amp;$D$7),"—"))</f>
        <v>0</v>
      </c>
      <c r="D116" s="32">
        <f>IF(D$100="","",IF(Config!$S$37&lt;&gt;"Não",SUMIFS(BD!$R$3:$R$5001,BD!$B$3:$B$5001,D$100,BD!$A$3:$A$5001,"&gt;="&amp;$C$7,BD!$A$3:$A$5001,"&lt;="&amp;$D$7),"—"))</f>
        <v>0</v>
      </c>
      <c r="E116" s="32">
        <f>IF(E$100="","",IF(Config!$S$38&lt;&gt;"Não",SUMIFS(BD!$R$3:$R$5001,BD!$B$3:$B$5001,E$100,BD!$A$3:$A$5001,"&gt;="&amp;$C$7,BD!$A$3:$A$5001,"&lt;="&amp;$D$7),"—"))</f>
        <v>0</v>
      </c>
      <c r="F116" s="32">
        <f>IF(F$100="","",IF(Config!$S$39&lt;&gt;"Não",SUMIFS(BD!$R$3:$R$5001,BD!$B$3:$B$5001,F$100,BD!$A$3:$A$5001,"&gt;="&amp;$C$7,BD!$A$3:$A$5001,"&lt;="&amp;$D$7),"—"))</f>
        <v>0</v>
      </c>
      <c r="G116" s="32">
        <f>IF(G$100="","",IF(Config!$S$40&lt;&gt;"Não",SUMIFS(BD!$R$3:$R$5001,BD!$B$3:$B$5001,G$100,BD!$A$3:$A$5001,"&gt;="&amp;$C$7,BD!$A$3:$A$5001,"&lt;="&amp;$D$7),"—"))</f>
        <v>0</v>
      </c>
      <c r="H116" s="32">
        <f>IF(H$100="","",IF(Config!$S$41&lt;&gt;"Não",SUMIFS(BD!$R$3:$R$5001,BD!$B$3:$B$5001,H$100,BD!$A$3:$A$5001,"&gt;="&amp;$C$7,BD!$A$3:$A$5001,"&lt;="&amp;$D$7),"—"))</f>
        <v>0</v>
      </c>
      <c r="I116" s="32">
        <f>IF(I$100="","",IF(Config!$S$42&lt;&gt;"Não",SUMIFS(BD!$R$3:$R$5001,BD!$B$3:$B$5001,I$100,BD!$A$3:$A$5001,"&gt;="&amp;$C$7,BD!$A$3:$A$5001,"&lt;="&amp;$D$7),"—"))</f>
        <v>0</v>
      </c>
      <c r="J116" s="32">
        <f>IF(J$100="","",IF(Config!$S$43&lt;&gt;"Não",SUMIFS(BD!$R$3:$R$5001,BD!$B$3:$B$5001,J$100,BD!$A$3:$A$5001,"&gt;="&amp;$C$7,BD!$A$3:$A$5001,"&lt;="&amp;$D$7),"—"))</f>
        <v>0</v>
      </c>
      <c r="K116" s="32" t="str">
        <f>IF(K$100="","",IF(Config!$S$44&lt;&gt;"Não",SUMIFS(BD!$R$3:$R$5001,BD!$B$3:$B$5001,K$100,BD!$A$3:$A$5001,"&gt;="&amp;$C$7,BD!$A$3:$A$5001,"&lt;="&amp;$D$7),"—"))</f>
        <v>—</v>
      </c>
      <c r="L116" s="32" t="str">
        <f>IF(L$100="","",IF(Config!$S$45&lt;&gt;"Não",SUMIFS(BD!$R$3:$R$5001,BD!$B$3:$B$5001,L$100,BD!$A$3:$A$5001,"&gt;="&amp;$C$7,BD!$A$3:$A$5001,"&lt;="&amp;$D$7),"—"))</f>
        <v/>
      </c>
      <c r="M116" s="32" t="str">
        <f>IF(M$100="","",IF(Config!$S$46&lt;&gt;"Não",SUMIFS(BD!$R$3:$R$5001,BD!$B$3:$B$5001,M$100,BD!$A$3:$A$5001,"&gt;="&amp;$C$7,BD!$A$3:$A$5001,"&lt;="&amp;$D$7),"—"))</f>
        <v/>
      </c>
      <c r="N116" s="32" t="str">
        <f>IF(N$100="","",IF(Config!$S$47&lt;&gt;"Não",SUMIFS(BD!$R$3:$R$5001,BD!$B$3:$B$5001,N$100,BD!$A$3:$A$5001,"&gt;="&amp;$C$7,BD!$A$3:$A$5001,"&lt;="&amp;$D$7),"—"))</f>
        <v/>
      </c>
      <c r="O116" s="32" t="str">
        <f>IF(O$100="","",IF(Config!$S$48&lt;&gt;"Não",SUMIFS(BD!$R$3:$R$5001,BD!$B$3:$B$5001,O$100,BD!$A$3:$A$5001,"&gt;="&amp;$C$7,BD!$A$3:$A$5001,"&lt;="&amp;$D$7),"—"))</f>
        <v/>
      </c>
      <c r="P116" s="32" t="str">
        <f>IF(P$100="","",IF(Config!$S$49&lt;&gt;"Não",SUMIFS(BD!$R$3:$R$5001,BD!$B$3:$B$5001,P$100,BD!$A$3:$A$5001,"&gt;="&amp;$C$7,BD!$A$3:$A$5001,"&lt;="&amp;$D$7),"—"))</f>
        <v/>
      </c>
      <c r="Q116" s="32" t="str">
        <f>IF(Q$100="","",IF(Config!$S$50&lt;&gt;"Não",SUMIFS(BD!$R$3:$R$5001,BD!$B$3:$B$5001,Q$100,BD!$A$3:$A$5001,"&gt;="&amp;$C$7,BD!$A$3:$A$5001,"&lt;="&amp;$D$7),"—"))</f>
        <v/>
      </c>
      <c r="R116" s="32" t="str">
        <f>IF(R$100="","",IF(Config!$S$51&lt;&gt;"Não",SUMIFS(BD!$R$3:$R$5001,BD!$B$3:$B$5001,R$100,BD!$A$3:$A$5001,"&gt;="&amp;$C$7,BD!$A$3:$A$5001,"&lt;="&amp;$D$7),"—"))</f>
        <v/>
      </c>
      <c r="S116" s="32" t="str">
        <f>IF(S$100="","",IF(Config!$S$52&lt;&gt;"Não",SUMIFS(BD!$R$3:$R$5001,BD!$B$3:$B$5001,S$100,BD!$A$3:$A$5001,"&gt;="&amp;$C$7,BD!$A$3:$A$5001,"&lt;="&amp;$D$7),"—"))</f>
        <v/>
      </c>
      <c r="T116" s="32" t="str">
        <f>IF(T$100="","",IF(Config!$S$53&lt;&gt;"Não",SUMIFS(BD!$R$3:$R$5001,BD!$B$3:$B$5001,T$100,BD!$A$3:$A$5001,"&gt;="&amp;$C$7,BD!$A$3:$A$5001,"&lt;="&amp;$D$7),"—"))</f>
        <v/>
      </c>
      <c r="U116" s="32" t="str">
        <f>IF(U$100="","",IF(Config!$S$54&lt;&gt;"Não",SUMIFS(BD!$R$3:$R$5001,BD!$B$3:$B$5001,U$100,BD!$A$3:$A$5001,"&gt;="&amp;$C$7,BD!$A$3:$A$5001,"&lt;="&amp;$D$7),"—"))</f>
        <v/>
      </c>
      <c r="V116" s="62">
        <f>SUM(B116:U116)</f>
        <v>0</v>
      </c>
    </row>
    <row r="117">
      <c r="A117" s="29" t="inlineStr">
        <is>
          <t xml:space="preserve">OUT · Toneladas Movimentadas</t>
        </is>
      </c>
      <c r="B117" s="61" t="str">
        <f>IF(B$100="","",IF(Config!$T$35&lt;&gt;"Não",SUMIFS(BD!$S$3:$S$5001,BD!$B$3:$B$5001,B$100,BD!$A$3:$A$5001,"&gt;="&amp;$C$7,BD!$A$3:$A$5001,"&lt;="&amp;$D$7),"—"))</f>
        <v>—</v>
      </c>
      <c r="C117" s="61">
        <f>IF(C$100="","",IF(Config!$T$36&lt;&gt;"Não",SUMIFS(BD!$S$3:$S$5001,BD!$B$3:$B$5001,C$100,BD!$A$3:$A$5001,"&gt;="&amp;$C$7,BD!$A$3:$A$5001,"&lt;="&amp;$D$7),"—"))</f>
        <v>0</v>
      </c>
      <c r="D117" s="61" t="str">
        <f>IF(D$100="","",IF(Config!$T$37&lt;&gt;"Não",SUMIFS(BD!$S$3:$S$5001,BD!$B$3:$B$5001,D$100,BD!$A$3:$A$5001,"&gt;="&amp;$C$7,BD!$A$3:$A$5001,"&lt;="&amp;$D$7),"—"))</f>
        <v>—</v>
      </c>
      <c r="E117" s="61" t="str">
        <f>IF(E$100="","",IF(Config!$T$38&lt;&gt;"Não",SUMIFS(BD!$S$3:$S$5001,BD!$B$3:$B$5001,E$100,BD!$A$3:$A$5001,"&gt;="&amp;$C$7,BD!$A$3:$A$5001,"&lt;="&amp;$D$7),"—"))</f>
        <v>—</v>
      </c>
      <c r="F117" s="61">
        <f>IF(F$100="","",IF(Config!$T$39&lt;&gt;"Não",SUMIFS(BD!$S$3:$S$5001,BD!$B$3:$B$5001,F$100,BD!$A$3:$A$5001,"&gt;="&amp;$C$7,BD!$A$3:$A$5001,"&lt;="&amp;$D$7),"—"))</f>
        <v>0</v>
      </c>
      <c r="G117" s="61" t="str">
        <f>IF(G$100="","",IF(Config!$T$40&lt;&gt;"Não",SUMIFS(BD!$S$3:$S$5001,BD!$B$3:$B$5001,G$100,BD!$A$3:$A$5001,"&gt;="&amp;$C$7,BD!$A$3:$A$5001,"&lt;="&amp;$D$7),"—"))</f>
        <v>—</v>
      </c>
      <c r="H117" s="61" t="str">
        <f>IF(H$100="","",IF(Config!$T$41&lt;&gt;"Não",SUMIFS(BD!$S$3:$S$5001,BD!$B$3:$B$5001,H$100,BD!$A$3:$A$5001,"&gt;="&amp;$C$7,BD!$A$3:$A$5001,"&lt;="&amp;$D$7),"—"))</f>
        <v>—</v>
      </c>
      <c r="I117" s="61">
        <f>IF(I$100="","",IF(Config!$T$42&lt;&gt;"Não",SUMIFS(BD!$S$3:$S$5001,BD!$B$3:$B$5001,I$100,BD!$A$3:$A$5001,"&gt;="&amp;$C$7,BD!$A$3:$A$5001,"&lt;="&amp;$D$7),"—"))</f>
        <v>0</v>
      </c>
      <c r="J117" s="61" t="str">
        <f>IF(J$100="","",IF(Config!$T$43&lt;&gt;"Não",SUMIFS(BD!$S$3:$S$5001,BD!$B$3:$B$5001,J$100,BD!$A$3:$A$5001,"&gt;="&amp;$C$7,BD!$A$3:$A$5001,"&lt;="&amp;$D$7),"—"))</f>
        <v>—</v>
      </c>
      <c r="K117" s="61" t="str">
        <f>IF(K$100="","",IF(Config!$T$44&lt;&gt;"Não",SUMIFS(BD!$S$3:$S$5001,BD!$B$3:$B$5001,K$100,BD!$A$3:$A$5001,"&gt;="&amp;$C$7,BD!$A$3:$A$5001,"&lt;="&amp;$D$7),"—"))</f>
        <v>—</v>
      </c>
      <c r="L117" s="61" t="str">
        <f>IF(L$100="","",IF(Config!$T$45&lt;&gt;"Não",SUMIFS(BD!$S$3:$S$5001,BD!$B$3:$B$5001,L$100,BD!$A$3:$A$5001,"&gt;="&amp;$C$7,BD!$A$3:$A$5001,"&lt;="&amp;$D$7),"—"))</f>
        <v/>
      </c>
      <c r="M117" s="61" t="str">
        <f>IF(M$100="","",IF(Config!$T$46&lt;&gt;"Não",SUMIFS(BD!$S$3:$S$5001,BD!$B$3:$B$5001,M$100,BD!$A$3:$A$5001,"&gt;="&amp;$C$7,BD!$A$3:$A$5001,"&lt;="&amp;$D$7),"—"))</f>
        <v/>
      </c>
      <c r="N117" s="61" t="str">
        <f>IF(N$100="","",IF(Config!$T$47&lt;&gt;"Não",SUMIFS(BD!$S$3:$S$5001,BD!$B$3:$B$5001,N$100,BD!$A$3:$A$5001,"&gt;="&amp;$C$7,BD!$A$3:$A$5001,"&lt;="&amp;$D$7),"—"))</f>
        <v/>
      </c>
      <c r="O117" s="61" t="str">
        <f>IF(O$100="","",IF(Config!$T$48&lt;&gt;"Não",SUMIFS(BD!$S$3:$S$5001,BD!$B$3:$B$5001,O$100,BD!$A$3:$A$5001,"&gt;="&amp;$C$7,BD!$A$3:$A$5001,"&lt;="&amp;$D$7),"—"))</f>
        <v/>
      </c>
      <c r="P117" s="61" t="str">
        <f>IF(P$100="","",IF(Config!$T$49&lt;&gt;"Não",SUMIFS(BD!$S$3:$S$5001,BD!$B$3:$B$5001,P$100,BD!$A$3:$A$5001,"&gt;="&amp;$C$7,BD!$A$3:$A$5001,"&lt;="&amp;$D$7),"—"))</f>
        <v/>
      </c>
      <c r="Q117" s="61" t="str">
        <f>IF(Q$100="","",IF(Config!$T$50&lt;&gt;"Não",SUMIFS(BD!$S$3:$S$5001,BD!$B$3:$B$5001,Q$100,BD!$A$3:$A$5001,"&gt;="&amp;$C$7,BD!$A$3:$A$5001,"&lt;="&amp;$D$7),"—"))</f>
        <v/>
      </c>
      <c r="R117" s="61" t="str">
        <f>IF(R$100="","",IF(Config!$T$51&lt;&gt;"Não",SUMIFS(BD!$S$3:$S$5001,BD!$B$3:$B$5001,R$100,BD!$A$3:$A$5001,"&gt;="&amp;$C$7,BD!$A$3:$A$5001,"&lt;="&amp;$D$7),"—"))</f>
        <v/>
      </c>
      <c r="S117" s="61" t="str">
        <f>IF(S$100="","",IF(Config!$T$52&lt;&gt;"Não",SUMIFS(BD!$S$3:$S$5001,BD!$B$3:$B$5001,S$100,BD!$A$3:$A$5001,"&gt;="&amp;$C$7,BD!$A$3:$A$5001,"&lt;="&amp;$D$7),"—"))</f>
        <v/>
      </c>
      <c r="T117" s="61" t="str">
        <f>IF(T$100="","",IF(Config!$T$53&lt;&gt;"Não",SUMIFS(BD!$S$3:$S$5001,BD!$B$3:$B$5001,T$100,BD!$A$3:$A$5001,"&gt;="&amp;$C$7,BD!$A$3:$A$5001,"&lt;="&amp;$D$7),"—"))</f>
        <v/>
      </c>
      <c r="U117" s="61" t="str">
        <f>IF(U$100="","",IF(Config!$T$54&lt;&gt;"Não",SUMIFS(BD!$S$3:$S$5001,BD!$B$3:$B$5001,U$100,BD!$A$3:$A$5001,"&gt;="&amp;$C$7,BD!$A$3:$A$5001,"&lt;="&amp;$D$7),"—"))</f>
        <v/>
      </c>
      <c r="V117" s="63">
        <f>SUM(B117:U117)</f>
        <v>0</v>
      </c>
    </row>
    <row r="118">
      <c r="A118" s="29" t="inlineStr">
        <is>
          <t xml:space="preserve">NC · Incidentes</t>
        </is>
      </c>
      <c r="B118" s="32">
        <f>IF(B$100="","",IF(Config!$U$35&lt;&gt;"Não",SUMIFS(BD!$T$3:$T$5001,BD!$B$3:$B$5001,B$100,BD!$A$3:$A$5001,"&gt;="&amp;$C$7,BD!$A$3:$A$5001,"&lt;="&amp;$D$7),"—"))</f>
        <v>0</v>
      </c>
      <c r="C118" s="32">
        <f>IF(C$100="","",IF(Config!$U$36&lt;&gt;"Não",SUMIFS(BD!$T$3:$T$5001,BD!$B$3:$B$5001,C$100,BD!$A$3:$A$5001,"&gt;="&amp;$C$7,BD!$A$3:$A$5001,"&lt;="&amp;$D$7),"—"))</f>
        <v>0</v>
      </c>
      <c r="D118" s="32">
        <f>IF(D$100="","",IF(Config!$U$37&lt;&gt;"Não",SUMIFS(BD!$T$3:$T$5001,BD!$B$3:$B$5001,D$100,BD!$A$3:$A$5001,"&gt;="&amp;$C$7,BD!$A$3:$A$5001,"&lt;="&amp;$D$7),"—"))</f>
        <v>0</v>
      </c>
      <c r="E118" s="32">
        <f>IF(E$100="","",IF(Config!$U$38&lt;&gt;"Não",SUMIFS(BD!$T$3:$T$5001,BD!$B$3:$B$5001,E$100,BD!$A$3:$A$5001,"&gt;="&amp;$C$7,BD!$A$3:$A$5001,"&lt;="&amp;$D$7),"—"))</f>
        <v>0</v>
      </c>
      <c r="F118" s="32">
        <f>IF(F$100="","",IF(Config!$U$39&lt;&gt;"Não",SUMIFS(BD!$T$3:$T$5001,BD!$B$3:$B$5001,F$100,BD!$A$3:$A$5001,"&gt;="&amp;$C$7,BD!$A$3:$A$5001,"&lt;="&amp;$D$7),"—"))</f>
        <v>0</v>
      </c>
      <c r="G118" s="32">
        <f>IF(G$100="","",IF(Config!$U$40&lt;&gt;"Não",SUMIFS(BD!$T$3:$T$5001,BD!$B$3:$B$5001,G$100,BD!$A$3:$A$5001,"&gt;="&amp;$C$7,BD!$A$3:$A$5001,"&lt;="&amp;$D$7),"—"))</f>
        <v>0</v>
      </c>
      <c r="H118" s="32">
        <f>IF(H$100="","",IF(Config!$U$41&lt;&gt;"Não",SUMIFS(BD!$T$3:$T$5001,BD!$B$3:$B$5001,H$100,BD!$A$3:$A$5001,"&gt;="&amp;$C$7,BD!$A$3:$A$5001,"&lt;="&amp;$D$7),"—"))</f>
        <v>0</v>
      </c>
      <c r="I118" s="32">
        <f>IF(I$100="","",IF(Config!$U$42&lt;&gt;"Não",SUMIFS(BD!$T$3:$T$5001,BD!$B$3:$B$5001,I$100,BD!$A$3:$A$5001,"&gt;="&amp;$C$7,BD!$A$3:$A$5001,"&lt;="&amp;$D$7),"—"))</f>
        <v>0</v>
      </c>
      <c r="J118" s="32">
        <f>IF(J$100="","",IF(Config!$U$43&lt;&gt;"Não",SUMIFS(BD!$T$3:$T$5001,BD!$B$3:$B$5001,J$100,BD!$A$3:$A$5001,"&gt;="&amp;$C$7,BD!$A$3:$A$5001,"&lt;="&amp;$D$7),"—"))</f>
        <v>0</v>
      </c>
      <c r="K118" s="32">
        <f>IF(K$100="","",IF(Config!$U$44&lt;&gt;"Não",SUMIFS(BD!$T$3:$T$5001,BD!$B$3:$B$5001,K$100,BD!$A$3:$A$5001,"&gt;="&amp;$C$7,BD!$A$3:$A$5001,"&lt;="&amp;$D$7),"—"))</f>
        <v>0</v>
      </c>
      <c r="L118" s="32" t="str">
        <f>IF(L$100="","",IF(Config!$U$45&lt;&gt;"Não",SUMIFS(BD!$T$3:$T$5001,BD!$B$3:$B$5001,L$100,BD!$A$3:$A$5001,"&gt;="&amp;$C$7,BD!$A$3:$A$5001,"&lt;="&amp;$D$7),"—"))</f>
        <v/>
      </c>
      <c r="M118" s="32" t="str">
        <f>IF(M$100="","",IF(Config!$U$46&lt;&gt;"Não",SUMIFS(BD!$T$3:$T$5001,BD!$B$3:$B$5001,M$100,BD!$A$3:$A$5001,"&gt;="&amp;$C$7,BD!$A$3:$A$5001,"&lt;="&amp;$D$7),"—"))</f>
        <v/>
      </c>
      <c r="N118" s="32" t="str">
        <f>IF(N$100="","",IF(Config!$U$47&lt;&gt;"Não",SUMIFS(BD!$T$3:$T$5001,BD!$B$3:$B$5001,N$100,BD!$A$3:$A$5001,"&gt;="&amp;$C$7,BD!$A$3:$A$5001,"&lt;="&amp;$D$7),"—"))</f>
        <v/>
      </c>
      <c r="O118" s="32" t="str">
        <f>IF(O$100="","",IF(Config!$U$48&lt;&gt;"Não",SUMIFS(BD!$T$3:$T$5001,BD!$B$3:$B$5001,O$100,BD!$A$3:$A$5001,"&gt;="&amp;$C$7,BD!$A$3:$A$5001,"&lt;="&amp;$D$7),"—"))</f>
        <v/>
      </c>
      <c r="P118" s="32" t="str">
        <f>IF(P$100="","",IF(Config!$U$49&lt;&gt;"Não",SUMIFS(BD!$T$3:$T$5001,BD!$B$3:$B$5001,P$100,BD!$A$3:$A$5001,"&gt;="&amp;$C$7,BD!$A$3:$A$5001,"&lt;="&amp;$D$7),"—"))</f>
        <v/>
      </c>
      <c r="Q118" s="32" t="str">
        <f>IF(Q$100="","",IF(Config!$U$50&lt;&gt;"Não",SUMIFS(BD!$T$3:$T$5001,BD!$B$3:$B$5001,Q$100,BD!$A$3:$A$5001,"&gt;="&amp;$C$7,BD!$A$3:$A$5001,"&lt;="&amp;$D$7),"—"))</f>
        <v/>
      </c>
      <c r="R118" s="32" t="str">
        <f>IF(R$100="","",IF(Config!$U$51&lt;&gt;"Não",SUMIFS(BD!$T$3:$T$5001,BD!$B$3:$B$5001,R$100,BD!$A$3:$A$5001,"&gt;="&amp;$C$7,BD!$A$3:$A$5001,"&lt;="&amp;$D$7),"—"))</f>
        <v/>
      </c>
      <c r="S118" s="32" t="str">
        <f>IF(S$100="","",IF(Config!$U$52&lt;&gt;"Não",SUMIFS(BD!$T$3:$T$5001,BD!$B$3:$B$5001,S$100,BD!$A$3:$A$5001,"&gt;="&amp;$C$7,BD!$A$3:$A$5001,"&lt;="&amp;$D$7),"—"))</f>
        <v/>
      </c>
      <c r="T118" s="32" t="str">
        <f>IF(T$100="","",IF(Config!$U$53&lt;&gt;"Não",SUMIFS(BD!$T$3:$T$5001,BD!$B$3:$B$5001,T$100,BD!$A$3:$A$5001,"&gt;="&amp;$C$7,BD!$A$3:$A$5001,"&lt;="&amp;$D$7),"—"))</f>
        <v/>
      </c>
      <c r="U118" s="32" t="str">
        <f>IF(U$100="","",IF(Config!$U$54&lt;&gt;"Não",SUMIFS(BD!$T$3:$T$5001,BD!$B$3:$B$5001,U$100,BD!$A$3:$A$5001,"&gt;="&amp;$C$7,BD!$A$3:$A$5001,"&lt;="&amp;$D$7),"—"))</f>
        <v/>
      </c>
      <c r="V118" s="62">
        <f>SUM(B118:U118)</f>
        <v>0</v>
      </c>
    </row>
    <row r="119">
      <c r="A119" s="29" t="inlineStr">
        <is>
          <t xml:space="preserve">NC · No show</t>
        </is>
      </c>
      <c r="B119" s="32">
        <f>IF(B$100="","",IF(Config!$V$35&lt;&gt;"Não",SUMIFS(BD!$U$3:$U$5001,BD!$B$3:$B$5001,B$100,BD!$A$3:$A$5001,"&gt;="&amp;$C$7,BD!$A$3:$A$5001,"&lt;="&amp;$D$7),"—"))</f>
        <v>0</v>
      </c>
      <c r="C119" s="32">
        <f>IF(C$100="","",IF(Config!$V$36&lt;&gt;"Não",SUMIFS(BD!$U$3:$U$5001,BD!$B$3:$B$5001,C$100,BD!$A$3:$A$5001,"&gt;="&amp;$C$7,BD!$A$3:$A$5001,"&lt;="&amp;$D$7),"—"))</f>
        <v>0</v>
      </c>
      <c r="D119" s="32">
        <f>IF(D$100="","",IF(Config!$V$37&lt;&gt;"Não",SUMIFS(BD!$U$3:$U$5001,BD!$B$3:$B$5001,D$100,BD!$A$3:$A$5001,"&gt;="&amp;$C$7,BD!$A$3:$A$5001,"&lt;="&amp;$D$7),"—"))</f>
        <v>0</v>
      </c>
      <c r="E119" s="32">
        <f>IF(E$100="","",IF(Config!$V$38&lt;&gt;"Não",SUMIFS(BD!$U$3:$U$5001,BD!$B$3:$B$5001,E$100,BD!$A$3:$A$5001,"&gt;="&amp;$C$7,BD!$A$3:$A$5001,"&lt;="&amp;$D$7),"—"))</f>
        <v>0</v>
      </c>
      <c r="F119" s="32">
        <f>IF(F$100="","",IF(Config!$V$39&lt;&gt;"Não",SUMIFS(BD!$U$3:$U$5001,BD!$B$3:$B$5001,F$100,BD!$A$3:$A$5001,"&gt;="&amp;$C$7,BD!$A$3:$A$5001,"&lt;="&amp;$D$7),"—"))</f>
        <v>0</v>
      </c>
      <c r="G119" s="32">
        <f>IF(G$100="","",IF(Config!$V$40&lt;&gt;"Não",SUMIFS(BD!$U$3:$U$5001,BD!$B$3:$B$5001,G$100,BD!$A$3:$A$5001,"&gt;="&amp;$C$7,BD!$A$3:$A$5001,"&lt;="&amp;$D$7),"—"))</f>
        <v>0</v>
      </c>
      <c r="H119" s="32">
        <f>IF(H$100="","",IF(Config!$V$41&lt;&gt;"Não",SUMIFS(BD!$U$3:$U$5001,BD!$B$3:$B$5001,H$100,BD!$A$3:$A$5001,"&gt;="&amp;$C$7,BD!$A$3:$A$5001,"&lt;="&amp;$D$7),"—"))</f>
        <v>0</v>
      </c>
      <c r="I119" s="32">
        <f>IF(I$100="","",IF(Config!$V$42&lt;&gt;"Não",SUMIFS(BD!$U$3:$U$5001,BD!$B$3:$B$5001,I$100,BD!$A$3:$A$5001,"&gt;="&amp;$C$7,BD!$A$3:$A$5001,"&lt;="&amp;$D$7),"—"))</f>
        <v>0</v>
      </c>
      <c r="J119" s="32">
        <f>IF(J$100="","",IF(Config!$V$43&lt;&gt;"Não",SUMIFS(BD!$U$3:$U$5001,BD!$B$3:$B$5001,J$100,BD!$A$3:$A$5001,"&gt;="&amp;$C$7,BD!$A$3:$A$5001,"&lt;="&amp;$D$7),"—"))</f>
        <v>0</v>
      </c>
      <c r="K119" s="32">
        <f>IF(K$100="","",IF(Config!$V$44&lt;&gt;"Não",SUMIFS(BD!$U$3:$U$5001,BD!$B$3:$B$5001,K$100,BD!$A$3:$A$5001,"&gt;="&amp;$C$7,BD!$A$3:$A$5001,"&lt;="&amp;$D$7),"—"))</f>
        <v>0</v>
      </c>
      <c r="L119" s="32" t="str">
        <f>IF(L$100="","",IF(Config!$V$45&lt;&gt;"Não",SUMIFS(BD!$U$3:$U$5001,BD!$B$3:$B$5001,L$100,BD!$A$3:$A$5001,"&gt;="&amp;$C$7,BD!$A$3:$A$5001,"&lt;="&amp;$D$7),"—"))</f>
        <v/>
      </c>
      <c r="M119" s="32" t="str">
        <f>IF(M$100="","",IF(Config!$V$46&lt;&gt;"Não",SUMIFS(BD!$U$3:$U$5001,BD!$B$3:$B$5001,M$100,BD!$A$3:$A$5001,"&gt;="&amp;$C$7,BD!$A$3:$A$5001,"&lt;="&amp;$D$7),"—"))</f>
        <v/>
      </c>
      <c r="N119" s="32" t="str">
        <f>IF(N$100="","",IF(Config!$V$47&lt;&gt;"Não",SUMIFS(BD!$U$3:$U$5001,BD!$B$3:$B$5001,N$100,BD!$A$3:$A$5001,"&gt;="&amp;$C$7,BD!$A$3:$A$5001,"&lt;="&amp;$D$7),"—"))</f>
        <v/>
      </c>
      <c r="O119" s="32" t="str">
        <f>IF(O$100="","",IF(Config!$V$48&lt;&gt;"Não",SUMIFS(BD!$U$3:$U$5001,BD!$B$3:$B$5001,O$100,BD!$A$3:$A$5001,"&gt;="&amp;$C$7,BD!$A$3:$A$5001,"&lt;="&amp;$D$7),"—"))</f>
        <v/>
      </c>
      <c r="P119" s="32" t="str">
        <f>IF(P$100="","",IF(Config!$V$49&lt;&gt;"Não",SUMIFS(BD!$U$3:$U$5001,BD!$B$3:$B$5001,P$100,BD!$A$3:$A$5001,"&gt;="&amp;$C$7,BD!$A$3:$A$5001,"&lt;="&amp;$D$7),"—"))</f>
        <v/>
      </c>
      <c r="Q119" s="32" t="str">
        <f>IF(Q$100="","",IF(Config!$V$50&lt;&gt;"Não",SUMIFS(BD!$U$3:$U$5001,BD!$B$3:$B$5001,Q$100,BD!$A$3:$A$5001,"&gt;="&amp;$C$7,BD!$A$3:$A$5001,"&lt;="&amp;$D$7),"—"))</f>
        <v/>
      </c>
      <c r="R119" s="32" t="str">
        <f>IF(R$100="","",IF(Config!$V$51&lt;&gt;"Não",SUMIFS(BD!$U$3:$U$5001,BD!$B$3:$B$5001,R$100,BD!$A$3:$A$5001,"&gt;="&amp;$C$7,BD!$A$3:$A$5001,"&lt;="&amp;$D$7),"—"))</f>
        <v/>
      </c>
      <c r="S119" s="32" t="str">
        <f>IF(S$100="","",IF(Config!$V$52&lt;&gt;"Não",SUMIFS(BD!$U$3:$U$5001,BD!$B$3:$B$5001,S$100,BD!$A$3:$A$5001,"&gt;="&amp;$C$7,BD!$A$3:$A$5001,"&lt;="&amp;$D$7),"—"))</f>
        <v/>
      </c>
      <c r="T119" s="32" t="str">
        <f>IF(T$100="","",IF(Config!$V$53&lt;&gt;"Não",SUMIFS(BD!$U$3:$U$5001,BD!$B$3:$B$5001,T$100,BD!$A$3:$A$5001,"&gt;="&amp;$C$7,BD!$A$3:$A$5001,"&lt;="&amp;$D$7),"—"))</f>
        <v/>
      </c>
      <c r="U119" s="32" t="str">
        <f>IF(U$100="","",IF(Config!$V$54&lt;&gt;"Não",SUMIFS(BD!$U$3:$U$5001,BD!$B$3:$B$5001,U$100,BD!$A$3:$A$5001,"&gt;="&amp;$C$7,BD!$A$3:$A$5001,"&lt;="&amp;$D$7),"—"))</f>
        <v/>
      </c>
      <c r="V119" s="62">
        <f>SUM(B119:U119)</f>
        <v>0</v>
      </c>
    </row>
    <row r="120">
      <c r="A120" s="29" t="inlineStr">
        <is>
          <t xml:space="preserve">NC · Backlog</t>
        </is>
      </c>
      <c r="B120" s="32" t="str">
        <f>IF(B$100="","",IF(Config!$W$35&lt;&gt;"Não",IF(COUNTIFS(BD!$B$3:$B$5001,B$100,BD!$A$3:$A$5001,"&gt;="&amp;$C$7,BD!$A$3:$A$5001,"&lt;="&amp;$D$7,BD!$V$3:$V$5001,"&lt;&gt;")=0,"",SUMIFS(BD!$V$3:$V$5001,BD!$B$3:$B$5001,B$100,BD!$A$3:$A$5001,_xlfn.MAXIFS(BD!$A$3:$A$5001,BD!$B$3:$B$5001,B$100,BD!$A$3:$A$5001,"&gt;="&amp;$C$7,BD!$A$3:$A$5001,"&lt;="&amp;$D$7,BD!$V$3:$V$5001,"&lt;&gt;"))),"—"))</f>
        <v/>
      </c>
      <c r="C120" s="32" t="str">
        <f>IF(C$100="","",IF(Config!$W$36&lt;&gt;"Não",IF(COUNTIFS(BD!$B$3:$B$5001,C$100,BD!$A$3:$A$5001,"&gt;="&amp;$C$7,BD!$A$3:$A$5001,"&lt;="&amp;$D$7,BD!$V$3:$V$5001,"&lt;&gt;")=0,"",SUMIFS(BD!$V$3:$V$5001,BD!$B$3:$B$5001,C$100,BD!$A$3:$A$5001,_xlfn.MAXIFS(BD!$A$3:$A$5001,BD!$B$3:$B$5001,C$100,BD!$A$3:$A$5001,"&gt;="&amp;$C$7,BD!$A$3:$A$5001,"&lt;="&amp;$D$7,BD!$V$3:$V$5001,"&lt;&gt;"))),"—"))</f>
        <v/>
      </c>
      <c r="D120" s="32" t="str">
        <f>IF(D$100="","",IF(Config!$W$37&lt;&gt;"Não",IF(COUNTIFS(BD!$B$3:$B$5001,D$100,BD!$A$3:$A$5001,"&gt;="&amp;$C$7,BD!$A$3:$A$5001,"&lt;="&amp;$D$7,BD!$V$3:$V$5001,"&lt;&gt;")=0,"",SUMIFS(BD!$V$3:$V$5001,BD!$B$3:$B$5001,D$100,BD!$A$3:$A$5001,_xlfn.MAXIFS(BD!$A$3:$A$5001,BD!$B$3:$B$5001,D$100,BD!$A$3:$A$5001,"&gt;="&amp;$C$7,BD!$A$3:$A$5001,"&lt;="&amp;$D$7,BD!$V$3:$V$5001,"&lt;&gt;"))),"—"))</f>
        <v/>
      </c>
      <c r="E120" s="32" t="str">
        <f>IF(E$100="","",IF(Config!$W$38&lt;&gt;"Não",IF(COUNTIFS(BD!$B$3:$B$5001,E$100,BD!$A$3:$A$5001,"&gt;="&amp;$C$7,BD!$A$3:$A$5001,"&lt;="&amp;$D$7,BD!$V$3:$V$5001,"&lt;&gt;")=0,"",SUMIFS(BD!$V$3:$V$5001,BD!$B$3:$B$5001,E$100,BD!$A$3:$A$5001,_xlfn.MAXIFS(BD!$A$3:$A$5001,BD!$B$3:$B$5001,E$100,BD!$A$3:$A$5001,"&gt;="&amp;$C$7,BD!$A$3:$A$5001,"&lt;="&amp;$D$7,BD!$V$3:$V$5001,"&lt;&gt;"))),"—"))</f>
        <v/>
      </c>
      <c r="F120" s="32" t="str">
        <f>IF(F$100="","",IF(Config!$W$39&lt;&gt;"Não",IF(COUNTIFS(BD!$B$3:$B$5001,F$100,BD!$A$3:$A$5001,"&gt;="&amp;$C$7,BD!$A$3:$A$5001,"&lt;="&amp;$D$7,BD!$V$3:$V$5001,"&lt;&gt;")=0,"",SUMIFS(BD!$V$3:$V$5001,BD!$B$3:$B$5001,F$100,BD!$A$3:$A$5001,_xlfn.MAXIFS(BD!$A$3:$A$5001,BD!$B$3:$B$5001,F$100,BD!$A$3:$A$5001,"&gt;="&amp;$C$7,BD!$A$3:$A$5001,"&lt;="&amp;$D$7,BD!$V$3:$V$5001,"&lt;&gt;"))),"—"))</f>
        <v/>
      </c>
      <c r="G120" s="32" t="str">
        <f>IF(G$100="","",IF(Config!$W$40&lt;&gt;"Não",IF(COUNTIFS(BD!$B$3:$B$5001,G$100,BD!$A$3:$A$5001,"&gt;="&amp;$C$7,BD!$A$3:$A$5001,"&lt;="&amp;$D$7,BD!$V$3:$V$5001,"&lt;&gt;")=0,"",SUMIFS(BD!$V$3:$V$5001,BD!$B$3:$B$5001,G$100,BD!$A$3:$A$5001,_xlfn.MAXIFS(BD!$A$3:$A$5001,BD!$B$3:$B$5001,G$100,BD!$A$3:$A$5001,"&gt;="&amp;$C$7,BD!$A$3:$A$5001,"&lt;="&amp;$D$7,BD!$V$3:$V$5001,"&lt;&gt;"))),"—"))</f>
        <v/>
      </c>
      <c r="H120" s="32" t="str">
        <f>IF(H$100="","",IF(Config!$W$41&lt;&gt;"Não",IF(COUNTIFS(BD!$B$3:$B$5001,H$100,BD!$A$3:$A$5001,"&gt;="&amp;$C$7,BD!$A$3:$A$5001,"&lt;="&amp;$D$7,BD!$V$3:$V$5001,"&lt;&gt;")=0,"",SUMIFS(BD!$V$3:$V$5001,BD!$B$3:$B$5001,H$100,BD!$A$3:$A$5001,_xlfn.MAXIFS(BD!$A$3:$A$5001,BD!$B$3:$B$5001,H$100,BD!$A$3:$A$5001,"&gt;="&amp;$C$7,BD!$A$3:$A$5001,"&lt;="&amp;$D$7,BD!$V$3:$V$5001,"&lt;&gt;"))),"—"))</f>
        <v/>
      </c>
      <c r="I120" s="32" t="str">
        <f>IF(I$100="","",IF(Config!$W$42&lt;&gt;"Não",IF(COUNTIFS(BD!$B$3:$B$5001,I$100,BD!$A$3:$A$5001,"&gt;="&amp;$C$7,BD!$A$3:$A$5001,"&lt;="&amp;$D$7,BD!$V$3:$V$5001,"&lt;&gt;")=0,"",SUMIFS(BD!$V$3:$V$5001,BD!$B$3:$B$5001,I$100,BD!$A$3:$A$5001,_xlfn.MAXIFS(BD!$A$3:$A$5001,BD!$B$3:$B$5001,I$100,BD!$A$3:$A$5001,"&gt;="&amp;$C$7,BD!$A$3:$A$5001,"&lt;="&amp;$D$7,BD!$V$3:$V$5001,"&lt;&gt;"))),"—"))</f>
        <v/>
      </c>
      <c r="J120" s="32" t="str">
        <f>IF(J$100="","",IF(Config!$W$43&lt;&gt;"Não",IF(COUNTIFS(BD!$B$3:$B$5001,J$100,BD!$A$3:$A$5001,"&gt;="&amp;$C$7,BD!$A$3:$A$5001,"&lt;="&amp;$D$7,BD!$V$3:$V$5001,"&lt;&gt;")=0,"",SUMIFS(BD!$V$3:$V$5001,BD!$B$3:$B$5001,J$100,BD!$A$3:$A$5001,_xlfn.MAXIFS(BD!$A$3:$A$5001,BD!$B$3:$B$5001,J$100,BD!$A$3:$A$5001,"&gt;="&amp;$C$7,BD!$A$3:$A$5001,"&lt;="&amp;$D$7,BD!$V$3:$V$5001,"&lt;&gt;"))),"—"))</f>
        <v/>
      </c>
      <c r="K120" s="32" t="str">
        <f>IF(K$100="","",IF(Config!$W$44&lt;&gt;"Não",IF(COUNTIFS(BD!$B$3:$B$5001,K$100,BD!$A$3:$A$5001,"&gt;="&amp;$C$7,BD!$A$3:$A$5001,"&lt;="&amp;$D$7,BD!$V$3:$V$5001,"&lt;&gt;")=0,"",SUMIFS(BD!$V$3:$V$5001,BD!$B$3:$B$5001,K$100,BD!$A$3:$A$5001,_xlfn.MAXIFS(BD!$A$3:$A$5001,BD!$B$3:$B$5001,K$100,BD!$A$3:$A$5001,"&gt;="&amp;$C$7,BD!$A$3:$A$5001,"&lt;="&amp;$D$7,BD!$V$3:$V$5001,"&lt;&gt;"))),"—"))</f>
        <v/>
      </c>
      <c r="L120" s="32" t="str">
        <f>IF(L$100="","",IF(Config!$W$45&lt;&gt;"Não",IF(COUNTIFS(BD!$B$3:$B$5001,L$100,BD!$A$3:$A$5001,"&gt;="&amp;$C$7,BD!$A$3:$A$5001,"&lt;="&amp;$D$7,BD!$V$3:$V$5001,"&lt;&gt;")=0,"",SUMIFS(BD!$V$3:$V$5001,BD!$B$3:$B$5001,L$100,BD!$A$3:$A$5001,_xlfn.MAXIFS(BD!$A$3:$A$5001,BD!$B$3:$B$5001,L$100,BD!$A$3:$A$5001,"&gt;="&amp;$C$7,BD!$A$3:$A$5001,"&lt;="&amp;$D$7,BD!$V$3:$V$5001,"&lt;&gt;"))),"—"))</f>
        <v/>
      </c>
      <c r="M120" s="32" t="str">
        <f>IF(M$100="","",IF(Config!$W$46&lt;&gt;"Não",IF(COUNTIFS(BD!$B$3:$B$5001,M$100,BD!$A$3:$A$5001,"&gt;="&amp;$C$7,BD!$A$3:$A$5001,"&lt;="&amp;$D$7,BD!$V$3:$V$5001,"&lt;&gt;")=0,"",SUMIFS(BD!$V$3:$V$5001,BD!$B$3:$B$5001,M$100,BD!$A$3:$A$5001,_xlfn.MAXIFS(BD!$A$3:$A$5001,BD!$B$3:$B$5001,M$100,BD!$A$3:$A$5001,"&gt;="&amp;$C$7,BD!$A$3:$A$5001,"&lt;="&amp;$D$7,BD!$V$3:$V$5001,"&lt;&gt;"))),"—"))</f>
        <v/>
      </c>
      <c r="N120" s="32" t="str">
        <f>IF(N$100="","",IF(Config!$W$47&lt;&gt;"Não",IF(COUNTIFS(BD!$B$3:$B$5001,N$100,BD!$A$3:$A$5001,"&gt;="&amp;$C$7,BD!$A$3:$A$5001,"&lt;="&amp;$D$7,BD!$V$3:$V$5001,"&lt;&gt;")=0,"",SUMIFS(BD!$V$3:$V$5001,BD!$B$3:$B$5001,N$100,BD!$A$3:$A$5001,_xlfn.MAXIFS(BD!$A$3:$A$5001,BD!$B$3:$B$5001,N$100,BD!$A$3:$A$5001,"&gt;="&amp;$C$7,BD!$A$3:$A$5001,"&lt;="&amp;$D$7,BD!$V$3:$V$5001,"&lt;&gt;"))),"—"))</f>
        <v/>
      </c>
      <c r="O120" s="32" t="str">
        <f>IF(O$100="","",IF(Config!$W$48&lt;&gt;"Não",IF(COUNTIFS(BD!$B$3:$B$5001,O$100,BD!$A$3:$A$5001,"&gt;="&amp;$C$7,BD!$A$3:$A$5001,"&lt;="&amp;$D$7,BD!$V$3:$V$5001,"&lt;&gt;")=0,"",SUMIFS(BD!$V$3:$V$5001,BD!$B$3:$B$5001,O$100,BD!$A$3:$A$5001,_xlfn.MAXIFS(BD!$A$3:$A$5001,BD!$B$3:$B$5001,O$100,BD!$A$3:$A$5001,"&gt;="&amp;$C$7,BD!$A$3:$A$5001,"&lt;="&amp;$D$7,BD!$V$3:$V$5001,"&lt;&gt;"))),"—"))</f>
        <v/>
      </c>
      <c r="P120" s="32" t="str">
        <f>IF(P$100="","",IF(Config!$W$49&lt;&gt;"Não",IF(COUNTIFS(BD!$B$3:$B$5001,P$100,BD!$A$3:$A$5001,"&gt;="&amp;$C$7,BD!$A$3:$A$5001,"&lt;="&amp;$D$7,BD!$V$3:$V$5001,"&lt;&gt;")=0,"",SUMIFS(BD!$V$3:$V$5001,BD!$B$3:$B$5001,P$100,BD!$A$3:$A$5001,_xlfn.MAXIFS(BD!$A$3:$A$5001,BD!$B$3:$B$5001,P$100,BD!$A$3:$A$5001,"&gt;="&amp;$C$7,BD!$A$3:$A$5001,"&lt;="&amp;$D$7,BD!$V$3:$V$5001,"&lt;&gt;"))),"—"))</f>
        <v/>
      </c>
      <c r="Q120" s="32" t="str">
        <f>IF(Q$100="","",IF(Config!$W$50&lt;&gt;"Não",IF(COUNTIFS(BD!$B$3:$B$5001,Q$100,BD!$A$3:$A$5001,"&gt;="&amp;$C$7,BD!$A$3:$A$5001,"&lt;="&amp;$D$7,BD!$V$3:$V$5001,"&lt;&gt;")=0,"",SUMIFS(BD!$V$3:$V$5001,BD!$B$3:$B$5001,Q$100,BD!$A$3:$A$5001,_xlfn.MAXIFS(BD!$A$3:$A$5001,BD!$B$3:$B$5001,Q$100,BD!$A$3:$A$5001,"&gt;="&amp;$C$7,BD!$A$3:$A$5001,"&lt;="&amp;$D$7,BD!$V$3:$V$5001,"&lt;&gt;"))),"—"))</f>
        <v/>
      </c>
      <c r="R120" s="32" t="str">
        <f>IF(R$100="","",IF(Config!$W$51&lt;&gt;"Não",IF(COUNTIFS(BD!$B$3:$B$5001,R$100,BD!$A$3:$A$5001,"&gt;="&amp;$C$7,BD!$A$3:$A$5001,"&lt;="&amp;$D$7,BD!$V$3:$V$5001,"&lt;&gt;")=0,"",SUMIFS(BD!$V$3:$V$5001,BD!$B$3:$B$5001,R$100,BD!$A$3:$A$5001,_xlfn.MAXIFS(BD!$A$3:$A$5001,BD!$B$3:$B$5001,R$100,BD!$A$3:$A$5001,"&gt;="&amp;$C$7,BD!$A$3:$A$5001,"&lt;="&amp;$D$7,BD!$V$3:$V$5001,"&lt;&gt;"))),"—"))</f>
        <v/>
      </c>
      <c r="S120" s="32" t="str">
        <f>IF(S$100="","",IF(Config!$W$52&lt;&gt;"Não",IF(COUNTIFS(BD!$B$3:$B$5001,S$100,BD!$A$3:$A$5001,"&gt;="&amp;$C$7,BD!$A$3:$A$5001,"&lt;="&amp;$D$7,BD!$V$3:$V$5001,"&lt;&gt;")=0,"",SUMIFS(BD!$V$3:$V$5001,BD!$B$3:$B$5001,S$100,BD!$A$3:$A$5001,_xlfn.MAXIFS(BD!$A$3:$A$5001,BD!$B$3:$B$5001,S$100,BD!$A$3:$A$5001,"&gt;="&amp;$C$7,BD!$A$3:$A$5001,"&lt;="&amp;$D$7,BD!$V$3:$V$5001,"&lt;&gt;"))),"—"))</f>
        <v/>
      </c>
      <c r="T120" s="32" t="str">
        <f>IF(T$100="","",IF(Config!$W$53&lt;&gt;"Não",IF(COUNTIFS(BD!$B$3:$B$5001,T$100,BD!$A$3:$A$5001,"&gt;="&amp;$C$7,BD!$A$3:$A$5001,"&lt;="&amp;$D$7,BD!$V$3:$V$5001,"&lt;&gt;")=0,"",SUMIFS(BD!$V$3:$V$5001,BD!$B$3:$B$5001,T$100,BD!$A$3:$A$5001,_xlfn.MAXIFS(BD!$A$3:$A$5001,BD!$B$3:$B$5001,T$100,BD!$A$3:$A$5001,"&gt;="&amp;$C$7,BD!$A$3:$A$5001,"&lt;="&amp;$D$7,BD!$V$3:$V$5001,"&lt;&gt;"))),"—"))</f>
        <v/>
      </c>
      <c r="U120" s="32" t="str">
        <f>IF(U$100="","",IF(Config!$W$54&lt;&gt;"Não",IF(COUNTIFS(BD!$B$3:$B$5001,U$100,BD!$A$3:$A$5001,"&gt;="&amp;$C$7,BD!$A$3:$A$5001,"&lt;="&amp;$D$7,BD!$V$3:$V$5001,"&lt;&gt;")=0,"",SUMIFS(BD!$V$3:$V$5001,BD!$B$3:$B$5001,U$100,BD!$A$3:$A$5001,_xlfn.MAXIFS(BD!$A$3:$A$5001,BD!$B$3:$B$5001,U$100,BD!$A$3:$A$5001,"&gt;="&amp;$C$7,BD!$A$3:$A$5001,"&lt;="&amp;$D$7,BD!$V$3:$V$5001,"&lt;&gt;"))),"—"))</f>
        <v/>
      </c>
      <c r="V120" s="62">
        <f>SUM(B120:U120)</f>
        <v>0</v>
      </c>
    </row>
    <row r="121">
      <c r="A121" s="29" t="inlineStr">
        <is>
          <t xml:space="preserve">OCUPAÇÃO (P.P) · Posições Disponíveis</t>
        </is>
      </c>
      <c r="B121" s="32" t="str">
        <f>IF(B$100="","",IF(Config!$X$35&lt;&gt;"Não",IF(N(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=0,"",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,"—"))</f>
        <v/>
      </c>
      <c r="C121" s="32" t="str">
        <f>IF(C$100="","",IF(Config!$X$36&lt;&gt;"Não",IF(N(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=0,"",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,"—"))</f>
        <v/>
      </c>
      <c r="D121" s="32" t="str">
        <f>IF(D$100="","",IF(Config!$X$37&lt;&gt;"Não",IF(N(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=0,"",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,"—"))</f>
        <v/>
      </c>
      <c r="E121" s="32" t="str">
        <f>IF(E$100="","",IF(Config!$X$38&lt;&gt;"Não",IF(N(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=0,"",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,"—"))</f>
        <v/>
      </c>
      <c r="F121" s="32" t="str">
        <f>IF(F$100="","",IF(Config!$X$39&lt;&gt;"Não",IF(N(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=0,"",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,"—"))</f>
        <v/>
      </c>
      <c r="G121" s="32" t="str">
        <f>IF(G$100="","",IF(Config!$X$40&lt;&gt;"Não",IF(N(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=0,"",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,"—"))</f>
        <v/>
      </c>
      <c r="H121" s="32" t="str">
        <f>IF(H$100="","",IF(Config!$X$41&lt;&gt;"Não",IF(N(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=0,"",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,"—"))</f>
        <v/>
      </c>
      <c r="I121" s="32" t="str">
        <f>IF(I$100="","",IF(Config!$X$42&lt;&gt;"Não",IF(N(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=0,"",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,"—"))</f>
        <v/>
      </c>
      <c r="J121" s="32" t="str">
        <f>IF(J$100="","",IF(Config!$X$43&lt;&gt;"Não",IF(N(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=0,"",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,"—"))</f>
        <v/>
      </c>
      <c r="K121" s="32" t="str">
        <f>IF(K$100="","",IF(Config!$X$44&lt;&gt;"Não",IF(N(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=0,"",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,"—"))</f>
        <v/>
      </c>
      <c r="L121" s="32" t="str">
        <f>IF(L$100="","",IF(Config!$X$45&lt;&gt;"Não",IF(N(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=0,"",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,"—"))</f>
        <v/>
      </c>
      <c r="M121" s="32" t="str">
        <f>IF(M$100="","",IF(Config!$X$46&lt;&gt;"Não",IF(N(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=0,"",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,"—"))</f>
        <v/>
      </c>
      <c r="N121" s="32" t="str">
        <f>IF(N$100="","",IF(Config!$X$47&lt;&gt;"Não",IF(N(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=0,"",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,"—"))</f>
        <v/>
      </c>
      <c r="O121" s="32" t="str">
        <f>IF(O$100="","",IF(Config!$X$48&lt;&gt;"Não",IF(N(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=0,"",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,"—"))</f>
        <v/>
      </c>
      <c r="P121" s="32" t="str">
        <f>IF(P$100="","",IF(Config!$X$49&lt;&gt;"Não",IF(N(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=0,"",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,"—"))</f>
        <v/>
      </c>
      <c r="Q121" s="32" t="str">
        <f>IF(Q$100="","",IF(Config!$X$50&lt;&gt;"Não",IF(N(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=0,"",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,"—"))</f>
        <v/>
      </c>
      <c r="R121" s="32" t="str">
        <f>IF(R$100="","",IF(Config!$X$51&lt;&gt;"Não",IF(N(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=0,"",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,"—"))</f>
        <v/>
      </c>
      <c r="S121" s="32" t="str">
        <f>IF(S$100="","",IF(Config!$X$52&lt;&gt;"Não",IF(N(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=0,"",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,"—"))</f>
        <v/>
      </c>
      <c r="T121" s="32" t="str">
        <f>IF(T$100="","",IF(Config!$X$53&lt;&gt;"Não",IF(N(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=0,"",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,"—"))</f>
        <v/>
      </c>
      <c r="U121" s="32" t="str">
        <f>IF(U$100="","",IF(Config!$X$54&lt;&gt;"Não",IF(N(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=0,"",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,"—"))</f>
        <v/>
      </c>
      <c r="V121" s="62">
        <f>IF($B$4&gt;0,$B$4,SUM(B121:U121))</f>
        <v>23040</v>
      </c>
    </row>
    <row r="122">
      <c r="A122" s="29" t="inlineStr">
        <is>
          <t xml:space="preserve">OCUPAÇÃO (P.P) · Posições Ocupadas</t>
        </is>
      </c>
      <c r="B122" s="32" t="str">
        <f>IF(B$100="","",IF(Config!$Y$35&lt;&gt;"Não",IF(COUNTIFS(BD!$B$3:$B$5001,B$100,BD!$A$3:$A$5001,"&gt;="&amp;$C$7,BD!$A$3:$A$5001,"&lt;="&amp;$D$7,BD!$X$3:$X$5001,"&lt;&gt;")=0,"",SUMIFS(BD!$X$3:$X$5001,BD!$B$3:$B$5001,B$100,BD!$A$3:$A$5001,_xlfn.MAXIFS(BD!$A$3:$A$5001,BD!$B$3:$B$5001,B$100,BD!$A$3:$A$5001,"&gt;="&amp;$C$7,BD!$A$3:$A$5001,"&lt;="&amp;$D$7,BD!$X$3:$X$5001,"&lt;&gt;"))),"—"))</f>
        <v/>
      </c>
      <c r="C122" s="32" t="str">
        <f>IF(C$100="","",IF(Config!$Y$36&lt;&gt;"Não",IF(COUNTIFS(BD!$B$3:$B$5001,C$100,BD!$A$3:$A$5001,"&gt;="&amp;$C$7,BD!$A$3:$A$5001,"&lt;="&amp;$D$7,BD!$X$3:$X$5001,"&lt;&gt;")=0,"",SUMIFS(BD!$X$3:$X$5001,BD!$B$3:$B$5001,C$100,BD!$A$3:$A$5001,_xlfn.MAXIFS(BD!$A$3:$A$5001,BD!$B$3:$B$5001,C$100,BD!$A$3:$A$5001,"&gt;="&amp;$C$7,BD!$A$3:$A$5001,"&lt;="&amp;$D$7,BD!$X$3:$X$5001,"&lt;&gt;"))),"—"))</f>
        <v/>
      </c>
      <c r="D122" s="32" t="str">
        <f>IF(D$100="","",IF(Config!$Y$37&lt;&gt;"Não",IF(COUNTIFS(BD!$B$3:$B$5001,D$100,BD!$A$3:$A$5001,"&gt;="&amp;$C$7,BD!$A$3:$A$5001,"&lt;="&amp;$D$7,BD!$X$3:$X$5001,"&lt;&gt;")=0,"",SUMIFS(BD!$X$3:$X$5001,BD!$B$3:$B$5001,D$100,BD!$A$3:$A$5001,_xlfn.MAXIFS(BD!$A$3:$A$5001,BD!$B$3:$B$5001,D$100,BD!$A$3:$A$5001,"&gt;="&amp;$C$7,BD!$A$3:$A$5001,"&lt;="&amp;$D$7,BD!$X$3:$X$5001,"&lt;&gt;"))),"—"))</f>
        <v/>
      </c>
      <c r="E122" s="32" t="str">
        <f>IF(E$100="","",IF(Config!$Y$38&lt;&gt;"Não",IF(COUNTIFS(BD!$B$3:$B$5001,E$100,BD!$A$3:$A$5001,"&gt;="&amp;$C$7,BD!$A$3:$A$5001,"&lt;="&amp;$D$7,BD!$X$3:$X$5001,"&lt;&gt;")=0,"",SUMIFS(BD!$X$3:$X$5001,BD!$B$3:$B$5001,E$100,BD!$A$3:$A$5001,_xlfn.MAXIFS(BD!$A$3:$A$5001,BD!$B$3:$B$5001,E$100,BD!$A$3:$A$5001,"&gt;="&amp;$C$7,BD!$A$3:$A$5001,"&lt;="&amp;$D$7,BD!$X$3:$X$5001,"&lt;&gt;"))),"—"))</f>
        <v/>
      </c>
      <c r="F122" s="32" t="str">
        <f>IF(F$100="","",IF(Config!$Y$39&lt;&gt;"Não",IF(COUNTIFS(BD!$B$3:$B$5001,F$100,BD!$A$3:$A$5001,"&gt;="&amp;$C$7,BD!$A$3:$A$5001,"&lt;="&amp;$D$7,BD!$X$3:$X$5001,"&lt;&gt;")=0,"",SUMIFS(BD!$X$3:$X$5001,BD!$B$3:$B$5001,F$100,BD!$A$3:$A$5001,_xlfn.MAXIFS(BD!$A$3:$A$5001,BD!$B$3:$B$5001,F$100,BD!$A$3:$A$5001,"&gt;="&amp;$C$7,BD!$A$3:$A$5001,"&lt;="&amp;$D$7,BD!$X$3:$X$5001,"&lt;&gt;"))),"—"))</f>
        <v/>
      </c>
      <c r="G122" s="32" t="str">
        <f>IF(G$100="","",IF(Config!$Y$40&lt;&gt;"Não",IF(COUNTIFS(BD!$B$3:$B$5001,G$100,BD!$A$3:$A$5001,"&gt;="&amp;$C$7,BD!$A$3:$A$5001,"&lt;="&amp;$D$7,BD!$X$3:$X$5001,"&lt;&gt;")=0,"",SUMIFS(BD!$X$3:$X$5001,BD!$B$3:$B$5001,G$100,BD!$A$3:$A$5001,_xlfn.MAXIFS(BD!$A$3:$A$5001,BD!$B$3:$B$5001,G$100,BD!$A$3:$A$5001,"&gt;="&amp;$C$7,BD!$A$3:$A$5001,"&lt;="&amp;$D$7,BD!$X$3:$X$5001,"&lt;&gt;"))),"—"))</f>
        <v/>
      </c>
      <c r="H122" s="32" t="str">
        <f>IF(H$100="","",IF(Config!$Y$41&lt;&gt;"Não",IF(COUNTIFS(BD!$B$3:$B$5001,H$100,BD!$A$3:$A$5001,"&gt;="&amp;$C$7,BD!$A$3:$A$5001,"&lt;="&amp;$D$7,BD!$X$3:$X$5001,"&lt;&gt;")=0,"",SUMIFS(BD!$X$3:$X$5001,BD!$B$3:$B$5001,H$100,BD!$A$3:$A$5001,_xlfn.MAXIFS(BD!$A$3:$A$5001,BD!$B$3:$B$5001,H$100,BD!$A$3:$A$5001,"&gt;="&amp;$C$7,BD!$A$3:$A$5001,"&lt;="&amp;$D$7,BD!$X$3:$X$5001,"&lt;&gt;"))),"—"))</f>
        <v/>
      </c>
      <c r="I122" s="32" t="str">
        <f>IF(I$100="","",IF(Config!$Y$42&lt;&gt;"Não",IF(COUNTIFS(BD!$B$3:$B$5001,I$100,BD!$A$3:$A$5001,"&gt;="&amp;$C$7,BD!$A$3:$A$5001,"&lt;="&amp;$D$7,BD!$X$3:$X$5001,"&lt;&gt;")=0,"",SUMIFS(BD!$X$3:$X$5001,BD!$B$3:$B$5001,I$100,BD!$A$3:$A$5001,_xlfn.MAXIFS(BD!$A$3:$A$5001,BD!$B$3:$B$5001,I$100,BD!$A$3:$A$5001,"&gt;="&amp;$C$7,BD!$A$3:$A$5001,"&lt;="&amp;$D$7,BD!$X$3:$X$5001,"&lt;&gt;"))),"—"))</f>
        <v/>
      </c>
      <c r="J122" s="32" t="str">
        <f>IF(J$100="","",IF(Config!$Y$43&lt;&gt;"Não",IF(COUNTIFS(BD!$B$3:$B$5001,J$100,BD!$A$3:$A$5001,"&gt;="&amp;$C$7,BD!$A$3:$A$5001,"&lt;="&amp;$D$7,BD!$X$3:$X$5001,"&lt;&gt;")=0,"",SUMIFS(BD!$X$3:$X$5001,BD!$B$3:$B$5001,J$100,BD!$A$3:$A$5001,_xlfn.MAXIFS(BD!$A$3:$A$5001,BD!$B$3:$B$5001,J$100,BD!$A$3:$A$5001,"&gt;="&amp;$C$7,BD!$A$3:$A$5001,"&lt;="&amp;$D$7,BD!$X$3:$X$5001,"&lt;&gt;"))),"—"))</f>
        <v/>
      </c>
      <c r="K122" s="32" t="str">
        <f>IF(K$100="","",IF(Config!$Y$44&lt;&gt;"Não",IF(COUNTIFS(BD!$B$3:$B$5001,K$100,BD!$A$3:$A$5001,"&gt;="&amp;$C$7,BD!$A$3:$A$5001,"&lt;="&amp;$D$7,BD!$X$3:$X$5001,"&lt;&gt;")=0,"",SUMIFS(BD!$X$3:$X$5001,BD!$B$3:$B$5001,K$100,BD!$A$3:$A$5001,_xlfn.MAXIFS(BD!$A$3:$A$5001,BD!$B$3:$B$5001,K$100,BD!$A$3:$A$5001,"&gt;="&amp;$C$7,BD!$A$3:$A$5001,"&lt;="&amp;$D$7,BD!$X$3:$X$5001,"&lt;&gt;"))),"—"))</f>
        <v/>
      </c>
      <c r="L122" s="32" t="str">
        <f>IF(L$100="","",IF(Config!$Y$45&lt;&gt;"Não",IF(COUNTIFS(BD!$B$3:$B$5001,L$100,BD!$A$3:$A$5001,"&gt;="&amp;$C$7,BD!$A$3:$A$5001,"&lt;="&amp;$D$7,BD!$X$3:$X$5001,"&lt;&gt;")=0,"",SUMIFS(BD!$X$3:$X$5001,BD!$B$3:$B$5001,L$100,BD!$A$3:$A$5001,_xlfn.MAXIFS(BD!$A$3:$A$5001,BD!$B$3:$B$5001,L$100,BD!$A$3:$A$5001,"&gt;="&amp;$C$7,BD!$A$3:$A$5001,"&lt;="&amp;$D$7,BD!$X$3:$X$5001,"&lt;&gt;"))),"—"))</f>
        <v/>
      </c>
      <c r="M122" s="32" t="str">
        <f>IF(M$100="","",IF(Config!$Y$46&lt;&gt;"Não",IF(COUNTIFS(BD!$B$3:$B$5001,M$100,BD!$A$3:$A$5001,"&gt;="&amp;$C$7,BD!$A$3:$A$5001,"&lt;="&amp;$D$7,BD!$X$3:$X$5001,"&lt;&gt;")=0,"",SUMIFS(BD!$X$3:$X$5001,BD!$B$3:$B$5001,M$100,BD!$A$3:$A$5001,_xlfn.MAXIFS(BD!$A$3:$A$5001,BD!$B$3:$B$5001,M$100,BD!$A$3:$A$5001,"&gt;="&amp;$C$7,BD!$A$3:$A$5001,"&lt;="&amp;$D$7,BD!$X$3:$X$5001,"&lt;&gt;"))),"—"))</f>
        <v/>
      </c>
      <c r="N122" s="32" t="str">
        <f>IF(N$100="","",IF(Config!$Y$47&lt;&gt;"Não",IF(COUNTIFS(BD!$B$3:$B$5001,N$100,BD!$A$3:$A$5001,"&gt;="&amp;$C$7,BD!$A$3:$A$5001,"&lt;="&amp;$D$7,BD!$X$3:$X$5001,"&lt;&gt;")=0,"",SUMIFS(BD!$X$3:$X$5001,BD!$B$3:$B$5001,N$100,BD!$A$3:$A$5001,_xlfn.MAXIFS(BD!$A$3:$A$5001,BD!$B$3:$B$5001,N$100,BD!$A$3:$A$5001,"&gt;="&amp;$C$7,BD!$A$3:$A$5001,"&lt;="&amp;$D$7,BD!$X$3:$X$5001,"&lt;&gt;"))),"—"))</f>
        <v/>
      </c>
      <c r="O122" s="32" t="str">
        <f>IF(O$100="","",IF(Config!$Y$48&lt;&gt;"Não",IF(COUNTIFS(BD!$B$3:$B$5001,O$100,BD!$A$3:$A$5001,"&gt;="&amp;$C$7,BD!$A$3:$A$5001,"&lt;="&amp;$D$7,BD!$X$3:$X$5001,"&lt;&gt;")=0,"",SUMIFS(BD!$X$3:$X$5001,BD!$B$3:$B$5001,O$100,BD!$A$3:$A$5001,_xlfn.MAXIFS(BD!$A$3:$A$5001,BD!$B$3:$B$5001,O$100,BD!$A$3:$A$5001,"&gt;="&amp;$C$7,BD!$A$3:$A$5001,"&lt;="&amp;$D$7,BD!$X$3:$X$5001,"&lt;&gt;"))),"—"))</f>
        <v/>
      </c>
      <c r="P122" s="32" t="str">
        <f>IF(P$100="","",IF(Config!$Y$49&lt;&gt;"Não",IF(COUNTIFS(BD!$B$3:$B$5001,P$100,BD!$A$3:$A$5001,"&gt;="&amp;$C$7,BD!$A$3:$A$5001,"&lt;="&amp;$D$7,BD!$X$3:$X$5001,"&lt;&gt;")=0,"",SUMIFS(BD!$X$3:$X$5001,BD!$B$3:$B$5001,P$100,BD!$A$3:$A$5001,_xlfn.MAXIFS(BD!$A$3:$A$5001,BD!$B$3:$B$5001,P$100,BD!$A$3:$A$5001,"&gt;="&amp;$C$7,BD!$A$3:$A$5001,"&lt;="&amp;$D$7,BD!$X$3:$X$5001,"&lt;&gt;"))),"—"))</f>
        <v/>
      </c>
      <c r="Q122" s="32" t="str">
        <f>IF(Q$100="","",IF(Config!$Y$50&lt;&gt;"Não",IF(COUNTIFS(BD!$B$3:$B$5001,Q$100,BD!$A$3:$A$5001,"&gt;="&amp;$C$7,BD!$A$3:$A$5001,"&lt;="&amp;$D$7,BD!$X$3:$X$5001,"&lt;&gt;")=0,"",SUMIFS(BD!$X$3:$X$5001,BD!$B$3:$B$5001,Q$100,BD!$A$3:$A$5001,_xlfn.MAXIFS(BD!$A$3:$A$5001,BD!$B$3:$B$5001,Q$100,BD!$A$3:$A$5001,"&gt;="&amp;$C$7,BD!$A$3:$A$5001,"&lt;="&amp;$D$7,BD!$X$3:$X$5001,"&lt;&gt;"))),"—"))</f>
        <v/>
      </c>
      <c r="R122" s="32" t="str">
        <f>IF(R$100="","",IF(Config!$Y$51&lt;&gt;"Não",IF(COUNTIFS(BD!$B$3:$B$5001,R$100,BD!$A$3:$A$5001,"&gt;="&amp;$C$7,BD!$A$3:$A$5001,"&lt;="&amp;$D$7,BD!$X$3:$X$5001,"&lt;&gt;")=0,"",SUMIFS(BD!$X$3:$X$5001,BD!$B$3:$B$5001,R$100,BD!$A$3:$A$5001,_xlfn.MAXIFS(BD!$A$3:$A$5001,BD!$B$3:$B$5001,R$100,BD!$A$3:$A$5001,"&gt;="&amp;$C$7,BD!$A$3:$A$5001,"&lt;="&amp;$D$7,BD!$X$3:$X$5001,"&lt;&gt;"))),"—"))</f>
        <v/>
      </c>
      <c r="S122" s="32" t="str">
        <f>IF(S$100="","",IF(Config!$Y$52&lt;&gt;"Não",IF(COUNTIFS(BD!$B$3:$B$5001,S$100,BD!$A$3:$A$5001,"&gt;="&amp;$C$7,BD!$A$3:$A$5001,"&lt;="&amp;$D$7,BD!$X$3:$X$5001,"&lt;&gt;")=0,"",SUMIFS(BD!$X$3:$X$5001,BD!$B$3:$B$5001,S$100,BD!$A$3:$A$5001,_xlfn.MAXIFS(BD!$A$3:$A$5001,BD!$B$3:$B$5001,S$100,BD!$A$3:$A$5001,"&gt;="&amp;$C$7,BD!$A$3:$A$5001,"&lt;="&amp;$D$7,BD!$X$3:$X$5001,"&lt;&gt;"))),"—"))</f>
        <v/>
      </c>
      <c r="T122" s="32" t="str">
        <f>IF(T$100="","",IF(Config!$Y$53&lt;&gt;"Não",IF(COUNTIFS(BD!$B$3:$B$5001,T$100,BD!$A$3:$A$5001,"&gt;="&amp;$C$7,BD!$A$3:$A$5001,"&lt;="&amp;$D$7,BD!$X$3:$X$5001,"&lt;&gt;")=0,"",SUMIFS(BD!$X$3:$X$5001,BD!$B$3:$B$5001,T$100,BD!$A$3:$A$5001,_xlfn.MAXIFS(BD!$A$3:$A$5001,BD!$B$3:$B$5001,T$100,BD!$A$3:$A$5001,"&gt;="&amp;$C$7,BD!$A$3:$A$5001,"&lt;="&amp;$D$7,BD!$X$3:$X$5001,"&lt;&gt;"))),"—"))</f>
        <v/>
      </c>
      <c r="U122" s="32" t="str">
        <f>IF(U$100="","",IF(Config!$Y$54&lt;&gt;"Não",IF(COUNTIFS(BD!$B$3:$B$5001,U$100,BD!$A$3:$A$5001,"&gt;="&amp;$C$7,BD!$A$3:$A$5001,"&lt;="&amp;$D$7,BD!$X$3:$X$5001,"&lt;&gt;")=0,"",SUMIFS(BD!$X$3:$X$5001,BD!$B$3:$B$5001,U$100,BD!$A$3:$A$5001,_xlfn.MAXIFS(BD!$A$3:$A$5001,BD!$B$3:$B$5001,U$100,BD!$A$3:$A$5001,"&gt;="&amp;$C$7,BD!$A$3:$A$5001,"&lt;="&amp;$D$7,BD!$X$3:$X$5001,"&lt;&gt;"))),"—"))</f>
        <v/>
      </c>
      <c r="V122" s="62">
        <f>SUM(B122:U122)</f>
        <v>0</v>
      </c>
    </row>
    <row r="123">
      <c r="A123" s="29" t="inlineStr">
        <is>
          <t xml:space="preserve">OCUPAÇÃO (P.P) · Taxa de Ocupação</t>
        </is>
      </c>
      <c r="B123" s="50" t="str">
        <f>IF(B$100="","",IF(AND(Config!$X$35&lt;&gt;"Não",Config!$Y$35&lt;&gt;"Não"),IF(AND(ISNUMBER(B122),ISNUMBER(B121)),IF(B121&gt;0,B122/B121,""),""),"—"))</f>
        <v/>
      </c>
      <c r="C123" s="50" t="str">
        <f>IF(C$100="","",IF(AND(Config!$X$36&lt;&gt;"Não",Config!$Y$36&lt;&gt;"Não"),IF(AND(ISNUMBER(C122),ISNUMBER(C121)),IF(C121&gt;0,C122/C121,""),""),"—"))</f>
        <v/>
      </c>
      <c r="D123" s="50" t="str">
        <f>IF(D$100="","",IF(AND(Config!$X$37&lt;&gt;"Não",Config!$Y$37&lt;&gt;"Não"),IF(AND(ISNUMBER(D122),ISNUMBER(D121)),IF(D121&gt;0,D122/D121,""),""),"—"))</f>
        <v/>
      </c>
      <c r="E123" s="50" t="str">
        <f>IF(E$100="","",IF(AND(Config!$X$38&lt;&gt;"Não",Config!$Y$38&lt;&gt;"Não"),IF(AND(ISNUMBER(E122),ISNUMBER(E121)),IF(E121&gt;0,E122/E121,""),""),"—"))</f>
        <v/>
      </c>
      <c r="F123" s="50" t="str">
        <f>IF(F$100="","",IF(AND(Config!$X$39&lt;&gt;"Não",Config!$Y$39&lt;&gt;"Não"),IF(AND(ISNUMBER(F122),ISNUMBER(F121)),IF(F121&gt;0,F122/F121,""),""),"—"))</f>
        <v/>
      </c>
      <c r="G123" s="50" t="str">
        <f>IF(G$100="","",IF(AND(Config!$X$40&lt;&gt;"Não",Config!$Y$40&lt;&gt;"Não"),IF(AND(ISNUMBER(G122),ISNUMBER(G121)),IF(G121&gt;0,G122/G121,""),""),"—"))</f>
        <v/>
      </c>
      <c r="H123" s="50" t="str">
        <f>IF(H$100="","",IF(AND(Config!$X$41&lt;&gt;"Não",Config!$Y$41&lt;&gt;"Não"),IF(AND(ISNUMBER(H122),ISNUMBER(H121)),IF(H121&gt;0,H122/H121,""),""),"—"))</f>
        <v/>
      </c>
      <c r="I123" s="50" t="str">
        <f>IF(I$100="","",IF(AND(Config!$X$42&lt;&gt;"Não",Config!$Y$42&lt;&gt;"Não"),IF(AND(ISNUMBER(I122),ISNUMBER(I121)),IF(I121&gt;0,I122/I121,""),""),"—"))</f>
        <v/>
      </c>
      <c r="J123" s="50" t="str">
        <f>IF(J$100="","",IF(AND(Config!$X$43&lt;&gt;"Não",Config!$Y$43&lt;&gt;"Não"),IF(AND(ISNUMBER(J122),ISNUMBER(J121)),IF(J121&gt;0,J122/J121,""),""),"—"))</f>
        <v/>
      </c>
      <c r="K123" s="50" t="str">
        <f>IF(K$100="","",IF(AND(Config!$X$44&lt;&gt;"Não",Config!$Y$44&lt;&gt;"Não"),IF(AND(ISNUMBER(K122),ISNUMBER(K121)),IF(K121&gt;0,K122/K121,""),""),"—"))</f>
        <v/>
      </c>
      <c r="L123" s="50" t="str">
        <f>IF(L$100="","",IF(AND(Config!$X$45&lt;&gt;"Não",Config!$Y$45&lt;&gt;"Não"),IF(AND(ISNUMBER(L122),ISNUMBER(L121)),IF(L121&gt;0,L122/L121,""),""),"—"))</f>
        <v/>
      </c>
      <c r="M123" s="50" t="str">
        <f>IF(M$100="","",IF(AND(Config!$X$46&lt;&gt;"Não",Config!$Y$46&lt;&gt;"Não"),IF(AND(ISNUMBER(M122),ISNUMBER(M121)),IF(M121&gt;0,M122/M121,""),""),"—"))</f>
        <v/>
      </c>
      <c r="N123" s="50" t="str">
        <f>IF(N$100="","",IF(AND(Config!$X$47&lt;&gt;"Não",Config!$Y$47&lt;&gt;"Não"),IF(AND(ISNUMBER(N122),ISNUMBER(N121)),IF(N121&gt;0,N122/N121,""),""),"—"))</f>
        <v/>
      </c>
      <c r="O123" s="50" t="str">
        <f>IF(O$100="","",IF(AND(Config!$X$48&lt;&gt;"Não",Config!$Y$48&lt;&gt;"Não"),IF(AND(ISNUMBER(O122),ISNUMBER(O121)),IF(O121&gt;0,O122/O121,""),""),"—"))</f>
        <v/>
      </c>
      <c r="P123" s="50" t="str">
        <f>IF(P$100="","",IF(AND(Config!$X$49&lt;&gt;"Não",Config!$Y$49&lt;&gt;"Não"),IF(AND(ISNUMBER(P122),ISNUMBER(P121)),IF(P121&gt;0,P122/P121,""),""),"—"))</f>
        <v/>
      </c>
      <c r="Q123" s="50" t="str">
        <f>IF(Q$100="","",IF(AND(Config!$X$50&lt;&gt;"Não",Config!$Y$50&lt;&gt;"Não"),IF(AND(ISNUMBER(Q122),ISNUMBER(Q121)),IF(Q121&gt;0,Q122/Q121,""),""),"—"))</f>
        <v/>
      </c>
      <c r="R123" s="50" t="str">
        <f>IF(R$100="","",IF(AND(Config!$X$51&lt;&gt;"Não",Config!$Y$51&lt;&gt;"Não"),IF(AND(ISNUMBER(R122),ISNUMBER(R121)),IF(R121&gt;0,R122/R121,""),""),"—"))</f>
        <v/>
      </c>
      <c r="S123" s="50" t="str">
        <f>IF(S$100="","",IF(AND(Config!$X$52&lt;&gt;"Não",Config!$Y$52&lt;&gt;"Não"),IF(AND(ISNUMBER(S122),ISNUMBER(S121)),IF(S121&gt;0,S122/S121,""),""),"—"))</f>
        <v/>
      </c>
      <c r="T123" s="50" t="str">
        <f>IF(T$100="","",IF(AND(Config!$X$53&lt;&gt;"Não",Config!$Y$53&lt;&gt;"Não"),IF(AND(ISNUMBER(T122),ISNUMBER(T121)),IF(T121&gt;0,T122/T121,""),""),"—"))</f>
        <v/>
      </c>
      <c r="U123" s="50" t="str">
        <f>IF(U$100="","",IF(AND(Config!$X$54&lt;&gt;"Não",Config!$Y$54&lt;&gt;"Não"),IF(AND(ISNUMBER(U122),ISNUMBER(U121)),IF(U121&gt;0,U122/U121,""),""),"—"))</f>
        <v/>
      </c>
      <c r="V123" s="64">
        <f>IFERROR(V122/V121,"")</f>
        <v>0</v>
      </c>
    </row>
    <row r="124">
      <c r="A124" s="29" t="inlineStr">
        <is>
          <t xml:space="preserve">GENTE · Efetivo Op.</t>
        </is>
      </c>
      <c r="B124" s="32" t="str">
        <f>IF(B$100="","",IF(Config!$Z$35&lt;&gt;"Não",IF(COUNTIFS(BD!$B$3:$B$5001,B$100,BD!$A$3:$A$5001,"&gt;="&amp;$C$7,BD!$A$3:$A$5001,"&lt;="&amp;$D$7,BD!$Y$3:$Y$5001,"&lt;&gt;")=0,"",SUMIFS(BD!$Y$3:$Y$5001,BD!$B$3:$B$5001,B$100,BD!$A$3:$A$5001,_xlfn.MAXIFS(BD!$A$3:$A$5001,BD!$B$3:$B$5001,B$100,BD!$A$3:$A$5001,"&gt;="&amp;$C$7,BD!$A$3:$A$5001,"&lt;="&amp;$D$7,BD!$Y$3:$Y$5001,"&lt;&gt;"))),"—"))</f>
        <v/>
      </c>
      <c r="C124" s="32" t="str">
        <f>IF(C$100="","",IF(Config!$Z$36&lt;&gt;"Não",IF(COUNTIFS(BD!$B$3:$B$5001,C$100,BD!$A$3:$A$5001,"&gt;="&amp;$C$7,BD!$A$3:$A$5001,"&lt;="&amp;$D$7,BD!$Y$3:$Y$5001,"&lt;&gt;")=0,"",SUMIFS(BD!$Y$3:$Y$5001,BD!$B$3:$B$5001,C$100,BD!$A$3:$A$5001,_xlfn.MAXIFS(BD!$A$3:$A$5001,BD!$B$3:$B$5001,C$100,BD!$A$3:$A$5001,"&gt;="&amp;$C$7,BD!$A$3:$A$5001,"&lt;="&amp;$D$7,BD!$Y$3:$Y$5001,"&lt;&gt;"))),"—"))</f>
        <v/>
      </c>
      <c r="D124" s="32" t="str">
        <f>IF(D$100="","",IF(Config!$Z$37&lt;&gt;"Não",IF(COUNTIFS(BD!$B$3:$B$5001,D$100,BD!$A$3:$A$5001,"&gt;="&amp;$C$7,BD!$A$3:$A$5001,"&lt;="&amp;$D$7,BD!$Y$3:$Y$5001,"&lt;&gt;")=0,"",SUMIFS(BD!$Y$3:$Y$5001,BD!$B$3:$B$5001,D$100,BD!$A$3:$A$5001,_xlfn.MAXIFS(BD!$A$3:$A$5001,BD!$B$3:$B$5001,D$100,BD!$A$3:$A$5001,"&gt;="&amp;$C$7,BD!$A$3:$A$5001,"&lt;="&amp;$D$7,BD!$Y$3:$Y$5001,"&lt;&gt;"))),"—"))</f>
        <v/>
      </c>
      <c r="E124" s="32" t="str">
        <f>IF(E$100="","",IF(Config!$Z$38&lt;&gt;"Não",IF(COUNTIFS(BD!$B$3:$B$5001,E$100,BD!$A$3:$A$5001,"&gt;="&amp;$C$7,BD!$A$3:$A$5001,"&lt;="&amp;$D$7,BD!$Y$3:$Y$5001,"&lt;&gt;")=0,"",SUMIFS(BD!$Y$3:$Y$5001,BD!$B$3:$B$5001,E$100,BD!$A$3:$A$5001,_xlfn.MAXIFS(BD!$A$3:$A$5001,BD!$B$3:$B$5001,E$100,BD!$A$3:$A$5001,"&gt;="&amp;$C$7,BD!$A$3:$A$5001,"&lt;="&amp;$D$7,BD!$Y$3:$Y$5001,"&lt;&gt;"))),"—"))</f>
        <v/>
      </c>
      <c r="F124" s="32" t="str">
        <f>IF(F$100="","",IF(Config!$Z$39&lt;&gt;"Não",IF(COUNTIFS(BD!$B$3:$B$5001,F$100,BD!$A$3:$A$5001,"&gt;="&amp;$C$7,BD!$A$3:$A$5001,"&lt;="&amp;$D$7,BD!$Y$3:$Y$5001,"&lt;&gt;")=0,"",SUMIFS(BD!$Y$3:$Y$5001,BD!$B$3:$B$5001,F$100,BD!$A$3:$A$5001,_xlfn.MAXIFS(BD!$A$3:$A$5001,BD!$B$3:$B$5001,F$100,BD!$A$3:$A$5001,"&gt;="&amp;$C$7,BD!$A$3:$A$5001,"&lt;="&amp;$D$7,BD!$Y$3:$Y$5001,"&lt;&gt;"))),"—"))</f>
        <v/>
      </c>
      <c r="G124" s="32" t="str">
        <f>IF(G$100="","",IF(Config!$Z$40&lt;&gt;"Não",IF(COUNTIFS(BD!$B$3:$B$5001,G$100,BD!$A$3:$A$5001,"&gt;="&amp;$C$7,BD!$A$3:$A$5001,"&lt;="&amp;$D$7,BD!$Y$3:$Y$5001,"&lt;&gt;")=0,"",SUMIFS(BD!$Y$3:$Y$5001,BD!$B$3:$B$5001,G$100,BD!$A$3:$A$5001,_xlfn.MAXIFS(BD!$A$3:$A$5001,BD!$B$3:$B$5001,G$100,BD!$A$3:$A$5001,"&gt;="&amp;$C$7,BD!$A$3:$A$5001,"&lt;="&amp;$D$7,BD!$Y$3:$Y$5001,"&lt;&gt;"))),"—"))</f>
        <v/>
      </c>
      <c r="H124" s="32" t="str">
        <f>IF(H$100="","",IF(Config!$Z$41&lt;&gt;"Não",IF(COUNTIFS(BD!$B$3:$B$5001,H$100,BD!$A$3:$A$5001,"&gt;="&amp;$C$7,BD!$A$3:$A$5001,"&lt;="&amp;$D$7,BD!$Y$3:$Y$5001,"&lt;&gt;")=0,"",SUMIFS(BD!$Y$3:$Y$5001,BD!$B$3:$B$5001,H$100,BD!$A$3:$A$5001,_xlfn.MAXIFS(BD!$A$3:$A$5001,BD!$B$3:$B$5001,H$100,BD!$A$3:$A$5001,"&gt;="&amp;$C$7,BD!$A$3:$A$5001,"&lt;="&amp;$D$7,BD!$Y$3:$Y$5001,"&lt;&gt;"))),"—"))</f>
        <v/>
      </c>
      <c r="I124" s="32" t="str">
        <f>IF(I$100="","",IF(Config!$Z$42&lt;&gt;"Não",IF(COUNTIFS(BD!$B$3:$B$5001,I$100,BD!$A$3:$A$5001,"&gt;="&amp;$C$7,BD!$A$3:$A$5001,"&lt;="&amp;$D$7,BD!$Y$3:$Y$5001,"&lt;&gt;")=0,"",SUMIFS(BD!$Y$3:$Y$5001,BD!$B$3:$B$5001,I$100,BD!$A$3:$A$5001,_xlfn.MAXIFS(BD!$A$3:$A$5001,BD!$B$3:$B$5001,I$100,BD!$A$3:$A$5001,"&gt;="&amp;$C$7,BD!$A$3:$A$5001,"&lt;="&amp;$D$7,BD!$Y$3:$Y$5001,"&lt;&gt;"))),"—"))</f>
        <v/>
      </c>
      <c r="J124" s="32" t="str">
        <f>IF(J$100="","",IF(Config!$Z$43&lt;&gt;"Não",IF(COUNTIFS(BD!$B$3:$B$5001,J$100,BD!$A$3:$A$5001,"&gt;="&amp;$C$7,BD!$A$3:$A$5001,"&lt;="&amp;$D$7,BD!$Y$3:$Y$5001,"&lt;&gt;")=0,"",SUMIFS(BD!$Y$3:$Y$5001,BD!$B$3:$B$5001,J$100,BD!$A$3:$A$5001,_xlfn.MAXIFS(BD!$A$3:$A$5001,BD!$B$3:$B$5001,J$100,BD!$A$3:$A$5001,"&gt;="&amp;$C$7,BD!$A$3:$A$5001,"&lt;="&amp;$D$7,BD!$Y$3:$Y$5001,"&lt;&gt;"))),"—"))</f>
        <v/>
      </c>
      <c r="K124" s="32" t="str">
        <f>IF(K$100="","",IF(Config!$Z$44&lt;&gt;"Não",IF(COUNTIFS(BD!$B$3:$B$5001,K$100,BD!$A$3:$A$5001,"&gt;="&amp;$C$7,BD!$A$3:$A$5001,"&lt;="&amp;$D$7,BD!$Y$3:$Y$5001,"&lt;&gt;")=0,"",SUMIFS(BD!$Y$3:$Y$5001,BD!$B$3:$B$5001,K$100,BD!$A$3:$A$5001,_xlfn.MAXIFS(BD!$A$3:$A$5001,BD!$B$3:$B$5001,K$100,BD!$A$3:$A$5001,"&gt;="&amp;$C$7,BD!$A$3:$A$5001,"&lt;="&amp;$D$7,BD!$Y$3:$Y$5001,"&lt;&gt;"))),"—"))</f>
        <v/>
      </c>
      <c r="L124" s="32" t="str">
        <f>IF(L$100="","",IF(Config!$Z$45&lt;&gt;"Não",IF(COUNTIFS(BD!$B$3:$B$5001,L$100,BD!$A$3:$A$5001,"&gt;="&amp;$C$7,BD!$A$3:$A$5001,"&lt;="&amp;$D$7,BD!$Y$3:$Y$5001,"&lt;&gt;")=0,"",SUMIFS(BD!$Y$3:$Y$5001,BD!$B$3:$B$5001,L$100,BD!$A$3:$A$5001,_xlfn.MAXIFS(BD!$A$3:$A$5001,BD!$B$3:$B$5001,L$100,BD!$A$3:$A$5001,"&gt;="&amp;$C$7,BD!$A$3:$A$5001,"&lt;="&amp;$D$7,BD!$Y$3:$Y$5001,"&lt;&gt;"))),"—"))</f>
        <v/>
      </c>
      <c r="M124" s="32" t="str">
        <f>IF(M$100="","",IF(Config!$Z$46&lt;&gt;"Não",IF(COUNTIFS(BD!$B$3:$B$5001,M$100,BD!$A$3:$A$5001,"&gt;="&amp;$C$7,BD!$A$3:$A$5001,"&lt;="&amp;$D$7,BD!$Y$3:$Y$5001,"&lt;&gt;")=0,"",SUMIFS(BD!$Y$3:$Y$5001,BD!$B$3:$B$5001,M$100,BD!$A$3:$A$5001,_xlfn.MAXIFS(BD!$A$3:$A$5001,BD!$B$3:$B$5001,M$100,BD!$A$3:$A$5001,"&gt;="&amp;$C$7,BD!$A$3:$A$5001,"&lt;="&amp;$D$7,BD!$Y$3:$Y$5001,"&lt;&gt;"))),"—"))</f>
        <v/>
      </c>
      <c r="N124" s="32" t="str">
        <f>IF(N$100="","",IF(Config!$Z$47&lt;&gt;"Não",IF(COUNTIFS(BD!$B$3:$B$5001,N$100,BD!$A$3:$A$5001,"&gt;="&amp;$C$7,BD!$A$3:$A$5001,"&lt;="&amp;$D$7,BD!$Y$3:$Y$5001,"&lt;&gt;")=0,"",SUMIFS(BD!$Y$3:$Y$5001,BD!$B$3:$B$5001,N$100,BD!$A$3:$A$5001,_xlfn.MAXIFS(BD!$A$3:$A$5001,BD!$B$3:$B$5001,N$100,BD!$A$3:$A$5001,"&gt;="&amp;$C$7,BD!$A$3:$A$5001,"&lt;="&amp;$D$7,BD!$Y$3:$Y$5001,"&lt;&gt;"))),"—"))</f>
        <v/>
      </c>
      <c r="O124" s="32" t="str">
        <f>IF(O$100="","",IF(Config!$Z$48&lt;&gt;"Não",IF(COUNTIFS(BD!$B$3:$B$5001,O$100,BD!$A$3:$A$5001,"&gt;="&amp;$C$7,BD!$A$3:$A$5001,"&lt;="&amp;$D$7,BD!$Y$3:$Y$5001,"&lt;&gt;")=0,"",SUMIFS(BD!$Y$3:$Y$5001,BD!$B$3:$B$5001,O$100,BD!$A$3:$A$5001,_xlfn.MAXIFS(BD!$A$3:$A$5001,BD!$B$3:$B$5001,O$100,BD!$A$3:$A$5001,"&gt;="&amp;$C$7,BD!$A$3:$A$5001,"&lt;="&amp;$D$7,BD!$Y$3:$Y$5001,"&lt;&gt;"))),"—"))</f>
        <v/>
      </c>
      <c r="P124" s="32" t="str">
        <f>IF(P$100="","",IF(Config!$Z$49&lt;&gt;"Não",IF(COUNTIFS(BD!$B$3:$B$5001,P$100,BD!$A$3:$A$5001,"&gt;="&amp;$C$7,BD!$A$3:$A$5001,"&lt;="&amp;$D$7,BD!$Y$3:$Y$5001,"&lt;&gt;")=0,"",SUMIFS(BD!$Y$3:$Y$5001,BD!$B$3:$B$5001,P$100,BD!$A$3:$A$5001,_xlfn.MAXIFS(BD!$A$3:$A$5001,BD!$B$3:$B$5001,P$100,BD!$A$3:$A$5001,"&gt;="&amp;$C$7,BD!$A$3:$A$5001,"&lt;="&amp;$D$7,BD!$Y$3:$Y$5001,"&lt;&gt;"))),"—"))</f>
        <v/>
      </c>
      <c r="Q124" s="32" t="str">
        <f>IF(Q$100="","",IF(Config!$Z$50&lt;&gt;"Não",IF(COUNTIFS(BD!$B$3:$B$5001,Q$100,BD!$A$3:$A$5001,"&gt;="&amp;$C$7,BD!$A$3:$A$5001,"&lt;="&amp;$D$7,BD!$Y$3:$Y$5001,"&lt;&gt;")=0,"",SUMIFS(BD!$Y$3:$Y$5001,BD!$B$3:$B$5001,Q$100,BD!$A$3:$A$5001,_xlfn.MAXIFS(BD!$A$3:$A$5001,BD!$B$3:$B$5001,Q$100,BD!$A$3:$A$5001,"&gt;="&amp;$C$7,BD!$A$3:$A$5001,"&lt;="&amp;$D$7,BD!$Y$3:$Y$5001,"&lt;&gt;"))),"—"))</f>
        <v/>
      </c>
      <c r="R124" s="32" t="str">
        <f>IF(R$100="","",IF(Config!$Z$51&lt;&gt;"Não",IF(COUNTIFS(BD!$B$3:$B$5001,R$100,BD!$A$3:$A$5001,"&gt;="&amp;$C$7,BD!$A$3:$A$5001,"&lt;="&amp;$D$7,BD!$Y$3:$Y$5001,"&lt;&gt;")=0,"",SUMIFS(BD!$Y$3:$Y$5001,BD!$B$3:$B$5001,R$100,BD!$A$3:$A$5001,_xlfn.MAXIFS(BD!$A$3:$A$5001,BD!$B$3:$B$5001,R$100,BD!$A$3:$A$5001,"&gt;="&amp;$C$7,BD!$A$3:$A$5001,"&lt;="&amp;$D$7,BD!$Y$3:$Y$5001,"&lt;&gt;"))),"—"))</f>
        <v/>
      </c>
      <c r="S124" s="32" t="str">
        <f>IF(S$100="","",IF(Config!$Z$52&lt;&gt;"Não",IF(COUNTIFS(BD!$B$3:$B$5001,S$100,BD!$A$3:$A$5001,"&gt;="&amp;$C$7,BD!$A$3:$A$5001,"&lt;="&amp;$D$7,BD!$Y$3:$Y$5001,"&lt;&gt;")=0,"",SUMIFS(BD!$Y$3:$Y$5001,BD!$B$3:$B$5001,S$100,BD!$A$3:$A$5001,_xlfn.MAXIFS(BD!$A$3:$A$5001,BD!$B$3:$B$5001,S$100,BD!$A$3:$A$5001,"&gt;="&amp;$C$7,BD!$A$3:$A$5001,"&lt;="&amp;$D$7,BD!$Y$3:$Y$5001,"&lt;&gt;"))),"—"))</f>
        <v/>
      </c>
      <c r="T124" s="32" t="str">
        <f>IF(T$100="","",IF(Config!$Z$53&lt;&gt;"Não",IF(COUNTIFS(BD!$B$3:$B$5001,T$100,BD!$A$3:$A$5001,"&gt;="&amp;$C$7,BD!$A$3:$A$5001,"&lt;="&amp;$D$7,BD!$Y$3:$Y$5001,"&lt;&gt;")=0,"",SUMIFS(BD!$Y$3:$Y$5001,BD!$B$3:$B$5001,T$100,BD!$A$3:$A$5001,_xlfn.MAXIFS(BD!$A$3:$A$5001,BD!$B$3:$B$5001,T$100,BD!$A$3:$A$5001,"&gt;="&amp;$C$7,BD!$A$3:$A$5001,"&lt;="&amp;$D$7,BD!$Y$3:$Y$5001,"&lt;&gt;"))),"—"))</f>
        <v/>
      </c>
      <c r="U124" s="32" t="str">
        <f>IF(U$100="","",IF(Config!$Z$54&lt;&gt;"Não",IF(COUNTIFS(BD!$B$3:$B$5001,U$100,BD!$A$3:$A$5001,"&gt;="&amp;$C$7,BD!$A$3:$A$5001,"&lt;="&amp;$D$7,BD!$Y$3:$Y$5001,"&lt;&gt;")=0,"",SUMIFS(BD!$Y$3:$Y$5001,BD!$B$3:$B$5001,U$100,BD!$A$3:$A$5001,_xlfn.MAXIFS(BD!$A$3:$A$5001,BD!$B$3:$B$5001,U$100,BD!$A$3:$A$5001,"&gt;="&amp;$C$7,BD!$A$3:$A$5001,"&lt;="&amp;$D$7,BD!$Y$3:$Y$5001,"&lt;&gt;"))),"—"))</f>
        <v/>
      </c>
      <c r="V124" s="62">
        <f>SUM(B124:U124)</f>
        <v>0</v>
      </c>
    </row>
    <row r="125">
      <c r="A125" s="29" t="inlineStr">
        <is>
          <t xml:space="preserve">GENTE · Falta</t>
        </is>
      </c>
      <c r="B125" s="32">
        <f>IF(B$100="","",IF(Config!$AA$35&lt;&gt;"Não",SUMIFS(BD!$Z$3:$Z$5001,BD!$B$3:$B$5001,B$100,BD!$A$3:$A$5001,"&gt;="&amp;$C$7,BD!$A$3:$A$5001,"&lt;="&amp;$D$7),"—"))</f>
        <v>0</v>
      </c>
      <c r="C125" s="32">
        <f>IF(C$100="","",IF(Config!$AA$36&lt;&gt;"Não",SUMIFS(BD!$Z$3:$Z$5001,BD!$B$3:$B$5001,C$100,BD!$A$3:$A$5001,"&gt;="&amp;$C$7,BD!$A$3:$A$5001,"&lt;="&amp;$D$7),"—"))</f>
        <v>0</v>
      </c>
      <c r="D125" s="32">
        <f>IF(D$100="","",IF(Config!$AA$37&lt;&gt;"Não",SUMIFS(BD!$Z$3:$Z$5001,BD!$B$3:$B$5001,D$100,BD!$A$3:$A$5001,"&gt;="&amp;$C$7,BD!$A$3:$A$5001,"&lt;="&amp;$D$7),"—"))</f>
        <v>0</v>
      </c>
      <c r="E125" s="32">
        <f>IF(E$100="","",IF(Config!$AA$38&lt;&gt;"Não",SUMIFS(BD!$Z$3:$Z$5001,BD!$B$3:$B$5001,E$100,BD!$A$3:$A$5001,"&gt;="&amp;$C$7,BD!$A$3:$A$5001,"&lt;="&amp;$D$7),"—"))</f>
        <v>0</v>
      </c>
      <c r="F125" s="32">
        <f>IF(F$100="","",IF(Config!$AA$39&lt;&gt;"Não",SUMIFS(BD!$Z$3:$Z$5001,BD!$B$3:$B$5001,F$100,BD!$A$3:$A$5001,"&gt;="&amp;$C$7,BD!$A$3:$A$5001,"&lt;="&amp;$D$7),"—"))</f>
        <v>0</v>
      </c>
      <c r="G125" s="32">
        <f>IF(G$100="","",IF(Config!$AA$40&lt;&gt;"Não",SUMIFS(BD!$Z$3:$Z$5001,BD!$B$3:$B$5001,G$100,BD!$A$3:$A$5001,"&gt;="&amp;$C$7,BD!$A$3:$A$5001,"&lt;="&amp;$D$7),"—"))</f>
        <v>0</v>
      </c>
      <c r="H125" s="32">
        <f>IF(H$100="","",IF(Config!$AA$41&lt;&gt;"Não",SUMIFS(BD!$Z$3:$Z$5001,BD!$B$3:$B$5001,H$100,BD!$A$3:$A$5001,"&gt;="&amp;$C$7,BD!$A$3:$A$5001,"&lt;="&amp;$D$7),"—"))</f>
        <v>0</v>
      </c>
      <c r="I125" s="32">
        <f>IF(I$100="","",IF(Config!$AA$42&lt;&gt;"Não",SUMIFS(BD!$Z$3:$Z$5001,BD!$B$3:$B$5001,I$100,BD!$A$3:$A$5001,"&gt;="&amp;$C$7,BD!$A$3:$A$5001,"&lt;="&amp;$D$7),"—"))</f>
        <v>0</v>
      </c>
      <c r="J125" s="32">
        <f>IF(J$100="","",IF(Config!$AA$43&lt;&gt;"Não",SUMIFS(BD!$Z$3:$Z$5001,BD!$B$3:$B$5001,J$100,BD!$A$3:$A$5001,"&gt;="&amp;$C$7,BD!$A$3:$A$5001,"&lt;="&amp;$D$7),"—"))</f>
        <v>0</v>
      </c>
      <c r="K125" s="32">
        <f>IF(K$100="","",IF(Config!$AA$44&lt;&gt;"Não",SUMIFS(BD!$Z$3:$Z$5001,BD!$B$3:$B$5001,K$100,BD!$A$3:$A$5001,"&gt;="&amp;$C$7,BD!$A$3:$A$5001,"&lt;="&amp;$D$7),"—"))</f>
        <v>0</v>
      </c>
      <c r="L125" s="32" t="str">
        <f>IF(L$100="","",IF(Config!$AA$45&lt;&gt;"Não",SUMIFS(BD!$Z$3:$Z$5001,BD!$B$3:$B$5001,L$100,BD!$A$3:$A$5001,"&gt;="&amp;$C$7,BD!$A$3:$A$5001,"&lt;="&amp;$D$7),"—"))</f>
        <v/>
      </c>
      <c r="M125" s="32" t="str">
        <f>IF(M$100="","",IF(Config!$AA$46&lt;&gt;"Não",SUMIFS(BD!$Z$3:$Z$5001,BD!$B$3:$B$5001,M$100,BD!$A$3:$A$5001,"&gt;="&amp;$C$7,BD!$A$3:$A$5001,"&lt;="&amp;$D$7),"—"))</f>
        <v/>
      </c>
      <c r="N125" s="32" t="str">
        <f>IF(N$100="","",IF(Config!$AA$47&lt;&gt;"Não",SUMIFS(BD!$Z$3:$Z$5001,BD!$B$3:$B$5001,N$100,BD!$A$3:$A$5001,"&gt;="&amp;$C$7,BD!$A$3:$A$5001,"&lt;="&amp;$D$7),"—"))</f>
        <v/>
      </c>
      <c r="O125" s="32" t="str">
        <f>IF(O$100="","",IF(Config!$AA$48&lt;&gt;"Não",SUMIFS(BD!$Z$3:$Z$5001,BD!$B$3:$B$5001,O$100,BD!$A$3:$A$5001,"&gt;="&amp;$C$7,BD!$A$3:$A$5001,"&lt;="&amp;$D$7),"—"))</f>
        <v/>
      </c>
      <c r="P125" s="32" t="str">
        <f>IF(P$100="","",IF(Config!$AA$49&lt;&gt;"Não",SUMIFS(BD!$Z$3:$Z$5001,BD!$B$3:$B$5001,P$100,BD!$A$3:$A$5001,"&gt;="&amp;$C$7,BD!$A$3:$A$5001,"&lt;="&amp;$D$7),"—"))</f>
        <v/>
      </c>
      <c r="Q125" s="32" t="str">
        <f>IF(Q$100="","",IF(Config!$AA$50&lt;&gt;"Não",SUMIFS(BD!$Z$3:$Z$5001,BD!$B$3:$B$5001,Q$100,BD!$A$3:$A$5001,"&gt;="&amp;$C$7,BD!$A$3:$A$5001,"&lt;="&amp;$D$7),"—"))</f>
        <v/>
      </c>
      <c r="R125" s="32" t="str">
        <f>IF(R$100="","",IF(Config!$AA$51&lt;&gt;"Não",SUMIFS(BD!$Z$3:$Z$5001,BD!$B$3:$B$5001,R$100,BD!$A$3:$A$5001,"&gt;="&amp;$C$7,BD!$A$3:$A$5001,"&lt;="&amp;$D$7),"—"))</f>
        <v/>
      </c>
      <c r="S125" s="32" t="str">
        <f>IF(S$100="","",IF(Config!$AA$52&lt;&gt;"Não",SUMIFS(BD!$Z$3:$Z$5001,BD!$B$3:$B$5001,S$100,BD!$A$3:$A$5001,"&gt;="&amp;$C$7,BD!$A$3:$A$5001,"&lt;="&amp;$D$7),"—"))</f>
        <v/>
      </c>
      <c r="T125" s="32" t="str">
        <f>IF(T$100="","",IF(Config!$AA$53&lt;&gt;"Não",SUMIFS(BD!$Z$3:$Z$5001,BD!$B$3:$B$5001,T$100,BD!$A$3:$A$5001,"&gt;="&amp;$C$7,BD!$A$3:$A$5001,"&lt;="&amp;$D$7),"—"))</f>
        <v/>
      </c>
      <c r="U125" s="32" t="str">
        <f>IF(U$100="","",IF(Config!$AA$54&lt;&gt;"Não",SUMIFS(BD!$Z$3:$Z$5001,BD!$B$3:$B$5001,U$100,BD!$A$3:$A$5001,"&gt;="&amp;$C$7,BD!$A$3:$A$5001,"&lt;="&amp;$D$7),"—"))</f>
        <v/>
      </c>
      <c r="V125" s="62">
        <f>SUM(B125:U125)</f>
        <v>0</v>
      </c>
    </row>
    <row r="126">
      <c r="A126" s="29" t="inlineStr">
        <is>
          <t xml:space="preserve">GENTE · Folga</t>
        </is>
      </c>
      <c r="B126" s="32">
        <f>IF(B$100="","",IF(Config!$AB$35&lt;&gt;"Não",SUMIFS(BD!$AA$3:$AA$5001,BD!$B$3:$B$5001,B$100,BD!$A$3:$A$5001,"&gt;="&amp;$C$7,BD!$A$3:$A$5001,"&lt;="&amp;$D$7),"—"))</f>
        <v>0</v>
      </c>
      <c r="C126" s="32">
        <f>IF(C$100="","",IF(Config!$AB$36&lt;&gt;"Não",SUMIFS(BD!$AA$3:$AA$5001,BD!$B$3:$B$5001,C$100,BD!$A$3:$A$5001,"&gt;="&amp;$C$7,BD!$A$3:$A$5001,"&lt;="&amp;$D$7),"—"))</f>
        <v>0</v>
      </c>
      <c r="D126" s="32">
        <f>IF(D$100="","",IF(Config!$AB$37&lt;&gt;"Não",SUMIFS(BD!$AA$3:$AA$5001,BD!$B$3:$B$5001,D$100,BD!$A$3:$A$5001,"&gt;="&amp;$C$7,BD!$A$3:$A$5001,"&lt;="&amp;$D$7),"—"))</f>
        <v>0</v>
      </c>
      <c r="E126" s="32">
        <f>IF(E$100="","",IF(Config!$AB$38&lt;&gt;"Não",SUMIFS(BD!$AA$3:$AA$5001,BD!$B$3:$B$5001,E$100,BD!$A$3:$A$5001,"&gt;="&amp;$C$7,BD!$A$3:$A$5001,"&lt;="&amp;$D$7),"—"))</f>
        <v>0</v>
      </c>
      <c r="F126" s="32">
        <f>IF(F$100="","",IF(Config!$AB$39&lt;&gt;"Não",SUMIFS(BD!$AA$3:$AA$5001,BD!$B$3:$B$5001,F$100,BD!$A$3:$A$5001,"&gt;="&amp;$C$7,BD!$A$3:$A$5001,"&lt;="&amp;$D$7),"—"))</f>
        <v>0</v>
      </c>
      <c r="G126" s="32">
        <f>IF(G$100="","",IF(Config!$AB$40&lt;&gt;"Não",SUMIFS(BD!$AA$3:$AA$5001,BD!$B$3:$B$5001,G$100,BD!$A$3:$A$5001,"&gt;="&amp;$C$7,BD!$A$3:$A$5001,"&lt;="&amp;$D$7),"—"))</f>
        <v>0</v>
      </c>
      <c r="H126" s="32">
        <f>IF(H$100="","",IF(Config!$AB$41&lt;&gt;"Não",SUMIFS(BD!$AA$3:$AA$5001,BD!$B$3:$B$5001,H$100,BD!$A$3:$A$5001,"&gt;="&amp;$C$7,BD!$A$3:$A$5001,"&lt;="&amp;$D$7),"—"))</f>
        <v>0</v>
      </c>
      <c r="I126" s="32">
        <f>IF(I$100="","",IF(Config!$AB$42&lt;&gt;"Não",SUMIFS(BD!$AA$3:$AA$5001,BD!$B$3:$B$5001,I$100,BD!$A$3:$A$5001,"&gt;="&amp;$C$7,BD!$A$3:$A$5001,"&lt;="&amp;$D$7),"—"))</f>
        <v>0</v>
      </c>
      <c r="J126" s="32">
        <f>IF(J$100="","",IF(Config!$AB$43&lt;&gt;"Não",SUMIFS(BD!$AA$3:$AA$5001,BD!$B$3:$B$5001,J$100,BD!$A$3:$A$5001,"&gt;="&amp;$C$7,BD!$A$3:$A$5001,"&lt;="&amp;$D$7),"—"))</f>
        <v>0</v>
      </c>
      <c r="K126" s="32">
        <f>IF(K$100="","",IF(Config!$AB$44&lt;&gt;"Não",SUMIFS(BD!$AA$3:$AA$5001,BD!$B$3:$B$5001,K$100,BD!$A$3:$A$5001,"&gt;="&amp;$C$7,BD!$A$3:$A$5001,"&lt;="&amp;$D$7),"—"))</f>
        <v>0</v>
      </c>
      <c r="L126" s="32" t="str">
        <f>IF(L$100="","",IF(Config!$AB$45&lt;&gt;"Não",SUMIFS(BD!$AA$3:$AA$5001,BD!$B$3:$B$5001,L$100,BD!$A$3:$A$5001,"&gt;="&amp;$C$7,BD!$A$3:$A$5001,"&lt;="&amp;$D$7),"—"))</f>
        <v/>
      </c>
      <c r="M126" s="32" t="str">
        <f>IF(M$100="","",IF(Config!$AB$46&lt;&gt;"Não",SUMIFS(BD!$AA$3:$AA$5001,BD!$B$3:$B$5001,M$100,BD!$A$3:$A$5001,"&gt;="&amp;$C$7,BD!$A$3:$A$5001,"&lt;="&amp;$D$7),"—"))</f>
        <v/>
      </c>
      <c r="N126" s="32" t="str">
        <f>IF(N$100="","",IF(Config!$AB$47&lt;&gt;"Não",SUMIFS(BD!$AA$3:$AA$5001,BD!$B$3:$B$5001,N$100,BD!$A$3:$A$5001,"&gt;="&amp;$C$7,BD!$A$3:$A$5001,"&lt;="&amp;$D$7),"—"))</f>
        <v/>
      </c>
      <c r="O126" s="32" t="str">
        <f>IF(O$100="","",IF(Config!$AB$48&lt;&gt;"Não",SUMIFS(BD!$AA$3:$AA$5001,BD!$B$3:$B$5001,O$100,BD!$A$3:$A$5001,"&gt;="&amp;$C$7,BD!$A$3:$A$5001,"&lt;="&amp;$D$7),"—"))</f>
        <v/>
      </c>
      <c r="P126" s="32" t="str">
        <f>IF(P$100="","",IF(Config!$AB$49&lt;&gt;"Não",SUMIFS(BD!$AA$3:$AA$5001,BD!$B$3:$B$5001,P$100,BD!$A$3:$A$5001,"&gt;="&amp;$C$7,BD!$A$3:$A$5001,"&lt;="&amp;$D$7),"—"))</f>
        <v/>
      </c>
      <c r="Q126" s="32" t="str">
        <f>IF(Q$100="","",IF(Config!$AB$50&lt;&gt;"Não",SUMIFS(BD!$AA$3:$AA$5001,BD!$B$3:$B$5001,Q$100,BD!$A$3:$A$5001,"&gt;="&amp;$C$7,BD!$A$3:$A$5001,"&lt;="&amp;$D$7),"—"))</f>
        <v/>
      </c>
      <c r="R126" s="32" t="str">
        <f>IF(R$100="","",IF(Config!$AB$51&lt;&gt;"Não",SUMIFS(BD!$AA$3:$AA$5001,BD!$B$3:$B$5001,R$100,BD!$A$3:$A$5001,"&gt;="&amp;$C$7,BD!$A$3:$A$5001,"&lt;="&amp;$D$7),"—"))</f>
        <v/>
      </c>
      <c r="S126" s="32" t="str">
        <f>IF(S$100="","",IF(Config!$AB$52&lt;&gt;"Não",SUMIFS(BD!$AA$3:$AA$5001,BD!$B$3:$B$5001,S$100,BD!$A$3:$A$5001,"&gt;="&amp;$C$7,BD!$A$3:$A$5001,"&lt;="&amp;$D$7),"—"))</f>
        <v/>
      </c>
      <c r="T126" s="32" t="str">
        <f>IF(T$100="","",IF(Config!$AB$53&lt;&gt;"Não",SUMIFS(BD!$AA$3:$AA$5001,BD!$B$3:$B$5001,T$100,BD!$A$3:$A$5001,"&gt;="&amp;$C$7,BD!$A$3:$A$5001,"&lt;="&amp;$D$7),"—"))</f>
        <v/>
      </c>
      <c r="U126" s="32" t="str">
        <f>IF(U$100="","",IF(Config!$AB$54&lt;&gt;"Não",SUMIFS(BD!$AA$3:$AA$5001,BD!$B$3:$B$5001,U$100,BD!$A$3:$A$5001,"&gt;="&amp;$C$7,BD!$A$3:$A$5001,"&lt;="&amp;$D$7),"—"))</f>
        <v/>
      </c>
      <c r="V126" s="62">
        <f>SUM(B126:U126)</f>
        <v>0</v>
      </c>
    </row>
    <row r="127">
      <c r="A127" s="29" t="inlineStr">
        <is>
          <t xml:space="preserve">GENTE · Férias</t>
        </is>
      </c>
      <c r="B127" s="32">
        <f>IF(B$100="","",IF(Config!$AC$35&lt;&gt;"Não",SUMIFS(BD!$AB$3:$AB$5001,BD!$B$3:$B$5001,B$100,BD!$A$3:$A$5001,"&gt;="&amp;$C$7,BD!$A$3:$A$5001,"&lt;="&amp;$D$7),"—"))</f>
        <v>0</v>
      </c>
      <c r="C127" s="32">
        <f>IF(C$100="","",IF(Config!$AC$36&lt;&gt;"Não",SUMIFS(BD!$AB$3:$AB$5001,BD!$B$3:$B$5001,C$100,BD!$A$3:$A$5001,"&gt;="&amp;$C$7,BD!$A$3:$A$5001,"&lt;="&amp;$D$7),"—"))</f>
        <v>0</v>
      </c>
      <c r="D127" s="32">
        <f>IF(D$100="","",IF(Config!$AC$37&lt;&gt;"Não",SUMIFS(BD!$AB$3:$AB$5001,BD!$B$3:$B$5001,D$100,BD!$A$3:$A$5001,"&gt;="&amp;$C$7,BD!$A$3:$A$5001,"&lt;="&amp;$D$7),"—"))</f>
        <v>0</v>
      </c>
      <c r="E127" s="32">
        <f>IF(E$100="","",IF(Config!$AC$38&lt;&gt;"Não",SUMIFS(BD!$AB$3:$AB$5001,BD!$B$3:$B$5001,E$100,BD!$A$3:$A$5001,"&gt;="&amp;$C$7,BD!$A$3:$A$5001,"&lt;="&amp;$D$7),"—"))</f>
        <v>0</v>
      </c>
      <c r="F127" s="32">
        <f>IF(F$100="","",IF(Config!$AC$39&lt;&gt;"Não",SUMIFS(BD!$AB$3:$AB$5001,BD!$B$3:$B$5001,F$100,BD!$A$3:$A$5001,"&gt;="&amp;$C$7,BD!$A$3:$A$5001,"&lt;="&amp;$D$7),"—"))</f>
        <v>0</v>
      </c>
      <c r="G127" s="32">
        <f>IF(G$100="","",IF(Config!$AC$40&lt;&gt;"Não",SUMIFS(BD!$AB$3:$AB$5001,BD!$B$3:$B$5001,G$100,BD!$A$3:$A$5001,"&gt;="&amp;$C$7,BD!$A$3:$A$5001,"&lt;="&amp;$D$7),"—"))</f>
        <v>0</v>
      </c>
      <c r="H127" s="32">
        <f>IF(H$100="","",IF(Config!$AC$41&lt;&gt;"Não",SUMIFS(BD!$AB$3:$AB$5001,BD!$B$3:$B$5001,H$100,BD!$A$3:$A$5001,"&gt;="&amp;$C$7,BD!$A$3:$A$5001,"&lt;="&amp;$D$7),"—"))</f>
        <v>0</v>
      </c>
      <c r="I127" s="32">
        <f>IF(I$100="","",IF(Config!$AC$42&lt;&gt;"Não",SUMIFS(BD!$AB$3:$AB$5001,BD!$B$3:$B$5001,I$100,BD!$A$3:$A$5001,"&gt;="&amp;$C$7,BD!$A$3:$A$5001,"&lt;="&amp;$D$7),"—"))</f>
        <v>0</v>
      </c>
      <c r="J127" s="32">
        <f>IF(J$100="","",IF(Config!$AC$43&lt;&gt;"Não",SUMIFS(BD!$AB$3:$AB$5001,BD!$B$3:$B$5001,J$100,BD!$A$3:$A$5001,"&gt;="&amp;$C$7,BD!$A$3:$A$5001,"&lt;="&amp;$D$7),"—"))</f>
        <v>0</v>
      </c>
      <c r="K127" s="32">
        <f>IF(K$100="","",IF(Config!$AC$44&lt;&gt;"Não",SUMIFS(BD!$AB$3:$AB$5001,BD!$B$3:$B$5001,K$100,BD!$A$3:$A$5001,"&gt;="&amp;$C$7,BD!$A$3:$A$5001,"&lt;="&amp;$D$7),"—"))</f>
        <v>0</v>
      </c>
      <c r="L127" s="32" t="str">
        <f>IF(L$100="","",IF(Config!$AC$45&lt;&gt;"Não",SUMIFS(BD!$AB$3:$AB$5001,BD!$B$3:$B$5001,L$100,BD!$A$3:$A$5001,"&gt;="&amp;$C$7,BD!$A$3:$A$5001,"&lt;="&amp;$D$7),"—"))</f>
        <v/>
      </c>
      <c r="M127" s="32" t="str">
        <f>IF(M$100="","",IF(Config!$AC$46&lt;&gt;"Não",SUMIFS(BD!$AB$3:$AB$5001,BD!$B$3:$B$5001,M$100,BD!$A$3:$A$5001,"&gt;="&amp;$C$7,BD!$A$3:$A$5001,"&lt;="&amp;$D$7),"—"))</f>
        <v/>
      </c>
      <c r="N127" s="32" t="str">
        <f>IF(N$100="","",IF(Config!$AC$47&lt;&gt;"Não",SUMIFS(BD!$AB$3:$AB$5001,BD!$B$3:$B$5001,N$100,BD!$A$3:$A$5001,"&gt;="&amp;$C$7,BD!$A$3:$A$5001,"&lt;="&amp;$D$7),"—"))</f>
        <v/>
      </c>
      <c r="O127" s="32" t="str">
        <f>IF(O$100="","",IF(Config!$AC$48&lt;&gt;"Não",SUMIFS(BD!$AB$3:$AB$5001,BD!$B$3:$B$5001,O$100,BD!$A$3:$A$5001,"&gt;="&amp;$C$7,BD!$A$3:$A$5001,"&lt;="&amp;$D$7),"—"))</f>
        <v/>
      </c>
      <c r="P127" s="32" t="str">
        <f>IF(P$100="","",IF(Config!$AC$49&lt;&gt;"Não",SUMIFS(BD!$AB$3:$AB$5001,BD!$B$3:$B$5001,P$100,BD!$A$3:$A$5001,"&gt;="&amp;$C$7,BD!$A$3:$A$5001,"&lt;="&amp;$D$7),"—"))</f>
        <v/>
      </c>
      <c r="Q127" s="32" t="str">
        <f>IF(Q$100="","",IF(Config!$AC$50&lt;&gt;"Não",SUMIFS(BD!$AB$3:$AB$5001,BD!$B$3:$B$5001,Q$100,BD!$A$3:$A$5001,"&gt;="&amp;$C$7,BD!$A$3:$A$5001,"&lt;="&amp;$D$7),"—"))</f>
        <v/>
      </c>
      <c r="R127" s="32" t="str">
        <f>IF(R$100="","",IF(Config!$AC$51&lt;&gt;"Não",SUMIFS(BD!$AB$3:$AB$5001,BD!$B$3:$B$5001,R$100,BD!$A$3:$A$5001,"&gt;="&amp;$C$7,BD!$A$3:$A$5001,"&lt;="&amp;$D$7),"—"))</f>
        <v/>
      </c>
      <c r="S127" s="32" t="str">
        <f>IF(S$100="","",IF(Config!$AC$52&lt;&gt;"Não",SUMIFS(BD!$AB$3:$AB$5001,BD!$B$3:$B$5001,S$100,BD!$A$3:$A$5001,"&gt;="&amp;$C$7,BD!$A$3:$A$5001,"&lt;="&amp;$D$7),"—"))</f>
        <v/>
      </c>
      <c r="T127" s="32" t="str">
        <f>IF(T$100="","",IF(Config!$AC$53&lt;&gt;"Não",SUMIFS(BD!$AB$3:$AB$5001,BD!$B$3:$B$5001,T$100,BD!$A$3:$A$5001,"&gt;="&amp;$C$7,BD!$A$3:$A$5001,"&lt;="&amp;$D$7),"—"))</f>
        <v/>
      </c>
      <c r="U127" s="32" t="str">
        <f>IF(U$100="","",IF(Config!$AC$54&lt;&gt;"Não",SUMIFS(BD!$AB$3:$AB$5001,BD!$B$3:$B$5001,U$100,BD!$A$3:$A$5001,"&gt;="&amp;$C$7,BD!$A$3:$A$5001,"&lt;="&amp;$D$7),"—"))</f>
        <v/>
      </c>
      <c r="V127" s="62">
        <f>SUM(B127:U127)</f>
        <v>0</v>
      </c>
    </row>
    <row r="128">
      <c r="A128" s="29" t="inlineStr">
        <is>
          <t xml:space="preserve">GENTE · Desligamento</t>
        </is>
      </c>
      <c r="B128" s="32">
        <f>IF(B$100="","",IF(Config!$AD$35&lt;&gt;"Não",SUMIFS(BD!$AC$3:$AC$5001,BD!$B$3:$B$5001,B$100,BD!$A$3:$A$5001,"&gt;="&amp;$C$7,BD!$A$3:$A$5001,"&lt;="&amp;$D$7),"—"))</f>
        <v>0</v>
      </c>
      <c r="C128" s="32">
        <f>IF(C$100="","",IF(Config!$AD$36&lt;&gt;"Não",SUMIFS(BD!$AC$3:$AC$5001,BD!$B$3:$B$5001,C$100,BD!$A$3:$A$5001,"&gt;="&amp;$C$7,BD!$A$3:$A$5001,"&lt;="&amp;$D$7),"—"))</f>
        <v>0</v>
      </c>
      <c r="D128" s="32">
        <f>IF(D$100="","",IF(Config!$AD$37&lt;&gt;"Não",SUMIFS(BD!$AC$3:$AC$5001,BD!$B$3:$B$5001,D$100,BD!$A$3:$A$5001,"&gt;="&amp;$C$7,BD!$A$3:$A$5001,"&lt;="&amp;$D$7),"—"))</f>
        <v>0</v>
      </c>
      <c r="E128" s="32">
        <f>IF(E$100="","",IF(Config!$AD$38&lt;&gt;"Não",SUMIFS(BD!$AC$3:$AC$5001,BD!$B$3:$B$5001,E$100,BD!$A$3:$A$5001,"&gt;="&amp;$C$7,BD!$A$3:$A$5001,"&lt;="&amp;$D$7),"—"))</f>
        <v>0</v>
      </c>
      <c r="F128" s="32">
        <f>IF(F$100="","",IF(Config!$AD$39&lt;&gt;"Não",SUMIFS(BD!$AC$3:$AC$5001,BD!$B$3:$B$5001,F$100,BD!$A$3:$A$5001,"&gt;="&amp;$C$7,BD!$A$3:$A$5001,"&lt;="&amp;$D$7),"—"))</f>
        <v>0</v>
      </c>
      <c r="G128" s="32">
        <f>IF(G$100="","",IF(Config!$AD$40&lt;&gt;"Não",SUMIFS(BD!$AC$3:$AC$5001,BD!$B$3:$B$5001,G$100,BD!$A$3:$A$5001,"&gt;="&amp;$C$7,BD!$A$3:$A$5001,"&lt;="&amp;$D$7),"—"))</f>
        <v>0</v>
      </c>
      <c r="H128" s="32">
        <f>IF(H$100="","",IF(Config!$AD$41&lt;&gt;"Não",SUMIFS(BD!$AC$3:$AC$5001,BD!$B$3:$B$5001,H$100,BD!$A$3:$A$5001,"&gt;="&amp;$C$7,BD!$A$3:$A$5001,"&lt;="&amp;$D$7),"—"))</f>
        <v>0</v>
      </c>
      <c r="I128" s="32">
        <f>IF(I$100="","",IF(Config!$AD$42&lt;&gt;"Não",SUMIFS(BD!$AC$3:$AC$5001,BD!$B$3:$B$5001,I$100,BD!$A$3:$A$5001,"&gt;="&amp;$C$7,BD!$A$3:$A$5001,"&lt;="&amp;$D$7),"—"))</f>
        <v>0</v>
      </c>
      <c r="J128" s="32">
        <f>IF(J$100="","",IF(Config!$AD$43&lt;&gt;"Não",SUMIFS(BD!$AC$3:$AC$5001,BD!$B$3:$B$5001,J$100,BD!$A$3:$A$5001,"&gt;="&amp;$C$7,BD!$A$3:$A$5001,"&lt;="&amp;$D$7),"—"))</f>
        <v>0</v>
      </c>
      <c r="K128" s="32">
        <f>IF(K$100="","",IF(Config!$AD$44&lt;&gt;"Não",SUMIFS(BD!$AC$3:$AC$5001,BD!$B$3:$B$5001,K$100,BD!$A$3:$A$5001,"&gt;="&amp;$C$7,BD!$A$3:$A$5001,"&lt;="&amp;$D$7),"—"))</f>
        <v>0</v>
      </c>
      <c r="L128" s="32" t="str">
        <f>IF(L$100="","",IF(Config!$AD$45&lt;&gt;"Não",SUMIFS(BD!$AC$3:$AC$5001,BD!$B$3:$B$5001,L$100,BD!$A$3:$A$5001,"&gt;="&amp;$C$7,BD!$A$3:$A$5001,"&lt;="&amp;$D$7),"—"))</f>
        <v/>
      </c>
      <c r="M128" s="32" t="str">
        <f>IF(M$100="","",IF(Config!$AD$46&lt;&gt;"Não",SUMIFS(BD!$AC$3:$AC$5001,BD!$B$3:$B$5001,M$100,BD!$A$3:$A$5001,"&gt;="&amp;$C$7,BD!$A$3:$A$5001,"&lt;="&amp;$D$7),"—"))</f>
        <v/>
      </c>
      <c r="N128" s="32" t="str">
        <f>IF(N$100="","",IF(Config!$AD$47&lt;&gt;"Não",SUMIFS(BD!$AC$3:$AC$5001,BD!$B$3:$B$5001,N$100,BD!$A$3:$A$5001,"&gt;="&amp;$C$7,BD!$A$3:$A$5001,"&lt;="&amp;$D$7),"—"))</f>
        <v/>
      </c>
      <c r="O128" s="32" t="str">
        <f>IF(O$100="","",IF(Config!$AD$48&lt;&gt;"Não",SUMIFS(BD!$AC$3:$AC$5001,BD!$B$3:$B$5001,O$100,BD!$A$3:$A$5001,"&gt;="&amp;$C$7,BD!$A$3:$A$5001,"&lt;="&amp;$D$7),"—"))</f>
        <v/>
      </c>
      <c r="P128" s="32" t="str">
        <f>IF(P$100="","",IF(Config!$AD$49&lt;&gt;"Não",SUMIFS(BD!$AC$3:$AC$5001,BD!$B$3:$B$5001,P$100,BD!$A$3:$A$5001,"&gt;="&amp;$C$7,BD!$A$3:$A$5001,"&lt;="&amp;$D$7),"—"))</f>
        <v/>
      </c>
      <c r="Q128" s="32" t="str">
        <f>IF(Q$100="","",IF(Config!$AD$50&lt;&gt;"Não",SUMIFS(BD!$AC$3:$AC$5001,BD!$B$3:$B$5001,Q$100,BD!$A$3:$A$5001,"&gt;="&amp;$C$7,BD!$A$3:$A$5001,"&lt;="&amp;$D$7),"—"))</f>
        <v/>
      </c>
      <c r="R128" s="32" t="str">
        <f>IF(R$100="","",IF(Config!$AD$51&lt;&gt;"Não",SUMIFS(BD!$AC$3:$AC$5001,BD!$B$3:$B$5001,R$100,BD!$A$3:$A$5001,"&gt;="&amp;$C$7,BD!$A$3:$A$5001,"&lt;="&amp;$D$7),"—"))</f>
        <v/>
      </c>
      <c r="S128" s="32" t="str">
        <f>IF(S$100="","",IF(Config!$AD$52&lt;&gt;"Não",SUMIFS(BD!$AC$3:$AC$5001,BD!$B$3:$B$5001,S$100,BD!$A$3:$A$5001,"&gt;="&amp;$C$7,BD!$A$3:$A$5001,"&lt;="&amp;$D$7),"—"))</f>
        <v/>
      </c>
      <c r="T128" s="32" t="str">
        <f>IF(T$100="","",IF(Config!$AD$53&lt;&gt;"Não",SUMIFS(BD!$AC$3:$AC$5001,BD!$B$3:$B$5001,T$100,BD!$A$3:$A$5001,"&gt;="&amp;$C$7,BD!$A$3:$A$5001,"&lt;="&amp;$D$7),"—"))</f>
        <v/>
      </c>
      <c r="U128" s="32" t="str">
        <f>IF(U$100="","",IF(Config!$AD$54&lt;&gt;"Não",SUMIFS(BD!$AC$3:$AC$5001,BD!$B$3:$B$5001,U$100,BD!$A$3:$A$5001,"&gt;="&amp;$C$7,BD!$A$3:$A$5001,"&lt;="&amp;$D$7),"—"))</f>
        <v/>
      </c>
      <c r="V128" s="62">
        <f>SUM(B128:U128)</f>
        <v>0</v>
      </c>
    </row>
    <row r="129">
      <c r="A129" s="29" t="inlineStr">
        <is>
          <t xml:space="preserve">GENTE · Desvios Comportamentais</t>
        </is>
      </c>
      <c r="B129" s="32">
        <f>IF(B$100="","",IF(Config!$AE$35&lt;&gt;"Não",SUMIFS(BD!$AD$3:$AD$5001,BD!$B$3:$B$5001,B$100,BD!$A$3:$A$5001,"&gt;="&amp;$C$7,BD!$A$3:$A$5001,"&lt;="&amp;$D$7),"—"))</f>
        <v>0</v>
      </c>
      <c r="C129" s="32">
        <f>IF(C$100="","",IF(Config!$AE$36&lt;&gt;"Não",SUMIFS(BD!$AD$3:$AD$5001,BD!$B$3:$B$5001,C$100,BD!$A$3:$A$5001,"&gt;="&amp;$C$7,BD!$A$3:$A$5001,"&lt;="&amp;$D$7),"—"))</f>
        <v>0</v>
      </c>
      <c r="D129" s="32">
        <f>IF(D$100="","",IF(Config!$AE$37&lt;&gt;"Não",SUMIFS(BD!$AD$3:$AD$5001,BD!$B$3:$B$5001,D$100,BD!$A$3:$A$5001,"&gt;="&amp;$C$7,BD!$A$3:$A$5001,"&lt;="&amp;$D$7),"—"))</f>
        <v>0</v>
      </c>
      <c r="E129" s="32">
        <f>IF(E$100="","",IF(Config!$AE$38&lt;&gt;"Não",SUMIFS(BD!$AD$3:$AD$5001,BD!$B$3:$B$5001,E$100,BD!$A$3:$A$5001,"&gt;="&amp;$C$7,BD!$A$3:$A$5001,"&lt;="&amp;$D$7),"—"))</f>
        <v>0</v>
      </c>
      <c r="F129" s="32">
        <f>IF(F$100="","",IF(Config!$AE$39&lt;&gt;"Não",SUMIFS(BD!$AD$3:$AD$5001,BD!$B$3:$B$5001,F$100,BD!$A$3:$A$5001,"&gt;="&amp;$C$7,BD!$A$3:$A$5001,"&lt;="&amp;$D$7),"—"))</f>
        <v>0</v>
      </c>
      <c r="G129" s="32">
        <f>IF(G$100="","",IF(Config!$AE$40&lt;&gt;"Não",SUMIFS(BD!$AD$3:$AD$5001,BD!$B$3:$B$5001,G$100,BD!$A$3:$A$5001,"&gt;="&amp;$C$7,BD!$A$3:$A$5001,"&lt;="&amp;$D$7),"—"))</f>
        <v>0</v>
      </c>
      <c r="H129" s="32">
        <f>IF(H$100="","",IF(Config!$AE$41&lt;&gt;"Não",SUMIFS(BD!$AD$3:$AD$5001,BD!$B$3:$B$5001,H$100,BD!$A$3:$A$5001,"&gt;="&amp;$C$7,BD!$A$3:$A$5001,"&lt;="&amp;$D$7),"—"))</f>
        <v>0</v>
      </c>
      <c r="I129" s="32">
        <f>IF(I$100="","",IF(Config!$AE$42&lt;&gt;"Não",SUMIFS(BD!$AD$3:$AD$5001,BD!$B$3:$B$5001,I$100,BD!$A$3:$A$5001,"&gt;="&amp;$C$7,BD!$A$3:$A$5001,"&lt;="&amp;$D$7),"—"))</f>
        <v>0</v>
      </c>
      <c r="J129" s="32">
        <f>IF(J$100="","",IF(Config!$AE$43&lt;&gt;"Não",SUMIFS(BD!$AD$3:$AD$5001,BD!$B$3:$B$5001,J$100,BD!$A$3:$A$5001,"&gt;="&amp;$C$7,BD!$A$3:$A$5001,"&lt;="&amp;$D$7),"—"))</f>
        <v>0</v>
      </c>
      <c r="K129" s="32">
        <f>IF(K$100="","",IF(Config!$AE$44&lt;&gt;"Não",SUMIFS(BD!$AD$3:$AD$5001,BD!$B$3:$B$5001,K$100,BD!$A$3:$A$5001,"&gt;="&amp;$C$7,BD!$A$3:$A$5001,"&lt;="&amp;$D$7),"—"))</f>
        <v>0</v>
      </c>
      <c r="L129" s="32" t="str">
        <f>IF(L$100="","",IF(Config!$AE$45&lt;&gt;"Não",SUMIFS(BD!$AD$3:$AD$5001,BD!$B$3:$B$5001,L$100,BD!$A$3:$A$5001,"&gt;="&amp;$C$7,BD!$A$3:$A$5001,"&lt;="&amp;$D$7),"—"))</f>
        <v/>
      </c>
      <c r="M129" s="32" t="str">
        <f>IF(M$100="","",IF(Config!$AE$46&lt;&gt;"Não",SUMIFS(BD!$AD$3:$AD$5001,BD!$B$3:$B$5001,M$100,BD!$A$3:$A$5001,"&gt;="&amp;$C$7,BD!$A$3:$A$5001,"&lt;="&amp;$D$7),"—"))</f>
        <v/>
      </c>
      <c r="N129" s="32" t="str">
        <f>IF(N$100="","",IF(Config!$AE$47&lt;&gt;"Não",SUMIFS(BD!$AD$3:$AD$5001,BD!$B$3:$B$5001,N$100,BD!$A$3:$A$5001,"&gt;="&amp;$C$7,BD!$A$3:$A$5001,"&lt;="&amp;$D$7),"—"))</f>
        <v/>
      </c>
      <c r="O129" s="32" t="str">
        <f>IF(O$100="","",IF(Config!$AE$48&lt;&gt;"Não",SUMIFS(BD!$AD$3:$AD$5001,BD!$B$3:$B$5001,O$100,BD!$A$3:$A$5001,"&gt;="&amp;$C$7,BD!$A$3:$A$5001,"&lt;="&amp;$D$7),"—"))</f>
        <v/>
      </c>
      <c r="P129" s="32" t="str">
        <f>IF(P$100="","",IF(Config!$AE$49&lt;&gt;"Não",SUMIFS(BD!$AD$3:$AD$5001,BD!$B$3:$B$5001,P$100,BD!$A$3:$A$5001,"&gt;="&amp;$C$7,BD!$A$3:$A$5001,"&lt;="&amp;$D$7),"—"))</f>
        <v/>
      </c>
      <c r="Q129" s="32" t="str">
        <f>IF(Q$100="","",IF(Config!$AE$50&lt;&gt;"Não",SUMIFS(BD!$AD$3:$AD$5001,BD!$B$3:$B$5001,Q$100,BD!$A$3:$A$5001,"&gt;="&amp;$C$7,BD!$A$3:$A$5001,"&lt;="&amp;$D$7),"—"))</f>
        <v/>
      </c>
      <c r="R129" s="32" t="str">
        <f>IF(R$100="","",IF(Config!$AE$51&lt;&gt;"Não",SUMIFS(BD!$AD$3:$AD$5001,BD!$B$3:$B$5001,R$100,BD!$A$3:$A$5001,"&gt;="&amp;$C$7,BD!$A$3:$A$5001,"&lt;="&amp;$D$7),"—"))</f>
        <v/>
      </c>
      <c r="S129" s="32" t="str">
        <f>IF(S$100="","",IF(Config!$AE$52&lt;&gt;"Não",SUMIFS(BD!$AD$3:$AD$5001,BD!$B$3:$B$5001,S$100,BD!$A$3:$A$5001,"&gt;="&amp;$C$7,BD!$A$3:$A$5001,"&lt;="&amp;$D$7),"—"))</f>
        <v/>
      </c>
      <c r="T129" s="32" t="str">
        <f>IF(T$100="","",IF(Config!$AE$53&lt;&gt;"Não",SUMIFS(BD!$AD$3:$AD$5001,BD!$B$3:$B$5001,T$100,BD!$A$3:$A$5001,"&gt;="&amp;$C$7,BD!$A$3:$A$5001,"&lt;="&amp;$D$7),"—"))</f>
        <v/>
      </c>
      <c r="U129" s="32" t="str">
        <f>IF(U$100="","",IF(Config!$AE$54&lt;&gt;"Não",SUMIFS(BD!$AD$3:$AD$5001,BD!$B$3:$B$5001,U$100,BD!$A$3:$A$5001,"&gt;="&amp;$C$7,BD!$A$3:$A$5001,"&lt;="&amp;$D$7),"—"))</f>
        <v/>
      </c>
      <c r="V129" s="62">
        <f>SUM(B129:U129)</f>
        <v>0</v>
      </c>
    </row>
    <row r="130">
      <c r="A130" s="29" t="inlineStr">
        <is>
          <t xml:space="preserve">GENTE · Acidentes CAF</t>
        </is>
      </c>
      <c r="B130" s="32">
        <f>IF(B$100="","",IF(Config!$AF$35&lt;&gt;"Não",SUMIFS(BD!$AE$3:$AE$5001,BD!$B$3:$B$5001,B$100,BD!$A$3:$A$5001,"&gt;="&amp;$C$7,BD!$A$3:$A$5001,"&lt;="&amp;$D$7),"—"))</f>
        <v>0</v>
      </c>
      <c r="C130" s="32">
        <f>IF(C$100="","",IF(Config!$AF$36&lt;&gt;"Não",SUMIFS(BD!$AE$3:$AE$5001,BD!$B$3:$B$5001,C$100,BD!$A$3:$A$5001,"&gt;="&amp;$C$7,BD!$A$3:$A$5001,"&lt;="&amp;$D$7),"—"))</f>
        <v>0</v>
      </c>
      <c r="D130" s="32">
        <f>IF(D$100="","",IF(Config!$AF$37&lt;&gt;"Não",SUMIFS(BD!$AE$3:$AE$5001,BD!$B$3:$B$5001,D$100,BD!$A$3:$A$5001,"&gt;="&amp;$C$7,BD!$A$3:$A$5001,"&lt;="&amp;$D$7),"—"))</f>
        <v>0</v>
      </c>
      <c r="E130" s="32">
        <f>IF(E$100="","",IF(Config!$AF$38&lt;&gt;"Não",SUMIFS(BD!$AE$3:$AE$5001,BD!$B$3:$B$5001,E$100,BD!$A$3:$A$5001,"&gt;="&amp;$C$7,BD!$A$3:$A$5001,"&lt;="&amp;$D$7),"—"))</f>
        <v>0</v>
      </c>
      <c r="F130" s="32">
        <f>IF(F$100="","",IF(Config!$AF$39&lt;&gt;"Não",SUMIFS(BD!$AE$3:$AE$5001,BD!$B$3:$B$5001,F$100,BD!$A$3:$A$5001,"&gt;="&amp;$C$7,BD!$A$3:$A$5001,"&lt;="&amp;$D$7),"—"))</f>
        <v>0</v>
      </c>
      <c r="G130" s="32">
        <f>IF(G$100="","",IF(Config!$AF$40&lt;&gt;"Não",SUMIFS(BD!$AE$3:$AE$5001,BD!$B$3:$B$5001,G$100,BD!$A$3:$A$5001,"&gt;="&amp;$C$7,BD!$A$3:$A$5001,"&lt;="&amp;$D$7),"—"))</f>
        <v>0</v>
      </c>
      <c r="H130" s="32">
        <f>IF(H$100="","",IF(Config!$AF$41&lt;&gt;"Não",SUMIFS(BD!$AE$3:$AE$5001,BD!$B$3:$B$5001,H$100,BD!$A$3:$A$5001,"&gt;="&amp;$C$7,BD!$A$3:$A$5001,"&lt;="&amp;$D$7),"—"))</f>
        <v>0</v>
      </c>
      <c r="I130" s="32">
        <f>IF(I$100="","",IF(Config!$AF$42&lt;&gt;"Não",SUMIFS(BD!$AE$3:$AE$5001,BD!$B$3:$B$5001,I$100,BD!$A$3:$A$5001,"&gt;="&amp;$C$7,BD!$A$3:$A$5001,"&lt;="&amp;$D$7),"—"))</f>
        <v>0</v>
      </c>
      <c r="J130" s="32">
        <f>IF(J$100="","",IF(Config!$AF$43&lt;&gt;"Não",SUMIFS(BD!$AE$3:$AE$5001,BD!$B$3:$B$5001,J$100,BD!$A$3:$A$5001,"&gt;="&amp;$C$7,BD!$A$3:$A$5001,"&lt;="&amp;$D$7),"—"))</f>
        <v>0</v>
      </c>
      <c r="K130" s="32">
        <f>IF(K$100="","",IF(Config!$AF$44&lt;&gt;"Não",SUMIFS(BD!$AE$3:$AE$5001,BD!$B$3:$B$5001,K$100,BD!$A$3:$A$5001,"&gt;="&amp;$C$7,BD!$A$3:$A$5001,"&lt;="&amp;$D$7),"—"))</f>
        <v>0</v>
      </c>
      <c r="L130" s="32" t="str">
        <f>IF(L$100="","",IF(Config!$AF$45&lt;&gt;"Não",SUMIFS(BD!$AE$3:$AE$5001,BD!$B$3:$B$5001,L$100,BD!$A$3:$A$5001,"&gt;="&amp;$C$7,BD!$A$3:$A$5001,"&lt;="&amp;$D$7),"—"))</f>
        <v/>
      </c>
      <c r="M130" s="32" t="str">
        <f>IF(M$100="","",IF(Config!$AF$46&lt;&gt;"Não",SUMIFS(BD!$AE$3:$AE$5001,BD!$B$3:$B$5001,M$100,BD!$A$3:$A$5001,"&gt;="&amp;$C$7,BD!$A$3:$A$5001,"&lt;="&amp;$D$7),"—"))</f>
        <v/>
      </c>
      <c r="N130" s="32" t="str">
        <f>IF(N$100="","",IF(Config!$AF$47&lt;&gt;"Não",SUMIFS(BD!$AE$3:$AE$5001,BD!$B$3:$B$5001,N$100,BD!$A$3:$A$5001,"&gt;="&amp;$C$7,BD!$A$3:$A$5001,"&lt;="&amp;$D$7),"—"))</f>
        <v/>
      </c>
      <c r="O130" s="32" t="str">
        <f>IF(O$100="","",IF(Config!$AF$48&lt;&gt;"Não",SUMIFS(BD!$AE$3:$AE$5001,BD!$B$3:$B$5001,O$100,BD!$A$3:$A$5001,"&gt;="&amp;$C$7,BD!$A$3:$A$5001,"&lt;="&amp;$D$7),"—"))</f>
        <v/>
      </c>
      <c r="P130" s="32" t="str">
        <f>IF(P$100="","",IF(Config!$AF$49&lt;&gt;"Não",SUMIFS(BD!$AE$3:$AE$5001,BD!$B$3:$B$5001,P$100,BD!$A$3:$A$5001,"&gt;="&amp;$C$7,BD!$A$3:$A$5001,"&lt;="&amp;$D$7),"—"))</f>
        <v/>
      </c>
      <c r="Q130" s="32" t="str">
        <f>IF(Q$100="","",IF(Config!$AF$50&lt;&gt;"Não",SUMIFS(BD!$AE$3:$AE$5001,BD!$B$3:$B$5001,Q$100,BD!$A$3:$A$5001,"&gt;="&amp;$C$7,BD!$A$3:$A$5001,"&lt;="&amp;$D$7),"—"))</f>
        <v/>
      </c>
      <c r="R130" s="32" t="str">
        <f>IF(R$100="","",IF(Config!$AF$51&lt;&gt;"Não",SUMIFS(BD!$AE$3:$AE$5001,BD!$B$3:$B$5001,R$100,BD!$A$3:$A$5001,"&gt;="&amp;$C$7,BD!$A$3:$A$5001,"&lt;="&amp;$D$7),"—"))</f>
        <v/>
      </c>
      <c r="S130" s="32" t="str">
        <f>IF(S$100="","",IF(Config!$AF$52&lt;&gt;"Não",SUMIFS(BD!$AE$3:$AE$5001,BD!$B$3:$B$5001,S$100,BD!$A$3:$A$5001,"&gt;="&amp;$C$7,BD!$A$3:$A$5001,"&lt;="&amp;$D$7),"—"))</f>
        <v/>
      </c>
      <c r="T130" s="32" t="str">
        <f>IF(T$100="","",IF(Config!$AF$53&lt;&gt;"Não",SUMIFS(BD!$AE$3:$AE$5001,BD!$B$3:$B$5001,T$100,BD!$A$3:$A$5001,"&gt;="&amp;$C$7,BD!$A$3:$A$5001,"&lt;="&amp;$D$7),"—"))</f>
        <v/>
      </c>
      <c r="U130" s="32" t="str">
        <f>IF(U$100="","",IF(Config!$AF$54&lt;&gt;"Não",SUMIFS(BD!$AE$3:$AE$5001,BD!$B$3:$B$5001,U$100,BD!$A$3:$A$5001,"&gt;="&amp;$C$7,BD!$A$3:$A$5001,"&lt;="&amp;$D$7),"—"))</f>
        <v/>
      </c>
      <c r="V130" s="62">
        <f>SUM(B130:U130)</f>
        <v>0</v>
      </c>
    </row>
    <row r="131">
      <c r="A131" s="29" t="inlineStr">
        <is>
          <t xml:space="preserve">GENTE · Acidentes SAF</t>
        </is>
      </c>
      <c r="B131" s="32">
        <f>IF(B$100="","",IF(Config!$AG$35&lt;&gt;"Não",SUMIFS(BD!$AF$3:$AF$5001,BD!$B$3:$B$5001,B$100,BD!$A$3:$A$5001,"&gt;="&amp;$C$7,BD!$A$3:$A$5001,"&lt;="&amp;$D$7),"—"))</f>
        <v>0</v>
      </c>
      <c r="C131" s="32">
        <f>IF(C$100="","",IF(Config!$AG$36&lt;&gt;"Não",SUMIFS(BD!$AF$3:$AF$5001,BD!$B$3:$B$5001,C$100,BD!$A$3:$A$5001,"&gt;="&amp;$C$7,BD!$A$3:$A$5001,"&lt;="&amp;$D$7),"—"))</f>
        <v>0</v>
      </c>
      <c r="D131" s="32">
        <f>IF(D$100="","",IF(Config!$AG$37&lt;&gt;"Não",SUMIFS(BD!$AF$3:$AF$5001,BD!$B$3:$B$5001,D$100,BD!$A$3:$A$5001,"&gt;="&amp;$C$7,BD!$A$3:$A$5001,"&lt;="&amp;$D$7),"—"))</f>
        <v>0</v>
      </c>
      <c r="E131" s="32">
        <f>IF(E$100="","",IF(Config!$AG$38&lt;&gt;"Não",SUMIFS(BD!$AF$3:$AF$5001,BD!$B$3:$B$5001,E$100,BD!$A$3:$A$5001,"&gt;="&amp;$C$7,BD!$A$3:$A$5001,"&lt;="&amp;$D$7),"—"))</f>
        <v>0</v>
      </c>
      <c r="F131" s="32">
        <f>IF(F$100="","",IF(Config!$AG$39&lt;&gt;"Não",SUMIFS(BD!$AF$3:$AF$5001,BD!$B$3:$B$5001,F$100,BD!$A$3:$A$5001,"&gt;="&amp;$C$7,BD!$A$3:$A$5001,"&lt;="&amp;$D$7),"—"))</f>
        <v>0</v>
      </c>
      <c r="G131" s="32">
        <f>IF(G$100="","",IF(Config!$AG$40&lt;&gt;"Não",SUMIFS(BD!$AF$3:$AF$5001,BD!$B$3:$B$5001,G$100,BD!$A$3:$A$5001,"&gt;="&amp;$C$7,BD!$A$3:$A$5001,"&lt;="&amp;$D$7),"—"))</f>
        <v>0</v>
      </c>
      <c r="H131" s="32">
        <f>IF(H$100="","",IF(Config!$AG$41&lt;&gt;"Não",SUMIFS(BD!$AF$3:$AF$5001,BD!$B$3:$B$5001,H$100,BD!$A$3:$A$5001,"&gt;="&amp;$C$7,BD!$A$3:$A$5001,"&lt;="&amp;$D$7),"—"))</f>
        <v>0</v>
      </c>
      <c r="I131" s="32">
        <f>IF(I$100="","",IF(Config!$AG$42&lt;&gt;"Não",SUMIFS(BD!$AF$3:$AF$5001,BD!$B$3:$B$5001,I$100,BD!$A$3:$A$5001,"&gt;="&amp;$C$7,BD!$A$3:$A$5001,"&lt;="&amp;$D$7),"—"))</f>
        <v>0</v>
      </c>
      <c r="J131" s="32">
        <f>IF(J$100="","",IF(Config!$AG$43&lt;&gt;"Não",SUMIFS(BD!$AF$3:$AF$5001,BD!$B$3:$B$5001,J$100,BD!$A$3:$A$5001,"&gt;="&amp;$C$7,BD!$A$3:$A$5001,"&lt;="&amp;$D$7),"—"))</f>
        <v>0</v>
      </c>
      <c r="K131" s="32">
        <f>IF(K$100="","",IF(Config!$AG$44&lt;&gt;"Não",SUMIFS(BD!$AF$3:$AF$5001,BD!$B$3:$B$5001,K$100,BD!$A$3:$A$5001,"&gt;="&amp;$C$7,BD!$A$3:$A$5001,"&lt;="&amp;$D$7),"—"))</f>
        <v>0</v>
      </c>
      <c r="L131" s="32" t="str">
        <f>IF(L$100="","",IF(Config!$AG$45&lt;&gt;"Não",SUMIFS(BD!$AF$3:$AF$5001,BD!$B$3:$B$5001,L$100,BD!$A$3:$A$5001,"&gt;="&amp;$C$7,BD!$A$3:$A$5001,"&lt;="&amp;$D$7),"—"))</f>
        <v/>
      </c>
      <c r="M131" s="32" t="str">
        <f>IF(M$100="","",IF(Config!$AG$46&lt;&gt;"Não",SUMIFS(BD!$AF$3:$AF$5001,BD!$B$3:$B$5001,M$100,BD!$A$3:$A$5001,"&gt;="&amp;$C$7,BD!$A$3:$A$5001,"&lt;="&amp;$D$7),"—"))</f>
        <v/>
      </c>
      <c r="N131" s="32" t="str">
        <f>IF(N$100="","",IF(Config!$AG$47&lt;&gt;"Não",SUMIFS(BD!$AF$3:$AF$5001,BD!$B$3:$B$5001,N$100,BD!$A$3:$A$5001,"&gt;="&amp;$C$7,BD!$A$3:$A$5001,"&lt;="&amp;$D$7),"—"))</f>
        <v/>
      </c>
      <c r="O131" s="32" t="str">
        <f>IF(O$100="","",IF(Config!$AG$48&lt;&gt;"Não",SUMIFS(BD!$AF$3:$AF$5001,BD!$B$3:$B$5001,O$100,BD!$A$3:$A$5001,"&gt;="&amp;$C$7,BD!$A$3:$A$5001,"&lt;="&amp;$D$7),"—"))</f>
        <v/>
      </c>
      <c r="P131" s="32" t="str">
        <f>IF(P$100="","",IF(Config!$AG$49&lt;&gt;"Não",SUMIFS(BD!$AF$3:$AF$5001,BD!$B$3:$B$5001,P$100,BD!$A$3:$A$5001,"&gt;="&amp;$C$7,BD!$A$3:$A$5001,"&lt;="&amp;$D$7),"—"))</f>
        <v/>
      </c>
      <c r="Q131" s="32" t="str">
        <f>IF(Q$100="","",IF(Config!$AG$50&lt;&gt;"Não",SUMIFS(BD!$AF$3:$AF$5001,BD!$B$3:$B$5001,Q$100,BD!$A$3:$A$5001,"&gt;="&amp;$C$7,BD!$A$3:$A$5001,"&lt;="&amp;$D$7),"—"))</f>
        <v/>
      </c>
      <c r="R131" s="32" t="str">
        <f>IF(R$100="","",IF(Config!$AG$51&lt;&gt;"Não",SUMIFS(BD!$AF$3:$AF$5001,BD!$B$3:$B$5001,R$100,BD!$A$3:$A$5001,"&gt;="&amp;$C$7,BD!$A$3:$A$5001,"&lt;="&amp;$D$7),"—"))</f>
        <v/>
      </c>
      <c r="S131" s="32" t="str">
        <f>IF(S$100="","",IF(Config!$AG$52&lt;&gt;"Não",SUMIFS(BD!$AF$3:$AF$5001,BD!$B$3:$B$5001,S$100,BD!$A$3:$A$5001,"&gt;="&amp;$C$7,BD!$A$3:$A$5001,"&lt;="&amp;$D$7),"—"))</f>
        <v/>
      </c>
      <c r="T131" s="32" t="str">
        <f>IF(T$100="","",IF(Config!$AG$53&lt;&gt;"Não",SUMIFS(BD!$AF$3:$AF$5001,BD!$B$3:$B$5001,T$100,BD!$A$3:$A$5001,"&gt;="&amp;$C$7,BD!$A$3:$A$5001,"&lt;="&amp;$D$7),"—"))</f>
        <v/>
      </c>
      <c r="U131" s="32" t="str">
        <f>IF(U$100="","",IF(Config!$AG$54&lt;&gt;"Não",SUMIFS(BD!$AF$3:$AF$5001,BD!$B$3:$B$5001,U$100,BD!$A$3:$A$5001,"&gt;="&amp;$C$7,BD!$A$3:$A$5001,"&lt;="&amp;$D$7),"—"))</f>
        <v/>
      </c>
      <c r="V131" s="62">
        <f>SUM(B131:U131)</f>
        <v>0</v>
      </c>
    </row>
    <row r="135">
      <c r="A135" s="19" t="inlineStr">
        <is>
          <t xml:space="preserve">ESTOQUES POR CLIENTE — último valor informado até cada dia (Backlog, Posições e Efetivo)</t>
        </is>
      </c>
    </row>
    <row r="136">
      <c r="A136" s="37" t="inlineStr">
        <is>
          <t xml:space="preserve">Backlog</t>
        </is>
      </c>
      <c r="B136" s="37" t="inlineStr">
        <is>
          <t xml:space="preserve">Data</t>
        </is>
      </c>
      <c r="C136" s="37" t="str">
        <f>Config!$B$10&amp;""</f>
        <v>Alpargatas</v>
      </c>
      <c r="D136" s="37" t="str">
        <f>Config!$B$11&amp;""</f>
        <v>Basf</v>
      </c>
      <c r="E136" s="37" t="str">
        <f>Config!$B$12&amp;""</f>
        <v>Beautybiz</v>
      </c>
      <c r="F136" s="37" t="str">
        <f>Config!$B$13&amp;""</f>
        <v>Boticário</v>
      </c>
      <c r="G136" s="37" t="str">
        <f>Config!$B$14&amp;""</f>
        <v>Confiance</v>
      </c>
      <c r="H136" s="37" t="str">
        <f>Config!$B$15&amp;""</f>
        <v>GE Vernova</v>
      </c>
      <c r="I136" s="37" t="str">
        <f>Config!$B$16&amp;""</f>
        <v>Omnilife</v>
      </c>
      <c r="J136" s="37" t="str">
        <f>Config!$B$17&amp;""</f>
        <v>Supply</v>
      </c>
      <c r="K136" s="37" t="str">
        <f>Config!$B$18&amp;""</f>
        <v>Vedacit</v>
      </c>
      <c r="L136" s="37" t="str">
        <f>Config!$B$19&amp;""</f>
        <v>Vestas</v>
      </c>
      <c r="M136" s="37" t="str">
        <f>Config!$B$20&amp;""</f>
        <v/>
      </c>
      <c r="N136" s="37" t="str">
        <f>Config!$B$21&amp;""</f>
        <v/>
      </c>
      <c r="O136" s="37" t="str">
        <f>Config!$B$22&amp;""</f>
        <v/>
      </c>
      <c r="P136" s="37" t="str">
        <f>Config!$B$23&amp;""</f>
        <v/>
      </c>
      <c r="Q136" s="37" t="str">
        <f>Config!$B$24&amp;""</f>
        <v/>
      </c>
      <c r="R136" s="37" t="str">
        <f>Config!$B$25&amp;""</f>
        <v/>
      </c>
      <c r="S136" s="37" t="str">
        <f>Config!$B$26&amp;""</f>
        <v/>
      </c>
      <c r="T136" s="37" t="str">
        <f>Config!$B$27&amp;""</f>
        <v/>
      </c>
      <c r="U136" s="37" t="str">
        <f>Config!$B$28&amp;""</f>
        <v/>
      </c>
      <c r="V136" s="37" t="str">
        <f>Config!$B$29&amp;""</f>
        <v/>
      </c>
    </row>
    <row r="137">
      <c r="A137" s="38">
        <v>1</v>
      </c>
      <c r="B137" s="42">
        <f>$B$12</f>
        <v>46296</v>
      </c>
      <c r="C137" s="43" t="str">
        <f>IF(OR($B137="",$A137&gt;$B$9,C$136=""),"",IF(COUNTIFS(BD!$B$3:$B$5001,C$136,BD!$A$3:$A$5001,"&gt;="&amp;$C$7,BD!$A$3:$A$5001,"&lt;="&amp;$B137,BD!$V$3:$V$5001,"&lt;&gt;")=0,"",SUMIFS(BD!$V$3:$V$5001,BD!$B$3:$B$5001,C$136,BD!$A$3:$A$5001,_xlfn.MAXIFS(BD!$A$3:$A$5001,BD!$B$3:$B$5001,C$136,BD!$A$3:$A$5001,"&gt;="&amp;$C$7,BD!$A$3:$A$5001,"&lt;="&amp;$B137,BD!$V$3:$V$5001,"&lt;&gt;"))))</f>
        <v/>
      </c>
      <c r="D137" s="43" t="str">
        <f>IF(OR($B137="",$A137&gt;$B$9,D$136=""),"",IF(COUNTIFS(BD!$B$3:$B$5001,D$136,BD!$A$3:$A$5001,"&gt;="&amp;$C$7,BD!$A$3:$A$5001,"&lt;="&amp;$B137,BD!$V$3:$V$5001,"&lt;&gt;")=0,"",SUMIFS(BD!$V$3:$V$5001,BD!$B$3:$B$5001,D$136,BD!$A$3:$A$5001,_xlfn.MAXIFS(BD!$A$3:$A$5001,BD!$B$3:$B$5001,D$136,BD!$A$3:$A$5001,"&gt;="&amp;$C$7,BD!$A$3:$A$5001,"&lt;="&amp;$B137,BD!$V$3:$V$5001,"&lt;&gt;"))))</f>
        <v/>
      </c>
      <c r="E137" s="43" t="str">
        <f>IF(OR($B137="",$A137&gt;$B$9,E$136=""),"",IF(COUNTIFS(BD!$B$3:$B$5001,E$136,BD!$A$3:$A$5001,"&gt;="&amp;$C$7,BD!$A$3:$A$5001,"&lt;="&amp;$B137,BD!$V$3:$V$5001,"&lt;&gt;")=0,"",SUMIFS(BD!$V$3:$V$5001,BD!$B$3:$B$5001,E$136,BD!$A$3:$A$5001,_xlfn.MAXIFS(BD!$A$3:$A$5001,BD!$B$3:$B$5001,E$136,BD!$A$3:$A$5001,"&gt;="&amp;$C$7,BD!$A$3:$A$5001,"&lt;="&amp;$B137,BD!$V$3:$V$5001,"&lt;&gt;"))))</f>
        <v/>
      </c>
      <c r="F137" s="43" t="str">
        <f>IF(OR($B137="",$A137&gt;$B$9,F$136=""),"",IF(COUNTIFS(BD!$B$3:$B$5001,F$136,BD!$A$3:$A$5001,"&gt;="&amp;$C$7,BD!$A$3:$A$5001,"&lt;="&amp;$B137,BD!$V$3:$V$5001,"&lt;&gt;")=0,"",SUMIFS(BD!$V$3:$V$5001,BD!$B$3:$B$5001,F$136,BD!$A$3:$A$5001,_xlfn.MAXIFS(BD!$A$3:$A$5001,BD!$B$3:$B$5001,F$136,BD!$A$3:$A$5001,"&gt;="&amp;$C$7,BD!$A$3:$A$5001,"&lt;="&amp;$B137,BD!$V$3:$V$5001,"&lt;&gt;"))))</f>
        <v/>
      </c>
      <c r="G137" s="43" t="str">
        <f>IF(OR($B137="",$A137&gt;$B$9,G$136=""),"",IF(COUNTIFS(BD!$B$3:$B$5001,G$136,BD!$A$3:$A$5001,"&gt;="&amp;$C$7,BD!$A$3:$A$5001,"&lt;="&amp;$B137,BD!$V$3:$V$5001,"&lt;&gt;")=0,"",SUMIFS(BD!$V$3:$V$5001,BD!$B$3:$B$5001,G$136,BD!$A$3:$A$5001,_xlfn.MAXIFS(BD!$A$3:$A$5001,BD!$B$3:$B$5001,G$136,BD!$A$3:$A$5001,"&gt;="&amp;$C$7,BD!$A$3:$A$5001,"&lt;="&amp;$B137,BD!$V$3:$V$5001,"&lt;&gt;"))))</f>
        <v/>
      </c>
      <c r="H137" s="43" t="str">
        <f>IF(OR($B137="",$A137&gt;$B$9,H$136=""),"",IF(COUNTIFS(BD!$B$3:$B$5001,H$136,BD!$A$3:$A$5001,"&gt;="&amp;$C$7,BD!$A$3:$A$5001,"&lt;="&amp;$B137,BD!$V$3:$V$5001,"&lt;&gt;")=0,"",SUMIFS(BD!$V$3:$V$5001,BD!$B$3:$B$5001,H$136,BD!$A$3:$A$5001,_xlfn.MAXIFS(BD!$A$3:$A$5001,BD!$B$3:$B$5001,H$136,BD!$A$3:$A$5001,"&gt;="&amp;$C$7,BD!$A$3:$A$5001,"&lt;="&amp;$B137,BD!$V$3:$V$5001,"&lt;&gt;"))))</f>
        <v/>
      </c>
      <c r="I137" s="43" t="str">
        <f>IF(OR($B137="",$A137&gt;$B$9,I$136=""),"",IF(COUNTIFS(BD!$B$3:$B$5001,I$136,BD!$A$3:$A$5001,"&gt;="&amp;$C$7,BD!$A$3:$A$5001,"&lt;="&amp;$B137,BD!$V$3:$V$5001,"&lt;&gt;")=0,"",SUMIFS(BD!$V$3:$V$5001,BD!$B$3:$B$5001,I$136,BD!$A$3:$A$5001,_xlfn.MAXIFS(BD!$A$3:$A$5001,BD!$B$3:$B$5001,I$136,BD!$A$3:$A$5001,"&gt;="&amp;$C$7,BD!$A$3:$A$5001,"&lt;="&amp;$B137,BD!$V$3:$V$5001,"&lt;&gt;"))))</f>
        <v/>
      </c>
      <c r="J137" s="43" t="str">
        <f>IF(OR($B137="",$A137&gt;$B$9,J$136=""),"",IF(COUNTIFS(BD!$B$3:$B$5001,J$136,BD!$A$3:$A$5001,"&gt;="&amp;$C$7,BD!$A$3:$A$5001,"&lt;="&amp;$B137,BD!$V$3:$V$5001,"&lt;&gt;")=0,"",SUMIFS(BD!$V$3:$V$5001,BD!$B$3:$B$5001,J$136,BD!$A$3:$A$5001,_xlfn.MAXIFS(BD!$A$3:$A$5001,BD!$B$3:$B$5001,J$136,BD!$A$3:$A$5001,"&gt;="&amp;$C$7,BD!$A$3:$A$5001,"&lt;="&amp;$B137,BD!$V$3:$V$5001,"&lt;&gt;"))))</f>
        <v/>
      </c>
      <c r="K137" s="43" t="str">
        <f>IF(OR($B137="",$A137&gt;$B$9,K$136=""),"",IF(COUNTIFS(BD!$B$3:$B$5001,K$136,BD!$A$3:$A$5001,"&gt;="&amp;$C$7,BD!$A$3:$A$5001,"&lt;="&amp;$B137,BD!$V$3:$V$5001,"&lt;&gt;")=0,"",SUMIFS(BD!$V$3:$V$5001,BD!$B$3:$B$5001,K$136,BD!$A$3:$A$5001,_xlfn.MAXIFS(BD!$A$3:$A$5001,BD!$B$3:$B$5001,K$136,BD!$A$3:$A$5001,"&gt;="&amp;$C$7,BD!$A$3:$A$5001,"&lt;="&amp;$B137,BD!$V$3:$V$5001,"&lt;&gt;"))))</f>
        <v/>
      </c>
      <c r="L137" s="43" t="str">
        <f>IF(OR($B137="",$A137&gt;$B$9,L$136=""),"",IF(COUNTIFS(BD!$B$3:$B$5001,L$136,BD!$A$3:$A$5001,"&gt;="&amp;$C$7,BD!$A$3:$A$5001,"&lt;="&amp;$B137,BD!$V$3:$V$5001,"&lt;&gt;")=0,"",SUMIFS(BD!$V$3:$V$5001,BD!$B$3:$B$5001,L$136,BD!$A$3:$A$5001,_xlfn.MAXIFS(BD!$A$3:$A$5001,BD!$B$3:$B$5001,L$136,BD!$A$3:$A$5001,"&gt;="&amp;$C$7,BD!$A$3:$A$5001,"&lt;="&amp;$B137,BD!$V$3:$V$5001,"&lt;&gt;"))))</f>
        <v/>
      </c>
      <c r="M137" s="43" t="str">
        <f>IF(OR($B137="",$A137&gt;$B$9,M$136=""),"",IF(COUNTIFS(BD!$B$3:$B$5001,M$136,BD!$A$3:$A$5001,"&gt;="&amp;$C$7,BD!$A$3:$A$5001,"&lt;="&amp;$B137,BD!$V$3:$V$5001,"&lt;&gt;")=0,"",SUMIFS(BD!$V$3:$V$5001,BD!$B$3:$B$5001,M$136,BD!$A$3:$A$5001,_xlfn.MAXIFS(BD!$A$3:$A$5001,BD!$B$3:$B$5001,M$136,BD!$A$3:$A$5001,"&gt;="&amp;$C$7,BD!$A$3:$A$5001,"&lt;="&amp;$B137,BD!$V$3:$V$5001,"&lt;&gt;"))))</f>
        <v/>
      </c>
      <c r="N137" s="43" t="str">
        <f>IF(OR($B137="",$A137&gt;$B$9,N$136=""),"",IF(COUNTIFS(BD!$B$3:$B$5001,N$136,BD!$A$3:$A$5001,"&gt;="&amp;$C$7,BD!$A$3:$A$5001,"&lt;="&amp;$B137,BD!$V$3:$V$5001,"&lt;&gt;")=0,"",SUMIFS(BD!$V$3:$V$5001,BD!$B$3:$B$5001,N$136,BD!$A$3:$A$5001,_xlfn.MAXIFS(BD!$A$3:$A$5001,BD!$B$3:$B$5001,N$136,BD!$A$3:$A$5001,"&gt;="&amp;$C$7,BD!$A$3:$A$5001,"&lt;="&amp;$B137,BD!$V$3:$V$5001,"&lt;&gt;"))))</f>
        <v/>
      </c>
      <c r="O137" s="43" t="str">
        <f>IF(OR($B137="",$A137&gt;$B$9,O$136=""),"",IF(COUNTIFS(BD!$B$3:$B$5001,O$136,BD!$A$3:$A$5001,"&gt;="&amp;$C$7,BD!$A$3:$A$5001,"&lt;="&amp;$B137,BD!$V$3:$V$5001,"&lt;&gt;")=0,"",SUMIFS(BD!$V$3:$V$5001,BD!$B$3:$B$5001,O$136,BD!$A$3:$A$5001,_xlfn.MAXIFS(BD!$A$3:$A$5001,BD!$B$3:$B$5001,O$136,BD!$A$3:$A$5001,"&gt;="&amp;$C$7,BD!$A$3:$A$5001,"&lt;="&amp;$B137,BD!$V$3:$V$5001,"&lt;&gt;"))))</f>
        <v/>
      </c>
      <c r="P137" s="43" t="str">
        <f>IF(OR($B137="",$A137&gt;$B$9,P$136=""),"",IF(COUNTIFS(BD!$B$3:$B$5001,P$136,BD!$A$3:$A$5001,"&gt;="&amp;$C$7,BD!$A$3:$A$5001,"&lt;="&amp;$B137,BD!$V$3:$V$5001,"&lt;&gt;")=0,"",SUMIFS(BD!$V$3:$V$5001,BD!$B$3:$B$5001,P$136,BD!$A$3:$A$5001,_xlfn.MAXIFS(BD!$A$3:$A$5001,BD!$B$3:$B$5001,P$136,BD!$A$3:$A$5001,"&gt;="&amp;$C$7,BD!$A$3:$A$5001,"&lt;="&amp;$B137,BD!$V$3:$V$5001,"&lt;&gt;"))))</f>
        <v/>
      </c>
      <c r="Q137" s="43" t="str">
        <f>IF(OR($B137="",$A137&gt;$B$9,Q$136=""),"",IF(COUNTIFS(BD!$B$3:$B$5001,Q$136,BD!$A$3:$A$5001,"&gt;="&amp;$C$7,BD!$A$3:$A$5001,"&lt;="&amp;$B137,BD!$V$3:$V$5001,"&lt;&gt;")=0,"",SUMIFS(BD!$V$3:$V$5001,BD!$B$3:$B$5001,Q$136,BD!$A$3:$A$5001,_xlfn.MAXIFS(BD!$A$3:$A$5001,BD!$B$3:$B$5001,Q$136,BD!$A$3:$A$5001,"&gt;="&amp;$C$7,BD!$A$3:$A$5001,"&lt;="&amp;$B137,BD!$V$3:$V$5001,"&lt;&gt;"))))</f>
        <v/>
      </c>
      <c r="R137" s="43" t="str">
        <f>IF(OR($B137="",$A137&gt;$B$9,R$136=""),"",IF(COUNTIFS(BD!$B$3:$B$5001,R$136,BD!$A$3:$A$5001,"&gt;="&amp;$C$7,BD!$A$3:$A$5001,"&lt;="&amp;$B137,BD!$V$3:$V$5001,"&lt;&gt;")=0,"",SUMIFS(BD!$V$3:$V$5001,BD!$B$3:$B$5001,R$136,BD!$A$3:$A$5001,_xlfn.MAXIFS(BD!$A$3:$A$5001,BD!$B$3:$B$5001,R$136,BD!$A$3:$A$5001,"&gt;="&amp;$C$7,BD!$A$3:$A$5001,"&lt;="&amp;$B137,BD!$V$3:$V$5001,"&lt;&gt;"))))</f>
        <v/>
      </c>
      <c r="S137" s="43" t="str">
        <f>IF(OR($B137="",$A137&gt;$B$9,S$136=""),"",IF(COUNTIFS(BD!$B$3:$B$5001,S$136,BD!$A$3:$A$5001,"&gt;="&amp;$C$7,BD!$A$3:$A$5001,"&lt;="&amp;$B137,BD!$V$3:$V$5001,"&lt;&gt;")=0,"",SUMIFS(BD!$V$3:$V$5001,BD!$B$3:$B$5001,S$136,BD!$A$3:$A$5001,_xlfn.MAXIFS(BD!$A$3:$A$5001,BD!$B$3:$B$5001,S$136,BD!$A$3:$A$5001,"&gt;="&amp;$C$7,BD!$A$3:$A$5001,"&lt;="&amp;$B137,BD!$V$3:$V$5001,"&lt;&gt;"))))</f>
        <v/>
      </c>
      <c r="T137" s="43" t="str">
        <f>IF(OR($B137="",$A137&gt;$B$9,T$136=""),"",IF(COUNTIFS(BD!$B$3:$B$5001,T$136,BD!$A$3:$A$5001,"&gt;="&amp;$C$7,BD!$A$3:$A$5001,"&lt;="&amp;$B137,BD!$V$3:$V$5001,"&lt;&gt;")=0,"",SUMIFS(BD!$V$3:$V$5001,BD!$B$3:$B$5001,T$136,BD!$A$3:$A$5001,_xlfn.MAXIFS(BD!$A$3:$A$5001,BD!$B$3:$B$5001,T$136,BD!$A$3:$A$5001,"&gt;="&amp;$C$7,BD!$A$3:$A$5001,"&lt;="&amp;$B137,BD!$V$3:$V$5001,"&lt;&gt;"))))</f>
        <v/>
      </c>
      <c r="U137" s="43" t="str">
        <f>IF(OR($B137="",$A137&gt;$B$9,U$136=""),"",IF(COUNTIFS(BD!$B$3:$B$5001,U$136,BD!$A$3:$A$5001,"&gt;="&amp;$C$7,BD!$A$3:$A$5001,"&lt;="&amp;$B137,BD!$V$3:$V$5001,"&lt;&gt;")=0,"",SUMIFS(BD!$V$3:$V$5001,BD!$B$3:$B$5001,U$136,BD!$A$3:$A$5001,_xlfn.MAXIFS(BD!$A$3:$A$5001,BD!$B$3:$B$5001,U$136,BD!$A$3:$A$5001,"&gt;="&amp;$C$7,BD!$A$3:$A$5001,"&lt;="&amp;$B137,BD!$V$3:$V$5001,"&lt;&gt;"))))</f>
        <v/>
      </c>
      <c r="V137" s="43" t="str">
        <f>IF(OR($B137="",$A137&gt;$B$9,V$136=""),"",IF(COUNTIFS(BD!$B$3:$B$5001,V$136,BD!$A$3:$A$5001,"&gt;="&amp;$C$7,BD!$A$3:$A$5001,"&lt;="&amp;$B137,BD!$V$3:$V$5001,"&lt;&gt;")=0,"",SUMIFS(BD!$V$3:$V$5001,BD!$B$3:$B$5001,V$136,BD!$A$3:$A$5001,_xlfn.MAXIFS(BD!$A$3:$A$5001,BD!$B$3:$B$5001,V$136,BD!$A$3:$A$5001,"&gt;="&amp;$C$7,BD!$A$3:$A$5001,"&lt;="&amp;$B137,BD!$V$3:$V$5001,"&lt;&gt;"))))</f>
        <v/>
      </c>
    </row>
    <row r="138">
      <c r="A138" s="38">
        <v>2</v>
      </c>
      <c r="B138" s="42">
        <f>$B$13</f>
        <v>46297</v>
      </c>
      <c r="C138" s="43" t="str">
        <f>IF(OR($B138="",$A138&gt;$B$9,C$136=""),"",IF(COUNTIFS(BD!$B$3:$B$5001,C$136,BD!$A$3:$A$5001,"&gt;="&amp;$C$7,BD!$A$3:$A$5001,"&lt;="&amp;$B138,BD!$V$3:$V$5001,"&lt;&gt;")=0,"",SUMIFS(BD!$V$3:$V$5001,BD!$B$3:$B$5001,C$136,BD!$A$3:$A$5001,_xlfn.MAXIFS(BD!$A$3:$A$5001,BD!$B$3:$B$5001,C$136,BD!$A$3:$A$5001,"&gt;="&amp;$C$7,BD!$A$3:$A$5001,"&lt;="&amp;$B138,BD!$V$3:$V$5001,"&lt;&gt;"))))</f>
        <v/>
      </c>
      <c r="D138" s="43" t="str">
        <f>IF(OR($B138="",$A138&gt;$B$9,D$136=""),"",IF(COUNTIFS(BD!$B$3:$B$5001,D$136,BD!$A$3:$A$5001,"&gt;="&amp;$C$7,BD!$A$3:$A$5001,"&lt;="&amp;$B138,BD!$V$3:$V$5001,"&lt;&gt;")=0,"",SUMIFS(BD!$V$3:$V$5001,BD!$B$3:$B$5001,D$136,BD!$A$3:$A$5001,_xlfn.MAXIFS(BD!$A$3:$A$5001,BD!$B$3:$B$5001,D$136,BD!$A$3:$A$5001,"&gt;="&amp;$C$7,BD!$A$3:$A$5001,"&lt;="&amp;$B138,BD!$V$3:$V$5001,"&lt;&gt;"))))</f>
        <v/>
      </c>
      <c r="E138" s="43" t="str">
        <f>IF(OR($B138="",$A138&gt;$B$9,E$136=""),"",IF(COUNTIFS(BD!$B$3:$B$5001,E$136,BD!$A$3:$A$5001,"&gt;="&amp;$C$7,BD!$A$3:$A$5001,"&lt;="&amp;$B138,BD!$V$3:$V$5001,"&lt;&gt;")=0,"",SUMIFS(BD!$V$3:$V$5001,BD!$B$3:$B$5001,E$136,BD!$A$3:$A$5001,_xlfn.MAXIFS(BD!$A$3:$A$5001,BD!$B$3:$B$5001,E$136,BD!$A$3:$A$5001,"&gt;="&amp;$C$7,BD!$A$3:$A$5001,"&lt;="&amp;$B138,BD!$V$3:$V$5001,"&lt;&gt;"))))</f>
        <v/>
      </c>
      <c r="F138" s="43" t="str">
        <f>IF(OR($B138="",$A138&gt;$B$9,F$136=""),"",IF(COUNTIFS(BD!$B$3:$B$5001,F$136,BD!$A$3:$A$5001,"&gt;="&amp;$C$7,BD!$A$3:$A$5001,"&lt;="&amp;$B138,BD!$V$3:$V$5001,"&lt;&gt;")=0,"",SUMIFS(BD!$V$3:$V$5001,BD!$B$3:$B$5001,F$136,BD!$A$3:$A$5001,_xlfn.MAXIFS(BD!$A$3:$A$5001,BD!$B$3:$B$5001,F$136,BD!$A$3:$A$5001,"&gt;="&amp;$C$7,BD!$A$3:$A$5001,"&lt;="&amp;$B138,BD!$V$3:$V$5001,"&lt;&gt;"))))</f>
        <v/>
      </c>
      <c r="G138" s="43" t="str">
        <f>IF(OR($B138="",$A138&gt;$B$9,G$136=""),"",IF(COUNTIFS(BD!$B$3:$B$5001,G$136,BD!$A$3:$A$5001,"&gt;="&amp;$C$7,BD!$A$3:$A$5001,"&lt;="&amp;$B138,BD!$V$3:$V$5001,"&lt;&gt;")=0,"",SUMIFS(BD!$V$3:$V$5001,BD!$B$3:$B$5001,G$136,BD!$A$3:$A$5001,_xlfn.MAXIFS(BD!$A$3:$A$5001,BD!$B$3:$B$5001,G$136,BD!$A$3:$A$5001,"&gt;="&amp;$C$7,BD!$A$3:$A$5001,"&lt;="&amp;$B138,BD!$V$3:$V$5001,"&lt;&gt;"))))</f>
        <v/>
      </c>
      <c r="H138" s="43" t="str">
        <f>IF(OR($B138="",$A138&gt;$B$9,H$136=""),"",IF(COUNTIFS(BD!$B$3:$B$5001,H$136,BD!$A$3:$A$5001,"&gt;="&amp;$C$7,BD!$A$3:$A$5001,"&lt;="&amp;$B138,BD!$V$3:$V$5001,"&lt;&gt;")=0,"",SUMIFS(BD!$V$3:$V$5001,BD!$B$3:$B$5001,H$136,BD!$A$3:$A$5001,_xlfn.MAXIFS(BD!$A$3:$A$5001,BD!$B$3:$B$5001,H$136,BD!$A$3:$A$5001,"&gt;="&amp;$C$7,BD!$A$3:$A$5001,"&lt;="&amp;$B138,BD!$V$3:$V$5001,"&lt;&gt;"))))</f>
        <v/>
      </c>
      <c r="I138" s="43" t="str">
        <f>IF(OR($B138="",$A138&gt;$B$9,I$136=""),"",IF(COUNTIFS(BD!$B$3:$B$5001,I$136,BD!$A$3:$A$5001,"&gt;="&amp;$C$7,BD!$A$3:$A$5001,"&lt;="&amp;$B138,BD!$V$3:$V$5001,"&lt;&gt;")=0,"",SUMIFS(BD!$V$3:$V$5001,BD!$B$3:$B$5001,I$136,BD!$A$3:$A$5001,_xlfn.MAXIFS(BD!$A$3:$A$5001,BD!$B$3:$B$5001,I$136,BD!$A$3:$A$5001,"&gt;="&amp;$C$7,BD!$A$3:$A$5001,"&lt;="&amp;$B138,BD!$V$3:$V$5001,"&lt;&gt;"))))</f>
        <v/>
      </c>
      <c r="J138" s="43" t="str">
        <f>IF(OR($B138="",$A138&gt;$B$9,J$136=""),"",IF(COUNTIFS(BD!$B$3:$B$5001,J$136,BD!$A$3:$A$5001,"&gt;="&amp;$C$7,BD!$A$3:$A$5001,"&lt;="&amp;$B138,BD!$V$3:$V$5001,"&lt;&gt;")=0,"",SUMIFS(BD!$V$3:$V$5001,BD!$B$3:$B$5001,J$136,BD!$A$3:$A$5001,_xlfn.MAXIFS(BD!$A$3:$A$5001,BD!$B$3:$B$5001,J$136,BD!$A$3:$A$5001,"&gt;="&amp;$C$7,BD!$A$3:$A$5001,"&lt;="&amp;$B138,BD!$V$3:$V$5001,"&lt;&gt;"))))</f>
        <v/>
      </c>
      <c r="K138" s="43" t="str">
        <f>IF(OR($B138="",$A138&gt;$B$9,K$136=""),"",IF(COUNTIFS(BD!$B$3:$B$5001,K$136,BD!$A$3:$A$5001,"&gt;="&amp;$C$7,BD!$A$3:$A$5001,"&lt;="&amp;$B138,BD!$V$3:$V$5001,"&lt;&gt;")=0,"",SUMIFS(BD!$V$3:$V$5001,BD!$B$3:$B$5001,K$136,BD!$A$3:$A$5001,_xlfn.MAXIFS(BD!$A$3:$A$5001,BD!$B$3:$B$5001,K$136,BD!$A$3:$A$5001,"&gt;="&amp;$C$7,BD!$A$3:$A$5001,"&lt;="&amp;$B138,BD!$V$3:$V$5001,"&lt;&gt;"))))</f>
        <v/>
      </c>
      <c r="L138" s="43" t="str">
        <f>IF(OR($B138="",$A138&gt;$B$9,L$136=""),"",IF(COUNTIFS(BD!$B$3:$B$5001,L$136,BD!$A$3:$A$5001,"&gt;="&amp;$C$7,BD!$A$3:$A$5001,"&lt;="&amp;$B138,BD!$V$3:$V$5001,"&lt;&gt;")=0,"",SUMIFS(BD!$V$3:$V$5001,BD!$B$3:$B$5001,L$136,BD!$A$3:$A$5001,_xlfn.MAXIFS(BD!$A$3:$A$5001,BD!$B$3:$B$5001,L$136,BD!$A$3:$A$5001,"&gt;="&amp;$C$7,BD!$A$3:$A$5001,"&lt;="&amp;$B138,BD!$V$3:$V$5001,"&lt;&gt;"))))</f>
        <v/>
      </c>
      <c r="M138" s="43" t="str">
        <f>IF(OR($B138="",$A138&gt;$B$9,M$136=""),"",IF(COUNTIFS(BD!$B$3:$B$5001,M$136,BD!$A$3:$A$5001,"&gt;="&amp;$C$7,BD!$A$3:$A$5001,"&lt;="&amp;$B138,BD!$V$3:$V$5001,"&lt;&gt;")=0,"",SUMIFS(BD!$V$3:$V$5001,BD!$B$3:$B$5001,M$136,BD!$A$3:$A$5001,_xlfn.MAXIFS(BD!$A$3:$A$5001,BD!$B$3:$B$5001,M$136,BD!$A$3:$A$5001,"&gt;="&amp;$C$7,BD!$A$3:$A$5001,"&lt;="&amp;$B138,BD!$V$3:$V$5001,"&lt;&gt;"))))</f>
        <v/>
      </c>
      <c r="N138" s="43" t="str">
        <f>IF(OR($B138="",$A138&gt;$B$9,N$136=""),"",IF(COUNTIFS(BD!$B$3:$B$5001,N$136,BD!$A$3:$A$5001,"&gt;="&amp;$C$7,BD!$A$3:$A$5001,"&lt;="&amp;$B138,BD!$V$3:$V$5001,"&lt;&gt;")=0,"",SUMIFS(BD!$V$3:$V$5001,BD!$B$3:$B$5001,N$136,BD!$A$3:$A$5001,_xlfn.MAXIFS(BD!$A$3:$A$5001,BD!$B$3:$B$5001,N$136,BD!$A$3:$A$5001,"&gt;="&amp;$C$7,BD!$A$3:$A$5001,"&lt;="&amp;$B138,BD!$V$3:$V$5001,"&lt;&gt;"))))</f>
        <v/>
      </c>
      <c r="O138" s="43" t="str">
        <f>IF(OR($B138="",$A138&gt;$B$9,O$136=""),"",IF(COUNTIFS(BD!$B$3:$B$5001,O$136,BD!$A$3:$A$5001,"&gt;="&amp;$C$7,BD!$A$3:$A$5001,"&lt;="&amp;$B138,BD!$V$3:$V$5001,"&lt;&gt;")=0,"",SUMIFS(BD!$V$3:$V$5001,BD!$B$3:$B$5001,O$136,BD!$A$3:$A$5001,_xlfn.MAXIFS(BD!$A$3:$A$5001,BD!$B$3:$B$5001,O$136,BD!$A$3:$A$5001,"&gt;="&amp;$C$7,BD!$A$3:$A$5001,"&lt;="&amp;$B138,BD!$V$3:$V$5001,"&lt;&gt;"))))</f>
        <v/>
      </c>
      <c r="P138" s="43" t="str">
        <f>IF(OR($B138="",$A138&gt;$B$9,P$136=""),"",IF(COUNTIFS(BD!$B$3:$B$5001,P$136,BD!$A$3:$A$5001,"&gt;="&amp;$C$7,BD!$A$3:$A$5001,"&lt;="&amp;$B138,BD!$V$3:$V$5001,"&lt;&gt;")=0,"",SUMIFS(BD!$V$3:$V$5001,BD!$B$3:$B$5001,P$136,BD!$A$3:$A$5001,_xlfn.MAXIFS(BD!$A$3:$A$5001,BD!$B$3:$B$5001,P$136,BD!$A$3:$A$5001,"&gt;="&amp;$C$7,BD!$A$3:$A$5001,"&lt;="&amp;$B138,BD!$V$3:$V$5001,"&lt;&gt;"))))</f>
        <v/>
      </c>
      <c r="Q138" s="43" t="str">
        <f>IF(OR($B138="",$A138&gt;$B$9,Q$136=""),"",IF(COUNTIFS(BD!$B$3:$B$5001,Q$136,BD!$A$3:$A$5001,"&gt;="&amp;$C$7,BD!$A$3:$A$5001,"&lt;="&amp;$B138,BD!$V$3:$V$5001,"&lt;&gt;")=0,"",SUMIFS(BD!$V$3:$V$5001,BD!$B$3:$B$5001,Q$136,BD!$A$3:$A$5001,_xlfn.MAXIFS(BD!$A$3:$A$5001,BD!$B$3:$B$5001,Q$136,BD!$A$3:$A$5001,"&gt;="&amp;$C$7,BD!$A$3:$A$5001,"&lt;="&amp;$B138,BD!$V$3:$V$5001,"&lt;&gt;"))))</f>
        <v/>
      </c>
      <c r="R138" s="43" t="str">
        <f>IF(OR($B138="",$A138&gt;$B$9,R$136=""),"",IF(COUNTIFS(BD!$B$3:$B$5001,R$136,BD!$A$3:$A$5001,"&gt;="&amp;$C$7,BD!$A$3:$A$5001,"&lt;="&amp;$B138,BD!$V$3:$V$5001,"&lt;&gt;")=0,"",SUMIFS(BD!$V$3:$V$5001,BD!$B$3:$B$5001,R$136,BD!$A$3:$A$5001,_xlfn.MAXIFS(BD!$A$3:$A$5001,BD!$B$3:$B$5001,R$136,BD!$A$3:$A$5001,"&gt;="&amp;$C$7,BD!$A$3:$A$5001,"&lt;="&amp;$B138,BD!$V$3:$V$5001,"&lt;&gt;"))))</f>
        <v/>
      </c>
      <c r="S138" s="43" t="str">
        <f>IF(OR($B138="",$A138&gt;$B$9,S$136=""),"",IF(COUNTIFS(BD!$B$3:$B$5001,S$136,BD!$A$3:$A$5001,"&gt;="&amp;$C$7,BD!$A$3:$A$5001,"&lt;="&amp;$B138,BD!$V$3:$V$5001,"&lt;&gt;")=0,"",SUMIFS(BD!$V$3:$V$5001,BD!$B$3:$B$5001,S$136,BD!$A$3:$A$5001,_xlfn.MAXIFS(BD!$A$3:$A$5001,BD!$B$3:$B$5001,S$136,BD!$A$3:$A$5001,"&gt;="&amp;$C$7,BD!$A$3:$A$5001,"&lt;="&amp;$B138,BD!$V$3:$V$5001,"&lt;&gt;"))))</f>
        <v/>
      </c>
      <c r="T138" s="43" t="str">
        <f>IF(OR($B138="",$A138&gt;$B$9,T$136=""),"",IF(COUNTIFS(BD!$B$3:$B$5001,T$136,BD!$A$3:$A$5001,"&gt;="&amp;$C$7,BD!$A$3:$A$5001,"&lt;="&amp;$B138,BD!$V$3:$V$5001,"&lt;&gt;")=0,"",SUMIFS(BD!$V$3:$V$5001,BD!$B$3:$B$5001,T$136,BD!$A$3:$A$5001,_xlfn.MAXIFS(BD!$A$3:$A$5001,BD!$B$3:$B$5001,T$136,BD!$A$3:$A$5001,"&gt;="&amp;$C$7,BD!$A$3:$A$5001,"&lt;="&amp;$B138,BD!$V$3:$V$5001,"&lt;&gt;"))))</f>
        <v/>
      </c>
      <c r="U138" s="43" t="str">
        <f>IF(OR($B138="",$A138&gt;$B$9,U$136=""),"",IF(COUNTIFS(BD!$B$3:$B$5001,U$136,BD!$A$3:$A$5001,"&gt;="&amp;$C$7,BD!$A$3:$A$5001,"&lt;="&amp;$B138,BD!$V$3:$V$5001,"&lt;&gt;")=0,"",SUMIFS(BD!$V$3:$V$5001,BD!$B$3:$B$5001,U$136,BD!$A$3:$A$5001,_xlfn.MAXIFS(BD!$A$3:$A$5001,BD!$B$3:$B$5001,U$136,BD!$A$3:$A$5001,"&gt;="&amp;$C$7,BD!$A$3:$A$5001,"&lt;="&amp;$B138,BD!$V$3:$V$5001,"&lt;&gt;"))))</f>
        <v/>
      </c>
      <c r="V138" s="43" t="str">
        <f>IF(OR($B138="",$A138&gt;$B$9,V$136=""),"",IF(COUNTIFS(BD!$B$3:$B$5001,V$136,BD!$A$3:$A$5001,"&gt;="&amp;$C$7,BD!$A$3:$A$5001,"&lt;="&amp;$B138,BD!$V$3:$V$5001,"&lt;&gt;")=0,"",SUMIFS(BD!$V$3:$V$5001,BD!$B$3:$B$5001,V$136,BD!$A$3:$A$5001,_xlfn.MAXIFS(BD!$A$3:$A$5001,BD!$B$3:$B$5001,V$136,BD!$A$3:$A$5001,"&gt;="&amp;$C$7,BD!$A$3:$A$5001,"&lt;="&amp;$B138,BD!$V$3:$V$5001,"&lt;&gt;"))))</f>
        <v/>
      </c>
    </row>
    <row r="139">
      <c r="A139" s="38">
        <v>3</v>
      </c>
      <c r="B139" s="42">
        <f>$B$14</f>
        <v>46298</v>
      </c>
      <c r="C139" s="43" t="str">
        <f>IF(OR($B139="",$A139&gt;$B$9,C$136=""),"",IF(COUNTIFS(BD!$B$3:$B$5001,C$136,BD!$A$3:$A$5001,"&gt;="&amp;$C$7,BD!$A$3:$A$5001,"&lt;="&amp;$B139,BD!$V$3:$V$5001,"&lt;&gt;")=0,"",SUMIFS(BD!$V$3:$V$5001,BD!$B$3:$B$5001,C$136,BD!$A$3:$A$5001,_xlfn.MAXIFS(BD!$A$3:$A$5001,BD!$B$3:$B$5001,C$136,BD!$A$3:$A$5001,"&gt;="&amp;$C$7,BD!$A$3:$A$5001,"&lt;="&amp;$B139,BD!$V$3:$V$5001,"&lt;&gt;"))))</f>
        <v/>
      </c>
      <c r="D139" s="43" t="str">
        <f>IF(OR($B139="",$A139&gt;$B$9,D$136=""),"",IF(COUNTIFS(BD!$B$3:$B$5001,D$136,BD!$A$3:$A$5001,"&gt;="&amp;$C$7,BD!$A$3:$A$5001,"&lt;="&amp;$B139,BD!$V$3:$V$5001,"&lt;&gt;")=0,"",SUMIFS(BD!$V$3:$V$5001,BD!$B$3:$B$5001,D$136,BD!$A$3:$A$5001,_xlfn.MAXIFS(BD!$A$3:$A$5001,BD!$B$3:$B$5001,D$136,BD!$A$3:$A$5001,"&gt;="&amp;$C$7,BD!$A$3:$A$5001,"&lt;="&amp;$B139,BD!$V$3:$V$5001,"&lt;&gt;"))))</f>
        <v/>
      </c>
      <c r="E139" s="43" t="str">
        <f>IF(OR($B139="",$A139&gt;$B$9,E$136=""),"",IF(COUNTIFS(BD!$B$3:$B$5001,E$136,BD!$A$3:$A$5001,"&gt;="&amp;$C$7,BD!$A$3:$A$5001,"&lt;="&amp;$B139,BD!$V$3:$V$5001,"&lt;&gt;")=0,"",SUMIFS(BD!$V$3:$V$5001,BD!$B$3:$B$5001,E$136,BD!$A$3:$A$5001,_xlfn.MAXIFS(BD!$A$3:$A$5001,BD!$B$3:$B$5001,E$136,BD!$A$3:$A$5001,"&gt;="&amp;$C$7,BD!$A$3:$A$5001,"&lt;="&amp;$B139,BD!$V$3:$V$5001,"&lt;&gt;"))))</f>
        <v/>
      </c>
      <c r="F139" s="43" t="str">
        <f>IF(OR($B139="",$A139&gt;$B$9,F$136=""),"",IF(COUNTIFS(BD!$B$3:$B$5001,F$136,BD!$A$3:$A$5001,"&gt;="&amp;$C$7,BD!$A$3:$A$5001,"&lt;="&amp;$B139,BD!$V$3:$V$5001,"&lt;&gt;")=0,"",SUMIFS(BD!$V$3:$V$5001,BD!$B$3:$B$5001,F$136,BD!$A$3:$A$5001,_xlfn.MAXIFS(BD!$A$3:$A$5001,BD!$B$3:$B$5001,F$136,BD!$A$3:$A$5001,"&gt;="&amp;$C$7,BD!$A$3:$A$5001,"&lt;="&amp;$B139,BD!$V$3:$V$5001,"&lt;&gt;"))))</f>
        <v/>
      </c>
      <c r="G139" s="43" t="str">
        <f>IF(OR($B139="",$A139&gt;$B$9,G$136=""),"",IF(COUNTIFS(BD!$B$3:$B$5001,G$136,BD!$A$3:$A$5001,"&gt;="&amp;$C$7,BD!$A$3:$A$5001,"&lt;="&amp;$B139,BD!$V$3:$V$5001,"&lt;&gt;")=0,"",SUMIFS(BD!$V$3:$V$5001,BD!$B$3:$B$5001,G$136,BD!$A$3:$A$5001,_xlfn.MAXIFS(BD!$A$3:$A$5001,BD!$B$3:$B$5001,G$136,BD!$A$3:$A$5001,"&gt;="&amp;$C$7,BD!$A$3:$A$5001,"&lt;="&amp;$B139,BD!$V$3:$V$5001,"&lt;&gt;"))))</f>
        <v/>
      </c>
      <c r="H139" s="43" t="str">
        <f>IF(OR($B139="",$A139&gt;$B$9,H$136=""),"",IF(COUNTIFS(BD!$B$3:$B$5001,H$136,BD!$A$3:$A$5001,"&gt;="&amp;$C$7,BD!$A$3:$A$5001,"&lt;="&amp;$B139,BD!$V$3:$V$5001,"&lt;&gt;")=0,"",SUMIFS(BD!$V$3:$V$5001,BD!$B$3:$B$5001,H$136,BD!$A$3:$A$5001,_xlfn.MAXIFS(BD!$A$3:$A$5001,BD!$B$3:$B$5001,H$136,BD!$A$3:$A$5001,"&gt;="&amp;$C$7,BD!$A$3:$A$5001,"&lt;="&amp;$B139,BD!$V$3:$V$5001,"&lt;&gt;"))))</f>
        <v/>
      </c>
      <c r="I139" s="43" t="str">
        <f>IF(OR($B139="",$A139&gt;$B$9,I$136=""),"",IF(COUNTIFS(BD!$B$3:$B$5001,I$136,BD!$A$3:$A$5001,"&gt;="&amp;$C$7,BD!$A$3:$A$5001,"&lt;="&amp;$B139,BD!$V$3:$V$5001,"&lt;&gt;")=0,"",SUMIFS(BD!$V$3:$V$5001,BD!$B$3:$B$5001,I$136,BD!$A$3:$A$5001,_xlfn.MAXIFS(BD!$A$3:$A$5001,BD!$B$3:$B$5001,I$136,BD!$A$3:$A$5001,"&gt;="&amp;$C$7,BD!$A$3:$A$5001,"&lt;="&amp;$B139,BD!$V$3:$V$5001,"&lt;&gt;"))))</f>
        <v/>
      </c>
      <c r="J139" s="43" t="str">
        <f>IF(OR($B139="",$A139&gt;$B$9,J$136=""),"",IF(COUNTIFS(BD!$B$3:$B$5001,J$136,BD!$A$3:$A$5001,"&gt;="&amp;$C$7,BD!$A$3:$A$5001,"&lt;="&amp;$B139,BD!$V$3:$V$5001,"&lt;&gt;")=0,"",SUMIFS(BD!$V$3:$V$5001,BD!$B$3:$B$5001,J$136,BD!$A$3:$A$5001,_xlfn.MAXIFS(BD!$A$3:$A$5001,BD!$B$3:$B$5001,J$136,BD!$A$3:$A$5001,"&gt;="&amp;$C$7,BD!$A$3:$A$5001,"&lt;="&amp;$B139,BD!$V$3:$V$5001,"&lt;&gt;"))))</f>
        <v/>
      </c>
      <c r="K139" s="43" t="str">
        <f>IF(OR($B139="",$A139&gt;$B$9,K$136=""),"",IF(COUNTIFS(BD!$B$3:$B$5001,K$136,BD!$A$3:$A$5001,"&gt;="&amp;$C$7,BD!$A$3:$A$5001,"&lt;="&amp;$B139,BD!$V$3:$V$5001,"&lt;&gt;")=0,"",SUMIFS(BD!$V$3:$V$5001,BD!$B$3:$B$5001,K$136,BD!$A$3:$A$5001,_xlfn.MAXIFS(BD!$A$3:$A$5001,BD!$B$3:$B$5001,K$136,BD!$A$3:$A$5001,"&gt;="&amp;$C$7,BD!$A$3:$A$5001,"&lt;="&amp;$B139,BD!$V$3:$V$5001,"&lt;&gt;"))))</f>
        <v/>
      </c>
      <c r="L139" s="43" t="str">
        <f>IF(OR($B139="",$A139&gt;$B$9,L$136=""),"",IF(COUNTIFS(BD!$B$3:$B$5001,L$136,BD!$A$3:$A$5001,"&gt;="&amp;$C$7,BD!$A$3:$A$5001,"&lt;="&amp;$B139,BD!$V$3:$V$5001,"&lt;&gt;")=0,"",SUMIFS(BD!$V$3:$V$5001,BD!$B$3:$B$5001,L$136,BD!$A$3:$A$5001,_xlfn.MAXIFS(BD!$A$3:$A$5001,BD!$B$3:$B$5001,L$136,BD!$A$3:$A$5001,"&gt;="&amp;$C$7,BD!$A$3:$A$5001,"&lt;="&amp;$B139,BD!$V$3:$V$5001,"&lt;&gt;"))))</f>
        <v/>
      </c>
      <c r="M139" s="43" t="str">
        <f>IF(OR($B139="",$A139&gt;$B$9,M$136=""),"",IF(COUNTIFS(BD!$B$3:$B$5001,M$136,BD!$A$3:$A$5001,"&gt;="&amp;$C$7,BD!$A$3:$A$5001,"&lt;="&amp;$B139,BD!$V$3:$V$5001,"&lt;&gt;")=0,"",SUMIFS(BD!$V$3:$V$5001,BD!$B$3:$B$5001,M$136,BD!$A$3:$A$5001,_xlfn.MAXIFS(BD!$A$3:$A$5001,BD!$B$3:$B$5001,M$136,BD!$A$3:$A$5001,"&gt;="&amp;$C$7,BD!$A$3:$A$5001,"&lt;="&amp;$B139,BD!$V$3:$V$5001,"&lt;&gt;"))))</f>
        <v/>
      </c>
      <c r="N139" s="43" t="str">
        <f>IF(OR($B139="",$A139&gt;$B$9,N$136=""),"",IF(COUNTIFS(BD!$B$3:$B$5001,N$136,BD!$A$3:$A$5001,"&gt;="&amp;$C$7,BD!$A$3:$A$5001,"&lt;="&amp;$B139,BD!$V$3:$V$5001,"&lt;&gt;")=0,"",SUMIFS(BD!$V$3:$V$5001,BD!$B$3:$B$5001,N$136,BD!$A$3:$A$5001,_xlfn.MAXIFS(BD!$A$3:$A$5001,BD!$B$3:$B$5001,N$136,BD!$A$3:$A$5001,"&gt;="&amp;$C$7,BD!$A$3:$A$5001,"&lt;="&amp;$B139,BD!$V$3:$V$5001,"&lt;&gt;"))))</f>
        <v/>
      </c>
      <c r="O139" s="43" t="str">
        <f>IF(OR($B139="",$A139&gt;$B$9,O$136=""),"",IF(COUNTIFS(BD!$B$3:$B$5001,O$136,BD!$A$3:$A$5001,"&gt;="&amp;$C$7,BD!$A$3:$A$5001,"&lt;="&amp;$B139,BD!$V$3:$V$5001,"&lt;&gt;")=0,"",SUMIFS(BD!$V$3:$V$5001,BD!$B$3:$B$5001,O$136,BD!$A$3:$A$5001,_xlfn.MAXIFS(BD!$A$3:$A$5001,BD!$B$3:$B$5001,O$136,BD!$A$3:$A$5001,"&gt;="&amp;$C$7,BD!$A$3:$A$5001,"&lt;="&amp;$B139,BD!$V$3:$V$5001,"&lt;&gt;"))))</f>
        <v/>
      </c>
      <c r="P139" s="43" t="str">
        <f>IF(OR($B139="",$A139&gt;$B$9,P$136=""),"",IF(COUNTIFS(BD!$B$3:$B$5001,P$136,BD!$A$3:$A$5001,"&gt;="&amp;$C$7,BD!$A$3:$A$5001,"&lt;="&amp;$B139,BD!$V$3:$V$5001,"&lt;&gt;")=0,"",SUMIFS(BD!$V$3:$V$5001,BD!$B$3:$B$5001,P$136,BD!$A$3:$A$5001,_xlfn.MAXIFS(BD!$A$3:$A$5001,BD!$B$3:$B$5001,P$136,BD!$A$3:$A$5001,"&gt;="&amp;$C$7,BD!$A$3:$A$5001,"&lt;="&amp;$B139,BD!$V$3:$V$5001,"&lt;&gt;"))))</f>
        <v/>
      </c>
      <c r="Q139" s="43" t="str">
        <f>IF(OR($B139="",$A139&gt;$B$9,Q$136=""),"",IF(COUNTIFS(BD!$B$3:$B$5001,Q$136,BD!$A$3:$A$5001,"&gt;="&amp;$C$7,BD!$A$3:$A$5001,"&lt;="&amp;$B139,BD!$V$3:$V$5001,"&lt;&gt;")=0,"",SUMIFS(BD!$V$3:$V$5001,BD!$B$3:$B$5001,Q$136,BD!$A$3:$A$5001,_xlfn.MAXIFS(BD!$A$3:$A$5001,BD!$B$3:$B$5001,Q$136,BD!$A$3:$A$5001,"&gt;="&amp;$C$7,BD!$A$3:$A$5001,"&lt;="&amp;$B139,BD!$V$3:$V$5001,"&lt;&gt;"))))</f>
        <v/>
      </c>
      <c r="R139" s="43" t="str">
        <f>IF(OR($B139="",$A139&gt;$B$9,R$136=""),"",IF(COUNTIFS(BD!$B$3:$B$5001,R$136,BD!$A$3:$A$5001,"&gt;="&amp;$C$7,BD!$A$3:$A$5001,"&lt;="&amp;$B139,BD!$V$3:$V$5001,"&lt;&gt;")=0,"",SUMIFS(BD!$V$3:$V$5001,BD!$B$3:$B$5001,R$136,BD!$A$3:$A$5001,_xlfn.MAXIFS(BD!$A$3:$A$5001,BD!$B$3:$B$5001,R$136,BD!$A$3:$A$5001,"&gt;="&amp;$C$7,BD!$A$3:$A$5001,"&lt;="&amp;$B139,BD!$V$3:$V$5001,"&lt;&gt;"))))</f>
        <v/>
      </c>
      <c r="S139" s="43" t="str">
        <f>IF(OR($B139="",$A139&gt;$B$9,S$136=""),"",IF(COUNTIFS(BD!$B$3:$B$5001,S$136,BD!$A$3:$A$5001,"&gt;="&amp;$C$7,BD!$A$3:$A$5001,"&lt;="&amp;$B139,BD!$V$3:$V$5001,"&lt;&gt;")=0,"",SUMIFS(BD!$V$3:$V$5001,BD!$B$3:$B$5001,S$136,BD!$A$3:$A$5001,_xlfn.MAXIFS(BD!$A$3:$A$5001,BD!$B$3:$B$5001,S$136,BD!$A$3:$A$5001,"&gt;="&amp;$C$7,BD!$A$3:$A$5001,"&lt;="&amp;$B139,BD!$V$3:$V$5001,"&lt;&gt;"))))</f>
        <v/>
      </c>
      <c r="T139" s="43" t="str">
        <f>IF(OR($B139="",$A139&gt;$B$9,T$136=""),"",IF(COUNTIFS(BD!$B$3:$B$5001,T$136,BD!$A$3:$A$5001,"&gt;="&amp;$C$7,BD!$A$3:$A$5001,"&lt;="&amp;$B139,BD!$V$3:$V$5001,"&lt;&gt;")=0,"",SUMIFS(BD!$V$3:$V$5001,BD!$B$3:$B$5001,T$136,BD!$A$3:$A$5001,_xlfn.MAXIFS(BD!$A$3:$A$5001,BD!$B$3:$B$5001,T$136,BD!$A$3:$A$5001,"&gt;="&amp;$C$7,BD!$A$3:$A$5001,"&lt;="&amp;$B139,BD!$V$3:$V$5001,"&lt;&gt;"))))</f>
        <v/>
      </c>
      <c r="U139" s="43" t="str">
        <f>IF(OR($B139="",$A139&gt;$B$9,U$136=""),"",IF(COUNTIFS(BD!$B$3:$B$5001,U$136,BD!$A$3:$A$5001,"&gt;="&amp;$C$7,BD!$A$3:$A$5001,"&lt;="&amp;$B139,BD!$V$3:$V$5001,"&lt;&gt;")=0,"",SUMIFS(BD!$V$3:$V$5001,BD!$B$3:$B$5001,U$136,BD!$A$3:$A$5001,_xlfn.MAXIFS(BD!$A$3:$A$5001,BD!$B$3:$B$5001,U$136,BD!$A$3:$A$5001,"&gt;="&amp;$C$7,BD!$A$3:$A$5001,"&lt;="&amp;$B139,BD!$V$3:$V$5001,"&lt;&gt;"))))</f>
        <v/>
      </c>
      <c r="V139" s="43" t="str">
        <f>IF(OR($B139="",$A139&gt;$B$9,V$136=""),"",IF(COUNTIFS(BD!$B$3:$B$5001,V$136,BD!$A$3:$A$5001,"&gt;="&amp;$C$7,BD!$A$3:$A$5001,"&lt;="&amp;$B139,BD!$V$3:$V$5001,"&lt;&gt;")=0,"",SUMIFS(BD!$V$3:$V$5001,BD!$B$3:$B$5001,V$136,BD!$A$3:$A$5001,_xlfn.MAXIFS(BD!$A$3:$A$5001,BD!$B$3:$B$5001,V$136,BD!$A$3:$A$5001,"&gt;="&amp;$C$7,BD!$A$3:$A$5001,"&lt;="&amp;$B139,BD!$V$3:$V$5001,"&lt;&gt;"))))</f>
        <v/>
      </c>
    </row>
    <row r="140">
      <c r="A140" s="38">
        <v>4</v>
      </c>
      <c r="B140" s="42">
        <f>$B$15</f>
        <v>46299</v>
      </c>
      <c r="C140" s="43" t="str">
        <f>IF(OR($B140="",$A140&gt;$B$9,C$136=""),"",IF(COUNTIFS(BD!$B$3:$B$5001,C$136,BD!$A$3:$A$5001,"&gt;="&amp;$C$7,BD!$A$3:$A$5001,"&lt;="&amp;$B140,BD!$V$3:$V$5001,"&lt;&gt;")=0,"",SUMIFS(BD!$V$3:$V$5001,BD!$B$3:$B$5001,C$136,BD!$A$3:$A$5001,_xlfn.MAXIFS(BD!$A$3:$A$5001,BD!$B$3:$B$5001,C$136,BD!$A$3:$A$5001,"&gt;="&amp;$C$7,BD!$A$3:$A$5001,"&lt;="&amp;$B140,BD!$V$3:$V$5001,"&lt;&gt;"))))</f>
        <v/>
      </c>
      <c r="D140" s="43" t="str">
        <f>IF(OR($B140="",$A140&gt;$B$9,D$136=""),"",IF(COUNTIFS(BD!$B$3:$B$5001,D$136,BD!$A$3:$A$5001,"&gt;="&amp;$C$7,BD!$A$3:$A$5001,"&lt;="&amp;$B140,BD!$V$3:$V$5001,"&lt;&gt;")=0,"",SUMIFS(BD!$V$3:$V$5001,BD!$B$3:$B$5001,D$136,BD!$A$3:$A$5001,_xlfn.MAXIFS(BD!$A$3:$A$5001,BD!$B$3:$B$5001,D$136,BD!$A$3:$A$5001,"&gt;="&amp;$C$7,BD!$A$3:$A$5001,"&lt;="&amp;$B140,BD!$V$3:$V$5001,"&lt;&gt;"))))</f>
        <v/>
      </c>
      <c r="E140" s="43" t="str">
        <f>IF(OR($B140="",$A140&gt;$B$9,E$136=""),"",IF(COUNTIFS(BD!$B$3:$B$5001,E$136,BD!$A$3:$A$5001,"&gt;="&amp;$C$7,BD!$A$3:$A$5001,"&lt;="&amp;$B140,BD!$V$3:$V$5001,"&lt;&gt;")=0,"",SUMIFS(BD!$V$3:$V$5001,BD!$B$3:$B$5001,E$136,BD!$A$3:$A$5001,_xlfn.MAXIFS(BD!$A$3:$A$5001,BD!$B$3:$B$5001,E$136,BD!$A$3:$A$5001,"&gt;="&amp;$C$7,BD!$A$3:$A$5001,"&lt;="&amp;$B140,BD!$V$3:$V$5001,"&lt;&gt;"))))</f>
        <v/>
      </c>
      <c r="F140" s="43" t="str">
        <f>IF(OR($B140="",$A140&gt;$B$9,F$136=""),"",IF(COUNTIFS(BD!$B$3:$B$5001,F$136,BD!$A$3:$A$5001,"&gt;="&amp;$C$7,BD!$A$3:$A$5001,"&lt;="&amp;$B140,BD!$V$3:$V$5001,"&lt;&gt;")=0,"",SUMIFS(BD!$V$3:$V$5001,BD!$B$3:$B$5001,F$136,BD!$A$3:$A$5001,_xlfn.MAXIFS(BD!$A$3:$A$5001,BD!$B$3:$B$5001,F$136,BD!$A$3:$A$5001,"&gt;="&amp;$C$7,BD!$A$3:$A$5001,"&lt;="&amp;$B140,BD!$V$3:$V$5001,"&lt;&gt;"))))</f>
        <v/>
      </c>
      <c r="G140" s="43" t="str">
        <f>IF(OR($B140="",$A140&gt;$B$9,G$136=""),"",IF(COUNTIFS(BD!$B$3:$B$5001,G$136,BD!$A$3:$A$5001,"&gt;="&amp;$C$7,BD!$A$3:$A$5001,"&lt;="&amp;$B140,BD!$V$3:$V$5001,"&lt;&gt;")=0,"",SUMIFS(BD!$V$3:$V$5001,BD!$B$3:$B$5001,G$136,BD!$A$3:$A$5001,_xlfn.MAXIFS(BD!$A$3:$A$5001,BD!$B$3:$B$5001,G$136,BD!$A$3:$A$5001,"&gt;="&amp;$C$7,BD!$A$3:$A$5001,"&lt;="&amp;$B140,BD!$V$3:$V$5001,"&lt;&gt;"))))</f>
        <v/>
      </c>
      <c r="H140" s="43" t="str">
        <f>IF(OR($B140="",$A140&gt;$B$9,H$136=""),"",IF(COUNTIFS(BD!$B$3:$B$5001,H$136,BD!$A$3:$A$5001,"&gt;="&amp;$C$7,BD!$A$3:$A$5001,"&lt;="&amp;$B140,BD!$V$3:$V$5001,"&lt;&gt;")=0,"",SUMIFS(BD!$V$3:$V$5001,BD!$B$3:$B$5001,H$136,BD!$A$3:$A$5001,_xlfn.MAXIFS(BD!$A$3:$A$5001,BD!$B$3:$B$5001,H$136,BD!$A$3:$A$5001,"&gt;="&amp;$C$7,BD!$A$3:$A$5001,"&lt;="&amp;$B140,BD!$V$3:$V$5001,"&lt;&gt;"))))</f>
        <v/>
      </c>
      <c r="I140" s="43" t="str">
        <f>IF(OR($B140="",$A140&gt;$B$9,I$136=""),"",IF(COUNTIFS(BD!$B$3:$B$5001,I$136,BD!$A$3:$A$5001,"&gt;="&amp;$C$7,BD!$A$3:$A$5001,"&lt;="&amp;$B140,BD!$V$3:$V$5001,"&lt;&gt;")=0,"",SUMIFS(BD!$V$3:$V$5001,BD!$B$3:$B$5001,I$136,BD!$A$3:$A$5001,_xlfn.MAXIFS(BD!$A$3:$A$5001,BD!$B$3:$B$5001,I$136,BD!$A$3:$A$5001,"&gt;="&amp;$C$7,BD!$A$3:$A$5001,"&lt;="&amp;$B140,BD!$V$3:$V$5001,"&lt;&gt;"))))</f>
        <v/>
      </c>
      <c r="J140" s="43" t="str">
        <f>IF(OR($B140="",$A140&gt;$B$9,J$136=""),"",IF(COUNTIFS(BD!$B$3:$B$5001,J$136,BD!$A$3:$A$5001,"&gt;="&amp;$C$7,BD!$A$3:$A$5001,"&lt;="&amp;$B140,BD!$V$3:$V$5001,"&lt;&gt;")=0,"",SUMIFS(BD!$V$3:$V$5001,BD!$B$3:$B$5001,J$136,BD!$A$3:$A$5001,_xlfn.MAXIFS(BD!$A$3:$A$5001,BD!$B$3:$B$5001,J$136,BD!$A$3:$A$5001,"&gt;="&amp;$C$7,BD!$A$3:$A$5001,"&lt;="&amp;$B140,BD!$V$3:$V$5001,"&lt;&gt;"))))</f>
        <v/>
      </c>
      <c r="K140" s="43" t="str">
        <f>IF(OR($B140="",$A140&gt;$B$9,K$136=""),"",IF(COUNTIFS(BD!$B$3:$B$5001,K$136,BD!$A$3:$A$5001,"&gt;="&amp;$C$7,BD!$A$3:$A$5001,"&lt;="&amp;$B140,BD!$V$3:$V$5001,"&lt;&gt;")=0,"",SUMIFS(BD!$V$3:$V$5001,BD!$B$3:$B$5001,K$136,BD!$A$3:$A$5001,_xlfn.MAXIFS(BD!$A$3:$A$5001,BD!$B$3:$B$5001,K$136,BD!$A$3:$A$5001,"&gt;="&amp;$C$7,BD!$A$3:$A$5001,"&lt;="&amp;$B140,BD!$V$3:$V$5001,"&lt;&gt;"))))</f>
        <v/>
      </c>
      <c r="L140" s="43" t="str">
        <f>IF(OR($B140="",$A140&gt;$B$9,L$136=""),"",IF(COUNTIFS(BD!$B$3:$B$5001,L$136,BD!$A$3:$A$5001,"&gt;="&amp;$C$7,BD!$A$3:$A$5001,"&lt;="&amp;$B140,BD!$V$3:$V$5001,"&lt;&gt;")=0,"",SUMIFS(BD!$V$3:$V$5001,BD!$B$3:$B$5001,L$136,BD!$A$3:$A$5001,_xlfn.MAXIFS(BD!$A$3:$A$5001,BD!$B$3:$B$5001,L$136,BD!$A$3:$A$5001,"&gt;="&amp;$C$7,BD!$A$3:$A$5001,"&lt;="&amp;$B140,BD!$V$3:$V$5001,"&lt;&gt;"))))</f>
        <v/>
      </c>
      <c r="M140" s="43" t="str">
        <f>IF(OR($B140="",$A140&gt;$B$9,M$136=""),"",IF(COUNTIFS(BD!$B$3:$B$5001,M$136,BD!$A$3:$A$5001,"&gt;="&amp;$C$7,BD!$A$3:$A$5001,"&lt;="&amp;$B140,BD!$V$3:$V$5001,"&lt;&gt;")=0,"",SUMIFS(BD!$V$3:$V$5001,BD!$B$3:$B$5001,M$136,BD!$A$3:$A$5001,_xlfn.MAXIFS(BD!$A$3:$A$5001,BD!$B$3:$B$5001,M$136,BD!$A$3:$A$5001,"&gt;="&amp;$C$7,BD!$A$3:$A$5001,"&lt;="&amp;$B140,BD!$V$3:$V$5001,"&lt;&gt;"))))</f>
        <v/>
      </c>
      <c r="N140" s="43" t="str">
        <f>IF(OR($B140="",$A140&gt;$B$9,N$136=""),"",IF(COUNTIFS(BD!$B$3:$B$5001,N$136,BD!$A$3:$A$5001,"&gt;="&amp;$C$7,BD!$A$3:$A$5001,"&lt;="&amp;$B140,BD!$V$3:$V$5001,"&lt;&gt;")=0,"",SUMIFS(BD!$V$3:$V$5001,BD!$B$3:$B$5001,N$136,BD!$A$3:$A$5001,_xlfn.MAXIFS(BD!$A$3:$A$5001,BD!$B$3:$B$5001,N$136,BD!$A$3:$A$5001,"&gt;="&amp;$C$7,BD!$A$3:$A$5001,"&lt;="&amp;$B140,BD!$V$3:$V$5001,"&lt;&gt;"))))</f>
        <v/>
      </c>
      <c r="O140" s="43" t="str">
        <f>IF(OR($B140="",$A140&gt;$B$9,O$136=""),"",IF(COUNTIFS(BD!$B$3:$B$5001,O$136,BD!$A$3:$A$5001,"&gt;="&amp;$C$7,BD!$A$3:$A$5001,"&lt;="&amp;$B140,BD!$V$3:$V$5001,"&lt;&gt;")=0,"",SUMIFS(BD!$V$3:$V$5001,BD!$B$3:$B$5001,O$136,BD!$A$3:$A$5001,_xlfn.MAXIFS(BD!$A$3:$A$5001,BD!$B$3:$B$5001,O$136,BD!$A$3:$A$5001,"&gt;="&amp;$C$7,BD!$A$3:$A$5001,"&lt;="&amp;$B140,BD!$V$3:$V$5001,"&lt;&gt;"))))</f>
        <v/>
      </c>
      <c r="P140" s="43" t="str">
        <f>IF(OR($B140="",$A140&gt;$B$9,P$136=""),"",IF(COUNTIFS(BD!$B$3:$B$5001,P$136,BD!$A$3:$A$5001,"&gt;="&amp;$C$7,BD!$A$3:$A$5001,"&lt;="&amp;$B140,BD!$V$3:$V$5001,"&lt;&gt;")=0,"",SUMIFS(BD!$V$3:$V$5001,BD!$B$3:$B$5001,P$136,BD!$A$3:$A$5001,_xlfn.MAXIFS(BD!$A$3:$A$5001,BD!$B$3:$B$5001,P$136,BD!$A$3:$A$5001,"&gt;="&amp;$C$7,BD!$A$3:$A$5001,"&lt;="&amp;$B140,BD!$V$3:$V$5001,"&lt;&gt;"))))</f>
        <v/>
      </c>
      <c r="Q140" s="43" t="str">
        <f>IF(OR($B140="",$A140&gt;$B$9,Q$136=""),"",IF(COUNTIFS(BD!$B$3:$B$5001,Q$136,BD!$A$3:$A$5001,"&gt;="&amp;$C$7,BD!$A$3:$A$5001,"&lt;="&amp;$B140,BD!$V$3:$V$5001,"&lt;&gt;")=0,"",SUMIFS(BD!$V$3:$V$5001,BD!$B$3:$B$5001,Q$136,BD!$A$3:$A$5001,_xlfn.MAXIFS(BD!$A$3:$A$5001,BD!$B$3:$B$5001,Q$136,BD!$A$3:$A$5001,"&gt;="&amp;$C$7,BD!$A$3:$A$5001,"&lt;="&amp;$B140,BD!$V$3:$V$5001,"&lt;&gt;"))))</f>
        <v/>
      </c>
      <c r="R140" s="43" t="str">
        <f>IF(OR($B140="",$A140&gt;$B$9,R$136=""),"",IF(COUNTIFS(BD!$B$3:$B$5001,R$136,BD!$A$3:$A$5001,"&gt;="&amp;$C$7,BD!$A$3:$A$5001,"&lt;="&amp;$B140,BD!$V$3:$V$5001,"&lt;&gt;")=0,"",SUMIFS(BD!$V$3:$V$5001,BD!$B$3:$B$5001,R$136,BD!$A$3:$A$5001,_xlfn.MAXIFS(BD!$A$3:$A$5001,BD!$B$3:$B$5001,R$136,BD!$A$3:$A$5001,"&gt;="&amp;$C$7,BD!$A$3:$A$5001,"&lt;="&amp;$B140,BD!$V$3:$V$5001,"&lt;&gt;"))))</f>
        <v/>
      </c>
      <c r="S140" s="43" t="str">
        <f>IF(OR($B140="",$A140&gt;$B$9,S$136=""),"",IF(COUNTIFS(BD!$B$3:$B$5001,S$136,BD!$A$3:$A$5001,"&gt;="&amp;$C$7,BD!$A$3:$A$5001,"&lt;="&amp;$B140,BD!$V$3:$V$5001,"&lt;&gt;")=0,"",SUMIFS(BD!$V$3:$V$5001,BD!$B$3:$B$5001,S$136,BD!$A$3:$A$5001,_xlfn.MAXIFS(BD!$A$3:$A$5001,BD!$B$3:$B$5001,S$136,BD!$A$3:$A$5001,"&gt;="&amp;$C$7,BD!$A$3:$A$5001,"&lt;="&amp;$B140,BD!$V$3:$V$5001,"&lt;&gt;"))))</f>
        <v/>
      </c>
      <c r="T140" s="43" t="str">
        <f>IF(OR($B140="",$A140&gt;$B$9,T$136=""),"",IF(COUNTIFS(BD!$B$3:$B$5001,T$136,BD!$A$3:$A$5001,"&gt;="&amp;$C$7,BD!$A$3:$A$5001,"&lt;="&amp;$B140,BD!$V$3:$V$5001,"&lt;&gt;")=0,"",SUMIFS(BD!$V$3:$V$5001,BD!$B$3:$B$5001,T$136,BD!$A$3:$A$5001,_xlfn.MAXIFS(BD!$A$3:$A$5001,BD!$B$3:$B$5001,T$136,BD!$A$3:$A$5001,"&gt;="&amp;$C$7,BD!$A$3:$A$5001,"&lt;="&amp;$B140,BD!$V$3:$V$5001,"&lt;&gt;"))))</f>
        <v/>
      </c>
      <c r="U140" s="43" t="str">
        <f>IF(OR($B140="",$A140&gt;$B$9,U$136=""),"",IF(COUNTIFS(BD!$B$3:$B$5001,U$136,BD!$A$3:$A$5001,"&gt;="&amp;$C$7,BD!$A$3:$A$5001,"&lt;="&amp;$B140,BD!$V$3:$V$5001,"&lt;&gt;")=0,"",SUMIFS(BD!$V$3:$V$5001,BD!$B$3:$B$5001,U$136,BD!$A$3:$A$5001,_xlfn.MAXIFS(BD!$A$3:$A$5001,BD!$B$3:$B$5001,U$136,BD!$A$3:$A$5001,"&gt;="&amp;$C$7,BD!$A$3:$A$5001,"&lt;="&amp;$B140,BD!$V$3:$V$5001,"&lt;&gt;"))))</f>
        <v/>
      </c>
      <c r="V140" s="43" t="str">
        <f>IF(OR($B140="",$A140&gt;$B$9,V$136=""),"",IF(COUNTIFS(BD!$B$3:$B$5001,V$136,BD!$A$3:$A$5001,"&gt;="&amp;$C$7,BD!$A$3:$A$5001,"&lt;="&amp;$B140,BD!$V$3:$V$5001,"&lt;&gt;")=0,"",SUMIFS(BD!$V$3:$V$5001,BD!$B$3:$B$5001,V$136,BD!$A$3:$A$5001,_xlfn.MAXIFS(BD!$A$3:$A$5001,BD!$B$3:$B$5001,V$136,BD!$A$3:$A$5001,"&gt;="&amp;$C$7,BD!$A$3:$A$5001,"&lt;="&amp;$B140,BD!$V$3:$V$5001,"&lt;&gt;"))))</f>
        <v/>
      </c>
    </row>
    <row r="141">
      <c r="A141" s="38">
        <v>5</v>
      </c>
      <c r="B141" s="42">
        <f>$B$16</f>
        <v>46300</v>
      </c>
      <c r="C141" s="43" t="str">
        <f>IF(OR($B141="",$A141&gt;$B$9,C$136=""),"",IF(COUNTIFS(BD!$B$3:$B$5001,C$136,BD!$A$3:$A$5001,"&gt;="&amp;$C$7,BD!$A$3:$A$5001,"&lt;="&amp;$B141,BD!$V$3:$V$5001,"&lt;&gt;")=0,"",SUMIFS(BD!$V$3:$V$5001,BD!$B$3:$B$5001,C$136,BD!$A$3:$A$5001,_xlfn.MAXIFS(BD!$A$3:$A$5001,BD!$B$3:$B$5001,C$136,BD!$A$3:$A$5001,"&gt;="&amp;$C$7,BD!$A$3:$A$5001,"&lt;="&amp;$B141,BD!$V$3:$V$5001,"&lt;&gt;"))))</f>
        <v/>
      </c>
      <c r="D141" s="43" t="str">
        <f>IF(OR($B141="",$A141&gt;$B$9,D$136=""),"",IF(COUNTIFS(BD!$B$3:$B$5001,D$136,BD!$A$3:$A$5001,"&gt;="&amp;$C$7,BD!$A$3:$A$5001,"&lt;="&amp;$B141,BD!$V$3:$V$5001,"&lt;&gt;")=0,"",SUMIFS(BD!$V$3:$V$5001,BD!$B$3:$B$5001,D$136,BD!$A$3:$A$5001,_xlfn.MAXIFS(BD!$A$3:$A$5001,BD!$B$3:$B$5001,D$136,BD!$A$3:$A$5001,"&gt;="&amp;$C$7,BD!$A$3:$A$5001,"&lt;="&amp;$B141,BD!$V$3:$V$5001,"&lt;&gt;"))))</f>
        <v/>
      </c>
      <c r="E141" s="43" t="str">
        <f>IF(OR($B141="",$A141&gt;$B$9,E$136=""),"",IF(COUNTIFS(BD!$B$3:$B$5001,E$136,BD!$A$3:$A$5001,"&gt;="&amp;$C$7,BD!$A$3:$A$5001,"&lt;="&amp;$B141,BD!$V$3:$V$5001,"&lt;&gt;")=0,"",SUMIFS(BD!$V$3:$V$5001,BD!$B$3:$B$5001,E$136,BD!$A$3:$A$5001,_xlfn.MAXIFS(BD!$A$3:$A$5001,BD!$B$3:$B$5001,E$136,BD!$A$3:$A$5001,"&gt;="&amp;$C$7,BD!$A$3:$A$5001,"&lt;="&amp;$B141,BD!$V$3:$V$5001,"&lt;&gt;"))))</f>
        <v/>
      </c>
      <c r="F141" s="43" t="str">
        <f>IF(OR($B141="",$A141&gt;$B$9,F$136=""),"",IF(COUNTIFS(BD!$B$3:$B$5001,F$136,BD!$A$3:$A$5001,"&gt;="&amp;$C$7,BD!$A$3:$A$5001,"&lt;="&amp;$B141,BD!$V$3:$V$5001,"&lt;&gt;")=0,"",SUMIFS(BD!$V$3:$V$5001,BD!$B$3:$B$5001,F$136,BD!$A$3:$A$5001,_xlfn.MAXIFS(BD!$A$3:$A$5001,BD!$B$3:$B$5001,F$136,BD!$A$3:$A$5001,"&gt;="&amp;$C$7,BD!$A$3:$A$5001,"&lt;="&amp;$B141,BD!$V$3:$V$5001,"&lt;&gt;"))))</f>
        <v/>
      </c>
      <c r="G141" s="43" t="str">
        <f>IF(OR($B141="",$A141&gt;$B$9,G$136=""),"",IF(COUNTIFS(BD!$B$3:$B$5001,G$136,BD!$A$3:$A$5001,"&gt;="&amp;$C$7,BD!$A$3:$A$5001,"&lt;="&amp;$B141,BD!$V$3:$V$5001,"&lt;&gt;")=0,"",SUMIFS(BD!$V$3:$V$5001,BD!$B$3:$B$5001,G$136,BD!$A$3:$A$5001,_xlfn.MAXIFS(BD!$A$3:$A$5001,BD!$B$3:$B$5001,G$136,BD!$A$3:$A$5001,"&gt;="&amp;$C$7,BD!$A$3:$A$5001,"&lt;="&amp;$B141,BD!$V$3:$V$5001,"&lt;&gt;"))))</f>
        <v/>
      </c>
      <c r="H141" s="43" t="str">
        <f>IF(OR($B141="",$A141&gt;$B$9,H$136=""),"",IF(COUNTIFS(BD!$B$3:$B$5001,H$136,BD!$A$3:$A$5001,"&gt;="&amp;$C$7,BD!$A$3:$A$5001,"&lt;="&amp;$B141,BD!$V$3:$V$5001,"&lt;&gt;")=0,"",SUMIFS(BD!$V$3:$V$5001,BD!$B$3:$B$5001,H$136,BD!$A$3:$A$5001,_xlfn.MAXIFS(BD!$A$3:$A$5001,BD!$B$3:$B$5001,H$136,BD!$A$3:$A$5001,"&gt;="&amp;$C$7,BD!$A$3:$A$5001,"&lt;="&amp;$B141,BD!$V$3:$V$5001,"&lt;&gt;"))))</f>
        <v/>
      </c>
      <c r="I141" s="43" t="str">
        <f>IF(OR($B141="",$A141&gt;$B$9,I$136=""),"",IF(COUNTIFS(BD!$B$3:$B$5001,I$136,BD!$A$3:$A$5001,"&gt;="&amp;$C$7,BD!$A$3:$A$5001,"&lt;="&amp;$B141,BD!$V$3:$V$5001,"&lt;&gt;")=0,"",SUMIFS(BD!$V$3:$V$5001,BD!$B$3:$B$5001,I$136,BD!$A$3:$A$5001,_xlfn.MAXIFS(BD!$A$3:$A$5001,BD!$B$3:$B$5001,I$136,BD!$A$3:$A$5001,"&gt;="&amp;$C$7,BD!$A$3:$A$5001,"&lt;="&amp;$B141,BD!$V$3:$V$5001,"&lt;&gt;"))))</f>
        <v/>
      </c>
      <c r="J141" s="43" t="str">
        <f>IF(OR($B141="",$A141&gt;$B$9,J$136=""),"",IF(COUNTIFS(BD!$B$3:$B$5001,J$136,BD!$A$3:$A$5001,"&gt;="&amp;$C$7,BD!$A$3:$A$5001,"&lt;="&amp;$B141,BD!$V$3:$V$5001,"&lt;&gt;")=0,"",SUMIFS(BD!$V$3:$V$5001,BD!$B$3:$B$5001,J$136,BD!$A$3:$A$5001,_xlfn.MAXIFS(BD!$A$3:$A$5001,BD!$B$3:$B$5001,J$136,BD!$A$3:$A$5001,"&gt;="&amp;$C$7,BD!$A$3:$A$5001,"&lt;="&amp;$B141,BD!$V$3:$V$5001,"&lt;&gt;"))))</f>
        <v/>
      </c>
      <c r="K141" s="43" t="str">
        <f>IF(OR($B141="",$A141&gt;$B$9,K$136=""),"",IF(COUNTIFS(BD!$B$3:$B$5001,K$136,BD!$A$3:$A$5001,"&gt;="&amp;$C$7,BD!$A$3:$A$5001,"&lt;="&amp;$B141,BD!$V$3:$V$5001,"&lt;&gt;")=0,"",SUMIFS(BD!$V$3:$V$5001,BD!$B$3:$B$5001,K$136,BD!$A$3:$A$5001,_xlfn.MAXIFS(BD!$A$3:$A$5001,BD!$B$3:$B$5001,K$136,BD!$A$3:$A$5001,"&gt;="&amp;$C$7,BD!$A$3:$A$5001,"&lt;="&amp;$B141,BD!$V$3:$V$5001,"&lt;&gt;"))))</f>
        <v/>
      </c>
      <c r="L141" s="43" t="str">
        <f>IF(OR($B141="",$A141&gt;$B$9,L$136=""),"",IF(COUNTIFS(BD!$B$3:$B$5001,L$136,BD!$A$3:$A$5001,"&gt;="&amp;$C$7,BD!$A$3:$A$5001,"&lt;="&amp;$B141,BD!$V$3:$V$5001,"&lt;&gt;")=0,"",SUMIFS(BD!$V$3:$V$5001,BD!$B$3:$B$5001,L$136,BD!$A$3:$A$5001,_xlfn.MAXIFS(BD!$A$3:$A$5001,BD!$B$3:$B$5001,L$136,BD!$A$3:$A$5001,"&gt;="&amp;$C$7,BD!$A$3:$A$5001,"&lt;="&amp;$B141,BD!$V$3:$V$5001,"&lt;&gt;"))))</f>
        <v/>
      </c>
      <c r="M141" s="43" t="str">
        <f>IF(OR($B141="",$A141&gt;$B$9,M$136=""),"",IF(COUNTIFS(BD!$B$3:$B$5001,M$136,BD!$A$3:$A$5001,"&gt;="&amp;$C$7,BD!$A$3:$A$5001,"&lt;="&amp;$B141,BD!$V$3:$V$5001,"&lt;&gt;")=0,"",SUMIFS(BD!$V$3:$V$5001,BD!$B$3:$B$5001,M$136,BD!$A$3:$A$5001,_xlfn.MAXIFS(BD!$A$3:$A$5001,BD!$B$3:$B$5001,M$136,BD!$A$3:$A$5001,"&gt;="&amp;$C$7,BD!$A$3:$A$5001,"&lt;="&amp;$B141,BD!$V$3:$V$5001,"&lt;&gt;"))))</f>
        <v/>
      </c>
      <c r="N141" s="43" t="str">
        <f>IF(OR($B141="",$A141&gt;$B$9,N$136=""),"",IF(COUNTIFS(BD!$B$3:$B$5001,N$136,BD!$A$3:$A$5001,"&gt;="&amp;$C$7,BD!$A$3:$A$5001,"&lt;="&amp;$B141,BD!$V$3:$V$5001,"&lt;&gt;")=0,"",SUMIFS(BD!$V$3:$V$5001,BD!$B$3:$B$5001,N$136,BD!$A$3:$A$5001,_xlfn.MAXIFS(BD!$A$3:$A$5001,BD!$B$3:$B$5001,N$136,BD!$A$3:$A$5001,"&gt;="&amp;$C$7,BD!$A$3:$A$5001,"&lt;="&amp;$B141,BD!$V$3:$V$5001,"&lt;&gt;"))))</f>
        <v/>
      </c>
      <c r="O141" s="43" t="str">
        <f>IF(OR($B141="",$A141&gt;$B$9,O$136=""),"",IF(COUNTIFS(BD!$B$3:$B$5001,O$136,BD!$A$3:$A$5001,"&gt;="&amp;$C$7,BD!$A$3:$A$5001,"&lt;="&amp;$B141,BD!$V$3:$V$5001,"&lt;&gt;")=0,"",SUMIFS(BD!$V$3:$V$5001,BD!$B$3:$B$5001,O$136,BD!$A$3:$A$5001,_xlfn.MAXIFS(BD!$A$3:$A$5001,BD!$B$3:$B$5001,O$136,BD!$A$3:$A$5001,"&gt;="&amp;$C$7,BD!$A$3:$A$5001,"&lt;="&amp;$B141,BD!$V$3:$V$5001,"&lt;&gt;"))))</f>
        <v/>
      </c>
      <c r="P141" s="43" t="str">
        <f>IF(OR($B141="",$A141&gt;$B$9,P$136=""),"",IF(COUNTIFS(BD!$B$3:$B$5001,P$136,BD!$A$3:$A$5001,"&gt;="&amp;$C$7,BD!$A$3:$A$5001,"&lt;="&amp;$B141,BD!$V$3:$V$5001,"&lt;&gt;")=0,"",SUMIFS(BD!$V$3:$V$5001,BD!$B$3:$B$5001,P$136,BD!$A$3:$A$5001,_xlfn.MAXIFS(BD!$A$3:$A$5001,BD!$B$3:$B$5001,P$136,BD!$A$3:$A$5001,"&gt;="&amp;$C$7,BD!$A$3:$A$5001,"&lt;="&amp;$B141,BD!$V$3:$V$5001,"&lt;&gt;"))))</f>
        <v/>
      </c>
      <c r="Q141" s="43" t="str">
        <f>IF(OR($B141="",$A141&gt;$B$9,Q$136=""),"",IF(COUNTIFS(BD!$B$3:$B$5001,Q$136,BD!$A$3:$A$5001,"&gt;="&amp;$C$7,BD!$A$3:$A$5001,"&lt;="&amp;$B141,BD!$V$3:$V$5001,"&lt;&gt;")=0,"",SUMIFS(BD!$V$3:$V$5001,BD!$B$3:$B$5001,Q$136,BD!$A$3:$A$5001,_xlfn.MAXIFS(BD!$A$3:$A$5001,BD!$B$3:$B$5001,Q$136,BD!$A$3:$A$5001,"&gt;="&amp;$C$7,BD!$A$3:$A$5001,"&lt;="&amp;$B141,BD!$V$3:$V$5001,"&lt;&gt;"))))</f>
        <v/>
      </c>
      <c r="R141" s="43" t="str">
        <f>IF(OR($B141="",$A141&gt;$B$9,R$136=""),"",IF(COUNTIFS(BD!$B$3:$B$5001,R$136,BD!$A$3:$A$5001,"&gt;="&amp;$C$7,BD!$A$3:$A$5001,"&lt;="&amp;$B141,BD!$V$3:$V$5001,"&lt;&gt;")=0,"",SUMIFS(BD!$V$3:$V$5001,BD!$B$3:$B$5001,R$136,BD!$A$3:$A$5001,_xlfn.MAXIFS(BD!$A$3:$A$5001,BD!$B$3:$B$5001,R$136,BD!$A$3:$A$5001,"&gt;="&amp;$C$7,BD!$A$3:$A$5001,"&lt;="&amp;$B141,BD!$V$3:$V$5001,"&lt;&gt;"))))</f>
        <v/>
      </c>
      <c r="S141" s="43" t="str">
        <f>IF(OR($B141="",$A141&gt;$B$9,S$136=""),"",IF(COUNTIFS(BD!$B$3:$B$5001,S$136,BD!$A$3:$A$5001,"&gt;="&amp;$C$7,BD!$A$3:$A$5001,"&lt;="&amp;$B141,BD!$V$3:$V$5001,"&lt;&gt;")=0,"",SUMIFS(BD!$V$3:$V$5001,BD!$B$3:$B$5001,S$136,BD!$A$3:$A$5001,_xlfn.MAXIFS(BD!$A$3:$A$5001,BD!$B$3:$B$5001,S$136,BD!$A$3:$A$5001,"&gt;="&amp;$C$7,BD!$A$3:$A$5001,"&lt;="&amp;$B141,BD!$V$3:$V$5001,"&lt;&gt;"))))</f>
        <v/>
      </c>
      <c r="T141" s="43" t="str">
        <f>IF(OR($B141="",$A141&gt;$B$9,T$136=""),"",IF(COUNTIFS(BD!$B$3:$B$5001,T$136,BD!$A$3:$A$5001,"&gt;="&amp;$C$7,BD!$A$3:$A$5001,"&lt;="&amp;$B141,BD!$V$3:$V$5001,"&lt;&gt;")=0,"",SUMIFS(BD!$V$3:$V$5001,BD!$B$3:$B$5001,T$136,BD!$A$3:$A$5001,_xlfn.MAXIFS(BD!$A$3:$A$5001,BD!$B$3:$B$5001,T$136,BD!$A$3:$A$5001,"&gt;="&amp;$C$7,BD!$A$3:$A$5001,"&lt;="&amp;$B141,BD!$V$3:$V$5001,"&lt;&gt;"))))</f>
        <v/>
      </c>
      <c r="U141" s="43" t="str">
        <f>IF(OR($B141="",$A141&gt;$B$9,U$136=""),"",IF(COUNTIFS(BD!$B$3:$B$5001,U$136,BD!$A$3:$A$5001,"&gt;="&amp;$C$7,BD!$A$3:$A$5001,"&lt;="&amp;$B141,BD!$V$3:$V$5001,"&lt;&gt;")=0,"",SUMIFS(BD!$V$3:$V$5001,BD!$B$3:$B$5001,U$136,BD!$A$3:$A$5001,_xlfn.MAXIFS(BD!$A$3:$A$5001,BD!$B$3:$B$5001,U$136,BD!$A$3:$A$5001,"&gt;="&amp;$C$7,BD!$A$3:$A$5001,"&lt;="&amp;$B141,BD!$V$3:$V$5001,"&lt;&gt;"))))</f>
        <v/>
      </c>
      <c r="V141" s="43" t="str">
        <f>IF(OR($B141="",$A141&gt;$B$9,V$136=""),"",IF(COUNTIFS(BD!$B$3:$B$5001,V$136,BD!$A$3:$A$5001,"&gt;="&amp;$C$7,BD!$A$3:$A$5001,"&lt;="&amp;$B141,BD!$V$3:$V$5001,"&lt;&gt;")=0,"",SUMIFS(BD!$V$3:$V$5001,BD!$B$3:$B$5001,V$136,BD!$A$3:$A$5001,_xlfn.MAXIFS(BD!$A$3:$A$5001,BD!$B$3:$B$5001,V$136,BD!$A$3:$A$5001,"&gt;="&amp;$C$7,BD!$A$3:$A$5001,"&lt;="&amp;$B141,BD!$V$3:$V$5001,"&lt;&gt;"))))</f>
        <v/>
      </c>
    </row>
    <row r="142">
      <c r="A142" s="38">
        <v>6</v>
      </c>
      <c r="B142" s="42">
        <f>$B$17</f>
        <v>46301</v>
      </c>
      <c r="C142" s="43" t="str">
        <f>IF(OR($B142="",$A142&gt;$B$9,C$136=""),"",IF(COUNTIFS(BD!$B$3:$B$5001,C$136,BD!$A$3:$A$5001,"&gt;="&amp;$C$7,BD!$A$3:$A$5001,"&lt;="&amp;$B142,BD!$V$3:$V$5001,"&lt;&gt;")=0,"",SUMIFS(BD!$V$3:$V$5001,BD!$B$3:$B$5001,C$136,BD!$A$3:$A$5001,_xlfn.MAXIFS(BD!$A$3:$A$5001,BD!$B$3:$B$5001,C$136,BD!$A$3:$A$5001,"&gt;="&amp;$C$7,BD!$A$3:$A$5001,"&lt;="&amp;$B142,BD!$V$3:$V$5001,"&lt;&gt;"))))</f>
        <v/>
      </c>
      <c r="D142" s="43" t="str">
        <f>IF(OR($B142="",$A142&gt;$B$9,D$136=""),"",IF(COUNTIFS(BD!$B$3:$B$5001,D$136,BD!$A$3:$A$5001,"&gt;="&amp;$C$7,BD!$A$3:$A$5001,"&lt;="&amp;$B142,BD!$V$3:$V$5001,"&lt;&gt;")=0,"",SUMIFS(BD!$V$3:$V$5001,BD!$B$3:$B$5001,D$136,BD!$A$3:$A$5001,_xlfn.MAXIFS(BD!$A$3:$A$5001,BD!$B$3:$B$5001,D$136,BD!$A$3:$A$5001,"&gt;="&amp;$C$7,BD!$A$3:$A$5001,"&lt;="&amp;$B142,BD!$V$3:$V$5001,"&lt;&gt;"))))</f>
        <v/>
      </c>
      <c r="E142" s="43" t="str">
        <f>IF(OR($B142="",$A142&gt;$B$9,E$136=""),"",IF(COUNTIFS(BD!$B$3:$B$5001,E$136,BD!$A$3:$A$5001,"&gt;="&amp;$C$7,BD!$A$3:$A$5001,"&lt;="&amp;$B142,BD!$V$3:$V$5001,"&lt;&gt;")=0,"",SUMIFS(BD!$V$3:$V$5001,BD!$B$3:$B$5001,E$136,BD!$A$3:$A$5001,_xlfn.MAXIFS(BD!$A$3:$A$5001,BD!$B$3:$B$5001,E$136,BD!$A$3:$A$5001,"&gt;="&amp;$C$7,BD!$A$3:$A$5001,"&lt;="&amp;$B142,BD!$V$3:$V$5001,"&lt;&gt;"))))</f>
        <v/>
      </c>
      <c r="F142" s="43" t="str">
        <f>IF(OR($B142="",$A142&gt;$B$9,F$136=""),"",IF(COUNTIFS(BD!$B$3:$B$5001,F$136,BD!$A$3:$A$5001,"&gt;="&amp;$C$7,BD!$A$3:$A$5001,"&lt;="&amp;$B142,BD!$V$3:$V$5001,"&lt;&gt;")=0,"",SUMIFS(BD!$V$3:$V$5001,BD!$B$3:$B$5001,F$136,BD!$A$3:$A$5001,_xlfn.MAXIFS(BD!$A$3:$A$5001,BD!$B$3:$B$5001,F$136,BD!$A$3:$A$5001,"&gt;="&amp;$C$7,BD!$A$3:$A$5001,"&lt;="&amp;$B142,BD!$V$3:$V$5001,"&lt;&gt;"))))</f>
        <v/>
      </c>
      <c r="G142" s="43" t="str">
        <f>IF(OR($B142="",$A142&gt;$B$9,G$136=""),"",IF(COUNTIFS(BD!$B$3:$B$5001,G$136,BD!$A$3:$A$5001,"&gt;="&amp;$C$7,BD!$A$3:$A$5001,"&lt;="&amp;$B142,BD!$V$3:$V$5001,"&lt;&gt;")=0,"",SUMIFS(BD!$V$3:$V$5001,BD!$B$3:$B$5001,G$136,BD!$A$3:$A$5001,_xlfn.MAXIFS(BD!$A$3:$A$5001,BD!$B$3:$B$5001,G$136,BD!$A$3:$A$5001,"&gt;="&amp;$C$7,BD!$A$3:$A$5001,"&lt;="&amp;$B142,BD!$V$3:$V$5001,"&lt;&gt;"))))</f>
        <v/>
      </c>
      <c r="H142" s="43" t="str">
        <f>IF(OR($B142="",$A142&gt;$B$9,H$136=""),"",IF(COUNTIFS(BD!$B$3:$B$5001,H$136,BD!$A$3:$A$5001,"&gt;="&amp;$C$7,BD!$A$3:$A$5001,"&lt;="&amp;$B142,BD!$V$3:$V$5001,"&lt;&gt;")=0,"",SUMIFS(BD!$V$3:$V$5001,BD!$B$3:$B$5001,H$136,BD!$A$3:$A$5001,_xlfn.MAXIFS(BD!$A$3:$A$5001,BD!$B$3:$B$5001,H$136,BD!$A$3:$A$5001,"&gt;="&amp;$C$7,BD!$A$3:$A$5001,"&lt;="&amp;$B142,BD!$V$3:$V$5001,"&lt;&gt;"))))</f>
        <v/>
      </c>
      <c r="I142" s="43" t="str">
        <f>IF(OR($B142="",$A142&gt;$B$9,I$136=""),"",IF(COUNTIFS(BD!$B$3:$B$5001,I$136,BD!$A$3:$A$5001,"&gt;="&amp;$C$7,BD!$A$3:$A$5001,"&lt;="&amp;$B142,BD!$V$3:$V$5001,"&lt;&gt;")=0,"",SUMIFS(BD!$V$3:$V$5001,BD!$B$3:$B$5001,I$136,BD!$A$3:$A$5001,_xlfn.MAXIFS(BD!$A$3:$A$5001,BD!$B$3:$B$5001,I$136,BD!$A$3:$A$5001,"&gt;="&amp;$C$7,BD!$A$3:$A$5001,"&lt;="&amp;$B142,BD!$V$3:$V$5001,"&lt;&gt;"))))</f>
        <v/>
      </c>
      <c r="J142" s="43" t="str">
        <f>IF(OR($B142="",$A142&gt;$B$9,J$136=""),"",IF(COUNTIFS(BD!$B$3:$B$5001,J$136,BD!$A$3:$A$5001,"&gt;="&amp;$C$7,BD!$A$3:$A$5001,"&lt;="&amp;$B142,BD!$V$3:$V$5001,"&lt;&gt;")=0,"",SUMIFS(BD!$V$3:$V$5001,BD!$B$3:$B$5001,J$136,BD!$A$3:$A$5001,_xlfn.MAXIFS(BD!$A$3:$A$5001,BD!$B$3:$B$5001,J$136,BD!$A$3:$A$5001,"&gt;="&amp;$C$7,BD!$A$3:$A$5001,"&lt;="&amp;$B142,BD!$V$3:$V$5001,"&lt;&gt;"))))</f>
        <v/>
      </c>
      <c r="K142" s="43" t="str">
        <f>IF(OR($B142="",$A142&gt;$B$9,K$136=""),"",IF(COUNTIFS(BD!$B$3:$B$5001,K$136,BD!$A$3:$A$5001,"&gt;="&amp;$C$7,BD!$A$3:$A$5001,"&lt;="&amp;$B142,BD!$V$3:$V$5001,"&lt;&gt;")=0,"",SUMIFS(BD!$V$3:$V$5001,BD!$B$3:$B$5001,K$136,BD!$A$3:$A$5001,_xlfn.MAXIFS(BD!$A$3:$A$5001,BD!$B$3:$B$5001,K$136,BD!$A$3:$A$5001,"&gt;="&amp;$C$7,BD!$A$3:$A$5001,"&lt;="&amp;$B142,BD!$V$3:$V$5001,"&lt;&gt;"))))</f>
        <v/>
      </c>
      <c r="L142" s="43" t="str">
        <f>IF(OR($B142="",$A142&gt;$B$9,L$136=""),"",IF(COUNTIFS(BD!$B$3:$B$5001,L$136,BD!$A$3:$A$5001,"&gt;="&amp;$C$7,BD!$A$3:$A$5001,"&lt;="&amp;$B142,BD!$V$3:$V$5001,"&lt;&gt;")=0,"",SUMIFS(BD!$V$3:$V$5001,BD!$B$3:$B$5001,L$136,BD!$A$3:$A$5001,_xlfn.MAXIFS(BD!$A$3:$A$5001,BD!$B$3:$B$5001,L$136,BD!$A$3:$A$5001,"&gt;="&amp;$C$7,BD!$A$3:$A$5001,"&lt;="&amp;$B142,BD!$V$3:$V$5001,"&lt;&gt;"))))</f>
        <v/>
      </c>
      <c r="M142" s="43" t="str">
        <f>IF(OR($B142="",$A142&gt;$B$9,M$136=""),"",IF(COUNTIFS(BD!$B$3:$B$5001,M$136,BD!$A$3:$A$5001,"&gt;="&amp;$C$7,BD!$A$3:$A$5001,"&lt;="&amp;$B142,BD!$V$3:$V$5001,"&lt;&gt;")=0,"",SUMIFS(BD!$V$3:$V$5001,BD!$B$3:$B$5001,M$136,BD!$A$3:$A$5001,_xlfn.MAXIFS(BD!$A$3:$A$5001,BD!$B$3:$B$5001,M$136,BD!$A$3:$A$5001,"&gt;="&amp;$C$7,BD!$A$3:$A$5001,"&lt;="&amp;$B142,BD!$V$3:$V$5001,"&lt;&gt;"))))</f>
        <v/>
      </c>
      <c r="N142" s="43" t="str">
        <f>IF(OR($B142="",$A142&gt;$B$9,N$136=""),"",IF(COUNTIFS(BD!$B$3:$B$5001,N$136,BD!$A$3:$A$5001,"&gt;="&amp;$C$7,BD!$A$3:$A$5001,"&lt;="&amp;$B142,BD!$V$3:$V$5001,"&lt;&gt;")=0,"",SUMIFS(BD!$V$3:$V$5001,BD!$B$3:$B$5001,N$136,BD!$A$3:$A$5001,_xlfn.MAXIFS(BD!$A$3:$A$5001,BD!$B$3:$B$5001,N$136,BD!$A$3:$A$5001,"&gt;="&amp;$C$7,BD!$A$3:$A$5001,"&lt;="&amp;$B142,BD!$V$3:$V$5001,"&lt;&gt;"))))</f>
        <v/>
      </c>
      <c r="O142" s="43" t="str">
        <f>IF(OR($B142="",$A142&gt;$B$9,O$136=""),"",IF(COUNTIFS(BD!$B$3:$B$5001,O$136,BD!$A$3:$A$5001,"&gt;="&amp;$C$7,BD!$A$3:$A$5001,"&lt;="&amp;$B142,BD!$V$3:$V$5001,"&lt;&gt;")=0,"",SUMIFS(BD!$V$3:$V$5001,BD!$B$3:$B$5001,O$136,BD!$A$3:$A$5001,_xlfn.MAXIFS(BD!$A$3:$A$5001,BD!$B$3:$B$5001,O$136,BD!$A$3:$A$5001,"&gt;="&amp;$C$7,BD!$A$3:$A$5001,"&lt;="&amp;$B142,BD!$V$3:$V$5001,"&lt;&gt;"))))</f>
        <v/>
      </c>
      <c r="P142" s="43" t="str">
        <f>IF(OR($B142="",$A142&gt;$B$9,P$136=""),"",IF(COUNTIFS(BD!$B$3:$B$5001,P$136,BD!$A$3:$A$5001,"&gt;="&amp;$C$7,BD!$A$3:$A$5001,"&lt;="&amp;$B142,BD!$V$3:$V$5001,"&lt;&gt;")=0,"",SUMIFS(BD!$V$3:$V$5001,BD!$B$3:$B$5001,P$136,BD!$A$3:$A$5001,_xlfn.MAXIFS(BD!$A$3:$A$5001,BD!$B$3:$B$5001,P$136,BD!$A$3:$A$5001,"&gt;="&amp;$C$7,BD!$A$3:$A$5001,"&lt;="&amp;$B142,BD!$V$3:$V$5001,"&lt;&gt;"))))</f>
        <v/>
      </c>
      <c r="Q142" s="43" t="str">
        <f>IF(OR($B142="",$A142&gt;$B$9,Q$136=""),"",IF(COUNTIFS(BD!$B$3:$B$5001,Q$136,BD!$A$3:$A$5001,"&gt;="&amp;$C$7,BD!$A$3:$A$5001,"&lt;="&amp;$B142,BD!$V$3:$V$5001,"&lt;&gt;")=0,"",SUMIFS(BD!$V$3:$V$5001,BD!$B$3:$B$5001,Q$136,BD!$A$3:$A$5001,_xlfn.MAXIFS(BD!$A$3:$A$5001,BD!$B$3:$B$5001,Q$136,BD!$A$3:$A$5001,"&gt;="&amp;$C$7,BD!$A$3:$A$5001,"&lt;="&amp;$B142,BD!$V$3:$V$5001,"&lt;&gt;"))))</f>
        <v/>
      </c>
      <c r="R142" s="43" t="str">
        <f>IF(OR($B142="",$A142&gt;$B$9,R$136=""),"",IF(COUNTIFS(BD!$B$3:$B$5001,R$136,BD!$A$3:$A$5001,"&gt;="&amp;$C$7,BD!$A$3:$A$5001,"&lt;="&amp;$B142,BD!$V$3:$V$5001,"&lt;&gt;")=0,"",SUMIFS(BD!$V$3:$V$5001,BD!$B$3:$B$5001,R$136,BD!$A$3:$A$5001,_xlfn.MAXIFS(BD!$A$3:$A$5001,BD!$B$3:$B$5001,R$136,BD!$A$3:$A$5001,"&gt;="&amp;$C$7,BD!$A$3:$A$5001,"&lt;="&amp;$B142,BD!$V$3:$V$5001,"&lt;&gt;"))))</f>
        <v/>
      </c>
      <c r="S142" s="43" t="str">
        <f>IF(OR($B142="",$A142&gt;$B$9,S$136=""),"",IF(COUNTIFS(BD!$B$3:$B$5001,S$136,BD!$A$3:$A$5001,"&gt;="&amp;$C$7,BD!$A$3:$A$5001,"&lt;="&amp;$B142,BD!$V$3:$V$5001,"&lt;&gt;")=0,"",SUMIFS(BD!$V$3:$V$5001,BD!$B$3:$B$5001,S$136,BD!$A$3:$A$5001,_xlfn.MAXIFS(BD!$A$3:$A$5001,BD!$B$3:$B$5001,S$136,BD!$A$3:$A$5001,"&gt;="&amp;$C$7,BD!$A$3:$A$5001,"&lt;="&amp;$B142,BD!$V$3:$V$5001,"&lt;&gt;"))))</f>
        <v/>
      </c>
      <c r="T142" s="43" t="str">
        <f>IF(OR($B142="",$A142&gt;$B$9,T$136=""),"",IF(COUNTIFS(BD!$B$3:$B$5001,T$136,BD!$A$3:$A$5001,"&gt;="&amp;$C$7,BD!$A$3:$A$5001,"&lt;="&amp;$B142,BD!$V$3:$V$5001,"&lt;&gt;")=0,"",SUMIFS(BD!$V$3:$V$5001,BD!$B$3:$B$5001,T$136,BD!$A$3:$A$5001,_xlfn.MAXIFS(BD!$A$3:$A$5001,BD!$B$3:$B$5001,T$136,BD!$A$3:$A$5001,"&gt;="&amp;$C$7,BD!$A$3:$A$5001,"&lt;="&amp;$B142,BD!$V$3:$V$5001,"&lt;&gt;"))))</f>
        <v/>
      </c>
      <c r="U142" s="43" t="str">
        <f>IF(OR($B142="",$A142&gt;$B$9,U$136=""),"",IF(COUNTIFS(BD!$B$3:$B$5001,U$136,BD!$A$3:$A$5001,"&gt;="&amp;$C$7,BD!$A$3:$A$5001,"&lt;="&amp;$B142,BD!$V$3:$V$5001,"&lt;&gt;")=0,"",SUMIFS(BD!$V$3:$V$5001,BD!$B$3:$B$5001,U$136,BD!$A$3:$A$5001,_xlfn.MAXIFS(BD!$A$3:$A$5001,BD!$B$3:$B$5001,U$136,BD!$A$3:$A$5001,"&gt;="&amp;$C$7,BD!$A$3:$A$5001,"&lt;="&amp;$B142,BD!$V$3:$V$5001,"&lt;&gt;"))))</f>
        <v/>
      </c>
      <c r="V142" s="43" t="str">
        <f>IF(OR($B142="",$A142&gt;$B$9,V$136=""),"",IF(COUNTIFS(BD!$B$3:$B$5001,V$136,BD!$A$3:$A$5001,"&gt;="&amp;$C$7,BD!$A$3:$A$5001,"&lt;="&amp;$B142,BD!$V$3:$V$5001,"&lt;&gt;")=0,"",SUMIFS(BD!$V$3:$V$5001,BD!$B$3:$B$5001,V$136,BD!$A$3:$A$5001,_xlfn.MAXIFS(BD!$A$3:$A$5001,BD!$B$3:$B$5001,V$136,BD!$A$3:$A$5001,"&gt;="&amp;$C$7,BD!$A$3:$A$5001,"&lt;="&amp;$B142,BD!$V$3:$V$5001,"&lt;&gt;"))))</f>
        <v/>
      </c>
    </row>
    <row r="143">
      <c r="A143" s="38">
        <v>7</v>
      </c>
      <c r="B143" s="42">
        <f>$B$18</f>
        <v>46302</v>
      </c>
      <c r="C143" s="43" t="str">
        <f>IF(OR($B143="",$A143&gt;$B$9,C$136=""),"",IF(COUNTIFS(BD!$B$3:$B$5001,C$136,BD!$A$3:$A$5001,"&gt;="&amp;$C$7,BD!$A$3:$A$5001,"&lt;="&amp;$B143,BD!$V$3:$V$5001,"&lt;&gt;")=0,"",SUMIFS(BD!$V$3:$V$5001,BD!$B$3:$B$5001,C$136,BD!$A$3:$A$5001,_xlfn.MAXIFS(BD!$A$3:$A$5001,BD!$B$3:$B$5001,C$136,BD!$A$3:$A$5001,"&gt;="&amp;$C$7,BD!$A$3:$A$5001,"&lt;="&amp;$B143,BD!$V$3:$V$5001,"&lt;&gt;"))))</f>
        <v/>
      </c>
      <c r="D143" s="43" t="str">
        <f>IF(OR($B143="",$A143&gt;$B$9,D$136=""),"",IF(COUNTIFS(BD!$B$3:$B$5001,D$136,BD!$A$3:$A$5001,"&gt;="&amp;$C$7,BD!$A$3:$A$5001,"&lt;="&amp;$B143,BD!$V$3:$V$5001,"&lt;&gt;")=0,"",SUMIFS(BD!$V$3:$V$5001,BD!$B$3:$B$5001,D$136,BD!$A$3:$A$5001,_xlfn.MAXIFS(BD!$A$3:$A$5001,BD!$B$3:$B$5001,D$136,BD!$A$3:$A$5001,"&gt;="&amp;$C$7,BD!$A$3:$A$5001,"&lt;="&amp;$B143,BD!$V$3:$V$5001,"&lt;&gt;"))))</f>
        <v/>
      </c>
      <c r="E143" s="43" t="str">
        <f>IF(OR($B143="",$A143&gt;$B$9,E$136=""),"",IF(COUNTIFS(BD!$B$3:$B$5001,E$136,BD!$A$3:$A$5001,"&gt;="&amp;$C$7,BD!$A$3:$A$5001,"&lt;="&amp;$B143,BD!$V$3:$V$5001,"&lt;&gt;")=0,"",SUMIFS(BD!$V$3:$V$5001,BD!$B$3:$B$5001,E$136,BD!$A$3:$A$5001,_xlfn.MAXIFS(BD!$A$3:$A$5001,BD!$B$3:$B$5001,E$136,BD!$A$3:$A$5001,"&gt;="&amp;$C$7,BD!$A$3:$A$5001,"&lt;="&amp;$B143,BD!$V$3:$V$5001,"&lt;&gt;"))))</f>
        <v/>
      </c>
      <c r="F143" s="43" t="str">
        <f>IF(OR($B143="",$A143&gt;$B$9,F$136=""),"",IF(COUNTIFS(BD!$B$3:$B$5001,F$136,BD!$A$3:$A$5001,"&gt;="&amp;$C$7,BD!$A$3:$A$5001,"&lt;="&amp;$B143,BD!$V$3:$V$5001,"&lt;&gt;")=0,"",SUMIFS(BD!$V$3:$V$5001,BD!$B$3:$B$5001,F$136,BD!$A$3:$A$5001,_xlfn.MAXIFS(BD!$A$3:$A$5001,BD!$B$3:$B$5001,F$136,BD!$A$3:$A$5001,"&gt;="&amp;$C$7,BD!$A$3:$A$5001,"&lt;="&amp;$B143,BD!$V$3:$V$5001,"&lt;&gt;"))))</f>
        <v/>
      </c>
      <c r="G143" s="43" t="str">
        <f>IF(OR($B143="",$A143&gt;$B$9,G$136=""),"",IF(COUNTIFS(BD!$B$3:$B$5001,G$136,BD!$A$3:$A$5001,"&gt;="&amp;$C$7,BD!$A$3:$A$5001,"&lt;="&amp;$B143,BD!$V$3:$V$5001,"&lt;&gt;")=0,"",SUMIFS(BD!$V$3:$V$5001,BD!$B$3:$B$5001,G$136,BD!$A$3:$A$5001,_xlfn.MAXIFS(BD!$A$3:$A$5001,BD!$B$3:$B$5001,G$136,BD!$A$3:$A$5001,"&gt;="&amp;$C$7,BD!$A$3:$A$5001,"&lt;="&amp;$B143,BD!$V$3:$V$5001,"&lt;&gt;"))))</f>
        <v/>
      </c>
      <c r="H143" s="43" t="str">
        <f>IF(OR($B143="",$A143&gt;$B$9,H$136=""),"",IF(COUNTIFS(BD!$B$3:$B$5001,H$136,BD!$A$3:$A$5001,"&gt;="&amp;$C$7,BD!$A$3:$A$5001,"&lt;="&amp;$B143,BD!$V$3:$V$5001,"&lt;&gt;")=0,"",SUMIFS(BD!$V$3:$V$5001,BD!$B$3:$B$5001,H$136,BD!$A$3:$A$5001,_xlfn.MAXIFS(BD!$A$3:$A$5001,BD!$B$3:$B$5001,H$136,BD!$A$3:$A$5001,"&gt;="&amp;$C$7,BD!$A$3:$A$5001,"&lt;="&amp;$B143,BD!$V$3:$V$5001,"&lt;&gt;"))))</f>
        <v/>
      </c>
      <c r="I143" s="43" t="str">
        <f>IF(OR($B143="",$A143&gt;$B$9,I$136=""),"",IF(COUNTIFS(BD!$B$3:$B$5001,I$136,BD!$A$3:$A$5001,"&gt;="&amp;$C$7,BD!$A$3:$A$5001,"&lt;="&amp;$B143,BD!$V$3:$V$5001,"&lt;&gt;")=0,"",SUMIFS(BD!$V$3:$V$5001,BD!$B$3:$B$5001,I$136,BD!$A$3:$A$5001,_xlfn.MAXIFS(BD!$A$3:$A$5001,BD!$B$3:$B$5001,I$136,BD!$A$3:$A$5001,"&gt;="&amp;$C$7,BD!$A$3:$A$5001,"&lt;="&amp;$B143,BD!$V$3:$V$5001,"&lt;&gt;"))))</f>
        <v/>
      </c>
      <c r="J143" s="43" t="str">
        <f>IF(OR($B143="",$A143&gt;$B$9,J$136=""),"",IF(COUNTIFS(BD!$B$3:$B$5001,J$136,BD!$A$3:$A$5001,"&gt;="&amp;$C$7,BD!$A$3:$A$5001,"&lt;="&amp;$B143,BD!$V$3:$V$5001,"&lt;&gt;")=0,"",SUMIFS(BD!$V$3:$V$5001,BD!$B$3:$B$5001,J$136,BD!$A$3:$A$5001,_xlfn.MAXIFS(BD!$A$3:$A$5001,BD!$B$3:$B$5001,J$136,BD!$A$3:$A$5001,"&gt;="&amp;$C$7,BD!$A$3:$A$5001,"&lt;="&amp;$B143,BD!$V$3:$V$5001,"&lt;&gt;"))))</f>
        <v/>
      </c>
      <c r="K143" s="43" t="str">
        <f>IF(OR($B143="",$A143&gt;$B$9,K$136=""),"",IF(COUNTIFS(BD!$B$3:$B$5001,K$136,BD!$A$3:$A$5001,"&gt;="&amp;$C$7,BD!$A$3:$A$5001,"&lt;="&amp;$B143,BD!$V$3:$V$5001,"&lt;&gt;")=0,"",SUMIFS(BD!$V$3:$V$5001,BD!$B$3:$B$5001,K$136,BD!$A$3:$A$5001,_xlfn.MAXIFS(BD!$A$3:$A$5001,BD!$B$3:$B$5001,K$136,BD!$A$3:$A$5001,"&gt;="&amp;$C$7,BD!$A$3:$A$5001,"&lt;="&amp;$B143,BD!$V$3:$V$5001,"&lt;&gt;"))))</f>
        <v/>
      </c>
      <c r="L143" s="43" t="str">
        <f>IF(OR($B143="",$A143&gt;$B$9,L$136=""),"",IF(COUNTIFS(BD!$B$3:$B$5001,L$136,BD!$A$3:$A$5001,"&gt;="&amp;$C$7,BD!$A$3:$A$5001,"&lt;="&amp;$B143,BD!$V$3:$V$5001,"&lt;&gt;")=0,"",SUMIFS(BD!$V$3:$V$5001,BD!$B$3:$B$5001,L$136,BD!$A$3:$A$5001,_xlfn.MAXIFS(BD!$A$3:$A$5001,BD!$B$3:$B$5001,L$136,BD!$A$3:$A$5001,"&gt;="&amp;$C$7,BD!$A$3:$A$5001,"&lt;="&amp;$B143,BD!$V$3:$V$5001,"&lt;&gt;"))))</f>
        <v/>
      </c>
      <c r="M143" s="43" t="str">
        <f>IF(OR($B143="",$A143&gt;$B$9,M$136=""),"",IF(COUNTIFS(BD!$B$3:$B$5001,M$136,BD!$A$3:$A$5001,"&gt;="&amp;$C$7,BD!$A$3:$A$5001,"&lt;="&amp;$B143,BD!$V$3:$V$5001,"&lt;&gt;")=0,"",SUMIFS(BD!$V$3:$V$5001,BD!$B$3:$B$5001,M$136,BD!$A$3:$A$5001,_xlfn.MAXIFS(BD!$A$3:$A$5001,BD!$B$3:$B$5001,M$136,BD!$A$3:$A$5001,"&gt;="&amp;$C$7,BD!$A$3:$A$5001,"&lt;="&amp;$B143,BD!$V$3:$V$5001,"&lt;&gt;"))))</f>
        <v/>
      </c>
      <c r="N143" s="43" t="str">
        <f>IF(OR($B143="",$A143&gt;$B$9,N$136=""),"",IF(COUNTIFS(BD!$B$3:$B$5001,N$136,BD!$A$3:$A$5001,"&gt;="&amp;$C$7,BD!$A$3:$A$5001,"&lt;="&amp;$B143,BD!$V$3:$V$5001,"&lt;&gt;")=0,"",SUMIFS(BD!$V$3:$V$5001,BD!$B$3:$B$5001,N$136,BD!$A$3:$A$5001,_xlfn.MAXIFS(BD!$A$3:$A$5001,BD!$B$3:$B$5001,N$136,BD!$A$3:$A$5001,"&gt;="&amp;$C$7,BD!$A$3:$A$5001,"&lt;="&amp;$B143,BD!$V$3:$V$5001,"&lt;&gt;"))))</f>
        <v/>
      </c>
      <c r="O143" s="43" t="str">
        <f>IF(OR($B143="",$A143&gt;$B$9,O$136=""),"",IF(COUNTIFS(BD!$B$3:$B$5001,O$136,BD!$A$3:$A$5001,"&gt;="&amp;$C$7,BD!$A$3:$A$5001,"&lt;="&amp;$B143,BD!$V$3:$V$5001,"&lt;&gt;")=0,"",SUMIFS(BD!$V$3:$V$5001,BD!$B$3:$B$5001,O$136,BD!$A$3:$A$5001,_xlfn.MAXIFS(BD!$A$3:$A$5001,BD!$B$3:$B$5001,O$136,BD!$A$3:$A$5001,"&gt;="&amp;$C$7,BD!$A$3:$A$5001,"&lt;="&amp;$B143,BD!$V$3:$V$5001,"&lt;&gt;"))))</f>
        <v/>
      </c>
      <c r="P143" s="43" t="str">
        <f>IF(OR($B143="",$A143&gt;$B$9,P$136=""),"",IF(COUNTIFS(BD!$B$3:$B$5001,P$136,BD!$A$3:$A$5001,"&gt;="&amp;$C$7,BD!$A$3:$A$5001,"&lt;="&amp;$B143,BD!$V$3:$V$5001,"&lt;&gt;")=0,"",SUMIFS(BD!$V$3:$V$5001,BD!$B$3:$B$5001,P$136,BD!$A$3:$A$5001,_xlfn.MAXIFS(BD!$A$3:$A$5001,BD!$B$3:$B$5001,P$136,BD!$A$3:$A$5001,"&gt;="&amp;$C$7,BD!$A$3:$A$5001,"&lt;="&amp;$B143,BD!$V$3:$V$5001,"&lt;&gt;"))))</f>
        <v/>
      </c>
      <c r="Q143" s="43" t="str">
        <f>IF(OR($B143="",$A143&gt;$B$9,Q$136=""),"",IF(COUNTIFS(BD!$B$3:$B$5001,Q$136,BD!$A$3:$A$5001,"&gt;="&amp;$C$7,BD!$A$3:$A$5001,"&lt;="&amp;$B143,BD!$V$3:$V$5001,"&lt;&gt;")=0,"",SUMIFS(BD!$V$3:$V$5001,BD!$B$3:$B$5001,Q$136,BD!$A$3:$A$5001,_xlfn.MAXIFS(BD!$A$3:$A$5001,BD!$B$3:$B$5001,Q$136,BD!$A$3:$A$5001,"&gt;="&amp;$C$7,BD!$A$3:$A$5001,"&lt;="&amp;$B143,BD!$V$3:$V$5001,"&lt;&gt;"))))</f>
        <v/>
      </c>
      <c r="R143" s="43" t="str">
        <f>IF(OR($B143="",$A143&gt;$B$9,R$136=""),"",IF(COUNTIFS(BD!$B$3:$B$5001,R$136,BD!$A$3:$A$5001,"&gt;="&amp;$C$7,BD!$A$3:$A$5001,"&lt;="&amp;$B143,BD!$V$3:$V$5001,"&lt;&gt;")=0,"",SUMIFS(BD!$V$3:$V$5001,BD!$B$3:$B$5001,R$136,BD!$A$3:$A$5001,_xlfn.MAXIFS(BD!$A$3:$A$5001,BD!$B$3:$B$5001,R$136,BD!$A$3:$A$5001,"&gt;="&amp;$C$7,BD!$A$3:$A$5001,"&lt;="&amp;$B143,BD!$V$3:$V$5001,"&lt;&gt;"))))</f>
        <v/>
      </c>
      <c r="S143" s="43" t="str">
        <f>IF(OR($B143="",$A143&gt;$B$9,S$136=""),"",IF(COUNTIFS(BD!$B$3:$B$5001,S$136,BD!$A$3:$A$5001,"&gt;="&amp;$C$7,BD!$A$3:$A$5001,"&lt;="&amp;$B143,BD!$V$3:$V$5001,"&lt;&gt;")=0,"",SUMIFS(BD!$V$3:$V$5001,BD!$B$3:$B$5001,S$136,BD!$A$3:$A$5001,_xlfn.MAXIFS(BD!$A$3:$A$5001,BD!$B$3:$B$5001,S$136,BD!$A$3:$A$5001,"&gt;="&amp;$C$7,BD!$A$3:$A$5001,"&lt;="&amp;$B143,BD!$V$3:$V$5001,"&lt;&gt;"))))</f>
        <v/>
      </c>
      <c r="T143" s="43" t="str">
        <f>IF(OR($B143="",$A143&gt;$B$9,T$136=""),"",IF(COUNTIFS(BD!$B$3:$B$5001,T$136,BD!$A$3:$A$5001,"&gt;="&amp;$C$7,BD!$A$3:$A$5001,"&lt;="&amp;$B143,BD!$V$3:$V$5001,"&lt;&gt;")=0,"",SUMIFS(BD!$V$3:$V$5001,BD!$B$3:$B$5001,T$136,BD!$A$3:$A$5001,_xlfn.MAXIFS(BD!$A$3:$A$5001,BD!$B$3:$B$5001,T$136,BD!$A$3:$A$5001,"&gt;="&amp;$C$7,BD!$A$3:$A$5001,"&lt;="&amp;$B143,BD!$V$3:$V$5001,"&lt;&gt;"))))</f>
        <v/>
      </c>
      <c r="U143" s="43" t="str">
        <f>IF(OR($B143="",$A143&gt;$B$9,U$136=""),"",IF(COUNTIFS(BD!$B$3:$B$5001,U$136,BD!$A$3:$A$5001,"&gt;="&amp;$C$7,BD!$A$3:$A$5001,"&lt;="&amp;$B143,BD!$V$3:$V$5001,"&lt;&gt;")=0,"",SUMIFS(BD!$V$3:$V$5001,BD!$B$3:$B$5001,U$136,BD!$A$3:$A$5001,_xlfn.MAXIFS(BD!$A$3:$A$5001,BD!$B$3:$B$5001,U$136,BD!$A$3:$A$5001,"&gt;="&amp;$C$7,BD!$A$3:$A$5001,"&lt;="&amp;$B143,BD!$V$3:$V$5001,"&lt;&gt;"))))</f>
        <v/>
      </c>
      <c r="V143" s="43" t="str">
        <f>IF(OR($B143="",$A143&gt;$B$9,V$136=""),"",IF(COUNTIFS(BD!$B$3:$B$5001,V$136,BD!$A$3:$A$5001,"&gt;="&amp;$C$7,BD!$A$3:$A$5001,"&lt;="&amp;$B143,BD!$V$3:$V$5001,"&lt;&gt;")=0,"",SUMIFS(BD!$V$3:$V$5001,BD!$B$3:$B$5001,V$136,BD!$A$3:$A$5001,_xlfn.MAXIFS(BD!$A$3:$A$5001,BD!$B$3:$B$5001,V$136,BD!$A$3:$A$5001,"&gt;="&amp;$C$7,BD!$A$3:$A$5001,"&lt;="&amp;$B143,BD!$V$3:$V$5001,"&lt;&gt;"))))</f>
        <v/>
      </c>
    </row>
    <row r="144">
      <c r="A144" s="38">
        <v>8</v>
      </c>
      <c r="B144" s="42">
        <f>$B$19</f>
        <v>46303</v>
      </c>
      <c r="C144" s="43" t="str">
        <f>IF(OR($B144="",$A144&gt;$B$9,C$136=""),"",IF(COUNTIFS(BD!$B$3:$B$5001,C$136,BD!$A$3:$A$5001,"&gt;="&amp;$C$7,BD!$A$3:$A$5001,"&lt;="&amp;$B144,BD!$V$3:$V$5001,"&lt;&gt;")=0,"",SUMIFS(BD!$V$3:$V$5001,BD!$B$3:$B$5001,C$136,BD!$A$3:$A$5001,_xlfn.MAXIFS(BD!$A$3:$A$5001,BD!$B$3:$B$5001,C$136,BD!$A$3:$A$5001,"&gt;="&amp;$C$7,BD!$A$3:$A$5001,"&lt;="&amp;$B144,BD!$V$3:$V$5001,"&lt;&gt;"))))</f>
        <v/>
      </c>
      <c r="D144" s="43" t="str">
        <f>IF(OR($B144="",$A144&gt;$B$9,D$136=""),"",IF(COUNTIFS(BD!$B$3:$B$5001,D$136,BD!$A$3:$A$5001,"&gt;="&amp;$C$7,BD!$A$3:$A$5001,"&lt;="&amp;$B144,BD!$V$3:$V$5001,"&lt;&gt;")=0,"",SUMIFS(BD!$V$3:$V$5001,BD!$B$3:$B$5001,D$136,BD!$A$3:$A$5001,_xlfn.MAXIFS(BD!$A$3:$A$5001,BD!$B$3:$B$5001,D$136,BD!$A$3:$A$5001,"&gt;="&amp;$C$7,BD!$A$3:$A$5001,"&lt;="&amp;$B144,BD!$V$3:$V$5001,"&lt;&gt;"))))</f>
        <v/>
      </c>
      <c r="E144" s="43" t="str">
        <f>IF(OR($B144="",$A144&gt;$B$9,E$136=""),"",IF(COUNTIFS(BD!$B$3:$B$5001,E$136,BD!$A$3:$A$5001,"&gt;="&amp;$C$7,BD!$A$3:$A$5001,"&lt;="&amp;$B144,BD!$V$3:$V$5001,"&lt;&gt;")=0,"",SUMIFS(BD!$V$3:$V$5001,BD!$B$3:$B$5001,E$136,BD!$A$3:$A$5001,_xlfn.MAXIFS(BD!$A$3:$A$5001,BD!$B$3:$B$5001,E$136,BD!$A$3:$A$5001,"&gt;="&amp;$C$7,BD!$A$3:$A$5001,"&lt;="&amp;$B144,BD!$V$3:$V$5001,"&lt;&gt;"))))</f>
        <v/>
      </c>
      <c r="F144" s="43" t="str">
        <f>IF(OR($B144="",$A144&gt;$B$9,F$136=""),"",IF(COUNTIFS(BD!$B$3:$B$5001,F$136,BD!$A$3:$A$5001,"&gt;="&amp;$C$7,BD!$A$3:$A$5001,"&lt;="&amp;$B144,BD!$V$3:$V$5001,"&lt;&gt;")=0,"",SUMIFS(BD!$V$3:$V$5001,BD!$B$3:$B$5001,F$136,BD!$A$3:$A$5001,_xlfn.MAXIFS(BD!$A$3:$A$5001,BD!$B$3:$B$5001,F$136,BD!$A$3:$A$5001,"&gt;="&amp;$C$7,BD!$A$3:$A$5001,"&lt;="&amp;$B144,BD!$V$3:$V$5001,"&lt;&gt;"))))</f>
        <v/>
      </c>
      <c r="G144" s="43" t="str">
        <f>IF(OR($B144="",$A144&gt;$B$9,G$136=""),"",IF(COUNTIFS(BD!$B$3:$B$5001,G$136,BD!$A$3:$A$5001,"&gt;="&amp;$C$7,BD!$A$3:$A$5001,"&lt;="&amp;$B144,BD!$V$3:$V$5001,"&lt;&gt;")=0,"",SUMIFS(BD!$V$3:$V$5001,BD!$B$3:$B$5001,G$136,BD!$A$3:$A$5001,_xlfn.MAXIFS(BD!$A$3:$A$5001,BD!$B$3:$B$5001,G$136,BD!$A$3:$A$5001,"&gt;="&amp;$C$7,BD!$A$3:$A$5001,"&lt;="&amp;$B144,BD!$V$3:$V$5001,"&lt;&gt;"))))</f>
        <v/>
      </c>
      <c r="H144" s="43" t="str">
        <f>IF(OR($B144="",$A144&gt;$B$9,H$136=""),"",IF(COUNTIFS(BD!$B$3:$B$5001,H$136,BD!$A$3:$A$5001,"&gt;="&amp;$C$7,BD!$A$3:$A$5001,"&lt;="&amp;$B144,BD!$V$3:$V$5001,"&lt;&gt;")=0,"",SUMIFS(BD!$V$3:$V$5001,BD!$B$3:$B$5001,H$136,BD!$A$3:$A$5001,_xlfn.MAXIFS(BD!$A$3:$A$5001,BD!$B$3:$B$5001,H$136,BD!$A$3:$A$5001,"&gt;="&amp;$C$7,BD!$A$3:$A$5001,"&lt;="&amp;$B144,BD!$V$3:$V$5001,"&lt;&gt;"))))</f>
        <v/>
      </c>
      <c r="I144" s="43" t="str">
        <f>IF(OR($B144="",$A144&gt;$B$9,I$136=""),"",IF(COUNTIFS(BD!$B$3:$B$5001,I$136,BD!$A$3:$A$5001,"&gt;="&amp;$C$7,BD!$A$3:$A$5001,"&lt;="&amp;$B144,BD!$V$3:$V$5001,"&lt;&gt;")=0,"",SUMIFS(BD!$V$3:$V$5001,BD!$B$3:$B$5001,I$136,BD!$A$3:$A$5001,_xlfn.MAXIFS(BD!$A$3:$A$5001,BD!$B$3:$B$5001,I$136,BD!$A$3:$A$5001,"&gt;="&amp;$C$7,BD!$A$3:$A$5001,"&lt;="&amp;$B144,BD!$V$3:$V$5001,"&lt;&gt;"))))</f>
        <v/>
      </c>
      <c r="J144" s="43" t="str">
        <f>IF(OR($B144="",$A144&gt;$B$9,J$136=""),"",IF(COUNTIFS(BD!$B$3:$B$5001,J$136,BD!$A$3:$A$5001,"&gt;="&amp;$C$7,BD!$A$3:$A$5001,"&lt;="&amp;$B144,BD!$V$3:$V$5001,"&lt;&gt;")=0,"",SUMIFS(BD!$V$3:$V$5001,BD!$B$3:$B$5001,J$136,BD!$A$3:$A$5001,_xlfn.MAXIFS(BD!$A$3:$A$5001,BD!$B$3:$B$5001,J$136,BD!$A$3:$A$5001,"&gt;="&amp;$C$7,BD!$A$3:$A$5001,"&lt;="&amp;$B144,BD!$V$3:$V$5001,"&lt;&gt;"))))</f>
        <v/>
      </c>
      <c r="K144" s="43" t="str">
        <f>IF(OR($B144="",$A144&gt;$B$9,K$136=""),"",IF(COUNTIFS(BD!$B$3:$B$5001,K$136,BD!$A$3:$A$5001,"&gt;="&amp;$C$7,BD!$A$3:$A$5001,"&lt;="&amp;$B144,BD!$V$3:$V$5001,"&lt;&gt;")=0,"",SUMIFS(BD!$V$3:$V$5001,BD!$B$3:$B$5001,K$136,BD!$A$3:$A$5001,_xlfn.MAXIFS(BD!$A$3:$A$5001,BD!$B$3:$B$5001,K$136,BD!$A$3:$A$5001,"&gt;="&amp;$C$7,BD!$A$3:$A$5001,"&lt;="&amp;$B144,BD!$V$3:$V$5001,"&lt;&gt;"))))</f>
        <v/>
      </c>
      <c r="L144" s="43" t="str">
        <f>IF(OR($B144="",$A144&gt;$B$9,L$136=""),"",IF(COUNTIFS(BD!$B$3:$B$5001,L$136,BD!$A$3:$A$5001,"&gt;="&amp;$C$7,BD!$A$3:$A$5001,"&lt;="&amp;$B144,BD!$V$3:$V$5001,"&lt;&gt;")=0,"",SUMIFS(BD!$V$3:$V$5001,BD!$B$3:$B$5001,L$136,BD!$A$3:$A$5001,_xlfn.MAXIFS(BD!$A$3:$A$5001,BD!$B$3:$B$5001,L$136,BD!$A$3:$A$5001,"&gt;="&amp;$C$7,BD!$A$3:$A$5001,"&lt;="&amp;$B144,BD!$V$3:$V$5001,"&lt;&gt;"))))</f>
        <v/>
      </c>
      <c r="M144" s="43" t="str">
        <f>IF(OR($B144="",$A144&gt;$B$9,M$136=""),"",IF(COUNTIFS(BD!$B$3:$B$5001,M$136,BD!$A$3:$A$5001,"&gt;="&amp;$C$7,BD!$A$3:$A$5001,"&lt;="&amp;$B144,BD!$V$3:$V$5001,"&lt;&gt;")=0,"",SUMIFS(BD!$V$3:$V$5001,BD!$B$3:$B$5001,M$136,BD!$A$3:$A$5001,_xlfn.MAXIFS(BD!$A$3:$A$5001,BD!$B$3:$B$5001,M$136,BD!$A$3:$A$5001,"&gt;="&amp;$C$7,BD!$A$3:$A$5001,"&lt;="&amp;$B144,BD!$V$3:$V$5001,"&lt;&gt;"))))</f>
        <v/>
      </c>
      <c r="N144" s="43" t="str">
        <f>IF(OR($B144="",$A144&gt;$B$9,N$136=""),"",IF(COUNTIFS(BD!$B$3:$B$5001,N$136,BD!$A$3:$A$5001,"&gt;="&amp;$C$7,BD!$A$3:$A$5001,"&lt;="&amp;$B144,BD!$V$3:$V$5001,"&lt;&gt;")=0,"",SUMIFS(BD!$V$3:$V$5001,BD!$B$3:$B$5001,N$136,BD!$A$3:$A$5001,_xlfn.MAXIFS(BD!$A$3:$A$5001,BD!$B$3:$B$5001,N$136,BD!$A$3:$A$5001,"&gt;="&amp;$C$7,BD!$A$3:$A$5001,"&lt;="&amp;$B144,BD!$V$3:$V$5001,"&lt;&gt;"))))</f>
        <v/>
      </c>
      <c r="O144" s="43" t="str">
        <f>IF(OR($B144="",$A144&gt;$B$9,O$136=""),"",IF(COUNTIFS(BD!$B$3:$B$5001,O$136,BD!$A$3:$A$5001,"&gt;="&amp;$C$7,BD!$A$3:$A$5001,"&lt;="&amp;$B144,BD!$V$3:$V$5001,"&lt;&gt;")=0,"",SUMIFS(BD!$V$3:$V$5001,BD!$B$3:$B$5001,O$136,BD!$A$3:$A$5001,_xlfn.MAXIFS(BD!$A$3:$A$5001,BD!$B$3:$B$5001,O$136,BD!$A$3:$A$5001,"&gt;="&amp;$C$7,BD!$A$3:$A$5001,"&lt;="&amp;$B144,BD!$V$3:$V$5001,"&lt;&gt;"))))</f>
        <v/>
      </c>
      <c r="P144" s="43" t="str">
        <f>IF(OR($B144="",$A144&gt;$B$9,P$136=""),"",IF(COUNTIFS(BD!$B$3:$B$5001,P$136,BD!$A$3:$A$5001,"&gt;="&amp;$C$7,BD!$A$3:$A$5001,"&lt;="&amp;$B144,BD!$V$3:$V$5001,"&lt;&gt;")=0,"",SUMIFS(BD!$V$3:$V$5001,BD!$B$3:$B$5001,P$136,BD!$A$3:$A$5001,_xlfn.MAXIFS(BD!$A$3:$A$5001,BD!$B$3:$B$5001,P$136,BD!$A$3:$A$5001,"&gt;="&amp;$C$7,BD!$A$3:$A$5001,"&lt;="&amp;$B144,BD!$V$3:$V$5001,"&lt;&gt;"))))</f>
        <v/>
      </c>
      <c r="Q144" s="43" t="str">
        <f>IF(OR($B144="",$A144&gt;$B$9,Q$136=""),"",IF(COUNTIFS(BD!$B$3:$B$5001,Q$136,BD!$A$3:$A$5001,"&gt;="&amp;$C$7,BD!$A$3:$A$5001,"&lt;="&amp;$B144,BD!$V$3:$V$5001,"&lt;&gt;")=0,"",SUMIFS(BD!$V$3:$V$5001,BD!$B$3:$B$5001,Q$136,BD!$A$3:$A$5001,_xlfn.MAXIFS(BD!$A$3:$A$5001,BD!$B$3:$B$5001,Q$136,BD!$A$3:$A$5001,"&gt;="&amp;$C$7,BD!$A$3:$A$5001,"&lt;="&amp;$B144,BD!$V$3:$V$5001,"&lt;&gt;"))))</f>
        <v/>
      </c>
      <c r="R144" s="43" t="str">
        <f>IF(OR($B144="",$A144&gt;$B$9,R$136=""),"",IF(COUNTIFS(BD!$B$3:$B$5001,R$136,BD!$A$3:$A$5001,"&gt;="&amp;$C$7,BD!$A$3:$A$5001,"&lt;="&amp;$B144,BD!$V$3:$V$5001,"&lt;&gt;")=0,"",SUMIFS(BD!$V$3:$V$5001,BD!$B$3:$B$5001,R$136,BD!$A$3:$A$5001,_xlfn.MAXIFS(BD!$A$3:$A$5001,BD!$B$3:$B$5001,R$136,BD!$A$3:$A$5001,"&gt;="&amp;$C$7,BD!$A$3:$A$5001,"&lt;="&amp;$B144,BD!$V$3:$V$5001,"&lt;&gt;"))))</f>
        <v/>
      </c>
      <c r="S144" s="43" t="str">
        <f>IF(OR($B144="",$A144&gt;$B$9,S$136=""),"",IF(COUNTIFS(BD!$B$3:$B$5001,S$136,BD!$A$3:$A$5001,"&gt;="&amp;$C$7,BD!$A$3:$A$5001,"&lt;="&amp;$B144,BD!$V$3:$V$5001,"&lt;&gt;")=0,"",SUMIFS(BD!$V$3:$V$5001,BD!$B$3:$B$5001,S$136,BD!$A$3:$A$5001,_xlfn.MAXIFS(BD!$A$3:$A$5001,BD!$B$3:$B$5001,S$136,BD!$A$3:$A$5001,"&gt;="&amp;$C$7,BD!$A$3:$A$5001,"&lt;="&amp;$B144,BD!$V$3:$V$5001,"&lt;&gt;"))))</f>
        <v/>
      </c>
      <c r="T144" s="43" t="str">
        <f>IF(OR($B144="",$A144&gt;$B$9,T$136=""),"",IF(COUNTIFS(BD!$B$3:$B$5001,T$136,BD!$A$3:$A$5001,"&gt;="&amp;$C$7,BD!$A$3:$A$5001,"&lt;="&amp;$B144,BD!$V$3:$V$5001,"&lt;&gt;")=0,"",SUMIFS(BD!$V$3:$V$5001,BD!$B$3:$B$5001,T$136,BD!$A$3:$A$5001,_xlfn.MAXIFS(BD!$A$3:$A$5001,BD!$B$3:$B$5001,T$136,BD!$A$3:$A$5001,"&gt;="&amp;$C$7,BD!$A$3:$A$5001,"&lt;="&amp;$B144,BD!$V$3:$V$5001,"&lt;&gt;"))))</f>
        <v/>
      </c>
      <c r="U144" s="43" t="str">
        <f>IF(OR($B144="",$A144&gt;$B$9,U$136=""),"",IF(COUNTIFS(BD!$B$3:$B$5001,U$136,BD!$A$3:$A$5001,"&gt;="&amp;$C$7,BD!$A$3:$A$5001,"&lt;="&amp;$B144,BD!$V$3:$V$5001,"&lt;&gt;")=0,"",SUMIFS(BD!$V$3:$V$5001,BD!$B$3:$B$5001,U$136,BD!$A$3:$A$5001,_xlfn.MAXIFS(BD!$A$3:$A$5001,BD!$B$3:$B$5001,U$136,BD!$A$3:$A$5001,"&gt;="&amp;$C$7,BD!$A$3:$A$5001,"&lt;="&amp;$B144,BD!$V$3:$V$5001,"&lt;&gt;"))))</f>
        <v/>
      </c>
      <c r="V144" s="43" t="str">
        <f>IF(OR($B144="",$A144&gt;$B$9,V$136=""),"",IF(COUNTIFS(BD!$B$3:$B$5001,V$136,BD!$A$3:$A$5001,"&gt;="&amp;$C$7,BD!$A$3:$A$5001,"&lt;="&amp;$B144,BD!$V$3:$V$5001,"&lt;&gt;")=0,"",SUMIFS(BD!$V$3:$V$5001,BD!$B$3:$B$5001,V$136,BD!$A$3:$A$5001,_xlfn.MAXIFS(BD!$A$3:$A$5001,BD!$B$3:$B$5001,V$136,BD!$A$3:$A$5001,"&gt;="&amp;$C$7,BD!$A$3:$A$5001,"&lt;="&amp;$B144,BD!$V$3:$V$5001,"&lt;&gt;"))))</f>
        <v/>
      </c>
    </row>
    <row r="145">
      <c r="A145" s="38">
        <v>9</v>
      </c>
      <c r="B145" s="42">
        <f>$B$20</f>
        <v>46304</v>
      </c>
      <c r="C145" s="43" t="str">
        <f>IF(OR($B145="",$A145&gt;$B$9,C$136=""),"",IF(COUNTIFS(BD!$B$3:$B$5001,C$136,BD!$A$3:$A$5001,"&gt;="&amp;$C$7,BD!$A$3:$A$5001,"&lt;="&amp;$B145,BD!$V$3:$V$5001,"&lt;&gt;")=0,"",SUMIFS(BD!$V$3:$V$5001,BD!$B$3:$B$5001,C$136,BD!$A$3:$A$5001,_xlfn.MAXIFS(BD!$A$3:$A$5001,BD!$B$3:$B$5001,C$136,BD!$A$3:$A$5001,"&gt;="&amp;$C$7,BD!$A$3:$A$5001,"&lt;="&amp;$B145,BD!$V$3:$V$5001,"&lt;&gt;"))))</f>
        <v/>
      </c>
      <c r="D145" s="43" t="str">
        <f>IF(OR($B145="",$A145&gt;$B$9,D$136=""),"",IF(COUNTIFS(BD!$B$3:$B$5001,D$136,BD!$A$3:$A$5001,"&gt;="&amp;$C$7,BD!$A$3:$A$5001,"&lt;="&amp;$B145,BD!$V$3:$V$5001,"&lt;&gt;")=0,"",SUMIFS(BD!$V$3:$V$5001,BD!$B$3:$B$5001,D$136,BD!$A$3:$A$5001,_xlfn.MAXIFS(BD!$A$3:$A$5001,BD!$B$3:$B$5001,D$136,BD!$A$3:$A$5001,"&gt;="&amp;$C$7,BD!$A$3:$A$5001,"&lt;="&amp;$B145,BD!$V$3:$V$5001,"&lt;&gt;"))))</f>
        <v/>
      </c>
      <c r="E145" s="43" t="str">
        <f>IF(OR($B145="",$A145&gt;$B$9,E$136=""),"",IF(COUNTIFS(BD!$B$3:$B$5001,E$136,BD!$A$3:$A$5001,"&gt;="&amp;$C$7,BD!$A$3:$A$5001,"&lt;="&amp;$B145,BD!$V$3:$V$5001,"&lt;&gt;")=0,"",SUMIFS(BD!$V$3:$V$5001,BD!$B$3:$B$5001,E$136,BD!$A$3:$A$5001,_xlfn.MAXIFS(BD!$A$3:$A$5001,BD!$B$3:$B$5001,E$136,BD!$A$3:$A$5001,"&gt;="&amp;$C$7,BD!$A$3:$A$5001,"&lt;="&amp;$B145,BD!$V$3:$V$5001,"&lt;&gt;"))))</f>
        <v/>
      </c>
      <c r="F145" s="43" t="str">
        <f>IF(OR($B145="",$A145&gt;$B$9,F$136=""),"",IF(COUNTIFS(BD!$B$3:$B$5001,F$136,BD!$A$3:$A$5001,"&gt;="&amp;$C$7,BD!$A$3:$A$5001,"&lt;="&amp;$B145,BD!$V$3:$V$5001,"&lt;&gt;")=0,"",SUMIFS(BD!$V$3:$V$5001,BD!$B$3:$B$5001,F$136,BD!$A$3:$A$5001,_xlfn.MAXIFS(BD!$A$3:$A$5001,BD!$B$3:$B$5001,F$136,BD!$A$3:$A$5001,"&gt;="&amp;$C$7,BD!$A$3:$A$5001,"&lt;="&amp;$B145,BD!$V$3:$V$5001,"&lt;&gt;"))))</f>
        <v/>
      </c>
      <c r="G145" s="43" t="str">
        <f>IF(OR($B145="",$A145&gt;$B$9,G$136=""),"",IF(COUNTIFS(BD!$B$3:$B$5001,G$136,BD!$A$3:$A$5001,"&gt;="&amp;$C$7,BD!$A$3:$A$5001,"&lt;="&amp;$B145,BD!$V$3:$V$5001,"&lt;&gt;")=0,"",SUMIFS(BD!$V$3:$V$5001,BD!$B$3:$B$5001,G$136,BD!$A$3:$A$5001,_xlfn.MAXIFS(BD!$A$3:$A$5001,BD!$B$3:$B$5001,G$136,BD!$A$3:$A$5001,"&gt;="&amp;$C$7,BD!$A$3:$A$5001,"&lt;="&amp;$B145,BD!$V$3:$V$5001,"&lt;&gt;"))))</f>
        <v/>
      </c>
      <c r="H145" s="43" t="str">
        <f>IF(OR($B145="",$A145&gt;$B$9,H$136=""),"",IF(COUNTIFS(BD!$B$3:$B$5001,H$136,BD!$A$3:$A$5001,"&gt;="&amp;$C$7,BD!$A$3:$A$5001,"&lt;="&amp;$B145,BD!$V$3:$V$5001,"&lt;&gt;")=0,"",SUMIFS(BD!$V$3:$V$5001,BD!$B$3:$B$5001,H$136,BD!$A$3:$A$5001,_xlfn.MAXIFS(BD!$A$3:$A$5001,BD!$B$3:$B$5001,H$136,BD!$A$3:$A$5001,"&gt;="&amp;$C$7,BD!$A$3:$A$5001,"&lt;="&amp;$B145,BD!$V$3:$V$5001,"&lt;&gt;"))))</f>
        <v/>
      </c>
      <c r="I145" s="43" t="str">
        <f>IF(OR($B145="",$A145&gt;$B$9,I$136=""),"",IF(COUNTIFS(BD!$B$3:$B$5001,I$136,BD!$A$3:$A$5001,"&gt;="&amp;$C$7,BD!$A$3:$A$5001,"&lt;="&amp;$B145,BD!$V$3:$V$5001,"&lt;&gt;")=0,"",SUMIFS(BD!$V$3:$V$5001,BD!$B$3:$B$5001,I$136,BD!$A$3:$A$5001,_xlfn.MAXIFS(BD!$A$3:$A$5001,BD!$B$3:$B$5001,I$136,BD!$A$3:$A$5001,"&gt;="&amp;$C$7,BD!$A$3:$A$5001,"&lt;="&amp;$B145,BD!$V$3:$V$5001,"&lt;&gt;"))))</f>
        <v/>
      </c>
      <c r="J145" s="43" t="str">
        <f>IF(OR($B145="",$A145&gt;$B$9,J$136=""),"",IF(COUNTIFS(BD!$B$3:$B$5001,J$136,BD!$A$3:$A$5001,"&gt;="&amp;$C$7,BD!$A$3:$A$5001,"&lt;="&amp;$B145,BD!$V$3:$V$5001,"&lt;&gt;")=0,"",SUMIFS(BD!$V$3:$V$5001,BD!$B$3:$B$5001,J$136,BD!$A$3:$A$5001,_xlfn.MAXIFS(BD!$A$3:$A$5001,BD!$B$3:$B$5001,J$136,BD!$A$3:$A$5001,"&gt;="&amp;$C$7,BD!$A$3:$A$5001,"&lt;="&amp;$B145,BD!$V$3:$V$5001,"&lt;&gt;"))))</f>
        <v/>
      </c>
      <c r="K145" s="43" t="str">
        <f>IF(OR($B145="",$A145&gt;$B$9,K$136=""),"",IF(COUNTIFS(BD!$B$3:$B$5001,K$136,BD!$A$3:$A$5001,"&gt;="&amp;$C$7,BD!$A$3:$A$5001,"&lt;="&amp;$B145,BD!$V$3:$V$5001,"&lt;&gt;")=0,"",SUMIFS(BD!$V$3:$V$5001,BD!$B$3:$B$5001,K$136,BD!$A$3:$A$5001,_xlfn.MAXIFS(BD!$A$3:$A$5001,BD!$B$3:$B$5001,K$136,BD!$A$3:$A$5001,"&gt;="&amp;$C$7,BD!$A$3:$A$5001,"&lt;="&amp;$B145,BD!$V$3:$V$5001,"&lt;&gt;"))))</f>
        <v/>
      </c>
      <c r="L145" s="43" t="str">
        <f>IF(OR($B145="",$A145&gt;$B$9,L$136=""),"",IF(COUNTIFS(BD!$B$3:$B$5001,L$136,BD!$A$3:$A$5001,"&gt;="&amp;$C$7,BD!$A$3:$A$5001,"&lt;="&amp;$B145,BD!$V$3:$V$5001,"&lt;&gt;")=0,"",SUMIFS(BD!$V$3:$V$5001,BD!$B$3:$B$5001,L$136,BD!$A$3:$A$5001,_xlfn.MAXIFS(BD!$A$3:$A$5001,BD!$B$3:$B$5001,L$136,BD!$A$3:$A$5001,"&gt;="&amp;$C$7,BD!$A$3:$A$5001,"&lt;="&amp;$B145,BD!$V$3:$V$5001,"&lt;&gt;"))))</f>
        <v/>
      </c>
      <c r="M145" s="43" t="str">
        <f>IF(OR($B145="",$A145&gt;$B$9,M$136=""),"",IF(COUNTIFS(BD!$B$3:$B$5001,M$136,BD!$A$3:$A$5001,"&gt;="&amp;$C$7,BD!$A$3:$A$5001,"&lt;="&amp;$B145,BD!$V$3:$V$5001,"&lt;&gt;")=0,"",SUMIFS(BD!$V$3:$V$5001,BD!$B$3:$B$5001,M$136,BD!$A$3:$A$5001,_xlfn.MAXIFS(BD!$A$3:$A$5001,BD!$B$3:$B$5001,M$136,BD!$A$3:$A$5001,"&gt;="&amp;$C$7,BD!$A$3:$A$5001,"&lt;="&amp;$B145,BD!$V$3:$V$5001,"&lt;&gt;"))))</f>
        <v/>
      </c>
      <c r="N145" s="43" t="str">
        <f>IF(OR($B145="",$A145&gt;$B$9,N$136=""),"",IF(COUNTIFS(BD!$B$3:$B$5001,N$136,BD!$A$3:$A$5001,"&gt;="&amp;$C$7,BD!$A$3:$A$5001,"&lt;="&amp;$B145,BD!$V$3:$V$5001,"&lt;&gt;")=0,"",SUMIFS(BD!$V$3:$V$5001,BD!$B$3:$B$5001,N$136,BD!$A$3:$A$5001,_xlfn.MAXIFS(BD!$A$3:$A$5001,BD!$B$3:$B$5001,N$136,BD!$A$3:$A$5001,"&gt;="&amp;$C$7,BD!$A$3:$A$5001,"&lt;="&amp;$B145,BD!$V$3:$V$5001,"&lt;&gt;"))))</f>
        <v/>
      </c>
      <c r="O145" s="43" t="str">
        <f>IF(OR($B145="",$A145&gt;$B$9,O$136=""),"",IF(COUNTIFS(BD!$B$3:$B$5001,O$136,BD!$A$3:$A$5001,"&gt;="&amp;$C$7,BD!$A$3:$A$5001,"&lt;="&amp;$B145,BD!$V$3:$V$5001,"&lt;&gt;")=0,"",SUMIFS(BD!$V$3:$V$5001,BD!$B$3:$B$5001,O$136,BD!$A$3:$A$5001,_xlfn.MAXIFS(BD!$A$3:$A$5001,BD!$B$3:$B$5001,O$136,BD!$A$3:$A$5001,"&gt;="&amp;$C$7,BD!$A$3:$A$5001,"&lt;="&amp;$B145,BD!$V$3:$V$5001,"&lt;&gt;"))))</f>
        <v/>
      </c>
      <c r="P145" s="43" t="str">
        <f>IF(OR($B145="",$A145&gt;$B$9,P$136=""),"",IF(COUNTIFS(BD!$B$3:$B$5001,P$136,BD!$A$3:$A$5001,"&gt;="&amp;$C$7,BD!$A$3:$A$5001,"&lt;="&amp;$B145,BD!$V$3:$V$5001,"&lt;&gt;")=0,"",SUMIFS(BD!$V$3:$V$5001,BD!$B$3:$B$5001,P$136,BD!$A$3:$A$5001,_xlfn.MAXIFS(BD!$A$3:$A$5001,BD!$B$3:$B$5001,P$136,BD!$A$3:$A$5001,"&gt;="&amp;$C$7,BD!$A$3:$A$5001,"&lt;="&amp;$B145,BD!$V$3:$V$5001,"&lt;&gt;"))))</f>
        <v/>
      </c>
      <c r="Q145" s="43" t="str">
        <f>IF(OR($B145="",$A145&gt;$B$9,Q$136=""),"",IF(COUNTIFS(BD!$B$3:$B$5001,Q$136,BD!$A$3:$A$5001,"&gt;="&amp;$C$7,BD!$A$3:$A$5001,"&lt;="&amp;$B145,BD!$V$3:$V$5001,"&lt;&gt;")=0,"",SUMIFS(BD!$V$3:$V$5001,BD!$B$3:$B$5001,Q$136,BD!$A$3:$A$5001,_xlfn.MAXIFS(BD!$A$3:$A$5001,BD!$B$3:$B$5001,Q$136,BD!$A$3:$A$5001,"&gt;="&amp;$C$7,BD!$A$3:$A$5001,"&lt;="&amp;$B145,BD!$V$3:$V$5001,"&lt;&gt;"))))</f>
        <v/>
      </c>
      <c r="R145" s="43" t="str">
        <f>IF(OR($B145="",$A145&gt;$B$9,R$136=""),"",IF(COUNTIFS(BD!$B$3:$B$5001,R$136,BD!$A$3:$A$5001,"&gt;="&amp;$C$7,BD!$A$3:$A$5001,"&lt;="&amp;$B145,BD!$V$3:$V$5001,"&lt;&gt;")=0,"",SUMIFS(BD!$V$3:$V$5001,BD!$B$3:$B$5001,R$136,BD!$A$3:$A$5001,_xlfn.MAXIFS(BD!$A$3:$A$5001,BD!$B$3:$B$5001,R$136,BD!$A$3:$A$5001,"&gt;="&amp;$C$7,BD!$A$3:$A$5001,"&lt;="&amp;$B145,BD!$V$3:$V$5001,"&lt;&gt;"))))</f>
        <v/>
      </c>
      <c r="S145" s="43" t="str">
        <f>IF(OR($B145="",$A145&gt;$B$9,S$136=""),"",IF(COUNTIFS(BD!$B$3:$B$5001,S$136,BD!$A$3:$A$5001,"&gt;="&amp;$C$7,BD!$A$3:$A$5001,"&lt;="&amp;$B145,BD!$V$3:$V$5001,"&lt;&gt;")=0,"",SUMIFS(BD!$V$3:$V$5001,BD!$B$3:$B$5001,S$136,BD!$A$3:$A$5001,_xlfn.MAXIFS(BD!$A$3:$A$5001,BD!$B$3:$B$5001,S$136,BD!$A$3:$A$5001,"&gt;="&amp;$C$7,BD!$A$3:$A$5001,"&lt;="&amp;$B145,BD!$V$3:$V$5001,"&lt;&gt;"))))</f>
        <v/>
      </c>
      <c r="T145" s="43" t="str">
        <f>IF(OR($B145="",$A145&gt;$B$9,T$136=""),"",IF(COUNTIFS(BD!$B$3:$B$5001,T$136,BD!$A$3:$A$5001,"&gt;="&amp;$C$7,BD!$A$3:$A$5001,"&lt;="&amp;$B145,BD!$V$3:$V$5001,"&lt;&gt;")=0,"",SUMIFS(BD!$V$3:$V$5001,BD!$B$3:$B$5001,T$136,BD!$A$3:$A$5001,_xlfn.MAXIFS(BD!$A$3:$A$5001,BD!$B$3:$B$5001,T$136,BD!$A$3:$A$5001,"&gt;="&amp;$C$7,BD!$A$3:$A$5001,"&lt;="&amp;$B145,BD!$V$3:$V$5001,"&lt;&gt;"))))</f>
        <v/>
      </c>
      <c r="U145" s="43" t="str">
        <f>IF(OR($B145="",$A145&gt;$B$9,U$136=""),"",IF(COUNTIFS(BD!$B$3:$B$5001,U$136,BD!$A$3:$A$5001,"&gt;="&amp;$C$7,BD!$A$3:$A$5001,"&lt;="&amp;$B145,BD!$V$3:$V$5001,"&lt;&gt;")=0,"",SUMIFS(BD!$V$3:$V$5001,BD!$B$3:$B$5001,U$136,BD!$A$3:$A$5001,_xlfn.MAXIFS(BD!$A$3:$A$5001,BD!$B$3:$B$5001,U$136,BD!$A$3:$A$5001,"&gt;="&amp;$C$7,BD!$A$3:$A$5001,"&lt;="&amp;$B145,BD!$V$3:$V$5001,"&lt;&gt;"))))</f>
        <v/>
      </c>
      <c r="V145" s="43" t="str">
        <f>IF(OR($B145="",$A145&gt;$B$9,V$136=""),"",IF(COUNTIFS(BD!$B$3:$B$5001,V$136,BD!$A$3:$A$5001,"&gt;="&amp;$C$7,BD!$A$3:$A$5001,"&lt;="&amp;$B145,BD!$V$3:$V$5001,"&lt;&gt;")=0,"",SUMIFS(BD!$V$3:$V$5001,BD!$B$3:$B$5001,V$136,BD!$A$3:$A$5001,_xlfn.MAXIFS(BD!$A$3:$A$5001,BD!$B$3:$B$5001,V$136,BD!$A$3:$A$5001,"&gt;="&amp;$C$7,BD!$A$3:$A$5001,"&lt;="&amp;$B145,BD!$V$3:$V$5001,"&lt;&gt;"))))</f>
        <v/>
      </c>
    </row>
    <row r="146">
      <c r="A146" s="38">
        <v>10</v>
      </c>
      <c r="B146" s="42">
        <f>$B$21</f>
        <v>46305</v>
      </c>
      <c r="C146" s="43" t="str">
        <f>IF(OR($B146="",$A146&gt;$B$9,C$136=""),"",IF(COUNTIFS(BD!$B$3:$B$5001,C$136,BD!$A$3:$A$5001,"&gt;="&amp;$C$7,BD!$A$3:$A$5001,"&lt;="&amp;$B146,BD!$V$3:$V$5001,"&lt;&gt;")=0,"",SUMIFS(BD!$V$3:$V$5001,BD!$B$3:$B$5001,C$136,BD!$A$3:$A$5001,_xlfn.MAXIFS(BD!$A$3:$A$5001,BD!$B$3:$B$5001,C$136,BD!$A$3:$A$5001,"&gt;="&amp;$C$7,BD!$A$3:$A$5001,"&lt;="&amp;$B146,BD!$V$3:$V$5001,"&lt;&gt;"))))</f>
        <v/>
      </c>
      <c r="D146" s="43" t="str">
        <f>IF(OR($B146="",$A146&gt;$B$9,D$136=""),"",IF(COUNTIFS(BD!$B$3:$B$5001,D$136,BD!$A$3:$A$5001,"&gt;="&amp;$C$7,BD!$A$3:$A$5001,"&lt;="&amp;$B146,BD!$V$3:$V$5001,"&lt;&gt;")=0,"",SUMIFS(BD!$V$3:$V$5001,BD!$B$3:$B$5001,D$136,BD!$A$3:$A$5001,_xlfn.MAXIFS(BD!$A$3:$A$5001,BD!$B$3:$B$5001,D$136,BD!$A$3:$A$5001,"&gt;="&amp;$C$7,BD!$A$3:$A$5001,"&lt;="&amp;$B146,BD!$V$3:$V$5001,"&lt;&gt;"))))</f>
        <v/>
      </c>
      <c r="E146" s="43" t="str">
        <f>IF(OR($B146="",$A146&gt;$B$9,E$136=""),"",IF(COUNTIFS(BD!$B$3:$B$5001,E$136,BD!$A$3:$A$5001,"&gt;="&amp;$C$7,BD!$A$3:$A$5001,"&lt;="&amp;$B146,BD!$V$3:$V$5001,"&lt;&gt;")=0,"",SUMIFS(BD!$V$3:$V$5001,BD!$B$3:$B$5001,E$136,BD!$A$3:$A$5001,_xlfn.MAXIFS(BD!$A$3:$A$5001,BD!$B$3:$B$5001,E$136,BD!$A$3:$A$5001,"&gt;="&amp;$C$7,BD!$A$3:$A$5001,"&lt;="&amp;$B146,BD!$V$3:$V$5001,"&lt;&gt;"))))</f>
        <v/>
      </c>
      <c r="F146" s="43" t="str">
        <f>IF(OR($B146="",$A146&gt;$B$9,F$136=""),"",IF(COUNTIFS(BD!$B$3:$B$5001,F$136,BD!$A$3:$A$5001,"&gt;="&amp;$C$7,BD!$A$3:$A$5001,"&lt;="&amp;$B146,BD!$V$3:$V$5001,"&lt;&gt;")=0,"",SUMIFS(BD!$V$3:$V$5001,BD!$B$3:$B$5001,F$136,BD!$A$3:$A$5001,_xlfn.MAXIFS(BD!$A$3:$A$5001,BD!$B$3:$B$5001,F$136,BD!$A$3:$A$5001,"&gt;="&amp;$C$7,BD!$A$3:$A$5001,"&lt;="&amp;$B146,BD!$V$3:$V$5001,"&lt;&gt;"))))</f>
        <v/>
      </c>
      <c r="G146" s="43" t="str">
        <f>IF(OR($B146="",$A146&gt;$B$9,G$136=""),"",IF(COUNTIFS(BD!$B$3:$B$5001,G$136,BD!$A$3:$A$5001,"&gt;="&amp;$C$7,BD!$A$3:$A$5001,"&lt;="&amp;$B146,BD!$V$3:$V$5001,"&lt;&gt;")=0,"",SUMIFS(BD!$V$3:$V$5001,BD!$B$3:$B$5001,G$136,BD!$A$3:$A$5001,_xlfn.MAXIFS(BD!$A$3:$A$5001,BD!$B$3:$B$5001,G$136,BD!$A$3:$A$5001,"&gt;="&amp;$C$7,BD!$A$3:$A$5001,"&lt;="&amp;$B146,BD!$V$3:$V$5001,"&lt;&gt;"))))</f>
        <v/>
      </c>
      <c r="H146" s="43" t="str">
        <f>IF(OR($B146="",$A146&gt;$B$9,H$136=""),"",IF(COUNTIFS(BD!$B$3:$B$5001,H$136,BD!$A$3:$A$5001,"&gt;="&amp;$C$7,BD!$A$3:$A$5001,"&lt;="&amp;$B146,BD!$V$3:$V$5001,"&lt;&gt;")=0,"",SUMIFS(BD!$V$3:$V$5001,BD!$B$3:$B$5001,H$136,BD!$A$3:$A$5001,_xlfn.MAXIFS(BD!$A$3:$A$5001,BD!$B$3:$B$5001,H$136,BD!$A$3:$A$5001,"&gt;="&amp;$C$7,BD!$A$3:$A$5001,"&lt;="&amp;$B146,BD!$V$3:$V$5001,"&lt;&gt;"))))</f>
        <v/>
      </c>
      <c r="I146" s="43" t="str">
        <f>IF(OR($B146="",$A146&gt;$B$9,I$136=""),"",IF(COUNTIFS(BD!$B$3:$B$5001,I$136,BD!$A$3:$A$5001,"&gt;="&amp;$C$7,BD!$A$3:$A$5001,"&lt;="&amp;$B146,BD!$V$3:$V$5001,"&lt;&gt;")=0,"",SUMIFS(BD!$V$3:$V$5001,BD!$B$3:$B$5001,I$136,BD!$A$3:$A$5001,_xlfn.MAXIFS(BD!$A$3:$A$5001,BD!$B$3:$B$5001,I$136,BD!$A$3:$A$5001,"&gt;="&amp;$C$7,BD!$A$3:$A$5001,"&lt;="&amp;$B146,BD!$V$3:$V$5001,"&lt;&gt;"))))</f>
        <v/>
      </c>
      <c r="J146" s="43" t="str">
        <f>IF(OR($B146="",$A146&gt;$B$9,J$136=""),"",IF(COUNTIFS(BD!$B$3:$B$5001,J$136,BD!$A$3:$A$5001,"&gt;="&amp;$C$7,BD!$A$3:$A$5001,"&lt;="&amp;$B146,BD!$V$3:$V$5001,"&lt;&gt;")=0,"",SUMIFS(BD!$V$3:$V$5001,BD!$B$3:$B$5001,J$136,BD!$A$3:$A$5001,_xlfn.MAXIFS(BD!$A$3:$A$5001,BD!$B$3:$B$5001,J$136,BD!$A$3:$A$5001,"&gt;="&amp;$C$7,BD!$A$3:$A$5001,"&lt;="&amp;$B146,BD!$V$3:$V$5001,"&lt;&gt;"))))</f>
        <v/>
      </c>
      <c r="K146" s="43" t="str">
        <f>IF(OR($B146="",$A146&gt;$B$9,K$136=""),"",IF(COUNTIFS(BD!$B$3:$B$5001,K$136,BD!$A$3:$A$5001,"&gt;="&amp;$C$7,BD!$A$3:$A$5001,"&lt;="&amp;$B146,BD!$V$3:$V$5001,"&lt;&gt;")=0,"",SUMIFS(BD!$V$3:$V$5001,BD!$B$3:$B$5001,K$136,BD!$A$3:$A$5001,_xlfn.MAXIFS(BD!$A$3:$A$5001,BD!$B$3:$B$5001,K$136,BD!$A$3:$A$5001,"&gt;="&amp;$C$7,BD!$A$3:$A$5001,"&lt;="&amp;$B146,BD!$V$3:$V$5001,"&lt;&gt;"))))</f>
        <v/>
      </c>
      <c r="L146" s="43" t="str">
        <f>IF(OR($B146="",$A146&gt;$B$9,L$136=""),"",IF(COUNTIFS(BD!$B$3:$B$5001,L$136,BD!$A$3:$A$5001,"&gt;="&amp;$C$7,BD!$A$3:$A$5001,"&lt;="&amp;$B146,BD!$V$3:$V$5001,"&lt;&gt;")=0,"",SUMIFS(BD!$V$3:$V$5001,BD!$B$3:$B$5001,L$136,BD!$A$3:$A$5001,_xlfn.MAXIFS(BD!$A$3:$A$5001,BD!$B$3:$B$5001,L$136,BD!$A$3:$A$5001,"&gt;="&amp;$C$7,BD!$A$3:$A$5001,"&lt;="&amp;$B146,BD!$V$3:$V$5001,"&lt;&gt;"))))</f>
        <v/>
      </c>
      <c r="M146" s="43" t="str">
        <f>IF(OR($B146="",$A146&gt;$B$9,M$136=""),"",IF(COUNTIFS(BD!$B$3:$B$5001,M$136,BD!$A$3:$A$5001,"&gt;="&amp;$C$7,BD!$A$3:$A$5001,"&lt;="&amp;$B146,BD!$V$3:$V$5001,"&lt;&gt;")=0,"",SUMIFS(BD!$V$3:$V$5001,BD!$B$3:$B$5001,M$136,BD!$A$3:$A$5001,_xlfn.MAXIFS(BD!$A$3:$A$5001,BD!$B$3:$B$5001,M$136,BD!$A$3:$A$5001,"&gt;="&amp;$C$7,BD!$A$3:$A$5001,"&lt;="&amp;$B146,BD!$V$3:$V$5001,"&lt;&gt;"))))</f>
        <v/>
      </c>
      <c r="N146" s="43" t="str">
        <f>IF(OR($B146="",$A146&gt;$B$9,N$136=""),"",IF(COUNTIFS(BD!$B$3:$B$5001,N$136,BD!$A$3:$A$5001,"&gt;="&amp;$C$7,BD!$A$3:$A$5001,"&lt;="&amp;$B146,BD!$V$3:$V$5001,"&lt;&gt;")=0,"",SUMIFS(BD!$V$3:$V$5001,BD!$B$3:$B$5001,N$136,BD!$A$3:$A$5001,_xlfn.MAXIFS(BD!$A$3:$A$5001,BD!$B$3:$B$5001,N$136,BD!$A$3:$A$5001,"&gt;="&amp;$C$7,BD!$A$3:$A$5001,"&lt;="&amp;$B146,BD!$V$3:$V$5001,"&lt;&gt;"))))</f>
        <v/>
      </c>
      <c r="O146" s="43" t="str">
        <f>IF(OR($B146="",$A146&gt;$B$9,O$136=""),"",IF(COUNTIFS(BD!$B$3:$B$5001,O$136,BD!$A$3:$A$5001,"&gt;="&amp;$C$7,BD!$A$3:$A$5001,"&lt;="&amp;$B146,BD!$V$3:$V$5001,"&lt;&gt;")=0,"",SUMIFS(BD!$V$3:$V$5001,BD!$B$3:$B$5001,O$136,BD!$A$3:$A$5001,_xlfn.MAXIFS(BD!$A$3:$A$5001,BD!$B$3:$B$5001,O$136,BD!$A$3:$A$5001,"&gt;="&amp;$C$7,BD!$A$3:$A$5001,"&lt;="&amp;$B146,BD!$V$3:$V$5001,"&lt;&gt;"))))</f>
        <v/>
      </c>
      <c r="P146" s="43" t="str">
        <f>IF(OR($B146="",$A146&gt;$B$9,P$136=""),"",IF(COUNTIFS(BD!$B$3:$B$5001,P$136,BD!$A$3:$A$5001,"&gt;="&amp;$C$7,BD!$A$3:$A$5001,"&lt;="&amp;$B146,BD!$V$3:$V$5001,"&lt;&gt;")=0,"",SUMIFS(BD!$V$3:$V$5001,BD!$B$3:$B$5001,P$136,BD!$A$3:$A$5001,_xlfn.MAXIFS(BD!$A$3:$A$5001,BD!$B$3:$B$5001,P$136,BD!$A$3:$A$5001,"&gt;="&amp;$C$7,BD!$A$3:$A$5001,"&lt;="&amp;$B146,BD!$V$3:$V$5001,"&lt;&gt;"))))</f>
        <v/>
      </c>
      <c r="Q146" s="43" t="str">
        <f>IF(OR($B146="",$A146&gt;$B$9,Q$136=""),"",IF(COUNTIFS(BD!$B$3:$B$5001,Q$136,BD!$A$3:$A$5001,"&gt;="&amp;$C$7,BD!$A$3:$A$5001,"&lt;="&amp;$B146,BD!$V$3:$V$5001,"&lt;&gt;")=0,"",SUMIFS(BD!$V$3:$V$5001,BD!$B$3:$B$5001,Q$136,BD!$A$3:$A$5001,_xlfn.MAXIFS(BD!$A$3:$A$5001,BD!$B$3:$B$5001,Q$136,BD!$A$3:$A$5001,"&gt;="&amp;$C$7,BD!$A$3:$A$5001,"&lt;="&amp;$B146,BD!$V$3:$V$5001,"&lt;&gt;"))))</f>
        <v/>
      </c>
      <c r="R146" s="43" t="str">
        <f>IF(OR($B146="",$A146&gt;$B$9,R$136=""),"",IF(COUNTIFS(BD!$B$3:$B$5001,R$136,BD!$A$3:$A$5001,"&gt;="&amp;$C$7,BD!$A$3:$A$5001,"&lt;="&amp;$B146,BD!$V$3:$V$5001,"&lt;&gt;")=0,"",SUMIFS(BD!$V$3:$V$5001,BD!$B$3:$B$5001,R$136,BD!$A$3:$A$5001,_xlfn.MAXIFS(BD!$A$3:$A$5001,BD!$B$3:$B$5001,R$136,BD!$A$3:$A$5001,"&gt;="&amp;$C$7,BD!$A$3:$A$5001,"&lt;="&amp;$B146,BD!$V$3:$V$5001,"&lt;&gt;"))))</f>
        <v/>
      </c>
      <c r="S146" s="43" t="str">
        <f>IF(OR($B146="",$A146&gt;$B$9,S$136=""),"",IF(COUNTIFS(BD!$B$3:$B$5001,S$136,BD!$A$3:$A$5001,"&gt;="&amp;$C$7,BD!$A$3:$A$5001,"&lt;="&amp;$B146,BD!$V$3:$V$5001,"&lt;&gt;")=0,"",SUMIFS(BD!$V$3:$V$5001,BD!$B$3:$B$5001,S$136,BD!$A$3:$A$5001,_xlfn.MAXIFS(BD!$A$3:$A$5001,BD!$B$3:$B$5001,S$136,BD!$A$3:$A$5001,"&gt;="&amp;$C$7,BD!$A$3:$A$5001,"&lt;="&amp;$B146,BD!$V$3:$V$5001,"&lt;&gt;"))))</f>
        <v/>
      </c>
      <c r="T146" s="43" t="str">
        <f>IF(OR($B146="",$A146&gt;$B$9,T$136=""),"",IF(COUNTIFS(BD!$B$3:$B$5001,T$136,BD!$A$3:$A$5001,"&gt;="&amp;$C$7,BD!$A$3:$A$5001,"&lt;="&amp;$B146,BD!$V$3:$V$5001,"&lt;&gt;")=0,"",SUMIFS(BD!$V$3:$V$5001,BD!$B$3:$B$5001,T$136,BD!$A$3:$A$5001,_xlfn.MAXIFS(BD!$A$3:$A$5001,BD!$B$3:$B$5001,T$136,BD!$A$3:$A$5001,"&gt;="&amp;$C$7,BD!$A$3:$A$5001,"&lt;="&amp;$B146,BD!$V$3:$V$5001,"&lt;&gt;"))))</f>
        <v/>
      </c>
      <c r="U146" s="43" t="str">
        <f>IF(OR($B146="",$A146&gt;$B$9,U$136=""),"",IF(COUNTIFS(BD!$B$3:$B$5001,U$136,BD!$A$3:$A$5001,"&gt;="&amp;$C$7,BD!$A$3:$A$5001,"&lt;="&amp;$B146,BD!$V$3:$V$5001,"&lt;&gt;")=0,"",SUMIFS(BD!$V$3:$V$5001,BD!$B$3:$B$5001,U$136,BD!$A$3:$A$5001,_xlfn.MAXIFS(BD!$A$3:$A$5001,BD!$B$3:$B$5001,U$136,BD!$A$3:$A$5001,"&gt;="&amp;$C$7,BD!$A$3:$A$5001,"&lt;="&amp;$B146,BD!$V$3:$V$5001,"&lt;&gt;"))))</f>
        <v/>
      </c>
      <c r="V146" s="43" t="str">
        <f>IF(OR($B146="",$A146&gt;$B$9,V$136=""),"",IF(COUNTIFS(BD!$B$3:$B$5001,V$136,BD!$A$3:$A$5001,"&gt;="&amp;$C$7,BD!$A$3:$A$5001,"&lt;="&amp;$B146,BD!$V$3:$V$5001,"&lt;&gt;")=0,"",SUMIFS(BD!$V$3:$V$5001,BD!$B$3:$B$5001,V$136,BD!$A$3:$A$5001,_xlfn.MAXIFS(BD!$A$3:$A$5001,BD!$B$3:$B$5001,V$136,BD!$A$3:$A$5001,"&gt;="&amp;$C$7,BD!$A$3:$A$5001,"&lt;="&amp;$B146,BD!$V$3:$V$5001,"&lt;&gt;"))))</f>
        <v/>
      </c>
    </row>
    <row r="147">
      <c r="A147" s="38">
        <v>11</v>
      </c>
      <c r="B147" s="42">
        <f>$B$22</f>
        <v>46306</v>
      </c>
      <c r="C147" s="43" t="str">
        <f>IF(OR($B147="",$A147&gt;$B$9,C$136=""),"",IF(COUNTIFS(BD!$B$3:$B$5001,C$136,BD!$A$3:$A$5001,"&gt;="&amp;$C$7,BD!$A$3:$A$5001,"&lt;="&amp;$B147,BD!$V$3:$V$5001,"&lt;&gt;")=0,"",SUMIFS(BD!$V$3:$V$5001,BD!$B$3:$B$5001,C$136,BD!$A$3:$A$5001,_xlfn.MAXIFS(BD!$A$3:$A$5001,BD!$B$3:$B$5001,C$136,BD!$A$3:$A$5001,"&gt;="&amp;$C$7,BD!$A$3:$A$5001,"&lt;="&amp;$B147,BD!$V$3:$V$5001,"&lt;&gt;"))))</f>
        <v/>
      </c>
      <c r="D147" s="43" t="str">
        <f>IF(OR($B147="",$A147&gt;$B$9,D$136=""),"",IF(COUNTIFS(BD!$B$3:$B$5001,D$136,BD!$A$3:$A$5001,"&gt;="&amp;$C$7,BD!$A$3:$A$5001,"&lt;="&amp;$B147,BD!$V$3:$V$5001,"&lt;&gt;")=0,"",SUMIFS(BD!$V$3:$V$5001,BD!$B$3:$B$5001,D$136,BD!$A$3:$A$5001,_xlfn.MAXIFS(BD!$A$3:$A$5001,BD!$B$3:$B$5001,D$136,BD!$A$3:$A$5001,"&gt;="&amp;$C$7,BD!$A$3:$A$5001,"&lt;="&amp;$B147,BD!$V$3:$V$5001,"&lt;&gt;"))))</f>
        <v/>
      </c>
      <c r="E147" s="43" t="str">
        <f>IF(OR($B147="",$A147&gt;$B$9,E$136=""),"",IF(COUNTIFS(BD!$B$3:$B$5001,E$136,BD!$A$3:$A$5001,"&gt;="&amp;$C$7,BD!$A$3:$A$5001,"&lt;="&amp;$B147,BD!$V$3:$V$5001,"&lt;&gt;")=0,"",SUMIFS(BD!$V$3:$V$5001,BD!$B$3:$B$5001,E$136,BD!$A$3:$A$5001,_xlfn.MAXIFS(BD!$A$3:$A$5001,BD!$B$3:$B$5001,E$136,BD!$A$3:$A$5001,"&gt;="&amp;$C$7,BD!$A$3:$A$5001,"&lt;="&amp;$B147,BD!$V$3:$V$5001,"&lt;&gt;"))))</f>
        <v/>
      </c>
      <c r="F147" s="43" t="str">
        <f>IF(OR($B147="",$A147&gt;$B$9,F$136=""),"",IF(COUNTIFS(BD!$B$3:$B$5001,F$136,BD!$A$3:$A$5001,"&gt;="&amp;$C$7,BD!$A$3:$A$5001,"&lt;="&amp;$B147,BD!$V$3:$V$5001,"&lt;&gt;")=0,"",SUMIFS(BD!$V$3:$V$5001,BD!$B$3:$B$5001,F$136,BD!$A$3:$A$5001,_xlfn.MAXIFS(BD!$A$3:$A$5001,BD!$B$3:$B$5001,F$136,BD!$A$3:$A$5001,"&gt;="&amp;$C$7,BD!$A$3:$A$5001,"&lt;="&amp;$B147,BD!$V$3:$V$5001,"&lt;&gt;"))))</f>
        <v/>
      </c>
      <c r="G147" s="43" t="str">
        <f>IF(OR($B147="",$A147&gt;$B$9,G$136=""),"",IF(COUNTIFS(BD!$B$3:$B$5001,G$136,BD!$A$3:$A$5001,"&gt;="&amp;$C$7,BD!$A$3:$A$5001,"&lt;="&amp;$B147,BD!$V$3:$V$5001,"&lt;&gt;")=0,"",SUMIFS(BD!$V$3:$V$5001,BD!$B$3:$B$5001,G$136,BD!$A$3:$A$5001,_xlfn.MAXIFS(BD!$A$3:$A$5001,BD!$B$3:$B$5001,G$136,BD!$A$3:$A$5001,"&gt;="&amp;$C$7,BD!$A$3:$A$5001,"&lt;="&amp;$B147,BD!$V$3:$V$5001,"&lt;&gt;"))))</f>
        <v/>
      </c>
      <c r="H147" s="43" t="str">
        <f>IF(OR($B147="",$A147&gt;$B$9,H$136=""),"",IF(COUNTIFS(BD!$B$3:$B$5001,H$136,BD!$A$3:$A$5001,"&gt;="&amp;$C$7,BD!$A$3:$A$5001,"&lt;="&amp;$B147,BD!$V$3:$V$5001,"&lt;&gt;")=0,"",SUMIFS(BD!$V$3:$V$5001,BD!$B$3:$B$5001,H$136,BD!$A$3:$A$5001,_xlfn.MAXIFS(BD!$A$3:$A$5001,BD!$B$3:$B$5001,H$136,BD!$A$3:$A$5001,"&gt;="&amp;$C$7,BD!$A$3:$A$5001,"&lt;="&amp;$B147,BD!$V$3:$V$5001,"&lt;&gt;"))))</f>
        <v/>
      </c>
      <c r="I147" s="43" t="str">
        <f>IF(OR($B147="",$A147&gt;$B$9,I$136=""),"",IF(COUNTIFS(BD!$B$3:$B$5001,I$136,BD!$A$3:$A$5001,"&gt;="&amp;$C$7,BD!$A$3:$A$5001,"&lt;="&amp;$B147,BD!$V$3:$V$5001,"&lt;&gt;")=0,"",SUMIFS(BD!$V$3:$V$5001,BD!$B$3:$B$5001,I$136,BD!$A$3:$A$5001,_xlfn.MAXIFS(BD!$A$3:$A$5001,BD!$B$3:$B$5001,I$136,BD!$A$3:$A$5001,"&gt;="&amp;$C$7,BD!$A$3:$A$5001,"&lt;="&amp;$B147,BD!$V$3:$V$5001,"&lt;&gt;"))))</f>
        <v/>
      </c>
      <c r="J147" s="43" t="str">
        <f>IF(OR($B147="",$A147&gt;$B$9,J$136=""),"",IF(COUNTIFS(BD!$B$3:$B$5001,J$136,BD!$A$3:$A$5001,"&gt;="&amp;$C$7,BD!$A$3:$A$5001,"&lt;="&amp;$B147,BD!$V$3:$V$5001,"&lt;&gt;")=0,"",SUMIFS(BD!$V$3:$V$5001,BD!$B$3:$B$5001,J$136,BD!$A$3:$A$5001,_xlfn.MAXIFS(BD!$A$3:$A$5001,BD!$B$3:$B$5001,J$136,BD!$A$3:$A$5001,"&gt;="&amp;$C$7,BD!$A$3:$A$5001,"&lt;="&amp;$B147,BD!$V$3:$V$5001,"&lt;&gt;"))))</f>
        <v/>
      </c>
      <c r="K147" s="43" t="str">
        <f>IF(OR($B147="",$A147&gt;$B$9,K$136=""),"",IF(COUNTIFS(BD!$B$3:$B$5001,K$136,BD!$A$3:$A$5001,"&gt;="&amp;$C$7,BD!$A$3:$A$5001,"&lt;="&amp;$B147,BD!$V$3:$V$5001,"&lt;&gt;")=0,"",SUMIFS(BD!$V$3:$V$5001,BD!$B$3:$B$5001,K$136,BD!$A$3:$A$5001,_xlfn.MAXIFS(BD!$A$3:$A$5001,BD!$B$3:$B$5001,K$136,BD!$A$3:$A$5001,"&gt;="&amp;$C$7,BD!$A$3:$A$5001,"&lt;="&amp;$B147,BD!$V$3:$V$5001,"&lt;&gt;"))))</f>
        <v/>
      </c>
      <c r="L147" s="43" t="str">
        <f>IF(OR($B147="",$A147&gt;$B$9,L$136=""),"",IF(COUNTIFS(BD!$B$3:$B$5001,L$136,BD!$A$3:$A$5001,"&gt;="&amp;$C$7,BD!$A$3:$A$5001,"&lt;="&amp;$B147,BD!$V$3:$V$5001,"&lt;&gt;")=0,"",SUMIFS(BD!$V$3:$V$5001,BD!$B$3:$B$5001,L$136,BD!$A$3:$A$5001,_xlfn.MAXIFS(BD!$A$3:$A$5001,BD!$B$3:$B$5001,L$136,BD!$A$3:$A$5001,"&gt;="&amp;$C$7,BD!$A$3:$A$5001,"&lt;="&amp;$B147,BD!$V$3:$V$5001,"&lt;&gt;"))))</f>
        <v/>
      </c>
      <c r="M147" s="43" t="str">
        <f>IF(OR($B147="",$A147&gt;$B$9,M$136=""),"",IF(COUNTIFS(BD!$B$3:$B$5001,M$136,BD!$A$3:$A$5001,"&gt;="&amp;$C$7,BD!$A$3:$A$5001,"&lt;="&amp;$B147,BD!$V$3:$V$5001,"&lt;&gt;")=0,"",SUMIFS(BD!$V$3:$V$5001,BD!$B$3:$B$5001,M$136,BD!$A$3:$A$5001,_xlfn.MAXIFS(BD!$A$3:$A$5001,BD!$B$3:$B$5001,M$136,BD!$A$3:$A$5001,"&gt;="&amp;$C$7,BD!$A$3:$A$5001,"&lt;="&amp;$B147,BD!$V$3:$V$5001,"&lt;&gt;"))))</f>
        <v/>
      </c>
      <c r="N147" s="43" t="str">
        <f>IF(OR($B147="",$A147&gt;$B$9,N$136=""),"",IF(COUNTIFS(BD!$B$3:$B$5001,N$136,BD!$A$3:$A$5001,"&gt;="&amp;$C$7,BD!$A$3:$A$5001,"&lt;="&amp;$B147,BD!$V$3:$V$5001,"&lt;&gt;")=0,"",SUMIFS(BD!$V$3:$V$5001,BD!$B$3:$B$5001,N$136,BD!$A$3:$A$5001,_xlfn.MAXIFS(BD!$A$3:$A$5001,BD!$B$3:$B$5001,N$136,BD!$A$3:$A$5001,"&gt;="&amp;$C$7,BD!$A$3:$A$5001,"&lt;="&amp;$B147,BD!$V$3:$V$5001,"&lt;&gt;"))))</f>
        <v/>
      </c>
      <c r="O147" s="43" t="str">
        <f>IF(OR($B147="",$A147&gt;$B$9,O$136=""),"",IF(COUNTIFS(BD!$B$3:$B$5001,O$136,BD!$A$3:$A$5001,"&gt;="&amp;$C$7,BD!$A$3:$A$5001,"&lt;="&amp;$B147,BD!$V$3:$V$5001,"&lt;&gt;")=0,"",SUMIFS(BD!$V$3:$V$5001,BD!$B$3:$B$5001,O$136,BD!$A$3:$A$5001,_xlfn.MAXIFS(BD!$A$3:$A$5001,BD!$B$3:$B$5001,O$136,BD!$A$3:$A$5001,"&gt;="&amp;$C$7,BD!$A$3:$A$5001,"&lt;="&amp;$B147,BD!$V$3:$V$5001,"&lt;&gt;"))))</f>
        <v/>
      </c>
      <c r="P147" s="43" t="str">
        <f>IF(OR($B147="",$A147&gt;$B$9,P$136=""),"",IF(COUNTIFS(BD!$B$3:$B$5001,P$136,BD!$A$3:$A$5001,"&gt;="&amp;$C$7,BD!$A$3:$A$5001,"&lt;="&amp;$B147,BD!$V$3:$V$5001,"&lt;&gt;")=0,"",SUMIFS(BD!$V$3:$V$5001,BD!$B$3:$B$5001,P$136,BD!$A$3:$A$5001,_xlfn.MAXIFS(BD!$A$3:$A$5001,BD!$B$3:$B$5001,P$136,BD!$A$3:$A$5001,"&gt;="&amp;$C$7,BD!$A$3:$A$5001,"&lt;="&amp;$B147,BD!$V$3:$V$5001,"&lt;&gt;"))))</f>
        <v/>
      </c>
      <c r="Q147" s="43" t="str">
        <f>IF(OR($B147="",$A147&gt;$B$9,Q$136=""),"",IF(COUNTIFS(BD!$B$3:$B$5001,Q$136,BD!$A$3:$A$5001,"&gt;="&amp;$C$7,BD!$A$3:$A$5001,"&lt;="&amp;$B147,BD!$V$3:$V$5001,"&lt;&gt;")=0,"",SUMIFS(BD!$V$3:$V$5001,BD!$B$3:$B$5001,Q$136,BD!$A$3:$A$5001,_xlfn.MAXIFS(BD!$A$3:$A$5001,BD!$B$3:$B$5001,Q$136,BD!$A$3:$A$5001,"&gt;="&amp;$C$7,BD!$A$3:$A$5001,"&lt;="&amp;$B147,BD!$V$3:$V$5001,"&lt;&gt;"))))</f>
        <v/>
      </c>
      <c r="R147" s="43" t="str">
        <f>IF(OR($B147="",$A147&gt;$B$9,R$136=""),"",IF(COUNTIFS(BD!$B$3:$B$5001,R$136,BD!$A$3:$A$5001,"&gt;="&amp;$C$7,BD!$A$3:$A$5001,"&lt;="&amp;$B147,BD!$V$3:$V$5001,"&lt;&gt;")=0,"",SUMIFS(BD!$V$3:$V$5001,BD!$B$3:$B$5001,R$136,BD!$A$3:$A$5001,_xlfn.MAXIFS(BD!$A$3:$A$5001,BD!$B$3:$B$5001,R$136,BD!$A$3:$A$5001,"&gt;="&amp;$C$7,BD!$A$3:$A$5001,"&lt;="&amp;$B147,BD!$V$3:$V$5001,"&lt;&gt;"))))</f>
        <v/>
      </c>
      <c r="S147" s="43" t="str">
        <f>IF(OR($B147="",$A147&gt;$B$9,S$136=""),"",IF(COUNTIFS(BD!$B$3:$B$5001,S$136,BD!$A$3:$A$5001,"&gt;="&amp;$C$7,BD!$A$3:$A$5001,"&lt;="&amp;$B147,BD!$V$3:$V$5001,"&lt;&gt;")=0,"",SUMIFS(BD!$V$3:$V$5001,BD!$B$3:$B$5001,S$136,BD!$A$3:$A$5001,_xlfn.MAXIFS(BD!$A$3:$A$5001,BD!$B$3:$B$5001,S$136,BD!$A$3:$A$5001,"&gt;="&amp;$C$7,BD!$A$3:$A$5001,"&lt;="&amp;$B147,BD!$V$3:$V$5001,"&lt;&gt;"))))</f>
        <v/>
      </c>
      <c r="T147" s="43" t="str">
        <f>IF(OR($B147="",$A147&gt;$B$9,T$136=""),"",IF(COUNTIFS(BD!$B$3:$B$5001,T$136,BD!$A$3:$A$5001,"&gt;="&amp;$C$7,BD!$A$3:$A$5001,"&lt;="&amp;$B147,BD!$V$3:$V$5001,"&lt;&gt;")=0,"",SUMIFS(BD!$V$3:$V$5001,BD!$B$3:$B$5001,T$136,BD!$A$3:$A$5001,_xlfn.MAXIFS(BD!$A$3:$A$5001,BD!$B$3:$B$5001,T$136,BD!$A$3:$A$5001,"&gt;="&amp;$C$7,BD!$A$3:$A$5001,"&lt;="&amp;$B147,BD!$V$3:$V$5001,"&lt;&gt;"))))</f>
        <v/>
      </c>
      <c r="U147" s="43" t="str">
        <f>IF(OR($B147="",$A147&gt;$B$9,U$136=""),"",IF(COUNTIFS(BD!$B$3:$B$5001,U$136,BD!$A$3:$A$5001,"&gt;="&amp;$C$7,BD!$A$3:$A$5001,"&lt;="&amp;$B147,BD!$V$3:$V$5001,"&lt;&gt;")=0,"",SUMIFS(BD!$V$3:$V$5001,BD!$B$3:$B$5001,U$136,BD!$A$3:$A$5001,_xlfn.MAXIFS(BD!$A$3:$A$5001,BD!$B$3:$B$5001,U$136,BD!$A$3:$A$5001,"&gt;="&amp;$C$7,BD!$A$3:$A$5001,"&lt;="&amp;$B147,BD!$V$3:$V$5001,"&lt;&gt;"))))</f>
        <v/>
      </c>
      <c r="V147" s="43" t="str">
        <f>IF(OR($B147="",$A147&gt;$B$9,V$136=""),"",IF(COUNTIFS(BD!$B$3:$B$5001,V$136,BD!$A$3:$A$5001,"&gt;="&amp;$C$7,BD!$A$3:$A$5001,"&lt;="&amp;$B147,BD!$V$3:$V$5001,"&lt;&gt;")=0,"",SUMIFS(BD!$V$3:$V$5001,BD!$B$3:$B$5001,V$136,BD!$A$3:$A$5001,_xlfn.MAXIFS(BD!$A$3:$A$5001,BD!$B$3:$B$5001,V$136,BD!$A$3:$A$5001,"&gt;="&amp;$C$7,BD!$A$3:$A$5001,"&lt;="&amp;$B147,BD!$V$3:$V$5001,"&lt;&gt;"))))</f>
        <v/>
      </c>
    </row>
    <row r="148">
      <c r="A148" s="38">
        <v>12</v>
      </c>
      <c r="B148" s="42">
        <f>$B$23</f>
        <v>46307</v>
      </c>
      <c r="C148" s="43" t="str">
        <f>IF(OR($B148="",$A148&gt;$B$9,C$136=""),"",IF(COUNTIFS(BD!$B$3:$B$5001,C$136,BD!$A$3:$A$5001,"&gt;="&amp;$C$7,BD!$A$3:$A$5001,"&lt;="&amp;$B148,BD!$V$3:$V$5001,"&lt;&gt;")=0,"",SUMIFS(BD!$V$3:$V$5001,BD!$B$3:$B$5001,C$136,BD!$A$3:$A$5001,_xlfn.MAXIFS(BD!$A$3:$A$5001,BD!$B$3:$B$5001,C$136,BD!$A$3:$A$5001,"&gt;="&amp;$C$7,BD!$A$3:$A$5001,"&lt;="&amp;$B148,BD!$V$3:$V$5001,"&lt;&gt;"))))</f>
        <v/>
      </c>
      <c r="D148" s="43" t="str">
        <f>IF(OR($B148="",$A148&gt;$B$9,D$136=""),"",IF(COUNTIFS(BD!$B$3:$B$5001,D$136,BD!$A$3:$A$5001,"&gt;="&amp;$C$7,BD!$A$3:$A$5001,"&lt;="&amp;$B148,BD!$V$3:$V$5001,"&lt;&gt;")=0,"",SUMIFS(BD!$V$3:$V$5001,BD!$B$3:$B$5001,D$136,BD!$A$3:$A$5001,_xlfn.MAXIFS(BD!$A$3:$A$5001,BD!$B$3:$B$5001,D$136,BD!$A$3:$A$5001,"&gt;="&amp;$C$7,BD!$A$3:$A$5001,"&lt;="&amp;$B148,BD!$V$3:$V$5001,"&lt;&gt;"))))</f>
        <v/>
      </c>
      <c r="E148" s="43" t="str">
        <f>IF(OR($B148="",$A148&gt;$B$9,E$136=""),"",IF(COUNTIFS(BD!$B$3:$B$5001,E$136,BD!$A$3:$A$5001,"&gt;="&amp;$C$7,BD!$A$3:$A$5001,"&lt;="&amp;$B148,BD!$V$3:$V$5001,"&lt;&gt;")=0,"",SUMIFS(BD!$V$3:$V$5001,BD!$B$3:$B$5001,E$136,BD!$A$3:$A$5001,_xlfn.MAXIFS(BD!$A$3:$A$5001,BD!$B$3:$B$5001,E$136,BD!$A$3:$A$5001,"&gt;="&amp;$C$7,BD!$A$3:$A$5001,"&lt;="&amp;$B148,BD!$V$3:$V$5001,"&lt;&gt;"))))</f>
        <v/>
      </c>
      <c r="F148" s="43" t="str">
        <f>IF(OR($B148="",$A148&gt;$B$9,F$136=""),"",IF(COUNTIFS(BD!$B$3:$B$5001,F$136,BD!$A$3:$A$5001,"&gt;="&amp;$C$7,BD!$A$3:$A$5001,"&lt;="&amp;$B148,BD!$V$3:$V$5001,"&lt;&gt;")=0,"",SUMIFS(BD!$V$3:$V$5001,BD!$B$3:$B$5001,F$136,BD!$A$3:$A$5001,_xlfn.MAXIFS(BD!$A$3:$A$5001,BD!$B$3:$B$5001,F$136,BD!$A$3:$A$5001,"&gt;="&amp;$C$7,BD!$A$3:$A$5001,"&lt;="&amp;$B148,BD!$V$3:$V$5001,"&lt;&gt;"))))</f>
        <v/>
      </c>
      <c r="G148" s="43" t="str">
        <f>IF(OR($B148="",$A148&gt;$B$9,G$136=""),"",IF(COUNTIFS(BD!$B$3:$B$5001,G$136,BD!$A$3:$A$5001,"&gt;="&amp;$C$7,BD!$A$3:$A$5001,"&lt;="&amp;$B148,BD!$V$3:$V$5001,"&lt;&gt;")=0,"",SUMIFS(BD!$V$3:$V$5001,BD!$B$3:$B$5001,G$136,BD!$A$3:$A$5001,_xlfn.MAXIFS(BD!$A$3:$A$5001,BD!$B$3:$B$5001,G$136,BD!$A$3:$A$5001,"&gt;="&amp;$C$7,BD!$A$3:$A$5001,"&lt;="&amp;$B148,BD!$V$3:$V$5001,"&lt;&gt;"))))</f>
        <v/>
      </c>
      <c r="H148" s="43" t="str">
        <f>IF(OR($B148="",$A148&gt;$B$9,H$136=""),"",IF(COUNTIFS(BD!$B$3:$B$5001,H$136,BD!$A$3:$A$5001,"&gt;="&amp;$C$7,BD!$A$3:$A$5001,"&lt;="&amp;$B148,BD!$V$3:$V$5001,"&lt;&gt;")=0,"",SUMIFS(BD!$V$3:$V$5001,BD!$B$3:$B$5001,H$136,BD!$A$3:$A$5001,_xlfn.MAXIFS(BD!$A$3:$A$5001,BD!$B$3:$B$5001,H$136,BD!$A$3:$A$5001,"&gt;="&amp;$C$7,BD!$A$3:$A$5001,"&lt;="&amp;$B148,BD!$V$3:$V$5001,"&lt;&gt;"))))</f>
        <v/>
      </c>
      <c r="I148" s="43" t="str">
        <f>IF(OR($B148="",$A148&gt;$B$9,I$136=""),"",IF(COUNTIFS(BD!$B$3:$B$5001,I$136,BD!$A$3:$A$5001,"&gt;="&amp;$C$7,BD!$A$3:$A$5001,"&lt;="&amp;$B148,BD!$V$3:$V$5001,"&lt;&gt;")=0,"",SUMIFS(BD!$V$3:$V$5001,BD!$B$3:$B$5001,I$136,BD!$A$3:$A$5001,_xlfn.MAXIFS(BD!$A$3:$A$5001,BD!$B$3:$B$5001,I$136,BD!$A$3:$A$5001,"&gt;="&amp;$C$7,BD!$A$3:$A$5001,"&lt;="&amp;$B148,BD!$V$3:$V$5001,"&lt;&gt;"))))</f>
        <v/>
      </c>
      <c r="J148" s="43" t="str">
        <f>IF(OR($B148="",$A148&gt;$B$9,J$136=""),"",IF(COUNTIFS(BD!$B$3:$B$5001,J$136,BD!$A$3:$A$5001,"&gt;="&amp;$C$7,BD!$A$3:$A$5001,"&lt;="&amp;$B148,BD!$V$3:$V$5001,"&lt;&gt;")=0,"",SUMIFS(BD!$V$3:$V$5001,BD!$B$3:$B$5001,J$136,BD!$A$3:$A$5001,_xlfn.MAXIFS(BD!$A$3:$A$5001,BD!$B$3:$B$5001,J$136,BD!$A$3:$A$5001,"&gt;="&amp;$C$7,BD!$A$3:$A$5001,"&lt;="&amp;$B148,BD!$V$3:$V$5001,"&lt;&gt;"))))</f>
        <v/>
      </c>
      <c r="K148" s="43" t="str">
        <f>IF(OR($B148="",$A148&gt;$B$9,K$136=""),"",IF(COUNTIFS(BD!$B$3:$B$5001,K$136,BD!$A$3:$A$5001,"&gt;="&amp;$C$7,BD!$A$3:$A$5001,"&lt;="&amp;$B148,BD!$V$3:$V$5001,"&lt;&gt;")=0,"",SUMIFS(BD!$V$3:$V$5001,BD!$B$3:$B$5001,K$136,BD!$A$3:$A$5001,_xlfn.MAXIFS(BD!$A$3:$A$5001,BD!$B$3:$B$5001,K$136,BD!$A$3:$A$5001,"&gt;="&amp;$C$7,BD!$A$3:$A$5001,"&lt;="&amp;$B148,BD!$V$3:$V$5001,"&lt;&gt;"))))</f>
        <v/>
      </c>
      <c r="L148" s="43" t="str">
        <f>IF(OR($B148="",$A148&gt;$B$9,L$136=""),"",IF(COUNTIFS(BD!$B$3:$B$5001,L$136,BD!$A$3:$A$5001,"&gt;="&amp;$C$7,BD!$A$3:$A$5001,"&lt;="&amp;$B148,BD!$V$3:$V$5001,"&lt;&gt;")=0,"",SUMIFS(BD!$V$3:$V$5001,BD!$B$3:$B$5001,L$136,BD!$A$3:$A$5001,_xlfn.MAXIFS(BD!$A$3:$A$5001,BD!$B$3:$B$5001,L$136,BD!$A$3:$A$5001,"&gt;="&amp;$C$7,BD!$A$3:$A$5001,"&lt;="&amp;$B148,BD!$V$3:$V$5001,"&lt;&gt;"))))</f>
        <v/>
      </c>
      <c r="M148" s="43" t="str">
        <f>IF(OR($B148="",$A148&gt;$B$9,M$136=""),"",IF(COUNTIFS(BD!$B$3:$B$5001,M$136,BD!$A$3:$A$5001,"&gt;="&amp;$C$7,BD!$A$3:$A$5001,"&lt;="&amp;$B148,BD!$V$3:$V$5001,"&lt;&gt;")=0,"",SUMIFS(BD!$V$3:$V$5001,BD!$B$3:$B$5001,M$136,BD!$A$3:$A$5001,_xlfn.MAXIFS(BD!$A$3:$A$5001,BD!$B$3:$B$5001,M$136,BD!$A$3:$A$5001,"&gt;="&amp;$C$7,BD!$A$3:$A$5001,"&lt;="&amp;$B148,BD!$V$3:$V$5001,"&lt;&gt;"))))</f>
        <v/>
      </c>
      <c r="N148" s="43" t="str">
        <f>IF(OR($B148="",$A148&gt;$B$9,N$136=""),"",IF(COUNTIFS(BD!$B$3:$B$5001,N$136,BD!$A$3:$A$5001,"&gt;="&amp;$C$7,BD!$A$3:$A$5001,"&lt;="&amp;$B148,BD!$V$3:$V$5001,"&lt;&gt;")=0,"",SUMIFS(BD!$V$3:$V$5001,BD!$B$3:$B$5001,N$136,BD!$A$3:$A$5001,_xlfn.MAXIFS(BD!$A$3:$A$5001,BD!$B$3:$B$5001,N$136,BD!$A$3:$A$5001,"&gt;="&amp;$C$7,BD!$A$3:$A$5001,"&lt;="&amp;$B148,BD!$V$3:$V$5001,"&lt;&gt;"))))</f>
        <v/>
      </c>
      <c r="O148" s="43" t="str">
        <f>IF(OR($B148="",$A148&gt;$B$9,O$136=""),"",IF(COUNTIFS(BD!$B$3:$B$5001,O$136,BD!$A$3:$A$5001,"&gt;="&amp;$C$7,BD!$A$3:$A$5001,"&lt;="&amp;$B148,BD!$V$3:$V$5001,"&lt;&gt;")=0,"",SUMIFS(BD!$V$3:$V$5001,BD!$B$3:$B$5001,O$136,BD!$A$3:$A$5001,_xlfn.MAXIFS(BD!$A$3:$A$5001,BD!$B$3:$B$5001,O$136,BD!$A$3:$A$5001,"&gt;="&amp;$C$7,BD!$A$3:$A$5001,"&lt;="&amp;$B148,BD!$V$3:$V$5001,"&lt;&gt;"))))</f>
        <v/>
      </c>
      <c r="P148" s="43" t="str">
        <f>IF(OR($B148="",$A148&gt;$B$9,P$136=""),"",IF(COUNTIFS(BD!$B$3:$B$5001,P$136,BD!$A$3:$A$5001,"&gt;="&amp;$C$7,BD!$A$3:$A$5001,"&lt;="&amp;$B148,BD!$V$3:$V$5001,"&lt;&gt;")=0,"",SUMIFS(BD!$V$3:$V$5001,BD!$B$3:$B$5001,P$136,BD!$A$3:$A$5001,_xlfn.MAXIFS(BD!$A$3:$A$5001,BD!$B$3:$B$5001,P$136,BD!$A$3:$A$5001,"&gt;="&amp;$C$7,BD!$A$3:$A$5001,"&lt;="&amp;$B148,BD!$V$3:$V$5001,"&lt;&gt;"))))</f>
        <v/>
      </c>
      <c r="Q148" s="43" t="str">
        <f>IF(OR($B148="",$A148&gt;$B$9,Q$136=""),"",IF(COUNTIFS(BD!$B$3:$B$5001,Q$136,BD!$A$3:$A$5001,"&gt;="&amp;$C$7,BD!$A$3:$A$5001,"&lt;="&amp;$B148,BD!$V$3:$V$5001,"&lt;&gt;")=0,"",SUMIFS(BD!$V$3:$V$5001,BD!$B$3:$B$5001,Q$136,BD!$A$3:$A$5001,_xlfn.MAXIFS(BD!$A$3:$A$5001,BD!$B$3:$B$5001,Q$136,BD!$A$3:$A$5001,"&gt;="&amp;$C$7,BD!$A$3:$A$5001,"&lt;="&amp;$B148,BD!$V$3:$V$5001,"&lt;&gt;"))))</f>
        <v/>
      </c>
      <c r="R148" s="43" t="str">
        <f>IF(OR($B148="",$A148&gt;$B$9,R$136=""),"",IF(COUNTIFS(BD!$B$3:$B$5001,R$136,BD!$A$3:$A$5001,"&gt;="&amp;$C$7,BD!$A$3:$A$5001,"&lt;="&amp;$B148,BD!$V$3:$V$5001,"&lt;&gt;")=0,"",SUMIFS(BD!$V$3:$V$5001,BD!$B$3:$B$5001,R$136,BD!$A$3:$A$5001,_xlfn.MAXIFS(BD!$A$3:$A$5001,BD!$B$3:$B$5001,R$136,BD!$A$3:$A$5001,"&gt;="&amp;$C$7,BD!$A$3:$A$5001,"&lt;="&amp;$B148,BD!$V$3:$V$5001,"&lt;&gt;"))))</f>
        <v/>
      </c>
      <c r="S148" s="43" t="str">
        <f>IF(OR($B148="",$A148&gt;$B$9,S$136=""),"",IF(COUNTIFS(BD!$B$3:$B$5001,S$136,BD!$A$3:$A$5001,"&gt;="&amp;$C$7,BD!$A$3:$A$5001,"&lt;="&amp;$B148,BD!$V$3:$V$5001,"&lt;&gt;")=0,"",SUMIFS(BD!$V$3:$V$5001,BD!$B$3:$B$5001,S$136,BD!$A$3:$A$5001,_xlfn.MAXIFS(BD!$A$3:$A$5001,BD!$B$3:$B$5001,S$136,BD!$A$3:$A$5001,"&gt;="&amp;$C$7,BD!$A$3:$A$5001,"&lt;="&amp;$B148,BD!$V$3:$V$5001,"&lt;&gt;"))))</f>
        <v/>
      </c>
      <c r="T148" s="43" t="str">
        <f>IF(OR($B148="",$A148&gt;$B$9,T$136=""),"",IF(COUNTIFS(BD!$B$3:$B$5001,T$136,BD!$A$3:$A$5001,"&gt;="&amp;$C$7,BD!$A$3:$A$5001,"&lt;="&amp;$B148,BD!$V$3:$V$5001,"&lt;&gt;")=0,"",SUMIFS(BD!$V$3:$V$5001,BD!$B$3:$B$5001,T$136,BD!$A$3:$A$5001,_xlfn.MAXIFS(BD!$A$3:$A$5001,BD!$B$3:$B$5001,T$136,BD!$A$3:$A$5001,"&gt;="&amp;$C$7,BD!$A$3:$A$5001,"&lt;="&amp;$B148,BD!$V$3:$V$5001,"&lt;&gt;"))))</f>
        <v/>
      </c>
      <c r="U148" s="43" t="str">
        <f>IF(OR($B148="",$A148&gt;$B$9,U$136=""),"",IF(COUNTIFS(BD!$B$3:$B$5001,U$136,BD!$A$3:$A$5001,"&gt;="&amp;$C$7,BD!$A$3:$A$5001,"&lt;="&amp;$B148,BD!$V$3:$V$5001,"&lt;&gt;")=0,"",SUMIFS(BD!$V$3:$V$5001,BD!$B$3:$B$5001,U$136,BD!$A$3:$A$5001,_xlfn.MAXIFS(BD!$A$3:$A$5001,BD!$B$3:$B$5001,U$136,BD!$A$3:$A$5001,"&gt;="&amp;$C$7,BD!$A$3:$A$5001,"&lt;="&amp;$B148,BD!$V$3:$V$5001,"&lt;&gt;"))))</f>
        <v/>
      </c>
      <c r="V148" s="43" t="str">
        <f>IF(OR($B148="",$A148&gt;$B$9,V$136=""),"",IF(COUNTIFS(BD!$B$3:$B$5001,V$136,BD!$A$3:$A$5001,"&gt;="&amp;$C$7,BD!$A$3:$A$5001,"&lt;="&amp;$B148,BD!$V$3:$V$5001,"&lt;&gt;")=0,"",SUMIFS(BD!$V$3:$V$5001,BD!$B$3:$B$5001,V$136,BD!$A$3:$A$5001,_xlfn.MAXIFS(BD!$A$3:$A$5001,BD!$B$3:$B$5001,V$136,BD!$A$3:$A$5001,"&gt;="&amp;$C$7,BD!$A$3:$A$5001,"&lt;="&amp;$B148,BD!$V$3:$V$5001,"&lt;&gt;"))))</f>
        <v/>
      </c>
    </row>
    <row r="149">
      <c r="A149" s="38">
        <v>13</v>
      </c>
      <c r="B149" s="42">
        <f>$B$24</f>
        <v>46308</v>
      </c>
      <c r="C149" s="43" t="str">
        <f>IF(OR($B149="",$A149&gt;$B$9,C$136=""),"",IF(COUNTIFS(BD!$B$3:$B$5001,C$136,BD!$A$3:$A$5001,"&gt;="&amp;$C$7,BD!$A$3:$A$5001,"&lt;="&amp;$B149,BD!$V$3:$V$5001,"&lt;&gt;")=0,"",SUMIFS(BD!$V$3:$V$5001,BD!$B$3:$B$5001,C$136,BD!$A$3:$A$5001,_xlfn.MAXIFS(BD!$A$3:$A$5001,BD!$B$3:$B$5001,C$136,BD!$A$3:$A$5001,"&gt;="&amp;$C$7,BD!$A$3:$A$5001,"&lt;="&amp;$B149,BD!$V$3:$V$5001,"&lt;&gt;"))))</f>
        <v/>
      </c>
      <c r="D149" s="43" t="str">
        <f>IF(OR($B149="",$A149&gt;$B$9,D$136=""),"",IF(COUNTIFS(BD!$B$3:$B$5001,D$136,BD!$A$3:$A$5001,"&gt;="&amp;$C$7,BD!$A$3:$A$5001,"&lt;="&amp;$B149,BD!$V$3:$V$5001,"&lt;&gt;")=0,"",SUMIFS(BD!$V$3:$V$5001,BD!$B$3:$B$5001,D$136,BD!$A$3:$A$5001,_xlfn.MAXIFS(BD!$A$3:$A$5001,BD!$B$3:$B$5001,D$136,BD!$A$3:$A$5001,"&gt;="&amp;$C$7,BD!$A$3:$A$5001,"&lt;="&amp;$B149,BD!$V$3:$V$5001,"&lt;&gt;"))))</f>
        <v/>
      </c>
      <c r="E149" s="43" t="str">
        <f>IF(OR($B149="",$A149&gt;$B$9,E$136=""),"",IF(COUNTIFS(BD!$B$3:$B$5001,E$136,BD!$A$3:$A$5001,"&gt;="&amp;$C$7,BD!$A$3:$A$5001,"&lt;="&amp;$B149,BD!$V$3:$V$5001,"&lt;&gt;")=0,"",SUMIFS(BD!$V$3:$V$5001,BD!$B$3:$B$5001,E$136,BD!$A$3:$A$5001,_xlfn.MAXIFS(BD!$A$3:$A$5001,BD!$B$3:$B$5001,E$136,BD!$A$3:$A$5001,"&gt;="&amp;$C$7,BD!$A$3:$A$5001,"&lt;="&amp;$B149,BD!$V$3:$V$5001,"&lt;&gt;"))))</f>
        <v/>
      </c>
      <c r="F149" s="43" t="str">
        <f>IF(OR($B149="",$A149&gt;$B$9,F$136=""),"",IF(COUNTIFS(BD!$B$3:$B$5001,F$136,BD!$A$3:$A$5001,"&gt;="&amp;$C$7,BD!$A$3:$A$5001,"&lt;="&amp;$B149,BD!$V$3:$V$5001,"&lt;&gt;")=0,"",SUMIFS(BD!$V$3:$V$5001,BD!$B$3:$B$5001,F$136,BD!$A$3:$A$5001,_xlfn.MAXIFS(BD!$A$3:$A$5001,BD!$B$3:$B$5001,F$136,BD!$A$3:$A$5001,"&gt;="&amp;$C$7,BD!$A$3:$A$5001,"&lt;="&amp;$B149,BD!$V$3:$V$5001,"&lt;&gt;"))))</f>
        <v/>
      </c>
      <c r="G149" s="43" t="str">
        <f>IF(OR($B149="",$A149&gt;$B$9,G$136=""),"",IF(COUNTIFS(BD!$B$3:$B$5001,G$136,BD!$A$3:$A$5001,"&gt;="&amp;$C$7,BD!$A$3:$A$5001,"&lt;="&amp;$B149,BD!$V$3:$V$5001,"&lt;&gt;")=0,"",SUMIFS(BD!$V$3:$V$5001,BD!$B$3:$B$5001,G$136,BD!$A$3:$A$5001,_xlfn.MAXIFS(BD!$A$3:$A$5001,BD!$B$3:$B$5001,G$136,BD!$A$3:$A$5001,"&gt;="&amp;$C$7,BD!$A$3:$A$5001,"&lt;="&amp;$B149,BD!$V$3:$V$5001,"&lt;&gt;"))))</f>
        <v/>
      </c>
      <c r="H149" s="43" t="str">
        <f>IF(OR($B149="",$A149&gt;$B$9,H$136=""),"",IF(COUNTIFS(BD!$B$3:$B$5001,H$136,BD!$A$3:$A$5001,"&gt;="&amp;$C$7,BD!$A$3:$A$5001,"&lt;="&amp;$B149,BD!$V$3:$V$5001,"&lt;&gt;")=0,"",SUMIFS(BD!$V$3:$V$5001,BD!$B$3:$B$5001,H$136,BD!$A$3:$A$5001,_xlfn.MAXIFS(BD!$A$3:$A$5001,BD!$B$3:$B$5001,H$136,BD!$A$3:$A$5001,"&gt;="&amp;$C$7,BD!$A$3:$A$5001,"&lt;="&amp;$B149,BD!$V$3:$V$5001,"&lt;&gt;"))))</f>
        <v/>
      </c>
      <c r="I149" s="43" t="str">
        <f>IF(OR($B149="",$A149&gt;$B$9,I$136=""),"",IF(COUNTIFS(BD!$B$3:$B$5001,I$136,BD!$A$3:$A$5001,"&gt;="&amp;$C$7,BD!$A$3:$A$5001,"&lt;="&amp;$B149,BD!$V$3:$V$5001,"&lt;&gt;")=0,"",SUMIFS(BD!$V$3:$V$5001,BD!$B$3:$B$5001,I$136,BD!$A$3:$A$5001,_xlfn.MAXIFS(BD!$A$3:$A$5001,BD!$B$3:$B$5001,I$136,BD!$A$3:$A$5001,"&gt;="&amp;$C$7,BD!$A$3:$A$5001,"&lt;="&amp;$B149,BD!$V$3:$V$5001,"&lt;&gt;"))))</f>
        <v/>
      </c>
      <c r="J149" s="43" t="str">
        <f>IF(OR($B149="",$A149&gt;$B$9,J$136=""),"",IF(COUNTIFS(BD!$B$3:$B$5001,J$136,BD!$A$3:$A$5001,"&gt;="&amp;$C$7,BD!$A$3:$A$5001,"&lt;="&amp;$B149,BD!$V$3:$V$5001,"&lt;&gt;")=0,"",SUMIFS(BD!$V$3:$V$5001,BD!$B$3:$B$5001,J$136,BD!$A$3:$A$5001,_xlfn.MAXIFS(BD!$A$3:$A$5001,BD!$B$3:$B$5001,J$136,BD!$A$3:$A$5001,"&gt;="&amp;$C$7,BD!$A$3:$A$5001,"&lt;="&amp;$B149,BD!$V$3:$V$5001,"&lt;&gt;"))))</f>
        <v/>
      </c>
      <c r="K149" s="43" t="str">
        <f>IF(OR($B149="",$A149&gt;$B$9,K$136=""),"",IF(COUNTIFS(BD!$B$3:$B$5001,K$136,BD!$A$3:$A$5001,"&gt;="&amp;$C$7,BD!$A$3:$A$5001,"&lt;="&amp;$B149,BD!$V$3:$V$5001,"&lt;&gt;")=0,"",SUMIFS(BD!$V$3:$V$5001,BD!$B$3:$B$5001,K$136,BD!$A$3:$A$5001,_xlfn.MAXIFS(BD!$A$3:$A$5001,BD!$B$3:$B$5001,K$136,BD!$A$3:$A$5001,"&gt;="&amp;$C$7,BD!$A$3:$A$5001,"&lt;="&amp;$B149,BD!$V$3:$V$5001,"&lt;&gt;"))))</f>
        <v/>
      </c>
      <c r="L149" s="43" t="str">
        <f>IF(OR($B149="",$A149&gt;$B$9,L$136=""),"",IF(COUNTIFS(BD!$B$3:$B$5001,L$136,BD!$A$3:$A$5001,"&gt;="&amp;$C$7,BD!$A$3:$A$5001,"&lt;="&amp;$B149,BD!$V$3:$V$5001,"&lt;&gt;")=0,"",SUMIFS(BD!$V$3:$V$5001,BD!$B$3:$B$5001,L$136,BD!$A$3:$A$5001,_xlfn.MAXIFS(BD!$A$3:$A$5001,BD!$B$3:$B$5001,L$136,BD!$A$3:$A$5001,"&gt;="&amp;$C$7,BD!$A$3:$A$5001,"&lt;="&amp;$B149,BD!$V$3:$V$5001,"&lt;&gt;"))))</f>
        <v/>
      </c>
      <c r="M149" s="43" t="str">
        <f>IF(OR($B149="",$A149&gt;$B$9,M$136=""),"",IF(COUNTIFS(BD!$B$3:$B$5001,M$136,BD!$A$3:$A$5001,"&gt;="&amp;$C$7,BD!$A$3:$A$5001,"&lt;="&amp;$B149,BD!$V$3:$V$5001,"&lt;&gt;")=0,"",SUMIFS(BD!$V$3:$V$5001,BD!$B$3:$B$5001,M$136,BD!$A$3:$A$5001,_xlfn.MAXIFS(BD!$A$3:$A$5001,BD!$B$3:$B$5001,M$136,BD!$A$3:$A$5001,"&gt;="&amp;$C$7,BD!$A$3:$A$5001,"&lt;="&amp;$B149,BD!$V$3:$V$5001,"&lt;&gt;"))))</f>
        <v/>
      </c>
      <c r="N149" s="43" t="str">
        <f>IF(OR($B149="",$A149&gt;$B$9,N$136=""),"",IF(COUNTIFS(BD!$B$3:$B$5001,N$136,BD!$A$3:$A$5001,"&gt;="&amp;$C$7,BD!$A$3:$A$5001,"&lt;="&amp;$B149,BD!$V$3:$V$5001,"&lt;&gt;")=0,"",SUMIFS(BD!$V$3:$V$5001,BD!$B$3:$B$5001,N$136,BD!$A$3:$A$5001,_xlfn.MAXIFS(BD!$A$3:$A$5001,BD!$B$3:$B$5001,N$136,BD!$A$3:$A$5001,"&gt;="&amp;$C$7,BD!$A$3:$A$5001,"&lt;="&amp;$B149,BD!$V$3:$V$5001,"&lt;&gt;"))))</f>
        <v/>
      </c>
      <c r="O149" s="43" t="str">
        <f>IF(OR($B149="",$A149&gt;$B$9,O$136=""),"",IF(COUNTIFS(BD!$B$3:$B$5001,O$136,BD!$A$3:$A$5001,"&gt;="&amp;$C$7,BD!$A$3:$A$5001,"&lt;="&amp;$B149,BD!$V$3:$V$5001,"&lt;&gt;")=0,"",SUMIFS(BD!$V$3:$V$5001,BD!$B$3:$B$5001,O$136,BD!$A$3:$A$5001,_xlfn.MAXIFS(BD!$A$3:$A$5001,BD!$B$3:$B$5001,O$136,BD!$A$3:$A$5001,"&gt;="&amp;$C$7,BD!$A$3:$A$5001,"&lt;="&amp;$B149,BD!$V$3:$V$5001,"&lt;&gt;"))))</f>
        <v/>
      </c>
      <c r="P149" s="43" t="str">
        <f>IF(OR($B149="",$A149&gt;$B$9,P$136=""),"",IF(COUNTIFS(BD!$B$3:$B$5001,P$136,BD!$A$3:$A$5001,"&gt;="&amp;$C$7,BD!$A$3:$A$5001,"&lt;="&amp;$B149,BD!$V$3:$V$5001,"&lt;&gt;")=0,"",SUMIFS(BD!$V$3:$V$5001,BD!$B$3:$B$5001,P$136,BD!$A$3:$A$5001,_xlfn.MAXIFS(BD!$A$3:$A$5001,BD!$B$3:$B$5001,P$136,BD!$A$3:$A$5001,"&gt;="&amp;$C$7,BD!$A$3:$A$5001,"&lt;="&amp;$B149,BD!$V$3:$V$5001,"&lt;&gt;"))))</f>
        <v/>
      </c>
      <c r="Q149" s="43" t="str">
        <f>IF(OR($B149="",$A149&gt;$B$9,Q$136=""),"",IF(COUNTIFS(BD!$B$3:$B$5001,Q$136,BD!$A$3:$A$5001,"&gt;="&amp;$C$7,BD!$A$3:$A$5001,"&lt;="&amp;$B149,BD!$V$3:$V$5001,"&lt;&gt;")=0,"",SUMIFS(BD!$V$3:$V$5001,BD!$B$3:$B$5001,Q$136,BD!$A$3:$A$5001,_xlfn.MAXIFS(BD!$A$3:$A$5001,BD!$B$3:$B$5001,Q$136,BD!$A$3:$A$5001,"&gt;="&amp;$C$7,BD!$A$3:$A$5001,"&lt;="&amp;$B149,BD!$V$3:$V$5001,"&lt;&gt;"))))</f>
        <v/>
      </c>
      <c r="R149" s="43" t="str">
        <f>IF(OR($B149="",$A149&gt;$B$9,R$136=""),"",IF(COUNTIFS(BD!$B$3:$B$5001,R$136,BD!$A$3:$A$5001,"&gt;="&amp;$C$7,BD!$A$3:$A$5001,"&lt;="&amp;$B149,BD!$V$3:$V$5001,"&lt;&gt;")=0,"",SUMIFS(BD!$V$3:$V$5001,BD!$B$3:$B$5001,R$136,BD!$A$3:$A$5001,_xlfn.MAXIFS(BD!$A$3:$A$5001,BD!$B$3:$B$5001,R$136,BD!$A$3:$A$5001,"&gt;="&amp;$C$7,BD!$A$3:$A$5001,"&lt;="&amp;$B149,BD!$V$3:$V$5001,"&lt;&gt;"))))</f>
        <v/>
      </c>
      <c r="S149" s="43" t="str">
        <f>IF(OR($B149="",$A149&gt;$B$9,S$136=""),"",IF(COUNTIFS(BD!$B$3:$B$5001,S$136,BD!$A$3:$A$5001,"&gt;="&amp;$C$7,BD!$A$3:$A$5001,"&lt;="&amp;$B149,BD!$V$3:$V$5001,"&lt;&gt;")=0,"",SUMIFS(BD!$V$3:$V$5001,BD!$B$3:$B$5001,S$136,BD!$A$3:$A$5001,_xlfn.MAXIFS(BD!$A$3:$A$5001,BD!$B$3:$B$5001,S$136,BD!$A$3:$A$5001,"&gt;="&amp;$C$7,BD!$A$3:$A$5001,"&lt;="&amp;$B149,BD!$V$3:$V$5001,"&lt;&gt;"))))</f>
        <v/>
      </c>
      <c r="T149" s="43" t="str">
        <f>IF(OR($B149="",$A149&gt;$B$9,T$136=""),"",IF(COUNTIFS(BD!$B$3:$B$5001,T$136,BD!$A$3:$A$5001,"&gt;="&amp;$C$7,BD!$A$3:$A$5001,"&lt;="&amp;$B149,BD!$V$3:$V$5001,"&lt;&gt;")=0,"",SUMIFS(BD!$V$3:$V$5001,BD!$B$3:$B$5001,T$136,BD!$A$3:$A$5001,_xlfn.MAXIFS(BD!$A$3:$A$5001,BD!$B$3:$B$5001,T$136,BD!$A$3:$A$5001,"&gt;="&amp;$C$7,BD!$A$3:$A$5001,"&lt;="&amp;$B149,BD!$V$3:$V$5001,"&lt;&gt;"))))</f>
        <v/>
      </c>
      <c r="U149" s="43" t="str">
        <f>IF(OR($B149="",$A149&gt;$B$9,U$136=""),"",IF(COUNTIFS(BD!$B$3:$B$5001,U$136,BD!$A$3:$A$5001,"&gt;="&amp;$C$7,BD!$A$3:$A$5001,"&lt;="&amp;$B149,BD!$V$3:$V$5001,"&lt;&gt;")=0,"",SUMIFS(BD!$V$3:$V$5001,BD!$B$3:$B$5001,U$136,BD!$A$3:$A$5001,_xlfn.MAXIFS(BD!$A$3:$A$5001,BD!$B$3:$B$5001,U$136,BD!$A$3:$A$5001,"&gt;="&amp;$C$7,BD!$A$3:$A$5001,"&lt;="&amp;$B149,BD!$V$3:$V$5001,"&lt;&gt;"))))</f>
        <v/>
      </c>
      <c r="V149" s="43" t="str">
        <f>IF(OR($B149="",$A149&gt;$B$9,V$136=""),"",IF(COUNTIFS(BD!$B$3:$B$5001,V$136,BD!$A$3:$A$5001,"&gt;="&amp;$C$7,BD!$A$3:$A$5001,"&lt;="&amp;$B149,BD!$V$3:$V$5001,"&lt;&gt;")=0,"",SUMIFS(BD!$V$3:$V$5001,BD!$B$3:$B$5001,V$136,BD!$A$3:$A$5001,_xlfn.MAXIFS(BD!$A$3:$A$5001,BD!$B$3:$B$5001,V$136,BD!$A$3:$A$5001,"&gt;="&amp;$C$7,BD!$A$3:$A$5001,"&lt;="&amp;$B149,BD!$V$3:$V$5001,"&lt;&gt;"))))</f>
        <v/>
      </c>
    </row>
    <row r="150">
      <c r="A150" s="38">
        <v>14</v>
      </c>
      <c r="B150" s="42">
        <f>$B$25</f>
        <v>46309</v>
      </c>
      <c r="C150" s="43" t="str">
        <f>IF(OR($B150="",$A150&gt;$B$9,C$136=""),"",IF(COUNTIFS(BD!$B$3:$B$5001,C$136,BD!$A$3:$A$5001,"&gt;="&amp;$C$7,BD!$A$3:$A$5001,"&lt;="&amp;$B150,BD!$V$3:$V$5001,"&lt;&gt;")=0,"",SUMIFS(BD!$V$3:$V$5001,BD!$B$3:$B$5001,C$136,BD!$A$3:$A$5001,_xlfn.MAXIFS(BD!$A$3:$A$5001,BD!$B$3:$B$5001,C$136,BD!$A$3:$A$5001,"&gt;="&amp;$C$7,BD!$A$3:$A$5001,"&lt;="&amp;$B150,BD!$V$3:$V$5001,"&lt;&gt;"))))</f>
        <v/>
      </c>
      <c r="D150" s="43" t="str">
        <f>IF(OR($B150="",$A150&gt;$B$9,D$136=""),"",IF(COUNTIFS(BD!$B$3:$B$5001,D$136,BD!$A$3:$A$5001,"&gt;="&amp;$C$7,BD!$A$3:$A$5001,"&lt;="&amp;$B150,BD!$V$3:$V$5001,"&lt;&gt;")=0,"",SUMIFS(BD!$V$3:$V$5001,BD!$B$3:$B$5001,D$136,BD!$A$3:$A$5001,_xlfn.MAXIFS(BD!$A$3:$A$5001,BD!$B$3:$B$5001,D$136,BD!$A$3:$A$5001,"&gt;="&amp;$C$7,BD!$A$3:$A$5001,"&lt;="&amp;$B150,BD!$V$3:$V$5001,"&lt;&gt;"))))</f>
        <v/>
      </c>
      <c r="E150" s="43" t="str">
        <f>IF(OR($B150="",$A150&gt;$B$9,E$136=""),"",IF(COUNTIFS(BD!$B$3:$B$5001,E$136,BD!$A$3:$A$5001,"&gt;="&amp;$C$7,BD!$A$3:$A$5001,"&lt;="&amp;$B150,BD!$V$3:$V$5001,"&lt;&gt;")=0,"",SUMIFS(BD!$V$3:$V$5001,BD!$B$3:$B$5001,E$136,BD!$A$3:$A$5001,_xlfn.MAXIFS(BD!$A$3:$A$5001,BD!$B$3:$B$5001,E$136,BD!$A$3:$A$5001,"&gt;="&amp;$C$7,BD!$A$3:$A$5001,"&lt;="&amp;$B150,BD!$V$3:$V$5001,"&lt;&gt;"))))</f>
        <v/>
      </c>
      <c r="F150" s="43" t="str">
        <f>IF(OR($B150="",$A150&gt;$B$9,F$136=""),"",IF(COUNTIFS(BD!$B$3:$B$5001,F$136,BD!$A$3:$A$5001,"&gt;="&amp;$C$7,BD!$A$3:$A$5001,"&lt;="&amp;$B150,BD!$V$3:$V$5001,"&lt;&gt;")=0,"",SUMIFS(BD!$V$3:$V$5001,BD!$B$3:$B$5001,F$136,BD!$A$3:$A$5001,_xlfn.MAXIFS(BD!$A$3:$A$5001,BD!$B$3:$B$5001,F$136,BD!$A$3:$A$5001,"&gt;="&amp;$C$7,BD!$A$3:$A$5001,"&lt;="&amp;$B150,BD!$V$3:$V$5001,"&lt;&gt;"))))</f>
        <v/>
      </c>
      <c r="G150" s="43" t="str">
        <f>IF(OR($B150="",$A150&gt;$B$9,G$136=""),"",IF(COUNTIFS(BD!$B$3:$B$5001,G$136,BD!$A$3:$A$5001,"&gt;="&amp;$C$7,BD!$A$3:$A$5001,"&lt;="&amp;$B150,BD!$V$3:$V$5001,"&lt;&gt;")=0,"",SUMIFS(BD!$V$3:$V$5001,BD!$B$3:$B$5001,G$136,BD!$A$3:$A$5001,_xlfn.MAXIFS(BD!$A$3:$A$5001,BD!$B$3:$B$5001,G$136,BD!$A$3:$A$5001,"&gt;="&amp;$C$7,BD!$A$3:$A$5001,"&lt;="&amp;$B150,BD!$V$3:$V$5001,"&lt;&gt;"))))</f>
        <v/>
      </c>
      <c r="H150" s="43" t="str">
        <f>IF(OR($B150="",$A150&gt;$B$9,H$136=""),"",IF(COUNTIFS(BD!$B$3:$B$5001,H$136,BD!$A$3:$A$5001,"&gt;="&amp;$C$7,BD!$A$3:$A$5001,"&lt;="&amp;$B150,BD!$V$3:$V$5001,"&lt;&gt;")=0,"",SUMIFS(BD!$V$3:$V$5001,BD!$B$3:$B$5001,H$136,BD!$A$3:$A$5001,_xlfn.MAXIFS(BD!$A$3:$A$5001,BD!$B$3:$B$5001,H$136,BD!$A$3:$A$5001,"&gt;="&amp;$C$7,BD!$A$3:$A$5001,"&lt;="&amp;$B150,BD!$V$3:$V$5001,"&lt;&gt;"))))</f>
        <v/>
      </c>
      <c r="I150" s="43" t="str">
        <f>IF(OR($B150="",$A150&gt;$B$9,I$136=""),"",IF(COUNTIFS(BD!$B$3:$B$5001,I$136,BD!$A$3:$A$5001,"&gt;="&amp;$C$7,BD!$A$3:$A$5001,"&lt;="&amp;$B150,BD!$V$3:$V$5001,"&lt;&gt;")=0,"",SUMIFS(BD!$V$3:$V$5001,BD!$B$3:$B$5001,I$136,BD!$A$3:$A$5001,_xlfn.MAXIFS(BD!$A$3:$A$5001,BD!$B$3:$B$5001,I$136,BD!$A$3:$A$5001,"&gt;="&amp;$C$7,BD!$A$3:$A$5001,"&lt;="&amp;$B150,BD!$V$3:$V$5001,"&lt;&gt;"))))</f>
        <v/>
      </c>
      <c r="J150" s="43" t="str">
        <f>IF(OR($B150="",$A150&gt;$B$9,J$136=""),"",IF(COUNTIFS(BD!$B$3:$B$5001,J$136,BD!$A$3:$A$5001,"&gt;="&amp;$C$7,BD!$A$3:$A$5001,"&lt;="&amp;$B150,BD!$V$3:$V$5001,"&lt;&gt;")=0,"",SUMIFS(BD!$V$3:$V$5001,BD!$B$3:$B$5001,J$136,BD!$A$3:$A$5001,_xlfn.MAXIFS(BD!$A$3:$A$5001,BD!$B$3:$B$5001,J$136,BD!$A$3:$A$5001,"&gt;="&amp;$C$7,BD!$A$3:$A$5001,"&lt;="&amp;$B150,BD!$V$3:$V$5001,"&lt;&gt;"))))</f>
        <v/>
      </c>
      <c r="K150" s="43" t="str">
        <f>IF(OR($B150="",$A150&gt;$B$9,K$136=""),"",IF(COUNTIFS(BD!$B$3:$B$5001,K$136,BD!$A$3:$A$5001,"&gt;="&amp;$C$7,BD!$A$3:$A$5001,"&lt;="&amp;$B150,BD!$V$3:$V$5001,"&lt;&gt;")=0,"",SUMIFS(BD!$V$3:$V$5001,BD!$B$3:$B$5001,K$136,BD!$A$3:$A$5001,_xlfn.MAXIFS(BD!$A$3:$A$5001,BD!$B$3:$B$5001,K$136,BD!$A$3:$A$5001,"&gt;="&amp;$C$7,BD!$A$3:$A$5001,"&lt;="&amp;$B150,BD!$V$3:$V$5001,"&lt;&gt;"))))</f>
        <v/>
      </c>
      <c r="L150" s="43" t="str">
        <f>IF(OR($B150="",$A150&gt;$B$9,L$136=""),"",IF(COUNTIFS(BD!$B$3:$B$5001,L$136,BD!$A$3:$A$5001,"&gt;="&amp;$C$7,BD!$A$3:$A$5001,"&lt;="&amp;$B150,BD!$V$3:$V$5001,"&lt;&gt;")=0,"",SUMIFS(BD!$V$3:$V$5001,BD!$B$3:$B$5001,L$136,BD!$A$3:$A$5001,_xlfn.MAXIFS(BD!$A$3:$A$5001,BD!$B$3:$B$5001,L$136,BD!$A$3:$A$5001,"&gt;="&amp;$C$7,BD!$A$3:$A$5001,"&lt;="&amp;$B150,BD!$V$3:$V$5001,"&lt;&gt;"))))</f>
        <v/>
      </c>
      <c r="M150" s="43" t="str">
        <f>IF(OR($B150="",$A150&gt;$B$9,M$136=""),"",IF(COUNTIFS(BD!$B$3:$B$5001,M$136,BD!$A$3:$A$5001,"&gt;="&amp;$C$7,BD!$A$3:$A$5001,"&lt;="&amp;$B150,BD!$V$3:$V$5001,"&lt;&gt;")=0,"",SUMIFS(BD!$V$3:$V$5001,BD!$B$3:$B$5001,M$136,BD!$A$3:$A$5001,_xlfn.MAXIFS(BD!$A$3:$A$5001,BD!$B$3:$B$5001,M$136,BD!$A$3:$A$5001,"&gt;="&amp;$C$7,BD!$A$3:$A$5001,"&lt;="&amp;$B150,BD!$V$3:$V$5001,"&lt;&gt;"))))</f>
        <v/>
      </c>
      <c r="N150" s="43" t="str">
        <f>IF(OR($B150="",$A150&gt;$B$9,N$136=""),"",IF(COUNTIFS(BD!$B$3:$B$5001,N$136,BD!$A$3:$A$5001,"&gt;="&amp;$C$7,BD!$A$3:$A$5001,"&lt;="&amp;$B150,BD!$V$3:$V$5001,"&lt;&gt;")=0,"",SUMIFS(BD!$V$3:$V$5001,BD!$B$3:$B$5001,N$136,BD!$A$3:$A$5001,_xlfn.MAXIFS(BD!$A$3:$A$5001,BD!$B$3:$B$5001,N$136,BD!$A$3:$A$5001,"&gt;="&amp;$C$7,BD!$A$3:$A$5001,"&lt;="&amp;$B150,BD!$V$3:$V$5001,"&lt;&gt;"))))</f>
        <v/>
      </c>
      <c r="O150" s="43" t="str">
        <f>IF(OR($B150="",$A150&gt;$B$9,O$136=""),"",IF(COUNTIFS(BD!$B$3:$B$5001,O$136,BD!$A$3:$A$5001,"&gt;="&amp;$C$7,BD!$A$3:$A$5001,"&lt;="&amp;$B150,BD!$V$3:$V$5001,"&lt;&gt;")=0,"",SUMIFS(BD!$V$3:$V$5001,BD!$B$3:$B$5001,O$136,BD!$A$3:$A$5001,_xlfn.MAXIFS(BD!$A$3:$A$5001,BD!$B$3:$B$5001,O$136,BD!$A$3:$A$5001,"&gt;="&amp;$C$7,BD!$A$3:$A$5001,"&lt;="&amp;$B150,BD!$V$3:$V$5001,"&lt;&gt;"))))</f>
        <v/>
      </c>
      <c r="P150" s="43" t="str">
        <f>IF(OR($B150="",$A150&gt;$B$9,P$136=""),"",IF(COUNTIFS(BD!$B$3:$B$5001,P$136,BD!$A$3:$A$5001,"&gt;="&amp;$C$7,BD!$A$3:$A$5001,"&lt;="&amp;$B150,BD!$V$3:$V$5001,"&lt;&gt;")=0,"",SUMIFS(BD!$V$3:$V$5001,BD!$B$3:$B$5001,P$136,BD!$A$3:$A$5001,_xlfn.MAXIFS(BD!$A$3:$A$5001,BD!$B$3:$B$5001,P$136,BD!$A$3:$A$5001,"&gt;="&amp;$C$7,BD!$A$3:$A$5001,"&lt;="&amp;$B150,BD!$V$3:$V$5001,"&lt;&gt;"))))</f>
        <v/>
      </c>
      <c r="Q150" s="43" t="str">
        <f>IF(OR($B150="",$A150&gt;$B$9,Q$136=""),"",IF(COUNTIFS(BD!$B$3:$B$5001,Q$136,BD!$A$3:$A$5001,"&gt;="&amp;$C$7,BD!$A$3:$A$5001,"&lt;="&amp;$B150,BD!$V$3:$V$5001,"&lt;&gt;")=0,"",SUMIFS(BD!$V$3:$V$5001,BD!$B$3:$B$5001,Q$136,BD!$A$3:$A$5001,_xlfn.MAXIFS(BD!$A$3:$A$5001,BD!$B$3:$B$5001,Q$136,BD!$A$3:$A$5001,"&gt;="&amp;$C$7,BD!$A$3:$A$5001,"&lt;="&amp;$B150,BD!$V$3:$V$5001,"&lt;&gt;"))))</f>
        <v/>
      </c>
      <c r="R150" s="43" t="str">
        <f>IF(OR($B150="",$A150&gt;$B$9,R$136=""),"",IF(COUNTIFS(BD!$B$3:$B$5001,R$136,BD!$A$3:$A$5001,"&gt;="&amp;$C$7,BD!$A$3:$A$5001,"&lt;="&amp;$B150,BD!$V$3:$V$5001,"&lt;&gt;")=0,"",SUMIFS(BD!$V$3:$V$5001,BD!$B$3:$B$5001,R$136,BD!$A$3:$A$5001,_xlfn.MAXIFS(BD!$A$3:$A$5001,BD!$B$3:$B$5001,R$136,BD!$A$3:$A$5001,"&gt;="&amp;$C$7,BD!$A$3:$A$5001,"&lt;="&amp;$B150,BD!$V$3:$V$5001,"&lt;&gt;"))))</f>
        <v/>
      </c>
      <c r="S150" s="43" t="str">
        <f>IF(OR($B150="",$A150&gt;$B$9,S$136=""),"",IF(COUNTIFS(BD!$B$3:$B$5001,S$136,BD!$A$3:$A$5001,"&gt;="&amp;$C$7,BD!$A$3:$A$5001,"&lt;="&amp;$B150,BD!$V$3:$V$5001,"&lt;&gt;")=0,"",SUMIFS(BD!$V$3:$V$5001,BD!$B$3:$B$5001,S$136,BD!$A$3:$A$5001,_xlfn.MAXIFS(BD!$A$3:$A$5001,BD!$B$3:$B$5001,S$136,BD!$A$3:$A$5001,"&gt;="&amp;$C$7,BD!$A$3:$A$5001,"&lt;="&amp;$B150,BD!$V$3:$V$5001,"&lt;&gt;"))))</f>
        <v/>
      </c>
      <c r="T150" s="43" t="str">
        <f>IF(OR($B150="",$A150&gt;$B$9,T$136=""),"",IF(COUNTIFS(BD!$B$3:$B$5001,T$136,BD!$A$3:$A$5001,"&gt;="&amp;$C$7,BD!$A$3:$A$5001,"&lt;="&amp;$B150,BD!$V$3:$V$5001,"&lt;&gt;")=0,"",SUMIFS(BD!$V$3:$V$5001,BD!$B$3:$B$5001,T$136,BD!$A$3:$A$5001,_xlfn.MAXIFS(BD!$A$3:$A$5001,BD!$B$3:$B$5001,T$136,BD!$A$3:$A$5001,"&gt;="&amp;$C$7,BD!$A$3:$A$5001,"&lt;="&amp;$B150,BD!$V$3:$V$5001,"&lt;&gt;"))))</f>
        <v/>
      </c>
      <c r="U150" s="43" t="str">
        <f>IF(OR($B150="",$A150&gt;$B$9,U$136=""),"",IF(COUNTIFS(BD!$B$3:$B$5001,U$136,BD!$A$3:$A$5001,"&gt;="&amp;$C$7,BD!$A$3:$A$5001,"&lt;="&amp;$B150,BD!$V$3:$V$5001,"&lt;&gt;")=0,"",SUMIFS(BD!$V$3:$V$5001,BD!$B$3:$B$5001,U$136,BD!$A$3:$A$5001,_xlfn.MAXIFS(BD!$A$3:$A$5001,BD!$B$3:$B$5001,U$136,BD!$A$3:$A$5001,"&gt;="&amp;$C$7,BD!$A$3:$A$5001,"&lt;="&amp;$B150,BD!$V$3:$V$5001,"&lt;&gt;"))))</f>
        <v/>
      </c>
      <c r="V150" s="43" t="str">
        <f>IF(OR($B150="",$A150&gt;$B$9,V$136=""),"",IF(COUNTIFS(BD!$B$3:$B$5001,V$136,BD!$A$3:$A$5001,"&gt;="&amp;$C$7,BD!$A$3:$A$5001,"&lt;="&amp;$B150,BD!$V$3:$V$5001,"&lt;&gt;")=0,"",SUMIFS(BD!$V$3:$V$5001,BD!$B$3:$B$5001,V$136,BD!$A$3:$A$5001,_xlfn.MAXIFS(BD!$A$3:$A$5001,BD!$B$3:$B$5001,V$136,BD!$A$3:$A$5001,"&gt;="&amp;$C$7,BD!$A$3:$A$5001,"&lt;="&amp;$B150,BD!$V$3:$V$5001,"&lt;&gt;"))))</f>
        <v/>
      </c>
    </row>
    <row r="151">
      <c r="A151" s="38">
        <v>15</v>
      </c>
      <c r="B151" s="42">
        <f>$B$26</f>
        <v>46310</v>
      </c>
      <c r="C151" s="43" t="str">
        <f>IF(OR($B151="",$A151&gt;$B$9,C$136=""),"",IF(COUNTIFS(BD!$B$3:$B$5001,C$136,BD!$A$3:$A$5001,"&gt;="&amp;$C$7,BD!$A$3:$A$5001,"&lt;="&amp;$B151,BD!$V$3:$V$5001,"&lt;&gt;")=0,"",SUMIFS(BD!$V$3:$V$5001,BD!$B$3:$B$5001,C$136,BD!$A$3:$A$5001,_xlfn.MAXIFS(BD!$A$3:$A$5001,BD!$B$3:$B$5001,C$136,BD!$A$3:$A$5001,"&gt;="&amp;$C$7,BD!$A$3:$A$5001,"&lt;="&amp;$B151,BD!$V$3:$V$5001,"&lt;&gt;"))))</f>
        <v/>
      </c>
      <c r="D151" s="43" t="str">
        <f>IF(OR($B151="",$A151&gt;$B$9,D$136=""),"",IF(COUNTIFS(BD!$B$3:$B$5001,D$136,BD!$A$3:$A$5001,"&gt;="&amp;$C$7,BD!$A$3:$A$5001,"&lt;="&amp;$B151,BD!$V$3:$V$5001,"&lt;&gt;")=0,"",SUMIFS(BD!$V$3:$V$5001,BD!$B$3:$B$5001,D$136,BD!$A$3:$A$5001,_xlfn.MAXIFS(BD!$A$3:$A$5001,BD!$B$3:$B$5001,D$136,BD!$A$3:$A$5001,"&gt;="&amp;$C$7,BD!$A$3:$A$5001,"&lt;="&amp;$B151,BD!$V$3:$V$5001,"&lt;&gt;"))))</f>
        <v/>
      </c>
      <c r="E151" s="43" t="str">
        <f>IF(OR($B151="",$A151&gt;$B$9,E$136=""),"",IF(COUNTIFS(BD!$B$3:$B$5001,E$136,BD!$A$3:$A$5001,"&gt;="&amp;$C$7,BD!$A$3:$A$5001,"&lt;="&amp;$B151,BD!$V$3:$V$5001,"&lt;&gt;")=0,"",SUMIFS(BD!$V$3:$V$5001,BD!$B$3:$B$5001,E$136,BD!$A$3:$A$5001,_xlfn.MAXIFS(BD!$A$3:$A$5001,BD!$B$3:$B$5001,E$136,BD!$A$3:$A$5001,"&gt;="&amp;$C$7,BD!$A$3:$A$5001,"&lt;="&amp;$B151,BD!$V$3:$V$5001,"&lt;&gt;"))))</f>
        <v/>
      </c>
      <c r="F151" s="43" t="str">
        <f>IF(OR($B151="",$A151&gt;$B$9,F$136=""),"",IF(COUNTIFS(BD!$B$3:$B$5001,F$136,BD!$A$3:$A$5001,"&gt;="&amp;$C$7,BD!$A$3:$A$5001,"&lt;="&amp;$B151,BD!$V$3:$V$5001,"&lt;&gt;")=0,"",SUMIFS(BD!$V$3:$V$5001,BD!$B$3:$B$5001,F$136,BD!$A$3:$A$5001,_xlfn.MAXIFS(BD!$A$3:$A$5001,BD!$B$3:$B$5001,F$136,BD!$A$3:$A$5001,"&gt;="&amp;$C$7,BD!$A$3:$A$5001,"&lt;="&amp;$B151,BD!$V$3:$V$5001,"&lt;&gt;"))))</f>
        <v/>
      </c>
      <c r="G151" s="43" t="str">
        <f>IF(OR($B151="",$A151&gt;$B$9,G$136=""),"",IF(COUNTIFS(BD!$B$3:$B$5001,G$136,BD!$A$3:$A$5001,"&gt;="&amp;$C$7,BD!$A$3:$A$5001,"&lt;="&amp;$B151,BD!$V$3:$V$5001,"&lt;&gt;")=0,"",SUMIFS(BD!$V$3:$V$5001,BD!$B$3:$B$5001,G$136,BD!$A$3:$A$5001,_xlfn.MAXIFS(BD!$A$3:$A$5001,BD!$B$3:$B$5001,G$136,BD!$A$3:$A$5001,"&gt;="&amp;$C$7,BD!$A$3:$A$5001,"&lt;="&amp;$B151,BD!$V$3:$V$5001,"&lt;&gt;"))))</f>
        <v/>
      </c>
      <c r="H151" s="43" t="str">
        <f>IF(OR($B151="",$A151&gt;$B$9,H$136=""),"",IF(COUNTIFS(BD!$B$3:$B$5001,H$136,BD!$A$3:$A$5001,"&gt;="&amp;$C$7,BD!$A$3:$A$5001,"&lt;="&amp;$B151,BD!$V$3:$V$5001,"&lt;&gt;")=0,"",SUMIFS(BD!$V$3:$V$5001,BD!$B$3:$B$5001,H$136,BD!$A$3:$A$5001,_xlfn.MAXIFS(BD!$A$3:$A$5001,BD!$B$3:$B$5001,H$136,BD!$A$3:$A$5001,"&gt;="&amp;$C$7,BD!$A$3:$A$5001,"&lt;="&amp;$B151,BD!$V$3:$V$5001,"&lt;&gt;"))))</f>
        <v/>
      </c>
      <c r="I151" s="43" t="str">
        <f>IF(OR($B151="",$A151&gt;$B$9,I$136=""),"",IF(COUNTIFS(BD!$B$3:$B$5001,I$136,BD!$A$3:$A$5001,"&gt;="&amp;$C$7,BD!$A$3:$A$5001,"&lt;="&amp;$B151,BD!$V$3:$V$5001,"&lt;&gt;")=0,"",SUMIFS(BD!$V$3:$V$5001,BD!$B$3:$B$5001,I$136,BD!$A$3:$A$5001,_xlfn.MAXIFS(BD!$A$3:$A$5001,BD!$B$3:$B$5001,I$136,BD!$A$3:$A$5001,"&gt;="&amp;$C$7,BD!$A$3:$A$5001,"&lt;="&amp;$B151,BD!$V$3:$V$5001,"&lt;&gt;"))))</f>
        <v/>
      </c>
      <c r="J151" s="43" t="str">
        <f>IF(OR($B151="",$A151&gt;$B$9,J$136=""),"",IF(COUNTIFS(BD!$B$3:$B$5001,J$136,BD!$A$3:$A$5001,"&gt;="&amp;$C$7,BD!$A$3:$A$5001,"&lt;="&amp;$B151,BD!$V$3:$V$5001,"&lt;&gt;")=0,"",SUMIFS(BD!$V$3:$V$5001,BD!$B$3:$B$5001,J$136,BD!$A$3:$A$5001,_xlfn.MAXIFS(BD!$A$3:$A$5001,BD!$B$3:$B$5001,J$136,BD!$A$3:$A$5001,"&gt;="&amp;$C$7,BD!$A$3:$A$5001,"&lt;="&amp;$B151,BD!$V$3:$V$5001,"&lt;&gt;"))))</f>
        <v/>
      </c>
      <c r="K151" s="43" t="str">
        <f>IF(OR($B151="",$A151&gt;$B$9,K$136=""),"",IF(COUNTIFS(BD!$B$3:$B$5001,K$136,BD!$A$3:$A$5001,"&gt;="&amp;$C$7,BD!$A$3:$A$5001,"&lt;="&amp;$B151,BD!$V$3:$V$5001,"&lt;&gt;")=0,"",SUMIFS(BD!$V$3:$V$5001,BD!$B$3:$B$5001,K$136,BD!$A$3:$A$5001,_xlfn.MAXIFS(BD!$A$3:$A$5001,BD!$B$3:$B$5001,K$136,BD!$A$3:$A$5001,"&gt;="&amp;$C$7,BD!$A$3:$A$5001,"&lt;="&amp;$B151,BD!$V$3:$V$5001,"&lt;&gt;"))))</f>
        <v/>
      </c>
      <c r="L151" s="43" t="str">
        <f>IF(OR($B151="",$A151&gt;$B$9,L$136=""),"",IF(COUNTIFS(BD!$B$3:$B$5001,L$136,BD!$A$3:$A$5001,"&gt;="&amp;$C$7,BD!$A$3:$A$5001,"&lt;="&amp;$B151,BD!$V$3:$V$5001,"&lt;&gt;")=0,"",SUMIFS(BD!$V$3:$V$5001,BD!$B$3:$B$5001,L$136,BD!$A$3:$A$5001,_xlfn.MAXIFS(BD!$A$3:$A$5001,BD!$B$3:$B$5001,L$136,BD!$A$3:$A$5001,"&gt;="&amp;$C$7,BD!$A$3:$A$5001,"&lt;="&amp;$B151,BD!$V$3:$V$5001,"&lt;&gt;"))))</f>
        <v/>
      </c>
      <c r="M151" s="43" t="str">
        <f>IF(OR($B151="",$A151&gt;$B$9,M$136=""),"",IF(COUNTIFS(BD!$B$3:$B$5001,M$136,BD!$A$3:$A$5001,"&gt;="&amp;$C$7,BD!$A$3:$A$5001,"&lt;="&amp;$B151,BD!$V$3:$V$5001,"&lt;&gt;")=0,"",SUMIFS(BD!$V$3:$V$5001,BD!$B$3:$B$5001,M$136,BD!$A$3:$A$5001,_xlfn.MAXIFS(BD!$A$3:$A$5001,BD!$B$3:$B$5001,M$136,BD!$A$3:$A$5001,"&gt;="&amp;$C$7,BD!$A$3:$A$5001,"&lt;="&amp;$B151,BD!$V$3:$V$5001,"&lt;&gt;"))))</f>
        <v/>
      </c>
      <c r="N151" s="43" t="str">
        <f>IF(OR($B151="",$A151&gt;$B$9,N$136=""),"",IF(COUNTIFS(BD!$B$3:$B$5001,N$136,BD!$A$3:$A$5001,"&gt;="&amp;$C$7,BD!$A$3:$A$5001,"&lt;="&amp;$B151,BD!$V$3:$V$5001,"&lt;&gt;")=0,"",SUMIFS(BD!$V$3:$V$5001,BD!$B$3:$B$5001,N$136,BD!$A$3:$A$5001,_xlfn.MAXIFS(BD!$A$3:$A$5001,BD!$B$3:$B$5001,N$136,BD!$A$3:$A$5001,"&gt;="&amp;$C$7,BD!$A$3:$A$5001,"&lt;="&amp;$B151,BD!$V$3:$V$5001,"&lt;&gt;"))))</f>
        <v/>
      </c>
      <c r="O151" s="43" t="str">
        <f>IF(OR($B151="",$A151&gt;$B$9,O$136=""),"",IF(COUNTIFS(BD!$B$3:$B$5001,O$136,BD!$A$3:$A$5001,"&gt;="&amp;$C$7,BD!$A$3:$A$5001,"&lt;="&amp;$B151,BD!$V$3:$V$5001,"&lt;&gt;")=0,"",SUMIFS(BD!$V$3:$V$5001,BD!$B$3:$B$5001,O$136,BD!$A$3:$A$5001,_xlfn.MAXIFS(BD!$A$3:$A$5001,BD!$B$3:$B$5001,O$136,BD!$A$3:$A$5001,"&gt;="&amp;$C$7,BD!$A$3:$A$5001,"&lt;="&amp;$B151,BD!$V$3:$V$5001,"&lt;&gt;"))))</f>
        <v/>
      </c>
      <c r="P151" s="43" t="str">
        <f>IF(OR($B151="",$A151&gt;$B$9,P$136=""),"",IF(COUNTIFS(BD!$B$3:$B$5001,P$136,BD!$A$3:$A$5001,"&gt;="&amp;$C$7,BD!$A$3:$A$5001,"&lt;="&amp;$B151,BD!$V$3:$V$5001,"&lt;&gt;")=0,"",SUMIFS(BD!$V$3:$V$5001,BD!$B$3:$B$5001,P$136,BD!$A$3:$A$5001,_xlfn.MAXIFS(BD!$A$3:$A$5001,BD!$B$3:$B$5001,P$136,BD!$A$3:$A$5001,"&gt;="&amp;$C$7,BD!$A$3:$A$5001,"&lt;="&amp;$B151,BD!$V$3:$V$5001,"&lt;&gt;"))))</f>
        <v/>
      </c>
      <c r="Q151" s="43" t="str">
        <f>IF(OR($B151="",$A151&gt;$B$9,Q$136=""),"",IF(COUNTIFS(BD!$B$3:$B$5001,Q$136,BD!$A$3:$A$5001,"&gt;="&amp;$C$7,BD!$A$3:$A$5001,"&lt;="&amp;$B151,BD!$V$3:$V$5001,"&lt;&gt;")=0,"",SUMIFS(BD!$V$3:$V$5001,BD!$B$3:$B$5001,Q$136,BD!$A$3:$A$5001,_xlfn.MAXIFS(BD!$A$3:$A$5001,BD!$B$3:$B$5001,Q$136,BD!$A$3:$A$5001,"&gt;="&amp;$C$7,BD!$A$3:$A$5001,"&lt;="&amp;$B151,BD!$V$3:$V$5001,"&lt;&gt;"))))</f>
        <v/>
      </c>
      <c r="R151" s="43" t="str">
        <f>IF(OR($B151="",$A151&gt;$B$9,R$136=""),"",IF(COUNTIFS(BD!$B$3:$B$5001,R$136,BD!$A$3:$A$5001,"&gt;="&amp;$C$7,BD!$A$3:$A$5001,"&lt;="&amp;$B151,BD!$V$3:$V$5001,"&lt;&gt;")=0,"",SUMIFS(BD!$V$3:$V$5001,BD!$B$3:$B$5001,R$136,BD!$A$3:$A$5001,_xlfn.MAXIFS(BD!$A$3:$A$5001,BD!$B$3:$B$5001,R$136,BD!$A$3:$A$5001,"&gt;="&amp;$C$7,BD!$A$3:$A$5001,"&lt;="&amp;$B151,BD!$V$3:$V$5001,"&lt;&gt;"))))</f>
        <v/>
      </c>
      <c r="S151" s="43" t="str">
        <f>IF(OR($B151="",$A151&gt;$B$9,S$136=""),"",IF(COUNTIFS(BD!$B$3:$B$5001,S$136,BD!$A$3:$A$5001,"&gt;="&amp;$C$7,BD!$A$3:$A$5001,"&lt;="&amp;$B151,BD!$V$3:$V$5001,"&lt;&gt;")=0,"",SUMIFS(BD!$V$3:$V$5001,BD!$B$3:$B$5001,S$136,BD!$A$3:$A$5001,_xlfn.MAXIFS(BD!$A$3:$A$5001,BD!$B$3:$B$5001,S$136,BD!$A$3:$A$5001,"&gt;="&amp;$C$7,BD!$A$3:$A$5001,"&lt;="&amp;$B151,BD!$V$3:$V$5001,"&lt;&gt;"))))</f>
        <v/>
      </c>
      <c r="T151" s="43" t="str">
        <f>IF(OR($B151="",$A151&gt;$B$9,T$136=""),"",IF(COUNTIFS(BD!$B$3:$B$5001,T$136,BD!$A$3:$A$5001,"&gt;="&amp;$C$7,BD!$A$3:$A$5001,"&lt;="&amp;$B151,BD!$V$3:$V$5001,"&lt;&gt;")=0,"",SUMIFS(BD!$V$3:$V$5001,BD!$B$3:$B$5001,T$136,BD!$A$3:$A$5001,_xlfn.MAXIFS(BD!$A$3:$A$5001,BD!$B$3:$B$5001,T$136,BD!$A$3:$A$5001,"&gt;="&amp;$C$7,BD!$A$3:$A$5001,"&lt;="&amp;$B151,BD!$V$3:$V$5001,"&lt;&gt;"))))</f>
        <v/>
      </c>
      <c r="U151" s="43" t="str">
        <f>IF(OR($B151="",$A151&gt;$B$9,U$136=""),"",IF(COUNTIFS(BD!$B$3:$B$5001,U$136,BD!$A$3:$A$5001,"&gt;="&amp;$C$7,BD!$A$3:$A$5001,"&lt;="&amp;$B151,BD!$V$3:$V$5001,"&lt;&gt;")=0,"",SUMIFS(BD!$V$3:$V$5001,BD!$B$3:$B$5001,U$136,BD!$A$3:$A$5001,_xlfn.MAXIFS(BD!$A$3:$A$5001,BD!$B$3:$B$5001,U$136,BD!$A$3:$A$5001,"&gt;="&amp;$C$7,BD!$A$3:$A$5001,"&lt;="&amp;$B151,BD!$V$3:$V$5001,"&lt;&gt;"))))</f>
        <v/>
      </c>
      <c r="V151" s="43" t="str">
        <f>IF(OR($B151="",$A151&gt;$B$9,V$136=""),"",IF(COUNTIFS(BD!$B$3:$B$5001,V$136,BD!$A$3:$A$5001,"&gt;="&amp;$C$7,BD!$A$3:$A$5001,"&lt;="&amp;$B151,BD!$V$3:$V$5001,"&lt;&gt;")=0,"",SUMIFS(BD!$V$3:$V$5001,BD!$B$3:$B$5001,V$136,BD!$A$3:$A$5001,_xlfn.MAXIFS(BD!$A$3:$A$5001,BD!$B$3:$B$5001,V$136,BD!$A$3:$A$5001,"&gt;="&amp;$C$7,BD!$A$3:$A$5001,"&lt;="&amp;$B151,BD!$V$3:$V$5001,"&lt;&gt;"))))</f>
        <v/>
      </c>
    </row>
    <row r="152">
      <c r="A152" s="38">
        <v>16</v>
      </c>
      <c r="B152" s="42">
        <f>$B$27</f>
        <v>46311</v>
      </c>
      <c r="C152" s="43" t="str">
        <f>IF(OR($B152="",$A152&gt;$B$9,C$136=""),"",IF(COUNTIFS(BD!$B$3:$B$5001,C$136,BD!$A$3:$A$5001,"&gt;="&amp;$C$7,BD!$A$3:$A$5001,"&lt;="&amp;$B152,BD!$V$3:$V$5001,"&lt;&gt;")=0,"",SUMIFS(BD!$V$3:$V$5001,BD!$B$3:$B$5001,C$136,BD!$A$3:$A$5001,_xlfn.MAXIFS(BD!$A$3:$A$5001,BD!$B$3:$B$5001,C$136,BD!$A$3:$A$5001,"&gt;="&amp;$C$7,BD!$A$3:$A$5001,"&lt;="&amp;$B152,BD!$V$3:$V$5001,"&lt;&gt;"))))</f>
        <v/>
      </c>
      <c r="D152" s="43" t="str">
        <f>IF(OR($B152="",$A152&gt;$B$9,D$136=""),"",IF(COUNTIFS(BD!$B$3:$B$5001,D$136,BD!$A$3:$A$5001,"&gt;="&amp;$C$7,BD!$A$3:$A$5001,"&lt;="&amp;$B152,BD!$V$3:$V$5001,"&lt;&gt;")=0,"",SUMIFS(BD!$V$3:$V$5001,BD!$B$3:$B$5001,D$136,BD!$A$3:$A$5001,_xlfn.MAXIFS(BD!$A$3:$A$5001,BD!$B$3:$B$5001,D$136,BD!$A$3:$A$5001,"&gt;="&amp;$C$7,BD!$A$3:$A$5001,"&lt;="&amp;$B152,BD!$V$3:$V$5001,"&lt;&gt;"))))</f>
        <v/>
      </c>
      <c r="E152" s="43" t="str">
        <f>IF(OR($B152="",$A152&gt;$B$9,E$136=""),"",IF(COUNTIFS(BD!$B$3:$B$5001,E$136,BD!$A$3:$A$5001,"&gt;="&amp;$C$7,BD!$A$3:$A$5001,"&lt;="&amp;$B152,BD!$V$3:$V$5001,"&lt;&gt;")=0,"",SUMIFS(BD!$V$3:$V$5001,BD!$B$3:$B$5001,E$136,BD!$A$3:$A$5001,_xlfn.MAXIFS(BD!$A$3:$A$5001,BD!$B$3:$B$5001,E$136,BD!$A$3:$A$5001,"&gt;="&amp;$C$7,BD!$A$3:$A$5001,"&lt;="&amp;$B152,BD!$V$3:$V$5001,"&lt;&gt;"))))</f>
        <v/>
      </c>
      <c r="F152" s="43" t="str">
        <f>IF(OR($B152="",$A152&gt;$B$9,F$136=""),"",IF(COUNTIFS(BD!$B$3:$B$5001,F$136,BD!$A$3:$A$5001,"&gt;="&amp;$C$7,BD!$A$3:$A$5001,"&lt;="&amp;$B152,BD!$V$3:$V$5001,"&lt;&gt;")=0,"",SUMIFS(BD!$V$3:$V$5001,BD!$B$3:$B$5001,F$136,BD!$A$3:$A$5001,_xlfn.MAXIFS(BD!$A$3:$A$5001,BD!$B$3:$B$5001,F$136,BD!$A$3:$A$5001,"&gt;="&amp;$C$7,BD!$A$3:$A$5001,"&lt;="&amp;$B152,BD!$V$3:$V$5001,"&lt;&gt;"))))</f>
        <v/>
      </c>
      <c r="G152" s="43" t="str">
        <f>IF(OR($B152="",$A152&gt;$B$9,G$136=""),"",IF(COUNTIFS(BD!$B$3:$B$5001,G$136,BD!$A$3:$A$5001,"&gt;="&amp;$C$7,BD!$A$3:$A$5001,"&lt;="&amp;$B152,BD!$V$3:$V$5001,"&lt;&gt;")=0,"",SUMIFS(BD!$V$3:$V$5001,BD!$B$3:$B$5001,G$136,BD!$A$3:$A$5001,_xlfn.MAXIFS(BD!$A$3:$A$5001,BD!$B$3:$B$5001,G$136,BD!$A$3:$A$5001,"&gt;="&amp;$C$7,BD!$A$3:$A$5001,"&lt;="&amp;$B152,BD!$V$3:$V$5001,"&lt;&gt;"))))</f>
        <v/>
      </c>
      <c r="H152" s="43" t="str">
        <f>IF(OR($B152="",$A152&gt;$B$9,H$136=""),"",IF(COUNTIFS(BD!$B$3:$B$5001,H$136,BD!$A$3:$A$5001,"&gt;="&amp;$C$7,BD!$A$3:$A$5001,"&lt;="&amp;$B152,BD!$V$3:$V$5001,"&lt;&gt;")=0,"",SUMIFS(BD!$V$3:$V$5001,BD!$B$3:$B$5001,H$136,BD!$A$3:$A$5001,_xlfn.MAXIFS(BD!$A$3:$A$5001,BD!$B$3:$B$5001,H$136,BD!$A$3:$A$5001,"&gt;="&amp;$C$7,BD!$A$3:$A$5001,"&lt;="&amp;$B152,BD!$V$3:$V$5001,"&lt;&gt;"))))</f>
        <v/>
      </c>
      <c r="I152" s="43" t="str">
        <f>IF(OR($B152="",$A152&gt;$B$9,I$136=""),"",IF(COUNTIFS(BD!$B$3:$B$5001,I$136,BD!$A$3:$A$5001,"&gt;="&amp;$C$7,BD!$A$3:$A$5001,"&lt;="&amp;$B152,BD!$V$3:$V$5001,"&lt;&gt;")=0,"",SUMIFS(BD!$V$3:$V$5001,BD!$B$3:$B$5001,I$136,BD!$A$3:$A$5001,_xlfn.MAXIFS(BD!$A$3:$A$5001,BD!$B$3:$B$5001,I$136,BD!$A$3:$A$5001,"&gt;="&amp;$C$7,BD!$A$3:$A$5001,"&lt;="&amp;$B152,BD!$V$3:$V$5001,"&lt;&gt;"))))</f>
        <v/>
      </c>
      <c r="J152" s="43" t="str">
        <f>IF(OR($B152="",$A152&gt;$B$9,J$136=""),"",IF(COUNTIFS(BD!$B$3:$B$5001,J$136,BD!$A$3:$A$5001,"&gt;="&amp;$C$7,BD!$A$3:$A$5001,"&lt;="&amp;$B152,BD!$V$3:$V$5001,"&lt;&gt;")=0,"",SUMIFS(BD!$V$3:$V$5001,BD!$B$3:$B$5001,J$136,BD!$A$3:$A$5001,_xlfn.MAXIFS(BD!$A$3:$A$5001,BD!$B$3:$B$5001,J$136,BD!$A$3:$A$5001,"&gt;="&amp;$C$7,BD!$A$3:$A$5001,"&lt;="&amp;$B152,BD!$V$3:$V$5001,"&lt;&gt;"))))</f>
        <v/>
      </c>
      <c r="K152" s="43" t="str">
        <f>IF(OR($B152="",$A152&gt;$B$9,K$136=""),"",IF(COUNTIFS(BD!$B$3:$B$5001,K$136,BD!$A$3:$A$5001,"&gt;="&amp;$C$7,BD!$A$3:$A$5001,"&lt;="&amp;$B152,BD!$V$3:$V$5001,"&lt;&gt;")=0,"",SUMIFS(BD!$V$3:$V$5001,BD!$B$3:$B$5001,K$136,BD!$A$3:$A$5001,_xlfn.MAXIFS(BD!$A$3:$A$5001,BD!$B$3:$B$5001,K$136,BD!$A$3:$A$5001,"&gt;="&amp;$C$7,BD!$A$3:$A$5001,"&lt;="&amp;$B152,BD!$V$3:$V$5001,"&lt;&gt;"))))</f>
        <v/>
      </c>
      <c r="L152" s="43" t="str">
        <f>IF(OR($B152="",$A152&gt;$B$9,L$136=""),"",IF(COUNTIFS(BD!$B$3:$B$5001,L$136,BD!$A$3:$A$5001,"&gt;="&amp;$C$7,BD!$A$3:$A$5001,"&lt;="&amp;$B152,BD!$V$3:$V$5001,"&lt;&gt;")=0,"",SUMIFS(BD!$V$3:$V$5001,BD!$B$3:$B$5001,L$136,BD!$A$3:$A$5001,_xlfn.MAXIFS(BD!$A$3:$A$5001,BD!$B$3:$B$5001,L$136,BD!$A$3:$A$5001,"&gt;="&amp;$C$7,BD!$A$3:$A$5001,"&lt;="&amp;$B152,BD!$V$3:$V$5001,"&lt;&gt;"))))</f>
        <v/>
      </c>
      <c r="M152" s="43" t="str">
        <f>IF(OR($B152="",$A152&gt;$B$9,M$136=""),"",IF(COUNTIFS(BD!$B$3:$B$5001,M$136,BD!$A$3:$A$5001,"&gt;="&amp;$C$7,BD!$A$3:$A$5001,"&lt;="&amp;$B152,BD!$V$3:$V$5001,"&lt;&gt;")=0,"",SUMIFS(BD!$V$3:$V$5001,BD!$B$3:$B$5001,M$136,BD!$A$3:$A$5001,_xlfn.MAXIFS(BD!$A$3:$A$5001,BD!$B$3:$B$5001,M$136,BD!$A$3:$A$5001,"&gt;="&amp;$C$7,BD!$A$3:$A$5001,"&lt;="&amp;$B152,BD!$V$3:$V$5001,"&lt;&gt;"))))</f>
        <v/>
      </c>
      <c r="N152" s="43" t="str">
        <f>IF(OR($B152="",$A152&gt;$B$9,N$136=""),"",IF(COUNTIFS(BD!$B$3:$B$5001,N$136,BD!$A$3:$A$5001,"&gt;="&amp;$C$7,BD!$A$3:$A$5001,"&lt;="&amp;$B152,BD!$V$3:$V$5001,"&lt;&gt;")=0,"",SUMIFS(BD!$V$3:$V$5001,BD!$B$3:$B$5001,N$136,BD!$A$3:$A$5001,_xlfn.MAXIFS(BD!$A$3:$A$5001,BD!$B$3:$B$5001,N$136,BD!$A$3:$A$5001,"&gt;="&amp;$C$7,BD!$A$3:$A$5001,"&lt;="&amp;$B152,BD!$V$3:$V$5001,"&lt;&gt;"))))</f>
        <v/>
      </c>
      <c r="O152" s="43" t="str">
        <f>IF(OR($B152="",$A152&gt;$B$9,O$136=""),"",IF(COUNTIFS(BD!$B$3:$B$5001,O$136,BD!$A$3:$A$5001,"&gt;="&amp;$C$7,BD!$A$3:$A$5001,"&lt;="&amp;$B152,BD!$V$3:$V$5001,"&lt;&gt;")=0,"",SUMIFS(BD!$V$3:$V$5001,BD!$B$3:$B$5001,O$136,BD!$A$3:$A$5001,_xlfn.MAXIFS(BD!$A$3:$A$5001,BD!$B$3:$B$5001,O$136,BD!$A$3:$A$5001,"&gt;="&amp;$C$7,BD!$A$3:$A$5001,"&lt;="&amp;$B152,BD!$V$3:$V$5001,"&lt;&gt;"))))</f>
        <v/>
      </c>
      <c r="P152" s="43" t="str">
        <f>IF(OR($B152="",$A152&gt;$B$9,P$136=""),"",IF(COUNTIFS(BD!$B$3:$B$5001,P$136,BD!$A$3:$A$5001,"&gt;="&amp;$C$7,BD!$A$3:$A$5001,"&lt;="&amp;$B152,BD!$V$3:$V$5001,"&lt;&gt;")=0,"",SUMIFS(BD!$V$3:$V$5001,BD!$B$3:$B$5001,P$136,BD!$A$3:$A$5001,_xlfn.MAXIFS(BD!$A$3:$A$5001,BD!$B$3:$B$5001,P$136,BD!$A$3:$A$5001,"&gt;="&amp;$C$7,BD!$A$3:$A$5001,"&lt;="&amp;$B152,BD!$V$3:$V$5001,"&lt;&gt;"))))</f>
        <v/>
      </c>
      <c r="Q152" s="43" t="str">
        <f>IF(OR($B152="",$A152&gt;$B$9,Q$136=""),"",IF(COUNTIFS(BD!$B$3:$B$5001,Q$136,BD!$A$3:$A$5001,"&gt;="&amp;$C$7,BD!$A$3:$A$5001,"&lt;="&amp;$B152,BD!$V$3:$V$5001,"&lt;&gt;")=0,"",SUMIFS(BD!$V$3:$V$5001,BD!$B$3:$B$5001,Q$136,BD!$A$3:$A$5001,_xlfn.MAXIFS(BD!$A$3:$A$5001,BD!$B$3:$B$5001,Q$136,BD!$A$3:$A$5001,"&gt;="&amp;$C$7,BD!$A$3:$A$5001,"&lt;="&amp;$B152,BD!$V$3:$V$5001,"&lt;&gt;"))))</f>
        <v/>
      </c>
      <c r="R152" s="43" t="str">
        <f>IF(OR($B152="",$A152&gt;$B$9,R$136=""),"",IF(COUNTIFS(BD!$B$3:$B$5001,R$136,BD!$A$3:$A$5001,"&gt;="&amp;$C$7,BD!$A$3:$A$5001,"&lt;="&amp;$B152,BD!$V$3:$V$5001,"&lt;&gt;")=0,"",SUMIFS(BD!$V$3:$V$5001,BD!$B$3:$B$5001,R$136,BD!$A$3:$A$5001,_xlfn.MAXIFS(BD!$A$3:$A$5001,BD!$B$3:$B$5001,R$136,BD!$A$3:$A$5001,"&gt;="&amp;$C$7,BD!$A$3:$A$5001,"&lt;="&amp;$B152,BD!$V$3:$V$5001,"&lt;&gt;"))))</f>
        <v/>
      </c>
      <c r="S152" s="43" t="str">
        <f>IF(OR($B152="",$A152&gt;$B$9,S$136=""),"",IF(COUNTIFS(BD!$B$3:$B$5001,S$136,BD!$A$3:$A$5001,"&gt;="&amp;$C$7,BD!$A$3:$A$5001,"&lt;="&amp;$B152,BD!$V$3:$V$5001,"&lt;&gt;")=0,"",SUMIFS(BD!$V$3:$V$5001,BD!$B$3:$B$5001,S$136,BD!$A$3:$A$5001,_xlfn.MAXIFS(BD!$A$3:$A$5001,BD!$B$3:$B$5001,S$136,BD!$A$3:$A$5001,"&gt;="&amp;$C$7,BD!$A$3:$A$5001,"&lt;="&amp;$B152,BD!$V$3:$V$5001,"&lt;&gt;"))))</f>
        <v/>
      </c>
      <c r="T152" s="43" t="str">
        <f>IF(OR($B152="",$A152&gt;$B$9,T$136=""),"",IF(COUNTIFS(BD!$B$3:$B$5001,T$136,BD!$A$3:$A$5001,"&gt;="&amp;$C$7,BD!$A$3:$A$5001,"&lt;="&amp;$B152,BD!$V$3:$V$5001,"&lt;&gt;")=0,"",SUMIFS(BD!$V$3:$V$5001,BD!$B$3:$B$5001,T$136,BD!$A$3:$A$5001,_xlfn.MAXIFS(BD!$A$3:$A$5001,BD!$B$3:$B$5001,T$136,BD!$A$3:$A$5001,"&gt;="&amp;$C$7,BD!$A$3:$A$5001,"&lt;="&amp;$B152,BD!$V$3:$V$5001,"&lt;&gt;"))))</f>
        <v/>
      </c>
      <c r="U152" s="43" t="str">
        <f>IF(OR($B152="",$A152&gt;$B$9,U$136=""),"",IF(COUNTIFS(BD!$B$3:$B$5001,U$136,BD!$A$3:$A$5001,"&gt;="&amp;$C$7,BD!$A$3:$A$5001,"&lt;="&amp;$B152,BD!$V$3:$V$5001,"&lt;&gt;")=0,"",SUMIFS(BD!$V$3:$V$5001,BD!$B$3:$B$5001,U$136,BD!$A$3:$A$5001,_xlfn.MAXIFS(BD!$A$3:$A$5001,BD!$B$3:$B$5001,U$136,BD!$A$3:$A$5001,"&gt;="&amp;$C$7,BD!$A$3:$A$5001,"&lt;="&amp;$B152,BD!$V$3:$V$5001,"&lt;&gt;"))))</f>
        <v/>
      </c>
      <c r="V152" s="43" t="str">
        <f>IF(OR($B152="",$A152&gt;$B$9,V$136=""),"",IF(COUNTIFS(BD!$B$3:$B$5001,V$136,BD!$A$3:$A$5001,"&gt;="&amp;$C$7,BD!$A$3:$A$5001,"&lt;="&amp;$B152,BD!$V$3:$V$5001,"&lt;&gt;")=0,"",SUMIFS(BD!$V$3:$V$5001,BD!$B$3:$B$5001,V$136,BD!$A$3:$A$5001,_xlfn.MAXIFS(BD!$A$3:$A$5001,BD!$B$3:$B$5001,V$136,BD!$A$3:$A$5001,"&gt;="&amp;$C$7,BD!$A$3:$A$5001,"&lt;="&amp;$B152,BD!$V$3:$V$5001,"&lt;&gt;"))))</f>
        <v/>
      </c>
    </row>
    <row r="153">
      <c r="A153" s="38">
        <v>17</v>
      </c>
      <c r="B153" s="42">
        <f>$B$28</f>
        <v>46312</v>
      </c>
      <c r="C153" s="43" t="str">
        <f>IF(OR($B153="",$A153&gt;$B$9,C$136=""),"",IF(COUNTIFS(BD!$B$3:$B$5001,C$136,BD!$A$3:$A$5001,"&gt;="&amp;$C$7,BD!$A$3:$A$5001,"&lt;="&amp;$B153,BD!$V$3:$V$5001,"&lt;&gt;")=0,"",SUMIFS(BD!$V$3:$V$5001,BD!$B$3:$B$5001,C$136,BD!$A$3:$A$5001,_xlfn.MAXIFS(BD!$A$3:$A$5001,BD!$B$3:$B$5001,C$136,BD!$A$3:$A$5001,"&gt;="&amp;$C$7,BD!$A$3:$A$5001,"&lt;="&amp;$B153,BD!$V$3:$V$5001,"&lt;&gt;"))))</f>
        <v/>
      </c>
      <c r="D153" s="43" t="str">
        <f>IF(OR($B153="",$A153&gt;$B$9,D$136=""),"",IF(COUNTIFS(BD!$B$3:$B$5001,D$136,BD!$A$3:$A$5001,"&gt;="&amp;$C$7,BD!$A$3:$A$5001,"&lt;="&amp;$B153,BD!$V$3:$V$5001,"&lt;&gt;")=0,"",SUMIFS(BD!$V$3:$V$5001,BD!$B$3:$B$5001,D$136,BD!$A$3:$A$5001,_xlfn.MAXIFS(BD!$A$3:$A$5001,BD!$B$3:$B$5001,D$136,BD!$A$3:$A$5001,"&gt;="&amp;$C$7,BD!$A$3:$A$5001,"&lt;="&amp;$B153,BD!$V$3:$V$5001,"&lt;&gt;"))))</f>
        <v/>
      </c>
      <c r="E153" s="43" t="str">
        <f>IF(OR($B153="",$A153&gt;$B$9,E$136=""),"",IF(COUNTIFS(BD!$B$3:$B$5001,E$136,BD!$A$3:$A$5001,"&gt;="&amp;$C$7,BD!$A$3:$A$5001,"&lt;="&amp;$B153,BD!$V$3:$V$5001,"&lt;&gt;")=0,"",SUMIFS(BD!$V$3:$V$5001,BD!$B$3:$B$5001,E$136,BD!$A$3:$A$5001,_xlfn.MAXIFS(BD!$A$3:$A$5001,BD!$B$3:$B$5001,E$136,BD!$A$3:$A$5001,"&gt;="&amp;$C$7,BD!$A$3:$A$5001,"&lt;="&amp;$B153,BD!$V$3:$V$5001,"&lt;&gt;"))))</f>
        <v/>
      </c>
      <c r="F153" s="43" t="str">
        <f>IF(OR($B153="",$A153&gt;$B$9,F$136=""),"",IF(COUNTIFS(BD!$B$3:$B$5001,F$136,BD!$A$3:$A$5001,"&gt;="&amp;$C$7,BD!$A$3:$A$5001,"&lt;="&amp;$B153,BD!$V$3:$V$5001,"&lt;&gt;")=0,"",SUMIFS(BD!$V$3:$V$5001,BD!$B$3:$B$5001,F$136,BD!$A$3:$A$5001,_xlfn.MAXIFS(BD!$A$3:$A$5001,BD!$B$3:$B$5001,F$136,BD!$A$3:$A$5001,"&gt;="&amp;$C$7,BD!$A$3:$A$5001,"&lt;="&amp;$B153,BD!$V$3:$V$5001,"&lt;&gt;"))))</f>
        <v/>
      </c>
      <c r="G153" s="43" t="str">
        <f>IF(OR($B153="",$A153&gt;$B$9,G$136=""),"",IF(COUNTIFS(BD!$B$3:$B$5001,G$136,BD!$A$3:$A$5001,"&gt;="&amp;$C$7,BD!$A$3:$A$5001,"&lt;="&amp;$B153,BD!$V$3:$V$5001,"&lt;&gt;")=0,"",SUMIFS(BD!$V$3:$V$5001,BD!$B$3:$B$5001,G$136,BD!$A$3:$A$5001,_xlfn.MAXIFS(BD!$A$3:$A$5001,BD!$B$3:$B$5001,G$136,BD!$A$3:$A$5001,"&gt;="&amp;$C$7,BD!$A$3:$A$5001,"&lt;="&amp;$B153,BD!$V$3:$V$5001,"&lt;&gt;"))))</f>
        <v/>
      </c>
      <c r="H153" s="43" t="str">
        <f>IF(OR($B153="",$A153&gt;$B$9,H$136=""),"",IF(COUNTIFS(BD!$B$3:$B$5001,H$136,BD!$A$3:$A$5001,"&gt;="&amp;$C$7,BD!$A$3:$A$5001,"&lt;="&amp;$B153,BD!$V$3:$V$5001,"&lt;&gt;")=0,"",SUMIFS(BD!$V$3:$V$5001,BD!$B$3:$B$5001,H$136,BD!$A$3:$A$5001,_xlfn.MAXIFS(BD!$A$3:$A$5001,BD!$B$3:$B$5001,H$136,BD!$A$3:$A$5001,"&gt;="&amp;$C$7,BD!$A$3:$A$5001,"&lt;="&amp;$B153,BD!$V$3:$V$5001,"&lt;&gt;"))))</f>
        <v/>
      </c>
      <c r="I153" s="43" t="str">
        <f>IF(OR($B153="",$A153&gt;$B$9,I$136=""),"",IF(COUNTIFS(BD!$B$3:$B$5001,I$136,BD!$A$3:$A$5001,"&gt;="&amp;$C$7,BD!$A$3:$A$5001,"&lt;="&amp;$B153,BD!$V$3:$V$5001,"&lt;&gt;")=0,"",SUMIFS(BD!$V$3:$V$5001,BD!$B$3:$B$5001,I$136,BD!$A$3:$A$5001,_xlfn.MAXIFS(BD!$A$3:$A$5001,BD!$B$3:$B$5001,I$136,BD!$A$3:$A$5001,"&gt;="&amp;$C$7,BD!$A$3:$A$5001,"&lt;="&amp;$B153,BD!$V$3:$V$5001,"&lt;&gt;"))))</f>
        <v/>
      </c>
      <c r="J153" s="43" t="str">
        <f>IF(OR($B153="",$A153&gt;$B$9,J$136=""),"",IF(COUNTIFS(BD!$B$3:$B$5001,J$136,BD!$A$3:$A$5001,"&gt;="&amp;$C$7,BD!$A$3:$A$5001,"&lt;="&amp;$B153,BD!$V$3:$V$5001,"&lt;&gt;")=0,"",SUMIFS(BD!$V$3:$V$5001,BD!$B$3:$B$5001,J$136,BD!$A$3:$A$5001,_xlfn.MAXIFS(BD!$A$3:$A$5001,BD!$B$3:$B$5001,J$136,BD!$A$3:$A$5001,"&gt;="&amp;$C$7,BD!$A$3:$A$5001,"&lt;="&amp;$B153,BD!$V$3:$V$5001,"&lt;&gt;"))))</f>
        <v/>
      </c>
      <c r="K153" s="43" t="str">
        <f>IF(OR($B153="",$A153&gt;$B$9,K$136=""),"",IF(COUNTIFS(BD!$B$3:$B$5001,K$136,BD!$A$3:$A$5001,"&gt;="&amp;$C$7,BD!$A$3:$A$5001,"&lt;="&amp;$B153,BD!$V$3:$V$5001,"&lt;&gt;")=0,"",SUMIFS(BD!$V$3:$V$5001,BD!$B$3:$B$5001,K$136,BD!$A$3:$A$5001,_xlfn.MAXIFS(BD!$A$3:$A$5001,BD!$B$3:$B$5001,K$136,BD!$A$3:$A$5001,"&gt;="&amp;$C$7,BD!$A$3:$A$5001,"&lt;="&amp;$B153,BD!$V$3:$V$5001,"&lt;&gt;"))))</f>
        <v/>
      </c>
      <c r="L153" s="43" t="str">
        <f>IF(OR($B153="",$A153&gt;$B$9,L$136=""),"",IF(COUNTIFS(BD!$B$3:$B$5001,L$136,BD!$A$3:$A$5001,"&gt;="&amp;$C$7,BD!$A$3:$A$5001,"&lt;="&amp;$B153,BD!$V$3:$V$5001,"&lt;&gt;")=0,"",SUMIFS(BD!$V$3:$V$5001,BD!$B$3:$B$5001,L$136,BD!$A$3:$A$5001,_xlfn.MAXIFS(BD!$A$3:$A$5001,BD!$B$3:$B$5001,L$136,BD!$A$3:$A$5001,"&gt;="&amp;$C$7,BD!$A$3:$A$5001,"&lt;="&amp;$B153,BD!$V$3:$V$5001,"&lt;&gt;"))))</f>
        <v/>
      </c>
      <c r="M153" s="43" t="str">
        <f>IF(OR($B153="",$A153&gt;$B$9,M$136=""),"",IF(COUNTIFS(BD!$B$3:$B$5001,M$136,BD!$A$3:$A$5001,"&gt;="&amp;$C$7,BD!$A$3:$A$5001,"&lt;="&amp;$B153,BD!$V$3:$V$5001,"&lt;&gt;")=0,"",SUMIFS(BD!$V$3:$V$5001,BD!$B$3:$B$5001,M$136,BD!$A$3:$A$5001,_xlfn.MAXIFS(BD!$A$3:$A$5001,BD!$B$3:$B$5001,M$136,BD!$A$3:$A$5001,"&gt;="&amp;$C$7,BD!$A$3:$A$5001,"&lt;="&amp;$B153,BD!$V$3:$V$5001,"&lt;&gt;"))))</f>
        <v/>
      </c>
      <c r="N153" s="43" t="str">
        <f>IF(OR($B153="",$A153&gt;$B$9,N$136=""),"",IF(COUNTIFS(BD!$B$3:$B$5001,N$136,BD!$A$3:$A$5001,"&gt;="&amp;$C$7,BD!$A$3:$A$5001,"&lt;="&amp;$B153,BD!$V$3:$V$5001,"&lt;&gt;")=0,"",SUMIFS(BD!$V$3:$V$5001,BD!$B$3:$B$5001,N$136,BD!$A$3:$A$5001,_xlfn.MAXIFS(BD!$A$3:$A$5001,BD!$B$3:$B$5001,N$136,BD!$A$3:$A$5001,"&gt;="&amp;$C$7,BD!$A$3:$A$5001,"&lt;="&amp;$B153,BD!$V$3:$V$5001,"&lt;&gt;"))))</f>
        <v/>
      </c>
      <c r="O153" s="43" t="str">
        <f>IF(OR($B153="",$A153&gt;$B$9,O$136=""),"",IF(COUNTIFS(BD!$B$3:$B$5001,O$136,BD!$A$3:$A$5001,"&gt;="&amp;$C$7,BD!$A$3:$A$5001,"&lt;="&amp;$B153,BD!$V$3:$V$5001,"&lt;&gt;")=0,"",SUMIFS(BD!$V$3:$V$5001,BD!$B$3:$B$5001,O$136,BD!$A$3:$A$5001,_xlfn.MAXIFS(BD!$A$3:$A$5001,BD!$B$3:$B$5001,O$136,BD!$A$3:$A$5001,"&gt;="&amp;$C$7,BD!$A$3:$A$5001,"&lt;="&amp;$B153,BD!$V$3:$V$5001,"&lt;&gt;"))))</f>
        <v/>
      </c>
      <c r="P153" s="43" t="str">
        <f>IF(OR($B153="",$A153&gt;$B$9,P$136=""),"",IF(COUNTIFS(BD!$B$3:$B$5001,P$136,BD!$A$3:$A$5001,"&gt;="&amp;$C$7,BD!$A$3:$A$5001,"&lt;="&amp;$B153,BD!$V$3:$V$5001,"&lt;&gt;")=0,"",SUMIFS(BD!$V$3:$V$5001,BD!$B$3:$B$5001,P$136,BD!$A$3:$A$5001,_xlfn.MAXIFS(BD!$A$3:$A$5001,BD!$B$3:$B$5001,P$136,BD!$A$3:$A$5001,"&gt;="&amp;$C$7,BD!$A$3:$A$5001,"&lt;="&amp;$B153,BD!$V$3:$V$5001,"&lt;&gt;"))))</f>
        <v/>
      </c>
      <c r="Q153" s="43" t="str">
        <f>IF(OR($B153="",$A153&gt;$B$9,Q$136=""),"",IF(COUNTIFS(BD!$B$3:$B$5001,Q$136,BD!$A$3:$A$5001,"&gt;="&amp;$C$7,BD!$A$3:$A$5001,"&lt;="&amp;$B153,BD!$V$3:$V$5001,"&lt;&gt;")=0,"",SUMIFS(BD!$V$3:$V$5001,BD!$B$3:$B$5001,Q$136,BD!$A$3:$A$5001,_xlfn.MAXIFS(BD!$A$3:$A$5001,BD!$B$3:$B$5001,Q$136,BD!$A$3:$A$5001,"&gt;="&amp;$C$7,BD!$A$3:$A$5001,"&lt;="&amp;$B153,BD!$V$3:$V$5001,"&lt;&gt;"))))</f>
        <v/>
      </c>
      <c r="R153" s="43" t="str">
        <f>IF(OR($B153="",$A153&gt;$B$9,R$136=""),"",IF(COUNTIFS(BD!$B$3:$B$5001,R$136,BD!$A$3:$A$5001,"&gt;="&amp;$C$7,BD!$A$3:$A$5001,"&lt;="&amp;$B153,BD!$V$3:$V$5001,"&lt;&gt;")=0,"",SUMIFS(BD!$V$3:$V$5001,BD!$B$3:$B$5001,R$136,BD!$A$3:$A$5001,_xlfn.MAXIFS(BD!$A$3:$A$5001,BD!$B$3:$B$5001,R$136,BD!$A$3:$A$5001,"&gt;="&amp;$C$7,BD!$A$3:$A$5001,"&lt;="&amp;$B153,BD!$V$3:$V$5001,"&lt;&gt;"))))</f>
        <v/>
      </c>
      <c r="S153" s="43" t="str">
        <f>IF(OR($B153="",$A153&gt;$B$9,S$136=""),"",IF(COUNTIFS(BD!$B$3:$B$5001,S$136,BD!$A$3:$A$5001,"&gt;="&amp;$C$7,BD!$A$3:$A$5001,"&lt;="&amp;$B153,BD!$V$3:$V$5001,"&lt;&gt;")=0,"",SUMIFS(BD!$V$3:$V$5001,BD!$B$3:$B$5001,S$136,BD!$A$3:$A$5001,_xlfn.MAXIFS(BD!$A$3:$A$5001,BD!$B$3:$B$5001,S$136,BD!$A$3:$A$5001,"&gt;="&amp;$C$7,BD!$A$3:$A$5001,"&lt;="&amp;$B153,BD!$V$3:$V$5001,"&lt;&gt;"))))</f>
        <v/>
      </c>
      <c r="T153" s="43" t="str">
        <f>IF(OR($B153="",$A153&gt;$B$9,T$136=""),"",IF(COUNTIFS(BD!$B$3:$B$5001,T$136,BD!$A$3:$A$5001,"&gt;="&amp;$C$7,BD!$A$3:$A$5001,"&lt;="&amp;$B153,BD!$V$3:$V$5001,"&lt;&gt;")=0,"",SUMIFS(BD!$V$3:$V$5001,BD!$B$3:$B$5001,T$136,BD!$A$3:$A$5001,_xlfn.MAXIFS(BD!$A$3:$A$5001,BD!$B$3:$B$5001,T$136,BD!$A$3:$A$5001,"&gt;="&amp;$C$7,BD!$A$3:$A$5001,"&lt;="&amp;$B153,BD!$V$3:$V$5001,"&lt;&gt;"))))</f>
        <v/>
      </c>
      <c r="U153" s="43" t="str">
        <f>IF(OR($B153="",$A153&gt;$B$9,U$136=""),"",IF(COUNTIFS(BD!$B$3:$B$5001,U$136,BD!$A$3:$A$5001,"&gt;="&amp;$C$7,BD!$A$3:$A$5001,"&lt;="&amp;$B153,BD!$V$3:$V$5001,"&lt;&gt;")=0,"",SUMIFS(BD!$V$3:$V$5001,BD!$B$3:$B$5001,U$136,BD!$A$3:$A$5001,_xlfn.MAXIFS(BD!$A$3:$A$5001,BD!$B$3:$B$5001,U$136,BD!$A$3:$A$5001,"&gt;="&amp;$C$7,BD!$A$3:$A$5001,"&lt;="&amp;$B153,BD!$V$3:$V$5001,"&lt;&gt;"))))</f>
        <v/>
      </c>
      <c r="V153" s="43" t="str">
        <f>IF(OR($B153="",$A153&gt;$B$9,V$136=""),"",IF(COUNTIFS(BD!$B$3:$B$5001,V$136,BD!$A$3:$A$5001,"&gt;="&amp;$C$7,BD!$A$3:$A$5001,"&lt;="&amp;$B153,BD!$V$3:$V$5001,"&lt;&gt;")=0,"",SUMIFS(BD!$V$3:$V$5001,BD!$B$3:$B$5001,V$136,BD!$A$3:$A$5001,_xlfn.MAXIFS(BD!$A$3:$A$5001,BD!$B$3:$B$5001,V$136,BD!$A$3:$A$5001,"&gt;="&amp;$C$7,BD!$A$3:$A$5001,"&lt;="&amp;$B153,BD!$V$3:$V$5001,"&lt;&gt;"))))</f>
        <v/>
      </c>
    </row>
    <row r="154">
      <c r="A154" s="38">
        <v>18</v>
      </c>
      <c r="B154" s="42">
        <f>$B$29</f>
        <v>46313</v>
      </c>
      <c r="C154" s="43" t="str">
        <f>IF(OR($B154="",$A154&gt;$B$9,C$136=""),"",IF(COUNTIFS(BD!$B$3:$B$5001,C$136,BD!$A$3:$A$5001,"&gt;="&amp;$C$7,BD!$A$3:$A$5001,"&lt;="&amp;$B154,BD!$V$3:$V$5001,"&lt;&gt;")=0,"",SUMIFS(BD!$V$3:$V$5001,BD!$B$3:$B$5001,C$136,BD!$A$3:$A$5001,_xlfn.MAXIFS(BD!$A$3:$A$5001,BD!$B$3:$B$5001,C$136,BD!$A$3:$A$5001,"&gt;="&amp;$C$7,BD!$A$3:$A$5001,"&lt;="&amp;$B154,BD!$V$3:$V$5001,"&lt;&gt;"))))</f>
        <v/>
      </c>
      <c r="D154" s="43" t="str">
        <f>IF(OR($B154="",$A154&gt;$B$9,D$136=""),"",IF(COUNTIFS(BD!$B$3:$B$5001,D$136,BD!$A$3:$A$5001,"&gt;="&amp;$C$7,BD!$A$3:$A$5001,"&lt;="&amp;$B154,BD!$V$3:$V$5001,"&lt;&gt;")=0,"",SUMIFS(BD!$V$3:$V$5001,BD!$B$3:$B$5001,D$136,BD!$A$3:$A$5001,_xlfn.MAXIFS(BD!$A$3:$A$5001,BD!$B$3:$B$5001,D$136,BD!$A$3:$A$5001,"&gt;="&amp;$C$7,BD!$A$3:$A$5001,"&lt;="&amp;$B154,BD!$V$3:$V$5001,"&lt;&gt;"))))</f>
        <v/>
      </c>
      <c r="E154" s="43" t="str">
        <f>IF(OR($B154="",$A154&gt;$B$9,E$136=""),"",IF(COUNTIFS(BD!$B$3:$B$5001,E$136,BD!$A$3:$A$5001,"&gt;="&amp;$C$7,BD!$A$3:$A$5001,"&lt;="&amp;$B154,BD!$V$3:$V$5001,"&lt;&gt;")=0,"",SUMIFS(BD!$V$3:$V$5001,BD!$B$3:$B$5001,E$136,BD!$A$3:$A$5001,_xlfn.MAXIFS(BD!$A$3:$A$5001,BD!$B$3:$B$5001,E$136,BD!$A$3:$A$5001,"&gt;="&amp;$C$7,BD!$A$3:$A$5001,"&lt;="&amp;$B154,BD!$V$3:$V$5001,"&lt;&gt;"))))</f>
        <v/>
      </c>
      <c r="F154" s="43" t="str">
        <f>IF(OR($B154="",$A154&gt;$B$9,F$136=""),"",IF(COUNTIFS(BD!$B$3:$B$5001,F$136,BD!$A$3:$A$5001,"&gt;="&amp;$C$7,BD!$A$3:$A$5001,"&lt;="&amp;$B154,BD!$V$3:$V$5001,"&lt;&gt;")=0,"",SUMIFS(BD!$V$3:$V$5001,BD!$B$3:$B$5001,F$136,BD!$A$3:$A$5001,_xlfn.MAXIFS(BD!$A$3:$A$5001,BD!$B$3:$B$5001,F$136,BD!$A$3:$A$5001,"&gt;="&amp;$C$7,BD!$A$3:$A$5001,"&lt;="&amp;$B154,BD!$V$3:$V$5001,"&lt;&gt;"))))</f>
        <v/>
      </c>
      <c r="G154" s="43" t="str">
        <f>IF(OR($B154="",$A154&gt;$B$9,G$136=""),"",IF(COUNTIFS(BD!$B$3:$B$5001,G$136,BD!$A$3:$A$5001,"&gt;="&amp;$C$7,BD!$A$3:$A$5001,"&lt;="&amp;$B154,BD!$V$3:$V$5001,"&lt;&gt;")=0,"",SUMIFS(BD!$V$3:$V$5001,BD!$B$3:$B$5001,G$136,BD!$A$3:$A$5001,_xlfn.MAXIFS(BD!$A$3:$A$5001,BD!$B$3:$B$5001,G$136,BD!$A$3:$A$5001,"&gt;="&amp;$C$7,BD!$A$3:$A$5001,"&lt;="&amp;$B154,BD!$V$3:$V$5001,"&lt;&gt;"))))</f>
        <v/>
      </c>
      <c r="H154" s="43" t="str">
        <f>IF(OR($B154="",$A154&gt;$B$9,H$136=""),"",IF(COUNTIFS(BD!$B$3:$B$5001,H$136,BD!$A$3:$A$5001,"&gt;="&amp;$C$7,BD!$A$3:$A$5001,"&lt;="&amp;$B154,BD!$V$3:$V$5001,"&lt;&gt;")=0,"",SUMIFS(BD!$V$3:$V$5001,BD!$B$3:$B$5001,H$136,BD!$A$3:$A$5001,_xlfn.MAXIFS(BD!$A$3:$A$5001,BD!$B$3:$B$5001,H$136,BD!$A$3:$A$5001,"&gt;="&amp;$C$7,BD!$A$3:$A$5001,"&lt;="&amp;$B154,BD!$V$3:$V$5001,"&lt;&gt;"))))</f>
        <v/>
      </c>
      <c r="I154" s="43" t="str">
        <f>IF(OR($B154="",$A154&gt;$B$9,I$136=""),"",IF(COUNTIFS(BD!$B$3:$B$5001,I$136,BD!$A$3:$A$5001,"&gt;="&amp;$C$7,BD!$A$3:$A$5001,"&lt;="&amp;$B154,BD!$V$3:$V$5001,"&lt;&gt;")=0,"",SUMIFS(BD!$V$3:$V$5001,BD!$B$3:$B$5001,I$136,BD!$A$3:$A$5001,_xlfn.MAXIFS(BD!$A$3:$A$5001,BD!$B$3:$B$5001,I$136,BD!$A$3:$A$5001,"&gt;="&amp;$C$7,BD!$A$3:$A$5001,"&lt;="&amp;$B154,BD!$V$3:$V$5001,"&lt;&gt;"))))</f>
        <v/>
      </c>
      <c r="J154" s="43" t="str">
        <f>IF(OR($B154="",$A154&gt;$B$9,J$136=""),"",IF(COUNTIFS(BD!$B$3:$B$5001,J$136,BD!$A$3:$A$5001,"&gt;="&amp;$C$7,BD!$A$3:$A$5001,"&lt;="&amp;$B154,BD!$V$3:$V$5001,"&lt;&gt;")=0,"",SUMIFS(BD!$V$3:$V$5001,BD!$B$3:$B$5001,J$136,BD!$A$3:$A$5001,_xlfn.MAXIFS(BD!$A$3:$A$5001,BD!$B$3:$B$5001,J$136,BD!$A$3:$A$5001,"&gt;="&amp;$C$7,BD!$A$3:$A$5001,"&lt;="&amp;$B154,BD!$V$3:$V$5001,"&lt;&gt;"))))</f>
        <v/>
      </c>
      <c r="K154" s="43" t="str">
        <f>IF(OR($B154="",$A154&gt;$B$9,K$136=""),"",IF(COUNTIFS(BD!$B$3:$B$5001,K$136,BD!$A$3:$A$5001,"&gt;="&amp;$C$7,BD!$A$3:$A$5001,"&lt;="&amp;$B154,BD!$V$3:$V$5001,"&lt;&gt;")=0,"",SUMIFS(BD!$V$3:$V$5001,BD!$B$3:$B$5001,K$136,BD!$A$3:$A$5001,_xlfn.MAXIFS(BD!$A$3:$A$5001,BD!$B$3:$B$5001,K$136,BD!$A$3:$A$5001,"&gt;="&amp;$C$7,BD!$A$3:$A$5001,"&lt;="&amp;$B154,BD!$V$3:$V$5001,"&lt;&gt;"))))</f>
        <v/>
      </c>
      <c r="L154" s="43" t="str">
        <f>IF(OR($B154="",$A154&gt;$B$9,L$136=""),"",IF(COUNTIFS(BD!$B$3:$B$5001,L$136,BD!$A$3:$A$5001,"&gt;="&amp;$C$7,BD!$A$3:$A$5001,"&lt;="&amp;$B154,BD!$V$3:$V$5001,"&lt;&gt;")=0,"",SUMIFS(BD!$V$3:$V$5001,BD!$B$3:$B$5001,L$136,BD!$A$3:$A$5001,_xlfn.MAXIFS(BD!$A$3:$A$5001,BD!$B$3:$B$5001,L$136,BD!$A$3:$A$5001,"&gt;="&amp;$C$7,BD!$A$3:$A$5001,"&lt;="&amp;$B154,BD!$V$3:$V$5001,"&lt;&gt;"))))</f>
        <v/>
      </c>
      <c r="M154" s="43" t="str">
        <f>IF(OR($B154="",$A154&gt;$B$9,M$136=""),"",IF(COUNTIFS(BD!$B$3:$B$5001,M$136,BD!$A$3:$A$5001,"&gt;="&amp;$C$7,BD!$A$3:$A$5001,"&lt;="&amp;$B154,BD!$V$3:$V$5001,"&lt;&gt;")=0,"",SUMIFS(BD!$V$3:$V$5001,BD!$B$3:$B$5001,M$136,BD!$A$3:$A$5001,_xlfn.MAXIFS(BD!$A$3:$A$5001,BD!$B$3:$B$5001,M$136,BD!$A$3:$A$5001,"&gt;="&amp;$C$7,BD!$A$3:$A$5001,"&lt;="&amp;$B154,BD!$V$3:$V$5001,"&lt;&gt;"))))</f>
        <v/>
      </c>
      <c r="N154" s="43" t="str">
        <f>IF(OR($B154="",$A154&gt;$B$9,N$136=""),"",IF(COUNTIFS(BD!$B$3:$B$5001,N$136,BD!$A$3:$A$5001,"&gt;="&amp;$C$7,BD!$A$3:$A$5001,"&lt;="&amp;$B154,BD!$V$3:$V$5001,"&lt;&gt;")=0,"",SUMIFS(BD!$V$3:$V$5001,BD!$B$3:$B$5001,N$136,BD!$A$3:$A$5001,_xlfn.MAXIFS(BD!$A$3:$A$5001,BD!$B$3:$B$5001,N$136,BD!$A$3:$A$5001,"&gt;="&amp;$C$7,BD!$A$3:$A$5001,"&lt;="&amp;$B154,BD!$V$3:$V$5001,"&lt;&gt;"))))</f>
        <v/>
      </c>
      <c r="O154" s="43" t="str">
        <f>IF(OR($B154="",$A154&gt;$B$9,O$136=""),"",IF(COUNTIFS(BD!$B$3:$B$5001,O$136,BD!$A$3:$A$5001,"&gt;="&amp;$C$7,BD!$A$3:$A$5001,"&lt;="&amp;$B154,BD!$V$3:$V$5001,"&lt;&gt;")=0,"",SUMIFS(BD!$V$3:$V$5001,BD!$B$3:$B$5001,O$136,BD!$A$3:$A$5001,_xlfn.MAXIFS(BD!$A$3:$A$5001,BD!$B$3:$B$5001,O$136,BD!$A$3:$A$5001,"&gt;="&amp;$C$7,BD!$A$3:$A$5001,"&lt;="&amp;$B154,BD!$V$3:$V$5001,"&lt;&gt;"))))</f>
        <v/>
      </c>
      <c r="P154" s="43" t="str">
        <f>IF(OR($B154="",$A154&gt;$B$9,P$136=""),"",IF(COUNTIFS(BD!$B$3:$B$5001,P$136,BD!$A$3:$A$5001,"&gt;="&amp;$C$7,BD!$A$3:$A$5001,"&lt;="&amp;$B154,BD!$V$3:$V$5001,"&lt;&gt;")=0,"",SUMIFS(BD!$V$3:$V$5001,BD!$B$3:$B$5001,P$136,BD!$A$3:$A$5001,_xlfn.MAXIFS(BD!$A$3:$A$5001,BD!$B$3:$B$5001,P$136,BD!$A$3:$A$5001,"&gt;="&amp;$C$7,BD!$A$3:$A$5001,"&lt;="&amp;$B154,BD!$V$3:$V$5001,"&lt;&gt;"))))</f>
        <v/>
      </c>
      <c r="Q154" s="43" t="str">
        <f>IF(OR($B154="",$A154&gt;$B$9,Q$136=""),"",IF(COUNTIFS(BD!$B$3:$B$5001,Q$136,BD!$A$3:$A$5001,"&gt;="&amp;$C$7,BD!$A$3:$A$5001,"&lt;="&amp;$B154,BD!$V$3:$V$5001,"&lt;&gt;")=0,"",SUMIFS(BD!$V$3:$V$5001,BD!$B$3:$B$5001,Q$136,BD!$A$3:$A$5001,_xlfn.MAXIFS(BD!$A$3:$A$5001,BD!$B$3:$B$5001,Q$136,BD!$A$3:$A$5001,"&gt;="&amp;$C$7,BD!$A$3:$A$5001,"&lt;="&amp;$B154,BD!$V$3:$V$5001,"&lt;&gt;"))))</f>
        <v/>
      </c>
      <c r="R154" s="43" t="str">
        <f>IF(OR($B154="",$A154&gt;$B$9,R$136=""),"",IF(COUNTIFS(BD!$B$3:$B$5001,R$136,BD!$A$3:$A$5001,"&gt;="&amp;$C$7,BD!$A$3:$A$5001,"&lt;="&amp;$B154,BD!$V$3:$V$5001,"&lt;&gt;")=0,"",SUMIFS(BD!$V$3:$V$5001,BD!$B$3:$B$5001,R$136,BD!$A$3:$A$5001,_xlfn.MAXIFS(BD!$A$3:$A$5001,BD!$B$3:$B$5001,R$136,BD!$A$3:$A$5001,"&gt;="&amp;$C$7,BD!$A$3:$A$5001,"&lt;="&amp;$B154,BD!$V$3:$V$5001,"&lt;&gt;"))))</f>
        <v/>
      </c>
      <c r="S154" s="43" t="str">
        <f>IF(OR($B154="",$A154&gt;$B$9,S$136=""),"",IF(COUNTIFS(BD!$B$3:$B$5001,S$136,BD!$A$3:$A$5001,"&gt;="&amp;$C$7,BD!$A$3:$A$5001,"&lt;="&amp;$B154,BD!$V$3:$V$5001,"&lt;&gt;")=0,"",SUMIFS(BD!$V$3:$V$5001,BD!$B$3:$B$5001,S$136,BD!$A$3:$A$5001,_xlfn.MAXIFS(BD!$A$3:$A$5001,BD!$B$3:$B$5001,S$136,BD!$A$3:$A$5001,"&gt;="&amp;$C$7,BD!$A$3:$A$5001,"&lt;="&amp;$B154,BD!$V$3:$V$5001,"&lt;&gt;"))))</f>
        <v/>
      </c>
      <c r="T154" s="43" t="str">
        <f>IF(OR($B154="",$A154&gt;$B$9,T$136=""),"",IF(COUNTIFS(BD!$B$3:$B$5001,T$136,BD!$A$3:$A$5001,"&gt;="&amp;$C$7,BD!$A$3:$A$5001,"&lt;="&amp;$B154,BD!$V$3:$V$5001,"&lt;&gt;")=0,"",SUMIFS(BD!$V$3:$V$5001,BD!$B$3:$B$5001,T$136,BD!$A$3:$A$5001,_xlfn.MAXIFS(BD!$A$3:$A$5001,BD!$B$3:$B$5001,T$136,BD!$A$3:$A$5001,"&gt;="&amp;$C$7,BD!$A$3:$A$5001,"&lt;="&amp;$B154,BD!$V$3:$V$5001,"&lt;&gt;"))))</f>
        <v/>
      </c>
      <c r="U154" s="43" t="str">
        <f>IF(OR($B154="",$A154&gt;$B$9,U$136=""),"",IF(COUNTIFS(BD!$B$3:$B$5001,U$136,BD!$A$3:$A$5001,"&gt;="&amp;$C$7,BD!$A$3:$A$5001,"&lt;="&amp;$B154,BD!$V$3:$V$5001,"&lt;&gt;")=0,"",SUMIFS(BD!$V$3:$V$5001,BD!$B$3:$B$5001,U$136,BD!$A$3:$A$5001,_xlfn.MAXIFS(BD!$A$3:$A$5001,BD!$B$3:$B$5001,U$136,BD!$A$3:$A$5001,"&gt;="&amp;$C$7,BD!$A$3:$A$5001,"&lt;="&amp;$B154,BD!$V$3:$V$5001,"&lt;&gt;"))))</f>
        <v/>
      </c>
      <c r="V154" s="43" t="str">
        <f>IF(OR($B154="",$A154&gt;$B$9,V$136=""),"",IF(COUNTIFS(BD!$B$3:$B$5001,V$136,BD!$A$3:$A$5001,"&gt;="&amp;$C$7,BD!$A$3:$A$5001,"&lt;="&amp;$B154,BD!$V$3:$V$5001,"&lt;&gt;")=0,"",SUMIFS(BD!$V$3:$V$5001,BD!$B$3:$B$5001,V$136,BD!$A$3:$A$5001,_xlfn.MAXIFS(BD!$A$3:$A$5001,BD!$B$3:$B$5001,V$136,BD!$A$3:$A$5001,"&gt;="&amp;$C$7,BD!$A$3:$A$5001,"&lt;="&amp;$B154,BD!$V$3:$V$5001,"&lt;&gt;"))))</f>
        <v/>
      </c>
    </row>
    <row r="155">
      <c r="A155" s="38">
        <v>19</v>
      </c>
      <c r="B155" s="42">
        <f>$B$30</f>
        <v>46314</v>
      </c>
      <c r="C155" s="43" t="str">
        <f>IF(OR($B155="",$A155&gt;$B$9,C$136=""),"",IF(COUNTIFS(BD!$B$3:$B$5001,C$136,BD!$A$3:$A$5001,"&gt;="&amp;$C$7,BD!$A$3:$A$5001,"&lt;="&amp;$B155,BD!$V$3:$V$5001,"&lt;&gt;")=0,"",SUMIFS(BD!$V$3:$V$5001,BD!$B$3:$B$5001,C$136,BD!$A$3:$A$5001,_xlfn.MAXIFS(BD!$A$3:$A$5001,BD!$B$3:$B$5001,C$136,BD!$A$3:$A$5001,"&gt;="&amp;$C$7,BD!$A$3:$A$5001,"&lt;="&amp;$B155,BD!$V$3:$V$5001,"&lt;&gt;"))))</f>
        <v/>
      </c>
      <c r="D155" s="43" t="str">
        <f>IF(OR($B155="",$A155&gt;$B$9,D$136=""),"",IF(COUNTIFS(BD!$B$3:$B$5001,D$136,BD!$A$3:$A$5001,"&gt;="&amp;$C$7,BD!$A$3:$A$5001,"&lt;="&amp;$B155,BD!$V$3:$V$5001,"&lt;&gt;")=0,"",SUMIFS(BD!$V$3:$V$5001,BD!$B$3:$B$5001,D$136,BD!$A$3:$A$5001,_xlfn.MAXIFS(BD!$A$3:$A$5001,BD!$B$3:$B$5001,D$136,BD!$A$3:$A$5001,"&gt;="&amp;$C$7,BD!$A$3:$A$5001,"&lt;="&amp;$B155,BD!$V$3:$V$5001,"&lt;&gt;"))))</f>
        <v/>
      </c>
      <c r="E155" s="43" t="str">
        <f>IF(OR($B155="",$A155&gt;$B$9,E$136=""),"",IF(COUNTIFS(BD!$B$3:$B$5001,E$136,BD!$A$3:$A$5001,"&gt;="&amp;$C$7,BD!$A$3:$A$5001,"&lt;="&amp;$B155,BD!$V$3:$V$5001,"&lt;&gt;")=0,"",SUMIFS(BD!$V$3:$V$5001,BD!$B$3:$B$5001,E$136,BD!$A$3:$A$5001,_xlfn.MAXIFS(BD!$A$3:$A$5001,BD!$B$3:$B$5001,E$136,BD!$A$3:$A$5001,"&gt;="&amp;$C$7,BD!$A$3:$A$5001,"&lt;="&amp;$B155,BD!$V$3:$V$5001,"&lt;&gt;"))))</f>
        <v/>
      </c>
      <c r="F155" s="43" t="str">
        <f>IF(OR($B155="",$A155&gt;$B$9,F$136=""),"",IF(COUNTIFS(BD!$B$3:$B$5001,F$136,BD!$A$3:$A$5001,"&gt;="&amp;$C$7,BD!$A$3:$A$5001,"&lt;="&amp;$B155,BD!$V$3:$V$5001,"&lt;&gt;")=0,"",SUMIFS(BD!$V$3:$V$5001,BD!$B$3:$B$5001,F$136,BD!$A$3:$A$5001,_xlfn.MAXIFS(BD!$A$3:$A$5001,BD!$B$3:$B$5001,F$136,BD!$A$3:$A$5001,"&gt;="&amp;$C$7,BD!$A$3:$A$5001,"&lt;="&amp;$B155,BD!$V$3:$V$5001,"&lt;&gt;"))))</f>
        <v/>
      </c>
      <c r="G155" s="43" t="str">
        <f>IF(OR($B155="",$A155&gt;$B$9,G$136=""),"",IF(COUNTIFS(BD!$B$3:$B$5001,G$136,BD!$A$3:$A$5001,"&gt;="&amp;$C$7,BD!$A$3:$A$5001,"&lt;="&amp;$B155,BD!$V$3:$V$5001,"&lt;&gt;")=0,"",SUMIFS(BD!$V$3:$V$5001,BD!$B$3:$B$5001,G$136,BD!$A$3:$A$5001,_xlfn.MAXIFS(BD!$A$3:$A$5001,BD!$B$3:$B$5001,G$136,BD!$A$3:$A$5001,"&gt;="&amp;$C$7,BD!$A$3:$A$5001,"&lt;="&amp;$B155,BD!$V$3:$V$5001,"&lt;&gt;"))))</f>
        <v/>
      </c>
      <c r="H155" s="43" t="str">
        <f>IF(OR($B155="",$A155&gt;$B$9,H$136=""),"",IF(COUNTIFS(BD!$B$3:$B$5001,H$136,BD!$A$3:$A$5001,"&gt;="&amp;$C$7,BD!$A$3:$A$5001,"&lt;="&amp;$B155,BD!$V$3:$V$5001,"&lt;&gt;")=0,"",SUMIFS(BD!$V$3:$V$5001,BD!$B$3:$B$5001,H$136,BD!$A$3:$A$5001,_xlfn.MAXIFS(BD!$A$3:$A$5001,BD!$B$3:$B$5001,H$136,BD!$A$3:$A$5001,"&gt;="&amp;$C$7,BD!$A$3:$A$5001,"&lt;="&amp;$B155,BD!$V$3:$V$5001,"&lt;&gt;"))))</f>
        <v/>
      </c>
      <c r="I155" s="43" t="str">
        <f>IF(OR($B155="",$A155&gt;$B$9,I$136=""),"",IF(COUNTIFS(BD!$B$3:$B$5001,I$136,BD!$A$3:$A$5001,"&gt;="&amp;$C$7,BD!$A$3:$A$5001,"&lt;="&amp;$B155,BD!$V$3:$V$5001,"&lt;&gt;")=0,"",SUMIFS(BD!$V$3:$V$5001,BD!$B$3:$B$5001,I$136,BD!$A$3:$A$5001,_xlfn.MAXIFS(BD!$A$3:$A$5001,BD!$B$3:$B$5001,I$136,BD!$A$3:$A$5001,"&gt;="&amp;$C$7,BD!$A$3:$A$5001,"&lt;="&amp;$B155,BD!$V$3:$V$5001,"&lt;&gt;"))))</f>
        <v/>
      </c>
      <c r="J155" s="43" t="str">
        <f>IF(OR($B155="",$A155&gt;$B$9,J$136=""),"",IF(COUNTIFS(BD!$B$3:$B$5001,J$136,BD!$A$3:$A$5001,"&gt;="&amp;$C$7,BD!$A$3:$A$5001,"&lt;="&amp;$B155,BD!$V$3:$V$5001,"&lt;&gt;")=0,"",SUMIFS(BD!$V$3:$V$5001,BD!$B$3:$B$5001,J$136,BD!$A$3:$A$5001,_xlfn.MAXIFS(BD!$A$3:$A$5001,BD!$B$3:$B$5001,J$136,BD!$A$3:$A$5001,"&gt;="&amp;$C$7,BD!$A$3:$A$5001,"&lt;="&amp;$B155,BD!$V$3:$V$5001,"&lt;&gt;"))))</f>
        <v/>
      </c>
      <c r="K155" s="43" t="str">
        <f>IF(OR($B155="",$A155&gt;$B$9,K$136=""),"",IF(COUNTIFS(BD!$B$3:$B$5001,K$136,BD!$A$3:$A$5001,"&gt;="&amp;$C$7,BD!$A$3:$A$5001,"&lt;="&amp;$B155,BD!$V$3:$V$5001,"&lt;&gt;")=0,"",SUMIFS(BD!$V$3:$V$5001,BD!$B$3:$B$5001,K$136,BD!$A$3:$A$5001,_xlfn.MAXIFS(BD!$A$3:$A$5001,BD!$B$3:$B$5001,K$136,BD!$A$3:$A$5001,"&gt;="&amp;$C$7,BD!$A$3:$A$5001,"&lt;="&amp;$B155,BD!$V$3:$V$5001,"&lt;&gt;"))))</f>
        <v/>
      </c>
      <c r="L155" s="43" t="str">
        <f>IF(OR($B155="",$A155&gt;$B$9,L$136=""),"",IF(COUNTIFS(BD!$B$3:$B$5001,L$136,BD!$A$3:$A$5001,"&gt;="&amp;$C$7,BD!$A$3:$A$5001,"&lt;="&amp;$B155,BD!$V$3:$V$5001,"&lt;&gt;")=0,"",SUMIFS(BD!$V$3:$V$5001,BD!$B$3:$B$5001,L$136,BD!$A$3:$A$5001,_xlfn.MAXIFS(BD!$A$3:$A$5001,BD!$B$3:$B$5001,L$136,BD!$A$3:$A$5001,"&gt;="&amp;$C$7,BD!$A$3:$A$5001,"&lt;="&amp;$B155,BD!$V$3:$V$5001,"&lt;&gt;"))))</f>
        <v/>
      </c>
      <c r="M155" s="43" t="str">
        <f>IF(OR($B155="",$A155&gt;$B$9,M$136=""),"",IF(COUNTIFS(BD!$B$3:$B$5001,M$136,BD!$A$3:$A$5001,"&gt;="&amp;$C$7,BD!$A$3:$A$5001,"&lt;="&amp;$B155,BD!$V$3:$V$5001,"&lt;&gt;")=0,"",SUMIFS(BD!$V$3:$V$5001,BD!$B$3:$B$5001,M$136,BD!$A$3:$A$5001,_xlfn.MAXIFS(BD!$A$3:$A$5001,BD!$B$3:$B$5001,M$136,BD!$A$3:$A$5001,"&gt;="&amp;$C$7,BD!$A$3:$A$5001,"&lt;="&amp;$B155,BD!$V$3:$V$5001,"&lt;&gt;"))))</f>
        <v/>
      </c>
      <c r="N155" s="43" t="str">
        <f>IF(OR($B155="",$A155&gt;$B$9,N$136=""),"",IF(COUNTIFS(BD!$B$3:$B$5001,N$136,BD!$A$3:$A$5001,"&gt;="&amp;$C$7,BD!$A$3:$A$5001,"&lt;="&amp;$B155,BD!$V$3:$V$5001,"&lt;&gt;")=0,"",SUMIFS(BD!$V$3:$V$5001,BD!$B$3:$B$5001,N$136,BD!$A$3:$A$5001,_xlfn.MAXIFS(BD!$A$3:$A$5001,BD!$B$3:$B$5001,N$136,BD!$A$3:$A$5001,"&gt;="&amp;$C$7,BD!$A$3:$A$5001,"&lt;="&amp;$B155,BD!$V$3:$V$5001,"&lt;&gt;"))))</f>
        <v/>
      </c>
      <c r="O155" s="43" t="str">
        <f>IF(OR($B155="",$A155&gt;$B$9,O$136=""),"",IF(COUNTIFS(BD!$B$3:$B$5001,O$136,BD!$A$3:$A$5001,"&gt;="&amp;$C$7,BD!$A$3:$A$5001,"&lt;="&amp;$B155,BD!$V$3:$V$5001,"&lt;&gt;")=0,"",SUMIFS(BD!$V$3:$V$5001,BD!$B$3:$B$5001,O$136,BD!$A$3:$A$5001,_xlfn.MAXIFS(BD!$A$3:$A$5001,BD!$B$3:$B$5001,O$136,BD!$A$3:$A$5001,"&gt;="&amp;$C$7,BD!$A$3:$A$5001,"&lt;="&amp;$B155,BD!$V$3:$V$5001,"&lt;&gt;"))))</f>
        <v/>
      </c>
      <c r="P155" s="43" t="str">
        <f>IF(OR($B155="",$A155&gt;$B$9,P$136=""),"",IF(COUNTIFS(BD!$B$3:$B$5001,P$136,BD!$A$3:$A$5001,"&gt;="&amp;$C$7,BD!$A$3:$A$5001,"&lt;="&amp;$B155,BD!$V$3:$V$5001,"&lt;&gt;")=0,"",SUMIFS(BD!$V$3:$V$5001,BD!$B$3:$B$5001,P$136,BD!$A$3:$A$5001,_xlfn.MAXIFS(BD!$A$3:$A$5001,BD!$B$3:$B$5001,P$136,BD!$A$3:$A$5001,"&gt;="&amp;$C$7,BD!$A$3:$A$5001,"&lt;="&amp;$B155,BD!$V$3:$V$5001,"&lt;&gt;"))))</f>
        <v/>
      </c>
      <c r="Q155" s="43" t="str">
        <f>IF(OR($B155="",$A155&gt;$B$9,Q$136=""),"",IF(COUNTIFS(BD!$B$3:$B$5001,Q$136,BD!$A$3:$A$5001,"&gt;="&amp;$C$7,BD!$A$3:$A$5001,"&lt;="&amp;$B155,BD!$V$3:$V$5001,"&lt;&gt;")=0,"",SUMIFS(BD!$V$3:$V$5001,BD!$B$3:$B$5001,Q$136,BD!$A$3:$A$5001,_xlfn.MAXIFS(BD!$A$3:$A$5001,BD!$B$3:$B$5001,Q$136,BD!$A$3:$A$5001,"&gt;="&amp;$C$7,BD!$A$3:$A$5001,"&lt;="&amp;$B155,BD!$V$3:$V$5001,"&lt;&gt;"))))</f>
        <v/>
      </c>
      <c r="R155" s="43" t="str">
        <f>IF(OR($B155="",$A155&gt;$B$9,R$136=""),"",IF(COUNTIFS(BD!$B$3:$B$5001,R$136,BD!$A$3:$A$5001,"&gt;="&amp;$C$7,BD!$A$3:$A$5001,"&lt;="&amp;$B155,BD!$V$3:$V$5001,"&lt;&gt;")=0,"",SUMIFS(BD!$V$3:$V$5001,BD!$B$3:$B$5001,R$136,BD!$A$3:$A$5001,_xlfn.MAXIFS(BD!$A$3:$A$5001,BD!$B$3:$B$5001,R$136,BD!$A$3:$A$5001,"&gt;="&amp;$C$7,BD!$A$3:$A$5001,"&lt;="&amp;$B155,BD!$V$3:$V$5001,"&lt;&gt;"))))</f>
        <v/>
      </c>
      <c r="S155" s="43" t="str">
        <f>IF(OR($B155="",$A155&gt;$B$9,S$136=""),"",IF(COUNTIFS(BD!$B$3:$B$5001,S$136,BD!$A$3:$A$5001,"&gt;="&amp;$C$7,BD!$A$3:$A$5001,"&lt;="&amp;$B155,BD!$V$3:$V$5001,"&lt;&gt;")=0,"",SUMIFS(BD!$V$3:$V$5001,BD!$B$3:$B$5001,S$136,BD!$A$3:$A$5001,_xlfn.MAXIFS(BD!$A$3:$A$5001,BD!$B$3:$B$5001,S$136,BD!$A$3:$A$5001,"&gt;="&amp;$C$7,BD!$A$3:$A$5001,"&lt;="&amp;$B155,BD!$V$3:$V$5001,"&lt;&gt;"))))</f>
        <v/>
      </c>
      <c r="T155" s="43" t="str">
        <f>IF(OR($B155="",$A155&gt;$B$9,T$136=""),"",IF(COUNTIFS(BD!$B$3:$B$5001,T$136,BD!$A$3:$A$5001,"&gt;="&amp;$C$7,BD!$A$3:$A$5001,"&lt;="&amp;$B155,BD!$V$3:$V$5001,"&lt;&gt;")=0,"",SUMIFS(BD!$V$3:$V$5001,BD!$B$3:$B$5001,T$136,BD!$A$3:$A$5001,_xlfn.MAXIFS(BD!$A$3:$A$5001,BD!$B$3:$B$5001,T$136,BD!$A$3:$A$5001,"&gt;="&amp;$C$7,BD!$A$3:$A$5001,"&lt;="&amp;$B155,BD!$V$3:$V$5001,"&lt;&gt;"))))</f>
        <v/>
      </c>
      <c r="U155" s="43" t="str">
        <f>IF(OR($B155="",$A155&gt;$B$9,U$136=""),"",IF(COUNTIFS(BD!$B$3:$B$5001,U$136,BD!$A$3:$A$5001,"&gt;="&amp;$C$7,BD!$A$3:$A$5001,"&lt;="&amp;$B155,BD!$V$3:$V$5001,"&lt;&gt;")=0,"",SUMIFS(BD!$V$3:$V$5001,BD!$B$3:$B$5001,U$136,BD!$A$3:$A$5001,_xlfn.MAXIFS(BD!$A$3:$A$5001,BD!$B$3:$B$5001,U$136,BD!$A$3:$A$5001,"&gt;="&amp;$C$7,BD!$A$3:$A$5001,"&lt;="&amp;$B155,BD!$V$3:$V$5001,"&lt;&gt;"))))</f>
        <v/>
      </c>
      <c r="V155" s="43" t="str">
        <f>IF(OR($B155="",$A155&gt;$B$9,V$136=""),"",IF(COUNTIFS(BD!$B$3:$B$5001,V$136,BD!$A$3:$A$5001,"&gt;="&amp;$C$7,BD!$A$3:$A$5001,"&lt;="&amp;$B155,BD!$V$3:$V$5001,"&lt;&gt;")=0,"",SUMIFS(BD!$V$3:$V$5001,BD!$B$3:$B$5001,V$136,BD!$A$3:$A$5001,_xlfn.MAXIFS(BD!$A$3:$A$5001,BD!$B$3:$B$5001,V$136,BD!$A$3:$A$5001,"&gt;="&amp;$C$7,BD!$A$3:$A$5001,"&lt;="&amp;$B155,BD!$V$3:$V$5001,"&lt;&gt;"))))</f>
        <v/>
      </c>
    </row>
    <row r="156">
      <c r="A156" s="38">
        <v>20</v>
      </c>
      <c r="B156" s="42">
        <f>$B$31</f>
        <v>46315</v>
      </c>
      <c r="C156" s="43" t="str">
        <f>IF(OR($B156="",$A156&gt;$B$9,C$136=""),"",IF(COUNTIFS(BD!$B$3:$B$5001,C$136,BD!$A$3:$A$5001,"&gt;="&amp;$C$7,BD!$A$3:$A$5001,"&lt;="&amp;$B156,BD!$V$3:$V$5001,"&lt;&gt;")=0,"",SUMIFS(BD!$V$3:$V$5001,BD!$B$3:$B$5001,C$136,BD!$A$3:$A$5001,_xlfn.MAXIFS(BD!$A$3:$A$5001,BD!$B$3:$B$5001,C$136,BD!$A$3:$A$5001,"&gt;="&amp;$C$7,BD!$A$3:$A$5001,"&lt;="&amp;$B156,BD!$V$3:$V$5001,"&lt;&gt;"))))</f>
        <v/>
      </c>
      <c r="D156" s="43" t="str">
        <f>IF(OR($B156="",$A156&gt;$B$9,D$136=""),"",IF(COUNTIFS(BD!$B$3:$B$5001,D$136,BD!$A$3:$A$5001,"&gt;="&amp;$C$7,BD!$A$3:$A$5001,"&lt;="&amp;$B156,BD!$V$3:$V$5001,"&lt;&gt;")=0,"",SUMIFS(BD!$V$3:$V$5001,BD!$B$3:$B$5001,D$136,BD!$A$3:$A$5001,_xlfn.MAXIFS(BD!$A$3:$A$5001,BD!$B$3:$B$5001,D$136,BD!$A$3:$A$5001,"&gt;="&amp;$C$7,BD!$A$3:$A$5001,"&lt;="&amp;$B156,BD!$V$3:$V$5001,"&lt;&gt;"))))</f>
        <v/>
      </c>
      <c r="E156" s="43" t="str">
        <f>IF(OR($B156="",$A156&gt;$B$9,E$136=""),"",IF(COUNTIFS(BD!$B$3:$B$5001,E$136,BD!$A$3:$A$5001,"&gt;="&amp;$C$7,BD!$A$3:$A$5001,"&lt;="&amp;$B156,BD!$V$3:$V$5001,"&lt;&gt;")=0,"",SUMIFS(BD!$V$3:$V$5001,BD!$B$3:$B$5001,E$136,BD!$A$3:$A$5001,_xlfn.MAXIFS(BD!$A$3:$A$5001,BD!$B$3:$B$5001,E$136,BD!$A$3:$A$5001,"&gt;="&amp;$C$7,BD!$A$3:$A$5001,"&lt;="&amp;$B156,BD!$V$3:$V$5001,"&lt;&gt;"))))</f>
        <v/>
      </c>
      <c r="F156" s="43" t="str">
        <f>IF(OR($B156="",$A156&gt;$B$9,F$136=""),"",IF(COUNTIFS(BD!$B$3:$B$5001,F$136,BD!$A$3:$A$5001,"&gt;="&amp;$C$7,BD!$A$3:$A$5001,"&lt;="&amp;$B156,BD!$V$3:$V$5001,"&lt;&gt;")=0,"",SUMIFS(BD!$V$3:$V$5001,BD!$B$3:$B$5001,F$136,BD!$A$3:$A$5001,_xlfn.MAXIFS(BD!$A$3:$A$5001,BD!$B$3:$B$5001,F$136,BD!$A$3:$A$5001,"&gt;="&amp;$C$7,BD!$A$3:$A$5001,"&lt;="&amp;$B156,BD!$V$3:$V$5001,"&lt;&gt;"))))</f>
        <v/>
      </c>
      <c r="G156" s="43" t="str">
        <f>IF(OR($B156="",$A156&gt;$B$9,G$136=""),"",IF(COUNTIFS(BD!$B$3:$B$5001,G$136,BD!$A$3:$A$5001,"&gt;="&amp;$C$7,BD!$A$3:$A$5001,"&lt;="&amp;$B156,BD!$V$3:$V$5001,"&lt;&gt;")=0,"",SUMIFS(BD!$V$3:$V$5001,BD!$B$3:$B$5001,G$136,BD!$A$3:$A$5001,_xlfn.MAXIFS(BD!$A$3:$A$5001,BD!$B$3:$B$5001,G$136,BD!$A$3:$A$5001,"&gt;="&amp;$C$7,BD!$A$3:$A$5001,"&lt;="&amp;$B156,BD!$V$3:$V$5001,"&lt;&gt;"))))</f>
        <v/>
      </c>
      <c r="H156" s="43" t="str">
        <f>IF(OR($B156="",$A156&gt;$B$9,H$136=""),"",IF(COUNTIFS(BD!$B$3:$B$5001,H$136,BD!$A$3:$A$5001,"&gt;="&amp;$C$7,BD!$A$3:$A$5001,"&lt;="&amp;$B156,BD!$V$3:$V$5001,"&lt;&gt;")=0,"",SUMIFS(BD!$V$3:$V$5001,BD!$B$3:$B$5001,H$136,BD!$A$3:$A$5001,_xlfn.MAXIFS(BD!$A$3:$A$5001,BD!$B$3:$B$5001,H$136,BD!$A$3:$A$5001,"&gt;="&amp;$C$7,BD!$A$3:$A$5001,"&lt;="&amp;$B156,BD!$V$3:$V$5001,"&lt;&gt;"))))</f>
        <v/>
      </c>
      <c r="I156" s="43" t="str">
        <f>IF(OR($B156="",$A156&gt;$B$9,I$136=""),"",IF(COUNTIFS(BD!$B$3:$B$5001,I$136,BD!$A$3:$A$5001,"&gt;="&amp;$C$7,BD!$A$3:$A$5001,"&lt;="&amp;$B156,BD!$V$3:$V$5001,"&lt;&gt;")=0,"",SUMIFS(BD!$V$3:$V$5001,BD!$B$3:$B$5001,I$136,BD!$A$3:$A$5001,_xlfn.MAXIFS(BD!$A$3:$A$5001,BD!$B$3:$B$5001,I$136,BD!$A$3:$A$5001,"&gt;="&amp;$C$7,BD!$A$3:$A$5001,"&lt;="&amp;$B156,BD!$V$3:$V$5001,"&lt;&gt;"))))</f>
        <v/>
      </c>
      <c r="J156" s="43" t="str">
        <f>IF(OR($B156="",$A156&gt;$B$9,J$136=""),"",IF(COUNTIFS(BD!$B$3:$B$5001,J$136,BD!$A$3:$A$5001,"&gt;="&amp;$C$7,BD!$A$3:$A$5001,"&lt;="&amp;$B156,BD!$V$3:$V$5001,"&lt;&gt;")=0,"",SUMIFS(BD!$V$3:$V$5001,BD!$B$3:$B$5001,J$136,BD!$A$3:$A$5001,_xlfn.MAXIFS(BD!$A$3:$A$5001,BD!$B$3:$B$5001,J$136,BD!$A$3:$A$5001,"&gt;="&amp;$C$7,BD!$A$3:$A$5001,"&lt;="&amp;$B156,BD!$V$3:$V$5001,"&lt;&gt;"))))</f>
        <v/>
      </c>
      <c r="K156" s="43" t="str">
        <f>IF(OR($B156="",$A156&gt;$B$9,K$136=""),"",IF(COUNTIFS(BD!$B$3:$B$5001,K$136,BD!$A$3:$A$5001,"&gt;="&amp;$C$7,BD!$A$3:$A$5001,"&lt;="&amp;$B156,BD!$V$3:$V$5001,"&lt;&gt;")=0,"",SUMIFS(BD!$V$3:$V$5001,BD!$B$3:$B$5001,K$136,BD!$A$3:$A$5001,_xlfn.MAXIFS(BD!$A$3:$A$5001,BD!$B$3:$B$5001,K$136,BD!$A$3:$A$5001,"&gt;="&amp;$C$7,BD!$A$3:$A$5001,"&lt;="&amp;$B156,BD!$V$3:$V$5001,"&lt;&gt;"))))</f>
        <v/>
      </c>
      <c r="L156" s="43" t="str">
        <f>IF(OR($B156="",$A156&gt;$B$9,L$136=""),"",IF(COUNTIFS(BD!$B$3:$B$5001,L$136,BD!$A$3:$A$5001,"&gt;="&amp;$C$7,BD!$A$3:$A$5001,"&lt;="&amp;$B156,BD!$V$3:$V$5001,"&lt;&gt;")=0,"",SUMIFS(BD!$V$3:$V$5001,BD!$B$3:$B$5001,L$136,BD!$A$3:$A$5001,_xlfn.MAXIFS(BD!$A$3:$A$5001,BD!$B$3:$B$5001,L$136,BD!$A$3:$A$5001,"&gt;="&amp;$C$7,BD!$A$3:$A$5001,"&lt;="&amp;$B156,BD!$V$3:$V$5001,"&lt;&gt;"))))</f>
        <v/>
      </c>
      <c r="M156" s="43" t="str">
        <f>IF(OR($B156="",$A156&gt;$B$9,M$136=""),"",IF(COUNTIFS(BD!$B$3:$B$5001,M$136,BD!$A$3:$A$5001,"&gt;="&amp;$C$7,BD!$A$3:$A$5001,"&lt;="&amp;$B156,BD!$V$3:$V$5001,"&lt;&gt;")=0,"",SUMIFS(BD!$V$3:$V$5001,BD!$B$3:$B$5001,M$136,BD!$A$3:$A$5001,_xlfn.MAXIFS(BD!$A$3:$A$5001,BD!$B$3:$B$5001,M$136,BD!$A$3:$A$5001,"&gt;="&amp;$C$7,BD!$A$3:$A$5001,"&lt;="&amp;$B156,BD!$V$3:$V$5001,"&lt;&gt;"))))</f>
        <v/>
      </c>
      <c r="N156" s="43" t="str">
        <f>IF(OR($B156="",$A156&gt;$B$9,N$136=""),"",IF(COUNTIFS(BD!$B$3:$B$5001,N$136,BD!$A$3:$A$5001,"&gt;="&amp;$C$7,BD!$A$3:$A$5001,"&lt;="&amp;$B156,BD!$V$3:$V$5001,"&lt;&gt;")=0,"",SUMIFS(BD!$V$3:$V$5001,BD!$B$3:$B$5001,N$136,BD!$A$3:$A$5001,_xlfn.MAXIFS(BD!$A$3:$A$5001,BD!$B$3:$B$5001,N$136,BD!$A$3:$A$5001,"&gt;="&amp;$C$7,BD!$A$3:$A$5001,"&lt;="&amp;$B156,BD!$V$3:$V$5001,"&lt;&gt;"))))</f>
        <v/>
      </c>
      <c r="O156" s="43" t="str">
        <f>IF(OR($B156="",$A156&gt;$B$9,O$136=""),"",IF(COUNTIFS(BD!$B$3:$B$5001,O$136,BD!$A$3:$A$5001,"&gt;="&amp;$C$7,BD!$A$3:$A$5001,"&lt;="&amp;$B156,BD!$V$3:$V$5001,"&lt;&gt;")=0,"",SUMIFS(BD!$V$3:$V$5001,BD!$B$3:$B$5001,O$136,BD!$A$3:$A$5001,_xlfn.MAXIFS(BD!$A$3:$A$5001,BD!$B$3:$B$5001,O$136,BD!$A$3:$A$5001,"&gt;="&amp;$C$7,BD!$A$3:$A$5001,"&lt;="&amp;$B156,BD!$V$3:$V$5001,"&lt;&gt;"))))</f>
        <v/>
      </c>
      <c r="P156" s="43" t="str">
        <f>IF(OR($B156="",$A156&gt;$B$9,P$136=""),"",IF(COUNTIFS(BD!$B$3:$B$5001,P$136,BD!$A$3:$A$5001,"&gt;="&amp;$C$7,BD!$A$3:$A$5001,"&lt;="&amp;$B156,BD!$V$3:$V$5001,"&lt;&gt;")=0,"",SUMIFS(BD!$V$3:$V$5001,BD!$B$3:$B$5001,P$136,BD!$A$3:$A$5001,_xlfn.MAXIFS(BD!$A$3:$A$5001,BD!$B$3:$B$5001,P$136,BD!$A$3:$A$5001,"&gt;="&amp;$C$7,BD!$A$3:$A$5001,"&lt;="&amp;$B156,BD!$V$3:$V$5001,"&lt;&gt;"))))</f>
        <v/>
      </c>
      <c r="Q156" s="43" t="str">
        <f>IF(OR($B156="",$A156&gt;$B$9,Q$136=""),"",IF(COUNTIFS(BD!$B$3:$B$5001,Q$136,BD!$A$3:$A$5001,"&gt;="&amp;$C$7,BD!$A$3:$A$5001,"&lt;="&amp;$B156,BD!$V$3:$V$5001,"&lt;&gt;")=0,"",SUMIFS(BD!$V$3:$V$5001,BD!$B$3:$B$5001,Q$136,BD!$A$3:$A$5001,_xlfn.MAXIFS(BD!$A$3:$A$5001,BD!$B$3:$B$5001,Q$136,BD!$A$3:$A$5001,"&gt;="&amp;$C$7,BD!$A$3:$A$5001,"&lt;="&amp;$B156,BD!$V$3:$V$5001,"&lt;&gt;"))))</f>
        <v/>
      </c>
      <c r="R156" s="43" t="str">
        <f>IF(OR($B156="",$A156&gt;$B$9,R$136=""),"",IF(COUNTIFS(BD!$B$3:$B$5001,R$136,BD!$A$3:$A$5001,"&gt;="&amp;$C$7,BD!$A$3:$A$5001,"&lt;="&amp;$B156,BD!$V$3:$V$5001,"&lt;&gt;")=0,"",SUMIFS(BD!$V$3:$V$5001,BD!$B$3:$B$5001,R$136,BD!$A$3:$A$5001,_xlfn.MAXIFS(BD!$A$3:$A$5001,BD!$B$3:$B$5001,R$136,BD!$A$3:$A$5001,"&gt;="&amp;$C$7,BD!$A$3:$A$5001,"&lt;="&amp;$B156,BD!$V$3:$V$5001,"&lt;&gt;"))))</f>
        <v/>
      </c>
      <c r="S156" s="43" t="str">
        <f>IF(OR($B156="",$A156&gt;$B$9,S$136=""),"",IF(COUNTIFS(BD!$B$3:$B$5001,S$136,BD!$A$3:$A$5001,"&gt;="&amp;$C$7,BD!$A$3:$A$5001,"&lt;="&amp;$B156,BD!$V$3:$V$5001,"&lt;&gt;")=0,"",SUMIFS(BD!$V$3:$V$5001,BD!$B$3:$B$5001,S$136,BD!$A$3:$A$5001,_xlfn.MAXIFS(BD!$A$3:$A$5001,BD!$B$3:$B$5001,S$136,BD!$A$3:$A$5001,"&gt;="&amp;$C$7,BD!$A$3:$A$5001,"&lt;="&amp;$B156,BD!$V$3:$V$5001,"&lt;&gt;"))))</f>
        <v/>
      </c>
      <c r="T156" s="43" t="str">
        <f>IF(OR($B156="",$A156&gt;$B$9,T$136=""),"",IF(COUNTIFS(BD!$B$3:$B$5001,T$136,BD!$A$3:$A$5001,"&gt;="&amp;$C$7,BD!$A$3:$A$5001,"&lt;="&amp;$B156,BD!$V$3:$V$5001,"&lt;&gt;")=0,"",SUMIFS(BD!$V$3:$V$5001,BD!$B$3:$B$5001,T$136,BD!$A$3:$A$5001,_xlfn.MAXIFS(BD!$A$3:$A$5001,BD!$B$3:$B$5001,T$136,BD!$A$3:$A$5001,"&gt;="&amp;$C$7,BD!$A$3:$A$5001,"&lt;="&amp;$B156,BD!$V$3:$V$5001,"&lt;&gt;"))))</f>
        <v/>
      </c>
      <c r="U156" s="43" t="str">
        <f>IF(OR($B156="",$A156&gt;$B$9,U$136=""),"",IF(COUNTIFS(BD!$B$3:$B$5001,U$136,BD!$A$3:$A$5001,"&gt;="&amp;$C$7,BD!$A$3:$A$5001,"&lt;="&amp;$B156,BD!$V$3:$V$5001,"&lt;&gt;")=0,"",SUMIFS(BD!$V$3:$V$5001,BD!$B$3:$B$5001,U$136,BD!$A$3:$A$5001,_xlfn.MAXIFS(BD!$A$3:$A$5001,BD!$B$3:$B$5001,U$136,BD!$A$3:$A$5001,"&gt;="&amp;$C$7,BD!$A$3:$A$5001,"&lt;="&amp;$B156,BD!$V$3:$V$5001,"&lt;&gt;"))))</f>
        <v/>
      </c>
      <c r="V156" s="43" t="str">
        <f>IF(OR($B156="",$A156&gt;$B$9,V$136=""),"",IF(COUNTIFS(BD!$B$3:$B$5001,V$136,BD!$A$3:$A$5001,"&gt;="&amp;$C$7,BD!$A$3:$A$5001,"&lt;="&amp;$B156,BD!$V$3:$V$5001,"&lt;&gt;")=0,"",SUMIFS(BD!$V$3:$V$5001,BD!$B$3:$B$5001,V$136,BD!$A$3:$A$5001,_xlfn.MAXIFS(BD!$A$3:$A$5001,BD!$B$3:$B$5001,V$136,BD!$A$3:$A$5001,"&gt;="&amp;$C$7,BD!$A$3:$A$5001,"&lt;="&amp;$B156,BD!$V$3:$V$5001,"&lt;&gt;"))))</f>
        <v/>
      </c>
    </row>
    <row r="157">
      <c r="A157" s="38">
        <v>21</v>
      </c>
      <c r="B157" s="42">
        <f>$B$32</f>
        <v>46316</v>
      </c>
      <c r="C157" s="43" t="str">
        <f>IF(OR($B157="",$A157&gt;$B$9,C$136=""),"",IF(COUNTIFS(BD!$B$3:$B$5001,C$136,BD!$A$3:$A$5001,"&gt;="&amp;$C$7,BD!$A$3:$A$5001,"&lt;="&amp;$B157,BD!$V$3:$V$5001,"&lt;&gt;")=0,"",SUMIFS(BD!$V$3:$V$5001,BD!$B$3:$B$5001,C$136,BD!$A$3:$A$5001,_xlfn.MAXIFS(BD!$A$3:$A$5001,BD!$B$3:$B$5001,C$136,BD!$A$3:$A$5001,"&gt;="&amp;$C$7,BD!$A$3:$A$5001,"&lt;="&amp;$B157,BD!$V$3:$V$5001,"&lt;&gt;"))))</f>
        <v/>
      </c>
      <c r="D157" s="43" t="str">
        <f>IF(OR($B157="",$A157&gt;$B$9,D$136=""),"",IF(COUNTIFS(BD!$B$3:$B$5001,D$136,BD!$A$3:$A$5001,"&gt;="&amp;$C$7,BD!$A$3:$A$5001,"&lt;="&amp;$B157,BD!$V$3:$V$5001,"&lt;&gt;")=0,"",SUMIFS(BD!$V$3:$V$5001,BD!$B$3:$B$5001,D$136,BD!$A$3:$A$5001,_xlfn.MAXIFS(BD!$A$3:$A$5001,BD!$B$3:$B$5001,D$136,BD!$A$3:$A$5001,"&gt;="&amp;$C$7,BD!$A$3:$A$5001,"&lt;="&amp;$B157,BD!$V$3:$V$5001,"&lt;&gt;"))))</f>
        <v/>
      </c>
      <c r="E157" s="43" t="str">
        <f>IF(OR($B157="",$A157&gt;$B$9,E$136=""),"",IF(COUNTIFS(BD!$B$3:$B$5001,E$136,BD!$A$3:$A$5001,"&gt;="&amp;$C$7,BD!$A$3:$A$5001,"&lt;="&amp;$B157,BD!$V$3:$V$5001,"&lt;&gt;")=0,"",SUMIFS(BD!$V$3:$V$5001,BD!$B$3:$B$5001,E$136,BD!$A$3:$A$5001,_xlfn.MAXIFS(BD!$A$3:$A$5001,BD!$B$3:$B$5001,E$136,BD!$A$3:$A$5001,"&gt;="&amp;$C$7,BD!$A$3:$A$5001,"&lt;="&amp;$B157,BD!$V$3:$V$5001,"&lt;&gt;"))))</f>
        <v/>
      </c>
      <c r="F157" s="43" t="str">
        <f>IF(OR($B157="",$A157&gt;$B$9,F$136=""),"",IF(COUNTIFS(BD!$B$3:$B$5001,F$136,BD!$A$3:$A$5001,"&gt;="&amp;$C$7,BD!$A$3:$A$5001,"&lt;="&amp;$B157,BD!$V$3:$V$5001,"&lt;&gt;")=0,"",SUMIFS(BD!$V$3:$V$5001,BD!$B$3:$B$5001,F$136,BD!$A$3:$A$5001,_xlfn.MAXIFS(BD!$A$3:$A$5001,BD!$B$3:$B$5001,F$136,BD!$A$3:$A$5001,"&gt;="&amp;$C$7,BD!$A$3:$A$5001,"&lt;="&amp;$B157,BD!$V$3:$V$5001,"&lt;&gt;"))))</f>
        <v/>
      </c>
      <c r="G157" s="43" t="str">
        <f>IF(OR($B157="",$A157&gt;$B$9,G$136=""),"",IF(COUNTIFS(BD!$B$3:$B$5001,G$136,BD!$A$3:$A$5001,"&gt;="&amp;$C$7,BD!$A$3:$A$5001,"&lt;="&amp;$B157,BD!$V$3:$V$5001,"&lt;&gt;")=0,"",SUMIFS(BD!$V$3:$V$5001,BD!$B$3:$B$5001,G$136,BD!$A$3:$A$5001,_xlfn.MAXIFS(BD!$A$3:$A$5001,BD!$B$3:$B$5001,G$136,BD!$A$3:$A$5001,"&gt;="&amp;$C$7,BD!$A$3:$A$5001,"&lt;="&amp;$B157,BD!$V$3:$V$5001,"&lt;&gt;"))))</f>
        <v/>
      </c>
      <c r="H157" s="43" t="str">
        <f>IF(OR($B157="",$A157&gt;$B$9,H$136=""),"",IF(COUNTIFS(BD!$B$3:$B$5001,H$136,BD!$A$3:$A$5001,"&gt;="&amp;$C$7,BD!$A$3:$A$5001,"&lt;="&amp;$B157,BD!$V$3:$V$5001,"&lt;&gt;")=0,"",SUMIFS(BD!$V$3:$V$5001,BD!$B$3:$B$5001,H$136,BD!$A$3:$A$5001,_xlfn.MAXIFS(BD!$A$3:$A$5001,BD!$B$3:$B$5001,H$136,BD!$A$3:$A$5001,"&gt;="&amp;$C$7,BD!$A$3:$A$5001,"&lt;="&amp;$B157,BD!$V$3:$V$5001,"&lt;&gt;"))))</f>
        <v/>
      </c>
      <c r="I157" s="43" t="str">
        <f>IF(OR($B157="",$A157&gt;$B$9,I$136=""),"",IF(COUNTIFS(BD!$B$3:$B$5001,I$136,BD!$A$3:$A$5001,"&gt;="&amp;$C$7,BD!$A$3:$A$5001,"&lt;="&amp;$B157,BD!$V$3:$V$5001,"&lt;&gt;")=0,"",SUMIFS(BD!$V$3:$V$5001,BD!$B$3:$B$5001,I$136,BD!$A$3:$A$5001,_xlfn.MAXIFS(BD!$A$3:$A$5001,BD!$B$3:$B$5001,I$136,BD!$A$3:$A$5001,"&gt;="&amp;$C$7,BD!$A$3:$A$5001,"&lt;="&amp;$B157,BD!$V$3:$V$5001,"&lt;&gt;"))))</f>
        <v/>
      </c>
      <c r="J157" s="43" t="str">
        <f>IF(OR($B157="",$A157&gt;$B$9,J$136=""),"",IF(COUNTIFS(BD!$B$3:$B$5001,J$136,BD!$A$3:$A$5001,"&gt;="&amp;$C$7,BD!$A$3:$A$5001,"&lt;="&amp;$B157,BD!$V$3:$V$5001,"&lt;&gt;")=0,"",SUMIFS(BD!$V$3:$V$5001,BD!$B$3:$B$5001,J$136,BD!$A$3:$A$5001,_xlfn.MAXIFS(BD!$A$3:$A$5001,BD!$B$3:$B$5001,J$136,BD!$A$3:$A$5001,"&gt;="&amp;$C$7,BD!$A$3:$A$5001,"&lt;="&amp;$B157,BD!$V$3:$V$5001,"&lt;&gt;"))))</f>
        <v/>
      </c>
      <c r="K157" s="43" t="str">
        <f>IF(OR($B157="",$A157&gt;$B$9,K$136=""),"",IF(COUNTIFS(BD!$B$3:$B$5001,K$136,BD!$A$3:$A$5001,"&gt;="&amp;$C$7,BD!$A$3:$A$5001,"&lt;="&amp;$B157,BD!$V$3:$V$5001,"&lt;&gt;")=0,"",SUMIFS(BD!$V$3:$V$5001,BD!$B$3:$B$5001,K$136,BD!$A$3:$A$5001,_xlfn.MAXIFS(BD!$A$3:$A$5001,BD!$B$3:$B$5001,K$136,BD!$A$3:$A$5001,"&gt;="&amp;$C$7,BD!$A$3:$A$5001,"&lt;="&amp;$B157,BD!$V$3:$V$5001,"&lt;&gt;"))))</f>
        <v/>
      </c>
      <c r="L157" s="43" t="str">
        <f>IF(OR($B157="",$A157&gt;$B$9,L$136=""),"",IF(COUNTIFS(BD!$B$3:$B$5001,L$136,BD!$A$3:$A$5001,"&gt;="&amp;$C$7,BD!$A$3:$A$5001,"&lt;="&amp;$B157,BD!$V$3:$V$5001,"&lt;&gt;")=0,"",SUMIFS(BD!$V$3:$V$5001,BD!$B$3:$B$5001,L$136,BD!$A$3:$A$5001,_xlfn.MAXIFS(BD!$A$3:$A$5001,BD!$B$3:$B$5001,L$136,BD!$A$3:$A$5001,"&gt;="&amp;$C$7,BD!$A$3:$A$5001,"&lt;="&amp;$B157,BD!$V$3:$V$5001,"&lt;&gt;"))))</f>
        <v/>
      </c>
      <c r="M157" s="43" t="str">
        <f>IF(OR($B157="",$A157&gt;$B$9,M$136=""),"",IF(COUNTIFS(BD!$B$3:$B$5001,M$136,BD!$A$3:$A$5001,"&gt;="&amp;$C$7,BD!$A$3:$A$5001,"&lt;="&amp;$B157,BD!$V$3:$V$5001,"&lt;&gt;")=0,"",SUMIFS(BD!$V$3:$V$5001,BD!$B$3:$B$5001,M$136,BD!$A$3:$A$5001,_xlfn.MAXIFS(BD!$A$3:$A$5001,BD!$B$3:$B$5001,M$136,BD!$A$3:$A$5001,"&gt;="&amp;$C$7,BD!$A$3:$A$5001,"&lt;="&amp;$B157,BD!$V$3:$V$5001,"&lt;&gt;"))))</f>
        <v/>
      </c>
      <c r="N157" s="43" t="str">
        <f>IF(OR($B157="",$A157&gt;$B$9,N$136=""),"",IF(COUNTIFS(BD!$B$3:$B$5001,N$136,BD!$A$3:$A$5001,"&gt;="&amp;$C$7,BD!$A$3:$A$5001,"&lt;="&amp;$B157,BD!$V$3:$V$5001,"&lt;&gt;")=0,"",SUMIFS(BD!$V$3:$V$5001,BD!$B$3:$B$5001,N$136,BD!$A$3:$A$5001,_xlfn.MAXIFS(BD!$A$3:$A$5001,BD!$B$3:$B$5001,N$136,BD!$A$3:$A$5001,"&gt;="&amp;$C$7,BD!$A$3:$A$5001,"&lt;="&amp;$B157,BD!$V$3:$V$5001,"&lt;&gt;"))))</f>
        <v/>
      </c>
      <c r="O157" s="43" t="str">
        <f>IF(OR($B157="",$A157&gt;$B$9,O$136=""),"",IF(COUNTIFS(BD!$B$3:$B$5001,O$136,BD!$A$3:$A$5001,"&gt;="&amp;$C$7,BD!$A$3:$A$5001,"&lt;="&amp;$B157,BD!$V$3:$V$5001,"&lt;&gt;")=0,"",SUMIFS(BD!$V$3:$V$5001,BD!$B$3:$B$5001,O$136,BD!$A$3:$A$5001,_xlfn.MAXIFS(BD!$A$3:$A$5001,BD!$B$3:$B$5001,O$136,BD!$A$3:$A$5001,"&gt;="&amp;$C$7,BD!$A$3:$A$5001,"&lt;="&amp;$B157,BD!$V$3:$V$5001,"&lt;&gt;"))))</f>
        <v/>
      </c>
      <c r="P157" s="43" t="str">
        <f>IF(OR($B157="",$A157&gt;$B$9,P$136=""),"",IF(COUNTIFS(BD!$B$3:$B$5001,P$136,BD!$A$3:$A$5001,"&gt;="&amp;$C$7,BD!$A$3:$A$5001,"&lt;="&amp;$B157,BD!$V$3:$V$5001,"&lt;&gt;")=0,"",SUMIFS(BD!$V$3:$V$5001,BD!$B$3:$B$5001,P$136,BD!$A$3:$A$5001,_xlfn.MAXIFS(BD!$A$3:$A$5001,BD!$B$3:$B$5001,P$136,BD!$A$3:$A$5001,"&gt;="&amp;$C$7,BD!$A$3:$A$5001,"&lt;="&amp;$B157,BD!$V$3:$V$5001,"&lt;&gt;"))))</f>
        <v/>
      </c>
      <c r="Q157" s="43" t="str">
        <f>IF(OR($B157="",$A157&gt;$B$9,Q$136=""),"",IF(COUNTIFS(BD!$B$3:$B$5001,Q$136,BD!$A$3:$A$5001,"&gt;="&amp;$C$7,BD!$A$3:$A$5001,"&lt;="&amp;$B157,BD!$V$3:$V$5001,"&lt;&gt;")=0,"",SUMIFS(BD!$V$3:$V$5001,BD!$B$3:$B$5001,Q$136,BD!$A$3:$A$5001,_xlfn.MAXIFS(BD!$A$3:$A$5001,BD!$B$3:$B$5001,Q$136,BD!$A$3:$A$5001,"&gt;="&amp;$C$7,BD!$A$3:$A$5001,"&lt;="&amp;$B157,BD!$V$3:$V$5001,"&lt;&gt;"))))</f>
        <v/>
      </c>
      <c r="R157" s="43" t="str">
        <f>IF(OR($B157="",$A157&gt;$B$9,R$136=""),"",IF(COUNTIFS(BD!$B$3:$B$5001,R$136,BD!$A$3:$A$5001,"&gt;="&amp;$C$7,BD!$A$3:$A$5001,"&lt;="&amp;$B157,BD!$V$3:$V$5001,"&lt;&gt;")=0,"",SUMIFS(BD!$V$3:$V$5001,BD!$B$3:$B$5001,R$136,BD!$A$3:$A$5001,_xlfn.MAXIFS(BD!$A$3:$A$5001,BD!$B$3:$B$5001,R$136,BD!$A$3:$A$5001,"&gt;="&amp;$C$7,BD!$A$3:$A$5001,"&lt;="&amp;$B157,BD!$V$3:$V$5001,"&lt;&gt;"))))</f>
        <v/>
      </c>
      <c r="S157" s="43" t="str">
        <f>IF(OR($B157="",$A157&gt;$B$9,S$136=""),"",IF(COUNTIFS(BD!$B$3:$B$5001,S$136,BD!$A$3:$A$5001,"&gt;="&amp;$C$7,BD!$A$3:$A$5001,"&lt;="&amp;$B157,BD!$V$3:$V$5001,"&lt;&gt;")=0,"",SUMIFS(BD!$V$3:$V$5001,BD!$B$3:$B$5001,S$136,BD!$A$3:$A$5001,_xlfn.MAXIFS(BD!$A$3:$A$5001,BD!$B$3:$B$5001,S$136,BD!$A$3:$A$5001,"&gt;="&amp;$C$7,BD!$A$3:$A$5001,"&lt;="&amp;$B157,BD!$V$3:$V$5001,"&lt;&gt;"))))</f>
        <v/>
      </c>
      <c r="T157" s="43" t="str">
        <f>IF(OR($B157="",$A157&gt;$B$9,T$136=""),"",IF(COUNTIFS(BD!$B$3:$B$5001,T$136,BD!$A$3:$A$5001,"&gt;="&amp;$C$7,BD!$A$3:$A$5001,"&lt;="&amp;$B157,BD!$V$3:$V$5001,"&lt;&gt;")=0,"",SUMIFS(BD!$V$3:$V$5001,BD!$B$3:$B$5001,T$136,BD!$A$3:$A$5001,_xlfn.MAXIFS(BD!$A$3:$A$5001,BD!$B$3:$B$5001,T$136,BD!$A$3:$A$5001,"&gt;="&amp;$C$7,BD!$A$3:$A$5001,"&lt;="&amp;$B157,BD!$V$3:$V$5001,"&lt;&gt;"))))</f>
        <v/>
      </c>
      <c r="U157" s="43" t="str">
        <f>IF(OR($B157="",$A157&gt;$B$9,U$136=""),"",IF(COUNTIFS(BD!$B$3:$B$5001,U$136,BD!$A$3:$A$5001,"&gt;="&amp;$C$7,BD!$A$3:$A$5001,"&lt;="&amp;$B157,BD!$V$3:$V$5001,"&lt;&gt;")=0,"",SUMIFS(BD!$V$3:$V$5001,BD!$B$3:$B$5001,U$136,BD!$A$3:$A$5001,_xlfn.MAXIFS(BD!$A$3:$A$5001,BD!$B$3:$B$5001,U$136,BD!$A$3:$A$5001,"&gt;="&amp;$C$7,BD!$A$3:$A$5001,"&lt;="&amp;$B157,BD!$V$3:$V$5001,"&lt;&gt;"))))</f>
        <v/>
      </c>
      <c r="V157" s="43" t="str">
        <f>IF(OR($B157="",$A157&gt;$B$9,V$136=""),"",IF(COUNTIFS(BD!$B$3:$B$5001,V$136,BD!$A$3:$A$5001,"&gt;="&amp;$C$7,BD!$A$3:$A$5001,"&lt;="&amp;$B157,BD!$V$3:$V$5001,"&lt;&gt;")=0,"",SUMIFS(BD!$V$3:$V$5001,BD!$B$3:$B$5001,V$136,BD!$A$3:$A$5001,_xlfn.MAXIFS(BD!$A$3:$A$5001,BD!$B$3:$B$5001,V$136,BD!$A$3:$A$5001,"&gt;="&amp;$C$7,BD!$A$3:$A$5001,"&lt;="&amp;$B157,BD!$V$3:$V$5001,"&lt;&gt;"))))</f>
        <v/>
      </c>
    </row>
    <row r="158">
      <c r="A158" s="38">
        <v>22</v>
      </c>
      <c r="B158" s="42">
        <f>$B$33</f>
        <v>46317</v>
      </c>
      <c r="C158" s="43" t="str">
        <f>IF(OR($B158="",$A158&gt;$B$9,C$136=""),"",IF(COUNTIFS(BD!$B$3:$B$5001,C$136,BD!$A$3:$A$5001,"&gt;="&amp;$C$7,BD!$A$3:$A$5001,"&lt;="&amp;$B158,BD!$V$3:$V$5001,"&lt;&gt;")=0,"",SUMIFS(BD!$V$3:$V$5001,BD!$B$3:$B$5001,C$136,BD!$A$3:$A$5001,_xlfn.MAXIFS(BD!$A$3:$A$5001,BD!$B$3:$B$5001,C$136,BD!$A$3:$A$5001,"&gt;="&amp;$C$7,BD!$A$3:$A$5001,"&lt;="&amp;$B158,BD!$V$3:$V$5001,"&lt;&gt;"))))</f>
        <v/>
      </c>
      <c r="D158" s="43" t="str">
        <f>IF(OR($B158="",$A158&gt;$B$9,D$136=""),"",IF(COUNTIFS(BD!$B$3:$B$5001,D$136,BD!$A$3:$A$5001,"&gt;="&amp;$C$7,BD!$A$3:$A$5001,"&lt;="&amp;$B158,BD!$V$3:$V$5001,"&lt;&gt;")=0,"",SUMIFS(BD!$V$3:$V$5001,BD!$B$3:$B$5001,D$136,BD!$A$3:$A$5001,_xlfn.MAXIFS(BD!$A$3:$A$5001,BD!$B$3:$B$5001,D$136,BD!$A$3:$A$5001,"&gt;="&amp;$C$7,BD!$A$3:$A$5001,"&lt;="&amp;$B158,BD!$V$3:$V$5001,"&lt;&gt;"))))</f>
        <v/>
      </c>
      <c r="E158" s="43" t="str">
        <f>IF(OR($B158="",$A158&gt;$B$9,E$136=""),"",IF(COUNTIFS(BD!$B$3:$B$5001,E$136,BD!$A$3:$A$5001,"&gt;="&amp;$C$7,BD!$A$3:$A$5001,"&lt;="&amp;$B158,BD!$V$3:$V$5001,"&lt;&gt;")=0,"",SUMIFS(BD!$V$3:$V$5001,BD!$B$3:$B$5001,E$136,BD!$A$3:$A$5001,_xlfn.MAXIFS(BD!$A$3:$A$5001,BD!$B$3:$B$5001,E$136,BD!$A$3:$A$5001,"&gt;="&amp;$C$7,BD!$A$3:$A$5001,"&lt;="&amp;$B158,BD!$V$3:$V$5001,"&lt;&gt;"))))</f>
        <v/>
      </c>
      <c r="F158" s="43" t="str">
        <f>IF(OR($B158="",$A158&gt;$B$9,F$136=""),"",IF(COUNTIFS(BD!$B$3:$B$5001,F$136,BD!$A$3:$A$5001,"&gt;="&amp;$C$7,BD!$A$3:$A$5001,"&lt;="&amp;$B158,BD!$V$3:$V$5001,"&lt;&gt;")=0,"",SUMIFS(BD!$V$3:$V$5001,BD!$B$3:$B$5001,F$136,BD!$A$3:$A$5001,_xlfn.MAXIFS(BD!$A$3:$A$5001,BD!$B$3:$B$5001,F$136,BD!$A$3:$A$5001,"&gt;="&amp;$C$7,BD!$A$3:$A$5001,"&lt;="&amp;$B158,BD!$V$3:$V$5001,"&lt;&gt;"))))</f>
        <v/>
      </c>
      <c r="G158" s="43" t="str">
        <f>IF(OR($B158="",$A158&gt;$B$9,G$136=""),"",IF(COUNTIFS(BD!$B$3:$B$5001,G$136,BD!$A$3:$A$5001,"&gt;="&amp;$C$7,BD!$A$3:$A$5001,"&lt;="&amp;$B158,BD!$V$3:$V$5001,"&lt;&gt;")=0,"",SUMIFS(BD!$V$3:$V$5001,BD!$B$3:$B$5001,G$136,BD!$A$3:$A$5001,_xlfn.MAXIFS(BD!$A$3:$A$5001,BD!$B$3:$B$5001,G$136,BD!$A$3:$A$5001,"&gt;="&amp;$C$7,BD!$A$3:$A$5001,"&lt;="&amp;$B158,BD!$V$3:$V$5001,"&lt;&gt;"))))</f>
        <v/>
      </c>
      <c r="H158" s="43" t="str">
        <f>IF(OR($B158="",$A158&gt;$B$9,H$136=""),"",IF(COUNTIFS(BD!$B$3:$B$5001,H$136,BD!$A$3:$A$5001,"&gt;="&amp;$C$7,BD!$A$3:$A$5001,"&lt;="&amp;$B158,BD!$V$3:$V$5001,"&lt;&gt;")=0,"",SUMIFS(BD!$V$3:$V$5001,BD!$B$3:$B$5001,H$136,BD!$A$3:$A$5001,_xlfn.MAXIFS(BD!$A$3:$A$5001,BD!$B$3:$B$5001,H$136,BD!$A$3:$A$5001,"&gt;="&amp;$C$7,BD!$A$3:$A$5001,"&lt;="&amp;$B158,BD!$V$3:$V$5001,"&lt;&gt;"))))</f>
        <v/>
      </c>
      <c r="I158" s="43" t="str">
        <f>IF(OR($B158="",$A158&gt;$B$9,I$136=""),"",IF(COUNTIFS(BD!$B$3:$B$5001,I$136,BD!$A$3:$A$5001,"&gt;="&amp;$C$7,BD!$A$3:$A$5001,"&lt;="&amp;$B158,BD!$V$3:$V$5001,"&lt;&gt;")=0,"",SUMIFS(BD!$V$3:$V$5001,BD!$B$3:$B$5001,I$136,BD!$A$3:$A$5001,_xlfn.MAXIFS(BD!$A$3:$A$5001,BD!$B$3:$B$5001,I$136,BD!$A$3:$A$5001,"&gt;="&amp;$C$7,BD!$A$3:$A$5001,"&lt;="&amp;$B158,BD!$V$3:$V$5001,"&lt;&gt;"))))</f>
        <v/>
      </c>
      <c r="J158" s="43" t="str">
        <f>IF(OR($B158="",$A158&gt;$B$9,J$136=""),"",IF(COUNTIFS(BD!$B$3:$B$5001,J$136,BD!$A$3:$A$5001,"&gt;="&amp;$C$7,BD!$A$3:$A$5001,"&lt;="&amp;$B158,BD!$V$3:$V$5001,"&lt;&gt;")=0,"",SUMIFS(BD!$V$3:$V$5001,BD!$B$3:$B$5001,J$136,BD!$A$3:$A$5001,_xlfn.MAXIFS(BD!$A$3:$A$5001,BD!$B$3:$B$5001,J$136,BD!$A$3:$A$5001,"&gt;="&amp;$C$7,BD!$A$3:$A$5001,"&lt;="&amp;$B158,BD!$V$3:$V$5001,"&lt;&gt;"))))</f>
        <v/>
      </c>
      <c r="K158" s="43" t="str">
        <f>IF(OR($B158="",$A158&gt;$B$9,K$136=""),"",IF(COUNTIFS(BD!$B$3:$B$5001,K$136,BD!$A$3:$A$5001,"&gt;="&amp;$C$7,BD!$A$3:$A$5001,"&lt;="&amp;$B158,BD!$V$3:$V$5001,"&lt;&gt;")=0,"",SUMIFS(BD!$V$3:$V$5001,BD!$B$3:$B$5001,K$136,BD!$A$3:$A$5001,_xlfn.MAXIFS(BD!$A$3:$A$5001,BD!$B$3:$B$5001,K$136,BD!$A$3:$A$5001,"&gt;="&amp;$C$7,BD!$A$3:$A$5001,"&lt;="&amp;$B158,BD!$V$3:$V$5001,"&lt;&gt;"))))</f>
        <v/>
      </c>
      <c r="L158" s="43" t="str">
        <f>IF(OR($B158="",$A158&gt;$B$9,L$136=""),"",IF(COUNTIFS(BD!$B$3:$B$5001,L$136,BD!$A$3:$A$5001,"&gt;="&amp;$C$7,BD!$A$3:$A$5001,"&lt;="&amp;$B158,BD!$V$3:$V$5001,"&lt;&gt;")=0,"",SUMIFS(BD!$V$3:$V$5001,BD!$B$3:$B$5001,L$136,BD!$A$3:$A$5001,_xlfn.MAXIFS(BD!$A$3:$A$5001,BD!$B$3:$B$5001,L$136,BD!$A$3:$A$5001,"&gt;="&amp;$C$7,BD!$A$3:$A$5001,"&lt;="&amp;$B158,BD!$V$3:$V$5001,"&lt;&gt;"))))</f>
        <v/>
      </c>
      <c r="M158" s="43" t="str">
        <f>IF(OR($B158="",$A158&gt;$B$9,M$136=""),"",IF(COUNTIFS(BD!$B$3:$B$5001,M$136,BD!$A$3:$A$5001,"&gt;="&amp;$C$7,BD!$A$3:$A$5001,"&lt;="&amp;$B158,BD!$V$3:$V$5001,"&lt;&gt;")=0,"",SUMIFS(BD!$V$3:$V$5001,BD!$B$3:$B$5001,M$136,BD!$A$3:$A$5001,_xlfn.MAXIFS(BD!$A$3:$A$5001,BD!$B$3:$B$5001,M$136,BD!$A$3:$A$5001,"&gt;="&amp;$C$7,BD!$A$3:$A$5001,"&lt;="&amp;$B158,BD!$V$3:$V$5001,"&lt;&gt;"))))</f>
        <v/>
      </c>
      <c r="N158" s="43" t="str">
        <f>IF(OR($B158="",$A158&gt;$B$9,N$136=""),"",IF(COUNTIFS(BD!$B$3:$B$5001,N$136,BD!$A$3:$A$5001,"&gt;="&amp;$C$7,BD!$A$3:$A$5001,"&lt;="&amp;$B158,BD!$V$3:$V$5001,"&lt;&gt;")=0,"",SUMIFS(BD!$V$3:$V$5001,BD!$B$3:$B$5001,N$136,BD!$A$3:$A$5001,_xlfn.MAXIFS(BD!$A$3:$A$5001,BD!$B$3:$B$5001,N$136,BD!$A$3:$A$5001,"&gt;="&amp;$C$7,BD!$A$3:$A$5001,"&lt;="&amp;$B158,BD!$V$3:$V$5001,"&lt;&gt;"))))</f>
        <v/>
      </c>
      <c r="O158" s="43" t="str">
        <f>IF(OR($B158="",$A158&gt;$B$9,O$136=""),"",IF(COUNTIFS(BD!$B$3:$B$5001,O$136,BD!$A$3:$A$5001,"&gt;="&amp;$C$7,BD!$A$3:$A$5001,"&lt;="&amp;$B158,BD!$V$3:$V$5001,"&lt;&gt;")=0,"",SUMIFS(BD!$V$3:$V$5001,BD!$B$3:$B$5001,O$136,BD!$A$3:$A$5001,_xlfn.MAXIFS(BD!$A$3:$A$5001,BD!$B$3:$B$5001,O$136,BD!$A$3:$A$5001,"&gt;="&amp;$C$7,BD!$A$3:$A$5001,"&lt;="&amp;$B158,BD!$V$3:$V$5001,"&lt;&gt;"))))</f>
        <v/>
      </c>
      <c r="P158" s="43" t="str">
        <f>IF(OR($B158="",$A158&gt;$B$9,P$136=""),"",IF(COUNTIFS(BD!$B$3:$B$5001,P$136,BD!$A$3:$A$5001,"&gt;="&amp;$C$7,BD!$A$3:$A$5001,"&lt;="&amp;$B158,BD!$V$3:$V$5001,"&lt;&gt;")=0,"",SUMIFS(BD!$V$3:$V$5001,BD!$B$3:$B$5001,P$136,BD!$A$3:$A$5001,_xlfn.MAXIFS(BD!$A$3:$A$5001,BD!$B$3:$B$5001,P$136,BD!$A$3:$A$5001,"&gt;="&amp;$C$7,BD!$A$3:$A$5001,"&lt;="&amp;$B158,BD!$V$3:$V$5001,"&lt;&gt;"))))</f>
        <v/>
      </c>
      <c r="Q158" s="43" t="str">
        <f>IF(OR($B158="",$A158&gt;$B$9,Q$136=""),"",IF(COUNTIFS(BD!$B$3:$B$5001,Q$136,BD!$A$3:$A$5001,"&gt;="&amp;$C$7,BD!$A$3:$A$5001,"&lt;="&amp;$B158,BD!$V$3:$V$5001,"&lt;&gt;")=0,"",SUMIFS(BD!$V$3:$V$5001,BD!$B$3:$B$5001,Q$136,BD!$A$3:$A$5001,_xlfn.MAXIFS(BD!$A$3:$A$5001,BD!$B$3:$B$5001,Q$136,BD!$A$3:$A$5001,"&gt;="&amp;$C$7,BD!$A$3:$A$5001,"&lt;="&amp;$B158,BD!$V$3:$V$5001,"&lt;&gt;"))))</f>
        <v/>
      </c>
      <c r="R158" s="43" t="str">
        <f>IF(OR($B158="",$A158&gt;$B$9,R$136=""),"",IF(COUNTIFS(BD!$B$3:$B$5001,R$136,BD!$A$3:$A$5001,"&gt;="&amp;$C$7,BD!$A$3:$A$5001,"&lt;="&amp;$B158,BD!$V$3:$V$5001,"&lt;&gt;")=0,"",SUMIFS(BD!$V$3:$V$5001,BD!$B$3:$B$5001,R$136,BD!$A$3:$A$5001,_xlfn.MAXIFS(BD!$A$3:$A$5001,BD!$B$3:$B$5001,R$136,BD!$A$3:$A$5001,"&gt;="&amp;$C$7,BD!$A$3:$A$5001,"&lt;="&amp;$B158,BD!$V$3:$V$5001,"&lt;&gt;"))))</f>
        <v/>
      </c>
      <c r="S158" s="43" t="str">
        <f>IF(OR($B158="",$A158&gt;$B$9,S$136=""),"",IF(COUNTIFS(BD!$B$3:$B$5001,S$136,BD!$A$3:$A$5001,"&gt;="&amp;$C$7,BD!$A$3:$A$5001,"&lt;="&amp;$B158,BD!$V$3:$V$5001,"&lt;&gt;")=0,"",SUMIFS(BD!$V$3:$V$5001,BD!$B$3:$B$5001,S$136,BD!$A$3:$A$5001,_xlfn.MAXIFS(BD!$A$3:$A$5001,BD!$B$3:$B$5001,S$136,BD!$A$3:$A$5001,"&gt;="&amp;$C$7,BD!$A$3:$A$5001,"&lt;="&amp;$B158,BD!$V$3:$V$5001,"&lt;&gt;"))))</f>
        <v/>
      </c>
      <c r="T158" s="43" t="str">
        <f>IF(OR($B158="",$A158&gt;$B$9,T$136=""),"",IF(COUNTIFS(BD!$B$3:$B$5001,T$136,BD!$A$3:$A$5001,"&gt;="&amp;$C$7,BD!$A$3:$A$5001,"&lt;="&amp;$B158,BD!$V$3:$V$5001,"&lt;&gt;")=0,"",SUMIFS(BD!$V$3:$V$5001,BD!$B$3:$B$5001,T$136,BD!$A$3:$A$5001,_xlfn.MAXIFS(BD!$A$3:$A$5001,BD!$B$3:$B$5001,T$136,BD!$A$3:$A$5001,"&gt;="&amp;$C$7,BD!$A$3:$A$5001,"&lt;="&amp;$B158,BD!$V$3:$V$5001,"&lt;&gt;"))))</f>
        <v/>
      </c>
      <c r="U158" s="43" t="str">
        <f>IF(OR($B158="",$A158&gt;$B$9,U$136=""),"",IF(COUNTIFS(BD!$B$3:$B$5001,U$136,BD!$A$3:$A$5001,"&gt;="&amp;$C$7,BD!$A$3:$A$5001,"&lt;="&amp;$B158,BD!$V$3:$V$5001,"&lt;&gt;")=0,"",SUMIFS(BD!$V$3:$V$5001,BD!$B$3:$B$5001,U$136,BD!$A$3:$A$5001,_xlfn.MAXIFS(BD!$A$3:$A$5001,BD!$B$3:$B$5001,U$136,BD!$A$3:$A$5001,"&gt;="&amp;$C$7,BD!$A$3:$A$5001,"&lt;="&amp;$B158,BD!$V$3:$V$5001,"&lt;&gt;"))))</f>
        <v/>
      </c>
      <c r="V158" s="43" t="str">
        <f>IF(OR($B158="",$A158&gt;$B$9,V$136=""),"",IF(COUNTIFS(BD!$B$3:$B$5001,V$136,BD!$A$3:$A$5001,"&gt;="&amp;$C$7,BD!$A$3:$A$5001,"&lt;="&amp;$B158,BD!$V$3:$V$5001,"&lt;&gt;")=0,"",SUMIFS(BD!$V$3:$V$5001,BD!$B$3:$B$5001,V$136,BD!$A$3:$A$5001,_xlfn.MAXIFS(BD!$A$3:$A$5001,BD!$B$3:$B$5001,V$136,BD!$A$3:$A$5001,"&gt;="&amp;$C$7,BD!$A$3:$A$5001,"&lt;="&amp;$B158,BD!$V$3:$V$5001,"&lt;&gt;"))))</f>
        <v/>
      </c>
    </row>
    <row r="159">
      <c r="A159" s="38">
        <v>23</v>
      </c>
      <c r="B159" s="42">
        <f>$B$34</f>
        <v>46318</v>
      </c>
      <c r="C159" s="43" t="str">
        <f>IF(OR($B159="",$A159&gt;$B$9,C$136=""),"",IF(COUNTIFS(BD!$B$3:$B$5001,C$136,BD!$A$3:$A$5001,"&gt;="&amp;$C$7,BD!$A$3:$A$5001,"&lt;="&amp;$B159,BD!$V$3:$V$5001,"&lt;&gt;")=0,"",SUMIFS(BD!$V$3:$V$5001,BD!$B$3:$B$5001,C$136,BD!$A$3:$A$5001,_xlfn.MAXIFS(BD!$A$3:$A$5001,BD!$B$3:$B$5001,C$136,BD!$A$3:$A$5001,"&gt;="&amp;$C$7,BD!$A$3:$A$5001,"&lt;="&amp;$B159,BD!$V$3:$V$5001,"&lt;&gt;"))))</f>
        <v/>
      </c>
      <c r="D159" s="43" t="str">
        <f>IF(OR($B159="",$A159&gt;$B$9,D$136=""),"",IF(COUNTIFS(BD!$B$3:$B$5001,D$136,BD!$A$3:$A$5001,"&gt;="&amp;$C$7,BD!$A$3:$A$5001,"&lt;="&amp;$B159,BD!$V$3:$V$5001,"&lt;&gt;")=0,"",SUMIFS(BD!$V$3:$V$5001,BD!$B$3:$B$5001,D$136,BD!$A$3:$A$5001,_xlfn.MAXIFS(BD!$A$3:$A$5001,BD!$B$3:$B$5001,D$136,BD!$A$3:$A$5001,"&gt;="&amp;$C$7,BD!$A$3:$A$5001,"&lt;="&amp;$B159,BD!$V$3:$V$5001,"&lt;&gt;"))))</f>
        <v/>
      </c>
      <c r="E159" s="43" t="str">
        <f>IF(OR($B159="",$A159&gt;$B$9,E$136=""),"",IF(COUNTIFS(BD!$B$3:$B$5001,E$136,BD!$A$3:$A$5001,"&gt;="&amp;$C$7,BD!$A$3:$A$5001,"&lt;="&amp;$B159,BD!$V$3:$V$5001,"&lt;&gt;")=0,"",SUMIFS(BD!$V$3:$V$5001,BD!$B$3:$B$5001,E$136,BD!$A$3:$A$5001,_xlfn.MAXIFS(BD!$A$3:$A$5001,BD!$B$3:$B$5001,E$136,BD!$A$3:$A$5001,"&gt;="&amp;$C$7,BD!$A$3:$A$5001,"&lt;="&amp;$B159,BD!$V$3:$V$5001,"&lt;&gt;"))))</f>
        <v/>
      </c>
      <c r="F159" s="43" t="str">
        <f>IF(OR($B159="",$A159&gt;$B$9,F$136=""),"",IF(COUNTIFS(BD!$B$3:$B$5001,F$136,BD!$A$3:$A$5001,"&gt;="&amp;$C$7,BD!$A$3:$A$5001,"&lt;="&amp;$B159,BD!$V$3:$V$5001,"&lt;&gt;")=0,"",SUMIFS(BD!$V$3:$V$5001,BD!$B$3:$B$5001,F$136,BD!$A$3:$A$5001,_xlfn.MAXIFS(BD!$A$3:$A$5001,BD!$B$3:$B$5001,F$136,BD!$A$3:$A$5001,"&gt;="&amp;$C$7,BD!$A$3:$A$5001,"&lt;="&amp;$B159,BD!$V$3:$V$5001,"&lt;&gt;"))))</f>
        <v/>
      </c>
      <c r="G159" s="43" t="str">
        <f>IF(OR($B159="",$A159&gt;$B$9,G$136=""),"",IF(COUNTIFS(BD!$B$3:$B$5001,G$136,BD!$A$3:$A$5001,"&gt;="&amp;$C$7,BD!$A$3:$A$5001,"&lt;="&amp;$B159,BD!$V$3:$V$5001,"&lt;&gt;")=0,"",SUMIFS(BD!$V$3:$V$5001,BD!$B$3:$B$5001,G$136,BD!$A$3:$A$5001,_xlfn.MAXIFS(BD!$A$3:$A$5001,BD!$B$3:$B$5001,G$136,BD!$A$3:$A$5001,"&gt;="&amp;$C$7,BD!$A$3:$A$5001,"&lt;="&amp;$B159,BD!$V$3:$V$5001,"&lt;&gt;"))))</f>
        <v/>
      </c>
      <c r="H159" s="43" t="str">
        <f>IF(OR($B159="",$A159&gt;$B$9,H$136=""),"",IF(COUNTIFS(BD!$B$3:$B$5001,H$136,BD!$A$3:$A$5001,"&gt;="&amp;$C$7,BD!$A$3:$A$5001,"&lt;="&amp;$B159,BD!$V$3:$V$5001,"&lt;&gt;")=0,"",SUMIFS(BD!$V$3:$V$5001,BD!$B$3:$B$5001,H$136,BD!$A$3:$A$5001,_xlfn.MAXIFS(BD!$A$3:$A$5001,BD!$B$3:$B$5001,H$136,BD!$A$3:$A$5001,"&gt;="&amp;$C$7,BD!$A$3:$A$5001,"&lt;="&amp;$B159,BD!$V$3:$V$5001,"&lt;&gt;"))))</f>
        <v/>
      </c>
      <c r="I159" s="43" t="str">
        <f>IF(OR($B159="",$A159&gt;$B$9,I$136=""),"",IF(COUNTIFS(BD!$B$3:$B$5001,I$136,BD!$A$3:$A$5001,"&gt;="&amp;$C$7,BD!$A$3:$A$5001,"&lt;="&amp;$B159,BD!$V$3:$V$5001,"&lt;&gt;")=0,"",SUMIFS(BD!$V$3:$V$5001,BD!$B$3:$B$5001,I$136,BD!$A$3:$A$5001,_xlfn.MAXIFS(BD!$A$3:$A$5001,BD!$B$3:$B$5001,I$136,BD!$A$3:$A$5001,"&gt;="&amp;$C$7,BD!$A$3:$A$5001,"&lt;="&amp;$B159,BD!$V$3:$V$5001,"&lt;&gt;"))))</f>
        <v/>
      </c>
      <c r="J159" s="43" t="str">
        <f>IF(OR($B159="",$A159&gt;$B$9,J$136=""),"",IF(COUNTIFS(BD!$B$3:$B$5001,J$136,BD!$A$3:$A$5001,"&gt;="&amp;$C$7,BD!$A$3:$A$5001,"&lt;="&amp;$B159,BD!$V$3:$V$5001,"&lt;&gt;")=0,"",SUMIFS(BD!$V$3:$V$5001,BD!$B$3:$B$5001,J$136,BD!$A$3:$A$5001,_xlfn.MAXIFS(BD!$A$3:$A$5001,BD!$B$3:$B$5001,J$136,BD!$A$3:$A$5001,"&gt;="&amp;$C$7,BD!$A$3:$A$5001,"&lt;="&amp;$B159,BD!$V$3:$V$5001,"&lt;&gt;"))))</f>
        <v/>
      </c>
      <c r="K159" s="43" t="str">
        <f>IF(OR($B159="",$A159&gt;$B$9,K$136=""),"",IF(COUNTIFS(BD!$B$3:$B$5001,K$136,BD!$A$3:$A$5001,"&gt;="&amp;$C$7,BD!$A$3:$A$5001,"&lt;="&amp;$B159,BD!$V$3:$V$5001,"&lt;&gt;")=0,"",SUMIFS(BD!$V$3:$V$5001,BD!$B$3:$B$5001,K$136,BD!$A$3:$A$5001,_xlfn.MAXIFS(BD!$A$3:$A$5001,BD!$B$3:$B$5001,K$136,BD!$A$3:$A$5001,"&gt;="&amp;$C$7,BD!$A$3:$A$5001,"&lt;="&amp;$B159,BD!$V$3:$V$5001,"&lt;&gt;"))))</f>
        <v/>
      </c>
      <c r="L159" s="43" t="str">
        <f>IF(OR($B159="",$A159&gt;$B$9,L$136=""),"",IF(COUNTIFS(BD!$B$3:$B$5001,L$136,BD!$A$3:$A$5001,"&gt;="&amp;$C$7,BD!$A$3:$A$5001,"&lt;="&amp;$B159,BD!$V$3:$V$5001,"&lt;&gt;")=0,"",SUMIFS(BD!$V$3:$V$5001,BD!$B$3:$B$5001,L$136,BD!$A$3:$A$5001,_xlfn.MAXIFS(BD!$A$3:$A$5001,BD!$B$3:$B$5001,L$136,BD!$A$3:$A$5001,"&gt;="&amp;$C$7,BD!$A$3:$A$5001,"&lt;="&amp;$B159,BD!$V$3:$V$5001,"&lt;&gt;"))))</f>
        <v/>
      </c>
      <c r="M159" s="43" t="str">
        <f>IF(OR($B159="",$A159&gt;$B$9,M$136=""),"",IF(COUNTIFS(BD!$B$3:$B$5001,M$136,BD!$A$3:$A$5001,"&gt;="&amp;$C$7,BD!$A$3:$A$5001,"&lt;="&amp;$B159,BD!$V$3:$V$5001,"&lt;&gt;")=0,"",SUMIFS(BD!$V$3:$V$5001,BD!$B$3:$B$5001,M$136,BD!$A$3:$A$5001,_xlfn.MAXIFS(BD!$A$3:$A$5001,BD!$B$3:$B$5001,M$136,BD!$A$3:$A$5001,"&gt;="&amp;$C$7,BD!$A$3:$A$5001,"&lt;="&amp;$B159,BD!$V$3:$V$5001,"&lt;&gt;"))))</f>
        <v/>
      </c>
      <c r="N159" s="43" t="str">
        <f>IF(OR($B159="",$A159&gt;$B$9,N$136=""),"",IF(COUNTIFS(BD!$B$3:$B$5001,N$136,BD!$A$3:$A$5001,"&gt;="&amp;$C$7,BD!$A$3:$A$5001,"&lt;="&amp;$B159,BD!$V$3:$V$5001,"&lt;&gt;")=0,"",SUMIFS(BD!$V$3:$V$5001,BD!$B$3:$B$5001,N$136,BD!$A$3:$A$5001,_xlfn.MAXIFS(BD!$A$3:$A$5001,BD!$B$3:$B$5001,N$136,BD!$A$3:$A$5001,"&gt;="&amp;$C$7,BD!$A$3:$A$5001,"&lt;="&amp;$B159,BD!$V$3:$V$5001,"&lt;&gt;"))))</f>
        <v/>
      </c>
      <c r="O159" s="43" t="str">
        <f>IF(OR($B159="",$A159&gt;$B$9,O$136=""),"",IF(COUNTIFS(BD!$B$3:$B$5001,O$136,BD!$A$3:$A$5001,"&gt;="&amp;$C$7,BD!$A$3:$A$5001,"&lt;="&amp;$B159,BD!$V$3:$V$5001,"&lt;&gt;")=0,"",SUMIFS(BD!$V$3:$V$5001,BD!$B$3:$B$5001,O$136,BD!$A$3:$A$5001,_xlfn.MAXIFS(BD!$A$3:$A$5001,BD!$B$3:$B$5001,O$136,BD!$A$3:$A$5001,"&gt;="&amp;$C$7,BD!$A$3:$A$5001,"&lt;="&amp;$B159,BD!$V$3:$V$5001,"&lt;&gt;"))))</f>
        <v/>
      </c>
      <c r="P159" s="43" t="str">
        <f>IF(OR($B159="",$A159&gt;$B$9,P$136=""),"",IF(COUNTIFS(BD!$B$3:$B$5001,P$136,BD!$A$3:$A$5001,"&gt;="&amp;$C$7,BD!$A$3:$A$5001,"&lt;="&amp;$B159,BD!$V$3:$V$5001,"&lt;&gt;")=0,"",SUMIFS(BD!$V$3:$V$5001,BD!$B$3:$B$5001,P$136,BD!$A$3:$A$5001,_xlfn.MAXIFS(BD!$A$3:$A$5001,BD!$B$3:$B$5001,P$136,BD!$A$3:$A$5001,"&gt;="&amp;$C$7,BD!$A$3:$A$5001,"&lt;="&amp;$B159,BD!$V$3:$V$5001,"&lt;&gt;"))))</f>
        <v/>
      </c>
      <c r="Q159" s="43" t="str">
        <f>IF(OR($B159="",$A159&gt;$B$9,Q$136=""),"",IF(COUNTIFS(BD!$B$3:$B$5001,Q$136,BD!$A$3:$A$5001,"&gt;="&amp;$C$7,BD!$A$3:$A$5001,"&lt;="&amp;$B159,BD!$V$3:$V$5001,"&lt;&gt;")=0,"",SUMIFS(BD!$V$3:$V$5001,BD!$B$3:$B$5001,Q$136,BD!$A$3:$A$5001,_xlfn.MAXIFS(BD!$A$3:$A$5001,BD!$B$3:$B$5001,Q$136,BD!$A$3:$A$5001,"&gt;="&amp;$C$7,BD!$A$3:$A$5001,"&lt;="&amp;$B159,BD!$V$3:$V$5001,"&lt;&gt;"))))</f>
        <v/>
      </c>
      <c r="R159" s="43" t="str">
        <f>IF(OR($B159="",$A159&gt;$B$9,R$136=""),"",IF(COUNTIFS(BD!$B$3:$B$5001,R$136,BD!$A$3:$A$5001,"&gt;="&amp;$C$7,BD!$A$3:$A$5001,"&lt;="&amp;$B159,BD!$V$3:$V$5001,"&lt;&gt;")=0,"",SUMIFS(BD!$V$3:$V$5001,BD!$B$3:$B$5001,R$136,BD!$A$3:$A$5001,_xlfn.MAXIFS(BD!$A$3:$A$5001,BD!$B$3:$B$5001,R$136,BD!$A$3:$A$5001,"&gt;="&amp;$C$7,BD!$A$3:$A$5001,"&lt;="&amp;$B159,BD!$V$3:$V$5001,"&lt;&gt;"))))</f>
        <v/>
      </c>
      <c r="S159" s="43" t="str">
        <f>IF(OR($B159="",$A159&gt;$B$9,S$136=""),"",IF(COUNTIFS(BD!$B$3:$B$5001,S$136,BD!$A$3:$A$5001,"&gt;="&amp;$C$7,BD!$A$3:$A$5001,"&lt;="&amp;$B159,BD!$V$3:$V$5001,"&lt;&gt;")=0,"",SUMIFS(BD!$V$3:$V$5001,BD!$B$3:$B$5001,S$136,BD!$A$3:$A$5001,_xlfn.MAXIFS(BD!$A$3:$A$5001,BD!$B$3:$B$5001,S$136,BD!$A$3:$A$5001,"&gt;="&amp;$C$7,BD!$A$3:$A$5001,"&lt;="&amp;$B159,BD!$V$3:$V$5001,"&lt;&gt;"))))</f>
        <v/>
      </c>
      <c r="T159" s="43" t="str">
        <f>IF(OR($B159="",$A159&gt;$B$9,T$136=""),"",IF(COUNTIFS(BD!$B$3:$B$5001,T$136,BD!$A$3:$A$5001,"&gt;="&amp;$C$7,BD!$A$3:$A$5001,"&lt;="&amp;$B159,BD!$V$3:$V$5001,"&lt;&gt;")=0,"",SUMIFS(BD!$V$3:$V$5001,BD!$B$3:$B$5001,T$136,BD!$A$3:$A$5001,_xlfn.MAXIFS(BD!$A$3:$A$5001,BD!$B$3:$B$5001,T$136,BD!$A$3:$A$5001,"&gt;="&amp;$C$7,BD!$A$3:$A$5001,"&lt;="&amp;$B159,BD!$V$3:$V$5001,"&lt;&gt;"))))</f>
        <v/>
      </c>
      <c r="U159" s="43" t="str">
        <f>IF(OR($B159="",$A159&gt;$B$9,U$136=""),"",IF(COUNTIFS(BD!$B$3:$B$5001,U$136,BD!$A$3:$A$5001,"&gt;="&amp;$C$7,BD!$A$3:$A$5001,"&lt;="&amp;$B159,BD!$V$3:$V$5001,"&lt;&gt;")=0,"",SUMIFS(BD!$V$3:$V$5001,BD!$B$3:$B$5001,U$136,BD!$A$3:$A$5001,_xlfn.MAXIFS(BD!$A$3:$A$5001,BD!$B$3:$B$5001,U$136,BD!$A$3:$A$5001,"&gt;="&amp;$C$7,BD!$A$3:$A$5001,"&lt;="&amp;$B159,BD!$V$3:$V$5001,"&lt;&gt;"))))</f>
        <v/>
      </c>
      <c r="V159" s="43" t="str">
        <f>IF(OR($B159="",$A159&gt;$B$9,V$136=""),"",IF(COUNTIFS(BD!$B$3:$B$5001,V$136,BD!$A$3:$A$5001,"&gt;="&amp;$C$7,BD!$A$3:$A$5001,"&lt;="&amp;$B159,BD!$V$3:$V$5001,"&lt;&gt;")=0,"",SUMIFS(BD!$V$3:$V$5001,BD!$B$3:$B$5001,V$136,BD!$A$3:$A$5001,_xlfn.MAXIFS(BD!$A$3:$A$5001,BD!$B$3:$B$5001,V$136,BD!$A$3:$A$5001,"&gt;="&amp;$C$7,BD!$A$3:$A$5001,"&lt;="&amp;$B159,BD!$V$3:$V$5001,"&lt;&gt;"))))</f>
        <v/>
      </c>
    </row>
    <row r="160">
      <c r="A160" s="38">
        <v>24</v>
      </c>
      <c r="B160" s="42">
        <f>$B$35</f>
        <v>46319</v>
      </c>
      <c r="C160" s="43" t="str">
        <f>IF(OR($B160="",$A160&gt;$B$9,C$136=""),"",IF(COUNTIFS(BD!$B$3:$B$5001,C$136,BD!$A$3:$A$5001,"&gt;="&amp;$C$7,BD!$A$3:$A$5001,"&lt;="&amp;$B160,BD!$V$3:$V$5001,"&lt;&gt;")=0,"",SUMIFS(BD!$V$3:$V$5001,BD!$B$3:$B$5001,C$136,BD!$A$3:$A$5001,_xlfn.MAXIFS(BD!$A$3:$A$5001,BD!$B$3:$B$5001,C$136,BD!$A$3:$A$5001,"&gt;="&amp;$C$7,BD!$A$3:$A$5001,"&lt;="&amp;$B160,BD!$V$3:$V$5001,"&lt;&gt;"))))</f>
        <v/>
      </c>
      <c r="D160" s="43" t="str">
        <f>IF(OR($B160="",$A160&gt;$B$9,D$136=""),"",IF(COUNTIFS(BD!$B$3:$B$5001,D$136,BD!$A$3:$A$5001,"&gt;="&amp;$C$7,BD!$A$3:$A$5001,"&lt;="&amp;$B160,BD!$V$3:$V$5001,"&lt;&gt;")=0,"",SUMIFS(BD!$V$3:$V$5001,BD!$B$3:$B$5001,D$136,BD!$A$3:$A$5001,_xlfn.MAXIFS(BD!$A$3:$A$5001,BD!$B$3:$B$5001,D$136,BD!$A$3:$A$5001,"&gt;="&amp;$C$7,BD!$A$3:$A$5001,"&lt;="&amp;$B160,BD!$V$3:$V$5001,"&lt;&gt;"))))</f>
        <v/>
      </c>
      <c r="E160" s="43" t="str">
        <f>IF(OR($B160="",$A160&gt;$B$9,E$136=""),"",IF(COUNTIFS(BD!$B$3:$B$5001,E$136,BD!$A$3:$A$5001,"&gt;="&amp;$C$7,BD!$A$3:$A$5001,"&lt;="&amp;$B160,BD!$V$3:$V$5001,"&lt;&gt;")=0,"",SUMIFS(BD!$V$3:$V$5001,BD!$B$3:$B$5001,E$136,BD!$A$3:$A$5001,_xlfn.MAXIFS(BD!$A$3:$A$5001,BD!$B$3:$B$5001,E$136,BD!$A$3:$A$5001,"&gt;="&amp;$C$7,BD!$A$3:$A$5001,"&lt;="&amp;$B160,BD!$V$3:$V$5001,"&lt;&gt;"))))</f>
        <v/>
      </c>
      <c r="F160" s="43" t="str">
        <f>IF(OR($B160="",$A160&gt;$B$9,F$136=""),"",IF(COUNTIFS(BD!$B$3:$B$5001,F$136,BD!$A$3:$A$5001,"&gt;="&amp;$C$7,BD!$A$3:$A$5001,"&lt;="&amp;$B160,BD!$V$3:$V$5001,"&lt;&gt;")=0,"",SUMIFS(BD!$V$3:$V$5001,BD!$B$3:$B$5001,F$136,BD!$A$3:$A$5001,_xlfn.MAXIFS(BD!$A$3:$A$5001,BD!$B$3:$B$5001,F$136,BD!$A$3:$A$5001,"&gt;="&amp;$C$7,BD!$A$3:$A$5001,"&lt;="&amp;$B160,BD!$V$3:$V$5001,"&lt;&gt;"))))</f>
        <v/>
      </c>
      <c r="G160" s="43" t="str">
        <f>IF(OR($B160="",$A160&gt;$B$9,G$136=""),"",IF(COUNTIFS(BD!$B$3:$B$5001,G$136,BD!$A$3:$A$5001,"&gt;="&amp;$C$7,BD!$A$3:$A$5001,"&lt;="&amp;$B160,BD!$V$3:$V$5001,"&lt;&gt;")=0,"",SUMIFS(BD!$V$3:$V$5001,BD!$B$3:$B$5001,G$136,BD!$A$3:$A$5001,_xlfn.MAXIFS(BD!$A$3:$A$5001,BD!$B$3:$B$5001,G$136,BD!$A$3:$A$5001,"&gt;="&amp;$C$7,BD!$A$3:$A$5001,"&lt;="&amp;$B160,BD!$V$3:$V$5001,"&lt;&gt;"))))</f>
        <v/>
      </c>
      <c r="H160" s="43" t="str">
        <f>IF(OR($B160="",$A160&gt;$B$9,H$136=""),"",IF(COUNTIFS(BD!$B$3:$B$5001,H$136,BD!$A$3:$A$5001,"&gt;="&amp;$C$7,BD!$A$3:$A$5001,"&lt;="&amp;$B160,BD!$V$3:$V$5001,"&lt;&gt;")=0,"",SUMIFS(BD!$V$3:$V$5001,BD!$B$3:$B$5001,H$136,BD!$A$3:$A$5001,_xlfn.MAXIFS(BD!$A$3:$A$5001,BD!$B$3:$B$5001,H$136,BD!$A$3:$A$5001,"&gt;="&amp;$C$7,BD!$A$3:$A$5001,"&lt;="&amp;$B160,BD!$V$3:$V$5001,"&lt;&gt;"))))</f>
        <v/>
      </c>
      <c r="I160" s="43" t="str">
        <f>IF(OR($B160="",$A160&gt;$B$9,I$136=""),"",IF(COUNTIFS(BD!$B$3:$B$5001,I$136,BD!$A$3:$A$5001,"&gt;="&amp;$C$7,BD!$A$3:$A$5001,"&lt;="&amp;$B160,BD!$V$3:$V$5001,"&lt;&gt;")=0,"",SUMIFS(BD!$V$3:$V$5001,BD!$B$3:$B$5001,I$136,BD!$A$3:$A$5001,_xlfn.MAXIFS(BD!$A$3:$A$5001,BD!$B$3:$B$5001,I$136,BD!$A$3:$A$5001,"&gt;="&amp;$C$7,BD!$A$3:$A$5001,"&lt;="&amp;$B160,BD!$V$3:$V$5001,"&lt;&gt;"))))</f>
        <v/>
      </c>
      <c r="J160" s="43" t="str">
        <f>IF(OR($B160="",$A160&gt;$B$9,J$136=""),"",IF(COUNTIFS(BD!$B$3:$B$5001,J$136,BD!$A$3:$A$5001,"&gt;="&amp;$C$7,BD!$A$3:$A$5001,"&lt;="&amp;$B160,BD!$V$3:$V$5001,"&lt;&gt;")=0,"",SUMIFS(BD!$V$3:$V$5001,BD!$B$3:$B$5001,J$136,BD!$A$3:$A$5001,_xlfn.MAXIFS(BD!$A$3:$A$5001,BD!$B$3:$B$5001,J$136,BD!$A$3:$A$5001,"&gt;="&amp;$C$7,BD!$A$3:$A$5001,"&lt;="&amp;$B160,BD!$V$3:$V$5001,"&lt;&gt;"))))</f>
        <v/>
      </c>
      <c r="K160" s="43" t="str">
        <f>IF(OR($B160="",$A160&gt;$B$9,K$136=""),"",IF(COUNTIFS(BD!$B$3:$B$5001,K$136,BD!$A$3:$A$5001,"&gt;="&amp;$C$7,BD!$A$3:$A$5001,"&lt;="&amp;$B160,BD!$V$3:$V$5001,"&lt;&gt;")=0,"",SUMIFS(BD!$V$3:$V$5001,BD!$B$3:$B$5001,K$136,BD!$A$3:$A$5001,_xlfn.MAXIFS(BD!$A$3:$A$5001,BD!$B$3:$B$5001,K$136,BD!$A$3:$A$5001,"&gt;="&amp;$C$7,BD!$A$3:$A$5001,"&lt;="&amp;$B160,BD!$V$3:$V$5001,"&lt;&gt;"))))</f>
        <v/>
      </c>
      <c r="L160" s="43" t="str">
        <f>IF(OR($B160="",$A160&gt;$B$9,L$136=""),"",IF(COUNTIFS(BD!$B$3:$B$5001,L$136,BD!$A$3:$A$5001,"&gt;="&amp;$C$7,BD!$A$3:$A$5001,"&lt;="&amp;$B160,BD!$V$3:$V$5001,"&lt;&gt;")=0,"",SUMIFS(BD!$V$3:$V$5001,BD!$B$3:$B$5001,L$136,BD!$A$3:$A$5001,_xlfn.MAXIFS(BD!$A$3:$A$5001,BD!$B$3:$B$5001,L$136,BD!$A$3:$A$5001,"&gt;="&amp;$C$7,BD!$A$3:$A$5001,"&lt;="&amp;$B160,BD!$V$3:$V$5001,"&lt;&gt;"))))</f>
        <v/>
      </c>
      <c r="M160" s="43" t="str">
        <f>IF(OR($B160="",$A160&gt;$B$9,M$136=""),"",IF(COUNTIFS(BD!$B$3:$B$5001,M$136,BD!$A$3:$A$5001,"&gt;="&amp;$C$7,BD!$A$3:$A$5001,"&lt;="&amp;$B160,BD!$V$3:$V$5001,"&lt;&gt;")=0,"",SUMIFS(BD!$V$3:$V$5001,BD!$B$3:$B$5001,M$136,BD!$A$3:$A$5001,_xlfn.MAXIFS(BD!$A$3:$A$5001,BD!$B$3:$B$5001,M$136,BD!$A$3:$A$5001,"&gt;="&amp;$C$7,BD!$A$3:$A$5001,"&lt;="&amp;$B160,BD!$V$3:$V$5001,"&lt;&gt;"))))</f>
        <v/>
      </c>
      <c r="N160" s="43" t="str">
        <f>IF(OR($B160="",$A160&gt;$B$9,N$136=""),"",IF(COUNTIFS(BD!$B$3:$B$5001,N$136,BD!$A$3:$A$5001,"&gt;="&amp;$C$7,BD!$A$3:$A$5001,"&lt;="&amp;$B160,BD!$V$3:$V$5001,"&lt;&gt;")=0,"",SUMIFS(BD!$V$3:$V$5001,BD!$B$3:$B$5001,N$136,BD!$A$3:$A$5001,_xlfn.MAXIFS(BD!$A$3:$A$5001,BD!$B$3:$B$5001,N$136,BD!$A$3:$A$5001,"&gt;="&amp;$C$7,BD!$A$3:$A$5001,"&lt;="&amp;$B160,BD!$V$3:$V$5001,"&lt;&gt;"))))</f>
        <v/>
      </c>
      <c r="O160" s="43" t="str">
        <f>IF(OR($B160="",$A160&gt;$B$9,O$136=""),"",IF(COUNTIFS(BD!$B$3:$B$5001,O$136,BD!$A$3:$A$5001,"&gt;="&amp;$C$7,BD!$A$3:$A$5001,"&lt;="&amp;$B160,BD!$V$3:$V$5001,"&lt;&gt;")=0,"",SUMIFS(BD!$V$3:$V$5001,BD!$B$3:$B$5001,O$136,BD!$A$3:$A$5001,_xlfn.MAXIFS(BD!$A$3:$A$5001,BD!$B$3:$B$5001,O$136,BD!$A$3:$A$5001,"&gt;="&amp;$C$7,BD!$A$3:$A$5001,"&lt;="&amp;$B160,BD!$V$3:$V$5001,"&lt;&gt;"))))</f>
        <v/>
      </c>
      <c r="P160" s="43" t="str">
        <f>IF(OR($B160="",$A160&gt;$B$9,P$136=""),"",IF(COUNTIFS(BD!$B$3:$B$5001,P$136,BD!$A$3:$A$5001,"&gt;="&amp;$C$7,BD!$A$3:$A$5001,"&lt;="&amp;$B160,BD!$V$3:$V$5001,"&lt;&gt;")=0,"",SUMIFS(BD!$V$3:$V$5001,BD!$B$3:$B$5001,P$136,BD!$A$3:$A$5001,_xlfn.MAXIFS(BD!$A$3:$A$5001,BD!$B$3:$B$5001,P$136,BD!$A$3:$A$5001,"&gt;="&amp;$C$7,BD!$A$3:$A$5001,"&lt;="&amp;$B160,BD!$V$3:$V$5001,"&lt;&gt;"))))</f>
        <v/>
      </c>
      <c r="Q160" s="43" t="str">
        <f>IF(OR($B160="",$A160&gt;$B$9,Q$136=""),"",IF(COUNTIFS(BD!$B$3:$B$5001,Q$136,BD!$A$3:$A$5001,"&gt;="&amp;$C$7,BD!$A$3:$A$5001,"&lt;="&amp;$B160,BD!$V$3:$V$5001,"&lt;&gt;")=0,"",SUMIFS(BD!$V$3:$V$5001,BD!$B$3:$B$5001,Q$136,BD!$A$3:$A$5001,_xlfn.MAXIFS(BD!$A$3:$A$5001,BD!$B$3:$B$5001,Q$136,BD!$A$3:$A$5001,"&gt;="&amp;$C$7,BD!$A$3:$A$5001,"&lt;="&amp;$B160,BD!$V$3:$V$5001,"&lt;&gt;"))))</f>
        <v/>
      </c>
      <c r="R160" s="43" t="str">
        <f>IF(OR($B160="",$A160&gt;$B$9,R$136=""),"",IF(COUNTIFS(BD!$B$3:$B$5001,R$136,BD!$A$3:$A$5001,"&gt;="&amp;$C$7,BD!$A$3:$A$5001,"&lt;="&amp;$B160,BD!$V$3:$V$5001,"&lt;&gt;")=0,"",SUMIFS(BD!$V$3:$V$5001,BD!$B$3:$B$5001,R$136,BD!$A$3:$A$5001,_xlfn.MAXIFS(BD!$A$3:$A$5001,BD!$B$3:$B$5001,R$136,BD!$A$3:$A$5001,"&gt;="&amp;$C$7,BD!$A$3:$A$5001,"&lt;="&amp;$B160,BD!$V$3:$V$5001,"&lt;&gt;"))))</f>
        <v/>
      </c>
      <c r="S160" s="43" t="str">
        <f>IF(OR($B160="",$A160&gt;$B$9,S$136=""),"",IF(COUNTIFS(BD!$B$3:$B$5001,S$136,BD!$A$3:$A$5001,"&gt;="&amp;$C$7,BD!$A$3:$A$5001,"&lt;="&amp;$B160,BD!$V$3:$V$5001,"&lt;&gt;")=0,"",SUMIFS(BD!$V$3:$V$5001,BD!$B$3:$B$5001,S$136,BD!$A$3:$A$5001,_xlfn.MAXIFS(BD!$A$3:$A$5001,BD!$B$3:$B$5001,S$136,BD!$A$3:$A$5001,"&gt;="&amp;$C$7,BD!$A$3:$A$5001,"&lt;="&amp;$B160,BD!$V$3:$V$5001,"&lt;&gt;"))))</f>
        <v/>
      </c>
      <c r="T160" s="43" t="str">
        <f>IF(OR($B160="",$A160&gt;$B$9,T$136=""),"",IF(COUNTIFS(BD!$B$3:$B$5001,T$136,BD!$A$3:$A$5001,"&gt;="&amp;$C$7,BD!$A$3:$A$5001,"&lt;="&amp;$B160,BD!$V$3:$V$5001,"&lt;&gt;")=0,"",SUMIFS(BD!$V$3:$V$5001,BD!$B$3:$B$5001,T$136,BD!$A$3:$A$5001,_xlfn.MAXIFS(BD!$A$3:$A$5001,BD!$B$3:$B$5001,T$136,BD!$A$3:$A$5001,"&gt;="&amp;$C$7,BD!$A$3:$A$5001,"&lt;="&amp;$B160,BD!$V$3:$V$5001,"&lt;&gt;"))))</f>
        <v/>
      </c>
      <c r="U160" s="43" t="str">
        <f>IF(OR($B160="",$A160&gt;$B$9,U$136=""),"",IF(COUNTIFS(BD!$B$3:$B$5001,U$136,BD!$A$3:$A$5001,"&gt;="&amp;$C$7,BD!$A$3:$A$5001,"&lt;="&amp;$B160,BD!$V$3:$V$5001,"&lt;&gt;")=0,"",SUMIFS(BD!$V$3:$V$5001,BD!$B$3:$B$5001,U$136,BD!$A$3:$A$5001,_xlfn.MAXIFS(BD!$A$3:$A$5001,BD!$B$3:$B$5001,U$136,BD!$A$3:$A$5001,"&gt;="&amp;$C$7,BD!$A$3:$A$5001,"&lt;="&amp;$B160,BD!$V$3:$V$5001,"&lt;&gt;"))))</f>
        <v/>
      </c>
      <c r="V160" s="43" t="str">
        <f>IF(OR($B160="",$A160&gt;$B$9,V$136=""),"",IF(COUNTIFS(BD!$B$3:$B$5001,V$136,BD!$A$3:$A$5001,"&gt;="&amp;$C$7,BD!$A$3:$A$5001,"&lt;="&amp;$B160,BD!$V$3:$V$5001,"&lt;&gt;")=0,"",SUMIFS(BD!$V$3:$V$5001,BD!$B$3:$B$5001,V$136,BD!$A$3:$A$5001,_xlfn.MAXIFS(BD!$A$3:$A$5001,BD!$B$3:$B$5001,V$136,BD!$A$3:$A$5001,"&gt;="&amp;$C$7,BD!$A$3:$A$5001,"&lt;="&amp;$B160,BD!$V$3:$V$5001,"&lt;&gt;"))))</f>
        <v/>
      </c>
    </row>
    <row r="161">
      <c r="A161" s="38">
        <v>25</v>
      </c>
      <c r="B161" s="42">
        <f>$B$36</f>
        <v>46320</v>
      </c>
      <c r="C161" s="43" t="str">
        <f>IF(OR($B161="",$A161&gt;$B$9,C$136=""),"",IF(COUNTIFS(BD!$B$3:$B$5001,C$136,BD!$A$3:$A$5001,"&gt;="&amp;$C$7,BD!$A$3:$A$5001,"&lt;="&amp;$B161,BD!$V$3:$V$5001,"&lt;&gt;")=0,"",SUMIFS(BD!$V$3:$V$5001,BD!$B$3:$B$5001,C$136,BD!$A$3:$A$5001,_xlfn.MAXIFS(BD!$A$3:$A$5001,BD!$B$3:$B$5001,C$136,BD!$A$3:$A$5001,"&gt;="&amp;$C$7,BD!$A$3:$A$5001,"&lt;="&amp;$B161,BD!$V$3:$V$5001,"&lt;&gt;"))))</f>
        <v/>
      </c>
      <c r="D161" s="43" t="str">
        <f>IF(OR($B161="",$A161&gt;$B$9,D$136=""),"",IF(COUNTIFS(BD!$B$3:$B$5001,D$136,BD!$A$3:$A$5001,"&gt;="&amp;$C$7,BD!$A$3:$A$5001,"&lt;="&amp;$B161,BD!$V$3:$V$5001,"&lt;&gt;")=0,"",SUMIFS(BD!$V$3:$V$5001,BD!$B$3:$B$5001,D$136,BD!$A$3:$A$5001,_xlfn.MAXIFS(BD!$A$3:$A$5001,BD!$B$3:$B$5001,D$136,BD!$A$3:$A$5001,"&gt;="&amp;$C$7,BD!$A$3:$A$5001,"&lt;="&amp;$B161,BD!$V$3:$V$5001,"&lt;&gt;"))))</f>
        <v/>
      </c>
      <c r="E161" s="43" t="str">
        <f>IF(OR($B161="",$A161&gt;$B$9,E$136=""),"",IF(COUNTIFS(BD!$B$3:$B$5001,E$136,BD!$A$3:$A$5001,"&gt;="&amp;$C$7,BD!$A$3:$A$5001,"&lt;="&amp;$B161,BD!$V$3:$V$5001,"&lt;&gt;")=0,"",SUMIFS(BD!$V$3:$V$5001,BD!$B$3:$B$5001,E$136,BD!$A$3:$A$5001,_xlfn.MAXIFS(BD!$A$3:$A$5001,BD!$B$3:$B$5001,E$136,BD!$A$3:$A$5001,"&gt;="&amp;$C$7,BD!$A$3:$A$5001,"&lt;="&amp;$B161,BD!$V$3:$V$5001,"&lt;&gt;"))))</f>
        <v/>
      </c>
      <c r="F161" s="43" t="str">
        <f>IF(OR($B161="",$A161&gt;$B$9,F$136=""),"",IF(COUNTIFS(BD!$B$3:$B$5001,F$136,BD!$A$3:$A$5001,"&gt;="&amp;$C$7,BD!$A$3:$A$5001,"&lt;="&amp;$B161,BD!$V$3:$V$5001,"&lt;&gt;")=0,"",SUMIFS(BD!$V$3:$V$5001,BD!$B$3:$B$5001,F$136,BD!$A$3:$A$5001,_xlfn.MAXIFS(BD!$A$3:$A$5001,BD!$B$3:$B$5001,F$136,BD!$A$3:$A$5001,"&gt;="&amp;$C$7,BD!$A$3:$A$5001,"&lt;="&amp;$B161,BD!$V$3:$V$5001,"&lt;&gt;"))))</f>
        <v/>
      </c>
      <c r="G161" s="43" t="str">
        <f>IF(OR($B161="",$A161&gt;$B$9,G$136=""),"",IF(COUNTIFS(BD!$B$3:$B$5001,G$136,BD!$A$3:$A$5001,"&gt;="&amp;$C$7,BD!$A$3:$A$5001,"&lt;="&amp;$B161,BD!$V$3:$V$5001,"&lt;&gt;")=0,"",SUMIFS(BD!$V$3:$V$5001,BD!$B$3:$B$5001,G$136,BD!$A$3:$A$5001,_xlfn.MAXIFS(BD!$A$3:$A$5001,BD!$B$3:$B$5001,G$136,BD!$A$3:$A$5001,"&gt;="&amp;$C$7,BD!$A$3:$A$5001,"&lt;="&amp;$B161,BD!$V$3:$V$5001,"&lt;&gt;"))))</f>
        <v/>
      </c>
      <c r="H161" s="43" t="str">
        <f>IF(OR($B161="",$A161&gt;$B$9,H$136=""),"",IF(COUNTIFS(BD!$B$3:$B$5001,H$136,BD!$A$3:$A$5001,"&gt;="&amp;$C$7,BD!$A$3:$A$5001,"&lt;="&amp;$B161,BD!$V$3:$V$5001,"&lt;&gt;")=0,"",SUMIFS(BD!$V$3:$V$5001,BD!$B$3:$B$5001,H$136,BD!$A$3:$A$5001,_xlfn.MAXIFS(BD!$A$3:$A$5001,BD!$B$3:$B$5001,H$136,BD!$A$3:$A$5001,"&gt;="&amp;$C$7,BD!$A$3:$A$5001,"&lt;="&amp;$B161,BD!$V$3:$V$5001,"&lt;&gt;"))))</f>
        <v/>
      </c>
      <c r="I161" s="43" t="str">
        <f>IF(OR($B161="",$A161&gt;$B$9,I$136=""),"",IF(COUNTIFS(BD!$B$3:$B$5001,I$136,BD!$A$3:$A$5001,"&gt;="&amp;$C$7,BD!$A$3:$A$5001,"&lt;="&amp;$B161,BD!$V$3:$V$5001,"&lt;&gt;")=0,"",SUMIFS(BD!$V$3:$V$5001,BD!$B$3:$B$5001,I$136,BD!$A$3:$A$5001,_xlfn.MAXIFS(BD!$A$3:$A$5001,BD!$B$3:$B$5001,I$136,BD!$A$3:$A$5001,"&gt;="&amp;$C$7,BD!$A$3:$A$5001,"&lt;="&amp;$B161,BD!$V$3:$V$5001,"&lt;&gt;"))))</f>
        <v/>
      </c>
      <c r="J161" s="43" t="str">
        <f>IF(OR($B161="",$A161&gt;$B$9,J$136=""),"",IF(COUNTIFS(BD!$B$3:$B$5001,J$136,BD!$A$3:$A$5001,"&gt;="&amp;$C$7,BD!$A$3:$A$5001,"&lt;="&amp;$B161,BD!$V$3:$V$5001,"&lt;&gt;")=0,"",SUMIFS(BD!$V$3:$V$5001,BD!$B$3:$B$5001,J$136,BD!$A$3:$A$5001,_xlfn.MAXIFS(BD!$A$3:$A$5001,BD!$B$3:$B$5001,J$136,BD!$A$3:$A$5001,"&gt;="&amp;$C$7,BD!$A$3:$A$5001,"&lt;="&amp;$B161,BD!$V$3:$V$5001,"&lt;&gt;"))))</f>
        <v/>
      </c>
      <c r="K161" s="43" t="str">
        <f>IF(OR($B161="",$A161&gt;$B$9,K$136=""),"",IF(COUNTIFS(BD!$B$3:$B$5001,K$136,BD!$A$3:$A$5001,"&gt;="&amp;$C$7,BD!$A$3:$A$5001,"&lt;="&amp;$B161,BD!$V$3:$V$5001,"&lt;&gt;")=0,"",SUMIFS(BD!$V$3:$V$5001,BD!$B$3:$B$5001,K$136,BD!$A$3:$A$5001,_xlfn.MAXIFS(BD!$A$3:$A$5001,BD!$B$3:$B$5001,K$136,BD!$A$3:$A$5001,"&gt;="&amp;$C$7,BD!$A$3:$A$5001,"&lt;="&amp;$B161,BD!$V$3:$V$5001,"&lt;&gt;"))))</f>
        <v/>
      </c>
      <c r="L161" s="43" t="str">
        <f>IF(OR($B161="",$A161&gt;$B$9,L$136=""),"",IF(COUNTIFS(BD!$B$3:$B$5001,L$136,BD!$A$3:$A$5001,"&gt;="&amp;$C$7,BD!$A$3:$A$5001,"&lt;="&amp;$B161,BD!$V$3:$V$5001,"&lt;&gt;")=0,"",SUMIFS(BD!$V$3:$V$5001,BD!$B$3:$B$5001,L$136,BD!$A$3:$A$5001,_xlfn.MAXIFS(BD!$A$3:$A$5001,BD!$B$3:$B$5001,L$136,BD!$A$3:$A$5001,"&gt;="&amp;$C$7,BD!$A$3:$A$5001,"&lt;="&amp;$B161,BD!$V$3:$V$5001,"&lt;&gt;"))))</f>
        <v/>
      </c>
      <c r="M161" s="43" t="str">
        <f>IF(OR($B161="",$A161&gt;$B$9,M$136=""),"",IF(COUNTIFS(BD!$B$3:$B$5001,M$136,BD!$A$3:$A$5001,"&gt;="&amp;$C$7,BD!$A$3:$A$5001,"&lt;="&amp;$B161,BD!$V$3:$V$5001,"&lt;&gt;")=0,"",SUMIFS(BD!$V$3:$V$5001,BD!$B$3:$B$5001,M$136,BD!$A$3:$A$5001,_xlfn.MAXIFS(BD!$A$3:$A$5001,BD!$B$3:$B$5001,M$136,BD!$A$3:$A$5001,"&gt;="&amp;$C$7,BD!$A$3:$A$5001,"&lt;="&amp;$B161,BD!$V$3:$V$5001,"&lt;&gt;"))))</f>
        <v/>
      </c>
      <c r="N161" s="43" t="str">
        <f>IF(OR($B161="",$A161&gt;$B$9,N$136=""),"",IF(COUNTIFS(BD!$B$3:$B$5001,N$136,BD!$A$3:$A$5001,"&gt;="&amp;$C$7,BD!$A$3:$A$5001,"&lt;="&amp;$B161,BD!$V$3:$V$5001,"&lt;&gt;")=0,"",SUMIFS(BD!$V$3:$V$5001,BD!$B$3:$B$5001,N$136,BD!$A$3:$A$5001,_xlfn.MAXIFS(BD!$A$3:$A$5001,BD!$B$3:$B$5001,N$136,BD!$A$3:$A$5001,"&gt;="&amp;$C$7,BD!$A$3:$A$5001,"&lt;="&amp;$B161,BD!$V$3:$V$5001,"&lt;&gt;"))))</f>
        <v/>
      </c>
      <c r="O161" s="43" t="str">
        <f>IF(OR($B161="",$A161&gt;$B$9,O$136=""),"",IF(COUNTIFS(BD!$B$3:$B$5001,O$136,BD!$A$3:$A$5001,"&gt;="&amp;$C$7,BD!$A$3:$A$5001,"&lt;="&amp;$B161,BD!$V$3:$V$5001,"&lt;&gt;")=0,"",SUMIFS(BD!$V$3:$V$5001,BD!$B$3:$B$5001,O$136,BD!$A$3:$A$5001,_xlfn.MAXIFS(BD!$A$3:$A$5001,BD!$B$3:$B$5001,O$136,BD!$A$3:$A$5001,"&gt;="&amp;$C$7,BD!$A$3:$A$5001,"&lt;="&amp;$B161,BD!$V$3:$V$5001,"&lt;&gt;"))))</f>
        <v/>
      </c>
      <c r="P161" s="43" t="str">
        <f>IF(OR($B161="",$A161&gt;$B$9,P$136=""),"",IF(COUNTIFS(BD!$B$3:$B$5001,P$136,BD!$A$3:$A$5001,"&gt;="&amp;$C$7,BD!$A$3:$A$5001,"&lt;="&amp;$B161,BD!$V$3:$V$5001,"&lt;&gt;")=0,"",SUMIFS(BD!$V$3:$V$5001,BD!$B$3:$B$5001,P$136,BD!$A$3:$A$5001,_xlfn.MAXIFS(BD!$A$3:$A$5001,BD!$B$3:$B$5001,P$136,BD!$A$3:$A$5001,"&gt;="&amp;$C$7,BD!$A$3:$A$5001,"&lt;="&amp;$B161,BD!$V$3:$V$5001,"&lt;&gt;"))))</f>
        <v/>
      </c>
      <c r="Q161" s="43" t="str">
        <f>IF(OR($B161="",$A161&gt;$B$9,Q$136=""),"",IF(COUNTIFS(BD!$B$3:$B$5001,Q$136,BD!$A$3:$A$5001,"&gt;="&amp;$C$7,BD!$A$3:$A$5001,"&lt;="&amp;$B161,BD!$V$3:$V$5001,"&lt;&gt;")=0,"",SUMIFS(BD!$V$3:$V$5001,BD!$B$3:$B$5001,Q$136,BD!$A$3:$A$5001,_xlfn.MAXIFS(BD!$A$3:$A$5001,BD!$B$3:$B$5001,Q$136,BD!$A$3:$A$5001,"&gt;="&amp;$C$7,BD!$A$3:$A$5001,"&lt;="&amp;$B161,BD!$V$3:$V$5001,"&lt;&gt;"))))</f>
        <v/>
      </c>
      <c r="R161" s="43" t="str">
        <f>IF(OR($B161="",$A161&gt;$B$9,R$136=""),"",IF(COUNTIFS(BD!$B$3:$B$5001,R$136,BD!$A$3:$A$5001,"&gt;="&amp;$C$7,BD!$A$3:$A$5001,"&lt;="&amp;$B161,BD!$V$3:$V$5001,"&lt;&gt;")=0,"",SUMIFS(BD!$V$3:$V$5001,BD!$B$3:$B$5001,R$136,BD!$A$3:$A$5001,_xlfn.MAXIFS(BD!$A$3:$A$5001,BD!$B$3:$B$5001,R$136,BD!$A$3:$A$5001,"&gt;="&amp;$C$7,BD!$A$3:$A$5001,"&lt;="&amp;$B161,BD!$V$3:$V$5001,"&lt;&gt;"))))</f>
        <v/>
      </c>
      <c r="S161" s="43" t="str">
        <f>IF(OR($B161="",$A161&gt;$B$9,S$136=""),"",IF(COUNTIFS(BD!$B$3:$B$5001,S$136,BD!$A$3:$A$5001,"&gt;="&amp;$C$7,BD!$A$3:$A$5001,"&lt;="&amp;$B161,BD!$V$3:$V$5001,"&lt;&gt;")=0,"",SUMIFS(BD!$V$3:$V$5001,BD!$B$3:$B$5001,S$136,BD!$A$3:$A$5001,_xlfn.MAXIFS(BD!$A$3:$A$5001,BD!$B$3:$B$5001,S$136,BD!$A$3:$A$5001,"&gt;="&amp;$C$7,BD!$A$3:$A$5001,"&lt;="&amp;$B161,BD!$V$3:$V$5001,"&lt;&gt;"))))</f>
        <v/>
      </c>
      <c r="T161" s="43" t="str">
        <f>IF(OR($B161="",$A161&gt;$B$9,T$136=""),"",IF(COUNTIFS(BD!$B$3:$B$5001,T$136,BD!$A$3:$A$5001,"&gt;="&amp;$C$7,BD!$A$3:$A$5001,"&lt;="&amp;$B161,BD!$V$3:$V$5001,"&lt;&gt;")=0,"",SUMIFS(BD!$V$3:$V$5001,BD!$B$3:$B$5001,T$136,BD!$A$3:$A$5001,_xlfn.MAXIFS(BD!$A$3:$A$5001,BD!$B$3:$B$5001,T$136,BD!$A$3:$A$5001,"&gt;="&amp;$C$7,BD!$A$3:$A$5001,"&lt;="&amp;$B161,BD!$V$3:$V$5001,"&lt;&gt;"))))</f>
        <v/>
      </c>
      <c r="U161" s="43" t="str">
        <f>IF(OR($B161="",$A161&gt;$B$9,U$136=""),"",IF(COUNTIFS(BD!$B$3:$B$5001,U$136,BD!$A$3:$A$5001,"&gt;="&amp;$C$7,BD!$A$3:$A$5001,"&lt;="&amp;$B161,BD!$V$3:$V$5001,"&lt;&gt;")=0,"",SUMIFS(BD!$V$3:$V$5001,BD!$B$3:$B$5001,U$136,BD!$A$3:$A$5001,_xlfn.MAXIFS(BD!$A$3:$A$5001,BD!$B$3:$B$5001,U$136,BD!$A$3:$A$5001,"&gt;="&amp;$C$7,BD!$A$3:$A$5001,"&lt;="&amp;$B161,BD!$V$3:$V$5001,"&lt;&gt;"))))</f>
        <v/>
      </c>
      <c r="V161" s="43" t="str">
        <f>IF(OR($B161="",$A161&gt;$B$9,V$136=""),"",IF(COUNTIFS(BD!$B$3:$B$5001,V$136,BD!$A$3:$A$5001,"&gt;="&amp;$C$7,BD!$A$3:$A$5001,"&lt;="&amp;$B161,BD!$V$3:$V$5001,"&lt;&gt;")=0,"",SUMIFS(BD!$V$3:$V$5001,BD!$B$3:$B$5001,V$136,BD!$A$3:$A$5001,_xlfn.MAXIFS(BD!$A$3:$A$5001,BD!$B$3:$B$5001,V$136,BD!$A$3:$A$5001,"&gt;="&amp;$C$7,BD!$A$3:$A$5001,"&lt;="&amp;$B161,BD!$V$3:$V$5001,"&lt;&gt;"))))</f>
        <v/>
      </c>
    </row>
    <row r="162">
      <c r="A162" s="38">
        <v>26</v>
      </c>
      <c r="B162" s="42">
        <f>$B$37</f>
        <v>46321</v>
      </c>
      <c r="C162" s="43" t="str">
        <f>IF(OR($B162="",$A162&gt;$B$9,C$136=""),"",IF(COUNTIFS(BD!$B$3:$B$5001,C$136,BD!$A$3:$A$5001,"&gt;="&amp;$C$7,BD!$A$3:$A$5001,"&lt;="&amp;$B162,BD!$V$3:$V$5001,"&lt;&gt;")=0,"",SUMIFS(BD!$V$3:$V$5001,BD!$B$3:$B$5001,C$136,BD!$A$3:$A$5001,_xlfn.MAXIFS(BD!$A$3:$A$5001,BD!$B$3:$B$5001,C$136,BD!$A$3:$A$5001,"&gt;="&amp;$C$7,BD!$A$3:$A$5001,"&lt;="&amp;$B162,BD!$V$3:$V$5001,"&lt;&gt;"))))</f>
        <v/>
      </c>
      <c r="D162" s="43" t="str">
        <f>IF(OR($B162="",$A162&gt;$B$9,D$136=""),"",IF(COUNTIFS(BD!$B$3:$B$5001,D$136,BD!$A$3:$A$5001,"&gt;="&amp;$C$7,BD!$A$3:$A$5001,"&lt;="&amp;$B162,BD!$V$3:$V$5001,"&lt;&gt;")=0,"",SUMIFS(BD!$V$3:$V$5001,BD!$B$3:$B$5001,D$136,BD!$A$3:$A$5001,_xlfn.MAXIFS(BD!$A$3:$A$5001,BD!$B$3:$B$5001,D$136,BD!$A$3:$A$5001,"&gt;="&amp;$C$7,BD!$A$3:$A$5001,"&lt;="&amp;$B162,BD!$V$3:$V$5001,"&lt;&gt;"))))</f>
        <v/>
      </c>
      <c r="E162" s="43" t="str">
        <f>IF(OR($B162="",$A162&gt;$B$9,E$136=""),"",IF(COUNTIFS(BD!$B$3:$B$5001,E$136,BD!$A$3:$A$5001,"&gt;="&amp;$C$7,BD!$A$3:$A$5001,"&lt;="&amp;$B162,BD!$V$3:$V$5001,"&lt;&gt;")=0,"",SUMIFS(BD!$V$3:$V$5001,BD!$B$3:$B$5001,E$136,BD!$A$3:$A$5001,_xlfn.MAXIFS(BD!$A$3:$A$5001,BD!$B$3:$B$5001,E$136,BD!$A$3:$A$5001,"&gt;="&amp;$C$7,BD!$A$3:$A$5001,"&lt;="&amp;$B162,BD!$V$3:$V$5001,"&lt;&gt;"))))</f>
        <v/>
      </c>
      <c r="F162" s="43" t="str">
        <f>IF(OR($B162="",$A162&gt;$B$9,F$136=""),"",IF(COUNTIFS(BD!$B$3:$B$5001,F$136,BD!$A$3:$A$5001,"&gt;="&amp;$C$7,BD!$A$3:$A$5001,"&lt;="&amp;$B162,BD!$V$3:$V$5001,"&lt;&gt;")=0,"",SUMIFS(BD!$V$3:$V$5001,BD!$B$3:$B$5001,F$136,BD!$A$3:$A$5001,_xlfn.MAXIFS(BD!$A$3:$A$5001,BD!$B$3:$B$5001,F$136,BD!$A$3:$A$5001,"&gt;="&amp;$C$7,BD!$A$3:$A$5001,"&lt;="&amp;$B162,BD!$V$3:$V$5001,"&lt;&gt;"))))</f>
        <v/>
      </c>
      <c r="G162" s="43" t="str">
        <f>IF(OR($B162="",$A162&gt;$B$9,G$136=""),"",IF(COUNTIFS(BD!$B$3:$B$5001,G$136,BD!$A$3:$A$5001,"&gt;="&amp;$C$7,BD!$A$3:$A$5001,"&lt;="&amp;$B162,BD!$V$3:$V$5001,"&lt;&gt;")=0,"",SUMIFS(BD!$V$3:$V$5001,BD!$B$3:$B$5001,G$136,BD!$A$3:$A$5001,_xlfn.MAXIFS(BD!$A$3:$A$5001,BD!$B$3:$B$5001,G$136,BD!$A$3:$A$5001,"&gt;="&amp;$C$7,BD!$A$3:$A$5001,"&lt;="&amp;$B162,BD!$V$3:$V$5001,"&lt;&gt;"))))</f>
        <v/>
      </c>
      <c r="H162" s="43" t="str">
        <f>IF(OR($B162="",$A162&gt;$B$9,H$136=""),"",IF(COUNTIFS(BD!$B$3:$B$5001,H$136,BD!$A$3:$A$5001,"&gt;="&amp;$C$7,BD!$A$3:$A$5001,"&lt;="&amp;$B162,BD!$V$3:$V$5001,"&lt;&gt;")=0,"",SUMIFS(BD!$V$3:$V$5001,BD!$B$3:$B$5001,H$136,BD!$A$3:$A$5001,_xlfn.MAXIFS(BD!$A$3:$A$5001,BD!$B$3:$B$5001,H$136,BD!$A$3:$A$5001,"&gt;="&amp;$C$7,BD!$A$3:$A$5001,"&lt;="&amp;$B162,BD!$V$3:$V$5001,"&lt;&gt;"))))</f>
        <v/>
      </c>
      <c r="I162" s="43" t="str">
        <f>IF(OR($B162="",$A162&gt;$B$9,I$136=""),"",IF(COUNTIFS(BD!$B$3:$B$5001,I$136,BD!$A$3:$A$5001,"&gt;="&amp;$C$7,BD!$A$3:$A$5001,"&lt;="&amp;$B162,BD!$V$3:$V$5001,"&lt;&gt;")=0,"",SUMIFS(BD!$V$3:$V$5001,BD!$B$3:$B$5001,I$136,BD!$A$3:$A$5001,_xlfn.MAXIFS(BD!$A$3:$A$5001,BD!$B$3:$B$5001,I$136,BD!$A$3:$A$5001,"&gt;="&amp;$C$7,BD!$A$3:$A$5001,"&lt;="&amp;$B162,BD!$V$3:$V$5001,"&lt;&gt;"))))</f>
        <v/>
      </c>
      <c r="J162" s="43" t="str">
        <f>IF(OR($B162="",$A162&gt;$B$9,J$136=""),"",IF(COUNTIFS(BD!$B$3:$B$5001,J$136,BD!$A$3:$A$5001,"&gt;="&amp;$C$7,BD!$A$3:$A$5001,"&lt;="&amp;$B162,BD!$V$3:$V$5001,"&lt;&gt;")=0,"",SUMIFS(BD!$V$3:$V$5001,BD!$B$3:$B$5001,J$136,BD!$A$3:$A$5001,_xlfn.MAXIFS(BD!$A$3:$A$5001,BD!$B$3:$B$5001,J$136,BD!$A$3:$A$5001,"&gt;="&amp;$C$7,BD!$A$3:$A$5001,"&lt;="&amp;$B162,BD!$V$3:$V$5001,"&lt;&gt;"))))</f>
        <v/>
      </c>
      <c r="K162" s="43" t="str">
        <f>IF(OR($B162="",$A162&gt;$B$9,K$136=""),"",IF(COUNTIFS(BD!$B$3:$B$5001,K$136,BD!$A$3:$A$5001,"&gt;="&amp;$C$7,BD!$A$3:$A$5001,"&lt;="&amp;$B162,BD!$V$3:$V$5001,"&lt;&gt;")=0,"",SUMIFS(BD!$V$3:$V$5001,BD!$B$3:$B$5001,K$136,BD!$A$3:$A$5001,_xlfn.MAXIFS(BD!$A$3:$A$5001,BD!$B$3:$B$5001,K$136,BD!$A$3:$A$5001,"&gt;="&amp;$C$7,BD!$A$3:$A$5001,"&lt;="&amp;$B162,BD!$V$3:$V$5001,"&lt;&gt;"))))</f>
        <v/>
      </c>
      <c r="L162" s="43" t="str">
        <f>IF(OR($B162="",$A162&gt;$B$9,L$136=""),"",IF(COUNTIFS(BD!$B$3:$B$5001,L$136,BD!$A$3:$A$5001,"&gt;="&amp;$C$7,BD!$A$3:$A$5001,"&lt;="&amp;$B162,BD!$V$3:$V$5001,"&lt;&gt;")=0,"",SUMIFS(BD!$V$3:$V$5001,BD!$B$3:$B$5001,L$136,BD!$A$3:$A$5001,_xlfn.MAXIFS(BD!$A$3:$A$5001,BD!$B$3:$B$5001,L$136,BD!$A$3:$A$5001,"&gt;="&amp;$C$7,BD!$A$3:$A$5001,"&lt;="&amp;$B162,BD!$V$3:$V$5001,"&lt;&gt;"))))</f>
        <v/>
      </c>
      <c r="M162" s="43" t="str">
        <f>IF(OR($B162="",$A162&gt;$B$9,M$136=""),"",IF(COUNTIFS(BD!$B$3:$B$5001,M$136,BD!$A$3:$A$5001,"&gt;="&amp;$C$7,BD!$A$3:$A$5001,"&lt;="&amp;$B162,BD!$V$3:$V$5001,"&lt;&gt;")=0,"",SUMIFS(BD!$V$3:$V$5001,BD!$B$3:$B$5001,M$136,BD!$A$3:$A$5001,_xlfn.MAXIFS(BD!$A$3:$A$5001,BD!$B$3:$B$5001,M$136,BD!$A$3:$A$5001,"&gt;="&amp;$C$7,BD!$A$3:$A$5001,"&lt;="&amp;$B162,BD!$V$3:$V$5001,"&lt;&gt;"))))</f>
        <v/>
      </c>
      <c r="N162" s="43" t="str">
        <f>IF(OR($B162="",$A162&gt;$B$9,N$136=""),"",IF(COUNTIFS(BD!$B$3:$B$5001,N$136,BD!$A$3:$A$5001,"&gt;="&amp;$C$7,BD!$A$3:$A$5001,"&lt;="&amp;$B162,BD!$V$3:$V$5001,"&lt;&gt;")=0,"",SUMIFS(BD!$V$3:$V$5001,BD!$B$3:$B$5001,N$136,BD!$A$3:$A$5001,_xlfn.MAXIFS(BD!$A$3:$A$5001,BD!$B$3:$B$5001,N$136,BD!$A$3:$A$5001,"&gt;="&amp;$C$7,BD!$A$3:$A$5001,"&lt;="&amp;$B162,BD!$V$3:$V$5001,"&lt;&gt;"))))</f>
        <v/>
      </c>
      <c r="O162" s="43" t="str">
        <f>IF(OR($B162="",$A162&gt;$B$9,O$136=""),"",IF(COUNTIFS(BD!$B$3:$B$5001,O$136,BD!$A$3:$A$5001,"&gt;="&amp;$C$7,BD!$A$3:$A$5001,"&lt;="&amp;$B162,BD!$V$3:$V$5001,"&lt;&gt;")=0,"",SUMIFS(BD!$V$3:$V$5001,BD!$B$3:$B$5001,O$136,BD!$A$3:$A$5001,_xlfn.MAXIFS(BD!$A$3:$A$5001,BD!$B$3:$B$5001,O$136,BD!$A$3:$A$5001,"&gt;="&amp;$C$7,BD!$A$3:$A$5001,"&lt;="&amp;$B162,BD!$V$3:$V$5001,"&lt;&gt;"))))</f>
        <v/>
      </c>
      <c r="P162" s="43" t="str">
        <f>IF(OR($B162="",$A162&gt;$B$9,P$136=""),"",IF(COUNTIFS(BD!$B$3:$B$5001,P$136,BD!$A$3:$A$5001,"&gt;="&amp;$C$7,BD!$A$3:$A$5001,"&lt;="&amp;$B162,BD!$V$3:$V$5001,"&lt;&gt;")=0,"",SUMIFS(BD!$V$3:$V$5001,BD!$B$3:$B$5001,P$136,BD!$A$3:$A$5001,_xlfn.MAXIFS(BD!$A$3:$A$5001,BD!$B$3:$B$5001,P$136,BD!$A$3:$A$5001,"&gt;="&amp;$C$7,BD!$A$3:$A$5001,"&lt;="&amp;$B162,BD!$V$3:$V$5001,"&lt;&gt;"))))</f>
        <v/>
      </c>
      <c r="Q162" s="43" t="str">
        <f>IF(OR($B162="",$A162&gt;$B$9,Q$136=""),"",IF(COUNTIFS(BD!$B$3:$B$5001,Q$136,BD!$A$3:$A$5001,"&gt;="&amp;$C$7,BD!$A$3:$A$5001,"&lt;="&amp;$B162,BD!$V$3:$V$5001,"&lt;&gt;")=0,"",SUMIFS(BD!$V$3:$V$5001,BD!$B$3:$B$5001,Q$136,BD!$A$3:$A$5001,_xlfn.MAXIFS(BD!$A$3:$A$5001,BD!$B$3:$B$5001,Q$136,BD!$A$3:$A$5001,"&gt;="&amp;$C$7,BD!$A$3:$A$5001,"&lt;="&amp;$B162,BD!$V$3:$V$5001,"&lt;&gt;"))))</f>
        <v/>
      </c>
      <c r="R162" s="43" t="str">
        <f>IF(OR($B162="",$A162&gt;$B$9,R$136=""),"",IF(COUNTIFS(BD!$B$3:$B$5001,R$136,BD!$A$3:$A$5001,"&gt;="&amp;$C$7,BD!$A$3:$A$5001,"&lt;="&amp;$B162,BD!$V$3:$V$5001,"&lt;&gt;")=0,"",SUMIFS(BD!$V$3:$V$5001,BD!$B$3:$B$5001,R$136,BD!$A$3:$A$5001,_xlfn.MAXIFS(BD!$A$3:$A$5001,BD!$B$3:$B$5001,R$136,BD!$A$3:$A$5001,"&gt;="&amp;$C$7,BD!$A$3:$A$5001,"&lt;="&amp;$B162,BD!$V$3:$V$5001,"&lt;&gt;"))))</f>
        <v/>
      </c>
      <c r="S162" s="43" t="str">
        <f>IF(OR($B162="",$A162&gt;$B$9,S$136=""),"",IF(COUNTIFS(BD!$B$3:$B$5001,S$136,BD!$A$3:$A$5001,"&gt;="&amp;$C$7,BD!$A$3:$A$5001,"&lt;="&amp;$B162,BD!$V$3:$V$5001,"&lt;&gt;")=0,"",SUMIFS(BD!$V$3:$V$5001,BD!$B$3:$B$5001,S$136,BD!$A$3:$A$5001,_xlfn.MAXIFS(BD!$A$3:$A$5001,BD!$B$3:$B$5001,S$136,BD!$A$3:$A$5001,"&gt;="&amp;$C$7,BD!$A$3:$A$5001,"&lt;="&amp;$B162,BD!$V$3:$V$5001,"&lt;&gt;"))))</f>
        <v/>
      </c>
      <c r="T162" s="43" t="str">
        <f>IF(OR($B162="",$A162&gt;$B$9,T$136=""),"",IF(COUNTIFS(BD!$B$3:$B$5001,T$136,BD!$A$3:$A$5001,"&gt;="&amp;$C$7,BD!$A$3:$A$5001,"&lt;="&amp;$B162,BD!$V$3:$V$5001,"&lt;&gt;")=0,"",SUMIFS(BD!$V$3:$V$5001,BD!$B$3:$B$5001,T$136,BD!$A$3:$A$5001,_xlfn.MAXIFS(BD!$A$3:$A$5001,BD!$B$3:$B$5001,T$136,BD!$A$3:$A$5001,"&gt;="&amp;$C$7,BD!$A$3:$A$5001,"&lt;="&amp;$B162,BD!$V$3:$V$5001,"&lt;&gt;"))))</f>
        <v/>
      </c>
      <c r="U162" s="43" t="str">
        <f>IF(OR($B162="",$A162&gt;$B$9,U$136=""),"",IF(COUNTIFS(BD!$B$3:$B$5001,U$136,BD!$A$3:$A$5001,"&gt;="&amp;$C$7,BD!$A$3:$A$5001,"&lt;="&amp;$B162,BD!$V$3:$V$5001,"&lt;&gt;")=0,"",SUMIFS(BD!$V$3:$V$5001,BD!$B$3:$B$5001,U$136,BD!$A$3:$A$5001,_xlfn.MAXIFS(BD!$A$3:$A$5001,BD!$B$3:$B$5001,U$136,BD!$A$3:$A$5001,"&gt;="&amp;$C$7,BD!$A$3:$A$5001,"&lt;="&amp;$B162,BD!$V$3:$V$5001,"&lt;&gt;"))))</f>
        <v/>
      </c>
      <c r="V162" s="43" t="str">
        <f>IF(OR($B162="",$A162&gt;$B$9,V$136=""),"",IF(COUNTIFS(BD!$B$3:$B$5001,V$136,BD!$A$3:$A$5001,"&gt;="&amp;$C$7,BD!$A$3:$A$5001,"&lt;="&amp;$B162,BD!$V$3:$V$5001,"&lt;&gt;")=0,"",SUMIFS(BD!$V$3:$V$5001,BD!$B$3:$B$5001,V$136,BD!$A$3:$A$5001,_xlfn.MAXIFS(BD!$A$3:$A$5001,BD!$B$3:$B$5001,V$136,BD!$A$3:$A$5001,"&gt;="&amp;$C$7,BD!$A$3:$A$5001,"&lt;="&amp;$B162,BD!$V$3:$V$5001,"&lt;&gt;"))))</f>
        <v/>
      </c>
    </row>
    <row r="163">
      <c r="A163" s="38">
        <v>27</v>
      </c>
      <c r="B163" s="42">
        <f>$B$38</f>
        <v>46322</v>
      </c>
      <c r="C163" s="43" t="str">
        <f>IF(OR($B163="",$A163&gt;$B$9,C$136=""),"",IF(COUNTIFS(BD!$B$3:$B$5001,C$136,BD!$A$3:$A$5001,"&gt;="&amp;$C$7,BD!$A$3:$A$5001,"&lt;="&amp;$B163,BD!$V$3:$V$5001,"&lt;&gt;")=0,"",SUMIFS(BD!$V$3:$V$5001,BD!$B$3:$B$5001,C$136,BD!$A$3:$A$5001,_xlfn.MAXIFS(BD!$A$3:$A$5001,BD!$B$3:$B$5001,C$136,BD!$A$3:$A$5001,"&gt;="&amp;$C$7,BD!$A$3:$A$5001,"&lt;="&amp;$B163,BD!$V$3:$V$5001,"&lt;&gt;"))))</f>
        <v/>
      </c>
      <c r="D163" s="43" t="str">
        <f>IF(OR($B163="",$A163&gt;$B$9,D$136=""),"",IF(COUNTIFS(BD!$B$3:$B$5001,D$136,BD!$A$3:$A$5001,"&gt;="&amp;$C$7,BD!$A$3:$A$5001,"&lt;="&amp;$B163,BD!$V$3:$V$5001,"&lt;&gt;")=0,"",SUMIFS(BD!$V$3:$V$5001,BD!$B$3:$B$5001,D$136,BD!$A$3:$A$5001,_xlfn.MAXIFS(BD!$A$3:$A$5001,BD!$B$3:$B$5001,D$136,BD!$A$3:$A$5001,"&gt;="&amp;$C$7,BD!$A$3:$A$5001,"&lt;="&amp;$B163,BD!$V$3:$V$5001,"&lt;&gt;"))))</f>
        <v/>
      </c>
      <c r="E163" s="43" t="str">
        <f>IF(OR($B163="",$A163&gt;$B$9,E$136=""),"",IF(COUNTIFS(BD!$B$3:$B$5001,E$136,BD!$A$3:$A$5001,"&gt;="&amp;$C$7,BD!$A$3:$A$5001,"&lt;="&amp;$B163,BD!$V$3:$V$5001,"&lt;&gt;")=0,"",SUMIFS(BD!$V$3:$V$5001,BD!$B$3:$B$5001,E$136,BD!$A$3:$A$5001,_xlfn.MAXIFS(BD!$A$3:$A$5001,BD!$B$3:$B$5001,E$136,BD!$A$3:$A$5001,"&gt;="&amp;$C$7,BD!$A$3:$A$5001,"&lt;="&amp;$B163,BD!$V$3:$V$5001,"&lt;&gt;"))))</f>
        <v/>
      </c>
      <c r="F163" s="43" t="str">
        <f>IF(OR($B163="",$A163&gt;$B$9,F$136=""),"",IF(COUNTIFS(BD!$B$3:$B$5001,F$136,BD!$A$3:$A$5001,"&gt;="&amp;$C$7,BD!$A$3:$A$5001,"&lt;="&amp;$B163,BD!$V$3:$V$5001,"&lt;&gt;")=0,"",SUMIFS(BD!$V$3:$V$5001,BD!$B$3:$B$5001,F$136,BD!$A$3:$A$5001,_xlfn.MAXIFS(BD!$A$3:$A$5001,BD!$B$3:$B$5001,F$136,BD!$A$3:$A$5001,"&gt;="&amp;$C$7,BD!$A$3:$A$5001,"&lt;="&amp;$B163,BD!$V$3:$V$5001,"&lt;&gt;"))))</f>
        <v/>
      </c>
      <c r="G163" s="43" t="str">
        <f>IF(OR($B163="",$A163&gt;$B$9,G$136=""),"",IF(COUNTIFS(BD!$B$3:$B$5001,G$136,BD!$A$3:$A$5001,"&gt;="&amp;$C$7,BD!$A$3:$A$5001,"&lt;="&amp;$B163,BD!$V$3:$V$5001,"&lt;&gt;")=0,"",SUMIFS(BD!$V$3:$V$5001,BD!$B$3:$B$5001,G$136,BD!$A$3:$A$5001,_xlfn.MAXIFS(BD!$A$3:$A$5001,BD!$B$3:$B$5001,G$136,BD!$A$3:$A$5001,"&gt;="&amp;$C$7,BD!$A$3:$A$5001,"&lt;="&amp;$B163,BD!$V$3:$V$5001,"&lt;&gt;"))))</f>
        <v/>
      </c>
      <c r="H163" s="43" t="str">
        <f>IF(OR($B163="",$A163&gt;$B$9,H$136=""),"",IF(COUNTIFS(BD!$B$3:$B$5001,H$136,BD!$A$3:$A$5001,"&gt;="&amp;$C$7,BD!$A$3:$A$5001,"&lt;="&amp;$B163,BD!$V$3:$V$5001,"&lt;&gt;")=0,"",SUMIFS(BD!$V$3:$V$5001,BD!$B$3:$B$5001,H$136,BD!$A$3:$A$5001,_xlfn.MAXIFS(BD!$A$3:$A$5001,BD!$B$3:$B$5001,H$136,BD!$A$3:$A$5001,"&gt;="&amp;$C$7,BD!$A$3:$A$5001,"&lt;="&amp;$B163,BD!$V$3:$V$5001,"&lt;&gt;"))))</f>
        <v/>
      </c>
      <c r="I163" s="43" t="str">
        <f>IF(OR($B163="",$A163&gt;$B$9,I$136=""),"",IF(COUNTIFS(BD!$B$3:$B$5001,I$136,BD!$A$3:$A$5001,"&gt;="&amp;$C$7,BD!$A$3:$A$5001,"&lt;="&amp;$B163,BD!$V$3:$V$5001,"&lt;&gt;")=0,"",SUMIFS(BD!$V$3:$V$5001,BD!$B$3:$B$5001,I$136,BD!$A$3:$A$5001,_xlfn.MAXIFS(BD!$A$3:$A$5001,BD!$B$3:$B$5001,I$136,BD!$A$3:$A$5001,"&gt;="&amp;$C$7,BD!$A$3:$A$5001,"&lt;="&amp;$B163,BD!$V$3:$V$5001,"&lt;&gt;"))))</f>
        <v/>
      </c>
      <c r="J163" s="43" t="str">
        <f>IF(OR($B163="",$A163&gt;$B$9,J$136=""),"",IF(COUNTIFS(BD!$B$3:$B$5001,J$136,BD!$A$3:$A$5001,"&gt;="&amp;$C$7,BD!$A$3:$A$5001,"&lt;="&amp;$B163,BD!$V$3:$V$5001,"&lt;&gt;")=0,"",SUMIFS(BD!$V$3:$V$5001,BD!$B$3:$B$5001,J$136,BD!$A$3:$A$5001,_xlfn.MAXIFS(BD!$A$3:$A$5001,BD!$B$3:$B$5001,J$136,BD!$A$3:$A$5001,"&gt;="&amp;$C$7,BD!$A$3:$A$5001,"&lt;="&amp;$B163,BD!$V$3:$V$5001,"&lt;&gt;"))))</f>
        <v/>
      </c>
      <c r="K163" s="43" t="str">
        <f>IF(OR($B163="",$A163&gt;$B$9,K$136=""),"",IF(COUNTIFS(BD!$B$3:$B$5001,K$136,BD!$A$3:$A$5001,"&gt;="&amp;$C$7,BD!$A$3:$A$5001,"&lt;="&amp;$B163,BD!$V$3:$V$5001,"&lt;&gt;")=0,"",SUMIFS(BD!$V$3:$V$5001,BD!$B$3:$B$5001,K$136,BD!$A$3:$A$5001,_xlfn.MAXIFS(BD!$A$3:$A$5001,BD!$B$3:$B$5001,K$136,BD!$A$3:$A$5001,"&gt;="&amp;$C$7,BD!$A$3:$A$5001,"&lt;="&amp;$B163,BD!$V$3:$V$5001,"&lt;&gt;"))))</f>
        <v/>
      </c>
      <c r="L163" s="43" t="str">
        <f>IF(OR($B163="",$A163&gt;$B$9,L$136=""),"",IF(COUNTIFS(BD!$B$3:$B$5001,L$136,BD!$A$3:$A$5001,"&gt;="&amp;$C$7,BD!$A$3:$A$5001,"&lt;="&amp;$B163,BD!$V$3:$V$5001,"&lt;&gt;")=0,"",SUMIFS(BD!$V$3:$V$5001,BD!$B$3:$B$5001,L$136,BD!$A$3:$A$5001,_xlfn.MAXIFS(BD!$A$3:$A$5001,BD!$B$3:$B$5001,L$136,BD!$A$3:$A$5001,"&gt;="&amp;$C$7,BD!$A$3:$A$5001,"&lt;="&amp;$B163,BD!$V$3:$V$5001,"&lt;&gt;"))))</f>
        <v/>
      </c>
      <c r="M163" s="43" t="str">
        <f>IF(OR($B163="",$A163&gt;$B$9,M$136=""),"",IF(COUNTIFS(BD!$B$3:$B$5001,M$136,BD!$A$3:$A$5001,"&gt;="&amp;$C$7,BD!$A$3:$A$5001,"&lt;="&amp;$B163,BD!$V$3:$V$5001,"&lt;&gt;")=0,"",SUMIFS(BD!$V$3:$V$5001,BD!$B$3:$B$5001,M$136,BD!$A$3:$A$5001,_xlfn.MAXIFS(BD!$A$3:$A$5001,BD!$B$3:$B$5001,M$136,BD!$A$3:$A$5001,"&gt;="&amp;$C$7,BD!$A$3:$A$5001,"&lt;="&amp;$B163,BD!$V$3:$V$5001,"&lt;&gt;"))))</f>
        <v/>
      </c>
      <c r="N163" s="43" t="str">
        <f>IF(OR($B163="",$A163&gt;$B$9,N$136=""),"",IF(COUNTIFS(BD!$B$3:$B$5001,N$136,BD!$A$3:$A$5001,"&gt;="&amp;$C$7,BD!$A$3:$A$5001,"&lt;="&amp;$B163,BD!$V$3:$V$5001,"&lt;&gt;")=0,"",SUMIFS(BD!$V$3:$V$5001,BD!$B$3:$B$5001,N$136,BD!$A$3:$A$5001,_xlfn.MAXIFS(BD!$A$3:$A$5001,BD!$B$3:$B$5001,N$136,BD!$A$3:$A$5001,"&gt;="&amp;$C$7,BD!$A$3:$A$5001,"&lt;="&amp;$B163,BD!$V$3:$V$5001,"&lt;&gt;"))))</f>
        <v/>
      </c>
      <c r="O163" s="43" t="str">
        <f>IF(OR($B163="",$A163&gt;$B$9,O$136=""),"",IF(COUNTIFS(BD!$B$3:$B$5001,O$136,BD!$A$3:$A$5001,"&gt;="&amp;$C$7,BD!$A$3:$A$5001,"&lt;="&amp;$B163,BD!$V$3:$V$5001,"&lt;&gt;")=0,"",SUMIFS(BD!$V$3:$V$5001,BD!$B$3:$B$5001,O$136,BD!$A$3:$A$5001,_xlfn.MAXIFS(BD!$A$3:$A$5001,BD!$B$3:$B$5001,O$136,BD!$A$3:$A$5001,"&gt;="&amp;$C$7,BD!$A$3:$A$5001,"&lt;="&amp;$B163,BD!$V$3:$V$5001,"&lt;&gt;"))))</f>
        <v/>
      </c>
      <c r="P163" s="43" t="str">
        <f>IF(OR($B163="",$A163&gt;$B$9,P$136=""),"",IF(COUNTIFS(BD!$B$3:$B$5001,P$136,BD!$A$3:$A$5001,"&gt;="&amp;$C$7,BD!$A$3:$A$5001,"&lt;="&amp;$B163,BD!$V$3:$V$5001,"&lt;&gt;")=0,"",SUMIFS(BD!$V$3:$V$5001,BD!$B$3:$B$5001,P$136,BD!$A$3:$A$5001,_xlfn.MAXIFS(BD!$A$3:$A$5001,BD!$B$3:$B$5001,P$136,BD!$A$3:$A$5001,"&gt;="&amp;$C$7,BD!$A$3:$A$5001,"&lt;="&amp;$B163,BD!$V$3:$V$5001,"&lt;&gt;"))))</f>
        <v/>
      </c>
      <c r="Q163" s="43" t="str">
        <f>IF(OR($B163="",$A163&gt;$B$9,Q$136=""),"",IF(COUNTIFS(BD!$B$3:$B$5001,Q$136,BD!$A$3:$A$5001,"&gt;="&amp;$C$7,BD!$A$3:$A$5001,"&lt;="&amp;$B163,BD!$V$3:$V$5001,"&lt;&gt;")=0,"",SUMIFS(BD!$V$3:$V$5001,BD!$B$3:$B$5001,Q$136,BD!$A$3:$A$5001,_xlfn.MAXIFS(BD!$A$3:$A$5001,BD!$B$3:$B$5001,Q$136,BD!$A$3:$A$5001,"&gt;="&amp;$C$7,BD!$A$3:$A$5001,"&lt;="&amp;$B163,BD!$V$3:$V$5001,"&lt;&gt;"))))</f>
        <v/>
      </c>
      <c r="R163" s="43" t="str">
        <f>IF(OR($B163="",$A163&gt;$B$9,R$136=""),"",IF(COUNTIFS(BD!$B$3:$B$5001,R$136,BD!$A$3:$A$5001,"&gt;="&amp;$C$7,BD!$A$3:$A$5001,"&lt;="&amp;$B163,BD!$V$3:$V$5001,"&lt;&gt;")=0,"",SUMIFS(BD!$V$3:$V$5001,BD!$B$3:$B$5001,R$136,BD!$A$3:$A$5001,_xlfn.MAXIFS(BD!$A$3:$A$5001,BD!$B$3:$B$5001,R$136,BD!$A$3:$A$5001,"&gt;="&amp;$C$7,BD!$A$3:$A$5001,"&lt;="&amp;$B163,BD!$V$3:$V$5001,"&lt;&gt;"))))</f>
        <v/>
      </c>
      <c r="S163" s="43" t="str">
        <f>IF(OR($B163="",$A163&gt;$B$9,S$136=""),"",IF(COUNTIFS(BD!$B$3:$B$5001,S$136,BD!$A$3:$A$5001,"&gt;="&amp;$C$7,BD!$A$3:$A$5001,"&lt;="&amp;$B163,BD!$V$3:$V$5001,"&lt;&gt;")=0,"",SUMIFS(BD!$V$3:$V$5001,BD!$B$3:$B$5001,S$136,BD!$A$3:$A$5001,_xlfn.MAXIFS(BD!$A$3:$A$5001,BD!$B$3:$B$5001,S$136,BD!$A$3:$A$5001,"&gt;="&amp;$C$7,BD!$A$3:$A$5001,"&lt;="&amp;$B163,BD!$V$3:$V$5001,"&lt;&gt;"))))</f>
        <v/>
      </c>
      <c r="T163" s="43" t="str">
        <f>IF(OR($B163="",$A163&gt;$B$9,T$136=""),"",IF(COUNTIFS(BD!$B$3:$B$5001,T$136,BD!$A$3:$A$5001,"&gt;="&amp;$C$7,BD!$A$3:$A$5001,"&lt;="&amp;$B163,BD!$V$3:$V$5001,"&lt;&gt;")=0,"",SUMIFS(BD!$V$3:$V$5001,BD!$B$3:$B$5001,T$136,BD!$A$3:$A$5001,_xlfn.MAXIFS(BD!$A$3:$A$5001,BD!$B$3:$B$5001,T$136,BD!$A$3:$A$5001,"&gt;="&amp;$C$7,BD!$A$3:$A$5001,"&lt;="&amp;$B163,BD!$V$3:$V$5001,"&lt;&gt;"))))</f>
        <v/>
      </c>
      <c r="U163" s="43" t="str">
        <f>IF(OR($B163="",$A163&gt;$B$9,U$136=""),"",IF(COUNTIFS(BD!$B$3:$B$5001,U$136,BD!$A$3:$A$5001,"&gt;="&amp;$C$7,BD!$A$3:$A$5001,"&lt;="&amp;$B163,BD!$V$3:$V$5001,"&lt;&gt;")=0,"",SUMIFS(BD!$V$3:$V$5001,BD!$B$3:$B$5001,U$136,BD!$A$3:$A$5001,_xlfn.MAXIFS(BD!$A$3:$A$5001,BD!$B$3:$B$5001,U$136,BD!$A$3:$A$5001,"&gt;="&amp;$C$7,BD!$A$3:$A$5001,"&lt;="&amp;$B163,BD!$V$3:$V$5001,"&lt;&gt;"))))</f>
        <v/>
      </c>
      <c r="V163" s="43" t="str">
        <f>IF(OR($B163="",$A163&gt;$B$9,V$136=""),"",IF(COUNTIFS(BD!$B$3:$B$5001,V$136,BD!$A$3:$A$5001,"&gt;="&amp;$C$7,BD!$A$3:$A$5001,"&lt;="&amp;$B163,BD!$V$3:$V$5001,"&lt;&gt;")=0,"",SUMIFS(BD!$V$3:$V$5001,BD!$B$3:$B$5001,V$136,BD!$A$3:$A$5001,_xlfn.MAXIFS(BD!$A$3:$A$5001,BD!$B$3:$B$5001,V$136,BD!$A$3:$A$5001,"&gt;="&amp;$C$7,BD!$A$3:$A$5001,"&lt;="&amp;$B163,BD!$V$3:$V$5001,"&lt;&gt;"))))</f>
        <v/>
      </c>
    </row>
    <row r="164">
      <c r="A164" s="38">
        <v>28</v>
      </c>
      <c r="B164" s="42">
        <f>$B$39</f>
        <v>46323</v>
      </c>
      <c r="C164" s="43" t="str">
        <f>IF(OR($B164="",$A164&gt;$B$9,C$136=""),"",IF(COUNTIFS(BD!$B$3:$B$5001,C$136,BD!$A$3:$A$5001,"&gt;="&amp;$C$7,BD!$A$3:$A$5001,"&lt;="&amp;$B164,BD!$V$3:$V$5001,"&lt;&gt;")=0,"",SUMIFS(BD!$V$3:$V$5001,BD!$B$3:$B$5001,C$136,BD!$A$3:$A$5001,_xlfn.MAXIFS(BD!$A$3:$A$5001,BD!$B$3:$B$5001,C$136,BD!$A$3:$A$5001,"&gt;="&amp;$C$7,BD!$A$3:$A$5001,"&lt;="&amp;$B164,BD!$V$3:$V$5001,"&lt;&gt;"))))</f>
        <v/>
      </c>
      <c r="D164" s="43" t="str">
        <f>IF(OR($B164="",$A164&gt;$B$9,D$136=""),"",IF(COUNTIFS(BD!$B$3:$B$5001,D$136,BD!$A$3:$A$5001,"&gt;="&amp;$C$7,BD!$A$3:$A$5001,"&lt;="&amp;$B164,BD!$V$3:$V$5001,"&lt;&gt;")=0,"",SUMIFS(BD!$V$3:$V$5001,BD!$B$3:$B$5001,D$136,BD!$A$3:$A$5001,_xlfn.MAXIFS(BD!$A$3:$A$5001,BD!$B$3:$B$5001,D$136,BD!$A$3:$A$5001,"&gt;="&amp;$C$7,BD!$A$3:$A$5001,"&lt;="&amp;$B164,BD!$V$3:$V$5001,"&lt;&gt;"))))</f>
        <v/>
      </c>
      <c r="E164" s="43" t="str">
        <f>IF(OR($B164="",$A164&gt;$B$9,E$136=""),"",IF(COUNTIFS(BD!$B$3:$B$5001,E$136,BD!$A$3:$A$5001,"&gt;="&amp;$C$7,BD!$A$3:$A$5001,"&lt;="&amp;$B164,BD!$V$3:$V$5001,"&lt;&gt;")=0,"",SUMIFS(BD!$V$3:$V$5001,BD!$B$3:$B$5001,E$136,BD!$A$3:$A$5001,_xlfn.MAXIFS(BD!$A$3:$A$5001,BD!$B$3:$B$5001,E$136,BD!$A$3:$A$5001,"&gt;="&amp;$C$7,BD!$A$3:$A$5001,"&lt;="&amp;$B164,BD!$V$3:$V$5001,"&lt;&gt;"))))</f>
        <v/>
      </c>
      <c r="F164" s="43" t="str">
        <f>IF(OR($B164="",$A164&gt;$B$9,F$136=""),"",IF(COUNTIFS(BD!$B$3:$B$5001,F$136,BD!$A$3:$A$5001,"&gt;="&amp;$C$7,BD!$A$3:$A$5001,"&lt;="&amp;$B164,BD!$V$3:$V$5001,"&lt;&gt;")=0,"",SUMIFS(BD!$V$3:$V$5001,BD!$B$3:$B$5001,F$136,BD!$A$3:$A$5001,_xlfn.MAXIFS(BD!$A$3:$A$5001,BD!$B$3:$B$5001,F$136,BD!$A$3:$A$5001,"&gt;="&amp;$C$7,BD!$A$3:$A$5001,"&lt;="&amp;$B164,BD!$V$3:$V$5001,"&lt;&gt;"))))</f>
        <v/>
      </c>
      <c r="G164" s="43" t="str">
        <f>IF(OR($B164="",$A164&gt;$B$9,G$136=""),"",IF(COUNTIFS(BD!$B$3:$B$5001,G$136,BD!$A$3:$A$5001,"&gt;="&amp;$C$7,BD!$A$3:$A$5001,"&lt;="&amp;$B164,BD!$V$3:$V$5001,"&lt;&gt;")=0,"",SUMIFS(BD!$V$3:$V$5001,BD!$B$3:$B$5001,G$136,BD!$A$3:$A$5001,_xlfn.MAXIFS(BD!$A$3:$A$5001,BD!$B$3:$B$5001,G$136,BD!$A$3:$A$5001,"&gt;="&amp;$C$7,BD!$A$3:$A$5001,"&lt;="&amp;$B164,BD!$V$3:$V$5001,"&lt;&gt;"))))</f>
        <v/>
      </c>
      <c r="H164" s="43" t="str">
        <f>IF(OR($B164="",$A164&gt;$B$9,H$136=""),"",IF(COUNTIFS(BD!$B$3:$B$5001,H$136,BD!$A$3:$A$5001,"&gt;="&amp;$C$7,BD!$A$3:$A$5001,"&lt;="&amp;$B164,BD!$V$3:$V$5001,"&lt;&gt;")=0,"",SUMIFS(BD!$V$3:$V$5001,BD!$B$3:$B$5001,H$136,BD!$A$3:$A$5001,_xlfn.MAXIFS(BD!$A$3:$A$5001,BD!$B$3:$B$5001,H$136,BD!$A$3:$A$5001,"&gt;="&amp;$C$7,BD!$A$3:$A$5001,"&lt;="&amp;$B164,BD!$V$3:$V$5001,"&lt;&gt;"))))</f>
        <v/>
      </c>
      <c r="I164" s="43" t="str">
        <f>IF(OR($B164="",$A164&gt;$B$9,I$136=""),"",IF(COUNTIFS(BD!$B$3:$B$5001,I$136,BD!$A$3:$A$5001,"&gt;="&amp;$C$7,BD!$A$3:$A$5001,"&lt;="&amp;$B164,BD!$V$3:$V$5001,"&lt;&gt;")=0,"",SUMIFS(BD!$V$3:$V$5001,BD!$B$3:$B$5001,I$136,BD!$A$3:$A$5001,_xlfn.MAXIFS(BD!$A$3:$A$5001,BD!$B$3:$B$5001,I$136,BD!$A$3:$A$5001,"&gt;="&amp;$C$7,BD!$A$3:$A$5001,"&lt;="&amp;$B164,BD!$V$3:$V$5001,"&lt;&gt;"))))</f>
        <v/>
      </c>
      <c r="J164" s="43" t="str">
        <f>IF(OR($B164="",$A164&gt;$B$9,J$136=""),"",IF(COUNTIFS(BD!$B$3:$B$5001,J$136,BD!$A$3:$A$5001,"&gt;="&amp;$C$7,BD!$A$3:$A$5001,"&lt;="&amp;$B164,BD!$V$3:$V$5001,"&lt;&gt;")=0,"",SUMIFS(BD!$V$3:$V$5001,BD!$B$3:$B$5001,J$136,BD!$A$3:$A$5001,_xlfn.MAXIFS(BD!$A$3:$A$5001,BD!$B$3:$B$5001,J$136,BD!$A$3:$A$5001,"&gt;="&amp;$C$7,BD!$A$3:$A$5001,"&lt;="&amp;$B164,BD!$V$3:$V$5001,"&lt;&gt;"))))</f>
        <v/>
      </c>
      <c r="K164" s="43" t="str">
        <f>IF(OR($B164="",$A164&gt;$B$9,K$136=""),"",IF(COUNTIFS(BD!$B$3:$B$5001,K$136,BD!$A$3:$A$5001,"&gt;="&amp;$C$7,BD!$A$3:$A$5001,"&lt;="&amp;$B164,BD!$V$3:$V$5001,"&lt;&gt;")=0,"",SUMIFS(BD!$V$3:$V$5001,BD!$B$3:$B$5001,K$136,BD!$A$3:$A$5001,_xlfn.MAXIFS(BD!$A$3:$A$5001,BD!$B$3:$B$5001,K$136,BD!$A$3:$A$5001,"&gt;="&amp;$C$7,BD!$A$3:$A$5001,"&lt;="&amp;$B164,BD!$V$3:$V$5001,"&lt;&gt;"))))</f>
        <v/>
      </c>
      <c r="L164" s="43" t="str">
        <f>IF(OR($B164="",$A164&gt;$B$9,L$136=""),"",IF(COUNTIFS(BD!$B$3:$B$5001,L$136,BD!$A$3:$A$5001,"&gt;="&amp;$C$7,BD!$A$3:$A$5001,"&lt;="&amp;$B164,BD!$V$3:$V$5001,"&lt;&gt;")=0,"",SUMIFS(BD!$V$3:$V$5001,BD!$B$3:$B$5001,L$136,BD!$A$3:$A$5001,_xlfn.MAXIFS(BD!$A$3:$A$5001,BD!$B$3:$B$5001,L$136,BD!$A$3:$A$5001,"&gt;="&amp;$C$7,BD!$A$3:$A$5001,"&lt;="&amp;$B164,BD!$V$3:$V$5001,"&lt;&gt;"))))</f>
        <v/>
      </c>
      <c r="M164" s="43" t="str">
        <f>IF(OR($B164="",$A164&gt;$B$9,M$136=""),"",IF(COUNTIFS(BD!$B$3:$B$5001,M$136,BD!$A$3:$A$5001,"&gt;="&amp;$C$7,BD!$A$3:$A$5001,"&lt;="&amp;$B164,BD!$V$3:$V$5001,"&lt;&gt;")=0,"",SUMIFS(BD!$V$3:$V$5001,BD!$B$3:$B$5001,M$136,BD!$A$3:$A$5001,_xlfn.MAXIFS(BD!$A$3:$A$5001,BD!$B$3:$B$5001,M$136,BD!$A$3:$A$5001,"&gt;="&amp;$C$7,BD!$A$3:$A$5001,"&lt;="&amp;$B164,BD!$V$3:$V$5001,"&lt;&gt;"))))</f>
        <v/>
      </c>
      <c r="N164" s="43" t="str">
        <f>IF(OR($B164="",$A164&gt;$B$9,N$136=""),"",IF(COUNTIFS(BD!$B$3:$B$5001,N$136,BD!$A$3:$A$5001,"&gt;="&amp;$C$7,BD!$A$3:$A$5001,"&lt;="&amp;$B164,BD!$V$3:$V$5001,"&lt;&gt;")=0,"",SUMIFS(BD!$V$3:$V$5001,BD!$B$3:$B$5001,N$136,BD!$A$3:$A$5001,_xlfn.MAXIFS(BD!$A$3:$A$5001,BD!$B$3:$B$5001,N$136,BD!$A$3:$A$5001,"&gt;="&amp;$C$7,BD!$A$3:$A$5001,"&lt;="&amp;$B164,BD!$V$3:$V$5001,"&lt;&gt;"))))</f>
        <v/>
      </c>
      <c r="O164" s="43" t="str">
        <f>IF(OR($B164="",$A164&gt;$B$9,O$136=""),"",IF(COUNTIFS(BD!$B$3:$B$5001,O$136,BD!$A$3:$A$5001,"&gt;="&amp;$C$7,BD!$A$3:$A$5001,"&lt;="&amp;$B164,BD!$V$3:$V$5001,"&lt;&gt;")=0,"",SUMIFS(BD!$V$3:$V$5001,BD!$B$3:$B$5001,O$136,BD!$A$3:$A$5001,_xlfn.MAXIFS(BD!$A$3:$A$5001,BD!$B$3:$B$5001,O$136,BD!$A$3:$A$5001,"&gt;="&amp;$C$7,BD!$A$3:$A$5001,"&lt;="&amp;$B164,BD!$V$3:$V$5001,"&lt;&gt;"))))</f>
        <v/>
      </c>
      <c r="P164" s="43" t="str">
        <f>IF(OR($B164="",$A164&gt;$B$9,P$136=""),"",IF(COUNTIFS(BD!$B$3:$B$5001,P$136,BD!$A$3:$A$5001,"&gt;="&amp;$C$7,BD!$A$3:$A$5001,"&lt;="&amp;$B164,BD!$V$3:$V$5001,"&lt;&gt;")=0,"",SUMIFS(BD!$V$3:$V$5001,BD!$B$3:$B$5001,P$136,BD!$A$3:$A$5001,_xlfn.MAXIFS(BD!$A$3:$A$5001,BD!$B$3:$B$5001,P$136,BD!$A$3:$A$5001,"&gt;="&amp;$C$7,BD!$A$3:$A$5001,"&lt;="&amp;$B164,BD!$V$3:$V$5001,"&lt;&gt;"))))</f>
        <v/>
      </c>
      <c r="Q164" s="43" t="str">
        <f>IF(OR($B164="",$A164&gt;$B$9,Q$136=""),"",IF(COUNTIFS(BD!$B$3:$B$5001,Q$136,BD!$A$3:$A$5001,"&gt;="&amp;$C$7,BD!$A$3:$A$5001,"&lt;="&amp;$B164,BD!$V$3:$V$5001,"&lt;&gt;")=0,"",SUMIFS(BD!$V$3:$V$5001,BD!$B$3:$B$5001,Q$136,BD!$A$3:$A$5001,_xlfn.MAXIFS(BD!$A$3:$A$5001,BD!$B$3:$B$5001,Q$136,BD!$A$3:$A$5001,"&gt;="&amp;$C$7,BD!$A$3:$A$5001,"&lt;="&amp;$B164,BD!$V$3:$V$5001,"&lt;&gt;"))))</f>
        <v/>
      </c>
      <c r="R164" s="43" t="str">
        <f>IF(OR($B164="",$A164&gt;$B$9,R$136=""),"",IF(COUNTIFS(BD!$B$3:$B$5001,R$136,BD!$A$3:$A$5001,"&gt;="&amp;$C$7,BD!$A$3:$A$5001,"&lt;="&amp;$B164,BD!$V$3:$V$5001,"&lt;&gt;")=0,"",SUMIFS(BD!$V$3:$V$5001,BD!$B$3:$B$5001,R$136,BD!$A$3:$A$5001,_xlfn.MAXIFS(BD!$A$3:$A$5001,BD!$B$3:$B$5001,R$136,BD!$A$3:$A$5001,"&gt;="&amp;$C$7,BD!$A$3:$A$5001,"&lt;="&amp;$B164,BD!$V$3:$V$5001,"&lt;&gt;"))))</f>
        <v/>
      </c>
      <c r="S164" s="43" t="str">
        <f>IF(OR($B164="",$A164&gt;$B$9,S$136=""),"",IF(COUNTIFS(BD!$B$3:$B$5001,S$136,BD!$A$3:$A$5001,"&gt;="&amp;$C$7,BD!$A$3:$A$5001,"&lt;="&amp;$B164,BD!$V$3:$V$5001,"&lt;&gt;")=0,"",SUMIFS(BD!$V$3:$V$5001,BD!$B$3:$B$5001,S$136,BD!$A$3:$A$5001,_xlfn.MAXIFS(BD!$A$3:$A$5001,BD!$B$3:$B$5001,S$136,BD!$A$3:$A$5001,"&gt;="&amp;$C$7,BD!$A$3:$A$5001,"&lt;="&amp;$B164,BD!$V$3:$V$5001,"&lt;&gt;"))))</f>
        <v/>
      </c>
      <c r="T164" s="43" t="str">
        <f>IF(OR($B164="",$A164&gt;$B$9,T$136=""),"",IF(COUNTIFS(BD!$B$3:$B$5001,T$136,BD!$A$3:$A$5001,"&gt;="&amp;$C$7,BD!$A$3:$A$5001,"&lt;="&amp;$B164,BD!$V$3:$V$5001,"&lt;&gt;")=0,"",SUMIFS(BD!$V$3:$V$5001,BD!$B$3:$B$5001,T$136,BD!$A$3:$A$5001,_xlfn.MAXIFS(BD!$A$3:$A$5001,BD!$B$3:$B$5001,T$136,BD!$A$3:$A$5001,"&gt;="&amp;$C$7,BD!$A$3:$A$5001,"&lt;="&amp;$B164,BD!$V$3:$V$5001,"&lt;&gt;"))))</f>
        <v/>
      </c>
      <c r="U164" s="43" t="str">
        <f>IF(OR($B164="",$A164&gt;$B$9,U$136=""),"",IF(COUNTIFS(BD!$B$3:$B$5001,U$136,BD!$A$3:$A$5001,"&gt;="&amp;$C$7,BD!$A$3:$A$5001,"&lt;="&amp;$B164,BD!$V$3:$V$5001,"&lt;&gt;")=0,"",SUMIFS(BD!$V$3:$V$5001,BD!$B$3:$B$5001,U$136,BD!$A$3:$A$5001,_xlfn.MAXIFS(BD!$A$3:$A$5001,BD!$B$3:$B$5001,U$136,BD!$A$3:$A$5001,"&gt;="&amp;$C$7,BD!$A$3:$A$5001,"&lt;="&amp;$B164,BD!$V$3:$V$5001,"&lt;&gt;"))))</f>
        <v/>
      </c>
      <c r="V164" s="43" t="str">
        <f>IF(OR($B164="",$A164&gt;$B$9,V$136=""),"",IF(COUNTIFS(BD!$B$3:$B$5001,V$136,BD!$A$3:$A$5001,"&gt;="&amp;$C$7,BD!$A$3:$A$5001,"&lt;="&amp;$B164,BD!$V$3:$V$5001,"&lt;&gt;")=0,"",SUMIFS(BD!$V$3:$V$5001,BD!$B$3:$B$5001,V$136,BD!$A$3:$A$5001,_xlfn.MAXIFS(BD!$A$3:$A$5001,BD!$B$3:$B$5001,V$136,BD!$A$3:$A$5001,"&gt;="&amp;$C$7,BD!$A$3:$A$5001,"&lt;="&amp;$B164,BD!$V$3:$V$5001,"&lt;&gt;"))))</f>
        <v/>
      </c>
    </row>
    <row r="165">
      <c r="A165" s="38">
        <v>29</v>
      </c>
      <c r="B165" s="42">
        <f>$B$40</f>
        <v>46324</v>
      </c>
      <c r="C165" s="43" t="str">
        <f>IF(OR($B165="",$A165&gt;$B$9,C$136=""),"",IF(COUNTIFS(BD!$B$3:$B$5001,C$136,BD!$A$3:$A$5001,"&gt;="&amp;$C$7,BD!$A$3:$A$5001,"&lt;="&amp;$B165,BD!$V$3:$V$5001,"&lt;&gt;")=0,"",SUMIFS(BD!$V$3:$V$5001,BD!$B$3:$B$5001,C$136,BD!$A$3:$A$5001,_xlfn.MAXIFS(BD!$A$3:$A$5001,BD!$B$3:$B$5001,C$136,BD!$A$3:$A$5001,"&gt;="&amp;$C$7,BD!$A$3:$A$5001,"&lt;="&amp;$B165,BD!$V$3:$V$5001,"&lt;&gt;"))))</f>
        <v/>
      </c>
      <c r="D165" s="43" t="str">
        <f>IF(OR($B165="",$A165&gt;$B$9,D$136=""),"",IF(COUNTIFS(BD!$B$3:$B$5001,D$136,BD!$A$3:$A$5001,"&gt;="&amp;$C$7,BD!$A$3:$A$5001,"&lt;="&amp;$B165,BD!$V$3:$V$5001,"&lt;&gt;")=0,"",SUMIFS(BD!$V$3:$V$5001,BD!$B$3:$B$5001,D$136,BD!$A$3:$A$5001,_xlfn.MAXIFS(BD!$A$3:$A$5001,BD!$B$3:$B$5001,D$136,BD!$A$3:$A$5001,"&gt;="&amp;$C$7,BD!$A$3:$A$5001,"&lt;="&amp;$B165,BD!$V$3:$V$5001,"&lt;&gt;"))))</f>
        <v/>
      </c>
      <c r="E165" s="43" t="str">
        <f>IF(OR($B165="",$A165&gt;$B$9,E$136=""),"",IF(COUNTIFS(BD!$B$3:$B$5001,E$136,BD!$A$3:$A$5001,"&gt;="&amp;$C$7,BD!$A$3:$A$5001,"&lt;="&amp;$B165,BD!$V$3:$V$5001,"&lt;&gt;")=0,"",SUMIFS(BD!$V$3:$V$5001,BD!$B$3:$B$5001,E$136,BD!$A$3:$A$5001,_xlfn.MAXIFS(BD!$A$3:$A$5001,BD!$B$3:$B$5001,E$136,BD!$A$3:$A$5001,"&gt;="&amp;$C$7,BD!$A$3:$A$5001,"&lt;="&amp;$B165,BD!$V$3:$V$5001,"&lt;&gt;"))))</f>
        <v/>
      </c>
      <c r="F165" s="43" t="str">
        <f>IF(OR($B165="",$A165&gt;$B$9,F$136=""),"",IF(COUNTIFS(BD!$B$3:$B$5001,F$136,BD!$A$3:$A$5001,"&gt;="&amp;$C$7,BD!$A$3:$A$5001,"&lt;="&amp;$B165,BD!$V$3:$V$5001,"&lt;&gt;")=0,"",SUMIFS(BD!$V$3:$V$5001,BD!$B$3:$B$5001,F$136,BD!$A$3:$A$5001,_xlfn.MAXIFS(BD!$A$3:$A$5001,BD!$B$3:$B$5001,F$136,BD!$A$3:$A$5001,"&gt;="&amp;$C$7,BD!$A$3:$A$5001,"&lt;="&amp;$B165,BD!$V$3:$V$5001,"&lt;&gt;"))))</f>
        <v/>
      </c>
      <c r="G165" s="43" t="str">
        <f>IF(OR($B165="",$A165&gt;$B$9,G$136=""),"",IF(COUNTIFS(BD!$B$3:$B$5001,G$136,BD!$A$3:$A$5001,"&gt;="&amp;$C$7,BD!$A$3:$A$5001,"&lt;="&amp;$B165,BD!$V$3:$V$5001,"&lt;&gt;")=0,"",SUMIFS(BD!$V$3:$V$5001,BD!$B$3:$B$5001,G$136,BD!$A$3:$A$5001,_xlfn.MAXIFS(BD!$A$3:$A$5001,BD!$B$3:$B$5001,G$136,BD!$A$3:$A$5001,"&gt;="&amp;$C$7,BD!$A$3:$A$5001,"&lt;="&amp;$B165,BD!$V$3:$V$5001,"&lt;&gt;"))))</f>
        <v/>
      </c>
      <c r="H165" s="43" t="str">
        <f>IF(OR($B165="",$A165&gt;$B$9,H$136=""),"",IF(COUNTIFS(BD!$B$3:$B$5001,H$136,BD!$A$3:$A$5001,"&gt;="&amp;$C$7,BD!$A$3:$A$5001,"&lt;="&amp;$B165,BD!$V$3:$V$5001,"&lt;&gt;")=0,"",SUMIFS(BD!$V$3:$V$5001,BD!$B$3:$B$5001,H$136,BD!$A$3:$A$5001,_xlfn.MAXIFS(BD!$A$3:$A$5001,BD!$B$3:$B$5001,H$136,BD!$A$3:$A$5001,"&gt;="&amp;$C$7,BD!$A$3:$A$5001,"&lt;="&amp;$B165,BD!$V$3:$V$5001,"&lt;&gt;"))))</f>
        <v/>
      </c>
      <c r="I165" s="43" t="str">
        <f>IF(OR($B165="",$A165&gt;$B$9,I$136=""),"",IF(COUNTIFS(BD!$B$3:$B$5001,I$136,BD!$A$3:$A$5001,"&gt;="&amp;$C$7,BD!$A$3:$A$5001,"&lt;="&amp;$B165,BD!$V$3:$V$5001,"&lt;&gt;")=0,"",SUMIFS(BD!$V$3:$V$5001,BD!$B$3:$B$5001,I$136,BD!$A$3:$A$5001,_xlfn.MAXIFS(BD!$A$3:$A$5001,BD!$B$3:$B$5001,I$136,BD!$A$3:$A$5001,"&gt;="&amp;$C$7,BD!$A$3:$A$5001,"&lt;="&amp;$B165,BD!$V$3:$V$5001,"&lt;&gt;"))))</f>
        <v/>
      </c>
      <c r="J165" s="43" t="str">
        <f>IF(OR($B165="",$A165&gt;$B$9,J$136=""),"",IF(COUNTIFS(BD!$B$3:$B$5001,J$136,BD!$A$3:$A$5001,"&gt;="&amp;$C$7,BD!$A$3:$A$5001,"&lt;="&amp;$B165,BD!$V$3:$V$5001,"&lt;&gt;")=0,"",SUMIFS(BD!$V$3:$V$5001,BD!$B$3:$B$5001,J$136,BD!$A$3:$A$5001,_xlfn.MAXIFS(BD!$A$3:$A$5001,BD!$B$3:$B$5001,J$136,BD!$A$3:$A$5001,"&gt;="&amp;$C$7,BD!$A$3:$A$5001,"&lt;="&amp;$B165,BD!$V$3:$V$5001,"&lt;&gt;"))))</f>
        <v/>
      </c>
      <c r="K165" s="43" t="str">
        <f>IF(OR($B165="",$A165&gt;$B$9,K$136=""),"",IF(COUNTIFS(BD!$B$3:$B$5001,K$136,BD!$A$3:$A$5001,"&gt;="&amp;$C$7,BD!$A$3:$A$5001,"&lt;="&amp;$B165,BD!$V$3:$V$5001,"&lt;&gt;")=0,"",SUMIFS(BD!$V$3:$V$5001,BD!$B$3:$B$5001,K$136,BD!$A$3:$A$5001,_xlfn.MAXIFS(BD!$A$3:$A$5001,BD!$B$3:$B$5001,K$136,BD!$A$3:$A$5001,"&gt;="&amp;$C$7,BD!$A$3:$A$5001,"&lt;="&amp;$B165,BD!$V$3:$V$5001,"&lt;&gt;"))))</f>
        <v/>
      </c>
      <c r="L165" s="43" t="str">
        <f>IF(OR($B165="",$A165&gt;$B$9,L$136=""),"",IF(COUNTIFS(BD!$B$3:$B$5001,L$136,BD!$A$3:$A$5001,"&gt;="&amp;$C$7,BD!$A$3:$A$5001,"&lt;="&amp;$B165,BD!$V$3:$V$5001,"&lt;&gt;")=0,"",SUMIFS(BD!$V$3:$V$5001,BD!$B$3:$B$5001,L$136,BD!$A$3:$A$5001,_xlfn.MAXIFS(BD!$A$3:$A$5001,BD!$B$3:$B$5001,L$136,BD!$A$3:$A$5001,"&gt;="&amp;$C$7,BD!$A$3:$A$5001,"&lt;="&amp;$B165,BD!$V$3:$V$5001,"&lt;&gt;"))))</f>
        <v/>
      </c>
      <c r="M165" s="43" t="str">
        <f>IF(OR($B165="",$A165&gt;$B$9,M$136=""),"",IF(COUNTIFS(BD!$B$3:$B$5001,M$136,BD!$A$3:$A$5001,"&gt;="&amp;$C$7,BD!$A$3:$A$5001,"&lt;="&amp;$B165,BD!$V$3:$V$5001,"&lt;&gt;")=0,"",SUMIFS(BD!$V$3:$V$5001,BD!$B$3:$B$5001,M$136,BD!$A$3:$A$5001,_xlfn.MAXIFS(BD!$A$3:$A$5001,BD!$B$3:$B$5001,M$136,BD!$A$3:$A$5001,"&gt;="&amp;$C$7,BD!$A$3:$A$5001,"&lt;="&amp;$B165,BD!$V$3:$V$5001,"&lt;&gt;"))))</f>
        <v/>
      </c>
      <c r="N165" s="43" t="str">
        <f>IF(OR($B165="",$A165&gt;$B$9,N$136=""),"",IF(COUNTIFS(BD!$B$3:$B$5001,N$136,BD!$A$3:$A$5001,"&gt;="&amp;$C$7,BD!$A$3:$A$5001,"&lt;="&amp;$B165,BD!$V$3:$V$5001,"&lt;&gt;")=0,"",SUMIFS(BD!$V$3:$V$5001,BD!$B$3:$B$5001,N$136,BD!$A$3:$A$5001,_xlfn.MAXIFS(BD!$A$3:$A$5001,BD!$B$3:$B$5001,N$136,BD!$A$3:$A$5001,"&gt;="&amp;$C$7,BD!$A$3:$A$5001,"&lt;="&amp;$B165,BD!$V$3:$V$5001,"&lt;&gt;"))))</f>
        <v/>
      </c>
      <c r="O165" s="43" t="str">
        <f>IF(OR($B165="",$A165&gt;$B$9,O$136=""),"",IF(COUNTIFS(BD!$B$3:$B$5001,O$136,BD!$A$3:$A$5001,"&gt;="&amp;$C$7,BD!$A$3:$A$5001,"&lt;="&amp;$B165,BD!$V$3:$V$5001,"&lt;&gt;")=0,"",SUMIFS(BD!$V$3:$V$5001,BD!$B$3:$B$5001,O$136,BD!$A$3:$A$5001,_xlfn.MAXIFS(BD!$A$3:$A$5001,BD!$B$3:$B$5001,O$136,BD!$A$3:$A$5001,"&gt;="&amp;$C$7,BD!$A$3:$A$5001,"&lt;="&amp;$B165,BD!$V$3:$V$5001,"&lt;&gt;"))))</f>
        <v/>
      </c>
      <c r="P165" s="43" t="str">
        <f>IF(OR($B165="",$A165&gt;$B$9,P$136=""),"",IF(COUNTIFS(BD!$B$3:$B$5001,P$136,BD!$A$3:$A$5001,"&gt;="&amp;$C$7,BD!$A$3:$A$5001,"&lt;="&amp;$B165,BD!$V$3:$V$5001,"&lt;&gt;")=0,"",SUMIFS(BD!$V$3:$V$5001,BD!$B$3:$B$5001,P$136,BD!$A$3:$A$5001,_xlfn.MAXIFS(BD!$A$3:$A$5001,BD!$B$3:$B$5001,P$136,BD!$A$3:$A$5001,"&gt;="&amp;$C$7,BD!$A$3:$A$5001,"&lt;="&amp;$B165,BD!$V$3:$V$5001,"&lt;&gt;"))))</f>
        <v/>
      </c>
      <c r="Q165" s="43" t="str">
        <f>IF(OR($B165="",$A165&gt;$B$9,Q$136=""),"",IF(COUNTIFS(BD!$B$3:$B$5001,Q$136,BD!$A$3:$A$5001,"&gt;="&amp;$C$7,BD!$A$3:$A$5001,"&lt;="&amp;$B165,BD!$V$3:$V$5001,"&lt;&gt;")=0,"",SUMIFS(BD!$V$3:$V$5001,BD!$B$3:$B$5001,Q$136,BD!$A$3:$A$5001,_xlfn.MAXIFS(BD!$A$3:$A$5001,BD!$B$3:$B$5001,Q$136,BD!$A$3:$A$5001,"&gt;="&amp;$C$7,BD!$A$3:$A$5001,"&lt;="&amp;$B165,BD!$V$3:$V$5001,"&lt;&gt;"))))</f>
        <v/>
      </c>
      <c r="R165" s="43" t="str">
        <f>IF(OR($B165="",$A165&gt;$B$9,R$136=""),"",IF(COUNTIFS(BD!$B$3:$B$5001,R$136,BD!$A$3:$A$5001,"&gt;="&amp;$C$7,BD!$A$3:$A$5001,"&lt;="&amp;$B165,BD!$V$3:$V$5001,"&lt;&gt;")=0,"",SUMIFS(BD!$V$3:$V$5001,BD!$B$3:$B$5001,R$136,BD!$A$3:$A$5001,_xlfn.MAXIFS(BD!$A$3:$A$5001,BD!$B$3:$B$5001,R$136,BD!$A$3:$A$5001,"&gt;="&amp;$C$7,BD!$A$3:$A$5001,"&lt;="&amp;$B165,BD!$V$3:$V$5001,"&lt;&gt;"))))</f>
        <v/>
      </c>
      <c r="S165" s="43" t="str">
        <f>IF(OR($B165="",$A165&gt;$B$9,S$136=""),"",IF(COUNTIFS(BD!$B$3:$B$5001,S$136,BD!$A$3:$A$5001,"&gt;="&amp;$C$7,BD!$A$3:$A$5001,"&lt;="&amp;$B165,BD!$V$3:$V$5001,"&lt;&gt;")=0,"",SUMIFS(BD!$V$3:$V$5001,BD!$B$3:$B$5001,S$136,BD!$A$3:$A$5001,_xlfn.MAXIFS(BD!$A$3:$A$5001,BD!$B$3:$B$5001,S$136,BD!$A$3:$A$5001,"&gt;="&amp;$C$7,BD!$A$3:$A$5001,"&lt;="&amp;$B165,BD!$V$3:$V$5001,"&lt;&gt;"))))</f>
        <v/>
      </c>
      <c r="T165" s="43" t="str">
        <f>IF(OR($B165="",$A165&gt;$B$9,T$136=""),"",IF(COUNTIFS(BD!$B$3:$B$5001,T$136,BD!$A$3:$A$5001,"&gt;="&amp;$C$7,BD!$A$3:$A$5001,"&lt;="&amp;$B165,BD!$V$3:$V$5001,"&lt;&gt;")=0,"",SUMIFS(BD!$V$3:$V$5001,BD!$B$3:$B$5001,T$136,BD!$A$3:$A$5001,_xlfn.MAXIFS(BD!$A$3:$A$5001,BD!$B$3:$B$5001,T$136,BD!$A$3:$A$5001,"&gt;="&amp;$C$7,BD!$A$3:$A$5001,"&lt;="&amp;$B165,BD!$V$3:$V$5001,"&lt;&gt;"))))</f>
        <v/>
      </c>
      <c r="U165" s="43" t="str">
        <f>IF(OR($B165="",$A165&gt;$B$9,U$136=""),"",IF(COUNTIFS(BD!$B$3:$B$5001,U$136,BD!$A$3:$A$5001,"&gt;="&amp;$C$7,BD!$A$3:$A$5001,"&lt;="&amp;$B165,BD!$V$3:$V$5001,"&lt;&gt;")=0,"",SUMIFS(BD!$V$3:$V$5001,BD!$B$3:$B$5001,U$136,BD!$A$3:$A$5001,_xlfn.MAXIFS(BD!$A$3:$A$5001,BD!$B$3:$B$5001,U$136,BD!$A$3:$A$5001,"&gt;="&amp;$C$7,BD!$A$3:$A$5001,"&lt;="&amp;$B165,BD!$V$3:$V$5001,"&lt;&gt;"))))</f>
        <v/>
      </c>
      <c r="V165" s="43" t="str">
        <f>IF(OR($B165="",$A165&gt;$B$9,V$136=""),"",IF(COUNTIFS(BD!$B$3:$B$5001,V$136,BD!$A$3:$A$5001,"&gt;="&amp;$C$7,BD!$A$3:$A$5001,"&lt;="&amp;$B165,BD!$V$3:$V$5001,"&lt;&gt;")=0,"",SUMIFS(BD!$V$3:$V$5001,BD!$B$3:$B$5001,V$136,BD!$A$3:$A$5001,_xlfn.MAXIFS(BD!$A$3:$A$5001,BD!$B$3:$B$5001,V$136,BD!$A$3:$A$5001,"&gt;="&amp;$C$7,BD!$A$3:$A$5001,"&lt;="&amp;$B165,BD!$V$3:$V$5001,"&lt;&gt;"))))</f>
        <v/>
      </c>
    </row>
    <row r="166">
      <c r="A166" s="38">
        <v>30</v>
      </c>
      <c r="B166" s="42">
        <f>$B$41</f>
        <v>46325</v>
      </c>
      <c r="C166" s="43" t="str">
        <f>IF(OR($B166="",$A166&gt;$B$9,C$136=""),"",IF(COUNTIFS(BD!$B$3:$B$5001,C$136,BD!$A$3:$A$5001,"&gt;="&amp;$C$7,BD!$A$3:$A$5001,"&lt;="&amp;$B166,BD!$V$3:$V$5001,"&lt;&gt;")=0,"",SUMIFS(BD!$V$3:$V$5001,BD!$B$3:$B$5001,C$136,BD!$A$3:$A$5001,_xlfn.MAXIFS(BD!$A$3:$A$5001,BD!$B$3:$B$5001,C$136,BD!$A$3:$A$5001,"&gt;="&amp;$C$7,BD!$A$3:$A$5001,"&lt;="&amp;$B166,BD!$V$3:$V$5001,"&lt;&gt;"))))</f>
        <v/>
      </c>
      <c r="D166" s="43" t="str">
        <f>IF(OR($B166="",$A166&gt;$B$9,D$136=""),"",IF(COUNTIFS(BD!$B$3:$B$5001,D$136,BD!$A$3:$A$5001,"&gt;="&amp;$C$7,BD!$A$3:$A$5001,"&lt;="&amp;$B166,BD!$V$3:$V$5001,"&lt;&gt;")=0,"",SUMIFS(BD!$V$3:$V$5001,BD!$B$3:$B$5001,D$136,BD!$A$3:$A$5001,_xlfn.MAXIFS(BD!$A$3:$A$5001,BD!$B$3:$B$5001,D$136,BD!$A$3:$A$5001,"&gt;="&amp;$C$7,BD!$A$3:$A$5001,"&lt;="&amp;$B166,BD!$V$3:$V$5001,"&lt;&gt;"))))</f>
        <v/>
      </c>
      <c r="E166" s="43" t="str">
        <f>IF(OR($B166="",$A166&gt;$B$9,E$136=""),"",IF(COUNTIFS(BD!$B$3:$B$5001,E$136,BD!$A$3:$A$5001,"&gt;="&amp;$C$7,BD!$A$3:$A$5001,"&lt;="&amp;$B166,BD!$V$3:$V$5001,"&lt;&gt;")=0,"",SUMIFS(BD!$V$3:$V$5001,BD!$B$3:$B$5001,E$136,BD!$A$3:$A$5001,_xlfn.MAXIFS(BD!$A$3:$A$5001,BD!$B$3:$B$5001,E$136,BD!$A$3:$A$5001,"&gt;="&amp;$C$7,BD!$A$3:$A$5001,"&lt;="&amp;$B166,BD!$V$3:$V$5001,"&lt;&gt;"))))</f>
        <v/>
      </c>
      <c r="F166" s="43" t="str">
        <f>IF(OR($B166="",$A166&gt;$B$9,F$136=""),"",IF(COUNTIFS(BD!$B$3:$B$5001,F$136,BD!$A$3:$A$5001,"&gt;="&amp;$C$7,BD!$A$3:$A$5001,"&lt;="&amp;$B166,BD!$V$3:$V$5001,"&lt;&gt;")=0,"",SUMIFS(BD!$V$3:$V$5001,BD!$B$3:$B$5001,F$136,BD!$A$3:$A$5001,_xlfn.MAXIFS(BD!$A$3:$A$5001,BD!$B$3:$B$5001,F$136,BD!$A$3:$A$5001,"&gt;="&amp;$C$7,BD!$A$3:$A$5001,"&lt;="&amp;$B166,BD!$V$3:$V$5001,"&lt;&gt;"))))</f>
        <v/>
      </c>
      <c r="G166" s="43" t="str">
        <f>IF(OR($B166="",$A166&gt;$B$9,G$136=""),"",IF(COUNTIFS(BD!$B$3:$B$5001,G$136,BD!$A$3:$A$5001,"&gt;="&amp;$C$7,BD!$A$3:$A$5001,"&lt;="&amp;$B166,BD!$V$3:$V$5001,"&lt;&gt;")=0,"",SUMIFS(BD!$V$3:$V$5001,BD!$B$3:$B$5001,G$136,BD!$A$3:$A$5001,_xlfn.MAXIFS(BD!$A$3:$A$5001,BD!$B$3:$B$5001,G$136,BD!$A$3:$A$5001,"&gt;="&amp;$C$7,BD!$A$3:$A$5001,"&lt;="&amp;$B166,BD!$V$3:$V$5001,"&lt;&gt;"))))</f>
        <v/>
      </c>
      <c r="H166" s="43" t="str">
        <f>IF(OR($B166="",$A166&gt;$B$9,H$136=""),"",IF(COUNTIFS(BD!$B$3:$B$5001,H$136,BD!$A$3:$A$5001,"&gt;="&amp;$C$7,BD!$A$3:$A$5001,"&lt;="&amp;$B166,BD!$V$3:$V$5001,"&lt;&gt;")=0,"",SUMIFS(BD!$V$3:$V$5001,BD!$B$3:$B$5001,H$136,BD!$A$3:$A$5001,_xlfn.MAXIFS(BD!$A$3:$A$5001,BD!$B$3:$B$5001,H$136,BD!$A$3:$A$5001,"&gt;="&amp;$C$7,BD!$A$3:$A$5001,"&lt;="&amp;$B166,BD!$V$3:$V$5001,"&lt;&gt;"))))</f>
        <v/>
      </c>
      <c r="I166" s="43" t="str">
        <f>IF(OR($B166="",$A166&gt;$B$9,I$136=""),"",IF(COUNTIFS(BD!$B$3:$B$5001,I$136,BD!$A$3:$A$5001,"&gt;="&amp;$C$7,BD!$A$3:$A$5001,"&lt;="&amp;$B166,BD!$V$3:$V$5001,"&lt;&gt;")=0,"",SUMIFS(BD!$V$3:$V$5001,BD!$B$3:$B$5001,I$136,BD!$A$3:$A$5001,_xlfn.MAXIFS(BD!$A$3:$A$5001,BD!$B$3:$B$5001,I$136,BD!$A$3:$A$5001,"&gt;="&amp;$C$7,BD!$A$3:$A$5001,"&lt;="&amp;$B166,BD!$V$3:$V$5001,"&lt;&gt;"))))</f>
        <v/>
      </c>
      <c r="J166" s="43" t="str">
        <f>IF(OR($B166="",$A166&gt;$B$9,J$136=""),"",IF(COUNTIFS(BD!$B$3:$B$5001,J$136,BD!$A$3:$A$5001,"&gt;="&amp;$C$7,BD!$A$3:$A$5001,"&lt;="&amp;$B166,BD!$V$3:$V$5001,"&lt;&gt;")=0,"",SUMIFS(BD!$V$3:$V$5001,BD!$B$3:$B$5001,J$136,BD!$A$3:$A$5001,_xlfn.MAXIFS(BD!$A$3:$A$5001,BD!$B$3:$B$5001,J$136,BD!$A$3:$A$5001,"&gt;="&amp;$C$7,BD!$A$3:$A$5001,"&lt;="&amp;$B166,BD!$V$3:$V$5001,"&lt;&gt;"))))</f>
        <v/>
      </c>
      <c r="K166" s="43" t="str">
        <f>IF(OR($B166="",$A166&gt;$B$9,K$136=""),"",IF(COUNTIFS(BD!$B$3:$B$5001,K$136,BD!$A$3:$A$5001,"&gt;="&amp;$C$7,BD!$A$3:$A$5001,"&lt;="&amp;$B166,BD!$V$3:$V$5001,"&lt;&gt;")=0,"",SUMIFS(BD!$V$3:$V$5001,BD!$B$3:$B$5001,K$136,BD!$A$3:$A$5001,_xlfn.MAXIFS(BD!$A$3:$A$5001,BD!$B$3:$B$5001,K$136,BD!$A$3:$A$5001,"&gt;="&amp;$C$7,BD!$A$3:$A$5001,"&lt;="&amp;$B166,BD!$V$3:$V$5001,"&lt;&gt;"))))</f>
        <v/>
      </c>
      <c r="L166" s="43" t="str">
        <f>IF(OR($B166="",$A166&gt;$B$9,L$136=""),"",IF(COUNTIFS(BD!$B$3:$B$5001,L$136,BD!$A$3:$A$5001,"&gt;="&amp;$C$7,BD!$A$3:$A$5001,"&lt;="&amp;$B166,BD!$V$3:$V$5001,"&lt;&gt;")=0,"",SUMIFS(BD!$V$3:$V$5001,BD!$B$3:$B$5001,L$136,BD!$A$3:$A$5001,_xlfn.MAXIFS(BD!$A$3:$A$5001,BD!$B$3:$B$5001,L$136,BD!$A$3:$A$5001,"&gt;="&amp;$C$7,BD!$A$3:$A$5001,"&lt;="&amp;$B166,BD!$V$3:$V$5001,"&lt;&gt;"))))</f>
        <v/>
      </c>
      <c r="M166" s="43" t="str">
        <f>IF(OR($B166="",$A166&gt;$B$9,M$136=""),"",IF(COUNTIFS(BD!$B$3:$B$5001,M$136,BD!$A$3:$A$5001,"&gt;="&amp;$C$7,BD!$A$3:$A$5001,"&lt;="&amp;$B166,BD!$V$3:$V$5001,"&lt;&gt;")=0,"",SUMIFS(BD!$V$3:$V$5001,BD!$B$3:$B$5001,M$136,BD!$A$3:$A$5001,_xlfn.MAXIFS(BD!$A$3:$A$5001,BD!$B$3:$B$5001,M$136,BD!$A$3:$A$5001,"&gt;="&amp;$C$7,BD!$A$3:$A$5001,"&lt;="&amp;$B166,BD!$V$3:$V$5001,"&lt;&gt;"))))</f>
        <v/>
      </c>
      <c r="N166" s="43" t="str">
        <f>IF(OR($B166="",$A166&gt;$B$9,N$136=""),"",IF(COUNTIFS(BD!$B$3:$B$5001,N$136,BD!$A$3:$A$5001,"&gt;="&amp;$C$7,BD!$A$3:$A$5001,"&lt;="&amp;$B166,BD!$V$3:$V$5001,"&lt;&gt;")=0,"",SUMIFS(BD!$V$3:$V$5001,BD!$B$3:$B$5001,N$136,BD!$A$3:$A$5001,_xlfn.MAXIFS(BD!$A$3:$A$5001,BD!$B$3:$B$5001,N$136,BD!$A$3:$A$5001,"&gt;="&amp;$C$7,BD!$A$3:$A$5001,"&lt;="&amp;$B166,BD!$V$3:$V$5001,"&lt;&gt;"))))</f>
        <v/>
      </c>
      <c r="O166" s="43" t="str">
        <f>IF(OR($B166="",$A166&gt;$B$9,O$136=""),"",IF(COUNTIFS(BD!$B$3:$B$5001,O$136,BD!$A$3:$A$5001,"&gt;="&amp;$C$7,BD!$A$3:$A$5001,"&lt;="&amp;$B166,BD!$V$3:$V$5001,"&lt;&gt;")=0,"",SUMIFS(BD!$V$3:$V$5001,BD!$B$3:$B$5001,O$136,BD!$A$3:$A$5001,_xlfn.MAXIFS(BD!$A$3:$A$5001,BD!$B$3:$B$5001,O$136,BD!$A$3:$A$5001,"&gt;="&amp;$C$7,BD!$A$3:$A$5001,"&lt;="&amp;$B166,BD!$V$3:$V$5001,"&lt;&gt;"))))</f>
        <v/>
      </c>
      <c r="P166" s="43" t="str">
        <f>IF(OR($B166="",$A166&gt;$B$9,P$136=""),"",IF(COUNTIFS(BD!$B$3:$B$5001,P$136,BD!$A$3:$A$5001,"&gt;="&amp;$C$7,BD!$A$3:$A$5001,"&lt;="&amp;$B166,BD!$V$3:$V$5001,"&lt;&gt;")=0,"",SUMIFS(BD!$V$3:$V$5001,BD!$B$3:$B$5001,P$136,BD!$A$3:$A$5001,_xlfn.MAXIFS(BD!$A$3:$A$5001,BD!$B$3:$B$5001,P$136,BD!$A$3:$A$5001,"&gt;="&amp;$C$7,BD!$A$3:$A$5001,"&lt;="&amp;$B166,BD!$V$3:$V$5001,"&lt;&gt;"))))</f>
        <v/>
      </c>
      <c r="Q166" s="43" t="str">
        <f>IF(OR($B166="",$A166&gt;$B$9,Q$136=""),"",IF(COUNTIFS(BD!$B$3:$B$5001,Q$136,BD!$A$3:$A$5001,"&gt;="&amp;$C$7,BD!$A$3:$A$5001,"&lt;="&amp;$B166,BD!$V$3:$V$5001,"&lt;&gt;")=0,"",SUMIFS(BD!$V$3:$V$5001,BD!$B$3:$B$5001,Q$136,BD!$A$3:$A$5001,_xlfn.MAXIFS(BD!$A$3:$A$5001,BD!$B$3:$B$5001,Q$136,BD!$A$3:$A$5001,"&gt;="&amp;$C$7,BD!$A$3:$A$5001,"&lt;="&amp;$B166,BD!$V$3:$V$5001,"&lt;&gt;"))))</f>
        <v/>
      </c>
      <c r="R166" s="43" t="str">
        <f>IF(OR($B166="",$A166&gt;$B$9,R$136=""),"",IF(COUNTIFS(BD!$B$3:$B$5001,R$136,BD!$A$3:$A$5001,"&gt;="&amp;$C$7,BD!$A$3:$A$5001,"&lt;="&amp;$B166,BD!$V$3:$V$5001,"&lt;&gt;")=0,"",SUMIFS(BD!$V$3:$V$5001,BD!$B$3:$B$5001,R$136,BD!$A$3:$A$5001,_xlfn.MAXIFS(BD!$A$3:$A$5001,BD!$B$3:$B$5001,R$136,BD!$A$3:$A$5001,"&gt;="&amp;$C$7,BD!$A$3:$A$5001,"&lt;="&amp;$B166,BD!$V$3:$V$5001,"&lt;&gt;"))))</f>
        <v/>
      </c>
      <c r="S166" s="43" t="str">
        <f>IF(OR($B166="",$A166&gt;$B$9,S$136=""),"",IF(COUNTIFS(BD!$B$3:$B$5001,S$136,BD!$A$3:$A$5001,"&gt;="&amp;$C$7,BD!$A$3:$A$5001,"&lt;="&amp;$B166,BD!$V$3:$V$5001,"&lt;&gt;")=0,"",SUMIFS(BD!$V$3:$V$5001,BD!$B$3:$B$5001,S$136,BD!$A$3:$A$5001,_xlfn.MAXIFS(BD!$A$3:$A$5001,BD!$B$3:$B$5001,S$136,BD!$A$3:$A$5001,"&gt;="&amp;$C$7,BD!$A$3:$A$5001,"&lt;="&amp;$B166,BD!$V$3:$V$5001,"&lt;&gt;"))))</f>
        <v/>
      </c>
      <c r="T166" s="43" t="str">
        <f>IF(OR($B166="",$A166&gt;$B$9,T$136=""),"",IF(COUNTIFS(BD!$B$3:$B$5001,T$136,BD!$A$3:$A$5001,"&gt;="&amp;$C$7,BD!$A$3:$A$5001,"&lt;="&amp;$B166,BD!$V$3:$V$5001,"&lt;&gt;")=0,"",SUMIFS(BD!$V$3:$V$5001,BD!$B$3:$B$5001,T$136,BD!$A$3:$A$5001,_xlfn.MAXIFS(BD!$A$3:$A$5001,BD!$B$3:$B$5001,T$136,BD!$A$3:$A$5001,"&gt;="&amp;$C$7,BD!$A$3:$A$5001,"&lt;="&amp;$B166,BD!$V$3:$V$5001,"&lt;&gt;"))))</f>
        <v/>
      </c>
      <c r="U166" s="43" t="str">
        <f>IF(OR($B166="",$A166&gt;$B$9,U$136=""),"",IF(COUNTIFS(BD!$B$3:$B$5001,U$136,BD!$A$3:$A$5001,"&gt;="&amp;$C$7,BD!$A$3:$A$5001,"&lt;="&amp;$B166,BD!$V$3:$V$5001,"&lt;&gt;")=0,"",SUMIFS(BD!$V$3:$V$5001,BD!$B$3:$B$5001,U$136,BD!$A$3:$A$5001,_xlfn.MAXIFS(BD!$A$3:$A$5001,BD!$B$3:$B$5001,U$136,BD!$A$3:$A$5001,"&gt;="&amp;$C$7,BD!$A$3:$A$5001,"&lt;="&amp;$B166,BD!$V$3:$V$5001,"&lt;&gt;"))))</f>
        <v/>
      </c>
      <c r="V166" s="43" t="str">
        <f>IF(OR($B166="",$A166&gt;$B$9,V$136=""),"",IF(COUNTIFS(BD!$B$3:$B$5001,V$136,BD!$A$3:$A$5001,"&gt;="&amp;$C$7,BD!$A$3:$A$5001,"&lt;="&amp;$B166,BD!$V$3:$V$5001,"&lt;&gt;")=0,"",SUMIFS(BD!$V$3:$V$5001,BD!$B$3:$B$5001,V$136,BD!$A$3:$A$5001,_xlfn.MAXIFS(BD!$A$3:$A$5001,BD!$B$3:$B$5001,V$136,BD!$A$3:$A$5001,"&gt;="&amp;$C$7,BD!$A$3:$A$5001,"&lt;="&amp;$B166,BD!$V$3:$V$5001,"&lt;&gt;"))))</f>
        <v/>
      </c>
    </row>
    <row r="167">
      <c r="A167" s="38">
        <v>31</v>
      </c>
      <c r="B167" s="42">
        <f>$B$42</f>
        <v>46326</v>
      </c>
      <c r="C167" s="43" t="str">
        <f>IF(OR($B167="",$A167&gt;$B$9,C$136=""),"",IF(COUNTIFS(BD!$B$3:$B$5001,C$136,BD!$A$3:$A$5001,"&gt;="&amp;$C$7,BD!$A$3:$A$5001,"&lt;="&amp;$B167,BD!$V$3:$V$5001,"&lt;&gt;")=0,"",SUMIFS(BD!$V$3:$V$5001,BD!$B$3:$B$5001,C$136,BD!$A$3:$A$5001,_xlfn.MAXIFS(BD!$A$3:$A$5001,BD!$B$3:$B$5001,C$136,BD!$A$3:$A$5001,"&gt;="&amp;$C$7,BD!$A$3:$A$5001,"&lt;="&amp;$B167,BD!$V$3:$V$5001,"&lt;&gt;"))))</f>
        <v/>
      </c>
      <c r="D167" s="43" t="str">
        <f>IF(OR($B167="",$A167&gt;$B$9,D$136=""),"",IF(COUNTIFS(BD!$B$3:$B$5001,D$136,BD!$A$3:$A$5001,"&gt;="&amp;$C$7,BD!$A$3:$A$5001,"&lt;="&amp;$B167,BD!$V$3:$V$5001,"&lt;&gt;")=0,"",SUMIFS(BD!$V$3:$V$5001,BD!$B$3:$B$5001,D$136,BD!$A$3:$A$5001,_xlfn.MAXIFS(BD!$A$3:$A$5001,BD!$B$3:$B$5001,D$136,BD!$A$3:$A$5001,"&gt;="&amp;$C$7,BD!$A$3:$A$5001,"&lt;="&amp;$B167,BD!$V$3:$V$5001,"&lt;&gt;"))))</f>
        <v/>
      </c>
      <c r="E167" s="43" t="str">
        <f>IF(OR($B167="",$A167&gt;$B$9,E$136=""),"",IF(COUNTIFS(BD!$B$3:$B$5001,E$136,BD!$A$3:$A$5001,"&gt;="&amp;$C$7,BD!$A$3:$A$5001,"&lt;="&amp;$B167,BD!$V$3:$V$5001,"&lt;&gt;")=0,"",SUMIFS(BD!$V$3:$V$5001,BD!$B$3:$B$5001,E$136,BD!$A$3:$A$5001,_xlfn.MAXIFS(BD!$A$3:$A$5001,BD!$B$3:$B$5001,E$136,BD!$A$3:$A$5001,"&gt;="&amp;$C$7,BD!$A$3:$A$5001,"&lt;="&amp;$B167,BD!$V$3:$V$5001,"&lt;&gt;"))))</f>
        <v/>
      </c>
      <c r="F167" s="43" t="str">
        <f>IF(OR($B167="",$A167&gt;$B$9,F$136=""),"",IF(COUNTIFS(BD!$B$3:$B$5001,F$136,BD!$A$3:$A$5001,"&gt;="&amp;$C$7,BD!$A$3:$A$5001,"&lt;="&amp;$B167,BD!$V$3:$V$5001,"&lt;&gt;")=0,"",SUMIFS(BD!$V$3:$V$5001,BD!$B$3:$B$5001,F$136,BD!$A$3:$A$5001,_xlfn.MAXIFS(BD!$A$3:$A$5001,BD!$B$3:$B$5001,F$136,BD!$A$3:$A$5001,"&gt;="&amp;$C$7,BD!$A$3:$A$5001,"&lt;="&amp;$B167,BD!$V$3:$V$5001,"&lt;&gt;"))))</f>
        <v/>
      </c>
      <c r="G167" s="43" t="str">
        <f>IF(OR($B167="",$A167&gt;$B$9,G$136=""),"",IF(COUNTIFS(BD!$B$3:$B$5001,G$136,BD!$A$3:$A$5001,"&gt;="&amp;$C$7,BD!$A$3:$A$5001,"&lt;="&amp;$B167,BD!$V$3:$V$5001,"&lt;&gt;")=0,"",SUMIFS(BD!$V$3:$V$5001,BD!$B$3:$B$5001,G$136,BD!$A$3:$A$5001,_xlfn.MAXIFS(BD!$A$3:$A$5001,BD!$B$3:$B$5001,G$136,BD!$A$3:$A$5001,"&gt;="&amp;$C$7,BD!$A$3:$A$5001,"&lt;="&amp;$B167,BD!$V$3:$V$5001,"&lt;&gt;"))))</f>
        <v/>
      </c>
      <c r="H167" s="43" t="str">
        <f>IF(OR($B167="",$A167&gt;$B$9,H$136=""),"",IF(COUNTIFS(BD!$B$3:$B$5001,H$136,BD!$A$3:$A$5001,"&gt;="&amp;$C$7,BD!$A$3:$A$5001,"&lt;="&amp;$B167,BD!$V$3:$V$5001,"&lt;&gt;")=0,"",SUMIFS(BD!$V$3:$V$5001,BD!$B$3:$B$5001,H$136,BD!$A$3:$A$5001,_xlfn.MAXIFS(BD!$A$3:$A$5001,BD!$B$3:$B$5001,H$136,BD!$A$3:$A$5001,"&gt;="&amp;$C$7,BD!$A$3:$A$5001,"&lt;="&amp;$B167,BD!$V$3:$V$5001,"&lt;&gt;"))))</f>
        <v/>
      </c>
      <c r="I167" s="43" t="str">
        <f>IF(OR($B167="",$A167&gt;$B$9,I$136=""),"",IF(COUNTIFS(BD!$B$3:$B$5001,I$136,BD!$A$3:$A$5001,"&gt;="&amp;$C$7,BD!$A$3:$A$5001,"&lt;="&amp;$B167,BD!$V$3:$V$5001,"&lt;&gt;")=0,"",SUMIFS(BD!$V$3:$V$5001,BD!$B$3:$B$5001,I$136,BD!$A$3:$A$5001,_xlfn.MAXIFS(BD!$A$3:$A$5001,BD!$B$3:$B$5001,I$136,BD!$A$3:$A$5001,"&gt;="&amp;$C$7,BD!$A$3:$A$5001,"&lt;="&amp;$B167,BD!$V$3:$V$5001,"&lt;&gt;"))))</f>
        <v/>
      </c>
      <c r="J167" s="43" t="str">
        <f>IF(OR($B167="",$A167&gt;$B$9,J$136=""),"",IF(COUNTIFS(BD!$B$3:$B$5001,J$136,BD!$A$3:$A$5001,"&gt;="&amp;$C$7,BD!$A$3:$A$5001,"&lt;="&amp;$B167,BD!$V$3:$V$5001,"&lt;&gt;")=0,"",SUMIFS(BD!$V$3:$V$5001,BD!$B$3:$B$5001,J$136,BD!$A$3:$A$5001,_xlfn.MAXIFS(BD!$A$3:$A$5001,BD!$B$3:$B$5001,J$136,BD!$A$3:$A$5001,"&gt;="&amp;$C$7,BD!$A$3:$A$5001,"&lt;="&amp;$B167,BD!$V$3:$V$5001,"&lt;&gt;"))))</f>
        <v/>
      </c>
      <c r="K167" s="43" t="str">
        <f>IF(OR($B167="",$A167&gt;$B$9,K$136=""),"",IF(COUNTIFS(BD!$B$3:$B$5001,K$136,BD!$A$3:$A$5001,"&gt;="&amp;$C$7,BD!$A$3:$A$5001,"&lt;="&amp;$B167,BD!$V$3:$V$5001,"&lt;&gt;")=0,"",SUMIFS(BD!$V$3:$V$5001,BD!$B$3:$B$5001,K$136,BD!$A$3:$A$5001,_xlfn.MAXIFS(BD!$A$3:$A$5001,BD!$B$3:$B$5001,K$136,BD!$A$3:$A$5001,"&gt;="&amp;$C$7,BD!$A$3:$A$5001,"&lt;="&amp;$B167,BD!$V$3:$V$5001,"&lt;&gt;"))))</f>
        <v/>
      </c>
      <c r="L167" s="43" t="str">
        <f>IF(OR($B167="",$A167&gt;$B$9,L$136=""),"",IF(COUNTIFS(BD!$B$3:$B$5001,L$136,BD!$A$3:$A$5001,"&gt;="&amp;$C$7,BD!$A$3:$A$5001,"&lt;="&amp;$B167,BD!$V$3:$V$5001,"&lt;&gt;")=0,"",SUMIFS(BD!$V$3:$V$5001,BD!$B$3:$B$5001,L$136,BD!$A$3:$A$5001,_xlfn.MAXIFS(BD!$A$3:$A$5001,BD!$B$3:$B$5001,L$136,BD!$A$3:$A$5001,"&gt;="&amp;$C$7,BD!$A$3:$A$5001,"&lt;="&amp;$B167,BD!$V$3:$V$5001,"&lt;&gt;"))))</f>
        <v/>
      </c>
      <c r="M167" s="43" t="str">
        <f>IF(OR($B167="",$A167&gt;$B$9,M$136=""),"",IF(COUNTIFS(BD!$B$3:$B$5001,M$136,BD!$A$3:$A$5001,"&gt;="&amp;$C$7,BD!$A$3:$A$5001,"&lt;="&amp;$B167,BD!$V$3:$V$5001,"&lt;&gt;")=0,"",SUMIFS(BD!$V$3:$V$5001,BD!$B$3:$B$5001,M$136,BD!$A$3:$A$5001,_xlfn.MAXIFS(BD!$A$3:$A$5001,BD!$B$3:$B$5001,M$136,BD!$A$3:$A$5001,"&gt;="&amp;$C$7,BD!$A$3:$A$5001,"&lt;="&amp;$B167,BD!$V$3:$V$5001,"&lt;&gt;"))))</f>
        <v/>
      </c>
      <c r="N167" s="43" t="str">
        <f>IF(OR($B167="",$A167&gt;$B$9,N$136=""),"",IF(COUNTIFS(BD!$B$3:$B$5001,N$136,BD!$A$3:$A$5001,"&gt;="&amp;$C$7,BD!$A$3:$A$5001,"&lt;="&amp;$B167,BD!$V$3:$V$5001,"&lt;&gt;")=0,"",SUMIFS(BD!$V$3:$V$5001,BD!$B$3:$B$5001,N$136,BD!$A$3:$A$5001,_xlfn.MAXIFS(BD!$A$3:$A$5001,BD!$B$3:$B$5001,N$136,BD!$A$3:$A$5001,"&gt;="&amp;$C$7,BD!$A$3:$A$5001,"&lt;="&amp;$B167,BD!$V$3:$V$5001,"&lt;&gt;"))))</f>
        <v/>
      </c>
      <c r="O167" s="43" t="str">
        <f>IF(OR($B167="",$A167&gt;$B$9,O$136=""),"",IF(COUNTIFS(BD!$B$3:$B$5001,O$136,BD!$A$3:$A$5001,"&gt;="&amp;$C$7,BD!$A$3:$A$5001,"&lt;="&amp;$B167,BD!$V$3:$V$5001,"&lt;&gt;")=0,"",SUMIFS(BD!$V$3:$V$5001,BD!$B$3:$B$5001,O$136,BD!$A$3:$A$5001,_xlfn.MAXIFS(BD!$A$3:$A$5001,BD!$B$3:$B$5001,O$136,BD!$A$3:$A$5001,"&gt;="&amp;$C$7,BD!$A$3:$A$5001,"&lt;="&amp;$B167,BD!$V$3:$V$5001,"&lt;&gt;"))))</f>
        <v/>
      </c>
      <c r="P167" s="43" t="str">
        <f>IF(OR($B167="",$A167&gt;$B$9,P$136=""),"",IF(COUNTIFS(BD!$B$3:$B$5001,P$136,BD!$A$3:$A$5001,"&gt;="&amp;$C$7,BD!$A$3:$A$5001,"&lt;="&amp;$B167,BD!$V$3:$V$5001,"&lt;&gt;")=0,"",SUMIFS(BD!$V$3:$V$5001,BD!$B$3:$B$5001,P$136,BD!$A$3:$A$5001,_xlfn.MAXIFS(BD!$A$3:$A$5001,BD!$B$3:$B$5001,P$136,BD!$A$3:$A$5001,"&gt;="&amp;$C$7,BD!$A$3:$A$5001,"&lt;="&amp;$B167,BD!$V$3:$V$5001,"&lt;&gt;"))))</f>
        <v/>
      </c>
      <c r="Q167" s="43" t="str">
        <f>IF(OR($B167="",$A167&gt;$B$9,Q$136=""),"",IF(COUNTIFS(BD!$B$3:$B$5001,Q$136,BD!$A$3:$A$5001,"&gt;="&amp;$C$7,BD!$A$3:$A$5001,"&lt;="&amp;$B167,BD!$V$3:$V$5001,"&lt;&gt;")=0,"",SUMIFS(BD!$V$3:$V$5001,BD!$B$3:$B$5001,Q$136,BD!$A$3:$A$5001,_xlfn.MAXIFS(BD!$A$3:$A$5001,BD!$B$3:$B$5001,Q$136,BD!$A$3:$A$5001,"&gt;="&amp;$C$7,BD!$A$3:$A$5001,"&lt;="&amp;$B167,BD!$V$3:$V$5001,"&lt;&gt;"))))</f>
        <v/>
      </c>
      <c r="R167" s="43" t="str">
        <f>IF(OR($B167="",$A167&gt;$B$9,R$136=""),"",IF(COUNTIFS(BD!$B$3:$B$5001,R$136,BD!$A$3:$A$5001,"&gt;="&amp;$C$7,BD!$A$3:$A$5001,"&lt;="&amp;$B167,BD!$V$3:$V$5001,"&lt;&gt;")=0,"",SUMIFS(BD!$V$3:$V$5001,BD!$B$3:$B$5001,R$136,BD!$A$3:$A$5001,_xlfn.MAXIFS(BD!$A$3:$A$5001,BD!$B$3:$B$5001,R$136,BD!$A$3:$A$5001,"&gt;="&amp;$C$7,BD!$A$3:$A$5001,"&lt;="&amp;$B167,BD!$V$3:$V$5001,"&lt;&gt;"))))</f>
        <v/>
      </c>
      <c r="S167" s="43" t="str">
        <f>IF(OR($B167="",$A167&gt;$B$9,S$136=""),"",IF(COUNTIFS(BD!$B$3:$B$5001,S$136,BD!$A$3:$A$5001,"&gt;="&amp;$C$7,BD!$A$3:$A$5001,"&lt;="&amp;$B167,BD!$V$3:$V$5001,"&lt;&gt;")=0,"",SUMIFS(BD!$V$3:$V$5001,BD!$B$3:$B$5001,S$136,BD!$A$3:$A$5001,_xlfn.MAXIFS(BD!$A$3:$A$5001,BD!$B$3:$B$5001,S$136,BD!$A$3:$A$5001,"&gt;="&amp;$C$7,BD!$A$3:$A$5001,"&lt;="&amp;$B167,BD!$V$3:$V$5001,"&lt;&gt;"))))</f>
        <v/>
      </c>
      <c r="T167" s="43" t="str">
        <f>IF(OR($B167="",$A167&gt;$B$9,T$136=""),"",IF(COUNTIFS(BD!$B$3:$B$5001,T$136,BD!$A$3:$A$5001,"&gt;="&amp;$C$7,BD!$A$3:$A$5001,"&lt;="&amp;$B167,BD!$V$3:$V$5001,"&lt;&gt;")=0,"",SUMIFS(BD!$V$3:$V$5001,BD!$B$3:$B$5001,T$136,BD!$A$3:$A$5001,_xlfn.MAXIFS(BD!$A$3:$A$5001,BD!$B$3:$B$5001,T$136,BD!$A$3:$A$5001,"&gt;="&amp;$C$7,BD!$A$3:$A$5001,"&lt;="&amp;$B167,BD!$V$3:$V$5001,"&lt;&gt;"))))</f>
        <v/>
      </c>
      <c r="U167" s="43" t="str">
        <f>IF(OR($B167="",$A167&gt;$B$9,U$136=""),"",IF(COUNTIFS(BD!$B$3:$B$5001,U$136,BD!$A$3:$A$5001,"&gt;="&amp;$C$7,BD!$A$3:$A$5001,"&lt;="&amp;$B167,BD!$V$3:$V$5001,"&lt;&gt;")=0,"",SUMIFS(BD!$V$3:$V$5001,BD!$B$3:$B$5001,U$136,BD!$A$3:$A$5001,_xlfn.MAXIFS(BD!$A$3:$A$5001,BD!$B$3:$B$5001,U$136,BD!$A$3:$A$5001,"&gt;="&amp;$C$7,BD!$A$3:$A$5001,"&lt;="&amp;$B167,BD!$V$3:$V$5001,"&lt;&gt;"))))</f>
        <v/>
      </c>
      <c r="V167" s="43" t="str">
        <f>IF(OR($B167="",$A167&gt;$B$9,V$136=""),"",IF(COUNTIFS(BD!$B$3:$B$5001,V$136,BD!$A$3:$A$5001,"&gt;="&amp;$C$7,BD!$A$3:$A$5001,"&lt;="&amp;$B167,BD!$V$3:$V$5001,"&lt;&gt;")=0,"",SUMIFS(BD!$V$3:$V$5001,BD!$B$3:$B$5001,V$136,BD!$A$3:$A$5001,_xlfn.MAXIFS(BD!$A$3:$A$5001,BD!$B$3:$B$5001,V$136,BD!$A$3:$A$5001,"&gt;="&amp;$C$7,BD!$A$3:$A$5001,"&lt;="&amp;$B167,BD!$V$3:$V$5001,"&lt;&gt;"))))</f>
        <v/>
      </c>
    </row>
    <row r="168">
      <c r="A168" s="44" t="inlineStr">
        <is>
          <t xml:space="preserve">Mês anterior (último)</t>
        </is>
      </c>
      <c r="C168" s="45" t="str">
        <f>IF(C$136="","",IF(COUNTIFS(BD!$B$3:$B$5001,C$136,BD!$A$3:$A$5001,"&gt;="&amp;$C$8,BD!$A$3:$A$5001,"&lt;="&amp;$D$8,BD!$V$3:$V$5001,"&lt;&gt;")=0,"",SUMIFS(BD!$V$3:$V$5001,BD!$B$3:$B$5001,C$136,BD!$A$3:$A$5001,_xlfn.MAXIFS(BD!$A$3:$A$5001,BD!$B$3:$B$5001,C$136,BD!$A$3:$A$5001,"&gt;="&amp;$C$8,BD!$A$3:$A$5001,"&lt;="&amp;$D$8,BD!$V$3:$V$5001,"&lt;&gt;"))))</f>
        <v/>
      </c>
      <c r="D168" s="45" t="str">
        <f>IF(D$136="","",IF(COUNTIFS(BD!$B$3:$B$5001,D$136,BD!$A$3:$A$5001,"&gt;="&amp;$C$8,BD!$A$3:$A$5001,"&lt;="&amp;$D$8,BD!$V$3:$V$5001,"&lt;&gt;")=0,"",SUMIFS(BD!$V$3:$V$5001,BD!$B$3:$B$5001,D$136,BD!$A$3:$A$5001,_xlfn.MAXIFS(BD!$A$3:$A$5001,BD!$B$3:$B$5001,D$136,BD!$A$3:$A$5001,"&gt;="&amp;$C$8,BD!$A$3:$A$5001,"&lt;="&amp;$D$8,BD!$V$3:$V$5001,"&lt;&gt;"))))</f>
        <v/>
      </c>
      <c r="E168" s="45" t="str">
        <f>IF(E$136="","",IF(COUNTIFS(BD!$B$3:$B$5001,E$136,BD!$A$3:$A$5001,"&gt;="&amp;$C$8,BD!$A$3:$A$5001,"&lt;="&amp;$D$8,BD!$V$3:$V$5001,"&lt;&gt;")=0,"",SUMIFS(BD!$V$3:$V$5001,BD!$B$3:$B$5001,E$136,BD!$A$3:$A$5001,_xlfn.MAXIFS(BD!$A$3:$A$5001,BD!$B$3:$B$5001,E$136,BD!$A$3:$A$5001,"&gt;="&amp;$C$8,BD!$A$3:$A$5001,"&lt;="&amp;$D$8,BD!$V$3:$V$5001,"&lt;&gt;"))))</f>
        <v/>
      </c>
      <c r="F168" s="45" t="str">
        <f>IF(F$136="","",IF(COUNTIFS(BD!$B$3:$B$5001,F$136,BD!$A$3:$A$5001,"&gt;="&amp;$C$8,BD!$A$3:$A$5001,"&lt;="&amp;$D$8,BD!$V$3:$V$5001,"&lt;&gt;")=0,"",SUMIFS(BD!$V$3:$V$5001,BD!$B$3:$B$5001,F$136,BD!$A$3:$A$5001,_xlfn.MAXIFS(BD!$A$3:$A$5001,BD!$B$3:$B$5001,F$136,BD!$A$3:$A$5001,"&gt;="&amp;$C$8,BD!$A$3:$A$5001,"&lt;="&amp;$D$8,BD!$V$3:$V$5001,"&lt;&gt;"))))</f>
        <v/>
      </c>
      <c r="G168" s="45" t="str">
        <f>IF(G$136="","",IF(COUNTIFS(BD!$B$3:$B$5001,G$136,BD!$A$3:$A$5001,"&gt;="&amp;$C$8,BD!$A$3:$A$5001,"&lt;="&amp;$D$8,BD!$V$3:$V$5001,"&lt;&gt;")=0,"",SUMIFS(BD!$V$3:$V$5001,BD!$B$3:$B$5001,G$136,BD!$A$3:$A$5001,_xlfn.MAXIFS(BD!$A$3:$A$5001,BD!$B$3:$B$5001,G$136,BD!$A$3:$A$5001,"&gt;="&amp;$C$8,BD!$A$3:$A$5001,"&lt;="&amp;$D$8,BD!$V$3:$V$5001,"&lt;&gt;"))))</f>
        <v/>
      </c>
      <c r="H168" s="45" t="str">
        <f>IF(H$136="","",IF(COUNTIFS(BD!$B$3:$B$5001,H$136,BD!$A$3:$A$5001,"&gt;="&amp;$C$8,BD!$A$3:$A$5001,"&lt;="&amp;$D$8,BD!$V$3:$V$5001,"&lt;&gt;")=0,"",SUMIFS(BD!$V$3:$V$5001,BD!$B$3:$B$5001,H$136,BD!$A$3:$A$5001,_xlfn.MAXIFS(BD!$A$3:$A$5001,BD!$B$3:$B$5001,H$136,BD!$A$3:$A$5001,"&gt;="&amp;$C$8,BD!$A$3:$A$5001,"&lt;="&amp;$D$8,BD!$V$3:$V$5001,"&lt;&gt;"))))</f>
        <v/>
      </c>
      <c r="I168" s="45" t="str">
        <f>IF(I$136="","",IF(COUNTIFS(BD!$B$3:$B$5001,I$136,BD!$A$3:$A$5001,"&gt;="&amp;$C$8,BD!$A$3:$A$5001,"&lt;="&amp;$D$8,BD!$V$3:$V$5001,"&lt;&gt;")=0,"",SUMIFS(BD!$V$3:$V$5001,BD!$B$3:$B$5001,I$136,BD!$A$3:$A$5001,_xlfn.MAXIFS(BD!$A$3:$A$5001,BD!$B$3:$B$5001,I$136,BD!$A$3:$A$5001,"&gt;="&amp;$C$8,BD!$A$3:$A$5001,"&lt;="&amp;$D$8,BD!$V$3:$V$5001,"&lt;&gt;"))))</f>
        <v/>
      </c>
      <c r="J168" s="45" t="str">
        <f>IF(J$136="","",IF(COUNTIFS(BD!$B$3:$B$5001,J$136,BD!$A$3:$A$5001,"&gt;="&amp;$C$8,BD!$A$3:$A$5001,"&lt;="&amp;$D$8,BD!$V$3:$V$5001,"&lt;&gt;")=0,"",SUMIFS(BD!$V$3:$V$5001,BD!$B$3:$B$5001,J$136,BD!$A$3:$A$5001,_xlfn.MAXIFS(BD!$A$3:$A$5001,BD!$B$3:$B$5001,J$136,BD!$A$3:$A$5001,"&gt;="&amp;$C$8,BD!$A$3:$A$5001,"&lt;="&amp;$D$8,BD!$V$3:$V$5001,"&lt;&gt;"))))</f>
        <v/>
      </c>
      <c r="K168" s="45" t="str">
        <f>IF(K$136="","",IF(COUNTIFS(BD!$B$3:$B$5001,K$136,BD!$A$3:$A$5001,"&gt;="&amp;$C$8,BD!$A$3:$A$5001,"&lt;="&amp;$D$8,BD!$V$3:$V$5001,"&lt;&gt;")=0,"",SUMIFS(BD!$V$3:$V$5001,BD!$B$3:$B$5001,K$136,BD!$A$3:$A$5001,_xlfn.MAXIFS(BD!$A$3:$A$5001,BD!$B$3:$B$5001,K$136,BD!$A$3:$A$5001,"&gt;="&amp;$C$8,BD!$A$3:$A$5001,"&lt;="&amp;$D$8,BD!$V$3:$V$5001,"&lt;&gt;"))))</f>
        <v/>
      </c>
      <c r="L168" s="45" t="str">
        <f>IF(L$136="","",IF(COUNTIFS(BD!$B$3:$B$5001,L$136,BD!$A$3:$A$5001,"&gt;="&amp;$C$8,BD!$A$3:$A$5001,"&lt;="&amp;$D$8,BD!$V$3:$V$5001,"&lt;&gt;")=0,"",SUMIFS(BD!$V$3:$V$5001,BD!$B$3:$B$5001,L$136,BD!$A$3:$A$5001,_xlfn.MAXIFS(BD!$A$3:$A$5001,BD!$B$3:$B$5001,L$136,BD!$A$3:$A$5001,"&gt;="&amp;$C$8,BD!$A$3:$A$5001,"&lt;="&amp;$D$8,BD!$V$3:$V$5001,"&lt;&gt;"))))</f>
        <v/>
      </c>
      <c r="M168" s="45" t="str">
        <f>IF(M$136="","",IF(COUNTIFS(BD!$B$3:$B$5001,M$136,BD!$A$3:$A$5001,"&gt;="&amp;$C$8,BD!$A$3:$A$5001,"&lt;="&amp;$D$8,BD!$V$3:$V$5001,"&lt;&gt;")=0,"",SUMIFS(BD!$V$3:$V$5001,BD!$B$3:$B$5001,M$136,BD!$A$3:$A$5001,_xlfn.MAXIFS(BD!$A$3:$A$5001,BD!$B$3:$B$5001,M$136,BD!$A$3:$A$5001,"&gt;="&amp;$C$8,BD!$A$3:$A$5001,"&lt;="&amp;$D$8,BD!$V$3:$V$5001,"&lt;&gt;"))))</f>
        <v/>
      </c>
      <c r="N168" s="45" t="str">
        <f>IF(N$136="","",IF(COUNTIFS(BD!$B$3:$B$5001,N$136,BD!$A$3:$A$5001,"&gt;="&amp;$C$8,BD!$A$3:$A$5001,"&lt;="&amp;$D$8,BD!$V$3:$V$5001,"&lt;&gt;")=0,"",SUMIFS(BD!$V$3:$V$5001,BD!$B$3:$B$5001,N$136,BD!$A$3:$A$5001,_xlfn.MAXIFS(BD!$A$3:$A$5001,BD!$B$3:$B$5001,N$136,BD!$A$3:$A$5001,"&gt;="&amp;$C$8,BD!$A$3:$A$5001,"&lt;="&amp;$D$8,BD!$V$3:$V$5001,"&lt;&gt;"))))</f>
        <v/>
      </c>
      <c r="O168" s="45" t="str">
        <f>IF(O$136="","",IF(COUNTIFS(BD!$B$3:$B$5001,O$136,BD!$A$3:$A$5001,"&gt;="&amp;$C$8,BD!$A$3:$A$5001,"&lt;="&amp;$D$8,BD!$V$3:$V$5001,"&lt;&gt;")=0,"",SUMIFS(BD!$V$3:$V$5001,BD!$B$3:$B$5001,O$136,BD!$A$3:$A$5001,_xlfn.MAXIFS(BD!$A$3:$A$5001,BD!$B$3:$B$5001,O$136,BD!$A$3:$A$5001,"&gt;="&amp;$C$8,BD!$A$3:$A$5001,"&lt;="&amp;$D$8,BD!$V$3:$V$5001,"&lt;&gt;"))))</f>
        <v/>
      </c>
      <c r="P168" s="45" t="str">
        <f>IF(P$136="","",IF(COUNTIFS(BD!$B$3:$B$5001,P$136,BD!$A$3:$A$5001,"&gt;="&amp;$C$8,BD!$A$3:$A$5001,"&lt;="&amp;$D$8,BD!$V$3:$V$5001,"&lt;&gt;")=0,"",SUMIFS(BD!$V$3:$V$5001,BD!$B$3:$B$5001,P$136,BD!$A$3:$A$5001,_xlfn.MAXIFS(BD!$A$3:$A$5001,BD!$B$3:$B$5001,P$136,BD!$A$3:$A$5001,"&gt;="&amp;$C$8,BD!$A$3:$A$5001,"&lt;="&amp;$D$8,BD!$V$3:$V$5001,"&lt;&gt;"))))</f>
        <v/>
      </c>
      <c r="Q168" s="45" t="str">
        <f>IF(Q$136="","",IF(COUNTIFS(BD!$B$3:$B$5001,Q$136,BD!$A$3:$A$5001,"&gt;="&amp;$C$8,BD!$A$3:$A$5001,"&lt;="&amp;$D$8,BD!$V$3:$V$5001,"&lt;&gt;")=0,"",SUMIFS(BD!$V$3:$V$5001,BD!$B$3:$B$5001,Q$136,BD!$A$3:$A$5001,_xlfn.MAXIFS(BD!$A$3:$A$5001,BD!$B$3:$B$5001,Q$136,BD!$A$3:$A$5001,"&gt;="&amp;$C$8,BD!$A$3:$A$5001,"&lt;="&amp;$D$8,BD!$V$3:$V$5001,"&lt;&gt;"))))</f>
        <v/>
      </c>
      <c r="R168" s="45" t="str">
        <f>IF(R$136="","",IF(COUNTIFS(BD!$B$3:$B$5001,R$136,BD!$A$3:$A$5001,"&gt;="&amp;$C$8,BD!$A$3:$A$5001,"&lt;="&amp;$D$8,BD!$V$3:$V$5001,"&lt;&gt;")=0,"",SUMIFS(BD!$V$3:$V$5001,BD!$B$3:$B$5001,R$136,BD!$A$3:$A$5001,_xlfn.MAXIFS(BD!$A$3:$A$5001,BD!$B$3:$B$5001,R$136,BD!$A$3:$A$5001,"&gt;="&amp;$C$8,BD!$A$3:$A$5001,"&lt;="&amp;$D$8,BD!$V$3:$V$5001,"&lt;&gt;"))))</f>
        <v/>
      </c>
      <c r="S168" s="45" t="str">
        <f>IF(S$136="","",IF(COUNTIFS(BD!$B$3:$B$5001,S$136,BD!$A$3:$A$5001,"&gt;="&amp;$C$8,BD!$A$3:$A$5001,"&lt;="&amp;$D$8,BD!$V$3:$V$5001,"&lt;&gt;")=0,"",SUMIFS(BD!$V$3:$V$5001,BD!$B$3:$B$5001,S$136,BD!$A$3:$A$5001,_xlfn.MAXIFS(BD!$A$3:$A$5001,BD!$B$3:$B$5001,S$136,BD!$A$3:$A$5001,"&gt;="&amp;$C$8,BD!$A$3:$A$5001,"&lt;="&amp;$D$8,BD!$V$3:$V$5001,"&lt;&gt;"))))</f>
        <v/>
      </c>
      <c r="T168" s="45" t="str">
        <f>IF(T$136="","",IF(COUNTIFS(BD!$B$3:$B$5001,T$136,BD!$A$3:$A$5001,"&gt;="&amp;$C$8,BD!$A$3:$A$5001,"&lt;="&amp;$D$8,BD!$V$3:$V$5001,"&lt;&gt;")=0,"",SUMIFS(BD!$V$3:$V$5001,BD!$B$3:$B$5001,T$136,BD!$A$3:$A$5001,_xlfn.MAXIFS(BD!$A$3:$A$5001,BD!$B$3:$B$5001,T$136,BD!$A$3:$A$5001,"&gt;="&amp;$C$8,BD!$A$3:$A$5001,"&lt;="&amp;$D$8,BD!$V$3:$V$5001,"&lt;&gt;"))))</f>
        <v/>
      </c>
      <c r="U168" s="45" t="str">
        <f>IF(U$136="","",IF(COUNTIFS(BD!$B$3:$B$5001,U$136,BD!$A$3:$A$5001,"&gt;="&amp;$C$8,BD!$A$3:$A$5001,"&lt;="&amp;$D$8,BD!$V$3:$V$5001,"&lt;&gt;")=0,"",SUMIFS(BD!$V$3:$V$5001,BD!$B$3:$B$5001,U$136,BD!$A$3:$A$5001,_xlfn.MAXIFS(BD!$A$3:$A$5001,BD!$B$3:$B$5001,U$136,BD!$A$3:$A$5001,"&gt;="&amp;$C$8,BD!$A$3:$A$5001,"&lt;="&amp;$D$8,BD!$V$3:$V$5001,"&lt;&gt;"))))</f>
        <v/>
      </c>
      <c r="V168" s="45" t="str">
        <f>IF(V$136="","",IF(COUNTIFS(BD!$B$3:$B$5001,V$136,BD!$A$3:$A$5001,"&gt;="&amp;$C$8,BD!$A$3:$A$5001,"&lt;="&amp;$D$8,BD!$V$3:$V$5001,"&lt;&gt;")=0,"",SUMIFS(BD!$V$3:$V$5001,BD!$B$3:$B$5001,V$136,BD!$A$3:$A$5001,_xlfn.MAXIFS(BD!$A$3:$A$5001,BD!$B$3:$B$5001,V$136,BD!$A$3:$A$5001,"&gt;="&amp;$C$8,BD!$A$3:$A$5001,"&lt;="&amp;$D$8,BD!$V$3:$V$5001,"&lt;&gt;"))))</f>
        <v/>
      </c>
    </row>
    <row r="169">
      <c r="A169" s="44" t="inlineStr">
        <is>
          <t xml:space="preserve">Depósito</t>
        </is>
      </c>
      <c r="C169" s="38" t="str">
        <f>IF(Config!$C$10="","TPC",Config!$C$10)</f>
        <v>TPC</v>
      </c>
      <c r="D169" s="38" t="str">
        <f>IF(Config!$C$11="","TPC",Config!$C$11)</f>
        <v>TPC</v>
      </c>
      <c r="E169" s="38" t="str">
        <f>IF(Config!$C$12="","TPC",Config!$C$12)</f>
        <v>TPC</v>
      </c>
      <c r="F169" s="38" t="str">
        <f>IF(Config!$C$13="","TPC",Config!$C$13)</f>
        <v>TPC</v>
      </c>
      <c r="G169" s="38" t="str">
        <f>IF(Config!$C$14="","TPC",Config!$C$14)</f>
        <v>TPC</v>
      </c>
      <c r="H169" s="38" t="str">
        <f>IF(Config!$C$15="","TPC",Config!$C$15)</f>
        <v>TPC</v>
      </c>
      <c r="I169" s="38" t="str">
        <f>IF(Config!$C$16="","TPC",Config!$C$16)</f>
        <v>TPC</v>
      </c>
      <c r="J169" s="38" t="str">
        <f>IF(Config!$C$17="","TPC",Config!$C$17)</f>
        <v>TPC</v>
      </c>
      <c r="K169" s="38" t="str">
        <f>IF(Config!$C$18="","TPC",Config!$C$18)</f>
        <v>TPC</v>
      </c>
      <c r="L169" s="38" t="str">
        <f>IF(Config!$C$19="","TPC",Config!$C$19)</f>
        <v>TPC</v>
      </c>
      <c r="M169" s="38" t="str">
        <f>IF(Config!$C$20="","TPC",Config!$C$20)</f>
        <v>TPC</v>
      </c>
      <c r="N169" s="38" t="str">
        <f>IF(Config!$C$21="","TPC",Config!$C$21)</f>
        <v>TPC</v>
      </c>
      <c r="O169" s="38" t="str">
        <f>IF(Config!$C$22="","TPC",Config!$C$22)</f>
        <v>TPC</v>
      </c>
      <c r="P169" s="38" t="str">
        <f>IF(Config!$C$23="","TPC",Config!$C$23)</f>
        <v>TPC</v>
      </c>
      <c r="Q169" s="38" t="str">
        <f>IF(Config!$C$24="","TPC",Config!$C$24)</f>
        <v>TPC</v>
      </c>
      <c r="R169" s="38" t="str">
        <f>IF(Config!$C$25="","TPC",Config!$C$25)</f>
        <v>TPC</v>
      </c>
      <c r="S169" s="38" t="str">
        <f>IF(Config!$C$26="","TPC",Config!$C$26)</f>
        <v>TPC</v>
      </c>
      <c r="T169" s="38" t="str">
        <f>IF(Config!$C$27="","TPC",Config!$C$27)</f>
        <v>TPC</v>
      </c>
      <c r="U169" s="38" t="str">
        <f>IF(Config!$C$28="","TPC",Config!$C$28)</f>
        <v>TPC</v>
      </c>
      <c r="V169" s="38" t="str">
        <f>IF(Config!$C$29="","TPC",Config!$C$29)</f>
        <v>TPC</v>
      </c>
    </row>
    <row r="171">
      <c r="A171" s="37" t="inlineStr">
        <is>
          <t xml:space="preserve">Posições Ocupadas</t>
        </is>
      </c>
      <c r="B171" s="37" t="inlineStr">
        <is>
          <t xml:space="preserve">Data</t>
        </is>
      </c>
      <c r="C171" s="37" t="str">
        <f>Config!$B$10&amp;""</f>
        <v>Alpargatas</v>
      </c>
      <c r="D171" s="37" t="str">
        <f>Config!$B$11&amp;""</f>
        <v>Basf</v>
      </c>
      <c r="E171" s="37" t="str">
        <f>Config!$B$12&amp;""</f>
        <v>Beautybiz</v>
      </c>
      <c r="F171" s="37" t="str">
        <f>Config!$B$13&amp;""</f>
        <v>Boticário</v>
      </c>
      <c r="G171" s="37" t="str">
        <f>Config!$B$14&amp;""</f>
        <v>Confiance</v>
      </c>
      <c r="H171" s="37" t="str">
        <f>Config!$B$15&amp;""</f>
        <v>GE Vernova</v>
      </c>
      <c r="I171" s="37" t="str">
        <f>Config!$B$16&amp;""</f>
        <v>Omnilife</v>
      </c>
      <c r="J171" s="37" t="str">
        <f>Config!$B$17&amp;""</f>
        <v>Supply</v>
      </c>
      <c r="K171" s="37" t="str">
        <f>Config!$B$18&amp;""</f>
        <v>Vedacit</v>
      </c>
      <c r="L171" s="37" t="str">
        <f>Config!$B$19&amp;""</f>
        <v>Vestas</v>
      </c>
      <c r="M171" s="37" t="str">
        <f>Config!$B$20&amp;""</f>
        <v/>
      </c>
      <c r="N171" s="37" t="str">
        <f>Config!$B$21&amp;""</f>
        <v/>
      </c>
      <c r="O171" s="37" t="str">
        <f>Config!$B$22&amp;""</f>
        <v/>
      </c>
      <c r="P171" s="37" t="str">
        <f>Config!$B$23&amp;""</f>
        <v/>
      </c>
      <c r="Q171" s="37" t="str">
        <f>Config!$B$24&amp;""</f>
        <v/>
      </c>
      <c r="R171" s="37" t="str">
        <f>Config!$B$25&amp;""</f>
        <v/>
      </c>
      <c r="S171" s="37" t="str">
        <f>Config!$B$26&amp;""</f>
        <v/>
      </c>
      <c r="T171" s="37" t="str">
        <f>Config!$B$27&amp;""</f>
        <v/>
      </c>
      <c r="U171" s="37" t="str">
        <f>Config!$B$28&amp;""</f>
        <v/>
      </c>
      <c r="V171" s="37" t="str">
        <f>Config!$B$29&amp;""</f>
        <v/>
      </c>
    </row>
    <row r="172">
      <c r="A172" s="38">
        <v>1</v>
      </c>
      <c r="B172" s="42">
        <f>$B$12</f>
        <v>46296</v>
      </c>
      <c r="C172" s="43" t="str">
        <f>IF(OR($B172="",$A172&gt;$B$9,C$171=""),"",IF(COUNTIFS(BD!$B$3:$B$5001,C$171,BD!$A$3:$A$5001,"&gt;="&amp;$C$7,BD!$A$3:$A$5001,"&lt;="&amp;$B172,BD!$X$3:$X$5001,"&lt;&gt;")=0,"",SUMIFS(BD!$X$3:$X$5001,BD!$B$3:$B$5001,C$171,BD!$A$3:$A$5001,_xlfn.MAXIFS(BD!$A$3:$A$5001,BD!$B$3:$B$5001,C$171,BD!$A$3:$A$5001,"&gt;="&amp;$C$7,BD!$A$3:$A$5001,"&lt;="&amp;$B172,BD!$X$3:$X$5001,"&lt;&gt;"))))</f>
        <v/>
      </c>
      <c r="D172" s="43" t="str">
        <f>IF(OR($B172="",$A172&gt;$B$9,D$171=""),"",IF(COUNTIFS(BD!$B$3:$B$5001,D$171,BD!$A$3:$A$5001,"&gt;="&amp;$C$7,BD!$A$3:$A$5001,"&lt;="&amp;$B172,BD!$X$3:$X$5001,"&lt;&gt;")=0,"",SUMIFS(BD!$X$3:$X$5001,BD!$B$3:$B$5001,D$171,BD!$A$3:$A$5001,_xlfn.MAXIFS(BD!$A$3:$A$5001,BD!$B$3:$B$5001,D$171,BD!$A$3:$A$5001,"&gt;="&amp;$C$7,BD!$A$3:$A$5001,"&lt;="&amp;$B172,BD!$X$3:$X$5001,"&lt;&gt;"))))</f>
        <v/>
      </c>
      <c r="E172" s="43" t="str">
        <f>IF(OR($B172="",$A172&gt;$B$9,E$171=""),"",IF(COUNTIFS(BD!$B$3:$B$5001,E$171,BD!$A$3:$A$5001,"&gt;="&amp;$C$7,BD!$A$3:$A$5001,"&lt;="&amp;$B172,BD!$X$3:$X$5001,"&lt;&gt;")=0,"",SUMIFS(BD!$X$3:$X$5001,BD!$B$3:$B$5001,E$171,BD!$A$3:$A$5001,_xlfn.MAXIFS(BD!$A$3:$A$5001,BD!$B$3:$B$5001,E$171,BD!$A$3:$A$5001,"&gt;="&amp;$C$7,BD!$A$3:$A$5001,"&lt;="&amp;$B172,BD!$X$3:$X$5001,"&lt;&gt;"))))</f>
        <v/>
      </c>
      <c r="F172" s="43" t="str">
        <f>IF(OR($B172="",$A172&gt;$B$9,F$171=""),"",IF(COUNTIFS(BD!$B$3:$B$5001,F$171,BD!$A$3:$A$5001,"&gt;="&amp;$C$7,BD!$A$3:$A$5001,"&lt;="&amp;$B172,BD!$X$3:$X$5001,"&lt;&gt;")=0,"",SUMIFS(BD!$X$3:$X$5001,BD!$B$3:$B$5001,F$171,BD!$A$3:$A$5001,_xlfn.MAXIFS(BD!$A$3:$A$5001,BD!$B$3:$B$5001,F$171,BD!$A$3:$A$5001,"&gt;="&amp;$C$7,BD!$A$3:$A$5001,"&lt;="&amp;$B172,BD!$X$3:$X$5001,"&lt;&gt;"))))</f>
        <v/>
      </c>
      <c r="G172" s="43" t="str">
        <f>IF(OR($B172="",$A172&gt;$B$9,G$171=""),"",IF(COUNTIFS(BD!$B$3:$B$5001,G$171,BD!$A$3:$A$5001,"&gt;="&amp;$C$7,BD!$A$3:$A$5001,"&lt;="&amp;$B172,BD!$X$3:$X$5001,"&lt;&gt;")=0,"",SUMIFS(BD!$X$3:$X$5001,BD!$B$3:$B$5001,G$171,BD!$A$3:$A$5001,_xlfn.MAXIFS(BD!$A$3:$A$5001,BD!$B$3:$B$5001,G$171,BD!$A$3:$A$5001,"&gt;="&amp;$C$7,BD!$A$3:$A$5001,"&lt;="&amp;$B172,BD!$X$3:$X$5001,"&lt;&gt;"))))</f>
        <v/>
      </c>
      <c r="H172" s="43" t="str">
        <f>IF(OR($B172="",$A172&gt;$B$9,H$171=""),"",IF(COUNTIFS(BD!$B$3:$B$5001,H$171,BD!$A$3:$A$5001,"&gt;="&amp;$C$7,BD!$A$3:$A$5001,"&lt;="&amp;$B172,BD!$X$3:$X$5001,"&lt;&gt;")=0,"",SUMIFS(BD!$X$3:$X$5001,BD!$B$3:$B$5001,H$171,BD!$A$3:$A$5001,_xlfn.MAXIFS(BD!$A$3:$A$5001,BD!$B$3:$B$5001,H$171,BD!$A$3:$A$5001,"&gt;="&amp;$C$7,BD!$A$3:$A$5001,"&lt;="&amp;$B172,BD!$X$3:$X$5001,"&lt;&gt;"))))</f>
        <v/>
      </c>
      <c r="I172" s="43" t="str">
        <f>IF(OR($B172="",$A172&gt;$B$9,I$171=""),"",IF(COUNTIFS(BD!$B$3:$B$5001,I$171,BD!$A$3:$A$5001,"&gt;="&amp;$C$7,BD!$A$3:$A$5001,"&lt;="&amp;$B172,BD!$X$3:$X$5001,"&lt;&gt;")=0,"",SUMIFS(BD!$X$3:$X$5001,BD!$B$3:$B$5001,I$171,BD!$A$3:$A$5001,_xlfn.MAXIFS(BD!$A$3:$A$5001,BD!$B$3:$B$5001,I$171,BD!$A$3:$A$5001,"&gt;="&amp;$C$7,BD!$A$3:$A$5001,"&lt;="&amp;$B172,BD!$X$3:$X$5001,"&lt;&gt;"))))</f>
        <v/>
      </c>
      <c r="J172" s="43" t="str">
        <f>IF(OR($B172="",$A172&gt;$B$9,J$171=""),"",IF(COUNTIFS(BD!$B$3:$B$5001,J$171,BD!$A$3:$A$5001,"&gt;="&amp;$C$7,BD!$A$3:$A$5001,"&lt;="&amp;$B172,BD!$X$3:$X$5001,"&lt;&gt;")=0,"",SUMIFS(BD!$X$3:$X$5001,BD!$B$3:$B$5001,J$171,BD!$A$3:$A$5001,_xlfn.MAXIFS(BD!$A$3:$A$5001,BD!$B$3:$B$5001,J$171,BD!$A$3:$A$5001,"&gt;="&amp;$C$7,BD!$A$3:$A$5001,"&lt;="&amp;$B172,BD!$X$3:$X$5001,"&lt;&gt;"))))</f>
        <v/>
      </c>
      <c r="K172" s="43" t="str">
        <f>IF(OR($B172="",$A172&gt;$B$9,K$171=""),"",IF(COUNTIFS(BD!$B$3:$B$5001,K$171,BD!$A$3:$A$5001,"&gt;="&amp;$C$7,BD!$A$3:$A$5001,"&lt;="&amp;$B172,BD!$X$3:$X$5001,"&lt;&gt;")=0,"",SUMIFS(BD!$X$3:$X$5001,BD!$B$3:$B$5001,K$171,BD!$A$3:$A$5001,_xlfn.MAXIFS(BD!$A$3:$A$5001,BD!$B$3:$B$5001,K$171,BD!$A$3:$A$5001,"&gt;="&amp;$C$7,BD!$A$3:$A$5001,"&lt;="&amp;$B172,BD!$X$3:$X$5001,"&lt;&gt;"))))</f>
        <v/>
      </c>
      <c r="L172" s="43" t="str">
        <f>IF(OR($B172="",$A172&gt;$B$9,L$171=""),"",IF(COUNTIFS(BD!$B$3:$B$5001,L$171,BD!$A$3:$A$5001,"&gt;="&amp;$C$7,BD!$A$3:$A$5001,"&lt;="&amp;$B172,BD!$X$3:$X$5001,"&lt;&gt;")=0,"",SUMIFS(BD!$X$3:$X$5001,BD!$B$3:$B$5001,L$171,BD!$A$3:$A$5001,_xlfn.MAXIFS(BD!$A$3:$A$5001,BD!$B$3:$B$5001,L$171,BD!$A$3:$A$5001,"&gt;="&amp;$C$7,BD!$A$3:$A$5001,"&lt;="&amp;$B172,BD!$X$3:$X$5001,"&lt;&gt;"))))</f>
        <v/>
      </c>
      <c r="M172" s="43" t="str">
        <f>IF(OR($B172="",$A172&gt;$B$9,M$171=""),"",IF(COUNTIFS(BD!$B$3:$B$5001,M$171,BD!$A$3:$A$5001,"&gt;="&amp;$C$7,BD!$A$3:$A$5001,"&lt;="&amp;$B172,BD!$X$3:$X$5001,"&lt;&gt;")=0,"",SUMIFS(BD!$X$3:$X$5001,BD!$B$3:$B$5001,M$171,BD!$A$3:$A$5001,_xlfn.MAXIFS(BD!$A$3:$A$5001,BD!$B$3:$B$5001,M$171,BD!$A$3:$A$5001,"&gt;="&amp;$C$7,BD!$A$3:$A$5001,"&lt;="&amp;$B172,BD!$X$3:$X$5001,"&lt;&gt;"))))</f>
        <v/>
      </c>
      <c r="N172" s="43" t="str">
        <f>IF(OR($B172="",$A172&gt;$B$9,N$171=""),"",IF(COUNTIFS(BD!$B$3:$B$5001,N$171,BD!$A$3:$A$5001,"&gt;="&amp;$C$7,BD!$A$3:$A$5001,"&lt;="&amp;$B172,BD!$X$3:$X$5001,"&lt;&gt;")=0,"",SUMIFS(BD!$X$3:$X$5001,BD!$B$3:$B$5001,N$171,BD!$A$3:$A$5001,_xlfn.MAXIFS(BD!$A$3:$A$5001,BD!$B$3:$B$5001,N$171,BD!$A$3:$A$5001,"&gt;="&amp;$C$7,BD!$A$3:$A$5001,"&lt;="&amp;$B172,BD!$X$3:$X$5001,"&lt;&gt;"))))</f>
        <v/>
      </c>
      <c r="O172" s="43" t="str">
        <f>IF(OR($B172="",$A172&gt;$B$9,O$171=""),"",IF(COUNTIFS(BD!$B$3:$B$5001,O$171,BD!$A$3:$A$5001,"&gt;="&amp;$C$7,BD!$A$3:$A$5001,"&lt;="&amp;$B172,BD!$X$3:$X$5001,"&lt;&gt;")=0,"",SUMIFS(BD!$X$3:$X$5001,BD!$B$3:$B$5001,O$171,BD!$A$3:$A$5001,_xlfn.MAXIFS(BD!$A$3:$A$5001,BD!$B$3:$B$5001,O$171,BD!$A$3:$A$5001,"&gt;="&amp;$C$7,BD!$A$3:$A$5001,"&lt;="&amp;$B172,BD!$X$3:$X$5001,"&lt;&gt;"))))</f>
        <v/>
      </c>
      <c r="P172" s="43" t="str">
        <f>IF(OR($B172="",$A172&gt;$B$9,P$171=""),"",IF(COUNTIFS(BD!$B$3:$B$5001,P$171,BD!$A$3:$A$5001,"&gt;="&amp;$C$7,BD!$A$3:$A$5001,"&lt;="&amp;$B172,BD!$X$3:$X$5001,"&lt;&gt;")=0,"",SUMIFS(BD!$X$3:$X$5001,BD!$B$3:$B$5001,P$171,BD!$A$3:$A$5001,_xlfn.MAXIFS(BD!$A$3:$A$5001,BD!$B$3:$B$5001,P$171,BD!$A$3:$A$5001,"&gt;="&amp;$C$7,BD!$A$3:$A$5001,"&lt;="&amp;$B172,BD!$X$3:$X$5001,"&lt;&gt;"))))</f>
        <v/>
      </c>
      <c r="Q172" s="43" t="str">
        <f>IF(OR($B172="",$A172&gt;$B$9,Q$171=""),"",IF(COUNTIFS(BD!$B$3:$B$5001,Q$171,BD!$A$3:$A$5001,"&gt;="&amp;$C$7,BD!$A$3:$A$5001,"&lt;="&amp;$B172,BD!$X$3:$X$5001,"&lt;&gt;")=0,"",SUMIFS(BD!$X$3:$X$5001,BD!$B$3:$B$5001,Q$171,BD!$A$3:$A$5001,_xlfn.MAXIFS(BD!$A$3:$A$5001,BD!$B$3:$B$5001,Q$171,BD!$A$3:$A$5001,"&gt;="&amp;$C$7,BD!$A$3:$A$5001,"&lt;="&amp;$B172,BD!$X$3:$X$5001,"&lt;&gt;"))))</f>
        <v/>
      </c>
      <c r="R172" s="43" t="str">
        <f>IF(OR($B172="",$A172&gt;$B$9,R$171=""),"",IF(COUNTIFS(BD!$B$3:$B$5001,R$171,BD!$A$3:$A$5001,"&gt;="&amp;$C$7,BD!$A$3:$A$5001,"&lt;="&amp;$B172,BD!$X$3:$X$5001,"&lt;&gt;")=0,"",SUMIFS(BD!$X$3:$X$5001,BD!$B$3:$B$5001,R$171,BD!$A$3:$A$5001,_xlfn.MAXIFS(BD!$A$3:$A$5001,BD!$B$3:$B$5001,R$171,BD!$A$3:$A$5001,"&gt;="&amp;$C$7,BD!$A$3:$A$5001,"&lt;="&amp;$B172,BD!$X$3:$X$5001,"&lt;&gt;"))))</f>
        <v/>
      </c>
      <c r="S172" s="43" t="str">
        <f>IF(OR($B172="",$A172&gt;$B$9,S$171=""),"",IF(COUNTIFS(BD!$B$3:$B$5001,S$171,BD!$A$3:$A$5001,"&gt;="&amp;$C$7,BD!$A$3:$A$5001,"&lt;="&amp;$B172,BD!$X$3:$X$5001,"&lt;&gt;")=0,"",SUMIFS(BD!$X$3:$X$5001,BD!$B$3:$B$5001,S$171,BD!$A$3:$A$5001,_xlfn.MAXIFS(BD!$A$3:$A$5001,BD!$B$3:$B$5001,S$171,BD!$A$3:$A$5001,"&gt;="&amp;$C$7,BD!$A$3:$A$5001,"&lt;="&amp;$B172,BD!$X$3:$X$5001,"&lt;&gt;"))))</f>
        <v/>
      </c>
      <c r="T172" s="43" t="str">
        <f>IF(OR($B172="",$A172&gt;$B$9,T$171=""),"",IF(COUNTIFS(BD!$B$3:$B$5001,T$171,BD!$A$3:$A$5001,"&gt;="&amp;$C$7,BD!$A$3:$A$5001,"&lt;="&amp;$B172,BD!$X$3:$X$5001,"&lt;&gt;")=0,"",SUMIFS(BD!$X$3:$X$5001,BD!$B$3:$B$5001,T$171,BD!$A$3:$A$5001,_xlfn.MAXIFS(BD!$A$3:$A$5001,BD!$B$3:$B$5001,T$171,BD!$A$3:$A$5001,"&gt;="&amp;$C$7,BD!$A$3:$A$5001,"&lt;="&amp;$B172,BD!$X$3:$X$5001,"&lt;&gt;"))))</f>
        <v/>
      </c>
      <c r="U172" s="43" t="str">
        <f>IF(OR($B172="",$A172&gt;$B$9,U$171=""),"",IF(COUNTIFS(BD!$B$3:$B$5001,U$171,BD!$A$3:$A$5001,"&gt;="&amp;$C$7,BD!$A$3:$A$5001,"&lt;="&amp;$B172,BD!$X$3:$X$5001,"&lt;&gt;")=0,"",SUMIFS(BD!$X$3:$X$5001,BD!$B$3:$B$5001,U$171,BD!$A$3:$A$5001,_xlfn.MAXIFS(BD!$A$3:$A$5001,BD!$B$3:$B$5001,U$171,BD!$A$3:$A$5001,"&gt;="&amp;$C$7,BD!$A$3:$A$5001,"&lt;="&amp;$B172,BD!$X$3:$X$5001,"&lt;&gt;"))))</f>
        <v/>
      </c>
      <c r="V172" s="43" t="str">
        <f>IF(OR($B172="",$A172&gt;$B$9,V$171=""),"",IF(COUNTIFS(BD!$B$3:$B$5001,V$171,BD!$A$3:$A$5001,"&gt;="&amp;$C$7,BD!$A$3:$A$5001,"&lt;="&amp;$B172,BD!$X$3:$X$5001,"&lt;&gt;")=0,"",SUMIFS(BD!$X$3:$X$5001,BD!$B$3:$B$5001,V$171,BD!$A$3:$A$5001,_xlfn.MAXIFS(BD!$A$3:$A$5001,BD!$B$3:$B$5001,V$171,BD!$A$3:$A$5001,"&gt;="&amp;$C$7,BD!$A$3:$A$5001,"&lt;="&amp;$B172,BD!$X$3:$X$5001,"&lt;&gt;"))))</f>
        <v/>
      </c>
    </row>
    <row r="173">
      <c r="A173" s="38">
        <v>2</v>
      </c>
      <c r="B173" s="42">
        <f>$B$13</f>
        <v>46297</v>
      </c>
      <c r="C173" s="43" t="str">
        <f>IF(OR($B173="",$A173&gt;$B$9,C$171=""),"",IF(COUNTIFS(BD!$B$3:$B$5001,C$171,BD!$A$3:$A$5001,"&gt;="&amp;$C$7,BD!$A$3:$A$5001,"&lt;="&amp;$B173,BD!$X$3:$X$5001,"&lt;&gt;")=0,"",SUMIFS(BD!$X$3:$X$5001,BD!$B$3:$B$5001,C$171,BD!$A$3:$A$5001,_xlfn.MAXIFS(BD!$A$3:$A$5001,BD!$B$3:$B$5001,C$171,BD!$A$3:$A$5001,"&gt;="&amp;$C$7,BD!$A$3:$A$5001,"&lt;="&amp;$B173,BD!$X$3:$X$5001,"&lt;&gt;"))))</f>
        <v/>
      </c>
      <c r="D173" s="43" t="str">
        <f>IF(OR($B173="",$A173&gt;$B$9,D$171=""),"",IF(COUNTIFS(BD!$B$3:$B$5001,D$171,BD!$A$3:$A$5001,"&gt;="&amp;$C$7,BD!$A$3:$A$5001,"&lt;="&amp;$B173,BD!$X$3:$X$5001,"&lt;&gt;")=0,"",SUMIFS(BD!$X$3:$X$5001,BD!$B$3:$B$5001,D$171,BD!$A$3:$A$5001,_xlfn.MAXIFS(BD!$A$3:$A$5001,BD!$B$3:$B$5001,D$171,BD!$A$3:$A$5001,"&gt;="&amp;$C$7,BD!$A$3:$A$5001,"&lt;="&amp;$B173,BD!$X$3:$X$5001,"&lt;&gt;"))))</f>
        <v/>
      </c>
      <c r="E173" s="43" t="str">
        <f>IF(OR($B173="",$A173&gt;$B$9,E$171=""),"",IF(COUNTIFS(BD!$B$3:$B$5001,E$171,BD!$A$3:$A$5001,"&gt;="&amp;$C$7,BD!$A$3:$A$5001,"&lt;="&amp;$B173,BD!$X$3:$X$5001,"&lt;&gt;")=0,"",SUMIFS(BD!$X$3:$X$5001,BD!$B$3:$B$5001,E$171,BD!$A$3:$A$5001,_xlfn.MAXIFS(BD!$A$3:$A$5001,BD!$B$3:$B$5001,E$171,BD!$A$3:$A$5001,"&gt;="&amp;$C$7,BD!$A$3:$A$5001,"&lt;="&amp;$B173,BD!$X$3:$X$5001,"&lt;&gt;"))))</f>
        <v/>
      </c>
      <c r="F173" s="43" t="str">
        <f>IF(OR($B173="",$A173&gt;$B$9,F$171=""),"",IF(COUNTIFS(BD!$B$3:$B$5001,F$171,BD!$A$3:$A$5001,"&gt;="&amp;$C$7,BD!$A$3:$A$5001,"&lt;="&amp;$B173,BD!$X$3:$X$5001,"&lt;&gt;")=0,"",SUMIFS(BD!$X$3:$X$5001,BD!$B$3:$B$5001,F$171,BD!$A$3:$A$5001,_xlfn.MAXIFS(BD!$A$3:$A$5001,BD!$B$3:$B$5001,F$171,BD!$A$3:$A$5001,"&gt;="&amp;$C$7,BD!$A$3:$A$5001,"&lt;="&amp;$B173,BD!$X$3:$X$5001,"&lt;&gt;"))))</f>
        <v/>
      </c>
      <c r="G173" s="43" t="str">
        <f>IF(OR($B173="",$A173&gt;$B$9,G$171=""),"",IF(COUNTIFS(BD!$B$3:$B$5001,G$171,BD!$A$3:$A$5001,"&gt;="&amp;$C$7,BD!$A$3:$A$5001,"&lt;="&amp;$B173,BD!$X$3:$X$5001,"&lt;&gt;")=0,"",SUMIFS(BD!$X$3:$X$5001,BD!$B$3:$B$5001,G$171,BD!$A$3:$A$5001,_xlfn.MAXIFS(BD!$A$3:$A$5001,BD!$B$3:$B$5001,G$171,BD!$A$3:$A$5001,"&gt;="&amp;$C$7,BD!$A$3:$A$5001,"&lt;="&amp;$B173,BD!$X$3:$X$5001,"&lt;&gt;"))))</f>
        <v/>
      </c>
      <c r="H173" s="43" t="str">
        <f>IF(OR($B173="",$A173&gt;$B$9,H$171=""),"",IF(COUNTIFS(BD!$B$3:$B$5001,H$171,BD!$A$3:$A$5001,"&gt;="&amp;$C$7,BD!$A$3:$A$5001,"&lt;="&amp;$B173,BD!$X$3:$X$5001,"&lt;&gt;")=0,"",SUMIFS(BD!$X$3:$X$5001,BD!$B$3:$B$5001,H$171,BD!$A$3:$A$5001,_xlfn.MAXIFS(BD!$A$3:$A$5001,BD!$B$3:$B$5001,H$171,BD!$A$3:$A$5001,"&gt;="&amp;$C$7,BD!$A$3:$A$5001,"&lt;="&amp;$B173,BD!$X$3:$X$5001,"&lt;&gt;"))))</f>
        <v/>
      </c>
      <c r="I173" s="43" t="str">
        <f>IF(OR($B173="",$A173&gt;$B$9,I$171=""),"",IF(COUNTIFS(BD!$B$3:$B$5001,I$171,BD!$A$3:$A$5001,"&gt;="&amp;$C$7,BD!$A$3:$A$5001,"&lt;="&amp;$B173,BD!$X$3:$X$5001,"&lt;&gt;")=0,"",SUMIFS(BD!$X$3:$X$5001,BD!$B$3:$B$5001,I$171,BD!$A$3:$A$5001,_xlfn.MAXIFS(BD!$A$3:$A$5001,BD!$B$3:$B$5001,I$171,BD!$A$3:$A$5001,"&gt;="&amp;$C$7,BD!$A$3:$A$5001,"&lt;="&amp;$B173,BD!$X$3:$X$5001,"&lt;&gt;"))))</f>
        <v/>
      </c>
      <c r="J173" s="43" t="str">
        <f>IF(OR($B173="",$A173&gt;$B$9,J$171=""),"",IF(COUNTIFS(BD!$B$3:$B$5001,J$171,BD!$A$3:$A$5001,"&gt;="&amp;$C$7,BD!$A$3:$A$5001,"&lt;="&amp;$B173,BD!$X$3:$X$5001,"&lt;&gt;")=0,"",SUMIFS(BD!$X$3:$X$5001,BD!$B$3:$B$5001,J$171,BD!$A$3:$A$5001,_xlfn.MAXIFS(BD!$A$3:$A$5001,BD!$B$3:$B$5001,J$171,BD!$A$3:$A$5001,"&gt;="&amp;$C$7,BD!$A$3:$A$5001,"&lt;="&amp;$B173,BD!$X$3:$X$5001,"&lt;&gt;"))))</f>
        <v/>
      </c>
      <c r="K173" s="43" t="str">
        <f>IF(OR($B173="",$A173&gt;$B$9,K$171=""),"",IF(COUNTIFS(BD!$B$3:$B$5001,K$171,BD!$A$3:$A$5001,"&gt;="&amp;$C$7,BD!$A$3:$A$5001,"&lt;="&amp;$B173,BD!$X$3:$X$5001,"&lt;&gt;")=0,"",SUMIFS(BD!$X$3:$X$5001,BD!$B$3:$B$5001,K$171,BD!$A$3:$A$5001,_xlfn.MAXIFS(BD!$A$3:$A$5001,BD!$B$3:$B$5001,K$171,BD!$A$3:$A$5001,"&gt;="&amp;$C$7,BD!$A$3:$A$5001,"&lt;="&amp;$B173,BD!$X$3:$X$5001,"&lt;&gt;"))))</f>
        <v/>
      </c>
      <c r="L173" s="43" t="str">
        <f>IF(OR($B173="",$A173&gt;$B$9,L$171=""),"",IF(COUNTIFS(BD!$B$3:$B$5001,L$171,BD!$A$3:$A$5001,"&gt;="&amp;$C$7,BD!$A$3:$A$5001,"&lt;="&amp;$B173,BD!$X$3:$X$5001,"&lt;&gt;")=0,"",SUMIFS(BD!$X$3:$X$5001,BD!$B$3:$B$5001,L$171,BD!$A$3:$A$5001,_xlfn.MAXIFS(BD!$A$3:$A$5001,BD!$B$3:$B$5001,L$171,BD!$A$3:$A$5001,"&gt;="&amp;$C$7,BD!$A$3:$A$5001,"&lt;="&amp;$B173,BD!$X$3:$X$5001,"&lt;&gt;"))))</f>
        <v/>
      </c>
      <c r="M173" s="43" t="str">
        <f>IF(OR($B173="",$A173&gt;$B$9,M$171=""),"",IF(COUNTIFS(BD!$B$3:$B$5001,M$171,BD!$A$3:$A$5001,"&gt;="&amp;$C$7,BD!$A$3:$A$5001,"&lt;="&amp;$B173,BD!$X$3:$X$5001,"&lt;&gt;")=0,"",SUMIFS(BD!$X$3:$X$5001,BD!$B$3:$B$5001,M$171,BD!$A$3:$A$5001,_xlfn.MAXIFS(BD!$A$3:$A$5001,BD!$B$3:$B$5001,M$171,BD!$A$3:$A$5001,"&gt;="&amp;$C$7,BD!$A$3:$A$5001,"&lt;="&amp;$B173,BD!$X$3:$X$5001,"&lt;&gt;"))))</f>
        <v/>
      </c>
      <c r="N173" s="43" t="str">
        <f>IF(OR($B173="",$A173&gt;$B$9,N$171=""),"",IF(COUNTIFS(BD!$B$3:$B$5001,N$171,BD!$A$3:$A$5001,"&gt;="&amp;$C$7,BD!$A$3:$A$5001,"&lt;="&amp;$B173,BD!$X$3:$X$5001,"&lt;&gt;")=0,"",SUMIFS(BD!$X$3:$X$5001,BD!$B$3:$B$5001,N$171,BD!$A$3:$A$5001,_xlfn.MAXIFS(BD!$A$3:$A$5001,BD!$B$3:$B$5001,N$171,BD!$A$3:$A$5001,"&gt;="&amp;$C$7,BD!$A$3:$A$5001,"&lt;="&amp;$B173,BD!$X$3:$X$5001,"&lt;&gt;"))))</f>
        <v/>
      </c>
      <c r="O173" s="43" t="str">
        <f>IF(OR($B173="",$A173&gt;$B$9,O$171=""),"",IF(COUNTIFS(BD!$B$3:$B$5001,O$171,BD!$A$3:$A$5001,"&gt;="&amp;$C$7,BD!$A$3:$A$5001,"&lt;="&amp;$B173,BD!$X$3:$X$5001,"&lt;&gt;")=0,"",SUMIFS(BD!$X$3:$X$5001,BD!$B$3:$B$5001,O$171,BD!$A$3:$A$5001,_xlfn.MAXIFS(BD!$A$3:$A$5001,BD!$B$3:$B$5001,O$171,BD!$A$3:$A$5001,"&gt;="&amp;$C$7,BD!$A$3:$A$5001,"&lt;="&amp;$B173,BD!$X$3:$X$5001,"&lt;&gt;"))))</f>
        <v/>
      </c>
      <c r="P173" s="43" t="str">
        <f>IF(OR($B173="",$A173&gt;$B$9,P$171=""),"",IF(COUNTIFS(BD!$B$3:$B$5001,P$171,BD!$A$3:$A$5001,"&gt;="&amp;$C$7,BD!$A$3:$A$5001,"&lt;="&amp;$B173,BD!$X$3:$X$5001,"&lt;&gt;")=0,"",SUMIFS(BD!$X$3:$X$5001,BD!$B$3:$B$5001,P$171,BD!$A$3:$A$5001,_xlfn.MAXIFS(BD!$A$3:$A$5001,BD!$B$3:$B$5001,P$171,BD!$A$3:$A$5001,"&gt;="&amp;$C$7,BD!$A$3:$A$5001,"&lt;="&amp;$B173,BD!$X$3:$X$5001,"&lt;&gt;"))))</f>
        <v/>
      </c>
      <c r="Q173" s="43" t="str">
        <f>IF(OR($B173="",$A173&gt;$B$9,Q$171=""),"",IF(COUNTIFS(BD!$B$3:$B$5001,Q$171,BD!$A$3:$A$5001,"&gt;="&amp;$C$7,BD!$A$3:$A$5001,"&lt;="&amp;$B173,BD!$X$3:$X$5001,"&lt;&gt;")=0,"",SUMIFS(BD!$X$3:$X$5001,BD!$B$3:$B$5001,Q$171,BD!$A$3:$A$5001,_xlfn.MAXIFS(BD!$A$3:$A$5001,BD!$B$3:$B$5001,Q$171,BD!$A$3:$A$5001,"&gt;="&amp;$C$7,BD!$A$3:$A$5001,"&lt;="&amp;$B173,BD!$X$3:$X$5001,"&lt;&gt;"))))</f>
        <v/>
      </c>
      <c r="R173" s="43" t="str">
        <f>IF(OR($B173="",$A173&gt;$B$9,R$171=""),"",IF(COUNTIFS(BD!$B$3:$B$5001,R$171,BD!$A$3:$A$5001,"&gt;="&amp;$C$7,BD!$A$3:$A$5001,"&lt;="&amp;$B173,BD!$X$3:$X$5001,"&lt;&gt;")=0,"",SUMIFS(BD!$X$3:$X$5001,BD!$B$3:$B$5001,R$171,BD!$A$3:$A$5001,_xlfn.MAXIFS(BD!$A$3:$A$5001,BD!$B$3:$B$5001,R$171,BD!$A$3:$A$5001,"&gt;="&amp;$C$7,BD!$A$3:$A$5001,"&lt;="&amp;$B173,BD!$X$3:$X$5001,"&lt;&gt;"))))</f>
        <v/>
      </c>
      <c r="S173" s="43" t="str">
        <f>IF(OR($B173="",$A173&gt;$B$9,S$171=""),"",IF(COUNTIFS(BD!$B$3:$B$5001,S$171,BD!$A$3:$A$5001,"&gt;="&amp;$C$7,BD!$A$3:$A$5001,"&lt;="&amp;$B173,BD!$X$3:$X$5001,"&lt;&gt;")=0,"",SUMIFS(BD!$X$3:$X$5001,BD!$B$3:$B$5001,S$171,BD!$A$3:$A$5001,_xlfn.MAXIFS(BD!$A$3:$A$5001,BD!$B$3:$B$5001,S$171,BD!$A$3:$A$5001,"&gt;="&amp;$C$7,BD!$A$3:$A$5001,"&lt;="&amp;$B173,BD!$X$3:$X$5001,"&lt;&gt;"))))</f>
        <v/>
      </c>
      <c r="T173" s="43" t="str">
        <f>IF(OR($B173="",$A173&gt;$B$9,T$171=""),"",IF(COUNTIFS(BD!$B$3:$B$5001,T$171,BD!$A$3:$A$5001,"&gt;="&amp;$C$7,BD!$A$3:$A$5001,"&lt;="&amp;$B173,BD!$X$3:$X$5001,"&lt;&gt;")=0,"",SUMIFS(BD!$X$3:$X$5001,BD!$B$3:$B$5001,T$171,BD!$A$3:$A$5001,_xlfn.MAXIFS(BD!$A$3:$A$5001,BD!$B$3:$B$5001,T$171,BD!$A$3:$A$5001,"&gt;="&amp;$C$7,BD!$A$3:$A$5001,"&lt;="&amp;$B173,BD!$X$3:$X$5001,"&lt;&gt;"))))</f>
        <v/>
      </c>
      <c r="U173" s="43" t="str">
        <f>IF(OR($B173="",$A173&gt;$B$9,U$171=""),"",IF(COUNTIFS(BD!$B$3:$B$5001,U$171,BD!$A$3:$A$5001,"&gt;="&amp;$C$7,BD!$A$3:$A$5001,"&lt;="&amp;$B173,BD!$X$3:$X$5001,"&lt;&gt;")=0,"",SUMIFS(BD!$X$3:$X$5001,BD!$B$3:$B$5001,U$171,BD!$A$3:$A$5001,_xlfn.MAXIFS(BD!$A$3:$A$5001,BD!$B$3:$B$5001,U$171,BD!$A$3:$A$5001,"&gt;="&amp;$C$7,BD!$A$3:$A$5001,"&lt;="&amp;$B173,BD!$X$3:$X$5001,"&lt;&gt;"))))</f>
        <v/>
      </c>
      <c r="V173" s="43" t="str">
        <f>IF(OR($B173="",$A173&gt;$B$9,V$171=""),"",IF(COUNTIFS(BD!$B$3:$B$5001,V$171,BD!$A$3:$A$5001,"&gt;="&amp;$C$7,BD!$A$3:$A$5001,"&lt;="&amp;$B173,BD!$X$3:$X$5001,"&lt;&gt;")=0,"",SUMIFS(BD!$X$3:$X$5001,BD!$B$3:$B$5001,V$171,BD!$A$3:$A$5001,_xlfn.MAXIFS(BD!$A$3:$A$5001,BD!$B$3:$B$5001,V$171,BD!$A$3:$A$5001,"&gt;="&amp;$C$7,BD!$A$3:$A$5001,"&lt;="&amp;$B173,BD!$X$3:$X$5001,"&lt;&gt;"))))</f>
        <v/>
      </c>
    </row>
    <row r="174">
      <c r="A174" s="38">
        <v>3</v>
      </c>
      <c r="B174" s="42">
        <f>$B$14</f>
        <v>46298</v>
      </c>
      <c r="C174" s="43" t="str">
        <f>IF(OR($B174="",$A174&gt;$B$9,C$171=""),"",IF(COUNTIFS(BD!$B$3:$B$5001,C$171,BD!$A$3:$A$5001,"&gt;="&amp;$C$7,BD!$A$3:$A$5001,"&lt;="&amp;$B174,BD!$X$3:$X$5001,"&lt;&gt;")=0,"",SUMIFS(BD!$X$3:$X$5001,BD!$B$3:$B$5001,C$171,BD!$A$3:$A$5001,_xlfn.MAXIFS(BD!$A$3:$A$5001,BD!$B$3:$B$5001,C$171,BD!$A$3:$A$5001,"&gt;="&amp;$C$7,BD!$A$3:$A$5001,"&lt;="&amp;$B174,BD!$X$3:$X$5001,"&lt;&gt;"))))</f>
        <v/>
      </c>
      <c r="D174" s="43" t="str">
        <f>IF(OR($B174="",$A174&gt;$B$9,D$171=""),"",IF(COUNTIFS(BD!$B$3:$B$5001,D$171,BD!$A$3:$A$5001,"&gt;="&amp;$C$7,BD!$A$3:$A$5001,"&lt;="&amp;$B174,BD!$X$3:$X$5001,"&lt;&gt;")=0,"",SUMIFS(BD!$X$3:$X$5001,BD!$B$3:$B$5001,D$171,BD!$A$3:$A$5001,_xlfn.MAXIFS(BD!$A$3:$A$5001,BD!$B$3:$B$5001,D$171,BD!$A$3:$A$5001,"&gt;="&amp;$C$7,BD!$A$3:$A$5001,"&lt;="&amp;$B174,BD!$X$3:$X$5001,"&lt;&gt;"))))</f>
        <v/>
      </c>
      <c r="E174" s="43" t="str">
        <f>IF(OR($B174="",$A174&gt;$B$9,E$171=""),"",IF(COUNTIFS(BD!$B$3:$B$5001,E$171,BD!$A$3:$A$5001,"&gt;="&amp;$C$7,BD!$A$3:$A$5001,"&lt;="&amp;$B174,BD!$X$3:$X$5001,"&lt;&gt;")=0,"",SUMIFS(BD!$X$3:$X$5001,BD!$B$3:$B$5001,E$171,BD!$A$3:$A$5001,_xlfn.MAXIFS(BD!$A$3:$A$5001,BD!$B$3:$B$5001,E$171,BD!$A$3:$A$5001,"&gt;="&amp;$C$7,BD!$A$3:$A$5001,"&lt;="&amp;$B174,BD!$X$3:$X$5001,"&lt;&gt;"))))</f>
        <v/>
      </c>
      <c r="F174" s="43" t="str">
        <f>IF(OR($B174="",$A174&gt;$B$9,F$171=""),"",IF(COUNTIFS(BD!$B$3:$B$5001,F$171,BD!$A$3:$A$5001,"&gt;="&amp;$C$7,BD!$A$3:$A$5001,"&lt;="&amp;$B174,BD!$X$3:$X$5001,"&lt;&gt;")=0,"",SUMIFS(BD!$X$3:$X$5001,BD!$B$3:$B$5001,F$171,BD!$A$3:$A$5001,_xlfn.MAXIFS(BD!$A$3:$A$5001,BD!$B$3:$B$5001,F$171,BD!$A$3:$A$5001,"&gt;="&amp;$C$7,BD!$A$3:$A$5001,"&lt;="&amp;$B174,BD!$X$3:$X$5001,"&lt;&gt;"))))</f>
        <v/>
      </c>
      <c r="G174" s="43" t="str">
        <f>IF(OR($B174="",$A174&gt;$B$9,G$171=""),"",IF(COUNTIFS(BD!$B$3:$B$5001,G$171,BD!$A$3:$A$5001,"&gt;="&amp;$C$7,BD!$A$3:$A$5001,"&lt;="&amp;$B174,BD!$X$3:$X$5001,"&lt;&gt;")=0,"",SUMIFS(BD!$X$3:$X$5001,BD!$B$3:$B$5001,G$171,BD!$A$3:$A$5001,_xlfn.MAXIFS(BD!$A$3:$A$5001,BD!$B$3:$B$5001,G$171,BD!$A$3:$A$5001,"&gt;="&amp;$C$7,BD!$A$3:$A$5001,"&lt;="&amp;$B174,BD!$X$3:$X$5001,"&lt;&gt;"))))</f>
        <v/>
      </c>
      <c r="H174" s="43" t="str">
        <f>IF(OR($B174="",$A174&gt;$B$9,H$171=""),"",IF(COUNTIFS(BD!$B$3:$B$5001,H$171,BD!$A$3:$A$5001,"&gt;="&amp;$C$7,BD!$A$3:$A$5001,"&lt;="&amp;$B174,BD!$X$3:$X$5001,"&lt;&gt;")=0,"",SUMIFS(BD!$X$3:$X$5001,BD!$B$3:$B$5001,H$171,BD!$A$3:$A$5001,_xlfn.MAXIFS(BD!$A$3:$A$5001,BD!$B$3:$B$5001,H$171,BD!$A$3:$A$5001,"&gt;="&amp;$C$7,BD!$A$3:$A$5001,"&lt;="&amp;$B174,BD!$X$3:$X$5001,"&lt;&gt;"))))</f>
        <v/>
      </c>
      <c r="I174" s="43" t="str">
        <f>IF(OR($B174="",$A174&gt;$B$9,I$171=""),"",IF(COUNTIFS(BD!$B$3:$B$5001,I$171,BD!$A$3:$A$5001,"&gt;="&amp;$C$7,BD!$A$3:$A$5001,"&lt;="&amp;$B174,BD!$X$3:$X$5001,"&lt;&gt;")=0,"",SUMIFS(BD!$X$3:$X$5001,BD!$B$3:$B$5001,I$171,BD!$A$3:$A$5001,_xlfn.MAXIFS(BD!$A$3:$A$5001,BD!$B$3:$B$5001,I$171,BD!$A$3:$A$5001,"&gt;="&amp;$C$7,BD!$A$3:$A$5001,"&lt;="&amp;$B174,BD!$X$3:$X$5001,"&lt;&gt;"))))</f>
        <v/>
      </c>
      <c r="J174" s="43" t="str">
        <f>IF(OR($B174="",$A174&gt;$B$9,J$171=""),"",IF(COUNTIFS(BD!$B$3:$B$5001,J$171,BD!$A$3:$A$5001,"&gt;="&amp;$C$7,BD!$A$3:$A$5001,"&lt;="&amp;$B174,BD!$X$3:$X$5001,"&lt;&gt;")=0,"",SUMIFS(BD!$X$3:$X$5001,BD!$B$3:$B$5001,J$171,BD!$A$3:$A$5001,_xlfn.MAXIFS(BD!$A$3:$A$5001,BD!$B$3:$B$5001,J$171,BD!$A$3:$A$5001,"&gt;="&amp;$C$7,BD!$A$3:$A$5001,"&lt;="&amp;$B174,BD!$X$3:$X$5001,"&lt;&gt;"))))</f>
        <v/>
      </c>
      <c r="K174" s="43" t="str">
        <f>IF(OR($B174="",$A174&gt;$B$9,K$171=""),"",IF(COUNTIFS(BD!$B$3:$B$5001,K$171,BD!$A$3:$A$5001,"&gt;="&amp;$C$7,BD!$A$3:$A$5001,"&lt;="&amp;$B174,BD!$X$3:$X$5001,"&lt;&gt;")=0,"",SUMIFS(BD!$X$3:$X$5001,BD!$B$3:$B$5001,K$171,BD!$A$3:$A$5001,_xlfn.MAXIFS(BD!$A$3:$A$5001,BD!$B$3:$B$5001,K$171,BD!$A$3:$A$5001,"&gt;="&amp;$C$7,BD!$A$3:$A$5001,"&lt;="&amp;$B174,BD!$X$3:$X$5001,"&lt;&gt;"))))</f>
        <v/>
      </c>
      <c r="L174" s="43" t="str">
        <f>IF(OR($B174="",$A174&gt;$B$9,L$171=""),"",IF(COUNTIFS(BD!$B$3:$B$5001,L$171,BD!$A$3:$A$5001,"&gt;="&amp;$C$7,BD!$A$3:$A$5001,"&lt;="&amp;$B174,BD!$X$3:$X$5001,"&lt;&gt;")=0,"",SUMIFS(BD!$X$3:$X$5001,BD!$B$3:$B$5001,L$171,BD!$A$3:$A$5001,_xlfn.MAXIFS(BD!$A$3:$A$5001,BD!$B$3:$B$5001,L$171,BD!$A$3:$A$5001,"&gt;="&amp;$C$7,BD!$A$3:$A$5001,"&lt;="&amp;$B174,BD!$X$3:$X$5001,"&lt;&gt;"))))</f>
        <v/>
      </c>
      <c r="M174" s="43" t="str">
        <f>IF(OR($B174="",$A174&gt;$B$9,M$171=""),"",IF(COUNTIFS(BD!$B$3:$B$5001,M$171,BD!$A$3:$A$5001,"&gt;="&amp;$C$7,BD!$A$3:$A$5001,"&lt;="&amp;$B174,BD!$X$3:$X$5001,"&lt;&gt;")=0,"",SUMIFS(BD!$X$3:$X$5001,BD!$B$3:$B$5001,M$171,BD!$A$3:$A$5001,_xlfn.MAXIFS(BD!$A$3:$A$5001,BD!$B$3:$B$5001,M$171,BD!$A$3:$A$5001,"&gt;="&amp;$C$7,BD!$A$3:$A$5001,"&lt;="&amp;$B174,BD!$X$3:$X$5001,"&lt;&gt;"))))</f>
        <v/>
      </c>
      <c r="N174" s="43" t="str">
        <f>IF(OR($B174="",$A174&gt;$B$9,N$171=""),"",IF(COUNTIFS(BD!$B$3:$B$5001,N$171,BD!$A$3:$A$5001,"&gt;="&amp;$C$7,BD!$A$3:$A$5001,"&lt;="&amp;$B174,BD!$X$3:$X$5001,"&lt;&gt;")=0,"",SUMIFS(BD!$X$3:$X$5001,BD!$B$3:$B$5001,N$171,BD!$A$3:$A$5001,_xlfn.MAXIFS(BD!$A$3:$A$5001,BD!$B$3:$B$5001,N$171,BD!$A$3:$A$5001,"&gt;="&amp;$C$7,BD!$A$3:$A$5001,"&lt;="&amp;$B174,BD!$X$3:$X$5001,"&lt;&gt;"))))</f>
        <v/>
      </c>
      <c r="O174" s="43" t="str">
        <f>IF(OR($B174="",$A174&gt;$B$9,O$171=""),"",IF(COUNTIFS(BD!$B$3:$B$5001,O$171,BD!$A$3:$A$5001,"&gt;="&amp;$C$7,BD!$A$3:$A$5001,"&lt;="&amp;$B174,BD!$X$3:$X$5001,"&lt;&gt;")=0,"",SUMIFS(BD!$X$3:$X$5001,BD!$B$3:$B$5001,O$171,BD!$A$3:$A$5001,_xlfn.MAXIFS(BD!$A$3:$A$5001,BD!$B$3:$B$5001,O$171,BD!$A$3:$A$5001,"&gt;="&amp;$C$7,BD!$A$3:$A$5001,"&lt;="&amp;$B174,BD!$X$3:$X$5001,"&lt;&gt;"))))</f>
        <v/>
      </c>
      <c r="P174" s="43" t="str">
        <f>IF(OR($B174="",$A174&gt;$B$9,P$171=""),"",IF(COUNTIFS(BD!$B$3:$B$5001,P$171,BD!$A$3:$A$5001,"&gt;="&amp;$C$7,BD!$A$3:$A$5001,"&lt;="&amp;$B174,BD!$X$3:$X$5001,"&lt;&gt;")=0,"",SUMIFS(BD!$X$3:$X$5001,BD!$B$3:$B$5001,P$171,BD!$A$3:$A$5001,_xlfn.MAXIFS(BD!$A$3:$A$5001,BD!$B$3:$B$5001,P$171,BD!$A$3:$A$5001,"&gt;="&amp;$C$7,BD!$A$3:$A$5001,"&lt;="&amp;$B174,BD!$X$3:$X$5001,"&lt;&gt;"))))</f>
        <v/>
      </c>
      <c r="Q174" s="43" t="str">
        <f>IF(OR($B174="",$A174&gt;$B$9,Q$171=""),"",IF(COUNTIFS(BD!$B$3:$B$5001,Q$171,BD!$A$3:$A$5001,"&gt;="&amp;$C$7,BD!$A$3:$A$5001,"&lt;="&amp;$B174,BD!$X$3:$X$5001,"&lt;&gt;")=0,"",SUMIFS(BD!$X$3:$X$5001,BD!$B$3:$B$5001,Q$171,BD!$A$3:$A$5001,_xlfn.MAXIFS(BD!$A$3:$A$5001,BD!$B$3:$B$5001,Q$171,BD!$A$3:$A$5001,"&gt;="&amp;$C$7,BD!$A$3:$A$5001,"&lt;="&amp;$B174,BD!$X$3:$X$5001,"&lt;&gt;"))))</f>
        <v/>
      </c>
      <c r="R174" s="43" t="str">
        <f>IF(OR($B174="",$A174&gt;$B$9,R$171=""),"",IF(COUNTIFS(BD!$B$3:$B$5001,R$171,BD!$A$3:$A$5001,"&gt;="&amp;$C$7,BD!$A$3:$A$5001,"&lt;="&amp;$B174,BD!$X$3:$X$5001,"&lt;&gt;")=0,"",SUMIFS(BD!$X$3:$X$5001,BD!$B$3:$B$5001,R$171,BD!$A$3:$A$5001,_xlfn.MAXIFS(BD!$A$3:$A$5001,BD!$B$3:$B$5001,R$171,BD!$A$3:$A$5001,"&gt;="&amp;$C$7,BD!$A$3:$A$5001,"&lt;="&amp;$B174,BD!$X$3:$X$5001,"&lt;&gt;"))))</f>
        <v/>
      </c>
      <c r="S174" s="43" t="str">
        <f>IF(OR($B174="",$A174&gt;$B$9,S$171=""),"",IF(COUNTIFS(BD!$B$3:$B$5001,S$171,BD!$A$3:$A$5001,"&gt;="&amp;$C$7,BD!$A$3:$A$5001,"&lt;="&amp;$B174,BD!$X$3:$X$5001,"&lt;&gt;")=0,"",SUMIFS(BD!$X$3:$X$5001,BD!$B$3:$B$5001,S$171,BD!$A$3:$A$5001,_xlfn.MAXIFS(BD!$A$3:$A$5001,BD!$B$3:$B$5001,S$171,BD!$A$3:$A$5001,"&gt;="&amp;$C$7,BD!$A$3:$A$5001,"&lt;="&amp;$B174,BD!$X$3:$X$5001,"&lt;&gt;"))))</f>
        <v/>
      </c>
      <c r="T174" s="43" t="str">
        <f>IF(OR($B174="",$A174&gt;$B$9,T$171=""),"",IF(COUNTIFS(BD!$B$3:$B$5001,T$171,BD!$A$3:$A$5001,"&gt;="&amp;$C$7,BD!$A$3:$A$5001,"&lt;="&amp;$B174,BD!$X$3:$X$5001,"&lt;&gt;")=0,"",SUMIFS(BD!$X$3:$X$5001,BD!$B$3:$B$5001,T$171,BD!$A$3:$A$5001,_xlfn.MAXIFS(BD!$A$3:$A$5001,BD!$B$3:$B$5001,T$171,BD!$A$3:$A$5001,"&gt;="&amp;$C$7,BD!$A$3:$A$5001,"&lt;="&amp;$B174,BD!$X$3:$X$5001,"&lt;&gt;"))))</f>
        <v/>
      </c>
      <c r="U174" s="43" t="str">
        <f>IF(OR($B174="",$A174&gt;$B$9,U$171=""),"",IF(COUNTIFS(BD!$B$3:$B$5001,U$171,BD!$A$3:$A$5001,"&gt;="&amp;$C$7,BD!$A$3:$A$5001,"&lt;="&amp;$B174,BD!$X$3:$X$5001,"&lt;&gt;")=0,"",SUMIFS(BD!$X$3:$X$5001,BD!$B$3:$B$5001,U$171,BD!$A$3:$A$5001,_xlfn.MAXIFS(BD!$A$3:$A$5001,BD!$B$3:$B$5001,U$171,BD!$A$3:$A$5001,"&gt;="&amp;$C$7,BD!$A$3:$A$5001,"&lt;="&amp;$B174,BD!$X$3:$X$5001,"&lt;&gt;"))))</f>
        <v/>
      </c>
      <c r="V174" s="43" t="str">
        <f>IF(OR($B174="",$A174&gt;$B$9,V$171=""),"",IF(COUNTIFS(BD!$B$3:$B$5001,V$171,BD!$A$3:$A$5001,"&gt;="&amp;$C$7,BD!$A$3:$A$5001,"&lt;="&amp;$B174,BD!$X$3:$X$5001,"&lt;&gt;")=0,"",SUMIFS(BD!$X$3:$X$5001,BD!$B$3:$B$5001,V$171,BD!$A$3:$A$5001,_xlfn.MAXIFS(BD!$A$3:$A$5001,BD!$B$3:$B$5001,V$171,BD!$A$3:$A$5001,"&gt;="&amp;$C$7,BD!$A$3:$A$5001,"&lt;="&amp;$B174,BD!$X$3:$X$5001,"&lt;&gt;"))))</f>
        <v/>
      </c>
    </row>
    <row r="175">
      <c r="A175" s="38">
        <v>4</v>
      </c>
      <c r="B175" s="42">
        <f>$B$15</f>
        <v>46299</v>
      </c>
      <c r="C175" s="43" t="str">
        <f>IF(OR($B175="",$A175&gt;$B$9,C$171=""),"",IF(COUNTIFS(BD!$B$3:$B$5001,C$171,BD!$A$3:$A$5001,"&gt;="&amp;$C$7,BD!$A$3:$A$5001,"&lt;="&amp;$B175,BD!$X$3:$X$5001,"&lt;&gt;")=0,"",SUMIFS(BD!$X$3:$X$5001,BD!$B$3:$B$5001,C$171,BD!$A$3:$A$5001,_xlfn.MAXIFS(BD!$A$3:$A$5001,BD!$B$3:$B$5001,C$171,BD!$A$3:$A$5001,"&gt;="&amp;$C$7,BD!$A$3:$A$5001,"&lt;="&amp;$B175,BD!$X$3:$X$5001,"&lt;&gt;"))))</f>
        <v/>
      </c>
      <c r="D175" s="43" t="str">
        <f>IF(OR($B175="",$A175&gt;$B$9,D$171=""),"",IF(COUNTIFS(BD!$B$3:$B$5001,D$171,BD!$A$3:$A$5001,"&gt;="&amp;$C$7,BD!$A$3:$A$5001,"&lt;="&amp;$B175,BD!$X$3:$X$5001,"&lt;&gt;")=0,"",SUMIFS(BD!$X$3:$X$5001,BD!$B$3:$B$5001,D$171,BD!$A$3:$A$5001,_xlfn.MAXIFS(BD!$A$3:$A$5001,BD!$B$3:$B$5001,D$171,BD!$A$3:$A$5001,"&gt;="&amp;$C$7,BD!$A$3:$A$5001,"&lt;="&amp;$B175,BD!$X$3:$X$5001,"&lt;&gt;"))))</f>
        <v/>
      </c>
      <c r="E175" s="43" t="str">
        <f>IF(OR($B175="",$A175&gt;$B$9,E$171=""),"",IF(COUNTIFS(BD!$B$3:$B$5001,E$171,BD!$A$3:$A$5001,"&gt;="&amp;$C$7,BD!$A$3:$A$5001,"&lt;="&amp;$B175,BD!$X$3:$X$5001,"&lt;&gt;")=0,"",SUMIFS(BD!$X$3:$X$5001,BD!$B$3:$B$5001,E$171,BD!$A$3:$A$5001,_xlfn.MAXIFS(BD!$A$3:$A$5001,BD!$B$3:$B$5001,E$171,BD!$A$3:$A$5001,"&gt;="&amp;$C$7,BD!$A$3:$A$5001,"&lt;="&amp;$B175,BD!$X$3:$X$5001,"&lt;&gt;"))))</f>
        <v/>
      </c>
      <c r="F175" s="43" t="str">
        <f>IF(OR($B175="",$A175&gt;$B$9,F$171=""),"",IF(COUNTIFS(BD!$B$3:$B$5001,F$171,BD!$A$3:$A$5001,"&gt;="&amp;$C$7,BD!$A$3:$A$5001,"&lt;="&amp;$B175,BD!$X$3:$X$5001,"&lt;&gt;")=0,"",SUMIFS(BD!$X$3:$X$5001,BD!$B$3:$B$5001,F$171,BD!$A$3:$A$5001,_xlfn.MAXIFS(BD!$A$3:$A$5001,BD!$B$3:$B$5001,F$171,BD!$A$3:$A$5001,"&gt;="&amp;$C$7,BD!$A$3:$A$5001,"&lt;="&amp;$B175,BD!$X$3:$X$5001,"&lt;&gt;"))))</f>
        <v/>
      </c>
      <c r="G175" s="43" t="str">
        <f>IF(OR($B175="",$A175&gt;$B$9,G$171=""),"",IF(COUNTIFS(BD!$B$3:$B$5001,G$171,BD!$A$3:$A$5001,"&gt;="&amp;$C$7,BD!$A$3:$A$5001,"&lt;="&amp;$B175,BD!$X$3:$X$5001,"&lt;&gt;")=0,"",SUMIFS(BD!$X$3:$X$5001,BD!$B$3:$B$5001,G$171,BD!$A$3:$A$5001,_xlfn.MAXIFS(BD!$A$3:$A$5001,BD!$B$3:$B$5001,G$171,BD!$A$3:$A$5001,"&gt;="&amp;$C$7,BD!$A$3:$A$5001,"&lt;="&amp;$B175,BD!$X$3:$X$5001,"&lt;&gt;"))))</f>
        <v/>
      </c>
      <c r="H175" s="43" t="str">
        <f>IF(OR($B175="",$A175&gt;$B$9,H$171=""),"",IF(COUNTIFS(BD!$B$3:$B$5001,H$171,BD!$A$3:$A$5001,"&gt;="&amp;$C$7,BD!$A$3:$A$5001,"&lt;="&amp;$B175,BD!$X$3:$X$5001,"&lt;&gt;")=0,"",SUMIFS(BD!$X$3:$X$5001,BD!$B$3:$B$5001,H$171,BD!$A$3:$A$5001,_xlfn.MAXIFS(BD!$A$3:$A$5001,BD!$B$3:$B$5001,H$171,BD!$A$3:$A$5001,"&gt;="&amp;$C$7,BD!$A$3:$A$5001,"&lt;="&amp;$B175,BD!$X$3:$X$5001,"&lt;&gt;"))))</f>
        <v/>
      </c>
      <c r="I175" s="43" t="str">
        <f>IF(OR($B175="",$A175&gt;$B$9,I$171=""),"",IF(COUNTIFS(BD!$B$3:$B$5001,I$171,BD!$A$3:$A$5001,"&gt;="&amp;$C$7,BD!$A$3:$A$5001,"&lt;="&amp;$B175,BD!$X$3:$X$5001,"&lt;&gt;")=0,"",SUMIFS(BD!$X$3:$X$5001,BD!$B$3:$B$5001,I$171,BD!$A$3:$A$5001,_xlfn.MAXIFS(BD!$A$3:$A$5001,BD!$B$3:$B$5001,I$171,BD!$A$3:$A$5001,"&gt;="&amp;$C$7,BD!$A$3:$A$5001,"&lt;="&amp;$B175,BD!$X$3:$X$5001,"&lt;&gt;"))))</f>
        <v/>
      </c>
      <c r="J175" s="43" t="str">
        <f>IF(OR($B175="",$A175&gt;$B$9,J$171=""),"",IF(COUNTIFS(BD!$B$3:$B$5001,J$171,BD!$A$3:$A$5001,"&gt;="&amp;$C$7,BD!$A$3:$A$5001,"&lt;="&amp;$B175,BD!$X$3:$X$5001,"&lt;&gt;")=0,"",SUMIFS(BD!$X$3:$X$5001,BD!$B$3:$B$5001,J$171,BD!$A$3:$A$5001,_xlfn.MAXIFS(BD!$A$3:$A$5001,BD!$B$3:$B$5001,J$171,BD!$A$3:$A$5001,"&gt;="&amp;$C$7,BD!$A$3:$A$5001,"&lt;="&amp;$B175,BD!$X$3:$X$5001,"&lt;&gt;"))))</f>
        <v/>
      </c>
      <c r="K175" s="43" t="str">
        <f>IF(OR($B175="",$A175&gt;$B$9,K$171=""),"",IF(COUNTIFS(BD!$B$3:$B$5001,K$171,BD!$A$3:$A$5001,"&gt;="&amp;$C$7,BD!$A$3:$A$5001,"&lt;="&amp;$B175,BD!$X$3:$X$5001,"&lt;&gt;")=0,"",SUMIFS(BD!$X$3:$X$5001,BD!$B$3:$B$5001,K$171,BD!$A$3:$A$5001,_xlfn.MAXIFS(BD!$A$3:$A$5001,BD!$B$3:$B$5001,K$171,BD!$A$3:$A$5001,"&gt;="&amp;$C$7,BD!$A$3:$A$5001,"&lt;="&amp;$B175,BD!$X$3:$X$5001,"&lt;&gt;"))))</f>
        <v/>
      </c>
      <c r="L175" s="43" t="str">
        <f>IF(OR($B175="",$A175&gt;$B$9,L$171=""),"",IF(COUNTIFS(BD!$B$3:$B$5001,L$171,BD!$A$3:$A$5001,"&gt;="&amp;$C$7,BD!$A$3:$A$5001,"&lt;="&amp;$B175,BD!$X$3:$X$5001,"&lt;&gt;")=0,"",SUMIFS(BD!$X$3:$X$5001,BD!$B$3:$B$5001,L$171,BD!$A$3:$A$5001,_xlfn.MAXIFS(BD!$A$3:$A$5001,BD!$B$3:$B$5001,L$171,BD!$A$3:$A$5001,"&gt;="&amp;$C$7,BD!$A$3:$A$5001,"&lt;="&amp;$B175,BD!$X$3:$X$5001,"&lt;&gt;"))))</f>
        <v/>
      </c>
      <c r="M175" s="43" t="str">
        <f>IF(OR($B175="",$A175&gt;$B$9,M$171=""),"",IF(COUNTIFS(BD!$B$3:$B$5001,M$171,BD!$A$3:$A$5001,"&gt;="&amp;$C$7,BD!$A$3:$A$5001,"&lt;="&amp;$B175,BD!$X$3:$X$5001,"&lt;&gt;")=0,"",SUMIFS(BD!$X$3:$X$5001,BD!$B$3:$B$5001,M$171,BD!$A$3:$A$5001,_xlfn.MAXIFS(BD!$A$3:$A$5001,BD!$B$3:$B$5001,M$171,BD!$A$3:$A$5001,"&gt;="&amp;$C$7,BD!$A$3:$A$5001,"&lt;="&amp;$B175,BD!$X$3:$X$5001,"&lt;&gt;"))))</f>
        <v/>
      </c>
      <c r="N175" s="43" t="str">
        <f>IF(OR($B175="",$A175&gt;$B$9,N$171=""),"",IF(COUNTIFS(BD!$B$3:$B$5001,N$171,BD!$A$3:$A$5001,"&gt;="&amp;$C$7,BD!$A$3:$A$5001,"&lt;="&amp;$B175,BD!$X$3:$X$5001,"&lt;&gt;")=0,"",SUMIFS(BD!$X$3:$X$5001,BD!$B$3:$B$5001,N$171,BD!$A$3:$A$5001,_xlfn.MAXIFS(BD!$A$3:$A$5001,BD!$B$3:$B$5001,N$171,BD!$A$3:$A$5001,"&gt;="&amp;$C$7,BD!$A$3:$A$5001,"&lt;="&amp;$B175,BD!$X$3:$X$5001,"&lt;&gt;"))))</f>
        <v/>
      </c>
      <c r="O175" s="43" t="str">
        <f>IF(OR($B175="",$A175&gt;$B$9,O$171=""),"",IF(COUNTIFS(BD!$B$3:$B$5001,O$171,BD!$A$3:$A$5001,"&gt;="&amp;$C$7,BD!$A$3:$A$5001,"&lt;="&amp;$B175,BD!$X$3:$X$5001,"&lt;&gt;")=0,"",SUMIFS(BD!$X$3:$X$5001,BD!$B$3:$B$5001,O$171,BD!$A$3:$A$5001,_xlfn.MAXIFS(BD!$A$3:$A$5001,BD!$B$3:$B$5001,O$171,BD!$A$3:$A$5001,"&gt;="&amp;$C$7,BD!$A$3:$A$5001,"&lt;="&amp;$B175,BD!$X$3:$X$5001,"&lt;&gt;"))))</f>
        <v/>
      </c>
      <c r="P175" s="43" t="str">
        <f>IF(OR($B175="",$A175&gt;$B$9,P$171=""),"",IF(COUNTIFS(BD!$B$3:$B$5001,P$171,BD!$A$3:$A$5001,"&gt;="&amp;$C$7,BD!$A$3:$A$5001,"&lt;="&amp;$B175,BD!$X$3:$X$5001,"&lt;&gt;")=0,"",SUMIFS(BD!$X$3:$X$5001,BD!$B$3:$B$5001,P$171,BD!$A$3:$A$5001,_xlfn.MAXIFS(BD!$A$3:$A$5001,BD!$B$3:$B$5001,P$171,BD!$A$3:$A$5001,"&gt;="&amp;$C$7,BD!$A$3:$A$5001,"&lt;="&amp;$B175,BD!$X$3:$X$5001,"&lt;&gt;"))))</f>
        <v/>
      </c>
      <c r="Q175" s="43" t="str">
        <f>IF(OR($B175="",$A175&gt;$B$9,Q$171=""),"",IF(COUNTIFS(BD!$B$3:$B$5001,Q$171,BD!$A$3:$A$5001,"&gt;="&amp;$C$7,BD!$A$3:$A$5001,"&lt;="&amp;$B175,BD!$X$3:$X$5001,"&lt;&gt;")=0,"",SUMIFS(BD!$X$3:$X$5001,BD!$B$3:$B$5001,Q$171,BD!$A$3:$A$5001,_xlfn.MAXIFS(BD!$A$3:$A$5001,BD!$B$3:$B$5001,Q$171,BD!$A$3:$A$5001,"&gt;="&amp;$C$7,BD!$A$3:$A$5001,"&lt;="&amp;$B175,BD!$X$3:$X$5001,"&lt;&gt;"))))</f>
        <v/>
      </c>
      <c r="R175" s="43" t="str">
        <f>IF(OR($B175="",$A175&gt;$B$9,R$171=""),"",IF(COUNTIFS(BD!$B$3:$B$5001,R$171,BD!$A$3:$A$5001,"&gt;="&amp;$C$7,BD!$A$3:$A$5001,"&lt;="&amp;$B175,BD!$X$3:$X$5001,"&lt;&gt;")=0,"",SUMIFS(BD!$X$3:$X$5001,BD!$B$3:$B$5001,R$171,BD!$A$3:$A$5001,_xlfn.MAXIFS(BD!$A$3:$A$5001,BD!$B$3:$B$5001,R$171,BD!$A$3:$A$5001,"&gt;="&amp;$C$7,BD!$A$3:$A$5001,"&lt;="&amp;$B175,BD!$X$3:$X$5001,"&lt;&gt;"))))</f>
        <v/>
      </c>
      <c r="S175" s="43" t="str">
        <f>IF(OR($B175="",$A175&gt;$B$9,S$171=""),"",IF(COUNTIFS(BD!$B$3:$B$5001,S$171,BD!$A$3:$A$5001,"&gt;="&amp;$C$7,BD!$A$3:$A$5001,"&lt;="&amp;$B175,BD!$X$3:$X$5001,"&lt;&gt;")=0,"",SUMIFS(BD!$X$3:$X$5001,BD!$B$3:$B$5001,S$171,BD!$A$3:$A$5001,_xlfn.MAXIFS(BD!$A$3:$A$5001,BD!$B$3:$B$5001,S$171,BD!$A$3:$A$5001,"&gt;="&amp;$C$7,BD!$A$3:$A$5001,"&lt;="&amp;$B175,BD!$X$3:$X$5001,"&lt;&gt;"))))</f>
        <v/>
      </c>
      <c r="T175" s="43" t="str">
        <f>IF(OR($B175="",$A175&gt;$B$9,T$171=""),"",IF(COUNTIFS(BD!$B$3:$B$5001,T$171,BD!$A$3:$A$5001,"&gt;="&amp;$C$7,BD!$A$3:$A$5001,"&lt;="&amp;$B175,BD!$X$3:$X$5001,"&lt;&gt;")=0,"",SUMIFS(BD!$X$3:$X$5001,BD!$B$3:$B$5001,T$171,BD!$A$3:$A$5001,_xlfn.MAXIFS(BD!$A$3:$A$5001,BD!$B$3:$B$5001,T$171,BD!$A$3:$A$5001,"&gt;="&amp;$C$7,BD!$A$3:$A$5001,"&lt;="&amp;$B175,BD!$X$3:$X$5001,"&lt;&gt;"))))</f>
        <v/>
      </c>
      <c r="U175" s="43" t="str">
        <f>IF(OR($B175="",$A175&gt;$B$9,U$171=""),"",IF(COUNTIFS(BD!$B$3:$B$5001,U$171,BD!$A$3:$A$5001,"&gt;="&amp;$C$7,BD!$A$3:$A$5001,"&lt;="&amp;$B175,BD!$X$3:$X$5001,"&lt;&gt;")=0,"",SUMIFS(BD!$X$3:$X$5001,BD!$B$3:$B$5001,U$171,BD!$A$3:$A$5001,_xlfn.MAXIFS(BD!$A$3:$A$5001,BD!$B$3:$B$5001,U$171,BD!$A$3:$A$5001,"&gt;="&amp;$C$7,BD!$A$3:$A$5001,"&lt;="&amp;$B175,BD!$X$3:$X$5001,"&lt;&gt;"))))</f>
        <v/>
      </c>
      <c r="V175" s="43" t="str">
        <f>IF(OR($B175="",$A175&gt;$B$9,V$171=""),"",IF(COUNTIFS(BD!$B$3:$B$5001,V$171,BD!$A$3:$A$5001,"&gt;="&amp;$C$7,BD!$A$3:$A$5001,"&lt;="&amp;$B175,BD!$X$3:$X$5001,"&lt;&gt;")=0,"",SUMIFS(BD!$X$3:$X$5001,BD!$B$3:$B$5001,V$171,BD!$A$3:$A$5001,_xlfn.MAXIFS(BD!$A$3:$A$5001,BD!$B$3:$B$5001,V$171,BD!$A$3:$A$5001,"&gt;="&amp;$C$7,BD!$A$3:$A$5001,"&lt;="&amp;$B175,BD!$X$3:$X$5001,"&lt;&gt;"))))</f>
        <v/>
      </c>
    </row>
    <row r="176">
      <c r="A176" s="38">
        <v>5</v>
      </c>
      <c r="B176" s="42">
        <f>$B$16</f>
        <v>46300</v>
      </c>
      <c r="C176" s="43" t="str">
        <f>IF(OR($B176="",$A176&gt;$B$9,C$171=""),"",IF(COUNTIFS(BD!$B$3:$B$5001,C$171,BD!$A$3:$A$5001,"&gt;="&amp;$C$7,BD!$A$3:$A$5001,"&lt;="&amp;$B176,BD!$X$3:$X$5001,"&lt;&gt;")=0,"",SUMIFS(BD!$X$3:$X$5001,BD!$B$3:$B$5001,C$171,BD!$A$3:$A$5001,_xlfn.MAXIFS(BD!$A$3:$A$5001,BD!$B$3:$B$5001,C$171,BD!$A$3:$A$5001,"&gt;="&amp;$C$7,BD!$A$3:$A$5001,"&lt;="&amp;$B176,BD!$X$3:$X$5001,"&lt;&gt;"))))</f>
        <v/>
      </c>
      <c r="D176" s="43" t="str">
        <f>IF(OR($B176="",$A176&gt;$B$9,D$171=""),"",IF(COUNTIFS(BD!$B$3:$B$5001,D$171,BD!$A$3:$A$5001,"&gt;="&amp;$C$7,BD!$A$3:$A$5001,"&lt;="&amp;$B176,BD!$X$3:$X$5001,"&lt;&gt;")=0,"",SUMIFS(BD!$X$3:$X$5001,BD!$B$3:$B$5001,D$171,BD!$A$3:$A$5001,_xlfn.MAXIFS(BD!$A$3:$A$5001,BD!$B$3:$B$5001,D$171,BD!$A$3:$A$5001,"&gt;="&amp;$C$7,BD!$A$3:$A$5001,"&lt;="&amp;$B176,BD!$X$3:$X$5001,"&lt;&gt;"))))</f>
        <v/>
      </c>
      <c r="E176" s="43" t="str">
        <f>IF(OR($B176="",$A176&gt;$B$9,E$171=""),"",IF(COUNTIFS(BD!$B$3:$B$5001,E$171,BD!$A$3:$A$5001,"&gt;="&amp;$C$7,BD!$A$3:$A$5001,"&lt;="&amp;$B176,BD!$X$3:$X$5001,"&lt;&gt;")=0,"",SUMIFS(BD!$X$3:$X$5001,BD!$B$3:$B$5001,E$171,BD!$A$3:$A$5001,_xlfn.MAXIFS(BD!$A$3:$A$5001,BD!$B$3:$B$5001,E$171,BD!$A$3:$A$5001,"&gt;="&amp;$C$7,BD!$A$3:$A$5001,"&lt;="&amp;$B176,BD!$X$3:$X$5001,"&lt;&gt;"))))</f>
        <v/>
      </c>
      <c r="F176" s="43" t="str">
        <f>IF(OR($B176="",$A176&gt;$B$9,F$171=""),"",IF(COUNTIFS(BD!$B$3:$B$5001,F$171,BD!$A$3:$A$5001,"&gt;="&amp;$C$7,BD!$A$3:$A$5001,"&lt;="&amp;$B176,BD!$X$3:$X$5001,"&lt;&gt;")=0,"",SUMIFS(BD!$X$3:$X$5001,BD!$B$3:$B$5001,F$171,BD!$A$3:$A$5001,_xlfn.MAXIFS(BD!$A$3:$A$5001,BD!$B$3:$B$5001,F$171,BD!$A$3:$A$5001,"&gt;="&amp;$C$7,BD!$A$3:$A$5001,"&lt;="&amp;$B176,BD!$X$3:$X$5001,"&lt;&gt;"))))</f>
        <v/>
      </c>
      <c r="G176" s="43" t="str">
        <f>IF(OR($B176="",$A176&gt;$B$9,G$171=""),"",IF(COUNTIFS(BD!$B$3:$B$5001,G$171,BD!$A$3:$A$5001,"&gt;="&amp;$C$7,BD!$A$3:$A$5001,"&lt;="&amp;$B176,BD!$X$3:$X$5001,"&lt;&gt;")=0,"",SUMIFS(BD!$X$3:$X$5001,BD!$B$3:$B$5001,G$171,BD!$A$3:$A$5001,_xlfn.MAXIFS(BD!$A$3:$A$5001,BD!$B$3:$B$5001,G$171,BD!$A$3:$A$5001,"&gt;="&amp;$C$7,BD!$A$3:$A$5001,"&lt;="&amp;$B176,BD!$X$3:$X$5001,"&lt;&gt;"))))</f>
        <v/>
      </c>
      <c r="H176" s="43" t="str">
        <f>IF(OR($B176="",$A176&gt;$B$9,H$171=""),"",IF(COUNTIFS(BD!$B$3:$B$5001,H$171,BD!$A$3:$A$5001,"&gt;="&amp;$C$7,BD!$A$3:$A$5001,"&lt;="&amp;$B176,BD!$X$3:$X$5001,"&lt;&gt;")=0,"",SUMIFS(BD!$X$3:$X$5001,BD!$B$3:$B$5001,H$171,BD!$A$3:$A$5001,_xlfn.MAXIFS(BD!$A$3:$A$5001,BD!$B$3:$B$5001,H$171,BD!$A$3:$A$5001,"&gt;="&amp;$C$7,BD!$A$3:$A$5001,"&lt;="&amp;$B176,BD!$X$3:$X$5001,"&lt;&gt;"))))</f>
        <v/>
      </c>
      <c r="I176" s="43" t="str">
        <f>IF(OR($B176="",$A176&gt;$B$9,I$171=""),"",IF(COUNTIFS(BD!$B$3:$B$5001,I$171,BD!$A$3:$A$5001,"&gt;="&amp;$C$7,BD!$A$3:$A$5001,"&lt;="&amp;$B176,BD!$X$3:$X$5001,"&lt;&gt;")=0,"",SUMIFS(BD!$X$3:$X$5001,BD!$B$3:$B$5001,I$171,BD!$A$3:$A$5001,_xlfn.MAXIFS(BD!$A$3:$A$5001,BD!$B$3:$B$5001,I$171,BD!$A$3:$A$5001,"&gt;="&amp;$C$7,BD!$A$3:$A$5001,"&lt;="&amp;$B176,BD!$X$3:$X$5001,"&lt;&gt;"))))</f>
        <v/>
      </c>
      <c r="J176" s="43" t="str">
        <f>IF(OR($B176="",$A176&gt;$B$9,J$171=""),"",IF(COUNTIFS(BD!$B$3:$B$5001,J$171,BD!$A$3:$A$5001,"&gt;="&amp;$C$7,BD!$A$3:$A$5001,"&lt;="&amp;$B176,BD!$X$3:$X$5001,"&lt;&gt;")=0,"",SUMIFS(BD!$X$3:$X$5001,BD!$B$3:$B$5001,J$171,BD!$A$3:$A$5001,_xlfn.MAXIFS(BD!$A$3:$A$5001,BD!$B$3:$B$5001,J$171,BD!$A$3:$A$5001,"&gt;="&amp;$C$7,BD!$A$3:$A$5001,"&lt;="&amp;$B176,BD!$X$3:$X$5001,"&lt;&gt;"))))</f>
        <v/>
      </c>
      <c r="K176" s="43" t="str">
        <f>IF(OR($B176="",$A176&gt;$B$9,K$171=""),"",IF(COUNTIFS(BD!$B$3:$B$5001,K$171,BD!$A$3:$A$5001,"&gt;="&amp;$C$7,BD!$A$3:$A$5001,"&lt;="&amp;$B176,BD!$X$3:$X$5001,"&lt;&gt;")=0,"",SUMIFS(BD!$X$3:$X$5001,BD!$B$3:$B$5001,K$171,BD!$A$3:$A$5001,_xlfn.MAXIFS(BD!$A$3:$A$5001,BD!$B$3:$B$5001,K$171,BD!$A$3:$A$5001,"&gt;="&amp;$C$7,BD!$A$3:$A$5001,"&lt;="&amp;$B176,BD!$X$3:$X$5001,"&lt;&gt;"))))</f>
        <v/>
      </c>
      <c r="L176" s="43" t="str">
        <f>IF(OR($B176="",$A176&gt;$B$9,L$171=""),"",IF(COUNTIFS(BD!$B$3:$B$5001,L$171,BD!$A$3:$A$5001,"&gt;="&amp;$C$7,BD!$A$3:$A$5001,"&lt;="&amp;$B176,BD!$X$3:$X$5001,"&lt;&gt;")=0,"",SUMIFS(BD!$X$3:$X$5001,BD!$B$3:$B$5001,L$171,BD!$A$3:$A$5001,_xlfn.MAXIFS(BD!$A$3:$A$5001,BD!$B$3:$B$5001,L$171,BD!$A$3:$A$5001,"&gt;="&amp;$C$7,BD!$A$3:$A$5001,"&lt;="&amp;$B176,BD!$X$3:$X$5001,"&lt;&gt;"))))</f>
        <v/>
      </c>
      <c r="M176" s="43" t="str">
        <f>IF(OR($B176="",$A176&gt;$B$9,M$171=""),"",IF(COUNTIFS(BD!$B$3:$B$5001,M$171,BD!$A$3:$A$5001,"&gt;="&amp;$C$7,BD!$A$3:$A$5001,"&lt;="&amp;$B176,BD!$X$3:$X$5001,"&lt;&gt;")=0,"",SUMIFS(BD!$X$3:$X$5001,BD!$B$3:$B$5001,M$171,BD!$A$3:$A$5001,_xlfn.MAXIFS(BD!$A$3:$A$5001,BD!$B$3:$B$5001,M$171,BD!$A$3:$A$5001,"&gt;="&amp;$C$7,BD!$A$3:$A$5001,"&lt;="&amp;$B176,BD!$X$3:$X$5001,"&lt;&gt;"))))</f>
        <v/>
      </c>
      <c r="N176" s="43" t="str">
        <f>IF(OR($B176="",$A176&gt;$B$9,N$171=""),"",IF(COUNTIFS(BD!$B$3:$B$5001,N$171,BD!$A$3:$A$5001,"&gt;="&amp;$C$7,BD!$A$3:$A$5001,"&lt;="&amp;$B176,BD!$X$3:$X$5001,"&lt;&gt;")=0,"",SUMIFS(BD!$X$3:$X$5001,BD!$B$3:$B$5001,N$171,BD!$A$3:$A$5001,_xlfn.MAXIFS(BD!$A$3:$A$5001,BD!$B$3:$B$5001,N$171,BD!$A$3:$A$5001,"&gt;="&amp;$C$7,BD!$A$3:$A$5001,"&lt;="&amp;$B176,BD!$X$3:$X$5001,"&lt;&gt;"))))</f>
        <v/>
      </c>
      <c r="O176" s="43" t="str">
        <f>IF(OR($B176="",$A176&gt;$B$9,O$171=""),"",IF(COUNTIFS(BD!$B$3:$B$5001,O$171,BD!$A$3:$A$5001,"&gt;="&amp;$C$7,BD!$A$3:$A$5001,"&lt;="&amp;$B176,BD!$X$3:$X$5001,"&lt;&gt;")=0,"",SUMIFS(BD!$X$3:$X$5001,BD!$B$3:$B$5001,O$171,BD!$A$3:$A$5001,_xlfn.MAXIFS(BD!$A$3:$A$5001,BD!$B$3:$B$5001,O$171,BD!$A$3:$A$5001,"&gt;="&amp;$C$7,BD!$A$3:$A$5001,"&lt;="&amp;$B176,BD!$X$3:$X$5001,"&lt;&gt;"))))</f>
        <v/>
      </c>
      <c r="P176" s="43" t="str">
        <f>IF(OR($B176="",$A176&gt;$B$9,P$171=""),"",IF(COUNTIFS(BD!$B$3:$B$5001,P$171,BD!$A$3:$A$5001,"&gt;="&amp;$C$7,BD!$A$3:$A$5001,"&lt;="&amp;$B176,BD!$X$3:$X$5001,"&lt;&gt;")=0,"",SUMIFS(BD!$X$3:$X$5001,BD!$B$3:$B$5001,P$171,BD!$A$3:$A$5001,_xlfn.MAXIFS(BD!$A$3:$A$5001,BD!$B$3:$B$5001,P$171,BD!$A$3:$A$5001,"&gt;="&amp;$C$7,BD!$A$3:$A$5001,"&lt;="&amp;$B176,BD!$X$3:$X$5001,"&lt;&gt;"))))</f>
        <v/>
      </c>
      <c r="Q176" s="43" t="str">
        <f>IF(OR($B176="",$A176&gt;$B$9,Q$171=""),"",IF(COUNTIFS(BD!$B$3:$B$5001,Q$171,BD!$A$3:$A$5001,"&gt;="&amp;$C$7,BD!$A$3:$A$5001,"&lt;="&amp;$B176,BD!$X$3:$X$5001,"&lt;&gt;")=0,"",SUMIFS(BD!$X$3:$X$5001,BD!$B$3:$B$5001,Q$171,BD!$A$3:$A$5001,_xlfn.MAXIFS(BD!$A$3:$A$5001,BD!$B$3:$B$5001,Q$171,BD!$A$3:$A$5001,"&gt;="&amp;$C$7,BD!$A$3:$A$5001,"&lt;="&amp;$B176,BD!$X$3:$X$5001,"&lt;&gt;"))))</f>
        <v/>
      </c>
      <c r="R176" s="43" t="str">
        <f>IF(OR($B176="",$A176&gt;$B$9,R$171=""),"",IF(COUNTIFS(BD!$B$3:$B$5001,R$171,BD!$A$3:$A$5001,"&gt;="&amp;$C$7,BD!$A$3:$A$5001,"&lt;="&amp;$B176,BD!$X$3:$X$5001,"&lt;&gt;")=0,"",SUMIFS(BD!$X$3:$X$5001,BD!$B$3:$B$5001,R$171,BD!$A$3:$A$5001,_xlfn.MAXIFS(BD!$A$3:$A$5001,BD!$B$3:$B$5001,R$171,BD!$A$3:$A$5001,"&gt;="&amp;$C$7,BD!$A$3:$A$5001,"&lt;="&amp;$B176,BD!$X$3:$X$5001,"&lt;&gt;"))))</f>
        <v/>
      </c>
      <c r="S176" s="43" t="str">
        <f>IF(OR($B176="",$A176&gt;$B$9,S$171=""),"",IF(COUNTIFS(BD!$B$3:$B$5001,S$171,BD!$A$3:$A$5001,"&gt;="&amp;$C$7,BD!$A$3:$A$5001,"&lt;="&amp;$B176,BD!$X$3:$X$5001,"&lt;&gt;")=0,"",SUMIFS(BD!$X$3:$X$5001,BD!$B$3:$B$5001,S$171,BD!$A$3:$A$5001,_xlfn.MAXIFS(BD!$A$3:$A$5001,BD!$B$3:$B$5001,S$171,BD!$A$3:$A$5001,"&gt;="&amp;$C$7,BD!$A$3:$A$5001,"&lt;="&amp;$B176,BD!$X$3:$X$5001,"&lt;&gt;"))))</f>
        <v/>
      </c>
      <c r="T176" s="43" t="str">
        <f>IF(OR($B176="",$A176&gt;$B$9,T$171=""),"",IF(COUNTIFS(BD!$B$3:$B$5001,T$171,BD!$A$3:$A$5001,"&gt;="&amp;$C$7,BD!$A$3:$A$5001,"&lt;="&amp;$B176,BD!$X$3:$X$5001,"&lt;&gt;")=0,"",SUMIFS(BD!$X$3:$X$5001,BD!$B$3:$B$5001,T$171,BD!$A$3:$A$5001,_xlfn.MAXIFS(BD!$A$3:$A$5001,BD!$B$3:$B$5001,T$171,BD!$A$3:$A$5001,"&gt;="&amp;$C$7,BD!$A$3:$A$5001,"&lt;="&amp;$B176,BD!$X$3:$X$5001,"&lt;&gt;"))))</f>
        <v/>
      </c>
      <c r="U176" s="43" t="str">
        <f>IF(OR($B176="",$A176&gt;$B$9,U$171=""),"",IF(COUNTIFS(BD!$B$3:$B$5001,U$171,BD!$A$3:$A$5001,"&gt;="&amp;$C$7,BD!$A$3:$A$5001,"&lt;="&amp;$B176,BD!$X$3:$X$5001,"&lt;&gt;")=0,"",SUMIFS(BD!$X$3:$X$5001,BD!$B$3:$B$5001,U$171,BD!$A$3:$A$5001,_xlfn.MAXIFS(BD!$A$3:$A$5001,BD!$B$3:$B$5001,U$171,BD!$A$3:$A$5001,"&gt;="&amp;$C$7,BD!$A$3:$A$5001,"&lt;="&amp;$B176,BD!$X$3:$X$5001,"&lt;&gt;"))))</f>
        <v/>
      </c>
      <c r="V176" s="43" t="str">
        <f>IF(OR($B176="",$A176&gt;$B$9,V$171=""),"",IF(COUNTIFS(BD!$B$3:$B$5001,V$171,BD!$A$3:$A$5001,"&gt;="&amp;$C$7,BD!$A$3:$A$5001,"&lt;="&amp;$B176,BD!$X$3:$X$5001,"&lt;&gt;")=0,"",SUMIFS(BD!$X$3:$X$5001,BD!$B$3:$B$5001,V$171,BD!$A$3:$A$5001,_xlfn.MAXIFS(BD!$A$3:$A$5001,BD!$B$3:$B$5001,V$171,BD!$A$3:$A$5001,"&gt;="&amp;$C$7,BD!$A$3:$A$5001,"&lt;="&amp;$B176,BD!$X$3:$X$5001,"&lt;&gt;"))))</f>
        <v/>
      </c>
    </row>
    <row r="177">
      <c r="A177" s="38">
        <v>6</v>
      </c>
      <c r="B177" s="42">
        <f>$B$17</f>
        <v>46301</v>
      </c>
      <c r="C177" s="43" t="str">
        <f>IF(OR($B177="",$A177&gt;$B$9,C$171=""),"",IF(COUNTIFS(BD!$B$3:$B$5001,C$171,BD!$A$3:$A$5001,"&gt;="&amp;$C$7,BD!$A$3:$A$5001,"&lt;="&amp;$B177,BD!$X$3:$X$5001,"&lt;&gt;")=0,"",SUMIFS(BD!$X$3:$X$5001,BD!$B$3:$B$5001,C$171,BD!$A$3:$A$5001,_xlfn.MAXIFS(BD!$A$3:$A$5001,BD!$B$3:$B$5001,C$171,BD!$A$3:$A$5001,"&gt;="&amp;$C$7,BD!$A$3:$A$5001,"&lt;="&amp;$B177,BD!$X$3:$X$5001,"&lt;&gt;"))))</f>
        <v/>
      </c>
      <c r="D177" s="43" t="str">
        <f>IF(OR($B177="",$A177&gt;$B$9,D$171=""),"",IF(COUNTIFS(BD!$B$3:$B$5001,D$171,BD!$A$3:$A$5001,"&gt;="&amp;$C$7,BD!$A$3:$A$5001,"&lt;="&amp;$B177,BD!$X$3:$X$5001,"&lt;&gt;")=0,"",SUMIFS(BD!$X$3:$X$5001,BD!$B$3:$B$5001,D$171,BD!$A$3:$A$5001,_xlfn.MAXIFS(BD!$A$3:$A$5001,BD!$B$3:$B$5001,D$171,BD!$A$3:$A$5001,"&gt;="&amp;$C$7,BD!$A$3:$A$5001,"&lt;="&amp;$B177,BD!$X$3:$X$5001,"&lt;&gt;"))))</f>
        <v/>
      </c>
      <c r="E177" s="43" t="str">
        <f>IF(OR($B177="",$A177&gt;$B$9,E$171=""),"",IF(COUNTIFS(BD!$B$3:$B$5001,E$171,BD!$A$3:$A$5001,"&gt;="&amp;$C$7,BD!$A$3:$A$5001,"&lt;="&amp;$B177,BD!$X$3:$X$5001,"&lt;&gt;")=0,"",SUMIFS(BD!$X$3:$X$5001,BD!$B$3:$B$5001,E$171,BD!$A$3:$A$5001,_xlfn.MAXIFS(BD!$A$3:$A$5001,BD!$B$3:$B$5001,E$171,BD!$A$3:$A$5001,"&gt;="&amp;$C$7,BD!$A$3:$A$5001,"&lt;="&amp;$B177,BD!$X$3:$X$5001,"&lt;&gt;"))))</f>
        <v/>
      </c>
      <c r="F177" s="43" t="str">
        <f>IF(OR($B177="",$A177&gt;$B$9,F$171=""),"",IF(COUNTIFS(BD!$B$3:$B$5001,F$171,BD!$A$3:$A$5001,"&gt;="&amp;$C$7,BD!$A$3:$A$5001,"&lt;="&amp;$B177,BD!$X$3:$X$5001,"&lt;&gt;")=0,"",SUMIFS(BD!$X$3:$X$5001,BD!$B$3:$B$5001,F$171,BD!$A$3:$A$5001,_xlfn.MAXIFS(BD!$A$3:$A$5001,BD!$B$3:$B$5001,F$171,BD!$A$3:$A$5001,"&gt;="&amp;$C$7,BD!$A$3:$A$5001,"&lt;="&amp;$B177,BD!$X$3:$X$5001,"&lt;&gt;"))))</f>
        <v/>
      </c>
      <c r="G177" s="43" t="str">
        <f>IF(OR($B177="",$A177&gt;$B$9,G$171=""),"",IF(COUNTIFS(BD!$B$3:$B$5001,G$171,BD!$A$3:$A$5001,"&gt;="&amp;$C$7,BD!$A$3:$A$5001,"&lt;="&amp;$B177,BD!$X$3:$X$5001,"&lt;&gt;")=0,"",SUMIFS(BD!$X$3:$X$5001,BD!$B$3:$B$5001,G$171,BD!$A$3:$A$5001,_xlfn.MAXIFS(BD!$A$3:$A$5001,BD!$B$3:$B$5001,G$171,BD!$A$3:$A$5001,"&gt;="&amp;$C$7,BD!$A$3:$A$5001,"&lt;="&amp;$B177,BD!$X$3:$X$5001,"&lt;&gt;"))))</f>
        <v/>
      </c>
      <c r="H177" s="43" t="str">
        <f>IF(OR($B177="",$A177&gt;$B$9,H$171=""),"",IF(COUNTIFS(BD!$B$3:$B$5001,H$171,BD!$A$3:$A$5001,"&gt;="&amp;$C$7,BD!$A$3:$A$5001,"&lt;="&amp;$B177,BD!$X$3:$X$5001,"&lt;&gt;")=0,"",SUMIFS(BD!$X$3:$X$5001,BD!$B$3:$B$5001,H$171,BD!$A$3:$A$5001,_xlfn.MAXIFS(BD!$A$3:$A$5001,BD!$B$3:$B$5001,H$171,BD!$A$3:$A$5001,"&gt;="&amp;$C$7,BD!$A$3:$A$5001,"&lt;="&amp;$B177,BD!$X$3:$X$5001,"&lt;&gt;"))))</f>
        <v/>
      </c>
      <c r="I177" s="43" t="str">
        <f>IF(OR($B177="",$A177&gt;$B$9,I$171=""),"",IF(COUNTIFS(BD!$B$3:$B$5001,I$171,BD!$A$3:$A$5001,"&gt;="&amp;$C$7,BD!$A$3:$A$5001,"&lt;="&amp;$B177,BD!$X$3:$X$5001,"&lt;&gt;")=0,"",SUMIFS(BD!$X$3:$X$5001,BD!$B$3:$B$5001,I$171,BD!$A$3:$A$5001,_xlfn.MAXIFS(BD!$A$3:$A$5001,BD!$B$3:$B$5001,I$171,BD!$A$3:$A$5001,"&gt;="&amp;$C$7,BD!$A$3:$A$5001,"&lt;="&amp;$B177,BD!$X$3:$X$5001,"&lt;&gt;"))))</f>
        <v/>
      </c>
      <c r="J177" s="43" t="str">
        <f>IF(OR($B177="",$A177&gt;$B$9,J$171=""),"",IF(COUNTIFS(BD!$B$3:$B$5001,J$171,BD!$A$3:$A$5001,"&gt;="&amp;$C$7,BD!$A$3:$A$5001,"&lt;="&amp;$B177,BD!$X$3:$X$5001,"&lt;&gt;")=0,"",SUMIFS(BD!$X$3:$X$5001,BD!$B$3:$B$5001,J$171,BD!$A$3:$A$5001,_xlfn.MAXIFS(BD!$A$3:$A$5001,BD!$B$3:$B$5001,J$171,BD!$A$3:$A$5001,"&gt;="&amp;$C$7,BD!$A$3:$A$5001,"&lt;="&amp;$B177,BD!$X$3:$X$5001,"&lt;&gt;"))))</f>
        <v/>
      </c>
      <c r="K177" s="43" t="str">
        <f>IF(OR($B177="",$A177&gt;$B$9,K$171=""),"",IF(COUNTIFS(BD!$B$3:$B$5001,K$171,BD!$A$3:$A$5001,"&gt;="&amp;$C$7,BD!$A$3:$A$5001,"&lt;="&amp;$B177,BD!$X$3:$X$5001,"&lt;&gt;")=0,"",SUMIFS(BD!$X$3:$X$5001,BD!$B$3:$B$5001,K$171,BD!$A$3:$A$5001,_xlfn.MAXIFS(BD!$A$3:$A$5001,BD!$B$3:$B$5001,K$171,BD!$A$3:$A$5001,"&gt;="&amp;$C$7,BD!$A$3:$A$5001,"&lt;="&amp;$B177,BD!$X$3:$X$5001,"&lt;&gt;"))))</f>
        <v/>
      </c>
      <c r="L177" s="43" t="str">
        <f>IF(OR($B177="",$A177&gt;$B$9,L$171=""),"",IF(COUNTIFS(BD!$B$3:$B$5001,L$171,BD!$A$3:$A$5001,"&gt;="&amp;$C$7,BD!$A$3:$A$5001,"&lt;="&amp;$B177,BD!$X$3:$X$5001,"&lt;&gt;")=0,"",SUMIFS(BD!$X$3:$X$5001,BD!$B$3:$B$5001,L$171,BD!$A$3:$A$5001,_xlfn.MAXIFS(BD!$A$3:$A$5001,BD!$B$3:$B$5001,L$171,BD!$A$3:$A$5001,"&gt;="&amp;$C$7,BD!$A$3:$A$5001,"&lt;="&amp;$B177,BD!$X$3:$X$5001,"&lt;&gt;"))))</f>
        <v/>
      </c>
      <c r="M177" s="43" t="str">
        <f>IF(OR($B177="",$A177&gt;$B$9,M$171=""),"",IF(COUNTIFS(BD!$B$3:$B$5001,M$171,BD!$A$3:$A$5001,"&gt;="&amp;$C$7,BD!$A$3:$A$5001,"&lt;="&amp;$B177,BD!$X$3:$X$5001,"&lt;&gt;")=0,"",SUMIFS(BD!$X$3:$X$5001,BD!$B$3:$B$5001,M$171,BD!$A$3:$A$5001,_xlfn.MAXIFS(BD!$A$3:$A$5001,BD!$B$3:$B$5001,M$171,BD!$A$3:$A$5001,"&gt;="&amp;$C$7,BD!$A$3:$A$5001,"&lt;="&amp;$B177,BD!$X$3:$X$5001,"&lt;&gt;"))))</f>
        <v/>
      </c>
      <c r="N177" s="43" t="str">
        <f>IF(OR($B177="",$A177&gt;$B$9,N$171=""),"",IF(COUNTIFS(BD!$B$3:$B$5001,N$171,BD!$A$3:$A$5001,"&gt;="&amp;$C$7,BD!$A$3:$A$5001,"&lt;="&amp;$B177,BD!$X$3:$X$5001,"&lt;&gt;")=0,"",SUMIFS(BD!$X$3:$X$5001,BD!$B$3:$B$5001,N$171,BD!$A$3:$A$5001,_xlfn.MAXIFS(BD!$A$3:$A$5001,BD!$B$3:$B$5001,N$171,BD!$A$3:$A$5001,"&gt;="&amp;$C$7,BD!$A$3:$A$5001,"&lt;="&amp;$B177,BD!$X$3:$X$5001,"&lt;&gt;"))))</f>
        <v/>
      </c>
      <c r="O177" s="43" t="str">
        <f>IF(OR($B177="",$A177&gt;$B$9,O$171=""),"",IF(COUNTIFS(BD!$B$3:$B$5001,O$171,BD!$A$3:$A$5001,"&gt;="&amp;$C$7,BD!$A$3:$A$5001,"&lt;="&amp;$B177,BD!$X$3:$X$5001,"&lt;&gt;")=0,"",SUMIFS(BD!$X$3:$X$5001,BD!$B$3:$B$5001,O$171,BD!$A$3:$A$5001,_xlfn.MAXIFS(BD!$A$3:$A$5001,BD!$B$3:$B$5001,O$171,BD!$A$3:$A$5001,"&gt;="&amp;$C$7,BD!$A$3:$A$5001,"&lt;="&amp;$B177,BD!$X$3:$X$5001,"&lt;&gt;"))))</f>
        <v/>
      </c>
      <c r="P177" s="43" t="str">
        <f>IF(OR($B177="",$A177&gt;$B$9,P$171=""),"",IF(COUNTIFS(BD!$B$3:$B$5001,P$171,BD!$A$3:$A$5001,"&gt;="&amp;$C$7,BD!$A$3:$A$5001,"&lt;="&amp;$B177,BD!$X$3:$X$5001,"&lt;&gt;")=0,"",SUMIFS(BD!$X$3:$X$5001,BD!$B$3:$B$5001,P$171,BD!$A$3:$A$5001,_xlfn.MAXIFS(BD!$A$3:$A$5001,BD!$B$3:$B$5001,P$171,BD!$A$3:$A$5001,"&gt;="&amp;$C$7,BD!$A$3:$A$5001,"&lt;="&amp;$B177,BD!$X$3:$X$5001,"&lt;&gt;"))))</f>
        <v/>
      </c>
      <c r="Q177" s="43" t="str">
        <f>IF(OR($B177="",$A177&gt;$B$9,Q$171=""),"",IF(COUNTIFS(BD!$B$3:$B$5001,Q$171,BD!$A$3:$A$5001,"&gt;="&amp;$C$7,BD!$A$3:$A$5001,"&lt;="&amp;$B177,BD!$X$3:$X$5001,"&lt;&gt;")=0,"",SUMIFS(BD!$X$3:$X$5001,BD!$B$3:$B$5001,Q$171,BD!$A$3:$A$5001,_xlfn.MAXIFS(BD!$A$3:$A$5001,BD!$B$3:$B$5001,Q$171,BD!$A$3:$A$5001,"&gt;="&amp;$C$7,BD!$A$3:$A$5001,"&lt;="&amp;$B177,BD!$X$3:$X$5001,"&lt;&gt;"))))</f>
        <v/>
      </c>
      <c r="R177" s="43" t="str">
        <f>IF(OR($B177="",$A177&gt;$B$9,R$171=""),"",IF(COUNTIFS(BD!$B$3:$B$5001,R$171,BD!$A$3:$A$5001,"&gt;="&amp;$C$7,BD!$A$3:$A$5001,"&lt;="&amp;$B177,BD!$X$3:$X$5001,"&lt;&gt;")=0,"",SUMIFS(BD!$X$3:$X$5001,BD!$B$3:$B$5001,R$171,BD!$A$3:$A$5001,_xlfn.MAXIFS(BD!$A$3:$A$5001,BD!$B$3:$B$5001,R$171,BD!$A$3:$A$5001,"&gt;="&amp;$C$7,BD!$A$3:$A$5001,"&lt;="&amp;$B177,BD!$X$3:$X$5001,"&lt;&gt;"))))</f>
        <v/>
      </c>
      <c r="S177" s="43" t="str">
        <f>IF(OR($B177="",$A177&gt;$B$9,S$171=""),"",IF(COUNTIFS(BD!$B$3:$B$5001,S$171,BD!$A$3:$A$5001,"&gt;="&amp;$C$7,BD!$A$3:$A$5001,"&lt;="&amp;$B177,BD!$X$3:$X$5001,"&lt;&gt;")=0,"",SUMIFS(BD!$X$3:$X$5001,BD!$B$3:$B$5001,S$171,BD!$A$3:$A$5001,_xlfn.MAXIFS(BD!$A$3:$A$5001,BD!$B$3:$B$5001,S$171,BD!$A$3:$A$5001,"&gt;="&amp;$C$7,BD!$A$3:$A$5001,"&lt;="&amp;$B177,BD!$X$3:$X$5001,"&lt;&gt;"))))</f>
        <v/>
      </c>
      <c r="T177" s="43" t="str">
        <f>IF(OR($B177="",$A177&gt;$B$9,T$171=""),"",IF(COUNTIFS(BD!$B$3:$B$5001,T$171,BD!$A$3:$A$5001,"&gt;="&amp;$C$7,BD!$A$3:$A$5001,"&lt;="&amp;$B177,BD!$X$3:$X$5001,"&lt;&gt;")=0,"",SUMIFS(BD!$X$3:$X$5001,BD!$B$3:$B$5001,T$171,BD!$A$3:$A$5001,_xlfn.MAXIFS(BD!$A$3:$A$5001,BD!$B$3:$B$5001,T$171,BD!$A$3:$A$5001,"&gt;="&amp;$C$7,BD!$A$3:$A$5001,"&lt;="&amp;$B177,BD!$X$3:$X$5001,"&lt;&gt;"))))</f>
        <v/>
      </c>
      <c r="U177" s="43" t="str">
        <f>IF(OR($B177="",$A177&gt;$B$9,U$171=""),"",IF(COUNTIFS(BD!$B$3:$B$5001,U$171,BD!$A$3:$A$5001,"&gt;="&amp;$C$7,BD!$A$3:$A$5001,"&lt;="&amp;$B177,BD!$X$3:$X$5001,"&lt;&gt;")=0,"",SUMIFS(BD!$X$3:$X$5001,BD!$B$3:$B$5001,U$171,BD!$A$3:$A$5001,_xlfn.MAXIFS(BD!$A$3:$A$5001,BD!$B$3:$B$5001,U$171,BD!$A$3:$A$5001,"&gt;="&amp;$C$7,BD!$A$3:$A$5001,"&lt;="&amp;$B177,BD!$X$3:$X$5001,"&lt;&gt;"))))</f>
        <v/>
      </c>
      <c r="V177" s="43" t="str">
        <f>IF(OR($B177="",$A177&gt;$B$9,V$171=""),"",IF(COUNTIFS(BD!$B$3:$B$5001,V$171,BD!$A$3:$A$5001,"&gt;="&amp;$C$7,BD!$A$3:$A$5001,"&lt;="&amp;$B177,BD!$X$3:$X$5001,"&lt;&gt;")=0,"",SUMIFS(BD!$X$3:$X$5001,BD!$B$3:$B$5001,V$171,BD!$A$3:$A$5001,_xlfn.MAXIFS(BD!$A$3:$A$5001,BD!$B$3:$B$5001,V$171,BD!$A$3:$A$5001,"&gt;="&amp;$C$7,BD!$A$3:$A$5001,"&lt;="&amp;$B177,BD!$X$3:$X$5001,"&lt;&gt;"))))</f>
        <v/>
      </c>
    </row>
    <row r="178">
      <c r="A178" s="38">
        <v>7</v>
      </c>
      <c r="B178" s="42">
        <f>$B$18</f>
        <v>46302</v>
      </c>
      <c r="C178" s="43" t="str">
        <f>IF(OR($B178="",$A178&gt;$B$9,C$171=""),"",IF(COUNTIFS(BD!$B$3:$B$5001,C$171,BD!$A$3:$A$5001,"&gt;="&amp;$C$7,BD!$A$3:$A$5001,"&lt;="&amp;$B178,BD!$X$3:$X$5001,"&lt;&gt;")=0,"",SUMIFS(BD!$X$3:$X$5001,BD!$B$3:$B$5001,C$171,BD!$A$3:$A$5001,_xlfn.MAXIFS(BD!$A$3:$A$5001,BD!$B$3:$B$5001,C$171,BD!$A$3:$A$5001,"&gt;="&amp;$C$7,BD!$A$3:$A$5001,"&lt;="&amp;$B178,BD!$X$3:$X$5001,"&lt;&gt;"))))</f>
        <v/>
      </c>
      <c r="D178" s="43" t="str">
        <f>IF(OR($B178="",$A178&gt;$B$9,D$171=""),"",IF(COUNTIFS(BD!$B$3:$B$5001,D$171,BD!$A$3:$A$5001,"&gt;="&amp;$C$7,BD!$A$3:$A$5001,"&lt;="&amp;$B178,BD!$X$3:$X$5001,"&lt;&gt;")=0,"",SUMIFS(BD!$X$3:$X$5001,BD!$B$3:$B$5001,D$171,BD!$A$3:$A$5001,_xlfn.MAXIFS(BD!$A$3:$A$5001,BD!$B$3:$B$5001,D$171,BD!$A$3:$A$5001,"&gt;="&amp;$C$7,BD!$A$3:$A$5001,"&lt;="&amp;$B178,BD!$X$3:$X$5001,"&lt;&gt;"))))</f>
        <v/>
      </c>
      <c r="E178" s="43" t="str">
        <f>IF(OR($B178="",$A178&gt;$B$9,E$171=""),"",IF(COUNTIFS(BD!$B$3:$B$5001,E$171,BD!$A$3:$A$5001,"&gt;="&amp;$C$7,BD!$A$3:$A$5001,"&lt;="&amp;$B178,BD!$X$3:$X$5001,"&lt;&gt;")=0,"",SUMIFS(BD!$X$3:$X$5001,BD!$B$3:$B$5001,E$171,BD!$A$3:$A$5001,_xlfn.MAXIFS(BD!$A$3:$A$5001,BD!$B$3:$B$5001,E$171,BD!$A$3:$A$5001,"&gt;="&amp;$C$7,BD!$A$3:$A$5001,"&lt;="&amp;$B178,BD!$X$3:$X$5001,"&lt;&gt;"))))</f>
        <v/>
      </c>
      <c r="F178" s="43" t="str">
        <f>IF(OR($B178="",$A178&gt;$B$9,F$171=""),"",IF(COUNTIFS(BD!$B$3:$B$5001,F$171,BD!$A$3:$A$5001,"&gt;="&amp;$C$7,BD!$A$3:$A$5001,"&lt;="&amp;$B178,BD!$X$3:$X$5001,"&lt;&gt;")=0,"",SUMIFS(BD!$X$3:$X$5001,BD!$B$3:$B$5001,F$171,BD!$A$3:$A$5001,_xlfn.MAXIFS(BD!$A$3:$A$5001,BD!$B$3:$B$5001,F$171,BD!$A$3:$A$5001,"&gt;="&amp;$C$7,BD!$A$3:$A$5001,"&lt;="&amp;$B178,BD!$X$3:$X$5001,"&lt;&gt;"))))</f>
        <v/>
      </c>
      <c r="G178" s="43" t="str">
        <f>IF(OR($B178="",$A178&gt;$B$9,G$171=""),"",IF(COUNTIFS(BD!$B$3:$B$5001,G$171,BD!$A$3:$A$5001,"&gt;="&amp;$C$7,BD!$A$3:$A$5001,"&lt;="&amp;$B178,BD!$X$3:$X$5001,"&lt;&gt;")=0,"",SUMIFS(BD!$X$3:$X$5001,BD!$B$3:$B$5001,G$171,BD!$A$3:$A$5001,_xlfn.MAXIFS(BD!$A$3:$A$5001,BD!$B$3:$B$5001,G$171,BD!$A$3:$A$5001,"&gt;="&amp;$C$7,BD!$A$3:$A$5001,"&lt;="&amp;$B178,BD!$X$3:$X$5001,"&lt;&gt;"))))</f>
        <v/>
      </c>
      <c r="H178" s="43" t="str">
        <f>IF(OR($B178="",$A178&gt;$B$9,H$171=""),"",IF(COUNTIFS(BD!$B$3:$B$5001,H$171,BD!$A$3:$A$5001,"&gt;="&amp;$C$7,BD!$A$3:$A$5001,"&lt;="&amp;$B178,BD!$X$3:$X$5001,"&lt;&gt;")=0,"",SUMIFS(BD!$X$3:$X$5001,BD!$B$3:$B$5001,H$171,BD!$A$3:$A$5001,_xlfn.MAXIFS(BD!$A$3:$A$5001,BD!$B$3:$B$5001,H$171,BD!$A$3:$A$5001,"&gt;="&amp;$C$7,BD!$A$3:$A$5001,"&lt;="&amp;$B178,BD!$X$3:$X$5001,"&lt;&gt;"))))</f>
        <v/>
      </c>
      <c r="I178" s="43" t="str">
        <f>IF(OR($B178="",$A178&gt;$B$9,I$171=""),"",IF(COUNTIFS(BD!$B$3:$B$5001,I$171,BD!$A$3:$A$5001,"&gt;="&amp;$C$7,BD!$A$3:$A$5001,"&lt;="&amp;$B178,BD!$X$3:$X$5001,"&lt;&gt;")=0,"",SUMIFS(BD!$X$3:$X$5001,BD!$B$3:$B$5001,I$171,BD!$A$3:$A$5001,_xlfn.MAXIFS(BD!$A$3:$A$5001,BD!$B$3:$B$5001,I$171,BD!$A$3:$A$5001,"&gt;="&amp;$C$7,BD!$A$3:$A$5001,"&lt;="&amp;$B178,BD!$X$3:$X$5001,"&lt;&gt;"))))</f>
        <v/>
      </c>
      <c r="J178" s="43" t="str">
        <f>IF(OR($B178="",$A178&gt;$B$9,J$171=""),"",IF(COUNTIFS(BD!$B$3:$B$5001,J$171,BD!$A$3:$A$5001,"&gt;="&amp;$C$7,BD!$A$3:$A$5001,"&lt;="&amp;$B178,BD!$X$3:$X$5001,"&lt;&gt;")=0,"",SUMIFS(BD!$X$3:$X$5001,BD!$B$3:$B$5001,J$171,BD!$A$3:$A$5001,_xlfn.MAXIFS(BD!$A$3:$A$5001,BD!$B$3:$B$5001,J$171,BD!$A$3:$A$5001,"&gt;="&amp;$C$7,BD!$A$3:$A$5001,"&lt;="&amp;$B178,BD!$X$3:$X$5001,"&lt;&gt;"))))</f>
        <v/>
      </c>
      <c r="K178" s="43" t="str">
        <f>IF(OR($B178="",$A178&gt;$B$9,K$171=""),"",IF(COUNTIFS(BD!$B$3:$B$5001,K$171,BD!$A$3:$A$5001,"&gt;="&amp;$C$7,BD!$A$3:$A$5001,"&lt;="&amp;$B178,BD!$X$3:$X$5001,"&lt;&gt;")=0,"",SUMIFS(BD!$X$3:$X$5001,BD!$B$3:$B$5001,K$171,BD!$A$3:$A$5001,_xlfn.MAXIFS(BD!$A$3:$A$5001,BD!$B$3:$B$5001,K$171,BD!$A$3:$A$5001,"&gt;="&amp;$C$7,BD!$A$3:$A$5001,"&lt;="&amp;$B178,BD!$X$3:$X$5001,"&lt;&gt;"))))</f>
        <v/>
      </c>
      <c r="L178" s="43" t="str">
        <f>IF(OR($B178="",$A178&gt;$B$9,L$171=""),"",IF(COUNTIFS(BD!$B$3:$B$5001,L$171,BD!$A$3:$A$5001,"&gt;="&amp;$C$7,BD!$A$3:$A$5001,"&lt;="&amp;$B178,BD!$X$3:$X$5001,"&lt;&gt;")=0,"",SUMIFS(BD!$X$3:$X$5001,BD!$B$3:$B$5001,L$171,BD!$A$3:$A$5001,_xlfn.MAXIFS(BD!$A$3:$A$5001,BD!$B$3:$B$5001,L$171,BD!$A$3:$A$5001,"&gt;="&amp;$C$7,BD!$A$3:$A$5001,"&lt;="&amp;$B178,BD!$X$3:$X$5001,"&lt;&gt;"))))</f>
        <v/>
      </c>
      <c r="M178" s="43" t="str">
        <f>IF(OR($B178="",$A178&gt;$B$9,M$171=""),"",IF(COUNTIFS(BD!$B$3:$B$5001,M$171,BD!$A$3:$A$5001,"&gt;="&amp;$C$7,BD!$A$3:$A$5001,"&lt;="&amp;$B178,BD!$X$3:$X$5001,"&lt;&gt;")=0,"",SUMIFS(BD!$X$3:$X$5001,BD!$B$3:$B$5001,M$171,BD!$A$3:$A$5001,_xlfn.MAXIFS(BD!$A$3:$A$5001,BD!$B$3:$B$5001,M$171,BD!$A$3:$A$5001,"&gt;="&amp;$C$7,BD!$A$3:$A$5001,"&lt;="&amp;$B178,BD!$X$3:$X$5001,"&lt;&gt;"))))</f>
        <v/>
      </c>
      <c r="N178" s="43" t="str">
        <f>IF(OR($B178="",$A178&gt;$B$9,N$171=""),"",IF(COUNTIFS(BD!$B$3:$B$5001,N$171,BD!$A$3:$A$5001,"&gt;="&amp;$C$7,BD!$A$3:$A$5001,"&lt;="&amp;$B178,BD!$X$3:$X$5001,"&lt;&gt;")=0,"",SUMIFS(BD!$X$3:$X$5001,BD!$B$3:$B$5001,N$171,BD!$A$3:$A$5001,_xlfn.MAXIFS(BD!$A$3:$A$5001,BD!$B$3:$B$5001,N$171,BD!$A$3:$A$5001,"&gt;="&amp;$C$7,BD!$A$3:$A$5001,"&lt;="&amp;$B178,BD!$X$3:$X$5001,"&lt;&gt;"))))</f>
        <v/>
      </c>
      <c r="O178" s="43" t="str">
        <f>IF(OR($B178="",$A178&gt;$B$9,O$171=""),"",IF(COUNTIFS(BD!$B$3:$B$5001,O$171,BD!$A$3:$A$5001,"&gt;="&amp;$C$7,BD!$A$3:$A$5001,"&lt;="&amp;$B178,BD!$X$3:$X$5001,"&lt;&gt;")=0,"",SUMIFS(BD!$X$3:$X$5001,BD!$B$3:$B$5001,O$171,BD!$A$3:$A$5001,_xlfn.MAXIFS(BD!$A$3:$A$5001,BD!$B$3:$B$5001,O$171,BD!$A$3:$A$5001,"&gt;="&amp;$C$7,BD!$A$3:$A$5001,"&lt;="&amp;$B178,BD!$X$3:$X$5001,"&lt;&gt;"))))</f>
        <v/>
      </c>
      <c r="P178" s="43" t="str">
        <f>IF(OR($B178="",$A178&gt;$B$9,P$171=""),"",IF(COUNTIFS(BD!$B$3:$B$5001,P$171,BD!$A$3:$A$5001,"&gt;="&amp;$C$7,BD!$A$3:$A$5001,"&lt;="&amp;$B178,BD!$X$3:$X$5001,"&lt;&gt;")=0,"",SUMIFS(BD!$X$3:$X$5001,BD!$B$3:$B$5001,P$171,BD!$A$3:$A$5001,_xlfn.MAXIFS(BD!$A$3:$A$5001,BD!$B$3:$B$5001,P$171,BD!$A$3:$A$5001,"&gt;="&amp;$C$7,BD!$A$3:$A$5001,"&lt;="&amp;$B178,BD!$X$3:$X$5001,"&lt;&gt;"))))</f>
        <v/>
      </c>
      <c r="Q178" s="43" t="str">
        <f>IF(OR($B178="",$A178&gt;$B$9,Q$171=""),"",IF(COUNTIFS(BD!$B$3:$B$5001,Q$171,BD!$A$3:$A$5001,"&gt;="&amp;$C$7,BD!$A$3:$A$5001,"&lt;="&amp;$B178,BD!$X$3:$X$5001,"&lt;&gt;")=0,"",SUMIFS(BD!$X$3:$X$5001,BD!$B$3:$B$5001,Q$171,BD!$A$3:$A$5001,_xlfn.MAXIFS(BD!$A$3:$A$5001,BD!$B$3:$B$5001,Q$171,BD!$A$3:$A$5001,"&gt;="&amp;$C$7,BD!$A$3:$A$5001,"&lt;="&amp;$B178,BD!$X$3:$X$5001,"&lt;&gt;"))))</f>
        <v/>
      </c>
      <c r="R178" s="43" t="str">
        <f>IF(OR($B178="",$A178&gt;$B$9,R$171=""),"",IF(COUNTIFS(BD!$B$3:$B$5001,R$171,BD!$A$3:$A$5001,"&gt;="&amp;$C$7,BD!$A$3:$A$5001,"&lt;="&amp;$B178,BD!$X$3:$X$5001,"&lt;&gt;")=0,"",SUMIFS(BD!$X$3:$X$5001,BD!$B$3:$B$5001,R$171,BD!$A$3:$A$5001,_xlfn.MAXIFS(BD!$A$3:$A$5001,BD!$B$3:$B$5001,R$171,BD!$A$3:$A$5001,"&gt;="&amp;$C$7,BD!$A$3:$A$5001,"&lt;="&amp;$B178,BD!$X$3:$X$5001,"&lt;&gt;"))))</f>
        <v/>
      </c>
      <c r="S178" s="43" t="str">
        <f>IF(OR($B178="",$A178&gt;$B$9,S$171=""),"",IF(COUNTIFS(BD!$B$3:$B$5001,S$171,BD!$A$3:$A$5001,"&gt;="&amp;$C$7,BD!$A$3:$A$5001,"&lt;="&amp;$B178,BD!$X$3:$X$5001,"&lt;&gt;")=0,"",SUMIFS(BD!$X$3:$X$5001,BD!$B$3:$B$5001,S$171,BD!$A$3:$A$5001,_xlfn.MAXIFS(BD!$A$3:$A$5001,BD!$B$3:$B$5001,S$171,BD!$A$3:$A$5001,"&gt;="&amp;$C$7,BD!$A$3:$A$5001,"&lt;="&amp;$B178,BD!$X$3:$X$5001,"&lt;&gt;"))))</f>
        <v/>
      </c>
      <c r="T178" s="43" t="str">
        <f>IF(OR($B178="",$A178&gt;$B$9,T$171=""),"",IF(COUNTIFS(BD!$B$3:$B$5001,T$171,BD!$A$3:$A$5001,"&gt;="&amp;$C$7,BD!$A$3:$A$5001,"&lt;="&amp;$B178,BD!$X$3:$X$5001,"&lt;&gt;")=0,"",SUMIFS(BD!$X$3:$X$5001,BD!$B$3:$B$5001,T$171,BD!$A$3:$A$5001,_xlfn.MAXIFS(BD!$A$3:$A$5001,BD!$B$3:$B$5001,T$171,BD!$A$3:$A$5001,"&gt;="&amp;$C$7,BD!$A$3:$A$5001,"&lt;="&amp;$B178,BD!$X$3:$X$5001,"&lt;&gt;"))))</f>
        <v/>
      </c>
      <c r="U178" s="43" t="str">
        <f>IF(OR($B178="",$A178&gt;$B$9,U$171=""),"",IF(COUNTIFS(BD!$B$3:$B$5001,U$171,BD!$A$3:$A$5001,"&gt;="&amp;$C$7,BD!$A$3:$A$5001,"&lt;="&amp;$B178,BD!$X$3:$X$5001,"&lt;&gt;")=0,"",SUMIFS(BD!$X$3:$X$5001,BD!$B$3:$B$5001,U$171,BD!$A$3:$A$5001,_xlfn.MAXIFS(BD!$A$3:$A$5001,BD!$B$3:$B$5001,U$171,BD!$A$3:$A$5001,"&gt;="&amp;$C$7,BD!$A$3:$A$5001,"&lt;="&amp;$B178,BD!$X$3:$X$5001,"&lt;&gt;"))))</f>
        <v/>
      </c>
      <c r="V178" s="43" t="str">
        <f>IF(OR($B178="",$A178&gt;$B$9,V$171=""),"",IF(COUNTIFS(BD!$B$3:$B$5001,V$171,BD!$A$3:$A$5001,"&gt;="&amp;$C$7,BD!$A$3:$A$5001,"&lt;="&amp;$B178,BD!$X$3:$X$5001,"&lt;&gt;")=0,"",SUMIFS(BD!$X$3:$X$5001,BD!$B$3:$B$5001,V$171,BD!$A$3:$A$5001,_xlfn.MAXIFS(BD!$A$3:$A$5001,BD!$B$3:$B$5001,V$171,BD!$A$3:$A$5001,"&gt;="&amp;$C$7,BD!$A$3:$A$5001,"&lt;="&amp;$B178,BD!$X$3:$X$5001,"&lt;&gt;"))))</f>
        <v/>
      </c>
    </row>
    <row r="179">
      <c r="A179" s="38">
        <v>8</v>
      </c>
      <c r="B179" s="42">
        <f>$B$19</f>
        <v>46303</v>
      </c>
      <c r="C179" s="43" t="str">
        <f>IF(OR($B179="",$A179&gt;$B$9,C$171=""),"",IF(COUNTIFS(BD!$B$3:$B$5001,C$171,BD!$A$3:$A$5001,"&gt;="&amp;$C$7,BD!$A$3:$A$5001,"&lt;="&amp;$B179,BD!$X$3:$X$5001,"&lt;&gt;")=0,"",SUMIFS(BD!$X$3:$X$5001,BD!$B$3:$B$5001,C$171,BD!$A$3:$A$5001,_xlfn.MAXIFS(BD!$A$3:$A$5001,BD!$B$3:$B$5001,C$171,BD!$A$3:$A$5001,"&gt;="&amp;$C$7,BD!$A$3:$A$5001,"&lt;="&amp;$B179,BD!$X$3:$X$5001,"&lt;&gt;"))))</f>
        <v/>
      </c>
      <c r="D179" s="43" t="str">
        <f>IF(OR($B179="",$A179&gt;$B$9,D$171=""),"",IF(COUNTIFS(BD!$B$3:$B$5001,D$171,BD!$A$3:$A$5001,"&gt;="&amp;$C$7,BD!$A$3:$A$5001,"&lt;="&amp;$B179,BD!$X$3:$X$5001,"&lt;&gt;")=0,"",SUMIFS(BD!$X$3:$X$5001,BD!$B$3:$B$5001,D$171,BD!$A$3:$A$5001,_xlfn.MAXIFS(BD!$A$3:$A$5001,BD!$B$3:$B$5001,D$171,BD!$A$3:$A$5001,"&gt;="&amp;$C$7,BD!$A$3:$A$5001,"&lt;="&amp;$B179,BD!$X$3:$X$5001,"&lt;&gt;"))))</f>
        <v/>
      </c>
      <c r="E179" s="43" t="str">
        <f>IF(OR($B179="",$A179&gt;$B$9,E$171=""),"",IF(COUNTIFS(BD!$B$3:$B$5001,E$171,BD!$A$3:$A$5001,"&gt;="&amp;$C$7,BD!$A$3:$A$5001,"&lt;="&amp;$B179,BD!$X$3:$X$5001,"&lt;&gt;")=0,"",SUMIFS(BD!$X$3:$X$5001,BD!$B$3:$B$5001,E$171,BD!$A$3:$A$5001,_xlfn.MAXIFS(BD!$A$3:$A$5001,BD!$B$3:$B$5001,E$171,BD!$A$3:$A$5001,"&gt;="&amp;$C$7,BD!$A$3:$A$5001,"&lt;="&amp;$B179,BD!$X$3:$X$5001,"&lt;&gt;"))))</f>
        <v/>
      </c>
      <c r="F179" s="43" t="str">
        <f>IF(OR($B179="",$A179&gt;$B$9,F$171=""),"",IF(COUNTIFS(BD!$B$3:$B$5001,F$171,BD!$A$3:$A$5001,"&gt;="&amp;$C$7,BD!$A$3:$A$5001,"&lt;="&amp;$B179,BD!$X$3:$X$5001,"&lt;&gt;")=0,"",SUMIFS(BD!$X$3:$X$5001,BD!$B$3:$B$5001,F$171,BD!$A$3:$A$5001,_xlfn.MAXIFS(BD!$A$3:$A$5001,BD!$B$3:$B$5001,F$171,BD!$A$3:$A$5001,"&gt;="&amp;$C$7,BD!$A$3:$A$5001,"&lt;="&amp;$B179,BD!$X$3:$X$5001,"&lt;&gt;"))))</f>
        <v/>
      </c>
      <c r="G179" s="43" t="str">
        <f>IF(OR($B179="",$A179&gt;$B$9,G$171=""),"",IF(COUNTIFS(BD!$B$3:$B$5001,G$171,BD!$A$3:$A$5001,"&gt;="&amp;$C$7,BD!$A$3:$A$5001,"&lt;="&amp;$B179,BD!$X$3:$X$5001,"&lt;&gt;")=0,"",SUMIFS(BD!$X$3:$X$5001,BD!$B$3:$B$5001,G$171,BD!$A$3:$A$5001,_xlfn.MAXIFS(BD!$A$3:$A$5001,BD!$B$3:$B$5001,G$171,BD!$A$3:$A$5001,"&gt;="&amp;$C$7,BD!$A$3:$A$5001,"&lt;="&amp;$B179,BD!$X$3:$X$5001,"&lt;&gt;"))))</f>
        <v/>
      </c>
      <c r="H179" s="43" t="str">
        <f>IF(OR($B179="",$A179&gt;$B$9,H$171=""),"",IF(COUNTIFS(BD!$B$3:$B$5001,H$171,BD!$A$3:$A$5001,"&gt;="&amp;$C$7,BD!$A$3:$A$5001,"&lt;="&amp;$B179,BD!$X$3:$X$5001,"&lt;&gt;")=0,"",SUMIFS(BD!$X$3:$X$5001,BD!$B$3:$B$5001,H$171,BD!$A$3:$A$5001,_xlfn.MAXIFS(BD!$A$3:$A$5001,BD!$B$3:$B$5001,H$171,BD!$A$3:$A$5001,"&gt;="&amp;$C$7,BD!$A$3:$A$5001,"&lt;="&amp;$B179,BD!$X$3:$X$5001,"&lt;&gt;"))))</f>
        <v/>
      </c>
      <c r="I179" s="43" t="str">
        <f>IF(OR($B179="",$A179&gt;$B$9,I$171=""),"",IF(COUNTIFS(BD!$B$3:$B$5001,I$171,BD!$A$3:$A$5001,"&gt;="&amp;$C$7,BD!$A$3:$A$5001,"&lt;="&amp;$B179,BD!$X$3:$X$5001,"&lt;&gt;")=0,"",SUMIFS(BD!$X$3:$X$5001,BD!$B$3:$B$5001,I$171,BD!$A$3:$A$5001,_xlfn.MAXIFS(BD!$A$3:$A$5001,BD!$B$3:$B$5001,I$171,BD!$A$3:$A$5001,"&gt;="&amp;$C$7,BD!$A$3:$A$5001,"&lt;="&amp;$B179,BD!$X$3:$X$5001,"&lt;&gt;"))))</f>
        <v/>
      </c>
      <c r="J179" s="43" t="str">
        <f>IF(OR($B179="",$A179&gt;$B$9,J$171=""),"",IF(COUNTIFS(BD!$B$3:$B$5001,J$171,BD!$A$3:$A$5001,"&gt;="&amp;$C$7,BD!$A$3:$A$5001,"&lt;="&amp;$B179,BD!$X$3:$X$5001,"&lt;&gt;")=0,"",SUMIFS(BD!$X$3:$X$5001,BD!$B$3:$B$5001,J$171,BD!$A$3:$A$5001,_xlfn.MAXIFS(BD!$A$3:$A$5001,BD!$B$3:$B$5001,J$171,BD!$A$3:$A$5001,"&gt;="&amp;$C$7,BD!$A$3:$A$5001,"&lt;="&amp;$B179,BD!$X$3:$X$5001,"&lt;&gt;"))))</f>
        <v/>
      </c>
      <c r="K179" s="43" t="str">
        <f>IF(OR($B179="",$A179&gt;$B$9,K$171=""),"",IF(COUNTIFS(BD!$B$3:$B$5001,K$171,BD!$A$3:$A$5001,"&gt;="&amp;$C$7,BD!$A$3:$A$5001,"&lt;="&amp;$B179,BD!$X$3:$X$5001,"&lt;&gt;")=0,"",SUMIFS(BD!$X$3:$X$5001,BD!$B$3:$B$5001,K$171,BD!$A$3:$A$5001,_xlfn.MAXIFS(BD!$A$3:$A$5001,BD!$B$3:$B$5001,K$171,BD!$A$3:$A$5001,"&gt;="&amp;$C$7,BD!$A$3:$A$5001,"&lt;="&amp;$B179,BD!$X$3:$X$5001,"&lt;&gt;"))))</f>
        <v/>
      </c>
      <c r="L179" s="43" t="str">
        <f>IF(OR($B179="",$A179&gt;$B$9,L$171=""),"",IF(COUNTIFS(BD!$B$3:$B$5001,L$171,BD!$A$3:$A$5001,"&gt;="&amp;$C$7,BD!$A$3:$A$5001,"&lt;="&amp;$B179,BD!$X$3:$X$5001,"&lt;&gt;")=0,"",SUMIFS(BD!$X$3:$X$5001,BD!$B$3:$B$5001,L$171,BD!$A$3:$A$5001,_xlfn.MAXIFS(BD!$A$3:$A$5001,BD!$B$3:$B$5001,L$171,BD!$A$3:$A$5001,"&gt;="&amp;$C$7,BD!$A$3:$A$5001,"&lt;="&amp;$B179,BD!$X$3:$X$5001,"&lt;&gt;"))))</f>
        <v/>
      </c>
      <c r="M179" s="43" t="str">
        <f>IF(OR($B179="",$A179&gt;$B$9,M$171=""),"",IF(COUNTIFS(BD!$B$3:$B$5001,M$171,BD!$A$3:$A$5001,"&gt;="&amp;$C$7,BD!$A$3:$A$5001,"&lt;="&amp;$B179,BD!$X$3:$X$5001,"&lt;&gt;")=0,"",SUMIFS(BD!$X$3:$X$5001,BD!$B$3:$B$5001,M$171,BD!$A$3:$A$5001,_xlfn.MAXIFS(BD!$A$3:$A$5001,BD!$B$3:$B$5001,M$171,BD!$A$3:$A$5001,"&gt;="&amp;$C$7,BD!$A$3:$A$5001,"&lt;="&amp;$B179,BD!$X$3:$X$5001,"&lt;&gt;"))))</f>
        <v/>
      </c>
      <c r="N179" s="43" t="str">
        <f>IF(OR($B179="",$A179&gt;$B$9,N$171=""),"",IF(COUNTIFS(BD!$B$3:$B$5001,N$171,BD!$A$3:$A$5001,"&gt;="&amp;$C$7,BD!$A$3:$A$5001,"&lt;="&amp;$B179,BD!$X$3:$X$5001,"&lt;&gt;")=0,"",SUMIFS(BD!$X$3:$X$5001,BD!$B$3:$B$5001,N$171,BD!$A$3:$A$5001,_xlfn.MAXIFS(BD!$A$3:$A$5001,BD!$B$3:$B$5001,N$171,BD!$A$3:$A$5001,"&gt;="&amp;$C$7,BD!$A$3:$A$5001,"&lt;="&amp;$B179,BD!$X$3:$X$5001,"&lt;&gt;"))))</f>
        <v/>
      </c>
      <c r="O179" s="43" t="str">
        <f>IF(OR($B179="",$A179&gt;$B$9,O$171=""),"",IF(COUNTIFS(BD!$B$3:$B$5001,O$171,BD!$A$3:$A$5001,"&gt;="&amp;$C$7,BD!$A$3:$A$5001,"&lt;="&amp;$B179,BD!$X$3:$X$5001,"&lt;&gt;")=0,"",SUMIFS(BD!$X$3:$X$5001,BD!$B$3:$B$5001,O$171,BD!$A$3:$A$5001,_xlfn.MAXIFS(BD!$A$3:$A$5001,BD!$B$3:$B$5001,O$171,BD!$A$3:$A$5001,"&gt;="&amp;$C$7,BD!$A$3:$A$5001,"&lt;="&amp;$B179,BD!$X$3:$X$5001,"&lt;&gt;"))))</f>
        <v/>
      </c>
      <c r="P179" s="43" t="str">
        <f>IF(OR($B179="",$A179&gt;$B$9,P$171=""),"",IF(COUNTIFS(BD!$B$3:$B$5001,P$171,BD!$A$3:$A$5001,"&gt;="&amp;$C$7,BD!$A$3:$A$5001,"&lt;="&amp;$B179,BD!$X$3:$X$5001,"&lt;&gt;")=0,"",SUMIFS(BD!$X$3:$X$5001,BD!$B$3:$B$5001,P$171,BD!$A$3:$A$5001,_xlfn.MAXIFS(BD!$A$3:$A$5001,BD!$B$3:$B$5001,P$171,BD!$A$3:$A$5001,"&gt;="&amp;$C$7,BD!$A$3:$A$5001,"&lt;="&amp;$B179,BD!$X$3:$X$5001,"&lt;&gt;"))))</f>
        <v/>
      </c>
      <c r="Q179" s="43" t="str">
        <f>IF(OR($B179="",$A179&gt;$B$9,Q$171=""),"",IF(COUNTIFS(BD!$B$3:$B$5001,Q$171,BD!$A$3:$A$5001,"&gt;="&amp;$C$7,BD!$A$3:$A$5001,"&lt;="&amp;$B179,BD!$X$3:$X$5001,"&lt;&gt;")=0,"",SUMIFS(BD!$X$3:$X$5001,BD!$B$3:$B$5001,Q$171,BD!$A$3:$A$5001,_xlfn.MAXIFS(BD!$A$3:$A$5001,BD!$B$3:$B$5001,Q$171,BD!$A$3:$A$5001,"&gt;="&amp;$C$7,BD!$A$3:$A$5001,"&lt;="&amp;$B179,BD!$X$3:$X$5001,"&lt;&gt;"))))</f>
        <v/>
      </c>
      <c r="R179" s="43" t="str">
        <f>IF(OR($B179="",$A179&gt;$B$9,R$171=""),"",IF(COUNTIFS(BD!$B$3:$B$5001,R$171,BD!$A$3:$A$5001,"&gt;="&amp;$C$7,BD!$A$3:$A$5001,"&lt;="&amp;$B179,BD!$X$3:$X$5001,"&lt;&gt;")=0,"",SUMIFS(BD!$X$3:$X$5001,BD!$B$3:$B$5001,R$171,BD!$A$3:$A$5001,_xlfn.MAXIFS(BD!$A$3:$A$5001,BD!$B$3:$B$5001,R$171,BD!$A$3:$A$5001,"&gt;="&amp;$C$7,BD!$A$3:$A$5001,"&lt;="&amp;$B179,BD!$X$3:$X$5001,"&lt;&gt;"))))</f>
        <v/>
      </c>
      <c r="S179" s="43" t="str">
        <f>IF(OR($B179="",$A179&gt;$B$9,S$171=""),"",IF(COUNTIFS(BD!$B$3:$B$5001,S$171,BD!$A$3:$A$5001,"&gt;="&amp;$C$7,BD!$A$3:$A$5001,"&lt;="&amp;$B179,BD!$X$3:$X$5001,"&lt;&gt;")=0,"",SUMIFS(BD!$X$3:$X$5001,BD!$B$3:$B$5001,S$171,BD!$A$3:$A$5001,_xlfn.MAXIFS(BD!$A$3:$A$5001,BD!$B$3:$B$5001,S$171,BD!$A$3:$A$5001,"&gt;="&amp;$C$7,BD!$A$3:$A$5001,"&lt;="&amp;$B179,BD!$X$3:$X$5001,"&lt;&gt;"))))</f>
        <v/>
      </c>
      <c r="T179" s="43" t="str">
        <f>IF(OR($B179="",$A179&gt;$B$9,T$171=""),"",IF(COUNTIFS(BD!$B$3:$B$5001,T$171,BD!$A$3:$A$5001,"&gt;="&amp;$C$7,BD!$A$3:$A$5001,"&lt;="&amp;$B179,BD!$X$3:$X$5001,"&lt;&gt;")=0,"",SUMIFS(BD!$X$3:$X$5001,BD!$B$3:$B$5001,T$171,BD!$A$3:$A$5001,_xlfn.MAXIFS(BD!$A$3:$A$5001,BD!$B$3:$B$5001,T$171,BD!$A$3:$A$5001,"&gt;="&amp;$C$7,BD!$A$3:$A$5001,"&lt;="&amp;$B179,BD!$X$3:$X$5001,"&lt;&gt;"))))</f>
        <v/>
      </c>
      <c r="U179" s="43" t="str">
        <f>IF(OR($B179="",$A179&gt;$B$9,U$171=""),"",IF(COUNTIFS(BD!$B$3:$B$5001,U$171,BD!$A$3:$A$5001,"&gt;="&amp;$C$7,BD!$A$3:$A$5001,"&lt;="&amp;$B179,BD!$X$3:$X$5001,"&lt;&gt;")=0,"",SUMIFS(BD!$X$3:$X$5001,BD!$B$3:$B$5001,U$171,BD!$A$3:$A$5001,_xlfn.MAXIFS(BD!$A$3:$A$5001,BD!$B$3:$B$5001,U$171,BD!$A$3:$A$5001,"&gt;="&amp;$C$7,BD!$A$3:$A$5001,"&lt;="&amp;$B179,BD!$X$3:$X$5001,"&lt;&gt;"))))</f>
        <v/>
      </c>
      <c r="V179" s="43" t="str">
        <f>IF(OR($B179="",$A179&gt;$B$9,V$171=""),"",IF(COUNTIFS(BD!$B$3:$B$5001,V$171,BD!$A$3:$A$5001,"&gt;="&amp;$C$7,BD!$A$3:$A$5001,"&lt;="&amp;$B179,BD!$X$3:$X$5001,"&lt;&gt;")=0,"",SUMIFS(BD!$X$3:$X$5001,BD!$B$3:$B$5001,V$171,BD!$A$3:$A$5001,_xlfn.MAXIFS(BD!$A$3:$A$5001,BD!$B$3:$B$5001,V$171,BD!$A$3:$A$5001,"&gt;="&amp;$C$7,BD!$A$3:$A$5001,"&lt;="&amp;$B179,BD!$X$3:$X$5001,"&lt;&gt;"))))</f>
        <v/>
      </c>
    </row>
    <row r="180">
      <c r="A180" s="38">
        <v>9</v>
      </c>
      <c r="B180" s="42">
        <f>$B$20</f>
        <v>46304</v>
      </c>
      <c r="C180" s="43" t="str">
        <f>IF(OR($B180="",$A180&gt;$B$9,C$171=""),"",IF(COUNTIFS(BD!$B$3:$B$5001,C$171,BD!$A$3:$A$5001,"&gt;="&amp;$C$7,BD!$A$3:$A$5001,"&lt;="&amp;$B180,BD!$X$3:$X$5001,"&lt;&gt;")=0,"",SUMIFS(BD!$X$3:$X$5001,BD!$B$3:$B$5001,C$171,BD!$A$3:$A$5001,_xlfn.MAXIFS(BD!$A$3:$A$5001,BD!$B$3:$B$5001,C$171,BD!$A$3:$A$5001,"&gt;="&amp;$C$7,BD!$A$3:$A$5001,"&lt;="&amp;$B180,BD!$X$3:$X$5001,"&lt;&gt;"))))</f>
        <v/>
      </c>
      <c r="D180" s="43" t="str">
        <f>IF(OR($B180="",$A180&gt;$B$9,D$171=""),"",IF(COUNTIFS(BD!$B$3:$B$5001,D$171,BD!$A$3:$A$5001,"&gt;="&amp;$C$7,BD!$A$3:$A$5001,"&lt;="&amp;$B180,BD!$X$3:$X$5001,"&lt;&gt;")=0,"",SUMIFS(BD!$X$3:$X$5001,BD!$B$3:$B$5001,D$171,BD!$A$3:$A$5001,_xlfn.MAXIFS(BD!$A$3:$A$5001,BD!$B$3:$B$5001,D$171,BD!$A$3:$A$5001,"&gt;="&amp;$C$7,BD!$A$3:$A$5001,"&lt;="&amp;$B180,BD!$X$3:$X$5001,"&lt;&gt;"))))</f>
        <v/>
      </c>
      <c r="E180" s="43" t="str">
        <f>IF(OR($B180="",$A180&gt;$B$9,E$171=""),"",IF(COUNTIFS(BD!$B$3:$B$5001,E$171,BD!$A$3:$A$5001,"&gt;="&amp;$C$7,BD!$A$3:$A$5001,"&lt;="&amp;$B180,BD!$X$3:$X$5001,"&lt;&gt;")=0,"",SUMIFS(BD!$X$3:$X$5001,BD!$B$3:$B$5001,E$171,BD!$A$3:$A$5001,_xlfn.MAXIFS(BD!$A$3:$A$5001,BD!$B$3:$B$5001,E$171,BD!$A$3:$A$5001,"&gt;="&amp;$C$7,BD!$A$3:$A$5001,"&lt;="&amp;$B180,BD!$X$3:$X$5001,"&lt;&gt;"))))</f>
        <v/>
      </c>
      <c r="F180" s="43" t="str">
        <f>IF(OR($B180="",$A180&gt;$B$9,F$171=""),"",IF(COUNTIFS(BD!$B$3:$B$5001,F$171,BD!$A$3:$A$5001,"&gt;="&amp;$C$7,BD!$A$3:$A$5001,"&lt;="&amp;$B180,BD!$X$3:$X$5001,"&lt;&gt;")=0,"",SUMIFS(BD!$X$3:$X$5001,BD!$B$3:$B$5001,F$171,BD!$A$3:$A$5001,_xlfn.MAXIFS(BD!$A$3:$A$5001,BD!$B$3:$B$5001,F$171,BD!$A$3:$A$5001,"&gt;="&amp;$C$7,BD!$A$3:$A$5001,"&lt;="&amp;$B180,BD!$X$3:$X$5001,"&lt;&gt;"))))</f>
        <v/>
      </c>
      <c r="G180" s="43" t="str">
        <f>IF(OR($B180="",$A180&gt;$B$9,G$171=""),"",IF(COUNTIFS(BD!$B$3:$B$5001,G$171,BD!$A$3:$A$5001,"&gt;="&amp;$C$7,BD!$A$3:$A$5001,"&lt;="&amp;$B180,BD!$X$3:$X$5001,"&lt;&gt;")=0,"",SUMIFS(BD!$X$3:$X$5001,BD!$B$3:$B$5001,G$171,BD!$A$3:$A$5001,_xlfn.MAXIFS(BD!$A$3:$A$5001,BD!$B$3:$B$5001,G$171,BD!$A$3:$A$5001,"&gt;="&amp;$C$7,BD!$A$3:$A$5001,"&lt;="&amp;$B180,BD!$X$3:$X$5001,"&lt;&gt;"))))</f>
        <v/>
      </c>
      <c r="H180" s="43" t="str">
        <f>IF(OR($B180="",$A180&gt;$B$9,H$171=""),"",IF(COUNTIFS(BD!$B$3:$B$5001,H$171,BD!$A$3:$A$5001,"&gt;="&amp;$C$7,BD!$A$3:$A$5001,"&lt;="&amp;$B180,BD!$X$3:$X$5001,"&lt;&gt;")=0,"",SUMIFS(BD!$X$3:$X$5001,BD!$B$3:$B$5001,H$171,BD!$A$3:$A$5001,_xlfn.MAXIFS(BD!$A$3:$A$5001,BD!$B$3:$B$5001,H$171,BD!$A$3:$A$5001,"&gt;="&amp;$C$7,BD!$A$3:$A$5001,"&lt;="&amp;$B180,BD!$X$3:$X$5001,"&lt;&gt;"))))</f>
        <v/>
      </c>
      <c r="I180" s="43" t="str">
        <f>IF(OR($B180="",$A180&gt;$B$9,I$171=""),"",IF(COUNTIFS(BD!$B$3:$B$5001,I$171,BD!$A$3:$A$5001,"&gt;="&amp;$C$7,BD!$A$3:$A$5001,"&lt;="&amp;$B180,BD!$X$3:$X$5001,"&lt;&gt;")=0,"",SUMIFS(BD!$X$3:$X$5001,BD!$B$3:$B$5001,I$171,BD!$A$3:$A$5001,_xlfn.MAXIFS(BD!$A$3:$A$5001,BD!$B$3:$B$5001,I$171,BD!$A$3:$A$5001,"&gt;="&amp;$C$7,BD!$A$3:$A$5001,"&lt;="&amp;$B180,BD!$X$3:$X$5001,"&lt;&gt;"))))</f>
        <v/>
      </c>
      <c r="J180" s="43" t="str">
        <f>IF(OR($B180="",$A180&gt;$B$9,J$171=""),"",IF(COUNTIFS(BD!$B$3:$B$5001,J$171,BD!$A$3:$A$5001,"&gt;="&amp;$C$7,BD!$A$3:$A$5001,"&lt;="&amp;$B180,BD!$X$3:$X$5001,"&lt;&gt;")=0,"",SUMIFS(BD!$X$3:$X$5001,BD!$B$3:$B$5001,J$171,BD!$A$3:$A$5001,_xlfn.MAXIFS(BD!$A$3:$A$5001,BD!$B$3:$B$5001,J$171,BD!$A$3:$A$5001,"&gt;="&amp;$C$7,BD!$A$3:$A$5001,"&lt;="&amp;$B180,BD!$X$3:$X$5001,"&lt;&gt;"))))</f>
        <v/>
      </c>
      <c r="K180" s="43" t="str">
        <f>IF(OR($B180="",$A180&gt;$B$9,K$171=""),"",IF(COUNTIFS(BD!$B$3:$B$5001,K$171,BD!$A$3:$A$5001,"&gt;="&amp;$C$7,BD!$A$3:$A$5001,"&lt;="&amp;$B180,BD!$X$3:$X$5001,"&lt;&gt;")=0,"",SUMIFS(BD!$X$3:$X$5001,BD!$B$3:$B$5001,K$171,BD!$A$3:$A$5001,_xlfn.MAXIFS(BD!$A$3:$A$5001,BD!$B$3:$B$5001,K$171,BD!$A$3:$A$5001,"&gt;="&amp;$C$7,BD!$A$3:$A$5001,"&lt;="&amp;$B180,BD!$X$3:$X$5001,"&lt;&gt;"))))</f>
        <v/>
      </c>
      <c r="L180" s="43" t="str">
        <f>IF(OR($B180="",$A180&gt;$B$9,L$171=""),"",IF(COUNTIFS(BD!$B$3:$B$5001,L$171,BD!$A$3:$A$5001,"&gt;="&amp;$C$7,BD!$A$3:$A$5001,"&lt;="&amp;$B180,BD!$X$3:$X$5001,"&lt;&gt;")=0,"",SUMIFS(BD!$X$3:$X$5001,BD!$B$3:$B$5001,L$171,BD!$A$3:$A$5001,_xlfn.MAXIFS(BD!$A$3:$A$5001,BD!$B$3:$B$5001,L$171,BD!$A$3:$A$5001,"&gt;="&amp;$C$7,BD!$A$3:$A$5001,"&lt;="&amp;$B180,BD!$X$3:$X$5001,"&lt;&gt;"))))</f>
        <v/>
      </c>
      <c r="M180" s="43" t="str">
        <f>IF(OR($B180="",$A180&gt;$B$9,M$171=""),"",IF(COUNTIFS(BD!$B$3:$B$5001,M$171,BD!$A$3:$A$5001,"&gt;="&amp;$C$7,BD!$A$3:$A$5001,"&lt;="&amp;$B180,BD!$X$3:$X$5001,"&lt;&gt;")=0,"",SUMIFS(BD!$X$3:$X$5001,BD!$B$3:$B$5001,M$171,BD!$A$3:$A$5001,_xlfn.MAXIFS(BD!$A$3:$A$5001,BD!$B$3:$B$5001,M$171,BD!$A$3:$A$5001,"&gt;="&amp;$C$7,BD!$A$3:$A$5001,"&lt;="&amp;$B180,BD!$X$3:$X$5001,"&lt;&gt;"))))</f>
        <v/>
      </c>
      <c r="N180" s="43" t="str">
        <f>IF(OR($B180="",$A180&gt;$B$9,N$171=""),"",IF(COUNTIFS(BD!$B$3:$B$5001,N$171,BD!$A$3:$A$5001,"&gt;="&amp;$C$7,BD!$A$3:$A$5001,"&lt;="&amp;$B180,BD!$X$3:$X$5001,"&lt;&gt;")=0,"",SUMIFS(BD!$X$3:$X$5001,BD!$B$3:$B$5001,N$171,BD!$A$3:$A$5001,_xlfn.MAXIFS(BD!$A$3:$A$5001,BD!$B$3:$B$5001,N$171,BD!$A$3:$A$5001,"&gt;="&amp;$C$7,BD!$A$3:$A$5001,"&lt;="&amp;$B180,BD!$X$3:$X$5001,"&lt;&gt;"))))</f>
        <v/>
      </c>
      <c r="O180" s="43" t="str">
        <f>IF(OR($B180="",$A180&gt;$B$9,O$171=""),"",IF(COUNTIFS(BD!$B$3:$B$5001,O$171,BD!$A$3:$A$5001,"&gt;="&amp;$C$7,BD!$A$3:$A$5001,"&lt;="&amp;$B180,BD!$X$3:$X$5001,"&lt;&gt;")=0,"",SUMIFS(BD!$X$3:$X$5001,BD!$B$3:$B$5001,O$171,BD!$A$3:$A$5001,_xlfn.MAXIFS(BD!$A$3:$A$5001,BD!$B$3:$B$5001,O$171,BD!$A$3:$A$5001,"&gt;="&amp;$C$7,BD!$A$3:$A$5001,"&lt;="&amp;$B180,BD!$X$3:$X$5001,"&lt;&gt;"))))</f>
        <v/>
      </c>
      <c r="P180" s="43" t="str">
        <f>IF(OR($B180="",$A180&gt;$B$9,P$171=""),"",IF(COUNTIFS(BD!$B$3:$B$5001,P$171,BD!$A$3:$A$5001,"&gt;="&amp;$C$7,BD!$A$3:$A$5001,"&lt;="&amp;$B180,BD!$X$3:$X$5001,"&lt;&gt;")=0,"",SUMIFS(BD!$X$3:$X$5001,BD!$B$3:$B$5001,P$171,BD!$A$3:$A$5001,_xlfn.MAXIFS(BD!$A$3:$A$5001,BD!$B$3:$B$5001,P$171,BD!$A$3:$A$5001,"&gt;="&amp;$C$7,BD!$A$3:$A$5001,"&lt;="&amp;$B180,BD!$X$3:$X$5001,"&lt;&gt;"))))</f>
        <v/>
      </c>
      <c r="Q180" s="43" t="str">
        <f>IF(OR($B180="",$A180&gt;$B$9,Q$171=""),"",IF(COUNTIFS(BD!$B$3:$B$5001,Q$171,BD!$A$3:$A$5001,"&gt;="&amp;$C$7,BD!$A$3:$A$5001,"&lt;="&amp;$B180,BD!$X$3:$X$5001,"&lt;&gt;")=0,"",SUMIFS(BD!$X$3:$X$5001,BD!$B$3:$B$5001,Q$171,BD!$A$3:$A$5001,_xlfn.MAXIFS(BD!$A$3:$A$5001,BD!$B$3:$B$5001,Q$171,BD!$A$3:$A$5001,"&gt;="&amp;$C$7,BD!$A$3:$A$5001,"&lt;="&amp;$B180,BD!$X$3:$X$5001,"&lt;&gt;"))))</f>
        <v/>
      </c>
      <c r="R180" s="43" t="str">
        <f>IF(OR($B180="",$A180&gt;$B$9,R$171=""),"",IF(COUNTIFS(BD!$B$3:$B$5001,R$171,BD!$A$3:$A$5001,"&gt;="&amp;$C$7,BD!$A$3:$A$5001,"&lt;="&amp;$B180,BD!$X$3:$X$5001,"&lt;&gt;")=0,"",SUMIFS(BD!$X$3:$X$5001,BD!$B$3:$B$5001,R$171,BD!$A$3:$A$5001,_xlfn.MAXIFS(BD!$A$3:$A$5001,BD!$B$3:$B$5001,R$171,BD!$A$3:$A$5001,"&gt;="&amp;$C$7,BD!$A$3:$A$5001,"&lt;="&amp;$B180,BD!$X$3:$X$5001,"&lt;&gt;"))))</f>
        <v/>
      </c>
      <c r="S180" s="43" t="str">
        <f>IF(OR($B180="",$A180&gt;$B$9,S$171=""),"",IF(COUNTIFS(BD!$B$3:$B$5001,S$171,BD!$A$3:$A$5001,"&gt;="&amp;$C$7,BD!$A$3:$A$5001,"&lt;="&amp;$B180,BD!$X$3:$X$5001,"&lt;&gt;")=0,"",SUMIFS(BD!$X$3:$X$5001,BD!$B$3:$B$5001,S$171,BD!$A$3:$A$5001,_xlfn.MAXIFS(BD!$A$3:$A$5001,BD!$B$3:$B$5001,S$171,BD!$A$3:$A$5001,"&gt;="&amp;$C$7,BD!$A$3:$A$5001,"&lt;="&amp;$B180,BD!$X$3:$X$5001,"&lt;&gt;"))))</f>
        <v/>
      </c>
      <c r="T180" s="43" t="str">
        <f>IF(OR($B180="",$A180&gt;$B$9,T$171=""),"",IF(COUNTIFS(BD!$B$3:$B$5001,T$171,BD!$A$3:$A$5001,"&gt;="&amp;$C$7,BD!$A$3:$A$5001,"&lt;="&amp;$B180,BD!$X$3:$X$5001,"&lt;&gt;")=0,"",SUMIFS(BD!$X$3:$X$5001,BD!$B$3:$B$5001,T$171,BD!$A$3:$A$5001,_xlfn.MAXIFS(BD!$A$3:$A$5001,BD!$B$3:$B$5001,T$171,BD!$A$3:$A$5001,"&gt;="&amp;$C$7,BD!$A$3:$A$5001,"&lt;="&amp;$B180,BD!$X$3:$X$5001,"&lt;&gt;"))))</f>
        <v/>
      </c>
      <c r="U180" s="43" t="str">
        <f>IF(OR($B180="",$A180&gt;$B$9,U$171=""),"",IF(COUNTIFS(BD!$B$3:$B$5001,U$171,BD!$A$3:$A$5001,"&gt;="&amp;$C$7,BD!$A$3:$A$5001,"&lt;="&amp;$B180,BD!$X$3:$X$5001,"&lt;&gt;")=0,"",SUMIFS(BD!$X$3:$X$5001,BD!$B$3:$B$5001,U$171,BD!$A$3:$A$5001,_xlfn.MAXIFS(BD!$A$3:$A$5001,BD!$B$3:$B$5001,U$171,BD!$A$3:$A$5001,"&gt;="&amp;$C$7,BD!$A$3:$A$5001,"&lt;="&amp;$B180,BD!$X$3:$X$5001,"&lt;&gt;"))))</f>
        <v/>
      </c>
      <c r="V180" s="43" t="str">
        <f>IF(OR($B180="",$A180&gt;$B$9,V$171=""),"",IF(COUNTIFS(BD!$B$3:$B$5001,V$171,BD!$A$3:$A$5001,"&gt;="&amp;$C$7,BD!$A$3:$A$5001,"&lt;="&amp;$B180,BD!$X$3:$X$5001,"&lt;&gt;")=0,"",SUMIFS(BD!$X$3:$X$5001,BD!$B$3:$B$5001,V$171,BD!$A$3:$A$5001,_xlfn.MAXIFS(BD!$A$3:$A$5001,BD!$B$3:$B$5001,V$171,BD!$A$3:$A$5001,"&gt;="&amp;$C$7,BD!$A$3:$A$5001,"&lt;="&amp;$B180,BD!$X$3:$X$5001,"&lt;&gt;"))))</f>
        <v/>
      </c>
    </row>
    <row r="181">
      <c r="A181" s="38">
        <v>10</v>
      </c>
      <c r="B181" s="42">
        <f>$B$21</f>
        <v>46305</v>
      </c>
      <c r="C181" s="43" t="str">
        <f>IF(OR($B181="",$A181&gt;$B$9,C$171=""),"",IF(COUNTIFS(BD!$B$3:$B$5001,C$171,BD!$A$3:$A$5001,"&gt;="&amp;$C$7,BD!$A$3:$A$5001,"&lt;="&amp;$B181,BD!$X$3:$X$5001,"&lt;&gt;")=0,"",SUMIFS(BD!$X$3:$X$5001,BD!$B$3:$B$5001,C$171,BD!$A$3:$A$5001,_xlfn.MAXIFS(BD!$A$3:$A$5001,BD!$B$3:$B$5001,C$171,BD!$A$3:$A$5001,"&gt;="&amp;$C$7,BD!$A$3:$A$5001,"&lt;="&amp;$B181,BD!$X$3:$X$5001,"&lt;&gt;"))))</f>
        <v/>
      </c>
      <c r="D181" s="43" t="str">
        <f>IF(OR($B181="",$A181&gt;$B$9,D$171=""),"",IF(COUNTIFS(BD!$B$3:$B$5001,D$171,BD!$A$3:$A$5001,"&gt;="&amp;$C$7,BD!$A$3:$A$5001,"&lt;="&amp;$B181,BD!$X$3:$X$5001,"&lt;&gt;")=0,"",SUMIFS(BD!$X$3:$X$5001,BD!$B$3:$B$5001,D$171,BD!$A$3:$A$5001,_xlfn.MAXIFS(BD!$A$3:$A$5001,BD!$B$3:$B$5001,D$171,BD!$A$3:$A$5001,"&gt;="&amp;$C$7,BD!$A$3:$A$5001,"&lt;="&amp;$B181,BD!$X$3:$X$5001,"&lt;&gt;"))))</f>
        <v/>
      </c>
      <c r="E181" s="43" t="str">
        <f>IF(OR($B181="",$A181&gt;$B$9,E$171=""),"",IF(COUNTIFS(BD!$B$3:$B$5001,E$171,BD!$A$3:$A$5001,"&gt;="&amp;$C$7,BD!$A$3:$A$5001,"&lt;="&amp;$B181,BD!$X$3:$X$5001,"&lt;&gt;")=0,"",SUMIFS(BD!$X$3:$X$5001,BD!$B$3:$B$5001,E$171,BD!$A$3:$A$5001,_xlfn.MAXIFS(BD!$A$3:$A$5001,BD!$B$3:$B$5001,E$171,BD!$A$3:$A$5001,"&gt;="&amp;$C$7,BD!$A$3:$A$5001,"&lt;="&amp;$B181,BD!$X$3:$X$5001,"&lt;&gt;"))))</f>
        <v/>
      </c>
      <c r="F181" s="43" t="str">
        <f>IF(OR($B181="",$A181&gt;$B$9,F$171=""),"",IF(COUNTIFS(BD!$B$3:$B$5001,F$171,BD!$A$3:$A$5001,"&gt;="&amp;$C$7,BD!$A$3:$A$5001,"&lt;="&amp;$B181,BD!$X$3:$X$5001,"&lt;&gt;")=0,"",SUMIFS(BD!$X$3:$X$5001,BD!$B$3:$B$5001,F$171,BD!$A$3:$A$5001,_xlfn.MAXIFS(BD!$A$3:$A$5001,BD!$B$3:$B$5001,F$171,BD!$A$3:$A$5001,"&gt;="&amp;$C$7,BD!$A$3:$A$5001,"&lt;="&amp;$B181,BD!$X$3:$X$5001,"&lt;&gt;"))))</f>
        <v/>
      </c>
      <c r="G181" s="43" t="str">
        <f>IF(OR($B181="",$A181&gt;$B$9,G$171=""),"",IF(COUNTIFS(BD!$B$3:$B$5001,G$171,BD!$A$3:$A$5001,"&gt;="&amp;$C$7,BD!$A$3:$A$5001,"&lt;="&amp;$B181,BD!$X$3:$X$5001,"&lt;&gt;")=0,"",SUMIFS(BD!$X$3:$X$5001,BD!$B$3:$B$5001,G$171,BD!$A$3:$A$5001,_xlfn.MAXIFS(BD!$A$3:$A$5001,BD!$B$3:$B$5001,G$171,BD!$A$3:$A$5001,"&gt;="&amp;$C$7,BD!$A$3:$A$5001,"&lt;="&amp;$B181,BD!$X$3:$X$5001,"&lt;&gt;"))))</f>
        <v/>
      </c>
      <c r="H181" s="43" t="str">
        <f>IF(OR($B181="",$A181&gt;$B$9,H$171=""),"",IF(COUNTIFS(BD!$B$3:$B$5001,H$171,BD!$A$3:$A$5001,"&gt;="&amp;$C$7,BD!$A$3:$A$5001,"&lt;="&amp;$B181,BD!$X$3:$X$5001,"&lt;&gt;")=0,"",SUMIFS(BD!$X$3:$X$5001,BD!$B$3:$B$5001,H$171,BD!$A$3:$A$5001,_xlfn.MAXIFS(BD!$A$3:$A$5001,BD!$B$3:$B$5001,H$171,BD!$A$3:$A$5001,"&gt;="&amp;$C$7,BD!$A$3:$A$5001,"&lt;="&amp;$B181,BD!$X$3:$X$5001,"&lt;&gt;"))))</f>
        <v/>
      </c>
      <c r="I181" s="43" t="str">
        <f>IF(OR($B181="",$A181&gt;$B$9,I$171=""),"",IF(COUNTIFS(BD!$B$3:$B$5001,I$171,BD!$A$3:$A$5001,"&gt;="&amp;$C$7,BD!$A$3:$A$5001,"&lt;="&amp;$B181,BD!$X$3:$X$5001,"&lt;&gt;")=0,"",SUMIFS(BD!$X$3:$X$5001,BD!$B$3:$B$5001,I$171,BD!$A$3:$A$5001,_xlfn.MAXIFS(BD!$A$3:$A$5001,BD!$B$3:$B$5001,I$171,BD!$A$3:$A$5001,"&gt;="&amp;$C$7,BD!$A$3:$A$5001,"&lt;="&amp;$B181,BD!$X$3:$X$5001,"&lt;&gt;"))))</f>
        <v/>
      </c>
      <c r="J181" s="43" t="str">
        <f>IF(OR($B181="",$A181&gt;$B$9,J$171=""),"",IF(COUNTIFS(BD!$B$3:$B$5001,J$171,BD!$A$3:$A$5001,"&gt;="&amp;$C$7,BD!$A$3:$A$5001,"&lt;="&amp;$B181,BD!$X$3:$X$5001,"&lt;&gt;")=0,"",SUMIFS(BD!$X$3:$X$5001,BD!$B$3:$B$5001,J$171,BD!$A$3:$A$5001,_xlfn.MAXIFS(BD!$A$3:$A$5001,BD!$B$3:$B$5001,J$171,BD!$A$3:$A$5001,"&gt;="&amp;$C$7,BD!$A$3:$A$5001,"&lt;="&amp;$B181,BD!$X$3:$X$5001,"&lt;&gt;"))))</f>
        <v/>
      </c>
      <c r="K181" s="43" t="str">
        <f>IF(OR($B181="",$A181&gt;$B$9,K$171=""),"",IF(COUNTIFS(BD!$B$3:$B$5001,K$171,BD!$A$3:$A$5001,"&gt;="&amp;$C$7,BD!$A$3:$A$5001,"&lt;="&amp;$B181,BD!$X$3:$X$5001,"&lt;&gt;")=0,"",SUMIFS(BD!$X$3:$X$5001,BD!$B$3:$B$5001,K$171,BD!$A$3:$A$5001,_xlfn.MAXIFS(BD!$A$3:$A$5001,BD!$B$3:$B$5001,K$171,BD!$A$3:$A$5001,"&gt;="&amp;$C$7,BD!$A$3:$A$5001,"&lt;="&amp;$B181,BD!$X$3:$X$5001,"&lt;&gt;"))))</f>
        <v/>
      </c>
      <c r="L181" s="43" t="str">
        <f>IF(OR($B181="",$A181&gt;$B$9,L$171=""),"",IF(COUNTIFS(BD!$B$3:$B$5001,L$171,BD!$A$3:$A$5001,"&gt;="&amp;$C$7,BD!$A$3:$A$5001,"&lt;="&amp;$B181,BD!$X$3:$X$5001,"&lt;&gt;")=0,"",SUMIFS(BD!$X$3:$X$5001,BD!$B$3:$B$5001,L$171,BD!$A$3:$A$5001,_xlfn.MAXIFS(BD!$A$3:$A$5001,BD!$B$3:$B$5001,L$171,BD!$A$3:$A$5001,"&gt;="&amp;$C$7,BD!$A$3:$A$5001,"&lt;="&amp;$B181,BD!$X$3:$X$5001,"&lt;&gt;"))))</f>
        <v/>
      </c>
      <c r="M181" s="43" t="str">
        <f>IF(OR($B181="",$A181&gt;$B$9,M$171=""),"",IF(COUNTIFS(BD!$B$3:$B$5001,M$171,BD!$A$3:$A$5001,"&gt;="&amp;$C$7,BD!$A$3:$A$5001,"&lt;="&amp;$B181,BD!$X$3:$X$5001,"&lt;&gt;")=0,"",SUMIFS(BD!$X$3:$X$5001,BD!$B$3:$B$5001,M$171,BD!$A$3:$A$5001,_xlfn.MAXIFS(BD!$A$3:$A$5001,BD!$B$3:$B$5001,M$171,BD!$A$3:$A$5001,"&gt;="&amp;$C$7,BD!$A$3:$A$5001,"&lt;="&amp;$B181,BD!$X$3:$X$5001,"&lt;&gt;"))))</f>
        <v/>
      </c>
      <c r="N181" s="43" t="str">
        <f>IF(OR($B181="",$A181&gt;$B$9,N$171=""),"",IF(COUNTIFS(BD!$B$3:$B$5001,N$171,BD!$A$3:$A$5001,"&gt;="&amp;$C$7,BD!$A$3:$A$5001,"&lt;="&amp;$B181,BD!$X$3:$X$5001,"&lt;&gt;")=0,"",SUMIFS(BD!$X$3:$X$5001,BD!$B$3:$B$5001,N$171,BD!$A$3:$A$5001,_xlfn.MAXIFS(BD!$A$3:$A$5001,BD!$B$3:$B$5001,N$171,BD!$A$3:$A$5001,"&gt;="&amp;$C$7,BD!$A$3:$A$5001,"&lt;="&amp;$B181,BD!$X$3:$X$5001,"&lt;&gt;"))))</f>
        <v/>
      </c>
      <c r="O181" s="43" t="str">
        <f>IF(OR($B181="",$A181&gt;$B$9,O$171=""),"",IF(COUNTIFS(BD!$B$3:$B$5001,O$171,BD!$A$3:$A$5001,"&gt;="&amp;$C$7,BD!$A$3:$A$5001,"&lt;="&amp;$B181,BD!$X$3:$X$5001,"&lt;&gt;")=0,"",SUMIFS(BD!$X$3:$X$5001,BD!$B$3:$B$5001,O$171,BD!$A$3:$A$5001,_xlfn.MAXIFS(BD!$A$3:$A$5001,BD!$B$3:$B$5001,O$171,BD!$A$3:$A$5001,"&gt;="&amp;$C$7,BD!$A$3:$A$5001,"&lt;="&amp;$B181,BD!$X$3:$X$5001,"&lt;&gt;"))))</f>
        <v/>
      </c>
      <c r="P181" s="43" t="str">
        <f>IF(OR($B181="",$A181&gt;$B$9,P$171=""),"",IF(COUNTIFS(BD!$B$3:$B$5001,P$171,BD!$A$3:$A$5001,"&gt;="&amp;$C$7,BD!$A$3:$A$5001,"&lt;="&amp;$B181,BD!$X$3:$X$5001,"&lt;&gt;")=0,"",SUMIFS(BD!$X$3:$X$5001,BD!$B$3:$B$5001,P$171,BD!$A$3:$A$5001,_xlfn.MAXIFS(BD!$A$3:$A$5001,BD!$B$3:$B$5001,P$171,BD!$A$3:$A$5001,"&gt;="&amp;$C$7,BD!$A$3:$A$5001,"&lt;="&amp;$B181,BD!$X$3:$X$5001,"&lt;&gt;"))))</f>
        <v/>
      </c>
      <c r="Q181" s="43" t="str">
        <f>IF(OR($B181="",$A181&gt;$B$9,Q$171=""),"",IF(COUNTIFS(BD!$B$3:$B$5001,Q$171,BD!$A$3:$A$5001,"&gt;="&amp;$C$7,BD!$A$3:$A$5001,"&lt;="&amp;$B181,BD!$X$3:$X$5001,"&lt;&gt;")=0,"",SUMIFS(BD!$X$3:$X$5001,BD!$B$3:$B$5001,Q$171,BD!$A$3:$A$5001,_xlfn.MAXIFS(BD!$A$3:$A$5001,BD!$B$3:$B$5001,Q$171,BD!$A$3:$A$5001,"&gt;="&amp;$C$7,BD!$A$3:$A$5001,"&lt;="&amp;$B181,BD!$X$3:$X$5001,"&lt;&gt;"))))</f>
        <v/>
      </c>
      <c r="R181" s="43" t="str">
        <f>IF(OR($B181="",$A181&gt;$B$9,R$171=""),"",IF(COUNTIFS(BD!$B$3:$B$5001,R$171,BD!$A$3:$A$5001,"&gt;="&amp;$C$7,BD!$A$3:$A$5001,"&lt;="&amp;$B181,BD!$X$3:$X$5001,"&lt;&gt;")=0,"",SUMIFS(BD!$X$3:$X$5001,BD!$B$3:$B$5001,R$171,BD!$A$3:$A$5001,_xlfn.MAXIFS(BD!$A$3:$A$5001,BD!$B$3:$B$5001,R$171,BD!$A$3:$A$5001,"&gt;="&amp;$C$7,BD!$A$3:$A$5001,"&lt;="&amp;$B181,BD!$X$3:$X$5001,"&lt;&gt;"))))</f>
        <v/>
      </c>
      <c r="S181" s="43" t="str">
        <f>IF(OR($B181="",$A181&gt;$B$9,S$171=""),"",IF(COUNTIFS(BD!$B$3:$B$5001,S$171,BD!$A$3:$A$5001,"&gt;="&amp;$C$7,BD!$A$3:$A$5001,"&lt;="&amp;$B181,BD!$X$3:$X$5001,"&lt;&gt;")=0,"",SUMIFS(BD!$X$3:$X$5001,BD!$B$3:$B$5001,S$171,BD!$A$3:$A$5001,_xlfn.MAXIFS(BD!$A$3:$A$5001,BD!$B$3:$B$5001,S$171,BD!$A$3:$A$5001,"&gt;="&amp;$C$7,BD!$A$3:$A$5001,"&lt;="&amp;$B181,BD!$X$3:$X$5001,"&lt;&gt;"))))</f>
        <v/>
      </c>
      <c r="T181" s="43" t="str">
        <f>IF(OR($B181="",$A181&gt;$B$9,T$171=""),"",IF(COUNTIFS(BD!$B$3:$B$5001,T$171,BD!$A$3:$A$5001,"&gt;="&amp;$C$7,BD!$A$3:$A$5001,"&lt;="&amp;$B181,BD!$X$3:$X$5001,"&lt;&gt;")=0,"",SUMIFS(BD!$X$3:$X$5001,BD!$B$3:$B$5001,T$171,BD!$A$3:$A$5001,_xlfn.MAXIFS(BD!$A$3:$A$5001,BD!$B$3:$B$5001,T$171,BD!$A$3:$A$5001,"&gt;="&amp;$C$7,BD!$A$3:$A$5001,"&lt;="&amp;$B181,BD!$X$3:$X$5001,"&lt;&gt;"))))</f>
        <v/>
      </c>
      <c r="U181" s="43" t="str">
        <f>IF(OR($B181="",$A181&gt;$B$9,U$171=""),"",IF(COUNTIFS(BD!$B$3:$B$5001,U$171,BD!$A$3:$A$5001,"&gt;="&amp;$C$7,BD!$A$3:$A$5001,"&lt;="&amp;$B181,BD!$X$3:$X$5001,"&lt;&gt;")=0,"",SUMIFS(BD!$X$3:$X$5001,BD!$B$3:$B$5001,U$171,BD!$A$3:$A$5001,_xlfn.MAXIFS(BD!$A$3:$A$5001,BD!$B$3:$B$5001,U$171,BD!$A$3:$A$5001,"&gt;="&amp;$C$7,BD!$A$3:$A$5001,"&lt;="&amp;$B181,BD!$X$3:$X$5001,"&lt;&gt;"))))</f>
        <v/>
      </c>
      <c r="V181" s="43" t="str">
        <f>IF(OR($B181="",$A181&gt;$B$9,V$171=""),"",IF(COUNTIFS(BD!$B$3:$B$5001,V$171,BD!$A$3:$A$5001,"&gt;="&amp;$C$7,BD!$A$3:$A$5001,"&lt;="&amp;$B181,BD!$X$3:$X$5001,"&lt;&gt;")=0,"",SUMIFS(BD!$X$3:$X$5001,BD!$B$3:$B$5001,V$171,BD!$A$3:$A$5001,_xlfn.MAXIFS(BD!$A$3:$A$5001,BD!$B$3:$B$5001,V$171,BD!$A$3:$A$5001,"&gt;="&amp;$C$7,BD!$A$3:$A$5001,"&lt;="&amp;$B181,BD!$X$3:$X$5001,"&lt;&gt;"))))</f>
        <v/>
      </c>
    </row>
    <row r="182">
      <c r="A182" s="38">
        <v>11</v>
      </c>
      <c r="B182" s="42">
        <f>$B$22</f>
        <v>46306</v>
      </c>
      <c r="C182" s="43" t="str">
        <f>IF(OR($B182="",$A182&gt;$B$9,C$171=""),"",IF(COUNTIFS(BD!$B$3:$B$5001,C$171,BD!$A$3:$A$5001,"&gt;="&amp;$C$7,BD!$A$3:$A$5001,"&lt;="&amp;$B182,BD!$X$3:$X$5001,"&lt;&gt;")=0,"",SUMIFS(BD!$X$3:$X$5001,BD!$B$3:$B$5001,C$171,BD!$A$3:$A$5001,_xlfn.MAXIFS(BD!$A$3:$A$5001,BD!$B$3:$B$5001,C$171,BD!$A$3:$A$5001,"&gt;="&amp;$C$7,BD!$A$3:$A$5001,"&lt;="&amp;$B182,BD!$X$3:$X$5001,"&lt;&gt;"))))</f>
        <v/>
      </c>
      <c r="D182" s="43" t="str">
        <f>IF(OR($B182="",$A182&gt;$B$9,D$171=""),"",IF(COUNTIFS(BD!$B$3:$B$5001,D$171,BD!$A$3:$A$5001,"&gt;="&amp;$C$7,BD!$A$3:$A$5001,"&lt;="&amp;$B182,BD!$X$3:$X$5001,"&lt;&gt;")=0,"",SUMIFS(BD!$X$3:$X$5001,BD!$B$3:$B$5001,D$171,BD!$A$3:$A$5001,_xlfn.MAXIFS(BD!$A$3:$A$5001,BD!$B$3:$B$5001,D$171,BD!$A$3:$A$5001,"&gt;="&amp;$C$7,BD!$A$3:$A$5001,"&lt;="&amp;$B182,BD!$X$3:$X$5001,"&lt;&gt;"))))</f>
        <v/>
      </c>
      <c r="E182" s="43" t="str">
        <f>IF(OR($B182="",$A182&gt;$B$9,E$171=""),"",IF(COUNTIFS(BD!$B$3:$B$5001,E$171,BD!$A$3:$A$5001,"&gt;="&amp;$C$7,BD!$A$3:$A$5001,"&lt;="&amp;$B182,BD!$X$3:$X$5001,"&lt;&gt;")=0,"",SUMIFS(BD!$X$3:$X$5001,BD!$B$3:$B$5001,E$171,BD!$A$3:$A$5001,_xlfn.MAXIFS(BD!$A$3:$A$5001,BD!$B$3:$B$5001,E$171,BD!$A$3:$A$5001,"&gt;="&amp;$C$7,BD!$A$3:$A$5001,"&lt;="&amp;$B182,BD!$X$3:$X$5001,"&lt;&gt;"))))</f>
        <v/>
      </c>
      <c r="F182" s="43" t="str">
        <f>IF(OR($B182="",$A182&gt;$B$9,F$171=""),"",IF(COUNTIFS(BD!$B$3:$B$5001,F$171,BD!$A$3:$A$5001,"&gt;="&amp;$C$7,BD!$A$3:$A$5001,"&lt;="&amp;$B182,BD!$X$3:$X$5001,"&lt;&gt;")=0,"",SUMIFS(BD!$X$3:$X$5001,BD!$B$3:$B$5001,F$171,BD!$A$3:$A$5001,_xlfn.MAXIFS(BD!$A$3:$A$5001,BD!$B$3:$B$5001,F$171,BD!$A$3:$A$5001,"&gt;="&amp;$C$7,BD!$A$3:$A$5001,"&lt;="&amp;$B182,BD!$X$3:$X$5001,"&lt;&gt;"))))</f>
        <v/>
      </c>
      <c r="G182" s="43" t="str">
        <f>IF(OR($B182="",$A182&gt;$B$9,G$171=""),"",IF(COUNTIFS(BD!$B$3:$B$5001,G$171,BD!$A$3:$A$5001,"&gt;="&amp;$C$7,BD!$A$3:$A$5001,"&lt;="&amp;$B182,BD!$X$3:$X$5001,"&lt;&gt;")=0,"",SUMIFS(BD!$X$3:$X$5001,BD!$B$3:$B$5001,G$171,BD!$A$3:$A$5001,_xlfn.MAXIFS(BD!$A$3:$A$5001,BD!$B$3:$B$5001,G$171,BD!$A$3:$A$5001,"&gt;="&amp;$C$7,BD!$A$3:$A$5001,"&lt;="&amp;$B182,BD!$X$3:$X$5001,"&lt;&gt;"))))</f>
        <v/>
      </c>
      <c r="H182" s="43" t="str">
        <f>IF(OR($B182="",$A182&gt;$B$9,H$171=""),"",IF(COUNTIFS(BD!$B$3:$B$5001,H$171,BD!$A$3:$A$5001,"&gt;="&amp;$C$7,BD!$A$3:$A$5001,"&lt;="&amp;$B182,BD!$X$3:$X$5001,"&lt;&gt;")=0,"",SUMIFS(BD!$X$3:$X$5001,BD!$B$3:$B$5001,H$171,BD!$A$3:$A$5001,_xlfn.MAXIFS(BD!$A$3:$A$5001,BD!$B$3:$B$5001,H$171,BD!$A$3:$A$5001,"&gt;="&amp;$C$7,BD!$A$3:$A$5001,"&lt;="&amp;$B182,BD!$X$3:$X$5001,"&lt;&gt;"))))</f>
        <v/>
      </c>
      <c r="I182" s="43" t="str">
        <f>IF(OR($B182="",$A182&gt;$B$9,I$171=""),"",IF(COUNTIFS(BD!$B$3:$B$5001,I$171,BD!$A$3:$A$5001,"&gt;="&amp;$C$7,BD!$A$3:$A$5001,"&lt;="&amp;$B182,BD!$X$3:$X$5001,"&lt;&gt;")=0,"",SUMIFS(BD!$X$3:$X$5001,BD!$B$3:$B$5001,I$171,BD!$A$3:$A$5001,_xlfn.MAXIFS(BD!$A$3:$A$5001,BD!$B$3:$B$5001,I$171,BD!$A$3:$A$5001,"&gt;="&amp;$C$7,BD!$A$3:$A$5001,"&lt;="&amp;$B182,BD!$X$3:$X$5001,"&lt;&gt;"))))</f>
        <v/>
      </c>
      <c r="J182" s="43" t="str">
        <f>IF(OR($B182="",$A182&gt;$B$9,J$171=""),"",IF(COUNTIFS(BD!$B$3:$B$5001,J$171,BD!$A$3:$A$5001,"&gt;="&amp;$C$7,BD!$A$3:$A$5001,"&lt;="&amp;$B182,BD!$X$3:$X$5001,"&lt;&gt;")=0,"",SUMIFS(BD!$X$3:$X$5001,BD!$B$3:$B$5001,J$171,BD!$A$3:$A$5001,_xlfn.MAXIFS(BD!$A$3:$A$5001,BD!$B$3:$B$5001,J$171,BD!$A$3:$A$5001,"&gt;="&amp;$C$7,BD!$A$3:$A$5001,"&lt;="&amp;$B182,BD!$X$3:$X$5001,"&lt;&gt;"))))</f>
        <v/>
      </c>
      <c r="K182" s="43" t="str">
        <f>IF(OR($B182="",$A182&gt;$B$9,K$171=""),"",IF(COUNTIFS(BD!$B$3:$B$5001,K$171,BD!$A$3:$A$5001,"&gt;="&amp;$C$7,BD!$A$3:$A$5001,"&lt;="&amp;$B182,BD!$X$3:$X$5001,"&lt;&gt;")=0,"",SUMIFS(BD!$X$3:$X$5001,BD!$B$3:$B$5001,K$171,BD!$A$3:$A$5001,_xlfn.MAXIFS(BD!$A$3:$A$5001,BD!$B$3:$B$5001,K$171,BD!$A$3:$A$5001,"&gt;="&amp;$C$7,BD!$A$3:$A$5001,"&lt;="&amp;$B182,BD!$X$3:$X$5001,"&lt;&gt;"))))</f>
        <v/>
      </c>
      <c r="L182" s="43" t="str">
        <f>IF(OR($B182="",$A182&gt;$B$9,L$171=""),"",IF(COUNTIFS(BD!$B$3:$B$5001,L$171,BD!$A$3:$A$5001,"&gt;="&amp;$C$7,BD!$A$3:$A$5001,"&lt;="&amp;$B182,BD!$X$3:$X$5001,"&lt;&gt;")=0,"",SUMIFS(BD!$X$3:$X$5001,BD!$B$3:$B$5001,L$171,BD!$A$3:$A$5001,_xlfn.MAXIFS(BD!$A$3:$A$5001,BD!$B$3:$B$5001,L$171,BD!$A$3:$A$5001,"&gt;="&amp;$C$7,BD!$A$3:$A$5001,"&lt;="&amp;$B182,BD!$X$3:$X$5001,"&lt;&gt;"))))</f>
        <v/>
      </c>
      <c r="M182" s="43" t="str">
        <f>IF(OR($B182="",$A182&gt;$B$9,M$171=""),"",IF(COUNTIFS(BD!$B$3:$B$5001,M$171,BD!$A$3:$A$5001,"&gt;="&amp;$C$7,BD!$A$3:$A$5001,"&lt;="&amp;$B182,BD!$X$3:$X$5001,"&lt;&gt;")=0,"",SUMIFS(BD!$X$3:$X$5001,BD!$B$3:$B$5001,M$171,BD!$A$3:$A$5001,_xlfn.MAXIFS(BD!$A$3:$A$5001,BD!$B$3:$B$5001,M$171,BD!$A$3:$A$5001,"&gt;="&amp;$C$7,BD!$A$3:$A$5001,"&lt;="&amp;$B182,BD!$X$3:$X$5001,"&lt;&gt;"))))</f>
        <v/>
      </c>
      <c r="N182" s="43" t="str">
        <f>IF(OR($B182="",$A182&gt;$B$9,N$171=""),"",IF(COUNTIFS(BD!$B$3:$B$5001,N$171,BD!$A$3:$A$5001,"&gt;="&amp;$C$7,BD!$A$3:$A$5001,"&lt;="&amp;$B182,BD!$X$3:$X$5001,"&lt;&gt;")=0,"",SUMIFS(BD!$X$3:$X$5001,BD!$B$3:$B$5001,N$171,BD!$A$3:$A$5001,_xlfn.MAXIFS(BD!$A$3:$A$5001,BD!$B$3:$B$5001,N$171,BD!$A$3:$A$5001,"&gt;="&amp;$C$7,BD!$A$3:$A$5001,"&lt;="&amp;$B182,BD!$X$3:$X$5001,"&lt;&gt;"))))</f>
        <v/>
      </c>
      <c r="O182" s="43" t="str">
        <f>IF(OR($B182="",$A182&gt;$B$9,O$171=""),"",IF(COUNTIFS(BD!$B$3:$B$5001,O$171,BD!$A$3:$A$5001,"&gt;="&amp;$C$7,BD!$A$3:$A$5001,"&lt;="&amp;$B182,BD!$X$3:$X$5001,"&lt;&gt;")=0,"",SUMIFS(BD!$X$3:$X$5001,BD!$B$3:$B$5001,O$171,BD!$A$3:$A$5001,_xlfn.MAXIFS(BD!$A$3:$A$5001,BD!$B$3:$B$5001,O$171,BD!$A$3:$A$5001,"&gt;="&amp;$C$7,BD!$A$3:$A$5001,"&lt;="&amp;$B182,BD!$X$3:$X$5001,"&lt;&gt;"))))</f>
        <v/>
      </c>
      <c r="P182" s="43" t="str">
        <f>IF(OR($B182="",$A182&gt;$B$9,P$171=""),"",IF(COUNTIFS(BD!$B$3:$B$5001,P$171,BD!$A$3:$A$5001,"&gt;="&amp;$C$7,BD!$A$3:$A$5001,"&lt;="&amp;$B182,BD!$X$3:$X$5001,"&lt;&gt;")=0,"",SUMIFS(BD!$X$3:$X$5001,BD!$B$3:$B$5001,P$171,BD!$A$3:$A$5001,_xlfn.MAXIFS(BD!$A$3:$A$5001,BD!$B$3:$B$5001,P$171,BD!$A$3:$A$5001,"&gt;="&amp;$C$7,BD!$A$3:$A$5001,"&lt;="&amp;$B182,BD!$X$3:$X$5001,"&lt;&gt;"))))</f>
        <v/>
      </c>
      <c r="Q182" s="43" t="str">
        <f>IF(OR($B182="",$A182&gt;$B$9,Q$171=""),"",IF(COUNTIFS(BD!$B$3:$B$5001,Q$171,BD!$A$3:$A$5001,"&gt;="&amp;$C$7,BD!$A$3:$A$5001,"&lt;="&amp;$B182,BD!$X$3:$X$5001,"&lt;&gt;")=0,"",SUMIFS(BD!$X$3:$X$5001,BD!$B$3:$B$5001,Q$171,BD!$A$3:$A$5001,_xlfn.MAXIFS(BD!$A$3:$A$5001,BD!$B$3:$B$5001,Q$171,BD!$A$3:$A$5001,"&gt;="&amp;$C$7,BD!$A$3:$A$5001,"&lt;="&amp;$B182,BD!$X$3:$X$5001,"&lt;&gt;"))))</f>
        <v/>
      </c>
      <c r="R182" s="43" t="str">
        <f>IF(OR($B182="",$A182&gt;$B$9,R$171=""),"",IF(COUNTIFS(BD!$B$3:$B$5001,R$171,BD!$A$3:$A$5001,"&gt;="&amp;$C$7,BD!$A$3:$A$5001,"&lt;="&amp;$B182,BD!$X$3:$X$5001,"&lt;&gt;")=0,"",SUMIFS(BD!$X$3:$X$5001,BD!$B$3:$B$5001,R$171,BD!$A$3:$A$5001,_xlfn.MAXIFS(BD!$A$3:$A$5001,BD!$B$3:$B$5001,R$171,BD!$A$3:$A$5001,"&gt;="&amp;$C$7,BD!$A$3:$A$5001,"&lt;="&amp;$B182,BD!$X$3:$X$5001,"&lt;&gt;"))))</f>
        <v/>
      </c>
      <c r="S182" s="43" t="str">
        <f>IF(OR($B182="",$A182&gt;$B$9,S$171=""),"",IF(COUNTIFS(BD!$B$3:$B$5001,S$171,BD!$A$3:$A$5001,"&gt;="&amp;$C$7,BD!$A$3:$A$5001,"&lt;="&amp;$B182,BD!$X$3:$X$5001,"&lt;&gt;")=0,"",SUMIFS(BD!$X$3:$X$5001,BD!$B$3:$B$5001,S$171,BD!$A$3:$A$5001,_xlfn.MAXIFS(BD!$A$3:$A$5001,BD!$B$3:$B$5001,S$171,BD!$A$3:$A$5001,"&gt;="&amp;$C$7,BD!$A$3:$A$5001,"&lt;="&amp;$B182,BD!$X$3:$X$5001,"&lt;&gt;"))))</f>
        <v/>
      </c>
      <c r="T182" s="43" t="str">
        <f>IF(OR($B182="",$A182&gt;$B$9,T$171=""),"",IF(COUNTIFS(BD!$B$3:$B$5001,T$171,BD!$A$3:$A$5001,"&gt;="&amp;$C$7,BD!$A$3:$A$5001,"&lt;="&amp;$B182,BD!$X$3:$X$5001,"&lt;&gt;")=0,"",SUMIFS(BD!$X$3:$X$5001,BD!$B$3:$B$5001,T$171,BD!$A$3:$A$5001,_xlfn.MAXIFS(BD!$A$3:$A$5001,BD!$B$3:$B$5001,T$171,BD!$A$3:$A$5001,"&gt;="&amp;$C$7,BD!$A$3:$A$5001,"&lt;="&amp;$B182,BD!$X$3:$X$5001,"&lt;&gt;"))))</f>
        <v/>
      </c>
      <c r="U182" s="43" t="str">
        <f>IF(OR($B182="",$A182&gt;$B$9,U$171=""),"",IF(COUNTIFS(BD!$B$3:$B$5001,U$171,BD!$A$3:$A$5001,"&gt;="&amp;$C$7,BD!$A$3:$A$5001,"&lt;="&amp;$B182,BD!$X$3:$X$5001,"&lt;&gt;")=0,"",SUMIFS(BD!$X$3:$X$5001,BD!$B$3:$B$5001,U$171,BD!$A$3:$A$5001,_xlfn.MAXIFS(BD!$A$3:$A$5001,BD!$B$3:$B$5001,U$171,BD!$A$3:$A$5001,"&gt;="&amp;$C$7,BD!$A$3:$A$5001,"&lt;="&amp;$B182,BD!$X$3:$X$5001,"&lt;&gt;"))))</f>
        <v/>
      </c>
      <c r="V182" s="43" t="str">
        <f>IF(OR($B182="",$A182&gt;$B$9,V$171=""),"",IF(COUNTIFS(BD!$B$3:$B$5001,V$171,BD!$A$3:$A$5001,"&gt;="&amp;$C$7,BD!$A$3:$A$5001,"&lt;="&amp;$B182,BD!$X$3:$X$5001,"&lt;&gt;")=0,"",SUMIFS(BD!$X$3:$X$5001,BD!$B$3:$B$5001,V$171,BD!$A$3:$A$5001,_xlfn.MAXIFS(BD!$A$3:$A$5001,BD!$B$3:$B$5001,V$171,BD!$A$3:$A$5001,"&gt;="&amp;$C$7,BD!$A$3:$A$5001,"&lt;="&amp;$B182,BD!$X$3:$X$5001,"&lt;&gt;"))))</f>
        <v/>
      </c>
    </row>
    <row r="183">
      <c r="A183" s="38">
        <v>12</v>
      </c>
      <c r="B183" s="42">
        <f>$B$23</f>
        <v>46307</v>
      </c>
      <c r="C183" s="43" t="str">
        <f>IF(OR($B183="",$A183&gt;$B$9,C$171=""),"",IF(COUNTIFS(BD!$B$3:$B$5001,C$171,BD!$A$3:$A$5001,"&gt;="&amp;$C$7,BD!$A$3:$A$5001,"&lt;="&amp;$B183,BD!$X$3:$X$5001,"&lt;&gt;")=0,"",SUMIFS(BD!$X$3:$X$5001,BD!$B$3:$B$5001,C$171,BD!$A$3:$A$5001,_xlfn.MAXIFS(BD!$A$3:$A$5001,BD!$B$3:$B$5001,C$171,BD!$A$3:$A$5001,"&gt;="&amp;$C$7,BD!$A$3:$A$5001,"&lt;="&amp;$B183,BD!$X$3:$X$5001,"&lt;&gt;"))))</f>
        <v/>
      </c>
      <c r="D183" s="43" t="str">
        <f>IF(OR($B183="",$A183&gt;$B$9,D$171=""),"",IF(COUNTIFS(BD!$B$3:$B$5001,D$171,BD!$A$3:$A$5001,"&gt;="&amp;$C$7,BD!$A$3:$A$5001,"&lt;="&amp;$B183,BD!$X$3:$X$5001,"&lt;&gt;")=0,"",SUMIFS(BD!$X$3:$X$5001,BD!$B$3:$B$5001,D$171,BD!$A$3:$A$5001,_xlfn.MAXIFS(BD!$A$3:$A$5001,BD!$B$3:$B$5001,D$171,BD!$A$3:$A$5001,"&gt;="&amp;$C$7,BD!$A$3:$A$5001,"&lt;="&amp;$B183,BD!$X$3:$X$5001,"&lt;&gt;"))))</f>
        <v/>
      </c>
      <c r="E183" s="43" t="str">
        <f>IF(OR($B183="",$A183&gt;$B$9,E$171=""),"",IF(COUNTIFS(BD!$B$3:$B$5001,E$171,BD!$A$3:$A$5001,"&gt;="&amp;$C$7,BD!$A$3:$A$5001,"&lt;="&amp;$B183,BD!$X$3:$X$5001,"&lt;&gt;")=0,"",SUMIFS(BD!$X$3:$X$5001,BD!$B$3:$B$5001,E$171,BD!$A$3:$A$5001,_xlfn.MAXIFS(BD!$A$3:$A$5001,BD!$B$3:$B$5001,E$171,BD!$A$3:$A$5001,"&gt;="&amp;$C$7,BD!$A$3:$A$5001,"&lt;="&amp;$B183,BD!$X$3:$X$5001,"&lt;&gt;"))))</f>
        <v/>
      </c>
      <c r="F183" s="43" t="str">
        <f>IF(OR($B183="",$A183&gt;$B$9,F$171=""),"",IF(COUNTIFS(BD!$B$3:$B$5001,F$171,BD!$A$3:$A$5001,"&gt;="&amp;$C$7,BD!$A$3:$A$5001,"&lt;="&amp;$B183,BD!$X$3:$X$5001,"&lt;&gt;")=0,"",SUMIFS(BD!$X$3:$X$5001,BD!$B$3:$B$5001,F$171,BD!$A$3:$A$5001,_xlfn.MAXIFS(BD!$A$3:$A$5001,BD!$B$3:$B$5001,F$171,BD!$A$3:$A$5001,"&gt;="&amp;$C$7,BD!$A$3:$A$5001,"&lt;="&amp;$B183,BD!$X$3:$X$5001,"&lt;&gt;"))))</f>
        <v/>
      </c>
      <c r="G183" s="43" t="str">
        <f>IF(OR($B183="",$A183&gt;$B$9,G$171=""),"",IF(COUNTIFS(BD!$B$3:$B$5001,G$171,BD!$A$3:$A$5001,"&gt;="&amp;$C$7,BD!$A$3:$A$5001,"&lt;="&amp;$B183,BD!$X$3:$X$5001,"&lt;&gt;")=0,"",SUMIFS(BD!$X$3:$X$5001,BD!$B$3:$B$5001,G$171,BD!$A$3:$A$5001,_xlfn.MAXIFS(BD!$A$3:$A$5001,BD!$B$3:$B$5001,G$171,BD!$A$3:$A$5001,"&gt;="&amp;$C$7,BD!$A$3:$A$5001,"&lt;="&amp;$B183,BD!$X$3:$X$5001,"&lt;&gt;"))))</f>
        <v/>
      </c>
      <c r="H183" s="43" t="str">
        <f>IF(OR($B183="",$A183&gt;$B$9,H$171=""),"",IF(COUNTIFS(BD!$B$3:$B$5001,H$171,BD!$A$3:$A$5001,"&gt;="&amp;$C$7,BD!$A$3:$A$5001,"&lt;="&amp;$B183,BD!$X$3:$X$5001,"&lt;&gt;")=0,"",SUMIFS(BD!$X$3:$X$5001,BD!$B$3:$B$5001,H$171,BD!$A$3:$A$5001,_xlfn.MAXIFS(BD!$A$3:$A$5001,BD!$B$3:$B$5001,H$171,BD!$A$3:$A$5001,"&gt;="&amp;$C$7,BD!$A$3:$A$5001,"&lt;="&amp;$B183,BD!$X$3:$X$5001,"&lt;&gt;"))))</f>
        <v/>
      </c>
      <c r="I183" s="43" t="str">
        <f>IF(OR($B183="",$A183&gt;$B$9,I$171=""),"",IF(COUNTIFS(BD!$B$3:$B$5001,I$171,BD!$A$3:$A$5001,"&gt;="&amp;$C$7,BD!$A$3:$A$5001,"&lt;="&amp;$B183,BD!$X$3:$X$5001,"&lt;&gt;")=0,"",SUMIFS(BD!$X$3:$X$5001,BD!$B$3:$B$5001,I$171,BD!$A$3:$A$5001,_xlfn.MAXIFS(BD!$A$3:$A$5001,BD!$B$3:$B$5001,I$171,BD!$A$3:$A$5001,"&gt;="&amp;$C$7,BD!$A$3:$A$5001,"&lt;="&amp;$B183,BD!$X$3:$X$5001,"&lt;&gt;"))))</f>
        <v/>
      </c>
      <c r="J183" s="43" t="str">
        <f>IF(OR($B183="",$A183&gt;$B$9,J$171=""),"",IF(COUNTIFS(BD!$B$3:$B$5001,J$171,BD!$A$3:$A$5001,"&gt;="&amp;$C$7,BD!$A$3:$A$5001,"&lt;="&amp;$B183,BD!$X$3:$X$5001,"&lt;&gt;")=0,"",SUMIFS(BD!$X$3:$X$5001,BD!$B$3:$B$5001,J$171,BD!$A$3:$A$5001,_xlfn.MAXIFS(BD!$A$3:$A$5001,BD!$B$3:$B$5001,J$171,BD!$A$3:$A$5001,"&gt;="&amp;$C$7,BD!$A$3:$A$5001,"&lt;="&amp;$B183,BD!$X$3:$X$5001,"&lt;&gt;"))))</f>
        <v/>
      </c>
      <c r="K183" s="43" t="str">
        <f>IF(OR($B183="",$A183&gt;$B$9,K$171=""),"",IF(COUNTIFS(BD!$B$3:$B$5001,K$171,BD!$A$3:$A$5001,"&gt;="&amp;$C$7,BD!$A$3:$A$5001,"&lt;="&amp;$B183,BD!$X$3:$X$5001,"&lt;&gt;")=0,"",SUMIFS(BD!$X$3:$X$5001,BD!$B$3:$B$5001,K$171,BD!$A$3:$A$5001,_xlfn.MAXIFS(BD!$A$3:$A$5001,BD!$B$3:$B$5001,K$171,BD!$A$3:$A$5001,"&gt;="&amp;$C$7,BD!$A$3:$A$5001,"&lt;="&amp;$B183,BD!$X$3:$X$5001,"&lt;&gt;"))))</f>
        <v/>
      </c>
      <c r="L183" s="43" t="str">
        <f>IF(OR($B183="",$A183&gt;$B$9,L$171=""),"",IF(COUNTIFS(BD!$B$3:$B$5001,L$171,BD!$A$3:$A$5001,"&gt;="&amp;$C$7,BD!$A$3:$A$5001,"&lt;="&amp;$B183,BD!$X$3:$X$5001,"&lt;&gt;")=0,"",SUMIFS(BD!$X$3:$X$5001,BD!$B$3:$B$5001,L$171,BD!$A$3:$A$5001,_xlfn.MAXIFS(BD!$A$3:$A$5001,BD!$B$3:$B$5001,L$171,BD!$A$3:$A$5001,"&gt;="&amp;$C$7,BD!$A$3:$A$5001,"&lt;="&amp;$B183,BD!$X$3:$X$5001,"&lt;&gt;"))))</f>
        <v/>
      </c>
      <c r="M183" s="43" t="str">
        <f>IF(OR($B183="",$A183&gt;$B$9,M$171=""),"",IF(COUNTIFS(BD!$B$3:$B$5001,M$171,BD!$A$3:$A$5001,"&gt;="&amp;$C$7,BD!$A$3:$A$5001,"&lt;="&amp;$B183,BD!$X$3:$X$5001,"&lt;&gt;")=0,"",SUMIFS(BD!$X$3:$X$5001,BD!$B$3:$B$5001,M$171,BD!$A$3:$A$5001,_xlfn.MAXIFS(BD!$A$3:$A$5001,BD!$B$3:$B$5001,M$171,BD!$A$3:$A$5001,"&gt;="&amp;$C$7,BD!$A$3:$A$5001,"&lt;="&amp;$B183,BD!$X$3:$X$5001,"&lt;&gt;"))))</f>
        <v/>
      </c>
      <c r="N183" s="43" t="str">
        <f>IF(OR($B183="",$A183&gt;$B$9,N$171=""),"",IF(COUNTIFS(BD!$B$3:$B$5001,N$171,BD!$A$3:$A$5001,"&gt;="&amp;$C$7,BD!$A$3:$A$5001,"&lt;="&amp;$B183,BD!$X$3:$X$5001,"&lt;&gt;")=0,"",SUMIFS(BD!$X$3:$X$5001,BD!$B$3:$B$5001,N$171,BD!$A$3:$A$5001,_xlfn.MAXIFS(BD!$A$3:$A$5001,BD!$B$3:$B$5001,N$171,BD!$A$3:$A$5001,"&gt;="&amp;$C$7,BD!$A$3:$A$5001,"&lt;="&amp;$B183,BD!$X$3:$X$5001,"&lt;&gt;"))))</f>
        <v/>
      </c>
      <c r="O183" s="43" t="str">
        <f>IF(OR($B183="",$A183&gt;$B$9,O$171=""),"",IF(COUNTIFS(BD!$B$3:$B$5001,O$171,BD!$A$3:$A$5001,"&gt;="&amp;$C$7,BD!$A$3:$A$5001,"&lt;="&amp;$B183,BD!$X$3:$X$5001,"&lt;&gt;")=0,"",SUMIFS(BD!$X$3:$X$5001,BD!$B$3:$B$5001,O$171,BD!$A$3:$A$5001,_xlfn.MAXIFS(BD!$A$3:$A$5001,BD!$B$3:$B$5001,O$171,BD!$A$3:$A$5001,"&gt;="&amp;$C$7,BD!$A$3:$A$5001,"&lt;="&amp;$B183,BD!$X$3:$X$5001,"&lt;&gt;"))))</f>
        <v/>
      </c>
      <c r="P183" s="43" t="str">
        <f>IF(OR($B183="",$A183&gt;$B$9,P$171=""),"",IF(COUNTIFS(BD!$B$3:$B$5001,P$171,BD!$A$3:$A$5001,"&gt;="&amp;$C$7,BD!$A$3:$A$5001,"&lt;="&amp;$B183,BD!$X$3:$X$5001,"&lt;&gt;")=0,"",SUMIFS(BD!$X$3:$X$5001,BD!$B$3:$B$5001,P$171,BD!$A$3:$A$5001,_xlfn.MAXIFS(BD!$A$3:$A$5001,BD!$B$3:$B$5001,P$171,BD!$A$3:$A$5001,"&gt;="&amp;$C$7,BD!$A$3:$A$5001,"&lt;="&amp;$B183,BD!$X$3:$X$5001,"&lt;&gt;"))))</f>
        <v/>
      </c>
      <c r="Q183" s="43" t="str">
        <f>IF(OR($B183="",$A183&gt;$B$9,Q$171=""),"",IF(COUNTIFS(BD!$B$3:$B$5001,Q$171,BD!$A$3:$A$5001,"&gt;="&amp;$C$7,BD!$A$3:$A$5001,"&lt;="&amp;$B183,BD!$X$3:$X$5001,"&lt;&gt;")=0,"",SUMIFS(BD!$X$3:$X$5001,BD!$B$3:$B$5001,Q$171,BD!$A$3:$A$5001,_xlfn.MAXIFS(BD!$A$3:$A$5001,BD!$B$3:$B$5001,Q$171,BD!$A$3:$A$5001,"&gt;="&amp;$C$7,BD!$A$3:$A$5001,"&lt;="&amp;$B183,BD!$X$3:$X$5001,"&lt;&gt;"))))</f>
        <v/>
      </c>
      <c r="R183" s="43" t="str">
        <f>IF(OR($B183="",$A183&gt;$B$9,R$171=""),"",IF(COUNTIFS(BD!$B$3:$B$5001,R$171,BD!$A$3:$A$5001,"&gt;="&amp;$C$7,BD!$A$3:$A$5001,"&lt;="&amp;$B183,BD!$X$3:$X$5001,"&lt;&gt;")=0,"",SUMIFS(BD!$X$3:$X$5001,BD!$B$3:$B$5001,R$171,BD!$A$3:$A$5001,_xlfn.MAXIFS(BD!$A$3:$A$5001,BD!$B$3:$B$5001,R$171,BD!$A$3:$A$5001,"&gt;="&amp;$C$7,BD!$A$3:$A$5001,"&lt;="&amp;$B183,BD!$X$3:$X$5001,"&lt;&gt;"))))</f>
        <v/>
      </c>
      <c r="S183" s="43" t="str">
        <f>IF(OR($B183="",$A183&gt;$B$9,S$171=""),"",IF(COUNTIFS(BD!$B$3:$B$5001,S$171,BD!$A$3:$A$5001,"&gt;="&amp;$C$7,BD!$A$3:$A$5001,"&lt;="&amp;$B183,BD!$X$3:$X$5001,"&lt;&gt;")=0,"",SUMIFS(BD!$X$3:$X$5001,BD!$B$3:$B$5001,S$171,BD!$A$3:$A$5001,_xlfn.MAXIFS(BD!$A$3:$A$5001,BD!$B$3:$B$5001,S$171,BD!$A$3:$A$5001,"&gt;="&amp;$C$7,BD!$A$3:$A$5001,"&lt;="&amp;$B183,BD!$X$3:$X$5001,"&lt;&gt;"))))</f>
        <v/>
      </c>
      <c r="T183" s="43" t="str">
        <f>IF(OR($B183="",$A183&gt;$B$9,T$171=""),"",IF(COUNTIFS(BD!$B$3:$B$5001,T$171,BD!$A$3:$A$5001,"&gt;="&amp;$C$7,BD!$A$3:$A$5001,"&lt;="&amp;$B183,BD!$X$3:$X$5001,"&lt;&gt;")=0,"",SUMIFS(BD!$X$3:$X$5001,BD!$B$3:$B$5001,T$171,BD!$A$3:$A$5001,_xlfn.MAXIFS(BD!$A$3:$A$5001,BD!$B$3:$B$5001,T$171,BD!$A$3:$A$5001,"&gt;="&amp;$C$7,BD!$A$3:$A$5001,"&lt;="&amp;$B183,BD!$X$3:$X$5001,"&lt;&gt;"))))</f>
        <v/>
      </c>
      <c r="U183" s="43" t="str">
        <f>IF(OR($B183="",$A183&gt;$B$9,U$171=""),"",IF(COUNTIFS(BD!$B$3:$B$5001,U$171,BD!$A$3:$A$5001,"&gt;="&amp;$C$7,BD!$A$3:$A$5001,"&lt;="&amp;$B183,BD!$X$3:$X$5001,"&lt;&gt;")=0,"",SUMIFS(BD!$X$3:$X$5001,BD!$B$3:$B$5001,U$171,BD!$A$3:$A$5001,_xlfn.MAXIFS(BD!$A$3:$A$5001,BD!$B$3:$B$5001,U$171,BD!$A$3:$A$5001,"&gt;="&amp;$C$7,BD!$A$3:$A$5001,"&lt;="&amp;$B183,BD!$X$3:$X$5001,"&lt;&gt;"))))</f>
        <v/>
      </c>
      <c r="V183" s="43" t="str">
        <f>IF(OR($B183="",$A183&gt;$B$9,V$171=""),"",IF(COUNTIFS(BD!$B$3:$B$5001,V$171,BD!$A$3:$A$5001,"&gt;="&amp;$C$7,BD!$A$3:$A$5001,"&lt;="&amp;$B183,BD!$X$3:$X$5001,"&lt;&gt;")=0,"",SUMIFS(BD!$X$3:$X$5001,BD!$B$3:$B$5001,V$171,BD!$A$3:$A$5001,_xlfn.MAXIFS(BD!$A$3:$A$5001,BD!$B$3:$B$5001,V$171,BD!$A$3:$A$5001,"&gt;="&amp;$C$7,BD!$A$3:$A$5001,"&lt;="&amp;$B183,BD!$X$3:$X$5001,"&lt;&gt;"))))</f>
        <v/>
      </c>
    </row>
    <row r="184">
      <c r="A184" s="38">
        <v>13</v>
      </c>
      <c r="B184" s="42">
        <f>$B$24</f>
        <v>46308</v>
      </c>
      <c r="C184" s="43" t="str">
        <f>IF(OR($B184="",$A184&gt;$B$9,C$171=""),"",IF(COUNTIFS(BD!$B$3:$B$5001,C$171,BD!$A$3:$A$5001,"&gt;="&amp;$C$7,BD!$A$3:$A$5001,"&lt;="&amp;$B184,BD!$X$3:$X$5001,"&lt;&gt;")=0,"",SUMIFS(BD!$X$3:$X$5001,BD!$B$3:$B$5001,C$171,BD!$A$3:$A$5001,_xlfn.MAXIFS(BD!$A$3:$A$5001,BD!$B$3:$B$5001,C$171,BD!$A$3:$A$5001,"&gt;="&amp;$C$7,BD!$A$3:$A$5001,"&lt;="&amp;$B184,BD!$X$3:$X$5001,"&lt;&gt;"))))</f>
        <v/>
      </c>
      <c r="D184" s="43" t="str">
        <f>IF(OR($B184="",$A184&gt;$B$9,D$171=""),"",IF(COUNTIFS(BD!$B$3:$B$5001,D$171,BD!$A$3:$A$5001,"&gt;="&amp;$C$7,BD!$A$3:$A$5001,"&lt;="&amp;$B184,BD!$X$3:$X$5001,"&lt;&gt;")=0,"",SUMIFS(BD!$X$3:$X$5001,BD!$B$3:$B$5001,D$171,BD!$A$3:$A$5001,_xlfn.MAXIFS(BD!$A$3:$A$5001,BD!$B$3:$B$5001,D$171,BD!$A$3:$A$5001,"&gt;="&amp;$C$7,BD!$A$3:$A$5001,"&lt;="&amp;$B184,BD!$X$3:$X$5001,"&lt;&gt;"))))</f>
        <v/>
      </c>
      <c r="E184" s="43" t="str">
        <f>IF(OR($B184="",$A184&gt;$B$9,E$171=""),"",IF(COUNTIFS(BD!$B$3:$B$5001,E$171,BD!$A$3:$A$5001,"&gt;="&amp;$C$7,BD!$A$3:$A$5001,"&lt;="&amp;$B184,BD!$X$3:$X$5001,"&lt;&gt;")=0,"",SUMIFS(BD!$X$3:$X$5001,BD!$B$3:$B$5001,E$171,BD!$A$3:$A$5001,_xlfn.MAXIFS(BD!$A$3:$A$5001,BD!$B$3:$B$5001,E$171,BD!$A$3:$A$5001,"&gt;="&amp;$C$7,BD!$A$3:$A$5001,"&lt;="&amp;$B184,BD!$X$3:$X$5001,"&lt;&gt;"))))</f>
        <v/>
      </c>
      <c r="F184" s="43" t="str">
        <f>IF(OR($B184="",$A184&gt;$B$9,F$171=""),"",IF(COUNTIFS(BD!$B$3:$B$5001,F$171,BD!$A$3:$A$5001,"&gt;="&amp;$C$7,BD!$A$3:$A$5001,"&lt;="&amp;$B184,BD!$X$3:$X$5001,"&lt;&gt;")=0,"",SUMIFS(BD!$X$3:$X$5001,BD!$B$3:$B$5001,F$171,BD!$A$3:$A$5001,_xlfn.MAXIFS(BD!$A$3:$A$5001,BD!$B$3:$B$5001,F$171,BD!$A$3:$A$5001,"&gt;="&amp;$C$7,BD!$A$3:$A$5001,"&lt;="&amp;$B184,BD!$X$3:$X$5001,"&lt;&gt;"))))</f>
        <v/>
      </c>
      <c r="G184" s="43" t="str">
        <f>IF(OR($B184="",$A184&gt;$B$9,G$171=""),"",IF(COUNTIFS(BD!$B$3:$B$5001,G$171,BD!$A$3:$A$5001,"&gt;="&amp;$C$7,BD!$A$3:$A$5001,"&lt;="&amp;$B184,BD!$X$3:$X$5001,"&lt;&gt;")=0,"",SUMIFS(BD!$X$3:$X$5001,BD!$B$3:$B$5001,G$171,BD!$A$3:$A$5001,_xlfn.MAXIFS(BD!$A$3:$A$5001,BD!$B$3:$B$5001,G$171,BD!$A$3:$A$5001,"&gt;="&amp;$C$7,BD!$A$3:$A$5001,"&lt;="&amp;$B184,BD!$X$3:$X$5001,"&lt;&gt;"))))</f>
        <v/>
      </c>
      <c r="H184" s="43" t="str">
        <f>IF(OR($B184="",$A184&gt;$B$9,H$171=""),"",IF(COUNTIFS(BD!$B$3:$B$5001,H$171,BD!$A$3:$A$5001,"&gt;="&amp;$C$7,BD!$A$3:$A$5001,"&lt;="&amp;$B184,BD!$X$3:$X$5001,"&lt;&gt;")=0,"",SUMIFS(BD!$X$3:$X$5001,BD!$B$3:$B$5001,H$171,BD!$A$3:$A$5001,_xlfn.MAXIFS(BD!$A$3:$A$5001,BD!$B$3:$B$5001,H$171,BD!$A$3:$A$5001,"&gt;="&amp;$C$7,BD!$A$3:$A$5001,"&lt;="&amp;$B184,BD!$X$3:$X$5001,"&lt;&gt;"))))</f>
        <v/>
      </c>
      <c r="I184" s="43" t="str">
        <f>IF(OR($B184="",$A184&gt;$B$9,I$171=""),"",IF(COUNTIFS(BD!$B$3:$B$5001,I$171,BD!$A$3:$A$5001,"&gt;="&amp;$C$7,BD!$A$3:$A$5001,"&lt;="&amp;$B184,BD!$X$3:$X$5001,"&lt;&gt;")=0,"",SUMIFS(BD!$X$3:$X$5001,BD!$B$3:$B$5001,I$171,BD!$A$3:$A$5001,_xlfn.MAXIFS(BD!$A$3:$A$5001,BD!$B$3:$B$5001,I$171,BD!$A$3:$A$5001,"&gt;="&amp;$C$7,BD!$A$3:$A$5001,"&lt;="&amp;$B184,BD!$X$3:$X$5001,"&lt;&gt;"))))</f>
        <v/>
      </c>
      <c r="J184" s="43" t="str">
        <f>IF(OR($B184="",$A184&gt;$B$9,J$171=""),"",IF(COUNTIFS(BD!$B$3:$B$5001,J$171,BD!$A$3:$A$5001,"&gt;="&amp;$C$7,BD!$A$3:$A$5001,"&lt;="&amp;$B184,BD!$X$3:$X$5001,"&lt;&gt;")=0,"",SUMIFS(BD!$X$3:$X$5001,BD!$B$3:$B$5001,J$171,BD!$A$3:$A$5001,_xlfn.MAXIFS(BD!$A$3:$A$5001,BD!$B$3:$B$5001,J$171,BD!$A$3:$A$5001,"&gt;="&amp;$C$7,BD!$A$3:$A$5001,"&lt;="&amp;$B184,BD!$X$3:$X$5001,"&lt;&gt;"))))</f>
        <v/>
      </c>
      <c r="K184" s="43" t="str">
        <f>IF(OR($B184="",$A184&gt;$B$9,K$171=""),"",IF(COUNTIFS(BD!$B$3:$B$5001,K$171,BD!$A$3:$A$5001,"&gt;="&amp;$C$7,BD!$A$3:$A$5001,"&lt;="&amp;$B184,BD!$X$3:$X$5001,"&lt;&gt;")=0,"",SUMIFS(BD!$X$3:$X$5001,BD!$B$3:$B$5001,K$171,BD!$A$3:$A$5001,_xlfn.MAXIFS(BD!$A$3:$A$5001,BD!$B$3:$B$5001,K$171,BD!$A$3:$A$5001,"&gt;="&amp;$C$7,BD!$A$3:$A$5001,"&lt;="&amp;$B184,BD!$X$3:$X$5001,"&lt;&gt;"))))</f>
        <v/>
      </c>
      <c r="L184" s="43" t="str">
        <f>IF(OR($B184="",$A184&gt;$B$9,L$171=""),"",IF(COUNTIFS(BD!$B$3:$B$5001,L$171,BD!$A$3:$A$5001,"&gt;="&amp;$C$7,BD!$A$3:$A$5001,"&lt;="&amp;$B184,BD!$X$3:$X$5001,"&lt;&gt;")=0,"",SUMIFS(BD!$X$3:$X$5001,BD!$B$3:$B$5001,L$171,BD!$A$3:$A$5001,_xlfn.MAXIFS(BD!$A$3:$A$5001,BD!$B$3:$B$5001,L$171,BD!$A$3:$A$5001,"&gt;="&amp;$C$7,BD!$A$3:$A$5001,"&lt;="&amp;$B184,BD!$X$3:$X$5001,"&lt;&gt;"))))</f>
        <v/>
      </c>
      <c r="M184" s="43" t="str">
        <f>IF(OR($B184="",$A184&gt;$B$9,M$171=""),"",IF(COUNTIFS(BD!$B$3:$B$5001,M$171,BD!$A$3:$A$5001,"&gt;="&amp;$C$7,BD!$A$3:$A$5001,"&lt;="&amp;$B184,BD!$X$3:$X$5001,"&lt;&gt;")=0,"",SUMIFS(BD!$X$3:$X$5001,BD!$B$3:$B$5001,M$171,BD!$A$3:$A$5001,_xlfn.MAXIFS(BD!$A$3:$A$5001,BD!$B$3:$B$5001,M$171,BD!$A$3:$A$5001,"&gt;="&amp;$C$7,BD!$A$3:$A$5001,"&lt;="&amp;$B184,BD!$X$3:$X$5001,"&lt;&gt;"))))</f>
        <v/>
      </c>
      <c r="N184" s="43" t="str">
        <f>IF(OR($B184="",$A184&gt;$B$9,N$171=""),"",IF(COUNTIFS(BD!$B$3:$B$5001,N$171,BD!$A$3:$A$5001,"&gt;="&amp;$C$7,BD!$A$3:$A$5001,"&lt;="&amp;$B184,BD!$X$3:$X$5001,"&lt;&gt;")=0,"",SUMIFS(BD!$X$3:$X$5001,BD!$B$3:$B$5001,N$171,BD!$A$3:$A$5001,_xlfn.MAXIFS(BD!$A$3:$A$5001,BD!$B$3:$B$5001,N$171,BD!$A$3:$A$5001,"&gt;="&amp;$C$7,BD!$A$3:$A$5001,"&lt;="&amp;$B184,BD!$X$3:$X$5001,"&lt;&gt;"))))</f>
        <v/>
      </c>
      <c r="O184" s="43" t="str">
        <f>IF(OR($B184="",$A184&gt;$B$9,O$171=""),"",IF(COUNTIFS(BD!$B$3:$B$5001,O$171,BD!$A$3:$A$5001,"&gt;="&amp;$C$7,BD!$A$3:$A$5001,"&lt;="&amp;$B184,BD!$X$3:$X$5001,"&lt;&gt;")=0,"",SUMIFS(BD!$X$3:$X$5001,BD!$B$3:$B$5001,O$171,BD!$A$3:$A$5001,_xlfn.MAXIFS(BD!$A$3:$A$5001,BD!$B$3:$B$5001,O$171,BD!$A$3:$A$5001,"&gt;="&amp;$C$7,BD!$A$3:$A$5001,"&lt;="&amp;$B184,BD!$X$3:$X$5001,"&lt;&gt;"))))</f>
        <v/>
      </c>
      <c r="P184" s="43" t="str">
        <f>IF(OR($B184="",$A184&gt;$B$9,P$171=""),"",IF(COUNTIFS(BD!$B$3:$B$5001,P$171,BD!$A$3:$A$5001,"&gt;="&amp;$C$7,BD!$A$3:$A$5001,"&lt;="&amp;$B184,BD!$X$3:$X$5001,"&lt;&gt;")=0,"",SUMIFS(BD!$X$3:$X$5001,BD!$B$3:$B$5001,P$171,BD!$A$3:$A$5001,_xlfn.MAXIFS(BD!$A$3:$A$5001,BD!$B$3:$B$5001,P$171,BD!$A$3:$A$5001,"&gt;="&amp;$C$7,BD!$A$3:$A$5001,"&lt;="&amp;$B184,BD!$X$3:$X$5001,"&lt;&gt;"))))</f>
        <v/>
      </c>
      <c r="Q184" s="43" t="str">
        <f>IF(OR($B184="",$A184&gt;$B$9,Q$171=""),"",IF(COUNTIFS(BD!$B$3:$B$5001,Q$171,BD!$A$3:$A$5001,"&gt;="&amp;$C$7,BD!$A$3:$A$5001,"&lt;="&amp;$B184,BD!$X$3:$X$5001,"&lt;&gt;")=0,"",SUMIFS(BD!$X$3:$X$5001,BD!$B$3:$B$5001,Q$171,BD!$A$3:$A$5001,_xlfn.MAXIFS(BD!$A$3:$A$5001,BD!$B$3:$B$5001,Q$171,BD!$A$3:$A$5001,"&gt;="&amp;$C$7,BD!$A$3:$A$5001,"&lt;="&amp;$B184,BD!$X$3:$X$5001,"&lt;&gt;"))))</f>
        <v/>
      </c>
      <c r="R184" s="43" t="str">
        <f>IF(OR($B184="",$A184&gt;$B$9,R$171=""),"",IF(COUNTIFS(BD!$B$3:$B$5001,R$171,BD!$A$3:$A$5001,"&gt;="&amp;$C$7,BD!$A$3:$A$5001,"&lt;="&amp;$B184,BD!$X$3:$X$5001,"&lt;&gt;")=0,"",SUMIFS(BD!$X$3:$X$5001,BD!$B$3:$B$5001,R$171,BD!$A$3:$A$5001,_xlfn.MAXIFS(BD!$A$3:$A$5001,BD!$B$3:$B$5001,R$171,BD!$A$3:$A$5001,"&gt;="&amp;$C$7,BD!$A$3:$A$5001,"&lt;="&amp;$B184,BD!$X$3:$X$5001,"&lt;&gt;"))))</f>
        <v/>
      </c>
      <c r="S184" s="43" t="str">
        <f>IF(OR($B184="",$A184&gt;$B$9,S$171=""),"",IF(COUNTIFS(BD!$B$3:$B$5001,S$171,BD!$A$3:$A$5001,"&gt;="&amp;$C$7,BD!$A$3:$A$5001,"&lt;="&amp;$B184,BD!$X$3:$X$5001,"&lt;&gt;")=0,"",SUMIFS(BD!$X$3:$X$5001,BD!$B$3:$B$5001,S$171,BD!$A$3:$A$5001,_xlfn.MAXIFS(BD!$A$3:$A$5001,BD!$B$3:$B$5001,S$171,BD!$A$3:$A$5001,"&gt;="&amp;$C$7,BD!$A$3:$A$5001,"&lt;="&amp;$B184,BD!$X$3:$X$5001,"&lt;&gt;"))))</f>
        <v/>
      </c>
      <c r="T184" s="43" t="str">
        <f>IF(OR($B184="",$A184&gt;$B$9,T$171=""),"",IF(COUNTIFS(BD!$B$3:$B$5001,T$171,BD!$A$3:$A$5001,"&gt;="&amp;$C$7,BD!$A$3:$A$5001,"&lt;="&amp;$B184,BD!$X$3:$X$5001,"&lt;&gt;")=0,"",SUMIFS(BD!$X$3:$X$5001,BD!$B$3:$B$5001,T$171,BD!$A$3:$A$5001,_xlfn.MAXIFS(BD!$A$3:$A$5001,BD!$B$3:$B$5001,T$171,BD!$A$3:$A$5001,"&gt;="&amp;$C$7,BD!$A$3:$A$5001,"&lt;="&amp;$B184,BD!$X$3:$X$5001,"&lt;&gt;"))))</f>
        <v/>
      </c>
      <c r="U184" s="43" t="str">
        <f>IF(OR($B184="",$A184&gt;$B$9,U$171=""),"",IF(COUNTIFS(BD!$B$3:$B$5001,U$171,BD!$A$3:$A$5001,"&gt;="&amp;$C$7,BD!$A$3:$A$5001,"&lt;="&amp;$B184,BD!$X$3:$X$5001,"&lt;&gt;")=0,"",SUMIFS(BD!$X$3:$X$5001,BD!$B$3:$B$5001,U$171,BD!$A$3:$A$5001,_xlfn.MAXIFS(BD!$A$3:$A$5001,BD!$B$3:$B$5001,U$171,BD!$A$3:$A$5001,"&gt;="&amp;$C$7,BD!$A$3:$A$5001,"&lt;="&amp;$B184,BD!$X$3:$X$5001,"&lt;&gt;"))))</f>
        <v/>
      </c>
      <c r="V184" s="43" t="str">
        <f>IF(OR($B184="",$A184&gt;$B$9,V$171=""),"",IF(COUNTIFS(BD!$B$3:$B$5001,V$171,BD!$A$3:$A$5001,"&gt;="&amp;$C$7,BD!$A$3:$A$5001,"&lt;="&amp;$B184,BD!$X$3:$X$5001,"&lt;&gt;")=0,"",SUMIFS(BD!$X$3:$X$5001,BD!$B$3:$B$5001,V$171,BD!$A$3:$A$5001,_xlfn.MAXIFS(BD!$A$3:$A$5001,BD!$B$3:$B$5001,V$171,BD!$A$3:$A$5001,"&gt;="&amp;$C$7,BD!$A$3:$A$5001,"&lt;="&amp;$B184,BD!$X$3:$X$5001,"&lt;&gt;"))))</f>
        <v/>
      </c>
    </row>
    <row r="185">
      <c r="A185" s="38">
        <v>14</v>
      </c>
      <c r="B185" s="42">
        <f>$B$25</f>
        <v>46309</v>
      </c>
      <c r="C185" s="43" t="str">
        <f>IF(OR($B185="",$A185&gt;$B$9,C$171=""),"",IF(COUNTIFS(BD!$B$3:$B$5001,C$171,BD!$A$3:$A$5001,"&gt;="&amp;$C$7,BD!$A$3:$A$5001,"&lt;="&amp;$B185,BD!$X$3:$X$5001,"&lt;&gt;")=0,"",SUMIFS(BD!$X$3:$X$5001,BD!$B$3:$B$5001,C$171,BD!$A$3:$A$5001,_xlfn.MAXIFS(BD!$A$3:$A$5001,BD!$B$3:$B$5001,C$171,BD!$A$3:$A$5001,"&gt;="&amp;$C$7,BD!$A$3:$A$5001,"&lt;="&amp;$B185,BD!$X$3:$X$5001,"&lt;&gt;"))))</f>
        <v/>
      </c>
      <c r="D185" s="43" t="str">
        <f>IF(OR($B185="",$A185&gt;$B$9,D$171=""),"",IF(COUNTIFS(BD!$B$3:$B$5001,D$171,BD!$A$3:$A$5001,"&gt;="&amp;$C$7,BD!$A$3:$A$5001,"&lt;="&amp;$B185,BD!$X$3:$X$5001,"&lt;&gt;")=0,"",SUMIFS(BD!$X$3:$X$5001,BD!$B$3:$B$5001,D$171,BD!$A$3:$A$5001,_xlfn.MAXIFS(BD!$A$3:$A$5001,BD!$B$3:$B$5001,D$171,BD!$A$3:$A$5001,"&gt;="&amp;$C$7,BD!$A$3:$A$5001,"&lt;="&amp;$B185,BD!$X$3:$X$5001,"&lt;&gt;"))))</f>
        <v/>
      </c>
      <c r="E185" s="43" t="str">
        <f>IF(OR($B185="",$A185&gt;$B$9,E$171=""),"",IF(COUNTIFS(BD!$B$3:$B$5001,E$171,BD!$A$3:$A$5001,"&gt;="&amp;$C$7,BD!$A$3:$A$5001,"&lt;="&amp;$B185,BD!$X$3:$X$5001,"&lt;&gt;")=0,"",SUMIFS(BD!$X$3:$X$5001,BD!$B$3:$B$5001,E$171,BD!$A$3:$A$5001,_xlfn.MAXIFS(BD!$A$3:$A$5001,BD!$B$3:$B$5001,E$171,BD!$A$3:$A$5001,"&gt;="&amp;$C$7,BD!$A$3:$A$5001,"&lt;="&amp;$B185,BD!$X$3:$X$5001,"&lt;&gt;"))))</f>
        <v/>
      </c>
      <c r="F185" s="43" t="str">
        <f>IF(OR($B185="",$A185&gt;$B$9,F$171=""),"",IF(COUNTIFS(BD!$B$3:$B$5001,F$171,BD!$A$3:$A$5001,"&gt;="&amp;$C$7,BD!$A$3:$A$5001,"&lt;="&amp;$B185,BD!$X$3:$X$5001,"&lt;&gt;")=0,"",SUMIFS(BD!$X$3:$X$5001,BD!$B$3:$B$5001,F$171,BD!$A$3:$A$5001,_xlfn.MAXIFS(BD!$A$3:$A$5001,BD!$B$3:$B$5001,F$171,BD!$A$3:$A$5001,"&gt;="&amp;$C$7,BD!$A$3:$A$5001,"&lt;="&amp;$B185,BD!$X$3:$X$5001,"&lt;&gt;"))))</f>
        <v/>
      </c>
      <c r="G185" s="43" t="str">
        <f>IF(OR($B185="",$A185&gt;$B$9,G$171=""),"",IF(COUNTIFS(BD!$B$3:$B$5001,G$171,BD!$A$3:$A$5001,"&gt;="&amp;$C$7,BD!$A$3:$A$5001,"&lt;="&amp;$B185,BD!$X$3:$X$5001,"&lt;&gt;")=0,"",SUMIFS(BD!$X$3:$X$5001,BD!$B$3:$B$5001,G$171,BD!$A$3:$A$5001,_xlfn.MAXIFS(BD!$A$3:$A$5001,BD!$B$3:$B$5001,G$171,BD!$A$3:$A$5001,"&gt;="&amp;$C$7,BD!$A$3:$A$5001,"&lt;="&amp;$B185,BD!$X$3:$X$5001,"&lt;&gt;"))))</f>
        <v/>
      </c>
      <c r="H185" s="43" t="str">
        <f>IF(OR($B185="",$A185&gt;$B$9,H$171=""),"",IF(COUNTIFS(BD!$B$3:$B$5001,H$171,BD!$A$3:$A$5001,"&gt;="&amp;$C$7,BD!$A$3:$A$5001,"&lt;="&amp;$B185,BD!$X$3:$X$5001,"&lt;&gt;")=0,"",SUMIFS(BD!$X$3:$X$5001,BD!$B$3:$B$5001,H$171,BD!$A$3:$A$5001,_xlfn.MAXIFS(BD!$A$3:$A$5001,BD!$B$3:$B$5001,H$171,BD!$A$3:$A$5001,"&gt;="&amp;$C$7,BD!$A$3:$A$5001,"&lt;="&amp;$B185,BD!$X$3:$X$5001,"&lt;&gt;"))))</f>
        <v/>
      </c>
      <c r="I185" s="43" t="str">
        <f>IF(OR($B185="",$A185&gt;$B$9,I$171=""),"",IF(COUNTIFS(BD!$B$3:$B$5001,I$171,BD!$A$3:$A$5001,"&gt;="&amp;$C$7,BD!$A$3:$A$5001,"&lt;="&amp;$B185,BD!$X$3:$X$5001,"&lt;&gt;")=0,"",SUMIFS(BD!$X$3:$X$5001,BD!$B$3:$B$5001,I$171,BD!$A$3:$A$5001,_xlfn.MAXIFS(BD!$A$3:$A$5001,BD!$B$3:$B$5001,I$171,BD!$A$3:$A$5001,"&gt;="&amp;$C$7,BD!$A$3:$A$5001,"&lt;="&amp;$B185,BD!$X$3:$X$5001,"&lt;&gt;"))))</f>
        <v/>
      </c>
      <c r="J185" s="43" t="str">
        <f>IF(OR($B185="",$A185&gt;$B$9,J$171=""),"",IF(COUNTIFS(BD!$B$3:$B$5001,J$171,BD!$A$3:$A$5001,"&gt;="&amp;$C$7,BD!$A$3:$A$5001,"&lt;="&amp;$B185,BD!$X$3:$X$5001,"&lt;&gt;")=0,"",SUMIFS(BD!$X$3:$X$5001,BD!$B$3:$B$5001,J$171,BD!$A$3:$A$5001,_xlfn.MAXIFS(BD!$A$3:$A$5001,BD!$B$3:$B$5001,J$171,BD!$A$3:$A$5001,"&gt;="&amp;$C$7,BD!$A$3:$A$5001,"&lt;="&amp;$B185,BD!$X$3:$X$5001,"&lt;&gt;"))))</f>
        <v/>
      </c>
      <c r="K185" s="43" t="str">
        <f>IF(OR($B185="",$A185&gt;$B$9,K$171=""),"",IF(COUNTIFS(BD!$B$3:$B$5001,K$171,BD!$A$3:$A$5001,"&gt;="&amp;$C$7,BD!$A$3:$A$5001,"&lt;="&amp;$B185,BD!$X$3:$X$5001,"&lt;&gt;")=0,"",SUMIFS(BD!$X$3:$X$5001,BD!$B$3:$B$5001,K$171,BD!$A$3:$A$5001,_xlfn.MAXIFS(BD!$A$3:$A$5001,BD!$B$3:$B$5001,K$171,BD!$A$3:$A$5001,"&gt;="&amp;$C$7,BD!$A$3:$A$5001,"&lt;="&amp;$B185,BD!$X$3:$X$5001,"&lt;&gt;"))))</f>
        <v/>
      </c>
      <c r="L185" s="43" t="str">
        <f>IF(OR($B185="",$A185&gt;$B$9,L$171=""),"",IF(COUNTIFS(BD!$B$3:$B$5001,L$171,BD!$A$3:$A$5001,"&gt;="&amp;$C$7,BD!$A$3:$A$5001,"&lt;="&amp;$B185,BD!$X$3:$X$5001,"&lt;&gt;")=0,"",SUMIFS(BD!$X$3:$X$5001,BD!$B$3:$B$5001,L$171,BD!$A$3:$A$5001,_xlfn.MAXIFS(BD!$A$3:$A$5001,BD!$B$3:$B$5001,L$171,BD!$A$3:$A$5001,"&gt;="&amp;$C$7,BD!$A$3:$A$5001,"&lt;="&amp;$B185,BD!$X$3:$X$5001,"&lt;&gt;"))))</f>
        <v/>
      </c>
      <c r="M185" s="43" t="str">
        <f>IF(OR($B185="",$A185&gt;$B$9,M$171=""),"",IF(COUNTIFS(BD!$B$3:$B$5001,M$171,BD!$A$3:$A$5001,"&gt;="&amp;$C$7,BD!$A$3:$A$5001,"&lt;="&amp;$B185,BD!$X$3:$X$5001,"&lt;&gt;")=0,"",SUMIFS(BD!$X$3:$X$5001,BD!$B$3:$B$5001,M$171,BD!$A$3:$A$5001,_xlfn.MAXIFS(BD!$A$3:$A$5001,BD!$B$3:$B$5001,M$171,BD!$A$3:$A$5001,"&gt;="&amp;$C$7,BD!$A$3:$A$5001,"&lt;="&amp;$B185,BD!$X$3:$X$5001,"&lt;&gt;"))))</f>
        <v/>
      </c>
      <c r="N185" s="43" t="str">
        <f>IF(OR($B185="",$A185&gt;$B$9,N$171=""),"",IF(COUNTIFS(BD!$B$3:$B$5001,N$171,BD!$A$3:$A$5001,"&gt;="&amp;$C$7,BD!$A$3:$A$5001,"&lt;="&amp;$B185,BD!$X$3:$X$5001,"&lt;&gt;")=0,"",SUMIFS(BD!$X$3:$X$5001,BD!$B$3:$B$5001,N$171,BD!$A$3:$A$5001,_xlfn.MAXIFS(BD!$A$3:$A$5001,BD!$B$3:$B$5001,N$171,BD!$A$3:$A$5001,"&gt;="&amp;$C$7,BD!$A$3:$A$5001,"&lt;="&amp;$B185,BD!$X$3:$X$5001,"&lt;&gt;"))))</f>
        <v/>
      </c>
      <c r="O185" s="43" t="str">
        <f>IF(OR($B185="",$A185&gt;$B$9,O$171=""),"",IF(COUNTIFS(BD!$B$3:$B$5001,O$171,BD!$A$3:$A$5001,"&gt;="&amp;$C$7,BD!$A$3:$A$5001,"&lt;="&amp;$B185,BD!$X$3:$X$5001,"&lt;&gt;")=0,"",SUMIFS(BD!$X$3:$X$5001,BD!$B$3:$B$5001,O$171,BD!$A$3:$A$5001,_xlfn.MAXIFS(BD!$A$3:$A$5001,BD!$B$3:$B$5001,O$171,BD!$A$3:$A$5001,"&gt;="&amp;$C$7,BD!$A$3:$A$5001,"&lt;="&amp;$B185,BD!$X$3:$X$5001,"&lt;&gt;"))))</f>
        <v/>
      </c>
      <c r="P185" s="43" t="str">
        <f>IF(OR($B185="",$A185&gt;$B$9,P$171=""),"",IF(COUNTIFS(BD!$B$3:$B$5001,P$171,BD!$A$3:$A$5001,"&gt;="&amp;$C$7,BD!$A$3:$A$5001,"&lt;="&amp;$B185,BD!$X$3:$X$5001,"&lt;&gt;")=0,"",SUMIFS(BD!$X$3:$X$5001,BD!$B$3:$B$5001,P$171,BD!$A$3:$A$5001,_xlfn.MAXIFS(BD!$A$3:$A$5001,BD!$B$3:$B$5001,P$171,BD!$A$3:$A$5001,"&gt;="&amp;$C$7,BD!$A$3:$A$5001,"&lt;="&amp;$B185,BD!$X$3:$X$5001,"&lt;&gt;"))))</f>
        <v/>
      </c>
      <c r="Q185" s="43" t="str">
        <f>IF(OR($B185="",$A185&gt;$B$9,Q$171=""),"",IF(COUNTIFS(BD!$B$3:$B$5001,Q$171,BD!$A$3:$A$5001,"&gt;="&amp;$C$7,BD!$A$3:$A$5001,"&lt;="&amp;$B185,BD!$X$3:$X$5001,"&lt;&gt;")=0,"",SUMIFS(BD!$X$3:$X$5001,BD!$B$3:$B$5001,Q$171,BD!$A$3:$A$5001,_xlfn.MAXIFS(BD!$A$3:$A$5001,BD!$B$3:$B$5001,Q$171,BD!$A$3:$A$5001,"&gt;="&amp;$C$7,BD!$A$3:$A$5001,"&lt;="&amp;$B185,BD!$X$3:$X$5001,"&lt;&gt;"))))</f>
        <v/>
      </c>
      <c r="R185" s="43" t="str">
        <f>IF(OR($B185="",$A185&gt;$B$9,R$171=""),"",IF(COUNTIFS(BD!$B$3:$B$5001,R$171,BD!$A$3:$A$5001,"&gt;="&amp;$C$7,BD!$A$3:$A$5001,"&lt;="&amp;$B185,BD!$X$3:$X$5001,"&lt;&gt;")=0,"",SUMIFS(BD!$X$3:$X$5001,BD!$B$3:$B$5001,R$171,BD!$A$3:$A$5001,_xlfn.MAXIFS(BD!$A$3:$A$5001,BD!$B$3:$B$5001,R$171,BD!$A$3:$A$5001,"&gt;="&amp;$C$7,BD!$A$3:$A$5001,"&lt;="&amp;$B185,BD!$X$3:$X$5001,"&lt;&gt;"))))</f>
        <v/>
      </c>
      <c r="S185" s="43" t="str">
        <f>IF(OR($B185="",$A185&gt;$B$9,S$171=""),"",IF(COUNTIFS(BD!$B$3:$B$5001,S$171,BD!$A$3:$A$5001,"&gt;="&amp;$C$7,BD!$A$3:$A$5001,"&lt;="&amp;$B185,BD!$X$3:$X$5001,"&lt;&gt;")=0,"",SUMIFS(BD!$X$3:$X$5001,BD!$B$3:$B$5001,S$171,BD!$A$3:$A$5001,_xlfn.MAXIFS(BD!$A$3:$A$5001,BD!$B$3:$B$5001,S$171,BD!$A$3:$A$5001,"&gt;="&amp;$C$7,BD!$A$3:$A$5001,"&lt;="&amp;$B185,BD!$X$3:$X$5001,"&lt;&gt;"))))</f>
        <v/>
      </c>
      <c r="T185" s="43" t="str">
        <f>IF(OR($B185="",$A185&gt;$B$9,T$171=""),"",IF(COUNTIFS(BD!$B$3:$B$5001,T$171,BD!$A$3:$A$5001,"&gt;="&amp;$C$7,BD!$A$3:$A$5001,"&lt;="&amp;$B185,BD!$X$3:$X$5001,"&lt;&gt;")=0,"",SUMIFS(BD!$X$3:$X$5001,BD!$B$3:$B$5001,T$171,BD!$A$3:$A$5001,_xlfn.MAXIFS(BD!$A$3:$A$5001,BD!$B$3:$B$5001,T$171,BD!$A$3:$A$5001,"&gt;="&amp;$C$7,BD!$A$3:$A$5001,"&lt;="&amp;$B185,BD!$X$3:$X$5001,"&lt;&gt;"))))</f>
        <v/>
      </c>
      <c r="U185" s="43" t="str">
        <f>IF(OR($B185="",$A185&gt;$B$9,U$171=""),"",IF(COUNTIFS(BD!$B$3:$B$5001,U$171,BD!$A$3:$A$5001,"&gt;="&amp;$C$7,BD!$A$3:$A$5001,"&lt;="&amp;$B185,BD!$X$3:$X$5001,"&lt;&gt;")=0,"",SUMIFS(BD!$X$3:$X$5001,BD!$B$3:$B$5001,U$171,BD!$A$3:$A$5001,_xlfn.MAXIFS(BD!$A$3:$A$5001,BD!$B$3:$B$5001,U$171,BD!$A$3:$A$5001,"&gt;="&amp;$C$7,BD!$A$3:$A$5001,"&lt;="&amp;$B185,BD!$X$3:$X$5001,"&lt;&gt;"))))</f>
        <v/>
      </c>
      <c r="V185" s="43" t="str">
        <f>IF(OR($B185="",$A185&gt;$B$9,V$171=""),"",IF(COUNTIFS(BD!$B$3:$B$5001,V$171,BD!$A$3:$A$5001,"&gt;="&amp;$C$7,BD!$A$3:$A$5001,"&lt;="&amp;$B185,BD!$X$3:$X$5001,"&lt;&gt;")=0,"",SUMIFS(BD!$X$3:$X$5001,BD!$B$3:$B$5001,V$171,BD!$A$3:$A$5001,_xlfn.MAXIFS(BD!$A$3:$A$5001,BD!$B$3:$B$5001,V$171,BD!$A$3:$A$5001,"&gt;="&amp;$C$7,BD!$A$3:$A$5001,"&lt;="&amp;$B185,BD!$X$3:$X$5001,"&lt;&gt;"))))</f>
        <v/>
      </c>
    </row>
    <row r="186">
      <c r="A186" s="38">
        <v>15</v>
      </c>
      <c r="B186" s="42">
        <f>$B$26</f>
        <v>46310</v>
      </c>
      <c r="C186" s="43" t="str">
        <f>IF(OR($B186="",$A186&gt;$B$9,C$171=""),"",IF(COUNTIFS(BD!$B$3:$B$5001,C$171,BD!$A$3:$A$5001,"&gt;="&amp;$C$7,BD!$A$3:$A$5001,"&lt;="&amp;$B186,BD!$X$3:$X$5001,"&lt;&gt;")=0,"",SUMIFS(BD!$X$3:$X$5001,BD!$B$3:$B$5001,C$171,BD!$A$3:$A$5001,_xlfn.MAXIFS(BD!$A$3:$A$5001,BD!$B$3:$B$5001,C$171,BD!$A$3:$A$5001,"&gt;="&amp;$C$7,BD!$A$3:$A$5001,"&lt;="&amp;$B186,BD!$X$3:$X$5001,"&lt;&gt;"))))</f>
        <v/>
      </c>
      <c r="D186" s="43" t="str">
        <f>IF(OR($B186="",$A186&gt;$B$9,D$171=""),"",IF(COUNTIFS(BD!$B$3:$B$5001,D$171,BD!$A$3:$A$5001,"&gt;="&amp;$C$7,BD!$A$3:$A$5001,"&lt;="&amp;$B186,BD!$X$3:$X$5001,"&lt;&gt;")=0,"",SUMIFS(BD!$X$3:$X$5001,BD!$B$3:$B$5001,D$171,BD!$A$3:$A$5001,_xlfn.MAXIFS(BD!$A$3:$A$5001,BD!$B$3:$B$5001,D$171,BD!$A$3:$A$5001,"&gt;="&amp;$C$7,BD!$A$3:$A$5001,"&lt;="&amp;$B186,BD!$X$3:$X$5001,"&lt;&gt;"))))</f>
        <v/>
      </c>
      <c r="E186" s="43" t="str">
        <f>IF(OR($B186="",$A186&gt;$B$9,E$171=""),"",IF(COUNTIFS(BD!$B$3:$B$5001,E$171,BD!$A$3:$A$5001,"&gt;="&amp;$C$7,BD!$A$3:$A$5001,"&lt;="&amp;$B186,BD!$X$3:$X$5001,"&lt;&gt;")=0,"",SUMIFS(BD!$X$3:$X$5001,BD!$B$3:$B$5001,E$171,BD!$A$3:$A$5001,_xlfn.MAXIFS(BD!$A$3:$A$5001,BD!$B$3:$B$5001,E$171,BD!$A$3:$A$5001,"&gt;="&amp;$C$7,BD!$A$3:$A$5001,"&lt;="&amp;$B186,BD!$X$3:$X$5001,"&lt;&gt;"))))</f>
        <v/>
      </c>
      <c r="F186" s="43" t="str">
        <f>IF(OR($B186="",$A186&gt;$B$9,F$171=""),"",IF(COUNTIFS(BD!$B$3:$B$5001,F$171,BD!$A$3:$A$5001,"&gt;="&amp;$C$7,BD!$A$3:$A$5001,"&lt;="&amp;$B186,BD!$X$3:$X$5001,"&lt;&gt;")=0,"",SUMIFS(BD!$X$3:$X$5001,BD!$B$3:$B$5001,F$171,BD!$A$3:$A$5001,_xlfn.MAXIFS(BD!$A$3:$A$5001,BD!$B$3:$B$5001,F$171,BD!$A$3:$A$5001,"&gt;="&amp;$C$7,BD!$A$3:$A$5001,"&lt;="&amp;$B186,BD!$X$3:$X$5001,"&lt;&gt;"))))</f>
        <v/>
      </c>
      <c r="G186" s="43" t="str">
        <f>IF(OR($B186="",$A186&gt;$B$9,G$171=""),"",IF(COUNTIFS(BD!$B$3:$B$5001,G$171,BD!$A$3:$A$5001,"&gt;="&amp;$C$7,BD!$A$3:$A$5001,"&lt;="&amp;$B186,BD!$X$3:$X$5001,"&lt;&gt;")=0,"",SUMIFS(BD!$X$3:$X$5001,BD!$B$3:$B$5001,G$171,BD!$A$3:$A$5001,_xlfn.MAXIFS(BD!$A$3:$A$5001,BD!$B$3:$B$5001,G$171,BD!$A$3:$A$5001,"&gt;="&amp;$C$7,BD!$A$3:$A$5001,"&lt;="&amp;$B186,BD!$X$3:$X$5001,"&lt;&gt;"))))</f>
        <v/>
      </c>
      <c r="H186" s="43" t="str">
        <f>IF(OR($B186="",$A186&gt;$B$9,H$171=""),"",IF(COUNTIFS(BD!$B$3:$B$5001,H$171,BD!$A$3:$A$5001,"&gt;="&amp;$C$7,BD!$A$3:$A$5001,"&lt;="&amp;$B186,BD!$X$3:$X$5001,"&lt;&gt;")=0,"",SUMIFS(BD!$X$3:$X$5001,BD!$B$3:$B$5001,H$171,BD!$A$3:$A$5001,_xlfn.MAXIFS(BD!$A$3:$A$5001,BD!$B$3:$B$5001,H$171,BD!$A$3:$A$5001,"&gt;="&amp;$C$7,BD!$A$3:$A$5001,"&lt;="&amp;$B186,BD!$X$3:$X$5001,"&lt;&gt;"))))</f>
        <v/>
      </c>
      <c r="I186" s="43" t="str">
        <f>IF(OR($B186="",$A186&gt;$B$9,I$171=""),"",IF(COUNTIFS(BD!$B$3:$B$5001,I$171,BD!$A$3:$A$5001,"&gt;="&amp;$C$7,BD!$A$3:$A$5001,"&lt;="&amp;$B186,BD!$X$3:$X$5001,"&lt;&gt;")=0,"",SUMIFS(BD!$X$3:$X$5001,BD!$B$3:$B$5001,I$171,BD!$A$3:$A$5001,_xlfn.MAXIFS(BD!$A$3:$A$5001,BD!$B$3:$B$5001,I$171,BD!$A$3:$A$5001,"&gt;="&amp;$C$7,BD!$A$3:$A$5001,"&lt;="&amp;$B186,BD!$X$3:$X$5001,"&lt;&gt;"))))</f>
        <v/>
      </c>
      <c r="J186" s="43" t="str">
        <f>IF(OR($B186="",$A186&gt;$B$9,J$171=""),"",IF(COUNTIFS(BD!$B$3:$B$5001,J$171,BD!$A$3:$A$5001,"&gt;="&amp;$C$7,BD!$A$3:$A$5001,"&lt;="&amp;$B186,BD!$X$3:$X$5001,"&lt;&gt;")=0,"",SUMIFS(BD!$X$3:$X$5001,BD!$B$3:$B$5001,J$171,BD!$A$3:$A$5001,_xlfn.MAXIFS(BD!$A$3:$A$5001,BD!$B$3:$B$5001,J$171,BD!$A$3:$A$5001,"&gt;="&amp;$C$7,BD!$A$3:$A$5001,"&lt;="&amp;$B186,BD!$X$3:$X$5001,"&lt;&gt;"))))</f>
        <v/>
      </c>
      <c r="K186" s="43" t="str">
        <f>IF(OR($B186="",$A186&gt;$B$9,K$171=""),"",IF(COUNTIFS(BD!$B$3:$B$5001,K$171,BD!$A$3:$A$5001,"&gt;="&amp;$C$7,BD!$A$3:$A$5001,"&lt;="&amp;$B186,BD!$X$3:$X$5001,"&lt;&gt;")=0,"",SUMIFS(BD!$X$3:$X$5001,BD!$B$3:$B$5001,K$171,BD!$A$3:$A$5001,_xlfn.MAXIFS(BD!$A$3:$A$5001,BD!$B$3:$B$5001,K$171,BD!$A$3:$A$5001,"&gt;="&amp;$C$7,BD!$A$3:$A$5001,"&lt;="&amp;$B186,BD!$X$3:$X$5001,"&lt;&gt;"))))</f>
        <v/>
      </c>
      <c r="L186" s="43" t="str">
        <f>IF(OR($B186="",$A186&gt;$B$9,L$171=""),"",IF(COUNTIFS(BD!$B$3:$B$5001,L$171,BD!$A$3:$A$5001,"&gt;="&amp;$C$7,BD!$A$3:$A$5001,"&lt;="&amp;$B186,BD!$X$3:$X$5001,"&lt;&gt;")=0,"",SUMIFS(BD!$X$3:$X$5001,BD!$B$3:$B$5001,L$171,BD!$A$3:$A$5001,_xlfn.MAXIFS(BD!$A$3:$A$5001,BD!$B$3:$B$5001,L$171,BD!$A$3:$A$5001,"&gt;="&amp;$C$7,BD!$A$3:$A$5001,"&lt;="&amp;$B186,BD!$X$3:$X$5001,"&lt;&gt;"))))</f>
        <v/>
      </c>
      <c r="M186" s="43" t="str">
        <f>IF(OR($B186="",$A186&gt;$B$9,M$171=""),"",IF(COUNTIFS(BD!$B$3:$B$5001,M$171,BD!$A$3:$A$5001,"&gt;="&amp;$C$7,BD!$A$3:$A$5001,"&lt;="&amp;$B186,BD!$X$3:$X$5001,"&lt;&gt;")=0,"",SUMIFS(BD!$X$3:$X$5001,BD!$B$3:$B$5001,M$171,BD!$A$3:$A$5001,_xlfn.MAXIFS(BD!$A$3:$A$5001,BD!$B$3:$B$5001,M$171,BD!$A$3:$A$5001,"&gt;="&amp;$C$7,BD!$A$3:$A$5001,"&lt;="&amp;$B186,BD!$X$3:$X$5001,"&lt;&gt;"))))</f>
        <v/>
      </c>
      <c r="N186" s="43" t="str">
        <f>IF(OR($B186="",$A186&gt;$B$9,N$171=""),"",IF(COUNTIFS(BD!$B$3:$B$5001,N$171,BD!$A$3:$A$5001,"&gt;="&amp;$C$7,BD!$A$3:$A$5001,"&lt;="&amp;$B186,BD!$X$3:$X$5001,"&lt;&gt;")=0,"",SUMIFS(BD!$X$3:$X$5001,BD!$B$3:$B$5001,N$171,BD!$A$3:$A$5001,_xlfn.MAXIFS(BD!$A$3:$A$5001,BD!$B$3:$B$5001,N$171,BD!$A$3:$A$5001,"&gt;="&amp;$C$7,BD!$A$3:$A$5001,"&lt;="&amp;$B186,BD!$X$3:$X$5001,"&lt;&gt;"))))</f>
        <v/>
      </c>
      <c r="O186" s="43" t="str">
        <f>IF(OR($B186="",$A186&gt;$B$9,O$171=""),"",IF(COUNTIFS(BD!$B$3:$B$5001,O$171,BD!$A$3:$A$5001,"&gt;="&amp;$C$7,BD!$A$3:$A$5001,"&lt;="&amp;$B186,BD!$X$3:$X$5001,"&lt;&gt;")=0,"",SUMIFS(BD!$X$3:$X$5001,BD!$B$3:$B$5001,O$171,BD!$A$3:$A$5001,_xlfn.MAXIFS(BD!$A$3:$A$5001,BD!$B$3:$B$5001,O$171,BD!$A$3:$A$5001,"&gt;="&amp;$C$7,BD!$A$3:$A$5001,"&lt;="&amp;$B186,BD!$X$3:$X$5001,"&lt;&gt;"))))</f>
        <v/>
      </c>
      <c r="P186" s="43" t="str">
        <f>IF(OR($B186="",$A186&gt;$B$9,P$171=""),"",IF(COUNTIFS(BD!$B$3:$B$5001,P$171,BD!$A$3:$A$5001,"&gt;="&amp;$C$7,BD!$A$3:$A$5001,"&lt;="&amp;$B186,BD!$X$3:$X$5001,"&lt;&gt;")=0,"",SUMIFS(BD!$X$3:$X$5001,BD!$B$3:$B$5001,P$171,BD!$A$3:$A$5001,_xlfn.MAXIFS(BD!$A$3:$A$5001,BD!$B$3:$B$5001,P$171,BD!$A$3:$A$5001,"&gt;="&amp;$C$7,BD!$A$3:$A$5001,"&lt;="&amp;$B186,BD!$X$3:$X$5001,"&lt;&gt;"))))</f>
        <v/>
      </c>
      <c r="Q186" s="43" t="str">
        <f>IF(OR($B186="",$A186&gt;$B$9,Q$171=""),"",IF(COUNTIFS(BD!$B$3:$B$5001,Q$171,BD!$A$3:$A$5001,"&gt;="&amp;$C$7,BD!$A$3:$A$5001,"&lt;="&amp;$B186,BD!$X$3:$X$5001,"&lt;&gt;")=0,"",SUMIFS(BD!$X$3:$X$5001,BD!$B$3:$B$5001,Q$171,BD!$A$3:$A$5001,_xlfn.MAXIFS(BD!$A$3:$A$5001,BD!$B$3:$B$5001,Q$171,BD!$A$3:$A$5001,"&gt;="&amp;$C$7,BD!$A$3:$A$5001,"&lt;="&amp;$B186,BD!$X$3:$X$5001,"&lt;&gt;"))))</f>
        <v/>
      </c>
      <c r="R186" s="43" t="str">
        <f>IF(OR($B186="",$A186&gt;$B$9,R$171=""),"",IF(COUNTIFS(BD!$B$3:$B$5001,R$171,BD!$A$3:$A$5001,"&gt;="&amp;$C$7,BD!$A$3:$A$5001,"&lt;="&amp;$B186,BD!$X$3:$X$5001,"&lt;&gt;")=0,"",SUMIFS(BD!$X$3:$X$5001,BD!$B$3:$B$5001,R$171,BD!$A$3:$A$5001,_xlfn.MAXIFS(BD!$A$3:$A$5001,BD!$B$3:$B$5001,R$171,BD!$A$3:$A$5001,"&gt;="&amp;$C$7,BD!$A$3:$A$5001,"&lt;="&amp;$B186,BD!$X$3:$X$5001,"&lt;&gt;"))))</f>
        <v/>
      </c>
      <c r="S186" s="43" t="str">
        <f>IF(OR($B186="",$A186&gt;$B$9,S$171=""),"",IF(COUNTIFS(BD!$B$3:$B$5001,S$171,BD!$A$3:$A$5001,"&gt;="&amp;$C$7,BD!$A$3:$A$5001,"&lt;="&amp;$B186,BD!$X$3:$X$5001,"&lt;&gt;")=0,"",SUMIFS(BD!$X$3:$X$5001,BD!$B$3:$B$5001,S$171,BD!$A$3:$A$5001,_xlfn.MAXIFS(BD!$A$3:$A$5001,BD!$B$3:$B$5001,S$171,BD!$A$3:$A$5001,"&gt;="&amp;$C$7,BD!$A$3:$A$5001,"&lt;="&amp;$B186,BD!$X$3:$X$5001,"&lt;&gt;"))))</f>
        <v/>
      </c>
      <c r="T186" s="43" t="str">
        <f>IF(OR($B186="",$A186&gt;$B$9,T$171=""),"",IF(COUNTIFS(BD!$B$3:$B$5001,T$171,BD!$A$3:$A$5001,"&gt;="&amp;$C$7,BD!$A$3:$A$5001,"&lt;="&amp;$B186,BD!$X$3:$X$5001,"&lt;&gt;")=0,"",SUMIFS(BD!$X$3:$X$5001,BD!$B$3:$B$5001,T$171,BD!$A$3:$A$5001,_xlfn.MAXIFS(BD!$A$3:$A$5001,BD!$B$3:$B$5001,T$171,BD!$A$3:$A$5001,"&gt;="&amp;$C$7,BD!$A$3:$A$5001,"&lt;="&amp;$B186,BD!$X$3:$X$5001,"&lt;&gt;"))))</f>
        <v/>
      </c>
      <c r="U186" s="43" t="str">
        <f>IF(OR($B186="",$A186&gt;$B$9,U$171=""),"",IF(COUNTIFS(BD!$B$3:$B$5001,U$171,BD!$A$3:$A$5001,"&gt;="&amp;$C$7,BD!$A$3:$A$5001,"&lt;="&amp;$B186,BD!$X$3:$X$5001,"&lt;&gt;")=0,"",SUMIFS(BD!$X$3:$X$5001,BD!$B$3:$B$5001,U$171,BD!$A$3:$A$5001,_xlfn.MAXIFS(BD!$A$3:$A$5001,BD!$B$3:$B$5001,U$171,BD!$A$3:$A$5001,"&gt;="&amp;$C$7,BD!$A$3:$A$5001,"&lt;="&amp;$B186,BD!$X$3:$X$5001,"&lt;&gt;"))))</f>
        <v/>
      </c>
      <c r="V186" s="43" t="str">
        <f>IF(OR($B186="",$A186&gt;$B$9,V$171=""),"",IF(COUNTIFS(BD!$B$3:$B$5001,V$171,BD!$A$3:$A$5001,"&gt;="&amp;$C$7,BD!$A$3:$A$5001,"&lt;="&amp;$B186,BD!$X$3:$X$5001,"&lt;&gt;")=0,"",SUMIFS(BD!$X$3:$X$5001,BD!$B$3:$B$5001,V$171,BD!$A$3:$A$5001,_xlfn.MAXIFS(BD!$A$3:$A$5001,BD!$B$3:$B$5001,V$171,BD!$A$3:$A$5001,"&gt;="&amp;$C$7,BD!$A$3:$A$5001,"&lt;="&amp;$B186,BD!$X$3:$X$5001,"&lt;&gt;"))))</f>
        <v/>
      </c>
    </row>
    <row r="187">
      <c r="A187" s="38">
        <v>16</v>
      </c>
      <c r="B187" s="42">
        <f>$B$27</f>
        <v>46311</v>
      </c>
      <c r="C187" s="43" t="str">
        <f>IF(OR($B187="",$A187&gt;$B$9,C$171=""),"",IF(COUNTIFS(BD!$B$3:$B$5001,C$171,BD!$A$3:$A$5001,"&gt;="&amp;$C$7,BD!$A$3:$A$5001,"&lt;="&amp;$B187,BD!$X$3:$X$5001,"&lt;&gt;")=0,"",SUMIFS(BD!$X$3:$X$5001,BD!$B$3:$B$5001,C$171,BD!$A$3:$A$5001,_xlfn.MAXIFS(BD!$A$3:$A$5001,BD!$B$3:$B$5001,C$171,BD!$A$3:$A$5001,"&gt;="&amp;$C$7,BD!$A$3:$A$5001,"&lt;="&amp;$B187,BD!$X$3:$X$5001,"&lt;&gt;"))))</f>
        <v/>
      </c>
      <c r="D187" s="43" t="str">
        <f>IF(OR($B187="",$A187&gt;$B$9,D$171=""),"",IF(COUNTIFS(BD!$B$3:$B$5001,D$171,BD!$A$3:$A$5001,"&gt;="&amp;$C$7,BD!$A$3:$A$5001,"&lt;="&amp;$B187,BD!$X$3:$X$5001,"&lt;&gt;")=0,"",SUMIFS(BD!$X$3:$X$5001,BD!$B$3:$B$5001,D$171,BD!$A$3:$A$5001,_xlfn.MAXIFS(BD!$A$3:$A$5001,BD!$B$3:$B$5001,D$171,BD!$A$3:$A$5001,"&gt;="&amp;$C$7,BD!$A$3:$A$5001,"&lt;="&amp;$B187,BD!$X$3:$X$5001,"&lt;&gt;"))))</f>
        <v/>
      </c>
      <c r="E187" s="43" t="str">
        <f>IF(OR($B187="",$A187&gt;$B$9,E$171=""),"",IF(COUNTIFS(BD!$B$3:$B$5001,E$171,BD!$A$3:$A$5001,"&gt;="&amp;$C$7,BD!$A$3:$A$5001,"&lt;="&amp;$B187,BD!$X$3:$X$5001,"&lt;&gt;")=0,"",SUMIFS(BD!$X$3:$X$5001,BD!$B$3:$B$5001,E$171,BD!$A$3:$A$5001,_xlfn.MAXIFS(BD!$A$3:$A$5001,BD!$B$3:$B$5001,E$171,BD!$A$3:$A$5001,"&gt;="&amp;$C$7,BD!$A$3:$A$5001,"&lt;="&amp;$B187,BD!$X$3:$X$5001,"&lt;&gt;"))))</f>
        <v/>
      </c>
      <c r="F187" s="43" t="str">
        <f>IF(OR($B187="",$A187&gt;$B$9,F$171=""),"",IF(COUNTIFS(BD!$B$3:$B$5001,F$171,BD!$A$3:$A$5001,"&gt;="&amp;$C$7,BD!$A$3:$A$5001,"&lt;="&amp;$B187,BD!$X$3:$X$5001,"&lt;&gt;")=0,"",SUMIFS(BD!$X$3:$X$5001,BD!$B$3:$B$5001,F$171,BD!$A$3:$A$5001,_xlfn.MAXIFS(BD!$A$3:$A$5001,BD!$B$3:$B$5001,F$171,BD!$A$3:$A$5001,"&gt;="&amp;$C$7,BD!$A$3:$A$5001,"&lt;="&amp;$B187,BD!$X$3:$X$5001,"&lt;&gt;"))))</f>
        <v/>
      </c>
      <c r="G187" s="43" t="str">
        <f>IF(OR($B187="",$A187&gt;$B$9,G$171=""),"",IF(COUNTIFS(BD!$B$3:$B$5001,G$171,BD!$A$3:$A$5001,"&gt;="&amp;$C$7,BD!$A$3:$A$5001,"&lt;="&amp;$B187,BD!$X$3:$X$5001,"&lt;&gt;")=0,"",SUMIFS(BD!$X$3:$X$5001,BD!$B$3:$B$5001,G$171,BD!$A$3:$A$5001,_xlfn.MAXIFS(BD!$A$3:$A$5001,BD!$B$3:$B$5001,G$171,BD!$A$3:$A$5001,"&gt;="&amp;$C$7,BD!$A$3:$A$5001,"&lt;="&amp;$B187,BD!$X$3:$X$5001,"&lt;&gt;"))))</f>
        <v/>
      </c>
      <c r="H187" s="43" t="str">
        <f>IF(OR($B187="",$A187&gt;$B$9,H$171=""),"",IF(COUNTIFS(BD!$B$3:$B$5001,H$171,BD!$A$3:$A$5001,"&gt;="&amp;$C$7,BD!$A$3:$A$5001,"&lt;="&amp;$B187,BD!$X$3:$X$5001,"&lt;&gt;")=0,"",SUMIFS(BD!$X$3:$X$5001,BD!$B$3:$B$5001,H$171,BD!$A$3:$A$5001,_xlfn.MAXIFS(BD!$A$3:$A$5001,BD!$B$3:$B$5001,H$171,BD!$A$3:$A$5001,"&gt;="&amp;$C$7,BD!$A$3:$A$5001,"&lt;="&amp;$B187,BD!$X$3:$X$5001,"&lt;&gt;"))))</f>
        <v/>
      </c>
      <c r="I187" s="43" t="str">
        <f>IF(OR($B187="",$A187&gt;$B$9,I$171=""),"",IF(COUNTIFS(BD!$B$3:$B$5001,I$171,BD!$A$3:$A$5001,"&gt;="&amp;$C$7,BD!$A$3:$A$5001,"&lt;="&amp;$B187,BD!$X$3:$X$5001,"&lt;&gt;")=0,"",SUMIFS(BD!$X$3:$X$5001,BD!$B$3:$B$5001,I$171,BD!$A$3:$A$5001,_xlfn.MAXIFS(BD!$A$3:$A$5001,BD!$B$3:$B$5001,I$171,BD!$A$3:$A$5001,"&gt;="&amp;$C$7,BD!$A$3:$A$5001,"&lt;="&amp;$B187,BD!$X$3:$X$5001,"&lt;&gt;"))))</f>
        <v/>
      </c>
      <c r="J187" s="43" t="str">
        <f>IF(OR($B187="",$A187&gt;$B$9,J$171=""),"",IF(COUNTIFS(BD!$B$3:$B$5001,J$171,BD!$A$3:$A$5001,"&gt;="&amp;$C$7,BD!$A$3:$A$5001,"&lt;="&amp;$B187,BD!$X$3:$X$5001,"&lt;&gt;")=0,"",SUMIFS(BD!$X$3:$X$5001,BD!$B$3:$B$5001,J$171,BD!$A$3:$A$5001,_xlfn.MAXIFS(BD!$A$3:$A$5001,BD!$B$3:$B$5001,J$171,BD!$A$3:$A$5001,"&gt;="&amp;$C$7,BD!$A$3:$A$5001,"&lt;="&amp;$B187,BD!$X$3:$X$5001,"&lt;&gt;"))))</f>
        <v/>
      </c>
      <c r="K187" s="43" t="str">
        <f>IF(OR($B187="",$A187&gt;$B$9,K$171=""),"",IF(COUNTIFS(BD!$B$3:$B$5001,K$171,BD!$A$3:$A$5001,"&gt;="&amp;$C$7,BD!$A$3:$A$5001,"&lt;="&amp;$B187,BD!$X$3:$X$5001,"&lt;&gt;")=0,"",SUMIFS(BD!$X$3:$X$5001,BD!$B$3:$B$5001,K$171,BD!$A$3:$A$5001,_xlfn.MAXIFS(BD!$A$3:$A$5001,BD!$B$3:$B$5001,K$171,BD!$A$3:$A$5001,"&gt;="&amp;$C$7,BD!$A$3:$A$5001,"&lt;="&amp;$B187,BD!$X$3:$X$5001,"&lt;&gt;"))))</f>
        <v/>
      </c>
      <c r="L187" s="43" t="str">
        <f>IF(OR($B187="",$A187&gt;$B$9,L$171=""),"",IF(COUNTIFS(BD!$B$3:$B$5001,L$171,BD!$A$3:$A$5001,"&gt;="&amp;$C$7,BD!$A$3:$A$5001,"&lt;="&amp;$B187,BD!$X$3:$X$5001,"&lt;&gt;")=0,"",SUMIFS(BD!$X$3:$X$5001,BD!$B$3:$B$5001,L$171,BD!$A$3:$A$5001,_xlfn.MAXIFS(BD!$A$3:$A$5001,BD!$B$3:$B$5001,L$171,BD!$A$3:$A$5001,"&gt;="&amp;$C$7,BD!$A$3:$A$5001,"&lt;="&amp;$B187,BD!$X$3:$X$5001,"&lt;&gt;"))))</f>
        <v/>
      </c>
      <c r="M187" s="43" t="str">
        <f>IF(OR($B187="",$A187&gt;$B$9,M$171=""),"",IF(COUNTIFS(BD!$B$3:$B$5001,M$171,BD!$A$3:$A$5001,"&gt;="&amp;$C$7,BD!$A$3:$A$5001,"&lt;="&amp;$B187,BD!$X$3:$X$5001,"&lt;&gt;")=0,"",SUMIFS(BD!$X$3:$X$5001,BD!$B$3:$B$5001,M$171,BD!$A$3:$A$5001,_xlfn.MAXIFS(BD!$A$3:$A$5001,BD!$B$3:$B$5001,M$171,BD!$A$3:$A$5001,"&gt;="&amp;$C$7,BD!$A$3:$A$5001,"&lt;="&amp;$B187,BD!$X$3:$X$5001,"&lt;&gt;"))))</f>
        <v/>
      </c>
      <c r="N187" s="43" t="str">
        <f>IF(OR($B187="",$A187&gt;$B$9,N$171=""),"",IF(COUNTIFS(BD!$B$3:$B$5001,N$171,BD!$A$3:$A$5001,"&gt;="&amp;$C$7,BD!$A$3:$A$5001,"&lt;="&amp;$B187,BD!$X$3:$X$5001,"&lt;&gt;")=0,"",SUMIFS(BD!$X$3:$X$5001,BD!$B$3:$B$5001,N$171,BD!$A$3:$A$5001,_xlfn.MAXIFS(BD!$A$3:$A$5001,BD!$B$3:$B$5001,N$171,BD!$A$3:$A$5001,"&gt;="&amp;$C$7,BD!$A$3:$A$5001,"&lt;="&amp;$B187,BD!$X$3:$X$5001,"&lt;&gt;"))))</f>
        <v/>
      </c>
      <c r="O187" s="43" t="str">
        <f>IF(OR($B187="",$A187&gt;$B$9,O$171=""),"",IF(COUNTIFS(BD!$B$3:$B$5001,O$171,BD!$A$3:$A$5001,"&gt;="&amp;$C$7,BD!$A$3:$A$5001,"&lt;="&amp;$B187,BD!$X$3:$X$5001,"&lt;&gt;")=0,"",SUMIFS(BD!$X$3:$X$5001,BD!$B$3:$B$5001,O$171,BD!$A$3:$A$5001,_xlfn.MAXIFS(BD!$A$3:$A$5001,BD!$B$3:$B$5001,O$171,BD!$A$3:$A$5001,"&gt;="&amp;$C$7,BD!$A$3:$A$5001,"&lt;="&amp;$B187,BD!$X$3:$X$5001,"&lt;&gt;"))))</f>
        <v/>
      </c>
      <c r="P187" s="43" t="str">
        <f>IF(OR($B187="",$A187&gt;$B$9,P$171=""),"",IF(COUNTIFS(BD!$B$3:$B$5001,P$171,BD!$A$3:$A$5001,"&gt;="&amp;$C$7,BD!$A$3:$A$5001,"&lt;="&amp;$B187,BD!$X$3:$X$5001,"&lt;&gt;")=0,"",SUMIFS(BD!$X$3:$X$5001,BD!$B$3:$B$5001,P$171,BD!$A$3:$A$5001,_xlfn.MAXIFS(BD!$A$3:$A$5001,BD!$B$3:$B$5001,P$171,BD!$A$3:$A$5001,"&gt;="&amp;$C$7,BD!$A$3:$A$5001,"&lt;="&amp;$B187,BD!$X$3:$X$5001,"&lt;&gt;"))))</f>
        <v/>
      </c>
      <c r="Q187" s="43" t="str">
        <f>IF(OR($B187="",$A187&gt;$B$9,Q$171=""),"",IF(COUNTIFS(BD!$B$3:$B$5001,Q$171,BD!$A$3:$A$5001,"&gt;="&amp;$C$7,BD!$A$3:$A$5001,"&lt;="&amp;$B187,BD!$X$3:$X$5001,"&lt;&gt;")=0,"",SUMIFS(BD!$X$3:$X$5001,BD!$B$3:$B$5001,Q$171,BD!$A$3:$A$5001,_xlfn.MAXIFS(BD!$A$3:$A$5001,BD!$B$3:$B$5001,Q$171,BD!$A$3:$A$5001,"&gt;="&amp;$C$7,BD!$A$3:$A$5001,"&lt;="&amp;$B187,BD!$X$3:$X$5001,"&lt;&gt;"))))</f>
        <v/>
      </c>
      <c r="R187" s="43" t="str">
        <f>IF(OR($B187="",$A187&gt;$B$9,R$171=""),"",IF(COUNTIFS(BD!$B$3:$B$5001,R$171,BD!$A$3:$A$5001,"&gt;="&amp;$C$7,BD!$A$3:$A$5001,"&lt;="&amp;$B187,BD!$X$3:$X$5001,"&lt;&gt;")=0,"",SUMIFS(BD!$X$3:$X$5001,BD!$B$3:$B$5001,R$171,BD!$A$3:$A$5001,_xlfn.MAXIFS(BD!$A$3:$A$5001,BD!$B$3:$B$5001,R$171,BD!$A$3:$A$5001,"&gt;="&amp;$C$7,BD!$A$3:$A$5001,"&lt;="&amp;$B187,BD!$X$3:$X$5001,"&lt;&gt;"))))</f>
        <v/>
      </c>
      <c r="S187" s="43" t="str">
        <f>IF(OR($B187="",$A187&gt;$B$9,S$171=""),"",IF(COUNTIFS(BD!$B$3:$B$5001,S$171,BD!$A$3:$A$5001,"&gt;="&amp;$C$7,BD!$A$3:$A$5001,"&lt;="&amp;$B187,BD!$X$3:$X$5001,"&lt;&gt;")=0,"",SUMIFS(BD!$X$3:$X$5001,BD!$B$3:$B$5001,S$171,BD!$A$3:$A$5001,_xlfn.MAXIFS(BD!$A$3:$A$5001,BD!$B$3:$B$5001,S$171,BD!$A$3:$A$5001,"&gt;="&amp;$C$7,BD!$A$3:$A$5001,"&lt;="&amp;$B187,BD!$X$3:$X$5001,"&lt;&gt;"))))</f>
        <v/>
      </c>
      <c r="T187" s="43" t="str">
        <f>IF(OR($B187="",$A187&gt;$B$9,T$171=""),"",IF(COUNTIFS(BD!$B$3:$B$5001,T$171,BD!$A$3:$A$5001,"&gt;="&amp;$C$7,BD!$A$3:$A$5001,"&lt;="&amp;$B187,BD!$X$3:$X$5001,"&lt;&gt;")=0,"",SUMIFS(BD!$X$3:$X$5001,BD!$B$3:$B$5001,T$171,BD!$A$3:$A$5001,_xlfn.MAXIFS(BD!$A$3:$A$5001,BD!$B$3:$B$5001,T$171,BD!$A$3:$A$5001,"&gt;="&amp;$C$7,BD!$A$3:$A$5001,"&lt;="&amp;$B187,BD!$X$3:$X$5001,"&lt;&gt;"))))</f>
        <v/>
      </c>
      <c r="U187" s="43" t="str">
        <f>IF(OR($B187="",$A187&gt;$B$9,U$171=""),"",IF(COUNTIFS(BD!$B$3:$B$5001,U$171,BD!$A$3:$A$5001,"&gt;="&amp;$C$7,BD!$A$3:$A$5001,"&lt;="&amp;$B187,BD!$X$3:$X$5001,"&lt;&gt;")=0,"",SUMIFS(BD!$X$3:$X$5001,BD!$B$3:$B$5001,U$171,BD!$A$3:$A$5001,_xlfn.MAXIFS(BD!$A$3:$A$5001,BD!$B$3:$B$5001,U$171,BD!$A$3:$A$5001,"&gt;="&amp;$C$7,BD!$A$3:$A$5001,"&lt;="&amp;$B187,BD!$X$3:$X$5001,"&lt;&gt;"))))</f>
        <v/>
      </c>
      <c r="V187" s="43" t="str">
        <f>IF(OR($B187="",$A187&gt;$B$9,V$171=""),"",IF(COUNTIFS(BD!$B$3:$B$5001,V$171,BD!$A$3:$A$5001,"&gt;="&amp;$C$7,BD!$A$3:$A$5001,"&lt;="&amp;$B187,BD!$X$3:$X$5001,"&lt;&gt;")=0,"",SUMIFS(BD!$X$3:$X$5001,BD!$B$3:$B$5001,V$171,BD!$A$3:$A$5001,_xlfn.MAXIFS(BD!$A$3:$A$5001,BD!$B$3:$B$5001,V$171,BD!$A$3:$A$5001,"&gt;="&amp;$C$7,BD!$A$3:$A$5001,"&lt;="&amp;$B187,BD!$X$3:$X$5001,"&lt;&gt;"))))</f>
        <v/>
      </c>
    </row>
    <row r="188">
      <c r="A188" s="38">
        <v>17</v>
      </c>
      <c r="B188" s="42">
        <f>$B$28</f>
        <v>46312</v>
      </c>
      <c r="C188" s="43" t="str">
        <f>IF(OR($B188="",$A188&gt;$B$9,C$171=""),"",IF(COUNTIFS(BD!$B$3:$B$5001,C$171,BD!$A$3:$A$5001,"&gt;="&amp;$C$7,BD!$A$3:$A$5001,"&lt;="&amp;$B188,BD!$X$3:$X$5001,"&lt;&gt;")=0,"",SUMIFS(BD!$X$3:$X$5001,BD!$B$3:$B$5001,C$171,BD!$A$3:$A$5001,_xlfn.MAXIFS(BD!$A$3:$A$5001,BD!$B$3:$B$5001,C$171,BD!$A$3:$A$5001,"&gt;="&amp;$C$7,BD!$A$3:$A$5001,"&lt;="&amp;$B188,BD!$X$3:$X$5001,"&lt;&gt;"))))</f>
        <v/>
      </c>
      <c r="D188" s="43" t="str">
        <f>IF(OR($B188="",$A188&gt;$B$9,D$171=""),"",IF(COUNTIFS(BD!$B$3:$B$5001,D$171,BD!$A$3:$A$5001,"&gt;="&amp;$C$7,BD!$A$3:$A$5001,"&lt;="&amp;$B188,BD!$X$3:$X$5001,"&lt;&gt;")=0,"",SUMIFS(BD!$X$3:$X$5001,BD!$B$3:$B$5001,D$171,BD!$A$3:$A$5001,_xlfn.MAXIFS(BD!$A$3:$A$5001,BD!$B$3:$B$5001,D$171,BD!$A$3:$A$5001,"&gt;="&amp;$C$7,BD!$A$3:$A$5001,"&lt;="&amp;$B188,BD!$X$3:$X$5001,"&lt;&gt;"))))</f>
        <v/>
      </c>
      <c r="E188" s="43" t="str">
        <f>IF(OR($B188="",$A188&gt;$B$9,E$171=""),"",IF(COUNTIFS(BD!$B$3:$B$5001,E$171,BD!$A$3:$A$5001,"&gt;="&amp;$C$7,BD!$A$3:$A$5001,"&lt;="&amp;$B188,BD!$X$3:$X$5001,"&lt;&gt;")=0,"",SUMIFS(BD!$X$3:$X$5001,BD!$B$3:$B$5001,E$171,BD!$A$3:$A$5001,_xlfn.MAXIFS(BD!$A$3:$A$5001,BD!$B$3:$B$5001,E$171,BD!$A$3:$A$5001,"&gt;="&amp;$C$7,BD!$A$3:$A$5001,"&lt;="&amp;$B188,BD!$X$3:$X$5001,"&lt;&gt;"))))</f>
        <v/>
      </c>
      <c r="F188" s="43" t="str">
        <f>IF(OR($B188="",$A188&gt;$B$9,F$171=""),"",IF(COUNTIFS(BD!$B$3:$B$5001,F$171,BD!$A$3:$A$5001,"&gt;="&amp;$C$7,BD!$A$3:$A$5001,"&lt;="&amp;$B188,BD!$X$3:$X$5001,"&lt;&gt;")=0,"",SUMIFS(BD!$X$3:$X$5001,BD!$B$3:$B$5001,F$171,BD!$A$3:$A$5001,_xlfn.MAXIFS(BD!$A$3:$A$5001,BD!$B$3:$B$5001,F$171,BD!$A$3:$A$5001,"&gt;="&amp;$C$7,BD!$A$3:$A$5001,"&lt;="&amp;$B188,BD!$X$3:$X$5001,"&lt;&gt;"))))</f>
        <v/>
      </c>
      <c r="G188" s="43" t="str">
        <f>IF(OR($B188="",$A188&gt;$B$9,G$171=""),"",IF(COUNTIFS(BD!$B$3:$B$5001,G$171,BD!$A$3:$A$5001,"&gt;="&amp;$C$7,BD!$A$3:$A$5001,"&lt;="&amp;$B188,BD!$X$3:$X$5001,"&lt;&gt;")=0,"",SUMIFS(BD!$X$3:$X$5001,BD!$B$3:$B$5001,G$171,BD!$A$3:$A$5001,_xlfn.MAXIFS(BD!$A$3:$A$5001,BD!$B$3:$B$5001,G$171,BD!$A$3:$A$5001,"&gt;="&amp;$C$7,BD!$A$3:$A$5001,"&lt;="&amp;$B188,BD!$X$3:$X$5001,"&lt;&gt;"))))</f>
        <v/>
      </c>
      <c r="H188" s="43" t="str">
        <f>IF(OR($B188="",$A188&gt;$B$9,H$171=""),"",IF(COUNTIFS(BD!$B$3:$B$5001,H$171,BD!$A$3:$A$5001,"&gt;="&amp;$C$7,BD!$A$3:$A$5001,"&lt;="&amp;$B188,BD!$X$3:$X$5001,"&lt;&gt;")=0,"",SUMIFS(BD!$X$3:$X$5001,BD!$B$3:$B$5001,H$171,BD!$A$3:$A$5001,_xlfn.MAXIFS(BD!$A$3:$A$5001,BD!$B$3:$B$5001,H$171,BD!$A$3:$A$5001,"&gt;="&amp;$C$7,BD!$A$3:$A$5001,"&lt;="&amp;$B188,BD!$X$3:$X$5001,"&lt;&gt;"))))</f>
        <v/>
      </c>
      <c r="I188" s="43" t="str">
        <f>IF(OR($B188="",$A188&gt;$B$9,I$171=""),"",IF(COUNTIFS(BD!$B$3:$B$5001,I$171,BD!$A$3:$A$5001,"&gt;="&amp;$C$7,BD!$A$3:$A$5001,"&lt;="&amp;$B188,BD!$X$3:$X$5001,"&lt;&gt;")=0,"",SUMIFS(BD!$X$3:$X$5001,BD!$B$3:$B$5001,I$171,BD!$A$3:$A$5001,_xlfn.MAXIFS(BD!$A$3:$A$5001,BD!$B$3:$B$5001,I$171,BD!$A$3:$A$5001,"&gt;="&amp;$C$7,BD!$A$3:$A$5001,"&lt;="&amp;$B188,BD!$X$3:$X$5001,"&lt;&gt;"))))</f>
        <v/>
      </c>
      <c r="J188" s="43" t="str">
        <f>IF(OR($B188="",$A188&gt;$B$9,J$171=""),"",IF(COUNTIFS(BD!$B$3:$B$5001,J$171,BD!$A$3:$A$5001,"&gt;="&amp;$C$7,BD!$A$3:$A$5001,"&lt;="&amp;$B188,BD!$X$3:$X$5001,"&lt;&gt;")=0,"",SUMIFS(BD!$X$3:$X$5001,BD!$B$3:$B$5001,J$171,BD!$A$3:$A$5001,_xlfn.MAXIFS(BD!$A$3:$A$5001,BD!$B$3:$B$5001,J$171,BD!$A$3:$A$5001,"&gt;="&amp;$C$7,BD!$A$3:$A$5001,"&lt;="&amp;$B188,BD!$X$3:$X$5001,"&lt;&gt;"))))</f>
        <v/>
      </c>
      <c r="K188" s="43" t="str">
        <f>IF(OR($B188="",$A188&gt;$B$9,K$171=""),"",IF(COUNTIFS(BD!$B$3:$B$5001,K$171,BD!$A$3:$A$5001,"&gt;="&amp;$C$7,BD!$A$3:$A$5001,"&lt;="&amp;$B188,BD!$X$3:$X$5001,"&lt;&gt;")=0,"",SUMIFS(BD!$X$3:$X$5001,BD!$B$3:$B$5001,K$171,BD!$A$3:$A$5001,_xlfn.MAXIFS(BD!$A$3:$A$5001,BD!$B$3:$B$5001,K$171,BD!$A$3:$A$5001,"&gt;="&amp;$C$7,BD!$A$3:$A$5001,"&lt;="&amp;$B188,BD!$X$3:$X$5001,"&lt;&gt;"))))</f>
        <v/>
      </c>
      <c r="L188" s="43" t="str">
        <f>IF(OR($B188="",$A188&gt;$B$9,L$171=""),"",IF(COUNTIFS(BD!$B$3:$B$5001,L$171,BD!$A$3:$A$5001,"&gt;="&amp;$C$7,BD!$A$3:$A$5001,"&lt;="&amp;$B188,BD!$X$3:$X$5001,"&lt;&gt;")=0,"",SUMIFS(BD!$X$3:$X$5001,BD!$B$3:$B$5001,L$171,BD!$A$3:$A$5001,_xlfn.MAXIFS(BD!$A$3:$A$5001,BD!$B$3:$B$5001,L$171,BD!$A$3:$A$5001,"&gt;="&amp;$C$7,BD!$A$3:$A$5001,"&lt;="&amp;$B188,BD!$X$3:$X$5001,"&lt;&gt;"))))</f>
        <v/>
      </c>
      <c r="M188" s="43" t="str">
        <f>IF(OR($B188="",$A188&gt;$B$9,M$171=""),"",IF(COUNTIFS(BD!$B$3:$B$5001,M$171,BD!$A$3:$A$5001,"&gt;="&amp;$C$7,BD!$A$3:$A$5001,"&lt;="&amp;$B188,BD!$X$3:$X$5001,"&lt;&gt;")=0,"",SUMIFS(BD!$X$3:$X$5001,BD!$B$3:$B$5001,M$171,BD!$A$3:$A$5001,_xlfn.MAXIFS(BD!$A$3:$A$5001,BD!$B$3:$B$5001,M$171,BD!$A$3:$A$5001,"&gt;="&amp;$C$7,BD!$A$3:$A$5001,"&lt;="&amp;$B188,BD!$X$3:$X$5001,"&lt;&gt;"))))</f>
        <v/>
      </c>
      <c r="N188" s="43" t="str">
        <f>IF(OR($B188="",$A188&gt;$B$9,N$171=""),"",IF(COUNTIFS(BD!$B$3:$B$5001,N$171,BD!$A$3:$A$5001,"&gt;="&amp;$C$7,BD!$A$3:$A$5001,"&lt;="&amp;$B188,BD!$X$3:$X$5001,"&lt;&gt;")=0,"",SUMIFS(BD!$X$3:$X$5001,BD!$B$3:$B$5001,N$171,BD!$A$3:$A$5001,_xlfn.MAXIFS(BD!$A$3:$A$5001,BD!$B$3:$B$5001,N$171,BD!$A$3:$A$5001,"&gt;="&amp;$C$7,BD!$A$3:$A$5001,"&lt;="&amp;$B188,BD!$X$3:$X$5001,"&lt;&gt;"))))</f>
        <v/>
      </c>
      <c r="O188" s="43" t="str">
        <f>IF(OR($B188="",$A188&gt;$B$9,O$171=""),"",IF(COUNTIFS(BD!$B$3:$B$5001,O$171,BD!$A$3:$A$5001,"&gt;="&amp;$C$7,BD!$A$3:$A$5001,"&lt;="&amp;$B188,BD!$X$3:$X$5001,"&lt;&gt;")=0,"",SUMIFS(BD!$X$3:$X$5001,BD!$B$3:$B$5001,O$171,BD!$A$3:$A$5001,_xlfn.MAXIFS(BD!$A$3:$A$5001,BD!$B$3:$B$5001,O$171,BD!$A$3:$A$5001,"&gt;="&amp;$C$7,BD!$A$3:$A$5001,"&lt;="&amp;$B188,BD!$X$3:$X$5001,"&lt;&gt;"))))</f>
        <v/>
      </c>
      <c r="P188" s="43" t="str">
        <f>IF(OR($B188="",$A188&gt;$B$9,P$171=""),"",IF(COUNTIFS(BD!$B$3:$B$5001,P$171,BD!$A$3:$A$5001,"&gt;="&amp;$C$7,BD!$A$3:$A$5001,"&lt;="&amp;$B188,BD!$X$3:$X$5001,"&lt;&gt;")=0,"",SUMIFS(BD!$X$3:$X$5001,BD!$B$3:$B$5001,P$171,BD!$A$3:$A$5001,_xlfn.MAXIFS(BD!$A$3:$A$5001,BD!$B$3:$B$5001,P$171,BD!$A$3:$A$5001,"&gt;="&amp;$C$7,BD!$A$3:$A$5001,"&lt;="&amp;$B188,BD!$X$3:$X$5001,"&lt;&gt;"))))</f>
        <v/>
      </c>
      <c r="Q188" s="43" t="str">
        <f>IF(OR($B188="",$A188&gt;$B$9,Q$171=""),"",IF(COUNTIFS(BD!$B$3:$B$5001,Q$171,BD!$A$3:$A$5001,"&gt;="&amp;$C$7,BD!$A$3:$A$5001,"&lt;="&amp;$B188,BD!$X$3:$X$5001,"&lt;&gt;")=0,"",SUMIFS(BD!$X$3:$X$5001,BD!$B$3:$B$5001,Q$171,BD!$A$3:$A$5001,_xlfn.MAXIFS(BD!$A$3:$A$5001,BD!$B$3:$B$5001,Q$171,BD!$A$3:$A$5001,"&gt;="&amp;$C$7,BD!$A$3:$A$5001,"&lt;="&amp;$B188,BD!$X$3:$X$5001,"&lt;&gt;"))))</f>
        <v/>
      </c>
      <c r="R188" s="43" t="str">
        <f>IF(OR($B188="",$A188&gt;$B$9,R$171=""),"",IF(COUNTIFS(BD!$B$3:$B$5001,R$171,BD!$A$3:$A$5001,"&gt;="&amp;$C$7,BD!$A$3:$A$5001,"&lt;="&amp;$B188,BD!$X$3:$X$5001,"&lt;&gt;")=0,"",SUMIFS(BD!$X$3:$X$5001,BD!$B$3:$B$5001,R$171,BD!$A$3:$A$5001,_xlfn.MAXIFS(BD!$A$3:$A$5001,BD!$B$3:$B$5001,R$171,BD!$A$3:$A$5001,"&gt;="&amp;$C$7,BD!$A$3:$A$5001,"&lt;="&amp;$B188,BD!$X$3:$X$5001,"&lt;&gt;"))))</f>
        <v/>
      </c>
      <c r="S188" s="43" t="str">
        <f>IF(OR($B188="",$A188&gt;$B$9,S$171=""),"",IF(COUNTIFS(BD!$B$3:$B$5001,S$171,BD!$A$3:$A$5001,"&gt;="&amp;$C$7,BD!$A$3:$A$5001,"&lt;="&amp;$B188,BD!$X$3:$X$5001,"&lt;&gt;")=0,"",SUMIFS(BD!$X$3:$X$5001,BD!$B$3:$B$5001,S$171,BD!$A$3:$A$5001,_xlfn.MAXIFS(BD!$A$3:$A$5001,BD!$B$3:$B$5001,S$171,BD!$A$3:$A$5001,"&gt;="&amp;$C$7,BD!$A$3:$A$5001,"&lt;="&amp;$B188,BD!$X$3:$X$5001,"&lt;&gt;"))))</f>
        <v/>
      </c>
      <c r="T188" s="43" t="str">
        <f>IF(OR($B188="",$A188&gt;$B$9,T$171=""),"",IF(COUNTIFS(BD!$B$3:$B$5001,T$171,BD!$A$3:$A$5001,"&gt;="&amp;$C$7,BD!$A$3:$A$5001,"&lt;="&amp;$B188,BD!$X$3:$X$5001,"&lt;&gt;")=0,"",SUMIFS(BD!$X$3:$X$5001,BD!$B$3:$B$5001,T$171,BD!$A$3:$A$5001,_xlfn.MAXIFS(BD!$A$3:$A$5001,BD!$B$3:$B$5001,T$171,BD!$A$3:$A$5001,"&gt;="&amp;$C$7,BD!$A$3:$A$5001,"&lt;="&amp;$B188,BD!$X$3:$X$5001,"&lt;&gt;"))))</f>
        <v/>
      </c>
      <c r="U188" s="43" t="str">
        <f>IF(OR($B188="",$A188&gt;$B$9,U$171=""),"",IF(COUNTIFS(BD!$B$3:$B$5001,U$171,BD!$A$3:$A$5001,"&gt;="&amp;$C$7,BD!$A$3:$A$5001,"&lt;="&amp;$B188,BD!$X$3:$X$5001,"&lt;&gt;")=0,"",SUMIFS(BD!$X$3:$X$5001,BD!$B$3:$B$5001,U$171,BD!$A$3:$A$5001,_xlfn.MAXIFS(BD!$A$3:$A$5001,BD!$B$3:$B$5001,U$171,BD!$A$3:$A$5001,"&gt;="&amp;$C$7,BD!$A$3:$A$5001,"&lt;="&amp;$B188,BD!$X$3:$X$5001,"&lt;&gt;"))))</f>
        <v/>
      </c>
      <c r="V188" s="43" t="str">
        <f>IF(OR($B188="",$A188&gt;$B$9,V$171=""),"",IF(COUNTIFS(BD!$B$3:$B$5001,V$171,BD!$A$3:$A$5001,"&gt;="&amp;$C$7,BD!$A$3:$A$5001,"&lt;="&amp;$B188,BD!$X$3:$X$5001,"&lt;&gt;")=0,"",SUMIFS(BD!$X$3:$X$5001,BD!$B$3:$B$5001,V$171,BD!$A$3:$A$5001,_xlfn.MAXIFS(BD!$A$3:$A$5001,BD!$B$3:$B$5001,V$171,BD!$A$3:$A$5001,"&gt;="&amp;$C$7,BD!$A$3:$A$5001,"&lt;="&amp;$B188,BD!$X$3:$X$5001,"&lt;&gt;"))))</f>
        <v/>
      </c>
    </row>
    <row r="189">
      <c r="A189" s="38">
        <v>18</v>
      </c>
      <c r="B189" s="42">
        <f>$B$29</f>
        <v>46313</v>
      </c>
      <c r="C189" s="43" t="str">
        <f>IF(OR($B189="",$A189&gt;$B$9,C$171=""),"",IF(COUNTIFS(BD!$B$3:$B$5001,C$171,BD!$A$3:$A$5001,"&gt;="&amp;$C$7,BD!$A$3:$A$5001,"&lt;="&amp;$B189,BD!$X$3:$X$5001,"&lt;&gt;")=0,"",SUMIFS(BD!$X$3:$X$5001,BD!$B$3:$B$5001,C$171,BD!$A$3:$A$5001,_xlfn.MAXIFS(BD!$A$3:$A$5001,BD!$B$3:$B$5001,C$171,BD!$A$3:$A$5001,"&gt;="&amp;$C$7,BD!$A$3:$A$5001,"&lt;="&amp;$B189,BD!$X$3:$X$5001,"&lt;&gt;"))))</f>
        <v/>
      </c>
      <c r="D189" s="43" t="str">
        <f>IF(OR($B189="",$A189&gt;$B$9,D$171=""),"",IF(COUNTIFS(BD!$B$3:$B$5001,D$171,BD!$A$3:$A$5001,"&gt;="&amp;$C$7,BD!$A$3:$A$5001,"&lt;="&amp;$B189,BD!$X$3:$X$5001,"&lt;&gt;")=0,"",SUMIFS(BD!$X$3:$X$5001,BD!$B$3:$B$5001,D$171,BD!$A$3:$A$5001,_xlfn.MAXIFS(BD!$A$3:$A$5001,BD!$B$3:$B$5001,D$171,BD!$A$3:$A$5001,"&gt;="&amp;$C$7,BD!$A$3:$A$5001,"&lt;="&amp;$B189,BD!$X$3:$X$5001,"&lt;&gt;"))))</f>
        <v/>
      </c>
      <c r="E189" s="43" t="str">
        <f>IF(OR($B189="",$A189&gt;$B$9,E$171=""),"",IF(COUNTIFS(BD!$B$3:$B$5001,E$171,BD!$A$3:$A$5001,"&gt;="&amp;$C$7,BD!$A$3:$A$5001,"&lt;="&amp;$B189,BD!$X$3:$X$5001,"&lt;&gt;")=0,"",SUMIFS(BD!$X$3:$X$5001,BD!$B$3:$B$5001,E$171,BD!$A$3:$A$5001,_xlfn.MAXIFS(BD!$A$3:$A$5001,BD!$B$3:$B$5001,E$171,BD!$A$3:$A$5001,"&gt;="&amp;$C$7,BD!$A$3:$A$5001,"&lt;="&amp;$B189,BD!$X$3:$X$5001,"&lt;&gt;"))))</f>
        <v/>
      </c>
      <c r="F189" s="43" t="str">
        <f>IF(OR($B189="",$A189&gt;$B$9,F$171=""),"",IF(COUNTIFS(BD!$B$3:$B$5001,F$171,BD!$A$3:$A$5001,"&gt;="&amp;$C$7,BD!$A$3:$A$5001,"&lt;="&amp;$B189,BD!$X$3:$X$5001,"&lt;&gt;")=0,"",SUMIFS(BD!$X$3:$X$5001,BD!$B$3:$B$5001,F$171,BD!$A$3:$A$5001,_xlfn.MAXIFS(BD!$A$3:$A$5001,BD!$B$3:$B$5001,F$171,BD!$A$3:$A$5001,"&gt;="&amp;$C$7,BD!$A$3:$A$5001,"&lt;="&amp;$B189,BD!$X$3:$X$5001,"&lt;&gt;"))))</f>
        <v/>
      </c>
      <c r="G189" s="43" t="str">
        <f>IF(OR($B189="",$A189&gt;$B$9,G$171=""),"",IF(COUNTIFS(BD!$B$3:$B$5001,G$171,BD!$A$3:$A$5001,"&gt;="&amp;$C$7,BD!$A$3:$A$5001,"&lt;="&amp;$B189,BD!$X$3:$X$5001,"&lt;&gt;")=0,"",SUMIFS(BD!$X$3:$X$5001,BD!$B$3:$B$5001,G$171,BD!$A$3:$A$5001,_xlfn.MAXIFS(BD!$A$3:$A$5001,BD!$B$3:$B$5001,G$171,BD!$A$3:$A$5001,"&gt;="&amp;$C$7,BD!$A$3:$A$5001,"&lt;="&amp;$B189,BD!$X$3:$X$5001,"&lt;&gt;"))))</f>
        <v/>
      </c>
      <c r="H189" s="43" t="str">
        <f>IF(OR($B189="",$A189&gt;$B$9,H$171=""),"",IF(COUNTIFS(BD!$B$3:$B$5001,H$171,BD!$A$3:$A$5001,"&gt;="&amp;$C$7,BD!$A$3:$A$5001,"&lt;="&amp;$B189,BD!$X$3:$X$5001,"&lt;&gt;")=0,"",SUMIFS(BD!$X$3:$X$5001,BD!$B$3:$B$5001,H$171,BD!$A$3:$A$5001,_xlfn.MAXIFS(BD!$A$3:$A$5001,BD!$B$3:$B$5001,H$171,BD!$A$3:$A$5001,"&gt;="&amp;$C$7,BD!$A$3:$A$5001,"&lt;="&amp;$B189,BD!$X$3:$X$5001,"&lt;&gt;"))))</f>
        <v/>
      </c>
      <c r="I189" s="43" t="str">
        <f>IF(OR($B189="",$A189&gt;$B$9,I$171=""),"",IF(COUNTIFS(BD!$B$3:$B$5001,I$171,BD!$A$3:$A$5001,"&gt;="&amp;$C$7,BD!$A$3:$A$5001,"&lt;="&amp;$B189,BD!$X$3:$X$5001,"&lt;&gt;")=0,"",SUMIFS(BD!$X$3:$X$5001,BD!$B$3:$B$5001,I$171,BD!$A$3:$A$5001,_xlfn.MAXIFS(BD!$A$3:$A$5001,BD!$B$3:$B$5001,I$171,BD!$A$3:$A$5001,"&gt;="&amp;$C$7,BD!$A$3:$A$5001,"&lt;="&amp;$B189,BD!$X$3:$X$5001,"&lt;&gt;"))))</f>
        <v/>
      </c>
      <c r="J189" s="43" t="str">
        <f>IF(OR($B189="",$A189&gt;$B$9,J$171=""),"",IF(COUNTIFS(BD!$B$3:$B$5001,J$171,BD!$A$3:$A$5001,"&gt;="&amp;$C$7,BD!$A$3:$A$5001,"&lt;="&amp;$B189,BD!$X$3:$X$5001,"&lt;&gt;")=0,"",SUMIFS(BD!$X$3:$X$5001,BD!$B$3:$B$5001,J$171,BD!$A$3:$A$5001,_xlfn.MAXIFS(BD!$A$3:$A$5001,BD!$B$3:$B$5001,J$171,BD!$A$3:$A$5001,"&gt;="&amp;$C$7,BD!$A$3:$A$5001,"&lt;="&amp;$B189,BD!$X$3:$X$5001,"&lt;&gt;"))))</f>
        <v/>
      </c>
      <c r="K189" s="43" t="str">
        <f>IF(OR($B189="",$A189&gt;$B$9,K$171=""),"",IF(COUNTIFS(BD!$B$3:$B$5001,K$171,BD!$A$3:$A$5001,"&gt;="&amp;$C$7,BD!$A$3:$A$5001,"&lt;="&amp;$B189,BD!$X$3:$X$5001,"&lt;&gt;")=0,"",SUMIFS(BD!$X$3:$X$5001,BD!$B$3:$B$5001,K$171,BD!$A$3:$A$5001,_xlfn.MAXIFS(BD!$A$3:$A$5001,BD!$B$3:$B$5001,K$171,BD!$A$3:$A$5001,"&gt;="&amp;$C$7,BD!$A$3:$A$5001,"&lt;="&amp;$B189,BD!$X$3:$X$5001,"&lt;&gt;"))))</f>
        <v/>
      </c>
      <c r="L189" s="43" t="str">
        <f>IF(OR($B189="",$A189&gt;$B$9,L$171=""),"",IF(COUNTIFS(BD!$B$3:$B$5001,L$171,BD!$A$3:$A$5001,"&gt;="&amp;$C$7,BD!$A$3:$A$5001,"&lt;="&amp;$B189,BD!$X$3:$X$5001,"&lt;&gt;")=0,"",SUMIFS(BD!$X$3:$X$5001,BD!$B$3:$B$5001,L$171,BD!$A$3:$A$5001,_xlfn.MAXIFS(BD!$A$3:$A$5001,BD!$B$3:$B$5001,L$171,BD!$A$3:$A$5001,"&gt;="&amp;$C$7,BD!$A$3:$A$5001,"&lt;="&amp;$B189,BD!$X$3:$X$5001,"&lt;&gt;"))))</f>
        <v/>
      </c>
      <c r="M189" s="43" t="str">
        <f>IF(OR($B189="",$A189&gt;$B$9,M$171=""),"",IF(COUNTIFS(BD!$B$3:$B$5001,M$171,BD!$A$3:$A$5001,"&gt;="&amp;$C$7,BD!$A$3:$A$5001,"&lt;="&amp;$B189,BD!$X$3:$X$5001,"&lt;&gt;")=0,"",SUMIFS(BD!$X$3:$X$5001,BD!$B$3:$B$5001,M$171,BD!$A$3:$A$5001,_xlfn.MAXIFS(BD!$A$3:$A$5001,BD!$B$3:$B$5001,M$171,BD!$A$3:$A$5001,"&gt;="&amp;$C$7,BD!$A$3:$A$5001,"&lt;="&amp;$B189,BD!$X$3:$X$5001,"&lt;&gt;"))))</f>
        <v/>
      </c>
      <c r="N189" s="43" t="str">
        <f>IF(OR($B189="",$A189&gt;$B$9,N$171=""),"",IF(COUNTIFS(BD!$B$3:$B$5001,N$171,BD!$A$3:$A$5001,"&gt;="&amp;$C$7,BD!$A$3:$A$5001,"&lt;="&amp;$B189,BD!$X$3:$X$5001,"&lt;&gt;")=0,"",SUMIFS(BD!$X$3:$X$5001,BD!$B$3:$B$5001,N$171,BD!$A$3:$A$5001,_xlfn.MAXIFS(BD!$A$3:$A$5001,BD!$B$3:$B$5001,N$171,BD!$A$3:$A$5001,"&gt;="&amp;$C$7,BD!$A$3:$A$5001,"&lt;="&amp;$B189,BD!$X$3:$X$5001,"&lt;&gt;"))))</f>
        <v/>
      </c>
      <c r="O189" s="43" t="str">
        <f>IF(OR($B189="",$A189&gt;$B$9,O$171=""),"",IF(COUNTIFS(BD!$B$3:$B$5001,O$171,BD!$A$3:$A$5001,"&gt;="&amp;$C$7,BD!$A$3:$A$5001,"&lt;="&amp;$B189,BD!$X$3:$X$5001,"&lt;&gt;")=0,"",SUMIFS(BD!$X$3:$X$5001,BD!$B$3:$B$5001,O$171,BD!$A$3:$A$5001,_xlfn.MAXIFS(BD!$A$3:$A$5001,BD!$B$3:$B$5001,O$171,BD!$A$3:$A$5001,"&gt;="&amp;$C$7,BD!$A$3:$A$5001,"&lt;="&amp;$B189,BD!$X$3:$X$5001,"&lt;&gt;"))))</f>
        <v/>
      </c>
      <c r="P189" s="43" t="str">
        <f>IF(OR($B189="",$A189&gt;$B$9,P$171=""),"",IF(COUNTIFS(BD!$B$3:$B$5001,P$171,BD!$A$3:$A$5001,"&gt;="&amp;$C$7,BD!$A$3:$A$5001,"&lt;="&amp;$B189,BD!$X$3:$X$5001,"&lt;&gt;")=0,"",SUMIFS(BD!$X$3:$X$5001,BD!$B$3:$B$5001,P$171,BD!$A$3:$A$5001,_xlfn.MAXIFS(BD!$A$3:$A$5001,BD!$B$3:$B$5001,P$171,BD!$A$3:$A$5001,"&gt;="&amp;$C$7,BD!$A$3:$A$5001,"&lt;="&amp;$B189,BD!$X$3:$X$5001,"&lt;&gt;"))))</f>
        <v/>
      </c>
      <c r="Q189" s="43" t="str">
        <f>IF(OR($B189="",$A189&gt;$B$9,Q$171=""),"",IF(COUNTIFS(BD!$B$3:$B$5001,Q$171,BD!$A$3:$A$5001,"&gt;="&amp;$C$7,BD!$A$3:$A$5001,"&lt;="&amp;$B189,BD!$X$3:$X$5001,"&lt;&gt;")=0,"",SUMIFS(BD!$X$3:$X$5001,BD!$B$3:$B$5001,Q$171,BD!$A$3:$A$5001,_xlfn.MAXIFS(BD!$A$3:$A$5001,BD!$B$3:$B$5001,Q$171,BD!$A$3:$A$5001,"&gt;="&amp;$C$7,BD!$A$3:$A$5001,"&lt;="&amp;$B189,BD!$X$3:$X$5001,"&lt;&gt;"))))</f>
        <v/>
      </c>
      <c r="R189" s="43" t="str">
        <f>IF(OR($B189="",$A189&gt;$B$9,R$171=""),"",IF(COUNTIFS(BD!$B$3:$B$5001,R$171,BD!$A$3:$A$5001,"&gt;="&amp;$C$7,BD!$A$3:$A$5001,"&lt;="&amp;$B189,BD!$X$3:$X$5001,"&lt;&gt;")=0,"",SUMIFS(BD!$X$3:$X$5001,BD!$B$3:$B$5001,R$171,BD!$A$3:$A$5001,_xlfn.MAXIFS(BD!$A$3:$A$5001,BD!$B$3:$B$5001,R$171,BD!$A$3:$A$5001,"&gt;="&amp;$C$7,BD!$A$3:$A$5001,"&lt;="&amp;$B189,BD!$X$3:$X$5001,"&lt;&gt;"))))</f>
        <v/>
      </c>
      <c r="S189" s="43" t="str">
        <f>IF(OR($B189="",$A189&gt;$B$9,S$171=""),"",IF(COUNTIFS(BD!$B$3:$B$5001,S$171,BD!$A$3:$A$5001,"&gt;="&amp;$C$7,BD!$A$3:$A$5001,"&lt;="&amp;$B189,BD!$X$3:$X$5001,"&lt;&gt;")=0,"",SUMIFS(BD!$X$3:$X$5001,BD!$B$3:$B$5001,S$171,BD!$A$3:$A$5001,_xlfn.MAXIFS(BD!$A$3:$A$5001,BD!$B$3:$B$5001,S$171,BD!$A$3:$A$5001,"&gt;="&amp;$C$7,BD!$A$3:$A$5001,"&lt;="&amp;$B189,BD!$X$3:$X$5001,"&lt;&gt;"))))</f>
        <v/>
      </c>
      <c r="T189" s="43" t="str">
        <f>IF(OR($B189="",$A189&gt;$B$9,T$171=""),"",IF(COUNTIFS(BD!$B$3:$B$5001,T$171,BD!$A$3:$A$5001,"&gt;="&amp;$C$7,BD!$A$3:$A$5001,"&lt;="&amp;$B189,BD!$X$3:$X$5001,"&lt;&gt;")=0,"",SUMIFS(BD!$X$3:$X$5001,BD!$B$3:$B$5001,T$171,BD!$A$3:$A$5001,_xlfn.MAXIFS(BD!$A$3:$A$5001,BD!$B$3:$B$5001,T$171,BD!$A$3:$A$5001,"&gt;="&amp;$C$7,BD!$A$3:$A$5001,"&lt;="&amp;$B189,BD!$X$3:$X$5001,"&lt;&gt;"))))</f>
        <v/>
      </c>
      <c r="U189" s="43" t="str">
        <f>IF(OR($B189="",$A189&gt;$B$9,U$171=""),"",IF(COUNTIFS(BD!$B$3:$B$5001,U$171,BD!$A$3:$A$5001,"&gt;="&amp;$C$7,BD!$A$3:$A$5001,"&lt;="&amp;$B189,BD!$X$3:$X$5001,"&lt;&gt;")=0,"",SUMIFS(BD!$X$3:$X$5001,BD!$B$3:$B$5001,U$171,BD!$A$3:$A$5001,_xlfn.MAXIFS(BD!$A$3:$A$5001,BD!$B$3:$B$5001,U$171,BD!$A$3:$A$5001,"&gt;="&amp;$C$7,BD!$A$3:$A$5001,"&lt;="&amp;$B189,BD!$X$3:$X$5001,"&lt;&gt;"))))</f>
        <v/>
      </c>
      <c r="V189" s="43" t="str">
        <f>IF(OR($B189="",$A189&gt;$B$9,V$171=""),"",IF(COUNTIFS(BD!$B$3:$B$5001,V$171,BD!$A$3:$A$5001,"&gt;="&amp;$C$7,BD!$A$3:$A$5001,"&lt;="&amp;$B189,BD!$X$3:$X$5001,"&lt;&gt;")=0,"",SUMIFS(BD!$X$3:$X$5001,BD!$B$3:$B$5001,V$171,BD!$A$3:$A$5001,_xlfn.MAXIFS(BD!$A$3:$A$5001,BD!$B$3:$B$5001,V$171,BD!$A$3:$A$5001,"&gt;="&amp;$C$7,BD!$A$3:$A$5001,"&lt;="&amp;$B189,BD!$X$3:$X$5001,"&lt;&gt;"))))</f>
        <v/>
      </c>
    </row>
    <row r="190">
      <c r="A190" s="38">
        <v>19</v>
      </c>
      <c r="B190" s="42">
        <f>$B$30</f>
        <v>46314</v>
      </c>
      <c r="C190" s="43" t="str">
        <f>IF(OR($B190="",$A190&gt;$B$9,C$171=""),"",IF(COUNTIFS(BD!$B$3:$B$5001,C$171,BD!$A$3:$A$5001,"&gt;="&amp;$C$7,BD!$A$3:$A$5001,"&lt;="&amp;$B190,BD!$X$3:$X$5001,"&lt;&gt;")=0,"",SUMIFS(BD!$X$3:$X$5001,BD!$B$3:$B$5001,C$171,BD!$A$3:$A$5001,_xlfn.MAXIFS(BD!$A$3:$A$5001,BD!$B$3:$B$5001,C$171,BD!$A$3:$A$5001,"&gt;="&amp;$C$7,BD!$A$3:$A$5001,"&lt;="&amp;$B190,BD!$X$3:$X$5001,"&lt;&gt;"))))</f>
        <v/>
      </c>
      <c r="D190" s="43" t="str">
        <f>IF(OR($B190="",$A190&gt;$B$9,D$171=""),"",IF(COUNTIFS(BD!$B$3:$B$5001,D$171,BD!$A$3:$A$5001,"&gt;="&amp;$C$7,BD!$A$3:$A$5001,"&lt;="&amp;$B190,BD!$X$3:$X$5001,"&lt;&gt;")=0,"",SUMIFS(BD!$X$3:$X$5001,BD!$B$3:$B$5001,D$171,BD!$A$3:$A$5001,_xlfn.MAXIFS(BD!$A$3:$A$5001,BD!$B$3:$B$5001,D$171,BD!$A$3:$A$5001,"&gt;="&amp;$C$7,BD!$A$3:$A$5001,"&lt;="&amp;$B190,BD!$X$3:$X$5001,"&lt;&gt;"))))</f>
        <v/>
      </c>
      <c r="E190" s="43" t="str">
        <f>IF(OR($B190="",$A190&gt;$B$9,E$171=""),"",IF(COUNTIFS(BD!$B$3:$B$5001,E$171,BD!$A$3:$A$5001,"&gt;="&amp;$C$7,BD!$A$3:$A$5001,"&lt;="&amp;$B190,BD!$X$3:$X$5001,"&lt;&gt;")=0,"",SUMIFS(BD!$X$3:$X$5001,BD!$B$3:$B$5001,E$171,BD!$A$3:$A$5001,_xlfn.MAXIFS(BD!$A$3:$A$5001,BD!$B$3:$B$5001,E$171,BD!$A$3:$A$5001,"&gt;="&amp;$C$7,BD!$A$3:$A$5001,"&lt;="&amp;$B190,BD!$X$3:$X$5001,"&lt;&gt;"))))</f>
        <v/>
      </c>
      <c r="F190" s="43" t="str">
        <f>IF(OR($B190="",$A190&gt;$B$9,F$171=""),"",IF(COUNTIFS(BD!$B$3:$B$5001,F$171,BD!$A$3:$A$5001,"&gt;="&amp;$C$7,BD!$A$3:$A$5001,"&lt;="&amp;$B190,BD!$X$3:$X$5001,"&lt;&gt;")=0,"",SUMIFS(BD!$X$3:$X$5001,BD!$B$3:$B$5001,F$171,BD!$A$3:$A$5001,_xlfn.MAXIFS(BD!$A$3:$A$5001,BD!$B$3:$B$5001,F$171,BD!$A$3:$A$5001,"&gt;="&amp;$C$7,BD!$A$3:$A$5001,"&lt;="&amp;$B190,BD!$X$3:$X$5001,"&lt;&gt;"))))</f>
        <v/>
      </c>
      <c r="G190" s="43" t="str">
        <f>IF(OR($B190="",$A190&gt;$B$9,G$171=""),"",IF(COUNTIFS(BD!$B$3:$B$5001,G$171,BD!$A$3:$A$5001,"&gt;="&amp;$C$7,BD!$A$3:$A$5001,"&lt;="&amp;$B190,BD!$X$3:$X$5001,"&lt;&gt;")=0,"",SUMIFS(BD!$X$3:$X$5001,BD!$B$3:$B$5001,G$171,BD!$A$3:$A$5001,_xlfn.MAXIFS(BD!$A$3:$A$5001,BD!$B$3:$B$5001,G$171,BD!$A$3:$A$5001,"&gt;="&amp;$C$7,BD!$A$3:$A$5001,"&lt;="&amp;$B190,BD!$X$3:$X$5001,"&lt;&gt;"))))</f>
        <v/>
      </c>
      <c r="H190" s="43" t="str">
        <f>IF(OR($B190="",$A190&gt;$B$9,H$171=""),"",IF(COUNTIFS(BD!$B$3:$B$5001,H$171,BD!$A$3:$A$5001,"&gt;="&amp;$C$7,BD!$A$3:$A$5001,"&lt;="&amp;$B190,BD!$X$3:$X$5001,"&lt;&gt;")=0,"",SUMIFS(BD!$X$3:$X$5001,BD!$B$3:$B$5001,H$171,BD!$A$3:$A$5001,_xlfn.MAXIFS(BD!$A$3:$A$5001,BD!$B$3:$B$5001,H$171,BD!$A$3:$A$5001,"&gt;="&amp;$C$7,BD!$A$3:$A$5001,"&lt;="&amp;$B190,BD!$X$3:$X$5001,"&lt;&gt;"))))</f>
        <v/>
      </c>
      <c r="I190" s="43" t="str">
        <f>IF(OR($B190="",$A190&gt;$B$9,I$171=""),"",IF(COUNTIFS(BD!$B$3:$B$5001,I$171,BD!$A$3:$A$5001,"&gt;="&amp;$C$7,BD!$A$3:$A$5001,"&lt;="&amp;$B190,BD!$X$3:$X$5001,"&lt;&gt;")=0,"",SUMIFS(BD!$X$3:$X$5001,BD!$B$3:$B$5001,I$171,BD!$A$3:$A$5001,_xlfn.MAXIFS(BD!$A$3:$A$5001,BD!$B$3:$B$5001,I$171,BD!$A$3:$A$5001,"&gt;="&amp;$C$7,BD!$A$3:$A$5001,"&lt;="&amp;$B190,BD!$X$3:$X$5001,"&lt;&gt;"))))</f>
        <v/>
      </c>
      <c r="J190" s="43" t="str">
        <f>IF(OR($B190="",$A190&gt;$B$9,J$171=""),"",IF(COUNTIFS(BD!$B$3:$B$5001,J$171,BD!$A$3:$A$5001,"&gt;="&amp;$C$7,BD!$A$3:$A$5001,"&lt;="&amp;$B190,BD!$X$3:$X$5001,"&lt;&gt;")=0,"",SUMIFS(BD!$X$3:$X$5001,BD!$B$3:$B$5001,J$171,BD!$A$3:$A$5001,_xlfn.MAXIFS(BD!$A$3:$A$5001,BD!$B$3:$B$5001,J$171,BD!$A$3:$A$5001,"&gt;="&amp;$C$7,BD!$A$3:$A$5001,"&lt;="&amp;$B190,BD!$X$3:$X$5001,"&lt;&gt;"))))</f>
        <v/>
      </c>
      <c r="K190" s="43" t="str">
        <f>IF(OR($B190="",$A190&gt;$B$9,K$171=""),"",IF(COUNTIFS(BD!$B$3:$B$5001,K$171,BD!$A$3:$A$5001,"&gt;="&amp;$C$7,BD!$A$3:$A$5001,"&lt;="&amp;$B190,BD!$X$3:$X$5001,"&lt;&gt;")=0,"",SUMIFS(BD!$X$3:$X$5001,BD!$B$3:$B$5001,K$171,BD!$A$3:$A$5001,_xlfn.MAXIFS(BD!$A$3:$A$5001,BD!$B$3:$B$5001,K$171,BD!$A$3:$A$5001,"&gt;="&amp;$C$7,BD!$A$3:$A$5001,"&lt;="&amp;$B190,BD!$X$3:$X$5001,"&lt;&gt;"))))</f>
        <v/>
      </c>
      <c r="L190" s="43" t="str">
        <f>IF(OR($B190="",$A190&gt;$B$9,L$171=""),"",IF(COUNTIFS(BD!$B$3:$B$5001,L$171,BD!$A$3:$A$5001,"&gt;="&amp;$C$7,BD!$A$3:$A$5001,"&lt;="&amp;$B190,BD!$X$3:$X$5001,"&lt;&gt;")=0,"",SUMIFS(BD!$X$3:$X$5001,BD!$B$3:$B$5001,L$171,BD!$A$3:$A$5001,_xlfn.MAXIFS(BD!$A$3:$A$5001,BD!$B$3:$B$5001,L$171,BD!$A$3:$A$5001,"&gt;="&amp;$C$7,BD!$A$3:$A$5001,"&lt;="&amp;$B190,BD!$X$3:$X$5001,"&lt;&gt;"))))</f>
        <v/>
      </c>
      <c r="M190" s="43" t="str">
        <f>IF(OR($B190="",$A190&gt;$B$9,M$171=""),"",IF(COUNTIFS(BD!$B$3:$B$5001,M$171,BD!$A$3:$A$5001,"&gt;="&amp;$C$7,BD!$A$3:$A$5001,"&lt;="&amp;$B190,BD!$X$3:$X$5001,"&lt;&gt;")=0,"",SUMIFS(BD!$X$3:$X$5001,BD!$B$3:$B$5001,M$171,BD!$A$3:$A$5001,_xlfn.MAXIFS(BD!$A$3:$A$5001,BD!$B$3:$B$5001,M$171,BD!$A$3:$A$5001,"&gt;="&amp;$C$7,BD!$A$3:$A$5001,"&lt;="&amp;$B190,BD!$X$3:$X$5001,"&lt;&gt;"))))</f>
        <v/>
      </c>
      <c r="N190" s="43" t="str">
        <f>IF(OR($B190="",$A190&gt;$B$9,N$171=""),"",IF(COUNTIFS(BD!$B$3:$B$5001,N$171,BD!$A$3:$A$5001,"&gt;="&amp;$C$7,BD!$A$3:$A$5001,"&lt;="&amp;$B190,BD!$X$3:$X$5001,"&lt;&gt;")=0,"",SUMIFS(BD!$X$3:$X$5001,BD!$B$3:$B$5001,N$171,BD!$A$3:$A$5001,_xlfn.MAXIFS(BD!$A$3:$A$5001,BD!$B$3:$B$5001,N$171,BD!$A$3:$A$5001,"&gt;="&amp;$C$7,BD!$A$3:$A$5001,"&lt;="&amp;$B190,BD!$X$3:$X$5001,"&lt;&gt;"))))</f>
        <v/>
      </c>
      <c r="O190" s="43" t="str">
        <f>IF(OR($B190="",$A190&gt;$B$9,O$171=""),"",IF(COUNTIFS(BD!$B$3:$B$5001,O$171,BD!$A$3:$A$5001,"&gt;="&amp;$C$7,BD!$A$3:$A$5001,"&lt;="&amp;$B190,BD!$X$3:$X$5001,"&lt;&gt;")=0,"",SUMIFS(BD!$X$3:$X$5001,BD!$B$3:$B$5001,O$171,BD!$A$3:$A$5001,_xlfn.MAXIFS(BD!$A$3:$A$5001,BD!$B$3:$B$5001,O$171,BD!$A$3:$A$5001,"&gt;="&amp;$C$7,BD!$A$3:$A$5001,"&lt;="&amp;$B190,BD!$X$3:$X$5001,"&lt;&gt;"))))</f>
        <v/>
      </c>
      <c r="P190" s="43" t="str">
        <f>IF(OR($B190="",$A190&gt;$B$9,P$171=""),"",IF(COUNTIFS(BD!$B$3:$B$5001,P$171,BD!$A$3:$A$5001,"&gt;="&amp;$C$7,BD!$A$3:$A$5001,"&lt;="&amp;$B190,BD!$X$3:$X$5001,"&lt;&gt;")=0,"",SUMIFS(BD!$X$3:$X$5001,BD!$B$3:$B$5001,P$171,BD!$A$3:$A$5001,_xlfn.MAXIFS(BD!$A$3:$A$5001,BD!$B$3:$B$5001,P$171,BD!$A$3:$A$5001,"&gt;="&amp;$C$7,BD!$A$3:$A$5001,"&lt;="&amp;$B190,BD!$X$3:$X$5001,"&lt;&gt;"))))</f>
        <v/>
      </c>
      <c r="Q190" s="43" t="str">
        <f>IF(OR($B190="",$A190&gt;$B$9,Q$171=""),"",IF(COUNTIFS(BD!$B$3:$B$5001,Q$171,BD!$A$3:$A$5001,"&gt;="&amp;$C$7,BD!$A$3:$A$5001,"&lt;="&amp;$B190,BD!$X$3:$X$5001,"&lt;&gt;")=0,"",SUMIFS(BD!$X$3:$X$5001,BD!$B$3:$B$5001,Q$171,BD!$A$3:$A$5001,_xlfn.MAXIFS(BD!$A$3:$A$5001,BD!$B$3:$B$5001,Q$171,BD!$A$3:$A$5001,"&gt;="&amp;$C$7,BD!$A$3:$A$5001,"&lt;="&amp;$B190,BD!$X$3:$X$5001,"&lt;&gt;"))))</f>
        <v/>
      </c>
      <c r="R190" s="43" t="str">
        <f>IF(OR($B190="",$A190&gt;$B$9,R$171=""),"",IF(COUNTIFS(BD!$B$3:$B$5001,R$171,BD!$A$3:$A$5001,"&gt;="&amp;$C$7,BD!$A$3:$A$5001,"&lt;="&amp;$B190,BD!$X$3:$X$5001,"&lt;&gt;")=0,"",SUMIFS(BD!$X$3:$X$5001,BD!$B$3:$B$5001,R$171,BD!$A$3:$A$5001,_xlfn.MAXIFS(BD!$A$3:$A$5001,BD!$B$3:$B$5001,R$171,BD!$A$3:$A$5001,"&gt;="&amp;$C$7,BD!$A$3:$A$5001,"&lt;="&amp;$B190,BD!$X$3:$X$5001,"&lt;&gt;"))))</f>
        <v/>
      </c>
      <c r="S190" s="43" t="str">
        <f>IF(OR($B190="",$A190&gt;$B$9,S$171=""),"",IF(COUNTIFS(BD!$B$3:$B$5001,S$171,BD!$A$3:$A$5001,"&gt;="&amp;$C$7,BD!$A$3:$A$5001,"&lt;="&amp;$B190,BD!$X$3:$X$5001,"&lt;&gt;")=0,"",SUMIFS(BD!$X$3:$X$5001,BD!$B$3:$B$5001,S$171,BD!$A$3:$A$5001,_xlfn.MAXIFS(BD!$A$3:$A$5001,BD!$B$3:$B$5001,S$171,BD!$A$3:$A$5001,"&gt;="&amp;$C$7,BD!$A$3:$A$5001,"&lt;="&amp;$B190,BD!$X$3:$X$5001,"&lt;&gt;"))))</f>
        <v/>
      </c>
      <c r="T190" s="43" t="str">
        <f>IF(OR($B190="",$A190&gt;$B$9,T$171=""),"",IF(COUNTIFS(BD!$B$3:$B$5001,T$171,BD!$A$3:$A$5001,"&gt;="&amp;$C$7,BD!$A$3:$A$5001,"&lt;="&amp;$B190,BD!$X$3:$X$5001,"&lt;&gt;")=0,"",SUMIFS(BD!$X$3:$X$5001,BD!$B$3:$B$5001,T$171,BD!$A$3:$A$5001,_xlfn.MAXIFS(BD!$A$3:$A$5001,BD!$B$3:$B$5001,T$171,BD!$A$3:$A$5001,"&gt;="&amp;$C$7,BD!$A$3:$A$5001,"&lt;="&amp;$B190,BD!$X$3:$X$5001,"&lt;&gt;"))))</f>
        <v/>
      </c>
      <c r="U190" s="43" t="str">
        <f>IF(OR($B190="",$A190&gt;$B$9,U$171=""),"",IF(COUNTIFS(BD!$B$3:$B$5001,U$171,BD!$A$3:$A$5001,"&gt;="&amp;$C$7,BD!$A$3:$A$5001,"&lt;="&amp;$B190,BD!$X$3:$X$5001,"&lt;&gt;")=0,"",SUMIFS(BD!$X$3:$X$5001,BD!$B$3:$B$5001,U$171,BD!$A$3:$A$5001,_xlfn.MAXIFS(BD!$A$3:$A$5001,BD!$B$3:$B$5001,U$171,BD!$A$3:$A$5001,"&gt;="&amp;$C$7,BD!$A$3:$A$5001,"&lt;="&amp;$B190,BD!$X$3:$X$5001,"&lt;&gt;"))))</f>
        <v/>
      </c>
      <c r="V190" s="43" t="str">
        <f>IF(OR($B190="",$A190&gt;$B$9,V$171=""),"",IF(COUNTIFS(BD!$B$3:$B$5001,V$171,BD!$A$3:$A$5001,"&gt;="&amp;$C$7,BD!$A$3:$A$5001,"&lt;="&amp;$B190,BD!$X$3:$X$5001,"&lt;&gt;")=0,"",SUMIFS(BD!$X$3:$X$5001,BD!$B$3:$B$5001,V$171,BD!$A$3:$A$5001,_xlfn.MAXIFS(BD!$A$3:$A$5001,BD!$B$3:$B$5001,V$171,BD!$A$3:$A$5001,"&gt;="&amp;$C$7,BD!$A$3:$A$5001,"&lt;="&amp;$B190,BD!$X$3:$X$5001,"&lt;&gt;"))))</f>
        <v/>
      </c>
    </row>
    <row r="191">
      <c r="A191" s="38">
        <v>20</v>
      </c>
      <c r="B191" s="42">
        <f>$B$31</f>
        <v>46315</v>
      </c>
      <c r="C191" s="43" t="str">
        <f>IF(OR($B191="",$A191&gt;$B$9,C$171=""),"",IF(COUNTIFS(BD!$B$3:$B$5001,C$171,BD!$A$3:$A$5001,"&gt;="&amp;$C$7,BD!$A$3:$A$5001,"&lt;="&amp;$B191,BD!$X$3:$X$5001,"&lt;&gt;")=0,"",SUMIFS(BD!$X$3:$X$5001,BD!$B$3:$B$5001,C$171,BD!$A$3:$A$5001,_xlfn.MAXIFS(BD!$A$3:$A$5001,BD!$B$3:$B$5001,C$171,BD!$A$3:$A$5001,"&gt;="&amp;$C$7,BD!$A$3:$A$5001,"&lt;="&amp;$B191,BD!$X$3:$X$5001,"&lt;&gt;"))))</f>
        <v/>
      </c>
      <c r="D191" s="43" t="str">
        <f>IF(OR($B191="",$A191&gt;$B$9,D$171=""),"",IF(COUNTIFS(BD!$B$3:$B$5001,D$171,BD!$A$3:$A$5001,"&gt;="&amp;$C$7,BD!$A$3:$A$5001,"&lt;="&amp;$B191,BD!$X$3:$X$5001,"&lt;&gt;")=0,"",SUMIFS(BD!$X$3:$X$5001,BD!$B$3:$B$5001,D$171,BD!$A$3:$A$5001,_xlfn.MAXIFS(BD!$A$3:$A$5001,BD!$B$3:$B$5001,D$171,BD!$A$3:$A$5001,"&gt;="&amp;$C$7,BD!$A$3:$A$5001,"&lt;="&amp;$B191,BD!$X$3:$X$5001,"&lt;&gt;"))))</f>
        <v/>
      </c>
      <c r="E191" s="43" t="str">
        <f>IF(OR($B191="",$A191&gt;$B$9,E$171=""),"",IF(COUNTIFS(BD!$B$3:$B$5001,E$171,BD!$A$3:$A$5001,"&gt;="&amp;$C$7,BD!$A$3:$A$5001,"&lt;="&amp;$B191,BD!$X$3:$X$5001,"&lt;&gt;")=0,"",SUMIFS(BD!$X$3:$X$5001,BD!$B$3:$B$5001,E$171,BD!$A$3:$A$5001,_xlfn.MAXIFS(BD!$A$3:$A$5001,BD!$B$3:$B$5001,E$171,BD!$A$3:$A$5001,"&gt;="&amp;$C$7,BD!$A$3:$A$5001,"&lt;="&amp;$B191,BD!$X$3:$X$5001,"&lt;&gt;"))))</f>
        <v/>
      </c>
      <c r="F191" s="43" t="str">
        <f>IF(OR($B191="",$A191&gt;$B$9,F$171=""),"",IF(COUNTIFS(BD!$B$3:$B$5001,F$171,BD!$A$3:$A$5001,"&gt;="&amp;$C$7,BD!$A$3:$A$5001,"&lt;="&amp;$B191,BD!$X$3:$X$5001,"&lt;&gt;")=0,"",SUMIFS(BD!$X$3:$X$5001,BD!$B$3:$B$5001,F$171,BD!$A$3:$A$5001,_xlfn.MAXIFS(BD!$A$3:$A$5001,BD!$B$3:$B$5001,F$171,BD!$A$3:$A$5001,"&gt;="&amp;$C$7,BD!$A$3:$A$5001,"&lt;="&amp;$B191,BD!$X$3:$X$5001,"&lt;&gt;"))))</f>
        <v/>
      </c>
      <c r="G191" s="43" t="str">
        <f>IF(OR($B191="",$A191&gt;$B$9,G$171=""),"",IF(COUNTIFS(BD!$B$3:$B$5001,G$171,BD!$A$3:$A$5001,"&gt;="&amp;$C$7,BD!$A$3:$A$5001,"&lt;="&amp;$B191,BD!$X$3:$X$5001,"&lt;&gt;")=0,"",SUMIFS(BD!$X$3:$X$5001,BD!$B$3:$B$5001,G$171,BD!$A$3:$A$5001,_xlfn.MAXIFS(BD!$A$3:$A$5001,BD!$B$3:$B$5001,G$171,BD!$A$3:$A$5001,"&gt;="&amp;$C$7,BD!$A$3:$A$5001,"&lt;="&amp;$B191,BD!$X$3:$X$5001,"&lt;&gt;"))))</f>
        <v/>
      </c>
      <c r="H191" s="43" t="str">
        <f>IF(OR($B191="",$A191&gt;$B$9,H$171=""),"",IF(COUNTIFS(BD!$B$3:$B$5001,H$171,BD!$A$3:$A$5001,"&gt;="&amp;$C$7,BD!$A$3:$A$5001,"&lt;="&amp;$B191,BD!$X$3:$X$5001,"&lt;&gt;")=0,"",SUMIFS(BD!$X$3:$X$5001,BD!$B$3:$B$5001,H$171,BD!$A$3:$A$5001,_xlfn.MAXIFS(BD!$A$3:$A$5001,BD!$B$3:$B$5001,H$171,BD!$A$3:$A$5001,"&gt;="&amp;$C$7,BD!$A$3:$A$5001,"&lt;="&amp;$B191,BD!$X$3:$X$5001,"&lt;&gt;"))))</f>
        <v/>
      </c>
      <c r="I191" s="43" t="str">
        <f>IF(OR($B191="",$A191&gt;$B$9,I$171=""),"",IF(COUNTIFS(BD!$B$3:$B$5001,I$171,BD!$A$3:$A$5001,"&gt;="&amp;$C$7,BD!$A$3:$A$5001,"&lt;="&amp;$B191,BD!$X$3:$X$5001,"&lt;&gt;")=0,"",SUMIFS(BD!$X$3:$X$5001,BD!$B$3:$B$5001,I$171,BD!$A$3:$A$5001,_xlfn.MAXIFS(BD!$A$3:$A$5001,BD!$B$3:$B$5001,I$171,BD!$A$3:$A$5001,"&gt;="&amp;$C$7,BD!$A$3:$A$5001,"&lt;="&amp;$B191,BD!$X$3:$X$5001,"&lt;&gt;"))))</f>
        <v/>
      </c>
      <c r="J191" s="43" t="str">
        <f>IF(OR($B191="",$A191&gt;$B$9,J$171=""),"",IF(COUNTIFS(BD!$B$3:$B$5001,J$171,BD!$A$3:$A$5001,"&gt;="&amp;$C$7,BD!$A$3:$A$5001,"&lt;="&amp;$B191,BD!$X$3:$X$5001,"&lt;&gt;")=0,"",SUMIFS(BD!$X$3:$X$5001,BD!$B$3:$B$5001,J$171,BD!$A$3:$A$5001,_xlfn.MAXIFS(BD!$A$3:$A$5001,BD!$B$3:$B$5001,J$171,BD!$A$3:$A$5001,"&gt;="&amp;$C$7,BD!$A$3:$A$5001,"&lt;="&amp;$B191,BD!$X$3:$X$5001,"&lt;&gt;"))))</f>
        <v/>
      </c>
      <c r="K191" s="43" t="str">
        <f>IF(OR($B191="",$A191&gt;$B$9,K$171=""),"",IF(COUNTIFS(BD!$B$3:$B$5001,K$171,BD!$A$3:$A$5001,"&gt;="&amp;$C$7,BD!$A$3:$A$5001,"&lt;="&amp;$B191,BD!$X$3:$X$5001,"&lt;&gt;")=0,"",SUMIFS(BD!$X$3:$X$5001,BD!$B$3:$B$5001,K$171,BD!$A$3:$A$5001,_xlfn.MAXIFS(BD!$A$3:$A$5001,BD!$B$3:$B$5001,K$171,BD!$A$3:$A$5001,"&gt;="&amp;$C$7,BD!$A$3:$A$5001,"&lt;="&amp;$B191,BD!$X$3:$X$5001,"&lt;&gt;"))))</f>
        <v/>
      </c>
      <c r="L191" s="43" t="str">
        <f>IF(OR($B191="",$A191&gt;$B$9,L$171=""),"",IF(COUNTIFS(BD!$B$3:$B$5001,L$171,BD!$A$3:$A$5001,"&gt;="&amp;$C$7,BD!$A$3:$A$5001,"&lt;="&amp;$B191,BD!$X$3:$X$5001,"&lt;&gt;")=0,"",SUMIFS(BD!$X$3:$X$5001,BD!$B$3:$B$5001,L$171,BD!$A$3:$A$5001,_xlfn.MAXIFS(BD!$A$3:$A$5001,BD!$B$3:$B$5001,L$171,BD!$A$3:$A$5001,"&gt;="&amp;$C$7,BD!$A$3:$A$5001,"&lt;="&amp;$B191,BD!$X$3:$X$5001,"&lt;&gt;"))))</f>
        <v/>
      </c>
      <c r="M191" s="43" t="str">
        <f>IF(OR($B191="",$A191&gt;$B$9,M$171=""),"",IF(COUNTIFS(BD!$B$3:$B$5001,M$171,BD!$A$3:$A$5001,"&gt;="&amp;$C$7,BD!$A$3:$A$5001,"&lt;="&amp;$B191,BD!$X$3:$X$5001,"&lt;&gt;")=0,"",SUMIFS(BD!$X$3:$X$5001,BD!$B$3:$B$5001,M$171,BD!$A$3:$A$5001,_xlfn.MAXIFS(BD!$A$3:$A$5001,BD!$B$3:$B$5001,M$171,BD!$A$3:$A$5001,"&gt;="&amp;$C$7,BD!$A$3:$A$5001,"&lt;="&amp;$B191,BD!$X$3:$X$5001,"&lt;&gt;"))))</f>
        <v/>
      </c>
      <c r="N191" s="43" t="str">
        <f>IF(OR($B191="",$A191&gt;$B$9,N$171=""),"",IF(COUNTIFS(BD!$B$3:$B$5001,N$171,BD!$A$3:$A$5001,"&gt;="&amp;$C$7,BD!$A$3:$A$5001,"&lt;="&amp;$B191,BD!$X$3:$X$5001,"&lt;&gt;")=0,"",SUMIFS(BD!$X$3:$X$5001,BD!$B$3:$B$5001,N$171,BD!$A$3:$A$5001,_xlfn.MAXIFS(BD!$A$3:$A$5001,BD!$B$3:$B$5001,N$171,BD!$A$3:$A$5001,"&gt;="&amp;$C$7,BD!$A$3:$A$5001,"&lt;="&amp;$B191,BD!$X$3:$X$5001,"&lt;&gt;"))))</f>
        <v/>
      </c>
      <c r="O191" s="43" t="str">
        <f>IF(OR($B191="",$A191&gt;$B$9,O$171=""),"",IF(COUNTIFS(BD!$B$3:$B$5001,O$171,BD!$A$3:$A$5001,"&gt;="&amp;$C$7,BD!$A$3:$A$5001,"&lt;="&amp;$B191,BD!$X$3:$X$5001,"&lt;&gt;")=0,"",SUMIFS(BD!$X$3:$X$5001,BD!$B$3:$B$5001,O$171,BD!$A$3:$A$5001,_xlfn.MAXIFS(BD!$A$3:$A$5001,BD!$B$3:$B$5001,O$171,BD!$A$3:$A$5001,"&gt;="&amp;$C$7,BD!$A$3:$A$5001,"&lt;="&amp;$B191,BD!$X$3:$X$5001,"&lt;&gt;"))))</f>
        <v/>
      </c>
      <c r="P191" s="43" t="str">
        <f>IF(OR($B191="",$A191&gt;$B$9,P$171=""),"",IF(COUNTIFS(BD!$B$3:$B$5001,P$171,BD!$A$3:$A$5001,"&gt;="&amp;$C$7,BD!$A$3:$A$5001,"&lt;="&amp;$B191,BD!$X$3:$X$5001,"&lt;&gt;")=0,"",SUMIFS(BD!$X$3:$X$5001,BD!$B$3:$B$5001,P$171,BD!$A$3:$A$5001,_xlfn.MAXIFS(BD!$A$3:$A$5001,BD!$B$3:$B$5001,P$171,BD!$A$3:$A$5001,"&gt;="&amp;$C$7,BD!$A$3:$A$5001,"&lt;="&amp;$B191,BD!$X$3:$X$5001,"&lt;&gt;"))))</f>
        <v/>
      </c>
      <c r="Q191" s="43" t="str">
        <f>IF(OR($B191="",$A191&gt;$B$9,Q$171=""),"",IF(COUNTIFS(BD!$B$3:$B$5001,Q$171,BD!$A$3:$A$5001,"&gt;="&amp;$C$7,BD!$A$3:$A$5001,"&lt;="&amp;$B191,BD!$X$3:$X$5001,"&lt;&gt;")=0,"",SUMIFS(BD!$X$3:$X$5001,BD!$B$3:$B$5001,Q$171,BD!$A$3:$A$5001,_xlfn.MAXIFS(BD!$A$3:$A$5001,BD!$B$3:$B$5001,Q$171,BD!$A$3:$A$5001,"&gt;="&amp;$C$7,BD!$A$3:$A$5001,"&lt;="&amp;$B191,BD!$X$3:$X$5001,"&lt;&gt;"))))</f>
        <v/>
      </c>
      <c r="R191" s="43" t="str">
        <f>IF(OR($B191="",$A191&gt;$B$9,R$171=""),"",IF(COUNTIFS(BD!$B$3:$B$5001,R$171,BD!$A$3:$A$5001,"&gt;="&amp;$C$7,BD!$A$3:$A$5001,"&lt;="&amp;$B191,BD!$X$3:$X$5001,"&lt;&gt;")=0,"",SUMIFS(BD!$X$3:$X$5001,BD!$B$3:$B$5001,R$171,BD!$A$3:$A$5001,_xlfn.MAXIFS(BD!$A$3:$A$5001,BD!$B$3:$B$5001,R$171,BD!$A$3:$A$5001,"&gt;="&amp;$C$7,BD!$A$3:$A$5001,"&lt;="&amp;$B191,BD!$X$3:$X$5001,"&lt;&gt;"))))</f>
        <v/>
      </c>
      <c r="S191" s="43" t="str">
        <f>IF(OR($B191="",$A191&gt;$B$9,S$171=""),"",IF(COUNTIFS(BD!$B$3:$B$5001,S$171,BD!$A$3:$A$5001,"&gt;="&amp;$C$7,BD!$A$3:$A$5001,"&lt;="&amp;$B191,BD!$X$3:$X$5001,"&lt;&gt;")=0,"",SUMIFS(BD!$X$3:$X$5001,BD!$B$3:$B$5001,S$171,BD!$A$3:$A$5001,_xlfn.MAXIFS(BD!$A$3:$A$5001,BD!$B$3:$B$5001,S$171,BD!$A$3:$A$5001,"&gt;="&amp;$C$7,BD!$A$3:$A$5001,"&lt;="&amp;$B191,BD!$X$3:$X$5001,"&lt;&gt;"))))</f>
        <v/>
      </c>
      <c r="T191" s="43" t="str">
        <f>IF(OR($B191="",$A191&gt;$B$9,T$171=""),"",IF(COUNTIFS(BD!$B$3:$B$5001,T$171,BD!$A$3:$A$5001,"&gt;="&amp;$C$7,BD!$A$3:$A$5001,"&lt;="&amp;$B191,BD!$X$3:$X$5001,"&lt;&gt;")=0,"",SUMIFS(BD!$X$3:$X$5001,BD!$B$3:$B$5001,T$171,BD!$A$3:$A$5001,_xlfn.MAXIFS(BD!$A$3:$A$5001,BD!$B$3:$B$5001,T$171,BD!$A$3:$A$5001,"&gt;="&amp;$C$7,BD!$A$3:$A$5001,"&lt;="&amp;$B191,BD!$X$3:$X$5001,"&lt;&gt;"))))</f>
        <v/>
      </c>
      <c r="U191" s="43" t="str">
        <f>IF(OR($B191="",$A191&gt;$B$9,U$171=""),"",IF(COUNTIFS(BD!$B$3:$B$5001,U$171,BD!$A$3:$A$5001,"&gt;="&amp;$C$7,BD!$A$3:$A$5001,"&lt;="&amp;$B191,BD!$X$3:$X$5001,"&lt;&gt;")=0,"",SUMIFS(BD!$X$3:$X$5001,BD!$B$3:$B$5001,U$171,BD!$A$3:$A$5001,_xlfn.MAXIFS(BD!$A$3:$A$5001,BD!$B$3:$B$5001,U$171,BD!$A$3:$A$5001,"&gt;="&amp;$C$7,BD!$A$3:$A$5001,"&lt;="&amp;$B191,BD!$X$3:$X$5001,"&lt;&gt;"))))</f>
        <v/>
      </c>
      <c r="V191" s="43" t="str">
        <f>IF(OR($B191="",$A191&gt;$B$9,V$171=""),"",IF(COUNTIFS(BD!$B$3:$B$5001,V$171,BD!$A$3:$A$5001,"&gt;="&amp;$C$7,BD!$A$3:$A$5001,"&lt;="&amp;$B191,BD!$X$3:$X$5001,"&lt;&gt;")=0,"",SUMIFS(BD!$X$3:$X$5001,BD!$B$3:$B$5001,V$171,BD!$A$3:$A$5001,_xlfn.MAXIFS(BD!$A$3:$A$5001,BD!$B$3:$B$5001,V$171,BD!$A$3:$A$5001,"&gt;="&amp;$C$7,BD!$A$3:$A$5001,"&lt;="&amp;$B191,BD!$X$3:$X$5001,"&lt;&gt;"))))</f>
        <v/>
      </c>
    </row>
    <row r="192">
      <c r="A192" s="38">
        <v>21</v>
      </c>
      <c r="B192" s="42">
        <f>$B$32</f>
        <v>46316</v>
      </c>
      <c r="C192" s="43" t="str">
        <f>IF(OR($B192="",$A192&gt;$B$9,C$171=""),"",IF(COUNTIFS(BD!$B$3:$B$5001,C$171,BD!$A$3:$A$5001,"&gt;="&amp;$C$7,BD!$A$3:$A$5001,"&lt;="&amp;$B192,BD!$X$3:$X$5001,"&lt;&gt;")=0,"",SUMIFS(BD!$X$3:$X$5001,BD!$B$3:$B$5001,C$171,BD!$A$3:$A$5001,_xlfn.MAXIFS(BD!$A$3:$A$5001,BD!$B$3:$B$5001,C$171,BD!$A$3:$A$5001,"&gt;="&amp;$C$7,BD!$A$3:$A$5001,"&lt;="&amp;$B192,BD!$X$3:$X$5001,"&lt;&gt;"))))</f>
        <v/>
      </c>
      <c r="D192" s="43" t="str">
        <f>IF(OR($B192="",$A192&gt;$B$9,D$171=""),"",IF(COUNTIFS(BD!$B$3:$B$5001,D$171,BD!$A$3:$A$5001,"&gt;="&amp;$C$7,BD!$A$3:$A$5001,"&lt;="&amp;$B192,BD!$X$3:$X$5001,"&lt;&gt;")=0,"",SUMIFS(BD!$X$3:$X$5001,BD!$B$3:$B$5001,D$171,BD!$A$3:$A$5001,_xlfn.MAXIFS(BD!$A$3:$A$5001,BD!$B$3:$B$5001,D$171,BD!$A$3:$A$5001,"&gt;="&amp;$C$7,BD!$A$3:$A$5001,"&lt;="&amp;$B192,BD!$X$3:$X$5001,"&lt;&gt;"))))</f>
        <v/>
      </c>
      <c r="E192" s="43" t="str">
        <f>IF(OR($B192="",$A192&gt;$B$9,E$171=""),"",IF(COUNTIFS(BD!$B$3:$B$5001,E$171,BD!$A$3:$A$5001,"&gt;="&amp;$C$7,BD!$A$3:$A$5001,"&lt;="&amp;$B192,BD!$X$3:$X$5001,"&lt;&gt;")=0,"",SUMIFS(BD!$X$3:$X$5001,BD!$B$3:$B$5001,E$171,BD!$A$3:$A$5001,_xlfn.MAXIFS(BD!$A$3:$A$5001,BD!$B$3:$B$5001,E$171,BD!$A$3:$A$5001,"&gt;="&amp;$C$7,BD!$A$3:$A$5001,"&lt;="&amp;$B192,BD!$X$3:$X$5001,"&lt;&gt;"))))</f>
        <v/>
      </c>
      <c r="F192" s="43" t="str">
        <f>IF(OR($B192="",$A192&gt;$B$9,F$171=""),"",IF(COUNTIFS(BD!$B$3:$B$5001,F$171,BD!$A$3:$A$5001,"&gt;="&amp;$C$7,BD!$A$3:$A$5001,"&lt;="&amp;$B192,BD!$X$3:$X$5001,"&lt;&gt;")=0,"",SUMIFS(BD!$X$3:$X$5001,BD!$B$3:$B$5001,F$171,BD!$A$3:$A$5001,_xlfn.MAXIFS(BD!$A$3:$A$5001,BD!$B$3:$B$5001,F$171,BD!$A$3:$A$5001,"&gt;="&amp;$C$7,BD!$A$3:$A$5001,"&lt;="&amp;$B192,BD!$X$3:$X$5001,"&lt;&gt;"))))</f>
        <v/>
      </c>
      <c r="G192" s="43" t="str">
        <f>IF(OR($B192="",$A192&gt;$B$9,G$171=""),"",IF(COUNTIFS(BD!$B$3:$B$5001,G$171,BD!$A$3:$A$5001,"&gt;="&amp;$C$7,BD!$A$3:$A$5001,"&lt;="&amp;$B192,BD!$X$3:$X$5001,"&lt;&gt;")=0,"",SUMIFS(BD!$X$3:$X$5001,BD!$B$3:$B$5001,G$171,BD!$A$3:$A$5001,_xlfn.MAXIFS(BD!$A$3:$A$5001,BD!$B$3:$B$5001,G$171,BD!$A$3:$A$5001,"&gt;="&amp;$C$7,BD!$A$3:$A$5001,"&lt;="&amp;$B192,BD!$X$3:$X$5001,"&lt;&gt;"))))</f>
        <v/>
      </c>
      <c r="H192" s="43" t="str">
        <f>IF(OR($B192="",$A192&gt;$B$9,H$171=""),"",IF(COUNTIFS(BD!$B$3:$B$5001,H$171,BD!$A$3:$A$5001,"&gt;="&amp;$C$7,BD!$A$3:$A$5001,"&lt;="&amp;$B192,BD!$X$3:$X$5001,"&lt;&gt;")=0,"",SUMIFS(BD!$X$3:$X$5001,BD!$B$3:$B$5001,H$171,BD!$A$3:$A$5001,_xlfn.MAXIFS(BD!$A$3:$A$5001,BD!$B$3:$B$5001,H$171,BD!$A$3:$A$5001,"&gt;="&amp;$C$7,BD!$A$3:$A$5001,"&lt;="&amp;$B192,BD!$X$3:$X$5001,"&lt;&gt;"))))</f>
        <v/>
      </c>
      <c r="I192" s="43" t="str">
        <f>IF(OR($B192="",$A192&gt;$B$9,I$171=""),"",IF(COUNTIFS(BD!$B$3:$B$5001,I$171,BD!$A$3:$A$5001,"&gt;="&amp;$C$7,BD!$A$3:$A$5001,"&lt;="&amp;$B192,BD!$X$3:$X$5001,"&lt;&gt;")=0,"",SUMIFS(BD!$X$3:$X$5001,BD!$B$3:$B$5001,I$171,BD!$A$3:$A$5001,_xlfn.MAXIFS(BD!$A$3:$A$5001,BD!$B$3:$B$5001,I$171,BD!$A$3:$A$5001,"&gt;="&amp;$C$7,BD!$A$3:$A$5001,"&lt;="&amp;$B192,BD!$X$3:$X$5001,"&lt;&gt;"))))</f>
        <v/>
      </c>
      <c r="J192" s="43" t="str">
        <f>IF(OR($B192="",$A192&gt;$B$9,J$171=""),"",IF(COUNTIFS(BD!$B$3:$B$5001,J$171,BD!$A$3:$A$5001,"&gt;="&amp;$C$7,BD!$A$3:$A$5001,"&lt;="&amp;$B192,BD!$X$3:$X$5001,"&lt;&gt;")=0,"",SUMIFS(BD!$X$3:$X$5001,BD!$B$3:$B$5001,J$171,BD!$A$3:$A$5001,_xlfn.MAXIFS(BD!$A$3:$A$5001,BD!$B$3:$B$5001,J$171,BD!$A$3:$A$5001,"&gt;="&amp;$C$7,BD!$A$3:$A$5001,"&lt;="&amp;$B192,BD!$X$3:$X$5001,"&lt;&gt;"))))</f>
        <v/>
      </c>
      <c r="K192" s="43" t="str">
        <f>IF(OR($B192="",$A192&gt;$B$9,K$171=""),"",IF(COUNTIFS(BD!$B$3:$B$5001,K$171,BD!$A$3:$A$5001,"&gt;="&amp;$C$7,BD!$A$3:$A$5001,"&lt;="&amp;$B192,BD!$X$3:$X$5001,"&lt;&gt;")=0,"",SUMIFS(BD!$X$3:$X$5001,BD!$B$3:$B$5001,K$171,BD!$A$3:$A$5001,_xlfn.MAXIFS(BD!$A$3:$A$5001,BD!$B$3:$B$5001,K$171,BD!$A$3:$A$5001,"&gt;="&amp;$C$7,BD!$A$3:$A$5001,"&lt;="&amp;$B192,BD!$X$3:$X$5001,"&lt;&gt;"))))</f>
        <v/>
      </c>
      <c r="L192" s="43" t="str">
        <f>IF(OR($B192="",$A192&gt;$B$9,L$171=""),"",IF(COUNTIFS(BD!$B$3:$B$5001,L$171,BD!$A$3:$A$5001,"&gt;="&amp;$C$7,BD!$A$3:$A$5001,"&lt;="&amp;$B192,BD!$X$3:$X$5001,"&lt;&gt;")=0,"",SUMIFS(BD!$X$3:$X$5001,BD!$B$3:$B$5001,L$171,BD!$A$3:$A$5001,_xlfn.MAXIFS(BD!$A$3:$A$5001,BD!$B$3:$B$5001,L$171,BD!$A$3:$A$5001,"&gt;="&amp;$C$7,BD!$A$3:$A$5001,"&lt;="&amp;$B192,BD!$X$3:$X$5001,"&lt;&gt;"))))</f>
        <v/>
      </c>
      <c r="M192" s="43" t="str">
        <f>IF(OR($B192="",$A192&gt;$B$9,M$171=""),"",IF(COUNTIFS(BD!$B$3:$B$5001,M$171,BD!$A$3:$A$5001,"&gt;="&amp;$C$7,BD!$A$3:$A$5001,"&lt;="&amp;$B192,BD!$X$3:$X$5001,"&lt;&gt;")=0,"",SUMIFS(BD!$X$3:$X$5001,BD!$B$3:$B$5001,M$171,BD!$A$3:$A$5001,_xlfn.MAXIFS(BD!$A$3:$A$5001,BD!$B$3:$B$5001,M$171,BD!$A$3:$A$5001,"&gt;="&amp;$C$7,BD!$A$3:$A$5001,"&lt;="&amp;$B192,BD!$X$3:$X$5001,"&lt;&gt;"))))</f>
        <v/>
      </c>
      <c r="N192" s="43" t="str">
        <f>IF(OR($B192="",$A192&gt;$B$9,N$171=""),"",IF(COUNTIFS(BD!$B$3:$B$5001,N$171,BD!$A$3:$A$5001,"&gt;="&amp;$C$7,BD!$A$3:$A$5001,"&lt;="&amp;$B192,BD!$X$3:$X$5001,"&lt;&gt;")=0,"",SUMIFS(BD!$X$3:$X$5001,BD!$B$3:$B$5001,N$171,BD!$A$3:$A$5001,_xlfn.MAXIFS(BD!$A$3:$A$5001,BD!$B$3:$B$5001,N$171,BD!$A$3:$A$5001,"&gt;="&amp;$C$7,BD!$A$3:$A$5001,"&lt;="&amp;$B192,BD!$X$3:$X$5001,"&lt;&gt;"))))</f>
        <v/>
      </c>
      <c r="O192" s="43" t="str">
        <f>IF(OR($B192="",$A192&gt;$B$9,O$171=""),"",IF(COUNTIFS(BD!$B$3:$B$5001,O$171,BD!$A$3:$A$5001,"&gt;="&amp;$C$7,BD!$A$3:$A$5001,"&lt;="&amp;$B192,BD!$X$3:$X$5001,"&lt;&gt;")=0,"",SUMIFS(BD!$X$3:$X$5001,BD!$B$3:$B$5001,O$171,BD!$A$3:$A$5001,_xlfn.MAXIFS(BD!$A$3:$A$5001,BD!$B$3:$B$5001,O$171,BD!$A$3:$A$5001,"&gt;="&amp;$C$7,BD!$A$3:$A$5001,"&lt;="&amp;$B192,BD!$X$3:$X$5001,"&lt;&gt;"))))</f>
        <v/>
      </c>
      <c r="P192" s="43" t="str">
        <f>IF(OR($B192="",$A192&gt;$B$9,P$171=""),"",IF(COUNTIFS(BD!$B$3:$B$5001,P$171,BD!$A$3:$A$5001,"&gt;="&amp;$C$7,BD!$A$3:$A$5001,"&lt;="&amp;$B192,BD!$X$3:$X$5001,"&lt;&gt;")=0,"",SUMIFS(BD!$X$3:$X$5001,BD!$B$3:$B$5001,P$171,BD!$A$3:$A$5001,_xlfn.MAXIFS(BD!$A$3:$A$5001,BD!$B$3:$B$5001,P$171,BD!$A$3:$A$5001,"&gt;="&amp;$C$7,BD!$A$3:$A$5001,"&lt;="&amp;$B192,BD!$X$3:$X$5001,"&lt;&gt;"))))</f>
        <v/>
      </c>
      <c r="Q192" s="43" t="str">
        <f>IF(OR($B192="",$A192&gt;$B$9,Q$171=""),"",IF(COUNTIFS(BD!$B$3:$B$5001,Q$171,BD!$A$3:$A$5001,"&gt;="&amp;$C$7,BD!$A$3:$A$5001,"&lt;="&amp;$B192,BD!$X$3:$X$5001,"&lt;&gt;")=0,"",SUMIFS(BD!$X$3:$X$5001,BD!$B$3:$B$5001,Q$171,BD!$A$3:$A$5001,_xlfn.MAXIFS(BD!$A$3:$A$5001,BD!$B$3:$B$5001,Q$171,BD!$A$3:$A$5001,"&gt;="&amp;$C$7,BD!$A$3:$A$5001,"&lt;="&amp;$B192,BD!$X$3:$X$5001,"&lt;&gt;"))))</f>
        <v/>
      </c>
      <c r="R192" s="43" t="str">
        <f>IF(OR($B192="",$A192&gt;$B$9,R$171=""),"",IF(COUNTIFS(BD!$B$3:$B$5001,R$171,BD!$A$3:$A$5001,"&gt;="&amp;$C$7,BD!$A$3:$A$5001,"&lt;="&amp;$B192,BD!$X$3:$X$5001,"&lt;&gt;")=0,"",SUMIFS(BD!$X$3:$X$5001,BD!$B$3:$B$5001,R$171,BD!$A$3:$A$5001,_xlfn.MAXIFS(BD!$A$3:$A$5001,BD!$B$3:$B$5001,R$171,BD!$A$3:$A$5001,"&gt;="&amp;$C$7,BD!$A$3:$A$5001,"&lt;="&amp;$B192,BD!$X$3:$X$5001,"&lt;&gt;"))))</f>
        <v/>
      </c>
      <c r="S192" s="43" t="str">
        <f>IF(OR($B192="",$A192&gt;$B$9,S$171=""),"",IF(COUNTIFS(BD!$B$3:$B$5001,S$171,BD!$A$3:$A$5001,"&gt;="&amp;$C$7,BD!$A$3:$A$5001,"&lt;="&amp;$B192,BD!$X$3:$X$5001,"&lt;&gt;")=0,"",SUMIFS(BD!$X$3:$X$5001,BD!$B$3:$B$5001,S$171,BD!$A$3:$A$5001,_xlfn.MAXIFS(BD!$A$3:$A$5001,BD!$B$3:$B$5001,S$171,BD!$A$3:$A$5001,"&gt;="&amp;$C$7,BD!$A$3:$A$5001,"&lt;="&amp;$B192,BD!$X$3:$X$5001,"&lt;&gt;"))))</f>
        <v/>
      </c>
      <c r="T192" s="43" t="str">
        <f>IF(OR($B192="",$A192&gt;$B$9,T$171=""),"",IF(COUNTIFS(BD!$B$3:$B$5001,T$171,BD!$A$3:$A$5001,"&gt;="&amp;$C$7,BD!$A$3:$A$5001,"&lt;="&amp;$B192,BD!$X$3:$X$5001,"&lt;&gt;")=0,"",SUMIFS(BD!$X$3:$X$5001,BD!$B$3:$B$5001,T$171,BD!$A$3:$A$5001,_xlfn.MAXIFS(BD!$A$3:$A$5001,BD!$B$3:$B$5001,T$171,BD!$A$3:$A$5001,"&gt;="&amp;$C$7,BD!$A$3:$A$5001,"&lt;="&amp;$B192,BD!$X$3:$X$5001,"&lt;&gt;"))))</f>
        <v/>
      </c>
      <c r="U192" s="43" t="str">
        <f>IF(OR($B192="",$A192&gt;$B$9,U$171=""),"",IF(COUNTIFS(BD!$B$3:$B$5001,U$171,BD!$A$3:$A$5001,"&gt;="&amp;$C$7,BD!$A$3:$A$5001,"&lt;="&amp;$B192,BD!$X$3:$X$5001,"&lt;&gt;")=0,"",SUMIFS(BD!$X$3:$X$5001,BD!$B$3:$B$5001,U$171,BD!$A$3:$A$5001,_xlfn.MAXIFS(BD!$A$3:$A$5001,BD!$B$3:$B$5001,U$171,BD!$A$3:$A$5001,"&gt;="&amp;$C$7,BD!$A$3:$A$5001,"&lt;="&amp;$B192,BD!$X$3:$X$5001,"&lt;&gt;"))))</f>
        <v/>
      </c>
      <c r="V192" s="43" t="str">
        <f>IF(OR($B192="",$A192&gt;$B$9,V$171=""),"",IF(COUNTIFS(BD!$B$3:$B$5001,V$171,BD!$A$3:$A$5001,"&gt;="&amp;$C$7,BD!$A$3:$A$5001,"&lt;="&amp;$B192,BD!$X$3:$X$5001,"&lt;&gt;")=0,"",SUMIFS(BD!$X$3:$X$5001,BD!$B$3:$B$5001,V$171,BD!$A$3:$A$5001,_xlfn.MAXIFS(BD!$A$3:$A$5001,BD!$B$3:$B$5001,V$171,BD!$A$3:$A$5001,"&gt;="&amp;$C$7,BD!$A$3:$A$5001,"&lt;="&amp;$B192,BD!$X$3:$X$5001,"&lt;&gt;"))))</f>
        <v/>
      </c>
    </row>
    <row r="193">
      <c r="A193" s="38">
        <v>22</v>
      </c>
      <c r="B193" s="42">
        <f>$B$33</f>
        <v>46317</v>
      </c>
      <c r="C193" s="43" t="str">
        <f>IF(OR($B193="",$A193&gt;$B$9,C$171=""),"",IF(COUNTIFS(BD!$B$3:$B$5001,C$171,BD!$A$3:$A$5001,"&gt;="&amp;$C$7,BD!$A$3:$A$5001,"&lt;="&amp;$B193,BD!$X$3:$X$5001,"&lt;&gt;")=0,"",SUMIFS(BD!$X$3:$X$5001,BD!$B$3:$B$5001,C$171,BD!$A$3:$A$5001,_xlfn.MAXIFS(BD!$A$3:$A$5001,BD!$B$3:$B$5001,C$171,BD!$A$3:$A$5001,"&gt;="&amp;$C$7,BD!$A$3:$A$5001,"&lt;="&amp;$B193,BD!$X$3:$X$5001,"&lt;&gt;"))))</f>
        <v/>
      </c>
      <c r="D193" s="43" t="str">
        <f>IF(OR($B193="",$A193&gt;$B$9,D$171=""),"",IF(COUNTIFS(BD!$B$3:$B$5001,D$171,BD!$A$3:$A$5001,"&gt;="&amp;$C$7,BD!$A$3:$A$5001,"&lt;="&amp;$B193,BD!$X$3:$X$5001,"&lt;&gt;")=0,"",SUMIFS(BD!$X$3:$X$5001,BD!$B$3:$B$5001,D$171,BD!$A$3:$A$5001,_xlfn.MAXIFS(BD!$A$3:$A$5001,BD!$B$3:$B$5001,D$171,BD!$A$3:$A$5001,"&gt;="&amp;$C$7,BD!$A$3:$A$5001,"&lt;="&amp;$B193,BD!$X$3:$X$5001,"&lt;&gt;"))))</f>
        <v/>
      </c>
      <c r="E193" s="43" t="str">
        <f>IF(OR($B193="",$A193&gt;$B$9,E$171=""),"",IF(COUNTIFS(BD!$B$3:$B$5001,E$171,BD!$A$3:$A$5001,"&gt;="&amp;$C$7,BD!$A$3:$A$5001,"&lt;="&amp;$B193,BD!$X$3:$X$5001,"&lt;&gt;")=0,"",SUMIFS(BD!$X$3:$X$5001,BD!$B$3:$B$5001,E$171,BD!$A$3:$A$5001,_xlfn.MAXIFS(BD!$A$3:$A$5001,BD!$B$3:$B$5001,E$171,BD!$A$3:$A$5001,"&gt;="&amp;$C$7,BD!$A$3:$A$5001,"&lt;="&amp;$B193,BD!$X$3:$X$5001,"&lt;&gt;"))))</f>
        <v/>
      </c>
      <c r="F193" s="43" t="str">
        <f>IF(OR($B193="",$A193&gt;$B$9,F$171=""),"",IF(COUNTIFS(BD!$B$3:$B$5001,F$171,BD!$A$3:$A$5001,"&gt;="&amp;$C$7,BD!$A$3:$A$5001,"&lt;="&amp;$B193,BD!$X$3:$X$5001,"&lt;&gt;")=0,"",SUMIFS(BD!$X$3:$X$5001,BD!$B$3:$B$5001,F$171,BD!$A$3:$A$5001,_xlfn.MAXIFS(BD!$A$3:$A$5001,BD!$B$3:$B$5001,F$171,BD!$A$3:$A$5001,"&gt;="&amp;$C$7,BD!$A$3:$A$5001,"&lt;="&amp;$B193,BD!$X$3:$X$5001,"&lt;&gt;"))))</f>
        <v/>
      </c>
      <c r="G193" s="43" t="str">
        <f>IF(OR($B193="",$A193&gt;$B$9,G$171=""),"",IF(COUNTIFS(BD!$B$3:$B$5001,G$171,BD!$A$3:$A$5001,"&gt;="&amp;$C$7,BD!$A$3:$A$5001,"&lt;="&amp;$B193,BD!$X$3:$X$5001,"&lt;&gt;")=0,"",SUMIFS(BD!$X$3:$X$5001,BD!$B$3:$B$5001,G$171,BD!$A$3:$A$5001,_xlfn.MAXIFS(BD!$A$3:$A$5001,BD!$B$3:$B$5001,G$171,BD!$A$3:$A$5001,"&gt;="&amp;$C$7,BD!$A$3:$A$5001,"&lt;="&amp;$B193,BD!$X$3:$X$5001,"&lt;&gt;"))))</f>
        <v/>
      </c>
      <c r="H193" s="43" t="str">
        <f>IF(OR($B193="",$A193&gt;$B$9,H$171=""),"",IF(COUNTIFS(BD!$B$3:$B$5001,H$171,BD!$A$3:$A$5001,"&gt;="&amp;$C$7,BD!$A$3:$A$5001,"&lt;="&amp;$B193,BD!$X$3:$X$5001,"&lt;&gt;")=0,"",SUMIFS(BD!$X$3:$X$5001,BD!$B$3:$B$5001,H$171,BD!$A$3:$A$5001,_xlfn.MAXIFS(BD!$A$3:$A$5001,BD!$B$3:$B$5001,H$171,BD!$A$3:$A$5001,"&gt;="&amp;$C$7,BD!$A$3:$A$5001,"&lt;="&amp;$B193,BD!$X$3:$X$5001,"&lt;&gt;"))))</f>
        <v/>
      </c>
      <c r="I193" s="43" t="str">
        <f>IF(OR($B193="",$A193&gt;$B$9,I$171=""),"",IF(COUNTIFS(BD!$B$3:$B$5001,I$171,BD!$A$3:$A$5001,"&gt;="&amp;$C$7,BD!$A$3:$A$5001,"&lt;="&amp;$B193,BD!$X$3:$X$5001,"&lt;&gt;")=0,"",SUMIFS(BD!$X$3:$X$5001,BD!$B$3:$B$5001,I$171,BD!$A$3:$A$5001,_xlfn.MAXIFS(BD!$A$3:$A$5001,BD!$B$3:$B$5001,I$171,BD!$A$3:$A$5001,"&gt;="&amp;$C$7,BD!$A$3:$A$5001,"&lt;="&amp;$B193,BD!$X$3:$X$5001,"&lt;&gt;"))))</f>
        <v/>
      </c>
      <c r="J193" s="43" t="str">
        <f>IF(OR($B193="",$A193&gt;$B$9,J$171=""),"",IF(COUNTIFS(BD!$B$3:$B$5001,J$171,BD!$A$3:$A$5001,"&gt;="&amp;$C$7,BD!$A$3:$A$5001,"&lt;="&amp;$B193,BD!$X$3:$X$5001,"&lt;&gt;")=0,"",SUMIFS(BD!$X$3:$X$5001,BD!$B$3:$B$5001,J$171,BD!$A$3:$A$5001,_xlfn.MAXIFS(BD!$A$3:$A$5001,BD!$B$3:$B$5001,J$171,BD!$A$3:$A$5001,"&gt;="&amp;$C$7,BD!$A$3:$A$5001,"&lt;="&amp;$B193,BD!$X$3:$X$5001,"&lt;&gt;"))))</f>
        <v/>
      </c>
      <c r="K193" s="43" t="str">
        <f>IF(OR($B193="",$A193&gt;$B$9,K$171=""),"",IF(COUNTIFS(BD!$B$3:$B$5001,K$171,BD!$A$3:$A$5001,"&gt;="&amp;$C$7,BD!$A$3:$A$5001,"&lt;="&amp;$B193,BD!$X$3:$X$5001,"&lt;&gt;")=0,"",SUMIFS(BD!$X$3:$X$5001,BD!$B$3:$B$5001,K$171,BD!$A$3:$A$5001,_xlfn.MAXIFS(BD!$A$3:$A$5001,BD!$B$3:$B$5001,K$171,BD!$A$3:$A$5001,"&gt;="&amp;$C$7,BD!$A$3:$A$5001,"&lt;="&amp;$B193,BD!$X$3:$X$5001,"&lt;&gt;"))))</f>
        <v/>
      </c>
      <c r="L193" s="43" t="str">
        <f>IF(OR($B193="",$A193&gt;$B$9,L$171=""),"",IF(COUNTIFS(BD!$B$3:$B$5001,L$171,BD!$A$3:$A$5001,"&gt;="&amp;$C$7,BD!$A$3:$A$5001,"&lt;="&amp;$B193,BD!$X$3:$X$5001,"&lt;&gt;")=0,"",SUMIFS(BD!$X$3:$X$5001,BD!$B$3:$B$5001,L$171,BD!$A$3:$A$5001,_xlfn.MAXIFS(BD!$A$3:$A$5001,BD!$B$3:$B$5001,L$171,BD!$A$3:$A$5001,"&gt;="&amp;$C$7,BD!$A$3:$A$5001,"&lt;="&amp;$B193,BD!$X$3:$X$5001,"&lt;&gt;"))))</f>
        <v/>
      </c>
      <c r="M193" s="43" t="str">
        <f>IF(OR($B193="",$A193&gt;$B$9,M$171=""),"",IF(COUNTIFS(BD!$B$3:$B$5001,M$171,BD!$A$3:$A$5001,"&gt;="&amp;$C$7,BD!$A$3:$A$5001,"&lt;="&amp;$B193,BD!$X$3:$X$5001,"&lt;&gt;")=0,"",SUMIFS(BD!$X$3:$X$5001,BD!$B$3:$B$5001,M$171,BD!$A$3:$A$5001,_xlfn.MAXIFS(BD!$A$3:$A$5001,BD!$B$3:$B$5001,M$171,BD!$A$3:$A$5001,"&gt;="&amp;$C$7,BD!$A$3:$A$5001,"&lt;="&amp;$B193,BD!$X$3:$X$5001,"&lt;&gt;"))))</f>
        <v/>
      </c>
      <c r="N193" s="43" t="str">
        <f>IF(OR($B193="",$A193&gt;$B$9,N$171=""),"",IF(COUNTIFS(BD!$B$3:$B$5001,N$171,BD!$A$3:$A$5001,"&gt;="&amp;$C$7,BD!$A$3:$A$5001,"&lt;="&amp;$B193,BD!$X$3:$X$5001,"&lt;&gt;")=0,"",SUMIFS(BD!$X$3:$X$5001,BD!$B$3:$B$5001,N$171,BD!$A$3:$A$5001,_xlfn.MAXIFS(BD!$A$3:$A$5001,BD!$B$3:$B$5001,N$171,BD!$A$3:$A$5001,"&gt;="&amp;$C$7,BD!$A$3:$A$5001,"&lt;="&amp;$B193,BD!$X$3:$X$5001,"&lt;&gt;"))))</f>
        <v/>
      </c>
      <c r="O193" s="43" t="str">
        <f>IF(OR($B193="",$A193&gt;$B$9,O$171=""),"",IF(COUNTIFS(BD!$B$3:$B$5001,O$171,BD!$A$3:$A$5001,"&gt;="&amp;$C$7,BD!$A$3:$A$5001,"&lt;="&amp;$B193,BD!$X$3:$X$5001,"&lt;&gt;")=0,"",SUMIFS(BD!$X$3:$X$5001,BD!$B$3:$B$5001,O$171,BD!$A$3:$A$5001,_xlfn.MAXIFS(BD!$A$3:$A$5001,BD!$B$3:$B$5001,O$171,BD!$A$3:$A$5001,"&gt;="&amp;$C$7,BD!$A$3:$A$5001,"&lt;="&amp;$B193,BD!$X$3:$X$5001,"&lt;&gt;"))))</f>
        <v/>
      </c>
      <c r="P193" s="43" t="str">
        <f>IF(OR($B193="",$A193&gt;$B$9,P$171=""),"",IF(COUNTIFS(BD!$B$3:$B$5001,P$171,BD!$A$3:$A$5001,"&gt;="&amp;$C$7,BD!$A$3:$A$5001,"&lt;="&amp;$B193,BD!$X$3:$X$5001,"&lt;&gt;")=0,"",SUMIFS(BD!$X$3:$X$5001,BD!$B$3:$B$5001,P$171,BD!$A$3:$A$5001,_xlfn.MAXIFS(BD!$A$3:$A$5001,BD!$B$3:$B$5001,P$171,BD!$A$3:$A$5001,"&gt;="&amp;$C$7,BD!$A$3:$A$5001,"&lt;="&amp;$B193,BD!$X$3:$X$5001,"&lt;&gt;"))))</f>
        <v/>
      </c>
      <c r="Q193" s="43" t="str">
        <f>IF(OR($B193="",$A193&gt;$B$9,Q$171=""),"",IF(COUNTIFS(BD!$B$3:$B$5001,Q$171,BD!$A$3:$A$5001,"&gt;="&amp;$C$7,BD!$A$3:$A$5001,"&lt;="&amp;$B193,BD!$X$3:$X$5001,"&lt;&gt;")=0,"",SUMIFS(BD!$X$3:$X$5001,BD!$B$3:$B$5001,Q$171,BD!$A$3:$A$5001,_xlfn.MAXIFS(BD!$A$3:$A$5001,BD!$B$3:$B$5001,Q$171,BD!$A$3:$A$5001,"&gt;="&amp;$C$7,BD!$A$3:$A$5001,"&lt;="&amp;$B193,BD!$X$3:$X$5001,"&lt;&gt;"))))</f>
        <v/>
      </c>
      <c r="R193" s="43" t="str">
        <f>IF(OR($B193="",$A193&gt;$B$9,R$171=""),"",IF(COUNTIFS(BD!$B$3:$B$5001,R$171,BD!$A$3:$A$5001,"&gt;="&amp;$C$7,BD!$A$3:$A$5001,"&lt;="&amp;$B193,BD!$X$3:$X$5001,"&lt;&gt;")=0,"",SUMIFS(BD!$X$3:$X$5001,BD!$B$3:$B$5001,R$171,BD!$A$3:$A$5001,_xlfn.MAXIFS(BD!$A$3:$A$5001,BD!$B$3:$B$5001,R$171,BD!$A$3:$A$5001,"&gt;="&amp;$C$7,BD!$A$3:$A$5001,"&lt;="&amp;$B193,BD!$X$3:$X$5001,"&lt;&gt;"))))</f>
        <v/>
      </c>
      <c r="S193" s="43" t="str">
        <f>IF(OR($B193="",$A193&gt;$B$9,S$171=""),"",IF(COUNTIFS(BD!$B$3:$B$5001,S$171,BD!$A$3:$A$5001,"&gt;="&amp;$C$7,BD!$A$3:$A$5001,"&lt;="&amp;$B193,BD!$X$3:$X$5001,"&lt;&gt;")=0,"",SUMIFS(BD!$X$3:$X$5001,BD!$B$3:$B$5001,S$171,BD!$A$3:$A$5001,_xlfn.MAXIFS(BD!$A$3:$A$5001,BD!$B$3:$B$5001,S$171,BD!$A$3:$A$5001,"&gt;="&amp;$C$7,BD!$A$3:$A$5001,"&lt;="&amp;$B193,BD!$X$3:$X$5001,"&lt;&gt;"))))</f>
        <v/>
      </c>
      <c r="T193" s="43" t="str">
        <f>IF(OR($B193="",$A193&gt;$B$9,T$171=""),"",IF(COUNTIFS(BD!$B$3:$B$5001,T$171,BD!$A$3:$A$5001,"&gt;="&amp;$C$7,BD!$A$3:$A$5001,"&lt;="&amp;$B193,BD!$X$3:$X$5001,"&lt;&gt;")=0,"",SUMIFS(BD!$X$3:$X$5001,BD!$B$3:$B$5001,T$171,BD!$A$3:$A$5001,_xlfn.MAXIFS(BD!$A$3:$A$5001,BD!$B$3:$B$5001,T$171,BD!$A$3:$A$5001,"&gt;="&amp;$C$7,BD!$A$3:$A$5001,"&lt;="&amp;$B193,BD!$X$3:$X$5001,"&lt;&gt;"))))</f>
        <v/>
      </c>
      <c r="U193" s="43" t="str">
        <f>IF(OR($B193="",$A193&gt;$B$9,U$171=""),"",IF(COUNTIFS(BD!$B$3:$B$5001,U$171,BD!$A$3:$A$5001,"&gt;="&amp;$C$7,BD!$A$3:$A$5001,"&lt;="&amp;$B193,BD!$X$3:$X$5001,"&lt;&gt;")=0,"",SUMIFS(BD!$X$3:$X$5001,BD!$B$3:$B$5001,U$171,BD!$A$3:$A$5001,_xlfn.MAXIFS(BD!$A$3:$A$5001,BD!$B$3:$B$5001,U$171,BD!$A$3:$A$5001,"&gt;="&amp;$C$7,BD!$A$3:$A$5001,"&lt;="&amp;$B193,BD!$X$3:$X$5001,"&lt;&gt;"))))</f>
        <v/>
      </c>
      <c r="V193" s="43" t="str">
        <f>IF(OR($B193="",$A193&gt;$B$9,V$171=""),"",IF(COUNTIFS(BD!$B$3:$B$5001,V$171,BD!$A$3:$A$5001,"&gt;="&amp;$C$7,BD!$A$3:$A$5001,"&lt;="&amp;$B193,BD!$X$3:$X$5001,"&lt;&gt;")=0,"",SUMIFS(BD!$X$3:$X$5001,BD!$B$3:$B$5001,V$171,BD!$A$3:$A$5001,_xlfn.MAXIFS(BD!$A$3:$A$5001,BD!$B$3:$B$5001,V$171,BD!$A$3:$A$5001,"&gt;="&amp;$C$7,BD!$A$3:$A$5001,"&lt;="&amp;$B193,BD!$X$3:$X$5001,"&lt;&gt;"))))</f>
        <v/>
      </c>
    </row>
    <row r="194">
      <c r="A194" s="38">
        <v>23</v>
      </c>
      <c r="B194" s="42">
        <f>$B$34</f>
        <v>46318</v>
      </c>
      <c r="C194" s="43" t="str">
        <f>IF(OR($B194="",$A194&gt;$B$9,C$171=""),"",IF(COUNTIFS(BD!$B$3:$B$5001,C$171,BD!$A$3:$A$5001,"&gt;="&amp;$C$7,BD!$A$3:$A$5001,"&lt;="&amp;$B194,BD!$X$3:$X$5001,"&lt;&gt;")=0,"",SUMIFS(BD!$X$3:$X$5001,BD!$B$3:$B$5001,C$171,BD!$A$3:$A$5001,_xlfn.MAXIFS(BD!$A$3:$A$5001,BD!$B$3:$B$5001,C$171,BD!$A$3:$A$5001,"&gt;="&amp;$C$7,BD!$A$3:$A$5001,"&lt;="&amp;$B194,BD!$X$3:$X$5001,"&lt;&gt;"))))</f>
        <v/>
      </c>
      <c r="D194" s="43" t="str">
        <f>IF(OR($B194="",$A194&gt;$B$9,D$171=""),"",IF(COUNTIFS(BD!$B$3:$B$5001,D$171,BD!$A$3:$A$5001,"&gt;="&amp;$C$7,BD!$A$3:$A$5001,"&lt;="&amp;$B194,BD!$X$3:$X$5001,"&lt;&gt;")=0,"",SUMIFS(BD!$X$3:$X$5001,BD!$B$3:$B$5001,D$171,BD!$A$3:$A$5001,_xlfn.MAXIFS(BD!$A$3:$A$5001,BD!$B$3:$B$5001,D$171,BD!$A$3:$A$5001,"&gt;="&amp;$C$7,BD!$A$3:$A$5001,"&lt;="&amp;$B194,BD!$X$3:$X$5001,"&lt;&gt;"))))</f>
        <v/>
      </c>
      <c r="E194" s="43" t="str">
        <f>IF(OR($B194="",$A194&gt;$B$9,E$171=""),"",IF(COUNTIFS(BD!$B$3:$B$5001,E$171,BD!$A$3:$A$5001,"&gt;="&amp;$C$7,BD!$A$3:$A$5001,"&lt;="&amp;$B194,BD!$X$3:$X$5001,"&lt;&gt;")=0,"",SUMIFS(BD!$X$3:$X$5001,BD!$B$3:$B$5001,E$171,BD!$A$3:$A$5001,_xlfn.MAXIFS(BD!$A$3:$A$5001,BD!$B$3:$B$5001,E$171,BD!$A$3:$A$5001,"&gt;="&amp;$C$7,BD!$A$3:$A$5001,"&lt;="&amp;$B194,BD!$X$3:$X$5001,"&lt;&gt;"))))</f>
        <v/>
      </c>
      <c r="F194" s="43" t="str">
        <f>IF(OR($B194="",$A194&gt;$B$9,F$171=""),"",IF(COUNTIFS(BD!$B$3:$B$5001,F$171,BD!$A$3:$A$5001,"&gt;="&amp;$C$7,BD!$A$3:$A$5001,"&lt;="&amp;$B194,BD!$X$3:$X$5001,"&lt;&gt;")=0,"",SUMIFS(BD!$X$3:$X$5001,BD!$B$3:$B$5001,F$171,BD!$A$3:$A$5001,_xlfn.MAXIFS(BD!$A$3:$A$5001,BD!$B$3:$B$5001,F$171,BD!$A$3:$A$5001,"&gt;="&amp;$C$7,BD!$A$3:$A$5001,"&lt;="&amp;$B194,BD!$X$3:$X$5001,"&lt;&gt;"))))</f>
        <v/>
      </c>
      <c r="G194" s="43" t="str">
        <f>IF(OR($B194="",$A194&gt;$B$9,G$171=""),"",IF(COUNTIFS(BD!$B$3:$B$5001,G$171,BD!$A$3:$A$5001,"&gt;="&amp;$C$7,BD!$A$3:$A$5001,"&lt;="&amp;$B194,BD!$X$3:$X$5001,"&lt;&gt;")=0,"",SUMIFS(BD!$X$3:$X$5001,BD!$B$3:$B$5001,G$171,BD!$A$3:$A$5001,_xlfn.MAXIFS(BD!$A$3:$A$5001,BD!$B$3:$B$5001,G$171,BD!$A$3:$A$5001,"&gt;="&amp;$C$7,BD!$A$3:$A$5001,"&lt;="&amp;$B194,BD!$X$3:$X$5001,"&lt;&gt;"))))</f>
        <v/>
      </c>
      <c r="H194" s="43" t="str">
        <f>IF(OR($B194="",$A194&gt;$B$9,H$171=""),"",IF(COUNTIFS(BD!$B$3:$B$5001,H$171,BD!$A$3:$A$5001,"&gt;="&amp;$C$7,BD!$A$3:$A$5001,"&lt;="&amp;$B194,BD!$X$3:$X$5001,"&lt;&gt;")=0,"",SUMIFS(BD!$X$3:$X$5001,BD!$B$3:$B$5001,H$171,BD!$A$3:$A$5001,_xlfn.MAXIFS(BD!$A$3:$A$5001,BD!$B$3:$B$5001,H$171,BD!$A$3:$A$5001,"&gt;="&amp;$C$7,BD!$A$3:$A$5001,"&lt;="&amp;$B194,BD!$X$3:$X$5001,"&lt;&gt;"))))</f>
        <v/>
      </c>
      <c r="I194" s="43" t="str">
        <f>IF(OR($B194="",$A194&gt;$B$9,I$171=""),"",IF(COUNTIFS(BD!$B$3:$B$5001,I$171,BD!$A$3:$A$5001,"&gt;="&amp;$C$7,BD!$A$3:$A$5001,"&lt;="&amp;$B194,BD!$X$3:$X$5001,"&lt;&gt;")=0,"",SUMIFS(BD!$X$3:$X$5001,BD!$B$3:$B$5001,I$171,BD!$A$3:$A$5001,_xlfn.MAXIFS(BD!$A$3:$A$5001,BD!$B$3:$B$5001,I$171,BD!$A$3:$A$5001,"&gt;="&amp;$C$7,BD!$A$3:$A$5001,"&lt;="&amp;$B194,BD!$X$3:$X$5001,"&lt;&gt;"))))</f>
        <v/>
      </c>
      <c r="J194" s="43" t="str">
        <f>IF(OR($B194="",$A194&gt;$B$9,J$171=""),"",IF(COUNTIFS(BD!$B$3:$B$5001,J$171,BD!$A$3:$A$5001,"&gt;="&amp;$C$7,BD!$A$3:$A$5001,"&lt;="&amp;$B194,BD!$X$3:$X$5001,"&lt;&gt;")=0,"",SUMIFS(BD!$X$3:$X$5001,BD!$B$3:$B$5001,J$171,BD!$A$3:$A$5001,_xlfn.MAXIFS(BD!$A$3:$A$5001,BD!$B$3:$B$5001,J$171,BD!$A$3:$A$5001,"&gt;="&amp;$C$7,BD!$A$3:$A$5001,"&lt;="&amp;$B194,BD!$X$3:$X$5001,"&lt;&gt;"))))</f>
        <v/>
      </c>
      <c r="K194" s="43" t="str">
        <f>IF(OR($B194="",$A194&gt;$B$9,K$171=""),"",IF(COUNTIFS(BD!$B$3:$B$5001,K$171,BD!$A$3:$A$5001,"&gt;="&amp;$C$7,BD!$A$3:$A$5001,"&lt;="&amp;$B194,BD!$X$3:$X$5001,"&lt;&gt;")=0,"",SUMIFS(BD!$X$3:$X$5001,BD!$B$3:$B$5001,K$171,BD!$A$3:$A$5001,_xlfn.MAXIFS(BD!$A$3:$A$5001,BD!$B$3:$B$5001,K$171,BD!$A$3:$A$5001,"&gt;="&amp;$C$7,BD!$A$3:$A$5001,"&lt;="&amp;$B194,BD!$X$3:$X$5001,"&lt;&gt;"))))</f>
        <v/>
      </c>
      <c r="L194" s="43" t="str">
        <f>IF(OR($B194="",$A194&gt;$B$9,L$171=""),"",IF(COUNTIFS(BD!$B$3:$B$5001,L$171,BD!$A$3:$A$5001,"&gt;="&amp;$C$7,BD!$A$3:$A$5001,"&lt;="&amp;$B194,BD!$X$3:$X$5001,"&lt;&gt;")=0,"",SUMIFS(BD!$X$3:$X$5001,BD!$B$3:$B$5001,L$171,BD!$A$3:$A$5001,_xlfn.MAXIFS(BD!$A$3:$A$5001,BD!$B$3:$B$5001,L$171,BD!$A$3:$A$5001,"&gt;="&amp;$C$7,BD!$A$3:$A$5001,"&lt;="&amp;$B194,BD!$X$3:$X$5001,"&lt;&gt;"))))</f>
        <v/>
      </c>
      <c r="M194" s="43" t="str">
        <f>IF(OR($B194="",$A194&gt;$B$9,M$171=""),"",IF(COUNTIFS(BD!$B$3:$B$5001,M$171,BD!$A$3:$A$5001,"&gt;="&amp;$C$7,BD!$A$3:$A$5001,"&lt;="&amp;$B194,BD!$X$3:$X$5001,"&lt;&gt;")=0,"",SUMIFS(BD!$X$3:$X$5001,BD!$B$3:$B$5001,M$171,BD!$A$3:$A$5001,_xlfn.MAXIFS(BD!$A$3:$A$5001,BD!$B$3:$B$5001,M$171,BD!$A$3:$A$5001,"&gt;="&amp;$C$7,BD!$A$3:$A$5001,"&lt;="&amp;$B194,BD!$X$3:$X$5001,"&lt;&gt;"))))</f>
        <v/>
      </c>
      <c r="N194" s="43" t="str">
        <f>IF(OR($B194="",$A194&gt;$B$9,N$171=""),"",IF(COUNTIFS(BD!$B$3:$B$5001,N$171,BD!$A$3:$A$5001,"&gt;="&amp;$C$7,BD!$A$3:$A$5001,"&lt;="&amp;$B194,BD!$X$3:$X$5001,"&lt;&gt;")=0,"",SUMIFS(BD!$X$3:$X$5001,BD!$B$3:$B$5001,N$171,BD!$A$3:$A$5001,_xlfn.MAXIFS(BD!$A$3:$A$5001,BD!$B$3:$B$5001,N$171,BD!$A$3:$A$5001,"&gt;="&amp;$C$7,BD!$A$3:$A$5001,"&lt;="&amp;$B194,BD!$X$3:$X$5001,"&lt;&gt;"))))</f>
        <v/>
      </c>
      <c r="O194" s="43" t="str">
        <f>IF(OR($B194="",$A194&gt;$B$9,O$171=""),"",IF(COUNTIFS(BD!$B$3:$B$5001,O$171,BD!$A$3:$A$5001,"&gt;="&amp;$C$7,BD!$A$3:$A$5001,"&lt;="&amp;$B194,BD!$X$3:$X$5001,"&lt;&gt;")=0,"",SUMIFS(BD!$X$3:$X$5001,BD!$B$3:$B$5001,O$171,BD!$A$3:$A$5001,_xlfn.MAXIFS(BD!$A$3:$A$5001,BD!$B$3:$B$5001,O$171,BD!$A$3:$A$5001,"&gt;="&amp;$C$7,BD!$A$3:$A$5001,"&lt;="&amp;$B194,BD!$X$3:$X$5001,"&lt;&gt;"))))</f>
        <v/>
      </c>
      <c r="P194" s="43" t="str">
        <f>IF(OR($B194="",$A194&gt;$B$9,P$171=""),"",IF(COUNTIFS(BD!$B$3:$B$5001,P$171,BD!$A$3:$A$5001,"&gt;="&amp;$C$7,BD!$A$3:$A$5001,"&lt;="&amp;$B194,BD!$X$3:$X$5001,"&lt;&gt;")=0,"",SUMIFS(BD!$X$3:$X$5001,BD!$B$3:$B$5001,P$171,BD!$A$3:$A$5001,_xlfn.MAXIFS(BD!$A$3:$A$5001,BD!$B$3:$B$5001,P$171,BD!$A$3:$A$5001,"&gt;="&amp;$C$7,BD!$A$3:$A$5001,"&lt;="&amp;$B194,BD!$X$3:$X$5001,"&lt;&gt;"))))</f>
        <v/>
      </c>
      <c r="Q194" s="43" t="str">
        <f>IF(OR($B194="",$A194&gt;$B$9,Q$171=""),"",IF(COUNTIFS(BD!$B$3:$B$5001,Q$171,BD!$A$3:$A$5001,"&gt;="&amp;$C$7,BD!$A$3:$A$5001,"&lt;="&amp;$B194,BD!$X$3:$X$5001,"&lt;&gt;")=0,"",SUMIFS(BD!$X$3:$X$5001,BD!$B$3:$B$5001,Q$171,BD!$A$3:$A$5001,_xlfn.MAXIFS(BD!$A$3:$A$5001,BD!$B$3:$B$5001,Q$171,BD!$A$3:$A$5001,"&gt;="&amp;$C$7,BD!$A$3:$A$5001,"&lt;="&amp;$B194,BD!$X$3:$X$5001,"&lt;&gt;"))))</f>
        <v/>
      </c>
      <c r="R194" s="43" t="str">
        <f>IF(OR($B194="",$A194&gt;$B$9,R$171=""),"",IF(COUNTIFS(BD!$B$3:$B$5001,R$171,BD!$A$3:$A$5001,"&gt;="&amp;$C$7,BD!$A$3:$A$5001,"&lt;="&amp;$B194,BD!$X$3:$X$5001,"&lt;&gt;")=0,"",SUMIFS(BD!$X$3:$X$5001,BD!$B$3:$B$5001,R$171,BD!$A$3:$A$5001,_xlfn.MAXIFS(BD!$A$3:$A$5001,BD!$B$3:$B$5001,R$171,BD!$A$3:$A$5001,"&gt;="&amp;$C$7,BD!$A$3:$A$5001,"&lt;="&amp;$B194,BD!$X$3:$X$5001,"&lt;&gt;"))))</f>
        <v/>
      </c>
      <c r="S194" s="43" t="str">
        <f>IF(OR($B194="",$A194&gt;$B$9,S$171=""),"",IF(COUNTIFS(BD!$B$3:$B$5001,S$171,BD!$A$3:$A$5001,"&gt;="&amp;$C$7,BD!$A$3:$A$5001,"&lt;="&amp;$B194,BD!$X$3:$X$5001,"&lt;&gt;")=0,"",SUMIFS(BD!$X$3:$X$5001,BD!$B$3:$B$5001,S$171,BD!$A$3:$A$5001,_xlfn.MAXIFS(BD!$A$3:$A$5001,BD!$B$3:$B$5001,S$171,BD!$A$3:$A$5001,"&gt;="&amp;$C$7,BD!$A$3:$A$5001,"&lt;="&amp;$B194,BD!$X$3:$X$5001,"&lt;&gt;"))))</f>
        <v/>
      </c>
      <c r="T194" s="43" t="str">
        <f>IF(OR($B194="",$A194&gt;$B$9,T$171=""),"",IF(COUNTIFS(BD!$B$3:$B$5001,T$171,BD!$A$3:$A$5001,"&gt;="&amp;$C$7,BD!$A$3:$A$5001,"&lt;="&amp;$B194,BD!$X$3:$X$5001,"&lt;&gt;")=0,"",SUMIFS(BD!$X$3:$X$5001,BD!$B$3:$B$5001,T$171,BD!$A$3:$A$5001,_xlfn.MAXIFS(BD!$A$3:$A$5001,BD!$B$3:$B$5001,T$171,BD!$A$3:$A$5001,"&gt;="&amp;$C$7,BD!$A$3:$A$5001,"&lt;="&amp;$B194,BD!$X$3:$X$5001,"&lt;&gt;"))))</f>
        <v/>
      </c>
      <c r="U194" s="43" t="str">
        <f>IF(OR($B194="",$A194&gt;$B$9,U$171=""),"",IF(COUNTIFS(BD!$B$3:$B$5001,U$171,BD!$A$3:$A$5001,"&gt;="&amp;$C$7,BD!$A$3:$A$5001,"&lt;="&amp;$B194,BD!$X$3:$X$5001,"&lt;&gt;")=0,"",SUMIFS(BD!$X$3:$X$5001,BD!$B$3:$B$5001,U$171,BD!$A$3:$A$5001,_xlfn.MAXIFS(BD!$A$3:$A$5001,BD!$B$3:$B$5001,U$171,BD!$A$3:$A$5001,"&gt;="&amp;$C$7,BD!$A$3:$A$5001,"&lt;="&amp;$B194,BD!$X$3:$X$5001,"&lt;&gt;"))))</f>
        <v/>
      </c>
      <c r="V194" s="43" t="str">
        <f>IF(OR($B194="",$A194&gt;$B$9,V$171=""),"",IF(COUNTIFS(BD!$B$3:$B$5001,V$171,BD!$A$3:$A$5001,"&gt;="&amp;$C$7,BD!$A$3:$A$5001,"&lt;="&amp;$B194,BD!$X$3:$X$5001,"&lt;&gt;")=0,"",SUMIFS(BD!$X$3:$X$5001,BD!$B$3:$B$5001,V$171,BD!$A$3:$A$5001,_xlfn.MAXIFS(BD!$A$3:$A$5001,BD!$B$3:$B$5001,V$171,BD!$A$3:$A$5001,"&gt;="&amp;$C$7,BD!$A$3:$A$5001,"&lt;="&amp;$B194,BD!$X$3:$X$5001,"&lt;&gt;"))))</f>
        <v/>
      </c>
    </row>
    <row r="195">
      <c r="A195" s="38">
        <v>24</v>
      </c>
      <c r="B195" s="42">
        <f>$B$35</f>
        <v>46319</v>
      </c>
      <c r="C195" s="43" t="str">
        <f>IF(OR($B195="",$A195&gt;$B$9,C$171=""),"",IF(COUNTIFS(BD!$B$3:$B$5001,C$171,BD!$A$3:$A$5001,"&gt;="&amp;$C$7,BD!$A$3:$A$5001,"&lt;="&amp;$B195,BD!$X$3:$X$5001,"&lt;&gt;")=0,"",SUMIFS(BD!$X$3:$X$5001,BD!$B$3:$B$5001,C$171,BD!$A$3:$A$5001,_xlfn.MAXIFS(BD!$A$3:$A$5001,BD!$B$3:$B$5001,C$171,BD!$A$3:$A$5001,"&gt;="&amp;$C$7,BD!$A$3:$A$5001,"&lt;="&amp;$B195,BD!$X$3:$X$5001,"&lt;&gt;"))))</f>
        <v/>
      </c>
      <c r="D195" s="43" t="str">
        <f>IF(OR($B195="",$A195&gt;$B$9,D$171=""),"",IF(COUNTIFS(BD!$B$3:$B$5001,D$171,BD!$A$3:$A$5001,"&gt;="&amp;$C$7,BD!$A$3:$A$5001,"&lt;="&amp;$B195,BD!$X$3:$X$5001,"&lt;&gt;")=0,"",SUMIFS(BD!$X$3:$X$5001,BD!$B$3:$B$5001,D$171,BD!$A$3:$A$5001,_xlfn.MAXIFS(BD!$A$3:$A$5001,BD!$B$3:$B$5001,D$171,BD!$A$3:$A$5001,"&gt;="&amp;$C$7,BD!$A$3:$A$5001,"&lt;="&amp;$B195,BD!$X$3:$X$5001,"&lt;&gt;"))))</f>
        <v/>
      </c>
      <c r="E195" s="43" t="str">
        <f>IF(OR($B195="",$A195&gt;$B$9,E$171=""),"",IF(COUNTIFS(BD!$B$3:$B$5001,E$171,BD!$A$3:$A$5001,"&gt;="&amp;$C$7,BD!$A$3:$A$5001,"&lt;="&amp;$B195,BD!$X$3:$X$5001,"&lt;&gt;")=0,"",SUMIFS(BD!$X$3:$X$5001,BD!$B$3:$B$5001,E$171,BD!$A$3:$A$5001,_xlfn.MAXIFS(BD!$A$3:$A$5001,BD!$B$3:$B$5001,E$171,BD!$A$3:$A$5001,"&gt;="&amp;$C$7,BD!$A$3:$A$5001,"&lt;="&amp;$B195,BD!$X$3:$X$5001,"&lt;&gt;"))))</f>
        <v/>
      </c>
      <c r="F195" s="43" t="str">
        <f>IF(OR($B195="",$A195&gt;$B$9,F$171=""),"",IF(COUNTIFS(BD!$B$3:$B$5001,F$171,BD!$A$3:$A$5001,"&gt;="&amp;$C$7,BD!$A$3:$A$5001,"&lt;="&amp;$B195,BD!$X$3:$X$5001,"&lt;&gt;")=0,"",SUMIFS(BD!$X$3:$X$5001,BD!$B$3:$B$5001,F$171,BD!$A$3:$A$5001,_xlfn.MAXIFS(BD!$A$3:$A$5001,BD!$B$3:$B$5001,F$171,BD!$A$3:$A$5001,"&gt;="&amp;$C$7,BD!$A$3:$A$5001,"&lt;="&amp;$B195,BD!$X$3:$X$5001,"&lt;&gt;"))))</f>
        <v/>
      </c>
      <c r="G195" s="43" t="str">
        <f>IF(OR($B195="",$A195&gt;$B$9,G$171=""),"",IF(COUNTIFS(BD!$B$3:$B$5001,G$171,BD!$A$3:$A$5001,"&gt;="&amp;$C$7,BD!$A$3:$A$5001,"&lt;="&amp;$B195,BD!$X$3:$X$5001,"&lt;&gt;")=0,"",SUMIFS(BD!$X$3:$X$5001,BD!$B$3:$B$5001,G$171,BD!$A$3:$A$5001,_xlfn.MAXIFS(BD!$A$3:$A$5001,BD!$B$3:$B$5001,G$171,BD!$A$3:$A$5001,"&gt;="&amp;$C$7,BD!$A$3:$A$5001,"&lt;="&amp;$B195,BD!$X$3:$X$5001,"&lt;&gt;"))))</f>
        <v/>
      </c>
      <c r="H195" s="43" t="str">
        <f>IF(OR($B195="",$A195&gt;$B$9,H$171=""),"",IF(COUNTIFS(BD!$B$3:$B$5001,H$171,BD!$A$3:$A$5001,"&gt;="&amp;$C$7,BD!$A$3:$A$5001,"&lt;="&amp;$B195,BD!$X$3:$X$5001,"&lt;&gt;")=0,"",SUMIFS(BD!$X$3:$X$5001,BD!$B$3:$B$5001,H$171,BD!$A$3:$A$5001,_xlfn.MAXIFS(BD!$A$3:$A$5001,BD!$B$3:$B$5001,H$171,BD!$A$3:$A$5001,"&gt;="&amp;$C$7,BD!$A$3:$A$5001,"&lt;="&amp;$B195,BD!$X$3:$X$5001,"&lt;&gt;"))))</f>
        <v/>
      </c>
      <c r="I195" s="43" t="str">
        <f>IF(OR($B195="",$A195&gt;$B$9,I$171=""),"",IF(COUNTIFS(BD!$B$3:$B$5001,I$171,BD!$A$3:$A$5001,"&gt;="&amp;$C$7,BD!$A$3:$A$5001,"&lt;="&amp;$B195,BD!$X$3:$X$5001,"&lt;&gt;")=0,"",SUMIFS(BD!$X$3:$X$5001,BD!$B$3:$B$5001,I$171,BD!$A$3:$A$5001,_xlfn.MAXIFS(BD!$A$3:$A$5001,BD!$B$3:$B$5001,I$171,BD!$A$3:$A$5001,"&gt;="&amp;$C$7,BD!$A$3:$A$5001,"&lt;="&amp;$B195,BD!$X$3:$X$5001,"&lt;&gt;"))))</f>
        <v/>
      </c>
      <c r="J195" s="43" t="str">
        <f>IF(OR($B195="",$A195&gt;$B$9,J$171=""),"",IF(COUNTIFS(BD!$B$3:$B$5001,J$171,BD!$A$3:$A$5001,"&gt;="&amp;$C$7,BD!$A$3:$A$5001,"&lt;="&amp;$B195,BD!$X$3:$X$5001,"&lt;&gt;")=0,"",SUMIFS(BD!$X$3:$X$5001,BD!$B$3:$B$5001,J$171,BD!$A$3:$A$5001,_xlfn.MAXIFS(BD!$A$3:$A$5001,BD!$B$3:$B$5001,J$171,BD!$A$3:$A$5001,"&gt;="&amp;$C$7,BD!$A$3:$A$5001,"&lt;="&amp;$B195,BD!$X$3:$X$5001,"&lt;&gt;"))))</f>
        <v/>
      </c>
      <c r="K195" s="43" t="str">
        <f>IF(OR($B195="",$A195&gt;$B$9,K$171=""),"",IF(COUNTIFS(BD!$B$3:$B$5001,K$171,BD!$A$3:$A$5001,"&gt;="&amp;$C$7,BD!$A$3:$A$5001,"&lt;="&amp;$B195,BD!$X$3:$X$5001,"&lt;&gt;")=0,"",SUMIFS(BD!$X$3:$X$5001,BD!$B$3:$B$5001,K$171,BD!$A$3:$A$5001,_xlfn.MAXIFS(BD!$A$3:$A$5001,BD!$B$3:$B$5001,K$171,BD!$A$3:$A$5001,"&gt;="&amp;$C$7,BD!$A$3:$A$5001,"&lt;="&amp;$B195,BD!$X$3:$X$5001,"&lt;&gt;"))))</f>
        <v/>
      </c>
      <c r="L195" s="43" t="str">
        <f>IF(OR($B195="",$A195&gt;$B$9,L$171=""),"",IF(COUNTIFS(BD!$B$3:$B$5001,L$171,BD!$A$3:$A$5001,"&gt;="&amp;$C$7,BD!$A$3:$A$5001,"&lt;="&amp;$B195,BD!$X$3:$X$5001,"&lt;&gt;")=0,"",SUMIFS(BD!$X$3:$X$5001,BD!$B$3:$B$5001,L$171,BD!$A$3:$A$5001,_xlfn.MAXIFS(BD!$A$3:$A$5001,BD!$B$3:$B$5001,L$171,BD!$A$3:$A$5001,"&gt;="&amp;$C$7,BD!$A$3:$A$5001,"&lt;="&amp;$B195,BD!$X$3:$X$5001,"&lt;&gt;"))))</f>
        <v/>
      </c>
      <c r="M195" s="43" t="str">
        <f>IF(OR($B195="",$A195&gt;$B$9,M$171=""),"",IF(COUNTIFS(BD!$B$3:$B$5001,M$171,BD!$A$3:$A$5001,"&gt;="&amp;$C$7,BD!$A$3:$A$5001,"&lt;="&amp;$B195,BD!$X$3:$X$5001,"&lt;&gt;")=0,"",SUMIFS(BD!$X$3:$X$5001,BD!$B$3:$B$5001,M$171,BD!$A$3:$A$5001,_xlfn.MAXIFS(BD!$A$3:$A$5001,BD!$B$3:$B$5001,M$171,BD!$A$3:$A$5001,"&gt;="&amp;$C$7,BD!$A$3:$A$5001,"&lt;="&amp;$B195,BD!$X$3:$X$5001,"&lt;&gt;"))))</f>
        <v/>
      </c>
      <c r="N195" s="43" t="str">
        <f>IF(OR($B195="",$A195&gt;$B$9,N$171=""),"",IF(COUNTIFS(BD!$B$3:$B$5001,N$171,BD!$A$3:$A$5001,"&gt;="&amp;$C$7,BD!$A$3:$A$5001,"&lt;="&amp;$B195,BD!$X$3:$X$5001,"&lt;&gt;")=0,"",SUMIFS(BD!$X$3:$X$5001,BD!$B$3:$B$5001,N$171,BD!$A$3:$A$5001,_xlfn.MAXIFS(BD!$A$3:$A$5001,BD!$B$3:$B$5001,N$171,BD!$A$3:$A$5001,"&gt;="&amp;$C$7,BD!$A$3:$A$5001,"&lt;="&amp;$B195,BD!$X$3:$X$5001,"&lt;&gt;"))))</f>
        <v/>
      </c>
      <c r="O195" s="43" t="str">
        <f>IF(OR($B195="",$A195&gt;$B$9,O$171=""),"",IF(COUNTIFS(BD!$B$3:$B$5001,O$171,BD!$A$3:$A$5001,"&gt;="&amp;$C$7,BD!$A$3:$A$5001,"&lt;="&amp;$B195,BD!$X$3:$X$5001,"&lt;&gt;")=0,"",SUMIFS(BD!$X$3:$X$5001,BD!$B$3:$B$5001,O$171,BD!$A$3:$A$5001,_xlfn.MAXIFS(BD!$A$3:$A$5001,BD!$B$3:$B$5001,O$171,BD!$A$3:$A$5001,"&gt;="&amp;$C$7,BD!$A$3:$A$5001,"&lt;="&amp;$B195,BD!$X$3:$X$5001,"&lt;&gt;"))))</f>
        <v/>
      </c>
      <c r="P195" s="43" t="str">
        <f>IF(OR($B195="",$A195&gt;$B$9,P$171=""),"",IF(COUNTIFS(BD!$B$3:$B$5001,P$171,BD!$A$3:$A$5001,"&gt;="&amp;$C$7,BD!$A$3:$A$5001,"&lt;="&amp;$B195,BD!$X$3:$X$5001,"&lt;&gt;")=0,"",SUMIFS(BD!$X$3:$X$5001,BD!$B$3:$B$5001,P$171,BD!$A$3:$A$5001,_xlfn.MAXIFS(BD!$A$3:$A$5001,BD!$B$3:$B$5001,P$171,BD!$A$3:$A$5001,"&gt;="&amp;$C$7,BD!$A$3:$A$5001,"&lt;="&amp;$B195,BD!$X$3:$X$5001,"&lt;&gt;"))))</f>
        <v/>
      </c>
      <c r="Q195" s="43" t="str">
        <f>IF(OR($B195="",$A195&gt;$B$9,Q$171=""),"",IF(COUNTIFS(BD!$B$3:$B$5001,Q$171,BD!$A$3:$A$5001,"&gt;="&amp;$C$7,BD!$A$3:$A$5001,"&lt;="&amp;$B195,BD!$X$3:$X$5001,"&lt;&gt;")=0,"",SUMIFS(BD!$X$3:$X$5001,BD!$B$3:$B$5001,Q$171,BD!$A$3:$A$5001,_xlfn.MAXIFS(BD!$A$3:$A$5001,BD!$B$3:$B$5001,Q$171,BD!$A$3:$A$5001,"&gt;="&amp;$C$7,BD!$A$3:$A$5001,"&lt;="&amp;$B195,BD!$X$3:$X$5001,"&lt;&gt;"))))</f>
        <v/>
      </c>
      <c r="R195" s="43" t="str">
        <f>IF(OR($B195="",$A195&gt;$B$9,R$171=""),"",IF(COUNTIFS(BD!$B$3:$B$5001,R$171,BD!$A$3:$A$5001,"&gt;="&amp;$C$7,BD!$A$3:$A$5001,"&lt;="&amp;$B195,BD!$X$3:$X$5001,"&lt;&gt;")=0,"",SUMIFS(BD!$X$3:$X$5001,BD!$B$3:$B$5001,R$171,BD!$A$3:$A$5001,_xlfn.MAXIFS(BD!$A$3:$A$5001,BD!$B$3:$B$5001,R$171,BD!$A$3:$A$5001,"&gt;="&amp;$C$7,BD!$A$3:$A$5001,"&lt;="&amp;$B195,BD!$X$3:$X$5001,"&lt;&gt;"))))</f>
        <v/>
      </c>
      <c r="S195" s="43" t="str">
        <f>IF(OR($B195="",$A195&gt;$B$9,S$171=""),"",IF(COUNTIFS(BD!$B$3:$B$5001,S$171,BD!$A$3:$A$5001,"&gt;="&amp;$C$7,BD!$A$3:$A$5001,"&lt;="&amp;$B195,BD!$X$3:$X$5001,"&lt;&gt;")=0,"",SUMIFS(BD!$X$3:$X$5001,BD!$B$3:$B$5001,S$171,BD!$A$3:$A$5001,_xlfn.MAXIFS(BD!$A$3:$A$5001,BD!$B$3:$B$5001,S$171,BD!$A$3:$A$5001,"&gt;="&amp;$C$7,BD!$A$3:$A$5001,"&lt;="&amp;$B195,BD!$X$3:$X$5001,"&lt;&gt;"))))</f>
        <v/>
      </c>
      <c r="T195" s="43" t="str">
        <f>IF(OR($B195="",$A195&gt;$B$9,T$171=""),"",IF(COUNTIFS(BD!$B$3:$B$5001,T$171,BD!$A$3:$A$5001,"&gt;="&amp;$C$7,BD!$A$3:$A$5001,"&lt;="&amp;$B195,BD!$X$3:$X$5001,"&lt;&gt;")=0,"",SUMIFS(BD!$X$3:$X$5001,BD!$B$3:$B$5001,T$171,BD!$A$3:$A$5001,_xlfn.MAXIFS(BD!$A$3:$A$5001,BD!$B$3:$B$5001,T$171,BD!$A$3:$A$5001,"&gt;="&amp;$C$7,BD!$A$3:$A$5001,"&lt;="&amp;$B195,BD!$X$3:$X$5001,"&lt;&gt;"))))</f>
        <v/>
      </c>
      <c r="U195" s="43" t="str">
        <f>IF(OR($B195="",$A195&gt;$B$9,U$171=""),"",IF(COUNTIFS(BD!$B$3:$B$5001,U$171,BD!$A$3:$A$5001,"&gt;="&amp;$C$7,BD!$A$3:$A$5001,"&lt;="&amp;$B195,BD!$X$3:$X$5001,"&lt;&gt;")=0,"",SUMIFS(BD!$X$3:$X$5001,BD!$B$3:$B$5001,U$171,BD!$A$3:$A$5001,_xlfn.MAXIFS(BD!$A$3:$A$5001,BD!$B$3:$B$5001,U$171,BD!$A$3:$A$5001,"&gt;="&amp;$C$7,BD!$A$3:$A$5001,"&lt;="&amp;$B195,BD!$X$3:$X$5001,"&lt;&gt;"))))</f>
        <v/>
      </c>
      <c r="V195" s="43" t="str">
        <f>IF(OR($B195="",$A195&gt;$B$9,V$171=""),"",IF(COUNTIFS(BD!$B$3:$B$5001,V$171,BD!$A$3:$A$5001,"&gt;="&amp;$C$7,BD!$A$3:$A$5001,"&lt;="&amp;$B195,BD!$X$3:$X$5001,"&lt;&gt;")=0,"",SUMIFS(BD!$X$3:$X$5001,BD!$B$3:$B$5001,V$171,BD!$A$3:$A$5001,_xlfn.MAXIFS(BD!$A$3:$A$5001,BD!$B$3:$B$5001,V$171,BD!$A$3:$A$5001,"&gt;="&amp;$C$7,BD!$A$3:$A$5001,"&lt;="&amp;$B195,BD!$X$3:$X$5001,"&lt;&gt;"))))</f>
        <v/>
      </c>
    </row>
    <row r="196">
      <c r="A196" s="38">
        <v>25</v>
      </c>
      <c r="B196" s="42">
        <f>$B$36</f>
        <v>46320</v>
      </c>
      <c r="C196" s="43" t="str">
        <f>IF(OR($B196="",$A196&gt;$B$9,C$171=""),"",IF(COUNTIFS(BD!$B$3:$B$5001,C$171,BD!$A$3:$A$5001,"&gt;="&amp;$C$7,BD!$A$3:$A$5001,"&lt;="&amp;$B196,BD!$X$3:$X$5001,"&lt;&gt;")=0,"",SUMIFS(BD!$X$3:$X$5001,BD!$B$3:$B$5001,C$171,BD!$A$3:$A$5001,_xlfn.MAXIFS(BD!$A$3:$A$5001,BD!$B$3:$B$5001,C$171,BD!$A$3:$A$5001,"&gt;="&amp;$C$7,BD!$A$3:$A$5001,"&lt;="&amp;$B196,BD!$X$3:$X$5001,"&lt;&gt;"))))</f>
        <v/>
      </c>
      <c r="D196" s="43" t="str">
        <f>IF(OR($B196="",$A196&gt;$B$9,D$171=""),"",IF(COUNTIFS(BD!$B$3:$B$5001,D$171,BD!$A$3:$A$5001,"&gt;="&amp;$C$7,BD!$A$3:$A$5001,"&lt;="&amp;$B196,BD!$X$3:$X$5001,"&lt;&gt;")=0,"",SUMIFS(BD!$X$3:$X$5001,BD!$B$3:$B$5001,D$171,BD!$A$3:$A$5001,_xlfn.MAXIFS(BD!$A$3:$A$5001,BD!$B$3:$B$5001,D$171,BD!$A$3:$A$5001,"&gt;="&amp;$C$7,BD!$A$3:$A$5001,"&lt;="&amp;$B196,BD!$X$3:$X$5001,"&lt;&gt;"))))</f>
        <v/>
      </c>
      <c r="E196" s="43" t="str">
        <f>IF(OR($B196="",$A196&gt;$B$9,E$171=""),"",IF(COUNTIFS(BD!$B$3:$B$5001,E$171,BD!$A$3:$A$5001,"&gt;="&amp;$C$7,BD!$A$3:$A$5001,"&lt;="&amp;$B196,BD!$X$3:$X$5001,"&lt;&gt;")=0,"",SUMIFS(BD!$X$3:$X$5001,BD!$B$3:$B$5001,E$171,BD!$A$3:$A$5001,_xlfn.MAXIFS(BD!$A$3:$A$5001,BD!$B$3:$B$5001,E$171,BD!$A$3:$A$5001,"&gt;="&amp;$C$7,BD!$A$3:$A$5001,"&lt;="&amp;$B196,BD!$X$3:$X$5001,"&lt;&gt;"))))</f>
        <v/>
      </c>
      <c r="F196" s="43" t="str">
        <f>IF(OR($B196="",$A196&gt;$B$9,F$171=""),"",IF(COUNTIFS(BD!$B$3:$B$5001,F$171,BD!$A$3:$A$5001,"&gt;="&amp;$C$7,BD!$A$3:$A$5001,"&lt;="&amp;$B196,BD!$X$3:$X$5001,"&lt;&gt;")=0,"",SUMIFS(BD!$X$3:$X$5001,BD!$B$3:$B$5001,F$171,BD!$A$3:$A$5001,_xlfn.MAXIFS(BD!$A$3:$A$5001,BD!$B$3:$B$5001,F$171,BD!$A$3:$A$5001,"&gt;="&amp;$C$7,BD!$A$3:$A$5001,"&lt;="&amp;$B196,BD!$X$3:$X$5001,"&lt;&gt;"))))</f>
        <v/>
      </c>
      <c r="G196" s="43" t="str">
        <f>IF(OR($B196="",$A196&gt;$B$9,G$171=""),"",IF(COUNTIFS(BD!$B$3:$B$5001,G$171,BD!$A$3:$A$5001,"&gt;="&amp;$C$7,BD!$A$3:$A$5001,"&lt;="&amp;$B196,BD!$X$3:$X$5001,"&lt;&gt;")=0,"",SUMIFS(BD!$X$3:$X$5001,BD!$B$3:$B$5001,G$171,BD!$A$3:$A$5001,_xlfn.MAXIFS(BD!$A$3:$A$5001,BD!$B$3:$B$5001,G$171,BD!$A$3:$A$5001,"&gt;="&amp;$C$7,BD!$A$3:$A$5001,"&lt;="&amp;$B196,BD!$X$3:$X$5001,"&lt;&gt;"))))</f>
        <v/>
      </c>
      <c r="H196" s="43" t="str">
        <f>IF(OR($B196="",$A196&gt;$B$9,H$171=""),"",IF(COUNTIFS(BD!$B$3:$B$5001,H$171,BD!$A$3:$A$5001,"&gt;="&amp;$C$7,BD!$A$3:$A$5001,"&lt;="&amp;$B196,BD!$X$3:$X$5001,"&lt;&gt;")=0,"",SUMIFS(BD!$X$3:$X$5001,BD!$B$3:$B$5001,H$171,BD!$A$3:$A$5001,_xlfn.MAXIFS(BD!$A$3:$A$5001,BD!$B$3:$B$5001,H$171,BD!$A$3:$A$5001,"&gt;="&amp;$C$7,BD!$A$3:$A$5001,"&lt;="&amp;$B196,BD!$X$3:$X$5001,"&lt;&gt;"))))</f>
        <v/>
      </c>
      <c r="I196" s="43" t="str">
        <f>IF(OR($B196="",$A196&gt;$B$9,I$171=""),"",IF(COUNTIFS(BD!$B$3:$B$5001,I$171,BD!$A$3:$A$5001,"&gt;="&amp;$C$7,BD!$A$3:$A$5001,"&lt;="&amp;$B196,BD!$X$3:$X$5001,"&lt;&gt;")=0,"",SUMIFS(BD!$X$3:$X$5001,BD!$B$3:$B$5001,I$171,BD!$A$3:$A$5001,_xlfn.MAXIFS(BD!$A$3:$A$5001,BD!$B$3:$B$5001,I$171,BD!$A$3:$A$5001,"&gt;="&amp;$C$7,BD!$A$3:$A$5001,"&lt;="&amp;$B196,BD!$X$3:$X$5001,"&lt;&gt;"))))</f>
        <v/>
      </c>
      <c r="J196" s="43" t="str">
        <f>IF(OR($B196="",$A196&gt;$B$9,J$171=""),"",IF(COUNTIFS(BD!$B$3:$B$5001,J$171,BD!$A$3:$A$5001,"&gt;="&amp;$C$7,BD!$A$3:$A$5001,"&lt;="&amp;$B196,BD!$X$3:$X$5001,"&lt;&gt;")=0,"",SUMIFS(BD!$X$3:$X$5001,BD!$B$3:$B$5001,J$171,BD!$A$3:$A$5001,_xlfn.MAXIFS(BD!$A$3:$A$5001,BD!$B$3:$B$5001,J$171,BD!$A$3:$A$5001,"&gt;="&amp;$C$7,BD!$A$3:$A$5001,"&lt;="&amp;$B196,BD!$X$3:$X$5001,"&lt;&gt;"))))</f>
        <v/>
      </c>
      <c r="K196" s="43" t="str">
        <f>IF(OR($B196="",$A196&gt;$B$9,K$171=""),"",IF(COUNTIFS(BD!$B$3:$B$5001,K$171,BD!$A$3:$A$5001,"&gt;="&amp;$C$7,BD!$A$3:$A$5001,"&lt;="&amp;$B196,BD!$X$3:$X$5001,"&lt;&gt;")=0,"",SUMIFS(BD!$X$3:$X$5001,BD!$B$3:$B$5001,K$171,BD!$A$3:$A$5001,_xlfn.MAXIFS(BD!$A$3:$A$5001,BD!$B$3:$B$5001,K$171,BD!$A$3:$A$5001,"&gt;="&amp;$C$7,BD!$A$3:$A$5001,"&lt;="&amp;$B196,BD!$X$3:$X$5001,"&lt;&gt;"))))</f>
        <v/>
      </c>
      <c r="L196" s="43" t="str">
        <f>IF(OR($B196="",$A196&gt;$B$9,L$171=""),"",IF(COUNTIFS(BD!$B$3:$B$5001,L$171,BD!$A$3:$A$5001,"&gt;="&amp;$C$7,BD!$A$3:$A$5001,"&lt;="&amp;$B196,BD!$X$3:$X$5001,"&lt;&gt;")=0,"",SUMIFS(BD!$X$3:$X$5001,BD!$B$3:$B$5001,L$171,BD!$A$3:$A$5001,_xlfn.MAXIFS(BD!$A$3:$A$5001,BD!$B$3:$B$5001,L$171,BD!$A$3:$A$5001,"&gt;="&amp;$C$7,BD!$A$3:$A$5001,"&lt;="&amp;$B196,BD!$X$3:$X$5001,"&lt;&gt;"))))</f>
        <v/>
      </c>
      <c r="M196" s="43" t="str">
        <f>IF(OR($B196="",$A196&gt;$B$9,M$171=""),"",IF(COUNTIFS(BD!$B$3:$B$5001,M$171,BD!$A$3:$A$5001,"&gt;="&amp;$C$7,BD!$A$3:$A$5001,"&lt;="&amp;$B196,BD!$X$3:$X$5001,"&lt;&gt;")=0,"",SUMIFS(BD!$X$3:$X$5001,BD!$B$3:$B$5001,M$171,BD!$A$3:$A$5001,_xlfn.MAXIFS(BD!$A$3:$A$5001,BD!$B$3:$B$5001,M$171,BD!$A$3:$A$5001,"&gt;="&amp;$C$7,BD!$A$3:$A$5001,"&lt;="&amp;$B196,BD!$X$3:$X$5001,"&lt;&gt;"))))</f>
        <v/>
      </c>
      <c r="N196" s="43" t="str">
        <f>IF(OR($B196="",$A196&gt;$B$9,N$171=""),"",IF(COUNTIFS(BD!$B$3:$B$5001,N$171,BD!$A$3:$A$5001,"&gt;="&amp;$C$7,BD!$A$3:$A$5001,"&lt;="&amp;$B196,BD!$X$3:$X$5001,"&lt;&gt;")=0,"",SUMIFS(BD!$X$3:$X$5001,BD!$B$3:$B$5001,N$171,BD!$A$3:$A$5001,_xlfn.MAXIFS(BD!$A$3:$A$5001,BD!$B$3:$B$5001,N$171,BD!$A$3:$A$5001,"&gt;="&amp;$C$7,BD!$A$3:$A$5001,"&lt;="&amp;$B196,BD!$X$3:$X$5001,"&lt;&gt;"))))</f>
        <v/>
      </c>
      <c r="O196" s="43" t="str">
        <f>IF(OR($B196="",$A196&gt;$B$9,O$171=""),"",IF(COUNTIFS(BD!$B$3:$B$5001,O$171,BD!$A$3:$A$5001,"&gt;="&amp;$C$7,BD!$A$3:$A$5001,"&lt;="&amp;$B196,BD!$X$3:$X$5001,"&lt;&gt;")=0,"",SUMIFS(BD!$X$3:$X$5001,BD!$B$3:$B$5001,O$171,BD!$A$3:$A$5001,_xlfn.MAXIFS(BD!$A$3:$A$5001,BD!$B$3:$B$5001,O$171,BD!$A$3:$A$5001,"&gt;="&amp;$C$7,BD!$A$3:$A$5001,"&lt;="&amp;$B196,BD!$X$3:$X$5001,"&lt;&gt;"))))</f>
        <v/>
      </c>
      <c r="P196" s="43" t="str">
        <f>IF(OR($B196="",$A196&gt;$B$9,P$171=""),"",IF(COUNTIFS(BD!$B$3:$B$5001,P$171,BD!$A$3:$A$5001,"&gt;="&amp;$C$7,BD!$A$3:$A$5001,"&lt;="&amp;$B196,BD!$X$3:$X$5001,"&lt;&gt;")=0,"",SUMIFS(BD!$X$3:$X$5001,BD!$B$3:$B$5001,P$171,BD!$A$3:$A$5001,_xlfn.MAXIFS(BD!$A$3:$A$5001,BD!$B$3:$B$5001,P$171,BD!$A$3:$A$5001,"&gt;="&amp;$C$7,BD!$A$3:$A$5001,"&lt;="&amp;$B196,BD!$X$3:$X$5001,"&lt;&gt;"))))</f>
        <v/>
      </c>
      <c r="Q196" s="43" t="str">
        <f>IF(OR($B196="",$A196&gt;$B$9,Q$171=""),"",IF(COUNTIFS(BD!$B$3:$B$5001,Q$171,BD!$A$3:$A$5001,"&gt;="&amp;$C$7,BD!$A$3:$A$5001,"&lt;="&amp;$B196,BD!$X$3:$X$5001,"&lt;&gt;")=0,"",SUMIFS(BD!$X$3:$X$5001,BD!$B$3:$B$5001,Q$171,BD!$A$3:$A$5001,_xlfn.MAXIFS(BD!$A$3:$A$5001,BD!$B$3:$B$5001,Q$171,BD!$A$3:$A$5001,"&gt;="&amp;$C$7,BD!$A$3:$A$5001,"&lt;="&amp;$B196,BD!$X$3:$X$5001,"&lt;&gt;"))))</f>
        <v/>
      </c>
      <c r="R196" s="43" t="str">
        <f>IF(OR($B196="",$A196&gt;$B$9,R$171=""),"",IF(COUNTIFS(BD!$B$3:$B$5001,R$171,BD!$A$3:$A$5001,"&gt;="&amp;$C$7,BD!$A$3:$A$5001,"&lt;="&amp;$B196,BD!$X$3:$X$5001,"&lt;&gt;")=0,"",SUMIFS(BD!$X$3:$X$5001,BD!$B$3:$B$5001,R$171,BD!$A$3:$A$5001,_xlfn.MAXIFS(BD!$A$3:$A$5001,BD!$B$3:$B$5001,R$171,BD!$A$3:$A$5001,"&gt;="&amp;$C$7,BD!$A$3:$A$5001,"&lt;="&amp;$B196,BD!$X$3:$X$5001,"&lt;&gt;"))))</f>
        <v/>
      </c>
      <c r="S196" s="43" t="str">
        <f>IF(OR($B196="",$A196&gt;$B$9,S$171=""),"",IF(COUNTIFS(BD!$B$3:$B$5001,S$171,BD!$A$3:$A$5001,"&gt;="&amp;$C$7,BD!$A$3:$A$5001,"&lt;="&amp;$B196,BD!$X$3:$X$5001,"&lt;&gt;")=0,"",SUMIFS(BD!$X$3:$X$5001,BD!$B$3:$B$5001,S$171,BD!$A$3:$A$5001,_xlfn.MAXIFS(BD!$A$3:$A$5001,BD!$B$3:$B$5001,S$171,BD!$A$3:$A$5001,"&gt;="&amp;$C$7,BD!$A$3:$A$5001,"&lt;="&amp;$B196,BD!$X$3:$X$5001,"&lt;&gt;"))))</f>
        <v/>
      </c>
      <c r="T196" s="43" t="str">
        <f>IF(OR($B196="",$A196&gt;$B$9,T$171=""),"",IF(COUNTIFS(BD!$B$3:$B$5001,T$171,BD!$A$3:$A$5001,"&gt;="&amp;$C$7,BD!$A$3:$A$5001,"&lt;="&amp;$B196,BD!$X$3:$X$5001,"&lt;&gt;")=0,"",SUMIFS(BD!$X$3:$X$5001,BD!$B$3:$B$5001,T$171,BD!$A$3:$A$5001,_xlfn.MAXIFS(BD!$A$3:$A$5001,BD!$B$3:$B$5001,T$171,BD!$A$3:$A$5001,"&gt;="&amp;$C$7,BD!$A$3:$A$5001,"&lt;="&amp;$B196,BD!$X$3:$X$5001,"&lt;&gt;"))))</f>
        <v/>
      </c>
      <c r="U196" s="43" t="str">
        <f>IF(OR($B196="",$A196&gt;$B$9,U$171=""),"",IF(COUNTIFS(BD!$B$3:$B$5001,U$171,BD!$A$3:$A$5001,"&gt;="&amp;$C$7,BD!$A$3:$A$5001,"&lt;="&amp;$B196,BD!$X$3:$X$5001,"&lt;&gt;")=0,"",SUMIFS(BD!$X$3:$X$5001,BD!$B$3:$B$5001,U$171,BD!$A$3:$A$5001,_xlfn.MAXIFS(BD!$A$3:$A$5001,BD!$B$3:$B$5001,U$171,BD!$A$3:$A$5001,"&gt;="&amp;$C$7,BD!$A$3:$A$5001,"&lt;="&amp;$B196,BD!$X$3:$X$5001,"&lt;&gt;"))))</f>
        <v/>
      </c>
      <c r="V196" s="43" t="str">
        <f>IF(OR($B196="",$A196&gt;$B$9,V$171=""),"",IF(COUNTIFS(BD!$B$3:$B$5001,V$171,BD!$A$3:$A$5001,"&gt;="&amp;$C$7,BD!$A$3:$A$5001,"&lt;="&amp;$B196,BD!$X$3:$X$5001,"&lt;&gt;")=0,"",SUMIFS(BD!$X$3:$X$5001,BD!$B$3:$B$5001,V$171,BD!$A$3:$A$5001,_xlfn.MAXIFS(BD!$A$3:$A$5001,BD!$B$3:$B$5001,V$171,BD!$A$3:$A$5001,"&gt;="&amp;$C$7,BD!$A$3:$A$5001,"&lt;="&amp;$B196,BD!$X$3:$X$5001,"&lt;&gt;"))))</f>
        <v/>
      </c>
    </row>
    <row r="197">
      <c r="A197" s="38">
        <v>26</v>
      </c>
      <c r="B197" s="42">
        <f>$B$37</f>
        <v>46321</v>
      </c>
      <c r="C197" s="43" t="str">
        <f>IF(OR($B197="",$A197&gt;$B$9,C$171=""),"",IF(COUNTIFS(BD!$B$3:$B$5001,C$171,BD!$A$3:$A$5001,"&gt;="&amp;$C$7,BD!$A$3:$A$5001,"&lt;="&amp;$B197,BD!$X$3:$X$5001,"&lt;&gt;")=0,"",SUMIFS(BD!$X$3:$X$5001,BD!$B$3:$B$5001,C$171,BD!$A$3:$A$5001,_xlfn.MAXIFS(BD!$A$3:$A$5001,BD!$B$3:$B$5001,C$171,BD!$A$3:$A$5001,"&gt;="&amp;$C$7,BD!$A$3:$A$5001,"&lt;="&amp;$B197,BD!$X$3:$X$5001,"&lt;&gt;"))))</f>
        <v/>
      </c>
      <c r="D197" s="43" t="str">
        <f>IF(OR($B197="",$A197&gt;$B$9,D$171=""),"",IF(COUNTIFS(BD!$B$3:$B$5001,D$171,BD!$A$3:$A$5001,"&gt;="&amp;$C$7,BD!$A$3:$A$5001,"&lt;="&amp;$B197,BD!$X$3:$X$5001,"&lt;&gt;")=0,"",SUMIFS(BD!$X$3:$X$5001,BD!$B$3:$B$5001,D$171,BD!$A$3:$A$5001,_xlfn.MAXIFS(BD!$A$3:$A$5001,BD!$B$3:$B$5001,D$171,BD!$A$3:$A$5001,"&gt;="&amp;$C$7,BD!$A$3:$A$5001,"&lt;="&amp;$B197,BD!$X$3:$X$5001,"&lt;&gt;"))))</f>
        <v/>
      </c>
      <c r="E197" s="43" t="str">
        <f>IF(OR($B197="",$A197&gt;$B$9,E$171=""),"",IF(COUNTIFS(BD!$B$3:$B$5001,E$171,BD!$A$3:$A$5001,"&gt;="&amp;$C$7,BD!$A$3:$A$5001,"&lt;="&amp;$B197,BD!$X$3:$X$5001,"&lt;&gt;")=0,"",SUMIFS(BD!$X$3:$X$5001,BD!$B$3:$B$5001,E$171,BD!$A$3:$A$5001,_xlfn.MAXIFS(BD!$A$3:$A$5001,BD!$B$3:$B$5001,E$171,BD!$A$3:$A$5001,"&gt;="&amp;$C$7,BD!$A$3:$A$5001,"&lt;="&amp;$B197,BD!$X$3:$X$5001,"&lt;&gt;"))))</f>
        <v/>
      </c>
      <c r="F197" s="43" t="str">
        <f>IF(OR($B197="",$A197&gt;$B$9,F$171=""),"",IF(COUNTIFS(BD!$B$3:$B$5001,F$171,BD!$A$3:$A$5001,"&gt;="&amp;$C$7,BD!$A$3:$A$5001,"&lt;="&amp;$B197,BD!$X$3:$X$5001,"&lt;&gt;")=0,"",SUMIFS(BD!$X$3:$X$5001,BD!$B$3:$B$5001,F$171,BD!$A$3:$A$5001,_xlfn.MAXIFS(BD!$A$3:$A$5001,BD!$B$3:$B$5001,F$171,BD!$A$3:$A$5001,"&gt;="&amp;$C$7,BD!$A$3:$A$5001,"&lt;="&amp;$B197,BD!$X$3:$X$5001,"&lt;&gt;"))))</f>
        <v/>
      </c>
      <c r="G197" s="43" t="str">
        <f>IF(OR($B197="",$A197&gt;$B$9,G$171=""),"",IF(COUNTIFS(BD!$B$3:$B$5001,G$171,BD!$A$3:$A$5001,"&gt;="&amp;$C$7,BD!$A$3:$A$5001,"&lt;="&amp;$B197,BD!$X$3:$X$5001,"&lt;&gt;")=0,"",SUMIFS(BD!$X$3:$X$5001,BD!$B$3:$B$5001,G$171,BD!$A$3:$A$5001,_xlfn.MAXIFS(BD!$A$3:$A$5001,BD!$B$3:$B$5001,G$171,BD!$A$3:$A$5001,"&gt;="&amp;$C$7,BD!$A$3:$A$5001,"&lt;="&amp;$B197,BD!$X$3:$X$5001,"&lt;&gt;"))))</f>
        <v/>
      </c>
      <c r="H197" s="43" t="str">
        <f>IF(OR($B197="",$A197&gt;$B$9,H$171=""),"",IF(COUNTIFS(BD!$B$3:$B$5001,H$171,BD!$A$3:$A$5001,"&gt;="&amp;$C$7,BD!$A$3:$A$5001,"&lt;="&amp;$B197,BD!$X$3:$X$5001,"&lt;&gt;")=0,"",SUMIFS(BD!$X$3:$X$5001,BD!$B$3:$B$5001,H$171,BD!$A$3:$A$5001,_xlfn.MAXIFS(BD!$A$3:$A$5001,BD!$B$3:$B$5001,H$171,BD!$A$3:$A$5001,"&gt;="&amp;$C$7,BD!$A$3:$A$5001,"&lt;="&amp;$B197,BD!$X$3:$X$5001,"&lt;&gt;"))))</f>
        <v/>
      </c>
      <c r="I197" s="43" t="str">
        <f>IF(OR($B197="",$A197&gt;$B$9,I$171=""),"",IF(COUNTIFS(BD!$B$3:$B$5001,I$171,BD!$A$3:$A$5001,"&gt;="&amp;$C$7,BD!$A$3:$A$5001,"&lt;="&amp;$B197,BD!$X$3:$X$5001,"&lt;&gt;")=0,"",SUMIFS(BD!$X$3:$X$5001,BD!$B$3:$B$5001,I$171,BD!$A$3:$A$5001,_xlfn.MAXIFS(BD!$A$3:$A$5001,BD!$B$3:$B$5001,I$171,BD!$A$3:$A$5001,"&gt;="&amp;$C$7,BD!$A$3:$A$5001,"&lt;="&amp;$B197,BD!$X$3:$X$5001,"&lt;&gt;"))))</f>
        <v/>
      </c>
      <c r="J197" s="43" t="str">
        <f>IF(OR($B197="",$A197&gt;$B$9,J$171=""),"",IF(COUNTIFS(BD!$B$3:$B$5001,J$171,BD!$A$3:$A$5001,"&gt;="&amp;$C$7,BD!$A$3:$A$5001,"&lt;="&amp;$B197,BD!$X$3:$X$5001,"&lt;&gt;")=0,"",SUMIFS(BD!$X$3:$X$5001,BD!$B$3:$B$5001,J$171,BD!$A$3:$A$5001,_xlfn.MAXIFS(BD!$A$3:$A$5001,BD!$B$3:$B$5001,J$171,BD!$A$3:$A$5001,"&gt;="&amp;$C$7,BD!$A$3:$A$5001,"&lt;="&amp;$B197,BD!$X$3:$X$5001,"&lt;&gt;"))))</f>
        <v/>
      </c>
      <c r="K197" s="43" t="str">
        <f>IF(OR($B197="",$A197&gt;$B$9,K$171=""),"",IF(COUNTIFS(BD!$B$3:$B$5001,K$171,BD!$A$3:$A$5001,"&gt;="&amp;$C$7,BD!$A$3:$A$5001,"&lt;="&amp;$B197,BD!$X$3:$X$5001,"&lt;&gt;")=0,"",SUMIFS(BD!$X$3:$X$5001,BD!$B$3:$B$5001,K$171,BD!$A$3:$A$5001,_xlfn.MAXIFS(BD!$A$3:$A$5001,BD!$B$3:$B$5001,K$171,BD!$A$3:$A$5001,"&gt;="&amp;$C$7,BD!$A$3:$A$5001,"&lt;="&amp;$B197,BD!$X$3:$X$5001,"&lt;&gt;"))))</f>
        <v/>
      </c>
      <c r="L197" s="43" t="str">
        <f>IF(OR($B197="",$A197&gt;$B$9,L$171=""),"",IF(COUNTIFS(BD!$B$3:$B$5001,L$171,BD!$A$3:$A$5001,"&gt;="&amp;$C$7,BD!$A$3:$A$5001,"&lt;="&amp;$B197,BD!$X$3:$X$5001,"&lt;&gt;")=0,"",SUMIFS(BD!$X$3:$X$5001,BD!$B$3:$B$5001,L$171,BD!$A$3:$A$5001,_xlfn.MAXIFS(BD!$A$3:$A$5001,BD!$B$3:$B$5001,L$171,BD!$A$3:$A$5001,"&gt;="&amp;$C$7,BD!$A$3:$A$5001,"&lt;="&amp;$B197,BD!$X$3:$X$5001,"&lt;&gt;"))))</f>
        <v/>
      </c>
      <c r="M197" s="43" t="str">
        <f>IF(OR($B197="",$A197&gt;$B$9,M$171=""),"",IF(COUNTIFS(BD!$B$3:$B$5001,M$171,BD!$A$3:$A$5001,"&gt;="&amp;$C$7,BD!$A$3:$A$5001,"&lt;="&amp;$B197,BD!$X$3:$X$5001,"&lt;&gt;")=0,"",SUMIFS(BD!$X$3:$X$5001,BD!$B$3:$B$5001,M$171,BD!$A$3:$A$5001,_xlfn.MAXIFS(BD!$A$3:$A$5001,BD!$B$3:$B$5001,M$171,BD!$A$3:$A$5001,"&gt;="&amp;$C$7,BD!$A$3:$A$5001,"&lt;="&amp;$B197,BD!$X$3:$X$5001,"&lt;&gt;"))))</f>
        <v/>
      </c>
      <c r="N197" s="43" t="str">
        <f>IF(OR($B197="",$A197&gt;$B$9,N$171=""),"",IF(COUNTIFS(BD!$B$3:$B$5001,N$171,BD!$A$3:$A$5001,"&gt;="&amp;$C$7,BD!$A$3:$A$5001,"&lt;="&amp;$B197,BD!$X$3:$X$5001,"&lt;&gt;")=0,"",SUMIFS(BD!$X$3:$X$5001,BD!$B$3:$B$5001,N$171,BD!$A$3:$A$5001,_xlfn.MAXIFS(BD!$A$3:$A$5001,BD!$B$3:$B$5001,N$171,BD!$A$3:$A$5001,"&gt;="&amp;$C$7,BD!$A$3:$A$5001,"&lt;="&amp;$B197,BD!$X$3:$X$5001,"&lt;&gt;"))))</f>
        <v/>
      </c>
      <c r="O197" s="43" t="str">
        <f>IF(OR($B197="",$A197&gt;$B$9,O$171=""),"",IF(COUNTIFS(BD!$B$3:$B$5001,O$171,BD!$A$3:$A$5001,"&gt;="&amp;$C$7,BD!$A$3:$A$5001,"&lt;="&amp;$B197,BD!$X$3:$X$5001,"&lt;&gt;")=0,"",SUMIFS(BD!$X$3:$X$5001,BD!$B$3:$B$5001,O$171,BD!$A$3:$A$5001,_xlfn.MAXIFS(BD!$A$3:$A$5001,BD!$B$3:$B$5001,O$171,BD!$A$3:$A$5001,"&gt;="&amp;$C$7,BD!$A$3:$A$5001,"&lt;="&amp;$B197,BD!$X$3:$X$5001,"&lt;&gt;"))))</f>
        <v/>
      </c>
      <c r="P197" s="43" t="str">
        <f>IF(OR($B197="",$A197&gt;$B$9,P$171=""),"",IF(COUNTIFS(BD!$B$3:$B$5001,P$171,BD!$A$3:$A$5001,"&gt;="&amp;$C$7,BD!$A$3:$A$5001,"&lt;="&amp;$B197,BD!$X$3:$X$5001,"&lt;&gt;")=0,"",SUMIFS(BD!$X$3:$X$5001,BD!$B$3:$B$5001,P$171,BD!$A$3:$A$5001,_xlfn.MAXIFS(BD!$A$3:$A$5001,BD!$B$3:$B$5001,P$171,BD!$A$3:$A$5001,"&gt;="&amp;$C$7,BD!$A$3:$A$5001,"&lt;="&amp;$B197,BD!$X$3:$X$5001,"&lt;&gt;"))))</f>
        <v/>
      </c>
      <c r="Q197" s="43" t="str">
        <f>IF(OR($B197="",$A197&gt;$B$9,Q$171=""),"",IF(COUNTIFS(BD!$B$3:$B$5001,Q$171,BD!$A$3:$A$5001,"&gt;="&amp;$C$7,BD!$A$3:$A$5001,"&lt;="&amp;$B197,BD!$X$3:$X$5001,"&lt;&gt;")=0,"",SUMIFS(BD!$X$3:$X$5001,BD!$B$3:$B$5001,Q$171,BD!$A$3:$A$5001,_xlfn.MAXIFS(BD!$A$3:$A$5001,BD!$B$3:$B$5001,Q$171,BD!$A$3:$A$5001,"&gt;="&amp;$C$7,BD!$A$3:$A$5001,"&lt;="&amp;$B197,BD!$X$3:$X$5001,"&lt;&gt;"))))</f>
        <v/>
      </c>
      <c r="R197" s="43" t="str">
        <f>IF(OR($B197="",$A197&gt;$B$9,R$171=""),"",IF(COUNTIFS(BD!$B$3:$B$5001,R$171,BD!$A$3:$A$5001,"&gt;="&amp;$C$7,BD!$A$3:$A$5001,"&lt;="&amp;$B197,BD!$X$3:$X$5001,"&lt;&gt;")=0,"",SUMIFS(BD!$X$3:$X$5001,BD!$B$3:$B$5001,R$171,BD!$A$3:$A$5001,_xlfn.MAXIFS(BD!$A$3:$A$5001,BD!$B$3:$B$5001,R$171,BD!$A$3:$A$5001,"&gt;="&amp;$C$7,BD!$A$3:$A$5001,"&lt;="&amp;$B197,BD!$X$3:$X$5001,"&lt;&gt;"))))</f>
        <v/>
      </c>
      <c r="S197" s="43" t="str">
        <f>IF(OR($B197="",$A197&gt;$B$9,S$171=""),"",IF(COUNTIFS(BD!$B$3:$B$5001,S$171,BD!$A$3:$A$5001,"&gt;="&amp;$C$7,BD!$A$3:$A$5001,"&lt;="&amp;$B197,BD!$X$3:$X$5001,"&lt;&gt;")=0,"",SUMIFS(BD!$X$3:$X$5001,BD!$B$3:$B$5001,S$171,BD!$A$3:$A$5001,_xlfn.MAXIFS(BD!$A$3:$A$5001,BD!$B$3:$B$5001,S$171,BD!$A$3:$A$5001,"&gt;="&amp;$C$7,BD!$A$3:$A$5001,"&lt;="&amp;$B197,BD!$X$3:$X$5001,"&lt;&gt;"))))</f>
        <v/>
      </c>
      <c r="T197" s="43" t="str">
        <f>IF(OR($B197="",$A197&gt;$B$9,T$171=""),"",IF(COUNTIFS(BD!$B$3:$B$5001,T$171,BD!$A$3:$A$5001,"&gt;="&amp;$C$7,BD!$A$3:$A$5001,"&lt;="&amp;$B197,BD!$X$3:$X$5001,"&lt;&gt;")=0,"",SUMIFS(BD!$X$3:$X$5001,BD!$B$3:$B$5001,T$171,BD!$A$3:$A$5001,_xlfn.MAXIFS(BD!$A$3:$A$5001,BD!$B$3:$B$5001,T$171,BD!$A$3:$A$5001,"&gt;="&amp;$C$7,BD!$A$3:$A$5001,"&lt;="&amp;$B197,BD!$X$3:$X$5001,"&lt;&gt;"))))</f>
        <v/>
      </c>
      <c r="U197" s="43" t="str">
        <f>IF(OR($B197="",$A197&gt;$B$9,U$171=""),"",IF(COUNTIFS(BD!$B$3:$B$5001,U$171,BD!$A$3:$A$5001,"&gt;="&amp;$C$7,BD!$A$3:$A$5001,"&lt;="&amp;$B197,BD!$X$3:$X$5001,"&lt;&gt;")=0,"",SUMIFS(BD!$X$3:$X$5001,BD!$B$3:$B$5001,U$171,BD!$A$3:$A$5001,_xlfn.MAXIFS(BD!$A$3:$A$5001,BD!$B$3:$B$5001,U$171,BD!$A$3:$A$5001,"&gt;="&amp;$C$7,BD!$A$3:$A$5001,"&lt;="&amp;$B197,BD!$X$3:$X$5001,"&lt;&gt;"))))</f>
        <v/>
      </c>
      <c r="V197" s="43" t="str">
        <f>IF(OR($B197="",$A197&gt;$B$9,V$171=""),"",IF(COUNTIFS(BD!$B$3:$B$5001,V$171,BD!$A$3:$A$5001,"&gt;="&amp;$C$7,BD!$A$3:$A$5001,"&lt;="&amp;$B197,BD!$X$3:$X$5001,"&lt;&gt;")=0,"",SUMIFS(BD!$X$3:$X$5001,BD!$B$3:$B$5001,V$171,BD!$A$3:$A$5001,_xlfn.MAXIFS(BD!$A$3:$A$5001,BD!$B$3:$B$5001,V$171,BD!$A$3:$A$5001,"&gt;="&amp;$C$7,BD!$A$3:$A$5001,"&lt;="&amp;$B197,BD!$X$3:$X$5001,"&lt;&gt;"))))</f>
        <v/>
      </c>
    </row>
    <row r="198">
      <c r="A198" s="38">
        <v>27</v>
      </c>
      <c r="B198" s="42">
        <f>$B$38</f>
        <v>46322</v>
      </c>
      <c r="C198" s="43" t="str">
        <f>IF(OR($B198="",$A198&gt;$B$9,C$171=""),"",IF(COUNTIFS(BD!$B$3:$B$5001,C$171,BD!$A$3:$A$5001,"&gt;="&amp;$C$7,BD!$A$3:$A$5001,"&lt;="&amp;$B198,BD!$X$3:$X$5001,"&lt;&gt;")=0,"",SUMIFS(BD!$X$3:$X$5001,BD!$B$3:$B$5001,C$171,BD!$A$3:$A$5001,_xlfn.MAXIFS(BD!$A$3:$A$5001,BD!$B$3:$B$5001,C$171,BD!$A$3:$A$5001,"&gt;="&amp;$C$7,BD!$A$3:$A$5001,"&lt;="&amp;$B198,BD!$X$3:$X$5001,"&lt;&gt;"))))</f>
        <v/>
      </c>
      <c r="D198" s="43" t="str">
        <f>IF(OR($B198="",$A198&gt;$B$9,D$171=""),"",IF(COUNTIFS(BD!$B$3:$B$5001,D$171,BD!$A$3:$A$5001,"&gt;="&amp;$C$7,BD!$A$3:$A$5001,"&lt;="&amp;$B198,BD!$X$3:$X$5001,"&lt;&gt;")=0,"",SUMIFS(BD!$X$3:$X$5001,BD!$B$3:$B$5001,D$171,BD!$A$3:$A$5001,_xlfn.MAXIFS(BD!$A$3:$A$5001,BD!$B$3:$B$5001,D$171,BD!$A$3:$A$5001,"&gt;="&amp;$C$7,BD!$A$3:$A$5001,"&lt;="&amp;$B198,BD!$X$3:$X$5001,"&lt;&gt;"))))</f>
        <v/>
      </c>
      <c r="E198" s="43" t="str">
        <f>IF(OR($B198="",$A198&gt;$B$9,E$171=""),"",IF(COUNTIFS(BD!$B$3:$B$5001,E$171,BD!$A$3:$A$5001,"&gt;="&amp;$C$7,BD!$A$3:$A$5001,"&lt;="&amp;$B198,BD!$X$3:$X$5001,"&lt;&gt;")=0,"",SUMIFS(BD!$X$3:$X$5001,BD!$B$3:$B$5001,E$171,BD!$A$3:$A$5001,_xlfn.MAXIFS(BD!$A$3:$A$5001,BD!$B$3:$B$5001,E$171,BD!$A$3:$A$5001,"&gt;="&amp;$C$7,BD!$A$3:$A$5001,"&lt;="&amp;$B198,BD!$X$3:$X$5001,"&lt;&gt;"))))</f>
        <v/>
      </c>
      <c r="F198" s="43" t="str">
        <f>IF(OR($B198="",$A198&gt;$B$9,F$171=""),"",IF(COUNTIFS(BD!$B$3:$B$5001,F$171,BD!$A$3:$A$5001,"&gt;="&amp;$C$7,BD!$A$3:$A$5001,"&lt;="&amp;$B198,BD!$X$3:$X$5001,"&lt;&gt;")=0,"",SUMIFS(BD!$X$3:$X$5001,BD!$B$3:$B$5001,F$171,BD!$A$3:$A$5001,_xlfn.MAXIFS(BD!$A$3:$A$5001,BD!$B$3:$B$5001,F$171,BD!$A$3:$A$5001,"&gt;="&amp;$C$7,BD!$A$3:$A$5001,"&lt;="&amp;$B198,BD!$X$3:$X$5001,"&lt;&gt;"))))</f>
        <v/>
      </c>
      <c r="G198" s="43" t="str">
        <f>IF(OR($B198="",$A198&gt;$B$9,G$171=""),"",IF(COUNTIFS(BD!$B$3:$B$5001,G$171,BD!$A$3:$A$5001,"&gt;="&amp;$C$7,BD!$A$3:$A$5001,"&lt;="&amp;$B198,BD!$X$3:$X$5001,"&lt;&gt;")=0,"",SUMIFS(BD!$X$3:$X$5001,BD!$B$3:$B$5001,G$171,BD!$A$3:$A$5001,_xlfn.MAXIFS(BD!$A$3:$A$5001,BD!$B$3:$B$5001,G$171,BD!$A$3:$A$5001,"&gt;="&amp;$C$7,BD!$A$3:$A$5001,"&lt;="&amp;$B198,BD!$X$3:$X$5001,"&lt;&gt;"))))</f>
        <v/>
      </c>
      <c r="H198" s="43" t="str">
        <f>IF(OR($B198="",$A198&gt;$B$9,H$171=""),"",IF(COUNTIFS(BD!$B$3:$B$5001,H$171,BD!$A$3:$A$5001,"&gt;="&amp;$C$7,BD!$A$3:$A$5001,"&lt;="&amp;$B198,BD!$X$3:$X$5001,"&lt;&gt;")=0,"",SUMIFS(BD!$X$3:$X$5001,BD!$B$3:$B$5001,H$171,BD!$A$3:$A$5001,_xlfn.MAXIFS(BD!$A$3:$A$5001,BD!$B$3:$B$5001,H$171,BD!$A$3:$A$5001,"&gt;="&amp;$C$7,BD!$A$3:$A$5001,"&lt;="&amp;$B198,BD!$X$3:$X$5001,"&lt;&gt;"))))</f>
        <v/>
      </c>
      <c r="I198" s="43" t="str">
        <f>IF(OR($B198="",$A198&gt;$B$9,I$171=""),"",IF(COUNTIFS(BD!$B$3:$B$5001,I$171,BD!$A$3:$A$5001,"&gt;="&amp;$C$7,BD!$A$3:$A$5001,"&lt;="&amp;$B198,BD!$X$3:$X$5001,"&lt;&gt;")=0,"",SUMIFS(BD!$X$3:$X$5001,BD!$B$3:$B$5001,I$171,BD!$A$3:$A$5001,_xlfn.MAXIFS(BD!$A$3:$A$5001,BD!$B$3:$B$5001,I$171,BD!$A$3:$A$5001,"&gt;="&amp;$C$7,BD!$A$3:$A$5001,"&lt;="&amp;$B198,BD!$X$3:$X$5001,"&lt;&gt;"))))</f>
        <v/>
      </c>
      <c r="J198" s="43" t="str">
        <f>IF(OR($B198="",$A198&gt;$B$9,J$171=""),"",IF(COUNTIFS(BD!$B$3:$B$5001,J$171,BD!$A$3:$A$5001,"&gt;="&amp;$C$7,BD!$A$3:$A$5001,"&lt;="&amp;$B198,BD!$X$3:$X$5001,"&lt;&gt;")=0,"",SUMIFS(BD!$X$3:$X$5001,BD!$B$3:$B$5001,J$171,BD!$A$3:$A$5001,_xlfn.MAXIFS(BD!$A$3:$A$5001,BD!$B$3:$B$5001,J$171,BD!$A$3:$A$5001,"&gt;="&amp;$C$7,BD!$A$3:$A$5001,"&lt;="&amp;$B198,BD!$X$3:$X$5001,"&lt;&gt;"))))</f>
        <v/>
      </c>
      <c r="K198" s="43" t="str">
        <f>IF(OR($B198="",$A198&gt;$B$9,K$171=""),"",IF(COUNTIFS(BD!$B$3:$B$5001,K$171,BD!$A$3:$A$5001,"&gt;="&amp;$C$7,BD!$A$3:$A$5001,"&lt;="&amp;$B198,BD!$X$3:$X$5001,"&lt;&gt;")=0,"",SUMIFS(BD!$X$3:$X$5001,BD!$B$3:$B$5001,K$171,BD!$A$3:$A$5001,_xlfn.MAXIFS(BD!$A$3:$A$5001,BD!$B$3:$B$5001,K$171,BD!$A$3:$A$5001,"&gt;="&amp;$C$7,BD!$A$3:$A$5001,"&lt;="&amp;$B198,BD!$X$3:$X$5001,"&lt;&gt;"))))</f>
        <v/>
      </c>
      <c r="L198" s="43" t="str">
        <f>IF(OR($B198="",$A198&gt;$B$9,L$171=""),"",IF(COUNTIFS(BD!$B$3:$B$5001,L$171,BD!$A$3:$A$5001,"&gt;="&amp;$C$7,BD!$A$3:$A$5001,"&lt;="&amp;$B198,BD!$X$3:$X$5001,"&lt;&gt;")=0,"",SUMIFS(BD!$X$3:$X$5001,BD!$B$3:$B$5001,L$171,BD!$A$3:$A$5001,_xlfn.MAXIFS(BD!$A$3:$A$5001,BD!$B$3:$B$5001,L$171,BD!$A$3:$A$5001,"&gt;="&amp;$C$7,BD!$A$3:$A$5001,"&lt;="&amp;$B198,BD!$X$3:$X$5001,"&lt;&gt;"))))</f>
        <v/>
      </c>
      <c r="M198" s="43" t="str">
        <f>IF(OR($B198="",$A198&gt;$B$9,M$171=""),"",IF(COUNTIFS(BD!$B$3:$B$5001,M$171,BD!$A$3:$A$5001,"&gt;="&amp;$C$7,BD!$A$3:$A$5001,"&lt;="&amp;$B198,BD!$X$3:$X$5001,"&lt;&gt;")=0,"",SUMIFS(BD!$X$3:$X$5001,BD!$B$3:$B$5001,M$171,BD!$A$3:$A$5001,_xlfn.MAXIFS(BD!$A$3:$A$5001,BD!$B$3:$B$5001,M$171,BD!$A$3:$A$5001,"&gt;="&amp;$C$7,BD!$A$3:$A$5001,"&lt;="&amp;$B198,BD!$X$3:$X$5001,"&lt;&gt;"))))</f>
        <v/>
      </c>
      <c r="N198" s="43" t="str">
        <f>IF(OR($B198="",$A198&gt;$B$9,N$171=""),"",IF(COUNTIFS(BD!$B$3:$B$5001,N$171,BD!$A$3:$A$5001,"&gt;="&amp;$C$7,BD!$A$3:$A$5001,"&lt;="&amp;$B198,BD!$X$3:$X$5001,"&lt;&gt;")=0,"",SUMIFS(BD!$X$3:$X$5001,BD!$B$3:$B$5001,N$171,BD!$A$3:$A$5001,_xlfn.MAXIFS(BD!$A$3:$A$5001,BD!$B$3:$B$5001,N$171,BD!$A$3:$A$5001,"&gt;="&amp;$C$7,BD!$A$3:$A$5001,"&lt;="&amp;$B198,BD!$X$3:$X$5001,"&lt;&gt;"))))</f>
        <v/>
      </c>
      <c r="O198" s="43" t="str">
        <f>IF(OR($B198="",$A198&gt;$B$9,O$171=""),"",IF(COUNTIFS(BD!$B$3:$B$5001,O$171,BD!$A$3:$A$5001,"&gt;="&amp;$C$7,BD!$A$3:$A$5001,"&lt;="&amp;$B198,BD!$X$3:$X$5001,"&lt;&gt;")=0,"",SUMIFS(BD!$X$3:$X$5001,BD!$B$3:$B$5001,O$171,BD!$A$3:$A$5001,_xlfn.MAXIFS(BD!$A$3:$A$5001,BD!$B$3:$B$5001,O$171,BD!$A$3:$A$5001,"&gt;="&amp;$C$7,BD!$A$3:$A$5001,"&lt;="&amp;$B198,BD!$X$3:$X$5001,"&lt;&gt;"))))</f>
        <v/>
      </c>
      <c r="P198" s="43" t="str">
        <f>IF(OR($B198="",$A198&gt;$B$9,P$171=""),"",IF(COUNTIFS(BD!$B$3:$B$5001,P$171,BD!$A$3:$A$5001,"&gt;="&amp;$C$7,BD!$A$3:$A$5001,"&lt;="&amp;$B198,BD!$X$3:$X$5001,"&lt;&gt;")=0,"",SUMIFS(BD!$X$3:$X$5001,BD!$B$3:$B$5001,P$171,BD!$A$3:$A$5001,_xlfn.MAXIFS(BD!$A$3:$A$5001,BD!$B$3:$B$5001,P$171,BD!$A$3:$A$5001,"&gt;="&amp;$C$7,BD!$A$3:$A$5001,"&lt;="&amp;$B198,BD!$X$3:$X$5001,"&lt;&gt;"))))</f>
        <v/>
      </c>
      <c r="Q198" s="43" t="str">
        <f>IF(OR($B198="",$A198&gt;$B$9,Q$171=""),"",IF(COUNTIFS(BD!$B$3:$B$5001,Q$171,BD!$A$3:$A$5001,"&gt;="&amp;$C$7,BD!$A$3:$A$5001,"&lt;="&amp;$B198,BD!$X$3:$X$5001,"&lt;&gt;")=0,"",SUMIFS(BD!$X$3:$X$5001,BD!$B$3:$B$5001,Q$171,BD!$A$3:$A$5001,_xlfn.MAXIFS(BD!$A$3:$A$5001,BD!$B$3:$B$5001,Q$171,BD!$A$3:$A$5001,"&gt;="&amp;$C$7,BD!$A$3:$A$5001,"&lt;="&amp;$B198,BD!$X$3:$X$5001,"&lt;&gt;"))))</f>
        <v/>
      </c>
      <c r="R198" s="43" t="str">
        <f>IF(OR($B198="",$A198&gt;$B$9,R$171=""),"",IF(COUNTIFS(BD!$B$3:$B$5001,R$171,BD!$A$3:$A$5001,"&gt;="&amp;$C$7,BD!$A$3:$A$5001,"&lt;="&amp;$B198,BD!$X$3:$X$5001,"&lt;&gt;")=0,"",SUMIFS(BD!$X$3:$X$5001,BD!$B$3:$B$5001,R$171,BD!$A$3:$A$5001,_xlfn.MAXIFS(BD!$A$3:$A$5001,BD!$B$3:$B$5001,R$171,BD!$A$3:$A$5001,"&gt;="&amp;$C$7,BD!$A$3:$A$5001,"&lt;="&amp;$B198,BD!$X$3:$X$5001,"&lt;&gt;"))))</f>
        <v/>
      </c>
      <c r="S198" s="43" t="str">
        <f>IF(OR($B198="",$A198&gt;$B$9,S$171=""),"",IF(COUNTIFS(BD!$B$3:$B$5001,S$171,BD!$A$3:$A$5001,"&gt;="&amp;$C$7,BD!$A$3:$A$5001,"&lt;="&amp;$B198,BD!$X$3:$X$5001,"&lt;&gt;")=0,"",SUMIFS(BD!$X$3:$X$5001,BD!$B$3:$B$5001,S$171,BD!$A$3:$A$5001,_xlfn.MAXIFS(BD!$A$3:$A$5001,BD!$B$3:$B$5001,S$171,BD!$A$3:$A$5001,"&gt;="&amp;$C$7,BD!$A$3:$A$5001,"&lt;="&amp;$B198,BD!$X$3:$X$5001,"&lt;&gt;"))))</f>
        <v/>
      </c>
      <c r="T198" s="43" t="str">
        <f>IF(OR($B198="",$A198&gt;$B$9,T$171=""),"",IF(COUNTIFS(BD!$B$3:$B$5001,T$171,BD!$A$3:$A$5001,"&gt;="&amp;$C$7,BD!$A$3:$A$5001,"&lt;="&amp;$B198,BD!$X$3:$X$5001,"&lt;&gt;")=0,"",SUMIFS(BD!$X$3:$X$5001,BD!$B$3:$B$5001,T$171,BD!$A$3:$A$5001,_xlfn.MAXIFS(BD!$A$3:$A$5001,BD!$B$3:$B$5001,T$171,BD!$A$3:$A$5001,"&gt;="&amp;$C$7,BD!$A$3:$A$5001,"&lt;="&amp;$B198,BD!$X$3:$X$5001,"&lt;&gt;"))))</f>
        <v/>
      </c>
      <c r="U198" s="43" t="str">
        <f>IF(OR($B198="",$A198&gt;$B$9,U$171=""),"",IF(COUNTIFS(BD!$B$3:$B$5001,U$171,BD!$A$3:$A$5001,"&gt;="&amp;$C$7,BD!$A$3:$A$5001,"&lt;="&amp;$B198,BD!$X$3:$X$5001,"&lt;&gt;")=0,"",SUMIFS(BD!$X$3:$X$5001,BD!$B$3:$B$5001,U$171,BD!$A$3:$A$5001,_xlfn.MAXIFS(BD!$A$3:$A$5001,BD!$B$3:$B$5001,U$171,BD!$A$3:$A$5001,"&gt;="&amp;$C$7,BD!$A$3:$A$5001,"&lt;="&amp;$B198,BD!$X$3:$X$5001,"&lt;&gt;"))))</f>
        <v/>
      </c>
      <c r="V198" s="43" t="str">
        <f>IF(OR($B198="",$A198&gt;$B$9,V$171=""),"",IF(COUNTIFS(BD!$B$3:$B$5001,V$171,BD!$A$3:$A$5001,"&gt;="&amp;$C$7,BD!$A$3:$A$5001,"&lt;="&amp;$B198,BD!$X$3:$X$5001,"&lt;&gt;")=0,"",SUMIFS(BD!$X$3:$X$5001,BD!$B$3:$B$5001,V$171,BD!$A$3:$A$5001,_xlfn.MAXIFS(BD!$A$3:$A$5001,BD!$B$3:$B$5001,V$171,BD!$A$3:$A$5001,"&gt;="&amp;$C$7,BD!$A$3:$A$5001,"&lt;="&amp;$B198,BD!$X$3:$X$5001,"&lt;&gt;"))))</f>
        <v/>
      </c>
    </row>
    <row r="199">
      <c r="A199" s="38">
        <v>28</v>
      </c>
      <c r="B199" s="42">
        <f>$B$39</f>
        <v>46323</v>
      </c>
      <c r="C199" s="43" t="str">
        <f>IF(OR($B199="",$A199&gt;$B$9,C$171=""),"",IF(COUNTIFS(BD!$B$3:$B$5001,C$171,BD!$A$3:$A$5001,"&gt;="&amp;$C$7,BD!$A$3:$A$5001,"&lt;="&amp;$B199,BD!$X$3:$X$5001,"&lt;&gt;")=0,"",SUMIFS(BD!$X$3:$X$5001,BD!$B$3:$B$5001,C$171,BD!$A$3:$A$5001,_xlfn.MAXIFS(BD!$A$3:$A$5001,BD!$B$3:$B$5001,C$171,BD!$A$3:$A$5001,"&gt;="&amp;$C$7,BD!$A$3:$A$5001,"&lt;="&amp;$B199,BD!$X$3:$X$5001,"&lt;&gt;"))))</f>
        <v/>
      </c>
      <c r="D199" s="43" t="str">
        <f>IF(OR($B199="",$A199&gt;$B$9,D$171=""),"",IF(COUNTIFS(BD!$B$3:$B$5001,D$171,BD!$A$3:$A$5001,"&gt;="&amp;$C$7,BD!$A$3:$A$5001,"&lt;="&amp;$B199,BD!$X$3:$X$5001,"&lt;&gt;")=0,"",SUMIFS(BD!$X$3:$X$5001,BD!$B$3:$B$5001,D$171,BD!$A$3:$A$5001,_xlfn.MAXIFS(BD!$A$3:$A$5001,BD!$B$3:$B$5001,D$171,BD!$A$3:$A$5001,"&gt;="&amp;$C$7,BD!$A$3:$A$5001,"&lt;="&amp;$B199,BD!$X$3:$X$5001,"&lt;&gt;"))))</f>
        <v/>
      </c>
      <c r="E199" s="43" t="str">
        <f>IF(OR($B199="",$A199&gt;$B$9,E$171=""),"",IF(COUNTIFS(BD!$B$3:$B$5001,E$171,BD!$A$3:$A$5001,"&gt;="&amp;$C$7,BD!$A$3:$A$5001,"&lt;="&amp;$B199,BD!$X$3:$X$5001,"&lt;&gt;")=0,"",SUMIFS(BD!$X$3:$X$5001,BD!$B$3:$B$5001,E$171,BD!$A$3:$A$5001,_xlfn.MAXIFS(BD!$A$3:$A$5001,BD!$B$3:$B$5001,E$171,BD!$A$3:$A$5001,"&gt;="&amp;$C$7,BD!$A$3:$A$5001,"&lt;="&amp;$B199,BD!$X$3:$X$5001,"&lt;&gt;"))))</f>
        <v/>
      </c>
      <c r="F199" s="43" t="str">
        <f>IF(OR($B199="",$A199&gt;$B$9,F$171=""),"",IF(COUNTIFS(BD!$B$3:$B$5001,F$171,BD!$A$3:$A$5001,"&gt;="&amp;$C$7,BD!$A$3:$A$5001,"&lt;="&amp;$B199,BD!$X$3:$X$5001,"&lt;&gt;")=0,"",SUMIFS(BD!$X$3:$X$5001,BD!$B$3:$B$5001,F$171,BD!$A$3:$A$5001,_xlfn.MAXIFS(BD!$A$3:$A$5001,BD!$B$3:$B$5001,F$171,BD!$A$3:$A$5001,"&gt;="&amp;$C$7,BD!$A$3:$A$5001,"&lt;="&amp;$B199,BD!$X$3:$X$5001,"&lt;&gt;"))))</f>
        <v/>
      </c>
      <c r="G199" s="43" t="str">
        <f>IF(OR($B199="",$A199&gt;$B$9,G$171=""),"",IF(COUNTIFS(BD!$B$3:$B$5001,G$171,BD!$A$3:$A$5001,"&gt;="&amp;$C$7,BD!$A$3:$A$5001,"&lt;="&amp;$B199,BD!$X$3:$X$5001,"&lt;&gt;")=0,"",SUMIFS(BD!$X$3:$X$5001,BD!$B$3:$B$5001,G$171,BD!$A$3:$A$5001,_xlfn.MAXIFS(BD!$A$3:$A$5001,BD!$B$3:$B$5001,G$171,BD!$A$3:$A$5001,"&gt;="&amp;$C$7,BD!$A$3:$A$5001,"&lt;="&amp;$B199,BD!$X$3:$X$5001,"&lt;&gt;"))))</f>
        <v/>
      </c>
      <c r="H199" s="43" t="str">
        <f>IF(OR($B199="",$A199&gt;$B$9,H$171=""),"",IF(COUNTIFS(BD!$B$3:$B$5001,H$171,BD!$A$3:$A$5001,"&gt;="&amp;$C$7,BD!$A$3:$A$5001,"&lt;="&amp;$B199,BD!$X$3:$X$5001,"&lt;&gt;")=0,"",SUMIFS(BD!$X$3:$X$5001,BD!$B$3:$B$5001,H$171,BD!$A$3:$A$5001,_xlfn.MAXIFS(BD!$A$3:$A$5001,BD!$B$3:$B$5001,H$171,BD!$A$3:$A$5001,"&gt;="&amp;$C$7,BD!$A$3:$A$5001,"&lt;="&amp;$B199,BD!$X$3:$X$5001,"&lt;&gt;"))))</f>
        <v/>
      </c>
      <c r="I199" s="43" t="str">
        <f>IF(OR($B199="",$A199&gt;$B$9,I$171=""),"",IF(COUNTIFS(BD!$B$3:$B$5001,I$171,BD!$A$3:$A$5001,"&gt;="&amp;$C$7,BD!$A$3:$A$5001,"&lt;="&amp;$B199,BD!$X$3:$X$5001,"&lt;&gt;")=0,"",SUMIFS(BD!$X$3:$X$5001,BD!$B$3:$B$5001,I$171,BD!$A$3:$A$5001,_xlfn.MAXIFS(BD!$A$3:$A$5001,BD!$B$3:$B$5001,I$171,BD!$A$3:$A$5001,"&gt;="&amp;$C$7,BD!$A$3:$A$5001,"&lt;="&amp;$B199,BD!$X$3:$X$5001,"&lt;&gt;"))))</f>
        <v/>
      </c>
      <c r="J199" s="43" t="str">
        <f>IF(OR($B199="",$A199&gt;$B$9,J$171=""),"",IF(COUNTIFS(BD!$B$3:$B$5001,J$171,BD!$A$3:$A$5001,"&gt;="&amp;$C$7,BD!$A$3:$A$5001,"&lt;="&amp;$B199,BD!$X$3:$X$5001,"&lt;&gt;")=0,"",SUMIFS(BD!$X$3:$X$5001,BD!$B$3:$B$5001,J$171,BD!$A$3:$A$5001,_xlfn.MAXIFS(BD!$A$3:$A$5001,BD!$B$3:$B$5001,J$171,BD!$A$3:$A$5001,"&gt;="&amp;$C$7,BD!$A$3:$A$5001,"&lt;="&amp;$B199,BD!$X$3:$X$5001,"&lt;&gt;"))))</f>
        <v/>
      </c>
      <c r="K199" s="43" t="str">
        <f>IF(OR($B199="",$A199&gt;$B$9,K$171=""),"",IF(COUNTIFS(BD!$B$3:$B$5001,K$171,BD!$A$3:$A$5001,"&gt;="&amp;$C$7,BD!$A$3:$A$5001,"&lt;="&amp;$B199,BD!$X$3:$X$5001,"&lt;&gt;")=0,"",SUMIFS(BD!$X$3:$X$5001,BD!$B$3:$B$5001,K$171,BD!$A$3:$A$5001,_xlfn.MAXIFS(BD!$A$3:$A$5001,BD!$B$3:$B$5001,K$171,BD!$A$3:$A$5001,"&gt;="&amp;$C$7,BD!$A$3:$A$5001,"&lt;="&amp;$B199,BD!$X$3:$X$5001,"&lt;&gt;"))))</f>
        <v/>
      </c>
      <c r="L199" s="43" t="str">
        <f>IF(OR($B199="",$A199&gt;$B$9,L$171=""),"",IF(COUNTIFS(BD!$B$3:$B$5001,L$171,BD!$A$3:$A$5001,"&gt;="&amp;$C$7,BD!$A$3:$A$5001,"&lt;="&amp;$B199,BD!$X$3:$X$5001,"&lt;&gt;")=0,"",SUMIFS(BD!$X$3:$X$5001,BD!$B$3:$B$5001,L$171,BD!$A$3:$A$5001,_xlfn.MAXIFS(BD!$A$3:$A$5001,BD!$B$3:$B$5001,L$171,BD!$A$3:$A$5001,"&gt;="&amp;$C$7,BD!$A$3:$A$5001,"&lt;="&amp;$B199,BD!$X$3:$X$5001,"&lt;&gt;"))))</f>
        <v/>
      </c>
      <c r="M199" s="43" t="str">
        <f>IF(OR($B199="",$A199&gt;$B$9,M$171=""),"",IF(COUNTIFS(BD!$B$3:$B$5001,M$171,BD!$A$3:$A$5001,"&gt;="&amp;$C$7,BD!$A$3:$A$5001,"&lt;="&amp;$B199,BD!$X$3:$X$5001,"&lt;&gt;")=0,"",SUMIFS(BD!$X$3:$X$5001,BD!$B$3:$B$5001,M$171,BD!$A$3:$A$5001,_xlfn.MAXIFS(BD!$A$3:$A$5001,BD!$B$3:$B$5001,M$171,BD!$A$3:$A$5001,"&gt;="&amp;$C$7,BD!$A$3:$A$5001,"&lt;="&amp;$B199,BD!$X$3:$X$5001,"&lt;&gt;"))))</f>
        <v/>
      </c>
      <c r="N199" s="43" t="str">
        <f>IF(OR($B199="",$A199&gt;$B$9,N$171=""),"",IF(COUNTIFS(BD!$B$3:$B$5001,N$171,BD!$A$3:$A$5001,"&gt;="&amp;$C$7,BD!$A$3:$A$5001,"&lt;="&amp;$B199,BD!$X$3:$X$5001,"&lt;&gt;")=0,"",SUMIFS(BD!$X$3:$X$5001,BD!$B$3:$B$5001,N$171,BD!$A$3:$A$5001,_xlfn.MAXIFS(BD!$A$3:$A$5001,BD!$B$3:$B$5001,N$171,BD!$A$3:$A$5001,"&gt;="&amp;$C$7,BD!$A$3:$A$5001,"&lt;="&amp;$B199,BD!$X$3:$X$5001,"&lt;&gt;"))))</f>
        <v/>
      </c>
      <c r="O199" s="43" t="str">
        <f>IF(OR($B199="",$A199&gt;$B$9,O$171=""),"",IF(COUNTIFS(BD!$B$3:$B$5001,O$171,BD!$A$3:$A$5001,"&gt;="&amp;$C$7,BD!$A$3:$A$5001,"&lt;="&amp;$B199,BD!$X$3:$X$5001,"&lt;&gt;")=0,"",SUMIFS(BD!$X$3:$X$5001,BD!$B$3:$B$5001,O$171,BD!$A$3:$A$5001,_xlfn.MAXIFS(BD!$A$3:$A$5001,BD!$B$3:$B$5001,O$171,BD!$A$3:$A$5001,"&gt;="&amp;$C$7,BD!$A$3:$A$5001,"&lt;="&amp;$B199,BD!$X$3:$X$5001,"&lt;&gt;"))))</f>
        <v/>
      </c>
      <c r="P199" s="43" t="str">
        <f>IF(OR($B199="",$A199&gt;$B$9,P$171=""),"",IF(COUNTIFS(BD!$B$3:$B$5001,P$171,BD!$A$3:$A$5001,"&gt;="&amp;$C$7,BD!$A$3:$A$5001,"&lt;="&amp;$B199,BD!$X$3:$X$5001,"&lt;&gt;")=0,"",SUMIFS(BD!$X$3:$X$5001,BD!$B$3:$B$5001,P$171,BD!$A$3:$A$5001,_xlfn.MAXIFS(BD!$A$3:$A$5001,BD!$B$3:$B$5001,P$171,BD!$A$3:$A$5001,"&gt;="&amp;$C$7,BD!$A$3:$A$5001,"&lt;="&amp;$B199,BD!$X$3:$X$5001,"&lt;&gt;"))))</f>
        <v/>
      </c>
      <c r="Q199" s="43" t="str">
        <f>IF(OR($B199="",$A199&gt;$B$9,Q$171=""),"",IF(COUNTIFS(BD!$B$3:$B$5001,Q$171,BD!$A$3:$A$5001,"&gt;="&amp;$C$7,BD!$A$3:$A$5001,"&lt;="&amp;$B199,BD!$X$3:$X$5001,"&lt;&gt;")=0,"",SUMIFS(BD!$X$3:$X$5001,BD!$B$3:$B$5001,Q$171,BD!$A$3:$A$5001,_xlfn.MAXIFS(BD!$A$3:$A$5001,BD!$B$3:$B$5001,Q$171,BD!$A$3:$A$5001,"&gt;="&amp;$C$7,BD!$A$3:$A$5001,"&lt;="&amp;$B199,BD!$X$3:$X$5001,"&lt;&gt;"))))</f>
        <v/>
      </c>
      <c r="R199" s="43" t="str">
        <f>IF(OR($B199="",$A199&gt;$B$9,R$171=""),"",IF(COUNTIFS(BD!$B$3:$B$5001,R$171,BD!$A$3:$A$5001,"&gt;="&amp;$C$7,BD!$A$3:$A$5001,"&lt;="&amp;$B199,BD!$X$3:$X$5001,"&lt;&gt;")=0,"",SUMIFS(BD!$X$3:$X$5001,BD!$B$3:$B$5001,R$171,BD!$A$3:$A$5001,_xlfn.MAXIFS(BD!$A$3:$A$5001,BD!$B$3:$B$5001,R$171,BD!$A$3:$A$5001,"&gt;="&amp;$C$7,BD!$A$3:$A$5001,"&lt;="&amp;$B199,BD!$X$3:$X$5001,"&lt;&gt;"))))</f>
        <v/>
      </c>
      <c r="S199" s="43" t="str">
        <f>IF(OR($B199="",$A199&gt;$B$9,S$171=""),"",IF(COUNTIFS(BD!$B$3:$B$5001,S$171,BD!$A$3:$A$5001,"&gt;="&amp;$C$7,BD!$A$3:$A$5001,"&lt;="&amp;$B199,BD!$X$3:$X$5001,"&lt;&gt;")=0,"",SUMIFS(BD!$X$3:$X$5001,BD!$B$3:$B$5001,S$171,BD!$A$3:$A$5001,_xlfn.MAXIFS(BD!$A$3:$A$5001,BD!$B$3:$B$5001,S$171,BD!$A$3:$A$5001,"&gt;="&amp;$C$7,BD!$A$3:$A$5001,"&lt;="&amp;$B199,BD!$X$3:$X$5001,"&lt;&gt;"))))</f>
        <v/>
      </c>
      <c r="T199" s="43" t="str">
        <f>IF(OR($B199="",$A199&gt;$B$9,T$171=""),"",IF(COUNTIFS(BD!$B$3:$B$5001,T$171,BD!$A$3:$A$5001,"&gt;="&amp;$C$7,BD!$A$3:$A$5001,"&lt;="&amp;$B199,BD!$X$3:$X$5001,"&lt;&gt;")=0,"",SUMIFS(BD!$X$3:$X$5001,BD!$B$3:$B$5001,T$171,BD!$A$3:$A$5001,_xlfn.MAXIFS(BD!$A$3:$A$5001,BD!$B$3:$B$5001,T$171,BD!$A$3:$A$5001,"&gt;="&amp;$C$7,BD!$A$3:$A$5001,"&lt;="&amp;$B199,BD!$X$3:$X$5001,"&lt;&gt;"))))</f>
        <v/>
      </c>
      <c r="U199" s="43" t="str">
        <f>IF(OR($B199="",$A199&gt;$B$9,U$171=""),"",IF(COUNTIFS(BD!$B$3:$B$5001,U$171,BD!$A$3:$A$5001,"&gt;="&amp;$C$7,BD!$A$3:$A$5001,"&lt;="&amp;$B199,BD!$X$3:$X$5001,"&lt;&gt;")=0,"",SUMIFS(BD!$X$3:$X$5001,BD!$B$3:$B$5001,U$171,BD!$A$3:$A$5001,_xlfn.MAXIFS(BD!$A$3:$A$5001,BD!$B$3:$B$5001,U$171,BD!$A$3:$A$5001,"&gt;="&amp;$C$7,BD!$A$3:$A$5001,"&lt;="&amp;$B199,BD!$X$3:$X$5001,"&lt;&gt;"))))</f>
        <v/>
      </c>
      <c r="V199" s="43" t="str">
        <f>IF(OR($B199="",$A199&gt;$B$9,V$171=""),"",IF(COUNTIFS(BD!$B$3:$B$5001,V$171,BD!$A$3:$A$5001,"&gt;="&amp;$C$7,BD!$A$3:$A$5001,"&lt;="&amp;$B199,BD!$X$3:$X$5001,"&lt;&gt;")=0,"",SUMIFS(BD!$X$3:$X$5001,BD!$B$3:$B$5001,V$171,BD!$A$3:$A$5001,_xlfn.MAXIFS(BD!$A$3:$A$5001,BD!$B$3:$B$5001,V$171,BD!$A$3:$A$5001,"&gt;="&amp;$C$7,BD!$A$3:$A$5001,"&lt;="&amp;$B199,BD!$X$3:$X$5001,"&lt;&gt;"))))</f>
        <v/>
      </c>
    </row>
    <row r="200">
      <c r="A200" s="38">
        <v>29</v>
      </c>
      <c r="B200" s="42">
        <f>$B$40</f>
        <v>46324</v>
      </c>
      <c r="C200" s="43" t="str">
        <f>IF(OR($B200="",$A200&gt;$B$9,C$171=""),"",IF(COUNTIFS(BD!$B$3:$B$5001,C$171,BD!$A$3:$A$5001,"&gt;="&amp;$C$7,BD!$A$3:$A$5001,"&lt;="&amp;$B200,BD!$X$3:$X$5001,"&lt;&gt;")=0,"",SUMIFS(BD!$X$3:$X$5001,BD!$B$3:$B$5001,C$171,BD!$A$3:$A$5001,_xlfn.MAXIFS(BD!$A$3:$A$5001,BD!$B$3:$B$5001,C$171,BD!$A$3:$A$5001,"&gt;="&amp;$C$7,BD!$A$3:$A$5001,"&lt;="&amp;$B200,BD!$X$3:$X$5001,"&lt;&gt;"))))</f>
        <v/>
      </c>
      <c r="D200" s="43" t="str">
        <f>IF(OR($B200="",$A200&gt;$B$9,D$171=""),"",IF(COUNTIFS(BD!$B$3:$B$5001,D$171,BD!$A$3:$A$5001,"&gt;="&amp;$C$7,BD!$A$3:$A$5001,"&lt;="&amp;$B200,BD!$X$3:$X$5001,"&lt;&gt;")=0,"",SUMIFS(BD!$X$3:$X$5001,BD!$B$3:$B$5001,D$171,BD!$A$3:$A$5001,_xlfn.MAXIFS(BD!$A$3:$A$5001,BD!$B$3:$B$5001,D$171,BD!$A$3:$A$5001,"&gt;="&amp;$C$7,BD!$A$3:$A$5001,"&lt;="&amp;$B200,BD!$X$3:$X$5001,"&lt;&gt;"))))</f>
        <v/>
      </c>
      <c r="E200" s="43" t="str">
        <f>IF(OR($B200="",$A200&gt;$B$9,E$171=""),"",IF(COUNTIFS(BD!$B$3:$B$5001,E$171,BD!$A$3:$A$5001,"&gt;="&amp;$C$7,BD!$A$3:$A$5001,"&lt;="&amp;$B200,BD!$X$3:$X$5001,"&lt;&gt;")=0,"",SUMIFS(BD!$X$3:$X$5001,BD!$B$3:$B$5001,E$171,BD!$A$3:$A$5001,_xlfn.MAXIFS(BD!$A$3:$A$5001,BD!$B$3:$B$5001,E$171,BD!$A$3:$A$5001,"&gt;="&amp;$C$7,BD!$A$3:$A$5001,"&lt;="&amp;$B200,BD!$X$3:$X$5001,"&lt;&gt;"))))</f>
        <v/>
      </c>
      <c r="F200" s="43" t="str">
        <f>IF(OR($B200="",$A200&gt;$B$9,F$171=""),"",IF(COUNTIFS(BD!$B$3:$B$5001,F$171,BD!$A$3:$A$5001,"&gt;="&amp;$C$7,BD!$A$3:$A$5001,"&lt;="&amp;$B200,BD!$X$3:$X$5001,"&lt;&gt;")=0,"",SUMIFS(BD!$X$3:$X$5001,BD!$B$3:$B$5001,F$171,BD!$A$3:$A$5001,_xlfn.MAXIFS(BD!$A$3:$A$5001,BD!$B$3:$B$5001,F$171,BD!$A$3:$A$5001,"&gt;="&amp;$C$7,BD!$A$3:$A$5001,"&lt;="&amp;$B200,BD!$X$3:$X$5001,"&lt;&gt;"))))</f>
        <v/>
      </c>
      <c r="G200" s="43" t="str">
        <f>IF(OR($B200="",$A200&gt;$B$9,G$171=""),"",IF(COUNTIFS(BD!$B$3:$B$5001,G$171,BD!$A$3:$A$5001,"&gt;="&amp;$C$7,BD!$A$3:$A$5001,"&lt;="&amp;$B200,BD!$X$3:$X$5001,"&lt;&gt;")=0,"",SUMIFS(BD!$X$3:$X$5001,BD!$B$3:$B$5001,G$171,BD!$A$3:$A$5001,_xlfn.MAXIFS(BD!$A$3:$A$5001,BD!$B$3:$B$5001,G$171,BD!$A$3:$A$5001,"&gt;="&amp;$C$7,BD!$A$3:$A$5001,"&lt;="&amp;$B200,BD!$X$3:$X$5001,"&lt;&gt;"))))</f>
        <v/>
      </c>
      <c r="H200" s="43" t="str">
        <f>IF(OR($B200="",$A200&gt;$B$9,H$171=""),"",IF(COUNTIFS(BD!$B$3:$B$5001,H$171,BD!$A$3:$A$5001,"&gt;="&amp;$C$7,BD!$A$3:$A$5001,"&lt;="&amp;$B200,BD!$X$3:$X$5001,"&lt;&gt;")=0,"",SUMIFS(BD!$X$3:$X$5001,BD!$B$3:$B$5001,H$171,BD!$A$3:$A$5001,_xlfn.MAXIFS(BD!$A$3:$A$5001,BD!$B$3:$B$5001,H$171,BD!$A$3:$A$5001,"&gt;="&amp;$C$7,BD!$A$3:$A$5001,"&lt;="&amp;$B200,BD!$X$3:$X$5001,"&lt;&gt;"))))</f>
        <v/>
      </c>
      <c r="I200" s="43" t="str">
        <f>IF(OR($B200="",$A200&gt;$B$9,I$171=""),"",IF(COUNTIFS(BD!$B$3:$B$5001,I$171,BD!$A$3:$A$5001,"&gt;="&amp;$C$7,BD!$A$3:$A$5001,"&lt;="&amp;$B200,BD!$X$3:$X$5001,"&lt;&gt;")=0,"",SUMIFS(BD!$X$3:$X$5001,BD!$B$3:$B$5001,I$171,BD!$A$3:$A$5001,_xlfn.MAXIFS(BD!$A$3:$A$5001,BD!$B$3:$B$5001,I$171,BD!$A$3:$A$5001,"&gt;="&amp;$C$7,BD!$A$3:$A$5001,"&lt;="&amp;$B200,BD!$X$3:$X$5001,"&lt;&gt;"))))</f>
        <v/>
      </c>
      <c r="J200" s="43" t="str">
        <f>IF(OR($B200="",$A200&gt;$B$9,J$171=""),"",IF(COUNTIFS(BD!$B$3:$B$5001,J$171,BD!$A$3:$A$5001,"&gt;="&amp;$C$7,BD!$A$3:$A$5001,"&lt;="&amp;$B200,BD!$X$3:$X$5001,"&lt;&gt;")=0,"",SUMIFS(BD!$X$3:$X$5001,BD!$B$3:$B$5001,J$171,BD!$A$3:$A$5001,_xlfn.MAXIFS(BD!$A$3:$A$5001,BD!$B$3:$B$5001,J$171,BD!$A$3:$A$5001,"&gt;="&amp;$C$7,BD!$A$3:$A$5001,"&lt;="&amp;$B200,BD!$X$3:$X$5001,"&lt;&gt;"))))</f>
        <v/>
      </c>
      <c r="K200" s="43" t="str">
        <f>IF(OR($B200="",$A200&gt;$B$9,K$171=""),"",IF(COUNTIFS(BD!$B$3:$B$5001,K$171,BD!$A$3:$A$5001,"&gt;="&amp;$C$7,BD!$A$3:$A$5001,"&lt;="&amp;$B200,BD!$X$3:$X$5001,"&lt;&gt;")=0,"",SUMIFS(BD!$X$3:$X$5001,BD!$B$3:$B$5001,K$171,BD!$A$3:$A$5001,_xlfn.MAXIFS(BD!$A$3:$A$5001,BD!$B$3:$B$5001,K$171,BD!$A$3:$A$5001,"&gt;="&amp;$C$7,BD!$A$3:$A$5001,"&lt;="&amp;$B200,BD!$X$3:$X$5001,"&lt;&gt;"))))</f>
        <v/>
      </c>
      <c r="L200" s="43" t="str">
        <f>IF(OR($B200="",$A200&gt;$B$9,L$171=""),"",IF(COUNTIFS(BD!$B$3:$B$5001,L$171,BD!$A$3:$A$5001,"&gt;="&amp;$C$7,BD!$A$3:$A$5001,"&lt;="&amp;$B200,BD!$X$3:$X$5001,"&lt;&gt;")=0,"",SUMIFS(BD!$X$3:$X$5001,BD!$B$3:$B$5001,L$171,BD!$A$3:$A$5001,_xlfn.MAXIFS(BD!$A$3:$A$5001,BD!$B$3:$B$5001,L$171,BD!$A$3:$A$5001,"&gt;="&amp;$C$7,BD!$A$3:$A$5001,"&lt;="&amp;$B200,BD!$X$3:$X$5001,"&lt;&gt;"))))</f>
        <v/>
      </c>
      <c r="M200" s="43" t="str">
        <f>IF(OR($B200="",$A200&gt;$B$9,M$171=""),"",IF(COUNTIFS(BD!$B$3:$B$5001,M$171,BD!$A$3:$A$5001,"&gt;="&amp;$C$7,BD!$A$3:$A$5001,"&lt;="&amp;$B200,BD!$X$3:$X$5001,"&lt;&gt;")=0,"",SUMIFS(BD!$X$3:$X$5001,BD!$B$3:$B$5001,M$171,BD!$A$3:$A$5001,_xlfn.MAXIFS(BD!$A$3:$A$5001,BD!$B$3:$B$5001,M$171,BD!$A$3:$A$5001,"&gt;="&amp;$C$7,BD!$A$3:$A$5001,"&lt;="&amp;$B200,BD!$X$3:$X$5001,"&lt;&gt;"))))</f>
        <v/>
      </c>
      <c r="N200" s="43" t="str">
        <f>IF(OR($B200="",$A200&gt;$B$9,N$171=""),"",IF(COUNTIFS(BD!$B$3:$B$5001,N$171,BD!$A$3:$A$5001,"&gt;="&amp;$C$7,BD!$A$3:$A$5001,"&lt;="&amp;$B200,BD!$X$3:$X$5001,"&lt;&gt;")=0,"",SUMIFS(BD!$X$3:$X$5001,BD!$B$3:$B$5001,N$171,BD!$A$3:$A$5001,_xlfn.MAXIFS(BD!$A$3:$A$5001,BD!$B$3:$B$5001,N$171,BD!$A$3:$A$5001,"&gt;="&amp;$C$7,BD!$A$3:$A$5001,"&lt;="&amp;$B200,BD!$X$3:$X$5001,"&lt;&gt;"))))</f>
        <v/>
      </c>
      <c r="O200" s="43" t="str">
        <f>IF(OR($B200="",$A200&gt;$B$9,O$171=""),"",IF(COUNTIFS(BD!$B$3:$B$5001,O$171,BD!$A$3:$A$5001,"&gt;="&amp;$C$7,BD!$A$3:$A$5001,"&lt;="&amp;$B200,BD!$X$3:$X$5001,"&lt;&gt;")=0,"",SUMIFS(BD!$X$3:$X$5001,BD!$B$3:$B$5001,O$171,BD!$A$3:$A$5001,_xlfn.MAXIFS(BD!$A$3:$A$5001,BD!$B$3:$B$5001,O$171,BD!$A$3:$A$5001,"&gt;="&amp;$C$7,BD!$A$3:$A$5001,"&lt;="&amp;$B200,BD!$X$3:$X$5001,"&lt;&gt;"))))</f>
        <v/>
      </c>
      <c r="P200" s="43" t="str">
        <f>IF(OR($B200="",$A200&gt;$B$9,P$171=""),"",IF(COUNTIFS(BD!$B$3:$B$5001,P$171,BD!$A$3:$A$5001,"&gt;="&amp;$C$7,BD!$A$3:$A$5001,"&lt;="&amp;$B200,BD!$X$3:$X$5001,"&lt;&gt;")=0,"",SUMIFS(BD!$X$3:$X$5001,BD!$B$3:$B$5001,P$171,BD!$A$3:$A$5001,_xlfn.MAXIFS(BD!$A$3:$A$5001,BD!$B$3:$B$5001,P$171,BD!$A$3:$A$5001,"&gt;="&amp;$C$7,BD!$A$3:$A$5001,"&lt;="&amp;$B200,BD!$X$3:$X$5001,"&lt;&gt;"))))</f>
        <v/>
      </c>
      <c r="Q200" s="43" t="str">
        <f>IF(OR($B200="",$A200&gt;$B$9,Q$171=""),"",IF(COUNTIFS(BD!$B$3:$B$5001,Q$171,BD!$A$3:$A$5001,"&gt;="&amp;$C$7,BD!$A$3:$A$5001,"&lt;="&amp;$B200,BD!$X$3:$X$5001,"&lt;&gt;")=0,"",SUMIFS(BD!$X$3:$X$5001,BD!$B$3:$B$5001,Q$171,BD!$A$3:$A$5001,_xlfn.MAXIFS(BD!$A$3:$A$5001,BD!$B$3:$B$5001,Q$171,BD!$A$3:$A$5001,"&gt;="&amp;$C$7,BD!$A$3:$A$5001,"&lt;="&amp;$B200,BD!$X$3:$X$5001,"&lt;&gt;"))))</f>
        <v/>
      </c>
      <c r="R200" s="43" t="str">
        <f>IF(OR($B200="",$A200&gt;$B$9,R$171=""),"",IF(COUNTIFS(BD!$B$3:$B$5001,R$171,BD!$A$3:$A$5001,"&gt;="&amp;$C$7,BD!$A$3:$A$5001,"&lt;="&amp;$B200,BD!$X$3:$X$5001,"&lt;&gt;")=0,"",SUMIFS(BD!$X$3:$X$5001,BD!$B$3:$B$5001,R$171,BD!$A$3:$A$5001,_xlfn.MAXIFS(BD!$A$3:$A$5001,BD!$B$3:$B$5001,R$171,BD!$A$3:$A$5001,"&gt;="&amp;$C$7,BD!$A$3:$A$5001,"&lt;="&amp;$B200,BD!$X$3:$X$5001,"&lt;&gt;"))))</f>
        <v/>
      </c>
      <c r="S200" s="43" t="str">
        <f>IF(OR($B200="",$A200&gt;$B$9,S$171=""),"",IF(COUNTIFS(BD!$B$3:$B$5001,S$171,BD!$A$3:$A$5001,"&gt;="&amp;$C$7,BD!$A$3:$A$5001,"&lt;="&amp;$B200,BD!$X$3:$X$5001,"&lt;&gt;")=0,"",SUMIFS(BD!$X$3:$X$5001,BD!$B$3:$B$5001,S$171,BD!$A$3:$A$5001,_xlfn.MAXIFS(BD!$A$3:$A$5001,BD!$B$3:$B$5001,S$171,BD!$A$3:$A$5001,"&gt;="&amp;$C$7,BD!$A$3:$A$5001,"&lt;="&amp;$B200,BD!$X$3:$X$5001,"&lt;&gt;"))))</f>
        <v/>
      </c>
      <c r="T200" s="43" t="str">
        <f>IF(OR($B200="",$A200&gt;$B$9,T$171=""),"",IF(COUNTIFS(BD!$B$3:$B$5001,T$171,BD!$A$3:$A$5001,"&gt;="&amp;$C$7,BD!$A$3:$A$5001,"&lt;="&amp;$B200,BD!$X$3:$X$5001,"&lt;&gt;")=0,"",SUMIFS(BD!$X$3:$X$5001,BD!$B$3:$B$5001,T$171,BD!$A$3:$A$5001,_xlfn.MAXIFS(BD!$A$3:$A$5001,BD!$B$3:$B$5001,T$171,BD!$A$3:$A$5001,"&gt;="&amp;$C$7,BD!$A$3:$A$5001,"&lt;="&amp;$B200,BD!$X$3:$X$5001,"&lt;&gt;"))))</f>
        <v/>
      </c>
      <c r="U200" s="43" t="str">
        <f>IF(OR($B200="",$A200&gt;$B$9,U$171=""),"",IF(COUNTIFS(BD!$B$3:$B$5001,U$171,BD!$A$3:$A$5001,"&gt;="&amp;$C$7,BD!$A$3:$A$5001,"&lt;="&amp;$B200,BD!$X$3:$X$5001,"&lt;&gt;")=0,"",SUMIFS(BD!$X$3:$X$5001,BD!$B$3:$B$5001,U$171,BD!$A$3:$A$5001,_xlfn.MAXIFS(BD!$A$3:$A$5001,BD!$B$3:$B$5001,U$171,BD!$A$3:$A$5001,"&gt;="&amp;$C$7,BD!$A$3:$A$5001,"&lt;="&amp;$B200,BD!$X$3:$X$5001,"&lt;&gt;"))))</f>
        <v/>
      </c>
      <c r="V200" s="43" t="str">
        <f>IF(OR($B200="",$A200&gt;$B$9,V$171=""),"",IF(COUNTIFS(BD!$B$3:$B$5001,V$171,BD!$A$3:$A$5001,"&gt;="&amp;$C$7,BD!$A$3:$A$5001,"&lt;="&amp;$B200,BD!$X$3:$X$5001,"&lt;&gt;")=0,"",SUMIFS(BD!$X$3:$X$5001,BD!$B$3:$B$5001,V$171,BD!$A$3:$A$5001,_xlfn.MAXIFS(BD!$A$3:$A$5001,BD!$B$3:$B$5001,V$171,BD!$A$3:$A$5001,"&gt;="&amp;$C$7,BD!$A$3:$A$5001,"&lt;="&amp;$B200,BD!$X$3:$X$5001,"&lt;&gt;"))))</f>
        <v/>
      </c>
    </row>
    <row r="201">
      <c r="A201" s="38">
        <v>30</v>
      </c>
      <c r="B201" s="42">
        <f>$B$41</f>
        <v>46325</v>
      </c>
      <c r="C201" s="43" t="str">
        <f>IF(OR($B201="",$A201&gt;$B$9,C$171=""),"",IF(COUNTIFS(BD!$B$3:$B$5001,C$171,BD!$A$3:$A$5001,"&gt;="&amp;$C$7,BD!$A$3:$A$5001,"&lt;="&amp;$B201,BD!$X$3:$X$5001,"&lt;&gt;")=0,"",SUMIFS(BD!$X$3:$X$5001,BD!$B$3:$B$5001,C$171,BD!$A$3:$A$5001,_xlfn.MAXIFS(BD!$A$3:$A$5001,BD!$B$3:$B$5001,C$171,BD!$A$3:$A$5001,"&gt;="&amp;$C$7,BD!$A$3:$A$5001,"&lt;="&amp;$B201,BD!$X$3:$X$5001,"&lt;&gt;"))))</f>
        <v/>
      </c>
      <c r="D201" s="43" t="str">
        <f>IF(OR($B201="",$A201&gt;$B$9,D$171=""),"",IF(COUNTIFS(BD!$B$3:$B$5001,D$171,BD!$A$3:$A$5001,"&gt;="&amp;$C$7,BD!$A$3:$A$5001,"&lt;="&amp;$B201,BD!$X$3:$X$5001,"&lt;&gt;")=0,"",SUMIFS(BD!$X$3:$X$5001,BD!$B$3:$B$5001,D$171,BD!$A$3:$A$5001,_xlfn.MAXIFS(BD!$A$3:$A$5001,BD!$B$3:$B$5001,D$171,BD!$A$3:$A$5001,"&gt;="&amp;$C$7,BD!$A$3:$A$5001,"&lt;="&amp;$B201,BD!$X$3:$X$5001,"&lt;&gt;"))))</f>
        <v/>
      </c>
      <c r="E201" s="43" t="str">
        <f>IF(OR($B201="",$A201&gt;$B$9,E$171=""),"",IF(COUNTIFS(BD!$B$3:$B$5001,E$171,BD!$A$3:$A$5001,"&gt;="&amp;$C$7,BD!$A$3:$A$5001,"&lt;="&amp;$B201,BD!$X$3:$X$5001,"&lt;&gt;")=0,"",SUMIFS(BD!$X$3:$X$5001,BD!$B$3:$B$5001,E$171,BD!$A$3:$A$5001,_xlfn.MAXIFS(BD!$A$3:$A$5001,BD!$B$3:$B$5001,E$171,BD!$A$3:$A$5001,"&gt;="&amp;$C$7,BD!$A$3:$A$5001,"&lt;="&amp;$B201,BD!$X$3:$X$5001,"&lt;&gt;"))))</f>
        <v/>
      </c>
      <c r="F201" s="43" t="str">
        <f>IF(OR($B201="",$A201&gt;$B$9,F$171=""),"",IF(COUNTIFS(BD!$B$3:$B$5001,F$171,BD!$A$3:$A$5001,"&gt;="&amp;$C$7,BD!$A$3:$A$5001,"&lt;="&amp;$B201,BD!$X$3:$X$5001,"&lt;&gt;")=0,"",SUMIFS(BD!$X$3:$X$5001,BD!$B$3:$B$5001,F$171,BD!$A$3:$A$5001,_xlfn.MAXIFS(BD!$A$3:$A$5001,BD!$B$3:$B$5001,F$171,BD!$A$3:$A$5001,"&gt;="&amp;$C$7,BD!$A$3:$A$5001,"&lt;="&amp;$B201,BD!$X$3:$X$5001,"&lt;&gt;"))))</f>
        <v/>
      </c>
      <c r="G201" s="43" t="str">
        <f>IF(OR($B201="",$A201&gt;$B$9,G$171=""),"",IF(COUNTIFS(BD!$B$3:$B$5001,G$171,BD!$A$3:$A$5001,"&gt;="&amp;$C$7,BD!$A$3:$A$5001,"&lt;="&amp;$B201,BD!$X$3:$X$5001,"&lt;&gt;")=0,"",SUMIFS(BD!$X$3:$X$5001,BD!$B$3:$B$5001,G$171,BD!$A$3:$A$5001,_xlfn.MAXIFS(BD!$A$3:$A$5001,BD!$B$3:$B$5001,G$171,BD!$A$3:$A$5001,"&gt;="&amp;$C$7,BD!$A$3:$A$5001,"&lt;="&amp;$B201,BD!$X$3:$X$5001,"&lt;&gt;"))))</f>
        <v/>
      </c>
      <c r="H201" s="43" t="str">
        <f>IF(OR($B201="",$A201&gt;$B$9,H$171=""),"",IF(COUNTIFS(BD!$B$3:$B$5001,H$171,BD!$A$3:$A$5001,"&gt;="&amp;$C$7,BD!$A$3:$A$5001,"&lt;="&amp;$B201,BD!$X$3:$X$5001,"&lt;&gt;")=0,"",SUMIFS(BD!$X$3:$X$5001,BD!$B$3:$B$5001,H$171,BD!$A$3:$A$5001,_xlfn.MAXIFS(BD!$A$3:$A$5001,BD!$B$3:$B$5001,H$171,BD!$A$3:$A$5001,"&gt;="&amp;$C$7,BD!$A$3:$A$5001,"&lt;="&amp;$B201,BD!$X$3:$X$5001,"&lt;&gt;"))))</f>
        <v/>
      </c>
      <c r="I201" s="43" t="str">
        <f>IF(OR($B201="",$A201&gt;$B$9,I$171=""),"",IF(COUNTIFS(BD!$B$3:$B$5001,I$171,BD!$A$3:$A$5001,"&gt;="&amp;$C$7,BD!$A$3:$A$5001,"&lt;="&amp;$B201,BD!$X$3:$X$5001,"&lt;&gt;")=0,"",SUMIFS(BD!$X$3:$X$5001,BD!$B$3:$B$5001,I$171,BD!$A$3:$A$5001,_xlfn.MAXIFS(BD!$A$3:$A$5001,BD!$B$3:$B$5001,I$171,BD!$A$3:$A$5001,"&gt;="&amp;$C$7,BD!$A$3:$A$5001,"&lt;="&amp;$B201,BD!$X$3:$X$5001,"&lt;&gt;"))))</f>
        <v/>
      </c>
      <c r="J201" s="43" t="str">
        <f>IF(OR($B201="",$A201&gt;$B$9,J$171=""),"",IF(COUNTIFS(BD!$B$3:$B$5001,J$171,BD!$A$3:$A$5001,"&gt;="&amp;$C$7,BD!$A$3:$A$5001,"&lt;="&amp;$B201,BD!$X$3:$X$5001,"&lt;&gt;")=0,"",SUMIFS(BD!$X$3:$X$5001,BD!$B$3:$B$5001,J$171,BD!$A$3:$A$5001,_xlfn.MAXIFS(BD!$A$3:$A$5001,BD!$B$3:$B$5001,J$171,BD!$A$3:$A$5001,"&gt;="&amp;$C$7,BD!$A$3:$A$5001,"&lt;="&amp;$B201,BD!$X$3:$X$5001,"&lt;&gt;"))))</f>
        <v/>
      </c>
      <c r="K201" s="43" t="str">
        <f>IF(OR($B201="",$A201&gt;$B$9,K$171=""),"",IF(COUNTIFS(BD!$B$3:$B$5001,K$171,BD!$A$3:$A$5001,"&gt;="&amp;$C$7,BD!$A$3:$A$5001,"&lt;="&amp;$B201,BD!$X$3:$X$5001,"&lt;&gt;")=0,"",SUMIFS(BD!$X$3:$X$5001,BD!$B$3:$B$5001,K$171,BD!$A$3:$A$5001,_xlfn.MAXIFS(BD!$A$3:$A$5001,BD!$B$3:$B$5001,K$171,BD!$A$3:$A$5001,"&gt;="&amp;$C$7,BD!$A$3:$A$5001,"&lt;="&amp;$B201,BD!$X$3:$X$5001,"&lt;&gt;"))))</f>
        <v/>
      </c>
      <c r="L201" s="43" t="str">
        <f>IF(OR($B201="",$A201&gt;$B$9,L$171=""),"",IF(COUNTIFS(BD!$B$3:$B$5001,L$171,BD!$A$3:$A$5001,"&gt;="&amp;$C$7,BD!$A$3:$A$5001,"&lt;="&amp;$B201,BD!$X$3:$X$5001,"&lt;&gt;")=0,"",SUMIFS(BD!$X$3:$X$5001,BD!$B$3:$B$5001,L$171,BD!$A$3:$A$5001,_xlfn.MAXIFS(BD!$A$3:$A$5001,BD!$B$3:$B$5001,L$171,BD!$A$3:$A$5001,"&gt;="&amp;$C$7,BD!$A$3:$A$5001,"&lt;="&amp;$B201,BD!$X$3:$X$5001,"&lt;&gt;"))))</f>
        <v/>
      </c>
      <c r="M201" s="43" t="str">
        <f>IF(OR($B201="",$A201&gt;$B$9,M$171=""),"",IF(COUNTIFS(BD!$B$3:$B$5001,M$171,BD!$A$3:$A$5001,"&gt;="&amp;$C$7,BD!$A$3:$A$5001,"&lt;="&amp;$B201,BD!$X$3:$X$5001,"&lt;&gt;")=0,"",SUMIFS(BD!$X$3:$X$5001,BD!$B$3:$B$5001,M$171,BD!$A$3:$A$5001,_xlfn.MAXIFS(BD!$A$3:$A$5001,BD!$B$3:$B$5001,M$171,BD!$A$3:$A$5001,"&gt;="&amp;$C$7,BD!$A$3:$A$5001,"&lt;="&amp;$B201,BD!$X$3:$X$5001,"&lt;&gt;"))))</f>
        <v/>
      </c>
      <c r="N201" s="43" t="str">
        <f>IF(OR($B201="",$A201&gt;$B$9,N$171=""),"",IF(COUNTIFS(BD!$B$3:$B$5001,N$171,BD!$A$3:$A$5001,"&gt;="&amp;$C$7,BD!$A$3:$A$5001,"&lt;="&amp;$B201,BD!$X$3:$X$5001,"&lt;&gt;")=0,"",SUMIFS(BD!$X$3:$X$5001,BD!$B$3:$B$5001,N$171,BD!$A$3:$A$5001,_xlfn.MAXIFS(BD!$A$3:$A$5001,BD!$B$3:$B$5001,N$171,BD!$A$3:$A$5001,"&gt;="&amp;$C$7,BD!$A$3:$A$5001,"&lt;="&amp;$B201,BD!$X$3:$X$5001,"&lt;&gt;"))))</f>
        <v/>
      </c>
      <c r="O201" s="43" t="str">
        <f>IF(OR($B201="",$A201&gt;$B$9,O$171=""),"",IF(COUNTIFS(BD!$B$3:$B$5001,O$171,BD!$A$3:$A$5001,"&gt;="&amp;$C$7,BD!$A$3:$A$5001,"&lt;="&amp;$B201,BD!$X$3:$X$5001,"&lt;&gt;")=0,"",SUMIFS(BD!$X$3:$X$5001,BD!$B$3:$B$5001,O$171,BD!$A$3:$A$5001,_xlfn.MAXIFS(BD!$A$3:$A$5001,BD!$B$3:$B$5001,O$171,BD!$A$3:$A$5001,"&gt;="&amp;$C$7,BD!$A$3:$A$5001,"&lt;="&amp;$B201,BD!$X$3:$X$5001,"&lt;&gt;"))))</f>
        <v/>
      </c>
      <c r="P201" s="43" t="str">
        <f>IF(OR($B201="",$A201&gt;$B$9,P$171=""),"",IF(COUNTIFS(BD!$B$3:$B$5001,P$171,BD!$A$3:$A$5001,"&gt;="&amp;$C$7,BD!$A$3:$A$5001,"&lt;="&amp;$B201,BD!$X$3:$X$5001,"&lt;&gt;")=0,"",SUMIFS(BD!$X$3:$X$5001,BD!$B$3:$B$5001,P$171,BD!$A$3:$A$5001,_xlfn.MAXIFS(BD!$A$3:$A$5001,BD!$B$3:$B$5001,P$171,BD!$A$3:$A$5001,"&gt;="&amp;$C$7,BD!$A$3:$A$5001,"&lt;="&amp;$B201,BD!$X$3:$X$5001,"&lt;&gt;"))))</f>
        <v/>
      </c>
      <c r="Q201" s="43" t="str">
        <f>IF(OR($B201="",$A201&gt;$B$9,Q$171=""),"",IF(COUNTIFS(BD!$B$3:$B$5001,Q$171,BD!$A$3:$A$5001,"&gt;="&amp;$C$7,BD!$A$3:$A$5001,"&lt;="&amp;$B201,BD!$X$3:$X$5001,"&lt;&gt;")=0,"",SUMIFS(BD!$X$3:$X$5001,BD!$B$3:$B$5001,Q$171,BD!$A$3:$A$5001,_xlfn.MAXIFS(BD!$A$3:$A$5001,BD!$B$3:$B$5001,Q$171,BD!$A$3:$A$5001,"&gt;="&amp;$C$7,BD!$A$3:$A$5001,"&lt;="&amp;$B201,BD!$X$3:$X$5001,"&lt;&gt;"))))</f>
        <v/>
      </c>
      <c r="R201" s="43" t="str">
        <f>IF(OR($B201="",$A201&gt;$B$9,R$171=""),"",IF(COUNTIFS(BD!$B$3:$B$5001,R$171,BD!$A$3:$A$5001,"&gt;="&amp;$C$7,BD!$A$3:$A$5001,"&lt;="&amp;$B201,BD!$X$3:$X$5001,"&lt;&gt;")=0,"",SUMIFS(BD!$X$3:$X$5001,BD!$B$3:$B$5001,R$171,BD!$A$3:$A$5001,_xlfn.MAXIFS(BD!$A$3:$A$5001,BD!$B$3:$B$5001,R$171,BD!$A$3:$A$5001,"&gt;="&amp;$C$7,BD!$A$3:$A$5001,"&lt;="&amp;$B201,BD!$X$3:$X$5001,"&lt;&gt;"))))</f>
        <v/>
      </c>
      <c r="S201" s="43" t="str">
        <f>IF(OR($B201="",$A201&gt;$B$9,S$171=""),"",IF(COUNTIFS(BD!$B$3:$B$5001,S$171,BD!$A$3:$A$5001,"&gt;="&amp;$C$7,BD!$A$3:$A$5001,"&lt;="&amp;$B201,BD!$X$3:$X$5001,"&lt;&gt;")=0,"",SUMIFS(BD!$X$3:$X$5001,BD!$B$3:$B$5001,S$171,BD!$A$3:$A$5001,_xlfn.MAXIFS(BD!$A$3:$A$5001,BD!$B$3:$B$5001,S$171,BD!$A$3:$A$5001,"&gt;="&amp;$C$7,BD!$A$3:$A$5001,"&lt;="&amp;$B201,BD!$X$3:$X$5001,"&lt;&gt;"))))</f>
        <v/>
      </c>
      <c r="T201" s="43" t="str">
        <f>IF(OR($B201="",$A201&gt;$B$9,T$171=""),"",IF(COUNTIFS(BD!$B$3:$B$5001,T$171,BD!$A$3:$A$5001,"&gt;="&amp;$C$7,BD!$A$3:$A$5001,"&lt;="&amp;$B201,BD!$X$3:$X$5001,"&lt;&gt;")=0,"",SUMIFS(BD!$X$3:$X$5001,BD!$B$3:$B$5001,T$171,BD!$A$3:$A$5001,_xlfn.MAXIFS(BD!$A$3:$A$5001,BD!$B$3:$B$5001,T$171,BD!$A$3:$A$5001,"&gt;="&amp;$C$7,BD!$A$3:$A$5001,"&lt;="&amp;$B201,BD!$X$3:$X$5001,"&lt;&gt;"))))</f>
        <v/>
      </c>
      <c r="U201" s="43" t="str">
        <f>IF(OR($B201="",$A201&gt;$B$9,U$171=""),"",IF(COUNTIFS(BD!$B$3:$B$5001,U$171,BD!$A$3:$A$5001,"&gt;="&amp;$C$7,BD!$A$3:$A$5001,"&lt;="&amp;$B201,BD!$X$3:$X$5001,"&lt;&gt;")=0,"",SUMIFS(BD!$X$3:$X$5001,BD!$B$3:$B$5001,U$171,BD!$A$3:$A$5001,_xlfn.MAXIFS(BD!$A$3:$A$5001,BD!$B$3:$B$5001,U$171,BD!$A$3:$A$5001,"&gt;="&amp;$C$7,BD!$A$3:$A$5001,"&lt;="&amp;$B201,BD!$X$3:$X$5001,"&lt;&gt;"))))</f>
        <v/>
      </c>
      <c r="V201" s="43" t="str">
        <f>IF(OR($B201="",$A201&gt;$B$9,V$171=""),"",IF(COUNTIFS(BD!$B$3:$B$5001,V$171,BD!$A$3:$A$5001,"&gt;="&amp;$C$7,BD!$A$3:$A$5001,"&lt;="&amp;$B201,BD!$X$3:$X$5001,"&lt;&gt;")=0,"",SUMIFS(BD!$X$3:$X$5001,BD!$B$3:$B$5001,V$171,BD!$A$3:$A$5001,_xlfn.MAXIFS(BD!$A$3:$A$5001,BD!$B$3:$B$5001,V$171,BD!$A$3:$A$5001,"&gt;="&amp;$C$7,BD!$A$3:$A$5001,"&lt;="&amp;$B201,BD!$X$3:$X$5001,"&lt;&gt;"))))</f>
        <v/>
      </c>
    </row>
    <row r="202">
      <c r="A202" s="38">
        <v>31</v>
      </c>
      <c r="B202" s="42">
        <f>$B$42</f>
        <v>46326</v>
      </c>
      <c r="C202" s="43" t="str">
        <f>IF(OR($B202="",$A202&gt;$B$9,C$171=""),"",IF(COUNTIFS(BD!$B$3:$B$5001,C$171,BD!$A$3:$A$5001,"&gt;="&amp;$C$7,BD!$A$3:$A$5001,"&lt;="&amp;$B202,BD!$X$3:$X$5001,"&lt;&gt;")=0,"",SUMIFS(BD!$X$3:$X$5001,BD!$B$3:$B$5001,C$171,BD!$A$3:$A$5001,_xlfn.MAXIFS(BD!$A$3:$A$5001,BD!$B$3:$B$5001,C$171,BD!$A$3:$A$5001,"&gt;="&amp;$C$7,BD!$A$3:$A$5001,"&lt;="&amp;$B202,BD!$X$3:$X$5001,"&lt;&gt;"))))</f>
        <v/>
      </c>
      <c r="D202" s="43" t="str">
        <f>IF(OR($B202="",$A202&gt;$B$9,D$171=""),"",IF(COUNTIFS(BD!$B$3:$B$5001,D$171,BD!$A$3:$A$5001,"&gt;="&amp;$C$7,BD!$A$3:$A$5001,"&lt;="&amp;$B202,BD!$X$3:$X$5001,"&lt;&gt;")=0,"",SUMIFS(BD!$X$3:$X$5001,BD!$B$3:$B$5001,D$171,BD!$A$3:$A$5001,_xlfn.MAXIFS(BD!$A$3:$A$5001,BD!$B$3:$B$5001,D$171,BD!$A$3:$A$5001,"&gt;="&amp;$C$7,BD!$A$3:$A$5001,"&lt;="&amp;$B202,BD!$X$3:$X$5001,"&lt;&gt;"))))</f>
        <v/>
      </c>
      <c r="E202" s="43" t="str">
        <f>IF(OR($B202="",$A202&gt;$B$9,E$171=""),"",IF(COUNTIFS(BD!$B$3:$B$5001,E$171,BD!$A$3:$A$5001,"&gt;="&amp;$C$7,BD!$A$3:$A$5001,"&lt;="&amp;$B202,BD!$X$3:$X$5001,"&lt;&gt;")=0,"",SUMIFS(BD!$X$3:$X$5001,BD!$B$3:$B$5001,E$171,BD!$A$3:$A$5001,_xlfn.MAXIFS(BD!$A$3:$A$5001,BD!$B$3:$B$5001,E$171,BD!$A$3:$A$5001,"&gt;="&amp;$C$7,BD!$A$3:$A$5001,"&lt;="&amp;$B202,BD!$X$3:$X$5001,"&lt;&gt;"))))</f>
        <v/>
      </c>
      <c r="F202" s="43" t="str">
        <f>IF(OR($B202="",$A202&gt;$B$9,F$171=""),"",IF(COUNTIFS(BD!$B$3:$B$5001,F$171,BD!$A$3:$A$5001,"&gt;="&amp;$C$7,BD!$A$3:$A$5001,"&lt;="&amp;$B202,BD!$X$3:$X$5001,"&lt;&gt;")=0,"",SUMIFS(BD!$X$3:$X$5001,BD!$B$3:$B$5001,F$171,BD!$A$3:$A$5001,_xlfn.MAXIFS(BD!$A$3:$A$5001,BD!$B$3:$B$5001,F$171,BD!$A$3:$A$5001,"&gt;="&amp;$C$7,BD!$A$3:$A$5001,"&lt;="&amp;$B202,BD!$X$3:$X$5001,"&lt;&gt;"))))</f>
        <v/>
      </c>
      <c r="G202" s="43" t="str">
        <f>IF(OR($B202="",$A202&gt;$B$9,G$171=""),"",IF(COUNTIFS(BD!$B$3:$B$5001,G$171,BD!$A$3:$A$5001,"&gt;="&amp;$C$7,BD!$A$3:$A$5001,"&lt;="&amp;$B202,BD!$X$3:$X$5001,"&lt;&gt;")=0,"",SUMIFS(BD!$X$3:$X$5001,BD!$B$3:$B$5001,G$171,BD!$A$3:$A$5001,_xlfn.MAXIFS(BD!$A$3:$A$5001,BD!$B$3:$B$5001,G$171,BD!$A$3:$A$5001,"&gt;="&amp;$C$7,BD!$A$3:$A$5001,"&lt;="&amp;$B202,BD!$X$3:$X$5001,"&lt;&gt;"))))</f>
        <v/>
      </c>
      <c r="H202" s="43" t="str">
        <f>IF(OR($B202="",$A202&gt;$B$9,H$171=""),"",IF(COUNTIFS(BD!$B$3:$B$5001,H$171,BD!$A$3:$A$5001,"&gt;="&amp;$C$7,BD!$A$3:$A$5001,"&lt;="&amp;$B202,BD!$X$3:$X$5001,"&lt;&gt;")=0,"",SUMIFS(BD!$X$3:$X$5001,BD!$B$3:$B$5001,H$171,BD!$A$3:$A$5001,_xlfn.MAXIFS(BD!$A$3:$A$5001,BD!$B$3:$B$5001,H$171,BD!$A$3:$A$5001,"&gt;="&amp;$C$7,BD!$A$3:$A$5001,"&lt;="&amp;$B202,BD!$X$3:$X$5001,"&lt;&gt;"))))</f>
        <v/>
      </c>
      <c r="I202" s="43" t="str">
        <f>IF(OR($B202="",$A202&gt;$B$9,I$171=""),"",IF(COUNTIFS(BD!$B$3:$B$5001,I$171,BD!$A$3:$A$5001,"&gt;="&amp;$C$7,BD!$A$3:$A$5001,"&lt;="&amp;$B202,BD!$X$3:$X$5001,"&lt;&gt;")=0,"",SUMIFS(BD!$X$3:$X$5001,BD!$B$3:$B$5001,I$171,BD!$A$3:$A$5001,_xlfn.MAXIFS(BD!$A$3:$A$5001,BD!$B$3:$B$5001,I$171,BD!$A$3:$A$5001,"&gt;="&amp;$C$7,BD!$A$3:$A$5001,"&lt;="&amp;$B202,BD!$X$3:$X$5001,"&lt;&gt;"))))</f>
        <v/>
      </c>
      <c r="J202" s="43" t="str">
        <f>IF(OR($B202="",$A202&gt;$B$9,J$171=""),"",IF(COUNTIFS(BD!$B$3:$B$5001,J$171,BD!$A$3:$A$5001,"&gt;="&amp;$C$7,BD!$A$3:$A$5001,"&lt;="&amp;$B202,BD!$X$3:$X$5001,"&lt;&gt;")=0,"",SUMIFS(BD!$X$3:$X$5001,BD!$B$3:$B$5001,J$171,BD!$A$3:$A$5001,_xlfn.MAXIFS(BD!$A$3:$A$5001,BD!$B$3:$B$5001,J$171,BD!$A$3:$A$5001,"&gt;="&amp;$C$7,BD!$A$3:$A$5001,"&lt;="&amp;$B202,BD!$X$3:$X$5001,"&lt;&gt;"))))</f>
        <v/>
      </c>
      <c r="K202" s="43" t="str">
        <f>IF(OR($B202="",$A202&gt;$B$9,K$171=""),"",IF(COUNTIFS(BD!$B$3:$B$5001,K$171,BD!$A$3:$A$5001,"&gt;="&amp;$C$7,BD!$A$3:$A$5001,"&lt;="&amp;$B202,BD!$X$3:$X$5001,"&lt;&gt;")=0,"",SUMIFS(BD!$X$3:$X$5001,BD!$B$3:$B$5001,K$171,BD!$A$3:$A$5001,_xlfn.MAXIFS(BD!$A$3:$A$5001,BD!$B$3:$B$5001,K$171,BD!$A$3:$A$5001,"&gt;="&amp;$C$7,BD!$A$3:$A$5001,"&lt;="&amp;$B202,BD!$X$3:$X$5001,"&lt;&gt;"))))</f>
        <v/>
      </c>
      <c r="L202" s="43" t="str">
        <f>IF(OR($B202="",$A202&gt;$B$9,L$171=""),"",IF(COUNTIFS(BD!$B$3:$B$5001,L$171,BD!$A$3:$A$5001,"&gt;="&amp;$C$7,BD!$A$3:$A$5001,"&lt;="&amp;$B202,BD!$X$3:$X$5001,"&lt;&gt;")=0,"",SUMIFS(BD!$X$3:$X$5001,BD!$B$3:$B$5001,L$171,BD!$A$3:$A$5001,_xlfn.MAXIFS(BD!$A$3:$A$5001,BD!$B$3:$B$5001,L$171,BD!$A$3:$A$5001,"&gt;="&amp;$C$7,BD!$A$3:$A$5001,"&lt;="&amp;$B202,BD!$X$3:$X$5001,"&lt;&gt;"))))</f>
        <v/>
      </c>
      <c r="M202" s="43" t="str">
        <f>IF(OR($B202="",$A202&gt;$B$9,M$171=""),"",IF(COUNTIFS(BD!$B$3:$B$5001,M$171,BD!$A$3:$A$5001,"&gt;="&amp;$C$7,BD!$A$3:$A$5001,"&lt;="&amp;$B202,BD!$X$3:$X$5001,"&lt;&gt;")=0,"",SUMIFS(BD!$X$3:$X$5001,BD!$B$3:$B$5001,M$171,BD!$A$3:$A$5001,_xlfn.MAXIFS(BD!$A$3:$A$5001,BD!$B$3:$B$5001,M$171,BD!$A$3:$A$5001,"&gt;="&amp;$C$7,BD!$A$3:$A$5001,"&lt;="&amp;$B202,BD!$X$3:$X$5001,"&lt;&gt;"))))</f>
        <v/>
      </c>
      <c r="N202" s="43" t="str">
        <f>IF(OR($B202="",$A202&gt;$B$9,N$171=""),"",IF(COUNTIFS(BD!$B$3:$B$5001,N$171,BD!$A$3:$A$5001,"&gt;="&amp;$C$7,BD!$A$3:$A$5001,"&lt;="&amp;$B202,BD!$X$3:$X$5001,"&lt;&gt;")=0,"",SUMIFS(BD!$X$3:$X$5001,BD!$B$3:$B$5001,N$171,BD!$A$3:$A$5001,_xlfn.MAXIFS(BD!$A$3:$A$5001,BD!$B$3:$B$5001,N$171,BD!$A$3:$A$5001,"&gt;="&amp;$C$7,BD!$A$3:$A$5001,"&lt;="&amp;$B202,BD!$X$3:$X$5001,"&lt;&gt;"))))</f>
        <v/>
      </c>
      <c r="O202" s="43" t="str">
        <f>IF(OR($B202="",$A202&gt;$B$9,O$171=""),"",IF(COUNTIFS(BD!$B$3:$B$5001,O$171,BD!$A$3:$A$5001,"&gt;="&amp;$C$7,BD!$A$3:$A$5001,"&lt;="&amp;$B202,BD!$X$3:$X$5001,"&lt;&gt;")=0,"",SUMIFS(BD!$X$3:$X$5001,BD!$B$3:$B$5001,O$171,BD!$A$3:$A$5001,_xlfn.MAXIFS(BD!$A$3:$A$5001,BD!$B$3:$B$5001,O$171,BD!$A$3:$A$5001,"&gt;="&amp;$C$7,BD!$A$3:$A$5001,"&lt;="&amp;$B202,BD!$X$3:$X$5001,"&lt;&gt;"))))</f>
        <v/>
      </c>
      <c r="P202" s="43" t="str">
        <f>IF(OR($B202="",$A202&gt;$B$9,P$171=""),"",IF(COUNTIFS(BD!$B$3:$B$5001,P$171,BD!$A$3:$A$5001,"&gt;="&amp;$C$7,BD!$A$3:$A$5001,"&lt;="&amp;$B202,BD!$X$3:$X$5001,"&lt;&gt;")=0,"",SUMIFS(BD!$X$3:$X$5001,BD!$B$3:$B$5001,P$171,BD!$A$3:$A$5001,_xlfn.MAXIFS(BD!$A$3:$A$5001,BD!$B$3:$B$5001,P$171,BD!$A$3:$A$5001,"&gt;="&amp;$C$7,BD!$A$3:$A$5001,"&lt;="&amp;$B202,BD!$X$3:$X$5001,"&lt;&gt;"))))</f>
        <v/>
      </c>
      <c r="Q202" s="43" t="str">
        <f>IF(OR($B202="",$A202&gt;$B$9,Q$171=""),"",IF(COUNTIFS(BD!$B$3:$B$5001,Q$171,BD!$A$3:$A$5001,"&gt;="&amp;$C$7,BD!$A$3:$A$5001,"&lt;="&amp;$B202,BD!$X$3:$X$5001,"&lt;&gt;")=0,"",SUMIFS(BD!$X$3:$X$5001,BD!$B$3:$B$5001,Q$171,BD!$A$3:$A$5001,_xlfn.MAXIFS(BD!$A$3:$A$5001,BD!$B$3:$B$5001,Q$171,BD!$A$3:$A$5001,"&gt;="&amp;$C$7,BD!$A$3:$A$5001,"&lt;="&amp;$B202,BD!$X$3:$X$5001,"&lt;&gt;"))))</f>
        <v/>
      </c>
      <c r="R202" s="43" t="str">
        <f>IF(OR($B202="",$A202&gt;$B$9,R$171=""),"",IF(COUNTIFS(BD!$B$3:$B$5001,R$171,BD!$A$3:$A$5001,"&gt;="&amp;$C$7,BD!$A$3:$A$5001,"&lt;="&amp;$B202,BD!$X$3:$X$5001,"&lt;&gt;")=0,"",SUMIFS(BD!$X$3:$X$5001,BD!$B$3:$B$5001,R$171,BD!$A$3:$A$5001,_xlfn.MAXIFS(BD!$A$3:$A$5001,BD!$B$3:$B$5001,R$171,BD!$A$3:$A$5001,"&gt;="&amp;$C$7,BD!$A$3:$A$5001,"&lt;="&amp;$B202,BD!$X$3:$X$5001,"&lt;&gt;"))))</f>
        <v/>
      </c>
      <c r="S202" s="43" t="str">
        <f>IF(OR($B202="",$A202&gt;$B$9,S$171=""),"",IF(COUNTIFS(BD!$B$3:$B$5001,S$171,BD!$A$3:$A$5001,"&gt;="&amp;$C$7,BD!$A$3:$A$5001,"&lt;="&amp;$B202,BD!$X$3:$X$5001,"&lt;&gt;")=0,"",SUMIFS(BD!$X$3:$X$5001,BD!$B$3:$B$5001,S$171,BD!$A$3:$A$5001,_xlfn.MAXIFS(BD!$A$3:$A$5001,BD!$B$3:$B$5001,S$171,BD!$A$3:$A$5001,"&gt;="&amp;$C$7,BD!$A$3:$A$5001,"&lt;="&amp;$B202,BD!$X$3:$X$5001,"&lt;&gt;"))))</f>
        <v/>
      </c>
      <c r="T202" s="43" t="str">
        <f>IF(OR($B202="",$A202&gt;$B$9,T$171=""),"",IF(COUNTIFS(BD!$B$3:$B$5001,T$171,BD!$A$3:$A$5001,"&gt;="&amp;$C$7,BD!$A$3:$A$5001,"&lt;="&amp;$B202,BD!$X$3:$X$5001,"&lt;&gt;")=0,"",SUMIFS(BD!$X$3:$X$5001,BD!$B$3:$B$5001,T$171,BD!$A$3:$A$5001,_xlfn.MAXIFS(BD!$A$3:$A$5001,BD!$B$3:$B$5001,T$171,BD!$A$3:$A$5001,"&gt;="&amp;$C$7,BD!$A$3:$A$5001,"&lt;="&amp;$B202,BD!$X$3:$X$5001,"&lt;&gt;"))))</f>
        <v/>
      </c>
      <c r="U202" s="43" t="str">
        <f>IF(OR($B202="",$A202&gt;$B$9,U$171=""),"",IF(COUNTIFS(BD!$B$3:$B$5001,U$171,BD!$A$3:$A$5001,"&gt;="&amp;$C$7,BD!$A$3:$A$5001,"&lt;="&amp;$B202,BD!$X$3:$X$5001,"&lt;&gt;")=0,"",SUMIFS(BD!$X$3:$X$5001,BD!$B$3:$B$5001,U$171,BD!$A$3:$A$5001,_xlfn.MAXIFS(BD!$A$3:$A$5001,BD!$B$3:$B$5001,U$171,BD!$A$3:$A$5001,"&gt;="&amp;$C$7,BD!$A$3:$A$5001,"&lt;="&amp;$B202,BD!$X$3:$X$5001,"&lt;&gt;"))))</f>
        <v/>
      </c>
      <c r="V202" s="43" t="str">
        <f>IF(OR($B202="",$A202&gt;$B$9,V$171=""),"",IF(COUNTIFS(BD!$B$3:$B$5001,V$171,BD!$A$3:$A$5001,"&gt;="&amp;$C$7,BD!$A$3:$A$5001,"&lt;="&amp;$B202,BD!$X$3:$X$5001,"&lt;&gt;")=0,"",SUMIFS(BD!$X$3:$X$5001,BD!$B$3:$B$5001,V$171,BD!$A$3:$A$5001,_xlfn.MAXIFS(BD!$A$3:$A$5001,BD!$B$3:$B$5001,V$171,BD!$A$3:$A$5001,"&gt;="&amp;$C$7,BD!$A$3:$A$5001,"&lt;="&amp;$B202,BD!$X$3:$X$5001,"&lt;&gt;"))))</f>
        <v/>
      </c>
    </row>
    <row r="203">
      <c r="A203" s="44" t="inlineStr">
        <is>
          <t xml:space="preserve">Mês anterior (último)</t>
        </is>
      </c>
      <c r="C203" s="45" t="str">
        <f>IF(C$171="","",IF(COUNTIFS(BD!$B$3:$B$5001,C$171,BD!$A$3:$A$5001,"&gt;="&amp;$C$8,BD!$A$3:$A$5001,"&lt;="&amp;$D$8,BD!$X$3:$X$5001,"&lt;&gt;")=0,"",SUMIFS(BD!$X$3:$X$5001,BD!$B$3:$B$5001,C$171,BD!$A$3:$A$5001,_xlfn.MAXIFS(BD!$A$3:$A$5001,BD!$B$3:$B$5001,C$171,BD!$A$3:$A$5001,"&gt;="&amp;$C$8,BD!$A$3:$A$5001,"&lt;="&amp;$D$8,BD!$X$3:$X$5001,"&lt;&gt;"))))</f>
        <v/>
      </c>
      <c r="D203" s="45" t="str">
        <f>IF(D$171="","",IF(COUNTIFS(BD!$B$3:$B$5001,D$171,BD!$A$3:$A$5001,"&gt;="&amp;$C$8,BD!$A$3:$A$5001,"&lt;="&amp;$D$8,BD!$X$3:$X$5001,"&lt;&gt;")=0,"",SUMIFS(BD!$X$3:$X$5001,BD!$B$3:$B$5001,D$171,BD!$A$3:$A$5001,_xlfn.MAXIFS(BD!$A$3:$A$5001,BD!$B$3:$B$5001,D$171,BD!$A$3:$A$5001,"&gt;="&amp;$C$8,BD!$A$3:$A$5001,"&lt;="&amp;$D$8,BD!$X$3:$X$5001,"&lt;&gt;"))))</f>
        <v/>
      </c>
      <c r="E203" s="45" t="str">
        <f>IF(E$171="","",IF(COUNTIFS(BD!$B$3:$B$5001,E$171,BD!$A$3:$A$5001,"&gt;="&amp;$C$8,BD!$A$3:$A$5001,"&lt;="&amp;$D$8,BD!$X$3:$X$5001,"&lt;&gt;")=0,"",SUMIFS(BD!$X$3:$X$5001,BD!$B$3:$B$5001,E$171,BD!$A$3:$A$5001,_xlfn.MAXIFS(BD!$A$3:$A$5001,BD!$B$3:$B$5001,E$171,BD!$A$3:$A$5001,"&gt;="&amp;$C$8,BD!$A$3:$A$5001,"&lt;="&amp;$D$8,BD!$X$3:$X$5001,"&lt;&gt;"))))</f>
        <v/>
      </c>
      <c r="F203" s="45" t="str">
        <f>IF(F$171="","",IF(COUNTIFS(BD!$B$3:$B$5001,F$171,BD!$A$3:$A$5001,"&gt;="&amp;$C$8,BD!$A$3:$A$5001,"&lt;="&amp;$D$8,BD!$X$3:$X$5001,"&lt;&gt;")=0,"",SUMIFS(BD!$X$3:$X$5001,BD!$B$3:$B$5001,F$171,BD!$A$3:$A$5001,_xlfn.MAXIFS(BD!$A$3:$A$5001,BD!$B$3:$B$5001,F$171,BD!$A$3:$A$5001,"&gt;="&amp;$C$8,BD!$A$3:$A$5001,"&lt;="&amp;$D$8,BD!$X$3:$X$5001,"&lt;&gt;"))))</f>
        <v/>
      </c>
      <c r="G203" s="45" t="str">
        <f>IF(G$171="","",IF(COUNTIFS(BD!$B$3:$B$5001,G$171,BD!$A$3:$A$5001,"&gt;="&amp;$C$8,BD!$A$3:$A$5001,"&lt;="&amp;$D$8,BD!$X$3:$X$5001,"&lt;&gt;")=0,"",SUMIFS(BD!$X$3:$X$5001,BD!$B$3:$B$5001,G$171,BD!$A$3:$A$5001,_xlfn.MAXIFS(BD!$A$3:$A$5001,BD!$B$3:$B$5001,G$171,BD!$A$3:$A$5001,"&gt;="&amp;$C$8,BD!$A$3:$A$5001,"&lt;="&amp;$D$8,BD!$X$3:$X$5001,"&lt;&gt;"))))</f>
        <v/>
      </c>
      <c r="H203" s="45" t="str">
        <f>IF(H$171="","",IF(COUNTIFS(BD!$B$3:$B$5001,H$171,BD!$A$3:$A$5001,"&gt;="&amp;$C$8,BD!$A$3:$A$5001,"&lt;="&amp;$D$8,BD!$X$3:$X$5001,"&lt;&gt;")=0,"",SUMIFS(BD!$X$3:$X$5001,BD!$B$3:$B$5001,H$171,BD!$A$3:$A$5001,_xlfn.MAXIFS(BD!$A$3:$A$5001,BD!$B$3:$B$5001,H$171,BD!$A$3:$A$5001,"&gt;="&amp;$C$8,BD!$A$3:$A$5001,"&lt;="&amp;$D$8,BD!$X$3:$X$5001,"&lt;&gt;"))))</f>
        <v/>
      </c>
      <c r="I203" s="45" t="str">
        <f>IF(I$171="","",IF(COUNTIFS(BD!$B$3:$B$5001,I$171,BD!$A$3:$A$5001,"&gt;="&amp;$C$8,BD!$A$3:$A$5001,"&lt;="&amp;$D$8,BD!$X$3:$X$5001,"&lt;&gt;")=0,"",SUMIFS(BD!$X$3:$X$5001,BD!$B$3:$B$5001,I$171,BD!$A$3:$A$5001,_xlfn.MAXIFS(BD!$A$3:$A$5001,BD!$B$3:$B$5001,I$171,BD!$A$3:$A$5001,"&gt;="&amp;$C$8,BD!$A$3:$A$5001,"&lt;="&amp;$D$8,BD!$X$3:$X$5001,"&lt;&gt;"))))</f>
        <v/>
      </c>
      <c r="J203" s="45" t="str">
        <f>IF(J$171="","",IF(COUNTIFS(BD!$B$3:$B$5001,J$171,BD!$A$3:$A$5001,"&gt;="&amp;$C$8,BD!$A$3:$A$5001,"&lt;="&amp;$D$8,BD!$X$3:$X$5001,"&lt;&gt;")=0,"",SUMIFS(BD!$X$3:$X$5001,BD!$B$3:$B$5001,J$171,BD!$A$3:$A$5001,_xlfn.MAXIFS(BD!$A$3:$A$5001,BD!$B$3:$B$5001,J$171,BD!$A$3:$A$5001,"&gt;="&amp;$C$8,BD!$A$3:$A$5001,"&lt;="&amp;$D$8,BD!$X$3:$X$5001,"&lt;&gt;"))))</f>
        <v/>
      </c>
      <c r="K203" s="45" t="str">
        <f>IF(K$171="","",IF(COUNTIFS(BD!$B$3:$B$5001,K$171,BD!$A$3:$A$5001,"&gt;="&amp;$C$8,BD!$A$3:$A$5001,"&lt;="&amp;$D$8,BD!$X$3:$X$5001,"&lt;&gt;")=0,"",SUMIFS(BD!$X$3:$X$5001,BD!$B$3:$B$5001,K$171,BD!$A$3:$A$5001,_xlfn.MAXIFS(BD!$A$3:$A$5001,BD!$B$3:$B$5001,K$171,BD!$A$3:$A$5001,"&gt;="&amp;$C$8,BD!$A$3:$A$5001,"&lt;="&amp;$D$8,BD!$X$3:$X$5001,"&lt;&gt;"))))</f>
        <v/>
      </c>
      <c r="L203" s="45" t="str">
        <f>IF(L$171="","",IF(COUNTIFS(BD!$B$3:$B$5001,L$171,BD!$A$3:$A$5001,"&gt;="&amp;$C$8,BD!$A$3:$A$5001,"&lt;="&amp;$D$8,BD!$X$3:$X$5001,"&lt;&gt;")=0,"",SUMIFS(BD!$X$3:$X$5001,BD!$B$3:$B$5001,L$171,BD!$A$3:$A$5001,_xlfn.MAXIFS(BD!$A$3:$A$5001,BD!$B$3:$B$5001,L$171,BD!$A$3:$A$5001,"&gt;="&amp;$C$8,BD!$A$3:$A$5001,"&lt;="&amp;$D$8,BD!$X$3:$X$5001,"&lt;&gt;"))))</f>
        <v/>
      </c>
      <c r="M203" s="45" t="str">
        <f>IF(M$171="","",IF(COUNTIFS(BD!$B$3:$B$5001,M$171,BD!$A$3:$A$5001,"&gt;="&amp;$C$8,BD!$A$3:$A$5001,"&lt;="&amp;$D$8,BD!$X$3:$X$5001,"&lt;&gt;")=0,"",SUMIFS(BD!$X$3:$X$5001,BD!$B$3:$B$5001,M$171,BD!$A$3:$A$5001,_xlfn.MAXIFS(BD!$A$3:$A$5001,BD!$B$3:$B$5001,M$171,BD!$A$3:$A$5001,"&gt;="&amp;$C$8,BD!$A$3:$A$5001,"&lt;="&amp;$D$8,BD!$X$3:$X$5001,"&lt;&gt;"))))</f>
        <v/>
      </c>
      <c r="N203" s="45" t="str">
        <f>IF(N$171="","",IF(COUNTIFS(BD!$B$3:$B$5001,N$171,BD!$A$3:$A$5001,"&gt;="&amp;$C$8,BD!$A$3:$A$5001,"&lt;="&amp;$D$8,BD!$X$3:$X$5001,"&lt;&gt;")=0,"",SUMIFS(BD!$X$3:$X$5001,BD!$B$3:$B$5001,N$171,BD!$A$3:$A$5001,_xlfn.MAXIFS(BD!$A$3:$A$5001,BD!$B$3:$B$5001,N$171,BD!$A$3:$A$5001,"&gt;="&amp;$C$8,BD!$A$3:$A$5001,"&lt;="&amp;$D$8,BD!$X$3:$X$5001,"&lt;&gt;"))))</f>
        <v/>
      </c>
      <c r="O203" s="45" t="str">
        <f>IF(O$171="","",IF(COUNTIFS(BD!$B$3:$B$5001,O$171,BD!$A$3:$A$5001,"&gt;="&amp;$C$8,BD!$A$3:$A$5001,"&lt;="&amp;$D$8,BD!$X$3:$X$5001,"&lt;&gt;")=0,"",SUMIFS(BD!$X$3:$X$5001,BD!$B$3:$B$5001,O$171,BD!$A$3:$A$5001,_xlfn.MAXIFS(BD!$A$3:$A$5001,BD!$B$3:$B$5001,O$171,BD!$A$3:$A$5001,"&gt;="&amp;$C$8,BD!$A$3:$A$5001,"&lt;="&amp;$D$8,BD!$X$3:$X$5001,"&lt;&gt;"))))</f>
        <v/>
      </c>
      <c r="P203" s="45" t="str">
        <f>IF(P$171="","",IF(COUNTIFS(BD!$B$3:$B$5001,P$171,BD!$A$3:$A$5001,"&gt;="&amp;$C$8,BD!$A$3:$A$5001,"&lt;="&amp;$D$8,BD!$X$3:$X$5001,"&lt;&gt;")=0,"",SUMIFS(BD!$X$3:$X$5001,BD!$B$3:$B$5001,P$171,BD!$A$3:$A$5001,_xlfn.MAXIFS(BD!$A$3:$A$5001,BD!$B$3:$B$5001,P$171,BD!$A$3:$A$5001,"&gt;="&amp;$C$8,BD!$A$3:$A$5001,"&lt;="&amp;$D$8,BD!$X$3:$X$5001,"&lt;&gt;"))))</f>
        <v/>
      </c>
      <c r="Q203" s="45" t="str">
        <f>IF(Q$171="","",IF(COUNTIFS(BD!$B$3:$B$5001,Q$171,BD!$A$3:$A$5001,"&gt;="&amp;$C$8,BD!$A$3:$A$5001,"&lt;="&amp;$D$8,BD!$X$3:$X$5001,"&lt;&gt;")=0,"",SUMIFS(BD!$X$3:$X$5001,BD!$B$3:$B$5001,Q$171,BD!$A$3:$A$5001,_xlfn.MAXIFS(BD!$A$3:$A$5001,BD!$B$3:$B$5001,Q$171,BD!$A$3:$A$5001,"&gt;="&amp;$C$8,BD!$A$3:$A$5001,"&lt;="&amp;$D$8,BD!$X$3:$X$5001,"&lt;&gt;"))))</f>
        <v/>
      </c>
      <c r="R203" s="45" t="str">
        <f>IF(R$171="","",IF(COUNTIFS(BD!$B$3:$B$5001,R$171,BD!$A$3:$A$5001,"&gt;="&amp;$C$8,BD!$A$3:$A$5001,"&lt;="&amp;$D$8,BD!$X$3:$X$5001,"&lt;&gt;")=0,"",SUMIFS(BD!$X$3:$X$5001,BD!$B$3:$B$5001,R$171,BD!$A$3:$A$5001,_xlfn.MAXIFS(BD!$A$3:$A$5001,BD!$B$3:$B$5001,R$171,BD!$A$3:$A$5001,"&gt;="&amp;$C$8,BD!$A$3:$A$5001,"&lt;="&amp;$D$8,BD!$X$3:$X$5001,"&lt;&gt;"))))</f>
        <v/>
      </c>
      <c r="S203" s="45" t="str">
        <f>IF(S$171="","",IF(COUNTIFS(BD!$B$3:$B$5001,S$171,BD!$A$3:$A$5001,"&gt;="&amp;$C$8,BD!$A$3:$A$5001,"&lt;="&amp;$D$8,BD!$X$3:$X$5001,"&lt;&gt;")=0,"",SUMIFS(BD!$X$3:$X$5001,BD!$B$3:$B$5001,S$171,BD!$A$3:$A$5001,_xlfn.MAXIFS(BD!$A$3:$A$5001,BD!$B$3:$B$5001,S$171,BD!$A$3:$A$5001,"&gt;="&amp;$C$8,BD!$A$3:$A$5001,"&lt;="&amp;$D$8,BD!$X$3:$X$5001,"&lt;&gt;"))))</f>
        <v/>
      </c>
      <c r="T203" s="45" t="str">
        <f>IF(T$171="","",IF(COUNTIFS(BD!$B$3:$B$5001,T$171,BD!$A$3:$A$5001,"&gt;="&amp;$C$8,BD!$A$3:$A$5001,"&lt;="&amp;$D$8,BD!$X$3:$X$5001,"&lt;&gt;")=0,"",SUMIFS(BD!$X$3:$X$5001,BD!$B$3:$B$5001,T$171,BD!$A$3:$A$5001,_xlfn.MAXIFS(BD!$A$3:$A$5001,BD!$B$3:$B$5001,T$171,BD!$A$3:$A$5001,"&gt;="&amp;$C$8,BD!$A$3:$A$5001,"&lt;="&amp;$D$8,BD!$X$3:$X$5001,"&lt;&gt;"))))</f>
        <v/>
      </c>
      <c r="U203" s="45" t="str">
        <f>IF(U$171="","",IF(COUNTIFS(BD!$B$3:$B$5001,U$171,BD!$A$3:$A$5001,"&gt;="&amp;$C$8,BD!$A$3:$A$5001,"&lt;="&amp;$D$8,BD!$X$3:$X$5001,"&lt;&gt;")=0,"",SUMIFS(BD!$X$3:$X$5001,BD!$B$3:$B$5001,U$171,BD!$A$3:$A$5001,_xlfn.MAXIFS(BD!$A$3:$A$5001,BD!$B$3:$B$5001,U$171,BD!$A$3:$A$5001,"&gt;="&amp;$C$8,BD!$A$3:$A$5001,"&lt;="&amp;$D$8,BD!$X$3:$X$5001,"&lt;&gt;"))))</f>
        <v/>
      </c>
      <c r="V203" s="45" t="str">
        <f>IF(V$171="","",IF(COUNTIFS(BD!$B$3:$B$5001,V$171,BD!$A$3:$A$5001,"&gt;="&amp;$C$8,BD!$A$3:$A$5001,"&lt;="&amp;$D$8,BD!$X$3:$X$5001,"&lt;&gt;")=0,"",SUMIFS(BD!$X$3:$X$5001,BD!$B$3:$B$5001,V$171,BD!$A$3:$A$5001,_xlfn.MAXIFS(BD!$A$3:$A$5001,BD!$B$3:$B$5001,V$171,BD!$A$3:$A$5001,"&gt;="&amp;$C$8,BD!$A$3:$A$5001,"&lt;="&amp;$D$8,BD!$X$3:$X$5001,"&lt;&gt;"))))</f>
        <v/>
      </c>
    </row>
    <row r="204">
      <c r="A204" s="44" t="inlineStr">
        <is>
          <t xml:space="preserve">Depósito</t>
        </is>
      </c>
      <c r="C204" s="38" t="str">
        <f>IF(Config!$C$10="","TPC",Config!$C$10)</f>
        <v>TPC</v>
      </c>
      <c r="D204" s="38" t="str">
        <f>IF(Config!$C$11="","TPC",Config!$C$11)</f>
        <v>TPC</v>
      </c>
      <c r="E204" s="38" t="str">
        <f>IF(Config!$C$12="","TPC",Config!$C$12)</f>
        <v>TPC</v>
      </c>
      <c r="F204" s="38" t="str">
        <f>IF(Config!$C$13="","TPC",Config!$C$13)</f>
        <v>TPC</v>
      </c>
      <c r="G204" s="38" t="str">
        <f>IF(Config!$C$14="","TPC",Config!$C$14)</f>
        <v>TPC</v>
      </c>
      <c r="H204" s="38" t="str">
        <f>IF(Config!$C$15="","TPC",Config!$C$15)</f>
        <v>TPC</v>
      </c>
      <c r="I204" s="38" t="str">
        <f>IF(Config!$C$16="","TPC",Config!$C$16)</f>
        <v>TPC</v>
      </c>
      <c r="J204" s="38" t="str">
        <f>IF(Config!$C$17="","TPC",Config!$C$17)</f>
        <v>TPC</v>
      </c>
      <c r="K204" s="38" t="str">
        <f>IF(Config!$C$18="","TPC",Config!$C$18)</f>
        <v>TPC</v>
      </c>
      <c r="L204" s="38" t="str">
        <f>IF(Config!$C$19="","TPC",Config!$C$19)</f>
        <v>TPC</v>
      </c>
      <c r="M204" s="38" t="str">
        <f>IF(Config!$C$20="","TPC",Config!$C$20)</f>
        <v>TPC</v>
      </c>
      <c r="N204" s="38" t="str">
        <f>IF(Config!$C$21="","TPC",Config!$C$21)</f>
        <v>TPC</v>
      </c>
      <c r="O204" s="38" t="str">
        <f>IF(Config!$C$22="","TPC",Config!$C$22)</f>
        <v>TPC</v>
      </c>
      <c r="P204" s="38" t="str">
        <f>IF(Config!$C$23="","TPC",Config!$C$23)</f>
        <v>TPC</v>
      </c>
      <c r="Q204" s="38" t="str">
        <f>IF(Config!$C$24="","TPC",Config!$C$24)</f>
        <v>TPC</v>
      </c>
      <c r="R204" s="38" t="str">
        <f>IF(Config!$C$25="","TPC",Config!$C$25)</f>
        <v>TPC</v>
      </c>
      <c r="S204" s="38" t="str">
        <f>IF(Config!$C$26="","TPC",Config!$C$26)</f>
        <v>TPC</v>
      </c>
      <c r="T204" s="38" t="str">
        <f>IF(Config!$C$27="","TPC",Config!$C$27)</f>
        <v>TPC</v>
      </c>
      <c r="U204" s="38" t="str">
        <f>IF(Config!$C$28="","TPC",Config!$C$28)</f>
        <v>TPC</v>
      </c>
      <c r="V204" s="38" t="str">
        <f>IF(Config!$C$29="","TPC",Config!$C$29)</f>
        <v>TPC</v>
      </c>
    </row>
    <row r="206">
      <c r="A206" s="37" t="inlineStr">
        <is>
          <t xml:space="preserve">Posições Disponíveis</t>
        </is>
      </c>
      <c r="B206" s="37" t="inlineStr">
        <is>
          <t xml:space="preserve">Data</t>
        </is>
      </c>
      <c r="C206" s="37" t="str">
        <f>Config!$B$10&amp;""</f>
        <v>Alpargatas</v>
      </c>
      <c r="D206" s="37" t="str">
        <f>Config!$B$11&amp;""</f>
        <v>Basf</v>
      </c>
      <c r="E206" s="37" t="str">
        <f>Config!$B$12&amp;""</f>
        <v>Beautybiz</v>
      </c>
      <c r="F206" s="37" t="str">
        <f>Config!$B$13&amp;""</f>
        <v>Boticário</v>
      </c>
      <c r="G206" s="37" t="str">
        <f>Config!$B$14&amp;""</f>
        <v>Confiance</v>
      </c>
      <c r="H206" s="37" t="str">
        <f>Config!$B$15&amp;""</f>
        <v>GE Vernova</v>
      </c>
      <c r="I206" s="37" t="str">
        <f>Config!$B$16&amp;""</f>
        <v>Omnilife</v>
      </c>
      <c r="J206" s="37" t="str">
        <f>Config!$B$17&amp;""</f>
        <v>Supply</v>
      </c>
      <c r="K206" s="37" t="str">
        <f>Config!$B$18&amp;""</f>
        <v>Vedacit</v>
      </c>
      <c r="L206" s="37" t="str">
        <f>Config!$B$19&amp;""</f>
        <v>Vestas</v>
      </c>
      <c r="M206" s="37" t="str">
        <f>Config!$B$20&amp;""</f>
        <v/>
      </c>
      <c r="N206" s="37" t="str">
        <f>Config!$B$21&amp;""</f>
        <v/>
      </c>
      <c r="O206" s="37" t="str">
        <f>Config!$B$22&amp;""</f>
        <v/>
      </c>
      <c r="P206" s="37" t="str">
        <f>Config!$B$23&amp;""</f>
        <v/>
      </c>
      <c r="Q206" s="37" t="str">
        <f>Config!$B$24&amp;""</f>
        <v/>
      </c>
      <c r="R206" s="37" t="str">
        <f>Config!$B$25&amp;""</f>
        <v/>
      </c>
      <c r="S206" s="37" t="str">
        <f>Config!$B$26&amp;""</f>
        <v/>
      </c>
      <c r="T206" s="37" t="str">
        <f>Config!$B$27&amp;""</f>
        <v/>
      </c>
      <c r="U206" s="37" t="str">
        <f>Config!$B$28&amp;""</f>
        <v/>
      </c>
      <c r="V206" s="37" t="str">
        <f>Config!$B$29&amp;""</f>
        <v/>
      </c>
    </row>
    <row r="207">
      <c r="A207" s="38">
        <v>1</v>
      </c>
      <c r="B207" s="42">
        <f>$B$12</f>
        <v>46296</v>
      </c>
      <c r="C207" s="43" t="str">
        <f>IF(OR($B207="",$A207&gt;$B$9,C$206=""),"",IF(COUNTIFS(BD!$B$3:$B$5001,C$206,BD!$A$3:$A$5001,"&gt;="&amp;$C$7,BD!$A$3:$A$5001,"&lt;="&amp;$B207,BD!$W$3:$W$5001,"&lt;&gt;")=0,"",SUMIFS(BD!$W$3:$W$5001,BD!$B$3:$B$5001,C$206,BD!$A$3:$A$5001,_xlfn.MAXIFS(BD!$A$3:$A$5001,BD!$B$3:$B$5001,C$206,BD!$A$3:$A$5001,"&gt;="&amp;$C$7,BD!$A$3:$A$5001,"&lt;="&amp;$B207,BD!$W$3:$W$5001,"&lt;&gt;"))))</f>
        <v/>
      </c>
      <c r="D207" s="43" t="str">
        <f>IF(OR($B207="",$A207&gt;$B$9,D$206=""),"",IF(COUNTIFS(BD!$B$3:$B$5001,D$206,BD!$A$3:$A$5001,"&gt;="&amp;$C$7,BD!$A$3:$A$5001,"&lt;="&amp;$B207,BD!$W$3:$W$5001,"&lt;&gt;")=0,"",SUMIFS(BD!$W$3:$W$5001,BD!$B$3:$B$5001,D$206,BD!$A$3:$A$5001,_xlfn.MAXIFS(BD!$A$3:$A$5001,BD!$B$3:$B$5001,D$206,BD!$A$3:$A$5001,"&gt;="&amp;$C$7,BD!$A$3:$A$5001,"&lt;="&amp;$B207,BD!$W$3:$W$5001,"&lt;&gt;"))))</f>
        <v/>
      </c>
      <c r="E207" s="43" t="str">
        <f>IF(OR($B207="",$A207&gt;$B$9,E$206=""),"",IF(COUNTIFS(BD!$B$3:$B$5001,E$206,BD!$A$3:$A$5001,"&gt;="&amp;$C$7,BD!$A$3:$A$5001,"&lt;="&amp;$B207,BD!$W$3:$W$5001,"&lt;&gt;")=0,"",SUMIFS(BD!$W$3:$W$5001,BD!$B$3:$B$5001,E$206,BD!$A$3:$A$5001,_xlfn.MAXIFS(BD!$A$3:$A$5001,BD!$B$3:$B$5001,E$206,BD!$A$3:$A$5001,"&gt;="&amp;$C$7,BD!$A$3:$A$5001,"&lt;="&amp;$B207,BD!$W$3:$W$5001,"&lt;&gt;"))))</f>
        <v/>
      </c>
      <c r="F207" s="43" t="str">
        <f>IF(OR($B207="",$A207&gt;$B$9,F$206=""),"",IF(COUNTIFS(BD!$B$3:$B$5001,F$206,BD!$A$3:$A$5001,"&gt;="&amp;$C$7,BD!$A$3:$A$5001,"&lt;="&amp;$B207,BD!$W$3:$W$5001,"&lt;&gt;")=0,"",SUMIFS(BD!$W$3:$W$5001,BD!$B$3:$B$5001,F$206,BD!$A$3:$A$5001,_xlfn.MAXIFS(BD!$A$3:$A$5001,BD!$B$3:$B$5001,F$206,BD!$A$3:$A$5001,"&gt;="&amp;$C$7,BD!$A$3:$A$5001,"&lt;="&amp;$B207,BD!$W$3:$W$5001,"&lt;&gt;"))))</f>
        <v/>
      </c>
      <c r="G207" s="43" t="str">
        <f>IF(OR($B207="",$A207&gt;$B$9,G$206=""),"",IF(COUNTIFS(BD!$B$3:$B$5001,G$206,BD!$A$3:$A$5001,"&gt;="&amp;$C$7,BD!$A$3:$A$5001,"&lt;="&amp;$B207,BD!$W$3:$W$5001,"&lt;&gt;")=0,"",SUMIFS(BD!$W$3:$W$5001,BD!$B$3:$B$5001,G$206,BD!$A$3:$A$5001,_xlfn.MAXIFS(BD!$A$3:$A$5001,BD!$B$3:$B$5001,G$206,BD!$A$3:$A$5001,"&gt;="&amp;$C$7,BD!$A$3:$A$5001,"&lt;="&amp;$B207,BD!$W$3:$W$5001,"&lt;&gt;"))))</f>
        <v/>
      </c>
      <c r="H207" s="43" t="str">
        <f>IF(OR($B207="",$A207&gt;$B$9,H$206=""),"",IF(COUNTIFS(BD!$B$3:$B$5001,H$206,BD!$A$3:$A$5001,"&gt;="&amp;$C$7,BD!$A$3:$A$5001,"&lt;="&amp;$B207,BD!$W$3:$W$5001,"&lt;&gt;")=0,"",SUMIFS(BD!$W$3:$W$5001,BD!$B$3:$B$5001,H$206,BD!$A$3:$A$5001,_xlfn.MAXIFS(BD!$A$3:$A$5001,BD!$B$3:$B$5001,H$206,BD!$A$3:$A$5001,"&gt;="&amp;$C$7,BD!$A$3:$A$5001,"&lt;="&amp;$B207,BD!$W$3:$W$5001,"&lt;&gt;"))))</f>
        <v/>
      </c>
      <c r="I207" s="43" t="str">
        <f>IF(OR($B207="",$A207&gt;$B$9,I$206=""),"",IF(COUNTIFS(BD!$B$3:$B$5001,I$206,BD!$A$3:$A$5001,"&gt;="&amp;$C$7,BD!$A$3:$A$5001,"&lt;="&amp;$B207,BD!$W$3:$W$5001,"&lt;&gt;")=0,"",SUMIFS(BD!$W$3:$W$5001,BD!$B$3:$B$5001,I$206,BD!$A$3:$A$5001,_xlfn.MAXIFS(BD!$A$3:$A$5001,BD!$B$3:$B$5001,I$206,BD!$A$3:$A$5001,"&gt;="&amp;$C$7,BD!$A$3:$A$5001,"&lt;="&amp;$B207,BD!$W$3:$W$5001,"&lt;&gt;"))))</f>
        <v/>
      </c>
      <c r="J207" s="43" t="str">
        <f>IF(OR($B207="",$A207&gt;$B$9,J$206=""),"",IF(COUNTIFS(BD!$B$3:$B$5001,J$206,BD!$A$3:$A$5001,"&gt;="&amp;$C$7,BD!$A$3:$A$5001,"&lt;="&amp;$B207,BD!$W$3:$W$5001,"&lt;&gt;")=0,"",SUMIFS(BD!$W$3:$W$5001,BD!$B$3:$B$5001,J$206,BD!$A$3:$A$5001,_xlfn.MAXIFS(BD!$A$3:$A$5001,BD!$B$3:$B$5001,J$206,BD!$A$3:$A$5001,"&gt;="&amp;$C$7,BD!$A$3:$A$5001,"&lt;="&amp;$B207,BD!$W$3:$W$5001,"&lt;&gt;"))))</f>
        <v/>
      </c>
      <c r="K207" s="43" t="str">
        <f>IF(OR($B207="",$A207&gt;$B$9,K$206=""),"",IF(COUNTIFS(BD!$B$3:$B$5001,K$206,BD!$A$3:$A$5001,"&gt;="&amp;$C$7,BD!$A$3:$A$5001,"&lt;="&amp;$B207,BD!$W$3:$W$5001,"&lt;&gt;")=0,"",SUMIFS(BD!$W$3:$W$5001,BD!$B$3:$B$5001,K$206,BD!$A$3:$A$5001,_xlfn.MAXIFS(BD!$A$3:$A$5001,BD!$B$3:$B$5001,K$206,BD!$A$3:$A$5001,"&gt;="&amp;$C$7,BD!$A$3:$A$5001,"&lt;="&amp;$B207,BD!$W$3:$W$5001,"&lt;&gt;"))))</f>
        <v/>
      </c>
      <c r="L207" s="43" t="str">
        <f>IF(OR($B207="",$A207&gt;$B$9,L$206=""),"",IF(COUNTIFS(BD!$B$3:$B$5001,L$206,BD!$A$3:$A$5001,"&gt;="&amp;$C$7,BD!$A$3:$A$5001,"&lt;="&amp;$B207,BD!$W$3:$W$5001,"&lt;&gt;")=0,"",SUMIFS(BD!$W$3:$W$5001,BD!$B$3:$B$5001,L$206,BD!$A$3:$A$5001,_xlfn.MAXIFS(BD!$A$3:$A$5001,BD!$B$3:$B$5001,L$206,BD!$A$3:$A$5001,"&gt;="&amp;$C$7,BD!$A$3:$A$5001,"&lt;="&amp;$B207,BD!$W$3:$W$5001,"&lt;&gt;"))))</f>
        <v/>
      </c>
      <c r="M207" s="43" t="str">
        <f>IF(OR($B207="",$A207&gt;$B$9,M$206=""),"",IF(COUNTIFS(BD!$B$3:$B$5001,M$206,BD!$A$3:$A$5001,"&gt;="&amp;$C$7,BD!$A$3:$A$5001,"&lt;="&amp;$B207,BD!$W$3:$W$5001,"&lt;&gt;")=0,"",SUMIFS(BD!$W$3:$W$5001,BD!$B$3:$B$5001,M$206,BD!$A$3:$A$5001,_xlfn.MAXIFS(BD!$A$3:$A$5001,BD!$B$3:$B$5001,M$206,BD!$A$3:$A$5001,"&gt;="&amp;$C$7,BD!$A$3:$A$5001,"&lt;="&amp;$B207,BD!$W$3:$W$5001,"&lt;&gt;"))))</f>
        <v/>
      </c>
      <c r="N207" s="43" t="str">
        <f>IF(OR($B207="",$A207&gt;$B$9,N$206=""),"",IF(COUNTIFS(BD!$B$3:$B$5001,N$206,BD!$A$3:$A$5001,"&gt;="&amp;$C$7,BD!$A$3:$A$5001,"&lt;="&amp;$B207,BD!$W$3:$W$5001,"&lt;&gt;")=0,"",SUMIFS(BD!$W$3:$W$5001,BD!$B$3:$B$5001,N$206,BD!$A$3:$A$5001,_xlfn.MAXIFS(BD!$A$3:$A$5001,BD!$B$3:$B$5001,N$206,BD!$A$3:$A$5001,"&gt;="&amp;$C$7,BD!$A$3:$A$5001,"&lt;="&amp;$B207,BD!$W$3:$W$5001,"&lt;&gt;"))))</f>
        <v/>
      </c>
      <c r="O207" s="43" t="str">
        <f>IF(OR($B207="",$A207&gt;$B$9,O$206=""),"",IF(COUNTIFS(BD!$B$3:$B$5001,O$206,BD!$A$3:$A$5001,"&gt;="&amp;$C$7,BD!$A$3:$A$5001,"&lt;="&amp;$B207,BD!$W$3:$W$5001,"&lt;&gt;")=0,"",SUMIFS(BD!$W$3:$W$5001,BD!$B$3:$B$5001,O$206,BD!$A$3:$A$5001,_xlfn.MAXIFS(BD!$A$3:$A$5001,BD!$B$3:$B$5001,O$206,BD!$A$3:$A$5001,"&gt;="&amp;$C$7,BD!$A$3:$A$5001,"&lt;="&amp;$B207,BD!$W$3:$W$5001,"&lt;&gt;"))))</f>
        <v/>
      </c>
      <c r="P207" s="43" t="str">
        <f>IF(OR($B207="",$A207&gt;$B$9,P$206=""),"",IF(COUNTIFS(BD!$B$3:$B$5001,P$206,BD!$A$3:$A$5001,"&gt;="&amp;$C$7,BD!$A$3:$A$5001,"&lt;="&amp;$B207,BD!$W$3:$W$5001,"&lt;&gt;")=0,"",SUMIFS(BD!$W$3:$W$5001,BD!$B$3:$B$5001,P$206,BD!$A$3:$A$5001,_xlfn.MAXIFS(BD!$A$3:$A$5001,BD!$B$3:$B$5001,P$206,BD!$A$3:$A$5001,"&gt;="&amp;$C$7,BD!$A$3:$A$5001,"&lt;="&amp;$B207,BD!$W$3:$W$5001,"&lt;&gt;"))))</f>
        <v/>
      </c>
      <c r="Q207" s="43" t="str">
        <f>IF(OR($B207="",$A207&gt;$B$9,Q$206=""),"",IF(COUNTIFS(BD!$B$3:$B$5001,Q$206,BD!$A$3:$A$5001,"&gt;="&amp;$C$7,BD!$A$3:$A$5001,"&lt;="&amp;$B207,BD!$W$3:$W$5001,"&lt;&gt;")=0,"",SUMIFS(BD!$W$3:$W$5001,BD!$B$3:$B$5001,Q$206,BD!$A$3:$A$5001,_xlfn.MAXIFS(BD!$A$3:$A$5001,BD!$B$3:$B$5001,Q$206,BD!$A$3:$A$5001,"&gt;="&amp;$C$7,BD!$A$3:$A$5001,"&lt;="&amp;$B207,BD!$W$3:$W$5001,"&lt;&gt;"))))</f>
        <v/>
      </c>
      <c r="R207" s="43" t="str">
        <f>IF(OR($B207="",$A207&gt;$B$9,R$206=""),"",IF(COUNTIFS(BD!$B$3:$B$5001,R$206,BD!$A$3:$A$5001,"&gt;="&amp;$C$7,BD!$A$3:$A$5001,"&lt;="&amp;$B207,BD!$W$3:$W$5001,"&lt;&gt;")=0,"",SUMIFS(BD!$W$3:$W$5001,BD!$B$3:$B$5001,R$206,BD!$A$3:$A$5001,_xlfn.MAXIFS(BD!$A$3:$A$5001,BD!$B$3:$B$5001,R$206,BD!$A$3:$A$5001,"&gt;="&amp;$C$7,BD!$A$3:$A$5001,"&lt;="&amp;$B207,BD!$W$3:$W$5001,"&lt;&gt;"))))</f>
        <v/>
      </c>
      <c r="S207" s="43" t="str">
        <f>IF(OR($B207="",$A207&gt;$B$9,S$206=""),"",IF(COUNTIFS(BD!$B$3:$B$5001,S$206,BD!$A$3:$A$5001,"&gt;="&amp;$C$7,BD!$A$3:$A$5001,"&lt;="&amp;$B207,BD!$W$3:$W$5001,"&lt;&gt;")=0,"",SUMIFS(BD!$W$3:$W$5001,BD!$B$3:$B$5001,S$206,BD!$A$3:$A$5001,_xlfn.MAXIFS(BD!$A$3:$A$5001,BD!$B$3:$B$5001,S$206,BD!$A$3:$A$5001,"&gt;="&amp;$C$7,BD!$A$3:$A$5001,"&lt;="&amp;$B207,BD!$W$3:$W$5001,"&lt;&gt;"))))</f>
        <v/>
      </c>
      <c r="T207" s="43" t="str">
        <f>IF(OR($B207="",$A207&gt;$B$9,T$206=""),"",IF(COUNTIFS(BD!$B$3:$B$5001,T$206,BD!$A$3:$A$5001,"&gt;="&amp;$C$7,BD!$A$3:$A$5001,"&lt;="&amp;$B207,BD!$W$3:$W$5001,"&lt;&gt;")=0,"",SUMIFS(BD!$W$3:$W$5001,BD!$B$3:$B$5001,T$206,BD!$A$3:$A$5001,_xlfn.MAXIFS(BD!$A$3:$A$5001,BD!$B$3:$B$5001,T$206,BD!$A$3:$A$5001,"&gt;="&amp;$C$7,BD!$A$3:$A$5001,"&lt;="&amp;$B207,BD!$W$3:$W$5001,"&lt;&gt;"))))</f>
        <v/>
      </c>
      <c r="U207" s="43" t="str">
        <f>IF(OR($B207="",$A207&gt;$B$9,U$206=""),"",IF(COUNTIFS(BD!$B$3:$B$5001,U$206,BD!$A$3:$A$5001,"&gt;="&amp;$C$7,BD!$A$3:$A$5001,"&lt;="&amp;$B207,BD!$W$3:$W$5001,"&lt;&gt;")=0,"",SUMIFS(BD!$W$3:$W$5001,BD!$B$3:$B$5001,U$206,BD!$A$3:$A$5001,_xlfn.MAXIFS(BD!$A$3:$A$5001,BD!$B$3:$B$5001,U$206,BD!$A$3:$A$5001,"&gt;="&amp;$C$7,BD!$A$3:$A$5001,"&lt;="&amp;$B207,BD!$W$3:$W$5001,"&lt;&gt;"))))</f>
        <v/>
      </c>
      <c r="V207" s="43" t="str">
        <f>IF(OR($B207="",$A207&gt;$B$9,V$206=""),"",IF(COUNTIFS(BD!$B$3:$B$5001,V$206,BD!$A$3:$A$5001,"&gt;="&amp;$C$7,BD!$A$3:$A$5001,"&lt;="&amp;$B207,BD!$W$3:$W$5001,"&lt;&gt;")=0,"",SUMIFS(BD!$W$3:$W$5001,BD!$B$3:$B$5001,V$206,BD!$A$3:$A$5001,_xlfn.MAXIFS(BD!$A$3:$A$5001,BD!$B$3:$B$5001,V$206,BD!$A$3:$A$5001,"&gt;="&amp;$C$7,BD!$A$3:$A$5001,"&lt;="&amp;$B207,BD!$W$3:$W$5001,"&lt;&gt;"))))</f>
        <v/>
      </c>
    </row>
    <row r="208">
      <c r="A208" s="38">
        <v>2</v>
      </c>
      <c r="B208" s="42">
        <f>$B$13</f>
        <v>46297</v>
      </c>
      <c r="C208" s="43" t="str">
        <f>IF(OR($B208="",$A208&gt;$B$9,C$206=""),"",IF(COUNTIFS(BD!$B$3:$B$5001,C$206,BD!$A$3:$A$5001,"&gt;="&amp;$C$7,BD!$A$3:$A$5001,"&lt;="&amp;$B208,BD!$W$3:$W$5001,"&lt;&gt;")=0,"",SUMIFS(BD!$W$3:$W$5001,BD!$B$3:$B$5001,C$206,BD!$A$3:$A$5001,_xlfn.MAXIFS(BD!$A$3:$A$5001,BD!$B$3:$B$5001,C$206,BD!$A$3:$A$5001,"&gt;="&amp;$C$7,BD!$A$3:$A$5001,"&lt;="&amp;$B208,BD!$W$3:$W$5001,"&lt;&gt;"))))</f>
        <v/>
      </c>
      <c r="D208" s="43" t="str">
        <f>IF(OR($B208="",$A208&gt;$B$9,D$206=""),"",IF(COUNTIFS(BD!$B$3:$B$5001,D$206,BD!$A$3:$A$5001,"&gt;="&amp;$C$7,BD!$A$3:$A$5001,"&lt;="&amp;$B208,BD!$W$3:$W$5001,"&lt;&gt;")=0,"",SUMIFS(BD!$W$3:$W$5001,BD!$B$3:$B$5001,D$206,BD!$A$3:$A$5001,_xlfn.MAXIFS(BD!$A$3:$A$5001,BD!$B$3:$B$5001,D$206,BD!$A$3:$A$5001,"&gt;="&amp;$C$7,BD!$A$3:$A$5001,"&lt;="&amp;$B208,BD!$W$3:$W$5001,"&lt;&gt;"))))</f>
        <v/>
      </c>
      <c r="E208" s="43" t="str">
        <f>IF(OR($B208="",$A208&gt;$B$9,E$206=""),"",IF(COUNTIFS(BD!$B$3:$B$5001,E$206,BD!$A$3:$A$5001,"&gt;="&amp;$C$7,BD!$A$3:$A$5001,"&lt;="&amp;$B208,BD!$W$3:$W$5001,"&lt;&gt;")=0,"",SUMIFS(BD!$W$3:$W$5001,BD!$B$3:$B$5001,E$206,BD!$A$3:$A$5001,_xlfn.MAXIFS(BD!$A$3:$A$5001,BD!$B$3:$B$5001,E$206,BD!$A$3:$A$5001,"&gt;="&amp;$C$7,BD!$A$3:$A$5001,"&lt;="&amp;$B208,BD!$W$3:$W$5001,"&lt;&gt;"))))</f>
        <v/>
      </c>
      <c r="F208" s="43" t="str">
        <f>IF(OR($B208="",$A208&gt;$B$9,F$206=""),"",IF(COUNTIFS(BD!$B$3:$B$5001,F$206,BD!$A$3:$A$5001,"&gt;="&amp;$C$7,BD!$A$3:$A$5001,"&lt;="&amp;$B208,BD!$W$3:$W$5001,"&lt;&gt;")=0,"",SUMIFS(BD!$W$3:$W$5001,BD!$B$3:$B$5001,F$206,BD!$A$3:$A$5001,_xlfn.MAXIFS(BD!$A$3:$A$5001,BD!$B$3:$B$5001,F$206,BD!$A$3:$A$5001,"&gt;="&amp;$C$7,BD!$A$3:$A$5001,"&lt;="&amp;$B208,BD!$W$3:$W$5001,"&lt;&gt;"))))</f>
        <v/>
      </c>
      <c r="G208" s="43" t="str">
        <f>IF(OR($B208="",$A208&gt;$B$9,G$206=""),"",IF(COUNTIFS(BD!$B$3:$B$5001,G$206,BD!$A$3:$A$5001,"&gt;="&amp;$C$7,BD!$A$3:$A$5001,"&lt;="&amp;$B208,BD!$W$3:$W$5001,"&lt;&gt;")=0,"",SUMIFS(BD!$W$3:$W$5001,BD!$B$3:$B$5001,G$206,BD!$A$3:$A$5001,_xlfn.MAXIFS(BD!$A$3:$A$5001,BD!$B$3:$B$5001,G$206,BD!$A$3:$A$5001,"&gt;="&amp;$C$7,BD!$A$3:$A$5001,"&lt;="&amp;$B208,BD!$W$3:$W$5001,"&lt;&gt;"))))</f>
        <v/>
      </c>
      <c r="H208" s="43" t="str">
        <f>IF(OR($B208="",$A208&gt;$B$9,H$206=""),"",IF(COUNTIFS(BD!$B$3:$B$5001,H$206,BD!$A$3:$A$5001,"&gt;="&amp;$C$7,BD!$A$3:$A$5001,"&lt;="&amp;$B208,BD!$W$3:$W$5001,"&lt;&gt;")=0,"",SUMIFS(BD!$W$3:$W$5001,BD!$B$3:$B$5001,H$206,BD!$A$3:$A$5001,_xlfn.MAXIFS(BD!$A$3:$A$5001,BD!$B$3:$B$5001,H$206,BD!$A$3:$A$5001,"&gt;="&amp;$C$7,BD!$A$3:$A$5001,"&lt;="&amp;$B208,BD!$W$3:$W$5001,"&lt;&gt;"))))</f>
        <v/>
      </c>
      <c r="I208" s="43" t="str">
        <f>IF(OR($B208="",$A208&gt;$B$9,I$206=""),"",IF(COUNTIFS(BD!$B$3:$B$5001,I$206,BD!$A$3:$A$5001,"&gt;="&amp;$C$7,BD!$A$3:$A$5001,"&lt;="&amp;$B208,BD!$W$3:$W$5001,"&lt;&gt;")=0,"",SUMIFS(BD!$W$3:$W$5001,BD!$B$3:$B$5001,I$206,BD!$A$3:$A$5001,_xlfn.MAXIFS(BD!$A$3:$A$5001,BD!$B$3:$B$5001,I$206,BD!$A$3:$A$5001,"&gt;="&amp;$C$7,BD!$A$3:$A$5001,"&lt;="&amp;$B208,BD!$W$3:$W$5001,"&lt;&gt;"))))</f>
        <v/>
      </c>
      <c r="J208" s="43" t="str">
        <f>IF(OR($B208="",$A208&gt;$B$9,J$206=""),"",IF(COUNTIFS(BD!$B$3:$B$5001,J$206,BD!$A$3:$A$5001,"&gt;="&amp;$C$7,BD!$A$3:$A$5001,"&lt;="&amp;$B208,BD!$W$3:$W$5001,"&lt;&gt;")=0,"",SUMIFS(BD!$W$3:$W$5001,BD!$B$3:$B$5001,J$206,BD!$A$3:$A$5001,_xlfn.MAXIFS(BD!$A$3:$A$5001,BD!$B$3:$B$5001,J$206,BD!$A$3:$A$5001,"&gt;="&amp;$C$7,BD!$A$3:$A$5001,"&lt;="&amp;$B208,BD!$W$3:$W$5001,"&lt;&gt;"))))</f>
        <v/>
      </c>
      <c r="K208" s="43" t="str">
        <f>IF(OR($B208="",$A208&gt;$B$9,K$206=""),"",IF(COUNTIFS(BD!$B$3:$B$5001,K$206,BD!$A$3:$A$5001,"&gt;="&amp;$C$7,BD!$A$3:$A$5001,"&lt;="&amp;$B208,BD!$W$3:$W$5001,"&lt;&gt;")=0,"",SUMIFS(BD!$W$3:$W$5001,BD!$B$3:$B$5001,K$206,BD!$A$3:$A$5001,_xlfn.MAXIFS(BD!$A$3:$A$5001,BD!$B$3:$B$5001,K$206,BD!$A$3:$A$5001,"&gt;="&amp;$C$7,BD!$A$3:$A$5001,"&lt;="&amp;$B208,BD!$W$3:$W$5001,"&lt;&gt;"))))</f>
        <v/>
      </c>
      <c r="L208" s="43" t="str">
        <f>IF(OR($B208="",$A208&gt;$B$9,L$206=""),"",IF(COUNTIFS(BD!$B$3:$B$5001,L$206,BD!$A$3:$A$5001,"&gt;="&amp;$C$7,BD!$A$3:$A$5001,"&lt;="&amp;$B208,BD!$W$3:$W$5001,"&lt;&gt;")=0,"",SUMIFS(BD!$W$3:$W$5001,BD!$B$3:$B$5001,L$206,BD!$A$3:$A$5001,_xlfn.MAXIFS(BD!$A$3:$A$5001,BD!$B$3:$B$5001,L$206,BD!$A$3:$A$5001,"&gt;="&amp;$C$7,BD!$A$3:$A$5001,"&lt;="&amp;$B208,BD!$W$3:$W$5001,"&lt;&gt;"))))</f>
        <v/>
      </c>
      <c r="M208" s="43" t="str">
        <f>IF(OR($B208="",$A208&gt;$B$9,M$206=""),"",IF(COUNTIFS(BD!$B$3:$B$5001,M$206,BD!$A$3:$A$5001,"&gt;="&amp;$C$7,BD!$A$3:$A$5001,"&lt;="&amp;$B208,BD!$W$3:$W$5001,"&lt;&gt;")=0,"",SUMIFS(BD!$W$3:$W$5001,BD!$B$3:$B$5001,M$206,BD!$A$3:$A$5001,_xlfn.MAXIFS(BD!$A$3:$A$5001,BD!$B$3:$B$5001,M$206,BD!$A$3:$A$5001,"&gt;="&amp;$C$7,BD!$A$3:$A$5001,"&lt;="&amp;$B208,BD!$W$3:$W$5001,"&lt;&gt;"))))</f>
        <v/>
      </c>
      <c r="N208" s="43" t="str">
        <f>IF(OR($B208="",$A208&gt;$B$9,N$206=""),"",IF(COUNTIFS(BD!$B$3:$B$5001,N$206,BD!$A$3:$A$5001,"&gt;="&amp;$C$7,BD!$A$3:$A$5001,"&lt;="&amp;$B208,BD!$W$3:$W$5001,"&lt;&gt;")=0,"",SUMIFS(BD!$W$3:$W$5001,BD!$B$3:$B$5001,N$206,BD!$A$3:$A$5001,_xlfn.MAXIFS(BD!$A$3:$A$5001,BD!$B$3:$B$5001,N$206,BD!$A$3:$A$5001,"&gt;="&amp;$C$7,BD!$A$3:$A$5001,"&lt;="&amp;$B208,BD!$W$3:$W$5001,"&lt;&gt;"))))</f>
        <v/>
      </c>
      <c r="O208" s="43" t="str">
        <f>IF(OR($B208="",$A208&gt;$B$9,O$206=""),"",IF(COUNTIFS(BD!$B$3:$B$5001,O$206,BD!$A$3:$A$5001,"&gt;="&amp;$C$7,BD!$A$3:$A$5001,"&lt;="&amp;$B208,BD!$W$3:$W$5001,"&lt;&gt;")=0,"",SUMIFS(BD!$W$3:$W$5001,BD!$B$3:$B$5001,O$206,BD!$A$3:$A$5001,_xlfn.MAXIFS(BD!$A$3:$A$5001,BD!$B$3:$B$5001,O$206,BD!$A$3:$A$5001,"&gt;="&amp;$C$7,BD!$A$3:$A$5001,"&lt;="&amp;$B208,BD!$W$3:$W$5001,"&lt;&gt;"))))</f>
        <v/>
      </c>
      <c r="P208" s="43" t="str">
        <f>IF(OR($B208="",$A208&gt;$B$9,P$206=""),"",IF(COUNTIFS(BD!$B$3:$B$5001,P$206,BD!$A$3:$A$5001,"&gt;="&amp;$C$7,BD!$A$3:$A$5001,"&lt;="&amp;$B208,BD!$W$3:$W$5001,"&lt;&gt;")=0,"",SUMIFS(BD!$W$3:$W$5001,BD!$B$3:$B$5001,P$206,BD!$A$3:$A$5001,_xlfn.MAXIFS(BD!$A$3:$A$5001,BD!$B$3:$B$5001,P$206,BD!$A$3:$A$5001,"&gt;="&amp;$C$7,BD!$A$3:$A$5001,"&lt;="&amp;$B208,BD!$W$3:$W$5001,"&lt;&gt;"))))</f>
        <v/>
      </c>
      <c r="Q208" s="43" t="str">
        <f>IF(OR($B208="",$A208&gt;$B$9,Q$206=""),"",IF(COUNTIFS(BD!$B$3:$B$5001,Q$206,BD!$A$3:$A$5001,"&gt;="&amp;$C$7,BD!$A$3:$A$5001,"&lt;="&amp;$B208,BD!$W$3:$W$5001,"&lt;&gt;")=0,"",SUMIFS(BD!$W$3:$W$5001,BD!$B$3:$B$5001,Q$206,BD!$A$3:$A$5001,_xlfn.MAXIFS(BD!$A$3:$A$5001,BD!$B$3:$B$5001,Q$206,BD!$A$3:$A$5001,"&gt;="&amp;$C$7,BD!$A$3:$A$5001,"&lt;="&amp;$B208,BD!$W$3:$W$5001,"&lt;&gt;"))))</f>
        <v/>
      </c>
      <c r="R208" s="43" t="str">
        <f>IF(OR($B208="",$A208&gt;$B$9,R$206=""),"",IF(COUNTIFS(BD!$B$3:$B$5001,R$206,BD!$A$3:$A$5001,"&gt;="&amp;$C$7,BD!$A$3:$A$5001,"&lt;="&amp;$B208,BD!$W$3:$W$5001,"&lt;&gt;")=0,"",SUMIFS(BD!$W$3:$W$5001,BD!$B$3:$B$5001,R$206,BD!$A$3:$A$5001,_xlfn.MAXIFS(BD!$A$3:$A$5001,BD!$B$3:$B$5001,R$206,BD!$A$3:$A$5001,"&gt;="&amp;$C$7,BD!$A$3:$A$5001,"&lt;="&amp;$B208,BD!$W$3:$W$5001,"&lt;&gt;"))))</f>
        <v/>
      </c>
      <c r="S208" s="43" t="str">
        <f>IF(OR($B208="",$A208&gt;$B$9,S$206=""),"",IF(COUNTIFS(BD!$B$3:$B$5001,S$206,BD!$A$3:$A$5001,"&gt;="&amp;$C$7,BD!$A$3:$A$5001,"&lt;="&amp;$B208,BD!$W$3:$W$5001,"&lt;&gt;")=0,"",SUMIFS(BD!$W$3:$W$5001,BD!$B$3:$B$5001,S$206,BD!$A$3:$A$5001,_xlfn.MAXIFS(BD!$A$3:$A$5001,BD!$B$3:$B$5001,S$206,BD!$A$3:$A$5001,"&gt;="&amp;$C$7,BD!$A$3:$A$5001,"&lt;="&amp;$B208,BD!$W$3:$W$5001,"&lt;&gt;"))))</f>
        <v/>
      </c>
      <c r="T208" s="43" t="str">
        <f>IF(OR($B208="",$A208&gt;$B$9,T$206=""),"",IF(COUNTIFS(BD!$B$3:$B$5001,T$206,BD!$A$3:$A$5001,"&gt;="&amp;$C$7,BD!$A$3:$A$5001,"&lt;="&amp;$B208,BD!$W$3:$W$5001,"&lt;&gt;")=0,"",SUMIFS(BD!$W$3:$W$5001,BD!$B$3:$B$5001,T$206,BD!$A$3:$A$5001,_xlfn.MAXIFS(BD!$A$3:$A$5001,BD!$B$3:$B$5001,T$206,BD!$A$3:$A$5001,"&gt;="&amp;$C$7,BD!$A$3:$A$5001,"&lt;="&amp;$B208,BD!$W$3:$W$5001,"&lt;&gt;"))))</f>
        <v/>
      </c>
      <c r="U208" s="43" t="str">
        <f>IF(OR($B208="",$A208&gt;$B$9,U$206=""),"",IF(COUNTIFS(BD!$B$3:$B$5001,U$206,BD!$A$3:$A$5001,"&gt;="&amp;$C$7,BD!$A$3:$A$5001,"&lt;="&amp;$B208,BD!$W$3:$W$5001,"&lt;&gt;")=0,"",SUMIFS(BD!$W$3:$W$5001,BD!$B$3:$B$5001,U$206,BD!$A$3:$A$5001,_xlfn.MAXIFS(BD!$A$3:$A$5001,BD!$B$3:$B$5001,U$206,BD!$A$3:$A$5001,"&gt;="&amp;$C$7,BD!$A$3:$A$5001,"&lt;="&amp;$B208,BD!$W$3:$W$5001,"&lt;&gt;"))))</f>
        <v/>
      </c>
      <c r="V208" s="43" t="str">
        <f>IF(OR($B208="",$A208&gt;$B$9,V$206=""),"",IF(COUNTIFS(BD!$B$3:$B$5001,V$206,BD!$A$3:$A$5001,"&gt;="&amp;$C$7,BD!$A$3:$A$5001,"&lt;="&amp;$B208,BD!$W$3:$W$5001,"&lt;&gt;")=0,"",SUMIFS(BD!$W$3:$W$5001,BD!$B$3:$B$5001,V$206,BD!$A$3:$A$5001,_xlfn.MAXIFS(BD!$A$3:$A$5001,BD!$B$3:$B$5001,V$206,BD!$A$3:$A$5001,"&gt;="&amp;$C$7,BD!$A$3:$A$5001,"&lt;="&amp;$B208,BD!$W$3:$W$5001,"&lt;&gt;"))))</f>
        <v/>
      </c>
    </row>
    <row r="209">
      <c r="A209" s="38">
        <v>3</v>
      </c>
      <c r="B209" s="42">
        <f>$B$14</f>
        <v>46298</v>
      </c>
      <c r="C209" s="43" t="str">
        <f>IF(OR($B209="",$A209&gt;$B$9,C$206=""),"",IF(COUNTIFS(BD!$B$3:$B$5001,C$206,BD!$A$3:$A$5001,"&gt;="&amp;$C$7,BD!$A$3:$A$5001,"&lt;="&amp;$B209,BD!$W$3:$W$5001,"&lt;&gt;")=0,"",SUMIFS(BD!$W$3:$W$5001,BD!$B$3:$B$5001,C$206,BD!$A$3:$A$5001,_xlfn.MAXIFS(BD!$A$3:$A$5001,BD!$B$3:$B$5001,C$206,BD!$A$3:$A$5001,"&gt;="&amp;$C$7,BD!$A$3:$A$5001,"&lt;="&amp;$B209,BD!$W$3:$W$5001,"&lt;&gt;"))))</f>
        <v/>
      </c>
      <c r="D209" s="43" t="str">
        <f>IF(OR($B209="",$A209&gt;$B$9,D$206=""),"",IF(COUNTIFS(BD!$B$3:$B$5001,D$206,BD!$A$3:$A$5001,"&gt;="&amp;$C$7,BD!$A$3:$A$5001,"&lt;="&amp;$B209,BD!$W$3:$W$5001,"&lt;&gt;")=0,"",SUMIFS(BD!$W$3:$W$5001,BD!$B$3:$B$5001,D$206,BD!$A$3:$A$5001,_xlfn.MAXIFS(BD!$A$3:$A$5001,BD!$B$3:$B$5001,D$206,BD!$A$3:$A$5001,"&gt;="&amp;$C$7,BD!$A$3:$A$5001,"&lt;="&amp;$B209,BD!$W$3:$W$5001,"&lt;&gt;"))))</f>
        <v/>
      </c>
      <c r="E209" s="43" t="str">
        <f>IF(OR($B209="",$A209&gt;$B$9,E$206=""),"",IF(COUNTIFS(BD!$B$3:$B$5001,E$206,BD!$A$3:$A$5001,"&gt;="&amp;$C$7,BD!$A$3:$A$5001,"&lt;="&amp;$B209,BD!$W$3:$W$5001,"&lt;&gt;")=0,"",SUMIFS(BD!$W$3:$W$5001,BD!$B$3:$B$5001,E$206,BD!$A$3:$A$5001,_xlfn.MAXIFS(BD!$A$3:$A$5001,BD!$B$3:$B$5001,E$206,BD!$A$3:$A$5001,"&gt;="&amp;$C$7,BD!$A$3:$A$5001,"&lt;="&amp;$B209,BD!$W$3:$W$5001,"&lt;&gt;"))))</f>
        <v/>
      </c>
      <c r="F209" s="43" t="str">
        <f>IF(OR($B209="",$A209&gt;$B$9,F$206=""),"",IF(COUNTIFS(BD!$B$3:$B$5001,F$206,BD!$A$3:$A$5001,"&gt;="&amp;$C$7,BD!$A$3:$A$5001,"&lt;="&amp;$B209,BD!$W$3:$W$5001,"&lt;&gt;")=0,"",SUMIFS(BD!$W$3:$W$5001,BD!$B$3:$B$5001,F$206,BD!$A$3:$A$5001,_xlfn.MAXIFS(BD!$A$3:$A$5001,BD!$B$3:$B$5001,F$206,BD!$A$3:$A$5001,"&gt;="&amp;$C$7,BD!$A$3:$A$5001,"&lt;="&amp;$B209,BD!$W$3:$W$5001,"&lt;&gt;"))))</f>
        <v/>
      </c>
      <c r="G209" s="43" t="str">
        <f>IF(OR($B209="",$A209&gt;$B$9,G$206=""),"",IF(COUNTIFS(BD!$B$3:$B$5001,G$206,BD!$A$3:$A$5001,"&gt;="&amp;$C$7,BD!$A$3:$A$5001,"&lt;="&amp;$B209,BD!$W$3:$W$5001,"&lt;&gt;")=0,"",SUMIFS(BD!$W$3:$W$5001,BD!$B$3:$B$5001,G$206,BD!$A$3:$A$5001,_xlfn.MAXIFS(BD!$A$3:$A$5001,BD!$B$3:$B$5001,G$206,BD!$A$3:$A$5001,"&gt;="&amp;$C$7,BD!$A$3:$A$5001,"&lt;="&amp;$B209,BD!$W$3:$W$5001,"&lt;&gt;"))))</f>
        <v/>
      </c>
      <c r="H209" s="43" t="str">
        <f>IF(OR($B209="",$A209&gt;$B$9,H$206=""),"",IF(COUNTIFS(BD!$B$3:$B$5001,H$206,BD!$A$3:$A$5001,"&gt;="&amp;$C$7,BD!$A$3:$A$5001,"&lt;="&amp;$B209,BD!$W$3:$W$5001,"&lt;&gt;")=0,"",SUMIFS(BD!$W$3:$W$5001,BD!$B$3:$B$5001,H$206,BD!$A$3:$A$5001,_xlfn.MAXIFS(BD!$A$3:$A$5001,BD!$B$3:$B$5001,H$206,BD!$A$3:$A$5001,"&gt;="&amp;$C$7,BD!$A$3:$A$5001,"&lt;="&amp;$B209,BD!$W$3:$W$5001,"&lt;&gt;"))))</f>
        <v/>
      </c>
      <c r="I209" s="43" t="str">
        <f>IF(OR($B209="",$A209&gt;$B$9,I$206=""),"",IF(COUNTIFS(BD!$B$3:$B$5001,I$206,BD!$A$3:$A$5001,"&gt;="&amp;$C$7,BD!$A$3:$A$5001,"&lt;="&amp;$B209,BD!$W$3:$W$5001,"&lt;&gt;")=0,"",SUMIFS(BD!$W$3:$W$5001,BD!$B$3:$B$5001,I$206,BD!$A$3:$A$5001,_xlfn.MAXIFS(BD!$A$3:$A$5001,BD!$B$3:$B$5001,I$206,BD!$A$3:$A$5001,"&gt;="&amp;$C$7,BD!$A$3:$A$5001,"&lt;="&amp;$B209,BD!$W$3:$W$5001,"&lt;&gt;"))))</f>
        <v/>
      </c>
      <c r="J209" s="43" t="str">
        <f>IF(OR($B209="",$A209&gt;$B$9,J$206=""),"",IF(COUNTIFS(BD!$B$3:$B$5001,J$206,BD!$A$3:$A$5001,"&gt;="&amp;$C$7,BD!$A$3:$A$5001,"&lt;="&amp;$B209,BD!$W$3:$W$5001,"&lt;&gt;")=0,"",SUMIFS(BD!$W$3:$W$5001,BD!$B$3:$B$5001,J$206,BD!$A$3:$A$5001,_xlfn.MAXIFS(BD!$A$3:$A$5001,BD!$B$3:$B$5001,J$206,BD!$A$3:$A$5001,"&gt;="&amp;$C$7,BD!$A$3:$A$5001,"&lt;="&amp;$B209,BD!$W$3:$W$5001,"&lt;&gt;"))))</f>
        <v/>
      </c>
      <c r="K209" s="43" t="str">
        <f>IF(OR($B209="",$A209&gt;$B$9,K$206=""),"",IF(COUNTIFS(BD!$B$3:$B$5001,K$206,BD!$A$3:$A$5001,"&gt;="&amp;$C$7,BD!$A$3:$A$5001,"&lt;="&amp;$B209,BD!$W$3:$W$5001,"&lt;&gt;")=0,"",SUMIFS(BD!$W$3:$W$5001,BD!$B$3:$B$5001,K$206,BD!$A$3:$A$5001,_xlfn.MAXIFS(BD!$A$3:$A$5001,BD!$B$3:$B$5001,K$206,BD!$A$3:$A$5001,"&gt;="&amp;$C$7,BD!$A$3:$A$5001,"&lt;="&amp;$B209,BD!$W$3:$W$5001,"&lt;&gt;"))))</f>
        <v/>
      </c>
      <c r="L209" s="43" t="str">
        <f>IF(OR($B209="",$A209&gt;$B$9,L$206=""),"",IF(COUNTIFS(BD!$B$3:$B$5001,L$206,BD!$A$3:$A$5001,"&gt;="&amp;$C$7,BD!$A$3:$A$5001,"&lt;="&amp;$B209,BD!$W$3:$W$5001,"&lt;&gt;")=0,"",SUMIFS(BD!$W$3:$W$5001,BD!$B$3:$B$5001,L$206,BD!$A$3:$A$5001,_xlfn.MAXIFS(BD!$A$3:$A$5001,BD!$B$3:$B$5001,L$206,BD!$A$3:$A$5001,"&gt;="&amp;$C$7,BD!$A$3:$A$5001,"&lt;="&amp;$B209,BD!$W$3:$W$5001,"&lt;&gt;"))))</f>
        <v/>
      </c>
      <c r="M209" s="43" t="str">
        <f>IF(OR($B209="",$A209&gt;$B$9,M$206=""),"",IF(COUNTIFS(BD!$B$3:$B$5001,M$206,BD!$A$3:$A$5001,"&gt;="&amp;$C$7,BD!$A$3:$A$5001,"&lt;="&amp;$B209,BD!$W$3:$W$5001,"&lt;&gt;")=0,"",SUMIFS(BD!$W$3:$W$5001,BD!$B$3:$B$5001,M$206,BD!$A$3:$A$5001,_xlfn.MAXIFS(BD!$A$3:$A$5001,BD!$B$3:$B$5001,M$206,BD!$A$3:$A$5001,"&gt;="&amp;$C$7,BD!$A$3:$A$5001,"&lt;="&amp;$B209,BD!$W$3:$W$5001,"&lt;&gt;"))))</f>
        <v/>
      </c>
      <c r="N209" s="43" t="str">
        <f>IF(OR($B209="",$A209&gt;$B$9,N$206=""),"",IF(COUNTIFS(BD!$B$3:$B$5001,N$206,BD!$A$3:$A$5001,"&gt;="&amp;$C$7,BD!$A$3:$A$5001,"&lt;="&amp;$B209,BD!$W$3:$W$5001,"&lt;&gt;")=0,"",SUMIFS(BD!$W$3:$W$5001,BD!$B$3:$B$5001,N$206,BD!$A$3:$A$5001,_xlfn.MAXIFS(BD!$A$3:$A$5001,BD!$B$3:$B$5001,N$206,BD!$A$3:$A$5001,"&gt;="&amp;$C$7,BD!$A$3:$A$5001,"&lt;="&amp;$B209,BD!$W$3:$W$5001,"&lt;&gt;"))))</f>
        <v/>
      </c>
      <c r="O209" s="43" t="str">
        <f>IF(OR($B209="",$A209&gt;$B$9,O$206=""),"",IF(COUNTIFS(BD!$B$3:$B$5001,O$206,BD!$A$3:$A$5001,"&gt;="&amp;$C$7,BD!$A$3:$A$5001,"&lt;="&amp;$B209,BD!$W$3:$W$5001,"&lt;&gt;")=0,"",SUMIFS(BD!$W$3:$W$5001,BD!$B$3:$B$5001,O$206,BD!$A$3:$A$5001,_xlfn.MAXIFS(BD!$A$3:$A$5001,BD!$B$3:$B$5001,O$206,BD!$A$3:$A$5001,"&gt;="&amp;$C$7,BD!$A$3:$A$5001,"&lt;="&amp;$B209,BD!$W$3:$W$5001,"&lt;&gt;"))))</f>
        <v/>
      </c>
      <c r="P209" s="43" t="str">
        <f>IF(OR($B209="",$A209&gt;$B$9,P$206=""),"",IF(COUNTIFS(BD!$B$3:$B$5001,P$206,BD!$A$3:$A$5001,"&gt;="&amp;$C$7,BD!$A$3:$A$5001,"&lt;="&amp;$B209,BD!$W$3:$W$5001,"&lt;&gt;")=0,"",SUMIFS(BD!$W$3:$W$5001,BD!$B$3:$B$5001,P$206,BD!$A$3:$A$5001,_xlfn.MAXIFS(BD!$A$3:$A$5001,BD!$B$3:$B$5001,P$206,BD!$A$3:$A$5001,"&gt;="&amp;$C$7,BD!$A$3:$A$5001,"&lt;="&amp;$B209,BD!$W$3:$W$5001,"&lt;&gt;"))))</f>
        <v/>
      </c>
      <c r="Q209" s="43" t="str">
        <f>IF(OR($B209="",$A209&gt;$B$9,Q$206=""),"",IF(COUNTIFS(BD!$B$3:$B$5001,Q$206,BD!$A$3:$A$5001,"&gt;="&amp;$C$7,BD!$A$3:$A$5001,"&lt;="&amp;$B209,BD!$W$3:$W$5001,"&lt;&gt;")=0,"",SUMIFS(BD!$W$3:$W$5001,BD!$B$3:$B$5001,Q$206,BD!$A$3:$A$5001,_xlfn.MAXIFS(BD!$A$3:$A$5001,BD!$B$3:$B$5001,Q$206,BD!$A$3:$A$5001,"&gt;="&amp;$C$7,BD!$A$3:$A$5001,"&lt;="&amp;$B209,BD!$W$3:$W$5001,"&lt;&gt;"))))</f>
        <v/>
      </c>
      <c r="R209" s="43" t="str">
        <f>IF(OR($B209="",$A209&gt;$B$9,R$206=""),"",IF(COUNTIFS(BD!$B$3:$B$5001,R$206,BD!$A$3:$A$5001,"&gt;="&amp;$C$7,BD!$A$3:$A$5001,"&lt;="&amp;$B209,BD!$W$3:$W$5001,"&lt;&gt;")=0,"",SUMIFS(BD!$W$3:$W$5001,BD!$B$3:$B$5001,R$206,BD!$A$3:$A$5001,_xlfn.MAXIFS(BD!$A$3:$A$5001,BD!$B$3:$B$5001,R$206,BD!$A$3:$A$5001,"&gt;="&amp;$C$7,BD!$A$3:$A$5001,"&lt;="&amp;$B209,BD!$W$3:$W$5001,"&lt;&gt;"))))</f>
        <v/>
      </c>
      <c r="S209" s="43" t="str">
        <f>IF(OR($B209="",$A209&gt;$B$9,S$206=""),"",IF(COUNTIFS(BD!$B$3:$B$5001,S$206,BD!$A$3:$A$5001,"&gt;="&amp;$C$7,BD!$A$3:$A$5001,"&lt;="&amp;$B209,BD!$W$3:$W$5001,"&lt;&gt;")=0,"",SUMIFS(BD!$W$3:$W$5001,BD!$B$3:$B$5001,S$206,BD!$A$3:$A$5001,_xlfn.MAXIFS(BD!$A$3:$A$5001,BD!$B$3:$B$5001,S$206,BD!$A$3:$A$5001,"&gt;="&amp;$C$7,BD!$A$3:$A$5001,"&lt;="&amp;$B209,BD!$W$3:$W$5001,"&lt;&gt;"))))</f>
        <v/>
      </c>
      <c r="T209" s="43" t="str">
        <f>IF(OR($B209="",$A209&gt;$B$9,T$206=""),"",IF(COUNTIFS(BD!$B$3:$B$5001,T$206,BD!$A$3:$A$5001,"&gt;="&amp;$C$7,BD!$A$3:$A$5001,"&lt;="&amp;$B209,BD!$W$3:$W$5001,"&lt;&gt;")=0,"",SUMIFS(BD!$W$3:$W$5001,BD!$B$3:$B$5001,T$206,BD!$A$3:$A$5001,_xlfn.MAXIFS(BD!$A$3:$A$5001,BD!$B$3:$B$5001,T$206,BD!$A$3:$A$5001,"&gt;="&amp;$C$7,BD!$A$3:$A$5001,"&lt;="&amp;$B209,BD!$W$3:$W$5001,"&lt;&gt;"))))</f>
        <v/>
      </c>
      <c r="U209" s="43" t="str">
        <f>IF(OR($B209="",$A209&gt;$B$9,U$206=""),"",IF(COUNTIFS(BD!$B$3:$B$5001,U$206,BD!$A$3:$A$5001,"&gt;="&amp;$C$7,BD!$A$3:$A$5001,"&lt;="&amp;$B209,BD!$W$3:$W$5001,"&lt;&gt;")=0,"",SUMIFS(BD!$W$3:$W$5001,BD!$B$3:$B$5001,U$206,BD!$A$3:$A$5001,_xlfn.MAXIFS(BD!$A$3:$A$5001,BD!$B$3:$B$5001,U$206,BD!$A$3:$A$5001,"&gt;="&amp;$C$7,BD!$A$3:$A$5001,"&lt;="&amp;$B209,BD!$W$3:$W$5001,"&lt;&gt;"))))</f>
        <v/>
      </c>
      <c r="V209" s="43" t="str">
        <f>IF(OR($B209="",$A209&gt;$B$9,V$206=""),"",IF(COUNTIFS(BD!$B$3:$B$5001,V$206,BD!$A$3:$A$5001,"&gt;="&amp;$C$7,BD!$A$3:$A$5001,"&lt;="&amp;$B209,BD!$W$3:$W$5001,"&lt;&gt;")=0,"",SUMIFS(BD!$W$3:$W$5001,BD!$B$3:$B$5001,V$206,BD!$A$3:$A$5001,_xlfn.MAXIFS(BD!$A$3:$A$5001,BD!$B$3:$B$5001,V$206,BD!$A$3:$A$5001,"&gt;="&amp;$C$7,BD!$A$3:$A$5001,"&lt;="&amp;$B209,BD!$W$3:$W$5001,"&lt;&gt;"))))</f>
        <v/>
      </c>
    </row>
    <row r="210">
      <c r="A210" s="38">
        <v>4</v>
      </c>
      <c r="B210" s="42">
        <f>$B$15</f>
        <v>46299</v>
      </c>
      <c r="C210" s="43" t="str">
        <f>IF(OR($B210="",$A210&gt;$B$9,C$206=""),"",IF(COUNTIFS(BD!$B$3:$B$5001,C$206,BD!$A$3:$A$5001,"&gt;="&amp;$C$7,BD!$A$3:$A$5001,"&lt;="&amp;$B210,BD!$W$3:$W$5001,"&lt;&gt;")=0,"",SUMIFS(BD!$W$3:$W$5001,BD!$B$3:$B$5001,C$206,BD!$A$3:$A$5001,_xlfn.MAXIFS(BD!$A$3:$A$5001,BD!$B$3:$B$5001,C$206,BD!$A$3:$A$5001,"&gt;="&amp;$C$7,BD!$A$3:$A$5001,"&lt;="&amp;$B210,BD!$W$3:$W$5001,"&lt;&gt;"))))</f>
        <v/>
      </c>
      <c r="D210" s="43" t="str">
        <f>IF(OR($B210="",$A210&gt;$B$9,D$206=""),"",IF(COUNTIFS(BD!$B$3:$B$5001,D$206,BD!$A$3:$A$5001,"&gt;="&amp;$C$7,BD!$A$3:$A$5001,"&lt;="&amp;$B210,BD!$W$3:$W$5001,"&lt;&gt;")=0,"",SUMIFS(BD!$W$3:$W$5001,BD!$B$3:$B$5001,D$206,BD!$A$3:$A$5001,_xlfn.MAXIFS(BD!$A$3:$A$5001,BD!$B$3:$B$5001,D$206,BD!$A$3:$A$5001,"&gt;="&amp;$C$7,BD!$A$3:$A$5001,"&lt;="&amp;$B210,BD!$W$3:$W$5001,"&lt;&gt;"))))</f>
        <v/>
      </c>
      <c r="E210" s="43" t="str">
        <f>IF(OR($B210="",$A210&gt;$B$9,E$206=""),"",IF(COUNTIFS(BD!$B$3:$B$5001,E$206,BD!$A$3:$A$5001,"&gt;="&amp;$C$7,BD!$A$3:$A$5001,"&lt;="&amp;$B210,BD!$W$3:$W$5001,"&lt;&gt;")=0,"",SUMIFS(BD!$W$3:$W$5001,BD!$B$3:$B$5001,E$206,BD!$A$3:$A$5001,_xlfn.MAXIFS(BD!$A$3:$A$5001,BD!$B$3:$B$5001,E$206,BD!$A$3:$A$5001,"&gt;="&amp;$C$7,BD!$A$3:$A$5001,"&lt;="&amp;$B210,BD!$W$3:$W$5001,"&lt;&gt;"))))</f>
        <v/>
      </c>
      <c r="F210" s="43" t="str">
        <f>IF(OR($B210="",$A210&gt;$B$9,F$206=""),"",IF(COUNTIFS(BD!$B$3:$B$5001,F$206,BD!$A$3:$A$5001,"&gt;="&amp;$C$7,BD!$A$3:$A$5001,"&lt;="&amp;$B210,BD!$W$3:$W$5001,"&lt;&gt;")=0,"",SUMIFS(BD!$W$3:$W$5001,BD!$B$3:$B$5001,F$206,BD!$A$3:$A$5001,_xlfn.MAXIFS(BD!$A$3:$A$5001,BD!$B$3:$B$5001,F$206,BD!$A$3:$A$5001,"&gt;="&amp;$C$7,BD!$A$3:$A$5001,"&lt;="&amp;$B210,BD!$W$3:$W$5001,"&lt;&gt;"))))</f>
        <v/>
      </c>
      <c r="G210" s="43" t="str">
        <f>IF(OR($B210="",$A210&gt;$B$9,G$206=""),"",IF(COUNTIFS(BD!$B$3:$B$5001,G$206,BD!$A$3:$A$5001,"&gt;="&amp;$C$7,BD!$A$3:$A$5001,"&lt;="&amp;$B210,BD!$W$3:$W$5001,"&lt;&gt;")=0,"",SUMIFS(BD!$W$3:$W$5001,BD!$B$3:$B$5001,G$206,BD!$A$3:$A$5001,_xlfn.MAXIFS(BD!$A$3:$A$5001,BD!$B$3:$B$5001,G$206,BD!$A$3:$A$5001,"&gt;="&amp;$C$7,BD!$A$3:$A$5001,"&lt;="&amp;$B210,BD!$W$3:$W$5001,"&lt;&gt;"))))</f>
        <v/>
      </c>
      <c r="H210" s="43" t="str">
        <f>IF(OR($B210="",$A210&gt;$B$9,H$206=""),"",IF(COUNTIFS(BD!$B$3:$B$5001,H$206,BD!$A$3:$A$5001,"&gt;="&amp;$C$7,BD!$A$3:$A$5001,"&lt;="&amp;$B210,BD!$W$3:$W$5001,"&lt;&gt;")=0,"",SUMIFS(BD!$W$3:$W$5001,BD!$B$3:$B$5001,H$206,BD!$A$3:$A$5001,_xlfn.MAXIFS(BD!$A$3:$A$5001,BD!$B$3:$B$5001,H$206,BD!$A$3:$A$5001,"&gt;="&amp;$C$7,BD!$A$3:$A$5001,"&lt;="&amp;$B210,BD!$W$3:$W$5001,"&lt;&gt;"))))</f>
        <v/>
      </c>
      <c r="I210" s="43" t="str">
        <f>IF(OR($B210="",$A210&gt;$B$9,I$206=""),"",IF(COUNTIFS(BD!$B$3:$B$5001,I$206,BD!$A$3:$A$5001,"&gt;="&amp;$C$7,BD!$A$3:$A$5001,"&lt;="&amp;$B210,BD!$W$3:$W$5001,"&lt;&gt;")=0,"",SUMIFS(BD!$W$3:$W$5001,BD!$B$3:$B$5001,I$206,BD!$A$3:$A$5001,_xlfn.MAXIFS(BD!$A$3:$A$5001,BD!$B$3:$B$5001,I$206,BD!$A$3:$A$5001,"&gt;="&amp;$C$7,BD!$A$3:$A$5001,"&lt;="&amp;$B210,BD!$W$3:$W$5001,"&lt;&gt;"))))</f>
        <v/>
      </c>
      <c r="J210" s="43" t="str">
        <f>IF(OR($B210="",$A210&gt;$B$9,J$206=""),"",IF(COUNTIFS(BD!$B$3:$B$5001,J$206,BD!$A$3:$A$5001,"&gt;="&amp;$C$7,BD!$A$3:$A$5001,"&lt;="&amp;$B210,BD!$W$3:$W$5001,"&lt;&gt;")=0,"",SUMIFS(BD!$W$3:$W$5001,BD!$B$3:$B$5001,J$206,BD!$A$3:$A$5001,_xlfn.MAXIFS(BD!$A$3:$A$5001,BD!$B$3:$B$5001,J$206,BD!$A$3:$A$5001,"&gt;="&amp;$C$7,BD!$A$3:$A$5001,"&lt;="&amp;$B210,BD!$W$3:$W$5001,"&lt;&gt;"))))</f>
        <v/>
      </c>
      <c r="K210" s="43" t="str">
        <f>IF(OR($B210="",$A210&gt;$B$9,K$206=""),"",IF(COUNTIFS(BD!$B$3:$B$5001,K$206,BD!$A$3:$A$5001,"&gt;="&amp;$C$7,BD!$A$3:$A$5001,"&lt;="&amp;$B210,BD!$W$3:$W$5001,"&lt;&gt;")=0,"",SUMIFS(BD!$W$3:$W$5001,BD!$B$3:$B$5001,K$206,BD!$A$3:$A$5001,_xlfn.MAXIFS(BD!$A$3:$A$5001,BD!$B$3:$B$5001,K$206,BD!$A$3:$A$5001,"&gt;="&amp;$C$7,BD!$A$3:$A$5001,"&lt;="&amp;$B210,BD!$W$3:$W$5001,"&lt;&gt;"))))</f>
        <v/>
      </c>
      <c r="L210" s="43" t="str">
        <f>IF(OR($B210="",$A210&gt;$B$9,L$206=""),"",IF(COUNTIFS(BD!$B$3:$B$5001,L$206,BD!$A$3:$A$5001,"&gt;="&amp;$C$7,BD!$A$3:$A$5001,"&lt;="&amp;$B210,BD!$W$3:$W$5001,"&lt;&gt;")=0,"",SUMIFS(BD!$W$3:$W$5001,BD!$B$3:$B$5001,L$206,BD!$A$3:$A$5001,_xlfn.MAXIFS(BD!$A$3:$A$5001,BD!$B$3:$B$5001,L$206,BD!$A$3:$A$5001,"&gt;="&amp;$C$7,BD!$A$3:$A$5001,"&lt;="&amp;$B210,BD!$W$3:$W$5001,"&lt;&gt;"))))</f>
        <v/>
      </c>
      <c r="M210" s="43" t="str">
        <f>IF(OR($B210="",$A210&gt;$B$9,M$206=""),"",IF(COUNTIFS(BD!$B$3:$B$5001,M$206,BD!$A$3:$A$5001,"&gt;="&amp;$C$7,BD!$A$3:$A$5001,"&lt;="&amp;$B210,BD!$W$3:$W$5001,"&lt;&gt;")=0,"",SUMIFS(BD!$W$3:$W$5001,BD!$B$3:$B$5001,M$206,BD!$A$3:$A$5001,_xlfn.MAXIFS(BD!$A$3:$A$5001,BD!$B$3:$B$5001,M$206,BD!$A$3:$A$5001,"&gt;="&amp;$C$7,BD!$A$3:$A$5001,"&lt;="&amp;$B210,BD!$W$3:$W$5001,"&lt;&gt;"))))</f>
        <v/>
      </c>
      <c r="N210" s="43" t="str">
        <f>IF(OR($B210="",$A210&gt;$B$9,N$206=""),"",IF(COUNTIFS(BD!$B$3:$B$5001,N$206,BD!$A$3:$A$5001,"&gt;="&amp;$C$7,BD!$A$3:$A$5001,"&lt;="&amp;$B210,BD!$W$3:$W$5001,"&lt;&gt;")=0,"",SUMIFS(BD!$W$3:$W$5001,BD!$B$3:$B$5001,N$206,BD!$A$3:$A$5001,_xlfn.MAXIFS(BD!$A$3:$A$5001,BD!$B$3:$B$5001,N$206,BD!$A$3:$A$5001,"&gt;="&amp;$C$7,BD!$A$3:$A$5001,"&lt;="&amp;$B210,BD!$W$3:$W$5001,"&lt;&gt;"))))</f>
        <v/>
      </c>
      <c r="O210" s="43" t="str">
        <f>IF(OR($B210="",$A210&gt;$B$9,O$206=""),"",IF(COUNTIFS(BD!$B$3:$B$5001,O$206,BD!$A$3:$A$5001,"&gt;="&amp;$C$7,BD!$A$3:$A$5001,"&lt;="&amp;$B210,BD!$W$3:$W$5001,"&lt;&gt;")=0,"",SUMIFS(BD!$W$3:$W$5001,BD!$B$3:$B$5001,O$206,BD!$A$3:$A$5001,_xlfn.MAXIFS(BD!$A$3:$A$5001,BD!$B$3:$B$5001,O$206,BD!$A$3:$A$5001,"&gt;="&amp;$C$7,BD!$A$3:$A$5001,"&lt;="&amp;$B210,BD!$W$3:$W$5001,"&lt;&gt;"))))</f>
        <v/>
      </c>
      <c r="P210" s="43" t="str">
        <f>IF(OR($B210="",$A210&gt;$B$9,P$206=""),"",IF(COUNTIFS(BD!$B$3:$B$5001,P$206,BD!$A$3:$A$5001,"&gt;="&amp;$C$7,BD!$A$3:$A$5001,"&lt;="&amp;$B210,BD!$W$3:$W$5001,"&lt;&gt;")=0,"",SUMIFS(BD!$W$3:$W$5001,BD!$B$3:$B$5001,P$206,BD!$A$3:$A$5001,_xlfn.MAXIFS(BD!$A$3:$A$5001,BD!$B$3:$B$5001,P$206,BD!$A$3:$A$5001,"&gt;="&amp;$C$7,BD!$A$3:$A$5001,"&lt;="&amp;$B210,BD!$W$3:$W$5001,"&lt;&gt;"))))</f>
        <v/>
      </c>
      <c r="Q210" s="43" t="str">
        <f>IF(OR($B210="",$A210&gt;$B$9,Q$206=""),"",IF(COUNTIFS(BD!$B$3:$B$5001,Q$206,BD!$A$3:$A$5001,"&gt;="&amp;$C$7,BD!$A$3:$A$5001,"&lt;="&amp;$B210,BD!$W$3:$W$5001,"&lt;&gt;")=0,"",SUMIFS(BD!$W$3:$W$5001,BD!$B$3:$B$5001,Q$206,BD!$A$3:$A$5001,_xlfn.MAXIFS(BD!$A$3:$A$5001,BD!$B$3:$B$5001,Q$206,BD!$A$3:$A$5001,"&gt;="&amp;$C$7,BD!$A$3:$A$5001,"&lt;="&amp;$B210,BD!$W$3:$W$5001,"&lt;&gt;"))))</f>
        <v/>
      </c>
      <c r="R210" s="43" t="str">
        <f>IF(OR($B210="",$A210&gt;$B$9,R$206=""),"",IF(COUNTIFS(BD!$B$3:$B$5001,R$206,BD!$A$3:$A$5001,"&gt;="&amp;$C$7,BD!$A$3:$A$5001,"&lt;="&amp;$B210,BD!$W$3:$W$5001,"&lt;&gt;")=0,"",SUMIFS(BD!$W$3:$W$5001,BD!$B$3:$B$5001,R$206,BD!$A$3:$A$5001,_xlfn.MAXIFS(BD!$A$3:$A$5001,BD!$B$3:$B$5001,R$206,BD!$A$3:$A$5001,"&gt;="&amp;$C$7,BD!$A$3:$A$5001,"&lt;="&amp;$B210,BD!$W$3:$W$5001,"&lt;&gt;"))))</f>
        <v/>
      </c>
      <c r="S210" s="43" t="str">
        <f>IF(OR($B210="",$A210&gt;$B$9,S$206=""),"",IF(COUNTIFS(BD!$B$3:$B$5001,S$206,BD!$A$3:$A$5001,"&gt;="&amp;$C$7,BD!$A$3:$A$5001,"&lt;="&amp;$B210,BD!$W$3:$W$5001,"&lt;&gt;")=0,"",SUMIFS(BD!$W$3:$W$5001,BD!$B$3:$B$5001,S$206,BD!$A$3:$A$5001,_xlfn.MAXIFS(BD!$A$3:$A$5001,BD!$B$3:$B$5001,S$206,BD!$A$3:$A$5001,"&gt;="&amp;$C$7,BD!$A$3:$A$5001,"&lt;="&amp;$B210,BD!$W$3:$W$5001,"&lt;&gt;"))))</f>
        <v/>
      </c>
      <c r="T210" s="43" t="str">
        <f>IF(OR($B210="",$A210&gt;$B$9,T$206=""),"",IF(COUNTIFS(BD!$B$3:$B$5001,T$206,BD!$A$3:$A$5001,"&gt;="&amp;$C$7,BD!$A$3:$A$5001,"&lt;="&amp;$B210,BD!$W$3:$W$5001,"&lt;&gt;")=0,"",SUMIFS(BD!$W$3:$W$5001,BD!$B$3:$B$5001,T$206,BD!$A$3:$A$5001,_xlfn.MAXIFS(BD!$A$3:$A$5001,BD!$B$3:$B$5001,T$206,BD!$A$3:$A$5001,"&gt;="&amp;$C$7,BD!$A$3:$A$5001,"&lt;="&amp;$B210,BD!$W$3:$W$5001,"&lt;&gt;"))))</f>
        <v/>
      </c>
      <c r="U210" s="43" t="str">
        <f>IF(OR($B210="",$A210&gt;$B$9,U$206=""),"",IF(COUNTIFS(BD!$B$3:$B$5001,U$206,BD!$A$3:$A$5001,"&gt;="&amp;$C$7,BD!$A$3:$A$5001,"&lt;="&amp;$B210,BD!$W$3:$W$5001,"&lt;&gt;")=0,"",SUMIFS(BD!$W$3:$W$5001,BD!$B$3:$B$5001,U$206,BD!$A$3:$A$5001,_xlfn.MAXIFS(BD!$A$3:$A$5001,BD!$B$3:$B$5001,U$206,BD!$A$3:$A$5001,"&gt;="&amp;$C$7,BD!$A$3:$A$5001,"&lt;="&amp;$B210,BD!$W$3:$W$5001,"&lt;&gt;"))))</f>
        <v/>
      </c>
      <c r="V210" s="43" t="str">
        <f>IF(OR($B210="",$A210&gt;$B$9,V$206=""),"",IF(COUNTIFS(BD!$B$3:$B$5001,V$206,BD!$A$3:$A$5001,"&gt;="&amp;$C$7,BD!$A$3:$A$5001,"&lt;="&amp;$B210,BD!$W$3:$W$5001,"&lt;&gt;")=0,"",SUMIFS(BD!$W$3:$W$5001,BD!$B$3:$B$5001,V$206,BD!$A$3:$A$5001,_xlfn.MAXIFS(BD!$A$3:$A$5001,BD!$B$3:$B$5001,V$206,BD!$A$3:$A$5001,"&gt;="&amp;$C$7,BD!$A$3:$A$5001,"&lt;="&amp;$B210,BD!$W$3:$W$5001,"&lt;&gt;"))))</f>
        <v/>
      </c>
    </row>
    <row r="211">
      <c r="A211" s="38">
        <v>5</v>
      </c>
      <c r="B211" s="42">
        <f>$B$16</f>
        <v>46300</v>
      </c>
      <c r="C211" s="43" t="str">
        <f>IF(OR($B211="",$A211&gt;$B$9,C$206=""),"",IF(COUNTIFS(BD!$B$3:$B$5001,C$206,BD!$A$3:$A$5001,"&gt;="&amp;$C$7,BD!$A$3:$A$5001,"&lt;="&amp;$B211,BD!$W$3:$W$5001,"&lt;&gt;")=0,"",SUMIFS(BD!$W$3:$W$5001,BD!$B$3:$B$5001,C$206,BD!$A$3:$A$5001,_xlfn.MAXIFS(BD!$A$3:$A$5001,BD!$B$3:$B$5001,C$206,BD!$A$3:$A$5001,"&gt;="&amp;$C$7,BD!$A$3:$A$5001,"&lt;="&amp;$B211,BD!$W$3:$W$5001,"&lt;&gt;"))))</f>
        <v/>
      </c>
      <c r="D211" s="43" t="str">
        <f>IF(OR($B211="",$A211&gt;$B$9,D$206=""),"",IF(COUNTIFS(BD!$B$3:$B$5001,D$206,BD!$A$3:$A$5001,"&gt;="&amp;$C$7,BD!$A$3:$A$5001,"&lt;="&amp;$B211,BD!$W$3:$W$5001,"&lt;&gt;")=0,"",SUMIFS(BD!$W$3:$W$5001,BD!$B$3:$B$5001,D$206,BD!$A$3:$A$5001,_xlfn.MAXIFS(BD!$A$3:$A$5001,BD!$B$3:$B$5001,D$206,BD!$A$3:$A$5001,"&gt;="&amp;$C$7,BD!$A$3:$A$5001,"&lt;="&amp;$B211,BD!$W$3:$W$5001,"&lt;&gt;"))))</f>
        <v/>
      </c>
      <c r="E211" s="43" t="str">
        <f>IF(OR($B211="",$A211&gt;$B$9,E$206=""),"",IF(COUNTIFS(BD!$B$3:$B$5001,E$206,BD!$A$3:$A$5001,"&gt;="&amp;$C$7,BD!$A$3:$A$5001,"&lt;="&amp;$B211,BD!$W$3:$W$5001,"&lt;&gt;")=0,"",SUMIFS(BD!$W$3:$W$5001,BD!$B$3:$B$5001,E$206,BD!$A$3:$A$5001,_xlfn.MAXIFS(BD!$A$3:$A$5001,BD!$B$3:$B$5001,E$206,BD!$A$3:$A$5001,"&gt;="&amp;$C$7,BD!$A$3:$A$5001,"&lt;="&amp;$B211,BD!$W$3:$W$5001,"&lt;&gt;"))))</f>
        <v/>
      </c>
      <c r="F211" s="43" t="str">
        <f>IF(OR($B211="",$A211&gt;$B$9,F$206=""),"",IF(COUNTIFS(BD!$B$3:$B$5001,F$206,BD!$A$3:$A$5001,"&gt;="&amp;$C$7,BD!$A$3:$A$5001,"&lt;="&amp;$B211,BD!$W$3:$W$5001,"&lt;&gt;")=0,"",SUMIFS(BD!$W$3:$W$5001,BD!$B$3:$B$5001,F$206,BD!$A$3:$A$5001,_xlfn.MAXIFS(BD!$A$3:$A$5001,BD!$B$3:$B$5001,F$206,BD!$A$3:$A$5001,"&gt;="&amp;$C$7,BD!$A$3:$A$5001,"&lt;="&amp;$B211,BD!$W$3:$W$5001,"&lt;&gt;"))))</f>
        <v/>
      </c>
      <c r="G211" s="43" t="str">
        <f>IF(OR($B211="",$A211&gt;$B$9,G$206=""),"",IF(COUNTIFS(BD!$B$3:$B$5001,G$206,BD!$A$3:$A$5001,"&gt;="&amp;$C$7,BD!$A$3:$A$5001,"&lt;="&amp;$B211,BD!$W$3:$W$5001,"&lt;&gt;")=0,"",SUMIFS(BD!$W$3:$W$5001,BD!$B$3:$B$5001,G$206,BD!$A$3:$A$5001,_xlfn.MAXIFS(BD!$A$3:$A$5001,BD!$B$3:$B$5001,G$206,BD!$A$3:$A$5001,"&gt;="&amp;$C$7,BD!$A$3:$A$5001,"&lt;="&amp;$B211,BD!$W$3:$W$5001,"&lt;&gt;"))))</f>
        <v/>
      </c>
      <c r="H211" s="43" t="str">
        <f>IF(OR($B211="",$A211&gt;$B$9,H$206=""),"",IF(COUNTIFS(BD!$B$3:$B$5001,H$206,BD!$A$3:$A$5001,"&gt;="&amp;$C$7,BD!$A$3:$A$5001,"&lt;="&amp;$B211,BD!$W$3:$W$5001,"&lt;&gt;")=0,"",SUMIFS(BD!$W$3:$W$5001,BD!$B$3:$B$5001,H$206,BD!$A$3:$A$5001,_xlfn.MAXIFS(BD!$A$3:$A$5001,BD!$B$3:$B$5001,H$206,BD!$A$3:$A$5001,"&gt;="&amp;$C$7,BD!$A$3:$A$5001,"&lt;="&amp;$B211,BD!$W$3:$W$5001,"&lt;&gt;"))))</f>
        <v/>
      </c>
      <c r="I211" s="43" t="str">
        <f>IF(OR($B211="",$A211&gt;$B$9,I$206=""),"",IF(COUNTIFS(BD!$B$3:$B$5001,I$206,BD!$A$3:$A$5001,"&gt;="&amp;$C$7,BD!$A$3:$A$5001,"&lt;="&amp;$B211,BD!$W$3:$W$5001,"&lt;&gt;")=0,"",SUMIFS(BD!$W$3:$W$5001,BD!$B$3:$B$5001,I$206,BD!$A$3:$A$5001,_xlfn.MAXIFS(BD!$A$3:$A$5001,BD!$B$3:$B$5001,I$206,BD!$A$3:$A$5001,"&gt;="&amp;$C$7,BD!$A$3:$A$5001,"&lt;="&amp;$B211,BD!$W$3:$W$5001,"&lt;&gt;"))))</f>
        <v/>
      </c>
      <c r="J211" s="43" t="str">
        <f>IF(OR($B211="",$A211&gt;$B$9,J$206=""),"",IF(COUNTIFS(BD!$B$3:$B$5001,J$206,BD!$A$3:$A$5001,"&gt;="&amp;$C$7,BD!$A$3:$A$5001,"&lt;="&amp;$B211,BD!$W$3:$W$5001,"&lt;&gt;")=0,"",SUMIFS(BD!$W$3:$W$5001,BD!$B$3:$B$5001,J$206,BD!$A$3:$A$5001,_xlfn.MAXIFS(BD!$A$3:$A$5001,BD!$B$3:$B$5001,J$206,BD!$A$3:$A$5001,"&gt;="&amp;$C$7,BD!$A$3:$A$5001,"&lt;="&amp;$B211,BD!$W$3:$W$5001,"&lt;&gt;"))))</f>
        <v/>
      </c>
      <c r="K211" s="43" t="str">
        <f>IF(OR($B211="",$A211&gt;$B$9,K$206=""),"",IF(COUNTIFS(BD!$B$3:$B$5001,K$206,BD!$A$3:$A$5001,"&gt;="&amp;$C$7,BD!$A$3:$A$5001,"&lt;="&amp;$B211,BD!$W$3:$W$5001,"&lt;&gt;")=0,"",SUMIFS(BD!$W$3:$W$5001,BD!$B$3:$B$5001,K$206,BD!$A$3:$A$5001,_xlfn.MAXIFS(BD!$A$3:$A$5001,BD!$B$3:$B$5001,K$206,BD!$A$3:$A$5001,"&gt;="&amp;$C$7,BD!$A$3:$A$5001,"&lt;="&amp;$B211,BD!$W$3:$W$5001,"&lt;&gt;"))))</f>
        <v/>
      </c>
      <c r="L211" s="43" t="str">
        <f>IF(OR($B211="",$A211&gt;$B$9,L$206=""),"",IF(COUNTIFS(BD!$B$3:$B$5001,L$206,BD!$A$3:$A$5001,"&gt;="&amp;$C$7,BD!$A$3:$A$5001,"&lt;="&amp;$B211,BD!$W$3:$W$5001,"&lt;&gt;")=0,"",SUMIFS(BD!$W$3:$W$5001,BD!$B$3:$B$5001,L$206,BD!$A$3:$A$5001,_xlfn.MAXIFS(BD!$A$3:$A$5001,BD!$B$3:$B$5001,L$206,BD!$A$3:$A$5001,"&gt;="&amp;$C$7,BD!$A$3:$A$5001,"&lt;="&amp;$B211,BD!$W$3:$W$5001,"&lt;&gt;"))))</f>
        <v/>
      </c>
      <c r="M211" s="43" t="str">
        <f>IF(OR($B211="",$A211&gt;$B$9,M$206=""),"",IF(COUNTIFS(BD!$B$3:$B$5001,M$206,BD!$A$3:$A$5001,"&gt;="&amp;$C$7,BD!$A$3:$A$5001,"&lt;="&amp;$B211,BD!$W$3:$W$5001,"&lt;&gt;")=0,"",SUMIFS(BD!$W$3:$W$5001,BD!$B$3:$B$5001,M$206,BD!$A$3:$A$5001,_xlfn.MAXIFS(BD!$A$3:$A$5001,BD!$B$3:$B$5001,M$206,BD!$A$3:$A$5001,"&gt;="&amp;$C$7,BD!$A$3:$A$5001,"&lt;="&amp;$B211,BD!$W$3:$W$5001,"&lt;&gt;"))))</f>
        <v/>
      </c>
      <c r="N211" s="43" t="str">
        <f>IF(OR($B211="",$A211&gt;$B$9,N$206=""),"",IF(COUNTIFS(BD!$B$3:$B$5001,N$206,BD!$A$3:$A$5001,"&gt;="&amp;$C$7,BD!$A$3:$A$5001,"&lt;="&amp;$B211,BD!$W$3:$W$5001,"&lt;&gt;")=0,"",SUMIFS(BD!$W$3:$W$5001,BD!$B$3:$B$5001,N$206,BD!$A$3:$A$5001,_xlfn.MAXIFS(BD!$A$3:$A$5001,BD!$B$3:$B$5001,N$206,BD!$A$3:$A$5001,"&gt;="&amp;$C$7,BD!$A$3:$A$5001,"&lt;="&amp;$B211,BD!$W$3:$W$5001,"&lt;&gt;"))))</f>
        <v/>
      </c>
      <c r="O211" s="43" t="str">
        <f>IF(OR($B211="",$A211&gt;$B$9,O$206=""),"",IF(COUNTIFS(BD!$B$3:$B$5001,O$206,BD!$A$3:$A$5001,"&gt;="&amp;$C$7,BD!$A$3:$A$5001,"&lt;="&amp;$B211,BD!$W$3:$W$5001,"&lt;&gt;")=0,"",SUMIFS(BD!$W$3:$W$5001,BD!$B$3:$B$5001,O$206,BD!$A$3:$A$5001,_xlfn.MAXIFS(BD!$A$3:$A$5001,BD!$B$3:$B$5001,O$206,BD!$A$3:$A$5001,"&gt;="&amp;$C$7,BD!$A$3:$A$5001,"&lt;="&amp;$B211,BD!$W$3:$W$5001,"&lt;&gt;"))))</f>
        <v/>
      </c>
      <c r="P211" s="43" t="str">
        <f>IF(OR($B211="",$A211&gt;$B$9,P$206=""),"",IF(COUNTIFS(BD!$B$3:$B$5001,P$206,BD!$A$3:$A$5001,"&gt;="&amp;$C$7,BD!$A$3:$A$5001,"&lt;="&amp;$B211,BD!$W$3:$W$5001,"&lt;&gt;")=0,"",SUMIFS(BD!$W$3:$W$5001,BD!$B$3:$B$5001,P$206,BD!$A$3:$A$5001,_xlfn.MAXIFS(BD!$A$3:$A$5001,BD!$B$3:$B$5001,P$206,BD!$A$3:$A$5001,"&gt;="&amp;$C$7,BD!$A$3:$A$5001,"&lt;="&amp;$B211,BD!$W$3:$W$5001,"&lt;&gt;"))))</f>
        <v/>
      </c>
      <c r="Q211" s="43" t="str">
        <f>IF(OR($B211="",$A211&gt;$B$9,Q$206=""),"",IF(COUNTIFS(BD!$B$3:$B$5001,Q$206,BD!$A$3:$A$5001,"&gt;="&amp;$C$7,BD!$A$3:$A$5001,"&lt;="&amp;$B211,BD!$W$3:$W$5001,"&lt;&gt;")=0,"",SUMIFS(BD!$W$3:$W$5001,BD!$B$3:$B$5001,Q$206,BD!$A$3:$A$5001,_xlfn.MAXIFS(BD!$A$3:$A$5001,BD!$B$3:$B$5001,Q$206,BD!$A$3:$A$5001,"&gt;="&amp;$C$7,BD!$A$3:$A$5001,"&lt;="&amp;$B211,BD!$W$3:$W$5001,"&lt;&gt;"))))</f>
        <v/>
      </c>
      <c r="R211" s="43" t="str">
        <f>IF(OR($B211="",$A211&gt;$B$9,R$206=""),"",IF(COUNTIFS(BD!$B$3:$B$5001,R$206,BD!$A$3:$A$5001,"&gt;="&amp;$C$7,BD!$A$3:$A$5001,"&lt;="&amp;$B211,BD!$W$3:$W$5001,"&lt;&gt;")=0,"",SUMIFS(BD!$W$3:$W$5001,BD!$B$3:$B$5001,R$206,BD!$A$3:$A$5001,_xlfn.MAXIFS(BD!$A$3:$A$5001,BD!$B$3:$B$5001,R$206,BD!$A$3:$A$5001,"&gt;="&amp;$C$7,BD!$A$3:$A$5001,"&lt;="&amp;$B211,BD!$W$3:$W$5001,"&lt;&gt;"))))</f>
        <v/>
      </c>
      <c r="S211" s="43" t="str">
        <f>IF(OR($B211="",$A211&gt;$B$9,S$206=""),"",IF(COUNTIFS(BD!$B$3:$B$5001,S$206,BD!$A$3:$A$5001,"&gt;="&amp;$C$7,BD!$A$3:$A$5001,"&lt;="&amp;$B211,BD!$W$3:$W$5001,"&lt;&gt;")=0,"",SUMIFS(BD!$W$3:$W$5001,BD!$B$3:$B$5001,S$206,BD!$A$3:$A$5001,_xlfn.MAXIFS(BD!$A$3:$A$5001,BD!$B$3:$B$5001,S$206,BD!$A$3:$A$5001,"&gt;="&amp;$C$7,BD!$A$3:$A$5001,"&lt;="&amp;$B211,BD!$W$3:$W$5001,"&lt;&gt;"))))</f>
        <v/>
      </c>
      <c r="T211" s="43" t="str">
        <f>IF(OR($B211="",$A211&gt;$B$9,T$206=""),"",IF(COUNTIFS(BD!$B$3:$B$5001,T$206,BD!$A$3:$A$5001,"&gt;="&amp;$C$7,BD!$A$3:$A$5001,"&lt;="&amp;$B211,BD!$W$3:$W$5001,"&lt;&gt;")=0,"",SUMIFS(BD!$W$3:$W$5001,BD!$B$3:$B$5001,T$206,BD!$A$3:$A$5001,_xlfn.MAXIFS(BD!$A$3:$A$5001,BD!$B$3:$B$5001,T$206,BD!$A$3:$A$5001,"&gt;="&amp;$C$7,BD!$A$3:$A$5001,"&lt;="&amp;$B211,BD!$W$3:$W$5001,"&lt;&gt;"))))</f>
        <v/>
      </c>
      <c r="U211" s="43" t="str">
        <f>IF(OR($B211="",$A211&gt;$B$9,U$206=""),"",IF(COUNTIFS(BD!$B$3:$B$5001,U$206,BD!$A$3:$A$5001,"&gt;="&amp;$C$7,BD!$A$3:$A$5001,"&lt;="&amp;$B211,BD!$W$3:$W$5001,"&lt;&gt;")=0,"",SUMIFS(BD!$W$3:$W$5001,BD!$B$3:$B$5001,U$206,BD!$A$3:$A$5001,_xlfn.MAXIFS(BD!$A$3:$A$5001,BD!$B$3:$B$5001,U$206,BD!$A$3:$A$5001,"&gt;="&amp;$C$7,BD!$A$3:$A$5001,"&lt;="&amp;$B211,BD!$W$3:$W$5001,"&lt;&gt;"))))</f>
        <v/>
      </c>
      <c r="V211" s="43" t="str">
        <f>IF(OR($B211="",$A211&gt;$B$9,V$206=""),"",IF(COUNTIFS(BD!$B$3:$B$5001,V$206,BD!$A$3:$A$5001,"&gt;="&amp;$C$7,BD!$A$3:$A$5001,"&lt;="&amp;$B211,BD!$W$3:$W$5001,"&lt;&gt;")=0,"",SUMIFS(BD!$W$3:$W$5001,BD!$B$3:$B$5001,V$206,BD!$A$3:$A$5001,_xlfn.MAXIFS(BD!$A$3:$A$5001,BD!$B$3:$B$5001,V$206,BD!$A$3:$A$5001,"&gt;="&amp;$C$7,BD!$A$3:$A$5001,"&lt;="&amp;$B211,BD!$W$3:$W$5001,"&lt;&gt;"))))</f>
        <v/>
      </c>
    </row>
    <row r="212">
      <c r="A212" s="38">
        <v>6</v>
      </c>
      <c r="B212" s="42">
        <f>$B$17</f>
        <v>46301</v>
      </c>
      <c r="C212" s="43" t="str">
        <f>IF(OR($B212="",$A212&gt;$B$9,C$206=""),"",IF(COUNTIFS(BD!$B$3:$B$5001,C$206,BD!$A$3:$A$5001,"&gt;="&amp;$C$7,BD!$A$3:$A$5001,"&lt;="&amp;$B212,BD!$W$3:$W$5001,"&lt;&gt;")=0,"",SUMIFS(BD!$W$3:$W$5001,BD!$B$3:$B$5001,C$206,BD!$A$3:$A$5001,_xlfn.MAXIFS(BD!$A$3:$A$5001,BD!$B$3:$B$5001,C$206,BD!$A$3:$A$5001,"&gt;="&amp;$C$7,BD!$A$3:$A$5001,"&lt;="&amp;$B212,BD!$W$3:$W$5001,"&lt;&gt;"))))</f>
        <v/>
      </c>
      <c r="D212" s="43" t="str">
        <f>IF(OR($B212="",$A212&gt;$B$9,D$206=""),"",IF(COUNTIFS(BD!$B$3:$B$5001,D$206,BD!$A$3:$A$5001,"&gt;="&amp;$C$7,BD!$A$3:$A$5001,"&lt;="&amp;$B212,BD!$W$3:$W$5001,"&lt;&gt;")=0,"",SUMIFS(BD!$W$3:$W$5001,BD!$B$3:$B$5001,D$206,BD!$A$3:$A$5001,_xlfn.MAXIFS(BD!$A$3:$A$5001,BD!$B$3:$B$5001,D$206,BD!$A$3:$A$5001,"&gt;="&amp;$C$7,BD!$A$3:$A$5001,"&lt;="&amp;$B212,BD!$W$3:$W$5001,"&lt;&gt;"))))</f>
        <v/>
      </c>
      <c r="E212" s="43" t="str">
        <f>IF(OR($B212="",$A212&gt;$B$9,E$206=""),"",IF(COUNTIFS(BD!$B$3:$B$5001,E$206,BD!$A$3:$A$5001,"&gt;="&amp;$C$7,BD!$A$3:$A$5001,"&lt;="&amp;$B212,BD!$W$3:$W$5001,"&lt;&gt;")=0,"",SUMIFS(BD!$W$3:$W$5001,BD!$B$3:$B$5001,E$206,BD!$A$3:$A$5001,_xlfn.MAXIFS(BD!$A$3:$A$5001,BD!$B$3:$B$5001,E$206,BD!$A$3:$A$5001,"&gt;="&amp;$C$7,BD!$A$3:$A$5001,"&lt;="&amp;$B212,BD!$W$3:$W$5001,"&lt;&gt;"))))</f>
        <v/>
      </c>
      <c r="F212" s="43" t="str">
        <f>IF(OR($B212="",$A212&gt;$B$9,F$206=""),"",IF(COUNTIFS(BD!$B$3:$B$5001,F$206,BD!$A$3:$A$5001,"&gt;="&amp;$C$7,BD!$A$3:$A$5001,"&lt;="&amp;$B212,BD!$W$3:$W$5001,"&lt;&gt;")=0,"",SUMIFS(BD!$W$3:$W$5001,BD!$B$3:$B$5001,F$206,BD!$A$3:$A$5001,_xlfn.MAXIFS(BD!$A$3:$A$5001,BD!$B$3:$B$5001,F$206,BD!$A$3:$A$5001,"&gt;="&amp;$C$7,BD!$A$3:$A$5001,"&lt;="&amp;$B212,BD!$W$3:$W$5001,"&lt;&gt;"))))</f>
        <v/>
      </c>
      <c r="G212" s="43" t="str">
        <f>IF(OR($B212="",$A212&gt;$B$9,G$206=""),"",IF(COUNTIFS(BD!$B$3:$B$5001,G$206,BD!$A$3:$A$5001,"&gt;="&amp;$C$7,BD!$A$3:$A$5001,"&lt;="&amp;$B212,BD!$W$3:$W$5001,"&lt;&gt;")=0,"",SUMIFS(BD!$W$3:$W$5001,BD!$B$3:$B$5001,G$206,BD!$A$3:$A$5001,_xlfn.MAXIFS(BD!$A$3:$A$5001,BD!$B$3:$B$5001,G$206,BD!$A$3:$A$5001,"&gt;="&amp;$C$7,BD!$A$3:$A$5001,"&lt;="&amp;$B212,BD!$W$3:$W$5001,"&lt;&gt;"))))</f>
        <v/>
      </c>
      <c r="H212" s="43" t="str">
        <f>IF(OR($B212="",$A212&gt;$B$9,H$206=""),"",IF(COUNTIFS(BD!$B$3:$B$5001,H$206,BD!$A$3:$A$5001,"&gt;="&amp;$C$7,BD!$A$3:$A$5001,"&lt;="&amp;$B212,BD!$W$3:$W$5001,"&lt;&gt;")=0,"",SUMIFS(BD!$W$3:$W$5001,BD!$B$3:$B$5001,H$206,BD!$A$3:$A$5001,_xlfn.MAXIFS(BD!$A$3:$A$5001,BD!$B$3:$B$5001,H$206,BD!$A$3:$A$5001,"&gt;="&amp;$C$7,BD!$A$3:$A$5001,"&lt;="&amp;$B212,BD!$W$3:$W$5001,"&lt;&gt;"))))</f>
        <v/>
      </c>
      <c r="I212" s="43" t="str">
        <f>IF(OR($B212="",$A212&gt;$B$9,I$206=""),"",IF(COUNTIFS(BD!$B$3:$B$5001,I$206,BD!$A$3:$A$5001,"&gt;="&amp;$C$7,BD!$A$3:$A$5001,"&lt;="&amp;$B212,BD!$W$3:$W$5001,"&lt;&gt;")=0,"",SUMIFS(BD!$W$3:$W$5001,BD!$B$3:$B$5001,I$206,BD!$A$3:$A$5001,_xlfn.MAXIFS(BD!$A$3:$A$5001,BD!$B$3:$B$5001,I$206,BD!$A$3:$A$5001,"&gt;="&amp;$C$7,BD!$A$3:$A$5001,"&lt;="&amp;$B212,BD!$W$3:$W$5001,"&lt;&gt;"))))</f>
        <v/>
      </c>
      <c r="J212" s="43" t="str">
        <f>IF(OR($B212="",$A212&gt;$B$9,J$206=""),"",IF(COUNTIFS(BD!$B$3:$B$5001,J$206,BD!$A$3:$A$5001,"&gt;="&amp;$C$7,BD!$A$3:$A$5001,"&lt;="&amp;$B212,BD!$W$3:$W$5001,"&lt;&gt;")=0,"",SUMIFS(BD!$W$3:$W$5001,BD!$B$3:$B$5001,J$206,BD!$A$3:$A$5001,_xlfn.MAXIFS(BD!$A$3:$A$5001,BD!$B$3:$B$5001,J$206,BD!$A$3:$A$5001,"&gt;="&amp;$C$7,BD!$A$3:$A$5001,"&lt;="&amp;$B212,BD!$W$3:$W$5001,"&lt;&gt;"))))</f>
        <v/>
      </c>
      <c r="K212" s="43" t="str">
        <f>IF(OR($B212="",$A212&gt;$B$9,K$206=""),"",IF(COUNTIFS(BD!$B$3:$B$5001,K$206,BD!$A$3:$A$5001,"&gt;="&amp;$C$7,BD!$A$3:$A$5001,"&lt;="&amp;$B212,BD!$W$3:$W$5001,"&lt;&gt;")=0,"",SUMIFS(BD!$W$3:$W$5001,BD!$B$3:$B$5001,K$206,BD!$A$3:$A$5001,_xlfn.MAXIFS(BD!$A$3:$A$5001,BD!$B$3:$B$5001,K$206,BD!$A$3:$A$5001,"&gt;="&amp;$C$7,BD!$A$3:$A$5001,"&lt;="&amp;$B212,BD!$W$3:$W$5001,"&lt;&gt;"))))</f>
        <v/>
      </c>
      <c r="L212" s="43" t="str">
        <f>IF(OR($B212="",$A212&gt;$B$9,L$206=""),"",IF(COUNTIFS(BD!$B$3:$B$5001,L$206,BD!$A$3:$A$5001,"&gt;="&amp;$C$7,BD!$A$3:$A$5001,"&lt;="&amp;$B212,BD!$W$3:$W$5001,"&lt;&gt;")=0,"",SUMIFS(BD!$W$3:$W$5001,BD!$B$3:$B$5001,L$206,BD!$A$3:$A$5001,_xlfn.MAXIFS(BD!$A$3:$A$5001,BD!$B$3:$B$5001,L$206,BD!$A$3:$A$5001,"&gt;="&amp;$C$7,BD!$A$3:$A$5001,"&lt;="&amp;$B212,BD!$W$3:$W$5001,"&lt;&gt;"))))</f>
        <v/>
      </c>
      <c r="M212" s="43" t="str">
        <f>IF(OR($B212="",$A212&gt;$B$9,M$206=""),"",IF(COUNTIFS(BD!$B$3:$B$5001,M$206,BD!$A$3:$A$5001,"&gt;="&amp;$C$7,BD!$A$3:$A$5001,"&lt;="&amp;$B212,BD!$W$3:$W$5001,"&lt;&gt;")=0,"",SUMIFS(BD!$W$3:$W$5001,BD!$B$3:$B$5001,M$206,BD!$A$3:$A$5001,_xlfn.MAXIFS(BD!$A$3:$A$5001,BD!$B$3:$B$5001,M$206,BD!$A$3:$A$5001,"&gt;="&amp;$C$7,BD!$A$3:$A$5001,"&lt;="&amp;$B212,BD!$W$3:$W$5001,"&lt;&gt;"))))</f>
        <v/>
      </c>
      <c r="N212" s="43" t="str">
        <f>IF(OR($B212="",$A212&gt;$B$9,N$206=""),"",IF(COUNTIFS(BD!$B$3:$B$5001,N$206,BD!$A$3:$A$5001,"&gt;="&amp;$C$7,BD!$A$3:$A$5001,"&lt;="&amp;$B212,BD!$W$3:$W$5001,"&lt;&gt;")=0,"",SUMIFS(BD!$W$3:$W$5001,BD!$B$3:$B$5001,N$206,BD!$A$3:$A$5001,_xlfn.MAXIFS(BD!$A$3:$A$5001,BD!$B$3:$B$5001,N$206,BD!$A$3:$A$5001,"&gt;="&amp;$C$7,BD!$A$3:$A$5001,"&lt;="&amp;$B212,BD!$W$3:$W$5001,"&lt;&gt;"))))</f>
        <v/>
      </c>
      <c r="O212" s="43" t="str">
        <f>IF(OR($B212="",$A212&gt;$B$9,O$206=""),"",IF(COUNTIFS(BD!$B$3:$B$5001,O$206,BD!$A$3:$A$5001,"&gt;="&amp;$C$7,BD!$A$3:$A$5001,"&lt;="&amp;$B212,BD!$W$3:$W$5001,"&lt;&gt;")=0,"",SUMIFS(BD!$W$3:$W$5001,BD!$B$3:$B$5001,O$206,BD!$A$3:$A$5001,_xlfn.MAXIFS(BD!$A$3:$A$5001,BD!$B$3:$B$5001,O$206,BD!$A$3:$A$5001,"&gt;="&amp;$C$7,BD!$A$3:$A$5001,"&lt;="&amp;$B212,BD!$W$3:$W$5001,"&lt;&gt;"))))</f>
        <v/>
      </c>
      <c r="P212" s="43" t="str">
        <f>IF(OR($B212="",$A212&gt;$B$9,P$206=""),"",IF(COUNTIFS(BD!$B$3:$B$5001,P$206,BD!$A$3:$A$5001,"&gt;="&amp;$C$7,BD!$A$3:$A$5001,"&lt;="&amp;$B212,BD!$W$3:$W$5001,"&lt;&gt;")=0,"",SUMIFS(BD!$W$3:$W$5001,BD!$B$3:$B$5001,P$206,BD!$A$3:$A$5001,_xlfn.MAXIFS(BD!$A$3:$A$5001,BD!$B$3:$B$5001,P$206,BD!$A$3:$A$5001,"&gt;="&amp;$C$7,BD!$A$3:$A$5001,"&lt;="&amp;$B212,BD!$W$3:$W$5001,"&lt;&gt;"))))</f>
        <v/>
      </c>
      <c r="Q212" s="43" t="str">
        <f>IF(OR($B212="",$A212&gt;$B$9,Q$206=""),"",IF(COUNTIFS(BD!$B$3:$B$5001,Q$206,BD!$A$3:$A$5001,"&gt;="&amp;$C$7,BD!$A$3:$A$5001,"&lt;="&amp;$B212,BD!$W$3:$W$5001,"&lt;&gt;")=0,"",SUMIFS(BD!$W$3:$W$5001,BD!$B$3:$B$5001,Q$206,BD!$A$3:$A$5001,_xlfn.MAXIFS(BD!$A$3:$A$5001,BD!$B$3:$B$5001,Q$206,BD!$A$3:$A$5001,"&gt;="&amp;$C$7,BD!$A$3:$A$5001,"&lt;="&amp;$B212,BD!$W$3:$W$5001,"&lt;&gt;"))))</f>
        <v/>
      </c>
      <c r="R212" s="43" t="str">
        <f>IF(OR($B212="",$A212&gt;$B$9,R$206=""),"",IF(COUNTIFS(BD!$B$3:$B$5001,R$206,BD!$A$3:$A$5001,"&gt;="&amp;$C$7,BD!$A$3:$A$5001,"&lt;="&amp;$B212,BD!$W$3:$W$5001,"&lt;&gt;")=0,"",SUMIFS(BD!$W$3:$W$5001,BD!$B$3:$B$5001,R$206,BD!$A$3:$A$5001,_xlfn.MAXIFS(BD!$A$3:$A$5001,BD!$B$3:$B$5001,R$206,BD!$A$3:$A$5001,"&gt;="&amp;$C$7,BD!$A$3:$A$5001,"&lt;="&amp;$B212,BD!$W$3:$W$5001,"&lt;&gt;"))))</f>
        <v/>
      </c>
      <c r="S212" s="43" t="str">
        <f>IF(OR($B212="",$A212&gt;$B$9,S$206=""),"",IF(COUNTIFS(BD!$B$3:$B$5001,S$206,BD!$A$3:$A$5001,"&gt;="&amp;$C$7,BD!$A$3:$A$5001,"&lt;="&amp;$B212,BD!$W$3:$W$5001,"&lt;&gt;")=0,"",SUMIFS(BD!$W$3:$W$5001,BD!$B$3:$B$5001,S$206,BD!$A$3:$A$5001,_xlfn.MAXIFS(BD!$A$3:$A$5001,BD!$B$3:$B$5001,S$206,BD!$A$3:$A$5001,"&gt;="&amp;$C$7,BD!$A$3:$A$5001,"&lt;="&amp;$B212,BD!$W$3:$W$5001,"&lt;&gt;"))))</f>
        <v/>
      </c>
      <c r="T212" s="43" t="str">
        <f>IF(OR($B212="",$A212&gt;$B$9,T$206=""),"",IF(COUNTIFS(BD!$B$3:$B$5001,T$206,BD!$A$3:$A$5001,"&gt;="&amp;$C$7,BD!$A$3:$A$5001,"&lt;="&amp;$B212,BD!$W$3:$W$5001,"&lt;&gt;")=0,"",SUMIFS(BD!$W$3:$W$5001,BD!$B$3:$B$5001,T$206,BD!$A$3:$A$5001,_xlfn.MAXIFS(BD!$A$3:$A$5001,BD!$B$3:$B$5001,T$206,BD!$A$3:$A$5001,"&gt;="&amp;$C$7,BD!$A$3:$A$5001,"&lt;="&amp;$B212,BD!$W$3:$W$5001,"&lt;&gt;"))))</f>
        <v/>
      </c>
      <c r="U212" s="43" t="str">
        <f>IF(OR($B212="",$A212&gt;$B$9,U$206=""),"",IF(COUNTIFS(BD!$B$3:$B$5001,U$206,BD!$A$3:$A$5001,"&gt;="&amp;$C$7,BD!$A$3:$A$5001,"&lt;="&amp;$B212,BD!$W$3:$W$5001,"&lt;&gt;")=0,"",SUMIFS(BD!$W$3:$W$5001,BD!$B$3:$B$5001,U$206,BD!$A$3:$A$5001,_xlfn.MAXIFS(BD!$A$3:$A$5001,BD!$B$3:$B$5001,U$206,BD!$A$3:$A$5001,"&gt;="&amp;$C$7,BD!$A$3:$A$5001,"&lt;="&amp;$B212,BD!$W$3:$W$5001,"&lt;&gt;"))))</f>
        <v/>
      </c>
      <c r="V212" s="43" t="str">
        <f>IF(OR($B212="",$A212&gt;$B$9,V$206=""),"",IF(COUNTIFS(BD!$B$3:$B$5001,V$206,BD!$A$3:$A$5001,"&gt;="&amp;$C$7,BD!$A$3:$A$5001,"&lt;="&amp;$B212,BD!$W$3:$W$5001,"&lt;&gt;")=0,"",SUMIFS(BD!$W$3:$W$5001,BD!$B$3:$B$5001,V$206,BD!$A$3:$A$5001,_xlfn.MAXIFS(BD!$A$3:$A$5001,BD!$B$3:$B$5001,V$206,BD!$A$3:$A$5001,"&gt;="&amp;$C$7,BD!$A$3:$A$5001,"&lt;="&amp;$B212,BD!$W$3:$W$5001,"&lt;&gt;"))))</f>
        <v/>
      </c>
    </row>
    <row r="213">
      <c r="A213" s="38">
        <v>7</v>
      </c>
      <c r="B213" s="42">
        <f>$B$18</f>
        <v>46302</v>
      </c>
      <c r="C213" s="43" t="str">
        <f>IF(OR($B213="",$A213&gt;$B$9,C$206=""),"",IF(COUNTIFS(BD!$B$3:$B$5001,C$206,BD!$A$3:$A$5001,"&gt;="&amp;$C$7,BD!$A$3:$A$5001,"&lt;="&amp;$B213,BD!$W$3:$W$5001,"&lt;&gt;")=0,"",SUMIFS(BD!$W$3:$W$5001,BD!$B$3:$B$5001,C$206,BD!$A$3:$A$5001,_xlfn.MAXIFS(BD!$A$3:$A$5001,BD!$B$3:$B$5001,C$206,BD!$A$3:$A$5001,"&gt;="&amp;$C$7,BD!$A$3:$A$5001,"&lt;="&amp;$B213,BD!$W$3:$W$5001,"&lt;&gt;"))))</f>
        <v/>
      </c>
      <c r="D213" s="43" t="str">
        <f>IF(OR($B213="",$A213&gt;$B$9,D$206=""),"",IF(COUNTIFS(BD!$B$3:$B$5001,D$206,BD!$A$3:$A$5001,"&gt;="&amp;$C$7,BD!$A$3:$A$5001,"&lt;="&amp;$B213,BD!$W$3:$W$5001,"&lt;&gt;")=0,"",SUMIFS(BD!$W$3:$W$5001,BD!$B$3:$B$5001,D$206,BD!$A$3:$A$5001,_xlfn.MAXIFS(BD!$A$3:$A$5001,BD!$B$3:$B$5001,D$206,BD!$A$3:$A$5001,"&gt;="&amp;$C$7,BD!$A$3:$A$5001,"&lt;="&amp;$B213,BD!$W$3:$W$5001,"&lt;&gt;"))))</f>
        <v/>
      </c>
      <c r="E213" s="43" t="str">
        <f>IF(OR($B213="",$A213&gt;$B$9,E$206=""),"",IF(COUNTIFS(BD!$B$3:$B$5001,E$206,BD!$A$3:$A$5001,"&gt;="&amp;$C$7,BD!$A$3:$A$5001,"&lt;="&amp;$B213,BD!$W$3:$W$5001,"&lt;&gt;")=0,"",SUMIFS(BD!$W$3:$W$5001,BD!$B$3:$B$5001,E$206,BD!$A$3:$A$5001,_xlfn.MAXIFS(BD!$A$3:$A$5001,BD!$B$3:$B$5001,E$206,BD!$A$3:$A$5001,"&gt;="&amp;$C$7,BD!$A$3:$A$5001,"&lt;="&amp;$B213,BD!$W$3:$W$5001,"&lt;&gt;"))))</f>
        <v/>
      </c>
      <c r="F213" s="43" t="str">
        <f>IF(OR($B213="",$A213&gt;$B$9,F$206=""),"",IF(COUNTIFS(BD!$B$3:$B$5001,F$206,BD!$A$3:$A$5001,"&gt;="&amp;$C$7,BD!$A$3:$A$5001,"&lt;="&amp;$B213,BD!$W$3:$W$5001,"&lt;&gt;")=0,"",SUMIFS(BD!$W$3:$W$5001,BD!$B$3:$B$5001,F$206,BD!$A$3:$A$5001,_xlfn.MAXIFS(BD!$A$3:$A$5001,BD!$B$3:$B$5001,F$206,BD!$A$3:$A$5001,"&gt;="&amp;$C$7,BD!$A$3:$A$5001,"&lt;="&amp;$B213,BD!$W$3:$W$5001,"&lt;&gt;"))))</f>
        <v/>
      </c>
      <c r="G213" s="43" t="str">
        <f>IF(OR($B213="",$A213&gt;$B$9,G$206=""),"",IF(COUNTIFS(BD!$B$3:$B$5001,G$206,BD!$A$3:$A$5001,"&gt;="&amp;$C$7,BD!$A$3:$A$5001,"&lt;="&amp;$B213,BD!$W$3:$W$5001,"&lt;&gt;")=0,"",SUMIFS(BD!$W$3:$W$5001,BD!$B$3:$B$5001,G$206,BD!$A$3:$A$5001,_xlfn.MAXIFS(BD!$A$3:$A$5001,BD!$B$3:$B$5001,G$206,BD!$A$3:$A$5001,"&gt;="&amp;$C$7,BD!$A$3:$A$5001,"&lt;="&amp;$B213,BD!$W$3:$W$5001,"&lt;&gt;"))))</f>
        <v/>
      </c>
      <c r="H213" s="43" t="str">
        <f>IF(OR($B213="",$A213&gt;$B$9,H$206=""),"",IF(COUNTIFS(BD!$B$3:$B$5001,H$206,BD!$A$3:$A$5001,"&gt;="&amp;$C$7,BD!$A$3:$A$5001,"&lt;="&amp;$B213,BD!$W$3:$W$5001,"&lt;&gt;")=0,"",SUMIFS(BD!$W$3:$W$5001,BD!$B$3:$B$5001,H$206,BD!$A$3:$A$5001,_xlfn.MAXIFS(BD!$A$3:$A$5001,BD!$B$3:$B$5001,H$206,BD!$A$3:$A$5001,"&gt;="&amp;$C$7,BD!$A$3:$A$5001,"&lt;="&amp;$B213,BD!$W$3:$W$5001,"&lt;&gt;"))))</f>
        <v/>
      </c>
      <c r="I213" s="43" t="str">
        <f>IF(OR($B213="",$A213&gt;$B$9,I$206=""),"",IF(COUNTIFS(BD!$B$3:$B$5001,I$206,BD!$A$3:$A$5001,"&gt;="&amp;$C$7,BD!$A$3:$A$5001,"&lt;="&amp;$B213,BD!$W$3:$W$5001,"&lt;&gt;")=0,"",SUMIFS(BD!$W$3:$W$5001,BD!$B$3:$B$5001,I$206,BD!$A$3:$A$5001,_xlfn.MAXIFS(BD!$A$3:$A$5001,BD!$B$3:$B$5001,I$206,BD!$A$3:$A$5001,"&gt;="&amp;$C$7,BD!$A$3:$A$5001,"&lt;="&amp;$B213,BD!$W$3:$W$5001,"&lt;&gt;"))))</f>
        <v/>
      </c>
      <c r="J213" s="43" t="str">
        <f>IF(OR($B213="",$A213&gt;$B$9,J$206=""),"",IF(COUNTIFS(BD!$B$3:$B$5001,J$206,BD!$A$3:$A$5001,"&gt;="&amp;$C$7,BD!$A$3:$A$5001,"&lt;="&amp;$B213,BD!$W$3:$W$5001,"&lt;&gt;")=0,"",SUMIFS(BD!$W$3:$W$5001,BD!$B$3:$B$5001,J$206,BD!$A$3:$A$5001,_xlfn.MAXIFS(BD!$A$3:$A$5001,BD!$B$3:$B$5001,J$206,BD!$A$3:$A$5001,"&gt;="&amp;$C$7,BD!$A$3:$A$5001,"&lt;="&amp;$B213,BD!$W$3:$W$5001,"&lt;&gt;"))))</f>
        <v/>
      </c>
      <c r="K213" s="43" t="str">
        <f>IF(OR($B213="",$A213&gt;$B$9,K$206=""),"",IF(COUNTIFS(BD!$B$3:$B$5001,K$206,BD!$A$3:$A$5001,"&gt;="&amp;$C$7,BD!$A$3:$A$5001,"&lt;="&amp;$B213,BD!$W$3:$W$5001,"&lt;&gt;")=0,"",SUMIFS(BD!$W$3:$W$5001,BD!$B$3:$B$5001,K$206,BD!$A$3:$A$5001,_xlfn.MAXIFS(BD!$A$3:$A$5001,BD!$B$3:$B$5001,K$206,BD!$A$3:$A$5001,"&gt;="&amp;$C$7,BD!$A$3:$A$5001,"&lt;="&amp;$B213,BD!$W$3:$W$5001,"&lt;&gt;"))))</f>
        <v/>
      </c>
      <c r="L213" s="43" t="str">
        <f>IF(OR($B213="",$A213&gt;$B$9,L$206=""),"",IF(COUNTIFS(BD!$B$3:$B$5001,L$206,BD!$A$3:$A$5001,"&gt;="&amp;$C$7,BD!$A$3:$A$5001,"&lt;="&amp;$B213,BD!$W$3:$W$5001,"&lt;&gt;")=0,"",SUMIFS(BD!$W$3:$W$5001,BD!$B$3:$B$5001,L$206,BD!$A$3:$A$5001,_xlfn.MAXIFS(BD!$A$3:$A$5001,BD!$B$3:$B$5001,L$206,BD!$A$3:$A$5001,"&gt;="&amp;$C$7,BD!$A$3:$A$5001,"&lt;="&amp;$B213,BD!$W$3:$W$5001,"&lt;&gt;"))))</f>
        <v/>
      </c>
      <c r="M213" s="43" t="str">
        <f>IF(OR($B213="",$A213&gt;$B$9,M$206=""),"",IF(COUNTIFS(BD!$B$3:$B$5001,M$206,BD!$A$3:$A$5001,"&gt;="&amp;$C$7,BD!$A$3:$A$5001,"&lt;="&amp;$B213,BD!$W$3:$W$5001,"&lt;&gt;")=0,"",SUMIFS(BD!$W$3:$W$5001,BD!$B$3:$B$5001,M$206,BD!$A$3:$A$5001,_xlfn.MAXIFS(BD!$A$3:$A$5001,BD!$B$3:$B$5001,M$206,BD!$A$3:$A$5001,"&gt;="&amp;$C$7,BD!$A$3:$A$5001,"&lt;="&amp;$B213,BD!$W$3:$W$5001,"&lt;&gt;"))))</f>
        <v/>
      </c>
      <c r="N213" s="43" t="str">
        <f>IF(OR($B213="",$A213&gt;$B$9,N$206=""),"",IF(COUNTIFS(BD!$B$3:$B$5001,N$206,BD!$A$3:$A$5001,"&gt;="&amp;$C$7,BD!$A$3:$A$5001,"&lt;="&amp;$B213,BD!$W$3:$W$5001,"&lt;&gt;")=0,"",SUMIFS(BD!$W$3:$W$5001,BD!$B$3:$B$5001,N$206,BD!$A$3:$A$5001,_xlfn.MAXIFS(BD!$A$3:$A$5001,BD!$B$3:$B$5001,N$206,BD!$A$3:$A$5001,"&gt;="&amp;$C$7,BD!$A$3:$A$5001,"&lt;="&amp;$B213,BD!$W$3:$W$5001,"&lt;&gt;"))))</f>
        <v/>
      </c>
      <c r="O213" s="43" t="str">
        <f>IF(OR($B213="",$A213&gt;$B$9,O$206=""),"",IF(COUNTIFS(BD!$B$3:$B$5001,O$206,BD!$A$3:$A$5001,"&gt;="&amp;$C$7,BD!$A$3:$A$5001,"&lt;="&amp;$B213,BD!$W$3:$W$5001,"&lt;&gt;")=0,"",SUMIFS(BD!$W$3:$W$5001,BD!$B$3:$B$5001,O$206,BD!$A$3:$A$5001,_xlfn.MAXIFS(BD!$A$3:$A$5001,BD!$B$3:$B$5001,O$206,BD!$A$3:$A$5001,"&gt;="&amp;$C$7,BD!$A$3:$A$5001,"&lt;="&amp;$B213,BD!$W$3:$W$5001,"&lt;&gt;"))))</f>
        <v/>
      </c>
      <c r="P213" s="43" t="str">
        <f>IF(OR($B213="",$A213&gt;$B$9,P$206=""),"",IF(COUNTIFS(BD!$B$3:$B$5001,P$206,BD!$A$3:$A$5001,"&gt;="&amp;$C$7,BD!$A$3:$A$5001,"&lt;="&amp;$B213,BD!$W$3:$W$5001,"&lt;&gt;")=0,"",SUMIFS(BD!$W$3:$W$5001,BD!$B$3:$B$5001,P$206,BD!$A$3:$A$5001,_xlfn.MAXIFS(BD!$A$3:$A$5001,BD!$B$3:$B$5001,P$206,BD!$A$3:$A$5001,"&gt;="&amp;$C$7,BD!$A$3:$A$5001,"&lt;="&amp;$B213,BD!$W$3:$W$5001,"&lt;&gt;"))))</f>
        <v/>
      </c>
      <c r="Q213" s="43" t="str">
        <f>IF(OR($B213="",$A213&gt;$B$9,Q$206=""),"",IF(COUNTIFS(BD!$B$3:$B$5001,Q$206,BD!$A$3:$A$5001,"&gt;="&amp;$C$7,BD!$A$3:$A$5001,"&lt;="&amp;$B213,BD!$W$3:$W$5001,"&lt;&gt;")=0,"",SUMIFS(BD!$W$3:$W$5001,BD!$B$3:$B$5001,Q$206,BD!$A$3:$A$5001,_xlfn.MAXIFS(BD!$A$3:$A$5001,BD!$B$3:$B$5001,Q$206,BD!$A$3:$A$5001,"&gt;="&amp;$C$7,BD!$A$3:$A$5001,"&lt;="&amp;$B213,BD!$W$3:$W$5001,"&lt;&gt;"))))</f>
        <v/>
      </c>
      <c r="R213" s="43" t="str">
        <f>IF(OR($B213="",$A213&gt;$B$9,R$206=""),"",IF(COUNTIFS(BD!$B$3:$B$5001,R$206,BD!$A$3:$A$5001,"&gt;="&amp;$C$7,BD!$A$3:$A$5001,"&lt;="&amp;$B213,BD!$W$3:$W$5001,"&lt;&gt;")=0,"",SUMIFS(BD!$W$3:$W$5001,BD!$B$3:$B$5001,R$206,BD!$A$3:$A$5001,_xlfn.MAXIFS(BD!$A$3:$A$5001,BD!$B$3:$B$5001,R$206,BD!$A$3:$A$5001,"&gt;="&amp;$C$7,BD!$A$3:$A$5001,"&lt;="&amp;$B213,BD!$W$3:$W$5001,"&lt;&gt;"))))</f>
        <v/>
      </c>
      <c r="S213" s="43" t="str">
        <f>IF(OR($B213="",$A213&gt;$B$9,S$206=""),"",IF(COUNTIFS(BD!$B$3:$B$5001,S$206,BD!$A$3:$A$5001,"&gt;="&amp;$C$7,BD!$A$3:$A$5001,"&lt;="&amp;$B213,BD!$W$3:$W$5001,"&lt;&gt;")=0,"",SUMIFS(BD!$W$3:$W$5001,BD!$B$3:$B$5001,S$206,BD!$A$3:$A$5001,_xlfn.MAXIFS(BD!$A$3:$A$5001,BD!$B$3:$B$5001,S$206,BD!$A$3:$A$5001,"&gt;="&amp;$C$7,BD!$A$3:$A$5001,"&lt;="&amp;$B213,BD!$W$3:$W$5001,"&lt;&gt;"))))</f>
        <v/>
      </c>
      <c r="T213" s="43" t="str">
        <f>IF(OR($B213="",$A213&gt;$B$9,T$206=""),"",IF(COUNTIFS(BD!$B$3:$B$5001,T$206,BD!$A$3:$A$5001,"&gt;="&amp;$C$7,BD!$A$3:$A$5001,"&lt;="&amp;$B213,BD!$W$3:$W$5001,"&lt;&gt;")=0,"",SUMIFS(BD!$W$3:$W$5001,BD!$B$3:$B$5001,T$206,BD!$A$3:$A$5001,_xlfn.MAXIFS(BD!$A$3:$A$5001,BD!$B$3:$B$5001,T$206,BD!$A$3:$A$5001,"&gt;="&amp;$C$7,BD!$A$3:$A$5001,"&lt;="&amp;$B213,BD!$W$3:$W$5001,"&lt;&gt;"))))</f>
        <v/>
      </c>
      <c r="U213" s="43" t="str">
        <f>IF(OR($B213="",$A213&gt;$B$9,U$206=""),"",IF(COUNTIFS(BD!$B$3:$B$5001,U$206,BD!$A$3:$A$5001,"&gt;="&amp;$C$7,BD!$A$3:$A$5001,"&lt;="&amp;$B213,BD!$W$3:$W$5001,"&lt;&gt;")=0,"",SUMIFS(BD!$W$3:$W$5001,BD!$B$3:$B$5001,U$206,BD!$A$3:$A$5001,_xlfn.MAXIFS(BD!$A$3:$A$5001,BD!$B$3:$B$5001,U$206,BD!$A$3:$A$5001,"&gt;="&amp;$C$7,BD!$A$3:$A$5001,"&lt;="&amp;$B213,BD!$W$3:$W$5001,"&lt;&gt;"))))</f>
        <v/>
      </c>
      <c r="V213" s="43" t="str">
        <f>IF(OR($B213="",$A213&gt;$B$9,V$206=""),"",IF(COUNTIFS(BD!$B$3:$B$5001,V$206,BD!$A$3:$A$5001,"&gt;="&amp;$C$7,BD!$A$3:$A$5001,"&lt;="&amp;$B213,BD!$W$3:$W$5001,"&lt;&gt;")=0,"",SUMIFS(BD!$W$3:$W$5001,BD!$B$3:$B$5001,V$206,BD!$A$3:$A$5001,_xlfn.MAXIFS(BD!$A$3:$A$5001,BD!$B$3:$B$5001,V$206,BD!$A$3:$A$5001,"&gt;="&amp;$C$7,BD!$A$3:$A$5001,"&lt;="&amp;$B213,BD!$W$3:$W$5001,"&lt;&gt;"))))</f>
        <v/>
      </c>
    </row>
    <row r="214">
      <c r="A214" s="38">
        <v>8</v>
      </c>
      <c r="B214" s="42">
        <f>$B$19</f>
        <v>46303</v>
      </c>
      <c r="C214" s="43" t="str">
        <f>IF(OR($B214="",$A214&gt;$B$9,C$206=""),"",IF(COUNTIFS(BD!$B$3:$B$5001,C$206,BD!$A$3:$A$5001,"&gt;="&amp;$C$7,BD!$A$3:$A$5001,"&lt;="&amp;$B214,BD!$W$3:$W$5001,"&lt;&gt;")=0,"",SUMIFS(BD!$W$3:$W$5001,BD!$B$3:$B$5001,C$206,BD!$A$3:$A$5001,_xlfn.MAXIFS(BD!$A$3:$A$5001,BD!$B$3:$B$5001,C$206,BD!$A$3:$A$5001,"&gt;="&amp;$C$7,BD!$A$3:$A$5001,"&lt;="&amp;$B214,BD!$W$3:$W$5001,"&lt;&gt;"))))</f>
        <v/>
      </c>
      <c r="D214" s="43" t="str">
        <f>IF(OR($B214="",$A214&gt;$B$9,D$206=""),"",IF(COUNTIFS(BD!$B$3:$B$5001,D$206,BD!$A$3:$A$5001,"&gt;="&amp;$C$7,BD!$A$3:$A$5001,"&lt;="&amp;$B214,BD!$W$3:$W$5001,"&lt;&gt;")=0,"",SUMIFS(BD!$W$3:$W$5001,BD!$B$3:$B$5001,D$206,BD!$A$3:$A$5001,_xlfn.MAXIFS(BD!$A$3:$A$5001,BD!$B$3:$B$5001,D$206,BD!$A$3:$A$5001,"&gt;="&amp;$C$7,BD!$A$3:$A$5001,"&lt;="&amp;$B214,BD!$W$3:$W$5001,"&lt;&gt;"))))</f>
        <v/>
      </c>
      <c r="E214" s="43" t="str">
        <f>IF(OR($B214="",$A214&gt;$B$9,E$206=""),"",IF(COUNTIFS(BD!$B$3:$B$5001,E$206,BD!$A$3:$A$5001,"&gt;="&amp;$C$7,BD!$A$3:$A$5001,"&lt;="&amp;$B214,BD!$W$3:$W$5001,"&lt;&gt;")=0,"",SUMIFS(BD!$W$3:$W$5001,BD!$B$3:$B$5001,E$206,BD!$A$3:$A$5001,_xlfn.MAXIFS(BD!$A$3:$A$5001,BD!$B$3:$B$5001,E$206,BD!$A$3:$A$5001,"&gt;="&amp;$C$7,BD!$A$3:$A$5001,"&lt;="&amp;$B214,BD!$W$3:$W$5001,"&lt;&gt;"))))</f>
        <v/>
      </c>
      <c r="F214" s="43" t="str">
        <f>IF(OR($B214="",$A214&gt;$B$9,F$206=""),"",IF(COUNTIFS(BD!$B$3:$B$5001,F$206,BD!$A$3:$A$5001,"&gt;="&amp;$C$7,BD!$A$3:$A$5001,"&lt;="&amp;$B214,BD!$W$3:$W$5001,"&lt;&gt;")=0,"",SUMIFS(BD!$W$3:$W$5001,BD!$B$3:$B$5001,F$206,BD!$A$3:$A$5001,_xlfn.MAXIFS(BD!$A$3:$A$5001,BD!$B$3:$B$5001,F$206,BD!$A$3:$A$5001,"&gt;="&amp;$C$7,BD!$A$3:$A$5001,"&lt;="&amp;$B214,BD!$W$3:$W$5001,"&lt;&gt;"))))</f>
        <v/>
      </c>
      <c r="G214" s="43" t="str">
        <f>IF(OR($B214="",$A214&gt;$B$9,G$206=""),"",IF(COUNTIFS(BD!$B$3:$B$5001,G$206,BD!$A$3:$A$5001,"&gt;="&amp;$C$7,BD!$A$3:$A$5001,"&lt;="&amp;$B214,BD!$W$3:$W$5001,"&lt;&gt;")=0,"",SUMIFS(BD!$W$3:$W$5001,BD!$B$3:$B$5001,G$206,BD!$A$3:$A$5001,_xlfn.MAXIFS(BD!$A$3:$A$5001,BD!$B$3:$B$5001,G$206,BD!$A$3:$A$5001,"&gt;="&amp;$C$7,BD!$A$3:$A$5001,"&lt;="&amp;$B214,BD!$W$3:$W$5001,"&lt;&gt;"))))</f>
        <v/>
      </c>
      <c r="H214" s="43" t="str">
        <f>IF(OR($B214="",$A214&gt;$B$9,H$206=""),"",IF(COUNTIFS(BD!$B$3:$B$5001,H$206,BD!$A$3:$A$5001,"&gt;="&amp;$C$7,BD!$A$3:$A$5001,"&lt;="&amp;$B214,BD!$W$3:$W$5001,"&lt;&gt;")=0,"",SUMIFS(BD!$W$3:$W$5001,BD!$B$3:$B$5001,H$206,BD!$A$3:$A$5001,_xlfn.MAXIFS(BD!$A$3:$A$5001,BD!$B$3:$B$5001,H$206,BD!$A$3:$A$5001,"&gt;="&amp;$C$7,BD!$A$3:$A$5001,"&lt;="&amp;$B214,BD!$W$3:$W$5001,"&lt;&gt;"))))</f>
        <v/>
      </c>
      <c r="I214" s="43" t="str">
        <f>IF(OR($B214="",$A214&gt;$B$9,I$206=""),"",IF(COUNTIFS(BD!$B$3:$B$5001,I$206,BD!$A$3:$A$5001,"&gt;="&amp;$C$7,BD!$A$3:$A$5001,"&lt;="&amp;$B214,BD!$W$3:$W$5001,"&lt;&gt;")=0,"",SUMIFS(BD!$W$3:$W$5001,BD!$B$3:$B$5001,I$206,BD!$A$3:$A$5001,_xlfn.MAXIFS(BD!$A$3:$A$5001,BD!$B$3:$B$5001,I$206,BD!$A$3:$A$5001,"&gt;="&amp;$C$7,BD!$A$3:$A$5001,"&lt;="&amp;$B214,BD!$W$3:$W$5001,"&lt;&gt;"))))</f>
        <v/>
      </c>
      <c r="J214" s="43" t="str">
        <f>IF(OR($B214="",$A214&gt;$B$9,J$206=""),"",IF(COUNTIFS(BD!$B$3:$B$5001,J$206,BD!$A$3:$A$5001,"&gt;="&amp;$C$7,BD!$A$3:$A$5001,"&lt;="&amp;$B214,BD!$W$3:$W$5001,"&lt;&gt;")=0,"",SUMIFS(BD!$W$3:$W$5001,BD!$B$3:$B$5001,J$206,BD!$A$3:$A$5001,_xlfn.MAXIFS(BD!$A$3:$A$5001,BD!$B$3:$B$5001,J$206,BD!$A$3:$A$5001,"&gt;="&amp;$C$7,BD!$A$3:$A$5001,"&lt;="&amp;$B214,BD!$W$3:$W$5001,"&lt;&gt;"))))</f>
        <v/>
      </c>
      <c r="K214" s="43" t="str">
        <f>IF(OR($B214="",$A214&gt;$B$9,K$206=""),"",IF(COUNTIFS(BD!$B$3:$B$5001,K$206,BD!$A$3:$A$5001,"&gt;="&amp;$C$7,BD!$A$3:$A$5001,"&lt;="&amp;$B214,BD!$W$3:$W$5001,"&lt;&gt;")=0,"",SUMIFS(BD!$W$3:$W$5001,BD!$B$3:$B$5001,K$206,BD!$A$3:$A$5001,_xlfn.MAXIFS(BD!$A$3:$A$5001,BD!$B$3:$B$5001,K$206,BD!$A$3:$A$5001,"&gt;="&amp;$C$7,BD!$A$3:$A$5001,"&lt;="&amp;$B214,BD!$W$3:$W$5001,"&lt;&gt;"))))</f>
        <v/>
      </c>
      <c r="L214" s="43" t="str">
        <f>IF(OR($B214="",$A214&gt;$B$9,L$206=""),"",IF(COUNTIFS(BD!$B$3:$B$5001,L$206,BD!$A$3:$A$5001,"&gt;="&amp;$C$7,BD!$A$3:$A$5001,"&lt;="&amp;$B214,BD!$W$3:$W$5001,"&lt;&gt;")=0,"",SUMIFS(BD!$W$3:$W$5001,BD!$B$3:$B$5001,L$206,BD!$A$3:$A$5001,_xlfn.MAXIFS(BD!$A$3:$A$5001,BD!$B$3:$B$5001,L$206,BD!$A$3:$A$5001,"&gt;="&amp;$C$7,BD!$A$3:$A$5001,"&lt;="&amp;$B214,BD!$W$3:$W$5001,"&lt;&gt;"))))</f>
        <v/>
      </c>
      <c r="M214" s="43" t="str">
        <f>IF(OR($B214="",$A214&gt;$B$9,M$206=""),"",IF(COUNTIFS(BD!$B$3:$B$5001,M$206,BD!$A$3:$A$5001,"&gt;="&amp;$C$7,BD!$A$3:$A$5001,"&lt;="&amp;$B214,BD!$W$3:$W$5001,"&lt;&gt;")=0,"",SUMIFS(BD!$W$3:$W$5001,BD!$B$3:$B$5001,M$206,BD!$A$3:$A$5001,_xlfn.MAXIFS(BD!$A$3:$A$5001,BD!$B$3:$B$5001,M$206,BD!$A$3:$A$5001,"&gt;="&amp;$C$7,BD!$A$3:$A$5001,"&lt;="&amp;$B214,BD!$W$3:$W$5001,"&lt;&gt;"))))</f>
        <v/>
      </c>
      <c r="N214" s="43" t="str">
        <f>IF(OR($B214="",$A214&gt;$B$9,N$206=""),"",IF(COUNTIFS(BD!$B$3:$B$5001,N$206,BD!$A$3:$A$5001,"&gt;="&amp;$C$7,BD!$A$3:$A$5001,"&lt;="&amp;$B214,BD!$W$3:$W$5001,"&lt;&gt;")=0,"",SUMIFS(BD!$W$3:$W$5001,BD!$B$3:$B$5001,N$206,BD!$A$3:$A$5001,_xlfn.MAXIFS(BD!$A$3:$A$5001,BD!$B$3:$B$5001,N$206,BD!$A$3:$A$5001,"&gt;="&amp;$C$7,BD!$A$3:$A$5001,"&lt;="&amp;$B214,BD!$W$3:$W$5001,"&lt;&gt;"))))</f>
        <v/>
      </c>
      <c r="O214" s="43" t="str">
        <f>IF(OR($B214="",$A214&gt;$B$9,O$206=""),"",IF(COUNTIFS(BD!$B$3:$B$5001,O$206,BD!$A$3:$A$5001,"&gt;="&amp;$C$7,BD!$A$3:$A$5001,"&lt;="&amp;$B214,BD!$W$3:$W$5001,"&lt;&gt;")=0,"",SUMIFS(BD!$W$3:$W$5001,BD!$B$3:$B$5001,O$206,BD!$A$3:$A$5001,_xlfn.MAXIFS(BD!$A$3:$A$5001,BD!$B$3:$B$5001,O$206,BD!$A$3:$A$5001,"&gt;="&amp;$C$7,BD!$A$3:$A$5001,"&lt;="&amp;$B214,BD!$W$3:$W$5001,"&lt;&gt;"))))</f>
        <v/>
      </c>
      <c r="P214" s="43" t="str">
        <f>IF(OR($B214="",$A214&gt;$B$9,P$206=""),"",IF(COUNTIFS(BD!$B$3:$B$5001,P$206,BD!$A$3:$A$5001,"&gt;="&amp;$C$7,BD!$A$3:$A$5001,"&lt;="&amp;$B214,BD!$W$3:$W$5001,"&lt;&gt;")=0,"",SUMIFS(BD!$W$3:$W$5001,BD!$B$3:$B$5001,P$206,BD!$A$3:$A$5001,_xlfn.MAXIFS(BD!$A$3:$A$5001,BD!$B$3:$B$5001,P$206,BD!$A$3:$A$5001,"&gt;="&amp;$C$7,BD!$A$3:$A$5001,"&lt;="&amp;$B214,BD!$W$3:$W$5001,"&lt;&gt;"))))</f>
        <v/>
      </c>
      <c r="Q214" s="43" t="str">
        <f>IF(OR($B214="",$A214&gt;$B$9,Q$206=""),"",IF(COUNTIFS(BD!$B$3:$B$5001,Q$206,BD!$A$3:$A$5001,"&gt;="&amp;$C$7,BD!$A$3:$A$5001,"&lt;="&amp;$B214,BD!$W$3:$W$5001,"&lt;&gt;")=0,"",SUMIFS(BD!$W$3:$W$5001,BD!$B$3:$B$5001,Q$206,BD!$A$3:$A$5001,_xlfn.MAXIFS(BD!$A$3:$A$5001,BD!$B$3:$B$5001,Q$206,BD!$A$3:$A$5001,"&gt;="&amp;$C$7,BD!$A$3:$A$5001,"&lt;="&amp;$B214,BD!$W$3:$W$5001,"&lt;&gt;"))))</f>
        <v/>
      </c>
      <c r="R214" s="43" t="str">
        <f>IF(OR($B214="",$A214&gt;$B$9,R$206=""),"",IF(COUNTIFS(BD!$B$3:$B$5001,R$206,BD!$A$3:$A$5001,"&gt;="&amp;$C$7,BD!$A$3:$A$5001,"&lt;="&amp;$B214,BD!$W$3:$W$5001,"&lt;&gt;")=0,"",SUMIFS(BD!$W$3:$W$5001,BD!$B$3:$B$5001,R$206,BD!$A$3:$A$5001,_xlfn.MAXIFS(BD!$A$3:$A$5001,BD!$B$3:$B$5001,R$206,BD!$A$3:$A$5001,"&gt;="&amp;$C$7,BD!$A$3:$A$5001,"&lt;="&amp;$B214,BD!$W$3:$W$5001,"&lt;&gt;"))))</f>
        <v/>
      </c>
      <c r="S214" s="43" t="str">
        <f>IF(OR($B214="",$A214&gt;$B$9,S$206=""),"",IF(COUNTIFS(BD!$B$3:$B$5001,S$206,BD!$A$3:$A$5001,"&gt;="&amp;$C$7,BD!$A$3:$A$5001,"&lt;="&amp;$B214,BD!$W$3:$W$5001,"&lt;&gt;")=0,"",SUMIFS(BD!$W$3:$W$5001,BD!$B$3:$B$5001,S$206,BD!$A$3:$A$5001,_xlfn.MAXIFS(BD!$A$3:$A$5001,BD!$B$3:$B$5001,S$206,BD!$A$3:$A$5001,"&gt;="&amp;$C$7,BD!$A$3:$A$5001,"&lt;="&amp;$B214,BD!$W$3:$W$5001,"&lt;&gt;"))))</f>
        <v/>
      </c>
      <c r="T214" s="43" t="str">
        <f>IF(OR($B214="",$A214&gt;$B$9,T$206=""),"",IF(COUNTIFS(BD!$B$3:$B$5001,T$206,BD!$A$3:$A$5001,"&gt;="&amp;$C$7,BD!$A$3:$A$5001,"&lt;="&amp;$B214,BD!$W$3:$W$5001,"&lt;&gt;")=0,"",SUMIFS(BD!$W$3:$W$5001,BD!$B$3:$B$5001,T$206,BD!$A$3:$A$5001,_xlfn.MAXIFS(BD!$A$3:$A$5001,BD!$B$3:$B$5001,T$206,BD!$A$3:$A$5001,"&gt;="&amp;$C$7,BD!$A$3:$A$5001,"&lt;="&amp;$B214,BD!$W$3:$W$5001,"&lt;&gt;"))))</f>
        <v/>
      </c>
      <c r="U214" s="43" t="str">
        <f>IF(OR($B214="",$A214&gt;$B$9,U$206=""),"",IF(COUNTIFS(BD!$B$3:$B$5001,U$206,BD!$A$3:$A$5001,"&gt;="&amp;$C$7,BD!$A$3:$A$5001,"&lt;="&amp;$B214,BD!$W$3:$W$5001,"&lt;&gt;")=0,"",SUMIFS(BD!$W$3:$W$5001,BD!$B$3:$B$5001,U$206,BD!$A$3:$A$5001,_xlfn.MAXIFS(BD!$A$3:$A$5001,BD!$B$3:$B$5001,U$206,BD!$A$3:$A$5001,"&gt;="&amp;$C$7,BD!$A$3:$A$5001,"&lt;="&amp;$B214,BD!$W$3:$W$5001,"&lt;&gt;"))))</f>
        <v/>
      </c>
      <c r="V214" s="43" t="str">
        <f>IF(OR($B214="",$A214&gt;$B$9,V$206=""),"",IF(COUNTIFS(BD!$B$3:$B$5001,V$206,BD!$A$3:$A$5001,"&gt;="&amp;$C$7,BD!$A$3:$A$5001,"&lt;="&amp;$B214,BD!$W$3:$W$5001,"&lt;&gt;")=0,"",SUMIFS(BD!$W$3:$W$5001,BD!$B$3:$B$5001,V$206,BD!$A$3:$A$5001,_xlfn.MAXIFS(BD!$A$3:$A$5001,BD!$B$3:$B$5001,V$206,BD!$A$3:$A$5001,"&gt;="&amp;$C$7,BD!$A$3:$A$5001,"&lt;="&amp;$B214,BD!$W$3:$W$5001,"&lt;&gt;"))))</f>
        <v/>
      </c>
    </row>
    <row r="215">
      <c r="A215" s="38">
        <v>9</v>
      </c>
      <c r="B215" s="42">
        <f>$B$20</f>
        <v>46304</v>
      </c>
      <c r="C215" s="43" t="str">
        <f>IF(OR($B215="",$A215&gt;$B$9,C$206=""),"",IF(COUNTIFS(BD!$B$3:$B$5001,C$206,BD!$A$3:$A$5001,"&gt;="&amp;$C$7,BD!$A$3:$A$5001,"&lt;="&amp;$B215,BD!$W$3:$W$5001,"&lt;&gt;")=0,"",SUMIFS(BD!$W$3:$W$5001,BD!$B$3:$B$5001,C$206,BD!$A$3:$A$5001,_xlfn.MAXIFS(BD!$A$3:$A$5001,BD!$B$3:$B$5001,C$206,BD!$A$3:$A$5001,"&gt;="&amp;$C$7,BD!$A$3:$A$5001,"&lt;="&amp;$B215,BD!$W$3:$W$5001,"&lt;&gt;"))))</f>
        <v/>
      </c>
      <c r="D215" s="43" t="str">
        <f>IF(OR($B215="",$A215&gt;$B$9,D$206=""),"",IF(COUNTIFS(BD!$B$3:$B$5001,D$206,BD!$A$3:$A$5001,"&gt;="&amp;$C$7,BD!$A$3:$A$5001,"&lt;="&amp;$B215,BD!$W$3:$W$5001,"&lt;&gt;")=0,"",SUMIFS(BD!$W$3:$W$5001,BD!$B$3:$B$5001,D$206,BD!$A$3:$A$5001,_xlfn.MAXIFS(BD!$A$3:$A$5001,BD!$B$3:$B$5001,D$206,BD!$A$3:$A$5001,"&gt;="&amp;$C$7,BD!$A$3:$A$5001,"&lt;="&amp;$B215,BD!$W$3:$W$5001,"&lt;&gt;"))))</f>
        <v/>
      </c>
      <c r="E215" s="43" t="str">
        <f>IF(OR($B215="",$A215&gt;$B$9,E$206=""),"",IF(COUNTIFS(BD!$B$3:$B$5001,E$206,BD!$A$3:$A$5001,"&gt;="&amp;$C$7,BD!$A$3:$A$5001,"&lt;="&amp;$B215,BD!$W$3:$W$5001,"&lt;&gt;")=0,"",SUMIFS(BD!$W$3:$W$5001,BD!$B$3:$B$5001,E$206,BD!$A$3:$A$5001,_xlfn.MAXIFS(BD!$A$3:$A$5001,BD!$B$3:$B$5001,E$206,BD!$A$3:$A$5001,"&gt;="&amp;$C$7,BD!$A$3:$A$5001,"&lt;="&amp;$B215,BD!$W$3:$W$5001,"&lt;&gt;"))))</f>
        <v/>
      </c>
      <c r="F215" s="43" t="str">
        <f>IF(OR($B215="",$A215&gt;$B$9,F$206=""),"",IF(COUNTIFS(BD!$B$3:$B$5001,F$206,BD!$A$3:$A$5001,"&gt;="&amp;$C$7,BD!$A$3:$A$5001,"&lt;="&amp;$B215,BD!$W$3:$W$5001,"&lt;&gt;")=0,"",SUMIFS(BD!$W$3:$W$5001,BD!$B$3:$B$5001,F$206,BD!$A$3:$A$5001,_xlfn.MAXIFS(BD!$A$3:$A$5001,BD!$B$3:$B$5001,F$206,BD!$A$3:$A$5001,"&gt;="&amp;$C$7,BD!$A$3:$A$5001,"&lt;="&amp;$B215,BD!$W$3:$W$5001,"&lt;&gt;"))))</f>
        <v/>
      </c>
      <c r="G215" s="43" t="str">
        <f>IF(OR($B215="",$A215&gt;$B$9,G$206=""),"",IF(COUNTIFS(BD!$B$3:$B$5001,G$206,BD!$A$3:$A$5001,"&gt;="&amp;$C$7,BD!$A$3:$A$5001,"&lt;="&amp;$B215,BD!$W$3:$W$5001,"&lt;&gt;")=0,"",SUMIFS(BD!$W$3:$W$5001,BD!$B$3:$B$5001,G$206,BD!$A$3:$A$5001,_xlfn.MAXIFS(BD!$A$3:$A$5001,BD!$B$3:$B$5001,G$206,BD!$A$3:$A$5001,"&gt;="&amp;$C$7,BD!$A$3:$A$5001,"&lt;="&amp;$B215,BD!$W$3:$W$5001,"&lt;&gt;"))))</f>
        <v/>
      </c>
      <c r="H215" s="43" t="str">
        <f>IF(OR($B215="",$A215&gt;$B$9,H$206=""),"",IF(COUNTIFS(BD!$B$3:$B$5001,H$206,BD!$A$3:$A$5001,"&gt;="&amp;$C$7,BD!$A$3:$A$5001,"&lt;="&amp;$B215,BD!$W$3:$W$5001,"&lt;&gt;")=0,"",SUMIFS(BD!$W$3:$W$5001,BD!$B$3:$B$5001,H$206,BD!$A$3:$A$5001,_xlfn.MAXIFS(BD!$A$3:$A$5001,BD!$B$3:$B$5001,H$206,BD!$A$3:$A$5001,"&gt;="&amp;$C$7,BD!$A$3:$A$5001,"&lt;="&amp;$B215,BD!$W$3:$W$5001,"&lt;&gt;"))))</f>
        <v/>
      </c>
      <c r="I215" s="43" t="str">
        <f>IF(OR($B215="",$A215&gt;$B$9,I$206=""),"",IF(COUNTIFS(BD!$B$3:$B$5001,I$206,BD!$A$3:$A$5001,"&gt;="&amp;$C$7,BD!$A$3:$A$5001,"&lt;="&amp;$B215,BD!$W$3:$W$5001,"&lt;&gt;")=0,"",SUMIFS(BD!$W$3:$W$5001,BD!$B$3:$B$5001,I$206,BD!$A$3:$A$5001,_xlfn.MAXIFS(BD!$A$3:$A$5001,BD!$B$3:$B$5001,I$206,BD!$A$3:$A$5001,"&gt;="&amp;$C$7,BD!$A$3:$A$5001,"&lt;="&amp;$B215,BD!$W$3:$W$5001,"&lt;&gt;"))))</f>
        <v/>
      </c>
      <c r="J215" s="43" t="str">
        <f>IF(OR($B215="",$A215&gt;$B$9,J$206=""),"",IF(COUNTIFS(BD!$B$3:$B$5001,J$206,BD!$A$3:$A$5001,"&gt;="&amp;$C$7,BD!$A$3:$A$5001,"&lt;="&amp;$B215,BD!$W$3:$W$5001,"&lt;&gt;")=0,"",SUMIFS(BD!$W$3:$W$5001,BD!$B$3:$B$5001,J$206,BD!$A$3:$A$5001,_xlfn.MAXIFS(BD!$A$3:$A$5001,BD!$B$3:$B$5001,J$206,BD!$A$3:$A$5001,"&gt;="&amp;$C$7,BD!$A$3:$A$5001,"&lt;="&amp;$B215,BD!$W$3:$W$5001,"&lt;&gt;"))))</f>
        <v/>
      </c>
      <c r="K215" s="43" t="str">
        <f>IF(OR($B215="",$A215&gt;$B$9,K$206=""),"",IF(COUNTIFS(BD!$B$3:$B$5001,K$206,BD!$A$3:$A$5001,"&gt;="&amp;$C$7,BD!$A$3:$A$5001,"&lt;="&amp;$B215,BD!$W$3:$W$5001,"&lt;&gt;")=0,"",SUMIFS(BD!$W$3:$W$5001,BD!$B$3:$B$5001,K$206,BD!$A$3:$A$5001,_xlfn.MAXIFS(BD!$A$3:$A$5001,BD!$B$3:$B$5001,K$206,BD!$A$3:$A$5001,"&gt;="&amp;$C$7,BD!$A$3:$A$5001,"&lt;="&amp;$B215,BD!$W$3:$W$5001,"&lt;&gt;"))))</f>
        <v/>
      </c>
      <c r="L215" s="43" t="str">
        <f>IF(OR($B215="",$A215&gt;$B$9,L$206=""),"",IF(COUNTIFS(BD!$B$3:$B$5001,L$206,BD!$A$3:$A$5001,"&gt;="&amp;$C$7,BD!$A$3:$A$5001,"&lt;="&amp;$B215,BD!$W$3:$W$5001,"&lt;&gt;")=0,"",SUMIFS(BD!$W$3:$W$5001,BD!$B$3:$B$5001,L$206,BD!$A$3:$A$5001,_xlfn.MAXIFS(BD!$A$3:$A$5001,BD!$B$3:$B$5001,L$206,BD!$A$3:$A$5001,"&gt;="&amp;$C$7,BD!$A$3:$A$5001,"&lt;="&amp;$B215,BD!$W$3:$W$5001,"&lt;&gt;"))))</f>
        <v/>
      </c>
      <c r="M215" s="43" t="str">
        <f>IF(OR($B215="",$A215&gt;$B$9,M$206=""),"",IF(COUNTIFS(BD!$B$3:$B$5001,M$206,BD!$A$3:$A$5001,"&gt;="&amp;$C$7,BD!$A$3:$A$5001,"&lt;="&amp;$B215,BD!$W$3:$W$5001,"&lt;&gt;")=0,"",SUMIFS(BD!$W$3:$W$5001,BD!$B$3:$B$5001,M$206,BD!$A$3:$A$5001,_xlfn.MAXIFS(BD!$A$3:$A$5001,BD!$B$3:$B$5001,M$206,BD!$A$3:$A$5001,"&gt;="&amp;$C$7,BD!$A$3:$A$5001,"&lt;="&amp;$B215,BD!$W$3:$W$5001,"&lt;&gt;"))))</f>
        <v/>
      </c>
      <c r="N215" s="43" t="str">
        <f>IF(OR($B215="",$A215&gt;$B$9,N$206=""),"",IF(COUNTIFS(BD!$B$3:$B$5001,N$206,BD!$A$3:$A$5001,"&gt;="&amp;$C$7,BD!$A$3:$A$5001,"&lt;="&amp;$B215,BD!$W$3:$W$5001,"&lt;&gt;")=0,"",SUMIFS(BD!$W$3:$W$5001,BD!$B$3:$B$5001,N$206,BD!$A$3:$A$5001,_xlfn.MAXIFS(BD!$A$3:$A$5001,BD!$B$3:$B$5001,N$206,BD!$A$3:$A$5001,"&gt;="&amp;$C$7,BD!$A$3:$A$5001,"&lt;="&amp;$B215,BD!$W$3:$W$5001,"&lt;&gt;"))))</f>
        <v/>
      </c>
      <c r="O215" s="43" t="str">
        <f>IF(OR($B215="",$A215&gt;$B$9,O$206=""),"",IF(COUNTIFS(BD!$B$3:$B$5001,O$206,BD!$A$3:$A$5001,"&gt;="&amp;$C$7,BD!$A$3:$A$5001,"&lt;="&amp;$B215,BD!$W$3:$W$5001,"&lt;&gt;")=0,"",SUMIFS(BD!$W$3:$W$5001,BD!$B$3:$B$5001,O$206,BD!$A$3:$A$5001,_xlfn.MAXIFS(BD!$A$3:$A$5001,BD!$B$3:$B$5001,O$206,BD!$A$3:$A$5001,"&gt;="&amp;$C$7,BD!$A$3:$A$5001,"&lt;="&amp;$B215,BD!$W$3:$W$5001,"&lt;&gt;"))))</f>
        <v/>
      </c>
      <c r="P215" s="43" t="str">
        <f>IF(OR($B215="",$A215&gt;$B$9,P$206=""),"",IF(COUNTIFS(BD!$B$3:$B$5001,P$206,BD!$A$3:$A$5001,"&gt;="&amp;$C$7,BD!$A$3:$A$5001,"&lt;="&amp;$B215,BD!$W$3:$W$5001,"&lt;&gt;")=0,"",SUMIFS(BD!$W$3:$W$5001,BD!$B$3:$B$5001,P$206,BD!$A$3:$A$5001,_xlfn.MAXIFS(BD!$A$3:$A$5001,BD!$B$3:$B$5001,P$206,BD!$A$3:$A$5001,"&gt;="&amp;$C$7,BD!$A$3:$A$5001,"&lt;="&amp;$B215,BD!$W$3:$W$5001,"&lt;&gt;"))))</f>
        <v/>
      </c>
      <c r="Q215" s="43" t="str">
        <f>IF(OR($B215="",$A215&gt;$B$9,Q$206=""),"",IF(COUNTIFS(BD!$B$3:$B$5001,Q$206,BD!$A$3:$A$5001,"&gt;="&amp;$C$7,BD!$A$3:$A$5001,"&lt;="&amp;$B215,BD!$W$3:$W$5001,"&lt;&gt;")=0,"",SUMIFS(BD!$W$3:$W$5001,BD!$B$3:$B$5001,Q$206,BD!$A$3:$A$5001,_xlfn.MAXIFS(BD!$A$3:$A$5001,BD!$B$3:$B$5001,Q$206,BD!$A$3:$A$5001,"&gt;="&amp;$C$7,BD!$A$3:$A$5001,"&lt;="&amp;$B215,BD!$W$3:$W$5001,"&lt;&gt;"))))</f>
        <v/>
      </c>
      <c r="R215" s="43" t="str">
        <f>IF(OR($B215="",$A215&gt;$B$9,R$206=""),"",IF(COUNTIFS(BD!$B$3:$B$5001,R$206,BD!$A$3:$A$5001,"&gt;="&amp;$C$7,BD!$A$3:$A$5001,"&lt;="&amp;$B215,BD!$W$3:$W$5001,"&lt;&gt;")=0,"",SUMIFS(BD!$W$3:$W$5001,BD!$B$3:$B$5001,R$206,BD!$A$3:$A$5001,_xlfn.MAXIFS(BD!$A$3:$A$5001,BD!$B$3:$B$5001,R$206,BD!$A$3:$A$5001,"&gt;="&amp;$C$7,BD!$A$3:$A$5001,"&lt;="&amp;$B215,BD!$W$3:$W$5001,"&lt;&gt;"))))</f>
        <v/>
      </c>
      <c r="S215" s="43" t="str">
        <f>IF(OR($B215="",$A215&gt;$B$9,S$206=""),"",IF(COUNTIFS(BD!$B$3:$B$5001,S$206,BD!$A$3:$A$5001,"&gt;="&amp;$C$7,BD!$A$3:$A$5001,"&lt;="&amp;$B215,BD!$W$3:$W$5001,"&lt;&gt;")=0,"",SUMIFS(BD!$W$3:$W$5001,BD!$B$3:$B$5001,S$206,BD!$A$3:$A$5001,_xlfn.MAXIFS(BD!$A$3:$A$5001,BD!$B$3:$B$5001,S$206,BD!$A$3:$A$5001,"&gt;="&amp;$C$7,BD!$A$3:$A$5001,"&lt;="&amp;$B215,BD!$W$3:$W$5001,"&lt;&gt;"))))</f>
        <v/>
      </c>
      <c r="T215" s="43" t="str">
        <f>IF(OR($B215="",$A215&gt;$B$9,T$206=""),"",IF(COUNTIFS(BD!$B$3:$B$5001,T$206,BD!$A$3:$A$5001,"&gt;="&amp;$C$7,BD!$A$3:$A$5001,"&lt;="&amp;$B215,BD!$W$3:$W$5001,"&lt;&gt;")=0,"",SUMIFS(BD!$W$3:$W$5001,BD!$B$3:$B$5001,T$206,BD!$A$3:$A$5001,_xlfn.MAXIFS(BD!$A$3:$A$5001,BD!$B$3:$B$5001,T$206,BD!$A$3:$A$5001,"&gt;="&amp;$C$7,BD!$A$3:$A$5001,"&lt;="&amp;$B215,BD!$W$3:$W$5001,"&lt;&gt;"))))</f>
        <v/>
      </c>
      <c r="U215" s="43" t="str">
        <f>IF(OR($B215="",$A215&gt;$B$9,U$206=""),"",IF(COUNTIFS(BD!$B$3:$B$5001,U$206,BD!$A$3:$A$5001,"&gt;="&amp;$C$7,BD!$A$3:$A$5001,"&lt;="&amp;$B215,BD!$W$3:$W$5001,"&lt;&gt;")=0,"",SUMIFS(BD!$W$3:$W$5001,BD!$B$3:$B$5001,U$206,BD!$A$3:$A$5001,_xlfn.MAXIFS(BD!$A$3:$A$5001,BD!$B$3:$B$5001,U$206,BD!$A$3:$A$5001,"&gt;="&amp;$C$7,BD!$A$3:$A$5001,"&lt;="&amp;$B215,BD!$W$3:$W$5001,"&lt;&gt;"))))</f>
        <v/>
      </c>
      <c r="V215" s="43" t="str">
        <f>IF(OR($B215="",$A215&gt;$B$9,V$206=""),"",IF(COUNTIFS(BD!$B$3:$B$5001,V$206,BD!$A$3:$A$5001,"&gt;="&amp;$C$7,BD!$A$3:$A$5001,"&lt;="&amp;$B215,BD!$W$3:$W$5001,"&lt;&gt;")=0,"",SUMIFS(BD!$W$3:$W$5001,BD!$B$3:$B$5001,V$206,BD!$A$3:$A$5001,_xlfn.MAXIFS(BD!$A$3:$A$5001,BD!$B$3:$B$5001,V$206,BD!$A$3:$A$5001,"&gt;="&amp;$C$7,BD!$A$3:$A$5001,"&lt;="&amp;$B215,BD!$W$3:$W$5001,"&lt;&gt;"))))</f>
        <v/>
      </c>
    </row>
    <row r="216">
      <c r="A216" s="38">
        <v>10</v>
      </c>
      <c r="B216" s="42">
        <f>$B$21</f>
        <v>46305</v>
      </c>
      <c r="C216" s="43" t="str">
        <f>IF(OR($B216="",$A216&gt;$B$9,C$206=""),"",IF(COUNTIFS(BD!$B$3:$B$5001,C$206,BD!$A$3:$A$5001,"&gt;="&amp;$C$7,BD!$A$3:$A$5001,"&lt;="&amp;$B216,BD!$W$3:$W$5001,"&lt;&gt;")=0,"",SUMIFS(BD!$W$3:$W$5001,BD!$B$3:$B$5001,C$206,BD!$A$3:$A$5001,_xlfn.MAXIFS(BD!$A$3:$A$5001,BD!$B$3:$B$5001,C$206,BD!$A$3:$A$5001,"&gt;="&amp;$C$7,BD!$A$3:$A$5001,"&lt;="&amp;$B216,BD!$W$3:$W$5001,"&lt;&gt;"))))</f>
        <v/>
      </c>
      <c r="D216" s="43" t="str">
        <f>IF(OR($B216="",$A216&gt;$B$9,D$206=""),"",IF(COUNTIFS(BD!$B$3:$B$5001,D$206,BD!$A$3:$A$5001,"&gt;="&amp;$C$7,BD!$A$3:$A$5001,"&lt;="&amp;$B216,BD!$W$3:$W$5001,"&lt;&gt;")=0,"",SUMIFS(BD!$W$3:$W$5001,BD!$B$3:$B$5001,D$206,BD!$A$3:$A$5001,_xlfn.MAXIFS(BD!$A$3:$A$5001,BD!$B$3:$B$5001,D$206,BD!$A$3:$A$5001,"&gt;="&amp;$C$7,BD!$A$3:$A$5001,"&lt;="&amp;$B216,BD!$W$3:$W$5001,"&lt;&gt;"))))</f>
        <v/>
      </c>
      <c r="E216" s="43" t="str">
        <f>IF(OR($B216="",$A216&gt;$B$9,E$206=""),"",IF(COUNTIFS(BD!$B$3:$B$5001,E$206,BD!$A$3:$A$5001,"&gt;="&amp;$C$7,BD!$A$3:$A$5001,"&lt;="&amp;$B216,BD!$W$3:$W$5001,"&lt;&gt;")=0,"",SUMIFS(BD!$W$3:$W$5001,BD!$B$3:$B$5001,E$206,BD!$A$3:$A$5001,_xlfn.MAXIFS(BD!$A$3:$A$5001,BD!$B$3:$B$5001,E$206,BD!$A$3:$A$5001,"&gt;="&amp;$C$7,BD!$A$3:$A$5001,"&lt;="&amp;$B216,BD!$W$3:$W$5001,"&lt;&gt;"))))</f>
        <v/>
      </c>
      <c r="F216" s="43" t="str">
        <f>IF(OR($B216="",$A216&gt;$B$9,F$206=""),"",IF(COUNTIFS(BD!$B$3:$B$5001,F$206,BD!$A$3:$A$5001,"&gt;="&amp;$C$7,BD!$A$3:$A$5001,"&lt;="&amp;$B216,BD!$W$3:$W$5001,"&lt;&gt;")=0,"",SUMIFS(BD!$W$3:$W$5001,BD!$B$3:$B$5001,F$206,BD!$A$3:$A$5001,_xlfn.MAXIFS(BD!$A$3:$A$5001,BD!$B$3:$B$5001,F$206,BD!$A$3:$A$5001,"&gt;="&amp;$C$7,BD!$A$3:$A$5001,"&lt;="&amp;$B216,BD!$W$3:$W$5001,"&lt;&gt;"))))</f>
        <v/>
      </c>
      <c r="G216" s="43" t="str">
        <f>IF(OR($B216="",$A216&gt;$B$9,G$206=""),"",IF(COUNTIFS(BD!$B$3:$B$5001,G$206,BD!$A$3:$A$5001,"&gt;="&amp;$C$7,BD!$A$3:$A$5001,"&lt;="&amp;$B216,BD!$W$3:$W$5001,"&lt;&gt;")=0,"",SUMIFS(BD!$W$3:$W$5001,BD!$B$3:$B$5001,G$206,BD!$A$3:$A$5001,_xlfn.MAXIFS(BD!$A$3:$A$5001,BD!$B$3:$B$5001,G$206,BD!$A$3:$A$5001,"&gt;="&amp;$C$7,BD!$A$3:$A$5001,"&lt;="&amp;$B216,BD!$W$3:$W$5001,"&lt;&gt;"))))</f>
        <v/>
      </c>
      <c r="H216" s="43" t="str">
        <f>IF(OR($B216="",$A216&gt;$B$9,H$206=""),"",IF(COUNTIFS(BD!$B$3:$B$5001,H$206,BD!$A$3:$A$5001,"&gt;="&amp;$C$7,BD!$A$3:$A$5001,"&lt;="&amp;$B216,BD!$W$3:$W$5001,"&lt;&gt;")=0,"",SUMIFS(BD!$W$3:$W$5001,BD!$B$3:$B$5001,H$206,BD!$A$3:$A$5001,_xlfn.MAXIFS(BD!$A$3:$A$5001,BD!$B$3:$B$5001,H$206,BD!$A$3:$A$5001,"&gt;="&amp;$C$7,BD!$A$3:$A$5001,"&lt;="&amp;$B216,BD!$W$3:$W$5001,"&lt;&gt;"))))</f>
        <v/>
      </c>
      <c r="I216" s="43" t="str">
        <f>IF(OR($B216="",$A216&gt;$B$9,I$206=""),"",IF(COUNTIFS(BD!$B$3:$B$5001,I$206,BD!$A$3:$A$5001,"&gt;="&amp;$C$7,BD!$A$3:$A$5001,"&lt;="&amp;$B216,BD!$W$3:$W$5001,"&lt;&gt;")=0,"",SUMIFS(BD!$W$3:$W$5001,BD!$B$3:$B$5001,I$206,BD!$A$3:$A$5001,_xlfn.MAXIFS(BD!$A$3:$A$5001,BD!$B$3:$B$5001,I$206,BD!$A$3:$A$5001,"&gt;="&amp;$C$7,BD!$A$3:$A$5001,"&lt;="&amp;$B216,BD!$W$3:$W$5001,"&lt;&gt;"))))</f>
        <v/>
      </c>
      <c r="J216" s="43" t="str">
        <f>IF(OR($B216="",$A216&gt;$B$9,J$206=""),"",IF(COUNTIFS(BD!$B$3:$B$5001,J$206,BD!$A$3:$A$5001,"&gt;="&amp;$C$7,BD!$A$3:$A$5001,"&lt;="&amp;$B216,BD!$W$3:$W$5001,"&lt;&gt;")=0,"",SUMIFS(BD!$W$3:$W$5001,BD!$B$3:$B$5001,J$206,BD!$A$3:$A$5001,_xlfn.MAXIFS(BD!$A$3:$A$5001,BD!$B$3:$B$5001,J$206,BD!$A$3:$A$5001,"&gt;="&amp;$C$7,BD!$A$3:$A$5001,"&lt;="&amp;$B216,BD!$W$3:$W$5001,"&lt;&gt;"))))</f>
        <v/>
      </c>
      <c r="K216" s="43" t="str">
        <f>IF(OR($B216="",$A216&gt;$B$9,K$206=""),"",IF(COUNTIFS(BD!$B$3:$B$5001,K$206,BD!$A$3:$A$5001,"&gt;="&amp;$C$7,BD!$A$3:$A$5001,"&lt;="&amp;$B216,BD!$W$3:$W$5001,"&lt;&gt;")=0,"",SUMIFS(BD!$W$3:$W$5001,BD!$B$3:$B$5001,K$206,BD!$A$3:$A$5001,_xlfn.MAXIFS(BD!$A$3:$A$5001,BD!$B$3:$B$5001,K$206,BD!$A$3:$A$5001,"&gt;="&amp;$C$7,BD!$A$3:$A$5001,"&lt;="&amp;$B216,BD!$W$3:$W$5001,"&lt;&gt;"))))</f>
        <v/>
      </c>
      <c r="L216" s="43" t="str">
        <f>IF(OR($B216="",$A216&gt;$B$9,L$206=""),"",IF(COUNTIFS(BD!$B$3:$B$5001,L$206,BD!$A$3:$A$5001,"&gt;="&amp;$C$7,BD!$A$3:$A$5001,"&lt;="&amp;$B216,BD!$W$3:$W$5001,"&lt;&gt;")=0,"",SUMIFS(BD!$W$3:$W$5001,BD!$B$3:$B$5001,L$206,BD!$A$3:$A$5001,_xlfn.MAXIFS(BD!$A$3:$A$5001,BD!$B$3:$B$5001,L$206,BD!$A$3:$A$5001,"&gt;="&amp;$C$7,BD!$A$3:$A$5001,"&lt;="&amp;$B216,BD!$W$3:$W$5001,"&lt;&gt;"))))</f>
        <v/>
      </c>
      <c r="M216" s="43" t="str">
        <f>IF(OR($B216="",$A216&gt;$B$9,M$206=""),"",IF(COUNTIFS(BD!$B$3:$B$5001,M$206,BD!$A$3:$A$5001,"&gt;="&amp;$C$7,BD!$A$3:$A$5001,"&lt;="&amp;$B216,BD!$W$3:$W$5001,"&lt;&gt;")=0,"",SUMIFS(BD!$W$3:$W$5001,BD!$B$3:$B$5001,M$206,BD!$A$3:$A$5001,_xlfn.MAXIFS(BD!$A$3:$A$5001,BD!$B$3:$B$5001,M$206,BD!$A$3:$A$5001,"&gt;="&amp;$C$7,BD!$A$3:$A$5001,"&lt;="&amp;$B216,BD!$W$3:$W$5001,"&lt;&gt;"))))</f>
        <v/>
      </c>
      <c r="N216" s="43" t="str">
        <f>IF(OR($B216="",$A216&gt;$B$9,N$206=""),"",IF(COUNTIFS(BD!$B$3:$B$5001,N$206,BD!$A$3:$A$5001,"&gt;="&amp;$C$7,BD!$A$3:$A$5001,"&lt;="&amp;$B216,BD!$W$3:$W$5001,"&lt;&gt;")=0,"",SUMIFS(BD!$W$3:$W$5001,BD!$B$3:$B$5001,N$206,BD!$A$3:$A$5001,_xlfn.MAXIFS(BD!$A$3:$A$5001,BD!$B$3:$B$5001,N$206,BD!$A$3:$A$5001,"&gt;="&amp;$C$7,BD!$A$3:$A$5001,"&lt;="&amp;$B216,BD!$W$3:$W$5001,"&lt;&gt;"))))</f>
        <v/>
      </c>
      <c r="O216" s="43" t="str">
        <f>IF(OR($B216="",$A216&gt;$B$9,O$206=""),"",IF(COUNTIFS(BD!$B$3:$B$5001,O$206,BD!$A$3:$A$5001,"&gt;="&amp;$C$7,BD!$A$3:$A$5001,"&lt;="&amp;$B216,BD!$W$3:$W$5001,"&lt;&gt;")=0,"",SUMIFS(BD!$W$3:$W$5001,BD!$B$3:$B$5001,O$206,BD!$A$3:$A$5001,_xlfn.MAXIFS(BD!$A$3:$A$5001,BD!$B$3:$B$5001,O$206,BD!$A$3:$A$5001,"&gt;="&amp;$C$7,BD!$A$3:$A$5001,"&lt;="&amp;$B216,BD!$W$3:$W$5001,"&lt;&gt;"))))</f>
        <v/>
      </c>
      <c r="P216" s="43" t="str">
        <f>IF(OR($B216="",$A216&gt;$B$9,P$206=""),"",IF(COUNTIFS(BD!$B$3:$B$5001,P$206,BD!$A$3:$A$5001,"&gt;="&amp;$C$7,BD!$A$3:$A$5001,"&lt;="&amp;$B216,BD!$W$3:$W$5001,"&lt;&gt;")=0,"",SUMIFS(BD!$W$3:$W$5001,BD!$B$3:$B$5001,P$206,BD!$A$3:$A$5001,_xlfn.MAXIFS(BD!$A$3:$A$5001,BD!$B$3:$B$5001,P$206,BD!$A$3:$A$5001,"&gt;="&amp;$C$7,BD!$A$3:$A$5001,"&lt;="&amp;$B216,BD!$W$3:$W$5001,"&lt;&gt;"))))</f>
        <v/>
      </c>
      <c r="Q216" s="43" t="str">
        <f>IF(OR($B216="",$A216&gt;$B$9,Q$206=""),"",IF(COUNTIFS(BD!$B$3:$B$5001,Q$206,BD!$A$3:$A$5001,"&gt;="&amp;$C$7,BD!$A$3:$A$5001,"&lt;="&amp;$B216,BD!$W$3:$W$5001,"&lt;&gt;")=0,"",SUMIFS(BD!$W$3:$W$5001,BD!$B$3:$B$5001,Q$206,BD!$A$3:$A$5001,_xlfn.MAXIFS(BD!$A$3:$A$5001,BD!$B$3:$B$5001,Q$206,BD!$A$3:$A$5001,"&gt;="&amp;$C$7,BD!$A$3:$A$5001,"&lt;="&amp;$B216,BD!$W$3:$W$5001,"&lt;&gt;"))))</f>
        <v/>
      </c>
      <c r="R216" s="43" t="str">
        <f>IF(OR($B216="",$A216&gt;$B$9,R$206=""),"",IF(COUNTIFS(BD!$B$3:$B$5001,R$206,BD!$A$3:$A$5001,"&gt;="&amp;$C$7,BD!$A$3:$A$5001,"&lt;="&amp;$B216,BD!$W$3:$W$5001,"&lt;&gt;")=0,"",SUMIFS(BD!$W$3:$W$5001,BD!$B$3:$B$5001,R$206,BD!$A$3:$A$5001,_xlfn.MAXIFS(BD!$A$3:$A$5001,BD!$B$3:$B$5001,R$206,BD!$A$3:$A$5001,"&gt;="&amp;$C$7,BD!$A$3:$A$5001,"&lt;="&amp;$B216,BD!$W$3:$W$5001,"&lt;&gt;"))))</f>
        <v/>
      </c>
      <c r="S216" s="43" t="str">
        <f>IF(OR($B216="",$A216&gt;$B$9,S$206=""),"",IF(COUNTIFS(BD!$B$3:$B$5001,S$206,BD!$A$3:$A$5001,"&gt;="&amp;$C$7,BD!$A$3:$A$5001,"&lt;="&amp;$B216,BD!$W$3:$W$5001,"&lt;&gt;")=0,"",SUMIFS(BD!$W$3:$W$5001,BD!$B$3:$B$5001,S$206,BD!$A$3:$A$5001,_xlfn.MAXIFS(BD!$A$3:$A$5001,BD!$B$3:$B$5001,S$206,BD!$A$3:$A$5001,"&gt;="&amp;$C$7,BD!$A$3:$A$5001,"&lt;="&amp;$B216,BD!$W$3:$W$5001,"&lt;&gt;"))))</f>
        <v/>
      </c>
      <c r="T216" s="43" t="str">
        <f>IF(OR($B216="",$A216&gt;$B$9,T$206=""),"",IF(COUNTIFS(BD!$B$3:$B$5001,T$206,BD!$A$3:$A$5001,"&gt;="&amp;$C$7,BD!$A$3:$A$5001,"&lt;="&amp;$B216,BD!$W$3:$W$5001,"&lt;&gt;")=0,"",SUMIFS(BD!$W$3:$W$5001,BD!$B$3:$B$5001,T$206,BD!$A$3:$A$5001,_xlfn.MAXIFS(BD!$A$3:$A$5001,BD!$B$3:$B$5001,T$206,BD!$A$3:$A$5001,"&gt;="&amp;$C$7,BD!$A$3:$A$5001,"&lt;="&amp;$B216,BD!$W$3:$W$5001,"&lt;&gt;"))))</f>
        <v/>
      </c>
      <c r="U216" s="43" t="str">
        <f>IF(OR($B216="",$A216&gt;$B$9,U$206=""),"",IF(COUNTIFS(BD!$B$3:$B$5001,U$206,BD!$A$3:$A$5001,"&gt;="&amp;$C$7,BD!$A$3:$A$5001,"&lt;="&amp;$B216,BD!$W$3:$W$5001,"&lt;&gt;")=0,"",SUMIFS(BD!$W$3:$W$5001,BD!$B$3:$B$5001,U$206,BD!$A$3:$A$5001,_xlfn.MAXIFS(BD!$A$3:$A$5001,BD!$B$3:$B$5001,U$206,BD!$A$3:$A$5001,"&gt;="&amp;$C$7,BD!$A$3:$A$5001,"&lt;="&amp;$B216,BD!$W$3:$W$5001,"&lt;&gt;"))))</f>
        <v/>
      </c>
      <c r="V216" s="43" t="str">
        <f>IF(OR($B216="",$A216&gt;$B$9,V$206=""),"",IF(COUNTIFS(BD!$B$3:$B$5001,V$206,BD!$A$3:$A$5001,"&gt;="&amp;$C$7,BD!$A$3:$A$5001,"&lt;="&amp;$B216,BD!$W$3:$W$5001,"&lt;&gt;")=0,"",SUMIFS(BD!$W$3:$W$5001,BD!$B$3:$B$5001,V$206,BD!$A$3:$A$5001,_xlfn.MAXIFS(BD!$A$3:$A$5001,BD!$B$3:$B$5001,V$206,BD!$A$3:$A$5001,"&gt;="&amp;$C$7,BD!$A$3:$A$5001,"&lt;="&amp;$B216,BD!$W$3:$W$5001,"&lt;&gt;"))))</f>
        <v/>
      </c>
    </row>
    <row r="217">
      <c r="A217" s="38">
        <v>11</v>
      </c>
      <c r="B217" s="42">
        <f>$B$22</f>
        <v>46306</v>
      </c>
      <c r="C217" s="43" t="str">
        <f>IF(OR($B217="",$A217&gt;$B$9,C$206=""),"",IF(COUNTIFS(BD!$B$3:$B$5001,C$206,BD!$A$3:$A$5001,"&gt;="&amp;$C$7,BD!$A$3:$A$5001,"&lt;="&amp;$B217,BD!$W$3:$W$5001,"&lt;&gt;")=0,"",SUMIFS(BD!$W$3:$W$5001,BD!$B$3:$B$5001,C$206,BD!$A$3:$A$5001,_xlfn.MAXIFS(BD!$A$3:$A$5001,BD!$B$3:$B$5001,C$206,BD!$A$3:$A$5001,"&gt;="&amp;$C$7,BD!$A$3:$A$5001,"&lt;="&amp;$B217,BD!$W$3:$W$5001,"&lt;&gt;"))))</f>
        <v/>
      </c>
      <c r="D217" s="43" t="str">
        <f>IF(OR($B217="",$A217&gt;$B$9,D$206=""),"",IF(COUNTIFS(BD!$B$3:$B$5001,D$206,BD!$A$3:$A$5001,"&gt;="&amp;$C$7,BD!$A$3:$A$5001,"&lt;="&amp;$B217,BD!$W$3:$W$5001,"&lt;&gt;")=0,"",SUMIFS(BD!$W$3:$W$5001,BD!$B$3:$B$5001,D$206,BD!$A$3:$A$5001,_xlfn.MAXIFS(BD!$A$3:$A$5001,BD!$B$3:$B$5001,D$206,BD!$A$3:$A$5001,"&gt;="&amp;$C$7,BD!$A$3:$A$5001,"&lt;="&amp;$B217,BD!$W$3:$W$5001,"&lt;&gt;"))))</f>
        <v/>
      </c>
      <c r="E217" s="43" t="str">
        <f>IF(OR($B217="",$A217&gt;$B$9,E$206=""),"",IF(COUNTIFS(BD!$B$3:$B$5001,E$206,BD!$A$3:$A$5001,"&gt;="&amp;$C$7,BD!$A$3:$A$5001,"&lt;="&amp;$B217,BD!$W$3:$W$5001,"&lt;&gt;")=0,"",SUMIFS(BD!$W$3:$W$5001,BD!$B$3:$B$5001,E$206,BD!$A$3:$A$5001,_xlfn.MAXIFS(BD!$A$3:$A$5001,BD!$B$3:$B$5001,E$206,BD!$A$3:$A$5001,"&gt;="&amp;$C$7,BD!$A$3:$A$5001,"&lt;="&amp;$B217,BD!$W$3:$W$5001,"&lt;&gt;"))))</f>
        <v/>
      </c>
      <c r="F217" s="43" t="str">
        <f>IF(OR($B217="",$A217&gt;$B$9,F$206=""),"",IF(COUNTIFS(BD!$B$3:$B$5001,F$206,BD!$A$3:$A$5001,"&gt;="&amp;$C$7,BD!$A$3:$A$5001,"&lt;="&amp;$B217,BD!$W$3:$W$5001,"&lt;&gt;")=0,"",SUMIFS(BD!$W$3:$W$5001,BD!$B$3:$B$5001,F$206,BD!$A$3:$A$5001,_xlfn.MAXIFS(BD!$A$3:$A$5001,BD!$B$3:$B$5001,F$206,BD!$A$3:$A$5001,"&gt;="&amp;$C$7,BD!$A$3:$A$5001,"&lt;="&amp;$B217,BD!$W$3:$W$5001,"&lt;&gt;"))))</f>
        <v/>
      </c>
      <c r="G217" s="43" t="str">
        <f>IF(OR($B217="",$A217&gt;$B$9,G$206=""),"",IF(COUNTIFS(BD!$B$3:$B$5001,G$206,BD!$A$3:$A$5001,"&gt;="&amp;$C$7,BD!$A$3:$A$5001,"&lt;="&amp;$B217,BD!$W$3:$W$5001,"&lt;&gt;")=0,"",SUMIFS(BD!$W$3:$W$5001,BD!$B$3:$B$5001,G$206,BD!$A$3:$A$5001,_xlfn.MAXIFS(BD!$A$3:$A$5001,BD!$B$3:$B$5001,G$206,BD!$A$3:$A$5001,"&gt;="&amp;$C$7,BD!$A$3:$A$5001,"&lt;="&amp;$B217,BD!$W$3:$W$5001,"&lt;&gt;"))))</f>
        <v/>
      </c>
      <c r="H217" s="43" t="str">
        <f>IF(OR($B217="",$A217&gt;$B$9,H$206=""),"",IF(COUNTIFS(BD!$B$3:$B$5001,H$206,BD!$A$3:$A$5001,"&gt;="&amp;$C$7,BD!$A$3:$A$5001,"&lt;="&amp;$B217,BD!$W$3:$W$5001,"&lt;&gt;")=0,"",SUMIFS(BD!$W$3:$W$5001,BD!$B$3:$B$5001,H$206,BD!$A$3:$A$5001,_xlfn.MAXIFS(BD!$A$3:$A$5001,BD!$B$3:$B$5001,H$206,BD!$A$3:$A$5001,"&gt;="&amp;$C$7,BD!$A$3:$A$5001,"&lt;="&amp;$B217,BD!$W$3:$W$5001,"&lt;&gt;"))))</f>
        <v/>
      </c>
      <c r="I217" s="43" t="str">
        <f>IF(OR($B217="",$A217&gt;$B$9,I$206=""),"",IF(COUNTIFS(BD!$B$3:$B$5001,I$206,BD!$A$3:$A$5001,"&gt;="&amp;$C$7,BD!$A$3:$A$5001,"&lt;="&amp;$B217,BD!$W$3:$W$5001,"&lt;&gt;")=0,"",SUMIFS(BD!$W$3:$W$5001,BD!$B$3:$B$5001,I$206,BD!$A$3:$A$5001,_xlfn.MAXIFS(BD!$A$3:$A$5001,BD!$B$3:$B$5001,I$206,BD!$A$3:$A$5001,"&gt;="&amp;$C$7,BD!$A$3:$A$5001,"&lt;="&amp;$B217,BD!$W$3:$W$5001,"&lt;&gt;"))))</f>
        <v/>
      </c>
      <c r="J217" s="43" t="str">
        <f>IF(OR($B217="",$A217&gt;$B$9,J$206=""),"",IF(COUNTIFS(BD!$B$3:$B$5001,J$206,BD!$A$3:$A$5001,"&gt;="&amp;$C$7,BD!$A$3:$A$5001,"&lt;="&amp;$B217,BD!$W$3:$W$5001,"&lt;&gt;")=0,"",SUMIFS(BD!$W$3:$W$5001,BD!$B$3:$B$5001,J$206,BD!$A$3:$A$5001,_xlfn.MAXIFS(BD!$A$3:$A$5001,BD!$B$3:$B$5001,J$206,BD!$A$3:$A$5001,"&gt;="&amp;$C$7,BD!$A$3:$A$5001,"&lt;="&amp;$B217,BD!$W$3:$W$5001,"&lt;&gt;"))))</f>
        <v/>
      </c>
      <c r="K217" s="43" t="str">
        <f>IF(OR($B217="",$A217&gt;$B$9,K$206=""),"",IF(COUNTIFS(BD!$B$3:$B$5001,K$206,BD!$A$3:$A$5001,"&gt;="&amp;$C$7,BD!$A$3:$A$5001,"&lt;="&amp;$B217,BD!$W$3:$W$5001,"&lt;&gt;")=0,"",SUMIFS(BD!$W$3:$W$5001,BD!$B$3:$B$5001,K$206,BD!$A$3:$A$5001,_xlfn.MAXIFS(BD!$A$3:$A$5001,BD!$B$3:$B$5001,K$206,BD!$A$3:$A$5001,"&gt;="&amp;$C$7,BD!$A$3:$A$5001,"&lt;="&amp;$B217,BD!$W$3:$W$5001,"&lt;&gt;"))))</f>
        <v/>
      </c>
      <c r="L217" s="43" t="str">
        <f>IF(OR($B217="",$A217&gt;$B$9,L$206=""),"",IF(COUNTIFS(BD!$B$3:$B$5001,L$206,BD!$A$3:$A$5001,"&gt;="&amp;$C$7,BD!$A$3:$A$5001,"&lt;="&amp;$B217,BD!$W$3:$W$5001,"&lt;&gt;")=0,"",SUMIFS(BD!$W$3:$W$5001,BD!$B$3:$B$5001,L$206,BD!$A$3:$A$5001,_xlfn.MAXIFS(BD!$A$3:$A$5001,BD!$B$3:$B$5001,L$206,BD!$A$3:$A$5001,"&gt;="&amp;$C$7,BD!$A$3:$A$5001,"&lt;="&amp;$B217,BD!$W$3:$W$5001,"&lt;&gt;"))))</f>
        <v/>
      </c>
      <c r="M217" s="43" t="str">
        <f>IF(OR($B217="",$A217&gt;$B$9,M$206=""),"",IF(COUNTIFS(BD!$B$3:$B$5001,M$206,BD!$A$3:$A$5001,"&gt;="&amp;$C$7,BD!$A$3:$A$5001,"&lt;="&amp;$B217,BD!$W$3:$W$5001,"&lt;&gt;")=0,"",SUMIFS(BD!$W$3:$W$5001,BD!$B$3:$B$5001,M$206,BD!$A$3:$A$5001,_xlfn.MAXIFS(BD!$A$3:$A$5001,BD!$B$3:$B$5001,M$206,BD!$A$3:$A$5001,"&gt;="&amp;$C$7,BD!$A$3:$A$5001,"&lt;="&amp;$B217,BD!$W$3:$W$5001,"&lt;&gt;"))))</f>
        <v/>
      </c>
      <c r="N217" s="43" t="str">
        <f>IF(OR($B217="",$A217&gt;$B$9,N$206=""),"",IF(COUNTIFS(BD!$B$3:$B$5001,N$206,BD!$A$3:$A$5001,"&gt;="&amp;$C$7,BD!$A$3:$A$5001,"&lt;="&amp;$B217,BD!$W$3:$W$5001,"&lt;&gt;")=0,"",SUMIFS(BD!$W$3:$W$5001,BD!$B$3:$B$5001,N$206,BD!$A$3:$A$5001,_xlfn.MAXIFS(BD!$A$3:$A$5001,BD!$B$3:$B$5001,N$206,BD!$A$3:$A$5001,"&gt;="&amp;$C$7,BD!$A$3:$A$5001,"&lt;="&amp;$B217,BD!$W$3:$W$5001,"&lt;&gt;"))))</f>
        <v/>
      </c>
      <c r="O217" s="43" t="str">
        <f>IF(OR($B217="",$A217&gt;$B$9,O$206=""),"",IF(COUNTIFS(BD!$B$3:$B$5001,O$206,BD!$A$3:$A$5001,"&gt;="&amp;$C$7,BD!$A$3:$A$5001,"&lt;="&amp;$B217,BD!$W$3:$W$5001,"&lt;&gt;")=0,"",SUMIFS(BD!$W$3:$W$5001,BD!$B$3:$B$5001,O$206,BD!$A$3:$A$5001,_xlfn.MAXIFS(BD!$A$3:$A$5001,BD!$B$3:$B$5001,O$206,BD!$A$3:$A$5001,"&gt;="&amp;$C$7,BD!$A$3:$A$5001,"&lt;="&amp;$B217,BD!$W$3:$W$5001,"&lt;&gt;"))))</f>
        <v/>
      </c>
      <c r="P217" s="43" t="str">
        <f>IF(OR($B217="",$A217&gt;$B$9,P$206=""),"",IF(COUNTIFS(BD!$B$3:$B$5001,P$206,BD!$A$3:$A$5001,"&gt;="&amp;$C$7,BD!$A$3:$A$5001,"&lt;="&amp;$B217,BD!$W$3:$W$5001,"&lt;&gt;")=0,"",SUMIFS(BD!$W$3:$W$5001,BD!$B$3:$B$5001,P$206,BD!$A$3:$A$5001,_xlfn.MAXIFS(BD!$A$3:$A$5001,BD!$B$3:$B$5001,P$206,BD!$A$3:$A$5001,"&gt;="&amp;$C$7,BD!$A$3:$A$5001,"&lt;="&amp;$B217,BD!$W$3:$W$5001,"&lt;&gt;"))))</f>
        <v/>
      </c>
      <c r="Q217" s="43" t="str">
        <f>IF(OR($B217="",$A217&gt;$B$9,Q$206=""),"",IF(COUNTIFS(BD!$B$3:$B$5001,Q$206,BD!$A$3:$A$5001,"&gt;="&amp;$C$7,BD!$A$3:$A$5001,"&lt;="&amp;$B217,BD!$W$3:$W$5001,"&lt;&gt;")=0,"",SUMIFS(BD!$W$3:$W$5001,BD!$B$3:$B$5001,Q$206,BD!$A$3:$A$5001,_xlfn.MAXIFS(BD!$A$3:$A$5001,BD!$B$3:$B$5001,Q$206,BD!$A$3:$A$5001,"&gt;="&amp;$C$7,BD!$A$3:$A$5001,"&lt;="&amp;$B217,BD!$W$3:$W$5001,"&lt;&gt;"))))</f>
        <v/>
      </c>
      <c r="R217" s="43" t="str">
        <f>IF(OR($B217="",$A217&gt;$B$9,R$206=""),"",IF(COUNTIFS(BD!$B$3:$B$5001,R$206,BD!$A$3:$A$5001,"&gt;="&amp;$C$7,BD!$A$3:$A$5001,"&lt;="&amp;$B217,BD!$W$3:$W$5001,"&lt;&gt;")=0,"",SUMIFS(BD!$W$3:$W$5001,BD!$B$3:$B$5001,R$206,BD!$A$3:$A$5001,_xlfn.MAXIFS(BD!$A$3:$A$5001,BD!$B$3:$B$5001,R$206,BD!$A$3:$A$5001,"&gt;="&amp;$C$7,BD!$A$3:$A$5001,"&lt;="&amp;$B217,BD!$W$3:$W$5001,"&lt;&gt;"))))</f>
        <v/>
      </c>
      <c r="S217" s="43" t="str">
        <f>IF(OR($B217="",$A217&gt;$B$9,S$206=""),"",IF(COUNTIFS(BD!$B$3:$B$5001,S$206,BD!$A$3:$A$5001,"&gt;="&amp;$C$7,BD!$A$3:$A$5001,"&lt;="&amp;$B217,BD!$W$3:$W$5001,"&lt;&gt;")=0,"",SUMIFS(BD!$W$3:$W$5001,BD!$B$3:$B$5001,S$206,BD!$A$3:$A$5001,_xlfn.MAXIFS(BD!$A$3:$A$5001,BD!$B$3:$B$5001,S$206,BD!$A$3:$A$5001,"&gt;="&amp;$C$7,BD!$A$3:$A$5001,"&lt;="&amp;$B217,BD!$W$3:$W$5001,"&lt;&gt;"))))</f>
        <v/>
      </c>
      <c r="T217" s="43" t="str">
        <f>IF(OR($B217="",$A217&gt;$B$9,T$206=""),"",IF(COUNTIFS(BD!$B$3:$B$5001,T$206,BD!$A$3:$A$5001,"&gt;="&amp;$C$7,BD!$A$3:$A$5001,"&lt;="&amp;$B217,BD!$W$3:$W$5001,"&lt;&gt;")=0,"",SUMIFS(BD!$W$3:$W$5001,BD!$B$3:$B$5001,T$206,BD!$A$3:$A$5001,_xlfn.MAXIFS(BD!$A$3:$A$5001,BD!$B$3:$B$5001,T$206,BD!$A$3:$A$5001,"&gt;="&amp;$C$7,BD!$A$3:$A$5001,"&lt;="&amp;$B217,BD!$W$3:$W$5001,"&lt;&gt;"))))</f>
        <v/>
      </c>
      <c r="U217" s="43" t="str">
        <f>IF(OR($B217="",$A217&gt;$B$9,U$206=""),"",IF(COUNTIFS(BD!$B$3:$B$5001,U$206,BD!$A$3:$A$5001,"&gt;="&amp;$C$7,BD!$A$3:$A$5001,"&lt;="&amp;$B217,BD!$W$3:$W$5001,"&lt;&gt;")=0,"",SUMIFS(BD!$W$3:$W$5001,BD!$B$3:$B$5001,U$206,BD!$A$3:$A$5001,_xlfn.MAXIFS(BD!$A$3:$A$5001,BD!$B$3:$B$5001,U$206,BD!$A$3:$A$5001,"&gt;="&amp;$C$7,BD!$A$3:$A$5001,"&lt;="&amp;$B217,BD!$W$3:$W$5001,"&lt;&gt;"))))</f>
        <v/>
      </c>
      <c r="V217" s="43" t="str">
        <f>IF(OR($B217="",$A217&gt;$B$9,V$206=""),"",IF(COUNTIFS(BD!$B$3:$B$5001,V$206,BD!$A$3:$A$5001,"&gt;="&amp;$C$7,BD!$A$3:$A$5001,"&lt;="&amp;$B217,BD!$W$3:$W$5001,"&lt;&gt;")=0,"",SUMIFS(BD!$W$3:$W$5001,BD!$B$3:$B$5001,V$206,BD!$A$3:$A$5001,_xlfn.MAXIFS(BD!$A$3:$A$5001,BD!$B$3:$B$5001,V$206,BD!$A$3:$A$5001,"&gt;="&amp;$C$7,BD!$A$3:$A$5001,"&lt;="&amp;$B217,BD!$W$3:$W$5001,"&lt;&gt;"))))</f>
        <v/>
      </c>
    </row>
    <row r="218">
      <c r="A218" s="38">
        <v>12</v>
      </c>
      <c r="B218" s="42">
        <f>$B$23</f>
        <v>46307</v>
      </c>
      <c r="C218" s="43" t="str">
        <f>IF(OR($B218="",$A218&gt;$B$9,C$206=""),"",IF(COUNTIFS(BD!$B$3:$B$5001,C$206,BD!$A$3:$A$5001,"&gt;="&amp;$C$7,BD!$A$3:$A$5001,"&lt;="&amp;$B218,BD!$W$3:$W$5001,"&lt;&gt;")=0,"",SUMIFS(BD!$W$3:$W$5001,BD!$B$3:$B$5001,C$206,BD!$A$3:$A$5001,_xlfn.MAXIFS(BD!$A$3:$A$5001,BD!$B$3:$B$5001,C$206,BD!$A$3:$A$5001,"&gt;="&amp;$C$7,BD!$A$3:$A$5001,"&lt;="&amp;$B218,BD!$W$3:$W$5001,"&lt;&gt;"))))</f>
        <v/>
      </c>
      <c r="D218" s="43" t="str">
        <f>IF(OR($B218="",$A218&gt;$B$9,D$206=""),"",IF(COUNTIFS(BD!$B$3:$B$5001,D$206,BD!$A$3:$A$5001,"&gt;="&amp;$C$7,BD!$A$3:$A$5001,"&lt;="&amp;$B218,BD!$W$3:$W$5001,"&lt;&gt;")=0,"",SUMIFS(BD!$W$3:$W$5001,BD!$B$3:$B$5001,D$206,BD!$A$3:$A$5001,_xlfn.MAXIFS(BD!$A$3:$A$5001,BD!$B$3:$B$5001,D$206,BD!$A$3:$A$5001,"&gt;="&amp;$C$7,BD!$A$3:$A$5001,"&lt;="&amp;$B218,BD!$W$3:$W$5001,"&lt;&gt;"))))</f>
        <v/>
      </c>
      <c r="E218" s="43" t="str">
        <f>IF(OR($B218="",$A218&gt;$B$9,E$206=""),"",IF(COUNTIFS(BD!$B$3:$B$5001,E$206,BD!$A$3:$A$5001,"&gt;="&amp;$C$7,BD!$A$3:$A$5001,"&lt;="&amp;$B218,BD!$W$3:$W$5001,"&lt;&gt;")=0,"",SUMIFS(BD!$W$3:$W$5001,BD!$B$3:$B$5001,E$206,BD!$A$3:$A$5001,_xlfn.MAXIFS(BD!$A$3:$A$5001,BD!$B$3:$B$5001,E$206,BD!$A$3:$A$5001,"&gt;="&amp;$C$7,BD!$A$3:$A$5001,"&lt;="&amp;$B218,BD!$W$3:$W$5001,"&lt;&gt;"))))</f>
        <v/>
      </c>
      <c r="F218" s="43" t="str">
        <f>IF(OR($B218="",$A218&gt;$B$9,F$206=""),"",IF(COUNTIFS(BD!$B$3:$B$5001,F$206,BD!$A$3:$A$5001,"&gt;="&amp;$C$7,BD!$A$3:$A$5001,"&lt;="&amp;$B218,BD!$W$3:$W$5001,"&lt;&gt;")=0,"",SUMIFS(BD!$W$3:$W$5001,BD!$B$3:$B$5001,F$206,BD!$A$3:$A$5001,_xlfn.MAXIFS(BD!$A$3:$A$5001,BD!$B$3:$B$5001,F$206,BD!$A$3:$A$5001,"&gt;="&amp;$C$7,BD!$A$3:$A$5001,"&lt;="&amp;$B218,BD!$W$3:$W$5001,"&lt;&gt;"))))</f>
        <v/>
      </c>
      <c r="G218" s="43" t="str">
        <f>IF(OR($B218="",$A218&gt;$B$9,G$206=""),"",IF(COUNTIFS(BD!$B$3:$B$5001,G$206,BD!$A$3:$A$5001,"&gt;="&amp;$C$7,BD!$A$3:$A$5001,"&lt;="&amp;$B218,BD!$W$3:$W$5001,"&lt;&gt;")=0,"",SUMIFS(BD!$W$3:$W$5001,BD!$B$3:$B$5001,G$206,BD!$A$3:$A$5001,_xlfn.MAXIFS(BD!$A$3:$A$5001,BD!$B$3:$B$5001,G$206,BD!$A$3:$A$5001,"&gt;="&amp;$C$7,BD!$A$3:$A$5001,"&lt;="&amp;$B218,BD!$W$3:$W$5001,"&lt;&gt;"))))</f>
        <v/>
      </c>
      <c r="H218" s="43" t="str">
        <f>IF(OR($B218="",$A218&gt;$B$9,H$206=""),"",IF(COUNTIFS(BD!$B$3:$B$5001,H$206,BD!$A$3:$A$5001,"&gt;="&amp;$C$7,BD!$A$3:$A$5001,"&lt;="&amp;$B218,BD!$W$3:$W$5001,"&lt;&gt;")=0,"",SUMIFS(BD!$W$3:$W$5001,BD!$B$3:$B$5001,H$206,BD!$A$3:$A$5001,_xlfn.MAXIFS(BD!$A$3:$A$5001,BD!$B$3:$B$5001,H$206,BD!$A$3:$A$5001,"&gt;="&amp;$C$7,BD!$A$3:$A$5001,"&lt;="&amp;$B218,BD!$W$3:$W$5001,"&lt;&gt;"))))</f>
        <v/>
      </c>
      <c r="I218" s="43" t="str">
        <f>IF(OR($B218="",$A218&gt;$B$9,I$206=""),"",IF(COUNTIFS(BD!$B$3:$B$5001,I$206,BD!$A$3:$A$5001,"&gt;="&amp;$C$7,BD!$A$3:$A$5001,"&lt;="&amp;$B218,BD!$W$3:$W$5001,"&lt;&gt;")=0,"",SUMIFS(BD!$W$3:$W$5001,BD!$B$3:$B$5001,I$206,BD!$A$3:$A$5001,_xlfn.MAXIFS(BD!$A$3:$A$5001,BD!$B$3:$B$5001,I$206,BD!$A$3:$A$5001,"&gt;="&amp;$C$7,BD!$A$3:$A$5001,"&lt;="&amp;$B218,BD!$W$3:$W$5001,"&lt;&gt;"))))</f>
        <v/>
      </c>
      <c r="J218" s="43" t="str">
        <f>IF(OR($B218="",$A218&gt;$B$9,J$206=""),"",IF(COUNTIFS(BD!$B$3:$B$5001,J$206,BD!$A$3:$A$5001,"&gt;="&amp;$C$7,BD!$A$3:$A$5001,"&lt;="&amp;$B218,BD!$W$3:$W$5001,"&lt;&gt;")=0,"",SUMIFS(BD!$W$3:$W$5001,BD!$B$3:$B$5001,J$206,BD!$A$3:$A$5001,_xlfn.MAXIFS(BD!$A$3:$A$5001,BD!$B$3:$B$5001,J$206,BD!$A$3:$A$5001,"&gt;="&amp;$C$7,BD!$A$3:$A$5001,"&lt;="&amp;$B218,BD!$W$3:$W$5001,"&lt;&gt;"))))</f>
        <v/>
      </c>
      <c r="K218" s="43" t="str">
        <f>IF(OR($B218="",$A218&gt;$B$9,K$206=""),"",IF(COUNTIFS(BD!$B$3:$B$5001,K$206,BD!$A$3:$A$5001,"&gt;="&amp;$C$7,BD!$A$3:$A$5001,"&lt;="&amp;$B218,BD!$W$3:$W$5001,"&lt;&gt;")=0,"",SUMIFS(BD!$W$3:$W$5001,BD!$B$3:$B$5001,K$206,BD!$A$3:$A$5001,_xlfn.MAXIFS(BD!$A$3:$A$5001,BD!$B$3:$B$5001,K$206,BD!$A$3:$A$5001,"&gt;="&amp;$C$7,BD!$A$3:$A$5001,"&lt;="&amp;$B218,BD!$W$3:$W$5001,"&lt;&gt;"))))</f>
        <v/>
      </c>
      <c r="L218" s="43" t="str">
        <f>IF(OR($B218="",$A218&gt;$B$9,L$206=""),"",IF(COUNTIFS(BD!$B$3:$B$5001,L$206,BD!$A$3:$A$5001,"&gt;="&amp;$C$7,BD!$A$3:$A$5001,"&lt;="&amp;$B218,BD!$W$3:$W$5001,"&lt;&gt;")=0,"",SUMIFS(BD!$W$3:$W$5001,BD!$B$3:$B$5001,L$206,BD!$A$3:$A$5001,_xlfn.MAXIFS(BD!$A$3:$A$5001,BD!$B$3:$B$5001,L$206,BD!$A$3:$A$5001,"&gt;="&amp;$C$7,BD!$A$3:$A$5001,"&lt;="&amp;$B218,BD!$W$3:$W$5001,"&lt;&gt;"))))</f>
        <v/>
      </c>
      <c r="M218" s="43" t="str">
        <f>IF(OR($B218="",$A218&gt;$B$9,M$206=""),"",IF(COUNTIFS(BD!$B$3:$B$5001,M$206,BD!$A$3:$A$5001,"&gt;="&amp;$C$7,BD!$A$3:$A$5001,"&lt;="&amp;$B218,BD!$W$3:$W$5001,"&lt;&gt;")=0,"",SUMIFS(BD!$W$3:$W$5001,BD!$B$3:$B$5001,M$206,BD!$A$3:$A$5001,_xlfn.MAXIFS(BD!$A$3:$A$5001,BD!$B$3:$B$5001,M$206,BD!$A$3:$A$5001,"&gt;="&amp;$C$7,BD!$A$3:$A$5001,"&lt;="&amp;$B218,BD!$W$3:$W$5001,"&lt;&gt;"))))</f>
        <v/>
      </c>
      <c r="N218" s="43" t="str">
        <f>IF(OR($B218="",$A218&gt;$B$9,N$206=""),"",IF(COUNTIFS(BD!$B$3:$B$5001,N$206,BD!$A$3:$A$5001,"&gt;="&amp;$C$7,BD!$A$3:$A$5001,"&lt;="&amp;$B218,BD!$W$3:$W$5001,"&lt;&gt;")=0,"",SUMIFS(BD!$W$3:$W$5001,BD!$B$3:$B$5001,N$206,BD!$A$3:$A$5001,_xlfn.MAXIFS(BD!$A$3:$A$5001,BD!$B$3:$B$5001,N$206,BD!$A$3:$A$5001,"&gt;="&amp;$C$7,BD!$A$3:$A$5001,"&lt;="&amp;$B218,BD!$W$3:$W$5001,"&lt;&gt;"))))</f>
        <v/>
      </c>
      <c r="O218" s="43" t="str">
        <f>IF(OR($B218="",$A218&gt;$B$9,O$206=""),"",IF(COUNTIFS(BD!$B$3:$B$5001,O$206,BD!$A$3:$A$5001,"&gt;="&amp;$C$7,BD!$A$3:$A$5001,"&lt;="&amp;$B218,BD!$W$3:$W$5001,"&lt;&gt;")=0,"",SUMIFS(BD!$W$3:$W$5001,BD!$B$3:$B$5001,O$206,BD!$A$3:$A$5001,_xlfn.MAXIFS(BD!$A$3:$A$5001,BD!$B$3:$B$5001,O$206,BD!$A$3:$A$5001,"&gt;="&amp;$C$7,BD!$A$3:$A$5001,"&lt;="&amp;$B218,BD!$W$3:$W$5001,"&lt;&gt;"))))</f>
        <v/>
      </c>
      <c r="P218" s="43" t="str">
        <f>IF(OR($B218="",$A218&gt;$B$9,P$206=""),"",IF(COUNTIFS(BD!$B$3:$B$5001,P$206,BD!$A$3:$A$5001,"&gt;="&amp;$C$7,BD!$A$3:$A$5001,"&lt;="&amp;$B218,BD!$W$3:$W$5001,"&lt;&gt;")=0,"",SUMIFS(BD!$W$3:$W$5001,BD!$B$3:$B$5001,P$206,BD!$A$3:$A$5001,_xlfn.MAXIFS(BD!$A$3:$A$5001,BD!$B$3:$B$5001,P$206,BD!$A$3:$A$5001,"&gt;="&amp;$C$7,BD!$A$3:$A$5001,"&lt;="&amp;$B218,BD!$W$3:$W$5001,"&lt;&gt;"))))</f>
        <v/>
      </c>
      <c r="Q218" s="43" t="str">
        <f>IF(OR($B218="",$A218&gt;$B$9,Q$206=""),"",IF(COUNTIFS(BD!$B$3:$B$5001,Q$206,BD!$A$3:$A$5001,"&gt;="&amp;$C$7,BD!$A$3:$A$5001,"&lt;="&amp;$B218,BD!$W$3:$W$5001,"&lt;&gt;")=0,"",SUMIFS(BD!$W$3:$W$5001,BD!$B$3:$B$5001,Q$206,BD!$A$3:$A$5001,_xlfn.MAXIFS(BD!$A$3:$A$5001,BD!$B$3:$B$5001,Q$206,BD!$A$3:$A$5001,"&gt;="&amp;$C$7,BD!$A$3:$A$5001,"&lt;="&amp;$B218,BD!$W$3:$W$5001,"&lt;&gt;"))))</f>
        <v/>
      </c>
      <c r="R218" s="43" t="str">
        <f>IF(OR($B218="",$A218&gt;$B$9,R$206=""),"",IF(COUNTIFS(BD!$B$3:$B$5001,R$206,BD!$A$3:$A$5001,"&gt;="&amp;$C$7,BD!$A$3:$A$5001,"&lt;="&amp;$B218,BD!$W$3:$W$5001,"&lt;&gt;")=0,"",SUMIFS(BD!$W$3:$W$5001,BD!$B$3:$B$5001,R$206,BD!$A$3:$A$5001,_xlfn.MAXIFS(BD!$A$3:$A$5001,BD!$B$3:$B$5001,R$206,BD!$A$3:$A$5001,"&gt;="&amp;$C$7,BD!$A$3:$A$5001,"&lt;="&amp;$B218,BD!$W$3:$W$5001,"&lt;&gt;"))))</f>
        <v/>
      </c>
      <c r="S218" s="43" t="str">
        <f>IF(OR($B218="",$A218&gt;$B$9,S$206=""),"",IF(COUNTIFS(BD!$B$3:$B$5001,S$206,BD!$A$3:$A$5001,"&gt;="&amp;$C$7,BD!$A$3:$A$5001,"&lt;="&amp;$B218,BD!$W$3:$W$5001,"&lt;&gt;")=0,"",SUMIFS(BD!$W$3:$W$5001,BD!$B$3:$B$5001,S$206,BD!$A$3:$A$5001,_xlfn.MAXIFS(BD!$A$3:$A$5001,BD!$B$3:$B$5001,S$206,BD!$A$3:$A$5001,"&gt;="&amp;$C$7,BD!$A$3:$A$5001,"&lt;="&amp;$B218,BD!$W$3:$W$5001,"&lt;&gt;"))))</f>
        <v/>
      </c>
      <c r="T218" s="43" t="str">
        <f>IF(OR($B218="",$A218&gt;$B$9,T$206=""),"",IF(COUNTIFS(BD!$B$3:$B$5001,T$206,BD!$A$3:$A$5001,"&gt;="&amp;$C$7,BD!$A$3:$A$5001,"&lt;="&amp;$B218,BD!$W$3:$W$5001,"&lt;&gt;")=0,"",SUMIFS(BD!$W$3:$W$5001,BD!$B$3:$B$5001,T$206,BD!$A$3:$A$5001,_xlfn.MAXIFS(BD!$A$3:$A$5001,BD!$B$3:$B$5001,T$206,BD!$A$3:$A$5001,"&gt;="&amp;$C$7,BD!$A$3:$A$5001,"&lt;="&amp;$B218,BD!$W$3:$W$5001,"&lt;&gt;"))))</f>
        <v/>
      </c>
      <c r="U218" s="43" t="str">
        <f>IF(OR($B218="",$A218&gt;$B$9,U$206=""),"",IF(COUNTIFS(BD!$B$3:$B$5001,U$206,BD!$A$3:$A$5001,"&gt;="&amp;$C$7,BD!$A$3:$A$5001,"&lt;="&amp;$B218,BD!$W$3:$W$5001,"&lt;&gt;")=0,"",SUMIFS(BD!$W$3:$W$5001,BD!$B$3:$B$5001,U$206,BD!$A$3:$A$5001,_xlfn.MAXIFS(BD!$A$3:$A$5001,BD!$B$3:$B$5001,U$206,BD!$A$3:$A$5001,"&gt;="&amp;$C$7,BD!$A$3:$A$5001,"&lt;="&amp;$B218,BD!$W$3:$W$5001,"&lt;&gt;"))))</f>
        <v/>
      </c>
      <c r="V218" s="43" t="str">
        <f>IF(OR($B218="",$A218&gt;$B$9,V$206=""),"",IF(COUNTIFS(BD!$B$3:$B$5001,V$206,BD!$A$3:$A$5001,"&gt;="&amp;$C$7,BD!$A$3:$A$5001,"&lt;="&amp;$B218,BD!$W$3:$W$5001,"&lt;&gt;")=0,"",SUMIFS(BD!$W$3:$W$5001,BD!$B$3:$B$5001,V$206,BD!$A$3:$A$5001,_xlfn.MAXIFS(BD!$A$3:$A$5001,BD!$B$3:$B$5001,V$206,BD!$A$3:$A$5001,"&gt;="&amp;$C$7,BD!$A$3:$A$5001,"&lt;="&amp;$B218,BD!$W$3:$W$5001,"&lt;&gt;"))))</f>
        <v/>
      </c>
    </row>
    <row r="219">
      <c r="A219" s="38">
        <v>13</v>
      </c>
      <c r="B219" s="42">
        <f>$B$24</f>
        <v>46308</v>
      </c>
      <c r="C219" s="43" t="str">
        <f>IF(OR($B219="",$A219&gt;$B$9,C$206=""),"",IF(COUNTIFS(BD!$B$3:$B$5001,C$206,BD!$A$3:$A$5001,"&gt;="&amp;$C$7,BD!$A$3:$A$5001,"&lt;="&amp;$B219,BD!$W$3:$W$5001,"&lt;&gt;")=0,"",SUMIFS(BD!$W$3:$W$5001,BD!$B$3:$B$5001,C$206,BD!$A$3:$A$5001,_xlfn.MAXIFS(BD!$A$3:$A$5001,BD!$B$3:$B$5001,C$206,BD!$A$3:$A$5001,"&gt;="&amp;$C$7,BD!$A$3:$A$5001,"&lt;="&amp;$B219,BD!$W$3:$W$5001,"&lt;&gt;"))))</f>
        <v/>
      </c>
      <c r="D219" s="43" t="str">
        <f>IF(OR($B219="",$A219&gt;$B$9,D$206=""),"",IF(COUNTIFS(BD!$B$3:$B$5001,D$206,BD!$A$3:$A$5001,"&gt;="&amp;$C$7,BD!$A$3:$A$5001,"&lt;="&amp;$B219,BD!$W$3:$W$5001,"&lt;&gt;")=0,"",SUMIFS(BD!$W$3:$W$5001,BD!$B$3:$B$5001,D$206,BD!$A$3:$A$5001,_xlfn.MAXIFS(BD!$A$3:$A$5001,BD!$B$3:$B$5001,D$206,BD!$A$3:$A$5001,"&gt;="&amp;$C$7,BD!$A$3:$A$5001,"&lt;="&amp;$B219,BD!$W$3:$W$5001,"&lt;&gt;"))))</f>
        <v/>
      </c>
      <c r="E219" s="43" t="str">
        <f>IF(OR($B219="",$A219&gt;$B$9,E$206=""),"",IF(COUNTIFS(BD!$B$3:$B$5001,E$206,BD!$A$3:$A$5001,"&gt;="&amp;$C$7,BD!$A$3:$A$5001,"&lt;="&amp;$B219,BD!$W$3:$W$5001,"&lt;&gt;")=0,"",SUMIFS(BD!$W$3:$W$5001,BD!$B$3:$B$5001,E$206,BD!$A$3:$A$5001,_xlfn.MAXIFS(BD!$A$3:$A$5001,BD!$B$3:$B$5001,E$206,BD!$A$3:$A$5001,"&gt;="&amp;$C$7,BD!$A$3:$A$5001,"&lt;="&amp;$B219,BD!$W$3:$W$5001,"&lt;&gt;"))))</f>
        <v/>
      </c>
      <c r="F219" s="43" t="str">
        <f>IF(OR($B219="",$A219&gt;$B$9,F$206=""),"",IF(COUNTIFS(BD!$B$3:$B$5001,F$206,BD!$A$3:$A$5001,"&gt;="&amp;$C$7,BD!$A$3:$A$5001,"&lt;="&amp;$B219,BD!$W$3:$W$5001,"&lt;&gt;")=0,"",SUMIFS(BD!$W$3:$W$5001,BD!$B$3:$B$5001,F$206,BD!$A$3:$A$5001,_xlfn.MAXIFS(BD!$A$3:$A$5001,BD!$B$3:$B$5001,F$206,BD!$A$3:$A$5001,"&gt;="&amp;$C$7,BD!$A$3:$A$5001,"&lt;="&amp;$B219,BD!$W$3:$W$5001,"&lt;&gt;"))))</f>
        <v/>
      </c>
      <c r="G219" s="43" t="str">
        <f>IF(OR($B219="",$A219&gt;$B$9,G$206=""),"",IF(COUNTIFS(BD!$B$3:$B$5001,G$206,BD!$A$3:$A$5001,"&gt;="&amp;$C$7,BD!$A$3:$A$5001,"&lt;="&amp;$B219,BD!$W$3:$W$5001,"&lt;&gt;")=0,"",SUMIFS(BD!$W$3:$W$5001,BD!$B$3:$B$5001,G$206,BD!$A$3:$A$5001,_xlfn.MAXIFS(BD!$A$3:$A$5001,BD!$B$3:$B$5001,G$206,BD!$A$3:$A$5001,"&gt;="&amp;$C$7,BD!$A$3:$A$5001,"&lt;="&amp;$B219,BD!$W$3:$W$5001,"&lt;&gt;"))))</f>
        <v/>
      </c>
      <c r="H219" s="43" t="str">
        <f>IF(OR($B219="",$A219&gt;$B$9,H$206=""),"",IF(COUNTIFS(BD!$B$3:$B$5001,H$206,BD!$A$3:$A$5001,"&gt;="&amp;$C$7,BD!$A$3:$A$5001,"&lt;="&amp;$B219,BD!$W$3:$W$5001,"&lt;&gt;")=0,"",SUMIFS(BD!$W$3:$W$5001,BD!$B$3:$B$5001,H$206,BD!$A$3:$A$5001,_xlfn.MAXIFS(BD!$A$3:$A$5001,BD!$B$3:$B$5001,H$206,BD!$A$3:$A$5001,"&gt;="&amp;$C$7,BD!$A$3:$A$5001,"&lt;="&amp;$B219,BD!$W$3:$W$5001,"&lt;&gt;"))))</f>
        <v/>
      </c>
      <c r="I219" s="43" t="str">
        <f>IF(OR($B219="",$A219&gt;$B$9,I$206=""),"",IF(COUNTIFS(BD!$B$3:$B$5001,I$206,BD!$A$3:$A$5001,"&gt;="&amp;$C$7,BD!$A$3:$A$5001,"&lt;="&amp;$B219,BD!$W$3:$W$5001,"&lt;&gt;")=0,"",SUMIFS(BD!$W$3:$W$5001,BD!$B$3:$B$5001,I$206,BD!$A$3:$A$5001,_xlfn.MAXIFS(BD!$A$3:$A$5001,BD!$B$3:$B$5001,I$206,BD!$A$3:$A$5001,"&gt;="&amp;$C$7,BD!$A$3:$A$5001,"&lt;="&amp;$B219,BD!$W$3:$W$5001,"&lt;&gt;"))))</f>
        <v/>
      </c>
      <c r="J219" s="43" t="str">
        <f>IF(OR($B219="",$A219&gt;$B$9,J$206=""),"",IF(COUNTIFS(BD!$B$3:$B$5001,J$206,BD!$A$3:$A$5001,"&gt;="&amp;$C$7,BD!$A$3:$A$5001,"&lt;="&amp;$B219,BD!$W$3:$W$5001,"&lt;&gt;")=0,"",SUMIFS(BD!$W$3:$W$5001,BD!$B$3:$B$5001,J$206,BD!$A$3:$A$5001,_xlfn.MAXIFS(BD!$A$3:$A$5001,BD!$B$3:$B$5001,J$206,BD!$A$3:$A$5001,"&gt;="&amp;$C$7,BD!$A$3:$A$5001,"&lt;="&amp;$B219,BD!$W$3:$W$5001,"&lt;&gt;"))))</f>
        <v/>
      </c>
      <c r="K219" s="43" t="str">
        <f>IF(OR($B219="",$A219&gt;$B$9,K$206=""),"",IF(COUNTIFS(BD!$B$3:$B$5001,K$206,BD!$A$3:$A$5001,"&gt;="&amp;$C$7,BD!$A$3:$A$5001,"&lt;="&amp;$B219,BD!$W$3:$W$5001,"&lt;&gt;")=0,"",SUMIFS(BD!$W$3:$W$5001,BD!$B$3:$B$5001,K$206,BD!$A$3:$A$5001,_xlfn.MAXIFS(BD!$A$3:$A$5001,BD!$B$3:$B$5001,K$206,BD!$A$3:$A$5001,"&gt;="&amp;$C$7,BD!$A$3:$A$5001,"&lt;="&amp;$B219,BD!$W$3:$W$5001,"&lt;&gt;"))))</f>
        <v/>
      </c>
      <c r="L219" s="43" t="str">
        <f>IF(OR($B219="",$A219&gt;$B$9,L$206=""),"",IF(COUNTIFS(BD!$B$3:$B$5001,L$206,BD!$A$3:$A$5001,"&gt;="&amp;$C$7,BD!$A$3:$A$5001,"&lt;="&amp;$B219,BD!$W$3:$W$5001,"&lt;&gt;")=0,"",SUMIFS(BD!$W$3:$W$5001,BD!$B$3:$B$5001,L$206,BD!$A$3:$A$5001,_xlfn.MAXIFS(BD!$A$3:$A$5001,BD!$B$3:$B$5001,L$206,BD!$A$3:$A$5001,"&gt;="&amp;$C$7,BD!$A$3:$A$5001,"&lt;="&amp;$B219,BD!$W$3:$W$5001,"&lt;&gt;"))))</f>
        <v/>
      </c>
      <c r="M219" s="43" t="str">
        <f>IF(OR($B219="",$A219&gt;$B$9,M$206=""),"",IF(COUNTIFS(BD!$B$3:$B$5001,M$206,BD!$A$3:$A$5001,"&gt;="&amp;$C$7,BD!$A$3:$A$5001,"&lt;="&amp;$B219,BD!$W$3:$W$5001,"&lt;&gt;")=0,"",SUMIFS(BD!$W$3:$W$5001,BD!$B$3:$B$5001,M$206,BD!$A$3:$A$5001,_xlfn.MAXIFS(BD!$A$3:$A$5001,BD!$B$3:$B$5001,M$206,BD!$A$3:$A$5001,"&gt;="&amp;$C$7,BD!$A$3:$A$5001,"&lt;="&amp;$B219,BD!$W$3:$W$5001,"&lt;&gt;"))))</f>
        <v/>
      </c>
      <c r="N219" s="43" t="str">
        <f>IF(OR($B219="",$A219&gt;$B$9,N$206=""),"",IF(COUNTIFS(BD!$B$3:$B$5001,N$206,BD!$A$3:$A$5001,"&gt;="&amp;$C$7,BD!$A$3:$A$5001,"&lt;="&amp;$B219,BD!$W$3:$W$5001,"&lt;&gt;")=0,"",SUMIFS(BD!$W$3:$W$5001,BD!$B$3:$B$5001,N$206,BD!$A$3:$A$5001,_xlfn.MAXIFS(BD!$A$3:$A$5001,BD!$B$3:$B$5001,N$206,BD!$A$3:$A$5001,"&gt;="&amp;$C$7,BD!$A$3:$A$5001,"&lt;="&amp;$B219,BD!$W$3:$W$5001,"&lt;&gt;"))))</f>
        <v/>
      </c>
      <c r="O219" s="43" t="str">
        <f>IF(OR($B219="",$A219&gt;$B$9,O$206=""),"",IF(COUNTIFS(BD!$B$3:$B$5001,O$206,BD!$A$3:$A$5001,"&gt;="&amp;$C$7,BD!$A$3:$A$5001,"&lt;="&amp;$B219,BD!$W$3:$W$5001,"&lt;&gt;")=0,"",SUMIFS(BD!$W$3:$W$5001,BD!$B$3:$B$5001,O$206,BD!$A$3:$A$5001,_xlfn.MAXIFS(BD!$A$3:$A$5001,BD!$B$3:$B$5001,O$206,BD!$A$3:$A$5001,"&gt;="&amp;$C$7,BD!$A$3:$A$5001,"&lt;="&amp;$B219,BD!$W$3:$W$5001,"&lt;&gt;"))))</f>
        <v/>
      </c>
      <c r="P219" s="43" t="str">
        <f>IF(OR($B219="",$A219&gt;$B$9,P$206=""),"",IF(COUNTIFS(BD!$B$3:$B$5001,P$206,BD!$A$3:$A$5001,"&gt;="&amp;$C$7,BD!$A$3:$A$5001,"&lt;="&amp;$B219,BD!$W$3:$W$5001,"&lt;&gt;")=0,"",SUMIFS(BD!$W$3:$W$5001,BD!$B$3:$B$5001,P$206,BD!$A$3:$A$5001,_xlfn.MAXIFS(BD!$A$3:$A$5001,BD!$B$3:$B$5001,P$206,BD!$A$3:$A$5001,"&gt;="&amp;$C$7,BD!$A$3:$A$5001,"&lt;="&amp;$B219,BD!$W$3:$W$5001,"&lt;&gt;"))))</f>
        <v/>
      </c>
      <c r="Q219" s="43" t="str">
        <f>IF(OR($B219="",$A219&gt;$B$9,Q$206=""),"",IF(COUNTIFS(BD!$B$3:$B$5001,Q$206,BD!$A$3:$A$5001,"&gt;="&amp;$C$7,BD!$A$3:$A$5001,"&lt;="&amp;$B219,BD!$W$3:$W$5001,"&lt;&gt;")=0,"",SUMIFS(BD!$W$3:$W$5001,BD!$B$3:$B$5001,Q$206,BD!$A$3:$A$5001,_xlfn.MAXIFS(BD!$A$3:$A$5001,BD!$B$3:$B$5001,Q$206,BD!$A$3:$A$5001,"&gt;="&amp;$C$7,BD!$A$3:$A$5001,"&lt;="&amp;$B219,BD!$W$3:$W$5001,"&lt;&gt;"))))</f>
        <v/>
      </c>
      <c r="R219" s="43" t="str">
        <f>IF(OR($B219="",$A219&gt;$B$9,R$206=""),"",IF(COUNTIFS(BD!$B$3:$B$5001,R$206,BD!$A$3:$A$5001,"&gt;="&amp;$C$7,BD!$A$3:$A$5001,"&lt;="&amp;$B219,BD!$W$3:$W$5001,"&lt;&gt;")=0,"",SUMIFS(BD!$W$3:$W$5001,BD!$B$3:$B$5001,R$206,BD!$A$3:$A$5001,_xlfn.MAXIFS(BD!$A$3:$A$5001,BD!$B$3:$B$5001,R$206,BD!$A$3:$A$5001,"&gt;="&amp;$C$7,BD!$A$3:$A$5001,"&lt;="&amp;$B219,BD!$W$3:$W$5001,"&lt;&gt;"))))</f>
        <v/>
      </c>
      <c r="S219" s="43" t="str">
        <f>IF(OR($B219="",$A219&gt;$B$9,S$206=""),"",IF(COUNTIFS(BD!$B$3:$B$5001,S$206,BD!$A$3:$A$5001,"&gt;="&amp;$C$7,BD!$A$3:$A$5001,"&lt;="&amp;$B219,BD!$W$3:$W$5001,"&lt;&gt;")=0,"",SUMIFS(BD!$W$3:$W$5001,BD!$B$3:$B$5001,S$206,BD!$A$3:$A$5001,_xlfn.MAXIFS(BD!$A$3:$A$5001,BD!$B$3:$B$5001,S$206,BD!$A$3:$A$5001,"&gt;="&amp;$C$7,BD!$A$3:$A$5001,"&lt;="&amp;$B219,BD!$W$3:$W$5001,"&lt;&gt;"))))</f>
        <v/>
      </c>
      <c r="T219" s="43" t="str">
        <f>IF(OR($B219="",$A219&gt;$B$9,T$206=""),"",IF(COUNTIFS(BD!$B$3:$B$5001,T$206,BD!$A$3:$A$5001,"&gt;="&amp;$C$7,BD!$A$3:$A$5001,"&lt;="&amp;$B219,BD!$W$3:$W$5001,"&lt;&gt;")=0,"",SUMIFS(BD!$W$3:$W$5001,BD!$B$3:$B$5001,T$206,BD!$A$3:$A$5001,_xlfn.MAXIFS(BD!$A$3:$A$5001,BD!$B$3:$B$5001,T$206,BD!$A$3:$A$5001,"&gt;="&amp;$C$7,BD!$A$3:$A$5001,"&lt;="&amp;$B219,BD!$W$3:$W$5001,"&lt;&gt;"))))</f>
        <v/>
      </c>
      <c r="U219" s="43" t="str">
        <f>IF(OR($B219="",$A219&gt;$B$9,U$206=""),"",IF(COUNTIFS(BD!$B$3:$B$5001,U$206,BD!$A$3:$A$5001,"&gt;="&amp;$C$7,BD!$A$3:$A$5001,"&lt;="&amp;$B219,BD!$W$3:$W$5001,"&lt;&gt;")=0,"",SUMIFS(BD!$W$3:$W$5001,BD!$B$3:$B$5001,U$206,BD!$A$3:$A$5001,_xlfn.MAXIFS(BD!$A$3:$A$5001,BD!$B$3:$B$5001,U$206,BD!$A$3:$A$5001,"&gt;="&amp;$C$7,BD!$A$3:$A$5001,"&lt;="&amp;$B219,BD!$W$3:$W$5001,"&lt;&gt;"))))</f>
        <v/>
      </c>
      <c r="V219" s="43" t="str">
        <f>IF(OR($B219="",$A219&gt;$B$9,V$206=""),"",IF(COUNTIFS(BD!$B$3:$B$5001,V$206,BD!$A$3:$A$5001,"&gt;="&amp;$C$7,BD!$A$3:$A$5001,"&lt;="&amp;$B219,BD!$W$3:$W$5001,"&lt;&gt;")=0,"",SUMIFS(BD!$W$3:$W$5001,BD!$B$3:$B$5001,V$206,BD!$A$3:$A$5001,_xlfn.MAXIFS(BD!$A$3:$A$5001,BD!$B$3:$B$5001,V$206,BD!$A$3:$A$5001,"&gt;="&amp;$C$7,BD!$A$3:$A$5001,"&lt;="&amp;$B219,BD!$W$3:$W$5001,"&lt;&gt;"))))</f>
        <v/>
      </c>
    </row>
    <row r="220">
      <c r="A220" s="38">
        <v>14</v>
      </c>
      <c r="B220" s="42">
        <f>$B$25</f>
        <v>46309</v>
      </c>
      <c r="C220" s="43" t="str">
        <f>IF(OR($B220="",$A220&gt;$B$9,C$206=""),"",IF(COUNTIFS(BD!$B$3:$B$5001,C$206,BD!$A$3:$A$5001,"&gt;="&amp;$C$7,BD!$A$3:$A$5001,"&lt;="&amp;$B220,BD!$W$3:$W$5001,"&lt;&gt;")=0,"",SUMIFS(BD!$W$3:$W$5001,BD!$B$3:$B$5001,C$206,BD!$A$3:$A$5001,_xlfn.MAXIFS(BD!$A$3:$A$5001,BD!$B$3:$B$5001,C$206,BD!$A$3:$A$5001,"&gt;="&amp;$C$7,BD!$A$3:$A$5001,"&lt;="&amp;$B220,BD!$W$3:$W$5001,"&lt;&gt;"))))</f>
        <v/>
      </c>
      <c r="D220" s="43" t="str">
        <f>IF(OR($B220="",$A220&gt;$B$9,D$206=""),"",IF(COUNTIFS(BD!$B$3:$B$5001,D$206,BD!$A$3:$A$5001,"&gt;="&amp;$C$7,BD!$A$3:$A$5001,"&lt;="&amp;$B220,BD!$W$3:$W$5001,"&lt;&gt;")=0,"",SUMIFS(BD!$W$3:$W$5001,BD!$B$3:$B$5001,D$206,BD!$A$3:$A$5001,_xlfn.MAXIFS(BD!$A$3:$A$5001,BD!$B$3:$B$5001,D$206,BD!$A$3:$A$5001,"&gt;="&amp;$C$7,BD!$A$3:$A$5001,"&lt;="&amp;$B220,BD!$W$3:$W$5001,"&lt;&gt;"))))</f>
        <v/>
      </c>
      <c r="E220" s="43" t="str">
        <f>IF(OR($B220="",$A220&gt;$B$9,E$206=""),"",IF(COUNTIFS(BD!$B$3:$B$5001,E$206,BD!$A$3:$A$5001,"&gt;="&amp;$C$7,BD!$A$3:$A$5001,"&lt;="&amp;$B220,BD!$W$3:$W$5001,"&lt;&gt;")=0,"",SUMIFS(BD!$W$3:$W$5001,BD!$B$3:$B$5001,E$206,BD!$A$3:$A$5001,_xlfn.MAXIFS(BD!$A$3:$A$5001,BD!$B$3:$B$5001,E$206,BD!$A$3:$A$5001,"&gt;="&amp;$C$7,BD!$A$3:$A$5001,"&lt;="&amp;$B220,BD!$W$3:$W$5001,"&lt;&gt;"))))</f>
        <v/>
      </c>
      <c r="F220" s="43" t="str">
        <f>IF(OR($B220="",$A220&gt;$B$9,F$206=""),"",IF(COUNTIFS(BD!$B$3:$B$5001,F$206,BD!$A$3:$A$5001,"&gt;="&amp;$C$7,BD!$A$3:$A$5001,"&lt;="&amp;$B220,BD!$W$3:$W$5001,"&lt;&gt;")=0,"",SUMIFS(BD!$W$3:$W$5001,BD!$B$3:$B$5001,F$206,BD!$A$3:$A$5001,_xlfn.MAXIFS(BD!$A$3:$A$5001,BD!$B$3:$B$5001,F$206,BD!$A$3:$A$5001,"&gt;="&amp;$C$7,BD!$A$3:$A$5001,"&lt;="&amp;$B220,BD!$W$3:$W$5001,"&lt;&gt;"))))</f>
        <v/>
      </c>
      <c r="G220" s="43" t="str">
        <f>IF(OR($B220="",$A220&gt;$B$9,G$206=""),"",IF(COUNTIFS(BD!$B$3:$B$5001,G$206,BD!$A$3:$A$5001,"&gt;="&amp;$C$7,BD!$A$3:$A$5001,"&lt;="&amp;$B220,BD!$W$3:$W$5001,"&lt;&gt;")=0,"",SUMIFS(BD!$W$3:$W$5001,BD!$B$3:$B$5001,G$206,BD!$A$3:$A$5001,_xlfn.MAXIFS(BD!$A$3:$A$5001,BD!$B$3:$B$5001,G$206,BD!$A$3:$A$5001,"&gt;="&amp;$C$7,BD!$A$3:$A$5001,"&lt;="&amp;$B220,BD!$W$3:$W$5001,"&lt;&gt;"))))</f>
        <v/>
      </c>
      <c r="H220" s="43" t="str">
        <f>IF(OR($B220="",$A220&gt;$B$9,H$206=""),"",IF(COUNTIFS(BD!$B$3:$B$5001,H$206,BD!$A$3:$A$5001,"&gt;="&amp;$C$7,BD!$A$3:$A$5001,"&lt;="&amp;$B220,BD!$W$3:$W$5001,"&lt;&gt;")=0,"",SUMIFS(BD!$W$3:$W$5001,BD!$B$3:$B$5001,H$206,BD!$A$3:$A$5001,_xlfn.MAXIFS(BD!$A$3:$A$5001,BD!$B$3:$B$5001,H$206,BD!$A$3:$A$5001,"&gt;="&amp;$C$7,BD!$A$3:$A$5001,"&lt;="&amp;$B220,BD!$W$3:$W$5001,"&lt;&gt;"))))</f>
        <v/>
      </c>
      <c r="I220" s="43" t="str">
        <f>IF(OR($B220="",$A220&gt;$B$9,I$206=""),"",IF(COUNTIFS(BD!$B$3:$B$5001,I$206,BD!$A$3:$A$5001,"&gt;="&amp;$C$7,BD!$A$3:$A$5001,"&lt;="&amp;$B220,BD!$W$3:$W$5001,"&lt;&gt;")=0,"",SUMIFS(BD!$W$3:$W$5001,BD!$B$3:$B$5001,I$206,BD!$A$3:$A$5001,_xlfn.MAXIFS(BD!$A$3:$A$5001,BD!$B$3:$B$5001,I$206,BD!$A$3:$A$5001,"&gt;="&amp;$C$7,BD!$A$3:$A$5001,"&lt;="&amp;$B220,BD!$W$3:$W$5001,"&lt;&gt;"))))</f>
        <v/>
      </c>
      <c r="J220" s="43" t="str">
        <f>IF(OR($B220="",$A220&gt;$B$9,J$206=""),"",IF(COUNTIFS(BD!$B$3:$B$5001,J$206,BD!$A$3:$A$5001,"&gt;="&amp;$C$7,BD!$A$3:$A$5001,"&lt;="&amp;$B220,BD!$W$3:$W$5001,"&lt;&gt;")=0,"",SUMIFS(BD!$W$3:$W$5001,BD!$B$3:$B$5001,J$206,BD!$A$3:$A$5001,_xlfn.MAXIFS(BD!$A$3:$A$5001,BD!$B$3:$B$5001,J$206,BD!$A$3:$A$5001,"&gt;="&amp;$C$7,BD!$A$3:$A$5001,"&lt;="&amp;$B220,BD!$W$3:$W$5001,"&lt;&gt;"))))</f>
        <v/>
      </c>
      <c r="K220" s="43" t="str">
        <f>IF(OR($B220="",$A220&gt;$B$9,K$206=""),"",IF(COUNTIFS(BD!$B$3:$B$5001,K$206,BD!$A$3:$A$5001,"&gt;="&amp;$C$7,BD!$A$3:$A$5001,"&lt;="&amp;$B220,BD!$W$3:$W$5001,"&lt;&gt;")=0,"",SUMIFS(BD!$W$3:$W$5001,BD!$B$3:$B$5001,K$206,BD!$A$3:$A$5001,_xlfn.MAXIFS(BD!$A$3:$A$5001,BD!$B$3:$B$5001,K$206,BD!$A$3:$A$5001,"&gt;="&amp;$C$7,BD!$A$3:$A$5001,"&lt;="&amp;$B220,BD!$W$3:$W$5001,"&lt;&gt;"))))</f>
        <v/>
      </c>
      <c r="L220" s="43" t="str">
        <f>IF(OR($B220="",$A220&gt;$B$9,L$206=""),"",IF(COUNTIFS(BD!$B$3:$B$5001,L$206,BD!$A$3:$A$5001,"&gt;="&amp;$C$7,BD!$A$3:$A$5001,"&lt;="&amp;$B220,BD!$W$3:$W$5001,"&lt;&gt;")=0,"",SUMIFS(BD!$W$3:$W$5001,BD!$B$3:$B$5001,L$206,BD!$A$3:$A$5001,_xlfn.MAXIFS(BD!$A$3:$A$5001,BD!$B$3:$B$5001,L$206,BD!$A$3:$A$5001,"&gt;="&amp;$C$7,BD!$A$3:$A$5001,"&lt;="&amp;$B220,BD!$W$3:$W$5001,"&lt;&gt;"))))</f>
        <v/>
      </c>
      <c r="M220" s="43" t="str">
        <f>IF(OR($B220="",$A220&gt;$B$9,M$206=""),"",IF(COUNTIFS(BD!$B$3:$B$5001,M$206,BD!$A$3:$A$5001,"&gt;="&amp;$C$7,BD!$A$3:$A$5001,"&lt;="&amp;$B220,BD!$W$3:$W$5001,"&lt;&gt;")=0,"",SUMIFS(BD!$W$3:$W$5001,BD!$B$3:$B$5001,M$206,BD!$A$3:$A$5001,_xlfn.MAXIFS(BD!$A$3:$A$5001,BD!$B$3:$B$5001,M$206,BD!$A$3:$A$5001,"&gt;="&amp;$C$7,BD!$A$3:$A$5001,"&lt;="&amp;$B220,BD!$W$3:$W$5001,"&lt;&gt;"))))</f>
        <v/>
      </c>
      <c r="N220" s="43" t="str">
        <f>IF(OR($B220="",$A220&gt;$B$9,N$206=""),"",IF(COUNTIFS(BD!$B$3:$B$5001,N$206,BD!$A$3:$A$5001,"&gt;="&amp;$C$7,BD!$A$3:$A$5001,"&lt;="&amp;$B220,BD!$W$3:$W$5001,"&lt;&gt;")=0,"",SUMIFS(BD!$W$3:$W$5001,BD!$B$3:$B$5001,N$206,BD!$A$3:$A$5001,_xlfn.MAXIFS(BD!$A$3:$A$5001,BD!$B$3:$B$5001,N$206,BD!$A$3:$A$5001,"&gt;="&amp;$C$7,BD!$A$3:$A$5001,"&lt;="&amp;$B220,BD!$W$3:$W$5001,"&lt;&gt;"))))</f>
        <v/>
      </c>
      <c r="O220" s="43" t="str">
        <f>IF(OR($B220="",$A220&gt;$B$9,O$206=""),"",IF(COUNTIFS(BD!$B$3:$B$5001,O$206,BD!$A$3:$A$5001,"&gt;="&amp;$C$7,BD!$A$3:$A$5001,"&lt;="&amp;$B220,BD!$W$3:$W$5001,"&lt;&gt;")=0,"",SUMIFS(BD!$W$3:$W$5001,BD!$B$3:$B$5001,O$206,BD!$A$3:$A$5001,_xlfn.MAXIFS(BD!$A$3:$A$5001,BD!$B$3:$B$5001,O$206,BD!$A$3:$A$5001,"&gt;="&amp;$C$7,BD!$A$3:$A$5001,"&lt;="&amp;$B220,BD!$W$3:$W$5001,"&lt;&gt;"))))</f>
        <v/>
      </c>
      <c r="P220" s="43" t="str">
        <f>IF(OR($B220="",$A220&gt;$B$9,P$206=""),"",IF(COUNTIFS(BD!$B$3:$B$5001,P$206,BD!$A$3:$A$5001,"&gt;="&amp;$C$7,BD!$A$3:$A$5001,"&lt;="&amp;$B220,BD!$W$3:$W$5001,"&lt;&gt;")=0,"",SUMIFS(BD!$W$3:$W$5001,BD!$B$3:$B$5001,P$206,BD!$A$3:$A$5001,_xlfn.MAXIFS(BD!$A$3:$A$5001,BD!$B$3:$B$5001,P$206,BD!$A$3:$A$5001,"&gt;="&amp;$C$7,BD!$A$3:$A$5001,"&lt;="&amp;$B220,BD!$W$3:$W$5001,"&lt;&gt;"))))</f>
        <v/>
      </c>
      <c r="Q220" s="43" t="str">
        <f>IF(OR($B220="",$A220&gt;$B$9,Q$206=""),"",IF(COUNTIFS(BD!$B$3:$B$5001,Q$206,BD!$A$3:$A$5001,"&gt;="&amp;$C$7,BD!$A$3:$A$5001,"&lt;="&amp;$B220,BD!$W$3:$W$5001,"&lt;&gt;")=0,"",SUMIFS(BD!$W$3:$W$5001,BD!$B$3:$B$5001,Q$206,BD!$A$3:$A$5001,_xlfn.MAXIFS(BD!$A$3:$A$5001,BD!$B$3:$B$5001,Q$206,BD!$A$3:$A$5001,"&gt;="&amp;$C$7,BD!$A$3:$A$5001,"&lt;="&amp;$B220,BD!$W$3:$W$5001,"&lt;&gt;"))))</f>
        <v/>
      </c>
      <c r="R220" s="43" t="str">
        <f>IF(OR($B220="",$A220&gt;$B$9,R$206=""),"",IF(COUNTIFS(BD!$B$3:$B$5001,R$206,BD!$A$3:$A$5001,"&gt;="&amp;$C$7,BD!$A$3:$A$5001,"&lt;="&amp;$B220,BD!$W$3:$W$5001,"&lt;&gt;")=0,"",SUMIFS(BD!$W$3:$W$5001,BD!$B$3:$B$5001,R$206,BD!$A$3:$A$5001,_xlfn.MAXIFS(BD!$A$3:$A$5001,BD!$B$3:$B$5001,R$206,BD!$A$3:$A$5001,"&gt;="&amp;$C$7,BD!$A$3:$A$5001,"&lt;="&amp;$B220,BD!$W$3:$W$5001,"&lt;&gt;"))))</f>
        <v/>
      </c>
      <c r="S220" s="43" t="str">
        <f>IF(OR($B220="",$A220&gt;$B$9,S$206=""),"",IF(COUNTIFS(BD!$B$3:$B$5001,S$206,BD!$A$3:$A$5001,"&gt;="&amp;$C$7,BD!$A$3:$A$5001,"&lt;="&amp;$B220,BD!$W$3:$W$5001,"&lt;&gt;")=0,"",SUMIFS(BD!$W$3:$W$5001,BD!$B$3:$B$5001,S$206,BD!$A$3:$A$5001,_xlfn.MAXIFS(BD!$A$3:$A$5001,BD!$B$3:$B$5001,S$206,BD!$A$3:$A$5001,"&gt;="&amp;$C$7,BD!$A$3:$A$5001,"&lt;="&amp;$B220,BD!$W$3:$W$5001,"&lt;&gt;"))))</f>
        <v/>
      </c>
      <c r="T220" s="43" t="str">
        <f>IF(OR($B220="",$A220&gt;$B$9,T$206=""),"",IF(COUNTIFS(BD!$B$3:$B$5001,T$206,BD!$A$3:$A$5001,"&gt;="&amp;$C$7,BD!$A$3:$A$5001,"&lt;="&amp;$B220,BD!$W$3:$W$5001,"&lt;&gt;")=0,"",SUMIFS(BD!$W$3:$W$5001,BD!$B$3:$B$5001,T$206,BD!$A$3:$A$5001,_xlfn.MAXIFS(BD!$A$3:$A$5001,BD!$B$3:$B$5001,T$206,BD!$A$3:$A$5001,"&gt;="&amp;$C$7,BD!$A$3:$A$5001,"&lt;="&amp;$B220,BD!$W$3:$W$5001,"&lt;&gt;"))))</f>
        <v/>
      </c>
      <c r="U220" s="43" t="str">
        <f>IF(OR($B220="",$A220&gt;$B$9,U$206=""),"",IF(COUNTIFS(BD!$B$3:$B$5001,U$206,BD!$A$3:$A$5001,"&gt;="&amp;$C$7,BD!$A$3:$A$5001,"&lt;="&amp;$B220,BD!$W$3:$W$5001,"&lt;&gt;")=0,"",SUMIFS(BD!$W$3:$W$5001,BD!$B$3:$B$5001,U$206,BD!$A$3:$A$5001,_xlfn.MAXIFS(BD!$A$3:$A$5001,BD!$B$3:$B$5001,U$206,BD!$A$3:$A$5001,"&gt;="&amp;$C$7,BD!$A$3:$A$5001,"&lt;="&amp;$B220,BD!$W$3:$W$5001,"&lt;&gt;"))))</f>
        <v/>
      </c>
      <c r="V220" s="43" t="str">
        <f>IF(OR($B220="",$A220&gt;$B$9,V$206=""),"",IF(COUNTIFS(BD!$B$3:$B$5001,V$206,BD!$A$3:$A$5001,"&gt;="&amp;$C$7,BD!$A$3:$A$5001,"&lt;="&amp;$B220,BD!$W$3:$W$5001,"&lt;&gt;")=0,"",SUMIFS(BD!$W$3:$W$5001,BD!$B$3:$B$5001,V$206,BD!$A$3:$A$5001,_xlfn.MAXIFS(BD!$A$3:$A$5001,BD!$B$3:$B$5001,V$206,BD!$A$3:$A$5001,"&gt;="&amp;$C$7,BD!$A$3:$A$5001,"&lt;="&amp;$B220,BD!$W$3:$W$5001,"&lt;&gt;"))))</f>
        <v/>
      </c>
    </row>
    <row r="221">
      <c r="A221" s="38">
        <v>15</v>
      </c>
      <c r="B221" s="42">
        <f>$B$26</f>
        <v>46310</v>
      </c>
      <c r="C221" s="43" t="str">
        <f>IF(OR($B221="",$A221&gt;$B$9,C$206=""),"",IF(COUNTIFS(BD!$B$3:$B$5001,C$206,BD!$A$3:$A$5001,"&gt;="&amp;$C$7,BD!$A$3:$A$5001,"&lt;="&amp;$B221,BD!$W$3:$W$5001,"&lt;&gt;")=0,"",SUMIFS(BD!$W$3:$W$5001,BD!$B$3:$B$5001,C$206,BD!$A$3:$A$5001,_xlfn.MAXIFS(BD!$A$3:$A$5001,BD!$B$3:$B$5001,C$206,BD!$A$3:$A$5001,"&gt;="&amp;$C$7,BD!$A$3:$A$5001,"&lt;="&amp;$B221,BD!$W$3:$W$5001,"&lt;&gt;"))))</f>
        <v/>
      </c>
      <c r="D221" s="43" t="str">
        <f>IF(OR($B221="",$A221&gt;$B$9,D$206=""),"",IF(COUNTIFS(BD!$B$3:$B$5001,D$206,BD!$A$3:$A$5001,"&gt;="&amp;$C$7,BD!$A$3:$A$5001,"&lt;="&amp;$B221,BD!$W$3:$W$5001,"&lt;&gt;")=0,"",SUMIFS(BD!$W$3:$W$5001,BD!$B$3:$B$5001,D$206,BD!$A$3:$A$5001,_xlfn.MAXIFS(BD!$A$3:$A$5001,BD!$B$3:$B$5001,D$206,BD!$A$3:$A$5001,"&gt;="&amp;$C$7,BD!$A$3:$A$5001,"&lt;="&amp;$B221,BD!$W$3:$W$5001,"&lt;&gt;"))))</f>
        <v/>
      </c>
      <c r="E221" s="43" t="str">
        <f>IF(OR($B221="",$A221&gt;$B$9,E$206=""),"",IF(COUNTIFS(BD!$B$3:$B$5001,E$206,BD!$A$3:$A$5001,"&gt;="&amp;$C$7,BD!$A$3:$A$5001,"&lt;="&amp;$B221,BD!$W$3:$W$5001,"&lt;&gt;")=0,"",SUMIFS(BD!$W$3:$W$5001,BD!$B$3:$B$5001,E$206,BD!$A$3:$A$5001,_xlfn.MAXIFS(BD!$A$3:$A$5001,BD!$B$3:$B$5001,E$206,BD!$A$3:$A$5001,"&gt;="&amp;$C$7,BD!$A$3:$A$5001,"&lt;="&amp;$B221,BD!$W$3:$W$5001,"&lt;&gt;"))))</f>
        <v/>
      </c>
      <c r="F221" s="43" t="str">
        <f>IF(OR($B221="",$A221&gt;$B$9,F$206=""),"",IF(COUNTIFS(BD!$B$3:$B$5001,F$206,BD!$A$3:$A$5001,"&gt;="&amp;$C$7,BD!$A$3:$A$5001,"&lt;="&amp;$B221,BD!$W$3:$W$5001,"&lt;&gt;")=0,"",SUMIFS(BD!$W$3:$W$5001,BD!$B$3:$B$5001,F$206,BD!$A$3:$A$5001,_xlfn.MAXIFS(BD!$A$3:$A$5001,BD!$B$3:$B$5001,F$206,BD!$A$3:$A$5001,"&gt;="&amp;$C$7,BD!$A$3:$A$5001,"&lt;="&amp;$B221,BD!$W$3:$W$5001,"&lt;&gt;"))))</f>
        <v/>
      </c>
      <c r="G221" s="43" t="str">
        <f>IF(OR($B221="",$A221&gt;$B$9,G$206=""),"",IF(COUNTIFS(BD!$B$3:$B$5001,G$206,BD!$A$3:$A$5001,"&gt;="&amp;$C$7,BD!$A$3:$A$5001,"&lt;="&amp;$B221,BD!$W$3:$W$5001,"&lt;&gt;")=0,"",SUMIFS(BD!$W$3:$W$5001,BD!$B$3:$B$5001,G$206,BD!$A$3:$A$5001,_xlfn.MAXIFS(BD!$A$3:$A$5001,BD!$B$3:$B$5001,G$206,BD!$A$3:$A$5001,"&gt;="&amp;$C$7,BD!$A$3:$A$5001,"&lt;="&amp;$B221,BD!$W$3:$W$5001,"&lt;&gt;"))))</f>
        <v/>
      </c>
      <c r="H221" s="43" t="str">
        <f>IF(OR($B221="",$A221&gt;$B$9,H$206=""),"",IF(COUNTIFS(BD!$B$3:$B$5001,H$206,BD!$A$3:$A$5001,"&gt;="&amp;$C$7,BD!$A$3:$A$5001,"&lt;="&amp;$B221,BD!$W$3:$W$5001,"&lt;&gt;")=0,"",SUMIFS(BD!$W$3:$W$5001,BD!$B$3:$B$5001,H$206,BD!$A$3:$A$5001,_xlfn.MAXIFS(BD!$A$3:$A$5001,BD!$B$3:$B$5001,H$206,BD!$A$3:$A$5001,"&gt;="&amp;$C$7,BD!$A$3:$A$5001,"&lt;="&amp;$B221,BD!$W$3:$W$5001,"&lt;&gt;"))))</f>
        <v/>
      </c>
      <c r="I221" s="43" t="str">
        <f>IF(OR($B221="",$A221&gt;$B$9,I$206=""),"",IF(COUNTIFS(BD!$B$3:$B$5001,I$206,BD!$A$3:$A$5001,"&gt;="&amp;$C$7,BD!$A$3:$A$5001,"&lt;="&amp;$B221,BD!$W$3:$W$5001,"&lt;&gt;")=0,"",SUMIFS(BD!$W$3:$W$5001,BD!$B$3:$B$5001,I$206,BD!$A$3:$A$5001,_xlfn.MAXIFS(BD!$A$3:$A$5001,BD!$B$3:$B$5001,I$206,BD!$A$3:$A$5001,"&gt;="&amp;$C$7,BD!$A$3:$A$5001,"&lt;="&amp;$B221,BD!$W$3:$W$5001,"&lt;&gt;"))))</f>
        <v/>
      </c>
      <c r="J221" s="43" t="str">
        <f>IF(OR($B221="",$A221&gt;$B$9,J$206=""),"",IF(COUNTIFS(BD!$B$3:$B$5001,J$206,BD!$A$3:$A$5001,"&gt;="&amp;$C$7,BD!$A$3:$A$5001,"&lt;="&amp;$B221,BD!$W$3:$W$5001,"&lt;&gt;")=0,"",SUMIFS(BD!$W$3:$W$5001,BD!$B$3:$B$5001,J$206,BD!$A$3:$A$5001,_xlfn.MAXIFS(BD!$A$3:$A$5001,BD!$B$3:$B$5001,J$206,BD!$A$3:$A$5001,"&gt;="&amp;$C$7,BD!$A$3:$A$5001,"&lt;="&amp;$B221,BD!$W$3:$W$5001,"&lt;&gt;"))))</f>
        <v/>
      </c>
      <c r="K221" s="43" t="str">
        <f>IF(OR($B221="",$A221&gt;$B$9,K$206=""),"",IF(COUNTIFS(BD!$B$3:$B$5001,K$206,BD!$A$3:$A$5001,"&gt;="&amp;$C$7,BD!$A$3:$A$5001,"&lt;="&amp;$B221,BD!$W$3:$W$5001,"&lt;&gt;")=0,"",SUMIFS(BD!$W$3:$W$5001,BD!$B$3:$B$5001,K$206,BD!$A$3:$A$5001,_xlfn.MAXIFS(BD!$A$3:$A$5001,BD!$B$3:$B$5001,K$206,BD!$A$3:$A$5001,"&gt;="&amp;$C$7,BD!$A$3:$A$5001,"&lt;="&amp;$B221,BD!$W$3:$W$5001,"&lt;&gt;"))))</f>
        <v/>
      </c>
      <c r="L221" s="43" t="str">
        <f>IF(OR($B221="",$A221&gt;$B$9,L$206=""),"",IF(COUNTIFS(BD!$B$3:$B$5001,L$206,BD!$A$3:$A$5001,"&gt;="&amp;$C$7,BD!$A$3:$A$5001,"&lt;="&amp;$B221,BD!$W$3:$W$5001,"&lt;&gt;")=0,"",SUMIFS(BD!$W$3:$W$5001,BD!$B$3:$B$5001,L$206,BD!$A$3:$A$5001,_xlfn.MAXIFS(BD!$A$3:$A$5001,BD!$B$3:$B$5001,L$206,BD!$A$3:$A$5001,"&gt;="&amp;$C$7,BD!$A$3:$A$5001,"&lt;="&amp;$B221,BD!$W$3:$W$5001,"&lt;&gt;"))))</f>
        <v/>
      </c>
      <c r="M221" s="43" t="str">
        <f>IF(OR($B221="",$A221&gt;$B$9,M$206=""),"",IF(COUNTIFS(BD!$B$3:$B$5001,M$206,BD!$A$3:$A$5001,"&gt;="&amp;$C$7,BD!$A$3:$A$5001,"&lt;="&amp;$B221,BD!$W$3:$W$5001,"&lt;&gt;")=0,"",SUMIFS(BD!$W$3:$W$5001,BD!$B$3:$B$5001,M$206,BD!$A$3:$A$5001,_xlfn.MAXIFS(BD!$A$3:$A$5001,BD!$B$3:$B$5001,M$206,BD!$A$3:$A$5001,"&gt;="&amp;$C$7,BD!$A$3:$A$5001,"&lt;="&amp;$B221,BD!$W$3:$W$5001,"&lt;&gt;"))))</f>
        <v/>
      </c>
      <c r="N221" s="43" t="str">
        <f>IF(OR($B221="",$A221&gt;$B$9,N$206=""),"",IF(COUNTIFS(BD!$B$3:$B$5001,N$206,BD!$A$3:$A$5001,"&gt;="&amp;$C$7,BD!$A$3:$A$5001,"&lt;="&amp;$B221,BD!$W$3:$W$5001,"&lt;&gt;")=0,"",SUMIFS(BD!$W$3:$W$5001,BD!$B$3:$B$5001,N$206,BD!$A$3:$A$5001,_xlfn.MAXIFS(BD!$A$3:$A$5001,BD!$B$3:$B$5001,N$206,BD!$A$3:$A$5001,"&gt;="&amp;$C$7,BD!$A$3:$A$5001,"&lt;="&amp;$B221,BD!$W$3:$W$5001,"&lt;&gt;"))))</f>
        <v/>
      </c>
      <c r="O221" s="43" t="str">
        <f>IF(OR($B221="",$A221&gt;$B$9,O$206=""),"",IF(COUNTIFS(BD!$B$3:$B$5001,O$206,BD!$A$3:$A$5001,"&gt;="&amp;$C$7,BD!$A$3:$A$5001,"&lt;="&amp;$B221,BD!$W$3:$W$5001,"&lt;&gt;")=0,"",SUMIFS(BD!$W$3:$W$5001,BD!$B$3:$B$5001,O$206,BD!$A$3:$A$5001,_xlfn.MAXIFS(BD!$A$3:$A$5001,BD!$B$3:$B$5001,O$206,BD!$A$3:$A$5001,"&gt;="&amp;$C$7,BD!$A$3:$A$5001,"&lt;="&amp;$B221,BD!$W$3:$W$5001,"&lt;&gt;"))))</f>
        <v/>
      </c>
      <c r="P221" s="43" t="str">
        <f>IF(OR($B221="",$A221&gt;$B$9,P$206=""),"",IF(COUNTIFS(BD!$B$3:$B$5001,P$206,BD!$A$3:$A$5001,"&gt;="&amp;$C$7,BD!$A$3:$A$5001,"&lt;="&amp;$B221,BD!$W$3:$W$5001,"&lt;&gt;")=0,"",SUMIFS(BD!$W$3:$W$5001,BD!$B$3:$B$5001,P$206,BD!$A$3:$A$5001,_xlfn.MAXIFS(BD!$A$3:$A$5001,BD!$B$3:$B$5001,P$206,BD!$A$3:$A$5001,"&gt;="&amp;$C$7,BD!$A$3:$A$5001,"&lt;="&amp;$B221,BD!$W$3:$W$5001,"&lt;&gt;"))))</f>
        <v/>
      </c>
      <c r="Q221" s="43" t="str">
        <f>IF(OR($B221="",$A221&gt;$B$9,Q$206=""),"",IF(COUNTIFS(BD!$B$3:$B$5001,Q$206,BD!$A$3:$A$5001,"&gt;="&amp;$C$7,BD!$A$3:$A$5001,"&lt;="&amp;$B221,BD!$W$3:$W$5001,"&lt;&gt;")=0,"",SUMIFS(BD!$W$3:$W$5001,BD!$B$3:$B$5001,Q$206,BD!$A$3:$A$5001,_xlfn.MAXIFS(BD!$A$3:$A$5001,BD!$B$3:$B$5001,Q$206,BD!$A$3:$A$5001,"&gt;="&amp;$C$7,BD!$A$3:$A$5001,"&lt;="&amp;$B221,BD!$W$3:$W$5001,"&lt;&gt;"))))</f>
        <v/>
      </c>
      <c r="R221" s="43" t="str">
        <f>IF(OR($B221="",$A221&gt;$B$9,R$206=""),"",IF(COUNTIFS(BD!$B$3:$B$5001,R$206,BD!$A$3:$A$5001,"&gt;="&amp;$C$7,BD!$A$3:$A$5001,"&lt;="&amp;$B221,BD!$W$3:$W$5001,"&lt;&gt;")=0,"",SUMIFS(BD!$W$3:$W$5001,BD!$B$3:$B$5001,R$206,BD!$A$3:$A$5001,_xlfn.MAXIFS(BD!$A$3:$A$5001,BD!$B$3:$B$5001,R$206,BD!$A$3:$A$5001,"&gt;="&amp;$C$7,BD!$A$3:$A$5001,"&lt;="&amp;$B221,BD!$W$3:$W$5001,"&lt;&gt;"))))</f>
        <v/>
      </c>
      <c r="S221" s="43" t="str">
        <f>IF(OR($B221="",$A221&gt;$B$9,S$206=""),"",IF(COUNTIFS(BD!$B$3:$B$5001,S$206,BD!$A$3:$A$5001,"&gt;="&amp;$C$7,BD!$A$3:$A$5001,"&lt;="&amp;$B221,BD!$W$3:$W$5001,"&lt;&gt;")=0,"",SUMIFS(BD!$W$3:$W$5001,BD!$B$3:$B$5001,S$206,BD!$A$3:$A$5001,_xlfn.MAXIFS(BD!$A$3:$A$5001,BD!$B$3:$B$5001,S$206,BD!$A$3:$A$5001,"&gt;="&amp;$C$7,BD!$A$3:$A$5001,"&lt;="&amp;$B221,BD!$W$3:$W$5001,"&lt;&gt;"))))</f>
        <v/>
      </c>
      <c r="T221" s="43" t="str">
        <f>IF(OR($B221="",$A221&gt;$B$9,T$206=""),"",IF(COUNTIFS(BD!$B$3:$B$5001,T$206,BD!$A$3:$A$5001,"&gt;="&amp;$C$7,BD!$A$3:$A$5001,"&lt;="&amp;$B221,BD!$W$3:$W$5001,"&lt;&gt;")=0,"",SUMIFS(BD!$W$3:$W$5001,BD!$B$3:$B$5001,T$206,BD!$A$3:$A$5001,_xlfn.MAXIFS(BD!$A$3:$A$5001,BD!$B$3:$B$5001,T$206,BD!$A$3:$A$5001,"&gt;="&amp;$C$7,BD!$A$3:$A$5001,"&lt;="&amp;$B221,BD!$W$3:$W$5001,"&lt;&gt;"))))</f>
        <v/>
      </c>
      <c r="U221" s="43" t="str">
        <f>IF(OR($B221="",$A221&gt;$B$9,U$206=""),"",IF(COUNTIFS(BD!$B$3:$B$5001,U$206,BD!$A$3:$A$5001,"&gt;="&amp;$C$7,BD!$A$3:$A$5001,"&lt;="&amp;$B221,BD!$W$3:$W$5001,"&lt;&gt;")=0,"",SUMIFS(BD!$W$3:$W$5001,BD!$B$3:$B$5001,U$206,BD!$A$3:$A$5001,_xlfn.MAXIFS(BD!$A$3:$A$5001,BD!$B$3:$B$5001,U$206,BD!$A$3:$A$5001,"&gt;="&amp;$C$7,BD!$A$3:$A$5001,"&lt;="&amp;$B221,BD!$W$3:$W$5001,"&lt;&gt;"))))</f>
        <v/>
      </c>
      <c r="V221" s="43" t="str">
        <f>IF(OR($B221="",$A221&gt;$B$9,V$206=""),"",IF(COUNTIFS(BD!$B$3:$B$5001,V$206,BD!$A$3:$A$5001,"&gt;="&amp;$C$7,BD!$A$3:$A$5001,"&lt;="&amp;$B221,BD!$W$3:$W$5001,"&lt;&gt;")=0,"",SUMIFS(BD!$W$3:$W$5001,BD!$B$3:$B$5001,V$206,BD!$A$3:$A$5001,_xlfn.MAXIFS(BD!$A$3:$A$5001,BD!$B$3:$B$5001,V$206,BD!$A$3:$A$5001,"&gt;="&amp;$C$7,BD!$A$3:$A$5001,"&lt;="&amp;$B221,BD!$W$3:$W$5001,"&lt;&gt;"))))</f>
        <v/>
      </c>
    </row>
    <row r="222">
      <c r="A222" s="38">
        <v>16</v>
      </c>
      <c r="B222" s="42">
        <f>$B$27</f>
        <v>46311</v>
      </c>
      <c r="C222" s="43" t="str">
        <f>IF(OR($B222="",$A222&gt;$B$9,C$206=""),"",IF(COUNTIFS(BD!$B$3:$B$5001,C$206,BD!$A$3:$A$5001,"&gt;="&amp;$C$7,BD!$A$3:$A$5001,"&lt;="&amp;$B222,BD!$W$3:$W$5001,"&lt;&gt;")=0,"",SUMIFS(BD!$W$3:$W$5001,BD!$B$3:$B$5001,C$206,BD!$A$3:$A$5001,_xlfn.MAXIFS(BD!$A$3:$A$5001,BD!$B$3:$B$5001,C$206,BD!$A$3:$A$5001,"&gt;="&amp;$C$7,BD!$A$3:$A$5001,"&lt;="&amp;$B222,BD!$W$3:$W$5001,"&lt;&gt;"))))</f>
        <v/>
      </c>
      <c r="D222" s="43" t="str">
        <f>IF(OR($B222="",$A222&gt;$B$9,D$206=""),"",IF(COUNTIFS(BD!$B$3:$B$5001,D$206,BD!$A$3:$A$5001,"&gt;="&amp;$C$7,BD!$A$3:$A$5001,"&lt;="&amp;$B222,BD!$W$3:$W$5001,"&lt;&gt;")=0,"",SUMIFS(BD!$W$3:$W$5001,BD!$B$3:$B$5001,D$206,BD!$A$3:$A$5001,_xlfn.MAXIFS(BD!$A$3:$A$5001,BD!$B$3:$B$5001,D$206,BD!$A$3:$A$5001,"&gt;="&amp;$C$7,BD!$A$3:$A$5001,"&lt;="&amp;$B222,BD!$W$3:$W$5001,"&lt;&gt;"))))</f>
        <v/>
      </c>
      <c r="E222" s="43" t="str">
        <f>IF(OR($B222="",$A222&gt;$B$9,E$206=""),"",IF(COUNTIFS(BD!$B$3:$B$5001,E$206,BD!$A$3:$A$5001,"&gt;="&amp;$C$7,BD!$A$3:$A$5001,"&lt;="&amp;$B222,BD!$W$3:$W$5001,"&lt;&gt;")=0,"",SUMIFS(BD!$W$3:$W$5001,BD!$B$3:$B$5001,E$206,BD!$A$3:$A$5001,_xlfn.MAXIFS(BD!$A$3:$A$5001,BD!$B$3:$B$5001,E$206,BD!$A$3:$A$5001,"&gt;="&amp;$C$7,BD!$A$3:$A$5001,"&lt;="&amp;$B222,BD!$W$3:$W$5001,"&lt;&gt;"))))</f>
        <v/>
      </c>
      <c r="F222" s="43" t="str">
        <f>IF(OR($B222="",$A222&gt;$B$9,F$206=""),"",IF(COUNTIFS(BD!$B$3:$B$5001,F$206,BD!$A$3:$A$5001,"&gt;="&amp;$C$7,BD!$A$3:$A$5001,"&lt;="&amp;$B222,BD!$W$3:$W$5001,"&lt;&gt;")=0,"",SUMIFS(BD!$W$3:$W$5001,BD!$B$3:$B$5001,F$206,BD!$A$3:$A$5001,_xlfn.MAXIFS(BD!$A$3:$A$5001,BD!$B$3:$B$5001,F$206,BD!$A$3:$A$5001,"&gt;="&amp;$C$7,BD!$A$3:$A$5001,"&lt;="&amp;$B222,BD!$W$3:$W$5001,"&lt;&gt;"))))</f>
        <v/>
      </c>
      <c r="G222" s="43" t="str">
        <f>IF(OR($B222="",$A222&gt;$B$9,G$206=""),"",IF(COUNTIFS(BD!$B$3:$B$5001,G$206,BD!$A$3:$A$5001,"&gt;="&amp;$C$7,BD!$A$3:$A$5001,"&lt;="&amp;$B222,BD!$W$3:$W$5001,"&lt;&gt;")=0,"",SUMIFS(BD!$W$3:$W$5001,BD!$B$3:$B$5001,G$206,BD!$A$3:$A$5001,_xlfn.MAXIFS(BD!$A$3:$A$5001,BD!$B$3:$B$5001,G$206,BD!$A$3:$A$5001,"&gt;="&amp;$C$7,BD!$A$3:$A$5001,"&lt;="&amp;$B222,BD!$W$3:$W$5001,"&lt;&gt;"))))</f>
        <v/>
      </c>
      <c r="H222" s="43" t="str">
        <f>IF(OR($B222="",$A222&gt;$B$9,H$206=""),"",IF(COUNTIFS(BD!$B$3:$B$5001,H$206,BD!$A$3:$A$5001,"&gt;="&amp;$C$7,BD!$A$3:$A$5001,"&lt;="&amp;$B222,BD!$W$3:$W$5001,"&lt;&gt;")=0,"",SUMIFS(BD!$W$3:$W$5001,BD!$B$3:$B$5001,H$206,BD!$A$3:$A$5001,_xlfn.MAXIFS(BD!$A$3:$A$5001,BD!$B$3:$B$5001,H$206,BD!$A$3:$A$5001,"&gt;="&amp;$C$7,BD!$A$3:$A$5001,"&lt;="&amp;$B222,BD!$W$3:$W$5001,"&lt;&gt;"))))</f>
        <v/>
      </c>
      <c r="I222" s="43" t="str">
        <f>IF(OR($B222="",$A222&gt;$B$9,I$206=""),"",IF(COUNTIFS(BD!$B$3:$B$5001,I$206,BD!$A$3:$A$5001,"&gt;="&amp;$C$7,BD!$A$3:$A$5001,"&lt;="&amp;$B222,BD!$W$3:$W$5001,"&lt;&gt;")=0,"",SUMIFS(BD!$W$3:$W$5001,BD!$B$3:$B$5001,I$206,BD!$A$3:$A$5001,_xlfn.MAXIFS(BD!$A$3:$A$5001,BD!$B$3:$B$5001,I$206,BD!$A$3:$A$5001,"&gt;="&amp;$C$7,BD!$A$3:$A$5001,"&lt;="&amp;$B222,BD!$W$3:$W$5001,"&lt;&gt;"))))</f>
        <v/>
      </c>
      <c r="J222" s="43" t="str">
        <f>IF(OR($B222="",$A222&gt;$B$9,J$206=""),"",IF(COUNTIFS(BD!$B$3:$B$5001,J$206,BD!$A$3:$A$5001,"&gt;="&amp;$C$7,BD!$A$3:$A$5001,"&lt;="&amp;$B222,BD!$W$3:$W$5001,"&lt;&gt;")=0,"",SUMIFS(BD!$W$3:$W$5001,BD!$B$3:$B$5001,J$206,BD!$A$3:$A$5001,_xlfn.MAXIFS(BD!$A$3:$A$5001,BD!$B$3:$B$5001,J$206,BD!$A$3:$A$5001,"&gt;="&amp;$C$7,BD!$A$3:$A$5001,"&lt;="&amp;$B222,BD!$W$3:$W$5001,"&lt;&gt;"))))</f>
        <v/>
      </c>
      <c r="K222" s="43" t="str">
        <f>IF(OR($B222="",$A222&gt;$B$9,K$206=""),"",IF(COUNTIFS(BD!$B$3:$B$5001,K$206,BD!$A$3:$A$5001,"&gt;="&amp;$C$7,BD!$A$3:$A$5001,"&lt;="&amp;$B222,BD!$W$3:$W$5001,"&lt;&gt;")=0,"",SUMIFS(BD!$W$3:$W$5001,BD!$B$3:$B$5001,K$206,BD!$A$3:$A$5001,_xlfn.MAXIFS(BD!$A$3:$A$5001,BD!$B$3:$B$5001,K$206,BD!$A$3:$A$5001,"&gt;="&amp;$C$7,BD!$A$3:$A$5001,"&lt;="&amp;$B222,BD!$W$3:$W$5001,"&lt;&gt;"))))</f>
        <v/>
      </c>
      <c r="L222" s="43" t="str">
        <f>IF(OR($B222="",$A222&gt;$B$9,L$206=""),"",IF(COUNTIFS(BD!$B$3:$B$5001,L$206,BD!$A$3:$A$5001,"&gt;="&amp;$C$7,BD!$A$3:$A$5001,"&lt;="&amp;$B222,BD!$W$3:$W$5001,"&lt;&gt;")=0,"",SUMIFS(BD!$W$3:$W$5001,BD!$B$3:$B$5001,L$206,BD!$A$3:$A$5001,_xlfn.MAXIFS(BD!$A$3:$A$5001,BD!$B$3:$B$5001,L$206,BD!$A$3:$A$5001,"&gt;="&amp;$C$7,BD!$A$3:$A$5001,"&lt;="&amp;$B222,BD!$W$3:$W$5001,"&lt;&gt;"))))</f>
        <v/>
      </c>
      <c r="M222" s="43" t="str">
        <f>IF(OR($B222="",$A222&gt;$B$9,M$206=""),"",IF(COUNTIFS(BD!$B$3:$B$5001,M$206,BD!$A$3:$A$5001,"&gt;="&amp;$C$7,BD!$A$3:$A$5001,"&lt;="&amp;$B222,BD!$W$3:$W$5001,"&lt;&gt;")=0,"",SUMIFS(BD!$W$3:$W$5001,BD!$B$3:$B$5001,M$206,BD!$A$3:$A$5001,_xlfn.MAXIFS(BD!$A$3:$A$5001,BD!$B$3:$B$5001,M$206,BD!$A$3:$A$5001,"&gt;="&amp;$C$7,BD!$A$3:$A$5001,"&lt;="&amp;$B222,BD!$W$3:$W$5001,"&lt;&gt;"))))</f>
        <v/>
      </c>
      <c r="N222" s="43" t="str">
        <f>IF(OR($B222="",$A222&gt;$B$9,N$206=""),"",IF(COUNTIFS(BD!$B$3:$B$5001,N$206,BD!$A$3:$A$5001,"&gt;="&amp;$C$7,BD!$A$3:$A$5001,"&lt;="&amp;$B222,BD!$W$3:$W$5001,"&lt;&gt;")=0,"",SUMIFS(BD!$W$3:$W$5001,BD!$B$3:$B$5001,N$206,BD!$A$3:$A$5001,_xlfn.MAXIFS(BD!$A$3:$A$5001,BD!$B$3:$B$5001,N$206,BD!$A$3:$A$5001,"&gt;="&amp;$C$7,BD!$A$3:$A$5001,"&lt;="&amp;$B222,BD!$W$3:$W$5001,"&lt;&gt;"))))</f>
        <v/>
      </c>
      <c r="O222" s="43" t="str">
        <f>IF(OR($B222="",$A222&gt;$B$9,O$206=""),"",IF(COUNTIFS(BD!$B$3:$B$5001,O$206,BD!$A$3:$A$5001,"&gt;="&amp;$C$7,BD!$A$3:$A$5001,"&lt;="&amp;$B222,BD!$W$3:$W$5001,"&lt;&gt;")=0,"",SUMIFS(BD!$W$3:$W$5001,BD!$B$3:$B$5001,O$206,BD!$A$3:$A$5001,_xlfn.MAXIFS(BD!$A$3:$A$5001,BD!$B$3:$B$5001,O$206,BD!$A$3:$A$5001,"&gt;="&amp;$C$7,BD!$A$3:$A$5001,"&lt;="&amp;$B222,BD!$W$3:$W$5001,"&lt;&gt;"))))</f>
        <v/>
      </c>
      <c r="P222" s="43" t="str">
        <f>IF(OR($B222="",$A222&gt;$B$9,P$206=""),"",IF(COUNTIFS(BD!$B$3:$B$5001,P$206,BD!$A$3:$A$5001,"&gt;="&amp;$C$7,BD!$A$3:$A$5001,"&lt;="&amp;$B222,BD!$W$3:$W$5001,"&lt;&gt;")=0,"",SUMIFS(BD!$W$3:$W$5001,BD!$B$3:$B$5001,P$206,BD!$A$3:$A$5001,_xlfn.MAXIFS(BD!$A$3:$A$5001,BD!$B$3:$B$5001,P$206,BD!$A$3:$A$5001,"&gt;="&amp;$C$7,BD!$A$3:$A$5001,"&lt;="&amp;$B222,BD!$W$3:$W$5001,"&lt;&gt;"))))</f>
        <v/>
      </c>
      <c r="Q222" s="43" t="str">
        <f>IF(OR($B222="",$A222&gt;$B$9,Q$206=""),"",IF(COUNTIFS(BD!$B$3:$B$5001,Q$206,BD!$A$3:$A$5001,"&gt;="&amp;$C$7,BD!$A$3:$A$5001,"&lt;="&amp;$B222,BD!$W$3:$W$5001,"&lt;&gt;")=0,"",SUMIFS(BD!$W$3:$W$5001,BD!$B$3:$B$5001,Q$206,BD!$A$3:$A$5001,_xlfn.MAXIFS(BD!$A$3:$A$5001,BD!$B$3:$B$5001,Q$206,BD!$A$3:$A$5001,"&gt;="&amp;$C$7,BD!$A$3:$A$5001,"&lt;="&amp;$B222,BD!$W$3:$W$5001,"&lt;&gt;"))))</f>
        <v/>
      </c>
      <c r="R222" s="43" t="str">
        <f>IF(OR($B222="",$A222&gt;$B$9,R$206=""),"",IF(COUNTIFS(BD!$B$3:$B$5001,R$206,BD!$A$3:$A$5001,"&gt;="&amp;$C$7,BD!$A$3:$A$5001,"&lt;="&amp;$B222,BD!$W$3:$W$5001,"&lt;&gt;")=0,"",SUMIFS(BD!$W$3:$W$5001,BD!$B$3:$B$5001,R$206,BD!$A$3:$A$5001,_xlfn.MAXIFS(BD!$A$3:$A$5001,BD!$B$3:$B$5001,R$206,BD!$A$3:$A$5001,"&gt;="&amp;$C$7,BD!$A$3:$A$5001,"&lt;="&amp;$B222,BD!$W$3:$W$5001,"&lt;&gt;"))))</f>
        <v/>
      </c>
      <c r="S222" s="43" t="str">
        <f>IF(OR($B222="",$A222&gt;$B$9,S$206=""),"",IF(COUNTIFS(BD!$B$3:$B$5001,S$206,BD!$A$3:$A$5001,"&gt;="&amp;$C$7,BD!$A$3:$A$5001,"&lt;="&amp;$B222,BD!$W$3:$W$5001,"&lt;&gt;")=0,"",SUMIFS(BD!$W$3:$W$5001,BD!$B$3:$B$5001,S$206,BD!$A$3:$A$5001,_xlfn.MAXIFS(BD!$A$3:$A$5001,BD!$B$3:$B$5001,S$206,BD!$A$3:$A$5001,"&gt;="&amp;$C$7,BD!$A$3:$A$5001,"&lt;="&amp;$B222,BD!$W$3:$W$5001,"&lt;&gt;"))))</f>
        <v/>
      </c>
      <c r="T222" s="43" t="str">
        <f>IF(OR($B222="",$A222&gt;$B$9,T$206=""),"",IF(COUNTIFS(BD!$B$3:$B$5001,T$206,BD!$A$3:$A$5001,"&gt;="&amp;$C$7,BD!$A$3:$A$5001,"&lt;="&amp;$B222,BD!$W$3:$W$5001,"&lt;&gt;")=0,"",SUMIFS(BD!$W$3:$W$5001,BD!$B$3:$B$5001,T$206,BD!$A$3:$A$5001,_xlfn.MAXIFS(BD!$A$3:$A$5001,BD!$B$3:$B$5001,T$206,BD!$A$3:$A$5001,"&gt;="&amp;$C$7,BD!$A$3:$A$5001,"&lt;="&amp;$B222,BD!$W$3:$W$5001,"&lt;&gt;"))))</f>
        <v/>
      </c>
      <c r="U222" s="43" t="str">
        <f>IF(OR($B222="",$A222&gt;$B$9,U$206=""),"",IF(COUNTIFS(BD!$B$3:$B$5001,U$206,BD!$A$3:$A$5001,"&gt;="&amp;$C$7,BD!$A$3:$A$5001,"&lt;="&amp;$B222,BD!$W$3:$W$5001,"&lt;&gt;")=0,"",SUMIFS(BD!$W$3:$W$5001,BD!$B$3:$B$5001,U$206,BD!$A$3:$A$5001,_xlfn.MAXIFS(BD!$A$3:$A$5001,BD!$B$3:$B$5001,U$206,BD!$A$3:$A$5001,"&gt;="&amp;$C$7,BD!$A$3:$A$5001,"&lt;="&amp;$B222,BD!$W$3:$W$5001,"&lt;&gt;"))))</f>
        <v/>
      </c>
      <c r="V222" s="43" t="str">
        <f>IF(OR($B222="",$A222&gt;$B$9,V$206=""),"",IF(COUNTIFS(BD!$B$3:$B$5001,V$206,BD!$A$3:$A$5001,"&gt;="&amp;$C$7,BD!$A$3:$A$5001,"&lt;="&amp;$B222,BD!$W$3:$W$5001,"&lt;&gt;")=0,"",SUMIFS(BD!$W$3:$W$5001,BD!$B$3:$B$5001,V$206,BD!$A$3:$A$5001,_xlfn.MAXIFS(BD!$A$3:$A$5001,BD!$B$3:$B$5001,V$206,BD!$A$3:$A$5001,"&gt;="&amp;$C$7,BD!$A$3:$A$5001,"&lt;="&amp;$B222,BD!$W$3:$W$5001,"&lt;&gt;"))))</f>
        <v/>
      </c>
    </row>
    <row r="223">
      <c r="A223" s="38">
        <v>17</v>
      </c>
      <c r="B223" s="42">
        <f>$B$28</f>
        <v>46312</v>
      </c>
      <c r="C223" s="43" t="str">
        <f>IF(OR($B223="",$A223&gt;$B$9,C$206=""),"",IF(COUNTIFS(BD!$B$3:$B$5001,C$206,BD!$A$3:$A$5001,"&gt;="&amp;$C$7,BD!$A$3:$A$5001,"&lt;="&amp;$B223,BD!$W$3:$W$5001,"&lt;&gt;")=0,"",SUMIFS(BD!$W$3:$W$5001,BD!$B$3:$B$5001,C$206,BD!$A$3:$A$5001,_xlfn.MAXIFS(BD!$A$3:$A$5001,BD!$B$3:$B$5001,C$206,BD!$A$3:$A$5001,"&gt;="&amp;$C$7,BD!$A$3:$A$5001,"&lt;="&amp;$B223,BD!$W$3:$W$5001,"&lt;&gt;"))))</f>
        <v/>
      </c>
      <c r="D223" s="43" t="str">
        <f>IF(OR($B223="",$A223&gt;$B$9,D$206=""),"",IF(COUNTIFS(BD!$B$3:$B$5001,D$206,BD!$A$3:$A$5001,"&gt;="&amp;$C$7,BD!$A$3:$A$5001,"&lt;="&amp;$B223,BD!$W$3:$W$5001,"&lt;&gt;")=0,"",SUMIFS(BD!$W$3:$W$5001,BD!$B$3:$B$5001,D$206,BD!$A$3:$A$5001,_xlfn.MAXIFS(BD!$A$3:$A$5001,BD!$B$3:$B$5001,D$206,BD!$A$3:$A$5001,"&gt;="&amp;$C$7,BD!$A$3:$A$5001,"&lt;="&amp;$B223,BD!$W$3:$W$5001,"&lt;&gt;"))))</f>
        <v/>
      </c>
      <c r="E223" s="43" t="str">
        <f>IF(OR($B223="",$A223&gt;$B$9,E$206=""),"",IF(COUNTIFS(BD!$B$3:$B$5001,E$206,BD!$A$3:$A$5001,"&gt;="&amp;$C$7,BD!$A$3:$A$5001,"&lt;="&amp;$B223,BD!$W$3:$W$5001,"&lt;&gt;")=0,"",SUMIFS(BD!$W$3:$W$5001,BD!$B$3:$B$5001,E$206,BD!$A$3:$A$5001,_xlfn.MAXIFS(BD!$A$3:$A$5001,BD!$B$3:$B$5001,E$206,BD!$A$3:$A$5001,"&gt;="&amp;$C$7,BD!$A$3:$A$5001,"&lt;="&amp;$B223,BD!$W$3:$W$5001,"&lt;&gt;"))))</f>
        <v/>
      </c>
      <c r="F223" s="43" t="str">
        <f>IF(OR($B223="",$A223&gt;$B$9,F$206=""),"",IF(COUNTIFS(BD!$B$3:$B$5001,F$206,BD!$A$3:$A$5001,"&gt;="&amp;$C$7,BD!$A$3:$A$5001,"&lt;="&amp;$B223,BD!$W$3:$W$5001,"&lt;&gt;")=0,"",SUMIFS(BD!$W$3:$W$5001,BD!$B$3:$B$5001,F$206,BD!$A$3:$A$5001,_xlfn.MAXIFS(BD!$A$3:$A$5001,BD!$B$3:$B$5001,F$206,BD!$A$3:$A$5001,"&gt;="&amp;$C$7,BD!$A$3:$A$5001,"&lt;="&amp;$B223,BD!$W$3:$W$5001,"&lt;&gt;"))))</f>
        <v/>
      </c>
      <c r="G223" s="43" t="str">
        <f>IF(OR($B223="",$A223&gt;$B$9,G$206=""),"",IF(COUNTIFS(BD!$B$3:$B$5001,G$206,BD!$A$3:$A$5001,"&gt;="&amp;$C$7,BD!$A$3:$A$5001,"&lt;="&amp;$B223,BD!$W$3:$W$5001,"&lt;&gt;")=0,"",SUMIFS(BD!$W$3:$W$5001,BD!$B$3:$B$5001,G$206,BD!$A$3:$A$5001,_xlfn.MAXIFS(BD!$A$3:$A$5001,BD!$B$3:$B$5001,G$206,BD!$A$3:$A$5001,"&gt;="&amp;$C$7,BD!$A$3:$A$5001,"&lt;="&amp;$B223,BD!$W$3:$W$5001,"&lt;&gt;"))))</f>
        <v/>
      </c>
      <c r="H223" s="43" t="str">
        <f>IF(OR($B223="",$A223&gt;$B$9,H$206=""),"",IF(COUNTIFS(BD!$B$3:$B$5001,H$206,BD!$A$3:$A$5001,"&gt;="&amp;$C$7,BD!$A$3:$A$5001,"&lt;="&amp;$B223,BD!$W$3:$W$5001,"&lt;&gt;")=0,"",SUMIFS(BD!$W$3:$W$5001,BD!$B$3:$B$5001,H$206,BD!$A$3:$A$5001,_xlfn.MAXIFS(BD!$A$3:$A$5001,BD!$B$3:$B$5001,H$206,BD!$A$3:$A$5001,"&gt;="&amp;$C$7,BD!$A$3:$A$5001,"&lt;="&amp;$B223,BD!$W$3:$W$5001,"&lt;&gt;"))))</f>
        <v/>
      </c>
      <c r="I223" s="43" t="str">
        <f>IF(OR($B223="",$A223&gt;$B$9,I$206=""),"",IF(COUNTIFS(BD!$B$3:$B$5001,I$206,BD!$A$3:$A$5001,"&gt;="&amp;$C$7,BD!$A$3:$A$5001,"&lt;="&amp;$B223,BD!$W$3:$W$5001,"&lt;&gt;")=0,"",SUMIFS(BD!$W$3:$W$5001,BD!$B$3:$B$5001,I$206,BD!$A$3:$A$5001,_xlfn.MAXIFS(BD!$A$3:$A$5001,BD!$B$3:$B$5001,I$206,BD!$A$3:$A$5001,"&gt;="&amp;$C$7,BD!$A$3:$A$5001,"&lt;="&amp;$B223,BD!$W$3:$W$5001,"&lt;&gt;"))))</f>
        <v/>
      </c>
      <c r="J223" s="43" t="str">
        <f>IF(OR($B223="",$A223&gt;$B$9,J$206=""),"",IF(COUNTIFS(BD!$B$3:$B$5001,J$206,BD!$A$3:$A$5001,"&gt;="&amp;$C$7,BD!$A$3:$A$5001,"&lt;="&amp;$B223,BD!$W$3:$W$5001,"&lt;&gt;")=0,"",SUMIFS(BD!$W$3:$W$5001,BD!$B$3:$B$5001,J$206,BD!$A$3:$A$5001,_xlfn.MAXIFS(BD!$A$3:$A$5001,BD!$B$3:$B$5001,J$206,BD!$A$3:$A$5001,"&gt;="&amp;$C$7,BD!$A$3:$A$5001,"&lt;="&amp;$B223,BD!$W$3:$W$5001,"&lt;&gt;"))))</f>
        <v/>
      </c>
      <c r="K223" s="43" t="str">
        <f>IF(OR($B223="",$A223&gt;$B$9,K$206=""),"",IF(COUNTIFS(BD!$B$3:$B$5001,K$206,BD!$A$3:$A$5001,"&gt;="&amp;$C$7,BD!$A$3:$A$5001,"&lt;="&amp;$B223,BD!$W$3:$W$5001,"&lt;&gt;")=0,"",SUMIFS(BD!$W$3:$W$5001,BD!$B$3:$B$5001,K$206,BD!$A$3:$A$5001,_xlfn.MAXIFS(BD!$A$3:$A$5001,BD!$B$3:$B$5001,K$206,BD!$A$3:$A$5001,"&gt;="&amp;$C$7,BD!$A$3:$A$5001,"&lt;="&amp;$B223,BD!$W$3:$W$5001,"&lt;&gt;"))))</f>
        <v/>
      </c>
      <c r="L223" s="43" t="str">
        <f>IF(OR($B223="",$A223&gt;$B$9,L$206=""),"",IF(COUNTIFS(BD!$B$3:$B$5001,L$206,BD!$A$3:$A$5001,"&gt;="&amp;$C$7,BD!$A$3:$A$5001,"&lt;="&amp;$B223,BD!$W$3:$W$5001,"&lt;&gt;")=0,"",SUMIFS(BD!$W$3:$W$5001,BD!$B$3:$B$5001,L$206,BD!$A$3:$A$5001,_xlfn.MAXIFS(BD!$A$3:$A$5001,BD!$B$3:$B$5001,L$206,BD!$A$3:$A$5001,"&gt;="&amp;$C$7,BD!$A$3:$A$5001,"&lt;="&amp;$B223,BD!$W$3:$W$5001,"&lt;&gt;"))))</f>
        <v/>
      </c>
      <c r="M223" s="43" t="str">
        <f>IF(OR($B223="",$A223&gt;$B$9,M$206=""),"",IF(COUNTIFS(BD!$B$3:$B$5001,M$206,BD!$A$3:$A$5001,"&gt;="&amp;$C$7,BD!$A$3:$A$5001,"&lt;="&amp;$B223,BD!$W$3:$W$5001,"&lt;&gt;")=0,"",SUMIFS(BD!$W$3:$W$5001,BD!$B$3:$B$5001,M$206,BD!$A$3:$A$5001,_xlfn.MAXIFS(BD!$A$3:$A$5001,BD!$B$3:$B$5001,M$206,BD!$A$3:$A$5001,"&gt;="&amp;$C$7,BD!$A$3:$A$5001,"&lt;="&amp;$B223,BD!$W$3:$W$5001,"&lt;&gt;"))))</f>
        <v/>
      </c>
      <c r="N223" s="43" t="str">
        <f>IF(OR($B223="",$A223&gt;$B$9,N$206=""),"",IF(COUNTIFS(BD!$B$3:$B$5001,N$206,BD!$A$3:$A$5001,"&gt;="&amp;$C$7,BD!$A$3:$A$5001,"&lt;="&amp;$B223,BD!$W$3:$W$5001,"&lt;&gt;")=0,"",SUMIFS(BD!$W$3:$W$5001,BD!$B$3:$B$5001,N$206,BD!$A$3:$A$5001,_xlfn.MAXIFS(BD!$A$3:$A$5001,BD!$B$3:$B$5001,N$206,BD!$A$3:$A$5001,"&gt;="&amp;$C$7,BD!$A$3:$A$5001,"&lt;="&amp;$B223,BD!$W$3:$W$5001,"&lt;&gt;"))))</f>
        <v/>
      </c>
      <c r="O223" s="43" t="str">
        <f>IF(OR($B223="",$A223&gt;$B$9,O$206=""),"",IF(COUNTIFS(BD!$B$3:$B$5001,O$206,BD!$A$3:$A$5001,"&gt;="&amp;$C$7,BD!$A$3:$A$5001,"&lt;="&amp;$B223,BD!$W$3:$W$5001,"&lt;&gt;")=0,"",SUMIFS(BD!$W$3:$W$5001,BD!$B$3:$B$5001,O$206,BD!$A$3:$A$5001,_xlfn.MAXIFS(BD!$A$3:$A$5001,BD!$B$3:$B$5001,O$206,BD!$A$3:$A$5001,"&gt;="&amp;$C$7,BD!$A$3:$A$5001,"&lt;="&amp;$B223,BD!$W$3:$W$5001,"&lt;&gt;"))))</f>
        <v/>
      </c>
      <c r="P223" s="43" t="str">
        <f>IF(OR($B223="",$A223&gt;$B$9,P$206=""),"",IF(COUNTIFS(BD!$B$3:$B$5001,P$206,BD!$A$3:$A$5001,"&gt;="&amp;$C$7,BD!$A$3:$A$5001,"&lt;="&amp;$B223,BD!$W$3:$W$5001,"&lt;&gt;")=0,"",SUMIFS(BD!$W$3:$W$5001,BD!$B$3:$B$5001,P$206,BD!$A$3:$A$5001,_xlfn.MAXIFS(BD!$A$3:$A$5001,BD!$B$3:$B$5001,P$206,BD!$A$3:$A$5001,"&gt;="&amp;$C$7,BD!$A$3:$A$5001,"&lt;="&amp;$B223,BD!$W$3:$W$5001,"&lt;&gt;"))))</f>
        <v/>
      </c>
      <c r="Q223" s="43" t="str">
        <f>IF(OR($B223="",$A223&gt;$B$9,Q$206=""),"",IF(COUNTIFS(BD!$B$3:$B$5001,Q$206,BD!$A$3:$A$5001,"&gt;="&amp;$C$7,BD!$A$3:$A$5001,"&lt;="&amp;$B223,BD!$W$3:$W$5001,"&lt;&gt;")=0,"",SUMIFS(BD!$W$3:$W$5001,BD!$B$3:$B$5001,Q$206,BD!$A$3:$A$5001,_xlfn.MAXIFS(BD!$A$3:$A$5001,BD!$B$3:$B$5001,Q$206,BD!$A$3:$A$5001,"&gt;="&amp;$C$7,BD!$A$3:$A$5001,"&lt;="&amp;$B223,BD!$W$3:$W$5001,"&lt;&gt;"))))</f>
        <v/>
      </c>
      <c r="R223" s="43" t="str">
        <f>IF(OR($B223="",$A223&gt;$B$9,R$206=""),"",IF(COUNTIFS(BD!$B$3:$B$5001,R$206,BD!$A$3:$A$5001,"&gt;="&amp;$C$7,BD!$A$3:$A$5001,"&lt;="&amp;$B223,BD!$W$3:$W$5001,"&lt;&gt;")=0,"",SUMIFS(BD!$W$3:$W$5001,BD!$B$3:$B$5001,R$206,BD!$A$3:$A$5001,_xlfn.MAXIFS(BD!$A$3:$A$5001,BD!$B$3:$B$5001,R$206,BD!$A$3:$A$5001,"&gt;="&amp;$C$7,BD!$A$3:$A$5001,"&lt;="&amp;$B223,BD!$W$3:$W$5001,"&lt;&gt;"))))</f>
        <v/>
      </c>
      <c r="S223" s="43" t="str">
        <f>IF(OR($B223="",$A223&gt;$B$9,S$206=""),"",IF(COUNTIFS(BD!$B$3:$B$5001,S$206,BD!$A$3:$A$5001,"&gt;="&amp;$C$7,BD!$A$3:$A$5001,"&lt;="&amp;$B223,BD!$W$3:$W$5001,"&lt;&gt;")=0,"",SUMIFS(BD!$W$3:$W$5001,BD!$B$3:$B$5001,S$206,BD!$A$3:$A$5001,_xlfn.MAXIFS(BD!$A$3:$A$5001,BD!$B$3:$B$5001,S$206,BD!$A$3:$A$5001,"&gt;="&amp;$C$7,BD!$A$3:$A$5001,"&lt;="&amp;$B223,BD!$W$3:$W$5001,"&lt;&gt;"))))</f>
        <v/>
      </c>
      <c r="T223" s="43" t="str">
        <f>IF(OR($B223="",$A223&gt;$B$9,T$206=""),"",IF(COUNTIFS(BD!$B$3:$B$5001,T$206,BD!$A$3:$A$5001,"&gt;="&amp;$C$7,BD!$A$3:$A$5001,"&lt;="&amp;$B223,BD!$W$3:$W$5001,"&lt;&gt;")=0,"",SUMIFS(BD!$W$3:$W$5001,BD!$B$3:$B$5001,T$206,BD!$A$3:$A$5001,_xlfn.MAXIFS(BD!$A$3:$A$5001,BD!$B$3:$B$5001,T$206,BD!$A$3:$A$5001,"&gt;="&amp;$C$7,BD!$A$3:$A$5001,"&lt;="&amp;$B223,BD!$W$3:$W$5001,"&lt;&gt;"))))</f>
        <v/>
      </c>
      <c r="U223" s="43" t="str">
        <f>IF(OR($B223="",$A223&gt;$B$9,U$206=""),"",IF(COUNTIFS(BD!$B$3:$B$5001,U$206,BD!$A$3:$A$5001,"&gt;="&amp;$C$7,BD!$A$3:$A$5001,"&lt;="&amp;$B223,BD!$W$3:$W$5001,"&lt;&gt;")=0,"",SUMIFS(BD!$W$3:$W$5001,BD!$B$3:$B$5001,U$206,BD!$A$3:$A$5001,_xlfn.MAXIFS(BD!$A$3:$A$5001,BD!$B$3:$B$5001,U$206,BD!$A$3:$A$5001,"&gt;="&amp;$C$7,BD!$A$3:$A$5001,"&lt;="&amp;$B223,BD!$W$3:$W$5001,"&lt;&gt;"))))</f>
        <v/>
      </c>
      <c r="V223" s="43" t="str">
        <f>IF(OR($B223="",$A223&gt;$B$9,V$206=""),"",IF(COUNTIFS(BD!$B$3:$B$5001,V$206,BD!$A$3:$A$5001,"&gt;="&amp;$C$7,BD!$A$3:$A$5001,"&lt;="&amp;$B223,BD!$W$3:$W$5001,"&lt;&gt;")=0,"",SUMIFS(BD!$W$3:$W$5001,BD!$B$3:$B$5001,V$206,BD!$A$3:$A$5001,_xlfn.MAXIFS(BD!$A$3:$A$5001,BD!$B$3:$B$5001,V$206,BD!$A$3:$A$5001,"&gt;="&amp;$C$7,BD!$A$3:$A$5001,"&lt;="&amp;$B223,BD!$W$3:$W$5001,"&lt;&gt;"))))</f>
        <v/>
      </c>
    </row>
    <row r="224">
      <c r="A224" s="38">
        <v>18</v>
      </c>
      <c r="B224" s="42">
        <f>$B$29</f>
        <v>46313</v>
      </c>
      <c r="C224" s="43" t="str">
        <f>IF(OR($B224="",$A224&gt;$B$9,C$206=""),"",IF(COUNTIFS(BD!$B$3:$B$5001,C$206,BD!$A$3:$A$5001,"&gt;="&amp;$C$7,BD!$A$3:$A$5001,"&lt;="&amp;$B224,BD!$W$3:$W$5001,"&lt;&gt;")=0,"",SUMIFS(BD!$W$3:$W$5001,BD!$B$3:$B$5001,C$206,BD!$A$3:$A$5001,_xlfn.MAXIFS(BD!$A$3:$A$5001,BD!$B$3:$B$5001,C$206,BD!$A$3:$A$5001,"&gt;="&amp;$C$7,BD!$A$3:$A$5001,"&lt;="&amp;$B224,BD!$W$3:$W$5001,"&lt;&gt;"))))</f>
        <v/>
      </c>
      <c r="D224" s="43" t="str">
        <f>IF(OR($B224="",$A224&gt;$B$9,D$206=""),"",IF(COUNTIFS(BD!$B$3:$B$5001,D$206,BD!$A$3:$A$5001,"&gt;="&amp;$C$7,BD!$A$3:$A$5001,"&lt;="&amp;$B224,BD!$W$3:$W$5001,"&lt;&gt;")=0,"",SUMIFS(BD!$W$3:$W$5001,BD!$B$3:$B$5001,D$206,BD!$A$3:$A$5001,_xlfn.MAXIFS(BD!$A$3:$A$5001,BD!$B$3:$B$5001,D$206,BD!$A$3:$A$5001,"&gt;="&amp;$C$7,BD!$A$3:$A$5001,"&lt;="&amp;$B224,BD!$W$3:$W$5001,"&lt;&gt;"))))</f>
        <v/>
      </c>
      <c r="E224" s="43" t="str">
        <f>IF(OR($B224="",$A224&gt;$B$9,E$206=""),"",IF(COUNTIFS(BD!$B$3:$B$5001,E$206,BD!$A$3:$A$5001,"&gt;="&amp;$C$7,BD!$A$3:$A$5001,"&lt;="&amp;$B224,BD!$W$3:$W$5001,"&lt;&gt;")=0,"",SUMIFS(BD!$W$3:$W$5001,BD!$B$3:$B$5001,E$206,BD!$A$3:$A$5001,_xlfn.MAXIFS(BD!$A$3:$A$5001,BD!$B$3:$B$5001,E$206,BD!$A$3:$A$5001,"&gt;="&amp;$C$7,BD!$A$3:$A$5001,"&lt;="&amp;$B224,BD!$W$3:$W$5001,"&lt;&gt;"))))</f>
        <v/>
      </c>
      <c r="F224" s="43" t="str">
        <f>IF(OR($B224="",$A224&gt;$B$9,F$206=""),"",IF(COUNTIFS(BD!$B$3:$B$5001,F$206,BD!$A$3:$A$5001,"&gt;="&amp;$C$7,BD!$A$3:$A$5001,"&lt;="&amp;$B224,BD!$W$3:$W$5001,"&lt;&gt;")=0,"",SUMIFS(BD!$W$3:$W$5001,BD!$B$3:$B$5001,F$206,BD!$A$3:$A$5001,_xlfn.MAXIFS(BD!$A$3:$A$5001,BD!$B$3:$B$5001,F$206,BD!$A$3:$A$5001,"&gt;="&amp;$C$7,BD!$A$3:$A$5001,"&lt;="&amp;$B224,BD!$W$3:$W$5001,"&lt;&gt;"))))</f>
        <v/>
      </c>
      <c r="G224" s="43" t="str">
        <f>IF(OR($B224="",$A224&gt;$B$9,G$206=""),"",IF(COUNTIFS(BD!$B$3:$B$5001,G$206,BD!$A$3:$A$5001,"&gt;="&amp;$C$7,BD!$A$3:$A$5001,"&lt;="&amp;$B224,BD!$W$3:$W$5001,"&lt;&gt;")=0,"",SUMIFS(BD!$W$3:$W$5001,BD!$B$3:$B$5001,G$206,BD!$A$3:$A$5001,_xlfn.MAXIFS(BD!$A$3:$A$5001,BD!$B$3:$B$5001,G$206,BD!$A$3:$A$5001,"&gt;="&amp;$C$7,BD!$A$3:$A$5001,"&lt;="&amp;$B224,BD!$W$3:$W$5001,"&lt;&gt;"))))</f>
        <v/>
      </c>
      <c r="H224" s="43" t="str">
        <f>IF(OR($B224="",$A224&gt;$B$9,H$206=""),"",IF(COUNTIFS(BD!$B$3:$B$5001,H$206,BD!$A$3:$A$5001,"&gt;="&amp;$C$7,BD!$A$3:$A$5001,"&lt;="&amp;$B224,BD!$W$3:$W$5001,"&lt;&gt;")=0,"",SUMIFS(BD!$W$3:$W$5001,BD!$B$3:$B$5001,H$206,BD!$A$3:$A$5001,_xlfn.MAXIFS(BD!$A$3:$A$5001,BD!$B$3:$B$5001,H$206,BD!$A$3:$A$5001,"&gt;="&amp;$C$7,BD!$A$3:$A$5001,"&lt;="&amp;$B224,BD!$W$3:$W$5001,"&lt;&gt;"))))</f>
        <v/>
      </c>
      <c r="I224" s="43" t="str">
        <f>IF(OR($B224="",$A224&gt;$B$9,I$206=""),"",IF(COUNTIFS(BD!$B$3:$B$5001,I$206,BD!$A$3:$A$5001,"&gt;="&amp;$C$7,BD!$A$3:$A$5001,"&lt;="&amp;$B224,BD!$W$3:$W$5001,"&lt;&gt;")=0,"",SUMIFS(BD!$W$3:$W$5001,BD!$B$3:$B$5001,I$206,BD!$A$3:$A$5001,_xlfn.MAXIFS(BD!$A$3:$A$5001,BD!$B$3:$B$5001,I$206,BD!$A$3:$A$5001,"&gt;="&amp;$C$7,BD!$A$3:$A$5001,"&lt;="&amp;$B224,BD!$W$3:$W$5001,"&lt;&gt;"))))</f>
        <v/>
      </c>
      <c r="J224" s="43" t="str">
        <f>IF(OR($B224="",$A224&gt;$B$9,J$206=""),"",IF(COUNTIFS(BD!$B$3:$B$5001,J$206,BD!$A$3:$A$5001,"&gt;="&amp;$C$7,BD!$A$3:$A$5001,"&lt;="&amp;$B224,BD!$W$3:$W$5001,"&lt;&gt;")=0,"",SUMIFS(BD!$W$3:$W$5001,BD!$B$3:$B$5001,J$206,BD!$A$3:$A$5001,_xlfn.MAXIFS(BD!$A$3:$A$5001,BD!$B$3:$B$5001,J$206,BD!$A$3:$A$5001,"&gt;="&amp;$C$7,BD!$A$3:$A$5001,"&lt;="&amp;$B224,BD!$W$3:$W$5001,"&lt;&gt;"))))</f>
        <v/>
      </c>
      <c r="K224" s="43" t="str">
        <f>IF(OR($B224="",$A224&gt;$B$9,K$206=""),"",IF(COUNTIFS(BD!$B$3:$B$5001,K$206,BD!$A$3:$A$5001,"&gt;="&amp;$C$7,BD!$A$3:$A$5001,"&lt;="&amp;$B224,BD!$W$3:$W$5001,"&lt;&gt;")=0,"",SUMIFS(BD!$W$3:$W$5001,BD!$B$3:$B$5001,K$206,BD!$A$3:$A$5001,_xlfn.MAXIFS(BD!$A$3:$A$5001,BD!$B$3:$B$5001,K$206,BD!$A$3:$A$5001,"&gt;="&amp;$C$7,BD!$A$3:$A$5001,"&lt;="&amp;$B224,BD!$W$3:$W$5001,"&lt;&gt;"))))</f>
        <v/>
      </c>
      <c r="L224" s="43" t="str">
        <f>IF(OR($B224="",$A224&gt;$B$9,L$206=""),"",IF(COUNTIFS(BD!$B$3:$B$5001,L$206,BD!$A$3:$A$5001,"&gt;="&amp;$C$7,BD!$A$3:$A$5001,"&lt;="&amp;$B224,BD!$W$3:$W$5001,"&lt;&gt;")=0,"",SUMIFS(BD!$W$3:$W$5001,BD!$B$3:$B$5001,L$206,BD!$A$3:$A$5001,_xlfn.MAXIFS(BD!$A$3:$A$5001,BD!$B$3:$B$5001,L$206,BD!$A$3:$A$5001,"&gt;="&amp;$C$7,BD!$A$3:$A$5001,"&lt;="&amp;$B224,BD!$W$3:$W$5001,"&lt;&gt;"))))</f>
        <v/>
      </c>
      <c r="M224" s="43" t="str">
        <f>IF(OR($B224="",$A224&gt;$B$9,M$206=""),"",IF(COUNTIFS(BD!$B$3:$B$5001,M$206,BD!$A$3:$A$5001,"&gt;="&amp;$C$7,BD!$A$3:$A$5001,"&lt;="&amp;$B224,BD!$W$3:$W$5001,"&lt;&gt;")=0,"",SUMIFS(BD!$W$3:$W$5001,BD!$B$3:$B$5001,M$206,BD!$A$3:$A$5001,_xlfn.MAXIFS(BD!$A$3:$A$5001,BD!$B$3:$B$5001,M$206,BD!$A$3:$A$5001,"&gt;="&amp;$C$7,BD!$A$3:$A$5001,"&lt;="&amp;$B224,BD!$W$3:$W$5001,"&lt;&gt;"))))</f>
        <v/>
      </c>
      <c r="N224" s="43" t="str">
        <f>IF(OR($B224="",$A224&gt;$B$9,N$206=""),"",IF(COUNTIFS(BD!$B$3:$B$5001,N$206,BD!$A$3:$A$5001,"&gt;="&amp;$C$7,BD!$A$3:$A$5001,"&lt;="&amp;$B224,BD!$W$3:$W$5001,"&lt;&gt;")=0,"",SUMIFS(BD!$W$3:$W$5001,BD!$B$3:$B$5001,N$206,BD!$A$3:$A$5001,_xlfn.MAXIFS(BD!$A$3:$A$5001,BD!$B$3:$B$5001,N$206,BD!$A$3:$A$5001,"&gt;="&amp;$C$7,BD!$A$3:$A$5001,"&lt;="&amp;$B224,BD!$W$3:$W$5001,"&lt;&gt;"))))</f>
        <v/>
      </c>
      <c r="O224" s="43" t="str">
        <f>IF(OR($B224="",$A224&gt;$B$9,O$206=""),"",IF(COUNTIFS(BD!$B$3:$B$5001,O$206,BD!$A$3:$A$5001,"&gt;="&amp;$C$7,BD!$A$3:$A$5001,"&lt;="&amp;$B224,BD!$W$3:$W$5001,"&lt;&gt;")=0,"",SUMIFS(BD!$W$3:$W$5001,BD!$B$3:$B$5001,O$206,BD!$A$3:$A$5001,_xlfn.MAXIFS(BD!$A$3:$A$5001,BD!$B$3:$B$5001,O$206,BD!$A$3:$A$5001,"&gt;="&amp;$C$7,BD!$A$3:$A$5001,"&lt;="&amp;$B224,BD!$W$3:$W$5001,"&lt;&gt;"))))</f>
        <v/>
      </c>
      <c r="P224" s="43" t="str">
        <f>IF(OR($B224="",$A224&gt;$B$9,P$206=""),"",IF(COUNTIFS(BD!$B$3:$B$5001,P$206,BD!$A$3:$A$5001,"&gt;="&amp;$C$7,BD!$A$3:$A$5001,"&lt;="&amp;$B224,BD!$W$3:$W$5001,"&lt;&gt;")=0,"",SUMIFS(BD!$W$3:$W$5001,BD!$B$3:$B$5001,P$206,BD!$A$3:$A$5001,_xlfn.MAXIFS(BD!$A$3:$A$5001,BD!$B$3:$B$5001,P$206,BD!$A$3:$A$5001,"&gt;="&amp;$C$7,BD!$A$3:$A$5001,"&lt;="&amp;$B224,BD!$W$3:$W$5001,"&lt;&gt;"))))</f>
        <v/>
      </c>
      <c r="Q224" s="43" t="str">
        <f>IF(OR($B224="",$A224&gt;$B$9,Q$206=""),"",IF(COUNTIFS(BD!$B$3:$B$5001,Q$206,BD!$A$3:$A$5001,"&gt;="&amp;$C$7,BD!$A$3:$A$5001,"&lt;="&amp;$B224,BD!$W$3:$W$5001,"&lt;&gt;")=0,"",SUMIFS(BD!$W$3:$W$5001,BD!$B$3:$B$5001,Q$206,BD!$A$3:$A$5001,_xlfn.MAXIFS(BD!$A$3:$A$5001,BD!$B$3:$B$5001,Q$206,BD!$A$3:$A$5001,"&gt;="&amp;$C$7,BD!$A$3:$A$5001,"&lt;="&amp;$B224,BD!$W$3:$W$5001,"&lt;&gt;"))))</f>
        <v/>
      </c>
      <c r="R224" s="43" t="str">
        <f>IF(OR($B224="",$A224&gt;$B$9,R$206=""),"",IF(COUNTIFS(BD!$B$3:$B$5001,R$206,BD!$A$3:$A$5001,"&gt;="&amp;$C$7,BD!$A$3:$A$5001,"&lt;="&amp;$B224,BD!$W$3:$W$5001,"&lt;&gt;")=0,"",SUMIFS(BD!$W$3:$W$5001,BD!$B$3:$B$5001,R$206,BD!$A$3:$A$5001,_xlfn.MAXIFS(BD!$A$3:$A$5001,BD!$B$3:$B$5001,R$206,BD!$A$3:$A$5001,"&gt;="&amp;$C$7,BD!$A$3:$A$5001,"&lt;="&amp;$B224,BD!$W$3:$W$5001,"&lt;&gt;"))))</f>
        <v/>
      </c>
      <c r="S224" s="43" t="str">
        <f>IF(OR($B224="",$A224&gt;$B$9,S$206=""),"",IF(COUNTIFS(BD!$B$3:$B$5001,S$206,BD!$A$3:$A$5001,"&gt;="&amp;$C$7,BD!$A$3:$A$5001,"&lt;="&amp;$B224,BD!$W$3:$W$5001,"&lt;&gt;")=0,"",SUMIFS(BD!$W$3:$W$5001,BD!$B$3:$B$5001,S$206,BD!$A$3:$A$5001,_xlfn.MAXIFS(BD!$A$3:$A$5001,BD!$B$3:$B$5001,S$206,BD!$A$3:$A$5001,"&gt;="&amp;$C$7,BD!$A$3:$A$5001,"&lt;="&amp;$B224,BD!$W$3:$W$5001,"&lt;&gt;"))))</f>
        <v/>
      </c>
      <c r="T224" s="43" t="str">
        <f>IF(OR($B224="",$A224&gt;$B$9,T$206=""),"",IF(COUNTIFS(BD!$B$3:$B$5001,T$206,BD!$A$3:$A$5001,"&gt;="&amp;$C$7,BD!$A$3:$A$5001,"&lt;="&amp;$B224,BD!$W$3:$W$5001,"&lt;&gt;")=0,"",SUMIFS(BD!$W$3:$W$5001,BD!$B$3:$B$5001,T$206,BD!$A$3:$A$5001,_xlfn.MAXIFS(BD!$A$3:$A$5001,BD!$B$3:$B$5001,T$206,BD!$A$3:$A$5001,"&gt;="&amp;$C$7,BD!$A$3:$A$5001,"&lt;="&amp;$B224,BD!$W$3:$W$5001,"&lt;&gt;"))))</f>
        <v/>
      </c>
      <c r="U224" s="43" t="str">
        <f>IF(OR($B224="",$A224&gt;$B$9,U$206=""),"",IF(COUNTIFS(BD!$B$3:$B$5001,U$206,BD!$A$3:$A$5001,"&gt;="&amp;$C$7,BD!$A$3:$A$5001,"&lt;="&amp;$B224,BD!$W$3:$W$5001,"&lt;&gt;")=0,"",SUMIFS(BD!$W$3:$W$5001,BD!$B$3:$B$5001,U$206,BD!$A$3:$A$5001,_xlfn.MAXIFS(BD!$A$3:$A$5001,BD!$B$3:$B$5001,U$206,BD!$A$3:$A$5001,"&gt;="&amp;$C$7,BD!$A$3:$A$5001,"&lt;="&amp;$B224,BD!$W$3:$W$5001,"&lt;&gt;"))))</f>
        <v/>
      </c>
      <c r="V224" s="43" t="str">
        <f>IF(OR($B224="",$A224&gt;$B$9,V$206=""),"",IF(COUNTIFS(BD!$B$3:$B$5001,V$206,BD!$A$3:$A$5001,"&gt;="&amp;$C$7,BD!$A$3:$A$5001,"&lt;="&amp;$B224,BD!$W$3:$W$5001,"&lt;&gt;")=0,"",SUMIFS(BD!$W$3:$W$5001,BD!$B$3:$B$5001,V$206,BD!$A$3:$A$5001,_xlfn.MAXIFS(BD!$A$3:$A$5001,BD!$B$3:$B$5001,V$206,BD!$A$3:$A$5001,"&gt;="&amp;$C$7,BD!$A$3:$A$5001,"&lt;="&amp;$B224,BD!$W$3:$W$5001,"&lt;&gt;"))))</f>
        <v/>
      </c>
    </row>
    <row r="225">
      <c r="A225" s="38">
        <v>19</v>
      </c>
      <c r="B225" s="42">
        <f>$B$30</f>
        <v>46314</v>
      </c>
      <c r="C225" s="43" t="str">
        <f>IF(OR($B225="",$A225&gt;$B$9,C$206=""),"",IF(COUNTIFS(BD!$B$3:$B$5001,C$206,BD!$A$3:$A$5001,"&gt;="&amp;$C$7,BD!$A$3:$A$5001,"&lt;="&amp;$B225,BD!$W$3:$W$5001,"&lt;&gt;")=0,"",SUMIFS(BD!$W$3:$W$5001,BD!$B$3:$B$5001,C$206,BD!$A$3:$A$5001,_xlfn.MAXIFS(BD!$A$3:$A$5001,BD!$B$3:$B$5001,C$206,BD!$A$3:$A$5001,"&gt;="&amp;$C$7,BD!$A$3:$A$5001,"&lt;="&amp;$B225,BD!$W$3:$W$5001,"&lt;&gt;"))))</f>
        <v/>
      </c>
      <c r="D225" s="43" t="str">
        <f>IF(OR($B225="",$A225&gt;$B$9,D$206=""),"",IF(COUNTIFS(BD!$B$3:$B$5001,D$206,BD!$A$3:$A$5001,"&gt;="&amp;$C$7,BD!$A$3:$A$5001,"&lt;="&amp;$B225,BD!$W$3:$W$5001,"&lt;&gt;")=0,"",SUMIFS(BD!$W$3:$W$5001,BD!$B$3:$B$5001,D$206,BD!$A$3:$A$5001,_xlfn.MAXIFS(BD!$A$3:$A$5001,BD!$B$3:$B$5001,D$206,BD!$A$3:$A$5001,"&gt;="&amp;$C$7,BD!$A$3:$A$5001,"&lt;="&amp;$B225,BD!$W$3:$W$5001,"&lt;&gt;"))))</f>
        <v/>
      </c>
      <c r="E225" s="43" t="str">
        <f>IF(OR($B225="",$A225&gt;$B$9,E$206=""),"",IF(COUNTIFS(BD!$B$3:$B$5001,E$206,BD!$A$3:$A$5001,"&gt;="&amp;$C$7,BD!$A$3:$A$5001,"&lt;="&amp;$B225,BD!$W$3:$W$5001,"&lt;&gt;")=0,"",SUMIFS(BD!$W$3:$W$5001,BD!$B$3:$B$5001,E$206,BD!$A$3:$A$5001,_xlfn.MAXIFS(BD!$A$3:$A$5001,BD!$B$3:$B$5001,E$206,BD!$A$3:$A$5001,"&gt;="&amp;$C$7,BD!$A$3:$A$5001,"&lt;="&amp;$B225,BD!$W$3:$W$5001,"&lt;&gt;"))))</f>
        <v/>
      </c>
      <c r="F225" s="43" t="str">
        <f>IF(OR($B225="",$A225&gt;$B$9,F$206=""),"",IF(COUNTIFS(BD!$B$3:$B$5001,F$206,BD!$A$3:$A$5001,"&gt;="&amp;$C$7,BD!$A$3:$A$5001,"&lt;="&amp;$B225,BD!$W$3:$W$5001,"&lt;&gt;")=0,"",SUMIFS(BD!$W$3:$W$5001,BD!$B$3:$B$5001,F$206,BD!$A$3:$A$5001,_xlfn.MAXIFS(BD!$A$3:$A$5001,BD!$B$3:$B$5001,F$206,BD!$A$3:$A$5001,"&gt;="&amp;$C$7,BD!$A$3:$A$5001,"&lt;="&amp;$B225,BD!$W$3:$W$5001,"&lt;&gt;"))))</f>
        <v/>
      </c>
      <c r="G225" s="43" t="str">
        <f>IF(OR($B225="",$A225&gt;$B$9,G$206=""),"",IF(COUNTIFS(BD!$B$3:$B$5001,G$206,BD!$A$3:$A$5001,"&gt;="&amp;$C$7,BD!$A$3:$A$5001,"&lt;="&amp;$B225,BD!$W$3:$W$5001,"&lt;&gt;")=0,"",SUMIFS(BD!$W$3:$W$5001,BD!$B$3:$B$5001,G$206,BD!$A$3:$A$5001,_xlfn.MAXIFS(BD!$A$3:$A$5001,BD!$B$3:$B$5001,G$206,BD!$A$3:$A$5001,"&gt;="&amp;$C$7,BD!$A$3:$A$5001,"&lt;="&amp;$B225,BD!$W$3:$W$5001,"&lt;&gt;"))))</f>
        <v/>
      </c>
      <c r="H225" s="43" t="str">
        <f>IF(OR($B225="",$A225&gt;$B$9,H$206=""),"",IF(COUNTIFS(BD!$B$3:$B$5001,H$206,BD!$A$3:$A$5001,"&gt;="&amp;$C$7,BD!$A$3:$A$5001,"&lt;="&amp;$B225,BD!$W$3:$W$5001,"&lt;&gt;")=0,"",SUMIFS(BD!$W$3:$W$5001,BD!$B$3:$B$5001,H$206,BD!$A$3:$A$5001,_xlfn.MAXIFS(BD!$A$3:$A$5001,BD!$B$3:$B$5001,H$206,BD!$A$3:$A$5001,"&gt;="&amp;$C$7,BD!$A$3:$A$5001,"&lt;="&amp;$B225,BD!$W$3:$W$5001,"&lt;&gt;"))))</f>
        <v/>
      </c>
      <c r="I225" s="43" t="str">
        <f>IF(OR($B225="",$A225&gt;$B$9,I$206=""),"",IF(COUNTIFS(BD!$B$3:$B$5001,I$206,BD!$A$3:$A$5001,"&gt;="&amp;$C$7,BD!$A$3:$A$5001,"&lt;="&amp;$B225,BD!$W$3:$W$5001,"&lt;&gt;")=0,"",SUMIFS(BD!$W$3:$W$5001,BD!$B$3:$B$5001,I$206,BD!$A$3:$A$5001,_xlfn.MAXIFS(BD!$A$3:$A$5001,BD!$B$3:$B$5001,I$206,BD!$A$3:$A$5001,"&gt;="&amp;$C$7,BD!$A$3:$A$5001,"&lt;="&amp;$B225,BD!$W$3:$W$5001,"&lt;&gt;"))))</f>
        <v/>
      </c>
      <c r="J225" s="43" t="str">
        <f>IF(OR($B225="",$A225&gt;$B$9,J$206=""),"",IF(COUNTIFS(BD!$B$3:$B$5001,J$206,BD!$A$3:$A$5001,"&gt;="&amp;$C$7,BD!$A$3:$A$5001,"&lt;="&amp;$B225,BD!$W$3:$W$5001,"&lt;&gt;")=0,"",SUMIFS(BD!$W$3:$W$5001,BD!$B$3:$B$5001,J$206,BD!$A$3:$A$5001,_xlfn.MAXIFS(BD!$A$3:$A$5001,BD!$B$3:$B$5001,J$206,BD!$A$3:$A$5001,"&gt;="&amp;$C$7,BD!$A$3:$A$5001,"&lt;="&amp;$B225,BD!$W$3:$W$5001,"&lt;&gt;"))))</f>
        <v/>
      </c>
      <c r="K225" s="43" t="str">
        <f>IF(OR($B225="",$A225&gt;$B$9,K$206=""),"",IF(COUNTIFS(BD!$B$3:$B$5001,K$206,BD!$A$3:$A$5001,"&gt;="&amp;$C$7,BD!$A$3:$A$5001,"&lt;="&amp;$B225,BD!$W$3:$W$5001,"&lt;&gt;")=0,"",SUMIFS(BD!$W$3:$W$5001,BD!$B$3:$B$5001,K$206,BD!$A$3:$A$5001,_xlfn.MAXIFS(BD!$A$3:$A$5001,BD!$B$3:$B$5001,K$206,BD!$A$3:$A$5001,"&gt;="&amp;$C$7,BD!$A$3:$A$5001,"&lt;="&amp;$B225,BD!$W$3:$W$5001,"&lt;&gt;"))))</f>
        <v/>
      </c>
      <c r="L225" s="43" t="str">
        <f>IF(OR($B225="",$A225&gt;$B$9,L$206=""),"",IF(COUNTIFS(BD!$B$3:$B$5001,L$206,BD!$A$3:$A$5001,"&gt;="&amp;$C$7,BD!$A$3:$A$5001,"&lt;="&amp;$B225,BD!$W$3:$W$5001,"&lt;&gt;")=0,"",SUMIFS(BD!$W$3:$W$5001,BD!$B$3:$B$5001,L$206,BD!$A$3:$A$5001,_xlfn.MAXIFS(BD!$A$3:$A$5001,BD!$B$3:$B$5001,L$206,BD!$A$3:$A$5001,"&gt;="&amp;$C$7,BD!$A$3:$A$5001,"&lt;="&amp;$B225,BD!$W$3:$W$5001,"&lt;&gt;"))))</f>
        <v/>
      </c>
      <c r="M225" s="43" t="str">
        <f>IF(OR($B225="",$A225&gt;$B$9,M$206=""),"",IF(COUNTIFS(BD!$B$3:$B$5001,M$206,BD!$A$3:$A$5001,"&gt;="&amp;$C$7,BD!$A$3:$A$5001,"&lt;="&amp;$B225,BD!$W$3:$W$5001,"&lt;&gt;")=0,"",SUMIFS(BD!$W$3:$W$5001,BD!$B$3:$B$5001,M$206,BD!$A$3:$A$5001,_xlfn.MAXIFS(BD!$A$3:$A$5001,BD!$B$3:$B$5001,M$206,BD!$A$3:$A$5001,"&gt;="&amp;$C$7,BD!$A$3:$A$5001,"&lt;="&amp;$B225,BD!$W$3:$W$5001,"&lt;&gt;"))))</f>
        <v/>
      </c>
      <c r="N225" s="43" t="str">
        <f>IF(OR($B225="",$A225&gt;$B$9,N$206=""),"",IF(COUNTIFS(BD!$B$3:$B$5001,N$206,BD!$A$3:$A$5001,"&gt;="&amp;$C$7,BD!$A$3:$A$5001,"&lt;="&amp;$B225,BD!$W$3:$W$5001,"&lt;&gt;")=0,"",SUMIFS(BD!$W$3:$W$5001,BD!$B$3:$B$5001,N$206,BD!$A$3:$A$5001,_xlfn.MAXIFS(BD!$A$3:$A$5001,BD!$B$3:$B$5001,N$206,BD!$A$3:$A$5001,"&gt;="&amp;$C$7,BD!$A$3:$A$5001,"&lt;="&amp;$B225,BD!$W$3:$W$5001,"&lt;&gt;"))))</f>
        <v/>
      </c>
      <c r="O225" s="43" t="str">
        <f>IF(OR($B225="",$A225&gt;$B$9,O$206=""),"",IF(COUNTIFS(BD!$B$3:$B$5001,O$206,BD!$A$3:$A$5001,"&gt;="&amp;$C$7,BD!$A$3:$A$5001,"&lt;="&amp;$B225,BD!$W$3:$W$5001,"&lt;&gt;")=0,"",SUMIFS(BD!$W$3:$W$5001,BD!$B$3:$B$5001,O$206,BD!$A$3:$A$5001,_xlfn.MAXIFS(BD!$A$3:$A$5001,BD!$B$3:$B$5001,O$206,BD!$A$3:$A$5001,"&gt;="&amp;$C$7,BD!$A$3:$A$5001,"&lt;="&amp;$B225,BD!$W$3:$W$5001,"&lt;&gt;"))))</f>
        <v/>
      </c>
      <c r="P225" s="43" t="str">
        <f>IF(OR($B225="",$A225&gt;$B$9,P$206=""),"",IF(COUNTIFS(BD!$B$3:$B$5001,P$206,BD!$A$3:$A$5001,"&gt;="&amp;$C$7,BD!$A$3:$A$5001,"&lt;="&amp;$B225,BD!$W$3:$W$5001,"&lt;&gt;")=0,"",SUMIFS(BD!$W$3:$W$5001,BD!$B$3:$B$5001,P$206,BD!$A$3:$A$5001,_xlfn.MAXIFS(BD!$A$3:$A$5001,BD!$B$3:$B$5001,P$206,BD!$A$3:$A$5001,"&gt;="&amp;$C$7,BD!$A$3:$A$5001,"&lt;="&amp;$B225,BD!$W$3:$W$5001,"&lt;&gt;"))))</f>
        <v/>
      </c>
      <c r="Q225" s="43" t="str">
        <f>IF(OR($B225="",$A225&gt;$B$9,Q$206=""),"",IF(COUNTIFS(BD!$B$3:$B$5001,Q$206,BD!$A$3:$A$5001,"&gt;="&amp;$C$7,BD!$A$3:$A$5001,"&lt;="&amp;$B225,BD!$W$3:$W$5001,"&lt;&gt;")=0,"",SUMIFS(BD!$W$3:$W$5001,BD!$B$3:$B$5001,Q$206,BD!$A$3:$A$5001,_xlfn.MAXIFS(BD!$A$3:$A$5001,BD!$B$3:$B$5001,Q$206,BD!$A$3:$A$5001,"&gt;="&amp;$C$7,BD!$A$3:$A$5001,"&lt;="&amp;$B225,BD!$W$3:$W$5001,"&lt;&gt;"))))</f>
        <v/>
      </c>
      <c r="R225" s="43" t="str">
        <f>IF(OR($B225="",$A225&gt;$B$9,R$206=""),"",IF(COUNTIFS(BD!$B$3:$B$5001,R$206,BD!$A$3:$A$5001,"&gt;="&amp;$C$7,BD!$A$3:$A$5001,"&lt;="&amp;$B225,BD!$W$3:$W$5001,"&lt;&gt;")=0,"",SUMIFS(BD!$W$3:$W$5001,BD!$B$3:$B$5001,R$206,BD!$A$3:$A$5001,_xlfn.MAXIFS(BD!$A$3:$A$5001,BD!$B$3:$B$5001,R$206,BD!$A$3:$A$5001,"&gt;="&amp;$C$7,BD!$A$3:$A$5001,"&lt;="&amp;$B225,BD!$W$3:$W$5001,"&lt;&gt;"))))</f>
        <v/>
      </c>
      <c r="S225" s="43" t="str">
        <f>IF(OR($B225="",$A225&gt;$B$9,S$206=""),"",IF(COUNTIFS(BD!$B$3:$B$5001,S$206,BD!$A$3:$A$5001,"&gt;="&amp;$C$7,BD!$A$3:$A$5001,"&lt;="&amp;$B225,BD!$W$3:$W$5001,"&lt;&gt;")=0,"",SUMIFS(BD!$W$3:$W$5001,BD!$B$3:$B$5001,S$206,BD!$A$3:$A$5001,_xlfn.MAXIFS(BD!$A$3:$A$5001,BD!$B$3:$B$5001,S$206,BD!$A$3:$A$5001,"&gt;="&amp;$C$7,BD!$A$3:$A$5001,"&lt;="&amp;$B225,BD!$W$3:$W$5001,"&lt;&gt;"))))</f>
        <v/>
      </c>
      <c r="T225" s="43" t="str">
        <f>IF(OR($B225="",$A225&gt;$B$9,T$206=""),"",IF(COUNTIFS(BD!$B$3:$B$5001,T$206,BD!$A$3:$A$5001,"&gt;="&amp;$C$7,BD!$A$3:$A$5001,"&lt;="&amp;$B225,BD!$W$3:$W$5001,"&lt;&gt;")=0,"",SUMIFS(BD!$W$3:$W$5001,BD!$B$3:$B$5001,T$206,BD!$A$3:$A$5001,_xlfn.MAXIFS(BD!$A$3:$A$5001,BD!$B$3:$B$5001,T$206,BD!$A$3:$A$5001,"&gt;="&amp;$C$7,BD!$A$3:$A$5001,"&lt;="&amp;$B225,BD!$W$3:$W$5001,"&lt;&gt;"))))</f>
        <v/>
      </c>
      <c r="U225" s="43" t="str">
        <f>IF(OR($B225="",$A225&gt;$B$9,U$206=""),"",IF(COUNTIFS(BD!$B$3:$B$5001,U$206,BD!$A$3:$A$5001,"&gt;="&amp;$C$7,BD!$A$3:$A$5001,"&lt;="&amp;$B225,BD!$W$3:$W$5001,"&lt;&gt;")=0,"",SUMIFS(BD!$W$3:$W$5001,BD!$B$3:$B$5001,U$206,BD!$A$3:$A$5001,_xlfn.MAXIFS(BD!$A$3:$A$5001,BD!$B$3:$B$5001,U$206,BD!$A$3:$A$5001,"&gt;="&amp;$C$7,BD!$A$3:$A$5001,"&lt;="&amp;$B225,BD!$W$3:$W$5001,"&lt;&gt;"))))</f>
        <v/>
      </c>
      <c r="V225" s="43" t="str">
        <f>IF(OR($B225="",$A225&gt;$B$9,V$206=""),"",IF(COUNTIFS(BD!$B$3:$B$5001,V$206,BD!$A$3:$A$5001,"&gt;="&amp;$C$7,BD!$A$3:$A$5001,"&lt;="&amp;$B225,BD!$W$3:$W$5001,"&lt;&gt;")=0,"",SUMIFS(BD!$W$3:$W$5001,BD!$B$3:$B$5001,V$206,BD!$A$3:$A$5001,_xlfn.MAXIFS(BD!$A$3:$A$5001,BD!$B$3:$B$5001,V$206,BD!$A$3:$A$5001,"&gt;="&amp;$C$7,BD!$A$3:$A$5001,"&lt;="&amp;$B225,BD!$W$3:$W$5001,"&lt;&gt;"))))</f>
        <v/>
      </c>
    </row>
    <row r="226">
      <c r="A226" s="38">
        <v>20</v>
      </c>
      <c r="B226" s="42">
        <f>$B$31</f>
        <v>46315</v>
      </c>
      <c r="C226" s="43" t="str">
        <f>IF(OR($B226="",$A226&gt;$B$9,C$206=""),"",IF(COUNTIFS(BD!$B$3:$B$5001,C$206,BD!$A$3:$A$5001,"&gt;="&amp;$C$7,BD!$A$3:$A$5001,"&lt;="&amp;$B226,BD!$W$3:$W$5001,"&lt;&gt;")=0,"",SUMIFS(BD!$W$3:$W$5001,BD!$B$3:$B$5001,C$206,BD!$A$3:$A$5001,_xlfn.MAXIFS(BD!$A$3:$A$5001,BD!$B$3:$B$5001,C$206,BD!$A$3:$A$5001,"&gt;="&amp;$C$7,BD!$A$3:$A$5001,"&lt;="&amp;$B226,BD!$W$3:$W$5001,"&lt;&gt;"))))</f>
        <v/>
      </c>
      <c r="D226" s="43" t="str">
        <f>IF(OR($B226="",$A226&gt;$B$9,D$206=""),"",IF(COUNTIFS(BD!$B$3:$B$5001,D$206,BD!$A$3:$A$5001,"&gt;="&amp;$C$7,BD!$A$3:$A$5001,"&lt;="&amp;$B226,BD!$W$3:$W$5001,"&lt;&gt;")=0,"",SUMIFS(BD!$W$3:$W$5001,BD!$B$3:$B$5001,D$206,BD!$A$3:$A$5001,_xlfn.MAXIFS(BD!$A$3:$A$5001,BD!$B$3:$B$5001,D$206,BD!$A$3:$A$5001,"&gt;="&amp;$C$7,BD!$A$3:$A$5001,"&lt;="&amp;$B226,BD!$W$3:$W$5001,"&lt;&gt;"))))</f>
        <v/>
      </c>
      <c r="E226" s="43" t="str">
        <f>IF(OR($B226="",$A226&gt;$B$9,E$206=""),"",IF(COUNTIFS(BD!$B$3:$B$5001,E$206,BD!$A$3:$A$5001,"&gt;="&amp;$C$7,BD!$A$3:$A$5001,"&lt;="&amp;$B226,BD!$W$3:$W$5001,"&lt;&gt;")=0,"",SUMIFS(BD!$W$3:$W$5001,BD!$B$3:$B$5001,E$206,BD!$A$3:$A$5001,_xlfn.MAXIFS(BD!$A$3:$A$5001,BD!$B$3:$B$5001,E$206,BD!$A$3:$A$5001,"&gt;="&amp;$C$7,BD!$A$3:$A$5001,"&lt;="&amp;$B226,BD!$W$3:$W$5001,"&lt;&gt;"))))</f>
        <v/>
      </c>
      <c r="F226" s="43" t="str">
        <f>IF(OR($B226="",$A226&gt;$B$9,F$206=""),"",IF(COUNTIFS(BD!$B$3:$B$5001,F$206,BD!$A$3:$A$5001,"&gt;="&amp;$C$7,BD!$A$3:$A$5001,"&lt;="&amp;$B226,BD!$W$3:$W$5001,"&lt;&gt;")=0,"",SUMIFS(BD!$W$3:$W$5001,BD!$B$3:$B$5001,F$206,BD!$A$3:$A$5001,_xlfn.MAXIFS(BD!$A$3:$A$5001,BD!$B$3:$B$5001,F$206,BD!$A$3:$A$5001,"&gt;="&amp;$C$7,BD!$A$3:$A$5001,"&lt;="&amp;$B226,BD!$W$3:$W$5001,"&lt;&gt;"))))</f>
        <v/>
      </c>
      <c r="G226" s="43" t="str">
        <f>IF(OR($B226="",$A226&gt;$B$9,G$206=""),"",IF(COUNTIFS(BD!$B$3:$B$5001,G$206,BD!$A$3:$A$5001,"&gt;="&amp;$C$7,BD!$A$3:$A$5001,"&lt;="&amp;$B226,BD!$W$3:$W$5001,"&lt;&gt;")=0,"",SUMIFS(BD!$W$3:$W$5001,BD!$B$3:$B$5001,G$206,BD!$A$3:$A$5001,_xlfn.MAXIFS(BD!$A$3:$A$5001,BD!$B$3:$B$5001,G$206,BD!$A$3:$A$5001,"&gt;="&amp;$C$7,BD!$A$3:$A$5001,"&lt;="&amp;$B226,BD!$W$3:$W$5001,"&lt;&gt;"))))</f>
        <v/>
      </c>
      <c r="H226" s="43" t="str">
        <f>IF(OR($B226="",$A226&gt;$B$9,H$206=""),"",IF(COUNTIFS(BD!$B$3:$B$5001,H$206,BD!$A$3:$A$5001,"&gt;="&amp;$C$7,BD!$A$3:$A$5001,"&lt;="&amp;$B226,BD!$W$3:$W$5001,"&lt;&gt;")=0,"",SUMIFS(BD!$W$3:$W$5001,BD!$B$3:$B$5001,H$206,BD!$A$3:$A$5001,_xlfn.MAXIFS(BD!$A$3:$A$5001,BD!$B$3:$B$5001,H$206,BD!$A$3:$A$5001,"&gt;="&amp;$C$7,BD!$A$3:$A$5001,"&lt;="&amp;$B226,BD!$W$3:$W$5001,"&lt;&gt;"))))</f>
        <v/>
      </c>
      <c r="I226" s="43" t="str">
        <f>IF(OR($B226="",$A226&gt;$B$9,I$206=""),"",IF(COUNTIFS(BD!$B$3:$B$5001,I$206,BD!$A$3:$A$5001,"&gt;="&amp;$C$7,BD!$A$3:$A$5001,"&lt;="&amp;$B226,BD!$W$3:$W$5001,"&lt;&gt;")=0,"",SUMIFS(BD!$W$3:$W$5001,BD!$B$3:$B$5001,I$206,BD!$A$3:$A$5001,_xlfn.MAXIFS(BD!$A$3:$A$5001,BD!$B$3:$B$5001,I$206,BD!$A$3:$A$5001,"&gt;="&amp;$C$7,BD!$A$3:$A$5001,"&lt;="&amp;$B226,BD!$W$3:$W$5001,"&lt;&gt;"))))</f>
        <v/>
      </c>
      <c r="J226" s="43" t="str">
        <f>IF(OR($B226="",$A226&gt;$B$9,J$206=""),"",IF(COUNTIFS(BD!$B$3:$B$5001,J$206,BD!$A$3:$A$5001,"&gt;="&amp;$C$7,BD!$A$3:$A$5001,"&lt;="&amp;$B226,BD!$W$3:$W$5001,"&lt;&gt;")=0,"",SUMIFS(BD!$W$3:$W$5001,BD!$B$3:$B$5001,J$206,BD!$A$3:$A$5001,_xlfn.MAXIFS(BD!$A$3:$A$5001,BD!$B$3:$B$5001,J$206,BD!$A$3:$A$5001,"&gt;="&amp;$C$7,BD!$A$3:$A$5001,"&lt;="&amp;$B226,BD!$W$3:$W$5001,"&lt;&gt;"))))</f>
        <v/>
      </c>
      <c r="K226" s="43" t="str">
        <f>IF(OR($B226="",$A226&gt;$B$9,K$206=""),"",IF(COUNTIFS(BD!$B$3:$B$5001,K$206,BD!$A$3:$A$5001,"&gt;="&amp;$C$7,BD!$A$3:$A$5001,"&lt;="&amp;$B226,BD!$W$3:$W$5001,"&lt;&gt;")=0,"",SUMIFS(BD!$W$3:$W$5001,BD!$B$3:$B$5001,K$206,BD!$A$3:$A$5001,_xlfn.MAXIFS(BD!$A$3:$A$5001,BD!$B$3:$B$5001,K$206,BD!$A$3:$A$5001,"&gt;="&amp;$C$7,BD!$A$3:$A$5001,"&lt;="&amp;$B226,BD!$W$3:$W$5001,"&lt;&gt;"))))</f>
        <v/>
      </c>
      <c r="L226" s="43" t="str">
        <f>IF(OR($B226="",$A226&gt;$B$9,L$206=""),"",IF(COUNTIFS(BD!$B$3:$B$5001,L$206,BD!$A$3:$A$5001,"&gt;="&amp;$C$7,BD!$A$3:$A$5001,"&lt;="&amp;$B226,BD!$W$3:$W$5001,"&lt;&gt;")=0,"",SUMIFS(BD!$W$3:$W$5001,BD!$B$3:$B$5001,L$206,BD!$A$3:$A$5001,_xlfn.MAXIFS(BD!$A$3:$A$5001,BD!$B$3:$B$5001,L$206,BD!$A$3:$A$5001,"&gt;="&amp;$C$7,BD!$A$3:$A$5001,"&lt;="&amp;$B226,BD!$W$3:$W$5001,"&lt;&gt;"))))</f>
        <v/>
      </c>
      <c r="M226" s="43" t="str">
        <f>IF(OR($B226="",$A226&gt;$B$9,M$206=""),"",IF(COUNTIFS(BD!$B$3:$B$5001,M$206,BD!$A$3:$A$5001,"&gt;="&amp;$C$7,BD!$A$3:$A$5001,"&lt;="&amp;$B226,BD!$W$3:$W$5001,"&lt;&gt;")=0,"",SUMIFS(BD!$W$3:$W$5001,BD!$B$3:$B$5001,M$206,BD!$A$3:$A$5001,_xlfn.MAXIFS(BD!$A$3:$A$5001,BD!$B$3:$B$5001,M$206,BD!$A$3:$A$5001,"&gt;="&amp;$C$7,BD!$A$3:$A$5001,"&lt;="&amp;$B226,BD!$W$3:$W$5001,"&lt;&gt;"))))</f>
        <v/>
      </c>
      <c r="N226" s="43" t="str">
        <f>IF(OR($B226="",$A226&gt;$B$9,N$206=""),"",IF(COUNTIFS(BD!$B$3:$B$5001,N$206,BD!$A$3:$A$5001,"&gt;="&amp;$C$7,BD!$A$3:$A$5001,"&lt;="&amp;$B226,BD!$W$3:$W$5001,"&lt;&gt;")=0,"",SUMIFS(BD!$W$3:$W$5001,BD!$B$3:$B$5001,N$206,BD!$A$3:$A$5001,_xlfn.MAXIFS(BD!$A$3:$A$5001,BD!$B$3:$B$5001,N$206,BD!$A$3:$A$5001,"&gt;="&amp;$C$7,BD!$A$3:$A$5001,"&lt;="&amp;$B226,BD!$W$3:$W$5001,"&lt;&gt;"))))</f>
        <v/>
      </c>
      <c r="O226" s="43" t="str">
        <f>IF(OR($B226="",$A226&gt;$B$9,O$206=""),"",IF(COUNTIFS(BD!$B$3:$B$5001,O$206,BD!$A$3:$A$5001,"&gt;="&amp;$C$7,BD!$A$3:$A$5001,"&lt;="&amp;$B226,BD!$W$3:$W$5001,"&lt;&gt;")=0,"",SUMIFS(BD!$W$3:$W$5001,BD!$B$3:$B$5001,O$206,BD!$A$3:$A$5001,_xlfn.MAXIFS(BD!$A$3:$A$5001,BD!$B$3:$B$5001,O$206,BD!$A$3:$A$5001,"&gt;="&amp;$C$7,BD!$A$3:$A$5001,"&lt;="&amp;$B226,BD!$W$3:$W$5001,"&lt;&gt;"))))</f>
        <v/>
      </c>
      <c r="P226" s="43" t="str">
        <f>IF(OR($B226="",$A226&gt;$B$9,P$206=""),"",IF(COUNTIFS(BD!$B$3:$B$5001,P$206,BD!$A$3:$A$5001,"&gt;="&amp;$C$7,BD!$A$3:$A$5001,"&lt;="&amp;$B226,BD!$W$3:$W$5001,"&lt;&gt;")=0,"",SUMIFS(BD!$W$3:$W$5001,BD!$B$3:$B$5001,P$206,BD!$A$3:$A$5001,_xlfn.MAXIFS(BD!$A$3:$A$5001,BD!$B$3:$B$5001,P$206,BD!$A$3:$A$5001,"&gt;="&amp;$C$7,BD!$A$3:$A$5001,"&lt;="&amp;$B226,BD!$W$3:$W$5001,"&lt;&gt;"))))</f>
        <v/>
      </c>
      <c r="Q226" s="43" t="str">
        <f>IF(OR($B226="",$A226&gt;$B$9,Q$206=""),"",IF(COUNTIFS(BD!$B$3:$B$5001,Q$206,BD!$A$3:$A$5001,"&gt;="&amp;$C$7,BD!$A$3:$A$5001,"&lt;="&amp;$B226,BD!$W$3:$W$5001,"&lt;&gt;")=0,"",SUMIFS(BD!$W$3:$W$5001,BD!$B$3:$B$5001,Q$206,BD!$A$3:$A$5001,_xlfn.MAXIFS(BD!$A$3:$A$5001,BD!$B$3:$B$5001,Q$206,BD!$A$3:$A$5001,"&gt;="&amp;$C$7,BD!$A$3:$A$5001,"&lt;="&amp;$B226,BD!$W$3:$W$5001,"&lt;&gt;"))))</f>
        <v/>
      </c>
      <c r="R226" s="43" t="str">
        <f>IF(OR($B226="",$A226&gt;$B$9,R$206=""),"",IF(COUNTIFS(BD!$B$3:$B$5001,R$206,BD!$A$3:$A$5001,"&gt;="&amp;$C$7,BD!$A$3:$A$5001,"&lt;="&amp;$B226,BD!$W$3:$W$5001,"&lt;&gt;")=0,"",SUMIFS(BD!$W$3:$W$5001,BD!$B$3:$B$5001,R$206,BD!$A$3:$A$5001,_xlfn.MAXIFS(BD!$A$3:$A$5001,BD!$B$3:$B$5001,R$206,BD!$A$3:$A$5001,"&gt;="&amp;$C$7,BD!$A$3:$A$5001,"&lt;="&amp;$B226,BD!$W$3:$W$5001,"&lt;&gt;"))))</f>
        <v/>
      </c>
      <c r="S226" s="43" t="str">
        <f>IF(OR($B226="",$A226&gt;$B$9,S$206=""),"",IF(COUNTIFS(BD!$B$3:$B$5001,S$206,BD!$A$3:$A$5001,"&gt;="&amp;$C$7,BD!$A$3:$A$5001,"&lt;="&amp;$B226,BD!$W$3:$W$5001,"&lt;&gt;")=0,"",SUMIFS(BD!$W$3:$W$5001,BD!$B$3:$B$5001,S$206,BD!$A$3:$A$5001,_xlfn.MAXIFS(BD!$A$3:$A$5001,BD!$B$3:$B$5001,S$206,BD!$A$3:$A$5001,"&gt;="&amp;$C$7,BD!$A$3:$A$5001,"&lt;="&amp;$B226,BD!$W$3:$W$5001,"&lt;&gt;"))))</f>
        <v/>
      </c>
      <c r="T226" s="43" t="str">
        <f>IF(OR($B226="",$A226&gt;$B$9,T$206=""),"",IF(COUNTIFS(BD!$B$3:$B$5001,T$206,BD!$A$3:$A$5001,"&gt;="&amp;$C$7,BD!$A$3:$A$5001,"&lt;="&amp;$B226,BD!$W$3:$W$5001,"&lt;&gt;")=0,"",SUMIFS(BD!$W$3:$W$5001,BD!$B$3:$B$5001,T$206,BD!$A$3:$A$5001,_xlfn.MAXIFS(BD!$A$3:$A$5001,BD!$B$3:$B$5001,T$206,BD!$A$3:$A$5001,"&gt;="&amp;$C$7,BD!$A$3:$A$5001,"&lt;="&amp;$B226,BD!$W$3:$W$5001,"&lt;&gt;"))))</f>
        <v/>
      </c>
      <c r="U226" s="43" t="str">
        <f>IF(OR($B226="",$A226&gt;$B$9,U$206=""),"",IF(COUNTIFS(BD!$B$3:$B$5001,U$206,BD!$A$3:$A$5001,"&gt;="&amp;$C$7,BD!$A$3:$A$5001,"&lt;="&amp;$B226,BD!$W$3:$W$5001,"&lt;&gt;")=0,"",SUMIFS(BD!$W$3:$W$5001,BD!$B$3:$B$5001,U$206,BD!$A$3:$A$5001,_xlfn.MAXIFS(BD!$A$3:$A$5001,BD!$B$3:$B$5001,U$206,BD!$A$3:$A$5001,"&gt;="&amp;$C$7,BD!$A$3:$A$5001,"&lt;="&amp;$B226,BD!$W$3:$W$5001,"&lt;&gt;"))))</f>
        <v/>
      </c>
      <c r="V226" s="43" t="str">
        <f>IF(OR($B226="",$A226&gt;$B$9,V$206=""),"",IF(COUNTIFS(BD!$B$3:$B$5001,V$206,BD!$A$3:$A$5001,"&gt;="&amp;$C$7,BD!$A$3:$A$5001,"&lt;="&amp;$B226,BD!$W$3:$W$5001,"&lt;&gt;")=0,"",SUMIFS(BD!$W$3:$W$5001,BD!$B$3:$B$5001,V$206,BD!$A$3:$A$5001,_xlfn.MAXIFS(BD!$A$3:$A$5001,BD!$B$3:$B$5001,V$206,BD!$A$3:$A$5001,"&gt;="&amp;$C$7,BD!$A$3:$A$5001,"&lt;="&amp;$B226,BD!$W$3:$W$5001,"&lt;&gt;"))))</f>
        <v/>
      </c>
    </row>
    <row r="227">
      <c r="A227" s="38">
        <v>21</v>
      </c>
      <c r="B227" s="42">
        <f>$B$32</f>
        <v>46316</v>
      </c>
      <c r="C227" s="43" t="str">
        <f>IF(OR($B227="",$A227&gt;$B$9,C$206=""),"",IF(COUNTIFS(BD!$B$3:$B$5001,C$206,BD!$A$3:$A$5001,"&gt;="&amp;$C$7,BD!$A$3:$A$5001,"&lt;="&amp;$B227,BD!$W$3:$W$5001,"&lt;&gt;")=0,"",SUMIFS(BD!$W$3:$W$5001,BD!$B$3:$B$5001,C$206,BD!$A$3:$A$5001,_xlfn.MAXIFS(BD!$A$3:$A$5001,BD!$B$3:$B$5001,C$206,BD!$A$3:$A$5001,"&gt;="&amp;$C$7,BD!$A$3:$A$5001,"&lt;="&amp;$B227,BD!$W$3:$W$5001,"&lt;&gt;"))))</f>
        <v/>
      </c>
      <c r="D227" s="43" t="str">
        <f>IF(OR($B227="",$A227&gt;$B$9,D$206=""),"",IF(COUNTIFS(BD!$B$3:$B$5001,D$206,BD!$A$3:$A$5001,"&gt;="&amp;$C$7,BD!$A$3:$A$5001,"&lt;="&amp;$B227,BD!$W$3:$W$5001,"&lt;&gt;")=0,"",SUMIFS(BD!$W$3:$W$5001,BD!$B$3:$B$5001,D$206,BD!$A$3:$A$5001,_xlfn.MAXIFS(BD!$A$3:$A$5001,BD!$B$3:$B$5001,D$206,BD!$A$3:$A$5001,"&gt;="&amp;$C$7,BD!$A$3:$A$5001,"&lt;="&amp;$B227,BD!$W$3:$W$5001,"&lt;&gt;"))))</f>
        <v/>
      </c>
      <c r="E227" s="43" t="str">
        <f>IF(OR($B227="",$A227&gt;$B$9,E$206=""),"",IF(COUNTIFS(BD!$B$3:$B$5001,E$206,BD!$A$3:$A$5001,"&gt;="&amp;$C$7,BD!$A$3:$A$5001,"&lt;="&amp;$B227,BD!$W$3:$W$5001,"&lt;&gt;")=0,"",SUMIFS(BD!$W$3:$W$5001,BD!$B$3:$B$5001,E$206,BD!$A$3:$A$5001,_xlfn.MAXIFS(BD!$A$3:$A$5001,BD!$B$3:$B$5001,E$206,BD!$A$3:$A$5001,"&gt;="&amp;$C$7,BD!$A$3:$A$5001,"&lt;="&amp;$B227,BD!$W$3:$W$5001,"&lt;&gt;"))))</f>
        <v/>
      </c>
      <c r="F227" s="43" t="str">
        <f>IF(OR($B227="",$A227&gt;$B$9,F$206=""),"",IF(COUNTIFS(BD!$B$3:$B$5001,F$206,BD!$A$3:$A$5001,"&gt;="&amp;$C$7,BD!$A$3:$A$5001,"&lt;="&amp;$B227,BD!$W$3:$W$5001,"&lt;&gt;")=0,"",SUMIFS(BD!$W$3:$W$5001,BD!$B$3:$B$5001,F$206,BD!$A$3:$A$5001,_xlfn.MAXIFS(BD!$A$3:$A$5001,BD!$B$3:$B$5001,F$206,BD!$A$3:$A$5001,"&gt;="&amp;$C$7,BD!$A$3:$A$5001,"&lt;="&amp;$B227,BD!$W$3:$W$5001,"&lt;&gt;"))))</f>
        <v/>
      </c>
      <c r="G227" s="43" t="str">
        <f>IF(OR($B227="",$A227&gt;$B$9,G$206=""),"",IF(COUNTIFS(BD!$B$3:$B$5001,G$206,BD!$A$3:$A$5001,"&gt;="&amp;$C$7,BD!$A$3:$A$5001,"&lt;="&amp;$B227,BD!$W$3:$W$5001,"&lt;&gt;")=0,"",SUMIFS(BD!$W$3:$W$5001,BD!$B$3:$B$5001,G$206,BD!$A$3:$A$5001,_xlfn.MAXIFS(BD!$A$3:$A$5001,BD!$B$3:$B$5001,G$206,BD!$A$3:$A$5001,"&gt;="&amp;$C$7,BD!$A$3:$A$5001,"&lt;="&amp;$B227,BD!$W$3:$W$5001,"&lt;&gt;"))))</f>
        <v/>
      </c>
      <c r="H227" s="43" t="str">
        <f>IF(OR($B227="",$A227&gt;$B$9,H$206=""),"",IF(COUNTIFS(BD!$B$3:$B$5001,H$206,BD!$A$3:$A$5001,"&gt;="&amp;$C$7,BD!$A$3:$A$5001,"&lt;="&amp;$B227,BD!$W$3:$W$5001,"&lt;&gt;")=0,"",SUMIFS(BD!$W$3:$W$5001,BD!$B$3:$B$5001,H$206,BD!$A$3:$A$5001,_xlfn.MAXIFS(BD!$A$3:$A$5001,BD!$B$3:$B$5001,H$206,BD!$A$3:$A$5001,"&gt;="&amp;$C$7,BD!$A$3:$A$5001,"&lt;="&amp;$B227,BD!$W$3:$W$5001,"&lt;&gt;"))))</f>
        <v/>
      </c>
      <c r="I227" s="43" t="str">
        <f>IF(OR($B227="",$A227&gt;$B$9,I$206=""),"",IF(COUNTIFS(BD!$B$3:$B$5001,I$206,BD!$A$3:$A$5001,"&gt;="&amp;$C$7,BD!$A$3:$A$5001,"&lt;="&amp;$B227,BD!$W$3:$W$5001,"&lt;&gt;")=0,"",SUMIFS(BD!$W$3:$W$5001,BD!$B$3:$B$5001,I$206,BD!$A$3:$A$5001,_xlfn.MAXIFS(BD!$A$3:$A$5001,BD!$B$3:$B$5001,I$206,BD!$A$3:$A$5001,"&gt;="&amp;$C$7,BD!$A$3:$A$5001,"&lt;="&amp;$B227,BD!$W$3:$W$5001,"&lt;&gt;"))))</f>
        <v/>
      </c>
      <c r="J227" s="43" t="str">
        <f>IF(OR($B227="",$A227&gt;$B$9,J$206=""),"",IF(COUNTIFS(BD!$B$3:$B$5001,J$206,BD!$A$3:$A$5001,"&gt;="&amp;$C$7,BD!$A$3:$A$5001,"&lt;="&amp;$B227,BD!$W$3:$W$5001,"&lt;&gt;")=0,"",SUMIFS(BD!$W$3:$W$5001,BD!$B$3:$B$5001,J$206,BD!$A$3:$A$5001,_xlfn.MAXIFS(BD!$A$3:$A$5001,BD!$B$3:$B$5001,J$206,BD!$A$3:$A$5001,"&gt;="&amp;$C$7,BD!$A$3:$A$5001,"&lt;="&amp;$B227,BD!$W$3:$W$5001,"&lt;&gt;"))))</f>
        <v/>
      </c>
      <c r="K227" s="43" t="str">
        <f>IF(OR($B227="",$A227&gt;$B$9,K$206=""),"",IF(COUNTIFS(BD!$B$3:$B$5001,K$206,BD!$A$3:$A$5001,"&gt;="&amp;$C$7,BD!$A$3:$A$5001,"&lt;="&amp;$B227,BD!$W$3:$W$5001,"&lt;&gt;")=0,"",SUMIFS(BD!$W$3:$W$5001,BD!$B$3:$B$5001,K$206,BD!$A$3:$A$5001,_xlfn.MAXIFS(BD!$A$3:$A$5001,BD!$B$3:$B$5001,K$206,BD!$A$3:$A$5001,"&gt;="&amp;$C$7,BD!$A$3:$A$5001,"&lt;="&amp;$B227,BD!$W$3:$W$5001,"&lt;&gt;"))))</f>
        <v/>
      </c>
      <c r="L227" s="43" t="str">
        <f>IF(OR($B227="",$A227&gt;$B$9,L$206=""),"",IF(COUNTIFS(BD!$B$3:$B$5001,L$206,BD!$A$3:$A$5001,"&gt;="&amp;$C$7,BD!$A$3:$A$5001,"&lt;="&amp;$B227,BD!$W$3:$W$5001,"&lt;&gt;")=0,"",SUMIFS(BD!$W$3:$W$5001,BD!$B$3:$B$5001,L$206,BD!$A$3:$A$5001,_xlfn.MAXIFS(BD!$A$3:$A$5001,BD!$B$3:$B$5001,L$206,BD!$A$3:$A$5001,"&gt;="&amp;$C$7,BD!$A$3:$A$5001,"&lt;="&amp;$B227,BD!$W$3:$W$5001,"&lt;&gt;"))))</f>
        <v/>
      </c>
      <c r="M227" s="43" t="str">
        <f>IF(OR($B227="",$A227&gt;$B$9,M$206=""),"",IF(COUNTIFS(BD!$B$3:$B$5001,M$206,BD!$A$3:$A$5001,"&gt;="&amp;$C$7,BD!$A$3:$A$5001,"&lt;="&amp;$B227,BD!$W$3:$W$5001,"&lt;&gt;")=0,"",SUMIFS(BD!$W$3:$W$5001,BD!$B$3:$B$5001,M$206,BD!$A$3:$A$5001,_xlfn.MAXIFS(BD!$A$3:$A$5001,BD!$B$3:$B$5001,M$206,BD!$A$3:$A$5001,"&gt;="&amp;$C$7,BD!$A$3:$A$5001,"&lt;="&amp;$B227,BD!$W$3:$W$5001,"&lt;&gt;"))))</f>
        <v/>
      </c>
      <c r="N227" s="43" t="str">
        <f>IF(OR($B227="",$A227&gt;$B$9,N$206=""),"",IF(COUNTIFS(BD!$B$3:$B$5001,N$206,BD!$A$3:$A$5001,"&gt;="&amp;$C$7,BD!$A$3:$A$5001,"&lt;="&amp;$B227,BD!$W$3:$W$5001,"&lt;&gt;")=0,"",SUMIFS(BD!$W$3:$W$5001,BD!$B$3:$B$5001,N$206,BD!$A$3:$A$5001,_xlfn.MAXIFS(BD!$A$3:$A$5001,BD!$B$3:$B$5001,N$206,BD!$A$3:$A$5001,"&gt;="&amp;$C$7,BD!$A$3:$A$5001,"&lt;="&amp;$B227,BD!$W$3:$W$5001,"&lt;&gt;"))))</f>
        <v/>
      </c>
      <c r="O227" s="43" t="str">
        <f>IF(OR($B227="",$A227&gt;$B$9,O$206=""),"",IF(COUNTIFS(BD!$B$3:$B$5001,O$206,BD!$A$3:$A$5001,"&gt;="&amp;$C$7,BD!$A$3:$A$5001,"&lt;="&amp;$B227,BD!$W$3:$W$5001,"&lt;&gt;")=0,"",SUMIFS(BD!$W$3:$W$5001,BD!$B$3:$B$5001,O$206,BD!$A$3:$A$5001,_xlfn.MAXIFS(BD!$A$3:$A$5001,BD!$B$3:$B$5001,O$206,BD!$A$3:$A$5001,"&gt;="&amp;$C$7,BD!$A$3:$A$5001,"&lt;="&amp;$B227,BD!$W$3:$W$5001,"&lt;&gt;"))))</f>
        <v/>
      </c>
      <c r="P227" s="43" t="str">
        <f>IF(OR($B227="",$A227&gt;$B$9,P$206=""),"",IF(COUNTIFS(BD!$B$3:$B$5001,P$206,BD!$A$3:$A$5001,"&gt;="&amp;$C$7,BD!$A$3:$A$5001,"&lt;="&amp;$B227,BD!$W$3:$W$5001,"&lt;&gt;")=0,"",SUMIFS(BD!$W$3:$W$5001,BD!$B$3:$B$5001,P$206,BD!$A$3:$A$5001,_xlfn.MAXIFS(BD!$A$3:$A$5001,BD!$B$3:$B$5001,P$206,BD!$A$3:$A$5001,"&gt;="&amp;$C$7,BD!$A$3:$A$5001,"&lt;="&amp;$B227,BD!$W$3:$W$5001,"&lt;&gt;"))))</f>
        <v/>
      </c>
      <c r="Q227" s="43" t="str">
        <f>IF(OR($B227="",$A227&gt;$B$9,Q$206=""),"",IF(COUNTIFS(BD!$B$3:$B$5001,Q$206,BD!$A$3:$A$5001,"&gt;="&amp;$C$7,BD!$A$3:$A$5001,"&lt;="&amp;$B227,BD!$W$3:$W$5001,"&lt;&gt;")=0,"",SUMIFS(BD!$W$3:$W$5001,BD!$B$3:$B$5001,Q$206,BD!$A$3:$A$5001,_xlfn.MAXIFS(BD!$A$3:$A$5001,BD!$B$3:$B$5001,Q$206,BD!$A$3:$A$5001,"&gt;="&amp;$C$7,BD!$A$3:$A$5001,"&lt;="&amp;$B227,BD!$W$3:$W$5001,"&lt;&gt;"))))</f>
        <v/>
      </c>
      <c r="R227" s="43" t="str">
        <f>IF(OR($B227="",$A227&gt;$B$9,R$206=""),"",IF(COUNTIFS(BD!$B$3:$B$5001,R$206,BD!$A$3:$A$5001,"&gt;="&amp;$C$7,BD!$A$3:$A$5001,"&lt;="&amp;$B227,BD!$W$3:$W$5001,"&lt;&gt;")=0,"",SUMIFS(BD!$W$3:$W$5001,BD!$B$3:$B$5001,R$206,BD!$A$3:$A$5001,_xlfn.MAXIFS(BD!$A$3:$A$5001,BD!$B$3:$B$5001,R$206,BD!$A$3:$A$5001,"&gt;="&amp;$C$7,BD!$A$3:$A$5001,"&lt;="&amp;$B227,BD!$W$3:$W$5001,"&lt;&gt;"))))</f>
        <v/>
      </c>
      <c r="S227" s="43" t="str">
        <f>IF(OR($B227="",$A227&gt;$B$9,S$206=""),"",IF(COUNTIFS(BD!$B$3:$B$5001,S$206,BD!$A$3:$A$5001,"&gt;="&amp;$C$7,BD!$A$3:$A$5001,"&lt;="&amp;$B227,BD!$W$3:$W$5001,"&lt;&gt;")=0,"",SUMIFS(BD!$W$3:$W$5001,BD!$B$3:$B$5001,S$206,BD!$A$3:$A$5001,_xlfn.MAXIFS(BD!$A$3:$A$5001,BD!$B$3:$B$5001,S$206,BD!$A$3:$A$5001,"&gt;="&amp;$C$7,BD!$A$3:$A$5001,"&lt;="&amp;$B227,BD!$W$3:$W$5001,"&lt;&gt;"))))</f>
        <v/>
      </c>
      <c r="T227" s="43" t="str">
        <f>IF(OR($B227="",$A227&gt;$B$9,T$206=""),"",IF(COUNTIFS(BD!$B$3:$B$5001,T$206,BD!$A$3:$A$5001,"&gt;="&amp;$C$7,BD!$A$3:$A$5001,"&lt;="&amp;$B227,BD!$W$3:$W$5001,"&lt;&gt;")=0,"",SUMIFS(BD!$W$3:$W$5001,BD!$B$3:$B$5001,T$206,BD!$A$3:$A$5001,_xlfn.MAXIFS(BD!$A$3:$A$5001,BD!$B$3:$B$5001,T$206,BD!$A$3:$A$5001,"&gt;="&amp;$C$7,BD!$A$3:$A$5001,"&lt;="&amp;$B227,BD!$W$3:$W$5001,"&lt;&gt;"))))</f>
        <v/>
      </c>
      <c r="U227" s="43" t="str">
        <f>IF(OR($B227="",$A227&gt;$B$9,U$206=""),"",IF(COUNTIFS(BD!$B$3:$B$5001,U$206,BD!$A$3:$A$5001,"&gt;="&amp;$C$7,BD!$A$3:$A$5001,"&lt;="&amp;$B227,BD!$W$3:$W$5001,"&lt;&gt;")=0,"",SUMIFS(BD!$W$3:$W$5001,BD!$B$3:$B$5001,U$206,BD!$A$3:$A$5001,_xlfn.MAXIFS(BD!$A$3:$A$5001,BD!$B$3:$B$5001,U$206,BD!$A$3:$A$5001,"&gt;="&amp;$C$7,BD!$A$3:$A$5001,"&lt;="&amp;$B227,BD!$W$3:$W$5001,"&lt;&gt;"))))</f>
        <v/>
      </c>
      <c r="V227" s="43" t="str">
        <f>IF(OR($B227="",$A227&gt;$B$9,V$206=""),"",IF(COUNTIFS(BD!$B$3:$B$5001,V$206,BD!$A$3:$A$5001,"&gt;="&amp;$C$7,BD!$A$3:$A$5001,"&lt;="&amp;$B227,BD!$W$3:$W$5001,"&lt;&gt;")=0,"",SUMIFS(BD!$W$3:$W$5001,BD!$B$3:$B$5001,V$206,BD!$A$3:$A$5001,_xlfn.MAXIFS(BD!$A$3:$A$5001,BD!$B$3:$B$5001,V$206,BD!$A$3:$A$5001,"&gt;="&amp;$C$7,BD!$A$3:$A$5001,"&lt;="&amp;$B227,BD!$W$3:$W$5001,"&lt;&gt;"))))</f>
        <v/>
      </c>
    </row>
    <row r="228">
      <c r="A228" s="38">
        <v>22</v>
      </c>
      <c r="B228" s="42">
        <f>$B$33</f>
        <v>46317</v>
      </c>
      <c r="C228" s="43" t="str">
        <f>IF(OR($B228="",$A228&gt;$B$9,C$206=""),"",IF(COUNTIFS(BD!$B$3:$B$5001,C$206,BD!$A$3:$A$5001,"&gt;="&amp;$C$7,BD!$A$3:$A$5001,"&lt;="&amp;$B228,BD!$W$3:$W$5001,"&lt;&gt;")=0,"",SUMIFS(BD!$W$3:$W$5001,BD!$B$3:$B$5001,C$206,BD!$A$3:$A$5001,_xlfn.MAXIFS(BD!$A$3:$A$5001,BD!$B$3:$B$5001,C$206,BD!$A$3:$A$5001,"&gt;="&amp;$C$7,BD!$A$3:$A$5001,"&lt;="&amp;$B228,BD!$W$3:$W$5001,"&lt;&gt;"))))</f>
        <v/>
      </c>
      <c r="D228" s="43" t="str">
        <f>IF(OR($B228="",$A228&gt;$B$9,D$206=""),"",IF(COUNTIFS(BD!$B$3:$B$5001,D$206,BD!$A$3:$A$5001,"&gt;="&amp;$C$7,BD!$A$3:$A$5001,"&lt;="&amp;$B228,BD!$W$3:$W$5001,"&lt;&gt;")=0,"",SUMIFS(BD!$W$3:$W$5001,BD!$B$3:$B$5001,D$206,BD!$A$3:$A$5001,_xlfn.MAXIFS(BD!$A$3:$A$5001,BD!$B$3:$B$5001,D$206,BD!$A$3:$A$5001,"&gt;="&amp;$C$7,BD!$A$3:$A$5001,"&lt;="&amp;$B228,BD!$W$3:$W$5001,"&lt;&gt;"))))</f>
        <v/>
      </c>
      <c r="E228" s="43" t="str">
        <f>IF(OR($B228="",$A228&gt;$B$9,E$206=""),"",IF(COUNTIFS(BD!$B$3:$B$5001,E$206,BD!$A$3:$A$5001,"&gt;="&amp;$C$7,BD!$A$3:$A$5001,"&lt;="&amp;$B228,BD!$W$3:$W$5001,"&lt;&gt;")=0,"",SUMIFS(BD!$W$3:$W$5001,BD!$B$3:$B$5001,E$206,BD!$A$3:$A$5001,_xlfn.MAXIFS(BD!$A$3:$A$5001,BD!$B$3:$B$5001,E$206,BD!$A$3:$A$5001,"&gt;="&amp;$C$7,BD!$A$3:$A$5001,"&lt;="&amp;$B228,BD!$W$3:$W$5001,"&lt;&gt;"))))</f>
        <v/>
      </c>
      <c r="F228" s="43" t="str">
        <f>IF(OR($B228="",$A228&gt;$B$9,F$206=""),"",IF(COUNTIFS(BD!$B$3:$B$5001,F$206,BD!$A$3:$A$5001,"&gt;="&amp;$C$7,BD!$A$3:$A$5001,"&lt;="&amp;$B228,BD!$W$3:$W$5001,"&lt;&gt;")=0,"",SUMIFS(BD!$W$3:$W$5001,BD!$B$3:$B$5001,F$206,BD!$A$3:$A$5001,_xlfn.MAXIFS(BD!$A$3:$A$5001,BD!$B$3:$B$5001,F$206,BD!$A$3:$A$5001,"&gt;="&amp;$C$7,BD!$A$3:$A$5001,"&lt;="&amp;$B228,BD!$W$3:$W$5001,"&lt;&gt;"))))</f>
        <v/>
      </c>
      <c r="G228" s="43" t="str">
        <f>IF(OR($B228="",$A228&gt;$B$9,G$206=""),"",IF(COUNTIFS(BD!$B$3:$B$5001,G$206,BD!$A$3:$A$5001,"&gt;="&amp;$C$7,BD!$A$3:$A$5001,"&lt;="&amp;$B228,BD!$W$3:$W$5001,"&lt;&gt;")=0,"",SUMIFS(BD!$W$3:$W$5001,BD!$B$3:$B$5001,G$206,BD!$A$3:$A$5001,_xlfn.MAXIFS(BD!$A$3:$A$5001,BD!$B$3:$B$5001,G$206,BD!$A$3:$A$5001,"&gt;="&amp;$C$7,BD!$A$3:$A$5001,"&lt;="&amp;$B228,BD!$W$3:$W$5001,"&lt;&gt;"))))</f>
        <v/>
      </c>
      <c r="H228" s="43" t="str">
        <f>IF(OR($B228="",$A228&gt;$B$9,H$206=""),"",IF(COUNTIFS(BD!$B$3:$B$5001,H$206,BD!$A$3:$A$5001,"&gt;="&amp;$C$7,BD!$A$3:$A$5001,"&lt;="&amp;$B228,BD!$W$3:$W$5001,"&lt;&gt;")=0,"",SUMIFS(BD!$W$3:$W$5001,BD!$B$3:$B$5001,H$206,BD!$A$3:$A$5001,_xlfn.MAXIFS(BD!$A$3:$A$5001,BD!$B$3:$B$5001,H$206,BD!$A$3:$A$5001,"&gt;="&amp;$C$7,BD!$A$3:$A$5001,"&lt;="&amp;$B228,BD!$W$3:$W$5001,"&lt;&gt;"))))</f>
        <v/>
      </c>
      <c r="I228" s="43" t="str">
        <f>IF(OR($B228="",$A228&gt;$B$9,I$206=""),"",IF(COUNTIFS(BD!$B$3:$B$5001,I$206,BD!$A$3:$A$5001,"&gt;="&amp;$C$7,BD!$A$3:$A$5001,"&lt;="&amp;$B228,BD!$W$3:$W$5001,"&lt;&gt;")=0,"",SUMIFS(BD!$W$3:$W$5001,BD!$B$3:$B$5001,I$206,BD!$A$3:$A$5001,_xlfn.MAXIFS(BD!$A$3:$A$5001,BD!$B$3:$B$5001,I$206,BD!$A$3:$A$5001,"&gt;="&amp;$C$7,BD!$A$3:$A$5001,"&lt;="&amp;$B228,BD!$W$3:$W$5001,"&lt;&gt;"))))</f>
        <v/>
      </c>
      <c r="J228" s="43" t="str">
        <f>IF(OR($B228="",$A228&gt;$B$9,J$206=""),"",IF(COUNTIFS(BD!$B$3:$B$5001,J$206,BD!$A$3:$A$5001,"&gt;="&amp;$C$7,BD!$A$3:$A$5001,"&lt;="&amp;$B228,BD!$W$3:$W$5001,"&lt;&gt;")=0,"",SUMIFS(BD!$W$3:$W$5001,BD!$B$3:$B$5001,J$206,BD!$A$3:$A$5001,_xlfn.MAXIFS(BD!$A$3:$A$5001,BD!$B$3:$B$5001,J$206,BD!$A$3:$A$5001,"&gt;="&amp;$C$7,BD!$A$3:$A$5001,"&lt;="&amp;$B228,BD!$W$3:$W$5001,"&lt;&gt;"))))</f>
        <v/>
      </c>
      <c r="K228" s="43" t="str">
        <f>IF(OR($B228="",$A228&gt;$B$9,K$206=""),"",IF(COUNTIFS(BD!$B$3:$B$5001,K$206,BD!$A$3:$A$5001,"&gt;="&amp;$C$7,BD!$A$3:$A$5001,"&lt;="&amp;$B228,BD!$W$3:$W$5001,"&lt;&gt;")=0,"",SUMIFS(BD!$W$3:$W$5001,BD!$B$3:$B$5001,K$206,BD!$A$3:$A$5001,_xlfn.MAXIFS(BD!$A$3:$A$5001,BD!$B$3:$B$5001,K$206,BD!$A$3:$A$5001,"&gt;="&amp;$C$7,BD!$A$3:$A$5001,"&lt;="&amp;$B228,BD!$W$3:$W$5001,"&lt;&gt;"))))</f>
        <v/>
      </c>
      <c r="L228" s="43" t="str">
        <f>IF(OR($B228="",$A228&gt;$B$9,L$206=""),"",IF(COUNTIFS(BD!$B$3:$B$5001,L$206,BD!$A$3:$A$5001,"&gt;="&amp;$C$7,BD!$A$3:$A$5001,"&lt;="&amp;$B228,BD!$W$3:$W$5001,"&lt;&gt;")=0,"",SUMIFS(BD!$W$3:$W$5001,BD!$B$3:$B$5001,L$206,BD!$A$3:$A$5001,_xlfn.MAXIFS(BD!$A$3:$A$5001,BD!$B$3:$B$5001,L$206,BD!$A$3:$A$5001,"&gt;="&amp;$C$7,BD!$A$3:$A$5001,"&lt;="&amp;$B228,BD!$W$3:$W$5001,"&lt;&gt;"))))</f>
        <v/>
      </c>
      <c r="M228" s="43" t="str">
        <f>IF(OR($B228="",$A228&gt;$B$9,M$206=""),"",IF(COUNTIFS(BD!$B$3:$B$5001,M$206,BD!$A$3:$A$5001,"&gt;="&amp;$C$7,BD!$A$3:$A$5001,"&lt;="&amp;$B228,BD!$W$3:$W$5001,"&lt;&gt;")=0,"",SUMIFS(BD!$W$3:$W$5001,BD!$B$3:$B$5001,M$206,BD!$A$3:$A$5001,_xlfn.MAXIFS(BD!$A$3:$A$5001,BD!$B$3:$B$5001,M$206,BD!$A$3:$A$5001,"&gt;="&amp;$C$7,BD!$A$3:$A$5001,"&lt;="&amp;$B228,BD!$W$3:$W$5001,"&lt;&gt;"))))</f>
        <v/>
      </c>
      <c r="N228" s="43" t="str">
        <f>IF(OR($B228="",$A228&gt;$B$9,N$206=""),"",IF(COUNTIFS(BD!$B$3:$B$5001,N$206,BD!$A$3:$A$5001,"&gt;="&amp;$C$7,BD!$A$3:$A$5001,"&lt;="&amp;$B228,BD!$W$3:$W$5001,"&lt;&gt;")=0,"",SUMIFS(BD!$W$3:$W$5001,BD!$B$3:$B$5001,N$206,BD!$A$3:$A$5001,_xlfn.MAXIFS(BD!$A$3:$A$5001,BD!$B$3:$B$5001,N$206,BD!$A$3:$A$5001,"&gt;="&amp;$C$7,BD!$A$3:$A$5001,"&lt;="&amp;$B228,BD!$W$3:$W$5001,"&lt;&gt;"))))</f>
        <v/>
      </c>
      <c r="O228" s="43" t="str">
        <f>IF(OR($B228="",$A228&gt;$B$9,O$206=""),"",IF(COUNTIFS(BD!$B$3:$B$5001,O$206,BD!$A$3:$A$5001,"&gt;="&amp;$C$7,BD!$A$3:$A$5001,"&lt;="&amp;$B228,BD!$W$3:$W$5001,"&lt;&gt;")=0,"",SUMIFS(BD!$W$3:$W$5001,BD!$B$3:$B$5001,O$206,BD!$A$3:$A$5001,_xlfn.MAXIFS(BD!$A$3:$A$5001,BD!$B$3:$B$5001,O$206,BD!$A$3:$A$5001,"&gt;="&amp;$C$7,BD!$A$3:$A$5001,"&lt;="&amp;$B228,BD!$W$3:$W$5001,"&lt;&gt;"))))</f>
        <v/>
      </c>
      <c r="P228" s="43" t="str">
        <f>IF(OR($B228="",$A228&gt;$B$9,P$206=""),"",IF(COUNTIFS(BD!$B$3:$B$5001,P$206,BD!$A$3:$A$5001,"&gt;="&amp;$C$7,BD!$A$3:$A$5001,"&lt;="&amp;$B228,BD!$W$3:$W$5001,"&lt;&gt;")=0,"",SUMIFS(BD!$W$3:$W$5001,BD!$B$3:$B$5001,P$206,BD!$A$3:$A$5001,_xlfn.MAXIFS(BD!$A$3:$A$5001,BD!$B$3:$B$5001,P$206,BD!$A$3:$A$5001,"&gt;="&amp;$C$7,BD!$A$3:$A$5001,"&lt;="&amp;$B228,BD!$W$3:$W$5001,"&lt;&gt;"))))</f>
        <v/>
      </c>
      <c r="Q228" s="43" t="str">
        <f>IF(OR($B228="",$A228&gt;$B$9,Q$206=""),"",IF(COUNTIFS(BD!$B$3:$B$5001,Q$206,BD!$A$3:$A$5001,"&gt;="&amp;$C$7,BD!$A$3:$A$5001,"&lt;="&amp;$B228,BD!$W$3:$W$5001,"&lt;&gt;")=0,"",SUMIFS(BD!$W$3:$W$5001,BD!$B$3:$B$5001,Q$206,BD!$A$3:$A$5001,_xlfn.MAXIFS(BD!$A$3:$A$5001,BD!$B$3:$B$5001,Q$206,BD!$A$3:$A$5001,"&gt;="&amp;$C$7,BD!$A$3:$A$5001,"&lt;="&amp;$B228,BD!$W$3:$W$5001,"&lt;&gt;"))))</f>
        <v/>
      </c>
      <c r="R228" s="43" t="str">
        <f>IF(OR($B228="",$A228&gt;$B$9,R$206=""),"",IF(COUNTIFS(BD!$B$3:$B$5001,R$206,BD!$A$3:$A$5001,"&gt;="&amp;$C$7,BD!$A$3:$A$5001,"&lt;="&amp;$B228,BD!$W$3:$W$5001,"&lt;&gt;")=0,"",SUMIFS(BD!$W$3:$W$5001,BD!$B$3:$B$5001,R$206,BD!$A$3:$A$5001,_xlfn.MAXIFS(BD!$A$3:$A$5001,BD!$B$3:$B$5001,R$206,BD!$A$3:$A$5001,"&gt;="&amp;$C$7,BD!$A$3:$A$5001,"&lt;="&amp;$B228,BD!$W$3:$W$5001,"&lt;&gt;"))))</f>
        <v/>
      </c>
      <c r="S228" s="43" t="str">
        <f>IF(OR($B228="",$A228&gt;$B$9,S$206=""),"",IF(COUNTIFS(BD!$B$3:$B$5001,S$206,BD!$A$3:$A$5001,"&gt;="&amp;$C$7,BD!$A$3:$A$5001,"&lt;="&amp;$B228,BD!$W$3:$W$5001,"&lt;&gt;")=0,"",SUMIFS(BD!$W$3:$W$5001,BD!$B$3:$B$5001,S$206,BD!$A$3:$A$5001,_xlfn.MAXIFS(BD!$A$3:$A$5001,BD!$B$3:$B$5001,S$206,BD!$A$3:$A$5001,"&gt;="&amp;$C$7,BD!$A$3:$A$5001,"&lt;="&amp;$B228,BD!$W$3:$W$5001,"&lt;&gt;"))))</f>
        <v/>
      </c>
      <c r="T228" s="43" t="str">
        <f>IF(OR($B228="",$A228&gt;$B$9,T$206=""),"",IF(COUNTIFS(BD!$B$3:$B$5001,T$206,BD!$A$3:$A$5001,"&gt;="&amp;$C$7,BD!$A$3:$A$5001,"&lt;="&amp;$B228,BD!$W$3:$W$5001,"&lt;&gt;")=0,"",SUMIFS(BD!$W$3:$W$5001,BD!$B$3:$B$5001,T$206,BD!$A$3:$A$5001,_xlfn.MAXIFS(BD!$A$3:$A$5001,BD!$B$3:$B$5001,T$206,BD!$A$3:$A$5001,"&gt;="&amp;$C$7,BD!$A$3:$A$5001,"&lt;="&amp;$B228,BD!$W$3:$W$5001,"&lt;&gt;"))))</f>
        <v/>
      </c>
      <c r="U228" s="43" t="str">
        <f>IF(OR($B228="",$A228&gt;$B$9,U$206=""),"",IF(COUNTIFS(BD!$B$3:$B$5001,U$206,BD!$A$3:$A$5001,"&gt;="&amp;$C$7,BD!$A$3:$A$5001,"&lt;="&amp;$B228,BD!$W$3:$W$5001,"&lt;&gt;")=0,"",SUMIFS(BD!$W$3:$W$5001,BD!$B$3:$B$5001,U$206,BD!$A$3:$A$5001,_xlfn.MAXIFS(BD!$A$3:$A$5001,BD!$B$3:$B$5001,U$206,BD!$A$3:$A$5001,"&gt;="&amp;$C$7,BD!$A$3:$A$5001,"&lt;="&amp;$B228,BD!$W$3:$W$5001,"&lt;&gt;"))))</f>
        <v/>
      </c>
      <c r="V228" s="43" t="str">
        <f>IF(OR($B228="",$A228&gt;$B$9,V$206=""),"",IF(COUNTIFS(BD!$B$3:$B$5001,V$206,BD!$A$3:$A$5001,"&gt;="&amp;$C$7,BD!$A$3:$A$5001,"&lt;="&amp;$B228,BD!$W$3:$W$5001,"&lt;&gt;")=0,"",SUMIFS(BD!$W$3:$W$5001,BD!$B$3:$B$5001,V$206,BD!$A$3:$A$5001,_xlfn.MAXIFS(BD!$A$3:$A$5001,BD!$B$3:$B$5001,V$206,BD!$A$3:$A$5001,"&gt;="&amp;$C$7,BD!$A$3:$A$5001,"&lt;="&amp;$B228,BD!$W$3:$W$5001,"&lt;&gt;"))))</f>
        <v/>
      </c>
    </row>
    <row r="229">
      <c r="A229" s="38">
        <v>23</v>
      </c>
      <c r="B229" s="42">
        <f>$B$34</f>
        <v>46318</v>
      </c>
      <c r="C229" s="43" t="str">
        <f>IF(OR($B229="",$A229&gt;$B$9,C$206=""),"",IF(COUNTIFS(BD!$B$3:$B$5001,C$206,BD!$A$3:$A$5001,"&gt;="&amp;$C$7,BD!$A$3:$A$5001,"&lt;="&amp;$B229,BD!$W$3:$W$5001,"&lt;&gt;")=0,"",SUMIFS(BD!$W$3:$W$5001,BD!$B$3:$B$5001,C$206,BD!$A$3:$A$5001,_xlfn.MAXIFS(BD!$A$3:$A$5001,BD!$B$3:$B$5001,C$206,BD!$A$3:$A$5001,"&gt;="&amp;$C$7,BD!$A$3:$A$5001,"&lt;="&amp;$B229,BD!$W$3:$W$5001,"&lt;&gt;"))))</f>
        <v/>
      </c>
      <c r="D229" s="43" t="str">
        <f>IF(OR($B229="",$A229&gt;$B$9,D$206=""),"",IF(COUNTIFS(BD!$B$3:$B$5001,D$206,BD!$A$3:$A$5001,"&gt;="&amp;$C$7,BD!$A$3:$A$5001,"&lt;="&amp;$B229,BD!$W$3:$W$5001,"&lt;&gt;")=0,"",SUMIFS(BD!$W$3:$W$5001,BD!$B$3:$B$5001,D$206,BD!$A$3:$A$5001,_xlfn.MAXIFS(BD!$A$3:$A$5001,BD!$B$3:$B$5001,D$206,BD!$A$3:$A$5001,"&gt;="&amp;$C$7,BD!$A$3:$A$5001,"&lt;="&amp;$B229,BD!$W$3:$W$5001,"&lt;&gt;"))))</f>
        <v/>
      </c>
      <c r="E229" s="43" t="str">
        <f>IF(OR($B229="",$A229&gt;$B$9,E$206=""),"",IF(COUNTIFS(BD!$B$3:$B$5001,E$206,BD!$A$3:$A$5001,"&gt;="&amp;$C$7,BD!$A$3:$A$5001,"&lt;="&amp;$B229,BD!$W$3:$W$5001,"&lt;&gt;")=0,"",SUMIFS(BD!$W$3:$W$5001,BD!$B$3:$B$5001,E$206,BD!$A$3:$A$5001,_xlfn.MAXIFS(BD!$A$3:$A$5001,BD!$B$3:$B$5001,E$206,BD!$A$3:$A$5001,"&gt;="&amp;$C$7,BD!$A$3:$A$5001,"&lt;="&amp;$B229,BD!$W$3:$W$5001,"&lt;&gt;"))))</f>
        <v/>
      </c>
      <c r="F229" s="43" t="str">
        <f>IF(OR($B229="",$A229&gt;$B$9,F$206=""),"",IF(COUNTIFS(BD!$B$3:$B$5001,F$206,BD!$A$3:$A$5001,"&gt;="&amp;$C$7,BD!$A$3:$A$5001,"&lt;="&amp;$B229,BD!$W$3:$W$5001,"&lt;&gt;")=0,"",SUMIFS(BD!$W$3:$W$5001,BD!$B$3:$B$5001,F$206,BD!$A$3:$A$5001,_xlfn.MAXIFS(BD!$A$3:$A$5001,BD!$B$3:$B$5001,F$206,BD!$A$3:$A$5001,"&gt;="&amp;$C$7,BD!$A$3:$A$5001,"&lt;="&amp;$B229,BD!$W$3:$W$5001,"&lt;&gt;"))))</f>
        <v/>
      </c>
      <c r="G229" s="43" t="str">
        <f>IF(OR($B229="",$A229&gt;$B$9,G$206=""),"",IF(COUNTIFS(BD!$B$3:$B$5001,G$206,BD!$A$3:$A$5001,"&gt;="&amp;$C$7,BD!$A$3:$A$5001,"&lt;="&amp;$B229,BD!$W$3:$W$5001,"&lt;&gt;")=0,"",SUMIFS(BD!$W$3:$W$5001,BD!$B$3:$B$5001,G$206,BD!$A$3:$A$5001,_xlfn.MAXIFS(BD!$A$3:$A$5001,BD!$B$3:$B$5001,G$206,BD!$A$3:$A$5001,"&gt;="&amp;$C$7,BD!$A$3:$A$5001,"&lt;="&amp;$B229,BD!$W$3:$W$5001,"&lt;&gt;"))))</f>
        <v/>
      </c>
      <c r="H229" s="43" t="str">
        <f>IF(OR($B229="",$A229&gt;$B$9,H$206=""),"",IF(COUNTIFS(BD!$B$3:$B$5001,H$206,BD!$A$3:$A$5001,"&gt;="&amp;$C$7,BD!$A$3:$A$5001,"&lt;="&amp;$B229,BD!$W$3:$W$5001,"&lt;&gt;")=0,"",SUMIFS(BD!$W$3:$W$5001,BD!$B$3:$B$5001,H$206,BD!$A$3:$A$5001,_xlfn.MAXIFS(BD!$A$3:$A$5001,BD!$B$3:$B$5001,H$206,BD!$A$3:$A$5001,"&gt;="&amp;$C$7,BD!$A$3:$A$5001,"&lt;="&amp;$B229,BD!$W$3:$W$5001,"&lt;&gt;"))))</f>
        <v/>
      </c>
      <c r="I229" s="43" t="str">
        <f>IF(OR($B229="",$A229&gt;$B$9,I$206=""),"",IF(COUNTIFS(BD!$B$3:$B$5001,I$206,BD!$A$3:$A$5001,"&gt;="&amp;$C$7,BD!$A$3:$A$5001,"&lt;="&amp;$B229,BD!$W$3:$W$5001,"&lt;&gt;")=0,"",SUMIFS(BD!$W$3:$W$5001,BD!$B$3:$B$5001,I$206,BD!$A$3:$A$5001,_xlfn.MAXIFS(BD!$A$3:$A$5001,BD!$B$3:$B$5001,I$206,BD!$A$3:$A$5001,"&gt;="&amp;$C$7,BD!$A$3:$A$5001,"&lt;="&amp;$B229,BD!$W$3:$W$5001,"&lt;&gt;"))))</f>
        <v/>
      </c>
      <c r="J229" s="43" t="str">
        <f>IF(OR($B229="",$A229&gt;$B$9,J$206=""),"",IF(COUNTIFS(BD!$B$3:$B$5001,J$206,BD!$A$3:$A$5001,"&gt;="&amp;$C$7,BD!$A$3:$A$5001,"&lt;="&amp;$B229,BD!$W$3:$W$5001,"&lt;&gt;")=0,"",SUMIFS(BD!$W$3:$W$5001,BD!$B$3:$B$5001,J$206,BD!$A$3:$A$5001,_xlfn.MAXIFS(BD!$A$3:$A$5001,BD!$B$3:$B$5001,J$206,BD!$A$3:$A$5001,"&gt;="&amp;$C$7,BD!$A$3:$A$5001,"&lt;="&amp;$B229,BD!$W$3:$W$5001,"&lt;&gt;"))))</f>
        <v/>
      </c>
      <c r="K229" s="43" t="str">
        <f>IF(OR($B229="",$A229&gt;$B$9,K$206=""),"",IF(COUNTIFS(BD!$B$3:$B$5001,K$206,BD!$A$3:$A$5001,"&gt;="&amp;$C$7,BD!$A$3:$A$5001,"&lt;="&amp;$B229,BD!$W$3:$W$5001,"&lt;&gt;")=0,"",SUMIFS(BD!$W$3:$W$5001,BD!$B$3:$B$5001,K$206,BD!$A$3:$A$5001,_xlfn.MAXIFS(BD!$A$3:$A$5001,BD!$B$3:$B$5001,K$206,BD!$A$3:$A$5001,"&gt;="&amp;$C$7,BD!$A$3:$A$5001,"&lt;="&amp;$B229,BD!$W$3:$W$5001,"&lt;&gt;"))))</f>
        <v/>
      </c>
      <c r="L229" s="43" t="str">
        <f>IF(OR($B229="",$A229&gt;$B$9,L$206=""),"",IF(COUNTIFS(BD!$B$3:$B$5001,L$206,BD!$A$3:$A$5001,"&gt;="&amp;$C$7,BD!$A$3:$A$5001,"&lt;="&amp;$B229,BD!$W$3:$W$5001,"&lt;&gt;")=0,"",SUMIFS(BD!$W$3:$W$5001,BD!$B$3:$B$5001,L$206,BD!$A$3:$A$5001,_xlfn.MAXIFS(BD!$A$3:$A$5001,BD!$B$3:$B$5001,L$206,BD!$A$3:$A$5001,"&gt;="&amp;$C$7,BD!$A$3:$A$5001,"&lt;="&amp;$B229,BD!$W$3:$W$5001,"&lt;&gt;"))))</f>
        <v/>
      </c>
      <c r="M229" s="43" t="str">
        <f>IF(OR($B229="",$A229&gt;$B$9,M$206=""),"",IF(COUNTIFS(BD!$B$3:$B$5001,M$206,BD!$A$3:$A$5001,"&gt;="&amp;$C$7,BD!$A$3:$A$5001,"&lt;="&amp;$B229,BD!$W$3:$W$5001,"&lt;&gt;")=0,"",SUMIFS(BD!$W$3:$W$5001,BD!$B$3:$B$5001,M$206,BD!$A$3:$A$5001,_xlfn.MAXIFS(BD!$A$3:$A$5001,BD!$B$3:$B$5001,M$206,BD!$A$3:$A$5001,"&gt;="&amp;$C$7,BD!$A$3:$A$5001,"&lt;="&amp;$B229,BD!$W$3:$W$5001,"&lt;&gt;"))))</f>
        <v/>
      </c>
      <c r="N229" s="43" t="str">
        <f>IF(OR($B229="",$A229&gt;$B$9,N$206=""),"",IF(COUNTIFS(BD!$B$3:$B$5001,N$206,BD!$A$3:$A$5001,"&gt;="&amp;$C$7,BD!$A$3:$A$5001,"&lt;="&amp;$B229,BD!$W$3:$W$5001,"&lt;&gt;")=0,"",SUMIFS(BD!$W$3:$W$5001,BD!$B$3:$B$5001,N$206,BD!$A$3:$A$5001,_xlfn.MAXIFS(BD!$A$3:$A$5001,BD!$B$3:$B$5001,N$206,BD!$A$3:$A$5001,"&gt;="&amp;$C$7,BD!$A$3:$A$5001,"&lt;="&amp;$B229,BD!$W$3:$W$5001,"&lt;&gt;"))))</f>
        <v/>
      </c>
      <c r="O229" s="43" t="str">
        <f>IF(OR($B229="",$A229&gt;$B$9,O$206=""),"",IF(COUNTIFS(BD!$B$3:$B$5001,O$206,BD!$A$3:$A$5001,"&gt;="&amp;$C$7,BD!$A$3:$A$5001,"&lt;="&amp;$B229,BD!$W$3:$W$5001,"&lt;&gt;")=0,"",SUMIFS(BD!$W$3:$W$5001,BD!$B$3:$B$5001,O$206,BD!$A$3:$A$5001,_xlfn.MAXIFS(BD!$A$3:$A$5001,BD!$B$3:$B$5001,O$206,BD!$A$3:$A$5001,"&gt;="&amp;$C$7,BD!$A$3:$A$5001,"&lt;="&amp;$B229,BD!$W$3:$W$5001,"&lt;&gt;"))))</f>
        <v/>
      </c>
      <c r="P229" s="43" t="str">
        <f>IF(OR($B229="",$A229&gt;$B$9,P$206=""),"",IF(COUNTIFS(BD!$B$3:$B$5001,P$206,BD!$A$3:$A$5001,"&gt;="&amp;$C$7,BD!$A$3:$A$5001,"&lt;="&amp;$B229,BD!$W$3:$W$5001,"&lt;&gt;")=0,"",SUMIFS(BD!$W$3:$W$5001,BD!$B$3:$B$5001,P$206,BD!$A$3:$A$5001,_xlfn.MAXIFS(BD!$A$3:$A$5001,BD!$B$3:$B$5001,P$206,BD!$A$3:$A$5001,"&gt;="&amp;$C$7,BD!$A$3:$A$5001,"&lt;="&amp;$B229,BD!$W$3:$W$5001,"&lt;&gt;"))))</f>
        <v/>
      </c>
      <c r="Q229" s="43" t="str">
        <f>IF(OR($B229="",$A229&gt;$B$9,Q$206=""),"",IF(COUNTIFS(BD!$B$3:$B$5001,Q$206,BD!$A$3:$A$5001,"&gt;="&amp;$C$7,BD!$A$3:$A$5001,"&lt;="&amp;$B229,BD!$W$3:$W$5001,"&lt;&gt;")=0,"",SUMIFS(BD!$W$3:$W$5001,BD!$B$3:$B$5001,Q$206,BD!$A$3:$A$5001,_xlfn.MAXIFS(BD!$A$3:$A$5001,BD!$B$3:$B$5001,Q$206,BD!$A$3:$A$5001,"&gt;="&amp;$C$7,BD!$A$3:$A$5001,"&lt;="&amp;$B229,BD!$W$3:$W$5001,"&lt;&gt;"))))</f>
        <v/>
      </c>
      <c r="R229" s="43" t="str">
        <f>IF(OR($B229="",$A229&gt;$B$9,R$206=""),"",IF(COUNTIFS(BD!$B$3:$B$5001,R$206,BD!$A$3:$A$5001,"&gt;="&amp;$C$7,BD!$A$3:$A$5001,"&lt;="&amp;$B229,BD!$W$3:$W$5001,"&lt;&gt;")=0,"",SUMIFS(BD!$W$3:$W$5001,BD!$B$3:$B$5001,R$206,BD!$A$3:$A$5001,_xlfn.MAXIFS(BD!$A$3:$A$5001,BD!$B$3:$B$5001,R$206,BD!$A$3:$A$5001,"&gt;="&amp;$C$7,BD!$A$3:$A$5001,"&lt;="&amp;$B229,BD!$W$3:$W$5001,"&lt;&gt;"))))</f>
        <v/>
      </c>
      <c r="S229" s="43" t="str">
        <f>IF(OR($B229="",$A229&gt;$B$9,S$206=""),"",IF(COUNTIFS(BD!$B$3:$B$5001,S$206,BD!$A$3:$A$5001,"&gt;="&amp;$C$7,BD!$A$3:$A$5001,"&lt;="&amp;$B229,BD!$W$3:$W$5001,"&lt;&gt;")=0,"",SUMIFS(BD!$W$3:$W$5001,BD!$B$3:$B$5001,S$206,BD!$A$3:$A$5001,_xlfn.MAXIFS(BD!$A$3:$A$5001,BD!$B$3:$B$5001,S$206,BD!$A$3:$A$5001,"&gt;="&amp;$C$7,BD!$A$3:$A$5001,"&lt;="&amp;$B229,BD!$W$3:$W$5001,"&lt;&gt;"))))</f>
        <v/>
      </c>
      <c r="T229" s="43" t="str">
        <f>IF(OR($B229="",$A229&gt;$B$9,T$206=""),"",IF(COUNTIFS(BD!$B$3:$B$5001,T$206,BD!$A$3:$A$5001,"&gt;="&amp;$C$7,BD!$A$3:$A$5001,"&lt;="&amp;$B229,BD!$W$3:$W$5001,"&lt;&gt;")=0,"",SUMIFS(BD!$W$3:$W$5001,BD!$B$3:$B$5001,T$206,BD!$A$3:$A$5001,_xlfn.MAXIFS(BD!$A$3:$A$5001,BD!$B$3:$B$5001,T$206,BD!$A$3:$A$5001,"&gt;="&amp;$C$7,BD!$A$3:$A$5001,"&lt;="&amp;$B229,BD!$W$3:$W$5001,"&lt;&gt;"))))</f>
        <v/>
      </c>
      <c r="U229" s="43" t="str">
        <f>IF(OR($B229="",$A229&gt;$B$9,U$206=""),"",IF(COUNTIFS(BD!$B$3:$B$5001,U$206,BD!$A$3:$A$5001,"&gt;="&amp;$C$7,BD!$A$3:$A$5001,"&lt;="&amp;$B229,BD!$W$3:$W$5001,"&lt;&gt;")=0,"",SUMIFS(BD!$W$3:$W$5001,BD!$B$3:$B$5001,U$206,BD!$A$3:$A$5001,_xlfn.MAXIFS(BD!$A$3:$A$5001,BD!$B$3:$B$5001,U$206,BD!$A$3:$A$5001,"&gt;="&amp;$C$7,BD!$A$3:$A$5001,"&lt;="&amp;$B229,BD!$W$3:$W$5001,"&lt;&gt;"))))</f>
        <v/>
      </c>
      <c r="V229" s="43" t="str">
        <f>IF(OR($B229="",$A229&gt;$B$9,V$206=""),"",IF(COUNTIFS(BD!$B$3:$B$5001,V$206,BD!$A$3:$A$5001,"&gt;="&amp;$C$7,BD!$A$3:$A$5001,"&lt;="&amp;$B229,BD!$W$3:$W$5001,"&lt;&gt;")=0,"",SUMIFS(BD!$W$3:$W$5001,BD!$B$3:$B$5001,V$206,BD!$A$3:$A$5001,_xlfn.MAXIFS(BD!$A$3:$A$5001,BD!$B$3:$B$5001,V$206,BD!$A$3:$A$5001,"&gt;="&amp;$C$7,BD!$A$3:$A$5001,"&lt;="&amp;$B229,BD!$W$3:$W$5001,"&lt;&gt;"))))</f>
        <v/>
      </c>
    </row>
    <row r="230">
      <c r="A230" s="38">
        <v>24</v>
      </c>
      <c r="B230" s="42">
        <f>$B$35</f>
        <v>46319</v>
      </c>
      <c r="C230" s="43" t="str">
        <f>IF(OR($B230="",$A230&gt;$B$9,C$206=""),"",IF(COUNTIFS(BD!$B$3:$B$5001,C$206,BD!$A$3:$A$5001,"&gt;="&amp;$C$7,BD!$A$3:$A$5001,"&lt;="&amp;$B230,BD!$W$3:$W$5001,"&lt;&gt;")=0,"",SUMIFS(BD!$W$3:$W$5001,BD!$B$3:$B$5001,C$206,BD!$A$3:$A$5001,_xlfn.MAXIFS(BD!$A$3:$A$5001,BD!$B$3:$B$5001,C$206,BD!$A$3:$A$5001,"&gt;="&amp;$C$7,BD!$A$3:$A$5001,"&lt;="&amp;$B230,BD!$W$3:$W$5001,"&lt;&gt;"))))</f>
        <v/>
      </c>
      <c r="D230" s="43" t="str">
        <f>IF(OR($B230="",$A230&gt;$B$9,D$206=""),"",IF(COUNTIFS(BD!$B$3:$B$5001,D$206,BD!$A$3:$A$5001,"&gt;="&amp;$C$7,BD!$A$3:$A$5001,"&lt;="&amp;$B230,BD!$W$3:$W$5001,"&lt;&gt;")=0,"",SUMIFS(BD!$W$3:$W$5001,BD!$B$3:$B$5001,D$206,BD!$A$3:$A$5001,_xlfn.MAXIFS(BD!$A$3:$A$5001,BD!$B$3:$B$5001,D$206,BD!$A$3:$A$5001,"&gt;="&amp;$C$7,BD!$A$3:$A$5001,"&lt;="&amp;$B230,BD!$W$3:$W$5001,"&lt;&gt;"))))</f>
        <v/>
      </c>
      <c r="E230" s="43" t="str">
        <f>IF(OR($B230="",$A230&gt;$B$9,E$206=""),"",IF(COUNTIFS(BD!$B$3:$B$5001,E$206,BD!$A$3:$A$5001,"&gt;="&amp;$C$7,BD!$A$3:$A$5001,"&lt;="&amp;$B230,BD!$W$3:$W$5001,"&lt;&gt;")=0,"",SUMIFS(BD!$W$3:$W$5001,BD!$B$3:$B$5001,E$206,BD!$A$3:$A$5001,_xlfn.MAXIFS(BD!$A$3:$A$5001,BD!$B$3:$B$5001,E$206,BD!$A$3:$A$5001,"&gt;="&amp;$C$7,BD!$A$3:$A$5001,"&lt;="&amp;$B230,BD!$W$3:$W$5001,"&lt;&gt;"))))</f>
        <v/>
      </c>
      <c r="F230" s="43" t="str">
        <f>IF(OR($B230="",$A230&gt;$B$9,F$206=""),"",IF(COUNTIFS(BD!$B$3:$B$5001,F$206,BD!$A$3:$A$5001,"&gt;="&amp;$C$7,BD!$A$3:$A$5001,"&lt;="&amp;$B230,BD!$W$3:$W$5001,"&lt;&gt;")=0,"",SUMIFS(BD!$W$3:$W$5001,BD!$B$3:$B$5001,F$206,BD!$A$3:$A$5001,_xlfn.MAXIFS(BD!$A$3:$A$5001,BD!$B$3:$B$5001,F$206,BD!$A$3:$A$5001,"&gt;="&amp;$C$7,BD!$A$3:$A$5001,"&lt;="&amp;$B230,BD!$W$3:$W$5001,"&lt;&gt;"))))</f>
        <v/>
      </c>
      <c r="G230" s="43" t="str">
        <f>IF(OR($B230="",$A230&gt;$B$9,G$206=""),"",IF(COUNTIFS(BD!$B$3:$B$5001,G$206,BD!$A$3:$A$5001,"&gt;="&amp;$C$7,BD!$A$3:$A$5001,"&lt;="&amp;$B230,BD!$W$3:$W$5001,"&lt;&gt;")=0,"",SUMIFS(BD!$W$3:$W$5001,BD!$B$3:$B$5001,G$206,BD!$A$3:$A$5001,_xlfn.MAXIFS(BD!$A$3:$A$5001,BD!$B$3:$B$5001,G$206,BD!$A$3:$A$5001,"&gt;="&amp;$C$7,BD!$A$3:$A$5001,"&lt;="&amp;$B230,BD!$W$3:$W$5001,"&lt;&gt;"))))</f>
        <v/>
      </c>
      <c r="H230" s="43" t="str">
        <f>IF(OR($B230="",$A230&gt;$B$9,H$206=""),"",IF(COUNTIFS(BD!$B$3:$B$5001,H$206,BD!$A$3:$A$5001,"&gt;="&amp;$C$7,BD!$A$3:$A$5001,"&lt;="&amp;$B230,BD!$W$3:$W$5001,"&lt;&gt;")=0,"",SUMIFS(BD!$W$3:$W$5001,BD!$B$3:$B$5001,H$206,BD!$A$3:$A$5001,_xlfn.MAXIFS(BD!$A$3:$A$5001,BD!$B$3:$B$5001,H$206,BD!$A$3:$A$5001,"&gt;="&amp;$C$7,BD!$A$3:$A$5001,"&lt;="&amp;$B230,BD!$W$3:$W$5001,"&lt;&gt;"))))</f>
        <v/>
      </c>
      <c r="I230" s="43" t="str">
        <f>IF(OR($B230="",$A230&gt;$B$9,I$206=""),"",IF(COUNTIFS(BD!$B$3:$B$5001,I$206,BD!$A$3:$A$5001,"&gt;="&amp;$C$7,BD!$A$3:$A$5001,"&lt;="&amp;$B230,BD!$W$3:$W$5001,"&lt;&gt;")=0,"",SUMIFS(BD!$W$3:$W$5001,BD!$B$3:$B$5001,I$206,BD!$A$3:$A$5001,_xlfn.MAXIFS(BD!$A$3:$A$5001,BD!$B$3:$B$5001,I$206,BD!$A$3:$A$5001,"&gt;="&amp;$C$7,BD!$A$3:$A$5001,"&lt;="&amp;$B230,BD!$W$3:$W$5001,"&lt;&gt;"))))</f>
        <v/>
      </c>
      <c r="J230" s="43" t="str">
        <f>IF(OR($B230="",$A230&gt;$B$9,J$206=""),"",IF(COUNTIFS(BD!$B$3:$B$5001,J$206,BD!$A$3:$A$5001,"&gt;="&amp;$C$7,BD!$A$3:$A$5001,"&lt;="&amp;$B230,BD!$W$3:$W$5001,"&lt;&gt;")=0,"",SUMIFS(BD!$W$3:$W$5001,BD!$B$3:$B$5001,J$206,BD!$A$3:$A$5001,_xlfn.MAXIFS(BD!$A$3:$A$5001,BD!$B$3:$B$5001,J$206,BD!$A$3:$A$5001,"&gt;="&amp;$C$7,BD!$A$3:$A$5001,"&lt;="&amp;$B230,BD!$W$3:$W$5001,"&lt;&gt;"))))</f>
        <v/>
      </c>
      <c r="K230" s="43" t="str">
        <f>IF(OR($B230="",$A230&gt;$B$9,K$206=""),"",IF(COUNTIFS(BD!$B$3:$B$5001,K$206,BD!$A$3:$A$5001,"&gt;="&amp;$C$7,BD!$A$3:$A$5001,"&lt;="&amp;$B230,BD!$W$3:$W$5001,"&lt;&gt;")=0,"",SUMIFS(BD!$W$3:$W$5001,BD!$B$3:$B$5001,K$206,BD!$A$3:$A$5001,_xlfn.MAXIFS(BD!$A$3:$A$5001,BD!$B$3:$B$5001,K$206,BD!$A$3:$A$5001,"&gt;="&amp;$C$7,BD!$A$3:$A$5001,"&lt;="&amp;$B230,BD!$W$3:$W$5001,"&lt;&gt;"))))</f>
        <v/>
      </c>
      <c r="L230" s="43" t="str">
        <f>IF(OR($B230="",$A230&gt;$B$9,L$206=""),"",IF(COUNTIFS(BD!$B$3:$B$5001,L$206,BD!$A$3:$A$5001,"&gt;="&amp;$C$7,BD!$A$3:$A$5001,"&lt;="&amp;$B230,BD!$W$3:$W$5001,"&lt;&gt;")=0,"",SUMIFS(BD!$W$3:$W$5001,BD!$B$3:$B$5001,L$206,BD!$A$3:$A$5001,_xlfn.MAXIFS(BD!$A$3:$A$5001,BD!$B$3:$B$5001,L$206,BD!$A$3:$A$5001,"&gt;="&amp;$C$7,BD!$A$3:$A$5001,"&lt;="&amp;$B230,BD!$W$3:$W$5001,"&lt;&gt;"))))</f>
        <v/>
      </c>
      <c r="M230" s="43" t="str">
        <f>IF(OR($B230="",$A230&gt;$B$9,M$206=""),"",IF(COUNTIFS(BD!$B$3:$B$5001,M$206,BD!$A$3:$A$5001,"&gt;="&amp;$C$7,BD!$A$3:$A$5001,"&lt;="&amp;$B230,BD!$W$3:$W$5001,"&lt;&gt;")=0,"",SUMIFS(BD!$W$3:$W$5001,BD!$B$3:$B$5001,M$206,BD!$A$3:$A$5001,_xlfn.MAXIFS(BD!$A$3:$A$5001,BD!$B$3:$B$5001,M$206,BD!$A$3:$A$5001,"&gt;="&amp;$C$7,BD!$A$3:$A$5001,"&lt;="&amp;$B230,BD!$W$3:$W$5001,"&lt;&gt;"))))</f>
        <v/>
      </c>
      <c r="N230" s="43" t="str">
        <f>IF(OR($B230="",$A230&gt;$B$9,N$206=""),"",IF(COUNTIFS(BD!$B$3:$B$5001,N$206,BD!$A$3:$A$5001,"&gt;="&amp;$C$7,BD!$A$3:$A$5001,"&lt;="&amp;$B230,BD!$W$3:$W$5001,"&lt;&gt;")=0,"",SUMIFS(BD!$W$3:$W$5001,BD!$B$3:$B$5001,N$206,BD!$A$3:$A$5001,_xlfn.MAXIFS(BD!$A$3:$A$5001,BD!$B$3:$B$5001,N$206,BD!$A$3:$A$5001,"&gt;="&amp;$C$7,BD!$A$3:$A$5001,"&lt;="&amp;$B230,BD!$W$3:$W$5001,"&lt;&gt;"))))</f>
        <v/>
      </c>
      <c r="O230" s="43" t="str">
        <f>IF(OR($B230="",$A230&gt;$B$9,O$206=""),"",IF(COUNTIFS(BD!$B$3:$B$5001,O$206,BD!$A$3:$A$5001,"&gt;="&amp;$C$7,BD!$A$3:$A$5001,"&lt;="&amp;$B230,BD!$W$3:$W$5001,"&lt;&gt;")=0,"",SUMIFS(BD!$W$3:$W$5001,BD!$B$3:$B$5001,O$206,BD!$A$3:$A$5001,_xlfn.MAXIFS(BD!$A$3:$A$5001,BD!$B$3:$B$5001,O$206,BD!$A$3:$A$5001,"&gt;="&amp;$C$7,BD!$A$3:$A$5001,"&lt;="&amp;$B230,BD!$W$3:$W$5001,"&lt;&gt;"))))</f>
        <v/>
      </c>
      <c r="P230" s="43" t="str">
        <f>IF(OR($B230="",$A230&gt;$B$9,P$206=""),"",IF(COUNTIFS(BD!$B$3:$B$5001,P$206,BD!$A$3:$A$5001,"&gt;="&amp;$C$7,BD!$A$3:$A$5001,"&lt;="&amp;$B230,BD!$W$3:$W$5001,"&lt;&gt;")=0,"",SUMIFS(BD!$W$3:$W$5001,BD!$B$3:$B$5001,P$206,BD!$A$3:$A$5001,_xlfn.MAXIFS(BD!$A$3:$A$5001,BD!$B$3:$B$5001,P$206,BD!$A$3:$A$5001,"&gt;="&amp;$C$7,BD!$A$3:$A$5001,"&lt;="&amp;$B230,BD!$W$3:$W$5001,"&lt;&gt;"))))</f>
        <v/>
      </c>
      <c r="Q230" s="43" t="str">
        <f>IF(OR($B230="",$A230&gt;$B$9,Q$206=""),"",IF(COUNTIFS(BD!$B$3:$B$5001,Q$206,BD!$A$3:$A$5001,"&gt;="&amp;$C$7,BD!$A$3:$A$5001,"&lt;="&amp;$B230,BD!$W$3:$W$5001,"&lt;&gt;")=0,"",SUMIFS(BD!$W$3:$W$5001,BD!$B$3:$B$5001,Q$206,BD!$A$3:$A$5001,_xlfn.MAXIFS(BD!$A$3:$A$5001,BD!$B$3:$B$5001,Q$206,BD!$A$3:$A$5001,"&gt;="&amp;$C$7,BD!$A$3:$A$5001,"&lt;="&amp;$B230,BD!$W$3:$W$5001,"&lt;&gt;"))))</f>
        <v/>
      </c>
      <c r="R230" s="43" t="str">
        <f>IF(OR($B230="",$A230&gt;$B$9,R$206=""),"",IF(COUNTIFS(BD!$B$3:$B$5001,R$206,BD!$A$3:$A$5001,"&gt;="&amp;$C$7,BD!$A$3:$A$5001,"&lt;="&amp;$B230,BD!$W$3:$W$5001,"&lt;&gt;")=0,"",SUMIFS(BD!$W$3:$W$5001,BD!$B$3:$B$5001,R$206,BD!$A$3:$A$5001,_xlfn.MAXIFS(BD!$A$3:$A$5001,BD!$B$3:$B$5001,R$206,BD!$A$3:$A$5001,"&gt;="&amp;$C$7,BD!$A$3:$A$5001,"&lt;="&amp;$B230,BD!$W$3:$W$5001,"&lt;&gt;"))))</f>
        <v/>
      </c>
      <c r="S230" s="43" t="str">
        <f>IF(OR($B230="",$A230&gt;$B$9,S$206=""),"",IF(COUNTIFS(BD!$B$3:$B$5001,S$206,BD!$A$3:$A$5001,"&gt;="&amp;$C$7,BD!$A$3:$A$5001,"&lt;="&amp;$B230,BD!$W$3:$W$5001,"&lt;&gt;")=0,"",SUMIFS(BD!$W$3:$W$5001,BD!$B$3:$B$5001,S$206,BD!$A$3:$A$5001,_xlfn.MAXIFS(BD!$A$3:$A$5001,BD!$B$3:$B$5001,S$206,BD!$A$3:$A$5001,"&gt;="&amp;$C$7,BD!$A$3:$A$5001,"&lt;="&amp;$B230,BD!$W$3:$W$5001,"&lt;&gt;"))))</f>
        <v/>
      </c>
      <c r="T230" s="43" t="str">
        <f>IF(OR($B230="",$A230&gt;$B$9,T$206=""),"",IF(COUNTIFS(BD!$B$3:$B$5001,T$206,BD!$A$3:$A$5001,"&gt;="&amp;$C$7,BD!$A$3:$A$5001,"&lt;="&amp;$B230,BD!$W$3:$W$5001,"&lt;&gt;")=0,"",SUMIFS(BD!$W$3:$W$5001,BD!$B$3:$B$5001,T$206,BD!$A$3:$A$5001,_xlfn.MAXIFS(BD!$A$3:$A$5001,BD!$B$3:$B$5001,T$206,BD!$A$3:$A$5001,"&gt;="&amp;$C$7,BD!$A$3:$A$5001,"&lt;="&amp;$B230,BD!$W$3:$W$5001,"&lt;&gt;"))))</f>
        <v/>
      </c>
      <c r="U230" s="43" t="str">
        <f>IF(OR($B230="",$A230&gt;$B$9,U$206=""),"",IF(COUNTIFS(BD!$B$3:$B$5001,U$206,BD!$A$3:$A$5001,"&gt;="&amp;$C$7,BD!$A$3:$A$5001,"&lt;="&amp;$B230,BD!$W$3:$W$5001,"&lt;&gt;")=0,"",SUMIFS(BD!$W$3:$W$5001,BD!$B$3:$B$5001,U$206,BD!$A$3:$A$5001,_xlfn.MAXIFS(BD!$A$3:$A$5001,BD!$B$3:$B$5001,U$206,BD!$A$3:$A$5001,"&gt;="&amp;$C$7,BD!$A$3:$A$5001,"&lt;="&amp;$B230,BD!$W$3:$W$5001,"&lt;&gt;"))))</f>
        <v/>
      </c>
      <c r="V230" s="43" t="str">
        <f>IF(OR($B230="",$A230&gt;$B$9,V$206=""),"",IF(COUNTIFS(BD!$B$3:$B$5001,V$206,BD!$A$3:$A$5001,"&gt;="&amp;$C$7,BD!$A$3:$A$5001,"&lt;="&amp;$B230,BD!$W$3:$W$5001,"&lt;&gt;")=0,"",SUMIFS(BD!$W$3:$W$5001,BD!$B$3:$B$5001,V$206,BD!$A$3:$A$5001,_xlfn.MAXIFS(BD!$A$3:$A$5001,BD!$B$3:$B$5001,V$206,BD!$A$3:$A$5001,"&gt;="&amp;$C$7,BD!$A$3:$A$5001,"&lt;="&amp;$B230,BD!$W$3:$W$5001,"&lt;&gt;"))))</f>
        <v/>
      </c>
    </row>
    <row r="231">
      <c r="A231" s="38">
        <v>25</v>
      </c>
      <c r="B231" s="42">
        <f>$B$36</f>
        <v>46320</v>
      </c>
      <c r="C231" s="43" t="str">
        <f>IF(OR($B231="",$A231&gt;$B$9,C$206=""),"",IF(COUNTIFS(BD!$B$3:$B$5001,C$206,BD!$A$3:$A$5001,"&gt;="&amp;$C$7,BD!$A$3:$A$5001,"&lt;="&amp;$B231,BD!$W$3:$W$5001,"&lt;&gt;")=0,"",SUMIFS(BD!$W$3:$W$5001,BD!$B$3:$B$5001,C$206,BD!$A$3:$A$5001,_xlfn.MAXIFS(BD!$A$3:$A$5001,BD!$B$3:$B$5001,C$206,BD!$A$3:$A$5001,"&gt;="&amp;$C$7,BD!$A$3:$A$5001,"&lt;="&amp;$B231,BD!$W$3:$W$5001,"&lt;&gt;"))))</f>
        <v/>
      </c>
      <c r="D231" s="43" t="str">
        <f>IF(OR($B231="",$A231&gt;$B$9,D$206=""),"",IF(COUNTIFS(BD!$B$3:$B$5001,D$206,BD!$A$3:$A$5001,"&gt;="&amp;$C$7,BD!$A$3:$A$5001,"&lt;="&amp;$B231,BD!$W$3:$W$5001,"&lt;&gt;")=0,"",SUMIFS(BD!$W$3:$W$5001,BD!$B$3:$B$5001,D$206,BD!$A$3:$A$5001,_xlfn.MAXIFS(BD!$A$3:$A$5001,BD!$B$3:$B$5001,D$206,BD!$A$3:$A$5001,"&gt;="&amp;$C$7,BD!$A$3:$A$5001,"&lt;="&amp;$B231,BD!$W$3:$W$5001,"&lt;&gt;"))))</f>
        <v/>
      </c>
      <c r="E231" s="43" t="str">
        <f>IF(OR($B231="",$A231&gt;$B$9,E$206=""),"",IF(COUNTIFS(BD!$B$3:$B$5001,E$206,BD!$A$3:$A$5001,"&gt;="&amp;$C$7,BD!$A$3:$A$5001,"&lt;="&amp;$B231,BD!$W$3:$W$5001,"&lt;&gt;")=0,"",SUMIFS(BD!$W$3:$W$5001,BD!$B$3:$B$5001,E$206,BD!$A$3:$A$5001,_xlfn.MAXIFS(BD!$A$3:$A$5001,BD!$B$3:$B$5001,E$206,BD!$A$3:$A$5001,"&gt;="&amp;$C$7,BD!$A$3:$A$5001,"&lt;="&amp;$B231,BD!$W$3:$W$5001,"&lt;&gt;"))))</f>
        <v/>
      </c>
      <c r="F231" s="43" t="str">
        <f>IF(OR($B231="",$A231&gt;$B$9,F$206=""),"",IF(COUNTIFS(BD!$B$3:$B$5001,F$206,BD!$A$3:$A$5001,"&gt;="&amp;$C$7,BD!$A$3:$A$5001,"&lt;="&amp;$B231,BD!$W$3:$W$5001,"&lt;&gt;")=0,"",SUMIFS(BD!$W$3:$W$5001,BD!$B$3:$B$5001,F$206,BD!$A$3:$A$5001,_xlfn.MAXIFS(BD!$A$3:$A$5001,BD!$B$3:$B$5001,F$206,BD!$A$3:$A$5001,"&gt;="&amp;$C$7,BD!$A$3:$A$5001,"&lt;="&amp;$B231,BD!$W$3:$W$5001,"&lt;&gt;"))))</f>
        <v/>
      </c>
      <c r="G231" s="43" t="str">
        <f>IF(OR($B231="",$A231&gt;$B$9,G$206=""),"",IF(COUNTIFS(BD!$B$3:$B$5001,G$206,BD!$A$3:$A$5001,"&gt;="&amp;$C$7,BD!$A$3:$A$5001,"&lt;="&amp;$B231,BD!$W$3:$W$5001,"&lt;&gt;")=0,"",SUMIFS(BD!$W$3:$W$5001,BD!$B$3:$B$5001,G$206,BD!$A$3:$A$5001,_xlfn.MAXIFS(BD!$A$3:$A$5001,BD!$B$3:$B$5001,G$206,BD!$A$3:$A$5001,"&gt;="&amp;$C$7,BD!$A$3:$A$5001,"&lt;="&amp;$B231,BD!$W$3:$W$5001,"&lt;&gt;"))))</f>
        <v/>
      </c>
      <c r="H231" s="43" t="str">
        <f>IF(OR($B231="",$A231&gt;$B$9,H$206=""),"",IF(COUNTIFS(BD!$B$3:$B$5001,H$206,BD!$A$3:$A$5001,"&gt;="&amp;$C$7,BD!$A$3:$A$5001,"&lt;="&amp;$B231,BD!$W$3:$W$5001,"&lt;&gt;")=0,"",SUMIFS(BD!$W$3:$W$5001,BD!$B$3:$B$5001,H$206,BD!$A$3:$A$5001,_xlfn.MAXIFS(BD!$A$3:$A$5001,BD!$B$3:$B$5001,H$206,BD!$A$3:$A$5001,"&gt;="&amp;$C$7,BD!$A$3:$A$5001,"&lt;="&amp;$B231,BD!$W$3:$W$5001,"&lt;&gt;"))))</f>
        <v/>
      </c>
      <c r="I231" s="43" t="str">
        <f>IF(OR($B231="",$A231&gt;$B$9,I$206=""),"",IF(COUNTIFS(BD!$B$3:$B$5001,I$206,BD!$A$3:$A$5001,"&gt;="&amp;$C$7,BD!$A$3:$A$5001,"&lt;="&amp;$B231,BD!$W$3:$W$5001,"&lt;&gt;")=0,"",SUMIFS(BD!$W$3:$W$5001,BD!$B$3:$B$5001,I$206,BD!$A$3:$A$5001,_xlfn.MAXIFS(BD!$A$3:$A$5001,BD!$B$3:$B$5001,I$206,BD!$A$3:$A$5001,"&gt;="&amp;$C$7,BD!$A$3:$A$5001,"&lt;="&amp;$B231,BD!$W$3:$W$5001,"&lt;&gt;"))))</f>
        <v/>
      </c>
      <c r="J231" s="43" t="str">
        <f>IF(OR($B231="",$A231&gt;$B$9,J$206=""),"",IF(COUNTIFS(BD!$B$3:$B$5001,J$206,BD!$A$3:$A$5001,"&gt;="&amp;$C$7,BD!$A$3:$A$5001,"&lt;="&amp;$B231,BD!$W$3:$W$5001,"&lt;&gt;")=0,"",SUMIFS(BD!$W$3:$W$5001,BD!$B$3:$B$5001,J$206,BD!$A$3:$A$5001,_xlfn.MAXIFS(BD!$A$3:$A$5001,BD!$B$3:$B$5001,J$206,BD!$A$3:$A$5001,"&gt;="&amp;$C$7,BD!$A$3:$A$5001,"&lt;="&amp;$B231,BD!$W$3:$W$5001,"&lt;&gt;"))))</f>
        <v/>
      </c>
      <c r="K231" s="43" t="str">
        <f>IF(OR($B231="",$A231&gt;$B$9,K$206=""),"",IF(COUNTIFS(BD!$B$3:$B$5001,K$206,BD!$A$3:$A$5001,"&gt;="&amp;$C$7,BD!$A$3:$A$5001,"&lt;="&amp;$B231,BD!$W$3:$W$5001,"&lt;&gt;")=0,"",SUMIFS(BD!$W$3:$W$5001,BD!$B$3:$B$5001,K$206,BD!$A$3:$A$5001,_xlfn.MAXIFS(BD!$A$3:$A$5001,BD!$B$3:$B$5001,K$206,BD!$A$3:$A$5001,"&gt;="&amp;$C$7,BD!$A$3:$A$5001,"&lt;="&amp;$B231,BD!$W$3:$W$5001,"&lt;&gt;"))))</f>
        <v/>
      </c>
      <c r="L231" s="43" t="str">
        <f>IF(OR($B231="",$A231&gt;$B$9,L$206=""),"",IF(COUNTIFS(BD!$B$3:$B$5001,L$206,BD!$A$3:$A$5001,"&gt;="&amp;$C$7,BD!$A$3:$A$5001,"&lt;="&amp;$B231,BD!$W$3:$W$5001,"&lt;&gt;")=0,"",SUMIFS(BD!$W$3:$W$5001,BD!$B$3:$B$5001,L$206,BD!$A$3:$A$5001,_xlfn.MAXIFS(BD!$A$3:$A$5001,BD!$B$3:$B$5001,L$206,BD!$A$3:$A$5001,"&gt;="&amp;$C$7,BD!$A$3:$A$5001,"&lt;="&amp;$B231,BD!$W$3:$W$5001,"&lt;&gt;"))))</f>
        <v/>
      </c>
      <c r="M231" s="43" t="str">
        <f>IF(OR($B231="",$A231&gt;$B$9,M$206=""),"",IF(COUNTIFS(BD!$B$3:$B$5001,M$206,BD!$A$3:$A$5001,"&gt;="&amp;$C$7,BD!$A$3:$A$5001,"&lt;="&amp;$B231,BD!$W$3:$W$5001,"&lt;&gt;")=0,"",SUMIFS(BD!$W$3:$W$5001,BD!$B$3:$B$5001,M$206,BD!$A$3:$A$5001,_xlfn.MAXIFS(BD!$A$3:$A$5001,BD!$B$3:$B$5001,M$206,BD!$A$3:$A$5001,"&gt;="&amp;$C$7,BD!$A$3:$A$5001,"&lt;="&amp;$B231,BD!$W$3:$W$5001,"&lt;&gt;"))))</f>
        <v/>
      </c>
      <c r="N231" s="43" t="str">
        <f>IF(OR($B231="",$A231&gt;$B$9,N$206=""),"",IF(COUNTIFS(BD!$B$3:$B$5001,N$206,BD!$A$3:$A$5001,"&gt;="&amp;$C$7,BD!$A$3:$A$5001,"&lt;="&amp;$B231,BD!$W$3:$W$5001,"&lt;&gt;")=0,"",SUMIFS(BD!$W$3:$W$5001,BD!$B$3:$B$5001,N$206,BD!$A$3:$A$5001,_xlfn.MAXIFS(BD!$A$3:$A$5001,BD!$B$3:$B$5001,N$206,BD!$A$3:$A$5001,"&gt;="&amp;$C$7,BD!$A$3:$A$5001,"&lt;="&amp;$B231,BD!$W$3:$W$5001,"&lt;&gt;"))))</f>
        <v/>
      </c>
      <c r="O231" s="43" t="str">
        <f>IF(OR($B231="",$A231&gt;$B$9,O$206=""),"",IF(COUNTIFS(BD!$B$3:$B$5001,O$206,BD!$A$3:$A$5001,"&gt;="&amp;$C$7,BD!$A$3:$A$5001,"&lt;="&amp;$B231,BD!$W$3:$W$5001,"&lt;&gt;")=0,"",SUMIFS(BD!$W$3:$W$5001,BD!$B$3:$B$5001,O$206,BD!$A$3:$A$5001,_xlfn.MAXIFS(BD!$A$3:$A$5001,BD!$B$3:$B$5001,O$206,BD!$A$3:$A$5001,"&gt;="&amp;$C$7,BD!$A$3:$A$5001,"&lt;="&amp;$B231,BD!$W$3:$W$5001,"&lt;&gt;"))))</f>
        <v/>
      </c>
      <c r="P231" s="43" t="str">
        <f>IF(OR($B231="",$A231&gt;$B$9,P$206=""),"",IF(COUNTIFS(BD!$B$3:$B$5001,P$206,BD!$A$3:$A$5001,"&gt;="&amp;$C$7,BD!$A$3:$A$5001,"&lt;="&amp;$B231,BD!$W$3:$W$5001,"&lt;&gt;")=0,"",SUMIFS(BD!$W$3:$W$5001,BD!$B$3:$B$5001,P$206,BD!$A$3:$A$5001,_xlfn.MAXIFS(BD!$A$3:$A$5001,BD!$B$3:$B$5001,P$206,BD!$A$3:$A$5001,"&gt;="&amp;$C$7,BD!$A$3:$A$5001,"&lt;="&amp;$B231,BD!$W$3:$W$5001,"&lt;&gt;"))))</f>
        <v/>
      </c>
      <c r="Q231" s="43" t="str">
        <f>IF(OR($B231="",$A231&gt;$B$9,Q$206=""),"",IF(COUNTIFS(BD!$B$3:$B$5001,Q$206,BD!$A$3:$A$5001,"&gt;="&amp;$C$7,BD!$A$3:$A$5001,"&lt;="&amp;$B231,BD!$W$3:$W$5001,"&lt;&gt;")=0,"",SUMIFS(BD!$W$3:$W$5001,BD!$B$3:$B$5001,Q$206,BD!$A$3:$A$5001,_xlfn.MAXIFS(BD!$A$3:$A$5001,BD!$B$3:$B$5001,Q$206,BD!$A$3:$A$5001,"&gt;="&amp;$C$7,BD!$A$3:$A$5001,"&lt;="&amp;$B231,BD!$W$3:$W$5001,"&lt;&gt;"))))</f>
        <v/>
      </c>
      <c r="R231" s="43" t="str">
        <f>IF(OR($B231="",$A231&gt;$B$9,R$206=""),"",IF(COUNTIFS(BD!$B$3:$B$5001,R$206,BD!$A$3:$A$5001,"&gt;="&amp;$C$7,BD!$A$3:$A$5001,"&lt;="&amp;$B231,BD!$W$3:$W$5001,"&lt;&gt;")=0,"",SUMIFS(BD!$W$3:$W$5001,BD!$B$3:$B$5001,R$206,BD!$A$3:$A$5001,_xlfn.MAXIFS(BD!$A$3:$A$5001,BD!$B$3:$B$5001,R$206,BD!$A$3:$A$5001,"&gt;="&amp;$C$7,BD!$A$3:$A$5001,"&lt;="&amp;$B231,BD!$W$3:$W$5001,"&lt;&gt;"))))</f>
        <v/>
      </c>
      <c r="S231" s="43" t="str">
        <f>IF(OR($B231="",$A231&gt;$B$9,S$206=""),"",IF(COUNTIFS(BD!$B$3:$B$5001,S$206,BD!$A$3:$A$5001,"&gt;="&amp;$C$7,BD!$A$3:$A$5001,"&lt;="&amp;$B231,BD!$W$3:$W$5001,"&lt;&gt;")=0,"",SUMIFS(BD!$W$3:$W$5001,BD!$B$3:$B$5001,S$206,BD!$A$3:$A$5001,_xlfn.MAXIFS(BD!$A$3:$A$5001,BD!$B$3:$B$5001,S$206,BD!$A$3:$A$5001,"&gt;="&amp;$C$7,BD!$A$3:$A$5001,"&lt;="&amp;$B231,BD!$W$3:$W$5001,"&lt;&gt;"))))</f>
        <v/>
      </c>
      <c r="T231" s="43" t="str">
        <f>IF(OR($B231="",$A231&gt;$B$9,T$206=""),"",IF(COUNTIFS(BD!$B$3:$B$5001,T$206,BD!$A$3:$A$5001,"&gt;="&amp;$C$7,BD!$A$3:$A$5001,"&lt;="&amp;$B231,BD!$W$3:$W$5001,"&lt;&gt;")=0,"",SUMIFS(BD!$W$3:$W$5001,BD!$B$3:$B$5001,T$206,BD!$A$3:$A$5001,_xlfn.MAXIFS(BD!$A$3:$A$5001,BD!$B$3:$B$5001,T$206,BD!$A$3:$A$5001,"&gt;="&amp;$C$7,BD!$A$3:$A$5001,"&lt;="&amp;$B231,BD!$W$3:$W$5001,"&lt;&gt;"))))</f>
        <v/>
      </c>
      <c r="U231" s="43" t="str">
        <f>IF(OR($B231="",$A231&gt;$B$9,U$206=""),"",IF(COUNTIFS(BD!$B$3:$B$5001,U$206,BD!$A$3:$A$5001,"&gt;="&amp;$C$7,BD!$A$3:$A$5001,"&lt;="&amp;$B231,BD!$W$3:$W$5001,"&lt;&gt;")=0,"",SUMIFS(BD!$W$3:$W$5001,BD!$B$3:$B$5001,U$206,BD!$A$3:$A$5001,_xlfn.MAXIFS(BD!$A$3:$A$5001,BD!$B$3:$B$5001,U$206,BD!$A$3:$A$5001,"&gt;="&amp;$C$7,BD!$A$3:$A$5001,"&lt;="&amp;$B231,BD!$W$3:$W$5001,"&lt;&gt;"))))</f>
        <v/>
      </c>
      <c r="V231" s="43" t="str">
        <f>IF(OR($B231="",$A231&gt;$B$9,V$206=""),"",IF(COUNTIFS(BD!$B$3:$B$5001,V$206,BD!$A$3:$A$5001,"&gt;="&amp;$C$7,BD!$A$3:$A$5001,"&lt;="&amp;$B231,BD!$W$3:$W$5001,"&lt;&gt;")=0,"",SUMIFS(BD!$W$3:$W$5001,BD!$B$3:$B$5001,V$206,BD!$A$3:$A$5001,_xlfn.MAXIFS(BD!$A$3:$A$5001,BD!$B$3:$B$5001,V$206,BD!$A$3:$A$5001,"&gt;="&amp;$C$7,BD!$A$3:$A$5001,"&lt;="&amp;$B231,BD!$W$3:$W$5001,"&lt;&gt;"))))</f>
        <v/>
      </c>
    </row>
    <row r="232">
      <c r="A232" s="38">
        <v>26</v>
      </c>
      <c r="B232" s="42">
        <f>$B$37</f>
        <v>46321</v>
      </c>
      <c r="C232" s="43" t="str">
        <f>IF(OR($B232="",$A232&gt;$B$9,C$206=""),"",IF(COUNTIFS(BD!$B$3:$B$5001,C$206,BD!$A$3:$A$5001,"&gt;="&amp;$C$7,BD!$A$3:$A$5001,"&lt;="&amp;$B232,BD!$W$3:$W$5001,"&lt;&gt;")=0,"",SUMIFS(BD!$W$3:$W$5001,BD!$B$3:$B$5001,C$206,BD!$A$3:$A$5001,_xlfn.MAXIFS(BD!$A$3:$A$5001,BD!$B$3:$B$5001,C$206,BD!$A$3:$A$5001,"&gt;="&amp;$C$7,BD!$A$3:$A$5001,"&lt;="&amp;$B232,BD!$W$3:$W$5001,"&lt;&gt;"))))</f>
        <v/>
      </c>
      <c r="D232" s="43" t="str">
        <f>IF(OR($B232="",$A232&gt;$B$9,D$206=""),"",IF(COUNTIFS(BD!$B$3:$B$5001,D$206,BD!$A$3:$A$5001,"&gt;="&amp;$C$7,BD!$A$3:$A$5001,"&lt;="&amp;$B232,BD!$W$3:$W$5001,"&lt;&gt;")=0,"",SUMIFS(BD!$W$3:$W$5001,BD!$B$3:$B$5001,D$206,BD!$A$3:$A$5001,_xlfn.MAXIFS(BD!$A$3:$A$5001,BD!$B$3:$B$5001,D$206,BD!$A$3:$A$5001,"&gt;="&amp;$C$7,BD!$A$3:$A$5001,"&lt;="&amp;$B232,BD!$W$3:$W$5001,"&lt;&gt;"))))</f>
        <v/>
      </c>
      <c r="E232" s="43" t="str">
        <f>IF(OR($B232="",$A232&gt;$B$9,E$206=""),"",IF(COUNTIFS(BD!$B$3:$B$5001,E$206,BD!$A$3:$A$5001,"&gt;="&amp;$C$7,BD!$A$3:$A$5001,"&lt;="&amp;$B232,BD!$W$3:$W$5001,"&lt;&gt;")=0,"",SUMIFS(BD!$W$3:$W$5001,BD!$B$3:$B$5001,E$206,BD!$A$3:$A$5001,_xlfn.MAXIFS(BD!$A$3:$A$5001,BD!$B$3:$B$5001,E$206,BD!$A$3:$A$5001,"&gt;="&amp;$C$7,BD!$A$3:$A$5001,"&lt;="&amp;$B232,BD!$W$3:$W$5001,"&lt;&gt;"))))</f>
        <v/>
      </c>
      <c r="F232" s="43" t="str">
        <f>IF(OR($B232="",$A232&gt;$B$9,F$206=""),"",IF(COUNTIFS(BD!$B$3:$B$5001,F$206,BD!$A$3:$A$5001,"&gt;="&amp;$C$7,BD!$A$3:$A$5001,"&lt;="&amp;$B232,BD!$W$3:$W$5001,"&lt;&gt;")=0,"",SUMIFS(BD!$W$3:$W$5001,BD!$B$3:$B$5001,F$206,BD!$A$3:$A$5001,_xlfn.MAXIFS(BD!$A$3:$A$5001,BD!$B$3:$B$5001,F$206,BD!$A$3:$A$5001,"&gt;="&amp;$C$7,BD!$A$3:$A$5001,"&lt;="&amp;$B232,BD!$W$3:$W$5001,"&lt;&gt;"))))</f>
        <v/>
      </c>
      <c r="G232" s="43" t="str">
        <f>IF(OR($B232="",$A232&gt;$B$9,G$206=""),"",IF(COUNTIFS(BD!$B$3:$B$5001,G$206,BD!$A$3:$A$5001,"&gt;="&amp;$C$7,BD!$A$3:$A$5001,"&lt;="&amp;$B232,BD!$W$3:$W$5001,"&lt;&gt;")=0,"",SUMIFS(BD!$W$3:$W$5001,BD!$B$3:$B$5001,G$206,BD!$A$3:$A$5001,_xlfn.MAXIFS(BD!$A$3:$A$5001,BD!$B$3:$B$5001,G$206,BD!$A$3:$A$5001,"&gt;="&amp;$C$7,BD!$A$3:$A$5001,"&lt;="&amp;$B232,BD!$W$3:$W$5001,"&lt;&gt;"))))</f>
        <v/>
      </c>
      <c r="H232" s="43" t="str">
        <f>IF(OR($B232="",$A232&gt;$B$9,H$206=""),"",IF(COUNTIFS(BD!$B$3:$B$5001,H$206,BD!$A$3:$A$5001,"&gt;="&amp;$C$7,BD!$A$3:$A$5001,"&lt;="&amp;$B232,BD!$W$3:$W$5001,"&lt;&gt;")=0,"",SUMIFS(BD!$W$3:$W$5001,BD!$B$3:$B$5001,H$206,BD!$A$3:$A$5001,_xlfn.MAXIFS(BD!$A$3:$A$5001,BD!$B$3:$B$5001,H$206,BD!$A$3:$A$5001,"&gt;="&amp;$C$7,BD!$A$3:$A$5001,"&lt;="&amp;$B232,BD!$W$3:$W$5001,"&lt;&gt;"))))</f>
        <v/>
      </c>
      <c r="I232" s="43" t="str">
        <f>IF(OR($B232="",$A232&gt;$B$9,I$206=""),"",IF(COUNTIFS(BD!$B$3:$B$5001,I$206,BD!$A$3:$A$5001,"&gt;="&amp;$C$7,BD!$A$3:$A$5001,"&lt;="&amp;$B232,BD!$W$3:$W$5001,"&lt;&gt;")=0,"",SUMIFS(BD!$W$3:$W$5001,BD!$B$3:$B$5001,I$206,BD!$A$3:$A$5001,_xlfn.MAXIFS(BD!$A$3:$A$5001,BD!$B$3:$B$5001,I$206,BD!$A$3:$A$5001,"&gt;="&amp;$C$7,BD!$A$3:$A$5001,"&lt;="&amp;$B232,BD!$W$3:$W$5001,"&lt;&gt;"))))</f>
        <v/>
      </c>
      <c r="J232" s="43" t="str">
        <f>IF(OR($B232="",$A232&gt;$B$9,J$206=""),"",IF(COUNTIFS(BD!$B$3:$B$5001,J$206,BD!$A$3:$A$5001,"&gt;="&amp;$C$7,BD!$A$3:$A$5001,"&lt;="&amp;$B232,BD!$W$3:$W$5001,"&lt;&gt;")=0,"",SUMIFS(BD!$W$3:$W$5001,BD!$B$3:$B$5001,J$206,BD!$A$3:$A$5001,_xlfn.MAXIFS(BD!$A$3:$A$5001,BD!$B$3:$B$5001,J$206,BD!$A$3:$A$5001,"&gt;="&amp;$C$7,BD!$A$3:$A$5001,"&lt;="&amp;$B232,BD!$W$3:$W$5001,"&lt;&gt;"))))</f>
        <v/>
      </c>
      <c r="K232" s="43" t="str">
        <f>IF(OR($B232="",$A232&gt;$B$9,K$206=""),"",IF(COUNTIFS(BD!$B$3:$B$5001,K$206,BD!$A$3:$A$5001,"&gt;="&amp;$C$7,BD!$A$3:$A$5001,"&lt;="&amp;$B232,BD!$W$3:$W$5001,"&lt;&gt;")=0,"",SUMIFS(BD!$W$3:$W$5001,BD!$B$3:$B$5001,K$206,BD!$A$3:$A$5001,_xlfn.MAXIFS(BD!$A$3:$A$5001,BD!$B$3:$B$5001,K$206,BD!$A$3:$A$5001,"&gt;="&amp;$C$7,BD!$A$3:$A$5001,"&lt;="&amp;$B232,BD!$W$3:$W$5001,"&lt;&gt;"))))</f>
        <v/>
      </c>
      <c r="L232" s="43" t="str">
        <f>IF(OR($B232="",$A232&gt;$B$9,L$206=""),"",IF(COUNTIFS(BD!$B$3:$B$5001,L$206,BD!$A$3:$A$5001,"&gt;="&amp;$C$7,BD!$A$3:$A$5001,"&lt;="&amp;$B232,BD!$W$3:$W$5001,"&lt;&gt;")=0,"",SUMIFS(BD!$W$3:$W$5001,BD!$B$3:$B$5001,L$206,BD!$A$3:$A$5001,_xlfn.MAXIFS(BD!$A$3:$A$5001,BD!$B$3:$B$5001,L$206,BD!$A$3:$A$5001,"&gt;="&amp;$C$7,BD!$A$3:$A$5001,"&lt;="&amp;$B232,BD!$W$3:$W$5001,"&lt;&gt;"))))</f>
        <v/>
      </c>
      <c r="M232" s="43" t="str">
        <f>IF(OR($B232="",$A232&gt;$B$9,M$206=""),"",IF(COUNTIFS(BD!$B$3:$B$5001,M$206,BD!$A$3:$A$5001,"&gt;="&amp;$C$7,BD!$A$3:$A$5001,"&lt;="&amp;$B232,BD!$W$3:$W$5001,"&lt;&gt;")=0,"",SUMIFS(BD!$W$3:$W$5001,BD!$B$3:$B$5001,M$206,BD!$A$3:$A$5001,_xlfn.MAXIFS(BD!$A$3:$A$5001,BD!$B$3:$B$5001,M$206,BD!$A$3:$A$5001,"&gt;="&amp;$C$7,BD!$A$3:$A$5001,"&lt;="&amp;$B232,BD!$W$3:$W$5001,"&lt;&gt;"))))</f>
        <v/>
      </c>
      <c r="N232" s="43" t="str">
        <f>IF(OR($B232="",$A232&gt;$B$9,N$206=""),"",IF(COUNTIFS(BD!$B$3:$B$5001,N$206,BD!$A$3:$A$5001,"&gt;="&amp;$C$7,BD!$A$3:$A$5001,"&lt;="&amp;$B232,BD!$W$3:$W$5001,"&lt;&gt;")=0,"",SUMIFS(BD!$W$3:$W$5001,BD!$B$3:$B$5001,N$206,BD!$A$3:$A$5001,_xlfn.MAXIFS(BD!$A$3:$A$5001,BD!$B$3:$B$5001,N$206,BD!$A$3:$A$5001,"&gt;="&amp;$C$7,BD!$A$3:$A$5001,"&lt;="&amp;$B232,BD!$W$3:$W$5001,"&lt;&gt;"))))</f>
        <v/>
      </c>
      <c r="O232" s="43" t="str">
        <f>IF(OR($B232="",$A232&gt;$B$9,O$206=""),"",IF(COUNTIFS(BD!$B$3:$B$5001,O$206,BD!$A$3:$A$5001,"&gt;="&amp;$C$7,BD!$A$3:$A$5001,"&lt;="&amp;$B232,BD!$W$3:$W$5001,"&lt;&gt;")=0,"",SUMIFS(BD!$W$3:$W$5001,BD!$B$3:$B$5001,O$206,BD!$A$3:$A$5001,_xlfn.MAXIFS(BD!$A$3:$A$5001,BD!$B$3:$B$5001,O$206,BD!$A$3:$A$5001,"&gt;="&amp;$C$7,BD!$A$3:$A$5001,"&lt;="&amp;$B232,BD!$W$3:$W$5001,"&lt;&gt;"))))</f>
        <v/>
      </c>
      <c r="P232" s="43" t="str">
        <f>IF(OR($B232="",$A232&gt;$B$9,P$206=""),"",IF(COUNTIFS(BD!$B$3:$B$5001,P$206,BD!$A$3:$A$5001,"&gt;="&amp;$C$7,BD!$A$3:$A$5001,"&lt;="&amp;$B232,BD!$W$3:$W$5001,"&lt;&gt;")=0,"",SUMIFS(BD!$W$3:$W$5001,BD!$B$3:$B$5001,P$206,BD!$A$3:$A$5001,_xlfn.MAXIFS(BD!$A$3:$A$5001,BD!$B$3:$B$5001,P$206,BD!$A$3:$A$5001,"&gt;="&amp;$C$7,BD!$A$3:$A$5001,"&lt;="&amp;$B232,BD!$W$3:$W$5001,"&lt;&gt;"))))</f>
        <v/>
      </c>
      <c r="Q232" s="43" t="str">
        <f>IF(OR($B232="",$A232&gt;$B$9,Q$206=""),"",IF(COUNTIFS(BD!$B$3:$B$5001,Q$206,BD!$A$3:$A$5001,"&gt;="&amp;$C$7,BD!$A$3:$A$5001,"&lt;="&amp;$B232,BD!$W$3:$W$5001,"&lt;&gt;")=0,"",SUMIFS(BD!$W$3:$W$5001,BD!$B$3:$B$5001,Q$206,BD!$A$3:$A$5001,_xlfn.MAXIFS(BD!$A$3:$A$5001,BD!$B$3:$B$5001,Q$206,BD!$A$3:$A$5001,"&gt;="&amp;$C$7,BD!$A$3:$A$5001,"&lt;="&amp;$B232,BD!$W$3:$W$5001,"&lt;&gt;"))))</f>
        <v/>
      </c>
      <c r="R232" s="43" t="str">
        <f>IF(OR($B232="",$A232&gt;$B$9,R$206=""),"",IF(COUNTIFS(BD!$B$3:$B$5001,R$206,BD!$A$3:$A$5001,"&gt;="&amp;$C$7,BD!$A$3:$A$5001,"&lt;="&amp;$B232,BD!$W$3:$W$5001,"&lt;&gt;")=0,"",SUMIFS(BD!$W$3:$W$5001,BD!$B$3:$B$5001,R$206,BD!$A$3:$A$5001,_xlfn.MAXIFS(BD!$A$3:$A$5001,BD!$B$3:$B$5001,R$206,BD!$A$3:$A$5001,"&gt;="&amp;$C$7,BD!$A$3:$A$5001,"&lt;="&amp;$B232,BD!$W$3:$W$5001,"&lt;&gt;"))))</f>
        <v/>
      </c>
      <c r="S232" s="43" t="str">
        <f>IF(OR($B232="",$A232&gt;$B$9,S$206=""),"",IF(COUNTIFS(BD!$B$3:$B$5001,S$206,BD!$A$3:$A$5001,"&gt;="&amp;$C$7,BD!$A$3:$A$5001,"&lt;="&amp;$B232,BD!$W$3:$W$5001,"&lt;&gt;")=0,"",SUMIFS(BD!$W$3:$W$5001,BD!$B$3:$B$5001,S$206,BD!$A$3:$A$5001,_xlfn.MAXIFS(BD!$A$3:$A$5001,BD!$B$3:$B$5001,S$206,BD!$A$3:$A$5001,"&gt;="&amp;$C$7,BD!$A$3:$A$5001,"&lt;="&amp;$B232,BD!$W$3:$W$5001,"&lt;&gt;"))))</f>
        <v/>
      </c>
      <c r="T232" s="43" t="str">
        <f>IF(OR($B232="",$A232&gt;$B$9,T$206=""),"",IF(COUNTIFS(BD!$B$3:$B$5001,T$206,BD!$A$3:$A$5001,"&gt;="&amp;$C$7,BD!$A$3:$A$5001,"&lt;="&amp;$B232,BD!$W$3:$W$5001,"&lt;&gt;")=0,"",SUMIFS(BD!$W$3:$W$5001,BD!$B$3:$B$5001,T$206,BD!$A$3:$A$5001,_xlfn.MAXIFS(BD!$A$3:$A$5001,BD!$B$3:$B$5001,T$206,BD!$A$3:$A$5001,"&gt;="&amp;$C$7,BD!$A$3:$A$5001,"&lt;="&amp;$B232,BD!$W$3:$W$5001,"&lt;&gt;"))))</f>
        <v/>
      </c>
      <c r="U232" s="43" t="str">
        <f>IF(OR($B232="",$A232&gt;$B$9,U$206=""),"",IF(COUNTIFS(BD!$B$3:$B$5001,U$206,BD!$A$3:$A$5001,"&gt;="&amp;$C$7,BD!$A$3:$A$5001,"&lt;="&amp;$B232,BD!$W$3:$W$5001,"&lt;&gt;")=0,"",SUMIFS(BD!$W$3:$W$5001,BD!$B$3:$B$5001,U$206,BD!$A$3:$A$5001,_xlfn.MAXIFS(BD!$A$3:$A$5001,BD!$B$3:$B$5001,U$206,BD!$A$3:$A$5001,"&gt;="&amp;$C$7,BD!$A$3:$A$5001,"&lt;="&amp;$B232,BD!$W$3:$W$5001,"&lt;&gt;"))))</f>
        <v/>
      </c>
      <c r="V232" s="43" t="str">
        <f>IF(OR($B232="",$A232&gt;$B$9,V$206=""),"",IF(COUNTIFS(BD!$B$3:$B$5001,V$206,BD!$A$3:$A$5001,"&gt;="&amp;$C$7,BD!$A$3:$A$5001,"&lt;="&amp;$B232,BD!$W$3:$W$5001,"&lt;&gt;")=0,"",SUMIFS(BD!$W$3:$W$5001,BD!$B$3:$B$5001,V$206,BD!$A$3:$A$5001,_xlfn.MAXIFS(BD!$A$3:$A$5001,BD!$B$3:$B$5001,V$206,BD!$A$3:$A$5001,"&gt;="&amp;$C$7,BD!$A$3:$A$5001,"&lt;="&amp;$B232,BD!$W$3:$W$5001,"&lt;&gt;"))))</f>
        <v/>
      </c>
    </row>
    <row r="233">
      <c r="A233" s="38">
        <v>27</v>
      </c>
      <c r="B233" s="42">
        <f>$B$38</f>
        <v>46322</v>
      </c>
      <c r="C233" s="43" t="str">
        <f>IF(OR($B233="",$A233&gt;$B$9,C$206=""),"",IF(COUNTIFS(BD!$B$3:$B$5001,C$206,BD!$A$3:$A$5001,"&gt;="&amp;$C$7,BD!$A$3:$A$5001,"&lt;="&amp;$B233,BD!$W$3:$W$5001,"&lt;&gt;")=0,"",SUMIFS(BD!$W$3:$W$5001,BD!$B$3:$B$5001,C$206,BD!$A$3:$A$5001,_xlfn.MAXIFS(BD!$A$3:$A$5001,BD!$B$3:$B$5001,C$206,BD!$A$3:$A$5001,"&gt;="&amp;$C$7,BD!$A$3:$A$5001,"&lt;="&amp;$B233,BD!$W$3:$W$5001,"&lt;&gt;"))))</f>
        <v/>
      </c>
      <c r="D233" s="43" t="str">
        <f>IF(OR($B233="",$A233&gt;$B$9,D$206=""),"",IF(COUNTIFS(BD!$B$3:$B$5001,D$206,BD!$A$3:$A$5001,"&gt;="&amp;$C$7,BD!$A$3:$A$5001,"&lt;="&amp;$B233,BD!$W$3:$W$5001,"&lt;&gt;")=0,"",SUMIFS(BD!$W$3:$W$5001,BD!$B$3:$B$5001,D$206,BD!$A$3:$A$5001,_xlfn.MAXIFS(BD!$A$3:$A$5001,BD!$B$3:$B$5001,D$206,BD!$A$3:$A$5001,"&gt;="&amp;$C$7,BD!$A$3:$A$5001,"&lt;="&amp;$B233,BD!$W$3:$W$5001,"&lt;&gt;"))))</f>
        <v/>
      </c>
      <c r="E233" s="43" t="str">
        <f>IF(OR($B233="",$A233&gt;$B$9,E$206=""),"",IF(COUNTIFS(BD!$B$3:$B$5001,E$206,BD!$A$3:$A$5001,"&gt;="&amp;$C$7,BD!$A$3:$A$5001,"&lt;="&amp;$B233,BD!$W$3:$W$5001,"&lt;&gt;")=0,"",SUMIFS(BD!$W$3:$W$5001,BD!$B$3:$B$5001,E$206,BD!$A$3:$A$5001,_xlfn.MAXIFS(BD!$A$3:$A$5001,BD!$B$3:$B$5001,E$206,BD!$A$3:$A$5001,"&gt;="&amp;$C$7,BD!$A$3:$A$5001,"&lt;="&amp;$B233,BD!$W$3:$W$5001,"&lt;&gt;"))))</f>
        <v/>
      </c>
      <c r="F233" s="43" t="str">
        <f>IF(OR($B233="",$A233&gt;$B$9,F$206=""),"",IF(COUNTIFS(BD!$B$3:$B$5001,F$206,BD!$A$3:$A$5001,"&gt;="&amp;$C$7,BD!$A$3:$A$5001,"&lt;="&amp;$B233,BD!$W$3:$W$5001,"&lt;&gt;")=0,"",SUMIFS(BD!$W$3:$W$5001,BD!$B$3:$B$5001,F$206,BD!$A$3:$A$5001,_xlfn.MAXIFS(BD!$A$3:$A$5001,BD!$B$3:$B$5001,F$206,BD!$A$3:$A$5001,"&gt;="&amp;$C$7,BD!$A$3:$A$5001,"&lt;="&amp;$B233,BD!$W$3:$W$5001,"&lt;&gt;"))))</f>
        <v/>
      </c>
      <c r="G233" s="43" t="str">
        <f>IF(OR($B233="",$A233&gt;$B$9,G$206=""),"",IF(COUNTIFS(BD!$B$3:$B$5001,G$206,BD!$A$3:$A$5001,"&gt;="&amp;$C$7,BD!$A$3:$A$5001,"&lt;="&amp;$B233,BD!$W$3:$W$5001,"&lt;&gt;")=0,"",SUMIFS(BD!$W$3:$W$5001,BD!$B$3:$B$5001,G$206,BD!$A$3:$A$5001,_xlfn.MAXIFS(BD!$A$3:$A$5001,BD!$B$3:$B$5001,G$206,BD!$A$3:$A$5001,"&gt;="&amp;$C$7,BD!$A$3:$A$5001,"&lt;="&amp;$B233,BD!$W$3:$W$5001,"&lt;&gt;"))))</f>
        <v/>
      </c>
      <c r="H233" s="43" t="str">
        <f>IF(OR($B233="",$A233&gt;$B$9,H$206=""),"",IF(COUNTIFS(BD!$B$3:$B$5001,H$206,BD!$A$3:$A$5001,"&gt;="&amp;$C$7,BD!$A$3:$A$5001,"&lt;="&amp;$B233,BD!$W$3:$W$5001,"&lt;&gt;")=0,"",SUMIFS(BD!$W$3:$W$5001,BD!$B$3:$B$5001,H$206,BD!$A$3:$A$5001,_xlfn.MAXIFS(BD!$A$3:$A$5001,BD!$B$3:$B$5001,H$206,BD!$A$3:$A$5001,"&gt;="&amp;$C$7,BD!$A$3:$A$5001,"&lt;="&amp;$B233,BD!$W$3:$W$5001,"&lt;&gt;"))))</f>
        <v/>
      </c>
      <c r="I233" s="43" t="str">
        <f>IF(OR($B233="",$A233&gt;$B$9,I$206=""),"",IF(COUNTIFS(BD!$B$3:$B$5001,I$206,BD!$A$3:$A$5001,"&gt;="&amp;$C$7,BD!$A$3:$A$5001,"&lt;="&amp;$B233,BD!$W$3:$W$5001,"&lt;&gt;")=0,"",SUMIFS(BD!$W$3:$W$5001,BD!$B$3:$B$5001,I$206,BD!$A$3:$A$5001,_xlfn.MAXIFS(BD!$A$3:$A$5001,BD!$B$3:$B$5001,I$206,BD!$A$3:$A$5001,"&gt;="&amp;$C$7,BD!$A$3:$A$5001,"&lt;="&amp;$B233,BD!$W$3:$W$5001,"&lt;&gt;"))))</f>
        <v/>
      </c>
      <c r="J233" s="43" t="str">
        <f>IF(OR($B233="",$A233&gt;$B$9,J$206=""),"",IF(COUNTIFS(BD!$B$3:$B$5001,J$206,BD!$A$3:$A$5001,"&gt;="&amp;$C$7,BD!$A$3:$A$5001,"&lt;="&amp;$B233,BD!$W$3:$W$5001,"&lt;&gt;")=0,"",SUMIFS(BD!$W$3:$W$5001,BD!$B$3:$B$5001,J$206,BD!$A$3:$A$5001,_xlfn.MAXIFS(BD!$A$3:$A$5001,BD!$B$3:$B$5001,J$206,BD!$A$3:$A$5001,"&gt;="&amp;$C$7,BD!$A$3:$A$5001,"&lt;="&amp;$B233,BD!$W$3:$W$5001,"&lt;&gt;"))))</f>
        <v/>
      </c>
      <c r="K233" s="43" t="str">
        <f>IF(OR($B233="",$A233&gt;$B$9,K$206=""),"",IF(COUNTIFS(BD!$B$3:$B$5001,K$206,BD!$A$3:$A$5001,"&gt;="&amp;$C$7,BD!$A$3:$A$5001,"&lt;="&amp;$B233,BD!$W$3:$W$5001,"&lt;&gt;")=0,"",SUMIFS(BD!$W$3:$W$5001,BD!$B$3:$B$5001,K$206,BD!$A$3:$A$5001,_xlfn.MAXIFS(BD!$A$3:$A$5001,BD!$B$3:$B$5001,K$206,BD!$A$3:$A$5001,"&gt;="&amp;$C$7,BD!$A$3:$A$5001,"&lt;="&amp;$B233,BD!$W$3:$W$5001,"&lt;&gt;"))))</f>
        <v/>
      </c>
      <c r="L233" s="43" t="str">
        <f>IF(OR($B233="",$A233&gt;$B$9,L$206=""),"",IF(COUNTIFS(BD!$B$3:$B$5001,L$206,BD!$A$3:$A$5001,"&gt;="&amp;$C$7,BD!$A$3:$A$5001,"&lt;="&amp;$B233,BD!$W$3:$W$5001,"&lt;&gt;")=0,"",SUMIFS(BD!$W$3:$W$5001,BD!$B$3:$B$5001,L$206,BD!$A$3:$A$5001,_xlfn.MAXIFS(BD!$A$3:$A$5001,BD!$B$3:$B$5001,L$206,BD!$A$3:$A$5001,"&gt;="&amp;$C$7,BD!$A$3:$A$5001,"&lt;="&amp;$B233,BD!$W$3:$W$5001,"&lt;&gt;"))))</f>
        <v/>
      </c>
      <c r="M233" s="43" t="str">
        <f>IF(OR($B233="",$A233&gt;$B$9,M$206=""),"",IF(COUNTIFS(BD!$B$3:$B$5001,M$206,BD!$A$3:$A$5001,"&gt;="&amp;$C$7,BD!$A$3:$A$5001,"&lt;="&amp;$B233,BD!$W$3:$W$5001,"&lt;&gt;")=0,"",SUMIFS(BD!$W$3:$W$5001,BD!$B$3:$B$5001,M$206,BD!$A$3:$A$5001,_xlfn.MAXIFS(BD!$A$3:$A$5001,BD!$B$3:$B$5001,M$206,BD!$A$3:$A$5001,"&gt;="&amp;$C$7,BD!$A$3:$A$5001,"&lt;="&amp;$B233,BD!$W$3:$W$5001,"&lt;&gt;"))))</f>
        <v/>
      </c>
      <c r="N233" s="43" t="str">
        <f>IF(OR($B233="",$A233&gt;$B$9,N$206=""),"",IF(COUNTIFS(BD!$B$3:$B$5001,N$206,BD!$A$3:$A$5001,"&gt;="&amp;$C$7,BD!$A$3:$A$5001,"&lt;="&amp;$B233,BD!$W$3:$W$5001,"&lt;&gt;")=0,"",SUMIFS(BD!$W$3:$W$5001,BD!$B$3:$B$5001,N$206,BD!$A$3:$A$5001,_xlfn.MAXIFS(BD!$A$3:$A$5001,BD!$B$3:$B$5001,N$206,BD!$A$3:$A$5001,"&gt;="&amp;$C$7,BD!$A$3:$A$5001,"&lt;="&amp;$B233,BD!$W$3:$W$5001,"&lt;&gt;"))))</f>
        <v/>
      </c>
      <c r="O233" s="43" t="str">
        <f>IF(OR($B233="",$A233&gt;$B$9,O$206=""),"",IF(COUNTIFS(BD!$B$3:$B$5001,O$206,BD!$A$3:$A$5001,"&gt;="&amp;$C$7,BD!$A$3:$A$5001,"&lt;="&amp;$B233,BD!$W$3:$W$5001,"&lt;&gt;")=0,"",SUMIFS(BD!$W$3:$W$5001,BD!$B$3:$B$5001,O$206,BD!$A$3:$A$5001,_xlfn.MAXIFS(BD!$A$3:$A$5001,BD!$B$3:$B$5001,O$206,BD!$A$3:$A$5001,"&gt;="&amp;$C$7,BD!$A$3:$A$5001,"&lt;="&amp;$B233,BD!$W$3:$W$5001,"&lt;&gt;"))))</f>
        <v/>
      </c>
      <c r="P233" s="43" t="str">
        <f>IF(OR($B233="",$A233&gt;$B$9,P$206=""),"",IF(COUNTIFS(BD!$B$3:$B$5001,P$206,BD!$A$3:$A$5001,"&gt;="&amp;$C$7,BD!$A$3:$A$5001,"&lt;="&amp;$B233,BD!$W$3:$W$5001,"&lt;&gt;")=0,"",SUMIFS(BD!$W$3:$W$5001,BD!$B$3:$B$5001,P$206,BD!$A$3:$A$5001,_xlfn.MAXIFS(BD!$A$3:$A$5001,BD!$B$3:$B$5001,P$206,BD!$A$3:$A$5001,"&gt;="&amp;$C$7,BD!$A$3:$A$5001,"&lt;="&amp;$B233,BD!$W$3:$W$5001,"&lt;&gt;"))))</f>
        <v/>
      </c>
      <c r="Q233" s="43" t="str">
        <f>IF(OR($B233="",$A233&gt;$B$9,Q$206=""),"",IF(COUNTIFS(BD!$B$3:$B$5001,Q$206,BD!$A$3:$A$5001,"&gt;="&amp;$C$7,BD!$A$3:$A$5001,"&lt;="&amp;$B233,BD!$W$3:$W$5001,"&lt;&gt;")=0,"",SUMIFS(BD!$W$3:$W$5001,BD!$B$3:$B$5001,Q$206,BD!$A$3:$A$5001,_xlfn.MAXIFS(BD!$A$3:$A$5001,BD!$B$3:$B$5001,Q$206,BD!$A$3:$A$5001,"&gt;="&amp;$C$7,BD!$A$3:$A$5001,"&lt;="&amp;$B233,BD!$W$3:$W$5001,"&lt;&gt;"))))</f>
        <v/>
      </c>
      <c r="R233" s="43" t="str">
        <f>IF(OR($B233="",$A233&gt;$B$9,R$206=""),"",IF(COUNTIFS(BD!$B$3:$B$5001,R$206,BD!$A$3:$A$5001,"&gt;="&amp;$C$7,BD!$A$3:$A$5001,"&lt;="&amp;$B233,BD!$W$3:$W$5001,"&lt;&gt;")=0,"",SUMIFS(BD!$W$3:$W$5001,BD!$B$3:$B$5001,R$206,BD!$A$3:$A$5001,_xlfn.MAXIFS(BD!$A$3:$A$5001,BD!$B$3:$B$5001,R$206,BD!$A$3:$A$5001,"&gt;="&amp;$C$7,BD!$A$3:$A$5001,"&lt;="&amp;$B233,BD!$W$3:$W$5001,"&lt;&gt;"))))</f>
        <v/>
      </c>
      <c r="S233" s="43" t="str">
        <f>IF(OR($B233="",$A233&gt;$B$9,S$206=""),"",IF(COUNTIFS(BD!$B$3:$B$5001,S$206,BD!$A$3:$A$5001,"&gt;="&amp;$C$7,BD!$A$3:$A$5001,"&lt;="&amp;$B233,BD!$W$3:$W$5001,"&lt;&gt;")=0,"",SUMIFS(BD!$W$3:$W$5001,BD!$B$3:$B$5001,S$206,BD!$A$3:$A$5001,_xlfn.MAXIFS(BD!$A$3:$A$5001,BD!$B$3:$B$5001,S$206,BD!$A$3:$A$5001,"&gt;="&amp;$C$7,BD!$A$3:$A$5001,"&lt;="&amp;$B233,BD!$W$3:$W$5001,"&lt;&gt;"))))</f>
        <v/>
      </c>
      <c r="T233" s="43" t="str">
        <f>IF(OR($B233="",$A233&gt;$B$9,T$206=""),"",IF(COUNTIFS(BD!$B$3:$B$5001,T$206,BD!$A$3:$A$5001,"&gt;="&amp;$C$7,BD!$A$3:$A$5001,"&lt;="&amp;$B233,BD!$W$3:$W$5001,"&lt;&gt;")=0,"",SUMIFS(BD!$W$3:$W$5001,BD!$B$3:$B$5001,T$206,BD!$A$3:$A$5001,_xlfn.MAXIFS(BD!$A$3:$A$5001,BD!$B$3:$B$5001,T$206,BD!$A$3:$A$5001,"&gt;="&amp;$C$7,BD!$A$3:$A$5001,"&lt;="&amp;$B233,BD!$W$3:$W$5001,"&lt;&gt;"))))</f>
        <v/>
      </c>
      <c r="U233" s="43" t="str">
        <f>IF(OR($B233="",$A233&gt;$B$9,U$206=""),"",IF(COUNTIFS(BD!$B$3:$B$5001,U$206,BD!$A$3:$A$5001,"&gt;="&amp;$C$7,BD!$A$3:$A$5001,"&lt;="&amp;$B233,BD!$W$3:$W$5001,"&lt;&gt;")=0,"",SUMIFS(BD!$W$3:$W$5001,BD!$B$3:$B$5001,U$206,BD!$A$3:$A$5001,_xlfn.MAXIFS(BD!$A$3:$A$5001,BD!$B$3:$B$5001,U$206,BD!$A$3:$A$5001,"&gt;="&amp;$C$7,BD!$A$3:$A$5001,"&lt;="&amp;$B233,BD!$W$3:$W$5001,"&lt;&gt;"))))</f>
        <v/>
      </c>
      <c r="V233" s="43" t="str">
        <f>IF(OR($B233="",$A233&gt;$B$9,V$206=""),"",IF(COUNTIFS(BD!$B$3:$B$5001,V$206,BD!$A$3:$A$5001,"&gt;="&amp;$C$7,BD!$A$3:$A$5001,"&lt;="&amp;$B233,BD!$W$3:$W$5001,"&lt;&gt;")=0,"",SUMIFS(BD!$W$3:$W$5001,BD!$B$3:$B$5001,V$206,BD!$A$3:$A$5001,_xlfn.MAXIFS(BD!$A$3:$A$5001,BD!$B$3:$B$5001,V$206,BD!$A$3:$A$5001,"&gt;="&amp;$C$7,BD!$A$3:$A$5001,"&lt;="&amp;$B233,BD!$W$3:$W$5001,"&lt;&gt;"))))</f>
        <v/>
      </c>
    </row>
    <row r="234">
      <c r="A234" s="38">
        <v>28</v>
      </c>
      <c r="B234" s="42">
        <f>$B$39</f>
        <v>46323</v>
      </c>
      <c r="C234" s="43" t="str">
        <f>IF(OR($B234="",$A234&gt;$B$9,C$206=""),"",IF(COUNTIFS(BD!$B$3:$B$5001,C$206,BD!$A$3:$A$5001,"&gt;="&amp;$C$7,BD!$A$3:$A$5001,"&lt;="&amp;$B234,BD!$W$3:$W$5001,"&lt;&gt;")=0,"",SUMIFS(BD!$W$3:$W$5001,BD!$B$3:$B$5001,C$206,BD!$A$3:$A$5001,_xlfn.MAXIFS(BD!$A$3:$A$5001,BD!$B$3:$B$5001,C$206,BD!$A$3:$A$5001,"&gt;="&amp;$C$7,BD!$A$3:$A$5001,"&lt;="&amp;$B234,BD!$W$3:$W$5001,"&lt;&gt;"))))</f>
        <v/>
      </c>
      <c r="D234" s="43" t="str">
        <f>IF(OR($B234="",$A234&gt;$B$9,D$206=""),"",IF(COUNTIFS(BD!$B$3:$B$5001,D$206,BD!$A$3:$A$5001,"&gt;="&amp;$C$7,BD!$A$3:$A$5001,"&lt;="&amp;$B234,BD!$W$3:$W$5001,"&lt;&gt;")=0,"",SUMIFS(BD!$W$3:$W$5001,BD!$B$3:$B$5001,D$206,BD!$A$3:$A$5001,_xlfn.MAXIFS(BD!$A$3:$A$5001,BD!$B$3:$B$5001,D$206,BD!$A$3:$A$5001,"&gt;="&amp;$C$7,BD!$A$3:$A$5001,"&lt;="&amp;$B234,BD!$W$3:$W$5001,"&lt;&gt;"))))</f>
        <v/>
      </c>
      <c r="E234" s="43" t="str">
        <f>IF(OR($B234="",$A234&gt;$B$9,E$206=""),"",IF(COUNTIFS(BD!$B$3:$B$5001,E$206,BD!$A$3:$A$5001,"&gt;="&amp;$C$7,BD!$A$3:$A$5001,"&lt;="&amp;$B234,BD!$W$3:$W$5001,"&lt;&gt;")=0,"",SUMIFS(BD!$W$3:$W$5001,BD!$B$3:$B$5001,E$206,BD!$A$3:$A$5001,_xlfn.MAXIFS(BD!$A$3:$A$5001,BD!$B$3:$B$5001,E$206,BD!$A$3:$A$5001,"&gt;="&amp;$C$7,BD!$A$3:$A$5001,"&lt;="&amp;$B234,BD!$W$3:$W$5001,"&lt;&gt;"))))</f>
        <v/>
      </c>
      <c r="F234" s="43" t="str">
        <f>IF(OR($B234="",$A234&gt;$B$9,F$206=""),"",IF(COUNTIFS(BD!$B$3:$B$5001,F$206,BD!$A$3:$A$5001,"&gt;="&amp;$C$7,BD!$A$3:$A$5001,"&lt;="&amp;$B234,BD!$W$3:$W$5001,"&lt;&gt;")=0,"",SUMIFS(BD!$W$3:$W$5001,BD!$B$3:$B$5001,F$206,BD!$A$3:$A$5001,_xlfn.MAXIFS(BD!$A$3:$A$5001,BD!$B$3:$B$5001,F$206,BD!$A$3:$A$5001,"&gt;="&amp;$C$7,BD!$A$3:$A$5001,"&lt;="&amp;$B234,BD!$W$3:$W$5001,"&lt;&gt;"))))</f>
        <v/>
      </c>
      <c r="G234" s="43" t="str">
        <f>IF(OR($B234="",$A234&gt;$B$9,G$206=""),"",IF(COUNTIFS(BD!$B$3:$B$5001,G$206,BD!$A$3:$A$5001,"&gt;="&amp;$C$7,BD!$A$3:$A$5001,"&lt;="&amp;$B234,BD!$W$3:$W$5001,"&lt;&gt;")=0,"",SUMIFS(BD!$W$3:$W$5001,BD!$B$3:$B$5001,G$206,BD!$A$3:$A$5001,_xlfn.MAXIFS(BD!$A$3:$A$5001,BD!$B$3:$B$5001,G$206,BD!$A$3:$A$5001,"&gt;="&amp;$C$7,BD!$A$3:$A$5001,"&lt;="&amp;$B234,BD!$W$3:$W$5001,"&lt;&gt;"))))</f>
        <v/>
      </c>
      <c r="H234" s="43" t="str">
        <f>IF(OR($B234="",$A234&gt;$B$9,H$206=""),"",IF(COUNTIFS(BD!$B$3:$B$5001,H$206,BD!$A$3:$A$5001,"&gt;="&amp;$C$7,BD!$A$3:$A$5001,"&lt;="&amp;$B234,BD!$W$3:$W$5001,"&lt;&gt;")=0,"",SUMIFS(BD!$W$3:$W$5001,BD!$B$3:$B$5001,H$206,BD!$A$3:$A$5001,_xlfn.MAXIFS(BD!$A$3:$A$5001,BD!$B$3:$B$5001,H$206,BD!$A$3:$A$5001,"&gt;="&amp;$C$7,BD!$A$3:$A$5001,"&lt;="&amp;$B234,BD!$W$3:$W$5001,"&lt;&gt;"))))</f>
        <v/>
      </c>
      <c r="I234" s="43" t="str">
        <f>IF(OR($B234="",$A234&gt;$B$9,I$206=""),"",IF(COUNTIFS(BD!$B$3:$B$5001,I$206,BD!$A$3:$A$5001,"&gt;="&amp;$C$7,BD!$A$3:$A$5001,"&lt;="&amp;$B234,BD!$W$3:$W$5001,"&lt;&gt;")=0,"",SUMIFS(BD!$W$3:$W$5001,BD!$B$3:$B$5001,I$206,BD!$A$3:$A$5001,_xlfn.MAXIFS(BD!$A$3:$A$5001,BD!$B$3:$B$5001,I$206,BD!$A$3:$A$5001,"&gt;="&amp;$C$7,BD!$A$3:$A$5001,"&lt;="&amp;$B234,BD!$W$3:$W$5001,"&lt;&gt;"))))</f>
        <v/>
      </c>
      <c r="J234" s="43" t="str">
        <f>IF(OR($B234="",$A234&gt;$B$9,J$206=""),"",IF(COUNTIFS(BD!$B$3:$B$5001,J$206,BD!$A$3:$A$5001,"&gt;="&amp;$C$7,BD!$A$3:$A$5001,"&lt;="&amp;$B234,BD!$W$3:$W$5001,"&lt;&gt;")=0,"",SUMIFS(BD!$W$3:$W$5001,BD!$B$3:$B$5001,J$206,BD!$A$3:$A$5001,_xlfn.MAXIFS(BD!$A$3:$A$5001,BD!$B$3:$B$5001,J$206,BD!$A$3:$A$5001,"&gt;="&amp;$C$7,BD!$A$3:$A$5001,"&lt;="&amp;$B234,BD!$W$3:$W$5001,"&lt;&gt;"))))</f>
        <v/>
      </c>
      <c r="K234" s="43" t="str">
        <f>IF(OR($B234="",$A234&gt;$B$9,K$206=""),"",IF(COUNTIFS(BD!$B$3:$B$5001,K$206,BD!$A$3:$A$5001,"&gt;="&amp;$C$7,BD!$A$3:$A$5001,"&lt;="&amp;$B234,BD!$W$3:$W$5001,"&lt;&gt;")=0,"",SUMIFS(BD!$W$3:$W$5001,BD!$B$3:$B$5001,K$206,BD!$A$3:$A$5001,_xlfn.MAXIFS(BD!$A$3:$A$5001,BD!$B$3:$B$5001,K$206,BD!$A$3:$A$5001,"&gt;="&amp;$C$7,BD!$A$3:$A$5001,"&lt;="&amp;$B234,BD!$W$3:$W$5001,"&lt;&gt;"))))</f>
        <v/>
      </c>
      <c r="L234" s="43" t="str">
        <f>IF(OR($B234="",$A234&gt;$B$9,L$206=""),"",IF(COUNTIFS(BD!$B$3:$B$5001,L$206,BD!$A$3:$A$5001,"&gt;="&amp;$C$7,BD!$A$3:$A$5001,"&lt;="&amp;$B234,BD!$W$3:$W$5001,"&lt;&gt;")=0,"",SUMIFS(BD!$W$3:$W$5001,BD!$B$3:$B$5001,L$206,BD!$A$3:$A$5001,_xlfn.MAXIFS(BD!$A$3:$A$5001,BD!$B$3:$B$5001,L$206,BD!$A$3:$A$5001,"&gt;="&amp;$C$7,BD!$A$3:$A$5001,"&lt;="&amp;$B234,BD!$W$3:$W$5001,"&lt;&gt;"))))</f>
        <v/>
      </c>
      <c r="M234" s="43" t="str">
        <f>IF(OR($B234="",$A234&gt;$B$9,M$206=""),"",IF(COUNTIFS(BD!$B$3:$B$5001,M$206,BD!$A$3:$A$5001,"&gt;="&amp;$C$7,BD!$A$3:$A$5001,"&lt;="&amp;$B234,BD!$W$3:$W$5001,"&lt;&gt;")=0,"",SUMIFS(BD!$W$3:$W$5001,BD!$B$3:$B$5001,M$206,BD!$A$3:$A$5001,_xlfn.MAXIFS(BD!$A$3:$A$5001,BD!$B$3:$B$5001,M$206,BD!$A$3:$A$5001,"&gt;="&amp;$C$7,BD!$A$3:$A$5001,"&lt;="&amp;$B234,BD!$W$3:$W$5001,"&lt;&gt;"))))</f>
        <v/>
      </c>
      <c r="N234" s="43" t="str">
        <f>IF(OR($B234="",$A234&gt;$B$9,N$206=""),"",IF(COUNTIFS(BD!$B$3:$B$5001,N$206,BD!$A$3:$A$5001,"&gt;="&amp;$C$7,BD!$A$3:$A$5001,"&lt;="&amp;$B234,BD!$W$3:$W$5001,"&lt;&gt;")=0,"",SUMIFS(BD!$W$3:$W$5001,BD!$B$3:$B$5001,N$206,BD!$A$3:$A$5001,_xlfn.MAXIFS(BD!$A$3:$A$5001,BD!$B$3:$B$5001,N$206,BD!$A$3:$A$5001,"&gt;="&amp;$C$7,BD!$A$3:$A$5001,"&lt;="&amp;$B234,BD!$W$3:$W$5001,"&lt;&gt;"))))</f>
        <v/>
      </c>
      <c r="O234" s="43" t="str">
        <f>IF(OR($B234="",$A234&gt;$B$9,O$206=""),"",IF(COUNTIFS(BD!$B$3:$B$5001,O$206,BD!$A$3:$A$5001,"&gt;="&amp;$C$7,BD!$A$3:$A$5001,"&lt;="&amp;$B234,BD!$W$3:$W$5001,"&lt;&gt;")=0,"",SUMIFS(BD!$W$3:$W$5001,BD!$B$3:$B$5001,O$206,BD!$A$3:$A$5001,_xlfn.MAXIFS(BD!$A$3:$A$5001,BD!$B$3:$B$5001,O$206,BD!$A$3:$A$5001,"&gt;="&amp;$C$7,BD!$A$3:$A$5001,"&lt;="&amp;$B234,BD!$W$3:$W$5001,"&lt;&gt;"))))</f>
        <v/>
      </c>
      <c r="P234" s="43" t="str">
        <f>IF(OR($B234="",$A234&gt;$B$9,P$206=""),"",IF(COUNTIFS(BD!$B$3:$B$5001,P$206,BD!$A$3:$A$5001,"&gt;="&amp;$C$7,BD!$A$3:$A$5001,"&lt;="&amp;$B234,BD!$W$3:$W$5001,"&lt;&gt;")=0,"",SUMIFS(BD!$W$3:$W$5001,BD!$B$3:$B$5001,P$206,BD!$A$3:$A$5001,_xlfn.MAXIFS(BD!$A$3:$A$5001,BD!$B$3:$B$5001,P$206,BD!$A$3:$A$5001,"&gt;="&amp;$C$7,BD!$A$3:$A$5001,"&lt;="&amp;$B234,BD!$W$3:$W$5001,"&lt;&gt;"))))</f>
        <v/>
      </c>
      <c r="Q234" s="43" t="str">
        <f>IF(OR($B234="",$A234&gt;$B$9,Q$206=""),"",IF(COUNTIFS(BD!$B$3:$B$5001,Q$206,BD!$A$3:$A$5001,"&gt;="&amp;$C$7,BD!$A$3:$A$5001,"&lt;="&amp;$B234,BD!$W$3:$W$5001,"&lt;&gt;")=0,"",SUMIFS(BD!$W$3:$W$5001,BD!$B$3:$B$5001,Q$206,BD!$A$3:$A$5001,_xlfn.MAXIFS(BD!$A$3:$A$5001,BD!$B$3:$B$5001,Q$206,BD!$A$3:$A$5001,"&gt;="&amp;$C$7,BD!$A$3:$A$5001,"&lt;="&amp;$B234,BD!$W$3:$W$5001,"&lt;&gt;"))))</f>
        <v/>
      </c>
      <c r="R234" s="43" t="str">
        <f>IF(OR($B234="",$A234&gt;$B$9,R$206=""),"",IF(COUNTIFS(BD!$B$3:$B$5001,R$206,BD!$A$3:$A$5001,"&gt;="&amp;$C$7,BD!$A$3:$A$5001,"&lt;="&amp;$B234,BD!$W$3:$W$5001,"&lt;&gt;")=0,"",SUMIFS(BD!$W$3:$W$5001,BD!$B$3:$B$5001,R$206,BD!$A$3:$A$5001,_xlfn.MAXIFS(BD!$A$3:$A$5001,BD!$B$3:$B$5001,R$206,BD!$A$3:$A$5001,"&gt;="&amp;$C$7,BD!$A$3:$A$5001,"&lt;="&amp;$B234,BD!$W$3:$W$5001,"&lt;&gt;"))))</f>
        <v/>
      </c>
      <c r="S234" s="43" t="str">
        <f>IF(OR($B234="",$A234&gt;$B$9,S$206=""),"",IF(COUNTIFS(BD!$B$3:$B$5001,S$206,BD!$A$3:$A$5001,"&gt;="&amp;$C$7,BD!$A$3:$A$5001,"&lt;="&amp;$B234,BD!$W$3:$W$5001,"&lt;&gt;")=0,"",SUMIFS(BD!$W$3:$W$5001,BD!$B$3:$B$5001,S$206,BD!$A$3:$A$5001,_xlfn.MAXIFS(BD!$A$3:$A$5001,BD!$B$3:$B$5001,S$206,BD!$A$3:$A$5001,"&gt;="&amp;$C$7,BD!$A$3:$A$5001,"&lt;="&amp;$B234,BD!$W$3:$W$5001,"&lt;&gt;"))))</f>
        <v/>
      </c>
      <c r="T234" s="43" t="str">
        <f>IF(OR($B234="",$A234&gt;$B$9,T$206=""),"",IF(COUNTIFS(BD!$B$3:$B$5001,T$206,BD!$A$3:$A$5001,"&gt;="&amp;$C$7,BD!$A$3:$A$5001,"&lt;="&amp;$B234,BD!$W$3:$W$5001,"&lt;&gt;")=0,"",SUMIFS(BD!$W$3:$W$5001,BD!$B$3:$B$5001,T$206,BD!$A$3:$A$5001,_xlfn.MAXIFS(BD!$A$3:$A$5001,BD!$B$3:$B$5001,T$206,BD!$A$3:$A$5001,"&gt;="&amp;$C$7,BD!$A$3:$A$5001,"&lt;="&amp;$B234,BD!$W$3:$W$5001,"&lt;&gt;"))))</f>
        <v/>
      </c>
      <c r="U234" s="43" t="str">
        <f>IF(OR($B234="",$A234&gt;$B$9,U$206=""),"",IF(COUNTIFS(BD!$B$3:$B$5001,U$206,BD!$A$3:$A$5001,"&gt;="&amp;$C$7,BD!$A$3:$A$5001,"&lt;="&amp;$B234,BD!$W$3:$W$5001,"&lt;&gt;")=0,"",SUMIFS(BD!$W$3:$W$5001,BD!$B$3:$B$5001,U$206,BD!$A$3:$A$5001,_xlfn.MAXIFS(BD!$A$3:$A$5001,BD!$B$3:$B$5001,U$206,BD!$A$3:$A$5001,"&gt;="&amp;$C$7,BD!$A$3:$A$5001,"&lt;="&amp;$B234,BD!$W$3:$W$5001,"&lt;&gt;"))))</f>
        <v/>
      </c>
      <c r="V234" s="43" t="str">
        <f>IF(OR($B234="",$A234&gt;$B$9,V$206=""),"",IF(COUNTIFS(BD!$B$3:$B$5001,V$206,BD!$A$3:$A$5001,"&gt;="&amp;$C$7,BD!$A$3:$A$5001,"&lt;="&amp;$B234,BD!$W$3:$W$5001,"&lt;&gt;")=0,"",SUMIFS(BD!$W$3:$W$5001,BD!$B$3:$B$5001,V$206,BD!$A$3:$A$5001,_xlfn.MAXIFS(BD!$A$3:$A$5001,BD!$B$3:$B$5001,V$206,BD!$A$3:$A$5001,"&gt;="&amp;$C$7,BD!$A$3:$A$5001,"&lt;="&amp;$B234,BD!$W$3:$W$5001,"&lt;&gt;"))))</f>
        <v/>
      </c>
    </row>
    <row r="235">
      <c r="A235" s="38">
        <v>29</v>
      </c>
      <c r="B235" s="42">
        <f>$B$40</f>
        <v>46324</v>
      </c>
      <c r="C235" s="43" t="str">
        <f>IF(OR($B235="",$A235&gt;$B$9,C$206=""),"",IF(COUNTIFS(BD!$B$3:$B$5001,C$206,BD!$A$3:$A$5001,"&gt;="&amp;$C$7,BD!$A$3:$A$5001,"&lt;="&amp;$B235,BD!$W$3:$W$5001,"&lt;&gt;")=0,"",SUMIFS(BD!$W$3:$W$5001,BD!$B$3:$B$5001,C$206,BD!$A$3:$A$5001,_xlfn.MAXIFS(BD!$A$3:$A$5001,BD!$B$3:$B$5001,C$206,BD!$A$3:$A$5001,"&gt;="&amp;$C$7,BD!$A$3:$A$5001,"&lt;="&amp;$B235,BD!$W$3:$W$5001,"&lt;&gt;"))))</f>
        <v/>
      </c>
      <c r="D235" s="43" t="str">
        <f>IF(OR($B235="",$A235&gt;$B$9,D$206=""),"",IF(COUNTIFS(BD!$B$3:$B$5001,D$206,BD!$A$3:$A$5001,"&gt;="&amp;$C$7,BD!$A$3:$A$5001,"&lt;="&amp;$B235,BD!$W$3:$W$5001,"&lt;&gt;")=0,"",SUMIFS(BD!$W$3:$W$5001,BD!$B$3:$B$5001,D$206,BD!$A$3:$A$5001,_xlfn.MAXIFS(BD!$A$3:$A$5001,BD!$B$3:$B$5001,D$206,BD!$A$3:$A$5001,"&gt;="&amp;$C$7,BD!$A$3:$A$5001,"&lt;="&amp;$B235,BD!$W$3:$W$5001,"&lt;&gt;"))))</f>
        <v/>
      </c>
      <c r="E235" s="43" t="str">
        <f>IF(OR($B235="",$A235&gt;$B$9,E$206=""),"",IF(COUNTIFS(BD!$B$3:$B$5001,E$206,BD!$A$3:$A$5001,"&gt;="&amp;$C$7,BD!$A$3:$A$5001,"&lt;="&amp;$B235,BD!$W$3:$W$5001,"&lt;&gt;")=0,"",SUMIFS(BD!$W$3:$W$5001,BD!$B$3:$B$5001,E$206,BD!$A$3:$A$5001,_xlfn.MAXIFS(BD!$A$3:$A$5001,BD!$B$3:$B$5001,E$206,BD!$A$3:$A$5001,"&gt;="&amp;$C$7,BD!$A$3:$A$5001,"&lt;="&amp;$B235,BD!$W$3:$W$5001,"&lt;&gt;"))))</f>
        <v/>
      </c>
      <c r="F235" s="43" t="str">
        <f>IF(OR($B235="",$A235&gt;$B$9,F$206=""),"",IF(COUNTIFS(BD!$B$3:$B$5001,F$206,BD!$A$3:$A$5001,"&gt;="&amp;$C$7,BD!$A$3:$A$5001,"&lt;="&amp;$B235,BD!$W$3:$W$5001,"&lt;&gt;")=0,"",SUMIFS(BD!$W$3:$W$5001,BD!$B$3:$B$5001,F$206,BD!$A$3:$A$5001,_xlfn.MAXIFS(BD!$A$3:$A$5001,BD!$B$3:$B$5001,F$206,BD!$A$3:$A$5001,"&gt;="&amp;$C$7,BD!$A$3:$A$5001,"&lt;="&amp;$B235,BD!$W$3:$W$5001,"&lt;&gt;"))))</f>
        <v/>
      </c>
      <c r="G235" s="43" t="str">
        <f>IF(OR($B235="",$A235&gt;$B$9,G$206=""),"",IF(COUNTIFS(BD!$B$3:$B$5001,G$206,BD!$A$3:$A$5001,"&gt;="&amp;$C$7,BD!$A$3:$A$5001,"&lt;="&amp;$B235,BD!$W$3:$W$5001,"&lt;&gt;")=0,"",SUMIFS(BD!$W$3:$W$5001,BD!$B$3:$B$5001,G$206,BD!$A$3:$A$5001,_xlfn.MAXIFS(BD!$A$3:$A$5001,BD!$B$3:$B$5001,G$206,BD!$A$3:$A$5001,"&gt;="&amp;$C$7,BD!$A$3:$A$5001,"&lt;="&amp;$B235,BD!$W$3:$W$5001,"&lt;&gt;"))))</f>
        <v/>
      </c>
      <c r="H235" s="43" t="str">
        <f>IF(OR($B235="",$A235&gt;$B$9,H$206=""),"",IF(COUNTIFS(BD!$B$3:$B$5001,H$206,BD!$A$3:$A$5001,"&gt;="&amp;$C$7,BD!$A$3:$A$5001,"&lt;="&amp;$B235,BD!$W$3:$W$5001,"&lt;&gt;")=0,"",SUMIFS(BD!$W$3:$W$5001,BD!$B$3:$B$5001,H$206,BD!$A$3:$A$5001,_xlfn.MAXIFS(BD!$A$3:$A$5001,BD!$B$3:$B$5001,H$206,BD!$A$3:$A$5001,"&gt;="&amp;$C$7,BD!$A$3:$A$5001,"&lt;="&amp;$B235,BD!$W$3:$W$5001,"&lt;&gt;"))))</f>
        <v/>
      </c>
      <c r="I235" s="43" t="str">
        <f>IF(OR($B235="",$A235&gt;$B$9,I$206=""),"",IF(COUNTIFS(BD!$B$3:$B$5001,I$206,BD!$A$3:$A$5001,"&gt;="&amp;$C$7,BD!$A$3:$A$5001,"&lt;="&amp;$B235,BD!$W$3:$W$5001,"&lt;&gt;")=0,"",SUMIFS(BD!$W$3:$W$5001,BD!$B$3:$B$5001,I$206,BD!$A$3:$A$5001,_xlfn.MAXIFS(BD!$A$3:$A$5001,BD!$B$3:$B$5001,I$206,BD!$A$3:$A$5001,"&gt;="&amp;$C$7,BD!$A$3:$A$5001,"&lt;="&amp;$B235,BD!$W$3:$W$5001,"&lt;&gt;"))))</f>
        <v/>
      </c>
      <c r="J235" s="43" t="str">
        <f>IF(OR($B235="",$A235&gt;$B$9,J$206=""),"",IF(COUNTIFS(BD!$B$3:$B$5001,J$206,BD!$A$3:$A$5001,"&gt;="&amp;$C$7,BD!$A$3:$A$5001,"&lt;="&amp;$B235,BD!$W$3:$W$5001,"&lt;&gt;")=0,"",SUMIFS(BD!$W$3:$W$5001,BD!$B$3:$B$5001,J$206,BD!$A$3:$A$5001,_xlfn.MAXIFS(BD!$A$3:$A$5001,BD!$B$3:$B$5001,J$206,BD!$A$3:$A$5001,"&gt;="&amp;$C$7,BD!$A$3:$A$5001,"&lt;="&amp;$B235,BD!$W$3:$W$5001,"&lt;&gt;"))))</f>
        <v/>
      </c>
      <c r="K235" s="43" t="str">
        <f>IF(OR($B235="",$A235&gt;$B$9,K$206=""),"",IF(COUNTIFS(BD!$B$3:$B$5001,K$206,BD!$A$3:$A$5001,"&gt;="&amp;$C$7,BD!$A$3:$A$5001,"&lt;="&amp;$B235,BD!$W$3:$W$5001,"&lt;&gt;")=0,"",SUMIFS(BD!$W$3:$W$5001,BD!$B$3:$B$5001,K$206,BD!$A$3:$A$5001,_xlfn.MAXIFS(BD!$A$3:$A$5001,BD!$B$3:$B$5001,K$206,BD!$A$3:$A$5001,"&gt;="&amp;$C$7,BD!$A$3:$A$5001,"&lt;="&amp;$B235,BD!$W$3:$W$5001,"&lt;&gt;"))))</f>
        <v/>
      </c>
      <c r="L235" s="43" t="str">
        <f>IF(OR($B235="",$A235&gt;$B$9,L$206=""),"",IF(COUNTIFS(BD!$B$3:$B$5001,L$206,BD!$A$3:$A$5001,"&gt;="&amp;$C$7,BD!$A$3:$A$5001,"&lt;="&amp;$B235,BD!$W$3:$W$5001,"&lt;&gt;")=0,"",SUMIFS(BD!$W$3:$W$5001,BD!$B$3:$B$5001,L$206,BD!$A$3:$A$5001,_xlfn.MAXIFS(BD!$A$3:$A$5001,BD!$B$3:$B$5001,L$206,BD!$A$3:$A$5001,"&gt;="&amp;$C$7,BD!$A$3:$A$5001,"&lt;="&amp;$B235,BD!$W$3:$W$5001,"&lt;&gt;"))))</f>
        <v/>
      </c>
      <c r="M235" s="43" t="str">
        <f>IF(OR($B235="",$A235&gt;$B$9,M$206=""),"",IF(COUNTIFS(BD!$B$3:$B$5001,M$206,BD!$A$3:$A$5001,"&gt;="&amp;$C$7,BD!$A$3:$A$5001,"&lt;="&amp;$B235,BD!$W$3:$W$5001,"&lt;&gt;")=0,"",SUMIFS(BD!$W$3:$W$5001,BD!$B$3:$B$5001,M$206,BD!$A$3:$A$5001,_xlfn.MAXIFS(BD!$A$3:$A$5001,BD!$B$3:$B$5001,M$206,BD!$A$3:$A$5001,"&gt;="&amp;$C$7,BD!$A$3:$A$5001,"&lt;="&amp;$B235,BD!$W$3:$W$5001,"&lt;&gt;"))))</f>
        <v/>
      </c>
      <c r="N235" s="43" t="str">
        <f>IF(OR($B235="",$A235&gt;$B$9,N$206=""),"",IF(COUNTIFS(BD!$B$3:$B$5001,N$206,BD!$A$3:$A$5001,"&gt;="&amp;$C$7,BD!$A$3:$A$5001,"&lt;="&amp;$B235,BD!$W$3:$W$5001,"&lt;&gt;")=0,"",SUMIFS(BD!$W$3:$W$5001,BD!$B$3:$B$5001,N$206,BD!$A$3:$A$5001,_xlfn.MAXIFS(BD!$A$3:$A$5001,BD!$B$3:$B$5001,N$206,BD!$A$3:$A$5001,"&gt;="&amp;$C$7,BD!$A$3:$A$5001,"&lt;="&amp;$B235,BD!$W$3:$W$5001,"&lt;&gt;"))))</f>
        <v/>
      </c>
      <c r="O235" s="43" t="str">
        <f>IF(OR($B235="",$A235&gt;$B$9,O$206=""),"",IF(COUNTIFS(BD!$B$3:$B$5001,O$206,BD!$A$3:$A$5001,"&gt;="&amp;$C$7,BD!$A$3:$A$5001,"&lt;="&amp;$B235,BD!$W$3:$W$5001,"&lt;&gt;")=0,"",SUMIFS(BD!$W$3:$W$5001,BD!$B$3:$B$5001,O$206,BD!$A$3:$A$5001,_xlfn.MAXIFS(BD!$A$3:$A$5001,BD!$B$3:$B$5001,O$206,BD!$A$3:$A$5001,"&gt;="&amp;$C$7,BD!$A$3:$A$5001,"&lt;="&amp;$B235,BD!$W$3:$W$5001,"&lt;&gt;"))))</f>
        <v/>
      </c>
      <c r="P235" s="43" t="str">
        <f>IF(OR($B235="",$A235&gt;$B$9,P$206=""),"",IF(COUNTIFS(BD!$B$3:$B$5001,P$206,BD!$A$3:$A$5001,"&gt;="&amp;$C$7,BD!$A$3:$A$5001,"&lt;="&amp;$B235,BD!$W$3:$W$5001,"&lt;&gt;")=0,"",SUMIFS(BD!$W$3:$W$5001,BD!$B$3:$B$5001,P$206,BD!$A$3:$A$5001,_xlfn.MAXIFS(BD!$A$3:$A$5001,BD!$B$3:$B$5001,P$206,BD!$A$3:$A$5001,"&gt;="&amp;$C$7,BD!$A$3:$A$5001,"&lt;="&amp;$B235,BD!$W$3:$W$5001,"&lt;&gt;"))))</f>
        <v/>
      </c>
      <c r="Q235" s="43" t="str">
        <f>IF(OR($B235="",$A235&gt;$B$9,Q$206=""),"",IF(COUNTIFS(BD!$B$3:$B$5001,Q$206,BD!$A$3:$A$5001,"&gt;="&amp;$C$7,BD!$A$3:$A$5001,"&lt;="&amp;$B235,BD!$W$3:$W$5001,"&lt;&gt;")=0,"",SUMIFS(BD!$W$3:$W$5001,BD!$B$3:$B$5001,Q$206,BD!$A$3:$A$5001,_xlfn.MAXIFS(BD!$A$3:$A$5001,BD!$B$3:$B$5001,Q$206,BD!$A$3:$A$5001,"&gt;="&amp;$C$7,BD!$A$3:$A$5001,"&lt;="&amp;$B235,BD!$W$3:$W$5001,"&lt;&gt;"))))</f>
        <v/>
      </c>
      <c r="R235" s="43" t="str">
        <f>IF(OR($B235="",$A235&gt;$B$9,R$206=""),"",IF(COUNTIFS(BD!$B$3:$B$5001,R$206,BD!$A$3:$A$5001,"&gt;="&amp;$C$7,BD!$A$3:$A$5001,"&lt;="&amp;$B235,BD!$W$3:$W$5001,"&lt;&gt;")=0,"",SUMIFS(BD!$W$3:$W$5001,BD!$B$3:$B$5001,R$206,BD!$A$3:$A$5001,_xlfn.MAXIFS(BD!$A$3:$A$5001,BD!$B$3:$B$5001,R$206,BD!$A$3:$A$5001,"&gt;="&amp;$C$7,BD!$A$3:$A$5001,"&lt;="&amp;$B235,BD!$W$3:$W$5001,"&lt;&gt;"))))</f>
        <v/>
      </c>
      <c r="S235" s="43" t="str">
        <f>IF(OR($B235="",$A235&gt;$B$9,S$206=""),"",IF(COUNTIFS(BD!$B$3:$B$5001,S$206,BD!$A$3:$A$5001,"&gt;="&amp;$C$7,BD!$A$3:$A$5001,"&lt;="&amp;$B235,BD!$W$3:$W$5001,"&lt;&gt;")=0,"",SUMIFS(BD!$W$3:$W$5001,BD!$B$3:$B$5001,S$206,BD!$A$3:$A$5001,_xlfn.MAXIFS(BD!$A$3:$A$5001,BD!$B$3:$B$5001,S$206,BD!$A$3:$A$5001,"&gt;="&amp;$C$7,BD!$A$3:$A$5001,"&lt;="&amp;$B235,BD!$W$3:$W$5001,"&lt;&gt;"))))</f>
        <v/>
      </c>
      <c r="T235" s="43" t="str">
        <f>IF(OR($B235="",$A235&gt;$B$9,T$206=""),"",IF(COUNTIFS(BD!$B$3:$B$5001,T$206,BD!$A$3:$A$5001,"&gt;="&amp;$C$7,BD!$A$3:$A$5001,"&lt;="&amp;$B235,BD!$W$3:$W$5001,"&lt;&gt;")=0,"",SUMIFS(BD!$W$3:$W$5001,BD!$B$3:$B$5001,T$206,BD!$A$3:$A$5001,_xlfn.MAXIFS(BD!$A$3:$A$5001,BD!$B$3:$B$5001,T$206,BD!$A$3:$A$5001,"&gt;="&amp;$C$7,BD!$A$3:$A$5001,"&lt;="&amp;$B235,BD!$W$3:$W$5001,"&lt;&gt;"))))</f>
        <v/>
      </c>
      <c r="U235" s="43" t="str">
        <f>IF(OR($B235="",$A235&gt;$B$9,U$206=""),"",IF(COUNTIFS(BD!$B$3:$B$5001,U$206,BD!$A$3:$A$5001,"&gt;="&amp;$C$7,BD!$A$3:$A$5001,"&lt;="&amp;$B235,BD!$W$3:$W$5001,"&lt;&gt;")=0,"",SUMIFS(BD!$W$3:$W$5001,BD!$B$3:$B$5001,U$206,BD!$A$3:$A$5001,_xlfn.MAXIFS(BD!$A$3:$A$5001,BD!$B$3:$B$5001,U$206,BD!$A$3:$A$5001,"&gt;="&amp;$C$7,BD!$A$3:$A$5001,"&lt;="&amp;$B235,BD!$W$3:$W$5001,"&lt;&gt;"))))</f>
        <v/>
      </c>
      <c r="V235" s="43" t="str">
        <f>IF(OR($B235="",$A235&gt;$B$9,V$206=""),"",IF(COUNTIFS(BD!$B$3:$B$5001,V$206,BD!$A$3:$A$5001,"&gt;="&amp;$C$7,BD!$A$3:$A$5001,"&lt;="&amp;$B235,BD!$W$3:$W$5001,"&lt;&gt;")=0,"",SUMIFS(BD!$W$3:$W$5001,BD!$B$3:$B$5001,V$206,BD!$A$3:$A$5001,_xlfn.MAXIFS(BD!$A$3:$A$5001,BD!$B$3:$B$5001,V$206,BD!$A$3:$A$5001,"&gt;="&amp;$C$7,BD!$A$3:$A$5001,"&lt;="&amp;$B235,BD!$W$3:$W$5001,"&lt;&gt;"))))</f>
        <v/>
      </c>
    </row>
    <row r="236">
      <c r="A236" s="38">
        <v>30</v>
      </c>
      <c r="B236" s="42">
        <f>$B$41</f>
        <v>46325</v>
      </c>
      <c r="C236" s="43" t="str">
        <f>IF(OR($B236="",$A236&gt;$B$9,C$206=""),"",IF(COUNTIFS(BD!$B$3:$B$5001,C$206,BD!$A$3:$A$5001,"&gt;="&amp;$C$7,BD!$A$3:$A$5001,"&lt;="&amp;$B236,BD!$W$3:$W$5001,"&lt;&gt;")=0,"",SUMIFS(BD!$W$3:$W$5001,BD!$B$3:$B$5001,C$206,BD!$A$3:$A$5001,_xlfn.MAXIFS(BD!$A$3:$A$5001,BD!$B$3:$B$5001,C$206,BD!$A$3:$A$5001,"&gt;="&amp;$C$7,BD!$A$3:$A$5001,"&lt;="&amp;$B236,BD!$W$3:$W$5001,"&lt;&gt;"))))</f>
        <v/>
      </c>
      <c r="D236" s="43" t="str">
        <f>IF(OR($B236="",$A236&gt;$B$9,D$206=""),"",IF(COUNTIFS(BD!$B$3:$B$5001,D$206,BD!$A$3:$A$5001,"&gt;="&amp;$C$7,BD!$A$3:$A$5001,"&lt;="&amp;$B236,BD!$W$3:$W$5001,"&lt;&gt;")=0,"",SUMIFS(BD!$W$3:$W$5001,BD!$B$3:$B$5001,D$206,BD!$A$3:$A$5001,_xlfn.MAXIFS(BD!$A$3:$A$5001,BD!$B$3:$B$5001,D$206,BD!$A$3:$A$5001,"&gt;="&amp;$C$7,BD!$A$3:$A$5001,"&lt;="&amp;$B236,BD!$W$3:$W$5001,"&lt;&gt;"))))</f>
        <v/>
      </c>
      <c r="E236" s="43" t="str">
        <f>IF(OR($B236="",$A236&gt;$B$9,E$206=""),"",IF(COUNTIFS(BD!$B$3:$B$5001,E$206,BD!$A$3:$A$5001,"&gt;="&amp;$C$7,BD!$A$3:$A$5001,"&lt;="&amp;$B236,BD!$W$3:$W$5001,"&lt;&gt;")=0,"",SUMIFS(BD!$W$3:$W$5001,BD!$B$3:$B$5001,E$206,BD!$A$3:$A$5001,_xlfn.MAXIFS(BD!$A$3:$A$5001,BD!$B$3:$B$5001,E$206,BD!$A$3:$A$5001,"&gt;="&amp;$C$7,BD!$A$3:$A$5001,"&lt;="&amp;$B236,BD!$W$3:$W$5001,"&lt;&gt;"))))</f>
        <v/>
      </c>
      <c r="F236" s="43" t="str">
        <f>IF(OR($B236="",$A236&gt;$B$9,F$206=""),"",IF(COUNTIFS(BD!$B$3:$B$5001,F$206,BD!$A$3:$A$5001,"&gt;="&amp;$C$7,BD!$A$3:$A$5001,"&lt;="&amp;$B236,BD!$W$3:$W$5001,"&lt;&gt;")=0,"",SUMIFS(BD!$W$3:$W$5001,BD!$B$3:$B$5001,F$206,BD!$A$3:$A$5001,_xlfn.MAXIFS(BD!$A$3:$A$5001,BD!$B$3:$B$5001,F$206,BD!$A$3:$A$5001,"&gt;="&amp;$C$7,BD!$A$3:$A$5001,"&lt;="&amp;$B236,BD!$W$3:$W$5001,"&lt;&gt;"))))</f>
        <v/>
      </c>
      <c r="G236" s="43" t="str">
        <f>IF(OR($B236="",$A236&gt;$B$9,G$206=""),"",IF(COUNTIFS(BD!$B$3:$B$5001,G$206,BD!$A$3:$A$5001,"&gt;="&amp;$C$7,BD!$A$3:$A$5001,"&lt;="&amp;$B236,BD!$W$3:$W$5001,"&lt;&gt;")=0,"",SUMIFS(BD!$W$3:$W$5001,BD!$B$3:$B$5001,G$206,BD!$A$3:$A$5001,_xlfn.MAXIFS(BD!$A$3:$A$5001,BD!$B$3:$B$5001,G$206,BD!$A$3:$A$5001,"&gt;="&amp;$C$7,BD!$A$3:$A$5001,"&lt;="&amp;$B236,BD!$W$3:$W$5001,"&lt;&gt;"))))</f>
        <v/>
      </c>
      <c r="H236" s="43" t="str">
        <f>IF(OR($B236="",$A236&gt;$B$9,H$206=""),"",IF(COUNTIFS(BD!$B$3:$B$5001,H$206,BD!$A$3:$A$5001,"&gt;="&amp;$C$7,BD!$A$3:$A$5001,"&lt;="&amp;$B236,BD!$W$3:$W$5001,"&lt;&gt;")=0,"",SUMIFS(BD!$W$3:$W$5001,BD!$B$3:$B$5001,H$206,BD!$A$3:$A$5001,_xlfn.MAXIFS(BD!$A$3:$A$5001,BD!$B$3:$B$5001,H$206,BD!$A$3:$A$5001,"&gt;="&amp;$C$7,BD!$A$3:$A$5001,"&lt;="&amp;$B236,BD!$W$3:$W$5001,"&lt;&gt;"))))</f>
        <v/>
      </c>
      <c r="I236" s="43" t="str">
        <f>IF(OR($B236="",$A236&gt;$B$9,I$206=""),"",IF(COUNTIFS(BD!$B$3:$B$5001,I$206,BD!$A$3:$A$5001,"&gt;="&amp;$C$7,BD!$A$3:$A$5001,"&lt;="&amp;$B236,BD!$W$3:$W$5001,"&lt;&gt;")=0,"",SUMIFS(BD!$W$3:$W$5001,BD!$B$3:$B$5001,I$206,BD!$A$3:$A$5001,_xlfn.MAXIFS(BD!$A$3:$A$5001,BD!$B$3:$B$5001,I$206,BD!$A$3:$A$5001,"&gt;="&amp;$C$7,BD!$A$3:$A$5001,"&lt;="&amp;$B236,BD!$W$3:$W$5001,"&lt;&gt;"))))</f>
        <v/>
      </c>
      <c r="J236" s="43" t="str">
        <f>IF(OR($B236="",$A236&gt;$B$9,J$206=""),"",IF(COUNTIFS(BD!$B$3:$B$5001,J$206,BD!$A$3:$A$5001,"&gt;="&amp;$C$7,BD!$A$3:$A$5001,"&lt;="&amp;$B236,BD!$W$3:$W$5001,"&lt;&gt;")=0,"",SUMIFS(BD!$W$3:$W$5001,BD!$B$3:$B$5001,J$206,BD!$A$3:$A$5001,_xlfn.MAXIFS(BD!$A$3:$A$5001,BD!$B$3:$B$5001,J$206,BD!$A$3:$A$5001,"&gt;="&amp;$C$7,BD!$A$3:$A$5001,"&lt;="&amp;$B236,BD!$W$3:$W$5001,"&lt;&gt;"))))</f>
        <v/>
      </c>
      <c r="K236" s="43" t="str">
        <f>IF(OR($B236="",$A236&gt;$B$9,K$206=""),"",IF(COUNTIFS(BD!$B$3:$B$5001,K$206,BD!$A$3:$A$5001,"&gt;="&amp;$C$7,BD!$A$3:$A$5001,"&lt;="&amp;$B236,BD!$W$3:$W$5001,"&lt;&gt;")=0,"",SUMIFS(BD!$W$3:$W$5001,BD!$B$3:$B$5001,K$206,BD!$A$3:$A$5001,_xlfn.MAXIFS(BD!$A$3:$A$5001,BD!$B$3:$B$5001,K$206,BD!$A$3:$A$5001,"&gt;="&amp;$C$7,BD!$A$3:$A$5001,"&lt;="&amp;$B236,BD!$W$3:$W$5001,"&lt;&gt;"))))</f>
        <v/>
      </c>
      <c r="L236" s="43" t="str">
        <f>IF(OR($B236="",$A236&gt;$B$9,L$206=""),"",IF(COUNTIFS(BD!$B$3:$B$5001,L$206,BD!$A$3:$A$5001,"&gt;="&amp;$C$7,BD!$A$3:$A$5001,"&lt;="&amp;$B236,BD!$W$3:$W$5001,"&lt;&gt;")=0,"",SUMIFS(BD!$W$3:$W$5001,BD!$B$3:$B$5001,L$206,BD!$A$3:$A$5001,_xlfn.MAXIFS(BD!$A$3:$A$5001,BD!$B$3:$B$5001,L$206,BD!$A$3:$A$5001,"&gt;="&amp;$C$7,BD!$A$3:$A$5001,"&lt;="&amp;$B236,BD!$W$3:$W$5001,"&lt;&gt;"))))</f>
        <v/>
      </c>
      <c r="M236" s="43" t="str">
        <f>IF(OR($B236="",$A236&gt;$B$9,M$206=""),"",IF(COUNTIFS(BD!$B$3:$B$5001,M$206,BD!$A$3:$A$5001,"&gt;="&amp;$C$7,BD!$A$3:$A$5001,"&lt;="&amp;$B236,BD!$W$3:$W$5001,"&lt;&gt;")=0,"",SUMIFS(BD!$W$3:$W$5001,BD!$B$3:$B$5001,M$206,BD!$A$3:$A$5001,_xlfn.MAXIFS(BD!$A$3:$A$5001,BD!$B$3:$B$5001,M$206,BD!$A$3:$A$5001,"&gt;="&amp;$C$7,BD!$A$3:$A$5001,"&lt;="&amp;$B236,BD!$W$3:$W$5001,"&lt;&gt;"))))</f>
        <v/>
      </c>
      <c r="N236" s="43" t="str">
        <f>IF(OR($B236="",$A236&gt;$B$9,N$206=""),"",IF(COUNTIFS(BD!$B$3:$B$5001,N$206,BD!$A$3:$A$5001,"&gt;="&amp;$C$7,BD!$A$3:$A$5001,"&lt;="&amp;$B236,BD!$W$3:$W$5001,"&lt;&gt;")=0,"",SUMIFS(BD!$W$3:$W$5001,BD!$B$3:$B$5001,N$206,BD!$A$3:$A$5001,_xlfn.MAXIFS(BD!$A$3:$A$5001,BD!$B$3:$B$5001,N$206,BD!$A$3:$A$5001,"&gt;="&amp;$C$7,BD!$A$3:$A$5001,"&lt;="&amp;$B236,BD!$W$3:$W$5001,"&lt;&gt;"))))</f>
        <v/>
      </c>
      <c r="O236" s="43" t="str">
        <f>IF(OR($B236="",$A236&gt;$B$9,O$206=""),"",IF(COUNTIFS(BD!$B$3:$B$5001,O$206,BD!$A$3:$A$5001,"&gt;="&amp;$C$7,BD!$A$3:$A$5001,"&lt;="&amp;$B236,BD!$W$3:$W$5001,"&lt;&gt;")=0,"",SUMIFS(BD!$W$3:$W$5001,BD!$B$3:$B$5001,O$206,BD!$A$3:$A$5001,_xlfn.MAXIFS(BD!$A$3:$A$5001,BD!$B$3:$B$5001,O$206,BD!$A$3:$A$5001,"&gt;="&amp;$C$7,BD!$A$3:$A$5001,"&lt;="&amp;$B236,BD!$W$3:$W$5001,"&lt;&gt;"))))</f>
        <v/>
      </c>
      <c r="P236" s="43" t="str">
        <f>IF(OR($B236="",$A236&gt;$B$9,P$206=""),"",IF(COUNTIFS(BD!$B$3:$B$5001,P$206,BD!$A$3:$A$5001,"&gt;="&amp;$C$7,BD!$A$3:$A$5001,"&lt;="&amp;$B236,BD!$W$3:$W$5001,"&lt;&gt;")=0,"",SUMIFS(BD!$W$3:$W$5001,BD!$B$3:$B$5001,P$206,BD!$A$3:$A$5001,_xlfn.MAXIFS(BD!$A$3:$A$5001,BD!$B$3:$B$5001,P$206,BD!$A$3:$A$5001,"&gt;="&amp;$C$7,BD!$A$3:$A$5001,"&lt;="&amp;$B236,BD!$W$3:$W$5001,"&lt;&gt;"))))</f>
        <v/>
      </c>
      <c r="Q236" s="43" t="str">
        <f>IF(OR($B236="",$A236&gt;$B$9,Q$206=""),"",IF(COUNTIFS(BD!$B$3:$B$5001,Q$206,BD!$A$3:$A$5001,"&gt;="&amp;$C$7,BD!$A$3:$A$5001,"&lt;="&amp;$B236,BD!$W$3:$W$5001,"&lt;&gt;")=0,"",SUMIFS(BD!$W$3:$W$5001,BD!$B$3:$B$5001,Q$206,BD!$A$3:$A$5001,_xlfn.MAXIFS(BD!$A$3:$A$5001,BD!$B$3:$B$5001,Q$206,BD!$A$3:$A$5001,"&gt;="&amp;$C$7,BD!$A$3:$A$5001,"&lt;="&amp;$B236,BD!$W$3:$W$5001,"&lt;&gt;"))))</f>
        <v/>
      </c>
      <c r="R236" s="43" t="str">
        <f>IF(OR($B236="",$A236&gt;$B$9,R$206=""),"",IF(COUNTIFS(BD!$B$3:$B$5001,R$206,BD!$A$3:$A$5001,"&gt;="&amp;$C$7,BD!$A$3:$A$5001,"&lt;="&amp;$B236,BD!$W$3:$W$5001,"&lt;&gt;")=0,"",SUMIFS(BD!$W$3:$W$5001,BD!$B$3:$B$5001,R$206,BD!$A$3:$A$5001,_xlfn.MAXIFS(BD!$A$3:$A$5001,BD!$B$3:$B$5001,R$206,BD!$A$3:$A$5001,"&gt;="&amp;$C$7,BD!$A$3:$A$5001,"&lt;="&amp;$B236,BD!$W$3:$W$5001,"&lt;&gt;"))))</f>
        <v/>
      </c>
      <c r="S236" s="43" t="str">
        <f>IF(OR($B236="",$A236&gt;$B$9,S$206=""),"",IF(COUNTIFS(BD!$B$3:$B$5001,S$206,BD!$A$3:$A$5001,"&gt;="&amp;$C$7,BD!$A$3:$A$5001,"&lt;="&amp;$B236,BD!$W$3:$W$5001,"&lt;&gt;")=0,"",SUMIFS(BD!$W$3:$W$5001,BD!$B$3:$B$5001,S$206,BD!$A$3:$A$5001,_xlfn.MAXIFS(BD!$A$3:$A$5001,BD!$B$3:$B$5001,S$206,BD!$A$3:$A$5001,"&gt;="&amp;$C$7,BD!$A$3:$A$5001,"&lt;="&amp;$B236,BD!$W$3:$W$5001,"&lt;&gt;"))))</f>
        <v/>
      </c>
      <c r="T236" s="43" t="str">
        <f>IF(OR($B236="",$A236&gt;$B$9,T$206=""),"",IF(COUNTIFS(BD!$B$3:$B$5001,T$206,BD!$A$3:$A$5001,"&gt;="&amp;$C$7,BD!$A$3:$A$5001,"&lt;="&amp;$B236,BD!$W$3:$W$5001,"&lt;&gt;")=0,"",SUMIFS(BD!$W$3:$W$5001,BD!$B$3:$B$5001,T$206,BD!$A$3:$A$5001,_xlfn.MAXIFS(BD!$A$3:$A$5001,BD!$B$3:$B$5001,T$206,BD!$A$3:$A$5001,"&gt;="&amp;$C$7,BD!$A$3:$A$5001,"&lt;="&amp;$B236,BD!$W$3:$W$5001,"&lt;&gt;"))))</f>
        <v/>
      </c>
      <c r="U236" s="43" t="str">
        <f>IF(OR($B236="",$A236&gt;$B$9,U$206=""),"",IF(COUNTIFS(BD!$B$3:$B$5001,U$206,BD!$A$3:$A$5001,"&gt;="&amp;$C$7,BD!$A$3:$A$5001,"&lt;="&amp;$B236,BD!$W$3:$W$5001,"&lt;&gt;")=0,"",SUMIFS(BD!$W$3:$W$5001,BD!$B$3:$B$5001,U$206,BD!$A$3:$A$5001,_xlfn.MAXIFS(BD!$A$3:$A$5001,BD!$B$3:$B$5001,U$206,BD!$A$3:$A$5001,"&gt;="&amp;$C$7,BD!$A$3:$A$5001,"&lt;="&amp;$B236,BD!$W$3:$W$5001,"&lt;&gt;"))))</f>
        <v/>
      </c>
      <c r="V236" s="43" t="str">
        <f>IF(OR($B236="",$A236&gt;$B$9,V$206=""),"",IF(COUNTIFS(BD!$B$3:$B$5001,V$206,BD!$A$3:$A$5001,"&gt;="&amp;$C$7,BD!$A$3:$A$5001,"&lt;="&amp;$B236,BD!$W$3:$W$5001,"&lt;&gt;")=0,"",SUMIFS(BD!$W$3:$W$5001,BD!$B$3:$B$5001,V$206,BD!$A$3:$A$5001,_xlfn.MAXIFS(BD!$A$3:$A$5001,BD!$B$3:$B$5001,V$206,BD!$A$3:$A$5001,"&gt;="&amp;$C$7,BD!$A$3:$A$5001,"&lt;="&amp;$B236,BD!$W$3:$W$5001,"&lt;&gt;"))))</f>
        <v/>
      </c>
    </row>
    <row r="237">
      <c r="A237" s="38">
        <v>31</v>
      </c>
      <c r="B237" s="42">
        <f>$B$42</f>
        <v>46326</v>
      </c>
      <c r="C237" s="43" t="str">
        <f>IF(OR($B237="",$A237&gt;$B$9,C$206=""),"",IF(COUNTIFS(BD!$B$3:$B$5001,C$206,BD!$A$3:$A$5001,"&gt;="&amp;$C$7,BD!$A$3:$A$5001,"&lt;="&amp;$B237,BD!$W$3:$W$5001,"&lt;&gt;")=0,"",SUMIFS(BD!$W$3:$W$5001,BD!$B$3:$B$5001,C$206,BD!$A$3:$A$5001,_xlfn.MAXIFS(BD!$A$3:$A$5001,BD!$B$3:$B$5001,C$206,BD!$A$3:$A$5001,"&gt;="&amp;$C$7,BD!$A$3:$A$5001,"&lt;="&amp;$B237,BD!$W$3:$W$5001,"&lt;&gt;"))))</f>
        <v/>
      </c>
      <c r="D237" s="43" t="str">
        <f>IF(OR($B237="",$A237&gt;$B$9,D$206=""),"",IF(COUNTIFS(BD!$B$3:$B$5001,D$206,BD!$A$3:$A$5001,"&gt;="&amp;$C$7,BD!$A$3:$A$5001,"&lt;="&amp;$B237,BD!$W$3:$W$5001,"&lt;&gt;")=0,"",SUMIFS(BD!$W$3:$W$5001,BD!$B$3:$B$5001,D$206,BD!$A$3:$A$5001,_xlfn.MAXIFS(BD!$A$3:$A$5001,BD!$B$3:$B$5001,D$206,BD!$A$3:$A$5001,"&gt;="&amp;$C$7,BD!$A$3:$A$5001,"&lt;="&amp;$B237,BD!$W$3:$W$5001,"&lt;&gt;"))))</f>
        <v/>
      </c>
      <c r="E237" s="43" t="str">
        <f>IF(OR($B237="",$A237&gt;$B$9,E$206=""),"",IF(COUNTIFS(BD!$B$3:$B$5001,E$206,BD!$A$3:$A$5001,"&gt;="&amp;$C$7,BD!$A$3:$A$5001,"&lt;="&amp;$B237,BD!$W$3:$W$5001,"&lt;&gt;")=0,"",SUMIFS(BD!$W$3:$W$5001,BD!$B$3:$B$5001,E$206,BD!$A$3:$A$5001,_xlfn.MAXIFS(BD!$A$3:$A$5001,BD!$B$3:$B$5001,E$206,BD!$A$3:$A$5001,"&gt;="&amp;$C$7,BD!$A$3:$A$5001,"&lt;="&amp;$B237,BD!$W$3:$W$5001,"&lt;&gt;"))))</f>
        <v/>
      </c>
      <c r="F237" s="43" t="str">
        <f>IF(OR($B237="",$A237&gt;$B$9,F$206=""),"",IF(COUNTIFS(BD!$B$3:$B$5001,F$206,BD!$A$3:$A$5001,"&gt;="&amp;$C$7,BD!$A$3:$A$5001,"&lt;="&amp;$B237,BD!$W$3:$W$5001,"&lt;&gt;")=0,"",SUMIFS(BD!$W$3:$W$5001,BD!$B$3:$B$5001,F$206,BD!$A$3:$A$5001,_xlfn.MAXIFS(BD!$A$3:$A$5001,BD!$B$3:$B$5001,F$206,BD!$A$3:$A$5001,"&gt;="&amp;$C$7,BD!$A$3:$A$5001,"&lt;="&amp;$B237,BD!$W$3:$W$5001,"&lt;&gt;"))))</f>
        <v/>
      </c>
      <c r="G237" s="43" t="str">
        <f>IF(OR($B237="",$A237&gt;$B$9,G$206=""),"",IF(COUNTIFS(BD!$B$3:$B$5001,G$206,BD!$A$3:$A$5001,"&gt;="&amp;$C$7,BD!$A$3:$A$5001,"&lt;="&amp;$B237,BD!$W$3:$W$5001,"&lt;&gt;")=0,"",SUMIFS(BD!$W$3:$W$5001,BD!$B$3:$B$5001,G$206,BD!$A$3:$A$5001,_xlfn.MAXIFS(BD!$A$3:$A$5001,BD!$B$3:$B$5001,G$206,BD!$A$3:$A$5001,"&gt;="&amp;$C$7,BD!$A$3:$A$5001,"&lt;="&amp;$B237,BD!$W$3:$W$5001,"&lt;&gt;"))))</f>
        <v/>
      </c>
      <c r="H237" s="43" t="str">
        <f>IF(OR($B237="",$A237&gt;$B$9,H$206=""),"",IF(COUNTIFS(BD!$B$3:$B$5001,H$206,BD!$A$3:$A$5001,"&gt;="&amp;$C$7,BD!$A$3:$A$5001,"&lt;="&amp;$B237,BD!$W$3:$W$5001,"&lt;&gt;")=0,"",SUMIFS(BD!$W$3:$W$5001,BD!$B$3:$B$5001,H$206,BD!$A$3:$A$5001,_xlfn.MAXIFS(BD!$A$3:$A$5001,BD!$B$3:$B$5001,H$206,BD!$A$3:$A$5001,"&gt;="&amp;$C$7,BD!$A$3:$A$5001,"&lt;="&amp;$B237,BD!$W$3:$W$5001,"&lt;&gt;"))))</f>
        <v/>
      </c>
      <c r="I237" s="43" t="str">
        <f>IF(OR($B237="",$A237&gt;$B$9,I$206=""),"",IF(COUNTIFS(BD!$B$3:$B$5001,I$206,BD!$A$3:$A$5001,"&gt;="&amp;$C$7,BD!$A$3:$A$5001,"&lt;="&amp;$B237,BD!$W$3:$W$5001,"&lt;&gt;")=0,"",SUMIFS(BD!$W$3:$W$5001,BD!$B$3:$B$5001,I$206,BD!$A$3:$A$5001,_xlfn.MAXIFS(BD!$A$3:$A$5001,BD!$B$3:$B$5001,I$206,BD!$A$3:$A$5001,"&gt;="&amp;$C$7,BD!$A$3:$A$5001,"&lt;="&amp;$B237,BD!$W$3:$W$5001,"&lt;&gt;"))))</f>
        <v/>
      </c>
      <c r="J237" s="43" t="str">
        <f>IF(OR($B237="",$A237&gt;$B$9,J$206=""),"",IF(COUNTIFS(BD!$B$3:$B$5001,J$206,BD!$A$3:$A$5001,"&gt;="&amp;$C$7,BD!$A$3:$A$5001,"&lt;="&amp;$B237,BD!$W$3:$W$5001,"&lt;&gt;")=0,"",SUMIFS(BD!$W$3:$W$5001,BD!$B$3:$B$5001,J$206,BD!$A$3:$A$5001,_xlfn.MAXIFS(BD!$A$3:$A$5001,BD!$B$3:$B$5001,J$206,BD!$A$3:$A$5001,"&gt;="&amp;$C$7,BD!$A$3:$A$5001,"&lt;="&amp;$B237,BD!$W$3:$W$5001,"&lt;&gt;"))))</f>
        <v/>
      </c>
      <c r="K237" s="43" t="str">
        <f>IF(OR($B237="",$A237&gt;$B$9,K$206=""),"",IF(COUNTIFS(BD!$B$3:$B$5001,K$206,BD!$A$3:$A$5001,"&gt;="&amp;$C$7,BD!$A$3:$A$5001,"&lt;="&amp;$B237,BD!$W$3:$W$5001,"&lt;&gt;")=0,"",SUMIFS(BD!$W$3:$W$5001,BD!$B$3:$B$5001,K$206,BD!$A$3:$A$5001,_xlfn.MAXIFS(BD!$A$3:$A$5001,BD!$B$3:$B$5001,K$206,BD!$A$3:$A$5001,"&gt;="&amp;$C$7,BD!$A$3:$A$5001,"&lt;="&amp;$B237,BD!$W$3:$W$5001,"&lt;&gt;"))))</f>
        <v/>
      </c>
      <c r="L237" s="43" t="str">
        <f>IF(OR($B237="",$A237&gt;$B$9,L$206=""),"",IF(COUNTIFS(BD!$B$3:$B$5001,L$206,BD!$A$3:$A$5001,"&gt;="&amp;$C$7,BD!$A$3:$A$5001,"&lt;="&amp;$B237,BD!$W$3:$W$5001,"&lt;&gt;")=0,"",SUMIFS(BD!$W$3:$W$5001,BD!$B$3:$B$5001,L$206,BD!$A$3:$A$5001,_xlfn.MAXIFS(BD!$A$3:$A$5001,BD!$B$3:$B$5001,L$206,BD!$A$3:$A$5001,"&gt;="&amp;$C$7,BD!$A$3:$A$5001,"&lt;="&amp;$B237,BD!$W$3:$W$5001,"&lt;&gt;"))))</f>
        <v/>
      </c>
      <c r="M237" s="43" t="str">
        <f>IF(OR($B237="",$A237&gt;$B$9,M$206=""),"",IF(COUNTIFS(BD!$B$3:$B$5001,M$206,BD!$A$3:$A$5001,"&gt;="&amp;$C$7,BD!$A$3:$A$5001,"&lt;="&amp;$B237,BD!$W$3:$W$5001,"&lt;&gt;")=0,"",SUMIFS(BD!$W$3:$W$5001,BD!$B$3:$B$5001,M$206,BD!$A$3:$A$5001,_xlfn.MAXIFS(BD!$A$3:$A$5001,BD!$B$3:$B$5001,M$206,BD!$A$3:$A$5001,"&gt;="&amp;$C$7,BD!$A$3:$A$5001,"&lt;="&amp;$B237,BD!$W$3:$W$5001,"&lt;&gt;"))))</f>
        <v/>
      </c>
      <c r="N237" s="43" t="str">
        <f>IF(OR($B237="",$A237&gt;$B$9,N$206=""),"",IF(COUNTIFS(BD!$B$3:$B$5001,N$206,BD!$A$3:$A$5001,"&gt;="&amp;$C$7,BD!$A$3:$A$5001,"&lt;="&amp;$B237,BD!$W$3:$W$5001,"&lt;&gt;")=0,"",SUMIFS(BD!$W$3:$W$5001,BD!$B$3:$B$5001,N$206,BD!$A$3:$A$5001,_xlfn.MAXIFS(BD!$A$3:$A$5001,BD!$B$3:$B$5001,N$206,BD!$A$3:$A$5001,"&gt;="&amp;$C$7,BD!$A$3:$A$5001,"&lt;="&amp;$B237,BD!$W$3:$W$5001,"&lt;&gt;"))))</f>
        <v/>
      </c>
      <c r="O237" s="43" t="str">
        <f>IF(OR($B237="",$A237&gt;$B$9,O$206=""),"",IF(COUNTIFS(BD!$B$3:$B$5001,O$206,BD!$A$3:$A$5001,"&gt;="&amp;$C$7,BD!$A$3:$A$5001,"&lt;="&amp;$B237,BD!$W$3:$W$5001,"&lt;&gt;")=0,"",SUMIFS(BD!$W$3:$W$5001,BD!$B$3:$B$5001,O$206,BD!$A$3:$A$5001,_xlfn.MAXIFS(BD!$A$3:$A$5001,BD!$B$3:$B$5001,O$206,BD!$A$3:$A$5001,"&gt;="&amp;$C$7,BD!$A$3:$A$5001,"&lt;="&amp;$B237,BD!$W$3:$W$5001,"&lt;&gt;"))))</f>
        <v/>
      </c>
      <c r="P237" s="43" t="str">
        <f>IF(OR($B237="",$A237&gt;$B$9,P$206=""),"",IF(COUNTIFS(BD!$B$3:$B$5001,P$206,BD!$A$3:$A$5001,"&gt;="&amp;$C$7,BD!$A$3:$A$5001,"&lt;="&amp;$B237,BD!$W$3:$W$5001,"&lt;&gt;")=0,"",SUMIFS(BD!$W$3:$W$5001,BD!$B$3:$B$5001,P$206,BD!$A$3:$A$5001,_xlfn.MAXIFS(BD!$A$3:$A$5001,BD!$B$3:$B$5001,P$206,BD!$A$3:$A$5001,"&gt;="&amp;$C$7,BD!$A$3:$A$5001,"&lt;="&amp;$B237,BD!$W$3:$W$5001,"&lt;&gt;"))))</f>
        <v/>
      </c>
      <c r="Q237" s="43" t="str">
        <f>IF(OR($B237="",$A237&gt;$B$9,Q$206=""),"",IF(COUNTIFS(BD!$B$3:$B$5001,Q$206,BD!$A$3:$A$5001,"&gt;="&amp;$C$7,BD!$A$3:$A$5001,"&lt;="&amp;$B237,BD!$W$3:$W$5001,"&lt;&gt;")=0,"",SUMIFS(BD!$W$3:$W$5001,BD!$B$3:$B$5001,Q$206,BD!$A$3:$A$5001,_xlfn.MAXIFS(BD!$A$3:$A$5001,BD!$B$3:$B$5001,Q$206,BD!$A$3:$A$5001,"&gt;="&amp;$C$7,BD!$A$3:$A$5001,"&lt;="&amp;$B237,BD!$W$3:$W$5001,"&lt;&gt;"))))</f>
        <v/>
      </c>
      <c r="R237" s="43" t="str">
        <f>IF(OR($B237="",$A237&gt;$B$9,R$206=""),"",IF(COUNTIFS(BD!$B$3:$B$5001,R$206,BD!$A$3:$A$5001,"&gt;="&amp;$C$7,BD!$A$3:$A$5001,"&lt;="&amp;$B237,BD!$W$3:$W$5001,"&lt;&gt;")=0,"",SUMIFS(BD!$W$3:$W$5001,BD!$B$3:$B$5001,R$206,BD!$A$3:$A$5001,_xlfn.MAXIFS(BD!$A$3:$A$5001,BD!$B$3:$B$5001,R$206,BD!$A$3:$A$5001,"&gt;="&amp;$C$7,BD!$A$3:$A$5001,"&lt;="&amp;$B237,BD!$W$3:$W$5001,"&lt;&gt;"))))</f>
        <v/>
      </c>
      <c r="S237" s="43" t="str">
        <f>IF(OR($B237="",$A237&gt;$B$9,S$206=""),"",IF(COUNTIFS(BD!$B$3:$B$5001,S$206,BD!$A$3:$A$5001,"&gt;="&amp;$C$7,BD!$A$3:$A$5001,"&lt;="&amp;$B237,BD!$W$3:$W$5001,"&lt;&gt;")=0,"",SUMIFS(BD!$W$3:$W$5001,BD!$B$3:$B$5001,S$206,BD!$A$3:$A$5001,_xlfn.MAXIFS(BD!$A$3:$A$5001,BD!$B$3:$B$5001,S$206,BD!$A$3:$A$5001,"&gt;="&amp;$C$7,BD!$A$3:$A$5001,"&lt;="&amp;$B237,BD!$W$3:$W$5001,"&lt;&gt;"))))</f>
        <v/>
      </c>
      <c r="T237" s="43" t="str">
        <f>IF(OR($B237="",$A237&gt;$B$9,T$206=""),"",IF(COUNTIFS(BD!$B$3:$B$5001,T$206,BD!$A$3:$A$5001,"&gt;="&amp;$C$7,BD!$A$3:$A$5001,"&lt;="&amp;$B237,BD!$W$3:$W$5001,"&lt;&gt;")=0,"",SUMIFS(BD!$W$3:$W$5001,BD!$B$3:$B$5001,T$206,BD!$A$3:$A$5001,_xlfn.MAXIFS(BD!$A$3:$A$5001,BD!$B$3:$B$5001,T$206,BD!$A$3:$A$5001,"&gt;="&amp;$C$7,BD!$A$3:$A$5001,"&lt;="&amp;$B237,BD!$W$3:$W$5001,"&lt;&gt;"))))</f>
        <v/>
      </c>
      <c r="U237" s="43" t="str">
        <f>IF(OR($B237="",$A237&gt;$B$9,U$206=""),"",IF(COUNTIFS(BD!$B$3:$B$5001,U$206,BD!$A$3:$A$5001,"&gt;="&amp;$C$7,BD!$A$3:$A$5001,"&lt;="&amp;$B237,BD!$W$3:$W$5001,"&lt;&gt;")=0,"",SUMIFS(BD!$W$3:$W$5001,BD!$B$3:$B$5001,U$206,BD!$A$3:$A$5001,_xlfn.MAXIFS(BD!$A$3:$A$5001,BD!$B$3:$B$5001,U$206,BD!$A$3:$A$5001,"&gt;="&amp;$C$7,BD!$A$3:$A$5001,"&lt;="&amp;$B237,BD!$W$3:$W$5001,"&lt;&gt;"))))</f>
        <v/>
      </c>
      <c r="V237" s="43" t="str">
        <f>IF(OR($B237="",$A237&gt;$B$9,V$206=""),"",IF(COUNTIFS(BD!$B$3:$B$5001,V$206,BD!$A$3:$A$5001,"&gt;="&amp;$C$7,BD!$A$3:$A$5001,"&lt;="&amp;$B237,BD!$W$3:$W$5001,"&lt;&gt;")=0,"",SUMIFS(BD!$W$3:$W$5001,BD!$B$3:$B$5001,V$206,BD!$A$3:$A$5001,_xlfn.MAXIFS(BD!$A$3:$A$5001,BD!$B$3:$B$5001,V$206,BD!$A$3:$A$5001,"&gt;="&amp;$C$7,BD!$A$3:$A$5001,"&lt;="&amp;$B237,BD!$W$3:$W$5001,"&lt;&gt;"))))</f>
        <v/>
      </c>
    </row>
    <row r="238">
      <c r="A238" s="44" t="inlineStr">
        <is>
          <t xml:space="preserve">Mês anterior (último)</t>
        </is>
      </c>
      <c r="C238" s="45" t="str">
        <f>IF(C$206="","",IF(COUNTIFS(BD!$B$3:$B$5001,C$206,BD!$A$3:$A$5001,"&gt;="&amp;$C$8,BD!$A$3:$A$5001,"&lt;="&amp;$D$8,BD!$W$3:$W$5001,"&lt;&gt;")=0,"",SUMIFS(BD!$W$3:$W$5001,BD!$B$3:$B$5001,C$206,BD!$A$3:$A$5001,_xlfn.MAXIFS(BD!$A$3:$A$5001,BD!$B$3:$B$5001,C$206,BD!$A$3:$A$5001,"&gt;="&amp;$C$8,BD!$A$3:$A$5001,"&lt;="&amp;$D$8,BD!$W$3:$W$5001,"&lt;&gt;"))))</f>
        <v/>
      </c>
      <c r="D238" s="45" t="str">
        <f>IF(D$206="","",IF(COUNTIFS(BD!$B$3:$B$5001,D$206,BD!$A$3:$A$5001,"&gt;="&amp;$C$8,BD!$A$3:$A$5001,"&lt;="&amp;$D$8,BD!$W$3:$W$5001,"&lt;&gt;")=0,"",SUMIFS(BD!$W$3:$W$5001,BD!$B$3:$B$5001,D$206,BD!$A$3:$A$5001,_xlfn.MAXIFS(BD!$A$3:$A$5001,BD!$B$3:$B$5001,D$206,BD!$A$3:$A$5001,"&gt;="&amp;$C$8,BD!$A$3:$A$5001,"&lt;="&amp;$D$8,BD!$W$3:$W$5001,"&lt;&gt;"))))</f>
        <v/>
      </c>
      <c r="E238" s="45" t="str">
        <f>IF(E$206="","",IF(COUNTIFS(BD!$B$3:$B$5001,E$206,BD!$A$3:$A$5001,"&gt;="&amp;$C$8,BD!$A$3:$A$5001,"&lt;="&amp;$D$8,BD!$W$3:$W$5001,"&lt;&gt;")=0,"",SUMIFS(BD!$W$3:$W$5001,BD!$B$3:$B$5001,E$206,BD!$A$3:$A$5001,_xlfn.MAXIFS(BD!$A$3:$A$5001,BD!$B$3:$B$5001,E$206,BD!$A$3:$A$5001,"&gt;="&amp;$C$8,BD!$A$3:$A$5001,"&lt;="&amp;$D$8,BD!$W$3:$W$5001,"&lt;&gt;"))))</f>
        <v/>
      </c>
      <c r="F238" s="45" t="str">
        <f>IF(F$206="","",IF(COUNTIFS(BD!$B$3:$B$5001,F$206,BD!$A$3:$A$5001,"&gt;="&amp;$C$8,BD!$A$3:$A$5001,"&lt;="&amp;$D$8,BD!$W$3:$W$5001,"&lt;&gt;")=0,"",SUMIFS(BD!$W$3:$W$5001,BD!$B$3:$B$5001,F$206,BD!$A$3:$A$5001,_xlfn.MAXIFS(BD!$A$3:$A$5001,BD!$B$3:$B$5001,F$206,BD!$A$3:$A$5001,"&gt;="&amp;$C$8,BD!$A$3:$A$5001,"&lt;="&amp;$D$8,BD!$W$3:$W$5001,"&lt;&gt;"))))</f>
        <v/>
      </c>
      <c r="G238" s="45" t="str">
        <f>IF(G$206="","",IF(COUNTIFS(BD!$B$3:$B$5001,G$206,BD!$A$3:$A$5001,"&gt;="&amp;$C$8,BD!$A$3:$A$5001,"&lt;="&amp;$D$8,BD!$W$3:$W$5001,"&lt;&gt;")=0,"",SUMIFS(BD!$W$3:$W$5001,BD!$B$3:$B$5001,G$206,BD!$A$3:$A$5001,_xlfn.MAXIFS(BD!$A$3:$A$5001,BD!$B$3:$B$5001,G$206,BD!$A$3:$A$5001,"&gt;="&amp;$C$8,BD!$A$3:$A$5001,"&lt;="&amp;$D$8,BD!$W$3:$W$5001,"&lt;&gt;"))))</f>
        <v/>
      </c>
      <c r="H238" s="45" t="str">
        <f>IF(H$206="","",IF(COUNTIFS(BD!$B$3:$B$5001,H$206,BD!$A$3:$A$5001,"&gt;="&amp;$C$8,BD!$A$3:$A$5001,"&lt;="&amp;$D$8,BD!$W$3:$W$5001,"&lt;&gt;")=0,"",SUMIFS(BD!$W$3:$W$5001,BD!$B$3:$B$5001,H$206,BD!$A$3:$A$5001,_xlfn.MAXIFS(BD!$A$3:$A$5001,BD!$B$3:$B$5001,H$206,BD!$A$3:$A$5001,"&gt;="&amp;$C$8,BD!$A$3:$A$5001,"&lt;="&amp;$D$8,BD!$W$3:$W$5001,"&lt;&gt;"))))</f>
        <v/>
      </c>
      <c r="I238" s="45" t="str">
        <f>IF(I$206="","",IF(COUNTIFS(BD!$B$3:$B$5001,I$206,BD!$A$3:$A$5001,"&gt;="&amp;$C$8,BD!$A$3:$A$5001,"&lt;="&amp;$D$8,BD!$W$3:$W$5001,"&lt;&gt;")=0,"",SUMIFS(BD!$W$3:$W$5001,BD!$B$3:$B$5001,I$206,BD!$A$3:$A$5001,_xlfn.MAXIFS(BD!$A$3:$A$5001,BD!$B$3:$B$5001,I$206,BD!$A$3:$A$5001,"&gt;="&amp;$C$8,BD!$A$3:$A$5001,"&lt;="&amp;$D$8,BD!$W$3:$W$5001,"&lt;&gt;"))))</f>
        <v/>
      </c>
      <c r="J238" s="45" t="str">
        <f>IF(J$206="","",IF(COUNTIFS(BD!$B$3:$B$5001,J$206,BD!$A$3:$A$5001,"&gt;="&amp;$C$8,BD!$A$3:$A$5001,"&lt;="&amp;$D$8,BD!$W$3:$W$5001,"&lt;&gt;")=0,"",SUMIFS(BD!$W$3:$W$5001,BD!$B$3:$B$5001,J$206,BD!$A$3:$A$5001,_xlfn.MAXIFS(BD!$A$3:$A$5001,BD!$B$3:$B$5001,J$206,BD!$A$3:$A$5001,"&gt;="&amp;$C$8,BD!$A$3:$A$5001,"&lt;="&amp;$D$8,BD!$W$3:$W$5001,"&lt;&gt;"))))</f>
        <v/>
      </c>
      <c r="K238" s="45" t="str">
        <f>IF(K$206="","",IF(COUNTIFS(BD!$B$3:$B$5001,K$206,BD!$A$3:$A$5001,"&gt;="&amp;$C$8,BD!$A$3:$A$5001,"&lt;="&amp;$D$8,BD!$W$3:$W$5001,"&lt;&gt;")=0,"",SUMIFS(BD!$W$3:$W$5001,BD!$B$3:$B$5001,K$206,BD!$A$3:$A$5001,_xlfn.MAXIFS(BD!$A$3:$A$5001,BD!$B$3:$B$5001,K$206,BD!$A$3:$A$5001,"&gt;="&amp;$C$8,BD!$A$3:$A$5001,"&lt;="&amp;$D$8,BD!$W$3:$W$5001,"&lt;&gt;"))))</f>
        <v/>
      </c>
      <c r="L238" s="45" t="str">
        <f>IF(L$206="","",IF(COUNTIFS(BD!$B$3:$B$5001,L$206,BD!$A$3:$A$5001,"&gt;="&amp;$C$8,BD!$A$3:$A$5001,"&lt;="&amp;$D$8,BD!$W$3:$W$5001,"&lt;&gt;")=0,"",SUMIFS(BD!$W$3:$W$5001,BD!$B$3:$B$5001,L$206,BD!$A$3:$A$5001,_xlfn.MAXIFS(BD!$A$3:$A$5001,BD!$B$3:$B$5001,L$206,BD!$A$3:$A$5001,"&gt;="&amp;$C$8,BD!$A$3:$A$5001,"&lt;="&amp;$D$8,BD!$W$3:$W$5001,"&lt;&gt;"))))</f>
        <v/>
      </c>
      <c r="M238" s="45" t="str">
        <f>IF(M$206="","",IF(COUNTIFS(BD!$B$3:$B$5001,M$206,BD!$A$3:$A$5001,"&gt;="&amp;$C$8,BD!$A$3:$A$5001,"&lt;="&amp;$D$8,BD!$W$3:$W$5001,"&lt;&gt;")=0,"",SUMIFS(BD!$W$3:$W$5001,BD!$B$3:$B$5001,M$206,BD!$A$3:$A$5001,_xlfn.MAXIFS(BD!$A$3:$A$5001,BD!$B$3:$B$5001,M$206,BD!$A$3:$A$5001,"&gt;="&amp;$C$8,BD!$A$3:$A$5001,"&lt;="&amp;$D$8,BD!$W$3:$W$5001,"&lt;&gt;"))))</f>
        <v/>
      </c>
      <c r="N238" s="45" t="str">
        <f>IF(N$206="","",IF(COUNTIFS(BD!$B$3:$B$5001,N$206,BD!$A$3:$A$5001,"&gt;="&amp;$C$8,BD!$A$3:$A$5001,"&lt;="&amp;$D$8,BD!$W$3:$W$5001,"&lt;&gt;")=0,"",SUMIFS(BD!$W$3:$W$5001,BD!$B$3:$B$5001,N$206,BD!$A$3:$A$5001,_xlfn.MAXIFS(BD!$A$3:$A$5001,BD!$B$3:$B$5001,N$206,BD!$A$3:$A$5001,"&gt;="&amp;$C$8,BD!$A$3:$A$5001,"&lt;="&amp;$D$8,BD!$W$3:$W$5001,"&lt;&gt;"))))</f>
        <v/>
      </c>
      <c r="O238" s="45" t="str">
        <f>IF(O$206="","",IF(COUNTIFS(BD!$B$3:$B$5001,O$206,BD!$A$3:$A$5001,"&gt;="&amp;$C$8,BD!$A$3:$A$5001,"&lt;="&amp;$D$8,BD!$W$3:$W$5001,"&lt;&gt;")=0,"",SUMIFS(BD!$W$3:$W$5001,BD!$B$3:$B$5001,O$206,BD!$A$3:$A$5001,_xlfn.MAXIFS(BD!$A$3:$A$5001,BD!$B$3:$B$5001,O$206,BD!$A$3:$A$5001,"&gt;="&amp;$C$8,BD!$A$3:$A$5001,"&lt;="&amp;$D$8,BD!$W$3:$W$5001,"&lt;&gt;"))))</f>
        <v/>
      </c>
      <c r="P238" s="45" t="str">
        <f>IF(P$206="","",IF(COUNTIFS(BD!$B$3:$B$5001,P$206,BD!$A$3:$A$5001,"&gt;="&amp;$C$8,BD!$A$3:$A$5001,"&lt;="&amp;$D$8,BD!$W$3:$W$5001,"&lt;&gt;")=0,"",SUMIFS(BD!$W$3:$W$5001,BD!$B$3:$B$5001,P$206,BD!$A$3:$A$5001,_xlfn.MAXIFS(BD!$A$3:$A$5001,BD!$B$3:$B$5001,P$206,BD!$A$3:$A$5001,"&gt;="&amp;$C$8,BD!$A$3:$A$5001,"&lt;="&amp;$D$8,BD!$W$3:$W$5001,"&lt;&gt;"))))</f>
        <v/>
      </c>
      <c r="Q238" s="45" t="str">
        <f>IF(Q$206="","",IF(COUNTIFS(BD!$B$3:$B$5001,Q$206,BD!$A$3:$A$5001,"&gt;="&amp;$C$8,BD!$A$3:$A$5001,"&lt;="&amp;$D$8,BD!$W$3:$W$5001,"&lt;&gt;")=0,"",SUMIFS(BD!$W$3:$W$5001,BD!$B$3:$B$5001,Q$206,BD!$A$3:$A$5001,_xlfn.MAXIFS(BD!$A$3:$A$5001,BD!$B$3:$B$5001,Q$206,BD!$A$3:$A$5001,"&gt;="&amp;$C$8,BD!$A$3:$A$5001,"&lt;="&amp;$D$8,BD!$W$3:$W$5001,"&lt;&gt;"))))</f>
        <v/>
      </c>
      <c r="R238" s="45" t="str">
        <f>IF(R$206="","",IF(COUNTIFS(BD!$B$3:$B$5001,R$206,BD!$A$3:$A$5001,"&gt;="&amp;$C$8,BD!$A$3:$A$5001,"&lt;="&amp;$D$8,BD!$W$3:$W$5001,"&lt;&gt;")=0,"",SUMIFS(BD!$W$3:$W$5001,BD!$B$3:$B$5001,R$206,BD!$A$3:$A$5001,_xlfn.MAXIFS(BD!$A$3:$A$5001,BD!$B$3:$B$5001,R$206,BD!$A$3:$A$5001,"&gt;="&amp;$C$8,BD!$A$3:$A$5001,"&lt;="&amp;$D$8,BD!$W$3:$W$5001,"&lt;&gt;"))))</f>
        <v/>
      </c>
      <c r="S238" s="45" t="str">
        <f>IF(S$206="","",IF(COUNTIFS(BD!$B$3:$B$5001,S$206,BD!$A$3:$A$5001,"&gt;="&amp;$C$8,BD!$A$3:$A$5001,"&lt;="&amp;$D$8,BD!$W$3:$W$5001,"&lt;&gt;")=0,"",SUMIFS(BD!$W$3:$W$5001,BD!$B$3:$B$5001,S$206,BD!$A$3:$A$5001,_xlfn.MAXIFS(BD!$A$3:$A$5001,BD!$B$3:$B$5001,S$206,BD!$A$3:$A$5001,"&gt;="&amp;$C$8,BD!$A$3:$A$5001,"&lt;="&amp;$D$8,BD!$W$3:$W$5001,"&lt;&gt;"))))</f>
        <v/>
      </c>
      <c r="T238" s="45" t="str">
        <f>IF(T$206="","",IF(COUNTIFS(BD!$B$3:$B$5001,T$206,BD!$A$3:$A$5001,"&gt;="&amp;$C$8,BD!$A$3:$A$5001,"&lt;="&amp;$D$8,BD!$W$3:$W$5001,"&lt;&gt;")=0,"",SUMIFS(BD!$W$3:$W$5001,BD!$B$3:$B$5001,T$206,BD!$A$3:$A$5001,_xlfn.MAXIFS(BD!$A$3:$A$5001,BD!$B$3:$B$5001,T$206,BD!$A$3:$A$5001,"&gt;="&amp;$C$8,BD!$A$3:$A$5001,"&lt;="&amp;$D$8,BD!$W$3:$W$5001,"&lt;&gt;"))))</f>
        <v/>
      </c>
      <c r="U238" s="45" t="str">
        <f>IF(U$206="","",IF(COUNTIFS(BD!$B$3:$B$5001,U$206,BD!$A$3:$A$5001,"&gt;="&amp;$C$8,BD!$A$3:$A$5001,"&lt;="&amp;$D$8,BD!$W$3:$W$5001,"&lt;&gt;")=0,"",SUMIFS(BD!$W$3:$W$5001,BD!$B$3:$B$5001,U$206,BD!$A$3:$A$5001,_xlfn.MAXIFS(BD!$A$3:$A$5001,BD!$B$3:$B$5001,U$206,BD!$A$3:$A$5001,"&gt;="&amp;$C$8,BD!$A$3:$A$5001,"&lt;="&amp;$D$8,BD!$W$3:$W$5001,"&lt;&gt;"))))</f>
        <v/>
      </c>
      <c r="V238" s="45" t="str">
        <f>IF(V$206="","",IF(COUNTIFS(BD!$B$3:$B$5001,V$206,BD!$A$3:$A$5001,"&gt;="&amp;$C$8,BD!$A$3:$A$5001,"&lt;="&amp;$D$8,BD!$W$3:$W$5001,"&lt;&gt;")=0,"",SUMIFS(BD!$W$3:$W$5001,BD!$B$3:$B$5001,V$206,BD!$A$3:$A$5001,_xlfn.MAXIFS(BD!$A$3:$A$5001,BD!$B$3:$B$5001,V$206,BD!$A$3:$A$5001,"&gt;="&amp;$C$8,BD!$A$3:$A$5001,"&lt;="&amp;$D$8,BD!$W$3:$W$5001,"&lt;&gt;"))))</f>
        <v/>
      </c>
    </row>
    <row r="239">
      <c r="A239" s="44" t="inlineStr">
        <is>
          <t xml:space="preserve">Depósito</t>
        </is>
      </c>
      <c r="C239" s="38" t="str">
        <f>IF(Config!$C$10="","TPC",Config!$C$10)</f>
        <v>TPC</v>
      </c>
      <c r="D239" s="38" t="str">
        <f>IF(Config!$C$11="","TPC",Config!$C$11)</f>
        <v>TPC</v>
      </c>
      <c r="E239" s="38" t="str">
        <f>IF(Config!$C$12="","TPC",Config!$C$12)</f>
        <v>TPC</v>
      </c>
      <c r="F239" s="38" t="str">
        <f>IF(Config!$C$13="","TPC",Config!$C$13)</f>
        <v>TPC</v>
      </c>
      <c r="G239" s="38" t="str">
        <f>IF(Config!$C$14="","TPC",Config!$C$14)</f>
        <v>TPC</v>
      </c>
      <c r="H239" s="38" t="str">
        <f>IF(Config!$C$15="","TPC",Config!$C$15)</f>
        <v>TPC</v>
      </c>
      <c r="I239" s="38" t="str">
        <f>IF(Config!$C$16="","TPC",Config!$C$16)</f>
        <v>TPC</v>
      </c>
      <c r="J239" s="38" t="str">
        <f>IF(Config!$C$17="","TPC",Config!$C$17)</f>
        <v>TPC</v>
      </c>
      <c r="K239" s="38" t="str">
        <f>IF(Config!$C$18="","TPC",Config!$C$18)</f>
        <v>TPC</v>
      </c>
      <c r="L239" s="38" t="str">
        <f>IF(Config!$C$19="","TPC",Config!$C$19)</f>
        <v>TPC</v>
      </c>
      <c r="M239" s="38" t="str">
        <f>IF(Config!$C$20="","TPC",Config!$C$20)</f>
        <v>TPC</v>
      </c>
      <c r="N239" s="38" t="str">
        <f>IF(Config!$C$21="","TPC",Config!$C$21)</f>
        <v>TPC</v>
      </c>
      <c r="O239" s="38" t="str">
        <f>IF(Config!$C$22="","TPC",Config!$C$22)</f>
        <v>TPC</v>
      </c>
      <c r="P239" s="38" t="str">
        <f>IF(Config!$C$23="","TPC",Config!$C$23)</f>
        <v>TPC</v>
      </c>
      <c r="Q239" s="38" t="str">
        <f>IF(Config!$C$24="","TPC",Config!$C$24)</f>
        <v>TPC</v>
      </c>
      <c r="R239" s="38" t="str">
        <f>IF(Config!$C$25="","TPC",Config!$C$25)</f>
        <v>TPC</v>
      </c>
      <c r="S239" s="38" t="str">
        <f>IF(Config!$C$26="","TPC",Config!$C$26)</f>
        <v>TPC</v>
      </c>
      <c r="T239" s="38" t="str">
        <f>IF(Config!$C$27="","TPC",Config!$C$27)</f>
        <v>TPC</v>
      </c>
      <c r="U239" s="38" t="str">
        <f>IF(Config!$C$28="","TPC",Config!$C$28)</f>
        <v>TPC</v>
      </c>
      <c r="V239" s="38" t="str">
        <f>IF(Config!$C$29="","TPC",Config!$C$29)</f>
        <v>TPC</v>
      </c>
    </row>
    <row r="241">
      <c r="A241" s="37" t="inlineStr">
        <is>
          <t xml:space="preserve">Efetivo Op.</t>
        </is>
      </c>
      <c r="B241" s="37" t="inlineStr">
        <is>
          <t xml:space="preserve">Data</t>
        </is>
      </c>
      <c r="C241" s="37" t="str">
        <f>Config!$B$10&amp;""</f>
        <v>Alpargatas</v>
      </c>
      <c r="D241" s="37" t="str">
        <f>Config!$B$11&amp;""</f>
        <v>Basf</v>
      </c>
      <c r="E241" s="37" t="str">
        <f>Config!$B$12&amp;""</f>
        <v>Beautybiz</v>
      </c>
      <c r="F241" s="37" t="str">
        <f>Config!$B$13&amp;""</f>
        <v>Boticário</v>
      </c>
      <c r="G241" s="37" t="str">
        <f>Config!$B$14&amp;""</f>
        <v>Confiance</v>
      </c>
      <c r="H241" s="37" t="str">
        <f>Config!$B$15&amp;""</f>
        <v>GE Vernova</v>
      </c>
      <c r="I241" s="37" t="str">
        <f>Config!$B$16&amp;""</f>
        <v>Omnilife</v>
      </c>
      <c r="J241" s="37" t="str">
        <f>Config!$B$17&amp;""</f>
        <v>Supply</v>
      </c>
      <c r="K241" s="37" t="str">
        <f>Config!$B$18&amp;""</f>
        <v>Vedacit</v>
      </c>
      <c r="L241" s="37" t="str">
        <f>Config!$B$19&amp;""</f>
        <v>Vestas</v>
      </c>
      <c r="M241" s="37" t="str">
        <f>Config!$B$20&amp;""</f>
        <v/>
      </c>
      <c r="N241" s="37" t="str">
        <f>Config!$B$21&amp;""</f>
        <v/>
      </c>
      <c r="O241" s="37" t="str">
        <f>Config!$B$22&amp;""</f>
        <v/>
      </c>
      <c r="P241" s="37" t="str">
        <f>Config!$B$23&amp;""</f>
        <v/>
      </c>
      <c r="Q241" s="37" t="str">
        <f>Config!$B$24&amp;""</f>
        <v/>
      </c>
      <c r="R241" s="37" t="str">
        <f>Config!$B$25&amp;""</f>
        <v/>
      </c>
      <c r="S241" s="37" t="str">
        <f>Config!$B$26&amp;""</f>
        <v/>
      </c>
      <c r="T241" s="37" t="str">
        <f>Config!$B$27&amp;""</f>
        <v/>
      </c>
      <c r="U241" s="37" t="str">
        <f>Config!$B$28&amp;""</f>
        <v/>
      </c>
      <c r="V241" s="37" t="str">
        <f>Config!$B$29&amp;""</f>
        <v/>
      </c>
    </row>
    <row r="242">
      <c r="A242" s="38">
        <v>1</v>
      </c>
      <c r="B242" s="42">
        <f>$B$12</f>
        <v>46296</v>
      </c>
      <c r="C242" s="43" t="str">
        <f>IF(OR($B242="",$A242&gt;$B$9,C$241=""),"",IF(COUNTIFS(BD!$B$3:$B$5001,C$241,BD!$A$3:$A$5001,"&gt;="&amp;$C$7,BD!$A$3:$A$5001,"&lt;="&amp;$B242,BD!$Y$3:$Y$5001,"&lt;&gt;")=0,"",SUMIFS(BD!$Y$3:$Y$5001,BD!$B$3:$B$5001,C$241,BD!$A$3:$A$5001,_xlfn.MAXIFS(BD!$A$3:$A$5001,BD!$B$3:$B$5001,C$241,BD!$A$3:$A$5001,"&gt;="&amp;$C$7,BD!$A$3:$A$5001,"&lt;="&amp;$B242,BD!$Y$3:$Y$5001,"&lt;&gt;"))))</f>
        <v/>
      </c>
      <c r="D242" s="43" t="str">
        <f>IF(OR($B242="",$A242&gt;$B$9,D$241=""),"",IF(COUNTIFS(BD!$B$3:$B$5001,D$241,BD!$A$3:$A$5001,"&gt;="&amp;$C$7,BD!$A$3:$A$5001,"&lt;="&amp;$B242,BD!$Y$3:$Y$5001,"&lt;&gt;")=0,"",SUMIFS(BD!$Y$3:$Y$5001,BD!$B$3:$B$5001,D$241,BD!$A$3:$A$5001,_xlfn.MAXIFS(BD!$A$3:$A$5001,BD!$B$3:$B$5001,D$241,BD!$A$3:$A$5001,"&gt;="&amp;$C$7,BD!$A$3:$A$5001,"&lt;="&amp;$B242,BD!$Y$3:$Y$5001,"&lt;&gt;"))))</f>
        <v/>
      </c>
      <c r="E242" s="43" t="str">
        <f>IF(OR($B242="",$A242&gt;$B$9,E$241=""),"",IF(COUNTIFS(BD!$B$3:$B$5001,E$241,BD!$A$3:$A$5001,"&gt;="&amp;$C$7,BD!$A$3:$A$5001,"&lt;="&amp;$B242,BD!$Y$3:$Y$5001,"&lt;&gt;")=0,"",SUMIFS(BD!$Y$3:$Y$5001,BD!$B$3:$B$5001,E$241,BD!$A$3:$A$5001,_xlfn.MAXIFS(BD!$A$3:$A$5001,BD!$B$3:$B$5001,E$241,BD!$A$3:$A$5001,"&gt;="&amp;$C$7,BD!$A$3:$A$5001,"&lt;="&amp;$B242,BD!$Y$3:$Y$5001,"&lt;&gt;"))))</f>
        <v/>
      </c>
      <c r="F242" s="43" t="str">
        <f>IF(OR($B242="",$A242&gt;$B$9,F$241=""),"",IF(COUNTIFS(BD!$B$3:$B$5001,F$241,BD!$A$3:$A$5001,"&gt;="&amp;$C$7,BD!$A$3:$A$5001,"&lt;="&amp;$B242,BD!$Y$3:$Y$5001,"&lt;&gt;")=0,"",SUMIFS(BD!$Y$3:$Y$5001,BD!$B$3:$B$5001,F$241,BD!$A$3:$A$5001,_xlfn.MAXIFS(BD!$A$3:$A$5001,BD!$B$3:$B$5001,F$241,BD!$A$3:$A$5001,"&gt;="&amp;$C$7,BD!$A$3:$A$5001,"&lt;="&amp;$B242,BD!$Y$3:$Y$5001,"&lt;&gt;"))))</f>
        <v/>
      </c>
      <c r="G242" s="43" t="str">
        <f>IF(OR($B242="",$A242&gt;$B$9,G$241=""),"",IF(COUNTIFS(BD!$B$3:$B$5001,G$241,BD!$A$3:$A$5001,"&gt;="&amp;$C$7,BD!$A$3:$A$5001,"&lt;="&amp;$B242,BD!$Y$3:$Y$5001,"&lt;&gt;")=0,"",SUMIFS(BD!$Y$3:$Y$5001,BD!$B$3:$B$5001,G$241,BD!$A$3:$A$5001,_xlfn.MAXIFS(BD!$A$3:$A$5001,BD!$B$3:$B$5001,G$241,BD!$A$3:$A$5001,"&gt;="&amp;$C$7,BD!$A$3:$A$5001,"&lt;="&amp;$B242,BD!$Y$3:$Y$5001,"&lt;&gt;"))))</f>
        <v/>
      </c>
      <c r="H242" s="43" t="str">
        <f>IF(OR($B242="",$A242&gt;$B$9,H$241=""),"",IF(COUNTIFS(BD!$B$3:$B$5001,H$241,BD!$A$3:$A$5001,"&gt;="&amp;$C$7,BD!$A$3:$A$5001,"&lt;="&amp;$B242,BD!$Y$3:$Y$5001,"&lt;&gt;")=0,"",SUMIFS(BD!$Y$3:$Y$5001,BD!$B$3:$B$5001,H$241,BD!$A$3:$A$5001,_xlfn.MAXIFS(BD!$A$3:$A$5001,BD!$B$3:$B$5001,H$241,BD!$A$3:$A$5001,"&gt;="&amp;$C$7,BD!$A$3:$A$5001,"&lt;="&amp;$B242,BD!$Y$3:$Y$5001,"&lt;&gt;"))))</f>
        <v/>
      </c>
      <c r="I242" s="43" t="str">
        <f>IF(OR($B242="",$A242&gt;$B$9,I$241=""),"",IF(COUNTIFS(BD!$B$3:$B$5001,I$241,BD!$A$3:$A$5001,"&gt;="&amp;$C$7,BD!$A$3:$A$5001,"&lt;="&amp;$B242,BD!$Y$3:$Y$5001,"&lt;&gt;")=0,"",SUMIFS(BD!$Y$3:$Y$5001,BD!$B$3:$B$5001,I$241,BD!$A$3:$A$5001,_xlfn.MAXIFS(BD!$A$3:$A$5001,BD!$B$3:$B$5001,I$241,BD!$A$3:$A$5001,"&gt;="&amp;$C$7,BD!$A$3:$A$5001,"&lt;="&amp;$B242,BD!$Y$3:$Y$5001,"&lt;&gt;"))))</f>
        <v/>
      </c>
      <c r="J242" s="43" t="str">
        <f>IF(OR($B242="",$A242&gt;$B$9,J$241=""),"",IF(COUNTIFS(BD!$B$3:$B$5001,J$241,BD!$A$3:$A$5001,"&gt;="&amp;$C$7,BD!$A$3:$A$5001,"&lt;="&amp;$B242,BD!$Y$3:$Y$5001,"&lt;&gt;")=0,"",SUMIFS(BD!$Y$3:$Y$5001,BD!$B$3:$B$5001,J$241,BD!$A$3:$A$5001,_xlfn.MAXIFS(BD!$A$3:$A$5001,BD!$B$3:$B$5001,J$241,BD!$A$3:$A$5001,"&gt;="&amp;$C$7,BD!$A$3:$A$5001,"&lt;="&amp;$B242,BD!$Y$3:$Y$5001,"&lt;&gt;"))))</f>
        <v/>
      </c>
      <c r="K242" s="43" t="str">
        <f>IF(OR($B242="",$A242&gt;$B$9,K$241=""),"",IF(COUNTIFS(BD!$B$3:$B$5001,K$241,BD!$A$3:$A$5001,"&gt;="&amp;$C$7,BD!$A$3:$A$5001,"&lt;="&amp;$B242,BD!$Y$3:$Y$5001,"&lt;&gt;")=0,"",SUMIFS(BD!$Y$3:$Y$5001,BD!$B$3:$B$5001,K$241,BD!$A$3:$A$5001,_xlfn.MAXIFS(BD!$A$3:$A$5001,BD!$B$3:$B$5001,K$241,BD!$A$3:$A$5001,"&gt;="&amp;$C$7,BD!$A$3:$A$5001,"&lt;="&amp;$B242,BD!$Y$3:$Y$5001,"&lt;&gt;"))))</f>
        <v/>
      </c>
      <c r="L242" s="43" t="str">
        <f>IF(OR($B242="",$A242&gt;$B$9,L$241=""),"",IF(COUNTIFS(BD!$B$3:$B$5001,L$241,BD!$A$3:$A$5001,"&gt;="&amp;$C$7,BD!$A$3:$A$5001,"&lt;="&amp;$B242,BD!$Y$3:$Y$5001,"&lt;&gt;")=0,"",SUMIFS(BD!$Y$3:$Y$5001,BD!$B$3:$B$5001,L$241,BD!$A$3:$A$5001,_xlfn.MAXIFS(BD!$A$3:$A$5001,BD!$B$3:$B$5001,L$241,BD!$A$3:$A$5001,"&gt;="&amp;$C$7,BD!$A$3:$A$5001,"&lt;="&amp;$B242,BD!$Y$3:$Y$5001,"&lt;&gt;"))))</f>
        <v/>
      </c>
      <c r="M242" s="43" t="str">
        <f>IF(OR($B242="",$A242&gt;$B$9,M$241=""),"",IF(COUNTIFS(BD!$B$3:$B$5001,M$241,BD!$A$3:$A$5001,"&gt;="&amp;$C$7,BD!$A$3:$A$5001,"&lt;="&amp;$B242,BD!$Y$3:$Y$5001,"&lt;&gt;")=0,"",SUMIFS(BD!$Y$3:$Y$5001,BD!$B$3:$B$5001,M$241,BD!$A$3:$A$5001,_xlfn.MAXIFS(BD!$A$3:$A$5001,BD!$B$3:$B$5001,M$241,BD!$A$3:$A$5001,"&gt;="&amp;$C$7,BD!$A$3:$A$5001,"&lt;="&amp;$B242,BD!$Y$3:$Y$5001,"&lt;&gt;"))))</f>
        <v/>
      </c>
      <c r="N242" s="43" t="str">
        <f>IF(OR($B242="",$A242&gt;$B$9,N$241=""),"",IF(COUNTIFS(BD!$B$3:$B$5001,N$241,BD!$A$3:$A$5001,"&gt;="&amp;$C$7,BD!$A$3:$A$5001,"&lt;="&amp;$B242,BD!$Y$3:$Y$5001,"&lt;&gt;")=0,"",SUMIFS(BD!$Y$3:$Y$5001,BD!$B$3:$B$5001,N$241,BD!$A$3:$A$5001,_xlfn.MAXIFS(BD!$A$3:$A$5001,BD!$B$3:$B$5001,N$241,BD!$A$3:$A$5001,"&gt;="&amp;$C$7,BD!$A$3:$A$5001,"&lt;="&amp;$B242,BD!$Y$3:$Y$5001,"&lt;&gt;"))))</f>
        <v/>
      </c>
      <c r="O242" s="43" t="str">
        <f>IF(OR($B242="",$A242&gt;$B$9,O$241=""),"",IF(COUNTIFS(BD!$B$3:$B$5001,O$241,BD!$A$3:$A$5001,"&gt;="&amp;$C$7,BD!$A$3:$A$5001,"&lt;="&amp;$B242,BD!$Y$3:$Y$5001,"&lt;&gt;")=0,"",SUMIFS(BD!$Y$3:$Y$5001,BD!$B$3:$B$5001,O$241,BD!$A$3:$A$5001,_xlfn.MAXIFS(BD!$A$3:$A$5001,BD!$B$3:$B$5001,O$241,BD!$A$3:$A$5001,"&gt;="&amp;$C$7,BD!$A$3:$A$5001,"&lt;="&amp;$B242,BD!$Y$3:$Y$5001,"&lt;&gt;"))))</f>
        <v/>
      </c>
      <c r="P242" s="43" t="str">
        <f>IF(OR($B242="",$A242&gt;$B$9,P$241=""),"",IF(COUNTIFS(BD!$B$3:$B$5001,P$241,BD!$A$3:$A$5001,"&gt;="&amp;$C$7,BD!$A$3:$A$5001,"&lt;="&amp;$B242,BD!$Y$3:$Y$5001,"&lt;&gt;")=0,"",SUMIFS(BD!$Y$3:$Y$5001,BD!$B$3:$B$5001,P$241,BD!$A$3:$A$5001,_xlfn.MAXIFS(BD!$A$3:$A$5001,BD!$B$3:$B$5001,P$241,BD!$A$3:$A$5001,"&gt;="&amp;$C$7,BD!$A$3:$A$5001,"&lt;="&amp;$B242,BD!$Y$3:$Y$5001,"&lt;&gt;"))))</f>
        <v/>
      </c>
      <c r="Q242" s="43" t="str">
        <f>IF(OR($B242="",$A242&gt;$B$9,Q$241=""),"",IF(COUNTIFS(BD!$B$3:$B$5001,Q$241,BD!$A$3:$A$5001,"&gt;="&amp;$C$7,BD!$A$3:$A$5001,"&lt;="&amp;$B242,BD!$Y$3:$Y$5001,"&lt;&gt;")=0,"",SUMIFS(BD!$Y$3:$Y$5001,BD!$B$3:$B$5001,Q$241,BD!$A$3:$A$5001,_xlfn.MAXIFS(BD!$A$3:$A$5001,BD!$B$3:$B$5001,Q$241,BD!$A$3:$A$5001,"&gt;="&amp;$C$7,BD!$A$3:$A$5001,"&lt;="&amp;$B242,BD!$Y$3:$Y$5001,"&lt;&gt;"))))</f>
        <v/>
      </c>
      <c r="R242" s="43" t="str">
        <f>IF(OR($B242="",$A242&gt;$B$9,R$241=""),"",IF(COUNTIFS(BD!$B$3:$B$5001,R$241,BD!$A$3:$A$5001,"&gt;="&amp;$C$7,BD!$A$3:$A$5001,"&lt;="&amp;$B242,BD!$Y$3:$Y$5001,"&lt;&gt;")=0,"",SUMIFS(BD!$Y$3:$Y$5001,BD!$B$3:$B$5001,R$241,BD!$A$3:$A$5001,_xlfn.MAXIFS(BD!$A$3:$A$5001,BD!$B$3:$B$5001,R$241,BD!$A$3:$A$5001,"&gt;="&amp;$C$7,BD!$A$3:$A$5001,"&lt;="&amp;$B242,BD!$Y$3:$Y$5001,"&lt;&gt;"))))</f>
        <v/>
      </c>
      <c r="S242" s="43" t="str">
        <f>IF(OR($B242="",$A242&gt;$B$9,S$241=""),"",IF(COUNTIFS(BD!$B$3:$B$5001,S$241,BD!$A$3:$A$5001,"&gt;="&amp;$C$7,BD!$A$3:$A$5001,"&lt;="&amp;$B242,BD!$Y$3:$Y$5001,"&lt;&gt;")=0,"",SUMIFS(BD!$Y$3:$Y$5001,BD!$B$3:$B$5001,S$241,BD!$A$3:$A$5001,_xlfn.MAXIFS(BD!$A$3:$A$5001,BD!$B$3:$B$5001,S$241,BD!$A$3:$A$5001,"&gt;="&amp;$C$7,BD!$A$3:$A$5001,"&lt;="&amp;$B242,BD!$Y$3:$Y$5001,"&lt;&gt;"))))</f>
        <v/>
      </c>
      <c r="T242" s="43" t="str">
        <f>IF(OR($B242="",$A242&gt;$B$9,T$241=""),"",IF(COUNTIFS(BD!$B$3:$B$5001,T$241,BD!$A$3:$A$5001,"&gt;="&amp;$C$7,BD!$A$3:$A$5001,"&lt;="&amp;$B242,BD!$Y$3:$Y$5001,"&lt;&gt;")=0,"",SUMIFS(BD!$Y$3:$Y$5001,BD!$B$3:$B$5001,T$241,BD!$A$3:$A$5001,_xlfn.MAXIFS(BD!$A$3:$A$5001,BD!$B$3:$B$5001,T$241,BD!$A$3:$A$5001,"&gt;="&amp;$C$7,BD!$A$3:$A$5001,"&lt;="&amp;$B242,BD!$Y$3:$Y$5001,"&lt;&gt;"))))</f>
        <v/>
      </c>
      <c r="U242" s="43" t="str">
        <f>IF(OR($B242="",$A242&gt;$B$9,U$241=""),"",IF(COUNTIFS(BD!$B$3:$B$5001,U$241,BD!$A$3:$A$5001,"&gt;="&amp;$C$7,BD!$A$3:$A$5001,"&lt;="&amp;$B242,BD!$Y$3:$Y$5001,"&lt;&gt;")=0,"",SUMIFS(BD!$Y$3:$Y$5001,BD!$B$3:$B$5001,U$241,BD!$A$3:$A$5001,_xlfn.MAXIFS(BD!$A$3:$A$5001,BD!$B$3:$B$5001,U$241,BD!$A$3:$A$5001,"&gt;="&amp;$C$7,BD!$A$3:$A$5001,"&lt;="&amp;$B242,BD!$Y$3:$Y$5001,"&lt;&gt;"))))</f>
        <v/>
      </c>
      <c r="V242" s="43" t="str">
        <f>IF(OR($B242="",$A242&gt;$B$9,V$241=""),"",IF(COUNTIFS(BD!$B$3:$B$5001,V$241,BD!$A$3:$A$5001,"&gt;="&amp;$C$7,BD!$A$3:$A$5001,"&lt;="&amp;$B242,BD!$Y$3:$Y$5001,"&lt;&gt;")=0,"",SUMIFS(BD!$Y$3:$Y$5001,BD!$B$3:$B$5001,V$241,BD!$A$3:$A$5001,_xlfn.MAXIFS(BD!$A$3:$A$5001,BD!$B$3:$B$5001,V$241,BD!$A$3:$A$5001,"&gt;="&amp;$C$7,BD!$A$3:$A$5001,"&lt;="&amp;$B242,BD!$Y$3:$Y$5001,"&lt;&gt;"))))</f>
        <v/>
      </c>
    </row>
    <row r="243">
      <c r="A243" s="38">
        <v>2</v>
      </c>
      <c r="B243" s="42">
        <f>$B$13</f>
        <v>46297</v>
      </c>
      <c r="C243" s="43" t="str">
        <f>IF(OR($B243="",$A243&gt;$B$9,C$241=""),"",IF(COUNTIFS(BD!$B$3:$B$5001,C$241,BD!$A$3:$A$5001,"&gt;="&amp;$C$7,BD!$A$3:$A$5001,"&lt;="&amp;$B243,BD!$Y$3:$Y$5001,"&lt;&gt;")=0,"",SUMIFS(BD!$Y$3:$Y$5001,BD!$B$3:$B$5001,C$241,BD!$A$3:$A$5001,_xlfn.MAXIFS(BD!$A$3:$A$5001,BD!$B$3:$B$5001,C$241,BD!$A$3:$A$5001,"&gt;="&amp;$C$7,BD!$A$3:$A$5001,"&lt;="&amp;$B243,BD!$Y$3:$Y$5001,"&lt;&gt;"))))</f>
        <v/>
      </c>
      <c r="D243" s="43" t="str">
        <f>IF(OR($B243="",$A243&gt;$B$9,D$241=""),"",IF(COUNTIFS(BD!$B$3:$B$5001,D$241,BD!$A$3:$A$5001,"&gt;="&amp;$C$7,BD!$A$3:$A$5001,"&lt;="&amp;$B243,BD!$Y$3:$Y$5001,"&lt;&gt;")=0,"",SUMIFS(BD!$Y$3:$Y$5001,BD!$B$3:$B$5001,D$241,BD!$A$3:$A$5001,_xlfn.MAXIFS(BD!$A$3:$A$5001,BD!$B$3:$B$5001,D$241,BD!$A$3:$A$5001,"&gt;="&amp;$C$7,BD!$A$3:$A$5001,"&lt;="&amp;$B243,BD!$Y$3:$Y$5001,"&lt;&gt;"))))</f>
        <v/>
      </c>
      <c r="E243" s="43" t="str">
        <f>IF(OR($B243="",$A243&gt;$B$9,E$241=""),"",IF(COUNTIFS(BD!$B$3:$B$5001,E$241,BD!$A$3:$A$5001,"&gt;="&amp;$C$7,BD!$A$3:$A$5001,"&lt;="&amp;$B243,BD!$Y$3:$Y$5001,"&lt;&gt;")=0,"",SUMIFS(BD!$Y$3:$Y$5001,BD!$B$3:$B$5001,E$241,BD!$A$3:$A$5001,_xlfn.MAXIFS(BD!$A$3:$A$5001,BD!$B$3:$B$5001,E$241,BD!$A$3:$A$5001,"&gt;="&amp;$C$7,BD!$A$3:$A$5001,"&lt;="&amp;$B243,BD!$Y$3:$Y$5001,"&lt;&gt;"))))</f>
        <v/>
      </c>
      <c r="F243" s="43" t="str">
        <f>IF(OR($B243="",$A243&gt;$B$9,F$241=""),"",IF(COUNTIFS(BD!$B$3:$B$5001,F$241,BD!$A$3:$A$5001,"&gt;="&amp;$C$7,BD!$A$3:$A$5001,"&lt;="&amp;$B243,BD!$Y$3:$Y$5001,"&lt;&gt;")=0,"",SUMIFS(BD!$Y$3:$Y$5001,BD!$B$3:$B$5001,F$241,BD!$A$3:$A$5001,_xlfn.MAXIFS(BD!$A$3:$A$5001,BD!$B$3:$B$5001,F$241,BD!$A$3:$A$5001,"&gt;="&amp;$C$7,BD!$A$3:$A$5001,"&lt;="&amp;$B243,BD!$Y$3:$Y$5001,"&lt;&gt;"))))</f>
        <v/>
      </c>
      <c r="G243" s="43" t="str">
        <f>IF(OR($B243="",$A243&gt;$B$9,G$241=""),"",IF(COUNTIFS(BD!$B$3:$B$5001,G$241,BD!$A$3:$A$5001,"&gt;="&amp;$C$7,BD!$A$3:$A$5001,"&lt;="&amp;$B243,BD!$Y$3:$Y$5001,"&lt;&gt;")=0,"",SUMIFS(BD!$Y$3:$Y$5001,BD!$B$3:$B$5001,G$241,BD!$A$3:$A$5001,_xlfn.MAXIFS(BD!$A$3:$A$5001,BD!$B$3:$B$5001,G$241,BD!$A$3:$A$5001,"&gt;="&amp;$C$7,BD!$A$3:$A$5001,"&lt;="&amp;$B243,BD!$Y$3:$Y$5001,"&lt;&gt;"))))</f>
        <v/>
      </c>
      <c r="H243" s="43" t="str">
        <f>IF(OR($B243="",$A243&gt;$B$9,H$241=""),"",IF(COUNTIFS(BD!$B$3:$B$5001,H$241,BD!$A$3:$A$5001,"&gt;="&amp;$C$7,BD!$A$3:$A$5001,"&lt;="&amp;$B243,BD!$Y$3:$Y$5001,"&lt;&gt;")=0,"",SUMIFS(BD!$Y$3:$Y$5001,BD!$B$3:$B$5001,H$241,BD!$A$3:$A$5001,_xlfn.MAXIFS(BD!$A$3:$A$5001,BD!$B$3:$B$5001,H$241,BD!$A$3:$A$5001,"&gt;="&amp;$C$7,BD!$A$3:$A$5001,"&lt;="&amp;$B243,BD!$Y$3:$Y$5001,"&lt;&gt;"))))</f>
        <v/>
      </c>
      <c r="I243" s="43" t="str">
        <f>IF(OR($B243="",$A243&gt;$B$9,I$241=""),"",IF(COUNTIFS(BD!$B$3:$B$5001,I$241,BD!$A$3:$A$5001,"&gt;="&amp;$C$7,BD!$A$3:$A$5001,"&lt;="&amp;$B243,BD!$Y$3:$Y$5001,"&lt;&gt;")=0,"",SUMIFS(BD!$Y$3:$Y$5001,BD!$B$3:$B$5001,I$241,BD!$A$3:$A$5001,_xlfn.MAXIFS(BD!$A$3:$A$5001,BD!$B$3:$B$5001,I$241,BD!$A$3:$A$5001,"&gt;="&amp;$C$7,BD!$A$3:$A$5001,"&lt;="&amp;$B243,BD!$Y$3:$Y$5001,"&lt;&gt;"))))</f>
        <v/>
      </c>
      <c r="J243" s="43" t="str">
        <f>IF(OR($B243="",$A243&gt;$B$9,J$241=""),"",IF(COUNTIFS(BD!$B$3:$B$5001,J$241,BD!$A$3:$A$5001,"&gt;="&amp;$C$7,BD!$A$3:$A$5001,"&lt;="&amp;$B243,BD!$Y$3:$Y$5001,"&lt;&gt;")=0,"",SUMIFS(BD!$Y$3:$Y$5001,BD!$B$3:$B$5001,J$241,BD!$A$3:$A$5001,_xlfn.MAXIFS(BD!$A$3:$A$5001,BD!$B$3:$B$5001,J$241,BD!$A$3:$A$5001,"&gt;="&amp;$C$7,BD!$A$3:$A$5001,"&lt;="&amp;$B243,BD!$Y$3:$Y$5001,"&lt;&gt;"))))</f>
        <v/>
      </c>
      <c r="K243" s="43" t="str">
        <f>IF(OR($B243="",$A243&gt;$B$9,K$241=""),"",IF(COUNTIFS(BD!$B$3:$B$5001,K$241,BD!$A$3:$A$5001,"&gt;="&amp;$C$7,BD!$A$3:$A$5001,"&lt;="&amp;$B243,BD!$Y$3:$Y$5001,"&lt;&gt;")=0,"",SUMIFS(BD!$Y$3:$Y$5001,BD!$B$3:$B$5001,K$241,BD!$A$3:$A$5001,_xlfn.MAXIFS(BD!$A$3:$A$5001,BD!$B$3:$B$5001,K$241,BD!$A$3:$A$5001,"&gt;="&amp;$C$7,BD!$A$3:$A$5001,"&lt;="&amp;$B243,BD!$Y$3:$Y$5001,"&lt;&gt;"))))</f>
        <v/>
      </c>
      <c r="L243" s="43" t="str">
        <f>IF(OR($B243="",$A243&gt;$B$9,L$241=""),"",IF(COUNTIFS(BD!$B$3:$B$5001,L$241,BD!$A$3:$A$5001,"&gt;="&amp;$C$7,BD!$A$3:$A$5001,"&lt;="&amp;$B243,BD!$Y$3:$Y$5001,"&lt;&gt;")=0,"",SUMIFS(BD!$Y$3:$Y$5001,BD!$B$3:$B$5001,L$241,BD!$A$3:$A$5001,_xlfn.MAXIFS(BD!$A$3:$A$5001,BD!$B$3:$B$5001,L$241,BD!$A$3:$A$5001,"&gt;="&amp;$C$7,BD!$A$3:$A$5001,"&lt;="&amp;$B243,BD!$Y$3:$Y$5001,"&lt;&gt;"))))</f>
        <v/>
      </c>
      <c r="M243" s="43" t="str">
        <f>IF(OR($B243="",$A243&gt;$B$9,M$241=""),"",IF(COUNTIFS(BD!$B$3:$B$5001,M$241,BD!$A$3:$A$5001,"&gt;="&amp;$C$7,BD!$A$3:$A$5001,"&lt;="&amp;$B243,BD!$Y$3:$Y$5001,"&lt;&gt;")=0,"",SUMIFS(BD!$Y$3:$Y$5001,BD!$B$3:$B$5001,M$241,BD!$A$3:$A$5001,_xlfn.MAXIFS(BD!$A$3:$A$5001,BD!$B$3:$B$5001,M$241,BD!$A$3:$A$5001,"&gt;="&amp;$C$7,BD!$A$3:$A$5001,"&lt;="&amp;$B243,BD!$Y$3:$Y$5001,"&lt;&gt;"))))</f>
        <v/>
      </c>
      <c r="N243" s="43" t="str">
        <f>IF(OR($B243="",$A243&gt;$B$9,N$241=""),"",IF(COUNTIFS(BD!$B$3:$B$5001,N$241,BD!$A$3:$A$5001,"&gt;="&amp;$C$7,BD!$A$3:$A$5001,"&lt;="&amp;$B243,BD!$Y$3:$Y$5001,"&lt;&gt;")=0,"",SUMIFS(BD!$Y$3:$Y$5001,BD!$B$3:$B$5001,N$241,BD!$A$3:$A$5001,_xlfn.MAXIFS(BD!$A$3:$A$5001,BD!$B$3:$B$5001,N$241,BD!$A$3:$A$5001,"&gt;="&amp;$C$7,BD!$A$3:$A$5001,"&lt;="&amp;$B243,BD!$Y$3:$Y$5001,"&lt;&gt;"))))</f>
        <v/>
      </c>
      <c r="O243" s="43" t="str">
        <f>IF(OR($B243="",$A243&gt;$B$9,O$241=""),"",IF(COUNTIFS(BD!$B$3:$B$5001,O$241,BD!$A$3:$A$5001,"&gt;="&amp;$C$7,BD!$A$3:$A$5001,"&lt;="&amp;$B243,BD!$Y$3:$Y$5001,"&lt;&gt;")=0,"",SUMIFS(BD!$Y$3:$Y$5001,BD!$B$3:$B$5001,O$241,BD!$A$3:$A$5001,_xlfn.MAXIFS(BD!$A$3:$A$5001,BD!$B$3:$B$5001,O$241,BD!$A$3:$A$5001,"&gt;="&amp;$C$7,BD!$A$3:$A$5001,"&lt;="&amp;$B243,BD!$Y$3:$Y$5001,"&lt;&gt;"))))</f>
        <v/>
      </c>
      <c r="P243" s="43" t="str">
        <f>IF(OR($B243="",$A243&gt;$B$9,P$241=""),"",IF(COUNTIFS(BD!$B$3:$B$5001,P$241,BD!$A$3:$A$5001,"&gt;="&amp;$C$7,BD!$A$3:$A$5001,"&lt;="&amp;$B243,BD!$Y$3:$Y$5001,"&lt;&gt;")=0,"",SUMIFS(BD!$Y$3:$Y$5001,BD!$B$3:$B$5001,P$241,BD!$A$3:$A$5001,_xlfn.MAXIFS(BD!$A$3:$A$5001,BD!$B$3:$B$5001,P$241,BD!$A$3:$A$5001,"&gt;="&amp;$C$7,BD!$A$3:$A$5001,"&lt;="&amp;$B243,BD!$Y$3:$Y$5001,"&lt;&gt;"))))</f>
        <v/>
      </c>
      <c r="Q243" s="43" t="str">
        <f>IF(OR($B243="",$A243&gt;$B$9,Q$241=""),"",IF(COUNTIFS(BD!$B$3:$B$5001,Q$241,BD!$A$3:$A$5001,"&gt;="&amp;$C$7,BD!$A$3:$A$5001,"&lt;="&amp;$B243,BD!$Y$3:$Y$5001,"&lt;&gt;")=0,"",SUMIFS(BD!$Y$3:$Y$5001,BD!$B$3:$B$5001,Q$241,BD!$A$3:$A$5001,_xlfn.MAXIFS(BD!$A$3:$A$5001,BD!$B$3:$B$5001,Q$241,BD!$A$3:$A$5001,"&gt;="&amp;$C$7,BD!$A$3:$A$5001,"&lt;="&amp;$B243,BD!$Y$3:$Y$5001,"&lt;&gt;"))))</f>
        <v/>
      </c>
      <c r="R243" s="43" t="str">
        <f>IF(OR($B243="",$A243&gt;$B$9,R$241=""),"",IF(COUNTIFS(BD!$B$3:$B$5001,R$241,BD!$A$3:$A$5001,"&gt;="&amp;$C$7,BD!$A$3:$A$5001,"&lt;="&amp;$B243,BD!$Y$3:$Y$5001,"&lt;&gt;")=0,"",SUMIFS(BD!$Y$3:$Y$5001,BD!$B$3:$B$5001,R$241,BD!$A$3:$A$5001,_xlfn.MAXIFS(BD!$A$3:$A$5001,BD!$B$3:$B$5001,R$241,BD!$A$3:$A$5001,"&gt;="&amp;$C$7,BD!$A$3:$A$5001,"&lt;="&amp;$B243,BD!$Y$3:$Y$5001,"&lt;&gt;"))))</f>
        <v/>
      </c>
      <c r="S243" s="43" t="str">
        <f>IF(OR($B243="",$A243&gt;$B$9,S$241=""),"",IF(COUNTIFS(BD!$B$3:$B$5001,S$241,BD!$A$3:$A$5001,"&gt;="&amp;$C$7,BD!$A$3:$A$5001,"&lt;="&amp;$B243,BD!$Y$3:$Y$5001,"&lt;&gt;")=0,"",SUMIFS(BD!$Y$3:$Y$5001,BD!$B$3:$B$5001,S$241,BD!$A$3:$A$5001,_xlfn.MAXIFS(BD!$A$3:$A$5001,BD!$B$3:$B$5001,S$241,BD!$A$3:$A$5001,"&gt;="&amp;$C$7,BD!$A$3:$A$5001,"&lt;="&amp;$B243,BD!$Y$3:$Y$5001,"&lt;&gt;"))))</f>
        <v/>
      </c>
      <c r="T243" s="43" t="str">
        <f>IF(OR($B243="",$A243&gt;$B$9,T$241=""),"",IF(COUNTIFS(BD!$B$3:$B$5001,T$241,BD!$A$3:$A$5001,"&gt;="&amp;$C$7,BD!$A$3:$A$5001,"&lt;="&amp;$B243,BD!$Y$3:$Y$5001,"&lt;&gt;")=0,"",SUMIFS(BD!$Y$3:$Y$5001,BD!$B$3:$B$5001,T$241,BD!$A$3:$A$5001,_xlfn.MAXIFS(BD!$A$3:$A$5001,BD!$B$3:$B$5001,T$241,BD!$A$3:$A$5001,"&gt;="&amp;$C$7,BD!$A$3:$A$5001,"&lt;="&amp;$B243,BD!$Y$3:$Y$5001,"&lt;&gt;"))))</f>
        <v/>
      </c>
      <c r="U243" s="43" t="str">
        <f>IF(OR($B243="",$A243&gt;$B$9,U$241=""),"",IF(COUNTIFS(BD!$B$3:$B$5001,U$241,BD!$A$3:$A$5001,"&gt;="&amp;$C$7,BD!$A$3:$A$5001,"&lt;="&amp;$B243,BD!$Y$3:$Y$5001,"&lt;&gt;")=0,"",SUMIFS(BD!$Y$3:$Y$5001,BD!$B$3:$B$5001,U$241,BD!$A$3:$A$5001,_xlfn.MAXIFS(BD!$A$3:$A$5001,BD!$B$3:$B$5001,U$241,BD!$A$3:$A$5001,"&gt;="&amp;$C$7,BD!$A$3:$A$5001,"&lt;="&amp;$B243,BD!$Y$3:$Y$5001,"&lt;&gt;"))))</f>
        <v/>
      </c>
      <c r="V243" s="43" t="str">
        <f>IF(OR($B243="",$A243&gt;$B$9,V$241=""),"",IF(COUNTIFS(BD!$B$3:$B$5001,V$241,BD!$A$3:$A$5001,"&gt;="&amp;$C$7,BD!$A$3:$A$5001,"&lt;="&amp;$B243,BD!$Y$3:$Y$5001,"&lt;&gt;")=0,"",SUMIFS(BD!$Y$3:$Y$5001,BD!$B$3:$B$5001,V$241,BD!$A$3:$A$5001,_xlfn.MAXIFS(BD!$A$3:$A$5001,BD!$B$3:$B$5001,V$241,BD!$A$3:$A$5001,"&gt;="&amp;$C$7,BD!$A$3:$A$5001,"&lt;="&amp;$B243,BD!$Y$3:$Y$5001,"&lt;&gt;"))))</f>
        <v/>
      </c>
    </row>
    <row r="244">
      <c r="A244" s="38">
        <v>3</v>
      </c>
      <c r="B244" s="42">
        <f>$B$14</f>
        <v>46298</v>
      </c>
      <c r="C244" s="43" t="str">
        <f>IF(OR($B244="",$A244&gt;$B$9,C$241=""),"",IF(COUNTIFS(BD!$B$3:$B$5001,C$241,BD!$A$3:$A$5001,"&gt;="&amp;$C$7,BD!$A$3:$A$5001,"&lt;="&amp;$B244,BD!$Y$3:$Y$5001,"&lt;&gt;")=0,"",SUMIFS(BD!$Y$3:$Y$5001,BD!$B$3:$B$5001,C$241,BD!$A$3:$A$5001,_xlfn.MAXIFS(BD!$A$3:$A$5001,BD!$B$3:$B$5001,C$241,BD!$A$3:$A$5001,"&gt;="&amp;$C$7,BD!$A$3:$A$5001,"&lt;="&amp;$B244,BD!$Y$3:$Y$5001,"&lt;&gt;"))))</f>
        <v/>
      </c>
      <c r="D244" s="43" t="str">
        <f>IF(OR($B244="",$A244&gt;$B$9,D$241=""),"",IF(COUNTIFS(BD!$B$3:$B$5001,D$241,BD!$A$3:$A$5001,"&gt;="&amp;$C$7,BD!$A$3:$A$5001,"&lt;="&amp;$B244,BD!$Y$3:$Y$5001,"&lt;&gt;")=0,"",SUMIFS(BD!$Y$3:$Y$5001,BD!$B$3:$B$5001,D$241,BD!$A$3:$A$5001,_xlfn.MAXIFS(BD!$A$3:$A$5001,BD!$B$3:$B$5001,D$241,BD!$A$3:$A$5001,"&gt;="&amp;$C$7,BD!$A$3:$A$5001,"&lt;="&amp;$B244,BD!$Y$3:$Y$5001,"&lt;&gt;"))))</f>
        <v/>
      </c>
      <c r="E244" s="43" t="str">
        <f>IF(OR($B244="",$A244&gt;$B$9,E$241=""),"",IF(COUNTIFS(BD!$B$3:$B$5001,E$241,BD!$A$3:$A$5001,"&gt;="&amp;$C$7,BD!$A$3:$A$5001,"&lt;="&amp;$B244,BD!$Y$3:$Y$5001,"&lt;&gt;")=0,"",SUMIFS(BD!$Y$3:$Y$5001,BD!$B$3:$B$5001,E$241,BD!$A$3:$A$5001,_xlfn.MAXIFS(BD!$A$3:$A$5001,BD!$B$3:$B$5001,E$241,BD!$A$3:$A$5001,"&gt;="&amp;$C$7,BD!$A$3:$A$5001,"&lt;="&amp;$B244,BD!$Y$3:$Y$5001,"&lt;&gt;"))))</f>
        <v/>
      </c>
      <c r="F244" s="43" t="str">
        <f>IF(OR($B244="",$A244&gt;$B$9,F$241=""),"",IF(COUNTIFS(BD!$B$3:$B$5001,F$241,BD!$A$3:$A$5001,"&gt;="&amp;$C$7,BD!$A$3:$A$5001,"&lt;="&amp;$B244,BD!$Y$3:$Y$5001,"&lt;&gt;")=0,"",SUMIFS(BD!$Y$3:$Y$5001,BD!$B$3:$B$5001,F$241,BD!$A$3:$A$5001,_xlfn.MAXIFS(BD!$A$3:$A$5001,BD!$B$3:$B$5001,F$241,BD!$A$3:$A$5001,"&gt;="&amp;$C$7,BD!$A$3:$A$5001,"&lt;="&amp;$B244,BD!$Y$3:$Y$5001,"&lt;&gt;"))))</f>
        <v/>
      </c>
      <c r="G244" s="43" t="str">
        <f>IF(OR($B244="",$A244&gt;$B$9,G$241=""),"",IF(COUNTIFS(BD!$B$3:$B$5001,G$241,BD!$A$3:$A$5001,"&gt;="&amp;$C$7,BD!$A$3:$A$5001,"&lt;="&amp;$B244,BD!$Y$3:$Y$5001,"&lt;&gt;")=0,"",SUMIFS(BD!$Y$3:$Y$5001,BD!$B$3:$B$5001,G$241,BD!$A$3:$A$5001,_xlfn.MAXIFS(BD!$A$3:$A$5001,BD!$B$3:$B$5001,G$241,BD!$A$3:$A$5001,"&gt;="&amp;$C$7,BD!$A$3:$A$5001,"&lt;="&amp;$B244,BD!$Y$3:$Y$5001,"&lt;&gt;"))))</f>
        <v/>
      </c>
      <c r="H244" s="43" t="str">
        <f>IF(OR($B244="",$A244&gt;$B$9,H$241=""),"",IF(COUNTIFS(BD!$B$3:$B$5001,H$241,BD!$A$3:$A$5001,"&gt;="&amp;$C$7,BD!$A$3:$A$5001,"&lt;="&amp;$B244,BD!$Y$3:$Y$5001,"&lt;&gt;")=0,"",SUMIFS(BD!$Y$3:$Y$5001,BD!$B$3:$B$5001,H$241,BD!$A$3:$A$5001,_xlfn.MAXIFS(BD!$A$3:$A$5001,BD!$B$3:$B$5001,H$241,BD!$A$3:$A$5001,"&gt;="&amp;$C$7,BD!$A$3:$A$5001,"&lt;="&amp;$B244,BD!$Y$3:$Y$5001,"&lt;&gt;"))))</f>
        <v/>
      </c>
      <c r="I244" s="43" t="str">
        <f>IF(OR($B244="",$A244&gt;$B$9,I$241=""),"",IF(COUNTIFS(BD!$B$3:$B$5001,I$241,BD!$A$3:$A$5001,"&gt;="&amp;$C$7,BD!$A$3:$A$5001,"&lt;="&amp;$B244,BD!$Y$3:$Y$5001,"&lt;&gt;")=0,"",SUMIFS(BD!$Y$3:$Y$5001,BD!$B$3:$B$5001,I$241,BD!$A$3:$A$5001,_xlfn.MAXIFS(BD!$A$3:$A$5001,BD!$B$3:$B$5001,I$241,BD!$A$3:$A$5001,"&gt;="&amp;$C$7,BD!$A$3:$A$5001,"&lt;="&amp;$B244,BD!$Y$3:$Y$5001,"&lt;&gt;"))))</f>
        <v/>
      </c>
      <c r="J244" s="43" t="str">
        <f>IF(OR($B244="",$A244&gt;$B$9,J$241=""),"",IF(COUNTIFS(BD!$B$3:$B$5001,J$241,BD!$A$3:$A$5001,"&gt;="&amp;$C$7,BD!$A$3:$A$5001,"&lt;="&amp;$B244,BD!$Y$3:$Y$5001,"&lt;&gt;")=0,"",SUMIFS(BD!$Y$3:$Y$5001,BD!$B$3:$B$5001,J$241,BD!$A$3:$A$5001,_xlfn.MAXIFS(BD!$A$3:$A$5001,BD!$B$3:$B$5001,J$241,BD!$A$3:$A$5001,"&gt;="&amp;$C$7,BD!$A$3:$A$5001,"&lt;="&amp;$B244,BD!$Y$3:$Y$5001,"&lt;&gt;"))))</f>
        <v/>
      </c>
      <c r="K244" s="43" t="str">
        <f>IF(OR($B244="",$A244&gt;$B$9,K$241=""),"",IF(COUNTIFS(BD!$B$3:$B$5001,K$241,BD!$A$3:$A$5001,"&gt;="&amp;$C$7,BD!$A$3:$A$5001,"&lt;="&amp;$B244,BD!$Y$3:$Y$5001,"&lt;&gt;")=0,"",SUMIFS(BD!$Y$3:$Y$5001,BD!$B$3:$B$5001,K$241,BD!$A$3:$A$5001,_xlfn.MAXIFS(BD!$A$3:$A$5001,BD!$B$3:$B$5001,K$241,BD!$A$3:$A$5001,"&gt;="&amp;$C$7,BD!$A$3:$A$5001,"&lt;="&amp;$B244,BD!$Y$3:$Y$5001,"&lt;&gt;"))))</f>
        <v/>
      </c>
      <c r="L244" s="43" t="str">
        <f>IF(OR($B244="",$A244&gt;$B$9,L$241=""),"",IF(COUNTIFS(BD!$B$3:$B$5001,L$241,BD!$A$3:$A$5001,"&gt;="&amp;$C$7,BD!$A$3:$A$5001,"&lt;="&amp;$B244,BD!$Y$3:$Y$5001,"&lt;&gt;")=0,"",SUMIFS(BD!$Y$3:$Y$5001,BD!$B$3:$B$5001,L$241,BD!$A$3:$A$5001,_xlfn.MAXIFS(BD!$A$3:$A$5001,BD!$B$3:$B$5001,L$241,BD!$A$3:$A$5001,"&gt;="&amp;$C$7,BD!$A$3:$A$5001,"&lt;="&amp;$B244,BD!$Y$3:$Y$5001,"&lt;&gt;"))))</f>
        <v/>
      </c>
      <c r="M244" s="43" t="str">
        <f>IF(OR($B244="",$A244&gt;$B$9,M$241=""),"",IF(COUNTIFS(BD!$B$3:$B$5001,M$241,BD!$A$3:$A$5001,"&gt;="&amp;$C$7,BD!$A$3:$A$5001,"&lt;="&amp;$B244,BD!$Y$3:$Y$5001,"&lt;&gt;")=0,"",SUMIFS(BD!$Y$3:$Y$5001,BD!$B$3:$B$5001,M$241,BD!$A$3:$A$5001,_xlfn.MAXIFS(BD!$A$3:$A$5001,BD!$B$3:$B$5001,M$241,BD!$A$3:$A$5001,"&gt;="&amp;$C$7,BD!$A$3:$A$5001,"&lt;="&amp;$B244,BD!$Y$3:$Y$5001,"&lt;&gt;"))))</f>
        <v/>
      </c>
      <c r="N244" s="43" t="str">
        <f>IF(OR($B244="",$A244&gt;$B$9,N$241=""),"",IF(COUNTIFS(BD!$B$3:$B$5001,N$241,BD!$A$3:$A$5001,"&gt;="&amp;$C$7,BD!$A$3:$A$5001,"&lt;="&amp;$B244,BD!$Y$3:$Y$5001,"&lt;&gt;")=0,"",SUMIFS(BD!$Y$3:$Y$5001,BD!$B$3:$B$5001,N$241,BD!$A$3:$A$5001,_xlfn.MAXIFS(BD!$A$3:$A$5001,BD!$B$3:$B$5001,N$241,BD!$A$3:$A$5001,"&gt;="&amp;$C$7,BD!$A$3:$A$5001,"&lt;="&amp;$B244,BD!$Y$3:$Y$5001,"&lt;&gt;"))))</f>
        <v/>
      </c>
      <c r="O244" s="43" t="str">
        <f>IF(OR($B244="",$A244&gt;$B$9,O$241=""),"",IF(COUNTIFS(BD!$B$3:$B$5001,O$241,BD!$A$3:$A$5001,"&gt;="&amp;$C$7,BD!$A$3:$A$5001,"&lt;="&amp;$B244,BD!$Y$3:$Y$5001,"&lt;&gt;")=0,"",SUMIFS(BD!$Y$3:$Y$5001,BD!$B$3:$B$5001,O$241,BD!$A$3:$A$5001,_xlfn.MAXIFS(BD!$A$3:$A$5001,BD!$B$3:$B$5001,O$241,BD!$A$3:$A$5001,"&gt;="&amp;$C$7,BD!$A$3:$A$5001,"&lt;="&amp;$B244,BD!$Y$3:$Y$5001,"&lt;&gt;"))))</f>
        <v/>
      </c>
      <c r="P244" s="43" t="str">
        <f>IF(OR($B244="",$A244&gt;$B$9,P$241=""),"",IF(COUNTIFS(BD!$B$3:$B$5001,P$241,BD!$A$3:$A$5001,"&gt;="&amp;$C$7,BD!$A$3:$A$5001,"&lt;="&amp;$B244,BD!$Y$3:$Y$5001,"&lt;&gt;")=0,"",SUMIFS(BD!$Y$3:$Y$5001,BD!$B$3:$B$5001,P$241,BD!$A$3:$A$5001,_xlfn.MAXIFS(BD!$A$3:$A$5001,BD!$B$3:$B$5001,P$241,BD!$A$3:$A$5001,"&gt;="&amp;$C$7,BD!$A$3:$A$5001,"&lt;="&amp;$B244,BD!$Y$3:$Y$5001,"&lt;&gt;"))))</f>
        <v/>
      </c>
      <c r="Q244" s="43" t="str">
        <f>IF(OR($B244="",$A244&gt;$B$9,Q$241=""),"",IF(COUNTIFS(BD!$B$3:$B$5001,Q$241,BD!$A$3:$A$5001,"&gt;="&amp;$C$7,BD!$A$3:$A$5001,"&lt;="&amp;$B244,BD!$Y$3:$Y$5001,"&lt;&gt;")=0,"",SUMIFS(BD!$Y$3:$Y$5001,BD!$B$3:$B$5001,Q$241,BD!$A$3:$A$5001,_xlfn.MAXIFS(BD!$A$3:$A$5001,BD!$B$3:$B$5001,Q$241,BD!$A$3:$A$5001,"&gt;="&amp;$C$7,BD!$A$3:$A$5001,"&lt;="&amp;$B244,BD!$Y$3:$Y$5001,"&lt;&gt;"))))</f>
        <v/>
      </c>
      <c r="R244" s="43" t="str">
        <f>IF(OR($B244="",$A244&gt;$B$9,R$241=""),"",IF(COUNTIFS(BD!$B$3:$B$5001,R$241,BD!$A$3:$A$5001,"&gt;="&amp;$C$7,BD!$A$3:$A$5001,"&lt;="&amp;$B244,BD!$Y$3:$Y$5001,"&lt;&gt;")=0,"",SUMIFS(BD!$Y$3:$Y$5001,BD!$B$3:$B$5001,R$241,BD!$A$3:$A$5001,_xlfn.MAXIFS(BD!$A$3:$A$5001,BD!$B$3:$B$5001,R$241,BD!$A$3:$A$5001,"&gt;="&amp;$C$7,BD!$A$3:$A$5001,"&lt;="&amp;$B244,BD!$Y$3:$Y$5001,"&lt;&gt;"))))</f>
        <v/>
      </c>
      <c r="S244" s="43" t="str">
        <f>IF(OR($B244="",$A244&gt;$B$9,S$241=""),"",IF(COUNTIFS(BD!$B$3:$B$5001,S$241,BD!$A$3:$A$5001,"&gt;="&amp;$C$7,BD!$A$3:$A$5001,"&lt;="&amp;$B244,BD!$Y$3:$Y$5001,"&lt;&gt;")=0,"",SUMIFS(BD!$Y$3:$Y$5001,BD!$B$3:$B$5001,S$241,BD!$A$3:$A$5001,_xlfn.MAXIFS(BD!$A$3:$A$5001,BD!$B$3:$B$5001,S$241,BD!$A$3:$A$5001,"&gt;="&amp;$C$7,BD!$A$3:$A$5001,"&lt;="&amp;$B244,BD!$Y$3:$Y$5001,"&lt;&gt;"))))</f>
        <v/>
      </c>
      <c r="T244" s="43" t="str">
        <f>IF(OR($B244="",$A244&gt;$B$9,T$241=""),"",IF(COUNTIFS(BD!$B$3:$B$5001,T$241,BD!$A$3:$A$5001,"&gt;="&amp;$C$7,BD!$A$3:$A$5001,"&lt;="&amp;$B244,BD!$Y$3:$Y$5001,"&lt;&gt;")=0,"",SUMIFS(BD!$Y$3:$Y$5001,BD!$B$3:$B$5001,T$241,BD!$A$3:$A$5001,_xlfn.MAXIFS(BD!$A$3:$A$5001,BD!$B$3:$B$5001,T$241,BD!$A$3:$A$5001,"&gt;="&amp;$C$7,BD!$A$3:$A$5001,"&lt;="&amp;$B244,BD!$Y$3:$Y$5001,"&lt;&gt;"))))</f>
        <v/>
      </c>
      <c r="U244" s="43" t="str">
        <f>IF(OR($B244="",$A244&gt;$B$9,U$241=""),"",IF(COUNTIFS(BD!$B$3:$B$5001,U$241,BD!$A$3:$A$5001,"&gt;="&amp;$C$7,BD!$A$3:$A$5001,"&lt;="&amp;$B244,BD!$Y$3:$Y$5001,"&lt;&gt;")=0,"",SUMIFS(BD!$Y$3:$Y$5001,BD!$B$3:$B$5001,U$241,BD!$A$3:$A$5001,_xlfn.MAXIFS(BD!$A$3:$A$5001,BD!$B$3:$B$5001,U$241,BD!$A$3:$A$5001,"&gt;="&amp;$C$7,BD!$A$3:$A$5001,"&lt;="&amp;$B244,BD!$Y$3:$Y$5001,"&lt;&gt;"))))</f>
        <v/>
      </c>
      <c r="V244" s="43" t="str">
        <f>IF(OR($B244="",$A244&gt;$B$9,V$241=""),"",IF(COUNTIFS(BD!$B$3:$B$5001,V$241,BD!$A$3:$A$5001,"&gt;="&amp;$C$7,BD!$A$3:$A$5001,"&lt;="&amp;$B244,BD!$Y$3:$Y$5001,"&lt;&gt;")=0,"",SUMIFS(BD!$Y$3:$Y$5001,BD!$B$3:$B$5001,V$241,BD!$A$3:$A$5001,_xlfn.MAXIFS(BD!$A$3:$A$5001,BD!$B$3:$B$5001,V$241,BD!$A$3:$A$5001,"&gt;="&amp;$C$7,BD!$A$3:$A$5001,"&lt;="&amp;$B244,BD!$Y$3:$Y$5001,"&lt;&gt;"))))</f>
        <v/>
      </c>
    </row>
    <row r="245">
      <c r="A245" s="38">
        <v>4</v>
      </c>
      <c r="B245" s="42">
        <f>$B$15</f>
        <v>46299</v>
      </c>
      <c r="C245" s="43" t="str">
        <f>IF(OR($B245="",$A245&gt;$B$9,C$241=""),"",IF(COUNTIFS(BD!$B$3:$B$5001,C$241,BD!$A$3:$A$5001,"&gt;="&amp;$C$7,BD!$A$3:$A$5001,"&lt;="&amp;$B245,BD!$Y$3:$Y$5001,"&lt;&gt;")=0,"",SUMIFS(BD!$Y$3:$Y$5001,BD!$B$3:$B$5001,C$241,BD!$A$3:$A$5001,_xlfn.MAXIFS(BD!$A$3:$A$5001,BD!$B$3:$B$5001,C$241,BD!$A$3:$A$5001,"&gt;="&amp;$C$7,BD!$A$3:$A$5001,"&lt;="&amp;$B245,BD!$Y$3:$Y$5001,"&lt;&gt;"))))</f>
        <v/>
      </c>
      <c r="D245" s="43" t="str">
        <f>IF(OR($B245="",$A245&gt;$B$9,D$241=""),"",IF(COUNTIFS(BD!$B$3:$B$5001,D$241,BD!$A$3:$A$5001,"&gt;="&amp;$C$7,BD!$A$3:$A$5001,"&lt;="&amp;$B245,BD!$Y$3:$Y$5001,"&lt;&gt;")=0,"",SUMIFS(BD!$Y$3:$Y$5001,BD!$B$3:$B$5001,D$241,BD!$A$3:$A$5001,_xlfn.MAXIFS(BD!$A$3:$A$5001,BD!$B$3:$B$5001,D$241,BD!$A$3:$A$5001,"&gt;="&amp;$C$7,BD!$A$3:$A$5001,"&lt;="&amp;$B245,BD!$Y$3:$Y$5001,"&lt;&gt;"))))</f>
        <v/>
      </c>
      <c r="E245" s="43" t="str">
        <f>IF(OR($B245="",$A245&gt;$B$9,E$241=""),"",IF(COUNTIFS(BD!$B$3:$B$5001,E$241,BD!$A$3:$A$5001,"&gt;="&amp;$C$7,BD!$A$3:$A$5001,"&lt;="&amp;$B245,BD!$Y$3:$Y$5001,"&lt;&gt;")=0,"",SUMIFS(BD!$Y$3:$Y$5001,BD!$B$3:$B$5001,E$241,BD!$A$3:$A$5001,_xlfn.MAXIFS(BD!$A$3:$A$5001,BD!$B$3:$B$5001,E$241,BD!$A$3:$A$5001,"&gt;="&amp;$C$7,BD!$A$3:$A$5001,"&lt;="&amp;$B245,BD!$Y$3:$Y$5001,"&lt;&gt;"))))</f>
        <v/>
      </c>
      <c r="F245" s="43" t="str">
        <f>IF(OR($B245="",$A245&gt;$B$9,F$241=""),"",IF(COUNTIFS(BD!$B$3:$B$5001,F$241,BD!$A$3:$A$5001,"&gt;="&amp;$C$7,BD!$A$3:$A$5001,"&lt;="&amp;$B245,BD!$Y$3:$Y$5001,"&lt;&gt;")=0,"",SUMIFS(BD!$Y$3:$Y$5001,BD!$B$3:$B$5001,F$241,BD!$A$3:$A$5001,_xlfn.MAXIFS(BD!$A$3:$A$5001,BD!$B$3:$B$5001,F$241,BD!$A$3:$A$5001,"&gt;="&amp;$C$7,BD!$A$3:$A$5001,"&lt;="&amp;$B245,BD!$Y$3:$Y$5001,"&lt;&gt;"))))</f>
        <v/>
      </c>
      <c r="G245" s="43" t="str">
        <f>IF(OR($B245="",$A245&gt;$B$9,G$241=""),"",IF(COUNTIFS(BD!$B$3:$B$5001,G$241,BD!$A$3:$A$5001,"&gt;="&amp;$C$7,BD!$A$3:$A$5001,"&lt;="&amp;$B245,BD!$Y$3:$Y$5001,"&lt;&gt;")=0,"",SUMIFS(BD!$Y$3:$Y$5001,BD!$B$3:$B$5001,G$241,BD!$A$3:$A$5001,_xlfn.MAXIFS(BD!$A$3:$A$5001,BD!$B$3:$B$5001,G$241,BD!$A$3:$A$5001,"&gt;="&amp;$C$7,BD!$A$3:$A$5001,"&lt;="&amp;$B245,BD!$Y$3:$Y$5001,"&lt;&gt;"))))</f>
        <v/>
      </c>
      <c r="H245" s="43" t="str">
        <f>IF(OR($B245="",$A245&gt;$B$9,H$241=""),"",IF(COUNTIFS(BD!$B$3:$B$5001,H$241,BD!$A$3:$A$5001,"&gt;="&amp;$C$7,BD!$A$3:$A$5001,"&lt;="&amp;$B245,BD!$Y$3:$Y$5001,"&lt;&gt;")=0,"",SUMIFS(BD!$Y$3:$Y$5001,BD!$B$3:$B$5001,H$241,BD!$A$3:$A$5001,_xlfn.MAXIFS(BD!$A$3:$A$5001,BD!$B$3:$B$5001,H$241,BD!$A$3:$A$5001,"&gt;="&amp;$C$7,BD!$A$3:$A$5001,"&lt;="&amp;$B245,BD!$Y$3:$Y$5001,"&lt;&gt;"))))</f>
        <v/>
      </c>
      <c r="I245" s="43" t="str">
        <f>IF(OR($B245="",$A245&gt;$B$9,I$241=""),"",IF(COUNTIFS(BD!$B$3:$B$5001,I$241,BD!$A$3:$A$5001,"&gt;="&amp;$C$7,BD!$A$3:$A$5001,"&lt;="&amp;$B245,BD!$Y$3:$Y$5001,"&lt;&gt;")=0,"",SUMIFS(BD!$Y$3:$Y$5001,BD!$B$3:$B$5001,I$241,BD!$A$3:$A$5001,_xlfn.MAXIFS(BD!$A$3:$A$5001,BD!$B$3:$B$5001,I$241,BD!$A$3:$A$5001,"&gt;="&amp;$C$7,BD!$A$3:$A$5001,"&lt;="&amp;$B245,BD!$Y$3:$Y$5001,"&lt;&gt;"))))</f>
        <v/>
      </c>
      <c r="J245" s="43" t="str">
        <f>IF(OR($B245="",$A245&gt;$B$9,J$241=""),"",IF(COUNTIFS(BD!$B$3:$B$5001,J$241,BD!$A$3:$A$5001,"&gt;="&amp;$C$7,BD!$A$3:$A$5001,"&lt;="&amp;$B245,BD!$Y$3:$Y$5001,"&lt;&gt;")=0,"",SUMIFS(BD!$Y$3:$Y$5001,BD!$B$3:$B$5001,J$241,BD!$A$3:$A$5001,_xlfn.MAXIFS(BD!$A$3:$A$5001,BD!$B$3:$B$5001,J$241,BD!$A$3:$A$5001,"&gt;="&amp;$C$7,BD!$A$3:$A$5001,"&lt;="&amp;$B245,BD!$Y$3:$Y$5001,"&lt;&gt;"))))</f>
        <v/>
      </c>
      <c r="K245" s="43" t="str">
        <f>IF(OR($B245="",$A245&gt;$B$9,K$241=""),"",IF(COUNTIFS(BD!$B$3:$B$5001,K$241,BD!$A$3:$A$5001,"&gt;="&amp;$C$7,BD!$A$3:$A$5001,"&lt;="&amp;$B245,BD!$Y$3:$Y$5001,"&lt;&gt;")=0,"",SUMIFS(BD!$Y$3:$Y$5001,BD!$B$3:$B$5001,K$241,BD!$A$3:$A$5001,_xlfn.MAXIFS(BD!$A$3:$A$5001,BD!$B$3:$B$5001,K$241,BD!$A$3:$A$5001,"&gt;="&amp;$C$7,BD!$A$3:$A$5001,"&lt;="&amp;$B245,BD!$Y$3:$Y$5001,"&lt;&gt;"))))</f>
        <v/>
      </c>
      <c r="L245" s="43" t="str">
        <f>IF(OR($B245="",$A245&gt;$B$9,L$241=""),"",IF(COUNTIFS(BD!$B$3:$B$5001,L$241,BD!$A$3:$A$5001,"&gt;="&amp;$C$7,BD!$A$3:$A$5001,"&lt;="&amp;$B245,BD!$Y$3:$Y$5001,"&lt;&gt;")=0,"",SUMIFS(BD!$Y$3:$Y$5001,BD!$B$3:$B$5001,L$241,BD!$A$3:$A$5001,_xlfn.MAXIFS(BD!$A$3:$A$5001,BD!$B$3:$B$5001,L$241,BD!$A$3:$A$5001,"&gt;="&amp;$C$7,BD!$A$3:$A$5001,"&lt;="&amp;$B245,BD!$Y$3:$Y$5001,"&lt;&gt;"))))</f>
        <v/>
      </c>
      <c r="M245" s="43" t="str">
        <f>IF(OR($B245="",$A245&gt;$B$9,M$241=""),"",IF(COUNTIFS(BD!$B$3:$B$5001,M$241,BD!$A$3:$A$5001,"&gt;="&amp;$C$7,BD!$A$3:$A$5001,"&lt;="&amp;$B245,BD!$Y$3:$Y$5001,"&lt;&gt;")=0,"",SUMIFS(BD!$Y$3:$Y$5001,BD!$B$3:$B$5001,M$241,BD!$A$3:$A$5001,_xlfn.MAXIFS(BD!$A$3:$A$5001,BD!$B$3:$B$5001,M$241,BD!$A$3:$A$5001,"&gt;="&amp;$C$7,BD!$A$3:$A$5001,"&lt;="&amp;$B245,BD!$Y$3:$Y$5001,"&lt;&gt;"))))</f>
        <v/>
      </c>
      <c r="N245" s="43" t="str">
        <f>IF(OR($B245="",$A245&gt;$B$9,N$241=""),"",IF(COUNTIFS(BD!$B$3:$B$5001,N$241,BD!$A$3:$A$5001,"&gt;="&amp;$C$7,BD!$A$3:$A$5001,"&lt;="&amp;$B245,BD!$Y$3:$Y$5001,"&lt;&gt;")=0,"",SUMIFS(BD!$Y$3:$Y$5001,BD!$B$3:$B$5001,N$241,BD!$A$3:$A$5001,_xlfn.MAXIFS(BD!$A$3:$A$5001,BD!$B$3:$B$5001,N$241,BD!$A$3:$A$5001,"&gt;="&amp;$C$7,BD!$A$3:$A$5001,"&lt;="&amp;$B245,BD!$Y$3:$Y$5001,"&lt;&gt;"))))</f>
        <v/>
      </c>
      <c r="O245" s="43" t="str">
        <f>IF(OR($B245="",$A245&gt;$B$9,O$241=""),"",IF(COUNTIFS(BD!$B$3:$B$5001,O$241,BD!$A$3:$A$5001,"&gt;="&amp;$C$7,BD!$A$3:$A$5001,"&lt;="&amp;$B245,BD!$Y$3:$Y$5001,"&lt;&gt;")=0,"",SUMIFS(BD!$Y$3:$Y$5001,BD!$B$3:$B$5001,O$241,BD!$A$3:$A$5001,_xlfn.MAXIFS(BD!$A$3:$A$5001,BD!$B$3:$B$5001,O$241,BD!$A$3:$A$5001,"&gt;="&amp;$C$7,BD!$A$3:$A$5001,"&lt;="&amp;$B245,BD!$Y$3:$Y$5001,"&lt;&gt;"))))</f>
        <v/>
      </c>
      <c r="P245" s="43" t="str">
        <f>IF(OR($B245="",$A245&gt;$B$9,P$241=""),"",IF(COUNTIFS(BD!$B$3:$B$5001,P$241,BD!$A$3:$A$5001,"&gt;="&amp;$C$7,BD!$A$3:$A$5001,"&lt;="&amp;$B245,BD!$Y$3:$Y$5001,"&lt;&gt;")=0,"",SUMIFS(BD!$Y$3:$Y$5001,BD!$B$3:$B$5001,P$241,BD!$A$3:$A$5001,_xlfn.MAXIFS(BD!$A$3:$A$5001,BD!$B$3:$B$5001,P$241,BD!$A$3:$A$5001,"&gt;="&amp;$C$7,BD!$A$3:$A$5001,"&lt;="&amp;$B245,BD!$Y$3:$Y$5001,"&lt;&gt;"))))</f>
        <v/>
      </c>
      <c r="Q245" s="43" t="str">
        <f>IF(OR($B245="",$A245&gt;$B$9,Q$241=""),"",IF(COUNTIFS(BD!$B$3:$B$5001,Q$241,BD!$A$3:$A$5001,"&gt;="&amp;$C$7,BD!$A$3:$A$5001,"&lt;="&amp;$B245,BD!$Y$3:$Y$5001,"&lt;&gt;")=0,"",SUMIFS(BD!$Y$3:$Y$5001,BD!$B$3:$B$5001,Q$241,BD!$A$3:$A$5001,_xlfn.MAXIFS(BD!$A$3:$A$5001,BD!$B$3:$B$5001,Q$241,BD!$A$3:$A$5001,"&gt;="&amp;$C$7,BD!$A$3:$A$5001,"&lt;="&amp;$B245,BD!$Y$3:$Y$5001,"&lt;&gt;"))))</f>
        <v/>
      </c>
      <c r="R245" s="43" t="str">
        <f>IF(OR($B245="",$A245&gt;$B$9,R$241=""),"",IF(COUNTIFS(BD!$B$3:$B$5001,R$241,BD!$A$3:$A$5001,"&gt;="&amp;$C$7,BD!$A$3:$A$5001,"&lt;="&amp;$B245,BD!$Y$3:$Y$5001,"&lt;&gt;")=0,"",SUMIFS(BD!$Y$3:$Y$5001,BD!$B$3:$B$5001,R$241,BD!$A$3:$A$5001,_xlfn.MAXIFS(BD!$A$3:$A$5001,BD!$B$3:$B$5001,R$241,BD!$A$3:$A$5001,"&gt;="&amp;$C$7,BD!$A$3:$A$5001,"&lt;="&amp;$B245,BD!$Y$3:$Y$5001,"&lt;&gt;"))))</f>
        <v/>
      </c>
      <c r="S245" s="43" t="str">
        <f>IF(OR($B245="",$A245&gt;$B$9,S$241=""),"",IF(COUNTIFS(BD!$B$3:$B$5001,S$241,BD!$A$3:$A$5001,"&gt;="&amp;$C$7,BD!$A$3:$A$5001,"&lt;="&amp;$B245,BD!$Y$3:$Y$5001,"&lt;&gt;")=0,"",SUMIFS(BD!$Y$3:$Y$5001,BD!$B$3:$B$5001,S$241,BD!$A$3:$A$5001,_xlfn.MAXIFS(BD!$A$3:$A$5001,BD!$B$3:$B$5001,S$241,BD!$A$3:$A$5001,"&gt;="&amp;$C$7,BD!$A$3:$A$5001,"&lt;="&amp;$B245,BD!$Y$3:$Y$5001,"&lt;&gt;"))))</f>
        <v/>
      </c>
      <c r="T245" s="43" t="str">
        <f>IF(OR($B245="",$A245&gt;$B$9,T$241=""),"",IF(COUNTIFS(BD!$B$3:$B$5001,T$241,BD!$A$3:$A$5001,"&gt;="&amp;$C$7,BD!$A$3:$A$5001,"&lt;="&amp;$B245,BD!$Y$3:$Y$5001,"&lt;&gt;")=0,"",SUMIFS(BD!$Y$3:$Y$5001,BD!$B$3:$B$5001,T$241,BD!$A$3:$A$5001,_xlfn.MAXIFS(BD!$A$3:$A$5001,BD!$B$3:$B$5001,T$241,BD!$A$3:$A$5001,"&gt;="&amp;$C$7,BD!$A$3:$A$5001,"&lt;="&amp;$B245,BD!$Y$3:$Y$5001,"&lt;&gt;"))))</f>
        <v/>
      </c>
      <c r="U245" s="43" t="str">
        <f>IF(OR($B245="",$A245&gt;$B$9,U$241=""),"",IF(COUNTIFS(BD!$B$3:$B$5001,U$241,BD!$A$3:$A$5001,"&gt;="&amp;$C$7,BD!$A$3:$A$5001,"&lt;="&amp;$B245,BD!$Y$3:$Y$5001,"&lt;&gt;")=0,"",SUMIFS(BD!$Y$3:$Y$5001,BD!$B$3:$B$5001,U$241,BD!$A$3:$A$5001,_xlfn.MAXIFS(BD!$A$3:$A$5001,BD!$B$3:$B$5001,U$241,BD!$A$3:$A$5001,"&gt;="&amp;$C$7,BD!$A$3:$A$5001,"&lt;="&amp;$B245,BD!$Y$3:$Y$5001,"&lt;&gt;"))))</f>
        <v/>
      </c>
      <c r="V245" s="43" t="str">
        <f>IF(OR($B245="",$A245&gt;$B$9,V$241=""),"",IF(COUNTIFS(BD!$B$3:$B$5001,V$241,BD!$A$3:$A$5001,"&gt;="&amp;$C$7,BD!$A$3:$A$5001,"&lt;="&amp;$B245,BD!$Y$3:$Y$5001,"&lt;&gt;")=0,"",SUMIFS(BD!$Y$3:$Y$5001,BD!$B$3:$B$5001,V$241,BD!$A$3:$A$5001,_xlfn.MAXIFS(BD!$A$3:$A$5001,BD!$B$3:$B$5001,V$241,BD!$A$3:$A$5001,"&gt;="&amp;$C$7,BD!$A$3:$A$5001,"&lt;="&amp;$B245,BD!$Y$3:$Y$5001,"&lt;&gt;"))))</f>
        <v/>
      </c>
    </row>
    <row r="246">
      <c r="A246" s="38">
        <v>5</v>
      </c>
      <c r="B246" s="42">
        <f>$B$16</f>
        <v>46300</v>
      </c>
      <c r="C246" s="43" t="str">
        <f>IF(OR($B246="",$A246&gt;$B$9,C$241=""),"",IF(COUNTIFS(BD!$B$3:$B$5001,C$241,BD!$A$3:$A$5001,"&gt;="&amp;$C$7,BD!$A$3:$A$5001,"&lt;="&amp;$B246,BD!$Y$3:$Y$5001,"&lt;&gt;")=0,"",SUMIFS(BD!$Y$3:$Y$5001,BD!$B$3:$B$5001,C$241,BD!$A$3:$A$5001,_xlfn.MAXIFS(BD!$A$3:$A$5001,BD!$B$3:$B$5001,C$241,BD!$A$3:$A$5001,"&gt;="&amp;$C$7,BD!$A$3:$A$5001,"&lt;="&amp;$B246,BD!$Y$3:$Y$5001,"&lt;&gt;"))))</f>
        <v/>
      </c>
      <c r="D246" s="43" t="str">
        <f>IF(OR($B246="",$A246&gt;$B$9,D$241=""),"",IF(COUNTIFS(BD!$B$3:$B$5001,D$241,BD!$A$3:$A$5001,"&gt;="&amp;$C$7,BD!$A$3:$A$5001,"&lt;="&amp;$B246,BD!$Y$3:$Y$5001,"&lt;&gt;")=0,"",SUMIFS(BD!$Y$3:$Y$5001,BD!$B$3:$B$5001,D$241,BD!$A$3:$A$5001,_xlfn.MAXIFS(BD!$A$3:$A$5001,BD!$B$3:$B$5001,D$241,BD!$A$3:$A$5001,"&gt;="&amp;$C$7,BD!$A$3:$A$5001,"&lt;="&amp;$B246,BD!$Y$3:$Y$5001,"&lt;&gt;"))))</f>
        <v/>
      </c>
      <c r="E246" s="43" t="str">
        <f>IF(OR($B246="",$A246&gt;$B$9,E$241=""),"",IF(COUNTIFS(BD!$B$3:$B$5001,E$241,BD!$A$3:$A$5001,"&gt;="&amp;$C$7,BD!$A$3:$A$5001,"&lt;="&amp;$B246,BD!$Y$3:$Y$5001,"&lt;&gt;")=0,"",SUMIFS(BD!$Y$3:$Y$5001,BD!$B$3:$B$5001,E$241,BD!$A$3:$A$5001,_xlfn.MAXIFS(BD!$A$3:$A$5001,BD!$B$3:$B$5001,E$241,BD!$A$3:$A$5001,"&gt;="&amp;$C$7,BD!$A$3:$A$5001,"&lt;="&amp;$B246,BD!$Y$3:$Y$5001,"&lt;&gt;"))))</f>
        <v/>
      </c>
      <c r="F246" s="43" t="str">
        <f>IF(OR($B246="",$A246&gt;$B$9,F$241=""),"",IF(COUNTIFS(BD!$B$3:$B$5001,F$241,BD!$A$3:$A$5001,"&gt;="&amp;$C$7,BD!$A$3:$A$5001,"&lt;="&amp;$B246,BD!$Y$3:$Y$5001,"&lt;&gt;")=0,"",SUMIFS(BD!$Y$3:$Y$5001,BD!$B$3:$B$5001,F$241,BD!$A$3:$A$5001,_xlfn.MAXIFS(BD!$A$3:$A$5001,BD!$B$3:$B$5001,F$241,BD!$A$3:$A$5001,"&gt;="&amp;$C$7,BD!$A$3:$A$5001,"&lt;="&amp;$B246,BD!$Y$3:$Y$5001,"&lt;&gt;"))))</f>
        <v/>
      </c>
      <c r="G246" s="43" t="str">
        <f>IF(OR($B246="",$A246&gt;$B$9,G$241=""),"",IF(COUNTIFS(BD!$B$3:$B$5001,G$241,BD!$A$3:$A$5001,"&gt;="&amp;$C$7,BD!$A$3:$A$5001,"&lt;="&amp;$B246,BD!$Y$3:$Y$5001,"&lt;&gt;")=0,"",SUMIFS(BD!$Y$3:$Y$5001,BD!$B$3:$B$5001,G$241,BD!$A$3:$A$5001,_xlfn.MAXIFS(BD!$A$3:$A$5001,BD!$B$3:$B$5001,G$241,BD!$A$3:$A$5001,"&gt;="&amp;$C$7,BD!$A$3:$A$5001,"&lt;="&amp;$B246,BD!$Y$3:$Y$5001,"&lt;&gt;"))))</f>
        <v/>
      </c>
      <c r="H246" s="43" t="str">
        <f>IF(OR($B246="",$A246&gt;$B$9,H$241=""),"",IF(COUNTIFS(BD!$B$3:$B$5001,H$241,BD!$A$3:$A$5001,"&gt;="&amp;$C$7,BD!$A$3:$A$5001,"&lt;="&amp;$B246,BD!$Y$3:$Y$5001,"&lt;&gt;")=0,"",SUMIFS(BD!$Y$3:$Y$5001,BD!$B$3:$B$5001,H$241,BD!$A$3:$A$5001,_xlfn.MAXIFS(BD!$A$3:$A$5001,BD!$B$3:$B$5001,H$241,BD!$A$3:$A$5001,"&gt;="&amp;$C$7,BD!$A$3:$A$5001,"&lt;="&amp;$B246,BD!$Y$3:$Y$5001,"&lt;&gt;"))))</f>
        <v/>
      </c>
      <c r="I246" s="43" t="str">
        <f>IF(OR($B246="",$A246&gt;$B$9,I$241=""),"",IF(COUNTIFS(BD!$B$3:$B$5001,I$241,BD!$A$3:$A$5001,"&gt;="&amp;$C$7,BD!$A$3:$A$5001,"&lt;="&amp;$B246,BD!$Y$3:$Y$5001,"&lt;&gt;")=0,"",SUMIFS(BD!$Y$3:$Y$5001,BD!$B$3:$B$5001,I$241,BD!$A$3:$A$5001,_xlfn.MAXIFS(BD!$A$3:$A$5001,BD!$B$3:$B$5001,I$241,BD!$A$3:$A$5001,"&gt;="&amp;$C$7,BD!$A$3:$A$5001,"&lt;="&amp;$B246,BD!$Y$3:$Y$5001,"&lt;&gt;"))))</f>
        <v/>
      </c>
      <c r="J246" s="43" t="str">
        <f>IF(OR($B246="",$A246&gt;$B$9,J$241=""),"",IF(COUNTIFS(BD!$B$3:$B$5001,J$241,BD!$A$3:$A$5001,"&gt;="&amp;$C$7,BD!$A$3:$A$5001,"&lt;="&amp;$B246,BD!$Y$3:$Y$5001,"&lt;&gt;")=0,"",SUMIFS(BD!$Y$3:$Y$5001,BD!$B$3:$B$5001,J$241,BD!$A$3:$A$5001,_xlfn.MAXIFS(BD!$A$3:$A$5001,BD!$B$3:$B$5001,J$241,BD!$A$3:$A$5001,"&gt;="&amp;$C$7,BD!$A$3:$A$5001,"&lt;="&amp;$B246,BD!$Y$3:$Y$5001,"&lt;&gt;"))))</f>
        <v/>
      </c>
      <c r="K246" s="43" t="str">
        <f>IF(OR($B246="",$A246&gt;$B$9,K$241=""),"",IF(COUNTIFS(BD!$B$3:$B$5001,K$241,BD!$A$3:$A$5001,"&gt;="&amp;$C$7,BD!$A$3:$A$5001,"&lt;="&amp;$B246,BD!$Y$3:$Y$5001,"&lt;&gt;")=0,"",SUMIFS(BD!$Y$3:$Y$5001,BD!$B$3:$B$5001,K$241,BD!$A$3:$A$5001,_xlfn.MAXIFS(BD!$A$3:$A$5001,BD!$B$3:$B$5001,K$241,BD!$A$3:$A$5001,"&gt;="&amp;$C$7,BD!$A$3:$A$5001,"&lt;="&amp;$B246,BD!$Y$3:$Y$5001,"&lt;&gt;"))))</f>
        <v/>
      </c>
      <c r="L246" s="43" t="str">
        <f>IF(OR($B246="",$A246&gt;$B$9,L$241=""),"",IF(COUNTIFS(BD!$B$3:$B$5001,L$241,BD!$A$3:$A$5001,"&gt;="&amp;$C$7,BD!$A$3:$A$5001,"&lt;="&amp;$B246,BD!$Y$3:$Y$5001,"&lt;&gt;")=0,"",SUMIFS(BD!$Y$3:$Y$5001,BD!$B$3:$B$5001,L$241,BD!$A$3:$A$5001,_xlfn.MAXIFS(BD!$A$3:$A$5001,BD!$B$3:$B$5001,L$241,BD!$A$3:$A$5001,"&gt;="&amp;$C$7,BD!$A$3:$A$5001,"&lt;="&amp;$B246,BD!$Y$3:$Y$5001,"&lt;&gt;"))))</f>
        <v/>
      </c>
      <c r="M246" s="43" t="str">
        <f>IF(OR($B246="",$A246&gt;$B$9,M$241=""),"",IF(COUNTIFS(BD!$B$3:$B$5001,M$241,BD!$A$3:$A$5001,"&gt;="&amp;$C$7,BD!$A$3:$A$5001,"&lt;="&amp;$B246,BD!$Y$3:$Y$5001,"&lt;&gt;")=0,"",SUMIFS(BD!$Y$3:$Y$5001,BD!$B$3:$B$5001,M$241,BD!$A$3:$A$5001,_xlfn.MAXIFS(BD!$A$3:$A$5001,BD!$B$3:$B$5001,M$241,BD!$A$3:$A$5001,"&gt;="&amp;$C$7,BD!$A$3:$A$5001,"&lt;="&amp;$B246,BD!$Y$3:$Y$5001,"&lt;&gt;"))))</f>
        <v/>
      </c>
      <c r="N246" s="43" t="str">
        <f>IF(OR($B246="",$A246&gt;$B$9,N$241=""),"",IF(COUNTIFS(BD!$B$3:$B$5001,N$241,BD!$A$3:$A$5001,"&gt;="&amp;$C$7,BD!$A$3:$A$5001,"&lt;="&amp;$B246,BD!$Y$3:$Y$5001,"&lt;&gt;")=0,"",SUMIFS(BD!$Y$3:$Y$5001,BD!$B$3:$B$5001,N$241,BD!$A$3:$A$5001,_xlfn.MAXIFS(BD!$A$3:$A$5001,BD!$B$3:$B$5001,N$241,BD!$A$3:$A$5001,"&gt;="&amp;$C$7,BD!$A$3:$A$5001,"&lt;="&amp;$B246,BD!$Y$3:$Y$5001,"&lt;&gt;"))))</f>
        <v/>
      </c>
      <c r="O246" s="43" t="str">
        <f>IF(OR($B246="",$A246&gt;$B$9,O$241=""),"",IF(COUNTIFS(BD!$B$3:$B$5001,O$241,BD!$A$3:$A$5001,"&gt;="&amp;$C$7,BD!$A$3:$A$5001,"&lt;="&amp;$B246,BD!$Y$3:$Y$5001,"&lt;&gt;")=0,"",SUMIFS(BD!$Y$3:$Y$5001,BD!$B$3:$B$5001,O$241,BD!$A$3:$A$5001,_xlfn.MAXIFS(BD!$A$3:$A$5001,BD!$B$3:$B$5001,O$241,BD!$A$3:$A$5001,"&gt;="&amp;$C$7,BD!$A$3:$A$5001,"&lt;="&amp;$B246,BD!$Y$3:$Y$5001,"&lt;&gt;"))))</f>
        <v/>
      </c>
      <c r="P246" s="43" t="str">
        <f>IF(OR($B246="",$A246&gt;$B$9,P$241=""),"",IF(COUNTIFS(BD!$B$3:$B$5001,P$241,BD!$A$3:$A$5001,"&gt;="&amp;$C$7,BD!$A$3:$A$5001,"&lt;="&amp;$B246,BD!$Y$3:$Y$5001,"&lt;&gt;")=0,"",SUMIFS(BD!$Y$3:$Y$5001,BD!$B$3:$B$5001,P$241,BD!$A$3:$A$5001,_xlfn.MAXIFS(BD!$A$3:$A$5001,BD!$B$3:$B$5001,P$241,BD!$A$3:$A$5001,"&gt;="&amp;$C$7,BD!$A$3:$A$5001,"&lt;="&amp;$B246,BD!$Y$3:$Y$5001,"&lt;&gt;"))))</f>
        <v/>
      </c>
      <c r="Q246" s="43" t="str">
        <f>IF(OR($B246="",$A246&gt;$B$9,Q$241=""),"",IF(COUNTIFS(BD!$B$3:$B$5001,Q$241,BD!$A$3:$A$5001,"&gt;="&amp;$C$7,BD!$A$3:$A$5001,"&lt;="&amp;$B246,BD!$Y$3:$Y$5001,"&lt;&gt;")=0,"",SUMIFS(BD!$Y$3:$Y$5001,BD!$B$3:$B$5001,Q$241,BD!$A$3:$A$5001,_xlfn.MAXIFS(BD!$A$3:$A$5001,BD!$B$3:$B$5001,Q$241,BD!$A$3:$A$5001,"&gt;="&amp;$C$7,BD!$A$3:$A$5001,"&lt;="&amp;$B246,BD!$Y$3:$Y$5001,"&lt;&gt;"))))</f>
        <v/>
      </c>
      <c r="R246" s="43" t="str">
        <f>IF(OR($B246="",$A246&gt;$B$9,R$241=""),"",IF(COUNTIFS(BD!$B$3:$B$5001,R$241,BD!$A$3:$A$5001,"&gt;="&amp;$C$7,BD!$A$3:$A$5001,"&lt;="&amp;$B246,BD!$Y$3:$Y$5001,"&lt;&gt;")=0,"",SUMIFS(BD!$Y$3:$Y$5001,BD!$B$3:$B$5001,R$241,BD!$A$3:$A$5001,_xlfn.MAXIFS(BD!$A$3:$A$5001,BD!$B$3:$B$5001,R$241,BD!$A$3:$A$5001,"&gt;="&amp;$C$7,BD!$A$3:$A$5001,"&lt;="&amp;$B246,BD!$Y$3:$Y$5001,"&lt;&gt;"))))</f>
        <v/>
      </c>
      <c r="S246" s="43" t="str">
        <f>IF(OR($B246="",$A246&gt;$B$9,S$241=""),"",IF(COUNTIFS(BD!$B$3:$B$5001,S$241,BD!$A$3:$A$5001,"&gt;="&amp;$C$7,BD!$A$3:$A$5001,"&lt;="&amp;$B246,BD!$Y$3:$Y$5001,"&lt;&gt;")=0,"",SUMIFS(BD!$Y$3:$Y$5001,BD!$B$3:$B$5001,S$241,BD!$A$3:$A$5001,_xlfn.MAXIFS(BD!$A$3:$A$5001,BD!$B$3:$B$5001,S$241,BD!$A$3:$A$5001,"&gt;="&amp;$C$7,BD!$A$3:$A$5001,"&lt;="&amp;$B246,BD!$Y$3:$Y$5001,"&lt;&gt;"))))</f>
        <v/>
      </c>
      <c r="T246" s="43" t="str">
        <f>IF(OR($B246="",$A246&gt;$B$9,T$241=""),"",IF(COUNTIFS(BD!$B$3:$B$5001,T$241,BD!$A$3:$A$5001,"&gt;="&amp;$C$7,BD!$A$3:$A$5001,"&lt;="&amp;$B246,BD!$Y$3:$Y$5001,"&lt;&gt;")=0,"",SUMIFS(BD!$Y$3:$Y$5001,BD!$B$3:$B$5001,T$241,BD!$A$3:$A$5001,_xlfn.MAXIFS(BD!$A$3:$A$5001,BD!$B$3:$B$5001,T$241,BD!$A$3:$A$5001,"&gt;="&amp;$C$7,BD!$A$3:$A$5001,"&lt;="&amp;$B246,BD!$Y$3:$Y$5001,"&lt;&gt;"))))</f>
        <v/>
      </c>
      <c r="U246" s="43" t="str">
        <f>IF(OR($B246="",$A246&gt;$B$9,U$241=""),"",IF(COUNTIFS(BD!$B$3:$B$5001,U$241,BD!$A$3:$A$5001,"&gt;="&amp;$C$7,BD!$A$3:$A$5001,"&lt;="&amp;$B246,BD!$Y$3:$Y$5001,"&lt;&gt;")=0,"",SUMIFS(BD!$Y$3:$Y$5001,BD!$B$3:$B$5001,U$241,BD!$A$3:$A$5001,_xlfn.MAXIFS(BD!$A$3:$A$5001,BD!$B$3:$B$5001,U$241,BD!$A$3:$A$5001,"&gt;="&amp;$C$7,BD!$A$3:$A$5001,"&lt;="&amp;$B246,BD!$Y$3:$Y$5001,"&lt;&gt;"))))</f>
        <v/>
      </c>
      <c r="V246" s="43" t="str">
        <f>IF(OR($B246="",$A246&gt;$B$9,V$241=""),"",IF(COUNTIFS(BD!$B$3:$B$5001,V$241,BD!$A$3:$A$5001,"&gt;="&amp;$C$7,BD!$A$3:$A$5001,"&lt;="&amp;$B246,BD!$Y$3:$Y$5001,"&lt;&gt;")=0,"",SUMIFS(BD!$Y$3:$Y$5001,BD!$B$3:$B$5001,V$241,BD!$A$3:$A$5001,_xlfn.MAXIFS(BD!$A$3:$A$5001,BD!$B$3:$B$5001,V$241,BD!$A$3:$A$5001,"&gt;="&amp;$C$7,BD!$A$3:$A$5001,"&lt;="&amp;$B246,BD!$Y$3:$Y$5001,"&lt;&gt;"))))</f>
        <v/>
      </c>
    </row>
    <row r="247">
      <c r="A247" s="38">
        <v>6</v>
      </c>
      <c r="B247" s="42">
        <f>$B$17</f>
        <v>46301</v>
      </c>
      <c r="C247" s="43" t="str">
        <f>IF(OR($B247="",$A247&gt;$B$9,C$241=""),"",IF(COUNTIFS(BD!$B$3:$B$5001,C$241,BD!$A$3:$A$5001,"&gt;="&amp;$C$7,BD!$A$3:$A$5001,"&lt;="&amp;$B247,BD!$Y$3:$Y$5001,"&lt;&gt;")=0,"",SUMIFS(BD!$Y$3:$Y$5001,BD!$B$3:$B$5001,C$241,BD!$A$3:$A$5001,_xlfn.MAXIFS(BD!$A$3:$A$5001,BD!$B$3:$B$5001,C$241,BD!$A$3:$A$5001,"&gt;="&amp;$C$7,BD!$A$3:$A$5001,"&lt;="&amp;$B247,BD!$Y$3:$Y$5001,"&lt;&gt;"))))</f>
        <v/>
      </c>
      <c r="D247" s="43" t="str">
        <f>IF(OR($B247="",$A247&gt;$B$9,D$241=""),"",IF(COUNTIFS(BD!$B$3:$B$5001,D$241,BD!$A$3:$A$5001,"&gt;="&amp;$C$7,BD!$A$3:$A$5001,"&lt;="&amp;$B247,BD!$Y$3:$Y$5001,"&lt;&gt;")=0,"",SUMIFS(BD!$Y$3:$Y$5001,BD!$B$3:$B$5001,D$241,BD!$A$3:$A$5001,_xlfn.MAXIFS(BD!$A$3:$A$5001,BD!$B$3:$B$5001,D$241,BD!$A$3:$A$5001,"&gt;="&amp;$C$7,BD!$A$3:$A$5001,"&lt;="&amp;$B247,BD!$Y$3:$Y$5001,"&lt;&gt;"))))</f>
        <v/>
      </c>
      <c r="E247" s="43" t="str">
        <f>IF(OR($B247="",$A247&gt;$B$9,E$241=""),"",IF(COUNTIFS(BD!$B$3:$B$5001,E$241,BD!$A$3:$A$5001,"&gt;="&amp;$C$7,BD!$A$3:$A$5001,"&lt;="&amp;$B247,BD!$Y$3:$Y$5001,"&lt;&gt;")=0,"",SUMIFS(BD!$Y$3:$Y$5001,BD!$B$3:$B$5001,E$241,BD!$A$3:$A$5001,_xlfn.MAXIFS(BD!$A$3:$A$5001,BD!$B$3:$B$5001,E$241,BD!$A$3:$A$5001,"&gt;="&amp;$C$7,BD!$A$3:$A$5001,"&lt;="&amp;$B247,BD!$Y$3:$Y$5001,"&lt;&gt;"))))</f>
        <v/>
      </c>
      <c r="F247" s="43" t="str">
        <f>IF(OR($B247="",$A247&gt;$B$9,F$241=""),"",IF(COUNTIFS(BD!$B$3:$B$5001,F$241,BD!$A$3:$A$5001,"&gt;="&amp;$C$7,BD!$A$3:$A$5001,"&lt;="&amp;$B247,BD!$Y$3:$Y$5001,"&lt;&gt;")=0,"",SUMIFS(BD!$Y$3:$Y$5001,BD!$B$3:$B$5001,F$241,BD!$A$3:$A$5001,_xlfn.MAXIFS(BD!$A$3:$A$5001,BD!$B$3:$B$5001,F$241,BD!$A$3:$A$5001,"&gt;="&amp;$C$7,BD!$A$3:$A$5001,"&lt;="&amp;$B247,BD!$Y$3:$Y$5001,"&lt;&gt;"))))</f>
        <v/>
      </c>
      <c r="G247" s="43" t="str">
        <f>IF(OR($B247="",$A247&gt;$B$9,G$241=""),"",IF(COUNTIFS(BD!$B$3:$B$5001,G$241,BD!$A$3:$A$5001,"&gt;="&amp;$C$7,BD!$A$3:$A$5001,"&lt;="&amp;$B247,BD!$Y$3:$Y$5001,"&lt;&gt;")=0,"",SUMIFS(BD!$Y$3:$Y$5001,BD!$B$3:$B$5001,G$241,BD!$A$3:$A$5001,_xlfn.MAXIFS(BD!$A$3:$A$5001,BD!$B$3:$B$5001,G$241,BD!$A$3:$A$5001,"&gt;="&amp;$C$7,BD!$A$3:$A$5001,"&lt;="&amp;$B247,BD!$Y$3:$Y$5001,"&lt;&gt;"))))</f>
        <v/>
      </c>
      <c r="H247" s="43" t="str">
        <f>IF(OR($B247="",$A247&gt;$B$9,H$241=""),"",IF(COUNTIFS(BD!$B$3:$B$5001,H$241,BD!$A$3:$A$5001,"&gt;="&amp;$C$7,BD!$A$3:$A$5001,"&lt;="&amp;$B247,BD!$Y$3:$Y$5001,"&lt;&gt;")=0,"",SUMIFS(BD!$Y$3:$Y$5001,BD!$B$3:$B$5001,H$241,BD!$A$3:$A$5001,_xlfn.MAXIFS(BD!$A$3:$A$5001,BD!$B$3:$B$5001,H$241,BD!$A$3:$A$5001,"&gt;="&amp;$C$7,BD!$A$3:$A$5001,"&lt;="&amp;$B247,BD!$Y$3:$Y$5001,"&lt;&gt;"))))</f>
        <v/>
      </c>
      <c r="I247" s="43" t="str">
        <f>IF(OR($B247="",$A247&gt;$B$9,I$241=""),"",IF(COUNTIFS(BD!$B$3:$B$5001,I$241,BD!$A$3:$A$5001,"&gt;="&amp;$C$7,BD!$A$3:$A$5001,"&lt;="&amp;$B247,BD!$Y$3:$Y$5001,"&lt;&gt;")=0,"",SUMIFS(BD!$Y$3:$Y$5001,BD!$B$3:$B$5001,I$241,BD!$A$3:$A$5001,_xlfn.MAXIFS(BD!$A$3:$A$5001,BD!$B$3:$B$5001,I$241,BD!$A$3:$A$5001,"&gt;="&amp;$C$7,BD!$A$3:$A$5001,"&lt;="&amp;$B247,BD!$Y$3:$Y$5001,"&lt;&gt;"))))</f>
        <v/>
      </c>
      <c r="J247" s="43" t="str">
        <f>IF(OR($B247="",$A247&gt;$B$9,J$241=""),"",IF(COUNTIFS(BD!$B$3:$B$5001,J$241,BD!$A$3:$A$5001,"&gt;="&amp;$C$7,BD!$A$3:$A$5001,"&lt;="&amp;$B247,BD!$Y$3:$Y$5001,"&lt;&gt;")=0,"",SUMIFS(BD!$Y$3:$Y$5001,BD!$B$3:$B$5001,J$241,BD!$A$3:$A$5001,_xlfn.MAXIFS(BD!$A$3:$A$5001,BD!$B$3:$B$5001,J$241,BD!$A$3:$A$5001,"&gt;="&amp;$C$7,BD!$A$3:$A$5001,"&lt;="&amp;$B247,BD!$Y$3:$Y$5001,"&lt;&gt;"))))</f>
        <v/>
      </c>
      <c r="K247" s="43" t="str">
        <f>IF(OR($B247="",$A247&gt;$B$9,K$241=""),"",IF(COUNTIFS(BD!$B$3:$B$5001,K$241,BD!$A$3:$A$5001,"&gt;="&amp;$C$7,BD!$A$3:$A$5001,"&lt;="&amp;$B247,BD!$Y$3:$Y$5001,"&lt;&gt;")=0,"",SUMIFS(BD!$Y$3:$Y$5001,BD!$B$3:$B$5001,K$241,BD!$A$3:$A$5001,_xlfn.MAXIFS(BD!$A$3:$A$5001,BD!$B$3:$B$5001,K$241,BD!$A$3:$A$5001,"&gt;="&amp;$C$7,BD!$A$3:$A$5001,"&lt;="&amp;$B247,BD!$Y$3:$Y$5001,"&lt;&gt;"))))</f>
        <v/>
      </c>
      <c r="L247" s="43" t="str">
        <f>IF(OR($B247="",$A247&gt;$B$9,L$241=""),"",IF(COUNTIFS(BD!$B$3:$B$5001,L$241,BD!$A$3:$A$5001,"&gt;="&amp;$C$7,BD!$A$3:$A$5001,"&lt;="&amp;$B247,BD!$Y$3:$Y$5001,"&lt;&gt;")=0,"",SUMIFS(BD!$Y$3:$Y$5001,BD!$B$3:$B$5001,L$241,BD!$A$3:$A$5001,_xlfn.MAXIFS(BD!$A$3:$A$5001,BD!$B$3:$B$5001,L$241,BD!$A$3:$A$5001,"&gt;="&amp;$C$7,BD!$A$3:$A$5001,"&lt;="&amp;$B247,BD!$Y$3:$Y$5001,"&lt;&gt;"))))</f>
        <v/>
      </c>
      <c r="M247" s="43" t="str">
        <f>IF(OR($B247="",$A247&gt;$B$9,M$241=""),"",IF(COUNTIFS(BD!$B$3:$B$5001,M$241,BD!$A$3:$A$5001,"&gt;="&amp;$C$7,BD!$A$3:$A$5001,"&lt;="&amp;$B247,BD!$Y$3:$Y$5001,"&lt;&gt;")=0,"",SUMIFS(BD!$Y$3:$Y$5001,BD!$B$3:$B$5001,M$241,BD!$A$3:$A$5001,_xlfn.MAXIFS(BD!$A$3:$A$5001,BD!$B$3:$B$5001,M$241,BD!$A$3:$A$5001,"&gt;="&amp;$C$7,BD!$A$3:$A$5001,"&lt;="&amp;$B247,BD!$Y$3:$Y$5001,"&lt;&gt;"))))</f>
        <v/>
      </c>
      <c r="N247" s="43" t="str">
        <f>IF(OR($B247="",$A247&gt;$B$9,N$241=""),"",IF(COUNTIFS(BD!$B$3:$B$5001,N$241,BD!$A$3:$A$5001,"&gt;="&amp;$C$7,BD!$A$3:$A$5001,"&lt;="&amp;$B247,BD!$Y$3:$Y$5001,"&lt;&gt;")=0,"",SUMIFS(BD!$Y$3:$Y$5001,BD!$B$3:$B$5001,N$241,BD!$A$3:$A$5001,_xlfn.MAXIFS(BD!$A$3:$A$5001,BD!$B$3:$B$5001,N$241,BD!$A$3:$A$5001,"&gt;="&amp;$C$7,BD!$A$3:$A$5001,"&lt;="&amp;$B247,BD!$Y$3:$Y$5001,"&lt;&gt;"))))</f>
        <v/>
      </c>
      <c r="O247" s="43" t="str">
        <f>IF(OR($B247="",$A247&gt;$B$9,O$241=""),"",IF(COUNTIFS(BD!$B$3:$B$5001,O$241,BD!$A$3:$A$5001,"&gt;="&amp;$C$7,BD!$A$3:$A$5001,"&lt;="&amp;$B247,BD!$Y$3:$Y$5001,"&lt;&gt;")=0,"",SUMIFS(BD!$Y$3:$Y$5001,BD!$B$3:$B$5001,O$241,BD!$A$3:$A$5001,_xlfn.MAXIFS(BD!$A$3:$A$5001,BD!$B$3:$B$5001,O$241,BD!$A$3:$A$5001,"&gt;="&amp;$C$7,BD!$A$3:$A$5001,"&lt;="&amp;$B247,BD!$Y$3:$Y$5001,"&lt;&gt;"))))</f>
        <v/>
      </c>
      <c r="P247" s="43" t="str">
        <f>IF(OR($B247="",$A247&gt;$B$9,P$241=""),"",IF(COUNTIFS(BD!$B$3:$B$5001,P$241,BD!$A$3:$A$5001,"&gt;="&amp;$C$7,BD!$A$3:$A$5001,"&lt;="&amp;$B247,BD!$Y$3:$Y$5001,"&lt;&gt;")=0,"",SUMIFS(BD!$Y$3:$Y$5001,BD!$B$3:$B$5001,P$241,BD!$A$3:$A$5001,_xlfn.MAXIFS(BD!$A$3:$A$5001,BD!$B$3:$B$5001,P$241,BD!$A$3:$A$5001,"&gt;="&amp;$C$7,BD!$A$3:$A$5001,"&lt;="&amp;$B247,BD!$Y$3:$Y$5001,"&lt;&gt;"))))</f>
        <v/>
      </c>
      <c r="Q247" s="43" t="str">
        <f>IF(OR($B247="",$A247&gt;$B$9,Q$241=""),"",IF(COUNTIFS(BD!$B$3:$B$5001,Q$241,BD!$A$3:$A$5001,"&gt;="&amp;$C$7,BD!$A$3:$A$5001,"&lt;="&amp;$B247,BD!$Y$3:$Y$5001,"&lt;&gt;")=0,"",SUMIFS(BD!$Y$3:$Y$5001,BD!$B$3:$B$5001,Q$241,BD!$A$3:$A$5001,_xlfn.MAXIFS(BD!$A$3:$A$5001,BD!$B$3:$B$5001,Q$241,BD!$A$3:$A$5001,"&gt;="&amp;$C$7,BD!$A$3:$A$5001,"&lt;="&amp;$B247,BD!$Y$3:$Y$5001,"&lt;&gt;"))))</f>
        <v/>
      </c>
      <c r="R247" s="43" t="str">
        <f>IF(OR($B247="",$A247&gt;$B$9,R$241=""),"",IF(COUNTIFS(BD!$B$3:$B$5001,R$241,BD!$A$3:$A$5001,"&gt;="&amp;$C$7,BD!$A$3:$A$5001,"&lt;="&amp;$B247,BD!$Y$3:$Y$5001,"&lt;&gt;")=0,"",SUMIFS(BD!$Y$3:$Y$5001,BD!$B$3:$B$5001,R$241,BD!$A$3:$A$5001,_xlfn.MAXIFS(BD!$A$3:$A$5001,BD!$B$3:$B$5001,R$241,BD!$A$3:$A$5001,"&gt;="&amp;$C$7,BD!$A$3:$A$5001,"&lt;="&amp;$B247,BD!$Y$3:$Y$5001,"&lt;&gt;"))))</f>
        <v/>
      </c>
      <c r="S247" s="43" t="str">
        <f>IF(OR($B247="",$A247&gt;$B$9,S$241=""),"",IF(COUNTIFS(BD!$B$3:$B$5001,S$241,BD!$A$3:$A$5001,"&gt;="&amp;$C$7,BD!$A$3:$A$5001,"&lt;="&amp;$B247,BD!$Y$3:$Y$5001,"&lt;&gt;")=0,"",SUMIFS(BD!$Y$3:$Y$5001,BD!$B$3:$B$5001,S$241,BD!$A$3:$A$5001,_xlfn.MAXIFS(BD!$A$3:$A$5001,BD!$B$3:$B$5001,S$241,BD!$A$3:$A$5001,"&gt;="&amp;$C$7,BD!$A$3:$A$5001,"&lt;="&amp;$B247,BD!$Y$3:$Y$5001,"&lt;&gt;"))))</f>
        <v/>
      </c>
      <c r="T247" s="43" t="str">
        <f>IF(OR($B247="",$A247&gt;$B$9,T$241=""),"",IF(COUNTIFS(BD!$B$3:$B$5001,T$241,BD!$A$3:$A$5001,"&gt;="&amp;$C$7,BD!$A$3:$A$5001,"&lt;="&amp;$B247,BD!$Y$3:$Y$5001,"&lt;&gt;")=0,"",SUMIFS(BD!$Y$3:$Y$5001,BD!$B$3:$B$5001,T$241,BD!$A$3:$A$5001,_xlfn.MAXIFS(BD!$A$3:$A$5001,BD!$B$3:$B$5001,T$241,BD!$A$3:$A$5001,"&gt;="&amp;$C$7,BD!$A$3:$A$5001,"&lt;="&amp;$B247,BD!$Y$3:$Y$5001,"&lt;&gt;"))))</f>
        <v/>
      </c>
      <c r="U247" s="43" t="str">
        <f>IF(OR($B247="",$A247&gt;$B$9,U$241=""),"",IF(COUNTIFS(BD!$B$3:$B$5001,U$241,BD!$A$3:$A$5001,"&gt;="&amp;$C$7,BD!$A$3:$A$5001,"&lt;="&amp;$B247,BD!$Y$3:$Y$5001,"&lt;&gt;")=0,"",SUMIFS(BD!$Y$3:$Y$5001,BD!$B$3:$B$5001,U$241,BD!$A$3:$A$5001,_xlfn.MAXIFS(BD!$A$3:$A$5001,BD!$B$3:$B$5001,U$241,BD!$A$3:$A$5001,"&gt;="&amp;$C$7,BD!$A$3:$A$5001,"&lt;="&amp;$B247,BD!$Y$3:$Y$5001,"&lt;&gt;"))))</f>
        <v/>
      </c>
      <c r="V247" s="43" t="str">
        <f>IF(OR($B247="",$A247&gt;$B$9,V$241=""),"",IF(COUNTIFS(BD!$B$3:$B$5001,V$241,BD!$A$3:$A$5001,"&gt;="&amp;$C$7,BD!$A$3:$A$5001,"&lt;="&amp;$B247,BD!$Y$3:$Y$5001,"&lt;&gt;")=0,"",SUMIFS(BD!$Y$3:$Y$5001,BD!$B$3:$B$5001,V$241,BD!$A$3:$A$5001,_xlfn.MAXIFS(BD!$A$3:$A$5001,BD!$B$3:$B$5001,V$241,BD!$A$3:$A$5001,"&gt;="&amp;$C$7,BD!$A$3:$A$5001,"&lt;="&amp;$B247,BD!$Y$3:$Y$5001,"&lt;&gt;"))))</f>
        <v/>
      </c>
    </row>
    <row r="248">
      <c r="A248" s="38">
        <v>7</v>
      </c>
      <c r="B248" s="42">
        <f>$B$18</f>
        <v>46302</v>
      </c>
      <c r="C248" s="43" t="str">
        <f>IF(OR($B248="",$A248&gt;$B$9,C$241=""),"",IF(COUNTIFS(BD!$B$3:$B$5001,C$241,BD!$A$3:$A$5001,"&gt;="&amp;$C$7,BD!$A$3:$A$5001,"&lt;="&amp;$B248,BD!$Y$3:$Y$5001,"&lt;&gt;")=0,"",SUMIFS(BD!$Y$3:$Y$5001,BD!$B$3:$B$5001,C$241,BD!$A$3:$A$5001,_xlfn.MAXIFS(BD!$A$3:$A$5001,BD!$B$3:$B$5001,C$241,BD!$A$3:$A$5001,"&gt;="&amp;$C$7,BD!$A$3:$A$5001,"&lt;="&amp;$B248,BD!$Y$3:$Y$5001,"&lt;&gt;"))))</f>
        <v/>
      </c>
      <c r="D248" s="43" t="str">
        <f>IF(OR($B248="",$A248&gt;$B$9,D$241=""),"",IF(COUNTIFS(BD!$B$3:$B$5001,D$241,BD!$A$3:$A$5001,"&gt;="&amp;$C$7,BD!$A$3:$A$5001,"&lt;="&amp;$B248,BD!$Y$3:$Y$5001,"&lt;&gt;")=0,"",SUMIFS(BD!$Y$3:$Y$5001,BD!$B$3:$B$5001,D$241,BD!$A$3:$A$5001,_xlfn.MAXIFS(BD!$A$3:$A$5001,BD!$B$3:$B$5001,D$241,BD!$A$3:$A$5001,"&gt;="&amp;$C$7,BD!$A$3:$A$5001,"&lt;="&amp;$B248,BD!$Y$3:$Y$5001,"&lt;&gt;"))))</f>
        <v/>
      </c>
      <c r="E248" s="43" t="str">
        <f>IF(OR($B248="",$A248&gt;$B$9,E$241=""),"",IF(COUNTIFS(BD!$B$3:$B$5001,E$241,BD!$A$3:$A$5001,"&gt;="&amp;$C$7,BD!$A$3:$A$5001,"&lt;="&amp;$B248,BD!$Y$3:$Y$5001,"&lt;&gt;")=0,"",SUMIFS(BD!$Y$3:$Y$5001,BD!$B$3:$B$5001,E$241,BD!$A$3:$A$5001,_xlfn.MAXIFS(BD!$A$3:$A$5001,BD!$B$3:$B$5001,E$241,BD!$A$3:$A$5001,"&gt;="&amp;$C$7,BD!$A$3:$A$5001,"&lt;="&amp;$B248,BD!$Y$3:$Y$5001,"&lt;&gt;"))))</f>
        <v/>
      </c>
      <c r="F248" s="43" t="str">
        <f>IF(OR($B248="",$A248&gt;$B$9,F$241=""),"",IF(COUNTIFS(BD!$B$3:$B$5001,F$241,BD!$A$3:$A$5001,"&gt;="&amp;$C$7,BD!$A$3:$A$5001,"&lt;="&amp;$B248,BD!$Y$3:$Y$5001,"&lt;&gt;")=0,"",SUMIFS(BD!$Y$3:$Y$5001,BD!$B$3:$B$5001,F$241,BD!$A$3:$A$5001,_xlfn.MAXIFS(BD!$A$3:$A$5001,BD!$B$3:$B$5001,F$241,BD!$A$3:$A$5001,"&gt;="&amp;$C$7,BD!$A$3:$A$5001,"&lt;="&amp;$B248,BD!$Y$3:$Y$5001,"&lt;&gt;"))))</f>
        <v/>
      </c>
      <c r="G248" s="43" t="str">
        <f>IF(OR($B248="",$A248&gt;$B$9,G$241=""),"",IF(COUNTIFS(BD!$B$3:$B$5001,G$241,BD!$A$3:$A$5001,"&gt;="&amp;$C$7,BD!$A$3:$A$5001,"&lt;="&amp;$B248,BD!$Y$3:$Y$5001,"&lt;&gt;")=0,"",SUMIFS(BD!$Y$3:$Y$5001,BD!$B$3:$B$5001,G$241,BD!$A$3:$A$5001,_xlfn.MAXIFS(BD!$A$3:$A$5001,BD!$B$3:$B$5001,G$241,BD!$A$3:$A$5001,"&gt;="&amp;$C$7,BD!$A$3:$A$5001,"&lt;="&amp;$B248,BD!$Y$3:$Y$5001,"&lt;&gt;"))))</f>
        <v/>
      </c>
      <c r="H248" s="43" t="str">
        <f>IF(OR($B248="",$A248&gt;$B$9,H$241=""),"",IF(COUNTIFS(BD!$B$3:$B$5001,H$241,BD!$A$3:$A$5001,"&gt;="&amp;$C$7,BD!$A$3:$A$5001,"&lt;="&amp;$B248,BD!$Y$3:$Y$5001,"&lt;&gt;")=0,"",SUMIFS(BD!$Y$3:$Y$5001,BD!$B$3:$B$5001,H$241,BD!$A$3:$A$5001,_xlfn.MAXIFS(BD!$A$3:$A$5001,BD!$B$3:$B$5001,H$241,BD!$A$3:$A$5001,"&gt;="&amp;$C$7,BD!$A$3:$A$5001,"&lt;="&amp;$B248,BD!$Y$3:$Y$5001,"&lt;&gt;"))))</f>
        <v/>
      </c>
      <c r="I248" s="43" t="str">
        <f>IF(OR($B248="",$A248&gt;$B$9,I$241=""),"",IF(COUNTIFS(BD!$B$3:$B$5001,I$241,BD!$A$3:$A$5001,"&gt;="&amp;$C$7,BD!$A$3:$A$5001,"&lt;="&amp;$B248,BD!$Y$3:$Y$5001,"&lt;&gt;")=0,"",SUMIFS(BD!$Y$3:$Y$5001,BD!$B$3:$B$5001,I$241,BD!$A$3:$A$5001,_xlfn.MAXIFS(BD!$A$3:$A$5001,BD!$B$3:$B$5001,I$241,BD!$A$3:$A$5001,"&gt;="&amp;$C$7,BD!$A$3:$A$5001,"&lt;="&amp;$B248,BD!$Y$3:$Y$5001,"&lt;&gt;"))))</f>
        <v/>
      </c>
      <c r="J248" s="43" t="str">
        <f>IF(OR($B248="",$A248&gt;$B$9,J$241=""),"",IF(COUNTIFS(BD!$B$3:$B$5001,J$241,BD!$A$3:$A$5001,"&gt;="&amp;$C$7,BD!$A$3:$A$5001,"&lt;="&amp;$B248,BD!$Y$3:$Y$5001,"&lt;&gt;")=0,"",SUMIFS(BD!$Y$3:$Y$5001,BD!$B$3:$B$5001,J$241,BD!$A$3:$A$5001,_xlfn.MAXIFS(BD!$A$3:$A$5001,BD!$B$3:$B$5001,J$241,BD!$A$3:$A$5001,"&gt;="&amp;$C$7,BD!$A$3:$A$5001,"&lt;="&amp;$B248,BD!$Y$3:$Y$5001,"&lt;&gt;"))))</f>
        <v/>
      </c>
      <c r="K248" s="43" t="str">
        <f>IF(OR($B248="",$A248&gt;$B$9,K$241=""),"",IF(COUNTIFS(BD!$B$3:$B$5001,K$241,BD!$A$3:$A$5001,"&gt;="&amp;$C$7,BD!$A$3:$A$5001,"&lt;="&amp;$B248,BD!$Y$3:$Y$5001,"&lt;&gt;")=0,"",SUMIFS(BD!$Y$3:$Y$5001,BD!$B$3:$B$5001,K$241,BD!$A$3:$A$5001,_xlfn.MAXIFS(BD!$A$3:$A$5001,BD!$B$3:$B$5001,K$241,BD!$A$3:$A$5001,"&gt;="&amp;$C$7,BD!$A$3:$A$5001,"&lt;="&amp;$B248,BD!$Y$3:$Y$5001,"&lt;&gt;"))))</f>
        <v/>
      </c>
      <c r="L248" s="43" t="str">
        <f>IF(OR($B248="",$A248&gt;$B$9,L$241=""),"",IF(COUNTIFS(BD!$B$3:$B$5001,L$241,BD!$A$3:$A$5001,"&gt;="&amp;$C$7,BD!$A$3:$A$5001,"&lt;="&amp;$B248,BD!$Y$3:$Y$5001,"&lt;&gt;")=0,"",SUMIFS(BD!$Y$3:$Y$5001,BD!$B$3:$B$5001,L$241,BD!$A$3:$A$5001,_xlfn.MAXIFS(BD!$A$3:$A$5001,BD!$B$3:$B$5001,L$241,BD!$A$3:$A$5001,"&gt;="&amp;$C$7,BD!$A$3:$A$5001,"&lt;="&amp;$B248,BD!$Y$3:$Y$5001,"&lt;&gt;"))))</f>
        <v/>
      </c>
      <c r="M248" s="43" t="str">
        <f>IF(OR($B248="",$A248&gt;$B$9,M$241=""),"",IF(COUNTIFS(BD!$B$3:$B$5001,M$241,BD!$A$3:$A$5001,"&gt;="&amp;$C$7,BD!$A$3:$A$5001,"&lt;="&amp;$B248,BD!$Y$3:$Y$5001,"&lt;&gt;")=0,"",SUMIFS(BD!$Y$3:$Y$5001,BD!$B$3:$B$5001,M$241,BD!$A$3:$A$5001,_xlfn.MAXIFS(BD!$A$3:$A$5001,BD!$B$3:$B$5001,M$241,BD!$A$3:$A$5001,"&gt;="&amp;$C$7,BD!$A$3:$A$5001,"&lt;="&amp;$B248,BD!$Y$3:$Y$5001,"&lt;&gt;"))))</f>
        <v/>
      </c>
      <c r="N248" s="43" t="str">
        <f>IF(OR($B248="",$A248&gt;$B$9,N$241=""),"",IF(COUNTIFS(BD!$B$3:$B$5001,N$241,BD!$A$3:$A$5001,"&gt;="&amp;$C$7,BD!$A$3:$A$5001,"&lt;="&amp;$B248,BD!$Y$3:$Y$5001,"&lt;&gt;")=0,"",SUMIFS(BD!$Y$3:$Y$5001,BD!$B$3:$B$5001,N$241,BD!$A$3:$A$5001,_xlfn.MAXIFS(BD!$A$3:$A$5001,BD!$B$3:$B$5001,N$241,BD!$A$3:$A$5001,"&gt;="&amp;$C$7,BD!$A$3:$A$5001,"&lt;="&amp;$B248,BD!$Y$3:$Y$5001,"&lt;&gt;"))))</f>
        <v/>
      </c>
      <c r="O248" s="43" t="str">
        <f>IF(OR($B248="",$A248&gt;$B$9,O$241=""),"",IF(COUNTIFS(BD!$B$3:$B$5001,O$241,BD!$A$3:$A$5001,"&gt;="&amp;$C$7,BD!$A$3:$A$5001,"&lt;="&amp;$B248,BD!$Y$3:$Y$5001,"&lt;&gt;")=0,"",SUMIFS(BD!$Y$3:$Y$5001,BD!$B$3:$B$5001,O$241,BD!$A$3:$A$5001,_xlfn.MAXIFS(BD!$A$3:$A$5001,BD!$B$3:$B$5001,O$241,BD!$A$3:$A$5001,"&gt;="&amp;$C$7,BD!$A$3:$A$5001,"&lt;="&amp;$B248,BD!$Y$3:$Y$5001,"&lt;&gt;"))))</f>
        <v/>
      </c>
      <c r="P248" s="43" t="str">
        <f>IF(OR($B248="",$A248&gt;$B$9,P$241=""),"",IF(COUNTIFS(BD!$B$3:$B$5001,P$241,BD!$A$3:$A$5001,"&gt;="&amp;$C$7,BD!$A$3:$A$5001,"&lt;="&amp;$B248,BD!$Y$3:$Y$5001,"&lt;&gt;")=0,"",SUMIFS(BD!$Y$3:$Y$5001,BD!$B$3:$B$5001,P$241,BD!$A$3:$A$5001,_xlfn.MAXIFS(BD!$A$3:$A$5001,BD!$B$3:$B$5001,P$241,BD!$A$3:$A$5001,"&gt;="&amp;$C$7,BD!$A$3:$A$5001,"&lt;="&amp;$B248,BD!$Y$3:$Y$5001,"&lt;&gt;"))))</f>
        <v/>
      </c>
      <c r="Q248" s="43" t="str">
        <f>IF(OR($B248="",$A248&gt;$B$9,Q$241=""),"",IF(COUNTIFS(BD!$B$3:$B$5001,Q$241,BD!$A$3:$A$5001,"&gt;="&amp;$C$7,BD!$A$3:$A$5001,"&lt;="&amp;$B248,BD!$Y$3:$Y$5001,"&lt;&gt;")=0,"",SUMIFS(BD!$Y$3:$Y$5001,BD!$B$3:$B$5001,Q$241,BD!$A$3:$A$5001,_xlfn.MAXIFS(BD!$A$3:$A$5001,BD!$B$3:$B$5001,Q$241,BD!$A$3:$A$5001,"&gt;="&amp;$C$7,BD!$A$3:$A$5001,"&lt;="&amp;$B248,BD!$Y$3:$Y$5001,"&lt;&gt;"))))</f>
        <v/>
      </c>
      <c r="R248" s="43" t="str">
        <f>IF(OR($B248="",$A248&gt;$B$9,R$241=""),"",IF(COUNTIFS(BD!$B$3:$B$5001,R$241,BD!$A$3:$A$5001,"&gt;="&amp;$C$7,BD!$A$3:$A$5001,"&lt;="&amp;$B248,BD!$Y$3:$Y$5001,"&lt;&gt;")=0,"",SUMIFS(BD!$Y$3:$Y$5001,BD!$B$3:$B$5001,R$241,BD!$A$3:$A$5001,_xlfn.MAXIFS(BD!$A$3:$A$5001,BD!$B$3:$B$5001,R$241,BD!$A$3:$A$5001,"&gt;="&amp;$C$7,BD!$A$3:$A$5001,"&lt;="&amp;$B248,BD!$Y$3:$Y$5001,"&lt;&gt;"))))</f>
        <v/>
      </c>
      <c r="S248" s="43" t="str">
        <f>IF(OR($B248="",$A248&gt;$B$9,S$241=""),"",IF(COUNTIFS(BD!$B$3:$B$5001,S$241,BD!$A$3:$A$5001,"&gt;="&amp;$C$7,BD!$A$3:$A$5001,"&lt;="&amp;$B248,BD!$Y$3:$Y$5001,"&lt;&gt;")=0,"",SUMIFS(BD!$Y$3:$Y$5001,BD!$B$3:$B$5001,S$241,BD!$A$3:$A$5001,_xlfn.MAXIFS(BD!$A$3:$A$5001,BD!$B$3:$B$5001,S$241,BD!$A$3:$A$5001,"&gt;="&amp;$C$7,BD!$A$3:$A$5001,"&lt;="&amp;$B248,BD!$Y$3:$Y$5001,"&lt;&gt;"))))</f>
        <v/>
      </c>
      <c r="T248" s="43" t="str">
        <f>IF(OR($B248="",$A248&gt;$B$9,T$241=""),"",IF(COUNTIFS(BD!$B$3:$B$5001,T$241,BD!$A$3:$A$5001,"&gt;="&amp;$C$7,BD!$A$3:$A$5001,"&lt;="&amp;$B248,BD!$Y$3:$Y$5001,"&lt;&gt;")=0,"",SUMIFS(BD!$Y$3:$Y$5001,BD!$B$3:$B$5001,T$241,BD!$A$3:$A$5001,_xlfn.MAXIFS(BD!$A$3:$A$5001,BD!$B$3:$B$5001,T$241,BD!$A$3:$A$5001,"&gt;="&amp;$C$7,BD!$A$3:$A$5001,"&lt;="&amp;$B248,BD!$Y$3:$Y$5001,"&lt;&gt;"))))</f>
        <v/>
      </c>
      <c r="U248" s="43" t="str">
        <f>IF(OR($B248="",$A248&gt;$B$9,U$241=""),"",IF(COUNTIFS(BD!$B$3:$B$5001,U$241,BD!$A$3:$A$5001,"&gt;="&amp;$C$7,BD!$A$3:$A$5001,"&lt;="&amp;$B248,BD!$Y$3:$Y$5001,"&lt;&gt;")=0,"",SUMIFS(BD!$Y$3:$Y$5001,BD!$B$3:$B$5001,U$241,BD!$A$3:$A$5001,_xlfn.MAXIFS(BD!$A$3:$A$5001,BD!$B$3:$B$5001,U$241,BD!$A$3:$A$5001,"&gt;="&amp;$C$7,BD!$A$3:$A$5001,"&lt;="&amp;$B248,BD!$Y$3:$Y$5001,"&lt;&gt;"))))</f>
        <v/>
      </c>
      <c r="V248" s="43" t="str">
        <f>IF(OR($B248="",$A248&gt;$B$9,V$241=""),"",IF(COUNTIFS(BD!$B$3:$B$5001,V$241,BD!$A$3:$A$5001,"&gt;="&amp;$C$7,BD!$A$3:$A$5001,"&lt;="&amp;$B248,BD!$Y$3:$Y$5001,"&lt;&gt;")=0,"",SUMIFS(BD!$Y$3:$Y$5001,BD!$B$3:$B$5001,V$241,BD!$A$3:$A$5001,_xlfn.MAXIFS(BD!$A$3:$A$5001,BD!$B$3:$B$5001,V$241,BD!$A$3:$A$5001,"&gt;="&amp;$C$7,BD!$A$3:$A$5001,"&lt;="&amp;$B248,BD!$Y$3:$Y$5001,"&lt;&gt;"))))</f>
        <v/>
      </c>
    </row>
    <row r="249">
      <c r="A249" s="38">
        <v>8</v>
      </c>
      <c r="B249" s="42">
        <f>$B$19</f>
        <v>46303</v>
      </c>
      <c r="C249" s="43" t="str">
        <f>IF(OR($B249="",$A249&gt;$B$9,C$241=""),"",IF(COUNTIFS(BD!$B$3:$B$5001,C$241,BD!$A$3:$A$5001,"&gt;="&amp;$C$7,BD!$A$3:$A$5001,"&lt;="&amp;$B249,BD!$Y$3:$Y$5001,"&lt;&gt;")=0,"",SUMIFS(BD!$Y$3:$Y$5001,BD!$B$3:$B$5001,C$241,BD!$A$3:$A$5001,_xlfn.MAXIFS(BD!$A$3:$A$5001,BD!$B$3:$B$5001,C$241,BD!$A$3:$A$5001,"&gt;="&amp;$C$7,BD!$A$3:$A$5001,"&lt;="&amp;$B249,BD!$Y$3:$Y$5001,"&lt;&gt;"))))</f>
        <v/>
      </c>
      <c r="D249" s="43" t="str">
        <f>IF(OR($B249="",$A249&gt;$B$9,D$241=""),"",IF(COUNTIFS(BD!$B$3:$B$5001,D$241,BD!$A$3:$A$5001,"&gt;="&amp;$C$7,BD!$A$3:$A$5001,"&lt;="&amp;$B249,BD!$Y$3:$Y$5001,"&lt;&gt;")=0,"",SUMIFS(BD!$Y$3:$Y$5001,BD!$B$3:$B$5001,D$241,BD!$A$3:$A$5001,_xlfn.MAXIFS(BD!$A$3:$A$5001,BD!$B$3:$B$5001,D$241,BD!$A$3:$A$5001,"&gt;="&amp;$C$7,BD!$A$3:$A$5001,"&lt;="&amp;$B249,BD!$Y$3:$Y$5001,"&lt;&gt;"))))</f>
        <v/>
      </c>
      <c r="E249" s="43" t="str">
        <f>IF(OR($B249="",$A249&gt;$B$9,E$241=""),"",IF(COUNTIFS(BD!$B$3:$B$5001,E$241,BD!$A$3:$A$5001,"&gt;="&amp;$C$7,BD!$A$3:$A$5001,"&lt;="&amp;$B249,BD!$Y$3:$Y$5001,"&lt;&gt;")=0,"",SUMIFS(BD!$Y$3:$Y$5001,BD!$B$3:$B$5001,E$241,BD!$A$3:$A$5001,_xlfn.MAXIFS(BD!$A$3:$A$5001,BD!$B$3:$B$5001,E$241,BD!$A$3:$A$5001,"&gt;="&amp;$C$7,BD!$A$3:$A$5001,"&lt;="&amp;$B249,BD!$Y$3:$Y$5001,"&lt;&gt;"))))</f>
        <v/>
      </c>
      <c r="F249" s="43" t="str">
        <f>IF(OR($B249="",$A249&gt;$B$9,F$241=""),"",IF(COUNTIFS(BD!$B$3:$B$5001,F$241,BD!$A$3:$A$5001,"&gt;="&amp;$C$7,BD!$A$3:$A$5001,"&lt;="&amp;$B249,BD!$Y$3:$Y$5001,"&lt;&gt;")=0,"",SUMIFS(BD!$Y$3:$Y$5001,BD!$B$3:$B$5001,F$241,BD!$A$3:$A$5001,_xlfn.MAXIFS(BD!$A$3:$A$5001,BD!$B$3:$B$5001,F$241,BD!$A$3:$A$5001,"&gt;="&amp;$C$7,BD!$A$3:$A$5001,"&lt;="&amp;$B249,BD!$Y$3:$Y$5001,"&lt;&gt;"))))</f>
        <v/>
      </c>
      <c r="G249" s="43" t="str">
        <f>IF(OR($B249="",$A249&gt;$B$9,G$241=""),"",IF(COUNTIFS(BD!$B$3:$B$5001,G$241,BD!$A$3:$A$5001,"&gt;="&amp;$C$7,BD!$A$3:$A$5001,"&lt;="&amp;$B249,BD!$Y$3:$Y$5001,"&lt;&gt;")=0,"",SUMIFS(BD!$Y$3:$Y$5001,BD!$B$3:$B$5001,G$241,BD!$A$3:$A$5001,_xlfn.MAXIFS(BD!$A$3:$A$5001,BD!$B$3:$B$5001,G$241,BD!$A$3:$A$5001,"&gt;="&amp;$C$7,BD!$A$3:$A$5001,"&lt;="&amp;$B249,BD!$Y$3:$Y$5001,"&lt;&gt;"))))</f>
        <v/>
      </c>
      <c r="H249" s="43" t="str">
        <f>IF(OR($B249="",$A249&gt;$B$9,H$241=""),"",IF(COUNTIFS(BD!$B$3:$B$5001,H$241,BD!$A$3:$A$5001,"&gt;="&amp;$C$7,BD!$A$3:$A$5001,"&lt;="&amp;$B249,BD!$Y$3:$Y$5001,"&lt;&gt;")=0,"",SUMIFS(BD!$Y$3:$Y$5001,BD!$B$3:$B$5001,H$241,BD!$A$3:$A$5001,_xlfn.MAXIFS(BD!$A$3:$A$5001,BD!$B$3:$B$5001,H$241,BD!$A$3:$A$5001,"&gt;="&amp;$C$7,BD!$A$3:$A$5001,"&lt;="&amp;$B249,BD!$Y$3:$Y$5001,"&lt;&gt;"))))</f>
        <v/>
      </c>
      <c r="I249" s="43" t="str">
        <f>IF(OR($B249="",$A249&gt;$B$9,I$241=""),"",IF(COUNTIFS(BD!$B$3:$B$5001,I$241,BD!$A$3:$A$5001,"&gt;="&amp;$C$7,BD!$A$3:$A$5001,"&lt;="&amp;$B249,BD!$Y$3:$Y$5001,"&lt;&gt;")=0,"",SUMIFS(BD!$Y$3:$Y$5001,BD!$B$3:$B$5001,I$241,BD!$A$3:$A$5001,_xlfn.MAXIFS(BD!$A$3:$A$5001,BD!$B$3:$B$5001,I$241,BD!$A$3:$A$5001,"&gt;="&amp;$C$7,BD!$A$3:$A$5001,"&lt;="&amp;$B249,BD!$Y$3:$Y$5001,"&lt;&gt;"))))</f>
        <v/>
      </c>
      <c r="J249" s="43" t="str">
        <f>IF(OR($B249="",$A249&gt;$B$9,J$241=""),"",IF(COUNTIFS(BD!$B$3:$B$5001,J$241,BD!$A$3:$A$5001,"&gt;="&amp;$C$7,BD!$A$3:$A$5001,"&lt;="&amp;$B249,BD!$Y$3:$Y$5001,"&lt;&gt;")=0,"",SUMIFS(BD!$Y$3:$Y$5001,BD!$B$3:$B$5001,J$241,BD!$A$3:$A$5001,_xlfn.MAXIFS(BD!$A$3:$A$5001,BD!$B$3:$B$5001,J$241,BD!$A$3:$A$5001,"&gt;="&amp;$C$7,BD!$A$3:$A$5001,"&lt;="&amp;$B249,BD!$Y$3:$Y$5001,"&lt;&gt;"))))</f>
        <v/>
      </c>
      <c r="K249" s="43" t="str">
        <f>IF(OR($B249="",$A249&gt;$B$9,K$241=""),"",IF(COUNTIFS(BD!$B$3:$B$5001,K$241,BD!$A$3:$A$5001,"&gt;="&amp;$C$7,BD!$A$3:$A$5001,"&lt;="&amp;$B249,BD!$Y$3:$Y$5001,"&lt;&gt;")=0,"",SUMIFS(BD!$Y$3:$Y$5001,BD!$B$3:$B$5001,K$241,BD!$A$3:$A$5001,_xlfn.MAXIFS(BD!$A$3:$A$5001,BD!$B$3:$B$5001,K$241,BD!$A$3:$A$5001,"&gt;="&amp;$C$7,BD!$A$3:$A$5001,"&lt;="&amp;$B249,BD!$Y$3:$Y$5001,"&lt;&gt;"))))</f>
        <v/>
      </c>
      <c r="L249" s="43" t="str">
        <f>IF(OR($B249="",$A249&gt;$B$9,L$241=""),"",IF(COUNTIFS(BD!$B$3:$B$5001,L$241,BD!$A$3:$A$5001,"&gt;="&amp;$C$7,BD!$A$3:$A$5001,"&lt;="&amp;$B249,BD!$Y$3:$Y$5001,"&lt;&gt;")=0,"",SUMIFS(BD!$Y$3:$Y$5001,BD!$B$3:$B$5001,L$241,BD!$A$3:$A$5001,_xlfn.MAXIFS(BD!$A$3:$A$5001,BD!$B$3:$B$5001,L$241,BD!$A$3:$A$5001,"&gt;="&amp;$C$7,BD!$A$3:$A$5001,"&lt;="&amp;$B249,BD!$Y$3:$Y$5001,"&lt;&gt;"))))</f>
        <v/>
      </c>
      <c r="M249" s="43" t="str">
        <f>IF(OR($B249="",$A249&gt;$B$9,M$241=""),"",IF(COUNTIFS(BD!$B$3:$B$5001,M$241,BD!$A$3:$A$5001,"&gt;="&amp;$C$7,BD!$A$3:$A$5001,"&lt;="&amp;$B249,BD!$Y$3:$Y$5001,"&lt;&gt;")=0,"",SUMIFS(BD!$Y$3:$Y$5001,BD!$B$3:$B$5001,M$241,BD!$A$3:$A$5001,_xlfn.MAXIFS(BD!$A$3:$A$5001,BD!$B$3:$B$5001,M$241,BD!$A$3:$A$5001,"&gt;="&amp;$C$7,BD!$A$3:$A$5001,"&lt;="&amp;$B249,BD!$Y$3:$Y$5001,"&lt;&gt;"))))</f>
        <v/>
      </c>
      <c r="N249" s="43" t="str">
        <f>IF(OR($B249="",$A249&gt;$B$9,N$241=""),"",IF(COUNTIFS(BD!$B$3:$B$5001,N$241,BD!$A$3:$A$5001,"&gt;="&amp;$C$7,BD!$A$3:$A$5001,"&lt;="&amp;$B249,BD!$Y$3:$Y$5001,"&lt;&gt;")=0,"",SUMIFS(BD!$Y$3:$Y$5001,BD!$B$3:$B$5001,N$241,BD!$A$3:$A$5001,_xlfn.MAXIFS(BD!$A$3:$A$5001,BD!$B$3:$B$5001,N$241,BD!$A$3:$A$5001,"&gt;="&amp;$C$7,BD!$A$3:$A$5001,"&lt;="&amp;$B249,BD!$Y$3:$Y$5001,"&lt;&gt;"))))</f>
        <v/>
      </c>
      <c r="O249" s="43" t="str">
        <f>IF(OR($B249="",$A249&gt;$B$9,O$241=""),"",IF(COUNTIFS(BD!$B$3:$B$5001,O$241,BD!$A$3:$A$5001,"&gt;="&amp;$C$7,BD!$A$3:$A$5001,"&lt;="&amp;$B249,BD!$Y$3:$Y$5001,"&lt;&gt;")=0,"",SUMIFS(BD!$Y$3:$Y$5001,BD!$B$3:$B$5001,O$241,BD!$A$3:$A$5001,_xlfn.MAXIFS(BD!$A$3:$A$5001,BD!$B$3:$B$5001,O$241,BD!$A$3:$A$5001,"&gt;="&amp;$C$7,BD!$A$3:$A$5001,"&lt;="&amp;$B249,BD!$Y$3:$Y$5001,"&lt;&gt;"))))</f>
        <v/>
      </c>
      <c r="P249" s="43" t="str">
        <f>IF(OR($B249="",$A249&gt;$B$9,P$241=""),"",IF(COUNTIFS(BD!$B$3:$B$5001,P$241,BD!$A$3:$A$5001,"&gt;="&amp;$C$7,BD!$A$3:$A$5001,"&lt;="&amp;$B249,BD!$Y$3:$Y$5001,"&lt;&gt;")=0,"",SUMIFS(BD!$Y$3:$Y$5001,BD!$B$3:$B$5001,P$241,BD!$A$3:$A$5001,_xlfn.MAXIFS(BD!$A$3:$A$5001,BD!$B$3:$B$5001,P$241,BD!$A$3:$A$5001,"&gt;="&amp;$C$7,BD!$A$3:$A$5001,"&lt;="&amp;$B249,BD!$Y$3:$Y$5001,"&lt;&gt;"))))</f>
        <v/>
      </c>
      <c r="Q249" s="43" t="str">
        <f>IF(OR($B249="",$A249&gt;$B$9,Q$241=""),"",IF(COUNTIFS(BD!$B$3:$B$5001,Q$241,BD!$A$3:$A$5001,"&gt;="&amp;$C$7,BD!$A$3:$A$5001,"&lt;="&amp;$B249,BD!$Y$3:$Y$5001,"&lt;&gt;")=0,"",SUMIFS(BD!$Y$3:$Y$5001,BD!$B$3:$B$5001,Q$241,BD!$A$3:$A$5001,_xlfn.MAXIFS(BD!$A$3:$A$5001,BD!$B$3:$B$5001,Q$241,BD!$A$3:$A$5001,"&gt;="&amp;$C$7,BD!$A$3:$A$5001,"&lt;="&amp;$B249,BD!$Y$3:$Y$5001,"&lt;&gt;"))))</f>
        <v/>
      </c>
      <c r="R249" s="43" t="str">
        <f>IF(OR($B249="",$A249&gt;$B$9,R$241=""),"",IF(COUNTIFS(BD!$B$3:$B$5001,R$241,BD!$A$3:$A$5001,"&gt;="&amp;$C$7,BD!$A$3:$A$5001,"&lt;="&amp;$B249,BD!$Y$3:$Y$5001,"&lt;&gt;")=0,"",SUMIFS(BD!$Y$3:$Y$5001,BD!$B$3:$B$5001,R$241,BD!$A$3:$A$5001,_xlfn.MAXIFS(BD!$A$3:$A$5001,BD!$B$3:$B$5001,R$241,BD!$A$3:$A$5001,"&gt;="&amp;$C$7,BD!$A$3:$A$5001,"&lt;="&amp;$B249,BD!$Y$3:$Y$5001,"&lt;&gt;"))))</f>
        <v/>
      </c>
      <c r="S249" s="43" t="str">
        <f>IF(OR($B249="",$A249&gt;$B$9,S$241=""),"",IF(COUNTIFS(BD!$B$3:$B$5001,S$241,BD!$A$3:$A$5001,"&gt;="&amp;$C$7,BD!$A$3:$A$5001,"&lt;="&amp;$B249,BD!$Y$3:$Y$5001,"&lt;&gt;")=0,"",SUMIFS(BD!$Y$3:$Y$5001,BD!$B$3:$B$5001,S$241,BD!$A$3:$A$5001,_xlfn.MAXIFS(BD!$A$3:$A$5001,BD!$B$3:$B$5001,S$241,BD!$A$3:$A$5001,"&gt;="&amp;$C$7,BD!$A$3:$A$5001,"&lt;="&amp;$B249,BD!$Y$3:$Y$5001,"&lt;&gt;"))))</f>
        <v/>
      </c>
      <c r="T249" s="43" t="str">
        <f>IF(OR($B249="",$A249&gt;$B$9,T$241=""),"",IF(COUNTIFS(BD!$B$3:$B$5001,T$241,BD!$A$3:$A$5001,"&gt;="&amp;$C$7,BD!$A$3:$A$5001,"&lt;="&amp;$B249,BD!$Y$3:$Y$5001,"&lt;&gt;")=0,"",SUMIFS(BD!$Y$3:$Y$5001,BD!$B$3:$B$5001,T$241,BD!$A$3:$A$5001,_xlfn.MAXIFS(BD!$A$3:$A$5001,BD!$B$3:$B$5001,T$241,BD!$A$3:$A$5001,"&gt;="&amp;$C$7,BD!$A$3:$A$5001,"&lt;="&amp;$B249,BD!$Y$3:$Y$5001,"&lt;&gt;"))))</f>
        <v/>
      </c>
      <c r="U249" s="43" t="str">
        <f>IF(OR($B249="",$A249&gt;$B$9,U$241=""),"",IF(COUNTIFS(BD!$B$3:$B$5001,U$241,BD!$A$3:$A$5001,"&gt;="&amp;$C$7,BD!$A$3:$A$5001,"&lt;="&amp;$B249,BD!$Y$3:$Y$5001,"&lt;&gt;")=0,"",SUMIFS(BD!$Y$3:$Y$5001,BD!$B$3:$B$5001,U$241,BD!$A$3:$A$5001,_xlfn.MAXIFS(BD!$A$3:$A$5001,BD!$B$3:$B$5001,U$241,BD!$A$3:$A$5001,"&gt;="&amp;$C$7,BD!$A$3:$A$5001,"&lt;="&amp;$B249,BD!$Y$3:$Y$5001,"&lt;&gt;"))))</f>
        <v/>
      </c>
      <c r="V249" s="43" t="str">
        <f>IF(OR($B249="",$A249&gt;$B$9,V$241=""),"",IF(COUNTIFS(BD!$B$3:$B$5001,V$241,BD!$A$3:$A$5001,"&gt;="&amp;$C$7,BD!$A$3:$A$5001,"&lt;="&amp;$B249,BD!$Y$3:$Y$5001,"&lt;&gt;")=0,"",SUMIFS(BD!$Y$3:$Y$5001,BD!$B$3:$B$5001,V$241,BD!$A$3:$A$5001,_xlfn.MAXIFS(BD!$A$3:$A$5001,BD!$B$3:$B$5001,V$241,BD!$A$3:$A$5001,"&gt;="&amp;$C$7,BD!$A$3:$A$5001,"&lt;="&amp;$B249,BD!$Y$3:$Y$5001,"&lt;&gt;"))))</f>
        <v/>
      </c>
    </row>
    <row r="250">
      <c r="A250" s="38">
        <v>9</v>
      </c>
      <c r="B250" s="42">
        <f>$B$20</f>
        <v>46304</v>
      </c>
      <c r="C250" s="43" t="str">
        <f>IF(OR($B250="",$A250&gt;$B$9,C$241=""),"",IF(COUNTIFS(BD!$B$3:$B$5001,C$241,BD!$A$3:$A$5001,"&gt;="&amp;$C$7,BD!$A$3:$A$5001,"&lt;="&amp;$B250,BD!$Y$3:$Y$5001,"&lt;&gt;")=0,"",SUMIFS(BD!$Y$3:$Y$5001,BD!$B$3:$B$5001,C$241,BD!$A$3:$A$5001,_xlfn.MAXIFS(BD!$A$3:$A$5001,BD!$B$3:$B$5001,C$241,BD!$A$3:$A$5001,"&gt;="&amp;$C$7,BD!$A$3:$A$5001,"&lt;="&amp;$B250,BD!$Y$3:$Y$5001,"&lt;&gt;"))))</f>
        <v/>
      </c>
      <c r="D250" s="43" t="str">
        <f>IF(OR($B250="",$A250&gt;$B$9,D$241=""),"",IF(COUNTIFS(BD!$B$3:$B$5001,D$241,BD!$A$3:$A$5001,"&gt;="&amp;$C$7,BD!$A$3:$A$5001,"&lt;="&amp;$B250,BD!$Y$3:$Y$5001,"&lt;&gt;")=0,"",SUMIFS(BD!$Y$3:$Y$5001,BD!$B$3:$B$5001,D$241,BD!$A$3:$A$5001,_xlfn.MAXIFS(BD!$A$3:$A$5001,BD!$B$3:$B$5001,D$241,BD!$A$3:$A$5001,"&gt;="&amp;$C$7,BD!$A$3:$A$5001,"&lt;="&amp;$B250,BD!$Y$3:$Y$5001,"&lt;&gt;"))))</f>
        <v/>
      </c>
      <c r="E250" s="43" t="str">
        <f>IF(OR($B250="",$A250&gt;$B$9,E$241=""),"",IF(COUNTIFS(BD!$B$3:$B$5001,E$241,BD!$A$3:$A$5001,"&gt;="&amp;$C$7,BD!$A$3:$A$5001,"&lt;="&amp;$B250,BD!$Y$3:$Y$5001,"&lt;&gt;")=0,"",SUMIFS(BD!$Y$3:$Y$5001,BD!$B$3:$B$5001,E$241,BD!$A$3:$A$5001,_xlfn.MAXIFS(BD!$A$3:$A$5001,BD!$B$3:$B$5001,E$241,BD!$A$3:$A$5001,"&gt;="&amp;$C$7,BD!$A$3:$A$5001,"&lt;="&amp;$B250,BD!$Y$3:$Y$5001,"&lt;&gt;"))))</f>
        <v/>
      </c>
      <c r="F250" s="43" t="str">
        <f>IF(OR($B250="",$A250&gt;$B$9,F$241=""),"",IF(COUNTIFS(BD!$B$3:$B$5001,F$241,BD!$A$3:$A$5001,"&gt;="&amp;$C$7,BD!$A$3:$A$5001,"&lt;="&amp;$B250,BD!$Y$3:$Y$5001,"&lt;&gt;")=0,"",SUMIFS(BD!$Y$3:$Y$5001,BD!$B$3:$B$5001,F$241,BD!$A$3:$A$5001,_xlfn.MAXIFS(BD!$A$3:$A$5001,BD!$B$3:$B$5001,F$241,BD!$A$3:$A$5001,"&gt;="&amp;$C$7,BD!$A$3:$A$5001,"&lt;="&amp;$B250,BD!$Y$3:$Y$5001,"&lt;&gt;"))))</f>
        <v/>
      </c>
      <c r="G250" s="43" t="str">
        <f>IF(OR($B250="",$A250&gt;$B$9,G$241=""),"",IF(COUNTIFS(BD!$B$3:$B$5001,G$241,BD!$A$3:$A$5001,"&gt;="&amp;$C$7,BD!$A$3:$A$5001,"&lt;="&amp;$B250,BD!$Y$3:$Y$5001,"&lt;&gt;")=0,"",SUMIFS(BD!$Y$3:$Y$5001,BD!$B$3:$B$5001,G$241,BD!$A$3:$A$5001,_xlfn.MAXIFS(BD!$A$3:$A$5001,BD!$B$3:$B$5001,G$241,BD!$A$3:$A$5001,"&gt;="&amp;$C$7,BD!$A$3:$A$5001,"&lt;="&amp;$B250,BD!$Y$3:$Y$5001,"&lt;&gt;"))))</f>
        <v/>
      </c>
      <c r="H250" s="43" t="str">
        <f>IF(OR($B250="",$A250&gt;$B$9,H$241=""),"",IF(COUNTIFS(BD!$B$3:$B$5001,H$241,BD!$A$3:$A$5001,"&gt;="&amp;$C$7,BD!$A$3:$A$5001,"&lt;="&amp;$B250,BD!$Y$3:$Y$5001,"&lt;&gt;")=0,"",SUMIFS(BD!$Y$3:$Y$5001,BD!$B$3:$B$5001,H$241,BD!$A$3:$A$5001,_xlfn.MAXIFS(BD!$A$3:$A$5001,BD!$B$3:$B$5001,H$241,BD!$A$3:$A$5001,"&gt;="&amp;$C$7,BD!$A$3:$A$5001,"&lt;="&amp;$B250,BD!$Y$3:$Y$5001,"&lt;&gt;"))))</f>
        <v/>
      </c>
      <c r="I250" s="43" t="str">
        <f>IF(OR($B250="",$A250&gt;$B$9,I$241=""),"",IF(COUNTIFS(BD!$B$3:$B$5001,I$241,BD!$A$3:$A$5001,"&gt;="&amp;$C$7,BD!$A$3:$A$5001,"&lt;="&amp;$B250,BD!$Y$3:$Y$5001,"&lt;&gt;")=0,"",SUMIFS(BD!$Y$3:$Y$5001,BD!$B$3:$B$5001,I$241,BD!$A$3:$A$5001,_xlfn.MAXIFS(BD!$A$3:$A$5001,BD!$B$3:$B$5001,I$241,BD!$A$3:$A$5001,"&gt;="&amp;$C$7,BD!$A$3:$A$5001,"&lt;="&amp;$B250,BD!$Y$3:$Y$5001,"&lt;&gt;"))))</f>
        <v/>
      </c>
      <c r="J250" s="43" t="str">
        <f>IF(OR($B250="",$A250&gt;$B$9,J$241=""),"",IF(COUNTIFS(BD!$B$3:$B$5001,J$241,BD!$A$3:$A$5001,"&gt;="&amp;$C$7,BD!$A$3:$A$5001,"&lt;="&amp;$B250,BD!$Y$3:$Y$5001,"&lt;&gt;")=0,"",SUMIFS(BD!$Y$3:$Y$5001,BD!$B$3:$B$5001,J$241,BD!$A$3:$A$5001,_xlfn.MAXIFS(BD!$A$3:$A$5001,BD!$B$3:$B$5001,J$241,BD!$A$3:$A$5001,"&gt;="&amp;$C$7,BD!$A$3:$A$5001,"&lt;="&amp;$B250,BD!$Y$3:$Y$5001,"&lt;&gt;"))))</f>
        <v/>
      </c>
      <c r="K250" s="43" t="str">
        <f>IF(OR($B250="",$A250&gt;$B$9,K$241=""),"",IF(COUNTIFS(BD!$B$3:$B$5001,K$241,BD!$A$3:$A$5001,"&gt;="&amp;$C$7,BD!$A$3:$A$5001,"&lt;="&amp;$B250,BD!$Y$3:$Y$5001,"&lt;&gt;")=0,"",SUMIFS(BD!$Y$3:$Y$5001,BD!$B$3:$B$5001,K$241,BD!$A$3:$A$5001,_xlfn.MAXIFS(BD!$A$3:$A$5001,BD!$B$3:$B$5001,K$241,BD!$A$3:$A$5001,"&gt;="&amp;$C$7,BD!$A$3:$A$5001,"&lt;="&amp;$B250,BD!$Y$3:$Y$5001,"&lt;&gt;"))))</f>
        <v/>
      </c>
      <c r="L250" s="43" t="str">
        <f>IF(OR($B250="",$A250&gt;$B$9,L$241=""),"",IF(COUNTIFS(BD!$B$3:$B$5001,L$241,BD!$A$3:$A$5001,"&gt;="&amp;$C$7,BD!$A$3:$A$5001,"&lt;="&amp;$B250,BD!$Y$3:$Y$5001,"&lt;&gt;")=0,"",SUMIFS(BD!$Y$3:$Y$5001,BD!$B$3:$B$5001,L$241,BD!$A$3:$A$5001,_xlfn.MAXIFS(BD!$A$3:$A$5001,BD!$B$3:$B$5001,L$241,BD!$A$3:$A$5001,"&gt;="&amp;$C$7,BD!$A$3:$A$5001,"&lt;="&amp;$B250,BD!$Y$3:$Y$5001,"&lt;&gt;"))))</f>
        <v/>
      </c>
      <c r="M250" s="43" t="str">
        <f>IF(OR($B250="",$A250&gt;$B$9,M$241=""),"",IF(COUNTIFS(BD!$B$3:$B$5001,M$241,BD!$A$3:$A$5001,"&gt;="&amp;$C$7,BD!$A$3:$A$5001,"&lt;="&amp;$B250,BD!$Y$3:$Y$5001,"&lt;&gt;")=0,"",SUMIFS(BD!$Y$3:$Y$5001,BD!$B$3:$B$5001,M$241,BD!$A$3:$A$5001,_xlfn.MAXIFS(BD!$A$3:$A$5001,BD!$B$3:$B$5001,M$241,BD!$A$3:$A$5001,"&gt;="&amp;$C$7,BD!$A$3:$A$5001,"&lt;="&amp;$B250,BD!$Y$3:$Y$5001,"&lt;&gt;"))))</f>
        <v/>
      </c>
      <c r="N250" s="43" t="str">
        <f>IF(OR($B250="",$A250&gt;$B$9,N$241=""),"",IF(COUNTIFS(BD!$B$3:$B$5001,N$241,BD!$A$3:$A$5001,"&gt;="&amp;$C$7,BD!$A$3:$A$5001,"&lt;="&amp;$B250,BD!$Y$3:$Y$5001,"&lt;&gt;")=0,"",SUMIFS(BD!$Y$3:$Y$5001,BD!$B$3:$B$5001,N$241,BD!$A$3:$A$5001,_xlfn.MAXIFS(BD!$A$3:$A$5001,BD!$B$3:$B$5001,N$241,BD!$A$3:$A$5001,"&gt;="&amp;$C$7,BD!$A$3:$A$5001,"&lt;="&amp;$B250,BD!$Y$3:$Y$5001,"&lt;&gt;"))))</f>
        <v/>
      </c>
      <c r="O250" s="43" t="str">
        <f>IF(OR($B250="",$A250&gt;$B$9,O$241=""),"",IF(COUNTIFS(BD!$B$3:$B$5001,O$241,BD!$A$3:$A$5001,"&gt;="&amp;$C$7,BD!$A$3:$A$5001,"&lt;="&amp;$B250,BD!$Y$3:$Y$5001,"&lt;&gt;")=0,"",SUMIFS(BD!$Y$3:$Y$5001,BD!$B$3:$B$5001,O$241,BD!$A$3:$A$5001,_xlfn.MAXIFS(BD!$A$3:$A$5001,BD!$B$3:$B$5001,O$241,BD!$A$3:$A$5001,"&gt;="&amp;$C$7,BD!$A$3:$A$5001,"&lt;="&amp;$B250,BD!$Y$3:$Y$5001,"&lt;&gt;"))))</f>
        <v/>
      </c>
      <c r="P250" s="43" t="str">
        <f>IF(OR($B250="",$A250&gt;$B$9,P$241=""),"",IF(COUNTIFS(BD!$B$3:$B$5001,P$241,BD!$A$3:$A$5001,"&gt;="&amp;$C$7,BD!$A$3:$A$5001,"&lt;="&amp;$B250,BD!$Y$3:$Y$5001,"&lt;&gt;")=0,"",SUMIFS(BD!$Y$3:$Y$5001,BD!$B$3:$B$5001,P$241,BD!$A$3:$A$5001,_xlfn.MAXIFS(BD!$A$3:$A$5001,BD!$B$3:$B$5001,P$241,BD!$A$3:$A$5001,"&gt;="&amp;$C$7,BD!$A$3:$A$5001,"&lt;="&amp;$B250,BD!$Y$3:$Y$5001,"&lt;&gt;"))))</f>
        <v/>
      </c>
      <c r="Q250" s="43" t="str">
        <f>IF(OR($B250="",$A250&gt;$B$9,Q$241=""),"",IF(COUNTIFS(BD!$B$3:$B$5001,Q$241,BD!$A$3:$A$5001,"&gt;="&amp;$C$7,BD!$A$3:$A$5001,"&lt;="&amp;$B250,BD!$Y$3:$Y$5001,"&lt;&gt;")=0,"",SUMIFS(BD!$Y$3:$Y$5001,BD!$B$3:$B$5001,Q$241,BD!$A$3:$A$5001,_xlfn.MAXIFS(BD!$A$3:$A$5001,BD!$B$3:$B$5001,Q$241,BD!$A$3:$A$5001,"&gt;="&amp;$C$7,BD!$A$3:$A$5001,"&lt;="&amp;$B250,BD!$Y$3:$Y$5001,"&lt;&gt;"))))</f>
        <v/>
      </c>
      <c r="R250" s="43" t="str">
        <f>IF(OR($B250="",$A250&gt;$B$9,R$241=""),"",IF(COUNTIFS(BD!$B$3:$B$5001,R$241,BD!$A$3:$A$5001,"&gt;="&amp;$C$7,BD!$A$3:$A$5001,"&lt;="&amp;$B250,BD!$Y$3:$Y$5001,"&lt;&gt;")=0,"",SUMIFS(BD!$Y$3:$Y$5001,BD!$B$3:$B$5001,R$241,BD!$A$3:$A$5001,_xlfn.MAXIFS(BD!$A$3:$A$5001,BD!$B$3:$B$5001,R$241,BD!$A$3:$A$5001,"&gt;="&amp;$C$7,BD!$A$3:$A$5001,"&lt;="&amp;$B250,BD!$Y$3:$Y$5001,"&lt;&gt;"))))</f>
        <v/>
      </c>
      <c r="S250" s="43" t="str">
        <f>IF(OR($B250="",$A250&gt;$B$9,S$241=""),"",IF(COUNTIFS(BD!$B$3:$B$5001,S$241,BD!$A$3:$A$5001,"&gt;="&amp;$C$7,BD!$A$3:$A$5001,"&lt;="&amp;$B250,BD!$Y$3:$Y$5001,"&lt;&gt;")=0,"",SUMIFS(BD!$Y$3:$Y$5001,BD!$B$3:$B$5001,S$241,BD!$A$3:$A$5001,_xlfn.MAXIFS(BD!$A$3:$A$5001,BD!$B$3:$B$5001,S$241,BD!$A$3:$A$5001,"&gt;="&amp;$C$7,BD!$A$3:$A$5001,"&lt;="&amp;$B250,BD!$Y$3:$Y$5001,"&lt;&gt;"))))</f>
        <v/>
      </c>
      <c r="T250" s="43" t="str">
        <f>IF(OR($B250="",$A250&gt;$B$9,T$241=""),"",IF(COUNTIFS(BD!$B$3:$B$5001,T$241,BD!$A$3:$A$5001,"&gt;="&amp;$C$7,BD!$A$3:$A$5001,"&lt;="&amp;$B250,BD!$Y$3:$Y$5001,"&lt;&gt;")=0,"",SUMIFS(BD!$Y$3:$Y$5001,BD!$B$3:$B$5001,T$241,BD!$A$3:$A$5001,_xlfn.MAXIFS(BD!$A$3:$A$5001,BD!$B$3:$B$5001,T$241,BD!$A$3:$A$5001,"&gt;="&amp;$C$7,BD!$A$3:$A$5001,"&lt;="&amp;$B250,BD!$Y$3:$Y$5001,"&lt;&gt;"))))</f>
        <v/>
      </c>
      <c r="U250" s="43" t="str">
        <f>IF(OR($B250="",$A250&gt;$B$9,U$241=""),"",IF(COUNTIFS(BD!$B$3:$B$5001,U$241,BD!$A$3:$A$5001,"&gt;="&amp;$C$7,BD!$A$3:$A$5001,"&lt;="&amp;$B250,BD!$Y$3:$Y$5001,"&lt;&gt;")=0,"",SUMIFS(BD!$Y$3:$Y$5001,BD!$B$3:$B$5001,U$241,BD!$A$3:$A$5001,_xlfn.MAXIFS(BD!$A$3:$A$5001,BD!$B$3:$B$5001,U$241,BD!$A$3:$A$5001,"&gt;="&amp;$C$7,BD!$A$3:$A$5001,"&lt;="&amp;$B250,BD!$Y$3:$Y$5001,"&lt;&gt;"))))</f>
        <v/>
      </c>
      <c r="V250" s="43" t="str">
        <f>IF(OR($B250="",$A250&gt;$B$9,V$241=""),"",IF(COUNTIFS(BD!$B$3:$B$5001,V$241,BD!$A$3:$A$5001,"&gt;="&amp;$C$7,BD!$A$3:$A$5001,"&lt;="&amp;$B250,BD!$Y$3:$Y$5001,"&lt;&gt;")=0,"",SUMIFS(BD!$Y$3:$Y$5001,BD!$B$3:$B$5001,V$241,BD!$A$3:$A$5001,_xlfn.MAXIFS(BD!$A$3:$A$5001,BD!$B$3:$B$5001,V$241,BD!$A$3:$A$5001,"&gt;="&amp;$C$7,BD!$A$3:$A$5001,"&lt;="&amp;$B250,BD!$Y$3:$Y$5001,"&lt;&gt;"))))</f>
        <v/>
      </c>
    </row>
    <row r="251">
      <c r="A251" s="38">
        <v>10</v>
      </c>
      <c r="B251" s="42">
        <f>$B$21</f>
        <v>46305</v>
      </c>
      <c r="C251" s="43" t="str">
        <f>IF(OR($B251="",$A251&gt;$B$9,C$241=""),"",IF(COUNTIFS(BD!$B$3:$B$5001,C$241,BD!$A$3:$A$5001,"&gt;="&amp;$C$7,BD!$A$3:$A$5001,"&lt;="&amp;$B251,BD!$Y$3:$Y$5001,"&lt;&gt;")=0,"",SUMIFS(BD!$Y$3:$Y$5001,BD!$B$3:$B$5001,C$241,BD!$A$3:$A$5001,_xlfn.MAXIFS(BD!$A$3:$A$5001,BD!$B$3:$B$5001,C$241,BD!$A$3:$A$5001,"&gt;="&amp;$C$7,BD!$A$3:$A$5001,"&lt;="&amp;$B251,BD!$Y$3:$Y$5001,"&lt;&gt;"))))</f>
        <v/>
      </c>
      <c r="D251" s="43" t="str">
        <f>IF(OR($B251="",$A251&gt;$B$9,D$241=""),"",IF(COUNTIFS(BD!$B$3:$B$5001,D$241,BD!$A$3:$A$5001,"&gt;="&amp;$C$7,BD!$A$3:$A$5001,"&lt;="&amp;$B251,BD!$Y$3:$Y$5001,"&lt;&gt;")=0,"",SUMIFS(BD!$Y$3:$Y$5001,BD!$B$3:$B$5001,D$241,BD!$A$3:$A$5001,_xlfn.MAXIFS(BD!$A$3:$A$5001,BD!$B$3:$B$5001,D$241,BD!$A$3:$A$5001,"&gt;="&amp;$C$7,BD!$A$3:$A$5001,"&lt;="&amp;$B251,BD!$Y$3:$Y$5001,"&lt;&gt;"))))</f>
        <v/>
      </c>
      <c r="E251" s="43" t="str">
        <f>IF(OR($B251="",$A251&gt;$B$9,E$241=""),"",IF(COUNTIFS(BD!$B$3:$B$5001,E$241,BD!$A$3:$A$5001,"&gt;="&amp;$C$7,BD!$A$3:$A$5001,"&lt;="&amp;$B251,BD!$Y$3:$Y$5001,"&lt;&gt;")=0,"",SUMIFS(BD!$Y$3:$Y$5001,BD!$B$3:$B$5001,E$241,BD!$A$3:$A$5001,_xlfn.MAXIFS(BD!$A$3:$A$5001,BD!$B$3:$B$5001,E$241,BD!$A$3:$A$5001,"&gt;="&amp;$C$7,BD!$A$3:$A$5001,"&lt;="&amp;$B251,BD!$Y$3:$Y$5001,"&lt;&gt;"))))</f>
        <v/>
      </c>
      <c r="F251" s="43" t="str">
        <f>IF(OR($B251="",$A251&gt;$B$9,F$241=""),"",IF(COUNTIFS(BD!$B$3:$B$5001,F$241,BD!$A$3:$A$5001,"&gt;="&amp;$C$7,BD!$A$3:$A$5001,"&lt;="&amp;$B251,BD!$Y$3:$Y$5001,"&lt;&gt;")=0,"",SUMIFS(BD!$Y$3:$Y$5001,BD!$B$3:$B$5001,F$241,BD!$A$3:$A$5001,_xlfn.MAXIFS(BD!$A$3:$A$5001,BD!$B$3:$B$5001,F$241,BD!$A$3:$A$5001,"&gt;="&amp;$C$7,BD!$A$3:$A$5001,"&lt;="&amp;$B251,BD!$Y$3:$Y$5001,"&lt;&gt;"))))</f>
        <v/>
      </c>
      <c r="G251" s="43" t="str">
        <f>IF(OR($B251="",$A251&gt;$B$9,G$241=""),"",IF(COUNTIFS(BD!$B$3:$B$5001,G$241,BD!$A$3:$A$5001,"&gt;="&amp;$C$7,BD!$A$3:$A$5001,"&lt;="&amp;$B251,BD!$Y$3:$Y$5001,"&lt;&gt;")=0,"",SUMIFS(BD!$Y$3:$Y$5001,BD!$B$3:$B$5001,G$241,BD!$A$3:$A$5001,_xlfn.MAXIFS(BD!$A$3:$A$5001,BD!$B$3:$B$5001,G$241,BD!$A$3:$A$5001,"&gt;="&amp;$C$7,BD!$A$3:$A$5001,"&lt;="&amp;$B251,BD!$Y$3:$Y$5001,"&lt;&gt;"))))</f>
        <v/>
      </c>
      <c r="H251" s="43" t="str">
        <f>IF(OR($B251="",$A251&gt;$B$9,H$241=""),"",IF(COUNTIFS(BD!$B$3:$B$5001,H$241,BD!$A$3:$A$5001,"&gt;="&amp;$C$7,BD!$A$3:$A$5001,"&lt;="&amp;$B251,BD!$Y$3:$Y$5001,"&lt;&gt;")=0,"",SUMIFS(BD!$Y$3:$Y$5001,BD!$B$3:$B$5001,H$241,BD!$A$3:$A$5001,_xlfn.MAXIFS(BD!$A$3:$A$5001,BD!$B$3:$B$5001,H$241,BD!$A$3:$A$5001,"&gt;="&amp;$C$7,BD!$A$3:$A$5001,"&lt;="&amp;$B251,BD!$Y$3:$Y$5001,"&lt;&gt;"))))</f>
        <v/>
      </c>
      <c r="I251" s="43" t="str">
        <f>IF(OR($B251="",$A251&gt;$B$9,I$241=""),"",IF(COUNTIFS(BD!$B$3:$B$5001,I$241,BD!$A$3:$A$5001,"&gt;="&amp;$C$7,BD!$A$3:$A$5001,"&lt;="&amp;$B251,BD!$Y$3:$Y$5001,"&lt;&gt;")=0,"",SUMIFS(BD!$Y$3:$Y$5001,BD!$B$3:$B$5001,I$241,BD!$A$3:$A$5001,_xlfn.MAXIFS(BD!$A$3:$A$5001,BD!$B$3:$B$5001,I$241,BD!$A$3:$A$5001,"&gt;="&amp;$C$7,BD!$A$3:$A$5001,"&lt;="&amp;$B251,BD!$Y$3:$Y$5001,"&lt;&gt;"))))</f>
        <v/>
      </c>
      <c r="J251" s="43" t="str">
        <f>IF(OR($B251="",$A251&gt;$B$9,J$241=""),"",IF(COUNTIFS(BD!$B$3:$B$5001,J$241,BD!$A$3:$A$5001,"&gt;="&amp;$C$7,BD!$A$3:$A$5001,"&lt;="&amp;$B251,BD!$Y$3:$Y$5001,"&lt;&gt;")=0,"",SUMIFS(BD!$Y$3:$Y$5001,BD!$B$3:$B$5001,J$241,BD!$A$3:$A$5001,_xlfn.MAXIFS(BD!$A$3:$A$5001,BD!$B$3:$B$5001,J$241,BD!$A$3:$A$5001,"&gt;="&amp;$C$7,BD!$A$3:$A$5001,"&lt;="&amp;$B251,BD!$Y$3:$Y$5001,"&lt;&gt;"))))</f>
        <v/>
      </c>
      <c r="K251" s="43" t="str">
        <f>IF(OR($B251="",$A251&gt;$B$9,K$241=""),"",IF(COUNTIFS(BD!$B$3:$B$5001,K$241,BD!$A$3:$A$5001,"&gt;="&amp;$C$7,BD!$A$3:$A$5001,"&lt;="&amp;$B251,BD!$Y$3:$Y$5001,"&lt;&gt;")=0,"",SUMIFS(BD!$Y$3:$Y$5001,BD!$B$3:$B$5001,K$241,BD!$A$3:$A$5001,_xlfn.MAXIFS(BD!$A$3:$A$5001,BD!$B$3:$B$5001,K$241,BD!$A$3:$A$5001,"&gt;="&amp;$C$7,BD!$A$3:$A$5001,"&lt;="&amp;$B251,BD!$Y$3:$Y$5001,"&lt;&gt;"))))</f>
        <v/>
      </c>
      <c r="L251" s="43" t="str">
        <f>IF(OR($B251="",$A251&gt;$B$9,L$241=""),"",IF(COUNTIFS(BD!$B$3:$B$5001,L$241,BD!$A$3:$A$5001,"&gt;="&amp;$C$7,BD!$A$3:$A$5001,"&lt;="&amp;$B251,BD!$Y$3:$Y$5001,"&lt;&gt;")=0,"",SUMIFS(BD!$Y$3:$Y$5001,BD!$B$3:$B$5001,L$241,BD!$A$3:$A$5001,_xlfn.MAXIFS(BD!$A$3:$A$5001,BD!$B$3:$B$5001,L$241,BD!$A$3:$A$5001,"&gt;="&amp;$C$7,BD!$A$3:$A$5001,"&lt;="&amp;$B251,BD!$Y$3:$Y$5001,"&lt;&gt;"))))</f>
        <v/>
      </c>
      <c r="M251" s="43" t="str">
        <f>IF(OR($B251="",$A251&gt;$B$9,M$241=""),"",IF(COUNTIFS(BD!$B$3:$B$5001,M$241,BD!$A$3:$A$5001,"&gt;="&amp;$C$7,BD!$A$3:$A$5001,"&lt;="&amp;$B251,BD!$Y$3:$Y$5001,"&lt;&gt;")=0,"",SUMIFS(BD!$Y$3:$Y$5001,BD!$B$3:$B$5001,M$241,BD!$A$3:$A$5001,_xlfn.MAXIFS(BD!$A$3:$A$5001,BD!$B$3:$B$5001,M$241,BD!$A$3:$A$5001,"&gt;="&amp;$C$7,BD!$A$3:$A$5001,"&lt;="&amp;$B251,BD!$Y$3:$Y$5001,"&lt;&gt;"))))</f>
        <v/>
      </c>
      <c r="N251" s="43" t="str">
        <f>IF(OR($B251="",$A251&gt;$B$9,N$241=""),"",IF(COUNTIFS(BD!$B$3:$B$5001,N$241,BD!$A$3:$A$5001,"&gt;="&amp;$C$7,BD!$A$3:$A$5001,"&lt;="&amp;$B251,BD!$Y$3:$Y$5001,"&lt;&gt;")=0,"",SUMIFS(BD!$Y$3:$Y$5001,BD!$B$3:$B$5001,N$241,BD!$A$3:$A$5001,_xlfn.MAXIFS(BD!$A$3:$A$5001,BD!$B$3:$B$5001,N$241,BD!$A$3:$A$5001,"&gt;="&amp;$C$7,BD!$A$3:$A$5001,"&lt;="&amp;$B251,BD!$Y$3:$Y$5001,"&lt;&gt;"))))</f>
        <v/>
      </c>
      <c r="O251" s="43" t="str">
        <f>IF(OR($B251="",$A251&gt;$B$9,O$241=""),"",IF(COUNTIFS(BD!$B$3:$B$5001,O$241,BD!$A$3:$A$5001,"&gt;="&amp;$C$7,BD!$A$3:$A$5001,"&lt;="&amp;$B251,BD!$Y$3:$Y$5001,"&lt;&gt;")=0,"",SUMIFS(BD!$Y$3:$Y$5001,BD!$B$3:$B$5001,O$241,BD!$A$3:$A$5001,_xlfn.MAXIFS(BD!$A$3:$A$5001,BD!$B$3:$B$5001,O$241,BD!$A$3:$A$5001,"&gt;="&amp;$C$7,BD!$A$3:$A$5001,"&lt;="&amp;$B251,BD!$Y$3:$Y$5001,"&lt;&gt;"))))</f>
        <v/>
      </c>
      <c r="P251" s="43" t="str">
        <f>IF(OR($B251="",$A251&gt;$B$9,P$241=""),"",IF(COUNTIFS(BD!$B$3:$B$5001,P$241,BD!$A$3:$A$5001,"&gt;="&amp;$C$7,BD!$A$3:$A$5001,"&lt;="&amp;$B251,BD!$Y$3:$Y$5001,"&lt;&gt;")=0,"",SUMIFS(BD!$Y$3:$Y$5001,BD!$B$3:$B$5001,P$241,BD!$A$3:$A$5001,_xlfn.MAXIFS(BD!$A$3:$A$5001,BD!$B$3:$B$5001,P$241,BD!$A$3:$A$5001,"&gt;="&amp;$C$7,BD!$A$3:$A$5001,"&lt;="&amp;$B251,BD!$Y$3:$Y$5001,"&lt;&gt;"))))</f>
        <v/>
      </c>
      <c r="Q251" s="43" t="str">
        <f>IF(OR($B251="",$A251&gt;$B$9,Q$241=""),"",IF(COUNTIFS(BD!$B$3:$B$5001,Q$241,BD!$A$3:$A$5001,"&gt;="&amp;$C$7,BD!$A$3:$A$5001,"&lt;="&amp;$B251,BD!$Y$3:$Y$5001,"&lt;&gt;")=0,"",SUMIFS(BD!$Y$3:$Y$5001,BD!$B$3:$B$5001,Q$241,BD!$A$3:$A$5001,_xlfn.MAXIFS(BD!$A$3:$A$5001,BD!$B$3:$B$5001,Q$241,BD!$A$3:$A$5001,"&gt;="&amp;$C$7,BD!$A$3:$A$5001,"&lt;="&amp;$B251,BD!$Y$3:$Y$5001,"&lt;&gt;"))))</f>
        <v/>
      </c>
      <c r="R251" s="43" t="str">
        <f>IF(OR($B251="",$A251&gt;$B$9,R$241=""),"",IF(COUNTIFS(BD!$B$3:$B$5001,R$241,BD!$A$3:$A$5001,"&gt;="&amp;$C$7,BD!$A$3:$A$5001,"&lt;="&amp;$B251,BD!$Y$3:$Y$5001,"&lt;&gt;")=0,"",SUMIFS(BD!$Y$3:$Y$5001,BD!$B$3:$B$5001,R$241,BD!$A$3:$A$5001,_xlfn.MAXIFS(BD!$A$3:$A$5001,BD!$B$3:$B$5001,R$241,BD!$A$3:$A$5001,"&gt;="&amp;$C$7,BD!$A$3:$A$5001,"&lt;="&amp;$B251,BD!$Y$3:$Y$5001,"&lt;&gt;"))))</f>
        <v/>
      </c>
      <c r="S251" s="43" t="str">
        <f>IF(OR($B251="",$A251&gt;$B$9,S$241=""),"",IF(COUNTIFS(BD!$B$3:$B$5001,S$241,BD!$A$3:$A$5001,"&gt;="&amp;$C$7,BD!$A$3:$A$5001,"&lt;="&amp;$B251,BD!$Y$3:$Y$5001,"&lt;&gt;")=0,"",SUMIFS(BD!$Y$3:$Y$5001,BD!$B$3:$B$5001,S$241,BD!$A$3:$A$5001,_xlfn.MAXIFS(BD!$A$3:$A$5001,BD!$B$3:$B$5001,S$241,BD!$A$3:$A$5001,"&gt;="&amp;$C$7,BD!$A$3:$A$5001,"&lt;="&amp;$B251,BD!$Y$3:$Y$5001,"&lt;&gt;"))))</f>
        <v/>
      </c>
      <c r="T251" s="43" t="str">
        <f>IF(OR($B251="",$A251&gt;$B$9,T$241=""),"",IF(COUNTIFS(BD!$B$3:$B$5001,T$241,BD!$A$3:$A$5001,"&gt;="&amp;$C$7,BD!$A$3:$A$5001,"&lt;="&amp;$B251,BD!$Y$3:$Y$5001,"&lt;&gt;")=0,"",SUMIFS(BD!$Y$3:$Y$5001,BD!$B$3:$B$5001,T$241,BD!$A$3:$A$5001,_xlfn.MAXIFS(BD!$A$3:$A$5001,BD!$B$3:$B$5001,T$241,BD!$A$3:$A$5001,"&gt;="&amp;$C$7,BD!$A$3:$A$5001,"&lt;="&amp;$B251,BD!$Y$3:$Y$5001,"&lt;&gt;"))))</f>
        <v/>
      </c>
      <c r="U251" s="43" t="str">
        <f>IF(OR($B251="",$A251&gt;$B$9,U$241=""),"",IF(COUNTIFS(BD!$B$3:$B$5001,U$241,BD!$A$3:$A$5001,"&gt;="&amp;$C$7,BD!$A$3:$A$5001,"&lt;="&amp;$B251,BD!$Y$3:$Y$5001,"&lt;&gt;")=0,"",SUMIFS(BD!$Y$3:$Y$5001,BD!$B$3:$B$5001,U$241,BD!$A$3:$A$5001,_xlfn.MAXIFS(BD!$A$3:$A$5001,BD!$B$3:$B$5001,U$241,BD!$A$3:$A$5001,"&gt;="&amp;$C$7,BD!$A$3:$A$5001,"&lt;="&amp;$B251,BD!$Y$3:$Y$5001,"&lt;&gt;"))))</f>
        <v/>
      </c>
      <c r="V251" s="43" t="str">
        <f>IF(OR($B251="",$A251&gt;$B$9,V$241=""),"",IF(COUNTIFS(BD!$B$3:$B$5001,V$241,BD!$A$3:$A$5001,"&gt;="&amp;$C$7,BD!$A$3:$A$5001,"&lt;="&amp;$B251,BD!$Y$3:$Y$5001,"&lt;&gt;")=0,"",SUMIFS(BD!$Y$3:$Y$5001,BD!$B$3:$B$5001,V$241,BD!$A$3:$A$5001,_xlfn.MAXIFS(BD!$A$3:$A$5001,BD!$B$3:$B$5001,V$241,BD!$A$3:$A$5001,"&gt;="&amp;$C$7,BD!$A$3:$A$5001,"&lt;="&amp;$B251,BD!$Y$3:$Y$5001,"&lt;&gt;"))))</f>
        <v/>
      </c>
    </row>
    <row r="252">
      <c r="A252" s="38">
        <v>11</v>
      </c>
      <c r="B252" s="42">
        <f>$B$22</f>
        <v>46306</v>
      </c>
      <c r="C252" s="43" t="str">
        <f>IF(OR($B252="",$A252&gt;$B$9,C$241=""),"",IF(COUNTIFS(BD!$B$3:$B$5001,C$241,BD!$A$3:$A$5001,"&gt;="&amp;$C$7,BD!$A$3:$A$5001,"&lt;="&amp;$B252,BD!$Y$3:$Y$5001,"&lt;&gt;")=0,"",SUMIFS(BD!$Y$3:$Y$5001,BD!$B$3:$B$5001,C$241,BD!$A$3:$A$5001,_xlfn.MAXIFS(BD!$A$3:$A$5001,BD!$B$3:$B$5001,C$241,BD!$A$3:$A$5001,"&gt;="&amp;$C$7,BD!$A$3:$A$5001,"&lt;="&amp;$B252,BD!$Y$3:$Y$5001,"&lt;&gt;"))))</f>
        <v/>
      </c>
      <c r="D252" s="43" t="str">
        <f>IF(OR($B252="",$A252&gt;$B$9,D$241=""),"",IF(COUNTIFS(BD!$B$3:$B$5001,D$241,BD!$A$3:$A$5001,"&gt;="&amp;$C$7,BD!$A$3:$A$5001,"&lt;="&amp;$B252,BD!$Y$3:$Y$5001,"&lt;&gt;")=0,"",SUMIFS(BD!$Y$3:$Y$5001,BD!$B$3:$B$5001,D$241,BD!$A$3:$A$5001,_xlfn.MAXIFS(BD!$A$3:$A$5001,BD!$B$3:$B$5001,D$241,BD!$A$3:$A$5001,"&gt;="&amp;$C$7,BD!$A$3:$A$5001,"&lt;="&amp;$B252,BD!$Y$3:$Y$5001,"&lt;&gt;"))))</f>
        <v/>
      </c>
      <c r="E252" s="43" t="str">
        <f>IF(OR($B252="",$A252&gt;$B$9,E$241=""),"",IF(COUNTIFS(BD!$B$3:$B$5001,E$241,BD!$A$3:$A$5001,"&gt;="&amp;$C$7,BD!$A$3:$A$5001,"&lt;="&amp;$B252,BD!$Y$3:$Y$5001,"&lt;&gt;")=0,"",SUMIFS(BD!$Y$3:$Y$5001,BD!$B$3:$B$5001,E$241,BD!$A$3:$A$5001,_xlfn.MAXIFS(BD!$A$3:$A$5001,BD!$B$3:$B$5001,E$241,BD!$A$3:$A$5001,"&gt;="&amp;$C$7,BD!$A$3:$A$5001,"&lt;="&amp;$B252,BD!$Y$3:$Y$5001,"&lt;&gt;"))))</f>
        <v/>
      </c>
      <c r="F252" s="43" t="str">
        <f>IF(OR($B252="",$A252&gt;$B$9,F$241=""),"",IF(COUNTIFS(BD!$B$3:$B$5001,F$241,BD!$A$3:$A$5001,"&gt;="&amp;$C$7,BD!$A$3:$A$5001,"&lt;="&amp;$B252,BD!$Y$3:$Y$5001,"&lt;&gt;")=0,"",SUMIFS(BD!$Y$3:$Y$5001,BD!$B$3:$B$5001,F$241,BD!$A$3:$A$5001,_xlfn.MAXIFS(BD!$A$3:$A$5001,BD!$B$3:$B$5001,F$241,BD!$A$3:$A$5001,"&gt;="&amp;$C$7,BD!$A$3:$A$5001,"&lt;="&amp;$B252,BD!$Y$3:$Y$5001,"&lt;&gt;"))))</f>
        <v/>
      </c>
      <c r="G252" s="43" t="str">
        <f>IF(OR($B252="",$A252&gt;$B$9,G$241=""),"",IF(COUNTIFS(BD!$B$3:$B$5001,G$241,BD!$A$3:$A$5001,"&gt;="&amp;$C$7,BD!$A$3:$A$5001,"&lt;="&amp;$B252,BD!$Y$3:$Y$5001,"&lt;&gt;")=0,"",SUMIFS(BD!$Y$3:$Y$5001,BD!$B$3:$B$5001,G$241,BD!$A$3:$A$5001,_xlfn.MAXIFS(BD!$A$3:$A$5001,BD!$B$3:$B$5001,G$241,BD!$A$3:$A$5001,"&gt;="&amp;$C$7,BD!$A$3:$A$5001,"&lt;="&amp;$B252,BD!$Y$3:$Y$5001,"&lt;&gt;"))))</f>
        <v/>
      </c>
      <c r="H252" s="43" t="str">
        <f>IF(OR($B252="",$A252&gt;$B$9,H$241=""),"",IF(COUNTIFS(BD!$B$3:$B$5001,H$241,BD!$A$3:$A$5001,"&gt;="&amp;$C$7,BD!$A$3:$A$5001,"&lt;="&amp;$B252,BD!$Y$3:$Y$5001,"&lt;&gt;")=0,"",SUMIFS(BD!$Y$3:$Y$5001,BD!$B$3:$B$5001,H$241,BD!$A$3:$A$5001,_xlfn.MAXIFS(BD!$A$3:$A$5001,BD!$B$3:$B$5001,H$241,BD!$A$3:$A$5001,"&gt;="&amp;$C$7,BD!$A$3:$A$5001,"&lt;="&amp;$B252,BD!$Y$3:$Y$5001,"&lt;&gt;"))))</f>
        <v/>
      </c>
      <c r="I252" s="43" t="str">
        <f>IF(OR($B252="",$A252&gt;$B$9,I$241=""),"",IF(COUNTIFS(BD!$B$3:$B$5001,I$241,BD!$A$3:$A$5001,"&gt;="&amp;$C$7,BD!$A$3:$A$5001,"&lt;="&amp;$B252,BD!$Y$3:$Y$5001,"&lt;&gt;")=0,"",SUMIFS(BD!$Y$3:$Y$5001,BD!$B$3:$B$5001,I$241,BD!$A$3:$A$5001,_xlfn.MAXIFS(BD!$A$3:$A$5001,BD!$B$3:$B$5001,I$241,BD!$A$3:$A$5001,"&gt;="&amp;$C$7,BD!$A$3:$A$5001,"&lt;="&amp;$B252,BD!$Y$3:$Y$5001,"&lt;&gt;"))))</f>
        <v/>
      </c>
      <c r="J252" s="43" t="str">
        <f>IF(OR($B252="",$A252&gt;$B$9,J$241=""),"",IF(COUNTIFS(BD!$B$3:$B$5001,J$241,BD!$A$3:$A$5001,"&gt;="&amp;$C$7,BD!$A$3:$A$5001,"&lt;="&amp;$B252,BD!$Y$3:$Y$5001,"&lt;&gt;")=0,"",SUMIFS(BD!$Y$3:$Y$5001,BD!$B$3:$B$5001,J$241,BD!$A$3:$A$5001,_xlfn.MAXIFS(BD!$A$3:$A$5001,BD!$B$3:$B$5001,J$241,BD!$A$3:$A$5001,"&gt;="&amp;$C$7,BD!$A$3:$A$5001,"&lt;="&amp;$B252,BD!$Y$3:$Y$5001,"&lt;&gt;"))))</f>
        <v/>
      </c>
      <c r="K252" s="43" t="str">
        <f>IF(OR($B252="",$A252&gt;$B$9,K$241=""),"",IF(COUNTIFS(BD!$B$3:$B$5001,K$241,BD!$A$3:$A$5001,"&gt;="&amp;$C$7,BD!$A$3:$A$5001,"&lt;="&amp;$B252,BD!$Y$3:$Y$5001,"&lt;&gt;")=0,"",SUMIFS(BD!$Y$3:$Y$5001,BD!$B$3:$B$5001,K$241,BD!$A$3:$A$5001,_xlfn.MAXIFS(BD!$A$3:$A$5001,BD!$B$3:$B$5001,K$241,BD!$A$3:$A$5001,"&gt;="&amp;$C$7,BD!$A$3:$A$5001,"&lt;="&amp;$B252,BD!$Y$3:$Y$5001,"&lt;&gt;"))))</f>
        <v/>
      </c>
      <c r="L252" s="43" t="str">
        <f>IF(OR($B252="",$A252&gt;$B$9,L$241=""),"",IF(COUNTIFS(BD!$B$3:$B$5001,L$241,BD!$A$3:$A$5001,"&gt;="&amp;$C$7,BD!$A$3:$A$5001,"&lt;="&amp;$B252,BD!$Y$3:$Y$5001,"&lt;&gt;")=0,"",SUMIFS(BD!$Y$3:$Y$5001,BD!$B$3:$B$5001,L$241,BD!$A$3:$A$5001,_xlfn.MAXIFS(BD!$A$3:$A$5001,BD!$B$3:$B$5001,L$241,BD!$A$3:$A$5001,"&gt;="&amp;$C$7,BD!$A$3:$A$5001,"&lt;="&amp;$B252,BD!$Y$3:$Y$5001,"&lt;&gt;"))))</f>
        <v/>
      </c>
      <c r="M252" s="43" t="str">
        <f>IF(OR($B252="",$A252&gt;$B$9,M$241=""),"",IF(COUNTIFS(BD!$B$3:$B$5001,M$241,BD!$A$3:$A$5001,"&gt;="&amp;$C$7,BD!$A$3:$A$5001,"&lt;="&amp;$B252,BD!$Y$3:$Y$5001,"&lt;&gt;")=0,"",SUMIFS(BD!$Y$3:$Y$5001,BD!$B$3:$B$5001,M$241,BD!$A$3:$A$5001,_xlfn.MAXIFS(BD!$A$3:$A$5001,BD!$B$3:$B$5001,M$241,BD!$A$3:$A$5001,"&gt;="&amp;$C$7,BD!$A$3:$A$5001,"&lt;="&amp;$B252,BD!$Y$3:$Y$5001,"&lt;&gt;"))))</f>
        <v/>
      </c>
      <c r="N252" s="43" t="str">
        <f>IF(OR($B252="",$A252&gt;$B$9,N$241=""),"",IF(COUNTIFS(BD!$B$3:$B$5001,N$241,BD!$A$3:$A$5001,"&gt;="&amp;$C$7,BD!$A$3:$A$5001,"&lt;="&amp;$B252,BD!$Y$3:$Y$5001,"&lt;&gt;")=0,"",SUMIFS(BD!$Y$3:$Y$5001,BD!$B$3:$B$5001,N$241,BD!$A$3:$A$5001,_xlfn.MAXIFS(BD!$A$3:$A$5001,BD!$B$3:$B$5001,N$241,BD!$A$3:$A$5001,"&gt;="&amp;$C$7,BD!$A$3:$A$5001,"&lt;="&amp;$B252,BD!$Y$3:$Y$5001,"&lt;&gt;"))))</f>
        <v/>
      </c>
      <c r="O252" s="43" t="str">
        <f>IF(OR($B252="",$A252&gt;$B$9,O$241=""),"",IF(COUNTIFS(BD!$B$3:$B$5001,O$241,BD!$A$3:$A$5001,"&gt;="&amp;$C$7,BD!$A$3:$A$5001,"&lt;="&amp;$B252,BD!$Y$3:$Y$5001,"&lt;&gt;")=0,"",SUMIFS(BD!$Y$3:$Y$5001,BD!$B$3:$B$5001,O$241,BD!$A$3:$A$5001,_xlfn.MAXIFS(BD!$A$3:$A$5001,BD!$B$3:$B$5001,O$241,BD!$A$3:$A$5001,"&gt;="&amp;$C$7,BD!$A$3:$A$5001,"&lt;="&amp;$B252,BD!$Y$3:$Y$5001,"&lt;&gt;"))))</f>
        <v/>
      </c>
      <c r="P252" s="43" t="str">
        <f>IF(OR($B252="",$A252&gt;$B$9,P$241=""),"",IF(COUNTIFS(BD!$B$3:$B$5001,P$241,BD!$A$3:$A$5001,"&gt;="&amp;$C$7,BD!$A$3:$A$5001,"&lt;="&amp;$B252,BD!$Y$3:$Y$5001,"&lt;&gt;")=0,"",SUMIFS(BD!$Y$3:$Y$5001,BD!$B$3:$B$5001,P$241,BD!$A$3:$A$5001,_xlfn.MAXIFS(BD!$A$3:$A$5001,BD!$B$3:$B$5001,P$241,BD!$A$3:$A$5001,"&gt;="&amp;$C$7,BD!$A$3:$A$5001,"&lt;="&amp;$B252,BD!$Y$3:$Y$5001,"&lt;&gt;"))))</f>
        <v/>
      </c>
      <c r="Q252" s="43" t="str">
        <f>IF(OR($B252="",$A252&gt;$B$9,Q$241=""),"",IF(COUNTIFS(BD!$B$3:$B$5001,Q$241,BD!$A$3:$A$5001,"&gt;="&amp;$C$7,BD!$A$3:$A$5001,"&lt;="&amp;$B252,BD!$Y$3:$Y$5001,"&lt;&gt;")=0,"",SUMIFS(BD!$Y$3:$Y$5001,BD!$B$3:$B$5001,Q$241,BD!$A$3:$A$5001,_xlfn.MAXIFS(BD!$A$3:$A$5001,BD!$B$3:$B$5001,Q$241,BD!$A$3:$A$5001,"&gt;="&amp;$C$7,BD!$A$3:$A$5001,"&lt;="&amp;$B252,BD!$Y$3:$Y$5001,"&lt;&gt;"))))</f>
        <v/>
      </c>
      <c r="R252" s="43" t="str">
        <f>IF(OR($B252="",$A252&gt;$B$9,R$241=""),"",IF(COUNTIFS(BD!$B$3:$B$5001,R$241,BD!$A$3:$A$5001,"&gt;="&amp;$C$7,BD!$A$3:$A$5001,"&lt;="&amp;$B252,BD!$Y$3:$Y$5001,"&lt;&gt;")=0,"",SUMIFS(BD!$Y$3:$Y$5001,BD!$B$3:$B$5001,R$241,BD!$A$3:$A$5001,_xlfn.MAXIFS(BD!$A$3:$A$5001,BD!$B$3:$B$5001,R$241,BD!$A$3:$A$5001,"&gt;="&amp;$C$7,BD!$A$3:$A$5001,"&lt;="&amp;$B252,BD!$Y$3:$Y$5001,"&lt;&gt;"))))</f>
        <v/>
      </c>
      <c r="S252" s="43" t="str">
        <f>IF(OR($B252="",$A252&gt;$B$9,S$241=""),"",IF(COUNTIFS(BD!$B$3:$B$5001,S$241,BD!$A$3:$A$5001,"&gt;="&amp;$C$7,BD!$A$3:$A$5001,"&lt;="&amp;$B252,BD!$Y$3:$Y$5001,"&lt;&gt;")=0,"",SUMIFS(BD!$Y$3:$Y$5001,BD!$B$3:$B$5001,S$241,BD!$A$3:$A$5001,_xlfn.MAXIFS(BD!$A$3:$A$5001,BD!$B$3:$B$5001,S$241,BD!$A$3:$A$5001,"&gt;="&amp;$C$7,BD!$A$3:$A$5001,"&lt;="&amp;$B252,BD!$Y$3:$Y$5001,"&lt;&gt;"))))</f>
        <v/>
      </c>
      <c r="T252" s="43" t="str">
        <f>IF(OR($B252="",$A252&gt;$B$9,T$241=""),"",IF(COUNTIFS(BD!$B$3:$B$5001,T$241,BD!$A$3:$A$5001,"&gt;="&amp;$C$7,BD!$A$3:$A$5001,"&lt;="&amp;$B252,BD!$Y$3:$Y$5001,"&lt;&gt;")=0,"",SUMIFS(BD!$Y$3:$Y$5001,BD!$B$3:$B$5001,T$241,BD!$A$3:$A$5001,_xlfn.MAXIFS(BD!$A$3:$A$5001,BD!$B$3:$B$5001,T$241,BD!$A$3:$A$5001,"&gt;="&amp;$C$7,BD!$A$3:$A$5001,"&lt;="&amp;$B252,BD!$Y$3:$Y$5001,"&lt;&gt;"))))</f>
        <v/>
      </c>
      <c r="U252" s="43" t="str">
        <f>IF(OR($B252="",$A252&gt;$B$9,U$241=""),"",IF(COUNTIFS(BD!$B$3:$B$5001,U$241,BD!$A$3:$A$5001,"&gt;="&amp;$C$7,BD!$A$3:$A$5001,"&lt;="&amp;$B252,BD!$Y$3:$Y$5001,"&lt;&gt;")=0,"",SUMIFS(BD!$Y$3:$Y$5001,BD!$B$3:$B$5001,U$241,BD!$A$3:$A$5001,_xlfn.MAXIFS(BD!$A$3:$A$5001,BD!$B$3:$B$5001,U$241,BD!$A$3:$A$5001,"&gt;="&amp;$C$7,BD!$A$3:$A$5001,"&lt;="&amp;$B252,BD!$Y$3:$Y$5001,"&lt;&gt;"))))</f>
        <v/>
      </c>
      <c r="V252" s="43" t="str">
        <f>IF(OR($B252="",$A252&gt;$B$9,V$241=""),"",IF(COUNTIFS(BD!$B$3:$B$5001,V$241,BD!$A$3:$A$5001,"&gt;="&amp;$C$7,BD!$A$3:$A$5001,"&lt;="&amp;$B252,BD!$Y$3:$Y$5001,"&lt;&gt;")=0,"",SUMIFS(BD!$Y$3:$Y$5001,BD!$B$3:$B$5001,V$241,BD!$A$3:$A$5001,_xlfn.MAXIFS(BD!$A$3:$A$5001,BD!$B$3:$B$5001,V$241,BD!$A$3:$A$5001,"&gt;="&amp;$C$7,BD!$A$3:$A$5001,"&lt;="&amp;$B252,BD!$Y$3:$Y$5001,"&lt;&gt;"))))</f>
        <v/>
      </c>
    </row>
    <row r="253">
      <c r="A253" s="38">
        <v>12</v>
      </c>
      <c r="B253" s="42">
        <f>$B$23</f>
        <v>46307</v>
      </c>
      <c r="C253" s="43" t="str">
        <f>IF(OR($B253="",$A253&gt;$B$9,C$241=""),"",IF(COUNTIFS(BD!$B$3:$B$5001,C$241,BD!$A$3:$A$5001,"&gt;="&amp;$C$7,BD!$A$3:$A$5001,"&lt;="&amp;$B253,BD!$Y$3:$Y$5001,"&lt;&gt;")=0,"",SUMIFS(BD!$Y$3:$Y$5001,BD!$B$3:$B$5001,C$241,BD!$A$3:$A$5001,_xlfn.MAXIFS(BD!$A$3:$A$5001,BD!$B$3:$B$5001,C$241,BD!$A$3:$A$5001,"&gt;="&amp;$C$7,BD!$A$3:$A$5001,"&lt;="&amp;$B253,BD!$Y$3:$Y$5001,"&lt;&gt;"))))</f>
        <v/>
      </c>
      <c r="D253" s="43" t="str">
        <f>IF(OR($B253="",$A253&gt;$B$9,D$241=""),"",IF(COUNTIFS(BD!$B$3:$B$5001,D$241,BD!$A$3:$A$5001,"&gt;="&amp;$C$7,BD!$A$3:$A$5001,"&lt;="&amp;$B253,BD!$Y$3:$Y$5001,"&lt;&gt;")=0,"",SUMIFS(BD!$Y$3:$Y$5001,BD!$B$3:$B$5001,D$241,BD!$A$3:$A$5001,_xlfn.MAXIFS(BD!$A$3:$A$5001,BD!$B$3:$B$5001,D$241,BD!$A$3:$A$5001,"&gt;="&amp;$C$7,BD!$A$3:$A$5001,"&lt;="&amp;$B253,BD!$Y$3:$Y$5001,"&lt;&gt;"))))</f>
        <v/>
      </c>
      <c r="E253" s="43" t="str">
        <f>IF(OR($B253="",$A253&gt;$B$9,E$241=""),"",IF(COUNTIFS(BD!$B$3:$B$5001,E$241,BD!$A$3:$A$5001,"&gt;="&amp;$C$7,BD!$A$3:$A$5001,"&lt;="&amp;$B253,BD!$Y$3:$Y$5001,"&lt;&gt;")=0,"",SUMIFS(BD!$Y$3:$Y$5001,BD!$B$3:$B$5001,E$241,BD!$A$3:$A$5001,_xlfn.MAXIFS(BD!$A$3:$A$5001,BD!$B$3:$B$5001,E$241,BD!$A$3:$A$5001,"&gt;="&amp;$C$7,BD!$A$3:$A$5001,"&lt;="&amp;$B253,BD!$Y$3:$Y$5001,"&lt;&gt;"))))</f>
        <v/>
      </c>
      <c r="F253" s="43" t="str">
        <f>IF(OR($B253="",$A253&gt;$B$9,F$241=""),"",IF(COUNTIFS(BD!$B$3:$B$5001,F$241,BD!$A$3:$A$5001,"&gt;="&amp;$C$7,BD!$A$3:$A$5001,"&lt;="&amp;$B253,BD!$Y$3:$Y$5001,"&lt;&gt;")=0,"",SUMIFS(BD!$Y$3:$Y$5001,BD!$B$3:$B$5001,F$241,BD!$A$3:$A$5001,_xlfn.MAXIFS(BD!$A$3:$A$5001,BD!$B$3:$B$5001,F$241,BD!$A$3:$A$5001,"&gt;="&amp;$C$7,BD!$A$3:$A$5001,"&lt;="&amp;$B253,BD!$Y$3:$Y$5001,"&lt;&gt;"))))</f>
        <v/>
      </c>
      <c r="G253" s="43" t="str">
        <f>IF(OR($B253="",$A253&gt;$B$9,G$241=""),"",IF(COUNTIFS(BD!$B$3:$B$5001,G$241,BD!$A$3:$A$5001,"&gt;="&amp;$C$7,BD!$A$3:$A$5001,"&lt;="&amp;$B253,BD!$Y$3:$Y$5001,"&lt;&gt;")=0,"",SUMIFS(BD!$Y$3:$Y$5001,BD!$B$3:$B$5001,G$241,BD!$A$3:$A$5001,_xlfn.MAXIFS(BD!$A$3:$A$5001,BD!$B$3:$B$5001,G$241,BD!$A$3:$A$5001,"&gt;="&amp;$C$7,BD!$A$3:$A$5001,"&lt;="&amp;$B253,BD!$Y$3:$Y$5001,"&lt;&gt;"))))</f>
        <v/>
      </c>
      <c r="H253" s="43" t="str">
        <f>IF(OR($B253="",$A253&gt;$B$9,H$241=""),"",IF(COUNTIFS(BD!$B$3:$B$5001,H$241,BD!$A$3:$A$5001,"&gt;="&amp;$C$7,BD!$A$3:$A$5001,"&lt;="&amp;$B253,BD!$Y$3:$Y$5001,"&lt;&gt;")=0,"",SUMIFS(BD!$Y$3:$Y$5001,BD!$B$3:$B$5001,H$241,BD!$A$3:$A$5001,_xlfn.MAXIFS(BD!$A$3:$A$5001,BD!$B$3:$B$5001,H$241,BD!$A$3:$A$5001,"&gt;="&amp;$C$7,BD!$A$3:$A$5001,"&lt;="&amp;$B253,BD!$Y$3:$Y$5001,"&lt;&gt;"))))</f>
        <v/>
      </c>
      <c r="I253" s="43" t="str">
        <f>IF(OR($B253="",$A253&gt;$B$9,I$241=""),"",IF(COUNTIFS(BD!$B$3:$B$5001,I$241,BD!$A$3:$A$5001,"&gt;="&amp;$C$7,BD!$A$3:$A$5001,"&lt;="&amp;$B253,BD!$Y$3:$Y$5001,"&lt;&gt;")=0,"",SUMIFS(BD!$Y$3:$Y$5001,BD!$B$3:$B$5001,I$241,BD!$A$3:$A$5001,_xlfn.MAXIFS(BD!$A$3:$A$5001,BD!$B$3:$B$5001,I$241,BD!$A$3:$A$5001,"&gt;="&amp;$C$7,BD!$A$3:$A$5001,"&lt;="&amp;$B253,BD!$Y$3:$Y$5001,"&lt;&gt;"))))</f>
        <v/>
      </c>
      <c r="J253" s="43" t="str">
        <f>IF(OR($B253="",$A253&gt;$B$9,J$241=""),"",IF(COUNTIFS(BD!$B$3:$B$5001,J$241,BD!$A$3:$A$5001,"&gt;="&amp;$C$7,BD!$A$3:$A$5001,"&lt;="&amp;$B253,BD!$Y$3:$Y$5001,"&lt;&gt;")=0,"",SUMIFS(BD!$Y$3:$Y$5001,BD!$B$3:$B$5001,J$241,BD!$A$3:$A$5001,_xlfn.MAXIFS(BD!$A$3:$A$5001,BD!$B$3:$B$5001,J$241,BD!$A$3:$A$5001,"&gt;="&amp;$C$7,BD!$A$3:$A$5001,"&lt;="&amp;$B253,BD!$Y$3:$Y$5001,"&lt;&gt;"))))</f>
        <v/>
      </c>
      <c r="K253" s="43" t="str">
        <f>IF(OR($B253="",$A253&gt;$B$9,K$241=""),"",IF(COUNTIFS(BD!$B$3:$B$5001,K$241,BD!$A$3:$A$5001,"&gt;="&amp;$C$7,BD!$A$3:$A$5001,"&lt;="&amp;$B253,BD!$Y$3:$Y$5001,"&lt;&gt;")=0,"",SUMIFS(BD!$Y$3:$Y$5001,BD!$B$3:$B$5001,K$241,BD!$A$3:$A$5001,_xlfn.MAXIFS(BD!$A$3:$A$5001,BD!$B$3:$B$5001,K$241,BD!$A$3:$A$5001,"&gt;="&amp;$C$7,BD!$A$3:$A$5001,"&lt;="&amp;$B253,BD!$Y$3:$Y$5001,"&lt;&gt;"))))</f>
        <v/>
      </c>
      <c r="L253" s="43" t="str">
        <f>IF(OR($B253="",$A253&gt;$B$9,L$241=""),"",IF(COUNTIFS(BD!$B$3:$B$5001,L$241,BD!$A$3:$A$5001,"&gt;="&amp;$C$7,BD!$A$3:$A$5001,"&lt;="&amp;$B253,BD!$Y$3:$Y$5001,"&lt;&gt;")=0,"",SUMIFS(BD!$Y$3:$Y$5001,BD!$B$3:$B$5001,L$241,BD!$A$3:$A$5001,_xlfn.MAXIFS(BD!$A$3:$A$5001,BD!$B$3:$B$5001,L$241,BD!$A$3:$A$5001,"&gt;="&amp;$C$7,BD!$A$3:$A$5001,"&lt;="&amp;$B253,BD!$Y$3:$Y$5001,"&lt;&gt;"))))</f>
        <v/>
      </c>
      <c r="M253" s="43" t="str">
        <f>IF(OR($B253="",$A253&gt;$B$9,M$241=""),"",IF(COUNTIFS(BD!$B$3:$B$5001,M$241,BD!$A$3:$A$5001,"&gt;="&amp;$C$7,BD!$A$3:$A$5001,"&lt;="&amp;$B253,BD!$Y$3:$Y$5001,"&lt;&gt;")=0,"",SUMIFS(BD!$Y$3:$Y$5001,BD!$B$3:$B$5001,M$241,BD!$A$3:$A$5001,_xlfn.MAXIFS(BD!$A$3:$A$5001,BD!$B$3:$B$5001,M$241,BD!$A$3:$A$5001,"&gt;="&amp;$C$7,BD!$A$3:$A$5001,"&lt;="&amp;$B253,BD!$Y$3:$Y$5001,"&lt;&gt;"))))</f>
        <v/>
      </c>
      <c r="N253" s="43" t="str">
        <f>IF(OR($B253="",$A253&gt;$B$9,N$241=""),"",IF(COUNTIFS(BD!$B$3:$B$5001,N$241,BD!$A$3:$A$5001,"&gt;="&amp;$C$7,BD!$A$3:$A$5001,"&lt;="&amp;$B253,BD!$Y$3:$Y$5001,"&lt;&gt;")=0,"",SUMIFS(BD!$Y$3:$Y$5001,BD!$B$3:$B$5001,N$241,BD!$A$3:$A$5001,_xlfn.MAXIFS(BD!$A$3:$A$5001,BD!$B$3:$B$5001,N$241,BD!$A$3:$A$5001,"&gt;="&amp;$C$7,BD!$A$3:$A$5001,"&lt;="&amp;$B253,BD!$Y$3:$Y$5001,"&lt;&gt;"))))</f>
        <v/>
      </c>
      <c r="O253" s="43" t="str">
        <f>IF(OR($B253="",$A253&gt;$B$9,O$241=""),"",IF(COUNTIFS(BD!$B$3:$B$5001,O$241,BD!$A$3:$A$5001,"&gt;="&amp;$C$7,BD!$A$3:$A$5001,"&lt;="&amp;$B253,BD!$Y$3:$Y$5001,"&lt;&gt;")=0,"",SUMIFS(BD!$Y$3:$Y$5001,BD!$B$3:$B$5001,O$241,BD!$A$3:$A$5001,_xlfn.MAXIFS(BD!$A$3:$A$5001,BD!$B$3:$B$5001,O$241,BD!$A$3:$A$5001,"&gt;="&amp;$C$7,BD!$A$3:$A$5001,"&lt;="&amp;$B253,BD!$Y$3:$Y$5001,"&lt;&gt;"))))</f>
        <v/>
      </c>
      <c r="P253" s="43" t="str">
        <f>IF(OR($B253="",$A253&gt;$B$9,P$241=""),"",IF(COUNTIFS(BD!$B$3:$B$5001,P$241,BD!$A$3:$A$5001,"&gt;="&amp;$C$7,BD!$A$3:$A$5001,"&lt;="&amp;$B253,BD!$Y$3:$Y$5001,"&lt;&gt;")=0,"",SUMIFS(BD!$Y$3:$Y$5001,BD!$B$3:$B$5001,P$241,BD!$A$3:$A$5001,_xlfn.MAXIFS(BD!$A$3:$A$5001,BD!$B$3:$B$5001,P$241,BD!$A$3:$A$5001,"&gt;="&amp;$C$7,BD!$A$3:$A$5001,"&lt;="&amp;$B253,BD!$Y$3:$Y$5001,"&lt;&gt;"))))</f>
        <v/>
      </c>
      <c r="Q253" s="43" t="str">
        <f>IF(OR($B253="",$A253&gt;$B$9,Q$241=""),"",IF(COUNTIFS(BD!$B$3:$B$5001,Q$241,BD!$A$3:$A$5001,"&gt;="&amp;$C$7,BD!$A$3:$A$5001,"&lt;="&amp;$B253,BD!$Y$3:$Y$5001,"&lt;&gt;")=0,"",SUMIFS(BD!$Y$3:$Y$5001,BD!$B$3:$B$5001,Q$241,BD!$A$3:$A$5001,_xlfn.MAXIFS(BD!$A$3:$A$5001,BD!$B$3:$B$5001,Q$241,BD!$A$3:$A$5001,"&gt;="&amp;$C$7,BD!$A$3:$A$5001,"&lt;="&amp;$B253,BD!$Y$3:$Y$5001,"&lt;&gt;"))))</f>
        <v/>
      </c>
      <c r="R253" s="43" t="str">
        <f>IF(OR($B253="",$A253&gt;$B$9,R$241=""),"",IF(COUNTIFS(BD!$B$3:$B$5001,R$241,BD!$A$3:$A$5001,"&gt;="&amp;$C$7,BD!$A$3:$A$5001,"&lt;="&amp;$B253,BD!$Y$3:$Y$5001,"&lt;&gt;")=0,"",SUMIFS(BD!$Y$3:$Y$5001,BD!$B$3:$B$5001,R$241,BD!$A$3:$A$5001,_xlfn.MAXIFS(BD!$A$3:$A$5001,BD!$B$3:$B$5001,R$241,BD!$A$3:$A$5001,"&gt;="&amp;$C$7,BD!$A$3:$A$5001,"&lt;="&amp;$B253,BD!$Y$3:$Y$5001,"&lt;&gt;"))))</f>
        <v/>
      </c>
      <c r="S253" s="43" t="str">
        <f>IF(OR($B253="",$A253&gt;$B$9,S$241=""),"",IF(COUNTIFS(BD!$B$3:$B$5001,S$241,BD!$A$3:$A$5001,"&gt;="&amp;$C$7,BD!$A$3:$A$5001,"&lt;="&amp;$B253,BD!$Y$3:$Y$5001,"&lt;&gt;")=0,"",SUMIFS(BD!$Y$3:$Y$5001,BD!$B$3:$B$5001,S$241,BD!$A$3:$A$5001,_xlfn.MAXIFS(BD!$A$3:$A$5001,BD!$B$3:$B$5001,S$241,BD!$A$3:$A$5001,"&gt;="&amp;$C$7,BD!$A$3:$A$5001,"&lt;="&amp;$B253,BD!$Y$3:$Y$5001,"&lt;&gt;"))))</f>
        <v/>
      </c>
      <c r="T253" s="43" t="str">
        <f>IF(OR($B253="",$A253&gt;$B$9,T$241=""),"",IF(COUNTIFS(BD!$B$3:$B$5001,T$241,BD!$A$3:$A$5001,"&gt;="&amp;$C$7,BD!$A$3:$A$5001,"&lt;="&amp;$B253,BD!$Y$3:$Y$5001,"&lt;&gt;")=0,"",SUMIFS(BD!$Y$3:$Y$5001,BD!$B$3:$B$5001,T$241,BD!$A$3:$A$5001,_xlfn.MAXIFS(BD!$A$3:$A$5001,BD!$B$3:$B$5001,T$241,BD!$A$3:$A$5001,"&gt;="&amp;$C$7,BD!$A$3:$A$5001,"&lt;="&amp;$B253,BD!$Y$3:$Y$5001,"&lt;&gt;"))))</f>
        <v/>
      </c>
      <c r="U253" s="43" t="str">
        <f>IF(OR($B253="",$A253&gt;$B$9,U$241=""),"",IF(COUNTIFS(BD!$B$3:$B$5001,U$241,BD!$A$3:$A$5001,"&gt;="&amp;$C$7,BD!$A$3:$A$5001,"&lt;="&amp;$B253,BD!$Y$3:$Y$5001,"&lt;&gt;")=0,"",SUMIFS(BD!$Y$3:$Y$5001,BD!$B$3:$B$5001,U$241,BD!$A$3:$A$5001,_xlfn.MAXIFS(BD!$A$3:$A$5001,BD!$B$3:$B$5001,U$241,BD!$A$3:$A$5001,"&gt;="&amp;$C$7,BD!$A$3:$A$5001,"&lt;="&amp;$B253,BD!$Y$3:$Y$5001,"&lt;&gt;"))))</f>
        <v/>
      </c>
      <c r="V253" s="43" t="str">
        <f>IF(OR($B253="",$A253&gt;$B$9,V$241=""),"",IF(COUNTIFS(BD!$B$3:$B$5001,V$241,BD!$A$3:$A$5001,"&gt;="&amp;$C$7,BD!$A$3:$A$5001,"&lt;="&amp;$B253,BD!$Y$3:$Y$5001,"&lt;&gt;")=0,"",SUMIFS(BD!$Y$3:$Y$5001,BD!$B$3:$B$5001,V$241,BD!$A$3:$A$5001,_xlfn.MAXIFS(BD!$A$3:$A$5001,BD!$B$3:$B$5001,V$241,BD!$A$3:$A$5001,"&gt;="&amp;$C$7,BD!$A$3:$A$5001,"&lt;="&amp;$B253,BD!$Y$3:$Y$5001,"&lt;&gt;"))))</f>
        <v/>
      </c>
    </row>
    <row r="254">
      <c r="A254" s="38">
        <v>13</v>
      </c>
      <c r="B254" s="42">
        <f>$B$24</f>
        <v>46308</v>
      </c>
      <c r="C254" s="43" t="str">
        <f>IF(OR($B254="",$A254&gt;$B$9,C$241=""),"",IF(COUNTIFS(BD!$B$3:$B$5001,C$241,BD!$A$3:$A$5001,"&gt;="&amp;$C$7,BD!$A$3:$A$5001,"&lt;="&amp;$B254,BD!$Y$3:$Y$5001,"&lt;&gt;")=0,"",SUMIFS(BD!$Y$3:$Y$5001,BD!$B$3:$B$5001,C$241,BD!$A$3:$A$5001,_xlfn.MAXIFS(BD!$A$3:$A$5001,BD!$B$3:$B$5001,C$241,BD!$A$3:$A$5001,"&gt;="&amp;$C$7,BD!$A$3:$A$5001,"&lt;="&amp;$B254,BD!$Y$3:$Y$5001,"&lt;&gt;"))))</f>
        <v/>
      </c>
      <c r="D254" s="43" t="str">
        <f>IF(OR($B254="",$A254&gt;$B$9,D$241=""),"",IF(COUNTIFS(BD!$B$3:$B$5001,D$241,BD!$A$3:$A$5001,"&gt;="&amp;$C$7,BD!$A$3:$A$5001,"&lt;="&amp;$B254,BD!$Y$3:$Y$5001,"&lt;&gt;")=0,"",SUMIFS(BD!$Y$3:$Y$5001,BD!$B$3:$B$5001,D$241,BD!$A$3:$A$5001,_xlfn.MAXIFS(BD!$A$3:$A$5001,BD!$B$3:$B$5001,D$241,BD!$A$3:$A$5001,"&gt;="&amp;$C$7,BD!$A$3:$A$5001,"&lt;="&amp;$B254,BD!$Y$3:$Y$5001,"&lt;&gt;"))))</f>
        <v/>
      </c>
      <c r="E254" s="43" t="str">
        <f>IF(OR($B254="",$A254&gt;$B$9,E$241=""),"",IF(COUNTIFS(BD!$B$3:$B$5001,E$241,BD!$A$3:$A$5001,"&gt;="&amp;$C$7,BD!$A$3:$A$5001,"&lt;="&amp;$B254,BD!$Y$3:$Y$5001,"&lt;&gt;")=0,"",SUMIFS(BD!$Y$3:$Y$5001,BD!$B$3:$B$5001,E$241,BD!$A$3:$A$5001,_xlfn.MAXIFS(BD!$A$3:$A$5001,BD!$B$3:$B$5001,E$241,BD!$A$3:$A$5001,"&gt;="&amp;$C$7,BD!$A$3:$A$5001,"&lt;="&amp;$B254,BD!$Y$3:$Y$5001,"&lt;&gt;"))))</f>
        <v/>
      </c>
      <c r="F254" s="43" t="str">
        <f>IF(OR($B254="",$A254&gt;$B$9,F$241=""),"",IF(COUNTIFS(BD!$B$3:$B$5001,F$241,BD!$A$3:$A$5001,"&gt;="&amp;$C$7,BD!$A$3:$A$5001,"&lt;="&amp;$B254,BD!$Y$3:$Y$5001,"&lt;&gt;")=0,"",SUMIFS(BD!$Y$3:$Y$5001,BD!$B$3:$B$5001,F$241,BD!$A$3:$A$5001,_xlfn.MAXIFS(BD!$A$3:$A$5001,BD!$B$3:$B$5001,F$241,BD!$A$3:$A$5001,"&gt;="&amp;$C$7,BD!$A$3:$A$5001,"&lt;="&amp;$B254,BD!$Y$3:$Y$5001,"&lt;&gt;"))))</f>
        <v/>
      </c>
      <c r="G254" s="43" t="str">
        <f>IF(OR($B254="",$A254&gt;$B$9,G$241=""),"",IF(COUNTIFS(BD!$B$3:$B$5001,G$241,BD!$A$3:$A$5001,"&gt;="&amp;$C$7,BD!$A$3:$A$5001,"&lt;="&amp;$B254,BD!$Y$3:$Y$5001,"&lt;&gt;")=0,"",SUMIFS(BD!$Y$3:$Y$5001,BD!$B$3:$B$5001,G$241,BD!$A$3:$A$5001,_xlfn.MAXIFS(BD!$A$3:$A$5001,BD!$B$3:$B$5001,G$241,BD!$A$3:$A$5001,"&gt;="&amp;$C$7,BD!$A$3:$A$5001,"&lt;="&amp;$B254,BD!$Y$3:$Y$5001,"&lt;&gt;"))))</f>
        <v/>
      </c>
      <c r="H254" s="43" t="str">
        <f>IF(OR($B254="",$A254&gt;$B$9,H$241=""),"",IF(COUNTIFS(BD!$B$3:$B$5001,H$241,BD!$A$3:$A$5001,"&gt;="&amp;$C$7,BD!$A$3:$A$5001,"&lt;="&amp;$B254,BD!$Y$3:$Y$5001,"&lt;&gt;")=0,"",SUMIFS(BD!$Y$3:$Y$5001,BD!$B$3:$B$5001,H$241,BD!$A$3:$A$5001,_xlfn.MAXIFS(BD!$A$3:$A$5001,BD!$B$3:$B$5001,H$241,BD!$A$3:$A$5001,"&gt;="&amp;$C$7,BD!$A$3:$A$5001,"&lt;="&amp;$B254,BD!$Y$3:$Y$5001,"&lt;&gt;"))))</f>
        <v/>
      </c>
      <c r="I254" s="43" t="str">
        <f>IF(OR($B254="",$A254&gt;$B$9,I$241=""),"",IF(COUNTIFS(BD!$B$3:$B$5001,I$241,BD!$A$3:$A$5001,"&gt;="&amp;$C$7,BD!$A$3:$A$5001,"&lt;="&amp;$B254,BD!$Y$3:$Y$5001,"&lt;&gt;")=0,"",SUMIFS(BD!$Y$3:$Y$5001,BD!$B$3:$B$5001,I$241,BD!$A$3:$A$5001,_xlfn.MAXIFS(BD!$A$3:$A$5001,BD!$B$3:$B$5001,I$241,BD!$A$3:$A$5001,"&gt;="&amp;$C$7,BD!$A$3:$A$5001,"&lt;="&amp;$B254,BD!$Y$3:$Y$5001,"&lt;&gt;"))))</f>
        <v/>
      </c>
      <c r="J254" s="43" t="str">
        <f>IF(OR($B254="",$A254&gt;$B$9,J$241=""),"",IF(COUNTIFS(BD!$B$3:$B$5001,J$241,BD!$A$3:$A$5001,"&gt;="&amp;$C$7,BD!$A$3:$A$5001,"&lt;="&amp;$B254,BD!$Y$3:$Y$5001,"&lt;&gt;")=0,"",SUMIFS(BD!$Y$3:$Y$5001,BD!$B$3:$B$5001,J$241,BD!$A$3:$A$5001,_xlfn.MAXIFS(BD!$A$3:$A$5001,BD!$B$3:$B$5001,J$241,BD!$A$3:$A$5001,"&gt;="&amp;$C$7,BD!$A$3:$A$5001,"&lt;="&amp;$B254,BD!$Y$3:$Y$5001,"&lt;&gt;"))))</f>
        <v/>
      </c>
      <c r="K254" s="43" t="str">
        <f>IF(OR($B254="",$A254&gt;$B$9,K$241=""),"",IF(COUNTIFS(BD!$B$3:$B$5001,K$241,BD!$A$3:$A$5001,"&gt;="&amp;$C$7,BD!$A$3:$A$5001,"&lt;="&amp;$B254,BD!$Y$3:$Y$5001,"&lt;&gt;")=0,"",SUMIFS(BD!$Y$3:$Y$5001,BD!$B$3:$B$5001,K$241,BD!$A$3:$A$5001,_xlfn.MAXIFS(BD!$A$3:$A$5001,BD!$B$3:$B$5001,K$241,BD!$A$3:$A$5001,"&gt;="&amp;$C$7,BD!$A$3:$A$5001,"&lt;="&amp;$B254,BD!$Y$3:$Y$5001,"&lt;&gt;"))))</f>
        <v/>
      </c>
      <c r="L254" s="43" t="str">
        <f>IF(OR($B254="",$A254&gt;$B$9,L$241=""),"",IF(COUNTIFS(BD!$B$3:$B$5001,L$241,BD!$A$3:$A$5001,"&gt;="&amp;$C$7,BD!$A$3:$A$5001,"&lt;="&amp;$B254,BD!$Y$3:$Y$5001,"&lt;&gt;")=0,"",SUMIFS(BD!$Y$3:$Y$5001,BD!$B$3:$B$5001,L$241,BD!$A$3:$A$5001,_xlfn.MAXIFS(BD!$A$3:$A$5001,BD!$B$3:$B$5001,L$241,BD!$A$3:$A$5001,"&gt;="&amp;$C$7,BD!$A$3:$A$5001,"&lt;="&amp;$B254,BD!$Y$3:$Y$5001,"&lt;&gt;"))))</f>
        <v/>
      </c>
      <c r="M254" s="43" t="str">
        <f>IF(OR($B254="",$A254&gt;$B$9,M$241=""),"",IF(COUNTIFS(BD!$B$3:$B$5001,M$241,BD!$A$3:$A$5001,"&gt;="&amp;$C$7,BD!$A$3:$A$5001,"&lt;="&amp;$B254,BD!$Y$3:$Y$5001,"&lt;&gt;")=0,"",SUMIFS(BD!$Y$3:$Y$5001,BD!$B$3:$B$5001,M$241,BD!$A$3:$A$5001,_xlfn.MAXIFS(BD!$A$3:$A$5001,BD!$B$3:$B$5001,M$241,BD!$A$3:$A$5001,"&gt;="&amp;$C$7,BD!$A$3:$A$5001,"&lt;="&amp;$B254,BD!$Y$3:$Y$5001,"&lt;&gt;"))))</f>
        <v/>
      </c>
      <c r="N254" s="43" t="str">
        <f>IF(OR($B254="",$A254&gt;$B$9,N$241=""),"",IF(COUNTIFS(BD!$B$3:$B$5001,N$241,BD!$A$3:$A$5001,"&gt;="&amp;$C$7,BD!$A$3:$A$5001,"&lt;="&amp;$B254,BD!$Y$3:$Y$5001,"&lt;&gt;")=0,"",SUMIFS(BD!$Y$3:$Y$5001,BD!$B$3:$B$5001,N$241,BD!$A$3:$A$5001,_xlfn.MAXIFS(BD!$A$3:$A$5001,BD!$B$3:$B$5001,N$241,BD!$A$3:$A$5001,"&gt;="&amp;$C$7,BD!$A$3:$A$5001,"&lt;="&amp;$B254,BD!$Y$3:$Y$5001,"&lt;&gt;"))))</f>
        <v/>
      </c>
      <c r="O254" s="43" t="str">
        <f>IF(OR($B254="",$A254&gt;$B$9,O$241=""),"",IF(COUNTIFS(BD!$B$3:$B$5001,O$241,BD!$A$3:$A$5001,"&gt;="&amp;$C$7,BD!$A$3:$A$5001,"&lt;="&amp;$B254,BD!$Y$3:$Y$5001,"&lt;&gt;")=0,"",SUMIFS(BD!$Y$3:$Y$5001,BD!$B$3:$B$5001,O$241,BD!$A$3:$A$5001,_xlfn.MAXIFS(BD!$A$3:$A$5001,BD!$B$3:$B$5001,O$241,BD!$A$3:$A$5001,"&gt;="&amp;$C$7,BD!$A$3:$A$5001,"&lt;="&amp;$B254,BD!$Y$3:$Y$5001,"&lt;&gt;"))))</f>
        <v/>
      </c>
      <c r="P254" s="43" t="str">
        <f>IF(OR($B254="",$A254&gt;$B$9,P$241=""),"",IF(COUNTIFS(BD!$B$3:$B$5001,P$241,BD!$A$3:$A$5001,"&gt;="&amp;$C$7,BD!$A$3:$A$5001,"&lt;="&amp;$B254,BD!$Y$3:$Y$5001,"&lt;&gt;")=0,"",SUMIFS(BD!$Y$3:$Y$5001,BD!$B$3:$B$5001,P$241,BD!$A$3:$A$5001,_xlfn.MAXIFS(BD!$A$3:$A$5001,BD!$B$3:$B$5001,P$241,BD!$A$3:$A$5001,"&gt;="&amp;$C$7,BD!$A$3:$A$5001,"&lt;="&amp;$B254,BD!$Y$3:$Y$5001,"&lt;&gt;"))))</f>
        <v/>
      </c>
      <c r="Q254" s="43" t="str">
        <f>IF(OR($B254="",$A254&gt;$B$9,Q$241=""),"",IF(COUNTIFS(BD!$B$3:$B$5001,Q$241,BD!$A$3:$A$5001,"&gt;="&amp;$C$7,BD!$A$3:$A$5001,"&lt;="&amp;$B254,BD!$Y$3:$Y$5001,"&lt;&gt;")=0,"",SUMIFS(BD!$Y$3:$Y$5001,BD!$B$3:$B$5001,Q$241,BD!$A$3:$A$5001,_xlfn.MAXIFS(BD!$A$3:$A$5001,BD!$B$3:$B$5001,Q$241,BD!$A$3:$A$5001,"&gt;="&amp;$C$7,BD!$A$3:$A$5001,"&lt;="&amp;$B254,BD!$Y$3:$Y$5001,"&lt;&gt;"))))</f>
        <v/>
      </c>
      <c r="R254" s="43" t="str">
        <f>IF(OR($B254="",$A254&gt;$B$9,R$241=""),"",IF(COUNTIFS(BD!$B$3:$B$5001,R$241,BD!$A$3:$A$5001,"&gt;="&amp;$C$7,BD!$A$3:$A$5001,"&lt;="&amp;$B254,BD!$Y$3:$Y$5001,"&lt;&gt;")=0,"",SUMIFS(BD!$Y$3:$Y$5001,BD!$B$3:$B$5001,R$241,BD!$A$3:$A$5001,_xlfn.MAXIFS(BD!$A$3:$A$5001,BD!$B$3:$B$5001,R$241,BD!$A$3:$A$5001,"&gt;="&amp;$C$7,BD!$A$3:$A$5001,"&lt;="&amp;$B254,BD!$Y$3:$Y$5001,"&lt;&gt;"))))</f>
        <v/>
      </c>
      <c r="S254" s="43" t="str">
        <f>IF(OR($B254="",$A254&gt;$B$9,S$241=""),"",IF(COUNTIFS(BD!$B$3:$B$5001,S$241,BD!$A$3:$A$5001,"&gt;="&amp;$C$7,BD!$A$3:$A$5001,"&lt;="&amp;$B254,BD!$Y$3:$Y$5001,"&lt;&gt;")=0,"",SUMIFS(BD!$Y$3:$Y$5001,BD!$B$3:$B$5001,S$241,BD!$A$3:$A$5001,_xlfn.MAXIFS(BD!$A$3:$A$5001,BD!$B$3:$B$5001,S$241,BD!$A$3:$A$5001,"&gt;="&amp;$C$7,BD!$A$3:$A$5001,"&lt;="&amp;$B254,BD!$Y$3:$Y$5001,"&lt;&gt;"))))</f>
        <v/>
      </c>
      <c r="T254" s="43" t="str">
        <f>IF(OR($B254="",$A254&gt;$B$9,T$241=""),"",IF(COUNTIFS(BD!$B$3:$B$5001,T$241,BD!$A$3:$A$5001,"&gt;="&amp;$C$7,BD!$A$3:$A$5001,"&lt;="&amp;$B254,BD!$Y$3:$Y$5001,"&lt;&gt;")=0,"",SUMIFS(BD!$Y$3:$Y$5001,BD!$B$3:$B$5001,T$241,BD!$A$3:$A$5001,_xlfn.MAXIFS(BD!$A$3:$A$5001,BD!$B$3:$B$5001,T$241,BD!$A$3:$A$5001,"&gt;="&amp;$C$7,BD!$A$3:$A$5001,"&lt;="&amp;$B254,BD!$Y$3:$Y$5001,"&lt;&gt;"))))</f>
        <v/>
      </c>
      <c r="U254" s="43" t="str">
        <f>IF(OR($B254="",$A254&gt;$B$9,U$241=""),"",IF(COUNTIFS(BD!$B$3:$B$5001,U$241,BD!$A$3:$A$5001,"&gt;="&amp;$C$7,BD!$A$3:$A$5001,"&lt;="&amp;$B254,BD!$Y$3:$Y$5001,"&lt;&gt;")=0,"",SUMIFS(BD!$Y$3:$Y$5001,BD!$B$3:$B$5001,U$241,BD!$A$3:$A$5001,_xlfn.MAXIFS(BD!$A$3:$A$5001,BD!$B$3:$B$5001,U$241,BD!$A$3:$A$5001,"&gt;="&amp;$C$7,BD!$A$3:$A$5001,"&lt;="&amp;$B254,BD!$Y$3:$Y$5001,"&lt;&gt;"))))</f>
        <v/>
      </c>
      <c r="V254" s="43" t="str">
        <f>IF(OR($B254="",$A254&gt;$B$9,V$241=""),"",IF(COUNTIFS(BD!$B$3:$B$5001,V$241,BD!$A$3:$A$5001,"&gt;="&amp;$C$7,BD!$A$3:$A$5001,"&lt;="&amp;$B254,BD!$Y$3:$Y$5001,"&lt;&gt;")=0,"",SUMIFS(BD!$Y$3:$Y$5001,BD!$B$3:$B$5001,V$241,BD!$A$3:$A$5001,_xlfn.MAXIFS(BD!$A$3:$A$5001,BD!$B$3:$B$5001,V$241,BD!$A$3:$A$5001,"&gt;="&amp;$C$7,BD!$A$3:$A$5001,"&lt;="&amp;$B254,BD!$Y$3:$Y$5001,"&lt;&gt;"))))</f>
        <v/>
      </c>
    </row>
    <row r="255">
      <c r="A255" s="38">
        <v>14</v>
      </c>
      <c r="B255" s="42">
        <f>$B$25</f>
        <v>46309</v>
      </c>
      <c r="C255" s="43" t="str">
        <f>IF(OR($B255="",$A255&gt;$B$9,C$241=""),"",IF(COUNTIFS(BD!$B$3:$B$5001,C$241,BD!$A$3:$A$5001,"&gt;="&amp;$C$7,BD!$A$3:$A$5001,"&lt;="&amp;$B255,BD!$Y$3:$Y$5001,"&lt;&gt;")=0,"",SUMIFS(BD!$Y$3:$Y$5001,BD!$B$3:$B$5001,C$241,BD!$A$3:$A$5001,_xlfn.MAXIFS(BD!$A$3:$A$5001,BD!$B$3:$B$5001,C$241,BD!$A$3:$A$5001,"&gt;="&amp;$C$7,BD!$A$3:$A$5001,"&lt;="&amp;$B255,BD!$Y$3:$Y$5001,"&lt;&gt;"))))</f>
        <v/>
      </c>
      <c r="D255" s="43" t="str">
        <f>IF(OR($B255="",$A255&gt;$B$9,D$241=""),"",IF(COUNTIFS(BD!$B$3:$B$5001,D$241,BD!$A$3:$A$5001,"&gt;="&amp;$C$7,BD!$A$3:$A$5001,"&lt;="&amp;$B255,BD!$Y$3:$Y$5001,"&lt;&gt;")=0,"",SUMIFS(BD!$Y$3:$Y$5001,BD!$B$3:$B$5001,D$241,BD!$A$3:$A$5001,_xlfn.MAXIFS(BD!$A$3:$A$5001,BD!$B$3:$B$5001,D$241,BD!$A$3:$A$5001,"&gt;="&amp;$C$7,BD!$A$3:$A$5001,"&lt;="&amp;$B255,BD!$Y$3:$Y$5001,"&lt;&gt;"))))</f>
        <v/>
      </c>
      <c r="E255" s="43" t="str">
        <f>IF(OR($B255="",$A255&gt;$B$9,E$241=""),"",IF(COUNTIFS(BD!$B$3:$B$5001,E$241,BD!$A$3:$A$5001,"&gt;="&amp;$C$7,BD!$A$3:$A$5001,"&lt;="&amp;$B255,BD!$Y$3:$Y$5001,"&lt;&gt;")=0,"",SUMIFS(BD!$Y$3:$Y$5001,BD!$B$3:$B$5001,E$241,BD!$A$3:$A$5001,_xlfn.MAXIFS(BD!$A$3:$A$5001,BD!$B$3:$B$5001,E$241,BD!$A$3:$A$5001,"&gt;="&amp;$C$7,BD!$A$3:$A$5001,"&lt;="&amp;$B255,BD!$Y$3:$Y$5001,"&lt;&gt;"))))</f>
        <v/>
      </c>
      <c r="F255" s="43" t="str">
        <f>IF(OR($B255="",$A255&gt;$B$9,F$241=""),"",IF(COUNTIFS(BD!$B$3:$B$5001,F$241,BD!$A$3:$A$5001,"&gt;="&amp;$C$7,BD!$A$3:$A$5001,"&lt;="&amp;$B255,BD!$Y$3:$Y$5001,"&lt;&gt;")=0,"",SUMIFS(BD!$Y$3:$Y$5001,BD!$B$3:$B$5001,F$241,BD!$A$3:$A$5001,_xlfn.MAXIFS(BD!$A$3:$A$5001,BD!$B$3:$B$5001,F$241,BD!$A$3:$A$5001,"&gt;="&amp;$C$7,BD!$A$3:$A$5001,"&lt;="&amp;$B255,BD!$Y$3:$Y$5001,"&lt;&gt;"))))</f>
        <v/>
      </c>
      <c r="G255" s="43" t="str">
        <f>IF(OR($B255="",$A255&gt;$B$9,G$241=""),"",IF(COUNTIFS(BD!$B$3:$B$5001,G$241,BD!$A$3:$A$5001,"&gt;="&amp;$C$7,BD!$A$3:$A$5001,"&lt;="&amp;$B255,BD!$Y$3:$Y$5001,"&lt;&gt;")=0,"",SUMIFS(BD!$Y$3:$Y$5001,BD!$B$3:$B$5001,G$241,BD!$A$3:$A$5001,_xlfn.MAXIFS(BD!$A$3:$A$5001,BD!$B$3:$B$5001,G$241,BD!$A$3:$A$5001,"&gt;="&amp;$C$7,BD!$A$3:$A$5001,"&lt;="&amp;$B255,BD!$Y$3:$Y$5001,"&lt;&gt;"))))</f>
        <v/>
      </c>
      <c r="H255" s="43" t="str">
        <f>IF(OR($B255="",$A255&gt;$B$9,H$241=""),"",IF(COUNTIFS(BD!$B$3:$B$5001,H$241,BD!$A$3:$A$5001,"&gt;="&amp;$C$7,BD!$A$3:$A$5001,"&lt;="&amp;$B255,BD!$Y$3:$Y$5001,"&lt;&gt;")=0,"",SUMIFS(BD!$Y$3:$Y$5001,BD!$B$3:$B$5001,H$241,BD!$A$3:$A$5001,_xlfn.MAXIFS(BD!$A$3:$A$5001,BD!$B$3:$B$5001,H$241,BD!$A$3:$A$5001,"&gt;="&amp;$C$7,BD!$A$3:$A$5001,"&lt;="&amp;$B255,BD!$Y$3:$Y$5001,"&lt;&gt;"))))</f>
        <v/>
      </c>
      <c r="I255" s="43" t="str">
        <f>IF(OR($B255="",$A255&gt;$B$9,I$241=""),"",IF(COUNTIFS(BD!$B$3:$B$5001,I$241,BD!$A$3:$A$5001,"&gt;="&amp;$C$7,BD!$A$3:$A$5001,"&lt;="&amp;$B255,BD!$Y$3:$Y$5001,"&lt;&gt;")=0,"",SUMIFS(BD!$Y$3:$Y$5001,BD!$B$3:$B$5001,I$241,BD!$A$3:$A$5001,_xlfn.MAXIFS(BD!$A$3:$A$5001,BD!$B$3:$B$5001,I$241,BD!$A$3:$A$5001,"&gt;="&amp;$C$7,BD!$A$3:$A$5001,"&lt;="&amp;$B255,BD!$Y$3:$Y$5001,"&lt;&gt;"))))</f>
        <v/>
      </c>
      <c r="J255" s="43" t="str">
        <f>IF(OR($B255="",$A255&gt;$B$9,J$241=""),"",IF(COUNTIFS(BD!$B$3:$B$5001,J$241,BD!$A$3:$A$5001,"&gt;="&amp;$C$7,BD!$A$3:$A$5001,"&lt;="&amp;$B255,BD!$Y$3:$Y$5001,"&lt;&gt;")=0,"",SUMIFS(BD!$Y$3:$Y$5001,BD!$B$3:$B$5001,J$241,BD!$A$3:$A$5001,_xlfn.MAXIFS(BD!$A$3:$A$5001,BD!$B$3:$B$5001,J$241,BD!$A$3:$A$5001,"&gt;="&amp;$C$7,BD!$A$3:$A$5001,"&lt;="&amp;$B255,BD!$Y$3:$Y$5001,"&lt;&gt;"))))</f>
        <v/>
      </c>
      <c r="K255" s="43" t="str">
        <f>IF(OR($B255="",$A255&gt;$B$9,K$241=""),"",IF(COUNTIFS(BD!$B$3:$B$5001,K$241,BD!$A$3:$A$5001,"&gt;="&amp;$C$7,BD!$A$3:$A$5001,"&lt;="&amp;$B255,BD!$Y$3:$Y$5001,"&lt;&gt;")=0,"",SUMIFS(BD!$Y$3:$Y$5001,BD!$B$3:$B$5001,K$241,BD!$A$3:$A$5001,_xlfn.MAXIFS(BD!$A$3:$A$5001,BD!$B$3:$B$5001,K$241,BD!$A$3:$A$5001,"&gt;="&amp;$C$7,BD!$A$3:$A$5001,"&lt;="&amp;$B255,BD!$Y$3:$Y$5001,"&lt;&gt;"))))</f>
        <v/>
      </c>
      <c r="L255" s="43" t="str">
        <f>IF(OR($B255="",$A255&gt;$B$9,L$241=""),"",IF(COUNTIFS(BD!$B$3:$B$5001,L$241,BD!$A$3:$A$5001,"&gt;="&amp;$C$7,BD!$A$3:$A$5001,"&lt;="&amp;$B255,BD!$Y$3:$Y$5001,"&lt;&gt;")=0,"",SUMIFS(BD!$Y$3:$Y$5001,BD!$B$3:$B$5001,L$241,BD!$A$3:$A$5001,_xlfn.MAXIFS(BD!$A$3:$A$5001,BD!$B$3:$B$5001,L$241,BD!$A$3:$A$5001,"&gt;="&amp;$C$7,BD!$A$3:$A$5001,"&lt;="&amp;$B255,BD!$Y$3:$Y$5001,"&lt;&gt;"))))</f>
        <v/>
      </c>
      <c r="M255" s="43" t="str">
        <f>IF(OR($B255="",$A255&gt;$B$9,M$241=""),"",IF(COUNTIFS(BD!$B$3:$B$5001,M$241,BD!$A$3:$A$5001,"&gt;="&amp;$C$7,BD!$A$3:$A$5001,"&lt;="&amp;$B255,BD!$Y$3:$Y$5001,"&lt;&gt;")=0,"",SUMIFS(BD!$Y$3:$Y$5001,BD!$B$3:$B$5001,M$241,BD!$A$3:$A$5001,_xlfn.MAXIFS(BD!$A$3:$A$5001,BD!$B$3:$B$5001,M$241,BD!$A$3:$A$5001,"&gt;="&amp;$C$7,BD!$A$3:$A$5001,"&lt;="&amp;$B255,BD!$Y$3:$Y$5001,"&lt;&gt;"))))</f>
        <v/>
      </c>
      <c r="N255" s="43" t="str">
        <f>IF(OR($B255="",$A255&gt;$B$9,N$241=""),"",IF(COUNTIFS(BD!$B$3:$B$5001,N$241,BD!$A$3:$A$5001,"&gt;="&amp;$C$7,BD!$A$3:$A$5001,"&lt;="&amp;$B255,BD!$Y$3:$Y$5001,"&lt;&gt;")=0,"",SUMIFS(BD!$Y$3:$Y$5001,BD!$B$3:$B$5001,N$241,BD!$A$3:$A$5001,_xlfn.MAXIFS(BD!$A$3:$A$5001,BD!$B$3:$B$5001,N$241,BD!$A$3:$A$5001,"&gt;="&amp;$C$7,BD!$A$3:$A$5001,"&lt;="&amp;$B255,BD!$Y$3:$Y$5001,"&lt;&gt;"))))</f>
        <v/>
      </c>
      <c r="O255" s="43" t="str">
        <f>IF(OR($B255="",$A255&gt;$B$9,O$241=""),"",IF(COUNTIFS(BD!$B$3:$B$5001,O$241,BD!$A$3:$A$5001,"&gt;="&amp;$C$7,BD!$A$3:$A$5001,"&lt;="&amp;$B255,BD!$Y$3:$Y$5001,"&lt;&gt;")=0,"",SUMIFS(BD!$Y$3:$Y$5001,BD!$B$3:$B$5001,O$241,BD!$A$3:$A$5001,_xlfn.MAXIFS(BD!$A$3:$A$5001,BD!$B$3:$B$5001,O$241,BD!$A$3:$A$5001,"&gt;="&amp;$C$7,BD!$A$3:$A$5001,"&lt;="&amp;$B255,BD!$Y$3:$Y$5001,"&lt;&gt;"))))</f>
        <v/>
      </c>
      <c r="P255" s="43" t="str">
        <f>IF(OR($B255="",$A255&gt;$B$9,P$241=""),"",IF(COUNTIFS(BD!$B$3:$B$5001,P$241,BD!$A$3:$A$5001,"&gt;="&amp;$C$7,BD!$A$3:$A$5001,"&lt;="&amp;$B255,BD!$Y$3:$Y$5001,"&lt;&gt;")=0,"",SUMIFS(BD!$Y$3:$Y$5001,BD!$B$3:$B$5001,P$241,BD!$A$3:$A$5001,_xlfn.MAXIFS(BD!$A$3:$A$5001,BD!$B$3:$B$5001,P$241,BD!$A$3:$A$5001,"&gt;="&amp;$C$7,BD!$A$3:$A$5001,"&lt;="&amp;$B255,BD!$Y$3:$Y$5001,"&lt;&gt;"))))</f>
        <v/>
      </c>
      <c r="Q255" s="43" t="str">
        <f>IF(OR($B255="",$A255&gt;$B$9,Q$241=""),"",IF(COUNTIFS(BD!$B$3:$B$5001,Q$241,BD!$A$3:$A$5001,"&gt;="&amp;$C$7,BD!$A$3:$A$5001,"&lt;="&amp;$B255,BD!$Y$3:$Y$5001,"&lt;&gt;")=0,"",SUMIFS(BD!$Y$3:$Y$5001,BD!$B$3:$B$5001,Q$241,BD!$A$3:$A$5001,_xlfn.MAXIFS(BD!$A$3:$A$5001,BD!$B$3:$B$5001,Q$241,BD!$A$3:$A$5001,"&gt;="&amp;$C$7,BD!$A$3:$A$5001,"&lt;="&amp;$B255,BD!$Y$3:$Y$5001,"&lt;&gt;"))))</f>
        <v/>
      </c>
      <c r="R255" s="43" t="str">
        <f>IF(OR($B255="",$A255&gt;$B$9,R$241=""),"",IF(COUNTIFS(BD!$B$3:$B$5001,R$241,BD!$A$3:$A$5001,"&gt;="&amp;$C$7,BD!$A$3:$A$5001,"&lt;="&amp;$B255,BD!$Y$3:$Y$5001,"&lt;&gt;")=0,"",SUMIFS(BD!$Y$3:$Y$5001,BD!$B$3:$B$5001,R$241,BD!$A$3:$A$5001,_xlfn.MAXIFS(BD!$A$3:$A$5001,BD!$B$3:$B$5001,R$241,BD!$A$3:$A$5001,"&gt;="&amp;$C$7,BD!$A$3:$A$5001,"&lt;="&amp;$B255,BD!$Y$3:$Y$5001,"&lt;&gt;"))))</f>
        <v/>
      </c>
      <c r="S255" s="43" t="str">
        <f>IF(OR($B255="",$A255&gt;$B$9,S$241=""),"",IF(COUNTIFS(BD!$B$3:$B$5001,S$241,BD!$A$3:$A$5001,"&gt;="&amp;$C$7,BD!$A$3:$A$5001,"&lt;="&amp;$B255,BD!$Y$3:$Y$5001,"&lt;&gt;")=0,"",SUMIFS(BD!$Y$3:$Y$5001,BD!$B$3:$B$5001,S$241,BD!$A$3:$A$5001,_xlfn.MAXIFS(BD!$A$3:$A$5001,BD!$B$3:$B$5001,S$241,BD!$A$3:$A$5001,"&gt;="&amp;$C$7,BD!$A$3:$A$5001,"&lt;="&amp;$B255,BD!$Y$3:$Y$5001,"&lt;&gt;"))))</f>
        <v/>
      </c>
      <c r="T255" s="43" t="str">
        <f>IF(OR($B255="",$A255&gt;$B$9,T$241=""),"",IF(COUNTIFS(BD!$B$3:$B$5001,T$241,BD!$A$3:$A$5001,"&gt;="&amp;$C$7,BD!$A$3:$A$5001,"&lt;="&amp;$B255,BD!$Y$3:$Y$5001,"&lt;&gt;")=0,"",SUMIFS(BD!$Y$3:$Y$5001,BD!$B$3:$B$5001,T$241,BD!$A$3:$A$5001,_xlfn.MAXIFS(BD!$A$3:$A$5001,BD!$B$3:$B$5001,T$241,BD!$A$3:$A$5001,"&gt;="&amp;$C$7,BD!$A$3:$A$5001,"&lt;="&amp;$B255,BD!$Y$3:$Y$5001,"&lt;&gt;"))))</f>
        <v/>
      </c>
      <c r="U255" s="43" t="str">
        <f>IF(OR($B255="",$A255&gt;$B$9,U$241=""),"",IF(COUNTIFS(BD!$B$3:$B$5001,U$241,BD!$A$3:$A$5001,"&gt;="&amp;$C$7,BD!$A$3:$A$5001,"&lt;="&amp;$B255,BD!$Y$3:$Y$5001,"&lt;&gt;")=0,"",SUMIFS(BD!$Y$3:$Y$5001,BD!$B$3:$B$5001,U$241,BD!$A$3:$A$5001,_xlfn.MAXIFS(BD!$A$3:$A$5001,BD!$B$3:$B$5001,U$241,BD!$A$3:$A$5001,"&gt;="&amp;$C$7,BD!$A$3:$A$5001,"&lt;="&amp;$B255,BD!$Y$3:$Y$5001,"&lt;&gt;"))))</f>
        <v/>
      </c>
      <c r="V255" s="43" t="str">
        <f>IF(OR($B255="",$A255&gt;$B$9,V$241=""),"",IF(COUNTIFS(BD!$B$3:$B$5001,V$241,BD!$A$3:$A$5001,"&gt;="&amp;$C$7,BD!$A$3:$A$5001,"&lt;="&amp;$B255,BD!$Y$3:$Y$5001,"&lt;&gt;")=0,"",SUMIFS(BD!$Y$3:$Y$5001,BD!$B$3:$B$5001,V$241,BD!$A$3:$A$5001,_xlfn.MAXIFS(BD!$A$3:$A$5001,BD!$B$3:$B$5001,V$241,BD!$A$3:$A$5001,"&gt;="&amp;$C$7,BD!$A$3:$A$5001,"&lt;="&amp;$B255,BD!$Y$3:$Y$5001,"&lt;&gt;"))))</f>
        <v/>
      </c>
    </row>
    <row r="256">
      <c r="A256" s="38">
        <v>15</v>
      </c>
      <c r="B256" s="42">
        <f>$B$26</f>
        <v>46310</v>
      </c>
      <c r="C256" s="43" t="str">
        <f>IF(OR($B256="",$A256&gt;$B$9,C$241=""),"",IF(COUNTIFS(BD!$B$3:$B$5001,C$241,BD!$A$3:$A$5001,"&gt;="&amp;$C$7,BD!$A$3:$A$5001,"&lt;="&amp;$B256,BD!$Y$3:$Y$5001,"&lt;&gt;")=0,"",SUMIFS(BD!$Y$3:$Y$5001,BD!$B$3:$B$5001,C$241,BD!$A$3:$A$5001,_xlfn.MAXIFS(BD!$A$3:$A$5001,BD!$B$3:$B$5001,C$241,BD!$A$3:$A$5001,"&gt;="&amp;$C$7,BD!$A$3:$A$5001,"&lt;="&amp;$B256,BD!$Y$3:$Y$5001,"&lt;&gt;"))))</f>
        <v/>
      </c>
      <c r="D256" s="43" t="str">
        <f>IF(OR($B256="",$A256&gt;$B$9,D$241=""),"",IF(COUNTIFS(BD!$B$3:$B$5001,D$241,BD!$A$3:$A$5001,"&gt;="&amp;$C$7,BD!$A$3:$A$5001,"&lt;="&amp;$B256,BD!$Y$3:$Y$5001,"&lt;&gt;")=0,"",SUMIFS(BD!$Y$3:$Y$5001,BD!$B$3:$B$5001,D$241,BD!$A$3:$A$5001,_xlfn.MAXIFS(BD!$A$3:$A$5001,BD!$B$3:$B$5001,D$241,BD!$A$3:$A$5001,"&gt;="&amp;$C$7,BD!$A$3:$A$5001,"&lt;="&amp;$B256,BD!$Y$3:$Y$5001,"&lt;&gt;"))))</f>
        <v/>
      </c>
      <c r="E256" s="43" t="str">
        <f>IF(OR($B256="",$A256&gt;$B$9,E$241=""),"",IF(COUNTIFS(BD!$B$3:$B$5001,E$241,BD!$A$3:$A$5001,"&gt;="&amp;$C$7,BD!$A$3:$A$5001,"&lt;="&amp;$B256,BD!$Y$3:$Y$5001,"&lt;&gt;")=0,"",SUMIFS(BD!$Y$3:$Y$5001,BD!$B$3:$B$5001,E$241,BD!$A$3:$A$5001,_xlfn.MAXIFS(BD!$A$3:$A$5001,BD!$B$3:$B$5001,E$241,BD!$A$3:$A$5001,"&gt;="&amp;$C$7,BD!$A$3:$A$5001,"&lt;="&amp;$B256,BD!$Y$3:$Y$5001,"&lt;&gt;"))))</f>
        <v/>
      </c>
      <c r="F256" s="43" t="str">
        <f>IF(OR($B256="",$A256&gt;$B$9,F$241=""),"",IF(COUNTIFS(BD!$B$3:$B$5001,F$241,BD!$A$3:$A$5001,"&gt;="&amp;$C$7,BD!$A$3:$A$5001,"&lt;="&amp;$B256,BD!$Y$3:$Y$5001,"&lt;&gt;")=0,"",SUMIFS(BD!$Y$3:$Y$5001,BD!$B$3:$B$5001,F$241,BD!$A$3:$A$5001,_xlfn.MAXIFS(BD!$A$3:$A$5001,BD!$B$3:$B$5001,F$241,BD!$A$3:$A$5001,"&gt;="&amp;$C$7,BD!$A$3:$A$5001,"&lt;="&amp;$B256,BD!$Y$3:$Y$5001,"&lt;&gt;"))))</f>
        <v/>
      </c>
      <c r="G256" s="43" t="str">
        <f>IF(OR($B256="",$A256&gt;$B$9,G$241=""),"",IF(COUNTIFS(BD!$B$3:$B$5001,G$241,BD!$A$3:$A$5001,"&gt;="&amp;$C$7,BD!$A$3:$A$5001,"&lt;="&amp;$B256,BD!$Y$3:$Y$5001,"&lt;&gt;")=0,"",SUMIFS(BD!$Y$3:$Y$5001,BD!$B$3:$B$5001,G$241,BD!$A$3:$A$5001,_xlfn.MAXIFS(BD!$A$3:$A$5001,BD!$B$3:$B$5001,G$241,BD!$A$3:$A$5001,"&gt;="&amp;$C$7,BD!$A$3:$A$5001,"&lt;="&amp;$B256,BD!$Y$3:$Y$5001,"&lt;&gt;"))))</f>
        <v/>
      </c>
      <c r="H256" s="43" t="str">
        <f>IF(OR($B256="",$A256&gt;$B$9,H$241=""),"",IF(COUNTIFS(BD!$B$3:$B$5001,H$241,BD!$A$3:$A$5001,"&gt;="&amp;$C$7,BD!$A$3:$A$5001,"&lt;="&amp;$B256,BD!$Y$3:$Y$5001,"&lt;&gt;")=0,"",SUMIFS(BD!$Y$3:$Y$5001,BD!$B$3:$B$5001,H$241,BD!$A$3:$A$5001,_xlfn.MAXIFS(BD!$A$3:$A$5001,BD!$B$3:$B$5001,H$241,BD!$A$3:$A$5001,"&gt;="&amp;$C$7,BD!$A$3:$A$5001,"&lt;="&amp;$B256,BD!$Y$3:$Y$5001,"&lt;&gt;"))))</f>
        <v/>
      </c>
      <c r="I256" s="43" t="str">
        <f>IF(OR($B256="",$A256&gt;$B$9,I$241=""),"",IF(COUNTIFS(BD!$B$3:$B$5001,I$241,BD!$A$3:$A$5001,"&gt;="&amp;$C$7,BD!$A$3:$A$5001,"&lt;="&amp;$B256,BD!$Y$3:$Y$5001,"&lt;&gt;")=0,"",SUMIFS(BD!$Y$3:$Y$5001,BD!$B$3:$B$5001,I$241,BD!$A$3:$A$5001,_xlfn.MAXIFS(BD!$A$3:$A$5001,BD!$B$3:$B$5001,I$241,BD!$A$3:$A$5001,"&gt;="&amp;$C$7,BD!$A$3:$A$5001,"&lt;="&amp;$B256,BD!$Y$3:$Y$5001,"&lt;&gt;"))))</f>
        <v/>
      </c>
      <c r="J256" s="43" t="str">
        <f>IF(OR($B256="",$A256&gt;$B$9,J$241=""),"",IF(COUNTIFS(BD!$B$3:$B$5001,J$241,BD!$A$3:$A$5001,"&gt;="&amp;$C$7,BD!$A$3:$A$5001,"&lt;="&amp;$B256,BD!$Y$3:$Y$5001,"&lt;&gt;")=0,"",SUMIFS(BD!$Y$3:$Y$5001,BD!$B$3:$B$5001,J$241,BD!$A$3:$A$5001,_xlfn.MAXIFS(BD!$A$3:$A$5001,BD!$B$3:$B$5001,J$241,BD!$A$3:$A$5001,"&gt;="&amp;$C$7,BD!$A$3:$A$5001,"&lt;="&amp;$B256,BD!$Y$3:$Y$5001,"&lt;&gt;"))))</f>
        <v/>
      </c>
      <c r="K256" s="43" t="str">
        <f>IF(OR($B256="",$A256&gt;$B$9,K$241=""),"",IF(COUNTIFS(BD!$B$3:$B$5001,K$241,BD!$A$3:$A$5001,"&gt;="&amp;$C$7,BD!$A$3:$A$5001,"&lt;="&amp;$B256,BD!$Y$3:$Y$5001,"&lt;&gt;")=0,"",SUMIFS(BD!$Y$3:$Y$5001,BD!$B$3:$B$5001,K$241,BD!$A$3:$A$5001,_xlfn.MAXIFS(BD!$A$3:$A$5001,BD!$B$3:$B$5001,K$241,BD!$A$3:$A$5001,"&gt;="&amp;$C$7,BD!$A$3:$A$5001,"&lt;="&amp;$B256,BD!$Y$3:$Y$5001,"&lt;&gt;"))))</f>
        <v/>
      </c>
      <c r="L256" s="43" t="str">
        <f>IF(OR($B256="",$A256&gt;$B$9,L$241=""),"",IF(COUNTIFS(BD!$B$3:$B$5001,L$241,BD!$A$3:$A$5001,"&gt;="&amp;$C$7,BD!$A$3:$A$5001,"&lt;="&amp;$B256,BD!$Y$3:$Y$5001,"&lt;&gt;")=0,"",SUMIFS(BD!$Y$3:$Y$5001,BD!$B$3:$B$5001,L$241,BD!$A$3:$A$5001,_xlfn.MAXIFS(BD!$A$3:$A$5001,BD!$B$3:$B$5001,L$241,BD!$A$3:$A$5001,"&gt;="&amp;$C$7,BD!$A$3:$A$5001,"&lt;="&amp;$B256,BD!$Y$3:$Y$5001,"&lt;&gt;"))))</f>
        <v/>
      </c>
      <c r="M256" s="43" t="str">
        <f>IF(OR($B256="",$A256&gt;$B$9,M$241=""),"",IF(COUNTIFS(BD!$B$3:$B$5001,M$241,BD!$A$3:$A$5001,"&gt;="&amp;$C$7,BD!$A$3:$A$5001,"&lt;="&amp;$B256,BD!$Y$3:$Y$5001,"&lt;&gt;")=0,"",SUMIFS(BD!$Y$3:$Y$5001,BD!$B$3:$B$5001,M$241,BD!$A$3:$A$5001,_xlfn.MAXIFS(BD!$A$3:$A$5001,BD!$B$3:$B$5001,M$241,BD!$A$3:$A$5001,"&gt;="&amp;$C$7,BD!$A$3:$A$5001,"&lt;="&amp;$B256,BD!$Y$3:$Y$5001,"&lt;&gt;"))))</f>
        <v/>
      </c>
      <c r="N256" s="43" t="str">
        <f>IF(OR($B256="",$A256&gt;$B$9,N$241=""),"",IF(COUNTIFS(BD!$B$3:$B$5001,N$241,BD!$A$3:$A$5001,"&gt;="&amp;$C$7,BD!$A$3:$A$5001,"&lt;="&amp;$B256,BD!$Y$3:$Y$5001,"&lt;&gt;")=0,"",SUMIFS(BD!$Y$3:$Y$5001,BD!$B$3:$B$5001,N$241,BD!$A$3:$A$5001,_xlfn.MAXIFS(BD!$A$3:$A$5001,BD!$B$3:$B$5001,N$241,BD!$A$3:$A$5001,"&gt;="&amp;$C$7,BD!$A$3:$A$5001,"&lt;="&amp;$B256,BD!$Y$3:$Y$5001,"&lt;&gt;"))))</f>
        <v/>
      </c>
      <c r="O256" s="43" t="str">
        <f>IF(OR($B256="",$A256&gt;$B$9,O$241=""),"",IF(COUNTIFS(BD!$B$3:$B$5001,O$241,BD!$A$3:$A$5001,"&gt;="&amp;$C$7,BD!$A$3:$A$5001,"&lt;="&amp;$B256,BD!$Y$3:$Y$5001,"&lt;&gt;")=0,"",SUMIFS(BD!$Y$3:$Y$5001,BD!$B$3:$B$5001,O$241,BD!$A$3:$A$5001,_xlfn.MAXIFS(BD!$A$3:$A$5001,BD!$B$3:$B$5001,O$241,BD!$A$3:$A$5001,"&gt;="&amp;$C$7,BD!$A$3:$A$5001,"&lt;="&amp;$B256,BD!$Y$3:$Y$5001,"&lt;&gt;"))))</f>
        <v/>
      </c>
      <c r="P256" s="43" t="str">
        <f>IF(OR($B256="",$A256&gt;$B$9,P$241=""),"",IF(COUNTIFS(BD!$B$3:$B$5001,P$241,BD!$A$3:$A$5001,"&gt;="&amp;$C$7,BD!$A$3:$A$5001,"&lt;="&amp;$B256,BD!$Y$3:$Y$5001,"&lt;&gt;")=0,"",SUMIFS(BD!$Y$3:$Y$5001,BD!$B$3:$B$5001,P$241,BD!$A$3:$A$5001,_xlfn.MAXIFS(BD!$A$3:$A$5001,BD!$B$3:$B$5001,P$241,BD!$A$3:$A$5001,"&gt;="&amp;$C$7,BD!$A$3:$A$5001,"&lt;="&amp;$B256,BD!$Y$3:$Y$5001,"&lt;&gt;"))))</f>
        <v/>
      </c>
      <c r="Q256" s="43" t="str">
        <f>IF(OR($B256="",$A256&gt;$B$9,Q$241=""),"",IF(COUNTIFS(BD!$B$3:$B$5001,Q$241,BD!$A$3:$A$5001,"&gt;="&amp;$C$7,BD!$A$3:$A$5001,"&lt;="&amp;$B256,BD!$Y$3:$Y$5001,"&lt;&gt;")=0,"",SUMIFS(BD!$Y$3:$Y$5001,BD!$B$3:$B$5001,Q$241,BD!$A$3:$A$5001,_xlfn.MAXIFS(BD!$A$3:$A$5001,BD!$B$3:$B$5001,Q$241,BD!$A$3:$A$5001,"&gt;="&amp;$C$7,BD!$A$3:$A$5001,"&lt;="&amp;$B256,BD!$Y$3:$Y$5001,"&lt;&gt;"))))</f>
        <v/>
      </c>
      <c r="R256" s="43" t="str">
        <f>IF(OR($B256="",$A256&gt;$B$9,R$241=""),"",IF(COUNTIFS(BD!$B$3:$B$5001,R$241,BD!$A$3:$A$5001,"&gt;="&amp;$C$7,BD!$A$3:$A$5001,"&lt;="&amp;$B256,BD!$Y$3:$Y$5001,"&lt;&gt;")=0,"",SUMIFS(BD!$Y$3:$Y$5001,BD!$B$3:$B$5001,R$241,BD!$A$3:$A$5001,_xlfn.MAXIFS(BD!$A$3:$A$5001,BD!$B$3:$B$5001,R$241,BD!$A$3:$A$5001,"&gt;="&amp;$C$7,BD!$A$3:$A$5001,"&lt;="&amp;$B256,BD!$Y$3:$Y$5001,"&lt;&gt;"))))</f>
        <v/>
      </c>
      <c r="S256" s="43" t="str">
        <f>IF(OR($B256="",$A256&gt;$B$9,S$241=""),"",IF(COUNTIFS(BD!$B$3:$B$5001,S$241,BD!$A$3:$A$5001,"&gt;="&amp;$C$7,BD!$A$3:$A$5001,"&lt;="&amp;$B256,BD!$Y$3:$Y$5001,"&lt;&gt;")=0,"",SUMIFS(BD!$Y$3:$Y$5001,BD!$B$3:$B$5001,S$241,BD!$A$3:$A$5001,_xlfn.MAXIFS(BD!$A$3:$A$5001,BD!$B$3:$B$5001,S$241,BD!$A$3:$A$5001,"&gt;="&amp;$C$7,BD!$A$3:$A$5001,"&lt;="&amp;$B256,BD!$Y$3:$Y$5001,"&lt;&gt;"))))</f>
        <v/>
      </c>
      <c r="T256" s="43" t="str">
        <f>IF(OR($B256="",$A256&gt;$B$9,T$241=""),"",IF(COUNTIFS(BD!$B$3:$B$5001,T$241,BD!$A$3:$A$5001,"&gt;="&amp;$C$7,BD!$A$3:$A$5001,"&lt;="&amp;$B256,BD!$Y$3:$Y$5001,"&lt;&gt;")=0,"",SUMIFS(BD!$Y$3:$Y$5001,BD!$B$3:$B$5001,T$241,BD!$A$3:$A$5001,_xlfn.MAXIFS(BD!$A$3:$A$5001,BD!$B$3:$B$5001,T$241,BD!$A$3:$A$5001,"&gt;="&amp;$C$7,BD!$A$3:$A$5001,"&lt;="&amp;$B256,BD!$Y$3:$Y$5001,"&lt;&gt;"))))</f>
        <v/>
      </c>
      <c r="U256" s="43" t="str">
        <f>IF(OR($B256="",$A256&gt;$B$9,U$241=""),"",IF(COUNTIFS(BD!$B$3:$B$5001,U$241,BD!$A$3:$A$5001,"&gt;="&amp;$C$7,BD!$A$3:$A$5001,"&lt;="&amp;$B256,BD!$Y$3:$Y$5001,"&lt;&gt;")=0,"",SUMIFS(BD!$Y$3:$Y$5001,BD!$B$3:$B$5001,U$241,BD!$A$3:$A$5001,_xlfn.MAXIFS(BD!$A$3:$A$5001,BD!$B$3:$B$5001,U$241,BD!$A$3:$A$5001,"&gt;="&amp;$C$7,BD!$A$3:$A$5001,"&lt;="&amp;$B256,BD!$Y$3:$Y$5001,"&lt;&gt;"))))</f>
        <v/>
      </c>
      <c r="V256" s="43" t="str">
        <f>IF(OR($B256="",$A256&gt;$B$9,V$241=""),"",IF(COUNTIFS(BD!$B$3:$B$5001,V$241,BD!$A$3:$A$5001,"&gt;="&amp;$C$7,BD!$A$3:$A$5001,"&lt;="&amp;$B256,BD!$Y$3:$Y$5001,"&lt;&gt;")=0,"",SUMIFS(BD!$Y$3:$Y$5001,BD!$B$3:$B$5001,V$241,BD!$A$3:$A$5001,_xlfn.MAXIFS(BD!$A$3:$A$5001,BD!$B$3:$B$5001,V$241,BD!$A$3:$A$5001,"&gt;="&amp;$C$7,BD!$A$3:$A$5001,"&lt;="&amp;$B256,BD!$Y$3:$Y$5001,"&lt;&gt;"))))</f>
        <v/>
      </c>
    </row>
    <row r="257">
      <c r="A257" s="38">
        <v>16</v>
      </c>
      <c r="B257" s="42">
        <f>$B$27</f>
        <v>46311</v>
      </c>
      <c r="C257" s="43" t="str">
        <f>IF(OR($B257="",$A257&gt;$B$9,C$241=""),"",IF(COUNTIFS(BD!$B$3:$B$5001,C$241,BD!$A$3:$A$5001,"&gt;="&amp;$C$7,BD!$A$3:$A$5001,"&lt;="&amp;$B257,BD!$Y$3:$Y$5001,"&lt;&gt;")=0,"",SUMIFS(BD!$Y$3:$Y$5001,BD!$B$3:$B$5001,C$241,BD!$A$3:$A$5001,_xlfn.MAXIFS(BD!$A$3:$A$5001,BD!$B$3:$B$5001,C$241,BD!$A$3:$A$5001,"&gt;="&amp;$C$7,BD!$A$3:$A$5001,"&lt;="&amp;$B257,BD!$Y$3:$Y$5001,"&lt;&gt;"))))</f>
        <v/>
      </c>
      <c r="D257" s="43" t="str">
        <f>IF(OR($B257="",$A257&gt;$B$9,D$241=""),"",IF(COUNTIFS(BD!$B$3:$B$5001,D$241,BD!$A$3:$A$5001,"&gt;="&amp;$C$7,BD!$A$3:$A$5001,"&lt;="&amp;$B257,BD!$Y$3:$Y$5001,"&lt;&gt;")=0,"",SUMIFS(BD!$Y$3:$Y$5001,BD!$B$3:$B$5001,D$241,BD!$A$3:$A$5001,_xlfn.MAXIFS(BD!$A$3:$A$5001,BD!$B$3:$B$5001,D$241,BD!$A$3:$A$5001,"&gt;="&amp;$C$7,BD!$A$3:$A$5001,"&lt;="&amp;$B257,BD!$Y$3:$Y$5001,"&lt;&gt;"))))</f>
        <v/>
      </c>
      <c r="E257" s="43" t="str">
        <f>IF(OR($B257="",$A257&gt;$B$9,E$241=""),"",IF(COUNTIFS(BD!$B$3:$B$5001,E$241,BD!$A$3:$A$5001,"&gt;="&amp;$C$7,BD!$A$3:$A$5001,"&lt;="&amp;$B257,BD!$Y$3:$Y$5001,"&lt;&gt;")=0,"",SUMIFS(BD!$Y$3:$Y$5001,BD!$B$3:$B$5001,E$241,BD!$A$3:$A$5001,_xlfn.MAXIFS(BD!$A$3:$A$5001,BD!$B$3:$B$5001,E$241,BD!$A$3:$A$5001,"&gt;="&amp;$C$7,BD!$A$3:$A$5001,"&lt;="&amp;$B257,BD!$Y$3:$Y$5001,"&lt;&gt;"))))</f>
        <v/>
      </c>
      <c r="F257" s="43" t="str">
        <f>IF(OR($B257="",$A257&gt;$B$9,F$241=""),"",IF(COUNTIFS(BD!$B$3:$B$5001,F$241,BD!$A$3:$A$5001,"&gt;="&amp;$C$7,BD!$A$3:$A$5001,"&lt;="&amp;$B257,BD!$Y$3:$Y$5001,"&lt;&gt;")=0,"",SUMIFS(BD!$Y$3:$Y$5001,BD!$B$3:$B$5001,F$241,BD!$A$3:$A$5001,_xlfn.MAXIFS(BD!$A$3:$A$5001,BD!$B$3:$B$5001,F$241,BD!$A$3:$A$5001,"&gt;="&amp;$C$7,BD!$A$3:$A$5001,"&lt;="&amp;$B257,BD!$Y$3:$Y$5001,"&lt;&gt;"))))</f>
        <v/>
      </c>
      <c r="G257" s="43" t="str">
        <f>IF(OR($B257="",$A257&gt;$B$9,G$241=""),"",IF(COUNTIFS(BD!$B$3:$B$5001,G$241,BD!$A$3:$A$5001,"&gt;="&amp;$C$7,BD!$A$3:$A$5001,"&lt;="&amp;$B257,BD!$Y$3:$Y$5001,"&lt;&gt;")=0,"",SUMIFS(BD!$Y$3:$Y$5001,BD!$B$3:$B$5001,G$241,BD!$A$3:$A$5001,_xlfn.MAXIFS(BD!$A$3:$A$5001,BD!$B$3:$B$5001,G$241,BD!$A$3:$A$5001,"&gt;="&amp;$C$7,BD!$A$3:$A$5001,"&lt;="&amp;$B257,BD!$Y$3:$Y$5001,"&lt;&gt;"))))</f>
        <v/>
      </c>
      <c r="H257" s="43" t="str">
        <f>IF(OR($B257="",$A257&gt;$B$9,H$241=""),"",IF(COUNTIFS(BD!$B$3:$B$5001,H$241,BD!$A$3:$A$5001,"&gt;="&amp;$C$7,BD!$A$3:$A$5001,"&lt;="&amp;$B257,BD!$Y$3:$Y$5001,"&lt;&gt;")=0,"",SUMIFS(BD!$Y$3:$Y$5001,BD!$B$3:$B$5001,H$241,BD!$A$3:$A$5001,_xlfn.MAXIFS(BD!$A$3:$A$5001,BD!$B$3:$B$5001,H$241,BD!$A$3:$A$5001,"&gt;="&amp;$C$7,BD!$A$3:$A$5001,"&lt;="&amp;$B257,BD!$Y$3:$Y$5001,"&lt;&gt;"))))</f>
        <v/>
      </c>
      <c r="I257" s="43" t="str">
        <f>IF(OR($B257="",$A257&gt;$B$9,I$241=""),"",IF(COUNTIFS(BD!$B$3:$B$5001,I$241,BD!$A$3:$A$5001,"&gt;="&amp;$C$7,BD!$A$3:$A$5001,"&lt;="&amp;$B257,BD!$Y$3:$Y$5001,"&lt;&gt;")=0,"",SUMIFS(BD!$Y$3:$Y$5001,BD!$B$3:$B$5001,I$241,BD!$A$3:$A$5001,_xlfn.MAXIFS(BD!$A$3:$A$5001,BD!$B$3:$B$5001,I$241,BD!$A$3:$A$5001,"&gt;="&amp;$C$7,BD!$A$3:$A$5001,"&lt;="&amp;$B257,BD!$Y$3:$Y$5001,"&lt;&gt;"))))</f>
        <v/>
      </c>
      <c r="J257" s="43" t="str">
        <f>IF(OR($B257="",$A257&gt;$B$9,J$241=""),"",IF(COUNTIFS(BD!$B$3:$B$5001,J$241,BD!$A$3:$A$5001,"&gt;="&amp;$C$7,BD!$A$3:$A$5001,"&lt;="&amp;$B257,BD!$Y$3:$Y$5001,"&lt;&gt;")=0,"",SUMIFS(BD!$Y$3:$Y$5001,BD!$B$3:$B$5001,J$241,BD!$A$3:$A$5001,_xlfn.MAXIFS(BD!$A$3:$A$5001,BD!$B$3:$B$5001,J$241,BD!$A$3:$A$5001,"&gt;="&amp;$C$7,BD!$A$3:$A$5001,"&lt;="&amp;$B257,BD!$Y$3:$Y$5001,"&lt;&gt;"))))</f>
        <v/>
      </c>
      <c r="K257" s="43" t="str">
        <f>IF(OR($B257="",$A257&gt;$B$9,K$241=""),"",IF(COUNTIFS(BD!$B$3:$B$5001,K$241,BD!$A$3:$A$5001,"&gt;="&amp;$C$7,BD!$A$3:$A$5001,"&lt;="&amp;$B257,BD!$Y$3:$Y$5001,"&lt;&gt;")=0,"",SUMIFS(BD!$Y$3:$Y$5001,BD!$B$3:$B$5001,K$241,BD!$A$3:$A$5001,_xlfn.MAXIFS(BD!$A$3:$A$5001,BD!$B$3:$B$5001,K$241,BD!$A$3:$A$5001,"&gt;="&amp;$C$7,BD!$A$3:$A$5001,"&lt;="&amp;$B257,BD!$Y$3:$Y$5001,"&lt;&gt;"))))</f>
        <v/>
      </c>
      <c r="L257" s="43" t="str">
        <f>IF(OR($B257="",$A257&gt;$B$9,L$241=""),"",IF(COUNTIFS(BD!$B$3:$B$5001,L$241,BD!$A$3:$A$5001,"&gt;="&amp;$C$7,BD!$A$3:$A$5001,"&lt;="&amp;$B257,BD!$Y$3:$Y$5001,"&lt;&gt;")=0,"",SUMIFS(BD!$Y$3:$Y$5001,BD!$B$3:$B$5001,L$241,BD!$A$3:$A$5001,_xlfn.MAXIFS(BD!$A$3:$A$5001,BD!$B$3:$B$5001,L$241,BD!$A$3:$A$5001,"&gt;="&amp;$C$7,BD!$A$3:$A$5001,"&lt;="&amp;$B257,BD!$Y$3:$Y$5001,"&lt;&gt;"))))</f>
        <v/>
      </c>
      <c r="M257" s="43" t="str">
        <f>IF(OR($B257="",$A257&gt;$B$9,M$241=""),"",IF(COUNTIFS(BD!$B$3:$B$5001,M$241,BD!$A$3:$A$5001,"&gt;="&amp;$C$7,BD!$A$3:$A$5001,"&lt;="&amp;$B257,BD!$Y$3:$Y$5001,"&lt;&gt;")=0,"",SUMIFS(BD!$Y$3:$Y$5001,BD!$B$3:$B$5001,M$241,BD!$A$3:$A$5001,_xlfn.MAXIFS(BD!$A$3:$A$5001,BD!$B$3:$B$5001,M$241,BD!$A$3:$A$5001,"&gt;="&amp;$C$7,BD!$A$3:$A$5001,"&lt;="&amp;$B257,BD!$Y$3:$Y$5001,"&lt;&gt;"))))</f>
        <v/>
      </c>
      <c r="N257" s="43" t="str">
        <f>IF(OR($B257="",$A257&gt;$B$9,N$241=""),"",IF(COUNTIFS(BD!$B$3:$B$5001,N$241,BD!$A$3:$A$5001,"&gt;="&amp;$C$7,BD!$A$3:$A$5001,"&lt;="&amp;$B257,BD!$Y$3:$Y$5001,"&lt;&gt;")=0,"",SUMIFS(BD!$Y$3:$Y$5001,BD!$B$3:$B$5001,N$241,BD!$A$3:$A$5001,_xlfn.MAXIFS(BD!$A$3:$A$5001,BD!$B$3:$B$5001,N$241,BD!$A$3:$A$5001,"&gt;="&amp;$C$7,BD!$A$3:$A$5001,"&lt;="&amp;$B257,BD!$Y$3:$Y$5001,"&lt;&gt;"))))</f>
        <v/>
      </c>
      <c r="O257" s="43" t="str">
        <f>IF(OR($B257="",$A257&gt;$B$9,O$241=""),"",IF(COUNTIFS(BD!$B$3:$B$5001,O$241,BD!$A$3:$A$5001,"&gt;="&amp;$C$7,BD!$A$3:$A$5001,"&lt;="&amp;$B257,BD!$Y$3:$Y$5001,"&lt;&gt;")=0,"",SUMIFS(BD!$Y$3:$Y$5001,BD!$B$3:$B$5001,O$241,BD!$A$3:$A$5001,_xlfn.MAXIFS(BD!$A$3:$A$5001,BD!$B$3:$B$5001,O$241,BD!$A$3:$A$5001,"&gt;="&amp;$C$7,BD!$A$3:$A$5001,"&lt;="&amp;$B257,BD!$Y$3:$Y$5001,"&lt;&gt;"))))</f>
        <v/>
      </c>
      <c r="P257" s="43" t="str">
        <f>IF(OR($B257="",$A257&gt;$B$9,P$241=""),"",IF(COUNTIFS(BD!$B$3:$B$5001,P$241,BD!$A$3:$A$5001,"&gt;="&amp;$C$7,BD!$A$3:$A$5001,"&lt;="&amp;$B257,BD!$Y$3:$Y$5001,"&lt;&gt;")=0,"",SUMIFS(BD!$Y$3:$Y$5001,BD!$B$3:$B$5001,P$241,BD!$A$3:$A$5001,_xlfn.MAXIFS(BD!$A$3:$A$5001,BD!$B$3:$B$5001,P$241,BD!$A$3:$A$5001,"&gt;="&amp;$C$7,BD!$A$3:$A$5001,"&lt;="&amp;$B257,BD!$Y$3:$Y$5001,"&lt;&gt;"))))</f>
        <v/>
      </c>
      <c r="Q257" s="43" t="str">
        <f>IF(OR($B257="",$A257&gt;$B$9,Q$241=""),"",IF(COUNTIFS(BD!$B$3:$B$5001,Q$241,BD!$A$3:$A$5001,"&gt;="&amp;$C$7,BD!$A$3:$A$5001,"&lt;="&amp;$B257,BD!$Y$3:$Y$5001,"&lt;&gt;")=0,"",SUMIFS(BD!$Y$3:$Y$5001,BD!$B$3:$B$5001,Q$241,BD!$A$3:$A$5001,_xlfn.MAXIFS(BD!$A$3:$A$5001,BD!$B$3:$B$5001,Q$241,BD!$A$3:$A$5001,"&gt;="&amp;$C$7,BD!$A$3:$A$5001,"&lt;="&amp;$B257,BD!$Y$3:$Y$5001,"&lt;&gt;"))))</f>
        <v/>
      </c>
      <c r="R257" s="43" t="str">
        <f>IF(OR($B257="",$A257&gt;$B$9,R$241=""),"",IF(COUNTIFS(BD!$B$3:$B$5001,R$241,BD!$A$3:$A$5001,"&gt;="&amp;$C$7,BD!$A$3:$A$5001,"&lt;="&amp;$B257,BD!$Y$3:$Y$5001,"&lt;&gt;")=0,"",SUMIFS(BD!$Y$3:$Y$5001,BD!$B$3:$B$5001,R$241,BD!$A$3:$A$5001,_xlfn.MAXIFS(BD!$A$3:$A$5001,BD!$B$3:$B$5001,R$241,BD!$A$3:$A$5001,"&gt;="&amp;$C$7,BD!$A$3:$A$5001,"&lt;="&amp;$B257,BD!$Y$3:$Y$5001,"&lt;&gt;"))))</f>
        <v/>
      </c>
      <c r="S257" s="43" t="str">
        <f>IF(OR($B257="",$A257&gt;$B$9,S$241=""),"",IF(COUNTIFS(BD!$B$3:$B$5001,S$241,BD!$A$3:$A$5001,"&gt;="&amp;$C$7,BD!$A$3:$A$5001,"&lt;="&amp;$B257,BD!$Y$3:$Y$5001,"&lt;&gt;")=0,"",SUMIFS(BD!$Y$3:$Y$5001,BD!$B$3:$B$5001,S$241,BD!$A$3:$A$5001,_xlfn.MAXIFS(BD!$A$3:$A$5001,BD!$B$3:$B$5001,S$241,BD!$A$3:$A$5001,"&gt;="&amp;$C$7,BD!$A$3:$A$5001,"&lt;="&amp;$B257,BD!$Y$3:$Y$5001,"&lt;&gt;"))))</f>
        <v/>
      </c>
      <c r="T257" s="43" t="str">
        <f>IF(OR($B257="",$A257&gt;$B$9,T$241=""),"",IF(COUNTIFS(BD!$B$3:$B$5001,T$241,BD!$A$3:$A$5001,"&gt;="&amp;$C$7,BD!$A$3:$A$5001,"&lt;="&amp;$B257,BD!$Y$3:$Y$5001,"&lt;&gt;")=0,"",SUMIFS(BD!$Y$3:$Y$5001,BD!$B$3:$B$5001,T$241,BD!$A$3:$A$5001,_xlfn.MAXIFS(BD!$A$3:$A$5001,BD!$B$3:$B$5001,T$241,BD!$A$3:$A$5001,"&gt;="&amp;$C$7,BD!$A$3:$A$5001,"&lt;="&amp;$B257,BD!$Y$3:$Y$5001,"&lt;&gt;"))))</f>
        <v/>
      </c>
      <c r="U257" s="43" t="str">
        <f>IF(OR($B257="",$A257&gt;$B$9,U$241=""),"",IF(COUNTIFS(BD!$B$3:$B$5001,U$241,BD!$A$3:$A$5001,"&gt;="&amp;$C$7,BD!$A$3:$A$5001,"&lt;="&amp;$B257,BD!$Y$3:$Y$5001,"&lt;&gt;")=0,"",SUMIFS(BD!$Y$3:$Y$5001,BD!$B$3:$B$5001,U$241,BD!$A$3:$A$5001,_xlfn.MAXIFS(BD!$A$3:$A$5001,BD!$B$3:$B$5001,U$241,BD!$A$3:$A$5001,"&gt;="&amp;$C$7,BD!$A$3:$A$5001,"&lt;="&amp;$B257,BD!$Y$3:$Y$5001,"&lt;&gt;"))))</f>
        <v/>
      </c>
      <c r="V257" s="43" t="str">
        <f>IF(OR($B257="",$A257&gt;$B$9,V$241=""),"",IF(COUNTIFS(BD!$B$3:$B$5001,V$241,BD!$A$3:$A$5001,"&gt;="&amp;$C$7,BD!$A$3:$A$5001,"&lt;="&amp;$B257,BD!$Y$3:$Y$5001,"&lt;&gt;")=0,"",SUMIFS(BD!$Y$3:$Y$5001,BD!$B$3:$B$5001,V$241,BD!$A$3:$A$5001,_xlfn.MAXIFS(BD!$A$3:$A$5001,BD!$B$3:$B$5001,V$241,BD!$A$3:$A$5001,"&gt;="&amp;$C$7,BD!$A$3:$A$5001,"&lt;="&amp;$B257,BD!$Y$3:$Y$5001,"&lt;&gt;"))))</f>
        <v/>
      </c>
    </row>
    <row r="258">
      <c r="A258" s="38">
        <v>17</v>
      </c>
      <c r="B258" s="42">
        <f>$B$28</f>
        <v>46312</v>
      </c>
      <c r="C258" s="43" t="str">
        <f>IF(OR($B258="",$A258&gt;$B$9,C$241=""),"",IF(COUNTIFS(BD!$B$3:$B$5001,C$241,BD!$A$3:$A$5001,"&gt;="&amp;$C$7,BD!$A$3:$A$5001,"&lt;="&amp;$B258,BD!$Y$3:$Y$5001,"&lt;&gt;")=0,"",SUMIFS(BD!$Y$3:$Y$5001,BD!$B$3:$B$5001,C$241,BD!$A$3:$A$5001,_xlfn.MAXIFS(BD!$A$3:$A$5001,BD!$B$3:$B$5001,C$241,BD!$A$3:$A$5001,"&gt;="&amp;$C$7,BD!$A$3:$A$5001,"&lt;="&amp;$B258,BD!$Y$3:$Y$5001,"&lt;&gt;"))))</f>
        <v/>
      </c>
      <c r="D258" s="43" t="str">
        <f>IF(OR($B258="",$A258&gt;$B$9,D$241=""),"",IF(COUNTIFS(BD!$B$3:$B$5001,D$241,BD!$A$3:$A$5001,"&gt;="&amp;$C$7,BD!$A$3:$A$5001,"&lt;="&amp;$B258,BD!$Y$3:$Y$5001,"&lt;&gt;")=0,"",SUMIFS(BD!$Y$3:$Y$5001,BD!$B$3:$B$5001,D$241,BD!$A$3:$A$5001,_xlfn.MAXIFS(BD!$A$3:$A$5001,BD!$B$3:$B$5001,D$241,BD!$A$3:$A$5001,"&gt;="&amp;$C$7,BD!$A$3:$A$5001,"&lt;="&amp;$B258,BD!$Y$3:$Y$5001,"&lt;&gt;"))))</f>
        <v/>
      </c>
      <c r="E258" s="43" t="str">
        <f>IF(OR($B258="",$A258&gt;$B$9,E$241=""),"",IF(COUNTIFS(BD!$B$3:$B$5001,E$241,BD!$A$3:$A$5001,"&gt;="&amp;$C$7,BD!$A$3:$A$5001,"&lt;="&amp;$B258,BD!$Y$3:$Y$5001,"&lt;&gt;")=0,"",SUMIFS(BD!$Y$3:$Y$5001,BD!$B$3:$B$5001,E$241,BD!$A$3:$A$5001,_xlfn.MAXIFS(BD!$A$3:$A$5001,BD!$B$3:$B$5001,E$241,BD!$A$3:$A$5001,"&gt;="&amp;$C$7,BD!$A$3:$A$5001,"&lt;="&amp;$B258,BD!$Y$3:$Y$5001,"&lt;&gt;"))))</f>
        <v/>
      </c>
      <c r="F258" s="43" t="str">
        <f>IF(OR($B258="",$A258&gt;$B$9,F$241=""),"",IF(COUNTIFS(BD!$B$3:$B$5001,F$241,BD!$A$3:$A$5001,"&gt;="&amp;$C$7,BD!$A$3:$A$5001,"&lt;="&amp;$B258,BD!$Y$3:$Y$5001,"&lt;&gt;")=0,"",SUMIFS(BD!$Y$3:$Y$5001,BD!$B$3:$B$5001,F$241,BD!$A$3:$A$5001,_xlfn.MAXIFS(BD!$A$3:$A$5001,BD!$B$3:$B$5001,F$241,BD!$A$3:$A$5001,"&gt;="&amp;$C$7,BD!$A$3:$A$5001,"&lt;="&amp;$B258,BD!$Y$3:$Y$5001,"&lt;&gt;"))))</f>
        <v/>
      </c>
      <c r="G258" s="43" t="str">
        <f>IF(OR($B258="",$A258&gt;$B$9,G$241=""),"",IF(COUNTIFS(BD!$B$3:$B$5001,G$241,BD!$A$3:$A$5001,"&gt;="&amp;$C$7,BD!$A$3:$A$5001,"&lt;="&amp;$B258,BD!$Y$3:$Y$5001,"&lt;&gt;")=0,"",SUMIFS(BD!$Y$3:$Y$5001,BD!$B$3:$B$5001,G$241,BD!$A$3:$A$5001,_xlfn.MAXIFS(BD!$A$3:$A$5001,BD!$B$3:$B$5001,G$241,BD!$A$3:$A$5001,"&gt;="&amp;$C$7,BD!$A$3:$A$5001,"&lt;="&amp;$B258,BD!$Y$3:$Y$5001,"&lt;&gt;"))))</f>
        <v/>
      </c>
      <c r="H258" s="43" t="str">
        <f>IF(OR($B258="",$A258&gt;$B$9,H$241=""),"",IF(COUNTIFS(BD!$B$3:$B$5001,H$241,BD!$A$3:$A$5001,"&gt;="&amp;$C$7,BD!$A$3:$A$5001,"&lt;="&amp;$B258,BD!$Y$3:$Y$5001,"&lt;&gt;")=0,"",SUMIFS(BD!$Y$3:$Y$5001,BD!$B$3:$B$5001,H$241,BD!$A$3:$A$5001,_xlfn.MAXIFS(BD!$A$3:$A$5001,BD!$B$3:$B$5001,H$241,BD!$A$3:$A$5001,"&gt;="&amp;$C$7,BD!$A$3:$A$5001,"&lt;="&amp;$B258,BD!$Y$3:$Y$5001,"&lt;&gt;"))))</f>
        <v/>
      </c>
      <c r="I258" s="43" t="str">
        <f>IF(OR($B258="",$A258&gt;$B$9,I$241=""),"",IF(COUNTIFS(BD!$B$3:$B$5001,I$241,BD!$A$3:$A$5001,"&gt;="&amp;$C$7,BD!$A$3:$A$5001,"&lt;="&amp;$B258,BD!$Y$3:$Y$5001,"&lt;&gt;")=0,"",SUMIFS(BD!$Y$3:$Y$5001,BD!$B$3:$B$5001,I$241,BD!$A$3:$A$5001,_xlfn.MAXIFS(BD!$A$3:$A$5001,BD!$B$3:$B$5001,I$241,BD!$A$3:$A$5001,"&gt;="&amp;$C$7,BD!$A$3:$A$5001,"&lt;="&amp;$B258,BD!$Y$3:$Y$5001,"&lt;&gt;"))))</f>
        <v/>
      </c>
      <c r="J258" s="43" t="str">
        <f>IF(OR($B258="",$A258&gt;$B$9,J$241=""),"",IF(COUNTIFS(BD!$B$3:$B$5001,J$241,BD!$A$3:$A$5001,"&gt;="&amp;$C$7,BD!$A$3:$A$5001,"&lt;="&amp;$B258,BD!$Y$3:$Y$5001,"&lt;&gt;")=0,"",SUMIFS(BD!$Y$3:$Y$5001,BD!$B$3:$B$5001,J$241,BD!$A$3:$A$5001,_xlfn.MAXIFS(BD!$A$3:$A$5001,BD!$B$3:$B$5001,J$241,BD!$A$3:$A$5001,"&gt;="&amp;$C$7,BD!$A$3:$A$5001,"&lt;="&amp;$B258,BD!$Y$3:$Y$5001,"&lt;&gt;"))))</f>
        <v/>
      </c>
      <c r="K258" s="43" t="str">
        <f>IF(OR($B258="",$A258&gt;$B$9,K$241=""),"",IF(COUNTIFS(BD!$B$3:$B$5001,K$241,BD!$A$3:$A$5001,"&gt;="&amp;$C$7,BD!$A$3:$A$5001,"&lt;="&amp;$B258,BD!$Y$3:$Y$5001,"&lt;&gt;")=0,"",SUMIFS(BD!$Y$3:$Y$5001,BD!$B$3:$B$5001,K$241,BD!$A$3:$A$5001,_xlfn.MAXIFS(BD!$A$3:$A$5001,BD!$B$3:$B$5001,K$241,BD!$A$3:$A$5001,"&gt;="&amp;$C$7,BD!$A$3:$A$5001,"&lt;="&amp;$B258,BD!$Y$3:$Y$5001,"&lt;&gt;"))))</f>
        <v/>
      </c>
      <c r="L258" s="43" t="str">
        <f>IF(OR($B258="",$A258&gt;$B$9,L$241=""),"",IF(COUNTIFS(BD!$B$3:$B$5001,L$241,BD!$A$3:$A$5001,"&gt;="&amp;$C$7,BD!$A$3:$A$5001,"&lt;="&amp;$B258,BD!$Y$3:$Y$5001,"&lt;&gt;")=0,"",SUMIFS(BD!$Y$3:$Y$5001,BD!$B$3:$B$5001,L$241,BD!$A$3:$A$5001,_xlfn.MAXIFS(BD!$A$3:$A$5001,BD!$B$3:$B$5001,L$241,BD!$A$3:$A$5001,"&gt;="&amp;$C$7,BD!$A$3:$A$5001,"&lt;="&amp;$B258,BD!$Y$3:$Y$5001,"&lt;&gt;"))))</f>
        <v/>
      </c>
      <c r="M258" s="43" t="str">
        <f>IF(OR($B258="",$A258&gt;$B$9,M$241=""),"",IF(COUNTIFS(BD!$B$3:$B$5001,M$241,BD!$A$3:$A$5001,"&gt;="&amp;$C$7,BD!$A$3:$A$5001,"&lt;="&amp;$B258,BD!$Y$3:$Y$5001,"&lt;&gt;")=0,"",SUMIFS(BD!$Y$3:$Y$5001,BD!$B$3:$B$5001,M$241,BD!$A$3:$A$5001,_xlfn.MAXIFS(BD!$A$3:$A$5001,BD!$B$3:$B$5001,M$241,BD!$A$3:$A$5001,"&gt;="&amp;$C$7,BD!$A$3:$A$5001,"&lt;="&amp;$B258,BD!$Y$3:$Y$5001,"&lt;&gt;"))))</f>
        <v/>
      </c>
      <c r="N258" s="43" t="str">
        <f>IF(OR($B258="",$A258&gt;$B$9,N$241=""),"",IF(COUNTIFS(BD!$B$3:$B$5001,N$241,BD!$A$3:$A$5001,"&gt;="&amp;$C$7,BD!$A$3:$A$5001,"&lt;="&amp;$B258,BD!$Y$3:$Y$5001,"&lt;&gt;")=0,"",SUMIFS(BD!$Y$3:$Y$5001,BD!$B$3:$B$5001,N$241,BD!$A$3:$A$5001,_xlfn.MAXIFS(BD!$A$3:$A$5001,BD!$B$3:$B$5001,N$241,BD!$A$3:$A$5001,"&gt;="&amp;$C$7,BD!$A$3:$A$5001,"&lt;="&amp;$B258,BD!$Y$3:$Y$5001,"&lt;&gt;"))))</f>
        <v/>
      </c>
      <c r="O258" s="43" t="str">
        <f>IF(OR($B258="",$A258&gt;$B$9,O$241=""),"",IF(COUNTIFS(BD!$B$3:$B$5001,O$241,BD!$A$3:$A$5001,"&gt;="&amp;$C$7,BD!$A$3:$A$5001,"&lt;="&amp;$B258,BD!$Y$3:$Y$5001,"&lt;&gt;")=0,"",SUMIFS(BD!$Y$3:$Y$5001,BD!$B$3:$B$5001,O$241,BD!$A$3:$A$5001,_xlfn.MAXIFS(BD!$A$3:$A$5001,BD!$B$3:$B$5001,O$241,BD!$A$3:$A$5001,"&gt;="&amp;$C$7,BD!$A$3:$A$5001,"&lt;="&amp;$B258,BD!$Y$3:$Y$5001,"&lt;&gt;"))))</f>
        <v/>
      </c>
      <c r="P258" s="43" t="str">
        <f>IF(OR($B258="",$A258&gt;$B$9,P$241=""),"",IF(COUNTIFS(BD!$B$3:$B$5001,P$241,BD!$A$3:$A$5001,"&gt;="&amp;$C$7,BD!$A$3:$A$5001,"&lt;="&amp;$B258,BD!$Y$3:$Y$5001,"&lt;&gt;")=0,"",SUMIFS(BD!$Y$3:$Y$5001,BD!$B$3:$B$5001,P$241,BD!$A$3:$A$5001,_xlfn.MAXIFS(BD!$A$3:$A$5001,BD!$B$3:$B$5001,P$241,BD!$A$3:$A$5001,"&gt;="&amp;$C$7,BD!$A$3:$A$5001,"&lt;="&amp;$B258,BD!$Y$3:$Y$5001,"&lt;&gt;"))))</f>
        <v/>
      </c>
      <c r="Q258" s="43" t="str">
        <f>IF(OR($B258="",$A258&gt;$B$9,Q$241=""),"",IF(COUNTIFS(BD!$B$3:$B$5001,Q$241,BD!$A$3:$A$5001,"&gt;="&amp;$C$7,BD!$A$3:$A$5001,"&lt;="&amp;$B258,BD!$Y$3:$Y$5001,"&lt;&gt;")=0,"",SUMIFS(BD!$Y$3:$Y$5001,BD!$B$3:$B$5001,Q$241,BD!$A$3:$A$5001,_xlfn.MAXIFS(BD!$A$3:$A$5001,BD!$B$3:$B$5001,Q$241,BD!$A$3:$A$5001,"&gt;="&amp;$C$7,BD!$A$3:$A$5001,"&lt;="&amp;$B258,BD!$Y$3:$Y$5001,"&lt;&gt;"))))</f>
        <v/>
      </c>
      <c r="R258" s="43" t="str">
        <f>IF(OR($B258="",$A258&gt;$B$9,R$241=""),"",IF(COUNTIFS(BD!$B$3:$B$5001,R$241,BD!$A$3:$A$5001,"&gt;="&amp;$C$7,BD!$A$3:$A$5001,"&lt;="&amp;$B258,BD!$Y$3:$Y$5001,"&lt;&gt;")=0,"",SUMIFS(BD!$Y$3:$Y$5001,BD!$B$3:$B$5001,R$241,BD!$A$3:$A$5001,_xlfn.MAXIFS(BD!$A$3:$A$5001,BD!$B$3:$B$5001,R$241,BD!$A$3:$A$5001,"&gt;="&amp;$C$7,BD!$A$3:$A$5001,"&lt;="&amp;$B258,BD!$Y$3:$Y$5001,"&lt;&gt;"))))</f>
        <v/>
      </c>
      <c r="S258" s="43" t="str">
        <f>IF(OR($B258="",$A258&gt;$B$9,S$241=""),"",IF(COUNTIFS(BD!$B$3:$B$5001,S$241,BD!$A$3:$A$5001,"&gt;="&amp;$C$7,BD!$A$3:$A$5001,"&lt;="&amp;$B258,BD!$Y$3:$Y$5001,"&lt;&gt;")=0,"",SUMIFS(BD!$Y$3:$Y$5001,BD!$B$3:$B$5001,S$241,BD!$A$3:$A$5001,_xlfn.MAXIFS(BD!$A$3:$A$5001,BD!$B$3:$B$5001,S$241,BD!$A$3:$A$5001,"&gt;="&amp;$C$7,BD!$A$3:$A$5001,"&lt;="&amp;$B258,BD!$Y$3:$Y$5001,"&lt;&gt;"))))</f>
        <v/>
      </c>
      <c r="T258" s="43" t="str">
        <f>IF(OR($B258="",$A258&gt;$B$9,T$241=""),"",IF(COUNTIFS(BD!$B$3:$B$5001,T$241,BD!$A$3:$A$5001,"&gt;="&amp;$C$7,BD!$A$3:$A$5001,"&lt;="&amp;$B258,BD!$Y$3:$Y$5001,"&lt;&gt;")=0,"",SUMIFS(BD!$Y$3:$Y$5001,BD!$B$3:$B$5001,T$241,BD!$A$3:$A$5001,_xlfn.MAXIFS(BD!$A$3:$A$5001,BD!$B$3:$B$5001,T$241,BD!$A$3:$A$5001,"&gt;="&amp;$C$7,BD!$A$3:$A$5001,"&lt;="&amp;$B258,BD!$Y$3:$Y$5001,"&lt;&gt;"))))</f>
        <v/>
      </c>
      <c r="U258" s="43" t="str">
        <f>IF(OR($B258="",$A258&gt;$B$9,U$241=""),"",IF(COUNTIFS(BD!$B$3:$B$5001,U$241,BD!$A$3:$A$5001,"&gt;="&amp;$C$7,BD!$A$3:$A$5001,"&lt;="&amp;$B258,BD!$Y$3:$Y$5001,"&lt;&gt;")=0,"",SUMIFS(BD!$Y$3:$Y$5001,BD!$B$3:$B$5001,U$241,BD!$A$3:$A$5001,_xlfn.MAXIFS(BD!$A$3:$A$5001,BD!$B$3:$B$5001,U$241,BD!$A$3:$A$5001,"&gt;="&amp;$C$7,BD!$A$3:$A$5001,"&lt;="&amp;$B258,BD!$Y$3:$Y$5001,"&lt;&gt;"))))</f>
        <v/>
      </c>
      <c r="V258" s="43" t="str">
        <f>IF(OR($B258="",$A258&gt;$B$9,V$241=""),"",IF(COUNTIFS(BD!$B$3:$B$5001,V$241,BD!$A$3:$A$5001,"&gt;="&amp;$C$7,BD!$A$3:$A$5001,"&lt;="&amp;$B258,BD!$Y$3:$Y$5001,"&lt;&gt;")=0,"",SUMIFS(BD!$Y$3:$Y$5001,BD!$B$3:$B$5001,V$241,BD!$A$3:$A$5001,_xlfn.MAXIFS(BD!$A$3:$A$5001,BD!$B$3:$B$5001,V$241,BD!$A$3:$A$5001,"&gt;="&amp;$C$7,BD!$A$3:$A$5001,"&lt;="&amp;$B258,BD!$Y$3:$Y$5001,"&lt;&gt;"))))</f>
        <v/>
      </c>
    </row>
    <row r="259">
      <c r="A259" s="38">
        <v>18</v>
      </c>
      <c r="B259" s="42">
        <f>$B$29</f>
        <v>46313</v>
      </c>
      <c r="C259" s="43" t="str">
        <f>IF(OR($B259="",$A259&gt;$B$9,C$241=""),"",IF(COUNTIFS(BD!$B$3:$B$5001,C$241,BD!$A$3:$A$5001,"&gt;="&amp;$C$7,BD!$A$3:$A$5001,"&lt;="&amp;$B259,BD!$Y$3:$Y$5001,"&lt;&gt;")=0,"",SUMIFS(BD!$Y$3:$Y$5001,BD!$B$3:$B$5001,C$241,BD!$A$3:$A$5001,_xlfn.MAXIFS(BD!$A$3:$A$5001,BD!$B$3:$B$5001,C$241,BD!$A$3:$A$5001,"&gt;="&amp;$C$7,BD!$A$3:$A$5001,"&lt;="&amp;$B259,BD!$Y$3:$Y$5001,"&lt;&gt;"))))</f>
        <v/>
      </c>
      <c r="D259" s="43" t="str">
        <f>IF(OR($B259="",$A259&gt;$B$9,D$241=""),"",IF(COUNTIFS(BD!$B$3:$B$5001,D$241,BD!$A$3:$A$5001,"&gt;="&amp;$C$7,BD!$A$3:$A$5001,"&lt;="&amp;$B259,BD!$Y$3:$Y$5001,"&lt;&gt;")=0,"",SUMIFS(BD!$Y$3:$Y$5001,BD!$B$3:$B$5001,D$241,BD!$A$3:$A$5001,_xlfn.MAXIFS(BD!$A$3:$A$5001,BD!$B$3:$B$5001,D$241,BD!$A$3:$A$5001,"&gt;="&amp;$C$7,BD!$A$3:$A$5001,"&lt;="&amp;$B259,BD!$Y$3:$Y$5001,"&lt;&gt;"))))</f>
        <v/>
      </c>
      <c r="E259" s="43" t="str">
        <f>IF(OR($B259="",$A259&gt;$B$9,E$241=""),"",IF(COUNTIFS(BD!$B$3:$B$5001,E$241,BD!$A$3:$A$5001,"&gt;="&amp;$C$7,BD!$A$3:$A$5001,"&lt;="&amp;$B259,BD!$Y$3:$Y$5001,"&lt;&gt;")=0,"",SUMIFS(BD!$Y$3:$Y$5001,BD!$B$3:$B$5001,E$241,BD!$A$3:$A$5001,_xlfn.MAXIFS(BD!$A$3:$A$5001,BD!$B$3:$B$5001,E$241,BD!$A$3:$A$5001,"&gt;="&amp;$C$7,BD!$A$3:$A$5001,"&lt;="&amp;$B259,BD!$Y$3:$Y$5001,"&lt;&gt;"))))</f>
        <v/>
      </c>
      <c r="F259" s="43" t="str">
        <f>IF(OR($B259="",$A259&gt;$B$9,F$241=""),"",IF(COUNTIFS(BD!$B$3:$B$5001,F$241,BD!$A$3:$A$5001,"&gt;="&amp;$C$7,BD!$A$3:$A$5001,"&lt;="&amp;$B259,BD!$Y$3:$Y$5001,"&lt;&gt;")=0,"",SUMIFS(BD!$Y$3:$Y$5001,BD!$B$3:$B$5001,F$241,BD!$A$3:$A$5001,_xlfn.MAXIFS(BD!$A$3:$A$5001,BD!$B$3:$B$5001,F$241,BD!$A$3:$A$5001,"&gt;="&amp;$C$7,BD!$A$3:$A$5001,"&lt;="&amp;$B259,BD!$Y$3:$Y$5001,"&lt;&gt;"))))</f>
        <v/>
      </c>
      <c r="G259" s="43" t="str">
        <f>IF(OR($B259="",$A259&gt;$B$9,G$241=""),"",IF(COUNTIFS(BD!$B$3:$B$5001,G$241,BD!$A$3:$A$5001,"&gt;="&amp;$C$7,BD!$A$3:$A$5001,"&lt;="&amp;$B259,BD!$Y$3:$Y$5001,"&lt;&gt;")=0,"",SUMIFS(BD!$Y$3:$Y$5001,BD!$B$3:$B$5001,G$241,BD!$A$3:$A$5001,_xlfn.MAXIFS(BD!$A$3:$A$5001,BD!$B$3:$B$5001,G$241,BD!$A$3:$A$5001,"&gt;="&amp;$C$7,BD!$A$3:$A$5001,"&lt;="&amp;$B259,BD!$Y$3:$Y$5001,"&lt;&gt;"))))</f>
        <v/>
      </c>
      <c r="H259" s="43" t="str">
        <f>IF(OR($B259="",$A259&gt;$B$9,H$241=""),"",IF(COUNTIFS(BD!$B$3:$B$5001,H$241,BD!$A$3:$A$5001,"&gt;="&amp;$C$7,BD!$A$3:$A$5001,"&lt;="&amp;$B259,BD!$Y$3:$Y$5001,"&lt;&gt;")=0,"",SUMIFS(BD!$Y$3:$Y$5001,BD!$B$3:$B$5001,H$241,BD!$A$3:$A$5001,_xlfn.MAXIFS(BD!$A$3:$A$5001,BD!$B$3:$B$5001,H$241,BD!$A$3:$A$5001,"&gt;="&amp;$C$7,BD!$A$3:$A$5001,"&lt;="&amp;$B259,BD!$Y$3:$Y$5001,"&lt;&gt;"))))</f>
        <v/>
      </c>
      <c r="I259" s="43" t="str">
        <f>IF(OR($B259="",$A259&gt;$B$9,I$241=""),"",IF(COUNTIFS(BD!$B$3:$B$5001,I$241,BD!$A$3:$A$5001,"&gt;="&amp;$C$7,BD!$A$3:$A$5001,"&lt;="&amp;$B259,BD!$Y$3:$Y$5001,"&lt;&gt;")=0,"",SUMIFS(BD!$Y$3:$Y$5001,BD!$B$3:$B$5001,I$241,BD!$A$3:$A$5001,_xlfn.MAXIFS(BD!$A$3:$A$5001,BD!$B$3:$B$5001,I$241,BD!$A$3:$A$5001,"&gt;="&amp;$C$7,BD!$A$3:$A$5001,"&lt;="&amp;$B259,BD!$Y$3:$Y$5001,"&lt;&gt;"))))</f>
        <v/>
      </c>
      <c r="J259" s="43" t="str">
        <f>IF(OR($B259="",$A259&gt;$B$9,J$241=""),"",IF(COUNTIFS(BD!$B$3:$B$5001,J$241,BD!$A$3:$A$5001,"&gt;="&amp;$C$7,BD!$A$3:$A$5001,"&lt;="&amp;$B259,BD!$Y$3:$Y$5001,"&lt;&gt;")=0,"",SUMIFS(BD!$Y$3:$Y$5001,BD!$B$3:$B$5001,J$241,BD!$A$3:$A$5001,_xlfn.MAXIFS(BD!$A$3:$A$5001,BD!$B$3:$B$5001,J$241,BD!$A$3:$A$5001,"&gt;="&amp;$C$7,BD!$A$3:$A$5001,"&lt;="&amp;$B259,BD!$Y$3:$Y$5001,"&lt;&gt;"))))</f>
        <v/>
      </c>
      <c r="K259" s="43" t="str">
        <f>IF(OR($B259="",$A259&gt;$B$9,K$241=""),"",IF(COUNTIFS(BD!$B$3:$B$5001,K$241,BD!$A$3:$A$5001,"&gt;="&amp;$C$7,BD!$A$3:$A$5001,"&lt;="&amp;$B259,BD!$Y$3:$Y$5001,"&lt;&gt;")=0,"",SUMIFS(BD!$Y$3:$Y$5001,BD!$B$3:$B$5001,K$241,BD!$A$3:$A$5001,_xlfn.MAXIFS(BD!$A$3:$A$5001,BD!$B$3:$B$5001,K$241,BD!$A$3:$A$5001,"&gt;="&amp;$C$7,BD!$A$3:$A$5001,"&lt;="&amp;$B259,BD!$Y$3:$Y$5001,"&lt;&gt;"))))</f>
        <v/>
      </c>
      <c r="L259" s="43" t="str">
        <f>IF(OR($B259="",$A259&gt;$B$9,L$241=""),"",IF(COUNTIFS(BD!$B$3:$B$5001,L$241,BD!$A$3:$A$5001,"&gt;="&amp;$C$7,BD!$A$3:$A$5001,"&lt;="&amp;$B259,BD!$Y$3:$Y$5001,"&lt;&gt;")=0,"",SUMIFS(BD!$Y$3:$Y$5001,BD!$B$3:$B$5001,L$241,BD!$A$3:$A$5001,_xlfn.MAXIFS(BD!$A$3:$A$5001,BD!$B$3:$B$5001,L$241,BD!$A$3:$A$5001,"&gt;="&amp;$C$7,BD!$A$3:$A$5001,"&lt;="&amp;$B259,BD!$Y$3:$Y$5001,"&lt;&gt;"))))</f>
        <v/>
      </c>
      <c r="M259" s="43" t="str">
        <f>IF(OR($B259="",$A259&gt;$B$9,M$241=""),"",IF(COUNTIFS(BD!$B$3:$B$5001,M$241,BD!$A$3:$A$5001,"&gt;="&amp;$C$7,BD!$A$3:$A$5001,"&lt;="&amp;$B259,BD!$Y$3:$Y$5001,"&lt;&gt;")=0,"",SUMIFS(BD!$Y$3:$Y$5001,BD!$B$3:$B$5001,M$241,BD!$A$3:$A$5001,_xlfn.MAXIFS(BD!$A$3:$A$5001,BD!$B$3:$B$5001,M$241,BD!$A$3:$A$5001,"&gt;="&amp;$C$7,BD!$A$3:$A$5001,"&lt;="&amp;$B259,BD!$Y$3:$Y$5001,"&lt;&gt;"))))</f>
        <v/>
      </c>
      <c r="N259" s="43" t="str">
        <f>IF(OR($B259="",$A259&gt;$B$9,N$241=""),"",IF(COUNTIFS(BD!$B$3:$B$5001,N$241,BD!$A$3:$A$5001,"&gt;="&amp;$C$7,BD!$A$3:$A$5001,"&lt;="&amp;$B259,BD!$Y$3:$Y$5001,"&lt;&gt;")=0,"",SUMIFS(BD!$Y$3:$Y$5001,BD!$B$3:$B$5001,N$241,BD!$A$3:$A$5001,_xlfn.MAXIFS(BD!$A$3:$A$5001,BD!$B$3:$B$5001,N$241,BD!$A$3:$A$5001,"&gt;="&amp;$C$7,BD!$A$3:$A$5001,"&lt;="&amp;$B259,BD!$Y$3:$Y$5001,"&lt;&gt;"))))</f>
        <v/>
      </c>
      <c r="O259" s="43" t="str">
        <f>IF(OR($B259="",$A259&gt;$B$9,O$241=""),"",IF(COUNTIFS(BD!$B$3:$B$5001,O$241,BD!$A$3:$A$5001,"&gt;="&amp;$C$7,BD!$A$3:$A$5001,"&lt;="&amp;$B259,BD!$Y$3:$Y$5001,"&lt;&gt;")=0,"",SUMIFS(BD!$Y$3:$Y$5001,BD!$B$3:$B$5001,O$241,BD!$A$3:$A$5001,_xlfn.MAXIFS(BD!$A$3:$A$5001,BD!$B$3:$B$5001,O$241,BD!$A$3:$A$5001,"&gt;="&amp;$C$7,BD!$A$3:$A$5001,"&lt;="&amp;$B259,BD!$Y$3:$Y$5001,"&lt;&gt;"))))</f>
        <v/>
      </c>
      <c r="P259" s="43" t="str">
        <f>IF(OR($B259="",$A259&gt;$B$9,P$241=""),"",IF(COUNTIFS(BD!$B$3:$B$5001,P$241,BD!$A$3:$A$5001,"&gt;="&amp;$C$7,BD!$A$3:$A$5001,"&lt;="&amp;$B259,BD!$Y$3:$Y$5001,"&lt;&gt;")=0,"",SUMIFS(BD!$Y$3:$Y$5001,BD!$B$3:$B$5001,P$241,BD!$A$3:$A$5001,_xlfn.MAXIFS(BD!$A$3:$A$5001,BD!$B$3:$B$5001,P$241,BD!$A$3:$A$5001,"&gt;="&amp;$C$7,BD!$A$3:$A$5001,"&lt;="&amp;$B259,BD!$Y$3:$Y$5001,"&lt;&gt;"))))</f>
        <v/>
      </c>
      <c r="Q259" s="43" t="str">
        <f>IF(OR($B259="",$A259&gt;$B$9,Q$241=""),"",IF(COUNTIFS(BD!$B$3:$B$5001,Q$241,BD!$A$3:$A$5001,"&gt;="&amp;$C$7,BD!$A$3:$A$5001,"&lt;="&amp;$B259,BD!$Y$3:$Y$5001,"&lt;&gt;")=0,"",SUMIFS(BD!$Y$3:$Y$5001,BD!$B$3:$B$5001,Q$241,BD!$A$3:$A$5001,_xlfn.MAXIFS(BD!$A$3:$A$5001,BD!$B$3:$B$5001,Q$241,BD!$A$3:$A$5001,"&gt;="&amp;$C$7,BD!$A$3:$A$5001,"&lt;="&amp;$B259,BD!$Y$3:$Y$5001,"&lt;&gt;"))))</f>
        <v/>
      </c>
      <c r="R259" s="43" t="str">
        <f>IF(OR($B259="",$A259&gt;$B$9,R$241=""),"",IF(COUNTIFS(BD!$B$3:$B$5001,R$241,BD!$A$3:$A$5001,"&gt;="&amp;$C$7,BD!$A$3:$A$5001,"&lt;="&amp;$B259,BD!$Y$3:$Y$5001,"&lt;&gt;")=0,"",SUMIFS(BD!$Y$3:$Y$5001,BD!$B$3:$B$5001,R$241,BD!$A$3:$A$5001,_xlfn.MAXIFS(BD!$A$3:$A$5001,BD!$B$3:$B$5001,R$241,BD!$A$3:$A$5001,"&gt;="&amp;$C$7,BD!$A$3:$A$5001,"&lt;="&amp;$B259,BD!$Y$3:$Y$5001,"&lt;&gt;"))))</f>
        <v/>
      </c>
      <c r="S259" s="43" t="str">
        <f>IF(OR($B259="",$A259&gt;$B$9,S$241=""),"",IF(COUNTIFS(BD!$B$3:$B$5001,S$241,BD!$A$3:$A$5001,"&gt;="&amp;$C$7,BD!$A$3:$A$5001,"&lt;="&amp;$B259,BD!$Y$3:$Y$5001,"&lt;&gt;")=0,"",SUMIFS(BD!$Y$3:$Y$5001,BD!$B$3:$B$5001,S$241,BD!$A$3:$A$5001,_xlfn.MAXIFS(BD!$A$3:$A$5001,BD!$B$3:$B$5001,S$241,BD!$A$3:$A$5001,"&gt;="&amp;$C$7,BD!$A$3:$A$5001,"&lt;="&amp;$B259,BD!$Y$3:$Y$5001,"&lt;&gt;"))))</f>
        <v/>
      </c>
      <c r="T259" s="43" t="str">
        <f>IF(OR($B259="",$A259&gt;$B$9,T$241=""),"",IF(COUNTIFS(BD!$B$3:$B$5001,T$241,BD!$A$3:$A$5001,"&gt;="&amp;$C$7,BD!$A$3:$A$5001,"&lt;="&amp;$B259,BD!$Y$3:$Y$5001,"&lt;&gt;")=0,"",SUMIFS(BD!$Y$3:$Y$5001,BD!$B$3:$B$5001,T$241,BD!$A$3:$A$5001,_xlfn.MAXIFS(BD!$A$3:$A$5001,BD!$B$3:$B$5001,T$241,BD!$A$3:$A$5001,"&gt;="&amp;$C$7,BD!$A$3:$A$5001,"&lt;="&amp;$B259,BD!$Y$3:$Y$5001,"&lt;&gt;"))))</f>
        <v/>
      </c>
      <c r="U259" s="43" t="str">
        <f>IF(OR($B259="",$A259&gt;$B$9,U$241=""),"",IF(COUNTIFS(BD!$B$3:$B$5001,U$241,BD!$A$3:$A$5001,"&gt;="&amp;$C$7,BD!$A$3:$A$5001,"&lt;="&amp;$B259,BD!$Y$3:$Y$5001,"&lt;&gt;")=0,"",SUMIFS(BD!$Y$3:$Y$5001,BD!$B$3:$B$5001,U$241,BD!$A$3:$A$5001,_xlfn.MAXIFS(BD!$A$3:$A$5001,BD!$B$3:$B$5001,U$241,BD!$A$3:$A$5001,"&gt;="&amp;$C$7,BD!$A$3:$A$5001,"&lt;="&amp;$B259,BD!$Y$3:$Y$5001,"&lt;&gt;"))))</f>
        <v/>
      </c>
      <c r="V259" s="43" t="str">
        <f>IF(OR($B259="",$A259&gt;$B$9,V$241=""),"",IF(COUNTIFS(BD!$B$3:$B$5001,V$241,BD!$A$3:$A$5001,"&gt;="&amp;$C$7,BD!$A$3:$A$5001,"&lt;="&amp;$B259,BD!$Y$3:$Y$5001,"&lt;&gt;")=0,"",SUMIFS(BD!$Y$3:$Y$5001,BD!$B$3:$B$5001,V$241,BD!$A$3:$A$5001,_xlfn.MAXIFS(BD!$A$3:$A$5001,BD!$B$3:$B$5001,V$241,BD!$A$3:$A$5001,"&gt;="&amp;$C$7,BD!$A$3:$A$5001,"&lt;="&amp;$B259,BD!$Y$3:$Y$5001,"&lt;&gt;"))))</f>
        <v/>
      </c>
    </row>
    <row r="260">
      <c r="A260" s="38">
        <v>19</v>
      </c>
      <c r="B260" s="42">
        <f>$B$30</f>
        <v>46314</v>
      </c>
      <c r="C260" s="43" t="str">
        <f>IF(OR($B260="",$A260&gt;$B$9,C$241=""),"",IF(COUNTIFS(BD!$B$3:$B$5001,C$241,BD!$A$3:$A$5001,"&gt;="&amp;$C$7,BD!$A$3:$A$5001,"&lt;="&amp;$B260,BD!$Y$3:$Y$5001,"&lt;&gt;")=0,"",SUMIFS(BD!$Y$3:$Y$5001,BD!$B$3:$B$5001,C$241,BD!$A$3:$A$5001,_xlfn.MAXIFS(BD!$A$3:$A$5001,BD!$B$3:$B$5001,C$241,BD!$A$3:$A$5001,"&gt;="&amp;$C$7,BD!$A$3:$A$5001,"&lt;="&amp;$B260,BD!$Y$3:$Y$5001,"&lt;&gt;"))))</f>
        <v/>
      </c>
      <c r="D260" s="43" t="str">
        <f>IF(OR($B260="",$A260&gt;$B$9,D$241=""),"",IF(COUNTIFS(BD!$B$3:$B$5001,D$241,BD!$A$3:$A$5001,"&gt;="&amp;$C$7,BD!$A$3:$A$5001,"&lt;="&amp;$B260,BD!$Y$3:$Y$5001,"&lt;&gt;")=0,"",SUMIFS(BD!$Y$3:$Y$5001,BD!$B$3:$B$5001,D$241,BD!$A$3:$A$5001,_xlfn.MAXIFS(BD!$A$3:$A$5001,BD!$B$3:$B$5001,D$241,BD!$A$3:$A$5001,"&gt;="&amp;$C$7,BD!$A$3:$A$5001,"&lt;="&amp;$B260,BD!$Y$3:$Y$5001,"&lt;&gt;"))))</f>
        <v/>
      </c>
      <c r="E260" s="43" t="str">
        <f>IF(OR($B260="",$A260&gt;$B$9,E$241=""),"",IF(COUNTIFS(BD!$B$3:$B$5001,E$241,BD!$A$3:$A$5001,"&gt;="&amp;$C$7,BD!$A$3:$A$5001,"&lt;="&amp;$B260,BD!$Y$3:$Y$5001,"&lt;&gt;")=0,"",SUMIFS(BD!$Y$3:$Y$5001,BD!$B$3:$B$5001,E$241,BD!$A$3:$A$5001,_xlfn.MAXIFS(BD!$A$3:$A$5001,BD!$B$3:$B$5001,E$241,BD!$A$3:$A$5001,"&gt;="&amp;$C$7,BD!$A$3:$A$5001,"&lt;="&amp;$B260,BD!$Y$3:$Y$5001,"&lt;&gt;"))))</f>
        <v/>
      </c>
      <c r="F260" s="43" t="str">
        <f>IF(OR($B260="",$A260&gt;$B$9,F$241=""),"",IF(COUNTIFS(BD!$B$3:$B$5001,F$241,BD!$A$3:$A$5001,"&gt;="&amp;$C$7,BD!$A$3:$A$5001,"&lt;="&amp;$B260,BD!$Y$3:$Y$5001,"&lt;&gt;")=0,"",SUMIFS(BD!$Y$3:$Y$5001,BD!$B$3:$B$5001,F$241,BD!$A$3:$A$5001,_xlfn.MAXIFS(BD!$A$3:$A$5001,BD!$B$3:$B$5001,F$241,BD!$A$3:$A$5001,"&gt;="&amp;$C$7,BD!$A$3:$A$5001,"&lt;="&amp;$B260,BD!$Y$3:$Y$5001,"&lt;&gt;"))))</f>
        <v/>
      </c>
      <c r="G260" s="43" t="str">
        <f>IF(OR($B260="",$A260&gt;$B$9,G$241=""),"",IF(COUNTIFS(BD!$B$3:$B$5001,G$241,BD!$A$3:$A$5001,"&gt;="&amp;$C$7,BD!$A$3:$A$5001,"&lt;="&amp;$B260,BD!$Y$3:$Y$5001,"&lt;&gt;")=0,"",SUMIFS(BD!$Y$3:$Y$5001,BD!$B$3:$B$5001,G$241,BD!$A$3:$A$5001,_xlfn.MAXIFS(BD!$A$3:$A$5001,BD!$B$3:$B$5001,G$241,BD!$A$3:$A$5001,"&gt;="&amp;$C$7,BD!$A$3:$A$5001,"&lt;="&amp;$B260,BD!$Y$3:$Y$5001,"&lt;&gt;"))))</f>
        <v/>
      </c>
      <c r="H260" s="43" t="str">
        <f>IF(OR($B260="",$A260&gt;$B$9,H$241=""),"",IF(COUNTIFS(BD!$B$3:$B$5001,H$241,BD!$A$3:$A$5001,"&gt;="&amp;$C$7,BD!$A$3:$A$5001,"&lt;="&amp;$B260,BD!$Y$3:$Y$5001,"&lt;&gt;")=0,"",SUMIFS(BD!$Y$3:$Y$5001,BD!$B$3:$B$5001,H$241,BD!$A$3:$A$5001,_xlfn.MAXIFS(BD!$A$3:$A$5001,BD!$B$3:$B$5001,H$241,BD!$A$3:$A$5001,"&gt;="&amp;$C$7,BD!$A$3:$A$5001,"&lt;="&amp;$B260,BD!$Y$3:$Y$5001,"&lt;&gt;"))))</f>
        <v/>
      </c>
      <c r="I260" s="43" t="str">
        <f>IF(OR($B260="",$A260&gt;$B$9,I$241=""),"",IF(COUNTIFS(BD!$B$3:$B$5001,I$241,BD!$A$3:$A$5001,"&gt;="&amp;$C$7,BD!$A$3:$A$5001,"&lt;="&amp;$B260,BD!$Y$3:$Y$5001,"&lt;&gt;")=0,"",SUMIFS(BD!$Y$3:$Y$5001,BD!$B$3:$B$5001,I$241,BD!$A$3:$A$5001,_xlfn.MAXIFS(BD!$A$3:$A$5001,BD!$B$3:$B$5001,I$241,BD!$A$3:$A$5001,"&gt;="&amp;$C$7,BD!$A$3:$A$5001,"&lt;="&amp;$B260,BD!$Y$3:$Y$5001,"&lt;&gt;"))))</f>
        <v/>
      </c>
      <c r="J260" s="43" t="str">
        <f>IF(OR($B260="",$A260&gt;$B$9,J$241=""),"",IF(COUNTIFS(BD!$B$3:$B$5001,J$241,BD!$A$3:$A$5001,"&gt;="&amp;$C$7,BD!$A$3:$A$5001,"&lt;="&amp;$B260,BD!$Y$3:$Y$5001,"&lt;&gt;")=0,"",SUMIFS(BD!$Y$3:$Y$5001,BD!$B$3:$B$5001,J$241,BD!$A$3:$A$5001,_xlfn.MAXIFS(BD!$A$3:$A$5001,BD!$B$3:$B$5001,J$241,BD!$A$3:$A$5001,"&gt;="&amp;$C$7,BD!$A$3:$A$5001,"&lt;="&amp;$B260,BD!$Y$3:$Y$5001,"&lt;&gt;"))))</f>
        <v/>
      </c>
      <c r="K260" s="43" t="str">
        <f>IF(OR($B260="",$A260&gt;$B$9,K$241=""),"",IF(COUNTIFS(BD!$B$3:$B$5001,K$241,BD!$A$3:$A$5001,"&gt;="&amp;$C$7,BD!$A$3:$A$5001,"&lt;="&amp;$B260,BD!$Y$3:$Y$5001,"&lt;&gt;")=0,"",SUMIFS(BD!$Y$3:$Y$5001,BD!$B$3:$B$5001,K$241,BD!$A$3:$A$5001,_xlfn.MAXIFS(BD!$A$3:$A$5001,BD!$B$3:$B$5001,K$241,BD!$A$3:$A$5001,"&gt;="&amp;$C$7,BD!$A$3:$A$5001,"&lt;="&amp;$B260,BD!$Y$3:$Y$5001,"&lt;&gt;"))))</f>
        <v/>
      </c>
      <c r="L260" s="43" t="str">
        <f>IF(OR($B260="",$A260&gt;$B$9,L$241=""),"",IF(COUNTIFS(BD!$B$3:$B$5001,L$241,BD!$A$3:$A$5001,"&gt;="&amp;$C$7,BD!$A$3:$A$5001,"&lt;="&amp;$B260,BD!$Y$3:$Y$5001,"&lt;&gt;")=0,"",SUMIFS(BD!$Y$3:$Y$5001,BD!$B$3:$B$5001,L$241,BD!$A$3:$A$5001,_xlfn.MAXIFS(BD!$A$3:$A$5001,BD!$B$3:$B$5001,L$241,BD!$A$3:$A$5001,"&gt;="&amp;$C$7,BD!$A$3:$A$5001,"&lt;="&amp;$B260,BD!$Y$3:$Y$5001,"&lt;&gt;"))))</f>
        <v/>
      </c>
      <c r="M260" s="43" t="str">
        <f>IF(OR($B260="",$A260&gt;$B$9,M$241=""),"",IF(COUNTIFS(BD!$B$3:$B$5001,M$241,BD!$A$3:$A$5001,"&gt;="&amp;$C$7,BD!$A$3:$A$5001,"&lt;="&amp;$B260,BD!$Y$3:$Y$5001,"&lt;&gt;")=0,"",SUMIFS(BD!$Y$3:$Y$5001,BD!$B$3:$B$5001,M$241,BD!$A$3:$A$5001,_xlfn.MAXIFS(BD!$A$3:$A$5001,BD!$B$3:$B$5001,M$241,BD!$A$3:$A$5001,"&gt;="&amp;$C$7,BD!$A$3:$A$5001,"&lt;="&amp;$B260,BD!$Y$3:$Y$5001,"&lt;&gt;"))))</f>
        <v/>
      </c>
      <c r="N260" s="43" t="str">
        <f>IF(OR($B260="",$A260&gt;$B$9,N$241=""),"",IF(COUNTIFS(BD!$B$3:$B$5001,N$241,BD!$A$3:$A$5001,"&gt;="&amp;$C$7,BD!$A$3:$A$5001,"&lt;="&amp;$B260,BD!$Y$3:$Y$5001,"&lt;&gt;")=0,"",SUMIFS(BD!$Y$3:$Y$5001,BD!$B$3:$B$5001,N$241,BD!$A$3:$A$5001,_xlfn.MAXIFS(BD!$A$3:$A$5001,BD!$B$3:$B$5001,N$241,BD!$A$3:$A$5001,"&gt;="&amp;$C$7,BD!$A$3:$A$5001,"&lt;="&amp;$B260,BD!$Y$3:$Y$5001,"&lt;&gt;"))))</f>
        <v/>
      </c>
      <c r="O260" s="43" t="str">
        <f>IF(OR($B260="",$A260&gt;$B$9,O$241=""),"",IF(COUNTIFS(BD!$B$3:$B$5001,O$241,BD!$A$3:$A$5001,"&gt;="&amp;$C$7,BD!$A$3:$A$5001,"&lt;="&amp;$B260,BD!$Y$3:$Y$5001,"&lt;&gt;")=0,"",SUMIFS(BD!$Y$3:$Y$5001,BD!$B$3:$B$5001,O$241,BD!$A$3:$A$5001,_xlfn.MAXIFS(BD!$A$3:$A$5001,BD!$B$3:$B$5001,O$241,BD!$A$3:$A$5001,"&gt;="&amp;$C$7,BD!$A$3:$A$5001,"&lt;="&amp;$B260,BD!$Y$3:$Y$5001,"&lt;&gt;"))))</f>
        <v/>
      </c>
      <c r="P260" s="43" t="str">
        <f>IF(OR($B260="",$A260&gt;$B$9,P$241=""),"",IF(COUNTIFS(BD!$B$3:$B$5001,P$241,BD!$A$3:$A$5001,"&gt;="&amp;$C$7,BD!$A$3:$A$5001,"&lt;="&amp;$B260,BD!$Y$3:$Y$5001,"&lt;&gt;")=0,"",SUMIFS(BD!$Y$3:$Y$5001,BD!$B$3:$B$5001,P$241,BD!$A$3:$A$5001,_xlfn.MAXIFS(BD!$A$3:$A$5001,BD!$B$3:$B$5001,P$241,BD!$A$3:$A$5001,"&gt;="&amp;$C$7,BD!$A$3:$A$5001,"&lt;="&amp;$B260,BD!$Y$3:$Y$5001,"&lt;&gt;"))))</f>
        <v/>
      </c>
      <c r="Q260" s="43" t="str">
        <f>IF(OR($B260="",$A260&gt;$B$9,Q$241=""),"",IF(COUNTIFS(BD!$B$3:$B$5001,Q$241,BD!$A$3:$A$5001,"&gt;="&amp;$C$7,BD!$A$3:$A$5001,"&lt;="&amp;$B260,BD!$Y$3:$Y$5001,"&lt;&gt;")=0,"",SUMIFS(BD!$Y$3:$Y$5001,BD!$B$3:$B$5001,Q$241,BD!$A$3:$A$5001,_xlfn.MAXIFS(BD!$A$3:$A$5001,BD!$B$3:$B$5001,Q$241,BD!$A$3:$A$5001,"&gt;="&amp;$C$7,BD!$A$3:$A$5001,"&lt;="&amp;$B260,BD!$Y$3:$Y$5001,"&lt;&gt;"))))</f>
        <v/>
      </c>
      <c r="R260" s="43" t="str">
        <f>IF(OR($B260="",$A260&gt;$B$9,R$241=""),"",IF(COUNTIFS(BD!$B$3:$B$5001,R$241,BD!$A$3:$A$5001,"&gt;="&amp;$C$7,BD!$A$3:$A$5001,"&lt;="&amp;$B260,BD!$Y$3:$Y$5001,"&lt;&gt;")=0,"",SUMIFS(BD!$Y$3:$Y$5001,BD!$B$3:$B$5001,R$241,BD!$A$3:$A$5001,_xlfn.MAXIFS(BD!$A$3:$A$5001,BD!$B$3:$B$5001,R$241,BD!$A$3:$A$5001,"&gt;="&amp;$C$7,BD!$A$3:$A$5001,"&lt;="&amp;$B260,BD!$Y$3:$Y$5001,"&lt;&gt;"))))</f>
        <v/>
      </c>
      <c r="S260" s="43" t="str">
        <f>IF(OR($B260="",$A260&gt;$B$9,S$241=""),"",IF(COUNTIFS(BD!$B$3:$B$5001,S$241,BD!$A$3:$A$5001,"&gt;="&amp;$C$7,BD!$A$3:$A$5001,"&lt;="&amp;$B260,BD!$Y$3:$Y$5001,"&lt;&gt;")=0,"",SUMIFS(BD!$Y$3:$Y$5001,BD!$B$3:$B$5001,S$241,BD!$A$3:$A$5001,_xlfn.MAXIFS(BD!$A$3:$A$5001,BD!$B$3:$B$5001,S$241,BD!$A$3:$A$5001,"&gt;="&amp;$C$7,BD!$A$3:$A$5001,"&lt;="&amp;$B260,BD!$Y$3:$Y$5001,"&lt;&gt;"))))</f>
        <v/>
      </c>
      <c r="T260" s="43" t="str">
        <f>IF(OR($B260="",$A260&gt;$B$9,T$241=""),"",IF(COUNTIFS(BD!$B$3:$B$5001,T$241,BD!$A$3:$A$5001,"&gt;="&amp;$C$7,BD!$A$3:$A$5001,"&lt;="&amp;$B260,BD!$Y$3:$Y$5001,"&lt;&gt;")=0,"",SUMIFS(BD!$Y$3:$Y$5001,BD!$B$3:$B$5001,T$241,BD!$A$3:$A$5001,_xlfn.MAXIFS(BD!$A$3:$A$5001,BD!$B$3:$B$5001,T$241,BD!$A$3:$A$5001,"&gt;="&amp;$C$7,BD!$A$3:$A$5001,"&lt;="&amp;$B260,BD!$Y$3:$Y$5001,"&lt;&gt;"))))</f>
        <v/>
      </c>
      <c r="U260" s="43" t="str">
        <f>IF(OR($B260="",$A260&gt;$B$9,U$241=""),"",IF(COUNTIFS(BD!$B$3:$B$5001,U$241,BD!$A$3:$A$5001,"&gt;="&amp;$C$7,BD!$A$3:$A$5001,"&lt;="&amp;$B260,BD!$Y$3:$Y$5001,"&lt;&gt;")=0,"",SUMIFS(BD!$Y$3:$Y$5001,BD!$B$3:$B$5001,U$241,BD!$A$3:$A$5001,_xlfn.MAXIFS(BD!$A$3:$A$5001,BD!$B$3:$B$5001,U$241,BD!$A$3:$A$5001,"&gt;="&amp;$C$7,BD!$A$3:$A$5001,"&lt;="&amp;$B260,BD!$Y$3:$Y$5001,"&lt;&gt;"))))</f>
        <v/>
      </c>
      <c r="V260" s="43" t="str">
        <f>IF(OR($B260="",$A260&gt;$B$9,V$241=""),"",IF(COUNTIFS(BD!$B$3:$B$5001,V$241,BD!$A$3:$A$5001,"&gt;="&amp;$C$7,BD!$A$3:$A$5001,"&lt;="&amp;$B260,BD!$Y$3:$Y$5001,"&lt;&gt;")=0,"",SUMIFS(BD!$Y$3:$Y$5001,BD!$B$3:$B$5001,V$241,BD!$A$3:$A$5001,_xlfn.MAXIFS(BD!$A$3:$A$5001,BD!$B$3:$B$5001,V$241,BD!$A$3:$A$5001,"&gt;="&amp;$C$7,BD!$A$3:$A$5001,"&lt;="&amp;$B260,BD!$Y$3:$Y$5001,"&lt;&gt;"))))</f>
        <v/>
      </c>
    </row>
    <row r="261">
      <c r="A261" s="38">
        <v>20</v>
      </c>
      <c r="B261" s="42">
        <f>$B$31</f>
        <v>46315</v>
      </c>
      <c r="C261" s="43" t="str">
        <f>IF(OR($B261="",$A261&gt;$B$9,C$241=""),"",IF(COUNTIFS(BD!$B$3:$B$5001,C$241,BD!$A$3:$A$5001,"&gt;="&amp;$C$7,BD!$A$3:$A$5001,"&lt;="&amp;$B261,BD!$Y$3:$Y$5001,"&lt;&gt;")=0,"",SUMIFS(BD!$Y$3:$Y$5001,BD!$B$3:$B$5001,C$241,BD!$A$3:$A$5001,_xlfn.MAXIFS(BD!$A$3:$A$5001,BD!$B$3:$B$5001,C$241,BD!$A$3:$A$5001,"&gt;="&amp;$C$7,BD!$A$3:$A$5001,"&lt;="&amp;$B261,BD!$Y$3:$Y$5001,"&lt;&gt;"))))</f>
        <v/>
      </c>
      <c r="D261" s="43" t="str">
        <f>IF(OR($B261="",$A261&gt;$B$9,D$241=""),"",IF(COUNTIFS(BD!$B$3:$B$5001,D$241,BD!$A$3:$A$5001,"&gt;="&amp;$C$7,BD!$A$3:$A$5001,"&lt;="&amp;$B261,BD!$Y$3:$Y$5001,"&lt;&gt;")=0,"",SUMIFS(BD!$Y$3:$Y$5001,BD!$B$3:$B$5001,D$241,BD!$A$3:$A$5001,_xlfn.MAXIFS(BD!$A$3:$A$5001,BD!$B$3:$B$5001,D$241,BD!$A$3:$A$5001,"&gt;="&amp;$C$7,BD!$A$3:$A$5001,"&lt;="&amp;$B261,BD!$Y$3:$Y$5001,"&lt;&gt;"))))</f>
        <v/>
      </c>
      <c r="E261" s="43" t="str">
        <f>IF(OR($B261="",$A261&gt;$B$9,E$241=""),"",IF(COUNTIFS(BD!$B$3:$B$5001,E$241,BD!$A$3:$A$5001,"&gt;="&amp;$C$7,BD!$A$3:$A$5001,"&lt;="&amp;$B261,BD!$Y$3:$Y$5001,"&lt;&gt;")=0,"",SUMIFS(BD!$Y$3:$Y$5001,BD!$B$3:$B$5001,E$241,BD!$A$3:$A$5001,_xlfn.MAXIFS(BD!$A$3:$A$5001,BD!$B$3:$B$5001,E$241,BD!$A$3:$A$5001,"&gt;="&amp;$C$7,BD!$A$3:$A$5001,"&lt;="&amp;$B261,BD!$Y$3:$Y$5001,"&lt;&gt;"))))</f>
        <v/>
      </c>
      <c r="F261" s="43" t="str">
        <f>IF(OR($B261="",$A261&gt;$B$9,F$241=""),"",IF(COUNTIFS(BD!$B$3:$B$5001,F$241,BD!$A$3:$A$5001,"&gt;="&amp;$C$7,BD!$A$3:$A$5001,"&lt;="&amp;$B261,BD!$Y$3:$Y$5001,"&lt;&gt;")=0,"",SUMIFS(BD!$Y$3:$Y$5001,BD!$B$3:$B$5001,F$241,BD!$A$3:$A$5001,_xlfn.MAXIFS(BD!$A$3:$A$5001,BD!$B$3:$B$5001,F$241,BD!$A$3:$A$5001,"&gt;="&amp;$C$7,BD!$A$3:$A$5001,"&lt;="&amp;$B261,BD!$Y$3:$Y$5001,"&lt;&gt;"))))</f>
        <v/>
      </c>
      <c r="G261" s="43" t="str">
        <f>IF(OR($B261="",$A261&gt;$B$9,G$241=""),"",IF(COUNTIFS(BD!$B$3:$B$5001,G$241,BD!$A$3:$A$5001,"&gt;="&amp;$C$7,BD!$A$3:$A$5001,"&lt;="&amp;$B261,BD!$Y$3:$Y$5001,"&lt;&gt;")=0,"",SUMIFS(BD!$Y$3:$Y$5001,BD!$B$3:$B$5001,G$241,BD!$A$3:$A$5001,_xlfn.MAXIFS(BD!$A$3:$A$5001,BD!$B$3:$B$5001,G$241,BD!$A$3:$A$5001,"&gt;="&amp;$C$7,BD!$A$3:$A$5001,"&lt;="&amp;$B261,BD!$Y$3:$Y$5001,"&lt;&gt;"))))</f>
        <v/>
      </c>
      <c r="H261" s="43" t="str">
        <f>IF(OR($B261="",$A261&gt;$B$9,H$241=""),"",IF(COUNTIFS(BD!$B$3:$B$5001,H$241,BD!$A$3:$A$5001,"&gt;="&amp;$C$7,BD!$A$3:$A$5001,"&lt;="&amp;$B261,BD!$Y$3:$Y$5001,"&lt;&gt;")=0,"",SUMIFS(BD!$Y$3:$Y$5001,BD!$B$3:$B$5001,H$241,BD!$A$3:$A$5001,_xlfn.MAXIFS(BD!$A$3:$A$5001,BD!$B$3:$B$5001,H$241,BD!$A$3:$A$5001,"&gt;="&amp;$C$7,BD!$A$3:$A$5001,"&lt;="&amp;$B261,BD!$Y$3:$Y$5001,"&lt;&gt;"))))</f>
        <v/>
      </c>
      <c r="I261" s="43" t="str">
        <f>IF(OR($B261="",$A261&gt;$B$9,I$241=""),"",IF(COUNTIFS(BD!$B$3:$B$5001,I$241,BD!$A$3:$A$5001,"&gt;="&amp;$C$7,BD!$A$3:$A$5001,"&lt;="&amp;$B261,BD!$Y$3:$Y$5001,"&lt;&gt;")=0,"",SUMIFS(BD!$Y$3:$Y$5001,BD!$B$3:$B$5001,I$241,BD!$A$3:$A$5001,_xlfn.MAXIFS(BD!$A$3:$A$5001,BD!$B$3:$B$5001,I$241,BD!$A$3:$A$5001,"&gt;="&amp;$C$7,BD!$A$3:$A$5001,"&lt;="&amp;$B261,BD!$Y$3:$Y$5001,"&lt;&gt;"))))</f>
        <v/>
      </c>
      <c r="J261" s="43" t="str">
        <f>IF(OR($B261="",$A261&gt;$B$9,J$241=""),"",IF(COUNTIFS(BD!$B$3:$B$5001,J$241,BD!$A$3:$A$5001,"&gt;="&amp;$C$7,BD!$A$3:$A$5001,"&lt;="&amp;$B261,BD!$Y$3:$Y$5001,"&lt;&gt;")=0,"",SUMIFS(BD!$Y$3:$Y$5001,BD!$B$3:$B$5001,J$241,BD!$A$3:$A$5001,_xlfn.MAXIFS(BD!$A$3:$A$5001,BD!$B$3:$B$5001,J$241,BD!$A$3:$A$5001,"&gt;="&amp;$C$7,BD!$A$3:$A$5001,"&lt;="&amp;$B261,BD!$Y$3:$Y$5001,"&lt;&gt;"))))</f>
        <v/>
      </c>
      <c r="K261" s="43" t="str">
        <f>IF(OR($B261="",$A261&gt;$B$9,K$241=""),"",IF(COUNTIFS(BD!$B$3:$B$5001,K$241,BD!$A$3:$A$5001,"&gt;="&amp;$C$7,BD!$A$3:$A$5001,"&lt;="&amp;$B261,BD!$Y$3:$Y$5001,"&lt;&gt;")=0,"",SUMIFS(BD!$Y$3:$Y$5001,BD!$B$3:$B$5001,K$241,BD!$A$3:$A$5001,_xlfn.MAXIFS(BD!$A$3:$A$5001,BD!$B$3:$B$5001,K$241,BD!$A$3:$A$5001,"&gt;="&amp;$C$7,BD!$A$3:$A$5001,"&lt;="&amp;$B261,BD!$Y$3:$Y$5001,"&lt;&gt;"))))</f>
        <v/>
      </c>
      <c r="L261" s="43" t="str">
        <f>IF(OR($B261="",$A261&gt;$B$9,L$241=""),"",IF(COUNTIFS(BD!$B$3:$B$5001,L$241,BD!$A$3:$A$5001,"&gt;="&amp;$C$7,BD!$A$3:$A$5001,"&lt;="&amp;$B261,BD!$Y$3:$Y$5001,"&lt;&gt;")=0,"",SUMIFS(BD!$Y$3:$Y$5001,BD!$B$3:$B$5001,L$241,BD!$A$3:$A$5001,_xlfn.MAXIFS(BD!$A$3:$A$5001,BD!$B$3:$B$5001,L$241,BD!$A$3:$A$5001,"&gt;="&amp;$C$7,BD!$A$3:$A$5001,"&lt;="&amp;$B261,BD!$Y$3:$Y$5001,"&lt;&gt;"))))</f>
        <v/>
      </c>
      <c r="M261" s="43" t="str">
        <f>IF(OR($B261="",$A261&gt;$B$9,M$241=""),"",IF(COUNTIFS(BD!$B$3:$B$5001,M$241,BD!$A$3:$A$5001,"&gt;="&amp;$C$7,BD!$A$3:$A$5001,"&lt;="&amp;$B261,BD!$Y$3:$Y$5001,"&lt;&gt;")=0,"",SUMIFS(BD!$Y$3:$Y$5001,BD!$B$3:$B$5001,M$241,BD!$A$3:$A$5001,_xlfn.MAXIFS(BD!$A$3:$A$5001,BD!$B$3:$B$5001,M$241,BD!$A$3:$A$5001,"&gt;="&amp;$C$7,BD!$A$3:$A$5001,"&lt;="&amp;$B261,BD!$Y$3:$Y$5001,"&lt;&gt;"))))</f>
        <v/>
      </c>
      <c r="N261" s="43" t="str">
        <f>IF(OR($B261="",$A261&gt;$B$9,N$241=""),"",IF(COUNTIFS(BD!$B$3:$B$5001,N$241,BD!$A$3:$A$5001,"&gt;="&amp;$C$7,BD!$A$3:$A$5001,"&lt;="&amp;$B261,BD!$Y$3:$Y$5001,"&lt;&gt;")=0,"",SUMIFS(BD!$Y$3:$Y$5001,BD!$B$3:$B$5001,N$241,BD!$A$3:$A$5001,_xlfn.MAXIFS(BD!$A$3:$A$5001,BD!$B$3:$B$5001,N$241,BD!$A$3:$A$5001,"&gt;="&amp;$C$7,BD!$A$3:$A$5001,"&lt;="&amp;$B261,BD!$Y$3:$Y$5001,"&lt;&gt;"))))</f>
        <v/>
      </c>
      <c r="O261" s="43" t="str">
        <f>IF(OR($B261="",$A261&gt;$B$9,O$241=""),"",IF(COUNTIFS(BD!$B$3:$B$5001,O$241,BD!$A$3:$A$5001,"&gt;="&amp;$C$7,BD!$A$3:$A$5001,"&lt;="&amp;$B261,BD!$Y$3:$Y$5001,"&lt;&gt;")=0,"",SUMIFS(BD!$Y$3:$Y$5001,BD!$B$3:$B$5001,O$241,BD!$A$3:$A$5001,_xlfn.MAXIFS(BD!$A$3:$A$5001,BD!$B$3:$B$5001,O$241,BD!$A$3:$A$5001,"&gt;="&amp;$C$7,BD!$A$3:$A$5001,"&lt;="&amp;$B261,BD!$Y$3:$Y$5001,"&lt;&gt;"))))</f>
        <v/>
      </c>
      <c r="P261" s="43" t="str">
        <f>IF(OR($B261="",$A261&gt;$B$9,P$241=""),"",IF(COUNTIFS(BD!$B$3:$B$5001,P$241,BD!$A$3:$A$5001,"&gt;="&amp;$C$7,BD!$A$3:$A$5001,"&lt;="&amp;$B261,BD!$Y$3:$Y$5001,"&lt;&gt;")=0,"",SUMIFS(BD!$Y$3:$Y$5001,BD!$B$3:$B$5001,P$241,BD!$A$3:$A$5001,_xlfn.MAXIFS(BD!$A$3:$A$5001,BD!$B$3:$B$5001,P$241,BD!$A$3:$A$5001,"&gt;="&amp;$C$7,BD!$A$3:$A$5001,"&lt;="&amp;$B261,BD!$Y$3:$Y$5001,"&lt;&gt;"))))</f>
        <v/>
      </c>
      <c r="Q261" s="43" t="str">
        <f>IF(OR($B261="",$A261&gt;$B$9,Q$241=""),"",IF(COUNTIFS(BD!$B$3:$B$5001,Q$241,BD!$A$3:$A$5001,"&gt;="&amp;$C$7,BD!$A$3:$A$5001,"&lt;="&amp;$B261,BD!$Y$3:$Y$5001,"&lt;&gt;")=0,"",SUMIFS(BD!$Y$3:$Y$5001,BD!$B$3:$B$5001,Q$241,BD!$A$3:$A$5001,_xlfn.MAXIFS(BD!$A$3:$A$5001,BD!$B$3:$B$5001,Q$241,BD!$A$3:$A$5001,"&gt;="&amp;$C$7,BD!$A$3:$A$5001,"&lt;="&amp;$B261,BD!$Y$3:$Y$5001,"&lt;&gt;"))))</f>
        <v/>
      </c>
      <c r="R261" s="43" t="str">
        <f>IF(OR($B261="",$A261&gt;$B$9,R$241=""),"",IF(COUNTIFS(BD!$B$3:$B$5001,R$241,BD!$A$3:$A$5001,"&gt;="&amp;$C$7,BD!$A$3:$A$5001,"&lt;="&amp;$B261,BD!$Y$3:$Y$5001,"&lt;&gt;")=0,"",SUMIFS(BD!$Y$3:$Y$5001,BD!$B$3:$B$5001,R$241,BD!$A$3:$A$5001,_xlfn.MAXIFS(BD!$A$3:$A$5001,BD!$B$3:$B$5001,R$241,BD!$A$3:$A$5001,"&gt;="&amp;$C$7,BD!$A$3:$A$5001,"&lt;="&amp;$B261,BD!$Y$3:$Y$5001,"&lt;&gt;"))))</f>
        <v/>
      </c>
      <c r="S261" s="43" t="str">
        <f>IF(OR($B261="",$A261&gt;$B$9,S$241=""),"",IF(COUNTIFS(BD!$B$3:$B$5001,S$241,BD!$A$3:$A$5001,"&gt;="&amp;$C$7,BD!$A$3:$A$5001,"&lt;="&amp;$B261,BD!$Y$3:$Y$5001,"&lt;&gt;")=0,"",SUMIFS(BD!$Y$3:$Y$5001,BD!$B$3:$B$5001,S$241,BD!$A$3:$A$5001,_xlfn.MAXIFS(BD!$A$3:$A$5001,BD!$B$3:$B$5001,S$241,BD!$A$3:$A$5001,"&gt;="&amp;$C$7,BD!$A$3:$A$5001,"&lt;="&amp;$B261,BD!$Y$3:$Y$5001,"&lt;&gt;"))))</f>
        <v/>
      </c>
      <c r="T261" s="43" t="str">
        <f>IF(OR($B261="",$A261&gt;$B$9,T$241=""),"",IF(COUNTIFS(BD!$B$3:$B$5001,T$241,BD!$A$3:$A$5001,"&gt;="&amp;$C$7,BD!$A$3:$A$5001,"&lt;="&amp;$B261,BD!$Y$3:$Y$5001,"&lt;&gt;")=0,"",SUMIFS(BD!$Y$3:$Y$5001,BD!$B$3:$B$5001,T$241,BD!$A$3:$A$5001,_xlfn.MAXIFS(BD!$A$3:$A$5001,BD!$B$3:$B$5001,T$241,BD!$A$3:$A$5001,"&gt;="&amp;$C$7,BD!$A$3:$A$5001,"&lt;="&amp;$B261,BD!$Y$3:$Y$5001,"&lt;&gt;"))))</f>
        <v/>
      </c>
      <c r="U261" s="43" t="str">
        <f>IF(OR($B261="",$A261&gt;$B$9,U$241=""),"",IF(COUNTIFS(BD!$B$3:$B$5001,U$241,BD!$A$3:$A$5001,"&gt;="&amp;$C$7,BD!$A$3:$A$5001,"&lt;="&amp;$B261,BD!$Y$3:$Y$5001,"&lt;&gt;")=0,"",SUMIFS(BD!$Y$3:$Y$5001,BD!$B$3:$B$5001,U$241,BD!$A$3:$A$5001,_xlfn.MAXIFS(BD!$A$3:$A$5001,BD!$B$3:$B$5001,U$241,BD!$A$3:$A$5001,"&gt;="&amp;$C$7,BD!$A$3:$A$5001,"&lt;="&amp;$B261,BD!$Y$3:$Y$5001,"&lt;&gt;"))))</f>
        <v/>
      </c>
      <c r="V261" s="43" t="str">
        <f>IF(OR($B261="",$A261&gt;$B$9,V$241=""),"",IF(COUNTIFS(BD!$B$3:$B$5001,V$241,BD!$A$3:$A$5001,"&gt;="&amp;$C$7,BD!$A$3:$A$5001,"&lt;="&amp;$B261,BD!$Y$3:$Y$5001,"&lt;&gt;")=0,"",SUMIFS(BD!$Y$3:$Y$5001,BD!$B$3:$B$5001,V$241,BD!$A$3:$A$5001,_xlfn.MAXIFS(BD!$A$3:$A$5001,BD!$B$3:$B$5001,V$241,BD!$A$3:$A$5001,"&gt;="&amp;$C$7,BD!$A$3:$A$5001,"&lt;="&amp;$B261,BD!$Y$3:$Y$5001,"&lt;&gt;"))))</f>
        <v/>
      </c>
    </row>
    <row r="262">
      <c r="A262" s="38">
        <v>21</v>
      </c>
      <c r="B262" s="42">
        <f>$B$32</f>
        <v>46316</v>
      </c>
      <c r="C262" s="43" t="str">
        <f>IF(OR($B262="",$A262&gt;$B$9,C$241=""),"",IF(COUNTIFS(BD!$B$3:$B$5001,C$241,BD!$A$3:$A$5001,"&gt;="&amp;$C$7,BD!$A$3:$A$5001,"&lt;="&amp;$B262,BD!$Y$3:$Y$5001,"&lt;&gt;")=0,"",SUMIFS(BD!$Y$3:$Y$5001,BD!$B$3:$B$5001,C$241,BD!$A$3:$A$5001,_xlfn.MAXIFS(BD!$A$3:$A$5001,BD!$B$3:$B$5001,C$241,BD!$A$3:$A$5001,"&gt;="&amp;$C$7,BD!$A$3:$A$5001,"&lt;="&amp;$B262,BD!$Y$3:$Y$5001,"&lt;&gt;"))))</f>
        <v/>
      </c>
      <c r="D262" s="43" t="str">
        <f>IF(OR($B262="",$A262&gt;$B$9,D$241=""),"",IF(COUNTIFS(BD!$B$3:$B$5001,D$241,BD!$A$3:$A$5001,"&gt;="&amp;$C$7,BD!$A$3:$A$5001,"&lt;="&amp;$B262,BD!$Y$3:$Y$5001,"&lt;&gt;")=0,"",SUMIFS(BD!$Y$3:$Y$5001,BD!$B$3:$B$5001,D$241,BD!$A$3:$A$5001,_xlfn.MAXIFS(BD!$A$3:$A$5001,BD!$B$3:$B$5001,D$241,BD!$A$3:$A$5001,"&gt;="&amp;$C$7,BD!$A$3:$A$5001,"&lt;="&amp;$B262,BD!$Y$3:$Y$5001,"&lt;&gt;"))))</f>
        <v/>
      </c>
      <c r="E262" s="43" t="str">
        <f>IF(OR($B262="",$A262&gt;$B$9,E$241=""),"",IF(COUNTIFS(BD!$B$3:$B$5001,E$241,BD!$A$3:$A$5001,"&gt;="&amp;$C$7,BD!$A$3:$A$5001,"&lt;="&amp;$B262,BD!$Y$3:$Y$5001,"&lt;&gt;")=0,"",SUMIFS(BD!$Y$3:$Y$5001,BD!$B$3:$B$5001,E$241,BD!$A$3:$A$5001,_xlfn.MAXIFS(BD!$A$3:$A$5001,BD!$B$3:$B$5001,E$241,BD!$A$3:$A$5001,"&gt;="&amp;$C$7,BD!$A$3:$A$5001,"&lt;="&amp;$B262,BD!$Y$3:$Y$5001,"&lt;&gt;"))))</f>
        <v/>
      </c>
      <c r="F262" s="43" t="str">
        <f>IF(OR($B262="",$A262&gt;$B$9,F$241=""),"",IF(COUNTIFS(BD!$B$3:$B$5001,F$241,BD!$A$3:$A$5001,"&gt;="&amp;$C$7,BD!$A$3:$A$5001,"&lt;="&amp;$B262,BD!$Y$3:$Y$5001,"&lt;&gt;")=0,"",SUMIFS(BD!$Y$3:$Y$5001,BD!$B$3:$B$5001,F$241,BD!$A$3:$A$5001,_xlfn.MAXIFS(BD!$A$3:$A$5001,BD!$B$3:$B$5001,F$241,BD!$A$3:$A$5001,"&gt;="&amp;$C$7,BD!$A$3:$A$5001,"&lt;="&amp;$B262,BD!$Y$3:$Y$5001,"&lt;&gt;"))))</f>
        <v/>
      </c>
      <c r="G262" s="43" t="str">
        <f>IF(OR($B262="",$A262&gt;$B$9,G$241=""),"",IF(COUNTIFS(BD!$B$3:$B$5001,G$241,BD!$A$3:$A$5001,"&gt;="&amp;$C$7,BD!$A$3:$A$5001,"&lt;="&amp;$B262,BD!$Y$3:$Y$5001,"&lt;&gt;")=0,"",SUMIFS(BD!$Y$3:$Y$5001,BD!$B$3:$B$5001,G$241,BD!$A$3:$A$5001,_xlfn.MAXIFS(BD!$A$3:$A$5001,BD!$B$3:$B$5001,G$241,BD!$A$3:$A$5001,"&gt;="&amp;$C$7,BD!$A$3:$A$5001,"&lt;="&amp;$B262,BD!$Y$3:$Y$5001,"&lt;&gt;"))))</f>
        <v/>
      </c>
      <c r="H262" s="43" t="str">
        <f>IF(OR($B262="",$A262&gt;$B$9,H$241=""),"",IF(COUNTIFS(BD!$B$3:$B$5001,H$241,BD!$A$3:$A$5001,"&gt;="&amp;$C$7,BD!$A$3:$A$5001,"&lt;="&amp;$B262,BD!$Y$3:$Y$5001,"&lt;&gt;")=0,"",SUMIFS(BD!$Y$3:$Y$5001,BD!$B$3:$B$5001,H$241,BD!$A$3:$A$5001,_xlfn.MAXIFS(BD!$A$3:$A$5001,BD!$B$3:$B$5001,H$241,BD!$A$3:$A$5001,"&gt;="&amp;$C$7,BD!$A$3:$A$5001,"&lt;="&amp;$B262,BD!$Y$3:$Y$5001,"&lt;&gt;"))))</f>
        <v/>
      </c>
      <c r="I262" s="43" t="str">
        <f>IF(OR($B262="",$A262&gt;$B$9,I$241=""),"",IF(COUNTIFS(BD!$B$3:$B$5001,I$241,BD!$A$3:$A$5001,"&gt;="&amp;$C$7,BD!$A$3:$A$5001,"&lt;="&amp;$B262,BD!$Y$3:$Y$5001,"&lt;&gt;")=0,"",SUMIFS(BD!$Y$3:$Y$5001,BD!$B$3:$B$5001,I$241,BD!$A$3:$A$5001,_xlfn.MAXIFS(BD!$A$3:$A$5001,BD!$B$3:$B$5001,I$241,BD!$A$3:$A$5001,"&gt;="&amp;$C$7,BD!$A$3:$A$5001,"&lt;="&amp;$B262,BD!$Y$3:$Y$5001,"&lt;&gt;"))))</f>
        <v/>
      </c>
      <c r="J262" s="43" t="str">
        <f>IF(OR($B262="",$A262&gt;$B$9,J$241=""),"",IF(COUNTIFS(BD!$B$3:$B$5001,J$241,BD!$A$3:$A$5001,"&gt;="&amp;$C$7,BD!$A$3:$A$5001,"&lt;="&amp;$B262,BD!$Y$3:$Y$5001,"&lt;&gt;")=0,"",SUMIFS(BD!$Y$3:$Y$5001,BD!$B$3:$B$5001,J$241,BD!$A$3:$A$5001,_xlfn.MAXIFS(BD!$A$3:$A$5001,BD!$B$3:$B$5001,J$241,BD!$A$3:$A$5001,"&gt;="&amp;$C$7,BD!$A$3:$A$5001,"&lt;="&amp;$B262,BD!$Y$3:$Y$5001,"&lt;&gt;"))))</f>
        <v/>
      </c>
      <c r="K262" s="43" t="str">
        <f>IF(OR($B262="",$A262&gt;$B$9,K$241=""),"",IF(COUNTIFS(BD!$B$3:$B$5001,K$241,BD!$A$3:$A$5001,"&gt;="&amp;$C$7,BD!$A$3:$A$5001,"&lt;="&amp;$B262,BD!$Y$3:$Y$5001,"&lt;&gt;")=0,"",SUMIFS(BD!$Y$3:$Y$5001,BD!$B$3:$B$5001,K$241,BD!$A$3:$A$5001,_xlfn.MAXIFS(BD!$A$3:$A$5001,BD!$B$3:$B$5001,K$241,BD!$A$3:$A$5001,"&gt;="&amp;$C$7,BD!$A$3:$A$5001,"&lt;="&amp;$B262,BD!$Y$3:$Y$5001,"&lt;&gt;"))))</f>
        <v/>
      </c>
      <c r="L262" s="43" t="str">
        <f>IF(OR($B262="",$A262&gt;$B$9,L$241=""),"",IF(COUNTIFS(BD!$B$3:$B$5001,L$241,BD!$A$3:$A$5001,"&gt;="&amp;$C$7,BD!$A$3:$A$5001,"&lt;="&amp;$B262,BD!$Y$3:$Y$5001,"&lt;&gt;")=0,"",SUMIFS(BD!$Y$3:$Y$5001,BD!$B$3:$B$5001,L$241,BD!$A$3:$A$5001,_xlfn.MAXIFS(BD!$A$3:$A$5001,BD!$B$3:$B$5001,L$241,BD!$A$3:$A$5001,"&gt;="&amp;$C$7,BD!$A$3:$A$5001,"&lt;="&amp;$B262,BD!$Y$3:$Y$5001,"&lt;&gt;"))))</f>
        <v/>
      </c>
      <c r="M262" s="43" t="str">
        <f>IF(OR($B262="",$A262&gt;$B$9,M$241=""),"",IF(COUNTIFS(BD!$B$3:$B$5001,M$241,BD!$A$3:$A$5001,"&gt;="&amp;$C$7,BD!$A$3:$A$5001,"&lt;="&amp;$B262,BD!$Y$3:$Y$5001,"&lt;&gt;")=0,"",SUMIFS(BD!$Y$3:$Y$5001,BD!$B$3:$B$5001,M$241,BD!$A$3:$A$5001,_xlfn.MAXIFS(BD!$A$3:$A$5001,BD!$B$3:$B$5001,M$241,BD!$A$3:$A$5001,"&gt;="&amp;$C$7,BD!$A$3:$A$5001,"&lt;="&amp;$B262,BD!$Y$3:$Y$5001,"&lt;&gt;"))))</f>
        <v/>
      </c>
      <c r="N262" s="43" t="str">
        <f>IF(OR($B262="",$A262&gt;$B$9,N$241=""),"",IF(COUNTIFS(BD!$B$3:$B$5001,N$241,BD!$A$3:$A$5001,"&gt;="&amp;$C$7,BD!$A$3:$A$5001,"&lt;="&amp;$B262,BD!$Y$3:$Y$5001,"&lt;&gt;")=0,"",SUMIFS(BD!$Y$3:$Y$5001,BD!$B$3:$B$5001,N$241,BD!$A$3:$A$5001,_xlfn.MAXIFS(BD!$A$3:$A$5001,BD!$B$3:$B$5001,N$241,BD!$A$3:$A$5001,"&gt;="&amp;$C$7,BD!$A$3:$A$5001,"&lt;="&amp;$B262,BD!$Y$3:$Y$5001,"&lt;&gt;"))))</f>
        <v/>
      </c>
      <c r="O262" s="43" t="str">
        <f>IF(OR($B262="",$A262&gt;$B$9,O$241=""),"",IF(COUNTIFS(BD!$B$3:$B$5001,O$241,BD!$A$3:$A$5001,"&gt;="&amp;$C$7,BD!$A$3:$A$5001,"&lt;="&amp;$B262,BD!$Y$3:$Y$5001,"&lt;&gt;")=0,"",SUMIFS(BD!$Y$3:$Y$5001,BD!$B$3:$B$5001,O$241,BD!$A$3:$A$5001,_xlfn.MAXIFS(BD!$A$3:$A$5001,BD!$B$3:$B$5001,O$241,BD!$A$3:$A$5001,"&gt;="&amp;$C$7,BD!$A$3:$A$5001,"&lt;="&amp;$B262,BD!$Y$3:$Y$5001,"&lt;&gt;"))))</f>
        <v/>
      </c>
      <c r="P262" s="43" t="str">
        <f>IF(OR($B262="",$A262&gt;$B$9,P$241=""),"",IF(COUNTIFS(BD!$B$3:$B$5001,P$241,BD!$A$3:$A$5001,"&gt;="&amp;$C$7,BD!$A$3:$A$5001,"&lt;="&amp;$B262,BD!$Y$3:$Y$5001,"&lt;&gt;")=0,"",SUMIFS(BD!$Y$3:$Y$5001,BD!$B$3:$B$5001,P$241,BD!$A$3:$A$5001,_xlfn.MAXIFS(BD!$A$3:$A$5001,BD!$B$3:$B$5001,P$241,BD!$A$3:$A$5001,"&gt;="&amp;$C$7,BD!$A$3:$A$5001,"&lt;="&amp;$B262,BD!$Y$3:$Y$5001,"&lt;&gt;"))))</f>
        <v/>
      </c>
      <c r="Q262" s="43" t="str">
        <f>IF(OR($B262="",$A262&gt;$B$9,Q$241=""),"",IF(COUNTIFS(BD!$B$3:$B$5001,Q$241,BD!$A$3:$A$5001,"&gt;="&amp;$C$7,BD!$A$3:$A$5001,"&lt;="&amp;$B262,BD!$Y$3:$Y$5001,"&lt;&gt;")=0,"",SUMIFS(BD!$Y$3:$Y$5001,BD!$B$3:$B$5001,Q$241,BD!$A$3:$A$5001,_xlfn.MAXIFS(BD!$A$3:$A$5001,BD!$B$3:$B$5001,Q$241,BD!$A$3:$A$5001,"&gt;="&amp;$C$7,BD!$A$3:$A$5001,"&lt;="&amp;$B262,BD!$Y$3:$Y$5001,"&lt;&gt;"))))</f>
        <v/>
      </c>
      <c r="R262" s="43" t="str">
        <f>IF(OR($B262="",$A262&gt;$B$9,R$241=""),"",IF(COUNTIFS(BD!$B$3:$B$5001,R$241,BD!$A$3:$A$5001,"&gt;="&amp;$C$7,BD!$A$3:$A$5001,"&lt;="&amp;$B262,BD!$Y$3:$Y$5001,"&lt;&gt;")=0,"",SUMIFS(BD!$Y$3:$Y$5001,BD!$B$3:$B$5001,R$241,BD!$A$3:$A$5001,_xlfn.MAXIFS(BD!$A$3:$A$5001,BD!$B$3:$B$5001,R$241,BD!$A$3:$A$5001,"&gt;="&amp;$C$7,BD!$A$3:$A$5001,"&lt;="&amp;$B262,BD!$Y$3:$Y$5001,"&lt;&gt;"))))</f>
        <v/>
      </c>
      <c r="S262" s="43" t="str">
        <f>IF(OR($B262="",$A262&gt;$B$9,S$241=""),"",IF(COUNTIFS(BD!$B$3:$B$5001,S$241,BD!$A$3:$A$5001,"&gt;="&amp;$C$7,BD!$A$3:$A$5001,"&lt;="&amp;$B262,BD!$Y$3:$Y$5001,"&lt;&gt;")=0,"",SUMIFS(BD!$Y$3:$Y$5001,BD!$B$3:$B$5001,S$241,BD!$A$3:$A$5001,_xlfn.MAXIFS(BD!$A$3:$A$5001,BD!$B$3:$B$5001,S$241,BD!$A$3:$A$5001,"&gt;="&amp;$C$7,BD!$A$3:$A$5001,"&lt;="&amp;$B262,BD!$Y$3:$Y$5001,"&lt;&gt;"))))</f>
        <v/>
      </c>
      <c r="T262" s="43" t="str">
        <f>IF(OR($B262="",$A262&gt;$B$9,T$241=""),"",IF(COUNTIFS(BD!$B$3:$B$5001,T$241,BD!$A$3:$A$5001,"&gt;="&amp;$C$7,BD!$A$3:$A$5001,"&lt;="&amp;$B262,BD!$Y$3:$Y$5001,"&lt;&gt;")=0,"",SUMIFS(BD!$Y$3:$Y$5001,BD!$B$3:$B$5001,T$241,BD!$A$3:$A$5001,_xlfn.MAXIFS(BD!$A$3:$A$5001,BD!$B$3:$B$5001,T$241,BD!$A$3:$A$5001,"&gt;="&amp;$C$7,BD!$A$3:$A$5001,"&lt;="&amp;$B262,BD!$Y$3:$Y$5001,"&lt;&gt;"))))</f>
        <v/>
      </c>
      <c r="U262" s="43" t="str">
        <f>IF(OR($B262="",$A262&gt;$B$9,U$241=""),"",IF(COUNTIFS(BD!$B$3:$B$5001,U$241,BD!$A$3:$A$5001,"&gt;="&amp;$C$7,BD!$A$3:$A$5001,"&lt;="&amp;$B262,BD!$Y$3:$Y$5001,"&lt;&gt;")=0,"",SUMIFS(BD!$Y$3:$Y$5001,BD!$B$3:$B$5001,U$241,BD!$A$3:$A$5001,_xlfn.MAXIFS(BD!$A$3:$A$5001,BD!$B$3:$B$5001,U$241,BD!$A$3:$A$5001,"&gt;="&amp;$C$7,BD!$A$3:$A$5001,"&lt;="&amp;$B262,BD!$Y$3:$Y$5001,"&lt;&gt;"))))</f>
        <v/>
      </c>
      <c r="V262" s="43" t="str">
        <f>IF(OR($B262="",$A262&gt;$B$9,V$241=""),"",IF(COUNTIFS(BD!$B$3:$B$5001,V$241,BD!$A$3:$A$5001,"&gt;="&amp;$C$7,BD!$A$3:$A$5001,"&lt;="&amp;$B262,BD!$Y$3:$Y$5001,"&lt;&gt;")=0,"",SUMIFS(BD!$Y$3:$Y$5001,BD!$B$3:$B$5001,V$241,BD!$A$3:$A$5001,_xlfn.MAXIFS(BD!$A$3:$A$5001,BD!$B$3:$B$5001,V$241,BD!$A$3:$A$5001,"&gt;="&amp;$C$7,BD!$A$3:$A$5001,"&lt;="&amp;$B262,BD!$Y$3:$Y$5001,"&lt;&gt;"))))</f>
        <v/>
      </c>
    </row>
    <row r="263">
      <c r="A263" s="38">
        <v>22</v>
      </c>
      <c r="B263" s="42">
        <f>$B$33</f>
        <v>46317</v>
      </c>
      <c r="C263" s="43" t="str">
        <f>IF(OR($B263="",$A263&gt;$B$9,C$241=""),"",IF(COUNTIFS(BD!$B$3:$B$5001,C$241,BD!$A$3:$A$5001,"&gt;="&amp;$C$7,BD!$A$3:$A$5001,"&lt;="&amp;$B263,BD!$Y$3:$Y$5001,"&lt;&gt;")=0,"",SUMIFS(BD!$Y$3:$Y$5001,BD!$B$3:$B$5001,C$241,BD!$A$3:$A$5001,_xlfn.MAXIFS(BD!$A$3:$A$5001,BD!$B$3:$B$5001,C$241,BD!$A$3:$A$5001,"&gt;="&amp;$C$7,BD!$A$3:$A$5001,"&lt;="&amp;$B263,BD!$Y$3:$Y$5001,"&lt;&gt;"))))</f>
        <v/>
      </c>
      <c r="D263" s="43" t="str">
        <f>IF(OR($B263="",$A263&gt;$B$9,D$241=""),"",IF(COUNTIFS(BD!$B$3:$B$5001,D$241,BD!$A$3:$A$5001,"&gt;="&amp;$C$7,BD!$A$3:$A$5001,"&lt;="&amp;$B263,BD!$Y$3:$Y$5001,"&lt;&gt;")=0,"",SUMIFS(BD!$Y$3:$Y$5001,BD!$B$3:$B$5001,D$241,BD!$A$3:$A$5001,_xlfn.MAXIFS(BD!$A$3:$A$5001,BD!$B$3:$B$5001,D$241,BD!$A$3:$A$5001,"&gt;="&amp;$C$7,BD!$A$3:$A$5001,"&lt;="&amp;$B263,BD!$Y$3:$Y$5001,"&lt;&gt;"))))</f>
        <v/>
      </c>
      <c r="E263" s="43" t="str">
        <f>IF(OR($B263="",$A263&gt;$B$9,E$241=""),"",IF(COUNTIFS(BD!$B$3:$B$5001,E$241,BD!$A$3:$A$5001,"&gt;="&amp;$C$7,BD!$A$3:$A$5001,"&lt;="&amp;$B263,BD!$Y$3:$Y$5001,"&lt;&gt;")=0,"",SUMIFS(BD!$Y$3:$Y$5001,BD!$B$3:$B$5001,E$241,BD!$A$3:$A$5001,_xlfn.MAXIFS(BD!$A$3:$A$5001,BD!$B$3:$B$5001,E$241,BD!$A$3:$A$5001,"&gt;="&amp;$C$7,BD!$A$3:$A$5001,"&lt;="&amp;$B263,BD!$Y$3:$Y$5001,"&lt;&gt;"))))</f>
        <v/>
      </c>
      <c r="F263" s="43" t="str">
        <f>IF(OR($B263="",$A263&gt;$B$9,F$241=""),"",IF(COUNTIFS(BD!$B$3:$B$5001,F$241,BD!$A$3:$A$5001,"&gt;="&amp;$C$7,BD!$A$3:$A$5001,"&lt;="&amp;$B263,BD!$Y$3:$Y$5001,"&lt;&gt;")=0,"",SUMIFS(BD!$Y$3:$Y$5001,BD!$B$3:$B$5001,F$241,BD!$A$3:$A$5001,_xlfn.MAXIFS(BD!$A$3:$A$5001,BD!$B$3:$B$5001,F$241,BD!$A$3:$A$5001,"&gt;="&amp;$C$7,BD!$A$3:$A$5001,"&lt;="&amp;$B263,BD!$Y$3:$Y$5001,"&lt;&gt;"))))</f>
        <v/>
      </c>
      <c r="G263" s="43" t="str">
        <f>IF(OR($B263="",$A263&gt;$B$9,G$241=""),"",IF(COUNTIFS(BD!$B$3:$B$5001,G$241,BD!$A$3:$A$5001,"&gt;="&amp;$C$7,BD!$A$3:$A$5001,"&lt;="&amp;$B263,BD!$Y$3:$Y$5001,"&lt;&gt;")=0,"",SUMIFS(BD!$Y$3:$Y$5001,BD!$B$3:$B$5001,G$241,BD!$A$3:$A$5001,_xlfn.MAXIFS(BD!$A$3:$A$5001,BD!$B$3:$B$5001,G$241,BD!$A$3:$A$5001,"&gt;="&amp;$C$7,BD!$A$3:$A$5001,"&lt;="&amp;$B263,BD!$Y$3:$Y$5001,"&lt;&gt;"))))</f>
        <v/>
      </c>
      <c r="H263" s="43" t="str">
        <f>IF(OR($B263="",$A263&gt;$B$9,H$241=""),"",IF(COUNTIFS(BD!$B$3:$B$5001,H$241,BD!$A$3:$A$5001,"&gt;="&amp;$C$7,BD!$A$3:$A$5001,"&lt;="&amp;$B263,BD!$Y$3:$Y$5001,"&lt;&gt;")=0,"",SUMIFS(BD!$Y$3:$Y$5001,BD!$B$3:$B$5001,H$241,BD!$A$3:$A$5001,_xlfn.MAXIFS(BD!$A$3:$A$5001,BD!$B$3:$B$5001,H$241,BD!$A$3:$A$5001,"&gt;="&amp;$C$7,BD!$A$3:$A$5001,"&lt;="&amp;$B263,BD!$Y$3:$Y$5001,"&lt;&gt;"))))</f>
        <v/>
      </c>
      <c r="I263" s="43" t="str">
        <f>IF(OR($B263="",$A263&gt;$B$9,I$241=""),"",IF(COUNTIFS(BD!$B$3:$B$5001,I$241,BD!$A$3:$A$5001,"&gt;="&amp;$C$7,BD!$A$3:$A$5001,"&lt;="&amp;$B263,BD!$Y$3:$Y$5001,"&lt;&gt;")=0,"",SUMIFS(BD!$Y$3:$Y$5001,BD!$B$3:$B$5001,I$241,BD!$A$3:$A$5001,_xlfn.MAXIFS(BD!$A$3:$A$5001,BD!$B$3:$B$5001,I$241,BD!$A$3:$A$5001,"&gt;="&amp;$C$7,BD!$A$3:$A$5001,"&lt;="&amp;$B263,BD!$Y$3:$Y$5001,"&lt;&gt;"))))</f>
        <v/>
      </c>
      <c r="J263" s="43" t="str">
        <f>IF(OR($B263="",$A263&gt;$B$9,J$241=""),"",IF(COUNTIFS(BD!$B$3:$B$5001,J$241,BD!$A$3:$A$5001,"&gt;="&amp;$C$7,BD!$A$3:$A$5001,"&lt;="&amp;$B263,BD!$Y$3:$Y$5001,"&lt;&gt;")=0,"",SUMIFS(BD!$Y$3:$Y$5001,BD!$B$3:$B$5001,J$241,BD!$A$3:$A$5001,_xlfn.MAXIFS(BD!$A$3:$A$5001,BD!$B$3:$B$5001,J$241,BD!$A$3:$A$5001,"&gt;="&amp;$C$7,BD!$A$3:$A$5001,"&lt;="&amp;$B263,BD!$Y$3:$Y$5001,"&lt;&gt;"))))</f>
        <v/>
      </c>
      <c r="K263" s="43" t="str">
        <f>IF(OR($B263="",$A263&gt;$B$9,K$241=""),"",IF(COUNTIFS(BD!$B$3:$B$5001,K$241,BD!$A$3:$A$5001,"&gt;="&amp;$C$7,BD!$A$3:$A$5001,"&lt;="&amp;$B263,BD!$Y$3:$Y$5001,"&lt;&gt;")=0,"",SUMIFS(BD!$Y$3:$Y$5001,BD!$B$3:$B$5001,K$241,BD!$A$3:$A$5001,_xlfn.MAXIFS(BD!$A$3:$A$5001,BD!$B$3:$B$5001,K$241,BD!$A$3:$A$5001,"&gt;="&amp;$C$7,BD!$A$3:$A$5001,"&lt;="&amp;$B263,BD!$Y$3:$Y$5001,"&lt;&gt;"))))</f>
        <v/>
      </c>
      <c r="L263" s="43" t="str">
        <f>IF(OR($B263="",$A263&gt;$B$9,L$241=""),"",IF(COUNTIFS(BD!$B$3:$B$5001,L$241,BD!$A$3:$A$5001,"&gt;="&amp;$C$7,BD!$A$3:$A$5001,"&lt;="&amp;$B263,BD!$Y$3:$Y$5001,"&lt;&gt;")=0,"",SUMIFS(BD!$Y$3:$Y$5001,BD!$B$3:$B$5001,L$241,BD!$A$3:$A$5001,_xlfn.MAXIFS(BD!$A$3:$A$5001,BD!$B$3:$B$5001,L$241,BD!$A$3:$A$5001,"&gt;="&amp;$C$7,BD!$A$3:$A$5001,"&lt;="&amp;$B263,BD!$Y$3:$Y$5001,"&lt;&gt;"))))</f>
        <v/>
      </c>
      <c r="M263" s="43" t="str">
        <f>IF(OR($B263="",$A263&gt;$B$9,M$241=""),"",IF(COUNTIFS(BD!$B$3:$B$5001,M$241,BD!$A$3:$A$5001,"&gt;="&amp;$C$7,BD!$A$3:$A$5001,"&lt;="&amp;$B263,BD!$Y$3:$Y$5001,"&lt;&gt;")=0,"",SUMIFS(BD!$Y$3:$Y$5001,BD!$B$3:$B$5001,M$241,BD!$A$3:$A$5001,_xlfn.MAXIFS(BD!$A$3:$A$5001,BD!$B$3:$B$5001,M$241,BD!$A$3:$A$5001,"&gt;="&amp;$C$7,BD!$A$3:$A$5001,"&lt;="&amp;$B263,BD!$Y$3:$Y$5001,"&lt;&gt;"))))</f>
        <v/>
      </c>
      <c r="N263" s="43" t="str">
        <f>IF(OR($B263="",$A263&gt;$B$9,N$241=""),"",IF(COUNTIFS(BD!$B$3:$B$5001,N$241,BD!$A$3:$A$5001,"&gt;="&amp;$C$7,BD!$A$3:$A$5001,"&lt;="&amp;$B263,BD!$Y$3:$Y$5001,"&lt;&gt;")=0,"",SUMIFS(BD!$Y$3:$Y$5001,BD!$B$3:$B$5001,N$241,BD!$A$3:$A$5001,_xlfn.MAXIFS(BD!$A$3:$A$5001,BD!$B$3:$B$5001,N$241,BD!$A$3:$A$5001,"&gt;="&amp;$C$7,BD!$A$3:$A$5001,"&lt;="&amp;$B263,BD!$Y$3:$Y$5001,"&lt;&gt;"))))</f>
        <v/>
      </c>
      <c r="O263" s="43" t="str">
        <f>IF(OR($B263="",$A263&gt;$B$9,O$241=""),"",IF(COUNTIFS(BD!$B$3:$B$5001,O$241,BD!$A$3:$A$5001,"&gt;="&amp;$C$7,BD!$A$3:$A$5001,"&lt;="&amp;$B263,BD!$Y$3:$Y$5001,"&lt;&gt;")=0,"",SUMIFS(BD!$Y$3:$Y$5001,BD!$B$3:$B$5001,O$241,BD!$A$3:$A$5001,_xlfn.MAXIFS(BD!$A$3:$A$5001,BD!$B$3:$B$5001,O$241,BD!$A$3:$A$5001,"&gt;="&amp;$C$7,BD!$A$3:$A$5001,"&lt;="&amp;$B263,BD!$Y$3:$Y$5001,"&lt;&gt;"))))</f>
        <v/>
      </c>
      <c r="P263" s="43" t="str">
        <f>IF(OR($B263="",$A263&gt;$B$9,P$241=""),"",IF(COUNTIFS(BD!$B$3:$B$5001,P$241,BD!$A$3:$A$5001,"&gt;="&amp;$C$7,BD!$A$3:$A$5001,"&lt;="&amp;$B263,BD!$Y$3:$Y$5001,"&lt;&gt;")=0,"",SUMIFS(BD!$Y$3:$Y$5001,BD!$B$3:$B$5001,P$241,BD!$A$3:$A$5001,_xlfn.MAXIFS(BD!$A$3:$A$5001,BD!$B$3:$B$5001,P$241,BD!$A$3:$A$5001,"&gt;="&amp;$C$7,BD!$A$3:$A$5001,"&lt;="&amp;$B263,BD!$Y$3:$Y$5001,"&lt;&gt;"))))</f>
        <v/>
      </c>
      <c r="Q263" s="43" t="str">
        <f>IF(OR($B263="",$A263&gt;$B$9,Q$241=""),"",IF(COUNTIFS(BD!$B$3:$B$5001,Q$241,BD!$A$3:$A$5001,"&gt;="&amp;$C$7,BD!$A$3:$A$5001,"&lt;="&amp;$B263,BD!$Y$3:$Y$5001,"&lt;&gt;")=0,"",SUMIFS(BD!$Y$3:$Y$5001,BD!$B$3:$B$5001,Q$241,BD!$A$3:$A$5001,_xlfn.MAXIFS(BD!$A$3:$A$5001,BD!$B$3:$B$5001,Q$241,BD!$A$3:$A$5001,"&gt;="&amp;$C$7,BD!$A$3:$A$5001,"&lt;="&amp;$B263,BD!$Y$3:$Y$5001,"&lt;&gt;"))))</f>
        <v/>
      </c>
      <c r="R263" s="43" t="str">
        <f>IF(OR($B263="",$A263&gt;$B$9,R$241=""),"",IF(COUNTIFS(BD!$B$3:$B$5001,R$241,BD!$A$3:$A$5001,"&gt;="&amp;$C$7,BD!$A$3:$A$5001,"&lt;="&amp;$B263,BD!$Y$3:$Y$5001,"&lt;&gt;")=0,"",SUMIFS(BD!$Y$3:$Y$5001,BD!$B$3:$B$5001,R$241,BD!$A$3:$A$5001,_xlfn.MAXIFS(BD!$A$3:$A$5001,BD!$B$3:$B$5001,R$241,BD!$A$3:$A$5001,"&gt;="&amp;$C$7,BD!$A$3:$A$5001,"&lt;="&amp;$B263,BD!$Y$3:$Y$5001,"&lt;&gt;"))))</f>
        <v/>
      </c>
      <c r="S263" s="43" t="str">
        <f>IF(OR($B263="",$A263&gt;$B$9,S$241=""),"",IF(COUNTIFS(BD!$B$3:$B$5001,S$241,BD!$A$3:$A$5001,"&gt;="&amp;$C$7,BD!$A$3:$A$5001,"&lt;="&amp;$B263,BD!$Y$3:$Y$5001,"&lt;&gt;")=0,"",SUMIFS(BD!$Y$3:$Y$5001,BD!$B$3:$B$5001,S$241,BD!$A$3:$A$5001,_xlfn.MAXIFS(BD!$A$3:$A$5001,BD!$B$3:$B$5001,S$241,BD!$A$3:$A$5001,"&gt;="&amp;$C$7,BD!$A$3:$A$5001,"&lt;="&amp;$B263,BD!$Y$3:$Y$5001,"&lt;&gt;"))))</f>
        <v/>
      </c>
      <c r="T263" s="43" t="str">
        <f>IF(OR($B263="",$A263&gt;$B$9,T$241=""),"",IF(COUNTIFS(BD!$B$3:$B$5001,T$241,BD!$A$3:$A$5001,"&gt;="&amp;$C$7,BD!$A$3:$A$5001,"&lt;="&amp;$B263,BD!$Y$3:$Y$5001,"&lt;&gt;")=0,"",SUMIFS(BD!$Y$3:$Y$5001,BD!$B$3:$B$5001,T$241,BD!$A$3:$A$5001,_xlfn.MAXIFS(BD!$A$3:$A$5001,BD!$B$3:$B$5001,T$241,BD!$A$3:$A$5001,"&gt;="&amp;$C$7,BD!$A$3:$A$5001,"&lt;="&amp;$B263,BD!$Y$3:$Y$5001,"&lt;&gt;"))))</f>
        <v/>
      </c>
      <c r="U263" s="43" t="str">
        <f>IF(OR($B263="",$A263&gt;$B$9,U$241=""),"",IF(COUNTIFS(BD!$B$3:$B$5001,U$241,BD!$A$3:$A$5001,"&gt;="&amp;$C$7,BD!$A$3:$A$5001,"&lt;="&amp;$B263,BD!$Y$3:$Y$5001,"&lt;&gt;")=0,"",SUMIFS(BD!$Y$3:$Y$5001,BD!$B$3:$B$5001,U$241,BD!$A$3:$A$5001,_xlfn.MAXIFS(BD!$A$3:$A$5001,BD!$B$3:$B$5001,U$241,BD!$A$3:$A$5001,"&gt;="&amp;$C$7,BD!$A$3:$A$5001,"&lt;="&amp;$B263,BD!$Y$3:$Y$5001,"&lt;&gt;"))))</f>
        <v/>
      </c>
      <c r="V263" s="43" t="str">
        <f>IF(OR($B263="",$A263&gt;$B$9,V$241=""),"",IF(COUNTIFS(BD!$B$3:$B$5001,V$241,BD!$A$3:$A$5001,"&gt;="&amp;$C$7,BD!$A$3:$A$5001,"&lt;="&amp;$B263,BD!$Y$3:$Y$5001,"&lt;&gt;")=0,"",SUMIFS(BD!$Y$3:$Y$5001,BD!$B$3:$B$5001,V$241,BD!$A$3:$A$5001,_xlfn.MAXIFS(BD!$A$3:$A$5001,BD!$B$3:$B$5001,V$241,BD!$A$3:$A$5001,"&gt;="&amp;$C$7,BD!$A$3:$A$5001,"&lt;="&amp;$B263,BD!$Y$3:$Y$5001,"&lt;&gt;"))))</f>
        <v/>
      </c>
    </row>
    <row r="264">
      <c r="A264" s="38">
        <v>23</v>
      </c>
      <c r="B264" s="42">
        <f>$B$34</f>
        <v>46318</v>
      </c>
      <c r="C264" s="43" t="str">
        <f>IF(OR($B264="",$A264&gt;$B$9,C$241=""),"",IF(COUNTIFS(BD!$B$3:$B$5001,C$241,BD!$A$3:$A$5001,"&gt;="&amp;$C$7,BD!$A$3:$A$5001,"&lt;="&amp;$B264,BD!$Y$3:$Y$5001,"&lt;&gt;")=0,"",SUMIFS(BD!$Y$3:$Y$5001,BD!$B$3:$B$5001,C$241,BD!$A$3:$A$5001,_xlfn.MAXIFS(BD!$A$3:$A$5001,BD!$B$3:$B$5001,C$241,BD!$A$3:$A$5001,"&gt;="&amp;$C$7,BD!$A$3:$A$5001,"&lt;="&amp;$B264,BD!$Y$3:$Y$5001,"&lt;&gt;"))))</f>
        <v/>
      </c>
      <c r="D264" s="43" t="str">
        <f>IF(OR($B264="",$A264&gt;$B$9,D$241=""),"",IF(COUNTIFS(BD!$B$3:$B$5001,D$241,BD!$A$3:$A$5001,"&gt;="&amp;$C$7,BD!$A$3:$A$5001,"&lt;="&amp;$B264,BD!$Y$3:$Y$5001,"&lt;&gt;")=0,"",SUMIFS(BD!$Y$3:$Y$5001,BD!$B$3:$B$5001,D$241,BD!$A$3:$A$5001,_xlfn.MAXIFS(BD!$A$3:$A$5001,BD!$B$3:$B$5001,D$241,BD!$A$3:$A$5001,"&gt;="&amp;$C$7,BD!$A$3:$A$5001,"&lt;="&amp;$B264,BD!$Y$3:$Y$5001,"&lt;&gt;"))))</f>
        <v/>
      </c>
      <c r="E264" s="43" t="str">
        <f>IF(OR($B264="",$A264&gt;$B$9,E$241=""),"",IF(COUNTIFS(BD!$B$3:$B$5001,E$241,BD!$A$3:$A$5001,"&gt;="&amp;$C$7,BD!$A$3:$A$5001,"&lt;="&amp;$B264,BD!$Y$3:$Y$5001,"&lt;&gt;")=0,"",SUMIFS(BD!$Y$3:$Y$5001,BD!$B$3:$B$5001,E$241,BD!$A$3:$A$5001,_xlfn.MAXIFS(BD!$A$3:$A$5001,BD!$B$3:$B$5001,E$241,BD!$A$3:$A$5001,"&gt;="&amp;$C$7,BD!$A$3:$A$5001,"&lt;="&amp;$B264,BD!$Y$3:$Y$5001,"&lt;&gt;"))))</f>
        <v/>
      </c>
      <c r="F264" s="43" t="str">
        <f>IF(OR($B264="",$A264&gt;$B$9,F$241=""),"",IF(COUNTIFS(BD!$B$3:$B$5001,F$241,BD!$A$3:$A$5001,"&gt;="&amp;$C$7,BD!$A$3:$A$5001,"&lt;="&amp;$B264,BD!$Y$3:$Y$5001,"&lt;&gt;")=0,"",SUMIFS(BD!$Y$3:$Y$5001,BD!$B$3:$B$5001,F$241,BD!$A$3:$A$5001,_xlfn.MAXIFS(BD!$A$3:$A$5001,BD!$B$3:$B$5001,F$241,BD!$A$3:$A$5001,"&gt;="&amp;$C$7,BD!$A$3:$A$5001,"&lt;="&amp;$B264,BD!$Y$3:$Y$5001,"&lt;&gt;"))))</f>
        <v/>
      </c>
      <c r="G264" s="43" t="str">
        <f>IF(OR($B264="",$A264&gt;$B$9,G$241=""),"",IF(COUNTIFS(BD!$B$3:$B$5001,G$241,BD!$A$3:$A$5001,"&gt;="&amp;$C$7,BD!$A$3:$A$5001,"&lt;="&amp;$B264,BD!$Y$3:$Y$5001,"&lt;&gt;")=0,"",SUMIFS(BD!$Y$3:$Y$5001,BD!$B$3:$B$5001,G$241,BD!$A$3:$A$5001,_xlfn.MAXIFS(BD!$A$3:$A$5001,BD!$B$3:$B$5001,G$241,BD!$A$3:$A$5001,"&gt;="&amp;$C$7,BD!$A$3:$A$5001,"&lt;="&amp;$B264,BD!$Y$3:$Y$5001,"&lt;&gt;"))))</f>
        <v/>
      </c>
      <c r="H264" s="43" t="str">
        <f>IF(OR($B264="",$A264&gt;$B$9,H$241=""),"",IF(COUNTIFS(BD!$B$3:$B$5001,H$241,BD!$A$3:$A$5001,"&gt;="&amp;$C$7,BD!$A$3:$A$5001,"&lt;="&amp;$B264,BD!$Y$3:$Y$5001,"&lt;&gt;")=0,"",SUMIFS(BD!$Y$3:$Y$5001,BD!$B$3:$B$5001,H$241,BD!$A$3:$A$5001,_xlfn.MAXIFS(BD!$A$3:$A$5001,BD!$B$3:$B$5001,H$241,BD!$A$3:$A$5001,"&gt;="&amp;$C$7,BD!$A$3:$A$5001,"&lt;="&amp;$B264,BD!$Y$3:$Y$5001,"&lt;&gt;"))))</f>
        <v/>
      </c>
      <c r="I264" s="43" t="str">
        <f>IF(OR($B264="",$A264&gt;$B$9,I$241=""),"",IF(COUNTIFS(BD!$B$3:$B$5001,I$241,BD!$A$3:$A$5001,"&gt;="&amp;$C$7,BD!$A$3:$A$5001,"&lt;="&amp;$B264,BD!$Y$3:$Y$5001,"&lt;&gt;")=0,"",SUMIFS(BD!$Y$3:$Y$5001,BD!$B$3:$B$5001,I$241,BD!$A$3:$A$5001,_xlfn.MAXIFS(BD!$A$3:$A$5001,BD!$B$3:$B$5001,I$241,BD!$A$3:$A$5001,"&gt;="&amp;$C$7,BD!$A$3:$A$5001,"&lt;="&amp;$B264,BD!$Y$3:$Y$5001,"&lt;&gt;"))))</f>
        <v/>
      </c>
      <c r="J264" s="43" t="str">
        <f>IF(OR($B264="",$A264&gt;$B$9,J$241=""),"",IF(COUNTIFS(BD!$B$3:$B$5001,J$241,BD!$A$3:$A$5001,"&gt;="&amp;$C$7,BD!$A$3:$A$5001,"&lt;="&amp;$B264,BD!$Y$3:$Y$5001,"&lt;&gt;")=0,"",SUMIFS(BD!$Y$3:$Y$5001,BD!$B$3:$B$5001,J$241,BD!$A$3:$A$5001,_xlfn.MAXIFS(BD!$A$3:$A$5001,BD!$B$3:$B$5001,J$241,BD!$A$3:$A$5001,"&gt;="&amp;$C$7,BD!$A$3:$A$5001,"&lt;="&amp;$B264,BD!$Y$3:$Y$5001,"&lt;&gt;"))))</f>
        <v/>
      </c>
      <c r="K264" s="43" t="str">
        <f>IF(OR($B264="",$A264&gt;$B$9,K$241=""),"",IF(COUNTIFS(BD!$B$3:$B$5001,K$241,BD!$A$3:$A$5001,"&gt;="&amp;$C$7,BD!$A$3:$A$5001,"&lt;="&amp;$B264,BD!$Y$3:$Y$5001,"&lt;&gt;")=0,"",SUMIFS(BD!$Y$3:$Y$5001,BD!$B$3:$B$5001,K$241,BD!$A$3:$A$5001,_xlfn.MAXIFS(BD!$A$3:$A$5001,BD!$B$3:$B$5001,K$241,BD!$A$3:$A$5001,"&gt;="&amp;$C$7,BD!$A$3:$A$5001,"&lt;="&amp;$B264,BD!$Y$3:$Y$5001,"&lt;&gt;"))))</f>
        <v/>
      </c>
      <c r="L264" s="43" t="str">
        <f>IF(OR($B264="",$A264&gt;$B$9,L$241=""),"",IF(COUNTIFS(BD!$B$3:$B$5001,L$241,BD!$A$3:$A$5001,"&gt;="&amp;$C$7,BD!$A$3:$A$5001,"&lt;="&amp;$B264,BD!$Y$3:$Y$5001,"&lt;&gt;")=0,"",SUMIFS(BD!$Y$3:$Y$5001,BD!$B$3:$B$5001,L$241,BD!$A$3:$A$5001,_xlfn.MAXIFS(BD!$A$3:$A$5001,BD!$B$3:$B$5001,L$241,BD!$A$3:$A$5001,"&gt;="&amp;$C$7,BD!$A$3:$A$5001,"&lt;="&amp;$B264,BD!$Y$3:$Y$5001,"&lt;&gt;"))))</f>
        <v/>
      </c>
      <c r="M264" s="43" t="str">
        <f>IF(OR($B264="",$A264&gt;$B$9,M$241=""),"",IF(COUNTIFS(BD!$B$3:$B$5001,M$241,BD!$A$3:$A$5001,"&gt;="&amp;$C$7,BD!$A$3:$A$5001,"&lt;="&amp;$B264,BD!$Y$3:$Y$5001,"&lt;&gt;")=0,"",SUMIFS(BD!$Y$3:$Y$5001,BD!$B$3:$B$5001,M$241,BD!$A$3:$A$5001,_xlfn.MAXIFS(BD!$A$3:$A$5001,BD!$B$3:$B$5001,M$241,BD!$A$3:$A$5001,"&gt;="&amp;$C$7,BD!$A$3:$A$5001,"&lt;="&amp;$B264,BD!$Y$3:$Y$5001,"&lt;&gt;"))))</f>
        <v/>
      </c>
      <c r="N264" s="43" t="str">
        <f>IF(OR($B264="",$A264&gt;$B$9,N$241=""),"",IF(COUNTIFS(BD!$B$3:$B$5001,N$241,BD!$A$3:$A$5001,"&gt;="&amp;$C$7,BD!$A$3:$A$5001,"&lt;="&amp;$B264,BD!$Y$3:$Y$5001,"&lt;&gt;")=0,"",SUMIFS(BD!$Y$3:$Y$5001,BD!$B$3:$B$5001,N$241,BD!$A$3:$A$5001,_xlfn.MAXIFS(BD!$A$3:$A$5001,BD!$B$3:$B$5001,N$241,BD!$A$3:$A$5001,"&gt;="&amp;$C$7,BD!$A$3:$A$5001,"&lt;="&amp;$B264,BD!$Y$3:$Y$5001,"&lt;&gt;"))))</f>
        <v/>
      </c>
      <c r="O264" s="43" t="str">
        <f>IF(OR($B264="",$A264&gt;$B$9,O$241=""),"",IF(COUNTIFS(BD!$B$3:$B$5001,O$241,BD!$A$3:$A$5001,"&gt;="&amp;$C$7,BD!$A$3:$A$5001,"&lt;="&amp;$B264,BD!$Y$3:$Y$5001,"&lt;&gt;")=0,"",SUMIFS(BD!$Y$3:$Y$5001,BD!$B$3:$B$5001,O$241,BD!$A$3:$A$5001,_xlfn.MAXIFS(BD!$A$3:$A$5001,BD!$B$3:$B$5001,O$241,BD!$A$3:$A$5001,"&gt;="&amp;$C$7,BD!$A$3:$A$5001,"&lt;="&amp;$B264,BD!$Y$3:$Y$5001,"&lt;&gt;"))))</f>
        <v/>
      </c>
      <c r="P264" s="43" t="str">
        <f>IF(OR($B264="",$A264&gt;$B$9,P$241=""),"",IF(COUNTIFS(BD!$B$3:$B$5001,P$241,BD!$A$3:$A$5001,"&gt;="&amp;$C$7,BD!$A$3:$A$5001,"&lt;="&amp;$B264,BD!$Y$3:$Y$5001,"&lt;&gt;")=0,"",SUMIFS(BD!$Y$3:$Y$5001,BD!$B$3:$B$5001,P$241,BD!$A$3:$A$5001,_xlfn.MAXIFS(BD!$A$3:$A$5001,BD!$B$3:$B$5001,P$241,BD!$A$3:$A$5001,"&gt;="&amp;$C$7,BD!$A$3:$A$5001,"&lt;="&amp;$B264,BD!$Y$3:$Y$5001,"&lt;&gt;"))))</f>
        <v/>
      </c>
      <c r="Q264" s="43" t="str">
        <f>IF(OR($B264="",$A264&gt;$B$9,Q$241=""),"",IF(COUNTIFS(BD!$B$3:$B$5001,Q$241,BD!$A$3:$A$5001,"&gt;="&amp;$C$7,BD!$A$3:$A$5001,"&lt;="&amp;$B264,BD!$Y$3:$Y$5001,"&lt;&gt;")=0,"",SUMIFS(BD!$Y$3:$Y$5001,BD!$B$3:$B$5001,Q$241,BD!$A$3:$A$5001,_xlfn.MAXIFS(BD!$A$3:$A$5001,BD!$B$3:$B$5001,Q$241,BD!$A$3:$A$5001,"&gt;="&amp;$C$7,BD!$A$3:$A$5001,"&lt;="&amp;$B264,BD!$Y$3:$Y$5001,"&lt;&gt;"))))</f>
        <v/>
      </c>
      <c r="R264" s="43" t="str">
        <f>IF(OR($B264="",$A264&gt;$B$9,R$241=""),"",IF(COUNTIFS(BD!$B$3:$B$5001,R$241,BD!$A$3:$A$5001,"&gt;="&amp;$C$7,BD!$A$3:$A$5001,"&lt;="&amp;$B264,BD!$Y$3:$Y$5001,"&lt;&gt;")=0,"",SUMIFS(BD!$Y$3:$Y$5001,BD!$B$3:$B$5001,R$241,BD!$A$3:$A$5001,_xlfn.MAXIFS(BD!$A$3:$A$5001,BD!$B$3:$B$5001,R$241,BD!$A$3:$A$5001,"&gt;="&amp;$C$7,BD!$A$3:$A$5001,"&lt;="&amp;$B264,BD!$Y$3:$Y$5001,"&lt;&gt;"))))</f>
        <v/>
      </c>
      <c r="S264" s="43" t="str">
        <f>IF(OR($B264="",$A264&gt;$B$9,S$241=""),"",IF(COUNTIFS(BD!$B$3:$B$5001,S$241,BD!$A$3:$A$5001,"&gt;="&amp;$C$7,BD!$A$3:$A$5001,"&lt;="&amp;$B264,BD!$Y$3:$Y$5001,"&lt;&gt;")=0,"",SUMIFS(BD!$Y$3:$Y$5001,BD!$B$3:$B$5001,S$241,BD!$A$3:$A$5001,_xlfn.MAXIFS(BD!$A$3:$A$5001,BD!$B$3:$B$5001,S$241,BD!$A$3:$A$5001,"&gt;="&amp;$C$7,BD!$A$3:$A$5001,"&lt;="&amp;$B264,BD!$Y$3:$Y$5001,"&lt;&gt;"))))</f>
        <v/>
      </c>
      <c r="T264" s="43" t="str">
        <f>IF(OR($B264="",$A264&gt;$B$9,T$241=""),"",IF(COUNTIFS(BD!$B$3:$B$5001,T$241,BD!$A$3:$A$5001,"&gt;="&amp;$C$7,BD!$A$3:$A$5001,"&lt;="&amp;$B264,BD!$Y$3:$Y$5001,"&lt;&gt;")=0,"",SUMIFS(BD!$Y$3:$Y$5001,BD!$B$3:$B$5001,T$241,BD!$A$3:$A$5001,_xlfn.MAXIFS(BD!$A$3:$A$5001,BD!$B$3:$B$5001,T$241,BD!$A$3:$A$5001,"&gt;="&amp;$C$7,BD!$A$3:$A$5001,"&lt;="&amp;$B264,BD!$Y$3:$Y$5001,"&lt;&gt;"))))</f>
        <v/>
      </c>
      <c r="U264" s="43" t="str">
        <f>IF(OR($B264="",$A264&gt;$B$9,U$241=""),"",IF(COUNTIFS(BD!$B$3:$B$5001,U$241,BD!$A$3:$A$5001,"&gt;="&amp;$C$7,BD!$A$3:$A$5001,"&lt;="&amp;$B264,BD!$Y$3:$Y$5001,"&lt;&gt;")=0,"",SUMIFS(BD!$Y$3:$Y$5001,BD!$B$3:$B$5001,U$241,BD!$A$3:$A$5001,_xlfn.MAXIFS(BD!$A$3:$A$5001,BD!$B$3:$B$5001,U$241,BD!$A$3:$A$5001,"&gt;="&amp;$C$7,BD!$A$3:$A$5001,"&lt;="&amp;$B264,BD!$Y$3:$Y$5001,"&lt;&gt;"))))</f>
        <v/>
      </c>
      <c r="V264" s="43" t="str">
        <f>IF(OR($B264="",$A264&gt;$B$9,V$241=""),"",IF(COUNTIFS(BD!$B$3:$B$5001,V$241,BD!$A$3:$A$5001,"&gt;="&amp;$C$7,BD!$A$3:$A$5001,"&lt;="&amp;$B264,BD!$Y$3:$Y$5001,"&lt;&gt;")=0,"",SUMIFS(BD!$Y$3:$Y$5001,BD!$B$3:$B$5001,V$241,BD!$A$3:$A$5001,_xlfn.MAXIFS(BD!$A$3:$A$5001,BD!$B$3:$B$5001,V$241,BD!$A$3:$A$5001,"&gt;="&amp;$C$7,BD!$A$3:$A$5001,"&lt;="&amp;$B264,BD!$Y$3:$Y$5001,"&lt;&gt;"))))</f>
        <v/>
      </c>
    </row>
    <row r="265">
      <c r="A265" s="38">
        <v>24</v>
      </c>
      <c r="B265" s="42">
        <f>$B$35</f>
        <v>46319</v>
      </c>
      <c r="C265" s="43" t="str">
        <f>IF(OR($B265="",$A265&gt;$B$9,C$241=""),"",IF(COUNTIFS(BD!$B$3:$B$5001,C$241,BD!$A$3:$A$5001,"&gt;="&amp;$C$7,BD!$A$3:$A$5001,"&lt;="&amp;$B265,BD!$Y$3:$Y$5001,"&lt;&gt;")=0,"",SUMIFS(BD!$Y$3:$Y$5001,BD!$B$3:$B$5001,C$241,BD!$A$3:$A$5001,_xlfn.MAXIFS(BD!$A$3:$A$5001,BD!$B$3:$B$5001,C$241,BD!$A$3:$A$5001,"&gt;="&amp;$C$7,BD!$A$3:$A$5001,"&lt;="&amp;$B265,BD!$Y$3:$Y$5001,"&lt;&gt;"))))</f>
        <v/>
      </c>
      <c r="D265" s="43" t="str">
        <f>IF(OR($B265="",$A265&gt;$B$9,D$241=""),"",IF(COUNTIFS(BD!$B$3:$B$5001,D$241,BD!$A$3:$A$5001,"&gt;="&amp;$C$7,BD!$A$3:$A$5001,"&lt;="&amp;$B265,BD!$Y$3:$Y$5001,"&lt;&gt;")=0,"",SUMIFS(BD!$Y$3:$Y$5001,BD!$B$3:$B$5001,D$241,BD!$A$3:$A$5001,_xlfn.MAXIFS(BD!$A$3:$A$5001,BD!$B$3:$B$5001,D$241,BD!$A$3:$A$5001,"&gt;="&amp;$C$7,BD!$A$3:$A$5001,"&lt;="&amp;$B265,BD!$Y$3:$Y$5001,"&lt;&gt;"))))</f>
        <v/>
      </c>
      <c r="E265" s="43" t="str">
        <f>IF(OR($B265="",$A265&gt;$B$9,E$241=""),"",IF(COUNTIFS(BD!$B$3:$B$5001,E$241,BD!$A$3:$A$5001,"&gt;="&amp;$C$7,BD!$A$3:$A$5001,"&lt;="&amp;$B265,BD!$Y$3:$Y$5001,"&lt;&gt;")=0,"",SUMIFS(BD!$Y$3:$Y$5001,BD!$B$3:$B$5001,E$241,BD!$A$3:$A$5001,_xlfn.MAXIFS(BD!$A$3:$A$5001,BD!$B$3:$B$5001,E$241,BD!$A$3:$A$5001,"&gt;="&amp;$C$7,BD!$A$3:$A$5001,"&lt;="&amp;$B265,BD!$Y$3:$Y$5001,"&lt;&gt;"))))</f>
        <v/>
      </c>
      <c r="F265" s="43" t="str">
        <f>IF(OR($B265="",$A265&gt;$B$9,F$241=""),"",IF(COUNTIFS(BD!$B$3:$B$5001,F$241,BD!$A$3:$A$5001,"&gt;="&amp;$C$7,BD!$A$3:$A$5001,"&lt;="&amp;$B265,BD!$Y$3:$Y$5001,"&lt;&gt;")=0,"",SUMIFS(BD!$Y$3:$Y$5001,BD!$B$3:$B$5001,F$241,BD!$A$3:$A$5001,_xlfn.MAXIFS(BD!$A$3:$A$5001,BD!$B$3:$B$5001,F$241,BD!$A$3:$A$5001,"&gt;="&amp;$C$7,BD!$A$3:$A$5001,"&lt;="&amp;$B265,BD!$Y$3:$Y$5001,"&lt;&gt;"))))</f>
        <v/>
      </c>
      <c r="G265" s="43" t="str">
        <f>IF(OR($B265="",$A265&gt;$B$9,G$241=""),"",IF(COUNTIFS(BD!$B$3:$B$5001,G$241,BD!$A$3:$A$5001,"&gt;="&amp;$C$7,BD!$A$3:$A$5001,"&lt;="&amp;$B265,BD!$Y$3:$Y$5001,"&lt;&gt;")=0,"",SUMIFS(BD!$Y$3:$Y$5001,BD!$B$3:$B$5001,G$241,BD!$A$3:$A$5001,_xlfn.MAXIFS(BD!$A$3:$A$5001,BD!$B$3:$B$5001,G$241,BD!$A$3:$A$5001,"&gt;="&amp;$C$7,BD!$A$3:$A$5001,"&lt;="&amp;$B265,BD!$Y$3:$Y$5001,"&lt;&gt;"))))</f>
        <v/>
      </c>
      <c r="H265" s="43" t="str">
        <f>IF(OR($B265="",$A265&gt;$B$9,H$241=""),"",IF(COUNTIFS(BD!$B$3:$B$5001,H$241,BD!$A$3:$A$5001,"&gt;="&amp;$C$7,BD!$A$3:$A$5001,"&lt;="&amp;$B265,BD!$Y$3:$Y$5001,"&lt;&gt;")=0,"",SUMIFS(BD!$Y$3:$Y$5001,BD!$B$3:$B$5001,H$241,BD!$A$3:$A$5001,_xlfn.MAXIFS(BD!$A$3:$A$5001,BD!$B$3:$B$5001,H$241,BD!$A$3:$A$5001,"&gt;="&amp;$C$7,BD!$A$3:$A$5001,"&lt;="&amp;$B265,BD!$Y$3:$Y$5001,"&lt;&gt;"))))</f>
        <v/>
      </c>
      <c r="I265" s="43" t="str">
        <f>IF(OR($B265="",$A265&gt;$B$9,I$241=""),"",IF(COUNTIFS(BD!$B$3:$B$5001,I$241,BD!$A$3:$A$5001,"&gt;="&amp;$C$7,BD!$A$3:$A$5001,"&lt;="&amp;$B265,BD!$Y$3:$Y$5001,"&lt;&gt;")=0,"",SUMIFS(BD!$Y$3:$Y$5001,BD!$B$3:$B$5001,I$241,BD!$A$3:$A$5001,_xlfn.MAXIFS(BD!$A$3:$A$5001,BD!$B$3:$B$5001,I$241,BD!$A$3:$A$5001,"&gt;="&amp;$C$7,BD!$A$3:$A$5001,"&lt;="&amp;$B265,BD!$Y$3:$Y$5001,"&lt;&gt;"))))</f>
        <v/>
      </c>
      <c r="J265" s="43" t="str">
        <f>IF(OR($B265="",$A265&gt;$B$9,J$241=""),"",IF(COUNTIFS(BD!$B$3:$B$5001,J$241,BD!$A$3:$A$5001,"&gt;="&amp;$C$7,BD!$A$3:$A$5001,"&lt;="&amp;$B265,BD!$Y$3:$Y$5001,"&lt;&gt;")=0,"",SUMIFS(BD!$Y$3:$Y$5001,BD!$B$3:$B$5001,J$241,BD!$A$3:$A$5001,_xlfn.MAXIFS(BD!$A$3:$A$5001,BD!$B$3:$B$5001,J$241,BD!$A$3:$A$5001,"&gt;="&amp;$C$7,BD!$A$3:$A$5001,"&lt;="&amp;$B265,BD!$Y$3:$Y$5001,"&lt;&gt;"))))</f>
        <v/>
      </c>
      <c r="K265" s="43" t="str">
        <f>IF(OR($B265="",$A265&gt;$B$9,K$241=""),"",IF(COUNTIFS(BD!$B$3:$B$5001,K$241,BD!$A$3:$A$5001,"&gt;="&amp;$C$7,BD!$A$3:$A$5001,"&lt;="&amp;$B265,BD!$Y$3:$Y$5001,"&lt;&gt;")=0,"",SUMIFS(BD!$Y$3:$Y$5001,BD!$B$3:$B$5001,K$241,BD!$A$3:$A$5001,_xlfn.MAXIFS(BD!$A$3:$A$5001,BD!$B$3:$B$5001,K$241,BD!$A$3:$A$5001,"&gt;="&amp;$C$7,BD!$A$3:$A$5001,"&lt;="&amp;$B265,BD!$Y$3:$Y$5001,"&lt;&gt;"))))</f>
        <v/>
      </c>
      <c r="L265" s="43" t="str">
        <f>IF(OR($B265="",$A265&gt;$B$9,L$241=""),"",IF(COUNTIFS(BD!$B$3:$B$5001,L$241,BD!$A$3:$A$5001,"&gt;="&amp;$C$7,BD!$A$3:$A$5001,"&lt;="&amp;$B265,BD!$Y$3:$Y$5001,"&lt;&gt;")=0,"",SUMIFS(BD!$Y$3:$Y$5001,BD!$B$3:$B$5001,L$241,BD!$A$3:$A$5001,_xlfn.MAXIFS(BD!$A$3:$A$5001,BD!$B$3:$B$5001,L$241,BD!$A$3:$A$5001,"&gt;="&amp;$C$7,BD!$A$3:$A$5001,"&lt;="&amp;$B265,BD!$Y$3:$Y$5001,"&lt;&gt;"))))</f>
        <v/>
      </c>
      <c r="M265" s="43" t="str">
        <f>IF(OR($B265="",$A265&gt;$B$9,M$241=""),"",IF(COUNTIFS(BD!$B$3:$B$5001,M$241,BD!$A$3:$A$5001,"&gt;="&amp;$C$7,BD!$A$3:$A$5001,"&lt;="&amp;$B265,BD!$Y$3:$Y$5001,"&lt;&gt;")=0,"",SUMIFS(BD!$Y$3:$Y$5001,BD!$B$3:$B$5001,M$241,BD!$A$3:$A$5001,_xlfn.MAXIFS(BD!$A$3:$A$5001,BD!$B$3:$B$5001,M$241,BD!$A$3:$A$5001,"&gt;="&amp;$C$7,BD!$A$3:$A$5001,"&lt;="&amp;$B265,BD!$Y$3:$Y$5001,"&lt;&gt;"))))</f>
        <v/>
      </c>
      <c r="N265" s="43" t="str">
        <f>IF(OR($B265="",$A265&gt;$B$9,N$241=""),"",IF(COUNTIFS(BD!$B$3:$B$5001,N$241,BD!$A$3:$A$5001,"&gt;="&amp;$C$7,BD!$A$3:$A$5001,"&lt;="&amp;$B265,BD!$Y$3:$Y$5001,"&lt;&gt;")=0,"",SUMIFS(BD!$Y$3:$Y$5001,BD!$B$3:$B$5001,N$241,BD!$A$3:$A$5001,_xlfn.MAXIFS(BD!$A$3:$A$5001,BD!$B$3:$B$5001,N$241,BD!$A$3:$A$5001,"&gt;="&amp;$C$7,BD!$A$3:$A$5001,"&lt;="&amp;$B265,BD!$Y$3:$Y$5001,"&lt;&gt;"))))</f>
        <v/>
      </c>
      <c r="O265" s="43" t="str">
        <f>IF(OR($B265="",$A265&gt;$B$9,O$241=""),"",IF(COUNTIFS(BD!$B$3:$B$5001,O$241,BD!$A$3:$A$5001,"&gt;="&amp;$C$7,BD!$A$3:$A$5001,"&lt;="&amp;$B265,BD!$Y$3:$Y$5001,"&lt;&gt;")=0,"",SUMIFS(BD!$Y$3:$Y$5001,BD!$B$3:$B$5001,O$241,BD!$A$3:$A$5001,_xlfn.MAXIFS(BD!$A$3:$A$5001,BD!$B$3:$B$5001,O$241,BD!$A$3:$A$5001,"&gt;="&amp;$C$7,BD!$A$3:$A$5001,"&lt;="&amp;$B265,BD!$Y$3:$Y$5001,"&lt;&gt;"))))</f>
        <v/>
      </c>
      <c r="P265" s="43" t="str">
        <f>IF(OR($B265="",$A265&gt;$B$9,P$241=""),"",IF(COUNTIFS(BD!$B$3:$B$5001,P$241,BD!$A$3:$A$5001,"&gt;="&amp;$C$7,BD!$A$3:$A$5001,"&lt;="&amp;$B265,BD!$Y$3:$Y$5001,"&lt;&gt;")=0,"",SUMIFS(BD!$Y$3:$Y$5001,BD!$B$3:$B$5001,P$241,BD!$A$3:$A$5001,_xlfn.MAXIFS(BD!$A$3:$A$5001,BD!$B$3:$B$5001,P$241,BD!$A$3:$A$5001,"&gt;="&amp;$C$7,BD!$A$3:$A$5001,"&lt;="&amp;$B265,BD!$Y$3:$Y$5001,"&lt;&gt;"))))</f>
        <v/>
      </c>
      <c r="Q265" s="43" t="str">
        <f>IF(OR($B265="",$A265&gt;$B$9,Q$241=""),"",IF(COUNTIFS(BD!$B$3:$B$5001,Q$241,BD!$A$3:$A$5001,"&gt;="&amp;$C$7,BD!$A$3:$A$5001,"&lt;="&amp;$B265,BD!$Y$3:$Y$5001,"&lt;&gt;")=0,"",SUMIFS(BD!$Y$3:$Y$5001,BD!$B$3:$B$5001,Q$241,BD!$A$3:$A$5001,_xlfn.MAXIFS(BD!$A$3:$A$5001,BD!$B$3:$B$5001,Q$241,BD!$A$3:$A$5001,"&gt;="&amp;$C$7,BD!$A$3:$A$5001,"&lt;="&amp;$B265,BD!$Y$3:$Y$5001,"&lt;&gt;"))))</f>
        <v/>
      </c>
      <c r="R265" s="43" t="str">
        <f>IF(OR($B265="",$A265&gt;$B$9,R$241=""),"",IF(COUNTIFS(BD!$B$3:$B$5001,R$241,BD!$A$3:$A$5001,"&gt;="&amp;$C$7,BD!$A$3:$A$5001,"&lt;="&amp;$B265,BD!$Y$3:$Y$5001,"&lt;&gt;")=0,"",SUMIFS(BD!$Y$3:$Y$5001,BD!$B$3:$B$5001,R$241,BD!$A$3:$A$5001,_xlfn.MAXIFS(BD!$A$3:$A$5001,BD!$B$3:$B$5001,R$241,BD!$A$3:$A$5001,"&gt;="&amp;$C$7,BD!$A$3:$A$5001,"&lt;="&amp;$B265,BD!$Y$3:$Y$5001,"&lt;&gt;"))))</f>
        <v/>
      </c>
      <c r="S265" s="43" t="str">
        <f>IF(OR($B265="",$A265&gt;$B$9,S$241=""),"",IF(COUNTIFS(BD!$B$3:$B$5001,S$241,BD!$A$3:$A$5001,"&gt;="&amp;$C$7,BD!$A$3:$A$5001,"&lt;="&amp;$B265,BD!$Y$3:$Y$5001,"&lt;&gt;")=0,"",SUMIFS(BD!$Y$3:$Y$5001,BD!$B$3:$B$5001,S$241,BD!$A$3:$A$5001,_xlfn.MAXIFS(BD!$A$3:$A$5001,BD!$B$3:$B$5001,S$241,BD!$A$3:$A$5001,"&gt;="&amp;$C$7,BD!$A$3:$A$5001,"&lt;="&amp;$B265,BD!$Y$3:$Y$5001,"&lt;&gt;"))))</f>
        <v/>
      </c>
      <c r="T265" s="43" t="str">
        <f>IF(OR($B265="",$A265&gt;$B$9,T$241=""),"",IF(COUNTIFS(BD!$B$3:$B$5001,T$241,BD!$A$3:$A$5001,"&gt;="&amp;$C$7,BD!$A$3:$A$5001,"&lt;="&amp;$B265,BD!$Y$3:$Y$5001,"&lt;&gt;")=0,"",SUMIFS(BD!$Y$3:$Y$5001,BD!$B$3:$B$5001,T$241,BD!$A$3:$A$5001,_xlfn.MAXIFS(BD!$A$3:$A$5001,BD!$B$3:$B$5001,T$241,BD!$A$3:$A$5001,"&gt;="&amp;$C$7,BD!$A$3:$A$5001,"&lt;="&amp;$B265,BD!$Y$3:$Y$5001,"&lt;&gt;"))))</f>
        <v/>
      </c>
      <c r="U265" s="43" t="str">
        <f>IF(OR($B265="",$A265&gt;$B$9,U$241=""),"",IF(COUNTIFS(BD!$B$3:$B$5001,U$241,BD!$A$3:$A$5001,"&gt;="&amp;$C$7,BD!$A$3:$A$5001,"&lt;="&amp;$B265,BD!$Y$3:$Y$5001,"&lt;&gt;")=0,"",SUMIFS(BD!$Y$3:$Y$5001,BD!$B$3:$B$5001,U$241,BD!$A$3:$A$5001,_xlfn.MAXIFS(BD!$A$3:$A$5001,BD!$B$3:$B$5001,U$241,BD!$A$3:$A$5001,"&gt;="&amp;$C$7,BD!$A$3:$A$5001,"&lt;="&amp;$B265,BD!$Y$3:$Y$5001,"&lt;&gt;"))))</f>
        <v/>
      </c>
      <c r="V265" s="43" t="str">
        <f>IF(OR($B265="",$A265&gt;$B$9,V$241=""),"",IF(COUNTIFS(BD!$B$3:$B$5001,V$241,BD!$A$3:$A$5001,"&gt;="&amp;$C$7,BD!$A$3:$A$5001,"&lt;="&amp;$B265,BD!$Y$3:$Y$5001,"&lt;&gt;")=0,"",SUMIFS(BD!$Y$3:$Y$5001,BD!$B$3:$B$5001,V$241,BD!$A$3:$A$5001,_xlfn.MAXIFS(BD!$A$3:$A$5001,BD!$B$3:$B$5001,V$241,BD!$A$3:$A$5001,"&gt;="&amp;$C$7,BD!$A$3:$A$5001,"&lt;="&amp;$B265,BD!$Y$3:$Y$5001,"&lt;&gt;"))))</f>
        <v/>
      </c>
    </row>
    <row r="266">
      <c r="A266" s="38">
        <v>25</v>
      </c>
      <c r="B266" s="42">
        <f>$B$36</f>
        <v>46320</v>
      </c>
      <c r="C266" s="43" t="str">
        <f>IF(OR($B266="",$A266&gt;$B$9,C$241=""),"",IF(COUNTIFS(BD!$B$3:$B$5001,C$241,BD!$A$3:$A$5001,"&gt;="&amp;$C$7,BD!$A$3:$A$5001,"&lt;="&amp;$B266,BD!$Y$3:$Y$5001,"&lt;&gt;")=0,"",SUMIFS(BD!$Y$3:$Y$5001,BD!$B$3:$B$5001,C$241,BD!$A$3:$A$5001,_xlfn.MAXIFS(BD!$A$3:$A$5001,BD!$B$3:$B$5001,C$241,BD!$A$3:$A$5001,"&gt;="&amp;$C$7,BD!$A$3:$A$5001,"&lt;="&amp;$B266,BD!$Y$3:$Y$5001,"&lt;&gt;"))))</f>
        <v/>
      </c>
      <c r="D266" s="43" t="str">
        <f>IF(OR($B266="",$A266&gt;$B$9,D$241=""),"",IF(COUNTIFS(BD!$B$3:$B$5001,D$241,BD!$A$3:$A$5001,"&gt;="&amp;$C$7,BD!$A$3:$A$5001,"&lt;="&amp;$B266,BD!$Y$3:$Y$5001,"&lt;&gt;")=0,"",SUMIFS(BD!$Y$3:$Y$5001,BD!$B$3:$B$5001,D$241,BD!$A$3:$A$5001,_xlfn.MAXIFS(BD!$A$3:$A$5001,BD!$B$3:$B$5001,D$241,BD!$A$3:$A$5001,"&gt;="&amp;$C$7,BD!$A$3:$A$5001,"&lt;="&amp;$B266,BD!$Y$3:$Y$5001,"&lt;&gt;"))))</f>
        <v/>
      </c>
      <c r="E266" s="43" t="str">
        <f>IF(OR($B266="",$A266&gt;$B$9,E$241=""),"",IF(COUNTIFS(BD!$B$3:$B$5001,E$241,BD!$A$3:$A$5001,"&gt;="&amp;$C$7,BD!$A$3:$A$5001,"&lt;="&amp;$B266,BD!$Y$3:$Y$5001,"&lt;&gt;")=0,"",SUMIFS(BD!$Y$3:$Y$5001,BD!$B$3:$B$5001,E$241,BD!$A$3:$A$5001,_xlfn.MAXIFS(BD!$A$3:$A$5001,BD!$B$3:$B$5001,E$241,BD!$A$3:$A$5001,"&gt;="&amp;$C$7,BD!$A$3:$A$5001,"&lt;="&amp;$B266,BD!$Y$3:$Y$5001,"&lt;&gt;"))))</f>
        <v/>
      </c>
      <c r="F266" s="43" t="str">
        <f>IF(OR($B266="",$A266&gt;$B$9,F$241=""),"",IF(COUNTIFS(BD!$B$3:$B$5001,F$241,BD!$A$3:$A$5001,"&gt;="&amp;$C$7,BD!$A$3:$A$5001,"&lt;="&amp;$B266,BD!$Y$3:$Y$5001,"&lt;&gt;")=0,"",SUMIFS(BD!$Y$3:$Y$5001,BD!$B$3:$B$5001,F$241,BD!$A$3:$A$5001,_xlfn.MAXIFS(BD!$A$3:$A$5001,BD!$B$3:$B$5001,F$241,BD!$A$3:$A$5001,"&gt;="&amp;$C$7,BD!$A$3:$A$5001,"&lt;="&amp;$B266,BD!$Y$3:$Y$5001,"&lt;&gt;"))))</f>
        <v/>
      </c>
      <c r="G266" s="43" t="str">
        <f>IF(OR($B266="",$A266&gt;$B$9,G$241=""),"",IF(COUNTIFS(BD!$B$3:$B$5001,G$241,BD!$A$3:$A$5001,"&gt;="&amp;$C$7,BD!$A$3:$A$5001,"&lt;="&amp;$B266,BD!$Y$3:$Y$5001,"&lt;&gt;")=0,"",SUMIFS(BD!$Y$3:$Y$5001,BD!$B$3:$B$5001,G$241,BD!$A$3:$A$5001,_xlfn.MAXIFS(BD!$A$3:$A$5001,BD!$B$3:$B$5001,G$241,BD!$A$3:$A$5001,"&gt;="&amp;$C$7,BD!$A$3:$A$5001,"&lt;="&amp;$B266,BD!$Y$3:$Y$5001,"&lt;&gt;"))))</f>
        <v/>
      </c>
      <c r="H266" s="43" t="str">
        <f>IF(OR($B266="",$A266&gt;$B$9,H$241=""),"",IF(COUNTIFS(BD!$B$3:$B$5001,H$241,BD!$A$3:$A$5001,"&gt;="&amp;$C$7,BD!$A$3:$A$5001,"&lt;="&amp;$B266,BD!$Y$3:$Y$5001,"&lt;&gt;")=0,"",SUMIFS(BD!$Y$3:$Y$5001,BD!$B$3:$B$5001,H$241,BD!$A$3:$A$5001,_xlfn.MAXIFS(BD!$A$3:$A$5001,BD!$B$3:$B$5001,H$241,BD!$A$3:$A$5001,"&gt;="&amp;$C$7,BD!$A$3:$A$5001,"&lt;="&amp;$B266,BD!$Y$3:$Y$5001,"&lt;&gt;"))))</f>
        <v/>
      </c>
      <c r="I266" s="43" t="str">
        <f>IF(OR($B266="",$A266&gt;$B$9,I$241=""),"",IF(COUNTIFS(BD!$B$3:$B$5001,I$241,BD!$A$3:$A$5001,"&gt;="&amp;$C$7,BD!$A$3:$A$5001,"&lt;="&amp;$B266,BD!$Y$3:$Y$5001,"&lt;&gt;")=0,"",SUMIFS(BD!$Y$3:$Y$5001,BD!$B$3:$B$5001,I$241,BD!$A$3:$A$5001,_xlfn.MAXIFS(BD!$A$3:$A$5001,BD!$B$3:$B$5001,I$241,BD!$A$3:$A$5001,"&gt;="&amp;$C$7,BD!$A$3:$A$5001,"&lt;="&amp;$B266,BD!$Y$3:$Y$5001,"&lt;&gt;"))))</f>
        <v/>
      </c>
      <c r="J266" s="43" t="str">
        <f>IF(OR($B266="",$A266&gt;$B$9,J$241=""),"",IF(COUNTIFS(BD!$B$3:$B$5001,J$241,BD!$A$3:$A$5001,"&gt;="&amp;$C$7,BD!$A$3:$A$5001,"&lt;="&amp;$B266,BD!$Y$3:$Y$5001,"&lt;&gt;")=0,"",SUMIFS(BD!$Y$3:$Y$5001,BD!$B$3:$B$5001,J$241,BD!$A$3:$A$5001,_xlfn.MAXIFS(BD!$A$3:$A$5001,BD!$B$3:$B$5001,J$241,BD!$A$3:$A$5001,"&gt;="&amp;$C$7,BD!$A$3:$A$5001,"&lt;="&amp;$B266,BD!$Y$3:$Y$5001,"&lt;&gt;"))))</f>
        <v/>
      </c>
      <c r="K266" s="43" t="str">
        <f>IF(OR($B266="",$A266&gt;$B$9,K$241=""),"",IF(COUNTIFS(BD!$B$3:$B$5001,K$241,BD!$A$3:$A$5001,"&gt;="&amp;$C$7,BD!$A$3:$A$5001,"&lt;="&amp;$B266,BD!$Y$3:$Y$5001,"&lt;&gt;")=0,"",SUMIFS(BD!$Y$3:$Y$5001,BD!$B$3:$B$5001,K$241,BD!$A$3:$A$5001,_xlfn.MAXIFS(BD!$A$3:$A$5001,BD!$B$3:$B$5001,K$241,BD!$A$3:$A$5001,"&gt;="&amp;$C$7,BD!$A$3:$A$5001,"&lt;="&amp;$B266,BD!$Y$3:$Y$5001,"&lt;&gt;"))))</f>
        <v/>
      </c>
      <c r="L266" s="43" t="str">
        <f>IF(OR($B266="",$A266&gt;$B$9,L$241=""),"",IF(COUNTIFS(BD!$B$3:$B$5001,L$241,BD!$A$3:$A$5001,"&gt;="&amp;$C$7,BD!$A$3:$A$5001,"&lt;="&amp;$B266,BD!$Y$3:$Y$5001,"&lt;&gt;")=0,"",SUMIFS(BD!$Y$3:$Y$5001,BD!$B$3:$B$5001,L$241,BD!$A$3:$A$5001,_xlfn.MAXIFS(BD!$A$3:$A$5001,BD!$B$3:$B$5001,L$241,BD!$A$3:$A$5001,"&gt;="&amp;$C$7,BD!$A$3:$A$5001,"&lt;="&amp;$B266,BD!$Y$3:$Y$5001,"&lt;&gt;"))))</f>
        <v/>
      </c>
      <c r="M266" s="43" t="str">
        <f>IF(OR($B266="",$A266&gt;$B$9,M$241=""),"",IF(COUNTIFS(BD!$B$3:$B$5001,M$241,BD!$A$3:$A$5001,"&gt;="&amp;$C$7,BD!$A$3:$A$5001,"&lt;="&amp;$B266,BD!$Y$3:$Y$5001,"&lt;&gt;")=0,"",SUMIFS(BD!$Y$3:$Y$5001,BD!$B$3:$B$5001,M$241,BD!$A$3:$A$5001,_xlfn.MAXIFS(BD!$A$3:$A$5001,BD!$B$3:$B$5001,M$241,BD!$A$3:$A$5001,"&gt;="&amp;$C$7,BD!$A$3:$A$5001,"&lt;="&amp;$B266,BD!$Y$3:$Y$5001,"&lt;&gt;"))))</f>
        <v/>
      </c>
      <c r="N266" s="43" t="str">
        <f>IF(OR($B266="",$A266&gt;$B$9,N$241=""),"",IF(COUNTIFS(BD!$B$3:$B$5001,N$241,BD!$A$3:$A$5001,"&gt;="&amp;$C$7,BD!$A$3:$A$5001,"&lt;="&amp;$B266,BD!$Y$3:$Y$5001,"&lt;&gt;")=0,"",SUMIFS(BD!$Y$3:$Y$5001,BD!$B$3:$B$5001,N$241,BD!$A$3:$A$5001,_xlfn.MAXIFS(BD!$A$3:$A$5001,BD!$B$3:$B$5001,N$241,BD!$A$3:$A$5001,"&gt;="&amp;$C$7,BD!$A$3:$A$5001,"&lt;="&amp;$B266,BD!$Y$3:$Y$5001,"&lt;&gt;"))))</f>
        <v/>
      </c>
      <c r="O266" s="43" t="str">
        <f>IF(OR($B266="",$A266&gt;$B$9,O$241=""),"",IF(COUNTIFS(BD!$B$3:$B$5001,O$241,BD!$A$3:$A$5001,"&gt;="&amp;$C$7,BD!$A$3:$A$5001,"&lt;="&amp;$B266,BD!$Y$3:$Y$5001,"&lt;&gt;")=0,"",SUMIFS(BD!$Y$3:$Y$5001,BD!$B$3:$B$5001,O$241,BD!$A$3:$A$5001,_xlfn.MAXIFS(BD!$A$3:$A$5001,BD!$B$3:$B$5001,O$241,BD!$A$3:$A$5001,"&gt;="&amp;$C$7,BD!$A$3:$A$5001,"&lt;="&amp;$B266,BD!$Y$3:$Y$5001,"&lt;&gt;"))))</f>
        <v/>
      </c>
      <c r="P266" s="43" t="str">
        <f>IF(OR($B266="",$A266&gt;$B$9,P$241=""),"",IF(COUNTIFS(BD!$B$3:$B$5001,P$241,BD!$A$3:$A$5001,"&gt;="&amp;$C$7,BD!$A$3:$A$5001,"&lt;="&amp;$B266,BD!$Y$3:$Y$5001,"&lt;&gt;")=0,"",SUMIFS(BD!$Y$3:$Y$5001,BD!$B$3:$B$5001,P$241,BD!$A$3:$A$5001,_xlfn.MAXIFS(BD!$A$3:$A$5001,BD!$B$3:$B$5001,P$241,BD!$A$3:$A$5001,"&gt;="&amp;$C$7,BD!$A$3:$A$5001,"&lt;="&amp;$B266,BD!$Y$3:$Y$5001,"&lt;&gt;"))))</f>
        <v/>
      </c>
      <c r="Q266" s="43" t="str">
        <f>IF(OR($B266="",$A266&gt;$B$9,Q$241=""),"",IF(COUNTIFS(BD!$B$3:$B$5001,Q$241,BD!$A$3:$A$5001,"&gt;="&amp;$C$7,BD!$A$3:$A$5001,"&lt;="&amp;$B266,BD!$Y$3:$Y$5001,"&lt;&gt;")=0,"",SUMIFS(BD!$Y$3:$Y$5001,BD!$B$3:$B$5001,Q$241,BD!$A$3:$A$5001,_xlfn.MAXIFS(BD!$A$3:$A$5001,BD!$B$3:$B$5001,Q$241,BD!$A$3:$A$5001,"&gt;="&amp;$C$7,BD!$A$3:$A$5001,"&lt;="&amp;$B266,BD!$Y$3:$Y$5001,"&lt;&gt;"))))</f>
        <v/>
      </c>
      <c r="R266" s="43" t="str">
        <f>IF(OR($B266="",$A266&gt;$B$9,R$241=""),"",IF(COUNTIFS(BD!$B$3:$B$5001,R$241,BD!$A$3:$A$5001,"&gt;="&amp;$C$7,BD!$A$3:$A$5001,"&lt;="&amp;$B266,BD!$Y$3:$Y$5001,"&lt;&gt;")=0,"",SUMIFS(BD!$Y$3:$Y$5001,BD!$B$3:$B$5001,R$241,BD!$A$3:$A$5001,_xlfn.MAXIFS(BD!$A$3:$A$5001,BD!$B$3:$B$5001,R$241,BD!$A$3:$A$5001,"&gt;="&amp;$C$7,BD!$A$3:$A$5001,"&lt;="&amp;$B266,BD!$Y$3:$Y$5001,"&lt;&gt;"))))</f>
        <v/>
      </c>
      <c r="S266" s="43" t="str">
        <f>IF(OR($B266="",$A266&gt;$B$9,S$241=""),"",IF(COUNTIFS(BD!$B$3:$B$5001,S$241,BD!$A$3:$A$5001,"&gt;="&amp;$C$7,BD!$A$3:$A$5001,"&lt;="&amp;$B266,BD!$Y$3:$Y$5001,"&lt;&gt;")=0,"",SUMIFS(BD!$Y$3:$Y$5001,BD!$B$3:$B$5001,S$241,BD!$A$3:$A$5001,_xlfn.MAXIFS(BD!$A$3:$A$5001,BD!$B$3:$B$5001,S$241,BD!$A$3:$A$5001,"&gt;="&amp;$C$7,BD!$A$3:$A$5001,"&lt;="&amp;$B266,BD!$Y$3:$Y$5001,"&lt;&gt;"))))</f>
        <v/>
      </c>
      <c r="T266" s="43" t="str">
        <f>IF(OR($B266="",$A266&gt;$B$9,T$241=""),"",IF(COUNTIFS(BD!$B$3:$B$5001,T$241,BD!$A$3:$A$5001,"&gt;="&amp;$C$7,BD!$A$3:$A$5001,"&lt;="&amp;$B266,BD!$Y$3:$Y$5001,"&lt;&gt;")=0,"",SUMIFS(BD!$Y$3:$Y$5001,BD!$B$3:$B$5001,T$241,BD!$A$3:$A$5001,_xlfn.MAXIFS(BD!$A$3:$A$5001,BD!$B$3:$B$5001,T$241,BD!$A$3:$A$5001,"&gt;="&amp;$C$7,BD!$A$3:$A$5001,"&lt;="&amp;$B266,BD!$Y$3:$Y$5001,"&lt;&gt;"))))</f>
        <v/>
      </c>
      <c r="U266" s="43" t="str">
        <f>IF(OR($B266="",$A266&gt;$B$9,U$241=""),"",IF(COUNTIFS(BD!$B$3:$B$5001,U$241,BD!$A$3:$A$5001,"&gt;="&amp;$C$7,BD!$A$3:$A$5001,"&lt;="&amp;$B266,BD!$Y$3:$Y$5001,"&lt;&gt;")=0,"",SUMIFS(BD!$Y$3:$Y$5001,BD!$B$3:$B$5001,U$241,BD!$A$3:$A$5001,_xlfn.MAXIFS(BD!$A$3:$A$5001,BD!$B$3:$B$5001,U$241,BD!$A$3:$A$5001,"&gt;="&amp;$C$7,BD!$A$3:$A$5001,"&lt;="&amp;$B266,BD!$Y$3:$Y$5001,"&lt;&gt;"))))</f>
        <v/>
      </c>
      <c r="V266" s="43" t="str">
        <f>IF(OR($B266="",$A266&gt;$B$9,V$241=""),"",IF(COUNTIFS(BD!$B$3:$B$5001,V$241,BD!$A$3:$A$5001,"&gt;="&amp;$C$7,BD!$A$3:$A$5001,"&lt;="&amp;$B266,BD!$Y$3:$Y$5001,"&lt;&gt;")=0,"",SUMIFS(BD!$Y$3:$Y$5001,BD!$B$3:$B$5001,V$241,BD!$A$3:$A$5001,_xlfn.MAXIFS(BD!$A$3:$A$5001,BD!$B$3:$B$5001,V$241,BD!$A$3:$A$5001,"&gt;="&amp;$C$7,BD!$A$3:$A$5001,"&lt;="&amp;$B266,BD!$Y$3:$Y$5001,"&lt;&gt;"))))</f>
        <v/>
      </c>
    </row>
    <row r="267">
      <c r="A267" s="38">
        <v>26</v>
      </c>
      <c r="B267" s="42">
        <f>$B$37</f>
        <v>46321</v>
      </c>
      <c r="C267" s="43" t="str">
        <f>IF(OR($B267="",$A267&gt;$B$9,C$241=""),"",IF(COUNTIFS(BD!$B$3:$B$5001,C$241,BD!$A$3:$A$5001,"&gt;="&amp;$C$7,BD!$A$3:$A$5001,"&lt;="&amp;$B267,BD!$Y$3:$Y$5001,"&lt;&gt;")=0,"",SUMIFS(BD!$Y$3:$Y$5001,BD!$B$3:$B$5001,C$241,BD!$A$3:$A$5001,_xlfn.MAXIFS(BD!$A$3:$A$5001,BD!$B$3:$B$5001,C$241,BD!$A$3:$A$5001,"&gt;="&amp;$C$7,BD!$A$3:$A$5001,"&lt;="&amp;$B267,BD!$Y$3:$Y$5001,"&lt;&gt;"))))</f>
        <v/>
      </c>
      <c r="D267" s="43" t="str">
        <f>IF(OR($B267="",$A267&gt;$B$9,D$241=""),"",IF(COUNTIFS(BD!$B$3:$B$5001,D$241,BD!$A$3:$A$5001,"&gt;="&amp;$C$7,BD!$A$3:$A$5001,"&lt;="&amp;$B267,BD!$Y$3:$Y$5001,"&lt;&gt;")=0,"",SUMIFS(BD!$Y$3:$Y$5001,BD!$B$3:$B$5001,D$241,BD!$A$3:$A$5001,_xlfn.MAXIFS(BD!$A$3:$A$5001,BD!$B$3:$B$5001,D$241,BD!$A$3:$A$5001,"&gt;="&amp;$C$7,BD!$A$3:$A$5001,"&lt;="&amp;$B267,BD!$Y$3:$Y$5001,"&lt;&gt;"))))</f>
        <v/>
      </c>
      <c r="E267" s="43" t="str">
        <f>IF(OR($B267="",$A267&gt;$B$9,E$241=""),"",IF(COUNTIFS(BD!$B$3:$B$5001,E$241,BD!$A$3:$A$5001,"&gt;="&amp;$C$7,BD!$A$3:$A$5001,"&lt;="&amp;$B267,BD!$Y$3:$Y$5001,"&lt;&gt;")=0,"",SUMIFS(BD!$Y$3:$Y$5001,BD!$B$3:$B$5001,E$241,BD!$A$3:$A$5001,_xlfn.MAXIFS(BD!$A$3:$A$5001,BD!$B$3:$B$5001,E$241,BD!$A$3:$A$5001,"&gt;="&amp;$C$7,BD!$A$3:$A$5001,"&lt;="&amp;$B267,BD!$Y$3:$Y$5001,"&lt;&gt;"))))</f>
        <v/>
      </c>
      <c r="F267" s="43" t="str">
        <f>IF(OR($B267="",$A267&gt;$B$9,F$241=""),"",IF(COUNTIFS(BD!$B$3:$B$5001,F$241,BD!$A$3:$A$5001,"&gt;="&amp;$C$7,BD!$A$3:$A$5001,"&lt;="&amp;$B267,BD!$Y$3:$Y$5001,"&lt;&gt;")=0,"",SUMIFS(BD!$Y$3:$Y$5001,BD!$B$3:$B$5001,F$241,BD!$A$3:$A$5001,_xlfn.MAXIFS(BD!$A$3:$A$5001,BD!$B$3:$B$5001,F$241,BD!$A$3:$A$5001,"&gt;="&amp;$C$7,BD!$A$3:$A$5001,"&lt;="&amp;$B267,BD!$Y$3:$Y$5001,"&lt;&gt;"))))</f>
        <v/>
      </c>
      <c r="G267" s="43" t="str">
        <f>IF(OR($B267="",$A267&gt;$B$9,G$241=""),"",IF(COUNTIFS(BD!$B$3:$B$5001,G$241,BD!$A$3:$A$5001,"&gt;="&amp;$C$7,BD!$A$3:$A$5001,"&lt;="&amp;$B267,BD!$Y$3:$Y$5001,"&lt;&gt;")=0,"",SUMIFS(BD!$Y$3:$Y$5001,BD!$B$3:$B$5001,G$241,BD!$A$3:$A$5001,_xlfn.MAXIFS(BD!$A$3:$A$5001,BD!$B$3:$B$5001,G$241,BD!$A$3:$A$5001,"&gt;="&amp;$C$7,BD!$A$3:$A$5001,"&lt;="&amp;$B267,BD!$Y$3:$Y$5001,"&lt;&gt;"))))</f>
        <v/>
      </c>
      <c r="H267" s="43" t="str">
        <f>IF(OR($B267="",$A267&gt;$B$9,H$241=""),"",IF(COUNTIFS(BD!$B$3:$B$5001,H$241,BD!$A$3:$A$5001,"&gt;="&amp;$C$7,BD!$A$3:$A$5001,"&lt;="&amp;$B267,BD!$Y$3:$Y$5001,"&lt;&gt;")=0,"",SUMIFS(BD!$Y$3:$Y$5001,BD!$B$3:$B$5001,H$241,BD!$A$3:$A$5001,_xlfn.MAXIFS(BD!$A$3:$A$5001,BD!$B$3:$B$5001,H$241,BD!$A$3:$A$5001,"&gt;="&amp;$C$7,BD!$A$3:$A$5001,"&lt;="&amp;$B267,BD!$Y$3:$Y$5001,"&lt;&gt;"))))</f>
        <v/>
      </c>
      <c r="I267" s="43" t="str">
        <f>IF(OR($B267="",$A267&gt;$B$9,I$241=""),"",IF(COUNTIFS(BD!$B$3:$B$5001,I$241,BD!$A$3:$A$5001,"&gt;="&amp;$C$7,BD!$A$3:$A$5001,"&lt;="&amp;$B267,BD!$Y$3:$Y$5001,"&lt;&gt;")=0,"",SUMIFS(BD!$Y$3:$Y$5001,BD!$B$3:$B$5001,I$241,BD!$A$3:$A$5001,_xlfn.MAXIFS(BD!$A$3:$A$5001,BD!$B$3:$B$5001,I$241,BD!$A$3:$A$5001,"&gt;="&amp;$C$7,BD!$A$3:$A$5001,"&lt;="&amp;$B267,BD!$Y$3:$Y$5001,"&lt;&gt;"))))</f>
        <v/>
      </c>
      <c r="J267" s="43" t="str">
        <f>IF(OR($B267="",$A267&gt;$B$9,J$241=""),"",IF(COUNTIFS(BD!$B$3:$B$5001,J$241,BD!$A$3:$A$5001,"&gt;="&amp;$C$7,BD!$A$3:$A$5001,"&lt;="&amp;$B267,BD!$Y$3:$Y$5001,"&lt;&gt;")=0,"",SUMIFS(BD!$Y$3:$Y$5001,BD!$B$3:$B$5001,J$241,BD!$A$3:$A$5001,_xlfn.MAXIFS(BD!$A$3:$A$5001,BD!$B$3:$B$5001,J$241,BD!$A$3:$A$5001,"&gt;="&amp;$C$7,BD!$A$3:$A$5001,"&lt;="&amp;$B267,BD!$Y$3:$Y$5001,"&lt;&gt;"))))</f>
        <v/>
      </c>
      <c r="K267" s="43" t="str">
        <f>IF(OR($B267="",$A267&gt;$B$9,K$241=""),"",IF(COUNTIFS(BD!$B$3:$B$5001,K$241,BD!$A$3:$A$5001,"&gt;="&amp;$C$7,BD!$A$3:$A$5001,"&lt;="&amp;$B267,BD!$Y$3:$Y$5001,"&lt;&gt;")=0,"",SUMIFS(BD!$Y$3:$Y$5001,BD!$B$3:$B$5001,K$241,BD!$A$3:$A$5001,_xlfn.MAXIFS(BD!$A$3:$A$5001,BD!$B$3:$B$5001,K$241,BD!$A$3:$A$5001,"&gt;="&amp;$C$7,BD!$A$3:$A$5001,"&lt;="&amp;$B267,BD!$Y$3:$Y$5001,"&lt;&gt;"))))</f>
        <v/>
      </c>
      <c r="L267" s="43" t="str">
        <f>IF(OR($B267="",$A267&gt;$B$9,L$241=""),"",IF(COUNTIFS(BD!$B$3:$B$5001,L$241,BD!$A$3:$A$5001,"&gt;="&amp;$C$7,BD!$A$3:$A$5001,"&lt;="&amp;$B267,BD!$Y$3:$Y$5001,"&lt;&gt;")=0,"",SUMIFS(BD!$Y$3:$Y$5001,BD!$B$3:$B$5001,L$241,BD!$A$3:$A$5001,_xlfn.MAXIFS(BD!$A$3:$A$5001,BD!$B$3:$B$5001,L$241,BD!$A$3:$A$5001,"&gt;="&amp;$C$7,BD!$A$3:$A$5001,"&lt;="&amp;$B267,BD!$Y$3:$Y$5001,"&lt;&gt;"))))</f>
        <v/>
      </c>
      <c r="M267" s="43" t="str">
        <f>IF(OR($B267="",$A267&gt;$B$9,M$241=""),"",IF(COUNTIFS(BD!$B$3:$B$5001,M$241,BD!$A$3:$A$5001,"&gt;="&amp;$C$7,BD!$A$3:$A$5001,"&lt;="&amp;$B267,BD!$Y$3:$Y$5001,"&lt;&gt;")=0,"",SUMIFS(BD!$Y$3:$Y$5001,BD!$B$3:$B$5001,M$241,BD!$A$3:$A$5001,_xlfn.MAXIFS(BD!$A$3:$A$5001,BD!$B$3:$B$5001,M$241,BD!$A$3:$A$5001,"&gt;="&amp;$C$7,BD!$A$3:$A$5001,"&lt;="&amp;$B267,BD!$Y$3:$Y$5001,"&lt;&gt;"))))</f>
        <v/>
      </c>
      <c r="N267" s="43" t="str">
        <f>IF(OR($B267="",$A267&gt;$B$9,N$241=""),"",IF(COUNTIFS(BD!$B$3:$B$5001,N$241,BD!$A$3:$A$5001,"&gt;="&amp;$C$7,BD!$A$3:$A$5001,"&lt;="&amp;$B267,BD!$Y$3:$Y$5001,"&lt;&gt;")=0,"",SUMIFS(BD!$Y$3:$Y$5001,BD!$B$3:$B$5001,N$241,BD!$A$3:$A$5001,_xlfn.MAXIFS(BD!$A$3:$A$5001,BD!$B$3:$B$5001,N$241,BD!$A$3:$A$5001,"&gt;="&amp;$C$7,BD!$A$3:$A$5001,"&lt;="&amp;$B267,BD!$Y$3:$Y$5001,"&lt;&gt;"))))</f>
        <v/>
      </c>
      <c r="O267" s="43" t="str">
        <f>IF(OR($B267="",$A267&gt;$B$9,O$241=""),"",IF(COUNTIFS(BD!$B$3:$B$5001,O$241,BD!$A$3:$A$5001,"&gt;="&amp;$C$7,BD!$A$3:$A$5001,"&lt;="&amp;$B267,BD!$Y$3:$Y$5001,"&lt;&gt;")=0,"",SUMIFS(BD!$Y$3:$Y$5001,BD!$B$3:$B$5001,O$241,BD!$A$3:$A$5001,_xlfn.MAXIFS(BD!$A$3:$A$5001,BD!$B$3:$B$5001,O$241,BD!$A$3:$A$5001,"&gt;="&amp;$C$7,BD!$A$3:$A$5001,"&lt;="&amp;$B267,BD!$Y$3:$Y$5001,"&lt;&gt;"))))</f>
        <v/>
      </c>
      <c r="P267" s="43" t="str">
        <f>IF(OR($B267="",$A267&gt;$B$9,P$241=""),"",IF(COUNTIFS(BD!$B$3:$B$5001,P$241,BD!$A$3:$A$5001,"&gt;="&amp;$C$7,BD!$A$3:$A$5001,"&lt;="&amp;$B267,BD!$Y$3:$Y$5001,"&lt;&gt;")=0,"",SUMIFS(BD!$Y$3:$Y$5001,BD!$B$3:$B$5001,P$241,BD!$A$3:$A$5001,_xlfn.MAXIFS(BD!$A$3:$A$5001,BD!$B$3:$B$5001,P$241,BD!$A$3:$A$5001,"&gt;="&amp;$C$7,BD!$A$3:$A$5001,"&lt;="&amp;$B267,BD!$Y$3:$Y$5001,"&lt;&gt;"))))</f>
        <v/>
      </c>
      <c r="Q267" s="43" t="str">
        <f>IF(OR($B267="",$A267&gt;$B$9,Q$241=""),"",IF(COUNTIFS(BD!$B$3:$B$5001,Q$241,BD!$A$3:$A$5001,"&gt;="&amp;$C$7,BD!$A$3:$A$5001,"&lt;="&amp;$B267,BD!$Y$3:$Y$5001,"&lt;&gt;")=0,"",SUMIFS(BD!$Y$3:$Y$5001,BD!$B$3:$B$5001,Q$241,BD!$A$3:$A$5001,_xlfn.MAXIFS(BD!$A$3:$A$5001,BD!$B$3:$B$5001,Q$241,BD!$A$3:$A$5001,"&gt;="&amp;$C$7,BD!$A$3:$A$5001,"&lt;="&amp;$B267,BD!$Y$3:$Y$5001,"&lt;&gt;"))))</f>
        <v/>
      </c>
      <c r="R267" s="43" t="str">
        <f>IF(OR($B267="",$A267&gt;$B$9,R$241=""),"",IF(COUNTIFS(BD!$B$3:$B$5001,R$241,BD!$A$3:$A$5001,"&gt;="&amp;$C$7,BD!$A$3:$A$5001,"&lt;="&amp;$B267,BD!$Y$3:$Y$5001,"&lt;&gt;")=0,"",SUMIFS(BD!$Y$3:$Y$5001,BD!$B$3:$B$5001,R$241,BD!$A$3:$A$5001,_xlfn.MAXIFS(BD!$A$3:$A$5001,BD!$B$3:$B$5001,R$241,BD!$A$3:$A$5001,"&gt;="&amp;$C$7,BD!$A$3:$A$5001,"&lt;="&amp;$B267,BD!$Y$3:$Y$5001,"&lt;&gt;"))))</f>
        <v/>
      </c>
      <c r="S267" s="43" t="str">
        <f>IF(OR($B267="",$A267&gt;$B$9,S$241=""),"",IF(COUNTIFS(BD!$B$3:$B$5001,S$241,BD!$A$3:$A$5001,"&gt;="&amp;$C$7,BD!$A$3:$A$5001,"&lt;="&amp;$B267,BD!$Y$3:$Y$5001,"&lt;&gt;")=0,"",SUMIFS(BD!$Y$3:$Y$5001,BD!$B$3:$B$5001,S$241,BD!$A$3:$A$5001,_xlfn.MAXIFS(BD!$A$3:$A$5001,BD!$B$3:$B$5001,S$241,BD!$A$3:$A$5001,"&gt;="&amp;$C$7,BD!$A$3:$A$5001,"&lt;="&amp;$B267,BD!$Y$3:$Y$5001,"&lt;&gt;"))))</f>
        <v/>
      </c>
      <c r="T267" s="43" t="str">
        <f>IF(OR($B267="",$A267&gt;$B$9,T$241=""),"",IF(COUNTIFS(BD!$B$3:$B$5001,T$241,BD!$A$3:$A$5001,"&gt;="&amp;$C$7,BD!$A$3:$A$5001,"&lt;="&amp;$B267,BD!$Y$3:$Y$5001,"&lt;&gt;")=0,"",SUMIFS(BD!$Y$3:$Y$5001,BD!$B$3:$B$5001,T$241,BD!$A$3:$A$5001,_xlfn.MAXIFS(BD!$A$3:$A$5001,BD!$B$3:$B$5001,T$241,BD!$A$3:$A$5001,"&gt;="&amp;$C$7,BD!$A$3:$A$5001,"&lt;="&amp;$B267,BD!$Y$3:$Y$5001,"&lt;&gt;"))))</f>
        <v/>
      </c>
      <c r="U267" s="43" t="str">
        <f>IF(OR($B267="",$A267&gt;$B$9,U$241=""),"",IF(COUNTIFS(BD!$B$3:$B$5001,U$241,BD!$A$3:$A$5001,"&gt;="&amp;$C$7,BD!$A$3:$A$5001,"&lt;="&amp;$B267,BD!$Y$3:$Y$5001,"&lt;&gt;")=0,"",SUMIFS(BD!$Y$3:$Y$5001,BD!$B$3:$B$5001,U$241,BD!$A$3:$A$5001,_xlfn.MAXIFS(BD!$A$3:$A$5001,BD!$B$3:$B$5001,U$241,BD!$A$3:$A$5001,"&gt;="&amp;$C$7,BD!$A$3:$A$5001,"&lt;="&amp;$B267,BD!$Y$3:$Y$5001,"&lt;&gt;"))))</f>
        <v/>
      </c>
      <c r="V267" s="43" t="str">
        <f>IF(OR($B267="",$A267&gt;$B$9,V$241=""),"",IF(COUNTIFS(BD!$B$3:$B$5001,V$241,BD!$A$3:$A$5001,"&gt;="&amp;$C$7,BD!$A$3:$A$5001,"&lt;="&amp;$B267,BD!$Y$3:$Y$5001,"&lt;&gt;")=0,"",SUMIFS(BD!$Y$3:$Y$5001,BD!$B$3:$B$5001,V$241,BD!$A$3:$A$5001,_xlfn.MAXIFS(BD!$A$3:$A$5001,BD!$B$3:$B$5001,V$241,BD!$A$3:$A$5001,"&gt;="&amp;$C$7,BD!$A$3:$A$5001,"&lt;="&amp;$B267,BD!$Y$3:$Y$5001,"&lt;&gt;"))))</f>
        <v/>
      </c>
    </row>
    <row r="268">
      <c r="A268" s="38">
        <v>27</v>
      </c>
      <c r="B268" s="42">
        <f>$B$38</f>
        <v>46322</v>
      </c>
      <c r="C268" s="43" t="str">
        <f>IF(OR($B268="",$A268&gt;$B$9,C$241=""),"",IF(COUNTIFS(BD!$B$3:$B$5001,C$241,BD!$A$3:$A$5001,"&gt;="&amp;$C$7,BD!$A$3:$A$5001,"&lt;="&amp;$B268,BD!$Y$3:$Y$5001,"&lt;&gt;")=0,"",SUMIFS(BD!$Y$3:$Y$5001,BD!$B$3:$B$5001,C$241,BD!$A$3:$A$5001,_xlfn.MAXIFS(BD!$A$3:$A$5001,BD!$B$3:$B$5001,C$241,BD!$A$3:$A$5001,"&gt;="&amp;$C$7,BD!$A$3:$A$5001,"&lt;="&amp;$B268,BD!$Y$3:$Y$5001,"&lt;&gt;"))))</f>
        <v/>
      </c>
      <c r="D268" s="43" t="str">
        <f>IF(OR($B268="",$A268&gt;$B$9,D$241=""),"",IF(COUNTIFS(BD!$B$3:$B$5001,D$241,BD!$A$3:$A$5001,"&gt;="&amp;$C$7,BD!$A$3:$A$5001,"&lt;="&amp;$B268,BD!$Y$3:$Y$5001,"&lt;&gt;")=0,"",SUMIFS(BD!$Y$3:$Y$5001,BD!$B$3:$B$5001,D$241,BD!$A$3:$A$5001,_xlfn.MAXIFS(BD!$A$3:$A$5001,BD!$B$3:$B$5001,D$241,BD!$A$3:$A$5001,"&gt;="&amp;$C$7,BD!$A$3:$A$5001,"&lt;="&amp;$B268,BD!$Y$3:$Y$5001,"&lt;&gt;"))))</f>
        <v/>
      </c>
      <c r="E268" s="43" t="str">
        <f>IF(OR($B268="",$A268&gt;$B$9,E$241=""),"",IF(COUNTIFS(BD!$B$3:$B$5001,E$241,BD!$A$3:$A$5001,"&gt;="&amp;$C$7,BD!$A$3:$A$5001,"&lt;="&amp;$B268,BD!$Y$3:$Y$5001,"&lt;&gt;")=0,"",SUMIFS(BD!$Y$3:$Y$5001,BD!$B$3:$B$5001,E$241,BD!$A$3:$A$5001,_xlfn.MAXIFS(BD!$A$3:$A$5001,BD!$B$3:$B$5001,E$241,BD!$A$3:$A$5001,"&gt;="&amp;$C$7,BD!$A$3:$A$5001,"&lt;="&amp;$B268,BD!$Y$3:$Y$5001,"&lt;&gt;"))))</f>
        <v/>
      </c>
      <c r="F268" s="43" t="str">
        <f>IF(OR($B268="",$A268&gt;$B$9,F$241=""),"",IF(COUNTIFS(BD!$B$3:$B$5001,F$241,BD!$A$3:$A$5001,"&gt;="&amp;$C$7,BD!$A$3:$A$5001,"&lt;="&amp;$B268,BD!$Y$3:$Y$5001,"&lt;&gt;")=0,"",SUMIFS(BD!$Y$3:$Y$5001,BD!$B$3:$B$5001,F$241,BD!$A$3:$A$5001,_xlfn.MAXIFS(BD!$A$3:$A$5001,BD!$B$3:$B$5001,F$241,BD!$A$3:$A$5001,"&gt;="&amp;$C$7,BD!$A$3:$A$5001,"&lt;="&amp;$B268,BD!$Y$3:$Y$5001,"&lt;&gt;"))))</f>
        <v/>
      </c>
      <c r="G268" s="43" t="str">
        <f>IF(OR($B268="",$A268&gt;$B$9,G$241=""),"",IF(COUNTIFS(BD!$B$3:$B$5001,G$241,BD!$A$3:$A$5001,"&gt;="&amp;$C$7,BD!$A$3:$A$5001,"&lt;="&amp;$B268,BD!$Y$3:$Y$5001,"&lt;&gt;")=0,"",SUMIFS(BD!$Y$3:$Y$5001,BD!$B$3:$B$5001,G$241,BD!$A$3:$A$5001,_xlfn.MAXIFS(BD!$A$3:$A$5001,BD!$B$3:$B$5001,G$241,BD!$A$3:$A$5001,"&gt;="&amp;$C$7,BD!$A$3:$A$5001,"&lt;="&amp;$B268,BD!$Y$3:$Y$5001,"&lt;&gt;"))))</f>
        <v/>
      </c>
      <c r="H268" s="43" t="str">
        <f>IF(OR($B268="",$A268&gt;$B$9,H$241=""),"",IF(COUNTIFS(BD!$B$3:$B$5001,H$241,BD!$A$3:$A$5001,"&gt;="&amp;$C$7,BD!$A$3:$A$5001,"&lt;="&amp;$B268,BD!$Y$3:$Y$5001,"&lt;&gt;")=0,"",SUMIFS(BD!$Y$3:$Y$5001,BD!$B$3:$B$5001,H$241,BD!$A$3:$A$5001,_xlfn.MAXIFS(BD!$A$3:$A$5001,BD!$B$3:$B$5001,H$241,BD!$A$3:$A$5001,"&gt;="&amp;$C$7,BD!$A$3:$A$5001,"&lt;="&amp;$B268,BD!$Y$3:$Y$5001,"&lt;&gt;"))))</f>
        <v/>
      </c>
      <c r="I268" s="43" t="str">
        <f>IF(OR($B268="",$A268&gt;$B$9,I$241=""),"",IF(COUNTIFS(BD!$B$3:$B$5001,I$241,BD!$A$3:$A$5001,"&gt;="&amp;$C$7,BD!$A$3:$A$5001,"&lt;="&amp;$B268,BD!$Y$3:$Y$5001,"&lt;&gt;")=0,"",SUMIFS(BD!$Y$3:$Y$5001,BD!$B$3:$B$5001,I$241,BD!$A$3:$A$5001,_xlfn.MAXIFS(BD!$A$3:$A$5001,BD!$B$3:$B$5001,I$241,BD!$A$3:$A$5001,"&gt;="&amp;$C$7,BD!$A$3:$A$5001,"&lt;="&amp;$B268,BD!$Y$3:$Y$5001,"&lt;&gt;"))))</f>
        <v/>
      </c>
      <c r="J268" s="43" t="str">
        <f>IF(OR($B268="",$A268&gt;$B$9,J$241=""),"",IF(COUNTIFS(BD!$B$3:$B$5001,J$241,BD!$A$3:$A$5001,"&gt;="&amp;$C$7,BD!$A$3:$A$5001,"&lt;="&amp;$B268,BD!$Y$3:$Y$5001,"&lt;&gt;")=0,"",SUMIFS(BD!$Y$3:$Y$5001,BD!$B$3:$B$5001,J$241,BD!$A$3:$A$5001,_xlfn.MAXIFS(BD!$A$3:$A$5001,BD!$B$3:$B$5001,J$241,BD!$A$3:$A$5001,"&gt;="&amp;$C$7,BD!$A$3:$A$5001,"&lt;="&amp;$B268,BD!$Y$3:$Y$5001,"&lt;&gt;"))))</f>
        <v/>
      </c>
      <c r="K268" s="43" t="str">
        <f>IF(OR($B268="",$A268&gt;$B$9,K$241=""),"",IF(COUNTIFS(BD!$B$3:$B$5001,K$241,BD!$A$3:$A$5001,"&gt;="&amp;$C$7,BD!$A$3:$A$5001,"&lt;="&amp;$B268,BD!$Y$3:$Y$5001,"&lt;&gt;")=0,"",SUMIFS(BD!$Y$3:$Y$5001,BD!$B$3:$B$5001,K$241,BD!$A$3:$A$5001,_xlfn.MAXIFS(BD!$A$3:$A$5001,BD!$B$3:$B$5001,K$241,BD!$A$3:$A$5001,"&gt;="&amp;$C$7,BD!$A$3:$A$5001,"&lt;="&amp;$B268,BD!$Y$3:$Y$5001,"&lt;&gt;"))))</f>
        <v/>
      </c>
      <c r="L268" s="43" t="str">
        <f>IF(OR($B268="",$A268&gt;$B$9,L$241=""),"",IF(COUNTIFS(BD!$B$3:$B$5001,L$241,BD!$A$3:$A$5001,"&gt;="&amp;$C$7,BD!$A$3:$A$5001,"&lt;="&amp;$B268,BD!$Y$3:$Y$5001,"&lt;&gt;")=0,"",SUMIFS(BD!$Y$3:$Y$5001,BD!$B$3:$B$5001,L$241,BD!$A$3:$A$5001,_xlfn.MAXIFS(BD!$A$3:$A$5001,BD!$B$3:$B$5001,L$241,BD!$A$3:$A$5001,"&gt;="&amp;$C$7,BD!$A$3:$A$5001,"&lt;="&amp;$B268,BD!$Y$3:$Y$5001,"&lt;&gt;"))))</f>
        <v/>
      </c>
      <c r="M268" s="43" t="str">
        <f>IF(OR($B268="",$A268&gt;$B$9,M$241=""),"",IF(COUNTIFS(BD!$B$3:$B$5001,M$241,BD!$A$3:$A$5001,"&gt;="&amp;$C$7,BD!$A$3:$A$5001,"&lt;="&amp;$B268,BD!$Y$3:$Y$5001,"&lt;&gt;")=0,"",SUMIFS(BD!$Y$3:$Y$5001,BD!$B$3:$B$5001,M$241,BD!$A$3:$A$5001,_xlfn.MAXIFS(BD!$A$3:$A$5001,BD!$B$3:$B$5001,M$241,BD!$A$3:$A$5001,"&gt;="&amp;$C$7,BD!$A$3:$A$5001,"&lt;="&amp;$B268,BD!$Y$3:$Y$5001,"&lt;&gt;"))))</f>
        <v/>
      </c>
      <c r="N268" s="43" t="str">
        <f>IF(OR($B268="",$A268&gt;$B$9,N$241=""),"",IF(COUNTIFS(BD!$B$3:$B$5001,N$241,BD!$A$3:$A$5001,"&gt;="&amp;$C$7,BD!$A$3:$A$5001,"&lt;="&amp;$B268,BD!$Y$3:$Y$5001,"&lt;&gt;")=0,"",SUMIFS(BD!$Y$3:$Y$5001,BD!$B$3:$B$5001,N$241,BD!$A$3:$A$5001,_xlfn.MAXIFS(BD!$A$3:$A$5001,BD!$B$3:$B$5001,N$241,BD!$A$3:$A$5001,"&gt;="&amp;$C$7,BD!$A$3:$A$5001,"&lt;="&amp;$B268,BD!$Y$3:$Y$5001,"&lt;&gt;"))))</f>
        <v/>
      </c>
      <c r="O268" s="43" t="str">
        <f>IF(OR($B268="",$A268&gt;$B$9,O$241=""),"",IF(COUNTIFS(BD!$B$3:$B$5001,O$241,BD!$A$3:$A$5001,"&gt;="&amp;$C$7,BD!$A$3:$A$5001,"&lt;="&amp;$B268,BD!$Y$3:$Y$5001,"&lt;&gt;")=0,"",SUMIFS(BD!$Y$3:$Y$5001,BD!$B$3:$B$5001,O$241,BD!$A$3:$A$5001,_xlfn.MAXIFS(BD!$A$3:$A$5001,BD!$B$3:$B$5001,O$241,BD!$A$3:$A$5001,"&gt;="&amp;$C$7,BD!$A$3:$A$5001,"&lt;="&amp;$B268,BD!$Y$3:$Y$5001,"&lt;&gt;"))))</f>
        <v/>
      </c>
      <c r="P268" s="43" t="str">
        <f>IF(OR($B268="",$A268&gt;$B$9,P$241=""),"",IF(COUNTIFS(BD!$B$3:$B$5001,P$241,BD!$A$3:$A$5001,"&gt;="&amp;$C$7,BD!$A$3:$A$5001,"&lt;="&amp;$B268,BD!$Y$3:$Y$5001,"&lt;&gt;")=0,"",SUMIFS(BD!$Y$3:$Y$5001,BD!$B$3:$B$5001,P$241,BD!$A$3:$A$5001,_xlfn.MAXIFS(BD!$A$3:$A$5001,BD!$B$3:$B$5001,P$241,BD!$A$3:$A$5001,"&gt;="&amp;$C$7,BD!$A$3:$A$5001,"&lt;="&amp;$B268,BD!$Y$3:$Y$5001,"&lt;&gt;"))))</f>
        <v/>
      </c>
      <c r="Q268" s="43" t="str">
        <f>IF(OR($B268="",$A268&gt;$B$9,Q$241=""),"",IF(COUNTIFS(BD!$B$3:$B$5001,Q$241,BD!$A$3:$A$5001,"&gt;="&amp;$C$7,BD!$A$3:$A$5001,"&lt;="&amp;$B268,BD!$Y$3:$Y$5001,"&lt;&gt;")=0,"",SUMIFS(BD!$Y$3:$Y$5001,BD!$B$3:$B$5001,Q$241,BD!$A$3:$A$5001,_xlfn.MAXIFS(BD!$A$3:$A$5001,BD!$B$3:$B$5001,Q$241,BD!$A$3:$A$5001,"&gt;="&amp;$C$7,BD!$A$3:$A$5001,"&lt;="&amp;$B268,BD!$Y$3:$Y$5001,"&lt;&gt;"))))</f>
        <v/>
      </c>
      <c r="R268" s="43" t="str">
        <f>IF(OR($B268="",$A268&gt;$B$9,R$241=""),"",IF(COUNTIFS(BD!$B$3:$B$5001,R$241,BD!$A$3:$A$5001,"&gt;="&amp;$C$7,BD!$A$3:$A$5001,"&lt;="&amp;$B268,BD!$Y$3:$Y$5001,"&lt;&gt;")=0,"",SUMIFS(BD!$Y$3:$Y$5001,BD!$B$3:$B$5001,R$241,BD!$A$3:$A$5001,_xlfn.MAXIFS(BD!$A$3:$A$5001,BD!$B$3:$B$5001,R$241,BD!$A$3:$A$5001,"&gt;="&amp;$C$7,BD!$A$3:$A$5001,"&lt;="&amp;$B268,BD!$Y$3:$Y$5001,"&lt;&gt;"))))</f>
        <v/>
      </c>
      <c r="S268" s="43" t="str">
        <f>IF(OR($B268="",$A268&gt;$B$9,S$241=""),"",IF(COUNTIFS(BD!$B$3:$B$5001,S$241,BD!$A$3:$A$5001,"&gt;="&amp;$C$7,BD!$A$3:$A$5001,"&lt;="&amp;$B268,BD!$Y$3:$Y$5001,"&lt;&gt;")=0,"",SUMIFS(BD!$Y$3:$Y$5001,BD!$B$3:$B$5001,S$241,BD!$A$3:$A$5001,_xlfn.MAXIFS(BD!$A$3:$A$5001,BD!$B$3:$B$5001,S$241,BD!$A$3:$A$5001,"&gt;="&amp;$C$7,BD!$A$3:$A$5001,"&lt;="&amp;$B268,BD!$Y$3:$Y$5001,"&lt;&gt;"))))</f>
        <v/>
      </c>
      <c r="T268" s="43" t="str">
        <f>IF(OR($B268="",$A268&gt;$B$9,T$241=""),"",IF(COUNTIFS(BD!$B$3:$B$5001,T$241,BD!$A$3:$A$5001,"&gt;="&amp;$C$7,BD!$A$3:$A$5001,"&lt;="&amp;$B268,BD!$Y$3:$Y$5001,"&lt;&gt;")=0,"",SUMIFS(BD!$Y$3:$Y$5001,BD!$B$3:$B$5001,T$241,BD!$A$3:$A$5001,_xlfn.MAXIFS(BD!$A$3:$A$5001,BD!$B$3:$B$5001,T$241,BD!$A$3:$A$5001,"&gt;="&amp;$C$7,BD!$A$3:$A$5001,"&lt;="&amp;$B268,BD!$Y$3:$Y$5001,"&lt;&gt;"))))</f>
        <v/>
      </c>
      <c r="U268" s="43" t="str">
        <f>IF(OR($B268="",$A268&gt;$B$9,U$241=""),"",IF(COUNTIFS(BD!$B$3:$B$5001,U$241,BD!$A$3:$A$5001,"&gt;="&amp;$C$7,BD!$A$3:$A$5001,"&lt;="&amp;$B268,BD!$Y$3:$Y$5001,"&lt;&gt;")=0,"",SUMIFS(BD!$Y$3:$Y$5001,BD!$B$3:$B$5001,U$241,BD!$A$3:$A$5001,_xlfn.MAXIFS(BD!$A$3:$A$5001,BD!$B$3:$B$5001,U$241,BD!$A$3:$A$5001,"&gt;="&amp;$C$7,BD!$A$3:$A$5001,"&lt;="&amp;$B268,BD!$Y$3:$Y$5001,"&lt;&gt;"))))</f>
        <v/>
      </c>
      <c r="V268" s="43" t="str">
        <f>IF(OR($B268="",$A268&gt;$B$9,V$241=""),"",IF(COUNTIFS(BD!$B$3:$B$5001,V$241,BD!$A$3:$A$5001,"&gt;="&amp;$C$7,BD!$A$3:$A$5001,"&lt;="&amp;$B268,BD!$Y$3:$Y$5001,"&lt;&gt;")=0,"",SUMIFS(BD!$Y$3:$Y$5001,BD!$B$3:$B$5001,V$241,BD!$A$3:$A$5001,_xlfn.MAXIFS(BD!$A$3:$A$5001,BD!$B$3:$B$5001,V$241,BD!$A$3:$A$5001,"&gt;="&amp;$C$7,BD!$A$3:$A$5001,"&lt;="&amp;$B268,BD!$Y$3:$Y$5001,"&lt;&gt;"))))</f>
        <v/>
      </c>
    </row>
    <row r="269">
      <c r="A269" s="38">
        <v>28</v>
      </c>
      <c r="B269" s="42">
        <f>$B$39</f>
        <v>46323</v>
      </c>
      <c r="C269" s="43" t="str">
        <f>IF(OR($B269="",$A269&gt;$B$9,C$241=""),"",IF(COUNTIFS(BD!$B$3:$B$5001,C$241,BD!$A$3:$A$5001,"&gt;="&amp;$C$7,BD!$A$3:$A$5001,"&lt;="&amp;$B269,BD!$Y$3:$Y$5001,"&lt;&gt;")=0,"",SUMIFS(BD!$Y$3:$Y$5001,BD!$B$3:$B$5001,C$241,BD!$A$3:$A$5001,_xlfn.MAXIFS(BD!$A$3:$A$5001,BD!$B$3:$B$5001,C$241,BD!$A$3:$A$5001,"&gt;="&amp;$C$7,BD!$A$3:$A$5001,"&lt;="&amp;$B269,BD!$Y$3:$Y$5001,"&lt;&gt;"))))</f>
        <v/>
      </c>
      <c r="D269" s="43" t="str">
        <f>IF(OR($B269="",$A269&gt;$B$9,D$241=""),"",IF(COUNTIFS(BD!$B$3:$B$5001,D$241,BD!$A$3:$A$5001,"&gt;="&amp;$C$7,BD!$A$3:$A$5001,"&lt;="&amp;$B269,BD!$Y$3:$Y$5001,"&lt;&gt;")=0,"",SUMIFS(BD!$Y$3:$Y$5001,BD!$B$3:$B$5001,D$241,BD!$A$3:$A$5001,_xlfn.MAXIFS(BD!$A$3:$A$5001,BD!$B$3:$B$5001,D$241,BD!$A$3:$A$5001,"&gt;="&amp;$C$7,BD!$A$3:$A$5001,"&lt;="&amp;$B269,BD!$Y$3:$Y$5001,"&lt;&gt;"))))</f>
        <v/>
      </c>
      <c r="E269" s="43" t="str">
        <f>IF(OR($B269="",$A269&gt;$B$9,E$241=""),"",IF(COUNTIFS(BD!$B$3:$B$5001,E$241,BD!$A$3:$A$5001,"&gt;="&amp;$C$7,BD!$A$3:$A$5001,"&lt;="&amp;$B269,BD!$Y$3:$Y$5001,"&lt;&gt;")=0,"",SUMIFS(BD!$Y$3:$Y$5001,BD!$B$3:$B$5001,E$241,BD!$A$3:$A$5001,_xlfn.MAXIFS(BD!$A$3:$A$5001,BD!$B$3:$B$5001,E$241,BD!$A$3:$A$5001,"&gt;="&amp;$C$7,BD!$A$3:$A$5001,"&lt;="&amp;$B269,BD!$Y$3:$Y$5001,"&lt;&gt;"))))</f>
        <v/>
      </c>
      <c r="F269" s="43" t="str">
        <f>IF(OR($B269="",$A269&gt;$B$9,F$241=""),"",IF(COUNTIFS(BD!$B$3:$B$5001,F$241,BD!$A$3:$A$5001,"&gt;="&amp;$C$7,BD!$A$3:$A$5001,"&lt;="&amp;$B269,BD!$Y$3:$Y$5001,"&lt;&gt;")=0,"",SUMIFS(BD!$Y$3:$Y$5001,BD!$B$3:$B$5001,F$241,BD!$A$3:$A$5001,_xlfn.MAXIFS(BD!$A$3:$A$5001,BD!$B$3:$B$5001,F$241,BD!$A$3:$A$5001,"&gt;="&amp;$C$7,BD!$A$3:$A$5001,"&lt;="&amp;$B269,BD!$Y$3:$Y$5001,"&lt;&gt;"))))</f>
        <v/>
      </c>
      <c r="G269" s="43" t="str">
        <f>IF(OR($B269="",$A269&gt;$B$9,G$241=""),"",IF(COUNTIFS(BD!$B$3:$B$5001,G$241,BD!$A$3:$A$5001,"&gt;="&amp;$C$7,BD!$A$3:$A$5001,"&lt;="&amp;$B269,BD!$Y$3:$Y$5001,"&lt;&gt;")=0,"",SUMIFS(BD!$Y$3:$Y$5001,BD!$B$3:$B$5001,G$241,BD!$A$3:$A$5001,_xlfn.MAXIFS(BD!$A$3:$A$5001,BD!$B$3:$B$5001,G$241,BD!$A$3:$A$5001,"&gt;="&amp;$C$7,BD!$A$3:$A$5001,"&lt;="&amp;$B269,BD!$Y$3:$Y$5001,"&lt;&gt;"))))</f>
        <v/>
      </c>
      <c r="H269" s="43" t="str">
        <f>IF(OR($B269="",$A269&gt;$B$9,H$241=""),"",IF(COUNTIFS(BD!$B$3:$B$5001,H$241,BD!$A$3:$A$5001,"&gt;="&amp;$C$7,BD!$A$3:$A$5001,"&lt;="&amp;$B269,BD!$Y$3:$Y$5001,"&lt;&gt;")=0,"",SUMIFS(BD!$Y$3:$Y$5001,BD!$B$3:$B$5001,H$241,BD!$A$3:$A$5001,_xlfn.MAXIFS(BD!$A$3:$A$5001,BD!$B$3:$B$5001,H$241,BD!$A$3:$A$5001,"&gt;="&amp;$C$7,BD!$A$3:$A$5001,"&lt;="&amp;$B269,BD!$Y$3:$Y$5001,"&lt;&gt;"))))</f>
        <v/>
      </c>
      <c r="I269" s="43" t="str">
        <f>IF(OR($B269="",$A269&gt;$B$9,I$241=""),"",IF(COUNTIFS(BD!$B$3:$B$5001,I$241,BD!$A$3:$A$5001,"&gt;="&amp;$C$7,BD!$A$3:$A$5001,"&lt;="&amp;$B269,BD!$Y$3:$Y$5001,"&lt;&gt;")=0,"",SUMIFS(BD!$Y$3:$Y$5001,BD!$B$3:$B$5001,I$241,BD!$A$3:$A$5001,_xlfn.MAXIFS(BD!$A$3:$A$5001,BD!$B$3:$B$5001,I$241,BD!$A$3:$A$5001,"&gt;="&amp;$C$7,BD!$A$3:$A$5001,"&lt;="&amp;$B269,BD!$Y$3:$Y$5001,"&lt;&gt;"))))</f>
        <v/>
      </c>
      <c r="J269" s="43" t="str">
        <f>IF(OR($B269="",$A269&gt;$B$9,J$241=""),"",IF(COUNTIFS(BD!$B$3:$B$5001,J$241,BD!$A$3:$A$5001,"&gt;="&amp;$C$7,BD!$A$3:$A$5001,"&lt;="&amp;$B269,BD!$Y$3:$Y$5001,"&lt;&gt;")=0,"",SUMIFS(BD!$Y$3:$Y$5001,BD!$B$3:$B$5001,J$241,BD!$A$3:$A$5001,_xlfn.MAXIFS(BD!$A$3:$A$5001,BD!$B$3:$B$5001,J$241,BD!$A$3:$A$5001,"&gt;="&amp;$C$7,BD!$A$3:$A$5001,"&lt;="&amp;$B269,BD!$Y$3:$Y$5001,"&lt;&gt;"))))</f>
        <v/>
      </c>
      <c r="K269" s="43" t="str">
        <f>IF(OR($B269="",$A269&gt;$B$9,K$241=""),"",IF(COUNTIFS(BD!$B$3:$B$5001,K$241,BD!$A$3:$A$5001,"&gt;="&amp;$C$7,BD!$A$3:$A$5001,"&lt;="&amp;$B269,BD!$Y$3:$Y$5001,"&lt;&gt;")=0,"",SUMIFS(BD!$Y$3:$Y$5001,BD!$B$3:$B$5001,K$241,BD!$A$3:$A$5001,_xlfn.MAXIFS(BD!$A$3:$A$5001,BD!$B$3:$B$5001,K$241,BD!$A$3:$A$5001,"&gt;="&amp;$C$7,BD!$A$3:$A$5001,"&lt;="&amp;$B269,BD!$Y$3:$Y$5001,"&lt;&gt;"))))</f>
        <v/>
      </c>
      <c r="L269" s="43" t="str">
        <f>IF(OR($B269="",$A269&gt;$B$9,L$241=""),"",IF(COUNTIFS(BD!$B$3:$B$5001,L$241,BD!$A$3:$A$5001,"&gt;="&amp;$C$7,BD!$A$3:$A$5001,"&lt;="&amp;$B269,BD!$Y$3:$Y$5001,"&lt;&gt;")=0,"",SUMIFS(BD!$Y$3:$Y$5001,BD!$B$3:$B$5001,L$241,BD!$A$3:$A$5001,_xlfn.MAXIFS(BD!$A$3:$A$5001,BD!$B$3:$B$5001,L$241,BD!$A$3:$A$5001,"&gt;="&amp;$C$7,BD!$A$3:$A$5001,"&lt;="&amp;$B269,BD!$Y$3:$Y$5001,"&lt;&gt;"))))</f>
        <v/>
      </c>
      <c r="M269" s="43" t="str">
        <f>IF(OR($B269="",$A269&gt;$B$9,M$241=""),"",IF(COUNTIFS(BD!$B$3:$B$5001,M$241,BD!$A$3:$A$5001,"&gt;="&amp;$C$7,BD!$A$3:$A$5001,"&lt;="&amp;$B269,BD!$Y$3:$Y$5001,"&lt;&gt;")=0,"",SUMIFS(BD!$Y$3:$Y$5001,BD!$B$3:$B$5001,M$241,BD!$A$3:$A$5001,_xlfn.MAXIFS(BD!$A$3:$A$5001,BD!$B$3:$B$5001,M$241,BD!$A$3:$A$5001,"&gt;="&amp;$C$7,BD!$A$3:$A$5001,"&lt;="&amp;$B269,BD!$Y$3:$Y$5001,"&lt;&gt;"))))</f>
        <v/>
      </c>
      <c r="N269" s="43" t="str">
        <f>IF(OR($B269="",$A269&gt;$B$9,N$241=""),"",IF(COUNTIFS(BD!$B$3:$B$5001,N$241,BD!$A$3:$A$5001,"&gt;="&amp;$C$7,BD!$A$3:$A$5001,"&lt;="&amp;$B269,BD!$Y$3:$Y$5001,"&lt;&gt;")=0,"",SUMIFS(BD!$Y$3:$Y$5001,BD!$B$3:$B$5001,N$241,BD!$A$3:$A$5001,_xlfn.MAXIFS(BD!$A$3:$A$5001,BD!$B$3:$B$5001,N$241,BD!$A$3:$A$5001,"&gt;="&amp;$C$7,BD!$A$3:$A$5001,"&lt;="&amp;$B269,BD!$Y$3:$Y$5001,"&lt;&gt;"))))</f>
        <v/>
      </c>
      <c r="O269" s="43" t="str">
        <f>IF(OR($B269="",$A269&gt;$B$9,O$241=""),"",IF(COUNTIFS(BD!$B$3:$B$5001,O$241,BD!$A$3:$A$5001,"&gt;="&amp;$C$7,BD!$A$3:$A$5001,"&lt;="&amp;$B269,BD!$Y$3:$Y$5001,"&lt;&gt;")=0,"",SUMIFS(BD!$Y$3:$Y$5001,BD!$B$3:$B$5001,O$241,BD!$A$3:$A$5001,_xlfn.MAXIFS(BD!$A$3:$A$5001,BD!$B$3:$B$5001,O$241,BD!$A$3:$A$5001,"&gt;="&amp;$C$7,BD!$A$3:$A$5001,"&lt;="&amp;$B269,BD!$Y$3:$Y$5001,"&lt;&gt;"))))</f>
        <v/>
      </c>
      <c r="P269" s="43" t="str">
        <f>IF(OR($B269="",$A269&gt;$B$9,P$241=""),"",IF(COUNTIFS(BD!$B$3:$B$5001,P$241,BD!$A$3:$A$5001,"&gt;="&amp;$C$7,BD!$A$3:$A$5001,"&lt;="&amp;$B269,BD!$Y$3:$Y$5001,"&lt;&gt;")=0,"",SUMIFS(BD!$Y$3:$Y$5001,BD!$B$3:$B$5001,P$241,BD!$A$3:$A$5001,_xlfn.MAXIFS(BD!$A$3:$A$5001,BD!$B$3:$B$5001,P$241,BD!$A$3:$A$5001,"&gt;="&amp;$C$7,BD!$A$3:$A$5001,"&lt;="&amp;$B269,BD!$Y$3:$Y$5001,"&lt;&gt;"))))</f>
        <v/>
      </c>
      <c r="Q269" s="43" t="str">
        <f>IF(OR($B269="",$A269&gt;$B$9,Q$241=""),"",IF(COUNTIFS(BD!$B$3:$B$5001,Q$241,BD!$A$3:$A$5001,"&gt;="&amp;$C$7,BD!$A$3:$A$5001,"&lt;="&amp;$B269,BD!$Y$3:$Y$5001,"&lt;&gt;")=0,"",SUMIFS(BD!$Y$3:$Y$5001,BD!$B$3:$B$5001,Q$241,BD!$A$3:$A$5001,_xlfn.MAXIFS(BD!$A$3:$A$5001,BD!$B$3:$B$5001,Q$241,BD!$A$3:$A$5001,"&gt;="&amp;$C$7,BD!$A$3:$A$5001,"&lt;="&amp;$B269,BD!$Y$3:$Y$5001,"&lt;&gt;"))))</f>
        <v/>
      </c>
      <c r="R269" s="43" t="str">
        <f>IF(OR($B269="",$A269&gt;$B$9,R$241=""),"",IF(COUNTIFS(BD!$B$3:$B$5001,R$241,BD!$A$3:$A$5001,"&gt;="&amp;$C$7,BD!$A$3:$A$5001,"&lt;="&amp;$B269,BD!$Y$3:$Y$5001,"&lt;&gt;")=0,"",SUMIFS(BD!$Y$3:$Y$5001,BD!$B$3:$B$5001,R$241,BD!$A$3:$A$5001,_xlfn.MAXIFS(BD!$A$3:$A$5001,BD!$B$3:$B$5001,R$241,BD!$A$3:$A$5001,"&gt;="&amp;$C$7,BD!$A$3:$A$5001,"&lt;="&amp;$B269,BD!$Y$3:$Y$5001,"&lt;&gt;"))))</f>
        <v/>
      </c>
      <c r="S269" s="43" t="str">
        <f>IF(OR($B269="",$A269&gt;$B$9,S$241=""),"",IF(COUNTIFS(BD!$B$3:$B$5001,S$241,BD!$A$3:$A$5001,"&gt;="&amp;$C$7,BD!$A$3:$A$5001,"&lt;="&amp;$B269,BD!$Y$3:$Y$5001,"&lt;&gt;")=0,"",SUMIFS(BD!$Y$3:$Y$5001,BD!$B$3:$B$5001,S$241,BD!$A$3:$A$5001,_xlfn.MAXIFS(BD!$A$3:$A$5001,BD!$B$3:$B$5001,S$241,BD!$A$3:$A$5001,"&gt;="&amp;$C$7,BD!$A$3:$A$5001,"&lt;="&amp;$B269,BD!$Y$3:$Y$5001,"&lt;&gt;"))))</f>
        <v/>
      </c>
      <c r="T269" s="43" t="str">
        <f>IF(OR($B269="",$A269&gt;$B$9,T$241=""),"",IF(COUNTIFS(BD!$B$3:$B$5001,T$241,BD!$A$3:$A$5001,"&gt;="&amp;$C$7,BD!$A$3:$A$5001,"&lt;="&amp;$B269,BD!$Y$3:$Y$5001,"&lt;&gt;")=0,"",SUMIFS(BD!$Y$3:$Y$5001,BD!$B$3:$B$5001,T$241,BD!$A$3:$A$5001,_xlfn.MAXIFS(BD!$A$3:$A$5001,BD!$B$3:$B$5001,T$241,BD!$A$3:$A$5001,"&gt;="&amp;$C$7,BD!$A$3:$A$5001,"&lt;="&amp;$B269,BD!$Y$3:$Y$5001,"&lt;&gt;"))))</f>
        <v/>
      </c>
      <c r="U269" s="43" t="str">
        <f>IF(OR($B269="",$A269&gt;$B$9,U$241=""),"",IF(COUNTIFS(BD!$B$3:$B$5001,U$241,BD!$A$3:$A$5001,"&gt;="&amp;$C$7,BD!$A$3:$A$5001,"&lt;="&amp;$B269,BD!$Y$3:$Y$5001,"&lt;&gt;")=0,"",SUMIFS(BD!$Y$3:$Y$5001,BD!$B$3:$B$5001,U$241,BD!$A$3:$A$5001,_xlfn.MAXIFS(BD!$A$3:$A$5001,BD!$B$3:$B$5001,U$241,BD!$A$3:$A$5001,"&gt;="&amp;$C$7,BD!$A$3:$A$5001,"&lt;="&amp;$B269,BD!$Y$3:$Y$5001,"&lt;&gt;"))))</f>
        <v/>
      </c>
      <c r="V269" s="43" t="str">
        <f>IF(OR($B269="",$A269&gt;$B$9,V$241=""),"",IF(COUNTIFS(BD!$B$3:$B$5001,V$241,BD!$A$3:$A$5001,"&gt;="&amp;$C$7,BD!$A$3:$A$5001,"&lt;="&amp;$B269,BD!$Y$3:$Y$5001,"&lt;&gt;")=0,"",SUMIFS(BD!$Y$3:$Y$5001,BD!$B$3:$B$5001,V$241,BD!$A$3:$A$5001,_xlfn.MAXIFS(BD!$A$3:$A$5001,BD!$B$3:$B$5001,V$241,BD!$A$3:$A$5001,"&gt;="&amp;$C$7,BD!$A$3:$A$5001,"&lt;="&amp;$B269,BD!$Y$3:$Y$5001,"&lt;&gt;"))))</f>
        <v/>
      </c>
    </row>
    <row r="270">
      <c r="A270" s="38">
        <v>29</v>
      </c>
      <c r="B270" s="42">
        <f>$B$40</f>
        <v>46324</v>
      </c>
      <c r="C270" s="43" t="str">
        <f>IF(OR($B270="",$A270&gt;$B$9,C$241=""),"",IF(COUNTIFS(BD!$B$3:$B$5001,C$241,BD!$A$3:$A$5001,"&gt;="&amp;$C$7,BD!$A$3:$A$5001,"&lt;="&amp;$B270,BD!$Y$3:$Y$5001,"&lt;&gt;")=0,"",SUMIFS(BD!$Y$3:$Y$5001,BD!$B$3:$B$5001,C$241,BD!$A$3:$A$5001,_xlfn.MAXIFS(BD!$A$3:$A$5001,BD!$B$3:$B$5001,C$241,BD!$A$3:$A$5001,"&gt;="&amp;$C$7,BD!$A$3:$A$5001,"&lt;="&amp;$B270,BD!$Y$3:$Y$5001,"&lt;&gt;"))))</f>
        <v/>
      </c>
      <c r="D270" s="43" t="str">
        <f>IF(OR($B270="",$A270&gt;$B$9,D$241=""),"",IF(COUNTIFS(BD!$B$3:$B$5001,D$241,BD!$A$3:$A$5001,"&gt;="&amp;$C$7,BD!$A$3:$A$5001,"&lt;="&amp;$B270,BD!$Y$3:$Y$5001,"&lt;&gt;")=0,"",SUMIFS(BD!$Y$3:$Y$5001,BD!$B$3:$B$5001,D$241,BD!$A$3:$A$5001,_xlfn.MAXIFS(BD!$A$3:$A$5001,BD!$B$3:$B$5001,D$241,BD!$A$3:$A$5001,"&gt;="&amp;$C$7,BD!$A$3:$A$5001,"&lt;="&amp;$B270,BD!$Y$3:$Y$5001,"&lt;&gt;"))))</f>
        <v/>
      </c>
      <c r="E270" s="43" t="str">
        <f>IF(OR($B270="",$A270&gt;$B$9,E$241=""),"",IF(COUNTIFS(BD!$B$3:$B$5001,E$241,BD!$A$3:$A$5001,"&gt;="&amp;$C$7,BD!$A$3:$A$5001,"&lt;="&amp;$B270,BD!$Y$3:$Y$5001,"&lt;&gt;")=0,"",SUMIFS(BD!$Y$3:$Y$5001,BD!$B$3:$B$5001,E$241,BD!$A$3:$A$5001,_xlfn.MAXIFS(BD!$A$3:$A$5001,BD!$B$3:$B$5001,E$241,BD!$A$3:$A$5001,"&gt;="&amp;$C$7,BD!$A$3:$A$5001,"&lt;="&amp;$B270,BD!$Y$3:$Y$5001,"&lt;&gt;"))))</f>
        <v/>
      </c>
      <c r="F270" s="43" t="str">
        <f>IF(OR($B270="",$A270&gt;$B$9,F$241=""),"",IF(COUNTIFS(BD!$B$3:$B$5001,F$241,BD!$A$3:$A$5001,"&gt;="&amp;$C$7,BD!$A$3:$A$5001,"&lt;="&amp;$B270,BD!$Y$3:$Y$5001,"&lt;&gt;")=0,"",SUMIFS(BD!$Y$3:$Y$5001,BD!$B$3:$B$5001,F$241,BD!$A$3:$A$5001,_xlfn.MAXIFS(BD!$A$3:$A$5001,BD!$B$3:$B$5001,F$241,BD!$A$3:$A$5001,"&gt;="&amp;$C$7,BD!$A$3:$A$5001,"&lt;="&amp;$B270,BD!$Y$3:$Y$5001,"&lt;&gt;"))))</f>
        <v/>
      </c>
      <c r="G270" s="43" t="str">
        <f>IF(OR($B270="",$A270&gt;$B$9,G$241=""),"",IF(COUNTIFS(BD!$B$3:$B$5001,G$241,BD!$A$3:$A$5001,"&gt;="&amp;$C$7,BD!$A$3:$A$5001,"&lt;="&amp;$B270,BD!$Y$3:$Y$5001,"&lt;&gt;")=0,"",SUMIFS(BD!$Y$3:$Y$5001,BD!$B$3:$B$5001,G$241,BD!$A$3:$A$5001,_xlfn.MAXIFS(BD!$A$3:$A$5001,BD!$B$3:$B$5001,G$241,BD!$A$3:$A$5001,"&gt;="&amp;$C$7,BD!$A$3:$A$5001,"&lt;="&amp;$B270,BD!$Y$3:$Y$5001,"&lt;&gt;"))))</f>
        <v/>
      </c>
      <c r="H270" s="43" t="str">
        <f>IF(OR($B270="",$A270&gt;$B$9,H$241=""),"",IF(COUNTIFS(BD!$B$3:$B$5001,H$241,BD!$A$3:$A$5001,"&gt;="&amp;$C$7,BD!$A$3:$A$5001,"&lt;="&amp;$B270,BD!$Y$3:$Y$5001,"&lt;&gt;")=0,"",SUMIFS(BD!$Y$3:$Y$5001,BD!$B$3:$B$5001,H$241,BD!$A$3:$A$5001,_xlfn.MAXIFS(BD!$A$3:$A$5001,BD!$B$3:$B$5001,H$241,BD!$A$3:$A$5001,"&gt;="&amp;$C$7,BD!$A$3:$A$5001,"&lt;="&amp;$B270,BD!$Y$3:$Y$5001,"&lt;&gt;"))))</f>
        <v/>
      </c>
      <c r="I270" s="43" t="str">
        <f>IF(OR($B270="",$A270&gt;$B$9,I$241=""),"",IF(COUNTIFS(BD!$B$3:$B$5001,I$241,BD!$A$3:$A$5001,"&gt;="&amp;$C$7,BD!$A$3:$A$5001,"&lt;="&amp;$B270,BD!$Y$3:$Y$5001,"&lt;&gt;")=0,"",SUMIFS(BD!$Y$3:$Y$5001,BD!$B$3:$B$5001,I$241,BD!$A$3:$A$5001,_xlfn.MAXIFS(BD!$A$3:$A$5001,BD!$B$3:$B$5001,I$241,BD!$A$3:$A$5001,"&gt;="&amp;$C$7,BD!$A$3:$A$5001,"&lt;="&amp;$B270,BD!$Y$3:$Y$5001,"&lt;&gt;"))))</f>
        <v/>
      </c>
      <c r="J270" s="43" t="str">
        <f>IF(OR($B270="",$A270&gt;$B$9,J$241=""),"",IF(COUNTIFS(BD!$B$3:$B$5001,J$241,BD!$A$3:$A$5001,"&gt;="&amp;$C$7,BD!$A$3:$A$5001,"&lt;="&amp;$B270,BD!$Y$3:$Y$5001,"&lt;&gt;")=0,"",SUMIFS(BD!$Y$3:$Y$5001,BD!$B$3:$B$5001,J$241,BD!$A$3:$A$5001,_xlfn.MAXIFS(BD!$A$3:$A$5001,BD!$B$3:$B$5001,J$241,BD!$A$3:$A$5001,"&gt;="&amp;$C$7,BD!$A$3:$A$5001,"&lt;="&amp;$B270,BD!$Y$3:$Y$5001,"&lt;&gt;"))))</f>
        <v/>
      </c>
      <c r="K270" s="43" t="str">
        <f>IF(OR($B270="",$A270&gt;$B$9,K$241=""),"",IF(COUNTIFS(BD!$B$3:$B$5001,K$241,BD!$A$3:$A$5001,"&gt;="&amp;$C$7,BD!$A$3:$A$5001,"&lt;="&amp;$B270,BD!$Y$3:$Y$5001,"&lt;&gt;")=0,"",SUMIFS(BD!$Y$3:$Y$5001,BD!$B$3:$B$5001,K$241,BD!$A$3:$A$5001,_xlfn.MAXIFS(BD!$A$3:$A$5001,BD!$B$3:$B$5001,K$241,BD!$A$3:$A$5001,"&gt;="&amp;$C$7,BD!$A$3:$A$5001,"&lt;="&amp;$B270,BD!$Y$3:$Y$5001,"&lt;&gt;"))))</f>
        <v/>
      </c>
      <c r="L270" s="43" t="str">
        <f>IF(OR($B270="",$A270&gt;$B$9,L$241=""),"",IF(COUNTIFS(BD!$B$3:$B$5001,L$241,BD!$A$3:$A$5001,"&gt;="&amp;$C$7,BD!$A$3:$A$5001,"&lt;="&amp;$B270,BD!$Y$3:$Y$5001,"&lt;&gt;")=0,"",SUMIFS(BD!$Y$3:$Y$5001,BD!$B$3:$B$5001,L$241,BD!$A$3:$A$5001,_xlfn.MAXIFS(BD!$A$3:$A$5001,BD!$B$3:$B$5001,L$241,BD!$A$3:$A$5001,"&gt;="&amp;$C$7,BD!$A$3:$A$5001,"&lt;="&amp;$B270,BD!$Y$3:$Y$5001,"&lt;&gt;"))))</f>
        <v/>
      </c>
      <c r="M270" s="43" t="str">
        <f>IF(OR($B270="",$A270&gt;$B$9,M$241=""),"",IF(COUNTIFS(BD!$B$3:$B$5001,M$241,BD!$A$3:$A$5001,"&gt;="&amp;$C$7,BD!$A$3:$A$5001,"&lt;="&amp;$B270,BD!$Y$3:$Y$5001,"&lt;&gt;")=0,"",SUMIFS(BD!$Y$3:$Y$5001,BD!$B$3:$B$5001,M$241,BD!$A$3:$A$5001,_xlfn.MAXIFS(BD!$A$3:$A$5001,BD!$B$3:$B$5001,M$241,BD!$A$3:$A$5001,"&gt;="&amp;$C$7,BD!$A$3:$A$5001,"&lt;="&amp;$B270,BD!$Y$3:$Y$5001,"&lt;&gt;"))))</f>
        <v/>
      </c>
      <c r="N270" s="43" t="str">
        <f>IF(OR($B270="",$A270&gt;$B$9,N$241=""),"",IF(COUNTIFS(BD!$B$3:$B$5001,N$241,BD!$A$3:$A$5001,"&gt;="&amp;$C$7,BD!$A$3:$A$5001,"&lt;="&amp;$B270,BD!$Y$3:$Y$5001,"&lt;&gt;")=0,"",SUMIFS(BD!$Y$3:$Y$5001,BD!$B$3:$B$5001,N$241,BD!$A$3:$A$5001,_xlfn.MAXIFS(BD!$A$3:$A$5001,BD!$B$3:$B$5001,N$241,BD!$A$3:$A$5001,"&gt;="&amp;$C$7,BD!$A$3:$A$5001,"&lt;="&amp;$B270,BD!$Y$3:$Y$5001,"&lt;&gt;"))))</f>
        <v/>
      </c>
      <c r="O270" s="43" t="str">
        <f>IF(OR($B270="",$A270&gt;$B$9,O$241=""),"",IF(COUNTIFS(BD!$B$3:$B$5001,O$241,BD!$A$3:$A$5001,"&gt;="&amp;$C$7,BD!$A$3:$A$5001,"&lt;="&amp;$B270,BD!$Y$3:$Y$5001,"&lt;&gt;")=0,"",SUMIFS(BD!$Y$3:$Y$5001,BD!$B$3:$B$5001,O$241,BD!$A$3:$A$5001,_xlfn.MAXIFS(BD!$A$3:$A$5001,BD!$B$3:$B$5001,O$241,BD!$A$3:$A$5001,"&gt;="&amp;$C$7,BD!$A$3:$A$5001,"&lt;="&amp;$B270,BD!$Y$3:$Y$5001,"&lt;&gt;"))))</f>
        <v/>
      </c>
      <c r="P270" s="43" t="str">
        <f>IF(OR($B270="",$A270&gt;$B$9,P$241=""),"",IF(COUNTIFS(BD!$B$3:$B$5001,P$241,BD!$A$3:$A$5001,"&gt;="&amp;$C$7,BD!$A$3:$A$5001,"&lt;="&amp;$B270,BD!$Y$3:$Y$5001,"&lt;&gt;")=0,"",SUMIFS(BD!$Y$3:$Y$5001,BD!$B$3:$B$5001,P$241,BD!$A$3:$A$5001,_xlfn.MAXIFS(BD!$A$3:$A$5001,BD!$B$3:$B$5001,P$241,BD!$A$3:$A$5001,"&gt;="&amp;$C$7,BD!$A$3:$A$5001,"&lt;="&amp;$B270,BD!$Y$3:$Y$5001,"&lt;&gt;"))))</f>
        <v/>
      </c>
      <c r="Q270" s="43" t="str">
        <f>IF(OR($B270="",$A270&gt;$B$9,Q$241=""),"",IF(COUNTIFS(BD!$B$3:$B$5001,Q$241,BD!$A$3:$A$5001,"&gt;="&amp;$C$7,BD!$A$3:$A$5001,"&lt;="&amp;$B270,BD!$Y$3:$Y$5001,"&lt;&gt;")=0,"",SUMIFS(BD!$Y$3:$Y$5001,BD!$B$3:$B$5001,Q$241,BD!$A$3:$A$5001,_xlfn.MAXIFS(BD!$A$3:$A$5001,BD!$B$3:$B$5001,Q$241,BD!$A$3:$A$5001,"&gt;="&amp;$C$7,BD!$A$3:$A$5001,"&lt;="&amp;$B270,BD!$Y$3:$Y$5001,"&lt;&gt;"))))</f>
        <v/>
      </c>
      <c r="R270" s="43" t="str">
        <f>IF(OR($B270="",$A270&gt;$B$9,R$241=""),"",IF(COUNTIFS(BD!$B$3:$B$5001,R$241,BD!$A$3:$A$5001,"&gt;="&amp;$C$7,BD!$A$3:$A$5001,"&lt;="&amp;$B270,BD!$Y$3:$Y$5001,"&lt;&gt;")=0,"",SUMIFS(BD!$Y$3:$Y$5001,BD!$B$3:$B$5001,R$241,BD!$A$3:$A$5001,_xlfn.MAXIFS(BD!$A$3:$A$5001,BD!$B$3:$B$5001,R$241,BD!$A$3:$A$5001,"&gt;="&amp;$C$7,BD!$A$3:$A$5001,"&lt;="&amp;$B270,BD!$Y$3:$Y$5001,"&lt;&gt;"))))</f>
        <v/>
      </c>
      <c r="S270" s="43" t="str">
        <f>IF(OR($B270="",$A270&gt;$B$9,S$241=""),"",IF(COUNTIFS(BD!$B$3:$B$5001,S$241,BD!$A$3:$A$5001,"&gt;="&amp;$C$7,BD!$A$3:$A$5001,"&lt;="&amp;$B270,BD!$Y$3:$Y$5001,"&lt;&gt;")=0,"",SUMIFS(BD!$Y$3:$Y$5001,BD!$B$3:$B$5001,S$241,BD!$A$3:$A$5001,_xlfn.MAXIFS(BD!$A$3:$A$5001,BD!$B$3:$B$5001,S$241,BD!$A$3:$A$5001,"&gt;="&amp;$C$7,BD!$A$3:$A$5001,"&lt;="&amp;$B270,BD!$Y$3:$Y$5001,"&lt;&gt;"))))</f>
        <v/>
      </c>
      <c r="T270" s="43" t="str">
        <f>IF(OR($B270="",$A270&gt;$B$9,T$241=""),"",IF(COUNTIFS(BD!$B$3:$B$5001,T$241,BD!$A$3:$A$5001,"&gt;="&amp;$C$7,BD!$A$3:$A$5001,"&lt;="&amp;$B270,BD!$Y$3:$Y$5001,"&lt;&gt;")=0,"",SUMIFS(BD!$Y$3:$Y$5001,BD!$B$3:$B$5001,T$241,BD!$A$3:$A$5001,_xlfn.MAXIFS(BD!$A$3:$A$5001,BD!$B$3:$B$5001,T$241,BD!$A$3:$A$5001,"&gt;="&amp;$C$7,BD!$A$3:$A$5001,"&lt;="&amp;$B270,BD!$Y$3:$Y$5001,"&lt;&gt;"))))</f>
        <v/>
      </c>
      <c r="U270" s="43" t="str">
        <f>IF(OR($B270="",$A270&gt;$B$9,U$241=""),"",IF(COUNTIFS(BD!$B$3:$B$5001,U$241,BD!$A$3:$A$5001,"&gt;="&amp;$C$7,BD!$A$3:$A$5001,"&lt;="&amp;$B270,BD!$Y$3:$Y$5001,"&lt;&gt;")=0,"",SUMIFS(BD!$Y$3:$Y$5001,BD!$B$3:$B$5001,U$241,BD!$A$3:$A$5001,_xlfn.MAXIFS(BD!$A$3:$A$5001,BD!$B$3:$B$5001,U$241,BD!$A$3:$A$5001,"&gt;="&amp;$C$7,BD!$A$3:$A$5001,"&lt;="&amp;$B270,BD!$Y$3:$Y$5001,"&lt;&gt;"))))</f>
        <v/>
      </c>
      <c r="V270" s="43" t="str">
        <f>IF(OR($B270="",$A270&gt;$B$9,V$241=""),"",IF(COUNTIFS(BD!$B$3:$B$5001,V$241,BD!$A$3:$A$5001,"&gt;="&amp;$C$7,BD!$A$3:$A$5001,"&lt;="&amp;$B270,BD!$Y$3:$Y$5001,"&lt;&gt;")=0,"",SUMIFS(BD!$Y$3:$Y$5001,BD!$B$3:$B$5001,V$241,BD!$A$3:$A$5001,_xlfn.MAXIFS(BD!$A$3:$A$5001,BD!$B$3:$B$5001,V$241,BD!$A$3:$A$5001,"&gt;="&amp;$C$7,BD!$A$3:$A$5001,"&lt;="&amp;$B270,BD!$Y$3:$Y$5001,"&lt;&gt;"))))</f>
        <v/>
      </c>
    </row>
    <row r="271">
      <c r="A271" s="38">
        <v>30</v>
      </c>
      <c r="B271" s="42">
        <f>$B$41</f>
        <v>46325</v>
      </c>
      <c r="C271" s="43" t="str">
        <f>IF(OR($B271="",$A271&gt;$B$9,C$241=""),"",IF(COUNTIFS(BD!$B$3:$B$5001,C$241,BD!$A$3:$A$5001,"&gt;="&amp;$C$7,BD!$A$3:$A$5001,"&lt;="&amp;$B271,BD!$Y$3:$Y$5001,"&lt;&gt;")=0,"",SUMIFS(BD!$Y$3:$Y$5001,BD!$B$3:$B$5001,C$241,BD!$A$3:$A$5001,_xlfn.MAXIFS(BD!$A$3:$A$5001,BD!$B$3:$B$5001,C$241,BD!$A$3:$A$5001,"&gt;="&amp;$C$7,BD!$A$3:$A$5001,"&lt;="&amp;$B271,BD!$Y$3:$Y$5001,"&lt;&gt;"))))</f>
        <v/>
      </c>
      <c r="D271" s="43" t="str">
        <f>IF(OR($B271="",$A271&gt;$B$9,D$241=""),"",IF(COUNTIFS(BD!$B$3:$B$5001,D$241,BD!$A$3:$A$5001,"&gt;="&amp;$C$7,BD!$A$3:$A$5001,"&lt;="&amp;$B271,BD!$Y$3:$Y$5001,"&lt;&gt;")=0,"",SUMIFS(BD!$Y$3:$Y$5001,BD!$B$3:$B$5001,D$241,BD!$A$3:$A$5001,_xlfn.MAXIFS(BD!$A$3:$A$5001,BD!$B$3:$B$5001,D$241,BD!$A$3:$A$5001,"&gt;="&amp;$C$7,BD!$A$3:$A$5001,"&lt;="&amp;$B271,BD!$Y$3:$Y$5001,"&lt;&gt;"))))</f>
        <v/>
      </c>
      <c r="E271" s="43" t="str">
        <f>IF(OR($B271="",$A271&gt;$B$9,E$241=""),"",IF(COUNTIFS(BD!$B$3:$B$5001,E$241,BD!$A$3:$A$5001,"&gt;="&amp;$C$7,BD!$A$3:$A$5001,"&lt;="&amp;$B271,BD!$Y$3:$Y$5001,"&lt;&gt;")=0,"",SUMIFS(BD!$Y$3:$Y$5001,BD!$B$3:$B$5001,E$241,BD!$A$3:$A$5001,_xlfn.MAXIFS(BD!$A$3:$A$5001,BD!$B$3:$B$5001,E$241,BD!$A$3:$A$5001,"&gt;="&amp;$C$7,BD!$A$3:$A$5001,"&lt;="&amp;$B271,BD!$Y$3:$Y$5001,"&lt;&gt;"))))</f>
        <v/>
      </c>
      <c r="F271" s="43" t="str">
        <f>IF(OR($B271="",$A271&gt;$B$9,F$241=""),"",IF(COUNTIFS(BD!$B$3:$B$5001,F$241,BD!$A$3:$A$5001,"&gt;="&amp;$C$7,BD!$A$3:$A$5001,"&lt;="&amp;$B271,BD!$Y$3:$Y$5001,"&lt;&gt;")=0,"",SUMIFS(BD!$Y$3:$Y$5001,BD!$B$3:$B$5001,F$241,BD!$A$3:$A$5001,_xlfn.MAXIFS(BD!$A$3:$A$5001,BD!$B$3:$B$5001,F$241,BD!$A$3:$A$5001,"&gt;="&amp;$C$7,BD!$A$3:$A$5001,"&lt;="&amp;$B271,BD!$Y$3:$Y$5001,"&lt;&gt;"))))</f>
        <v/>
      </c>
      <c r="G271" s="43" t="str">
        <f>IF(OR($B271="",$A271&gt;$B$9,G$241=""),"",IF(COUNTIFS(BD!$B$3:$B$5001,G$241,BD!$A$3:$A$5001,"&gt;="&amp;$C$7,BD!$A$3:$A$5001,"&lt;="&amp;$B271,BD!$Y$3:$Y$5001,"&lt;&gt;")=0,"",SUMIFS(BD!$Y$3:$Y$5001,BD!$B$3:$B$5001,G$241,BD!$A$3:$A$5001,_xlfn.MAXIFS(BD!$A$3:$A$5001,BD!$B$3:$B$5001,G$241,BD!$A$3:$A$5001,"&gt;="&amp;$C$7,BD!$A$3:$A$5001,"&lt;="&amp;$B271,BD!$Y$3:$Y$5001,"&lt;&gt;"))))</f>
        <v/>
      </c>
      <c r="H271" s="43" t="str">
        <f>IF(OR($B271="",$A271&gt;$B$9,H$241=""),"",IF(COUNTIFS(BD!$B$3:$B$5001,H$241,BD!$A$3:$A$5001,"&gt;="&amp;$C$7,BD!$A$3:$A$5001,"&lt;="&amp;$B271,BD!$Y$3:$Y$5001,"&lt;&gt;")=0,"",SUMIFS(BD!$Y$3:$Y$5001,BD!$B$3:$B$5001,H$241,BD!$A$3:$A$5001,_xlfn.MAXIFS(BD!$A$3:$A$5001,BD!$B$3:$B$5001,H$241,BD!$A$3:$A$5001,"&gt;="&amp;$C$7,BD!$A$3:$A$5001,"&lt;="&amp;$B271,BD!$Y$3:$Y$5001,"&lt;&gt;"))))</f>
        <v/>
      </c>
      <c r="I271" s="43" t="str">
        <f>IF(OR($B271="",$A271&gt;$B$9,I$241=""),"",IF(COUNTIFS(BD!$B$3:$B$5001,I$241,BD!$A$3:$A$5001,"&gt;="&amp;$C$7,BD!$A$3:$A$5001,"&lt;="&amp;$B271,BD!$Y$3:$Y$5001,"&lt;&gt;")=0,"",SUMIFS(BD!$Y$3:$Y$5001,BD!$B$3:$B$5001,I$241,BD!$A$3:$A$5001,_xlfn.MAXIFS(BD!$A$3:$A$5001,BD!$B$3:$B$5001,I$241,BD!$A$3:$A$5001,"&gt;="&amp;$C$7,BD!$A$3:$A$5001,"&lt;="&amp;$B271,BD!$Y$3:$Y$5001,"&lt;&gt;"))))</f>
        <v/>
      </c>
      <c r="J271" s="43" t="str">
        <f>IF(OR($B271="",$A271&gt;$B$9,J$241=""),"",IF(COUNTIFS(BD!$B$3:$B$5001,J$241,BD!$A$3:$A$5001,"&gt;="&amp;$C$7,BD!$A$3:$A$5001,"&lt;="&amp;$B271,BD!$Y$3:$Y$5001,"&lt;&gt;")=0,"",SUMIFS(BD!$Y$3:$Y$5001,BD!$B$3:$B$5001,J$241,BD!$A$3:$A$5001,_xlfn.MAXIFS(BD!$A$3:$A$5001,BD!$B$3:$B$5001,J$241,BD!$A$3:$A$5001,"&gt;="&amp;$C$7,BD!$A$3:$A$5001,"&lt;="&amp;$B271,BD!$Y$3:$Y$5001,"&lt;&gt;"))))</f>
        <v/>
      </c>
      <c r="K271" s="43" t="str">
        <f>IF(OR($B271="",$A271&gt;$B$9,K$241=""),"",IF(COUNTIFS(BD!$B$3:$B$5001,K$241,BD!$A$3:$A$5001,"&gt;="&amp;$C$7,BD!$A$3:$A$5001,"&lt;="&amp;$B271,BD!$Y$3:$Y$5001,"&lt;&gt;")=0,"",SUMIFS(BD!$Y$3:$Y$5001,BD!$B$3:$B$5001,K$241,BD!$A$3:$A$5001,_xlfn.MAXIFS(BD!$A$3:$A$5001,BD!$B$3:$B$5001,K$241,BD!$A$3:$A$5001,"&gt;="&amp;$C$7,BD!$A$3:$A$5001,"&lt;="&amp;$B271,BD!$Y$3:$Y$5001,"&lt;&gt;"))))</f>
        <v/>
      </c>
      <c r="L271" s="43" t="str">
        <f>IF(OR($B271="",$A271&gt;$B$9,L$241=""),"",IF(COUNTIFS(BD!$B$3:$B$5001,L$241,BD!$A$3:$A$5001,"&gt;="&amp;$C$7,BD!$A$3:$A$5001,"&lt;="&amp;$B271,BD!$Y$3:$Y$5001,"&lt;&gt;")=0,"",SUMIFS(BD!$Y$3:$Y$5001,BD!$B$3:$B$5001,L$241,BD!$A$3:$A$5001,_xlfn.MAXIFS(BD!$A$3:$A$5001,BD!$B$3:$B$5001,L$241,BD!$A$3:$A$5001,"&gt;="&amp;$C$7,BD!$A$3:$A$5001,"&lt;="&amp;$B271,BD!$Y$3:$Y$5001,"&lt;&gt;"))))</f>
        <v/>
      </c>
      <c r="M271" s="43" t="str">
        <f>IF(OR($B271="",$A271&gt;$B$9,M$241=""),"",IF(COUNTIFS(BD!$B$3:$B$5001,M$241,BD!$A$3:$A$5001,"&gt;="&amp;$C$7,BD!$A$3:$A$5001,"&lt;="&amp;$B271,BD!$Y$3:$Y$5001,"&lt;&gt;")=0,"",SUMIFS(BD!$Y$3:$Y$5001,BD!$B$3:$B$5001,M$241,BD!$A$3:$A$5001,_xlfn.MAXIFS(BD!$A$3:$A$5001,BD!$B$3:$B$5001,M$241,BD!$A$3:$A$5001,"&gt;="&amp;$C$7,BD!$A$3:$A$5001,"&lt;="&amp;$B271,BD!$Y$3:$Y$5001,"&lt;&gt;"))))</f>
        <v/>
      </c>
      <c r="N271" s="43" t="str">
        <f>IF(OR($B271="",$A271&gt;$B$9,N$241=""),"",IF(COUNTIFS(BD!$B$3:$B$5001,N$241,BD!$A$3:$A$5001,"&gt;="&amp;$C$7,BD!$A$3:$A$5001,"&lt;="&amp;$B271,BD!$Y$3:$Y$5001,"&lt;&gt;")=0,"",SUMIFS(BD!$Y$3:$Y$5001,BD!$B$3:$B$5001,N$241,BD!$A$3:$A$5001,_xlfn.MAXIFS(BD!$A$3:$A$5001,BD!$B$3:$B$5001,N$241,BD!$A$3:$A$5001,"&gt;="&amp;$C$7,BD!$A$3:$A$5001,"&lt;="&amp;$B271,BD!$Y$3:$Y$5001,"&lt;&gt;"))))</f>
        <v/>
      </c>
      <c r="O271" s="43" t="str">
        <f>IF(OR($B271="",$A271&gt;$B$9,O$241=""),"",IF(COUNTIFS(BD!$B$3:$B$5001,O$241,BD!$A$3:$A$5001,"&gt;="&amp;$C$7,BD!$A$3:$A$5001,"&lt;="&amp;$B271,BD!$Y$3:$Y$5001,"&lt;&gt;")=0,"",SUMIFS(BD!$Y$3:$Y$5001,BD!$B$3:$B$5001,O$241,BD!$A$3:$A$5001,_xlfn.MAXIFS(BD!$A$3:$A$5001,BD!$B$3:$B$5001,O$241,BD!$A$3:$A$5001,"&gt;="&amp;$C$7,BD!$A$3:$A$5001,"&lt;="&amp;$B271,BD!$Y$3:$Y$5001,"&lt;&gt;"))))</f>
        <v/>
      </c>
      <c r="P271" s="43" t="str">
        <f>IF(OR($B271="",$A271&gt;$B$9,P$241=""),"",IF(COUNTIFS(BD!$B$3:$B$5001,P$241,BD!$A$3:$A$5001,"&gt;="&amp;$C$7,BD!$A$3:$A$5001,"&lt;="&amp;$B271,BD!$Y$3:$Y$5001,"&lt;&gt;")=0,"",SUMIFS(BD!$Y$3:$Y$5001,BD!$B$3:$B$5001,P$241,BD!$A$3:$A$5001,_xlfn.MAXIFS(BD!$A$3:$A$5001,BD!$B$3:$B$5001,P$241,BD!$A$3:$A$5001,"&gt;="&amp;$C$7,BD!$A$3:$A$5001,"&lt;="&amp;$B271,BD!$Y$3:$Y$5001,"&lt;&gt;"))))</f>
        <v/>
      </c>
      <c r="Q271" s="43" t="str">
        <f>IF(OR($B271="",$A271&gt;$B$9,Q$241=""),"",IF(COUNTIFS(BD!$B$3:$B$5001,Q$241,BD!$A$3:$A$5001,"&gt;="&amp;$C$7,BD!$A$3:$A$5001,"&lt;="&amp;$B271,BD!$Y$3:$Y$5001,"&lt;&gt;")=0,"",SUMIFS(BD!$Y$3:$Y$5001,BD!$B$3:$B$5001,Q$241,BD!$A$3:$A$5001,_xlfn.MAXIFS(BD!$A$3:$A$5001,BD!$B$3:$B$5001,Q$241,BD!$A$3:$A$5001,"&gt;="&amp;$C$7,BD!$A$3:$A$5001,"&lt;="&amp;$B271,BD!$Y$3:$Y$5001,"&lt;&gt;"))))</f>
        <v/>
      </c>
      <c r="R271" s="43" t="str">
        <f>IF(OR($B271="",$A271&gt;$B$9,R$241=""),"",IF(COUNTIFS(BD!$B$3:$B$5001,R$241,BD!$A$3:$A$5001,"&gt;="&amp;$C$7,BD!$A$3:$A$5001,"&lt;="&amp;$B271,BD!$Y$3:$Y$5001,"&lt;&gt;")=0,"",SUMIFS(BD!$Y$3:$Y$5001,BD!$B$3:$B$5001,R$241,BD!$A$3:$A$5001,_xlfn.MAXIFS(BD!$A$3:$A$5001,BD!$B$3:$B$5001,R$241,BD!$A$3:$A$5001,"&gt;="&amp;$C$7,BD!$A$3:$A$5001,"&lt;="&amp;$B271,BD!$Y$3:$Y$5001,"&lt;&gt;"))))</f>
        <v/>
      </c>
      <c r="S271" s="43" t="str">
        <f>IF(OR($B271="",$A271&gt;$B$9,S$241=""),"",IF(COUNTIFS(BD!$B$3:$B$5001,S$241,BD!$A$3:$A$5001,"&gt;="&amp;$C$7,BD!$A$3:$A$5001,"&lt;="&amp;$B271,BD!$Y$3:$Y$5001,"&lt;&gt;")=0,"",SUMIFS(BD!$Y$3:$Y$5001,BD!$B$3:$B$5001,S$241,BD!$A$3:$A$5001,_xlfn.MAXIFS(BD!$A$3:$A$5001,BD!$B$3:$B$5001,S$241,BD!$A$3:$A$5001,"&gt;="&amp;$C$7,BD!$A$3:$A$5001,"&lt;="&amp;$B271,BD!$Y$3:$Y$5001,"&lt;&gt;"))))</f>
        <v/>
      </c>
      <c r="T271" s="43" t="str">
        <f>IF(OR($B271="",$A271&gt;$B$9,T$241=""),"",IF(COUNTIFS(BD!$B$3:$B$5001,T$241,BD!$A$3:$A$5001,"&gt;="&amp;$C$7,BD!$A$3:$A$5001,"&lt;="&amp;$B271,BD!$Y$3:$Y$5001,"&lt;&gt;")=0,"",SUMIFS(BD!$Y$3:$Y$5001,BD!$B$3:$B$5001,T$241,BD!$A$3:$A$5001,_xlfn.MAXIFS(BD!$A$3:$A$5001,BD!$B$3:$B$5001,T$241,BD!$A$3:$A$5001,"&gt;="&amp;$C$7,BD!$A$3:$A$5001,"&lt;="&amp;$B271,BD!$Y$3:$Y$5001,"&lt;&gt;"))))</f>
        <v/>
      </c>
      <c r="U271" s="43" t="str">
        <f>IF(OR($B271="",$A271&gt;$B$9,U$241=""),"",IF(COUNTIFS(BD!$B$3:$B$5001,U$241,BD!$A$3:$A$5001,"&gt;="&amp;$C$7,BD!$A$3:$A$5001,"&lt;="&amp;$B271,BD!$Y$3:$Y$5001,"&lt;&gt;")=0,"",SUMIFS(BD!$Y$3:$Y$5001,BD!$B$3:$B$5001,U$241,BD!$A$3:$A$5001,_xlfn.MAXIFS(BD!$A$3:$A$5001,BD!$B$3:$B$5001,U$241,BD!$A$3:$A$5001,"&gt;="&amp;$C$7,BD!$A$3:$A$5001,"&lt;="&amp;$B271,BD!$Y$3:$Y$5001,"&lt;&gt;"))))</f>
        <v/>
      </c>
      <c r="V271" s="43" t="str">
        <f>IF(OR($B271="",$A271&gt;$B$9,V$241=""),"",IF(COUNTIFS(BD!$B$3:$B$5001,V$241,BD!$A$3:$A$5001,"&gt;="&amp;$C$7,BD!$A$3:$A$5001,"&lt;="&amp;$B271,BD!$Y$3:$Y$5001,"&lt;&gt;")=0,"",SUMIFS(BD!$Y$3:$Y$5001,BD!$B$3:$B$5001,V$241,BD!$A$3:$A$5001,_xlfn.MAXIFS(BD!$A$3:$A$5001,BD!$B$3:$B$5001,V$241,BD!$A$3:$A$5001,"&gt;="&amp;$C$7,BD!$A$3:$A$5001,"&lt;="&amp;$B271,BD!$Y$3:$Y$5001,"&lt;&gt;"))))</f>
        <v/>
      </c>
    </row>
    <row r="272">
      <c r="A272" s="38">
        <v>31</v>
      </c>
      <c r="B272" s="42">
        <f>$B$42</f>
        <v>46326</v>
      </c>
      <c r="C272" s="43" t="str">
        <f>IF(OR($B272="",$A272&gt;$B$9,C$241=""),"",IF(COUNTIFS(BD!$B$3:$B$5001,C$241,BD!$A$3:$A$5001,"&gt;="&amp;$C$7,BD!$A$3:$A$5001,"&lt;="&amp;$B272,BD!$Y$3:$Y$5001,"&lt;&gt;")=0,"",SUMIFS(BD!$Y$3:$Y$5001,BD!$B$3:$B$5001,C$241,BD!$A$3:$A$5001,_xlfn.MAXIFS(BD!$A$3:$A$5001,BD!$B$3:$B$5001,C$241,BD!$A$3:$A$5001,"&gt;="&amp;$C$7,BD!$A$3:$A$5001,"&lt;="&amp;$B272,BD!$Y$3:$Y$5001,"&lt;&gt;"))))</f>
        <v/>
      </c>
      <c r="D272" s="43" t="str">
        <f>IF(OR($B272="",$A272&gt;$B$9,D$241=""),"",IF(COUNTIFS(BD!$B$3:$B$5001,D$241,BD!$A$3:$A$5001,"&gt;="&amp;$C$7,BD!$A$3:$A$5001,"&lt;="&amp;$B272,BD!$Y$3:$Y$5001,"&lt;&gt;")=0,"",SUMIFS(BD!$Y$3:$Y$5001,BD!$B$3:$B$5001,D$241,BD!$A$3:$A$5001,_xlfn.MAXIFS(BD!$A$3:$A$5001,BD!$B$3:$B$5001,D$241,BD!$A$3:$A$5001,"&gt;="&amp;$C$7,BD!$A$3:$A$5001,"&lt;="&amp;$B272,BD!$Y$3:$Y$5001,"&lt;&gt;"))))</f>
        <v/>
      </c>
      <c r="E272" s="43" t="str">
        <f>IF(OR($B272="",$A272&gt;$B$9,E$241=""),"",IF(COUNTIFS(BD!$B$3:$B$5001,E$241,BD!$A$3:$A$5001,"&gt;="&amp;$C$7,BD!$A$3:$A$5001,"&lt;="&amp;$B272,BD!$Y$3:$Y$5001,"&lt;&gt;")=0,"",SUMIFS(BD!$Y$3:$Y$5001,BD!$B$3:$B$5001,E$241,BD!$A$3:$A$5001,_xlfn.MAXIFS(BD!$A$3:$A$5001,BD!$B$3:$B$5001,E$241,BD!$A$3:$A$5001,"&gt;="&amp;$C$7,BD!$A$3:$A$5001,"&lt;="&amp;$B272,BD!$Y$3:$Y$5001,"&lt;&gt;"))))</f>
        <v/>
      </c>
      <c r="F272" s="43" t="str">
        <f>IF(OR($B272="",$A272&gt;$B$9,F$241=""),"",IF(COUNTIFS(BD!$B$3:$B$5001,F$241,BD!$A$3:$A$5001,"&gt;="&amp;$C$7,BD!$A$3:$A$5001,"&lt;="&amp;$B272,BD!$Y$3:$Y$5001,"&lt;&gt;")=0,"",SUMIFS(BD!$Y$3:$Y$5001,BD!$B$3:$B$5001,F$241,BD!$A$3:$A$5001,_xlfn.MAXIFS(BD!$A$3:$A$5001,BD!$B$3:$B$5001,F$241,BD!$A$3:$A$5001,"&gt;="&amp;$C$7,BD!$A$3:$A$5001,"&lt;="&amp;$B272,BD!$Y$3:$Y$5001,"&lt;&gt;"))))</f>
        <v/>
      </c>
      <c r="G272" s="43" t="str">
        <f>IF(OR($B272="",$A272&gt;$B$9,G$241=""),"",IF(COUNTIFS(BD!$B$3:$B$5001,G$241,BD!$A$3:$A$5001,"&gt;="&amp;$C$7,BD!$A$3:$A$5001,"&lt;="&amp;$B272,BD!$Y$3:$Y$5001,"&lt;&gt;")=0,"",SUMIFS(BD!$Y$3:$Y$5001,BD!$B$3:$B$5001,G$241,BD!$A$3:$A$5001,_xlfn.MAXIFS(BD!$A$3:$A$5001,BD!$B$3:$B$5001,G$241,BD!$A$3:$A$5001,"&gt;="&amp;$C$7,BD!$A$3:$A$5001,"&lt;="&amp;$B272,BD!$Y$3:$Y$5001,"&lt;&gt;"))))</f>
        <v/>
      </c>
      <c r="H272" s="43" t="str">
        <f>IF(OR($B272="",$A272&gt;$B$9,H$241=""),"",IF(COUNTIFS(BD!$B$3:$B$5001,H$241,BD!$A$3:$A$5001,"&gt;="&amp;$C$7,BD!$A$3:$A$5001,"&lt;="&amp;$B272,BD!$Y$3:$Y$5001,"&lt;&gt;")=0,"",SUMIFS(BD!$Y$3:$Y$5001,BD!$B$3:$B$5001,H$241,BD!$A$3:$A$5001,_xlfn.MAXIFS(BD!$A$3:$A$5001,BD!$B$3:$B$5001,H$241,BD!$A$3:$A$5001,"&gt;="&amp;$C$7,BD!$A$3:$A$5001,"&lt;="&amp;$B272,BD!$Y$3:$Y$5001,"&lt;&gt;"))))</f>
        <v/>
      </c>
      <c r="I272" s="43" t="str">
        <f>IF(OR($B272="",$A272&gt;$B$9,I$241=""),"",IF(COUNTIFS(BD!$B$3:$B$5001,I$241,BD!$A$3:$A$5001,"&gt;="&amp;$C$7,BD!$A$3:$A$5001,"&lt;="&amp;$B272,BD!$Y$3:$Y$5001,"&lt;&gt;")=0,"",SUMIFS(BD!$Y$3:$Y$5001,BD!$B$3:$B$5001,I$241,BD!$A$3:$A$5001,_xlfn.MAXIFS(BD!$A$3:$A$5001,BD!$B$3:$B$5001,I$241,BD!$A$3:$A$5001,"&gt;="&amp;$C$7,BD!$A$3:$A$5001,"&lt;="&amp;$B272,BD!$Y$3:$Y$5001,"&lt;&gt;"))))</f>
        <v/>
      </c>
      <c r="J272" s="43" t="str">
        <f>IF(OR($B272="",$A272&gt;$B$9,J$241=""),"",IF(COUNTIFS(BD!$B$3:$B$5001,J$241,BD!$A$3:$A$5001,"&gt;="&amp;$C$7,BD!$A$3:$A$5001,"&lt;="&amp;$B272,BD!$Y$3:$Y$5001,"&lt;&gt;")=0,"",SUMIFS(BD!$Y$3:$Y$5001,BD!$B$3:$B$5001,J$241,BD!$A$3:$A$5001,_xlfn.MAXIFS(BD!$A$3:$A$5001,BD!$B$3:$B$5001,J$241,BD!$A$3:$A$5001,"&gt;="&amp;$C$7,BD!$A$3:$A$5001,"&lt;="&amp;$B272,BD!$Y$3:$Y$5001,"&lt;&gt;"))))</f>
        <v/>
      </c>
      <c r="K272" s="43" t="str">
        <f>IF(OR($B272="",$A272&gt;$B$9,K$241=""),"",IF(COUNTIFS(BD!$B$3:$B$5001,K$241,BD!$A$3:$A$5001,"&gt;="&amp;$C$7,BD!$A$3:$A$5001,"&lt;="&amp;$B272,BD!$Y$3:$Y$5001,"&lt;&gt;")=0,"",SUMIFS(BD!$Y$3:$Y$5001,BD!$B$3:$B$5001,K$241,BD!$A$3:$A$5001,_xlfn.MAXIFS(BD!$A$3:$A$5001,BD!$B$3:$B$5001,K$241,BD!$A$3:$A$5001,"&gt;="&amp;$C$7,BD!$A$3:$A$5001,"&lt;="&amp;$B272,BD!$Y$3:$Y$5001,"&lt;&gt;"))))</f>
        <v/>
      </c>
      <c r="L272" s="43" t="str">
        <f>IF(OR($B272="",$A272&gt;$B$9,L$241=""),"",IF(COUNTIFS(BD!$B$3:$B$5001,L$241,BD!$A$3:$A$5001,"&gt;="&amp;$C$7,BD!$A$3:$A$5001,"&lt;="&amp;$B272,BD!$Y$3:$Y$5001,"&lt;&gt;")=0,"",SUMIFS(BD!$Y$3:$Y$5001,BD!$B$3:$B$5001,L$241,BD!$A$3:$A$5001,_xlfn.MAXIFS(BD!$A$3:$A$5001,BD!$B$3:$B$5001,L$241,BD!$A$3:$A$5001,"&gt;="&amp;$C$7,BD!$A$3:$A$5001,"&lt;="&amp;$B272,BD!$Y$3:$Y$5001,"&lt;&gt;"))))</f>
        <v/>
      </c>
      <c r="M272" s="43" t="str">
        <f>IF(OR($B272="",$A272&gt;$B$9,M$241=""),"",IF(COUNTIFS(BD!$B$3:$B$5001,M$241,BD!$A$3:$A$5001,"&gt;="&amp;$C$7,BD!$A$3:$A$5001,"&lt;="&amp;$B272,BD!$Y$3:$Y$5001,"&lt;&gt;")=0,"",SUMIFS(BD!$Y$3:$Y$5001,BD!$B$3:$B$5001,M$241,BD!$A$3:$A$5001,_xlfn.MAXIFS(BD!$A$3:$A$5001,BD!$B$3:$B$5001,M$241,BD!$A$3:$A$5001,"&gt;="&amp;$C$7,BD!$A$3:$A$5001,"&lt;="&amp;$B272,BD!$Y$3:$Y$5001,"&lt;&gt;"))))</f>
        <v/>
      </c>
      <c r="N272" s="43" t="str">
        <f>IF(OR($B272="",$A272&gt;$B$9,N$241=""),"",IF(COUNTIFS(BD!$B$3:$B$5001,N$241,BD!$A$3:$A$5001,"&gt;="&amp;$C$7,BD!$A$3:$A$5001,"&lt;="&amp;$B272,BD!$Y$3:$Y$5001,"&lt;&gt;")=0,"",SUMIFS(BD!$Y$3:$Y$5001,BD!$B$3:$B$5001,N$241,BD!$A$3:$A$5001,_xlfn.MAXIFS(BD!$A$3:$A$5001,BD!$B$3:$B$5001,N$241,BD!$A$3:$A$5001,"&gt;="&amp;$C$7,BD!$A$3:$A$5001,"&lt;="&amp;$B272,BD!$Y$3:$Y$5001,"&lt;&gt;"))))</f>
        <v/>
      </c>
      <c r="O272" s="43" t="str">
        <f>IF(OR($B272="",$A272&gt;$B$9,O$241=""),"",IF(COUNTIFS(BD!$B$3:$B$5001,O$241,BD!$A$3:$A$5001,"&gt;="&amp;$C$7,BD!$A$3:$A$5001,"&lt;="&amp;$B272,BD!$Y$3:$Y$5001,"&lt;&gt;")=0,"",SUMIFS(BD!$Y$3:$Y$5001,BD!$B$3:$B$5001,O$241,BD!$A$3:$A$5001,_xlfn.MAXIFS(BD!$A$3:$A$5001,BD!$B$3:$B$5001,O$241,BD!$A$3:$A$5001,"&gt;="&amp;$C$7,BD!$A$3:$A$5001,"&lt;="&amp;$B272,BD!$Y$3:$Y$5001,"&lt;&gt;"))))</f>
        <v/>
      </c>
      <c r="P272" s="43" t="str">
        <f>IF(OR($B272="",$A272&gt;$B$9,P$241=""),"",IF(COUNTIFS(BD!$B$3:$B$5001,P$241,BD!$A$3:$A$5001,"&gt;="&amp;$C$7,BD!$A$3:$A$5001,"&lt;="&amp;$B272,BD!$Y$3:$Y$5001,"&lt;&gt;")=0,"",SUMIFS(BD!$Y$3:$Y$5001,BD!$B$3:$B$5001,P$241,BD!$A$3:$A$5001,_xlfn.MAXIFS(BD!$A$3:$A$5001,BD!$B$3:$B$5001,P$241,BD!$A$3:$A$5001,"&gt;="&amp;$C$7,BD!$A$3:$A$5001,"&lt;="&amp;$B272,BD!$Y$3:$Y$5001,"&lt;&gt;"))))</f>
        <v/>
      </c>
      <c r="Q272" s="43" t="str">
        <f>IF(OR($B272="",$A272&gt;$B$9,Q$241=""),"",IF(COUNTIFS(BD!$B$3:$B$5001,Q$241,BD!$A$3:$A$5001,"&gt;="&amp;$C$7,BD!$A$3:$A$5001,"&lt;="&amp;$B272,BD!$Y$3:$Y$5001,"&lt;&gt;")=0,"",SUMIFS(BD!$Y$3:$Y$5001,BD!$B$3:$B$5001,Q$241,BD!$A$3:$A$5001,_xlfn.MAXIFS(BD!$A$3:$A$5001,BD!$B$3:$B$5001,Q$241,BD!$A$3:$A$5001,"&gt;="&amp;$C$7,BD!$A$3:$A$5001,"&lt;="&amp;$B272,BD!$Y$3:$Y$5001,"&lt;&gt;"))))</f>
        <v/>
      </c>
      <c r="R272" s="43" t="str">
        <f>IF(OR($B272="",$A272&gt;$B$9,R$241=""),"",IF(COUNTIFS(BD!$B$3:$B$5001,R$241,BD!$A$3:$A$5001,"&gt;="&amp;$C$7,BD!$A$3:$A$5001,"&lt;="&amp;$B272,BD!$Y$3:$Y$5001,"&lt;&gt;")=0,"",SUMIFS(BD!$Y$3:$Y$5001,BD!$B$3:$B$5001,R$241,BD!$A$3:$A$5001,_xlfn.MAXIFS(BD!$A$3:$A$5001,BD!$B$3:$B$5001,R$241,BD!$A$3:$A$5001,"&gt;="&amp;$C$7,BD!$A$3:$A$5001,"&lt;="&amp;$B272,BD!$Y$3:$Y$5001,"&lt;&gt;"))))</f>
        <v/>
      </c>
      <c r="S272" s="43" t="str">
        <f>IF(OR($B272="",$A272&gt;$B$9,S$241=""),"",IF(COUNTIFS(BD!$B$3:$B$5001,S$241,BD!$A$3:$A$5001,"&gt;="&amp;$C$7,BD!$A$3:$A$5001,"&lt;="&amp;$B272,BD!$Y$3:$Y$5001,"&lt;&gt;")=0,"",SUMIFS(BD!$Y$3:$Y$5001,BD!$B$3:$B$5001,S$241,BD!$A$3:$A$5001,_xlfn.MAXIFS(BD!$A$3:$A$5001,BD!$B$3:$B$5001,S$241,BD!$A$3:$A$5001,"&gt;="&amp;$C$7,BD!$A$3:$A$5001,"&lt;="&amp;$B272,BD!$Y$3:$Y$5001,"&lt;&gt;"))))</f>
        <v/>
      </c>
      <c r="T272" s="43" t="str">
        <f>IF(OR($B272="",$A272&gt;$B$9,T$241=""),"",IF(COUNTIFS(BD!$B$3:$B$5001,T$241,BD!$A$3:$A$5001,"&gt;="&amp;$C$7,BD!$A$3:$A$5001,"&lt;="&amp;$B272,BD!$Y$3:$Y$5001,"&lt;&gt;")=0,"",SUMIFS(BD!$Y$3:$Y$5001,BD!$B$3:$B$5001,T$241,BD!$A$3:$A$5001,_xlfn.MAXIFS(BD!$A$3:$A$5001,BD!$B$3:$B$5001,T$241,BD!$A$3:$A$5001,"&gt;="&amp;$C$7,BD!$A$3:$A$5001,"&lt;="&amp;$B272,BD!$Y$3:$Y$5001,"&lt;&gt;"))))</f>
        <v/>
      </c>
      <c r="U272" s="43" t="str">
        <f>IF(OR($B272="",$A272&gt;$B$9,U$241=""),"",IF(COUNTIFS(BD!$B$3:$B$5001,U$241,BD!$A$3:$A$5001,"&gt;="&amp;$C$7,BD!$A$3:$A$5001,"&lt;="&amp;$B272,BD!$Y$3:$Y$5001,"&lt;&gt;")=0,"",SUMIFS(BD!$Y$3:$Y$5001,BD!$B$3:$B$5001,U$241,BD!$A$3:$A$5001,_xlfn.MAXIFS(BD!$A$3:$A$5001,BD!$B$3:$B$5001,U$241,BD!$A$3:$A$5001,"&gt;="&amp;$C$7,BD!$A$3:$A$5001,"&lt;="&amp;$B272,BD!$Y$3:$Y$5001,"&lt;&gt;"))))</f>
        <v/>
      </c>
      <c r="V272" s="43" t="str">
        <f>IF(OR($B272="",$A272&gt;$B$9,V$241=""),"",IF(COUNTIFS(BD!$B$3:$B$5001,V$241,BD!$A$3:$A$5001,"&gt;="&amp;$C$7,BD!$A$3:$A$5001,"&lt;="&amp;$B272,BD!$Y$3:$Y$5001,"&lt;&gt;")=0,"",SUMIFS(BD!$Y$3:$Y$5001,BD!$B$3:$B$5001,V$241,BD!$A$3:$A$5001,_xlfn.MAXIFS(BD!$A$3:$A$5001,BD!$B$3:$B$5001,V$241,BD!$A$3:$A$5001,"&gt;="&amp;$C$7,BD!$A$3:$A$5001,"&lt;="&amp;$B272,BD!$Y$3:$Y$5001,"&lt;&gt;"))))</f>
        <v/>
      </c>
    </row>
    <row r="273">
      <c r="A273" s="44" t="inlineStr">
        <is>
          <t xml:space="preserve">Mês anterior (último)</t>
        </is>
      </c>
      <c r="C273" s="45" t="str">
        <f>IF(C$241="","",IF(COUNTIFS(BD!$B$3:$B$5001,C$241,BD!$A$3:$A$5001,"&gt;="&amp;$C$8,BD!$A$3:$A$5001,"&lt;="&amp;$D$8,BD!$Y$3:$Y$5001,"&lt;&gt;")=0,"",SUMIFS(BD!$Y$3:$Y$5001,BD!$B$3:$B$5001,C$241,BD!$A$3:$A$5001,_xlfn.MAXIFS(BD!$A$3:$A$5001,BD!$B$3:$B$5001,C$241,BD!$A$3:$A$5001,"&gt;="&amp;$C$8,BD!$A$3:$A$5001,"&lt;="&amp;$D$8,BD!$Y$3:$Y$5001,"&lt;&gt;"))))</f>
        <v/>
      </c>
      <c r="D273" s="45" t="str">
        <f>IF(D$241="","",IF(COUNTIFS(BD!$B$3:$B$5001,D$241,BD!$A$3:$A$5001,"&gt;="&amp;$C$8,BD!$A$3:$A$5001,"&lt;="&amp;$D$8,BD!$Y$3:$Y$5001,"&lt;&gt;")=0,"",SUMIFS(BD!$Y$3:$Y$5001,BD!$B$3:$B$5001,D$241,BD!$A$3:$A$5001,_xlfn.MAXIFS(BD!$A$3:$A$5001,BD!$B$3:$B$5001,D$241,BD!$A$3:$A$5001,"&gt;="&amp;$C$8,BD!$A$3:$A$5001,"&lt;="&amp;$D$8,BD!$Y$3:$Y$5001,"&lt;&gt;"))))</f>
        <v/>
      </c>
      <c r="E273" s="45" t="str">
        <f>IF(E$241="","",IF(COUNTIFS(BD!$B$3:$B$5001,E$241,BD!$A$3:$A$5001,"&gt;="&amp;$C$8,BD!$A$3:$A$5001,"&lt;="&amp;$D$8,BD!$Y$3:$Y$5001,"&lt;&gt;")=0,"",SUMIFS(BD!$Y$3:$Y$5001,BD!$B$3:$B$5001,E$241,BD!$A$3:$A$5001,_xlfn.MAXIFS(BD!$A$3:$A$5001,BD!$B$3:$B$5001,E$241,BD!$A$3:$A$5001,"&gt;="&amp;$C$8,BD!$A$3:$A$5001,"&lt;="&amp;$D$8,BD!$Y$3:$Y$5001,"&lt;&gt;"))))</f>
        <v/>
      </c>
      <c r="F273" s="45" t="str">
        <f>IF(F$241="","",IF(COUNTIFS(BD!$B$3:$B$5001,F$241,BD!$A$3:$A$5001,"&gt;="&amp;$C$8,BD!$A$3:$A$5001,"&lt;="&amp;$D$8,BD!$Y$3:$Y$5001,"&lt;&gt;")=0,"",SUMIFS(BD!$Y$3:$Y$5001,BD!$B$3:$B$5001,F$241,BD!$A$3:$A$5001,_xlfn.MAXIFS(BD!$A$3:$A$5001,BD!$B$3:$B$5001,F$241,BD!$A$3:$A$5001,"&gt;="&amp;$C$8,BD!$A$3:$A$5001,"&lt;="&amp;$D$8,BD!$Y$3:$Y$5001,"&lt;&gt;"))))</f>
        <v/>
      </c>
      <c r="G273" s="45" t="str">
        <f>IF(G$241="","",IF(COUNTIFS(BD!$B$3:$B$5001,G$241,BD!$A$3:$A$5001,"&gt;="&amp;$C$8,BD!$A$3:$A$5001,"&lt;="&amp;$D$8,BD!$Y$3:$Y$5001,"&lt;&gt;")=0,"",SUMIFS(BD!$Y$3:$Y$5001,BD!$B$3:$B$5001,G$241,BD!$A$3:$A$5001,_xlfn.MAXIFS(BD!$A$3:$A$5001,BD!$B$3:$B$5001,G$241,BD!$A$3:$A$5001,"&gt;="&amp;$C$8,BD!$A$3:$A$5001,"&lt;="&amp;$D$8,BD!$Y$3:$Y$5001,"&lt;&gt;"))))</f>
        <v/>
      </c>
      <c r="H273" s="45" t="str">
        <f>IF(H$241="","",IF(COUNTIFS(BD!$B$3:$B$5001,H$241,BD!$A$3:$A$5001,"&gt;="&amp;$C$8,BD!$A$3:$A$5001,"&lt;="&amp;$D$8,BD!$Y$3:$Y$5001,"&lt;&gt;")=0,"",SUMIFS(BD!$Y$3:$Y$5001,BD!$B$3:$B$5001,H$241,BD!$A$3:$A$5001,_xlfn.MAXIFS(BD!$A$3:$A$5001,BD!$B$3:$B$5001,H$241,BD!$A$3:$A$5001,"&gt;="&amp;$C$8,BD!$A$3:$A$5001,"&lt;="&amp;$D$8,BD!$Y$3:$Y$5001,"&lt;&gt;"))))</f>
        <v/>
      </c>
      <c r="I273" s="45" t="str">
        <f>IF(I$241="","",IF(COUNTIFS(BD!$B$3:$B$5001,I$241,BD!$A$3:$A$5001,"&gt;="&amp;$C$8,BD!$A$3:$A$5001,"&lt;="&amp;$D$8,BD!$Y$3:$Y$5001,"&lt;&gt;")=0,"",SUMIFS(BD!$Y$3:$Y$5001,BD!$B$3:$B$5001,I$241,BD!$A$3:$A$5001,_xlfn.MAXIFS(BD!$A$3:$A$5001,BD!$B$3:$B$5001,I$241,BD!$A$3:$A$5001,"&gt;="&amp;$C$8,BD!$A$3:$A$5001,"&lt;="&amp;$D$8,BD!$Y$3:$Y$5001,"&lt;&gt;"))))</f>
        <v/>
      </c>
      <c r="J273" s="45" t="str">
        <f>IF(J$241="","",IF(COUNTIFS(BD!$B$3:$B$5001,J$241,BD!$A$3:$A$5001,"&gt;="&amp;$C$8,BD!$A$3:$A$5001,"&lt;="&amp;$D$8,BD!$Y$3:$Y$5001,"&lt;&gt;")=0,"",SUMIFS(BD!$Y$3:$Y$5001,BD!$B$3:$B$5001,J$241,BD!$A$3:$A$5001,_xlfn.MAXIFS(BD!$A$3:$A$5001,BD!$B$3:$B$5001,J$241,BD!$A$3:$A$5001,"&gt;="&amp;$C$8,BD!$A$3:$A$5001,"&lt;="&amp;$D$8,BD!$Y$3:$Y$5001,"&lt;&gt;"))))</f>
        <v/>
      </c>
      <c r="K273" s="45" t="str">
        <f>IF(K$241="","",IF(COUNTIFS(BD!$B$3:$B$5001,K$241,BD!$A$3:$A$5001,"&gt;="&amp;$C$8,BD!$A$3:$A$5001,"&lt;="&amp;$D$8,BD!$Y$3:$Y$5001,"&lt;&gt;")=0,"",SUMIFS(BD!$Y$3:$Y$5001,BD!$B$3:$B$5001,K$241,BD!$A$3:$A$5001,_xlfn.MAXIFS(BD!$A$3:$A$5001,BD!$B$3:$B$5001,K$241,BD!$A$3:$A$5001,"&gt;="&amp;$C$8,BD!$A$3:$A$5001,"&lt;="&amp;$D$8,BD!$Y$3:$Y$5001,"&lt;&gt;"))))</f>
        <v/>
      </c>
      <c r="L273" s="45" t="str">
        <f>IF(L$241="","",IF(COUNTIFS(BD!$B$3:$B$5001,L$241,BD!$A$3:$A$5001,"&gt;="&amp;$C$8,BD!$A$3:$A$5001,"&lt;="&amp;$D$8,BD!$Y$3:$Y$5001,"&lt;&gt;")=0,"",SUMIFS(BD!$Y$3:$Y$5001,BD!$B$3:$B$5001,L$241,BD!$A$3:$A$5001,_xlfn.MAXIFS(BD!$A$3:$A$5001,BD!$B$3:$B$5001,L$241,BD!$A$3:$A$5001,"&gt;="&amp;$C$8,BD!$A$3:$A$5001,"&lt;="&amp;$D$8,BD!$Y$3:$Y$5001,"&lt;&gt;"))))</f>
        <v/>
      </c>
      <c r="M273" s="45" t="str">
        <f>IF(M$241="","",IF(COUNTIFS(BD!$B$3:$B$5001,M$241,BD!$A$3:$A$5001,"&gt;="&amp;$C$8,BD!$A$3:$A$5001,"&lt;="&amp;$D$8,BD!$Y$3:$Y$5001,"&lt;&gt;")=0,"",SUMIFS(BD!$Y$3:$Y$5001,BD!$B$3:$B$5001,M$241,BD!$A$3:$A$5001,_xlfn.MAXIFS(BD!$A$3:$A$5001,BD!$B$3:$B$5001,M$241,BD!$A$3:$A$5001,"&gt;="&amp;$C$8,BD!$A$3:$A$5001,"&lt;="&amp;$D$8,BD!$Y$3:$Y$5001,"&lt;&gt;"))))</f>
        <v/>
      </c>
      <c r="N273" s="45" t="str">
        <f>IF(N$241="","",IF(COUNTIFS(BD!$B$3:$B$5001,N$241,BD!$A$3:$A$5001,"&gt;="&amp;$C$8,BD!$A$3:$A$5001,"&lt;="&amp;$D$8,BD!$Y$3:$Y$5001,"&lt;&gt;")=0,"",SUMIFS(BD!$Y$3:$Y$5001,BD!$B$3:$B$5001,N$241,BD!$A$3:$A$5001,_xlfn.MAXIFS(BD!$A$3:$A$5001,BD!$B$3:$B$5001,N$241,BD!$A$3:$A$5001,"&gt;="&amp;$C$8,BD!$A$3:$A$5001,"&lt;="&amp;$D$8,BD!$Y$3:$Y$5001,"&lt;&gt;"))))</f>
        <v/>
      </c>
      <c r="O273" s="45" t="str">
        <f>IF(O$241="","",IF(COUNTIFS(BD!$B$3:$B$5001,O$241,BD!$A$3:$A$5001,"&gt;="&amp;$C$8,BD!$A$3:$A$5001,"&lt;="&amp;$D$8,BD!$Y$3:$Y$5001,"&lt;&gt;")=0,"",SUMIFS(BD!$Y$3:$Y$5001,BD!$B$3:$B$5001,O$241,BD!$A$3:$A$5001,_xlfn.MAXIFS(BD!$A$3:$A$5001,BD!$B$3:$B$5001,O$241,BD!$A$3:$A$5001,"&gt;="&amp;$C$8,BD!$A$3:$A$5001,"&lt;="&amp;$D$8,BD!$Y$3:$Y$5001,"&lt;&gt;"))))</f>
        <v/>
      </c>
      <c r="P273" s="45" t="str">
        <f>IF(P$241="","",IF(COUNTIFS(BD!$B$3:$B$5001,P$241,BD!$A$3:$A$5001,"&gt;="&amp;$C$8,BD!$A$3:$A$5001,"&lt;="&amp;$D$8,BD!$Y$3:$Y$5001,"&lt;&gt;")=0,"",SUMIFS(BD!$Y$3:$Y$5001,BD!$B$3:$B$5001,P$241,BD!$A$3:$A$5001,_xlfn.MAXIFS(BD!$A$3:$A$5001,BD!$B$3:$B$5001,P$241,BD!$A$3:$A$5001,"&gt;="&amp;$C$8,BD!$A$3:$A$5001,"&lt;="&amp;$D$8,BD!$Y$3:$Y$5001,"&lt;&gt;"))))</f>
        <v/>
      </c>
      <c r="Q273" s="45" t="str">
        <f>IF(Q$241="","",IF(COUNTIFS(BD!$B$3:$B$5001,Q$241,BD!$A$3:$A$5001,"&gt;="&amp;$C$8,BD!$A$3:$A$5001,"&lt;="&amp;$D$8,BD!$Y$3:$Y$5001,"&lt;&gt;")=0,"",SUMIFS(BD!$Y$3:$Y$5001,BD!$B$3:$B$5001,Q$241,BD!$A$3:$A$5001,_xlfn.MAXIFS(BD!$A$3:$A$5001,BD!$B$3:$B$5001,Q$241,BD!$A$3:$A$5001,"&gt;="&amp;$C$8,BD!$A$3:$A$5001,"&lt;="&amp;$D$8,BD!$Y$3:$Y$5001,"&lt;&gt;"))))</f>
        <v/>
      </c>
      <c r="R273" s="45" t="str">
        <f>IF(R$241="","",IF(COUNTIFS(BD!$B$3:$B$5001,R$241,BD!$A$3:$A$5001,"&gt;="&amp;$C$8,BD!$A$3:$A$5001,"&lt;="&amp;$D$8,BD!$Y$3:$Y$5001,"&lt;&gt;")=0,"",SUMIFS(BD!$Y$3:$Y$5001,BD!$B$3:$B$5001,R$241,BD!$A$3:$A$5001,_xlfn.MAXIFS(BD!$A$3:$A$5001,BD!$B$3:$B$5001,R$241,BD!$A$3:$A$5001,"&gt;="&amp;$C$8,BD!$A$3:$A$5001,"&lt;="&amp;$D$8,BD!$Y$3:$Y$5001,"&lt;&gt;"))))</f>
        <v/>
      </c>
      <c r="S273" s="45" t="str">
        <f>IF(S$241="","",IF(COUNTIFS(BD!$B$3:$B$5001,S$241,BD!$A$3:$A$5001,"&gt;="&amp;$C$8,BD!$A$3:$A$5001,"&lt;="&amp;$D$8,BD!$Y$3:$Y$5001,"&lt;&gt;")=0,"",SUMIFS(BD!$Y$3:$Y$5001,BD!$B$3:$B$5001,S$241,BD!$A$3:$A$5001,_xlfn.MAXIFS(BD!$A$3:$A$5001,BD!$B$3:$B$5001,S$241,BD!$A$3:$A$5001,"&gt;="&amp;$C$8,BD!$A$3:$A$5001,"&lt;="&amp;$D$8,BD!$Y$3:$Y$5001,"&lt;&gt;"))))</f>
        <v/>
      </c>
      <c r="T273" s="45" t="str">
        <f>IF(T$241="","",IF(COUNTIFS(BD!$B$3:$B$5001,T$241,BD!$A$3:$A$5001,"&gt;="&amp;$C$8,BD!$A$3:$A$5001,"&lt;="&amp;$D$8,BD!$Y$3:$Y$5001,"&lt;&gt;")=0,"",SUMIFS(BD!$Y$3:$Y$5001,BD!$B$3:$B$5001,T$241,BD!$A$3:$A$5001,_xlfn.MAXIFS(BD!$A$3:$A$5001,BD!$B$3:$B$5001,T$241,BD!$A$3:$A$5001,"&gt;="&amp;$C$8,BD!$A$3:$A$5001,"&lt;="&amp;$D$8,BD!$Y$3:$Y$5001,"&lt;&gt;"))))</f>
        <v/>
      </c>
      <c r="U273" s="45" t="str">
        <f>IF(U$241="","",IF(COUNTIFS(BD!$B$3:$B$5001,U$241,BD!$A$3:$A$5001,"&gt;="&amp;$C$8,BD!$A$3:$A$5001,"&lt;="&amp;$D$8,BD!$Y$3:$Y$5001,"&lt;&gt;")=0,"",SUMIFS(BD!$Y$3:$Y$5001,BD!$B$3:$B$5001,U$241,BD!$A$3:$A$5001,_xlfn.MAXIFS(BD!$A$3:$A$5001,BD!$B$3:$B$5001,U$241,BD!$A$3:$A$5001,"&gt;="&amp;$C$8,BD!$A$3:$A$5001,"&lt;="&amp;$D$8,BD!$Y$3:$Y$5001,"&lt;&gt;"))))</f>
        <v/>
      </c>
      <c r="V273" s="45" t="str">
        <f>IF(V$241="","",IF(COUNTIFS(BD!$B$3:$B$5001,V$241,BD!$A$3:$A$5001,"&gt;="&amp;$C$8,BD!$A$3:$A$5001,"&lt;="&amp;$D$8,BD!$Y$3:$Y$5001,"&lt;&gt;")=0,"",SUMIFS(BD!$Y$3:$Y$5001,BD!$B$3:$B$5001,V$241,BD!$A$3:$A$5001,_xlfn.MAXIFS(BD!$A$3:$A$5001,BD!$B$3:$B$5001,V$241,BD!$A$3:$A$5001,"&gt;="&amp;$C$8,BD!$A$3:$A$5001,"&lt;="&amp;$D$8,BD!$Y$3:$Y$5001,"&lt;&gt;"))))</f>
        <v/>
      </c>
    </row>
    <row r="274">
      <c r="A274" s="44" t="inlineStr">
        <is>
          <t xml:space="preserve">Depósito</t>
        </is>
      </c>
      <c r="C274" s="38" t="str">
        <f>IF(Config!$C$10="","TPC",Config!$C$10)</f>
        <v>TPC</v>
      </c>
      <c r="D274" s="38" t="str">
        <f>IF(Config!$C$11="","TPC",Config!$C$11)</f>
        <v>TPC</v>
      </c>
      <c r="E274" s="38" t="str">
        <f>IF(Config!$C$12="","TPC",Config!$C$12)</f>
        <v>TPC</v>
      </c>
      <c r="F274" s="38" t="str">
        <f>IF(Config!$C$13="","TPC",Config!$C$13)</f>
        <v>TPC</v>
      </c>
      <c r="G274" s="38" t="str">
        <f>IF(Config!$C$14="","TPC",Config!$C$14)</f>
        <v>TPC</v>
      </c>
      <c r="H274" s="38" t="str">
        <f>IF(Config!$C$15="","TPC",Config!$C$15)</f>
        <v>TPC</v>
      </c>
      <c r="I274" s="38" t="str">
        <f>IF(Config!$C$16="","TPC",Config!$C$16)</f>
        <v>TPC</v>
      </c>
      <c r="J274" s="38" t="str">
        <f>IF(Config!$C$17="","TPC",Config!$C$17)</f>
        <v>TPC</v>
      </c>
      <c r="K274" s="38" t="str">
        <f>IF(Config!$C$18="","TPC",Config!$C$18)</f>
        <v>TPC</v>
      </c>
      <c r="L274" s="38" t="str">
        <f>IF(Config!$C$19="","TPC",Config!$C$19)</f>
        <v>TPC</v>
      </c>
      <c r="M274" s="38" t="str">
        <f>IF(Config!$C$20="","TPC",Config!$C$20)</f>
        <v>TPC</v>
      </c>
      <c r="N274" s="38" t="str">
        <f>IF(Config!$C$21="","TPC",Config!$C$21)</f>
        <v>TPC</v>
      </c>
      <c r="O274" s="38" t="str">
        <f>IF(Config!$C$22="","TPC",Config!$C$22)</f>
        <v>TPC</v>
      </c>
      <c r="P274" s="38" t="str">
        <f>IF(Config!$C$23="","TPC",Config!$C$23)</f>
        <v>TPC</v>
      </c>
      <c r="Q274" s="38" t="str">
        <f>IF(Config!$C$24="","TPC",Config!$C$24)</f>
        <v>TPC</v>
      </c>
      <c r="R274" s="38" t="str">
        <f>IF(Config!$C$25="","TPC",Config!$C$25)</f>
        <v>TPC</v>
      </c>
      <c r="S274" s="38" t="str">
        <f>IF(Config!$C$26="","TPC",Config!$C$26)</f>
        <v>TPC</v>
      </c>
      <c r="T274" s="38" t="str">
        <f>IF(Config!$C$27="","TPC",Config!$C$27)</f>
        <v>TPC</v>
      </c>
      <c r="U274" s="38" t="str">
        <f>IF(Config!$C$28="","TPC",Config!$C$28)</f>
        <v>TPC</v>
      </c>
      <c r="V274" s="38" t="str">
        <f>IF(Config!$C$29="","TPC",Config!$C$29)</f>
        <v>TPC</v>
      </c>
    </row>
    <row r="278">
      <c r="A278" s="19" t="inlineStr">
        <is>
          <t xml:space="preserve">PERÍODO DO DASHBOARD — último valor de cada cliente no período (backlog, posições, efetivo)</t>
        </is>
      </c>
    </row>
    <row r="279" ht="30" customHeight="1">
      <c r="A279" s="37" t="inlineStr">
        <is>
          <t xml:space="preserve">Cliente</t>
        </is>
      </c>
      <c r="B279" s="37" t="inlineStr">
        <is>
          <t xml:space="preserve">Depósito</t>
        </is>
      </c>
      <c r="C279" s="37" t="inlineStr">
        <is>
          <t xml:space="preserve">Backlog · período</t>
        </is>
      </c>
      <c r="D279" s="37" t="inlineStr">
        <is>
          <t xml:space="preserve">Backlog · anterior</t>
        </is>
      </c>
      <c r="E279" s="37" t="inlineStr">
        <is>
          <t xml:space="preserve">Posições Ocupadas · período</t>
        </is>
      </c>
      <c r="F279" s="37" t="inlineStr">
        <is>
          <t xml:space="preserve">Posições Ocupadas · anterior</t>
        </is>
      </c>
      <c r="G279" s="37" t="inlineStr">
        <is>
          <t xml:space="preserve">Posições Disponíveis · período</t>
        </is>
      </c>
      <c r="H279" s="37" t="inlineStr">
        <is>
          <t xml:space="preserve">Posições Disponíveis · anterior</t>
        </is>
      </c>
      <c r="I279" s="37" t="inlineStr">
        <is>
          <t xml:space="preserve">Efetivo Op. · período</t>
        </is>
      </c>
      <c r="J279" s="37" t="inlineStr">
        <is>
          <t xml:space="preserve">Efetivo Op. · anterior</t>
        </is>
      </c>
    </row>
    <row r="280">
      <c r="A280" s="65" t="str">
        <f>Config!$B$10&amp;""</f>
        <v>Alpargatas</v>
      </c>
      <c r="B280" s="38" t="str">
        <f>IF(Config!$C$10="","TPC",Config!$C$10)</f>
        <v>TPC</v>
      </c>
      <c r="C280" s="43" t="str">
        <f>IF($A280="","",IF(COUNTIFS(BD!$B$3:$B$5001,$A280,BD!$A$3:$A$5001,"&gt;="&amp;$F$7,BD!$A$3:$A$5001,"&lt;="&amp;$G$7,BD!$V$3:$V$5001,"&lt;&gt;")=0,"",SUMIFS(BD!$V$3:$V$5001,BD!$B$3:$B$5001,$A280,BD!$A$3:$A$5001,_xlfn.MAXIFS(BD!$A$3:$A$5001,BD!$B$3:$B$5001,$A280,BD!$A$3:$A$5001,"&gt;="&amp;$F$7,BD!$A$3:$A$5001,"&lt;="&amp;$G$7,BD!$V$3:$V$5001,"&lt;&gt;"))))</f>
        <v/>
      </c>
      <c r="D280" s="43" t="str">
        <f>IF($A280="","",IF(COUNTIFS(BD!$B$3:$B$5001,$A280,BD!$A$3:$A$5001,"&gt;="&amp;$F$8,BD!$A$3:$A$5001,"&lt;="&amp;$G$8,BD!$V$3:$V$5001,"&lt;&gt;")=0,"",SUMIFS(BD!$V$3:$V$5001,BD!$B$3:$B$5001,$A280,BD!$A$3:$A$5001,_xlfn.MAXIFS(BD!$A$3:$A$5001,BD!$B$3:$B$5001,$A280,BD!$A$3:$A$5001,"&gt;="&amp;$F$8,BD!$A$3:$A$5001,"&lt;="&amp;$G$8,BD!$V$3:$V$5001,"&lt;&gt;"))))</f>
        <v/>
      </c>
      <c r="E280" s="43" t="str">
        <f>IF($A280="","",IF(COUNTIFS(BD!$B$3:$B$5001,$A280,BD!$A$3:$A$5001,"&gt;="&amp;$F$7,BD!$A$3:$A$5001,"&lt;="&amp;$G$7,BD!$X$3:$X$5001,"&lt;&gt;")=0,"",SUMIFS(BD!$X$3:$X$5001,BD!$B$3:$B$5001,$A280,BD!$A$3:$A$5001,_xlfn.MAXIFS(BD!$A$3:$A$5001,BD!$B$3:$B$5001,$A280,BD!$A$3:$A$5001,"&gt;="&amp;$F$7,BD!$A$3:$A$5001,"&lt;="&amp;$G$7,BD!$X$3:$X$5001,"&lt;&gt;"))))</f>
        <v/>
      </c>
      <c r="F280" s="43" t="str">
        <f>IF($A280="","",IF(COUNTIFS(BD!$B$3:$B$5001,$A280,BD!$A$3:$A$5001,"&gt;="&amp;$F$8,BD!$A$3:$A$5001,"&lt;="&amp;$G$8,BD!$X$3:$X$5001,"&lt;&gt;")=0,"",SUMIFS(BD!$X$3:$X$5001,BD!$B$3:$B$5001,$A280,BD!$A$3:$A$5001,_xlfn.MAXIFS(BD!$A$3:$A$5001,BD!$B$3:$B$5001,$A280,BD!$A$3:$A$5001,"&gt;="&amp;$F$8,BD!$A$3:$A$5001,"&lt;="&amp;$G$8,BD!$X$3:$X$5001,"&lt;&gt;"))))</f>
        <v/>
      </c>
      <c r="G280" s="43" t="str">
        <f>IF($A280="","",IF(COUNTIFS(BD!$B$3:$B$5001,$A280,BD!$A$3:$A$5001,"&gt;="&amp;$F$7,BD!$A$3:$A$5001,"&lt;="&amp;$G$7,BD!$W$3:$W$5001,"&lt;&gt;")=0,"",SUMIFS(BD!$W$3:$W$5001,BD!$B$3:$B$5001,$A280,BD!$A$3:$A$5001,_xlfn.MAXIFS(BD!$A$3:$A$5001,BD!$B$3:$B$5001,$A280,BD!$A$3:$A$5001,"&gt;="&amp;$F$7,BD!$A$3:$A$5001,"&lt;="&amp;$G$7,BD!$W$3:$W$5001,"&lt;&gt;"))))</f>
        <v/>
      </c>
      <c r="H280" s="43" t="str">
        <f>IF($A280="","",IF(COUNTIFS(BD!$B$3:$B$5001,$A280,BD!$A$3:$A$5001,"&gt;="&amp;$F$8,BD!$A$3:$A$5001,"&lt;="&amp;$G$8,BD!$W$3:$W$5001,"&lt;&gt;")=0,"",SUMIFS(BD!$W$3:$W$5001,BD!$B$3:$B$5001,$A280,BD!$A$3:$A$5001,_xlfn.MAXIFS(BD!$A$3:$A$5001,BD!$B$3:$B$5001,$A280,BD!$A$3:$A$5001,"&gt;="&amp;$F$8,BD!$A$3:$A$5001,"&lt;="&amp;$G$8,BD!$W$3:$W$5001,"&lt;&gt;"))))</f>
        <v/>
      </c>
      <c r="I280" s="43" t="str">
        <f>IF($A280="","",IF(COUNTIFS(BD!$B$3:$B$5001,$A280,BD!$A$3:$A$5001,"&gt;="&amp;$F$7,BD!$A$3:$A$5001,"&lt;="&amp;$G$7,BD!$Y$3:$Y$5001,"&lt;&gt;")=0,"",SUMIFS(BD!$Y$3:$Y$5001,BD!$B$3:$B$5001,$A280,BD!$A$3:$A$5001,_xlfn.MAXIFS(BD!$A$3:$A$5001,BD!$B$3:$B$5001,$A280,BD!$A$3:$A$5001,"&gt;="&amp;$F$7,BD!$A$3:$A$5001,"&lt;="&amp;$G$7,BD!$Y$3:$Y$5001,"&lt;&gt;"))))</f>
        <v/>
      </c>
      <c r="J280" s="43" t="str">
        <f>IF($A280="","",IF(COUNTIFS(BD!$B$3:$B$5001,$A280,BD!$A$3:$A$5001,"&gt;="&amp;$F$8,BD!$A$3:$A$5001,"&lt;="&amp;$G$8,BD!$Y$3:$Y$5001,"&lt;&gt;")=0,"",SUMIFS(BD!$Y$3:$Y$5001,BD!$B$3:$B$5001,$A280,BD!$A$3:$A$5001,_xlfn.MAXIFS(BD!$A$3:$A$5001,BD!$B$3:$B$5001,$A280,BD!$A$3:$A$5001,"&gt;="&amp;$F$8,BD!$A$3:$A$5001,"&lt;="&amp;$G$8,BD!$Y$3:$Y$5001,"&lt;&gt;"))))</f>
        <v/>
      </c>
    </row>
    <row r="281">
      <c r="A281" s="65" t="str">
        <f>Config!$B$11&amp;""</f>
        <v>Basf</v>
      </c>
      <c r="B281" s="38" t="str">
        <f>IF(Config!$C$11="","TPC",Config!$C$11)</f>
        <v>TPC</v>
      </c>
      <c r="C281" s="43" t="str">
        <f>IF($A281="","",IF(COUNTIFS(BD!$B$3:$B$5001,$A281,BD!$A$3:$A$5001,"&gt;="&amp;$F$7,BD!$A$3:$A$5001,"&lt;="&amp;$G$7,BD!$V$3:$V$5001,"&lt;&gt;")=0,"",SUMIFS(BD!$V$3:$V$5001,BD!$B$3:$B$5001,$A281,BD!$A$3:$A$5001,_xlfn.MAXIFS(BD!$A$3:$A$5001,BD!$B$3:$B$5001,$A281,BD!$A$3:$A$5001,"&gt;="&amp;$F$7,BD!$A$3:$A$5001,"&lt;="&amp;$G$7,BD!$V$3:$V$5001,"&lt;&gt;"))))</f>
        <v/>
      </c>
      <c r="D281" s="43" t="str">
        <f>IF($A281="","",IF(COUNTIFS(BD!$B$3:$B$5001,$A281,BD!$A$3:$A$5001,"&gt;="&amp;$F$8,BD!$A$3:$A$5001,"&lt;="&amp;$G$8,BD!$V$3:$V$5001,"&lt;&gt;")=0,"",SUMIFS(BD!$V$3:$V$5001,BD!$B$3:$B$5001,$A281,BD!$A$3:$A$5001,_xlfn.MAXIFS(BD!$A$3:$A$5001,BD!$B$3:$B$5001,$A281,BD!$A$3:$A$5001,"&gt;="&amp;$F$8,BD!$A$3:$A$5001,"&lt;="&amp;$G$8,BD!$V$3:$V$5001,"&lt;&gt;"))))</f>
        <v/>
      </c>
      <c r="E281" s="43" t="str">
        <f>IF($A281="","",IF(COUNTIFS(BD!$B$3:$B$5001,$A281,BD!$A$3:$A$5001,"&gt;="&amp;$F$7,BD!$A$3:$A$5001,"&lt;="&amp;$G$7,BD!$X$3:$X$5001,"&lt;&gt;")=0,"",SUMIFS(BD!$X$3:$X$5001,BD!$B$3:$B$5001,$A281,BD!$A$3:$A$5001,_xlfn.MAXIFS(BD!$A$3:$A$5001,BD!$B$3:$B$5001,$A281,BD!$A$3:$A$5001,"&gt;="&amp;$F$7,BD!$A$3:$A$5001,"&lt;="&amp;$G$7,BD!$X$3:$X$5001,"&lt;&gt;"))))</f>
        <v/>
      </c>
      <c r="F281" s="43" t="str">
        <f>IF($A281="","",IF(COUNTIFS(BD!$B$3:$B$5001,$A281,BD!$A$3:$A$5001,"&gt;="&amp;$F$8,BD!$A$3:$A$5001,"&lt;="&amp;$G$8,BD!$X$3:$X$5001,"&lt;&gt;")=0,"",SUMIFS(BD!$X$3:$X$5001,BD!$B$3:$B$5001,$A281,BD!$A$3:$A$5001,_xlfn.MAXIFS(BD!$A$3:$A$5001,BD!$B$3:$B$5001,$A281,BD!$A$3:$A$5001,"&gt;="&amp;$F$8,BD!$A$3:$A$5001,"&lt;="&amp;$G$8,BD!$X$3:$X$5001,"&lt;&gt;"))))</f>
        <v/>
      </c>
      <c r="G281" s="43" t="str">
        <f>IF($A281="","",IF(COUNTIFS(BD!$B$3:$B$5001,$A281,BD!$A$3:$A$5001,"&gt;="&amp;$F$7,BD!$A$3:$A$5001,"&lt;="&amp;$G$7,BD!$W$3:$W$5001,"&lt;&gt;")=0,"",SUMIFS(BD!$W$3:$W$5001,BD!$B$3:$B$5001,$A281,BD!$A$3:$A$5001,_xlfn.MAXIFS(BD!$A$3:$A$5001,BD!$B$3:$B$5001,$A281,BD!$A$3:$A$5001,"&gt;="&amp;$F$7,BD!$A$3:$A$5001,"&lt;="&amp;$G$7,BD!$W$3:$W$5001,"&lt;&gt;"))))</f>
        <v/>
      </c>
      <c r="H281" s="43" t="str">
        <f>IF($A281="","",IF(COUNTIFS(BD!$B$3:$B$5001,$A281,BD!$A$3:$A$5001,"&gt;="&amp;$F$8,BD!$A$3:$A$5001,"&lt;="&amp;$G$8,BD!$W$3:$W$5001,"&lt;&gt;")=0,"",SUMIFS(BD!$W$3:$W$5001,BD!$B$3:$B$5001,$A281,BD!$A$3:$A$5001,_xlfn.MAXIFS(BD!$A$3:$A$5001,BD!$B$3:$B$5001,$A281,BD!$A$3:$A$5001,"&gt;="&amp;$F$8,BD!$A$3:$A$5001,"&lt;="&amp;$G$8,BD!$W$3:$W$5001,"&lt;&gt;"))))</f>
        <v/>
      </c>
      <c r="I281" s="43" t="str">
        <f>IF($A281="","",IF(COUNTIFS(BD!$B$3:$B$5001,$A281,BD!$A$3:$A$5001,"&gt;="&amp;$F$7,BD!$A$3:$A$5001,"&lt;="&amp;$G$7,BD!$Y$3:$Y$5001,"&lt;&gt;")=0,"",SUMIFS(BD!$Y$3:$Y$5001,BD!$B$3:$B$5001,$A281,BD!$A$3:$A$5001,_xlfn.MAXIFS(BD!$A$3:$A$5001,BD!$B$3:$B$5001,$A281,BD!$A$3:$A$5001,"&gt;="&amp;$F$7,BD!$A$3:$A$5001,"&lt;="&amp;$G$7,BD!$Y$3:$Y$5001,"&lt;&gt;"))))</f>
        <v/>
      </c>
      <c r="J281" s="43" t="str">
        <f>IF($A281="","",IF(COUNTIFS(BD!$B$3:$B$5001,$A281,BD!$A$3:$A$5001,"&gt;="&amp;$F$8,BD!$A$3:$A$5001,"&lt;="&amp;$G$8,BD!$Y$3:$Y$5001,"&lt;&gt;")=0,"",SUMIFS(BD!$Y$3:$Y$5001,BD!$B$3:$B$5001,$A281,BD!$A$3:$A$5001,_xlfn.MAXIFS(BD!$A$3:$A$5001,BD!$B$3:$B$5001,$A281,BD!$A$3:$A$5001,"&gt;="&amp;$F$8,BD!$A$3:$A$5001,"&lt;="&amp;$G$8,BD!$Y$3:$Y$5001,"&lt;&gt;"))))</f>
        <v/>
      </c>
    </row>
    <row r="282">
      <c r="A282" s="65" t="str">
        <f>Config!$B$12&amp;""</f>
        <v>Beautybiz</v>
      </c>
      <c r="B282" s="38" t="str">
        <f>IF(Config!$C$12="","TPC",Config!$C$12)</f>
        <v>TPC</v>
      </c>
      <c r="C282" s="43" t="str">
        <f>IF($A282="","",IF(COUNTIFS(BD!$B$3:$B$5001,$A282,BD!$A$3:$A$5001,"&gt;="&amp;$F$7,BD!$A$3:$A$5001,"&lt;="&amp;$G$7,BD!$V$3:$V$5001,"&lt;&gt;")=0,"",SUMIFS(BD!$V$3:$V$5001,BD!$B$3:$B$5001,$A282,BD!$A$3:$A$5001,_xlfn.MAXIFS(BD!$A$3:$A$5001,BD!$B$3:$B$5001,$A282,BD!$A$3:$A$5001,"&gt;="&amp;$F$7,BD!$A$3:$A$5001,"&lt;="&amp;$G$7,BD!$V$3:$V$5001,"&lt;&gt;"))))</f>
        <v/>
      </c>
      <c r="D282" s="43" t="str">
        <f>IF($A282="","",IF(COUNTIFS(BD!$B$3:$B$5001,$A282,BD!$A$3:$A$5001,"&gt;="&amp;$F$8,BD!$A$3:$A$5001,"&lt;="&amp;$G$8,BD!$V$3:$V$5001,"&lt;&gt;")=0,"",SUMIFS(BD!$V$3:$V$5001,BD!$B$3:$B$5001,$A282,BD!$A$3:$A$5001,_xlfn.MAXIFS(BD!$A$3:$A$5001,BD!$B$3:$B$5001,$A282,BD!$A$3:$A$5001,"&gt;="&amp;$F$8,BD!$A$3:$A$5001,"&lt;="&amp;$G$8,BD!$V$3:$V$5001,"&lt;&gt;"))))</f>
        <v/>
      </c>
      <c r="E282" s="43" t="str">
        <f>IF($A282="","",IF(COUNTIFS(BD!$B$3:$B$5001,$A282,BD!$A$3:$A$5001,"&gt;="&amp;$F$7,BD!$A$3:$A$5001,"&lt;="&amp;$G$7,BD!$X$3:$X$5001,"&lt;&gt;")=0,"",SUMIFS(BD!$X$3:$X$5001,BD!$B$3:$B$5001,$A282,BD!$A$3:$A$5001,_xlfn.MAXIFS(BD!$A$3:$A$5001,BD!$B$3:$B$5001,$A282,BD!$A$3:$A$5001,"&gt;="&amp;$F$7,BD!$A$3:$A$5001,"&lt;="&amp;$G$7,BD!$X$3:$X$5001,"&lt;&gt;"))))</f>
        <v/>
      </c>
      <c r="F282" s="43" t="str">
        <f>IF($A282="","",IF(COUNTIFS(BD!$B$3:$B$5001,$A282,BD!$A$3:$A$5001,"&gt;="&amp;$F$8,BD!$A$3:$A$5001,"&lt;="&amp;$G$8,BD!$X$3:$X$5001,"&lt;&gt;")=0,"",SUMIFS(BD!$X$3:$X$5001,BD!$B$3:$B$5001,$A282,BD!$A$3:$A$5001,_xlfn.MAXIFS(BD!$A$3:$A$5001,BD!$B$3:$B$5001,$A282,BD!$A$3:$A$5001,"&gt;="&amp;$F$8,BD!$A$3:$A$5001,"&lt;="&amp;$G$8,BD!$X$3:$X$5001,"&lt;&gt;"))))</f>
        <v/>
      </c>
      <c r="G282" s="43" t="str">
        <f>IF($A282="","",IF(COUNTIFS(BD!$B$3:$B$5001,$A282,BD!$A$3:$A$5001,"&gt;="&amp;$F$7,BD!$A$3:$A$5001,"&lt;="&amp;$G$7,BD!$W$3:$W$5001,"&lt;&gt;")=0,"",SUMIFS(BD!$W$3:$W$5001,BD!$B$3:$B$5001,$A282,BD!$A$3:$A$5001,_xlfn.MAXIFS(BD!$A$3:$A$5001,BD!$B$3:$B$5001,$A282,BD!$A$3:$A$5001,"&gt;="&amp;$F$7,BD!$A$3:$A$5001,"&lt;="&amp;$G$7,BD!$W$3:$W$5001,"&lt;&gt;"))))</f>
        <v/>
      </c>
      <c r="H282" s="43" t="str">
        <f>IF($A282="","",IF(COUNTIFS(BD!$B$3:$B$5001,$A282,BD!$A$3:$A$5001,"&gt;="&amp;$F$8,BD!$A$3:$A$5001,"&lt;="&amp;$G$8,BD!$W$3:$W$5001,"&lt;&gt;")=0,"",SUMIFS(BD!$W$3:$W$5001,BD!$B$3:$B$5001,$A282,BD!$A$3:$A$5001,_xlfn.MAXIFS(BD!$A$3:$A$5001,BD!$B$3:$B$5001,$A282,BD!$A$3:$A$5001,"&gt;="&amp;$F$8,BD!$A$3:$A$5001,"&lt;="&amp;$G$8,BD!$W$3:$W$5001,"&lt;&gt;"))))</f>
        <v/>
      </c>
      <c r="I282" s="43" t="str">
        <f>IF($A282="","",IF(COUNTIFS(BD!$B$3:$B$5001,$A282,BD!$A$3:$A$5001,"&gt;="&amp;$F$7,BD!$A$3:$A$5001,"&lt;="&amp;$G$7,BD!$Y$3:$Y$5001,"&lt;&gt;")=0,"",SUMIFS(BD!$Y$3:$Y$5001,BD!$B$3:$B$5001,$A282,BD!$A$3:$A$5001,_xlfn.MAXIFS(BD!$A$3:$A$5001,BD!$B$3:$B$5001,$A282,BD!$A$3:$A$5001,"&gt;="&amp;$F$7,BD!$A$3:$A$5001,"&lt;="&amp;$G$7,BD!$Y$3:$Y$5001,"&lt;&gt;"))))</f>
        <v/>
      </c>
      <c r="J282" s="43" t="str">
        <f>IF($A282="","",IF(COUNTIFS(BD!$B$3:$B$5001,$A282,BD!$A$3:$A$5001,"&gt;="&amp;$F$8,BD!$A$3:$A$5001,"&lt;="&amp;$G$8,BD!$Y$3:$Y$5001,"&lt;&gt;")=0,"",SUMIFS(BD!$Y$3:$Y$5001,BD!$B$3:$B$5001,$A282,BD!$A$3:$A$5001,_xlfn.MAXIFS(BD!$A$3:$A$5001,BD!$B$3:$B$5001,$A282,BD!$A$3:$A$5001,"&gt;="&amp;$F$8,BD!$A$3:$A$5001,"&lt;="&amp;$G$8,BD!$Y$3:$Y$5001,"&lt;&gt;"))))</f>
        <v/>
      </c>
    </row>
    <row r="283">
      <c r="A283" s="65" t="str">
        <f>Config!$B$13&amp;""</f>
        <v>Boticário</v>
      </c>
      <c r="B283" s="38" t="str">
        <f>IF(Config!$C$13="","TPC",Config!$C$13)</f>
        <v>TPC</v>
      </c>
      <c r="C283" s="43" t="str">
        <f>IF($A283="","",IF(COUNTIFS(BD!$B$3:$B$5001,$A283,BD!$A$3:$A$5001,"&gt;="&amp;$F$7,BD!$A$3:$A$5001,"&lt;="&amp;$G$7,BD!$V$3:$V$5001,"&lt;&gt;")=0,"",SUMIFS(BD!$V$3:$V$5001,BD!$B$3:$B$5001,$A283,BD!$A$3:$A$5001,_xlfn.MAXIFS(BD!$A$3:$A$5001,BD!$B$3:$B$5001,$A283,BD!$A$3:$A$5001,"&gt;="&amp;$F$7,BD!$A$3:$A$5001,"&lt;="&amp;$G$7,BD!$V$3:$V$5001,"&lt;&gt;"))))</f>
        <v/>
      </c>
      <c r="D283" s="43" t="str">
        <f>IF($A283="","",IF(COUNTIFS(BD!$B$3:$B$5001,$A283,BD!$A$3:$A$5001,"&gt;="&amp;$F$8,BD!$A$3:$A$5001,"&lt;="&amp;$G$8,BD!$V$3:$V$5001,"&lt;&gt;")=0,"",SUMIFS(BD!$V$3:$V$5001,BD!$B$3:$B$5001,$A283,BD!$A$3:$A$5001,_xlfn.MAXIFS(BD!$A$3:$A$5001,BD!$B$3:$B$5001,$A283,BD!$A$3:$A$5001,"&gt;="&amp;$F$8,BD!$A$3:$A$5001,"&lt;="&amp;$G$8,BD!$V$3:$V$5001,"&lt;&gt;"))))</f>
        <v/>
      </c>
      <c r="E283" s="43" t="str">
        <f>IF($A283="","",IF(COUNTIFS(BD!$B$3:$B$5001,$A283,BD!$A$3:$A$5001,"&gt;="&amp;$F$7,BD!$A$3:$A$5001,"&lt;="&amp;$G$7,BD!$X$3:$X$5001,"&lt;&gt;")=0,"",SUMIFS(BD!$X$3:$X$5001,BD!$B$3:$B$5001,$A283,BD!$A$3:$A$5001,_xlfn.MAXIFS(BD!$A$3:$A$5001,BD!$B$3:$B$5001,$A283,BD!$A$3:$A$5001,"&gt;="&amp;$F$7,BD!$A$3:$A$5001,"&lt;="&amp;$G$7,BD!$X$3:$X$5001,"&lt;&gt;"))))</f>
        <v/>
      </c>
      <c r="F283" s="43" t="str">
        <f>IF($A283="","",IF(COUNTIFS(BD!$B$3:$B$5001,$A283,BD!$A$3:$A$5001,"&gt;="&amp;$F$8,BD!$A$3:$A$5001,"&lt;="&amp;$G$8,BD!$X$3:$X$5001,"&lt;&gt;")=0,"",SUMIFS(BD!$X$3:$X$5001,BD!$B$3:$B$5001,$A283,BD!$A$3:$A$5001,_xlfn.MAXIFS(BD!$A$3:$A$5001,BD!$B$3:$B$5001,$A283,BD!$A$3:$A$5001,"&gt;="&amp;$F$8,BD!$A$3:$A$5001,"&lt;="&amp;$G$8,BD!$X$3:$X$5001,"&lt;&gt;"))))</f>
        <v/>
      </c>
      <c r="G283" s="43" t="str">
        <f>IF($A283="","",IF(COUNTIFS(BD!$B$3:$B$5001,$A283,BD!$A$3:$A$5001,"&gt;="&amp;$F$7,BD!$A$3:$A$5001,"&lt;="&amp;$G$7,BD!$W$3:$W$5001,"&lt;&gt;")=0,"",SUMIFS(BD!$W$3:$W$5001,BD!$B$3:$B$5001,$A283,BD!$A$3:$A$5001,_xlfn.MAXIFS(BD!$A$3:$A$5001,BD!$B$3:$B$5001,$A283,BD!$A$3:$A$5001,"&gt;="&amp;$F$7,BD!$A$3:$A$5001,"&lt;="&amp;$G$7,BD!$W$3:$W$5001,"&lt;&gt;"))))</f>
        <v/>
      </c>
      <c r="H283" s="43" t="str">
        <f>IF($A283="","",IF(COUNTIFS(BD!$B$3:$B$5001,$A283,BD!$A$3:$A$5001,"&gt;="&amp;$F$8,BD!$A$3:$A$5001,"&lt;="&amp;$G$8,BD!$W$3:$W$5001,"&lt;&gt;")=0,"",SUMIFS(BD!$W$3:$W$5001,BD!$B$3:$B$5001,$A283,BD!$A$3:$A$5001,_xlfn.MAXIFS(BD!$A$3:$A$5001,BD!$B$3:$B$5001,$A283,BD!$A$3:$A$5001,"&gt;="&amp;$F$8,BD!$A$3:$A$5001,"&lt;="&amp;$G$8,BD!$W$3:$W$5001,"&lt;&gt;"))))</f>
        <v/>
      </c>
      <c r="I283" s="43" t="str">
        <f>IF($A283="","",IF(COUNTIFS(BD!$B$3:$B$5001,$A283,BD!$A$3:$A$5001,"&gt;="&amp;$F$7,BD!$A$3:$A$5001,"&lt;="&amp;$G$7,BD!$Y$3:$Y$5001,"&lt;&gt;")=0,"",SUMIFS(BD!$Y$3:$Y$5001,BD!$B$3:$B$5001,$A283,BD!$A$3:$A$5001,_xlfn.MAXIFS(BD!$A$3:$A$5001,BD!$B$3:$B$5001,$A283,BD!$A$3:$A$5001,"&gt;="&amp;$F$7,BD!$A$3:$A$5001,"&lt;="&amp;$G$7,BD!$Y$3:$Y$5001,"&lt;&gt;"))))</f>
        <v/>
      </c>
      <c r="J283" s="43" t="str">
        <f>IF($A283="","",IF(COUNTIFS(BD!$B$3:$B$5001,$A283,BD!$A$3:$A$5001,"&gt;="&amp;$F$8,BD!$A$3:$A$5001,"&lt;="&amp;$G$8,BD!$Y$3:$Y$5001,"&lt;&gt;")=0,"",SUMIFS(BD!$Y$3:$Y$5001,BD!$B$3:$B$5001,$A283,BD!$A$3:$A$5001,_xlfn.MAXIFS(BD!$A$3:$A$5001,BD!$B$3:$B$5001,$A283,BD!$A$3:$A$5001,"&gt;="&amp;$F$8,BD!$A$3:$A$5001,"&lt;="&amp;$G$8,BD!$Y$3:$Y$5001,"&lt;&gt;"))))</f>
        <v/>
      </c>
    </row>
    <row r="284">
      <c r="A284" s="65" t="str">
        <f>Config!$B$14&amp;""</f>
        <v>Confiance</v>
      </c>
      <c r="B284" s="38" t="str">
        <f>IF(Config!$C$14="","TPC",Config!$C$14)</f>
        <v>TPC</v>
      </c>
      <c r="C284" s="43" t="str">
        <f>IF($A284="","",IF(COUNTIFS(BD!$B$3:$B$5001,$A284,BD!$A$3:$A$5001,"&gt;="&amp;$F$7,BD!$A$3:$A$5001,"&lt;="&amp;$G$7,BD!$V$3:$V$5001,"&lt;&gt;")=0,"",SUMIFS(BD!$V$3:$V$5001,BD!$B$3:$B$5001,$A284,BD!$A$3:$A$5001,_xlfn.MAXIFS(BD!$A$3:$A$5001,BD!$B$3:$B$5001,$A284,BD!$A$3:$A$5001,"&gt;="&amp;$F$7,BD!$A$3:$A$5001,"&lt;="&amp;$G$7,BD!$V$3:$V$5001,"&lt;&gt;"))))</f>
        <v/>
      </c>
      <c r="D284" s="43" t="str">
        <f>IF($A284="","",IF(COUNTIFS(BD!$B$3:$B$5001,$A284,BD!$A$3:$A$5001,"&gt;="&amp;$F$8,BD!$A$3:$A$5001,"&lt;="&amp;$G$8,BD!$V$3:$V$5001,"&lt;&gt;")=0,"",SUMIFS(BD!$V$3:$V$5001,BD!$B$3:$B$5001,$A284,BD!$A$3:$A$5001,_xlfn.MAXIFS(BD!$A$3:$A$5001,BD!$B$3:$B$5001,$A284,BD!$A$3:$A$5001,"&gt;="&amp;$F$8,BD!$A$3:$A$5001,"&lt;="&amp;$G$8,BD!$V$3:$V$5001,"&lt;&gt;"))))</f>
        <v/>
      </c>
      <c r="E284" s="43" t="str">
        <f>IF($A284="","",IF(COUNTIFS(BD!$B$3:$B$5001,$A284,BD!$A$3:$A$5001,"&gt;="&amp;$F$7,BD!$A$3:$A$5001,"&lt;="&amp;$G$7,BD!$X$3:$X$5001,"&lt;&gt;")=0,"",SUMIFS(BD!$X$3:$X$5001,BD!$B$3:$B$5001,$A284,BD!$A$3:$A$5001,_xlfn.MAXIFS(BD!$A$3:$A$5001,BD!$B$3:$B$5001,$A284,BD!$A$3:$A$5001,"&gt;="&amp;$F$7,BD!$A$3:$A$5001,"&lt;="&amp;$G$7,BD!$X$3:$X$5001,"&lt;&gt;"))))</f>
        <v/>
      </c>
      <c r="F284" s="43" t="str">
        <f>IF($A284="","",IF(COUNTIFS(BD!$B$3:$B$5001,$A284,BD!$A$3:$A$5001,"&gt;="&amp;$F$8,BD!$A$3:$A$5001,"&lt;="&amp;$G$8,BD!$X$3:$X$5001,"&lt;&gt;")=0,"",SUMIFS(BD!$X$3:$X$5001,BD!$B$3:$B$5001,$A284,BD!$A$3:$A$5001,_xlfn.MAXIFS(BD!$A$3:$A$5001,BD!$B$3:$B$5001,$A284,BD!$A$3:$A$5001,"&gt;="&amp;$F$8,BD!$A$3:$A$5001,"&lt;="&amp;$G$8,BD!$X$3:$X$5001,"&lt;&gt;"))))</f>
        <v/>
      </c>
      <c r="G284" s="43" t="str">
        <f>IF($A284="","",IF(COUNTIFS(BD!$B$3:$B$5001,$A284,BD!$A$3:$A$5001,"&gt;="&amp;$F$7,BD!$A$3:$A$5001,"&lt;="&amp;$G$7,BD!$W$3:$W$5001,"&lt;&gt;")=0,"",SUMIFS(BD!$W$3:$W$5001,BD!$B$3:$B$5001,$A284,BD!$A$3:$A$5001,_xlfn.MAXIFS(BD!$A$3:$A$5001,BD!$B$3:$B$5001,$A284,BD!$A$3:$A$5001,"&gt;="&amp;$F$7,BD!$A$3:$A$5001,"&lt;="&amp;$G$7,BD!$W$3:$W$5001,"&lt;&gt;"))))</f>
        <v/>
      </c>
      <c r="H284" s="43" t="str">
        <f>IF($A284="","",IF(COUNTIFS(BD!$B$3:$B$5001,$A284,BD!$A$3:$A$5001,"&gt;="&amp;$F$8,BD!$A$3:$A$5001,"&lt;="&amp;$G$8,BD!$W$3:$W$5001,"&lt;&gt;")=0,"",SUMIFS(BD!$W$3:$W$5001,BD!$B$3:$B$5001,$A284,BD!$A$3:$A$5001,_xlfn.MAXIFS(BD!$A$3:$A$5001,BD!$B$3:$B$5001,$A284,BD!$A$3:$A$5001,"&gt;="&amp;$F$8,BD!$A$3:$A$5001,"&lt;="&amp;$G$8,BD!$W$3:$W$5001,"&lt;&gt;"))))</f>
        <v/>
      </c>
      <c r="I284" s="43" t="str">
        <f>IF($A284="","",IF(COUNTIFS(BD!$B$3:$B$5001,$A284,BD!$A$3:$A$5001,"&gt;="&amp;$F$7,BD!$A$3:$A$5001,"&lt;="&amp;$G$7,BD!$Y$3:$Y$5001,"&lt;&gt;")=0,"",SUMIFS(BD!$Y$3:$Y$5001,BD!$B$3:$B$5001,$A284,BD!$A$3:$A$5001,_xlfn.MAXIFS(BD!$A$3:$A$5001,BD!$B$3:$B$5001,$A284,BD!$A$3:$A$5001,"&gt;="&amp;$F$7,BD!$A$3:$A$5001,"&lt;="&amp;$G$7,BD!$Y$3:$Y$5001,"&lt;&gt;"))))</f>
        <v/>
      </c>
      <c r="J284" s="43" t="str">
        <f>IF($A284="","",IF(COUNTIFS(BD!$B$3:$B$5001,$A284,BD!$A$3:$A$5001,"&gt;="&amp;$F$8,BD!$A$3:$A$5001,"&lt;="&amp;$G$8,BD!$Y$3:$Y$5001,"&lt;&gt;")=0,"",SUMIFS(BD!$Y$3:$Y$5001,BD!$B$3:$B$5001,$A284,BD!$A$3:$A$5001,_xlfn.MAXIFS(BD!$A$3:$A$5001,BD!$B$3:$B$5001,$A284,BD!$A$3:$A$5001,"&gt;="&amp;$F$8,BD!$A$3:$A$5001,"&lt;="&amp;$G$8,BD!$Y$3:$Y$5001,"&lt;&gt;"))))</f>
        <v/>
      </c>
    </row>
    <row r="285">
      <c r="A285" s="65" t="str">
        <f>Config!$B$15&amp;""</f>
        <v>GE Vernova</v>
      </c>
      <c r="B285" s="38" t="str">
        <f>IF(Config!$C$15="","TPC",Config!$C$15)</f>
        <v>TPC</v>
      </c>
      <c r="C285" s="43" t="str">
        <f>IF($A285="","",IF(COUNTIFS(BD!$B$3:$B$5001,$A285,BD!$A$3:$A$5001,"&gt;="&amp;$F$7,BD!$A$3:$A$5001,"&lt;="&amp;$G$7,BD!$V$3:$V$5001,"&lt;&gt;")=0,"",SUMIFS(BD!$V$3:$V$5001,BD!$B$3:$B$5001,$A285,BD!$A$3:$A$5001,_xlfn.MAXIFS(BD!$A$3:$A$5001,BD!$B$3:$B$5001,$A285,BD!$A$3:$A$5001,"&gt;="&amp;$F$7,BD!$A$3:$A$5001,"&lt;="&amp;$G$7,BD!$V$3:$V$5001,"&lt;&gt;"))))</f>
        <v/>
      </c>
      <c r="D285" s="43" t="str">
        <f>IF($A285="","",IF(COUNTIFS(BD!$B$3:$B$5001,$A285,BD!$A$3:$A$5001,"&gt;="&amp;$F$8,BD!$A$3:$A$5001,"&lt;="&amp;$G$8,BD!$V$3:$V$5001,"&lt;&gt;")=0,"",SUMIFS(BD!$V$3:$V$5001,BD!$B$3:$B$5001,$A285,BD!$A$3:$A$5001,_xlfn.MAXIFS(BD!$A$3:$A$5001,BD!$B$3:$B$5001,$A285,BD!$A$3:$A$5001,"&gt;="&amp;$F$8,BD!$A$3:$A$5001,"&lt;="&amp;$G$8,BD!$V$3:$V$5001,"&lt;&gt;"))))</f>
        <v/>
      </c>
      <c r="E285" s="43" t="str">
        <f>IF($A285="","",IF(COUNTIFS(BD!$B$3:$B$5001,$A285,BD!$A$3:$A$5001,"&gt;="&amp;$F$7,BD!$A$3:$A$5001,"&lt;="&amp;$G$7,BD!$X$3:$X$5001,"&lt;&gt;")=0,"",SUMIFS(BD!$X$3:$X$5001,BD!$B$3:$B$5001,$A285,BD!$A$3:$A$5001,_xlfn.MAXIFS(BD!$A$3:$A$5001,BD!$B$3:$B$5001,$A285,BD!$A$3:$A$5001,"&gt;="&amp;$F$7,BD!$A$3:$A$5001,"&lt;="&amp;$G$7,BD!$X$3:$X$5001,"&lt;&gt;"))))</f>
        <v/>
      </c>
      <c r="F285" s="43" t="str">
        <f>IF($A285="","",IF(COUNTIFS(BD!$B$3:$B$5001,$A285,BD!$A$3:$A$5001,"&gt;="&amp;$F$8,BD!$A$3:$A$5001,"&lt;="&amp;$G$8,BD!$X$3:$X$5001,"&lt;&gt;")=0,"",SUMIFS(BD!$X$3:$X$5001,BD!$B$3:$B$5001,$A285,BD!$A$3:$A$5001,_xlfn.MAXIFS(BD!$A$3:$A$5001,BD!$B$3:$B$5001,$A285,BD!$A$3:$A$5001,"&gt;="&amp;$F$8,BD!$A$3:$A$5001,"&lt;="&amp;$G$8,BD!$X$3:$X$5001,"&lt;&gt;"))))</f>
        <v/>
      </c>
      <c r="G285" s="43" t="str">
        <f>IF($A285="","",IF(COUNTIFS(BD!$B$3:$B$5001,$A285,BD!$A$3:$A$5001,"&gt;="&amp;$F$7,BD!$A$3:$A$5001,"&lt;="&amp;$G$7,BD!$W$3:$W$5001,"&lt;&gt;")=0,"",SUMIFS(BD!$W$3:$W$5001,BD!$B$3:$B$5001,$A285,BD!$A$3:$A$5001,_xlfn.MAXIFS(BD!$A$3:$A$5001,BD!$B$3:$B$5001,$A285,BD!$A$3:$A$5001,"&gt;="&amp;$F$7,BD!$A$3:$A$5001,"&lt;="&amp;$G$7,BD!$W$3:$W$5001,"&lt;&gt;"))))</f>
        <v/>
      </c>
      <c r="H285" s="43" t="str">
        <f>IF($A285="","",IF(COUNTIFS(BD!$B$3:$B$5001,$A285,BD!$A$3:$A$5001,"&gt;="&amp;$F$8,BD!$A$3:$A$5001,"&lt;="&amp;$G$8,BD!$W$3:$W$5001,"&lt;&gt;")=0,"",SUMIFS(BD!$W$3:$W$5001,BD!$B$3:$B$5001,$A285,BD!$A$3:$A$5001,_xlfn.MAXIFS(BD!$A$3:$A$5001,BD!$B$3:$B$5001,$A285,BD!$A$3:$A$5001,"&gt;="&amp;$F$8,BD!$A$3:$A$5001,"&lt;="&amp;$G$8,BD!$W$3:$W$5001,"&lt;&gt;"))))</f>
        <v/>
      </c>
      <c r="I285" s="43" t="str">
        <f>IF($A285="","",IF(COUNTIFS(BD!$B$3:$B$5001,$A285,BD!$A$3:$A$5001,"&gt;="&amp;$F$7,BD!$A$3:$A$5001,"&lt;="&amp;$G$7,BD!$Y$3:$Y$5001,"&lt;&gt;")=0,"",SUMIFS(BD!$Y$3:$Y$5001,BD!$B$3:$B$5001,$A285,BD!$A$3:$A$5001,_xlfn.MAXIFS(BD!$A$3:$A$5001,BD!$B$3:$B$5001,$A285,BD!$A$3:$A$5001,"&gt;="&amp;$F$7,BD!$A$3:$A$5001,"&lt;="&amp;$G$7,BD!$Y$3:$Y$5001,"&lt;&gt;"))))</f>
        <v/>
      </c>
      <c r="J285" s="43" t="str">
        <f>IF($A285="","",IF(COUNTIFS(BD!$B$3:$B$5001,$A285,BD!$A$3:$A$5001,"&gt;="&amp;$F$8,BD!$A$3:$A$5001,"&lt;="&amp;$G$8,BD!$Y$3:$Y$5001,"&lt;&gt;")=0,"",SUMIFS(BD!$Y$3:$Y$5001,BD!$B$3:$B$5001,$A285,BD!$A$3:$A$5001,_xlfn.MAXIFS(BD!$A$3:$A$5001,BD!$B$3:$B$5001,$A285,BD!$A$3:$A$5001,"&gt;="&amp;$F$8,BD!$A$3:$A$5001,"&lt;="&amp;$G$8,BD!$Y$3:$Y$5001,"&lt;&gt;"))))</f>
        <v/>
      </c>
    </row>
    <row r="286">
      <c r="A286" s="65" t="str">
        <f>Config!$B$16&amp;""</f>
        <v>Omnilife</v>
      </c>
      <c r="B286" s="38" t="str">
        <f>IF(Config!$C$16="","TPC",Config!$C$16)</f>
        <v>TPC</v>
      </c>
      <c r="C286" s="43" t="str">
        <f>IF($A286="","",IF(COUNTIFS(BD!$B$3:$B$5001,$A286,BD!$A$3:$A$5001,"&gt;="&amp;$F$7,BD!$A$3:$A$5001,"&lt;="&amp;$G$7,BD!$V$3:$V$5001,"&lt;&gt;")=0,"",SUMIFS(BD!$V$3:$V$5001,BD!$B$3:$B$5001,$A286,BD!$A$3:$A$5001,_xlfn.MAXIFS(BD!$A$3:$A$5001,BD!$B$3:$B$5001,$A286,BD!$A$3:$A$5001,"&gt;="&amp;$F$7,BD!$A$3:$A$5001,"&lt;="&amp;$G$7,BD!$V$3:$V$5001,"&lt;&gt;"))))</f>
        <v/>
      </c>
      <c r="D286" s="43" t="str">
        <f>IF($A286="","",IF(COUNTIFS(BD!$B$3:$B$5001,$A286,BD!$A$3:$A$5001,"&gt;="&amp;$F$8,BD!$A$3:$A$5001,"&lt;="&amp;$G$8,BD!$V$3:$V$5001,"&lt;&gt;")=0,"",SUMIFS(BD!$V$3:$V$5001,BD!$B$3:$B$5001,$A286,BD!$A$3:$A$5001,_xlfn.MAXIFS(BD!$A$3:$A$5001,BD!$B$3:$B$5001,$A286,BD!$A$3:$A$5001,"&gt;="&amp;$F$8,BD!$A$3:$A$5001,"&lt;="&amp;$G$8,BD!$V$3:$V$5001,"&lt;&gt;"))))</f>
        <v/>
      </c>
      <c r="E286" s="43" t="str">
        <f>IF($A286="","",IF(COUNTIFS(BD!$B$3:$B$5001,$A286,BD!$A$3:$A$5001,"&gt;="&amp;$F$7,BD!$A$3:$A$5001,"&lt;="&amp;$G$7,BD!$X$3:$X$5001,"&lt;&gt;")=0,"",SUMIFS(BD!$X$3:$X$5001,BD!$B$3:$B$5001,$A286,BD!$A$3:$A$5001,_xlfn.MAXIFS(BD!$A$3:$A$5001,BD!$B$3:$B$5001,$A286,BD!$A$3:$A$5001,"&gt;="&amp;$F$7,BD!$A$3:$A$5001,"&lt;="&amp;$G$7,BD!$X$3:$X$5001,"&lt;&gt;"))))</f>
        <v/>
      </c>
      <c r="F286" s="43" t="str">
        <f>IF($A286="","",IF(COUNTIFS(BD!$B$3:$B$5001,$A286,BD!$A$3:$A$5001,"&gt;="&amp;$F$8,BD!$A$3:$A$5001,"&lt;="&amp;$G$8,BD!$X$3:$X$5001,"&lt;&gt;")=0,"",SUMIFS(BD!$X$3:$X$5001,BD!$B$3:$B$5001,$A286,BD!$A$3:$A$5001,_xlfn.MAXIFS(BD!$A$3:$A$5001,BD!$B$3:$B$5001,$A286,BD!$A$3:$A$5001,"&gt;="&amp;$F$8,BD!$A$3:$A$5001,"&lt;="&amp;$G$8,BD!$X$3:$X$5001,"&lt;&gt;"))))</f>
        <v/>
      </c>
      <c r="G286" s="43" t="str">
        <f>IF($A286="","",IF(COUNTIFS(BD!$B$3:$B$5001,$A286,BD!$A$3:$A$5001,"&gt;="&amp;$F$7,BD!$A$3:$A$5001,"&lt;="&amp;$G$7,BD!$W$3:$W$5001,"&lt;&gt;")=0,"",SUMIFS(BD!$W$3:$W$5001,BD!$B$3:$B$5001,$A286,BD!$A$3:$A$5001,_xlfn.MAXIFS(BD!$A$3:$A$5001,BD!$B$3:$B$5001,$A286,BD!$A$3:$A$5001,"&gt;="&amp;$F$7,BD!$A$3:$A$5001,"&lt;="&amp;$G$7,BD!$W$3:$W$5001,"&lt;&gt;"))))</f>
        <v/>
      </c>
      <c r="H286" s="43" t="str">
        <f>IF($A286="","",IF(COUNTIFS(BD!$B$3:$B$5001,$A286,BD!$A$3:$A$5001,"&gt;="&amp;$F$8,BD!$A$3:$A$5001,"&lt;="&amp;$G$8,BD!$W$3:$W$5001,"&lt;&gt;")=0,"",SUMIFS(BD!$W$3:$W$5001,BD!$B$3:$B$5001,$A286,BD!$A$3:$A$5001,_xlfn.MAXIFS(BD!$A$3:$A$5001,BD!$B$3:$B$5001,$A286,BD!$A$3:$A$5001,"&gt;="&amp;$F$8,BD!$A$3:$A$5001,"&lt;="&amp;$G$8,BD!$W$3:$W$5001,"&lt;&gt;"))))</f>
        <v/>
      </c>
      <c r="I286" s="43" t="str">
        <f>IF($A286="","",IF(COUNTIFS(BD!$B$3:$B$5001,$A286,BD!$A$3:$A$5001,"&gt;="&amp;$F$7,BD!$A$3:$A$5001,"&lt;="&amp;$G$7,BD!$Y$3:$Y$5001,"&lt;&gt;")=0,"",SUMIFS(BD!$Y$3:$Y$5001,BD!$B$3:$B$5001,$A286,BD!$A$3:$A$5001,_xlfn.MAXIFS(BD!$A$3:$A$5001,BD!$B$3:$B$5001,$A286,BD!$A$3:$A$5001,"&gt;="&amp;$F$7,BD!$A$3:$A$5001,"&lt;="&amp;$G$7,BD!$Y$3:$Y$5001,"&lt;&gt;"))))</f>
        <v/>
      </c>
      <c r="J286" s="43" t="str">
        <f>IF($A286="","",IF(COUNTIFS(BD!$B$3:$B$5001,$A286,BD!$A$3:$A$5001,"&gt;="&amp;$F$8,BD!$A$3:$A$5001,"&lt;="&amp;$G$8,BD!$Y$3:$Y$5001,"&lt;&gt;")=0,"",SUMIFS(BD!$Y$3:$Y$5001,BD!$B$3:$B$5001,$A286,BD!$A$3:$A$5001,_xlfn.MAXIFS(BD!$A$3:$A$5001,BD!$B$3:$B$5001,$A286,BD!$A$3:$A$5001,"&gt;="&amp;$F$8,BD!$A$3:$A$5001,"&lt;="&amp;$G$8,BD!$Y$3:$Y$5001,"&lt;&gt;"))))</f>
        <v/>
      </c>
    </row>
    <row r="287">
      <c r="A287" s="65" t="str">
        <f>Config!$B$17&amp;""</f>
        <v>Supply</v>
      </c>
      <c r="B287" s="38" t="str">
        <f>IF(Config!$C$17="","TPC",Config!$C$17)</f>
        <v>TPC</v>
      </c>
      <c r="C287" s="43" t="str">
        <f>IF($A287="","",IF(COUNTIFS(BD!$B$3:$B$5001,$A287,BD!$A$3:$A$5001,"&gt;="&amp;$F$7,BD!$A$3:$A$5001,"&lt;="&amp;$G$7,BD!$V$3:$V$5001,"&lt;&gt;")=0,"",SUMIFS(BD!$V$3:$V$5001,BD!$B$3:$B$5001,$A287,BD!$A$3:$A$5001,_xlfn.MAXIFS(BD!$A$3:$A$5001,BD!$B$3:$B$5001,$A287,BD!$A$3:$A$5001,"&gt;="&amp;$F$7,BD!$A$3:$A$5001,"&lt;="&amp;$G$7,BD!$V$3:$V$5001,"&lt;&gt;"))))</f>
        <v/>
      </c>
      <c r="D287" s="43" t="str">
        <f>IF($A287="","",IF(COUNTIFS(BD!$B$3:$B$5001,$A287,BD!$A$3:$A$5001,"&gt;="&amp;$F$8,BD!$A$3:$A$5001,"&lt;="&amp;$G$8,BD!$V$3:$V$5001,"&lt;&gt;")=0,"",SUMIFS(BD!$V$3:$V$5001,BD!$B$3:$B$5001,$A287,BD!$A$3:$A$5001,_xlfn.MAXIFS(BD!$A$3:$A$5001,BD!$B$3:$B$5001,$A287,BD!$A$3:$A$5001,"&gt;="&amp;$F$8,BD!$A$3:$A$5001,"&lt;="&amp;$G$8,BD!$V$3:$V$5001,"&lt;&gt;"))))</f>
        <v/>
      </c>
      <c r="E287" s="43" t="str">
        <f>IF($A287="","",IF(COUNTIFS(BD!$B$3:$B$5001,$A287,BD!$A$3:$A$5001,"&gt;="&amp;$F$7,BD!$A$3:$A$5001,"&lt;="&amp;$G$7,BD!$X$3:$X$5001,"&lt;&gt;")=0,"",SUMIFS(BD!$X$3:$X$5001,BD!$B$3:$B$5001,$A287,BD!$A$3:$A$5001,_xlfn.MAXIFS(BD!$A$3:$A$5001,BD!$B$3:$B$5001,$A287,BD!$A$3:$A$5001,"&gt;="&amp;$F$7,BD!$A$3:$A$5001,"&lt;="&amp;$G$7,BD!$X$3:$X$5001,"&lt;&gt;"))))</f>
        <v/>
      </c>
      <c r="F287" s="43" t="str">
        <f>IF($A287="","",IF(COUNTIFS(BD!$B$3:$B$5001,$A287,BD!$A$3:$A$5001,"&gt;="&amp;$F$8,BD!$A$3:$A$5001,"&lt;="&amp;$G$8,BD!$X$3:$X$5001,"&lt;&gt;")=0,"",SUMIFS(BD!$X$3:$X$5001,BD!$B$3:$B$5001,$A287,BD!$A$3:$A$5001,_xlfn.MAXIFS(BD!$A$3:$A$5001,BD!$B$3:$B$5001,$A287,BD!$A$3:$A$5001,"&gt;="&amp;$F$8,BD!$A$3:$A$5001,"&lt;="&amp;$G$8,BD!$X$3:$X$5001,"&lt;&gt;"))))</f>
        <v/>
      </c>
      <c r="G287" s="43" t="str">
        <f>IF($A287="","",IF(COUNTIFS(BD!$B$3:$B$5001,$A287,BD!$A$3:$A$5001,"&gt;="&amp;$F$7,BD!$A$3:$A$5001,"&lt;="&amp;$G$7,BD!$W$3:$W$5001,"&lt;&gt;")=0,"",SUMIFS(BD!$W$3:$W$5001,BD!$B$3:$B$5001,$A287,BD!$A$3:$A$5001,_xlfn.MAXIFS(BD!$A$3:$A$5001,BD!$B$3:$B$5001,$A287,BD!$A$3:$A$5001,"&gt;="&amp;$F$7,BD!$A$3:$A$5001,"&lt;="&amp;$G$7,BD!$W$3:$W$5001,"&lt;&gt;"))))</f>
        <v/>
      </c>
      <c r="H287" s="43" t="str">
        <f>IF($A287="","",IF(COUNTIFS(BD!$B$3:$B$5001,$A287,BD!$A$3:$A$5001,"&gt;="&amp;$F$8,BD!$A$3:$A$5001,"&lt;="&amp;$G$8,BD!$W$3:$W$5001,"&lt;&gt;")=0,"",SUMIFS(BD!$W$3:$W$5001,BD!$B$3:$B$5001,$A287,BD!$A$3:$A$5001,_xlfn.MAXIFS(BD!$A$3:$A$5001,BD!$B$3:$B$5001,$A287,BD!$A$3:$A$5001,"&gt;="&amp;$F$8,BD!$A$3:$A$5001,"&lt;="&amp;$G$8,BD!$W$3:$W$5001,"&lt;&gt;"))))</f>
        <v/>
      </c>
      <c r="I287" s="43" t="str">
        <f>IF($A287="","",IF(COUNTIFS(BD!$B$3:$B$5001,$A287,BD!$A$3:$A$5001,"&gt;="&amp;$F$7,BD!$A$3:$A$5001,"&lt;="&amp;$G$7,BD!$Y$3:$Y$5001,"&lt;&gt;")=0,"",SUMIFS(BD!$Y$3:$Y$5001,BD!$B$3:$B$5001,$A287,BD!$A$3:$A$5001,_xlfn.MAXIFS(BD!$A$3:$A$5001,BD!$B$3:$B$5001,$A287,BD!$A$3:$A$5001,"&gt;="&amp;$F$7,BD!$A$3:$A$5001,"&lt;="&amp;$G$7,BD!$Y$3:$Y$5001,"&lt;&gt;"))))</f>
        <v/>
      </c>
      <c r="J287" s="43" t="str">
        <f>IF($A287="","",IF(COUNTIFS(BD!$B$3:$B$5001,$A287,BD!$A$3:$A$5001,"&gt;="&amp;$F$8,BD!$A$3:$A$5001,"&lt;="&amp;$G$8,BD!$Y$3:$Y$5001,"&lt;&gt;")=0,"",SUMIFS(BD!$Y$3:$Y$5001,BD!$B$3:$B$5001,$A287,BD!$A$3:$A$5001,_xlfn.MAXIFS(BD!$A$3:$A$5001,BD!$B$3:$B$5001,$A287,BD!$A$3:$A$5001,"&gt;="&amp;$F$8,BD!$A$3:$A$5001,"&lt;="&amp;$G$8,BD!$Y$3:$Y$5001,"&lt;&gt;"))))</f>
        <v/>
      </c>
    </row>
    <row r="288">
      <c r="A288" s="65" t="str">
        <f>Config!$B$18&amp;""</f>
        <v>Vedacit</v>
      </c>
      <c r="B288" s="38" t="str">
        <f>IF(Config!$C$18="","TPC",Config!$C$18)</f>
        <v>TPC</v>
      </c>
      <c r="C288" s="43" t="str">
        <f>IF($A288="","",IF(COUNTIFS(BD!$B$3:$B$5001,$A288,BD!$A$3:$A$5001,"&gt;="&amp;$F$7,BD!$A$3:$A$5001,"&lt;="&amp;$G$7,BD!$V$3:$V$5001,"&lt;&gt;")=0,"",SUMIFS(BD!$V$3:$V$5001,BD!$B$3:$B$5001,$A288,BD!$A$3:$A$5001,_xlfn.MAXIFS(BD!$A$3:$A$5001,BD!$B$3:$B$5001,$A288,BD!$A$3:$A$5001,"&gt;="&amp;$F$7,BD!$A$3:$A$5001,"&lt;="&amp;$G$7,BD!$V$3:$V$5001,"&lt;&gt;"))))</f>
        <v/>
      </c>
      <c r="D288" s="43" t="str">
        <f>IF($A288="","",IF(COUNTIFS(BD!$B$3:$B$5001,$A288,BD!$A$3:$A$5001,"&gt;="&amp;$F$8,BD!$A$3:$A$5001,"&lt;="&amp;$G$8,BD!$V$3:$V$5001,"&lt;&gt;")=0,"",SUMIFS(BD!$V$3:$V$5001,BD!$B$3:$B$5001,$A288,BD!$A$3:$A$5001,_xlfn.MAXIFS(BD!$A$3:$A$5001,BD!$B$3:$B$5001,$A288,BD!$A$3:$A$5001,"&gt;="&amp;$F$8,BD!$A$3:$A$5001,"&lt;="&amp;$G$8,BD!$V$3:$V$5001,"&lt;&gt;"))))</f>
        <v/>
      </c>
      <c r="E288" s="43" t="str">
        <f>IF($A288="","",IF(COUNTIFS(BD!$B$3:$B$5001,$A288,BD!$A$3:$A$5001,"&gt;="&amp;$F$7,BD!$A$3:$A$5001,"&lt;="&amp;$G$7,BD!$X$3:$X$5001,"&lt;&gt;")=0,"",SUMIFS(BD!$X$3:$X$5001,BD!$B$3:$B$5001,$A288,BD!$A$3:$A$5001,_xlfn.MAXIFS(BD!$A$3:$A$5001,BD!$B$3:$B$5001,$A288,BD!$A$3:$A$5001,"&gt;="&amp;$F$7,BD!$A$3:$A$5001,"&lt;="&amp;$G$7,BD!$X$3:$X$5001,"&lt;&gt;"))))</f>
        <v/>
      </c>
      <c r="F288" s="43" t="str">
        <f>IF($A288="","",IF(COUNTIFS(BD!$B$3:$B$5001,$A288,BD!$A$3:$A$5001,"&gt;="&amp;$F$8,BD!$A$3:$A$5001,"&lt;="&amp;$G$8,BD!$X$3:$X$5001,"&lt;&gt;")=0,"",SUMIFS(BD!$X$3:$X$5001,BD!$B$3:$B$5001,$A288,BD!$A$3:$A$5001,_xlfn.MAXIFS(BD!$A$3:$A$5001,BD!$B$3:$B$5001,$A288,BD!$A$3:$A$5001,"&gt;="&amp;$F$8,BD!$A$3:$A$5001,"&lt;="&amp;$G$8,BD!$X$3:$X$5001,"&lt;&gt;"))))</f>
        <v/>
      </c>
      <c r="G288" s="43" t="str">
        <f>IF($A288="","",IF(COUNTIFS(BD!$B$3:$B$5001,$A288,BD!$A$3:$A$5001,"&gt;="&amp;$F$7,BD!$A$3:$A$5001,"&lt;="&amp;$G$7,BD!$W$3:$W$5001,"&lt;&gt;")=0,"",SUMIFS(BD!$W$3:$W$5001,BD!$B$3:$B$5001,$A288,BD!$A$3:$A$5001,_xlfn.MAXIFS(BD!$A$3:$A$5001,BD!$B$3:$B$5001,$A288,BD!$A$3:$A$5001,"&gt;="&amp;$F$7,BD!$A$3:$A$5001,"&lt;="&amp;$G$7,BD!$W$3:$W$5001,"&lt;&gt;"))))</f>
        <v/>
      </c>
      <c r="H288" s="43" t="str">
        <f>IF($A288="","",IF(COUNTIFS(BD!$B$3:$B$5001,$A288,BD!$A$3:$A$5001,"&gt;="&amp;$F$8,BD!$A$3:$A$5001,"&lt;="&amp;$G$8,BD!$W$3:$W$5001,"&lt;&gt;")=0,"",SUMIFS(BD!$W$3:$W$5001,BD!$B$3:$B$5001,$A288,BD!$A$3:$A$5001,_xlfn.MAXIFS(BD!$A$3:$A$5001,BD!$B$3:$B$5001,$A288,BD!$A$3:$A$5001,"&gt;="&amp;$F$8,BD!$A$3:$A$5001,"&lt;="&amp;$G$8,BD!$W$3:$W$5001,"&lt;&gt;"))))</f>
        <v/>
      </c>
      <c r="I288" s="43" t="str">
        <f>IF($A288="","",IF(COUNTIFS(BD!$B$3:$B$5001,$A288,BD!$A$3:$A$5001,"&gt;="&amp;$F$7,BD!$A$3:$A$5001,"&lt;="&amp;$G$7,BD!$Y$3:$Y$5001,"&lt;&gt;")=0,"",SUMIFS(BD!$Y$3:$Y$5001,BD!$B$3:$B$5001,$A288,BD!$A$3:$A$5001,_xlfn.MAXIFS(BD!$A$3:$A$5001,BD!$B$3:$B$5001,$A288,BD!$A$3:$A$5001,"&gt;="&amp;$F$7,BD!$A$3:$A$5001,"&lt;="&amp;$G$7,BD!$Y$3:$Y$5001,"&lt;&gt;"))))</f>
        <v/>
      </c>
      <c r="J288" s="43" t="str">
        <f>IF($A288="","",IF(COUNTIFS(BD!$B$3:$B$5001,$A288,BD!$A$3:$A$5001,"&gt;="&amp;$F$8,BD!$A$3:$A$5001,"&lt;="&amp;$G$8,BD!$Y$3:$Y$5001,"&lt;&gt;")=0,"",SUMIFS(BD!$Y$3:$Y$5001,BD!$B$3:$B$5001,$A288,BD!$A$3:$A$5001,_xlfn.MAXIFS(BD!$A$3:$A$5001,BD!$B$3:$B$5001,$A288,BD!$A$3:$A$5001,"&gt;="&amp;$F$8,BD!$A$3:$A$5001,"&lt;="&amp;$G$8,BD!$Y$3:$Y$5001,"&lt;&gt;"))))</f>
        <v/>
      </c>
    </row>
    <row r="289">
      <c r="A289" s="65" t="str">
        <f>Config!$B$19&amp;""</f>
        <v>Vestas</v>
      </c>
      <c r="B289" s="38" t="str">
        <f>IF(Config!$C$19="","TPC",Config!$C$19)</f>
        <v>TPC</v>
      </c>
      <c r="C289" s="43" t="str">
        <f>IF($A289="","",IF(COUNTIFS(BD!$B$3:$B$5001,$A289,BD!$A$3:$A$5001,"&gt;="&amp;$F$7,BD!$A$3:$A$5001,"&lt;="&amp;$G$7,BD!$V$3:$V$5001,"&lt;&gt;")=0,"",SUMIFS(BD!$V$3:$V$5001,BD!$B$3:$B$5001,$A289,BD!$A$3:$A$5001,_xlfn.MAXIFS(BD!$A$3:$A$5001,BD!$B$3:$B$5001,$A289,BD!$A$3:$A$5001,"&gt;="&amp;$F$7,BD!$A$3:$A$5001,"&lt;="&amp;$G$7,BD!$V$3:$V$5001,"&lt;&gt;"))))</f>
        <v/>
      </c>
      <c r="D289" s="43" t="str">
        <f>IF($A289="","",IF(COUNTIFS(BD!$B$3:$B$5001,$A289,BD!$A$3:$A$5001,"&gt;="&amp;$F$8,BD!$A$3:$A$5001,"&lt;="&amp;$G$8,BD!$V$3:$V$5001,"&lt;&gt;")=0,"",SUMIFS(BD!$V$3:$V$5001,BD!$B$3:$B$5001,$A289,BD!$A$3:$A$5001,_xlfn.MAXIFS(BD!$A$3:$A$5001,BD!$B$3:$B$5001,$A289,BD!$A$3:$A$5001,"&gt;="&amp;$F$8,BD!$A$3:$A$5001,"&lt;="&amp;$G$8,BD!$V$3:$V$5001,"&lt;&gt;"))))</f>
        <v/>
      </c>
      <c r="E289" s="43" t="str">
        <f>IF($A289="","",IF(COUNTIFS(BD!$B$3:$B$5001,$A289,BD!$A$3:$A$5001,"&gt;="&amp;$F$7,BD!$A$3:$A$5001,"&lt;="&amp;$G$7,BD!$X$3:$X$5001,"&lt;&gt;")=0,"",SUMIFS(BD!$X$3:$X$5001,BD!$B$3:$B$5001,$A289,BD!$A$3:$A$5001,_xlfn.MAXIFS(BD!$A$3:$A$5001,BD!$B$3:$B$5001,$A289,BD!$A$3:$A$5001,"&gt;="&amp;$F$7,BD!$A$3:$A$5001,"&lt;="&amp;$G$7,BD!$X$3:$X$5001,"&lt;&gt;"))))</f>
        <v/>
      </c>
      <c r="F289" s="43" t="str">
        <f>IF($A289="","",IF(COUNTIFS(BD!$B$3:$B$5001,$A289,BD!$A$3:$A$5001,"&gt;="&amp;$F$8,BD!$A$3:$A$5001,"&lt;="&amp;$G$8,BD!$X$3:$X$5001,"&lt;&gt;")=0,"",SUMIFS(BD!$X$3:$X$5001,BD!$B$3:$B$5001,$A289,BD!$A$3:$A$5001,_xlfn.MAXIFS(BD!$A$3:$A$5001,BD!$B$3:$B$5001,$A289,BD!$A$3:$A$5001,"&gt;="&amp;$F$8,BD!$A$3:$A$5001,"&lt;="&amp;$G$8,BD!$X$3:$X$5001,"&lt;&gt;"))))</f>
        <v/>
      </c>
      <c r="G289" s="43" t="str">
        <f>IF($A289="","",IF(COUNTIFS(BD!$B$3:$B$5001,$A289,BD!$A$3:$A$5001,"&gt;="&amp;$F$7,BD!$A$3:$A$5001,"&lt;="&amp;$G$7,BD!$W$3:$W$5001,"&lt;&gt;")=0,"",SUMIFS(BD!$W$3:$W$5001,BD!$B$3:$B$5001,$A289,BD!$A$3:$A$5001,_xlfn.MAXIFS(BD!$A$3:$A$5001,BD!$B$3:$B$5001,$A289,BD!$A$3:$A$5001,"&gt;="&amp;$F$7,BD!$A$3:$A$5001,"&lt;="&amp;$G$7,BD!$W$3:$W$5001,"&lt;&gt;"))))</f>
        <v/>
      </c>
      <c r="H289" s="43" t="str">
        <f>IF($A289="","",IF(COUNTIFS(BD!$B$3:$B$5001,$A289,BD!$A$3:$A$5001,"&gt;="&amp;$F$8,BD!$A$3:$A$5001,"&lt;="&amp;$G$8,BD!$W$3:$W$5001,"&lt;&gt;")=0,"",SUMIFS(BD!$W$3:$W$5001,BD!$B$3:$B$5001,$A289,BD!$A$3:$A$5001,_xlfn.MAXIFS(BD!$A$3:$A$5001,BD!$B$3:$B$5001,$A289,BD!$A$3:$A$5001,"&gt;="&amp;$F$8,BD!$A$3:$A$5001,"&lt;="&amp;$G$8,BD!$W$3:$W$5001,"&lt;&gt;"))))</f>
        <v/>
      </c>
      <c r="I289" s="43" t="str">
        <f>IF($A289="","",IF(COUNTIFS(BD!$B$3:$B$5001,$A289,BD!$A$3:$A$5001,"&gt;="&amp;$F$7,BD!$A$3:$A$5001,"&lt;="&amp;$G$7,BD!$Y$3:$Y$5001,"&lt;&gt;")=0,"",SUMIFS(BD!$Y$3:$Y$5001,BD!$B$3:$B$5001,$A289,BD!$A$3:$A$5001,_xlfn.MAXIFS(BD!$A$3:$A$5001,BD!$B$3:$B$5001,$A289,BD!$A$3:$A$5001,"&gt;="&amp;$F$7,BD!$A$3:$A$5001,"&lt;="&amp;$G$7,BD!$Y$3:$Y$5001,"&lt;&gt;"))))</f>
        <v/>
      </c>
      <c r="J289" s="43" t="str">
        <f>IF($A289="","",IF(COUNTIFS(BD!$B$3:$B$5001,$A289,BD!$A$3:$A$5001,"&gt;="&amp;$F$8,BD!$A$3:$A$5001,"&lt;="&amp;$G$8,BD!$Y$3:$Y$5001,"&lt;&gt;")=0,"",SUMIFS(BD!$Y$3:$Y$5001,BD!$B$3:$B$5001,$A289,BD!$A$3:$A$5001,_xlfn.MAXIFS(BD!$A$3:$A$5001,BD!$B$3:$B$5001,$A289,BD!$A$3:$A$5001,"&gt;="&amp;$F$8,BD!$A$3:$A$5001,"&lt;="&amp;$G$8,BD!$Y$3:$Y$5001,"&lt;&gt;"))))</f>
        <v/>
      </c>
    </row>
    <row r="290">
      <c r="A290" s="65" t="str">
        <f>Config!$B$20&amp;""</f>
        <v/>
      </c>
      <c r="B290" s="38" t="str">
        <f>IF(Config!$C$20="","TPC",Config!$C$20)</f>
        <v>TPC</v>
      </c>
      <c r="C290" s="43" t="str">
        <f>IF($A290="","",IF(COUNTIFS(BD!$B$3:$B$5001,$A290,BD!$A$3:$A$5001,"&gt;="&amp;$F$7,BD!$A$3:$A$5001,"&lt;="&amp;$G$7,BD!$V$3:$V$5001,"&lt;&gt;")=0,"",SUMIFS(BD!$V$3:$V$5001,BD!$B$3:$B$5001,$A290,BD!$A$3:$A$5001,_xlfn.MAXIFS(BD!$A$3:$A$5001,BD!$B$3:$B$5001,$A290,BD!$A$3:$A$5001,"&gt;="&amp;$F$7,BD!$A$3:$A$5001,"&lt;="&amp;$G$7,BD!$V$3:$V$5001,"&lt;&gt;"))))</f>
        <v/>
      </c>
      <c r="D290" s="43" t="str">
        <f>IF($A290="","",IF(COUNTIFS(BD!$B$3:$B$5001,$A290,BD!$A$3:$A$5001,"&gt;="&amp;$F$8,BD!$A$3:$A$5001,"&lt;="&amp;$G$8,BD!$V$3:$V$5001,"&lt;&gt;")=0,"",SUMIFS(BD!$V$3:$V$5001,BD!$B$3:$B$5001,$A290,BD!$A$3:$A$5001,_xlfn.MAXIFS(BD!$A$3:$A$5001,BD!$B$3:$B$5001,$A290,BD!$A$3:$A$5001,"&gt;="&amp;$F$8,BD!$A$3:$A$5001,"&lt;="&amp;$G$8,BD!$V$3:$V$5001,"&lt;&gt;"))))</f>
        <v/>
      </c>
      <c r="E290" s="43" t="str">
        <f>IF($A290="","",IF(COUNTIFS(BD!$B$3:$B$5001,$A290,BD!$A$3:$A$5001,"&gt;="&amp;$F$7,BD!$A$3:$A$5001,"&lt;="&amp;$G$7,BD!$X$3:$X$5001,"&lt;&gt;")=0,"",SUMIFS(BD!$X$3:$X$5001,BD!$B$3:$B$5001,$A290,BD!$A$3:$A$5001,_xlfn.MAXIFS(BD!$A$3:$A$5001,BD!$B$3:$B$5001,$A290,BD!$A$3:$A$5001,"&gt;="&amp;$F$7,BD!$A$3:$A$5001,"&lt;="&amp;$G$7,BD!$X$3:$X$5001,"&lt;&gt;"))))</f>
        <v/>
      </c>
      <c r="F290" s="43" t="str">
        <f>IF($A290="","",IF(COUNTIFS(BD!$B$3:$B$5001,$A290,BD!$A$3:$A$5001,"&gt;="&amp;$F$8,BD!$A$3:$A$5001,"&lt;="&amp;$G$8,BD!$X$3:$X$5001,"&lt;&gt;")=0,"",SUMIFS(BD!$X$3:$X$5001,BD!$B$3:$B$5001,$A290,BD!$A$3:$A$5001,_xlfn.MAXIFS(BD!$A$3:$A$5001,BD!$B$3:$B$5001,$A290,BD!$A$3:$A$5001,"&gt;="&amp;$F$8,BD!$A$3:$A$5001,"&lt;="&amp;$G$8,BD!$X$3:$X$5001,"&lt;&gt;"))))</f>
        <v/>
      </c>
      <c r="G290" s="43" t="str">
        <f>IF($A290="","",IF(COUNTIFS(BD!$B$3:$B$5001,$A290,BD!$A$3:$A$5001,"&gt;="&amp;$F$7,BD!$A$3:$A$5001,"&lt;="&amp;$G$7,BD!$W$3:$W$5001,"&lt;&gt;")=0,"",SUMIFS(BD!$W$3:$W$5001,BD!$B$3:$B$5001,$A290,BD!$A$3:$A$5001,_xlfn.MAXIFS(BD!$A$3:$A$5001,BD!$B$3:$B$5001,$A290,BD!$A$3:$A$5001,"&gt;="&amp;$F$7,BD!$A$3:$A$5001,"&lt;="&amp;$G$7,BD!$W$3:$W$5001,"&lt;&gt;"))))</f>
        <v/>
      </c>
      <c r="H290" s="43" t="str">
        <f>IF($A290="","",IF(COUNTIFS(BD!$B$3:$B$5001,$A290,BD!$A$3:$A$5001,"&gt;="&amp;$F$8,BD!$A$3:$A$5001,"&lt;="&amp;$G$8,BD!$W$3:$W$5001,"&lt;&gt;")=0,"",SUMIFS(BD!$W$3:$W$5001,BD!$B$3:$B$5001,$A290,BD!$A$3:$A$5001,_xlfn.MAXIFS(BD!$A$3:$A$5001,BD!$B$3:$B$5001,$A290,BD!$A$3:$A$5001,"&gt;="&amp;$F$8,BD!$A$3:$A$5001,"&lt;="&amp;$G$8,BD!$W$3:$W$5001,"&lt;&gt;"))))</f>
        <v/>
      </c>
      <c r="I290" s="43" t="str">
        <f>IF($A290="","",IF(COUNTIFS(BD!$B$3:$B$5001,$A290,BD!$A$3:$A$5001,"&gt;="&amp;$F$7,BD!$A$3:$A$5001,"&lt;="&amp;$G$7,BD!$Y$3:$Y$5001,"&lt;&gt;")=0,"",SUMIFS(BD!$Y$3:$Y$5001,BD!$B$3:$B$5001,$A290,BD!$A$3:$A$5001,_xlfn.MAXIFS(BD!$A$3:$A$5001,BD!$B$3:$B$5001,$A290,BD!$A$3:$A$5001,"&gt;="&amp;$F$7,BD!$A$3:$A$5001,"&lt;="&amp;$G$7,BD!$Y$3:$Y$5001,"&lt;&gt;"))))</f>
        <v/>
      </c>
      <c r="J290" s="43" t="str">
        <f>IF($A290="","",IF(COUNTIFS(BD!$B$3:$B$5001,$A290,BD!$A$3:$A$5001,"&gt;="&amp;$F$8,BD!$A$3:$A$5001,"&lt;="&amp;$G$8,BD!$Y$3:$Y$5001,"&lt;&gt;")=0,"",SUMIFS(BD!$Y$3:$Y$5001,BD!$B$3:$B$5001,$A290,BD!$A$3:$A$5001,_xlfn.MAXIFS(BD!$A$3:$A$5001,BD!$B$3:$B$5001,$A290,BD!$A$3:$A$5001,"&gt;="&amp;$F$8,BD!$A$3:$A$5001,"&lt;="&amp;$G$8,BD!$Y$3:$Y$5001,"&lt;&gt;"))))</f>
        <v/>
      </c>
    </row>
    <row r="291">
      <c r="A291" s="65" t="str">
        <f>Config!$B$21&amp;""</f>
        <v/>
      </c>
      <c r="B291" s="38" t="str">
        <f>IF(Config!$C$21="","TPC",Config!$C$21)</f>
        <v>TPC</v>
      </c>
      <c r="C291" s="43" t="str">
        <f>IF($A291="","",IF(COUNTIFS(BD!$B$3:$B$5001,$A291,BD!$A$3:$A$5001,"&gt;="&amp;$F$7,BD!$A$3:$A$5001,"&lt;="&amp;$G$7,BD!$V$3:$V$5001,"&lt;&gt;")=0,"",SUMIFS(BD!$V$3:$V$5001,BD!$B$3:$B$5001,$A291,BD!$A$3:$A$5001,_xlfn.MAXIFS(BD!$A$3:$A$5001,BD!$B$3:$B$5001,$A291,BD!$A$3:$A$5001,"&gt;="&amp;$F$7,BD!$A$3:$A$5001,"&lt;="&amp;$G$7,BD!$V$3:$V$5001,"&lt;&gt;"))))</f>
        <v/>
      </c>
      <c r="D291" s="43" t="str">
        <f>IF($A291="","",IF(COUNTIFS(BD!$B$3:$B$5001,$A291,BD!$A$3:$A$5001,"&gt;="&amp;$F$8,BD!$A$3:$A$5001,"&lt;="&amp;$G$8,BD!$V$3:$V$5001,"&lt;&gt;")=0,"",SUMIFS(BD!$V$3:$V$5001,BD!$B$3:$B$5001,$A291,BD!$A$3:$A$5001,_xlfn.MAXIFS(BD!$A$3:$A$5001,BD!$B$3:$B$5001,$A291,BD!$A$3:$A$5001,"&gt;="&amp;$F$8,BD!$A$3:$A$5001,"&lt;="&amp;$G$8,BD!$V$3:$V$5001,"&lt;&gt;"))))</f>
        <v/>
      </c>
      <c r="E291" s="43" t="str">
        <f>IF($A291="","",IF(COUNTIFS(BD!$B$3:$B$5001,$A291,BD!$A$3:$A$5001,"&gt;="&amp;$F$7,BD!$A$3:$A$5001,"&lt;="&amp;$G$7,BD!$X$3:$X$5001,"&lt;&gt;")=0,"",SUMIFS(BD!$X$3:$X$5001,BD!$B$3:$B$5001,$A291,BD!$A$3:$A$5001,_xlfn.MAXIFS(BD!$A$3:$A$5001,BD!$B$3:$B$5001,$A291,BD!$A$3:$A$5001,"&gt;="&amp;$F$7,BD!$A$3:$A$5001,"&lt;="&amp;$G$7,BD!$X$3:$X$5001,"&lt;&gt;"))))</f>
        <v/>
      </c>
      <c r="F291" s="43" t="str">
        <f>IF($A291="","",IF(COUNTIFS(BD!$B$3:$B$5001,$A291,BD!$A$3:$A$5001,"&gt;="&amp;$F$8,BD!$A$3:$A$5001,"&lt;="&amp;$G$8,BD!$X$3:$X$5001,"&lt;&gt;")=0,"",SUMIFS(BD!$X$3:$X$5001,BD!$B$3:$B$5001,$A291,BD!$A$3:$A$5001,_xlfn.MAXIFS(BD!$A$3:$A$5001,BD!$B$3:$B$5001,$A291,BD!$A$3:$A$5001,"&gt;="&amp;$F$8,BD!$A$3:$A$5001,"&lt;="&amp;$G$8,BD!$X$3:$X$5001,"&lt;&gt;"))))</f>
        <v/>
      </c>
      <c r="G291" s="43" t="str">
        <f>IF($A291="","",IF(COUNTIFS(BD!$B$3:$B$5001,$A291,BD!$A$3:$A$5001,"&gt;="&amp;$F$7,BD!$A$3:$A$5001,"&lt;="&amp;$G$7,BD!$W$3:$W$5001,"&lt;&gt;")=0,"",SUMIFS(BD!$W$3:$W$5001,BD!$B$3:$B$5001,$A291,BD!$A$3:$A$5001,_xlfn.MAXIFS(BD!$A$3:$A$5001,BD!$B$3:$B$5001,$A291,BD!$A$3:$A$5001,"&gt;="&amp;$F$7,BD!$A$3:$A$5001,"&lt;="&amp;$G$7,BD!$W$3:$W$5001,"&lt;&gt;"))))</f>
        <v/>
      </c>
      <c r="H291" s="43" t="str">
        <f>IF($A291="","",IF(COUNTIFS(BD!$B$3:$B$5001,$A291,BD!$A$3:$A$5001,"&gt;="&amp;$F$8,BD!$A$3:$A$5001,"&lt;="&amp;$G$8,BD!$W$3:$W$5001,"&lt;&gt;")=0,"",SUMIFS(BD!$W$3:$W$5001,BD!$B$3:$B$5001,$A291,BD!$A$3:$A$5001,_xlfn.MAXIFS(BD!$A$3:$A$5001,BD!$B$3:$B$5001,$A291,BD!$A$3:$A$5001,"&gt;="&amp;$F$8,BD!$A$3:$A$5001,"&lt;="&amp;$G$8,BD!$W$3:$W$5001,"&lt;&gt;"))))</f>
        <v/>
      </c>
      <c r="I291" s="43" t="str">
        <f>IF($A291="","",IF(COUNTIFS(BD!$B$3:$B$5001,$A291,BD!$A$3:$A$5001,"&gt;="&amp;$F$7,BD!$A$3:$A$5001,"&lt;="&amp;$G$7,BD!$Y$3:$Y$5001,"&lt;&gt;")=0,"",SUMIFS(BD!$Y$3:$Y$5001,BD!$B$3:$B$5001,$A291,BD!$A$3:$A$5001,_xlfn.MAXIFS(BD!$A$3:$A$5001,BD!$B$3:$B$5001,$A291,BD!$A$3:$A$5001,"&gt;="&amp;$F$7,BD!$A$3:$A$5001,"&lt;="&amp;$G$7,BD!$Y$3:$Y$5001,"&lt;&gt;"))))</f>
        <v/>
      </c>
      <c r="J291" s="43" t="str">
        <f>IF($A291="","",IF(COUNTIFS(BD!$B$3:$B$5001,$A291,BD!$A$3:$A$5001,"&gt;="&amp;$F$8,BD!$A$3:$A$5001,"&lt;="&amp;$G$8,BD!$Y$3:$Y$5001,"&lt;&gt;")=0,"",SUMIFS(BD!$Y$3:$Y$5001,BD!$B$3:$B$5001,$A291,BD!$A$3:$A$5001,_xlfn.MAXIFS(BD!$A$3:$A$5001,BD!$B$3:$B$5001,$A291,BD!$A$3:$A$5001,"&gt;="&amp;$F$8,BD!$A$3:$A$5001,"&lt;="&amp;$G$8,BD!$Y$3:$Y$5001,"&lt;&gt;"))))</f>
        <v/>
      </c>
    </row>
    <row r="292">
      <c r="A292" s="65" t="str">
        <f>Config!$B$22&amp;""</f>
        <v/>
      </c>
      <c r="B292" s="38" t="str">
        <f>IF(Config!$C$22="","TPC",Config!$C$22)</f>
        <v>TPC</v>
      </c>
      <c r="C292" s="43" t="str">
        <f>IF($A292="","",IF(COUNTIFS(BD!$B$3:$B$5001,$A292,BD!$A$3:$A$5001,"&gt;="&amp;$F$7,BD!$A$3:$A$5001,"&lt;="&amp;$G$7,BD!$V$3:$V$5001,"&lt;&gt;")=0,"",SUMIFS(BD!$V$3:$V$5001,BD!$B$3:$B$5001,$A292,BD!$A$3:$A$5001,_xlfn.MAXIFS(BD!$A$3:$A$5001,BD!$B$3:$B$5001,$A292,BD!$A$3:$A$5001,"&gt;="&amp;$F$7,BD!$A$3:$A$5001,"&lt;="&amp;$G$7,BD!$V$3:$V$5001,"&lt;&gt;"))))</f>
        <v/>
      </c>
      <c r="D292" s="43" t="str">
        <f>IF($A292="","",IF(COUNTIFS(BD!$B$3:$B$5001,$A292,BD!$A$3:$A$5001,"&gt;="&amp;$F$8,BD!$A$3:$A$5001,"&lt;="&amp;$G$8,BD!$V$3:$V$5001,"&lt;&gt;")=0,"",SUMIFS(BD!$V$3:$V$5001,BD!$B$3:$B$5001,$A292,BD!$A$3:$A$5001,_xlfn.MAXIFS(BD!$A$3:$A$5001,BD!$B$3:$B$5001,$A292,BD!$A$3:$A$5001,"&gt;="&amp;$F$8,BD!$A$3:$A$5001,"&lt;="&amp;$G$8,BD!$V$3:$V$5001,"&lt;&gt;"))))</f>
        <v/>
      </c>
      <c r="E292" s="43" t="str">
        <f>IF($A292="","",IF(COUNTIFS(BD!$B$3:$B$5001,$A292,BD!$A$3:$A$5001,"&gt;="&amp;$F$7,BD!$A$3:$A$5001,"&lt;="&amp;$G$7,BD!$X$3:$X$5001,"&lt;&gt;")=0,"",SUMIFS(BD!$X$3:$X$5001,BD!$B$3:$B$5001,$A292,BD!$A$3:$A$5001,_xlfn.MAXIFS(BD!$A$3:$A$5001,BD!$B$3:$B$5001,$A292,BD!$A$3:$A$5001,"&gt;="&amp;$F$7,BD!$A$3:$A$5001,"&lt;="&amp;$G$7,BD!$X$3:$X$5001,"&lt;&gt;"))))</f>
        <v/>
      </c>
      <c r="F292" s="43" t="str">
        <f>IF($A292="","",IF(COUNTIFS(BD!$B$3:$B$5001,$A292,BD!$A$3:$A$5001,"&gt;="&amp;$F$8,BD!$A$3:$A$5001,"&lt;="&amp;$G$8,BD!$X$3:$X$5001,"&lt;&gt;")=0,"",SUMIFS(BD!$X$3:$X$5001,BD!$B$3:$B$5001,$A292,BD!$A$3:$A$5001,_xlfn.MAXIFS(BD!$A$3:$A$5001,BD!$B$3:$B$5001,$A292,BD!$A$3:$A$5001,"&gt;="&amp;$F$8,BD!$A$3:$A$5001,"&lt;="&amp;$G$8,BD!$X$3:$X$5001,"&lt;&gt;"))))</f>
        <v/>
      </c>
      <c r="G292" s="43" t="str">
        <f>IF($A292="","",IF(COUNTIFS(BD!$B$3:$B$5001,$A292,BD!$A$3:$A$5001,"&gt;="&amp;$F$7,BD!$A$3:$A$5001,"&lt;="&amp;$G$7,BD!$W$3:$W$5001,"&lt;&gt;")=0,"",SUMIFS(BD!$W$3:$W$5001,BD!$B$3:$B$5001,$A292,BD!$A$3:$A$5001,_xlfn.MAXIFS(BD!$A$3:$A$5001,BD!$B$3:$B$5001,$A292,BD!$A$3:$A$5001,"&gt;="&amp;$F$7,BD!$A$3:$A$5001,"&lt;="&amp;$G$7,BD!$W$3:$W$5001,"&lt;&gt;"))))</f>
        <v/>
      </c>
      <c r="H292" s="43" t="str">
        <f>IF($A292="","",IF(COUNTIFS(BD!$B$3:$B$5001,$A292,BD!$A$3:$A$5001,"&gt;="&amp;$F$8,BD!$A$3:$A$5001,"&lt;="&amp;$G$8,BD!$W$3:$W$5001,"&lt;&gt;")=0,"",SUMIFS(BD!$W$3:$W$5001,BD!$B$3:$B$5001,$A292,BD!$A$3:$A$5001,_xlfn.MAXIFS(BD!$A$3:$A$5001,BD!$B$3:$B$5001,$A292,BD!$A$3:$A$5001,"&gt;="&amp;$F$8,BD!$A$3:$A$5001,"&lt;="&amp;$G$8,BD!$W$3:$W$5001,"&lt;&gt;"))))</f>
        <v/>
      </c>
      <c r="I292" s="43" t="str">
        <f>IF($A292="","",IF(COUNTIFS(BD!$B$3:$B$5001,$A292,BD!$A$3:$A$5001,"&gt;="&amp;$F$7,BD!$A$3:$A$5001,"&lt;="&amp;$G$7,BD!$Y$3:$Y$5001,"&lt;&gt;")=0,"",SUMIFS(BD!$Y$3:$Y$5001,BD!$B$3:$B$5001,$A292,BD!$A$3:$A$5001,_xlfn.MAXIFS(BD!$A$3:$A$5001,BD!$B$3:$B$5001,$A292,BD!$A$3:$A$5001,"&gt;="&amp;$F$7,BD!$A$3:$A$5001,"&lt;="&amp;$G$7,BD!$Y$3:$Y$5001,"&lt;&gt;"))))</f>
        <v/>
      </c>
      <c r="J292" s="43" t="str">
        <f>IF($A292="","",IF(COUNTIFS(BD!$B$3:$B$5001,$A292,BD!$A$3:$A$5001,"&gt;="&amp;$F$8,BD!$A$3:$A$5001,"&lt;="&amp;$G$8,BD!$Y$3:$Y$5001,"&lt;&gt;")=0,"",SUMIFS(BD!$Y$3:$Y$5001,BD!$B$3:$B$5001,$A292,BD!$A$3:$A$5001,_xlfn.MAXIFS(BD!$A$3:$A$5001,BD!$B$3:$B$5001,$A292,BD!$A$3:$A$5001,"&gt;="&amp;$F$8,BD!$A$3:$A$5001,"&lt;="&amp;$G$8,BD!$Y$3:$Y$5001,"&lt;&gt;"))))</f>
        <v/>
      </c>
    </row>
    <row r="293">
      <c r="A293" s="65" t="str">
        <f>Config!$B$23&amp;""</f>
        <v/>
      </c>
      <c r="B293" s="38" t="str">
        <f>IF(Config!$C$23="","TPC",Config!$C$23)</f>
        <v>TPC</v>
      </c>
      <c r="C293" s="43" t="str">
        <f>IF($A293="","",IF(COUNTIFS(BD!$B$3:$B$5001,$A293,BD!$A$3:$A$5001,"&gt;="&amp;$F$7,BD!$A$3:$A$5001,"&lt;="&amp;$G$7,BD!$V$3:$V$5001,"&lt;&gt;")=0,"",SUMIFS(BD!$V$3:$V$5001,BD!$B$3:$B$5001,$A293,BD!$A$3:$A$5001,_xlfn.MAXIFS(BD!$A$3:$A$5001,BD!$B$3:$B$5001,$A293,BD!$A$3:$A$5001,"&gt;="&amp;$F$7,BD!$A$3:$A$5001,"&lt;="&amp;$G$7,BD!$V$3:$V$5001,"&lt;&gt;"))))</f>
        <v/>
      </c>
      <c r="D293" s="43" t="str">
        <f>IF($A293="","",IF(COUNTIFS(BD!$B$3:$B$5001,$A293,BD!$A$3:$A$5001,"&gt;="&amp;$F$8,BD!$A$3:$A$5001,"&lt;="&amp;$G$8,BD!$V$3:$V$5001,"&lt;&gt;")=0,"",SUMIFS(BD!$V$3:$V$5001,BD!$B$3:$B$5001,$A293,BD!$A$3:$A$5001,_xlfn.MAXIFS(BD!$A$3:$A$5001,BD!$B$3:$B$5001,$A293,BD!$A$3:$A$5001,"&gt;="&amp;$F$8,BD!$A$3:$A$5001,"&lt;="&amp;$G$8,BD!$V$3:$V$5001,"&lt;&gt;"))))</f>
        <v/>
      </c>
      <c r="E293" s="43" t="str">
        <f>IF($A293="","",IF(COUNTIFS(BD!$B$3:$B$5001,$A293,BD!$A$3:$A$5001,"&gt;="&amp;$F$7,BD!$A$3:$A$5001,"&lt;="&amp;$G$7,BD!$X$3:$X$5001,"&lt;&gt;")=0,"",SUMIFS(BD!$X$3:$X$5001,BD!$B$3:$B$5001,$A293,BD!$A$3:$A$5001,_xlfn.MAXIFS(BD!$A$3:$A$5001,BD!$B$3:$B$5001,$A293,BD!$A$3:$A$5001,"&gt;="&amp;$F$7,BD!$A$3:$A$5001,"&lt;="&amp;$G$7,BD!$X$3:$X$5001,"&lt;&gt;"))))</f>
        <v/>
      </c>
      <c r="F293" s="43" t="str">
        <f>IF($A293="","",IF(COUNTIFS(BD!$B$3:$B$5001,$A293,BD!$A$3:$A$5001,"&gt;="&amp;$F$8,BD!$A$3:$A$5001,"&lt;="&amp;$G$8,BD!$X$3:$X$5001,"&lt;&gt;")=0,"",SUMIFS(BD!$X$3:$X$5001,BD!$B$3:$B$5001,$A293,BD!$A$3:$A$5001,_xlfn.MAXIFS(BD!$A$3:$A$5001,BD!$B$3:$B$5001,$A293,BD!$A$3:$A$5001,"&gt;="&amp;$F$8,BD!$A$3:$A$5001,"&lt;="&amp;$G$8,BD!$X$3:$X$5001,"&lt;&gt;"))))</f>
        <v/>
      </c>
      <c r="G293" s="43" t="str">
        <f>IF($A293="","",IF(COUNTIFS(BD!$B$3:$B$5001,$A293,BD!$A$3:$A$5001,"&gt;="&amp;$F$7,BD!$A$3:$A$5001,"&lt;="&amp;$G$7,BD!$W$3:$W$5001,"&lt;&gt;")=0,"",SUMIFS(BD!$W$3:$W$5001,BD!$B$3:$B$5001,$A293,BD!$A$3:$A$5001,_xlfn.MAXIFS(BD!$A$3:$A$5001,BD!$B$3:$B$5001,$A293,BD!$A$3:$A$5001,"&gt;="&amp;$F$7,BD!$A$3:$A$5001,"&lt;="&amp;$G$7,BD!$W$3:$W$5001,"&lt;&gt;"))))</f>
        <v/>
      </c>
      <c r="H293" s="43" t="str">
        <f>IF($A293="","",IF(COUNTIFS(BD!$B$3:$B$5001,$A293,BD!$A$3:$A$5001,"&gt;="&amp;$F$8,BD!$A$3:$A$5001,"&lt;="&amp;$G$8,BD!$W$3:$W$5001,"&lt;&gt;")=0,"",SUMIFS(BD!$W$3:$W$5001,BD!$B$3:$B$5001,$A293,BD!$A$3:$A$5001,_xlfn.MAXIFS(BD!$A$3:$A$5001,BD!$B$3:$B$5001,$A293,BD!$A$3:$A$5001,"&gt;="&amp;$F$8,BD!$A$3:$A$5001,"&lt;="&amp;$G$8,BD!$W$3:$W$5001,"&lt;&gt;"))))</f>
        <v/>
      </c>
      <c r="I293" s="43" t="str">
        <f>IF($A293="","",IF(COUNTIFS(BD!$B$3:$B$5001,$A293,BD!$A$3:$A$5001,"&gt;="&amp;$F$7,BD!$A$3:$A$5001,"&lt;="&amp;$G$7,BD!$Y$3:$Y$5001,"&lt;&gt;")=0,"",SUMIFS(BD!$Y$3:$Y$5001,BD!$B$3:$B$5001,$A293,BD!$A$3:$A$5001,_xlfn.MAXIFS(BD!$A$3:$A$5001,BD!$B$3:$B$5001,$A293,BD!$A$3:$A$5001,"&gt;="&amp;$F$7,BD!$A$3:$A$5001,"&lt;="&amp;$G$7,BD!$Y$3:$Y$5001,"&lt;&gt;"))))</f>
        <v/>
      </c>
      <c r="J293" s="43" t="str">
        <f>IF($A293="","",IF(COUNTIFS(BD!$B$3:$B$5001,$A293,BD!$A$3:$A$5001,"&gt;="&amp;$F$8,BD!$A$3:$A$5001,"&lt;="&amp;$G$8,BD!$Y$3:$Y$5001,"&lt;&gt;")=0,"",SUMIFS(BD!$Y$3:$Y$5001,BD!$B$3:$B$5001,$A293,BD!$A$3:$A$5001,_xlfn.MAXIFS(BD!$A$3:$A$5001,BD!$B$3:$B$5001,$A293,BD!$A$3:$A$5001,"&gt;="&amp;$F$8,BD!$A$3:$A$5001,"&lt;="&amp;$G$8,BD!$Y$3:$Y$5001,"&lt;&gt;"))))</f>
        <v/>
      </c>
    </row>
    <row r="294">
      <c r="A294" s="65" t="str">
        <f>Config!$B$24&amp;""</f>
        <v/>
      </c>
      <c r="B294" s="38" t="str">
        <f>IF(Config!$C$24="","TPC",Config!$C$24)</f>
        <v>TPC</v>
      </c>
      <c r="C294" s="43" t="str">
        <f>IF($A294="","",IF(COUNTIFS(BD!$B$3:$B$5001,$A294,BD!$A$3:$A$5001,"&gt;="&amp;$F$7,BD!$A$3:$A$5001,"&lt;="&amp;$G$7,BD!$V$3:$V$5001,"&lt;&gt;")=0,"",SUMIFS(BD!$V$3:$V$5001,BD!$B$3:$B$5001,$A294,BD!$A$3:$A$5001,_xlfn.MAXIFS(BD!$A$3:$A$5001,BD!$B$3:$B$5001,$A294,BD!$A$3:$A$5001,"&gt;="&amp;$F$7,BD!$A$3:$A$5001,"&lt;="&amp;$G$7,BD!$V$3:$V$5001,"&lt;&gt;"))))</f>
        <v/>
      </c>
      <c r="D294" s="43" t="str">
        <f>IF($A294="","",IF(COUNTIFS(BD!$B$3:$B$5001,$A294,BD!$A$3:$A$5001,"&gt;="&amp;$F$8,BD!$A$3:$A$5001,"&lt;="&amp;$G$8,BD!$V$3:$V$5001,"&lt;&gt;")=0,"",SUMIFS(BD!$V$3:$V$5001,BD!$B$3:$B$5001,$A294,BD!$A$3:$A$5001,_xlfn.MAXIFS(BD!$A$3:$A$5001,BD!$B$3:$B$5001,$A294,BD!$A$3:$A$5001,"&gt;="&amp;$F$8,BD!$A$3:$A$5001,"&lt;="&amp;$G$8,BD!$V$3:$V$5001,"&lt;&gt;"))))</f>
        <v/>
      </c>
      <c r="E294" s="43" t="str">
        <f>IF($A294="","",IF(COUNTIFS(BD!$B$3:$B$5001,$A294,BD!$A$3:$A$5001,"&gt;="&amp;$F$7,BD!$A$3:$A$5001,"&lt;="&amp;$G$7,BD!$X$3:$X$5001,"&lt;&gt;")=0,"",SUMIFS(BD!$X$3:$X$5001,BD!$B$3:$B$5001,$A294,BD!$A$3:$A$5001,_xlfn.MAXIFS(BD!$A$3:$A$5001,BD!$B$3:$B$5001,$A294,BD!$A$3:$A$5001,"&gt;="&amp;$F$7,BD!$A$3:$A$5001,"&lt;="&amp;$G$7,BD!$X$3:$X$5001,"&lt;&gt;"))))</f>
        <v/>
      </c>
      <c r="F294" s="43" t="str">
        <f>IF($A294="","",IF(COUNTIFS(BD!$B$3:$B$5001,$A294,BD!$A$3:$A$5001,"&gt;="&amp;$F$8,BD!$A$3:$A$5001,"&lt;="&amp;$G$8,BD!$X$3:$X$5001,"&lt;&gt;")=0,"",SUMIFS(BD!$X$3:$X$5001,BD!$B$3:$B$5001,$A294,BD!$A$3:$A$5001,_xlfn.MAXIFS(BD!$A$3:$A$5001,BD!$B$3:$B$5001,$A294,BD!$A$3:$A$5001,"&gt;="&amp;$F$8,BD!$A$3:$A$5001,"&lt;="&amp;$G$8,BD!$X$3:$X$5001,"&lt;&gt;"))))</f>
        <v/>
      </c>
      <c r="G294" s="43" t="str">
        <f>IF($A294="","",IF(COUNTIFS(BD!$B$3:$B$5001,$A294,BD!$A$3:$A$5001,"&gt;="&amp;$F$7,BD!$A$3:$A$5001,"&lt;="&amp;$G$7,BD!$W$3:$W$5001,"&lt;&gt;")=0,"",SUMIFS(BD!$W$3:$W$5001,BD!$B$3:$B$5001,$A294,BD!$A$3:$A$5001,_xlfn.MAXIFS(BD!$A$3:$A$5001,BD!$B$3:$B$5001,$A294,BD!$A$3:$A$5001,"&gt;="&amp;$F$7,BD!$A$3:$A$5001,"&lt;="&amp;$G$7,BD!$W$3:$W$5001,"&lt;&gt;"))))</f>
        <v/>
      </c>
      <c r="H294" s="43" t="str">
        <f>IF($A294="","",IF(COUNTIFS(BD!$B$3:$B$5001,$A294,BD!$A$3:$A$5001,"&gt;="&amp;$F$8,BD!$A$3:$A$5001,"&lt;="&amp;$G$8,BD!$W$3:$W$5001,"&lt;&gt;")=0,"",SUMIFS(BD!$W$3:$W$5001,BD!$B$3:$B$5001,$A294,BD!$A$3:$A$5001,_xlfn.MAXIFS(BD!$A$3:$A$5001,BD!$B$3:$B$5001,$A294,BD!$A$3:$A$5001,"&gt;="&amp;$F$8,BD!$A$3:$A$5001,"&lt;="&amp;$G$8,BD!$W$3:$W$5001,"&lt;&gt;"))))</f>
        <v/>
      </c>
      <c r="I294" s="43" t="str">
        <f>IF($A294="","",IF(COUNTIFS(BD!$B$3:$B$5001,$A294,BD!$A$3:$A$5001,"&gt;="&amp;$F$7,BD!$A$3:$A$5001,"&lt;="&amp;$G$7,BD!$Y$3:$Y$5001,"&lt;&gt;")=0,"",SUMIFS(BD!$Y$3:$Y$5001,BD!$B$3:$B$5001,$A294,BD!$A$3:$A$5001,_xlfn.MAXIFS(BD!$A$3:$A$5001,BD!$B$3:$B$5001,$A294,BD!$A$3:$A$5001,"&gt;="&amp;$F$7,BD!$A$3:$A$5001,"&lt;="&amp;$G$7,BD!$Y$3:$Y$5001,"&lt;&gt;"))))</f>
        <v/>
      </c>
      <c r="J294" s="43" t="str">
        <f>IF($A294="","",IF(COUNTIFS(BD!$B$3:$B$5001,$A294,BD!$A$3:$A$5001,"&gt;="&amp;$F$8,BD!$A$3:$A$5001,"&lt;="&amp;$G$8,BD!$Y$3:$Y$5001,"&lt;&gt;")=0,"",SUMIFS(BD!$Y$3:$Y$5001,BD!$B$3:$B$5001,$A294,BD!$A$3:$A$5001,_xlfn.MAXIFS(BD!$A$3:$A$5001,BD!$B$3:$B$5001,$A294,BD!$A$3:$A$5001,"&gt;="&amp;$F$8,BD!$A$3:$A$5001,"&lt;="&amp;$G$8,BD!$Y$3:$Y$5001,"&lt;&gt;"))))</f>
        <v/>
      </c>
    </row>
    <row r="295">
      <c r="A295" s="65" t="str">
        <f>Config!$B$25&amp;""</f>
        <v/>
      </c>
      <c r="B295" s="38" t="str">
        <f>IF(Config!$C$25="","TPC",Config!$C$25)</f>
        <v>TPC</v>
      </c>
      <c r="C295" s="43" t="str">
        <f>IF($A295="","",IF(COUNTIFS(BD!$B$3:$B$5001,$A295,BD!$A$3:$A$5001,"&gt;="&amp;$F$7,BD!$A$3:$A$5001,"&lt;="&amp;$G$7,BD!$V$3:$V$5001,"&lt;&gt;")=0,"",SUMIFS(BD!$V$3:$V$5001,BD!$B$3:$B$5001,$A295,BD!$A$3:$A$5001,_xlfn.MAXIFS(BD!$A$3:$A$5001,BD!$B$3:$B$5001,$A295,BD!$A$3:$A$5001,"&gt;="&amp;$F$7,BD!$A$3:$A$5001,"&lt;="&amp;$G$7,BD!$V$3:$V$5001,"&lt;&gt;"))))</f>
        <v/>
      </c>
      <c r="D295" s="43" t="str">
        <f>IF($A295="","",IF(COUNTIFS(BD!$B$3:$B$5001,$A295,BD!$A$3:$A$5001,"&gt;="&amp;$F$8,BD!$A$3:$A$5001,"&lt;="&amp;$G$8,BD!$V$3:$V$5001,"&lt;&gt;")=0,"",SUMIFS(BD!$V$3:$V$5001,BD!$B$3:$B$5001,$A295,BD!$A$3:$A$5001,_xlfn.MAXIFS(BD!$A$3:$A$5001,BD!$B$3:$B$5001,$A295,BD!$A$3:$A$5001,"&gt;="&amp;$F$8,BD!$A$3:$A$5001,"&lt;="&amp;$G$8,BD!$V$3:$V$5001,"&lt;&gt;"))))</f>
        <v/>
      </c>
      <c r="E295" s="43" t="str">
        <f>IF($A295="","",IF(COUNTIFS(BD!$B$3:$B$5001,$A295,BD!$A$3:$A$5001,"&gt;="&amp;$F$7,BD!$A$3:$A$5001,"&lt;="&amp;$G$7,BD!$X$3:$X$5001,"&lt;&gt;")=0,"",SUMIFS(BD!$X$3:$X$5001,BD!$B$3:$B$5001,$A295,BD!$A$3:$A$5001,_xlfn.MAXIFS(BD!$A$3:$A$5001,BD!$B$3:$B$5001,$A295,BD!$A$3:$A$5001,"&gt;="&amp;$F$7,BD!$A$3:$A$5001,"&lt;="&amp;$G$7,BD!$X$3:$X$5001,"&lt;&gt;"))))</f>
        <v/>
      </c>
      <c r="F295" s="43" t="str">
        <f>IF($A295="","",IF(COUNTIFS(BD!$B$3:$B$5001,$A295,BD!$A$3:$A$5001,"&gt;="&amp;$F$8,BD!$A$3:$A$5001,"&lt;="&amp;$G$8,BD!$X$3:$X$5001,"&lt;&gt;")=0,"",SUMIFS(BD!$X$3:$X$5001,BD!$B$3:$B$5001,$A295,BD!$A$3:$A$5001,_xlfn.MAXIFS(BD!$A$3:$A$5001,BD!$B$3:$B$5001,$A295,BD!$A$3:$A$5001,"&gt;="&amp;$F$8,BD!$A$3:$A$5001,"&lt;="&amp;$G$8,BD!$X$3:$X$5001,"&lt;&gt;"))))</f>
        <v/>
      </c>
      <c r="G295" s="43" t="str">
        <f>IF($A295="","",IF(COUNTIFS(BD!$B$3:$B$5001,$A295,BD!$A$3:$A$5001,"&gt;="&amp;$F$7,BD!$A$3:$A$5001,"&lt;="&amp;$G$7,BD!$W$3:$W$5001,"&lt;&gt;")=0,"",SUMIFS(BD!$W$3:$W$5001,BD!$B$3:$B$5001,$A295,BD!$A$3:$A$5001,_xlfn.MAXIFS(BD!$A$3:$A$5001,BD!$B$3:$B$5001,$A295,BD!$A$3:$A$5001,"&gt;="&amp;$F$7,BD!$A$3:$A$5001,"&lt;="&amp;$G$7,BD!$W$3:$W$5001,"&lt;&gt;"))))</f>
        <v/>
      </c>
      <c r="H295" s="43" t="str">
        <f>IF($A295="","",IF(COUNTIFS(BD!$B$3:$B$5001,$A295,BD!$A$3:$A$5001,"&gt;="&amp;$F$8,BD!$A$3:$A$5001,"&lt;="&amp;$G$8,BD!$W$3:$W$5001,"&lt;&gt;")=0,"",SUMIFS(BD!$W$3:$W$5001,BD!$B$3:$B$5001,$A295,BD!$A$3:$A$5001,_xlfn.MAXIFS(BD!$A$3:$A$5001,BD!$B$3:$B$5001,$A295,BD!$A$3:$A$5001,"&gt;="&amp;$F$8,BD!$A$3:$A$5001,"&lt;="&amp;$G$8,BD!$W$3:$W$5001,"&lt;&gt;"))))</f>
        <v/>
      </c>
      <c r="I295" s="43" t="str">
        <f>IF($A295="","",IF(COUNTIFS(BD!$B$3:$B$5001,$A295,BD!$A$3:$A$5001,"&gt;="&amp;$F$7,BD!$A$3:$A$5001,"&lt;="&amp;$G$7,BD!$Y$3:$Y$5001,"&lt;&gt;")=0,"",SUMIFS(BD!$Y$3:$Y$5001,BD!$B$3:$B$5001,$A295,BD!$A$3:$A$5001,_xlfn.MAXIFS(BD!$A$3:$A$5001,BD!$B$3:$B$5001,$A295,BD!$A$3:$A$5001,"&gt;="&amp;$F$7,BD!$A$3:$A$5001,"&lt;="&amp;$G$7,BD!$Y$3:$Y$5001,"&lt;&gt;"))))</f>
        <v/>
      </c>
      <c r="J295" s="43" t="str">
        <f>IF($A295="","",IF(COUNTIFS(BD!$B$3:$B$5001,$A295,BD!$A$3:$A$5001,"&gt;="&amp;$F$8,BD!$A$3:$A$5001,"&lt;="&amp;$G$8,BD!$Y$3:$Y$5001,"&lt;&gt;")=0,"",SUMIFS(BD!$Y$3:$Y$5001,BD!$B$3:$B$5001,$A295,BD!$A$3:$A$5001,_xlfn.MAXIFS(BD!$A$3:$A$5001,BD!$B$3:$B$5001,$A295,BD!$A$3:$A$5001,"&gt;="&amp;$F$8,BD!$A$3:$A$5001,"&lt;="&amp;$G$8,BD!$Y$3:$Y$5001,"&lt;&gt;"))))</f>
        <v/>
      </c>
    </row>
    <row r="296">
      <c r="A296" s="65" t="str">
        <f>Config!$B$26&amp;""</f>
        <v/>
      </c>
      <c r="B296" s="38" t="str">
        <f>IF(Config!$C$26="","TPC",Config!$C$26)</f>
        <v>TPC</v>
      </c>
      <c r="C296" s="43" t="str">
        <f>IF($A296="","",IF(COUNTIFS(BD!$B$3:$B$5001,$A296,BD!$A$3:$A$5001,"&gt;="&amp;$F$7,BD!$A$3:$A$5001,"&lt;="&amp;$G$7,BD!$V$3:$V$5001,"&lt;&gt;")=0,"",SUMIFS(BD!$V$3:$V$5001,BD!$B$3:$B$5001,$A296,BD!$A$3:$A$5001,_xlfn.MAXIFS(BD!$A$3:$A$5001,BD!$B$3:$B$5001,$A296,BD!$A$3:$A$5001,"&gt;="&amp;$F$7,BD!$A$3:$A$5001,"&lt;="&amp;$G$7,BD!$V$3:$V$5001,"&lt;&gt;"))))</f>
        <v/>
      </c>
      <c r="D296" s="43" t="str">
        <f>IF($A296="","",IF(COUNTIFS(BD!$B$3:$B$5001,$A296,BD!$A$3:$A$5001,"&gt;="&amp;$F$8,BD!$A$3:$A$5001,"&lt;="&amp;$G$8,BD!$V$3:$V$5001,"&lt;&gt;")=0,"",SUMIFS(BD!$V$3:$V$5001,BD!$B$3:$B$5001,$A296,BD!$A$3:$A$5001,_xlfn.MAXIFS(BD!$A$3:$A$5001,BD!$B$3:$B$5001,$A296,BD!$A$3:$A$5001,"&gt;="&amp;$F$8,BD!$A$3:$A$5001,"&lt;="&amp;$G$8,BD!$V$3:$V$5001,"&lt;&gt;"))))</f>
        <v/>
      </c>
      <c r="E296" s="43" t="str">
        <f>IF($A296="","",IF(COUNTIFS(BD!$B$3:$B$5001,$A296,BD!$A$3:$A$5001,"&gt;="&amp;$F$7,BD!$A$3:$A$5001,"&lt;="&amp;$G$7,BD!$X$3:$X$5001,"&lt;&gt;")=0,"",SUMIFS(BD!$X$3:$X$5001,BD!$B$3:$B$5001,$A296,BD!$A$3:$A$5001,_xlfn.MAXIFS(BD!$A$3:$A$5001,BD!$B$3:$B$5001,$A296,BD!$A$3:$A$5001,"&gt;="&amp;$F$7,BD!$A$3:$A$5001,"&lt;="&amp;$G$7,BD!$X$3:$X$5001,"&lt;&gt;"))))</f>
        <v/>
      </c>
      <c r="F296" s="43" t="str">
        <f>IF($A296="","",IF(COUNTIFS(BD!$B$3:$B$5001,$A296,BD!$A$3:$A$5001,"&gt;="&amp;$F$8,BD!$A$3:$A$5001,"&lt;="&amp;$G$8,BD!$X$3:$X$5001,"&lt;&gt;")=0,"",SUMIFS(BD!$X$3:$X$5001,BD!$B$3:$B$5001,$A296,BD!$A$3:$A$5001,_xlfn.MAXIFS(BD!$A$3:$A$5001,BD!$B$3:$B$5001,$A296,BD!$A$3:$A$5001,"&gt;="&amp;$F$8,BD!$A$3:$A$5001,"&lt;="&amp;$G$8,BD!$X$3:$X$5001,"&lt;&gt;"))))</f>
        <v/>
      </c>
      <c r="G296" s="43" t="str">
        <f>IF($A296="","",IF(COUNTIFS(BD!$B$3:$B$5001,$A296,BD!$A$3:$A$5001,"&gt;="&amp;$F$7,BD!$A$3:$A$5001,"&lt;="&amp;$G$7,BD!$W$3:$W$5001,"&lt;&gt;")=0,"",SUMIFS(BD!$W$3:$W$5001,BD!$B$3:$B$5001,$A296,BD!$A$3:$A$5001,_xlfn.MAXIFS(BD!$A$3:$A$5001,BD!$B$3:$B$5001,$A296,BD!$A$3:$A$5001,"&gt;="&amp;$F$7,BD!$A$3:$A$5001,"&lt;="&amp;$G$7,BD!$W$3:$W$5001,"&lt;&gt;"))))</f>
        <v/>
      </c>
      <c r="H296" s="43" t="str">
        <f>IF($A296="","",IF(COUNTIFS(BD!$B$3:$B$5001,$A296,BD!$A$3:$A$5001,"&gt;="&amp;$F$8,BD!$A$3:$A$5001,"&lt;="&amp;$G$8,BD!$W$3:$W$5001,"&lt;&gt;")=0,"",SUMIFS(BD!$W$3:$W$5001,BD!$B$3:$B$5001,$A296,BD!$A$3:$A$5001,_xlfn.MAXIFS(BD!$A$3:$A$5001,BD!$B$3:$B$5001,$A296,BD!$A$3:$A$5001,"&gt;="&amp;$F$8,BD!$A$3:$A$5001,"&lt;="&amp;$G$8,BD!$W$3:$W$5001,"&lt;&gt;"))))</f>
        <v/>
      </c>
      <c r="I296" s="43" t="str">
        <f>IF($A296="","",IF(COUNTIFS(BD!$B$3:$B$5001,$A296,BD!$A$3:$A$5001,"&gt;="&amp;$F$7,BD!$A$3:$A$5001,"&lt;="&amp;$G$7,BD!$Y$3:$Y$5001,"&lt;&gt;")=0,"",SUMIFS(BD!$Y$3:$Y$5001,BD!$B$3:$B$5001,$A296,BD!$A$3:$A$5001,_xlfn.MAXIFS(BD!$A$3:$A$5001,BD!$B$3:$B$5001,$A296,BD!$A$3:$A$5001,"&gt;="&amp;$F$7,BD!$A$3:$A$5001,"&lt;="&amp;$G$7,BD!$Y$3:$Y$5001,"&lt;&gt;"))))</f>
        <v/>
      </c>
      <c r="J296" s="43" t="str">
        <f>IF($A296="","",IF(COUNTIFS(BD!$B$3:$B$5001,$A296,BD!$A$3:$A$5001,"&gt;="&amp;$F$8,BD!$A$3:$A$5001,"&lt;="&amp;$G$8,BD!$Y$3:$Y$5001,"&lt;&gt;")=0,"",SUMIFS(BD!$Y$3:$Y$5001,BD!$B$3:$B$5001,$A296,BD!$A$3:$A$5001,_xlfn.MAXIFS(BD!$A$3:$A$5001,BD!$B$3:$B$5001,$A296,BD!$A$3:$A$5001,"&gt;="&amp;$F$8,BD!$A$3:$A$5001,"&lt;="&amp;$G$8,BD!$Y$3:$Y$5001,"&lt;&gt;"))))</f>
        <v/>
      </c>
    </row>
    <row r="297">
      <c r="A297" s="65" t="str">
        <f>Config!$B$27&amp;""</f>
        <v/>
      </c>
      <c r="B297" s="38" t="str">
        <f>IF(Config!$C$27="","TPC",Config!$C$27)</f>
        <v>TPC</v>
      </c>
      <c r="C297" s="43" t="str">
        <f>IF($A297="","",IF(COUNTIFS(BD!$B$3:$B$5001,$A297,BD!$A$3:$A$5001,"&gt;="&amp;$F$7,BD!$A$3:$A$5001,"&lt;="&amp;$G$7,BD!$V$3:$V$5001,"&lt;&gt;")=0,"",SUMIFS(BD!$V$3:$V$5001,BD!$B$3:$B$5001,$A297,BD!$A$3:$A$5001,_xlfn.MAXIFS(BD!$A$3:$A$5001,BD!$B$3:$B$5001,$A297,BD!$A$3:$A$5001,"&gt;="&amp;$F$7,BD!$A$3:$A$5001,"&lt;="&amp;$G$7,BD!$V$3:$V$5001,"&lt;&gt;"))))</f>
        <v/>
      </c>
      <c r="D297" s="43" t="str">
        <f>IF($A297="","",IF(COUNTIFS(BD!$B$3:$B$5001,$A297,BD!$A$3:$A$5001,"&gt;="&amp;$F$8,BD!$A$3:$A$5001,"&lt;="&amp;$G$8,BD!$V$3:$V$5001,"&lt;&gt;")=0,"",SUMIFS(BD!$V$3:$V$5001,BD!$B$3:$B$5001,$A297,BD!$A$3:$A$5001,_xlfn.MAXIFS(BD!$A$3:$A$5001,BD!$B$3:$B$5001,$A297,BD!$A$3:$A$5001,"&gt;="&amp;$F$8,BD!$A$3:$A$5001,"&lt;="&amp;$G$8,BD!$V$3:$V$5001,"&lt;&gt;"))))</f>
        <v/>
      </c>
      <c r="E297" s="43" t="str">
        <f>IF($A297="","",IF(COUNTIFS(BD!$B$3:$B$5001,$A297,BD!$A$3:$A$5001,"&gt;="&amp;$F$7,BD!$A$3:$A$5001,"&lt;="&amp;$G$7,BD!$X$3:$X$5001,"&lt;&gt;")=0,"",SUMIFS(BD!$X$3:$X$5001,BD!$B$3:$B$5001,$A297,BD!$A$3:$A$5001,_xlfn.MAXIFS(BD!$A$3:$A$5001,BD!$B$3:$B$5001,$A297,BD!$A$3:$A$5001,"&gt;="&amp;$F$7,BD!$A$3:$A$5001,"&lt;="&amp;$G$7,BD!$X$3:$X$5001,"&lt;&gt;"))))</f>
        <v/>
      </c>
      <c r="F297" s="43" t="str">
        <f>IF($A297="","",IF(COUNTIFS(BD!$B$3:$B$5001,$A297,BD!$A$3:$A$5001,"&gt;="&amp;$F$8,BD!$A$3:$A$5001,"&lt;="&amp;$G$8,BD!$X$3:$X$5001,"&lt;&gt;")=0,"",SUMIFS(BD!$X$3:$X$5001,BD!$B$3:$B$5001,$A297,BD!$A$3:$A$5001,_xlfn.MAXIFS(BD!$A$3:$A$5001,BD!$B$3:$B$5001,$A297,BD!$A$3:$A$5001,"&gt;="&amp;$F$8,BD!$A$3:$A$5001,"&lt;="&amp;$G$8,BD!$X$3:$X$5001,"&lt;&gt;"))))</f>
        <v/>
      </c>
      <c r="G297" s="43" t="str">
        <f>IF($A297="","",IF(COUNTIFS(BD!$B$3:$B$5001,$A297,BD!$A$3:$A$5001,"&gt;="&amp;$F$7,BD!$A$3:$A$5001,"&lt;="&amp;$G$7,BD!$W$3:$W$5001,"&lt;&gt;")=0,"",SUMIFS(BD!$W$3:$W$5001,BD!$B$3:$B$5001,$A297,BD!$A$3:$A$5001,_xlfn.MAXIFS(BD!$A$3:$A$5001,BD!$B$3:$B$5001,$A297,BD!$A$3:$A$5001,"&gt;="&amp;$F$7,BD!$A$3:$A$5001,"&lt;="&amp;$G$7,BD!$W$3:$W$5001,"&lt;&gt;"))))</f>
        <v/>
      </c>
      <c r="H297" s="43" t="str">
        <f>IF($A297="","",IF(COUNTIFS(BD!$B$3:$B$5001,$A297,BD!$A$3:$A$5001,"&gt;="&amp;$F$8,BD!$A$3:$A$5001,"&lt;="&amp;$G$8,BD!$W$3:$W$5001,"&lt;&gt;")=0,"",SUMIFS(BD!$W$3:$W$5001,BD!$B$3:$B$5001,$A297,BD!$A$3:$A$5001,_xlfn.MAXIFS(BD!$A$3:$A$5001,BD!$B$3:$B$5001,$A297,BD!$A$3:$A$5001,"&gt;="&amp;$F$8,BD!$A$3:$A$5001,"&lt;="&amp;$G$8,BD!$W$3:$W$5001,"&lt;&gt;"))))</f>
        <v/>
      </c>
      <c r="I297" s="43" t="str">
        <f>IF($A297="","",IF(COUNTIFS(BD!$B$3:$B$5001,$A297,BD!$A$3:$A$5001,"&gt;="&amp;$F$7,BD!$A$3:$A$5001,"&lt;="&amp;$G$7,BD!$Y$3:$Y$5001,"&lt;&gt;")=0,"",SUMIFS(BD!$Y$3:$Y$5001,BD!$B$3:$B$5001,$A297,BD!$A$3:$A$5001,_xlfn.MAXIFS(BD!$A$3:$A$5001,BD!$B$3:$B$5001,$A297,BD!$A$3:$A$5001,"&gt;="&amp;$F$7,BD!$A$3:$A$5001,"&lt;="&amp;$G$7,BD!$Y$3:$Y$5001,"&lt;&gt;"))))</f>
        <v/>
      </c>
      <c r="J297" s="43" t="str">
        <f>IF($A297="","",IF(COUNTIFS(BD!$B$3:$B$5001,$A297,BD!$A$3:$A$5001,"&gt;="&amp;$F$8,BD!$A$3:$A$5001,"&lt;="&amp;$G$8,BD!$Y$3:$Y$5001,"&lt;&gt;")=0,"",SUMIFS(BD!$Y$3:$Y$5001,BD!$B$3:$B$5001,$A297,BD!$A$3:$A$5001,_xlfn.MAXIFS(BD!$A$3:$A$5001,BD!$B$3:$B$5001,$A297,BD!$A$3:$A$5001,"&gt;="&amp;$F$8,BD!$A$3:$A$5001,"&lt;="&amp;$G$8,BD!$Y$3:$Y$5001,"&lt;&gt;"))))</f>
        <v/>
      </c>
    </row>
    <row r="298">
      <c r="A298" s="65" t="str">
        <f>Config!$B$28&amp;""</f>
        <v/>
      </c>
      <c r="B298" s="38" t="str">
        <f>IF(Config!$C$28="","TPC",Config!$C$28)</f>
        <v>TPC</v>
      </c>
      <c r="C298" s="43" t="str">
        <f>IF($A298="","",IF(COUNTIFS(BD!$B$3:$B$5001,$A298,BD!$A$3:$A$5001,"&gt;="&amp;$F$7,BD!$A$3:$A$5001,"&lt;="&amp;$G$7,BD!$V$3:$V$5001,"&lt;&gt;")=0,"",SUMIFS(BD!$V$3:$V$5001,BD!$B$3:$B$5001,$A298,BD!$A$3:$A$5001,_xlfn.MAXIFS(BD!$A$3:$A$5001,BD!$B$3:$B$5001,$A298,BD!$A$3:$A$5001,"&gt;="&amp;$F$7,BD!$A$3:$A$5001,"&lt;="&amp;$G$7,BD!$V$3:$V$5001,"&lt;&gt;"))))</f>
        <v/>
      </c>
      <c r="D298" s="43" t="str">
        <f>IF($A298="","",IF(COUNTIFS(BD!$B$3:$B$5001,$A298,BD!$A$3:$A$5001,"&gt;="&amp;$F$8,BD!$A$3:$A$5001,"&lt;="&amp;$G$8,BD!$V$3:$V$5001,"&lt;&gt;")=0,"",SUMIFS(BD!$V$3:$V$5001,BD!$B$3:$B$5001,$A298,BD!$A$3:$A$5001,_xlfn.MAXIFS(BD!$A$3:$A$5001,BD!$B$3:$B$5001,$A298,BD!$A$3:$A$5001,"&gt;="&amp;$F$8,BD!$A$3:$A$5001,"&lt;="&amp;$G$8,BD!$V$3:$V$5001,"&lt;&gt;"))))</f>
        <v/>
      </c>
      <c r="E298" s="43" t="str">
        <f>IF($A298="","",IF(COUNTIFS(BD!$B$3:$B$5001,$A298,BD!$A$3:$A$5001,"&gt;="&amp;$F$7,BD!$A$3:$A$5001,"&lt;="&amp;$G$7,BD!$X$3:$X$5001,"&lt;&gt;")=0,"",SUMIFS(BD!$X$3:$X$5001,BD!$B$3:$B$5001,$A298,BD!$A$3:$A$5001,_xlfn.MAXIFS(BD!$A$3:$A$5001,BD!$B$3:$B$5001,$A298,BD!$A$3:$A$5001,"&gt;="&amp;$F$7,BD!$A$3:$A$5001,"&lt;="&amp;$G$7,BD!$X$3:$X$5001,"&lt;&gt;"))))</f>
        <v/>
      </c>
      <c r="F298" s="43" t="str">
        <f>IF($A298="","",IF(COUNTIFS(BD!$B$3:$B$5001,$A298,BD!$A$3:$A$5001,"&gt;="&amp;$F$8,BD!$A$3:$A$5001,"&lt;="&amp;$G$8,BD!$X$3:$X$5001,"&lt;&gt;")=0,"",SUMIFS(BD!$X$3:$X$5001,BD!$B$3:$B$5001,$A298,BD!$A$3:$A$5001,_xlfn.MAXIFS(BD!$A$3:$A$5001,BD!$B$3:$B$5001,$A298,BD!$A$3:$A$5001,"&gt;="&amp;$F$8,BD!$A$3:$A$5001,"&lt;="&amp;$G$8,BD!$X$3:$X$5001,"&lt;&gt;"))))</f>
        <v/>
      </c>
      <c r="G298" s="43" t="str">
        <f>IF($A298="","",IF(COUNTIFS(BD!$B$3:$B$5001,$A298,BD!$A$3:$A$5001,"&gt;="&amp;$F$7,BD!$A$3:$A$5001,"&lt;="&amp;$G$7,BD!$W$3:$W$5001,"&lt;&gt;")=0,"",SUMIFS(BD!$W$3:$W$5001,BD!$B$3:$B$5001,$A298,BD!$A$3:$A$5001,_xlfn.MAXIFS(BD!$A$3:$A$5001,BD!$B$3:$B$5001,$A298,BD!$A$3:$A$5001,"&gt;="&amp;$F$7,BD!$A$3:$A$5001,"&lt;="&amp;$G$7,BD!$W$3:$W$5001,"&lt;&gt;"))))</f>
        <v/>
      </c>
      <c r="H298" s="43" t="str">
        <f>IF($A298="","",IF(COUNTIFS(BD!$B$3:$B$5001,$A298,BD!$A$3:$A$5001,"&gt;="&amp;$F$8,BD!$A$3:$A$5001,"&lt;="&amp;$G$8,BD!$W$3:$W$5001,"&lt;&gt;")=0,"",SUMIFS(BD!$W$3:$W$5001,BD!$B$3:$B$5001,$A298,BD!$A$3:$A$5001,_xlfn.MAXIFS(BD!$A$3:$A$5001,BD!$B$3:$B$5001,$A298,BD!$A$3:$A$5001,"&gt;="&amp;$F$8,BD!$A$3:$A$5001,"&lt;="&amp;$G$8,BD!$W$3:$W$5001,"&lt;&gt;"))))</f>
        <v/>
      </c>
      <c r="I298" s="43" t="str">
        <f>IF($A298="","",IF(COUNTIFS(BD!$B$3:$B$5001,$A298,BD!$A$3:$A$5001,"&gt;="&amp;$F$7,BD!$A$3:$A$5001,"&lt;="&amp;$G$7,BD!$Y$3:$Y$5001,"&lt;&gt;")=0,"",SUMIFS(BD!$Y$3:$Y$5001,BD!$B$3:$B$5001,$A298,BD!$A$3:$A$5001,_xlfn.MAXIFS(BD!$A$3:$A$5001,BD!$B$3:$B$5001,$A298,BD!$A$3:$A$5001,"&gt;="&amp;$F$7,BD!$A$3:$A$5001,"&lt;="&amp;$G$7,BD!$Y$3:$Y$5001,"&lt;&gt;"))))</f>
        <v/>
      </c>
      <c r="J298" s="43" t="str">
        <f>IF($A298="","",IF(COUNTIFS(BD!$B$3:$B$5001,$A298,BD!$A$3:$A$5001,"&gt;="&amp;$F$8,BD!$A$3:$A$5001,"&lt;="&amp;$G$8,BD!$Y$3:$Y$5001,"&lt;&gt;")=0,"",SUMIFS(BD!$Y$3:$Y$5001,BD!$B$3:$B$5001,$A298,BD!$A$3:$A$5001,_xlfn.MAXIFS(BD!$A$3:$A$5001,BD!$B$3:$B$5001,$A298,BD!$A$3:$A$5001,"&gt;="&amp;$F$8,BD!$A$3:$A$5001,"&lt;="&amp;$G$8,BD!$Y$3:$Y$5001,"&lt;&gt;"))))</f>
        <v/>
      </c>
    </row>
    <row r="299">
      <c r="A299" s="65" t="str">
        <f>Config!$B$29&amp;""</f>
        <v/>
      </c>
      <c r="B299" s="38" t="str">
        <f>IF(Config!$C$29="","TPC",Config!$C$29)</f>
        <v>TPC</v>
      </c>
      <c r="C299" s="43" t="str">
        <f>IF($A299="","",IF(COUNTIFS(BD!$B$3:$B$5001,$A299,BD!$A$3:$A$5001,"&gt;="&amp;$F$7,BD!$A$3:$A$5001,"&lt;="&amp;$G$7,BD!$V$3:$V$5001,"&lt;&gt;")=0,"",SUMIFS(BD!$V$3:$V$5001,BD!$B$3:$B$5001,$A299,BD!$A$3:$A$5001,_xlfn.MAXIFS(BD!$A$3:$A$5001,BD!$B$3:$B$5001,$A299,BD!$A$3:$A$5001,"&gt;="&amp;$F$7,BD!$A$3:$A$5001,"&lt;="&amp;$G$7,BD!$V$3:$V$5001,"&lt;&gt;"))))</f>
        <v/>
      </c>
      <c r="D299" s="43" t="str">
        <f>IF($A299="","",IF(COUNTIFS(BD!$B$3:$B$5001,$A299,BD!$A$3:$A$5001,"&gt;="&amp;$F$8,BD!$A$3:$A$5001,"&lt;="&amp;$G$8,BD!$V$3:$V$5001,"&lt;&gt;")=0,"",SUMIFS(BD!$V$3:$V$5001,BD!$B$3:$B$5001,$A299,BD!$A$3:$A$5001,_xlfn.MAXIFS(BD!$A$3:$A$5001,BD!$B$3:$B$5001,$A299,BD!$A$3:$A$5001,"&gt;="&amp;$F$8,BD!$A$3:$A$5001,"&lt;="&amp;$G$8,BD!$V$3:$V$5001,"&lt;&gt;"))))</f>
        <v/>
      </c>
      <c r="E299" s="43" t="str">
        <f>IF($A299="","",IF(COUNTIFS(BD!$B$3:$B$5001,$A299,BD!$A$3:$A$5001,"&gt;="&amp;$F$7,BD!$A$3:$A$5001,"&lt;="&amp;$G$7,BD!$X$3:$X$5001,"&lt;&gt;")=0,"",SUMIFS(BD!$X$3:$X$5001,BD!$B$3:$B$5001,$A299,BD!$A$3:$A$5001,_xlfn.MAXIFS(BD!$A$3:$A$5001,BD!$B$3:$B$5001,$A299,BD!$A$3:$A$5001,"&gt;="&amp;$F$7,BD!$A$3:$A$5001,"&lt;="&amp;$G$7,BD!$X$3:$X$5001,"&lt;&gt;"))))</f>
        <v/>
      </c>
      <c r="F299" s="43" t="str">
        <f>IF($A299="","",IF(COUNTIFS(BD!$B$3:$B$5001,$A299,BD!$A$3:$A$5001,"&gt;="&amp;$F$8,BD!$A$3:$A$5001,"&lt;="&amp;$G$8,BD!$X$3:$X$5001,"&lt;&gt;")=0,"",SUMIFS(BD!$X$3:$X$5001,BD!$B$3:$B$5001,$A299,BD!$A$3:$A$5001,_xlfn.MAXIFS(BD!$A$3:$A$5001,BD!$B$3:$B$5001,$A299,BD!$A$3:$A$5001,"&gt;="&amp;$F$8,BD!$A$3:$A$5001,"&lt;="&amp;$G$8,BD!$X$3:$X$5001,"&lt;&gt;"))))</f>
        <v/>
      </c>
      <c r="G299" s="43" t="str">
        <f>IF($A299="","",IF(COUNTIFS(BD!$B$3:$B$5001,$A299,BD!$A$3:$A$5001,"&gt;="&amp;$F$7,BD!$A$3:$A$5001,"&lt;="&amp;$G$7,BD!$W$3:$W$5001,"&lt;&gt;")=0,"",SUMIFS(BD!$W$3:$W$5001,BD!$B$3:$B$5001,$A299,BD!$A$3:$A$5001,_xlfn.MAXIFS(BD!$A$3:$A$5001,BD!$B$3:$B$5001,$A299,BD!$A$3:$A$5001,"&gt;="&amp;$F$7,BD!$A$3:$A$5001,"&lt;="&amp;$G$7,BD!$W$3:$W$5001,"&lt;&gt;"))))</f>
        <v/>
      </c>
      <c r="H299" s="43" t="str">
        <f>IF($A299="","",IF(COUNTIFS(BD!$B$3:$B$5001,$A299,BD!$A$3:$A$5001,"&gt;="&amp;$F$8,BD!$A$3:$A$5001,"&lt;="&amp;$G$8,BD!$W$3:$W$5001,"&lt;&gt;")=0,"",SUMIFS(BD!$W$3:$W$5001,BD!$B$3:$B$5001,$A299,BD!$A$3:$A$5001,_xlfn.MAXIFS(BD!$A$3:$A$5001,BD!$B$3:$B$5001,$A299,BD!$A$3:$A$5001,"&gt;="&amp;$F$8,BD!$A$3:$A$5001,"&lt;="&amp;$G$8,BD!$W$3:$W$5001,"&lt;&gt;"))))</f>
        <v/>
      </c>
      <c r="I299" s="43" t="str">
        <f>IF($A299="","",IF(COUNTIFS(BD!$B$3:$B$5001,$A299,BD!$A$3:$A$5001,"&gt;="&amp;$F$7,BD!$A$3:$A$5001,"&lt;="&amp;$G$7,BD!$Y$3:$Y$5001,"&lt;&gt;")=0,"",SUMIFS(BD!$Y$3:$Y$5001,BD!$B$3:$B$5001,$A299,BD!$A$3:$A$5001,_xlfn.MAXIFS(BD!$A$3:$A$5001,BD!$B$3:$B$5001,$A299,BD!$A$3:$A$5001,"&gt;="&amp;$F$7,BD!$A$3:$A$5001,"&lt;="&amp;$G$7,BD!$Y$3:$Y$5001,"&lt;&gt;"))))</f>
        <v/>
      </c>
      <c r="J299" s="43" t="str">
        <f>IF($A299="","",IF(COUNTIFS(BD!$B$3:$B$5001,$A299,BD!$A$3:$A$5001,"&gt;="&amp;$F$8,BD!$A$3:$A$5001,"&lt;="&amp;$G$8,BD!$Y$3:$Y$5001,"&lt;&gt;")=0,"",SUMIFS(BD!$Y$3:$Y$5001,BD!$B$3:$B$5001,$A299,BD!$A$3:$A$5001,_xlfn.MAXIFS(BD!$A$3:$A$5001,BD!$B$3:$B$5001,$A299,BD!$A$3:$A$5001,"&gt;="&amp;$F$8,BD!$A$3:$A$5001,"&lt;="&amp;$G$8,BD!$Y$3:$Y$5001,"&lt;&gt;"))))</f>
        <v/>
      </c>
    </row>
    <row r="301">
      <c r="A301" s="19" t="inlineStr">
        <is>
          <t xml:space="preserve">INDICADORES DO PERÍODO (cards do Dashboard)</t>
        </is>
      </c>
    </row>
    <row r="302">
      <c r="A302" s="37" t="inlineStr">
        <is>
          <t xml:space="preserve">Indicador</t>
        </is>
      </c>
      <c r="B302" s="37" t="inlineStr">
        <is>
          <t xml:space="preserve">Período</t>
        </is>
      </c>
      <c r="C302" s="37" t="inlineStr">
        <is>
          <t xml:space="preserve">Período anterior</t>
        </is>
      </c>
      <c r="D302" s="37" t="inlineStr">
        <is>
          <t xml:space="preserve">Variação</t>
        </is>
      </c>
    </row>
    <row r="303">
      <c r="A303" s="29" t="inlineStr">
        <is>
          <t xml:space="preserve">IN · Veículos Recebidos</t>
        </is>
      </c>
      <c r="B303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303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303" s="49" t="str">
        <f>IF(AND(ISNUMBER(B303),ISNUMBER(C303)),IF(C303&lt;&gt;0,B303/C303-1,""),"")</f>
        <v/>
      </c>
    </row>
    <row r="304">
      <c r="A304" s="29" t="inlineStr">
        <is>
          <t xml:space="preserve">IN · Pallets Movimentados</t>
        </is>
      </c>
      <c r="B304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304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304" s="49" t="str">
        <f>IF(AND(ISNUMBER(B304),ISNUMBER(C304)),IF(C304&lt;&gt;0,B304/C304-1,""),"")</f>
        <v/>
      </c>
    </row>
    <row r="305">
      <c r="A305" s="29" t="inlineStr">
        <is>
          <t xml:space="preserve">IN · Toneladas Movimentadas</t>
        </is>
      </c>
      <c r="B305" s="61">
        <f>IF($B$2="Todos",SUMIFS(BD!$E$3:$E$5001,BD!$A$3:$A$5001,"&gt;="&amp;$F$7,BD!$A$3:$A$5001,"&lt;="&amp;$G$7),SUMIFS(BD!$E$3:$E$5001,BD!$A$3:$A$5001,"&gt;="&amp;$F$7,BD!$A$3:$A$5001,"&lt;="&amp;$G$7,BD!$B$3:$B$5001,$D$2))</f>
        <v>0</v>
      </c>
      <c r="C305" s="61">
        <f>IF($B$2="Todos",SUMIFS(BD!$E$3:$E$5001,BD!$A$3:$A$5001,"&gt;="&amp;$F$8,BD!$A$3:$A$5001,"&lt;="&amp;$G$8),SUMIFS(BD!$E$3:$E$5001,BD!$A$3:$A$5001,"&gt;="&amp;$F$8,BD!$A$3:$A$5001,"&lt;="&amp;$G$8,BD!$B$3:$B$5001,$D$2))</f>
        <v>0</v>
      </c>
      <c r="D305" s="49" t="str">
        <f>IF(AND(ISNUMBER(B305),ISNUMBER(C305)),IF(C305&lt;&gt;0,B305/C305-1,""),"")</f>
        <v/>
      </c>
    </row>
    <row r="306">
      <c r="A306" s="29" t="inlineStr">
        <is>
          <t xml:space="preserve">OUT · Veículos Expedidos</t>
        </is>
      </c>
      <c r="B306" s="32">
        <f>IF($B$2="Todos",SUMIFS(BD!$L$3:$L$5001,BD!$A$3:$A$5001,"&gt;="&amp;$F$7,BD!$A$3:$A$5001,"&lt;="&amp;$G$7),SUMIFS(BD!$L$3:$L$5001,BD!$A$3:$A$5001,"&gt;="&amp;$F$7,BD!$A$3:$A$5001,"&lt;="&amp;$G$7,BD!$B$3:$B$5001,$D$2))</f>
        <v>0</v>
      </c>
      <c r="C306" s="32">
        <f>IF($B$2="Todos",SUMIFS(BD!$L$3:$L$5001,BD!$A$3:$A$5001,"&gt;="&amp;$F$8,BD!$A$3:$A$5001,"&lt;="&amp;$G$8),SUMIFS(BD!$L$3:$L$5001,BD!$A$3:$A$5001,"&gt;="&amp;$F$8,BD!$A$3:$A$5001,"&lt;="&amp;$G$8,BD!$B$3:$B$5001,$D$2))</f>
        <v>0</v>
      </c>
      <c r="D306" s="49" t="str">
        <f>IF(AND(ISNUMBER(B306),ISNUMBER(C306)),IF(C306&lt;&gt;0,B306/C306-1,""),"")</f>
        <v/>
      </c>
    </row>
    <row r="307">
      <c r="A307" s="29" t="inlineStr">
        <is>
          <t xml:space="preserve">OUT · Pallets Movimentados</t>
        </is>
      </c>
      <c r="B307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307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307" s="49" t="str">
        <f>IF(AND(ISNUMBER(B307),ISNUMBER(C307)),IF(C307&lt;&gt;0,B307/C307-1,""),"")</f>
        <v/>
      </c>
    </row>
    <row r="308">
      <c r="A308" s="29" t="inlineStr">
        <is>
          <t xml:space="preserve">OUT · Toneladas Movimentadas</t>
        </is>
      </c>
      <c r="B308" s="61">
        <f>IF($B$2="Todos",SUMIFS(BD!$S$3:$S$5001,BD!$A$3:$A$5001,"&gt;="&amp;$F$7,BD!$A$3:$A$5001,"&lt;="&amp;$G$7),SUMIFS(BD!$S$3:$S$5001,BD!$A$3:$A$5001,"&gt;="&amp;$F$7,BD!$A$3:$A$5001,"&lt;="&amp;$G$7,BD!$B$3:$B$5001,$D$2))</f>
        <v>0</v>
      </c>
      <c r="C308" s="61">
        <f>IF($B$2="Todos",SUMIFS(BD!$S$3:$S$5001,BD!$A$3:$A$5001,"&gt;="&amp;$F$8,BD!$A$3:$A$5001,"&lt;="&amp;$G$8),SUMIFS(BD!$S$3:$S$5001,BD!$A$3:$A$5001,"&gt;="&amp;$F$8,BD!$A$3:$A$5001,"&lt;="&amp;$G$8,BD!$B$3:$B$5001,$D$2))</f>
        <v>0</v>
      </c>
      <c r="D308" s="49" t="str">
        <f>IF(AND(ISNUMBER(B308),ISNUMBER(C308)),IF(C308&lt;&gt;0,B308/C308-1,""),"")</f>
        <v/>
      </c>
    </row>
    <row r="309">
      <c r="A309" s="29" t="inlineStr">
        <is>
          <t xml:space="preserve">NC · Incidentes</t>
        </is>
      </c>
      <c r="B309" s="32">
        <f>IF($B$2="Todos",SUMIFS(BD!$T$3:$T$5001,BD!$A$3:$A$5001,"&gt;="&amp;$F$7,BD!$A$3:$A$5001,"&lt;="&amp;$G$7),SUMIFS(BD!$T$3:$T$5001,BD!$A$3:$A$5001,"&gt;="&amp;$F$7,BD!$A$3:$A$5001,"&lt;="&amp;$G$7,BD!$B$3:$B$5001,$D$2))</f>
        <v>0</v>
      </c>
      <c r="C309" s="32">
        <f>IF($B$2="Todos",SUMIFS(BD!$T$3:$T$5001,BD!$A$3:$A$5001,"&gt;="&amp;$F$8,BD!$A$3:$A$5001,"&lt;="&amp;$G$8),SUMIFS(BD!$T$3:$T$5001,BD!$A$3:$A$5001,"&gt;="&amp;$F$8,BD!$A$3:$A$5001,"&lt;="&amp;$G$8,BD!$B$3:$B$5001,$D$2))</f>
        <v>0</v>
      </c>
      <c r="D309" s="49" t="str">
        <f>IF(AND(ISNUMBER(B309),ISNUMBER(C309)),IF(C309&lt;&gt;0,B309/C309-1,""),"")</f>
        <v/>
      </c>
    </row>
    <row r="310">
      <c r="A310" s="29" t="inlineStr">
        <is>
          <t xml:space="preserve">NC · No show</t>
        </is>
      </c>
      <c r="B310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310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310" s="49" t="str">
        <f>IF(AND(ISNUMBER(B310),ISNUMBER(C310)),IF(C310&lt;&gt;0,B310/C310-1,""),"")</f>
        <v/>
      </c>
    </row>
    <row r="311">
      <c r="A311" s="29" t="inlineStr">
        <is>
          <t xml:space="preserve">NC · Backlog</t>
        </is>
      </c>
      <c r="B311" s="32" t="str">
        <f>IF($B$2="Todos",IF(COUNT($C$280:$C$299)=0,"",SUM($C$280:$C$299)),IFERROR(INDEX($C$280:$C$299,MATCH($D$2,$A$280:$A$299,0)),""))</f>
        <v/>
      </c>
      <c r="C311" s="32" t="str">
        <f>IF($B$2="Todos",IF(COUNT($D$280:$D$299)=0,"",SUM($D$280:$D$299)),IFERROR(INDEX($D$280:$D$299,MATCH($D$2,$A$280:$A$299,0)),""))</f>
        <v/>
      </c>
      <c r="D311" s="49" t="str">
        <f>IF(AND(ISNUMBER(B311),ISNUMBER(C311)),IF(C311&lt;&gt;0,B311/C311-1,""),"")</f>
        <v/>
      </c>
    </row>
    <row r="312">
      <c r="A312" s="29" t="inlineStr">
        <is>
          <t xml:space="preserve">OCUPAÇÃO (P.P) · Posições Ocupadas</t>
        </is>
      </c>
      <c r="B312" s="32" t="str">
        <f>IF($B$2="Todos",IF(COUNT($E$280:$E$299)=0,"",SUM($E$280:$E$299)),IFERROR(INDEX($E$280:$E$299,MATCH($D$2,$A$280:$A$299,0)),""))</f>
        <v/>
      </c>
      <c r="C312" s="32" t="str">
        <f>IF($B$2="Todos",IF(COUNT($F$280:$F$299)=0,"",SUM($F$280:$F$299)),IFERROR(INDEX($F$280:$F$299,MATCH($D$2,$A$280:$A$299,0)),""))</f>
        <v/>
      </c>
      <c r="D312" s="49" t="str">
        <f>IF(AND(ISNUMBER(B312),ISNUMBER(C312)),IF(C312&lt;&gt;0,B312/C312-1,""),"")</f>
        <v/>
      </c>
    </row>
    <row r="313">
      <c r="A313" s="29" t="inlineStr">
        <is>
          <t xml:space="preserve">OCUPAÇÃO (P.P) · Posições Disponíveis</t>
        </is>
      </c>
      <c r="B313" s="32" t="str">
        <f>IF(B312="","",IF($B$2="Todos",IF($B$4&gt;0,$B$4,IF($B$2="Todos",IF(COUNT($G$280:$G$299)=0,"",SUM($G$280:$G$299)),IFERROR(INDEX($G$280:$G$299,MATCH($D$2,$A$280:$A$299,0)),""))),IF($B$2="Todos",IF(COUNT($G$280:$G$299)=0,"",SUM($G$280:$G$299)),IFERROR(INDEX($G$280:$G$299,MATCH($D$2,$A$280:$A$299,0)),""))))</f>
        <v/>
      </c>
      <c r="C313" s="32" t="str">
        <f>IF(C312="","",IF($B$2="Todos",IF($B$4&gt;0,$B$4,IF($B$2="Todos",IF(COUNT($H$280:$H$299)=0,"",SUM($H$280:$H$299)),IFERROR(INDEX($H$280:$H$299,MATCH($D$2,$A$280:$A$299,0)),""))),IF($B$2="Todos",IF(COUNT($H$280:$H$299)=0,"",SUM($H$280:$H$299)),IFERROR(INDEX($H$280:$H$299,MATCH($D$2,$A$280:$A$299,0)),""))))</f>
        <v/>
      </c>
      <c r="D313" s="49" t="str">
        <f>IF(AND(ISNUMBER(B313),ISNUMBER(C313)),IF(C313&lt;&gt;0,B313/C313-1,""),"")</f>
        <v/>
      </c>
    </row>
    <row r="314">
      <c r="A314" s="29" t="inlineStr">
        <is>
          <t xml:space="preserve">OCUPAÇÃO (P.P) · Taxa de Ocupação</t>
        </is>
      </c>
      <c r="B314" s="49" t="str">
        <f>IF(AND(ISNUMBER(B312),ISNUMBER(B313)),IF(B313&gt;0,B312/B313,""),"")</f>
        <v/>
      </c>
      <c r="C314" s="49" t="str">
        <f>IF(AND(ISNUMBER(C312),ISNUMBER(C313)),IF(C313&gt;0,C312/C313,""),"")</f>
        <v/>
      </c>
      <c r="D314" s="49" t="str">
        <f>IF(AND(ISNUMBER(B314),ISNUMBER(C314)),IF(C314&lt;&gt;0,B314/C314-1,""),"")</f>
        <v/>
      </c>
    </row>
    <row r="315">
      <c r="A315" s="29" t="inlineStr">
        <is>
          <t xml:space="preserve">OCUPAÇÃO (P.P) · Ociosidade</t>
        </is>
      </c>
      <c r="B315" s="49" t="str">
        <f>IF(ISNUMBER(B314),1-B314,"")</f>
        <v/>
      </c>
      <c r="C315" s="49" t="str">
        <f>IF(ISNUMBER(C314),1-C314,"")</f>
        <v/>
      </c>
      <c r="D315" s="49" t="str">
        <f>IF(AND(ISNUMBER(B315),ISNUMBER(C315)),IF(C315&lt;&gt;0,B315/C315-1,""),"")</f>
        <v/>
      </c>
    </row>
    <row r="316">
      <c r="A316" s="29" t="inlineStr">
        <is>
          <t xml:space="preserve">GENTE · Efetivo Op.</t>
        </is>
      </c>
      <c r="B316" s="32" t="str">
        <f>IF($B$2="Todos",IF(COUNT($I$280:$I$299)=0,"",SUM($I$280:$I$299)),IFERROR(INDEX($I$280:$I$299,MATCH($D$2,$A$280:$A$299,0)),""))</f>
        <v/>
      </c>
      <c r="C316" s="32" t="str">
        <f>IF($B$2="Todos",IF(COUNT($J$280:$J$299)=0,"",SUM($J$280:$J$299)),IFERROR(INDEX($J$280:$J$299,MATCH($D$2,$A$280:$A$299,0)),""))</f>
        <v/>
      </c>
      <c r="D316" s="49" t="str">
        <f>IF(AND(ISNUMBER(B316),ISNUMBER(C316)),IF(C316&lt;&gt;0,B316/C316-1,""),"")</f>
        <v/>
      </c>
    </row>
    <row r="317">
      <c r="A317" s="29" t="inlineStr">
        <is>
          <t xml:space="preserve">GENTE · Homem-dia (soma do efetivo diário)</t>
        </is>
      </c>
      <c r="B317" s="32">
        <f>IF($B$2="Todos",SUMIFS(BD!$Y$3:$Y$5001,BD!$A$3:$A$5001,"&gt;="&amp;$F$7,BD!$A$3:$A$5001,"&lt;="&amp;$G$7),SUMIFS(BD!$Y$3:$Y$5001,BD!$A$3:$A$5001,"&gt;="&amp;$F$7,BD!$A$3:$A$5001,"&lt;="&amp;$G$7,BD!$B$3:$B$5001,$D$2))</f>
        <v>0</v>
      </c>
      <c r="C317" s="32">
        <f>IF($B$2="Todos",SUMIFS(BD!$Y$3:$Y$5001,BD!$A$3:$A$5001,"&gt;="&amp;$F$8,BD!$A$3:$A$5001,"&lt;="&amp;$G$8),SUMIFS(BD!$Y$3:$Y$5001,BD!$A$3:$A$5001,"&gt;="&amp;$F$8,BD!$A$3:$A$5001,"&lt;="&amp;$G$8,BD!$B$3:$B$5001,$D$2))</f>
        <v>0</v>
      </c>
      <c r="D317" s="49" t="str">
        <f>IF(AND(ISNUMBER(B317),ISNUMBER(C317)),IF(C317&lt;&gt;0,B317/C317-1,""),"")</f>
        <v/>
      </c>
    </row>
    <row r="318">
      <c r="A318" s="29" t="inlineStr">
        <is>
          <t xml:space="preserve">GENTE · Falta</t>
        </is>
      </c>
      <c r="B318" s="32">
        <f>IF($B$2="Todos",SUMIFS(BD!$Z$3:$Z$5001,BD!$A$3:$A$5001,"&gt;="&amp;$F$7,BD!$A$3:$A$5001,"&lt;="&amp;$G$7),SUMIFS(BD!$Z$3:$Z$5001,BD!$A$3:$A$5001,"&gt;="&amp;$F$7,BD!$A$3:$A$5001,"&lt;="&amp;$G$7,BD!$B$3:$B$5001,$D$2))</f>
        <v>0</v>
      </c>
      <c r="C318" s="32">
        <f>IF($B$2="Todos",SUMIFS(BD!$Z$3:$Z$5001,BD!$A$3:$A$5001,"&gt;="&amp;$F$8,BD!$A$3:$A$5001,"&lt;="&amp;$G$8),SUMIFS(BD!$Z$3:$Z$5001,BD!$A$3:$A$5001,"&gt;="&amp;$F$8,BD!$A$3:$A$5001,"&lt;="&amp;$G$8,BD!$B$3:$B$5001,$D$2))</f>
        <v>0</v>
      </c>
      <c r="D318" s="49" t="str">
        <f>IF(AND(ISNUMBER(B318),ISNUMBER(C318)),IF(C318&lt;&gt;0,B318/C318-1,""),"")</f>
        <v/>
      </c>
    </row>
    <row r="319">
      <c r="A319" s="29" t="inlineStr">
        <is>
          <t xml:space="preserve">GENTE · Absenteísmo (H/H) = faltas ÷ homem-dia</t>
        </is>
      </c>
      <c r="B319" s="49" t="str">
        <f>IF(N(B317)&gt;0,N(B318)/B317,"")</f>
        <v/>
      </c>
      <c r="C319" s="49" t="str">
        <f>IF(N(C317)&gt;0,N(C318)/C317,"")</f>
        <v/>
      </c>
      <c r="D319" s="49" t="str">
        <f>IF(AND(ISNUMBER(B319),ISNUMBER(C319)),IF(C319&lt;&gt;0,B319/C319-1,""),"")</f>
        <v/>
      </c>
    </row>
    <row r="320">
      <c r="A320" s="29" t="inlineStr">
        <is>
          <t xml:space="preserve">GENTE · Folga</t>
        </is>
      </c>
      <c r="B320" s="3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20" s="3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20" s="49" t="str">
        <f>IF(AND(ISNUMBER(B320),ISNUMBER(C320)),IF(C320&lt;&gt;0,B320/C320-1,""),"")</f>
        <v/>
      </c>
    </row>
    <row r="321">
      <c r="A321" s="29" t="inlineStr">
        <is>
          <t xml:space="preserve">GENTE · Férias</t>
        </is>
      </c>
      <c r="B321" s="3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21" s="3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21" s="49" t="str">
        <f>IF(AND(ISNUMBER(B321),ISNUMBER(C321)),IF(C321&lt;&gt;0,B321/C321-1,""),"")</f>
        <v/>
      </c>
    </row>
    <row r="322">
      <c r="A322" s="29" t="inlineStr">
        <is>
          <t xml:space="preserve">GENTE · Desligamento</t>
        </is>
      </c>
      <c r="B322" s="32">
        <f>IF($B$2="Todos",SUMIFS(BD!$AC$3:$AC$5001,BD!$A$3:$A$5001,"&gt;="&amp;$F$7,BD!$A$3:$A$5001,"&lt;="&amp;$G$7),SUMIFS(BD!$AC$3:$AC$5001,BD!$A$3:$A$5001,"&gt;="&amp;$F$7,BD!$A$3:$A$5001,"&lt;="&amp;$G$7,BD!$B$3:$B$5001,$D$2))</f>
        <v>0</v>
      </c>
      <c r="C322" s="32">
        <f>IF($B$2="Todos",SUMIFS(BD!$AC$3:$AC$5001,BD!$A$3:$A$5001,"&gt;="&amp;$F$8,BD!$A$3:$A$5001,"&lt;="&amp;$G$8),SUMIFS(BD!$AC$3:$AC$5001,BD!$A$3:$A$5001,"&gt;="&amp;$F$8,BD!$A$3:$A$5001,"&lt;="&amp;$G$8,BD!$B$3:$B$5001,$D$2))</f>
        <v>0</v>
      </c>
      <c r="D322" s="49" t="str">
        <f>IF(AND(ISNUMBER(B322),ISNUMBER(C322)),IF(C322&lt;&gt;0,B322/C322-1,""),"")</f>
        <v/>
      </c>
    </row>
    <row r="323">
      <c r="A323" s="29" t="inlineStr">
        <is>
          <t xml:space="preserve">GENTE · Turnover = desligamentos ÷ efetivo</t>
        </is>
      </c>
      <c r="B323" s="49" t="str">
        <f>IF(N(B316)&gt;0,N(B322)/B316,"")</f>
        <v/>
      </c>
      <c r="C323" s="49" t="str">
        <f>IF(N(C316)&gt;0,N(C322)/C316,"")</f>
        <v/>
      </c>
      <c r="D323" s="49" t="str">
        <f>IF(AND(ISNUMBER(B323),ISNUMBER(C323)),IF(C323&lt;&gt;0,B323/C323-1,""),"")</f>
        <v/>
      </c>
    </row>
    <row r="324">
      <c r="A324" s="29" t="inlineStr">
        <is>
          <t xml:space="preserve">GENTE · Desvios Comportamentais</t>
        </is>
      </c>
      <c r="B324" s="32">
        <f>IF($B$2="Todos",SUMIFS(BD!$AD$3:$AD$5001,BD!$A$3:$A$5001,"&gt;="&amp;$F$7,BD!$A$3:$A$5001,"&lt;="&amp;$G$7),SUMIFS(BD!$AD$3:$AD$5001,BD!$A$3:$A$5001,"&gt;="&amp;$F$7,BD!$A$3:$A$5001,"&lt;="&amp;$G$7,BD!$B$3:$B$5001,$D$2))</f>
        <v>0</v>
      </c>
      <c r="C324" s="32">
        <f>IF($B$2="Todos",SUMIFS(BD!$AD$3:$AD$5001,BD!$A$3:$A$5001,"&gt;="&amp;$F$8,BD!$A$3:$A$5001,"&lt;="&amp;$G$8),SUMIFS(BD!$AD$3:$AD$5001,BD!$A$3:$A$5001,"&gt;="&amp;$F$8,BD!$A$3:$A$5001,"&lt;="&amp;$G$8,BD!$B$3:$B$5001,$D$2))</f>
        <v>0</v>
      </c>
      <c r="D324" s="49" t="str">
        <f>IF(AND(ISNUMBER(B324),ISNUMBER(C324)),IF(C324&lt;&gt;0,B324/C324-1,""),"")</f>
        <v/>
      </c>
    </row>
    <row r="325">
      <c r="A325" s="29" t="inlineStr">
        <is>
          <t xml:space="preserve">GENTE · Acidentes CAF</t>
        </is>
      </c>
      <c r="B325" s="32">
        <f>IF($B$2="Todos",SUMIFS(BD!$AE$3:$AE$5001,BD!$A$3:$A$5001,"&gt;="&amp;$F$7,BD!$A$3:$A$5001,"&lt;="&amp;$G$7),SUMIFS(BD!$AE$3:$AE$5001,BD!$A$3:$A$5001,"&gt;="&amp;$F$7,BD!$A$3:$A$5001,"&lt;="&amp;$G$7,BD!$B$3:$B$5001,$D$2))</f>
        <v>0</v>
      </c>
      <c r="C325" s="32">
        <f>IF($B$2="Todos",SUMIFS(BD!$AE$3:$AE$5001,BD!$A$3:$A$5001,"&gt;="&amp;$F$8,BD!$A$3:$A$5001,"&lt;="&amp;$G$8),SUMIFS(BD!$AE$3:$AE$5001,BD!$A$3:$A$5001,"&gt;="&amp;$F$8,BD!$A$3:$A$5001,"&lt;="&amp;$G$8,BD!$B$3:$B$5001,$D$2))</f>
        <v>0</v>
      </c>
      <c r="D325" s="49" t="str">
        <f>IF(AND(ISNUMBER(B325),ISNUMBER(C325)),IF(C325&lt;&gt;0,B325/C325-1,""),"")</f>
        <v/>
      </c>
    </row>
    <row r="326">
      <c r="A326" s="29" t="inlineStr">
        <is>
          <t xml:space="preserve">GENTE · Acidentes SAF</t>
        </is>
      </c>
      <c r="B326" s="32">
        <f>IF($B$2="Todos",SUMIFS(BD!$AF$3:$AF$5001,BD!$A$3:$A$5001,"&gt;="&amp;$F$7,BD!$A$3:$A$5001,"&lt;="&amp;$G$7),SUMIFS(BD!$AF$3:$AF$5001,BD!$A$3:$A$5001,"&gt;="&amp;$F$7,BD!$A$3:$A$5001,"&lt;="&amp;$G$7,BD!$B$3:$B$5001,$D$2))</f>
        <v>0</v>
      </c>
      <c r="C326" s="32">
        <f>IF($B$2="Todos",SUMIFS(BD!$AF$3:$AF$5001,BD!$A$3:$A$5001,"&gt;="&amp;$F$8,BD!$A$3:$A$5001,"&lt;="&amp;$G$8),SUMIFS(BD!$AF$3:$AF$5001,BD!$A$3:$A$5001,"&gt;="&amp;$F$8,BD!$A$3:$A$5001,"&lt;="&amp;$G$8,BD!$B$3:$B$5001,$D$2))</f>
        <v>0</v>
      </c>
      <c r="D326" s="49" t="str">
        <f>IF(AND(ISNUMBER(B326),ISNUMBER(C326)),IF(C326&lt;&gt;0,B326/C326-1,""),"")</f>
        <v/>
      </c>
    </row>
    <row r="327">
      <c r="A327" s="29" t="inlineStr">
        <is>
          <t xml:space="preserve">IN · Linhas NF</t>
        </is>
      </c>
      <c r="B327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327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327" s="49" t="str">
        <f>IF(AND(ISNUMBER(B327),ISNUMBER(C327)),IF(C327&lt;&gt;0,B327/C327-1,""),"")</f>
        <v/>
      </c>
    </row>
    <row r="328">
      <c r="A328" s="29" t="inlineStr">
        <is>
          <t xml:space="preserve">IN · Caixas Movimentadas</t>
        </is>
      </c>
      <c r="B328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328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328" s="49" t="str">
        <f>IF(AND(ISNUMBER(B328),ISNUMBER(C328)),IF(C328&lt;&gt;0,B328/C328-1,""),"")</f>
        <v/>
      </c>
    </row>
    <row r="329">
      <c r="A329" s="29" t="inlineStr">
        <is>
          <t xml:space="preserve">IN · Itens Recebidos</t>
        </is>
      </c>
      <c r="B329" s="32">
        <f>IF($B$2="Todos",SUMIFS(BD!$H$3:$H$5001,BD!$A$3:$A$5001,"&gt;="&amp;$F$7,BD!$A$3:$A$5001,"&lt;="&amp;$G$7),SUMIFS(BD!$H$3:$H$5001,BD!$A$3:$A$5001,"&gt;="&amp;$F$7,BD!$A$3:$A$5001,"&lt;="&amp;$G$7,BD!$B$3:$B$5001,$D$2))</f>
        <v>0</v>
      </c>
      <c r="C329" s="32">
        <f>IF($B$2="Todos",SUMIFS(BD!$H$3:$H$5001,BD!$A$3:$A$5001,"&gt;="&amp;$F$8,BD!$A$3:$A$5001,"&lt;="&amp;$G$8),SUMIFS(BD!$H$3:$H$5001,BD!$A$3:$A$5001,"&gt;="&amp;$F$8,BD!$A$3:$A$5001,"&lt;="&amp;$G$8,BD!$B$3:$B$5001,$D$2))</f>
        <v>0</v>
      </c>
      <c r="D329" s="49" t="str">
        <f>IF(AND(ISNUMBER(B329),ISNUMBER(C329)),IF(C329&lt;&gt;0,B329/C329-1,""),"")</f>
        <v/>
      </c>
    </row>
    <row r="330">
      <c r="A330" s="29" t="inlineStr">
        <is>
          <t xml:space="preserve">IN · Itens Recebidos CX Mista</t>
        </is>
      </c>
      <c r="B330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330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330" s="49" t="str">
        <f>IF(AND(ISNUMBER(B330),ISNUMBER(C330)),IF(C330&lt;&gt;0,B330/C330-1,""),"")</f>
        <v/>
      </c>
    </row>
    <row r="331">
      <c r="A331" s="29" t="inlineStr">
        <is>
          <t xml:space="preserve">IN · Caixas Fechadas</t>
        </is>
      </c>
      <c r="B331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331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331" s="49" t="str">
        <f>IF(AND(ISNUMBER(B331),ISNUMBER(C331)),IF(C331&lt;&gt;0,B331/C331-1,""),"")</f>
        <v/>
      </c>
    </row>
    <row r="332">
      <c r="A332" s="29" t="inlineStr">
        <is>
          <t xml:space="preserve">IN · Caixas Mistas Recebidas</t>
        </is>
      </c>
      <c r="B332" s="32">
        <f>IF($B$2="Todos",SUMIFS(BD!$K$3:$K$5001,BD!$A$3:$A$5001,"&gt;="&amp;$F$7,BD!$A$3:$A$5001,"&lt;="&amp;$G$7),SUMIFS(BD!$K$3:$K$5001,BD!$A$3:$A$5001,"&gt;="&amp;$F$7,BD!$A$3:$A$5001,"&lt;="&amp;$G$7,BD!$B$3:$B$5001,$D$2))</f>
        <v>0</v>
      </c>
      <c r="C332" s="32">
        <f>IF($B$2="Todos",SUMIFS(BD!$K$3:$K$5001,BD!$A$3:$A$5001,"&gt;="&amp;$F$8,BD!$A$3:$A$5001,"&lt;="&amp;$G$8),SUMIFS(BD!$K$3:$K$5001,BD!$A$3:$A$5001,"&gt;="&amp;$F$8,BD!$A$3:$A$5001,"&lt;="&amp;$G$8,BD!$B$3:$B$5001,$D$2))</f>
        <v>0</v>
      </c>
      <c r="D332" s="49" t="str">
        <f>IF(AND(ISNUMBER(B332),ISNUMBER(C332)),IF(C332&lt;&gt;0,B332/C332-1,""),"")</f>
        <v/>
      </c>
    </row>
    <row r="333">
      <c r="A333" s="29" t="inlineStr">
        <is>
          <t xml:space="preserve">OUT · Pedidos Expedidos</t>
        </is>
      </c>
      <c r="B333" s="32">
        <f>IF($B$2="Todos",SUMIFS(BD!$M$3:$M$5001,BD!$A$3:$A$5001,"&gt;="&amp;$F$7,BD!$A$3:$A$5001,"&lt;="&amp;$G$7),SUMIFS(BD!$M$3:$M$5001,BD!$A$3:$A$5001,"&gt;="&amp;$F$7,BD!$A$3:$A$5001,"&lt;="&amp;$G$7,BD!$B$3:$B$5001,$D$2))</f>
        <v>0</v>
      </c>
      <c r="C333" s="32">
        <f>IF($B$2="Todos",SUMIFS(BD!$M$3:$M$5001,BD!$A$3:$A$5001,"&gt;="&amp;$F$8,BD!$A$3:$A$5001,"&lt;="&amp;$G$8),SUMIFS(BD!$M$3:$M$5001,BD!$A$3:$A$5001,"&gt;="&amp;$F$8,BD!$A$3:$A$5001,"&lt;="&amp;$G$8,BD!$B$3:$B$5001,$D$2))</f>
        <v>0</v>
      </c>
      <c r="D333" s="49" t="str">
        <f>IF(AND(ISNUMBER(B333),ISNUMBER(C333)),IF(C333&lt;&gt;0,B333/C333-1,""),"")</f>
        <v/>
      </c>
    </row>
    <row r="334">
      <c r="A334" s="29" t="inlineStr">
        <is>
          <t xml:space="preserve">OUT · Pedidos Faturados</t>
        </is>
      </c>
      <c r="B334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334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334" s="49" t="str">
        <f>IF(AND(ISNUMBER(B334),ISNUMBER(C334)),IF(C334&lt;&gt;0,B334/C334-1,""),"")</f>
        <v/>
      </c>
    </row>
    <row r="335">
      <c r="A335" s="29" t="inlineStr">
        <is>
          <t xml:space="preserve">OUT · Itens Expedidos</t>
        </is>
      </c>
      <c r="B335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335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335" s="49" t="str">
        <f>IF(AND(ISNUMBER(B335),ISNUMBER(C335)),IF(C335&lt;&gt;0,B335/C335-1,""),"")</f>
        <v/>
      </c>
    </row>
    <row r="336">
      <c r="A336" s="29" t="inlineStr">
        <is>
          <t xml:space="preserve">OUT · Linhas NF</t>
        </is>
      </c>
      <c r="B336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336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336" s="49" t="str">
        <f>IF(AND(ISNUMBER(B336),ISNUMBER(C336)),IF(C336&lt;&gt;0,B336/C336-1,""),"")</f>
        <v/>
      </c>
    </row>
    <row r="337">
      <c r="A337" s="29" t="inlineStr">
        <is>
          <t xml:space="preserve">OUT · Caixas Expedidas</t>
        </is>
      </c>
      <c r="B337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337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337" s="49" t="str">
        <f>IF(AND(ISNUMBER(B337),ISNUMBER(C337)),IF(C337&lt;&gt;0,B337/C337-1,""),"")</f>
        <v/>
      </c>
    </row>
    <row r="340">
      <c r="A340" s="44" t="inlineStr">
        <is>
          <t xml:space="preserve">Textos das linhas de apoio dos cards (Dashboard)</t>
        </is>
      </c>
    </row>
    <row r="341">
      <c r="A341" s="38" t="inlineStr">
        <is>
          <t xml:space="preserve">inA</t>
        </is>
      </c>
      <c r="B341" s="65" t="str">
        <f>IF(N(VALUE($B$343))=0,"",IF(ISNUMBER(IF(N(VALUE($E$343))=0,INDEX($B$303:$B$337,VALUE($B$343)),IF(AND(ISNUMBER(INDEX($B$303:$B$337,VALUE($B$343))),N(INDEX($B$303:$B$337,N(VALUE($E$343))))&gt;0),INDEX($B$303:$B$337,VALUE($B$343))/INDEX($B$303:$B$337,N(VALUE($E$343))),""))),FIXED(IF(N(VALUE($E$343))=0,INDEX($B$303:$B$337,VALUE($B$343)),IF(AND(ISNUMBER(INDEX($B$303:$B$337,VALUE($B$343))),N(INDEX($B$303:$B$337,N(VALUE($E$343))))&gt;0),INDEX($B$303:$B$337,VALUE($B$343))/INDEX($B$303:$B$337,N(VALUE($E$343))),"")),VALUE($D$343)),"—")&amp;" "&amp;$C$343)&amp;IF(AND(N(VALUE($B$343))&gt;0,N(VALUE($F$343))&gt;0),"  ·  ","")&amp;IF(N(VALUE($F$343))=0,"",IF(ISNUMBER(IF(N(VALUE($I$343))=0,INDEX($B$303:$B$337,VALUE($F$343)),IF(AND(ISNUMBER(INDEX($B$303:$B$337,VALUE($F$343))),N(INDEX($B$303:$B$337,N(VALUE($I$343))))&gt;0),INDEX($B$303:$B$337,VALUE($F$343))/INDEX($B$303:$B$337,N(VALUE($I$343))),""))),FIXED(IF(N(VALUE($I$343))=0,INDEX($B$303:$B$337,VALUE($F$343)),IF(AND(ISNUMBER(INDEX($B$303:$B$337,VALUE($F$343))),N(INDEX($B$303:$B$337,N(VALUE($I$343))))&gt;0),INDEX($B$303:$B$337,VALUE($F$343))/INDEX($B$303:$B$337,N(VALUE($I$343))),"")),VALUE($H$343)),"—")&amp;" "&amp;$G$343)</f>
        <v>0 pallets movimentados</v>
      </c>
      <c r="C341" s="38" t="inlineStr">
        <is>
          <t xml:space="preserve">inB</t>
        </is>
      </c>
      <c r="D341" s="65" t="str">
        <f>IF(N(VALUE($J$343))=0,"",IF(ISNUMBER(IF(N(VALUE($M$343))=0,INDEX($B$303:$B$337,VALUE($J$343)),IF(AND(ISNUMBER(INDEX($B$303:$B$337,VALUE($J$343))),N(INDEX($B$303:$B$337,N(VALUE($M$343))))&gt;0),INDEX($B$303:$B$337,VALUE($J$343))/INDEX($B$303:$B$337,N(VALUE($M$343))),""))),FIXED(IF(N(VALUE($M$343))=0,INDEX($B$303:$B$337,VALUE($J$343)),IF(AND(ISNUMBER(INDEX($B$303:$B$337,VALUE($J$343))),N(INDEX($B$303:$B$337,N(VALUE($M$343))))&gt;0),INDEX($B$303:$B$337,VALUE($J$343))/INDEX($B$303:$B$337,N(VALUE($M$343))),"")),VALUE($L$343)),"—")&amp;" "&amp;$K$343)&amp;IF(AND(N(VALUE($J$343))&gt;0,N(VALUE($N$343))&gt;0),"  ·  ","")&amp;IF(N(VALUE($N$343))=0,"",IF(ISNUMBER(IF(N(VALUE($Q$343))=0,INDEX($B$303:$B$337,VALUE($N$343)),IF(AND(ISNUMBER(INDEX($B$303:$B$337,VALUE($N$343))),N(INDEX($B$303:$B$337,N(VALUE($Q$343))))&gt;0),INDEX($B$303:$B$337,VALUE($N$343))/INDEX($B$303:$B$337,N(VALUE($Q$343))),""))),FIXED(IF(N(VALUE($Q$343))=0,INDEX($B$303:$B$337,VALUE($N$343)),IF(AND(ISNUMBER(INDEX($B$303:$B$337,VALUE($N$343))),N(INDEX($B$303:$B$337,N(VALUE($Q$343))))&gt;0),INDEX($B$303:$B$337,VALUE($N$343))/INDEX($B$303:$B$337,N(VALUE($Q$343))),"")),VALUE($P$343)),"—")&amp;" "&amp;$O$343)</f>
        <v>0,0 t movimentadas</v>
      </c>
      <c r="E341" s="38" t="inlineStr">
        <is>
          <t xml:space="preserve">outA</t>
        </is>
      </c>
      <c r="F341" s="65" t="str">
        <f>IF(N(VALUE($R$343))=0,"",IF(ISNUMBER(IF(N(VALUE($U$343))=0,INDEX($B$303:$B$337,VALUE($R$343)),IF(AND(ISNUMBER(INDEX($B$303:$B$337,VALUE($R$343))),N(INDEX($B$303:$B$337,N(VALUE($U$343))))&gt;0),INDEX($B$303:$B$337,VALUE($R$343))/INDEX($B$303:$B$337,N(VALUE($U$343))),""))),FIXED(IF(N(VALUE($U$343))=0,INDEX($B$303:$B$337,VALUE($R$343)),IF(AND(ISNUMBER(INDEX($B$303:$B$337,VALUE($R$343))),N(INDEX($B$303:$B$337,N(VALUE($U$343))))&gt;0),INDEX($B$303:$B$337,VALUE($R$343))/INDEX($B$303:$B$337,N(VALUE($U$343))),"")),VALUE($T$343)),"—")&amp;" "&amp;$S$343)&amp;IF(AND(N(VALUE($R$343))&gt;0,N(VALUE($V$343))&gt;0),"  ·  ","")&amp;IF(N(VALUE($V$343))=0,"",IF(ISNUMBER(IF(N(VALUE($Y$343))=0,INDEX($B$303:$B$337,VALUE($V$343)),IF(AND(ISNUMBER(INDEX($B$303:$B$337,VALUE($V$343))),N(INDEX($B$303:$B$337,N(VALUE($Y$343))))&gt;0),INDEX($B$303:$B$337,VALUE($V$343))/INDEX($B$303:$B$337,N(VALUE($Y$343))),""))),FIXED(IF(N(VALUE($Y$343))=0,INDEX($B$303:$B$337,VALUE($V$343)),IF(AND(ISNUMBER(INDEX($B$303:$B$337,VALUE($V$343))),N(INDEX($B$303:$B$337,N(VALUE($Y$343))))&gt;0),INDEX($B$303:$B$337,VALUE($V$343))/INDEX($B$303:$B$337,N(VALUE($Y$343))),"")),VALUE($X$343)),"—")&amp;" "&amp;$W$343)</f>
        <v>0 pallets movimentados</v>
      </c>
      <c r="G341" s="38" t="inlineStr">
        <is>
          <t xml:space="preserve">outB</t>
        </is>
      </c>
      <c r="H341" s="65" t="str">
        <f>IF(N(VALUE($Z$343))=0,"",IF(ISNUMBER(IF(N(VALUE($AC$343))=0,INDEX($B$303:$B$337,VALUE($Z$343)),IF(AND(ISNUMBER(INDEX($B$303:$B$337,VALUE($Z$343))),N(INDEX($B$303:$B$337,N(VALUE($AC$343))))&gt;0),INDEX($B$303:$B$337,VALUE($Z$343))/INDEX($B$303:$B$337,N(VALUE($AC$343))),""))),FIXED(IF(N(VALUE($AC$343))=0,INDEX($B$303:$B$337,VALUE($Z$343)),IF(AND(ISNUMBER(INDEX($B$303:$B$337,VALUE($Z$343))),N(INDEX($B$303:$B$337,N(VALUE($AC$343))))&gt;0),INDEX($B$303:$B$337,VALUE($Z$343))/INDEX($B$303:$B$337,N(VALUE($AC$343))),"")),VALUE($AB$343)),"—")&amp;" "&amp;$AA$343)&amp;IF(AND(N(VALUE($Z$343))&gt;0,N(VALUE($AD$343))&gt;0),"  ·  ","")&amp;IF(N(VALUE($AD$343))=0,"",IF(ISNUMBER(IF(N(VALUE($AG$343))=0,INDEX($B$303:$B$337,VALUE($AD$343)),IF(AND(ISNUMBER(INDEX($B$303:$B$337,VALUE($AD$343))),N(INDEX($B$303:$B$337,N(VALUE($AG$343))))&gt;0),INDEX($B$303:$B$337,VALUE($AD$343))/INDEX($B$303:$B$337,N(VALUE($AG$343))),""))),FIXED(IF(N(VALUE($AG$343))=0,INDEX($B$303:$B$337,VALUE($AD$343)),IF(AND(ISNUMBER(INDEX($B$303:$B$337,VALUE($AD$343))),N(INDEX($B$303:$B$337,N(VALUE($AG$343))))&gt;0),INDEX($B$303:$B$337,VALUE($AD$343))/INDEX($B$303:$B$337,N(VALUE($AG$343))),"")),VALUE($AF$343)),"—")&amp;" "&amp;$AE$343)</f>
        <v>0,0 t movimentadas</v>
      </c>
    </row>
    <row r="342">
      <c r="A342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43">
      <c r="A343" s="95">
        <f>IFERROR(MATCH($B$2,Config!$B$9:$B$29,0),1)</f>
        <v>1</v>
      </c>
      <c r="B343" s="96">
        <f>IFERROR(VLOOKUP(INDEX(Config!$E$9:$E$29,$A$343),Config!$AJ$9:$AP$38,4,0),0)</f>
        <v>2</v>
      </c>
      <c r="C343" s="96" t="str">
        <f>IFERROR(VLOOKUP(INDEX(Config!$E$9:$E$29,$A$343),Config!$AJ$9:$AP$38,2,0)&amp;"","")</f>
        <v>pallets movimentados</v>
      </c>
      <c r="D343" s="96">
        <f>IFERROR(VLOOKUP(INDEX(Config!$E$9:$E$29,$A$343),Config!$AJ$9:$AP$38,3,0),0)</f>
        <v>0</v>
      </c>
      <c r="E343" s="96">
        <f>IFERROR(VLOOKUP(INDEX(Config!$E$9:$E$29,$A$343),Config!$AJ$9:$AP$38,6,0),0)</f>
        <v>0</v>
      </c>
      <c r="F343" s="96">
        <v>0</v>
      </c>
      <c r="G343" s="96"/>
      <c r="H343" s="96">
        <v>0</v>
      </c>
      <c r="I343" s="96">
        <v>0</v>
      </c>
      <c r="J343" s="96">
        <f>IFERROR(VLOOKUP(INDEX(Config!$F$9:$F$29,$A$343),Config!$AJ$9:$AP$38,4,0),0)</f>
        <v>3</v>
      </c>
      <c r="K343" s="96" t="str">
        <f>IFERROR(VLOOKUP(INDEX(Config!$F$9:$F$29,$A$343),Config!$AJ$9:$AP$38,2,0)&amp;"","")</f>
        <v>t movimentadas</v>
      </c>
      <c r="L343" s="96">
        <f>IFERROR(VLOOKUP(INDEX(Config!$F$9:$F$29,$A$343),Config!$AJ$9:$AP$38,3,0),0)</f>
        <v>1</v>
      </c>
      <c r="M343" s="96">
        <f>IFERROR(VLOOKUP(INDEX(Config!$F$9:$F$29,$A$343),Config!$AJ$9:$AP$38,6,0),0)</f>
        <v>0</v>
      </c>
      <c r="N343" s="96">
        <f>IFERROR(VLOOKUP(INDEX(Config!$G$9:$G$29,$A$343),Config!$AJ$9:$AP$38,4,0),0)</f>
        <v>0</v>
      </c>
      <c r="O343" s="96" t="str">
        <f>IFERROR(VLOOKUP(INDEX(Config!$G$9:$G$29,$A$343),Config!$AJ$9:$AP$38,2,0)&amp;"","")</f>
        <v/>
      </c>
      <c r="P343" s="96">
        <f>IFERROR(VLOOKUP(INDEX(Config!$G$9:$G$29,$A$343),Config!$AJ$9:$AP$38,3,0),0)</f>
        <v>0</v>
      </c>
      <c r="Q343" s="96">
        <f>IFERROR(VLOOKUP(INDEX(Config!$G$9:$G$29,$A$343),Config!$AJ$9:$AP$38,6,0),0)</f>
        <v>0</v>
      </c>
      <c r="R343" s="96">
        <f>IFERROR(VLOOKUP(INDEX(Config!$I$9:$I$29,$A$343),Config!$AJ$9:$AP$38,4,0),0)</f>
        <v>5</v>
      </c>
      <c r="S343" s="96" t="str">
        <f>IFERROR(VLOOKUP(INDEX(Config!$I$9:$I$29,$A$343),Config!$AJ$9:$AP$38,2,0)&amp;"","")</f>
        <v>pallets movimentados</v>
      </c>
      <c r="T343" s="96">
        <f>IFERROR(VLOOKUP(INDEX(Config!$I$9:$I$29,$A$343),Config!$AJ$9:$AP$38,3,0),0)</f>
        <v>0</v>
      </c>
      <c r="U343" s="96">
        <f>IFERROR(VLOOKUP(INDEX(Config!$I$9:$I$29,$A$343),Config!$AJ$9:$AP$38,6,0),0)</f>
        <v>0</v>
      </c>
      <c r="V343" s="96">
        <v>0</v>
      </c>
      <c r="W343" s="96"/>
      <c r="X343" s="96">
        <v>0</v>
      </c>
      <c r="Y343" s="96">
        <v>0</v>
      </c>
      <c r="Z343" s="96">
        <f>IFERROR(VLOOKUP(INDEX(Config!$J$9:$J$29,$A$343),Config!$AJ$9:$AP$38,4,0),0)</f>
        <v>6</v>
      </c>
      <c r="AA343" s="96" t="str">
        <f>IFERROR(VLOOKUP(INDEX(Config!$J$9:$J$29,$A$343),Config!$AJ$9:$AP$38,2,0)&amp;"","")</f>
        <v>t movimentadas</v>
      </c>
      <c r="AB343" s="96">
        <f>IFERROR(VLOOKUP(INDEX(Config!$J$9:$J$29,$A$343),Config!$AJ$9:$AP$38,3,0),0)</f>
        <v>1</v>
      </c>
      <c r="AC343" s="96">
        <f>IFERROR(VLOOKUP(INDEX(Config!$J$9:$J$29,$A$343),Config!$AJ$9:$AP$38,6,0),0)</f>
        <v>0</v>
      </c>
      <c r="AD343" s="96">
        <f>IFERROR(VLOOKUP(INDEX(Config!$K$9:$K$29,$A$343),Config!$AJ$9:$AP$38,4,0),0)</f>
        <v>0</v>
      </c>
      <c r="AE343" s="96" t="str">
        <f>IFERROR(VLOOKUP(INDEX(Config!$K$9:$K$29,$A$343),Config!$AJ$9:$AP$38,2,0)&amp;"","")</f>
        <v/>
      </c>
      <c r="AF343" s="96">
        <f>IFERROR(VLOOKUP(INDEX(Config!$K$9:$K$29,$A$343),Config!$AJ$9:$AP$38,3,0),0)</f>
        <v>0</v>
      </c>
      <c r="AG343" s="96">
        <f>IFERROR(VLOOKUP(INDEX(Config!$K$9:$K$29,$A$343),Config!$AJ$9:$AP$38,6,0),0)</f>
        <v>0</v>
      </c>
      <c r="AH343" s="96">
        <f>IFERROR(VLOOKUP(INDEX(Config!$M$9:$M$29,$A$343),Config!$AJ$9:$AP$38,5,0),0)</f>
        <v>2</v>
      </c>
      <c r="AI343" s="96">
        <f>IFERROR(VLOOKUP(INDEX(Config!$N$9:$N$29,$A$343),Config!$AJ$9:$AP$38,5,0),0)</f>
        <v>16</v>
      </c>
      <c r="AJ343" s="96">
        <f>IFERROR(VLOOKUP(INDEX(Config!$M$9:$M$29,$A$343),Config!$AJ$9:$AP$38,7,0),0)</f>
        <v>0</v>
      </c>
      <c r="AK343" s="96">
        <f>IFERROR(VLOOKUP(INDEX(Config!$N$9:$N$29,$A$343),Config!$AJ$9:$AP$38,7,0),0)</f>
        <v>0</v>
      </c>
      <c r="AL343" s="96" t="str">
        <f>INDEX(Config!$O$9:$O$29,$A$343)&amp;""</f>
        <v>MOVIMENTAÇÃO PALETES/DIA</v>
      </c>
      <c r="AM343" s="96" t="str">
        <f>INDEX(Config!$P$9:$P$29,$A$343)&amp;""</f>
        <v>ACUMULADO SEMANAL PALETES</v>
      </c>
      <c r="AN343" s="96" t="str">
        <f>IF(INDEX(Config!$M$9:$M$29,$A$343)&amp;""="","IN",INDEX(Config!$M$9:$M$29,$A$343)&amp;"")</f>
        <v>Pallets Movimentados IN</v>
      </c>
      <c r="AO343" s="96" t="str">
        <f>IF(INDEX(Config!$N$9:$N$29,$A$343)&amp;""="","OUT",INDEX(Config!$N$9:$N$29,$A$343)&amp;"")</f>
        <v>Pallets Movimentados OUT</v>
      </c>
      <c r="AP343" s="96">
        <f>IFERROR(VLOOKUP(INDEX(Config!$Q$9:$Q$29,$A$343),Config!$AJ$9:$AP$38,5,0),0)</f>
        <v>3</v>
      </c>
      <c r="AQ343" s="96">
        <f>IFERROR(VLOOKUP(INDEX(Config!$R$9:$R$29,$A$343),Config!$AJ$9:$AP$38,5,0),0)</f>
        <v>17</v>
      </c>
      <c r="AR343" s="96">
        <f>IFERROR(VLOOKUP(INDEX(Config!$Q$9:$Q$29,$A$343),Config!$AJ$9:$AP$38,7,0),0)</f>
        <v>0</v>
      </c>
      <c r="AS343" s="96">
        <f>IFERROR(VLOOKUP(INDEX(Config!$R$9:$R$29,$A$343),Config!$AJ$9:$AP$38,7,0),0)</f>
        <v>0</v>
      </c>
      <c r="AT343" s="96" t="str">
        <f>INDEX(Config!$S$9:$S$29,$A$343)&amp;""</f>
        <v>MOVIMENTAÇÃO TONS/DIA</v>
      </c>
      <c r="AU343" s="96" t="str">
        <f>INDEX(Config!$T$9:$T$29,$A$343)&amp;""</f>
        <v>ACUMULADO SEMANAL TONS</v>
      </c>
      <c r="AV343" s="96" t="str">
        <f>IF(INDEX(Config!$Q$9:$Q$29,$A$343)&amp;""="","IN",INDEX(Config!$Q$9:$Q$29,$A$343)&amp;"")</f>
        <v>Toneladas Movimentadas IN</v>
      </c>
      <c r="AW343" s="96" t="str">
        <f>IF(INDEX(Config!$R$9:$R$29,$A$343)&amp;""="","OUT",INDEX(Config!$R$9:$R$29,$A$343)&amp;"")</f>
        <v>Toneladas Movimentadas OUT</v>
      </c>
      <c r="AX343" s="96" t="str">
        <f>INDEX(Config!$D$9:$D$29,$A$343)&amp;""</f>
        <v>Sim</v>
      </c>
      <c r="AY343" s="96" t="str">
        <f>INDEX(Config!$H$9:$H$29,$A$343)&amp;""</f>
        <v>Sim</v>
      </c>
      <c r="AZ343" s="96" t="str">
        <f>INDEX(Config!$L$9:$L$29,$A$343)&amp;""</f>
        <v>Completo</v>
      </c>
      <c r="BA343" s="96" t="str">
        <f>IF(OR($B$2="Todos",$C$2=2),Config!$D$70,Config!$D$69)&amp;""</f>
        <v>ARMAZÉM</v>
      </c>
      <c r="BB343" s="96" t="str">
        <f>IF(OR($B$2="Todos",$C$2=2),Config!$D$89,Config!$D$88)&amp;""</f>
        <v>Capacidade do armazém (p.p)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D53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" customWidth="1"/>
    <col min="7" max="7" width="12.100000000000001" customWidth="1"/>
    <col min="8" max="8" width="10" customWidth="1"/>
    <col min="9" max="9" width="13" customWidth="1"/>
    <col min="10" max="10" width="10" customWidth="1"/>
    <col min="11" max="11" width="13" customWidth="1"/>
    <col min="12" max="12" width="12.100000000000001" customWidth="1"/>
    <col min="13" max="13" width="11.55" customWidth="1"/>
    <col min="14" max="14" width="11.55" customWidth="1"/>
    <col min="15" max="15" width="10.450000000000001" customWidth="1"/>
    <col min="16" max="16" width="10" customWidth="1"/>
    <col min="17" max="17" width="11" customWidth="1"/>
    <col min="18" max="18" width="13" customWidth="1"/>
    <col min="19" max="19" width="13" customWidth="1"/>
    <col min="20" max="20" width="10" customWidth="1"/>
    <col min="21" max="21" width="10" customWidth="1"/>
    <col min="22" max="22" width="10" customWidth="1"/>
    <col min="23" max="23" width="11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2.65" customWidth="1"/>
    <col min="31" max="31" width="10" customWidth="1"/>
    <col min="32" max="32" width="10" customWidth="1"/>
    <col min="33" max="33" width="11" customWidth="1"/>
    <col min="34" max="34" width="3" customWidth="1"/>
    <col min="35" max="35" width="70" customWidth="1"/>
    <col min="36" max="36" width="11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  <col min="53" max="53" width="12" customWidth="1"/>
    <col min="54" max="54" width="12" customWidth="1"/>
    <col min="55" max="55" width="12" customWidth="1"/>
    <col min="56" max="56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8"/>
      <c r="T1" s="9" t="inlineStr">
        <is>
          <t xml:space="preserve">NC · NÃO CONFORMIDADES</t>
        </is>
      </c>
      <c r="U1" s="10"/>
      <c r="V1" s="11"/>
      <c r="W1" s="3" t="inlineStr">
        <is>
          <t xml:space="preserve">OCUPAÇÃO (P.P)</t>
        </is>
      </c>
      <c r="X1" s="5"/>
      <c r="Y1" s="12" t="inlineStr">
        <is>
          <t xml:space="preserve">GENTE</t>
        </is>
      </c>
      <c r="Z1" s="13"/>
      <c r="AA1" s="13"/>
      <c r="AB1" s="13"/>
      <c r="AC1" s="13"/>
      <c r="AD1" s="13"/>
      <c r="AE1" s="13"/>
      <c r="AF1" s="14"/>
      <c r="AG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Itens Recebidos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Linhas NF</t>
        </is>
      </c>
      <c r="Q2" s="16" t="inlineStr">
        <is>
          <t xml:space="preserve">OUT Caixas Expedidas</t>
        </is>
      </c>
      <c r="R2" s="16" t="inlineStr">
        <is>
          <t xml:space="preserve">OUT Pallets Movimentados</t>
        </is>
      </c>
      <c r="S2" s="16" t="inlineStr">
        <is>
          <t xml:space="preserve">OUT Toneladas Movimentadas</t>
        </is>
      </c>
      <c r="T2" s="16" t="inlineStr">
        <is>
          <t xml:space="preserve">NC Incidentes</t>
        </is>
      </c>
      <c r="U2" s="16" t="inlineStr">
        <is>
          <t xml:space="preserve">NC No show</t>
        </is>
      </c>
      <c r="V2" s="16" t="inlineStr">
        <is>
          <t xml:space="preserve">NC Backlog</t>
        </is>
      </c>
      <c r="W2" s="16" t="inlineStr">
        <is>
          <t xml:space="preserve">Posições Disponíveis</t>
        </is>
      </c>
      <c r="X2" s="16" t="inlineStr">
        <is>
          <t xml:space="preserve">Posições Ocupadas</t>
        </is>
      </c>
      <c r="Y2" s="16" t="inlineStr">
        <is>
          <t xml:space="preserve">Efetivo Op.</t>
        </is>
      </c>
      <c r="Z2" s="16" t="inlineStr">
        <is>
          <t xml:space="preserve">Falta</t>
        </is>
      </c>
      <c r="AA2" s="16" t="inlineStr">
        <is>
          <t xml:space="preserve">Folga</t>
        </is>
      </c>
      <c r="AB2" s="16" t="inlineStr">
        <is>
          <t xml:space="preserve">Férias</t>
        </is>
      </c>
      <c r="AC2" s="16" t="inlineStr">
        <is>
          <t xml:space="preserve">Desligamento</t>
        </is>
      </c>
      <c r="AD2" s="16" t="inlineStr">
        <is>
          <t xml:space="preserve">Desvios Comportamentais</t>
        </is>
      </c>
      <c r="AE2" s="16" t="inlineStr">
        <is>
          <t xml:space="preserve">Acidentes CAF</t>
        </is>
      </c>
      <c r="AF2" s="16" t="inlineStr">
        <is>
          <t xml:space="preserve">Acidentes SAF</t>
        </is>
      </c>
      <c r="AG2" s="16" t="inlineStr">
        <is>
          <t xml:space="preserve">Modalidade</t>
        </is>
      </c>
      <c r="AI2" s="17" t="inlineStr">
        <is>
          <t xml:space="preserve">COMO PREENCHER A BD</t>
        </is>
      </c>
    </row>
    <row r="3">
      <c r="AI3" s="18" t="inlineStr">
        <is>
          <t xml:space="preserve">• Uma linha por dia e por cliente.</t>
        </is>
      </c>
    </row>
    <row r="4">
      <c r="AI4" s="18" t="inlineStr">
        <is>
          <t xml:space="preserve">• Digite na primeira linha vazia logo abaixo da tabela: ela cresce sozinha e leva formato, listas e validações.</t>
        </is>
      </c>
    </row>
    <row r="5">
      <c r="AI5" s="18" t="inlineStr">
        <is>
          <t xml:space="preserve">• Data: dd/mm/aaaa.   Cliente e Modalidade: escolha na lista (setinha da célula).</t>
        </is>
      </c>
    </row>
    <row r="6">
      <c r="AI6" s="18" t="inlineStr">
        <is>
          <t xml:space="preserve">• Números: só 0 ou maior. Toneladas aceitam casas decimais.</t>
        </is>
      </c>
    </row>
    <row r="7">
      <c r="AI7" s="18" t="inlineStr">
        <is>
          <t xml:space="preserve">• Deixe em branco o que não foi medido (não digite 0 se não houve registro).</t>
        </is>
      </c>
    </row>
    <row r="8">
      <c r="AI8" s="17" t="inlineStr">
        <is>
          <t xml:space="preserve">SOMA NO MÊS</t>
        </is>
      </c>
    </row>
    <row r="9">
      <c r="AI9" s="18" t="inlineStr">
        <is>
          <t xml:space="preserve">• Veículos, pallets, toneladas, linhas NF, caixas, peças, itens, pedidos, incidentes, no show, falta, folga, férias e desligamento: valor do dia.</t>
        </is>
      </c>
    </row>
    <row r="10">
      <c r="AI10" s="17" t="inlineStr">
        <is>
          <t xml:space="preserve">ÚLTIMO VALOR DO MÊS</t>
        </is>
      </c>
    </row>
    <row r="11">
      <c r="AI11" s="18" t="inlineStr">
        <is>
          <t xml:space="preserve">• Backlog, posições disponíveis/ocupadas e efetivo: posição do dia (os painéis usam o último lançado).</t>
        </is>
      </c>
    </row>
    <row r="12">
      <c r="AI12" s="17" t="inlineStr">
        <is>
          <t xml:space="preserve">ALERTAS</t>
        </is>
      </c>
    </row>
    <row r="13">
      <c r="AI13" s="18" t="inlineStr">
        <is>
          <t xml:space="preserve">• Vermelho: mesma data e cliente lançados duas vezes.</t>
        </is>
      </c>
    </row>
    <row r="14">
      <c r="AI14" s="18" t="inlineStr">
        <is>
          <t xml:space="preserve">• Amarelo: linha incompleta (data sem cliente ou o contrário).</t>
        </is>
      </c>
    </row>
    <row r="15">
      <c r="AI15" s="18" t="inlineStr">
        <is>
          <t xml:space="preserve">• Verde em Posições Ocupadas: cliente excede o contratado (boa notícia: faturar excedente).</t>
        </is>
      </c>
    </row>
    <row r="16">
      <c r="AI16" s="18" t="inlineStr">
        <is>
          <t xml:space="preserve">• Desvios comportamentais e acidentes (CAF = com afastamento · SAF = sem afastamento): quantidade do dia.</t>
        </is>
      </c>
    </row>
    <row r="17">
      <c r="AI17" s="18" t="inlineStr">
        <is>
          <t xml:space="preserve">• Dashboard, Monitoramento e Consol Mensal leem esta aba automaticamente, inclusive as METAS abaixo.</t>
        </is>
      </c>
    </row>
    <row r="21">
      <c r="AI21" s="19" t="inlineStr">
        <is>
          <t xml:space="preserve">METAS DO MÊS — preencha as células amarelas (vazio = sem meta · taxa de ocupação em %).</t>
        </is>
      </c>
    </row>
    <row r="22" ht="30" customHeight="1">
      <c r="AI22" s="16" t="inlineStr">
        <is>
          <t xml:space="preserve">Indicador</t>
        </is>
      </c>
      <c r="AJ22" s="16" t="inlineStr">
        <is>
          <t xml:space="preserve">Todos</t>
        </is>
      </c>
      <c r="AK22" s="16" t="str">
        <f>Config!$B$10&amp;""</f>
        <v>Alpargatas</v>
      </c>
      <c r="AL22" s="16" t="str">
        <f>Config!$B$11&amp;""</f>
        <v>Basf</v>
      </c>
      <c r="AM22" s="16" t="str">
        <f>Config!$B$12&amp;""</f>
        <v>Beautybiz</v>
      </c>
      <c r="AN22" s="16" t="str">
        <f>Config!$B$13&amp;""</f>
        <v>Boticário</v>
      </c>
      <c r="AO22" s="16" t="str">
        <f>Config!$B$14&amp;""</f>
        <v>Confiance</v>
      </c>
      <c r="AP22" s="16" t="str">
        <f>Config!$B$15&amp;""</f>
        <v>GE Vernova</v>
      </c>
      <c r="AQ22" s="16" t="str">
        <f>Config!$B$16&amp;""</f>
        <v>Omnilife</v>
      </c>
      <c r="AR22" s="16" t="str">
        <f>Config!$B$17&amp;""</f>
        <v>Supply</v>
      </c>
      <c r="AS22" s="16" t="str">
        <f>Config!$B$18&amp;""</f>
        <v>Vedacit</v>
      </c>
      <c r="AT22" s="16" t="str">
        <f>Config!$B$19&amp;""</f>
        <v>Vestas</v>
      </c>
      <c r="AU22" s="16" t="str">
        <f>Config!$B$20&amp;""</f>
        <v/>
      </c>
      <c r="AV22" s="16" t="str">
        <f>Config!$B$21&amp;""</f>
        <v/>
      </c>
      <c r="AW22" s="16" t="str">
        <f>Config!$B$22&amp;""</f>
        <v/>
      </c>
      <c r="AX22" s="16" t="str">
        <f>Config!$B$23&amp;""</f>
        <v/>
      </c>
      <c r="AY22" s="16" t="str">
        <f>Config!$B$24&amp;""</f>
        <v/>
      </c>
      <c r="AZ22" s="16" t="str">
        <f>Config!$B$25&amp;""</f>
        <v/>
      </c>
      <c r="BA22" s="16" t="str">
        <f>Config!$B$26&amp;""</f>
        <v/>
      </c>
      <c r="BB22" s="16" t="str">
        <f>Config!$B$27&amp;""</f>
        <v/>
      </c>
      <c r="BC22" s="16" t="str">
        <f>Config!$B$28&amp;""</f>
        <v/>
      </c>
      <c r="BD22" s="16" t="str">
        <f>Config!$B$29&amp;""</f>
        <v/>
      </c>
    </row>
    <row r="23">
      <c r="AI23" s="20" t="inlineStr">
        <is>
          <t xml:space="preserve">IN · Veículos Recebidos</t>
        </is>
      </c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</row>
    <row r="24">
      <c r="AI24" s="20" t="inlineStr">
        <is>
          <t xml:space="preserve">IN · Pallets Movimentados</t>
        </is>
      </c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</row>
    <row r="25">
      <c r="AI25" s="20" t="inlineStr">
        <is>
          <t xml:space="preserve">IN · Toneladas Movimentadas</t>
        </is>
      </c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</row>
    <row r="26">
      <c r="AI26" s="20" t="inlineStr">
        <is>
          <t xml:space="preserve">IN · Linhas NF</t>
        </is>
      </c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</row>
    <row r="27">
      <c r="AI27" s="20" t="inlineStr">
        <is>
          <t xml:space="preserve">IN · Caixas Movimentadas</t>
        </is>
      </c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</row>
    <row r="28">
      <c r="AI28" s="20" t="inlineStr">
        <is>
          <t xml:space="preserve">IN · Itens Recebidos</t>
        </is>
      </c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</row>
    <row r="29">
      <c r="AI29" s="20" t="inlineStr">
        <is>
          <t xml:space="preserve">IN · Itens Recebidos CX Mista</t>
        </is>
      </c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</row>
    <row r="30">
      <c r="AI30" s="20" t="inlineStr">
        <is>
          <t xml:space="preserve">IN · Caixas Fechadas</t>
        </is>
      </c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</row>
    <row r="31">
      <c r="AI31" s="20" t="inlineStr">
        <is>
          <t xml:space="preserve">IN · Caixas Mistas Recebidas</t>
        </is>
      </c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</row>
    <row r="32">
      <c r="AI32" s="22" t="inlineStr">
        <is>
          <t xml:space="preserve">OUT · Veículos Expedidos</t>
        </is>
      </c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</row>
    <row r="33">
      <c r="AI33" s="22" t="inlineStr">
        <is>
          <t xml:space="preserve">OUT · Pedidos Expedidos</t>
        </is>
      </c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</row>
    <row r="34">
      <c r="AI34" s="22" t="inlineStr">
        <is>
          <t xml:space="preserve">OUT · Pedidos Faturados</t>
        </is>
      </c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</row>
    <row r="35">
      <c r="AI35" s="22" t="inlineStr">
        <is>
          <t xml:space="preserve">OUT · Itens Expedidos</t>
        </is>
      </c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</row>
    <row r="36">
      <c r="AI36" s="22" t="inlineStr">
        <is>
          <t xml:space="preserve">OUT · Linhas NF</t>
        </is>
      </c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</row>
    <row r="37">
      <c r="AI37" s="22" t="inlineStr">
        <is>
          <t xml:space="preserve">OUT · Caixas Expedidas</t>
        </is>
      </c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</row>
    <row r="38">
      <c r="AI38" s="22" t="inlineStr">
        <is>
          <t xml:space="preserve">OUT · Pallets Movimentados</t>
        </is>
      </c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</row>
    <row r="39">
      <c r="AI39" s="22" t="inlineStr">
        <is>
          <t xml:space="preserve">OUT · Toneladas Movimentadas</t>
        </is>
      </c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</row>
    <row r="40">
      <c r="AI40" s="23" t="inlineStr">
        <is>
          <t xml:space="preserve">NC · Incidentes</t>
        </is>
      </c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</row>
    <row r="41">
      <c r="AI41" s="23" t="inlineStr">
        <is>
          <t xml:space="preserve">NC · No show</t>
        </is>
      </c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</row>
    <row r="42">
      <c r="AI42" s="23" t="inlineStr">
        <is>
          <t xml:space="preserve">NC · Backlog</t>
        </is>
      </c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</row>
    <row r="43">
      <c r="AI43" s="20" t="inlineStr">
        <is>
          <t xml:space="preserve">OCUPAÇÃO (P.P) · Posições Disponíveis</t>
        </is>
      </c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</row>
    <row r="44">
      <c r="AI44" s="20" t="inlineStr">
        <is>
          <t xml:space="preserve">OCUPAÇÃO (P.P) · Posições Ocupadas</t>
        </is>
      </c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</row>
    <row r="45">
      <c r="AI45" s="20" t="inlineStr">
        <is>
          <t xml:space="preserve">OCUPAÇÃO (P.P) · Taxa de Ocupação</t>
        </is>
      </c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</row>
    <row r="46">
      <c r="AI46" s="25" t="inlineStr">
        <is>
          <t xml:space="preserve">GENTE · Efetivo Op.</t>
        </is>
      </c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</row>
    <row r="47">
      <c r="AI47" s="25" t="inlineStr">
        <is>
          <t xml:space="preserve">GENTE · Falta</t>
        </is>
      </c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</row>
    <row r="48">
      <c r="AI48" s="25" t="inlineStr">
        <is>
          <t xml:space="preserve">GENTE · Folga</t>
        </is>
      </c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</row>
    <row r="49">
      <c r="AI49" s="25" t="inlineStr">
        <is>
          <t xml:space="preserve">GENTE · Férias</t>
        </is>
      </c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</row>
    <row r="50">
      <c r="AI50" s="25" t="inlineStr">
        <is>
          <t xml:space="preserve">GENTE · Desligamento</t>
        </is>
      </c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</row>
    <row r="51">
      <c r="AI51" s="25" t="inlineStr">
        <is>
          <t xml:space="preserve">GENTE · Desvios Comportamentais</t>
        </is>
      </c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</row>
    <row r="52">
      <c r="AI52" s="25" t="inlineStr">
        <is>
          <t xml:space="preserve">GENTE · Acidentes CAF</t>
        </is>
      </c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</row>
    <row r="53">
      <c r="AI53" s="25" t="inlineStr">
        <is>
          <t xml:space="preserve">GENTE · Acidentes SAF</t>
        </is>
      </c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</row>
  </sheetData>
  <mergeCells count="6">
    <mergeCell ref="A1:B1"/>
    <mergeCell ref="C1:K1"/>
    <mergeCell ref="L1:S1"/>
    <mergeCell ref="T1:V1"/>
    <mergeCell ref="W1:X1"/>
    <mergeCell ref="Y1:AF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X3:X5001">
    <cfRule type="expression" dxfId="2" priority="3">
      <formula>AND(ISNUMBER($W3),ISNUMBER($X3),$X3&gt;$W3)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W3:W5001">
    <cfRule type="expression" dxfId="6" priority="24">
      <formula>IFERROR(INDEX(Config!$X$35:$X$54,MATCH($B3,Config!$B$35:$B$54,0)),"Sim")="Não"</formula>
    </cfRule>
  </conditionalFormatting>
  <conditionalFormatting sqref="X3:X5001">
    <cfRule type="expression" dxfId="6" priority="25">
      <formula>IFERROR(INDEX(Config!$Y$35:$Y$54,MATCH($B3,Config!$B$35:$B$54,0)),"Sim")="Não"</formula>
    </cfRule>
  </conditionalFormatting>
  <conditionalFormatting sqref="Y3:Y5001">
    <cfRule type="expression" dxfId="6" priority="26">
      <formula>IFERROR(INDEX(Config!$Z$35:$Z$54,MATCH($B3,Config!$B$35:$B$54,0)),"Sim")="Não"</formula>
    </cfRule>
  </conditionalFormatting>
  <conditionalFormatting sqref="Z3:Z5001">
    <cfRule type="expression" dxfId="6" priority="27">
      <formula>IFERROR(INDEX(Config!$AA$35:$AA$54,MATCH($B3,Config!$B$35:$B$54,0)),"Sim")="Não"</formula>
    </cfRule>
  </conditionalFormatting>
  <conditionalFormatting sqref="AA3:AA5001">
    <cfRule type="expression" dxfId="6" priority="28">
      <formula>IFERROR(INDEX(Config!$AB$35:$AB$54,MATCH($B3,Config!$B$35:$B$54,0)),"Sim")="Não"</formula>
    </cfRule>
  </conditionalFormatting>
  <conditionalFormatting sqref="AB3:AB5001">
    <cfRule type="expression" dxfId="6" priority="29">
      <formula>IFERROR(INDEX(Config!$AC$35:$AC$54,MATCH($B3,Config!$B$35:$B$54,0)),"Sim")="Não"</formula>
    </cfRule>
  </conditionalFormatting>
  <conditionalFormatting sqref="AC3:AC5001">
    <cfRule type="expression" dxfId="6" priority="30">
      <formula>IFERROR(INDEX(Config!$AD$35:$AD$54,MATCH($B3,Config!$B$35:$B$54,0)),"Sim")="Não"</formula>
    </cfRule>
  </conditionalFormatting>
  <conditionalFormatting sqref="AD3:AD5001">
    <cfRule type="expression" dxfId="6" priority="31">
      <formula>IFERROR(INDEX(Config!$AE$35:$AE$54,MATCH($B3,Config!$B$35:$B$54,0)),"Sim")="Não"</formula>
    </cfRule>
  </conditionalFormatting>
  <conditionalFormatting sqref="AE3:AE5001">
    <cfRule type="expression" dxfId="6" priority="32">
      <formula>IFERROR(INDEX(Config!$AF$35:$AF$54,MATCH($B3,Config!$B$35:$B$54,0)),"Sim")="Não"</formula>
    </cfRule>
  </conditionalFormatting>
  <conditionalFormatting sqref="AF3:AF5001">
    <cfRule type="expression" dxfId="6" priority="33">
      <formula>IFERROR(INDEX(Config!$AG$35:$AG$54,MATCH($B3,Config!$B$35:$B$54,0)),"Sim")="Não"</formula>
    </cfRule>
  </conditionalFormatting>
  <dataValidations count="34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list" allowBlank="1" showInputMessage="1" showErrorMessage="1" promptTitle="Modalidade" prompt="Contrato, Spot ou Cross." errorTitle="Valor inválido" error="Escolha um valor da lista." sqref="AG3:AG5001">
      <formula1>"Contrato,Spot,Cross"</formula1>
    </dataValidation>
    <dataValidation type="decimal" operator="greaterThanOrEqual" allowBlank="1" showInputMessage="0" showErrorMessage="1" errorTitle="Valor inválido" error="Meta: use 0 ou um número maior." sqref="AJ23:BD53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C3:AC5001">
      <formula1>AND(IFERROR(INDEX(Config!$AD$35:$AD$54,MATCH($B3,Config!$B$35:$B$54,0)),"Sim")&lt;&gt;"Não",ISNUMBER(AC3),AC3&gt;=0)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D3:AD5001">
      <formula1>AND(IFERROR(INDEX(Config!$AE$35:$AE$54,MATCH($B3,Config!$B$35:$B$54,0)),"Sim")&lt;&gt;"Não",ISNUMBER(AD3),AD3&gt;=0)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E3:AE5001">
      <formula1>AND(IFERROR(INDEX(Config!$AF$35:$AF$54,MATCH($B3,Config!$B$35:$B$54,0)),"Sim")&lt;&gt;"Não",ISNUMBER(AE3),AE3&gt;=0)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F3:AF5001">
      <formula1>AND(IFERROR(INDEX(Config!$AG$35:$AG$54,MATCH($B3,Config!$B$35:$B$54,0)),"Sim")&lt;&gt;"Não",ISNUMBER(AF3),AF3&gt;=0)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P97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27" customWidth="1"/>
    <col min="6" max="6" width="27" customWidth="1"/>
    <col min="7" max="7" width="27" customWidth="1"/>
    <col min="8" max="8" width="12" customWidth="1"/>
    <col min="9" max="9" width="27" customWidth="1"/>
    <col min="10" max="10" width="27" customWidth="1"/>
    <col min="11" max="11" width="27" customWidth="1"/>
    <col min="12" max="12" width="14" customWidth="1"/>
    <col min="13" max="13" width="27" customWidth="1"/>
    <col min="14" max="14" width="27" customWidth="1"/>
    <col min="15" max="15" width="34" customWidth="1"/>
    <col min="16" max="16" width="34" customWidth="1"/>
    <col min="17" max="17" width="27" customWidth="1"/>
    <col min="18" max="18" width="27" customWidth="1"/>
    <col min="19" max="19" width="34" customWidth="1"/>
    <col min="20" max="20" width="34" customWidth="1"/>
    <col min="35" max="35" width="3" customWidth="1"/>
    <col min="36" max="36" width="32" customWidth="1"/>
    <col min="37" max="37" width="30" customWidth="1"/>
    <col min="38" max="38" width="9" customWidth="1"/>
    <col min="39" max="39" width="9" customWidth="1"/>
    <col min="40" max="40" width="9" customWidth="1"/>
    <col min="41" max="41" width="9" customWidth="1"/>
    <col min="42" max="42" width="9" customWidth="1"/>
  </cols>
  <sheetData>
    <row r="1" ht="30" customHeight="1">
      <c r="A1" s="66" t="inlineStr">
        <is>
          <t xml:space="preserve">CONFIG · CLIENTES E DASHBOARD (TPC)</t>
        </is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8"/>
    </row>
    <row r="2" ht="30" customHeight="1">
      <c r="A2" s="69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</row>
    <row r="3" ht="30" customHeight="1">
      <c r="A3" s="70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preencha as metas na coluna dele; (5) aba Monitoramento (desproteger) › reexiba as linhas de uma vaga livre no fim da aba, digite o nome na coluna CLIENTE e exclua as linhas que ele não usa.</t>
        </is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</row>
    <row r="4" ht="30" customHeight="1">
      <c r="A4" s="70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</row>
    <row r="5" ht="30" customHeight="1">
      <c r="A5" s="70" t="inlineStr">
        <is>
          <t xml:space="preserve">RENOMEAR: troque o nome na tabela 1 e, na BD, use Localizar e Substituir no nome antigo (Ctrl+L / Ctrl+H). O nome da BD precisa ser igual ao da tabela 1.</t>
        </is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</row>
    <row r="7" ht="22" customHeight="1">
      <c r="A7" s="76" t="inlineStr">
        <is>
          <t xml:space="preserve">1 · CLIENTES — 20 vagas · uma linha por cliente: nome, depósito, cards e gráficos do Dashboard (linhas cinza = visão geral, fixas)</t>
        </is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AJ7" s="71" t="inlineStr">
        <is>
          <t xml:space="preserve">CATÁLOGO DE INDICADORES (listas da tabela 1) — rótulo e casas podem ser editados; colunas cinza são técnicas</t>
        </is>
      </c>
      <c r="AK7" s="71"/>
      <c r="AL7" s="71"/>
      <c r="AM7" s="71"/>
      <c r="AN7" s="71"/>
      <c r="AO7" s="71"/>
      <c r="AP7" s="71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CARD IN</t>
        </is>
      </c>
      <c r="E8" s="16" t="inlineStr">
        <is>
          <t xml:space="preserve">IN · linha 1</t>
        </is>
      </c>
      <c r="F8" s="16" t="inlineStr">
        <is>
          <t xml:space="preserve">IN · linha 2 (a)</t>
        </is>
      </c>
      <c r="G8" s="16" t="inlineStr">
        <is>
          <t xml:space="preserve">IN · linha 2 (b)</t>
        </is>
      </c>
      <c r="H8" s="16" t="inlineStr">
        <is>
          <t xml:space="preserve">CARD OUT</t>
        </is>
      </c>
      <c r="I8" s="16" t="inlineStr">
        <is>
          <t xml:space="preserve">OUT · linha 1</t>
        </is>
      </c>
      <c r="J8" s="16" t="inlineStr">
        <is>
          <t xml:space="preserve">OUT · linha 2 (a)</t>
        </is>
      </c>
      <c r="K8" s="16" t="inlineStr">
        <is>
          <t xml:space="preserve">OUT · linha 2 (b)</t>
        </is>
      </c>
      <c r="L8" s="16" t="inlineStr">
        <is>
          <t xml:space="preserve">CARD OCUPAÇÃO</t>
        </is>
      </c>
      <c r="M8" s="16" t="inlineStr">
        <is>
          <t xml:space="preserve">GRÁFICO 2 · IN</t>
        </is>
      </c>
      <c r="N8" s="16" t="inlineStr">
        <is>
          <t xml:space="preserve">GRÁFICO 2 · OUT</t>
        </is>
      </c>
      <c r="O8" s="16" t="inlineStr">
        <is>
          <t xml:space="preserve">GRÁFICO 2 · título diário</t>
        </is>
      </c>
      <c r="P8" s="16" t="inlineStr">
        <is>
          <t xml:space="preserve">GRÁFICO 2 · título semanal</t>
        </is>
      </c>
      <c r="Q8" s="16" t="inlineStr">
        <is>
          <t xml:space="preserve">GRÁFICO 3 · IN</t>
        </is>
      </c>
      <c r="R8" s="16" t="inlineStr">
        <is>
          <t xml:space="preserve">GRÁFICO 3 · OUT</t>
        </is>
      </c>
      <c r="S8" s="16" t="inlineStr">
        <is>
          <t xml:space="preserve">GRÁFICO 3 · título diário</t>
        </is>
      </c>
      <c r="T8" s="16" t="inlineStr">
        <is>
          <t xml:space="preserve">GRÁFICO 3 · título semanal</t>
        </is>
      </c>
      <c r="AJ8" s="16" t="inlineStr">
        <is>
          <t xml:space="preserve">INDICADOR (nome da lista)</t>
        </is>
      </c>
      <c r="AK8" s="16" t="inlineStr">
        <is>
          <t xml:space="preserve">Rótulo no card</t>
        </is>
      </c>
      <c r="AL8" s="16" t="inlineStr">
        <is>
          <t xml:space="preserve">Casas decimais</t>
        </is>
      </c>
      <c r="AM8" s="72" t="inlineStr">
        <is>
          <t xml:space="preserve">Linha no período</t>
        </is>
      </c>
      <c r="AN8" s="72" t="inlineStr">
        <is>
          <t xml:space="preserve">Coluna na série</t>
        </is>
      </c>
      <c r="AO8" s="72" t="inlineStr">
        <is>
          <t xml:space="preserve">Linha divisor</t>
        </is>
      </c>
      <c r="AP8" s="72" t="inlineStr">
        <is>
          <t xml:space="preserve">Coluna divisor</t>
        </is>
      </c>
    </row>
    <row r="9">
      <c r="A9" s="77" t="inlineStr">
        <is>
          <t xml:space="preserve">—</t>
        </is>
      </c>
      <c r="B9" s="78" t="inlineStr">
        <is>
          <t xml:space="preserve">Todos</t>
        </is>
      </c>
      <c r="C9" s="78"/>
      <c r="D9" s="73" t="inlineStr">
        <is>
          <t xml:space="preserve">Sim</t>
        </is>
      </c>
      <c r="E9" s="73" t="inlineStr">
        <is>
          <t xml:space="preserve">Pallets Movimentados IN</t>
        </is>
      </c>
      <c r="F9" s="73" t="inlineStr">
        <is>
          <t xml:space="preserve">Toneladas Movimentadas IN</t>
        </is>
      </c>
      <c r="G9" s="73"/>
      <c r="H9" s="73" t="inlineStr">
        <is>
          <t xml:space="preserve">Sim</t>
        </is>
      </c>
      <c r="I9" s="73" t="inlineStr">
        <is>
          <t xml:space="preserve">Pallets Movimentados OUT</t>
        </is>
      </c>
      <c r="J9" s="73" t="inlineStr">
        <is>
          <t xml:space="preserve">Toneladas Movimentadas OUT</t>
        </is>
      </c>
      <c r="K9" s="73"/>
      <c r="L9" s="73" t="inlineStr">
        <is>
          <t xml:space="preserve">Completo</t>
        </is>
      </c>
      <c r="M9" s="73" t="inlineStr">
        <is>
          <t xml:space="preserve">Pallets Movimentados IN</t>
        </is>
      </c>
      <c r="N9" s="73" t="inlineStr">
        <is>
          <t xml:space="preserve">Pallets Movimentados OUT</t>
        </is>
      </c>
      <c r="O9" s="73" t="inlineStr">
        <is>
          <t xml:space="preserve">MOVIMENTAÇÃO PALETES/DIA</t>
        </is>
      </c>
      <c r="P9" s="73" t="inlineStr">
        <is>
          <t xml:space="preserve">ACUMULADO SEMANAL PALETES</t>
        </is>
      </c>
      <c r="Q9" s="73" t="inlineStr">
        <is>
          <t xml:space="preserve">Toneladas Movimentadas IN</t>
        </is>
      </c>
      <c r="R9" s="73" t="inlineStr">
        <is>
          <t xml:space="preserve">Toneladas Movimentadas OUT</t>
        </is>
      </c>
      <c r="S9" s="73" t="inlineStr">
        <is>
          <t xml:space="preserve">MOVIMENTAÇÃO TONS/DIA</t>
        </is>
      </c>
      <c r="T9" s="73" t="inlineStr">
        <is>
          <t xml:space="preserve">ACUMULADO SEMANAL TONS</t>
        </is>
      </c>
      <c r="AJ9" s="40" t="inlineStr">
        <is>
          <t xml:space="preserve">Pallets Movimentados IN</t>
        </is>
      </c>
      <c r="AK9" s="73" t="inlineStr">
        <is>
          <t xml:space="preserve">pallets movimentados</t>
        </is>
      </c>
      <c r="AL9" s="74">
        <v>0</v>
      </c>
      <c r="AM9" s="75">
        <v>2</v>
      </c>
      <c r="AN9" s="75">
        <v>2</v>
      </c>
      <c r="AO9" s="75">
        <v>0</v>
      </c>
      <c r="AP9" s="75">
        <v>0</v>
      </c>
    </row>
    <row r="10">
      <c r="A10" s="77">
        <v>1</v>
      </c>
      <c r="B10" s="79" t="inlineStr">
        <is>
          <t xml:space="preserve">Alpargatas</t>
        </is>
      </c>
      <c r="C10" s="73" t="inlineStr">
        <is>
          <t xml:space="preserve">TPC</t>
        </is>
      </c>
      <c r="D10" s="73" t="inlineStr">
        <is>
          <t xml:space="preserve">Sim</t>
        </is>
      </c>
      <c r="E10" s="73" t="inlineStr">
        <is>
          <t xml:space="preserve">Caixas Movimentadas IN</t>
        </is>
      </c>
      <c r="F10" s="73" t="inlineStr">
        <is>
          <t xml:space="preserve">Caixas Movimentadas IN por veículo</t>
        </is>
      </c>
      <c r="G10" s="73"/>
      <c r="H10" s="73" t="inlineStr">
        <is>
          <t xml:space="preserve">Sim</t>
        </is>
      </c>
      <c r="I10" s="73" t="inlineStr">
        <is>
          <t xml:space="preserve">Caixas Expedidas OUT</t>
        </is>
      </c>
      <c r="J10" s="73" t="inlineStr">
        <is>
          <t xml:space="preserve">Caixas Expedidas OUT por veículo</t>
        </is>
      </c>
      <c r="K10" s="73"/>
      <c r="L10" s="73" t="inlineStr">
        <is>
          <t xml:space="preserve">Completo</t>
        </is>
      </c>
      <c r="M10" s="73" t="inlineStr">
        <is>
          <t xml:space="preserve">Caixas Movimentadas IN</t>
        </is>
      </c>
      <c r="N10" s="73" t="inlineStr">
        <is>
          <t xml:space="preserve">Caixas Expedidas OUT</t>
        </is>
      </c>
      <c r="O10" s="73" t="inlineStr">
        <is>
          <t xml:space="preserve">MOVIMENTAÇÃO CAIXAS/DIA</t>
        </is>
      </c>
      <c r="P10" s="73" t="inlineStr">
        <is>
          <t xml:space="preserve">ACUMULADO SEMANAL CAIXAS</t>
        </is>
      </c>
      <c r="Q10" s="73" t="inlineStr">
        <is>
          <t xml:space="preserve">Caixas Movimentadas IN por veículo</t>
        </is>
      </c>
      <c r="R10" s="73" t="inlineStr">
        <is>
          <t xml:space="preserve">Caixas Expedidas OUT por veículo</t>
        </is>
      </c>
      <c r="S10" s="73" t="inlineStr">
        <is>
          <t xml:space="preserve">CAIXAS POR VEÍCULO/DIA</t>
        </is>
      </c>
      <c r="T10" s="73" t="inlineStr">
        <is>
          <t xml:space="preserve">MÉDIA SEMANAL CAIXAS POR VEÍCULO</t>
        </is>
      </c>
      <c r="AJ10" s="40" t="inlineStr">
        <is>
          <t xml:space="preserve">Pallets Movimentados IN por veículo</t>
        </is>
      </c>
      <c r="AK10" s="73" t="inlineStr">
        <is>
          <t xml:space="preserve">pallets movimentados por veículo</t>
        </is>
      </c>
      <c r="AL10" s="74">
        <v>1</v>
      </c>
      <c r="AM10" s="75">
        <v>2</v>
      </c>
      <c r="AN10" s="75">
        <v>2</v>
      </c>
      <c r="AO10" s="75">
        <v>1</v>
      </c>
      <c r="AP10" s="75">
        <v>1</v>
      </c>
    </row>
    <row r="11">
      <c r="A11" s="77">
        <v>2</v>
      </c>
      <c r="B11" s="79" t="inlineStr">
        <is>
          <t xml:space="preserve">Basf</t>
        </is>
      </c>
      <c r="C11" s="73" t="inlineStr">
        <is>
          <t xml:space="preserve">TPC</t>
        </is>
      </c>
      <c r="D11" s="73" t="inlineStr">
        <is>
          <t xml:space="preserve">Sim</t>
        </is>
      </c>
      <c r="E11" s="73" t="inlineStr">
        <is>
          <t xml:space="preserve">Pallets Movimentados IN</t>
        </is>
      </c>
      <c r="F11" s="73" t="inlineStr">
        <is>
          <t xml:space="preserve">Toneladas Movimentadas IN</t>
        </is>
      </c>
      <c r="G11" s="73"/>
      <c r="H11" s="73" t="inlineStr">
        <is>
          <t xml:space="preserve">Sim</t>
        </is>
      </c>
      <c r="I11" s="73" t="inlineStr">
        <is>
          <t xml:space="preserve">Pallets Movimentados OUT</t>
        </is>
      </c>
      <c r="J11" s="73" t="inlineStr">
        <is>
          <t xml:space="preserve">Toneladas Movimentadas OUT</t>
        </is>
      </c>
      <c r="K11" s="73"/>
      <c r="L11" s="73" t="inlineStr">
        <is>
          <t xml:space="preserve">Completo</t>
        </is>
      </c>
      <c r="M11" s="73" t="inlineStr">
        <is>
          <t xml:space="preserve">Pallets Movimentados IN</t>
        </is>
      </c>
      <c r="N11" s="73" t="inlineStr">
        <is>
          <t xml:space="preserve">Pallets Movimentados OUT</t>
        </is>
      </c>
      <c r="O11" s="73" t="inlineStr">
        <is>
          <t xml:space="preserve">MOVIMENTAÇÃO PALETES/DIA</t>
        </is>
      </c>
      <c r="P11" s="73" t="inlineStr">
        <is>
          <t xml:space="preserve">ACUMULADO SEMANAL PALETES</t>
        </is>
      </c>
      <c r="Q11" s="73" t="inlineStr">
        <is>
          <t xml:space="preserve">Toneladas Movimentadas IN</t>
        </is>
      </c>
      <c r="R11" s="73" t="inlineStr">
        <is>
          <t xml:space="preserve">Toneladas Movimentadas OUT</t>
        </is>
      </c>
      <c r="S11" s="73" t="inlineStr">
        <is>
          <t xml:space="preserve">MOVIMENTAÇÃO TONS/DIA</t>
        </is>
      </c>
      <c r="T11" s="73" t="inlineStr">
        <is>
          <t xml:space="preserve">ACUMULADO SEMANAL TONS</t>
        </is>
      </c>
      <c r="AJ11" s="40" t="inlineStr">
        <is>
          <t xml:space="preserve">Toneladas Movimentadas IN</t>
        </is>
      </c>
      <c r="AK11" s="73" t="inlineStr">
        <is>
          <t xml:space="preserve">t movimentadas</t>
        </is>
      </c>
      <c r="AL11" s="74">
        <v>1</v>
      </c>
      <c r="AM11" s="75">
        <v>3</v>
      </c>
      <c r="AN11" s="75">
        <v>3</v>
      </c>
      <c r="AO11" s="75">
        <v>0</v>
      </c>
      <c r="AP11" s="75">
        <v>0</v>
      </c>
    </row>
    <row r="12">
      <c r="A12" s="77">
        <v>3</v>
      </c>
      <c r="B12" s="79" t="inlineStr">
        <is>
          <t xml:space="preserve">Beautybiz</t>
        </is>
      </c>
      <c r="C12" s="73" t="inlineStr">
        <is>
          <t xml:space="preserve">TPC</t>
        </is>
      </c>
      <c r="D12" s="73" t="inlineStr">
        <is>
          <t xml:space="preserve">Sim</t>
        </is>
      </c>
      <c r="E12" s="73" t="inlineStr">
        <is>
          <t xml:space="preserve">Pallets Movimentados IN</t>
        </is>
      </c>
      <c r="F12" s="73" t="inlineStr">
        <is>
          <t xml:space="preserve">Caixas Movimentadas IN</t>
        </is>
      </c>
      <c r="G12" s="73"/>
      <c r="H12" s="73" t="inlineStr">
        <is>
          <t xml:space="preserve">Sim</t>
        </is>
      </c>
      <c r="I12" s="73" t="inlineStr">
        <is>
          <t xml:space="preserve">Pallets Movimentados OUT</t>
        </is>
      </c>
      <c r="J12" s="73" t="inlineStr">
        <is>
          <t xml:space="preserve">Pedidos Expedidos OUT</t>
        </is>
      </c>
      <c r="K12" s="73"/>
      <c r="L12" s="73" t="inlineStr">
        <is>
          <t xml:space="preserve">Completo</t>
        </is>
      </c>
      <c r="M12" s="73" t="inlineStr">
        <is>
          <t xml:space="preserve">Pallets Movimentados IN</t>
        </is>
      </c>
      <c r="N12" s="73" t="inlineStr">
        <is>
          <t xml:space="preserve">Pallets Movimentados OUT</t>
        </is>
      </c>
      <c r="O12" s="73" t="inlineStr">
        <is>
          <t xml:space="preserve">MOVIMENTAÇÃO PALETES/DIA</t>
        </is>
      </c>
      <c r="P12" s="73" t="inlineStr">
        <is>
          <t xml:space="preserve">ACUMULADO SEMANAL PALETES</t>
        </is>
      </c>
      <c r="Q12" s="73" t="inlineStr">
        <is>
          <t xml:space="preserve">Caixas Movimentadas IN</t>
        </is>
      </c>
      <c r="R12" s="73" t="inlineStr">
        <is>
          <t xml:space="preserve">Pedidos Expedidos OUT</t>
        </is>
      </c>
      <c r="S12" s="73" t="inlineStr">
        <is>
          <t xml:space="preserve">MOVIMENTAÇÃO CAIXAS (IN) × PEDIDOS (OUT)/DIA</t>
        </is>
      </c>
      <c r="T12" s="73" t="inlineStr">
        <is>
          <t xml:space="preserve">ACUMULADO SEMANAL CAIXAS (IN) × PEDIDOS (OUT)</t>
        </is>
      </c>
      <c r="AJ12" s="40" t="inlineStr">
        <is>
          <t xml:space="preserve">Toneladas Movimentadas IN por veículo</t>
        </is>
      </c>
      <c r="AK12" s="73" t="inlineStr">
        <is>
          <t xml:space="preserve">t movimentadas por veículo</t>
        </is>
      </c>
      <c r="AL12" s="74">
        <v>1</v>
      </c>
      <c r="AM12" s="75">
        <v>3</v>
      </c>
      <c r="AN12" s="75">
        <v>3</v>
      </c>
      <c r="AO12" s="75">
        <v>1</v>
      </c>
      <c r="AP12" s="75">
        <v>1</v>
      </c>
    </row>
    <row r="13">
      <c r="A13" s="77">
        <v>4</v>
      </c>
      <c r="B13" s="79" t="inlineStr">
        <is>
          <t xml:space="preserve">Boticário</t>
        </is>
      </c>
      <c r="C13" s="73" t="inlineStr">
        <is>
          <t xml:space="preserve">TPC</t>
        </is>
      </c>
      <c r="D13" s="73" t="inlineStr">
        <is>
          <t xml:space="preserve">Sim</t>
        </is>
      </c>
      <c r="E13" s="73" t="inlineStr">
        <is>
          <t xml:space="preserve">Pallets Movimentados IN</t>
        </is>
      </c>
      <c r="F13" s="73" t="inlineStr">
        <is>
          <t xml:space="preserve">Caixas Movimentadas IN</t>
        </is>
      </c>
      <c r="G13" s="73" t="inlineStr">
        <is>
          <t xml:space="preserve">Itens Recebidos CX Mista IN</t>
        </is>
      </c>
      <c r="H13" s="73" t="inlineStr">
        <is>
          <t xml:space="preserve">Sim</t>
        </is>
      </c>
      <c r="I13" s="73" t="inlineStr">
        <is>
          <t xml:space="preserve">Pallets Movimentados OUT</t>
        </is>
      </c>
      <c r="J13" s="73" t="inlineStr">
        <is>
          <t xml:space="preserve">Caixas Expedidas OUT</t>
        </is>
      </c>
      <c r="K13" s="73" t="inlineStr">
        <is>
          <t xml:space="preserve">Pedidos Faturados OUT</t>
        </is>
      </c>
      <c r="L13" s="73" t="inlineStr">
        <is>
          <t xml:space="preserve">Completo</t>
        </is>
      </c>
      <c r="M13" s="73" t="inlineStr">
        <is>
          <t xml:space="preserve">Pallets Movimentados IN</t>
        </is>
      </c>
      <c r="N13" s="73" t="inlineStr">
        <is>
          <t xml:space="preserve">Pallets Movimentados OUT</t>
        </is>
      </c>
      <c r="O13" s="73" t="inlineStr">
        <is>
          <t xml:space="preserve">MOVIMENTAÇÃO PALETES/DIA</t>
        </is>
      </c>
      <c r="P13" s="73" t="inlineStr">
        <is>
          <t xml:space="preserve">ACUMULADO SEMANAL PALETES</t>
        </is>
      </c>
      <c r="Q13" s="73" t="inlineStr">
        <is>
          <t xml:space="preserve">Caixas Movimentadas IN</t>
        </is>
      </c>
      <c r="R13" s="73" t="inlineStr">
        <is>
          <t xml:space="preserve">Caixas Expedidas OUT</t>
        </is>
      </c>
      <c r="S13" s="73" t="inlineStr">
        <is>
          <t xml:space="preserve">MOVIMENTAÇÃO CAIXAS/DIA</t>
        </is>
      </c>
      <c r="T13" s="73" t="inlineStr">
        <is>
          <t xml:space="preserve">ACUMULADO SEMANAL CAIXAS</t>
        </is>
      </c>
      <c r="AJ13" s="40" t="inlineStr">
        <is>
          <t xml:space="preserve">Pallets Movimentados OUT</t>
        </is>
      </c>
      <c r="AK13" s="73" t="inlineStr">
        <is>
          <t xml:space="preserve">pallets movimentados</t>
        </is>
      </c>
      <c r="AL13" s="74">
        <v>0</v>
      </c>
      <c r="AM13" s="75">
        <v>5</v>
      </c>
      <c r="AN13" s="75">
        <v>16</v>
      </c>
      <c r="AO13" s="75">
        <v>0</v>
      </c>
      <c r="AP13" s="75">
        <v>0</v>
      </c>
    </row>
    <row r="14">
      <c r="A14" s="77">
        <v>5</v>
      </c>
      <c r="B14" s="79" t="inlineStr">
        <is>
          <t xml:space="preserve">Confiance</t>
        </is>
      </c>
      <c r="C14" s="73" t="inlineStr">
        <is>
          <t xml:space="preserve">TPC</t>
        </is>
      </c>
      <c r="D14" s="73" t="inlineStr">
        <is>
          <t xml:space="preserve">Sim</t>
        </is>
      </c>
      <c r="E14" s="73" t="inlineStr">
        <is>
          <t xml:space="preserve">Pallets Movimentados IN</t>
        </is>
      </c>
      <c r="F14" s="73" t="inlineStr">
        <is>
          <t xml:space="preserve">Toneladas Movimentadas IN</t>
        </is>
      </c>
      <c r="G14" s="73"/>
      <c r="H14" s="73" t="inlineStr">
        <is>
          <t xml:space="preserve">Sim</t>
        </is>
      </c>
      <c r="I14" s="73" t="inlineStr">
        <is>
          <t xml:space="preserve">Pallets Movimentados OUT</t>
        </is>
      </c>
      <c r="J14" s="73" t="inlineStr">
        <is>
          <t xml:space="preserve">Toneladas Movimentadas OUT</t>
        </is>
      </c>
      <c r="K14" s="73"/>
      <c r="L14" s="73" t="inlineStr">
        <is>
          <t xml:space="preserve">Completo</t>
        </is>
      </c>
      <c r="M14" s="73" t="inlineStr">
        <is>
          <t xml:space="preserve">Pallets Movimentados IN</t>
        </is>
      </c>
      <c r="N14" s="73" t="inlineStr">
        <is>
          <t xml:space="preserve">Pallets Movimentados OUT</t>
        </is>
      </c>
      <c r="O14" s="73" t="inlineStr">
        <is>
          <t xml:space="preserve">MOVIMENTAÇÃO PALETES/DIA</t>
        </is>
      </c>
      <c r="P14" s="73" t="inlineStr">
        <is>
          <t xml:space="preserve">ACUMULADO SEMANAL PALETES</t>
        </is>
      </c>
      <c r="Q14" s="73" t="inlineStr">
        <is>
          <t xml:space="preserve">Toneladas Movimentadas IN</t>
        </is>
      </c>
      <c r="R14" s="73" t="inlineStr">
        <is>
          <t xml:space="preserve">Toneladas Movimentadas OUT</t>
        </is>
      </c>
      <c r="S14" s="73" t="inlineStr">
        <is>
          <t xml:space="preserve">MOVIMENTAÇÃO TONS/DIA</t>
        </is>
      </c>
      <c r="T14" s="73" t="inlineStr">
        <is>
          <t xml:space="preserve">ACUMULADO SEMANAL TONS</t>
        </is>
      </c>
      <c r="AJ14" s="40" t="inlineStr">
        <is>
          <t xml:space="preserve">Pallets Movimentados OUT por veículo</t>
        </is>
      </c>
      <c r="AK14" s="73" t="inlineStr">
        <is>
          <t xml:space="preserve">pallets movimentados por veículo</t>
        </is>
      </c>
      <c r="AL14" s="74">
        <v>1</v>
      </c>
      <c r="AM14" s="75">
        <v>5</v>
      </c>
      <c r="AN14" s="75">
        <v>16</v>
      </c>
      <c r="AO14" s="75">
        <v>4</v>
      </c>
      <c r="AP14" s="75">
        <v>10</v>
      </c>
    </row>
    <row r="15">
      <c r="A15" s="77">
        <v>6</v>
      </c>
      <c r="B15" s="79" t="inlineStr">
        <is>
          <t xml:space="preserve">GE Vernova</t>
        </is>
      </c>
      <c r="C15" s="73" t="inlineStr">
        <is>
          <t xml:space="preserve">TPC</t>
        </is>
      </c>
      <c r="D15" s="73" t="inlineStr">
        <is>
          <t xml:space="preserve">Sim</t>
        </is>
      </c>
      <c r="E15" s="73" t="inlineStr">
        <is>
          <t xml:space="preserve">Pallets Movimentados IN</t>
        </is>
      </c>
      <c r="F15" s="73" t="inlineStr">
        <is>
          <t xml:space="preserve">Linhas NF IN</t>
        </is>
      </c>
      <c r="G15" s="73"/>
      <c r="H15" s="73" t="inlineStr">
        <is>
          <t xml:space="preserve">Sim</t>
        </is>
      </c>
      <c r="I15" s="73" t="inlineStr">
        <is>
          <t xml:space="preserve">Pallets Movimentados OUT</t>
        </is>
      </c>
      <c r="J15" s="73" t="inlineStr">
        <is>
          <t xml:space="preserve">Linhas NF OUT</t>
        </is>
      </c>
      <c r="K15" s="73"/>
      <c r="L15" s="73" t="inlineStr">
        <is>
          <t xml:space="preserve">Completo</t>
        </is>
      </c>
      <c r="M15" s="73" t="inlineStr">
        <is>
          <t xml:space="preserve">Pallets Movimentados IN</t>
        </is>
      </c>
      <c r="N15" s="73" t="inlineStr">
        <is>
          <t xml:space="preserve">Pallets Movimentados OUT</t>
        </is>
      </c>
      <c r="O15" s="73" t="inlineStr">
        <is>
          <t xml:space="preserve">MOVIMENTAÇÃO PALETES/DIA</t>
        </is>
      </c>
      <c r="P15" s="73" t="inlineStr">
        <is>
          <t xml:space="preserve">ACUMULADO SEMANAL PALETES</t>
        </is>
      </c>
      <c r="Q15" s="73" t="inlineStr">
        <is>
          <t xml:space="preserve">Linhas NF IN</t>
        </is>
      </c>
      <c r="R15" s="73" t="inlineStr">
        <is>
          <t xml:space="preserve">Linhas NF OUT</t>
        </is>
      </c>
      <c r="S15" s="73" t="inlineStr">
        <is>
          <t xml:space="preserve">MOVIMENTAÇÃO LINHAS NF/DIA</t>
        </is>
      </c>
      <c r="T15" s="73" t="inlineStr">
        <is>
          <t xml:space="preserve">ACUMULADO SEMANAL LINHAS NF</t>
        </is>
      </c>
      <c r="AJ15" s="40" t="inlineStr">
        <is>
          <t xml:space="preserve">Toneladas Movimentadas OUT</t>
        </is>
      </c>
      <c r="AK15" s="73" t="inlineStr">
        <is>
          <t xml:space="preserve">t movimentadas</t>
        </is>
      </c>
      <c r="AL15" s="74">
        <v>1</v>
      </c>
      <c r="AM15" s="75">
        <v>6</v>
      </c>
      <c r="AN15" s="75">
        <v>17</v>
      </c>
      <c r="AO15" s="75">
        <v>0</v>
      </c>
      <c r="AP15" s="75">
        <v>0</v>
      </c>
    </row>
    <row r="16">
      <c r="A16" s="77">
        <v>7</v>
      </c>
      <c r="B16" s="79" t="inlineStr">
        <is>
          <t xml:space="preserve">Omnilife</t>
        </is>
      </c>
      <c r="C16" s="73" t="inlineStr">
        <is>
          <t xml:space="preserve">TPC</t>
        </is>
      </c>
      <c r="D16" s="73" t="inlineStr">
        <is>
          <t xml:space="preserve">Sim</t>
        </is>
      </c>
      <c r="E16" s="73" t="inlineStr">
        <is>
          <t xml:space="preserve">Pallets Movimentados IN</t>
        </is>
      </c>
      <c r="F16" s="73" t="inlineStr">
        <is>
          <t xml:space="preserve">Pallets Movimentados IN por veículo</t>
        </is>
      </c>
      <c r="G16" s="73"/>
      <c r="H16" s="73" t="inlineStr">
        <is>
          <t xml:space="preserve">Sim</t>
        </is>
      </c>
      <c r="I16" s="73" t="inlineStr">
        <is>
          <t xml:space="preserve">Pallets Movimentados OUT</t>
        </is>
      </c>
      <c r="J16" s="73" t="inlineStr">
        <is>
          <t xml:space="preserve">Pallets Movimentados OUT por veículo</t>
        </is>
      </c>
      <c r="K16" s="73"/>
      <c r="L16" s="73" t="inlineStr">
        <is>
          <t xml:space="preserve">Completo</t>
        </is>
      </c>
      <c r="M16" s="73" t="inlineStr">
        <is>
          <t xml:space="preserve">Pallets Movimentados IN</t>
        </is>
      </c>
      <c r="N16" s="73" t="inlineStr">
        <is>
          <t xml:space="preserve">Pallets Movimentados OUT</t>
        </is>
      </c>
      <c r="O16" s="73" t="inlineStr">
        <is>
          <t xml:space="preserve">MOVIMENTAÇÃO PALETES/DIA</t>
        </is>
      </c>
      <c r="P16" s="73" t="inlineStr">
        <is>
          <t xml:space="preserve">ACUMULADO SEMANAL PALETES</t>
        </is>
      </c>
      <c r="Q16" s="73" t="inlineStr">
        <is>
          <t xml:space="preserve">Pallets Movimentados IN por veículo</t>
        </is>
      </c>
      <c r="R16" s="73" t="inlineStr">
        <is>
          <t xml:space="preserve">Pallets Movimentados OUT por veículo</t>
        </is>
      </c>
      <c r="S16" s="73" t="inlineStr">
        <is>
          <t xml:space="preserve">PALETES POR VEÍCULO/DIA</t>
        </is>
      </c>
      <c r="T16" s="73" t="inlineStr">
        <is>
          <t xml:space="preserve">MÉDIA SEMANAL PALETES POR VEÍCULO</t>
        </is>
      </c>
      <c r="AJ16" s="40" t="inlineStr">
        <is>
          <t xml:space="preserve">Toneladas Movimentadas OUT por veículo</t>
        </is>
      </c>
      <c r="AK16" s="73" t="inlineStr">
        <is>
          <t xml:space="preserve">t movimentadas por veículo</t>
        </is>
      </c>
      <c r="AL16" s="74">
        <v>1</v>
      </c>
      <c r="AM16" s="75">
        <v>6</v>
      </c>
      <c r="AN16" s="75">
        <v>17</v>
      </c>
      <c r="AO16" s="75">
        <v>4</v>
      </c>
      <c r="AP16" s="75">
        <v>10</v>
      </c>
    </row>
    <row r="17">
      <c r="A17" s="77">
        <v>8</v>
      </c>
      <c r="B17" s="79" t="inlineStr">
        <is>
          <t xml:space="preserve">Supply</t>
        </is>
      </c>
      <c r="C17" s="73" t="inlineStr">
        <is>
          <t xml:space="preserve">TPC</t>
        </is>
      </c>
      <c r="D17" s="73" t="inlineStr">
        <is>
          <t xml:space="preserve">Sim</t>
        </is>
      </c>
      <c r="E17" s="73" t="inlineStr">
        <is>
          <t xml:space="preserve">Pallets Movimentados IN</t>
        </is>
      </c>
      <c r="F17" s="73" t="inlineStr">
        <is>
          <t xml:space="preserve">Toneladas Movimentadas IN</t>
        </is>
      </c>
      <c r="G17" s="73"/>
      <c r="H17" s="73" t="inlineStr">
        <is>
          <t xml:space="preserve">Sim</t>
        </is>
      </c>
      <c r="I17" s="73" t="inlineStr">
        <is>
          <t xml:space="preserve">Pallets Movimentados OUT</t>
        </is>
      </c>
      <c r="J17" s="73" t="inlineStr">
        <is>
          <t xml:space="preserve">Toneladas Movimentadas OUT</t>
        </is>
      </c>
      <c r="K17" s="73"/>
      <c r="L17" s="73" t="inlineStr">
        <is>
          <t xml:space="preserve">Completo</t>
        </is>
      </c>
      <c r="M17" s="73" t="inlineStr">
        <is>
          <t xml:space="preserve">Pallets Movimentados IN</t>
        </is>
      </c>
      <c r="N17" s="73" t="inlineStr">
        <is>
          <t xml:space="preserve">Pallets Movimentados OUT</t>
        </is>
      </c>
      <c r="O17" s="73" t="inlineStr">
        <is>
          <t xml:space="preserve">MOVIMENTAÇÃO PALETES/DIA</t>
        </is>
      </c>
      <c r="P17" s="73" t="inlineStr">
        <is>
          <t xml:space="preserve">ACUMULADO SEMANAL PALETES</t>
        </is>
      </c>
      <c r="Q17" s="73" t="inlineStr">
        <is>
          <t xml:space="preserve">Toneladas Movimentadas IN</t>
        </is>
      </c>
      <c r="R17" s="73" t="inlineStr">
        <is>
          <t xml:space="preserve">Toneladas Movimentadas OUT</t>
        </is>
      </c>
      <c r="S17" s="73" t="inlineStr">
        <is>
          <t xml:space="preserve">MOVIMENTAÇÃO TONS/DIA</t>
        </is>
      </c>
      <c r="T17" s="73" t="inlineStr">
        <is>
          <t xml:space="preserve">ACUMULADO SEMANAL TONS</t>
        </is>
      </c>
      <c r="AJ17" s="40" t="inlineStr">
        <is>
          <t xml:space="preserve">Linhas NF IN</t>
        </is>
      </c>
      <c r="AK17" s="73" t="inlineStr">
        <is>
          <t xml:space="preserve">linhas NF</t>
        </is>
      </c>
      <c r="AL17" s="74">
        <v>0</v>
      </c>
      <c r="AM17" s="75">
        <v>25</v>
      </c>
      <c r="AN17" s="75">
        <v>4</v>
      </c>
      <c r="AO17" s="75">
        <v>0</v>
      </c>
      <c r="AP17" s="75">
        <v>0</v>
      </c>
    </row>
    <row r="18">
      <c r="A18" s="77">
        <v>9</v>
      </c>
      <c r="B18" s="79" t="inlineStr">
        <is>
          <t xml:space="preserve">Vedacit</t>
        </is>
      </c>
      <c r="C18" s="73" t="inlineStr">
        <is>
          <t xml:space="preserve">TPC</t>
        </is>
      </c>
      <c r="D18" s="73" t="inlineStr">
        <is>
          <t xml:space="preserve">Sim</t>
        </is>
      </c>
      <c r="E18" s="73" t="inlineStr">
        <is>
          <t xml:space="preserve">Pallets Movimentados IN</t>
        </is>
      </c>
      <c r="F18" s="73" t="inlineStr">
        <is>
          <t xml:space="preserve">Pallets Movimentados IN por veículo</t>
        </is>
      </c>
      <c r="G18" s="73"/>
      <c r="H18" s="73" t="inlineStr">
        <is>
          <t xml:space="preserve">Sim</t>
        </is>
      </c>
      <c r="I18" s="73" t="inlineStr">
        <is>
          <t xml:space="preserve">Pallets Movimentados OUT</t>
        </is>
      </c>
      <c r="J18" s="73" t="inlineStr">
        <is>
          <t xml:space="preserve">Pallets Movimentados OUT por veículo</t>
        </is>
      </c>
      <c r="K18" s="73"/>
      <c r="L18" s="73" t="inlineStr">
        <is>
          <t xml:space="preserve">Completo</t>
        </is>
      </c>
      <c r="M18" s="73" t="inlineStr">
        <is>
          <t xml:space="preserve">Pallets Movimentados IN</t>
        </is>
      </c>
      <c r="N18" s="73" t="inlineStr">
        <is>
          <t xml:space="preserve">Pallets Movimentados OUT</t>
        </is>
      </c>
      <c r="O18" s="73" t="inlineStr">
        <is>
          <t xml:space="preserve">MOVIMENTAÇÃO PALETES/DIA</t>
        </is>
      </c>
      <c r="P18" s="73" t="inlineStr">
        <is>
          <t xml:space="preserve">ACUMULADO SEMANAL PALETES</t>
        </is>
      </c>
      <c r="Q18" s="73" t="inlineStr">
        <is>
          <t xml:space="preserve">Pallets Movimentados IN por veículo</t>
        </is>
      </c>
      <c r="R18" s="73" t="inlineStr">
        <is>
          <t xml:space="preserve">Pallets Movimentados OUT por veículo</t>
        </is>
      </c>
      <c r="S18" s="73" t="inlineStr">
        <is>
          <t xml:space="preserve">PALETES POR VEÍCULO/DIA</t>
        </is>
      </c>
      <c r="T18" s="73" t="inlineStr">
        <is>
          <t xml:space="preserve">MÉDIA SEMANAL PALETES POR VEÍCULO</t>
        </is>
      </c>
      <c r="AJ18" s="40" t="inlineStr">
        <is>
          <t xml:space="preserve">Linhas NF IN por veículo</t>
        </is>
      </c>
      <c r="AK18" s="73" t="inlineStr">
        <is>
          <t xml:space="preserve">linhas NF por veículo</t>
        </is>
      </c>
      <c r="AL18" s="74">
        <v>1</v>
      </c>
      <c r="AM18" s="75">
        <v>25</v>
      </c>
      <c r="AN18" s="75">
        <v>4</v>
      </c>
      <c r="AO18" s="75">
        <v>1</v>
      </c>
      <c r="AP18" s="75">
        <v>1</v>
      </c>
    </row>
    <row r="19">
      <c r="A19" s="77">
        <v>10</v>
      </c>
      <c r="B19" s="79" t="inlineStr">
        <is>
          <t xml:space="preserve">Vestas</t>
        </is>
      </c>
      <c r="C19" s="73" t="inlineStr">
        <is>
          <t xml:space="preserve">TPC</t>
        </is>
      </c>
      <c r="D19" s="73" t="inlineStr">
        <is>
          <t xml:space="preserve">Sim</t>
        </is>
      </c>
      <c r="E19" s="73" t="inlineStr">
        <is>
          <t xml:space="preserve">Linhas NF IN</t>
        </is>
      </c>
      <c r="F19" s="73" t="inlineStr">
        <is>
          <t xml:space="preserve">Linhas NF IN por veículo</t>
        </is>
      </c>
      <c r="G19" s="73"/>
      <c r="H19" s="73" t="inlineStr">
        <is>
          <t xml:space="preserve">Sim</t>
        </is>
      </c>
      <c r="I19" s="73" t="inlineStr">
        <is>
          <t xml:space="preserve">Linhas NF OUT</t>
        </is>
      </c>
      <c r="J19" s="73" t="inlineStr">
        <is>
          <t xml:space="preserve">Linhas NF OUT por veículo</t>
        </is>
      </c>
      <c r="K19" s="73"/>
      <c r="L19" s="73" t="inlineStr">
        <is>
          <t xml:space="preserve">Completo</t>
        </is>
      </c>
      <c r="M19" s="73" t="inlineStr">
        <is>
          <t xml:space="preserve">Linhas NF IN</t>
        </is>
      </c>
      <c r="N19" s="73" t="inlineStr">
        <is>
          <t xml:space="preserve">Linhas NF OUT</t>
        </is>
      </c>
      <c r="O19" s="73" t="inlineStr">
        <is>
          <t xml:space="preserve">MOVIMENTAÇÃO LINHAS NF/DIA</t>
        </is>
      </c>
      <c r="P19" s="73" t="inlineStr">
        <is>
          <t xml:space="preserve">ACUMULADO SEMANAL LINHAS NF</t>
        </is>
      </c>
      <c r="Q19" s="73" t="inlineStr">
        <is>
          <t xml:space="preserve">Linhas NF IN por veículo</t>
        </is>
      </c>
      <c r="R19" s="73" t="inlineStr">
        <is>
          <t xml:space="preserve">Linhas NF OUT por veículo</t>
        </is>
      </c>
      <c r="S19" s="73" t="inlineStr">
        <is>
          <t xml:space="preserve">LINHAS NF POR VEÍCULO/DIA</t>
        </is>
      </c>
      <c r="T19" s="73" t="inlineStr">
        <is>
          <t xml:space="preserve">MÉDIA SEMANAL LINHAS NF POR VEÍCULO</t>
        </is>
      </c>
      <c r="AJ19" s="40" t="inlineStr">
        <is>
          <t xml:space="preserve">Caixas Movimentadas IN</t>
        </is>
      </c>
      <c r="AK19" s="73" t="inlineStr">
        <is>
          <t xml:space="preserve">caixas movimentadas</t>
        </is>
      </c>
      <c r="AL19" s="74">
        <v>0</v>
      </c>
      <c r="AM19" s="75">
        <v>26</v>
      </c>
      <c r="AN19" s="75">
        <v>5</v>
      </c>
      <c r="AO19" s="75">
        <v>0</v>
      </c>
      <c r="AP19" s="75">
        <v>0</v>
      </c>
    </row>
    <row r="20">
      <c r="A20" s="77">
        <v>11</v>
      </c>
      <c r="B20" s="79"/>
      <c r="C20" s="73"/>
      <c r="D20" s="73" t="inlineStr">
        <is>
          <t xml:space="preserve">Sim</t>
        </is>
      </c>
      <c r="E20" s="73" t="inlineStr">
        <is>
          <t xml:space="preserve">Pallets Movimentados IN</t>
        </is>
      </c>
      <c r="F20" s="73" t="inlineStr">
        <is>
          <t xml:space="preserve">Toneladas Movimentadas IN</t>
        </is>
      </c>
      <c r="G20" s="73"/>
      <c r="H20" s="73" t="inlineStr">
        <is>
          <t xml:space="preserve">Sim</t>
        </is>
      </c>
      <c r="I20" s="73" t="inlineStr">
        <is>
          <t xml:space="preserve">Pallets Movimentados OUT</t>
        </is>
      </c>
      <c r="J20" s="73" t="inlineStr">
        <is>
          <t xml:space="preserve">Toneladas Movimentadas OUT</t>
        </is>
      </c>
      <c r="K20" s="73"/>
      <c r="L20" s="73" t="inlineStr">
        <is>
          <t xml:space="preserve">Completo</t>
        </is>
      </c>
      <c r="M20" s="73" t="inlineStr">
        <is>
          <t xml:space="preserve">Pallets Movimentados IN</t>
        </is>
      </c>
      <c r="N20" s="73" t="inlineStr">
        <is>
          <t xml:space="preserve">Pallets Movimentados OUT</t>
        </is>
      </c>
      <c r="O20" s="73" t="inlineStr">
        <is>
          <t xml:space="preserve">MOVIMENTAÇÃO PALETES/DIA</t>
        </is>
      </c>
      <c r="P20" s="73" t="inlineStr">
        <is>
          <t xml:space="preserve">ACUMULADO SEMANAL PALETES</t>
        </is>
      </c>
      <c r="Q20" s="73" t="inlineStr">
        <is>
          <t xml:space="preserve">Toneladas Movimentadas IN</t>
        </is>
      </c>
      <c r="R20" s="73" t="inlineStr">
        <is>
          <t xml:space="preserve">Toneladas Movimentadas OUT</t>
        </is>
      </c>
      <c r="S20" s="73" t="inlineStr">
        <is>
          <t xml:space="preserve">MOVIMENTAÇÃO TONS/DIA</t>
        </is>
      </c>
      <c r="T20" s="73" t="inlineStr">
        <is>
          <t xml:space="preserve">ACUMULADO SEMANAL TONS</t>
        </is>
      </c>
      <c r="AJ20" s="40" t="inlineStr">
        <is>
          <t xml:space="preserve">Caixas Movimentadas IN por veículo</t>
        </is>
      </c>
      <c r="AK20" s="73" t="inlineStr">
        <is>
          <t xml:space="preserve">caixas movimentadas por veículo</t>
        </is>
      </c>
      <c r="AL20" s="74">
        <v>1</v>
      </c>
      <c r="AM20" s="75">
        <v>26</v>
      </c>
      <c r="AN20" s="75">
        <v>5</v>
      </c>
      <c r="AO20" s="75">
        <v>1</v>
      </c>
      <c r="AP20" s="75">
        <v>1</v>
      </c>
    </row>
    <row r="21">
      <c r="A21" s="77">
        <v>12</v>
      </c>
      <c r="B21" s="79"/>
      <c r="C21" s="73"/>
      <c r="D21" s="73" t="inlineStr">
        <is>
          <t xml:space="preserve">Sim</t>
        </is>
      </c>
      <c r="E21" s="73" t="inlineStr">
        <is>
          <t xml:space="preserve">Pallets Movimentados IN</t>
        </is>
      </c>
      <c r="F21" s="73" t="inlineStr">
        <is>
          <t xml:space="preserve">Toneladas Movimentadas IN</t>
        </is>
      </c>
      <c r="G21" s="73"/>
      <c r="H21" s="73" t="inlineStr">
        <is>
          <t xml:space="preserve">Sim</t>
        </is>
      </c>
      <c r="I21" s="73" t="inlineStr">
        <is>
          <t xml:space="preserve">Pallets Movimentados OUT</t>
        </is>
      </c>
      <c r="J21" s="73" t="inlineStr">
        <is>
          <t xml:space="preserve">Toneladas Movimentadas OUT</t>
        </is>
      </c>
      <c r="K21" s="73"/>
      <c r="L21" s="73" t="inlineStr">
        <is>
          <t xml:space="preserve">Completo</t>
        </is>
      </c>
      <c r="M21" s="73" t="inlineStr">
        <is>
          <t xml:space="preserve">Pallets Movimentados IN</t>
        </is>
      </c>
      <c r="N21" s="73" t="inlineStr">
        <is>
          <t xml:space="preserve">Pallets Movimentados OUT</t>
        </is>
      </c>
      <c r="O21" s="73" t="inlineStr">
        <is>
          <t xml:space="preserve">MOVIMENTAÇÃO PALETES/DIA</t>
        </is>
      </c>
      <c r="P21" s="73" t="inlineStr">
        <is>
          <t xml:space="preserve">ACUMULADO SEMANAL PALETES</t>
        </is>
      </c>
      <c r="Q21" s="73" t="inlineStr">
        <is>
          <t xml:space="preserve">Toneladas Movimentadas IN</t>
        </is>
      </c>
      <c r="R21" s="73" t="inlineStr">
        <is>
          <t xml:space="preserve">Toneladas Movimentadas OUT</t>
        </is>
      </c>
      <c r="S21" s="73" t="inlineStr">
        <is>
          <t xml:space="preserve">MOVIMENTAÇÃO TONS/DIA</t>
        </is>
      </c>
      <c r="T21" s="73" t="inlineStr">
        <is>
          <t xml:space="preserve">ACUMULADO SEMANAL TONS</t>
        </is>
      </c>
      <c r="AJ21" s="40" t="inlineStr">
        <is>
          <t xml:space="preserve">Itens Recebidos IN</t>
        </is>
      </c>
      <c r="AK21" s="73" t="inlineStr">
        <is>
          <t xml:space="preserve">itens recebidos</t>
        </is>
      </c>
      <c r="AL21" s="74">
        <v>0</v>
      </c>
      <c r="AM21" s="75">
        <v>27</v>
      </c>
      <c r="AN21" s="75">
        <v>6</v>
      </c>
      <c r="AO21" s="75">
        <v>0</v>
      </c>
      <c r="AP21" s="75">
        <v>0</v>
      </c>
    </row>
    <row r="22">
      <c r="A22" s="77">
        <v>13</v>
      </c>
      <c r="B22" s="79"/>
      <c r="C22" s="73"/>
      <c r="D22" s="73" t="inlineStr">
        <is>
          <t xml:space="preserve">Sim</t>
        </is>
      </c>
      <c r="E22" s="73" t="inlineStr">
        <is>
          <t xml:space="preserve">Pallets Movimentados IN</t>
        </is>
      </c>
      <c r="F22" s="73" t="inlineStr">
        <is>
          <t xml:space="preserve">Toneladas Movimentadas IN</t>
        </is>
      </c>
      <c r="G22" s="73"/>
      <c r="H22" s="73" t="inlineStr">
        <is>
          <t xml:space="preserve">Sim</t>
        </is>
      </c>
      <c r="I22" s="73" t="inlineStr">
        <is>
          <t xml:space="preserve">Pallets Movimentados OUT</t>
        </is>
      </c>
      <c r="J22" s="73" t="inlineStr">
        <is>
          <t xml:space="preserve">Toneladas Movimentadas OUT</t>
        </is>
      </c>
      <c r="K22" s="73"/>
      <c r="L22" s="73" t="inlineStr">
        <is>
          <t xml:space="preserve">Completo</t>
        </is>
      </c>
      <c r="M22" s="73" t="inlineStr">
        <is>
          <t xml:space="preserve">Pallets Movimentados IN</t>
        </is>
      </c>
      <c r="N22" s="73" t="inlineStr">
        <is>
          <t xml:space="preserve">Pallets Movimentados OUT</t>
        </is>
      </c>
      <c r="O22" s="73" t="inlineStr">
        <is>
          <t xml:space="preserve">MOVIMENTAÇÃO PALETES/DIA</t>
        </is>
      </c>
      <c r="P22" s="73" t="inlineStr">
        <is>
          <t xml:space="preserve">ACUMULADO SEMANAL PALETES</t>
        </is>
      </c>
      <c r="Q22" s="73" t="inlineStr">
        <is>
          <t xml:space="preserve">Toneladas Movimentadas IN</t>
        </is>
      </c>
      <c r="R22" s="73" t="inlineStr">
        <is>
          <t xml:space="preserve">Toneladas Movimentadas OUT</t>
        </is>
      </c>
      <c r="S22" s="73" t="inlineStr">
        <is>
          <t xml:space="preserve">MOVIMENTAÇÃO TONS/DIA</t>
        </is>
      </c>
      <c r="T22" s="73" t="inlineStr">
        <is>
          <t xml:space="preserve">ACUMULADO SEMANAL TONS</t>
        </is>
      </c>
      <c r="AJ22" s="40" t="inlineStr">
        <is>
          <t xml:space="preserve">Itens Recebidos IN por veículo</t>
        </is>
      </c>
      <c r="AK22" s="73" t="inlineStr">
        <is>
          <t xml:space="preserve">itens recebidos por veículo</t>
        </is>
      </c>
      <c r="AL22" s="74">
        <v>1</v>
      </c>
      <c r="AM22" s="75">
        <v>27</v>
      </c>
      <c r="AN22" s="75">
        <v>6</v>
      </c>
      <c r="AO22" s="75">
        <v>1</v>
      </c>
      <c r="AP22" s="75">
        <v>1</v>
      </c>
    </row>
    <row r="23">
      <c r="A23" s="77">
        <v>14</v>
      </c>
      <c r="B23" s="79"/>
      <c r="C23" s="73"/>
      <c r="D23" s="73" t="inlineStr">
        <is>
          <t xml:space="preserve">Sim</t>
        </is>
      </c>
      <c r="E23" s="73" t="inlineStr">
        <is>
          <t xml:space="preserve">Pallets Movimentados IN</t>
        </is>
      </c>
      <c r="F23" s="73" t="inlineStr">
        <is>
          <t xml:space="preserve">Toneladas Movimentadas IN</t>
        </is>
      </c>
      <c r="G23" s="73"/>
      <c r="H23" s="73" t="inlineStr">
        <is>
          <t xml:space="preserve">Sim</t>
        </is>
      </c>
      <c r="I23" s="73" t="inlineStr">
        <is>
          <t xml:space="preserve">Pallets Movimentados OUT</t>
        </is>
      </c>
      <c r="J23" s="73" t="inlineStr">
        <is>
          <t xml:space="preserve">Toneladas Movimentadas OUT</t>
        </is>
      </c>
      <c r="K23" s="73"/>
      <c r="L23" s="73" t="inlineStr">
        <is>
          <t xml:space="preserve">Completo</t>
        </is>
      </c>
      <c r="M23" s="73" t="inlineStr">
        <is>
          <t xml:space="preserve">Pallets Movimentados IN</t>
        </is>
      </c>
      <c r="N23" s="73" t="inlineStr">
        <is>
          <t xml:space="preserve">Pallets Movimentados OUT</t>
        </is>
      </c>
      <c r="O23" s="73" t="inlineStr">
        <is>
          <t xml:space="preserve">MOVIMENTAÇÃO PALETES/DIA</t>
        </is>
      </c>
      <c r="P23" s="73" t="inlineStr">
        <is>
          <t xml:space="preserve">ACUMULADO SEMANAL PALETES</t>
        </is>
      </c>
      <c r="Q23" s="73" t="inlineStr">
        <is>
          <t xml:space="preserve">Toneladas Movimentadas IN</t>
        </is>
      </c>
      <c r="R23" s="73" t="inlineStr">
        <is>
          <t xml:space="preserve">Toneladas Movimentadas OUT</t>
        </is>
      </c>
      <c r="S23" s="73" t="inlineStr">
        <is>
          <t xml:space="preserve">MOVIMENTAÇÃO TONS/DIA</t>
        </is>
      </c>
      <c r="T23" s="73" t="inlineStr">
        <is>
          <t xml:space="preserve">ACUMULADO SEMANAL TONS</t>
        </is>
      </c>
      <c r="AJ23" s="40" t="inlineStr">
        <is>
          <t xml:space="preserve">Itens Recebidos CX Mista IN</t>
        </is>
      </c>
      <c r="AK23" s="73" t="inlineStr">
        <is>
          <t xml:space="preserve">itens cx mista</t>
        </is>
      </c>
      <c r="AL23" s="74">
        <v>0</v>
      </c>
      <c r="AM23" s="75">
        <v>28</v>
      </c>
      <c r="AN23" s="75">
        <v>7</v>
      </c>
      <c r="AO23" s="75">
        <v>0</v>
      </c>
      <c r="AP23" s="75">
        <v>0</v>
      </c>
    </row>
    <row r="24">
      <c r="A24" s="77">
        <v>15</v>
      </c>
      <c r="B24" s="79"/>
      <c r="C24" s="73"/>
      <c r="D24" s="73" t="inlineStr">
        <is>
          <t xml:space="preserve">Sim</t>
        </is>
      </c>
      <c r="E24" s="73" t="inlineStr">
        <is>
          <t xml:space="preserve">Pallets Movimentados IN</t>
        </is>
      </c>
      <c r="F24" s="73" t="inlineStr">
        <is>
          <t xml:space="preserve">Toneladas Movimentadas IN</t>
        </is>
      </c>
      <c r="G24" s="73"/>
      <c r="H24" s="73" t="inlineStr">
        <is>
          <t xml:space="preserve">Sim</t>
        </is>
      </c>
      <c r="I24" s="73" t="inlineStr">
        <is>
          <t xml:space="preserve">Pallets Movimentados OUT</t>
        </is>
      </c>
      <c r="J24" s="73" t="inlineStr">
        <is>
          <t xml:space="preserve">Toneladas Movimentadas OUT</t>
        </is>
      </c>
      <c r="K24" s="73"/>
      <c r="L24" s="73" t="inlineStr">
        <is>
          <t xml:space="preserve">Completo</t>
        </is>
      </c>
      <c r="M24" s="73" t="inlineStr">
        <is>
          <t xml:space="preserve">Pallets Movimentados IN</t>
        </is>
      </c>
      <c r="N24" s="73" t="inlineStr">
        <is>
          <t xml:space="preserve">Pallets Movimentados OUT</t>
        </is>
      </c>
      <c r="O24" s="73" t="inlineStr">
        <is>
          <t xml:space="preserve">MOVIMENTAÇÃO PALETES/DIA</t>
        </is>
      </c>
      <c r="P24" s="73" t="inlineStr">
        <is>
          <t xml:space="preserve">ACUMULADO SEMANAL PALETES</t>
        </is>
      </c>
      <c r="Q24" s="73" t="inlineStr">
        <is>
          <t xml:space="preserve">Toneladas Movimentadas IN</t>
        </is>
      </c>
      <c r="R24" s="73" t="inlineStr">
        <is>
          <t xml:space="preserve">Toneladas Movimentadas OUT</t>
        </is>
      </c>
      <c r="S24" s="73" t="inlineStr">
        <is>
          <t xml:space="preserve">MOVIMENTAÇÃO TONS/DIA</t>
        </is>
      </c>
      <c r="T24" s="73" t="inlineStr">
        <is>
          <t xml:space="preserve">ACUMULADO SEMANAL TONS</t>
        </is>
      </c>
      <c r="AJ24" s="40" t="inlineStr">
        <is>
          <t xml:space="preserve">Itens Recebidos CX Mista IN por veículo</t>
        </is>
      </c>
      <c r="AK24" s="73" t="inlineStr">
        <is>
          <t xml:space="preserve">itens cx mista por veículo</t>
        </is>
      </c>
      <c r="AL24" s="74">
        <v>1</v>
      </c>
      <c r="AM24" s="75">
        <v>28</v>
      </c>
      <c r="AN24" s="75">
        <v>7</v>
      </c>
      <c r="AO24" s="75">
        <v>1</v>
      </c>
      <c r="AP24" s="75">
        <v>1</v>
      </c>
    </row>
    <row r="25">
      <c r="A25" s="77">
        <v>16</v>
      </c>
      <c r="B25" s="79"/>
      <c r="C25" s="73"/>
      <c r="D25" s="73" t="inlineStr">
        <is>
          <t xml:space="preserve">Sim</t>
        </is>
      </c>
      <c r="E25" s="73" t="inlineStr">
        <is>
          <t xml:space="preserve">Pallets Movimentados IN</t>
        </is>
      </c>
      <c r="F25" s="73" t="inlineStr">
        <is>
          <t xml:space="preserve">Toneladas Movimentadas IN</t>
        </is>
      </c>
      <c r="G25" s="73"/>
      <c r="H25" s="73" t="inlineStr">
        <is>
          <t xml:space="preserve">Sim</t>
        </is>
      </c>
      <c r="I25" s="73" t="inlineStr">
        <is>
          <t xml:space="preserve">Pallets Movimentados OUT</t>
        </is>
      </c>
      <c r="J25" s="73" t="inlineStr">
        <is>
          <t xml:space="preserve">Toneladas Movimentadas OUT</t>
        </is>
      </c>
      <c r="K25" s="73"/>
      <c r="L25" s="73" t="inlineStr">
        <is>
          <t xml:space="preserve">Completo</t>
        </is>
      </c>
      <c r="M25" s="73" t="inlineStr">
        <is>
          <t xml:space="preserve">Pallets Movimentados IN</t>
        </is>
      </c>
      <c r="N25" s="73" t="inlineStr">
        <is>
          <t xml:space="preserve">Pallets Movimentados OUT</t>
        </is>
      </c>
      <c r="O25" s="73" t="inlineStr">
        <is>
          <t xml:space="preserve">MOVIMENTAÇÃO PALETES/DIA</t>
        </is>
      </c>
      <c r="P25" s="73" t="inlineStr">
        <is>
          <t xml:space="preserve">ACUMULADO SEMANAL PALETES</t>
        </is>
      </c>
      <c r="Q25" s="73" t="inlineStr">
        <is>
          <t xml:space="preserve">Toneladas Movimentadas IN</t>
        </is>
      </c>
      <c r="R25" s="73" t="inlineStr">
        <is>
          <t xml:space="preserve">Toneladas Movimentadas OUT</t>
        </is>
      </c>
      <c r="S25" s="73" t="inlineStr">
        <is>
          <t xml:space="preserve">MOVIMENTAÇÃO TONS/DIA</t>
        </is>
      </c>
      <c r="T25" s="73" t="inlineStr">
        <is>
          <t xml:space="preserve">ACUMULADO SEMANAL TONS</t>
        </is>
      </c>
      <c r="AJ25" s="40" t="inlineStr">
        <is>
          <t xml:space="preserve">Caixas Fechadas IN</t>
        </is>
      </c>
      <c r="AK25" s="73" t="inlineStr">
        <is>
          <t xml:space="preserve">caixas fechadas</t>
        </is>
      </c>
      <c r="AL25" s="74">
        <v>0</v>
      </c>
      <c r="AM25" s="75">
        <v>29</v>
      </c>
      <c r="AN25" s="75">
        <v>8</v>
      </c>
      <c r="AO25" s="75">
        <v>0</v>
      </c>
      <c r="AP25" s="75">
        <v>0</v>
      </c>
    </row>
    <row r="26">
      <c r="A26" s="77">
        <v>17</v>
      </c>
      <c r="B26" s="79"/>
      <c r="C26" s="73"/>
      <c r="D26" s="73" t="inlineStr">
        <is>
          <t xml:space="preserve">Sim</t>
        </is>
      </c>
      <c r="E26" s="73" t="inlineStr">
        <is>
          <t xml:space="preserve">Pallets Movimentados IN</t>
        </is>
      </c>
      <c r="F26" s="73" t="inlineStr">
        <is>
          <t xml:space="preserve">Toneladas Movimentadas IN</t>
        </is>
      </c>
      <c r="G26" s="73"/>
      <c r="H26" s="73" t="inlineStr">
        <is>
          <t xml:space="preserve">Sim</t>
        </is>
      </c>
      <c r="I26" s="73" t="inlineStr">
        <is>
          <t xml:space="preserve">Pallets Movimentados OUT</t>
        </is>
      </c>
      <c r="J26" s="73" t="inlineStr">
        <is>
          <t xml:space="preserve">Toneladas Movimentadas OUT</t>
        </is>
      </c>
      <c r="K26" s="73"/>
      <c r="L26" s="73" t="inlineStr">
        <is>
          <t xml:space="preserve">Completo</t>
        </is>
      </c>
      <c r="M26" s="73" t="inlineStr">
        <is>
          <t xml:space="preserve">Pallets Movimentados IN</t>
        </is>
      </c>
      <c r="N26" s="73" t="inlineStr">
        <is>
          <t xml:space="preserve">Pallets Movimentados OUT</t>
        </is>
      </c>
      <c r="O26" s="73" t="inlineStr">
        <is>
          <t xml:space="preserve">MOVIMENTAÇÃO PALETES/DIA</t>
        </is>
      </c>
      <c r="P26" s="73" t="inlineStr">
        <is>
          <t xml:space="preserve">ACUMULADO SEMANAL PALETES</t>
        </is>
      </c>
      <c r="Q26" s="73" t="inlineStr">
        <is>
          <t xml:space="preserve">Toneladas Movimentadas IN</t>
        </is>
      </c>
      <c r="R26" s="73" t="inlineStr">
        <is>
          <t xml:space="preserve">Toneladas Movimentadas OUT</t>
        </is>
      </c>
      <c r="S26" s="73" t="inlineStr">
        <is>
          <t xml:space="preserve">MOVIMENTAÇÃO TONS/DIA</t>
        </is>
      </c>
      <c r="T26" s="73" t="inlineStr">
        <is>
          <t xml:space="preserve">ACUMULADO SEMANAL TONS</t>
        </is>
      </c>
      <c r="AJ26" s="40" t="inlineStr">
        <is>
          <t xml:space="preserve">Caixas Fechadas IN por veículo</t>
        </is>
      </c>
      <c r="AK26" s="73" t="inlineStr">
        <is>
          <t xml:space="preserve">caixas fechadas por veículo</t>
        </is>
      </c>
      <c r="AL26" s="74">
        <v>1</v>
      </c>
      <c r="AM26" s="75">
        <v>29</v>
      </c>
      <c r="AN26" s="75">
        <v>8</v>
      </c>
      <c r="AO26" s="75">
        <v>1</v>
      </c>
      <c r="AP26" s="75">
        <v>1</v>
      </c>
    </row>
    <row r="27">
      <c r="A27" s="77">
        <v>18</v>
      </c>
      <c r="B27" s="79"/>
      <c r="C27" s="73"/>
      <c r="D27" s="73" t="inlineStr">
        <is>
          <t xml:space="preserve">Sim</t>
        </is>
      </c>
      <c r="E27" s="73" t="inlineStr">
        <is>
          <t xml:space="preserve">Pallets Movimentados IN</t>
        </is>
      </c>
      <c r="F27" s="73" t="inlineStr">
        <is>
          <t xml:space="preserve">Toneladas Movimentadas IN</t>
        </is>
      </c>
      <c r="G27" s="73"/>
      <c r="H27" s="73" t="inlineStr">
        <is>
          <t xml:space="preserve">Sim</t>
        </is>
      </c>
      <c r="I27" s="73" t="inlineStr">
        <is>
          <t xml:space="preserve">Pallets Movimentados OUT</t>
        </is>
      </c>
      <c r="J27" s="73" t="inlineStr">
        <is>
          <t xml:space="preserve">Toneladas Movimentadas OUT</t>
        </is>
      </c>
      <c r="K27" s="73"/>
      <c r="L27" s="73" t="inlineStr">
        <is>
          <t xml:space="preserve">Completo</t>
        </is>
      </c>
      <c r="M27" s="73" t="inlineStr">
        <is>
          <t xml:space="preserve">Pallets Movimentados IN</t>
        </is>
      </c>
      <c r="N27" s="73" t="inlineStr">
        <is>
          <t xml:space="preserve">Pallets Movimentados OUT</t>
        </is>
      </c>
      <c r="O27" s="73" t="inlineStr">
        <is>
          <t xml:space="preserve">MOVIMENTAÇÃO PALETES/DIA</t>
        </is>
      </c>
      <c r="P27" s="73" t="inlineStr">
        <is>
          <t xml:space="preserve">ACUMULADO SEMANAL PALETES</t>
        </is>
      </c>
      <c r="Q27" s="73" t="inlineStr">
        <is>
          <t xml:space="preserve">Toneladas Movimentadas IN</t>
        </is>
      </c>
      <c r="R27" s="73" t="inlineStr">
        <is>
          <t xml:space="preserve">Toneladas Movimentadas OUT</t>
        </is>
      </c>
      <c r="S27" s="73" t="inlineStr">
        <is>
          <t xml:space="preserve">MOVIMENTAÇÃO TONS/DIA</t>
        </is>
      </c>
      <c r="T27" s="73" t="inlineStr">
        <is>
          <t xml:space="preserve">ACUMULADO SEMANAL TONS</t>
        </is>
      </c>
      <c r="AJ27" s="40" t="inlineStr">
        <is>
          <t xml:space="preserve">Caixas Mistas Recebidas IN</t>
        </is>
      </c>
      <c r="AK27" s="73" t="inlineStr">
        <is>
          <t xml:space="preserve">caixas mistas</t>
        </is>
      </c>
      <c r="AL27" s="74">
        <v>0</v>
      </c>
      <c r="AM27" s="75">
        <v>30</v>
      </c>
      <c r="AN27" s="75">
        <v>9</v>
      </c>
      <c r="AO27" s="75">
        <v>0</v>
      </c>
      <c r="AP27" s="75">
        <v>0</v>
      </c>
    </row>
    <row r="28">
      <c r="A28" s="77">
        <v>19</v>
      </c>
      <c r="B28" s="79"/>
      <c r="C28" s="73"/>
      <c r="D28" s="73" t="inlineStr">
        <is>
          <t xml:space="preserve">Sim</t>
        </is>
      </c>
      <c r="E28" s="73" t="inlineStr">
        <is>
          <t xml:space="preserve">Pallets Movimentados IN</t>
        </is>
      </c>
      <c r="F28" s="73" t="inlineStr">
        <is>
          <t xml:space="preserve">Toneladas Movimentadas IN</t>
        </is>
      </c>
      <c r="G28" s="73"/>
      <c r="H28" s="73" t="inlineStr">
        <is>
          <t xml:space="preserve">Sim</t>
        </is>
      </c>
      <c r="I28" s="73" t="inlineStr">
        <is>
          <t xml:space="preserve">Pallets Movimentados OUT</t>
        </is>
      </c>
      <c r="J28" s="73" t="inlineStr">
        <is>
          <t xml:space="preserve">Toneladas Movimentadas OUT</t>
        </is>
      </c>
      <c r="K28" s="73"/>
      <c r="L28" s="73" t="inlineStr">
        <is>
          <t xml:space="preserve">Completo</t>
        </is>
      </c>
      <c r="M28" s="73" t="inlineStr">
        <is>
          <t xml:space="preserve">Pallets Movimentados IN</t>
        </is>
      </c>
      <c r="N28" s="73" t="inlineStr">
        <is>
          <t xml:space="preserve">Pallets Movimentados OUT</t>
        </is>
      </c>
      <c r="O28" s="73" t="inlineStr">
        <is>
          <t xml:space="preserve">MOVIMENTAÇÃO PALETES/DIA</t>
        </is>
      </c>
      <c r="P28" s="73" t="inlineStr">
        <is>
          <t xml:space="preserve">ACUMULADO SEMANAL PALETES</t>
        </is>
      </c>
      <c r="Q28" s="73" t="inlineStr">
        <is>
          <t xml:space="preserve">Toneladas Movimentadas IN</t>
        </is>
      </c>
      <c r="R28" s="73" t="inlineStr">
        <is>
          <t xml:space="preserve">Toneladas Movimentadas OUT</t>
        </is>
      </c>
      <c r="S28" s="73" t="inlineStr">
        <is>
          <t xml:space="preserve">MOVIMENTAÇÃO TONS/DIA</t>
        </is>
      </c>
      <c r="T28" s="73" t="inlineStr">
        <is>
          <t xml:space="preserve">ACUMULADO SEMANAL TONS</t>
        </is>
      </c>
      <c r="AJ28" s="40" t="inlineStr">
        <is>
          <t xml:space="preserve">Caixas Mistas Recebidas IN por veículo</t>
        </is>
      </c>
      <c r="AK28" s="73" t="inlineStr">
        <is>
          <t xml:space="preserve">caixas mistas por veículo</t>
        </is>
      </c>
      <c r="AL28" s="74">
        <v>1</v>
      </c>
      <c r="AM28" s="75">
        <v>30</v>
      </c>
      <c r="AN28" s="75">
        <v>9</v>
      </c>
      <c r="AO28" s="75">
        <v>1</v>
      </c>
      <c r="AP28" s="75">
        <v>1</v>
      </c>
    </row>
    <row r="29">
      <c r="A29" s="77">
        <v>20</v>
      </c>
      <c r="B29" s="79"/>
      <c r="C29" s="73"/>
      <c r="D29" s="73" t="inlineStr">
        <is>
          <t xml:space="preserve">Sim</t>
        </is>
      </c>
      <c r="E29" s="73" t="inlineStr">
        <is>
          <t xml:space="preserve">Pallets Movimentados IN</t>
        </is>
      </c>
      <c r="F29" s="73" t="inlineStr">
        <is>
          <t xml:space="preserve">Toneladas Movimentadas IN</t>
        </is>
      </c>
      <c r="G29" s="73"/>
      <c r="H29" s="73" t="inlineStr">
        <is>
          <t xml:space="preserve">Sim</t>
        </is>
      </c>
      <c r="I29" s="73" t="inlineStr">
        <is>
          <t xml:space="preserve">Pallets Movimentados OUT</t>
        </is>
      </c>
      <c r="J29" s="73" t="inlineStr">
        <is>
          <t xml:space="preserve">Toneladas Movimentadas OUT</t>
        </is>
      </c>
      <c r="K29" s="73"/>
      <c r="L29" s="73" t="inlineStr">
        <is>
          <t xml:space="preserve">Completo</t>
        </is>
      </c>
      <c r="M29" s="73" t="inlineStr">
        <is>
          <t xml:space="preserve">Pallets Movimentados IN</t>
        </is>
      </c>
      <c r="N29" s="73" t="inlineStr">
        <is>
          <t xml:space="preserve">Pallets Movimentados OUT</t>
        </is>
      </c>
      <c r="O29" s="73" t="inlineStr">
        <is>
          <t xml:space="preserve">MOVIMENTAÇÃO PALETES/DIA</t>
        </is>
      </c>
      <c r="P29" s="73" t="inlineStr">
        <is>
          <t xml:space="preserve">ACUMULADO SEMANAL PALETES</t>
        </is>
      </c>
      <c r="Q29" s="73" t="inlineStr">
        <is>
          <t xml:space="preserve">Toneladas Movimentadas IN</t>
        </is>
      </c>
      <c r="R29" s="73" t="inlineStr">
        <is>
          <t xml:space="preserve">Toneladas Movimentadas OUT</t>
        </is>
      </c>
      <c r="S29" s="73" t="inlineStr">
        <is>
          <t xml:space="preserve">MOVIMENTAÇÃO TONS/DIA</t>
        </is>
      </c>
      <c r="T29" s="73" t="inlineStr">
        <is>
          <t xml:space="preserve">ACUMULADO SEMANAL TONS</t>
        </is>
      </c>
      <c r="AJ29" s="40" t="inlineStr">
        <is>
          <t xml:space="preserve">Pedidos Expedidos OUT</t>
        </is>
      </c>
      <c r="AK29" s="73" t="inlineStr">
        <is>
          <t xml:space="preserve">pedidos expedidos</t>
        </is>
      </c>
      <c r="AL29" s="74">
        <v>0</v>
      </c>
      <c r="AM29" s="75">
        <v>31</v>
      </c>
      <c r="AN29" s="75">
        <v>11</v>
      </c>
      <c r="AO29" s="75">
        <v>0</v>
      </c>
      <c r="AP29" s="75">
        <v>0</v>
      </c>
    </row>
    <row r="30">
      <c r="AJ30" s="40" t="inlineStr">
        <is>
          <t xml:space="preserve">Pedidos Expedidos OUT por veículo</t>
        </is>
      </c>
      <c r="AK30" s="73" t="inlineStr">
        <is>
          <t xml:space="preserve">pedidos expedidos por veículo</t>
        </is>
      </c>
      <c r="AL30" s="74">
        <v>1</v>
      </c>
      <c r="AM30" s="75">
        <v>31</v>
      </c>
      <c r="AN30" s="75">
        <v>11</v>
      </c>
      <c r="AO30" s="75">
        <v>4</v>
      </c>
      <c r="AP30" s="75">
        <v>10</v>
      </c>
    </row>
    <row r="31">
      <c r="AJ31" s="40" t="inlineStr">
        <is>
          <t xml:space="preserve">Pedidos Faturados OUT</t>
        </is>
      </c>
      <c r="AK31" s="73" t="inlineStr">
        <is>
          <t xml:space="preserve">pedidos faturados</t>
        </is>
      </c>
      <c r="AL31" s="74">
        <v>0</v>
      </c>
      <c r="AM31" s="75">
        <v>32</v>
      </c>
      <c r="AN31" s="75">
        <v>12</v>
      </c>
      <c r="AO31" s="75">
        <v>0</v>
      </c>
      <c r="AP31" s="75">
        <v>0</v>
      </c>
    </row>
    <row r="32">
      <c r="AJ32" s="40" t="inlineStr">
        <is>
          <t xml:space="preserve">Pedidos Faturados OUT por veículo</t>
        </is>
      </c>
      <c r="AK32" s="73" t="inlineStr">
        <is>
          <t xml:space="preserve">pedidos faturados por veículo</t>
        </is>
      </c>
      <c r="AL32" s="74">
        <v>1</v>
      </c>
      <c r="AM32" s="75">
        <v>32</v>
      </c>
      <c r="AN32" s="75">
        <v>12</v>
      </c>
      <c r="AO32" s="75">
        <v>4</v>
      </c>
      <c r="AP32" s="75">
        <v>10</v>
      </c>
    </row>
    <row r="33" ht="22" customHeight="1">
      <c r="A33" s="76" t="inlineStr">
        <is>
          <t xml:space="preserve">2 · COLUNAS DA BD — Sim = o cliente preenche · Não = coluna bloqueada na BD (cinza) e indicador fora do Monitoramento/Consol Mensal</t>
        </is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AJ33" s="40" t="inlineStr">
        <is>
          <t xml:space="preserve">Itens Expedidos OUT</t>
        </is>
      </c>
      <c r="AK33" s="73" t="inlineStr">
        <is>
          <t xml:space="preserve">itens expedidos</t>
        </is>
      </c>
      <c r="AL33" s="74">
        <v>0</v>
      </c>
      <c r="AM33" s="75">
        <v>33</v>
      </c>
      <c r="AN33" s="75">
        <v>13</v>
      </c>
      <c r="AO33" s="75">
        <v>0</v>
      </c>
      <c r="AP33" s="75">
        <v>0</v>
      </c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80" t="inlineStr">
        <is>
          <t xml:space="preserve">IN Veículos Recebidos</t>
        </is>
      </c>
      <c r="E34" s="80" t="inlineStr">
        <is>
          <t xml:space="preserve">IN Pallets Movimentados</t>
        </is>
      </c>
      <c r="F34" s="80" t="inlineStr">
        <is>
          <t xml:space="preserve">IN Toneladas Movimentadas</t>
        </is>
      </c>
      <c r="G34" s="80" t="inlineStr">
        <is>
          <t xml:space="preserve">IN Linhas NF</t>
        </is>
      </c>
      <c r="H34" s="80" t="inlineStr">
        <is>
          <t xml:space="preserve">IN Caixas Movimentadas</t>
        </is>
      </c>
      <c r="I34" s="80" t="inlineStr">
        <is>
          <t xml:space="preserve">IN Itens Recebidos</t>
        </is>
      </c>
      <c r="J34" s="80" t="inlineStr">
        <is>
          <t xml:space="preserve">IN Itens Recebidos CX Mista</t>
        </is>
      </c>
      <c r="K34" s="80" t="inlineStr">
        <is>
          <t xml:space="preserve">IN Caixas Fechadas</t>
        </is>
      </c>
      <c r="L34" s="80" t="inlineStr">
        <is>
          <t xml:space="preserve">IN Caixas Mistas Recebidas</t>
        </is>
      </c>
      <c r="M34" s="81" t="inlineStr">
        <is>
          <t xml:space="preserve">OUT Veículos Expedidos</t>
        </is>
      </c>
      <c r="N34" s="81" t="inlineStr">
        <is>
          <t xml:space="preserve">OUT Pedidos Expedidos</t>
        </is>
      </c>
      <c r="O34" s="81" t="inlineStr">
        <is>
          <t xml:space="preserve">OUT Pedidos Faturados</t>
        </is>
      </c>
      <c r="P34" s="81" t="inlineStr">
        <is>
          <t xml:space="preserve">OUT Itens Expedidos</t>
        </is>
      </c>
      <c r="Q34" s="81" t="inlineStr">
        <is>
          <t xml:space="preserve">OUT Linhas NF</t>
        </is>
      </c>
      <c r="R34" s="81" t="inlineStr">
        <is>
          <t xml:space="preserve">OUT Caixas Expedidas</t>
        </is>
      </c>
      <c r="S34" s="81" t="inlineStr">
        <is>
          <t xml:space="preserve">OUT Pallets Movimentados</t>
        </is>
      </c>
      <c r="T34" s="81" t="inlineStr">
        <is>
          <t xml:space="preserve">OUT Toneladas Movimentadas</t>
        </is>
      </c>
      <c r="U34" s="82" t="inlineStr">
        <is>
          <t xml:space="preserve">NC Incidentes</t>
        </is>
      </c>
      <c r="V34" s="82" t="inlineStr">
        <is>
          <t xml:space="preserve">NC No show</t>
        </is>
      </c>
      <c r="W34" s="82" t="inlineStr">
        <is>
          <t xml:space="preserve">NC Backlog</t>
        </is>
      </c>
      <c r="X34" s="80" t="inlineStr">
        <is>
          <t xml:space="preserve">Posições Disponíveis</t>
        </is>
      </c>
      <c r="Y34" s="80" t="inlineStr">
        <is>
          <t xml:space="preserve">Posições Ocupadas</t>
        </is>
      </c>
      <c r="Z34" s="83" t="inlineStr">
        <is>
          <t xml:space="preserve">Efetivo Op.</t>
        </is>
      </c>
      <c r="AA34" s="83" t="inlineStr">
        <is>
          <t xml:space="preserve">Falta</t>
        </is>
      </c>
      <c r="AB34" s="83" t="inlineStr">
        <is>
          <t xml:space="preserve">Folga</t>
        </is>
      </c>
      <c r="AC34" s="83" t="inlineStr">
        <is>
          <t xml:space="preserve">Férias</t>
        </is>
      </c>
      <c r="AD34" s="83" t="inlineStr">
        <is>
          <t xml:space="preserve">Desligamento</t>
        </is>
      </c>
      <c r="AE34" s="83" t="inlineStr">
        <is>
          <t xml:space="preserve">Desvios Comportamentais</t>
        </is>
      </c>
      <c r="AF34" s="83" t="inlineStr">
        <is>
          <t xml:space="preserve">Acidentes CAF</t>
        </is>
      </c>
      <c r="AG34" s="83" t="inlineStr">
        <is>
          <t xml:space="preserve">Acidentes SAF</t>
        </is>
      </c>
      <c r="AJ34" s="40" t="inlineStr">
        <is>
          <t xml:space="preserve">Itens Expedidos OUT por veículo</t>
        </is>
      </c>
      <c r="AK34" s="73" t="inlineStr">
        <is>
          <t xml:space="preserve">itens expedidos por veículo</t>
        </is>
      </c>
      <c r="AL34" s="74">
        <v>1</v>
      </c>
      <c r="AM34" s="75">
        <v>33</v>
      </c>
      <c r="AN34" s="75">
        <v>13</v>
      </c>
      <c r="AO34" s="75">
        <v>4</v>
      </c>
      <c r="AP34" s="75">
        <v>10</v>
      </c>
    </row>
    <row r="35">
      <c r="A35" s="77">
        <v>1</v>
      </c>
      <c r="B35" s="78" t="str">
        <f>Config!$B$10&amp;""</f>
        <v>Alpargatas</v>
      </c>
      <c r="C35" s="78" t="str">
        <f>IF(Config!$B$10&amp;""="","",IF(Config!$C$10="","TPC",Config!$C$10))</f>
        <v>TPC</v>
      </c>
      <c r="D35" s="74" t="inlineStr">
        <is>
          <t xml:space="preserve">Sim</t>
        </is>
      </c>
      <c r="E35" s="74" t="inlineStr">
        <is>
          <t xml:space="preserve">Não</t>
        </is>
      </c>
      <c r="F35" s="74" t="inlineStr">
        <is>
          <t xml:space="preserve">Não</t>
        </is>
      </c>
      <c r="G35" s="74" t="inlineStr">
        <is>
          <t xml:space="preserve">Não</t>
        </is>
      </c>
      <c r="H35" s="74" t="inlineStr">
        <is>
          <t xml:space="preserve">Sim</t>
        </is>
      </c>
      <c r="I35" s="74" t="inlineStr">
        <is>
          <t xml:space="preserve">Não</t>
        </is>
      </c>
      <c r="J35" s="74" t="inlineStr">
        <is>
          <t xml:space="preserve">Não</t>
        </is>
      </c>
      <c r="K35" s="74" t="inlineStr">
        <is>
          <t xml:space="preserve">Não</t>
        </is>
      </c>
      <c r="L35" s="74" t="inlineStr">
        <is>
          <t xml:space="preserve">Não</t>
        </is>
      </c>
      <c r="M35" s="74" t="inlineStr">
        <is>
          <t xml:space="preserve">Sim</t>
        </is>
      </c>
      <c r="N35" s="74" t="inlineStr">
        <is>
          <t xml:space="preserve">Não</t>
        </is>
      </c>
      <c r="O35" s="74" t="inlineStr">
        <is>
          <t xml:space="preserve">Não</t>
        </is>
      </c>
      <c r="P35" s="74" t="inlineStr">
        <is>
          <t xml:space="preserve">Não</t>
        </is>
      </c>
      <c r="Q35" s="74" t="inlineStr">
        <is>
          <t xml:space="preserve">Não</t>
        </is>
      </c>
      <c r="R35" s="74" t="inlineStr">
        <is>
          <t xml:space="preserve">Sim</t>
        </is>
      </c>
      <c r="S35" s="74" t="inlineStr">
        <is>
          <t xml:space="preserve">Não</t>
        </is>
      </c>
      <c r="T35" s="74" t="inlineStr">
        <is>
          <t xml:space="preserve">Não</t>
        </is>
      </c>
      <c r="U35" s="74" t="inlineStr">
        <is>
          <t xml:space="preserve">Sim</t>
        </is>
      </c>
      <c r="V35" s="74" t="inlineStr">
        <is>
          <t xml:space="preserve">Sim</t>
        </is>
      </c>
      <c r="W35" s="74" t="inlineStr">
        <is>
          <t xml:space="preserve">Sim</t>
        </is>
      </c>
      <c r="X35" s="74" t="inlineStr">
        <is>
          <t xml:space="preserve">Sim</t>
        </is>
      </c>
      <c r="Y35" s="74" t="inlineStr">
        <is>
          <t xml:space="preserve">Sim</t>
        </is>
      </c>
      <c r="Z35" s="74" t="inlineStr">
        <is>
          <t xml:space="preserve">Sim</t>
        </is>
      </c>
      <c r="AA35" s="74" t="inlineStr">
        <is>
          <t xml:space="preserve">Sim</t>
        </is>
      </c>
      <c r="AB35" s="74" t="inlineStr">
        <is>
          <t xml:space="preserve">Sim</t>
        </is>
      </c>
      <c r="AC35" s="74" t="inlineStr">
        <is>
          <t xml:space="preserve">Sim</t>
        </is>
      </c>
      <c r="AD35" s="74" t="inlineStr">
        <is>
          <t xml:space="preserve">Sim</t>
        </is>
      </c>
      <c r="AE35" s="74" t="inlineStr">
        <is>
          <t xml:space="preserve">Sim</t>
        </is>
      </c>
      <c r="AF35" s="74" t="inlineStr">
        <is>
          <t xml:space="preserve">Sim</t>
        </is>
      </c>
      <c r="AG35" s="74" t="inlineStr">
        <is>
          <t xml:space="preserve">Sim</t>
        </is>
      </c>
      <c r="AJ35" s="40" t="inlineStr">
        <is>
          <t xml:space="preserve">Linhas NF OUT</t>
        </is>
      </c>
      <c r="AK35" s="73" t="inlineStr">
        <is>
          <t xml:space="preserve">linhas NF</t>
        </is>
      </c>
      <c r="AL35" s="74">
        <v>0</v>
      </c>
      <c r="AM35" s="75">
        <v>34</v>
      </c>
      <c r="AN35" s="75">
        <v>14</v>
      </c>
      <c r="AO35" s="75">
        <v>0</v>
      </c>
      <c r="AP35" s="75">
        <v>0</v>
      </c>
    </row>
    <row r="36">
      <c r="A36" s="77">
        <v>2</v>
      </c>
      <c r="B36" s="78" t="str">
        <f>Config!$B$11&amp;""</f>
        <v>Basf</v>
      </c>
      <c r="C36" s="78" t="str">
        <f>IF(Config!$B$11&amp;""="","",IF(Config!$C$11="","TPC",Config!$C$11))</f>
        <v>TPC</v>
      </c>
      <c r="D36" s="74" t="inlineStr">
        <is>
          <t xml:space="preserve">Sim</t>
        </is>
      </c>
      <c r="E36" s="74" t="inlineStr">
        <is>
          <t xml:space="preserve">Sim</t>
        </is>
      </c>
      <c r="F36" s="74" t="inlineStr">
        <is>
          <t xml:space="preserve">Sim</t>
        </is>
      </c>
      <c r="G36" s="74" t="inlineStr">
        <is>
          <t xml:space="preserve">Não</t>
        </is>
      </c>
      <c r="H36" s="74" t="inlineStr">
        <is>
          <t xml:space="preserve">Não</t>
        </is>
      </c>
      <c r="I36" s="74" t="inlineStr">
        <is>
          <t xml:space="preserve">Não</t>
        </is>
      </c>
      <c r="J36" s="74" t="inlineStr">
        <is>
          <t xml:space="preserve">Não</t>
        </is>
      </c>
      <c r="K36" s="74" t="inlineStr">
        <is>
          <t xml:space="preserve">Não</t>
        </is>
      </c>
      <c r="L36" s="74" t="inlineStr">
        <is>
          <t xml:space="preserve">Não</t>
        </is>
      </c>
      <c r="M36" s="74" t="inlineStr">
        <is>
          <t xml:space="preserve">Sim</t>
        </is>
      </c>
      <c r="N36" s="74" t="inlineStr">
        <is>
          <t xml:space="preserve">Não</t>
        </is>
      </c>
      <c r="O36" s="74" t="inlineStr">
        <is>
          <t xml:space="preserve">Não</t>
        </is>
      </c>
      <c r="P36" s="74" t="inlineStr">
        <is>
          <t xml:space="preserve">Não</t>
        </is>
      </c>
      <c r="Q36" s="74" t="inlineStr">
        <is>
          <t xml:space="preserve">Não</t>
        </is>
      </c>
      <c r="R36" s="74" t="inlineStr">
        <is>
          <t xml:space="preserve">Não</t>
        </is>
      </c>
      <c r="S36" s="74" t="inlineStr">
        <is>
          <t xml:space="preserve">Sim</t>
        </is>
      </c>
      <c r="T36" s="74" t="inlineStr">
        <is>
          <t xml:space="preserve">Sim</t>
        </is>
      </c>
      <c r="U36" s="74" t="inlineStr">
        <is>
          <t xml:space="preserve">Sim</t>
        </is>
      </c>
      <c r="V36" s="74" t="inlineStr">
        <is>
          <t xml:space="preserve">Sim</t>
        </is>
      </c>
      <c r="W36" s="74" t="inlineStr">
        <is>
          <t xml:space="preserve">Sim</t>
        </is>
      </c>
      <c r="X36" s="74" t="inlineStr">
        <is>
          <t xml:space="preserve">Sim</t>
        </is>
      </c>
      <c r="Y36" s="74" t="inlineStr">
        <is>
          <t xml:space="preserve">Sim</t>
        </is>
      </c>
      <c r="Z36" s="74" t="inlineStr">
        <is>
          <t xml:space="preserve">Sim</t>
        </is>
      </c>
      <c r="AA36" s="74" t="inlineStr">
        <is>
          <t xml:space="preserve">Sim</t>
        </is>
      </c>
      <c r="AB36" s="74" t="inlineStr">
        <is>
          <t xml:space="preserve">Sim</t>
        </is>
      </c>
      <c r="AC36" s="74" t="inlineStr">
        <is>
          <t xml:space="preserve">Sim</t>
        </is>
      </c>
      <c r="AD36" s="74" t="inlineStr">
        <is>
          <t xml:space="preserve">Sim</t>
        </is>
      </c>
      <c r="AE36" s="74" t="inlineStr">
        <is>
          <t xml:space="preserve">Sim</t>
        </is>
      </c>
      <c r="AF36" s="74" t="inlineStr">
        <is>
          <t xml:space="preserve">Sim</t>
        </is>
      </c>
      <c r="AG36" s="74" t="inlineStr">
        <is>
          <t xml:space="preserve">Sim</t>
        </is>
      </c>
      <c r="AJ36" s="40" t="inlineStr">
        <is>
          <t xml:space="preserve">Linhas NF OUT por veículo</t>
        </is>
      </c>
      <c r="AK36" s="73" t="inlineStr">
        <is>
          <t xml:space="preserve">linhas NF por veículo</t>
        </is>
      </c>
      <c r="AL36" s="74">
        <v>1</v>
      </c>
      <c r="AM36" s="75">
        <v>34</v>
      </c>
      <c r="AN36" s="75">
        <v>14</v>
      </c>
      <c r="AO36" s="75">
        <v>4</v>
      </c>
      <c r="AP36" s="75">
        <v>10</v>
      </c>
    </row>
    <row r="37">
      <c r="A37" s="77">
        <v>3</v>
      </c>
      <c r="B37" s="78" t="str">
        <f>Config!$B$12&amp;""</f>
        <v>Beautybiz</v>
      </c>
      <c r="C37" s="78" t="str">
        <f>IF(Config!$B$12&amp;""="","",IF(Config!$C$12="","TPC",Config!$C$12))</f>
        <v>TPC</v>
      </c>
      <c r="D37" s="74" t="inlineStr">
        <is>
          <t xml:space="preserve">Sim</t>
        </is>
      </c>
      <c r="E37" s="74" t="inlineStr">
        <is>
          <t xml:space="preserve">Sim</t>
        </is>
      </c>
      <c r="F37" s="74" t="inlineStr">
        <is>
          <t xml:space="preserve">Não</t>
        </is>
      </c>
      <c r="G37" s="74" t="inlineStr">
        <is>
          <t xml:space="preserve">Não</t>
        </is>
      </c>
      <c r="H37" s="74" t="inlineStr">
        <is>
          <t xml:space="preserve">Sim</t>
        </is>
      </c>
      <c r="I37" s="74" t="inlineStr">
        <is>
          <t xml:space="preserve">Não</t>
        </is>
      </c>
      <c r="J37" s="74" t="inlineStr">
        <is>
          <t xml:space="preserve">Não</t>
        </is>
      </c>
      <c r="K37" s="74" t="inlineStr">
        <is>
          <t xml:space="preserve">Não</t>
        </is>
      </c>
      <c r="L37" s="74" t="inlineStr">
        <is>
          <t xml:space="preserve">Não</t>
        </is>
      </c>
      <c r="M37" s="74" t="inlineStr">
        <is>
          <t xml:space="preserve">Sim</t>
        </is>
      </c>
      <c r="N37" s="74" t="inlineStr">
        <is>
          <t xml:space="preserve">Sim</t>
        </is>
      </c>
      <c r="O37" s="74" t="inlineStr">
        <is>
          <t xml:space="preserve">Não</t>
        </is>
      </c>
      <c r="P37" s="74" t="inlineStr">
        <is>
          <t xml:space="preserve">Não</t>
        </is>
      </c>
      <c r="Q37" s="74" t="inlineStr">
        <is>
          <t xml:space="preserve">Não</t>
        </is>
      </c>
      <c r="R37" s="74" t="inlineStr">
        <is>
          <t xml:space="preserve">Não</t>
        </is>
      </c>
      <c r="S37" s="74" t="inlineStr">
        <is>
          <t xml:space="preserve">Sim</t>
        </is>
      </c>
      <c r="T37" s="74" t="inlineStr">
        <is>
          <t xml:space="preserve">Não</t>
        </is>
      </c>
      <c r="U37" s="74" t="inlineStr">
        <is>
          <t xml:space="preserve">Sim</t>
        </is>
      </c>
      <c r="V37" s="74" t="inlineStr">
        <is>
          <t xml:space="preserve">Sim</t>
        </is>
      </c>
      <c r="W37" s="74" t="inlineStr">
        <is>
          <t xml:space="preserve">Sim</t>
        </is>
      </c>
      <c r="X37" s="74" t="inlineStr">
        <is>
          <t xml:space="preserve">Sim</t>
        </is>
      </c>
      <c r="Y37" s="74" t="inlineStr">
        <is>
          <t xml:space="preserve">Sim</t>
        </is>
      </c>
      <c r="Z37" s="74" t="inlineStr">
        <is>
          <t xml:space="preserve">Sim</t>
        </is>
      </c>
      <c r="AA37" s="74" t="inlineStr">
        <is>
          <t xml:space="preserve">Sim</t>
        </is>
      </c>
      <c r="AB37" s="74" t="inlineStr">
        <is>
          <t xml:space="preserve">Sim</t>
        </is>
      </c>
      <c r="AC37" s="74" t="inlineStr">
        <is>
          <t xml:space="preserve">Sim</t>
        </is>
      </c>
      <c r="AD37" s="74" t="inlineStr">
        <is>
          <t xml:space="preserve">Sim</t>
        </is>
      </c>
      <c r="AE37" s="74" t="inlineStr">
        <is>
          <t xml:space="preserve">Sim</t>
        </is>
      </c>
      <c r="AF37" s="74" t="inlineStr">
        <is>
          <t xml:space="preserve">Sim</t>
        </is>
      </c>
      <c r="AG37" s="74" t="inlineStr">
        <is>
          <t xml:space="preserve">Sim</t>
        </is>
      </c>
      <c r="AJ37" s="40" t="inlineStr">
        <is>
          <t xml:space="preserve">Caixas Expedidas OUT</t>
        </is>
      </c>
      <c r="AK37" s="73" t="inlineStr">
        <is>
          <t xml:space="preserve">caixas expedidas</t>
        </is>
      </c>
      <c r="AL37" s="74">
        <v>0</v>
      </c>
      <c r="AM37" s="75">
        <v>35</v>
      </c>
      <c r="AN37" s="75">
        <v>15</v>
      </c>
      <c r="AO37" s="75">
        <v>0</v>
      </c>
      <c r="AP37" s="75">
        <v>0</v>
      </c>
    </row>
    <row r="38">
      <c r="A38" s="77">
        <v>4</v>
      </c>
      <c r="B38" s="78" t="str">
        <f>Config!$B$13&amp;""</f>
        <v>Boticário</v>
      </c>
      <c r="C38" s="78" t="str">
        <f>IF(Config!$B$13&amp;""="","",IF(Config!$C$13="","TPC",Config!$C$13))</f>
        <v>TPC</v>
      </c>
      <c r="D38" s="74" t="inlineStr">
        <is>
          <t xml:space="preserve">Sim</t>
        </is>
      </c>
      <c r="E38" s="74" t="inlineStr">
        <is>
          <t xml:space="preserve">Sim</t>
        </is>
      </c>
      <c r="F38" s="74" t="inlineStr">
        <is>
          <t xml:space="preserve">Não</t>
        </is>
      </c>
      <c r="G38" s="74" t="inlineStr">
        <is>
          <t xml:space="preserve">Não</t>
        </is>
      </c>
      <c r="H38" s="74" t="inlineStr">
        <is>
          <t xml:space="preserve">Sim</t>
        </is>
      </c>
      <c r="I38" s="74" t="inlineStr">
        <is>
          <t xml:space="preserve">Não</t>
        </is>
      </c>
      <c r="J38" s="74" t="inlineStr">
        <is>
          <t xml:space="preserve">Sim</t>
        </is>
      </c>
      <c r="K38" s="74" t="inlineStr">
        <is>
          <t xml:space="preserve">Sim</t>
        </is>
      </c>
      <c r="L38" s="74" t="inlineStr">
        <is>
          <t xml:space="preserve">Sim</t>
        </is>
      </c>
      <c r="M38" s="74" t="inlineStr">
        <is>
          <t xml:space="preserve">Sim</t>
        </is>
      </c>
      <c r="N38" s="74" t="inlineStr">
        <is>
          <t xml:space="preserve">Não</t>
        </is>
      </c>
      <c r="O38" s="74" t="inlineStr">
        <is>
          <t xml:space="preserve">Sim</t>
        </is>
      </c>
      <c r="P38" s="74" t="inlineStr">
        <is>
          <t xml:space="preserve">Sim</t>
        </is>
      </c>
      <c r="Q38" s="74" t="inlineStr">
        <is>
          <t xml:space="preserve">Não</t>
        </is>
      </c>
      <c r="R38" s="74" t="inlineStr">
        <is>
          <t xml:space="preserve">Sim</t>
        </is>
      </c>
      <c r="S38" s="74" t="inlineStr">
        <is>
          <t xml:space="preserve">Sim</t>
        </is>
      </c>
      <c r="T38" s="74" t="inlineStr">
        <is>
          <t xml:space="preserve">Não</t>
        </is>
      </c>
      <c r="U38" s="74" t="inlineStr">
        <is>
          <t xml:space="preserve">Sim</t>
        </is>
      </c>
      <c r="V38" s="74" t="inlineStr">
        <is>
          <t xml:space="preserve">Sim</t>
        </is>
      </c>
      <c r="W38" s="74" t="inlineStr">
        <is>
          <t xml:space="preserve">Sim</t>
        </is>
      </c>
      <c r="X38" s="74" t="inlineStr">
        <is>
          <t xml:space="preserve">Sim</t>
        </is>
      </c>
      <c r="Y38" s="74" t="inlineStr">
        <is>
          <t xml:space="preserve">Sim</t>
        </is>
      </c>
      <c r="Z38" s="74" t="inlineStr">
        <is>
          <t xml:space="preserve">Sim</t>
        </is>
      </c>
      <c r="AA38" s="74" t="inlineStr">
        <is>
          <t xml:space="preserve">Sim</t>
        </is>
      </c>
      <c r="AB38" s="74" t="inlineStr">
        <is>
          <t xml:space="preserve">Sim</t>
        </is>
      </c>
      <c r="AC38" s="74" t="inlineStr">
        <is>
          <t xml:space="preserve">Sim</t>
        </is>
      </c>
      <c r="AD38" s="74" t="inlineStr">
        <is>
          <t xml:space="preserve">Sim</t>
        </is>
      </c>
      <c r="AE38" s="74" t="inlineStr">
        <is>
          <t xml:space="preserve">Sim</t>
        </is>
      </c>
      <c r="AF38" s="74" t="inlineStr">
        <is>
          <t xml:space="preserve">Sim</t>
        </is>
      </c>
      <c r="AG38" s="74" t="inlineStr">
        <is>
          <t xml:space="preserve">Sim</t>
        </is>
      </c>
      <c r="AJ38" s="40" t="inlineStr">
        <is>
          <t xml:space="preserve">Caixas Expedidas OUT por veículo</t>
        </is>
      </c>
      <c r="AK38" s="73" t="inlineStr">
        <is>
          <t xml:space="preserve">caixas expedidas por veículo</t>
        </is>
      </c>
      <c r="AL38" s="74">
        <v>1</v>
      </c>
      <c r="AM38" s="75">
        <v>35</v>
      </c>
      <c r="AN38" s="75">
        <v>15</v>
      </c>
      <c r="AO38" s="75">
        <v>4</v>
      </c>
      <c r="AP38" s="75">
        <v>10</v>
      </c>
    </row>
    <row r="39">
      <c r="A39" s="77">
        <v>5</v>
      </c>
      <c r="B39" s="78" t="str">
        <f>Config!$B$14&amp;""</f>
        <v>Confiance</v>
      </c>
      <c r="C39" s="78" t="str">
        <f>IF(Config!$B$14&amp;""="","",IF(Config!$C$14="","TPC",Config!$C$14))</f>
        <v>TPC</v>
      </c>
      <c r="D39" s="74" t="inlineStr">
        <is>
          <t xml:space="preserve">Sim</t>
        </is>
      </c>
      <c r="E39" s="74" t="inlineStr">
        <is>
          <t xml:space="preserve">Sim</t>
        </is>
      </c>
      <c r="F39" s="74" t="inlineStr">
        <is>
          <t xml:space="preserve">Sim</t>
        </is>
      </c>
      <c r="G39" s="74" t="inlineStr">
        <is>
          <t xml:space="preserve">Não</t>
        </is>
      </c>
      <c r="H39" s="74" t="inlineStr">
        <is>
          <t xml:space="preserve">Não</t>
        </is>
      </c>
      <c r="I39" s="74" t="inlineStr">
        <is>
          <t xml:space="preserve">Não</t>
        </is>
      </c>
      <c r="J39" s="74" t="inlineStr">
        <is>
          <t xml:space="preserve">Não</t>
        </is>
      </c>
      <c r="K39" s="74" t="inlineStr">
        <is>
          <t xml:space="preserve">Não</t>
        </is>
      </c>
      <c r="L39" s="74" t="inlineStr">
        <is>
          <t xml:space="preserve">Não</t>
        </is>
      </c>
      <c r="M39" s="74" t="inlineStr">
        <is>
          <t xml:space="preserve">Sim</t>
        </is>
      </c>
      <c r="N39" s="74" t="inlineStr">
        <is>
          <t xml:space="preserve">Não</t>
        </is>
      </c>
      <c r="O39" s="74" t="inlineStr">
        <is>
          <t xml:space="preserve">Não</t>
        </is>
      </c>
      <c r="P39" s="74" t="inlineStr">
        <is>
          <t xml:space="preserve">Não</t>
        </is>
      </c>
      <c r="Q39" s="74" t="inlineStr">
        <is>
          <t xml:space="preserve">Não</t>
        </is>
      </c>
      <c r="R39" s="74" t="inlineStr">
        <is>
          <t xml:space="preserve">Não</t>
        </is>
      </c>
      <c r="S39" s="74" t="inlineStr">
        <is>
          <t xml:space="preserve">Sim</t>
        </is>
      </c>
      <c r="T39" s="74" t="inlineStr">
        <is>
          <t xml:space="preserve">Sim</t>
        </is>
      </c>
      <c r="U39" s="74" t="inlineStr">
        <is>
          <t xml:space="preserve">Sim</t>
        </is>
      </c>
      <c r="V39" s="74" t="inlineStr">
        <is>
          <t xml:space="preserve">Sim</t>
        </is>
      </c>
      <c r="W39" s="74" t="inlineStr">
        <is>
          <t xml:space="preserve">Sim</t>
        </is>
      </c>
      <c r="X39" s="74" t="inlineStr">
        <is>
          <t xml:space="preserve">Sim</t>
        </is>
      </c>
      <c r="Y39" s="74" t="inlineStr">
        <is>
          <t xml:space="preserve">Sim</t>
        </is>
      </c>
      <c r="Z39" s="74" t="inlineStr">
        <is>
          <t xml:space="preserve">Sim</t>
        </is>
      </c>
      <c r="AA39" s="74" t="inlineStr">
        <is>
          <t xml:space="preserve">Sim</t>
        </is>
      </c>
      <c r="AB39" s="74" t="inlineStr">
        <is>
          <t xml:space="preserve">Sim</t>
        </is>
      </c>
      <c r="AC39" s="74" t="inlineStr">
        <is>
          <t xml:space="preserve">Sim</t>
        </is>
      </c>
      <c r="AD39" s="74" t="inlineStr">
        <is>
          <t xml:space="preserve">Sim</t>
        </is>
      </c>
      <c r="AE39" s="74" t="inlineStr">
        <is>
          <t xml:space="preserve">Sim</t>
        </is>
      </c>
      <c r="AF39" s="74" t="inlineStr">
        <is>
          <t xml:space="preserve">Sim</t>
        </is>
      </c>
      <c r="AG39" s="74" t="inlineStr">
        <is>
          <t xml:space="preserve">Sim</t>
        </is>
      </c>
    </row>
    <row r="40">
      <c r="A40" s="77">
        <v>6</v>
      </c>
      <c r="B40" s="78" t="str">
        <f>Config!$B$15&amp;""</f>
        <v>GE Vernova</v>
      </c>
      <c r="C40" s="78" t="str">
        <f>IF(Config!$B$15&amp;""="","",IF(Config!$C$15="","TPC",Config!$C$15))</f>
        <v>TPC</v>
      </c>
      <c r="D40" s="74" t="inlineStr">
        <is>
          <t xml:space="preserve">Sim</t>
        </is>
      </c>
      <c r="E40" s="74" t="inlineStr">
        <is>
          <t xml:space="preserve">Sim</t>
        </is>
      </c>
      <c r="F40" s="74" t="inlineStr">
        <is>
          <t xml:space="preserve">Não</t>
        </is>
      </c>
      <c r="G40" s="74" t="inlineStr">
        <is>
          <t xml:space="preserve">Sim</t>
        </is>
      </c>
      <c r="H40" s="74" t="inlineStr">
        <is>
          <t xml:space="preserve">Não</t>
        </is>
      </c>
      <c r="I40" s="74" t="inlineStr">
        <is>
          <t xml:space="preserve">Não</t>
        </is>
      </c>
      <c r="J40" s="74" t="inlineStr">
        <is>
          <t xml:space="preserve">Não</t>
        </is>
      </c>
      <c r="K40" s="74" t="inlineStr">
        <is>
          <t xml:space="preserve">Não</t>
        </is>
      </c>
      <c r="L40" s="74" t="inlineStr">
        <is>
          <t xml:space="preserve">Não</t>
        </is>
      </c>
      <c r="M40" s="74" t="inlineStr">
        <is>
          <t xml:space="preserve">Sim</t>
        </is>
      </c>
      <c r="N40" s="74" t="inlineStr">
        <is>
          <t xml:space="preserve">Não</t>
        </is>
      </c>
      <c r="O40" s="74" t="inlineStr">
        <is>
          <t xml:space="preserve">Não</t>
        </is>
      </c>
      <c r="P40" s="74" t="inlineStr">
        <is>
          <t xml:space="preserve">Não</t>
        </is>
      </c>
      <c r="Q40" s="74" t="inlineStr">
        <is>
          <t xml:space="preserve">Sim</t>
        </is>
      </c>
      <c r="R40" s="74" t="inlineStr">
        <is>
          <t xml:space="preserve">Não</t>
        </is>
      </c>
      <c r="S40" s="74" t="inlineStr">
        <is>
          <t xml:space="preserve">Sim</t>
        </is>
      </c>
      <c r="T40" s="74" t="inlineStr">
        <is>
          <t xml:space="preserve">Não</t>
        </is>
      </c>
      <c r="U40" s="74" t="inlineStr">
        <is>
          <t xml:space="preserve">Sim</t>
        </is>
      </c>
      <c r="V40" s="74" t="inlineStr">
        <is>
          <t xml:space="preserve">Sim</t>
        </is>
      </c>
      <c r="W40" s="74" t="inlineStr">
        <is>
          <t xml:space="preserve">Sim</t>
        </is>
      </c>
      <c r="X40" s="74" t="inlineStr">
        <is>
          <t xml:space="preserve">Sim</t>
        </is>
      </c>
      <c r="Y40" s="74" t="inlineStr">
        <is>
          <t xml:space="preserve">Sim</t>
        </is>
      </c>
      <c r="Z40" s="74" t="inlineStr">
        <is>
          <t xml:space="preserve">Sim</t>
        </is>
      </c>
      <c r="AA40" s="74" t="inlineStr">
        <is>
          <t xml:space="preserve">Sim</t>
        </is>
      </c>
      <c r="AB40" s="74" t="inlineStr">
        <is>
          <t xml:space="preserve">Sim</t>
        </is>
      </c>
      <c r="AC40" s="74" t="inlineStr">
        <is>
          <t xml:space="preserve">Sim</t>
        </is>
      </c>
      <c r="AD40" s="74" t="inlineStr">
        <is>
          <t xml:space="preserve">Sim</t>
        </is>
      </c>
      <c r="AE40" s="74" t="inlineStr">
        <is>
          <t xml:space="preserve">Sim</t>
        </is>
      </c>
      <c r="AF40" s="74" t="inlineStr">
        <is>
          <t xml:space="preserve">Sim</t>
        </is>
      </c>
      <c r="AG40" s="74" t="inlineStr">
        <is>
          <t xml:space="preserve">Sim</t>
        </is>
      </c>
    </row>
    <row r="41">
      <c r="A41" s="77">
        <v>7</v>
      </c>
      <c r="B41" s="78" t="str">
        <f>Config!$B$16&amp;""</f>
        <v>Omnilife</v>
      </c>
      <c r="C41" s="78" t="str">
        <f>IF(Config!$B$16&amp;""="","",IF(Config!$C$16="","TPC",Config!$C$16))</f>
        <v>TPC</v>
      </c>
      <c r="D41" s="74" t="inlineStr">
        <is>
          <t xml:space="preserve">Sim</t>
        </is>
      </c>
      <c r="E41" s="74" t="inlineStr">
        <is>
          <t xml:space="preserve">Sim</t>
        </is>
      </c>
      <c r="F41" s="74" t="inlineStr">
        <is>
          <t xml:space="preserve">Não</t>
        </is>
      </c>
      <c r="G41" s="74" t="inlineStr">
        <is>
          <t xml:space="preserve">Não</t>
        </is>
      </c>
      <c r="H41" s="74" t="inlineStr">
        <is>
          <t xml:space="preserve">Não</t>
        </is>
      </c>
      <c r="I41" s="74" t="inlineStr">
        <is>
          <t xml:space="preserve">Não</t>
        </is>
      </c>
      <c r="J41" s="74" t="inlineStr">
        <is>
          <t xml:space="preserve">Não</t>
        </is>
      </c>
      <c r="K41" s="74" t="inlineStr">
        <is>
          <t xml:space="preserve">Não</t>
        </is>
      </c>
      <c r="L41" s="74" t="inlineStr">
        <is>
          <t xml:space="preserve">Não</t>
        </is>
      </c>
      <c r="M41" s="74" t="inlineStr">
        <is>
          <t xml:space="preserve">Sim</t>
        </is>
      </c>
      <c r="N41" s="74" t="inlineStr">
        <is>
          <t xml:space="preserve">Não</t>
        </is>
      </c>
      <c r="O41" s="74" t="inlineStr">
        <is>
          <t xml:space="preserve">Não</t>
        </is>
      </c>
      <c r="P41" s="74" t="inlineStr">
        <is>
          <t xml:space="preserve">Não</t>
        </is>
      </c>
      <c r="Q41" s="74" t="inlineStr">
        <is>
          <t xml:space="preserve">Não</t>
        </is>
      </c>
      <c r="R41" s="74" t="inlineStr">
        <is>
          <t xml:space="preserve">Não</t>
        </is>
      </c>
      <c r="S41" s="74" t="inlineStr">
        <is>
          <t xml:space="preserve">Sim</t>
        </is>
      </c>
      <c r="T41" s="74" t="inlineStr">
        <is>
          <t xml:space="preserve">Não</t>
        </is>
      </c>
      <c r="U41" s="74" t="inlineStr">
        <is>
          <t xml:space="preserve">Sim</t>
        </is>
      </c>
      <c r="V41" s="74" t="inlineStr">
        <is>
          <t xml:space="preserve">Sim</t>
        </is>
      </c>
      <c r="W41" s="74" t="inlineStr">
        <is>
          <t xml:space="preserve">Sim</t>
        </is>
      </c>
      <c r="X41" s="74" t="inlineStr">
        <is>
          <t xml:space="preserve">Sim</t>
        </is>
      </c>
      <c r="Y41" s="74" t="inlineStr">
        <is>
          <t xml:space="preserve">Sim</t>
        </is>
      </c>
      <c r="Z41" s="74" t="inlineStr">
        <is>
          <t xml:space="preserve">Sim</t>
        </is>
      </c>
      <c r="AA41" s="74" t="inlineStr">
        <is>
          <t xml:space="preserve">Sim</t>
        </is>
      </c>
      <c r="AB41" s="74" t="inlineStr">
        <is>
          <t xml:space="preserve">Sim</t>
        </is>
      </c>
      <c r="AC41" s="74" t="inlineStr">
        <is>
          <t xml:space="preserve">Sim</t>
        </is>
      </c>
      <c r="AD41" s="74" t="inlineStr">
        <is>
          <t xml:space="preserve">Sim</t>
        </is>
      </c>
      <c r="AE41" s="74" t="inlineStr">
        <is>
          <t xml:space="preserve">Sim</t>
        </is>
      </c>
      <c r="AF41" s="74" t="inlineStr">
        <is>
          <t xml:space="preserve">Sim</t>
        </is>
      </c>
      <c r="AG41" s="74" t="inlineStr">
        <is>
          <t xml:space="preserve">Sim</t>
        </is>
      </c>
    </row>
    <row r="42">
      <c r="A42" s="77">
        <v>8</v>
      </c>
      <c r="B42" s="78" t="str">
        <f>Config!$B$17&amp;""</f>
        <v>Supply</v>
      </c>
      <c r="C42" s="78" t="str">
        <f>IF(Config!$B$17&amp;""="","",IF(Config!$C$17="","TPC",Config!$C$17))</f>
        <v>TPC</v>
      </c>
      <c r="D42" s="74" t="inlineStr">
        <is>
          <t xml:space="preserve">Sim</t>
        </is>
      </c>
      <c r="E42" s="74" t="inlineStr">
        <is>
          <t xml:space="preserve">Sim</t>
        </is>
      </c>
      <c r="F42" s="74" t="inlineStr">
        <is>
          <t xml:space="preserve">Sim</t>
        </is>
      </c>
      <c r="G42" s="74" t="inlineStr">
        <is>
          <t xml:space="preserve">Não</t>
        </is>
      </c>
      <c r="H42" s="74" t="inlineStr">
        <is>
          <t xml:space="preserve">Não</t>
        </is>
      </c>
      <c r="I42" s="74" t="inlineStr">
        <is>
          <t xml:space="preserve">Não</t>
        </is>
      </c>
      <c r="J42" s="74" t="inlineStr">
        <is>
          <t xml:space="preserve">Não</t>
        </is>
      </c>
      <c r="K42" s="74" t="inlineStr">
        <is>
          <t xml:space="preserve">Não</t>
        </is>
      </c>
      <c r="L42" s="74" t="inlineStr">
        <is>
          <t xml:space="preserve">Não</t>
        </is>
      </c>
      <c r="M42" s="74" t="inlineStr">
        <is>
          <t xml:space="preserve">Sim</t>
        </is>
      </c>
      <c r="N42" s="74" t="inlineStr">
        <is>
          <t xml:space="preserve">Não</t>
        </is>
      </c>
      <c r="O42" s="74" t="inlineStr">
        <is>
          <t xml:space="preserve">Não</t>
        </is>
      </c>
      <c r="P42" s="74" t="inlineStr">
        <is>
          <t xml:space="preserve">Não</t>
        </is>
      </c>
      <c r="Q42" s="74" t="inlineStr">
        <is>
          <t xml:space="preserve">Não</t>
        </is>
      </c>
      <c r="R42" s="74" t="inlineStr">
        <is>
          <t xml:space="preserve">Não</t>
        </is>
      </c>
      <c r="S42" s="74" t="inlineStr">
        <is>
          <t xml:space="preserve">Sim</t>
        </is>
      </c>
      <c r="T42" s="74" t="inlineStr">
        <is>
          <t xml:space="preserve">Sim</t>
        </is>
      </c>
      <c r="U42" s="74" t="inlineStr">
        <is>
          <t xml:space="preserve">Sim</t>
        </is>
      </c>
      <c r="V42" s="74" t="inlineStr">
        <is>
          <t xml:space="preserve">Sim</t>
        </is>
      </c>
      <c r="W42" s="74" t="inlineStr">
        <is>
          <t xml:space="preserve">Sim</t>
        </is>
      </c>
      <c r="X42" s="74" t="inlineStr">
        <is>
          <t xml:space="preserve">Sim</t>
        </is>
      </c>
      <c r="Y42" s="74" t="inlineStr">
        <is>
          <t xml:space="preserve">Sim</t>
        </is>
      </c>
      <c r="Z42" s="74" t="inlineStr">
        <is>
          <t xml:space="preserve">Sim</t>
        </is>
      </c>
      <c r="AA42" s="74" t="inlineStr">
        <is>
          <t xml:space="preserve">Sim</t>
        </is>
      </c>
      <c r="AB42" s="74" t="inlineStr">
        <is>
          <t xml:space="preserve">Sim</t>
        </is>
      </c>
      <c r="AC42" s="74" t="inlineStr">
        <is>
          <t xml:space="preserve">Sim</t>
        </is>
      </c>
      <c r="AD42" s="74" t="inlineStr">
        <is>
          <t xml:space="preserve">Sim</t>
        </is>
      </c>
      <c r="AE42" s="74" t="inlineStr">
        <is>
          <t xml:space="preserve">Sim</t>
        </is>
      </c>
      <c r="AF42" s="74" t="inlineStr">
        <is>
          <t xml:space="preserve">Sim</t>
        </is>
      </c>
      <c r="AG42" s="74" t="inlineStr">
        <is>
          <t xml:space="preserve">Sim</t>
        </is>
      </c>
    </row>
    <row r="43">
      <c r="A43" s="77">
        <v>9</v>
      </c>
      <c r="B43" s="78" t="str">
        <f>Config!$B$18&amp;""</f>
        <v>Vedacit</v>
      </c>
      <c r="C43" s="78" t="str">
        <f>IF(Config!$B$18&amp;""="","",IF(Config!$C$18="","TPC",Config!$C$18))</f>
        <v>TPC</v>
      </c>
      <c r="D43" s="74" t="inlineStr">
        <is>
          <t xml:space="preserve">Sim</t>
        </is>
      </c>
      <c r="E43" s="74" t="inlineStr">
        <is>
          <t xml:space="preserve">Sim</t>
        </is>
      </c>
      <c r="F43" s="74" t="inlineStr">
        <is>
          <t xml:space="preserve">Não</t>
        </is>
      </c>
      <c r="G43" s="74" t="inlineStr">
        <is>
          <t xml:space="preserve">Não</t>
        </is>
      </c>
      <c r="H43" s="74" t="inlineStr">
        <is>
          <t xml:space="preserve">Não</t>
        </is>
      </c>
      <c r="I43" s="74" t="inlineStr">
        <is>
          <t xml:space="preserve">Não</t>
        </is>
      </c>
      <c r="J43" s="74" t="inlineStr">
        <is>
          <t xml:space="preserve">Não</t>
        </is>
      </c>
      <c r="K43" s="74" t="inlineStr">
        <is>
          <t xml:space="preserve">Não</t>
        </is>
      </c>
      <c r="L43" s="74" t="inlineStr">
        <is>
          <t xml:space="preserve">Não</t>
        </is>
      </c>
      <c r="M43" s="74" t="inlineStr">
        <is>
          <t xml:space="preserve">Sim</t>
        </is>
      </c>
      <c r="N43" s="74" t="inlineStr">
        <is>
          <t xml:space="preserve">Não</t>
        </is>
      </c>
      <c r="O43" s="74" t="inlineStr">
        <is>
          <t xml:space="preserve">Não</t>
        </is>
      </c>
      <c r="P43" s="74" t="inlineStr">
        <is>
          <t xml:space="preserve">Não</t>
        </is>
      </c>
      <c r="Q43" s="74" t="inlineStr">
        <is>
          <t xml:space="preserve">Não</t>
        </is>
      </c>
      <c r="R43" s="74" t="inlineStr">
        <is>
          <t xml:space="preserve">Não</t>
        </is>
      </c>
      <c r="S43" s="74" t="inlineStr">
        <is>
          <t xml:space="preserve">Sim</t>
        </is>
      </c>
      <c r="T43" s="74" t="inlineStr">
        <is>
          <t xml:space="preserve">Não</t>
        </is>
      </c>
      <c r="U43" s="74" t="inlineStr">
        <is>
          <t xml:space="preserve">Sim</t>
        </is>
      </c>
      <c r="V43" s="74" t="inlineStr">
        <is>
          <t xml:space="preserve">Sim</t>
        </is>
      </c>
      <c r="W43" s="74" t="inlineStr">
        <is>
          <t xml:space="preserve">Sim</t>
        </is>
      </c>
      <c r="X43" s="74" t="inlineStr">
        <is>
          <t xml:space="preserve">Sim</t>
        </is>
      </c>
      <c r="Y43" s="74" t="inlineStr">
        <is>
          <t xml:space="preserve">Sim</t>
        </is>
      </c>
      <c r="Z43" s="74" t="inlineStr">
        <is>
          <t xml:space="preserve">Sim</t>
        </is>
      </c>
      <c r="AA43" s="74" t="inlineStr">
        <is>
          <t xml:space="preserve">Sim</t>
        </is>
      </c>
      <c r="AB43" s="74" t="inlineStr">
        <is>
          <t xml:space="preserve">Sim</t>
        </is>
      </c>
      <c r="AC43" s="74" t="inlineStr">
        <is>
          <t xml:space="preserve">Sim</t>
        </is>
      </c>
      <c r="AD43" s="74" t="inlineStr">
        <is>
          <t xml:space="preserve">Sim</t>
        </is>
      </c>
      <c r="AE43" s="74" t="inlineStr">
        <is>
          <t xml:space="preserve">Sim</t>
        </is>
      </c>
      <c r="AF43" s="74" t="inlineStr">
        <is>
          <t xml:space="preserve">Sim</t>
        </is>
      </c>
      <c r="AG43" s="74" t="inlineStr">
        <is>
          <t xml:space="preserve">Sim</t>
        </is>
      </c>
    </row>
    <row r="44">
      <c r="A44" s="77">
        <v>10</v>
      </c>
      <c r="B44" s="78" t="str">
        <f>Config!$B$19&amp;""</f>
        <v>Vestas</v>
      </c>
      <c r="C44" s="78" t="str">
        <f>IF(Config!$B$19&amp;""="","",IF(Config!$C$19="","TPC",Config!$C$19))</f>
        <v>TPC</v>
      </c>
      <c r="D44" s="74" t="inlineStr">
        <is>
          <t xml:space="preserve">Sim</t>
        </is>
      </c>
      <c r="E44" s="74" t="inlineStr">
        <is>
          <t xml:space="preserve">Não</t>
        </is>
      </c>
      <c r="F44" s="74" t="inlineStr">
        <is>
          <t xml:space="preserve">Não</t>
        </is>
      </c>
      <c r="G44" s="74" t="inlineStr">
        <is>
          <t xml:space="preserve">Sim</t>
        </is>
      </c>
      <c r="H44" s="74" t="inlineStr">
        <is>
          <t xml:space="preserve">Não</t>
        </is>
      </c>
      <c r="I44" s="74" t="inlineStr">
        <is>
          <t xml:space="preserve">Não</t>
        </is>
      </c>
      <c r="J44" s="74" t="inlineStr">
        <is>
          <t xml:space="preserve">Não</t>
        </is>
      </c>
      <c r="K44" s="74" t="inlineStr">
        <is>
          <t xml:space="preserve">Não</t>
        </is>
      </c>
      <c r="L44" s="74" t="inlineStr">
        <is>
          <t xml:space="preserve">Não</t>
        </is>
      </c>
      <c r="M44" s="74" t="inlineStr">
        <is>
          <t xml:space="preserve">Sim</t>
        </is>
      </c>
      <c r="N44" s="74" t="inlineStr">
        <is>
          <t xml:space="preserve">Não</t>
        </is>
      </c>
      <c r="O44" s="74" t="inlineStr">
        <is>
          <t xml:space="preserve">Não</t>
        </is>
      </c>
      <c r="P44" s="74" t="inlineStr">
        <is>
          <t xml:space="preserve">Não</t>
        </is>
      </c>
      <c r="Q44" s="74" t="inlineStr">
        <is>
          <t xml:space="preserve">Sim</t>
        </is>
      </c>
      <c r="R44" s="74" t="inlineStr">
        <is>
          <t xml:space="preserve">Não</t>
        </is>
      </c>
      <c r="S44" s="74" t="inlineStr">
        <is>
          <t xml:space="preserve">Não</t>
        </is>
      </c>
      <c r="T44" s="74" t="inlineStr">
        <is>
          <t xml:space="preserve">Não</t>
        </is>
      </c>
      <c r="U44" s="74" t="inlineStr">
        <is>
          <t xml:space="preserve">Sim</t>
        </is>
      </c>
      <c r="V44" s="74" t="inlineStr">
        <is>
          <t xml:space="preserve">Sim</t>
        </is>
      </c>
      <c r="W44" s="74" t="inlineStr">
        <is>
          <t xml:space="preserve">Sim</t>
        </is>
      </c>
      <c r="X44" s="74" t="inlineStr">
        <is>
          <t xml:space="preserve">Sim</t>
        </is>
      </c>
      <c r="Y44" s="74" t="inlineStr">
        <is>
          <t xml:space="preserve">Sim</t>
        </is>
      </c>
      <c r="Z44" s="74" t="inlineStr">
        <is>
          <t xml:space="preserve">Sim</t>
        </is>
      </c>
      <c r="AA44" s="74" t="inlineStr">
        <is>
          <t xml:space="preserve">Sim</t>
        </is>
      </c>
      <c r="AB44" s="74" t="inlineStr">
        <is>
          <t xml:space="preserve">Sim</t>
        </is>
      </c>
      <c r="AC44" s="74" t="inlineStr">
        <is>
          <t xml:space="preserve">Sim</t>
        </is>
      </c>
      <c r="AD44" s="74" t="inlineStr">
        <is>
          <t xml:space="preserve">Sim</t>
        </is>
      </c>
      <c r="AE44" s="74" t="inlineStr">
        <is>
          <t xml:space="preserve">Sim</t>
        </is>
      </c>
      <c r="AF44" s="74" t="inlineStr">
        <is>
          <t xml:space="preserve">Sim</t>
        </is>
      </c>
      <c r="AG44" s="74" t="inlineStr">
        <is>
          <t xml:space="preserve">Sim</t>
        </is>
      </c>
    </row>
    <row r="45">
      <c r="A45" s="77">
        <v>11</v>
      </c>
      <c r="B45" s="78" t="str">
        <f>Config!$B$20&amp;""</f>
        <v/>
      </c>
      <c r="C45" s="78" t="str">
        <f>IF(Config!$B$20&amp;""="","",IF(Config!$C$20="","TPC",Config!$C$20))</f>
        <v/>
      </c>
      <c r="D45" s="74" t="inlineStr">
        <is>
          <t xml:space="preserve">Sim</t>
        </is>
      </c>
      <c r="E45" s="74" t="inlineStr">
        <is>
          <t xml:space="preserve">Sim</t>
        </is>
      </c>
      <c r="F45" s="74" t="inlineStr">
        <is>
          <t xml:space="preserve">Sim</t>
        </is>
      </c>
      <c r="G45" s="74" t="inlineStr">
        <is>
          <t xml:space="preserve">Não</t>
        </is>
      </c>
      <c r="H45" s="74" t="inlineStr">
        <is>
          <t xml:space="preserve">Não</t>
        </is>
      </c>
      <c r="I45" s="74" t="inlineStr">
        <is>
          <t xml:space="preserve">Não</t>
        </is>
      </c>
      <c r="J45" s="74" t="inlineStr">
        <is>
          <t xml:space="preserve">Não</t>
        </is>
      </c>
      <c r="K45" s="74" t="inlineStr">
        <is>
          <t xml:space="preserve">Não</t>
        </is>
      </c>
      <c r="L45" s="74" t="inlineStr">
        <is>
          <t xml:space="preserve">Não</t>
        </is>
      </c>
      <c r="M45" s="74" t="inlineStr">
        <is>
          <t xml:space="preserve">Sim</t>
        </is>
      </c>
      <c r="N45" s="74" t="inlineStr">
        <is>
          <t xml:space="preserve">Não</t>
        </is>
      </c>
      <c r="O45" s="74" t="inlineStr">
        <is>
          <t xml:space="preserve">Não</t>
        </is>
      </c>
      <c r="P45" s="74" t="inlineStr">
        <is>
          <t xml:space="preserve">Não</t>
        </is>
      </c>
      <c r="Q45" s="74" t="inlineStr">
        <is>
          <t xml:space="preserve">Não</t>
        </is>
      </c>
      <c r="R45" s="74" t="inlineStr">
        <is>
          <t xml:space="preserve">Não</t>
        </is>
      </c>
      <c r="S45" s="74" t="inlineStr">
        <is>
          <t xml:space="preserve">Sim</t>
        </is>
      </c>
      <c r="T45" s="74" t="inlineStr">
        <is>
          <t xml:space="preserve">Sim</t>
        </is>
      </c>
      <c r="U45" s="74" t="inlineStr">
        <is>
          <t xml:space="preserve">Sim</t>
        </is>
      </c>
      <c r="V45" s="74" t="inlineStr">
        <is>
          <t xml:space="preserve">Sim</t>
        </is>
      </c>
      <c r="W45" s="74" t="inlineStr">
        <is>
          <t xml:space="preserve">Sim</t>
        </is>
      </c>
      <c r="X45" s="74" t="inlineStr">
        <is>
          <t xml:space="preserve">Sim</t>
        </is>
      </c>
      <c r="Y45" s="74" t="inlineStr">
        <is>
          <t xml:space="preserve">Sim</t>
        </is>
      </c>
      <c r="Z45" s="74" t="inlineStr">
        <is>
          <t xml:space="preserve">Sim</t>
        </is>
      </c>
      <c r="AA45" s="74" t="inlineStr">
        <is>
          <t xml:space="preserve">Sim</t>
        </is>
      </c>
      <c r="AB45" s="74" t="inlineStr">
        <is>
          <t xml:space="preserve">Sim</t>
        </is>
      </c>
      <c r="AC45" s="74" t="inlineStr">
        <is>
          <t xml:space="preserve">Sim</t>
        </is>
      </c>
      <c r="AD45" s="74" t="inlineStr">
        <is>
          <t xml:space="preserve">Sim</t>
        </is>
      </c>
      <c r="AE45" s="74" t="inlineStr">
        <is>
          <t xml:space="preserve">Sim</t>
        </is>
      </c>
      <c r="AF45" s="74" t="inlineStr">
        <is>
          <t xml:space="preserve">Sim</t>
        </is>
      </c>
      <c r="AG45" s="74" t="inlineStr">
        <is>
          <t xml:space="preserve">Sim</t>
        </is>
      </c>
    </row>
    <row r="46">
      <c r="A46" s="77">
        <v>12</v>
      </c>
      <c r="B46" s="78" t="str">
        <f>Config!$B$21&amp;""</f>
        <v/>
      </c>
      <c r="C46" s="78" t="str">
        <f>IF(Config!$B$21&amp;""="","",IF(Config!$C$21="","TPC",Config!$C$21))</f>
        <v/>
      </c>
      <c r="D46" s="74" t="inlineStr">
        <is>
          <t xml:space="preserve">Sim</t>
        </is>
      </c>
      <c r="E46" s="74" t="inlineStr">
        <is>
          <t xml:space="preserve">Sim</t>
        </is>
      </c>
      <c r="F46" s="74" t="inlineStr">
        <is>
          <t xml:space="preserve">Sim</t>
        </is>
      </c>
      <c r="G46" s="74" t="inlineStr">
        <is>
          <t xml:space="preserve">Não</t>
        </is>
      </c>
      <c r="H46" s="74" t="inlineStr">
        <is>
          <t xml:space="preserve">Não</t>
        </is>
      </c>
      <c r="I46" s="74" t="inlineStr">
        <is>
          <t xml:space="preserve">Não</t>
        </is>
      </c>
      <c r="J46" s="74" t="inlineStr">
        <is>
          <t xml:space="preserve">Não</t>
        </is>
      </c>
      <c r="K46" s="74" t="inlineStr">
        <is>
          <t xml:space="preserve">Não</t>
        </is>
      </c>
      <c r="L46" s="74" t="inlineStr">
        <is>
          <t xml:space="preserve">Não</t>
        </is>
      </c>
      <c r="M46" s="74" t="inlineStr">
        <is>
          <t xml:space="preserve">Sim</t>
        </is>
      </c>
      <c r="N46" s="74" t="inlineStr">
        <is>
          <t xml:space="preserve">Não</t>
        </is>
      </c>
      <c r="O46" s="74" t="inlineStr">
        <is>
          <t xml:space="preserve">Não</t>
        </is>
      </c>
      <c r="P46" s="74" t="inlineStr">
        <is>
          <t xml:space="preserve">Não</t>
        </is>
      </c>
      <c r="Q46" s="74" t="inlineStr">
        <is>
          <t xml:space="preserve">Não</t>
        </is>
      </c>
      <c r="R46" s="74" t="inlineStr">
        <is>
          <t xml:space="preserve">Não</t>
        </is>
      </c>
      <c r="S46" s="74" t="inlineStr">
        <is>
          <t xml:space="preserve">Sim</t>
        </is>
      </c>
      <c r="T46" s="74" t="inlineStr">
        <is>
          <t xml:space="preserve">Sim</t>
        </is>
      </c>
      <c r="U46" s="74" t="inlineStr">
        <is>
          <t xml:space="preserve">Sim</t>
        </is>
      </c>
      <c r="V46" s="74" t="inlineStr">
        <is>
          <t xml:space="preserve">Sim</t>
        </is>
      </c>
      <c r="W46" s="74" t="inlineStr">
        <is>
          <t xml:space="preserve">Sim</t>
        </is>
      </c>
      <c r="X46" s="74" t="inlineStr">
        <is>
          <t xml:space="preserve">Sim</t>
        </is>
      </c>
      <c r="Y46" s="74" t="inlineStr">
        <is>
          <t xml:space="preserve">Sim</t>
        </is>
      </c>
      <c r="Z46" s="74" t="inlineStr">
        <is>
          <t xml:space="preserve">Sim</t>
        </is>
      </c>
      <c r="AA46" s="74" t="inlineStr">
        <is>
          <t xml:space="preserve">Sim</t>
        </is>
      </c>
      <c r="AB46" s="74" t="inlineStr">
        <is>
          <t xml:space="preserve">Sim</t>
        </is>
      </c>
      <c r="AC46" s="74" t="inlineStr">
        <is>
          <t xml:space="preserve">Sim</t>
        </is>
      </c>
      <c r="AD46" s="74" t="inlineStr">
        <is>
          <t xml:space="preserve">Sim</t>
        </is>
      </c>
      <c r="AE46" s="74" t="inlineStr">
        <is>
          <t xml:space="preserve">Sim</t>
        </is>
      </c>
      <c r="AF46" s="74" t="inlineStr">
        <is>
          <t xml:space="preserve">Sim</t>
        </is>
      </c>
      <c r="AG46" s="74" t="inlineStr">
        <is>
          <t xml:space="preserve">Sim</t>
        </is>
      </c>
    </row>
    <row r="47">
      <c r="A47" s="77">
        <v>13</v>
      </c>
      <c r="B47" s="78" t="str">
        <f>Config!$B$22&amp;""</f>
        <v/>
      </c>
      <c r="C47" s="78" t="str">
        <f>IF(Config!$B$22&amp;""="","",IF(Config!$C$22="","TPC",Config!$C$22))</f>
        <v/>
      </c>
      <c r="D47" s="74" t="inlineStr">
        <is>
          <t xml:space="preserve">Sim</t>
        </is>
      </c>
      <c r="E47" s="74" t="inlineStr">
        <is>
          <t xml:space="preserve">Sim</t>
        </is>
      </c>
      <c r="F47" s="74" t="inlineStr">
        <is>
          <t xml:space="preserve">Sim</t>
        </is>
      </c>
      <c r="G47" s="74" t="inlineStr">
        <is>
          <t xml:space="preserve">Não</t>
        </is>
      </c>
      <c r="H47" s="74" t="inlineStr">
        <is>
          <t xml:space="preserve">Não</t>
        </is>
      </c>
      <c r="I47" s="74" t="inlineStr">
        <is>
          <t xml:space="preserve">Não</t>
        </is>
      </c>
      <c r="J47" s="74" t="inlineStr">
        <is>
          <t xml:space="preserve">Não</t>
        </is>
      </c>
      <c r="K47" s="74" t="inlineStr">
        <is>
          <t xml:space="preserve">Não</t>
        </is>
      </c>
      <c r="L47" s="74" t="inlineStr">
        <is>
          <t xml:space="preserve">Não</t>
        </is>
      </c>
      <c r="M47" s="74" t="inlineStr">
        <is>
          <t xml:space="preserve">Sim</t>
        </is>
      </c>
      <c r="N47" s="74" t="inlineStr">
        <is>
          <t xml:space="preserve">Não</t>
        </is>
      </c>
      <c r="O47" s="74" t="inlineStr">
        <is>
          <t xml:space="preserve">Não</t>
        </is>
      </c>
      <c r="P47" s="74" t="inlineStr">
        <is>
          <t xml:space="preserve">Não</t>
        </is>
      </c>
      <c r="Q47" s="74" t="inlineStr">
        <is>
          <t xml:space="preserve">Não</t>
        </is>
      </c>
      <c r="R47" s="74" t="inlineStr">
        <is>
          <t xml:space="preserve">Não</t>
        </is>
      </c>
      <c r="S47" s="74" t="inlineStr">
        <is>
          <t xml:space="preserve">Sim</t>
        </is>
      </c>
      <c r="T47" s="74" t="inlineStr">
        <is>
          <t xml:space="preserve">Sim</t>
        </is>
      </c>
      <c r="U47" s="74" t="inlineStr">
        <is>
          <t xml:space="preserve">Sim</t>
        </is>
      </c>
      <c r="V47" s="74" t="inlineStr">
        <is>
          <t xml:space="preserve">Sim</t>
        </is>
      </c>
      <c r="W47" s="74" t="inlineStr">
        <is>
          <t xml:space="preserve">Sim</t>
        </is>
      </c>
      <c r="X47" s="74" t="inlineStr">
        <is>
          <t xml:space="preserve">Sim</t>
        </is>
      </c>
      <c r="Y47" s="74" t="inlineStr">
        <is>
          <t xml:space="preserve">Sim</t>
        </is>
      </c>
      <c r="Z47" s="74" t="inlineStr">
        <is>
          <t xml:space="preserve">Sim</t>
        </is>
      </c>
      <c r="AA47" s="74" t="inlineStr">
        <is>
          <t xml:space="preserve">Sim</t>
        </is>
      </c>
      <c r="AB47" s="74" t="inlineStr">
        <is>
          <t xml:space="preserve">Sim</t>
        </is>
      </c>
      <c r="AC47" s="74" t="inlineStr">
        <is>
          <t xml:space="preserve">Sim</t>
        </is>
      </c>
      <c r="AD47" s="74" t="inlineStr">
        <is>
          <t xml:space="preserve">Sim</t>
        </is>
      </c>
      <c r="AE47" s="74" t="inlineStr">
        <is>
          <t xml:space="preserve">Sim</t>
        </is>
      </c>
      <c r="AF47" s="74" t="inlineStr">
        <is>
          <t xml:space="preserve">Sim</t>
        </is>
      </c>
      <c r="AG47" s="74" t="inlineStr">
        <is>
          <t xml:space="preserve">Sim</t>
        </is>
      </c>
    </row>
    <row r="48">
      <c r="A48" s="77">
        <v>14</v>
      </c>
      <c r="B48" s="78" t="str">
        <f>Config!$B$23&amp;""</f>
        <v/>
      </c>
      <c r="C48" s="78" t="str">
        <f>IF(Config!$B$23&amp;""="","",IF(Config!$C$23="","TPC",Config!$C$23))</f>
        <v/>
      </c>
      <c r="D48" s="74" t="inlineStr">
        <is>
          <t xml:space="preserve">Sim</t>
        </is>
      </c>
      <c r="E48" s="74" t="inlineStr">
        <is>
          <t xml:space="preserve">Sim</t>
        </is>
      </c>
      <c r="F48" s="74" t="inlineStr">
        <is>
          <t xml:space="preserve">Sim</t>
        </is>
      </c>
      <c r="G48" s="74" t="inlineStr">
        <is>
          <t xml:space="preserve">Não</t>
        </is>
      </c>
      <c r="H48" s="74" t="inlineStr">
        <is>
          <t xml:space="preserve">Não</t>
        </is>
      </c>
      <c r="I48" s="74" t="inlineStr">
        <is>
          <t xml:space="preserve">Não</t>
        </is>
      </c>
      <c r="J48" s="74" t="inlineStr">
        <is>
          <t xml:space="preserve">Não</t>
        </is>
      </c>
      <c r="K48" s="74" t="inlineStr">
        <is>
          <t xml:space="preserve">Não</t>
        </is>
      </c>
      <c r="L48" s="74" t="inlineStr">
        <is>
          <t xml:space="preserve">Não</t>
        </is>
      </c>
      <c r="M48" s="74" t="inlineStr">
        <is>
          <t xml:space="preserve">Sim</t>
        </is>
      </c>
      <c r="N48" s="74" t="inlineStr">
        <is>
          <t xml:space="preserve">Não</t>
        </is>
      </c>
      <c r="O48" s="74" t="inlineStr">
        <is>
          <t xml:space="preserve">Não</t>
        </is>
      </c>
      <c r="P48" s="74" t="inlineStr">
        <is>
          <t xml:space="preserve">Não</t>
        </is>
      </c>
      <c r="Q48" s="74" t="inlineStr">
        <is>
          <t xml:space="preserve">Não</t>
        </is>
      </c>
      <c r="R48" s="74" t="inlineStr">
        <is>
          <t xml:space="preserve">Não</t>
        </is>
      </c>
      <c r="S48" s="74" t="inlineStr">
        <is>
          <t xml:space="preserve">Sim</t>
        </is>
      </c>
      <c r="T48" s="74" t="inlineStr">
        <is>
          <t xml:space="preserve">Sim</t>
        </is>
      </c>
      <c r="U48" s="74" t="inlineStr">
        <is>
          <t xml:space="preserve">Sim</t>
        </is>
      </c>
      <c r="V48" s="74" t="inlineStr">
        <is>
          <t xml:space="preserve">Sim</t>
        </is>
      </c>
      <c r="W48" s="74" t="inlineStr">
        <is>
          <t xml:space="preserve">Sim</t>
        </is>
      </c>
      <c r="X48" s="74" t="inlineStr">
        <is>
          <t xml:space="preserve">Sim</t>
        </is>
      </c>
      <c r="Y48" s="74" t="inlineStr">
        <is>
          <t xml:space="preserve">Sim</t>
        </is>
      </c>
      <c r="Z48" s="74" t="inlineStr">
        <is>
          <t xml:space="preserve">Sim</t>
        </is>
      </c>
      <c r="AA48" s="74" t="inlineStr">
        <is>
          <t xml:space="preserve">Sim</t>
        </is>
      </c>
      <c r="AB48" s="74" t="inlineStr">
        <is>
          <t xml:space="preserve">Sim</t>
        </is>
      </c>
      <c r="AC48" s="74" t="inlineStr">
        <is>
          <t xml:space="preserve">Sim</t>
        </is>
      </c>
      <c r="AD48" s="74" t="inlineStr">
        <is>
          <t xml:space="preserve">Sim</t>
        </is>
      </c>
      <c r="AE48" s="74" t="inlineStr">
        <is>
          <t xml:space="preserve">Sim</t>
        </is>
      </c>
      <c r="AF48" s="74" t="inlineStr">
        <is>
          <t xml:space="preserve">Sim</t>
        </is>
      </c>
      <c r="AG48" s="74" t="inlineStr">
        <is>
          <t xml:space="preserve">Sim</t>
        </is>
      </c>
    </row>
    <row r="49">
      <c r="A49" s="77">
        <v>15</v>
      </c>
      <c r="B49" s="78" t="str">
        <f>Config!$B$24&amp;""</f>
        <v/>
      </c>
      <c r="C49" s="78" t="str">
        <f>IF(Config!$B$24&amp;""="","",IF(Config!$C$24="","TPC",Config!$C$24))</f>
        <v/>
      </c>
      <c r="D49" s="74" t="inlineStr">
        <is>
          <t xml:space="preserve">Sim</t>
        </is>
      </c>
      <c r="E49" s="74" t="inlineStr">
        <is>
          <t xml:space="preserve">Sim</t>
        </is>
      </c>
      <c r="F49" s="74" t="inlineStr">
        <is>
          <t xml:space="preserve">Sim</t>
        </is>
      </c>
      <c r="G49" s="74" t="inlineStr">
        <is>
          <t xml:space="preserve">Não</t>
        </is>
      </c>
      <c r="H49" s="74" t="inlineStr">
        <is>
          <t xml:space="preserve">Não</t>
        </is>
      </c>
      <c r="I49" s="74" t="inlineStr">
        <is>
          <t xml:space="preserve">Não</t>
        </is>
      </c>
      <c r="J49" s="74" t="inlineStr">
        <is>
          <t xml:space="preserve">Não</t>
        </is>
      </c>
      <c r="K49" s="74" t="inlineStr">
        <is>
          <t xml:space="preserve">Não</t>
        </is>
      </c>
      <c r="L49" s="74" t="inlineStr">
        <is>
          <t xml:space="preserve">Não</t>
        </is>
      </c>
      <c r="M49" s="74" t="inlineStr">
        <is>
          <t xml:space="preserve">Sim</t>
        </is>
      </c>
      <c r="N49" s="74" t="inlineStr">
        <is>
          <t xml:space="preserve">Não</t>
        </is>
      </c>
      <c r="O49" s="74" t="inlineStr">
        <is>
          <t xml:space="preserve">Não</t>
        </is>
      </c>
      <c r="P49" s="74" t="inlineStr">
        <is>
          <t xml:space="preserve">Não</t>
        </is>
      </c>
      <c r="Q49" s="74" t="inlineStr">
        <is>
          <t xml:space="preserve">Não</t>
        </is>
      </c>
      <c r="R49" s="74" t="inlineStr">
        <is>
          <t xml:space="preserve">Não</t>
        </is>
      </c>
      <c r="S49" s="74" t="inlineStr">
        <is>
          <t xml:space="preserve">Sim</t>
        </is>
      </c>
      <c r="T49" s="74" t="inlineStr">
        <is>
          <t xml:space="preserve">Sim</t>
        </is>
      </c>
      <c r="U49" s="74" t="inlineStr">
        <is>
          <t xml:space="preserve">Sim</t>
        </is>
      </c>
      <c r="V49" s="74" t="inlineStr">
        <is>
          <t xml:space="preserve">Sim</t>
        </is>
      </c>
      <c r="W49" s="74" t="inlineStr">
        <is>
          <t xml:space="preserve">Sim</t>
        </is>
      </c>
      <c r="X49" s="74" t="inlineStr">
        <is>
          <t xml:space="preserve">Sim</t>
        </is>
      </c>
      <c r="Y49" s="74" t="inlineStr">
        <is>
          <t xml:space="preserve">Sim</t>
        </is>
      </c>
      <c r="Z49" s="74" t="inlineStr">
        <is>
          <t xml:space="preserve">Sim</t>
        </is>
      </c>
      <c r="AA49" s="74" t="inlineStr">
        <is>
          <t xml:space="preserve">Sim</t>
        </is>
      </c>
      <c r="AB49" s="74" t="inlineStr">
        <is>
          <t xml:space="preserve">Sim</t>
        </is>
      </c>
      <c r="AC49" s="74" t="inlineStr">
        <is>
          <t xml:space="preserve">Sim</t>
        </is>
      </c>
      <c r="AD49" s="74" t="inlineStr">
        <is>
          <t xml:space="preserve">Sim</t>
        </is>
      </c>
      <c r="AE49" s="74" t="inlineStr">
        <is>
          <t xml:space="preserve">Sim</t>
        </is>
      </c>
      <c r="AF49" s="74" t="inlineStr">
        <is>
          <t xml:space="preserve">Sim</t>
        </is>
      </c>
      <c r="AG49" s="74" t="inlineStr">
        <is>
          <t xml:space="preserve">Sim</t>
        </is>
      </c>
    </row>
    <row r="50">
      <c r="A50" s="77">
        <v>16</v>
      </c>
      <c r="B50" s="78" t="str">
        <f>Config!$B$25&amp;""</f>
        <v/>
      </c>
      <c r="C50" s="78" t="str">
        <f>IF(Config!$B$25&amp;""="","",IF(Config!$C$25="","TPC",Config!$C$25))</f>
        <v/>
      </c>
      <c r="D50" s="74" t="inlineStr">
        <is>
          <t xml:space="preserve">Sim</t>
        </is>
      </c>
      <c r="E50" s="74" t="inlineStr">
        <is>
          <t xml:space="preserve">Sim</t>
        </is>
      </c>
      <c r="F50" s="74" t="inlineStr">
        <is>
          <t xml:space="preserve">Sim</t>
        </is>
      </c>
      <c r="G50" s="74" t="inlineStr">
        <is>
          <t xml:space="preserve">Não</t>
        </is>
      </c>
      <c r="H50" s="74" t="inlineStr">
        <is>
          <t xml:space="preserve">Não</t>
        </is>
      </c>
      <c r="I50" s="74" t="inlineStr">
        <is>
          <t xml:space="preserve">Não</t>
        </is>
      </c>
      <c r="J50" s="74" t="inlineStr">
        <is>
          <t xml:space="preserve">Não</t>
        </is>
      </c>
      <c r="K50" s="74" t="inlineStr">
        <is>
          <t xml:space="preserve">Não</t>
        </is>
      </c>
      <c r="L50" s="74" t="inlineStr">
        <is>
          <t xml:space="preserve">Não</t>
        </is>
      </c>
      <c r="M50" s="74" t="inlineStr">
        <is>
          <t xml:space="preserve">Sim</t>
        </is>
      </c>
      <c r="N50" s="74" t="inlineStr">
        <is>
          <t xml:space="preserve">Não</t>
        </is>
      </c>
      <c r="O50" s="74" t="inlineStr">
        <is>
          <t xml:space="preserve">Não</t>
        </is>
      </c>
      <c r="P50" s="74" t="inlineStr">
        <is>
          <t xml:space="preserve">Não</t>
        </is>
      </c>
      <c r="Q50" s="74" t="inlineStr">
        <is>
          <t xml:space="preserve">Não</t>
        </is>
      </c>
      <c r="R50" s="74" t="inlineStr">
        <is>
          <t xml:space="preserve">Não</t>
        </is>
      </c>
      <c r="S50" s="74" t="inlineStr">
        <is>
          <t xml:space="preserve">Sim</t>
        </is>
      </c>
      <c r="T50" s="74" t="inlineStr">
        <is>
          <t xml:space="preserve">Sim</t>
        </is>
      </c>
      <c r="U50" s="74" t="inlineStr">
        <is>
          <t xml:space="preserve">Sim</t>
        </is>
      </c>
      <c r="V50" s="74" t="inlineStr">
        <is>
          <t xml:space="preserve">Sim</t>
        </is>
      </c>
      <c r="W50" s="74" t="inlineStr">
        <is>
          <t xml:space="preserve">Sim</t>
        </is>
      </c>
      <c r="X50" s="74" t="inlineStr">
        <is>
          <t xml:space="preserve">Sim</t>
        </is>
      </c>
      <c r="Y50" s="74" t="inlineStr">
        <is>
          <t xml:space="preserve">Sim</t>
        </is>
      </c>
      <c r="Z50" s="74" t="inlineStr">
        <is>
          <t xml:space="preserve">Sim</t>
        </is>
      </c>
      <c r="AA50" s="74" t="inlineStr">
        <is>
          <t xml:space="preserve">Sim</t>
        </is>
      </c>
      <c r="AB50" s="74" t="inlineStr">
        <is>
          <t xml:space="preserve">Sim</t>
        </is>
      </c>
      <c r="AC50" s="74" t="inlineStr">
        <is>
          <t xml:space="preserve">Sim</t>
        </is>
      </c>
      <c r="AD50" s="74" t="inlineStr">
        <is>
          <t xml:space="preserve">Sim</t>
        </is>
      </c>
      <c r="AE50" s="74" t="inlineStr">
        <is>
          <t xml:space="preserve">Sim</t>
        </is>
      </c>
      <c r="AF50" s="74" t="inlineStr">
        <is>
          <t xml:space="preserve">Sim</t>
        </is>
      </c>
      <c r="AG50" s="74" t="inlineStr">
        <is>
          <t xml:space="preserve">Sim</t>
        </is>
      </c>
    </row>
    <row r="51">
      <c r="A51" s="77">
        <v>17</v>
      </c>
      <c r="B51" s="78" t="str">
        <f>Config!$B$26&amp;""</f>
        <v/>
      </c>
      <c r="C51" s="78" t="str">
        <f>IF(Config!$B$26&amp;""="","",IF(Config!$C$26="","TPC",Config!$C$26))</f>
        <v/>
      </c>
      <c r="D51" s="74" t="inlineStr">
        <is>
          <t xml:space="preserve">Sim</t>
        </is>
      </c>
      <c r="E51" s="74" t="inlineStr">
        <is>
          <t xml:space="preserve">Sim</t>
        </is>
      </c>
      <c r="F51" s="74" t="inlineStr">
        <is>
          <t xml:space="preserve">Sim</t>
        </is>
      </c>
      <c r="G51" s="74" t="inlineStr">
        <is>
          <t xml:space="preserve">Não</t>
        </is>
      </c>
      <c r="H51" s="74" t="inlineStr">
        <is>
          <t xml:space="preserve">Não</t>
        </is>
      </c>
      <c r="I51" s="74" t="inlineStr">
        <is>
          <t xml:space="preserve">Não</t>
        </is>
      </c>
      <c r="J51" s="74" t="inlineStr">
        <is>
          <t xml:space="preserve">Não</t>
        </is>
      </c>
      <c r="K51" s="74" t="inlineStr">
        <is>
          <t xml:space="preserve">Não</t>
        </is>
      </c>
      <c r="L51" s="74" t="inlineStr">
        <is>
          <t xml:space="preserve">Não</t>
        </is>
      </c>
      <c r="M51" s="74" t="inlineStr">
        <is>
          <t xml:space="preserve">Sim</t>
        </is>
      </c>
      <c r="N51" s="74" t="inlineStr">
        <is>
          <t xml:space="preserve">Não</t>
        </is>
      </c>
      <c r="O51" s="74" t="inlineStr">
        <is>
          <t xml:space="preserve">Não</t>
        </is>
      </c>
      <c r="P51" s="74" t="inlineStr">
        <is>
          <t xml:space="preserve">Não</t>
        </is>
      </c>
      <c r="Q51" s="74" t="inlineStr">
        <is>
          <t xml:space="preserve">Não</t>
        </is>
      </c>
      <c r="R51" s="74" t="inlineStr">
        <is>
          <t xml:space="preserve">Não</t>
        </is>
      </c>
      <c r="S51" s="74" t="inlineStr">
        <is>
          <t xml:space="preserve">Sim</t>
        </is>
      </c>
      <c r="T51" s="74" t="inlineStr">
        <is>
          <t xml:space="preserve">Sim</t>
        </is>
      </c>
      <c r="U51" s="74" t="inlineStr">
        <is>
          <t xml:space="preserve">Sim</t>
        </is>
      </c>
      <c r="V51" s="74" t="inlineStr">
        <is>
          <t xml:space="preserve">Sim</t>
        </is>
      </c>
      <c r="W51" s="74" t="inlineStr">
        <is>
          <t xml:space="preserve">Sim</t>
        </is>
      </c>
      <c r="X51" s="74" t="inlineStr">
        <is>
          <t xml:space="preserve">Sim</t>
        </is>
      </c>
      <c r="Y51" s="74" t="inlineStr">
        <is>
          <t xml:space="preserve">Sim</t>
        </is>
      </c>
      <c r="Z51" s="74" t="inlineStr">
        <is>
          <t xml:space="preserve">Sim</t>
        </is>
      </c>
      <c r="AA51" s="74" t="inlineStr">
        <is>
          <t xml:space="preserve">Sim</t>
        </is>
      </c>
      <c r="AB51" s="74" t="inlineStr">
        <is>
          <t xml:space="preserve">Sim</t>
        </is>
      </c>
      <c r="AC51" s="74" t="inlineStr">
        <is>
          <t xml:space="preserve">Sim</t>
        </is>
      </c>
      <c r="AD51" s="74" t="inlineStr">
        <is>
          <t xml:space="preserve">Sim</t>
        </is>
      </c>
      <c r="AE51" s="74" t="inlineStr">
        <is>
          <t xml:space="preserve">Sim</t>
        </is>
      </c>
      <c r="AF51" s="74" t="inlineStr">
        <is>
          <t xml:space="preserve">Sim</t>
        </is>
      </c>
      <c r="AG51" s="74" t="inlineStr">
        <is>
          <t xml:space="preserve">Sim</t>
        </is>
      </c>
    </row>
    <row r="52">
      <c r="A52" s="77">
        <v>18</v>
      </c>
      <c r="B52" s="78" t="str">
        <f>Config!$B$27&amp;""</f>
        <v/>
      </c>
      <c r="C52" s="78" t="str">
        <f>IF(Config!$B$27&amp;""="","",IF(Config!$C$27="","TPC",Config!$C$27))</f>
        <v/>
      </c>
      <c r="D52" s="74" t="inlineStr">
        <is>
          <t xml:space="preserve">Sim</t>
        </is>
      </c>
      <c r="E52" s="74" t="inlineStr">
        <is>
          <t xml:space="preserve">Sim</t>
        </is>
      </c>
      <c r="F52" s="74" t="inlineStr">
        <is>
          <t xml:space="preserve">Sim</t>
        </is>
      </c>
      <c r="G52" s="74" t="inlineStr">
        <is>
          <t xml:space="preserve">Não</t>
        </is>
      </c>
      <c r="H52" s="74" t="inlineStr">
        <is>
          <t xml:space="preserve">Não</t>
        </is>
      </c>
      <c r="I52" s="74" t="inlineStr">
        <is>
          <t xml:space="preserve">Não</t>
        </is>
      </c>
      <c r="J52" s="74" t="inlineStr">
        <is>
          <t xml:space="preserve">Não</t>
        </is>
      </c>
      <c r="K52" s="74" t="inlineStr">
        <is>
          <t xml:space="preserve">Não</t>
        </is>
      </c>
      <c r="L52" s="74" t="inlineStr">
        <is>
          <t xml:space="preserve">Não</t>
        </is>
      </c>
      <c r="M52" s="74" t="inlineStr">
        <is>
          <t xml:space="preserve">Sim</t>
        </is>
      </c>
      <c r="N52" s="74" t="inlineStr">
        <is>
          <t xml:space="preserve">Não</t>
        </is>
      </c>
      <c r="O52" s="74" t="inlineStr">
        <is>
          <t xml:space="preserve">Não</t>
        </is>
      </c>
      <c r="P52" s="74" t="inlineStr">
        <is>
          <t xml:space="preserve">Não</t>
        </is>
      </c>
      <c r="Q52" s="74" t="inlineStr">
        <is>
          <t xml:space="preserve">Não</t>
        </is>
      </c>
      <c r="R52" s="74" t="inlineStr">
        <is>
          <t xml:space="preserve">Não</t>
        </is>
      </c>
      <c r="S52" s="74" t="inlineStr">
        <is>
          <t xml:space="preserve">Sim</t>
        </is>
      </c>
      <c r="T52" s="74" t="inlineStr">
        <is>
          <t xml:space="preserve">Sim</t>
        </is>
      </c>
      <c r="U52" s="74" t="inlineStr">
        <is>
          <t xml:space="preserve">Sim</t>
        </is>
      </c>
      <c r="V52" s="74" t="inlineStr">
        <is>
          <t xml:space="preserve">Sim</t>
        </is>
      </c>
      <c r="W52" s="74" t="inlineStr">
        <is>
          <t xml:space="preserve">Sim</t>
        </is>
      </c>
      <c r="X52" s="74" t="inlineStr">
        <is>
          <t xml:space="preserve">Sim</t>
        </is>
      </c>
      <c r="Y52" s="74" t="inlineStr">
        <is>
          <t xml:space="preserve">Sim</t>
        </is>
      </c>
      <c r="Z52" s="74" t="inlineStr">
        <is>
          <t xml:space="preserve">Sim</t>
        </is>
      </c>
      <c r="AA52" s="74" t="inlineStr">
        <is>
          <t xml:space="preserve">Sim</t>
        </is>
      </c>
      <c r="AB52" s="74" t="inlineStr">
        <is>
          <t xml:space="preserve">Sim</t>
        </is>
      </c>
      <c r="AC52" s="74" t="inlineStr">
        <is>
          <t xml:space="preserve">Sim</t>
        </is>
      </c>
      <c r="AD52" s="74" t="inlineStr">
        <is>
          <t xml:space="preserve">Sim</t>
        </is>
      </c>
      <c r="AE52" s="74" t="inlineStr">
        <is>
          <t xml:space="preserve">Sim</t>
        </is>
      </c>
      <c r="AF52" s="74" t="inlineStr">
        <is>
          <t xml:space="preserve">Sim</t>
        </is>
      </c>
      <c r="AG52" s="74" t="inlineStr">
        <is>
          <t xml:space="preserve">Sim</t>
        </is>
      </c>
    </row>
    <row r="53">
      <c r="A53" s="77">
        <v>19</v>
      </c>
      <c r="B53" s="78" t="str">
        <f>Config!$B$28&amp;""</f>
        <v/>
      </c>
      <c r="C53" s="78" t="str">
        <f>IF(Config!$B$28&amp;""="","",IF(Config!$C$28="","TPC",Config!$C$28))</f>
        <v/>
      </c>
      <c r="D53" s="74" t="inlineStr">
        <is>
          <t xml:space="preserve">Sim</t>
        </is>
      </c>
      <c r="E53" s="74" t="inlineStr">
        <is>
          <t xml:space="preserve">Sim</t>
        </is>
      </c>
      <c r="F53" s="74" t="inlineStr">
        <is>
          <t xml:space="preserve">Sim</t>
        </is>
      </c>
      <c r="G53" s="74" t="inlineStr">
        <is>
          <t xml:space="preserve">Não</t>
        </is>
      </c>
      <c r="H53" s="74" t="inlineStr">
        <is>
          <t xml:space="preserve">Não</t>
        </is>
      </c>
      <c r="I53" s="74" t="inlineStr">
        <is>
          <t xml:space="preserve">Não</t>
        </is>
      </c>
      <c r="J53" s="74" t="inlineStr">
        <is>
          <t xml:space="preserve">Não</t>
        </is>
      </c>
      <c r="K53" s="74" t="inlineStr">
        <is>
          <t xml:space="preserve">Não</t>
        </is>
      </c>
      <c r="L53" s="74" t="inlineStr">
        <is>
          <t xml:space="preserve">Não</t>
        </is>
      </c>
      <c r="M53" s="74" t="inlineStr">
        <is>
          <t xml:space="preserve">Sim</t>
        </is>
      </c>
      <c r="N53" s="74" t="inlineStr">
        <is>
          <t xml:space="preserve">Não</t>
        </is>
      </c>
      <c r="O53" s="74" t="inlineStr">
        <is>
          <t xml:space="preserve">Não</t>
        </is>
      </c>
      <c r="P53" s="74" t="inlineStr">
        <is>
          <t xml:space="preserve">Não</t>
        </is>
      </c>
      <c r="Q53" s="74" t="inlineStr">
        <is>
          <t xml:space="preserve">Não</t>
        </is>
      </c>
      <c r="R53" s="74" t="inlineStr">
        <is>
          <t xml:space="preserve">Não</t>
        </is>
      </c>
      <c r="S53" s="74" t="inlineStr">
        <is>
          <t xml:space="preserve">Sim</t>
        </is>
      </c>
      <c r="T53" s="74" t="inlineStr">
        <is>
          <t xml:space="preserve">Sim</t>
        </is>
      </c>
      <c r="U53" s="74" t="inlineStr">
        <is>
          <t xml:space="preserve">Sim</t>
        </is>
      </c>
      <c r="V53" s="74" t="inlineStr">
        <is>
          <t xml:space="preserve">Sim</t>
        </is>
      </c>
      <c r="W53" s="74" t="inlineStr">
        <is>
          <t xml:space="preserve">Sim</t>
        </is>
      </c>
      <c r="X53" s="74" t="inlineStr">
        <is>
          <t xml:space="preserve">Sim</t>
        </is>
      </c>
      <c r="Y53" s="74" t="inlineStr">
        <is>
          <t xml:space="preserve">Sim</t>
        </is>
      </c>
      <c r="Z53" s="74" t="inlineStr">
        <is>
          <t xml:space="preserve">Sim</t>
        </is>
      </c>
      <c r="AA53" s="74" t="inlineStr">
        <is>
          <t xml:space="preserve">Sim</t>
        </is>
      </c>
      <c r="AB53" s="74" t="inlineStr">
        <is>
          <t xml:space="preserve">Sim</t>
        </is>
      </c>
      <c r="AC53" s="74" t="inlineStr">
        <is>
          <t xml:space="preserve">Sim</t>
        </is>
      </c>
      <c r="AD53" s="74" t="inlineStr">
        <is>
          <t xml:space="preserve">Sim</t>
        </is>
      </c>
      <c r="AE53" s="74" t="inlineStr">
        <is>
          <t xml:space="preserve">Sim</t>
        </is>
      </c>
      <c r="AF53" s="74" t="inlineStr">
        <is>
          <t xml:space="preserve">Sim</t>
        </is>
      </c>
      <c r="AG53" s="74" t="inlineStr">
        <is>
          <t xml:space="preserve">Sim</t>
        </is>
      </c>
    </row>
    <row r="54">
      <c r="A54" s="77">
        <v>20</v>
      </c>
      <c r="B54" s="78" t="str">
        <f>Config!$B$29&amp;""</f>
        <v/>
      </c>
      <c r="C54" s="78" t="str">
        <f>IF(Config!$B$29&amp;""="","",IF(Config!$C$29="","TPC",Config!$C$29))</f>
        <v/>
      </c>
      <c r="D54" s="74" t="inlineStr">
        <is>
          <t xml:space="preserve">Sim</t>
        </is>
      </c>
      <c r="E54" s="74" t="inlineStr">
        <is>
          <t xml:space="preserve">Sim</t>
        </is>
      </c>
      <c r="F54" s="74" t="inlineStr">
        <is>
          <t xml:space="preserve">Sim</t>
        </is>
      </c>
      <c r="G54" s="74" t="inlineStr">
        <is>
          <t xml:space="preserve">Não</t>
        </is>
      </c>
      <c r="H54" s="74" t="inlineStr">
        <is>
          <t xml:space="preserve">Não</t>
        </is>
      </c>
      <c r="I54" s="74" t="inlineStr">
        <is>
          <t xml:space="preserve">Não</t>
        </is>
      </c>
      <c r="J54" s="74" t="inlineStr">
        <is>
          <t xml:space="preserve">Não</t>
        </is>
      </c>
      <c r="K54" s="74" t="inlineStr">
        <is>
          <t xml:space="preserve">Não</t>
        </is>
      </c>
      <c r="L54" s="74" t="inlineStr">
        <is>
          <t xml:space="preserve">Não</t>
        </is>
      </c>
      <c r="M54" s="74" t="inlineStr">
        <is>
          <t xml:space="preserve">Sim</t>
        </is>
      </c>
      <c r="N54" s="74" t="inlineStr">
        <is>
          <t xml:space="preserve">Não</t>
        </is>
      </c>
      <c r="O54" s="74" t="inlineStr">
        <is>
          <t xml:space="preserve">Não</t>
        </is>
      </c>
      <c r="P54" s="74" t="inlineStr">
        <is>
          <t xml:space="preserve">Não</t>
        </is>
      </c>
      <c r="Q54" s="74" t="inlineStr">
        <is>
          <t xml:space="preserve">Não</t>
        </is>
      </c>
      <c r="R54" s="74" t="inlineStr">
        <is>
          <t xml:space="preserve">Não</t>
        </is>
      </c>
      <c r="S54" s="74" t="inlineStr">
        <is>
          <t xml:space="preserve">Sim</t>
        </is>
      </c>
      <c r="T54" s="74" t="inlineStr">
        <is>
          <t xml:space="preserve">Sim</t>
        </is>
      </c>
      <c r="U54" s="74" t="inlineStr">
        <is>
          <t xml:space="preserve">Sim</t>
        </is>
      </c>
      <c r="V54" s="74" t="inlineStr">
        <is>
          <t xml:space="preserve">Sim</t>
        </is>
      </c>
      <c r="W54" s="74" t="inlineStr">
        <is>
          <t xml:space="preserve">Sim</t>
        </is>
      </c>
      <c r="X54" s="74" t="inlineStr">
        <is>
          <t xml:space="preserve">Sim</t>
        </is>
      </c>
      <c r="Y54" s="74" t="inlineStr">
        <is>
          <t xml:space="preserve">Sim</t>
        </is>
      </c>
      <c r="Z54" s="74" t="inlineStr">
        <is>
          <t xml:space="preserve">Sim</t>
        </is>
      </c>
      <c r="AA54" s="74" t="inlineStr">
        <is>
          <t xml:space="preserve">Sim</t>
        </is>
      </c>
      <c r="AB54" s="74" t="inlineStr">
        <is>
          <t xml:space="preserve">Sim</t>
        </is>
      </c>
      <c r="AC54" s="74" t="inlineStr">
        <is>
          <t xml:space="preserve">Sim</t>
        </is>
      </c>
      <c r="AD54" s="74" t="inlineStr">
        <is>
          <t xml:space="preserve">Sim</t>
        </is>
      </c>
      <c r="AE54" s="74" t="inlineStr">
        <is>
          <t xml:space="preserve">Sim</t>
        </is>
      </c>
      <c r="AF54" s="74" t="inlineStr">
        <is>
          <t xml:space="preserve">Sim</t>
        </is>
      </c>
      <c r="AG54" s="74" t="inlineStr">
        <is>
          <t xml:space="preserve">Sim</t>
        </is>
      </c>
    </row>
    <row r="58" ht="22" customHeight="1">
      <c r="A58" s="76" t="inlineStr">
        <is>
          <t xml:space="preserve">3 · TEXTOS DO DASHBOARD — renomeie cards, linhas e gráficos (títulos dos gráficos 2 e 3 de cada cliente ficam na tabela 1)</t>
        </is>
      </c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</row>
    <row r="59">
      <c r="A59" s="84" t="inlineStr">
        <is>
          <t xml:space="preserve">Onde aparece</t>
        </is>
      </c>
      <c r="B59" s="85"/>
      <c r="C59" s="86"/>
      <c r="D59" s="84" t="inlineStr">
        <is>
          <t xml:space="preserve">Texto</t>
        </is>
      </c>
      <c r="E59" s="85"/>
      <c r="F59" s="85"/>
      <c r="G59" s="86"/>
    </row>
    <row r="60">
      <c r="A60" s="87" t="inlineStr">
        <is>
          <t xml:space="preserve">Card IN · título</t>
        </is>
      </c>
      <c r="B60" s="88"/>
      <c r="C60" s="89"/>
      <c r="D60" s="90" t="inlineStr">
        <is>
          <t xml:space="preserve">RECEBIMENTO (IN)</t>
        </is>
      </c>
      <c r="E60" s="91"/>
      <c r="F60" s="91"/>
      <c r="G60" s="92"/>
    </row>
    <row r="61">
      <c r="A61" s="87" t="inlineStr">
        <is>
          <t xml:space="preserve">Card IN · legenda do número</t>
        </is>
      </c>
      <c r="B61" s="88"/>
      <c r="C61" s="89"/>
      <c r="D61" s="90" t="inlineStr">
        <is>
          <t xml:space="preserve">veículos recebidos</t>
        </is>
      </c>
      <c r="E61" s="91"/>
      <c r="F61" s="91"/>
      <c r="G61" s="92"/>
    </row>
    <row r="62">
      <c r="A62" s="87" t="inlineStr">
        <is>
          <t xml:space="preserve">Card OUT · título</t>
        </is>
      </c>
      <c r="B62" s="88"/>
      <c r="C62" s="89"/>
      <c r="D62" s="90" t="inlineStr">
        <is>
          <t xml:space="preserve">EXPEDIÇÃO (OUT)</t>
        </is>
      </c>
      <c r="E62" s="91"/>
      <c r="F62" s="91"/>
      <c r="G62" s="92"/>
    </row>
    <row r="63">
      <c r="A63" s="87" t="inlineStr">
        <is>
          <t xml:space="preserve">Card OUT · legenda do número</t>
        </is>
      </c>
      <c r="B63" s="88"/>
      <c r="C63" s="89"/>
      <c r="D63" s="90" t="inlineStr">
        <is>
          <t xml:space="preserve">veículos expedidos</t>
        </is>
      </c>
      <c r="E63" s="91"/>
      <c r="F63" s="91"/>
      <c r="G63" s="92"/>
    </row>
    <row r="64">
      <c r="A64" s="87" t="inlineStr">
        <is>
          <t xml:space="preserve">Card NC · título</t>
        </is>
      </c>
      <c r="B64" s="88"/>
      <c r="C64" s="89"/>
      <c r="D64" s="90" t="inlineStr">
        <is>
          <t xml:space="preserve">NC OPERACIONAL</t>
        </is>
      </c>
      <c r="E64" s="91"/>
      <c r="F64" s="91"/>
      <c r="G64" s="92"/>
    </row>
    <row r="65">
      <c r="A65" s="87" t="inlineStr">
        <is>
          <t xml:space="preserve">Card NC · legenda do número</t>
        </is>
      </c>
      <c r="B65" s="88"/>
      <c r="C65" s="89"/>
      <c r="D65" s="90" t="inlineStr">
        <is>
          <t xml:space="preserve">incidentes no período</t>
        </is>
      </c>
      <c r="E65" s="91"/>
      <c r="F65" s="91"/>
      <c r="G65" s="92"/>
    </row>
    <row r="66">
      <c r="A66" s="87" t="inlineStr">
        <is>
          <t xml:space="preserve">Card NC · linha 1</t>
        </is>
      </c>
      <c r="B66" s="88"/>
      <c r="C66" s="89"/>
      <c r="D66" s="90" t="inlineStr">
        <is>
          <t xml:space="preserve">NO SHOW</t>
        </is>
      </c>
      <c r="E66" s="91"/>
      <c r="F66" s="91"/>
      <c r="G66" s="92"/>
    </row>
    <row r="67">
      <c r="A67" s="87" t="inlineStr">
        <is>
          <t xml:space="preserve">Card NC · linha 2</t>
        </is>
      </c>
      <c r="B67" s="88"/>
      <c r="C67" s="89"/>
      <c r="D67" s="90" t="inlineStr">
        <is>
          <t xml:space="preserve">BACKLOG</t>
        </is>
      </c>
      <c r="E67" s="91"/>
      <c r="F67" s="91"/>
      <c r="G67" s="92"/>
    </row>
    <row r="68">
      <c r="A68" s="87" t="inlineStr">
        <is>
          <t xml:space="preserve">Card Ocupação · título</t>
        </is>
      </c>
      <c r="B68" s="88"/>
      <c r="C68" s="89"/>
      <c r="D68" s="90" t="inlineStr">
        <is>
          <t xml:space="preserve">ÍNDICE DE OCUPAÇÃO (P.P)</t>
        </is>
      </c>
      <c r="E68" s="91"/>
      <c r="F68" s="91"/>
      <c r="G68" s="92"/>
    </row>
    <row r="69">
      <c r="A69" s="87" t="inlineStr">
        <is>
          <t xml:space="preserve">Card Ocupação · posições (cliente)</t>
        </is>
      </c>
      <c r="B69" s="88"/>
      <c r="C69" s="89"/>
      <c r="D69" s="90" t="inlineStr">
        <is>
          <t xml:space="preserve">CONTRATADA</t>
        </is>
      </c>
      <c r="E69" s="91"/>
      <c r="F69" s="91"/>
      <c r="G69" s="92"/>
    </row>
    <row r="70">
      <c r="A70" s="87" t="inlineStr">
        <is>
          <t xml:space="preserve">Card Ocupação · posições (Todos / depósito)</t>
        </is>
      </c>
      <c r="B70" s="88"/>
      <c r="C70" s="89"/>
      <c r="D70" s="90" t="inlineStr">
        <is>
          <t xml:space="preserve">ARMAZÉM</t>
        </is>
      </c>
      <c r="E70" s="91"/>
      <c r="F70" s="91"/>
      <c r="G70" s="92"/>
    </row>
    <row r="71">
      <c r="A71" s="87" t="inlineStr">
        <is>
          <t xml:space="preserve">Card Ocupação · ocupadas</t>
        </is>
      </c>
      <c r="B71" s="88"/>
      <c r="C71" s="89"/>
      <c r="D71" s="90" t="inlineStr">
        <is>
          <t xml:space="preserve">OCUPADA</t>
        </is>
      </c>
      <c r="E71" s="91"/>
      <c r="F71" s="91"/>
      <c r="G71" s="92"/>
    </row>
    <row r="72">
      <c r="A72" s="87" t="inlineStr">
        <is>
          <t xml:space="preserve">Card Ocupação · taxa</t>
        </is>
      </c>
      <c r="B72" s="88"/>
      <c r="C72" s="89"/>
      <c r="D72" s="90" t="inlineStr">
        <is>
          <t xml:space="preserve">TX OCUPAÇÃO</t>
        </is>
      </c>
      <c r="E72" s="91"/>
      <c r="F72" s="91"/>
      <c r="G72" s="92"/>
    </row>
    <row r="73">
      <c r="A73" s="87" t="inlineStr">
        <is>
          <t xml:space="preserve">Card Ocupação · ociosidade</t>
        </is>
      </c>
      <c r="B73" s="88"/>
      <c r="C73" s="89"/>
      <c r="D73" s="90" t="inlineStr">
        <is>
          <t xml:space="preserve">OCIOSIDADE</t>
        </is>
      </c>
      <c r="E73" s="91"/>
      <c r="F73" s="91"/>
      <c r="G73" s="92"/>
    </row>
    <row r="74">
      <c r="A74" s="87" t="inlineStr">
        <is>
          <t xml:space="preserve">Card Gente · título</t>
        </is>
      </c>
      <c r="B74" s="88"/>
      <c r="C74" s="89"/>
      <c r="D74" s="90" t="inlineStr">
        <is>
          <t xml:space="preserve">GENTE</t>
        </is>
      </c>
      <c r="E74" s="91"/>
      <c r="F74" s="91"/>
      <c r="G74" s="92"/>
    </row>
    <row r="75">
      <c r="A75" s="87" t="inlineStr">
        <is>
          <t xml:space="preserve">Card Gente · linha 1</t>
        </is>
      </c>
      <c r="B75" s="88"/>
      <c r="C75" s="89"/>
      <c r="D75" s="90" t="inlineStr">
        <is>
          <t xml:space="preserve">EFETIVO</t>
        </is>
      </c>
      <c r="E75" s="91"/>
      <c r="F75" s="91"/>
      <c r="G75" s="92"/>
    </row>
    <row r="76">
      <c r="A76" s="87" t="inlineStr">
        <is>
          <t xml:space="preserve">Card Gente · linha 2</t>
        </is>
      </c>
      <c r="B76" s="88"/>
      <c r="C76" s="89"/>
      <c r="D76" s="90" t="inlineStr">
        <is>
          <t xml:space="preserve">ABSENTEÍSMO (H/H)</t>
        </is>
      </c>
      <c r="E76" s="91"/>
      <c r="F76" s="91"/>
      <c r="G76" s="92"/>
    </row>
    <row r="77">
      <c r="A77" s="87" t="inlineStr">
        <is>
          <t xml:space="preserve">Card Gente · linha 3</t>
        </is>
      </c>
      <c r="B77" s="88"/>
      <c r="C77" s="89"/>
      <c r="D77" s="90" t="inlineStr">
        <is>
          <t xml:space="preserve">FÉRIAS</t>
        </is>
      </c>
      <c r="E77" s="91"/>
      <c r="F77" s="91"/>
      <c r="G77" s="92"/>
    </row>
    <row r="78">
      <c r="A78" s="87" t="inlineStr">
        <is>
          <t xml:space="preserve">Card Gente · linha 4</t>
        </is>
      </c>
      <c r="B78" s="88"/>
      <c r="C78" s="89"/>
      <c r="D78" s="90" t="inlineStr">
        <is>
          <t xml:space="preserve">TURNOVER</t>
        </is>
      </c>
      <c r="E78" s="91"/>
      <c r="F78" s="91"/>
      <c r="G78" s="92"/>
    </row>
    <row r="79">
      <c r="A79" s="87" t="inlineStr">
        <is>
          <t xml:space="preserve">Card Gente · linha 5</t>
        </is>
      </c>
      <c r="B79" s="88"/>
      <c r="C79" s="89"/>
      <c r="D79" s="90" t="inlineStr">
        <is>
          <t xml:space="preserve">DESVIOS COMPORTAM.</t>
        </is>
      </c>
      <c r="E79" s="91"/>
      <c r="F79" s="91"/>
      <c r="G79" s="92"/>
    </row>
    <row r="80">
      <c r="A80" s="87" t="inlineStr">
        <is>
          <t xml:space="preserve">Card Gente · linha 6</t>
        </is>
      </c>
      <c r="B80" s="88"/>
      <c r="C80" s="89"/>
      <c r="D80" s="90" t="inlineStr">
        <is>
          <t xml:space="preserve">ACIDENTES (CAF/SAF)</t>
        </is>
      </c>
      <c r="E80" s="91"/>
      <c r="F80" s="91"/>
      <c r="G80" s="92"/>
    </row>
    <row r="81">
      <c r="A81" s="87" t="inlineStr">
        <is>
          <t xml:space="preserve">Gráfico 1 · título</t>
        </is>
      </c>
      <c r="B81" s="88"/>
      <c r="C81" s="89"/>
      <c r="D81" s="90" t="inlineStr">
        <is>
          <t xml:space="preserve">MOVIMENTAÇÃO VEÍCULO/DIA</t>
        </is>
      </c>
      <c r="E81" s="91"/>
      <c r="F81" s="91"/>
      <c r="G81" s="92"/>
    </row>
    <row r="82">
      <c r="A82" s="87" t="inlineStr">
        <is>
          <t xml:space="preserve">Gráfico 1 · série IN</t>
        </is>
      </c>
      <c r="B82" s="88"/>
      <c r="C82" s="89"/>
      <c r="D82" s="90" t="inlineStr">
        <is>
          <t xml:space="preserve">Recebidos (IN)</t>
        </is>
      </c>
      <c r="E82" s="91"/>
      <c r="F82" s="91"/>
      <c r="G82" s="92"/>
    </row>
    <row r="83">
      <c r="A83" s="87" t="inlineStr">
        <is>
          <t xml:space="preserve">Gráfico 1 · série OUT</t>
        </is>
      </c>
      <c r="B83" s="88"/>
      <c r="C83" s="89"/>
      <c r="D83" s="90" t="inlineStr">
        <is>
          <t xml:space="preserve">Expedidos (OUT)</t>
        </is>
      </c>
      <c r="E83" s="91"/>
      <c r="F83" s="91"/>
      <c r="G83" s="92"/>
    </row>
    <row r="84">
      <c r="A84" s="87" t="inlineStr">
        <is>
          <t xml:space="preserve">Gráfico ocupação · título</t>
        </is>
      </c>
      <c r="B84" s="88"/>
      <c r="C84" s="89"/>
      <c r="D84" s="90" t="inlineStr">
        <is>
          <t xml:space="preserve">OCUPAÇÃO DIÁRIA</t>
        </is>
      </c>
      <c r="E84" s="91"/>
      <c r="F84" s="91"/>
      <c r="G84" s="92"/>
    </row>
    <row r="85">
      <c r="A85" s="87" t="inlineStr">
        <is>
          <t xml:space="preserve">Gráfico ocupação · título (só ocupadas)</t>
        </is>
      </c>
      <c r="B85" s="88"/>
      <c r="C85" s="89"/>
      <c r="D85" s="90" t="inlineStr">
        <is>
          <t xml:space="preserve">POSIÇÕES OCUPADAS/DIA</t>
        </is>
      </c>
      <c r="E85" s="91"/>
      <c r="F85" s="91"/>
      <c r="G85" s="92"/>
    </row>
    <row r="86">
      <c r="A86" s="87" t="inlineStr">
        <is>
          <t xml:space="preserve">Gráfico ocupação · título (não se aplica)</t>
        </is>
      </c>
      <c r="B86" s="88"/>
      <c r="C86" s="89"/>
      <c r="D86" s="90" t="inlineStr">
        <is>
          <t xml:space="preserve">OCUPAÇÃO — NÃO SE APLICA</t>
        </is>
      </c>
      <c r="E86" s="91"/>
      <c r="F86" s="91"/>
      <c r="G86" s="92"/>
    </row>
    <row r="87">
      <c r="A87" s="87" t="inlineStr">
        <is>
          <t xml:space="preserve">Gráfico ocupação · série ocupada</t>
        </is>
      </c>
      <c r="B87" s="88"/>
      <c r="C87" s="89"/>
      <c r="D87" s="90" t="inlineStr">
        <is>
          <t xml:space="preserve">Ocupada (p.p)</t>
        </is>
      </c>
      <c r="E87" s="91"/>
      <c r="F87" s="91"/>
      <c r="G87" s="92"/>
    </row>
    <row r="88">
      <c r="A88" s="87" t="inlineStr">
        <is>
          <t xml:space="preserve">Gráfico ocupação · linha (cliente)</t>
        </is>
      </c>
      <c r="B88" s="88"/>
      <c r="C88" s="89"/>
      <c r="D88" s="90" t="inlineStr">
        <is>
          <t xml:space="preserve">Contratada (p.p)</t>
        </is>
      </c>
      <c r="E88" s="91"/>
      <c r="F88" s="91"/>
      <c r="G88" s="92"/>
    </row>
    <row r="89">
      <c r="A89" s="87" t="inlineStr">
        <is>
          <t xml:space="preserve">Gráfico ocupação · linha (Todos / depósito)</t>
        </is>
      </c>
      <c r="B89" s="88"/>
      <c r="C89" s="89"/>
      <c r="D89" s="90" t="inlineStr">
        <is>
          <t xml:space="preserve">Capacidade do armazém (p.p)</t>
        </is>
      </c>
      <c r="E89" s="91"/>
      <c r="F89" s="91"/>
      <c r="G89" s="92"/>
    </row>
    <row r="93" ht="22" customHeight="1">
      <c r="A93" s="76" t="inlineStr">
        <is>
          <t xml:space="preserve">4 · PARÂMETROS — capacidade do armazém (posições) e faixas da taxa de ocupação</t>
        </is>
      </c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</row>
    <row r="94">
      <c r="A94" s="84" t="inlineStr">
        <is>
          <t xml:space="preserve">Parâmetro</t>
        </is>
      </c>
      <c r="B94" s="86"/>
      <c r="C94" s="16" t="inlineStr">
        <is>
          <t xml:space="preserve">Valor</t>
        </is>
      </c>
    </row>
    <row r="95">
      <c r="A95" s="87" t="inlineStr">
        <is>
          <t xml:space="preserve">Capacidade do armazém TPC (posições)</t>
        </is>
      </c>
      <c r="B95" s="89"/>
      <c r="C95" s="93">
        <v>23040</v>
      </c>
    </row>
    <row r="96">
      <c r="A96" s="87" t="inlineStr">
        <is>
          <t xml:space="preserve">Ocupação · faixa de atenção (amarelo a partir de)</t>
        </is>
      </c>
      <c r="B96" s="89"/>
      <c r="C96" s="94">
        <v>0.7</v>
      </c>
    </row>
    <row r="97">
      <c r="A97" s="87" t="inlineStr">
        <is>
          <t xml:space="preserve">Ocupação · faixa alta (verde a partir de)</t>
        </is>
      </c>
      <c r="B97" s="89"/>
      <c r="C97" s="94">
        <v>0.9</v>
      </c>
    </row>
  </sheetData>
  <sheetProtection password="CC78" sheet="1" objects="1" scenarios="1"/>
  <mergeCells count="76">
    <mergeCell ref="A1:T1"/>
    <mergeCell ref="A2:T2"/>
    <mergeCell ref="A3:T3"/>
    <mergeCell ref="A4:T4"/>
    <mergeCell ref="A5:T5"/>
    <mergeCell ref="AJ7:AP7"/>
    <mergeCell ref="A7:T7"/>
    <mergeCell ref="A33:T33"/>
    <mergeCell ref="A58:T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3:T93"/>
    <mergeCell ref="A94:B94"/>
    <mergeCell ref="A95:B95"/>
    <mergeCell ref="A96:B96"/>
    <mergeCell ref="A97:B97"/>
  </mergeCells>
  <conditionalFormatting sqref="C10:T29">
    <cfRule type="expression" dxfId="5" priority="1" stopIfTrue="1">
      <formula>$B10=""</formula>
    </cfRule>
  </conditionalFormatting>
  <conditionalFormatting sqref="D9:D29">
    <cfRule type="expression" dxfId="3" priority="2">
      <formula>D9="Não se aplica"</formula>
    </cfRule>
  </conditionalFormatting>
  <conditionalFormatting sqref="H9:H29">
    <cfRule type="expression" dxfId="3" priority="3">
      <formula>H9="Não se aplica"</formula>
    </cfRule>
  </conditionalFormatting>
  <conditionalFormatting sqref="L9:L29">
    <cfRule type="expression" dxfId="3" priority="4">
      <formula>L9="Não se aplica"</formula>
    </cfRule>
  </conditionalFormatting>
  <conditionalFormatting sqref="L9:L29">
    <cfRule type="expression" dxfId="4" priority="5">
      <formula>L9="Só ocupadas"</formula>
    </cfRule>
  </conditionalFormatting>
  <conditionalFormatting sqref="D35:AG54">
    <cfRule type="expression" dxfId="5" priority="6" stopIfTrue="1">
      <formula>$B35=""</formula>
    </cfRule>
  </conditionalFormatting>
  <conditionalFormatting sqref="D35:AG54">
    <cfRule type="expression" dxfId="3" priority="7">
      <formula>D35="Não"</formula>
    </cfRule>
  </conditionalFormatting>
  <dataValidations count="17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TPC" errorTitle="Valor inválido" error="Escolha um valor da lista." sqref="C10:C29">
      <formula1>"TPC"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9:E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F9:F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J9:J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N9:N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Q9:Q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R9:R29">
      <formula1>Config!$AJ$9:$AJ$38</formula1>
    </dataValidation>
    <dataValidation type="list" allowBlank="1" showInputMessage="1" showErrorMessage="1" promptTitle="Card" prompt="Sim ou Não se aplica." errorTitle="Valor inválido" error="Escolha um valor da lista." sqref="D9:D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H9:H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L9:L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G54">
      <formula1>"Sim,Não"</formula1>
    </dataValidation>
    <dataValidation type="decimal" operator="greaterThanOrEqual" allowBlank="1" showInputMessage="0" showErrorMessage="1" errorTitle="Valor inválido" error="Use 0 ou um número maior." sqref="C95:C97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33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TPC</v>
      </c>
    </row>
    <row r="3">
      <c r="A3" s="27" t="inlineStr">
        <is>
          <t xml:space="preserve">Capacidade (posições)</t>
        </is>
      </c>
      <c r="B3" s="30">
        <f>SUM($AU$13:$AU$13)</f>
        <v>23040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23040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10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Itens Recebidos</t>
        </is>
      </c>
      <c r="I11" s="37" t="inlineStr">
        <is>
          <t xml:space="preserve">IN Itens Recebidos CX Mista</t>
        </is>
      </c>
      <c r="J11" s="37" t="inlineStr">
        <is>
          <t xml:space="preserve">IN Caixas Fechadas</t>
        </is>
      </c>
      <c r="K11" s="37" t="inlineStr">
        <is>
          <t xml:space="preserve">IN Caixas Mistas Recebidas</t>
        </is>
      </c>
      <c r="L11" s="37" t="inlineStr">
        <is>
          <t xml:space="preserve">OUT Veículos Expedidos</t>
        </is>
      </c>
      <c r="M11" s="37" t="inlineStr">
        <is>
          <t xml:space="preserve">OUT Pedidos Expedidos</t>
        </is>
      </c>
      <c r="N11" s="37" t="inlineStr">
        <is>
          <t xml:space="preserve">OUT Pedidos Faturados</t>
        </is>
      </c>
      <c r="O11" s="37" t="inlineStr">
        <is>
          <t xml:space="preserve">OUT Itens Expedidos</t>
        </is>
      </c>
      <c r="P11" s="37" t="inlineStr">
        <is>
          <t xml:space="preserve">OUT Linhas NF</t>
        </is>
      </c>
      <c r="Q11" s="37" t="inlineStr">
        <is>
          <t xml:space="preserve">OUT Caixas Expedidas</t>
        </is>
      </c>
      <c r="R11" s="37" t="inlineStr">
        <is>
          <t xml:space="preserve">OUT Pallets Movimentados</t>
        </is>
      </c>
      <c r="S11" s="37" t="inlineStr">
        <is>
          <t xml:space="preserve">OUT Toneladas Movimentadas</t>
        </is>
      </c>
      <c r="T11" s="37" t="inlineStr">
        <is>
          <t xml:space="preserve">NC Incidentes</t>
        </is>
      </c>
      <c r="U11" s="37" t="inlineStr">
        <is>
          <t xml:space="preserve">NC No show</t>
        </is>
      </c>
      <c r="V11" s="37" t="inlineStr">
        <is>
          <t xml:space="preserve">NC Backlog</t>
        </is>
      </c>
      <c r="W11" s="37" t="inlineStr">
        <is>
          <t xml:space="preserve">OCUPAÇÃO (P.P) Posições Disponíveis</t>
        </is>
      </c>
      <c r="X11" s="37" t="inlineStr">
        <is>
          <t xml:space="preserve">OCUPAÇÃO (P.P) Posições Ocupadas</t>
        </is>
      </c>
      <c r="Y11" s="37" t="inlineStr">
        <is>
          <t xml:space="preserve">OCUPAÇÃO (P.P) Taxa de Ocupação</t>
        </is>
      </c>
      <c r="Z11" s="37" t="inlineStr">
        <is>
          <t xml:space="preserve">GENTE Efetivo Op.</t>
        </is>
      </c>
      <c r="AA11" s="37" t="inlineStr">
        <is>
          <t xml:space="preserve">GENTE Falta</t>
        </is>
      </c>
      <c r="AB11" s="37" t="inlineStr">
        <is>
          <t xml:space="preserve">GENTE Folga</t>
        </is>
      </c>
      <c r="AC11" s="37" t="inlineStr">
        <is>
          <t xml:space="preserve">GENTE Férias</t>
        </is>
      </c>
      <c r="AD11" s="37" t="inlineStr">
        <is>
          <t xml:space="preserve">GENTE Desligamento</t>
        </is>
      </c>
      <c r="AE11" s="37" t="inlineStr">
        <is>
          <t xml:space="preserve">GENTE Desvios Comportamentais</t>
        </is>
      </c>
      <c r="AF11" s="37" t="inlineStr">
        <is>
          <t xml:space="preserve">GENTE Acidentes CAF</t>
        </is>
      </c>
      <c r="AG11" s="37" t="inlineStr">
        <is>
          <t xml:space="preserve">GENTE Acidentes SAF</t>
        </is>
      </c>
      <c r="AH11" s="37" t="inlineStr">
        <is>
          <t xml:space="preserve">Faixa atenção</t>
        </is>
      </c>
      <c r="AI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47">
        <f>IF($B12="","",IF($B$2="Todos",SUMIFS(BD!$S$3:$S$5001,BD!$A$3:$A$5001,$B12),SUMIFS(BD!$S$3:$S$5001,BD!$A$3:$A$5001,$B12,BD!$B$3:$B$5001,$D$2)))</f>
        <v>0</v>
      </c>
      <c r="T12" s="32">
        <f>IF($B12="","",IF($B$2="Todos",SUMIFS(BD!$T$3:$T$5001,BD!$A$3:$A$5001,$B12),SUMIFS(BD!$T$3:$T$5001,BD!$A$3:$A$5001,$B12,BD!$B$3:$B$5001,$D$2)))</f>
        <v>0</v>
      </c>
      <c r="U12" s="32">
        <f>IF($B12="","",IF($B$2="Todos",SUMIFS(BD!$U$3:$U$5001,BD!$A$3:$A$5001,$B12),SUMIFS(BD!$U$3:$U$5001,BD!$A$3:$A$5001,$B12,BD!$B$3:$B$5001,$D$2)))</f>
        <v>0</v>
      </c>
      <c r="V12" s="32" t="str">
        <f>IF($B$2="Todos",IF(COUNT($C$137:$V$137)=0,"",SUM($C$137:$V$137)),IFERROR(INDEX($C$137:$V$137,MATCH($D$2,$C$136:$V$136,0)),""))</f>
        <v/>
      </c>
      <c r="W12" s="48" t="str">
        <f>IF(X12="","",IF($B$2="Todos",IF($B$4&gt;0,$B$4,IF($B$2="Todos",IF(COUNT($C$207:$V$207)=0,"",SUM($C$207:$V$207)),IFERROR(INDEX($C$207:$V$207,MATCH($D$2,$C$206:$V$206,0)),""))),IFERROR(INDEX($C$207:$V$207,MATCH($D$2,$C$206:$V$206,0)),"")))</f>
        <v/>
      </c>
      <c r="X12" s="32" t="str">
        <f>IF($B$2="Todos",IF(COUNT($C$172:$V$172)=0,"",SUM($C$172:$V$172)),IFERROR(INDEX($C$172:$V$172,MATCH($D$2,$C$171:$V$171,0)),""))</f>
        <v/>
      </c>
      <c r="Y12" s="49" t="str">
        <f>IF(AND(ISNUMBER(X12),ISNUMBER(W12)),IF(W12&gt;0,X12/W12,""),"")</f>
        <v/>
      </c>
      <c r="Z12" s="32" t="str">
        <f>IF($B$2="Todos",IF(COUNT($C$242:$V$242)=0,"",SUM($C$242:$V$242)),IFERROR(INDEX($C$242:$V$242,MATCH($D$2,$C$241:$V$241,0)),""))</f>
        <v/>
      </c>
      <c r="AA12" s="32">
        <f>IF($B12="","",IF($B$2="Todos",SUMIFS(BD!$Z$3:$Z$5001,BD!$A$3:$A$5001,$B12),SUMIFS(BD!$Z$3:$Z$5001,BD!$A$3:$A$5001,$B12,BD!$B$3:$B$5001,$D$2)))</f>
        <v>0</v>
      </c>
      <c r="AB12" s="32">
        <f>IF($B12="","",IF($B$2="Todos",SUMIFS(BD!$AA$3:$AA$5001,BD!$A$3:$A$5001,$B12),SUMIFS(BD!$AA$3:$AA$5001,BD!$A$3:$A$5001,$B12,BD!$B$3:$B$5001,$D$2)))</f>
        <v>0</v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50">
        <f>$B$5</f>
        <v>0.7</v>
      </c>
      <c r="AI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TPC</t>
        </is>
      </c>
      <c r="AQ12" s="29" t="str">
        <f>"MOVIMENTAÇÃO FROTA/DIA — "&amp;IF($B$2="Todos","TODOS OS CLIENTES",UPPER($B$2))</f>
        <v>MOVIMENTAÇÃO FROTA/DIA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47">
        <f>IF($B13="","",IF($B$2="Todos",SUMIFS(BD!$S$3:$S$5001,BD!$A$3:$A$5001,$B13),SUMIFS(BD!$S$3:$S$5001,BD!$A$3:$A$5001,$B13,BD!$B$3:$B$5001,$D$2)))</f>
        <v>0</v>
      </c>
      <c r="T13" s="32">
        <f>IF($B13="","",IF($B$2="Todos",SUMIFS(BD!$T$3:$T$5001,BD!$A$3:$A$5001,$B13),SUMIFS(BD!$T$3:$T$5001,BD!$A$3:$A$5001,$B13,BD!$B$3:$B$5001,$D$2)))</f>
        <v>0</v>
      </c>
      <c r="U13" s="32">
        <f>IF($B13="","",IF($B$2="Todos",SUMIFS(BD!$U$3:$U$5001,BD!$A$3:$A$5001,$B13),SUMIFS(BD!$U$3:$U$5001,BD!$A$3:$A$5001,$B13,BD!$B$3:$B$5001,$D$2)))</f>
        <v>0</v>
      </c>
      <c r="V13" s="32" t="str">
        <f>IF($B$2="Todos",IF(COUNT($C$138:$V$138)=0,"",SUM($C$138:$V$138)),IFERROR(INDEX($C$138:$V$138,MATCH($D$2,$C$136:$V$136,0)),""))</f>
        <v/>
      </c>
      <c r="W13" s="48" t="str">
        <f>IF(X13="","",IF($B$2="Todos",IF($B$4&gt;0,$B$4,IF($B$2="Todos",IF(COUNT($C$208:$V$208)=0,"",SUM($C$208:$V$208)),IFERROR(INDEX($C$208:$V$208,MATCH($D$2,$C$206:$V$206,0)),""))),IFERROR(INDEX($C$208:$V$208,MATCH($D$2,$C$206:$V$206,0)),"")))</f>
        <v/>
      </c>
      <c r="X13" s="32" t="str">
        <f>IF($B$2="Todos",IF(COUNT($C$173:$V$173)=0,"",SUM($C$173:$V$173)),IFERROR(INDEX($C$173:$V$173,MATCH($D$2,$C$171:$V$171,0)),""))</f>
        <v/>
      </c>
      <c r="Y13" s="49" t="str">
        <f>IF(AND(ISNUMBER(X13),ISNUMBER(W13)),IF(W13&gt;0,X13/W13,""),"")</f>
        <v/>
      </c>
      <c r="Z13" s="32" t="str">
        <f>IF($B$2="Todos",IF(COUNT($C$243:$V$243)=0,"",SUM($C$243:$V$243)),IFERROR(INDEX($C$243:$V$243,MATCH($D$2,$C$241:$V$241,0)),""))</f>
        <v/>
      </c>
      <c r="AA13" s="32">
        <f>IF($B13="","",IF($B$2="Todos",SUMIFS(BD!$Z$3:$Z$5001,BD!$A$3:$A$5001,$B13),SUMIFS(BD!$Z$3:$Z$5001,BD!$A$3:$A$5001,$B13,BD!$B$3:$B$5001,$D$2)))</f>
        <v>0</v>
      </c>
      <c r="AB13" s="32">
        <f>IF($B13="","",IF($B$2="Todos",SUMIFS(BD!$AA$3:$AA$5001,BD!$A$3:$A$5001,$B13),SUMIFS(BD!$AA$3:$AA$5001,BD!$A$3:$A$5001,$B13,BD!$B$3:$B$5001,$D$2)))</f>
        <v>0</v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50">
        <f>$B$5</f>
        <v>0.7</v>
      </c>
      <c r="AI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Alpargatas</v>
      </c>
      <c r="AO13" s="28" t="str">
        <f>IF(AN13="","",IF(INDEX(Config!$C$10:$C$29,MATCH(1,$AP$13:$AP$32,0))&amp;""="","TPC",INDEX(Config!$C$10:$C$29,MATCH(1,$AP$13:$AP$32,0))&amp;""))</f>
        <v>TPC</v>
      </c>
      <c r="AP13" s="38">
        <f>IF(Config!$B$10&amp;""="",0,0+1)</f>
        <v>1</v>
      </c>
      <c r="AQ13" s="29" t="str">
        <f>"OCUPAÇÃO DIÁRIA — "&amp;IF($B$2="Todos","TODOS OS CLIENTES",UPPER($B$2))</f>
        <v>OCUPAÇÃO DIÁRIA — TODOS OS CLIENTES</v>
      </c>
      <c r="AT13" s="40" t="inlineStr">
        <is>
          <t xml:space="preserve">TPC</t>
        </is>
      </c>
      <c r="AU13" s="41">
        <f>N(Config!$C$95)</f>
        <v>23040</v>
      </c>
      <c r="AV13" s="31" t="inlineStr">
        <is>
          <t xml:space="preserve">aba Config</t>
        </is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47">
        <f>IF($B14="","",IF($B$2="Todos",SUMIFS(BD!$S$3:$S$5001,BD!$A$3:$A$5001,$B14),SUMIFS(BD!$S$3:$S$5001,BD!$A$3:$A$5001,$B14,BD!$B$3:$B$5001,$D$2)))</f>
        <v>0</v>
      </c>
      <c r="T14" s="32">
        <f>IF($B14="","",IF($B$2="Todos",SUMIFS(BD!$T$3:$T$5001,BD!$A$3:$A$5001,$B14),SUMIFS(BD!$T$3:$T$5001,BD!$A$3:$A$5001,$B14,BD!$B$3:$B$5001,$D$2)))</f>
        <v>0</v>
      </c>
      <c r="U14" s="32">
        <f>IF($B14="","",IF($B$2="Todos",SUMIFS(BD!$U$3:$U$5001,BD!$A$3:$A$5001,$B14),SUMIFS(BD!$U$3:$U$5001,BD!$A$3:$A$5001,$B14,BD!$B$3:$B$5001,$D$2)))</f>
        <v>0</v>
      </c>
      <c r="V14" s="32" t="str">
        <f>IF($B$2="Todos",IF(COUNT($C$139:$V$139)=0,"",SUM($C$139:$V$139)),IFERROR(INDEX($C$139:$V$139,MATCH($D$2,$C$136:$V$136,0)),""))</f>
        <v/>
      </c>
      <c r="W14" s="48" t="str">
        <f>IF(X14="","",IF($B$2="Todos",IF($B$4&gt;0,$B$4,IF($B$2="Todos",IF(COUNT($C$209:$V$209)=0,"",SUM($C$209:$V$209)),IFERROR(INDEX($C$209:$V$209,MATCH($D$2,$C$206:$V$206,0)),""))),IFERROR(INDEX($C$209:$V$209,MATCH($D$2,$C$206:$V$206,0)),"")))</f>
        <v/>
      </c>
      <c r="X14" s="32" t="str">
        <f>IF($B$2="Todos",IF(COUNT($C$174:$V$174)=0,"",SUM($C$174:$V$174)),IFERROR(INDEX($C$174:$V$174,MATCH($D$2,$C$171:$V$171,0)),""))</f>
        <v/>
      </c>
      <c r="Y14" s="49" t="str">
        <f>IF(AND(ISNUMBER(X14),ISNUMBER(W14)),IF(W14&gt;0,X14/W14,""),"")</f>
        <v/>
      </c>
      <c r="Z14" s="32" t="str">
        <f>IF($B$2="Todos",IF(COUNT($C$244:$V$244)=0,"",SUM($C$244:$V$244)),IFERROR(INDEX($C$244:$V$244,MATCH($D$2,$C$241:$V$241,0)),""))</f>
        <v/>
      </c>
      <c r="AA14" s="32">
        <f>IF($B14="","",IF($B$2="Todos",SUMIFS(BD!$Z$3:$Z$5001,BD!$A$3:$A$5001,$B14),SUMIFS(BD!$Z$3:$Z$5001,BD!$A$3:$A$5001,$B14,BD!$B$3:$B$5001,$D$2)))</f>
        <v>0</v>
      </c>
      <c r="AB14" s="32">
        <f>IF($B14="","",IF($B$2="Todos",SUMIFS(BD!$AA$3:$AA$5001,BD!$A$3:$A$5001,$B14),SUMIFS(BD!$AA$3:$AA$5001,BD!$A$3:$A$5001,$B14,BD!$B$3:$B$5001,$D$2)))</f>
        <v>0</v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50">
        <f>$B$5</f>
        <v>0.7</v>
      </c>
      <c r="AI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Basf</v>
      </c>
      <c r="AO14" s="28" t="str">
        <f>IF(AN14="","",IF(INDEX(Config!$C$10:$C$29,MATCH(2,$AP$13:$AP$32,0))&amp;""="","TPC",INDEX(Config!$C$10:$C$29,MATCH(2,$AP$13:$AP$32,0))&amp;""))</f>
        <v>TPC</v>
      </c>
      <c r="AP14" s="38">
        <f>IF(Config!$B$11&amp;""="",AP13,AP13+1)</f>
        <v>2</v>
      </c>
      <c r="AQ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47">
        <f>IF($B15="","",IF($B$2="Todos",SUMIFS(BD!$S$3:$S$5001,BD!$A$3:$A$5001,$B15),SUMIFS(BD!$S$3:$S$5001,BD!$A$3:$A$5001,$B15,BD!$B$3:$B$5001,$D$2)))</f>
        <v>0</v>
      </c>
      <c r="T15" s="32">
        <f>IF($B15="","",IF($B$2="Todos",SUMIFS(BD!$T$3:$T$5001,BD!$A$3:$A$5001,$B15),SUMIFS(BD!$T$3:$T$5001,BD!$A$3:$A$5001,$B15,BD!$B$3:$B$5001,$D$2)))</f>
        <v>0</v>
      </c>
      <c r="U15" s="32">
        <f>IF($B15="","",IF($B$2="Todos",SUMIFS(BD!$U$3:$U$5001,BD!$A$3:$A$5001,$B15),SUMIFS(BD!$U$3:$U$5001,BD!$A$3:$A$5001,$B15,BD!$B$3:$B$5001,$D$2)))</f>
        <v>0</v>
      </c>
      <c r="V15" s="32" t="str">
        <f>IF($B$2="Todos",IF(COUNT($C$140:$V$140)=0,"",SUM($C$140:$V$140)),IFERROR(INDEX($C$140:$V$140,MATCH($D$2,$C$136:$V$136,0)),""))</f>
        <v/>
      </c>
      <c r="W15" s="48" t="str">
        <f>IF(X15="","",IF($B$2="Todos",IF($B$4&gt;0,$B$4,IF($B$2="Todos",IF(COUNT($C$210:$V$210)=0,"",SUM($C$210:$V$210)),IFERROR(INDEX($C$210:$V$210,MATCH($D$2,$C$206:$V$206,0)),""))),IFERROR(INDEX($C$210:$V$210,MATCH($D$2,$C$206:$V$206,0)),"")))</f>
        <v/>
      </c>
      <c r="X15" s="32" t="str">
        <f>IF($B$2="Todos",IF(COUNT($C$175:$V$175)=0,"",SUM($C$175:$V$175)),IFERROR(INDEX($C$175:$V$175,MATCH($D$2,$C$171:$V$171,0)),""))</f>
        <v/>
      </c>
      <c r="Y15" s="49" t="str">
        <f>IF(AND(ISNUMBER(X15),ISNUMBER(W15)),IF(W15&gt;0,X15/W15,""),"")</f>
        <v/>
      </c>
      <c r="Z15" s="32" t="str">
        <f>IF($B$2="Todos",IF(COUNT($C$245:$V$245)=0,"",SUM($C$245:$V$245)),IFERROR(INDEX($C$245:$V$245,MATCH($D$2,$C$241:$V$241,0)),""))</f>
        <v/>
      </c>
      <c r="AA15" s="32">
        <f>IF($B15="","",IF($B$2="Todos",SUMIFS(BD!$Z$3:$Z$5001,BD!$A$3:$A$5001,$B15),SUMIFS(BD!$Z$3:$Z$5001,BD!$A$3:$A$5001,$B15,BD!$B$3:$B$5001,$D$2)))</f>
        <v>0</v>
      </c>
      <c r="AB15" s="32">
        <f>IF($B15="","",IF($B$2="Todos",SUMIFS(BD!$AA$3:$AA$5001,BD!$A$3:$A$5001,$B15),SUMIFS(BD!$AA$3:$AA$5001,BD!$A$3:$A$5001,$B15,BD!$B$3:$B$5001,$D$2)))</f>
        <v>0</v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50">
        <f>$B$5</f>
        <v>0.7</v>
      </c>
      <c r="AI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Beautybiz</v>
      </c>
      <c r="AO15" s="28" t="str">
        <f>IF(AN15="","",IF(INDEX(Config!$C$10:$C$29,MATCH(3,$AP$13:$AP$32,0))&amp;""="","TPC",INDEX(Config!$C$10:$C$29,MATCH(3,$AP$13:$AP$32,0))&amp;""))</f>
        <v>TPC</v>
      </c>
      <c r="AP15" s="38">
        <f>IF(Config!$B$12&amp;""="",AP14,AP14+1)</f>
        <v>3</v>
      </c>
      <c r="AQ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47">
        <f>IF($B16="","",IF($B$2="Todos",SUMIFS(BD!$S$3:$S$5001,BD!$A$3:$A$5001,$B16),SUMIFS(BD!$S$3:$S$5001,BD!$A$3:$A$5001,$B16,BD!$B$3:$B$5001,$D$2)))</f>
        <v>0</v>
      </c>
      <c r="T16" s="32">
        <f>IF($B16="","",IF($B$2="Todos",SUMIFS(BD!$T$3:$T$5001,BD!$A$3:$A$5001,$B16),SUMIFS(BD!$T$3:$T$5001,BD!$A$3:$A$5001,$B16,BD!$B$3:$B$5001,$D$2)))</f>
        <v>0</v>
      </c>
      <c r="U16" s="32">
        <f>IF($B16="","",IF($B$2="Todos",SUMIFS(BD!$U$3:$U$5001,BD!$A$3:$A$5001,$B16),SUMIFS(BD!$U$3:$U$5001,BD!$A$3:$A$5001,$B16,BD!$B$3:$B$5001,$D$2)))</f>
        <v>0</v>
      </c>
      <c r="V16" s="32" t="str">
        <f>IF($B$2="Todos",IF(COUNT($C$141:$V$141)=0,"",SUM($C$141:$V$141)),IFERROR(INDEX($C$141:$V$141,MATCH($D$2,$C$136:$V$136,0)),""))</f>
        <v/>
      </c>
      <c r="W16" s="48" t="str">
        <f>IF(X16="","",IF($B$2="Todos",IF($B$4&gt;0,$B$4,IF($B$2="Todos",IF(COUNT($C$211:$V$211)=0,"",SUM($C$211:$V$211)),IFERROR(INDEX($C$211:$V$211,MATCH($D$2,$C$206:$V$206,0)),""))),IFERROR(INDEX($C$211:$V$211,MATCH($D$2,$C$206:$V$206,0)),"")))</f>
        <v/>
      </c>
      <c r="X16" s="32" t="str">
        <f>IF($B$2="Todos",IF(COUNT($C$176:$V$176)=0,"",SUM($C$176:$V$176)),IFERROR(INDEX($C$176:$V$176,MATCH($D$2,$C$171:$V$171,0)),""))</f>
        <v/>
      </c>
      <c r="Y16" s="49" t="str">
        <f>IF(AND(ISNUMBER(X16),ISNUMBER(W16)),IF(W16&gt;0,X16/W16,""),"")</f>
        <v/>
      </c>
      <c r="Z16" s="32" t="str">
        <f>IF($B$2="Todos",IF(COUNT($C$246:$V$246)=0,"",SUM($C$246:$V$246)),IFERROR(INDEX($C$246:$V$246,MATCH($D$2,$C$241:$V$241,0)),""))</f>
        <v/>
      </c>
      <c r="AA16" s="32">
        <f>IF($B16="","",IF($B$2="Todos",SUMIFS(BD!$Z$3:$Z$5001,BD!$A$3:$A$5001,$B16),SUMIFS(BD!$Z$3:$Z$5001,BD!$A$3:$A$5001,$B16,BD!$B$3:$B$5001,$D$2)))</f>
        <v>0</v>
      </c>
      <c r="AB16" s="32">
        <f>IF($B16="","",IF($B$2="Todos",SUMIFS(BD!$AA$3:$AA$5001,BD!$A$3:$A$5001,$B16),SUMIFS(BD!$AA$3:$AA$5001,BD!$A$3:$A$5001,$B16,BD!$B$3:$B$5001,$D$2)))</f>
        <v>0</v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50">
        <f>$B$5</f>
        <v>0.7</v>
      </c>
      <c r="AI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Boticário</v>
      </c>
      <c r="AO16" s="28" t="str">
        <f>IF(AN16="","",IF(INDEX(Config!$C$10:$C$29,MATCH(4,$AP$13:$AP$32,0))&amp;""="","TPC",INDEX(Config!$C$10:$C$29,MATCH(4,$AP$13:$AP$32,0))&amp;""))</f>
        <v>TPC</v>
      </c>
      <c r="AP16" s="38">
        <f>IF(Config!$B$13&amp;""="",AP15,AP15+1)</f>
        <v>4</v>
      </c>
      <c r="AQ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47">
        <f>IF($B17="","",IF($B$2="Todos",SUMIFS(BD!$S$3:$S$5001,BD!$A$3:$A$5001,$B17),SUMIFS(BD!$S$3:$S$5001,BD!$A$3:$A$5001,$B17,BD!$B$3:$B$5001,$D$2)))</f>
        <v>0</v>
      </c>
      <c r="T17" s="32">
        <f>IF($B17="","",IF($B$2="Todos",SUMIFS(BD!$T$3:$T$5001,BD!$A$3:$A$5001,$B17),SUMIFS(BD!$T$3:$T$5001,BD!$A$3:$A$5001,$B17,BD!$B$3:$B$5001,$D$2)))</f>
        <v>0</v>
      </c>
      <c r="U17" s="32">
        <f>IF($B17="","",IF($B$2="Todos",SUMIFS(BD!$U$3:$U$5001,BD!$A$3:$A$5001,$B17),SUMIFS(BD!$U$3:$U$5001,BD!$A$3:$A$5001,$B17,BD!$B$3:$B$5001,$D$2)))</f>
        <v>0</v>
      </c>
      <c r="V17" s="32" t="str">
        <f>IF($B$2="Todos",IF(COUNT($C$142:$V$142)=0,"",SUM($C$142:$V$142)),IFERROR(INDEX($C$142:$V$142,MATCH($D$2,$C$136:$V$136,0)),""))</f>
        <v/>
      </c>
      <c r="W17" s="48" t="str">
        <f>IF(X17="","",IF($B$2="Todos",IF($B$4&gt;0,$B$4,IF($B$2="Todos",IF(COUNT($C$212:$V$212)=0,"",SUM($C$212:$V$212)),IFERROR(INDEX($C$212:$V$212,MATCH($D$2,$C$206:$V$206,0)),""))),IFERROR(INDEX($C$212:$V$212,MATCH($D$2,$C$206:$V$206,0)),"")))</f>
        <v/>
      </c>
      <c r="X17" s="32" t="str">
        <f>IF($B$2="Todos",IF(COUNT($C$177:$V$177)=0,"",SUM($C$177:$V$177)),IFERROR(INDEX($C$177:$V$177,MATCH($D$2,$C$171:$V$171,0)),""))</f>
        <v/>
      </c>
      <c r="Y17" s="49" t="str">
        <f>IF(AND(ISNUMBER(X17),ISNUMBER(W17)),IF(W17&gt;0,X17/W17,""),"")</f>
        <v/>
      </c>
      <c r="Z17" s="32" t="str">
        <f>IF($B$2="Todos",IF(COUNT($C$247:$V$247)=0,"",SUM($C$247:$V$247)),IFERROR(INDEX($C$247:$V$247,MATCH($D$2,$C$241:$V$241,0)),""))</f>
        <v/>
      </c>
      <c r="AA17" s="32">
        <f>IF($B17="","",IF($B$2="Todos",SUMIFS(BD!$Z$3:$Z$5001,BD!$A$3:$A$5001,$B17),SUMIFS(BD!$Z$3:$Z$5001,BD!$A$3:$A$5001,$B17,BD!$B$3:$B$5001,$D$2)))</f>
        <v>0</v>
      </c>
      <c r="AB17" s="32">
        <f>IF($B17="","",IF($B$2="Todos",SUMIFS(BD!$AA$3:$AA$5001,BD!$A$3:$A$5001,$B17),SUMIFS(BD!$AA$3:$AA$5001,BD!$A$3:$A$5001,$B17,BD!$B$3:$B$5001,$D$2)))</f>
        <v>0</v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50">
        <f>$B$5</f>
        <v>0.7</v>
      </c>
      <c r="AI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Confiance</v>
      </c>
      <c r="AO17" s="28" t="str">
        <f>IF(AN17="","",IF(INDEX(Config!$C$10:$C$29,MATCH(5,$AP$13:$AP$32,0))&amp;""="","TPC",INDEX(Config!$C$10:$C$29,MATCH(5,$AP$13:$AP$32,0))&amp;""))</f>
        <v>TPC</v>
      </c>
      <c r="AP17" s="38">
        <f>IF(Config!$B$14&amp;""="",AP16,AP16+1)</f>
        <v>5</v>
      </c>
      <c r="AQ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47">
        <f>IF($B18="","",IF($B$2="Todos",SUMIFS(BD!$S$3:$S$5001,BD!$A$3:$A$5001,$B18),SUMIFS(BD!$S$3:$S$5001,BD!$A$3:$A$5001,$B18,BD!$B$3:$B$5001,$D$2)))</f>
        <v>0</v>
      </c>
      <c r="T18" s="32">
        <f>IF($B18="","",IF($B$2="Todos",SUMIFS(BD!$T$3:$T$5001,BD!$A$3:$A$5001,$B18),SUMIFS(BD!$T$3:$T$5001,BD!$A$3:$A$5001,$B18,BD!$B$3:$B$5001,$D$2)))</f>
        <v>0</v>
      </c>
      <c r="U18" s="32">
        <f>IF($B18="","",IF($B$2="Todos",SUMIFS(BD!$U$3:$U$5001,BD!$A$3:$A$5001,$B18),SUMIFS(BD!$U$3:$U$5001,BD!$A$3:$A$5001,$B18,BD!$B$3:$B$5001,$D$2)))</f>
        <v>0</v>
      </c>
      <c r="V18" s="32" t="str">
        <f>IF($B$2="Todos",IF(COUNT($C$143:$V$143)=0,"",SUM($C$143:$V$143)),IFERROR(INDEX($C$143:$V$143,MATCH($D$2,$C$136:$V$136,0)),""))</f>
        <v/>
      </c>
      <c r="W18" s="48" t="str">
        <f>IF(X18="","",IF($B$2="Todos",IF($B$4&gt;0,$B$4,IF($B$2="Todos",IF(COUNT($C$213:$V$213)=0,"",SUM($C$213:$V$213)),IFERROR(INDEX($C$213:$V$213,MATCH($D$2,$C$206:$V$206,0)),""))),IFERROR(INDEX($C$213:$V$213,MATCH($D$2,$C$206:$V$206,0)),"")))</f>
        <v/>
      </c>
      <c r="X18" s="32" t="str">
        <f>IF($B$2="Todos",IF(COUNT($C$178:$V$178)=0,"",SUM($C$178:$V$178)),IFERROR(INDEX($C$178:$V$178,MATCH($D$2,$C$171:$V$171,0)),""))</f>
        <v/>
      </c>
      <c r="Y18" s="49" t="str">
        <f>IF(AND(ISNUMBER(X18),ISNUMBER(W18)),IF(W18&gt;0,X18/W18,""),"")</f>
        <v/>
      </c>
      <c r="Z18" s="32" t="str">
        <f>IF($B$2="Todos",IF(COUNT($C$248:$V$248)=0,"",SUM($C$248:$V$248)),IFERROR(INDEX($C$248:$V$248,MATCH($D$2,$C$241:$V$241,0)),""))</f>
        <v/>
      </c>
      <c r="AA18" s="32">
        <f>IF($B18="","",IF($B$2="Todos",SUMIFS(BD!$Z$3:$Z$5001,BD!$A$3:$A$5001,$B18),SUMIFS(BD!$Z$3:$Z$5001,BD!$A$3:$A$5001,$B18,BD!$B$3:$B$5001,$D$2)))</f>
        <v>0</v>
      </c>
      <c r="AB18" s="32">
        <f>IF($B18="","",IF($B$2="Todos",SUMIFS(BD!$AA$3:$AA$5001,BD!$A$3:$A$5001,$B18),SUMIFS(BD!$AA$3:$AA$5001,BD!$A$3:$A$5001,$B18,BD!$B$3:$B$5001,$D$2)))</f>
        <v>0</v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50">
        <f>$B$5</f>
        <v>0.7</v>
      </c>
      <c r="AI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>GE Vernova</v>
      </c>
      <c r="AO18" s="28" t="str">
        <f>IF(AN18="","",IF(INDEX(Config!$C$10:$C$29,MATCH(6,$AP$13:$AP$32,0))&amp;""="","TPC",INDEX(Config!$C$10:$C$29,MATCH(6,$AP$13:$AP$32,0))&amp;""))</f>
        <v>TPC</v>
      </c>
      <c r="AP18" s="38">
        <f>IF(Config!$B$15&amp;""="",AP17,AP17+1)</f>
        <v>6</v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47">
        <f>IF($B19="","",IF($B$2="Todos",SUMIFS(BD!$S$3:$S$5001,BD!$A$3:$A$5001,$B19),SUMIFS(BD!$S$3:$S$5001,BD!$A$3:$A$5001,$B19,BD!$B$3:$B$5001,$D$2)))</f>
        <v>0</v>
      </c>
      <c r="T19" s="32">
        <f>IF($B19="","",IF($B$2="Todos",SUMIFS(BD!$T$3:$T$5001,BD!$A$3:$A$5001,$B19),SUMIFS(BD!$T$3:$T$5001,BD!$A$3:$A$5001,$B19,BD!$B$3:$B$5001,$D$2)))</f>
        <v>0</v>
      </c>
      <c r="U19" s="32">
        <f>IF($B19="","",IF($B$2="Todos",SUMIFS(BD!$U$3:$U$5001,BD!$A$3:$A$5001,$B19),SUMIFS(BD!$U$3:$U$5001,BD!$A$3:$A$5001,$B19,BD!$B$3:$B$5001,$D$2)))</f>
        <v>0</v>
      </c>
      <c r="V19" s="32" t="str">
        <f>IF($B$2="Todos",IF(COUNT($C$144:$V$144)=0,"",SUM($C$144:$V$144)),IFERROR(INDEX($C$144:$V$144,MATCH($D$2,$C$136:$V$136,0)),""))</f>
        <v/>
      </c>
      <c r="W19" s="48" t="str">
        <f>IF(X19="","",IF($B$2="Todos",IF($B$4&gt;0,$B$4,IF($B$2="Todos",IF(COUNT($C$214:$V$214)=0,"",SUM($C$214:$V$214)),IFERROR(INDEX($C$214:$V$214,MATCH($D$2,$C$206:$V$206,0)),""))),IFERROR(INDEX($C$214:$V$214,MATCH($D$2,$C$206:$V$206,0)),"")))</f>
        <v/>
      </c>
      <c r="X19" s="32" t="str">
        <f>IF($B$2="Todos",IF(COUNT($C$179:$V$179)=0,"",SUM($C$179:$V$179)),IFERROR(INDEX($C$179:$V$179,MATCH($D$2,$C$171:$V$171,0)),""))</f>
        <v/>
      </c>
      <c r="Y19" s="49" t="str">
        <f>IF(AND(ISNUMBER(X19),ISNUMBER(W19)),IF(W19&gt;0,X19/W19,""),"")</f>
        <v/>
      </c>
      <c r="Z19" s="32" t="str">
        <f>IF($B$2="Todos",IF(COUNT($C$249:$V$249)=0,"",SUM($C$249:$V$249)),IFERROR(INDEX($C$249:$V$249,MATCH($D$2,$C$241:$V$241,0)),""))</f>
        <v/>
      </c>
      <c r="AA19" s="32">
        <f>IF($B19="","",IF($B$2="Todos",SUMIFS(BD!$Z$3:$Z$5001,BD!$A$3:$A$5001,$B19),SUMIFS(BD!$Z$3:$Z$5001,BD!$A$3:$A$5001,$B19,BD!$B$3:$B$5001,$D$2)))</f>
        <v>0</v>
      </c>
      <c r="AB19" s="32">
        <f>IF($B19="","",IF($B$2="Todos",SUMIFS(BD!$AA$3:$AA$5001,BD!$A$3:$A$5001,$B19),SUMIFS(BD!$AA$3:$AA$5001,BD!$A$3:$A$5001,$B19,BD!$B$3:$B$5001,$D$2)))</f>
        <v>0</v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50">
        <f>$B$5</f>
        <v>0.7</v>
      </c>
      <c r="AI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>Omnilife</v>
      </c>
      <c r="AO19" s="28" t="str">
        <f>IF(AN19="","",IF(INDEX(Config!$C$10:$C$29,MATCH(7,$AP$13:$AP$32,0))&amp;""="","TPC",INDEX(Config!$C$10:$C$29,MATCH(7,$AP$13:$AP$32,0))&amp;""))</f>
        <v>TPC</v>
      </c>
      <c r="AP19" s="38">
        <f>IF(Config!$B$16&amp;""="",AP18,AP18+1)</f>
        <v>7</v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47">
        <f>IF($B20="","",IF($B$2="Todos",SUMIFS(BD!$S$3:$S$5001,BD!$A$3:$A$5001,$B20),SUMIFS(BD!$S$3:$S$5001,BD!$A$3:$A$5001,$B20,BD!$B$3:$B$5001,$D$2)))</f>
        <v>0</v>
      </c>
      <c r="T20" s="32">
        <f>IF($B20="","",IF($B$2="Todos",SUMIFS(BD!$T$3:$T$5001,BD!$A$3:$A$5001,$B20),SUMIFS(BD!$T$3:$T$5001,BD!$A$3:$A$5001,$B20,BD!$B$3:$B$5001,$D$2)))</f>
        <v>0</v>
      </c>
      <c r="U20" s="32">
        <f>IF($B20="","",IF($B$2="Todos",SUMIFS(BD!$U$3:$U$5001,BD!$A$3:$A$5001,$B20),SUMIFS(BD!$U$3:$U$5001,BD!$A$3:$A$5001,$B20,BD!$B$3:$B$5001,$D$2)))</f>
        <v>0</v>
      </c>
      <c r="V20" s="32" t="str">
        <f>IF($B$2="Todos",IF(COUNT($C$145:$V$145)=0,"",SUM($C$145:$V$145)),IFERROR(INDEX($C$145:$V$145,MATCH($D$2,$C$136:$V$136,0)),""))</f>
        <v/>
      </c>
      <c r="W20" s="48" t="str">
        <f>IF(X20="","",IF($B$2="Todos",IF($B$4&gt;0,$B$4,IF($B$2="Todos",IF(COUNT($C$215:$V$215)=0,"",SUM($C$215:$V$215)),IFERROR(INDEX($C$215:$V$215,MATCH($D$2,$C$206:$V$206,0)),""))),IFERROR(INDEX($C$215:$V$215,MATCH($D$2,$C$206:$V$206,0)),"")))</f>
        <v/>
      </c>
      <c r="X20" s="32" t="str">
        <f>IF($B$2="Todos",IF(COUNT($C$180:$V$180)=0,"",SUM($C$180:$V$180)),IFERROR(INDEX($C$180:$V$180,MATCH($D$2,$C$171:$V$171,0)),""))</f>
        <v/>
      </c>
      <c r="Y20" s="49" t="str">
        <f>IF(AND(ISNUMBER(X20),ISNUMBER(W20)),IF(W20&gt;0,X20/W20,""),"")</f>
        <v/>
      </c>
      <c r="Z20" s="32" t="str">
        <f>IF($B$2="Todos",IF(COUNT($C$250:$V$250)=0,"",SUM($C$250:$V$250)),IFERROR(INDEX($C$250:$V$250,MATCH($D$2,$C$241:$V$241,0)),""))</f>
        <v/>
      </c>
      <c r="AA20" s="32">
        <f>IF($B20="","",IF($B$2="Todos",SUMIFS(BD!$Z$3:$Z$5001,BD!$A$3:$A$5001,$B20),SUMIFS(BD!$Z$3:$Z$5001,BD!$A$3:$A$5001,$B20,BD!$B$3:$B$5001,$D$2)))</f>
        <v>0</v>
      </c>
      <c r="AB20" s="32">
        <f>IF($B20="","",IF($B$2="Todos",SUMIFS(BD!$AA$3:$AA$5001,BD!$A$3:$A$5001,$B20),SUMIFS(BD!$AA$3:$AA$5001,BD!$A$3:$A$5001,$B20,BD!$B$3:$B$5001,$D$2)))</f>
        <v>0</v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50">
        <f>$B$5</f>
        <v>0.7</v>
      </c>
      <c r="AI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>Supply</v>
      </c>
      <c r="AO20" s="28" t="str">
        <f>IF(AN20="","",IF(INDEX(Config!$C$10:$C$29,MATCH(8,$AP$13:$AP$32,0))&amp;""="","TPC",INDEX(Config!$C$10:$C$29,MATCH(8,$AP$13:$AP$32,0))&amp;""))</f>
        <v>TPC</v>
      </c>
      <c r="AP20" s="38">
        <f>IF(Config!$B$17&amp;""="",AP19,AP19+1)</f>
        <v>8</v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47">
        <f>IF($B21="","",IF($B$2="Todos",SUMIFS(BD!$S$3:$S$5001,BD!$A$3:$A$5001,$B21),SUMIFS(BD!$S$3:$S$5001,BD!$A$3:$A$5001,$B21,BD!$B$3:$B$5001,$D$2)))</f>
        <v>0</v>
      </c>
      <c r="T21" s="32">
        <f>IF($B21="","",IF($B$2="Todos",SUMIFS(BD!$T$3:$T$5001,BD!$A$3:$A$5001,$B21),SUMIFS(BD!$T$3:$T$5001,BD!$A$3:$A$5001,$B21,BD!$B$3:$B$5001,$D$2)))</f>
        <v>0</v>
      </c>
      <c r="U21" s="32">
        <f>IF($B21="","",IF($B$2="Todos",SUMIFS(BD!$U$3:$U$5001,BD!$A$3:$A$5001,$B21),SUMIFS(BD!$U$3:$U$5001,BD!$A$3:$A$5001,$B21,BD!$B$3:$B$5001,$D$2)))</f>
        <v>0</v>
      </c>
      <c r="V21" s="32" t="str">
        <f>IF($B$2="Todos",IF(COUNT($C$146:$V$146)=0,"",SUM($C$146:$V$146)),IFERROR(INDEX($C$146:$V$146,MATCH($D$2,$C$136:$V$136,0)),""))</f>
        <v/>
      </c>
      <c r="W21" s="48" t="str">
        <f>IF(X21="","",IF($B$2="Todos",IF($B$4&gt;0,$B$4,IF($B$2="Todos",IF(COUNT($C$216:$V$216)=0,"",SUM($C$216:$V$216)),IFERROR(INDEX($C$216:$V$216,MATCH($D$2,$C$206:$V$206,0)),""))),IFERROR(INDEX($C$216:$V$216,MATCH($D$2,$C$206:$V$206,0)),"")))</f>
        <v/>
      </c>
      <c r="X21" s="32" t="str">
        <f>IF($B$2="Todos",IF(COUNT($C$181:$V$181)=0,"",SUM($C$181:$V$181)),IFERROR(INDEX($C$181:$V$181,MATCH($D$2,$C$171:$V$171,0)),""))</f>
        <v/>
      </c>
      <c r="Y21" s="49" t="str">
        <f>IF(AND(ISNUMBER(X21),ISNUMBER(W21)),IF(W21&gt;0,X21/W21,""),"")</f>
        <v/>
      </c>
      <c r="Z21" s="32" t="str">
        <f>IF($B$2="Todos",IF(COUNT($C$251:$V$251)=0,"",SUM($C$251:$V$251)),IFERROR(INDEX($C$251:$V$251,MATCH($D$2,$C$241:$V$241,0)),""))</f>
        <v/>
      </c>
      <c r="AA21" s="32">
        <f>IF($B21="","",IF($B$2="Todos",SUMIFS(BD!$Z$3:$Z$5001,BD!$A$3:$A$5001,$B21),SUMIFS(BD!$Z$3:$Z$5001,BD!$A$3:$A$5001,$B21,BD!$B$3:$B$5001,$D$2)))</f>
        <v>0</v>
      </c>
      <c r="AB21" s="32">
        <f>IF($B21="","",IF($B$2="Todos",SUMIFS(BD!$AA$3:$AA$5001,BD!$A$3:$A$5001,$B21),SUMIFS(BD!$AA$3:$AA$5001,BD!$A$3:$A$5001,$B21,BD!$B$3:$B$5001,$D$2)))</f>
        <v>0</v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50">
        <f>$B$5</f>
        <v>0.7</v>
      </c>
      <c r="AI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>Vedacit</v>
      </c>
      <c r="AO21" s="28" t="str">
        <f>IF(AN21="","",IF(INDEX(Config!$C$10:$C$29,MATCH(9,$AP$13:$AP$32,0))&amp;""="","TPC",INDEX(Config!$C$10:$C$29,MATCH(9,$AP$13:$AP$32,0))&amp;""))</f>
        <v>TPC</v>
      </c>
      <c r="AP21" s="38">
        <f>IF(Config!$B$18&amp;""="",AP20,AP20+1)</f>
        <v>9</v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47">
        <f>IF($B22="","",IF($B$2="Todos",SUMIFS(BD!$S$3:$S$5001,BD!$A$3:$A$5001,$B22),SUMIFS(BD!$S$3:$S$5001,BD!$A$3:$A$5001,$B22,BD!$B$3:$B$5001,$D$2)))</f>
        <v>0</v>
      </c>
      <c r="T22" s="32">
        <f>IF($B22="","",IF($B$2="Todos",SUMIFS(BD!$T$3:$T$5001,BD!$A$3:$A$5001,$B22),SUMIFS(BD!$T$3:$T$5001,BD!$A$3:$A$5001,$B22,BD!$B$3:$B$5001,$D$2)))</f>
        <v>0</v>
      </c>
      <c r="U22" s="32">
        <f>IF($B22="","",IF($B$2="Todos",SUMIFS(BD!$U$3:$U$5001,BD!$A$3:$A$5001,$B22),SUMIFS(BD!$U$3:$U$5001,BD!$A$3:$A$5001,$B22,BD!$B$3:$B$5001,$D$2)))</f>
        <v>0</v>
      </c>
      <c r="V22" s="32" t="str">
        <f>IF($B$2="Todos",IF(COUNT($C$147:$V$147)=0,"",SUM($C$147:$V$147)),IFERROR(INDEX($C$147:$V$147,MATCH($D$2,$C$136:$V$136,0)),""))</f>
        <v/>
      </c>
      <c r="W22" s="48" t="str">
        <f>IF(X22="","",IF($B$2="Todos",IF($B$4&gt;0,$B$4,IF($B$2="Todos",IF(COUNT($C$217:$V$217)=0,"",SUM($C$217:$V$217)),IFERROR(INDEX($C$217:$V$217,MATCH($D$2,$C$206:$V$206,0)),""))),IFERROR(INDEX($C$217:$V$217,MATCH($D$2,$C$206:$V$206,0)),"")))</f>
        <v/>
      </c>
      <c r="X22" s="32" t="str">
        <f>IF($B$2="Todos",IF(COUNT($C$182:$V$182)=0,"",SUM($C$182:$V$182)),IFERROR(INDEX($C$182:$V$182,MATCH($D$2,$C$171:$V$171,0)),""))</f>
        <v/>
      </c>
      <c r="Y22" s="49" t="str">
        <f>IF(AND(ISNUMBER(X22),ISNUMBER(W22)),IF(W22&gt;0,X22/W22,""),"")</f>
        <v/>
      </c>
      <c r="Z22" s="32" t="str">
        <f>IF($B$2="Todos",IF(COUNT($C$252:$V$252)=0,"",SUM($C$252:$V$252)),IFERROR(INDEX($C$252:$V$252,MATCH($D$2,$C$241:$V$241,0)),""))</f>
        <v/>
      </c>
      <c r="AA22" s="32">
        <f>IF($B22="","",IF($B$2="Todos",SUMIFS(BD!$Z$3:$Z$5001,BD!$A$3:$A$5001,$B22),SUMIFS(BD!$Z$3:$Z$5001,BD!$A$3:$A$5001,$B22,BD!$B$3:$B$5001,$D$2)))</f>
        <v>0</v>
      </c>
      <c r="AB22" s="32">
        <f>IF($B22="","",IF($B$2="Todos",SUMIFS(BD!$AA$3:$AA$5001,BD!$A$3:$A$5001,$B22),SUMIFS(BD!$AA$3:$AA$5001,BD!$A$3:$A$5001,$B22,BD!$B$3:$B$5001,$D$2)))</f>
        <v>0</v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50">
        <f>$B$5</f>
        <v>0.7</v>
      </c>
      <c r="AI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>Vestas</v>
      </c>
      <c r="AO22" s="28" t="str">
        <f>IF(AN22="","",IF(INDEX(Config!$C$10:$C$29,MATCH(10,$AP$13:$AP$32,0))&amp;""="","TPC",INDEX(Config!$C$10:$C$29,MATCH(10,$AP$13:$AP$32,0))&amp;""))</f>
        <v>TPC</v>
      </c>
      <c r="AP22" s="38">
        <f>IF(Config!$B$19&amp;""="",AP21,AP21+1)</f>
        <v>10</v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47">
        <f>IF($B23="","",IF($B$2="Todos",SUMIFS(BD!$S$3:$S$5001,BD!$A$3:$A$5001,$B23),SUMIFS(BD!$S$3:$S$5001,BD!$A$3:$A$5001,$B23,BD!$B$3:$B$5001,$D$2)))</f>
        <v>0</v>
      </c>
      <c r="T23" s="32">
        <f>IF($B23="","",IF($B$2="Todos",SUMIFS(BD!$T$3:$T$5001,BD!$A$3:$A$5001,$B23),SUMIFS(BD!$T$3:$T$5001,BD!$A$3:$A$5001,$B23,BD!$B$3:$B$5001,$D$2)))</f>
        <v>0</v>
      </c>
      <c r="U23" s="32">
        <f>IF($B23="","",IF($B$2="Todos",SUMIFS(BD!$U$3:$U$5001,BD!$A$3:$A$5001,$B23),SUMIFS(BD!$U$3:$U$5001,BD!$A$3:$A$5001,$B23,BD!$B$3:$B$5001,$D$2)))</f>
        <v>0</v>
      </c>
      <c r="V23" s="32" t="str">
        <f>IF($B$2="Todos",IF(COUNT($C$148:$V$148)=0,"",SUM($C$148:$V$148)),IFERROR(INDEX($C$148:$V$148,MATCH($D$2,$C$136:$V$136,0)),""))</f>
        <v/>
      </c>
      <c r="W23" s="48" t="str">
        <f>IF(X23="","",IF($B$2="Todos",IF($B$4&gt;0,$B$4,IF($B$2="Todos",IF(COUNT($C$218:$V$218)=0,"",SUM($C$218:$V$218)),IFERROR(INDEX($C$218:$V$218,MATCH($D$2,$C$206:$V$206,0)),""))),IFERROR(INDEX($C$218:$V$218,MATCH($D$2,$C$206:$V$206,0)),"")))</f>
        <v/>
      </c>
      <c r="X23" s="32" t="str">
        <f>IF($B$2="Todos",IF(COUNT($C$183:$V$183)=0,"",SUM($C$183:$V$183)),IFERROR(INDEX($C$183:$V$183,MATCH($D$2,$C$171:$V$171,0)),""))</f>
        <v/>
      </c>
      <c r="Y23" s="49" t="str">
        <f>IF(AND(ISNUMBER(X23),ISNUMBER(W23)),IF(W23&gt;0,X23/W23,""),"")</f>
        <v/>
      </c>
      <c r="Z23" s="32" t="str">
        <f>IF($B$2="Todos",IF(COUNT($C$253:$V$253)=0,"",SUM($C$253:$V$253)),IFERROR(INDEX($C$253:$V$253,MATCH($D$2,$C$241:$V$241,0)),""))</f>
        <v/>
      </c>
      <c r="AA23" s="32">
        <f>IF($B23="","",IF($B$2="Todos",SUMIFS(BD!$Z$3:$Z$5001,BD!$A$3:$A$5001,$B23),SUMIFS(BD!$Z$3:$Z$5001,BD!$A$3:$A$5001,$B23,BD!$B$3:$B$5001,$D$2)))</f>
        <v>0</v>
      </c>
      <c r="AB23" s="32">
        <f>IF($B23="","",IF($B$2="Todos",SUMIFS(BD!$AA$3:$AA$5001,BD!$A$3:$A$5001,$B23),SUMIFS(BD!$AA$3:$AA$5001,BD!$A$3:$A$5001,$B23,BD!$B$3:$B$5001,$D$2)))</f>
        <v>0</v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50">
        <f>$B$5</f>
        <v>0.7</v>
      </c>
      <c r="AI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IF(AN23="","",IF(INDEX(Config!$C$10:$C$29,MATCH(11,$AP$13:$AP$32,0))&amp;""="","TPC",INDEX(Config!$C$10:$C$29,MATCH(11,$AP$13:$AP$32,0))&amp;""))</f>
        <v/>
      </c>
      <c r="AP23" s="38">
        <f>IF(Config!$B$20&amp;""="",AP22,AP22+1)</f>
        <v>10</v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47">
        <f>IF($B24="","",IF($B$2="Todos",SUMIFS(BD!$S$3:$S$5001,BD!$A$3:$A$5001,$B24),SUMIFS(BD!$S$3:$S$5001,BD!$A$3:$A$5001,$B24,BD!$B$3:$B$5001,$D$2)))</f>
        <v>0</v>
      </c>
      <c r="T24" s="32">
        <f>IF($B24="","",IF($B$2="Todos",SUMIFS(BD!$T$3:$T$5001,BD!$A$3:$A$5001,$B24),SUMIFS(BD!$T$3:$T$5001,BD!$A$3:$A$5001,$B24,BD!$B$3:$B$5001,$D$2)))</f>
        <v>0</v>
      </c>
      <c r="U24" s="32">
        <f>IF($B24="","",IF($B$2="Todos",SUMIFS(BD!$U$3:$U$5001,BD!$A$3:$A$5001,$B24),SUMIFS(BD!$U$3:$U$5001,BD!$A$3:$A$5001,$B24,BD!$B$3:$B$5001,$D$2)))</f>
        <v>0</v>
      </c>
      <c r="V24" s="32" t="str">
        <f>IF($B$2="Todos",IF(COUNT($C$149:$V$149)=0,"",SUM($C$149:$V$149)),IFERROR(INDEX($C$149:$V$149,MATCH($D$2,$C$136:$V$136,0)),""))</f>
        <v/>
      </c>
      <c r="W24" s="48" t="str">
        <f>IF(X24="","",IF($B$2="Todos",IF($B$4&gt;0,$B$4,IF($B$2="Todos",IF(COUNT($C$219:$V$219)=0,"",SUM($C$219:$V$219)),IFERROR(INDEX($C$219:$V$219,MATCH($D$2,$C$206:$V$206,0)),""))),IFERROR(INDEX($C$219:$V$219,MATCH($D$2,$C$206:$V$206,0)),"")))</f>
        <v/>
      </c>
      <c r="X24" s="32" t="str">
        <f>IF($B$2="Todos",IF(COUNT($C$184:$V$184)=0,"",SUM($C$184:$V$184)),IFERROR(INDEX($C$184:$V$184,MATCH($D$2,$C$171:$V$171,0)),""))</f>
        <v/>
      </c>
      <c r="Y24" s="49" t="str">
        <f>IF(AND(ISNUMBER(X24),ISNUMBER(W24)),IF(W24&gt;0,X24/W24,""),"")</f>
        <v/>
      </c>
      <c r="Z24" s="32" t="str">
        <f>IF($B$2="Todos",IF(COUNT($C$254:$V$254)=0,"",SUM($C$254:$V$254)),IFERROR(INDEX($C$254:$V$254,MATCH($D$2,$C$241:$V$241,0)),""))</f>
        <v/>
      </c>
      <c r="AA24" s="32">
        <f>IF($B24="","",IF($B$2="Todos",SUMIFS(BD!$Z$3:$Z$5001,BD!$A$3:$A$5001,$B24),SUMIFS(BD!$Z$3:$Z$5001,BD!$A$3:$A$5001,$B24,BD!$B$3:$B$5001,$D$2)))</f>
        <v>0</v>
      </c>
      <c r="AB24" s="32">
        <f>IF($B24="","",IF($B$2="Todos",SUMIFS(BD!$AA$3:$AA$5001,BD!$A$3:$A$5001,$B24),SUMIFS(BD!$AA$3:$AA$5001,BD!$A$3:$A$5001,$B24,BD!$B$3:$B$5001,$D$2)))</f>
        <v>0</v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50">
        <f>$B$5</f>
        <v>0.7</v>
      </c>
      <c r="AI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IF(AN24="","",IF(INDEX(Config!$C$10:$C$29,MATCH(12,$AP$13:$AP$32,0))&amp;""="","TPC",INDEX(Config!$C$10:$C$29,MATCH(12,$AP$13:$AP$32,0))&amp;""))</f>
        <v/>
      </c>
      <c r="AP24" s="38">
        <f>IF(Config!$B$21&amp;""="",AP23,AP23+1)</f>
        <v>10</v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47">
        <f>IF($B25="","",IF($B$2="Todos",SUMIFS(BD!$S$3:$S$5001,BD!$A$3:$A$5001,$B25),SUMIFS(BD!$S$3:$S$5001,BD!$A$3:$A$5001,$B25,BD!$B$3:$B$5001,$D$2)))</f>
        <v>0</v>
      </c>
      <c r="T25" s="32">
        <f>IF($B25="","",IF($B$2="Todos",SUMIFS(BD!$T$3:$T$5001,BD!$A$3:$A$5001,$B25),SUMIFS(BD!$T$3:$T$5001,BD!$A$3:$A$5001,$B25,BD!$B$3:$B$5001,$D$2)))</f>
        <v>0</v>
      </c>
      <c r="U25" s="32">
        <f>IF($B25="","",IF($B$2="Todos",SUMIFS(BD!$U$3:$U$5001,BD!$A$3:$A$5001,$B25),SUMIFS(BD!$U$3:$U$5001,BD!$A$3:$A$5001,$B25,BD!$B$3:$B$5001,$D$2)))</f>
        <v>0</v>
      </c>
      <c r="V25" s="32" t="str">
        <f>IF($B$2="Todos",IF(COUNT($C$150:$V$150)=0,"",SUM($C$150:$V$150)),IFERROR(INDEX($C$150:$V$150,MATCH($D$2,$C$136:$V$136,0)),""))</f>
        <v/>
      </c>
      <c r="W25" s="48" t="str">
        <f>IF(X25="","",IF($B$2="Todos",IF($B$4&gt;0,$B$4,IF($B$2="Todos",IF(COUNT($C$220:$V$220)=0,"",SUM($C$220:$V$220)),IFERROR(INDEX($C$220:$V$220,MATCH($D$2,$C$206:$V$206,0)),""))),IFERROR(INDEX($C$220:$V$220,MATCH($D$2,$C$206:$V$206,0)),"")))</f>
        <v/>
      </c>
      <c r="X25" s="32" t="str">
        <f>IF($B$2="Todos",IF(COUNT($C$185:$V$185)=0,"",SUM($C$185:$V$185)),IFERROR(INDEX($C$185:$V$185,MATCH($D$2,$C$171:$V$171,0)),""))</f>
        <v/>
      </c>
      <c r="Y25" s="49" t="str">
        <f>IF(AND(ISNUMBER(X25),ISNUMBER(W25)),IF(W25&gt;0,X25/W25,""),"")</f>
        <v/>
      </c>
      <c r="Z25" s="32" t="str">
        <f>IF($B$2="Todos",IF(COUNT($C$255:$V$255)=0,"",SUM($C$255:$V$255)),IFERROR(INDEX($C$255:$V$255,MATCH($D$2,$C$241:$V$241,0)),""))</f>
        <v/>
      </c>
      <c r="AA25" s="32">
        <f>IF($B25="","",IF($B$2="Todos",SUMIFS(BD!$Z$3:$Z$5001,BD!$A$3:$A$5001,$B25),SUMIFS(BD!$Z$3:$Z$5001,BD!$A$3:$A$5001,$B25,BD!$B$3:$B$5001,$D$2)))</f>
        <v>0</v>
      </c>
      <c r="AB25" s="32">
        <f>IF($B25="","",IF($B$2="Todos",SUMIFS(BD!$AA$3:$AA$5001,BD!$A$3:$A$5001,$B25),SUMIFS(BD!$AA$3:$AA$5001,BD!$A$3:$A$5001,$B25,BD!$B$3:$B$5001,$D$2)))</f>
        <v>0</v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50">
        <f>$B$5</f>
        <v>0.7</v>
      </c>
      <c r="AI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IF(AN25="","",IF(INDEX(Config!$C$10:$C$29,MATCH(13,$AP$13:$AP$32,0))&amp;""="","TPC",INDEX(Config!$C$10:$C$29,MATCH(13,$AP$13:$AP$32,0))&amp;""))</f>
        <v/>
      </c>
      <c r="AP25" s="38">
        <f>IF(Config!$B$22&amp;""="",AP24,AP24+1)</f>
        <v>10</v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47">
        <f>IF($B26="","",IF($B$2="Todos",SUMIFS(BD!$S$3:$S$5001,BD!$A$3:$A$5001,$B26),SUMIFS(BD!$S$3:$S$5001,BD!$A$3:$A$5001,$B26,BD!$B$3:$B$5001,$D$2)))</f>
        <v>0</v>
      </c>
      <c r="T26" s="32">
        <f>IF($B26="","",IF($B$2="Todos",SUMIFS(BD!$T$3:$T$5001,BD!$A$3:$A$5001,$B26),SUMIFS(BD!$T$3:$T$5001,BD!$A$3:$A$5001,$B26,BD!$B$3:$B$5001,$D$2)))</f>
        <v>0</v>
      </c>
      <c r="U26" s="32">
        <f>IF($B26="","",IF($B$2="Todos",SUMIFS(BD!$U$3:$U$5001,BD!$A$3:$A$5001,$B26),SUMIFS(BD!$U$3:$U$5001,BD!$A$3:$A$5001,$B26,BD!$B$3:$B$5001,$D$2)))</f>
        <v>0</v>
      </c>
      <c r="V26" s="32" t="str">
        <f>IF($B$2="Todos",IF(COUNT($C$151:$V$151)=0,"",SUM($C$151:$V$151)),IFERROR(INDEX($C$151:$V$151,MATCH($D$2,$C$136:$V$136,0)),""))</f>
        <v/>
      </c>
      <c r="W26" s="48" t="str">
        <f>IF(X26="","",IF($B$2="Todos",IF($B$4&gt;0,$B$4,IF($B$2="Todos",IF(COUNT($C$221:$V$221)=0,"",SUM($C$221:$V$221)),IFERROR(INDEX($C$221:$V$221,MATCH($D$2,$C$206:$V$206,0)),""))),IFERROR(INDEX($C$221:$V$221,MATCH($D$2,$C$206:$V$206,0)),"")))</f>
        <v/>
      </c>
      <c r="X26" s="32" t="str">
        <f>IF($B$2="Todos",IF(COUNT($C$186:$V$186)=0,"",SUM($C$186:$V$186)),IFERROR(INDEX($C$186:$V$186,MATCH($D$2,$C$171:$V$171,0)),""))</f>
        <v/>
      </c>
      <c r="Y26" s="49" t="str">
        <f>IF(AND(ISNUMBER(X26),ISNUMBER(W26)),IF(W26&gt;0,X26/W26,""),"")</f>
        <v/>
      </c>
      <c r="Z26" s="32" t="str">
        <f>IF($B$2="Todos",IF(COUNT($C$256:$V$256)=0,"",SUM($C$256:$V$256)),IFERROR(INDEX($C$256:$V$256,MATCH($D$2,$C$241:$V$241,0)),""))</f>
        <v/>
      </c>
      <c r="AA26" s="32">
        <f>IF($B26="","",IF($B$2="Todos",SUMIFS(BD!$Z$3:$Z$5001,BD!$A$3:$A$5001,$B26),SUMIFS(BD!$Z$3:$Z$5001,BD!$A$3:$A$5001,$B26,BD!$B$3:$B$5001,$D$2)))</f>
        <v>0</v>
      </c>
      <c r="AB26" s="32">
        <f>IF($B26="","",IF($B$2="Todos",SUMIFS(BD!$AA$3:$AA$5001,BD!$A$3:$A$5001,$B26),SUMIFS(BD!$AA$3:$AA$5001,BD!$A$3:$A$5001,$B26,BD!$B$3:$B$5001,$D$2)))</f>
        <v>0</v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50">
        <f>$B$5</f>
        <v>0.7</v>
      </c>
      <c r="AI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IF(AN26="","",IF(INDEX(Config!$C$10:$C$29,MATCH(14,$AP$13:$AP$32,0))&amp;""="","TPC",INDEX(Config!$C$10:$C$29,MATCH(14,$AP$13:$AP$32,0))&amp;""))</f>
        <v/>
      </c>
      <c r="AP26" s="38">
        <f>IF(Config!$B$23&amp;""="",AP25,AP25+1)</f>
        <v>10</v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47">
        <f>IF($B27="","",IF($B$2="Todos",SUMIFS(BD!$S$3:$S$5001,BD!$A$3:$A$5001,$B27),SUMIFS(BD!$S$3:$S$5001,BD!$A$3:$A$5001,$B27,BD!$B$3:$B$5001,$D$2)))</f>
        <v>0</v>
      </c>
      <c r="T27" s="32">
        <f>IF($B27="","",IF($B$2="Todos",SUMIFS(BD!$T$3:$T$5001,BD!$A$3:$A$5001,$B27),SUMIFS(BD!$T$3:$T$5001,BD!$A$3:$A$5001,$B27,BD!$B$3:$B$5001,$D$2)))</f>
        <v>0</v>
      </c>
      <c r="U27" s="32">
        <f>IF($B27="","",IF($B$2="Todos",SUMIFS(BD!$U$3:$U$5001,BD!$A$3:$A$5001,$B27),SUMIFS(BD!$U$3:$U$5001,BD!$A$3:$A$5001,$B27,BD!$B$3:$B$5001,$D$2)))</f>
        <v>0</v>
      </c>
      <c r="V27" s="32" t="str">
        <f>IF($B$2="Todos",IF(COUNT($C$152:$V$152)=0,"",SUM($C$152:$V$152)),IFERROR(INDEX($C$152:$V$152,MATCH($D$2,$C$136:$V$136,0)),""))</f>
        <v/>
      </c>
      <c r="W27" s="48" t="str">
        <f>IF(X27="","",IF($B$2="Todos",IF($B$4&gt;0,$B$4,IF($B$2="Todos",IF(COUNT($C$222:$V$222)=0,"",SUM($C$222:$V$222)),IFERROR(INDEX($C$222:$V$222,MATCH($D$2,$C$206:$V$206,0)),""))),IFERROR(INDEX($C$222:$V$222,MATCH($D$2,$C$206:$V$206,0)),"")))</f>
        <v/>
      </c>
      <c r="X27" s="32" t="str">
        <f>IF($B$2="Todos",IF(COUNT($C$187:$V$187)=0,"",SUM($C$187:$V$187)),IFERROR(INDEX($C$187:$V$187,MATCH($D$2,$C$171:$V$171,0)),""))</f>
        <v/>
      </c>
      <c r="Y27" s="49" t="str">
        <f>IF(AND(ISNUMBER(X27),ISNUMBER(W27)),IF(W27&gt;0,X27/W27,""),"")</f>
        <v/>
      </c>
      <c r="Z27" s="32" t="str">
        <f>IF($B$2="Todos",IF(COUNT($C$257:$V$257)=0,"",SUM($C$257:$V$257)),IFERROR(INDEX($C$257:$V$257,MATCH($D$2,$C$241:$V$241,0)),""))</f>
        <v/>
      </c>
      <c r="AA27" s="32">
        <f>IF($B27="","",IF($B$2="Todos",SUMIFS(BD!$Z$3:$Z$5001,BD!$A$3:$A$5001,$B27),SUMIFS(BD!$Z$3:$Z$5001,BD!$A$3:$A$5001,$B27,BD!$B$3:$B$5001,$D$2)))</f>
        <v>0</v>
      </c>
      <c r="AB27" s="32">
        <f>IF($B27="","",IF($B$2="Todos",SUMIFS(BD!$AA$3:$AA$5001,BD!$A$3:$A$5001,$B27),SUMIFS(BD!$AA$3:$AA$5001,BD!$A$3:$A$5001,$B27,BD!$B$3:$B$5001,$D$2)))</f>
        <v>0</v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50">
        <f>$B$5</f>
        <v>0.7</v>
      </c>
      <c r="AI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IF(AN27="","",IF(INDEX(Config!$C$10:$C$29,MATCH(15,$AP$13:$AP$32,0))&amp;""="","TPC",INDEX(Config!$C$10:$C$29,MATCH(15,$AP$13:$AP$32,0))&amp;""))</f>
        <v/>
      </c>
      <c r="AP27" s="38">
        <f>IF(Config!$B$24&amp;""="",AP26,AP26+1)</f>
        <v>10</v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47">
        <f>IF($B28="","",IF($B$2="Todos",SUMIFS(BD!$S$3:$S$5001,BD!$A$3:$A$5001,$B28),SUMIFS(BD!$S$3:$S$5001,BD!$A$3:$A$5001,$B28,BD!$B$3:$B$5001,$D$2)))</f>
        <v>0</v>
      </c>
      <c r="T28" s="32">
        <f>IF($B28="","",IF($B$2="Todos",SUMIFS(BD!$T$3:$T$5001,BD!$A$3:$A$5001,$B28),SUMIFS(BD!$T$3:$T$5001,BD!$A$3:$A$5001,$B28,BD!$B$3:$B$5001,$D$2)))</f>
        <v>0</v>
      </c>
      <c r="U28" s="32">
        <f>IF($B28="","",IF($B$2="Todos",SUMIFS(BD!$U$3:$U$5001,BD!$A$3:$A$5001,$B28),SUMIFS(BD!$U$3:$U$5001,BD!$A$3:$A$5001,$B28,BD!$B$3:$B$5001,$D$2)))</f>
        <v>0</v>
      </c>
      <c r="V28" s="32" t="str">
        <f>IF($B$2="Todos",IF(COUNT($C$153:$V$153)=0,"",SUM($C$153:$V$153)),IFERROR(INDEX($C$153:$V$153,MATCH($D$2,$C$136:$V$136,0)),""))</f>
        <v/>
      </c>
      <c r="W28" s="48" t="str">
        <f>IF(X28="","",IF($B$2="Todos",IF($B$4&gt;0,$B$4,IF($B$2="Todos",IF(COUNT($C$223:$V$223)=0,"",SUM($C$223:$V$223)),IFERROR(INDEX($C$223:$V$223,MATCH($D$2,$C$206:$V$206,0)),""))),IFERROR(INDEX($C$223:$V$223,MATCH($D$2,$C$206:$V$206,0)),"")))</f>
        <v/>
      </c>
      <c r="X28" s="32" t="str">
        <f>IF($B$2="Todos",IF(COUNT($C$188:$V$188)=0,"",SUM($C$188:$V$188)),IFERROR(INDEX($C$188:$V$188,MATCH($D$2,$C$171:$V$171,0)),""))</f>
        <v/>
      </c>
      <c r="Y28" s="49" t="str">
        <f>IF(AND(ISNUMBER(X28),ISNUMBER(W28)),IF(W28&gt;0,X28/W28,""),"")</f>
        <v/>
      </c>
      <c r="Z28" s="32" t="str">
        <f>IF($B$2="Todos",IF(COUNT($C$258:$V$258)=0,"",SUM($C$258:$V$258)),IFERROR(INDEX($C$258:$V$258,MATCH($D$2,$C$241:$V$241,0)),""))</f>
        <v/>
      </c>
      <c r="AA28" s="32">
        <f>IF($B28="","",IF($B$2="Todos",SUMIFS(BD!$Z$3:$Z$5001,BD!$A$3:$A$5001,$B28),SUMIFS(BD!$Z$3:$Z$5001,BD!$A$3:$A$5001,$B28,BD!$B$3:$B$5001,$D$2)))</f>
        <v>0</v>
      </c>
      <c r="AB28" s="32">
        <f>IF($B28="","",IF($B$2="Todos",SUMIFS(BD!$AA$3:$AA$5001,BD!$A$3:$A$5001,$B28),SUMIFS(BD!$AA$3:$AA$5001,BD!$A$3:$A$5001,$B28,BD!$B$3:$B$5001,$D$2)))</f>
        <v>0</v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50">
        <f>$B$5</f>
        <v>0.7</v>
      </c>
      <c r="AI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IF(AN28="","",IF(INDEX(Config!$C$10:$C$29,MATCH(16,$AP$13:$AP$32,0))&amp;""="","TPC",INDEX(Config!$C$10:$C$29,MATCH(16,$AP$13:$AP$32,0))&amp;""))</f>
        <v/>
      </c>
      <c r="AP28" s="38">
        <f>IF(Config!$B$25&amp;""="",AP27,AP27+1)</f>
        <v>10</v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47">
        <f>IF($B29="","",IF($B$2="Todos",SUMIFS(BD!$S$3:$S$5001,BD!$A$3:$A$5001,$B29),SUMIFS(BD!$S$3:$S$5001,BD!$A$3:$A$5001,$B29,BD!$B$3:$B$5001,$D$2)))</f>
        <v>0</v>
      </c>
      <c r="T29" s="32">
        <f>IF($B29="","",IF($B$2="Todos",SUMIFS(BD!$T$3:$T$5001,BD!$A$3:$A$5001,$B29),SUMIFS(BD!$T$3:$T$5001,BD!$A$3:$A$5001,$B29,BD!$B$3:$B$5001,$D$2)))</f>
        <v>0</v>
      </c>
      <c r="U29" s="32">
        <f>IF($B29="","",IF($B$2="Todos",SUMIFS(BD!$U$3:$U$5001,BD!$A$3:$A$5001,$B29),SUMIFS(BD!$U$3:$U$5001,BD!$A$3:$A$5001,$B29,BD!$B$3:$B$5001,$D$2)))</f>
        <v>0</v>
      </c>
      <c r="V29" s="32" t="str">
        <f>IF($B$2="Todos",IF(COUNT($C$154:$V$154)=0,"",SUM($C$154:$V$154)),IFERROR(INDEX($C$154:$V$154,MATCH($D$2,$C$136:$V$136,0)),""))</f>
        <v/>
      </c>
      <c r="W29" s="48" t="str">
        <f>IF(X29="","",IF($B$2="Todos",IF($B$4&gt;0,$B$4,IF($B$2="Todos",IF(COUNT($C$224:$V$224)=0,"",SUM($C$224:$V$224)),IFERROR(INDEX($C$224:$V$224,MATCH($D$2,$C$206:$V$206,0)),""))),IFERROR(INDEX($C$224:$V$224,MATCH($D$2,$C$206:$V$206,0)),"")))</f>
        <v/>
      </c>
      <c r="X29" s="32" t="str">
        <f>IF($B$2="Todos",IF(COUNT($C$189:$V$189)=0,"",SUM($C$189:$V$189)),IFERROR(INDEX($C$189:$V$189,MATCH($D$2,$C$171:$V$171,0)),""))</f>
        <v/>
      </c>
      <c r="Y29" s="49" t="str">
        <f>IF(AND(ISNUMBER(X29),ISNUMBER(W29)),IF(W29&gt;0,X29/W29,""),"")</f>
        <v/>
      </c>
      <c r="Z29" s="32" t="str">
        <f>IF($B$2="Todos",IF(COUNT($C$259:$V$259)=0,"",SUM($C$259:$V$259)),IFERROR(INDEX($C$259:$V$259,MATCH($D$2,$C$241:$V$241,0)),""))</f>
        <v/>
      </c>
      <c r="AA29" s="32">
        <f>IF($B29="","",IF($B$2="Todos",SUMIFS(BD!$Z$3:$Z$5001,BD!$A$3:$A$5001,$B29),SUMIFS(BD!$Z$3:$Z$5001,BD!$A$3:$A$5001,$B29,BD!$B$3:$B$5001,$D$2)))</f>
        <v>0</v>
      </c>
      <c r="AB29" s="32">
        <f>IF($B29="","",IF($B$2="Todos",SUMIFS(BD!$AA$3:$AA$5001,BD!$A$3:$A$5001,$B29),SUMIFS(BD!$AA$3:$AA$5001,BD!$A$3:$A$5001,$B29,BD!$B$3:$B$5001,$D$2)))</f>
        <v>0</v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50">
        <f>$B$5</f>
        <v>0.7</v>
      </c>
      <c r="AI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IF(AN29="","",IF(INDEX(Config!$C$10:$C$29,MATCH(17,$AP$13:$AP$32,0))&amp;""="","TPC",INDEX(Config!$C$10:$C$29,MATCH(17,$AP$13:$AP$32,0))&amp;""))</f>
        <v/>
      </c>
      <c r="AP29" s="38">
        <f>IF(Config!$B$26&amp;""="",AP28,AP28+1)</f>
        <v>10</v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47">
        <f>IF($B30="","",IF($B$2="Todos",SUMIFS(BD!$S$3:$S$5001,BD!$A$3:$A$5001,$B30),SUMIFS(BD!$S$3:$S$5001,BD!$A$3:$A$5001,$B30,BD!$B$3:$B$5001,$D$2)))</f>
        <v>0</v>
      </c>
      <c r="T30" s="32">
        <f>IF($B30="","",IF($B$2="Todos",SUMIFS(BD!$T$3:$T$5001,BD!$A$3:$A$5001,$B30),SUMIFS(BD!$T$3:$T$5001,BD!$A$3:$A$5001,$B30,BD!$B$3:$B$5001,$D$2)))</f>
        <v>0</v>
      </c>
      <c r="U30" s="32">
        <f>IF($B30="","",IF($B$2="Todos",SUMIFS(BD!$U$3:$U$5001,BD!$A$3:$A$5001,$B30),SUMIFS(BD!$U$3:$U$5001,BD!$A$3:$A$5001,$B30,BD!$B$3:$B$5001,$D$2)))</f>
        <v>0</v>
      </c>
      <c r="V30" s="32" t="str">
        <f>IF($B$2="Todos",IF(COUNT($C$155:$V$155)=0,"",SUM($C$155:$V$155)),IFERROR(INDEX($C$155:$V$155,MATCH($D$2,$C$136:$V$136,0)),""))</f>
        <v/>
      </c>
      <c r="W30" s="48" t="str">
        <f>IF(X30="","",IF($B$2="Todos",IF($B$4&gt;0,$B$4,IF($B$2="Todos",IF(COUNT($C$225:$V$225)=0,"",SUM($C$225:$V$225)),IFERROR(INDEX($C$225:$V$225,MATCH($D$2,$C$206:$V$206,0)),""))),IFERROR(INDEX($C$225:$V$225,MATCH($D$2,$C$206:$V$206,0)),"")))</f>
        <v/>
      </c>
      <c r="X30" s="32" t="str">
        <f>IF($B$2="Todos",IF(COUNT($C$190:$V$190)=0,"",SUM($C$190:$V$190)),IFERROR(INDEX($C$190:$V$190,MATCH($D$2,$C$171:$V$171,0)),""))</f>
        <v/>
      </c>
      <c r="Y30" s="49" t="str">
        <f>IF(AND(ISNUMBER(X30),ISNUMBER(W30)),IF(W30&gt;0,X30/W30,""),"")</f>
        <v/>
      </c>
      <c r="Z30" s="32" t="str">
        <f>IF($B$2="Todos",IF(COUNT($C$260:$V$260)=0,"",SUM($C$260:$V$260)),IFERROR(INDEX($C$260:$V$260,MATCH($D$2,$C$241:$V$241,0)),""))</f>
        <v/>
      </c>
      <c r="AA30" s="32">
        <f>IF($B30="","",IF($B$2="Todos",SUMIFS(BD!$Z$3:$Z$5001,BD!$A$3:$A$5001,$B30),SUMIFS(BD!$Z$3:$Z$5001,BD!$A$3:$A$5001,$B30,BD!$B$3:$B$5001,$D$2)))</f>
        <v>0</v>
      </c>
      <c r="AB30" s="32">
        <f>IF($B30="","",IF($B$2="Todos",SUMIFS(BD!$AA$3:$AA$5001,BD!$A$3:$A$5001,$B30),SUMIFS(BD!$AA$3:$AA$5001,BD!$A$3:$A$5001,$B30,BD!$B$3:$B$5001,$D$2)))</f>
        <v>0</v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50">
        <f>$B$5</f>
        <v>0.7</v>
      </c>
      <c r="AI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IF(AN30="","",IF(INDEX(Config!$C$10:$C$29,MATCH(18,$AP$13:$AP$32,0))&amp;""="","TPC",INDEX(Config!$C$10:$C$29,MATCH(18,$AP$13:$AP$32,0))&amp;""))</f>
        <v/>
      </c>
      <c r="AP30" s="38">
        <f>IF(Config!$B$27&amp;""="",AP29,AP29+1)</f>
        <v>10</v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47">
        <f>IF($B31="","",IF($B$2="Todos",SUMIFS(BD!$S$3:$S$5001,BD!$A$3:$A$5001,$B31),SUMIFS(BD!$S$3:$S$5001,BD!$A$3:$A$5001,$B31,BD!$B$3:$B$5001,$D$2)))</f>
        <v>0</v>
      </c>
      <c r="T31" s="32">
        <f>IF($B31="","",IF($B$2="Todos",SUMIFS(BD!$T$3:$T$5001,BD!$A$3:$A$5001,$B31),SUMIFS(BD!$T$3:$T$5001,BD!$A$3:$A$5001,$B31,BD!$B$3:$B$5001,$D$2)))</f>
        <v>0</v>
      </c>
      <c r="U31" s="32">
        <f>IF($B31="","",IF($B$2="Todos",SUMIFS(BD!$U$3:$U$5001,BD!$A$3:$A$5001,$B31),SUMIFS(BD!$U$3:$U$5001,BD!$A$3:$A$5001,$B31,BD!$B$3:$B$5001,$D$2)))</f>
        <v>0</v>
      </c>
      <c r="V31" s="32" t="str">
        <f>IF($B$2="Todos",IF(COUNT($C$156:$V$156)=0,"",SUM($C$156:$V$156)),IFERROR(INDEX($C$156:$V$156,MATCH($D$2,$C$136:$V$136,0)),""))</f>
        <v/>
      </c>
      <c r="W31" s="48" t="str">
        <f>IF(X31="","",IF($B$2="Todos",IF($B$4&gt;0,$B$4,IF($B$2="Todos",IF(COUNT($C$226:$V$226)=0,"",SUM($C$226:$V$226)),IFERROR(INDEX($C$226:$V$226,MATCH($D$2,$C$206:$V$206,0)),""))),IFERROR(INDEX($C$226:$V$226,MATCH($D$2,$C$206:$V$206,0)),"")))</f>
        <v/>
      </c>
      <c r="X31" s="32" t="str">
        <f>IF($B$2="Todos",IF(COUNT($C$191:$V$191)=0,"",SUM($C$191:$V$191)),IFERROR(INDEX($C$191:$V$191,MATCH($D$2,$C$171:$V$171,0)),""))</f>
        <v/>
      </c>
      <c r="Y31" s="49" t="str">
        <f>IF(AND(ISNUMBER(X31),ISNUMBER(W31)),IF(W31&gt;0,X31/W31,""),"")</f>
        <v/>
      </c>
      <c r="Z31" s="32" t="str">
        <f>IF($B$2="Todos",IF(COUNT($C$261:$V$261)=0,"",SUM($C$261:$V$261)),IFERROR(INDEX($C$261:$V$261,MATCH($D$2,$C$241:$V$241,0)),""))</f>
        <v/>
      </c>
      <c r="AA31" s="32">
        <f>IF($B31="","",IF($B$2="Todos",SUMIFS(BD!$Z$3:$Z$5001,BD!$A$3:$A$5001,$B31),SUMIFS(BD!$Z$3:$Z$5001,BD!$A$3:$A$5001,$B31,BD!$B$3:$B$5001,$D$2)))</f>
        <v>0</v>
      </c>
      <c r="AB31" s="32">
        <f>IF($B31="","",IF($B$2="Todos",SUMIFS(BD!$AA$3:$AA$5001,BD!$A$3:$A$5001,$B31),SUMIFS(BD!$AA$3:$AA$5001,BD!$A$3:$A$5001,$B31,BD!$B$3:$B$5001,$D$2)))</f>
        <v>0</v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50">
        <f>$B$5</f>
        <v>0.7</v>
      </c>
      <c r="AI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IF(AN31="","",IF(INDEX(Config!$C$10:$C$29,MATCH(19,$AP$13:$AP$32,0))&amp;""="","TPC",INDEX(Config!$C$10:$C$29,MATCH(19,$AP$13:$AP$32,0))&amp;""))</f>
        <v/>
      </c>
      <c r="AP31" s="38">
        <f>IF(Config!$B$28&amp;""="",AP30,AP30+1)</f>
        <v>10</v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47">
        <f>IF($B32="","",IF($B$2="Todos",SUMIFS(BD!$S$3:$S$5001,BD!$A$3:$A$5001,$B32),SUMIFS(BD!$S$3:$S$5001,BD!$A$3:$A$5001,$B32,BD!$B$3:$B$5001,$D$2)))</f>
        <v>0</v>
      </c>
      <c r="T32" s="32">
        <f>IF($B32="","",IF($B$2="Todos",SUMIFS(BD!$T$3:$T$5001,BD!$A$3:$A$5001,$B32),SUMIFS(BD!$T$3:$T$5001,BD!$A$3:$A$5001,$B32,BD!$B$3:$B$5001,$D$2)))</f>
        <v>0</v>
      </c>
      <c r="U32" s="32">
        <f>IF($B32="","",IF($B$2="Todos",SUMIFS(BD!$U$3:$U$5001,BD!$A$3:$A$5001,$B32),SUMIFS(BD!$U$3:$U$5001,BD!$A$3:$A$5001,$B32,BD!$B$3:$B$5001,$D$2)))</f>
        <v>0</v>
      </c>
      <c r="V32" s="32" t="str">
        <f>IF($B$2="Todos",IF(COUNT($C$157:$V$157)=0,"",SUM($C$157:$V$157)),IFERROR(INDEX($C$157:$V$157,MATCH($D$2,$C$136:$V$136,0)),""))</f>
        <v/>
      </c>
      <c r="W32" s="48" t="str">
        <f>IF(X32="","",IF($B$2="Todos",IF($B$4&gt;0,$B$4,IF($B$2="Todos",IF(COUNT($C$227:$V$227)=0,"",SUM($C$227:$V$227)),IFERROR(INDEX($C$227:$V$227,MATCH($D$2,$C$206:$V$206,0)),""))),IFERROR(INDEX($C$227:$V$227,MATCH($D$2,$C$206:$V$206,0)),"")))</f>
        <v/>
      </c>
      <c r="X32" s="32" t="str">
        <f>IF($B$2="Todos",IF(COUNT($C$192:$V$192)=0,"",SUM($C$192:$V$192)),IFERROR(INDEX($C$192:$V$192,MATCH($D$2,$C$171:$V$171,0)),""))</f>
        <v/>
      </c>
      <c r="Y32" s="49" t="str">
        <f>IF(AND(ISNUMBER(X32),ISNUMBER(W32)),IF(W32&gt;0,X32/W32,""),"")</f>
        <v/>
      </c>
      <c r="Z32" s="32" t="str">
        <f>IF($B$2="Todos",IF(COUNT($C$262:$V$262)=0,"",SUM($C$262:$V$262)),IFERROR(INDEX($C$262:$V$262,MATCH($D$2,$C$241:$V$241,0)),""))</f>
        <v/>
      </c>
      <c r="AA32" s="32">
        <f>IF($B32="","",IF($B$2="Todos",SUMIFS(BD!$Z$3:$Z$5001,BD!$A$3:$A$5001,$B32),SUMIFS(BD!$Z$3:$Z$5001,BD!$A$3:$A$5001,$B32,BD!$B$3:$B$5001,$D$2)))</f>
        <v>0</v>
      </c>
      <c r="AB32" s="32">
        <f>IF($B32="","",IF($B$2="Todos",SUMIFS(BD!$AA$3:$AA$5001,BD!$A$3:$A$5001,$B32),SUMIFS(BD!$AA$3:$AA$5001,BD!$A$3:$A$5001,$B32,BD!$B$3:$B$5001,$D$2)))</f>
        <v>0</v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50">
        <f>$B$5</f>
        <v>0.7</v>
      </c>
      <c r="AI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IF(AN32="","",IF(INDEX(Config!$C$10:$C$29,MATCH(20,$AP$13:$AP$32,0))&amp;""="","TPC",INDEX(Config!$C$10:$C$29,MATCH(20,$AP$13:$AP$32,0))&amp;""))</f>
        <v/>
      </c>
      <c r="AP32" s="38">
        <f>IF(Config!$B$29&amp;""="",AP31,AP31+1)</f>
        <v>10</v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47">
        <f>IF($B33="","",IF($B$2="Todos",SUMIFS(BD!$S$3:$S$5001,BD!$A$3:$A$5001,$B33),SUMIFS(BD!$S$3:$S$5001,BD!$A$3:$A$5001,$B33,BD!$B$3:$B$5001,$D$2)))</f>
        <v>0</v>
      </c>
      <c r="T33" s="32">
        <f>IF($B33="","",IF($B$2="Todos",SUMIFS(BD!$T$3:$T$5001,BD!$A$3:$A$5001,$B33),SUMIFS(BD!$T$3:$T$5001,BD!$A$3:$A$5001,$B33,BD!$B$3:$B$5001,$D$2)))</f>
        <v>0</v>
      </c>
      <c r="U33" s="32">
        <f>IF($B33="","",IF($B$2="Todos",SUMIFS(BD!$U$3:$U$5001,BD!$A$3:$A$5001,$B33),SUMIFS(BD!$U$3:$U$5001,BD!$A$3:$A$5001,$B33,BD!$B$3:$B$5001,$D$2)))</f>
        <v>0</v>
      </c>
      <c r="V33" s="32" t="str">
        <f>IF($B$2="Todos",IF(COUNT($C$158:$V$158)=0,"",SUM($C$158:$V$158)),IFERROR(INDEX($C$158:$V$158,MATCH($D$2,$C$136:$V$136,0)),""))</f>
        <v/>
      </c>
      <c r="W33" s="48" t="str">
        <f>IF(X33="","",IF($B$2="Todos",IF($B$4&gt;0,$B$4,IF($B$2="Todos",IF(COUNT($C$228:$V$228)=0,"",SUM($C$228:$V$228)),IFERROR(INDEX($C$228:$V$228,MATCH($D$2,$C$206:$V$206,0)),""))),IFERROR(INDEX($C$228:$V$228,MATCH($D$2,$C$206:$V$206,0)),"")))</f>
        <v/>
      </c>
      <c r="X33" s="32" t="str">
        <f>IF($B$2="Todos",IF(COUNT($C$193:$V$193)=0,"",SUM($C$193:$V$193)),IFERROR(INDEX($C$193:$V$193,MATCH($D$2,$C$171:$V$171,0)),""))</f>
        <v/>
      </c>
      <c r="Y33" s="49" t="str">
        <f>IF(AND(ISNUMBER(X33),ISNUMBER(W33)),IF(W33&gt;0,X33/W33,""),"")</f>
        <v/>
      </c>
      <c r="Z33" s="32" t="str">
        <f>IF($B$2="Todos",IF(COUNT($C$263:$V$263)=0,"",SUM($C$263:$V$263)),IFERROR(INDEX($C$263:$V$263,MATCH($D$2,$C$241:$V$241,0)),""))</f>
        <v/>
      </c>
      <c r="AA33" s="32">
        <f>IF($B33="","",IF($B$2="Todos",SUMIFS(BD!$Z$3:$Z$5001,BD!$A$3:$A$5001,$B33),SUMIFS(BD!$Z$3:$Z$5001,BD!$A$3:$A$5001,$B33,BD!$B$3:$B$5001,$D$2)))</f>
        <v>0</v>
      </c>
      <c r="AB33" s="32">
        <f>IF($B33="","",IF($B$2="Todos",SUMIFS(BD!$AA$3:$AA$5001,BD!$A$3:$A$5001,$B33),SUMIFS(BD!$AA$3:$AA$5001,BD!$A$3:$A$5001,$B33,BD!$B$3:$B$5001,$D$2)))</f>
        <v>0</v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50">
        <f>$B$5</f>
        <v>0.7</v>
      </c>
      <c r="AI33" s="50">
        <f>$B$6</f>
        <v>0.9</v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47">
        <f>IF($B34="","",IF($B$2="Todos",SUMIFS(BD!$S$3:$S$5001,BD!$A$3:$A$5001,$B34),SUMIFS(BD!$S$3:$S$5001,BD!$A$3:$A$5001,$B34,BD!$B$3:$B$5001,$D$2)))</f>
        <v>0</v>
      </c>
      <c r="T34" s="32">
        <f>IF($B34="","",IF($B$2="Todos",SUMIFS(BD!$T$3:$T$5001,BD!$A$3:$A$5001,$B34),SUMIFS(BD!$T$3:$T$5001,BD!$A$3:$A$5001,$B34,BD!$B$3:$B$5001,$D$2)))</f>
        <v>0</v>
      </c>
      <c r="U34" s="32">
        <f>IF($B34="","",IF($B$2="Todos",SUMIFS(BD!$U$3:$U$5001,BD!$A$3:$A$5001,$B34),SUMIFS(BD!$U$3:$U$5001,BD!$A$3:$A$5001,$B34,BD!$B$3:$B$5001,$D$2)))</f>
        <v>0</v>
      </c>
      <c r="V34" s="32" t="str">
        <f>IF($B$2="Todos",IF(COUNT($C$159:$V$159)=0,"",SUM($C$159:$V$159)),IFERROR(INDEX($C$159:$V$159,MATCH($D$2,$C$136:$V$136,0)),""))</f>
        <v/>
      </c>
      <c r="W34" s="48" t="str">
        <f>IF(X34="","",IF($B$2="Todos",IF($B$4&gt;0,$B$4,IF($B$2="Todos",IF(COUNT($C$229:$V$229)=0,"",SUM($C$229:$V$229)),IFERROR(INDEX($C$229:$V$229,MATCH($D$2,$C$206:$V$206,0)),""))),IFERROR(INDEX($C$229:$V$229,MATCH($D$2,$C$206:$V$206,0)),"")))</f>
        <v/>
      </c>
      <c r="X34" s="32" t="str">
        <f>IF($B$2="Todos",IF(COUNT($C$194:$V$194)=0,"",SUM($C$194:$V$194)),IFERROR(INDEX($C$194:$V$194,MATCH($D$2,$C$171:$V$171,0)),""))</f>
        <v/>
      </c>
      <c r="Y34" s="49" t="str">
        <f>IF(AND(ISNUMBER(X34),ISNUMBER(W34)),IF(W34&gt;0,X34/W34,""),"")</f>
        <v/>
      </c>
      <c r="Z34" s="32" t="str">
        <f>IF($B$2="Todos",IF(COUNT($C$264:$V$264)=0,"",SUM($C$264:$V$264)),IFERROR(INDEX($C$264:$V$264,MATCH($D$2,$C$241:$V$241,0)),""))</f>
        <v/>
      </c>
      <c r="AA34" s="32">
        <f>IF($B34="","",IF($B$2="Todos",SUMIFS(BD!$Z$3:$Z$5001,BD!$A$3:$A$5001,$B34),SUMIFS(BD!$Z$3:$Z$5001,BD!$A$3:$A$5001,$B34,BD!$B$3:$B$5001,$D$2)))</f>
        <v>0</v>
      </c>
      <c r="AB34" s="32">
        <f>IF($B34="","",IF($B$2="Todos",SUMIFS(BD!$AA$3:$AA$5001,BD!$A$3:$A$5001,$B34),SUMIFS(BD!$AA$3:$AA$5001,BD!$A$3:$A$5001,$B34,BD!$B$3:$B$5001,$D$2)))</f>
        <v>0</v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50">
        <f>$B$5</f>
        <v>0.7</v>
      </c>
      <c r="AI34" s="50">
        <f>$B$6</f>
        <v>0.9</v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47">
        <f>IF($B35="","",IF($B$2="Todos",SUMIFS(BD!$S$3:$S$5001,BD!$A$3:$A$5001,$B35),SUMIFS(BD!$S$3:$S$5001,BD!$A$3:$A$5001,$B35,BD!$B$3:$B$5001,$D$2)))</f>
        <v>0</v>
      </c>
      <c r="T35" s="32">
        <f>IF($B35="","",IF($B$2="Todos",SUMIFS(BD!$T$3:$T$5001,BD!$A$3:$A$5001,$B35),SUMIFS(BD!$T$3:$T$5001,BD!$A$3:$A$5001,$B35,BD!$B$3:$B$5001,$D$2)))</f>
        <v>0</v>
      </c>
      <c r="U35" s="32">
        <f>IF($B35="","",IF($B$2="Todos",SUMIFS(BD!$U$3:$U$5001,BD!$A$3:$A$5001,$B35),SUMIFS(BD!$U$3:$U$5001,BD!$A$3:$A$5001,$B35,BD!$B$3:$B$5001,$D$2)))</f>
        <v>0</v>
      </c>
      <c r="V35" s="32" t="str">
        <f>IF($B$2="Todos",IF(COUNT($C$160:$V$160)=0,"",SUM($C$160:$V$160)),IFERROR(INDEX($C$160:$V$160,MATCH($D$2,$C$136:$V$136,0)),""))</f>
        <v/>
      </c>
      <c r="W35" s="48" t="str">
        <f>IF(X35="","",IF($B$2="Todos",IF($B$4&gt;0,$B$4,IF($B$2="Todos",IF(COUNT($C$230:$V$230)=0,"",SUM($C$230:$V$230)),IFERROR(INDEX($C$230:$V$230,MATCH($D$2,$C$206:$V$206,0)),""))),IFERROR(INDEX($C$230:$V$230,MATCH($D$2,$C$206:$V$206,0)),"")))</f>
        <v/>
      </c>
      <c r="X35" s="32" t="str">
        <f>IF($B$2="Todos",IF(COUNT($C$195:$V$195)=0,"",SUM($C$195:$V$195)),IFERROR(INDEX($C$195:$V$195,MATCH($D$2,$C$171:$V$171,0)),""))</f>
        <v/>
      </c>
      <c r="Y35" s="49" t="str">
        <f>IF(AND(ISNUMBER(X35),ISNUMBER(W35)),IF(W35&gt;0,X35/W35,""),"")</f>
        <v/>
      </c>
      <c r="Z35" s="32" t="str">
        <f>IF($B$2="Todos",IF(COUNT($C$265:$V$265)=0,"",SUM($C$265:$V$265)),IFERROR(INDEX($C$265:$V$265,MATCH($D$2,$C$241:$V$241,0)),""))</f>
        <v/>
      </c>
      <c r="AA35" s="32">
        <f>IF($B35="","",IF($B$2="Todos",SUMIFS(BD!$Z$3:$Z$5001,BD!$A$3:$A$5001,$B35),SUMIFS(BD!$Z$3:$Z$5001,BD!$A$3:$A$5001,$B35,BD!$B$3:$B$5001,$D$2)))</f>
        <v>0</v>
      </c>
      <c r="AB35" s="32">
        <f>IF($B35="","",IF($B$2="Todos",SUMIFS(BD!$AA$3:$AA$5001,BD!$A$3:$A$5001,$B35),SUMIFS(BD!$AA$3:$AA$5001,BD!$A$3:$A$5001,$B35,BD!$B$3:$B$5001,$D$2)))</f>
        <v>0</v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50">
        <f>$B$5</f>
        <v>0.7</v>
      </c>
      <c r="AI35" s="50">
        <f>$B$6</f>
        <v>0.9</v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47">
        <f>IF($B36="","",IF($B$2="Todos",SUMIFS(BD!$S$3:$S$5001,BD!$A$3:$A$5001,$B36),SUMIFS(BD!$S$3:$S$5001,BD!$A$3:$A$5001,$B36,BD!$B$3:$B$5001,$D$2)))</f>
        <v>0</v>
      </c>
      <c r="T36" s="32">
        <f>IF($B36="","",IF($B$2="Todos",SUMIFS(BD!$T$3:$T$5001,BD!$A$3:$A$5001,$B36),SUMIFS(BD!$T$3:$T$5001,BD!$A$3:$A$5001,$B36,BD!$B$3:$B$5001,$D$2)))</f>
        <v>0</v>
      </c>
      <c r="U36" s="32">
        <f>IF($B36="","",IF($B$2="Todos",SUMIFS(BD!$U$3:$U$5001,BD!$A$3:$A$5001,$B36),SUMIFS(BD!$U$3:$U$5001,BD!$A$3:$A$5001,$B36,BD!$B$3:$B$5001,$D$2)))</f>
        <v>0</v>
      </c>
      <c r="V36" s="32" t="str">
        <f>IF($B$2="Todos",IF(COUNT($C$161:$V$161)=0,"",SUM($C$161:$V$161)),IFERROR(INDEX($C$161:$V$161,MATCH($D$2,$C$136:$V$136,0)),""))</f>
        <v/>
      </c>
      <c r="W36" s="48" t="str">
        <f>IF(X36="","",IF($B$2="Todos",IF($B$4&gt;0,$B$4,IF($B$2="Todos",IF(COUNT($C$231:$V$231)=0,"",SUM($C$231:$V$231)),IFERROR(INDEX($C$231:$V$231,MATCH($D$2,$C$206:$V$206,0)),""))),IFERROR(INDEX($C$231:$V$231,MATCH($D$2,$C$206:$V$206,0)),"")))</f>
        <v/>
      </c>
      <c r="X36" s="32" t="str">
        <f>IF($B$2="Todos",IF(COUNT($C$196:$V$196)=0,"",SUM($C$196:$V$196)),IFERROR(INDEX($C$196:$V$196,MATCH($D$2,$C$171:$V$171,0)),""))</f>
        <v/>
      </c>
      <c r="Y36" s="49" t="str">
        <f>IF(AND(ISNUMBER(X36),ISNUMBER(W36)),IF(W36&gt;0,X36/W36,""),"")</f>
        <v/>
      </c>
      <c r="Z36" s="32" t="str">
        <f>IF($B$2="Todos",IF(COUNT($C$266:$V$266)=0,"",SUM($C$266:$V$266)),IFERROR(INDEX($C$266:$V$266,MATCH($D$2,$C$241:$V$241,0)),""))</f>
        <v/>
      </c>
      <c r="AA36" s="32">
        <f>IF($B36="","",IF($B$2="Todos",SUMIFS(BD!$Z$3:$Z$5001,BD!$A$3:$A$5001,$B36),SUMIFS(BD!$Z$3:$Z$5001,BD!$A$3:$A$5001,$B36,BD!$B$3:$B$5001,$D$2)))</f>
        <v>0</v>
      </c>
      <c r="AB36" s="32">
        <f>IF($B36="","",IF($B$2="Todos",SUMIFS(BD!$AA$3:$AA$5001,BD!$A$3:$A$5001,$B36),SUMIFS(BD!$AA$3:$AA$5001,BD!$A$3:$A$5001,$B36,BD!$B$3:$B$5001,$D$2)))</f>
        <v>0</v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50">
        <f>$B$5</f>
        <v>0.7</v>
      </c>
      <c r="AI36" s="50">
        <f>$B$6</f>
        <v>0.9</v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47">
        <f>IF($B37="","",IF($B$2="Todos",SUMIFS(BD!$S$3:$S$5001,BD!$A$3:$A$5001,$B37),SUMIFS(BD!$S$3:$S$5001,BD!$A$3:$A$5001,$B37,BD!$B$3:$B$5001,$D$2)))</f>
        <v>0</v>
      </c>
      <c r="T37" s="32">
        <f>IF($B37="","",IF($B$2="Todos",SUMIFS(BD!$T$3:$T$5001,BD!$A$3:$A$5001,$B37),SUMIFS(BD!$T$3:$T$5001,BD!$A$3:$A$5001,$B37,BD!$B$3:$B$5001,$D$2)))</f>
        <v>0</v>
      </c>
      <c r="U37" s="32">
        <f>IF($B37="","",IF($B$2="Todos",SUMIFS(BD!$U$3:$U$5001,BD!$A$3:$A$5001,$B37),SUMIFS(BD!$U$3:$U$5001,BD!$A$3:$A$5001,$B37,BD!$B$3:$B$5001,$D$2)))</f>
        <v>0</v>
      </c>
      <c r="V37" s="32" t="str">
        <f>IF($B$2="Todos",IF(COUNT($C$162:$V$162)=0,"",SUM($C$162:$V$162)),IFERROR(INDEX($C$162:$V$162,MATCH($D$2,$C$136:$V$136,0)),""))</f>
        <v/>
      </c>
      <c r="W37" s="48" t="str">
        <f>IF(X37="","",IF($B$2="Todos",IF($B$4&gt;0,$B$4,IF($B$2="Todos",IF(COUNT($C$232:$V$232)=0,"",SUM($C$232:$V$232)),IFERROR(INDEX($C$232:$V$232,MATCH($D$2,$C$206:$V$206,0)),""))),IFERROR(INDEX($C$232:$V$232,MATCH($D$2,$C$206:$V$206,0)),"")))</f>
        <v/>
      </c>
      <c r="X37" s="32" t="str">
        <f>IF($B$2="Todos",IF(COUNT($C$197:$V$197)=0,"",SUM($C$197:$V$197)),IFERROR(INDEX($C$197:$V$197,MATCH($D$2,$C$171:$V$171,0)),""))</f>
        <v/>
      </c>
      <c r="Y37" s="49" t="str">
        <f>IF(AND(ISNUMBER(X37),ISNUMBER(W37)),IF(W37&gt;0,X37/W37,""),"")</f>
        <v/>
      </c>
      <c r="Z37" s="32" t="str">
        <f>IF($B$2="Todos",IF(COUNT($C$267:$V$267)=0,"",SUM($C$267:$V$267)),IFERROR(INDEX($C$267:$V$267,MATCH($D$2,$C$241:$V$241,0)),""))</f>
        <v/>
      </c>
      <c r="AA37" s="32">
        <f>IF($B37="","",IF($B$2="Todos",SUMIFS(BD!$Z$3:$Z$5001,BD!$A$3:$A$5001,$B37),SUMIFS(BD!$Z$3:$Z$5001,BD!$A$3:$A$5001,$B37,BD!$B$3:$B$5001,$D$2)))</f>
        <v>0</v>
      </c>
      <c r="AB37" s="32">
        <f>IF($B37="","",IF($B$2="Todos",SUMIFS(BD!$AA$3:$AA$5001,BD!$A$3:$A$5001,$B37),SUMIFS(BD!$AA$3:$AA$5001,BD!$A$3:$A$5001,$B37,BD!$B$3:$B$5001,$D$2)))</f>
        <v>0</v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50">
        <f>$B$5</f>
        <v>0.7</v>
      </c>
      <c r="AI37" s="50">
        <f>$B$6</f>
        <v>0.9</v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47">
        <f>IF($B38="","",IF($B$2="Todos",SUMIFS(BD!$S$3:$S$5001,BD!$A$3:$A$5001,$B38),SUMIFS(BD!$S$3:$S$5001,BD!$A$3:$A$5001,$B38,BD!$B$3:$B$5001,$D$2)))</f>
        <v>0</v>
      </c>
      <c r="T38" s="32">
        <f>IF($B38="","",IF($B$2="Todos",SUMIFS(BD!$T$3:$T$5001,BD!$A$3:$A$5001,$B38),SUMIFS(BD!$T$3:$T$5001,BD!$A$3:$A$5001,$B38,BD!$B$3:$B$5001,$D$2)))</f>
        <v>0</v>
      </c>
      <c r="U38" s="32">
        <f>IF($B38="","",IF($B$2="Todos",SUMIFS(BD!$U$3:$U$5001,BD!$A$3:$A$5001,$B38),SUMIFS(BD!$U$3:$U$5001,BD!$A$3:$A$5001,$B38,BD!$B$3:$B$5001,$D$2)))</f>
        <v>0</v>
      </c>
      <c r="V38" s="32" t="str">
        <f>IF($B$2="Todos",IF(COUNT($C$163:$V$163)=0,"",SUM($C$163:$V$163)),IFERROR(INDEX($C$163:$V$163,MATCH($D$2,$C$136:$V$136,0)),""))</f>
        <v/>
      </c>
      <c r="W38" s="48" t="str">
        <f>IF(X38="","",IF($B$2="Todos",IF($B$4&gt;0,$B$4,IF($B$2="Todos",IF(COUNT($C$233:$V$233)=0,"",SUM($C$233:$V$233)),IFERROR(INDEX($C$233:$V$233,MATCH($D$2,$C$206:$V$206,0)),""))),IFERROR(INDEX($C$233:$V$233,MATCH($D$2,$C$206:$V$206,0)),"")))</f>
        <v/>
      </c>
      <c r="X38" s="32" t="str">
        <f>IF($B$2="Todos",IF(COUNT($C$198:$V$198)=0,"",SUM($C$198:$V$198)),IFERROR(INDEX($C$198:$V$198,MATCH($D$2,$C$171:$V$171,0)),""))</f>
        <v/>
      </c>
      <c r="Y38" s="49" t="str">
        <f>IF(AND(ISNUMBER(X38),ISNUMBER(W38)),IF(W38&gt;0,X38/W38,""),"")</f>
        <v/>
      </c>
      <c r="Z38" s="32" t="str">
        <f>IF($B$2="Todos",IF(COUNT($C$268:$V$268)=0,"",SUM($C$268:$V$268)),IFERROR(INDEX($C$268:$V$268,MATCH($D$2,$C$241:$V$241,0)),""))</f>
        <v/>
      </c>
      <c r="AA38" s="32">
        <f>IF($B38="","",IF($B$2="Todos",SUMIFS(BD!$Z$3:$Z$5001,BD!$A$3:$A$5001,$B38),SUMIFS(BD!$Z$3:$Z$5001,BD!$A$3:$A$5001,$B38,BD!$B$3:$B$5001,$D$2)))</f>
        <v>0</v>
      </c>
      <c r="AB38" s="32">
        <f>IF($B38="","",IF($B$2="Todos",SUMIFS(BD!$AA$3:$AA$5001,BD!$A$3:$A$5001,$B38),SUMIFS(BD!$AA$3:$AA$5001,BD!$A$3:$A$5001,$B38,BD!$B$3:$B$5001,$D$2)))</f>
        <v>0</v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50">
        <f>$B$5</f>
        <v>0.7</v>
      </c>
      <c r="AI38" s="50">
        <f>$B$6</f>
        <v>0.9</v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47">
        <f>IF($B39="","",IF($B$2="Todos",SUMIFS(BD!$S$3:$S$5001,BD!$A$3:$A$5001,$B39),SUMIFS(BD!$S$3:$S$5001,BD!$A$3:$A$5001,$B39,BD!$B$3:$B$5001,$D$2)))</f>
        <v>0</v>
      </c>
      <c r="T39" s="32">
        <f>IF($B39="","",IF($B$2="Todos",SUMIFS(BD!$T$3:$T$5001,BD!$A$3:$A$5001,$B39),SUMIFS(BD!$T$3:$T$5001,BD!$A$3:$A$5001,$B39,BD!$B$3:$B$5001,$D$2)))</f>
        <v>0</v>
      </c>
      <c r="U39" s="32">
        <f>IF($B39="","",IF($B$2="Todos",SUMIFS(BD!$U$3:$U$5001,BD!$A$3:$A$5001,$B39),SUMIFS(BD!$U$3:$U$5001,BD!$A$3:$A$5001,$B39,BD!$B$3:$B$5001,$D$2)))</f>
        <v>0</v>
      </c>
      <c r="V39" s="32" t="str">
        <f>IF($B$2="Todos",IF(COUNT($C$164:$V$164)=0,"",SUM($C$164:$V$164)),IFERROR(INDEX($C$164:$V$164,MATCH($D$2,$C$136:$V$136,0)),""))</f>
        <v/>
      </c>
      <c r="W39" s="48" t="str">
        <f>IF(X39="","",IF($B$2="Todos",IF($B$4&gt;0,$B$4,IF($B$2="Todos",IF(COUNT($C$234:$V$234)=0,"",SUM($C$234:$V$234)),IFERROR(INDEX($C$234:$V$234,MATCH($D$2,$C$206:$V$206,0)),""))),IFERROR(INDEX($C$234:$V$234,MATCH($D$2,$C$206:$V$206,0)),"")))</f>
        <v/>
      </c>
      <c r="X39" s="32" t="str">
        <f>IF($B$2="Todos",IF(COUNT($C$199:$V$199)=0,"",SUM($C$199:$V$199)),IFERROR(INDEX($C$199:$V$199,MATCH($D$2,$C$171:$V$171,0)),""))</f>
        <v/>
      </c>
      <c r="Y39" s="49" t="str">
        <f>IF(AND(ISNUMBER(X39),ISNUMBER(W39)),IF(W39&gt;0,X39/W39,""),"")</f>
        <v/>
      </c>
      <c r="Z39" s="32" t="str">
        <f>IF($B$2="Todos",IF(COUNT($C$269:$V$269)=0,"",SUM($C$269:$V$269)),IFERROR(INDEX($C$269:$V$269,MATCH($D$2,$C$241:$V$241,0)),""))</f>
        <v/>
      </c>
      <c r="AA39" s="32">
        <f>IF($B39="","",IF($B$2="Todos",SUMIFS(BD!$Z$3:$Z$5001,BD!$A$3:$A$5001,$B39),SUMIFS(BD!$Z$3:$Z$5001,BD!$A$3:$A$5001,$B39,BD!$B$3:$B$5001,$D$2)))</f>
        <v>0</v>
      </c>
      <c r="AB39" s="32">
        <f>IF($B39="","",IF($B$2="Todos",SUMIFS(BD!$AA$3:$AA$5001,BD!$A$3:$A$5001,$B39),SUMIFS(BD!$AA$3:$AA$5001,BD!$A$3:$A$5001,$B39,BD!$B$3:$B$5001,$D$2)))</f>
        <v>0</v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50">
        <f>$B$5</f>
        <v>0.7</v>
      </c>
      <c r="AI39" s="50">
        <f>$B$6</f>
        <v>0.9</v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47">
        <f>IF($B40="","",IF($B$2="Todos",SUMIFS(BD!$S$3:$S$5001,BD!$A$3:$A$5001,$B40),SUMIFS(BD!$S$3:$S$5001,BD!$A$3:$A$5001,$B40,BD!$B$3:$B$5001,$D$2)))</f>
        <v>0</v>
      </c>
      <c r="T40" s="32">
        <f>IF($B40="","",IF($B$2="Todos",SUMIFS(BD!$T$3:$T$5001,BD!$A$3:$A$5001,$B40),SUMIFS(BD!$T$3:$T$5001,BD!$A$3:$A$5001,$B40,BD!$B$3:$B$5001,$D$2)))</f>
        <v>0</v>
      </c>
      <c r="U40" s="32">
        <f>IF($B40="","",IF($B$2="Todos",SUMIFS(BD!$U$3:$U$5001,BD!$A$3:$A$5001,$B40),SUMIFS(BD!$U$3:$U$5001,BD!$A$3:$A$5001,$B40,BD!$B$3:$B$5001,$D$2)))</f>
        <v>0</v>
      </c>
      <c r="V40" s="32" t="str">
        <f>IF($B$2="Todos",IF(COUNT($C$165:$V$165)=0,"",SUM($C$165:$V$165)),IFERROR(INDEX($C$165:$V$165,MATCH($D$2,$C$136:$V$136,0)),""))</f>
        <v/>
      </c>
      <c r="W40" s="48" t="str">
        <f>IF(X40="","",IF($B$2="Todos",IF($B$4&gt;0,$B$4,IF($B$2="Todos",IF(COUNT($C$235:$V$235)=0,"",SUM($C$235:$V$235)),IFERROR(INDEX($C$235:$V$235,MATCH($D$2,$C$206:$V$206,0)),""))),IFERROR(INDEX($C$235:$V$235,MATCH($D$2,$C$206:$V$206,0)),"")))</f>
        <v/>
      </c>
      <c r="X40" s="32" t="str">
        <f>IF($B$2="Todos",IF(COUNT($C$200:$V$200)=0,"",SUM($C$200:$V$200)),IFERROR(INDEX($C$200:$V$200,MATCH($D$2,$C$171:$V$171,0)),""))</f>
        <v/>
      </c>
      <c r="Y40" s="49" t="str">
        <f>IF(AND(ISNUMBER(X40),ISNUMBER(W40)),IF(W40&gt;0,X40/W40,""),"")</f>
        <v/>
      </c>
      <c r="Z40" s="32" t="str">
        <f>IF($B$2="Todos",IF(COUNT($C$270:$V$270)=0,"",SUM($C$270:$V$270)),IFERROR(INDEX($C$270:$V$270,MATCH($D$2,$C$241:$V$241,0)),""))</f>
        <v/>
      </c>
      <c r="AA40" s="32">
        <f>IF($B40="","",IF($B$2="Todos",SUMIFS(BD!$Z$3:$Z$5001,BD!$A$3:$A$5001,$B40),SUMIFS(BD!$Z$3:$Z$5001,BD!$A$3:$A$5001,$B40,BD!$B$3:$B$5001,$D$2)))</f>
        <v>0</v>
      </c>
      <c r="AB40" s="32">
        <f>IF($B40="","",IF($B$2="Todos",SUMIFS(BD!$AA$3:$AA$5001,BD!$A$3:$A$5001,$B40),SUMIFS(BD!$AA$3:$AA$5001,BD!$A$3:$A$5001,$B40,BD!$B$3:$B$5001,$D$2)))</f>
        <v>0</v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50">
        <f>$B$5</f>
        <v>0.7</v>
      </c>
      <c r="AI40" s="50">
        <f>$B$6</f>
        <v>0.9</v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47">
        <f>IF($B41="","",IF($B$2="Todos",SUMIFS(BD!$S$3:$S$5001,BD!$A$3:$A$5001,$B41),SUMIFS(BD!$S$3:$S$5001,BD!$A$3:$A$5001,$B41,BD!$B$3:$B$5001,$D$2)))</f>
        <v>0</v>
      </c>
      <c r="T41" s="32">
        <f>IF($B41="","",IF($B$2="Todos",SUMIFS(BD!$T$3:$T$5001,BD!$A$3:$A$5001,$B41),SUMIFS(BD!$T$3:$T$5001,BD!$A$3:$A$5001,$B41,BD!$B$3:$B$5001,$D$2)))</f>
        <v>0</v>
      </c>
      <c r="U41" s="32">
        <f>IF($B41="","",IF($B$2="Todos",SUMIFS(BD!$U$3:$U$5001,BD!$A$3:$A$5001,$B41),SUMIFS(BD!$U$3:$U$5001,BD!$A$3:$A$5001,$B41,BD!$B$3:$B$5001,$D$2)))</f>
        <v>0</v>
      </c>
      <c r="V41" s="32" t="str">
        <f>IF($B$2="Todos",IF(COUNT($C$166:$V$166)=0,"",SUM($C$166:$V$166)),IFERROR(INDEX($C$166:$V$166,MATCH($D$2,$C$136:$V$136,0)),""))</f>
        <v/>
      </c>
      <c r="W41" s="48" t="str">
        <f>IF(X41="","",IF($B$2="Todos",IF($B$4&gt;0,$B$4,IF($B$2="Todos",IF(COUNT($C$236:$V$236)=0,"",SUM($C$236:$V$236)),IFERROR(INDEX($C$236:$V$236,MATCH($D$2,$C$206:$V$206,0)),""))),IFERROR(INDEX($C$236:$V$236,MATCH($D$2,$C$206:$V$206,0)),"")))</f>
        <v/>
      </c>
      <c r="X41" s="32" t="str">
        <f>IF($B$2="Todos",IF(COUNT($C$201:$V$201)=0,"",SUM($C$201:$V$201)),IFERROR(INDEX($C$201:$V$201,MATCH($D$2,$C$171:$V$171,0)),""))</f>
        <v/>
      </c>
      <c r="Y41" s="49" t="str">
        <f>IF(AND(ISNUMBER(X41),ISNUMBER(W41)),IF(W41&gt;0,X41/W41,""),"")</f>
        <v/>
      </c>
      <c r="Z41" s="32" t="str">
        <f>IF($B$2="Todos",IF(COUNT($C$271:$V$271)=0,"",SUM($C$271:$V$271)),IFERROR(INDEX($C$271:$V$271,MATCH($D$2,$C$241:$V$241,0)),""))</f>
        <v/>
      </c>
      <c r="AA41" s="32">
        <f>IF($B41="","",IF($B$2="Todos",SUMIFS(BD!$Z$3:$Z$5001,BD!$A$3:$A$5001,$B41),SUMIFS(BD!$Z$3:$Z$5001,BD!$A$3:$A$5001,$B41,BD!$B$3:$B$5001,$D$2)))</f>
        <v>0</v>
      </c>
      <c r="AB41" s="32">
        <f>IF($B41="","",IF($B$2="Todos",SUMIFS(BD!$AA$3:$AA$5001,BD!$A$3:$A$5001,$B41),SUMIFS(BD!$AA$3:$AA$5001,BD!$A$3:$A$5001,$B41,BD!$B$3:$B$5001,$D$2)))</f>
        <v>0</v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50">
        <f>$B$5</f>
        <v>0.7</v>
      </c>
      <c r="AI41" s="50">
        <f>$B$6</f>
        <v>0.9</v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47">
        <f>IF($B42="","",IF($B$2="Todos",SUMIFS(BD!$S$3:$S$5001,BD!$A$3:$A$5001,$B42),SUMIFS(BD!$S$3:$S$5001,BD!$A$3:$A$5001,$B42,BD!$B$3:$B$5001,$D$2)))</f>
        <v>0</v>
      </c>
      <c r="T42" s="32">
        <f>IF($B42="","",IF($B$2="Todos",SUMIFS(BD!$T$3:$T$5001,BD!$A$3:$A$5001,$B42),SUMIFS(BD!$T$3:$T$5001,BD!$A$3:$A$5001,$B42,BD!$B$3:$B$5001,$D$2)))</f>
        <v>0</v>
      </c>
      <c r="U42" s="32">
        <f>IF($B42="","",IF($B$2="Todos",SUMIFS(BD!$U$3:$U$5001,BD!$A$3:$A$5001,$B42),SUMIFS(BD!$U$3:$U$5001,BD!$A$3:$A$5001,$B42,BD!$B$3:$B$5001,$D$2)))</f>
        <v>0</v>
      </c>
      <c r="V42" s="32" t="str">
        <f>IF($B$2="Todos",IF(COUNT($C$167:$V$167)=0,"",SUM($C$167:$V$167)),IFERROR(INDEX($C$167:$V$167,MATCH($D$2,$C$136:$V$136,0)),""))</f>
        <v/>
      </c>
      <c r="W42" s="48" t="str">
        <f>IF(X42="","",IF($B$2="Todos",IF($B$4&gt;0,$B$4,IF($B$2="Todos",IF(COUNT($C$237:$V$237)=0,"",SUM($C$237:$V$237)),IFERROR(INDEX($C$237:$V$237,MATCH($D$2,$C$206:$V$206,0)),""))),IFERROR(INDEX($C$237:$V$237,MATCH($D$2,$C$206:$V$206,0)),"")))</f>
        <v/>
      </c>
      <c r="X42" s="32" t="str">
        <f>IF($B$2="Todos",IF(COUNT($C$202:$V$202)=0,"",SUM($C$202:$V$202)),IFERROR(INDEX($C$202:$V$202,MATCH($D$2,$C$171:$V$171,0)),""))</f>
        <v/>
      </c>
      <c r="Y42" s="49" t="str">
        <f>IF(AND(ISNUMBER(X42),ISNUMBER(W42)),IF(W42&gt;0,X42/W42,""),"")</f>
        <v/>
      </c>
      <c r="Z42" s="32" t="str">
        <f>IF($B$2="Todos",IF(COUNT($C$272:$V$272)=0,"",SUM($C$272:$V$272)),IFERROR(INDEX($C$272:$V$272,MATCH($D$2,$C$241:$V$241,0)),""))</f>
        <v/>
      </c>
      <c r="AA42" s="32">
        <f>IF($B42="","",IF($B$2="Todos",SUMIFS(BD!$Z$3:$Z$5001,BD!$A$3:$A$5001,$B42),SUMIFS(BD!$Z$3:$Z$5001,BD!$A$3:$A$5001,$B42,BD!$B$3:$B$5001,$D$2)))</f>
        <v>0</v>
      </c>
      <c r="AB42" s="32">
        <f>IF($B42="","",IF($B$2="Todos",SUMIFS(BD!$AA$3:$AA$5001,BD!$A$3:$A$5001,$B42),SUMIFS(BD!$AA$3:$AA$5001,BD!$A$3:$A$5001,$B42,BD!$B$3:$B$5001,$D$2)))</f>
        <v>0</v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50">
        <f>$B$5</f>
        <v>0.7</v>
      </c>
      <c r="AI42" s="50">
        <f>$B$6</f>
        <v>0.9</v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3">
        <f>SUM(H12:H42)</f>
        <v>0</v>
      </c>
      <c r="I43" s="53">
        <f>SUM(I12:I42)</f>
        <v>0</v>
      </c>
      <c r="J43" s="53">
        <f>SUM(J12:J42)</f>
        <v>0</v>
      </c>
      <c r="K43" s="53">
        <f>SUM(K12:K42)</f>
        <v>0</v>
      </c>
      <c r="L43" s="53">
        <f>SUM(L12:L42)</f>
        <v>0</v>
      </c>
      <c r="M43" s="53">
        <f>SUM(M12:M42)</f>
        <v>0</v>
      </c>
      <c r="N43" s="53">
        <f>SUM(N12:N42)</f>
        <v>0</v>
      </c>
      <c r="O43" s="53">
        <f>SUM(O12:O42)</f>
        <v>0</v>
      </c>
      <c r="P43" s="53">
        <f>SUM(P12:P42)</f>
        <v>0</v>
      </c>
      <c r="Q43" s="53">
        <f>SUM(Q12:Q42)</f>
        <v>0</v>
      </c>
      <c r="R43" s="53">
        <f>SUM(R12:R42)</f>
        <v>0</v>
      </c>
      <c r="S43" s="59">
        <f>SUM(S12:S42)</f>
        <v>0</v>
      </c>
      <c r="T43" s="53">
        <f>SUM(T12:T42)</f>
        <v>0</v>
      </c>
      <c r="U43" s="53">
        <f>SUM(U12:U42)</f>
        <v>0</v>
      </c>
      <c r="V43" s="53" t="str">
        <f>IFERROR(LOOKUP(9.99E+307,V12:V42),"")</f>
        <v/>
      </c>
      <c r="W43" s="53" t="str">
        <f>IFERROR(LOOKUP(9.99E+307,W12:W42),"")</f>
        <v/>
      </c>
      <c r="X43" s="53" t="str">
        <f>IFERROR(LOOKUP(9.99E+307,X12:X42),"")</f>
        <v/>
      </c>
      <c r="Y43" s="60" t="str">
        <f>IFERROR(LOOKUP(9.99E+307,Y12:Y42),"")</f>
        <v/>
      </c>
      <c r="Z43" s="53" t="str">
        <f>IFERROR(LOOKUP(9.99E+307,Z12:Z42),"")</f>
        <v/>
      </c>
      <c r="AA43" s="53">
        <f>SUM(AA12:AA42)</f>
        <v>0</v>
      </c>
      <c r="AB43" s="53">
        <f>SUM(AB12:AB42)</f>
        <v>0</v>
      </c>
      <c r="AC43" s="53">
        <f>SUM(AC12:AC42)</f>
        <v>0</v>
      </c>
      <c r="AD43" s="53">
        <f>SUM(AD12:AD42)</f>
        <v>0</v>
      </c>
      <c r="AE43" s="53">
        <f>SUM(AE12:AE42)</f>
        <v>0</v>
      </c>
      <c r="AF43" s="53">
        <f>SUM(AF12:AF42)</f>
        <v>0</v>
      </c>
      <c r="AG43" s="53">
        <f>SUM(AG12:AG42)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IFERROR(AVERAGEIF(K12:K42,"&gt;0"),"")</f>
        <v/>
      </c>
      <c r="L44" s="54" t="str">
        <f>IFERROR(AVERAGEIF(L12:L42,"&gt;0"),"")</f>
        <v/>
      </c>
      <c r="M44" s="54" t="str">
        <f>IFERROR(AVERAGEIF(M12:M42,"&gt;0"),"")</f>
        <v/>
      </c>
      <c r="N44" s="54" t="str">
        <f>IFERROR(AVERAGEIF(N12:N42,"&gt;0"),"")</f>
        <v/>
      </c>
      <c r="O44" s="54" t="str">
        <f>IFERROR(AVERAGEIF(O12:O42,"&gt;0"),"")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IFERROR(AVERAGE(V12:V42),"")</f>
        <v/>
      </c>
      <c r="W44" s="54" t="str">
        <f>IFERROR(AVERAGE(W12:W42),"")</f>
        <v/>
      </c>
      <c r="X44" s="54" t="str">
        <f>IFERROR(AVERAGE(X12:X42),"")</f>
        <v/>
      </c>
      <c r="Y44" s="56" t="str">
        <f>IFERROR(AVERAGE(Y12:Y42),"")</f>
        <v/>
      </c>
      <c r="Z44" s="54" t="str">
        <f>IFERROR(AVERAGE(Z12:Z42),"")</f>
        <v/>
      </c>
      <c r="AA44" s="54" t="str">
        <f>IFERROR(AVERAGEIF(AA12:AA42,"&gt;0"),"")</f>
        <v/>
      </c>
      <c r="AB44" s="54" t="str">
        <f>IFERROR(AVERAGEIF(AB12:AB42,"&gt;0"),"")</f>
        <v/>
      </c>
      <c r="AC44" s="54" t="str">
        <f>IFERROR(AVERAGEIF(AC12:AC42,"&gt;0"),"")</f>
        <v/>
      </c>
      <c r="AD44" s="54" t="str">
        <f>IFERROR(AVERAGEIF(AD12:AD42,"&gt;0"),"")</f>
        <v/>
      </c>
      <c r="AE44" s="54" t="str">
        <f>IFERROR(AVERAGEIF(AE12:AE42,"&gt;0"),"")</f>
        <v/>
      </c>
      <c r="AF44" s="54" t="str">
        <f>IFERROR(AVERAGEIF(AF12:AF42,"&gt;0"),"")</f>
        <v/>
      </c>
      <c r="AG44" s="54" t="str">
        <f>IFERROR(AVERAGEIF(AG12:AG42,"&gt;0"),"")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5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>
        <f>IF(COUNT(K12:K42)=0,"",MAX(K12:K42))</f>
        <v>0</v>
      </c>
      <c r="L45" s="55">
        <f>IF(COUNT(L12:L42)=0,"",MAX(L12:L42))</f>
        <v>0</v>
      </c>
      <c r="M45" s="55">
        <f>IF(COUNT(M12:M42)=0,"",MAX(M12:M42))</f>
        <v>0</v>
      </c>
      <c r="N45" s="55">
        <f>IF(COUNT(N12:N42)=0,"",MAX(N12:N42))</f>
        <v>0</v>
      </c>
      <c r="O45" s="55">
        <f>IF(COUNT(O12:O42)=0,"",MAX(O12:O42))</f>
        <v>0</v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4">
        <f>IF(COUNT(S12:S42)=0,"",MAX(S12:S42))</f>
        <v>0</v>
      </c>
      <c r="T45" s="55">
        <f>IF(COUNT(T12:T42)=0,"",MAX(T12:T42))</f>
        <v>0</v>
      </c>
      <c r="U45" s="55">
        <f>IF(COUNT(U12:U42)=0,"",MAX(U12:U42))</f>
        <v>0</v>
      </c>
      <c r="V45" s="55" t="str">
        <f>IF(COUNT(V12:V42)=0,"",MAX(V12:V42))</f>
        <v/>
      </c>
      <c r="W45" s="55" t="str">
        <f>IF(COUNT(W12:W42)=0,"",MAX(W12:W42))</f>
        <v/>
      </c>
      <c r="X45" s="55" t="str">
        <f>IF(COUNT(X12:X42)=0,"",MAX(X12:X42))</f>
        <v/>
      </c>
      <c r="Y45" s="56" t="str">
        <f>IF(COUNT(Y12:Y42)=0,"",MAX(Y12:Y42))</f>
        <v/>
      </c>
      <c r="Z45" s="55" t="str">
        <f>IF(COUNT(Z12:Z42)=0,"",MAX(Z12:Z42))</f>
        <v/>
      </c>
      <c r="AA45" s="55">
        <f>IF(COUNT(AA12:AA42)=0,"",MAX(AA12:AA42))</f>
        <v>0</v>
      </c>
      <c r="AB45" s="55">
        <f>IF(COUNT(AB12:AB42)=0,"",MAX(AB12:AB42))</f>
        <v>0</v>
      </c>
      <c r="AC45" s="55">
        <f>IF(COUNT(AC12:AC42)=0,"",MAX(AC12:AC42))</f>
        <v>0</v>
      </c>
      <c r="AD45" s="55">
        <f>IF(COUNT(AD12:AD42)=0,"",MAX(AD12:AD42))</f>
        <v>0</v>
      </c>
      <c r="AE45" s="55">
        <f>IF(COUNT(AE12:AE42)=0,"",MAX(AE12:AE42))</f>
        <v>0</v>
      </c>
      <c r="AF45" s="55">
        <f>IF(COUNT(AF12:AF42)=0,"",MAX(AF12:AF42))</f>
        <v>0</v>
      </c>
      <c r="AG45" s="55">
        <f>IF(COUNT(AG12:AG42)=0,"",MAX(AG12:AG42))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5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5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5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5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5" t="str">
        <f>IF($B$9=0,"",IF($B$2="Todos",IF(COUNT($C$168:$V$168)=0,"",SUM($C$168:$V$168)),IFERROR(INDEX($C$168:$V$168,MATCH($D$2,$C$136:$V$136,0)),"")))</f>
        <v/>
      </c>
      <c r="W46" s="55" t="str">
        <f>IF(X46="","",IF($B$2="Todos",IF($B$4&gt;0,$B$4,IF($B$2="Todos",IF(COUNT($C$238:$V$238)=0,"",SUM($C$238:$V$238)),IFERROR(INDEX($C$238:$V$238,MATCH($D$2,$C$206:$V$206,0)),""))),IFERROR(INDEX($C$238:$V$238,MATCH($D$2,$C$206:$V$206,0)),"")))</f>
        <v/>
      </c>
      <c r="X46" s="55" t="str">
        <f>IF($B$9=0,"",IF($B$2="Todos",IF(COUNT($C$203:$V$203)=0,"",SUM($C$203:$V$203)),IFERROR(INDEX($C$203:$V$203,MATCH($D$2,$C$171:$V$171,0)),"")))</f>
        <v/>
      </c>
      <c r="Y46" s="56" t="str">
        <f>IF(AND(ISNUMBER(X46),ISNUMBER(W46)),IF(W46&gt;0,X46/W46,""),"")</f>
        <v/>
      </c>
      <c r="Z46" s="55" t="str">
        <f>IF($B$9=0,"",IF($B$2="Todos",IF(COUNT($C$273:$V$273)=0,"",SUM($C$273:$V$273)),IFERROR(INDEX($C$273:$V$273,MATCH($D$2,$C$241:$V$241,0)),"")))</f>
        <v/>
      </c>
      <c r="AA46" s="55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55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5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5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5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5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5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  <c r="W47" s="56" t="str">
        <f>IF(AND(ISNUMBER(W43),ISNUMBER(W46)),IF(W46&lt;&gt;0,W43/W46-1,""),"")</f>
        <v/>
      </c>
      <c r="X47" s="56" t="str">
        <f>IF(AND(ISNUMBER(X43),ISNUMBER(X46)),IF(X46&lt;&gt;0,X43/X46-1,""),"")</f>
        <v/>
      </c>
      <c r="Y47" s="56" t="str">
        <f>IF(AND(ISNUMBER(Y43),ISNUMBER(Y46)),IF(Y46&lt;&gt;0,Y43/Y46-1,""),"")</f>
        <v/>
      </c>
      <c r="Z47" s="56" t="str">
        <f>IF(AND(ISNUMBER(Z43),ISNUMBER(Z46)),IF(Z46&lt;&gt;0,Z43/Z46-1,""),"")</f>
        <v/>
      </c>
      <c r="AA47" s="56" t="str">
        <f>IF(AND(ISNUMBER(AA43),ISNUMBER(AA46)),IF(AA46&lt;&gt;0,AA43/AA46-1,""),"")</f>
        <v/>
      </c>
      <c r="AB47" s="56" t="str">
        <f>IF(AND(ISNUMBER(AB43),ISNUMBER(AB46)),IF(AB46&lt;&gt;0,AB43/AB46-1,""),"")</f>
        <v/>
      </c>
      <c r="AC47" s="56" t="str">
        <f>IF(AND(ISNUMBER(AC43),ISNUMBER(AC46)),IF(AC46&lt;&gt;0,AC43/AC46-1,""),"")</f>
        <v/>
      </c>
      <c r="AD47" s="56" t="str">
        <f>IF(AND(ISNUMBER(AD43),ISNUMBER(AD46)),IF(AD46&lt;&gt;0,AD43/AD46-1,""),"")</f>
        <v/>
      </c>
      <c r="AE47" s="56" t="str">
        <f>IF(AND(ISNUMBER(AE43),ISNUMBER(AE46)),IF(AE46&lt;&gt;0,AE43/AE46-1,""),"")</f>
        <v/>
      </c>
      <c r="AF47" s="56" t="str">
        <f>IF(AND(ISNUMBER(AF43),ISNUMBER(AF46)),IF(AF46&lt;&gt;0,AF43/AF46-1,""),"")</f>
        <v/>
      </c>
      <c r="AG47" s="56" t="str">
        <f>IF(AND(ISNUMBER(AG43),ISNUMBER(AG46)),IF(AG46&lt;&gt;0,AG43/AG46-1,""),"")</f>
        <v/>
      </c>
    </row>
    <row r="48">
      <c r="A48" s="52" t="inlineStr">
        <is>
          <t xml:space="preserve">Meta (seleção)</t>
        </is>
      </c>
      <c r="C48" s="55" t="str">
        <f>IFERROR(1/(1/INDEX(BD!$AJ$23:$BD$23,MATCH($B$2,BD!$AJ$22:$BD$22,0))),"")</f>
        <v/>
      </c>
      <c r="D48" s="55" t="str">
        <f>IFERROR(1/(1/INDEX(BD!$AJ$24:$BD$24,MATCH($B$2,BD!$AJ$22:$BD$22,0))),"")</f>
        <v/>
      </c>
      <c r="E48" s="55" t="str">
        <f>IFERROR(1/(1/INDEX(BD!$AJ$25:$BD$25,MATCH($B$2,BD!$AJ$22:$BD$22,0))),"")</f>
        <v/>
      </c>
      <c r="F48" s="55" t="str">
        <f>IFERROR(1/(1/INDEX(BD!$AJ$26:$BD$26,MATCH($B$2,BD!$AJ$22:$BD$22,0))),"")</f>
        <v/>
      </c>
      <c r="G48" s="55" t="str">
        <f>IFERROR(1/(1/INDEX(BD!$AJ$27:$BD$27,MATCH($B$2,BD!$AJ$22:$BD$22,0))),"")</f>
        <v/>
      </c>
      <c r="H48" s="55" t="str">
        <f>IFERROR(1/(1/INDEX(BD!$AJ$28:$BD$28,MATCH($B$2,BD!$AJ$22:$BD$22,0))),"")</f>
        <v/>
      </c>
      <c r="I48" s="55" t="str">
        <f>IFERROR(1/(1/INDEX(BD!$AJ$29:$BD$29,MATCH($B$2,BD!$AJ$22:$BD$22,0))),"")</f>
        <v/>
      </c>
      <c r="J48" s="55" t="str">
        <f>IFERROR(1/(1/INDEX(BD!$AJ$30:$BD$30,MATCH($B$2,BD!$AJ$22:$BD$22,0))),"")</f>
        <v/>
      </c>
      <c r="K48" s="55" t="str">
        <f>IFERROR(1/(1/INDEX(BD!$AJ$31:$BD$31,MATCH($B$2,BD!$AJ$22:$BD$22,0))),"")</f>
        <v/>
      </c>
      <c r="L48" s="55" t="str">
        <f>IFERROR(1/(1/INDEX(BD!$AJ$32:$BD$32,MATCH($B$2,BD!$AJ$22:$BD$22,0))),"")</f>
        <v/>
      </c>
      <c r="M48" s="55" t="str">
        <f>IFERROR(1/(1/INDEX(BD!$AJ$33:$BD$33,MATCH($B$2,BD!$AJ$22:$BD$22,0))),"")</f>
        <v/>
      </c>
      <c r="N48" s="55" t="str">
        <f>IFERROR(1/(1/INDEX(BD!$AJ$34:$BD$34,MATCH($B$2,BD!$AJ$22:$BD$22,0))),"")</f>
        <v/>
      </c>
      <c r="O48" s="55" t="str">
        <f>IFERROR(1/(1/INDEX(BD!$AJ$35:$BD$35,MATCH($B$2,BD!$AJ$22:$BD$22,0))),"")</f>
        <v/>
      </c>
      <c r="P48" s="55" t="str">
        <f>IFERROR(1/(1/INDEX(BD!$AJ$36:$BD$36,MATCH($B$2,BD!$AJ$22:$BD$22,0))),"")</f>
        <v/>
      </c>
      <c r="Q48" s="55" t="str">
        <f>IFERROR(1/(1/INDEX(BD!$AJ$37:$BD$37,MATCH($B$2,BD!$AJ$22:$BD$22,0))),"")</f>
        <v/>
      </c>
      <c r="R48" s="55" t="str">
        <f>IFERROR(1/(1/INDEX(BD!$AJ$38:$BD$38,MATCH($B$2,BD!$AJ$22:$BD$22,0))),"")</f>
        <v/>
      </c>
      <c r="S48" s="55" t="str">
        <f>IFERROR(1/(1/INDEX(BD!$AJ$39:$BD$39,MATCH($B$2,BD!$AJ$22:$BD$22,0))),"")</f>
        <v/>
      </c>
      <c r="T48" s="55" t="str">
        <f>IFERROR(1/(1/INDEX(BD!$AJ$40:$BD$40,MATCH($B$2,BD!$AJ$22:$BD$22,0))),"")</f>
        <v/>
      </c>
      <c r="U48" s="55" t="str">
        <f>IFERROR(1/(1/INDEX(BD!$AJ$41:$BD$41,MATCH($B$2,BD!$AJ$22:$BD$22,0))),"")</f>
        <v/>
      </c>
      <c r="V48" s="55" t="str">
        <f>IFERROR(1/(1/INDEX(BD!$AJ$42:$BD$42,MATCH($B$2,BD!$AJ$22:$BD$22,0))),"")</f>
        <v/>
      </c>
      <c r="W48" s="55" t="str">
        <f>IFERROR(1/(1/INDEX(BD!$AJ$43:$BD$43,MATCH($B$2,BD!$AJ$22:$BD$22,0))),"")</f>
        <v/>
      </c>
      <c r="X48" s="55" t="str">
        <f>IFERROR(1/(1/INDEX(BD!$AJ$44:$BD$44,MATCH($B$2,BD!$AJ$22:$BD$22,0))),"")</f>
        <v/>
      </c>
      <c r="Y48" s="57" t="str">
        <f>IFERROR(1/(1/INDEX(BD!$AJ$45:$BD$45,MATCH($B$2,BD!$AJ$22:$BD$22,0))),"")</f>
        <v/>
      </c>
      <c r="Z48" s="55" t="str">
        <f>IFERROR(1/(1/INDEX(BD!$AJ$46:$BD$46,MATCH($B$2,BD!$AJ$22:$BD$22,0))),"")</f>
        <v/>
      </c>
      <c r="AA48" s="55" t="str">
        <f>IFERROR(1/(1/INDEX(BD!$AJ$47:$BD$47,MATCH($B$2,BD!$AJ$22:$BD$22,0))),"")</f>
        <v/>
      </c>
      <c r="AB48" s="55" t="str">
        <f>IFERROR(1/(1/INDEX(BD!$AJ$48:$BD$48,MATCH($B$2,BD!$AJ$22:$BD$22,0))),"")</f>
        <v/>
      </c>
      <c r="AC48" s="55" t="str">
        <f>IFERROR(1/(1/INDEX(BD!$AJ$49:$BD$49,MATCH($B$2,BD!$AJ$22:$BD$22,0))),"")</f>
        <v/>
      </c>
      <c r="AD48" s="55" t="str">
        <f>IFERROR(1/(1/INDEX(BD!$AJ$50:$BD$50,MATCH($B$2,BD!$AJ$22:$BD$22,0))),"")</f>
        <v/>
      </c>
      <c r="AE48" s="55" t="str">
        <f>IFERROR(1/(1/INDEX(BD!$AJ$51:$BD$51,MATCH($B$2,BD!$AJ$22:$BD$22,0))),"")</f>
        <v/>
      </c>
      <c r="AF48" s="55" t="str">
        <f>IFERROR(1/(1/INDEX(BD!$AJ$52:$BD$52,MATCH($B$2,BD!$AJ$22:$BD$22,0))),"")</f>
        <v/>
      </c>
      <c r="AG48" s="55" t="str">
        <f>IFERROR(1/(1/INDEX(BD!$AJ$53:$BD$53,MATCH($B$2,BD!$AJ$22:$BD$22,0))),"")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  <c r="W49" s="57" t="str">
        <f>IF(AND(ISNUMBER(W48),ISNUMBER(W43)),IF(W48&gt;0,W43/W48,""),"")</f>
        <v/>
      </c>
      <c r="X49" s="57" t="str">
        <f>IF(AND(ISNUMBER(X48),ISNUMBER(X43)),IF(X48&gt;0,X43/X48,""),"")</f>
        <v/>
      </c>
      <c r="Y49" s="57" t="str">
        <f>IF(AND(ISNUMBER(Y48),ISNUMBER(Y43)),IF(Y48&gt;0,Y43/Y48,""),"")</f>
        <v/>
      </c>
      <c r="Z49" s="57" t="str">
        <f>IF(AND(ISNUMBER(Z48),ISNUMBER(Z43)),IF(Z48&gt;0,Z43/Z48,""),"")</f>
        <v/>
      </c>
      <c r="AA49" s="57" t="str">
        <f>IF(AND(ISNUMBER(AA48),ISNUMBER(AA43)),IF(AA48&gt;0,AA43/AA48,""),"")</f>
        <v/>
      </c>
      <c r="AB49" s="57" t="str">
        <f>IF(AND(ISNUMBER(AB48),ISNUMBER(AB43)),IF(AB48&gt;0,AB43/AB48,""),"")</f>
        <v/>
      </c>
      <c r="AC49" s="57" t="str">
        <f>IF(AND(ISNUMBER(AC48),ISNUMBER(AC43)),IF(AC48&gt;0,AC43/AC48,""),"")</f>
        <v/>
      </c>
      <c r="AD49" s="57" t="str">
        <f>IF(AND(ISNUMBER(AD48),ISNUMBER(AD43)),IF(AD48&gt;0,AD43/AD48,""),"")</f>
        <v/>
      </c>
      <c r="AE49" s="57" t="str">
        <f>IF(AND(ISNUMBER(AE48),ISNUMBER(AE43)),IF(AE48&gt;0,AE43/AE48,""),"")</f>
        <v/>
      </c>
      <c r="AF49" s="57" t="str">
        <f>IF(AND(ISNUMBER(AF48),ISNUMBER(AF43)),IF(AF48&gt;0,AF43/AF48,""),"")</f>
        <v/>
      </c>
      <c r="AG49" s="57" t="str">
        <f>IF(AND(ISNUMBER(AG48),ISNUMBER(AG43)),IF(AG48&gt;0,AG43/AG48,""),"")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IF(ISNUMBER(I49),IF(I49&gt;=1,"meta atingida","abaixo da meta"),"")</f>
        <v/>
      </c>
      <c r="J50" s="58" t="str">
        <f>IF(ISNUMBER(J49),IF(J49&gt;=1,"meta atingida","abaixo da meta"),"")</f>
        <v/>
      </c>
      <c r="K50" s="58" t="str">
        <f>IF(ISNUMBER(K49),IF(K49&gt;=1,"meta atingida","abaixo da meta"),"")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IF(ISNUMBER(N49),IF(N49&gt;=1,"meta atingida","abaixo da meta"),"")</f>
        <v/>
      </c>
      <c r="O50" s="58" t="str">
        <f>IF(ISNUMBER(O49),IF(O49&gt;=1,"meta atingida","abaixo da meta"),"")</f>
        <v/>
      </c>
      <c r="P50" s="58" t="str">
        <f>IF(ISNUMBER(P49),IF(P49&gt;=1,"meta atingida","abaixo da meta"),"")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IF(ISNUMBER(S49),IF(S49&gt;=1,"meta atingida","abaixo da meta"),"")</f>
        <v/>
      </c>
      <c r="T50" s="58" t="str">
        <f>IF(AND(ISNUMBER(T48),ISNUMBER(T43)),IF(T43&lt;=T48,"dentro do limite","acima do limite"),"")</f>
        <v/>
      </c>
      <c r="U50" s="58" t="str">
        <f>IF(AND(ISNUMBER(U48),ISNUMBER(U43)),IF(U43&lt;=U48,"dentro do limite","acima do limite"),"")</f>
        <v/>
      </c>
      <c r="V50" s="58" t="str">
        <f>IF(AND(ISNUMBER(V48),ISNUMBER(V43)),IF(V43&lt;=V48,"dentro do limite","acima do limite"),"")</f>
        <v/>
      </c>
      <c r="W50" s="58" t="str">
        <f>IF(ISNUMBER(W49),IF(W49&gt;=1,"meta atingida","abaixo da meta"),"")</f>
        <v/>
      </c>
      <c r="X50" s="58" t="str">
        <f>IF(ISNUMBER(X49),IF(X49&gt;=1,"meta atingida","abaixo da meta"),"")</f>
        <v/>
      </c>
      <c r="Y50" s="58" t="str">
        <f>IF(ISNUMBER(Y43),IF(Y43&gt;1,"excede o contratado",IF(Y43&gt;=$B$6,"ocupação alta",IF(Y43&gt;=$B$5,"ocupação média","ociosidade alta"))),"")</f>
        <v/>
      </c>
      <c r="Z50" s="58" t="str">
        <f>IF(ISNUMBER(Z49),IF(Z49&gt;=1,"meta atingida","abaixo da meta"),"")</f>
        <v/>
      </c>
      <c r="AA50" s="58" t="str">
        <f>IF(AND(ISNUMBER(AA48),ISNUMBER(AA43)),IF(AA43&lt;=AA48,"dentro do limite","acima do limite"),"")</f>
        <v/>
      </c>
      <c r="AB50" s="58" t="str">
        <f>IF(ISNUMBER(AB49),IF(AB49&gt;=1,"meta atingida","abaixo da meta"),"")</f>
        <v/>
      </c>
      <c r="AC50" s="58" t="str">
        <f>IF(ISNUMBER(AC49),IF(AC49&gt;=1,"meta atingida","abaixo da meta"),"")</f>
        <v/>
      </c>
      <c r="AD50" s="58" t="str">
        <f>IF(AND(ISNUMBER(AD48),ISNUMBER(AD43)),IF(AD43&lt;=AD48,"dentro do limite","acima do limite"),"")</f>
        <v/>
      </c>
      <c r="AE50" s="58" t="str">
        <f>IF(AND(ISNUMBER(AE48),ISNUMBER(AE43)),IF(AE43&lt;=AE48,"dentro do limite","acima do limite"),"")</f>
        <v/>
      </c>
      <c r="AF50" s="58" t="str">
        <f>IF(AND(ISNUMBER(AF48),ISNUMBER(AF43)),IF(AF43&lt;=AF48,"dentro do limite","acima do limite"),"")</f>
        <v/>
      </c>
      <c r="AG50" s="58" t="str">
        <f>IF(AND(ISNUMBER(AG48),ISNUMBER(AG43)),IF(AG43&lt;=AG48,"dentro do limite","acima do limite"),"")</f>
        <v/>
      </c>
    </row>
    <row r="89">
      <c r="A89" s="19" t="inlineStr">
        <is>
          <t xml:space="preserve">ACUMULADO SEMANAL — toneladas e pallets (seguem o filtro; mês do gráfico)</t>
        </is>
      </c>
    </row>
    <row r="90">
      <c r="A90" s="37" t="inlineStr">
        <is>
          <t xml:space="preserve">Semana</t>
        </is>
      </c>
      <c r="B90" s="37" t="inlineStr">
        <is>
          <t xml:space="preserve">Do dia</t>
        </is>
      </c>
      <c r="C90" s="37" t="inlineStr">
        <is>
          <t xml:space="preserve">Ao dia</t>
        </is>
      </c>
      <c r="D90" s="37" t="inlineStr">
        <is>
          <t xml:space="preserve">IN tons</t>
        </is>
      </c>
      <c r="E90" s="37" t="inlineStr">
        <is>
          <t xml:space="preserve">OUT tons</t>
        </is>
      </c>
      <c r="F90" s="37" t="inlineStr">
        <is>
          <t xml:space="preserve">IN pallets</t>
        </is>
      </c>
      <c r="G90" s="37" t="inlineStr">
        <is>
          <t xml:space="preserve">OUT pallets</t>
        </is>
      </c>
    </row>
    <row r="91">
      <c r="A91" s="29" t="inlineStr">
        <is>
          <t xml:space="preserve">Sem 1 (01–07)</t>
        </is>
      </c>
      <c r="B91" s="28">
        <v>1</v>
      </c>
      <c r="C91" s="28">
        <v>7</v>
      </c>
      <c r="D91" s="61">
        <f>SUMIFS(E12:E42,A12:A42,"&gt;="&amp;$B91,A12:A42,"&lt;="&amp;$C91)</f>
        <v>0</v>
      </c>
      <c r="E91" s="61">
        <f>SUMIFS(S12:S42,A12:A42,"&gt;="&amp;$B91,A12:A42,"&lt;="&amp;$C91)</f>
        <v>0</v>
      </c>
      <c r="F91" s="32">
        <f>SUMIFS(D12:D42,A12:A42,"&gt;="&amp;$B91,A12:A42,"&lt;="&amp;$C91)</f>
        <v>0</v>
      </c>
      <c r="G91" s="32">
        <f>SUMIFS(R12:R42,A12:A42,"&gt;="&amp;$B91,A12:A42,"&lt;="&amp;$C91)</f>
        <v>0</v>
      </c>
    </row>
    <row r="92">
      <c r="A92" s="29" t="inlineStr">
        <is>
          <t xml:space="preserve">Sem 2 (08–14)</t>
        </is>
      </c>
      <c r="B92" s="28">
        <v>8</v>
      </c>
      <c r="C92" s="28">
        <v>14</v>
      </c>
      <c r="D92" s="61">
        <f>SUMIFS(E12:E42,A12:A42,"&gt;="&amp;$B92,A12:A42,"&lt;="&amp;$C92)</f>
        <v>0</v>
      </c>
      <c r="E92" s="61">
        <f>SUMIFS(S12:S42,A12:A42,"&gt;="&amp;$B92,A12:A42,"&lt;="&amp;$C92)</f>
        <v>0</v>
      </c>
      <c r="F92" s="32">
        <f>SUMIFS(D12:D42,A12:A42,"&gt;="&amp;$B92,A12:A42,"&lt;="&amp;$C92)</f>
        <v>0</v>
      </c>
      <c r="G92" s="32">
        <f>SUMIFS(R12:R42,A12:A42,"&gt;="&amp;$B92,A12:A42,"&lt;="&amp;$C92)</f>
        <v>0</v>
      </c>
    </row>
    <row r="93">
      <c r="A93" s="29" t="inlineStr">
        <is>
          <t xml:space="preserve">Sem 3 (15–21)</t>
        </is>
      </c>
      <c r="B93" s="28">
        <v>15</v>
      </c>
      <c r="C93" s="28">
        <v>21</v>
      </c>
      <c r="D93" s="61">
        <f>SUMIFS(E12:E42,A12:A42,"&gt;="&amp;$B93,A12:A42,"&lt;="&amp;$C93)</f>
        <v>0</v>
      </c>
      <c r="E93" s="61">
        <f>SUMIFS(S12:S42,A12:A42,"&gt;="&amp;$B93,A12:A42,"&lt;="&amp;$C93)</f>
        <v>0</v>
      </c>
      <c r="F93" s="32">
        <f>SUMIFS(D12:D42,A12:A42,"&gt;="&amp;$B93,A12:A42,"&lt;="&amp;$C93)</f>
        <v>0</v>
      </c>
      <c r="G93" s="32">
        <f>SUMIFS(R12:R42,A12:A42,"&gt;="&amp;$B93,A12:A42,"&lt;="&amp;$C93)</f>
        <v>0</v>
      </c>
    </row>
    <row r="94">
      <c r="A94" s="29" t="inlineStr">
        <is>
          <t xml:space="preserve">Sem 4 (22–28)</t>
        </is>
      </c>
      <c r="B94" s="28">
        <v>22</v>
      </c>
      <c r="C94" s="28">
        <v>28</v>
      </c>
      <c r="D94" s="61">
        <f>SUMIFS(E12:E42,A12:A42,"&gt;="&amp;$B94,A12:A42,"&lt;="&amp;$C94)</f>
        <v>0</v>
      </c>
      <c r="E94" s="61">
        <f>SUMIFS(S12:S42,A12:A42,"&gt;="&amp;$B94,A12:A42,"&lt;="&amp;$C94)</f>
        <v>0</v>
      </c>
      <c r="F94" s="32">
        <f>SUMIFS(D12:D42,A12:A42,"&gt;="&amp;$B94,A12:A42,"&lt;="&amp;$C94)</f>
        <v>0</v>
      </c>
      <c r="G94" s="32">
        <f>SUMIFS(R12:R42,A12:A42,"&gt;="&amp;$B94,A12:A42,"&lt;="&amp;$C94)</f>
        <v>0</v>
      </c>
    </row>
    <row r="95">
      <c r="A95" s="29" t="inlineStr">
        <is>
          <t xml:space="preserve">Sem 5 (29–fim)</t>
        </is>
      </c>
      <c r="B95" s="28">
        <v>29</v>
      </c>
      <c r="C95" s="28">
        <v>31</v>
      </c>
      <c r="D95" s="61">
        <f>SUMIFS(E12:E42,A12:A42,"&gt;="&amp;$B95,A12:A42,"&lt;="&amp;$C95)</f>
        <v>0</v>
      </c>
      <c r="E95" s="61">
        <f>SUMIFS(S12:S42,A12:A42,"&gt;="&amp;$B95,A12:A42,"&lt;="&amp;$C95)</f>
        <v>0</v>
      </c>
      <c r="F95" s="32">
        <f>SUMIFS(D12:D42,A12:A42,"&gt;="&amp;$B95,A12:A42,"&lt;="&amp;$C95)</f>
        <v>0</v>
      </c>
      <c r="G95" s="32">
        <f>SUMIFS(R12:R42,A12:A42,"&gt;="&amp;$B95,A12:A42,"&lt;="&amp;$C95)</f>
        <v>0</v>
      </c>
    </row>
    <row r="99">
      <c r="A99" s="19" t="inlineStr">
        <is>
          <t xml:space="preserve">POR CLIENTE — mês inteiro (todos os clientes). Estoque = último valor do mês.</t>
        </is>
      </c>
    </row>
    <row r="100" ht="30" customHeight="1">
      <c r="A100" s="37" t="inlineStr">
        <is>
          <t xml:space="preserve">Indicador</t>
        </is>
      </c>
      <c r="B100" s="37" t="str">
        <f>Config!$B$10&amp;""</f>
        <v>Alpargatas</v>
      </c>
      <c r="C100" s="37" t="str">
        <f>Config!$B$11&amp;""</f>
        <v>Basf</v>
      </c>
      <c r="D100" s="37" t="str">
        <f>Config!$B$12&amp;""</f>
        <v>Beautybiz</v>
      </c>
      <c r="E100" s="37" t="str">
        <f>Config!$B$13&amp;""</f>
        <v>Boticário</v>
      </c>
      <c r="F100" s="37" t="str">
        <f>Config!$B$14&amp;""</f>
        <v>Confiance</v>
      </c>
      <c r="G100" s="37" t="str">
        <f>Config!$B$15&amp;""</f>
        <v>GE Vernova</v>
      </c>
      <c r="H100" s="37" t="str">
        <f>Config!$B$16&amp;""</f>
        <v>Omnilife</v>
      </c>
      <c r="I100" s="37" t="str">
        <f>Config!$B$17&amp;""</f>
        <v>Supply</v>
      </c>
      <c r="J100" s="37" t="str">
        <f>Config!$B$18&amp;""</f>
        <v>Vedacit</v>
      </c>
      <c r="K100" s="37" t="str">
        <f>Config!$B$19&amp;""</f>
        <v>Vestas</v>
      </c>
      <c r="L100" s="37" t="str">
        <f>Config!$B$20&amp;""</f>
        <v/>
      </c>
      <c r="M100" s="37" t="str">
        <f>Config!$B$21&amp;""</f>
        <v/>
      </c>
      <c r="N100" s="37" t="str">
        <f>Config!$B$22&amp;""</f>
        <v/>
      </c>
      <c r="O100" s="37" t="str">
        <f>Config!$B$23&amp;""</f>
        <v/>
      </c>
      <c r="P100" s="37" t="str">
        <f>Config!$B$24&amp;""</f>
        <v/>
      </c>
      <c r="Q100" s="37" t="str">
        <f>Config!$B$25&amp;""</f>
        <v/>
      </c>
      <c r="R100" s="37" t="str">
        <f>Config!$B$26&amp;""</f>
        <v/>
      </c>
      <c r="S100" s="37" t="str">
        <f>Config!$B$27&amp;""</f>
        <v/>
      </c>
      <c r="T100" s="37" t="str">
        <f>Config!$B$28&amp;""</f>
        <v/>
      </c>
      <c r="U100" s="37" t="str">
        <f>Config!$B$29&amp;""</f>
        <v/>
      </c>
      <c r="V100" s="37" t="inlineStr">
        <is>
          <t xml:space="preserve">TOTAL</t>
        </is>
      </c>
    </row>
    <row r="101">
      <c r="A101" s="29" t="inlineStr">
        <is>
          <t xml:space="preserve">IN · Veículos Recebidos</t>
        </is>
      </c>
      <c r="B101" s="32">
        <f>IF(B$100="","",IF(Config!$D$35&lt;&gt;"Não",SUMIFS(BD!$C$3:$C$5001,BD!$B$3:$B$5001,B$100,BD!$A$3:$A$5001,"&gt;="&amp;$C$7,BD!$A$3:$A$5001,"&lt;="&amp;$D$7),"—"))</f>
        <v>0</v>
      </c>
      <c r="C101" s="32">
        <f>IF(C$100="","",IF(Config!$D$36&lt;&gt;"Não",SUMIFS(BD!$C$3:$C$5001,BD!$B$3:$B$5001,C$100,BD!$A$3:$A$5001,"&gt;="&amp;$C$7,BD!$A$3:$A$5001,"&lt;="&amp;$D$7),"—"))</f>
        <v>0</v>
      </c>
      <c r="D101" s="32">
        <f>IF(D$100="","",IF(Config!$D$37&lt;&gt;"Não",SUMIFS(BD!$C$3:$C$5001,BD!$B$3:$B$5001,D$100,BD!$A$3:$A$5001,"&gt;="&amp;$C$7,BD!$A$3:$A$5001,"&lt;="&amp;$D$7),"—"))</f>
        <v>0</v>
      </c>
      <c r="E101" s="32">
        <f>IF(E$100="","",IF(Config!$D$38&lt;&gt;"Não",SUMIFS(BD!$C$3:$C$5001,BD!$B$3:$B$5001,E$100,BD!$A$3:$A$5001,"&gt;="&amp;$C$7,BD!$A$3:$A$5001,"&lt;="&amp;$D$7),"—"))</f>
        <v>0</v>
      </c>
      <c r="F101" s="32">
        <f>IF(F$100="","",IF(Config!$D$39&lt;&gt;"Não",SUMIFS(BD!$C$3:$C$5001,BD!$B$3:$B$5001,F$100,BD!$A$3:$A$5001,"&gt;="&amp;$C$7,BD!$A$3:$A$5001,"&lt;="&amp;$D$7),"—"))</f>
        <v>0</v>
      </c>
      <c r="G101" s="32">
        <f>IF(G$100="","",IF(Config!$D$40&lt;&gt;"Não",SUMIFS(BD!$C$3:$C$5001,BD!$B$3:$B$5001,G$100,BD!$A$3:$A$5001,"&gt;="&amp;$C$7,BD!$A$3:$A$5001,"&lt;="&amp;$D$7),"—"))</f>
        <v>0</v>
      </c>
      <c r="H101" s="32">
        <f>IF(H$100="","",IF(Config!$D$41&lt;&gt;"Não",SUMIFS(BD!$C$3:$C$5001,BD!$B$3:$B$5001,H$100,BD!$A$3:$A$5001,"&gt;="&amp;$C$7,BD!$A$3:$A$5001,"&lt;="&amp;$D$7),"—"))</f>
        <v>0</v>
      </c>
      <c r="I101" s="32">
        <f>IF(I$100="","",IF(Config!$D$42&lt;&gt;"Não",SUMIFS(BD!$C$3:$C$5001,BD!$B$3:$B$5001,I$100,BD!$A$3:$A$5001,"&gt;="&amp;$C$7,BD!$A$3:$A$5001,"&lt;="&amp;$D$7),"—"))</f>
        <v>0</v>
      </c>
      <c r="J101" s="32">
        <f>IF(J$100="","",IF(Config!$D$43&lt;&gt;"Não",SUMIFS(BD!$C$3:$C$5001,BD!$B$3:$B$5001,J$100,BD!$A$3:$A$5001,"&gt;="&amp;$C$7,BD!$A$3:$A$5001,"&lt;="&amp;$D$7),"—"))</f>
        <v>0</v>
      </c>
      <c r="K101" s="32">
        <f>IF(K$100="","",IF(Config!$D$44&lt;&gt;"Não",SUMIFS(BD!$C$3:$C$5001,BD!$B$3:$B$5001,K$100,BD!$A$3:$A$5001,"&gt;="&amp;$C$7,BD!$A$3:$A$5001,"&lt;="&amp;$D$7),"—"))</f>
        <v>0</v>
      </c>
      <c r="L101" s="32" t="str">
        <f>IF(L$100="","",IF(Config!$D$45&lt;&gt;"Não",SUMIFS(BD!$C$3:$C$5001,BD!$B$3:$B$5001,L$100,BD!$A$3:$A$5001,"&gt;="&amp;$C$7,BD!$A$3:$A$5001,"&lt;="&amp;$D$7),"—"))</f>
        <v/>
      </c>
      <c r="M101" s="32" t="str">
        <f>IF(M$100="","",IF(Config!$D$46&lt;&gt;"Não",SUMIFS(BD!$C$3:$C$5001,BD!$B$3:$B$5001,M$100,BD!$A$3:$A$5001,"&gt;="&amp;$C$7,BD!$A$3:$A$5001,"&lt;="&amp;$D$7),"—"))</f>
        <v/>
      </c>
      <c r="N101" s="32" t="str">
        <f>IF(N$100="","",IF(Config!$D$47&lt;&gt;"Não",SUMIFS(BD!$C$3:$C$5001,BD!$B$3:$B$5001,N$100,BD!$A$3:$A$5001,"&gt;="&amp;$C$7,BD!$A$3:$A$5001,"&lt;="&amp;$D$7),"—"))</f>
        <v/>
      </c>
      <c r="O101" s="32" t="str">
        <f>IF(O$100="","",IF(Config!$D$48&lt;&gt;"Não",SUMIFS(BD!$C$3:$C$5001,BD!$B$3:$B$5001,O$100,BD!$A$3:$A$5001,"&gt;="&amp;$C$7,BD!$A$3:$A$5001,"&lt;="&amp;$D$7),"—"))</f>
        <v/>
      </c>
      <c r="P101" s="32" t="str">
        <f>IF(P$100="","",IF(Config!$D$49&lt;&gt;"Não",SUMIFS(BD!$C$3:$C$5001,BD!$B$3:$B$5001,P$100,BD!$A$3:$A$5001,"&gt;="&amp;$C$7,BD!$A$3:$A$5001,"&lt;="&amp;$D$7),"—"))</f>
        <v/>
      </c>
      <c r="Q101" s="32" t="str">
        <f>IF(Q$100="","",IF(Config!$D$50&lt;&gt;"Não",SUMIFS(BD!$C$3:$C$5001,BD!$B$3:$B$5001,Q$100,BD!$A$3:$A$5001,"&gt;="&amp;$C$7,BD!$A$3:$A$5001,"&lt;="&amp;$D$7),"—"))</f>
        <v/>
      </c>
      <c r="R101" s="32" t="str">
        <f>IF(R$100="","",IF(Config!$D$51&lt;&gt;"Não",SUMIFS(BD!$C$3:$C$5001,BD!$B$3:$B$5001,R$100,BD!$A$3:$A$5001,"&gt;="&amp;$C$7,BD!$A$3:$A$5001,"&lt;="&amp;$D$7),"—"))</f>
        <v/>
      </c>
      <c r="S101" s="32" t="str">
        <f>IF(S$100="","",IF(Config!$D$52&lt;&gt;"Não",SUMIFS(BD!$C$3:$C$5001,BD!$B$3:$B$5001,S$100,BD!$A$3:$A$5001,"&gt;="&amp;$C$7,BD!$A$3:$A$5001,"&lt;="&amp;$D$7),"—"))</f>
        <v/>
      </c>
      <c r="T101" s="32" t="str">
        <f>IF(T$100="","",IF(Config!$D$53&lt;&gt;"Não",SUMIFS(BD!$C$3:$C$5001,BD!$B$3:$B$5001,T$100,BD!$A$3:$A$5001,"&gt;="&amp;$C$7,BD!$A$3:$A$5001,"&lt;="&amp;$D$7),"—"))</f>
        <v/>
      </c>
      <c r="U101" s="32" t="str">
        <f>IF(U$100="","",IF(Config!$D$54&lt;&gt;"Não",SUMIFS(BD!$C$3:$C$5001,BD!$B$3:$B$5001,U$100,BD!$A$3:$A$5001,"&gt;="&amp;$C$7,BD!$A$3:$A$5001,"&lt;="&amp;$D$7),"—"))</f>
        <v/>
      </c>
      <c r="V101" s="62">
        <f>SUM(B101:U101)</f>
        <v>0</v>
      </c>
    </row>
    <row r="102">
      <c r="A102" s="29" t="inlineStr">
        <is>
          <t xml:space="preserve">IN · Pallets Movimentados</t>
        </is>
      </c>
      <c r="B102" s="32" t="str">
        <f>IF(B$100="","",IF(Config!$E$35&lt;&gt;"Não",SUMIFS(BD!$D$3:$D$5001,BD!$B$3:$B$5001,B$100,BD!$A$3:$A$5001,"&gt;="&amp;$C$7,BD!$A$3:$A$5001,"&lt;="&amp;$D$7),"—"))</f>
        <v>—</v>
      </c>
      <c r="C102" s="32">
        <f>IF(C$100="","",IF(Config!$E$36&lt;&gt;"Não",SUMIFS(BD!$D$3:$D$5001,BD!$B$3:$B$5001,C$100,BD!$A$3:$A$5001,"&gt;="&amp;$C$7,BD!$A$3:$A$5001,"&lt;="&amp;$D$7),"—"))</f>
        <v>0</v>
      </c>
      <c r="D102" s="32">
        <f>IF(D$100="","",IF(Config!$E$37&lt;&gt;"Não",SUMIFS(BD!$D$3:$D$5001,BD!$B$3:$B$5001,D$100,BD!$A$3:$A$5001,"&gt;="&amp;$C$7,BD!$A$3:$A$5001,"&lt;="&amp;$D$7),"—"))</f>
        <v>0</v>
      </c>
      <c r="E102" s="32">
        <f>IF(E$100="","",IF(Config!$E$38&lt;&gt;"Não",SUMIFS(BD!$D$3:$D$5001,BD!$B$3:$B$5001,E$100,BD!$A$3:$A$5001,"&gt;="&amp;$C$7,BD!$A$3:$A$5001,"&lt;="&amp;$D$7),"—"))</f>
        <v>0</v>
      </c>
      <c r="F102" s="32">
        <f>IF(F$100="","",IF(Config!$E$39&lt;&gt;"Não",SUMIFS(BD!$D$3:$D$5001,BD!$B$3:$B$5001,F$100,BD!$A$3:$A$5001,"&gt;="&amp;$C$7,BD!$A$3:$A$5001,"&lt;="&amp;$D$7),"—"))</f>
        <v>0</v>
      </c>
      <c r="G102" s="32">
        <f>IF(G$100="","",IF(Config!$E$40&lt;&gt;"Não",SUMIFS(BD!$D$3:$D$5001,BD!$B$3:$B$5001,G$100,BD!$A$3:$A$5001,"&gt;="&amp;$C$7,BD!$A$3:$A$5001,"&lt;="&amp;$D$7),"—"))</f>
        <v>0</v>
      </c>
      <c r="H102" s="32">
        <f>IF(H$100="","",IF(Config!$E$41&lt;&gt;"Não",SUMIFS(BD!$D$3:$D$5001,BD!$B$3:$B$5001,H$100,BD!$A$3:$A$5001,"&gt;="&amp;$C$7,BD!$A$3:$A$5001,"&lt;="&amp;$D$7),"—"))</f>
        <v>0</v>
      </c>
      <c r="I102" s="32">
        <f>IF(I$100="","",IF(Config!$E$42&lt;&gt;"Não",SUMIFS(BD!$D$3:$D$5001,BD!$B$3:$B$5001,I$100,BD!$A$3:$A$5001,"&gt;="&amp;$C$7,BD!$A$3:$A$5001,"&lt;="&amp;$D$7),"—"))</f>
        <v>0</v>
      </c>
      <c r="J102" s="32">
        <f>IF(J$100="","",IF(Config!$E$43&lt;&gt;"Não",SUMIFS(BD!$D$3:$D$5001,BD!$B$3:$B$5001,J$100,BD!$A$3:$A$5001,"&gt;="&amp;$C$7,BD!$A$3:$A$5001,"&lt;="&amp;$D$7),"—"))</f>
        <v>0</v>
      </c>
      <c r="K102" s="32" t="str">
        <f>IF(K$100="","",IF(Config!$E$44&lt;&gt;"Não",SUMIFS(BD!$D$3:$D$5001,BD!$B$3:$B$5001,K$100,BD!$A$3:$A$5001,"&gt;="&amp;$C$7,BD!$A$3:$A$5001,"&lt;="&amp;$D$7),"—"))</f>
        <v>—</v>
      </c>
      <c r="L102" s="32" t="str">
        <f>IF(L$100="","",IF(Config!$E$45&lt;&gt;"Não",SUMIFS(BD!$D$3:$D$5001,BD!$B$3:$B$5001,L$100,BD!$A$3:$A$5001,"&gt;="&amp;$C$7,BD!$A$3:$A$5001,"&lt;="&amp;$D$7),"—"))</f>
        <v/>
      </c>
      <c r="M102" s="32" t="str">
        <f>IF(M$100="","",IF(Config!$E$46&lt;&gt;"Não",SUMIFS(BD!$D$3:$D$5001,BD!$B$3:$B$5001,M$100,BD!$A$3:$A$5001,"&gt;="&amp;$C$7,BD!$A$3:$A$5001,"&lt;="&amp;$D$7),"—"))</f>
        <v/>
      </c>
      <c r="N102" s="32" t="str">
        <f>IF(N$100="","",IF(Config!$E$47&lt;&gt;"Não",SUMIFS(BD!$D$3:$D$5001,BD!$B$3:$B$5001,N$100,BD!$A$3:$A$5001,"&gt;="&amp;$C$7,BD!$A$3:$A$5001,"&lt;="&amp;$D$7),"—"))</f>
        <v/>
      </c>
      <c r="O102" s="32" t="str">
        <f>IF(O$100="","",IF(Config!$E$48&lt;&gt;"Não",SUMIFS(BD!$D$3:$D$5001,BD!$B$3:$B$5001,O$100,BD!$A$3:$A$5001,"&gt;="&amp;$C$7,BD!$A$3:$A$5001,"&lt;="&amp;$D$7),"—"))</f>
        <v/>
      </c>
      <c r="P102" s="32" t="str">
        <f>IF(P$100="","",IF(Config!$E$49&lt;&gt;"Não",SUMIFS(BD!$D$3:$D$5001,BD!$B$3:$B$5001,P$100,BD!$A$3:$A$5001,"&gt;="&amp;$C$7,BD!$A$3:$A$5001,"&lt;="&amp;$D$7),"—"))</f>
        <v/>
      </c>
      <c r="Q102" s="32" t="str">
        <f>IF(Q$100="","",IF(Config!$E$50&lt;&gt;"Não",SUMIFS(BD!$D$3:$D$5001,BD!$B$3:$B$5001,Q$100,BD!$A$3:$A$5001,"&gt;="&amp;$C$7,BD!$A$3:$A$5001,"&lt;="&amp;$D$7),"—"))</f>
        <v/>
      </c>
      <c r="R102" s="32" t="str">
        <f>IF(R$100="","",IF(Config!$E$51&lt;&gt;"Não",SUMIFS(BD!$D$3:$D$5001,BD!$B$3:$B$5001,R$100,BD!$A$3:$A$5001,"&gt;="&amp;$C$7,BD!$A$3:$A$5001,"&lt;="&amp;$D$7),"—"))</f>
        <v/>
      </c>
      <c r="S102" s="32" t="str">
        <f>IF(S$100="","",IF(Config!$E$52&lt;&gt;"Não",SUMIFS(BD!$D$3:$D$5001,BD!$B$3:$B$5001,S$100,BD!$A$3:$A$5001,"&gt;="&amp;$C$7,BD!$A$3:$A$5001,"&lt;="&amp;$D$7),"—"))</f>
        <v/>
      </c>
      <c r="T102" s="32" t="str">
        <f>IF(T$100="","",IF(Config!$E$53&lt;&gt;"Não",SUMIFS(BD!$D$3:$D$5001,BD!$B$3:$B$5001,T$100,BD!$A$3:$A$5001,"&gt;="&amp;$C$7,BD!$A$3:$A$5001,"&lt;="&amp;$D$7),"—"))</f>
        <v/>
      </c>
      <c r="U102" s="32" t="str">
        <f>IF(U$100="","",IF(Config!$E$54&lt;&gt;"Não",SUMIFS(BD!$D$3:$D$5001,BD!$B$3:$B$5001,U$100,BD!$A$3:$A$5001,"&gt;="&amp;$C$7,BD!$A$3:$A$5001,"&lt;="&amp;$D$7),"—"))</f>
        <v/>
      </c>
      <c r="V102" s="62">
        <f>SUM(B102:U102)</f>
        <v>0</v>
      </c>
    </row>
    <row r="103">
      <c r="A103" s="29" t="inlineStr">
        <is>
          <t xml:space="preserve">IN · Toneladas Movimentadas</t>
        </is>
      </c>
      <c r="B103" s="61" t="str">
        <f>IF(B$100="","",IF(Config!$F$35&lt;&gt;"Não",SUMIFS(BD!$E$3:$E$5001,BD!$B$3:$B$5001,B$100,BD!$A$3:$A$5001,"&gt;="&amp;$C$7,BD!$A$3:$A$5001,"&lt;="&amp;$D$7),"—"))</f>
        <v>—</v>
      </c>
      <c r="C103" s="61">
        <f>IF(C$100="","",IF(Config!$F$36&lt;&gt;"Não",SUMIFS(BD!$E$3:$E$5001,BD!$B$3:$B$5001,C$100,BD!$A$3:$A$5001,"&gt;="&amp;$C$7,BD!$A$3:$A$5001,"&lt;="&amp;$D$7),"—"))</f>
        <v>0</v>
      </c>
      <c r="D103" s="61" t="str">
        <f>IF(D$100="","",IF(Config!$F$37&lt;&gt;"Não",SUMIFS(BD!$E$3:$E$5001,BD!$B$3:$B$5001,D$100,BD!$A$3:$A$5001,"&gt;="&amp;$C$7,BD!$A$3:$A$5001,"&lt;="&amp;$D$7),"—"))</f>
        <v>—</v>
      </c>
      <c r="E103" s="61" t="str">
        <f>IF(E$100="","",IF(Config!$F$38&lt;&gt;"Não",SUMIFS(BD!$E$3:$E$5001,BD!$B$3:$B$5001,E$100,BD!$A$3:$A$5001,"&gt;="&amp;$C$7,BD!$A$3:$A$5001,"&lt;="&amp;$D$7),"—"))</f>
        <v>—</v>
      </c>
      <c r="F103" s="61">
        <f>IF(F$100="","",IF(Config!$F$39&lt;&gt;"Não",SUMIFS(BD!$E$3:$E$5001,BD!$B$3:$B$5001,F$100,BD!$A$3:$A$5001,"&gt;="&amp;$C$7,BD!$A$3:$A$5001,"&lt;="&amp;$D$7),"—"))</f>
        <v>0</v>
      </c>
      <c r="G103" s="61" t="str">
        <f>IF(G$100="","",IF(Config!$F$40&lt;&gt;"Não",SUMIFS(BD!$E$3:$E$5001,BD!$B$3:$B$5001,G$100,BD!$A$3:$A$5001,"&gt;="&amp;$C$7,BD!$A$3:$A$5001,"&lt;="&amp;$D$7),"—"))</f>
        <v>—</v>
      </c>
      <c r="H103" s="61" t="str">
        <f>IF(H$100="","",IF(Config!$F$41&lt;&gt;"Não",SUMIFS(BD!$E$3:$E$5001,BD!$B$3:$B$5001,H$100,BD!$A$3:$A$5001,"&gt;="&amp;$C$7,BD!$A$3:$A$5001,"&lt;="&amp;$D$7),"—"))</f>
        <v>—</v>
      </c>
      <c r="I103" s="61">
        <f>IF(I$100="","",IF(Config!$F$42&lt;&gt;"Não",SUMIFS(BD!$E$3:$E$5001,BD!$B$3:$B$5001,I$100,BD!$A$3:$A$5001,"&gt;="&amp;$C$7,BD!$A$3:$A$5001,"&lt;="&amp;$D$7),"—"))</f>
        <v>0</v>
      </c>
      <c r="J103" s="61" t="str">
        <f>IF(J$100="","",IF(Config!$F$43&lt;&gt;"Não",SUMIFS(BD!$E$3:$E$5001,BD!$B$3:$B$5001,J$100,BD!$A$3:$A$5001,"&gt;="&amp;$C$7,BD!$A$3:$A$5001,"&lt;="&amp;$D$7),"—"))</f>
        <v>—</v>
      </c>
      <c r="K103" s="61" t="str">
        <f>IF(K$100="","",IF(Config!$F$44&lt;&gt;"Não",SUMIFS(BD!$E$3:$E$5001,BD!$B$3:$B$5001,K$100,BD!$A$3:$A$5001,"&gt;="&amp;$C$7,BD!$A$3:$A$5001,"&lt;="&amp;$D$7),"—"))</f>
        <v>—</v>
      </c>
      <c r="L103" s="61" t="str">
        <f>IF(L$100="","",IF(Config!$F$45&lt;&gt;"Não",SUMIFS(BD!$E$3:$E$5001,BD!$B$3:$B$5001,L$100,BD!$A$3:$A$5001,"&gt;="&amp;$C$7,BD!$A$3:$A$5001,"&lt;="&amp;$D$7),"—"))</f>
        <v/>
      </c>
      <c r="M103" s="61" t="str">
        <f>IF(M$100="","",IF(Config!$F$46&lt;&gt;"Não",SUMIFS(BD!$E$3:$E$5001,BD!$B$3:$B$5001,M$100,BD!$A$3:$A$5001,"&gt;="&amp;$C$7,BD!$A$3:$A$5001,"&lt;="&amp;$D$7),"—"))</f>
        <v/>
      </c>
      <c r="N103" s="61" t="str">
        <f>IF(N$100="","",IF(Config!$F$47&lt;&gt;"Não",SUMIFS(BD!$E$3:$E$5001,BD!$B$3:$B$5001,N$100,BD!$A$3:$A$5001,"&gt;="&amp;$C$7,BD!$A$3:$A$5001,"&lt;="&amp;$D$7),"—"))</f>
        <v/>
      </c>
      <c r="O103" s="61" t="str">
        <f>IF(O$100="","",IF(Config!$F$48&lt;&gt;"Não",SUMIFS(BD!$E$3:$E$5001,BD!$B$3:$B$5001,O$100,BD!$A$3:$A$5001,"&gt;="&amp;$C$7,BD!$A$3:$A$5001,"&lt;="&amp;$D$7),"—"))</f>
        <v/>
      </c>
      <c r="P103" s="61" t="str">
        <f>IF(P$100="","",IF(Config!$F$49&lt;&gt;"Não",SUMIFS(BD!$E$3:$E$5001,BD!$B$3:$B$5001,P$100,BD!$A$3:$A$5001,"&gt;="&amp;$C$7,BD!$A$3:$A$5001,"&lt;="&amp;$D$7),"—"))</f>
        <v/>
      </c>
      <c r="Q103" s="61" t="str">
        <f>IF(Q$100="","",IF(Config!$F$50&lt;&gt;"Não",SUMIFS(BD!$E$3:$E$5001,BD!$B$3:$B$5001,Q$100,BD!$A$3:$A$5001,"&gt;="&amp;$C$7,BD!$A$3:$A$5001,"&lt;="&amp;$D$7),"—"))</f>
        <v/>
      </c>
      <c r="R103" s="61" t="str">
        <f>IF(R$100="","",IF(Config!$F$51&lt;&gt;"Não",SUMIFS(BD!$E$3:$E$5001,BD!$B$3:$B$5001,R$100,BD!$A$3:$A$5001,"&gt;="&amp;$C$7,BD!$A$3:$A$5001,"&lt;="&amp;$D$7),"—"))</f>
        <v/>
      </c>
      <c r="S103" s="61" t="str">
        <f>IF(S$100="","",IF(Config!$F$52&lt;&gt;"Não",SUMIFS(BD!$E$3:$E$5001,BD!$B$3:$B$5001,S$100,BD!$A$3:$A$5001,"&gt;="&amp;$C$7,BD!$A$3:$A$5001,"&lt;="&amp;$D$7),"—"))</f>
        <v/>
      </c>
      <c r="T103" s="61" t="str">
        <f>IF(T$100="","",IF(Config!$F$53&lt;&gt;"Não",SUMIFS(BD!$E$3:$E$5001,BD!$B$3:$B$5001,T$100,BD!$A$3:$A$5001,"&gt;="&amp;$C$7,BD!$A$3:$A$5001,"&lt;="&amp;$D$7),"—"))</f>
        <v/>
      </c>
      <c r="U103" s="61" t="str">
        <f>IF(U$100="","",IF(Config!$F$54&lt;&gt;"Não",SUMIFS(BD!$E$3:$E$5001,BD!$B$3:$B$5001,U$100,BD!$A$3:$A$5001,"&gt;="&amp;$C$7,BD!$A$3:$A$5001,"&lt;="&amp;$D$7),"—"))</f>
        <v/>
      </c>
      <c r="V103" s="63">
        <f>SUM(B103:U103)</f>
        <v>0</v>
      </c>
    </row>
    <row r="104">
      <c r="A104" s="29" t="inlineStr">
        <is>
          <t xml:space="preserve">IN · Linhas NF</t>
        </is>
      </c>
      <c r="B104" s="32" t="str">
        <f>IF(B$100="","",IF(Config!$G$35&lt;&gt;"Não",SUMIFS(BD!$F$3:$F$5001,BD!$B$3:$B$5001,B$100,BD!$A$3:$A$5001,"&gt;="&amp;$C$7,BD!$A$3:$A$5001,"&lt;="&amp;$D$7),"—"))</f>
        <v>—</v>
      </c>
      <c r="C104" s="32" t="str">
        <f>IF(C$100="","",IF(Config!$G$36&lt;&gt;"Não",SUMIFS(BD!$F$3:$F$5001,BD!$B$3:$B$5001,C$100,BD!$A$3:$A$5001,"&gt;="&amp;$C$7,BD!$A$3:$A$5001,"&lt;="&amp;$D$7),"—"))</f>
        <v>—</v>
      </c>
      <c r="D104" s="32" t="str">
        <f>IF(D$100="","",IF(Config!$G$37&lt;&gt;"Não",SUMIFS(BD!$F$3:$F$5001,BD!$B$3:$B$5001,D$100,BD!$A$3:$A$5001,"&gt;="&amp;$C$7,BD!$A$3:$A$5001,"&lt;="&amp;$D$7),"—"))</f>
        <v>—</v>
      </c>
      <c r="E104" s="32" t="str">
        <f>IF(E$100="","",IF(Config!$G$38&lt;&gt;"Não",SUMIFS(BD!$F$3:$F$5001,BD!$B$3:$B$5001,E$100,BD!$A$3:$A$5001,"&gt;="&amp;$C$7,BD!$A$3:$A$5001,"&lt;="&amp;$D$7),"—"))</f>
        <v>—</v>
      </c>
      <c r="F104" s="32" t="str">
        <f>IF(F$100="","",IF(Config!$G$39&lt;&gt;"Não",SUMIFS(BD!$F$3:$F$5001,BD!$B$3:$B$5001,F$100,BD!$A$3:$A$5001,"&gt;="&amp;$C$7,BD!$A$3:$A$5001,"&lt;="&amp;$D$7),"—"))</f>
        <v>—</v>
      </c>
      <c r="G104" s="32">
        <f>IF(G$100="","",IF(Config!$G$40&lt;&gt;"Não",SUMIFS(BD!$F$3:$F$5001,BD!$B$3:$B$5001,G$100,BD!$A$3:$A$5001,"&gt;="&amp;$C$7,BD!$A$3:$A$5001,"&lt;="&amp;$D$7),"—"))</f>
        <v>0</v>
      </c>
      <c r="H104" s="32" t="str">
        <f>IF(H$100="","",IF(Config!$G$41&lt;&gt;"Não",SUMIFS(BD!$F$3:$F$5001,BD!$B$3:$B$5001,H$100,BD!$A$3:$A$5001,"&gt;="&amp;$C$7,BD!$A$3:$A$5001,"&lt;="&amp;$D$7),"—"))</f>
        <v>—</v>
      </c>
      <c r="I104" s="32" t="str">
        <f>IF(I$100="","",IF(Config!$G$42&lt;&gt;"Não",SUMIFS(BD!$F$3:$F$5001,BD!$B$3:$B$5001,I$100,BD!$A$3:$A$5001,"&gt;="&amp;$C$7,BD!$A$3:$A$5001,"&lt;="&amp;$D$7),"—"))</f>
        <v>—</v>
      </c>
      <c r="J104" s="32" t="str">
        <f>IF(J$100="","",IF(Config!$G$43&lt;&gt;"Não",SUMIFS(BD!$F$3:$F$5001,BD!$B$3:$B$5001,J$100,BD!$A$3:$A$5001,"&gt;="&amp;$C$7,BD!$A$3:$A$5001,"&lt;="&amp;$D$7),"—"))</f>
        <v>—</v>
      </c>
      <c r="K104" s="32">
        <f>IF(K$100="","",IF(Config!$G$44&lt;&gt;"Não",SUMIFS(BD!$F$3:$F$5001,BD!$B$3:$B$5001,K$100,BD!$A$3:$A$5001,"&gt;="&amp;$C$7,BD!$A$3:$A$5001,"&lt;="&amp;$D$7),"—"))</f>
        <v>0</v>
      </c>
      <c r="L104" s="32" t="str">
        <f>IF(L$100="","",IF(Config!$G$45&lt;&gt;"Não",SUMIFS(BD!$F$3:$F$5001,BD!$B$3:$B$5001,L$100,BD!$A$3:$A$5001,"&gt;="&amp;$C$7,BD!$A$3:$A$5001,"&lt;="&amp;$D$7),"—"))</f>
        <v/>
      </c>
      <c r="M104" s="32" t="str">
        <f>IF(M$100="","",IF(Config!$G$46&lt;&gt;"Não",SUMIFS(BD!$F$3:$F$5001,BD!$B$3:$B$5001,M$100,BD!$A$3:$A$5001,"&gt;="&amp;$C$7,BD!$A$3:$A$5001,"&lt;="&amp;$D$7),"—"))</f>
        <v/>
      </c>
      <c r="N104" s="32" t="str">
        <f>IF(N$100="","",IF(Config!$G$47&lt;&gt;"Não",SUMIFS(BD!$F$3:$F$5001,BD!$B$3:$B$5001,N$100,BD!$A$3:$A$5001,"&gt;="&amp;$C$7,BD!$A$3:$A$5001,"&lt;="&amp;$D$7),"—"))</f>
        <v/>
      </c>
      <c r="O104" s="32" t="str">
        <f>IF(O$100="","",IF(Config!$G$48&lt;&gt;"Não",SUMIFS(BD!$F$3:$F$5001,BD!$B$3:$B$5001,O$100,BD!$A$3:$A$5001,"&gt;="&amp;$C$7,BD!$A$3:$A$5001,"&lt;="&amp;$D$7),"—"))</f>
        <v/>
      </c>
      <c r="P104" s="32" t="str">
        <f>IF(P$100="","",IF(Config!$G$49&lt;&gt;"Não",SUMIFS(BD!$F$3:$F$5001,BD!$B$3:$B$5001,P$100,BD!$A$3:$A$5001,"&gt;="&amp;$C$7,BD!$A$3:$A$5001,"&lt;="&amp;$D$7),"—"))</f>
        <v/>
      </c>
      <c r="Q104" s="32" t="str">
        <f>IF(Q$100="","",IF(Config!$G$50&lt;&gt;"Não",SUMIFS(BD!$F$3:$F$5001,BD!$B$3:$B$5001,Q$100,BD!$A$3:$A$5001,"&gt;="&amp;$C$7,BD!$A$3:$A$5001,"&lt;="&amp;$D$7),"—"))</f>
        <v/>
      </c>
      <c r="R104" s="32" t="str">
        <f>IF(R$100="","",IF(Config!$G$51&lt;&gt;"Não",SUMIFS(BD!$F$3:$F$5001,BD!$B$3:$B$5001,R$100,BD!$A$3:$A$5001,"&gt;="&amp;$C$7,BD!$A$3:$A$5001,"&lt;="&amp;$D$7),"—"))</f>
        <v/>
      </c>
      <c r="S104" s="32" t="str">
        <f>IF(S$100="","",IF(Config!$G$52&lt;&gt;"Não",SUMIFS(BD!$F$3:$F$5001,BD!$B$3:$B$5001,S$100,BD!$A$3:$A$5001,"&gt;="&amp;$C$7,BD!$A$3:$A$5001,"&lt;="&amp;$D$7),"—"))</f>
        <v/>
      </c>
      <c r="T104" s="32" t="str">
        <f>IF(T$100="","",IF(Config!$G$53&lt;&gt;"Não",SUMIFS(BD!$F$3:$F$5001,BD!$B$3:$B$5001,T$100,BD!$A$3:$A$5001,"&gt;="&amp;$C$7,BD!$A$3:$A$5001,"&lt;="&amp;$D$7),"—"))</f>
        <v/>
      </c>
      <c r="U104" s="32" t="str">
        <f>IF(U$100="","",IF(Config!$G$54&lt;&gt;"Não",SUMIFS(BD!$F$3:$F$5001,BD!$B$3:$B$5001,U$100,BD!$A$3:$A$5001,"&gt;="&amp;$C$7,BD!$A$3:$A$5001,"&lt;="&amp;$D$7),"—"))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IN · Caixas Movimentadas</t>
        </is>
      </c>
      <c r="B105" s="32">
        <f>IF(B$100="","",IF(Config!$H$35&lt;&gt;"Não",SUMIFS(BD!$G$3:$G$5001,BD!$B$3:$B$5001,B$100,BD!$A$3:$A$5001,"&gt;="&amp;$C$7,BD!$A$3:$A$5001,"&lt;="&amp;$D$7),"—"))</f>
        <v>0</v>
      </c>
      <c r="C105" s="32" t="str">
        <f>IF(C$100="","",IF(Config!$H$36&lt;&gt;"Não",SUMIFS(BD!$G$3:$G$5001,BD!$B$3:$B$5001,C$100,BD!$A$3:$A$5001,"&gt;="&amp;$C$7,BD!$A$3:$A$5001,"&lt;="&amp;$D$7),"—"))</f>
        <v>—</v>
      </c>
      <c r="D105" s="32">
        <f>IF(D$100="","",IF(Config!$H$37&lt;&gt;"Não",SUMIFS(BD!$G$3:$G$5001,BD!$B$3:$B$5001,D$100,BD!$A$3:$A$5001,"&gt;="&amp;$C$7,BD!$A$3:$A$5001,"&lt;="&amp;$D$7),"—"))</f>
        <v>0</v>
      </c>
      <c r="E105" s="32">
        <f>IF(E$100="","",IF(Config!$H$38&lt;&gt;"Não",SUMIFS(BD!$G$3:$G$5001,BD!$B$3:$B$5001,E$100,BD!$A$3:$A$5001,"&gt;="&amp;$C$7,BD!$A$3:$A$5001,"&lt;="&amp;$D$7),"—"))</f>
        <v>0</v>
      </c>
      <c r="F105" s="32" t="str">
        <f>IF(F$100="","",IF(Config!$H$39&lt;&gt;"Não",SUMIFS(BD!$G$3:$G$5001,BD!$B$3:$B$5001,F$100,BD!$A$3:$A$5001,"&gt;="&amp;$C$7,BD!$A$3:$A$5001,"&lt;="&amp;$D$7),"—"))</f>
        <v>—</v>
      </c>
      <c r="G105" s="32" t="str">
        <f>IF(G$100="","",IF(Config!$H$40&lt;&gt;"Não",SUMIFS(BD!$G$3:$G$5001,BD!$B$3:$B$5001,G$100,BD!$A$3:$A$5001,"&gt;="&amp;$C$7,BD!$A$3:$A$5001,"&lt;="&amp;$D$7),"—"))</f>
        <v>—</v>
      </c>
      <c r="H105" s="32" t="str">
        <f>IF(H$100="","",IF(Config!$H$41&lt;&gt;"Não",SUMIFS(BD!$G$3:$G$5001,BD!$B$3:$B$5001,H$100,BD!$A$3:$A$5001,"&gt;="&amp;$C$7,BD!$A$3:$A$5001,"&lt;="&amp;$D$7),"—"))</f>
        <v>—</v>
      </c>
      <c r="I105" s="32" t="str">
        <f>IF(I$100="","",IF(Config!$H$42&lt;&gt;"Não",SUMIFS(BD!$G$3:$G$5001,BD!$B$3:$B$5001,I$100,BD!$A$3:$A$5001,"&gt;="&amp;$C$7,BD!$A$3:$A$5001,"&lt;="&amp;$D$7),"—"))</f>
        <v>—</v>
      </c>
      <c r="J105" s="32" t="str">
        <f>IF(J$100="","",IF(Config!$H$43&lt;&gt;"Não",SUMIFS(BD!$G$3:$G$5001,BD!$B$3:$B$5001,J$100,BD!$A$3:$A$5001,"&gt;="&amp;$C$7,BD!$A$3:$A$5001,"&lt;="&amp;$D$7),"—"))</f>
        <v>—</v>
      </c>
      <c r="K105" s="32" t="str">
        <f>IF(K$100="","",IF(Config!$H$44&lt;&gt;"Não",SUMIFS(BD!$G$3:$G$5001,BD!$B$3:$B$5001,K$100,BD!$A$3:$A$5001,"&gt;="&amp;$C$7,BD!$A$3:$A$5001,"&lt;="&amp;$D$7),"—"))</f>
        <v>—</v>
      </c>
      <c r="L105" s="32" t="str">
        <f>IF(L$100="","",IF(Config!$H$45&lt;&gt;"Não",SUMIFS(BD!$G$3:$G$5001,BD!$B$3:$B$5001,L$100,BD!$A$3:$A$5001,"&gt;="&amp;$C$7,BD!$A$3:$A$5001,"&lt;="&amp;$D$7),"—"))</f>
        <v/>
      </c>
      <c r="M105" s="32" t="str">
        <f>IF(M$100="","",IF(Config!$H$46&lt;&gt;"Não",SUMIFS(BD!$G$3:$G$5001,BD!$B$3:$B$5001,M$100,BD!$A$3:$A$5001,"&gt;="&amp;$C$7,BD!$A$3:$A$5001,"&lt;="&amp;$D$7),"—"))</f>
        <v/>
      </c>
      <c r="N105" s="32" t="str">
        <f>IF(N$100="","",IF(Config!$H$47&lt;&gt;"Não",SUMIFS(BD!$G$3:$G$5001,BD!$B$3:$B$5001,N$100,BD!$A$3:$A$5001,"&gt;="&amp;$C$7,BD!$A$3:$A$5001,"&lt;="&amp;$D$7),"—"))</f>
        <v/>
      </c>
      <c r="O105" s="32" t="str">
        <f>IF(O$100="","",IF(Config!$H$48&lt;&gt;"Não",SUMIFS(BD!$G$3:$G$5001,BD!$B$3:$B$5001,O$100,BD!$A$3:$A$5001,"&gt;="&amp;$C$7,BD!$A$3:$A$5001,"&lt;="&amp;$D$7),"—"))</f>
        <v/>
      </c>
      <c r="P105" s="32" t="str">
        <f>IF(P$100="","",IF(Config!$H$49&lt;&gt;"Não",SUMIFS(BD!$G$3:$G$5001,BD!$B$3:$B$5001,P$100,BD!$A$3:$A$5001,"&gt;="&amp;$C$7,BD!$A$3:$A$5001,"&lt;="&amp;$D$7),"—"))</f>
        <v/>
      </c>
      <c r="Q105" s="32" t="str">
        <f>IF(Q$100="","",IF(Config!$H$50&lt;&gt;"Não",SUMIFS(BD!$G$3:$G$5001,BD!$B$3:$B$5001,Q$100,BD!$A$3:$A$5001,"&gt;="&amp;$C$7,BD!$A$3:$A$5001,"&lt;="&amp;$D$7),"—"))</f>
        <v/>
      </c>
      <c r="R105" s="32" t="str">
        <f>IF(R$100="","",IF(Config!$H$51&lt;&gt;"Não",SUMIFS(BD!$G$3:$G$5001,BD!$B$3:$B$5001,R$100,BD!$A$3:$A$5001,"&gt;="&amp;$C$7,BD!$A$3:$A$5001,"&lt;="&amp;$D$7),"—"))</f>
        <v/>
      </c>
      <c r="S105" s="32" t="str">
        <f>IF(S$100="","",IF(Config!$H$52&lt;&gt;"Não",SUMIFS(BD!$G$3:$G$5001,BD!$B$3:$B$5001,S$100,BD!$A$3:$A$5001,"&gt;="&amp;$C$7,BD!$A$3:$A$5001,"&lt;="&amp;$D$7),"—"))</f>
        <v/>
      </c>
      <c r="T105" s="32" t="str">
        <f>IF(T$100="","",IF(Config!$H$53&lt;&gt;"Não",SUMIFS(BD!$G$3:$G$5001,BD!$B$3:$B$5001,T$100,BD!$A$3:$A$5001,"&gt;="&amp;$C$7,BD!$A$3:$A$5001,"&lt;="&amp;$D$7),"—"))</f>
        <v/>
      </c>
      <c r="U105" s="32" t="str">
        <f>IF(U$100="","",IF(Config!$H$54&lt;&gt;"Não",SUMIFS(BD!$G$3:$G$5001,BD!$B$3:$B$5001,U$100,BD!$A$3:$A$5001,"&gt;="&amp;$C$7,BD!$A$3:$A$5001,"&lt;="&amp;$D$7),"—"))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IN · Itens Recebidos</t>
        </is>
      </c>
      <c r="B106" s="32" t="str">
        <f>IF(B$100="","",IF(Config!$I$35&lt;&gt;"Não",SUMIFS(BD!$H$3:$H$5001,BD!$B$3:$B$5001,B$100,BD!$A$3:$A$5001,"&gt;="&amp;$C$7,BD!$A$3:$A$5001,"&lt;="&amp;$D$7),"—"))</f>
        <v>—</v>
      </c>
      <c r="C106" s="32" t="str">
        <f>IF(C$100="","",IF(Config!$I$36&lt;&gt;"Não",SUMIFS(BD!$H$3:$H$5001,BD!$B$3:$B$5001,C$100,BD!$A$3:$A$5001,"&gt;="&amp;$C$7,BD!$A$3:$A$5001,"&lt;="&amp;$D$7),"—"))</f>
        <v>—</v>
      </c>
      <c r="D106" s="32" t="str">
        <f>IF(D$100="","",IF(Config!$I$37&lt;&gt;"Não",SUMIFS(BD!$H$3:$H$5001,BD!$B$3:$B$5001,D$100,BD!$A$3:$A$5001,"&gt;="&amp;$C$7,BD!$A$3:$A$5001,"&lt;="&amp;$D$7),"—"))</f>
        <v>—</v>
      </c>
      <c r="E106" s="32" t="str">
        <f>IF(E$100="","",IF(Config!$I$38&lt;&gt;"Não",SUMIFS(BD!$H$3:$H$5001,BD!$B$3:$B$5001,E$100,BD!$A$3:$A$5001,"&gt;="&amp;$C$7,BD!$A$3:$A$5001,"&lt;="&amp;$D$7),"—"))</f>
        <v>—</v>
      </c>
      <c r="F106" s="32" t="str">
        <f>IF(F$100="","",IF(Config!$I$39&lt;&gt;"Não",SUMIFS(BD!$H$3:$H$5001,BD!$B$3:$B$5001,F$100,BD!$A$3:$A$5001,"&gt;="&amp;$C$7,BD!$A$3:$A$5001,"&lt;="&amp;$D$7),"—"))</f>
        <v>—</v>
      </c>
      <c r="G106" s="32" t="str">
        <f>IF(G$100="","",IF(Config!$I$40&lt;&gt;"Não",SUMIFS(BD!$H$3:$H$5001,BD!$B$3:$B$5001,G$100,BD!$A$3:$A$5001,"&gt;="&amp;$C$7,BD!$A$3:$A$5001,"&lt;="&amp;$D$7),"—"))</f>
        <v>—</v>
      </c>
      <c r="H106" s="32" t="str">
        <f>IF(H$100="","",IF(Config!$I$41&lt;&gt;"Não",SUMIFS(BD!$H$3:$H$5001,BD!$B$3:$B$5001,H$100,BD!$A$3:$A$5001,"&gt;="&amp;$C$7,BD!$A$3:$A$5001,"&lt;="&amp;$D$7),"—"))</f>
        <v>—</v>
      </c>
      <c r="I106" s="32" t="str">
        <f>IF(I$100="","",IF(Config!$I$42&lt;&gt;"Não",SUMIFS(BD!$H$3:$H$5001,BD!$B$3:$B$5001,I$100,BD!$A$3:$A$5001,"&gt;="&amp;$C$7,BD!$A$3:$A$5001,"&lt;="&amp;$D$7),"—"))</f>
        <v>—</v>
      </c>
      <c r="J106" s="32" t="str">
        <f>IF(J$100="","",IF(Config!$I$43&lt;&gt;"Não",SUMIFS(BD!$H$3:$H$5001,BD!$B$3:$B$5001,J$100,BD!$A$3:$A$5001,"&gt;="&amp;$C$7,BD!$A$3:$A$5001,"&lt;="&amp;$D$7),"—"))</f>
        <v>—</v>
      </c>
      <c r="K106" s="32" t="str">
        <f>IF(K$100="","",IF(Config!$I$44&lt;&gt;"Não",SUMIFS(BD!$H$3:$H$5001,BD!$B$3:$B$5001,K$100,BD!$A$3:$A$5001,"&gt;="&amp;$C$7,BD!$A$3:$A$5001,"&lt;="&amp;$D$7),"—"))</f>
        <v>—</v>
      </c>
      <c r="L106" s="32" t="str">
        <f>IF(L$100="","",IF(Config!$I$45&lt;&gt;"Não",SUMIFS(BD!$H$3:$H$5001,BD!$B$3:$B$5001,L$100,BD!$A$3:$A$5001,"&gt;="&amp;$C$7,BD!$A$3:$A$5001,"&lt;="&amp;$D$7),"—"))</f>
        <v/>
      </c>
      <c r="M106" s="32" t="str">
        <f>IF(M$100="","",IF(Config!$I$46&lt;&gt;"Não",SUMIFS(BD!$H$3:$H$5001,BD!$B$3:$B$5001,M$100,BD!$A$3:$A$5001,"&gt;="&amp;$C$7,BD!$A$3:$A$5001,"&lt;="&amp;$D$7),"—"))</f>
        <v/>
      </c>
      <c r="N106" s="32" t="str">
        <f>IF(N$100="","",IF(Config!$I$47&lt;&gt;"Não",SUMIFS(BD!$H$3:$H$5001,BD!$B$3:$B$5001,N$100,BD!$A$3:$A$5001,"&gt;="&amp;$C$7,BD!$A$3:$A$5001,"&lt;="&amp;$D$7),"—"))</f>
        <v/>
      </c>
      <c r="O106" s="32" t="str">
        <f>IF(O$100="","",IF(Config!$I$48&lt;&gt;"Não",SUMIFS(BD!$H$3:$H$5001,BD!$B$3:$B$5001,O$100,BD!$A$3:$A$5001,"&gt;="&amp;$C$7,BD!$A$3:$A$5001,"&lt;="&amp;$D$7),"—"))</f>
        <v/>
      </c>
      <c r="P106" s="32" t="str">
        <f>IF(P$100="","",IF(Config!$I$49&lt;&gt;"Não",SUMIFS(BD!$H$3:$H$5001,BD!$B$3:$B$5001,P$100,BD!$A$3:$A$5001,"&gt;="&amp;$C$7,BD!$A$3:$A$5001,"&lt;="&amp;$D$7),"—"))</f>
        <v/>
      </c>
      <c r="Q106" s="32" t="str">
        <f>IF(Q$100="","",IF(Config!$I$50&lt;&gt;"Não",SUMIFS(BD!$H$3:$H$5001,BD!$B$3:$B$5001,Q$100,BD!$A$3:$A$5001,"&gt;="&amp;$C$7,BD!$A$3:$A$5001,"&lt;="&amp;$D$7),"—"))</f>
        <v/>
      </c>
      <c r="R106" s="32" t="str">
        <f>IF(R$100="","",IF(Config!$I$51&lt;&gt;"Não",SUMIFS(BD!$H$3:$H$5001,BD!$B$3:$B$5001,R$100,BD!$A$3:$A$5001,"&gt;="&amp;$C$7,BD!$A$3:$A$5001,"&lt;="&amp;$D$7),"—"))</f>
        <v/>
      </c>
      <c r="S106" s="32" t="str">
        <f>IF(S$100="","",IF(Config!$I$52&lt;&gt;"Não",SUMIFS(BD!$H$3:$H$5001,BD!$B$3:$B$5001,S$100,BD!$A$3:$A$5001,"&gt;="&amp;$C$7,BD!$A$3:$A$5001,"&lt;="&amp;$D$7),"—"))</f>
        <v/>
      </c>
      <c r="T106" s="32" t="str">
        <f>IF(T$100="","",IF(Config!$I$53&lt;&gt;"Não",SUMIFS(BD!$H$3:$H$5001,BD!$B$3:$B$5001,T$100,BD!$A$3:$A$5001,"&gt;="&amp;$C$7,BD!$A$3:$A$5001,"&lt;="&amp;$D$7),"—"))</f>
        <v/>
      </c>
      <c r="U106" s="32" t="str">
        <f>IF(U$100="","",IF(Config!$I$54&lt;&gt;"Não",SUMIFS(BD!$H$3:$H$5001,BD!$B$3:$B$5001,U$100,BD!$A$3:$A$5001,"&gt;="&amp;$C$7,BD!$A$3:$A$5001,"&lt;="&amp;$D$7),"—"))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IN · Itens Recebidos CX Mista</t>
        </is>
      </c>
      <c r="B107" s="32" t="str">
        <f>IF(B$100="","",IF(Config!$J$35&lt;&gt;"Não",SUMIFS(BD!$I$3:$I$5001,BD!$B$3:$B$5001,B$100,BD!$A$3:$A$5001,"&gt;="&amp;$C$7,BD!$A$3:$A$5001,"&lt;="&amp;$D$7),"—"))</f>
        <v>—</v>
      </c>
      <c r="C107" s="32" t="str">
        <f>IF(C$100="","",IF(Config!$J$36&lt;&gt;"Não",SUMIFS(BD!$I$3:$I$5001,BD!$B$3:$B$5001,C$100,BD!$A$3:$A$5001,"&gt;="&amp;$C$7,BD!$A$3:$A$5001,"&lt;="&amp;$D$7),"—"))</f>
        <v>—</v>
      </c>
      <c r="D107" s="32" t="str">
        <f>IF(D$100="","",IF(Config!$J$37&lt;&gt;"Não",SUMIFS(BD!$I$3:$I$5001,BD!$B$3:$B$5001,D$100,BD!$A$3:$A$5001,"&gt;="&amp;$C$7,BD!$A$3:$A$5001,"&lt;="&amp;$D$7),"—"))</f>
        <v>—</v>
      </c>
      <c r="E107" s="32">
        <f>IF(E$100="","",IF(Config!$J$38&lt;&gt;"Não",SUMIFS(BD!$I$3:$I$5001,BD!$B$3:$B$5001,E$100,BD!$A$3:$A$5001,"&gt;="&amp;$C$7,BD!$A$3:$A$5001,"&lt;="&amp;$D$7),"—"))</f>
        <v>0</v>
      </c>
      <c r="F107" s="32" t="str">
        <f>IF(F$100="","",IF(Config!$J$39&lt;&gt;"Não",SUMIFS(BD!$I$3:$I$5001,BD!$B$3:$B$5001,F$100,BD!$A$3:$A$5001,"&gt;="&amp;$C$7,BD!$A$3:$A$5001,"&lt;="&amp;$D$7),"—"))</f>
        <v>—</v>
      </c>
      <c r="G107" s="32" t="str">
        <f>IF(G$100="","",IF(Config!$J$40&lt;&gt;"Não",SUMIFS(BD!$I$3:$I$5001,BD!$B$3:$B$5001,G$100,BD!$A$3:$A$5001,"&gt;="&amp;$C$7,BD!$A$3:$A$5001,"&lt;="&amp;$D$7),"—"))</f>
        <v>—</v>
      </c>
      <c r="H107" s="32" t="str">
        <f>IF(H$100="","",IF(Config!$J$41&lt;&gt;"Não",SUMIFS(BD!$I$3:$I$5001,BD!$B$3:$B$5001,H$100,BD!$A$3:$A$5001,"&gt;="&amp;$C$7,BD!$A$3:$A$5001,"&lt;="&amp;$D$7),"—"))</f>
        <v>—</v>
      </c>
      <c r="I107" s="32" t="str">
        <f>IF(I$100="","",IF(Config!$J$42&lt;&gt;"Não",SUMIFS(BD!$I$3:$I$5001,BD!$B$3:$B$5001,I$100,BD!$A$3:$A$5001,"&gt;="&amp;$C$7,BD!$A$3:$A$5001,"&lt;="&amp;$D$7),"—"))</f>
        <v>—</v>
      </c>
      <c r="J107" s="32" t="str">
        <f>IF(J$100="","",IF(Config!$J$43&lt;&gt;"Não",SUMIFS(BD!$I$3:$I$5001,BD!$B$3:$B$5001,J$100,BD!$A$3:$A$5001,"&gt;="&amp;$C$7,BD!$A$3:$A$5001,"&lt;="&amp;$D$7),"—"))</f>
        <v>—</v>
      </c>
      <c r="K107" s="32" t="str">
        <f>IF(K$100="","",IF(Config!$J$44&lt;&gt;"Não",SUMIFS(BD!$I$3:$I$5001,BD!$B$3:$B$5001,K$100,BD!$A$3:$A$5001,"&gt;="&amp;$C$7,BD!$A$3:$A$5001,"&lt;="&amp;$D$7),"—"))</f>
        <v>—</v>
      </c>
      <c r="L107" s="32" t="str">
        <f>IF(L$100="","",IF(Config!$J$45&lt;&gt;"Não",SUMIFS(BD!$I$3:$I$5001,BD!$B$3:$B$5001,L$100,BD!$A$3:$A$5001,"&gt;="&amp;$C$7,BD!$A$3:$A$5001,"&lt;="&amp;$D$7),"—"))</f>
        <v/>
      </c>
      <c r="M107" s="32" t="str">
        <f>IF(M$100="","",IF(Config!$J$46&lt;&gt;"Não",SUMIFS(BD!$I$3:$I$5001,BD!$B$3:$B$5001,M$100,BD!$A$3:$A$5001,"&gt;="&amp;$C$7,BD!$A$3:$A$5001,"&lt;="&amp;$D$7),"—"))</f>
        <v/>
      </c>
      <c r="N107" s="32" t="str">
        <f>IF(N$100="","",IF(Config!$J$47&lt;&gt;"Não",SUMIFS(BD!$I$3:$I$5001,BD!$B$3:$B$5001,N$100,BD!$A$3:$A$5001,"&gt;="&amp;$C$7,BD!$A$3:$A$5001,"&lt;="&amp;$D$7),"—"))</f>
        <v/>
      </c>
      <c r="O107" s="32" t="str">
        <f>IF(O$100="","",IF(Config!$J$48&lt;&gt;"Não",SUMIFS(BD!$I$3:$I$5001,BD!$B$3:$B$5001,O$100,BD!$A$3:$A$5001,"&gt;="&amp;$C$7,BD!$A$3:$A$5001,"&lt;="&amp;$D$7),"—"))</f>
        <v/>
      </c>
      <c r="P107" s="32" t="str">
        <f>IF(P$100="","",IF(Config!$J$49&lt;&gt;"Não",SUMIFS(BD!$I$3:$I$5001,BD!$B$3:$B$5001,P$100,BD!$A$3:$A$5001,"&gt;="&amp;$C$7,BD!$A$3:$A$5001,"&lt;="&amp;$D$7),"—"))</f>
        <v/>
      </c>
      <c r="Q107" s="32" t="str">
        <f>IF(Q$100="","",IF(Config!$J$50&lt;&gt;"Não",SUMIFS(BD!$I$3:$I$5001,BD!$B$3:$B$5001,Q$100,BD!$A$3:$A$5001,"&gt;="&amp;$C$7,BD!$A$3:$A$5001,"&lt;="&amp;$D$7),"—"))</f>
        <v/>
      </c>
      <c r="R107" s="32" t="str">
        <f>IF(R$100="","",IF(Config!$J$51&lt;&gt;"Não",SUMIFS(BD!$I$3:$I$5001,BD!$B$3:$B$5001,R$100,BD!$A$3:$A$5001,"&gt;="&amp;$C$7,BD!$A$3:$A$5001,"&lt;="&amp;$D$7),"—"))</f>
        <v/>
      </c>
      <c r="S107" s="32" t="str">
        <f>IF(S$100="","",IF(Config!$J$52&lt;&gt;"Não",SUMIFS(BD!$I$3:$I$5001,BD!$B$3:$B$5001,S$100,BD!$A$3:$A$5001,"&gt;="&amp;$C$7,BD!$A$3:$A$5001,"&lt;="&amp;$D$7),"—"))</f>
        <v/>
      </c>
      <c r="T107" s="32" t="str">
        <f>IF(T$100="","",IF(Config!$J$53&lt;&gt;"Não",SUMIFS(BD!$I$3:$I$5001,BD!$B$3:$B$5001,T$100,BD!$A$3:$A$5001,"&gt;="&amp;$C$7,BD!$A$3:$A$5001,"&lt;="&amp;$D$7),"—"))</f>
        <v/>
      </c>
      <c r="U107" s="32" t="str">
        <f>IF(U$100="","",IF(Config!$J$54&lt;&gt;"Não",SUMIFS(BD!$I$3:$I$5001,BD!$B$3:$B$5001,U$100,BD!$A$3:$A$5001,"&gt;="&amp;$C$7,BD!$A$3:$A$5001,"&lt;="&amp;$D$7),"—"))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IN · Caixas Fechadas</t>
        </is>
      </c>
      <c r="B108" s="32" t="str">
        <f>IF(B$100="","",IF(Config!$K$35&lt;&gt;"Não",SUMIFS(BD!$J$3:$J$5001,BD!$B$3:$B$5001,B$100,BD!$A$3:$A$5001,"&gt;="&amp;$C$7,BD!$A$3:$A$5001,"&lt;="&amp;$D$7),"—"))</f>
        <v>—</v>
      </c>
      <c r="C108" s="32" t="str">
        <f>IF(C$100="","",IF(Config!$K$36&lt;&gt;"Não",SUMIFS(BD!$J$3:$J$5001,BD!$B$3:$B$5001,C$100,BD!$A$3:$A$5001,"&gt;="&amp;$C$7,BD!$A$3:$A$5001,"&lt;="&amp;$D$7),"—"))</f>
        <v>—</v>
      </c>
      <c r="D108" s="32" t="str">
        <f>IF(D$100="","",IF(Config!$K$37&lt;&gt;"Não",SUMIFS(BD!$J$3:$J$5001,BD!$B$3:$B$5001,D$100,BD!$A$3:$A$5001,"&gt;="&amp;$C$7,BD!$A$3:$A$5001,"&lt;="&amp;$D$7),"—"))</f>
        <v>—</v>
      </c>
      <c r="E108" s="32">
        <f>IF(E$100="","",IF(Config!$K$38&lt;&gt;"Não",SUMIFS(BD!$J$3:$J$5001,BD!$B$3:$B$5001,E$100,BD!$A$3:$A$5001,"&gt;="&amp;$C$7,BD!$A$3:$A$5001,"&lt;="&amp;$D$7),"—"))</f>
        <v>0</v>
      </c>
      <c r="F108" s="32" t="str">
        <f>IF(F$100="","",IF(Config!$K$39&lt;&gt;"Não",SUMIFS(BD!$J$3:$J$5001,BD!$B$3:$B$5001,F$100,BD!$A$3:$A$5001,"&gt;="&amp;$C$7,BD!$A$3:$A$5001,"&lt;="&amp;$D$7),"—"))</f>
        <v>—</v>
      </c>
      <c r="G108" s="32" t="str">
        <f>IF(G$100="","",IF(Config!$K$40&lt;&gt;"Não",SUMIFS(BD!$J$3:$J$5001,BD!$B$3:$B$5001,G$100,BD!$A$3:$A$5001,"&gt;="&amp;$C$7,BD!$A$3:$A$5001,"&lt;="&amp;$D$7),"—"))</f>
        <v>—</v>
      </c>
      <c r="H108" s="32" t="str">
        <f>IF(H$100="","",IF(Config!$K$41&lt;&gt;"Não",SUMIFS(BD!$J$3:$J$5001,BD!$B$3:$B$5001,H$100,BD!$A$3:$A$5001,"&gt;="&amp;$C$7,BD!$A$3:$A$5001,"&lt;="&amp;$D$7),"—"))</f>
        <v>—</v>
      </c>
      <c r="I108" s="32" t="str">
        <f>IF(I$100="","",IF(Config!$K$42&lt;&gt;"Não",SUMIFS(BD!$J$3:$J$5001,BD!$B$3:$B$5001,I$100,BD!$A$3:$A$5001,"&gt;="&amp;$C$7,BD!$A$3:$A$5001,"&lt;="&amp;$D$7),"—"))</f>
        <v>—</v>
      </c>
      <c r="J108" s="32" t="str">
        <f>IF(J$100="","",IF(Config!$K$43&lt;&gt;"Não",SUMIFS(BD!$J$3:$J$5001,BD!$B$3:$B$5001,J$100,BD!$A$3:$A$5001,"&gt;="&amp;$C$7,BD!$A$3:$A$5001,"&lt;="&amp;$D$7),"—"))</f>
        <v>—</v>
      </c>
      <c r="K108" s="32" t="str">
        <f>IF(K$100="","",IF(Config!$K$44&lt;&gt;"Não",SUMIFS(BD!$J$3:$J$5001,BD!$B$3:$B$5001,K$100,BD!$A$3:$A$5001,"&gt;="&amp;$C$7,BD!$A$3:$A$5001,"&lt;="&amp;$D$7),"—"))</f>
        <v>—</v>
      </c>
      <c r="L108" s="32" t="str">
        <f>IF(L$100="","",IF(Config!$K$45&lt;&gt;"Não",SUMIFS(BD!$J$3:$J$5001,BD!$B$3:$B$5001,L$100,BD!$A$3:$A$5001,"&gt;="&amp;$C$7,BD!$A$3:$A$5001,"&lt;="&amp;$D$7),"—"))</f>
        <v/>
      </c>
      <c r="M108" s="32" t="str">
        <f>IF(M$100="","",IF(Config!$K$46&lt;&gt;"Não",SUMIFS(BD!$J$3:$J$5001,BD!$B$3:$B$5001,M$100,BD!$A$3:$A$5001,"&gt;="&amp;$C$7,BD!$A$3:$A$5001,"&lt;="&amp;$D$7),"—"))</f>
        <v/>
      </c>
      <c r="N108" s="32" t="str">
        <f>IF(N$100="","",IF(Config!$K$47&lt;&gt;"Não",SUMIFS(BD!$J$3:$J$5001,BD!$B$3:$B$5001,N$100,BD!$A$3:$A$5001,"&gt;="&amp;$C$7,BD!$A$3:$A$5001,"&lt;="&amp;$D$7),"—"))</f>
        <v/>
      </c>
      <c r="O108" s="32" t="str">
        <f>IF(O$100="","",IF(Config!$K$48&lt;&gt;"Não",SUMIFS(BD!$J$3:$J$5001,BD!$B$3:$B$5001,O$100,BD!$A$3:$A$5001,"&gt;="&amp;$C$7,BD!$A$3:$A$5001,"&lt;="&amp;$D$7),"—"))</f>
        <v/>
      </c>
      <c r="P108" s="32" t="str">
        <f>IF(P$100="","",IF(Config!$K$49&lt;&gt;"Não",SUMIFS(BD!$J$3:$J$5001,BD!$B$3:$B$5001,P$100,BD!$A$3:$A$5001,"&gt;="&amp;$C$7,BD!$A$3:$A$5001,"&lt;="&amp;$D$7),"—"))</f>
        <v/>
      </c>
      <c r="Q108" s="32" t="str">
        <f>IF(Q$100="","",IF(Config!$K$50&lt;&gt;"Não",SUMIFS(BD!$J$3:$J$5001,BD!$B$3:$B$5001,Q$100,BD!$A$3:$A$5001,"&gt;="&amp;$C$7,BD!$A$3:$A$5001,"&lt;="&amp;$D$7),"—"))</f>
        <v/>
      </c>
      <c r="R108" s="32" t="str">
        <f>IF(R$100="","",IF(Config!$K$51&lt;&gt;"Não",SUMIFS(BD!$J$3:$J$5001,BD!$B$3:$B$5001,R$100,BD!$A$3:$A$5001,"&gt;="&amp;$C$7,BD!$A$3:$A$5001,"&lt;="&amp;$D$7),"—"))</f>
        <v/>
      </c>
      <c r="S108" s="32" t="str">
        <f>IF(S$100="","",IF(Config!$K$52&lt;&gt;"Não",SUMIFS(BD!$J$3:$J$5001,BD!$B$3:$B$5001,S$100,BD!$A$3:$A$5001,"&gt;="&amp;$C$7,BD!$A$3:$A$5001,"&lt;="&amp;$D$7),"—"))</f>
        <v/>
      </c>
      <c r="T108" s="32" t="str">
        <f>IF(T$100="","",IF(Config!$K$53&lt;&gt;"Não",SUMIFS(BD!$J$3:$J$5001,BD!$B$3:$B$5001,T$100,BD!$A$3:$A$5001,"&gt;="&amp;$C$7,BD!$A$3:$A$5001,"&lt;="&amp;$D$7),"—"))</f>
        <v/>
      </c>
      <c r="U108" s="32" t="str">
        <f>IF(U$100="","",IF(Config!$K$54&lt;&gt;"Não",SUMIFS(BD!$J$3:$J$5001,BD!$B$3:$B$5001,U$100,BD!$A$3:$A$5001,"&gt;="&amp;$C$7,BD!$A$3:$A$5001,"&lt;="&amp;$D$7),"—"))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IN · Caixas Mistas Recebidas</t>
        </is>
      </c>
      <c r="B109" s="32" t="str">
        <f>IF(B$100="","",IF(Config!$L$35&lt;&gt;"Não",SUMIFS(BD!$K$3:$K$5001,BD!$B$3:$B$5001,B$100,BD!$A$3:$A$5001,"&gt;="&amp;$C$7,BD!$A$3:$A$5001,"&lt;="&amp;$D$7),"—"))</f>
        <v>—</v>
      </c>
      <c r="C109" s="32" t="str">
        <f>IF(C$100="","",IF(Config!$L$36&lt;&gt;"Não",SUMIFS(BD!$K$3:$K$5001,BD!$B$3:$B$5001,C$100,BD!$A$3:$A$5001,"&gt;="&amp;$C$7,BD!$A$3:$A$5001,"&lt;="&amp;$D$7),"—"))</f>
        <v>—</v>
      </c>
      <c r="D109" s="32" t="str">
        <f>IF(D$100="","",IF(Config!$L$37&lt;&gt;"Não",SUMIFS(BD!$K$3:$K$5001,BD!$B$3:$B$5001,D$100,BD!$A$3:$A$5001,"&gt;="&amp;$C$7,BD!$A$3:$A$5001,"&lt;="&amp;$D$7),"—"))</f>
        <v>—</v>
      </c>
      <c r="E109" s="32">
        <f>IF(E$100="","",IF(Config!$L$38&lt;&gt;"Não",SUMIFS(BD!$K$3:$K$5001,BD!$B$3:$B$5001,E$100,BD!$A$3:$A$5001,"&gt;="&amp;$C$7,BD!$A$3:$A$5001,"&lt;="&amp;$D$7),"—"))</f>
        <v>0</v>
      </c>
      <c r="F109" s="32" t="str">
        <f>IF(F$100="","",IF(Config!$L$39&lt;&gt;"Não",SUMIFS(BD!$K$3:$K$5001,BD!$B$3:$B$5001,F$100,BD!$A$3:$A$5001,"&gt;="&amp;$C$7,BD!$A$3:$A$5001,"&lt;="&amp;$D$7),"—"))</f>
        <v>—</v>
      </c>
      <c r="G109" s="32" t="str">
        <f>IF(G$100="","",IF(Config!$L$40&lt;&gt;"Não",SUMIFS(BD!$K$3:$K$5001,BD!$B$3:$B$5001,G$100,BD!$A$3:$A$5001,"&gt;="&amp;$C$7,BD!$A$3:$A$5001,"&lt;="&amp;$D$7),"—"))</f>
        <v>—</v>
      </c>
      <c r="H109" s="32" t="str">
        <f>IF(H$100="","",IF(Config!$L$41&lt;&gt;"Não",SUMIFS(BD!$K$3:$K$5001,BD!$B$3:$B$5001,H$100,BD!$A$3:$A$5001,"&gt;="&amp;$C$7,BD!$A$3:$A$5001,"&lt;="&amp;$D$7),"—"))</f>
        <v>—</v>
      </c>
      <c r="I109" s="32" t="str">
        <f>IF(I$100="","",IF(Config!$L$42&lt;&gt;"Não",SUMIFS(BD!$K$3:$K$5001,BD!$B$3:$B$5001,I$100,BD!$A$3:$A$5001,"&gt;="&amp;$C$7,BD!$A$3:$A$5001,"&lt;="&amp;$D$7),"—"))</f>
        <v>—</v>
      </c>
      <c r="J109" s="32" t="str">
        <f>IF(J$100="","",IF(Config!$L$43&lt;&gt;"Não",SUMIFS(BD!$K$3:$K$5001,BD!$B$3:$B$5001,J$100,BD!$A$3:$A$5001,"&gt;="&amp;$C$7,BD!$A$3:$A$5001,"&lt;="&amp;$D$7),"—"))</f>
        <v>—</v>
      </c>
      <c r="K109" s="32" t="str">
        <f>IF(K$100="","",IF(Config!$L$44&lt;&gt;"Não",SUMIFS(BD!$K$3:$K$5001,BD!$B$3:$B$5001,K$100,BD!$A$3:$A$5001,"&gt;="&amp;$C$7,BD!$A$3:$A$5001,"&lt;="&amp;$D$7),"—"))</f>
        <v>—</v>
      </c>
      <c r="L109" s="32" t="str">
        <f>IF(L$100="","",IF(Config!$L$45&lt;&gt;"Não",SUMIFS(BD!$K$3:$K$5001,BD!$B$3:$B$5001,L$100,BD!$A$3:$A$5001,"&gt;="&amp;$C$7,BD!$A$3:$A$5001,"&lt;="&amp;$D$7),"—"))</f>
        <v/>
      </c>
      <c r="M109" s="32" t="str">
        <f>IF(M$100="","",IF(Config!$L$46&lt;&gt;"Não",SUMIFS(BD!$K$3:$K$5001,BD!$B$3:$B$5001,M$100,BD!$A$3:$A$5001,"&gt;="&amp;$C$7,BD!$A$3:$A$5001,"&lt;="&amp;$D$7),"—"))</f>
        <v/>
      </c>
      <c r="N109" s="32" t="str">
        <f>IF(N$100="","",IF(Config!$L$47&lt;&gt;"Não",SUMIFS(BD!$K$3:$K$5001,BD!$B$3:$B$5001,N$100,BD!$A$3:$A$5001,"&gt;="&amp;$C$7,BD!$A$3:$A$5001,"&lt;="&amp;$D$7),"—"))</f>
        <v/>
      </c>
      <c r="O109" s="32" t="str">
        <f>IF(O$100="","",IF(Config!$L$48&lt;&gt;"Não",SUMIFS(BD!$K$3:$K$5001,BD!$B$3:$B$5001,O$100,BD!$A$3:$A$5001,"&gt;="&amp;$C$7,BD!$A$3:$A$5001,"&lt;="&amp;$D$7),"—"))</f>
        <v/>
      </c>
      <c r="P109" s="32" t="str">
        <f>IF(P$100="","",IF(Config!$L$49&lt;&gt;"Não",SUMIFS(BD!$K$3:$K$5001,BD!$B$3:$B$5001,P$100,BD!$A$3:$A$5001,"&gt;="&amp;$C$7,BD!$A$3:$A$5001,"&lt;="&amp;$D$7),"—"))</f>
        <v/>
      </c>
      <c r="Q109" s="32" t="str">
        <f>IF(Q$100="","",IF(Config!$L$50&lt;&gt;"Não",SUMIFS(BD!$K$3:$K$5001,BD!$B$3:$B$5001,Q$100,BD!$A$3:$A$5001,"&gt;="&amp;$C$7,BD!$A$3:$A$5001,"&lt;="&amp;$D$7),"—"))</f>
        <v/>
      </c>
      <c r="R109" s="32" t="str">
        <f>IF(R$100="","",IF(Config!$L$51&lt;&gt;"Não",SUMIFS(BD!$K$3:$K$5001,BD!$B$3:$B$5001,R$100,BD!$A$3:$A$5001,"&gt;="&amp;$C$7,BD!$A$3:$A$5001,"&lt;="&amp;$D$7),"—"))</f>
        <v/>
      </c>
      <c r="S109" s="32" t="str">
        <f>IF(S$100="","",IF(Config!$L$52&lt;&gt;"Não",SUMIFS(BD!$K$3:$K$5001,BD!$B$3:$B$5001,S$100,BD!$A$3:$A$5001,"&gt;="&amp;$C$7,BD!$A$3:$A$5001,"&lt;="&amp;$D$7),"—"))</f>
        <v/>
      </c>
      <c r="T109" s="32" t="str">
        <f>IF(T$100="","",IF(Config!$L$53&lt;&gt;"Não",SUMIFS(BD!$K$3:$K$5001,BD!$B$3:$B$5001,T$100,BD!$A$3:$A$5001,"&gt;="&amp;$C$7,BD!$A$3:$A$5001,"&lt;="&amp;$D$7),"—"))</f>
        <v/>
      </c>
      <c r="U109" s="32" t="str">
        <f>IF(U$100="","",IF(Config!$L$54&lt;&gt;"Não",SUMIFS(BD!$K$3:$K$5001,BD!$B$3:$B$5001,U$100,BD!$A$3:$A$5001,"&gt;="&amp;$C$7,BD!$A$3:$A$5001,"&lt;="&amp;$D$7),"—"))</f>
        <v/>
      </c>
      <c r="V109" s="62">
        <f>SUM(B109:U109)</f>
        <v>0</v>
      </c>
    </row>
    <row r="110">
      <c r="A110" s="29" t="inlineStr">
        <is>
          <t xml:space="preserve">OUT · Veículos Expedidos</t>
        </is>
      </c>
      <c r="B110" s="32">
        <f>IF(B$100="","",IF(Config!$M$35&lt;&gt;"Não",SUMIFS(BD!$L$3:$L$5001,BD!$B$3:$B$5001,B$100,BD!$A$3:$A$5001,"&gt;="&amp;$C$7,BD!$A$3:$A$5001,"&lt;="&amp;$D$7),"—"))</f>
        <v>0</v>
      </c>
      <c r="C110" s="32">
        <f>IF(C$100="","",IF(Config!$M$36&lt;&gt;"Não",SUMIFS(BD!$L$3:$L$5001,BD!$B$3:$B$5001,C$100,BD!$A$3:$A$5001,"&gt;="&amp;$C$7,BD!$A$3:$A$5001,"&lt;="&amp;$D$7),"—"))</f>
        <v>0</v>
      </c>
      <c r="D110" s="32">
        <f>IF(D$100="","",IF(Config!$M$37&lt;&gt;"Não",SUMIFS(BD!$L$3:$L$5001,BD!$B$3:$B$5001,D$100,BD!$A$3:$A$5001,"&gt;="&amp;$C$7,BD!$A$3:$A$5001,"&lt;="&amp;$D$7),"—"))</f>
        <v>0</v>
      </c>
      <c r="E110" s="32">
        <f>IF(E$100="","",IF(Config!$M$38&lt;&gt;"Não",SUMIFS(BD!$L$3:$L$5001,BD!$B$3:$B$5001,E$100,BD!$A$3:$A$5001,"&gt;="&amp;$C$7,BD!$A$3:$A$5001,"&lt;="&amp;$D$7),"—"))</f>
        <v>0</v>
      </c>
      <c r="F110" s="32">
        <f>IF(F$100="","",IF(Config!$M$39&lt;&gt;"Não",SUMIFS(BD!$L$3:$L$5001,BD!$B$3:$B$5001,F$100,BD!$A$3:$A$5001,"&gt;="&amp;$C$7,BD!$A$3:$A$5001,"&lt;="&amp;$D$7),"—"))</f>
        <v>0</v>
      </c>
      <c r="G110" s="32">
        <f>IF(G$100="","",IF(Config!$M$40&lt;&gt;"Não",SUMIFS(BD!$L$3:$L$5001,BD!$B$3:$B$5001,G$100,BD!$A$3:$A$5001,"&gt;="&amp;$C$7,BD!$A$3:$A$5001,"&lt;="&amp;$D$7),"—"))</f>
        <v>0</v>
      </c>
      <c r="H110" s="32">
        <f>IF(H$100="","",IF(Config!$M$41&lt;&gt;"Não",SUMIFS(BD!$L$3:$L$5001,BD!$B$3:$B$5001,H$100,BD!$A$3:$A$5001,"&gt;="&amp;$C$7,BD!$A$3:$A$5001,"&lt;="&amp;$D$7),"—"))</f>
        <v>0</v>
      </c>
      <c r="I110" s="32">
        <f>IF(I$100="","",IF(Config!$M$42&lt;&gt;"Não",SUMIFS(BD!$L$3:$L$5001,BD!$B$3:$B$5001,I$100,BD!$A$3:$A$5001,"&gt;="&amp;$C$7,BD!$A$3:$A$5001,"&lt;="&amp;$D$7),"—"))</f>
        <v>0</v>
      </c>
      <c r="J110" s="32">
        <f>IF(J$100="","",IF(Config!$M$43&lt;&gt;"Não",SUMIFS(BD!$L$3:$L$5001,BD!$B$3:$B$5001,J$100,BD!$A$3:$A$5001,"&gt;="&amp;$C$7,BD!$A$3:$A$5001,"&lt;="&amp;$D$7),"—"))</f>
        <v>0</v>
      </c>
      <c r="K110" s="32">
        <f>IF(K$100="","",IF(Config!$M$44&lt;&gt;"Não",SUMIFS(BD!$L$3:$L$5001,BD!$B$3:$B$5001,K$100,BD!$A$3:$A$5001,"&gt;="&amp;$C$7,BD!$A$3:$A$5001,"&lt;="&amp;$D$7),"—"))</f>
        <v>0</v>
      </c>
      <c r="L110" s="32" t="str">
        <f>IF(L$100="","",IF(Config!$M$45&lt;&gt;"Não",SUMIFS(BD!$L$3:$L$5001,BD!$B$3:$B$5001,L$100,BD!$A$3:$A$5001,"&gt;="&amp;$C$7,BD!$A$3:$A$5001,"&lt;="&amp;$D$7),"—"))</f>
        <v/>
      </c>
      <c r="M110" s="32" t="str">
        <f>IF(M$100="","",IF(Config!$M$46&lt;&gt;"Não",SUMIFS(BD!$L$3:$L$5001,BD!$B$3:$B$5001,M$100,BD!$A$3:$A$5001,"&gt;="&amp;$C$7,BD!$A$3:$A$5001,"&lt;="&amp;$D$7),"—"))</f>
        <v/>
      </c>
      <c r="N110" s="32" t="str">
        <f>IF(N$100="","",IF(Config!$M$47&lt;&gt;"Não",SUMIFS(BD!$L$3:$L$5001,BD!$B$3:$B$5001,N$100,BD!$A$3:$A$5001,"&gt;="&amp;$C$7,BD!$A$3:$A$5001,"&lt;="&amp;$D$7),"—"))</f>
        <v/>
      </c>
      <c r="O110" s="32" t="str">
        <f>IF(O$100="","",IF(Config!$M$48&lt;&gt;"Não",SUMIFS(BD!$L$3:$L$5001,BD!$B$3:$B$5001,O$100,BD!$A$3:$A$5001,"&gt;="&amp;$C$7,BD!$A$3:$A$5001,"&lt;="&amp;$D$7),"—"))</f>
        <v/>
      </c>
      <c r="P110" s="32" t="str">
        <f>IF(P$100="","",IF(Config!$M$49&lt;&gt;"Não",SUMIFS(BD!$L$3:$L$5001,BD!$B$3:$B$5001,P$100,BD!$A$3:$A$5001,"&gt;="&amp;$C$7,BD!$A$3:$A$5001,"&lt;="&amp;$D$7),"—"))</f>
        <v/>
      </c>
      <c r="Q110" s="32" t="str">
        <f>IF(Q$100="","",IF(Config!$M$50&lt;&gt;"Não",SUMIFS(BD!$L$3:$L$5001,BD!$B$3:$B$5001,Q$100,BD!$A$3:$A$5001,"&gt;="&amp;$C$7,BD!$A$3:$A$5001,"&lt;="&amp;$D$7),"—"))</f>
        <v/>
      </c>
      <c r="R110" s="32" t="str">
        <f>IF(R$100="","",IF(Config!$M$51&lt;&gt;"Não",SUMIFS(BD!$L$3:$L$5001,BD!$B$3:$B$5001,R$100,BD!$A$3:$A$5001,"&gt;="&amp;$C$7,BD!$A$3:$A$5001,"&lt;="&amp;$D$7),"—"))</f>
        <v/>
      </c>
      <c r="S110" s="32" t="str">
        <f>IF(S$100="","",IF(Config!$M$52&lt;&gt;"Não",SUMIFS(BD!$L$3:$L$5001,BD!$B$3:$B$5001,S$100,BD!$A$3:$A$5001,"&gt;="&amp;$C$7,BD!$A$3:$A$5001,"&lt;="&amp;$D$7),"—"))</f>
        <v/>
      </c>
      <c r="T110" s="32" t="str">
        <f>IF(T$100="","",IF(Config!$M$53&lt;&gt;"Não",SUMIFS(BD!$L$3:$L$5001,BD!$B$3:$B$5001,T$100,BD!$A$3:$A$5001,"&gt;="&amp;$C$7,BD!$A$3:$A$5001,"&lt;="&amp;$D$7),"—"))</f>
        <v/>
      </c>
      <c r="U110" s="32" t="str">
        <f>IF(U$100="","",IF(Config!$M$54&lt;&gt;"Não",SUMIFS(BD!$L$3:$L$5001,BD!$B$3:$B$5001,U$100,BD!$A$3:$A$5001,"&gt;="&amp;$C$7,BD!$A$3:$A$5001,"&lt;="&amp;$D$7),"—"))</f>
        <v/>
      </c>
      <c r="V110" s="62">
        <f>SUM(B110:U110)</f>
        <v>0</v>
      </c>
    </row>
    <row r="111">
      <c r="A111" s="29" t="inlineStr">
        <is>
          <t xml:space="preserve">OUT · Pedidos Expedidos</t>
        </is>
      </c>
      <c r="B111" s="32" t="str">
        <f>IF(B$100="","",IF(Config!$N$35&lt;&gt;"Não",SUMIFS(BD!$M$3:$M$5001,BD!$B$3:$B$5001,B$100,BD!$A$3:$A$5001,"&gt;="&amp;$C$7,BD!$A$3:$A$5001,"&lt;="&amp;$D$7),"—"))</f>
        <v>—</v>
      </c>
      <c r="C111" s="32" t="str">
        <f>IF(C$100="","",IF(Config!$N$36&lt;&gt;"Não",SUMIFS(BD!$M$3:$M$5001,BD!$B$3:$B$5001,C$100,BD!$A$3:$A$5001,"&gt;="&amp;$C$7,BD!$A$3:$A$5001,"&lt;="&amp;$D$7),"—"))</f>
        <v>—</v>
      </c>
      <c r="D111" s="32">
        <f>IF(D$100="","",IF(Config!$N$37&lt;&gt;"Não",SUMIFS(BD!$M$3:$M$5001,BD!$B$3:$B$5001,D$100,BD!$A$3:$A$5001,"&gt;="&amp;$C$7,BD!$A$3:$A$5001,"&lt;="&amp;$D$7),"—"))</f>
        <v>0</v>
      </c>
      <c r="E111" s="32" t="str">
        <f>IF(E$100="","",IF(Config!$N$38&lt;&gt;"Não",SUMIFS(BD!$M$3:$M$5001,BD!$B$3:$B$5001,E$100,BD!$A$3:$A$5001,"&gt;="&amp;$C$7,BD!$A$3:$A$5001,"&lt;="&amp;$D$7),"—"))</f>
        <v>—</v>
      </c>
      <c r="F111" s="32" t="str">
        <f>IF(F$100="","",IF(Config!$N$39&lt;&gt;"Não",SUMIFS(BD!$M$3:$M$5001,BD!$B$3:$B$5001,F$100,BD!$A$3:$A$5001,"&gt;="&amp;$C$7,BD!$A$3:$A$5001,"&lt;="&amp;$D$7),"—"))</f>
        <v>—</v>
      </c>
      <c r="G111" s="32" t="str">
        <f>IF(G$100="","",IF(Config!$N$40&lt;&gt;"Não",SUMIFS(BD!$M$3:$M$5001,BD!$B$3:$B$5001,G$100,BD!$A$3:$A$5001,"&gt;="&amp;$C$7,BD!$A$3:$A$5001,"&lt;="&amp;$D$7),"—"))</f>
        <v>—</v>
      </c>
      <c r="H111" s="32" t="str">
        <f>IF(H$100="","",IF(Config!$N$41&lt;&gt;"Não",SUMIFS(BD!$M$3:$M$5001,BD!$B$3:$B$5001,H$100,BD!$A$3:$A$5001,"&gt;="&amp;$C$7,BD!$A$3:$A$5001,"&lt;="&amp;$D$7),"—"))</f>
        <v>—</v>
      </c>
      <c r="I111" s="32" t="str">
        <f>IF(I$100="","",IF(Config!$N$42&lt;&gt;"Não",SUMIFS(BD!$M$3:$M$5001,BD!$B$3:$B$5001,I$100,BD!$A$3:$A$5001,"&gt;="&amp;$C$7,BD!$A$3:$A$5001,"&lt;="&amp;$D$7),"—"))</f>
        <v>—</v>
      </c>
      <c r="J111" s="32" t="str">
        <f>IF(J$100="","",IF(Config!$N$43&lt;&gt;"Não",SUMIFS(BD!$M$3:$M$5001,BD!$B$3:$B$5001,J$100,BD!$A$3:$A$5001,"&gt;="&amp;$C$7,BD!$A$3:$A$5001,"&lt;="&amp;$D$7),"—"))</f>
        <v>—</v>
      </c>
      <c r="K111" s="32" t="str">
        <f>IF(K$100="","",IF(Config!$N$44&lt;&gt;"Não",SUMIFS(BD!$M$3:$M$5001,BD!$B$3:$B$5001,K$100,BD!$A$3:$A$5001,"&gt;="&amp;$C$7,BD!$A$3:$A$5001,"&lt;="&amp;$D$7),"—"))</f>
        <v>—</v>
      </c>
      <c r="L111" s="32" t="str">
        <f>IF(L$100="","",IF(Config!$N$45&lt;&gt;"Não",SUMIFS(BD!$M$3:$M$5001,BD!$B$3:$B$5001,L$100,BD!$A$3:$A$5001,"&gt;="&amp;$C$7,BD!$A$3:$A$5001,"&lt;="&amp;$D$7),"—"))</f>
        <v/>
      </c>
      <c r="M111" s="32" t="str">
        <f>IF(M$100="","",IF(Config!$N$46&lt;&gt;"Não",SUMIFS(BD!$M$3:$M$5001,BD!$B$3:$B$5001,M$100,BD!$A$3:$A$5001,"&gt;="&amp;$C$7,BD!$A$3:$A$5001,"&lt;="&amp;$D$7),"—"))</f>
        <v/>
      </c>
      <c r="N111" s="32" t="str">
        <f>IF(N$100="","",IF(Config!$N$47&lt;&gt;"Não",SUMIFS(BD!$M$3:$M$5001,BD!$B$3:$B$5001,N$100,BD!$A$3:$A$5001,"&gt;="&amp;$C$7,BD!$A$3:$A$5001,"&lt;="&amp;$D$7),"—"))</f>
        <v/>
      </c>
      <c r="O111" s="32" t="str">
        <f>IF(O$100="","",IF(Config!$N$48&lt;&gt;"Não",SUMIFS(BD!$M$3:$M$5001,BD!$B$3:$B$5001,O$100,BD!$A$3:$A$5001,"&gt;="&amp;$C$7,BD!$A$3:$A$5001,"&lt;="&amp;$D$7),"—"))</f>
        <v/>
      </c>
      <c r="P111" s="32" t="str">
        <f>IF(P$100="","",IF(Config!$N$49&lt;&gt;"Não",SUMIFS(BD!$M$3:$M$5001,BD!$B$3:$B$5001,P$100,BD!$A$3:$A$5001,"&gt;="&amp;$C$7,BD!$A$3:$A$5001,"&lt;="&amp;$D$7),"—"))</f>
        <v/>
      </c>
      <c r="Q111" s="32" t="str">
        <f>IF(Q$100="","",IF(Config!$N$50&lt;&gt;"Não",SUMIFS(BD!$M$3:$M$5001,BD!$B$3:$B$5001,Q$100,BD!$A$3:$A$5001,"&gt;="&amp;$C$7,BD!$A$3:$A$5001,"&lt;="&amp;$D$7),"—"))</f>
        <v/>
      </c>
      <c r="R111" s="32" t="str">
        <f>IF(R$100="","",IF(Config!$N$51&lt;&gt;"Não",SUMIFS(BD!$M$3:$M$5001,BD!$B$3:$B$5001,R$100,BD!$A$3:$A$5001,"&gt;="&amp;$C$7,BD!$A$3:$A$5001,"&lt;="&amp;$D$7),"—"))</f>
        <v/>
      </c>
      <c r="S111" s="32" t="str">
        <f>IF(S$100="","",IF(Config!$N$52&lt;&gt;"Não",SUMIFS(BD!$M$3:$M$5001,BD!$B$3:$B$5001,S$100,BD!$A$3:$A$5001,"&gt;="&amp;$C$7,BD!$A$3:$A$5001,"&lt;="&amp;$D$7),"—"))</f>
        <v/>
      </c>
      <c r="T111" s="32" t="str">
        <f>IF(T$100="","",IF(Config!$N$53&lt;&gt;"Não",SUMIFS(BD!$M$3:$M$5001,BD!$B$3:$B$5001,T$100,BD!$A$3:$A$5001,"&gt;="&amp;$C$7,BD!$A$3:$A$5001,"&lt;="&amp;$D$7),"—"))</f>
        <v/>
      </c>
      <c r="U111" s="32" t="str">
        <f>IF(U$100="","",IF(Config!$N$54&lt;&gt;"Não",SUMIFS(BD!$M$3:$M$5001,BD!$B$3:$B$5001,U$100,BD!$A$3:$A$5001,"&gt;="&amp;$C$7,BD!$A$3:$A$5001,"&lt;="&amp;$D$7),"—"))</f>
        <v/>
      </c>
      <c r="V111" s="62">
        <f>SUM(B111:U111)</f>
        <v>0</v>
      </c>
    </row>
    <row r="112">
      <c r="A112" s="29" t="inlineStr">
        <is>
          <t xml:space="preserve">OUT · Pedidos Faturados</t>
        </is>
      </c>
      <c r="B112" s="32" t="str">
        <f>IF(B$100="","",IF(Config!$O$35&lt;&gt;"Não",SUMIFS(BD!$N$3:$N$5001,BD!$B$3:$B$5001,B$100,BD!$A$3:$A$5001,"&gt;="&amp;$C$7,BD!$A$3:$A$5001,"&lt;="&amp;$D$7),"—"))</f>
        <v>—</v>
      </c>
      <c r="C112" s="32" t="str">
        <f>IF(C$100="","",IF(Config!$O$36&lt;&gt;"Não",SUMIFS(BD!$N$3:$N$5001,BD!$B$3:$B$5001,C$100,BD!$A$3:$A$5001,"&gt;="&amp;$C$7,BD!$A$3:$A$5001,"&lt;="&amp;$D$7),"—"))</f>
        <v>—</v>
      </c>
      <c r="D112" s="32" t="str">
        <f>IF(D$100="","",IF(Config!$O$37&lt;&gt;"Não",SUMIFS(BD!$N$3:$N$5001,BD!$B$3:$B$5001,D$100,BD!$A$3:$A$5001,"&gt;="&amp;$C$7,BD!$A$3:$A$5001,"&lt;="&amp;$D$7),"—"))</f>
        <v>—</v>
      </c>
      <c r="E112" s="32">
        <f>IF(E$100="","",IF(Config!$O$38&lt;&gt;"Não",SUMIFS(BD!$N$3:$N$5001,BD!$B$3:$B$5001,E$100,BD!$A$3:$A$5001,"&gt;="&amp;$C$7,BD!$A$3:$A$5001,"&lt;="&amp;$D$7),"—"))</f>
        <v>0</v>
      </c>
      <c r="F112" s="32" t="str">
        <f>IF(F$100="","",IF(Config!$O$39&lt;&gt;"Não",SUMIFS(BD!$N$3:$N$5001,BD!$B$3:$B$5001,F$100,BD!$A$3:$A$5001,"&gt;="&amp;$C$7,BD!$A$3:$A$5001,"&lt;="&amp;$D$7),"—"))</f>
        <v>—</v>
      </c>
      <c r="G112" s="32" t="str">
        <f>IF(G$100="","",IF(Config!$O$40&lt;&gt;"Não",SUMIFS(BD!$N$3:$N$5001,BD!$B$3:$B$5001,G$100,BD!$A$3:$A$5001,"&gt;="&amp;$C$7,BD!$A$3:$A$5001,"&lt;="&amp;$D$7),"—"))</f>
        <v>—</v>
      </c>
      <c r="H112" s="32" t="str">
        <f>IF(H$100="","",IF(Config!$O$41&lt;&gt;"Não",SUMIFS(BD!$N$3:$N$5001,BD!$B$3:$B$5001,H$100,BD!$A$3:$A$5001,"&gt;="&amp;$C$7,BD!$A$3:$A$5001,"&lt;="&amp;$D$7),"—"))</f>
        <v>—</v>
      </c>
      <c r="I112" s="32" t="str">
        <f>IF(I$100="","",IF(Config!$O$42&lt;&gt;"Não",SUMIFS(BD!$N$3:$N$5001,BD!$B$3:$B$5001,I$100,BD!$A$3:$A$5001,"&gt;="&amp;$C$7,BD!$A$3:$A$5001,"&lt;="&amp;$D$7),"—"))</f>
        <v>—</v>
      </c>
      <c r="J112" s="32" t="str">
        <f>IF(J$100="","",IF(Config!$O$43&lt;&gt;"Não",SUMIFS(BD!$N$3:$N$5001,BD!$B$3:$B$5001,J$100,BD!$A$3:$A$5001,"&gt;="&amp;$C$7,BD!$A$3:$A$5001,"&lt;="&amp;$D$7),"—"))</f>
        <v>—</v>
      </c>
      <c r="K112" s="32" t="str">
        <f>IF(K$100="","",IF(Config!$O$44&lt;&gt;"Não",SUMIFS(BD!$N$3:$N$5001,BD!$B$3:$B$5001,K$100,BD!$A$3:$A$5001,"&gt;="&amp;$C$7,BD!$A$3:$A$5001,"&lt;="&amp;$D$7),"—"))</f>
        <v>—</v>
      </c>
      <c r="L112" s="32" t="str">
        <f>IF(L$100="","",IF(Config!$O$45&lt;&gt;"Não",SUMIFS(BD!$N$3:$N$5001,BD!$B$3:$B$5001,L$100,BD!$A$3:$A$5001,"&gt;="&amp;$C$7,BD!$A$3:$A$5001,"&lt;="&amp;$D$7),"—"))</f>
        <v/>
      </c>
      <c r="M112" s="32" t="str">
        <f>IF(M$100="","",IF(Config!$O$46&lt;&gt;"Não",SUMIFS(BD!$N$3:$N$5001,BD!$B$3:$B$5001,M$100,BD!$A$3:$A$5001,"&gt;="&amp;$C$7,BD!$A$3:$A$5001,"&lt;="&amp;$D$7),"—"))</f>
        <v/>
      </c>
      <c r="N112" s="32" t="str">
        <f>IF(N$100="","",IF(Config!$O$47&lt;&gt;"Não",SUMIFS(BD!$N$3:$N$5001,BD!$B$3:$B$5001,N$100,BD!$A$3:$A$5001,"&gt;="&amp;$C$7,BD!$A$3:$A$5001,"&lt;="&amp;$D$7),"—"))</f>
        <v/>
      </c>
      <c r="O112" s="32" t="str">
        <f>IF(O$100="","",IF(Config!$O$48&lt;&gt;"Não",SUMIFS(BD!$N$3:$N$5001,BD!$B$3:$B$5001,O$100,BD!$A$3:$A$5001,"&gt;="&amp;$C$7,BD!$A$3:$A$5001,"&lt;="&amp;$D$7),"—"))</f>
        <v/>
      </c>
      <c r="P112" s="32" t="str">
        <f>IF(P$100="","",IF(Config!$O$49&lt;&gt;"Não",SUMIFS(BD!$N$3:$N$5001,BD!$B$3:$B$5001,P$100,BD!$A$3:$A$5001,"&gt;="&amp;$C$7,BD!$A$3:$A$5001,"&lt;="&amp;$D$7),"—"))</f>
        <v/>
      </c>
      <c r="Q112" s="32" t="str">
        <f>IF(Q$100="","",IF(Config!$O$50&lt;&gt;"Não",SUMIFS(BD!$N$3:$N$5001,BD!$B$3:$B$5001,Q$100,BD!$A$3:$A$5001,"&gt;="&amp;$C$7,BD!$A$3:$A$5001,"&lt;="&amp;$D$7),"—"))</f>
        <v/>
      </c>
      <c r="R112" s="32" t="str">
        <f>IF(R$100="","",IF(Config!$O$51&lt;&gt;"Não",SUMIFS(BD!$N$3:$N$5001,BD!$B$3:$B$5001,R$100,BD!$A$3:$A$5001,"&gt;="&amp;$C$7,BD!$A$3:$A$5001,"&lt;="&amp;$D$7),"—"))</f>
        <v/>
      </c>
      <c r="S112" s="32" t="str">
        <f>IF(S$100="","",IF(Config!$O$52&lt;&gt;"Não",SUMIFS(BD!$N$3:$N$5001,BD!$B$3:$B$5001,S$100,BD!$A$3:$A$5001,"&gt;="&amp;$C$7,BD!$A$3:$A$5001,"&lt;="&amp;$D$7),"—"))</f>
        <v/>
      </c>
      <c r="T112" s="32" t="str">
        <f>IF(T$100="","",IF(Config!$O$53&lt;&gt;"Não",SUMIFS(BD!$N$3:$N$5001,BD!$B$3:$B$5001,T$100,BD!$A$3:$A$5001,"&gt;="&amp;$C$7,BD!$A$3:$A$5001,"&lt;="&amp;$D$7),"—"))</f>
        <v/>
      </c>
      <c r="U112" s="32" t="str">
        <f>IF(U$100="","",IF(Config!$O$54&lt;&gt;"Não",SUMIFS(BD!$N$3:$N$5001,BD!$B$3:$B$5001,U$100,BD!$A$3:$A$5001,"&gt;="&amp;$C$7,BD!$A$3:$A$5001,"&lt;="&amp;$D$7),"—"))</f>
        <v/>
      </c>
      <c r="V112" s="62">
        <f>SUM(B112:U112)</f>
        <v>0</v>
      </c>
    </row>
    <row r="113">
      <c r="A113" s="29" t="inlineStr">
        <is>
          <t xml:space="preserve">OUT · Itens Expedidos</t>
        </is>
      </c>
      <c r="B113" s="32" t="str">
        <f>IF(B$100="","",IF(Config!$P$35&lt;&gt;"Não",SUMIFS(BD!$O$3:$O$5001,BD!$B$3:$B$5001,B$100,BD!$A$3:$A$5001,"&gt;="&amp;$C$7,BD!$A$3:$A$5001,"&lt;="&amp;$D$7),"—"))</f>
        <v>—</v>
      </c>
      <c r="C113" s="32" t="str">
        <f>IF(C$100="","",IF(Config!$P$36&lt;&gt;"Não",SUMIFS(BD!$O$3:$O$5001,BD!$B$3:$B$5001,C$100,BD!$A$3:$A$5001,"&gt;="&amp;$C$7,BD!$A$3:$A$5001,"&lt;="&amp;$D$7),"—"))</f>
        <v>—</v>
      </c>
      <c r="D113" s="32" t="str">
        <f>IF(D$100="","",IF(Config!$P$37&lt;&gt;"Não",SUMIFS(BD!$O$3:$O$5001,BD!$B$3:$B$5001,D$100,BD!$A$3:$A$5001,"&gt;="&amp;$C$7,BD!$A$3:$A$5001,"&lt;="&amp;$D$7),"—"))</f>
        <v>—</v>
      </c>
      <c r="E113" s="32">
        <f>IF(E$100="","",IF(Config!$P$38&lt;&gt;"Não",SUMIFS(BD!$O$3:$O$5001,BD!$B$3:$B$5001,E$100,BD!$A$3:$A$5001,"&gt;="&amp;$C$7,BD!$A$3:$A$5001,"&lt;="&amp;$D$7),"—"))</f>
        <v>0</v>
      </c>
      <c r="F113" s="32" t="str">
        <f>IF(F$100="","",IF(Config!$P$39&lt;&gt;"Não",SUMIFS(BD!$O$3:$O$5001,BD!$B$3:$B$5001,F$100,BD!$A$3:$A$5001,"&gt;="&amp;$C$7,BD!$A$3:$A$5001,"&lt;="&amp;$D$7),"—"))</f>
        <v>—</v>
      </c>
      <c r="G113" s="32" t="str">
        <f>IF(G$100="","",IF(Config!$P$40&lt;&gt;"Não",SUMIFS(BD!$O$3:$O$5001,BD!$B$3:$B$5001,G$100,BD!$A$3:$A$5001,"&gt;="&amp;$C$7,BD!$A$3:$A$5001,"&lt;="&amp;$D$7),"—"))</f>
        <v>—</v>
      </c>
      <c r="H113" s="32" t="str">
        <f>IF(H$100="","",IF(Config!$P$41&lt;&gt;"Não",SUMIFS(BD!$O$3:$O$5001,BD!$B$3:$B$5001,H$100,BD!$A$3:$A$5001,"&gt;="&amp;$C$7,BD!$A$3:$A$5001,"&lt;="&amp;$D$7),"—"))</f>
        <v>—</v>
      </c>
      <c r="I113" s="32" t="str">
        <f>IF(I$100="","",IF(Config!$P$42&lt;&gt;"Não",SUMIFS(BD!$O$3:$O$5001,BD!$B$3:$B$5001,I$100,BD!$A$3:$A$5001,"&gt;="&amp;$C$7,BD!$A$3:$A$5001,"&lt;="&amp;$D$7),"—"))</f>
        <v>—</v>
      </c>
      <c r="J113" s="32" t="str">
        <f>IF(J$100="","",IF(Config!$P$43&lt;&gt;"Não",SUMIFS(BD!$O$3:$O$5001,BD!$B$3:$B$5001,J$100,BD!$A$3:$A$5001,"&gt;="&amp;$C$7,BD!$A$3:$A$5001,"&lt;="&amp;$D$7),"—"))</f>
        <v>—</v>
      </c>
      <c r="K113" s="32" t="str">
        <f>IF(K$100="","",IF(Config!$P$44&lt;&gt;"Não",SUMIFS(BD!$O$3:$O$5001,BD!$B$3:$B$5001,K$100,BD!$A$3:$A$5001,"&gt;="&amp;$C$7,BD!$A$3:$A$5001,"&lt;="&amp;$D$7),"—"))</f>
        <v>—</v>
      </c>
      <c r="L113" s="32" t="str">
        <f>IF(L$100="","",IF(Config!$P$45&lt;&gt;"Não",SUMIFS(BD!$O$3:$O$5001,BD!$B$3:$B$5001,L$100,BD!$A$3:$A$5001,"&gt;="&amp;$C$7,BD!$A$3:$A$5001,"&lt;="&amp;$D$7),"—"))</f>
        <v/>
      </c>
      <c r="M113" s="32" t="str">
        <f>IF(M$100="","",IF(Config!$P$46&lt;&gt;"Não",SUMIFS(BD!$O$3:$O$5001,BD!$B$3:$B$5001,M$100,BD!$A$3:$A$5001,"&gt;="&amp;$C$7,BD!$A$3:$A$5001,"&lt;="&amp;$D$7),"—"))</f>
        <v/>
      </c>
      <c r="N113" s="32" t="str">
        <f>IF(N$100="","",IF(Config!$P$47&lt;&gt;"Não",SUMIFS(BD!$O$3:$O$5001,BD!$B$3:$B$5001,N$100,BD!$A$3:$A$5001,"&gt;="&amp;$C$7,BD!$A$3:$A$5001,"&lt;="&amp;$D$7),"—"))</f>
        <v/>
      </c>
      <c r="O113" s="32" t="str">
        <f>IF(O$100="","",IF(Config!$P$48&lt;&gt;"Não",SUMIFS(BD!$O$3:$O$5001,BD!$B$3:$B$5001,O$100,BD!$A$3:$A$5001,"&gt;="&amp;$C$7,BD!$A$3:$A$5001,"&lt;="&amp;$D$7),"—"))</f>
        <v/>
      </c>
      <c r="P113" s="32" t="str">
        <f>IF(P$100="","",IF(Config!$P$49&lt;&gt;"Não",SUMIFS(BD!$O$3:$O$5001,BD!$B$3:$B$5001,P$100,BD!$A$3:$A$5001,"&gt;="&amp;$C$7,BD!$A$3:$A$5001,"&lt;="&amp;$D$7),"—"))</f>
        <v/>
      </c>
      <c r="Q113" s="32" t="str">
        <f>IF(Q$100="","",IF(Config!$P$50&lt;&gt;"Não",SUMIFS(BD!$O$3:$O$5001,BD!$B$3:$B$5001,Q$100,BD!$A$3:$A$5001,"&gt;="&amp;$C$7,BD!$A$3:$A$5001,"&lt;="&amp;$D$7),"—"))</f>
        <v/>
      </c>
      <c r="R113" s="32" t="str">
        <f>IF(R$100="","",IF(Config!$P$51&lt;&gt;"Não",SUMIFS(BD!$O$3:$O$5001,BD!$B$3:$B$5001,R$100,BD!$A$3:$A$5001,"&gt;="&amp;$C$7,BD!$A$3:$A$5001,"&lt;="&amp;$D$7),"—"))</f>
        <v/>
      </c>
      <c r="S113" s="32" t="str">
        <f>IF(S$100="","",IF(Config!$P$52&lt;&gt;"Não",SUMIFS(BD!$O$3:$O$5001,BD!$B$3:$B$5001,S$100,BD!$A$3:$A$5001,"&gt;="&amp;$C$7,BD!$A$3:$A$5001,"&lt;="&amp;$D$7),"—"))</f>
        <v/>
      </c>
      <c r="T113" s="32" t="str">
        <f>IF(T$100="","",IF(Config!$P$53&lt;&gt;"Não",SUMIFS(BD!$O$3:$O$5001,BD!$B$3:$B$5001,T$100,BD!$A$3:$A$5001,"&gt;="&amp;$C$7,BD!$A$3:$A$5001,"&lt;="&amp;$D$7),"—"))</f>
        <v/>
      </c>
      <c r="U113" s="32" t="str">
        <f>IF(U$100="","",IF(Config!$P$54&lt;&gt;"Não",SUMIFS(BD!$O$3:$O$5001,BD!$B$3:$B$5001,U$100,BD!$A$3:$A$5001,"&gt;="&amp;$C$7,BD!$A$3:$A$5001,"&lt;="&amp;$D$7),"—"))</f>
        <v/>
      </c>
      <c r="V113" s="62">
        <f>SUM(B113:U113)</f>
        <v>0</v>
      </c>
    </row>
    <row r="114">
      <c r="A114" s="29" t="inlineStr">
        <is>
          <t xml:space="preserve">OUT · Linhas NF</t>
        </is>
      </c>
      <c r="B114" s="32" t="str">
        <f>IF(B$100="","",IF(Config!$Q$35&lt;&gt;"Não",SUMIFS(BD!$P$3:$P$5001,BD!$B$3:$B$5001,B$100,BD!$A$3:$A$5001,"&gt;="&amp;$C$7,BD!$A$3:$A$5001,"&lt;="&amp;$D$7),"—"))</f>
        <v>—</v>
      </c>
      <c r="C114" s="32" t="str">
        <f>IF(C$100="","",IF(Config!$Q$36&lt;&gt;"Não",SUMIFS(BD!$P$3:$P$5001,BD!$B$3:$B$5001,C$100,BD!$A$3:$A$5001,"&gt;="&amp;$C$7,BD!$A$3:$A$5001,"&lt;="&amp;$D$7),"—"))</f>
        <v>—</v>
      </c>
      <c r="D114" s="32" t="str">
        <f>IF(D$100="","",IF(Config!$Q$37&lt;&gt;"Não",SUMIFS(BD!$P$3:$P$5001,BD!$B$3:$B$5001,D$100,BD!$A$3:$A$5001,"&gt;="&amp;$C$7,BD!$A$3:$A$5001,"&lt;="&amp;$D$7),"—"))</f>
        <v>—</v>
      </c>
      <c r="E114" s="32" t="str">
        <f>IF(E$100="","",IF(Config!$Q$38&lt;&gt;"Não",SUMIFS(BD!$P$3:$P$5001,BD!$B$3:$B$5001,E$100,BD!$A$3:$A$5001,"&gt;="&amp;$C$7,BD!$A$3:$A$5001,"&lt;="&amp;$D$7),"—"))</f>
        <v>—</v>
      </c>
      <c r="F114" s="32" t="str">
        <f>IF(F$100="","",IF(Config!$Q$39&lt;&gt;"Não",SUMIFS(BD!$P$3:$P$5001,BD!$B$3:$B$5001,F$100,BD!$A$3:$A$5001,"&gt;="&amp;$C$7,BD!$A$3:$A$5001,"&lt;="&amp;$D$7),"—"))</f>
        <v>—</v>
      </c>
      <c r="G114" s="32">
        <f>IF(G$100="","",IF(Config!$Q$40&lt;&gt;"Não",SUMIFS(BD!$P$3:$P$5001,BD!$B$3:$B$5001,G$100,BD!$A$3:$A$5001,"&gt;="&amp;$C$7,BD!$A$3:$A$5001,"&lt;="&amp;$D$7),"—"))</f>
        <v>0</v>
      </c>
      <c r="H114" s="32" t="str">
        <f>IF(H$100="","",IF(Config!$Q$41&lt;&gt;"Não",SUMIFS(BD!$P$3:$P$5001,BD!$B$3:$B$5001,H$100,BD!$A$3:$A$5001,"&gt;="&amp;$C$7,BD!$A$3:$A$5001,"&lt;="&amp;$D$7),"—"))</f>
        <v>—</v>
      </c>
      <c r="I114" s="32" t="str">
        <f>IF(I$100="","",IF(Config!$Q$42&lt;&gt;"Não",SUMIFS(BD!$P$3:$P$5001,BD!$B$3:$B$5001,I$100,BD!$A$3:$A$5001,"&gt;="&amp;$C$7,BD!$A$3:$A$5001,"&lt;="&amp;$D$7),"—"))</f>
        <v>—</v>
      </c>
      <c r="J114" s="32" t="str">
        <f>IF(J$100="","",IF(Config!$Q$43&lt;&gt;"Não",SUMIFS(BD!$P$3:$P$5001,BD!$B$3:$B$5001,J$100,BD!$A$3:$A$5001,"&gt;="&amp;$C$7,BD!$A$3:$A$5001,"&lt;="&amp;$D$7),"—"))</f>
        <v>—</v>
      </c>
      <c r="K114" s="32">
        <f>IF(K$100="","",IF(Config!$Q$44&lt;&gt;"Não",SUMIFS(BD!$P$3:$P$5001,BD!$B$3:$B$5001,K$100,BD!$A$3:$A$5001,"&gt;="&amp;$C$7,BD!$A$3:$A$5001,"&lt;="&amp;$D$7),"—"))</f>
        <v>0</v>
      </c>
      <c r="L114" s="32" t="str">
        <f>IF(L$100="","",IF(Config!$Q$45&lt;&gt;"Não",SUMIFS(BD!$P$3:$P$5001,BD!$B$3:$B$5001,L$100,BD!$A$3:$A$5001,"&gt;="&amp;$C$7,BD!$A$3:$A$5001,"&lt;="&amp;$D$7),"—"))</f>
        <v/>
      </c>
      <c r="M114" s="32" t="str">
        <f>IF(M$100="","",IF(Config!$Q$46&lt;&gt;"Não",SUMIFS(BD!$P$3:$P$5001,BD!$B$3:$B$5001,M$100,BD!$A$3:$A$5001,"&gt;="&amp;$C$7,BD!$A$3:$A$5001,"&lt;="&amp;$D$7),"—"))</f>
        <v/>
      </c>
      <c r="N114" s="32" t="str">
        <f>IF(N$100="","",IF(Config!$Q$47&lt;&gt;"Não",SUMIFS(BD!$P$3:$P$5001,BD!$B$3:$B$5001,N$100,BD!$A$3:$A$5001,"&gt;="&amp;$C$7,BD!$A$3:$A$5001,"&lt;="&amp;$D$7),"—"))</f>
        <v/>
      </c>
      <c r="O114" s="32" t="str">
        <f>IF(O$100="","",IF(Config!$Q$48&lt;&gt;"Não",SUMIFS(BD!$P$3:$P$5001,BD!$B$3:$B$5001,O$100,BD!$A$3:$A$5001,"&gt;="&amp;$C$7,BD!$A$3:$A$5001,"&lt;="&amp;$D$7),"—"))</f>
        <v/>
      </c>
      <c r="P114" s="32" t="str">
        <f>IF(P$100="","",IF(Config!$Q$49&lt;&gt;"Não",SUMIFS(BD!$P$3:$P$5001,BD!$B$3:$B$5001,P$100,BD!$A$3:$A$5001,"&gt;="&amp;$C$7,BD!$A$3:$A$5001,"&lt;="&amp;$D$7),"—"))</f>
        <v/>
      </c>
      <c r="Q114" s="32" t="str">
        <f>IF(Q$100="","",IF(Config!$Q$50&lt;&gt;"Não",SUMIFS(BD!$P$3:$P$5001,BD!$B$3:$B$5001,Q$100,BD!$A$3:$A$5001,"&gt;="&amp;$C$7,BD!$A$3:$A$5001,"&lt;="&amp;$D$7),"—"))</f>
        <v/>
      </c>
      <c r="R114" s="32" t="str">
        <f>IF(R$100="","",IF(Config!$Q$51&lt;&gt;"Não",SUMIFS(BD!$P$3:$P$5001,BD!$B$3:$B$5001,R$100,BD!$A$3:$A$5001,"&gt;="&amp;$C$7,BD!$A$3:$A$5001,"&lt;="&amp;$D$7),"—"))</f>
        <v/>
      </c>
      <c r="S114" s="32" t="str">
        <f>IF(S$100="","",IF(Config!$Q$52&lt;&gt;"Não",SUMIFS(BD!$P$3:$P$5001,BD!$B$3:$B$5001,S$100,BD!$A$3:$A$5001,"&gt;="&amp;$C$7,BD!$A$3:$A$5001,"&lt;="&amp;$D$7),"—"))</f>
        <v/>
      </c>
      <c r="T114" s="32" t="str">
        <f>IF(T$100="","",IF(Config!$Q$53&lt;&gt;"Não",SUMIFS(BD!$P$3:$P$5001,BD!$B$3:$B$5001,T$100,BD!$A$3:$A$5001,"&gt;="&amp;$C$7,BD!$A$3:$A$5001,"&lt;="&amp;$D$7),"—"))</f>
        <v/>
      </c>
      <c r="U114" s="32" t="str">
        <f>IF(U$100="","",IF(Config!$Q$54&lt;&gt;"Não",SUMIFS(BD!$P$3:$P$5001,BD!$B$3:$B$5001,U$100,BD!$A$3:$A$5001,"&gt;="&amp;$C$7,BD!$A$3:$A$5001,"&lt;="&amp;$D$7),"—"))</f>
        <v/>
      </c>
      <c r="V114" s="62">
        <f>SUM(B114:U114)</f>
        <v>0</v>
      </c>
    </row>
    <row r="115">
      <c r="A115" s="29" t="inlineStr">
        <is>
          <t xml:space="preserve">OUT · Caixas Expedidas</t>
        </is>
      </c>
      <c r="B115" s="32">
        <f>IF(B$100="","",IF(Config!$R$35&lt;&gt;"Não",SUMIFS(BD!$Q$3:$Q$5001,BD!$B$3:$B$5001,B$100,BD!$A$3:$A$5001,"&gt;="&amp;$C$7,BD!$A$3:$A$5001,"&lt;="&amp;$D$7),"—"))</f>
        <v>0</v>
      </c>
      <c r="C115" s="32" t="str">
        <f>IF(C$100="","",IF(Config!$R$36&lt;&gt;"Não",SUMIFS(BD!$Q$3:$Q$5001,BD!$B$3:$B$5001,C$100,BD!$A$3:$A$5001,"&gt;="&amp;$C$7,BD!$A$3:$A$5001,"&lt;="&amp;$D$7),"—"))</f>
        <v>—</v>
      </c>
      <c r="D115" s="32" t="str">
        <f>IF(D$100="","",IF(Config!$R$37&lt;&gt;"Não",SUMIFS(BD!$Q$3:$Q$5001,BD!$B$3:$B$5001,D$100,BD!$A$3:$A$5001,"&gt;="&amp;$C$7,BD!$A$3:$A$5001,"&lt;="&amp;$D$7),"—"))</f>
        <v>—</v>
      </c>
      <c r="E115" s="32">
        <f>IF(E$100="","",IF(Config!$R$38&lt;&gt;"Não",SUMIFS(BD!$Q$3:$Q$5001,BD!$B$3:$B$5001,E$100,BD!$A$3:$A$5001,"&gt;="&amp;$C$7,BD!$A$3:$A$5001,"&lt;="&amp;$D$7),"—"))</f>
        <v>0</v>
      </c>
      <c r="F115" s="32" t="str">
        <f>IF(F$100="","",IF(Config!$R$39&lt;&gt;"Não",SUMIFS(BD!$Q$3:$Q$5001,BD!$B$3:$B$5001,F$100,BD!$A$3:$A$5001,"&gt;="&amp;$C$7,BD!$A$3:$A$5001,"&lt;="&amp;$D$7),"—"))</f>
        <v>—</v>
      </c>
      <c r="G115" s="32" t="str">
        <f>IF(G$100="","",IF(Config!$R$40&lt;&gt;"Não",SUMIFS(BD!$Q$3:$Q$5001,BD!$B$3:$B$5001,G$100,BD!$A$3:$A$5001,"&gt;="&amp;$C$7,BD!$A$3:$A$5001,"&lt;="&amp;$D$7),"—"))</f>
        <v>—</v>
      </c>
      <c r="H115" s="32" t="str">
        <f>IF(H$100="","",IF(Config!$R$41&lt;&gt;"Não",SUMIFS(BD!$Q$3:$Q$5001,BD!$B$3:$B$5001,H$100,BD!$A$3:$A$5001,"&gt;="&amp;$C$7,BD!$A$3:$A$5001,"&lt;="&amp;$D$7),"—"))</f>
        <v>—</v>
      </c>
      <c r="I115" s="32" t="str">
        <f>IF(I$100="","",IF(Config!$R$42&lt;&gt;"Não",SUMIFS(BD!$Q$3:$Q$5001,BD!$B$3:$B$5001,I$100,BD!$A$3:$A$5001,"&gt;="&amp;$C$7,BD!$A$3:$A$5001,"&lt;="&amp;$D$7),"—"))</f>
        <v>—</v>
      </c>
      <c r="J115" s="32" t="str">
        <f>IF(J$100="","",IF(Config!$R$43&lt;&gt;"Não",SUMIFS(BD!$Q$3:$Q$5001,BD!$B$3:$B$5001,J$100,BD!$A$3:$A$5001,"&gt;="&amp;$C$7,BD!$A$3:$A$5001,"&lt;="&amp;$D$7),"—"))</f>
        <v>—</v>
      </c>
      <c r="K115" s="32" t="str">
        <f>IF(K$100="","",IF(Config!$R$44&lt;&gt;"Não",SUMIFS(BD!$Q$3:$Q$5001,BD!$B$3:$B$5001,K$100,BD!$A$3:$A$5001,"&gt;="&amp;$C$7,BD!$A$3:$A$5001,"&lt;="&amp;$D$7),"—"))</f>
        <v>—</v>
      </c>
      <c r="L115" s="32" t="str">
        <f>IF(L$100="","",IF(Config!$R$45&lt;&gt;"Não",SUMIFS(BD!$Q$3:$Q$5001,BD!$B$3:$B$5001,L$100,BD!$A$3:$A$5001,"&gt;="&amp;$C$7,BD!$A$3:$A$5001,"&lt;="&amp;$D$7),"—"))</f>
        <v/>
      </c>
      <c r="M115" s="32" t="str">
        <f>IF(M$100="","",IF(Config!$R$46&lt;&gt;"Não",SUMIFS(BD!$Q$3:$Q$5001,BD!$B$3:$B$5001,M$100,BD!$A$3:$A$5001,"&gt;="&amp;$C$7,BD!$A$3:$A$5001,"&lt;="&amp;$D$7),"—"))</f>
        <v/>
      </c>
      <c r="N115" s="32" t="str">
        <f>IF(N$100="","",IF(Config!$R$47&lt;&gt;"Não",SUMIFS(BD!$Q$3:$Q$5001,BD!$B$3:$B$5001,N$100,BD!$A$3:$A$5001,"&gt;="&amp;$C$7,BD!$A$3:$A$5001,"&lt;="&amp;$D$7),"—"))</f>
        <v/>
      </c>
      <c r="O115" s="32" t="str">
        <f>IF(O$100="","",IF(Config!$R$48&lt;&gt;"Não",SUMIFS(BD!$Q$3:$Q$5001,BD!$B$3:$B$5001,O$100,BD!$A$3:$A$5001,"&gt;="&amp;$C$7,BD!$A$3:$A$5001,"&lt;="&amp;$D$7),"—"))</f>
        <v/>
      </c>
      <c r="P115" s="32" t="str">
        <f>IF(P$100="","",IF(Config!$R$49&lt;&gt;"Não",SUMIFS(BD!$Q$3:$Q$5001,BD!$B$3:$B$5001,P$100,BD!$A$3:$A$5001,"&gt;="&amp;$C$7,BD!$A$3:$A$5001,"&lt;="&amp;$D$7),"—"))</f>
        <v/>
      </c>
      <c r="Q115" s="32" t="str">
        <f>IF(Q$100="","",IF(Config!$R$50&lt;&gt;"Não",SUMIFS(BD!$Q$3:$Q$5001,BD!$B$3:$B$5001,Q$100,BD!$A$3:$A$5001,"&gt;="&amp;$C$7,BD!$A$3:$A$5001,"&lt;="&amp;$D$7),"—"))</f>
        <v/>
      </c>
      <c r="R115" s="32" t="str">
        <f>IF(R$100="","",IF(Config!$R$51&lt;&gt;"Não",SUMIFS(BD!$Q$3:$Q$5001,BD!$B$3:$B$5001,R$100,BD!$A$3:$A$5001,"&gt;="&amp;$C$7,BD!$A$3:$A$5001,"&lt;="&amp;$D$7),"—"))</f>
        <v/>
      </c>
      <c r="S115" s="32" t="str">
        <f>IF(S$100="","",IF(Config!$R$52&lt;&gt;"Não",SUMIFS(BD!$Q$3:$Q$5001,BD!$B$3:$B$5001,S$100,BD!$A$3:$A$5001,"&gt;="&amp;$C$7,BD!$A$3:$A$5001,"&lt;="&amp;$D$7),"—"))</f>
        <v/>
      </c>
      <c r="T115" s="32" t="str">
        <f>IF(T$100="","",IF(Config!$R$53&lt;&gt;"Não",SUMIFS(BD!$Q$3:$Q$5001,BD!$B$3:$B$5001,T$100,BD!$A$3:$A$5001,"&gt;="&amp;$C$7,BD!$A$3:$A$5001,"&lt;="&amp;$D$7),"—"))</f>
        <v/>
      </c>
      <c r="U115" s="32" t="str">
        <f>IF(U$100="","",IF(Config!$R$54&lt;&gt;"Não",SUMIFS(BD!$Q$3:$Q$5001,BD!$B$3:$B$5001,U$100,BD!$A$3:$A$5001,"&gt;="&amp;$C$7,BD!$A$3:$A$5001,"&lt;="&amp;$D$7),"—"))</f>
        <v/>
      </c>
      <c r="V115" s="62">
        <f>SUM(B115:U115)</f>
        <v>0</v>
      </c>
    </row>
    <row r="116">
      <c r="A116" s="29" t="inlineStr">
        <is>
          <t xml:space="preserve">OUT · Pallets Movimentados</t>
        </is>
      </c>
      <c r="B116" s="32" t="str">
        <f>IF(B$100="","",IF(Config!$S$35&lt;&gt;"Não",SUMIFS(BD!$R$3:$R$5001,BD!$B$3:$B$5001,B$100,BD!$A$3:$A$5001,"&gt;="&amp;$C$7,BD!$A$3:$A$5001,"&lt;="&amp;$D$7),"—"))</f>
        <v>—</v>
      </c>
      <c r="C116" s="32">
        <f>IF(C$100="","",IF(Config!$S$36&lt;&gt;"Não",SUMIFS(BD!$R$3:$R$5001,BD!$B$3:$B$5001,C$100,BD!$A$3:$A$5001,"&gt;="&amp;$C$7,BD!$A$3:$A$5001,"&lt;="&amp;$D$7),"—"))</f>
        <v>0</v>
      </c>
      <c r="D116" s="32">
        <f>IF(D$100="","",IF(Config!$S$37&lt;&gt;"Não",SUMIFS(BD!$R$3:$R$5001,BD!$B$3:$B$5001,D$100,BD!$A$3:$A$5001,"&gt;="&amp;$C$7,BD!$A$3:$A$5001,"&lt;="&amp;$D$7),"—"))</f>
        <v>0</v>
      </c>
      <c r="E116" s="32">
        <f>IF(E$100="","",IF(Config!$S$38&lt;&gt;"Não",SUMIFS(BD!$R$3:$R$5001,BD!$B$3:$B$5001,E$100,BD!$A$3:$A$5001,"&gt;="&amp;$C$7,BD!$A$3:$A$5001,"&lt;="&amp;$D$7),"—"))</f>
        <v>0</v>
      </c>
      <c r="F116" s="32">
        <f>IF(F$100="","",IF(Config!$S$39&lt;&gt;"Não",SUMIFS(BD!$R$3:$R$5001,BD!$B$3:$B$5001,F$100,BD!$A$3:$A$5001,"&gt;="&amp;$C$7,BD!$A$3:$A$5001,"&lt;="&amp;$D$7),"—"))</f>
        <v>0</v>
      </c>
      <c r="G116" s="32">
        <f>IF(G$100="","",IF(Config!$S$40&lt;&gt;"Não",SUMIFS(BD!$R$3:$R$5001,BD!$B$3:$B$5001,G$100,BD!$A$3:$A$5001,"&gt;="&amp;$C$7,BD!$A$3:$A$5001,"&lt;="&amp;$D$7),"—"))</f>
        <v>0</v>
      </c>
      <c r="H116" s="32">
        <f>IF(H$100="","",IF(Config!$S$41&lt;&gt;"Não",SUMIFS(BD!$R$3:$R$5001,BD!$B$3:$B$5001,H$100,BD!$A$3:$A$5001,"&gt;="&amp;$C$7,BD!$A$3:$A$5001,"&lt;="&amp;$D$7),"—"))</f>
        <v>0</v>
      </c>
      <c r="I116" s="32">
        <f>IF(I$100="","",IF(Config!$S$42&lt;&gt;"Não",SUMIFS(BD!$R$3:$R$5001,BD!$B$3:$B$5001,I$100,BD!$A$3:$A$5001,"&gt;="&amp;$C$7,BD!$A$3:$A$5001,"&lt;="&amp;$D$7),"—"))</f>
        <v>0</v>
      </c>
      <c r="J116" s="32">
        <f>IF(J$100="","",IF(Config!$S$43&lt;&gt;"Não",SUMIFS(BD!$R$3:$R$5001,BD!$B$3:$B$5001,J$100,BD!$A$3:$A$5001,"&gt;="&amp;$C$7,BD!$A$3:$A$5001,"&lt;="&amp;$D$7),"—"))</f>
        <v>0</v>
      </c>
      <c r="K116" s="32" t="str">
        <f>IF(K$100="","",IF(Config!$S$44&lt;&gt;"Não",SUMIFS(BD!$R$3:$R$5001,BD!$B$3:$B$5001,K$100,BD!$A$3:$A$5001,"&gt;="&amp;$C$7,BD!$A$3:$A$5001,"&lt;="&amp;$D$7),"—"))</f>
        <v>—</v>
      </c>
      <c r="L116" s="32" t="str">
        <f>IF(L$100="","",IF(Config!$S$45&lt;&gt;"Não",SUMIFS(BD!$R$3:$R$5001,BD!$B$3:$B$5001,L$100,BD!$A$3:$A$5001,"&gt;="&amp;$C$7,BD!$A$3:$A$5001,"&lt;="&amp;$D$7),"—"))</f>
        <v/>
      </c>
      <c r="M116" s="32" t="str">
        <f>IF(M$100="","",IF(Config!$S$46&lt;&gt;"Não",SUMIFS(BD!$R$3:$R$5001,BD!$B$3:$B$5001,M$100,BD!$A$3:$A$5001,"&gt;="&amp;$C$7,BD!$A$3:$A$5001,"&lt;="&amp;$D$7),"—"))</f>
        <v/>
      </c>
      <c r="N116" s="32" t="str">
        <f>IF(N$100="","",IF(Config!$S$47&lt;&gt;"Não",SUMIFS(BD!$R$3:$R$5001,BD!$B$3:$B$5001,N$100,BD!$A$3:$A$5001,"&gt;="&amp;$C$7,BD!$A$3:$A$5001,"&lt;="&amp;$D$7),"—"))</f>
        <v/>
      </c>
      <c r="O116" s="32" t="str">
        <f>IF(O$100="","",IF(Config!$S$48&lt;&gt;"Não",SUMIFS(BD!$R$3:$R$5001,BD!$B$3:$B$5001,O$100,BD!$A$3:$A$5001,"&gt;="&amp;$C$7,BD!$A$3:$A$5001,"&lt;="&amp;$D$7),"—"))</f>
        <v/>
      </c>
      <c r="P116" s="32" t="str">
        <f>IF(P$100="","",IF(Config!$S$49&lt;&gt;"Não",SUMIFS(BD!$R$3:$R$5001,BD!$B$3:$B$5001,P$100,BD!$A$3:$A$5001,"&gt;="&amp;$C$7,BD!$A$3:$A$5001,"&lt;="&amp;$D$7),"—"))</f>
        <v/>
      </c>
      <c r="Q116" s="32" t="str">
        <f>IF(Q$100="","",IF(Config!$S$50&lt;&gt;"Não",SUMIFS(BD!$R$3:$R$5001,BD!$B$3:$B$5001,Q$100,BD!$A$3:$A$5001,"&gt;="&amp;$C$7,BD!$A$3:$A$5001,"&lt;="&amp;$D$7),"—"))</f>
        <v/>
      </c>
      <c r="R116" s="32" t="str">
        <f>IF(R$100="","",IF(Config!$S$51&lt;&gt;"Não",SUMIFS(BD!$R$3:$R$5001,BD!$B$3:$B$5001,R$100,BD!$A$3:$A$5001,"&gt;="&amp;$C$7,BD!$A$3:$A$5001,"&lt;="&amp;$D$7),"—"))</f>
        <v/>
      </c>
      <c r="S116" s="32" t="str">
        <f>IF(S$100="","",IF(Config!$S$52&lt;&gt;"Não",SUMIFS(BD!$R$3:$R$5001,BD!$B$3:$B$5001,S$100,BD!$A$3:$A$5001,"&gt;="&amp;$C$7,BD!$A$3:$A$5001,"&lt;="&amp;$D$7),"—"))</f>
        <v/>
      </c>
      <c r="T116" s="32" t="str">
        <f>IF(T$100="","",IF(Config!$S$53&lt;&gt;"Não",SUMIFS(BD!$R$3:$R$5001,BD!$B$3:$B$5001,T$100,BD!$A$3:$A$5001,"&gt;="&amp;$C$7,BD!$A$3:$A$5001,"&lt;="&amp;$D$7),"—"))</f>
        <v/>
      </c>
      <c r="U116" s="32" t="str">
        <f>IF(U$100="","",IF(Config!$S$54&lt;&gt;"Não",SUMIFS(BD!$R$3:$R$5001,BD!$B$3:$B$5001,U$100,BD!$A$3:$A$5001,"&gt;="&amp;$C$7,BD!$A$3:$A$5001,"&lt;="&amp;$D$7),"—"))</f>
        <v/>
      </c>
      <c r="V116" s="62">
        <f>SUM(B116:U116)</f>
        <v>0</v>
      </c>
    </row>
    <row r="117">
      <c r="A117" s="29" t="inlineStr">
        <is>
          <t xml:space="preserve">OUT · Toneladas Movimentadas</t>
        </is>
      </c>
      <c r="B117" s="61" t="str">
        <f>IF(B$100="","",IF(Config!$T$35&lt;&gt;"Não",SUMIFS(BD!$S$3:$S$5001,BD!$B$3:$B$5001,B$100,BD!$A$3:$A$5001,"&gt;="&amp;$C$7,BD!$A$3:$A$5001,"&lt;="&amp;$D$7),"—"))</f>
        <v>—</v>
      </c>
      <c r="C117" s="61">
        <f>IF(C$100="","",IF(Config!$T$36&lt;&gt;"Não",SUMIFS(BD!$S$3:$S$5001,BD!$B$3:$B$5001,C$100,BD!$A$3:$A$5001,"&gt;="&amp;$C$7,BD!$A$3:$A$5001,"&lt;="&amp;$D$7),"—"))</f>
        <v>0</v>
      </c>
      <c r="D117" s="61" t="str">
        <f>IF(D$100="","",IF(Config!$T$37&lt;&gt;"Não",SUMIFS(BD!$S$3:$S$5001,BD!$B$3:$B$5001,D$100,BD!$A$3:$A$5001,"&gt;="&amp;$C$7,BD!$A$3:$A$5001,"&lt;="&amp;$D$7),"—"))</f>
        <v>—</v>
      </c>
      <c r="E117" s="61" t="str">
        <f>IF(E$100="","",IF(Config!$T$38&lt;&gt;"Não",SUMIFS(BD!$S$3:$S$5001,BD!$B$3:$B$5001,E$100,BD!$A$3:$A$5001,"&gt;="&amp;$C$7,BD!$A$3:$A$5001,"&lt;="&amp;$D$7),"—"))</f>
        <v>—</v>
      </c>
      <c r="F117" s="61">
        <f>IF(F$100="","",IF(Config!$T$39&lt;&gt;"Não",SUMIFS(BD!$S$3:$S$5001,BD!$B$3:$B$5001,F$100,BD!$A$3:$A$5001,"&gt;="&amp;$C$7,BD!$A$3:$A$5001,"&lt;="&amp;$D$7),"—"))</f>
        <v>0</v>
      </c>
      <c r="G117" s="61" t="str">
        <f>IF(G$100="","",IF(Config!$T$40&lt;&gt;"Não",SUMIFS(BD!$S$3:$S$5001,BD!$B$3:$B$5001,G$100,BD!$A$3:$A$5001,"&gt;="&amp;$C$7,BD!$A$3:$A$5001,"&lt;="&amp;$D$7),"—"))</f>
        <v>—</v>
      </c>
      <c r="H117" s="61" t="str">
        <f>IF(H$100="","",IF(Config!$T$41&lt;&gt;"Não",SUMIFS(BD!$S$3:$S$5001,BD!$B$3:$B$5001,H$100,BD!$A$3:$A$5001,"&gt;="&amp;$C$7,BD!$A$3:$A$5001,"&lt;="&amp;$D$7),"—"))</f>
        <v>—</v>
      </c>
      <c r="I117" s="61">
        <f>IF(I$100="","",IF(Config!$T$42&lt;&gt;"Não",SUMIFS(BD!$S$3:$S$5001,BD!$B$3:$B$5001,I$100,BD!$A$3:$A$5001,"&gt;="&amp;$C$7,BD!$A$3:$A$5001,"&lt;="&amp;$D$7),"—"))</f>
        <v>0</v>
      </c>
      <c r="J117" s="61" t="str">
        <f>IF(J$100="","",IF(Config!$T$43&lt;&gt;"Não",SUMIFS(BD!$S$3:$S$5001,BD!$B$3:$B$5001,J$100,BD!$A$3:$A$5001,"&gt;="&amp;$C$7,BD!$A$3:$A$5001,"&lt;="&amp;$D$7),"—"))</f>
        <v>—</v>
      </c>
      <c r="K117" s="61" t="str">
        <f>IF(K$100="","",IF(Config!$T$44&lt;&gt;"Não",SUMIFS(BD!$S$3:$S$5001,BD!$B$3:$B$5001,K$100,BD!$A$3:$A$5001,"&gt;="&amp;$C$7,BD!$A$3:$A$5001,"&lt;="&amp;$D$7),"—"))</f>
        <v>—</v>
      </c>
      <c r="L117" s="61" t="str">
        <f>IF(L$100="","",IF(Config!$T$45&lt;&gt;"Não",SUMIFS(BD!$S$3:$S$5001,BD!$B$3:$B$5001,L$100,BD!$A$3:$A$5001,"&gt;="&amp;$C$7,BD!$A$3:$A$5001,"&lt;="&amp;$D$7),"—"))</f>
        <v/>
      </c>
      <c r="M117" s="61" t="str">
        <f>IF(M$100="","",IF(Config!$T$46&lt;&gt;"Não",SUMIFS(BD!$S$3:$S$5001,BD!$B$3:$B$5001,M$100,BD!$A$3:$A$5001,"&gt;="&amp;$C$7,BD!$A$3:$A$5001,"&lt;="&amp;$D$7),"—"))</f>
        <v/>
      </c>
      <c r="N117" s="61" t="str">
        <f>IF(N$100="","",IF(Config!$T$47&lt;&gt;"Não",SUMIFS(BD!$S$3:$S$5001,BD!$B$3:$B$5001,N$100,BD!$A$3:$A$5001,"&gt;="&amp;$C$7,BD!$A$3:$A$5001,"&lt;="&amp;$D$7),"—"))</f>
        <v/>
      </c>
      <c r="O117" s="61" t="str">
        <f>IF(O$100="","",IF(Config!$T$48&lt;&gt;"Não",SUMIFS(BD!$S$3:$S$5001,BD!$B$3:$B$5001,O$100,BD!$A$3:$A$5001,"&gt;="&amp;$C$7,BD!$A$3:$A$5001,"&lt;="&amp;$D$7),"—"))</f>
        <v/>
      </c>
      <c r="P117" s="61" t="str">
        <f>IF(P$100="","",IF(Config!$T$49&lt;&gt;"Não",SUMIFS(BD!$S$3:$S$5001,BD!$B$3:$B$5001,P$100,BD!$A$3:$A$5001,"&gt;="&amp;$C$7,BD!$A$3:$A$5001,"&lt;="&amp;$D$7),"—"))</f>
        <v/>
      </c>
      <c r="Q117" s="61" t="str">
        <f>IF(Q$100="","",IF(Config!$T$50&lt;&gt;"Não",SUMIFS(BD!$S$3:$S$5001,BD!$B$3:$B$5001,Q$100,BD!$A$3:$A$5001,"&gt;="&amp;$C$7,BD!$A$3:$A$5001,"&lt;="&amp;$D$7),"—"))</f>
        <v/>
      </c>
      <c r="R117" s="61" t="str">
        <f>IF(R$100="","",IF(Config!$T$51&lt;&gt;"Não",SUMIFS(BD!$S$3:$S$5001,BD!$B$3:$B$5001,R$100,BD!$A$3:$A$5001,"&gt;="&amp;$C$7,BD!$A$3:$A$5001,"&lt;="&amp;$D$7),"—"))</f>
        <v/>
      </c>
      <c r="S117" s="61" t="str">
        <f>IF(S$100="","",IF(Config!$T$52&lt;&gt;"Não",SUMIFS(BD!$S$3:$S$5001,BD!$B$3:$B$5001,S$100,BD!$A$3:$A$5001,"&gt;="&amp;$C$7,BD!$A$3:$A$5001,"&lt;="&amp;$D$7),"—"))</f>
        <v/>
      </c>
      <c r="T117" s="61" t="str">
        <f>IF(T$100="","",IF(Config!$T$53&lt;&gt;"Não",SUMIFS(BD!$S$3:$S$5001,BD!$B$3:$B$5001,T$100,BD!$A$3:$A$5001,"&gt;="&amp;$C$7,BD!$A$3:$A$5001,"&lt;="&amp;$D$7),"—"))</f>
        <v/>
      </c>
      <c r="U117" s="61" t="str">
        <f>IF(U$100="","",IF(Config!$T$54&lt;&gt;"Não",SUMIFS(BD!$S$3:$S$5001,BD!$B$3:$B$5001,U$100,BD!$A$3:$A$5001,"&gt;="&amp;$C$7,BD!$A$3:$A$5001,"&lt;="&amp;$D$7),"—"))</f>
        <v/>
      </c>
      <c r="V117" s="63">
        <f>SUM(B117:U117)</f>
        <v>0</v>
      </c>
    </row>
    <row r="118">
      <c r="A118" s="29" t="inlineStr">
        <is>
          <t xml:space="preserve">NC · Incidentes</t>
        </is>
      </c>
      <c r="B118" s="32">
        <f>IF(B$100="","",IF(Config!$U$35&lt;&gt;"Não",SUMIFS(BD!$T$3:$T$5001,BD!$B$3:$B$5001,B$100,BD!$A$3:$A$5001,"&gt;="&amp;$C$7,BD!$A$3:$A$5001,"&lt;="&amp;$D$7),"—"))</f>
        <v>0</v>
      </c>
      <c r="C118" s="32">
        <f>IF(C$100="","",IF(Config!$U$36&lt;&gt;"Não",SUMIFS(BD!$T$3:$T$5001,BD!$B$3:$B$5001,C$100,BD!$A$3:$A$5001,"&gt;="&amp;$C$7,BD!$A$3:$A$5001,"&lt;="&amp;$D$7),"—"))</f>
        <v>0</v>
      </c>
      <c r="D118" s="32">
        <f>IF(D$100="","",IF(Config!$U$37&lt;&gt;"Não",SUMIFS(BD!$T$3:$T$5001,BD!$B$3:$B$5001,D$100,BD!$A$3:$A$5001,"&gt;="&amp;$C$7,BD!$A$3:$A$5001,"&lt;="&amp;$D$7),"—"))</f>
        <v>0</v>
      </c>
      <c r="E118" s="32">
        <f>IF(E$100="","",IF(Config!$U$38&lt;&gt;"Não",SUMIFS(BD!$T$3:$T$5001,BD!$B$3:$B$5001,E$100,BD!$A$3:$A$5001,"&gt;="&amp;$C$7,BD!$A$3:$A$5001,"&lt;="&amp;$D$7),"—"))</f>
        <v>0</v>
      </c>
      <c r="F118" s="32">
        <f>IF(F$100="","",IF(Config!$U$39&lt;&gt;"Não",SUMIFS(BD!$T$3:$T$5001,BD!$B$3:$B$5001,F$100,BD!$A$3:$A$5001,"&gt;="&amp;$C$7,BD!$A$3:$A$5001,"&lt;="&amp;$D$7),"—"))</f>
        <v>0</v>
      </c>
      <c r="G118" s="32">
        <f>IF(G$100="","",IF(Config!$U$40&lt;&gt;"Não",SUMIFS(BD!$T$3:$T$5001,BD!$B$3:$B$5001,G$100,BD!$A$3:$A$5001,"&gt;="&amp;$C$7,BD!$A$3:$A$5001,"&lt;="&amp;$D$7),"—"))</f>
        <v>0</v>
      </c>
      <c r="H118" s="32">
        <f>IF(H$100="","",IF(Config!$U$41&lt;&gt;"Não",SUMIFS(BD!$T$3:$T$5001,BD!$B$3:$B$5001,H$100,BD!$A$3:$A$5001,"&gt;="&amp;$C$7,BD!$A$3:$A$5001,"&lt;="&amp;$D$7),"—"))</f>
        <v>0</v>
      </c>
      <c r="I118" s="32">
        <f>IF(I$100="","",IF(Config!$U$42&lt;&gt;"Não",SUMIFS(BD!$T$3:$T$5001,BD!$B$3:$B$5001,I$100,BD!$A$3:$A$5001,"&gt;="&amp;$C$7,BD!$A$3:$A$5001,"&lt;="&amp;$D$7),"—"))</f>
        <v>0</v>
      </c>
      <c r="J118" s="32">
        <f>IF(J$100="","",IF(Config!$U$43&lt;&gt;"Não",SUMIFS(BD!$T$3:$T$5001,BD!$B$3:$B$5001,J$100,BD!$A$3:$A$5001,"&gt;="&amp;$C$7,BD!$A$3:$A$5001,"&lt;="&amp;$D$7),"—"))</f>
        <v>0</v>
      </c>
      <c r="K118" s="32">
        <f>IF(K$100="","",IF(Config!$U$44&lt;&gt;"Não",SUMIFS(BD!$T$3:$T$5001,BD!$B$3:$B$5001,K$100,BD!$A$3:$A$5001,"&gt;="&amp;$C$7,BD!$A$3:$A$5001,"&lt;="&amp;$D$7),"—"))</f>
        <v>0</v>
      </c>
      <c r="L118" s="32" t="str">
        <f>IF(L$100="","",IF(Config!$U$45&lt;&gt;"Não",SUMIFS(BD!$T$3:$T$5001,BD!$B$3:$B$5001,L$100,BD!$A$3:$A$5001,"&gt;="&amp;$C$7,BD!$A$3:$A$5001,"&lt;="&amp;$D$7),"—"))</f>
        <v/>
      </c>
      <c r="M118" s="32" t="str">
        <f>IF(M$100="","",IF(Config!$U$46&lt;&gt;"Não",SUMIFS(BD!$T$3:$T$5001,BD!$B$3:$B$5001,M$100,BD!$A$3:$A$5001,"&gt;="&amp;$C$7,BD!$A$3:$A$5001,"&lt;="&amp;$D$7),"—"))</f>
        <v/>
      </c>
      <c r="N118" s="32" t="str">
        <f>IF(N$100="","",IF(Config!$U$47&lt;&gt;"Não",SUMIFS(BD!$T$3:$T$5001,BD!$B$3:$B$5001,N$100,BD!$A$3:$A$5001,"&gt;="&amp;$C$7,BD!$A$3:$A$5001,"&lt;="&amp;$D$7),"—"))</f>
        <v/>
      </c>
      <c r="O118" s="32" t="str">
        <f>IF(O$100="","",IF(Config!$U$48&lt;&gt;"Não",SUMIFS(BD!$T$3:$T$5001,BD!$B$3:$B$5001,O$100,BD!$A$3:$A$5001,"&gt;="&amp;$C$7,BD!$A$3:$A$5001,"&lt;="&amp;$D$7),"—"))</f>
        <v/>
      </c>
      <c r="P118" s="32" t="str">
        <f>IF(P$100="","",IF(Config!$U$49&lt;&gt;"Não",SUMIFS(BD!$T$3:$T$5001,BD!$B$3:$B$5001,P$100,BD!$A$3:$A$5001,"&gt;="&amp;$C$7,BD!$A$3:$A$5001,"&lt;="&amp;$D$7),"—"))</f>
        <v/>
      </c>
      <c r="Q118" s="32" t="str">
        <f>IF(Q$100="","",IF(Config!$U$50&lt;&gt;"Não",SUMIFS(BD!$T$3:$T$5001,BD!$B$3:$B$5001,Q$100,BD!$A$3:$A$5001,"&gt;="&amp;$C$7,BD!$A$3:$A$5001,"&lt;="&amp;$D$7),"—"))</f>
        <v/>
      </c>
      <c r="R118" s="32" t="str">
        <f>IF(R$100="","",IF(Config!$U$51&lt;&gt;"Não",SUMIFS(BD!$T$3:$T$5001,BD!$B$3:$B$5001,R$100,BD!$A$3:$A$5001,"&gt;="&amp;$C$7,BD!$A$3:$A$5001,"&lt;="&amp;$D$7),"—"))</f>
        <v/>
      </c>
      <c r="S118" s="32" t="str">
        <f>IF(S$100="","",IF(Config!$U$52&lt;&gt;"Não",SUMIFS(BD!$T$3:$T$5001,BD!$B$3:$B$5001,S$100,BD!$A$3:$A$5001,"&gt;="&amp;$C$7,BD!$A$3:$A$5001,"&lt;="&amp;$D$7),"—"))</f>
        <v/>
      </c>
      <c r="T118" s="32" t="str">
        <f>IF(T$100="","",IF(Config!$U$53&lt;&gt;"Não",SUMIFS(BD!$T$3:$T$5001,BD!$B$3:$B$5001,T$100,BD!$A$3:$A$5001,"&gt;="&amp;$C$7,BD!$A$3:$A$5001,"&lt;="&amp;$D$7),"—"))</f>
        <v/>
      </c>
      <c r="U118" s="32" t="str">
        <f>IF(U$100="","",IF(Config!$U$54&lt;&gt;"Não",SUMIFS(BD!$T$3:$T$5001,BD!$B$3:$B$5001,U$100,BD!$A$3:$A$5001,"&gt;="&amp;$C$7,BD!$A$3:$A$5001,"&lt;="&amp;$D$7),"—"))</f>
        <v/>
      </c>
      <c r="V118" s="62">
        <f>SUM(B118:U118)</f>
        <v>0</v>
      </c>
    </row>
    <row r="119">
      <c r="A119" s="29" t="inlineStr">
        <is>
          <t xml:space="preserve">NC · No show</t>
        </is>
      </c>
      <c r="B119" s="32">
        <f>IF(B$100="","",IF(Config!$V$35&lt;&gt;"Não",SUMIFS(BD!$U$3:$U$5001,BD!$B$3:$B$5001,B$100,BD!$A$3:$A$5001,"&gt;="&amp;$C$7,BD!$A$3:$A$5001,"&lt;="&amp;$D$7),"—"))</f>
        <v>0</v>
      </c>
      <c r="C119" s="32">
        <f>IF(C$100="","",IF(Config!$V$36&lt;&gt;"Não",SUMIFS(BD!$U$3:$U$5001,BD!$B$3:$B$5001,C$100,BD!$A$3:$A$5001,"&gt;="&amp;$C$7,BD!$A$3:$A$5001,"&lt;="&amp;$D$7),"—"))</f>
        <v>0</v>
      </c>
      <c r="D119" s="32">
        <f>IF(D$100="","",IF(Config!$V$37&lt;&gt;"Não",SUMIFS(BD!$U$3:$U$5001,BD!$B$3:$B$5001,D$100,BD!$A$3:$A$5001,"&gt;="&amp;$C$7,BD!$A$3:$A$5001,"&lt;="&amp;$D$7),"—"))</f>
        <v>0</v>
      </c>
      <c r="E119" s="32">
        <f>IF(E$100="","",IF(Config!$V$38&lt;&gt;"Não",SUMIFS(BD!$U$3:$U$5001,BD!$B$3:$B$5001,E$100,BD!$A$3:$A$5001,"&gt;="&amp;$C$7,BD!$A$3:$A$5001,"&lt;="&amp;$D$7),"—"))</f>
        <v>0</v>
      </c>
      <c r="F119" s="32">
        <f>IF(F$100="","",IF(Config!$V$39&lt;&gt;"Não",SUMIFS(BD!$U$3:$U$5001,BD!$B$3:$B$5001,F$100,BD!$A$3:$A$5001,"&gt;="&amp;$C$7,BD!$A$3:$A$5001,"&lt;="&amp;$D$7),"—"))</f>
        <v>0</v>
      </c>
      <c r="G119" s="32">
        <f>IF(G$100="","",IF(Config!$V$40&lt;&gt;"Não",SUMIFS(BD!$U$3:$U$5001,BD!$B$3:$B$5001,G$100,BD!$A$3:$A$5001,"&gt;="&amp;$C$7,BD!$A$3:$A$5001,"&lt;="&amp;$D$7),"—"))</f>
        <v>0</v>
      </c>
      <c r="H119" s="32">
        <f>IF(H$100="","",IF(Config!$V$41&lt;&gt;"Não",SUMIFS(BD!$U$3:$U$5001,BD!$B$3:$B$5001,H$100,BD!$A$3:$A$5001,"&gt;="&amp;$C$7,BD!$A$3:$A$5001,"&lt;="&amp;$D$7),"—"))</f>
        <v>0</v>
      </c>
      <c r="I119" s="32">
        <f>IF(I$100="","",IF(Config!$V$42&lt;&gt;"Não",SUMIFS(BD!$U$3:$U$5001,BD!$B$3:$B$5001,I$100,BD!$A$3:$A$5001,"&gt;="&amp;$C$7,BD!$A$3:$A$5001,"&lt;="&amp;$D$7),"—"))</f>
        <v>0</v>
      </c>
      <c r="J119" s="32">
        <f>IF(J$100="","",IF(Config!$V$43&lt;&gt;"Não",SUMIFS(BD!$U$3:$U$5001,BD!$B$3:$B$5001,J$100,BD!$A$3:$A$5001,"&gt;="&amp;$C$7,BD!$A$3:$A$5001,"&lt;="&amp;$D$7),"—"))</f>
        <v>0</v>
      </c>
      <c r="K119" s="32">
        <f>IF(K$100="","",IF(Config!$V$44&lt;&gt;"Não",SUMIFS(BD!$U$3:$U$5001,BD!$B$3:$B$5001,K$100,BD!$A$3:$A$5001,"&gt;="&amp;$C$7,BD!$A$3:$A$5001,"&lt;="&amp;$D$7),"—"))</f>
        <v>0</v>
      </c>
      <c r="L119" s="32" t="str">
        <f>IF(L$100="","",IF(Config!$V$45&lt;&gt;"Não",SUMIFS(BD!$U$3:$U$5001,BD!$B$3:$B$5001,L$100,BD!$A$3:$A$5001,"&gt;="&amp;$C$7,BD!$A$3:$A$5001,"&lt;="&amp;$D$7),"—"))</f>
        <v/>
      </c>
      <c r="M119" s="32" t="str">
        <f>IF(M$100="","",IF(Config!$V$46&lt;&gt;"Não",SUMIFS(BD!$U$3:$U$5001,BD!$B$3:$B$5001,M$100,BD!$A$3:$A$5001,"&gt;="&amp;$C$7,BD!$A$3:$A$5001,"&lt;="&amp;$D$7),"—"))</f>
        <v/>
      </c>
      <c r="N119" s="32" t="str">
        <f>IF(N$100="","",IF(Config!$V$47&lt;&gt;"Não",SUMIFS(BD!$U$3:$U$5001,BD!$B$3:$B$5001,N$100,BD!$A$3:$A$5001,"&gt;="&amp;$C$7,BD!$A$3:$A$5001,"&lt;="&amp;$D$7),"—"))</f>
        <v/>
      </c>
      <c r="O119" s="32" t="str">
        <f>IF(O$100="","",IF(Config!$V$48&lt;&gt;"Não",SUMIFS(BD!$U$3:$U$5001,BD!$B$3:$B$5001,O$100,BD!$A$3:$A$5001,"&gt;="&amp;$C$7,BD!$A$3:$A$5001,"&lt;="&amp;$D$7),"—"))</f>
        <v/>
      </c>
      <c r="P119" s="32" t="str">
        <f>IF(P$100="","",IF(Config!$V$49&lt;&gt;"Não",SUMIFS(BD!$U$3:$U$5001,BD!$B$3:$B$5001,P$100,BD!$A$3:$A$5001,"&gt;="&amp;$C$7,BD!$A$3:$A$5001,"&lt;="&amp;$D$7),"—"))</f>
        <v/>
      </c>
      <c r="Q119" s="32" t="str">
        <f>IF(Q$100="","",IF(Config!$V$50&lt;&gt;"Não",SUMIFS(BD!$U$3:$U$5001,BD!$B$3:$B$5001,Q$100,BD!$A$3:$A$5001,"&gt;="&amp;$C$7,BD!$A$3:$A$5001,"&lt;="&amp;$D$7),"—"))</f>
        <v/>
      </c>
      <c r="R119" s="32" t="str">
        <f>IF(R$100="","",IF(Config!$V$51&lt;&gt;"Não",SUMIFS(BD!$U$3:$U$5001,BD!$B$3:$B$5001,R$100,BD!$A$3:$A$5001,"&gt;="&amp;$C$7,BD!$A$3:$A$5001,"&lt;="&amp;$D$7),"—"))</f>
        <v/>
      </c>
      <c r="S119" s="32" t="str">
        <f>IF(S$100="","",IF(Config!$V$52&lt;&gt;"Não",SUMIFS(BD!$U$3:$U$5001,BD!$B$3:$B$5001,S$100,BD!$A$3:$A$5001,"&gt;="&amp;$C$7,BD!$A$3:$A$5001,"&lt;="&amp;$D$7),"—"))</f>
        <v/>
      </c>
      <c r="T119" s="32" t="str">
        <f>IF(T$100="","",IF(Config!$V$53&lt;&gt;"Não",SUMIFS(BD!$U$3:$U$5001,BD!$B$3:$B$5001,T$100,BD!$A$3:$A$5001,"&gt;="&amp;$C$7,BD!$A$3:$A$5001,"&lt;="&amp;$D$7),"—"))</f>
        <v/>
      </c>
      <c r="U119" s="32" t="str">
        <f>IF(U$100="","",IF(Config!$V$54&lt;&gt;"Não",SUMIFS(BD!$U$3:$U$5001,BD!$B$3:$B$5001,U$100,BD!$A$3:$A$5001,"&gt;="&amp;$C$7,BD!$A$3:$A$5001,"&lt;="&amp;$D$7),"—"))</f>
        <v/>
      </c>
      <c r="V119" s="62">
        <f>SUM(B119:U119)</f>
        <v>0</v>
      </c>
    </row>
    <row r="120">
      <c r="A120" s="29" t="inlineStr">
        <is>
          <t xml:space="preserve">NC · Backlog</t>
        </is>
      </c>
      <c r="B120" s="32" t="str">
        <f>IF(B$100="","",IF(Config!$W$35&lt;&gt;"Não",IF(COUNTIFS(BD!$B$3:$B$5001,B$100,BD!$A$3:$A$5001,"&gt;="&amp;$C$7,BD!$A$3:$A$5001,"&lt;="&amp;$D$7,BD!$V$3:$V$5001,"&lt;&gt;")=0,"",SUMIFS(BD!$V$3:$V$5001,BD!$B$3:$B$5001,B$100,BD!$A$3:$A$5001,_xlfn.MAXIFS(BD!$A$3:$A$5001,BD!$B$3:$B$5001,B$100,BD!$A$3:$A$5001,"&gt;="&amp;$C$7,BD!$A$3:$A$5001,"&lt;="&amp;$D$7,BD!$V$3:$V$5001,"&lt;&gt;"))),"—"))</f>
        <v/>
      </c>
      <c r="C120" s="32" t="str">
        <f>IF(C$100="","",IF(Config!$W$36&lt;&gt;"Não",IF(COUNTIFS(BD!$B$3:$B$5001,C$100,BD!$A$3:$A$5001,"&gt;="&amp;$C$7,BD!$A$3:$A$5001,"&lt;="&amp;$D$7,BD!$V$3:$V$5001,"&lt;&gt;")=0,"",SUMIFS(BD!$V$3:$V$5001,BD!$B$3:$B$5001,C$100,BD!$A$3:$A$5001,_xlfn.MAXIFS(BD!$A$3:$A$5001,BD!$B$3:$B$5001,C$100,BD!$A$3:$A$5001,"&gt;="&amp;$C$7,BD!$A$3:$A$5001,"&lt;="&amp;$D$7,BD!$V$3:$V$5001,"&lt;&gt;"))),"—"))</f>
        <v/>
      </c>
      <c r="D120" s="32" t="str">
        <f>IF(D$100="","",IF(Config!$W$37&lt;&gt;"Não",IF(COUNTIFS(BD!$B$3:$B$5001,D$100,BD!$A$3:$A$5001,"&gt;="&amp;$C$7,BD!$A$3:$A$5001,"&lt;="&amp;$D$7,BD!$V$3:$V$5001,"&lt;&gt;")=0,"",SUMIFS(BD!$V$3:$V$5001,BD!$B$3:$B$5001,D$100,BD!$A$3:$A$5001,_xlfn.MAXIFS(BD!$A$3:$A$5001,BD!$B$3:$B$5001,D$100,BD!$A$3:$A$5001,"&gt;="&amp;$C$7,BD!$A$3:$A$5001,"&lt;="&amp;$D$7,BD!$V$3:$V$5001,"&lt;&gt;"))),"—"))</f>
        <v/>
      </c>
      <c r="E120" s="32" t="str">
        <f>IF(E$100="","",IF(Config!$W$38&lt;&gt;"Não",IF(COUNTIFS(BD!$B$3:$B$5001,E$100,BD!$A$3:$A$5001,"&gt;="&amp;$C$7,BD!$A$3:$A$5001,"&lt;="&amp;$D$7,BD!$V$3:$V$5001,"&lt;&gt;")=0,"",SUMIFS(BD!$V$3:$V$5001,BD!$B$3:$B$5001,E$100,BD!$A$3:$A$5001,_xlfn.MAXIFS(BD!$A$3:$A$5001,BD!$B$3:$B$5001,E$100,BD!$A$3:$A$5001,"&gt;="&amp;$C$7,BD!$A$3:$A$5001,"&lt;="&amp;$D$7,BD!$V$3:$V$5001,"&lt;&gt;"))),"—"))</f>
        <v/>
      </c>
      <c r="F120" s="32" t="str">
        <f>IF(F$100="","",IF(Config!$W$39&lt;&gt;"Não",IF(COUNTIFS(BD!$B$3:$B$5001,F$100,BD!$A$3:$A$5001,"&gt;="&amp;$C$7,BD!$A$3:$A$5001,"&lt;="&amp;$D$7,BD!$V$3:$V$5001,"&lt;&gt;")=0,"",SUMIFS(BD!$V$3:$V$5001,BD!$B$3:$B$5001,F$100,BD!$A$3:$A$5001,_xlfn.MAXIFS(BD!$A$3:$A$5001,BD!$B$3:$B$5001,F$100,BD!$A$3:$A$5001,"&gt;="&amp;$C$7,BD!$A$3:$A$5001,"&lt;="&amp;$D$7,BD!$V$3:$V$5001,"&lt;&gt;"))),"—"))</f>
        <v/>
      </c>
      <c r="G120" s="32" t="str">
        <f>IF(G$100="","",IF(Config!$W$40&lt;&gt;"Não",IF(COUNTIFS(BD!$B$3:$B$5001,G$100,BD!$A$3:$A$5001,"&gt;="&amp;$C$7,BD!$A$3:$A$5001,"&lt;="&amp;$D$7,BD!$V$3:$V$5001,"&lt;&gt;")=0,"",SUMIFS(BD!$V$3:$V$5001,BD!$B$3:$B$5001,G$100,BD!$A$3:$A$5001,_xlfn.MAXIFS(BD!$A$3:$A$5001,BD!$B$3:$B$5001,G$100,BD!$A$3:$A$5001,"&gt;="&amp;$C$7,BD!$A$3:$A$5001,"&lt;="&amp;$D$7,BD!$V$3:$V$5001,"&lt;&gt;"))),"—"))</f>
        <v/>
      </c>
      <c r="H120" s="32" t="str">
        <f>IF(H$100="","",IF(Config!$W$41&lt;&gt;"Não",IF(COUNTIFS(BD!$B$3:$B$5001,H$100,BD!$A$3:$A$5001,"&gt;="&amp;$C$7,BD!$A$3:$A$5001,"&lt;="&amp;$D$7,BD!$V$3:$V$5001,"&lt;&gt;")=0,"",SUMIFS(BD!$V$3:$V$5001,BD!$B$3:$B$5001,H$100,BD!$A$3:$A$5001,_xlfn.MAXIFS(BD!$A$3:$A$5001,BD!$B$3:$B$5001,H$100,BD!$A$3:$A$5001,"&gt;="&amp;$C$7,BD!$A$3:$A$5001,"&lt;="&amp;$D$7,BD!$V$3:$V$5001,"&lt;&gt;"))),"—"))</f>
        <v/>
      </c>
      <c r="I120" s="32" t="str">
        <f>IF(I$100="","",IF(Config!$W$42&lt;&gt;"Não",IF(COUNTIFS(BD!$B$3:$B$5001,I$100,BD!$A$3:$A$5001,"&gt;="&amp;$C$7,BD!$A$3:$A$5001,"&lt;="&amp;$D$7,BD!$V$3:$V$5001,"&lt;&gt;")=0,"",SUMIFS(BD!$V$3:$V$5001,BD!$B$3:$B$5001,I$100,BD!$A$3:$A$5001,_xlfn.MAXIFS(BD!$A$3:$A$5001,BD!$B$3:$B$5001,I$100,BD!$A$3:$A$5001,"&gt;="&amp;$C$7,BD!$A$3:$A$5001,"&lt;="&amp;$D$7,BD!$V$3:$V$5001,"&lt;&gt;"))),"—"))</f>
        <v/>
      </c>
      <c r="J120" s="32" t="str">
        <f>IF(J$100="","",IF(Config!$W$43&lt;&gt;"Não",IF(COUNTIFS(BD!$B$3:$B$5001,J$100,BD!$A$3:$A$5001,"&gt;="&amp;$C$7,BD!$A$3:$A$5001,"&lt;="&amp;$D$7,BD!$V$3:$V$5001,"&lt;&gt;")=0,"",SUMIFS(BD!$V$3:$V$5001,BD!$B$3:$B$5001,J$100,BD!$A$3:$A$5001,_xlfn.MAXIFS(BD!$A$3:$A$5001,BD!$B$3:$B$5001,J$100,BD!$A$3:$A$5001,"&gt;="&amp;$C$7,BD!$A$3:$A$5001,"&lt;="&amp;$D$7,BD!$V$3:$V$5001,"&lt;&gt;"))),"—"))</f>
        <v/>
      </c>
      <c r="K120" s="32" t="str">
        <f>IF(K$100="","",IF(Config!$W$44&lt;&gt;"Não",IF(COUNTIFS(BD!$B$3:$B$5001,K$100,BD!$A$3:$A$5001,"&gt;="&amp;$C$7,BD!$A$3:$A$5001,"&lt;="&amp;$D$7,BD!$V$3:$V$5001,"&lt;&gt;")=0,"",SUMIFS(BD!$V$3:$V$5001,BD!$B$3:$B$5001,K$100,BD!$A$3:$A$5001,_xlfn.MAXIFS(BD!$A$3:$A$5001,BD!$B$3:$B$5001,K$100,BD!$A$3:$A$5001,"&gt;="&amp;$C$7,BD!$A$3:$A$5001,"&lt;="&amp;$D$7,BD!$V$3:$V$5001,"&lt;&gt;"))),"—"))</f>
        <v/>
      </c>
      <c r="L120" s="32" t="str">
        <f>IF(L$100="","",IF(Config!$W$45&lt;&gt;"Não",IF(COUNTIFS(BD!$B$3:$B$5001,L$100,BD!$A$3:$A$5001,"&gt;="&amp;$C$7,BD!$A$3:$A$5001,"&lt;="&amp;$D$7,BD!$V$3:$V$5001,"&lt;&gt;")=0,"",SUMIFS(BD!$V$3:$V$5001,BD!$B$3:$B$5001,L$100,BD!$A$3:$A$5001,_xlfn.MAXIFS(BD!$A$3:$A$5001,BD!$B$3:$B$5001,L$100,BD!$A$3:$A$5001,"&gt;="&amp;$C$7,BD!$A$3:$A$5001,"&lt;="&amp;$D$7,BD!$V$3:$V$5001,"&lt;&gt;"))),"—"))</f>
        <v/>
      </c>
      <c r="M120" s="32" t="str">
        <f>IF(M$100="","",IF(Config!$W$46&lt;&gt;"Não",IF(COUNTIFS(BD!$B$3:$B$5001,M$100,BD!$A$3:$A$5001,"&gt;="&amp;$C$7,BD!$A$3:$A$5001,"&lt;="&amp;$D$7,BD!$V$3:$V$5001,"&lt;&gt;")=0,"",SUMIFS(BD!$V$3:$V$5001,BD!$B$3:$B$5001,M$100,BD!$A$3:$A$5001,_xlfn.MAXIFS(BD!$A$3:$A$5001,BD!$B$3:$B$5001,M$100,BD!$A$3:$A$5001,"&gt;="&amp;$C$7,BD!$A$3:$A$5001,"&lt;="&amp;$D$7,BD!$V$3:$V$5001,"&lt;&gt;"))),"—"))</f>
        <v/>
      </c>
      <c r="N120" s="32" t="str">
        <f>IF(N$100="","",IF(Config!$W$47&lt;&gt;"Não",IF(COUNTIFS(BD!$B$3:$B$5001,N$100,BD!$A$3:$A$5001,"&gt;="&amp;$C$7,BD!$A$3:$A$5001,"&lt;="&amp;$D$7,BD!$V$3:$V$5001,"&lt;&gt;")=0,"",SUMIFS(BD!$V$3:$V$5001,BD!$B$3:$B$5001,N$100,BD!$A$3:$A$5001,_xlfn.MAXIFS(BD!$A$3:$A$5001,BD!$B$3:$B$5001,N$100,BD!$A$3:$A$5001,"&gt;="&amp;$C$7,BD!$A$3:$A$5001,"&lt;="&amp;$D$7,BD!$V$3:$V$5001,"&lt;&gt;"))),"—"))</f>
        <v/>
      </c>
      <c r="O120" s="32" t="str">
        <f>IF(O$100="","",IF(Config!$W$48&lt;&gt;"Não",IF(COUNTIFS(BD!$B$3:$B$5001,O$100,BD!$A$3:$A$5001,"&gt;="&amp;$C$7,BD!$A$3:$A$5001,"&lt;="&amp;$D$7,BD!$V$3:$V$5001,"&lt;&gt;")=0,"",SUMIFS(BD!$V$3:$V$5001,BD!$B$3:$B$5001,O$100,BD!$A$3:$A$5001,_xlfn.MAXIFS(BD!$A$3:$A$5001,BD!$B$3:$B$5001,O$100,BD!$A$3:$A$5001,"&gt;="&amp;$C$7,BD!$A$3:$A$5001,"&lt;="&amp;$D$7,BD!$V$3:$V$5001,"&lt;&gt;"))),"—"))</f>
        <v/>
      </c>
      <c r="P120" s="32" t="str">
        <f>IF(P$100="","",IF(Config!$W$49&lt;&gt;"Não",IF(COUNTIFS(BD!$B$3:$B$5001,P$100,BD!$A$3:$A$5001,"&gt;="&amp;$C$7,BD!$A$3:$A$5001,"&lt;="&amp;$D$7,BD!$V$3:$V$5001,"&lt;&gt;")=0,"",SUMIFS(BD!$V$3:$V$5001,BD!$B$3:$B$5001,P$100,BD!$A$3:$A$5001,_xlfn.MAXIFS(BD!$A$3:$A$5001,BD!$B$3:$B$5001,P$100,BD!$A$3:$A$5001,"&gt;="&amp;$C$7,BD!$A$3:$A$5001,"&lt;="&amp;$D$7,BD!$V$3:$V$5001,"&lt;&gt;"))),"—"))</f>
        <v/>
      </c>
      <c r="Q120" s="32" t="str">
        <f>IF(Q$100="","",IF(Config!$W$50&lt;&gt;"Não",IF(COUNTIFS(BD!$B$3:$B$5001,Q$100,BD!$A$3:$A$5001,"&gt;="&amp;$C$7,BD!$A$3:$A$5001,"&lt;="&amp;$D$7,BD!$V$3:$V$5001,"&lt;&gt;")=0,"",SUMIFS(BD!$V$3:$V$5001,BD!$B$3:$B$5001,Q$100,BD!$A$3:$A$5001,_xlfn.MAXIFS(BD!$A$3:$A$5001,BD!$B$3:$B$5001,Q$100,BD!$A$3:$A$5001,"&gt;="&amp;$C$7,BD!$A$3:$A$5001,"&lt;="&amp;$D$7,BD!$V$3:$V$5001,"&lt;&gt;"))),"—"))</f>
        <v/>
      </c>
      <c r="R120" s="32" t="str">
        <f>IF(R$100="","",IF(Config!$W$51&lt;&gt;"Não",IF(COUNTIFS(BD!$B$3:$B$5001,R$100,BD!$A$3:$A$5001,"&gt;="&amp;$C$7,BD!$A$3:$A$5001,"&lt;="&amp;$D$7,BD!$V$3:$V$5001,"&lt;&gt;")=0,"",SUMIFS(BD!$V$3:$V$5001,BD!$B$3:$B$5001,R$100,BD!$A$3:$A$5001,_xlfn.MAXIFS(BD!$A$3:$A$5001,BD!$B$3:$B$5001,R$100,BD!$A$3:$A$5001,"&gt;="&amp;$C$7,BD!$A$3:$A$5001,"&lt;="&amp;$D$7,BD!$V$3:$V$5001,"&lt;&gt;"))),"—"))</f>
        <v/>
      </c>
      <c r="S120" s="32" t="str">
        <f>IF(S$100="","",IF(Config!$W$52&lt;&gt;"Não",IF(COUNTIFS(BD!$B$3:$B$5001,S$100,BD!$A$3:$A$5001,"&gt;="&amp;$C$7,BD!$A$3:$A$5001,"&lt;="&amp;$D$7,BD!$V$3:$V$5001,"&lt;&gt;")=0,"",SUMIFS(BD!$V$3:$V$5001,BD!$B$3:$B$5001,S$100,BD!$A$3:$A$5001,_xlfn.MAXIFS(BD!$A$3:$A$5001,BD!$B$3:$B$5001,S$100,BD!$A$3:$A$5001,"&gt;="&amp;$C$7,BD!$A$3:$A$5001,"&lt;="&amp;$D$7,BD!$V$3:$V$5001,"&lt;&gt;"))),"—"))</f>
        <v/>
      </c>
      <c r="T120" s="32" t="str">
        <f>IF(T$100="","",IF(Config!$W$53&lt;&gt;"Não",IF(COUNTIFS(BD!$B$3:$B$5001,T$100,BD!$A$3:$A$5001,"&gt;="&amp;$C$7,BD!$A$3:$A$5001,"&lt;="&amp;$D$7,BD!$V$3:$V$5001,"&lt;&gt;")=0,"",SUMIFS(BD!$V$3:$V$5001,BD!$B$3:$B$5001,T$100,BD!$A$3:$A$5001,_xlfn.MAXIFS(BD!$A$3:$A$5001,BD!$B$3:$B$5001,T$100,BD!$A$3:$A$5001,"&gt;="&amp;$C$7,BD!$A$3:$A$5001,"&lt;="&amp;$D$7,BD!$V$3:$V$5001,"&lt;&gt;"))),"—"))</f>
        <v/>
      </c>
      <c r="U120" s="32" t="str">
        <f>IF(U$100="","",IF(Config!$W$54&lt;&gt;"Não",IF(COUNTIFS(BD!$B$3:$B$5001,U$100,BD!$A$3:$A$5001,"&gt;="&amp;$C$7,BD!$A$3:$A$5001,"&lt;="&amp;$D$7,BD!$V$3:$V$5001,"&lt;&gt;")=0,"",SUMIFS(BD!$V$3:$V$5001,BD!$B$3:$B$5001,U$100,BD!$A$3:$A$5001,_xlfn.MAXIFS(BD!$A$3:$A$5001,BD!$B$3:$B$5001,U$100,BD!$A$3:$A$5001,"&gt;="&amp;$C$7,BD!$A$3:$A$5001,"&lt;="&amp;$D$7,BD!$V$3:$V$5001,"&lt;&gt;"))),"—"))</f>
        <v/>
      </c>
      <c r="V120" s="62">
        <f>SUM(B120:U120)</f>
        <v>0</v>
      </c>
    </row>
    <row r="121">
      <c r="A121" s="29" t="inlineStr">
        <is>
          <t xml:space="preserve">OCUPAÇÃO (P.P) · Posições Disponíveis</t>
        </is>
      </c>
      <c r="B121" s="32" t="str">
        <f>IF(B$100="","",IF(Config!$X$35&lt;&gt;"Não",IF(N(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=0,"",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,"—"))</f>
        <v/>
      </c>
      <c r="C121" s="32" t="str">
        <f>IF(C$100="","",IF(Config!$X$36&lt;&gt;"Não",IF(N(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=0,"",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,"—"))</f>
        <v/>
      </c>
      <c r="D121" s="32" t="str">
        <f>IF(D$100="","",IF(Config!$X$37&lt;&gt;"Não",IF(N(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=0,"",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,"—"))</f>
        <v/>
      </c>
      <c r="E121" s="32" t="str">
        <f>IF(E$100="","",IF(Config!$X$38&lt;&gt;"Não",IF(N(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=0,"",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,"—"))</f>
        <v/>
      </c>
      <c r="F121" s="32" t="str">
        <f>IF(F$100="","",IF(Config!$X$39&lt;&gt;"Não",IF(N(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=0,"",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,"—"))</f>
        <v/>
      </c>
      <c r="G121" s="32" t="str">
        <f>IF(G$100="","",IF(Config!$X$40&lt;&gt;"Não",IF(N(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=0,"",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,"—"))</f>
        <v/>
      </c>
      <c r="H121" s="32" t="str">
        <f>IF(H$100="","",IF(Config!$X$41&lt;&gt;"Não",IF(N(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=0,"",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,"—"))</f>
        <v/>
      </c>
      <c r="I121" s="32" t="str">
        <f>IF(I$100="","",IF(Config!$X$42&lt;&gt;"Não",IF(N(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=0,"",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,"—"))</f>
        <v/>
      </c>
      <c r="J121" s="32" t="str">
        <f>IF(J$100="","",IF(Config!$X$43&lt;&gt;"Não",IF(N(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=0,"",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,"—"))</f>
        <v/>
      </c>
      <c r="K121" s="32" t="str">
        <f>IF(K$100="","",IF(Config!$X$44&lt;&gt;"Não",IF(N(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=0,"",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,"—"))</f>
        <v/>
      </c>
      <c r="L121" s="32" t="str">
        <f>IF(L$100="","",IF(Config!$X$45&lt;&gt;"Não",IF(N(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=0,"",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,"—"))</f>
        <v/>
      </c>
      <c r="M121" s="32" t="str">
        <f>IF(M$100="","",IF(Config!$X$46&lt;&gt;"Não",IF(N(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=0,"",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,"—"))</f>
        <v/>
      </c>
      <c r="N121" s="32" t="str">
        <f>IF(N$100="","",IF(Config!$X$47&lt;&gt;"Não",IF(N(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=0,"",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,"—"))</f>
        <v/>
      </c>
      <c r="O121" s="32" t="str">
        <f>IF(O$100="","",IF(Config!$X$48&lt;&gt;"Não",IF(N(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=0,"",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,"—"))</f>
        <v/>
      </c>
      <c r="P121" s="32" t="str">
        <f>IF(P$100="","",IF(Config!$X$49&lt;&gt;"Não",IF(N(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=0,"",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,"—"))</f>
        <v/>
      </c>
      <c r="Q121" s="32" t="str">
        <f>IF(Q$100="","",IF(Config!$X$50&lt;&gt;"Não",IF(N(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=0,"",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,"—"))</f>
        <v/>
      </c>
      <c r="R121" s="32" t="str">
        <f>IF(R$100="","",IF(Config!$X$51&lt;&gt;"Não",IF(N(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=0,"",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,"—"))</f>
        <v/>
      </c>
      <c r="S121" s="32" t="str">
        <f>IF(S$100="","",IF(Config!$X$52&lt;&gt;"Não",IF(N(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=0,"",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,"—"))</f>
        <v/>
      </c>
      <c r="T121" s="32" t="str">
        <f>IF(T$100="","",IF(Config!$X$53&lt;&gt;"Não",IF(N(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=0,"",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,"—"))</f>
        <v/>
      </c>
      <c r="U121" s="32" t="str">
        <f>IF(U$100="","",IF(Config!$X$54&lt;&gt;"Não",IF(N(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=0,"",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,"—"))</f>
        <v/>
      </c>
      <c r="V121" s="62">
        <f>IF($B$4&gt;0,$B$4,SUM(B121:U121))</f>
        <v>23040</v>
      </c>
    </row>
    <row r="122">
      <c r="A122" s="29" t="inlineStr">
        <is>
          <t xml:space="preserve">OCUPAÇÃO (P.P) · Posições Ocupadas</t>
        </is>
      </c>
      <c r="B122" s="32" t="str">
        <f>IF(B$100="","",IF(Config!$Y$35&lt;&gt;"Não",IF(COUNTIFS(BD!$B$3:$B$5001,B$100,BD!$A$3:$A$5001,"&gt;="&amp;$C$7,BD!$A$3:$A$5001,"&lt;="&amp;$D$7,BD!$X$3:$X$5001,"&lt;&gt;")=0,"",SUMIFS(BD!$X$3:$X$5001,BD!$B$3:$B$5001,B$100,BD!$A$3:$A$5001,_xlfn.MAXIFS(BD!$A$3:$A$5001,BD!$B$3:$B$5001,B$100,BD!$A$3:$A$5001,"&gt;="&amp;$C$7,BD!$A$3:$A$5001,"&lt;="&amp;$D$7,BD!$X$3:$X$5001,"&lt;&gt;"))),"—"))</f>
        <v/>
      </c>
      <c r="C122" s="32" t="str">
        <f>IF(C$100="","",IF(Config!$Y$36&lt;&gt;"Não",IF(COUNTIFS(BD!$B$3:$B$5001,C$100,BD!$A$3:$A$5001,"&gt;="&amp;$C$7,BD!$A$3:$A$5001,"&lt;="&amp;$D$7,BD!$X$3:$X$5001,"&lt;&gt;")=0,"",SUMIFS(BD!$X$3:$X$5001,BD!$B$3:$B$5001,C$100,BD!$A$3:$A$5001,_xlfn.MAXIFS(BD!$A$3:$A$5001,BD!$B$3:$B$5001,C$100,BD!$A$3:$A$5001,"&gt;="&amp;$C$7,BD!$A$3:$A$5001,"&lt;="&amp;$D$7,BD!$X$3:$X$5001,"&lt;&gt;"))),"—"))</f>
        <v/>
      </c>
      <c r="D122" s="32" t="str">
        <f>IF(D$100="","",IF(Config!$Y$37&lt;&gt;"Não",IF(COUNTIFS(BD!$B$3:$B$5001,D$100,BD!$A$3:$A$5001,"&gt;="&amp;$C$7,BD!$A$3:$A$5001,"&lt;="&amp;$D$7,BD!$X$3:$X$5001,"&lt;&gt;")=0,"",SUMIFS(BD!$X$3:$X$5001,BD!$B$3:$B$5001,D$100,BD!$A$3:$A$5001,_xlfn.MAXIFS(BD!$A$3:$A$5001,BD!$B$3:$B$5001,D$100,BD!$A$3:$A$5001,"&gt;="&amp;$C$7,BD!$A$3:$A$5001,"&lt;="&amp;$D$7,BD!$X$3:$X$5001,"&lt;&gt;"))),"—"))</f>
        <v/>
      </c>
      <c r="E122" s="32" t="str">
        <f>IF(E$100="","",IF(Config!$Y$38&lt;&gt;"Não",IF(COUNTIFS(BD!$B$3:$B$5001,E$100,BD!$A$3:$A$5001,"&gt;="&amp;$C$7,BD!$A$3:$A$5001,"&lt;="&amp;$D$7,BD!$X$3:$X$5001,"&lt;&gt;")=0,"",SUMIFS(BD!$X$3:$X$5001,BD!$B$3:$B$5001,E$100,BD!$A$3:$A$5001,_xlfn.MAXIFS(BD!$A$3:$A$5001,BD!$B$3:$B$5001,E$100,BD!$A$3:$A$5001,"&gt;="&amp;$C$7,BD!$A$3:$A$5001,"&lt;="&amp;$D$7,BD!$X$3:$X$5001,"&lt;&gt;"))),"—"))</f>
        <v/>
      </c>
      <c r="F122" s="32" t="str">
        <f>IF(F$100="","",IF(Config!$Y$39&lt;&gt;"Não",IF(COUNTIFS(BD!$B$3:$B$5001,F$100,BD!$A$3:$A$5001,"&gt;="&amp;$C$7,BD!$A$3:$A$5001,"&lt;="&amp;$D$7,BD!$X$3:$X$5001,"&lt;&gt;")=0,"",SUMIFS(BD!$X$3:$X$5001,BD!$B$3:$B$5001,F$100,BD!$A$3:$A$5001,_xlfn.MAXIFS(BD!$A$3:$A$5001,BD!$B$3:$B$5001,F$100,BD!$A$3:$A$5001,"&gt;="&amp;$C$7,BD!$A$3:$A$5001,"&lt;="&amp;$D$7,BD!$X$3:$X$5001,"&lt;&gt;"))),"—"))</f>
        <v/>
      </c>
      <c r="G122" s="32" t="str">
        <f>IF(G$100="","",IF(Config!$Y$40&lt;&gt;"Não",IF(COUNTIFS(BD!$B$3:$B$5001,G$100,BD!$A$3:$A$5001,"&gt;="&amp;$C$7,BD!$A$3:$A$5001,"&lt;="&amp;$D$7,BD!$X$3:$X$5001,"&lt;&gt;")=0,"",SUMIFS(BD!$X$3:$X$5001,BD!$B$3:$B$5001,G$100,BD!$A$3:$A$5001,_xlfn.MAXIFS(BD!$A$3:$A$5001,BD!$B$3:$B$5001,G$100,BD!$A$3:$A$5001,"&gt;="&amp;$C$7,BD!$A$3:$A$5001,"&lt;="&amp;$D$7,BD!$X$3:$X$5001,"&lt;&gt;"))),"—"))</f>
        <v/>
      </c>
      <c r="H122" s="32" t="str">
        <f>IF(H$100="","",IF(Config!$Y$41&lt;&gt;"Não",IF(COUNTIFS(BD!$B$3:$B$5001,H$100,BD!$A$3:$A$5001,"&gt;="&amp;$C$7,BD!$A$3:$A$5001,"&lt;="&amp;$D$7,BD!$X$3:$X$5001,"&lt;&gt;")=0,"",SUMIFS(BD!$X$3:$X$5001,BD!$B$3:$B$5001,H$100,BD!$A$3:$A$5001,_xlfn.MAXIFS(BD!$A$3:$A$5001,BD!$B$3:$B$5001,H$100,BD!$A$3:$A$5001,"&gt;="&amp;$C$7,BD!$A$3:$A$5001,"&lt;="&amp;$D$7,BD!$X$3:$X$5001,"&lt;&gt;"))),"—"))</f>
        <v/>
      </c>
      <c r="I122" s="32" t="str">
        <f>IF(I$100="","",IF(Config!$Y$42&lt;&gt;"Não",IF(COUNTIFS(BD!$B$3:$B$5001,I$100,BD!$A$3:$A$5001,"&gt;="&amp;$C$7,BD!$A$3:$A$5001,"&lt;="&amp;$D$7,BD!$X$3:$X$5001,"&lt;&gt;")=0,"",SUMIFS(BD!$X$3:$X$5001,BD!$B$3:$B$5001,I$100,BD!$A$3:$A$5001,_xlfn.MAXIFS(BD!$A$3:$A$5001,BD!$B$3:$B$5001,I$100,BD!$A$3:$A$5001,"&gt;="&amp;$C$7,BD!$A$3:$A$5001,"&lt;="&amp;$D$7,BD!$X$3:$X$5001,"&lt;&gt;"))),"—"))</f>
        <v/>
      </c>
      <c r="J122" s="32" t="str">
        <f>IF(J$100="","",IF(Config!$Y$43&lt;&gt;"Não",IF(COUNTIFS(BD!$B$3:$B$5001,J$100,BD!$A$3:$A$5001,"&gt;="&amp;$C$7,BD!$A$3:$A$5001,"&lt;="&amp;$D$7,BD!$X$3:$X$5001,"&lt;&gt;")=0,"",SUMIFS(BD!$X$3:$X$5001,BD!$B$3:$B$5001,J$100,BD!$A$3:$A$5001,_xlfn.MAXIFS(BD!$A$3:$A$5001,BD!$B$3:$B$5001,J$100,BD!$A$3:$A$5001,"&gt;="&amp;$C$7,BD!$A$3:$A$5001,"&lt;="&amp;$D$7,BD!$X$3:$X$5001,"&lt;&gt;"))),"—"))</f>
        <v/>
      </c>
      <c r="K122" s="32" t="str">
        <f>IF(K$100="","",IF(Config!$Y$44&lt;&gt;"Não",IF(COUNTIFS(BD!$B$3:$B$5001,K$100,BD!$A$3:$A$5001,"&gt;="&amp;$C$7,BD!$A$3:$A$5001,"&lt;="&amp;$D$7,BD!$X$3:$X$5001,"&lt;&gt;")=0,"",SUMIFS(BD!$X$3:$X$5001,BD!$B$3:$B$5001,K$100,BD!$A$3:$A$5001,_xlfn.MAXIFS(BD!$A$3:$A$5001,BD!$B$3:$B$5001,K$100,BD!$A$3:$A$5001,"&gt;="&amp;$C$7,BD!$A$3:$A$5001,"&lt;="&amp;$D$7,BD!$X$3:$X$5001,"&lt;&gt;"))),"—"))</f>
        <v/>
      </c>
      <c r="L122" s="32" t="str">
        <f>IF(L$100="","",IF(Config!$Y$45&lt;&gt;"Não",IF(COUNTIFS(BD!$B$3:$B$5001,L$100,BD!$A$3:$A$5001,"&gt;="&amp;$C$7,BD!$A$3:$A$5001,"&lt;="&amp;$D$7,BD!$X$3:$X$5001,"&lt;&gt;")=0,"",SUMIFS(BD!$X$3:$X$5001,BD!$B$3:$B$5001,L$100,BD!$A$3:$A$5001,_xlfn.MAXIFS(BD!$A$3:$A$5001,BD!$B$3:$B$5001,L$100,BD!$A$3:$A$5001,"&gt;="&amp;$C$7,BD!$A$3:$A$5001,"&lt;="&amp;$D$7,BD!$X$3:$X$5001,"&lt;&gt;"))),"—"))</f>
        <v/>
      </c>
      <c r="M122" s="32" t="str">
        <f>IF(M$100="","",IF(Config!$Y$46&lt;&gt;"Não",IF(COUNTIFS(BD!$B$3:$B$5001,M$100,BD!$A$3:$A$5001,"&gt;="&amp;$C$7,BD!$A$3:$A$5001,"&lt;="&amp;$D$7,BD!$X$3:$X$5001,"&lt;&gt;")=0,"",SUMIFS(BD!$X$3:$X$5001,BD!$B$3:$B$5001,M$100,BD!$A$3:$A$5001,_xlfn.MAXIFS(BD!$A$3:$A$5001,BD!$B$3:$B$5001,M$100,BD!$A$3:$A$5001,"&gt;="&amp;$C$7,BD!$A$3:$A$5001,"&lt;="&amp;$D$7,BD!$X$3:$X$5001,"&lt;&gt;"))),"—"))</f>
        <v/>
      </c>
      <c r="N122" s="32" t="str">
        <f>IF(N$100="","",IF(Config!$Y$47&lt;&gt;"Não",IF(COUNTIFS(BD!$B$3:$B$5001,N$100,BD!$A$3:$A$5001,"&gt;="&amp;$C$7,BD!$A$3:$A$5001,"&lt;="&amp;$D$7,BD!$X$3:$X$5001,"&lt;&gt;")=0,"",SUMIFS(BD!$X$3:$X$5001,BD!$B$3:$B$5001,N$100,BD!$A$3:$A$5001,_xlfn.MAXIFS(BD!$A$3:$A$5001,BD!$B$3:$B$5001,N$100,BD!$A$3:$A$5001,"&gt;="&amp;$C$7,BD!$A$3:$A$5001,"&lt;="&amp;$D$7,BD!$X$3:$X$5001,"&lt;&gt;"))),"—"))</f>
        <v/>
      </c>
      <c r="O122" s="32" t="str">
        <f>IF(O$100="","",IF(Config!$Y$48&lt;&gt;"Não",IF(COUNTIFS(BD!$B$3:$B$5001,O$100,BD!$A$3:$A$5001,"&gt;="&amp;$C$7,BD!$A$3:$A$5001,"&lt;="&amp;$D$7,BD!$X$3:$X$5001,"&lt;&gt;")=0,"",SUMIFS(BD!$X$3:$X$5001,BD!$B$3:$B$5001,O$100,BD!$A$3:$A$5001,_xlfn.MAXIFS(BD!$A$3:$A$5001,BD!$B$3:$B$5001,O$100,BD!$A$3:$A$5001,"&gt;="&amp;$C$7,BD!$A$3:$A$5001,"&lt;="&amp;$D$7,BD!$X$3:$X$5001,"&lt;&gt;"))),"—"))</f>
        <v/>
      </c>
      <c r="P122" s="32" t="str">
        <f>IF(P$100="","",IF(Config!$Y$49&lt;&gt;"Não",IF(COUNTIFS(BD!$B$3:$B$5001,P$100,BD!$A$3:$A$5001,"&gt;="&amp;$C$7,BD!$A$3:$A$5001,"&lt;="&amp;$D$7,BD!$X$3:$X$5001,"&lt;&gt;")=0,"",SUMIFS(BD!$X$3:$X$5001,BD!$B$3:$B$5001,P$100,BD!$A$3:$A$5001,_xlfn.MAXIFS(BD!$A$3:$A$5001,BD!$B$3:$B$5001,P$100,BD!$A$3:$A$5001,"&gt;="&amp;$C$7,BD!$A$3:$A$5001,"&lt;="&amp;$D$7,BD!$X$3:$X$5001,"&lt;&gt;"))),"—"))</f>
        <v/>
      </c>
      <c r="Q122" s="32" t="str">
        <f>IF(Q$100="","",IF(Config!$Y$50&lt;&gt;"Não",IF(COUNTIFS(BD!$B$3:$B$5001,Q$100,BD!$A$3:$A$5001,"&gt;="&amp;$C$7,BD!$A$3:$A$5001,"&lt;="&amp;$D$7,BD!$X$3:$X$5001,"&lt;&gt;")=0,"",SUMIFS(BD!$X$3:$X$5001,BD!$B$3:$B$5001,Q$100,BD!$A$3:$A$5001,_xlfn.MAXIFS(BD!$A$3:$A$5001,BD!$B$3:$B$5001,Q$100,BD!$A$3:$A$5001,"&gt;="&amp;$C$7,BD!$A$3:$A$5001,"&lt;="&amp;$D$7,BD!$X$3:$X$5001,"&lt;&gt;"))),"—"))</f>
        <v/>
      </c>
      <c r="R122" s="32" t="str">
        <f>IF(R$100="","",IF(Config!$Y$51&lt;&gt;"Não",IF(COUNTIFS(BD!$B$3:$B$5001,R$100,BD!$A$3:$A$5001,"&gt;="&amp;$C$7,BD!$A$3:$A$5001,"&lt;="&amp;$D$7,BD!$X$3:$X$5001,"&lt;&gt;")=0,"",SUMIFS(BD!$X$3:$X$5001,BD!$B$3:$B$5001,R$100,BD!$A$3:$A$5001,_xlfn.MAXIFS(BD!$A$3:$A$5001,BD!$B$3:$B$5001,R$100,BD!$A$3:$A$5001,"&gt;="&amp;$C$7,BD!$A$3:$A$5001,"&lt;="&amp;$D$7,BD!$X$3:$X$5001,"&lt;&gt;"))),"—"))</f>
        <v/>
      </c>
      <c r="S122" s="32" t="str">
        <f>IF(S$100="","",IF(Config!$Y$52&lt;&gt;"Não",IF(COUNTIFS(BD!$B$3:$B$5001,S$100,BD!$A$3:$A$5001,"&gt;="&amp;$C$7,BD!$A$3:$A$5001,"&lt;="&amp;$D$7,BD!$X$3:$X$5001,"&lt;&gt;")=0,"",SUMIFS(BD!$X$3:$X$5001,BD!$B$3:$B$5001,S$100,BD!$A$3:$A$5001,_xlfn.MAXIFS(BD!$A$3:$A$5001,BD!$B$3:$B$5001,S$100,BD!$A$3:$A$5001,"&gt;="&amp;$C$7,BD!$A$3:$A$5001,"&lt;="&amp;$D$7,BD!$X$3:$X$5001,"&lt;&gt;"))),"—"))</f>
        <v/>
      </c>
      <c r="T122" s="32" t="str">
        <f>IF(T$100="","",IF(Config!$Y$53&lt;&gt;"Não",IF(COUNTIFS(BD!$B$3:$B$5001,T$100,BD!$A$3:$A$5001,"&gt;="&amp;$C$7,BD!$A$3:$A$5001,"&lt;="&amp;$D$7,BD!$X$3:$X$5001,"&lt;&gt;")=0,"",SUMIFS(BD!$X$3:$X$5001,BD!$B$3:$B$5001,T$100,BD!$A$3:$A$5001,_xlfn.MAXIFS(BD!$A$3:$A$5001,BD!$B$3:$B$5001,T$100,BD!$A$3:$A$5001,"&gt;="&amp;$C$7,BD!$A$3:$A$5001,"&lt;="&amp;$D$7,BD!$X$3:$X$5001,"&lt;&gt;"))),"—"))</f>
        <v/>
      </c>
      <c r="U122" s="32" t="str">
        <f>IF(U$100="","",IF(Config!$Y$54&lt;&gt;"Não",IF(COUNTIFS(BD!$B$3:$B$5001,U$100,BD!$A$3:$A$5001,"&gt;="&amp;$C$7,BD!$A$3:$A$5001,"&lt;="&amp;$D$7,BD!$X$3:$X$5001,"&lt;&gt;")=0,"",SUMIFS(BD!$X$3:$X$5001,BD!$B$3:$B$5001,U$100,BD!$A$3:$A$5001,_xlfn.MAXIFS(BD!$A$3:$A$5001,BD!$B$3:$B$5001,U$100,BD!$A$3:$A$5001,"&gt;="&amp;$C$7,BD!$A$3:$A$5001,"&lt;="&amp;$D$7,BD!$X$3:$X$5001,"&lt;&gt;"))),"—"))</f>
        <v/>
      </c>
      <c r="V122" s="62">
        <f>SUM(B122:U122)</f>
        <v>0</v>
      </c>
    </row>
    <row r="123">
      <c r="A123" s="29" t="inlineStr">
        <is>
          <t xml:space="preserve">OCUPAÇÃO (P.P) · Taxa de Ocupação</t>
        </is>
      </c>
      <c r="B123" s="50" t="str">
        <f>IF(B$100="","",IF(AND(Config!$X$35&lt;&gt;"Não",Config!$Y$35&lt;&gt;"Não"),IF(AND(ISNUMBER(B122),ISNUMBER(B121)),IF(B121&gt;0,B122/B121,""),""),"—"))</f>
        <v/>
      </c>
      <c r="C123" s="50" t="str">
        <f>IF(C$100="","",IF(AND(Config!$X$36&lt;&gt;"Não",Config!$Y$36&lt;&gt;"Não"),IF(AND(ISNUMBER(C122),ISNUMBER(C121)),IF(C121&gt;0,C122/C121,""),""),"—"))</f>
        <v/>
      </c>
      <c r="D123" s="50" t="str">
        <f>IF(D$100="","",IF(AND(Config!$X$37&lt;&gt;"Não",Config!$Y$37&lt;&gt;"Não"),IF(AND(ISNUMBER(D122),ISNUMBER(D121)),IF(D121&gt;0,D122/D121,""),""),"—"))</f>
        <v/>
      </c>
      <c r="E123" s="50" t="str">
        <f>IF(E$100="","",IF(AND(Config!$X$38&lt;&gt;"Não",Config!$Y$38&lt;&gt;"Não"),IF(AND(ISNUMBER(E122),ISNUMBER(E121)),IF(E121&gt;0,E122/E121,""),""),"—"))</f>
        <v/>
      </c>
      <c r="F123" s="50" t="str">
        <f>IF(F$100="","",IF(AND(Config!$X$39&lt;&gt;"Não",Config!$Y$39&lt;&gt;"Não"),IF(AND(ISNUMBER(F122),ISNUMBER(F121)),IF(F121&gt;0,F122/F121,""),""),"—"))</f>
        <v/>
      </c>
      <c r="G123" s="50" t="str">
        <f>IF(G$100="","",IF(AND(Config!$X$40&lt;&gt;"Não",Config!$Y$40&lt;&gt;"Não"),IF(AND(ISNUMBER(G122),ISNUMBER(G121)),IF(G121&gt;0,G122/G121,""),""),"—"))</f>
        <v/>
      </c>
      <c r="H123" s="50" t="str">
        <f>IF(H$100="","",IF(AND(Config!$X$41&lt;&gt;"Não",Config!$Y$41&lt;&gt;"Não"),IF(AND(ISNUMBER(H122),ISNUMBER(H121)),IF(H121&gt;0,H122/H121,""),""),"—"))</f>
        <v/>
      </c>
      <c r="I123" s="50" t="str">
        <f>IF(I$100="","",IF(AND(Config!$X$42&lt;&gt;"Não",Config!$Y$42&lt;&gt;"Não"),IF(AND(ISNUMBER(I122),ISNUMBER(I121)),IF(I121&gt;0,I122/I121,""),""),"—"))</f>
        <v/>
      </c>
      <c r="J123" s="50" t="str">
        <f>IF(J$100="","",IF(AND(Config!$X$43&lt;&gt;"Não",Config!$Y$43&lt;&gt;"Não"),IF(AND(ISNUMBER(J122),ISNUMBER(J121)),IF(J121&gt;0,J122/J121,""),""),"—"))</f>
        <v/>
      </c>
      <c r="K123" s="50" t="str">
        <f>IF(K$100="","",IF(AND(Config!$X$44&lt;&gt;"Não",Config!$Y$44&lt;&gt;"Não"),IF(AND(ISNUMBER(K122),ISNUMBER(K121)),IF(K121&gt;0,K122/K121,""),""),"—"))</f>
        <v/>
      </c>
      <c r="L123" s="50" t="str">
        <f>IF(L$100="","",IF(AND(Config!$X$45&lt;&gt;"Não",Config!$Y$45&lt;&gt;"Não"),IF(AND(ISNUMBER(L122),ISNUMBER(L121)),IF(L121&gt;0,L122/L121,""),""),"—"))</f>
        <v/>
      </c>
      <c r="M123" s="50" t="str">
        <f>IF(M$100="","",IF(AND(Config!$X$46&lt;&gt;"Não",Config!$Y$46&lt;&gt;"Não"),IF(AND(ISNUMBER(M122),ISNUMBER(M121)),IF(M121&gt;0,M122/M121,""),""),"—"))</f>
        <v/>
      </c>
      <c r="N123" s="50" t="str">
        <f>IF(N$100="","",IF(AND(Config!$X$47&lt;&gt;"Não",Config!$Y$47&lt;&gt;"Não"),IF(AND(ISNUMBER(N122),ISNUMBER(N121)),IF(N121&gt;0,N122/N121,""),""),"—"))</f>
        <v/>
      </c>
      <c r="O123" s="50" t="str">
        <f>IF(O$100="","",IF(AND(Config!$X$48&lt;&gt;"Não",Config!$Y$48&lt;&gt;"Não"),IF(AND(ISNUMBER(O122),ISNUMBER(O121)),IF(O121&gt;0,O122/O121,""),""),"—"))</f>
        <v/>
      </c>
      <c r="P123" s="50" t="str">
        <f>IF(P$100="","",IF(AND(Config!$X$49&lt;&gt;"Não",Config!$Y$49&lt;&gt;"Não"),IF(AND(ISNUMBER(P122),ISNUMBER(P121)),IF(P121&gt;0,P122/P121,""),""),"—"))</f>
        <v/>
      </c>
      <c r="Q123" s="50" t="str">
        <f>IF(Q$100="","",IF(AND(Config!$X$50&lt;&gt;"Não",Config!$Y$50&lt;&gt;"Não"),IF(AND(ISNUMBER(Q122),ISNUMBER(Q121)),IF(Q121&gt;0,Q122/Q121,""),""),"—"))</f>
        <v/>
      </c>
      <c r="R123" s="50" t="str">
        <f>IF(R$100="","",IF(AND(Config!$X$51&lt;&gt;"Não",Config!$Y$51&lt;&gt;"Não"),IF(AND(ISNUMBER(R122),ISNUMBER(R121)),IF(R121&gt;0,R122/R121,""),""),"—"))</f>
        <v/>
      </c>
      <c r="S123" s="50" t="str">
        <f>IF(S$100="","",IF(AND(Config!$X$52&lt;&gt;"Não",Config!$Y$52&lt;&gt;"Não"),IF(AND(ISNUMBER(S122),ISNUMBER(S121)),IF(S121&gt;0,S122/S121,""),""),"—"))</f>
        <v/>
      </c>
      <c r="T123" s="50" t="str">
        <f>IF(T$100="","",IF(AND(Config!$X$53&lt;&gt;"Não",Config!$Y$53&lt;&gt;"Não"),IF(AND(ISNUMBER(T122),ISNUMBER(T121)),IF(T121&gt;0,T122/T121,""),""),"—"))</f>
        <v/>
      </c>
      <c r="U123" s="50" t="str">
        <f>IF(U$100="","",IF(AND(Config!$X$54&lt;&gt;"Não",Config!$Y$54&lt;&gt;"Não"),IF(AND(ISNUMBER(U122),ISNUMBER(U121)),IF(U121&gt;0,U122/U121,""),""),"—"))</f>
        <v/>
      </c>
      <c r="V123" s="64">
        <f>IFERROR(V122/V121,"")</f>
        <v>0</v>
      </c>
    </row>
    <row r="124">
      <c r="A124" s="29" t="inlineStr">
        <is>
          <t xml:space="preserve">GENTE · Efetivo Op.</t>
        </is>
      </c>
      <c r="B124" s="32" t="str">
        <f>IF(B$100="","",IF(Config!$Z$35&lt;&gt;"Não",IF(COUNTIFS(BD!$B$3:$B$5001,B$100,BD!$A$3:$A$5001,"&gt;="&amp;$C$7,BD!$A$3:$A$5001,"&lt;="&amp;$D$7,BD!$Y$3:$Y$5001,"&lt;&gt;")=0,"",SUMIFS(BD!$Y$3:$Y$5001,BD!$B$3:$B$5001,B$100,BD!$A$3:$A$5001,_xlfn.MAXIFS(BD!$A$3:$A$5001,BD!$B$3:$B$5001,B$100,BD!$A$3:$A$5001,"&gt;="&amp;$C$7,BD!$A$3:$A$5001,"&lt;="&amp;$D$7,BD!$Y$3:$Y$5001,"&lt;&gt;"))),"—"))</f>
        <v/>
      </c>
      <c r="C124" s="32" t="str">
        <f>IF(C$100="","",IF(Config!$Z$36&lt;&gt;"Não",IF(COUNTIFS(BD!$B$3:$B$5001,C$100,BD!$A$3:$A$5001,"&gt;="&amp;$C$7,BD!$A$3:$A$5001,"&lt;="&amp;$D$7,BD!$Y$3:$Y$5001,"&lt;&gt;")=0,"",SUMIFS(BD!$Y$3:$Y$5001,BD!$B$3:$B$5001,C$100,BD!$A$3:$A$5001,_xlfn.MAXIFS(BD!$A$3:$A$5001,BD!$B$3:$B$5001,C$100,BD!$A$3:$A$5001,"&gt;="&amp;$C$7,BD!$A$3:$A$5001,"&lt;="&amp;$D$7,BD!$Y$3:$Y$5001,"&lt;&gt;"))),"—"))</f>
        <v/>
      </c>
      <c r="D124" s="32" t="str">
        <f>IF(D$100="","",IF(Config!$Z$37&lt;&gt;"Não",IF(COUNTIFS(BD!$B$3:$B$5001,D$100,BD!$A$3:$A$5001,"&gt;="&amp;$C$7,BD!$A$3:$A$5001,"&lt;="&amp;$D$7,BD!$Y$3:$Y$5001,"&lt;&gt;")=0,"",SUMIFS(BD!$Y$3:$Y$5001,BD!$B$3:$B$5001,D$100,BD!$A$3:$A$5001,_xlfn.MAXIFS(BD!$A$3:$A$5001,BD!$B$3:$B$5001,D$100,BD!$A$3:$A$5001,"&gt;="&amp;$C$7,BD!$A$3:$A$5001,"&lt;="&amp;$D$7,BD!$Y$3:$Y$5001,"&lt;&gt;"))),"—"))</f>
        <v/>
      </c>
      <c r="E124" s="32" t="str">
        <f>IF(E$100="","",IF(Config!$Z$38&lt;&gt;"Não",IF(COUNTIFS(BD!$B$3:$B$5001,E$100,BD!$A$3:$A$5001,"&gt;="&amp;$C$7,BD!$A$3:$A$5001,"&lt;="&amp;$D$7,BD!$Y$3:$Y$5001,"&lt;&gt;")=0,"",SUMIFS(BD!$Y$3:$Y$5001,BD!$B$3:$B$5001,E$100,BD!$A$3:$A$5001,_xlfn.MAXIFS(BD!$A$3:$A$5001,BD!$B$3:$B$5001,E$100,BD!$A$3:$A$5001,"&gt;="&amp;$C$7,BD!$A$3:$A$5001,"&lt;="&amp;$D$7,BD!$Y$3:$Y$5001,"&lt;&gt;"))),"—"))</f>
        <v/>
      </c>
      <c r="F124" s="32" t="str">
        <f>IF(F$100="","",IF(Config!$Z$39&lt;&gt;"Não",IF(COUNTIFS(BD!$B$3:$B$5001,F$100,BD!$A$3:$A$5001,"&gt;="&amp;$C$7,BD!$A$3:$A$5001,"&lt;="&amp;$D$7,BD!$Y$3:$Y$5001,"&lt;&gt;")=0,"",SUMIFS(BD!$Y$3:$Y$5001,BD!$B$3:$B$5001,F$100,BD!$A$3:$A$5001,_xlfn.MAXIFS(BD!$A$3:$A$5001,BD!$B$3:$B$5001,F$100,BD!$A$3:$A$5001,"&gt;="&amp;$C$7,BD!$A$3:$A$5001,"&lt;="&amp;$D$7,BD!$Y$3:$Y$5001,"&lt;&gt;"))),"—"))</f>
        <v/>
      </c>
      <c r="G124" s="32" t="str">
        <f>IF(G$100="","",IF(Config!$Z$40&lt;&gt;"Não",IF(COUNTIFS(BD!$B$3:$B$5001,G$100,BD!$A$3:$A$5001,"&gt;="&amp;$C$7,BD!$A$3:$A$5001,"&lt;="&amp;$D$7,BD!$Y$3:$Y$5001,"&lt;&gt;")=0,"",SUMIFS(BD!$Y$3:$Y$5001,BD!$B$3:$B$5001,G$100,BD!$A$3:$A$5001,_xlfn.MAXIFS(BD!$A$3:$A$5001,BD!$B$3:$B$5001,G$100,BD!$A$3:$A$5001,"&gt;="&amp;$C$7,BD!$A$3:$A$5001,"&lt;="&amp;$D$7,BD!$Y$3:$Y$5001,"&lt;&gt;"))),"—"))</f>
        <v/>
      </c>
      <c r="H124" s="32" t="str">
        <f>IF(H$100="","",IF(Config!$Z$41&lt;&gt;"Não",IF(COUNTIFS(BD!$B$3:$B$5001,H$100,BD!$A$3:$A$5001,"&gt;="&amp;$C$7,BD!$A$3:$A$5001,"&lt;="&amp;$D$7,BD!$Y$3:$Y$5001,"&lt;&gt;")=0,"",SUMIFS(BD!$Y$3:$Y$5001,BD!$B$3:$B$5001,H$100,BD!$A$3:$A$5001,_xlfn.MAXIFS(BD!$A$3:$A$5001,BD!$B$3:$B$5001,H$100,BD!$A$3:$A$5001,"&gt;="&amp;$C$7,BD!$A$3:$A$5001,"&lt;="&amp;$D$7,BD!$Y$3:$Y$5001,"&lt;&gt;"))),"—"))</f>
        <v/>
      </c>
      <c r="I124" s="32" t="str">
        <f>IF(I$100="","",IF(Config!$Z$42&lt;&gt;"Não",IF(COUNTIFS(BD!$B$3:$B$5001,I$100,BD!$A$3:$A$5001,"&gt;="&amp;$C$7,BD!$A$3:$A$5001,"&lt;="&amp;$D$7,BD!$Y$3:$Y$5001,"&lt;&gt;")=0,"",SUMIFS(BD!$Y$3:$Y$5001,BD!$B$3:$B$5001,I$100,BD!$A$3:$A$5001,_xlfn.MAXIFS(BD!$A$3:$A$5001,BD!$B$3:$B$5001,I$100,BD!$A$3:$A$5001,"&gt;="&amp;$C$7,BD!$A$3:$A$5001,"&lt;="&amp;$D$7,BD!$Y$3:$Y$5001,"&lt;&gt;"))),"—"))</f>
        <v/>
      </c>
      <c r="J124" s="32" t="str">
        <f>IF(J$100="","",IF(Config!$Z$43&lt;&gt;"Não",IF(COUNTIFS(BD!$B$3:$B$5001,J$100,BD!$A$3:$A$5001,"&gt;="&amp;$C$7,BD!$A$3:$A$5001,"&lt;="&amp;$D$7,BD!$Y$3:$Y$5001,"&lt;&gt;")=0,"",SUMIFS(BD!$Y$3:$Y$5001,BD!$B$3:$B$5001,J$100,BD!$A$3:$A$5001,_xlfn.MAXIFS(BD!$A$3:$A$5001,BD!$B$3:$B$5001,J$100,BD!$A$3:$A$5001,"&gt;="&amp;$C$7,BD!$A$3:$A$5001,"&lt;="&amp;$D$7,BD!$Y$3:$Y$5001,"&lt;&gt;"))),"—"))</f>
        <v/>
      </c>
      <c r="K124" s="32" t="str">
        <f>IF(K$100="","",IF(Config!$Z$44&lt;&gt;"Não",IF(COUNTIFS(BD!$B$3:$B$5001,K$100,BD!$A$3:$A$5001,"&gt;="&amp;$C$7,BD!$A$3:$A$5001,"&lt;="&amp;$D$7,BD!$Y$3:$Y$5001,"&lt;&gt;")=0,"",SUMIFS(BD!$Y$3:$Y$5001,BD!$B$3:$B$5001,K$100,BD!$A$3:$A$5001,_xlfn.MAXIFS(BD!$A$3:$A$5001,BD!$B$3:$B$5001,K$100,BD!$A$3:$A$5001,"&gt;="&amp;$C$7,BD!$A$3:$A$5001,"&lt;="&amp;$D$7,BD!$Y$3:$Y$5001,"&lt;&gt;"))),"—"))</f>
        <v/>
      </c>
      <c r="L124" s="32" t="str">
        <f>IF(L$100="","",IF(Config!$Z$45&lt;&gt;"Não",IF(COUNTIFS(BD!$B$3:$B$5001,L$100,BD!$A$3:$A$5001,"&gt;="&amp;$C$7,BD!$A$3:$A$5001,"&lt;="&amp;$D$7,BD!$Y$3:$Y$5001,"&lt;&gt;")=0,"",SUMIFS(BD!$Y$3:$Y$5001,BD!$B$3:$B$5001,L$100,BD!$A$3:$A$5001,_xlfn.MAXIFS(BD!$A$3:$A$5001,BD!$B$3:$B$5001,L$100,BD!$A$3:$A$5001,"&gt;="&amp;$C$7,BD!$A$3:$A$5001,"&lt;="&amp;$D$7,BD!$Y$3:$Y$5001,"&lt;&gt;"))),"—"))</f>
        <v/>
      </c>
      <c r="M124" s="32" t="str">
        <f>IF(M$100="","",IF(Config!$Z$46&lt;&gt;"Não",IF(COUNTIFS(BD!$B$3:$B$5001,M$100,BD!$A$3:$A$5001,"&gt;="&amp;$C$7,BD!$A$3:$A$5001,"&lt;="&amp;$D$7,BD!$Y$3:$Y$5001,"&lt;&gt;")=0,"",SUMIFS(BD!$Y$3:$Y$5001,BD!$B$3:$B$5001,M$100,BD!$A$3:$A$5001,_xlfn.MAXIFS(BD!$A$3:$A$5001,BD!$B$3:$B$5001,M$100,BD!$A$3:$A$5001,"&gt;="&amp;$C$7,BD!$A$3:$A$5001,"&lt;="&amp;$D$7,BD!$Y$3:$Y$5001,"&lt;&gt;"))),"—"))</f>
        <v/>
      </c>
      <c r="N124" s="32" t="str">
        <f>IF(N$100="","",IF(Config!$Z$47&lt;&gt;"Não",IF(COUNTIFS(BD!$B$3:$B$5001,N$100,BD!$A$3:$A$5001,"&gt;="&amp;$C$7,BD!$A$3:$A$5001,"&lt;="&amp;$D$7,BD!$Y$3:$Y$5001,"&lt;&gt;")=0,"",SUMIFS(BD!$Y$3:$Y$5001,BD!$B$3:$B$5001,N$100,BD!$A$3:$A$5001,_xlfn.MAXIFS(BD!$A$3:$A$5001,BD!$B$3:$B$5001,N$100,BD!$A$3:$A$5001,"&gt;="&amp;$C$7,BD!$A$3:$A$5001,"&lt;="&amp;$D$7,BD!$Y$3:$Y$5001,"&lt;&gt;"))),"—"))</f>
        <v/>
      </c>
      <c r="O124" s="32" t="str">
        <f>IF(O$100="","",IF(Config!$Z$48&lt;&gt;"Não",IF(COUNTIFS(BD!$B$3:$B$5001,O$100,BD!$A$3:$A$5001,"&gt;="&amp;$C$7,BD!$A$3:$A$5001,"&lt;="&amp;$D$7,BD!$Y$3:$Y$5001,"&lt;&gt;")=0,"",SUMIFS(BD!$Y$3:$Y$5001,BD!$B$3:$B$5001,O$100,BD!$A$3:$A$5001,_xlfn.MAXIFS(BD!$A$3:$A$5001,BD!$B$3:$B$5001,O$100,BD!$A$3:$A$5001,"&gt;="&amp;$C$7,BD!$A$3:$A$5001,"&lt;="&amp;$D$7,BD!$Y$3:$Y$5001,"&lt;&gt;"))),"—"))</f>
        <v/>
      </c>
      <c r="P124" s="32" t="str">
        <f>IF(P$100="","",IF(Config!$Z$49&lt;&gt;"Não",IF(COUNTIFS(BD!$B$3:$B$5001,P$100,BD!$A$3:$A$5001,"&gt;="&amp;$C$7,BD!$A$3:$A$5001,"&lt;="&amp;$D$7,BD!$Y$3:$Y$5001,"&lt;&gt;")=0,"",SUMIFS(BD!$Y$3:$Y$5001,BD!$B$3:$B$5001,P$100,BD!$A$3:$A$5001,_xlfn.MAXIFS(BD!$A$3:$A$5001,BD!$B$3:$B$5001,P$100,BD!$A$3:$A$5001,"&gt;="&amp;$C$7,BD!$A$3:$A$5001,"&lt;="&amp;$D$7,BD!$Y$3:$Y$5001,"&lt;&gt;"))),"—"))</f>
        <v/>
      </c>
      <c r="Q124" s="32" t="str">
        <f>IF(Q$100="","",IF(Config!$Z$50&lt;&gt;"Não",IF(COUNTIFS(BD!$B$3:$B$5001,Q$100,BD!$A$3:$A$5001,"&gt;="&amp;$C$7,BD!$A$3:$A$5001,"&lt;="&amp;$D$7,BD!$Y$3:$Y$5001,"&lt;&gt;")=0,"",SUMIFS(BD!$Y$3:$Y$5001,BD!$B$3:$B$5001,Q$100,BD!$A$3:$A$5001,_xlfn.MAXIFS(BD!$A$3:$A$5001,BD!$B$3:$B$5001,Q$100,BD!$A$3:$A$5001,"&gt;="&amp;$C$7,BD!$A$3:$A$5001,"&lt;="&amp;$D$7,BD!$Y$3:$Y$5001,"&lt;&gt;"))),"—"))</f>
        <v/>
      </c>
      <c r="R124" s="32" t="str">
        <f>IF(R$100="","",IF(Config!$Z$51&lt;&gt;"Não",IF(COUNTIFS(BD!$B$3:$B$5001,R$100,BD!$A$3:$A$5001,"&gt;="&amp;$C$7,BD!$A$3:$A$5001,"&lt;="&amp;$D$7,BD!$Y$3:$Y$5001,"&lt;&gt;")=0,"",SUMIFS(BD!$Y$3:$Y$5001,BD!$B$3:$B$5001,R$100,BD!$A$3:$A$5001,_xlfn.MAXIFS(BD!$A$3:$A$5001,BD!$B$3:$B$5001,R$100,BD!$A$3:$A$5001,"&gt;="&amp;$C$7,BD!$A$3:$A$5001,"&lt;="&amp;$D$7,BD!$Y$3:$Y$5001,"&lt;&gt;"))),"—"))</f>
        <v/>
      </c>
      <c r="S124" s="32" t="str">
        <f>IF(S$100="","",IF(Config!$Z$52&lt;&gt;"Não",IF(COUNTIFS(BD!$B$3:$B$5001,S$100,BD!$A$3:$A$5001,"&gt;="&amp;$C$7,BD!$A$3:$A$5001,"&lt;="&amp;$D$7,BD!$Y$3:$Y$5001,"&lt;&gt;")=0,"",SUMIFS(BD!$Y$3:$Y$5001,BD!$B$3:$B$5001,S$100,BD!$A$3:$A$5001,_xlfn.MAXIFS(BD!$A$3:$A$5001,BD!$B$3:$B$5001,S$100,BD!$A$3:$A$5001,"&gt;="&amp;$C$7,BD!$A$3:$A$5001,"&lt;="&amp;$D$7,BD!$Y$3:$Y$5001,"&lt;&gt;"))),"—"))</f>
        <v/>
      </c>
      <c r="T124" s="32" t="str">
        <f>IF(T$100="","",IF(Config!$Z$53&lt;&gt;"Não",IF(COUNTIFS(BD!$B$3:$B$5001,T$100,BD!$A$3:$A$5001,"&gt;="&amp;$C$7,BD!$A$3:$A$5001,"&lt;="&amp;$D$7,BD!$Y$3:$Y$5001,"&lt;&gt;")=0,"",SUMIFS(BD!$Y$3:$Y$5001,BD!$B$3:$B$5001,T$100,BD!$A$3:$A$5001,_xlfn.MAXIFS(BD!$A$3:$A$5001,BD!$B$3:$B$5001,T$100,BD!$A$3:$A$5001,"&gt;="&amp;$C$7,BD!$A$3:$A$5001,"&lt;="&amp;$D$7,BD!$Y$3:$Y$5001,"&lt;&gt;"))),"—"))</f>
        <v/>
      </c>
      <c r="U124" s="32" t="str">
        <f>IF(U$100="","",IF(Config!$Z$54&lt;&gt;"Não",IF(COUNTIFS(BD!$B$3:$B$5001,U$100,BD!$A$3:$A$5001,"&gt;="&amp;$C$7,BD!$A$3:$A$5001,"&lt;="&amp;$D$7,BD!$Y$3:$Y$5001,"&lt;&gt;")=0,"",SUMIFS(BD!$Y$3:$Y$5001,BD!$B$3:$B$5001,U$100,BD!$A$3:$A$5001,_xlfn.MAXIFS(BD!$A$3:$A$5001,BD!$B$3:$B$5001,U$100,BD!$A$3:$A$5001,"&gt;="&amp;$C$7,BD!$A$3:$A$5001,"&lt;="&amp;$D$7,BD!$Y$3:$Y$5001,"&lt;&gt;"))),"—"))</f>
        <v/>
      </c>
      <c r="V124" s="62">
        <f>SUM(B124:U124)</f>
        <v>0</v>
      </c>
    </row>
    <row r="125">
      <c r="A125" s="29" t="inlineStr">
        <is>
          <t xml:space="preserve">GENTE · Falta</t>
        </is>
      </c>
      <c r="B125" s="32">
        <f>IF(B$100="","",IF(Config!$AA$35&lt;&gt;"Não",SUMIFS(BD!$Z$3:$Z$5001,BD!$B$3:$B$5001,B$100,BD!$A$3:$A$5001,"&gt;="&amp;$C$7,BD!$A$3:$A$5001,"&lt;="&amp;$D$7),"—"))</f>
        <v>0</v>
      </c>
      <c r="C125" s="32">
        <f>IF(C$100="","",IF(Config!$AA$36&lt;&gt;"Não",SUMIFS(BD!$Z$3:$Z$5001,BD!$B$3:$B$5001,C$100,BD!$A$3:$A$5001,"&gt;="&amp;$C$7,BD!$A$3:$A$5001,"&lt;="&amp;$D$7),"—"))</f>
        <v>0</v>
      </c>
      <c r="D125" s="32">
        <f>IF(D$100="","",IF(Config!$AA$37&lt;&gt;"Não",SUMIFS(BD!$Z$3:$Z$5001,BD!$B$3:$B$5001,D$100,BD!$A$3:$A$5001,"&gt;="&amp;$C$7,BD!$A$3:$A$5001,"&lt;="&amp;$D$7),"—"))</f>
        <v>0</v>
      </c>
      <c r="E125" s="32">
        <f>IF(E$100="","",IF(Config!$AA$38&lt;&gt;"Não",SUMIFS(BD!$Z$3:$Z$5001,BD!$B$3:$B$5001,E$100,BD!$A$3:$A$5001,"&gt;="&amp;$C$7,BD!$A$3:$A$5001,"&lt;="&amp;$D$7),"—"))</f>
        <v>0</v>
      </c>
      <c r="F125" s="32">
        <f>IF(F$100="","",IF(Config!$AA$39&lt;&gt;"Não",SUMIFS(BD!$Z$3:$Z$5001,BD!$B$3:$B$5001,F$100,BD!$A$3:$A$5001,"&gt;="&amp;$C$7,BD!$A$3:$A$5001,"&lt;="&amp;$D$7),"—"))</f>
        <v>0</v>
      </c>
      <c r="G125" s="32">
        <f>IF(G$100="","",IF(Config!$AA$40&lt;&gt;"Não",SUMIFS(BD!$Z$3:$Z$5001,BD!$B$3:$B$5001,G$100,BD!$A$3:$A$5001,"&gt;="&amp;$C$7,BD!$A$3:$A$5001,"&lt;="&amp;$D$7),"—"))</f>
        <v>0</v>
      </c>
      <c r="H125" s="32">
        <f>IF(H$100="","",IF(Config!$AA$41&lt;&gt;"Não",SUMIFS(BD!$Z$3:$Z$5001,BD!$B$3:$B$5001,H$100,BD!$A$3:$A$5001,"&gt;="&amp;$C$7,BD!$A$3:$A$5001,"&lt;="&amp;$D$7),"—"))</f>
        <v>0</v>
      </c>
      <c r="I125" s="32">
        <f>IF(I$100="","",IF(Config!$AA$42&lt;&gt;"Não",SUMIFS(BD!$Z$3:$Z$5001,BD!$B$3:$B$5001,I$100,BD!$A$3:$A$5001,"&gt;="&amp;$C$7,BD!$A$3:$A$5001,"&lt;="&amp;$D$7),"—"))</f>
        <v>0</v>
      </c>
      <c r="J125" s="32">
        <f>IF(J$100="","",IF(Config!$AA$43&lt;&gt;"Não",SUMIFS(BD!$Z$3:$Z$5001,BD!$B$3:$B$5001,J$100,BD!$A$3:$A$5001,"&gt;="&amp;$C$7,BD!$A$3:$A$5001,"&lt;="&amp;$D$7),"—"))</f>
        <v>0</v>
      </c>
      <c r="K125" s="32">
        <f>IF(K$100="","",IF(Config!$AA$44&lt;&gt;"Não",SUMIFS(BD!$Z$3:$Z$5001,BD!$B$3:$B$5001,K$100,BD!$A$3:$A$5001,"&gt;="&amp;$C$7,BD!$A$3:$A$5001,"&lt;="&amp;$D$7),"—"))</f>
        <v>0</v>
      </c>
      <c r="L125" s="32" t="str">
        <f>IF(L$100="","",IF(Config!$AA$45&lt;&gt;"Não",SUMIFS(BD!$Z$3:$Z$5001,BD!$B$3:$B$5001,L$100,BD!$A$3:$A$5001,"&gt;="&amp;$C$7,BD!$A$3:$A$5001,"&lt;="&amp;$D$7),"—"))</f>
        <v/>
      </c>
      <c r="M125" s="32" t="str">
        <f>IF(M$100="","",IF(Config!$AA$46&lt;&gt;"Não",SUMIFS(BD!$Z$3:$Z$5001,BD!$B$3:$B$5001,M$100,BD!$A$3:$A$5001,"&gt;="&amp;$C$7,BD!$A$3:$A$5001,"&lt;="&amp;$D$7),"—"))</f>
        <v/>
      </c>
      <c r="N125" s="32" t="str">
        <f>IF(N$100="","",IF(Config!$AA$47&lt;&gt;"Não",SUMIFS(BD!$Z$3:$Z$5001,BD!$B$3:$B$5001,N$100,BD!$A$3:$A$5001,"&gt;="&amp;$C$7,BD!$A$3:$A$5001,"&lt;="&amp;$D$7),"—"))</f>
        <v/>
      </c>
      <c r="O125" s="32" t="str">
        <f>IF(O$100="","",IF(Config!$AA$48&lt;&gt;"Não",SUMIFS(BD!$Z$3:$Z$5001,BD!$B$3:$B$5001,O$100,BD!$A$3:$A$5001,"&gt;="&amp;$C$7,BD!$A$3:$A$5001,"&lt;="&amp;$D$7),"—"))</f>
        <v/>
      </c>
      <c r="P125" s="32" t="str">
        <f>IF(P$100="","",IF(Config!$AA$49&lt;&gt;"Não",SUMIFS(BD!$Z$3:$Z$5001,BD!$B$3:$B$5001,P$100,BD!$A$3:$A$5001,"&gt;="&amp;$C$7,BD!$A$3:$A$5001,"&lt;="&amp;$D$7),"—"))</f>
        <v/>
      </c>
      <c r="Q125" s="32" t="str">
        <f>IF(Q$100="","",IF(Config!$AA$50&lt;&gt;"Não",SUMIFS(BD!$Z$3:$Z$5001,BD!$B$3:$B$5001,Q$100,BD!$A$3:$A$5001,"&gt;="&amp;$C$7,BD!$A$3:$A$5001,"&lt;="&amp;$D$7),"—"))</f>
        <v/>
      </c>
      <c r="R125" s="32" t="str">
        <f>IF(R$100="","",IF(Config!$AA$51&lt;&gt;"Não",SUMIFS(BD!$Z$3:$Z$5001,BD!$B$3:$B$5001,R$100,BD!$A$3:$A$5001,"&gt;="&amp;$C$7,BD!$A$3:$A$5001,"&lt;="&amp;$D$7),"—"))</f>
        <v/>
      </c>
      <c r="S125" s="32" t="str">
        <f>IF(S$100="","",IF(Config!$AA$52&lt;&gt;"Não",SUMIFS(BD!$Z$3:$Z$5001,BD!$B$3:$B$5001,S$100,BD!$A$3:$A$5001,"&gt;="&amp;$C$7,BD!$A$3:$A$5001,"&lt;="&amp;$D$7),"—"))</f>
        <v/>
      </c>
      <c r="T125" s="32" t="str">
        <f>IF(T$100="","",IF(Config!$AA$53&lt;&gt;"Não",SUMIFS(BD!$Z$3:$Z$5001,BD!$B$3:$B$5001,T$100,BD!$A$3:$A$5001,"&gt;="&amp;$C$7,BD!$A$3:$A$5001,"&lt;="&amp;$D$7),"—"))</f>
        <v/>
      </c>
      <c r="U125" s="32" t="str">
        <f>IF(U$100="","",IF(Config!$AA$54&lt;&gt;"Não",SUMIFS(BD!$Z$3:$Z$5001,BD!$B$3:$B$5001,U$100,BD!$A$3:$A$5001,"&gt;="&amp;$C$7,BD!$A$3:$A$5001,"&lt;="&amp;$D$7),"—"))</f>
        <v/>
      </c>
      <c r="V125" s="62">
        <f>SUM(B125:U125)</f>
        <v>0</v>
      </c>
    </row>
    <row r="126">
      <c r="A126" s="29" t="inlineStr">
        <is>
          <t xml:space="preserve">GENTE · Folga</t>
        </is>
      </c>
      <c r="B126" s="32">
        <f>IF(B$100="","",IF(Config!$AB$35&lt;&gt;"Não",SUMIFS(BD!$AA$3:$AA$5001,BD!$B$3:$B$5001,B$100,BD!$A$3:$A$5001,"&gt;="&amp;$C$7,BD!$A$3:$A$5001,"&lt;="&amp;$D$7),"—"))</f>
        <v>0</v>
      </c>
      <c r="C126" s="32">
        <f>IF(C$100="","",IF(Config!$AB$36&lt;&gt;"Não",SUMIFS(BD!$AA$3:$AA$5001,BD!$B$3:$B$5001,C$100,BD!$A$3:$A$5001,"&gt;="&amp;$C$7,BD!$A$3:$A$5001,"&lt;="&amp;$D$7),"—"))</f>
        <v>0</v>
      </c>
      <c r="D126" s="32">
        <f>IF(D$100="","",IF(Config!$AB$37&lt;&gt;"Não",SUMIFS(BD!$AA$3:$AA$5001,BD!$B$3:$B$5001,D$100,BD!$A$3:$A$5001,"&gt;="&amp;$C$7,BD!$A$3:$A$5001,"&lt;="&amp;$D$7),"—"))</f>
        <v>0</v>
      </c>
      <c r="E126" s="32">
        <f>IF(E$100="","",IF(Config!$AB$38&lt;&gt;"Não",SUMIFS(BD!$AA$3:$AA$5001,BD!$B$3:$B$5001,E$100,BD!$A$3:$A$5001,"&gt;="&amp;$C$7,BD!$A$3:$A$5001,"&lt;="&amp;$D$7),"—"))</f>
        <v>0</v>
      </c>
      <c r="F126" s="32">
        <f>IF(F$100="","",IF(Config!$AB$39&lt;&gt;"Não",SUMIFS(BD!$AA$3:$AA$5001,BD!$B$3:$B$5001,F$100,BD!$A$3:$A$5001,"&gt;="&amp;$C$7,BD!$A$3:$A$5001,"&lt;="&amp;$D$7),"—"))</f>
        <v>0</v>
      </c>
      <c r="G126" s="32">
        <f>IF(G$100="","",IF(Config!$AB$40&lt;&gt;"Não",SUMIFS(BD!$AA$3:$AA$5001,BD!$B$3:$B$5001,G$100,BD!$A$3:$A$5001,"&gt;="&amp;$C$7,BD!$A$3:$A$5001,"&lt;="&amp;$D$7),"—"))</f>
        <v>0</v>
      </c>
      <c r="H126" s="32">
        <f>IF(H$100="","",IF(Config!$AB$41&lt;&gt;"Não",SUMIFS(BD!$AA$3:$AA$5001,BD!$B$3:$B$5001,H$100,BD!$A$3:$A$5001,"&gt;="&amp;$C$7,BD!$A$3:$A$5001,"&lt;="&amp;$D$7),"—"))</f>
        <v>0</v>
      </c>
      <c r="I126" s="32">
        <f>IF(I$100="","",IF(Config!$AB$42&lt;&gt;"Não",SUMIFS(BD!$AA$3:$AA$5001,BD!$B$3:$B$5001,I$100,BD!$A$3:$A$5001,"&gt;="&amp;$C$7,BD!$A$3:$A$5001,"&lt;="&amp;$D$7),"—"))</f>
        <v>0</v>
      </c>
      <c r="J126" s="32">
        <f>IF(J$100="","",IF(Config!$AB$43&lt;&gt;"Não",SUMIFS(BD!$AA$3:$AA$5001,BD!$B$3:$B$5001,J$100,BD!$A$3:$A$5001,"&gt;="&amp;$C$7,BD!$A$3:$A$5001,"&lt;="&amp;$D$7),"—"))</f>
        <v>0</v>
      </c>
      <c r="K126" s="32">
        <f>IF(K$100="","",IF(Config!$AB$44&lt;&gt;"Não",SUMIFS(BD!$AA$3:$AA$5001,BD!$B$3:$B$5001,K$100,BD!$A$3:$A$5001,"&gt;="&amp;$C$7,BD!$A$3:$A$5001,"&lt;="&amp;$D$7),"—"))</f>
        <v>0</v>
      </c>
      <c r="L126" s="32" t="str">
        <f>IF(L$100="","",IF(Config!$AB$45&lt;&gt;"Não",SUMIFS(BD!$AA$3:$AA$5001,BD!$B$3:$B$5001,L$100,BD!$A$3:$A$5001,"&gt;="&amp;$C$7,BD!$A$3:$A$5001,"&lt;="&amp;$D$7),"—"))</f>
        <v/>
      </c>
      <c r="M126" s="32" t="str">
        <f>IF(M$100="","",IF(Config!$AB$46&lt;&gt;"Não",SUMIFS(BD!$AA$3:$AA$5001,BD!$B$3:$B$5001,M$100,BD!$A$3:$A$5001,"&gt;="&amp;$C$7,BD!$A$3:$A$5001,"&lt;="&amp;$D$7),"—"))</f>
        <v/>
      </c>
      <c r="N126" s="32" t="str">
        <f>IF(N$100="","",IF(Config!$AB$47&lt;&gt;"Não",SUMIFS(BD!$AA$3:$AA$5001,BD!$B$3:$B$5001,N$100,BD!$A$3:$A$5001,"&gt;="&amp;$C$7,BD!$A$3:$A$5001,"&lt;="&amp;$D$7),"—"))</f>
        <v/>
      </c>
      <c r="O126" s="32" t="str">
        <f>IF(O$100="","",IF(Config!$AB$48&lt;&gt;"Não",SUMIFS(BD!$AA$3:$AA$5001,BD!$B$3:$B$5001,O$100,BD!$A$3:$A$5001,"&gt;="&amp;$C$7,BD!$A$3:$A$5001,"&lt;="&amp;$D$7),"—"))</f>
        <v/>
      </c>
      <c r="P126" s="32" t="str">
        <f>IF(P$100="","",IF(Config!$AB$49&lt;&gt;"Não",SUMIFS(BD!$AA$3:$AA$5001,BD!$B$3:$B$5001,P$100,BD!$A$3:$A$5001,"&gt;="&amp;$C$7,BD!$A$3:$A$5001,"&lt;="&amp;$D$7),"—"))</f>
        <v/>
      </c>
      <c r="Q126" s="32" t="str">
        <f>IF(Q$100="","",IF(Config!$AB$50&lt;&gt;"Não",SUMIFS(BD!$AA$3:$AA$5001,BD!$B$3:$B$5001,Q$100,BD!$A$3:$A$5001,"&gt;="&amp;$C$7,BD!$A$3:$A$5001,"&lt;="&amp;$D$7),"—"))</f>
        <v/>
      </c>
      <c r="R126" s="32" t="str">
        <f>IF(R$100="","",IF(Config!$AB$51&lt;&gt;"Não",SUMIFS(BD!$AA$3:$AA$5001,BD!$B$3:$B$5001,R$100,BD!$A$3:$A$5001,"&gt;="&amp;$C$7,BD!$A$3:$A$5001,"&lt;="&amp;$D$7),"—"))</f>
        <v/>
      </c>
      <c r="S126" s="32" t="str">
        <f>IF(S$100="","",IF(Config!$AB$52&lt;&gt;"Não",SUMIFS(BD!$AA$3:$AA$5001,BD!$B$3:$B$5001,S$100,BD!$A$3:$A$5001,"&gt;="&amp;$C$7,BD!$A$3:$A$5001,"&lt;="&amp;$D$7),"—"))</f>
        <v/>
      </c>
      <c r="T126" s="32" t="str">
        <f>IF(T$100="","",IF(Config!$AB$53&lt;&gt;"Não",SUMIFS(BD!$AA$3:$AA$5001,BD!$B$3:$B$5001,T$100,BD!$A$3:$A$5001,"&gt;="&amp;$C$7,BD!$A$3:$A$5001,"&lt;="&amp;$D$7),"—"))</f>
        <v/>
      </c>
      <c r="U126" s="32" t="str">
        <f>IF(U$100="","",IF(Config!$AB$54&lt;&gt;"Não",SUMIFS(BD!$AA$3:$AA$5001,BD!$B$3:$B$5001,U$100,BD!$A$3:$A$5001,"&gt;="&amp;$C$7,BD!$A$3:$A$5001,"&lt;="&amp;$D$7),"—"))</f>
        <v/>
      </c>
      <c r="V126" s="62">
        <f>SUM(B126:U126)</f>
        <v>0</v>
      </c>
    </row>
    <row r="127">
      <c r="A127" s="29" t="inlineStr">
        <is>
          <t xml:space="preserve">GENTE · Férias</t>
        </is>
      </c>
      <c r="B127" s="32">
        <f>IF(B$100="","",IF(Config!$AC$35&lt;&gt;"Não",SUMIFS(BD!$AB$3:$AB$5001,BD!$B$3:$B$5001,B$100,BD!$A$3:$A$5001,"&gt;="&amp;$C$7,BD!$A$3:$A$5001,"&lt;="&amp;$D$7),"—"))</f>
        <v>0</v>
      </c>
      <c r="C127" s="32">
        <f>IF(C$100="","",IF(Config!$AC$36&lt;&gt;"Não",SUMIFS(BD!$AB$3:$AB$5001,BD!$B$3:$B$5001,C$100,BD!$A$3:$A$5001,"&gt;="&amp;$C$7,BD!$A$3:$A$5001,"&lt;="&amp;$D$7),"—"))</f>
        <v>0</v>
      </c>
      <c r="D127" s="32">
        <f>IF(D$100="","",IF(Config!$AC$37&lt;&gt;"Não",SUMIFS(BD!$AB$3:$AB$5001,BD!$B$3:$B$5001,D$100,BD!$A$3:$A$5001,"&gt;="&amp;$C$7,BD!$A$3:$A$5001,"&lt;="&amp;$D$7),"—"))</f>
        <v>0</v>
      </c>
      <c r="E127" s="32">
        <f>IF(E$100="","",IF(Config!$AC$38&lt;&gt;"Não",SUMIFS(BD!$AB$3:$AB$5001,BD!$B$3:$B$5001,E$100,BD!$A$3:$A$5001,"&gt;="&amp;$C$7,BD!$A$3:$A$5001,"&lt;="&amp;$D$7),"—"))</f>
        <v>0</v>
      </c>
      <c r="F127" s="32">
        <f>IF(F$100="","",IF(Config!$AC$39&lt;&gt;"Não",SUMIFS(BD!$AB$3:$AB$5001,BD!$B$3:$B$5001,F$100,BD!$A$3:$A$5001,"&gt;="&amp;$C$7,BD!$A$3:$A$5001,"&lt;="&amp;$D$7),"—"))</f>
        <v>0</v>
      </c>
      <c r="G127" s="32">
        <f>IF(G$100="","",IF(Config!$AC$40&lt;&gt;"Não",SUMIFS(BD!$AB$3:$AB$5001,BD!$B$3:$B$5001,G$100,BD!$A$3:$A$5001,"&gt;="&amp;$C$7,BD!$A$3:$A$5001,"&lt;="&amp;$D$7),"—"))</f>
        <v>0</v>
      </c>
      <c r="H127" s="32">
        <f>IF(H$100="","",IF(Config!$AC$41&lt;&gt;"Não",SUMIFS(BD!$AB$3:$AB$5001,BD!$B$3:$B$5001,H$100,BD!$A$3:$A$5001,"&gt;="&amp;$C$7,BD!$A$3:$A$5001,"&lt;="&amp;$D$7),"—"))</f>
        <v>0</v>
      </c>
      <c r="I127" s="32">
        <f>IF(I$100="","",IF(Config!$AC$42&lt;&gt;"Não",SUMIFS(BD!$AB$3:$AB$5001,BD!$B$3:$B$5001,I$100,BD!$A$3:$A$5001,"&gt;="&amp;$C$7,BD!$A$3:$A$5001,"&lt;="&amp;$D$7),"—"))</f>
        <v>0</v>
      </c>
      <c r="J127" s="32">
        <f>IF(J$100="","",IF(Config!$AC$43&lt;&gt;"Não",SUMIFS(BD!$AB$3:$AB$5001,BD!$B$3:$B$5001,J$100,BD!$A$3:$A$5001,"&gt;="&amp;$C$7,BD!$A$3:$A$5001,"&lt;="&amp;$D$7),"—"))</f>
        <v>0</v>
      </c>
      <c r="K127" s="32">
        <f>IF(K$100="","",IF(Config!$AC$44&lt;&gt;"Não",SUMIFS(BD!$AB$3:$AB$5001,BD!$B$3:$B$5001,K$100,BD!$A$3:$A$5001,"&gt;="&amp;$C$7,BD!$A$3:$A$5001,"&lt;="&amp;$D$7),"—"))</f>
        <v>0</v>
      </c>
      <c r="L127" s="32" t="str">
        <f>IF(L$100="","",IF(Config!$AC$45&lt;&gt;"Não",SUMIFS(BD!$AB$3:$AB$5001,BD!$B$3:$B$5001,L$100,BD!$A$3:$A$5001,"&gt;="&amp;$C$7,BD!$A$3:$A$5001,"&lt;="&amp;$D$7),"—"))</f>
        <v/>
      </c>
      <c r="M127" s="32" t="str">
        <f>IF(M$100="","",IF(Config!$AC$46&lt;&gt;"Não",SUMIFS(BD!$AB$3:$AB$5001,BD!$B$3:$B$5001,M$100,BD!$A$3:$A$5001,"&gt;="&amp;$C$7,BD!$A$3:$A$5001,"&lt;="&amp;$D$7),"—"))</f>
        <v/>
      </c>
      <c r="N127" s="32" t="str">
        <f>IF(N$100="","",IF(Config!$AC$47&lt;&gt;"Não",SUMIFS(BD!$AB$3:$AB$5001,BD!$B$3:$B$5001,N$100,BD!$A$3:$A$5001,"&gt;="&amp;$C$7,BD!$A$3:$A$5001,"&lt;="&amp;$D$7),"—"))</f>
        <v/>
      </c>
      <c r="O127" s="32" t="str">
        <f>IF(O$100="","",IF(Config!$AC$48&lt;&gt;"Não",SUMIFS(BD!$AB$3:$AB$5001,BD!$B$3:$B$5001,O$100,BD!$A$3:$A$5001,"&gt;="&amp;$C$7,BD!$A$3:$A$5001,"&lt;="&amp;$D$7),"—"))</f>
        <v/>
      </c>
      <c r="P127" s="32" t="str">
        <f>IF(P$100="","",IF(Config!$AC$49&lt;&gt;"Não",SUMIFS(BD!$AB$3:$AB$5001,BD!$B$3:$B$5001,P$100,BD!$A$3:$A$5001,"&gt;="&amp;$C$7,BD!$A$3:$A$5001,"&lt;="&amp;$D$7),"—"))</f>
        <v/>
      </c>
      <c r="Q127" s="32" t="str">
        <f>IF(Q$100="","",IF(Config!$AC$50&lt;&gt;"Não",SUMIFS(BD!$AB$3:$AB$5001,BD!$B$3:$B$5001,Q$100,BD!$A$3:$A$5001,"&gt;="&amp;$C$7,BD!$A$3:$A$5001,"&lt;="&amp;$D$7),"—"))</f>
        <v/>
      </c>
      <c r="R127" s="32" t="str">
        <f>IF(R$100="","",IF(Config!$AC$51&lt;&gt;"Não",SUMIFS(BD!$AB$3:$AB$5001,BD!$B$3:$B$5001,R$100,BD!$A$3:$A$5001,"&gt;="&amp;$C$7,BD!$A$3:$A$5001,"&lt;="&amp;$D$7),"—"))</f>
        <v/>
      </c>
      <c r="S127" s="32" t="str">
        <f>IF(S$100="","",IF(Config!$AC$52&lt;&gt;"Não",SUMIFS(BD!$AB$3:$AB$5001,BD!$B$3:$B$5001,S$100,BD!$A$3:$A$5001,"&gt;="&amp;$C$7,BD!$A$3:$A$5001,"&lt;="&amp;$D$7),"—"))</f>
        <v/>
      </c>
      <c r="T127" s="32" t="str">
        <f>IF(T$100="","",IF(Config!$AC$53&lt;&gt;"Não",SUMIFS(BD!$AB$3:$AB$5001,BD!$B$3:$B$5001,T$100,BD!$A$3:$A$5001,"&gt;="&amp;$C$7,BD!$A$3:$A$5001,"&lt;="&amp;$D$7),"—"))</f>
        <v/>
      </c>
      <c r="U127" s="32" t="str">
        <f>IF(U$100="","",IF(Config!$AC$54&lt;&gt;"Não",SUMIFS(BD!$AB$3:$AB$5001,BD!$B$3:$B$5001,U$100,BD!$A$3:$A$5001,"&gt;="&amp;$C$7,BD!$A$3:$A$5001,"&lt;="&amp;$D$7),"—"))</f>
        <v/>
      </c>
      <c r="V127" s="62">
        <f>SUM(B127:U127)</f>
        <v>0</v>
      </c>
    </row>
    <row r="128">
      <c r="A128" s="29" t="inlineStr">
        <is>
          <t xml:space="preserve">GENTE · Desligamento</t>
        </is>
      </c>
      <c r="B128" s="32">
        <f>IF(B$100="","",IF(Config!$AD$35&lt;&gt;"Não",SUMIFS(BD!$AC$3:$AC$5001,BD!$B$3:$B$5001,B$100,BD!$A$3:$A$5001,"&gt;="&amp;$C$7,BD!$A$3:$A$5001,"&lt;="&amp;$D$7),"—"))</f>
        <v>0</v>
      </c>
      <c r="C128" s="32">
        <f>IF(C$100="","",IF(Config!$AD$36&lt;&gt;"Não",SUMIFS(BD!$AC$3:$AC$5001,BD!$B$3:$B$5001,C$100,BD!$A$3:$A$5001,"&gt;="&amp;$C$7,BD!$A$3:$A$5001,"&lt;="&amp;$D$7),"—"))</f>
        <v>0</v>
      </c>
      <c r="D128" s="32">
        <f>IF(D$100="","",IF(Config!$AD$37&lt;&gt;"Não",SUMIFS(BD!$AC$3:$AC$5001,BD!$B$3:$B$5001,D$100,BD!$A$3:$A$5001,"&gt;="&amp;$C$7,BD!$A$3:$A$5001,"&lt;="&amp;$D$7),"—"))</f>
        <v>0</v>
      </c>
      <c r="E128" s="32">
        <f>IF(E$100="","",IF(Config!$AD$38&lt;&gt;"Não",SUMIFS(BD!$AC$3:$AC$5001,BD!$B$3:$B$5001,E$100,BD!$A$3:$A$5001,"&gt;="&amp;$C$7,BD!$A$3:$A$5001,"&lt;="&amp;$D$7),"—"))</f>
        <v>0</v>
      </c>
      <c r="F128" s="32">
        <f>IF(F$100="","",IF(Config!$AD$39&lt;&gt;"Não",SUMIFS(BD!$AC$3:$AC$5001,BD!$B$3:$B$5001,F$100,BD!$A$3:$A$5001,"&gt;="&amp;$C$7,BD!$A$3:$A$5001,"&lt;="&amp;$D$7),"—"))</f>
        <v>0</v>
      </c>
      <c r="G128" s="32">
        <f>IF(G$100="","",IF(Config!$AD$40&lt;&gt;"Não",SUMIFS(BD!$AC$3:$AC$5001,BD!$B$3:$B$5001,G$100,BD!$A$3:$A$5001,"&gt;="&amp;$C$7,BD!$A$3:$A$5001,"&lt;="&amp;$D$7),"—"))</f>
        <v>0</v>
      </c>
      <c r="H128" s="32">
        <f>IF(H$100="","",IF(Config!$AD$41&lt;&gt;"Não",SUMIFS(BD!$AC$3:$AC$5001,BD!$B$3:$B$5001,H$100,BD!$A$3:$A$5001,"&gt;="&amp;$C$7,BD!$A$3:$A$5001,"&lt;="&amp;$D$7),"—"))</f>
        <v>0</v>
      </c>
      <c r="I128" s="32">
        <f>IF(I$100="","",IF(Config!$AD$42&lt;&gt;"Não",SUMIFS(BD!$AC$3:$AC$5001,BD!$B$3:$B$5001,I$100,BD!$A$3:$A$5001,"&gt;="&amp;$C$7,BD!$A$3:$A$5001,"&lt;="&amp;$D$7),"—"))</f>
        <v>0</v>
      </c>
      <c r="J128" s="32">
        <f>IF(J$100="","",IF(Config!$AD$43&lt;&gt;"Não",SUMIFS(BD!$AC$3:$AC$5001,BD!$B$3:$B$5001,J$100,BD!$A$3:$A$5001,"&gt;="&amp;$C$7,BD!$A$3:$A$5001,"&lt;="&amp;$D$7),"—"))</f>
        <v>0</v>
      </c>
      <c r="K128" s="32">
        <f>IF(K$100="","",IF(Config!$AD$44&lt;&gt;"Não",SUMIFS(BD!$AC$3:$AC$5001,BD!$B$3:$B$5001,K$100,BD!$A$3:$A$5001,"&gt;="&amp;$C$7,BD!$A$3:$A$5001,"&lt;="&amp;$D$7),"—"))</f>
        <v>0</v>
      </c>
      <c r="L128" s="32" t="str">
        <f>IF(L$100="","",IF(Config!$AD$45&lt;&gt;"Não",SUMIFS(BD!$AC$3:$AC$5001,BD!$B$3:$B$5001,L$100,BD!$A$3:$A$5001,"&gt;="&amp;$C$7,BD!$A$3:$A$5001,"&lt;="&amp;$D$7),"—"))</f>
        <v/>
      </c>
      <c r="M128" s="32" t="str">
        <f>IF(M$100="","",IF(Config!$AD$46&lt;&gt;"Não",SUMIFS(BD!$AC$3:$AC$5001,BD!$B$3:$B$5001,M$100,BD!$A$3:$A$5001,"&gt;="&amp;$C$7,BD!$A$3:$A$5001,"&lt;="&amp;$D$7),"—"))</f>
        <v/>
      </c>
      <c r="N128" s="32" t="str">
        <f>IF(N$100="","",IF(Config!$AD$47&lt;&gt;"Não",SUMIFS(BD!$AC$3:$AC$5001,BD!$B$3:$B$5001,N$100,BD!$A$3:$A$5001,"&gt;="&amp;$C$7,BD!$A$3:$A$5001,"&lt;="&amp;$D$7),"—"))</f>
        <v/>
      </c>
      <c r="O128" s="32" t="str">
        <f>IF(O$100="","",IF(Config!$AD$48&lt;&gt;"Não",SUMIFS(BD!$AC$3:$AC$5001,BD!$B$3:$B$5001,O$100,BD!$A$3:$A$5001,"&gt;="&amp;$C$7,BD!$A$3:$A$5001,"&lt;="&amp;$D$7),"—"))</f>
        <v/>
      </c>
      <c r="P128" s="32" t="str">
        <f>IF(P$100="","",IF(Config!$AD$49&lt;&gt;"Não",SUMIFS(BD!$AC$3:$AC$5001,BD!$B$3:$B$5001,P$100,BD!$A$3:$A$5001,"&gt;="&amp;$C$7,BD!$A$3:$A$5001,"&lt;="&amp;$D$7),"—"))</f>
        <v/>
      </c>
      <c r="Q128" s="32" t="str">
        <f>IF(Q$100="","",IF(Config!$AD$50&lt;&gt;"Não",SUMIFS(BD!$AC$3:$AC$5001,BD!$B$3:$B$5001,Q$100,BD!$A$3:$A$5001,"&gt;="&amp;$C$7,BD!$A$3:$A$5001,"&lt;="&amp;$D$7),"—"))</f>
        <v/>
      </c>
      <c r="R128" s="32" t="str">
        <f>IF(R$100="","",IF(Config!$AD$51&lt;&gt;"Não",SUMIFS(BD!$AC$3:$AC$5001,BD!$B$3:$B$5001,R$100,BD!$A$3:$A$5001,"&gt;="&amp;$C$7,BD!$A$3:$A$5001,"&lt;="&amp;$D$7),"—"))</f>
        <v/>
      </c>
      <c r="S128" s="32" t="str">
        <f>IF(S$100="","",IF(Config!$AD$52&lt;&gt;"Não",SUMIFS(BD!$AC$3:$AC$5001,BD!$B$3:$B$5001,S$100,BD!$A$3:$A$5001,"&gt;="&amp;$C$7,BD!$A$3:$A$5001,"&lt;="&amp;$D$7),"—"))</f>
        <v/>
      </c>
      <c r="T128" s="32" t="str">
        <f>IF(T$100="","",IF(Config!$AD$53&lt;&gt;"Não",SUMIFS(BD!$AC$3:$AC$5001,BD!$B$3:$B$5001,T$100,BD!$A$3:$A$5001,"&gt;="&amp;$C$7,BD!$A$3:$A$5001,"&lt;="&amp;$D$7),"—"))</f>
        <v/>
      </c>
      <c r="U128" s="32" t="str">
        <f>IF(U$100="","",IF(Config!$AD$54&lt;&gt;"Não",SUMIFS(BD!$AC$3:$AC$5001,BD!$B$3:$B$5001,U$100,BD!$A$3:$A$5001,"&gt;="&amp;$C$7,BD!$A$3:$A$5001,"&lt;="&amp;$D$7),"—"))</f>
        <v/>
      </c>
      <c r="V128" s="62">
        <f>SUM(B128:U128)</f>
        <v>0</v>
      </c>
    </row>
    <row r="129">
      <c r="A129" s="29" t="inlineStr">
        <is>
          <t xml:space="preserve">GENTE · Desvios Comportamentais</t>
        </is>
      </c>
      <c r="B129" s="32">
        <f>IF(B$100="","",IF(Config!$AE$35&lt;&gt;"Não",SUMIFS(BD!$AD$3:$AD$5001,BD!$B$3:$B$5001,B$100,BD!$A$3:$A$5001,"&gt;="&amp;$C$7,BD!$A$3:$A$5001,"&lt;="&amp;$D$7),"—"))</f>
        <v>0</v>
      </c>
      <c r="C129" s="32">
        <f>IF(C$100="","",IF(Config!$AE$36&lt;&gt;"Não",SUMIFS(BD!$AD$3:$AD$5001,BD!$B$3:$B$5001,C$100,BD!$A$3:$A$5001,"&gt;="&amp;$C$7,BD!$A$3:$A$5001,"&lt;="&amp;$D$7),"—"))</f>
        <v>0</v>
      </c>
      <c r="D129" s="32">
        <f>IF(D$100="","",IF(Config!$AE$37&lt;&gt;"Não",SUMIFS(BD!$AD$3:$AD$5001,BD!$B$3:$B$5001,D$100,BD!$A$3:$A$5001,"&gt;="&amp;$C$7,BD!$A$3:$A$5001,"&lt;="&amp;$D$7),"—"))</f>
        <v>0</v>
      </c>
      <c r="E129" s="32">
        <f>IF(E$100="","",IF(Config!$AE$38&lt;&gt;"Não",SUMIFS(BD!$AD$3:$AD$5001,BD!$B$3:$B$5001,E$100,BD!$A$3:$A$5001,"&gt;="&amp;$C$7,BD!$A$3:$A$5001,"&lt;="&amp;$D$7),"—"))</f>
        <v>0</v>
      </c>
      <c r="F129" s="32">
        <f>IF(F$100="","",IF(Config!$AE$39&lt;&gt;"Não",SUMIFS(BD!$AD$3:$AD$5001,BD!$B$3:$B$5001,F$100,BD!$A$3:$A$5001,"&gt;="&amp;$C$7,BD!$A$3:$A$5001,"&lt;="&amp;$D$7),"—"))</f>
        <v>0</v>
      </c>
      <c r="G129" s="32">
        <f>IF(G$100="","",IF(Config!$AE$40&lt;&gt;"Não",SUMIFS(BD!$AD$3:$AD$5001,BD!$B$3:$B$5001,G$100,BD!$A$3:$A$5001,"&gt;="&amp;$C$7,BD!$A$3:$A$5001,"&lt;="&amp;$D$7),"—"))</f>
        <v>0</v>
      </c>
      <c r="H129" s="32">
        <f>IF(H$100="","",IF(Config!$AE$41&lt;&gt;"Não",SUMIFS(BD!$AD$3:$AD$5001,BD!$B$3:$B$5001,H$100,BD!$A$3:$A$5001,"&gt;="&amp;$C$7,BD!$A$3:$A$5001,"&lt;="&amp;$D$7),"—"))</f>
        <v>0</v>
      </c>
      <c r="I129" s="32">
        <f>IF(I$100="","",IF(Config!$AE$42&lt;&gt;"Não",SUMIFS(BD!$AD$3:$AD$5001,BD!$B$3:$B$5001,I$100,BD!$A$3:$A$5001,"&gt;="&amp;$C$7,BD!$A$3:$A$5001,"&lt;="&amp;$D$7),"—"))</f>
        <v>0</v>
      </c>
      <c r="J129" s="32">
        <f>IF(J$100="","",IF(Config!$AE$43&lt;&gt;"Não",SUMIFS(BD!$AD$3:$AD$5001,BD!$B$3:$B$5001,J$100,BD!$A$3:$A$5001,"&gt;="&amp;$C$7,BD!$A$3:$A$5001,"&lt;="&amp;$D$7),"—"))</f>
        <v>0</v>
      </c>
      <c r="K129" s="32">
        <f>IF(K$100="","",IF(Config!$AE$44&lt;&gt;"Não",SUMIFS(BD!$AD$3:$AD$5001,BD!$B$3:$B$5001,K$100,BD!$A$3:$A$5001,"&gt;="&amp;$C$7,BD!$A$3:$A$5001,"&lt;="&amp;$D$7),"—"))</f>
        <v>0</v>
      </c>
      <c r="L129" s="32" t="str">
        <f>IF(L$100="","",IF(Config!$AE$45&lt;&gt;"Não",SUMIFS(BD!$AD$3:$AD$5001,BD!$B$3:$B$5001,L$100,BD!$A$3:$A$5001,"&gt;="&amp;$C$7,BD!$A$3:$A$5001,"&lt;="&amp;$D$7),"—"))</f>
        <v/>
      </c>
      <c r="M129" s="32" t="str">
        <f>IF(M$100="","",IF(Config!$AE$46&lt;&gt;"Não",SUMIFS(BD!$AD$3:$AD$5001,BD!$B$3:$B$5001,M$100,BD!$A$3:$A$5001,"&gt;="&amp;$C$7,BD!$A$3:$A$5001,"&lt;="&amp;$D$7),"—"))</f>
        <v/>
      </c>
      <c r="N129" s="32" t="str">
        <f>IF(N$100="","",IF(Config!$AE$47&lt;&gt;"Não",SUMIFS(BD!$AD$3:$AD$5001,BD!$B$3:$B$5001,N$100,BD!$A$3:$A$5001,"&gt;="&amp;$C$7,BD!$A$3:$A$5001,"&lt;="&amp;$D$7),"—"))</f>
        <v/>
      </c>
      <c r="O129" s="32" t="str">
        <f>IF(O$100="","",IF(Config!$AE$48&lt;&gt;"Não",SUMIFS(BD!$AD$3:$AD$5001,BD!$B$3:$B$5001,O$100,BD!$A$3:$A$5001,"&gt;="&amp;$C$7,BD!$A$3:$A$5001,"&lt;="&amp;$D$7),"—"))</f>
        <v/>
      </c>
      <c r="P129" s="32" t="str">
        <f>IF(P$100="","",IF(Config!$AE$49&lt;&gt;"Não",SUMIFS(BD!$AD$3:$AD$5001,BD!$B$3:$B$5001,P$100,BD!$A$3:$A$5001,"&gt;="&amp;$C$7,BD!$A$3:$A$5001,"&lt;="&amp;$D$7),"—"))</f>
        <v/>
      </c>
      <c r="Q129" s="32" t="str">
        <f>IF(Q$100="","",IF(Config!$AE$50&lt;&gt;"Não",SUMIFS(BD!$AD$3:$AD$5001,BD!$B$3:$B$5001,Q$100,BD!$A$3:$A$5001,"&gt;="&amp;$C$7,BD!$A$3:$A$5001,"&lt;="&amp;$D$7),"—"))</f>
        <v/>
      </c>
      <c r="R129" s="32" t="str">
        <f>IF(R$100="","",IF(Config!$AE$51&lt;&gt;"Não",SUMIFS(BD!$AD$3:$AD$5001,BD!$B$3:$B$5001,R$100,BD!$A$3:$A$5001,"&gt;="&amp;$C$7,BD!$A$3:$A$5001,"&lt;="&amp;$D$7),"—"))</f>
        <v/>
      </c>
      <c r="S129" s="32" t="str">
        <f>IF(S$100="","",IF(Config!$AE$52&lt;&gt;"Não",SUMIFS(BD!$AD$3:$AD$5001,BD!$B$3:$B$5001,S$100,BD!$A$3:$A$5001,"&gt;="&amp;$C$7,BD!$A$3:$A$5001,"&lt;="&amp;$D$7),"—"))</f>
        <v/>
      </c>
      <c r="T129" s="32" t="str">
        <f>IF(T$100="","",IF(Config!$AE$53&lt;&gt;"Não",SUMIFS(BD!$AD$3:$AD$5001,BD!$B$3:$B$5001,T$100,BD!$A$3:$A$5001,"&gt;="&amp;$C$7,BD!$A$3:$A$5001,"&lt;="&amp;$D$7),"—"))</f>
        <v/>
      </c>
      <c r="U129" s="32" t="str">
        <f>IF(U$100="","",IF(Config!$AE$54&lt;&gt;"Não",SUMIFS(BD!$AD$3:$AD$5001,BD!$B$3:$B$5001,U$100,BD!$A$3:$A$5001,"&gt;="&amp;$C$7,BD!$A$3:$A$5001,"&lt;="&amp;$D$7),"—"))</f>
        <v/>
      </c>
      <c r="V129" s="62">
        <f>SUM(B129:U129)</f>
        <v>0</v>
      </c>
    </row>
    <row r="130">
      <c r="A130" s="29" t="inlineStr">
        <is>
          <t xml:space="preserve">GENTE · Acidentes CAF</t>
        </is>
      </c>
      <c r="B130" s="32">
        <f>IF(B$100="","",IF(Config!$AF$35&lt;&gt;"Não",SUMIFS(BD!$AE$3:$AE$5001,BD!$B$3:$B$5001,B$100,BD!$A$3:$A$5001,"&gt;="&amp;$C$7,BD!$A$3:$A$5001,"&lt;="&amp;$D$7),"—"))</f>
        <v>0</v>
      </c>
      <c r="C130" s="32">
        <f>IF(C$100="","",IF(Config!$AF$36&lt;&gt;"Não",SUMIFS(BD!$AE$3:$AE$5001,BD!$B$3:$B$5001,C$100,BD!$A$3:$A$5001,"&gt;="&amp;$C$7,BD!$A$3:$A$5001,"&lt;="&amp;$D$7),"—"))</f>
        <v>0</v>
      </c>
      <c r="D130" s="32">
        <f>IF(D$100="","",IF(Config!$AF$37&lt;&gt;"Não",SUMIFS(BD!$AE$3:$AE$5001,BD!$B$3:$B$5001,D$100,BD!$A$3:$A$5001,"&gt;="&amp;$C$7,BD!$A$3:$A$5001,"&lt;="&amp;$D$7),"—"))</f>
        <v>0</v>
      </c>
      <c r="E130" s="32">
        <f>IF(E$100="","",IF(Config!$AF$38&lt;&gt;"Não",SUMIFS(BD!$AE$3:$AE$5001,BD!$B$3:$B$5001,E$100,BD!$A$3:$A$5001,"&gt;="&amp;$C$7,BD!$A$3:$A$5001,"&lt;="&amp;$D$7),"—"))</f>
        <v>0</v>
      </c>
      <c r="F130" s="32">
        <f>IF(F$100="","",IF(Config!$AF$39&lt;&gt;"Não",SUMIFS(BD!$AE$3:$AE$5001,BD!$B$3:$B$5001,F$100,BD!$A$3:$A$5001,"&gt;="&amp;$C$7,BD!$A$3:$A$5001,"&lt;="&amp;$D$7),"—"))</f>
        <v>0</v>
      </c>
      <c r="G130" s="32">
        <f>IF(G$100="","",IF(Config!$AF$40&lt;&gt;"Não",SUMIFS(BD!$AE$3:$AE$5001,BD!$B$3:$B$5001,G$100,BD!$A$3:$A$5001,"&gt;="&amp;$C$7,BD!$A$3:$A$5001,"&lt;="&amp;$D$7),"—"))</f>
        <v>0</v>
      </c>
      <c r="H130" s="32">
        <f>IF(H$100="","",IF(Config!$AF$41&lt;&gt;"Não",SUMIFS(BD!$AE$3:$AE$5001,BD!$B$3:$B$5001,H$100,BD!$A$3:$A$5001,"&gt;="&amp;$C$7,BD!$A$3:$A$5001,"&lt;="&amp;$D$7),"—"))</f>
        <v>0</v>
      </c>
      <c r="I130" s="32">
        <f>IF(I$100="","",IF(Config!$AF$42&lt;&gt;"Não",SUMIFS(BD!$AE$3:$AE$5001,BD!$B$3:$B$5001,I$100,BD!$A$3:$A$5001,"&gt;="&amp;$C$7,BD!$A$3:$A$5001,"&lt;="&amp;$D$7),"—"))</f>
        <v>0</v>
      </c>
      <c r="J130" s="32">
        <f>IF(J$100="","",IF(Config!$AF$43&lt;&gt;"Não",SUMIFS(BD!$AE$3:$AE$5001,BD!$B$3:$B$5001,J$100,BD!$A$3:$A$5001,"&gt;="&amp;$C$7,BD!$A$3:$A$5001,"&lt;="&amp;$D$7),"—"))</f>
        <v>0</v>
      </c>
      <c r="K130" s="32">
        <f>IF(K$100="","",IF(Config!$AF$44&lt;&gt;"Não",SUMIFS(BD!$AE$3:$AE$5001,BD!$B$3:$B$5001,K$100,BD!$A$3:$A$5001,"&gt;="&amp;$C$7,BD!$A$3:$A$5001,"&lt;="&amp;$D$7),"—"))</f>
        <v>0</v>
      </c>
      <c r="L130" s="32" t="str">
        <f>IF(L$100="","",IF(Config!$AF$45&lt;&gt;"Não",SUMIFS(BD!$AE$3:$AE$5001,BD!$B$3:$B$5001,L$100,BD!$A$3:$A$5001,"&gt;="&amp;$C$7,BD!$A$3:$A$5001,"&lt;="&amp;$D$7),"—"))</f>
        <v/>
      </c>
      <c r="M130" s="32" t="str">
        <f>IF(M$100="","",IF(Config!$AF$46&lt;&gt;"Não",SUMIFS(BD!$AE$3:$AE$5001,BD!$B$3:$B$5001,M$100,BD!$A$3:$A$5001,"&gt;="&amp;$C$7,BD!$A$3:$A$5001,"&lt;="&amp;$D$7),"—"))</f>
        <v/>
      </c>
      <c r="N130" s="32" t="str">
        <f>IF(N$100="","",IF(Config!$AF$47&lt;&gt;"Não",SUMIFS(BD!$AE$3:$AE$5001,BD!$B$3:$B$5001,N$100,BD!$A$3:$A$5001,"&gt;="&amp;$C$7,BD!$A$3:$A$5001,"&lt;="&amp;$D$7),"—"))</f>
        <v/>
      </c>
      <c r="O130" s="32" t="str">
        <f>IF(O$100="","",IF(Config!$AF$48&lt;&gt;"Não",SUMIFS(BD!$AE$3:$AE$5001,BD!$B$3:$B$5001,O$100,BD!$A$3:$A$5001,"&gt;="&amp;$C$7,BD!$A$3:$A$5001,"&lt;="&amp;$D$7),"—"))</f>
        <v/>
      </c>
      <c r="P130" s="32" t="str">
        <f>IF(P$100="","",IF(Config!$AF$49&lt;&gt;"Não",SUMIFS(BD!$AE$3:$AE$5001,BD!$B$3:$B$5001,P$100,BD!$A$3:$A$5001,"&gt;="&amp;$C$7,BD!$A$3:$A$5001,"&lt;="&amp;$D$7),"—"))</f>
        <v/>
      </c>
      <c r="Q130" s="32" t="str">
        <f>IF(Q$100="","",IF(Config!$AF$50&lt;&gt;"Não",SUMIFS(BD!$AE$3:$AE$5001,BD!$B$3:$B$5001,Q$100,BD!$A$3:$A$5001,"&gt;="&amp;$C$7,BD!$A$3:$A$5001,"&lt;="&amp;$D$7),"—"))</f>
        <v/>
      </c>
      <c r="R130" s="32" t="str">
        <f>IF(R$100="","",IF(Config!$AF$51&lt;&gt;"Não",SUMIFS(BD!$AE$3:$AE$5001,BD!$B$3:$B$5001,R$100,BD!$A$3:$A$5001,"&gt;="&amp;$C$7,BD!$A$3:$A$5001,"&lt;="&amp;$D$7),"—"))</f>
        <v/>
      </c>
      <c r="S130" s="32" t="str">
        <f>IF(S$100="","",IF(Config!$AF$52&lt;&gt;"Não",SUMIFS(BD!$AE$3:$AE$5001,BD!$B$3:$B$5001,S$100,BD!$A$3:$A$5001,"&gt;="&amp;$C$7,BD!$A$3:$A$5001,"&lt;="&amp;$D$7),"—"))</f>
        <v/>
      </c>
      <c r="T130" s="32" t="str">
        <f>IF(T$100="","",IF(Config!$AF$53&lt;&gt;"Não",SUMIFS(BD!$AE$3:$AE$5001,BD!$B$3:$B$5001,T$100,BD!$A$3:$A$5001,"&gt;="&amp;$C$7,BD!$A$3:$A$5001,"&lt;="&amp;$D$7),"—"))</f>
        <v/>
      </c>
      <c r="U130" s="32" t="str">
        <f>IF(U$100="","",IF(Config!$AF$54&lt;&gt;"Não",SUMIFS(BD!$AE$3:$AE$5001,BD!$B$3:$B$5001,U$100,BD!$A$3:$A$5001,"&gt;="&amp;$C$7,BD!$A$3:$A$5001,"&lt;="&amp;$D$7),"—"))</f>
        <v/>
      </c>
      <c r="V130" s="62">
        <f>SUM(B130:U130)</f>
        <v>0</v>
      </c>
    </row>
    <row r="131">
      <c r="A131" s="29" t="inlineStr">
        <is>
          <t xml:space="preserve">GENTE · Acidentes SAF</t>
        </is>
      </c>
      <c r="B131" s="32">
        <f>IF(B$100="","",IF(Config!$AG$35&lt;&gt;"Não",SUMIFS(BD!$AF$3:$AF$5001,BD!$B$3:$B$5001,B$100,BD!$A$3:$A$5001,"&gt;="&amp;$C$7,BD!$A$3:$A$5001,"&lt;="&amp;$D$7),"—"))</f>
        <v>0</v>
      </c>
      <c r="C131" s="32">
        <f>IF(C$100="","",IF(Config!$AG$36&lt;&gt;"Não",SUMIFS(BD!$AF$3:$AF$5001,BD!$B$3:$B$5001,C$100,BD!$A$3:$A$5001,"&gt;="&amp;$C$7,BD!$A$3:$A$5001,"&lt;="&amp;$D$7),"—"))</f>
        <v>0</v>
      </c>
      <c r="D131" s="32">
        <f>IF(D$100="","",IF(Config!$AG$37&lt;&gt;"Não",SUMIFS(BD!$AF$3:$AF$5001,BD!$B$3:$B$5001,D$100,BD!$A$3:$A$5001,"&gt;="&amp;$C$7,BD!$A$3:$A$5001,"&lt;="&amp;$D$7),"—"))</f>
        <v>0</v>
      </c>
      <c r="E131" s="32">
        <f>IF(E$100="","",IF(Config!$AG$38&lt;&gt;"Não",SUMIFS(BD!$AF$3:$AF$5001,BD!$B$3:$B$5001,E$100,BD!$A$3:$A$5001,"&gt;="&amp;$C$7,BD!$A$3:$A$5001,"&lt;="&amp;$D$7),"—"))</f>
        <v>0</v>
      </c>
      <c r="F131" s="32">
        <f>IF(F$100="","",IF(Config!$AG$39&lt;&gt;"Não",SUMIFS(BD!$AF$3:$AF$5001,BD!$B$3:$B$5001,F$100,BD!$A$3:$A$5001,"&gt;="&amp;$C$7,BD!$A$3:$A$5001,"&lt;="&amp;$D$7),"—"))</f>
        <v>0</v>
      </c>
      <c r="G131" s="32">
        <f>IF(G$100="","",IF(Config!$AG$40&lt;&gt;"Não",SUMIFS(BD!$AF$3:$AF$5001,BD!$B$3:$B$5001,G$100,BD!$A$3:$A$5001,"&gt;="&amp;$C$7,BD!$A$3:$A$5001,"&lt;="&amp;$D$7),"—"))</f>
        <v>0</v>
      </c>
      <c r="H131" s="32">
        <f>IF(H$100="","",IF(Config!$AG$41&lt;&gt;"Não",SUMIFS(BD!$AF$3:$AF$5001,BD!$B$3:$B$5001,H$100,BD!$A$3:$A$5001,"&gt;="&amp;$C$7,BD!$A$3:$A$5001,"&lt;="&amp;$D$7),"—"))</f>
        <v>0</v>
      </c>
      <c r="I131" s="32">
        <f>IF(I$100="","",IF(Config!$AG$42&lt;&gt;"Não",SUMIFS(BD!$AF$3:$AF$5001,BD!$B$3:$B$5001,I$100,BD!$A$3:$A$5001,"&gt;="&amp;$C$7,BD!$A$3:$A$5001,"&lt;="&amp;$D$7),"—"))</f>
        <v>0</v>
      </c>
      <c r="J131" s="32">
        <f>IF(J$100="","",IF(Config!$AG$43&lt;&gt;"Não",SUMIFS(BD!$AF$3:$AF$5001,BD!$B$3:$B$5001,J$100,BD!$A$3:$A$5001,"&gt;="&amp;$C$7,BD!$A$3:$A$5001,"&lt;="&amp;$D$7),"—"))</f>
        <v>0</v>
      </c>
      <c r="K131" s="32">
        <f>IF(K$100="","",IF(Config!$AG$44&lt;&gt;"Não",SUMIFS(BD!$AF$3:$AF$5001,BD!$B$3:$B$5001,K$100,BD!$A$3:$A$5001,"&gt;="&amp;$C$7,BD!$A$3:$A$5001,"&lt;="&amp;$D$7),"—"))</f>
        <v>0</v>
      </c>
      <c r="L131" s="32" t="str">
        <f>IF(L$100="","",IF(Config!$AG$45&lt;&gt;"Não",SUMIFS(BD!$AF$3:$AF$5001,BD!$B$3:$B$5001,L$100,BD!$A$3:$A$5001,"&gt;="&amp;$C$7,BD!$A$3:$A$5001,"&lt;="&amp;$D$7),"—"))</f>
        <v/>
      </c>
      <c r="M131" s="32" t="str">
        <f>IF(M$100="","",IF(Config!$AG$46&lt;&gt;"Não",SUMIFS(BD!$AF$3:$AF$5001,BD!$B$3:$B$5001,M$100,BD!$A$3:$A$5001,"&gt;="&amp;$C$7,BD!$A$3:$A$5001,"&lt;="&amp;$D$7),"—"))</f>
        <v/>
      </c>
      <c r="N131" s="32" t="str">
        <f>IF(N$100="","",IF(Config!$AG$47&lt;&gt;"Não",SUMIFS(BD!$AF$3:$AF$5001,BD!$B$3:$B$5001,N$100,BD!$A$3:$A$5001,"&gt;="&amp;$C$7,BD!$A$3:$A$5001,"&lt;="&amp;$D$7),"—"))</f>
        <v/>
      </c>
      <c r="O131" s="32" t="str">
        <f>IF(O$100="","",IF(Config!$AG$48&lt;&gt;"Não",SUMIFS(BD!$AF$3:$AF$5001,BD!$B$3:$B$5001,O$100,BD!$A$3:$A$5001,"&gt;="&amp;$C$7,BD!$A$3:$A$5001,"&lt;="&amp;$D$7),"—"))</f>
        <v/>
      </c>
      <c r="P131" s="32" t="str">
        <f>IF(P$100="","",IF(Config!$AG$49&lt;&gt;"Não",SUMIFS(BD!$AF$3:$AF$5001,BD!$B$3:$B$5001,P$100,BD!$A$3:$A$5001,"&gt;="&amp;$C$7,BD!$A$3:$A$5001,"&lt;="&amp;$D$7),"—"))</f>
        <v/>
      </c>
      <c r="Q131" s="32" t="str">
        <f>IF(Q$100="","",IF(Config!$AG$50&lt;&gt;"Não",SUMIFS(BD!$AF$3:$AF$5001,BD!$B$3:$B$5001,Q$100,BD!$A$3:$A$5001,"&gt;="&amp;$C$7,BD!$A$3:$A$5001,"&lt;="&amp;$D$7),"—"))</f>
        <v/>
      </c>
      <c r="R131" s="32" t="str">
        <f>IF(R$100="","",IF(Config!$AG$51&lt;&gt;"Não",SUMIFS(BD!$AF$3:$AF$5001,BD!$B$3:$B$5001,R$100,BD!$A$3:$A$5001,"&gt;="&amp;$C$7,BD!$A$3:$A$5001,"&lt;="&amp;$D$7),"—"))</f>
        <v/>
      </c>
      <c r="S131" s="32" t="str">
        <f>IF(S$100="","",IF(Config!$AG$52&lt;&gt;"Não",SUMIFS(BD!$AF$3:$AF$5001,BD!$B$3:$B$5001,S$100,BD!$A$3:$A$5001,"&gt;="&amp;$C$7,BD!$A$3:$A$5001,"&lt;="&amp;$D$7),"—"))</f>
        <v/>
      </c>
      <c r="T131" s="32" t="str">
        <f>IF(T$100="","",IF(Config!$AG$53&lt;&gt;"Não",SUMIFS(BD!$AF$3:$AF$5001,BD!$B$3:$B$5001,T$100,BD!$A$3:$A$5001,"&gt;="&amp;$C$7,BD!$A$3:$A$5001,"&lt;="&amp;$D$7),"—"))</f>
        <v/>
      </c>
      <c r="U131" s="32" t="str">
        <f>IF(U$100="","",IF(Config!$AG$54&lt;&gt;"Não",SUMIFS(BD!$AF$3:$AF$5001,BD!$B$3:$B$5001,U$100,BD!$A$3:$A$5001,"&gt;="&amp;$C$7,BD!$A$3:$A$5001,"&lt;="&amp;$D$7),"—"))</f>
        <v/>
      </c>
      <c r="V131" s="62">
        <f>SUM(B131:U131)</f>
        <v>0</v>
      </c>
    </row>
    <row r="135">
      <c r="A135" s="19" t="inlineStr">
        <is>
          <t xml:space="preserve">ESTOQUES POR CLIENTE — último valor informado até cada dia (Backlog, Posições e Efetivo)</t>
        </is>
      </c>
    </row>
    <row r="136">
      <c r="A136" s="37" t="inlineStr">
        <is>
          <t xml:space="preserve">Backlog</t>
        </is>
      </c>
      <c r="B136" s="37" t="inlineStr">
        <is>
          <t xml:space="preserve">Data</t>
        </is>
      </c>
      <c r="C136" s="37" t="str">
        <f>Config!$B$10&amp;""</f>
        <v>Alpargatas</v>
      </c>
      <c r="D136" s="37" t="str">
        <f>Config!$B$11&amp;""</f>
        <v>Basf</v>
      </c>
      <c r="E136" s="37" t="str">
        <f>Config!$B$12&amp;""</f>
        <v>Beautybiz</v>
      </c>
      <c r="F136" s="37" t="str">
        <f>Config!$B$13&amp;""</f>
        <v>Boticário</v>
      </c>
      <c r="G136" s="37" t="str">
        <f>Config!$B$14&amp;""</f>
        <v>Confiance</v>
      </c>
      <c r="H136" s="37" t="str">
        <f>Config!$B$15&amp;""</f>
        <v>GE Vernova</v>
      </c>
      <c r="I136" s="37" t="str">
        <f>Config!$B$16&amp;""</f>
        <v>Omnilife</v>
      </c>
      <c r="J136" s="37" t="str">
        <f>Config!$B$17&amp;""</f>
        <v>Supply</v>
      </c>
      <c r="K136" s="37" t="str">
        <f>Config!$B$18&amp;""</f>
        <v>Vedacit</v>
      </c>
      <c r="L136" s="37" t="str">
        <f>Config!$B$19&amp;""</f>
        <v>Vestas</v>
      </c>
      <c r="M136" s="37" t="str">
        <f>Config!$B$20&amp;""</f>
        <v/>
      </c>
      <c r="N136" s="37" t="str">
        <f>Config!$B$21&amp;""</f>
        <v/>
      </c>
      <c r="O136" s="37" t="str">
        <f>Config!$B$22&amp;""</f>
        <v/>
      </c>
      <c r="P136" s="37" t="str">
        <f>Config!$B$23&amp;""</f>
        <v/>
      </c>
      <c r="Q136" s="37" t="str">
        <f>Config!$B$24&amp;""</f>
        <v/>
      </c>
      <c r="R136" s="37" t="str">
        <f>Config!$B$25&amp;""</f>
        <v/>
      </c>
      <c r="S136" s="37" t="str">
        <f>Config!$B$26&amp;""</f>
        <v/>
      </c>
      <c r="T136" s="37" t="str">
        <f>Config!$B$27&amp;""</f>
        <v/>
      </c>
      <c r="U136" s="37" t="str">
        <f>Config!$B$28&amp;""</f>
        <v/>
      </c>
      <c r="V136" s="37" t="str">
        <f>Config!$B$29&amp;""</f>
        <v/>
      </c>
    </row>
    <row r="137">
      <c r="A137" s="38">
        <v>1</v>
      </c>
      <c r="B137" s="42">
        <f>$B$12</f>
        <v>46296</v>
      </c>
      <c r="C137" s="43" t="str">
        <f>IF(OR($B137="",$A137&gt;$B$9,C$136=""),"",IF(COUNTIFS(BD!$B$3:$B$5001,C$136,BD!$A$3:$A$5001,"&gt;="&amp;$C$7,BD!$A$3:$A$5001,"&lt;="&amp;$B137,BD!$V$3:$V$5001,"&lt;&gt;")=0,"",SUMIFS(BD!$V$3:$V$5001,BD!$B$3:$B$5001,C$136,BD!$A$3:$A$5001,_xlfn.MAXIFS(BD!$A$3:$A$5001,BD!$B$3:$B$5001,C$136,BD!$A$3:$A$5001,"&gt;="&amp;$C$7,BD!$A$3:$A$5001,"&lt;="&amp;$B137,BD!$V$3:$V$5001,"&lt;&gt;"))))</f>
        <v/>
      </c>
      <c r="D137" s="43" t="str">
        <f>IF(OR($B137="",$A137&gt;$B$9,D$136=""),"",IF(COUNTIFS(BD!$B$3:$B$5001,D$136,BD!$A$3:$A$5001,"&gt;="&amp;$C$7,BD!$A$3:$A$5001,"&lt;="&amp;$B137,BD!$V$3:$V$5001,"&lt;&gt;")=0,"",SUMIFS(BD!$V$3:$V$5001,BD!$B$3:$B$5001,D$136,BD!$A$3:$A$5001,_xlfn.MAXIFS(BD!$A$3:$A$5001,BD!$B$3:$B$5001,D$136,BD!$A$3:$A$5001,"&gt;="&amp;$C$7,BD!$A$3:$A$5001,"&lt;="&amp;$B137,BD!$V$3:$V$5001,"&lt;&gt;"))))</f>
        <v/>
      </c>
      <c r="E137" s="43" t="str">
        <f>IF(OR($B137="",$A137&gt;$B$9,E$136=""),"",IF(COUNTIFS(BD!$B$3:$B$5001,E$136,BD!$A$3:$A$5001,"&gt;="&amp;$C$7,BD!$A$3:$A$5001,"&lt;="&amp;$B137,BD!$V$3:$V$5001,"&lt;&gt;")=0,"",SUMIFS(BD!$V$3:$V$5001,BD!$B$3:$B$5001,E$136,BD!$A$3:$A$5001,_xlfn.MAXIFS(BD!$A$3:$A$5001,BD!$B$3:$B$5001,E$136,BD!$A$3:$A$5001,"&gt;="&amp;$C$7,BD!$A$3:$A$5001,"&lt;="&amp;$B137,BD!$V$3:$V$5001,"&lt;&gt;"))))</f>
        <v/>
      </c>
      <c r="F137" s="43" t="str">
        <f>IF(OR($B137="",$A137&gt;$B$9,F$136=""),"",IF(COUNTIFS(BD!$B$3:$B$5001,F$136,BD!$A$3:$A$5001,"&gt;="&amp;$C$7,BD!$A$3:$A$5001,"&lt;="&amp;$B137,BD!$V$3:$V$5001,"&lt;&gt;")=0,"",SUMIFS(BD!$V$3:$V$5001,BD!$B$3:$B$5001,F$136,BD!$A$3:$A$5001,_xlfn.MAXIFS(BD!$A$3:$A$5001,BD!$B$3:$B$5001,F$136,BD!$A$3:$A$5001,"&gt;="&amp;$C$7,BD!$A$3:$A$5001,"&lt;="&amp;$B137,BD!$V$3:$V$5001,"&lt;&gt;"))))</f>
        <v/>
      </c>
      <c r="G137" s="43" t="str">
        <f>IF(OR($B137="",$A137&gt;$B$9,G$136=""),"",IF(COUNTIFS(BD!$B$3:$B$5001,G$136,BD!$A$3:$A$5001,"&gt;="&amp;$C$7,BD!$A$3:$A$5001,"&lt;="&amp;$B137,BD!$V$3:$V$5001,"&lt;&gt;")=0,"",SUMIFS(BD!$V$3:$V$5001,BD!$B$3:$B$5001,G$136,BD!$A$3:$A$5001,_xlfn.MAXIFS(BD!$A$3:$A$5001,BD!$B$3:$B$5001,G$136,BD!$A$3:$A$5001,"&gt;="&amp;$C$7,BD!$A$3:$A$5001,"&lt;="&amp;$B137,BD!$V$3:$V$5001,"&lt;&gt;"))))</f>
        <v/>
      </c>
      <c r="H137" s="43" t="str">
        <f>IF(OR($B137="",$A137&gt;$B$9,H$136=""),"",IF(COUNTIFS(BD!$B$3:$B$5001,H$136,BD!$A$3:$A$5001,"&gt;="&amp;$C$7,BD!$A$3:$A$5001,"&lt;="&amp;$B137,BD!$V$3:$V$5001,"&lt;&gt;")=0,"",SUMIFS(BD!$V$3:$V$5001,BD!$B$3:$B$5001,H$136,BD!$A$3:$A$5001,_xlfn.MAXIFS(BD!$A$3:$A$5001,BD!$B$3:$B$5001,H$136,BD!$A$3:$A$5001,"&gt;="&amp;$C$7,BD!$A$3:$A$5001,"&lt;="&amp;$B137,BD!$V$3:$V$5001,"&lt;&gt;"))))</f>
        <v/>
      </c>
      <c r="I137" s="43" t="str">
        <f>IF(OR($B137="",$A137&gt;$B$9,I$136=""),"",IF(COUNTIFS(BD!$B$3:$B$5001,I$136,BD!$A$3:$A$5001,"&gt;="&amp;$C$7,BD!$A$3:$A$5001,"&lt;="&amp;$B137,BD!$V$3:$V$5001,"&lt;&gt;")=0,"",SUMIFS(BD!$V$3:$V$5001,BD!$B$3:$B$5001,I$136,BD!$A$3:$A$5001,_xlfn.MAXIFS(BD!$A$3:$A$5001,BD!$B$3:$B$5001,I$136,BD!$A$3:$A$5001,"&gt;="&amp;$C$7,BD!$A$3:$A$5001,"&lt;="&amp;$B137,BD!$V$3:$V$5001,"&lt;&gt;"))))</f>
        <v/>
      </c>
      <c r="J137" s="43" t="str">
        <f>IF(OR($B137="",$A137&gt;$B$9,J$136=""),"",IF(COUNTIFS(BD!$B$3:$B$5001,J$136,BD!$A$3:$A$5001,"&gt;="&amp;$C$7,BD!$A$3:$A$5001,"&lt;="&amp;$B137,BD!$V$3:$V$5001,"&lt;&gt;")=0,"",SUMIFS(BD!$V$3:$V$5001,BD!$B$3:$B$5001,J$136,BD!$A$3:$A$5001,_xlfn.MAXIFS(BD!$A$3:$A$5001,BD!$B$3:$B$5001,J$136,BD!$A$3:$A$5001,"&gt;="&amp;$C$7,BD!$A$3:$A$5001,"&lt;="&amp;$B137,BD!$V$3:$V$5001,"&lt;&gt;"))))</f>
        <v/>
      </c>
      <c r="K137" s="43" t="str">
        <f>IF(OR($B137="",$A137&gt;$B$9,K$136=""),"",IF(COUNTIFS(BD!$B$3:$B$5001,K$136,BD!$A$3:$A$5001,"&gt;="&amp;$C$7,BD!$A$3:$A$5001,"&lt;="&amp;$B137,BD!$V$3:$V$5001,"&lt;&gt;")=0,"",SUMIFS(BD!$V$3:$V$5001,BD!$B$3:$B$5001,K$136,BD!$A$3:$A$5001,_xlfn.MAXIFS(BD!$A$3:$A$5001,BD!$B$3:$B$5001,K$136,BD!$A$3:$A$5001,"&gt;="&amp;$C$7,BD!$A$3:$A$5001,"&lt;="&amp;$B137,BD!$V$3:$V$5001,"&lt;&gt;"))))</f>
        <v/>
      </c>
      <c r="L137" s="43" t="str">
        <f>IF(OR($B137="",$A137&gt;$B$9,L$136=""),"",IF(COUNTIFS(BD!$B$3:$B$5001,L$136,BD!$A$3:$A$5001,"&gt;="&amp;$C$7,BD!$A$3:$A$5001,"&lt;="&amp;$B137,BD!$V$3:$V$5001,"&lt;&gt;")=0,"",SUMIFS(BD!$V$3:$V$5001,BD!$B$3:$B$5001,L$136,BD!$A$3:$A$5001,_xlfn.MAXIFS(BD!$A$3:$A$5001,BD!$B$3:$B$5001,L$136,BD!$A$3:$A$5001,"&gt;="&amp;$C$7,BD!$A$3:$A$5001,"&lt;="&amp;$B137,BD!$V$3:$V$5001,"&lt;&gt;"))))</f>
        <v/>
      </c>
      <c r="M137" s="43" t="str">
        <f>IF(OR($B137="",$A137&gt;$B$9,M$136=""),"",IF(COUNTIFS(BD!$B$3:$B$5001,M$136,BD!$A$3:$A$5001,"&gt;="&amp;$C$7,BD!$A$3:$A$5001,"&lt;="&amp;$B137,BD!$V$3:$V$5001,"&lt;&gt;")=0,"",SUMIFS(BD!$V$3:$V$5001,BD!$B$3:$B$5001,M$136,BD!$A$3:$A$5001,_xlfn.MAXIFS(BD!$A$3:$A$5001,BD!$B$3:$B$5001,M$136,BD!$A$3:$A$5001,"&gt;="&amp;$C$7,BD!$A$3:$A$5001,"&lt;="&amp;$B137,BD!$V$3:$V$5001,"&lt;&gt;"))))</f>
        <v/>
      </c>
      <c r="N137" s="43" t="str">
        <f>IF(OR($B137="",$A137&gt;$B$9,N$136=""),"",IF(COUNTIFS(BD!$B$3:$B$5001,N$136,BD!$A$3:$A$5001,"&gt;="&amp;$C$7,BD!$A$3:$A$5001,"&lt;="&amp;$B137,BD!$V$3:$V$5001,"&lt;&gt;")=0,"",SUMIFS(BD!$V$3:$V$5001,BD!$B$3:$B$5001,N$136,BD!$A$3:$A$5001,_xlfn.MAXIFS(BD!$A$3:$A$5001,BD!$B$3:$B$5001,N$136,BD!$A$3:$A$5001,"&gt;="&amp;$C$7,BD!$A$3:$A$5001,"&lt;="&amp;$B137,BD!$V$3:$V$5001,"&lt;&gt;"))))</f>
        <v/>
      </c>
      <c r="O137" s="43" t="str">
        <f>IF(OR($B137="",$A137&gt;$B$9,O$136=""),"",IF(COUNTIFS(BD!$B$3:$B$5001,O$136,BD!$A$3:$A$5001,"&gt;="&amp;$C$7,BD!$A$3:$A$5001,"&lt;="&amp;$B137,BD!$V$3:$V$5001,"&lt;&gt;")=0,"",SUMIFS(BD!$V$3:$V$5001,BD!$B$3:$B$5001,O$136,BD!$A$3:$A$5001,_xlfn.MAXIFS(BD!$A$3:$A$5001,BD!$B$3:$B$5001,O$136,BD!$A$3:$A$5001,"&gt;="&amp;$C$7,BD!$A$3:$A$5001,"&lt;="&amp;$B137,BD!$V$3:$V$5001,"&lt;&gt;"))))</f>
        <v/>
      </c>
      <c r="P137" s="43" t="str">
        <f>IF(OR($B137="",$A137&gt;$B$9,P$136=""),"",IF(COUNTIFS(BD!$B$3:$B$5001,P$136,BD!$A$3:$A$5001,"&gt;="&amp;$C$7,BD!$A$3:$A$5001,"&lt;="&amp;$B137,BD!$V$3:$V$5001,"&lt;&gt;")=0,"",SUMIFS(BD!$V$3:$V$5001,BD!$B$3:$B$5001,P$136,BD!$A$3:$A$5001,_xlfn.MAXIFS(BD!$A$3:$A$5001,BD!$B$3:$B$5001,P$136,BD!$A$3:$A$5001,"&gt;="&amp;$C$7,BD!$A$3:$A$5001,"&lt;="&amp;$B137,BD!$V$3:$V$5001,"&lt;&gt;"))))</f>
        <v/>
      </c>
      <c r="Q137" s="43" t="str">
        <f>IF(OR($B137="",$A137&gt;$B$9,Q$136=""),"",IF(COUNTIFS(BD!$B$3:$B$5001,Q$136,BD!$A$3:$A$5001,"&gt;="&amp;$C$7,BD!$A$3:$A$5001,"&lt;="&amp;$B137,BD!$V$3:$V$5001,"&lt;&gt;")=0,"",SUMIFS(BD!$V$3:$V$5001,BD!$B$3:$B$5001,Q$136,BD!$A$3:$A$5001,_xlfn.MAXIFS(BD!$A$3:$A$5001,BD!$B$3:$B$5001,Q$136,BD!$A$3:$A$5001,"&gt;="&amp;$C$7,BD!$A$3:$A$5001,"&lt;="&amp;$B137,BD!$V$3:$V$5001,"&lt;&gt;"))))</f>
        <v/>
      </c>
      <c r="R137" s="43" t="str">
        <f>IF(OR($B137="",$A137&gt;$B$9,R$136=""),"",IF(COUNTIFS(BD!$B$3:$B$5001,R$136,BD!$A$3:$A$5001,"&gt;="&amp;$C$7,BD!$A$3:$A$5001,"&lt;="&amp;$B137,BD!$V$3:$V$5001,"&lt;&gt;")=0,"",SUMIFS(BD!$V$3:$V$5001,BD!$B$3:$B$5001,R$136,BD!$A$3:$A$5001,_xlfn.MAXIFS(BD!$A$3:$A$5001,BD!$B$3:$B$5001,R$136,BD!$A$3:$A$5001,"&gt;="&amp;$C$7,BD!$A$3:$A$5001,"&lt;="&amp;$B137,BD!$V$3:$V$5001,"&lt;&gt;"))))</f>
        <v/>
      </c>
      <c r="S137" s="43" t="str">
        <f>IF(OR($B137="",$A137&gt;$B$9,S$136=""),"",IF(COUNTIFS(BD!$B$3:$B$5001,S$136,BD!$A$3:$A$5001,"&gt;="&amp;$C$7,BD!$A$3:$A$5001,"&lt;="&amp;$B137,BD!$V$3:$V$5001,"&lt;&gt;")=0,"",SUMIFS(BD!$V$3:$V$5001,BD!$B$3:$B$5001,S$136,BD!$A$3:$A$5001,_xlfn.MAXIFS(BD!$A$3:$A$5001,BD!$B$3:$B$5001,S$136,BD!$A$3:$A$5001,"&gt;="&amp;$C$7,BD!$A$3:$A$5001,"&lt;="&amp;$B137,BD!$V$3:$V$5001,"&lt;&gt;"))))</f>
        <v/>
      </c>
      <c r="T137" s="43" t="str">
        <f>IF(OR($B137="",$A137&gt;$B$9,T$136=""),"",IF(COUNTIFS(BD!$B$3:$B$5001,T$136,BD!$A$3:$A$5001,"&gt;="&amp;$C$7,BD!$A$3:$A$5001,"&lt;="&amp;$B137,BD!$V$3:$V$5001,"&lt;&gt;")=0,"",SUMIFS(BD!$V$3:$V$5001,BD!$B$3:$B$5001,T$136,BD!$A$3:$A$5001,_xlfn.MAXIFS(BD!$A$3:$A$5001,BD!$B$3:$B$5001,T$136,BD!$A$3:$A$5001,"&gt;="&amp;$C$7,BD!$A$3:$A$5001,"&lt;="&amp;$B137,BD!$V$3:$V$5001,"&lt;&gt;"))))</f>
        <v/>
      </c>
      <c r="U137" s="43" t="str">
        <f>IF(OR($B137="",$A137&gt;$B$9,U$136=""),"",IF(COUNTIFS(BD!$B$3:$B$5001,U$136,BD!$A$3:$A$5001,"&gt;="&amp;$C$7,BD!$A$3:$A$5001,"&lt;="&amp;$B137,BD!$V$3:$V$5001,"&lt;&gt;")=0,"",SUMIFS(BD!$V$3:$V$5001,BD!$B$3:$B$5001,U$136,BD!$A$3:$A$5001,_xlfn.MAXIFS(BD!$A$3:$A$5001,BD!$B$3:$B$5001,U$136,BD!$A$3:$A$5001,"&gt;="&amp;$C$7,BD!$A$3:$A$5001,"&lt;="&amp;$B137,BD!$V$3:$V$5001,"&lt;&gt;"))))</f>
        <v/>
      </c>
      <c r="V137" s="43" t="str">
        <f>IF(OR($B137="",$A137&gt;$B$9,V$136=""),"",IF(COUNTIFS(BD!$B$3:$B$5001,V$136,BD!$A$3:$A$5001,"&gt;="&amp;$C$7,BD!$A$3:$A$5001,"&lt;="&amp;$B137,BD!$V$3:$V$5001,"&lt;&gt;")=0,"",SUMIFS(BD!$V$3:$V$5001,BD!$B$3:$B$5001,V$136,BD!$A$3:$A$5001,_xlfn.MAXIFS(BD!$A$3:$A$5001,BD!$B$3:$B$5001,V$136,BD!$A$3:$A$5001,"&gt;="&amp;$C$7,BD!$A$3:$A$5001,"&lt;="&amp;$B137,BD!$V$3:$V$5001,"&lt;&gt;"))))</f>
        <v/>
      </c>
    </row>
    <row r="138">
      <c r="A138" s="38">
        <v>2</v>
      </c>
      <c r="B138" s="42">
        <f>$B$13</f>
        <v>46297</v>
      </c>
      <c r="C138" s="43" t="str">
        <f>IF(OR($B138="",$A138&gt;$B$9,C$136=""),"",IF(COUNTIFS(BD!$B$3:$B$5001,C$136,BD!$A$3:$A$5001,"&gt;="&amp;$C$7,BD!$A$3:$A$5001,"&lt;="&amp;$B138,BD!$V$3:$V$5001,"&lt;&gt;")=0,"",SUMIFS(BD!$V$3:$V$5001,BD!$B$3:$B$5001,C$136,BD!$A$3:$A$5001,_xlfn.MAXIFS(BD!$A$3:$A$5001,BD!$B$3:$B$5001,C$136,BD!$A$3:$A$5001,"&gt;="&amp;$C$7,BD!$A$3:$A$5001,"&lt;="&amp;$B138,BD!$V$3:$V$5001,"&lt;&gt;"))))</f>
        <v/>
      </c>
      <c r="D138" s="43" t="str">
        <f>IF(OR($B138="",$A138&gt;$B$9,D$136=""),"",IF(COUNTIFS(BD!$B$3:$B$5001,D$136,BD!$A$3:$A$5001,"&gt;="&amp;$C$7,BD!$A$3:$A$5001,"&lt;="&amp;$B138,BD!$V$3:$V$5001,"&lt;&gt;")=0,"",SUMIFS(BD!$V$3:$V$5001,BD!$B$3:$B$5001,D$136,BD!$A$3:$A$5001,_xlfn.MAXIFS(BD!$A$3:$A$5001,BD!$B$3:$B$5001,D$136,BD!$A$3:$A$5001,"&gt;="&amp;$C$7,BD!$A$3:$A$5001,"&lt;="&amp;$B138,BD!$V$3:$V$5001,"&lt;&gt;"))))</f>
        <v/>
      </c>
      <c r="E138" s="43" t="str">
        <f>IF(OR($B138="",$A138&gt;$B$9,E$136=""),"",IF(COUNTIFS(BD!$B$3:$B$5001,E$136,BD!$A$3:$A$5001,"&gt;="&amp;$C$7,BD!$A$3:$A$5001,"&lt;="&amp;$B138,BD!$V$3:$V$5001,"&lt;&gt;")=0,"",SUMIFS(BD!$V$3:$V$5001,BD!$B$3:$B$5001,E$136,BD!$A$3:$A$5001,_xlfn.MAXIFS(BD!$A$3:$A$5001,BD!$B$3:$B$5001,E$136,BD!$A$3:$A$5001,"&gt;="&amp;$C$7,BD!$A$3:$A$5001,"&lt;="&amp;$B138,BD!$V$3:$V$5001,"&lt;&gt;"))))</f>
        <v/>
      </c>
      <c r="F138" s="43" t="str">
        <f>IF(OR($B138="",$A138&gt;$B$9,F$136=""),"",IF(COUNTIFS(BD!$B$3:$B$5001,F$136,BD!$A$3:$A$5001,"&gt;="&amp;$C$7,BD!$A$3:$A$5001,"&lt;="&amp;$B138,BD!$V$3:$V$5001,"&lt;&gt;")=0,"",SUMIFS(BD!$V$3:$V$5001,BD!$B$3:$B$5001,F$136,BD!$A$3:$A$5001,_xlfn.MAXIFS(BD!$A$3:$A$5001,BD!$B$3:$B$5001,F$136,BD!$A$3:$A$5001,"&gt;="&amp;$C$7,BD!$A$3:$A$5001,"&lt;="&amp;$B138,BD!$V$3:$V$5001,"&lt;&gt;"))))</f>
        <v/>
      </c>
      <c r="G138" s="43" t="str">
        <f>IF(OR($B138="",$A138&gt;$B$9,G$136=""),"",IF(COUNTIFS(BD!$B$3:$B$5001,G$136,BD!$A$3:$A$5001,"&gt;="&amp;$C$7,BD!$A$3:$A$5001,"&lt;="&amp;$B138,BD!$V$3:$V$5001,"&lt;&gt;")=0,"",SUMIFS(BD!$V$3:$V$5001,BD!$B$3:$B$5001,G$136,BD!$A$3:$A$5001,_xlfn.MAXIFS(BD!$A$3:$A$5001,BD!$B$3:$B$5001,G$136,BD!$A$3:$A$5001,"&gt;="&amp;$C$7,BD!$A$3:$A$5001,"&lt;="&amp;$B138,BD!$V$3:$V$5001,"&lt;&gt;"))))</f>
        <v/>
      </c>
      <c r="H138" s="43" t="str">
        <f>IF(OR($B138="",$A138&gt;$B$9,H$136=""),"",IF(COUNTIFS(BD!$B$3:$B$5001,H$136,BD!$A$3:$A$5001,"&gt;="&amp;$C$7,BD!$A$3:$A$5001,"&lt;="&amp;$B138,BD!$V$3:$V$5001,"&lt;&gt;")=0,"",SUMIFS(BD!$V$3:$V$5001,BD!$B$3:$B$5001,H$136,BD!$A$3:$A$5001,_xlfn.MAXIFS(BD!$A$3:$A$5001,BD!$B$3:$B$5001,H$136,BD!$A$3:$A$5001,"&gt;="&amp;$C$7,BD!$A$3:$A$5001,"&lt;="&amp;$B138,BD!$V$3:$V$5001,"&lt;&gt;"))))</f>
        <v/>
      </c>
      <c r="I138" s="43" t="str">
        <f>IF(OR($B138="",$A138&gt;$B$9,I$136=""),"",IF(COUNTIFS(BD!$B$3:$B$5001,I$136,BD!$A$3:$A$5001,"&gt;="&amp;$C$7,BD!$A$3:$A$5001,"&lt;="&amp;$B138,BD!$V$3:$V$5001,"&lt;&gt;")=0,"",SUMIFS(BD!$V$3:$V$5001,BD!$B$3:$B$5001,I$136,BD!$A$3:$A$5001,_xlfn.MAXIFS(BD!$A$3:$A$5001,BD!$B$3:$B$5001,I$136,BD!$A$3:$A$5001,"&gt;="&amp;$C$7,BD!$A$3:$A$5001,"&lt;="&amp;$B138,BD!$V$3:$V$5001,"&lt;&gt;"))))</f>
        <v/>
      </c>
      <c r="J138" s="43" t="str">
        <f>IF(OR($B138="",$A138&gt;$B$9,J$136=""),"",IF(COUNTIFS(BD!$B$3:$B$5001,J$136,BD!$A$3:$A$5001,"&gt;="&amp;$C$7,BD!$A$3:$A$5001,"&lt;="&amp;$B138,BD!$V$3:$V$5001,"&lt;&gt;")=0,"",SUMIFS(BD!$V$3:$V$5001,BD!$B$3:$B$5001,J$136,BD!$A$3:$A$5001,_xlfn.MAXIFS(BD!$A$3:$A$5001,BD!$B$3:$B$5001,J$136,BD!$A$3:$A$5001,"&gt;="&amp;$C$7,BD!$A$3:$A$5001,"&lt;="&amp;$B138,BD!$V$3:$V$5001,"&lt;&gt;"))))</f>
        <v/>
      </c>
      <c r="K138" s="43" t="str">
        <f>IF(OR($B138="",$A138&gt;$B$9,K$136=""),"",IF(COUNTIFS(BD!$B$3:$B$5001,K$136,BD!$A$3:$A$5001,"&gt;="&amp;$C$7,BD!$A$3:$A$5001,"&lt;="&amp;$B138,BD!$V$3:$V$5001,"&lt;&gt;")=0,"",SUMIFS(BD!$V$3:$V$5001,BD!$B$3:$B$5001,K$136,BD!$A$3:$A$5001,_xlfn.MAXIFS(BD!$A$3:$A$5001,BD!$B$3:$B$5001,K$136,BD!$A$3:$A$5001,"&gt;="&amp;$C$7,BD!$A$3:$A$5001,"&lt;="&amp;$B138,BD!$V$3:$V$5001,"&lt;&gt;"))))</f>
        <v/>
      </c>
      <c r="L138" s="43" t="str">
        <f>IF(OR($B138="",$A138&gt;$B$9,L$136=""),"",IF(COUNTIFS(BD!$B$3:$B$5001,L$136,BD!$A$3:$A$5001,"&gt;="&amp;$C$7,BD!$A$3:$A$5001,"&lt;="&amp;$B138,BD!$V$3:$V$5001,"&lt;&gt;")=0,"",SUMIFS(BD!$V$3:$V$5001,BD!$B$3:$B$5001,L$136,BD!$A$3:$A$5001,_xlfn.MAXIFS(BD!$A$3:$A$5001,BD!$B$3:$B$5001,L$136,BD!$A$3:$A$5001,"&gt;="&amp;$C$7,BD!$A$3:$A$5001,"&lt;="&amp;$B138,BD!$V$3:$V$5001,"&lt;&gt;"))))</f>
        <v/>
      </c>
      <c r="M138" s="43" t="str">
        <f>IF(OR($B138="",$A138&gt;$B$9,M$136=""),"",IF(COUNTIFS(BD!$B$3:$B$5001,M$136,BD!$A$3:$A$5001,"&gt;="&amp;$C$7,BD!$A$3:$A$5001,"&lt;="&amp;$B138,BD!$V$3:$V$5001,"&lt;&gt;")=0,"",SUMIFS(BD!$V$3:$V$5001,BD!$B$3:$B$5001,M$136,BD!$A$3:$A$5001,_xlfn.MAXIFS(BD!$A$3:$A$5001,BD!$B$3:$B$5001,M$136,BD!$A$3:$A$5001,"&gt;="&amp;$C$7,BD!$A$3:$A$5001,"&lt;="&amp;$B138,BD!$V$3:$V$5001,"&lt;&gt;"))))</f>
        <v/>
      </c>
      <c r="N138" s="43" t="str">
        <f>IF(OR($B138="",$A138&gt;$B$9,N$136=""),"",IF(COUNTIFS(BD!$B$3:$B$5001,N$136,BD!$A$3:$A$5001,"&gt;="&amp;$C$7,BD!$A$3:$A$5001,"&lt;="&amp;$B138,BD!$V$3:$V$5001,"&lt;&gt;")=0,"",SUMIFS(BD!$V$3:$V$5001,BD!$B$3:$B$5001,N$136,BD!$A$3:$A$5001,_xlfn.MAXIFS(BD!$A$3:$A$5001,BD!$B$3:$B$5001,N$136,BD!$A$3:$A$5001,"&gt;="&amp;$C$7,BD!$A$3:$A$5001,"&lt;="&amp;$B138,BD!$V$3:$V$5001,"&lt;&gt;"))))</f>
        <v/>
      </c>
      <c r="O138" s="43" t="str">
        <f>IF(OR($B138="",$A138&gt;$B$9,O$136=""),"",IF(COUNTIFS(BD!$B$3:$B$5001,O$136,BD!$A$3:$A$5001,"&gt;="&amp;$C$7,BD!$A$3:$A$5001,"&lt;="&amp;$B138,BD!$V$3:$V$5001,"&lt;&gt;")=0,"",SUMIFS(BD!$V$3:$V$5001,BD!$B$3:$B$5001,O$136,BD!$A$3:$A$5001,_xlfn.MAXIFS(BD!$A$3:$A$5001,BD!$B$3:$B$5001,O$136,BD!$A$3:$A$5001,"&gt;="&amp;$C$7,BD!$A$3:$A$5001,"&lt;="&amp;$B138,BD!$V$3:$V$5001,"&lt;&gt;"))))</f>
        <v/>
      </c>
      <c r="P138" s="43" t="str">
        <f>IF(OR($B138="",$A138&gt;$B$9,P$136=""),"",IF(COUNTIFS(BD!$B$3:$B$5001,P$136,BD!$A$3:$A$5001,"&gt;="&amp;$C$7,BD!$A$3:$A$5001,"&lt;="&amp;$B138,BD!$V$3:$V$5001,"&lt;&gt;")=0,"",SUMIFS(BD!$V$3:$V$5001,BD!$B$3:$B$5001,P$136,BD!$A$3:$A$5001,_xlfn.MAXIFS(BD!$A$3:$A$5001,BD!$B$3:$B$5001,P$136,BD!$A$3:$A$5001,"&gt;="&amp;$C$7,BD!$A$3:$A$5001,"&lt;="&amp;$B138,BD!$V$3:$V$5001,"&lt;&gt;"))))</f>
        <v/>
      </c>
      <c r="Q138" s="43" t="str">
        <f>IF(OR($B138="",$A138&gt;$B$9,Q$136=""),"",IF(COUNTIFS(BD!$B$3:$B$5001,Q$136,BD!$A$3:$A$5001,"&gt;="&amp;$C$7,BD!$A$3:$A$5001,"&lt;="&amp;$B138,BD!$V$3:$V$5001,"&lt;&gt;")=0,"",SUMIFS(BD!$V$3:$V$5001,BD!$B$3:$B$5001,Q$136,BD!$A$3:$A$5001,_xlfn.MAXIFS(BD!$A$3:$A$5001,BD!$B$3:$B$5001,Q$136,BD!$A$3:$A$5001,"&gt;="&amp;$C$7,BD!$A$3:$A$5001,"&lt;="&amp;$B138,BD!$V$3:$V$5001,"&lt;&gt;"))))</f>
        <v/>
      </c>
      <c r="R138" s="43" t="str">
        <f>IF(OR($B138="",$A138&gt;$B$9,R$136=""),"",IF(COUNTIFS(BD!$B$3:$B$5001,R$136,BD!$A$3:$A$5001,"&gt;="&amp;$C$7,BD!$A$3:$A$5001,"&lt;="&amp;$B138,BD!$V$3:$V$5001,"&lt;&gt;")=0,"",SUMIFS(BD!$V$3:$V$5001,BD!$B$3:$B$5001,R$136,BD!$A$3:$A$5001,_xlfn.MAXIFS(BD!$A$3:$A$5001,BD!$B$3:$B$5001,R$136,BD!$A$3:$A$5001,"&gt;="&amp;$C$7,BD!$A$3:$A$5001,"&lt;="&amp;$B138,BD!$V$3:$V$5001,"&lt;&gt;"))))</f>
        <v/>
      </c>
      <c r="S138" s="43" t="str">
        <f>IF(OR($B138="",$A138&gt;$B$9,S$136=""),"",IF(COUNTIFS(BD!$B$3:$B$5001,S$136,BD!$A$3:$A$5001,"&gt;="&amp;$C$7,BD!$A$3:$A$5001,"&lt;="&amp;$B138,BD!$V$3:$V$5001,"&lt;&gt;")=0,"",SUMIFS(BD!$V$3:$V$5001,BD!$B$3:$B$5001,S$136,BD!$A$3:$A$5001,_xlfn.MAXIFS(BD!$A$3:$A$5001,BD!$B$3:$B$5001,S$136,BD!$A$3:$A$5001,"&gt;="&amp;$C$7,BD!$A$3:$A$5001,"&lt;="&amp;$B138,BD!$V$3:$V$5001,"&lt;&gt;"))))</f>
        <v/>
      </c>
      <c r="T138" s="43" t="str">
        <f>IF(OR($B138="",$A138&gt;$B$9,T$136=""),"",IF(COUNTIFS(BD!$B$3:$B$5001,T$136,BD!$A$3:$A$5001,"&gt;="&amp;$C$7,BD!$A$3:$A$5001,"&lt;="&amp;$B138,BD!$V$3:$V$5001,"&lt;&gt;")=0,"",SUMIFS(BD!$V$3:$V$5001,BD!$B$3:$B$5001,T$136,BD!$A$3:$A$5001,_xlfn.MAXIFS(BD!$A$3:$A$5001,BD!$B$3:$B$5001,T$136,BD!$A$3:$A$5001,"&gt;="&amp;$C$7,BD!$A$3:$A$5001,"&lt;="&amp;$B138,BD!$V$3:$V$5001,"&lt;&gt;"))))</f>
        <v/>
      </c>
      <c r="U138" s="43" t="str">
        <f>IF(OR($B138="",$A138&gt;$B$9,U$136=""),"",IF(COUNTIFS(BD!$B$3:$B$5001,U$136,BD!$A$3:$A$5001,"&gt;="&amp;$C$7,BD!$A$3:$A$5001,"&lt;="&amp;$B138,BD!$V$3:$V$5001,"&lt;&gt;")=0,"",SUMIFS(BD!$V$3:$V$5001,BD!$B$3:$B$5001,U$136,BD!$A$3:$A$5001,_xlfn.MAXIFS(BD!$A$3:$A$5001,BD!$B$3:$B$5001,U$136,BD!$A$3:$A$5001,"&gt;="&amp;$C$7,BD!$A$3:$A$5001,"&lt;="&amp;$B138,BD!$V$3:$V$5001,"&lt;&gt;"))))</f>
        <v/>
      </c>
      <c r="V138" s="43" t="str">
        <f>IF(OR($B138="",$A138&gt;$B$9,V$136=""),"",IF(COUNTIFS(BD!$B$3:$B$5001,V$136,BD!$A$3:$A$5001,"&gt;="&amp;$C$7,BD!$A$3:$A$5001,"&lt;="&amp;$B138,BD!$V$3:$V$5001,"&lt;&gt;")=0,"",SUMIFS(BD!$V$3:$V$5001,BD!$B$3:$B$5001,V$136,BD!$A$3:$A$5001,_xlfn.MAXIFS(BD!$A$3:$A$5001,BD!$B$3:$B$5001,V$136,BD!$A$3:$A$5001,"&gt;="&amp;$C$7,BD!$A$3:$A$5001,"&lt;="&amp;$B138,BD!$V$3:$V$5001,"&lt;&gt;"))))</f>
        <v/>
      </c>
    </row>
    <row r="139">
      <c r="A139" s="38">
        <v>3</v>
      </c>
      <c r="B139" s="42">
        <f>$B$14</f>
        <v>46298</v>
      </c>
      <c r="C139" s="43" t="str">
        <f>IF(OR($B139="",$A139&gt;$B$9,C$136=""),"",IF(COUNTIFS(BD!$B$3:$B$5001,C$136,BD!$A$3:$A$5001,"&gt;="&amp;$C$7,BD!$A$3:$A$5001,"&lt;="&amp;$B139,BD!$V$3:$V$5001,"&lt;&gt;")=0,"",SUMIFS(BD!$V$3:$V$5001,BD!$B$3:$B$5001,C$136,BD!$A$3:$A$5001,_xlfn.MAXIFS(BD!$A$3:$A$5001,BD!$B$3:$B$5001,C$136,BD!$A$3:$A$5001,"&gt;="&amp;$C$7,BD!$A$3:$A$5001,"&lt;="&amp;$B139,BD!$V$3:$V$5001,"&lt;&gt;"))))</f>
        <v/>
      </c>
      <c r="D139" s="43" t="str">
        <f>IF(OR($B139="",$A139&gt;$B$9,D$136=""),"",IF(COUNTIFS(BD!$B$3:$B$5001,D$136,BD!$A$3:$A$5001,"&gt;="&amp;$C$7,BD!$A$3:$A$5001,"&lt;="&amp;$B139,BD!$V$3:$V$5001,"&lt;&gt;")=0,"",SUMIFS(BD!$V$3:$V$5001,BD!$B$3:$B$5001,D$136,BD!$A$3:$A$5001,_xlfn.MAXIFS(BD!$A$3:$A$5001,BD!$B$3:$B$5001,D$136,BD!$A$3:$A$5001,"&gt;="&amp;$C$7,BD!$A$3:$A$5001,"&lt;="&amp;$B139,BD!$V$3:$V$5001,"&lt;&gt;"))))</f>
        <v/>
      </c>
      <c r="E139" s="43" t="str">
        <f>IF(OR($B139="",$A139&gt;$B$9,E$136=""),"",IF(COUNTIFS(BD!$B$3:$B$5001,E$136,BD!$A$3:$A$5001,"&gt;="&amp;$C$7,BD!$A$3:$A$5001,"&lt;="&amp;$B139,BD!$V$3:$V$5001,"&lt;&gt;")=0,"",SUMIFS(BD!$V$3:$V$5001,BD!$B$3:$B$5001,E$136,BD!$A$3:$A$5001,_xlfn.MAXIFS(BD!$A$3:$A$5001,BD!$B$3:$B$5001,E$136,BD!$A$3:$A$5001,"&gt;="&amp;$C$7,BD!$A$3:$A$5001,"&lt;="&amp;$B139,BD!$V$3:$V$5001,"&lt;&gt;"))))</f>
        <v/>
      </c>
      <c r="F139" s="43" t="str">
        <f>IF(OR($B139="",$A139&gt;$B$9,F$136=""),"",IF(COUNTIFS(BD!$B$3:$B$5001,F$136,BD!$A$3:$A$5001,"&gt;="&amp;$C$7,BD!$A$3:$A$5001,"&lt;="&amp;$B139,BD!$V$3:$V$5001,"&lt;&gt;")=0,"",SUMIFS(BD!$V$3:$V$5001,BD!$B$3:$B$5001,F$136,BD!$A$3:$A$5001,_xlfn.MAXIFS(BD!$A$3:$A$5001,BD!$B$3:$B$5001,F$136,BD!$A$3:$A$5001,"&gt;="&amp;$C$7,BD!$A$3:$A$5001,"&lt;="&amp;$B139,BD!$V$3:$V$5001,"&lt;&gt;"))))</f>
        <v/>
      </c>
      <c r="G139" s="43" t="str">
        <f>IF(OR($B139="",$A139&gt;$B$9,G$136=""),"",IF(COUNTIFS(BD!$B$3:$B$5001,G$136,BD!$A$3:$A$5001,"&gt;="&amp;$C$7,BD!$A$3:$A$5001,"&lt;="&amp;$B139,BD!$V$3:$V$5001,"&lt;&gt;")=0,"",SUMIFS(BD!$V$3:$V$5001,BD!$B$3:$B$5001,G$136,BD!$A$3:$A$5001,_xlfn.MAXIFS(BD!$A$3:$A$5001,BD!$B$3:$B$5001,G$136,BD!$A$3:$A$5001,"&gt;="&amp;$C$7,BD!$A$3:$A$5001,"&lt;="&amp;$B139,BD!$V$3:$V$5001,"&lt;&gt;"))))</f>
        <v/>
      </c>
      <c r="H139" s="43" t="str">
        <f>IF(OR($B139="",$A139&gt;$B$9,H$136=""),"",IF(COUNTIFS(BD!$B$3:$B$5001,H$136,BD!$A$3:$A$5001,"&gt;="&amp;$C$7,BD!$A$3:$A$5001,"&lt;="&amp;$B139,BD!$V$3:$V$5001,"&lt;&gt;")=0,"",SUMIFS(BD!$V$3:$V$5001,BD!$B$3:$B$5001,H$136,BD!$A$3:$A$5001,_xlfn.MAXIFS(BD!$A$3:$A$5001,BD!$B$3:$B$5001,H$136,BD!$A$3:$A$5001,"&gt;="&amp;$C$7,BD!$A$3:$A$5001,"&lt;="&amp;$B139,BD!$V$3:$V$5001,"&lt;&gt;"))))</f>
        <v/>
      </c>
      <c r="I139" s="43" t="str">
        <f>IF(OR($B139="",$A139&gt;$B$9,I$136=""),"",IF(COUNTIFS(BD!$B$3:$B$5001,I$136,BD!$A$3:$A$5001,"&gt;="&amp;$C$7,BD!$A$3:$A$5001,"&lt;="&amp;$B139,BD!$V$3:$V$5001,"&lt;&gt;")=0,"",SUMIFS(BD!$V$3:$V$5001,BD!$B$3:$B$5001,I$136,BD!$A$3:$A$5001,_xlfn.MAXIFS(BD!$A$3:$A$5001,BD!$B$3:$B$5001,I$136,BD!$A$3:$A$5001,"&gt;="&amp;$C$7,BD!$A$3:$A$5001,"&lt;="&amp;$B139,BD!$V$3:$V$5001,"&lt;&gt;"))))</f>
        <v/>
      </c>
      <c r="J139" s="43" t="str">
        <f>IF(OR($B139="",$A139&gt;$B$9,J$136=""),"",IF(COUNTIFS(BD!$B$3:$B$5001,J$136,BD!$A$3:$A$5001,"&gt;="&amp;$C$7,BD!$A$3:$A$5001,"&lt;="&amp;$B139,BD!$V$3:$V$5001,"&lt;&gt;")=0,"",SUMIFS(BD!$V$3:$V$5001,BD!$B$3:$B$5001,J$136,BD!$A$3:$A$5001,_xlfn.MAXIFS(BD!$A$3:$A$5001,BD!$B$3:$B$5001,J$136,BD!$A$3:$A$5001,"&gt;="&amp;$C$7,BD!$A$3:$A$5001,"&lt;="&amp;$B139,BD!$V$3:$V$5001,"&lt;&gt;"))))</f>
        <v/>
      </c>
      <c r="K139" s="43" t="str">
        <f>IF(OR($B139="",$A139&gt;$B$9,K$136=""),"",IF(COUNTIFS(BD!$B$3:$B$5001,K$136,BD!$A$3:$A$5001,"&gt;="&amp;$C$7,BD!$A$3:$A$5001,"&lt;="&amp;$B139,BD!$V$3:$V$5001,"&lt;&gt;")=0,"",SUMIFS(BD!$V$3:$V$5001,BD!$B$3:$B$5001,K$136,BD!$A$3:$A$5001,_xlfn.MAXIFS(BD!$A$3:$A$5001,BD!$B$3:$B$5001,K$136,BD!$A$3:$A$5001,"&gt;="&amp;$C$7,BD!$A$3:$A$5001,"&lt;="&amp;$B139,BD!$V$3:$V$5001,"&lt;&gt;"))))</f>
        <v/>
      </c>
      <c r="L139" s="43" t="str">
        <f>IF(OR($B139="",$A139&gt;$B$9,L$136=""),"",IF(COUNTIFS(BD!$B$3:$B$5001,L$136,BD!$A$3:$A$5001,"&gt;="&amp;$C$7,BD!$A$3:$A$5001,"&lt;="&amp;$B139,BD!$V$3:$V$5001,"&lt;&gt;")=0,"",SUMIFS(BD!$V$3:$V$5001,BD!$B$3:$B$5001,L$136,BD!$A$3:$A$5001,_xlfn.MAXIFS(BD!$A$3:$A$5001,BD!$B$3:$B$5001,L$136,BD!$A$3:$A$5001,"&gt;="&amp;$C$7,BD!$A$3:$A$5001,"&lt;="&amp;$B139,BD!$V$3:$V$5001,"&lt;&gt;"))))</f>
        <v/>
      </c>
      <c r="M139" s="43" t="str">
        <f>IF(OR($B139="",$A139&gt;$B$9,M$136=""),"",IF(COUNTIFS(BD!$B$3:$B$5001,M$136,BD!$A$3:$A$5001,"&gt;="&amp;$C$7,BD!$A$3:$A$5001,"&lt;="&amp;$B139,BD!$V$3:$V$5001,"&lt;&gt;")=0,"",SUMIFS(BD!$V$3:$V$5001,BD!$B$3:$B$5001,M$136,BD!$A$3:$A$5001,_xlfn.MAXIFS(BD!$A$3:$A$5001,BD!$B$3:$B$5001,M$136,BD!$A$3:$A$5001,"&gt;="&amp;$C$7,BD!$A$3:$A$5001,"&lt;="&amp;$B139,BD!$V$3:$V$5001,"&lt;&gt;"))))</f>
        <v/>
      </c>
      <c r="N139" s="43" t="str">
        <f>IF(OR($B139="",$A139&gt;$B$9,N$136=""),"",IF(COUNTIFS(BD!$B$3:$B$5001,N$136,BD!$A$3:$A$5001,"&gt;="&amp;$C$7,BD!$A$3:$A$5001,"&lt;="&amp;$B139,BD!$V$3:$V$5001,"&lt;&gt;")=0,"",SUMIFS(BD!$V$3:$V$5001,BD!$B$3:$B$5001,N$136,BD!$A$3:$A$5001,_xlfn.MAXIFS(BD!$A$3:$A$5001,BD!$B$3:$B$5001,N$136,BD!$A$3:$A$5001,"&gt;="&amp;$C$7,BD!$A$3:$A$5001,"&lt;="&amp;$B139,BD!$V$3:$V$5001,"&lt;&gt;"))))</f>
        <v/>
      </c>
      <c r="O139" s="43" t="str">
        <f>IF(OR($B139="",$A139&gt;$B$9,O$136=""),"",IF(COUNTIFS(BD!$B$3:$B$5001,O$136,BD!$A$3:$A$5001,"&gt;="&amp;$C$7,BD!$A$3:$A$5001,"&lt;="&amp;$B139,BD!$V$3:$V$5001,"&lt;&gt;")=0,"",SUMIFS(BD!$V$3:$V$5001,BD!$B$3:$B$5001,O$136,BD!$A$3:$A$5001,_xlfn.MAXIFS(BD!$A$3:$A$5001,BD!$B$3:$B$5001,O$136,BD!$A$3:$A$5001,"&gt;="&amp;$C$7,BD!$A$3:$A$5001,"&lt;="&amp;$B139,BD!$V$3:$V$5001,"&lt;&gt;"))))</f>
        <v/>
      </c>
      <c r="P139" s="43" t="str">
        <f>IF(OR($B139="",$A139&gt;$B$9,P$136=""),"",IF(COUNTIFS(BD!$B$3:$B$5001,P$136,BD!$A$3:$A$5001,"&gt;="&amp;$C$7,BD!$A$3:$A$5001,"&lt;="&amp;$B139,BD!$V$3:$V$5001,"&lt;&gt;")=0,"",SUMIFS(BD!$V$3:$V$5001,BD!$B$3:$B$5001,P$136,BD!$A$3:$A$5001,_xlfn.MAXIFS(BD!$A$3:$A$5001,BD!$B$3:$B$5001,P$136,BD!$A$3:$A$5001,"&gt;="&amp;$C$7,BD!$A$3:$A$5001,"&lt;="&amp;$B139,BD!$V$3:$V$5001,"&lt;&gt;"))))</f>
        <v/>
      </c>
      <c r="Q139" s="43" t="str">
        <f>IF(OR($B139="",$A139&gt;$B$9,Q$136=""),"",IF(COUNTIFS(BD!$B$3:$B$5001,Q$136,BD!$A$3:$A$5001,"&gt;="&amp;$C$7,BD!$A$3:$A$5001,"&lt;="&amp;$B139,BD!$V$3:$V$5001,"&lt;&gt;")=0,"",SUMIFS(BD!$V$3:$V$5001,BD!$B$3:$B$5001,Q$136,BD!$A$3:$A$5001,_xlfn.MAXIFS(BD!$A$3:$A$5001,BD!$B$3:$B$5001,Q$136,BD!$A$3:$A$5001,"&gt;="&amp;$C$7,BD!$A$3:$A$5001,"&lt;="&amp;$B139,BD!$V$3:$V$5001,"&lt;&gt;"))))</f>
        <v/>
      </c>
      <c r="R139" s="43" t="str">
        <f>IF(OR($B139="",$A139&gt;$B$9,R$136=""),"",IF(COUNTIFS(BD!$B$3:$B$5001,R$136,BD!$A$3:$A$5001,"&gt;="&amp;$C$7,BD!$A$3:$A$5001,"&lt;="&amp;$B139,BD!$V$3:$V$5001,"&lt;&gt;")=0,"",SUMIFS(BD!$V$3:$V$5001,BD!$B$3:$B$5001,R$136,BD!$A$3:$A$5001,_xlfn.MAXIFS(BD!$A$3:$A$5001,BD!$B$3:$B$5001,R$136,BD!$A$3:$A$5001,"&gt;="&amp;$C$7,BD!$A$3:$A$5001,"&lt;="&amp;$B139,BD!$V$3:$V$5001,"&lt;&gt;"))))</f>
        <v/>
      </c>
      <c r="S139" s="43" t="str">
        <f>IF(OR($B139="",$A139&gt;$B$9,S$136=""),"",IF(COUNTIFS(BD!$B$3:$B$5001,S$136,BD!$A$3:$A$5001,"&gt;="&amp;$C$7,BD!$A$3:$A$5001,"&lt;="&amp;$B139,BD!$V$3:$V$5001,"&lt;&gt;")=0,"",SUMIFS(BD!$V$3:$V$5001,BD!$B$3:$B$5001,S$136,BD!$A$3:$A$5001,_xlfn.MAXIFS(BD!$A$3:$A$5001,BD!$B$3:$B$5001,S$136,BD!$A$3:$A$5001,"&gt;="&amp;$C$7,BD!$A$3:$A$5001,"&lt;="&amp;$B139,BD!$V$3:$V$5001,"&lt;&gt;"))))</f>
        <v/>
      </c>
      <c r="T139" s="43" t="str">
        <f>IF(OR($B139="",$A139&gt;$B$9,T$136=""),"",IF(COUNTIFS(BD!$B$3:$B$5001,T$136,BD!$A$3:$A$5001,"&gt;="&amp;$C$7,BD!$A$3:$A$5001,"&lt;="&amp;$B139,BD!$V$3:$V$5001,"&lt;&gt;")=0,"",SUMIFS(BD!$V$3:$V$5001,BD!$B$3:$B$5001,T$136,BD!$A$3:$A$5001,_xlfn.MAXIFS(BD!$A$3:$A$5001,BD!$B$3:$B$5001,T$136,BD!$A$3:$A$5001,"&gt;="&amp;$C$7,BD!$A$3:$A$5001,"&lt;="&amp;$B139,BD!$V$3:$V$5001,"&lt;&gt;"))))</f>
        <v/>
      </c>
      <c r="U139" s="43" t="str">
        <f>IF(OR($B139="",$A139&gt;$B$9,U$136=""),"",IF(COUNTIFS(BD!$B$3:$B$5001,U$136,BD!$A$3:$A$5001,"&gt;="&amp;$C$7,BD!$A$3:$A$5001,"&lt;="&amp;$B139,BD!$V$3:$V$5001,"&lt;&gt;")=0,"",SUMIFS(BD!$V$3:$V$5001,BD!$B$3:$B$5001,U$136,BD!$A$3:$A$5001,_xlfn.MAXIFS(BD!$A$3:$A$5001,BD!$B$3:$B$5001,U$136,BD!$A$3:$A$5001,"&gt;="&amp;$C$7,BD!$A$3:$A$5001,"&lt;="&amp;$B139,BD!$V$3:$V$5001,"&lt;&gt;"))))</f>
        <v/>
      </c>
      <c r="V139" s="43" t="str">
        <f>IF(OR($B139="",$A139&gt;$B$9,V$136=""),"",IF(COUNTIFS(BD!$B$3:$B$5001,V$136,BD!$A$3:$A$5001,"&gt;="&amp;$C$7,BD!$A$3:$A$5001,"&lt;="&amp;$B139,BD!$V$3:$V$5001,"&lt;&gt;")=0,"",SUMIFS(BD!$V$3:$V$5001,BD!$B$3:$B$5001,V$136,BD!$A$3:$A$5001,_xlfn.MAXIFS(BD!$A$3:$A$5001,BD!$B$3:$B$5001,V$136,BD!$A$3:$A$5001,"&gt;="&amp;$C$7,BD!$A$3:$A$5001,"&lt;="&amp;$B139,BD!$V$3:$V$5001,"&lt;&gt;"))))</f>
        <v/>
      </c>
    </row>
    <row r="140">
      <c r="A140" s="38">
        <v>4</v>
      </c>
      <c r="B140" s="42">
        <f>$B$15</f>
        <v>46299</v>
      </c>
      <c r="C140" s="43" t="str">
        <f>IF(OR($B140="",$A140&gt;$B$9,C$136=""),"",IF(COUNTIFS(BD!$B$3:$B$5001,C$136,BD!$A$3:$A$5001,"&gt;="&amp;$C$7,BD!$A$3:$A$5001,"&lt;="&amp;$B140,BD!$V$3:$V$5001,"&lt;&gt;")=0,"",SUMIFS(BD!$V$3:$V$5001,BD!$B$3:$B$5001,C$136,BD!$A$3:$A$5001,_xlfn.MAXIFS(BD!$A$3:$A$5001,BD!$B$3:$B$5001,C$136,BD!$A$3:$A$5001,"&gt;="&amp;$C$7,BD!$A$3:$A$5001,"&lt;="&amp;$B140,BD!$V$3:$V$5001,"&lt;&gt;"))))</f>
        <v/>
      </c>
      <c r="D140" s="43" t="str">
        <f>IF(OR($B140="",$A140&gt;$B$9,D$136=""),"",IF(COUNTIFS(BD!$B$3:$B$5001,D$136,BD!$A$3:$A$5001,"&gt;="&amp;$C$7,BD!$A$3:$A$5001,"&lt;="&amp;$B140,BD!$V$3:$V$5001,"&lt;&gt;")=0,"",SUMIFS(BD!$V$3:$V$5001,BD!$B$3:$B$5001,D$136,BD!$A$3:$A$5001,_xlfn.MAXIFS(BD!$A$3:$A$5001,BD!$B$3:$B$5001,D$136,BD!$A$3:$A$5001,"&gt;="&amp;$C$7,BD!$A$3:$A$5001,"&lt;="&amp;$B140,BD!$V$3:$V$5001,"&lt;&gt;"))))</f>
        <v/>
      </c>
      <c r="E140" s="43" t="str">
        <f>IF(OR($B140="",$A140&gt;$B$9,E$136=""),"",IF(COUNTIFS(BD!$B$3:$B$5001,E$136,BD!$A$3:$A$5001,"&gt;="&amp;$C$7,BD!$A$3:$A$5001,"&lt;="&amp;$B140,BD!$V$3:$V$5001,"&lt;&gt;")=0,"",SUMIFS(BD!$V$3:$V$5001,BD!$B$3:$B$5001,E$136,BD!$A$3:$A$5001,_xlfn.MAXIFS(BD!$A$3:$A$5001,BD!$B$3:$B$5001,E$136,BD!$A$3:$A$5001,"&gt;="&amp;$C$7,BD!$A$3:$A$5001,"&lt;="&amp;$B140,BD!$V$3:$V$5001,"&lt;&gt;"))))</f>
        <v/>
      </c>
      <c r="F140" s="43" t="str">
        <f>IF(OR($B140="",$A140&gt;$B$9,F$136=""),"",IF(COUNTIFS(BD!$B$3:$B$5001,F$136,BD!$A$3:$A$5001,"&gt;="&amp;$C$7,BD!$A$3:$A$5001,"&lt;="&amp;$B140,BD!$V$3:$V$5001,"&lt;&gt;")=0,"",SUMIFS(BD!$V$3:$V$5001,BD!$B$3:$B$5001,F$136,BD!$A$3:$A$5001,_xlfn.MAXIFS(BD!$A$3:$A$5001,BD!$B$3:$B$5001,F$136,BD!$A$3:$A$5001,"&gt;="&amp;$C$7,BD!$A$3:$A$5001,"&lt;="&amp;$B140,BD!$V$3:$V$5001,"&lt;&gt;"))))</f>
        <v/>
      </c>
      <c r="G140" s="43" t="str">
        <f>IF(OR($B140="",$A140&gt;$B$9,G$136=""),"",IF(COUNTIFS(BD!$B$3:$B$5001,G$136,BD!$A$3:$A$5001,"&gt;="&amp;$C$7,BD!$A$3:$A$5001,"&lt;="&amp;$B140,BD!$V$3:$V$5001,"&lt;&gt;")=0,"",SUMIFS(BD!$V$3:$V$5001,BD!$B$3:$B$5001,G$136,BD!$A$3:$A$5001,_xlfn.MAXIFS(BD!$A$3:$A$5001,BD!$B$3:$B$5001,G$136,BD!$A$3:$A$5001,"&gt;="&amp;$C$7,BD!$A$3:$A$5001,"&lt;="&amp;$B140,BD!$V$3:$V$5001,"&lt;&gt;"))))</f>
        <v/>
      </c>
      <c r="H140" s="43" t="str">
        <f>IF(OR($B140="",$A140&gt;$B$9,H$136=""),"",IF(COUNTIFS(BD!$B$3:$B$5001,H$136,BD!$A$3:$A$5001,"&gt;="&amp;$C$7,BD!$A$3:$A$5001,"&lt;="&amp;$B140,BD!$V$3:$V$5001,"&lt;&gt;")=0,"",SUMIFS(BD!$V$3:$V$5001,BD!$B$3:$B$5001,H$136,BD!$A$3:$A$5001,_xlfn.MAXIFS(BD!$A$3:$A$5001,BD!$B$3:$B$5001,H$136,BD!$A$3:$A$5001,"&gt;="&amp;$C$7,BD!$A$3:$A$5001,"&lt;="&amp;$B140,BD!$V$3:$V$5001,"&lt;&gt;"))))</f>
        <v/>
      </c>
      <c r="I140" s="43" t="str">
        <f>IF(OR($B140="",$A140&gt;$B$9,I$136=""),"",IF(COUNTIFS(BD!$B$3:$B$5001,I$136,BD!$A$3:$A$5001,"&gt;="&amp;$C$7,BD!$A$3:$A$5001,"&lt;="&amp;$B140,BD!$V$3:$V$5001,"&lt;&gt;")=0,"",SUMIFS(BD!$V$3:$V$5001,BD!$B$3:$B$5001,I$136,BD!$A$3:$A$5001,_xlfn.MAXIFS(BD!$A$3:$A$5001,BD!$B$3:$B$5001,I$136,BD!$A$3:$A$5001,"&gt;="&amp;$C$7,BD!$A$3:$A$5001,"&lt;="&amp;$B140,BD!$V$3:$V$5001,"&lt;&gt;"))))</f>
        <v/>
      </c>
      <c r="J140" s="43" t="str">
        <f>IF(OR($B140="",$A140&gt;$B$9,J$136=""),"",IF(COUNTIFS(BD!$B$3:$B$5001,J$136,BD!$A$3:$A$5001,"&gt;="&amp;$C$7,BD!$A$3:$A$5001,"&lt;="&amp;$B140,BD!$V$3:$V$5001,"&lt;&gt;")=0,"",SUMIFS(BD!$V$3:$V$5001,BD!$B$3:$B$5001,J$136,BD!$A$3:$A$5001,_xlfn.MAXIFS(BD!$A$3:$A$5001,BD!$B$3:$B$5001,J$136,BD!$A$3:$A$5001,"&gt;="&amp;$C$7,BD!$A$3:$A$5001,"&lt;="&amp;$B140,BD!$V$3:$V$5001,"&lt;&gt;"))))</f>
        <v/>
      </c>
      <c r="K140" s="43" t="str">
        <f>IF(OR($B140="",$A140&gt;$B$9,K$136=""),"",IF(COUNTIFS(BD!$B$3:$B$5001,K$136,BD!$A$3:$A$5001,"&gt;="&amp;$C$7,BD!$A$3:$A$5001,"&lt;="&amp;$B140,BD!$V$3:$V$5001,"&lt;&gt;")=0,"",SUMIFS(BD!$V$3:$V$5001,BD!$B$3:$B$5001,K$136,BD!$A$3:$A$5001,_xlfn.MAXIFS(BD!$A$3:$A$5001,BD!$B$3:$B$5001,K$136,BD!$A$3:$A$5001,"&gt;="&amp;$C$7,BD!$A$3:$A$5001,"&lt;="&amp;$B140,BD!$V$3:$V$5001,"&lt;&gt;"))))</f>
        <v/>
      </c>
      <c r="L140" s="43" t="str">
        <f>IF(OR($B140="",$A140&gt;$B$9,L$136=""),"",IF(COUNTIFS(BD!$B$3:$B$5001,L$136,BD!$A$3:$A$5001,"&gt;="&amp;$C$7,BD!$A$3:$A$5001,"&lt;="&amp;$B140,BD!$V$3:$V$5001,"&lt;&gt;")=0,"",SUMIFS(BD!$V$3:$V$5001,BD!$B$3:$B$5001,L$136,BD!$A$3:$A$5001,_xlfn.MAXIFS(BD!$A$3:$A$5001,BD!$B$3:$B$5001,L$136,BD!$A$3:$A$5001,"&gt;="&amp;$C$7,BD!$A$3:$A$5001,"&lt;="&amp;$B140,BD!$V$3:$V$5001,"&lt;&gt;"))))</f>
        <v/>
      </c>
      <c r="M140" s="43" t="str">
        <f>IF(OR($B140="",$A140&gt;$B$9,M$136=""),"",IF(COUNTIFS(BD!$B$3:$B$5001,M$136,BD!$A$3:$A$5001,"&gt;="&amp;$C$7,BD!$A$3:$A$5001,"&lt;="&amp;$B140,BD!$V$3:$V$5001,"&lt;&gt;")=0,"",SUMIFS(BD!$V$3:$V$5001,BD!$B$3:$B$5001,M$136,BD!$A$3:$A$5001,_xlfn.MAXIFS(BD!$A$3:$A$5001,BD!$B$3:$B$5001,M$136,BD!$A$3:$A$5001,"&gt;="&amp;$C$7,BD!$A$3:$A$5001,"&lt;="&amp;$B140,BD!$V$3:$V$5001,"&lt;&gt;"))))</f>
        <v/>
      </c>
      <c r="N140" s="43" t="str">
        <f>IF(OR($B140="",$A140&gt;$B$9,N$136=""),"",IF(COUNTIFS(BD!$B$3:$B$5001,N$136,BD!$A$3:$A$5001,"&gt;="&amp;$C$7,BD!$A$3:$A$5001,"&lt;="&amp;$B140,BD!$V$3:$V$5001,"&lt;&gt;")=0,"",SUMIFS(BD!$V$3:$V$5001,BD!$B$3:$B$5001,N$136,BD!$A$3:$A$5001,_xlfn.MAXIFS(BD!$A$3:$A$5001,BD!$B$3:$B$5001,N$136,BD!$A$3:$A$5001,"&gt;="&amp;$C$7,BD!$A$3:$A$5001,"&lt;="&amp;$B140,BD!$V$3:$V$5001,"&lt;&gt;"))))</f>
        <v/>
      </c>
      <c r="O140" s="43" t="str">
        <f>IF(OR($B140="",$A140&gt;$B$9,O$136=""),"",IF(COUNTIFS(BD!$B$3:$B$5001,O$136,BD!$A$3:$A$5001,"&gt;="&amp;$C$7,BD!$A$3:$A$5001,"&lt;="&amp;$B140,BD!$V$3:$V$5001,"&lt;&gt;")=0,"",SUMIFS(BD!$V$3:$V$5001,BD!$B$3:$B$5001,O$136,BD!$A$3:$A$5001,_xlfn.MAXIFS(BD!$A$3:$A$5001,BD!$B$3:$B$5001,O$136,BD!$A$3:$A$5001,"&gt;="&amp;$C$7,BD!$A$3:$A$5001,"&lt;="&amp;$B140,BD!$V$3:$V$5001,"&lt;&gt;"))))</f>
        <v/>
      </c>
      <c r="P140" s="43" t="str">
        <f>IF(OR($B140="",$A140&gt;$B$9,P$136=""),"",IF(COUNTIFS(BD!$B$3:$B$5001,P$136,BD!$A$3:$A$5001,"&gt;="&amp;$C$7,BD!$A$3:$A$5001,"&lt;="&amp;$B140,BD!$V$3:$V$5001,"&lt;&gt;")=0,"",SUMIFS(BD!$V$3:$V$5001,BD!$B$3:$B$5001,P$136,BD!$A$3:$A$5001,_xlfn.MAXIFS(BD!$A$3:$A$5001,BD!$B$3:$B$5001,P$136,BD!$A$3:$A$5001,"&gt;="&amp;$C$7,BD!$A$3:$A$5001,"&lt;="&amp;$B140,BD!$V$3:$V$5001,"&lt;&gt;"))))</f>
        <v/>
      </c>
      <c r="Q140" s="43" t="str">
        <f>IF(OR($B140="",$A140&gt;$B$9,Q$136=""),"",IF(COUNTIFS(BD!$B$3:$B$5001,Q$136,BD!$A$3:$A$5001,"&gt;="&amp;$C$7,BD!$A$3:$A$5001,"&lt;="&amp;$B140,BD!$V$3:$V$5001,"&lt;&gt;")=0,"",SUMIFS(BD!$V$3:$V$5001,BD!$B$3:$B$5001,Q$136,BD!$A$3:$A$5001,_xlfn.MAXIFS(BD!$A$3:$A$5001,BD!$B$3:$B$5001,Q$136,BD!$A$3:$A$5001,"&gt;="&amp;$C$7,BD!$A$3:$A$5001,"&lt;="&amp;$B140,BD!$V$3:$V$5001,"&lt;&gt;"))))</f>
        <v/>
      </c>
      <c r="R140" s="43" t="str">
        <f>IF(OR($B140="",$A140&gt;$B$9,R$136=""),"",IF(COUNTIFS(BD!$B$3:$B$5001,R$136,BD!$A$3:$A$5001,"&gt;="&amp;$C$7,BD!$A$3:$A$5001,"&lt;="&amp;$B140,BD!$V$3:$V$5001,"&lt;&gt;")=0,"",SUMIFS(BD!$V$3:$V$5001,BD!$B$3:$B$5001,R$136,BD!$A$3:$A$5001,_xlfn.MAXIFS(BD!$A$3:$A$5001,BD!$B$3:$B$5001,R$136,BD!$A$3:$A$5001,"&gt;="&amp;$C$7,BD!$A$3:$A$5001,"&lt;="&amp;$B140,BD!$V$3:$V$5001,"&lt;&gt;"))))</f>
        <v/>
      </c>
      <c r="S140" s="43" t="str">
        <f>IF(OR($B140="",$A140&gt;$B$9,S$136=""),"",IF(COUNTIFS(BD!$B$3:$B$5001,S$136,BD!$A$3:$A$5001,"&gt;="&amp;$C$7,BD!$A$3:$A$5001,"&lt;="&amp;$B140,BD!$V$3:$V$5001,"&lt;&gt;")=0,"",SUMIFS(BD!$V$3:$V$5001,BD!$B$3:$B$5001,S$136,BD!$A$3:$A$5001,_xlfn.MAXIFS(BD!$A$3:$A$5001,BD!$B$3:$B$5001,S$136,BD!$A$3:$A$5001,"&gt;="&amp;$C$7,BD!$A$3:$A$5001,"&lt;="&amp;$B140,BD!$V$3:$V$5001,"&lt;&gt;"))))</f>
        <v/>
      </c>
      <c r="T140" s="43" t="str">
        <f>IF(OR($B140="",$A140&gt;$B$9,T$136=""),"",IF(COUNTIFS(BD!$B$3:$B$5001,T$136,BD!$A$3:$A$5001,"&gt;="&amp;$C$7,BD!$A$3:$A$5001,"&lt;="&amp;$B140,BD!$V$3:$V$5001,"&lt;&gt;")=0,"",SUMIFS(BD!$V$3:$V$5001,BD!$B$3:$B$5001,T$136,BD!$A$3:$A$5001,_xlfn.MAXIFS(BD!$A$3:$A$5001,BD!$B$3:$B$5001,T$136,BD!$A$3:$A$5001,"&gt;="&amp;$C$7,BD!$A$3:$A$5001,"&lt;="&amp;$B140,BD!$V$3:$V$5001,"&lt;&gt;"))))</f>
        <v/>
      </c>
      <c r="U140" s="43" t="str">
        <f>IF(OR($B140="",$A140&gt;$B$9,U$136=""),"",IF(COUNTIFS(BD!$B$3:$B$5001,U$136,BD!$A$3:$A$5001,"&gt;="&amp;$C$7,BD!$A$3:$A$5001,"&lt;="&amp;$B140,BD!$V$3:$V$5001,"&lt;&gt;")=0,"",SUMIFS(BD!$V$3:$V$5001,BD!$B$3:$B$5001,U$136,BD!$A$3:$A$5001,_xlfn.MAXIFS(BD!$A$3:$A$5001,BD!$B$3:$B$5001,U$136,BD!$A$3:$A$5001,"&gt;="&amp;$C$7,BD!$A$3:$A$5001,"&lt;="&amp;$B140,BD!$V$3:$V$5001,"&lt;&gt;"))))</f>
        <v/>
      </c>
      <c r="V140" s="43" t="str">
        <f>IF(OR($B140="",$A140&gt;$B$9,V$136=""),"",IF(COUNTIFS(BD!$B$3:$B$5001,V$136,BD!$A$3:$A$5001,"&gt;="&amp;$C$7,BD!$A$3:$A$5001,"&lt;="&amp;$B140,BD!$V$3:$V$5001,"&lt;&gt;")=0,"",SUMIFS(BD!$V$3:$V$5001,BD!$B$3:$B$5001,V$136,BD!$A$3:$A$5001,_xlfn.MAXIFS(BD!$A$3:$A$5001,BD!$B$3:$B$5001,V$136,BD!$A$3:$A$5001,"&gt;="&amp;$C$7,BD!$A$3:$A$5001,"&lt;="&amp;$B140,BD!$V$3:$V$5001,"&lt;&gt;"))))</f>
        <v/>
      </c>
    </row>
    <row r="141">
      <c r="A141" s="38">
        <v>5</v>
      </c>
      <c r="B141" s="42">
        <f>$B$16</f>
        <v>46300</v>
      </c>
      <c r="C141" s="43" t="str">
        <f>IF(OR($B141="",$A141&gt;$B$9,C$136=""),"",IF(COUNTIFS(BD!$B$3:$B$5001,C$136,BD!$A$3:$A$5001,"&gt;="&amp;$C$7,BD!$A$3:$A$5001,"&lt;="&amp;$B141,BD!$V$3:$V$5001,"&lt;&gt;")=0,"",SUMIFS(BD!$V$3:$V$5001,BD!$B$3:$B$5001,C$136,BD!$A$3:$A$5001,_xlfn.MAXIFS(BD!$A$3:$A$5001,BD!$B$3:$B$5001,C$136,BD!$A$3:$A$5001,"&gt;="&amp;$C$7,BD!$A$3:$A$5001,"&lt;="&amp;$B141,BD!$V$3:$V$5001,"&lt;&gt;"))))</f>
        <v/>
      </c>
      <c r="D141" s="43" t="str">
        <f>IF(OR($B141="",$A141&gt;$B$9,D$136=""),"",IF(COUNTIFS(BD!$B$3:$B$5001,D$136,BD!$A$3:$A$5001,"&gt;="&amp;$C$7,BD!$A$3:$A$5001,"&lt;="&amp;$B141,BD!$V$3:$V$5001,"&lt;&gt;")=0,"",SUMIFS(BD!$V$3:$V$5001,BD!$B$3:$B$5001,D$136,BD!$A$3:$A$5001,_xlfn.MAXIFS(BD!$A$3:$A$5001,BD!$B$3:$B$5001,D$136,BD!$A$3:$A$5001,"&gt;="&amp;$C$7,BD!$A$3:$A$5001,"&lt;="&amp;$B141,BD!$V$3:$V$5001,"&lt;&gt;"))))</f>
        <v/>
      </c>
      <c r="E141" s="43" t="str">
        <f>IF(OR($B141="",$A141&gt;$B$9,E$136=""),"",IF(COUNTIFS(BD!$B$3:$B$5001,E$136,BD!$A$3:$A$5001,"&gt;="&amp;$C$7,BD!$A$3:$A$5001,"&lt;="&amp;$B141,BD!$V$3:$V$5001,"&lt;&gt;")=0,"",SUMIFS(BD!$V$3:$V$5001,BD!$B$3:$B$5001,E$136,BD!$A$3:$A$5001,_xlfn.MAXIFS(BD!$A$3:$A$5001,BD!$B$3:$B$5001,E$136,BD!$A$3:$A$5001,"&gt;="&amp;$C$7,BD!$A$3:$A$5001,"&lt;="&amp;$B141,BD!$V$3:$V$5001,"&lt;&gt;"))))</f>
        <v/>
      </c>
      <c r="F141" s="43" t="str">
        <f>IF(OR($B141="",$A141&gt;$B$9,F$136=""),"",IF(COUNTIFS(BD!$B$3:$B$5001,F$136,BD!$A$3:$A$5001,"&gt;="&amp;$C$7,BD!$A$3:$A$5001,"&lt;="&amp;$B141,BD!$V$3:$V$5001,"&lt;&gt;")=0,"",SUMIFS(BD!$V$3:$V$5001,BD!$B$3:$B$5001,F$136,BD!$A$3:$A$5001,_xlfn.MAXIFS(BD!$A$3:$A$5001,BD!$B$3:$B$5001,F$136,BD!$A$3:$A$5001,"&gt;="&amp;$C$7,BD!$A$3:$A$5001,"&lt;="&amp;$B141,BD!$V$3:$V$5001,"&lt;&gt;"))))</f>
        <v/>
      </c>
      <c r="G141" s="43" t="str">
        <f>IF(OR($B141="",$A141&gt;$B$9,G$136=""),"",IF(COUNTIFS(BD!$B$3:$B$5001,G$136,BD!$A$3:$A$5001,"&gt;="&amp;$C$7,BD!$A$3:$A$5001,"&lt;="&amp;$B141,BD!$V$3:$V$5001,"&lt;&gt;")=0,"",SUMIFS(BD!$V$3:$V$5001,BD!$B$3:$B$5001,G$136,BD!$A$3:$A$5001,_xlfn.MAXIFS(BD!$A$3:$A$5001,BD!$B$3:$B$5001,G$136,BD!$A$3:$A$5001,"&gt;="&amp;$C$7,BD!$A$3:$A$5001,"&lt;="&amp;$B141,BD!$V$3:$V$5001,"&lt;&gt;"))))</f>
        <v/>
      </c>
      <c r="H141" s="43" t="str">
        <f>IF(OR($B141="",$A141&gt;$B$9,H$136=""),"",IF(COUNTIFS(BD!$B$3:$B$5001,H$136,BD!$A$3:$A$5001,"&gt;="&amp;$C$7,BD!$A$3:$A$5001,"&lt;="&amp;$B141,BD!$V$3:$V$5001,"&lt;&gt;")=0,"",SUMIFS(BD!$V$3:$V$5001,BD!$B$3:$B$5001,H$136,BD!$A$3:$A$5001,_xlfn.MAXIFS(BD!$A$3:$A$5001,BD!$B$3:$B$5001,H$136,BD!$A$3:$A$5001,"&gt;="&amp;$C$7,BD!$A$3:$A$5001,"&lt;="&amp;$B141,BD!$V$3:$V$5001,"&lt;&gt;"))))</f>
        <v/>
      </c>
      <c r="I141" s="43" t="str">
        <f>IF(OR($B141="",$A141&gt;$B$9,I$136=""),"",IF(COUNTIFS(BD!$B$3:$B$5001,I$136,BD!$A$3:$A$5001,"&gt;="&amp;$C$7,BD!$A$3:$A$5001,"&lt;="&amp;$B141,BD!$V$3:$V$5001,"&lt;&gt;")=0,"",SUMIFS(BD!$V$3:$V$5001,BD!$B$3:$B$5001,I$136,BD!$A$3:$A$5001,_xlfn.MAXIFS(BD!$A$3:$A$5001,BD!$B$3:$B$5001,I$136,BD!$A$3:$A$5001,"&gt;="&amp;$C$7,BD!$A$3:$A$5001,"&lt;="&amp;$B141,BD!$V$3:$V$5001,"&lt;&gt;"))))</f>
        <v/>
      </c>
      <c r="J141" s="43" t="str">
        <f>IF(OR($B141="",$A141&gt;$B$9,J$136=""),"",IF(COUNTIFS(BD!$B$3:$B$5001,J$136,BD!$A$3:$A$5001,"&gt;="&amp;$C$7,BD!$A$3:$A$5001,"&lt;="&amp;$B141,BD!$V$3:$V$5001,"&lt;&gt;")=0,"",SUMIFS(BD!$V$3:$V$5001,BD!$B$3:$B$5001,J$136,BD!$A$3:$A$5001,_xlfn.MAXIFS(BD!$A$3:$A$5001,BD!$B$3:$B$5001,J$136,BD!$A$3:$A$5001,"&gt;="&amp;$C$7,BD!$A$3:$A$5001,"&lt;="&amp;$B141,BD!$V$3:$V$5001,"&lt;&gt;"))))</f>
        <v/>
      </c>
      <c r="K141" s="43" t="str">
        <f>IF(OR($B141="",$A141&gt;$B$9,K$136=""),"",IF(COUNTIFS(BD!$B$3:$B$5001,K$136,BD!$A$3:$A$5001,"&gt;="&amp;$C$7,BD!$A$3:$A$5001,"&lt;="&amp;$B141,BD!$V$3:$V$5001,"&lt;&gt;")=0,"",SUMIFS(BD!$V$3:$V$5001,BD!$B$3:$B$5001,K$136,BD!$A$3:$A$5001,_xlfn.MAXIFS(BD!$A$3:$A$5001,BD!$B$3:$B$5001,K$136,BD!$A$3:$A$5001,"&gt;="&amp;$C$7,BD!$A$3:$A$5001,"&lt;="&amp;$B141,BD!$V$3:$V$5001,"&lt;&gt;"))))</f>
        <v/>
      </c>
      <c r="L141" s="43" t="str">
        <f>IF(OR($B141="",$A141&gt;$B$9,L$136=""),"",IF(COUNTIFS(BD!$B$3:$B$5001,L$136,BD!$A$3:$A$5001,"&gt;="&amp;$C$7,BD!$A$3:$A$5001,"&lt;="&amp;$B141,BD!$V$3:$V$5001,"&lt;&gt;")=0,"",SUMIFS(BD!$V$3:$V$5001,BD!$B$3:$B$5001,L$136,BD!$A$3:$A$5001,_xlfn.MAXIFS(BD!$A$3:$A$5001,BD!$B$3:$B$5001,L$136,BD!$A$3:$A$5001,"&gt;="&amp;$C$7,BD!$A$3:$A$5001,"&lt;="&amp;$B141,BD!$V$3:$V$5001,"&lt;&gt;"))))</f>
        <v/>
      </c>
      <c r="M141" s="43" t="str">
        <f>IF(OR($B141="",$A141&gt;$B$9,M$136=""),"",IF(COUNTIFS(BD!$B$3:$B$5001,M$136,BD!$A$3:$A$5001,"&gt;="&amp;$C$7,BD!$A$3:$A$5001,"&lt;="&amp;$B141,BD!$V$3:$V$5001,"&lt;&gt;")=0,"",SUMIFS(BD!$V$3:$V$5001,BD!$B$3:$B$5001,M$136,BD!$A$3:$A$5001,_xlfn.MAXIFS(BD!$A$3:$A$5001,BD!$B$3:$B$5001,M$136,BD!$A$3:$A$5001,"&gt;="&amp;$C$7,BD!$A$3:$A$5001,"&lt;="&amp;$B141,BD!$V$3:$V$5001,"&lt;&gt;"))))</f>
        <v/>
      </c>
      <c r="N141" s="43" t="str">
        <f>IF(OR($B141="",$A141&gt;$B$9,N$136=""),"",IF(COUNTIFS(BD!$B$3:$B$5001,N$136,BD!$A$3:$A$5001,"&gt;="&amp;$C$7,BD!$A$3:$A$5001,"&lt;="&amp;$B141,BD!$V$3:$V$5001,"&lt;&gt;")=0,"",SUMIFS(BD!$V$3:$V$5001,BD!$B$3:$B$5001,N$136,BD!$A$3:$A$5001,_xlfn.MAXIFS(BD!$A$3:$A$5001,BD!$B$3:$B$5001,N$136,BD!$A$3:$A$5001,"&gt;="&amp;$C$7,BD!$A$3:$A$5001,"&lt;="&amp;$B141,BD!$V$3:$V$5001,"&lt;&gt;"))))</f>
        <v/>
      </c>
      <c r="O141" s="43" t="str">
        <f>IF(OR($B141="",$A141&gt;$B$9,O$136=""),"",IF(COUNTIFS(BD!$B$3:$B$5001,O$136,BD!$A$3:$A$5001,"&gt;="&amp;$C$7,BD!$A$3:$A$5001,"&lt;="&amp;$B141,BD!$V$3:$V$5001,"&lt;&gt;")=0,"",SUMIFS(BD!$V$3:$V$5001,BD!$B$3:$B$5001,O$136,BD!$A$3:$A$5001,_xlfn.MAXIFS(BD!$A$3:$A$5001,BD!$B$3:$B$5001,O$136,BD!$A$3:$A$5001,"&gt;="&amp;$C$7,BD!$A$3:$A$5001,"&lt;="&amp;$B141,BD!$V$3:$V$5001,"&lt;&gt;"))))</f>
        <v/>
      </c>
      <c r="P141" s="43" t="str">
        <f>IF(OR($B141="",$A141&gt;$B$9,P$136=""),"",IF(COUNTIFS(BD!$B$3:$B$5001,P$136,BD!$A$3:$A$5001,"&gt;="&amp;$C$7,BD!$A$3:$A$5001,"&lt;="&amp;$B141,BD!$V$3:$V$5001,"&lt;&gt;")=0,"",SUMIFS(BD!$V$3:$V$5001,BD!$B$3:$B$5001,P$136,BD!$A$3:$A$5001,_xlfn.MAXIFS(BD!$A$3:$A$5001,BD!$B$3:$B$5001,P$136,BD!$A$3:$A$5001,"&gt;="&amp;$C$7,BD!$A$3:$A$5001,"&lt;="&amp;$B141,BD!$V$3:$V$5001,"&lt;&gt;"))))</f>
        <v/>
      </c>
      <c r="Q141" s="43" t="str">
        <f>IF(OR($B141="",$A141&gt;$B$9,Q$136=""),"",IF(COUNTIFS(BD!$B$3:$B$5001,Q$136,BD!$A$3:$A$5001,"&gt;="&amp;$C$7,BD!$A$3:$A$5001,"&lt;="&amp;$B141,BD!$V$3:$V$5001,"&lt;&gt;")=0,"",SUMIFS(BD!$V$3:$V$5001,BD!$B$3:$B$5001,Q$136,BD!$A$3:$A$5001,_xlfn.MAXIFS(BD!$A$3:$A$5001,BD!$B$3:$B$5001,Q$136,BD!$A$3:$A$5001,"&gt;="&amp;$C$7,BD!$A$3:$A$5001,"&lt;="&amp;$B141,BD!$V$3:$V$5001,"&lt;&gt;"))))</f>
        <v/>
      </c>
      <c r="R141" s="43" t="str">
        <f>IF(OR($B141="",$A141&gt;$B$9,R$136=""),"",IF(COUNTIFS(BD!$B$3:$B$5001,R$136,BD!$A$3:$A$5001,"&gt;="&amp;$C$7,BD!$A$3:$A$5001,"&lt;="&amp;$B141,BD!$V$3:$V$5001,"&lt;&gt;")=0,"",SUMIFS(BD!$V$3:$V$5001,BD!$B$3:$B$5001,R$136,BD!$A$3:$A$5001,_xlfn.MAXIFS(BD!$A$3:$A$5001,BD!$B$3:$B$5001,R$136,BD!$A$3:$A$5001,"&gt;="&amp;$C$7,BD!$A$3:$A$5001,"&lt;="&amp;$B141,BD!$V$3:$V$5001,"&lt;&gt;"))))</f>
        <v/>
      </c>
      <c r="S141" s="43" t="str">
        <f>IF(OR($B141="",$A141&gt;$B$9,S$136=""),"",IF(COUNTIFS(BD!$B$3:$B$5001,S$136,BD!$A$3:$A$5001,"&gt;="&amp;$C$7,BD!$A$3:$A$5001,"&lt;="&amp;$B141,BD!$V$3:$V$5001,"&lt;&gt;")=0,"",SUMIFS(BD!$V$3:$V$5001,BD!$B$3:$B$5001,S$136,BD!$A$3:$A$5001,_xlfn.MAXIFS(BD!$A$3:$A$5001,BD!$B$3:$B$5001,S$136,BD!$A$3:$A$5001,"&gt;="&amp;$C$7,BD!$A$3:$A$5001,"&lt;="&amp;$B141,BD!$V$3:$V$5001,"&lt;&gt;"))))</f>
        <v/>
      </c>
      <c r="T141" s="43" t="str">
        <f>IF(OR($B141="",$A141&gt;$B$9,T$136=""),"",IF(COUNTIFS(BD!$B$3:$B$5001,T$136,BD!$A$3:$A$5001,"&gt;="&amp;$C$7,BD!$A$3:$A$5001,"&lt;="&amp;$B141,BD!$V$3:$V$5001,"&lt;&gt;")=0,"",SUMIFS(BD!$V$3:$V$5001,BD!$B$3:$B$5001,T$136,BD!$A$3:$A$5001,_xlfn.MAXIFS(BD!$A$3:$A$5001,BD!$B$3:$B$5001,T$136,BD!$A$3:$A$5001,"&gt;="&amp;$C$7,BD!$A$3:$A$5001,"&lt;="&amp;$B141,BD!$V$3:$V$5001,"&lt;&gt;"))))</f>
        <v/>
      </c>
      <c r="U141" s="43" t="str">
        <f>IF(OR($B141="",$A141&gt;$B$9,U$136=""),"",IF(COUNTIFS(BD!$B$3:$B$5001,U$136,BD!$A$3:$A$5001,"&gt;="&amp;$C$7,BD!$A$3:$A$5001,"&lt;="&amp;$B141,BD!$V$3:$V$5001,"&lt;&gt;")=0,"",SUMIFS(BD!$V$3:$V$5001,BD!$B$3:$B$5001,U$136,BD!$A$3:$A$5001,_xlfn.MAXIFS(BD!$A$3:$A$5001,BD!$B$3:$B$5001,U$136,BD!$A$3:$A$5001,"&gt;="&amp;$C$7,BD!$A$3:$A$5001,"&lt;="&amp;$B141,BD!$V$3:$V$5001,"&lt;&gt;"))))</f>
        <v/>
      </c>
      <c r="V141" s="43" t="str">
        <f>IF(OR($B141="",$A141&gt;$B$9,V$136=""),"",IF(COUNTIFS(BD!$B$3:$B$5001,V$136,BD!$A$3:$A$5001,"&gt;="&amp;$C$7,BD!$A$3:$A$5001,"&lt;="&amp;$B141,BD!$V$3:$V$5001,"&lt;&gt;")=0,"",SUMIFS(BD!$V$3:$V$5001,BD!$B$3:$B$5001,V$136,BD!$A$3:$A$5001,_xlfn.MAXIFS(BD!$A$3:$A$5001,BD!$B$3:$B$5001,V$136,BD!$A$3:$A$5001,"&gt;="&amp;$C$7,BD!$A$3:$A$5001,"&lt;="&amp;$B141,BD!$V$3:$V$5001,"&lt;&gt;"))))</f>
        <v/>
      </c>
    </row>
    <row r="142">
      <c r="A142" s="38">
        <v>6</v>
      </c>
      <c r="B142" s="42">
        <f>$B$17</f>
        <v>46301</v>
      </c>
      <c r="C142" s="43" t="str">
        <f>IF(OR($B142="",$A142&gt;$B$9,C$136=""),"",IF(COUNTIFS(BD!$B$3:$B$5001,C$136,BD!$A$3:$A$5001,"&gt;="&amp;$C$7,BD!$A$3:$A$5001,"&lt;="&amp;$B142,BD!$V$3:$V$5001,"&lt;&gt;")=0,"",SUMIFS(BD!$V$3:$V$5001,BD!$B$3:$B$5001,C$136,BD!$A$3:$A$5001,_xlfn.MAXIFS(BD!$A$3:$A$5001,BD!$B$3:$B$5001,C$136,BD!$A$3:$A$5001,"&gt;="&amp;$C$7,BD!$A$3:$A$5001,"&lt;="&amp;$B142,BD!$V$3:$V$5001,"&lt;&gt;"))))</f>
        <v/>
      </c>
      <c r="D142" s="43" t="str">
        <f>IF(OR($B142="",$A142&gt;$B$9,D$136=""),"",IF(COUNTIFS(BD!$B$3:$B$5001,D$136,BD!$A$3:$A$5001,"&gt;="&amp;$C$7,BD!$A$3:$A$5001,"&lt;="&amp;$B142,BD!$V$3:$V$5001,"&lt;&gt;")=0,"",SUMIFS(BD!$V$3:$V$5001,BD!$B$3:$B$5001,D$136,BD!$A$3:$A$5001,_xlfn.MAXIFS(BD!$A$3:$A$5001,BD!$B$3:$B$5001,D$136,BD!$A$3:$A$5001,"&gt;="&amp;$C$7,BD!$A$3:$A$5001,"&lt;="&amp;$B142,BD!$V$3:$V$5001,"&lt;&gt;"))))</f>
        <v/>
      </c>
      <c r="E142" s="43" t="str">
        <f>IF(OR($B142="",$A142&gt;$B$9,E$136=""),"",IF(COUNTIFS(BD!$B$3:$B$5001,E$136,BD!$A$3:$A$5001,"&gt;="&amp;$C$7,BD!$A$3:$A$5001,"&lt;="&amp;$B142,BD!$V$3:$V$5001,"&lt;&gt;")=0,"",SUMIFS(BD!$V$3:$V$5001,BD!$B$3:$B$5001,E$136,BD!$A$3:$A$5001,_xlfn.MAXIFS(BD!$A$3:$A$5001,BD!$B$3:$B$5001,E$136,BD!$A$3:$A$5001,"&gt;="&amp;$C$7,BD!$A$3:$A$5001,"&lt;="&amp;$B142,BD!$V$3:$V$5001,"&lt;&gt;"))))</f>
        <v/>
      </c>
      <c r="F142" s="43" t="str">
        <f>IF(OR($B142="",$A142&gt;$B$9,F$136=""),"",IF(COUNTIFS(BD!$B$3:$B$5001,F$136,BD!$A$3:$A$5001,"&gt;="&amp;$C$7,BD!$A$3:$A$5001,"&lt;="&amp;$B142,BD!$V$3:$V$5001,"&lt;&gt;")=0,"",SUMIFS(BD!$V$3:$V$5001,BD!$B$3:$B$5001,F$136,BD!$A$3:$A$5001,_xlfn.MAXIFS(BD!$A$3:$A$5001,BD!$B$3:$B$5001,F$136,BD!$A$3:$A$5001,"&gt;="&amp;$C$7,BD!$A$3:$A$5001,"&lt;="&amp;$B142,BD!$V$3:$V$5001,"&lt;&gt;"))))</f>
        <v/>
      </c>
      <c r="G142" s="43" t="str">
        <f>IF(OR($B142="",$A142&gt;$B$9,G$136=""),"",IF(COUNTIFS(BD!$B$3:$B$5001,G$136,BD!$A$3:$A$5001,"&gt;="&amp;$C$7,BD!$A$3:$A$5001,"&lt;="&amp;$B142,BD!$V$3:$V$5001,"&lt;&gt;")=0,"",SUMIFS(BD!$V$3:$V$5001,BD!$B$3:$B$5001,G$136,BD!$A$3:$A$5001,_xlfn.MAXIFS(BD!$A$3:$A$5001,BD!$B$3:$B$5001,G$136,BD!$A$3:$A$5001,"&gt;="&amp;$C$7,BD!$A$3:$A$5001,"&lt;="&amp;$B142,BD!$V$3:$V$5001,"&lt;&gt;"))))</f>
        <v/>
      </c>
      <c r="H142" s="43" t="str">
        <f>IF(OR($B142="",$A142&gt;$B$9,H$136=""),"",IF(COUNTIFS(BD!$B$3:$B$5001,H$136,BD!$A$3:$A$5001,"&gt;="&amp;$C$7,BD!$A$3:$A$5001,"&lt;="&amp;$B142,BD!$V$3:$V$5001,"&lt;&gt;")=0,"",SUMIFS(BD!$V$3:$V$5001,BD!$B$3:$B$5001,H$136,BD!$A$3:$A$5001,_xlfn.MAXIFS(BD!$A$3:$A$5001,BD!$B$3:$B$5001,H$136,BD!$A$3:$A$5001,"&gt;="&amp;$C$7,BD!$A$3:$A$5001,"&lt;="&amp;$B142,BD!$V$3:$V$5001,"&lt;&gt;"))))</f>
        <v/>
      </c>
      <c r="I142" s="43" t="str">
        <f>IF(OR($B142="",$A142&gt;$B$9,I$136=""),"",IF(COUNTIFS(BD!$B$3:$B$5001,I$136,BD!$A$3:$A$5001,"&gt;="&amp;$C$7,BD!$A$3:$A$5001,"&lt;="&amp;$B142,BD!$V$3:$V$5001,"&lt;&gt;")=0,"",SUMIFS(BD!$V$3:$V$5001,BD!$B$3:$B$5001,I$136,BD!$A$3:$A$5001,_xlfn.MAXIFS(BD!$A$3:$A$5001,BD!$B$3:$B$5001,I$136,BD!$A$3:$A$5001,"&gt;="&amp;$C$7,BD!$A$3:$A$5001,"&lt;="&amp;$B142,BD!$V$3:$V$5001,"&lt;&gt;"))))</f>
        <v/>
      </c>
      <c r="J142" s="43" t="str">
        <f>IF(OR($B142="",$A142&gt;$B$9,J$136=""),"",IF(COUNTIFS(BD!$B$3:$B$5001,J$136,BD!$A$3:$A$5001,"&gt;="&amp;$C$7,BD!$A$3:$A$5001,"&lt;="&amp;$B142,BD!$V$3:$V$5001,"&lt;&gt;")=0,"",SUMIFS(BD!$V$3:$V$5001,BD!$B$3:$B$5001,J$136,BD!$A$3:$A$5001,_xlfn.MAXIFS(BD!$A$3:$A$5001,BD!$B$3:$B$5001,J$136,BD!$A$3:$A$5001,"&gt;="&amp;$C$7,BD!$A$3:$A$5001,"&lt;="&amp;$B142,BD!$V$3:$V$5001,"&lt;&gt;"))))</f>
        <v/>
      </c>
      <c r="K142" s="43" t="str">
        <f>IF(OR($B142="",$A142&gt;$B$9,K$136=""),"",IF(COUNTIFS(BD!$B$3:$B$5001,K$136,BD!$A$3:$A$5001,"&gt;="&amp;$C$7,BD!$A$3:$A$5001,"&lt;="&amp;$B142,BD!$V$3:$V$5001,"&lt;&gt;")=0,"",SUMIFS(BD!$V$3:$V$5001,BD!$B$3:$B$5001,K$136,BD!$A$3:$A$5001,_xlfn.MAXIFS(BD!$A$3:$A$5001,BD!$B$3:$B$5001,K$136,BD!$A$3:$A$5001,"&gt;="&amp;$C$7,BD!$A$3:$A$5001,"&lt;="&amp;$B142,BD!$V$3:$V$5001,"&lt;&gt;"))))</f>
        <v/>
      </c>
      <c r="L142" s="43" t="str">
        <f>IF(OR($B142="",$A142&gt;$B$9,L$136=""),"",IF(COUNTIFS(BD!$B$3:$B$5001,L$136,BD!$A$3:$A$5001,"&gt;="&amp;$C$7,BD!$A$3:$A$5001,"&lt;="&amp;$B142,BD!$V$3:$V$5001,"&lt;&gt;")=0,"",SUMIFS(BD!$V$3:$V$5001,BD!$B$3:$B$5001,L$136,BD!$A$3:$A$5001,_xlfn.MAXIFS(BD!$A$3:$A$5001,BD!$B$3:$B$5001,L$136,BD!$A$3:$A$5001,"&gt;="&amp;$C$7,BD!$A$3:$A$5001,"&lt;="&amp;$B142,BD!$V$3:$V$5001,"&lt;&gt;"))))</f>
        <v/>
      </c>
      <c r="M142" s="43" t="str">
        <f>IF(OR($B142="",$A142&gt;$B$9,M$136=""),"",IF(COUNTIFS(BD!$B$3:$B$5001,M$136,BD!$A$3:$A$5001,"&gt;="&amp;$C$7,BD!$A$3:$A$5001,"&lt;="&amp;$B142,BD!$V$3:$V$5001,"&lt;&gt;")=0,"",SUMIFS(BD!$V$3:$V$5001,BD!$B$3:$B$5001,M$136,BD!$A$3:$A$5001,_xlfn.MAXIFS(BD!$A$3:$A$5001,BD!$B$3:$B$5001,M$136,BD!$A$3:$A$5001,"&gt;="&amp;$C$7,BD!$A$3:$A$5001,"&lt;="&amp;$B142,BD!$V$3:$V$5001,"&lt;&gt;"))))</f>
        <v/>
      </c>
      <c r="N142" s="43" t="str">
        <f>IF(OR($B142="",$A142&gt;$B$9,N$136=""),"",IF(COUNTIFS(BD!$B$3:$B$5001,N$136,BD!$A$3:$A$5001,"&gt;="&amp;$C$7,BD!$A$3:$A$5001,"&lt;="&amp;$B142,BD!$V$3:$V$5001,"&lt;&gt;")=0,"",SUMIFS(BD!$V$3:$V$5001,BD!$B$3:$B$5001,N$136,BD!$A$3:$A$5001,_xlfn.MAXIFS(BD!$A$3:$A$5001,BD!$B$3:$B$5001,N$136,BD!$A$3:$A$5001,"&gt;="&amp;$C$7,BD!$A$3:$A$5001,"&lt;="&amp;$B142,BD!$V$3:$V$5001,"&lt;&gt;"))))</f>
        <v/>
      </c>
      <c r="O142" s="43" t="str">
        <f>IF(OR($B142="",$A142&gt;$B$9,O$136=""),"",IF(COUNTIFS(BD!$B$3:$B$5001,O$136,BD!$A$3:$A$5001,"&gt;="&amp;$C$7,BD!$A$3:$A$5001,"&lt;="&amp;$B142,BD!$V$3:$V$5001,"&lt;&gt;")=0,"",SUMIFS(BD!$V$3:$V$5001,BD!$B$3:$B$5001,O$136,BD!$A$3:$A$5001,_xlfn.MAXIFS(BD!$A$3:$A$5001,BD!$B$3:$B$5001,O$136,BD!$A$3:$A$5001,"&gt;="&amp;$C$7,BD!$A$3:$A$5001,"&lt;="&amp;$B142,BD!$V$3:$V$5001,"&lt;&gt;"))))</f>
        <v/>
      </c>
      <c r="P142" s="43" t="str">
        <f>IF(OR($B142="",$A142&gt;$B$9,P$136=""),"",IF(COUNTIFS(BD!$B$3:$B$5001,P$136,BD!$A$3:$A$5001,"&gt;="&amp;$C$7,BD!$A$3:$A$5001,"&lt;="&amp;$B142,BD!$V$3:$V$5001,"&lt;&gt;")=0,"",SUMIFS(BD!$V$3:$V$5001,BD!$B$3:$B$5001,P$136,BD!$A$3:$A$5001,_xlfn.MAXIFS(BD!$A$3:$A$5001,BD!$B$3:$B$5001,P$136,BD!$A$3:$A$5001,"&gt;="&amp;$C$7,BD!$A$3:$A$5001,"&lt;="&amp;$B142,BD!$V$3:$V$5001,"&lt;&gt;"))))</f>
        <v/>
      </c>
      <c r="Q142" s="43" t="str">
        <f>IF(OR($B142="",$A142&gt;$B$9,Q$136=""),"",IF(COUNTIFS(BD!$B$3:$B$5001,Q$136,BD!$A$3:$A$5001,"&gt;="&amp;$C$7,BD!$A$3:$A$5001,"&lt;="&amp;$B142,BD!$V$3:$V$5001,"&lt;&gt;")=0,"",SUMIFS(BD!$V$3:$V$5001,BD!$B$3:$B$5001,Q$136,BD!$A$3:$A$5001,_xlfn.MAXIFS(BD!$A$3:$A$5001,BD!$B$3:$B$5001,Q$136,BD!$A$3:$A$5001,"&gt;="&amp;$C$7,BD!$A$3:$A$5001,"&lt;="&amp;$B142,BD!$V$3:$V$5001,"&lt;&gt;"))))</f>
        <v/>
      </c>
      <c r="R142" s="43" t="str">
        <f>IF(OR($B142="",$A142&gt;$B$9,R$136=""),"",IF(COUNTIFS(BD!$B$3:$B$5001,R$136,BD!$A$3:$A$5001,"&gt;="&amp;$C$7,BD!$A$3:$A$5001,"&lt;="&amp;$B142,BD!$V$3:$V$5001,"&lt;&gt;")=0,"",SUMIFS(BD!$V$3:$V$5001,BD!$B$3:$B$5001,R$136,BD!$A$3:$A$5001,_xlfn.MAXIFS(BD!$A$3:$A$5001,BD!$B$3:$B$5001,R$136,BD!$A$3:$A$5001,"&gt;="&amp;$C$7,BD!$A$3:$A$5001,"&lt;="&amp;$B142,BD!$V$3:$V$5001,"&lt;&gt;"))))</f>
        <v/>
      </c>
      <c r="S142" s="43" t="str">
        <f>IF(OR($B142="",$A142&gt;$B$9,S$136=""),"",IF(COUNTIFS(BD!$B$3:$B$5001,S$136,BD!$A$3:$A$5001,"&gt;="&amp;$C$7,BD!$A$3:$A$5001,"&lt;="&amp;$B142,BD!$V$3:$V$5001,"&lt;&gt;")=0,"",SUMIFS(BD!$V$3:$V$5001,BD!$B$3:$B$5001,S$136,BD!$A$3:$A$5001,_xlfn.MAXIFS(BD!$A$3:$A$5001,BD!$B$3:$B$5001,S$136,BD!$A$3:$A$5001,"&gt;="&amp;$C$7,BD!$A$3:$A$5001,"&lt;="&amp;$B142,BD!$V$3:$V$5001,"&lt;&gt;"))))</f>
        <v/>
      </c>
      <c r="T142" s="43" t="str">
        <f>IF(OR($B142="",$A142&gt;$B$9,T$136=""),"",IF(COUNTIFS(BD!$B$3:$B$5001,T$136,BD!$A$3:$A$5001,"&gt;="&amp;$C$7,BD!$A$3:$A$5001,"&lt;="&amp;$B142,BD!$V$3:$V$5001,"&lt;&gt;")=0,"",SUMIFS(BD!$V$3:$V$5001,BD!$B$3:$B$5001,T$136,BD!$A$3:$A$5001,_xlfn.MAXIFS(BD!$A$3:$A$5001,BD!$B$3:$B$5001,T$136,BD!$A$3:$A$5001,"&gt;="&amp;$C$7,BD!$A$3:$A$5001,"&lt;="&amp;$B142,BD!$V$3:$V$5001,"&lt;&gt;"))))</f>
        <v/>
      </c>
      <c r="U142" s="43" t="str">
        <f>IF(OR($B142="",$A142&gt;$B$9,U$136=""),"",IF(COUNTIFS(BD!$B$3:$B$5001,U$136,BD!$A$3:$A$5001,"&gt;="&amp;$C$7,BD!$A$3:$A$5001,"&lt;="&amp;$B142,BD!$V$3:$V$5001,"&lt;&gt;")=0,"",SUMIFS(BD!$V$3:$V$5001,BD!$B$3:$B$5001,U$136,BD!$A$3:$A$5001,_xlfn.MAXIFS(BD!$A$3:$A$5001,BD!$B$3:$B$5001,U$136,BD!$A$3:$A$5001,"&gt;="&amp;$C$7,BD!$A$3:$A$5001,"&lt;="&amp;$B142,BD!$V$3:$V$5001,"&lt;&gt;"))))</f>
        <v/>
      </c>
      <c r="V142" s="43" t="str">
        <f>IF(OR($B142="",$A142&gt;$B$9,V$136=""),"",IF(COUNTIFS(BD!$B$3:$B$5001,V$136,BD!$A$3:$A$5001,"&gt;="&amp;$C$7,BD!$A$3:$A$5001,"&lt;="&amp;$B142,BD!$V$3:$V$5001,"&lt;&gt;")=0,"",SUMIFS(BD!$V$3:$V$5001,BD!$B$3:$B$5001,V$136,BD!$A$3:$A$5001,_xlfn.MAXIFS(BD!$A$3:$A$5001,BD!$B$3:$B$5001,V$136,BD!$A$3:$A$5001,"&gt;="&amp;$C$7,BD!$A$3:$A$5001,"&lt;="&amp;$B142,BD!$V$3:$V$5001,"&lt;&gt;"))))</f>
        <v/>
      </c>
    </row>
    <row r="143">
      <c r="A143" s="38">
        <v>7</v>
      </c>
      <c r="B143" s="42">
        <f>$B$18</f>
        <v>46302</v>
      </c>
      <c r="C143" s="43" t="str">
        <f>IF(OR($B143="",$A143&gt;$B$9,C$136=""),"",IF(COUNTIFS(BD!$B$3:$B$5001,C$136,BD!$A$3:$A$5001,"&gt;="&amp;$C$7,BD!$A$3:$A$5001,"&lt;="&amp;$B143,BD!$V$3:$V$5001,"&lt;&gt;")=0,"",SUMIFS(BD!$V$3:$V$5001,BD!$B$3:$B$5001,C$136,BD!$A$3:$A$5001,_xlfn.MAXIFS(BD!$A$3:$A$5001,BD!$B$3:$B$5001,C$136,BD!$A$3:$A$5001,"&gt;="&amp;$C$7,BD!$A$3:$A$5001,"&lt;="&amp;$B143,BD!$V$3:$V$5001,"&lt;&gt;"))))</f>
        <v/>
      </c>
      <c r="D143" s="43" t="str">
        <f>IF(OR($B143="",$A143&gt;$B$9,D$136=""),"",IF(COUNTIFS(BD!$B$3:$B$5001,D$136,BD!$A$3:$A$5001,"&gt;="&amp;$C$7,BD!$A$3:$A$5001,"&lt;="&amp;$B143,BD!$V$3:$V$5001,"&lt;&gt;")=0,"",SUMIFS(BD!$V$3:$V$5001,BD!$B$3:$B$5001,D$136,BD!$A$3:$A$5001,_xlfn.MAXIFS(BD!$A$3:$A$5001,BD!$B$3:$B$5001,D$136,BD!$A$3:$A$5001,"&gt;="&amp;$C$7,BD!$A$3:$A$5001,"&lt;="&amp;$B143,BD!$V$3:$V$5001,"&lt;&gt;"))))</f>
        <v/>
      </c>
      <c r="E143" s="43" t="str">
        <f>IF(OR($B143="",$A143&gt;$B$9,E$136=""),"",IF(COUNTIFS(BD!$B$3:$B$5001,E$136,BD!$A$3:$A$5001,"&gt;="&amp;$C$7,BD!$A$3:$A$5001,"&lt;="&amp;$B143,BD!$V$3:$V$5001,"&lt;&gt;")=0,"",SUMIFS(BD!$V$3:$V$5001,BD!$B$3:$B$5001,E$136,BD!$A$3:$A$5001,_xlfn.MAXIFS(BD!$A$3:$A$5001,BD!$B$3:$B$5001,E$136,BD!$A$3:$A$5001,"&gt;="&amp;$C$7,BD!$A$3:$A$5001,"&lt;="&amp;$B143,BD!$V$3:$V$5001,"&lt;&gt;"))))</f>
        <v/>
      </c>
      <c r="F143" s="43" t="str">
        <f>IF(OR($B143="",$A143&gt;$B$9,F$136=""),"",IF(COUNTIFS(BD!$B$3:$B$5001,F$136,BD!$A$3:$A$5001,"&gt;="&amp;$C$7,BD!$A$3:$A$5001,"&lt;="&amp;$B143,BD!$V$3:$V$5001,"&lt;&gt;")=0,"",SUMIFS(BD!$V$3:$V$5001,BD!$B$3:$B$5001,F$136,BD!$A$3:$A$5001,_xlfn.MAXIFS(BD!$A$3:$A$5001,BD!$B$3:$B$5001,F$136,BD!$A$3:$A$5001,"&gt;="&amp;$C$7,BD!$A$3:$A$5001,"&lt;="&amp;$B143,BD!$V$3:$V$5001,"&lt;&gt;"))))</f>
        <v/>
      </c>
      <c r="G143" s="43" t="str">
        <f>IF(OR($B143="",$A143&gt;$B$9,G$136=""),"",IF(COUNTIFS(BD!$B$3:$B$5001,G$136,BD!$A$3:$A$5001,"&gt;="&amp;$C$7,BD!$A$3:$A$5001,"&lt;="&amp;$B143,BD!$V$3:$V$5001,"&lt;&gt;")=0,"",SUMIFS(BD!$V$3:$V$5001,BD!$B$3:$B$5001,G$136,BD!$A$3:$A$5001,_xlfn.MAXIFS(BD!$A$3:$A$5001,BD!$B$3:$B$5001,G$136,BD!$A$3:$A$5001,"&gt;="&amp;$C$7,BD!$A$3:$A$5001,"&lt;="&amp;$B143,BD!$V$3:$V$5001,"&lt;&gt;"))))</f>
        <v/>
      </c>
      <c r="H143" s="43" t="str">
        <f>IF(OR($B143="",$A143&gt;$B$9,H$136=""),"",IF(COUNTIFS(BD!$B$3:$B$5001,H$136,BD!$A$3:$A$5001,"&gt;="&amp;$C$7,BD!$A$3:$A$5001,"&lt;="&amp;$B143,BD!$V$3:$V$5001,"&lt;&gt;")=0,"",SUMIFS(BD!$V$3:$V$5001,BD!$B$3:$B$5001,H$136,BD!$A$3:$A$5001,_xlfn.MAXIFS(BD!$A$3:$A$5001,BD!$B$3:$B$5001,H$136,BD!$A$3:$A$5001,"&gt;="&amp;$C$7,BD!$A$3:$A$5001,"&lt;="&amp;$B143,BD!$V$3:$V$5001,"&lt;&gt;"))))</f>
        <v/>
      </c>
      <c r="I143" s="43" t="str">
        <f>IF(OR($B143="",$A143&gt;$B$9,I$136=""),"",IF(COUNTIFS(BD!$B$3:$B$5001,I$136,BD!$A$3:$A$5001,"&gt;="&amp;$C$7,BD!$A$3:$A$5001,"&lt;="&amp;$B143,BD!$V$3:$V$5001,"&lt;&gt;")=0,"",SUMIFS(BD!$V$3:$V$5001,BD!$B$3:$B$5001,I$136,BD!$A$3:$A$5001,_xlfn.MAXIFS(BD!$A$3:$A$5001,BD!$B$3:$B$5001,I$136,BD!$A$3:$A$5001,"&gt;="&amp;$C$7,BD!$A$3:$A$5001,"&lt;="&amp;$B143,BD!$V$3:$V$5001,"&lt;&gt;"))))</f>
        <v/>
      </c>
      <c r="J143" s="43" t="str">
        <f>IF(OR($B143="",$A143&gt;$B$9,J$136=""),"",IF(COUNTIFS(BD!$B$3:$B$5001,J$136,BD!$A$3:$A$5001,"&gt;="&amp;$C$7,BD!$A$3:$A$5001,"&lt;="&amp;$B143,BD!$V$3:$V$5001,"&lt;&gt;")=0,"",SUMIFS(BD!$V$3:$V$5001,BD!$B$3:$B$5001,J$136,BD!$A$3:$A$5001,_xlfn.MAXIFS(BD!$A$3:$A$5001,BD!$B$3:$B$5001,J$136,BD!$A$3:$A$5001,"&gt;="&amp;$C$7,BD!$A$3:$A$5001,"&lt;="&amp;$B143,BD!$V$3:$V$5001,"&lt;&gt;"))))</f>
        <v/>
      </c>
      <c r="K143" s="43" t="str">
        <f>IF(OR($B143="",$A143&gt;$B$9,K$136=""),"",IF(COUNTIFS(BD!$B$3:$B$5001,K$136,BD!$A$3:$A$5001,"&gt;="&amp;$C$7,BD!$A$3:$A$5001,"&lt;="&amp;$B143,BD!$V$3:$V$5001,"&lt;&gt;")=0,"",SUMIFS(BD!$V$3:$V$5001,BD!$B$3:$B$5001,K$136,BD!$A$3:$A$5001,_xlfn.MAXIFS(BD!$A$3:$A$5001,BD!$B$3:$B$5001,K$136,BD!$A$3:$A$5001,"&gt;="&amp;$C$7,BD!$A$3:$A$5001,"&lt;="&amp;$B143,BD!$V$3:$V$5001,"&lt;&gt;"))))</f>
        <v/>
      </c>
      <c r="L143" s="43" t="str">
        <f>IF(OR($B143="",$A143&gt;$B$9,L$136=""),"",IF(COUNTIFS(BD!$B$3:$B$5001,L$136,BD!$A$3:$A$5001,"&gt;="&amp;$C$7,BD!$A$3:$A$5001,"&lt;="&amp;$B143,BD!$V$3:$V$5001,"&lt;&gt;")=0,"",SUMIFS(BD!$V$3:$V$5001,BD!$B$3:$B$5001,L$136,BD!$A$3:$A$5001,_xlfn.MAXIFS(BD!$A$3:$A$5001,BD!$B$3:$B$5001,L$136,BD!$A$3:$A$5001,"&gt;="&amp;$C$7,BD!$A$3:$A$5001,"&lt;="&amp;$B143,BD!$V$3:$V$5001,"&lt;&gt;"))))</f>
        <v/>
      </c>
      <c r="M143" s="43" t="str">
        <f>IF(OR($B143="",$A143&gt;$B$9,M$136=""),"",IF(COUNTIFS(BD!$B$3:$B$5001,M$136,BD!$A$3:$A$5001,"&gt;="&amp;$C$7,BD!$A$3:$A$5001,"&lt;="&amp;$B143,BD!$V$3:$V$5001,"&lt;&gt;")=0,"",SUMIFS(BD!$V$3:$V$5001,BD!$B$3:$B$5001,M$136,BD!$A$3:$A$5001,_xlfn.MAXIFS(BD!$A$3:$A$5001,BD!$B$3:$B$5001,M$136,BD!$A$3:$A$5001,"&gt;="&amp;$C$7,BD!$A$3:$A$5001,"&lt;="&amp;$B143,BD!$V$3:$V$5001,"&lt;&gt;"))))</f>
        <v/>
      </c>
      <c r="N143" s="43" t="str">
        <f>IF(OR($B143="",$A143&gt;$B$9,N$136=""),"",IF(COUNTIFS(BD!$B$3:$B$5001,N$136,BD!$A$3:$A$5001,"&gt;="&amp;$C$7,BD!$A$3:$A$5001,"&lt;="&amp;$B143,BD!$V$3:$V$5001,"&lt;&gt;")=0,"",SUMIFS(BD!$V$3:$V$5001,BD!$B$3:$B$5001,N$136,BD!$A$3:$A$5001,_xlfn.MAXIFS(BD!$A$3:$A$5001,BD!$B$3:$B$5001,N$136,BD!$A$3:$A$5001,"&gt;="&amp;$C$7,BD!$A$3:$A$5001,"&lt;="&amp;$B143,BD!$V$3:$V$5001,"&lt;&gt;"))))</f>
        <v/>
      </c>
      <c r="O143" s="43" t="str">
        <f>IF(OR($B143="",$A143&gt;$B$9,O$136=""),"",IF(COUNTIFS(BD!$B$3:$B$5001,O$136,BD!$A$3:$A$5001,"&gt;="&amp;$C$7,BD!$A$3:$A$5001,"&lt;="&amp;$B143,BD!$V$3:$V$5001,"&lt;&gt;")=0,"",SUMIFS(BD!$V$3:$V$5001,BD!$B$3:$B$5001,O$136,BD!$A$3:$A$5001,_xlfn.MAXIFS(BD!$A$3:$A$5001,BD!$B$3:$B$5001,O$136,BD!$A$3:$A$5001,"&gt;="&amp;$C$7,BD!$A$3:$A$5001,"&lt;="&amp;$B143,BD!$V$3:$V$5001,"&lt;&gt;"))))</f>
        <v/>
      </c>
      <c r="P143" s="43" t="str">
        <f>IF(OR($B143="",$A143&gt;$B$9,P$136=""),"",IF(COUNTIFS(BD!$B$3:$B$5001,P$136,BD!$A$3:$A$5001,"&gt;="&amp;$C$7,BD!$A$3:$A$5001,"&lt;="&amp;$B143,BD!$V$3:$V$5001,"&lt;&gt;")=0,"",SUMIFS(BD!$V$3:$V$5001,BD!$B$3:$B$5001,P$136,BD!$A$3:$A$5001,_xlfn.MAXIFS(BD!$A$3:$A$5001,BD!$B$3:$B$5001,P$136,BD!$A$3:$A$5001,"&gt;="&amp;$C$7,BD!$A$3:$A$5001,"&lt;="&amp;$B143,BD!$V$3:$V$5001,"&lt;&gt;"))))</f>
        <v/>
      </c>
      <c r="Q143" s="43" t="str">
        <f>IF(OR($B143="",$A143&gt;$B$9,Q$136=""),"",IF(COUNTIFS(BD!$B$3:$B$5001,Q$136,BD!$A$3:$A$5001,"&gt;="&amp;$C$7,BD!$A$3:$A$5001,"&lt;="&amp;$B143,BD!$V$3:$V$5001,"&lt;&gt;")=0,"",SUMIFS(BD!$V$3:$V$5001,BD!$B$3:$B$5001,Q$136,BD!$A$3:$A$5001,_xlfn.MAXIFS(BD!$A$3:$A$5001,BD!$B$3:$B$5001,Q$136,BD!$A$3:$A$5001,"&gt;="&amp;$C$7,BD!$A$3:$A$5001,"&lt;="&amp;$B143,BD!$V$3:$V$5001,"&lt;&gt;"))))</f>
        <v/>
      </c>
      <c r="R143" s="43" t="str">
        <f>IF(OR($B143="",$A143&gt;$B$9,R$136=""),"",IF(COUNTIFS(BD!$B$3:$B$5001,R$136,BD!$A$3:$A$5001,"&gt;="&amp;$C$7,BD!$A$3:$A$5001,"&lt;="&amp;$B143,BD!$V$3:$V$5001,"&lt;&gt;")=0,"",SUMIFS(BD!$V$3:$V$5001,BD!$B$3:$B$5001,R$136,BD!$A$3:$A$5001,_xlfn.MAXIFS(BD!$A$3:$A$5001,BD!$B$3:$B$5001,R$136,BD!$A$3:$A$5001,"&gt;="&amp;$C$7,BD!$A$3:$A$5001,"&lt;="&amp;$B143,BD!$V$3:$V$5001,"&lt;&gt;"))))</f>
        <v/>
      </c>
      <c r="S143" s="43" t="str">
        <f>IF(OR($B143="",$A143&gt;$B$9,S$136=""),"",IF(COUNTIFS(BD!$B$3:$B$5001,S$136,BD!$A$3:$A$5001,"&gt;="&amp;$C$7,BD!$A$3:$A$5001,"&lt;="&amp;$B143,BD!$V$3:$V$5001,"&lt;&gt;")=0,"",SUMIFS(BD!$V$3:$V$5001,BD!$B$3:$B$5001,S$136,BD!$A$3:$A$5001,_xlfn.MAXIFS(BD!$A$3:$A$5001,BD!$B$3:$B$5001,S$136,BD!$A$3:$A$5001,"&gt;="&amp;$C$7,BD!$A$3:$A$5001,"&lt;="&amp;$B143,BD!$V$3:$V$5001,"&lt;&gt;"))))</f>
        <v/>
      </c>
      <c r="T143" s="43" t="str">
        <f>IF(OR($B143="",$A143&gt;$B$9,T$136=""),"",IF(COUNTIFS(BD!$B$3:$B$5001,T$136,BD!$A$3:$A$5001,"&gt;="&amp;$C$7,BD!$A$3:$A$5001,"&lt;="&amp;$B143,BD!$V$3:$V$5001,"&lt;&gt;")=0,"",SUMIFS(BD!$V$3:$V$5001,BD!$B$3:$B$5001,T$136,BD!$A$3:$A$5001,_xlfn.MAXIFS(BD!$A$3:$A$5001,BD!$B$3:$B$5001,T$136,BD!$A$3:$A$5001,"&gt;="&amp;$C$7,BD!$A$3:$A$5001,"&lt;="&amp;$B143,BD!$V$3:$V$5001,"&lt;&gt;"))))</f>
        <v/>
      </c>
      <c r="U143" s="43" t="str">
        <f>IF(OR($B143="",$A143&gt;$B$9,U$136=""),"",IF(COUNTIFS(BD!$B$3:$B$5001,U$136,BD!$A$3:$A$5001,"&gt;="&amp;$C$7,BD!$A$3:$A$5001,"&lt;="&amp;$B143,BD!$V$3:$V$5001,"&lt;&gt;")=0,"",SUMIFS(BD!$V$3:$V$5001,BD!$B$3:$B$5001,U$136,BD!$A$3:$A$5001,_xlfn.MAXIFS(BD!$A$3:$A$5001,BD!$B$3:$B$5001,U$136,BD!$A$3:$A$5001,"&gt;="&amp;$C$7,BD!$A$3:$A$5001,"&lt;="&amp;$B143,BD!$V$3:$V$5001,"&lt;&gt;"))))</f>
        <v/>
      </c>
      <c r="V143" s="43" t="str">
        <f>IF(OR($B143="",$A143&gt;$B$9,V$136=""),"",IF(COUNTIFS(BD!$B$3:$B$5001,V$136,BD!$A$3:$A$5001,"&gt;="&amp;$C$7,BD!$A$3:$A$5001,"&lt;="&amp;$B143,BD!$V$3:$V$5001,"&lt;&gt;")=0,"",SUMIFS(BD!$V$3:$V$5001,BD!$B$3:$B$5001,V$136,BD!$A$3:$A$5001,_xlfn.MAXIFS(BD!$A$3:$A$5001,BD!$B$3:$B$5001,V$136,BD!$A$3:$A$5001,"&gt;="&amp;$C$7,BD!$A$3:$A$5001,"&lt;="&amp;$B143,BD!$V$3:$V$5001,"&lt;&gt;"))))</f>
        <v/>
      </c>
    </row>
    <row r="144">
      <c r="A144" s="38">
        <v>8</v>
      </c>
      <c r="B144" s="42">
        <f>$B$19</f>
        <v>46303</v>
      </c>
      <c r="C144" s="43" t="str">
        <f>IF(OR($B144="",$A144&gt;$B$9,C$136=""),"",IF(COUNTIFS(BD!$B$3:$B$5001,C$136,BD!$A$3:$A$5001,"&gt;="&amp;$C$7,BD!$A$3:$A$5001,"&lt;="&amp;$B144,BD!$V$3:$V$5001,"&lt;&gt;")=0,"",SUMIFS(BD!$V$3:$V$5001,BD!$B$3:$B$5001,C$136,BD!$A$3:$A$5001,_xlfn.MAXIFS(BD!$A$3:$A$5001,BD!$B$3:$B$5001,C$136,BD!$A$3:$A$5001,"&gt;="&amp;$C$7,BD!$A$3:$A$5001,"&lt;="&amp;$B144,BD!$V$3:$V$5001,"&lt;&gt;"))))</f>
        <v/>
      </c>
      <c r="D144" s="43" t="str">
        <f>IF(OR($B144="",$A144&gt;$B$9,D$136=""),"",IF(COUNTIFS(BD!$B$3:$B$5001,D$136,BD!$A$3:$A$5001,"&gt;="&amp;$C$7,BD!$A$3:$A$5001,"&lt;="&amp;$B144,BD!$V$3:$V$5001,"&lt;&gt;")=0,"",SUMIFS(BD!$V$3:$V$5001,BD!$B$3:$B$5001,D$136,BD!$A$3:$A$5001,_xlfn.MAXIFS(BD!$A$3:$A$5001,BD!$B$3:$B$5001,D$136,BD!$A$3:$A$5001,"&gt;="&amp;$C$7,BD!$A$3:$A$5001,"&lt;="&amp;$B144,BD!$V$3:$V$5001,"&lt;&gt;"))))</f>
        <v/>
      </c>
      <c r="E144" s="43" t="str">
        <f>IF(OR($B144="",$A144&gt;$B$9,E$136=""),"",IF(COUNTIFS(BD!$B$3:$B$5001,E$136,BD!$A$3:$A$5001,"&gt;="&amp;$C$7,BD!$A$3:$A$5001,"&lt;="&amp;$B144,BD!$V$3:$V$5001,"&lt;&gt;")=0,"",SUMIFS(BD!$V$3:$V$5001,BD!$B$3:$B$5001,E$136,BD!$A$3:$A$5001,_xlfn.MAXIFS(BD!$A$3:$A$5001,BD!$B$3:$B$5001,E$136,BD!$A$3:$A$5001,"&gt;="&amp;$C$7,BD!$A$3:$A$5001,"&lt;="&amp;$B144,BD!$V$3:$V$5001,"&lt;&gt;"))))</f>
        <v/>
      </c>
      <c r="F144" s="43" t="str">
        <f>IF(OR($B144="",$A144&gt;$B$9,F$136=""),"",IF(COUNTIFS(BD!$B$3:$B$5001,F$136,BD!$A$3:$A$5001,"&gt;="&amp;$C$7,BD!$A$3:$A$5001,"&lt;="&amp;$B144,BD!$V$3:$V$5001,"&lt;&gt;")=0,"",SUMIFS(BD!$V$3:$V$5001,BD!$B$3:$B$5001,F$136,BD!$A$3:$A$5001,_xlfn.MAXIFS(BD!$A$3:$A$5001,BD!$B$3:$B$5001,F$136,BD!$A$3:$A$5001,"&gt;="&amp;$C$7,BD!$A$3:$A$5001,"&lt;="&amp;$B144,BD!$V$3:$V$5001,"&lt;&gt;"))))</f>
        <v/>
      </c>
      <c r="G144" s="43" t="str">
        <f>IF(OR($B144="",$A144&gt;$B$9,G$136=""),"",IF(COUNTIFS(BD!$B$3:$B$5001,G$136,BD!$A$3:$A$5001,"&gt;="&amp;$C$7,BD!$A$3:$A$5001,"&lt;="&amp;$B144,BD!$V$3:$V$5001,"&lt;&gt;")=0,"",SUMIFS(BD!$V$3:$V$5001,BD!$B$3:$B$5001,G$136,BD!$A$3:$A$5001,_xlfn.MAXIFS(BD!$A$3:$A$5001,BD!$B$3:$B$5001,G$136,BD!$A$3:$A$5001,"&gt;="&amp;$C$7,BD!$A$3:$A$5001,"&lt;="&amp;$B144,BD!$V$3:$V$5001,"&lt;&gt;"))))</f>
        <v/>
      </c>
      <c r="H144" s="43" t="str">
        <f>IF(OR($B144="",$A144&gt;$B$9,H$136=""),"",IF(COUNTIFS(BD!$B$3:$B$5001,H$136,BD!$A$3:$A$5001,"&gt;="&amp;$C$7,BD!$A$3:$A$5001,"&lt;="&amp;$B144,BD!$V$3:$V$5001,"&lt;&gt;")=0,"",SUMIFS(BD!$V$3:$V$5001,BD!$B$3:$B$5001,H$136,BD!$A$3:$A$5001,_xlfn.MAXIFS(BD!$A$3:$A$5001,BD!$B$3:$B$5001,H$136,BD!$A$3:$A$5001,"&gt;="&amp;$C$7,BD!$A$3:$A$5001,"&lt;="&amp;$B144,BD!$V$3:$V$5001,"&lt;&gt;"))))</f>
        <v/>
      </c>
      <c r="I144" s="43" t="str">
        <f>IF(OR($B144="",$A144&gt;$B$9,I$136=""),"",IF(COUNTIFS(BD!$B$3:$B$5001,I$136,BD!$A$3:$A$5001,"&gt;="&amp;$C$7,BD!$A$3:$A$5001,"&lt;="&amp;$B144,BD!$V$3:$V$5001,"&lt;&gt;")=0,"",SUMIFS(BD!$V$3:$V$5001,BD!$B$3:$B$5001,I$136,BD!$A$3:$A$5001,_xlfn.MAXIFS(BD!$A$3:$A$5001,BD!$B$3:$B$5001,I$136,BD!$A$3:$A$5001,"&gt;="&amp;$C$7,BD!$A$3:$A$5001,"&lt;="&amp;$B144,BD!$V$3:$V$5001,"&lt;&gt;"))))</f>
        <v/>
      </c>
      <c r="J144" s="43" t="str">
        <f>IF(OR($B144="",$A144&gt;$B$9,J$136=""),"",IF(COUNTIFS(BD!$B$3:$B$5001,J$136,BD!$A$3:$A$5001,"&gt;="&amp;$C$7,BD!$A$3:$A$5001,"&lt;="&amp;$B144,BD!$V$3:$V$5001,"&lt;&gt;")=0,"",SUMIFS(BD!$V$3:$V$5001,BD!$B$3:$B$5001,J$136,BD!$A$3:$A$5001,_xlfn.MAXIFS(BD!$A$3:$A$5001,BD!$B$3:$B$5001,J$136,BD!$A$3:$A$5001,"&gt;="&amp;$C$7,BD!$A$3:$A$5001,"&lt;="&amp;$B144,BD!$V$3:$V$5001,"&lt;&gt;"))))</f>
        <v/>
      </c>
      <c r="K144" s="43" t="str">
        <f>IF(OR($B144="",$A144&gt;$B$9,K$136=""),"",IF(COUNTIFS(BD!$B$3:$B$5001,K$136,BD!$A$3:$A$5001,"&gt;="&amp;$C$7,BD!$A$3:$A$5001,"&lt;="&amp;$B144,BD!$V$3:$V$5001,"&lt;&gt;")=0,"",SUMIFS(BD!$V$3:$V$5001,BD!$B$3:$B$5001,K$136,BD!$A$3:$A$5001,_xlfn.MAXIFS(BD!$A$3:$A$5001,BD!$B$3:$B$5001,K$136,BD!$A$3:$A$5001,"&gt;="&amp;$C$7,BD!$A$3:$A$5001,"&lt;="&amp;$B144,BD!$V$3:$V$5001,"&lt;&gt;"))))</f>
        <v/>
      </c>
      <c r="L144" s="43" t="str">
        <f>IF(OR($B144="",$A144&gt;$B$9,L$136=""),"",IF(COUNTIFS(BD!$B$3:$B$5001,L$136,BD!$A$3:$A$5001,"&gt;="&amp;$C$7,BD!$A$3:$A$5001,"&lt;="&amp;$B144,BD!$V$3:$V$5001,"&lt;&gt;")=0,"",SUMIFS(BD!$V$3:$V$5001,BD!$B$3:$B$5001,L$136,BD!$A$3:$A$5001,_xlfn.MAXIFS(BD!$A$3:$A$5001,BD!$B$3:$B$5001,L$136,BD!$A$3:$A$5001,"&gt;="&amp;$C$7,BD!$A$3:$A$5001,"&lt;="&amp;$B144,BD!$V$3:$V$5001,"&lt;&gt;"))))</f>
        <v/>
      </c>
      <c r="M144" s="43" t="str">
        <f>IF(OR($B144="",$A144&gt;$B$9,M$136=""),"",IF(COUNTIFS(BD!$B$3:$B$5001,M$136,BD!$A$3:$A$5001,"&gt;="&amp;$C$7,BD!$A$3:$A$5001,"&lt;="&amp;$B144,BD!$V$3:$V$5001,"&lt;&gt;")=0,"",SUMIFS(BD!$V$3:$V$5001,BD!$B$3:$B$5001,M$136,BD!$A$3:$A$5001,_xlfn.MAXIFS(BD!$A$3:$A$5001,BD!$B$3:$B$5001,M$136,BD!$A$3:$A$5001,"&gt;="&amp;$C$7,BD!$A$3:$A$5001,"&lt;="&amp;$B144,BD!$V$3:$V$5001,"&lt;&gt;"))))</f>
        <v/>
      </c>
      <c r="N144" s="43" t="str">
        <f>IF(OR($B144="",$A144&gt;$B$9,N$136=""),"",IF(COUNTIFS(BD!$B$3:$B$5001,N$136,BD!$A$3:$A$5001,"&gt;="&amp;$C$7,BD!$A$3:$A$5001,"&lt;="&amp;$B144,BD!$V$3:$V$5001,"&lt;&gt;")=0,"",SUMIFS(BD!$V$3:$V$5001,BD!$B$3:$B$5001,N$136,BD!$A$3:$A$5001,_xlfn.MAXIFS(BD!$A$3:$A$5001,BD!$B$3:$B$5001,N$136,BD!$A$3:$A$5001,"&gt;="&amp;$C$7,BD!$A$3:$A$5001,"&lt;="&amp;$B144,BD!$V$3:$V$5001,"&lt;&gt;"))))</f>
        <v/>
      </c>
      <c r="O144" s="43" t="str">
        <f>IF(OR($B144="",$A144&gt;$B$9,O$136=""),"",IF(COUNTIFS(BD!$B$3:$B$5001,O$136,BD!$A$3:$A$5001,"&gt;="&amp;$C$7,BD!$A$3:$A$5001,"&lt;="&amp;$B144,BD!$V$3:$V$5001,"&lt;&gt;")=0,"",SUMIFS(BD!$V$3:$V$5001,BD!$B$3:$B$5001,O$136,BD!$A$3:$A$5001,_xlfn.MAXIFS(BD!$A$3:$A$5001,BD!$B$3:$B$5001,O$136,BD!$A$3:$A$5001,"&gt;="&amp;$C$7,BD!$A$3:$A$5001,"&lt;="&amp;$B144,BD!$V$3:$V$5001,"&lt;&gt;"))))</f>
        <v/>
      </c>
      <c r="P144" s="43" t="str">
        <f>IF(OR($B144="",$A144&gt;$B$9,P$136=""),"",IF(COUNTIFS(BD!$B$3:$B$5001,P$136,BD!$A$3:$A$5001,"&gt;="&amp;$C$7,BD!$A$3:$A$5001,"&lt;="&amp;$B144,BD!$V$3:$V$5001,"&lt;&gt;")=0,"",SUMIFS(BD!$V$3:$V$5001,BD!$B$3:$B$5001,P$136,BD!$A$3:$A$5001,_xlfn.MAXIFS(BD!$A$3:$A$5001,BD!$B$3:$B$5001,P$136,BD!$A$3:$A$5001,"&gt;="&amp;$C$7,BD!$A$3:$A$5001,"&lt;="&amp;$B144,BD!$V$3:$V$5001,"&lt;&gt;"))))</f>
        <v/>
      </c>
      <c r="Q144" s="43" t="str">
        <f>IF(OR($B144="",$A144&gt;$B$9,Q$136=""),"",IF(COUNTIFS(BD!$B$3:$B$5001,Q$136,BD!$A$3:$A$5001,"&gt;="&amp;$C$7,BD!$A$3:$A$5001,"&lt;="&amp;$B144,BD!$V$3:$V$5001,"&lt;&gt;")=0,"",SUMIFS(BD!$V$3:$V$5001,BD!$B$3:$B$5001,Q$136,BD!$A$3:$A$5001,_xlfn.MAXIFS(BD!$A$3:$A$5001,BD!$B$3:$B$5001,Q$136,BD!$A$3:$A$5001,"&gt;="&amp;$C$7,BD!$A$3:$A$5001,"&lt;="&amp;$B144,BD!$V$3:$V$5001,"&lt;&gt;"))))</f>
        <v/>
      </c>
      <c r="R144" s="43" t="str">
        <f>IF(OR($B144="",$A144&gt;$B$9,R$136=""),"",IF(COUNTIFS(BD!$B$3:$B$5001,R$136,BD!$A$3:$A$5001,"&gt;="&amp;$C$7,BD!$A$3:$A$5001,"&lt;="&amp;$B144,BD!$V$3:$V$5001,"&lt;&gt;")=0,"",SUMIFS(BD!$V$3:$V$5001,BD!$B$3:$B$5001,R$136,BD!$A$3:$A$5001,_xlfn.MAXIFS(BD!$A$3:$A$5001,BD!$B$3:$B$5001,R$136,BD!$A$3:$A$5001,"&gt;="&amp;$C$7,BD!$A$3:$A$5001,"&lt;="&amp;$B144,BD!$V$3:$V$5001,"&lt;&gt;"))))</f>
        <v/>
      </c>
      <c r="S144" s="43" t="str">
        <f>IF(OR($B144="",$A144&gt;$B$9,S$136=""),"",IF(COUNTIFS(BD!$B$3:$B$5001,S$136,BD!$A$3:$A$5001,"&gt;="&amp;$C$7,BD!$A$3:$A$5001,"&lt;="&amp;$B144,BD!$V$3:$V$5001,"&lt;&gt;")=0,"",SUMIFS(BD!$V$3:$V$5001,BD!$B$3:$B$5001,S$136,BD!$A$3:$A$5001,_xlfn.MAXIFS(BD!$A$3:$A$5001,BD!$B$3:$B$5001,S$136,BD!$A$3:$A$5001,"&gt;="&amp;$C$7,BD!$A$3:$A$5001,"&lt;="&amp;$B144,BD!$V$3:$V$5001,"&lt;&gt;"))))</f>
        <v/>
      </c>
      <c r="T144" s="43" t="str">
        <f>IF(OR($B144="",$A144&gt;$B$9,T$136=""),"",IF(COUNTIFS(BD!$B$3:$B$5001,T$136,BD!$A$3:$A$5001,"&gt;="&amp;$C$7,BD!$A$3:$A$5001,"&lt;="&amp;$B144,BD!$V$3:$V$5001,"&lt;&gt;")=0,"",SUMIFS(BD!$V$3:$V$5001,BD!$B$3:$B$5001,T$136,BD!$A$3:$A$5001,_xlfn.MAXIFS(BD!$A$3:$A$5001,BD!$B$3:$B$5001,T$136,BD!$A$3:$A$5001,"&gt;="&amp;$C$7,BD!$A$3:$A$5001,"&lt;="&amp;$B144,BD!$V$3:$V$5001,"&lt;&gt;"))))</f>
        <v/>
      </c>
      <c r="U144" s="43" t="str">
        <f>IF(OR($B144="",$A144&gt;$B$9,U$136=""),"",IF(COUNTIFS(BD!$B$3:$B$5001,U$136,BD!$A$3:$A$5001,"&gt;="&amp;$C$7,BD!$A$3:$A$5001,"&lt;="&amp;$B144,BD!$V$3:$V$5001,"&lt;&gt;")=0,"",SUMIFS(BD!$V$3:$V$5001,BD!$B$3:$B$5001,U$136,BD!$A$3:$A$5001,_xlfn.MAXIFS(BD!$A$3:$A$5001,BD!$B$3:$B$5001,U$136,BD!$A$3:$A$5001,"&gt;="&amp;$C$7,BD!$A$3:$A$5001,"&lt;="&amp;$B144,BD!$V$3:$V$5001,"&lt;&gt;"))))</f>
        <v/>
      </c>
      <c r="V144" s="43" t="str">
        <f>IF(OR($B144="",$A144&gt;$B$9,V$136=""),"",IF(COUNTIFS(BD!$B$3:$B$5001,V$136,BD!$A$3:$A$5001,"&gt;="&amp;$C$7,BD!$A$3:$A$5001,"&lt;="&amp;$B144,BD!$V$3:$V$5001,"&lt;&gt;")=0,"",SUMIFS(BD!$V$3:$V$5001,BD!$B$3:$B$5001,V$136,BD!$A$3:$A$5001,_xlfn.MAXIFS(BD!$A$3:$A$5001,BD!$B$3:$B$5001,V$136,BD!$A$3:$A$5001,"&gt;="&amp;$C$7,BD!$A$3:$A$5001,"&lt;="&amp;$B144,BD!$V$3:$V$5001,"&lt;&gt;"))))</f>
        <v/>
      </c>
    </row>
    <row r="145">
      <c r="A145" s="38">
        <v>9</v>
      </c>
      <c r="B145" s="42">
        <f>$B$20</f>
        <v>46304</v>
      </c>
      <c r="C145" s="43" t="str">
        <f>IF(OR($B145="",$A145&gt;$B$9,C$136=""),"",IF(COUNTIFS(BD!$B$3:$B$5001,C$136,BD!$A$3:$A$5001,"&gt;="&amp;$C$7,BD!$A$3:$A$5001,"&lt;="&amp;$B145,BD!$V$3:$V$5001,"&lt;&gt;")=0,"",SUMIFS(BD!$V$3:$V$5001,BD!$B$3:$B$5001,C$136,BD!$A$3:$A$5001,_xlfn.MAXIFS(BD!$A$3:$A$5001,BD!$B$3:$B$5001,C$136,BD!$A$3:$A$5001,"&gt;="&amp;$C$7,BD!$A$3:$A$5001,"&lt;="&amp;$B145,BD!$V$3:$V$5001,"&lt;&gt;"))))</f>
        <v/>
      </c>
      <c r="D145" s="43" t="str">
        <f>IF(OR($B145="",$A145&gt;$B$9,D$136=""),"",IF(COUNTIFS(BD!$B$3:$B$5001,D$136,BD!$A$3:$A$5001,"&gt;="&amp;$C$7,BD!$A$3:$A$5001,"&lt;="&amp;$B145,BD!$V$3:$V$5001,"&lt;&gt;")=0,"",SUMIFS(BD!$V$3:$V$5001,BD!$B$3:$B$5001,D$136,BD!$A$3:$A$5001,_xlfn.MAXIFS(BD!$A$3:$A$5001,BD!$B$3:$B$5001,D$136,BD!$A$3:$A$5001,"&gt;="&amp;$C$7,BD!$A$3:$A$5001,"&lt;="&amp;$B145,BD!$V$3:$V$5001,"&lt;&gt;"))))</f>
        <v/>
      </c>
      <c r="E145" s="43" t="str">
        <f>IF(OR($B145="",$A145&gt;$B$9,E$136=""),"",IF(COUNTIFS(BD!$B$3:$B$5001,E$136,BD!$A$3:$A$5001,"&gt;="&amp;$C$7,BD!$A$3:$A$5001,"&lt;="&amp;$B145,BD!$V$3:$V$5001,"&lt;&gt;")=0,"",SUMIFS(BD!$V$3:$V$5001,BD!$B$3:$B$5001,E$136,BD!$A$3:$A$5001,_xlfn.MAXIFS(BD!$A$3:$A$5001,BD!$B$3:$B$5001,E$136,BD!$A$3:$A$5001,"&gt;="&amp;$C$7,BD!$A$3:$A$5001,"&lt;="&amp;$B145,BD!$V$3:$V$5001,"&lt;&gt;"))))</f>
        <v/>
      </c>
      <c r="F145" s="43" t="str">
        <f>IF(OR($B145="",$A145&gt;$B$9,F$136=""),"",IF(COUNTIFS(BD!$B$3:$B$5001,F$136,BD!$A$3:$A$5001,"&gt;="&amp;$C$7,BD!$A$3:$A$5001,"&lt;="&amp;$B145,BD!$V$3:$V$5001,"&lt;&gt;")=0,"",SUMIFS(BD!$V$3:$V$5001,BD!$B$3:$B$5001,F$136,BD!$A$3:$A$5001,_xlfn.MAXIFS(BD!$A$3:$A$5001,BD!$B$3:$B$5001,F$136,BD!$A$3:$A$5001,"&gt;="&amp;$C$7,BD!$A$3:$A$5001,"&lt;="&amp;$B145,BD!$V$3:$V$5001,"&lt;&gt;"))))</f>
        <v/>
      </c>
      <c r="G145" s="43" t="str">
        <f>IF(OR($B145="",$A145&gt;$B$9,G$136=""),"",IF(COUNTIFS(BD!$B$3:$B$5001,G$136,BD!$A$3:$A$5001,"&gt;="&amp;$C$7,BD!$A$3:$A$5001,"&lt;="&amp;$B145,BD!$V$3:$V$5001,"&lt;&gt;")=0,"",SUMIFS(BD!$V$3:$V$5001,BD!$B$3:$B$5001,G$136,BD!$A$3:$A$5001,_xlfn.MAXIFS(BD!$A$3:$A$5001,BD!$B$3:$B$5001,G$136,BD!$A$3:$A$5001,"&gt;="&amp;$C$7,BD!$A$3:$A$5001,"&lt;="&amp;$B145,BD!$V$3:$V$5001,"&lt;&gt;"))))</f>
        <v/>
      </c>
      <c r="H145" s="43" t="str">
        <f>IF(OR($B145="",$A145&gt;$B$9,H$136=""),"",IF(COUNTIFS(BD!$B$3:$B$5001,H$136,BD!$A$3:$A$5001,"&gt;="&amp;$C$7,BD!$A$3:$A$5001,"&lt;="&amp;$B145,BD!$V$3:$V$5001,"&lt;&gt;")=0,"",SUMIFS(BD!$V$3:$V$5001,BD!$B$3:$B$5001,H$136,BD!$A$3:$A$5001,_xlfn.MAXIFS(BD!$A$3:$A$5001,BD!$B$3:$B$5001,H$136,BD!$A$3:$A$5001,"&gt;="&amp;$C$7,BD!$A$3:$A$5001,"&lt;="&amp;$B145,BD!$V$3:$V$5001,"&lt;&gt;"))))</f>
        <v/>
      </c>
      <c r="I145" s="43" t="str">
        <f>IF(OR($B145="",$A145&gt;$B$9,I$136=""),"",IF(COUNTIFS(BD!$B$3:$B$5001,I$136,BD!$A$3:$A$5001,"&gt;="&amp;$C$7,BD!$A$3:$A$5001,"&lt;="&amp;$B145,BD!$V$3:$V$5001,"&lt;&gt;")=0,"",SUMIFS(BD!$V$3:$V$5001,BD!$B$3:$B$5001,I$136,BD!$A$3:$A$5001,_xlfn.MAXIFS(BD!$A$3:$A$5001,BD!$B$3:$B$5001,I$136,BD!$A$3:$A$5001,"&gt;="&amp;$C$7,BD!$A$3:$A$5001,"&lt;="&amp;$B145,BD!$V$3:$V$5001,"&lt;&gt;"))))</f>
        <v/>
      </c>
      <c r="J145" s="43" t="str">
        <f>IF(OR($B145="",$A145&gt;$B$9,J$136=""),"",IF(COUNTIFS(BD!$B$3:$B$5001,J$136,BD!$A$3:$A$5001,"&gt;="&amp;$C$7,BD!$A$3:$A$5001,"&lt;="&amp;$B145,BD!$V$3:$V$5001,"&lt;&gt;")=0,"",SUMIFS(BD!$V$3:$V$5001,BD!$B$3:$B$5001,J$136,BD!$A$3:$A$5001,_xlfn.MAXIFS(BD!$A$3:$A$5001,BD!$B$3:$B$5001,J$136,BD!$A$3:$A$5001,"&gt;="&amp;$C$7,BD!$A$3:$A$5001,"&lt;="&amp;$B145,BD!$V$3:$V$5001,"&lt;&gt;"))))</f>
        <v/>
      </c>
      <c r="K145" s="43" t="str">
        <f>IF(OR($B145="",$A145&gt;$B$9,K$136=""),"",IF(COUNTIFS(BD!$B$3:$B$5001,K$136,BD!$A$3:$A$5001,"&gt;="&amp;$C$7,BD!$A$3:$A$5001,"&lt;="&amp;$B145,BD!$V$3:$V$5001,"&lt;&gt;")=0,"",SUMIFS(BD!$V$3:$V$5001,BD!$B$3:$B$5001,K$136,BD!$A$3:$A$5001,_xlfn.MAXIFS(BD!$A$3:$A$5001,BD!$B$3:$B$5001,K$136,BD!$A$3:$A$5001,"&gt;="&amp;$C$7,BD!$A$3:$A$5001,"&lt;="&amp;$B145,BD!$V$3:$V$5001,"&lt;&gt;"))))</f>
        <v/>
      </c>
      <c r="L145" s="43" t="str">
        <f>IF(OR($B145="",$A145&gt;$B$9,L$136=""),"",IF(COUNTIFS(BD!$B$3:$B$5001,L$136,BD!$A$3:$A$5001,"&gt;="&amp;$C$7,BD!$A$3:$A$5001,"&lt;="&amp;$B145,BD!$V$3:$V$5001,"&lt;&gt;")=0,"",SUMIFS(BD!$V$3:$V$5001,BD!$B$3:$B$5001,L$136,BD!$A$3:$A$5001,_xlfn.MAXIFS(BD!$A$3:$A$5001,BD!$B$3:$B$5001,L$136,BD!$A$3:$A$5001,"&gt;="&amp;$C$7,BD!$A$3:$A$5001,"&lt;="&amp;$B145,BD!$V$3:$V$5001,"&lt;&gt;"))))</f>
        <v/>
      </c>
      <c r="M145" s="43" t="str">
        <f>IF(OR($B145="",$A145&gt;$B$9,M$136=""),"",IF(COUNTIFS(BD!$B$3:$B$5001,M$136,BD!$A$3:$A$5001,"&gt;="&amp;$C$7,BD!$A$3:$A$5001,"&lt;="&amp;$B145,BD!$V$3:$V$5001,"&lt;&gt;")=0,"",SUMIFS(BD!$V$3:$V$5001,BD!$B$3:$B$5001,M$136,BD!$A$3:$A$5001,_xlfn.MAXIFS(BD!$A$3:$A$5001,BD!$B$3:$B$5001,M$136,BD!$A$3:$A$5001,"&gt;="&amp;$C$7,BD!$A$3:$A$5001,"&lt;="&amp;$B145,BD!$V$3:$V$5001,"&lt;&gt;"))))</f>
        <v/>
      </c>
      <c r="N145" s="43" t="str">
        <f>IF(OR($B145="",$A145&gt;$B$9,N$136=""),"",IF(COUNTIFS(BD!$B$3:$B$5001,N$136,BD!$A$3:$A$5001,"&gt;="&amp;$C$7,BD!$A$3:$A$5001,"&lt;="&amp;$B145,BD!$V$3:$V$5001,"&lt;&gt;")=0,"",SUMIFS(BD!$V$3:$V$5001,BD!$B$3:$B$5001,N$136,BD!$A$3:$A$5001,_xlfn.MAXIFS(BD!$A$3:$A$5001,BD!$B$3:$B$5001,N$136,BD!$A$3:$A$5001,"&gt;="&amp;$C$7,BD!$A$3:$A$5001,"&lt;="&amp;$B145,BD!$V$3:$V$5001,"&lt;&gt;"))))</f>
        <v/>
      </c>
      <c r="O145" s="43" t="str">
        <f>IF(OR($B145="",$A145&gt;$B$9,O$136=""),"",IF(COUNTIFS(BD!$B$3:$B$5001,O$136,BD!$A$3:$A$5001,"&gt;="&amp;$C$7,BD!$A$3:$A$5001,"&lt;="&amp;$B145,BD!$V$3:$V$5001,"&lt;&gt;")=0,"",SUMIFS(BD!$V$3:$V$5001,BD!$B$3:$B$5001,O$136,BD!$A$3:$A$5001,_xlfn.MAXIFS(BD!$A$3:$A$5001,BD!$B$3:$B$5001,O$136,BD!$A$3:$A$5001,"&gt;="&amp;$C$7,BD!$A$3:$A$5001,"&lt;="&amp;$B145,BD!$V$3:$V$5001,"&lt;&gt;"))))</f>
        <v/>
      </c>
      <c r="P145" s="43" t="str">
        <f>IF(OR($B145="",$A145&gt;$B$9,P$136=""),"",IF(COUNTIFS(BD!$B$3:$B$5001,P$136,BD!$A$3:$A$5001,"&gt;="&amp;$C$7,BD!$A$3:$A$5001,"&lt;="&amp;$B145,BD!$V$3:$V$5001,"&lt;&gt;")=0,"",SUMIFS(BD!$V$3:$V$5001,BD!$B$3:$B$5001,P$136,BD!$A$3:$A$5001,_xlfn.MAXIFS(BD!$A$3:$A$5001,BD!$B$3:$B$5001,P$136,BD!$A$3:$A$5001,"&gt;="&amp;$C$7,BD!$A$3:$A$5001,"&lt;="&amp;$B145,BD!$V$3:$V$5001,"&lt;&gt;"))))</f>
        <v/>
      </c>
      <c r="Q145" s="43" t="str">
        <f>IF(OR($B145="",$A145&gt;$B$9,Q$136=""),"",IF(COUNTIFS(BD!$B$3:$B$5001,Q$136,BD!$A$3:$A$5001,"&gt;="&amp;$C$7,BD!$A$3:$A$5001,"&lt;="&amp;$B145,BD!$V$3:$V$5001,"&lt;&gt;")=0,"",SUMIFS(BD!$V$3:$V$5001,BD!$B$3:$B$5001,Q$136,BD!$A$3:$A$5001,_xlfn.MAXIFS(BD!$A$3:$A$5001,BD!$B$3:$B$5001,Q$136,BD!$A$3:$A$5001,"&gt;="&amp;$C$7,BD!$A$3:$A$5001,"&lt;="&amp;$B145,BD!$V$3:$V$5001,"&lt;&gt;"))))</f>
        <v/>
      </c>
      <c r="R145" s="43" t="str">
        <f>IF(OR($B145="",$A145&gt;$B$9,R$136=""),"",IF(COUNTIFS(BD!$B$3:$B$5001,R$136,BD!$A$3:$A$5001,"&gt;="&amp;$C$7,BD!$A$3:$A$5001,"&lt;="&amp;$B145,BD!$V$3:$V$5001,"&lt;&gt;")=0,"",SUMIFS(BD!$V$3:$V$5001,BD!$B$3:$B$5001,R$136,BD!$A$3:$A$5001,_xlfn.MAXIFS(BD!$A$3:$A$5001,BD!$B$3:$B$5001,R$136,BD!$A$3:$A$5001,"&gt;="&amp;$C$7,BD!$A$3:$A$5001,"&lt;="&amp;$B145,BD!$V$3:$V$5001,"&lt;&gt;"))))</f>
        <v/>
      </c>
      <c r="S145" s="43" t="str">
        <f>IF(OR($B145="",$A145&gt;$B$9,S$136=""),"",IF(COUNTIFS(BD!$B$3:$B$5001,S$136,BD!$A$3:$A$5001,"&gt;="&amp;$C$7,BD!$A$3:$A$5001,"&lt;="&amp;$B145,BD!$V$3:$V$5001,"&lt;&gt;")=0,"",SUMIFS(BD!$V$3:$V$5001,BD!$B$3:$B$5001,S$136,BD!$A$3:$A$5001,_xlfn.MAXIFS(BD!$A$3:$A$5001,BD!$B$3:$B$5001,S$136,BD!$A$3:$A$5001,"&gt;="&amp;$C$7,BD!$A$3:$A$5001,"&lt;="&amp;$B145,BD!$V$3:$V$5001,"&lt;&gt;"))))</f>
        <v/>
      </c>
      <c r="T145" s="43" t="str">
        <f>IF(OR($B145="",$A145&gt;$B$9,T$136=""),"",IF(COUNTIFS(BD!$B$3:$B$5001,T$136,BD!$A$3:$A$5001,"&gt;="&amp;$C$7,BD!$A$3:$A$5001,"&lt;="&amp;$B145,BD!$V$3:$V$5001,"&lt;&gt;")=0,"",SUMIFS(BD!$V$3:$V$5001,BD!$B$3:$B$5001,T$136,BD!$A$3:$A$5001,_xlfn.MAXIFS(BD!$A$3:$A$5001,BD!$B$3:$B$5001,T$136,BD!$A$3:$A$5001,"&gt;="&amp;$C$7,BD!$A$3:$A$5001,"&lt;="&amp;$B145,BD!$V$3:$V$5001,"&lt;&gt;"))))</f>
        <v/>
      </c>
      <c r="U145" s="43" t="str">
        <f>IF(OR($B145="",$A145&gt;$B$9,U$136=""),"",IF(COUNTIFS(BD!$B$3:$B$5001,U$136,BD!$A$3:$A$5001,"&gt;="&amp;$C$7,BD!$A$3:$A$5001,"&lt;="&amp;$B145,BD!$V$3:$V$5001,"&lt;&gt;")=0,"",SUMIFS(BD!$V$3:$V$5001,BD!$B$3:$B$5001,U$136,BD!$A$3:$A$5001,_xlfn.MAXIFS(BD!$A$3:$A$5001,BD!$B$3:$B$5001,U$136,BD!$A$3:$A$5001,"&gt;="&amp;$C$7,BD!$A$3:$A$5001,"&lt;="&amp;$B145,BD!$V$3:$V$5001,"&lt;&gt;"))))</f>
        <v/>
      </c>
      <c r="V145" s="43" t="str">
        <f>IF(OR($B145="",$A145&gt;$B$9,V$136=""),"",IF(COUNTIFS(BD!$B$3:$B$5001,V$136,BD!$A$3:$A$5001,"&gt;="&amp;$C$7,BD!$A$3:$A$5001,"&lt;="&amp;$B145,BD!$V$3:$V$5001,"&lt;&gt;")=0,"",SUMIFS(BD!$V$3:$V$5001,BD!$B$3:$B$5001,V$136,BD!$A$3:$A$5001,_xlfn.MAXIFS(BD!$A$3:$A$5001,BD!$B$3:$B$5001,V$136,BD!$A$3:$A$5001,"&gt;="&amp;$C$7,BD!$A$3:$A$5001,"&lt;="&amp;$B145,BD!$V$3:$V$5001,"&lt;&gt;"))))</f>
        <v/>
      </c>
    </row>
    <row r="146">
      <c r="A146" s="38">
        <v>10</v>
      </c>
      <c r="B146" s="42">
        <f>$B$21</f>
        <v>46305</v>
      </c>
      <c r="C146" s="43" t="str">
        <f>IF(OR($B146="",$A146&gt;$B$9,C$136=""),"",IF(COUNTIFS(BD!$B$3:$B$5001,C$136,BD!$A$3:$A$5001,"&gt;="&amp;$C$7,BD!$A$3:$A$5001,"&lt;="&amp;$B146,BD!$V$3:$V$5001,"&lt;&gt;")=0,"",SUMIFS(BD!$V$3:$V$5001,BD!$B$3:$B$5001,C$136,BD!$A$3:$A$5001,_xlfn.MAXIFS(BD!$A$3:$A$5001,BD!$B$3:$B$5001,C$136,BD!$A$3:$A$5001,"&gt;="&amp;$C$7,BD!$A$3:$A$5001,"&lt;="&amp;$B146,BD!$V$3:$V$5001,"&lt;&gt;"))))</f>
        <v/>
      </c>
      <c r="D146" s="43" t="str">
        <f>IF(OR($B146="",$A146&gt;$B$9,D$136=""),"",IF(COUNTIFS(BD!$B$3:$B$5001,D$136,BD!$A$3:$A$5001,"&gt;="&amp;$C$7,BD!$A$3:$A$5001,"&lt;="&amp;$B146,BD!$V$3:$V$5001,"&lt;&gt;")=0,"",SUMIFS(BD!$V$3:$V$5001,BD!$B$3:$B$5001,D$136,BD!$A$3:$A$5001,_xlfn.MAXIFS(BD!$A$3:$A$5001,BD!$B$3:$B$5001,D$136,BD!$A$3:$A$5001,"&gt;="&amp;$C$7,BD!$A$3:$A$5001,"&lt;="&amp;$B146,BD!$V$3:$V$5001,"&lt;&gt;"))))</f>
        <v/>
      </c>
      <c r="E146" s="43" t="str">
        <f>IF(OR($B146="",$A146&gt;$B$9,E$136=""),"",IF(COUNTIFS(BD!$B$3:$B$5001,E$136,BD!$A$3:$A$5001,"&gt;="&amp;$C$7,BD!$A$3:$A$5001,"&lt;="&amp;$B146,BD!$V$3:$V$5001,"&lt;&gt;")=0,"",SUMIFS(BD!$V$3:$V$5001,BD!$B$3:$B$5001,E$136,BD!$A$3:$A$5001,_xlfn.MAXIFS(BD!$A$3:$A$5001,BD!$B$3:$B$5001,E$136,BD!$A$3:$A$5001,"&gt;="&amp;$C$7,BD!$A$3:$A$5001,"&lt;="&amp;$B146,BD!$V$3:$V$5001,"&lt;&gt;"))))</f>
        <v/>
      </c>
      <c r="F146" s="43" t="str">
        <f>IF(OR($B146="",$A146&gt;$B$9,F$136=""),"",IF(COUNTIFS(BD!$B$3:$B$5001,F$136,BD!$A$3:$A$5001,"&gt;="&amp;$C$7,BD!$A$3:$A$5001,"&lt;="&amp;$B146,BD!$V$3:$V$5001,"&lt;&gt;")=0,"",SUMIFS(BD!$V$3:$V$5001,BD!$B$3:$B$5001,F$136,BD!$A$3:$A$5001,_xlfn.MAXIFS(BD!$A$3:$A$5001,BD!$B$3:$B$5001,F$136,BD!$A$3:$A$5001,"&gt;="&amp;$C$7,BD!$A$3:$A$5001,"&lt;="&amp;$B146,BD!$V$3:$V$5001,"&lt;&gt;"))))</f>
        <v/>
      </c>
      <c r="G146" s="43" t="str">
        <f>IF(OR($B146="",$A146&gt;$B$9,G$136=""),"",IF(COUNTIFS(BD!$B$3:$B$5001,G$136,BD!$A$3:$A$5001,"&gt;="&amp;$C$7,BD!$A$3:$A$5001,"&lt;="&amp;$B146,BD!$V$3:$V$5001,"&lt;&gt;")=0,"",SUMIFS(BD!$V$3:$V$5001,BD!$B$3:$B$5001,G$136,BD!$A$3:$A$5001,_xlfn.MAXIFS(BD!$A$3:$A$5001,BD!$B$3:$B$5001,G$136,BD!$A$3:$A$5001,"&gt;="&amp;$C$7,BD!$A$3:$A$5001,"&lt;="&amp;$B146,BD!$V$3:$V$5001,"&lt;&gt;"))))</f>
        <v/>
      </c>
      <c r="H146" s="43" t="str">
        <f>IF(OR($B146="",$A146&gt;$B$9,H$136=""),"",IF(COUNTIFS(BD!$B$3:$B$5001,H$136,BD!$A$3:$A$5001,"&gt;="&amp;$C$7,BD!$A$3:$A$5001,"&lt;="&amp;$B146,BD!$V$3:$V$5001,"&lt;&gt;")=0,"",SUMIFS(BD!$V$3:$V$5001,BD!$B$3:$B$5001,H$136,BD!$A$3:$A$5001,_xlfn.MAXIFS(BD!$A$3:$A$5001,BD!$B$3:$B$5001,H$136,BD!$A$3:$A$5001,"&gt;="&amp;$C$7,BD!$A$3:$A$5001,"&lt;="&amp;$B146,BD!$V$3:$V$5001,"&lt;&gt;"))))</f>
        <v/>
      </c>
      <c r="I146" s="43" t="str">
        <f>IF(OR($B146="",$A146&gt;$B$9,I$136=""),"",IF(COUNTIFS(BD!$B$3:$B$5001,I$136,BD!$A$3:$A$5001,"&gt;="&amp;$C$7,BD!$A$3:$A$5001,"&lt;="&amp;$B146,BD!$V$3:$V$5001,"&lt;&gt;")=0,"",SUMIFS(BD!$V$3:$V$5001,BD!$B$3:$B$5001,I$136,BD!$A$3:$A$5001,_xlfn.MAXIFS(BD!$A$3:$A$5001,BD!$B$3:$B$5001,I$136,BD!$A$3:$A$5001,"&gt;="&amp;$C$7,BD!$A$3:$A$5001,"&lt;="&amp;$B146,BD!$V$3:$V$5001,"&lt;&gt;"))))</f>
        <v/>
      </c>
      <c r="J146" s="43" t="str">
        <f>IF(OR($B146="",$A146&gt;$B$9,J$136=""),"",IF(COUNTIFS(BD!$B$3:$B$5001,J$136,BD!$A$3:$A$5001,"&gt;="&amp;$C$7,BD!$A$3:$A$5001,"&lt;="&amp;$B146,BD!$V$3:$V$5001,"&lt;&gt;")=0,"",SUMIFS(BD!$V$3:$V$5001,BD!$B$3:$B$5001,J$136,BD!$A$3:$A$5001,_xlfn.MAXIFS(BD!$A$3:$A$5001,BD!$B$3:$B$5001,J$136,BD!$A$3:$A$5001,"&gt;="&amp;$C$7,BD!$A$3:$A$5001,"&lt;="&amp;$B146,BD!$V$3:$V$5001,"&lt;&gt;"))))</f>
        <v/>
      </c>
      <c r="K146" s="43" t="str">
        <f>IF(OR($B146="",$A146&gt;$B$9,K$136=""),"",IF(COUNTIFS(BD!$B$3:$B$5001,K$136,BD!$A$3:$A$5001,"&gt;="&amp;$C$7,BD!$A$3:$A$5001,"&lt;="&amp;$B146,BD!$V$3:$V$5001,"&lt;&gt;")=0,"",SUMIFS(BD!$V$3:$V$5001,BD!$B$3:$B$5001,K$136,BD!$A$3:$A$5001,_xlfn.MAXIFS(BD!$A$3:$A$5001,BD!$B$3:$B$5001,K$136,BD!$A$3:$A$5001,"&gt;="&amp;$C$7,BD!$A$3:$A$5001,"&lt;="&amp;$B146,BD!$V$3:$V$5001,"&lt;&gt;"))))</f>
        <v/>
      </c>
      <c r="L146" s="43" t="str">
        <f>IF(OR($B146="",$A146&gt;$B$9,L$136=""),"",IF(COUNTIFS(BD!$B$3:$B$5001,L$136,BD!$A$3:$A$5001,"&gt;="&amp;$C$7,BD!$A$3:$A$5001,"&lt;="&amp;$B146,BD!$V$3:$V$5001,"&lt;&gt;")=0,"",SUMIFS(BD!$V$3:$V$5001,BD!$B$3:$B$5001,L$136,BD!$A$3:$A$5001,_xlfn.MAXIFS(BD!$A$3:$A$5001,BD!$B$3:$B$5001,L$136,BD!$A$3:$A$5001,"&gt;="&amp;$C$7,BD!$A$3:$A$5001,"&lt;="&amp;$B146,BD!$V$3:$V$5001,"&lt;&gt;"))))</f>
        <v/>
      </c>
      <c r="M146" s="43" t="str">
        <f>IF(OR($B146="",$A146&gt;$B$9,M$136=""),"",IF(COUNTIFS(BD!$B$3:$B$5001,M$136,BD!$A$3:$A$5001,"&gt;="&amp;$C$7,BD!$A$3:$A$5001,"&lt;="&amp;$B146,BD!$V$3:$V$5001,"&lt;&gt;")=0,"",SUMIFS(BD!$V$3:$V$5001,BD!$B$3:$B$5001,M$136,BD!$A$3:$A$5001,_xlfn.MAXIFS(BD!$A$3:$A$5001,BD!$B$3:$B$5001,M$136,BD!$A$3:$A$5001,"&gt;="&amp;$C$7,BD!$A$3:$A$5001,"&lt;="&amp;$B146,BD!$V$3:$V$5001,"&lt;&gt;"))))</f>
        <v/>
      </c>
      <c r="N146" s="43" t="str">
        <f>IF(OR($B146="",$A146&gt;$B$9,N$136=""),"",IF(COUNTIFS(BD!$B$3:$B$5001,N$136,BD!$A$3:$A$5001,"&gt;="&amp;$C$7,BD!$A$3:$A$5001,"&lt;="&amp;$B146,BD!$V$3:$V$5001,"&lt;&gt;")=0,"",SUMIFS(BD!$V$3:$V$5001,BD!$B$3:$B$5001,N$136,BD!$A$3:$A$5001,_xlfn.MAXIFS(BD!$A$3:$A$5001,BD!$B$3:$B$5001,N$136,BD!$A$3:$A$5001,"&gt;="&amp;$C$7,BD!$A$3:$A$5001,"&lt;="&amp;$B146,BD!$V$3:$V$5001,"&lt;&gt;"))))</f>
        <v/>
      </c>
      <c r="O146" s="43" t="str">
        <f>IF(OR($B146="",$A146&gt;$B$9,O$136=""),"",IF(COUNTIFS(BD!$B$3:$B$5001,O$136,BD!$A$3:$A$5001,"&gt;="&amp;$C$7,BD!$A$3:$A$5001,"&lt;="&amp;$B146,BD!$V$3:$V$5001,"&lt;&gt;")=0,"",SUMIFS(BD!$V$3:$V$5001,BD!$B$3:$B$5001,O$136,BD!$A$3:$A$5001,_xlfn.MAXIFS(BD!$A$3:$A$5001,BD!$B$3:$B$5001,O$136,BD!$A$3:$A$5001,"&gt;="&amp;$C$7,BD!$A$3:$A$5001,"&lt;="&amp;$B146,BD!$V$3:$V$5001,"&lt;&gt;"))))</f>
        <v/>
      </c>
      <c r="P146" s="43" t="str">
        <f>IF(OR($B146="",$A146&gt;$B$9,P$136=""),"",IF(COUNTIFS(BD!$B$3:$B$5001,P$136,BD!$A$3:$A$5001,"&gt;="&amp;$C$7,BD!$A$3:$A$5001,"&lt;="&amp;$B146,BD!$V$3:$V$5001,"&lt;&gt;")=0,"",SUMIFS(BD!$V$3:$V$5001,BD!$B$3:$B$5001,P$136,BD!$A$3:$A$5001,_xlfn.MAXIFS(BD!$A$3:$A$5001,BD!$B$3:$B$5001,P$136,BD!$A$3:$A$5001,"&gt;="&amp;$C$7,BD!$A$3:$A$5001,"&lt;="&amp;$B146,BD!$V$3:$V$5001,"&lt;&gt;"))))</f>
        <v/>
      </c>
      <c r="Q146" s="43" t="str">
        <f>IF(OR($B146="",$A146&gt;$B$9,Q$136=""),"",IF(COUNTIFS(BD!$B$3:$B$5001,Q$136,BD!$A$3:$A$5001,"&gt;="&amp;$C$7,BD!$A$3:$A$5001,"&lt;="&amp;$B146,BD!$V$3:$V$5001,"&lt;&gt;")=0,"",SUMIFS(BD!$V$3:$V$5001,BD!$B$3:$B$5001,Q$136,BD!$A$3:$A$5001,_xlfn.MAXIFS(BD!$A$3:$A$5001,BD!$B$3:$B$5001,Q$136,BD!$A$3:$A$5001,"&gt;="&amp;$C$7,BD!$A$3:$A$5001,"&lt;="&amp;$B146,BD!$V$3:$V$5001,"&lt;&gt;"))))</f>
        <v/>
      </c>
      <c r="R146" s="43" t="str">
        <f>IF(OR($B146="",$A146&gt;$B$9,R$136=""),"",IF(COUNTIFS(BD!$B$3:$B$5001,R$136,BD!$A$3:$A$5001,"&gt;="&amp;$C$7,BD!$A$3:$A$5001,"&lt;="&amp;$B146,BD!$V$3:$V$5001,"&lt;&gt;")=0,"",SUMIFS(BD!$V$3:$V$5001,BD!$B$3:$B$5001,R$136,BD!$A$3:$A$5001,_xlfn.MAXIFS(BD!$A$3:$A$5001,BD!$B$3:$B$5001,R$136,BD!$A$3:$A$5001,"&gt;="&amp;$C$7,BD!$A$3:$A$5001,"&lt;="&amp;$B146,BD!$V$3:$V$5001,"&lt;&gt;"))))</f>
        <v/>
      </c>
      <c r="S146" s="43" t="str">
        <f>IF(OR($B146="",$A146&gt;$B$9,S$136=""),"",IF(COUNTIFS(BD!$B$3:$B$5001,S$136,BD!$A$3:$A$5001,"&gt;="&amp;$C$7,BD!$A$3:$A$5001,"&lt;="&amp;$B146,BD!$V$3:$V$5001,"&lt;&gt;")=0,"",SUMIFS(BD!$V$3:$V$5001,BD!$B$3:$B$5001,S$136,BD!$A$3:$A$5001,_xlfn.MAXIFS(BD!$A$3:$A$5001,BD!$B$3:$B$5001,S$136,BD!$A$3:$A$5001,"&gt;="&amp;$C$7,BD!$A$3:$A$5001,"&lt;="&amp;$B146,BD!$V$3:$V$5001,"&lt;&gt;"))))</f>
        <v/>
      </c>
      <c r="T146" s="43" t="str">
        <f>IF(OR($B146="",$A146&gt;$B$9,T$136=""),"",IF(COUNTIFS(BD!$B$3:$B$5001,T$136,BD!$A$3:$A$5001,"&gt;="&amp;$C$7,BD!$A$3:$A$5001,"&lt;="&amp;$B146,BD!$V$3:$V$5001,"&lt;&gt;")=0,"",SUMIFS(BD!$V$3:$V$5001,BD!$B$3:$B$5001,T$136,BD!$A$3:$A$5001,_xlfn.MAXIFS(BD!$A$3:$A$5001,BD!$B$3:$B$5001,T$136,BD!$A$3:$A$5001,"&gt;="&amp;$C$7,BD!$A$3:$A$5001,"&lt;="&amp;$B146,BD!$V$3:$V$5001,"&lt;&gt;"))))</f>
        <v/>
      </c>
      <c r="U146" s="43" t="str">
        <f>IF(OR($B146="",$A146&gt;$B$9,U$136=""),"",IF(COUNTIFS(BD!$B$3:$B$5001,U$136,BD!$A$3:$A$5001,"&gt;="&amp;$C$7,BD!$A$3:$A$5001,"&lt;="&amp;$B146,BD!$V$3:$V$5001,"&lt;&gt;")=0,"",SUMIFS(BD!$V$3:$V$5001,BD!$B$3:$B$5001,U$136,BD!$A$3:$A$5001,_xlfn.MAXIFS(BD!$A$3:$A$5001,BD!$B$3:$B$5001,U$136,BD!$A$3:$A$5001,"&gt;="&amp;$C$7,BD!$A$3:$A$5001,"&lt;="&amp;$B146,BD!$V$3:$V$5001,"&lt;&gt;"))))</f>
        <v/>
      </c>
      <c r="V146" s="43" t="str">
        <f>IF(OR($B146="",$A146&gt;$B$9,V$136=""),"",IF(COUNTIFS(BD!$B$3:$B$5001,V$136,BD!$A$3:$A$5001,"&gt;="&amp;$C$7,BD!$A$3:$A$5001,"&lt;="&amp;$B146,BD!$V$3:$V$5001,"&lt;&gt;")=0,"",SUMIFS(BD!$V$3:$V$5001,BD!$B$3:$B$5001,V$136,BD!$A$3:$A$5001,_xlfn.MAXIFS(BD!$A$3:$A$5001,BD!$B$3:$B$5001,V$136,BD!$A$3:$A$5001,"&gt;="&amp;$C$7,BD!$A$3:$A$5001,"&lt;="&amp;$B146,BD!$V$3:$V$5001,"&lt;&gt;"))))</f>
        <v/>
      </c>
    </row>
    <row r="147">
      <c r="A147" s="38">
        <v>11</v>
      </c>
      <c r="B147" s="42">
        <f>$B$22</f>
        <v>46306</v>
      </c>
      <c r="C147" s="43" t="str">
        <f>IF(OR($B147="",$A147&gt;$B$9,C$136=""),"",IF(COUNTIFS(BD!$B$3:$B$5001,C$136,BD!$A$3:$A$5001,"&gt;="&amp;$C$7,BD!$A$3:$A$5001,"&lt;="&amp;$B147,BD!$V$3:$V$5001,"&lt;&gt;")=0,"",SUMIFS(BD!$V$3:$V$5001,BD!$B$3:$B$5001,C$136,BD!$A$3:$A$5001,_xlfn.MAXIFS(BD!$A$3:$A$5001,BD!$B$3:$B$5001,C$136,BD!$A$3:$A$5001,"&gt;="&amp;$C$7,BD!$A$3:$A$5001,"&lt;="&amp;$B147,BD!$V$3:$V$5001,"&lt;&gt;"))))</f>
        <v/>
      </c>
      <c r="D147" s="43" t="str">
        <f>IF(OR($B147="",$A147&gt;$B$9,D$136=""),"",IF(COUNTIFS(BD!$B$3:$B$5001,D$136,BD!$A$3:$A$5001,"&gt;="&amp;$C$7,BD!$A$3:$A$5001,"&lt;="&amp;$B147,BD!$V$3:$V$5001,"&lt;&gt;")=0,"",SUMIFS(BD!$V$3:$V$5001,BD!$B$3:$B$5001,D$136,BD!$A$3:$A$5001,_xlfn.MAXIFS(BD!$A$3:$A$5001,BD!$B$3:$B$5001,D$136,BD!$A$3:$A$5001,"&gt;="&amp;$C$7,BD!$A$3:$A$5001,"&lt;="&amp;$B147,BD!$V$3:$V$5001,"&lt;&gt;"))))</f>
        <v/>
      </c>
      <c r="E147" s="43" t="str">
        <f>IF(OR($B147="",$A147&gt;$B$9,E$136=""),"",IF(COUNTIFS(BD!$B$3:$B$5001,E$136,BD!$A$3:$A$5001,"&gt;="&amp;$C$7,BD!$A$3:$A$5001,"&lt;="&amp;$B147,BD!$V$3:$V$5001,"&lt;&gt;")=0,"",SUMIFS(BD!$V$3:$V$5001,BD!$B$3:$B$5001,E$136,BD!$A$3:$A$5001,_xlfn.MAXIFS(BD!$A$3:$A$5001,BD!$B$3:$B$5001,E$136,BD!$A$3:$A$5001,"&gt;="&amp;$C$7,BD!$A$3:$A$5001,"&lt;="&amp;$B147,BD!$V$3:$V$5001,"&lt;&gt;"))))</f>
        <v/>
      </c>
      <c r="F147" s="43" t="str">
        <f>IF(OR($B147="",$A147&gt;$B$9,F$136=""),"",IF(COUNTIFS(BD!$B$3:$B$5001,F$136,BD!$A$3:$A$5001,"&gt;="&amp;$C$7,BD!$A$3:$A$5001,"&lt;="&amp;$B147,BD!$V$3:$V$5001,"&lt;&gt;")=0,"",SUMIFS(BD!$V$3:$V$5001,BD!$B$3:$B$5001,F$136,BD!$A$3:$A$5001,_xlfn.MAXIFS(BD!$A$3:$A$5001,BD!$B$3:$B$5001,F$136,BD!$A$3:$A$5001,"&gt;="&amp;$C$7,BD!$A$3:$A$5001,"&lt;="&amp;$B147,BD!$V$3:$V$5001,"&lt;&gt;"))))</f>
        <v/>
      </c>
      <c r="G147" s="43" t="str">
        <f>IF(OR($B147="",$A147&gt;$B$9,G$136=""),"",IF(COUNTIFS(BD!$B$3:$B$5001,G$136,BD!$A$3:$A$5001,"&gt;="&amp;$C$7,BD!$A$3:$A$5001,"&lt;="&amp;$B147,BD!$V$3:$V$5001,"&lt;&gt;")=0,"",SUMIFS(BD!$V$3:$V$5001,BD!$B$3:$B$5001,G$136,BD!$A$3:$A$5001,_xlfn.MAXIFS(BD!$A$3:$A$5001,BD!$B$3:$B$5001,G$136,BD!$A$3:$A$5001,"&gt;="&amp;$C$7,BD!$A$3:$A$5001,"&lt;="&amp;$B147,BD!$V$3:$V$5001,"&lt;&gt;"))))</f>
        <v/>
      </c>
      <c r="H147" s="43" t="str">
        <f>IF(OR($B147="",$A147&gt;$B$9,H$136=""),"",IF(COUNTIFS(BD!$B$3:$B$5001,H$136,BD!$A$3:$A$5001,"&gt;="&amp;$C$7,BD!$A$3:$A$5001,"&lt;="&amp;$B147,BD!$V$3:$V$5001,"&lt;&gt;")=0,"",SUMIFS(BD!$V$3:$V$5001,BD!$B$3:$B$5001,H$136,BD!$A$3:$A$5001,_xlfn.MAXIFS(BD!$A$3:$A$5001,BD!$B$3:$B$5001,H$136,BD!$A$3:$A$5001,"&gt;="&amp;$C$7,BD!$A$3:$A$5001,"&lt;="&amp;$B147,BD!$V$3:$V$5001,"&lt;&gt;"))))</f>
        <v/>
      </c>
      <c r="I147" s="43" t="str">
        <f>IF(OR($B147="",$A147&gt;$B$9,I$136=""),"",IF(COUNTIFS(BD!$B$3:$B$5001,I$136,BD!$A$3:$A$5001,"&gt;="&amp;$C$7,BD!$A$3:$A$5001,"&lt;="&amp;$B147,BD!$V$3:$V$5001,"&lt;&gt;")=0,"",SUMIFS(BD!$V$3:$V$5001,BD!$B$3:$B$5001,I$136,BD!$A$3:$A$5001,_xlfn.MAXIFS(BD!$A$3:$A$5001,BD!$B$3:$B$5001,I$136,BD!$A$3:$A$5001,"&gt;="&amp;$C$7,BD!$A$3:$A$5001,"&lt;="&amp;$B147,BD!$V$3:$V$5001,"&lt;&gt;"))))</f>
        <v/>
      </c>
      <c r="J147" s="43" t="str">
        <f>IF(OR($B147="",$A147&gt;$B$9,J$136=""),"",IF(COUNTIFS(BD!$B$3:$B$5001,J$136,BD!$A$3:$A$5001,"&gt;="&amp;$C$7,BD!$A$3:$A$5001,"&lt;="&amp;$B147,BD!$V$3:$V$5001,"&lt;&gt;")=0,"",SUMIFS(BD!$V$3:$V$5001,BD!$B$3:$B$5001,J$136,BD!$A$3:$A$5001,_xlfn.MAXIFS(BD!$A$3:$A$5001,BD!$B$3:$B$5001,J$136,BD!$A$3:$A$5001,"&gt;="&amp;$C$7,BD!$A$3:$A$5001,"&lt;="&amp;$B147,BD!$V$3:$V$5001,"&lt;&gt;"))))</f>
        <v/>
      </c>
      <c r="K147" s="43" t="str">
        <f>IF(OR($B147="",$A147&gt;$B$9,K$136=""),"",IF(COUNTIFS(BD!$B$3:$B$5001,K$136,BD!$A$3:$A$5001,"&gt;="&amp;$C$7,BD!$A$3:$A$5001,"&lt;="&amp;$B147,BD!$V$3:$V$5001,"&lt;&gt;")=0,"",SUMIFS(BD!$V$3:$V$5001,BD!$B$3:$B$5001,K$136,BD!$A$3:$A$5001,_xlfn.MAXIFS(BD!$A$3:$A$5001,BD!$B$3:$B$5001,K$136,BD!$A$3:$A$5001,"&gt;="&amp;$C$7,BD!$A$3:$A$5001,"&lt;="&amp;$B147,BD!$V$3:$V$5001,"&lt;&gt;"))))</f>
        <v/>
      </c>
      <c r="L147" s="43" t="str">
        <f>IF(OR($B147="",$A147&gt;$B$9,L$136=""),"",IF(COUNTIFS(BD!$B$3:$B$5001,L$136,BD!$A$3:$A$5001,"&gt;="&amp;$C$7,BD!$A$3:$A$5001,"&lt;="&amp;$B147,BD!$V$3:$V$5001,"&lt;&gt;")=0,"",SUMIFS(BD!$V$3:$V$5001,BD!$B$3:$B$5001,L$136,BD!$A$3:$A$5001,_xlfn.MAXIFS(BD!$A$3:$A$5001,BD!$B$3:$B$5001,L$136,BD!$A$3:$A$5001,"&gt;="&amp;$C$7,BD!$A$3:$A$5001,"&lt;="&amp;$B147,BD!$V$3:$V$5001,"&lt;&gt;"))))</f>
        <v/>
      </c>
      <c r="M147" s="43" t="str">
        <f>IF(OR($B147="",$A147&gt;$B$9,M$136=""),"",IF(COUNTIFS(BD!$B$3:$B$5001,M$136,BD!$A$3:$A$5001,"&gt;="&amp;$C$7,BD!$A$3:$A$5001,"&lt;="&amp;$B147,BD!$V$3:$V$5001,"&lt;&gt;")=0,"",SUMIFS(BD!$V$3:$V$5001,BD!$B$3:$B$5001,M$136,BD!$A$3:$A$5001,_xlfn.MAXIFS(BD!$A$3:$A$5001,BD!$B$3:$B$5001,M$136,BD!$A$3:$A$5001,"&gt;="&amp;$C$7,BD!$A$3:$A$5001,"&lt;="&amp;$B147,BD!$V$3:$V$5001,"&lt;&gt;"))))</f>
        <v/>
      </c>
      <c r="N147" s="43" t="str">
        <f>IF(OR($B147="",$A147&gt;$B$9,N$136=""),"",IF(COUNTIFS(BD!$B$3:$B$5001,N$136,BD!$A$3:$A$5001,"&gt;="&amp;$C$7,BD!$A$3:$A$5001,"&lt;="&amp;$B147,BD!$V$3:$V$5001,"&lt;&gt;")=0,"",SUMIFS(BD!$V$3:$V$5001,BD!$B$3:$B$5001,N$136,BD!$A$3:$A$5001,_xlfn.MAXIFS(BD!$A$3:$A$5001,BD!$B$3:$B$5001,N$136,BD!$A$3:$A$5001,"&gt;="&amp;$C$7,BD!$A$3:$A$5001,"&lt;="&amp;$B147,BD!$V$3:$V$5001,"&lt;&gt;"))))</f>
        <v/>
      </c>
      <c r="O147" s="43" t="str">
        <f>IF(OR($B147="",$A147&gt;$B$9,O$136=""),"",IF(COUNTIFS(BD!$B$3:$B$5001,O$136,BD!$A$3:$A$5001,"&gt;="&amp;$C$7,BD!$A$3:$A$5001,"&lt;="&amp;$B147,BD!$V$3:$V$5001,"&lt;&gt;")=0,"",SUMIFS(BD!$V$3:$V$5001,BD!$B$3:$B$5001,O$136,BD!$A$3:$A$5001,_xlfn.MAXIFS(BD!$A$3:$A$5001,BD!$B$3:$B$5001,O$136,BD!$A$3:$A$5001,"&gt;="&amp;$C$7,BD!$A$3:$A$5001,"&lt;="&amp;$B147,BD!$V$3:$V$5001,"&lt;&gt;"))))</f>
        <v/>
      </c>
      <c r="P147" s="43" t="str">
        <f>IF(OR($B147="",$A147&gt;$B$9,P$136=""),"",IF(COUNTIFS(BD!$B$3:$B$5001,P$136,BD!$A$3:$A$5001,"&gt;="&amp;$C$7,BD!$A$3:$A$5001,"&lt;="&amp;$B147,BD!$V$3:$V$5001,"&lt;&gt;")=0,"",SUMIFS(BD!$V$3:$V$5001,BD!$B$3:$B$5001,P$136,BD!$A$3:$A$5001,_xlfn.MAXIFS(BD!$A$3:$A$5001,BD!$B$3:$B$5001,P$136,BD!$A$3:$A$5001,"&gt;="&amp;$C$7,BD!$A$3:$A$5001,"&lt;="&amp;$B147,BD!$V$3:$V$5001,"&lt;&gt;"))))</f>
        <v/>
      </c>
      <c r="Q147" s="43" t="str">
        <f>IF(OR($B147="",$A147&gt;$B$9,Q$136=""),"",IF(COUNTIFS(BD!$B$3:$B$5001,Q$136,BD!$A$3:$A$5001,"&gt;="&amp;$C$7,BD!$A$3:$A$5001,"&lt;="&amp;$B147,BD!$V$3:$V$5001,"&lt;&gt;")=0,"",SUMIFS(BD!$V$3:$V$5001,BD!$B$3:$B$5001,Q$136,BD!$A$3:$A$5001,_xlfn.MAXIFS(BD!$A$3:$A$5001,BD!$B$3:$B$5001,Q$136,BD!$A$3:$A$5001,"&gt;="&amp;$C$7,BD!$A$3:$A$5001,"&lt;="&amp;$B147,BD!$V$3:$V$5001,"&lt;&gt;"))))</f>
        <v/>
      </c>
      <c r="R147" s="43" t="str">
        <f>IF(OR($B147="",$A147&gt;$B$9,R$136=""),"",IF(COUNTIFS(BD!$B$3:$B$5001,R$136,BD!$A$3:$A$5001,"&gt;="&amp;$C$7,BD!$A$3:$A$5001,"&lt;="&amp;$B147,BD!$V$3:$V$5001,"&lt;&gt;")=0,"",SUMIFS(BD!$V$3:$V$5001,BD!$B$3:$B$5001,R$136,BD!$A$3:$A$5001,_xlfn.MAXIFS(BD!$A$3:$A$5001,BD!$B$3:$B$5001,R$136,BD!$A$3:$A$5001,"&gt;="&amp;$C$7,BD!$A$3:$A$5001,"&lt;="&amp;$B147,BD!$V$3:$V$5001,"&lt;&gt;"))))</f>
        <v/>
      </c>
      <c r="S147" s="43" t="str">
        <f>IF(OR($B147="",$A147&gt;$B$9,S$136=""),"",IF(COUNTIFS(BD!$B$3:$B$5001,S$136,BD!$A$3:$A$5001,"&gt;="&amp;$C$7,BD!$A$3:$A$5001,"&lt;="&amp;$B147,BD!$V$3:$V$5001,"&lt;&gt;")=0,"",SUMIFS(BD!$V$3:$V$5001,BD!$B$3:$B$5001,S$136,BD!$A$3:$A$5001,_xlfn.MAXIFS(BD!$A$3:$A$5001,BD!$B$3:$B$5001,S$136,BD!$A$3:$A$5001,"&gt;="&amp;$C$7,BD!$A$3:$A$5001,"&lt;="&amp;$B147,BD!$V$3:$V$5001,"&lt;&gt;"))))</f>
        <v/>
      </c>
      <c r="T147" s="43" t="str">
        <f>IF(OR($B147="",$A147&gt;$B$9,T$136=""),"",IF(COUNTIFS(BD!$B$3:$B$5001,T$136,BD!$A$3:$A$5001,"&gt;="&amp;$C$7,BD!$A$3:$A$5001,"&lt;="&amp;$B147,BD!$V$3:$V$5001,"&lt;&gt;")=0,"",SUMIFS(BD!$V$3:$V$5001,BD!$B$3:$B$5001,T$136,BD!$A$3:$A$5001,_xlfn.MAXIFS(BD!$A$3:$A$5001,BD!$B$3:$B$5001,T$136,BD!$A$3:$A$5001,"&gt;="&amp;$C$7,BD!$A$3:$A$5001,"&lt;="&amp;$B147,BD!$V$3:$V$5001,"&lt;&gt;"))))</f>
        <v/>
      </c>
      <c r="U147" s="43" t="str">
        <f>IF(OR($B147="",$A147&gt;$B$9,U$136=""),"",IF(COUNTIFS(BD!$B$3:$B$5001,U$136,BD!$A$3:$A$5001,"&gt;="&amp;$C$7,BD!$A$3:$A$5001,"&lt;="&amp;$B147,BD!$V$3:$V$5001,"&lt;&gt;")=0,"",SUMIFS(BD!$V$3:$V$5001,BD!$B$3:$B$5001,U$136,BD!$A$3:$A$5001,_xlfn.MAXIFS(BD!$A$3:$A$5001,BD!$B$3:$B$5001,U$136,BD!$A$3:$A$5001,"&gt;="&amp;$C$7,BD!$A$3:$A$5001,"&lt;="&amp;$B147,BD!$V$3:$V$5001,"&lt;&gt;"))))</f>
        <v/>
      </c>
      <c r="V147" s="43" t="str">
        <f>IF(OR($B147="",$A147&gt;$B$9,V$136=""),"",IF(COUNTIFS(BD!$B$3:$B$5001,V$136,BD!$A$3:$A$5001,"&gt;="&amp;$C$7,BD!$A$3:$A$5001,"&lt;="&amp;$B147,BD!$V$3:$V$5001,"&lt;&gt;")=0,"",SUMIFS(BD!$V$3:$V$5001,BD!$B$3:$B$5001,V$136,BD!$A$3:$A$5001,_xlfn.MAXIFS(BD!$A$3:$A$5001,BD!$B$3:$B$5001,V$136,BD!$A$3:$A$5001,"&gt;="&amp;$C$7,BD!$A$3:$A$5001,"&lt;="&amp;$B147,BD!$V$3:$V$5001,"&lt;&gt;"))))</f>
        <v/>
      </c>
    </row>
    <row r="148">
      <c r="A148" s="38">
        <v>12</v>
      </c>
      <c r="B148" s="42">
        <f>$B$23</f>
        <v>46307</v>
      </c>
      <c r="C148" s="43" t="str">
        <f>IF(OR($B148="",$A148&gt;$B$9,C$136=""),"",IF(COUNTIFS(BD!$B$3:$B$5001,C$136,BD!$A$3:$A$5001,"&gt;="&amp;$C$7,BD!$A$3:$A$5001,"&lt;="&amp;$B148,BD!$V$3:$V$5001,"&lt;&gt;")=0,"",SUMIFS(BD!$V$3:$V$5001,BD!$B$3:$B$5001,C$136,BD!$A$3:$A$5001,_xlfn.MAXIFS(BD!$A$3:$A$5001,BD!$B$3:$B$5001,C$136,BD!$A$3:$A$5001,"&gt;="&amp;$C$7,BD!$A$3:$A$5001,"&lt;="&amp;$B148,BD!$V$3:$V$5001,"&lt;&gt;"))))</f>
        <v/>
      </c>
      <c r="D148" s="43" t="str">
        <f>IF(OR($B148="",$A148&gt;$B$9,D$136=""),"",IF(COUNTIFS(BD!$B$3:$B$5001,D$136,BD!$A$3:$A$5001,"&gt;="&amp;$C$7,BD!$A$3:$A$5001,"&lt;="&amp;$B148,BD!$V$3:$V$5001,"&lt;&gt;")=0,"",SUMIFS(BD!$V$3:$V$5001,BD!$B$3:$B$5001,D$136,BD!$A$3:$A$5001,_xlfn.MAXIFS(BD!$A$3:$A$5001,BD!$B$3:$B$5001,D$136,BD!$A$3:$A$5001,"&gt;="&amp;$C$7,BD!$A$3:$A$5001,"&lt;="&amp;$B148,BD!$V$3:$V$5001,"&lt;&gt;"))))</f>
        <v/>
      </c>
      <c r="E148" s="43" t="str">
        <f>IF(OR($B148="",$A148&gt;$B$9,E$136=""),"",IF(COUNTIFS(BD!$B$3:$B$5001,E$136,BD!$A$3:$A$5001,"&gt;="&amp;$C$7,BD!$A$3:$A$5001,"&lt;="&amp;$B148,BD!$V$3:$V$5001,"&lt;&gt;")=0,"",SUMIFS(BD!$V$3:$V$5001,BD!$B$3:$B$5001,E$136,BD!$A$3:$A$5001,_xlfn.MAXIFS(BD!$A$3:$A$5001,BD!$B$3:$B$5001,E$136,BD!$A$3:$A$5001,"&gt;="&amp;$C$7,BD!$A$3:$A$5001,"&lt;="&amp;$B148,BD!$V$3:$V$5001,"&lt;&gt;"))))</f>
        <v/>
      </c>
      <c r="F148" s="43" t="str">
        <f>IF(OR($B148="",$A148&gt;$B$9,F$136=""),"",IF(COUNTIFS(BD!$B$3:$B$5001,F$136,BD!$A$3:$A$5001,"&gt;="&amp;$C$7,BD!$A$3:$A$5001,"&lt;="&amp;$B148,BD!$V$3:$V$5001,"&lt;&gt;")=0,"",SUMIFS(BD!$V$3:$V$5001,BD!$B$3:$B$5001,F$136,BD!$A$3:$A$5001,_xlfn.MAXIFS(BD!$A$3:$A$5001,BD!$B$3:$B$5001,F$136,BD!$A$3:$A$5001,"&gt;="&amp;$C$7,BD!$A$3:$A$5001,"&lt;="&amp;$B148,BD!$V$3:$V$5001,"&lt;&gt;"))))</f>
        <v/>
      </c>
      <c r="G148" s="43" t="str">
        <f>IF(OR($B148="",$A148&gt;$B$9,G$136=""),"",IF(COUNTIFS(BD!$B$3:$B$5001,G$136,BD!$A$3:$A$5001,"&gt;="&amp;$C$7,BD!$A$3:$A$5001,"&lt;="&amp;$B148,BD!$V$3:$V$5001,"&lt;&gt;")=0,"",SUMIFS(BD!$V$3:$V$5001,BD!$B$3:$B$5001,G$136,BD!$A$3:$A$5001,_xlfn.MAXIFS(BD!$A$3:$A$5001,BD!$B$3:$B$5001,G$136,BD!$A$3:$A$5001,"&gt;="&amp;$C$7,BD!$A$3:$A$5001,"&lt;="&amp;$B148,BD!$V$3:$V$5001,"&lt;&gt;"))))</f>
        <v/>
      </c>
      <c r="H148" s="43" t="str">
        <f>IF(OR($B148="",$A148&gt;$B$9,H$136=""),"",IF(COUNTIFS(BD!$B$3:$B$5001,H$136,BD!$A$3:$A$5001,"&gt;="&amp;$C$7,BD!$A$3:$A$5001,"&lt;="&amp;$B148,BD!$V$3:$V$5001,"&lt;&gt;")=0,"",SUMIFS(BD!$V$3:$V$5001,BD!$B$3:$B$5001,H$136,BD!$A$3:$A$5001,_xlfn.MAXIFS(BD!$A$3:$A$5001,BD!$B$3:$B$5001,H$136,BD!$A$3:$A$5001,"&gt;="&amp;$C$7,BD!$A$3:$A$5001,"&lt;="&amp;$B148,BD!$V$3:$V$5001,"&lt;&gt;"))))</f>
        <v/>
      </c>
      <c r="I148" s="43" t="str">
        <f>IF(OR($B148="",$A148&gt;$B$9,I$136=""),"",IF(COUNTIFS(BD!$B$3:$B$5001,I$136,BD!$A$3:$A$5001,"&gt;="&amp;$C$7,BD!$A$3:$A$5001,"&lt;="&amp;$B148,BD!$V$3:$V$5001,"&lt;&gt;")=0,"",SUMIFS(BD!$V$3:$V$5001,BD!$B$3:$B$5001,I$136,BD!$A$3:$A$5001,_xlfn.MAXIFS(BD!$A$3:$A$5001,BD!$B$3:$B$5001,I$136,BD!$A$3:$A$5001,"&gt;="&amp;$C$7,BD!$A$3:$A$5001,"&lt;="&amp;$B148,BD!$V$3:$V$5001,"&lt;&gt;"))))</f>
        <v/>
      </c>
      <c r="J148" s="43" t="str">
        <f>IF(OR($B148="",$A148&gt;$B$9,J$136=""),"",IF(COUNTIFS(BD!$B$3:$B$5001,J$136,BD!$A$3:$A$5001,"&gt;="&amp;$C$7,BD!$A$3:$A$5001,"&lt;="&amp;$B148,BD!$V$3:$V$5001,"&lt;&gt;")=0,"",SUMIFS(BD!$V$3:$V$5001,BD!$B$3:$B$5001,J$136,BD!$A$3:$A$5001,_xlfn.MAXIFS(BD!$A$3:$A$5001,BD!$B$3:$B$5001,J$136,BD!$A$3:$A$5001,"&gt;="&amp;$C$7,BD!$A$3:$A$5001,"&lt;="&amp;$B148,BD!$V$3:$V$5001,"&lt;&gt;"))))</f>
        <v/>
      </c>
      <c r="K148" s="43" t="str">
        <f>IF(OR($B148="",$A148&gt;$B$9,K$136=""),"",IF(COUNTIFS(BD!$B$3:$B$5001,K$136,BD!$A$3:$A$5001,"&gt;="&amp;$C$7,BD!$A$3:$A$5001,"&lt;="&amp;$B148,BD!$V$3:$V$5001,"&lt;&gt;")=0,"",SUMIFS(BD!$V$3:$V$5001,BD!$B$3:$B$5001,K$136,BD!$A$3:$A$5001,_xlfn.MAXIFS(BD!$A$3:$A$5001,BD!$B$3:$B$5001,K$136,BD!$A$3:$A$5001,"&gt;="&amp;$C$7,BD!$A$3:$A$5001,"&lt;="&amp;$B148,BD!$V$3:$V$5001,"&lt;&gt;"))))</f>
        <v/>
      </c>
      <c r="L148" s="43" t="str">
        <f>IF(OR($B148="",$A148&gt;$B$9,L$136=""),"",IF(COUNTIFS(BD!$B$3:$B$5001,L$136,BD!$A$3:$A$5001,"&gt;="&amp;$C$7,BD!$A$3:$A$5001,"&lt;="&amp;$B148,BD!$V$3:$V$5001,"&lt;&gt;")=0,"",SUMIFS(BD!$V$3:$V$5001,BD!$B$3:$B$5001,L$136,BD!$A$3:$A$5001,_xlfn.MAXIFS(BD!$A$3:$A$5001,BD!$B$3:$B$5001,L$136,BD!$A$3:$A$5001,"&gt;="&amp;$C$7,BD!$A$3:$A$5001,"&lt;="&amp;$B148,BD!$V$3:$V$5001,"&lt;&gt;"))))</f>
        <v/>
      </c>
      <c r="M148" s="43" t="str">
        <f>IF(OR($B148="",$A148&gt;$B$9,M$136=""),"",IF(COUNTIFS(BD!$B$3:$B$5001,M$136,BD!$A$3:$A$5001,"&gt;="&amp;$C$7,BD!$A$3:$A$5001,"&lt;="&amp;$B148,BD!$V$3:$V$5001,"&lt;&gt;")=0,"",SUMIFS(BD!$V$3:$V$5001,BD!$B$3:$B$5001,M$136,BD!$A$3:$A$5001,_xlfn.MAXIFS(BD!$A$3:$A$5001,BD!$B$3:$B$5001,M$136,BD!$A$3:$A$5001,"&gt;="&amp;$C$7,BD!$A$3:$A$5001,"&lt;="&amp;$B148,BD!$V$3:$V$5001,"&lt;&gt;"))))</f>
        <v/>
      </c>
      <c r="N148" s="43" t="str">
        <f>IF(OR($B148="",$A148&gt;$B$9,N$136=""),"",IF(COUNTIFS(BD!$B$3:$B$5001,N$136,BD!$A$3:$A$5001,"&gt;="&amp;$C$7,BD!$A$3:$A$5001,"&lt;="&amp;$B148,BD!$V$3:$V$5001,"&lt;&gt;")=0,"",SUMIFS(BD!$V$3:$V$5001,BD!$B$3:$B$5001,N$136,BD!$A$3:$A$5001,_xlfn.MAXIFS(BD!$A$3:$A$5001,BD!$B$3:$B$5001,N$136,BD!$A$3:$A$5001,"&gt;="&amp;$C$7,BD!$A$3:$A$5001,"&lt;="&amp;$B148,BD!$V$3:$V$5001,"&lt;&gt;"))))</f>
        <v/>
      </c>
      <c r="O148" s="43" t="str">
        <f>IF(OR($B148="",$A148&gt;$B$9,O$136=""),"",IF(COUNTIFS(BD!$B$3:$B$5001,O$136,BD!$A$3:$A$5001,"&gt;="&amp;$C$7,BD!$A$3:$A$5001,"&lt;="&amp;$B148,BD!$V$3:$V$5001,"&lt;&gt;")=0,"",SUMIFS(BD!$V$3:$V$5001,BD!$B$3:$B$5001,O$136,BD!$A$3:$A$5001,_xlfn.MAXIFS(BD!$A$3:$A$5001,BD!$B$3:$B$5001,O$136,BD!$A$3:$A$5001,"&gt;="&amp;$C$7,BD!$A$3:$A$5001,"&lt;="&amp;$B148,BD!$V$3:$V$5001,"&lt;&gt;"))))</f>
        <v/>
      </c>
      <c r="P148" s="43" t="str">
        <f>IF(OR($B148="",$A148&gt;$B$9,P$136=""),"",IF(COUNTIFS(BD!$B$3:$B$5001,P$136,BD!$A$3:$A$5001,"&gt;="&amp;$C$7,BD!$A$3:$A$5001,"&lt;="&amp;$B148,BD!$V$3:$V$5001,"&lt;&gt;")=0,"",SUMIFS(BD!$V$3:$V$5001,BD!$B$3:$B$5001,P$136,BD!$A$3:$A$5001,_xlfn.MAXIFS(BD!$A$3:$A$5001,BD!$B$3:$B$5001,P$136,BD!$A$3:$A$5001,"&gt;="&amp;$C$7,BD!$A$3:$A$5001,"&lt;="&amp;$B148,BD!$V$3:$V$5001,"&lt;&gt;"))))</f>
        <v/>
      </c>
      <c r="Q148" s="43" t="str">
        <f>IF(OR($B148="",$A148&gt;$B$9,Q$136=""),"",IF(COUNTIFS(BD!$B$3:$B$5001,Q$136,BD!$A$3:$A$5001,"&gt;="&amp;$C$7,BD!$A$3:$A$5001,"&lt;="&amp;$B148,BD!$V$3:$V$5001,"&lt;&gt;")=0,"",SUMIFS(BD!$V$3:$V$5001,BD!$B$3:$B$5001,Q$136,BD!$A$3:$A$5001,_xlfn.MAXIFS(BD!$A$3:$A$5001,BD!$B$3:$B$5001,Q$136,BD!$A$3:$A$5001,"&gt;="&amp;$C$7,BD!$A$3:$A$5001,"&lt;="&amp;$B148,BD!$V$3:$V$5001,"&lt;&gt;"))))</f>
        <v/>
      </c>
      <c r="R148" s="43" t="str">
        <f>IF(OR($B148="",$A148&gt;$B$9,R$136=""),"",IF(COUNTIFS(BD!$B$3:$B$5001,R$136,BD!$A$3:$A$5001,"&gt;="&amp;$C$7,BD!$A$3:$A$5001,"&lt;="&amp;$B148,BD!$V$3:$V$5001,"&lt;&gt;")=0,"",SUMIFS(BD!$V$3:$V$5001,BD!$B$3:$B$5001,R$136,BD!$A$3:$A$5001,_xlfn.MAXIFS(BD!$A$3:$A$5001,BD!$B$3:$B$5001,R$136,BD!$A$3:$A$5001,"&gt;="&amp;$C$7,BD!$A$3:$A$5001,"&lt;="&amp;$B148,BD!$V$3:$V$5001,"&lt;&gt;"))))</f>
        <v/>
      </c>
      <c r="S148" s="43" t="str">
        <f>IF(OR($B148="",$A148&gt;$B$9,S$136=""),"",IF(COUNTIFS(BD!$B$3:$B$5001,S$136,BD!$A$3:$A$5001,"&gt;="&amp;$C$7,BD!$A$3:$A$5001,"&lt;="&amp;$B148,BD!$V$3:$V$5001,"&lt;&gt;")=0,"",SUMIFS(BD!$V$3:$V$5001,BD!$B$3:$B$5001,S$136,BD!$A$3:$A$5001,_xlfn.MAXIFS(BD!$A$3:$A$5001,BD!$B$3:$B$5001,S$136,BD!$A$3:$A$5001,"&gt;="&amp;$C$7,BD!$A$3:$A$5001,"&lt;="&amp;$B148,BD!$V$3:$V$5001,"&lt;&gt;"))))</f>
        <v/>
      </c>
      <c r="T148" s="43" t="str">
        <f>IF(OR($B148="",$A148&gt;$B$9,T$136=""),"",IF(COUNTIFS(BD!$B$3:$B$5001,T$136,BD!$A$3:$A$5001,"&gt;="&amp;$C$7,BD!$A$3:$A$5001,"&lt;="&amp;$B148,BD!$V$3:$V$5001,"&lt;&gt;")=0,"",SUMIFS(BD!$V$3:$V$5001,BD!$B$3:$B$5001,T$136,BD!$A$3:$A$5001,_xlfn.MAXIFS(BD!$A$3:$A$5001,BD!$B$3:$B$5001,T$136,BD!$A$3:$A$5001,"&gt;="&amp;$C$7,BD!$A$3:$A$5001,"&lt;="&amp;$B148,BD!$V$3:$V$5001,"&lt;&gt;"))))</f>
        <v/>
      </c>
      <c r="U148" s="43" t="str">
        <f>IF(OR($B148="",$A148&gt;$B$9,U$136=""),"",IF(COUNTIFS(BD!$B$3:$B$5001,U$136,BD!$A$3:$A$5001,"&gt;="&amp;$C$7,BD!$A$3:$A$5001,"&lt;="&amp;$B148,BD!$V$3:$V$5001,"&lt;&gt;")=0,"",SUMIFS(BD!$V$3:$V$5001,BD!$B$3:$B$5001,U$136,BD!$A$3:$A$5001,_xlfn.MAXIFS(BD!$A$3:$A$5001,BD!$B$3:$B$5001,U$136,BD!$A$3:$A$5001,"&gt;="&amp;$C$7,BD!$A$3:$A$5001,"&lt;="&amp;$B148,BD!$V$3:$V$5001,"&lt;&gt;"))))</f>
        <v/>
      </c>
      <c r="V148" s="43" t="str">
        <f>IF(OR($B148="",$A148&gt;$B$9,V$136=""),"",IF(COUNTIFS(BD!$B$3:$B$5001,V$136,BD!$A$3:$A$5001,"&gt;="&amp;$C$7,BD!$A$3:$A$5001,"&lt;="&amp;$B148,BD!$V$3:$V$5001,"&lt;&gt;")=0,"",SUMIFS(BD!$V$3:$V$5001,BD!$B$3:$B$5001,V$136,BD!$A$3:$A$5001,_xlfn.MAXIFS(BD!$A$3:$A$5001,BD!$B$3:$B$5001,V$136,BD!$A$3:$A$5001,"&gt;="&amp;$C$7,BD!$A$3:$A$5001,"&lt;="&amp;$B148,BD!$V$3:$V$5001,"&lt;&gt;"))))</f>
        <v/>
      </c>
    </row>
    <row r="149">
      <c r="A149" s="38">
        <v>13</v>
      </c>
      <c r="B149" s="42">
        <f>$B$24</f>
        <v>46308</v>
      </c>
      <c r="C149" s="43" t="str">
        <f>IF(OR($B149="",$A149&gt;$B$9,C$136=""),"",IF(COUNTIFS(BD!$B$3:$B$5001,C$136,BD!$A$3:$A$5001,"&gt;="&amp;$C$7,BD!$A$3:$A$5001,"&lt;="&amp;$B149,BD!$V$3:$V$5001,"&lt;&gt;")=0,"",SUMIFS(BD!$V$3:$V$5001,BD!$B$3:$B$5001,C$136,BD!$A$3:$A$5001,_xlfn.MAXIFS(BD!$A$3:$A$5001,BD!$B$3:$B$5001,C$136,BD!$A$3:$A$5001,"&gt;="&amp;$C$7,BD!$A$3:$A$5001,"&lt;="&amp;$B149,BD!$V$3:$V$5001,"&lt;&gt;"))))</f>
        <v/>
      </c>
      <c r="D149" s="43" t="str">
        <f>IF(OR($B149="",$A149&gt;$B$9,D$136=""),"",IF(COUNTIFS(BD!$B$3:$B$5001,D$136,BD!$A$3:$A$5001,"&gt;="&amp;$C$7,BD!$A$3:$A$5001,"&lt;="&amp;$B149,BD!$V$3:$V$5001,"&lt;&gt;")=0,"",SUMIFS(BD!$V$3:$V$5001,BD!$B$3:$B$5001,D$136,BD!$A$3:$A$5001,_xlfn.MAXIFS(BD!$A$3:$A$5001,BD!$B$3:$B$5001,D$136,BD!$A$3:$A$5001,"&gt;="&amp;$C$7,BD!$A$3:$A$5001,"&lt;="&amp;$B149,BD!$V$3:$V$5001,"&lt;&gt;"))))</f>
        <v/>
      </c>
      <c r="E149" s="43" t="str">
        <f>IF(OR($B149="",$A149&gt;$B$9,E$136=""),"",IF(COUNTIFS(BD!$B$3:$B$5001,E$136,BD!$A$3:$A$5001,"&gt;="&amp;$C$7,BD!$A$3:$A$5001,"&lt;="&amp;$B149,BD!$V$3:$V$5001,"&lt;&gt;")=0,"",SUMIFS(BD!$V$3:$V$5001,BD!$B$3:$B$5001,E$136,BD!$A$3:$A$5001,_xlfn.MAXIFS(BD!$A$3:$A$5001,BD!$B$3:$B$5001,E$136,BD!$A$3:$A$5001,"&gt;="&amp;$C$7,BD!$A$3:$A$5001,"&lt;="&amp;$B149,BD!$V$3:$V$5001,"&lt;&gt;"))))</f>
        <v/>
      </c>
      <c r="F149" s="43" t="str">
        <f>IF(OR($B149="",$A149&gt;$B$9,F$136=""),"",IF(COUNTIFS(BD!$B$3:$B$5001,F$136,BD!$A$3:$A$5001,"&gt;="&amp;$C$7,BD!$A$3:$A$5001,"&lt;="&amp;$B149,BD!$V$3:$V$5001,"&lt;&gt;")=0,"",SUMIFS(BD!$V$3:$V$5001,BD!$B$3:$B$5001,F$136,BD!$A$3:$A$5001,_xlfn.MAXIFS(BD!$A$3:$A$5001,BD!$B$3:$B$5001,F$136,BD!$A$3:$A$5001,"&gt;="&amp;$C$7,BD!$A$3:$A$5001,"&lt;="&amp;$B149,BD!$V$3:$V$5001,"&lt;&gt;"))))</f>
        <v/>
      </c>
      <c r="G149" s="43" t="str">
        <f>IF(OR($B149="",$A149&gt;$B$9,G$136=""),"",IF(COUNTIFS(BD!$B$3:$B$5001,G$136,BD!$A$3:$A$5001,"&gt;="&amp;$C$7,BD!$A$3:$A$5001,"&lt;="&amp;$B149,BD!$V$3:$V$5001,"&lt;&gt;")=0,"",SUMIFS(BD!$V$3:$V$5001,BD!$B$3:$B$5001,G$136,BD!$A$3:$A$5001,_xlfn.MAXIFS(BD!$A$3:$A$5001,BD!$B$3:$B$5001,G$136,BD!$A$3:$A$5001,"&gt;="&amp;$C$7,BD!$A$3:$A$5001,"&lt;="&amp;$B149,BD!$V$3:$V$5001,"&lt;&gt;"))))</f>
        <v/>
      </c>
      <c r="H149" s="43" t="str">
        <f>IF(OR($B149="",$A149&gt;$B$9,H$136=""),"",IF(COUNTIFS(BD!$B$3:$B$5001,H$136,BD!$A$3:$A$5001,"&gt;="&amp;$C$7,BD!$A$3:$A$5001,"&lt;="&amp;$B149,BD!$V$3:$V$5001,"&lt;&gt;")=0,"",SUMIFS(BD!$V$3:$V$5001,BD!$B$3:$B$5001,H$136,BD!$A$3:$A$5001,_xlfn.MAXIFS(BD!$A$3:$A$5001,BD!$B$3:$B$5001,H$136,BD!$A$3:$A$5001,"&gt;="&amp;$C$7,BD!$A$3:$A$5001,"&lt;="&amp;$B149,BD!$V$3:$V$5001,"&lt;&gt;"))))</f>
        <v/>
      </c>
      <c r="I149" s="43" t="str">
        <f>IF(OR($B149="",$A149&gt;$B$9,I$136=""),"",IF(COUNTIFS(BD!$B$3:$B$5001,I$136,BD!$A$3:$A$5001,"&gt;="&amp;$C$7,BD!$A$3:$A$5001,"&lt;="&amp;$B149,BD!$V$3:$V$5001,"&lt;&gt;")=0,"",SUMIFS(BD!$V$3:$V$5001,BD!$B$3:$B$5001,I$136,BD!$A$3:$A$5001,_xlfn.MAXIFS(BD!$A$3:$A$5001,BD!$B$3:$B$5001,I$136,BD!$A$3:$A$5001,"&gt;="&amp;$C$7,BD!$A$3:$A$5001,"&lt;="&amp;$B149,BD!$V$3:$V$5001,"&lt;&gt;"))))</f>
        <v/>
      </c>
      <c r="J149" s="43" t="str">
        <f>IF(OR($B149="",$A149&gt;$B$9,J$136=""),"",IF(COUNTIFS(BD!$B$3:$B$5001,J$136,BD!$A$3:$A$5001,"&gt;="&amp;$C$7,BD!$A$3:$A$5001,"&lt;="&amp;$B149,BD!$V$3:$V$5001,"&lt;&gt;")=0,"",SUMIFS(BD!$V$3:$V$5001,BD!$B$3:$B$5001,J$136,BD!$A$3:$A$5001,_xlfn.MAXIFS(BD!$A$3:$A$5001,BD!$B$3:$B$5001,J$136,BD!$A$3:$A$5001,"&gt;="&amp;$C$7,BD!$A$3:$A$5001,"&lt;="&amp;$B149,BD!$V$3:$V$5001,"&lt;&gt;"))))</f>
        <v/>
      </c>
      <c r="K149" s="43" t="str">
        <f>IF(OR($B149="",$A149&gt;$B$9,K$136=""),"",IF(COUNTIFS(BD!$B$3:$B$5001,K$136,BD!$A$3:$A$5001,"&gt;="&amp;$C$7,BD!$A$3:$A$5001,"&lt;="&amp;$B149,BD!$V$3:$V$5001,"&lt;&gt;")=0,"",SUMIFS(BD!$V$3:$V$5001,BD!$B$3:$B$5001,K$136,BD!$A$3:$A$5001,_xlfn.MAXIFS(BD!$A$3:$A$5001,BD!$B$3:$B$5001,K$136,BD!$A$3:$A$5001,"&gt;="&amp;$C$7,BD!$A$3:$A$5001,"&lt;="&amp;$B149,BD!$V$3:$V$5001,"&lt;&gt;"))))</f>
        <v/>
      </c>
      <c r="L149" s="43" t="str">
        <f>IF(OR($B149="",$A149&gt;$B$9,L$136=""),"",IF(COUNTIFS(BD!$B$3:$B$5001,L$136,BD!$A$3:$A$5001,"&gt;="&amp;$C$7,BD!$A$3:$A$5001,"&lt;="&amp;$B149,BD!$V$3:$V$5001,"&lt;&gt;")=0,"",SUMIFS(BD!$V$3:$V$5001,BD!$B$3:$B$5001,L$136,BD!$A$3:$A$5001,_xlfn.MAXIFS(BD!$A$3:$A$5001,BD!$B$3:$B$5001,L$136,BD!$A$3:$A$5001,"&gt;="&amp;$C$7,BD!$A$3:$A$5001,"&lt;="&amp;$B149,BD!$V$3:$V$5001,"&lt;&gt;"))))</f>
        <v/>
      </c>
      <c r="M149" s="43" t="str">
        <f>IF(OR($B149="",$A149&gt;$B$9,M$136=""),"",IF(COUNTIFS(BD!$B$3:$B$5001,M$136,BD!$A$3:$A$5001,"&gt;="&amp;$C$7,BD!$A$3:$A$5001,"&lt;="&amp;$B149,BD!$V$3:$V$5001,"&lt;&gt;")=0,"",SUMIFS(BD!$V$3:$V$5001,BD!$B$3:$B$5001,M$136,BD!$A$3:$A$5001,_xlfn.MAXIFS(BD!$A$3:$A$5001,BD!$B$3:$B$5001,M$136,BD!$A$3:$A$5001,"&gt;="&amp;$C$7,BD!$A$3:$A$5001,"&lt;="&amp;$B149,BD!$V$3:$V$5001,"&lt;&gt;"))))</f>
        <v/>
      </c>
      <c r="N149" s="43" t="str">
        <f>IF(OR($B149="",$A149&gt;$B$9,N$136=""),"",IF(COUNTIFS(BD!$B$3:$B$5001,N$136,BD!$A$3:$A$5001,"&gt;="&amp;$C$7,BD!$A$3:$A$5001,"&lt;="&amp;$B149,BD!$V$3:$V$5001,"&lt;&gt;")=0,"",SUMIFS(BD!$V$3:$V$5001,BD!$B$3:$B$5001,N$136,BD!$A$3:$A$5001,_xlfn.MAXIFS(BD!$A$3:$A$5001,BD!$B$3:$B$5001,N$136,BD!$A$3:$A$5001,"&gt;="&amp;$C$7,BD!$A$3:$A$5001,"&lt;="&amp;$B149,BD!$V$3:$V$5001,"&lt;&gt;"))))</f>
        <v/>
      </c>
      <c r="O149" s="43" t="str">
        <f>IF(OR($B149="",$A149&gt;$B$9,O$136=""),"",IF(COUNTIFS(BD!$B$3:$B$5001,O$136,BD!$A$3:$A$5001,"&gt;="&amp;$C$7,BD!$A$3:$A$5001,"&lt;="&amp;$B149,BD!$V$3:$V$5001,"&lt;&gt;")=0,"",SUMIFS(BD!$V$3:$V$5001,BD!$B$3:$B$5001,O$136,BD!$A$3:$A$5001,_xlfn.MAXIFS(BD!$A$3:$A$5001,BD!$B$3:$B$5001,O$136,BD!$A$3:$A$5001,"&gt;="&amp;$C$7,BD!$A$3:$A$5001,"&lt;="&amp;$B149,BD!$V$3:$V$5001,"&lt;&gt;"))))</f>
        <v/>
      </c>
      <c r="P149" s="43" t="str">
        <f>IF(OR($B149="",$A149&gt;$B$9,P$136=""),"",IF(COUNTIFS(BD!$B$3:$B$5001,P$136,BD!$A$3:$A$5001,"&gt;="&amp;$C$7,BD!$A$3:$A$5001,"&lt;="&amp;$B149,BD!$V$3:$V$5001,"&lt;&gt;")=0,"",SUMIFS(BD!$V$3:$V$5001,BD!$B$3:$B$5001,P$136,BD!$A$3:$A$5001,_xlfn.MAXIFS(BD!$A$3:$A$5001,BD!$B$3:$B$5001,P$136,BD!$A$3:$A$5001,"&gt;="&amp;$C$7,BD!$A$3:$A$5001,"&lt;="&amp;$B149,BD!$V$3:$V$5001,"&lt;&gt;"))))</f>
        <v/>
      </c>
      <c r="Q149" s="43" t="str">
        <f>IF(OR($B149="",$A149&gt;$B$9,Q$136=""),"",IF(COUNTIFS(BD!$B$3:$B$5001,Q$136,BD!$A$3:$A$5001,"&gt;="&amp;$C$7,BD!$A$3:$A$5001,"&lt;="&amp;$B149,BD!$V$3:$V$5001,"&lt;&gt;")=0,"",SUMIFS(BD!$V$3:$V$5001,BD!$B$3:$B$5001,Q$136,BD!$A$3:$A$5001,_xlfn.MAXIFS(BD!$A$3:$A$5001,BD!$B$3:$B$5001,Q$136,BD!$A$3:$A$5001,"&gt;="&amp;$C$7,BD!$A$3:$A$5001,"&lt;="&amp;$B149,BD!$V$3:$V$5001,"&lt;&gt;"))))</f>
        <v/>
      </c>
      <c r="R149" s="43" t="str">
        <f>IF(OR($B149="",$A149&gt;$B$9,R$136=""),"",IF(COUNTIFS(BD!$B$3:$B$5001,R$136,BD!$A$3:$A$5001,"&gt;="&amp;$C$7,BD!$A$3:$A$5001,"&lt;="&amp;$B149,BD!$V$3:$V$5001,"&lt;&gt;")=0,"",SUMIFS(BD!$V$3:$V$5001,BD!$B$3:$B$5001,R$136,BD!$A$3:$A$5001,_xlfn.MAXIFS(BD!$A$3:$A$5001,BD!$B$3:$B$5001,R$136,BD!$A$3:$A$5001,"&gt;="&amp;$C$7,BD!$A$3:$A$5001,"&lt;="&amp;$B149,BD!$V$3:$V$5001,"&lt;&gt;"))))</f>
        <v/>
      </c>
      <c r="S149" s="43" t="str">
        <f>IF(OR($B149="",$A149&gt;$B$9,S$136=""),"",IF(COUNTIFS(BD!$B$3:$B$5001,S$136,BD!$A$3:$A$5001,"&gt;="&amp;$C$7,BD!$A$3:$A$5001,"&lt;="&amp;$B149,BD!$V$3:$V$5001,"&lt;&gt;")=0,"",SUMIFS(BD!$V$3:$V$5001,BD!$B$3:$B$5001,S$136,BD!$A$3:$A$5001,_xlfn.MAXIFS(BD!$A$3:$A$5001,BD!$B$3:$B$5001,S$136,BD!$A$3:$A$5001,"&gt;="&amp;$C$7,BD!$A$3:$A$5001,"&lt;="&amp;$B149,BD!$V$3:$V$5001,"&lt;&gt;"))))</f>
        <v/>
      </c>
      <c r="T149" s="43" t="str">
        <f>IF(OR($B149="",$A149&gt;$B$9,T$136=""),"",IF(COUNTIFS(BD!$B$3:$B$5001,T$136,BD!$A$3:$A$5001,"&gt;="&amp;$C$7,BD!$A$3:$A$5001,"&lt;="&amp;$B149,BD!$V$3:$V$5001,"&lt;&gt;")=0,"",SUMIFS(BD!$V$3:$V$5001,BD!$B$3:$B$5001,T$136,BD!$A$3:$A$5001,_xlfn.MAXIFS(BD!$A$3:$A$5001,BD!$B$3:$B$5001,T$136,BD!$A$3:$A$5001,"&gt;="&amp;$C$7,BD!$A$3:$A$5001,"&lt;="&amp;$B149,BD!$V$3:$V$5001,"&lt;&gt;"))))</f>
        <v/>
      </c>
      <c r="U149" s="43" t="str">
        <f>IF(OR($B149="",$A149&gt;$B$9,U$136=""),"",IF(COUNTIFS(BD!$B$3:$B$5001,U$136,BD!$A$3:$A$5001,"&gt;="&amp;$C$7,BD!$A$3:$A$5001,"&lt;="&amp;$B149,BD!$V$3:$V$5001,"&lt;&gt;")=0,"",SUMIFS(BD!$V$3:$V$5001,BD!$B$3:$B$5001,U$136,BD!$A$3:$A$5001,_xlfn.MAXIFS(BD!$A$3:$A$5001,BD!$B$3:$B$5001,U$136,BD!$A$3:$A$5001,"&gt;="&amp;$C$7,BD!$A$3:$A$5001,"&lt;="&amp;$B149,BD!$V$3:$V$5001,"&lt;&gt;"))))</f>
        <v/>
      </c>
      <c r="V149" s="43" t="str">
        <f>IF(OR($B149="",$A149&gt;$B$9,V$136=""),"",IF(COUNTIFS(BD!$B$3:$B$5001,V$136,BD!$A$3:$A$5001,"&gt;="&amp;$C$7,BD!$A$3:$A$5001,"&lt;="&amp;$B149,BD!$V$3:$V$5001,"&lt;&gt;")=0,"",SUMIFS(BD!$V$3:$V$5001,BD!$B$3:$B$5001,V$136,BD!$A$3:$A$5001,_xlfn.MAXIFS(BD!$A$3:$A$5001,BD!$B$3:$B$5001,V$136,BD!$A$3:$A$5001,"&gt;="&amp;$C$7,BD!$A$3:$A$5001,"&lt;="&amp;$B149,BD!$V$3:$V$5001,"&lt;&gt;"))))</f>
        <v/>
      </c>
    </row>
    <row r="150">
      <c r="A150" s="38">
        <v>14</v>
      </c>
      <c r="B150" s="42">
        <f>$B$25</f>
        <v>46309</v>
      </c>
      <c r="C150" s="43" t="str">
        <f>IF(OR($B150="",$A150&gt;$B$9,C$136=""),"",IF(COUNTIFS(BD!$B$3:$B$5001,C$136,BD!$A$3:$A$5001,"&gt;="&amp;$C$7,BD!$A$3:$A$5001,"&lt;="&amp;$B150,BD!$V$3:$V$5001,"&lt;&gt;")=0,"",SUMIFS(BD!$V$3:$V$5001,BD!$B$3:$B$5001,C$136,BD!$A$3:$A$5001,_xlfn.MAXIFS(BD!$A$3:$A$5001,BD!$B$3:$B$5001,C$136,BD!$A$3:$A$5001,"&gt;="&amp;$C$7,BD!$A$3:$A$5001,"&lt;="&amp;$B150,BD!$V$3:$V$5001,"&lt;&gt;"))))</f>
        <v/>
      </c>
      <c r="D150" s="43" t="str">
        <f>IF(OR($B150="",$A150&gt;$B$9,D$136=""),"",IF(COUNTIFS(BD!$B$3:$B$5001,D$136,BD!$A$3:$A$5001,"&gt;="&amp;$C$7,BD!$A$3:$A$5001,"&lt;="&amp;$B150,BD!$V$3:$V$5001,"&lt;&gt;")=0,"",SUMIFS(BD!$V$3:$V$5001,BD!$B$3:$B$5001,D$136,BD!$A$3:$A$5001,_xlfn.MAXIFS(BD!$A$3:$A$5001,BD!$B$3:$B$5001,D$136,BD!$A$3:$A$5001,"&gt;="&amp;$C$7,BD!$A$3:$A$5001,"&lt;="&amp;$B150,BD!$V$3:$V$5001,"&lt;&gt;"))))</f>
        <v/>
      </c>
      <c r="E150" s="43" t="str">
        <f>IF(OR($B150="",$A150&gt;$B$9,E$136=""),"",IF(COUNTIFS(BD!$B$3:$B$5001,E$136,BD!$A$3:$A$5001,"&gt;="&amp;$C$7,BD!$A$3:$A$5001,"&lt;="&amp;$B150,BD!$V$3:$V$5001,"&lt;&gt;")=0,"",SUMIFS(BD!$V$3:$V$5001,BD!$B$3:$B$5001,E$136,BD!$A$3:$A$5001,_xlfn.MAXIFS(BD!$A$3:$A$5001,BD!$B$3:$B$5001,E$136,BD!$A$3:$A$5001,"&gt;="&amp;$C$7,BD!$A$3:$A$5001,"&lt;="&amp;$B150,BD!$V$3:$V$5001,"&lt;&gt;"))))</f>
        <v/>
      </c>
      <c r="F150" s="43" t="str">
        <f>IF(OR($B150="",$A150&gt;$B$9,F$136=""),"",IF(COUNTIFS(BD!$B$3:$B$5001,F$136,BD!$A$3:$A$5001,"&gt;="&amp;$C$7,BD!$A$3:$A$5001,"&lt;="&amp;$B150,BD!$V$3:$V$5001,"&lt;&gt;")=0,"",SUMIFS(BD!$V$3:$V$5001,BD!$B$3:$B$5001,F$136,BD!$A$3:$A$5001,_xlfn.MAXIFS(BD!$A$3:$A$5001,BD!$B$3:$B$5001,F$136,BD!$A$3:$A$5001,"&gt;="&amp;$C$7,BD!$A$3:$A$5001,"&lt;="&amp;$B150,BD!$V$3:$V$5001,"&lt;&gt;"))))</f>
        <v/>
      </c>
      <c r="G150" s="43" t="str">
        <f>IF(OR($B150="",$A150&gt;$B$9,G$136=""),"",IF(COUNTIFS(BD!$B$3:$B$5001,G$136,BD!$A$3:$A$5001,"&gt;="&amp;$C$7,BD!$A$3:$A$5001,"&lt;="&amp;$B150,BD!$V$3:$V$5001,"&lt;&gt;")=0,"",SUMIFS(BD!$V$3:$V$5001,BD!$B$3:$B$5001,G$136,BD!$A$3:$A$5001,_xlfn.MAXIFS(BD!$A$3:$A$5001,BD!$B$3:$B$5001,G$136,BD!$A$3:$A$5001,"&gt;="&amp;$C$7,BD!$A$3:$A$5001,"&lt;="&amp;$B150,BD!$V$3:$V$5001,"&lt;&gt;"))))</f>
        <v/>
      </c>
      <c r="H150" s="43" t="str">
        <f>IF(OR($B150="",$A150&gt;$B$9,H$136=""),"",IF(COUNTIFS(BD!$B$3:$B$5001,H$136,BD!$A$3:$A$5001,"&gt;="&amp;$C$7,BD!$A$3:$A$5001,"&lt;="&amp;$B150,BD!$V$3:$V$5001,"&lt;&gt;")=0,"",SUMIFS(BD!$V$3:$V$5001,BD!$B$3:$B$5001,H$136,BD!$A$3:$A$5001,_xlfn.MAXIFS(BD!$A$3:$A$5001,BD!$B$3:$B$5001,H$136,BD!$A$3:$A$5001,"&gt;="&amp;$C$7,BD!$A$3:$A$5001,"&lt;="&amp;$B150,BD!$V$3:$V$5001,"&lt;&gt;"))))</f>
        <v/>
      </c>
      <c r="I150" s="43" t="str">
        <f>IF(OR($B150="",$A150&gt;$B$9,I$136=""),"",IF(COUNTIFS(BD!$B$3:$B$5001,I$136,BD!$A$3:$A$5001,"&gt;="&amp;$C$7,BD!$A$3:$A$5001,"&lt;="&amp;$B150,BD!$V$3:$V$5001,"&lt;&gt;")=0,"",SUMIFS(BD!$V$3:$V$5001,BD!$B$3:$B$5001,I$136,BD!$A$3:$A$5001,_xlfn.MAXIFS(BD!$A$3:$A$5001,BD!$B$3:$B$5001,I$136,BD!$A$3:$A$5001,"&gt;="&amp;$C$7,BD!$A$3:$A$5001,"&lt;="&amp;$B150,BD!$V$3:$V$5001,"&lt;&gt;"))))</f>
        <v/>
      </c>
      <c r="J150" s="43" t="str">
        <f>IF(OR($B150="",$A150&gt;$B$9,J$136=""),"",IF(COUNTIFS(BD!$B$3:$B$5001,J$136,BD!$A$3:$A$5001,"&gt;="&amp;$C$7,BD!$A$3:$A$5001,"&lt;="&amp;$B150,BD!$V$3:$V$5001,"&lt;&gt;")=0,"",SUMIFS(BD!$V$3:$V$5001,BD!$B$3:$B$5001,J$136,BD!$A$3:$A$5001,_xlfn.MAXIFS(BD!$A$3:$A$5001,BD!$B$3:$B$5001,J$136,BD!$A$3:$A$5001,"&gt;="&amp;$C$7,BD!$A$3:$A$5001,"&lt;="&amp;$B150,BD!$V$3:$V$5001,"&lt;&gt;"))))</f>
        <v/>
      </c>
      <c r="K150" s="43" t="str">
        <f>IF(OR($B150="",$A150&gt;$B$9,K$136=""),"",IF(COUNTIFS(BD!$B$3:$B$5001,K$136,BD!$A$3:$A$5001,"&gt;="&amp;$C$7,BD!$A$3:$A$5001,"&lt;="&amp;$B150,BD!$V$3:$V$5001,"&lt;&gt;")=0,"",SUMIFS(BD!$V$3:$V$5001,BD!$B$3:$B$5001,K$136,BD!$A$3:$A$5001,_xlfn.MAXIFS(BD!$A$3:$A$5001,BD!$B$3:$B$5001,K$136,BD!$A$3:$A$5001,"&gt;="&amp;$C$7,BD!$A$3:$A$5001,"&lt;="&amp;$B150,BD!$V$3:$V$5001,"&lt;&gt;"))))</f>
        <v/>
      </c>
      <c r="L150" s="43" t="str">
        <f>IF(OR($B150="",$A150&gt;$B$9,L$136=""),"",IF(COUNTIFS(BD!$B$3:$B$5001,L$136,BD!$A$3:$A$5001,"&gt;="&amp;$C$7,BD!$A$3:$A$5001,"&lt;="&amp;$B150,BD!$V$3:$V$5001,"&lt;&gt;")=0,"",SUMIFS(BD!$V$3:$V$5001,BD!$B$3:$B$5001,L$136,BD!$A$3:$A$5001,_xlfn.MAXIFS(BD!$A$3:$A$5001,BD!$B$3:$B$5001,L$136,BD!$A$3:$A$5001,"&gt;="&amp;$C$7,BD!$A$3:$A$5001,"&lt;="&amp;$B150,BD!$V$3:$V$5001,"&lt;&gt;"))))</f>
        <v/>
      </c>
      <c r="M150" s="43" t="str">
        <f>IF(OR($B150="",$A150&gt;$B$9,M$136=""),"",IF(COUNTIFS(BD!$B$3:$B$5001,M$136,BD!$A$3:$A$5001,"&gt;="&amp;$C$7,BD!$A$3:$A$5001,"&lt;="&amp;$B150,BD!$V$3:$V$5001,"&lt;&gt;")=0,"",SUMIFS(BD!$V$3:$V$5001,BD!$B$3:$B$5001,M$136,BD!$A$3:$A$5001,_xlfn.MAXIFS(BD!$A$3:$A$5001,BD!$B$3:$B$5001,M$136,BD!$A$3:$A$5001,"&gt;="&amp;$C$7,BD!$A$3:$A$5001,"&lt;="&amp;$B150,BD!$V$3:$V$5001,"&lt;&gt;"))))</f>
        <v/>
      </c>
      <c r="N150" s="43" t="str">
        <f>IF(OR($B150="",$A150&gt;$B$9,N$136=""),"",IF(COUNTIFS(BD!$B$3:$B$5001,N$136,BD!$A$3:$A$5001,"&gt;="&amp;$C$7,BD!$A$3:$A$5001,"&lt;="&amp;$B150,BD!$V$3:$V$5001,"&lt;&gt;")=0,"",SUMIFS(BD!$V$3:$V$5001,BD!$B$3:$B$5001,N$136,BD!$A$3:$A$5001,_xlfn.MAXIFS(BD!$A$3:$A$5001,BD!$B$3:$B$5001,N$136,BD!$A$3:$A$5001,"&gt;="&amp;$C$7,BD!$A$3:$A$5001,"&lt;="&amp;$B150,BD!$V$3:$V$5001,"&lt;&gt;"))))</f>
        <v/>
      </c>
      <c r="O150" s="43" t="str">
        <f>IF(OR($B150="",$A150&gt;$B$9,O$136=""),"",IF(COUNTIFS(BD!$B$3:$B$5001,O$136,BD!$A$3:$A$5001,"&gt;="&amp;$C$7,BD!$A$3:$A$5001,"&lt;="&amp;$B150,BD!$V$3:$V$5001,"&lt;&gt;")=0,"",SUMIFS(BD!$V$3:$V$5001,BD!$B$3:$B$5001,O$136,BD!$A$3:$A$5001,_xlfn.MAXIFS(BD!$A$3:$A$5001,BD!$B$3:$B$5001,O$136,BD!$A$3:$A$5001,"&gt;="&amp;$C$7,BD!$A$3:$A$5001,"&lt;="&amp;$B150,BD!$V$3:$V$5001,"&lt;&gt;"))))</f>
        <v/>
      </c>
      <c r="P150" s="43" t="str">
        <f>IF(OR($B150="",$A150&gt;$B$9,P$136=""),"",IF(COUNTIFS(BD!$B$3:$B$5001,P$136,BD!$A$3:$A$5001,"&gt;="&amp;$C$7,BD!$A$3:$A$5001,"&lt;="&amp;$B150,BD!$V$3:$V$5001,"&lt;&gt;")=0,"",SUMIFS(BD!$V$3:$V$5001,BD!$B$3:$B$5001,P$136,BD!$A$3:$A$5001,_xlfn.MAXIFS(BD!$A$3:$A$5001,BD!$B$3:$B$5001,P$136,BD!$A$3:$A$5001,"&gt;="&amp;$C$7,BD!$A$3:$A$5001,"&lt;="&amp;$B150,BD!$V$3:$V$5001,"&lt;&gt;"))))</f>
        <v/>
      </c>
      <c r="Q150" s="43" t="str">
        <f>IF(OR($B150="",$A150&gt;$B$9,Q$136=""),"",IF(COUNTIFS(BD!$B$3:$B$5001,Q$136,BD!$A$3:$A$5001,"&gt;="&amp;$C$7,BD!$A$3:$A$5001,"&lt;="&amp;$B150,BD!$V$3:$V$5001,"&lt;&gt;")=0,"",SUMIFS(BD!$V$3:$V$5001,BD!$B$3:$B$5001,Q$136,BD!$A$3:$A$5001,_xlfn.MAXIFS(BD!$A$3:$A$5001,BD!$B$3:$B$5001,Q$136,BD!$A$3:$A$5001,"&gt;="&amp;$C$7,BD!$A$3:$A$5001,"&lt;="&amp;$B150,BD!$V$3:$V$5001,"&lt;&gt;"))))</f>
        <v/>
      </c>
      <c r="R150" s="43" t="str">
        <f>IF(OR($B150="",$A150&gt;$B$9,R$136=""),"",IF(COUNTIFS(BD!$B$3:$B$5001,R$136,BD!$A$3:$A$5001,"&gt;="&amp;$C$7,BD!$A$3:$A$5001,"&lt;="&amp;$B150,BD!$V$3:$V$5001,"&lt;&gt;")=0,"",SUMIFS(BD!$V$3:$V$5001,BD!$B$3:$B$5001,R$136,BD!$A$3:$A$5001,_xlfn.MAXIFS(BD!$A$3:$A$5001,BD!$B$3:$B$5001,R$136,BD!$A$3:$A$5001,"&gt;="&amp;$C$7,BD!$A$3:$A$5001,"&lt;="&amp;$B150,BD!$V$3:$V$5001,"&lt;&gt;"))))</f>
        <v/>
      </c>
      <c r="S150" s="43" t="str">
        <f>IF(OR($B150="",$A150&gt;$B$9,S$136=""),"",IF(COUNTIFS(BD!$B$3:$B$5001,S$136,BD!$A$3:$A$5001,"&gt;="&amp;$C$7,BD!$A$3:$A$5001,"&lt;="&amp;$B150,BD!$V$3:$V$5001,"&lt;&gt;")=0,"",SUMIFS(BD!$V$3:$V$5001,BD!$B$3:$B$5001,S$136,BD!$A$3:$A$5001,_xlfn.MAXIFS(BD!$A$3:$A$5001,BD!$B$3:$B$5001,S$136,BD!$A$3:$A$5001,"&gt;="&amp;$C$7,BD!$A$3:$A$5001,"&lt;="&amp;$B150,BD!$V$3:$V$5001,"&lt;&gt;"))))</f>
        <v/>
      </c>
      <c r="T150" s="43" t="str">
        <f>IF(OR($B150="",$A150&gt;$B$9,T$136=""),"",IF(COUNTIFS(BD!$B$3:$B$5001,T$136,BD!$A$3:$A$5001,"&gt;="&amp;$C$7,BD!$A$3:$A$5001,"&lt;="&amp;$B150,BD!$V$3:$V$5001,"&lt;&gt;")=0,"",SUMIFS(BD!$V$3:$V$5001,BD!$B$3:$B$5001,T$136,BD!$A$3:$A$5001,_xlfn.MAXIFS(BD!$A$3:$A$5001,BD!$B$3:$B$5001,T$136,BD!$A$3:$A$5001,"&gt;="&amp;$C$7,BD!$A$3:$A$5001,"&lt;="&amp;$B150,BD!$V$3:$V$5001,"&lt;&gt;"))))</f>
        <v/>
      </c>
      <c r="U150" s="43" t="str">
        <f>IF(OR($B150="",$A150&gt;$B$9,U$136=""),"",IF(COUNTIFS(BD!$B$3:$B$5001,U$136,BD!$A$3:$A$5001,"&gt;="&amp;$C$7,BD!$A$3:$A$5001,"&lt;="&amp;$B150,BD!$V$3:$V$5001,"&lt;&gt;")=0,"",SUMIFS(BD!$V$3:$V$5001,BD!$B$3:$B$5001,U$136,BD!$A$3:$A$5001,_xlfn.MAXIFS(BD!$A$3:$A$5001,BD!$B$3:$B$5001,U$136,BD!$A$3:$A$5001,"&gt;="&amp;$C$7,BD!$A$3:$A$5001,"&lt;="&amp;$B150,BD!$V$3:$V$5001,"&lt;&gt;"))))</f>
        <v/>
      </c>
      <c r="V150" s="43" t="str">
        <f>IF(OR($B150="",$A150&gt;$B$9,V$136=""),"",IF(COUNTIFS(BD!$B$3:$B$5001,V$136,BD!$A$3:$A$5001,"&gt;="&amp;$C$7,BD!$A$3:$A$5001,"&lt;="&amp;$B150,BD!$V$3:$V$5001,"&lt;&gt;")=0,"",SUMIFS(BD!$V$3:$V$5001,BD!$B$3:$B$5001,V$136,BD!$A$3:$A$5001,_xlfn.MAXIFS(BD!$A$3:$A$5001,BD!$B$3:$B$5001,V$136,BD!$A$3:$A$5001,"&gt;="&amp;$C$7,BD!$A$3:$A$5001,"&lt;="&amp;$B150,BD!$V$3:$V$5001,"&lt;&gt;"))))</f>
        <v/>
      </c>
    </row>
    <row r="151">
      <c r="A151" s="38">
        <v>15</v>
      </c>
      <c r="B151" s="42">
        <f>$B$26</f>
        <v>46310</v>
      </c>
      <c r="C151" s="43" t="str">
        <f>IF(OR($B151="",$A151&gt;$B$9,C$136=""),"",IF(COUNTIFS(BD!$B$3:$B$5001,C$136,BD!$A$3:$A$5001,"&gt;="&amp;$C$7,BD!$A$3:$A$5001,"&lt;="&amp;$B151,BD!$V$3:$V$5001,"&lt;&gt;")=0,"",SUMIFS(BD!$V$3:$V$5001,BD!$B$3:$B$5001,C$136,BD!$A$3:$A$5001,_xlfn.MAXIFS(BD!$A$3:$A$5001,BD!$B$3:$B$5001,C$136,BD!$A$3:$A$5001,"&gt;="&amp;$C$7,BD!$A$3:$A$5001,"&lt;="&amp;$B151,BD!$V$3:$V$5001,"&lt;&gt;"))))</f>
        <v/>
      </c>
      <c r="D151" s="43" t="str">
        <f>IF(OR($B151="",$A151&gt;$B$9,D$136=""),"",IF(COUNTIFS(BD!$B$3:$B$5001,D$136,BD!$A$3:$A$5001,"&gt;="&amp;$C$7,BD!$A$3:$A$5001,"&lt;="&amp;$B151,BD!$V$3:$V$5001,"&lt;&gt;")=0,"",SUMIFS(BD!$V$3:$V$5001,BD!$B$3:$B$5001,D$136,BD!$A$3:$A$5001,_xlfn.MAXIFS(BD!$A$3:$A$5001,BD!$B$3:$B$5001,D$136,BD!$A$3:$A$5001,"&gt;="&amp;$C$7,BD!$A$3:$A$5001,"&lt;="&amp;$B151,BD!$V$3:$V$5001,"&lt;&gt;"))))</f>
        <v/>
      </c>
      <c r="E151" s="43" t="str">
        <f>IF(OR($B151="",$A151&gt;$B$9,E$136=""),"",IF(COUNTIFS(BD!$B$3:$B$5001,E$136,BD!$A$3:$A$5001,"&gt;="&amp;$C$7,BD!$A$3:$A$5001,"&lt;="&amp;$B151,BD!$V$3:$V$5001,"&lt;&gt;")=0,"",SUMIFS(BD!$V$3:$V$5001,BD!$B$3:$B$5001,E$136,BD!$A$3:$A$5001,_xlfn.MAXIFS(BD!$A$3:$A$5001,BD!$B$3:$B$5001,E$136,BD!$A$3:$A$5001,"&gt;="&amp;$C$7,BD!$A$3:$A$5001,"&lt;="&amp;$B151,BD!$V$3:$V$5001,"&lt;&gt;"))))</f>
        <v/>
      </c>
      <c r="F151" s="43" t="str">
        <f>IF(OR($B151="",$A151&gt;$B$9,F$136=""),"",IF(COUNTIFS(BD!$B$3:$B$5001,F$136,BD!$A$3:$A$5001,"&gt;="&amp;$C$7,BD!$A$3:$A$5001,"&lt;="&amp;$B151,BD!$V$3:$V$5001,"&lt;&gt;")=0,"",SUMIFS(BD!$V$3:$V$5001,BD!$B$3:$B$5001,F$136,BD!$A$3:$A$5001,_xlfn.MAXIFS(BD!$A$3:$A$5001,BD!$B$3:$B$5001,F$136,BD!$A$3:$A$5001,"&gt;="&amp;$C$7,BD!$A$3:$A$5001,"&lt;="&amp;$B151,BD!$V$3:$V$5001,"&lt;&gt;"))))</f>
        <v/>
      </c>
      <c r="G151" s="43" t="str">
        <f>IF(OR($B151="",$A151&gt;$B$9,G$136=""),"",IF(COUNTIFS(BD!$B$3:$B$5001,G$136,BD!$A$3:$A$5001,"&gt;="&amp;$C$7,BD!$A$3:$A$5001,"&lt;="&amp;$B151,BD!$V$3:$V$5001,"&lt;&gt;")=0,"",SUMIFS(BD!$V$3:$V$5001,BD!$B$3:$B$5001,G$136,BD!$A$3:$A$5001,_xlfn.MAXIFS(BD!$A$3:$A$5001,BD!$B$3:$B$5001,G$136,BD!$A$3:$A$5001,"&gt;="&amp;$C$7,BD!$A$3:$A$5001,"&lt;="&amp;$B151,BD!$V$3:$V$5001,"&lt;&gt;"))))</f>
        <v/>
      </c>
      <c r="H151" s="43" t="str">
        <f>IF(OR($B151="",$A151&gt;$B$9,H$136=""),"",IF(COUNTIFS(BD!$B$3:$B$5001,H$136,BD!$A$3:$A$5001,"&gt;="&amp;$C$7,BD!$A$3:$A$5001,"&lt;="&amp;$B151,BD!$V$3:$V$5001,"&lt;&gt;")=0,"",SUMIFS(BD!$V$3:$V$5001,BD!$B$3:$B$5001,H$136,BD!$A$3:$A$5001,_xlfn.MAXIFS(BD!$A$3:$A$5001,BD!$B$3:$B$5001,H$136,BD!$A$3:$A$5001,"&gt;="&amp;$C$7,BD!$A$3:$A$5001,"&lt;="&amp;$B151,BD!$V$3:$V$5001,"&lt;&gt;"))))</f>
        <v/>
      </c>
      <c r="I151" s="43" t="str">
        <f>IF(OR($B151="",$A151&gt;$B$9,I$136=""),"",IF(COUNTIFS(BD!$B$3:$B$5001,I$136,BD!$A$3:$A$5001,"&gt;="&amp;$C$7,BD!$A$3:$A$5001,"&lt;="&amp;$B151,BD!$V$3:$V$5001,"&lt;&gt;")=0,"",SUMIFS(BD!$V$3:$V$5001,BD!$B$3:$B$5001,I$136,BD!$A$3:$A$5001,_xlfn.MAXIFS(BD!$A$3:$A$5001,BD!$B$3:$B$5001,I$136,BD!$A$3:$A$5001,"&gt;="&amp;$C$7,BD!$A$3:$A$5001,"&lt;="&amp;$B151,BD!$V$3:$V$5001,"&lt;&gt;"))))</f>
        <v/>
      </c>
      <c r="J151" s="43" t="str">
        <f>IF(OR($B151="",$A151&gt;$B$9,J$136=""),"",IF(COUNTIFS(BD!$B$3:$B$5001,J$136,BD!$A$3:$A$5001,"&gt;="&amp;$C$7,BD!$A$3:$A$5001,"&lt;="&amp;$B151,BD!$V$3:$V$5001,"&lt;&gt;")=0,"",SUMIFS(BD!$V$3:$V$5001,BD!$B$3:$B$5001,J$136,BD!$A$3:$A$5001,_xlfn.MAXIFS(BD!$A$3:$A$5001,BD!$B$3:$B$5001,J$136,BD!$A$3:$A$5001,"&gt;="&amp;$C$7,BD!$A$3:$A$5001,"&lt;="&amp;$B151,BD!$V$3:$V$5001,"&lt;&gt;"))))</f>
        <v/>
      </c>
      <c r="K151" s="43" t="str">
        <f>IF(OR($B151="",$A151&gt;$B$9,K$136=""),"",IF(COUNTIFS(BD!$B$3:$B$5001,K$136,BD!$A$3:$A$5001,"&gt;="&amp;$C$7,BD!$A$3:$A$5001,"&lt;="&amp;$B151,BD!$V$3:$V$5001,"&lt;&gt;")=0,"",SUMIFS(BD!$V$3:$V$5001,BD!$B$3:$B$5001,K$136,BD!$A$3:$A$5001,_xlfn.MAXIFS(BD!$A$3:$A$5001,BD!$B$3:$B$5001,K$136,BD!$A$3:$A$5001,"&gt;="&amp;$C$7,BD!$A$3:$A$5001,"&lt;="&amp;$B151,BD!$V$3:$V$5001,"&lt;&gt;"))))</f>
        <v/>
      </c>
      <c r="L151" s="43" t="str">
        <f>IF(OR($B151="",$A151&gt;$B$9,L$136=""),"",IF(COUNTIFS(BD!$B$3:$B$5001,L$136,BD!$A$3:$A$5001,"&gt;="&amp;$C$7,BD!$A$3:$A$5001,"&lt;="&amp;$B151,BD!$V$3:$V$5001,"&lt;&gt;")=0,"",SUMIFS(BD!$V$3:$V$5001,BD!$B$3:$B$5001,L$136,BD!$A$3:$A$5001,_xlfn.MAXIFS(BD!$A$3:$A$5001,BD!$B$3:$B$5001,L$136,BD!$A$3:$A$5001,"&gt;="&amp;$C$7,BD!$A$3:$A$5001,"&lt;="&amp;$B151,BD!$V$3:$V$5001,"&lt;&gt;"))))</f>
        <v/>
      </c>
      <c r="M151" s="43" t="str">
        <f>IF(OR($B151="",$A151&gt;$B$9,M$136=""),"",IF(COUNTIFS(BD!$B$3:$B$5001,M$136,BD!$A$3:$A$5001,"&gt;="&amp;$C$7,BD!$A$3:$A$5001,"&lt;="&amp;$B151,BD!$V$3:$V$5001,"&lt;&gt;")=0,"",SUMIFS(BD!$V$3:$V$5001,BD!$B$3:$B$5001,M$136,BD!$A$3:$A$5001,_xlfn.MAXIFS(BD!$A$3:$A$5001,BD!$B$3:$B$5001,M$136,BD!$A$3:$A$5001,"&gt;="&amp;$C$7,BD!$A$3:$A$5001,"&lt;="&amp;$B151,BD!$V$3:$V$5001,"&lt;&gt;"))))</f>
        <v/>
      </c>
      <c r="N151" s="43" t="str">
        <f>IF(OR($B151="",$A151&gt;$B$9,N$136=""),"",IF(COUNTIFS(BD!$B$3:$B$5001,N$136,BD!$A$3:$A$5001,"&gt;="&amp;$C$7,BD!$A$3:$A$5001,"&lt;="&amp;$B151,BD!$V$3:$V$5001,"&lt;&gt;")=0,"",SUMIFS(BD!$V$3:$V$5001,BD!$B$3:$B$5001,N$136,BD!$A$3:$A$5001,_xlfn.MAXIFS(BD!$A$3:$A$5001,BD!$B$3:$B$5001,N$136,BD!$A$3:$A$5001,"&gt;="&amp;$C$7,BD!$A$3:$A$5001,"&lt;="&amp;$B151,BD!$V$3:$V$5001,"&lt;&gt;"))))</f>
        <v/>
      </c>
      <c r="O151" s="43" t="str">
        <f>IF(OR($B151="",$A151&gt;$B$9,O$136=""),"",IF(COUNTIFS(BD!$B$3:$B$5001,O$136,BD!$A$3:$A$5001,"&gt;="&amp;$C$7,BD!$A$3:$A$5001,"&lt;="&amp;$B151,BD!$V$3:$V$5001,"&lt;&gt;")=0,"",SUMIFS(BD!$V$3:$V$5001,BD!$B$3:$B$5001,O$136,BD!$A$3:$A$5001,_xlfn.MAXIFS(BD!$A$3:$A$5001,BD!$B$3:$B$5001,O$136,BD!$A$3:$A$5001,"&gt;="&amp;$C$7,BD!$A$3:$A$5001,"&lt;="&amp;$B151,BD!$V$3:$V$5001,"&lt;&gt;"))))</f>
        <v/>
      </c>
      <c r="P151" s="43" t="str">
        <f>IF(OR($B151="",$A151&gt;$B$9,P$136=""),"",IF(COUNTIFS(BD!$B$3:$B$5001,P$136,BD!$A$3:$A$5001,"&gt;="&amp;$C$7,BD!$A$3:$A$5001,"&lt;="&amp;$B151,BD!$V$3:$V$5001,"&lt;&gt;")=0,"",SUMIFS(BD!$V$3:$V$5001,BD!$B$3:$B$5001,P$136,BD!$A$3:$A$5001,_xlfn.MAXIFS(BD!$A$3:$A$5001,BD!$B$3:$B$5001,P$136,BD!$A$3:$A$5001,"&gt;="&amp;$C$7,BD!$A$3:$A$5001,"&lt;="&amp;$B151,BD!$V$3:$V$5001,"&lt;&gt;"))))</f>
        <v/>
      </c>
      <c r="Q151" s="43" t="str">
        <f>IF(OR($B151="",$A151&gt;$B$9,Q$136=""),"",IF(COUNTIFS(BD!$B$3:$B$5001,Q$136,BD!$A$3:$A$5001,"&gt;="&amp;$C$7,BD!$A$3:$A$5001,"&lt;="&amp;$B151,BD!$V$3:$V$5001,"&lt;&gt;")=0,"",SUMIFS(BD!$V$3:$V$5001,BD!$B$3:$B$5001,Q$136,BD!$A$3:$A$5001,_xlfn.MAXIFS(BD!$A$3:$A$5001,BD!$B$3:$B$5001,Q$136,BD!$A$3:$A$5001,"&gt;="&amp;$C$7,BD!$A$3:$A$5001,"&lt;="&amp;$B151,BD!$V$3:$V$5001,"&lt;&gt;"))))</f>
        <v/>
      </c>
      <c r="R151" s="43" t="str">
        <f>IF(OR($B151="",$A151&gt;$B$9,R$136=""),"",IF(COUNTIFS(BD!$B$3:$B$5001,R$136,BD!$A$3:$A$5001,"&gt;="&amp;$C$7,BD!$A$3:$A$5001,"&lt;="&amp;$B151,BD!$V$3:$V$5001,"&lt;&gt;")=0,"",SUMIFS(BD!$V$3:$V$5001,BD!$B$3:$B$5001,R$136,BD!$A$3:$A$5001,_xlfn.MAXIFS(BD!$A$3:$A$5001,BD!$B$3:$B$5001,R$136,BD!$A$3:$A$5001,"&gt;="&amp;$C$7,BD!$A$3:$A$5001,"&lt;="&amp;$B151,BD!$V$3:$V$5001,"&lt;&gt;"))))</f>
        <v/>
      </c>
      <c r="S151" s="43" t="str">
        <f>IF(OR($B151="",$A151&gt;$B$9,S$136=""),"",IF(COUNTIFS(BD!$B$3:$B$5001,S$136,BD!$A$3:$A$5001,"&gt;="&amp;$C$7,BD!$A$3:$A$5001,"&lt;="&amp;$B151,BD!$V$3:$V$5001,"&lt;&gt;")=0,"",SUMIFS(BD!$V$3:$V$5001,BD!$B$3:$B$5001,S$136,BD!$A$3:$A$5001,_xlfn.MAXIFS(BD!$A$3:$A$5001,BD!$B$3:$B$5001,S$136,BD!$A$3:$A$5001,"&gt;="&amp;$C$7,BD!$A$3:$A$5001,"&lt;="&amp;$B151,BD!$V$3:$V$5001,"&lt;&gt;"))))</f>
        <v/>
      </c>
      <c r="T151" s="43" t="str">
        <f>IF(OR($B151="",$A151&gt;$B$9,T$136=""),"",IF(COUNTIFS(BD!$B$3:$B$5001,T$136,BD!$A$3:$A$5001,"&gt;="&amp;$C$7,BD!$A$3:$A$5001,"&lt;="&amp;$B151,BD!$V$3:$V$5001,"&lt;&gt;")=0,"",SUMIFS(BD!$V$3:$V$5001,BD!$B$3:$B$5001,T$136,BD!$A$3:$A$5001,_xlfn.MAXIFS(BD!$A$3:$A$5001,BD!$B$3:$B$5001,T$136,BD!$A$3:$A$5001,"&gt;="&amp;$C$7,BD!$A$3:$A$5001,"&lt;="&amp;$B151,BD!$V$3:$V$5001,"&lt;&gt;"))))</f>
        <v/>
      </c>
      <c r="U151" s="43" t="str">
        <f>IF(OR($B151="",$A151&gt;$B$9,U$136=""),"",IF(COUNTIFS(BD!$B$3:$B$5001,U$136,BD!$A$3:$A$5001,"&gt;="&amp;$C$7,BD!$A$3:$A$5001,"&lt;="&amp;$B151,BD!$V$3:$V$5001,"&lt;&gt;")=0,"",SUMIFS(BD!$V$3:$V$5001,BD!$B$3:$B$5001,U$136,BD!$A$3:$A$5001,_xlfn.MAXIFS(BD!$A$3:$A$5001,BD!$B$3:$B$5001,U$136,BD!$A$3:$A$5001,"&gt;="&amp;$C$7,BD!$A$3:$A$5001,"&lt;="&amp;$B151,BD!$V$3:$V$5001,"&lt;&gt;"))))</f>
        <v/>
      </c>
      <c r="V151" s="43" t="str">
        <f>IF(OR($B151="",$A151&gt;$B$9,V$136=""),"",IF(COUNTIFS(BD!$B$3:$B$5001,V$136,BD!$A$3:$A$5001,"&gt;="&amp;$C$7,BD!$A$3:$A$5001,"&lt;="&amp;$B151,BD!$V$3:$V$5001,"&lt;&gt;")=0,"",SUMIFS(BD!$V$3:$V$5001,BD!$B$3:$B$5001,V$136,BD!$A$3:$A$5001,_xlfn.MAXIFS(BD!$A$3:$A$5001,BD!$B$3:$B$5001,V$136,BD!$A$3:$A$5001,"&gt;="&amp;$C$7,BD!$A$3:$A$5001,"&lt;="&amp;$B151,BD!$V$3:$V$5001,"&lt;&gt;"))))</f>
        <v/>
      </c>
    </row>
    <row r="152">
      <c r="A152" s="38">
        <v>16</v>
      </c>
      <c r="B152" s="42">
        <f>$B$27</f>
        <v>46311</v>
      </c>
      <c r="C152" s="43" t="str">
        <f>IF(OR($B152="",$A152&gt;$B$9,C$136=""),"",IF(COUNTIFS(BD!$B$3:$B$5001,C$136,BD!$A$3:$A$5001,"&gt;="&amp;$C$7,BD!$A$3:$A$5001,"&lt;="&amp;$B152,BD!$V$3:$V$5001,"&lt;&gt;")=0,"",SUMIFS(BD!$V$3:$V$5001,BD!$B$3:$B$5001,C$136,BD!$A$3:$A$5001,_xlfn.MAXIFS(BD!$A$3:$A$5001,BD!$B$3:$B$5001,C$136,BD!$A$3:$A$5001,"&gt;="&amp;$C$7,BD!$A$3:$A$5001,"&lt;="&amp;$B152,BD!$V$3:$V$5001,"&lt;&gt;"))))</f>
        <v/>
      </c>
      <c r="D152" s="43" t="str">
        <f>IF(OR($B152="",$A152&gt;$B$9,D$136=""),"",IF(COUNTIFS(BD!$B$3:$B$5001,D$136,BD!$A$3:$A$5001,"&gt;="&amp;$C$7,BD!$A$3:$A$5001,"&lt;="&amp;$B152,BD!$V$3:$V$5001,"&lt;&gt;")=0,"",SUMIFS(BD!$V$3:$V$5001,BD!$B$3:$B$5001,D$136,BD!$A$3:$A$5001,_xlfn.MAXIFS(BD!$A$3:$A$5001,BD!$B$3:$B$5001,D$136,BD!$A$3:$A$5001,"&gt;="&amp;$C$7,BD!$A$3:$A$5001,"&lt;="&amp;$B152,BD!$V$3:$V$5001,"&lt;&gt;"))))</f>
        <v/>
      </c>
      <c r="E152" s="43" t="str">
        <f>IF(OR($B152="",$A152&gt;$B$9,E$136=""),"",IF(COUNTIFS(BD!$B$3:$B$5001,E$136,BD!$A$3:$A$5001,"&gt;="&amp;$C$7,BD!$A$3:$A$5001,"&lt;="&amp;$B152,BD!$V$3:$V$5001,"&lt;&gt;")=0,"",SUMIFS(BD!$V$3:$V$5001,BD!$B$3:$B$5001,E$136,BD!$A$3:$A$5001,_xlfn.MAXIFS(BD!$A$3:$A$5001,BD!$B$3:$B$5001,E$136,BD!$A$3:$A$5001,"&gt;="&amp;$C$7,BD!$A$3:$A$5001,"&lt;="&amp;$B152,BD!$V$3:$V$5001,"&lt;&gt;"))))</f>
        <v/>
      </c>
      <c r="F152" s="43" t="str">
        <f>IF(OR($B152="",$A152&gt;$B$9,F$136=""),"",IF(COUNTIFS(BD!$B$3:$B$5001,F$136,BD!$A$3:$A$5001,"&gt;="&amp;$C$7,BD!$A$3:$A$5001,"&lt;="&amp;$B152,BD!$V$3:$V$5001,"&lt;&gt;")=0,"",SUMIFS(BD!$V$3:$V$5001,BD!$B$3:$B$5001,F$136,BD!$A$3:$A$5001,_xlfn.MAXIFS(BD!$A$3:$A$5001,BD!$B$3:$B$5001,F$136,BD!$A$3:$A$5001,"&gt;="&amp;$C$7,BD!$A$3:$A$5001,"&lt;="&amp;$B152,BD!$V$3:$V$5001,"&lt;&gt;"))))</f>
        <v/>
      </c>
      <c r="G152" s="43" t="str">
        <f>IF(OR($B152="",$A152&gt;$B$9,G$136=""),"",IF(COUNTIFS(BD!$B$3:$B$5001,G$136,BD!$A$3:$A$5001,"&gt;="&amp;$C$7,BD!$A$3:$A$5001,"&lt;="&amp;$B152,BD!$V$3:$V$5001,"&lt;&gt;")=0,"",SUMIFS(BD!$V$3:$V$5001,BD!$B$3:$B$5001,G$136,BD!$A$3:$A$5001,_xlfn.MAXIFS(BD!$A$3:$A$5001,BD!$B$3:$B$5001,G$136,BD!$A$3:$A$5001,"&gt;="&amp;$C$7,BD!$A$3:$A$5001,"&lt;="&amp;$B152,BD!$V$3:$V$5001,"&lt;&gt;"))))</f>
        <v/>
      </c>
      <c r="H152" s="43" t="str">
        <f>IF(OR($B152="",$A152&gt;$B$9,H$136=""),"",IF(COUNTIFS(BD!$B$3:$B$5001,H$136,BD!$A$3:$A$5001,"&gt;="&amp;$C$7,BD!$A$3:$A$5001,"&lt;="&amp;$B152,BD!$V$3:$V$5001,"&lt;&gt;")=0,"",SUMIFS(BD!$V$3:$V$5001,BD!$B$3:$B$5001,H$136,BD!$A$3:$A$5001,_xlfn.MAXIFS(BD!$A$3:$A$5001,BD!$B$3:$B$5001,H$136,BD!$A$3:$A$5001,"&gt;="&amp;$C$7,BD!$A$3:$A$5001,"&lt;="&amp;$B152,BD!$V$3:$V$5001,"&lt;&gt;"))))</f>
        <v/>
      </c>
      <c r="I152" s="43" t="str">
        <f>IF(OR($B152="",$A152&gt;$B$9,I$136=""),"",IF(COUNTIFS(BD!$B$3:$B$5001,I$136,BD!$A$3:$A$5001,"&gt;="&amp;$C$7,BD!$A$3:$A$5001,"&lt;="&amp;$B152,BD!$V$3:$V$5001,"&lt;&gt;")=0,"",SUMIFS(BD!$V$3:$V$5001,BD!$B$3:$B$5001,I$136,BD!$A$3:$A$5001,_xlfn.MAXIFS(BD!$A$3:$A$5001,BD!$B$3:$B$5001,I$136,BD!$A$3:$A$5001,"&gt;="&amp;$C$7,BD!$A$3:$A$5001,"&lt;="&amp;$B152,BD!$V$3:$V$5001,"&lt;&gt;"))))</f>
        <v/>
      </c>
      <c r="J152" s="43" t="str">
        <f>IF(OR($B152="",$A152&gt;$B$9,J$136=""),"",IF(COUNTIFS(BD!$B$3:$B$5001,J$136,BD!$A$3:$A$5001,"&gt;="&amp;$C$7,BD!$A$3:$A$5001,"&lt;="&amp;$B152,BD!$V$3:$V$5001,"&lt;&gt;")=0,"",SUMIFS(BD!$V$3:$V$5001,BD!$B$3:$B$5001,J$136,BD!$A$3:$A$5001,_xlfn.MAXIFS(BD!$A$3:$A$5001,BD!$B$3:$B$5001,J$136,BD!$A$3:$A$5001,"&gt;="&amp;$C$7,BD!$A$3:$A$5001,"&lt;="&amp;$B152,BD!$V$3:$V$5001,"&lt;&gt;"))))</f>
        <v/>
      </c>
      <c r="K152" s="43" t="str">
        <f>IF(OR($B152="",$A152&gt;$B$9,K$136=""),"",IF(COUNTIFS(BD!$B$3:$B$5001,K$136,BD!$A$3:$A$5001,"&gt;="&amp;$C$7,BD!$A$3:$A$5001,"&lt;="&amp;$B152,BD!$V$3:$V$5001,"&lt;&gt;")=0,"",SUMIFS(BD!$V$3:$V$5001,BD!$B$3:$B$5001,K$136,BD!$A$3:$A$5001,_xlfn.MAXIFS(BD!$A$3:$A$5001,BD!$B$3:$B$5001,K$136,BD!$A$3:$A$5001,"&gt;="&amp;$C$7,BD!$A$3:$A$5001,"&lt;="&amp;$B152,BD!$V$3:$V$5001,"&lt;&gt;"))))</f>
        <v/>
      </c>
      <c r="L152" s="43" t="str">
        <f>IF(OR($B152="",$A152&gt;$B$9,L$136=""),"",IF(COUNTIFS(BD!$B$3:$B$5001,L$136,BD!$A$3:$A$5001,"&gt;="&amp;$C$7,BD!$A$3:$A$5001,"&lt;="&amp;$B152,BD!$V$3:$V$5001,"&lt;&gt;")=0,"",SUMIFS(BD!$V$3:$V$5001,BD!$B$3:$B$5001,L$136,BD!$A$3:$A$5001,_xlfn.MAXIFS(BD!$A$3:$A$5001,BD!$B$3:$B$5001,L$136,BD!$A$3:$A$5001,"&gt;="&amp;$C$7,BD!$A$3:$A$5001,"&lt;="&amp;$B152,BD!$V$3:$V$5001,"&lt;&gt;"))))</f>
        <v/>
      </c>
      <c r="M152" s="43" t="str">
        <f>IF(OR($B152="",$A152&gt;$B$9,M$136=""),"",IF(COUNTIFS(BD!$B$3:$B$5001,M$136,BD!$A$3:$A$5001,"&gt;="&amp;$C$7,BD!$A$3:$A$5001,"&lt;="&amp;$B152,BD!$V$3:$V$5001,"&lt;&gt;")=0,"",SUMIFS(BD!$V$3:$V$5001,BD!$B$3:$B$5001,M$136,BD!$A$3:$A$5001,_xlfn.MAXIFS(BD!$A$3:$A$5001,BD!$B$3:$B$5001,M$136,BD!$A$3:$A$5001,"&gt;="&amp;$C$7,BD!$A$3:$A$5001,"&lt;="&amp;$B152,BD!$V$3:$V$5001,"&lt;&gt;"))))</f>
        <v/>
      </c>
      <c r="N152" s="43" t="str">
        <f>IF(OR($B152="",$A152&gt;$B$9,N$136=""),"",IF(COUNTIFS(BD!$B$3:$B$5001,N$136,BD!$A$3:$A$5001,"&gt;="&amp;$C$7,BD!$A$3:$A$5001,"&lt;="&amp;$B152,BD!$V$3:$V$5001,"&lt;&gt;")=0,"",SUMIFS(BD!$V$3:$V$5001,BD!$B$3:$B$5001,N$136,BD!$A$3:$A$5001,_xlfn.MAXIFS(BD!$A$3:$A$5001,BD!$B$3:$B$5001,N$136,BD!$A$3:$A$5001,"&gt;="&amp;$C$7,BD!$A$3:$A$5001,"&lt;="&amp;$B152,BD!$V$3:$V$5001,"&lt;&gt;"))))</f>
        <v/>
      </c>
      <c r="O152" s="43" t="str">
        <f>IF(OR($B152="",$A152&gt;$B$9,O$136=""),"",IF(COUNTIFS(BD!$B$3:$B$5001,O$136,BD!$A$3:$A$5001,"&gt;="&amp;$C$7,BD!$A$3:$A$5001,"&lt;="&amp;$B152,BD!$V$3:$V$5001,"&lt;&gt;")=0,"",SUMIFS(BD!$V$3:$V$5001,BD!$B$3:$B$5001,O$136,BD!$A$3:$A$5001,_xlfn.MAXIFS(BD!$A$3:$A$5001,BD!$B$3:$B$5001,O$136,BD!$A$3:$A$5001,"&gt;="&amp;$C$7,BD!$A$3:$A$5001,"&lt;="&amp;$B152,BD!$V$3:$V$5001,"&lt;&gt;"))))</f>
        <v/>
      </c>
      <c r="P152" s="43" t="str">
        <f>IF(OR($B152="",$A152&gt;$B$9,P$136=""),"",IF(COUNTIFS(BD!$B$3:$B$5001,P$136,BD!$A$3:$A$5001,"&gt;="&amp;$C$7,BD!$A$3:$A$5001,"&lt;="&amp;$B152,BD!$V$3:$V$5001,"&lt;&gt;")=0,"",SUMIFS(BD!$V$3:$V$5001,BD!$B$3:$B$5001,P$136,BD!$A$3:$A$5001,_xlfn.MAXIFS(BD!$A$3:$A$5001,BD!$B$3:$B$5001,P$136,BD!$A$3:$A$5001,"&gt;="&amp;$C$7,BD!$A$3:$A$5001,"&lt;="&amp;$B152,BD!$V$3:$V$5001,"&lt;&gt;"))))</f>
        <v/>
      </c>
      <c r="Q152" s="43" t="str">
        <f>IF(OR($B152="",$A152&gt;$B$9,Q$136=""),"",IF(COUNTIFS(BD!$B$3:$B$5001,Q$136,BD!$A$3:$A$5001,"&gt;="&amp;$C$7,BD!$A$3:$A$5001,"&lt;="&amp;$B152,BD!$V$3:$V$5001,"&lt;&gt;")=0,"",SUMIFS(BD!$V$3:$V$5001,BD!$B$3:$B$5001,Q$136,BD!$A$3:$A$5001,_xlfn.MAXIFS(BD!$A$3:$A$5001,BD!$B$3:$B$5001,Q$136,BD!$A$3:$A$5001,"&gt;="&amp;$C$7,BD!$A$3:$A$5001,"&lt;="&amp;$B152,BD!$V$3:$V$5001,"&lt;&gt;"))))</f>
        <v/>
      </c>
      <c r="R152" s="43" t="str">
        <f>IF(OR($B152="",$A152&gt;$B$9,R$136=""),"",IF(COUNTIFS(BD!$B$3:$B$5001,R$136,BD!$A$3:$A$5001,"&gt;="&amp;$C$7,BD!$A$3:$A$5001,"&lt;="&amp;$B152,BD!$V$3:$V$5001,"&lt;&gt;")=0,"",SUMIFS(BD!$V$3:$V$5001,BD!$B$3:$B$5001,R$136,BD!$A$3:$A$5001,_xlfn.MAXIFS(BD!$A$3:$A$5001,BD!$B$3:$B$5001,R$136,BD!$A$3:$A$5001,"&gt;="&amp;$C$7,BD!$A$3:$A$5001,"&lt;="&amp;$B152,BD!$V$3:$V$5001,"&lt;&gt;"))))</f>
        <v/>
      </c>
      <c r="S152" s="43" t="str">
        <f>IF(OR($B152="",$A152&gt;$B$9,S$136=""),"",IF(COUNTIFS(BD!$B$3:$B$5001,S$136,BD!$A$3:$A$5001,"&gt;="&amp;$C$7,BD!$A$3:$A$5001,"&lt;="&amp;$B152,BD!$V$3:$V$5001,"&lt;&gt;")=0,"",SUMIFS(BD!$V$3:$V$5001,BD!$B$3:$B$5001,S$136,BD!$A$3:$A$5001,_xlfn.MAXIFS(BD!$A$3:$A$5001,BD!$B$3:$B$5001,S$136,BD!$A$3:$A$5001,"&gt;="&amp;$C$7,BD!$A$3:$A$5001,"&lt;="&amp;$B152,BD!$V$3:$V$5001,"&lt;&gt;"))))</f>
        <v/>
      </c>
      <c r="T152" s="43" t="str">
        <f>IF(OR($B152="",$A152&gt;$B$9,T$136=""),"",IF(COUNTIFS(BD!$B$3:$B$5001,T$136,BD!$A$3:$A$5001,"&gt;="&amp;$C$7,BD!$A$3:$A$5001,"&lt;="&amp;$B152,BD!$V$3:$V$5001,"&lt;&gt;")=0,"",SUMIFS(BD!$V$3:$V$5001,BD!$B$3:$B$5001,T$136,BD!$A$3:$A$5001,_xlfn.MAXIFS(BD!$A$3:$A$5001,BD!$B$3:$B$5001,T$136,BD!$A$3:$A$5001,"&gt;="&amp;$C$7,BD!$A$3:$A$5001,"&lt;="&amp;$B152,BD!$V$3:$V$5001,"&lt;&gt;"))))</f>
        <v/>
      </c>
      <c r="U152" s="43" t="str">
        <f>IF(OR($B152="",$A152&gt;$B$9,U$136=""),"",IF(COUNTIFS(BD!$B$3:$B$5001,U$136,BD!$A$3:$A$5001,"&gt;="&amp;$C$7,BD!$A$3:$A$5001,"&lt;="&amp;$B152,BD!$V$3:$V$5001,"&lt;&gt;")=0,"",SUMIFS(BD!$V$3:$V$5001,BD!$B$3:$B$5001,U$136,BD!$A$3:$A$5001,_xlfn.MAXIFS(BD!$A$3:$A$5001,BD!$B$3:$B$5001,U$136,BD!$A$3:$A$5001,"&gt;="&amp;$C$7,BD!$A$3:$A$5001,"&lt;="&amp;$B152,BD!$V$3:$V$5001,"&lt;&gt;"))))</f>
        <v/>
      </c>
      <c r="V152" s="43" t="str">
        <f>IF(OR($B152="",$A152&gt;$B$9,V$136=""),"",IF(COUNTIFS(BD!$B$3:$B$5001,V$136,BD!$A$3:$A$5001,"&gt;="&amp;$C$7,BD!$A$3:$A$5001,"&lt;="&amp;$B152,BD!$V$3:$V$5001,"&lt;&gt;")=0,"",SUMIFS(BD!$V$3:$V$5001,BD!$B$3:$B$5001,V$136,BD!$A$3:$A$5001,_xlfn.MAXIFS(BD!$A$3:$A$5001,BD!$B$3:$B$5001,V$136,BD!$A$3:$A$5001,"&gt;="&amp;$C$7,BD!$A$3:$A$5001,"&lt;="&amp;$B152,BD!$V$3:$V$5001,"&lt;&gt;"))))</f>
        <v/>
      </c>
    </row>
    <row r="153">
      <c r="A153" s="38">
        <v>17</v>
      </c>
      <c r="B153" s="42">
        <f>$B$28</f>
        <v>46312</v>
      </c>
      <c r="C153" s="43" t="str">
        <f>IF(OR($B153="",$A153&gt;$B$9,C$136=""),"",IF(COUNTIFS(BD!$B$3:$B$5001,C$136,BD!$A$3:$A$5001,"&gt;="&amp;$C$7,BD!$A$3:$A$5001,"&lt;="&amp;$B153,BD!$V$3:$V$5001,"&lt;&gt;")=0,"",SUMIFS(BD!$V$3:$V$5001,BD!$B$3:$B$5001,C$136,BD!$A$3:$A$5001,_xlfn.MAXIFS(BD!$A$3:$A$5001,BD!$B$3:$B$5001,C$136,BD!$A$3:$A$5001,"&gt;="&amp;$C$7,BD!$A$3:$A$5001,"&lt;="&amp;$B153,BD!$V$3:$V$5001,"&lt;&gt;"))))</f>
        <v/>
      </c>
      <c r="D153" s="43" t="str">
        <f>IF(OR($B153="",$A153&gt;$B$9,D$136=""),"",IF(COUNTIFS(BD!$B$3:$B$5001,D$136,BD!$A$3:$A$5001,"&gt;="&amp;$C$7,BD!$A$3:$A$5001,"&lt;="&amp;$B153,BD!$V$3:$V$5001,"&lt;&gt;")=0,"",SUMIFS(BD!$V$3:$V$5001,BD!$B$3:$B$5001,D$136,BD!$A$3:$A$5001,_xlfn.MAXIFS(BD!$A$3:$A$5001,BD!$B$3:$B$5001,D$136,BD!$A$3:$A$5001,"&gt;="&amp;$C$7,BD!$A$3:$A$5001,"&lt;="&amp;$B153,BD!$V$3:$V$5001,"&lt;&gt;"))))</f>
        <v/>
      </c>
      <c r="E153" s="43" t="str">
        <f>IF(OR($B153="",$A153&gt;$B$9,E$136=""),"",IF(COUNTIFS(BD!$B$3:$B$5001,E$136,BD!$A$3:$A$5001,"&gt;="&amp;$C$7,BD!$A$3:$A$5001,"&lt;="&amp;$B153,BD!$V$3:$V$5001,"&lt;&gt;")=0,"",SUMIFS(BD!$V$3:$V$5001,BD!$B$3:$B$5001,E$136,BD!$A$3:$A$5001,_xlfn.MAXIFS(BD!$A$3:$A$5001,BD!$B$3:$B$5001,E$136,BD!$A$3:$A$5001,"&gt;="&amp;$C$7,BD!$A$3:$A$5001,"&lt;="&amp;$B153,BD!$V$3:$V$5001,"&lt;&gt;"))))</f>
        <v/>
      </c>
      <c r="F153" s="43" t="str">
        <f>IF(OR($B153="",$A153&gt;$B$9,F$136=""),"",IF(COUNTIFS(BD!$B$3:$B$5001,F$136,BD!$A$3:$A$5001,"&gt;="&amp;$C$7,BD!$A$3:$A$5001,"&lt;="&amp;$B153,BD!$V$3:$V$5001,"&lt;&gt;")=0,"",SUMIFS(BD!$V$3:$V$5001,BD!$B$3:$B$5001,F$136,BD!$A$3:$A$5001,_xlfn.MAXIFS(BD!$A$3:$A$5001,BD!$B$3:$B$5001,F$136,BD!$A$3:$A$5001,"&gt;="&amp;$C$7,BD!$A$3:$A$5001,"&lt;="&amp;$B153,BD!$V$3:$V$5001,"&lt;&gt;"))))</f>
        <v/>
      </c>
      <c r="G153" s="43" t="str">
        <f>IF(OR($B153="",$A153&gt;$B$9,G$136=""),"",IF(COUNTIFS(BD!$B$3:$B$5001,G$136,BD!$A$3:$A$5001,"&gt;="&amp;$C$7,BD!$A$3:$A$5001,"&lt;="&amp;$B153,BD!$V$3:$V$5001,"&lt;&gt;")=0,"",SUMIFS(BD!$V$3:$V$5001,BD!$B$3:$B$5001,G$136,BD!$A$3:$A$5001,_xlfn.MAXIFS(BD!$A$3:$A$5001,BD!$B$3:$B$5001,G$136,BD!$A$3:$A$5001,"&gt;="&amp;$C$7,BD!$A$3:$A$5001,"&lt;="&amp;$B153,BD!$V$3:$V$5001,"&lt;&gt;"))))</f>
        <v/>
      </c>
      <c r="H153" s="43" t="str">
        <f>IF(OR($B153="",$A153&gt;$B$9,H$136=""),"",IF(COUNTIFS(BD!$B$3:$B$5001,H$136,BD!$A$3:$A$5001,"&gt;="&amp;$C$7,BD!$A$3:$A$5001,"&lt;="&amp;$B153,BD!$V$3:$V$5001,"&lt;&gt;")=0,"",SUMIFS(BD!$V$3:$V$5001,BD!$B$3:$B$5001,H$136,BD!$A$3:$A$5001,_xlfn.MAXIFS(BD!$A$3:$A$5001,BD!$B$3:$B$5001,H$136,BD!$A$3:$A$5001,"&gt;="&amp;$C$7,BD!$A$3:$A$5001,"&lt;="&amp;$B153,BD!$V$3:$V$5001,"&lt;&gt;"))))</f>
        <v/>
      </c>
      <c r="I153" s="43" t="str">
        <f>IF(OR($B153="",$A153&gt;$B$9,I$136=""),"",IF(COUNTIFS(BD!$B$3:$B$5001,I$136,BD!$A$3:$A$5001,"&gt;="&amp;$C$7,BD!$A$3:$A$5001,"&lt;="&amp;$B153,BD!$V$3:$V$5001,"&lt;&gt;")=0,"",SUMIFS(BD!$V$3:$V$5001,BD!$B$3:$B$5001,I$136,BD!$A$3:$A$5001,_xlfn.MAXIFS(BD!$A$3:$A$5001,BD!$B$3:$B$5001,I$136,BD!$A$3:$A$5001,"&gt;="&amp;$C$7,BD!$A$3:$A$5001,"&lt;="&amp;$B153,BD!$V$3:$V$5001,"&lt;&gt;"))))</f>
        <v/>
      </c>
      <c r="J153" s="43" t="str">
        <f>IF(OR($B153="",$A153&gt;$B$9,J$136=""),"",IF(COUNTIFS(BD!$B$3:$B$5001,J$136,BD!$A$3:$A$5001,"&gt;="&amp;$C$7,BD!$A$3:$A$5001,"&lt;="&amp;$B153,BD!$V$3:$V$5001,"&lt;&gt;")=0,"",SUMIFS(BD!$V$3:$V$5001,BD!$B$3:$B$5001,J$136,BD!$A$3:$A$5001,_xlfn.MAXIFS(BD!$A$3:$A$5001,BD!$B$3:$B$5001,J$136,BD!$A$3:$A$5001,"&gt;="&amp;$C$7,BD!$A$3:$A$5001,"&lt;="&amp;$B153,BD!$V$3:$V$5001,"&lt;&gt;"))))</f>
        <v/>
      </c>
      <c r="K153" s="43" t="str">
        <f>IF(OR($B153="",$A153&gt;$B$9,K$136=""),"",IF(COUNTIFS(BD!$B$3:$B$5001,K$136,BD!$A$3:$A$5001,"&gt;="&amp;$C$7,BD!$A$3:$A$5001,"&lt;="&amp;$B153,BD!$V$3:$V$5001,"&lt;&gt;")=0,"",SUMIFS(BD!$V$3:$V$5001,BD!$B$3:$B$5001,K$136,BD!$A$3:$A$5001,_xlfn.MAXIFS(BD!$A$3:$A$5001,BD!$B$3:$B$5001,K$136,BD!$A$3:$A$5001,"&gt;="&amp;$C$7,BD!$A$3:$A$5001,"&lt;="&amp;$B153,BD!$V$3:$V$5001,"&lt;&gt;"))))</f>
        <v/>
      </c>
      <c r="L153" s="43" t="str">
        <f>IF(OR($B153="",$A153&gt;$B$9,L$136=""),"",IF(COUNTIFS(BD!$B$3:$B$5001,L$136,BD!$A$3:$A$5001,"&gt;="&amp;$C$7,BD!$A$3:$A$5001,"&lt;="&amp;$B153,BD!$V$3:$V$5001,"&lt;&gt;")=0,"",SUMIFS(BD!$V$3:$V$5001,BD!$B$3:$B$5001,L$136,BD!$A$3:$A$5001,_xlfn.MAXIFS(BD!$A$3:$A$5001,BD!$B$3:$B$5001,L$136,BD!$A$3:$A$5001,"&gt;="&amp;$C$7,BD!$A$3:$A$5001,"&lt;="&amp;$B153,BD!$V$3:$V$5001,"&lt;&gt;"))))</f>
        <v/>
      </c>
      <c r="M153" s="43" t="str">
        <f>IF(OR($B153="",$A153&gt;$B$9,M$136=""),"",IF(COUNTIFS(BD!$B$3:$B$5001,M$136,BD!$A$3:$A$5001,"&gt;="&amp;$C$7,BD!$A$3:$A$5001,"&lt;="&amp;$B153,BD!$V$3:$V$5001,"&lt;&gt;")=0,"",SUMIFS(BD!$V$3:$V$5001,BD!$B$3:$B$5001,M$136,BD!$A$3:$A$5001,_xlfn.MAXIFS(BD!$A$3:$A$5001,BD!$B$3:$B$5001,M$136,BD!$A$3:$A$5001,"&gt;="&amp;$C$7,BD!$A$3:$A$5001,"&lt;="&amp;$B153,BD!$V$3:$V$5001,"&lt;&gt;"))))</f>
        <v/>
      </c>
      <c r="N153" s="43" t="str">
        <f>IF(OR($B153="",$A153&gt;$B$9,N$136=""),"",IF(COUNTIFS(BD!$B$3:$B$5001,N$136,BD!$A$3:$A$5001,"&gt;="&amp;$C$7,BD!$A$3:$A$5001,"&lt;="&amp;$B153,BD!$V$3:$V$5001,"&lt;&gt;")=0,"",SUMIFS(BD!$V$3:$V$5001,BD!$B$3:$B$5001,N$136,BD!$A$3:$A$5001,_xlfn.MAXIFS(BD!$A$3:$A$5001,BD!$B$3:$B$5001,N$136,BD!$A$3:$A$5001,"&gt;="&amp;$C$7,BD!$A$3:$A$5001,"&lt;="&amp;$B153,BD!$V$3:$V$5001,"&lt;&gt;"))))</f>
        <v/>
      </c>
      <c r="O153" s="43" t="str">
        <f>IF(OR($B153="",$A153&gt;$B$9,O$136=""),"",IF(COUNTIFS(BD!$B$3:$B$5001,O$136,BD!$A$3:$A$5001,"&gt;="&amp;$C$7,BD!$A$3:$A$5001,"&lt;="&amp;$B153,BD!$V$3:$V$5001,"&lt;&gt;")=0,"",SUMIFS(BD!$V$3:$V$5001,BD!$B$3:$B$5001,O$136,BD!$A$3:$A$5001,_xlfn.MAXIFS(BD!$A$3:$A$5001,BD!$B$3:$B$5001,O$136,BD!$A$3:$A$5001,"&gt;="&amp;$C$7,BD!$A$3:$A$5001,"&lt;="&amp;$B153,BD!$V$3:$V$5001,"&lt;&gt;"))))</f>
        <v/>
      </c>
      <c r="P153" s="43" t="str">
        <f>IF(OR($B153="",$A153&gt;$B$9,P$136=""),"",IF(COUNTIFS(BD!$B$3:$B$5001,P$136,BD!$A$3:$A$5001,"&gt;="&amp;$C$7,BD!$A$3:$A$5001,"&lt;="&amp;$B153,BD!$V$3:$V$5001,"&lt;&gt;")=0,"",SUMIFS(BD!$V$3:$V$5001,BD!$B$3:$B$5001,P$136,BD!$A$3:$A$5001,_xlfn.MAXIFS(BD!$A$3:$A$5001,BD!$B$3:$B$5001,P$136,BD!$A$3:$A$5001,"&gt;="&amp;$C$7,BD!$A$3:$A$5001,"&lt;="&amp;$B153,BD!$V$3:$V$5001,"&lt;&gt;"))))</f>
        <v/>
      </c>
      <c r="Q153" s="43" t="str">
        <f>IF(OR($B153="",$A153&gt;$B$9,Q$136=""),"",IF(COUNTIFS(BD!$B$3:$B$5001,Q$136,BD!$A$3:$A$5001,"&gt;="&amp;$C$7,BD!$A$3:$A$5001,"&lt;="&amp;$B153,BD!$V$3:$V$5001,"&lt;&gt;")=0,"",SUMIFS(BD!$V$3:$V$5001,BD!$B$3:$B$5001,Q$136,BD!$A$3:$A$5001,_xlfn.MAXIFS(BD!$A$3:$A$5001,BD!$B$3:$B$5001,Q$136,BD!$A$3:$A$5001,"&gt;="&amp;$C$7,BD!$A$3:$A$5001,"&lt;="&amp;$B153,BD!$V$3:$V$5001,"&lt;&gt;"))))</f>
        <v/>
      </c>
      <c r="R153" s="43" t="str">
        <f>IF(OR($B153="",$A153&gt;$B$9,R$136=""),"",IF(COUNTIFS(BD!$B$3:$B$5001,R$136,BD!$A$3:$A$5001,"&gt;="&amp;$C$7,BD!$A$3:$A$5001,"&lt;="&amp;$B153,BD!$V$3:$V$5001,"&lt;&gt;")=0,"",SUMIFS(BD!$V$3:$V$5001,BD!$B$3:$B$5001,R$136,BD!$A$3:$A$5001,_xlfn.MAXIFS(BD!$A$3:$A$5001,BD!$B$3:$B$5001,R$136,BD!$A$3:$A$5001,"&gt;="&amp;$C$7,BD!$A$3:$A$5001,"&lt;="&amp;$B153,BD!$V$3:$V$5001,"&lt;&gt;"))))</f>
        <v/>
      </c>
      <c r="S153" s="43" t="str">
        <f>IF(OR($B153="",$A153&gt;$B$9,S$136=""),"",IF(COUNTIFS(BD!$B$3:$B$5001,S$136,BD!$A$3:$A$5001,"&gt;="&amp;$C$7,BD!$A$3:$A$5001,"&lt;="&amp;$B153,BD!$V$3:$V$5001,"&lt;&gt;")=0,"",SUMIFS(BD!$V$3:$V$5001,BD!$B$3:$B$5001,S$136,BD!$A$3:$A$5001,_xlfn.MAXIFS(BD!$A$3:$A$5001,BD!$B$3:$B$5001,S$136,BD!$A$3:$A$5001,"&gt;="&amp;$C$7,BD!$A$3:$A$5001,"&lt;="&amp;$B153,BD!$V$3:$V$5001,"&lt;&gt;"))))</f>
        <v/>
      </c>
      <c r="T153" s="43" t="str">
        <f>IF(OR($B153="",$A153&gt;$B$9,T$136=""),"",IF(COUNTIFS(BD!$B$3:$B$5001,T$136,BD!$A$3:$A$5001,"&gt;="&amp;$C$7,BD!$A$3:$A$5001,"&lt;="&amp;$B153,BD!$V$3:$V$5001,"&lt;&gt;")=0,"",SUMIFS(BD!$V$3:$V$5001,BD!$B$3:$B$5001,T$136,BD!$A$3:$A$5001,_xlfn.MAXIFS(BD!$A$3:$A$5001,BD!$B$3:$B$5001,T$136,BD!$A$3:$A$5001,"&gt;="&amp;$C$7,BD!$A$3:$A$5001,"&lt;="&amp;$B153,BD!$V$3:$V$5001,"&lt;&gt;"))))</f>
        <v/>
      </c>
      <c r="U153" s="43" t="str">
        <f>IF(OR($B153="",$A153&gt;$B$9,U$136=""),"",IF(COUNTIFS(BD!$B$3:$B$5001,U$136,BD!$A$3:$A$5001,"&gt;="&amp;$C$7,BD!$A$3:$A$5001,"&lt;="&amp;$B153,BD!$V$3:$V$5001,"&lt;&gt;")=0,"",SUMIFS(BD!$V$3:$V$5001,BD!$B$3:$B$5001,U$136,BD!$A$3:$A$5001,_xlfn.MAXIFS(BD!$A$3:$A$5001,BD!$B$3:$B$5001,U$136,BD!$A$3:$A$5001,"&gt;="&amp;$C$7,BD!$A$3:$A$5001,"&lt;="&amp;$B153,BD!$V$3:$V$5001,"&lt;&gt;"))))</f>
        <v/>
      </c>
      <c r="V153" s="43" t="str">
        <f>IF(OR($B153="",$A153&gt;$B$9,V$136=""),"",IF(COUNTIFS(BD!$B$3:$B$5001,V$136,BD!$A$3:$A$5001,"&gt;="&amp;$C$7,BD!$A$3:$A$5001,"&lt;="&amp;$B153,BD!$V$3:$V$5001,"&lt;&gt;")=0,"",SUMIFS(BD!$V$3:$V$5001,BD!$B$3:$B$5001,V$136,BD!$A$3:$A$5001,_xlfn.MAXIFS(BD!$A$3:$A$5001,BD!$B$3:$B$5001,V$136,BD!$A$3:$A$5001,"&gt;="&amp;$C$7,BD!$A$3:$A$5001,"&lt;="&amp;$B153,BD!$V$3:$V$5001,"&lt;&gt;"))))</f>
        <v/>
      </c>
    </row>
    <row r="154">
      <c r="A154" s="38">
        <v>18</v>
      </c>
      <c r="B154" s="42">
        <f>$B$29</f>
        <v>46313</v>
      </c>
      <c r="C154" s="43" t="str">
        <f>IF(OR($B154="",$A154&gt;$B$9,C$136=""),"",IF(COUNTIFS(BD!$B$3:$B$5001,C$136,BD!$A$3:$A$5001,"&gt;="&amp;$C$7,BD!$A$3:$A$5001,"&lt;="&amp;$B154,BD!$V$3:$V$5001,"&lt;&gt;")=0,"",SUMIFS(BD!$V$3:$V$5001,BD!$B$3:$B$5001,C$136,BD!$A$3:$A$5001,_xlfn.MAXIFS(BD!$A$3:$A$5001,BD!$B$3:$B$5001,C$136,BD!$A$3:$A$5001,"&gt;="&amp;$C$7,BD!$A$3:$A$5001,"&lt;="&amp;$B154,BD!$V$3:$V$5001,"&lt;&gt;"))))</f>
        <v/>
      </c>
      <c r="D154" s="43" t="str">
        <f>IF(OR($B154="",$A154&gt;$B$9,D$136=""),"",IF(COUNTIFS(BD!$B$3:$B$5001,D$136,BD!$A$3:$A$5001,"&gt;="&amp;$C$7,BD!$A$3:$A$5001,"&lt;="&amp;$B154,BD!$V$3:$V$5001,"&lt;&gt;")=0,"",SUMIFS(BD!$V$3:$V$5001,BD!$B$3:$B$5001,D$136,BD!$A$3:$A$5001,_xlfn.MAXIFS(BD!$A$3:$A$5001,BD!$B$3:$B$5001,D$136,BD!$A$3:$A$5001,"&gt;="&amp;$C$7,BD!$A$3:$A$5001,"&lt;="&amp;$B154,BD!$V$3:$V$5001,"&lt;&gt;"))))</f>
        <v/>
      </c>
      <c r="E154" s="43" t="str">
        <f>IF(OR($B154="",$A154&gt;$B$9,E$136=""),"",IF(COUNTIFS(BD!$B$3:$B$5001,E$136,BD!$A$3:$A$5001,"&gt;="&amp;$C$7,BD!$A$3:$A$5001,"&lt;="&amp;$B154,BD!$V$3:$V$5001,"&lt;&gt;")=0,"",SUMIFS(BD!$V$3:$V$5001,BD!$B$3:$B$5001,E$136,BD!$A$3:$A$5001,_xlfn.MAXIFS(BD!$A$3:$A$5001,BD!$B$3:$B$5001,E$136,BD!$A$3:$A$5001,"&gt;="&amp;$C$7,BD!$A$3:$A$5001,"&lt;="&amp;$B154,BD!$V$3:$V$5001,"&lt;&gt;"))))</f>
        <v/>
      </c>
      <c r="F154" s="43" t="str">
        <f>IF(OR($B154="",$A154&gt;$B$9,F$136=""),"",IF(COUNTIFS(BD!$B$3:$B$5001,F$136,BD!$A$3:$A$5001,"&gt;="&amp;$C$7,BD!$A$3:$A$5001,"&lt;="&amp;$B154,BD!$V$3:$V$5001,"&lt;&gt;")=0,"",SUMIFS(BD!$V$3:$V$5001,BD!$B$3:$B$5001,F$136,BD!$A$3:$A$5001,_xlfn.MAXIFS(BD!$A$3:$A$5001,BD!$B$3:$B$5001,F$136,BD!$A$3:$A$5001,"&gt;="&amp;$C$7,BD!$A$3:$A$5001,"&lt;="&amp;$B154,BD!$V$3:$V$5001,"&lt;&gt;"))))</f>
        <v/>
      </c>
      <c r="G154" s="43" t="str">
        <f>IF(OR($B154="",$A154&gt;$B$9,G$136=""),"",IF(COUNTIFS(BD!$B$3:$B$5001,G$136,BD!$A$3:$A$5001,"&gt;="&amp;$C$7,BD!$A$3:$A$5001,"&lt;="&amp;$B154,BD!$V$3:$V$5001,"&lt;&gt;")=0,"",SUMIFS(BD!$V$3:$V$5001,BD!$B$3:$B$5001,G$136,BD!$A$3:$A$5001,_xlfn.MAXIFS(BD!$A$3:$A$5001,BD!$B$3:$B$5001,G$136,BD!$A$3:$A$5001,"&gt;="&amp;$C$7,BD!$A$3:$A$5001,"&lt;="&amp;$B154,BD!$V$3:$V$5001,"&lt;&gt;"))))</f>
        <v/>
      </c>
      <c r="H154" s="43" t="str">
        <f>IF(OR($B154="",$A154&gt;$B$9,H$136=""),"",IF(COUNTIFS(BD!$B$3:$B$5001,H$136,BD!$A$3:$A$5001,"&gt;="&amp;$C$7,BD!$A$3:$A$5001,"&lt;="&amp;$B154,BD!$V$3:$V$5001,"&lt;&gt;")=0,"",SUMIFS(BD!$V$3:$V$5001,BD!$B$3:$B$5001,H$136,BD!$A$3:$A$5001,_xlfn.MAXIFS(BD!$A$3:$A$5001,BD!$B$3:$B$5001,H$136,BD!$A$3:$A$5001,"&gt;="&amp;$C$7,BD!$A$3:$A$5001,"&lt;="&amp;$B154,BD!$V$3:$V$5001,"&lt;&gt;"))))</f>
        <v/>
      </c>
      <c r="I154" s="43" t="str">
        <f>IF(OR($B154="",$A154&gt;$B$9,I$136=""),"",IF(COUNTIFS(BD!$B$3:$B$5001,I$136,BD!$A$3:$A$5001,"&gt;="&amp;$C$7,BD!$A$3:$A$5001,"&lt;="&amp;$B154,BD!$V$3:$V$5001,"&lt;&gt;")=0,"",SUMIFS(BD!$V$3:$V$5001,BD!$B$3:$B$5001,I$136,BD!$A$3:$A$5001,_xlfn.MAXIFS(BD!$A$3:$A$5001,BD!$B$3:$B$5001,I$136,BD!$A$3:$A$5001,"&gt;="&amp;$C$7,BD!$A$3:$A$5001,"&lt;="&amp;$B154,BD!$V$3:$V$5001,"&lt;&gt;"))))</f>
        <v/>
      </c>
      <c r="J154" s="43" t="str">
        <f>IF(OR($B154="",$A154&gt;$B$9,J$136=""),"",IF(COUNTIFS(BD!$B$3:$B$5001,J$136,BD!$A$3:$A$5001,"&gt;="&amp;$C$7,BD!$A$3:$A$5001,"&lt;="&amp;$B154,BD!$V$3:$V$5001,"&lt;&gt;")=0,"",SUMIFS(BD!$V$3:$V$5001,BD!$B$3:$B$5001,J$136,BD!$A$3:$A$5001,_xlfn.MAXIFS(BD!$A$3:$A$5001,BD!$B$3:$B$5001,J$136,BD!$A$3:$A$5001,"&gt;="&amp;$C$7,BD!$A$3:$A$5001,"&lt;="&amp;$B154,BD!$V$3:$V$5001,"&lt;&gt;"))))</f>
        <v/>
      </c>
      <c r="K154" s="43" t="str">
        <f>IF(OR($B154="",$A154&gt;$B$9,K$136=""),"",IF(COUNTIFS(BD!$B$3:$B$5001,K$136,BD!$A$3:$A$5001,"&gt;="&amp;$C$7,BD!$A$3:$A$5001,"&lt;="&amp;$B154,BD!$V$3:$V$5001,"&lt;&gt;")=0,"",SUMIFS(BD!$V$3:$V$5001,BD!$B$3:$B$5001,K$136,BD!$A$3:$A$5001,_xlfn.MAXIFS(BD!$A$3:$A$5001,BD!$B$3:$B$5001,K$136,BD!$A$3:$A$5001,"&gt;="&amp;$C$7,BD!$A$3:$A$5001,"&lt;="&amp;$B154,BD!$V$3:$V$5001,"&lt;&gt;"))))</f>
        <v/>
      </c>
      <c r="L154" s="43" t="str">
        <f>IF(OR($B154="",$A154&gt;$B$9,L$136=""),"",IF(COUNTIFS(BD!$B$3:$B$5001,L$136,BD!$A$3:$A$5001,"&gt;="&amp;$C$7,BD!$A$3:$A$5001,"&lt;="&amp;$B154,BD!$V$3:$V$5001,"&lt;&gt;")=0,"",SUMIFS(BD!$V$3:$V$5001,BD!$B$3:$B$5001,L$136,BD!$A$3:$A$5001,_xlfn.MAXIFS(BD!$A$3:$A$5001,BD!$B$3:$B$5001,L$136,BD!$A$3:$A$5001,"&gt;="&amp;$C$7,BD!$A$3:$A$5001,"&lt;="&amp;$B154,BD!$V$3:$V$5001,"&lt;&gt;"))))</f>
        <v/>
      </c>
      <c r="M154" s="43" t="str">
        <f>IF(OR($B154="",$A154&gt;$B$9,M$136=""),"",IF(COUNTIFS(BD!$B$3:$B$5001,M$136,BD!$A$3:$A$5001,"&gt;="&amp;$C$7,BD!$A$3:$A$5001,"&lt;="&amp;$B154,BD!$V$3:$V$5001,"&lt;&gt;")=0,"",SUMIFS(BD!$V$3:$V$5001,BD!$B$3:$B$5001,M$136,BD!$A$3:$A$5001,_xlfn.MAXIFS(BD!$A$3:$A$5001,BD!$B$3:$B$5001,M$136,BD!$A$3:$A$5001,"&gt;="&amp;$C$7,BD!$A$3:$A$5001,"&lt;="&amp;$B154,BD!$V$3:$V$5001,"&lt;&gt;"))))</f>
        <v/>
      </c>
      <c r="N154" s="43" t="str">
        <f>IF(OR($B154="",$A154&gt;$B$9,N$136=""),"",IF(COUNTIFS(BD!$B$3:$B$5001,N$136,BD!$A$3:$A$5001,"&gt;="&amp;$C$7,BD!$A$3:$A$5001,"&lt;="&amp;$B154,BD!$V$3:$V$5001,"&lt;&gt;")=0,"",SUMIFS(BD!$V$3:$V$5001,BD!$B$3:$B$5001,N$136,BD!$A$3:$A$5001,_xlfn.MAXIFS(BD!$A$3:$A$5001,BD!$B$3:$B$5001,N$136,BD!$A$3:$A$5001,"&gt;="&amp;$C$7,BD!$A$3:$A$5001,"&lt;="&amp;$B154,BD!$V$3:$V$5001,"&lt;&gt;"))))</f>
        <v/>
      </c>
      <c r="O154" s="43" t="str">
        <f>IF(OR($B154="",$A154&gt;$B$9,O$136=""),"",IF(COUNTIFS(BD!$B$3:$B$5001,O$136,BD!$A$3:$A$5001,"&gt;="&amp;$C$7,BD!$A$3:$A$5001,"&lt;="&amp;$B154,BD!$V$3:$V$5001,"&lt;&gt;")=0,"",SUMIFS(BD!$V$3:$V$5001,BD!$B$3:$B$5001,O$136,BD!$A$3:$A$5001,_xlfn.MAXIFS(BD!$A$3:$A$5001,BD!$B$3:$B$5001,O$136,BD!$A$3:$A$5001,"&gt;="&amp;$C$7,BD!$A$3:$A$5001,"&lt;="&amp;$B154,BD!$V$3:$V$5001,"&lt;&gt;"))))</f>
        <v/>
      </c>
      <c r="P154" s="43" t="str">
        <f>IF(OR($B154="",$A154&gt;$B$9,P$136=""),"",IF(COUNTIFS(BD!$B$3:$B$5001,P$136,BD!$A$3:$A$5001,"&gt;="&amp;$C$7,BD!$A$3:$A$5001,"&lt;="&amp;$B154,BD!$V$3:$V$5001,"&lt;&gt;")=0,"",SUMIFS(BD!$V$3:$V$5001,BD!$B$3:$B$5001,P$136,BD!$A$3:$A$5001,_xlfn.MAXIFS(BD!$A$3:$A$5001,BD!$B$3:$B$5001,P$136,BD!$A$3:$A$5001,"&gt;="&amp;$C$7,BD!$A$3:$A$5001,"&lt;="&amp;$B154,BD!$V$3:$V$5001,"&lt;&gt;"))))</f>
        <v/>
      </c>
      <c r="Q154" s="43" t="str">
        <f>IF(OR($B154="",$A154&gt;$B$9,Q$136=""),"",IF(COUNTIFS(BD!$B$3:$B$5001,Q$136,BD!$A$3:$A$5001,"&gt;="&amp;$C$7,BD!$A$3:$A$5001,"&lt;="&amp;$B154,BD!$V$3:$V$5001,"&lt;&gt;")=0,"",SUMIFS(BD!$V$3:$V$5001,BD!$B$3:$B$5001,Q$136,BD!$A$3:$A$5001,_xlfn.MAXIFS(BD!$A$3:$A$5001,BD!$B$3:$B$5001,Q$136,BD!$A$3:$A$5001,"&gt;="&amp;$C$7,BD!$A$3:$A$5001,"&lt;="&amp;$B154,BD!$V$3:$V$5001,"&lt;&gt;"))))</f>
        <v/>
      </c>
      <c r="R154" s="43" t="str">
        <f>IF(OR($B154="",$A154&gt;$B$9,R$136=""),"",IF(COUNTIFS(BD!$B$3:$B$5001,R$136,BD!$A$3:$A$5001,"&gt;="&amp;$C$7,BD!$A$3:$A$5001,"&lt;="&amp;$B154,BD!$V$3:$V$5001,"&lt;&gt;")=0,"",SUMIFS(BD!$V$3:$V$5001,BD!$B$3:$B$5001,R$136,BD!$A$3:$A$5001,_xlfn.MAXIFS(BD!$A$3:$A$5001,BD!$B$3:$B$5001,R$136,BD!$A$3:$A$5001,"&gt;="&amp;$C$7,BD!$A$3:$A$5001,"&lt;="&amp;$B154,BD!$V$3:$V$5001,"&lt;&gt;"))))</f>
        <v/>
      </c>
      <c r="S154" s="43" t="str">
        <f>IF(OR($B154="",$A154&gt;$B$9,S$136=""),"",IF(COUNTIFS(BD!$B$3:$B$5001,S$136,BD!$A$3:$A$5001,"&gt;="&amp;$C$7,BD!$A$3:$A$5001,"&lt;="&amp;$B154,BD!$V$3:$V$5001,"&lt;&gt;")=0,"",SUMIFS(BD!$V$3:$V$5001,BD!$B$3:$B$5001,S$136,BD!$A$3:$A$5001,_xlfn.MAXIFS(BD!$A$3:$A$5001,BD!$B$3:$B$5001,S$136,BD!$A$3:$A$5001,"&gt;="&amp;$C$7,BD!$A$3:$A$5001,"&lt;="&amp;$B154,BD!$V$3:$V$5001,"&lt;&gt;"))))</f>
        <v/>
      </c>
      <c r="T154" s="43" t="str">
        <f>IF(OR($B154="",$A154&gt;$B$9,T$136=""),"",IF(COUNTIFS(BD!$B$3:$B$5001,T$136,BD!$A$3:$A$5001,"&gt;="&amp;$C$7,BD!$A$3:$A$5001,"&lt;="&amp;$B154,BD!$V$3:$V$5001,"&lt;&gt;")=0,"",SUMIFS(BD!$V$3:$V$5001,BD!$B$3:$B$5001,T$136,BD!$A$3:$A$5001,_xlfn.MAXIFS(BD!$A$3:$A$5001,BD!$B$3:$B$5001,T$136,BD!$A$3:$A$5001,"&gt;="&amp;$C$7,BD!$A$3:$A$5001,"&lt;="&amp;$B154,BD!$V$3:$V$5001,"&lt;&gt;"))))</f>
        <v/>
      </c>
      <c r="U154" s="43" t="str">
        <f>IF(OR($B154="",$A154&gt;$B$9,U$136=""),"",IF(COUNTIFS(BD!$B$3:$B$5001,U$136,BD!$A$3:$A$5001,"&gt;="&amp;$C$7,BD!$A$3:$A$5001,"&lt;="&amp;$B154,BD!$V$3:$V$5001,"&lt;&gt;")=0,"",SUMIFS(BD!$V$3:$V$5001,BD!$B$3:$B$5001,U$136,BD!$A$3:$A$5001,_xlfn.MAXIFS(BD!$A$3:$A$5001,BD!$B$3:$B$5001,U$136,BD!$A$3:$A$5001,"&gt;="&amp;$C$7,BD!$A$3:$A$5001,"&lt;="&amp;$B154,BD!$V$3:$V$5001,"&lt;&gt;"))))</f>
        <v/>
      </c>
      <c r="V154" s="43" t="str">
        <f>IF(OR($B154="",$A154&gt;$B$9,V$136=""),"",IF(COUNTIFS(BD!$B$3:$B$5001,V$136,BD!$A$3:$A$5001,"&gt;="&amp;$C$7,BD!$A$3:$A$5001,"&lt;="&amp;$B154,BD!$V$3:$V$5001,"&lt;&gt;")=0,"",SUMIFS(BD!$V$3:$V$5001,BD!$B$3:$B$5001,V$136,BD!$A$3:$A$5001,_xlfn.MAXIFS(BD!$A$3:$A$5001,BD!$B$3:$B$5001,V$136,BD!$A$3:$A$5001,"&gt;="&amp;$C$7,BD!$A$3:$A$5001,"&lt;="&amp;$B154,BD!$V$3:$V$5001,"&lt;&gt;"))))</f>
        <v/>
      </c>
    </row>
    <row r="155">
      <c r="A155" s="38">
        <v>19</v>
      </c>
      <c r="B155" s="42">
        <f>$B$30</f>
        <v>46314</v>
      </c>
      <c r="C155" s="43" t="str">
        <f>IF(OR($B155="",$A155&gt;$B$9,C$136=""),"",IF(COUNTIFS(BD!$B$3:$B$5001,C$136,BD!$A$3:$A$5001,"&gt;="&amp;$C$7,BD!$A$3:$A$5001,"&lt;="&amp;$B155,BD!$V$3:$V$5001,"&lt;&gt;")=0,"",SUMIFS(BD!$V$3:$V$5001,BD!$B$3:$B$5001,C$136,BD!$A$3:$A$5001,_xlfn.MAXIFS(BD!$A$3:$A$5001,BD!$B$3:$B$5001,C$136,BD!$A$3:$A$5001,"&gt;="&amp;$C$7,BD!$A$3:$A$5001,"&lt;="&amp;$B155,BD!$V$3:$V$5001,"&lt;&gt;"))))</f>
        <v/>
      </c>
      <c r="D155" s="43" t="str">
        <f>IF(OR($B155="",$A155&gt;$B$9,D$136=""),"",IF(COUNTIFS(BD!$B$3:$B$5001,D$136,BD!$A$3:$A$5001,"&gt;="&amp;$C$7,BD!$A$3:$A$5001,"&lt;="&amp;$B155,BD!$V$3:$V$5001,"&lt;&gt;")=0,"",SUMIFS(BD!$V$3:$V$5001,BD!$B$3:$B$5001,D$136,BD!$A$3:$A$5001,_xlfn.MAXIFS(BD!$A$3:$A$5001,BD!$B$3:$B$5001,D$136,BD!$A$3:$A$5001,"&gt;="&amp;$C$7,BD!$A$3:$A$5001,"&lt;="&amp;$B155,BD!$V$3:$V$5001,"&lt;&gt;"))))</f>
        <v/>
      </c>
      <c r="E155" s="43" t="str">
        <f>IF(OR($B155="",$A155&gt;$B$9,E$136=""),"",IF(COUNTIFS(BD!$B$3:$B$5001,E$136,BD!$A$3:$A$5001,"&gt;="&amp;$C$7,BD!$A$3:$A$5001,"&lt;="&amp;$B155,BD!$V$3:$V$5001,"&lt;&gt;")=0,"",SUMIFS(BD!$V$3:$V$5001,BD!$B$3:$B$5001,E$136,BD!$A$3:$A$5001,_xlfn.MAXIFS(BD!$A$3:$A$5001,BD!$B$3:$B$5001,E$136,BD!$A$3:$A$5001,"&gt;="&amp;$C$7,BD!$A$3:$A$5001,"&lt;="&amp;$B155,BD!$V$3:$V$5001,"&lt;&gt;"))))</f>
        <v/>
      </c>
      <c r="F155" s="43" t="str">
        <f>IF(OR($B155="",$A155&gt;$B$9,F$136=""),"",IF(COUNTIFS(BD!$B$3:$B$5001,F$136,BD!$A$3:$A$5001,"&gt;="&amp;$C$7,BD!$A$3:$A$5001,"&lt;="&amp;$B155,BD!$V$3:$V$5001,"&lt;&gt;")=0,"",SUMIFS(BD!$V$3:$V$5001,BD!$B$3:$B$5001,F$136,BD!$A$3:$A$5001,_xlfn.MAXIFS(BD!$A$3:$A$5001,BD!$B$3:$B$5001,F$136,BD!$A$3:$A$5001,"&gt;="&amp;$C$7,BD!$A$3:$A$5001,"&lt;="&amp;$B155,BD!$V$3:$V$5001,"&lt;&gt;"))))</f>
        <v/>
      </c>
      <c r="G155" s="43" t="str">
        <f>IF(OR($B155="",$A155&gt;$B$9,G$136=""),"",IF(COUNTIFS(BD!$B$3:$B$5001,G$136,BD!$A$3:$A$5001,"&gt;="&amp;$C$7,BD!$A$3:$A$5001,"&lt;="&amp;$B155,BD!$V$3:$V$5001,"&lt;&gt;")=0,"",SUMIFS(BD!$V$3:$V$5001,BD!$B$3:$B$5001,G$136,BD!$A$3:$A$5001,_xlfn.MAXIFS(BD!$A$3:$A$5001,BD!$B$3:$B$5001,G$136,BD!$A$3:$A$5001,"&gt;="&amp;$C$7,BD!$A$3:$A$5001,"&lt;="&amp;$B155,BD!$V$3:$V$5001,"&lt;&gt;"))))</f>
        <v/>
      </c>
      <c r="H155" s="43" t="str">
        <f>IF(OR($B155="",$A155&gt;$B$9,H$136=""),"",IF(COUNTIFS(BD!$B$3:$B$5001,H$136,BD!$A$3:$A$5001,"&gt;="&amp;$C$7,BD!$A$3:$A$5001,"&lt;="&amp;$B155,BD!$V$3:$V$5001,"&lt;&gt;")=0,"",SUMIFS(BD!$V$3:$V$5001,BD!$B$3:$B$5001,H$136,BD!$A$3:$A$5001,_xlfn.MAXIFS(BD!$A$3:$A$5001,BD!$B$3:$B$5001,H$136,BD!$A$3:$A$5001,"&gt;="&amp;$C$7,BD!$A$3:$A$5001,"&lt;="&amp;$B155,BD!$V$3:$V$5001,"&lt;&gt;"))))</f>
        <v/>
      </c>
      <c r="I155" s="43" t="str">
        <f>IF(OR($B155="",$A155&gt;$B$9,I$136=""),"",IF(COUNTIFS(BD!$B$3:$B$5001,I$136,BD!$A$3:$A$5001,"&gt;="&amp;$C$7,BD!$A$3:$A$5001,"&lt;="&amp;$B155,BD!$V$3:$V$5001,"&lt;&gt;")=0,"",SUMIFS(BD!$V$3:$V$5001,BD!$B$3:$B$5001,I$136,BD!$A$3:$A$5001,_xlfn.MAXIFS(BD!$A$3:$A$5001,BD!$B$3:$B$5001,I$136,BD!$A$3:$A$5001,"&gt;="&amp;$C$7,BD!$A$3:$A$5001,"&lt;="&amp;$B155,BD!$V$3:$V$5001,"&lt;&gt;"))))</f>
        <v/>
      </c>
      <c r="J155" s="43" t="str">
        <f>IF(OR($B155="",$A155&gt;$B$9,J$136=""),"",IF(COUNTIFS(BD!$B$3:$B$5001,J$136,BD!$A$3:$A$5001,"&gt;="&amp;$C$7,BD!$A$3:$A$5001,"&lt;="&amp;$B155,BD!$V$3:$V$5001,"&lt;&gt;")=0,"",SUMIFS(BD!$V$3:$V$5001,BD!$B$3:$B$5001,J$136,BD!$A$3:$A$5001,_xlfn.MAXIFS(BD!$A$3:$A$5001,BD!$B$3:$B$5001,J$136,BD!$A$3:$A$5001,"&gt;="&amp;$C$7,BD!$A$3:$A$5001,"&lt;="&amp;$B155,BD!$V$3:$V$5001,"&lt;&gt;"))))</f>
        <v/>
      </c>
      <c r="K155" s="43" t="str">
        <f>IF(OR($B155="",$A155&gt;$B$9,K$136=""),"",IF(COUNTIFS(BD!$B$3:$B$5001,K$136,BD!$A$3:$A$5001,"&gt;="&amp;$C$7,BD!$A$3:$A$5001,"&lt;="&amp;$B155,BD!$V$3:$V$5001,"&lt;&gt;")=0,"",SUMIFS(BD!$V$3:$V$5001,BD!$B$3:$B$5001,K$136,BD!$A$3:$A$5001,_xlfn.MAXIFS(BD!$A$3:$A$5001,BD!$B$3:$B$5001,K$136,BD!$A$3:$A$5001,"&gt;="&amp;$C$7,BD!$A$3:$A$5001,"&lt;="&amp;$B155,BD!$V$3:$V$5001,"&lt;&gt;"))))</f>
        <v/>
      </c>
      <c r="L155" s="43" t="str">
        <f>IF(OR($B155="",$A155&gt;$B$9,L$136=""),"",IF(COUNTIFS(BD!$B$3:$B$5001,L$136,BD!$A$3:$A$5001,"&gt;="&amp;$C$7,BD!$A$3:$A$5001,"&lt;="&amp;$B155,BD!$V$3:$V$5001,"&lt;&gt;")=0,"",SUMIFS(BD!$V$3:$V$5001,BD!$B$3:$B$5001,L$136,BD!$A$3:$A$5001,_xlfn.MAXIFS(BD!$A$3:$A$5001,BD!$B$3:$B$5001,L$136,BD!$A$3:$A$5001,"&gt;="&amp;$C$7,BD!$A$3:$A$5001,"&lt;="&amp;$B155,BD!$V$3:$V$5001,"&lt;&gt;"))))</f>
        <v/>
      </c>
      <c r="M155" s="43" t="str">
        <f>IF(OR($B155="",$A155&gt;$B$9,M$136=""),"",IF(COUNTIFS(BD!$B$3:$B$5001,M$136,BD!$A$3:$A$5001,"&gt;="&amp;$C$7,BD!$A$3:$A$5001,"&lt;="&amp;$B155,BD!$V$3:$V$5001,"&lt;&gt;")=0,"",SUMIFS(BD!$V$3:$V$5001,BD!$B$3:$B$5001,M$136,BD!$A$3:$A$5001,_xlfn.MAXIFS(BD!$A$3:$A$5001,BD!$B$3:$B$5001,M$136,BD!$A$3:$A$5001,"&gt;="&amp;$C$7,BD!$A$3:$A$5001,"&lt;="&amp;$B155,BD!$V$3:$V$5001,"&lt;&gt;"))))</f>
        <v/>
      </c>
      <c r="N155" s="43" t="str">
        <f>IF(OR($B155="",$A155&gt;$B$9,N$136=""),"",IF(COUNTIFS(BD!$B$3:$B$5001,N$136,BD!$A$3:$A$5001,"&gt;="&amp;$C$7,BD!$A$3:$A$5001,"&lt;="&amp;$B155,BD!$V$3:$V$5001,"&lt;&gt;")=0,"",SUMIFS(BD!$V$3:$V$5001,BD!$B$3:$B$5001,N$136,BD!$A$3:$A$5001,_xlfn.MAXIFS(BD!$A$3:$A$5001,BD!$B$3:$B$5001,N$136,BD!$A$3:$A$5001,"&gt;="&amp;$C$7,BD!$A$3:$A$5001,"&lt;="&amp;$B155,BD!$V$3:$V$5001,"&lt;&gt;"))))</f>
        <v/>
      </c>
      <c r="O155" s="43" t="str">
        <f>IF(OR($B155="",$A155&gt;$B$9,O$136=""),"",IF(COUNTIFS(BD!$B$3:$B$5001,O$136,BD!$A$3:$A$5001,"&gt;="&amp;$C$7,BD!$A$3:$A$5001,"&lt;="&amp;$B155,BD!$V$3:$V$5001,"&lt;&gt;")=0,"",SUMIFS(BD!$V$3:$V$5001,BD!$B$3:$B$5001,O$136,BD!$A$3:$A$5001,_xlfn.MAXIFS(BD!$A$3:$A$5001,BD!$B$3:$B$5001,O$136,BD!$A$3:$A$5001,"&gt;="&amp;$C$7,BD!$A$3:$A$5001,"&lt;="&amp;$B155,BD!$V$3:$V$5001,"&lt;&gt;"))))</f>
        <v/>
      </c>
      <c r="P155" s="43" t="str">
        <f>IF(OR($B155="",$A155&gt;$B$9,P$136=""),"",IF(COUNTIFS(BD!$B$3:$B$5001,P$136,BD!$A$3:$A$5001,"&gt;="&amp;$C$7,BD!$A$3:$A$5001,"&lt;="&amp;$B155,BD!$V$3:$V$5001,"&lt;&gt;")=0,"",SUMIFS(BD!$V$3:$V$5001,BD!$B$3:$B$5001,P$136,BD!$A$3:$A$5001,_xlfn.MAXIFS(BD!$A$3:$A$5001,BD!$B$3:$B$5001,P$136,BD!$A$3:$A$5001,"&gt;="&amp;$C$7,BD!$A$3:$A$5001,"&lt;="&amp;$B155,BD!$V$3:$V$5001,"&lt;&gt;"))))</f>
        <v/>
      </c>
      <c r="Q155" s="43" t="str">
        <f>IF(OR($B155="",$A155&gt;$B$9,Q$136=""),"",IF(COUNTIFS(BD!$B$3:$B$5001,Q$136,BD!$A$3:$A$5001,"&gt;="&amp;$C$7,BD!$A$3:$A$5001,"&lt;="&amp;$B155,BD!$V$3:$V$5001,"&lt;&gt;")=0,"",SUMIFS(BD!$V$3:$V$5001,BD!$B$3:$B$5001,Q$136,BD!$A$3:$A$5001,_xlfn.MAXIFS(BD!$A$3:$A$5001,BD!$B$3:$B$5001,Q$136,BD!$A$3:$A$5001,"&gt;="&amp;$C$7,BD!$A$3:$A$5001,"&lt;="&amp;$B155,BD!$V$3:$V$5001,"&lt;&gt;"))))</f>
        <v/>
      </c>
      <c r="R155" s="43" t="str">
        <f>IF(OR($B155="",$A155&gt;$B$9,R$136=""),"",IF(COUNTIFS(BD!$B$3:$B$5001,R$136,BD!$A$3:$A$5001,"&gt;="&amp;$C$7,BD!$A$3:$A$5001,"&lt;="&amp;$B155,BD!$V$3:$V$5001,"&lt;&gt;")=0,"",SUMIFS(BD!$V$3:$V$5001,BD!$B$3:$B$5001,R$136,BD!$A$3:$A$5001,_xlfn.MAXIFS(BD!$A$3:$A$5001,BD!$B$3:$B$5001,R$136,BD!$A$3:$A$5001,"&gt;="&amp;$C$7,BD!$A$3:$A$5001,"&lt;="&amp;$B155,BD!$V$3:$V$5001,"&lt;&gt;"))))</f>
        <v/>
      </c>
      <c r="S155" s="43" t="str">
        <f>IF(OR($B155="",$A155&gt;$B$9,S$136=""),"",IF(COUNTIFS(BD!$B$3:$B$5001,S$136,BD!$A$3:$A$5001,"&gt;="&amp;$C$7,BD!$A$3:$A$5001,"&lt;="&amp;$B155,BD!$V$3:$V$5001,"&lt;&gt;")=0,"",SUMIFS(BD!$V$3:$V$5001,BD!$B$3:$B$5001,S$136,BD!$A$3:$A$5001,_xlfn.MAXIFS(BD!$A$3:$A$5001,BD!$B$3:$B$5001,S$136,BD!$A$3:$A$5001,"&gt;="&amp;$C$7,BD!$A$3:$A$5001,"&lt;="&amp;$B155,BD!$V$3:$V$5001,"&lt;&gt;"))))</f>
        <v/>
      </c>
      <c r="T155" s="43" t="str">
        <f>IF(OR($B155="",$A155&gt;$B$9,T$136=""),"",IF(COUNTIFS(BD!$B$3:$B$5001,T$136,BD!$A$3:$A$5001,"&gt;="&amp;$C$7,BD!$A$3:$A$5001,"&lt;="&amp;$B155,BD!$V$3:$V$5001,"&lt;&gt;")=0,"",SUMIFS(BD!$V$3:$V$5001,BD!$B$3:$B$5001,T$136,BD!$A$3:$A$5001,_xlfn.MAXIFS(BD!$A$3:$A$5001,BD!$B$3:$B$5001,T$136,BD!$A$3:$A$5001,"&gt;="&amp;$C$7,BD!$A$3:$A$5001,"&lt;="&amp;$B155,BD!$V$3:$V$5001,"&lt;&gt;"))))</f>
        <v/>
      </c>
      <c r="U155" s="43" t="str">
        <f>IF(OR($B155="",$A155&gt;$B$9,U$136=""),"",IF(COUNTIFS(BD!$B$3:$B$5001,U$136,BD!$A$3:$A$5001,"&gt;="&amp;$C$7,BD!$A$3:$A$5001,"&lt;="&amp;$B155,BD!$V$3:$V$5001,"&lt;&gt;")=0,"",SUMIFS(BD!$V$3:$V$5001,BD!$B$3:$B$5001,U$136,BD!$A$3:$A$5001,_xlfn.MAXIFS(BD!$A$3:$A$5001,BD!$B$3:$B$5001,U$136,BD!$A$3:$A$5001,"&gt;="&amp;$C$7,BD!$A$3:$A$5001,"&lt;="&amp;$B155,BD!$V$3:$V$5001,"&lt;&gt;"))))</f>
        <v/>
      </c>
      <c r="V155" s="43" t="str">
        <f>IF(OR($B155="",$A155&gt;$B$9,V$136=""),"",IF(COUNTIFS(BD!$B$3:$B$5001,V$136,BD!$A$3:$A$5001,"&gt;="&amp;$C$7,BD!$A$3:$A$5001,"&lt;="&amp;$B155,BD!$V$3:$V$5001,"&lt;&gt;")=0,"",SUMIFS(BD!$V$3:$V$5001,BD!$B$3:$B$5001,V$136,BD!$A$3:$A$5001,_xlfn.MAXIFS(BD!$A$3:$A$5001,BD!$B$3:$B$5001,V$136,BD!$A$3:$A$5001,"&gt;="&amp;$C$7,BD!$A$3:$A$5001,"&lt;="&amp;$B155,BD!$V$3:$V$5001,"&lt;&gt;"))))</f>
        <v/>
      </c>
    </row>
    <row r="156">
      <c r="A156" s="38">
        <v>20</v>
      </c>
      <c r="B156" s="42">
        <f>$B$31</f>
        <v>46315</v>
      </c>
      <c r="C156" s="43" t="str">
        <f>IF(OR($B156="",$A156&gt;$B$9,C$136=""),"",IF(COUNTIFS(BD!$B$3:$B$5001,C$136,BD!$A$3:$A$5001,"&gt;="&amp;$C$7,BD!$A$3:$A$5001,"&lt;="&amp;$B156,BD!$V$3:$V$5001,"&lt;&gt;")=0,"",SUMIFS(BD!$V$3:$V$5001,BD!$B$3:$B$5001,C$136,BD!$A$3:$A$5001,_xlfn.MAXIFS(BD!$A$3:$A$5001,BD!$B$3:$B$5001,C$136,BD!$A$3:$A$5001,"&gt;="&amp;$C$7,BD!$A$3:$A$5001,"&lt;="&amp;$B156,BD!$V$3:$V$5001,"&lt;&gt;"))))</f>
        <v/>
      </c>
      <c r="D156" s="43" t="str">
        <f>IF(OR($B156="",$A156&gt;$B$9,D$136=""),"",IF(COUNTIFS(BD!$B$3:$B$5001,D$136,BD!$A$3:$A$5001,"&gt;="&amp;$C$7,BD!$A$3:$A$5001,"&lt;="&amp;$B156,BD!$V$3:$V$5001,"&lt;&gt;")=0,"",SUMIFS(BD!$V$3:$V$5001,BD!$B$3:$B$5001,D$136,BD!$A$3:$A$5001,_xlfn.MAXIFS(BD!$A$3:$A$5001,BD!$B$3:$B$5001,D$136,BD!$A$3:$A$5001,"&gt;="&amp;$C$7,BD!$A$3:$A$5001,"&lt;="&amp;$B156,BD!$V$3:$V$5001,"&lt;&gt;"))))</f>
        <v/>
      </c>
      <c r="E156" s="43" t="str">
        <f>IF(OR($B156="",$A156&gt;$B$9,E$136=""),"",IF(COUNTIFS(BD!$B$3:$B$5001,E$136,BD!$A$3:$A$5001,"&gt;="&amp;$C$7,BD!$A$3:$A$5001,"&lt;="&amp;$B156,BD!$V$3:$V$5001,"&lt;&gt;")=0,"",SUMIFS(BD!$V$3:$V$5001,BD!$B$3:$B$5001,E$136,BD!$A$3:$A$5001,_xlfn.MAXIFS(BD!$A$3:$A$5001,BD!$B$3:$B$5001,E$136,BD!$A$3:$A$5001,"&gt;="&amp;$C$7,BD!$A$3:$A$5001,"&lt;="&amp;$B156,BD!$V$3:$V$5001,"&lt;&gt;"))))</f>
        <v/>
      </c>
      <c r="F156" s="43" t="str">
        <f>IF(OR($B156="",$A156&gt;$B$9,F$136=""),"",IF(COUNTIFS(BD!$B$3:$B$5001,F$136,BD!$A$3:$A$5001,"&gt;="&amp;$C$7,BD!$A$3:$A$5001,"&lt;="&amp;$B156,BD!$V$3:$V$5001,"&lt;&gt;")=0,"",SUMIFS(BD!$V$3:$V$5001,BD!$B$3:$B$5001,F$136,BD!$A$3:$A$5001,_xlfn.MAXIFS(BD!$A$3:$A$5001,BD!$B$3:$B$5001,F$136,BD!$A$3:$A$5001,"&gt;="&amp;$C$7,BD!$A$3:$A$5001,"&lt;="&amp;$B156,BD!$V$3:$V$5001,"&lt;&gt;"))))</f>
        <v/>
      </c>
      <c r="G156" s="43" t="str">
        <f>IF(OR($B156="",$A156&gt;$B$9,G$136=""),"",IF(COUNTIFS(BD!$B$3:$B$5001,G$136,BD!$A$3:$A$5001,"&gt;="&amp;$C$7,BD!$A$3:$A$5001,"&lt;="&amp;$B156,BD!$V$3:$V$5001,"&lt;&gt;")=0,"",SUMIFS(BD!$V$3:$V$5001,BD!$B$3:$B$5001,G$136,BD!$A$3:$A$5001,_xlfn.MAXIFS(BD!$A$3:$A$5001,BD!$B$3:$B$5001,G$136,BD!$A$3:$A$5001,"&gt;="&amp;$C$7,BD!$A$3:$A$5001,"&lt;="&amp;$B156,BD!$V$3:$V$5001,"&lt;&gt;"))))</f>
        <v/>
      </c>
      <c r="H156" s="43" t="str">
        <f>IF(OR($B156="",$A156&gt;$B$9,H$136=""),"",IF(COUNTIFS(BD!$B$3:$B$5001,H$136,BD!$A$3:$A$5001,"&gt;="&amp;$C$7,BD!$A$3:$A$5001,"&lt;="&amp;$B156,BD!$V$3:$V$5001,"&lt;&gt;")=0,"",SUMIFS(BD!$V$3:$V$5001,BD!$B$3:$B$5001,H$136,BD!$A$3:$A$5001,_xlfn.MAXIFS(BD!$A$3:$A$5001,BD!$B$3:$B$5001,H$136,BD!$A$3:$A$5001,"&gt;="&amp;$C$7,BD!$A$3:$A$5001,"&lt;="&amp;$B156,BD!$V$3:$V$5001,"&lt;&gt;"))))</f>
        <v/>
      </c>
      <c r="I156" s="43" t="str">
        <f>IF(OR($B156="",$A156&gt;$B$9,I$136=""),"",IF(COUNTIFS(BD!$B$3:$B$5001,I$136,BD!$A$3:$A$5001,"&gt;="&amp;$C$7,BD!$A$3:$A$5001,"&lt;="&amp;$B156,BD!$V$3:$V$5001,"&lt;&gt;")=0,"",SUMIFS(BD!$V$3:$V$5001,BD!$B$3:$B$5001,I$136,BD!$A$3:$A$5001,_xlfn.MAXIFS(BD!$A$3:$A$5001,BD!$B$3:$B$5001,I$136,BD!$A$3:$A$5001,"&gt;="&amp;$C$7,BD!$A$3:$A$5001,"&lt;="&amp;$B156,BD!$V$3:$V$5001,"&lt;&gt;"))))</f>
        <v/>
      </c>
      <c r="J156" s="43" t="str">
        <f>IF(OR($B156="",$A156&gt;$B$9,J$136=""),"",IF(COUNTIFS(BD!$B$3:$B$5001,J$136,BD!$A$3:$A$5001,"&gt;="&amp;$C$7,BD!$A$3:$A$5001,"&lt;="&amp;$B156,BD!$V$3:$V$5001,"&lt;&gt;")=0,"",SUMIFS(BD!$V$3:$V$5001,BD!$B$3:$B$5001,J$136,BD!$A$3:$A$5001,_xlfn.MAXIFS(BD!$A$3:$A$5001,BD!$B$3:$B$5001,J$136,BD!$A$3:$A$5001,"&gt;="&amp;$C$7,BD!$A$3:$A$5001,"&lt;="&amp;$B156,BD!$V$3:$V$5001,"&lt;&gt;"))))</f>
        <v/>
      </c>
      <c r="K156" s="43" t="str">
        <f>IF(OR($B156="",$A156&gt;$B$9,K$136=""),"",IF(COUNTIFS(BD!$B$3:$B$5001,K$136,BD!$A$3:$A$5001,"&gt;="&amp;$C$7,BD!$A$3:$A$5001,"&lt;="&amp;$B156,BD!$V$3:$V$5001,"&lt;&gt;")=0,"",SUMIFS(BD!$V$3:$V$5001,BD!$B$3:$B$5001,K$136,BD!$A$3:$A$5001,_xlfn.MAXIFS(BD!$A$3:$A$5001,BD!$B$3:$B$5001,K$136,BD!$A$3:$A$5001,"&gt;="&amp;$C$7,BD!$A$3:$A$5001,"&lt;="&amp;$B156,BD!$V$3:$V$5001,"&lt;&gt;"))))</f>
        <v/>
      </c>
      <c r="L156" s="43" t="str">
        <f>IF(OR($B156="",$A156&gt;$B$9,L$136=""),"",IF(COUNTIFS(BD!$B$3:$B$5001,L$136,BD!$A$3:$A$5001,"&gt;="&amp;$C$7,BD!$A$3:$A$5001,"&lt;="&amp;$B156,BD!$V$3:$V$5001,"&lt;&gt;")=0,"",SUMIFS(BD!$V$3:$V$5001,BD!$B$3:$B$5001,L$136,BD!$A$3:$A$5001,_xlfn.MAXIFS(BD!$A$3:$A$5001,BD!$B$3:$B$5001,L$136,BD!$A$3:$A$5001,"&gt;="&amp;$C$7,BD!$A$3:$A$5001,"&lt;="&amp;$B156,BD!$V$3:$V$5001,"&lt;&gt;"))))</f>
        <v/>
      </c>
      <c r="M156" s="43" t="str">
        <f>IF(OR($B156="",$A156&gt;$B$9,M$136=""),"",IF(COUNTIFS(BD!$B$3:$B$5001,M$136,BD!$A$3:$A$5001,"&gt;="&amp;$C$7,BD!$A$3:$A$5001,"&lt;="&amp;$B156,BD!$V$3:$V$5001,"&lt;&gt;")=0,"",SUMIFS(BD!$V$3:$V$5001,BD!$B$3:$B$5001,M$136,BD!$A$3:$A$5001,_xlfn.MAXIFS(BD!$A$3:$A$5001,BD!$B$3:$B$5001,M$136,BD!$A$3:$A$5001,"&gt;="&amp;$C$7,BD!$A$3:$A$5001,"&lt;="&amp;$B156,BD!$V$3:$V$5001,"&lt;&gt;"))))</f>
        <v/>
      </c>
      <c r="N156" s="43" t="str">
        <f>IF(OR($B156="",$A156&gt;$B$9,N$136=""),"",IF(COUNTIFS(BD!$B$3:$B$5001,N$136,BD!$A$3:$A$5001,"&gt;="&amp;$C$7,BD!$A$3:$A$5001,"&lt;="&amp;$B156,BD!$V$3:$V$5001,"&lt;&gt;")=0,"",SUMIFS(BD!$V$3:$V$5001,BD!$B$3:$B$5001,N$136,BD!$A$3:$A$5001,_xlfn.MAXIFS(BD!$A$3:$A$5001,BD!$B$3:$B$5001,N$136,BD!$A$3:$A$5001,"&gt;="&amp;$C$7,BD!$A$3:$A$5001,"&lt;="&amp;$B156,BD!$V$3:$V$5001,"&lt;&gt;"))))</f>
        <v/>
      </c>
      <c r="O156" s="43" t="str">
        <f>IF(OR($B156="",$A156&gt;$B$9,O$136=""),"",IF(COUNTIFS(BD!$B$3:$B$5001,O$136,BD!$A$3:$A$5001,"&gt;="&amp;$C$7,BD!$A$3:$A$5001,"&lt;="&amp;$B156,BD!$V$3:$V$5001,"&lt;&gt;")=0,"",SUMIFS(BD!$V$3:$V$5001,BD!$B$3:$B$5001,O$136,BD!$A$3:$A$5001,_xlfn.MAXIFS(BD!$A$3:$A$5001,BD!$B$3:$B$5001,O$136,BD!$A$3:$A$5001,"&gt;="&amp;$C$7,BD!$A$3:$A$5001,"&lt;="&amp;$B156,BD!$V$3:$V$5001,"&lt;&gt;"))))</f>
        <v/>
      </c>
      <c r="P156" s="43" t="str">
        <f>IF(OR($B156="",$A156&gt;$B$9,P$136=""),"",IF(COUNTIFS(BD!$B$3:$B$5001,P$136,BD!$A$3:$A$5001,"&gt;="&amp;$C$7,BD!$A$3:$A$5001,"&lt;="&amp;$B156,BD!$V$3:$V$5001,"&lt;&gt;")=0,"",SUMIFS(BD!$V$3:$V$5001,BD!$B$3:$B$5001,P$136,BD!$A$3:$A$5001,_xlfn.MAXIFS(BD!$A$3:$A$5001,BD!$B$3:$B$5001,P$136,BD!$A$3:$A$5001,"&gt;="&amp;$C$7,BD!$A$3:$A$5001,"&lt;="&amp;$B156,BD!$V$3:$V$5001,"&lt;&gt;"))))</f>
        <v/>
      </c>
      <c r="Q156" s="43" t="str">
        <f>IF(OR($B156="",$A156&gt;$B$9,Q$136=""),"",IF(COUNTIFS(BD!$B$3:$B$5001,Q$136,BD!$A$3:$A$5001,"&gt;="&amp;$C$7,BD!$A$3:$A$5001,"&lt;="&amp;$B156,BD!$V$3:$V$5001,"&lt;&gt;")=0,"",SUMIFS(BD!$V$3:$V$5001,BD!$B$3:$B$5001,Q$136,BD!$A$3:$A$5001,_xlfn.MAXIFS(BD!$A$3:$A$5001,BD!$B$3:$B$5001,Q$136,BD!$A$3:$A$5001,"&gt;="&amp;$C$7,BD!$A$3:$A$5001,"&lt;="&amp;$B156,BD!$V$3:$V$5001,"&lt;&gt;"))))</f>
        <v/>
      </c>
      <c r="R156" s="43" t="str">
        <f>IF(OR($B156="",$A156&gt;$B$9,R$136=""),"",IF(COUNTIFS(BD!$B$3:$B$5001,R$136,BD!$A$3:$A$5001,"&gt;="&amp;$C$7,BD!$A$3:$A$5001,"&lt;="&amp;$B156,BD!$V$3:$V$5001,"&lt;&gt;")=0,"",SUMIFS(BD!$V$3:$V$5001,BD!$B$3:$B$5001,R$136,BD!$A$3:$A$5001,_xlfn.MAXIFS(BD!$A$3:$A$5001,BD!$B$3:$B$5001,R$136,BD!$A$3:$A$5001,"&gt;="&amp;$C$7,BD!$A$3:$A$5001,"&lt;="&amp;$B156,BD!$V$3:$V$5001,"&lt;&gt;"))))</f>
        <v/>
      </c>
      <c r="S156" s="43" t="str">
        <f>IF(OR($B156="",$A156&gt;$B$9,S$136=""),"",IF(COUNTIFS(BD!$B$3:$B$5001,S$136,BD!$A$3:$A$5001,"&gt;="&amp;$C$7,BD!$A$3:$A$5001,"&lt;="&amp;$B156,BD!$V$3:$V$5001,"&lt;&gt;")=0,"",SUMIFS(BD!$V$3:$V$5001,BD!$B$3:$B$5001,S$136,BD!$A$3:$A$5001,_xlfn.MAXIFS(BD!$A$3:$A$5001,BD!$B$3:$B$5001,S$136,BD!$A$3:$A$5001,"&gt;="&amp;$C$7,BD!$A$3:$A$5001,"&lt;="&amp;$B156,BD!$V$3:$V$5001,"&lt;&gt;"))))</f>
        <v/>
      </c>
      <c r="T156" s="43" t="str">
        <f>IF(OR($B156="",$A156&gt;$B$9,T$136=""),"",IF(COUNTIFS(BD!$B$3:$B$5001,T$136,BD!$A$3:$A$5001,"&gt;="&amp;$C$7,BD!$A$3:$A$5001,"&lt;="&amp;$B156,BD!$V$3:$V$5001,"&lt;&gt;")=0,"",SUMIFS(BD!$V$3:$V$5001,BD!$B$3:$B$5001,T$136,BD!$A$3:$A$5001,_xlfn.MAXIFS(BD!$A$3:$A$5001,BD!$B$3:$B$5001,T$136,BD!$A$3:$A$5001,"&gt;="&amp;$C$7,BD!$A$3:$A$5001,"&lt;="&amp;$B156,BD!$V$3:$V$5001,"&lt;&gt;"))))</f>
        <v/>
      </c>
      <c r="U156" s="43" t="str">
        <f>IF(OR($B156="",$A156&gt;$B$9,U$136=""),"",IF(COUNTIFS(BD!$B$3:$B$5001,U$136,BD!$A$3:$A$5001,"&gt;="&amp;$C$7,BD!$A$3:$A$5001,"&lt;="&amp;$B156,BD!$V$3:$V$5001,"&lt;&gt;")=0,"",SUMIFS(BD!$V$3:$V$5001,BD!$B$3:$B$5001,U$136,BD!$A$3:$A$5001,_xlfn.MAXIFS(BD!$A$3:$A$5001,BD!$B$3:$B$5001,U$136,BD!$A$3:$A$5001,"&gt;="&amp;$C$7,BD!$A$3:$A$5001,"&lt;="&amp;$B156,BD!$V$3:$V$5001,"&lt;&gt;"))))</f>
        <v/>
      </c>
      <c r="V156" s="43" t="str">
        <f>IF(OR($B156="",$A156&gt;$B$9,V$136=""),"",IF(COUNTIFS(BD!$B$3:$B$5001,V$136,BD!$A$3:$A$5001,"&gt;="&amp;$C$7,BD!$A$3:$A$5001,"&lt;="&amp;$B156,BD!$V$3:$V$5001,"&lt;&gt;")=0,"",SUMIFS(BD!$V$3:$V$5001,BD!$B$3:$B$5001,V$136,BD!$A$3:$A$5001,_xlfn.MAXIFS(BD!$A$3:$A$5001,BD!$B$3:$B$5001,V$136,BD!$A$3:$A$5001,"&gt;="&amp;$C$7,BD!$A$3:$A$5001,"&lt;="&amp;$B156,BD!$V$3:$V$5001,"&lt;&gt;"))))</f>
        <v/>
      </c>
    </row>
    <row r="157">
      <c r="A157" s="38">
        <v>21</v>
      </c>
      <c r="B157" s="42">
        <f>$B$32</f>
        <v>46316</v>
      </c>
      <c r="C157" s="43" t="str">
        <f>IF(OR($B157="",$A157&gt;$B$9,C$136=""),"",IF(COUNTIFS(BD!$B$3:$B$5001,C$136,BD!$A$3:$A$5001,"&gt;="&amp;$C$7,BD!$A$3:$A$5001,"&lt;="&amp;$B157,BD!$V$3:$V$5001,"&lt;&gt;")=0,"",SUMIFS(BD!$V$3:$V$5001,BD!$B$3:$B$5001,C$136,BD!$A$3:$A$5001,_xlfn.MAXIFS(BD!$A$3:$A$5001,BD!$B$3:$B$5001,C$136,BD!$A$3:$A$5001,"&gt;="&amp;$C$7,BD!$A$3:$A$5001,"&lt;="&amp;$B157,BD!$V$3:$V$5001,"&lt;&gt;"))))</f>
        <v/>
      </c>
      <c r="D157" s="43" t="str">
        <f>IF(OR($B157="",$A157&gt;$B$9,D$136=""),"",IF(COUNTIFS(BD!$B$3:$B$5001,D$136,BD!$A$3:$A$5001,"&gt;="&amp;$C$7,BD!$A$3:$A$5001,"&lt;="&amp;$B157,BD!$V$3:$V$5001,"&lt;&gt;")=0,"",SUMIFS(BD!$V$3:$V$5001,BD!$B$3:$B$5001,D$136,BD!$A$3:$A$5001,_xlfn.MAXIFS(BD!$A$3:$A$5001,BD!$B$3:$B$5001,D$136,BD!$A$3:$A$5001,"&gt;="&amp;$C$7,BD!$A$3:$A$5001,"&lt;="&amp;$B157,BD!$V$3:$V$5001,"&lt;&gt;"))))</f>
        <v/>
      </c>
      <c r="E157" s="43" t="str">
        <f>IF(OR($B157="",$A157&gt;$B$9,E$136=""),"",IF(COUNTIFS(BD!$B$3:$B$5001,E$136,BD!$A$3:$A$5001,"&gt;="&amp;$C$7,BD!$A$3:$A$5001,"&lt;="&amp;$B157,BD!$V$3:$V$5001,"&lt;&gt;")=0,"",SUMIFS(BD!$V$3:$V$5001,BD!$B$3:$B$5001,E$136,BD!$A$3:$A$5001,_xlfn.MAXIFS(BD!$A$3:$A$5001,BD!$B$3:$B$5001,E$136,BD!$A$3:$A$5001,"&gt;="&amp;$C$7,BD!$A$3:$A$5001,"&lt;="&amp;$B157,BD!$V$3:$V$5001,"&lt;&gt;"))))</f>
        <v/>
      </c>
      <c r="F157" s="43" t="str">
        <f>IF(OR($B157="",$A157&gt;$B$9,F$136=""),"",IF(COUNTIFS(BD!$B$3:$B$5001,F$136,BD!$A$3:$A$5001,"&gt;="&amp;$C$7,BD!$A$3:$A$5001,"&lt;="&amp;$B157,BD!$V$3:$V$5001,"&lt;&gt;")=0,"",SUMIFS(BD!$V$3:$V$5001,BD!$B$3:$B$5001,F$136,BD!$A$3:$A$5001,_xlfn.MAXIFS(BD!$A$3:$A$5001,BD!$B$3:$B$5001,F$136,BD!$A$3:$A$5001,"&gt;="&amp;$C$7,BD!$A$3:$A$5001,"&lt;="&amp;$B157,BD!$V$3:$V$5001,"&lt;&gt;"))))</f>
        <v/>
      </c>
      <c r="G157" s="43" t="str">
        <f>IF(OR($B157="",$A157&gt;$B$9,G$136=""),"",IF(COUNTIFS(BD!$B$3:$B$5001,G$136,BD!$A$3:$A$5001,"&gt;="&amp;$C$7,BD!$A$3:$A$5001,"&lt;="&amp;$B157,BD!$V$3:$V$5001,"&lt;&gt;")=0,"",SUMIFS(BD!$V$3:$V$5001,BD!$B$3:$B$5001,G$136,BD!$A$3:$A$5001,_xlfn.MAXIFS(BD!$A$3:$A$5001,BD!$B$3:$B$5001,G$136,BD!$A$3:$A$5001,"&gt;="&amp;$C$7,BD!$A$3:$A$5001,"&lt;="&amp;$B157,BD!$V$3:$V$5001,"&lt;&gt;"))))</f>
        <v/>
      </c>
      <c r="H157" s="43" t="str">
        <f>IF(OR($B157="",$A157&gt;$B$9,H$136=""),"",IF(COUNTIFS(BD!$B$3:$B$5001,H$136,BD!$A$3:$A$5001,"&gt;="&amp;$C$7,BD!$A$3:$A$5001,"&lt;="&amp;$B157,BD!$V$3:$V$5001,"&lt;&gt;")=0,"",SUMIFS(BD!$V$3:$V$5001,BD!$B$3:$B$5001,H$136,BD!$A$3:$A$5001,_xlfn.MAXIFS(BD!$A$3:$A$5001,BD!$B$3:$B$5001,H$136,BD!$A$3:$A$5001,"&gt;="&amp;$C$7,BD!$A$3:$A$5001,"&lt;="&amp;$B157,BD!$V$3:$V$5001,"&lt;&gt;"))))</f>
        <v/>
      </c>
      <c r="I157" s="43" t="str">
        <f>IF(OR($B157="",$A157&gt;$B$9,I$136=""),"",IF(COUNTIFS(BD!$B$3:$B$5001,I$136,BD!$A$3:$A$5001,"&gt;="&amp;$C$7,BD!$A$3:$A$5001,"&lt;="&amp;$B157,BD!$V$3:$V$5001,"&lt;&gt;")=0,"",SUMIFS(BD!$V$3:$V$5001,BD!$B$3:$B$5001,I$136,BD!$A$3:$A$5001,_xlfn.MAXIFS(BD!$A$3:$A$5001,BD!$B$3:$B$5001,I$136,BD!$A$3:$A$5001,"&gt;="&amp;$C$7,BD!$A$3:$A$5001,"&lt;="&amp;$B157,BD!$V$3:$V$5001,"&lt;&gt;"))))</f>
        <v/>
      </c>
      <c r="J157" s="43" t="str">
        <f>IF(OR($B157="",$A157&gt;$B$9,J$136=""),"",IF(COUNTIFS(BD!$B$3:$B$5001,J$136,BD!$A$3:$A$5001,"&gt;="&amp;$C$7,BD!$A$3:$A$5001,"&lt;="&amp;$B157,BD!$V$3:$V$5001,"&lt;&gt;")=0,"",SUMIFS(BD!$V$3:$V$5001,BD!$B$3:$B$5001,J$136,BD!$A$3:$A$5001,_xlfn.MAXIFS(BD!$A$3:$A$5001,BD!$B$3:$B$5001,J$136,BD!$A$3:$A$5001,"&gt;="&amp;$C$7,BD!$A$3:$A$5001,"&lt;="&amp;$B157,BD!$V$3:$V$5001,"&lt;&gt;"))))</f>
        <v/>
      </c>
      <c r="K157" s="43" t="str">
        <f>IF(OR($B157="",$A157&gt;$B$9,K$136=""),"",IF(COUNTIFS(BD!$B$3:$B$5001,K$136,BD!$A$3:$A$5001,"&gt;="&amp;$C$7,BD!$A$3:$A$5001,"&lt;="&amp;$B157,BD!$V$3:$V$5001,"&lt;&gt;")=0,"",SUMIFS(BD!$V$3:$V$5001,BD!$B$3:$B$5001,K$136,BD!$A$3:$A$5001,_xlfn.MAXIFS(BD!$A$3:$A$5001,BD!$B$3:$B$5001,K$136,BD!$A$3:$A$5001,"&gt;="&amp;$C$7,BD!$A$3:$A$5001,"&lt;="&amp;$B157,BD!$V$3:$V$5001,"&lt;&gt;"))))</f>
        <v/>
      </c>
      <c r="L157" s="43" t="str">
        <f>IF(OR($B157="",$A157&gt;$B$9,L$136=""),"",IF(COUNTIFS(BD!$B$3:$B$5001,L$136,BD!$A$3:$A$5001,"&gt;="&amp;$C$7,BD!$A$3:$A$5001,"&lt;="&amp;$B157,BD!$V$3:$V$5001,"&lt;&gt;")=0,"",SUMIFS(BD!$V$3:$V$5001,BD!$B$3:$B$5001,L$136,BD!$A$3:$A$5001,_xlfn.MAXIFS(BD!$A$3:$A$5001,BD!$B$3:$B$5001,L$136,BD!$A$3:$A$5001,"&gt;="&amp;$C$7,BD!$A$3:$A$5001,"&lt;="&amp;$B157,BD!$V$3:$V$5001,"&lt;&gt;"))))</f>
        <v/>
      </c>
      <c r="M157" s="43" t="str">
        <f>IF(OR($B157="",$A157&gt;$B$9,M$136=""),"",IF(COUNTIFS(BD!$B$3:$B$5001,M$136,BD!$A$3:$A$5001,"&gt;="&amp;$C$7,BD!$A$3:$A$5001,"&lt;="&amp;$B157,BD!$V$3:$V$5001,"&lt;&gt;")=0,"",SUMIFS(BD!$V$3:$V$5001,BD!$B$3:$B$5001,M$136,BD!$A$3:$A$5001,_xlfn.MAXIFS(BD!$A$3:$A$5001,BD!$B$3:$B$5001,M$136,BD!$A$3:$A$5001,"&gt;="&amp;$C$7,BD!$A$3:$A$5001,"&lt;="&amp;$B157,BD!$V$3:$V$5001,"&lt;&gt;"))))</f>
        <v/>
      </c>
      <c r="N157" s="43" t="str">
        <f>IF(OR($B157="",$A157&gt;$B$9,N$136=""),"",IF(COUNTIFS(BD!$B$3:$B$5001,N$136,BD!$A$3:$A$5001,"&gt;="&amp;$C$7,BD!$A$3:$A$5001,"&lt;="&amp;$B157,BD!$V$3:$V$5001,"&lt;&gt;")=0,"",SUMIFS(BD!$V$3:$V$5001,BD!$B$3:$B$5001,N$136,BD!$A$3:$A$5001,_xlfn.MAXIFS(BD!$A$3:$A$5001,BD!$B$3:$B$5001,N$136,BD!$A$3:$A$5001,"&gt;="&amp;$C$7,BD!$A$3:$A$5001,"&lt;="&amp;$B157,BD!$V$3:$V$5001,"&lt;&gt;"))))</f>
        <v/>
      </c>
      <c r="O157" s="43" t="str">
        <f>IF(OR($B157="",$A157&gt;$B$9,O$136=""),"",IF(COUNTIFS(BD!$B$3:$B$5001,O$136,BD!$A$3:$A$5001,"&gt;="&amp;$C$7,BD!$A$3:$A$5001,"&lt;="&amp;$B157,BD!$V$3:$V$5001,"&lt;&gt;")=0,"",SUMIFS(BD!$V$3:$V$5001,BD!$B$3:$B$5001,O$136,BD!$A$3:$A$5001,_xlfn.MAXIFS(BD!$A$3:$A$5001,BD!$B$3:$B$5001,O$136,BD!$A$3:$A$5001,"&gt;="&amp;$C$7,BD!$A$3:$A$5001,"&lt;="&amp;$B157,BD!$V$3:$V$5001,"&lt;&gt;"))))</f>
        <v/>
      </c>
      <c r="P157" s="43" t="str">
        <f>IF(OR($B157="",$A157&gt;$B$9,P$136=""),"",IF(COUNTIFS(BD!$B$3:$B$5001,P$136,BD!$A$3:$A$5001,"&gt;="&amp;$C$7,BD!$A$3:$A$5001,"&lt;="&amp;$B157,BD!$V$3:$V$5001,"&lt;&gt;")=0,"",SUMIFS(BD!$V$3:$V$5001,BD!$B$3:$B$5001,P$136,BD!$A$3:$A$5001,_xlfn.MAXIFS(BD!$A$3:$A$5001,BD!$B$3:$B$5001,P$136,BD!$A$3:$A$5001,"&gt;="&amp;$C$7,BD!$A$3:$A$5001,"&lt;="&amp;$B157,BD!$V$3:$V$5001,"&lt;&gt;"))))</f>
        <v/>
      </c>
      <c r="Q157" s="43" t="str">
        <f>IF(OR($B157="",$A157&gt;$B$9,Q$136=""),"",IF(COUNTIFS(BD!$B$3:$B$5001,Q$136,BD!$A$3:$A$5001,"&gt;="&amp;$C$7,BD!$A$3:$A$5001,"&lt;="&amp;$B157,BD!$V$3:$V$5001,"&lt;&gt;")=0,"",SUMIFS(BD!$V$3:$V$5001,BD!$B$3:$B$5001,Q$136,BD!$A$3:$A$5001,_xlfn.MAXIFS(BD!$A$3:$A$5001,BD!$B$3:$B$5001,Q$136,BD!$A$3:$A$5001,"&gt;="&amp;$C$7,BD!$A$3:$A$5001,"&lt;="&amp;$B157,BD!$V$3:$V$5001,"&lt;&gt;"))))</f>
        <v/>
      </c>
      <c r="R157" s="43" t="str">
        <f>IF(OR($B157="",$A157&gt;$B$9,R$136=""),"",IF(COUNTIFS(BD!$B$3:$B$5001,R$136,BD!$A$3:$A$5001,"&gt;="&amp;$C$7,BD!$A$3:$A$5001,"&lt;="&amp;$B157,BD!$V$3:$V$5001,"&lt;&gt;")=0,"",SUMIFS(BD!$V$3:$V$5001,BD!$B$3:$B$5001,R$136,BD!$A$3:$A$5001,_xlfn.MAXIFS(BD!$A$3:$A$5001,BD!$B$3:$B$5001,R$136,BD!$A$3:$A$5001,"&gt;="&amp;$C$7,BD!$A$3:$A$5001,"&lt;="&amp;$B157,BD!$V$3:$V$5001,"&lt;&gt;"))))</f>
        <v/>
      </c>
      <c r="S157" s="43" t="str">
        <f>IF(OR($B157="",$A157&gt;$B$9,S$136=""),"",IF(COUNTIFS(BD!$B$3:$B$5001,S$136,BD!$A$3:$A$5001,"&gt;="&amp;$C$7,BD!$A$3:$A$5001,"&lt;="&amp;$B157,BD!$V$3:$V$5001,"&lt;&gt;")=0,"",SUMIFS(BD!$V$3:$V$5001,BD!$B$3:$B$5001,S$136,BD!$A$3:$A$5001,_xlfn.MAXIFS(BD!$A$3:$A$5001,BD!$B$3:$B$5001,S$136,BD!$A$3:$A$5001,"&gt;="&amp;$C$7,BD!$A$3:$A$5001,"&lt;="&amp;$B157,BD!$V$3:$V$5001,"&lt;&gt;"))))</f>
        <v/>
      </c>
      <c r="T157" s="43" t="str">
        <f>IF(OR($B157="",$A157&gt;$B$9,T$136=""),"",IF(COUNTIFS(BD!$B$3:$B$5001,T$136,BD!$A$3:$A$5001,"&gt;="&amp;$C$7,BD!$A$3:$A$5001,"&lt;="&amp;$B157,BD!$V$3:$V$5001,"&lt;&gt;")=0,"",SUMIFS(BD!$V$3:$V$5001,BD!$B$3:$B$5001,T$136,BD!$A$3:$A$5001,_xlfn.MAXIFS(BD!$A$3:$A$5001,BD!$B$3:$B$5001,T$136,BD!$A$3:$A$5001,"&gt;="&amp;$C$7,BD!$A$3:$A$5001,"&lt;="&amp;$B157,BD!$V$3:$V$5001,"&lt;&gt;"))))</f>
        <v/>
      </c>
      <c r="U157" s="43" t="str">
        <f>IF(OR($B157="",$A157&gt;$B$9,U$136=""),"",IF(COUNTIFS(BD!$B$3:$B$5001,U$136,BD!$A$3:$A$5001,"&gt;="&amp;$C$7,BD!$A$3:$A$5001,"&lt;="&amp;$B157,BD!$V$3:$V$5001,"&lt;&gt;")=0,"",SUMIFS(BD!$V$3:$V$5001,BD!$B$3:$B$5001,U$136,BD!$A$3:$A$5001,_xlfn.MAXIFS(BD!$A$3:$A$5001,BD!$B$3:$B$5001,U$136,BD!$A$3:$A$5001,"&gt;="&amp;$C$7,BD!$A$3:$A$5001,"&lt;="&amp;$B157,BD!$V$3:$V$5001,"&lt;&gt;"))))</f>
        <v/>
      </c>
      <c r="V157" s="43" t="str">
        <f>IF(OR($B157="",$A157&gt;$B$9,V$136=""),"",IF(COUNTIFS(BD!$B$3:$B$5001,V$136,BD!$A$3:$A$5001,"&gt;="&amp;$C$7,BD!$A$3:$A$5001,"&lt;="&amp;$B157,BD!$V$3:$V$5001,"&lt;&gt;")=0,"",SUMIFS(BD!$V$3:$V$5001,BD!$B$3:$B$5001,V$136,BD!$A$3:$A$5001,_xlfn.MAXIFS(BD!$A$3:$A$5001,BD!$B$3:$B$5001,V$136,BD!$A$3:$A$5001,"&gt;="&amp;$C$7,BD!$A$3:$A$5001,"&lt;="&amp;$B157,BD!$V$3:$V$5001,"&lt;&gt;"))))</f>
        <v/>
      </c>
    </row>
    <row r="158">
      <c r="A158" s="38">
        <v>22</v>
      </c>
      <c r="B158" s="42">
        <f>$B$33</f>
        <v>46317</v>
      </c>
      <c r="C158" s="43" t="str">
        <f>IF(OR($B158="",$A158&gt;$B$9,C$136=""),"",IF(COUNTIFS(BD!$B$3:$B$5001,C$136,BD!$A$3:$A$5001,"&gt;="&amp;$C$7,BD!$A$3:$A$5001,"&lt;="&amp;$B158,BD!$V$3:$V$5001,"&lt;&gt;")=0,"",SUMIFS(BD!$V$3:$V$5001,BD!$B$3:$B$5001,C$136,BD!$A$3:$A$5001,_xlfn.MAXIFS(BD!$A$3:$A$5001,BD!$B$3:$B$5001,C$136,BD!$A$3:$A$5001,"&gt;="&amp;$C$7,BD!$A$3:$A$5001,"&lt;="&amp;$B158,BD!$V$3:$V$5001,"&lt;&gt;"))))</f>
        <v/>
      </c>
      <c r="D158" s="43" t="str">
        <f>IF(OR($B158="",$A158&gt;$B$9,D$136=""),"",IF(COUNTIFS(BD!$B$3:$B$5001,D$136,BD!$A$3:$A$5001,"&gt;="&amp;$C$7,BD!$A$3:$A$5001,"&lt;="&amp;$B158,BD!$V$3:$V$5001,"&lt;&gt;")=0,"",SUMIFS(BD!$V$3:$V$5001,BD!$B$3:$B$5001,D$136,BD!$A$3:$A$5001,_xlfn.MAXIFS(BD!$A$3:$A$5001,BD!$B$3:$B$5001,D$136,BD!$A$3:$A$5001,"&gt;="&amp;$C$7,BD!$A$3:$A$5001,"&lt;="&amp;$B158,BD!$V$3:$V$5001,"&lt;&gt;"))))</f>
        <v/>
      </c>
      <c r="E158" s="43" t="str">
        <f>IF(OR($B158="",$A158&gt;$B$9,E$136=""),"",IF(COUNTIFS(BD!$B$3:$B$5001,E$136,BD!$A$3:$A$5001,"&gt;="&amp;$C$7,BD!$A$3:$A$5001,"&lt;="&amp;$B158,BD!$V$3:$V$5001,"&lt;&gt;")=0,"",SUMIFS(BD!$V$3:$V$5001,BD!$B$3:$B$5001,E$136,BD!$A$3:$A$5001,_xlfn.MAXIFS(BD!$A$3:$A$5001,BD!$B$3:$B$5001,E$136,BD!$A$3:$A$5001,"&gt;="&amp;$C$7,BD!$A$3:$A$5001,"&lt;="&amp;$B158,BD!$V$3:$V$5001,"&lt;&gt;"))))</f>
        <v/>
      </c>
      <c r="F158" s="43" t="str">
        <f>IF(OR($B158="",$A158&gt;$B$9,F$136=""),"",IF(COUNTIFS(BD!$B$3:$B$5001,F$136,BD!$A$3:$A$5001,"&gt;="&amp;$C$7,BD!$A$3:$A$5001,"&lt;="&amp;$B158,BD!$V$3:$V$5001,"&lt;&gt;")=0,"",SUMIFS(BD!$V$3:$V$5001,BD!$B$3:$B$5001,F$136,BD!$A$3:$A$5001,_xlfn.MAXIFS(BD!$A$3:$A$5001,BD!$B$3:$B$5001,F$136,BD!$A$3:$A$5001,"&gt;="&amp;$C$7,BD!$A$3:$A$5001,"&lt;="&amp;$B158,BD!$V$3:$V$5001,"&lt;&gt;"))))</f>
        <v/>
      </c>
      <c r="G158" s="43" t="str">
        <f>IF(OR($B158="",$A158&gt;$B$9,G$136=""),"",IF(COUNTIFS(BD!$B$3:$B$5001,G$136,BD!$A$3:$A$5001,"&gt;="&amp;$C$7,BD!$A$3:$A$5001,"&lt;="&amp;$B158,BD!$V$3:$V$5001,"&lt;&gt;")=0,"",SUMIFS(BD!$V$3:$V$5001,BD!$B$3:$B$5001,G$136,BD!$A$3:$A$5001,_xlfn.MAXIFS(BD!$A$3:$A$5001,BD!$B$3:$B$5001,G$136,BD!$A$3:$A$5001,"&gt;="&amp;$C$7,BD!$A$3:$A$5001,"&lt;="&amp;$B158,BD!$V$3:$V$5001,"&lt;&gt;"))))</f>
        <v/>
      </c>
      <c r="H158" s="43" t="str">
        <f>IF(OR($B158="",$A158&gt;$B$9,H$136=""),"",IF(COUNTIFS(BD!$B$3:$B$5001,H$136,BD!$A$3:$A$5001,"&gt;="&amp;$C$7,BD!$A$3:$A$5001,"&lt;="&amp;$B158,BD!$V$3:$V$5001,"&lt;&gt;")=0,"",SUMIFS(BD!$V$3:$V$5001,BD!$B$3:$B$5001,H$136,BD!$A$3:$A$5001,_xlfn.MAXIFS(BD!$A$3:$A$5001,BD!$B$3:$B$5001,H$136,BD!$A$3:$A$5001,"&gt;="&amp;$C$7,BD!$A$3:$A$5001,"&lt;="&amp;$B158,BD!$V$3:$V$5001,"&lt;&gt;"))))</f>
        <v/>
      </c>
      <c r="I158" s="43" t="str">
        <f>IF(OR($B158="",$A158&gt;$B$9,I$136=""),"",IF(COUNTIFS(BD!$B$3:$B$5001,I$136,BD!$A$3:$A$5001,"&gt;="&amp;$C$7,BD!$A$3:$A$5001,"&lt;="&amp;$B158,BD!$V$3:$V$5001,"&lt;&gt;")=0,"",SUMIFS(BD!$V$3:$V$5001,BD!$B$3:$B$5001,I$136,BD!$A$3:$A$5001,_xlfn.MAXIFS(BD!$A$3:$A$5001,BD!$B$3:$B$5001,I$136,BD!$A$3:$A$5001,"&gt;="&amp;$C$7,BD!$A$3:$A$5001,"&lt;="&amp;$B158,BD!$V$3:$V$5001,"&lt;&gt;"))))</f>
        <v/>
      </c>
      <c r="J158" s="43" t="str">
        <f>IF(OR($B158="",$A158&gt;$B$9,J$136=""),"",IF(COUNTIFS(BD!$B$3:$B$5001,J$136,BD!$A$3:$A$5001,"&gt;="&amp;$C$7,BD!$A$3:$A$5001,"&lt;="&amp;$B158,BD!$V$3:$V$5001,"&lt;&gt;")=0,"",SUMIFS(BD!$V$3:$V$5001,BD!$B$3:$B$5001,J$136,BD!$A$3:$A$5001,_xlfn.MAXIFS(BD!$A$3:$A$5001,BD!$B$3:$B$5001,J$136,BD!$A$3:$A$5001,"&gt;="&amp;$C$7,BD!$A$3:$A$5001,"&lt;="&amp;$B158,BD!$V$3:$V$5001,"&lt;&gt;"))))</f>
        <v/>
      </c>
      <c r="K158" s="43" t="str">
        <f>IF(OR($B158="",$A158&gt;$B$9,K$136=""),"",IF(COUNTIFS(BD!$B$3:$B$5001,K$136,BD!$A$3:$A$5001,"&gt;="&amp;$C$7,BD!$A$3:$A$5001,"&lt;="&amp;$B158,BD!$V$3:$V$5001,"&lt;&gt;")=0,"",SUMIFS(BD!$V$3:$V$5001,BD!$B$3:$B$5001,K$136,BD!$A$3:$A$5001,_xlfn.MAXIFS(BD!$A$3:$A$5001,BD!$B$3:$B$5001,K$136,BD!$A$3:$A$5001,"&gt;="&amp;$C$7,BD!$A$3:$A$5001,"&lt;="&amp;$B158,BD!$V$3:$V$5001,"&lt;&gt;"))))</f>
        <v/>
      </c>
      <c r="L158" s="43" t="str">
        <f>IF(OR($B158="",$A158&gt;$B$9,L$136=""),"",IF(COUNTIFS(BD!$B$3:$B$5001,L$136,BD!$A$3:$A$5001,"&gt;="&amp;$C$7,BD!$A$3:$A$5001,"&lt;="&amp;$B158,BD!$V$3:$V$5001,"&lt;&gt;")=0,"",SUMIFS(BD!$V$3:$V$5001,BD!$B$3:$B$5001,L$136,BD!$A$3:$A$5001,_xlfn.MAXIFS(BD!$A$3:$A$5001,BD!$B$3:$B$5001,L$136,BD!$A$3:$A$5001,"&gt;="&amp;$C$7,BD!$A$3:$A$5001,"&lt;="&amp;$B158,BD!$V$3:$V$5001,"&lt;&gt;"))))</f>
        <v/>
      </c>
      <c r="M158" s="43" t="str">
        <f>IF(OR($B158="",$A158&gt;$B$9,M$136=""),"",IF(COUNTIFS(BD!$B$3:$B$5001,M$136,BD!$A$3:$A$5001,"&gt;="&amp;$C$7,BD!$A$3:$A$5001,"&lt;="&amp;$B158,BD!$V$3:$V$5001,"&lt;&gt;")=0,"",SUMIFS(BD!$V$3:$V$5001,BD!$B$3:$B$5001,M$136,BD!$A$3:$A$5001,_xlfn.MAXIFS(BD!$A$3:$A$5001,BD!$B$3:$B$5001,M$136,BD!$A$3:$A$5001,"&gt;="&amp;$C$7,BD!$A$3:$A$5001,"&lt;="&amp;$B158,BD!$V$3:$V$5001,"&lt;&gt;"))))</f>
        <v/>
      </c>
      <c r="N158" s="43" t="str">
        <f>IF(OR($B158="",$A158&gt;$B$9,N$136=""),"",IF(COUNTIFS(BD!$B$3:$B$5001,N$136,BD!$A$3:$A$5001,"&gt;="&amp;$C$7,BD!$A$3:$A$5001,"&lt;="&amp;$B158,BD!$V$3:$V$5001,"&lt;&gt;")=0,"",SUMIFS(BD!$V$3:$V$5001,BD!$B$3:$B$5001,N$136,BD!$A$3:$A$5001,_xlfn.MAXIFS(BD!$A$3:$A$5001,BD!$B$3:$B$5001,N$136,BD!$A$3:$A$5001,"&gt;="&amp;$C$7,BD!$A$3:$A$5001,"&lt;="&amp;$B158,BD!$V$3:$V$5001,"&lt;&gt;"))))</f>
        <v/>
      </c>
      <c r="O158" s="43" t="str">
        <f>IF(OR($B158="",$A158&gt;$B$9,O$136=""),"",IF(COUNTIFS(BD!$B$3:$B$5001,O$136,BD!$A$3:$A$5001,"&gt;="&amp;$C$7,BD!$A$3:$A$5001,"&lt;="&amp;$B158,BD!$V$3:$V$5001,"&lt;&gt;")=0,"",SUMIFS(BD!$V$3:$V$5001,BD!$B$3:$B$5001,O$136,BD!$A$3:$A$5001,_xlfn.MAXIFS(BD!$A$3:$A$5001,BD!$B$3:$B$5001,O$136,BD!$A$3:$A$5001,"&gt;="&amp;$C$7,BD!$A$3:$A$5001,"&lt;="&amp;$B158,BD!$V$3:$V$5001,"&lt;&gt;"))))</f>
        <v/>
      </c>
      <c r="P158" s="43" t="str">
        <f>IF(OR($B158="",$A158&gt;$B$9,P$136=""),"",IF(COUNTIFS(BD!$B$3:$B$5001,P$136,BD!$A$3:$A$5001,"&gt;="&amp;$C$7,BD!$A$3:$A$5001,"&lt;="&amp;$B158,BD!$V$3:$V$5001,"&lt;&gt;")=0,"",SUMIFS(BD!$V$3:$V$5001,BD!$B$3:$B$5001,P$136,BD!$A$3:$A$5001,_xlfn.MAXIFS(BD!$A$3:$A$5001,BD!$B$3:$B$5001,P$136,BD!$A$3:$A$5001,"&gt;="&amp;$C$7,BD!$A$3:$A$5001,"&lt;="&amp;$B158,BD!$V$3:$V$5001,"&lt;&gt;"))))</f>
        <v/>
      </c>
      <c r="Q158" s="43" t="str">
        <f>IF(OR($B158="",$A158&gt;$B$9,Q$136=""),"",IF(COUNTIFS(BD!$B$3:$B$5001,Q$136,BD!$A$3:$A$5001,"&gt;="&amp;$C$7,BD!$A$3:$A$5001,"&lt;="&amp;$B158,BD!$V$3:$V$5001,"&lt;&gt;")=0,"",SUMIFS(BD!$V$3:$V$5001,BD!$B$3:$B$5001,Q$136,BD!$A$3:$A$5001,_xlfn.MAXIFS(BD!$A$3:$A$5001,BD!$B$3:$B$5001,Q$136,BD!$A$3:$A$5001,"&gt;="&amp;$C$7,BD!$A$3:$A$5001,"&lt;="&amp;$B158,BD!$V$3:$V$5001,"&lt;&gt;"))))</f>
        <v/>
      </c>
      <c r="R158" s="43" t="str">
        <f>IF(OR($B158="",$A158&gt;$B$9,R$136=""),"",IF(COUNTIFS(BD!$B$3:$B$5001,R$136,BD!$A$3:$A$5001,"&gt;="&amp;$C$7,BD!$A$3:$A$5001,"&lt;="&amp;$B158,BD!$V$3:$V$5001,"&lt;&gt;")=0,"",SUMIFS(BD!$V$3:$V$5001,BD!$B$3:$B$5001,R$136,BD!$A$3:$A$5001,_xlfn.MAXIFS(BD!$A$3:$A$5001,BD!$B$3:$B$5001,R$136,BD!$A$3:$A$5001,"&gt;="&amp;$C$7,BD!$A$3:$A$5001,"&lt;="&amp;$B158,BD!$V$3:$V$5001,"&lt;&gt;"))))</f>
        <v/>
      </c>
      <c r="S158" s="43" t="str">
        <f>IF(OR($B158="",$A158&gt;$B$9,S$136=""),"",IF(COUNTIFS(BD!$B$3:$B$5001,S$136,BD!$A$3:$A$5001,"&gt;="&amp;$C$7,BD!$A$3:$A$5001,"&lt;="&amp;$B158,BD!$V$3:$V$5001,"&lt;&gt;")=0,"",SUMIFS(BD!$V$3:$V$5001,BD!$B$3:$B$5001,S$136,BD!$A$3:$A$5001,_xlfn.MAXIFS(BD!$A$3:$A$5001,BD!$B$3:$B$5001,S$136,BD!$A$3:$A$5001,"&gt;="&amp;$C$7,BD!$A$3:$A$5001,"&lt;="&amp;$B158,BD!$V$3:$V$5001,"&lt;&gt;"))))</f>
        <v/>
      </c>
      <c r="T158" s="43" t="str">
        <f>IF(OR($B158="",$A158&gt;$B$9,T$136=""),"",IF(COUNTIFS(BD!$B$3:$B$5001,T$136,BD!$A$3:$A$5001,"&gt;="&amp;$C$7,BD!$A$3:$A$5001,"&lt;="&amp;$B158,BD!$V$3:$V$5001,"&lt;&gt;")=0,"",SUMIFS(BD!$V$3:$V$5001,BD!$B$3:$B$5001,T$136,BD!$A$3:$A$5001,_xlfn.MAXIFS(BD!$A$3:$A$5001,BD!$B$3:$B$5001,T$136,BD!$A$3:$A$5001,"&gt;="&amp;$C$7,BD!$A$3:$A$5001,"&lt;="&amp;$B158,BD!$V$3:$V$5001,"&lt;&gt;"))))</f>
        <v/>
      </c>
      <c r="U158" s="43" t="str">
        <f>IF(OR($B158="",$A158&gt;$B$9,U$136=""),"",IF(COUNTIFS(BD!$B$3:$B$5001,U$136,BD!$A$3:$A$5001,"&gt;="&amp;$C$7,BD!$A$3:$A$5001,"&lt;="&amp;$B158,BD!$V$3:$V$5001,"&lt;&gt;")=0,"",SUMIFS(BD!$V$3:$V$5001,BD!$B$3:$B$5001,U$136,BD!$A$3:$A$5001,_xlfn.MAXIFS(BD!$A$3:$A$5001,BD!$B$3:$B$5001,U$136,BD!$A$3:$A$5001,"&gt;="&amp;$C$7,BD!$A$3:$A$5001,"&lt;="&amp;$B158,BD!$V$3:$V$5001,"&lt;&gt;"))))</f>
        <v/>
      </c>
      <c r="V158" s="43" t="str">
        <f>IF(OR($B158="",$A158&gt;$B$9,V$136=""),"",IF(COUNTIFS(BD!$B$3:$B$5001,V$136,BD!$A$3:$A$5001,"&gt;="&amp;$C$7,BD!$A$3:$A$5001,"&lt;="&amp;$B158,BD!$V$3:$V$5001,"&lt;&gt;")=0,"",SUMIFS(BD!$V$3:$V$5001,BD!$B$3:$B$5001,V$136,BD!$A$3:$A$5001,_xlfn.MAXIFS(BD!$A$3:$A$5001,BD!$B$3:$B$5001,V$136,BD!$A$3:$A$5001,"&gt;="&amp;$C$7,BD!$A$3:$A$5001,"&lt;="&amp;$B158,BD!$V$3:$V$5001,"&lt;&gt;"))))</f>
        <v/>
      </c>
    </row>
    <row r="159">
      <c r="A159" s="38">
        <v>23</v>
      </c>
      <c r="B159" s="42">
        <f>$B$34</f>
        <v>46318</v>
      </c>
      <c r="C159" s="43" t="str">
        <f>IF(OR($B159="",$A159&gt;$B$9,C$136=""),"",IF(COUNTIFS(BD!$B$3:$B$5001,C$136,BD!$A$3:$A$5001,"&gt;="&amp;$C$7,BD!$A$3:$A$5001,"&lt;="&amp;$B159,BD!$V$3:$V$5001,"&lt;&gt;")=0,"",SUMIFS(BD!$V$3:$V$5001,BD!$B$3:$B$5001,C$136,BD!$A$3:$A$5001,_xlfn.MAXIFS(BD!$A$3:$A$5001,BD!$B$3:$B$5001,C$136,BD!$A$3:$A$5001,"&gt;="&amp;$C$7,BD!$A$3:$A$5001,"&lt;="&amp;$B159,BD!$V$3:$V$5001,"&lt;&gt;"))))</f>
        <v/>
      </c>
      <c r="D159" s="43" t="str">
        <f>IF(OR($B159="",$A159&gt;$B$9,D$136=""),"",IF(COUNTIFS(BD!$B$3:$B$5001,D$136,BD!$A$3:$A$5001,"&gt;="&amp;$C$7,BD!$A$3:$A$5001,"&lt;="&amp;$B159,BD!$V$3:$V$5001,"&lt;&gt;")=0,"",SUMIFS(BD!$V$3:$V$5001,BD!$B$3:$B$5001,D$136,BD!$A$3:$A$5001,_xlfn.MAXIFS(BD!$A$3:$A$5001,BD!$B$3:$B$5001,D$136,BD!$A$3:$A$5001,"&gt;="&amp;$C$7,BD!$A$3:$A$5001,"&lt;="&amp;$B159,BD!$V$3:$V$5001,"&lt;&gt;"))))</f>
        <v/>
      </c>
      <c r="E159" s="43" t="str">
        <f>IF(OR($B159="",$A159&gt;$B$9,E$136=""),"",IF(COUNTIFS(BD!$B$3:$B$5001,E$136,BD!$A$3:$A$5001,"&gt;="&amp;$C$7,BD!$A$3:$A$5001,"&lt;="&amp;$B159,BD!$V$3:$V$5001,"&lt;&gt;")=0,"",SUMIFS(BD!$V$3:$V$5001,BD!$B$3:$B$5001,E$136,BD!$A$3:$A$5001,_xlfn.MAXIFS(BD!$A$3:$A$5001,BD!$B$3:$B$5001,E$136,BD!$A$3:$A$5001,"&gt;="&amp;$C$7,BD!$A$3:$A$5001,"&lt;="&amp;$B159,BD!$V$3:$V$5001,"&lt;&gt;"))))</f>
        <v/>
      </c>
      <c r="F159" s="43" t="str">
        <f>IF(OR($B159="",$A159&gt;$B$9,F$136=""),"",IF(COUNTIFS(BD!$B$3:$B$5001,F$136,BD!$A$3:$A$5001,"&gt;="&amp;$C$7,BD!$A$3:$A$5001,"&lt;="&amp;$B159,BD!$V$3:$V$5001,"&lt;&gt;")=0,"",SUMIFS(BD!$V$3:$V$5001,BD!$B$3:$B$5001,F$136,BD!$A$3:$A$5001,_xlfn.MAXIFS(BD!$A$3:$A$5001,BD!$B$3:$B$5001,F$136,BD!$A$3:$A$5001,"&gt;="&amp;$C$7,BD!$A$3:$A$5001,"&lt;="&amp;$B159,BD!$V$3:$V$5001,"&lt;&gt;"))))</f>
        <v/>
      </c>
      <c r="G159" s="43" t="str">
        <f>IF(OR($B159="",$A159&gt;$B$9,G$136=""),"",IF(COUNTIFS(BD!$B$3:$B$5001,G$136,BD!$A$3:$A$5001,"&gt;="&amp;$C$7,BD!$A$3:$A$5001,"&lt;="&amp;$B159,BD!$V$3:$V$5001,"&lt;&gt;")=0,"",SUMIFS(BD!$V$3:$V$5001,BD!$B$3:$B$5001,G$136,BD!$A$3:$A$5001,_xlfn.MAXIFS(BD!$A$3:$A$5001,BD!$B$3:$B$5001,G$136,BD!$A$3:$A$5001,"&gt;="&amp;$C$7,BD!$A$3:$A$5001,"&lt;="&amp;$B159,BD!$V$3:$V$5001,"&lt;&gt;"))))</f>
        <v/>
      </c>
      <c r="H159" s="43" t="str">
        <f>IF(OR($B159="",$A159&gt;$B$9,H$136=""),"",IF(COUNTIFS(BD!$B$3:$B$5001,H$136,BD!$A$3:$A$5001,"&gt;="&amp;$C$7,BD!$A$3:$A$5001,"&lt;="&amp;$B159,BD!$V$3:$V$5001,"&lt;&gt;")=0,"",SUMIFS(BD!$V$3:$V$5001,BD!$B$3:$B$5001,H$136,BD!$A$3:$A$5001,_xlfn.MAXIFS(BD!$A$3:$A$5001,BD!$B$3:$B$5001,H$136,BD!$A$3:$A$5001,"&gt;="&amp;$C$7,BD!$A$3:$A$5001,"&lt;="&amp;$B159,BD!$V$3:$V$5001,"&lt;&gt;"))))</f>
        <v/>
      </c>
      <c r="I159" s="43" t="str">
        <f>IF(OR($B159="",$A159&gt;$B$9,I$136=""),"",IF(COUNTIFS(BD!$B$3:$B$5001,I$136,BD!$A$3:$A$5001,"&gt;="&amp;$C$7,BD!$A$3:$A$5001,"&lt;="&amp;$B159,BD!$V$3:$V$5001,"&lt;&gt;")=0,"",SUMIFS(BD!$V$3:$V$5001,BD!$B$3:$B$5001,I$136,BD!$A$3:$A$5001,_xlfn.MAXIFS(BD!$A$3:$A$5001,BD!$B$3:$B$5001,I$136,BD!$A$3:$A$5001,"&gt;="&amp;$C$7,BD!$A$3:$A$5001,"&lt;="&amp;$B159,BD!$V$3:$V$5001,"&lt;&gt;"))))</f>
        <v/>
      </c>
      <c r="J159" s="43" t="str">
        <f>IF(OR($B159="",$A159&gt;$B$9,J$136=""),"",IF(COUNTIFS(BD!$B$3:$B$5001,J$136,BD!$A$3:$A$5001,"&gt;="&amp;$C$7,BD!$A$3:$A$5001,"&lt;="&amp;$B159,BD!$V$3:$V$5001,"&lt;&gt;")=0,"",SUMIFS(BD!$V$3:$V$5001,BD!$B$3:$B$5001,J$136,BD!$A$3:$A$5001,_xlfn.MAXIFS(BD!$A$3:$A$5001,BD!$B$3:$B$5001,J$136,BD!$A$3:$A$5001,"&gt;="&amp;$C$7,BD!$A$3:$A$5001,"&lt;="&amp;$B159,BD!$V$3:$V$5001,"&lt;&gt;"))))</f>
        <v/>
      </c>
      <c r="K159" s="43" t="str">
        <f>IF(OR($B159="",$A159&gt;$B$9,K$136=""),"",IF(COUNTIFS(BD!$B$3:$B$5001,K$136,BD!$A$3:$A$5001,"&gt;="&amp;$C$7,BD!$A$3:$A$5001,"&lt;="&amp;$B159,BD!$V$3:$V$5001,"&lt;&gt;")=0,"",SUMIFS(BD!$V$3:$V$5001,BD!$B$3:$B$5001,K$136,BD!$A$3:$A$5001,_xlfn.MAXIFS(BD!$A$3:$A$5001,BD!$B$3:$B$5001,K$136,BD!$A$3:$A$5001,"&gt;="&amp;$C$7,BD!$A$3:$A$5001,"&lt;="&amp;$B159,BD!$V$3:$V$5001,"&lt;&gt;"))))</f>
        <v/>
      </c>
      <c r="L159" s="43" t="str">
        <f>IF(OR($B159="",$A159&gt;$B$9,L$136=""),"",IF(COUNTIFS(BD!$B$3:$B$5001,L$136,BD!$A$3:$A$5001,"&gt;="&amp;$C$7,BD!$A$3:$A$5001,"&lt;="&amp;$B159,BD!$V$3:$V$5001,"&lt;&gt;")=0,"",SUMIFS(BD!$V$3:$V$5001,BD!$B$3:$B$5001,L$136,BD!$A$3:$A$5001,_xlfn.MAXIFS(BD!$A$3:$A$5001,BD!$B$3:$B$5001,L$136,BD!$A$3:$A$5001,"&gt;="&amp;$C$7,BD!$A$3:$A$5001,"&lt;="&amp;$B159,BD!$V$3:$V$5001,"&lt;&gt;"))))</f>
        <v/>
      </c>
      <c r="M159" s="43" t="str">
        <f>IF(OR($B159="",$A159&gt;$B$9,M$136=""),"",IF(COUNTIFS(BD!$B$3:$B$5001,M$136,BD!$A$3:$A$5001,"&gt;="&amp;$C$7,BD!$A$3:$A$5001,"&lt;="&amp;$B159,BD!$V$3:$V$5001,"&lt;&gt;")=0,"",SUMIFS(BD!$V$3:$V$5001,BD!$B$3:$B$5001,M$136,BD!$A$3:$A$5001,_xlfn.MAXIFS(BD!$A$3:$A$5001,BD!$B$3:$B$5001,M$136,BD!$A$3:$A$5001,"&gt;="&amp;$C$7,BD!$A$3:$A$5001,"&lt;="&amp;$B159,BD!$V$3:$V$5001,"&lt;&gt;"))))</f>
        <v/>
      </c>
      <c r="N159" s="43" t="str">
        <f>IF(OR($B159="",$A159&gt;$B$9,N$136=""),"",IF(COUNTIFS(BD!$B$3:$B$5001,N$136,BD!$A$3:$A$5001,"&gt;="&amp;$C$7,BD!$A$3:$A$5001,"&lt;="&amp;$B159,BD!$V$3:$V$5001,"&lt;&gt;")=0,"",SUMIFS(BD!$V$3:$V$5001,BD!$B$3:$B$5001,N$136,BD!$A$3:$A$5001,_xlfn.MAXIFS(BD!$A$3:$A$5001,BD!$B$3:$B$5001,N$136,BD!$A$3:$A$5001,"&gt;="&amp;$C$7,BD!$A$3:$A$5001,"&lt;="&amp;$B159,BD!$V$3:$V$5001,"&lt;&gt;"))))</f>
        <v/>
      </c>
      <c r="O159" s="43" t="str">
        <f>IF(OR($B159="",$A159&gt;$B$9,O$136=""),"",IF(COUNTIFS(BD!$B$3:$B$5001,O$136,BD!$A$3:$A$5001,"&gt;="&amp;$C$7,BD!$A$3:$A$5001,"&lt;="&amp;$B159,BD!$V$3:$V$5001,"&lt;&gt;")=0,"",SUMIFS(BD!$V$3:$V$5001,BD!$B$3:$B$5001,O$136,BD!$A$3:$A$5001,_xlfn.MAXIFS(BD!$A$3:$A$5001,BD!$B$3:$B$5001,O$136,BD!$A$3:$A$5001,"&gt;="&amp;$C$7,BD!$A$3:$A$5001,"&lt;="&amp;$B159,BD!$V$3:$V$5001,"&lt;&gt;"))))</f>
        <v/>
      </c>
      <c r="P159" s="43" t="str">
        <f>IF(OR($B159="",$A159&gt;$B$9,P$136=""),"",IF(COUNTIFS(BD!$B$3:$B$5001,P$136,BD!$A$3:$A$5001,"&gt;="&amp;$C$7,BD!$A$3:$A$5001,"&lt;="&amp;$B159,BD!$V$3:$V$5001,"&lt;&gt;")=0,"",SUMIFS(BD!$V$3:$V$5001,BD!$B$3:$B$5001,P$136,BD!$A$3:$A$5001,_xlfn.MAXIFS(BD!$A$3:$A$5001,BD!$B$3:$B$5001,P$136,BD!$A$3:$A$5001,"&gt;="&amp;$C$7,BD!$A$3:$A$5001,"&lt;="&amp;$B159,BD!$V$3:$V$5001,"&lt;&gt;"))))</f>
        <v/>
      </c>
      <c r="Q159" s="43" t="str">
        <f>IF(OR($B159="",$A159&gt;$B$9,Q$136=""),"",IF(COUNTIFS(BD!$B$3:$B$5001,Q$136,BD!$A$3:$A$5001,"&gt;="&amp;$C$7,BD!$A$3:$A$5001,"&lt;="&amp;$B159,BD!$V$3:$V$5001,"&lt;&gt;")=0,"",SUMIFS(BD!$V$3:$V$5001,BD!$B$3:$B$5001,Q$136,BD!$A$3:$A$5001,_xlfn.MAXIFS(BD!$A$3:$A$5001,BD!$B$3:$B$5001,Q$136,BD!$A$3:$A$5001,"&gt;="&amp;$C$7,BD!$A$3:$A$5001,"&lt;="&amp;$B159,BD!$V$3:$V$5001,"&lt;&gt;"))))</f>
        <v/>
      </c>
      <c r="R159" s="43" t="str">
        <f>IF(OR($B159="",$A159&gt;$B$9,R$136=""),"",IF(COUNTIFS(BD!$B$3:$B$5001,R$136,BD!$A$3:$A$5001,"&gt;="&amp;$C$7,BD!$A$3:$A$5001,"&lt;="&amp;$B159,BD!$V$3:$V$5001,"&lt;&gt;")=0,"",SUMIFS(BD!$V$3:$V$5001,BD!$B$3:$B$5001,R$136,BD!$A$3:$A$5001,_xlfn.MAXIFS(BD!$A$3:$A$5001,BD!$B$3:$B$5001,R$136,BD!$A$3:$A$5001,"&gt;="&amp;$C$7,BD!$A$3:$A$5001,"&lt;="&amp;$B159,BD!$V$3:$V$5001,"&lt;&gt;"))))</f>
        <v/>
      </c>
      <c r="S159" s="43" t="str">
        <f>IF(OR($B159="",$A159&gt;$B$9,S$136=""),"",IF(COUNTIFS(BD!$B$3:$B$5001,S$136,BD!$A$3:$A$5001,"&gt;="&amp;$C$7,BD!$A$3:$A$5001,"&lt;="&amp;$B159,BD!$V$3:$V$5001,"&lt;&gt;")=0,"",SUMIFS(BD!$V$3:$V$5001,BD!$B$3:$B$5001,S$136,BD!$A$3:$A$5001,_xlfn.MAXIFS(BD!$A$3:$A$5001,BD!$B$3:$B$5001,S$136,BD!$A$3:$A$5001,"&gt;="&amp;$C$7,BD!$A$3:$A$5001,"&lt;="&amp;$B159,BD!$V$3:$V$5001,"&lt;&gt;"))))</f>
        <v/>
      </c>
      <c r="T159" s="43" t="str">
        <f>IF(OR($B159="",$A159&gt;$B$9,T$136=""),"",IF(COUNTIFS(BD!$B$3:$B$5001,T$136,BD!$A$3:$A$5001,"&gt;="&amp;$C$7,BD!$A$3:$A$5001,"&lt;="&amp;$B159,BD!$V$3:$V$5001,"&lt;&gt;")=0,"",SUMIFS(BD!$V$3:$V$5001,BD!$B$3:$B$5001,T$136,BD!$A$3:$A$5001,_xlfn.MAXIFS(BD!$A$3:$A$5001,BD!$B$3:$B$5001,T$136,BD!$A$3:$A$5001,"&gt;="&amp;$C$7,BD!$A$3:$A$5001,"&lt;="&amp;$B159,BD!$V$3:$V$5001,"&lt;&gt;"))))</f>
        <v/>
      </c>
      <c r="U159" s="43" t="str">
        <f>IF(OR($B159="",$A159&gt;$B$9,U$136=""),"",IF(COUNTIFS(BD!$B$3:$B$5001,U$136,BD!$A$3:$A$5001,"&gt;="&amp;$C$7,BD!$A$3:$A$5001,"&lt;="&amp;$B159,BD!$V$3:$V$5001,"&lt;&gt;")=0,"",SUMIFS(BD!$V$3:$V$5001,BD!$B$3:$B$5001,U$136,BD!$A$3:$A$5001,_xlfn.MAXIFS(BD!$A$3:$A$5001,BD!$B$3:$B$5001,U$136,BD!$A$3:$A$5001,"&gt;="&amp;$C$7,BD!$A$3:$A$5001,"&lt;="&amp;$B159,BD!$V$3:$V$5001,"&lt;&gt;"))))</f>
        <v/>
      </c>
      <c r="V159" s="43" t="str">
        <f>IF(OR($B159="",$A159&gt;$B$9,V$136=""),"",IF(COUNTIFS(BD!$B$3:$B$5001,V$136,BD!$A$3:$A$5001,"&gt;="&amp;$C$7,BD!$A$3:$A$5001,"&lt;="&amp;$B159,BD!$V$3:$V$5001,"&lt;&gt;")=0,"",SUMIFS(BD!$V$3:$V$5001,BD!$B$3:$B$5001,V$136,BD!$A$3:$A$5001,_xlfn.MAXIFS(BD!$A$3:$A$5001,BD!$B$3:$B$5001,V$136,BD!$A$3:$A$5001,"&gt;="&amp;$C$7,BD!$A$3:$A$5001,"&lt;="&amp;$B159,BD!$V$3:$V$5001,"&lt;&gt;"))))</f>
        <v/>
      </c>
    </row>
    <row r="160">
      <c r="A160" s="38">
        <v>24</v>
      </c>
      <c r="B160" s="42">
        <f>$B$35</f>
        <v>46319</v>
      </c>
      <c r="C160" s="43" t="str">
        <f>IF(OR($B160="",$A160&gt;$B$9,C$136=""),"",IF(COUNTIFS(BD!$B$3:$B$5001,C$136,BD!$A$3:$A$5001,"&gt;="&amp;$C$7,BD!$A$3:$A$5001,"&lt;="&amp;$B160,BD!$V$3:$V$5001,"&lt;&gt;")=0,"",SUMIFS(BD!$V$3:$V$5001,BD!$B$3:$B$5001,C$136,BD!$A$3:$A$5001,_xlfn.MAXIFS(BD!$A$3:$A$5001,BD!$B$3:$B$5001,C$136,BD!$A$3:$A$5001,"&gt;="&amp;$C$7,BD!$A$3:$A$5001,"&lt;="&amp;$B160,BD!$V$3:$V$5001,"&lt;&gt;"))))</f>
        <v/>
      </c>
      <c r="D160" s="43" t="str">
        <f>IF(OR($B160="",$A160&gt;$B$9,D$136=""),"",IF(COUNTIFS(BD!$B$3:$B$5001,D$136,BD!$A$3:$A$5001,"&gt;="&amp;$C$7,BD!$A$3:$A$5001,"&lt;="&amp;$B160,BD!$V$3:$V$5001,"&lt;&gt;")=0,"",SUMIFS(BD!$V$3:$V$5001,BD!$B$3:$B$5001,D$136,BD!$A$3:$A$5001,_xlfn.MAXIFS(BD!$A$3:$A$5001,BD!$B$3:$B$5001,D$136,BD!$A$3:$A$5001,"&gt;="&amp;$C$7,BD!$A$3:$A$5001,"&lt;="&amp;$B160,BD!$V$3:$V$5001,"&lt;&gt;"))))</f>
        <v/>
      </c>
      <c r="E160" s="43" t="str">
        <f>IF(OR($B160="",$A160&gt;$B$9,E$136=""),"",IF(COUNTIFS(BD!$B$3:$B$5001,E$136,BD!$A$3:$A$5001,"&gt;="&amp;$C$7,BD!$A$3:$A$5001,"&lt;="&amp;$B160,BD!$V$3:$V$5001,"&lt;&gt;")=0,"",SUMIFS(BD!$V$3:$V$5001,BD!$B$3:$B$5001,E$136,BD!$A$3:$A$5001,_xlfn.MAXIFS(BD!$A$3:$A$5001,BD!$B$3:$B$5001,E$136,BD!$A$3:$A$5001,"&gt;="&amp;$C$7,BD!$A$3:$A$5001,"&lt;="&amp;$B160,BD!$V$3:$V$5001,"&lt;&gt;"))))</f>
        <v/>
      </c>
      <c r="F160" s="43" t="str">
        <f>IF(OR($B160="",$A160&gt;$B$9,F$136=""),"",IF(COUNTIFS(BD!$B$3:$B$5001,F$136,BD!$A$3:$A$5001,"&gt;="&amp;$C$7,BD!$A$3:$A$5001,"&lt;="&amp;$B160,BD!$V$3:$V$5001,"&lt;&gt;")=0,"",SUMIFS(BD!$V$3:$V$5001,BD!$B$3:$B$5001,F$136,BD!$A$3:$A$5001,_xlfn.MAXIFS(BD!$A$3:$A$5001,BD!$B$3:$B$5001,F$136,BD!$A$3:$A$5001,"&gt;="&amp;$C$7,BD!$A$3:$A$5001,"&lt;="&amp;$B160,BD!$V$3:$V$5001,"&lt;&gt;"))))</f>
        <v/>
      </c>
      <c r="G160" s="43" t="str">
        <f>IF(OR($B160="",$A160&gt;$B$9,G$136=""),"",IF(COUNTIFS(BD!$B$3:$B$5001,G$136,BD!$A$3:$A$5001,"&gt;="&amp;$C$7,BD!$A$3:$A$5001,"&lt;="&amp;$B160,BD!$V$3:$V$5001,"&lt;&gt;")=0,"",SUMIFS(BD!$V$3:$V$5001,BD!$B$3:$B$5001,G$136,BD!$A$3:$A$5001,_xlfn.MAXIFS(BD!$A$3:$A$5001,BD!$B$3:$B$5001,G$136,BD!$A$3:$A$5001,"&gt;="&amp;$C$7,BD!$A$3:$A$5001,"&lt;="&amp;$B160,BD!$V$3:$V$5001,"&lt;&gt;"))))</f>
        <v/>
      </c>
      <c r="H160" s="43" t="str">
        <f>IF(OR($B160="",$A160&gt;$B$9,H$136=""),"",IF(COUNTIFS(BD!$B$3:$B$5001,H$136,BD!$A$3:$A$5001,"&gt;="&amp;$C$7,BD!$A$3:$A$5001,"&lt;="&amp;$B160,BD!$V$3:$V$5001,"&lt;&gt;")=0,"",SUMIFS(BD!$V$3:$V$5001,BD!$B$3:$B$5001,H$136,BD!$A$3:$A$5001,_xlfn.MAXIFS(BD!$A$3:$A$5001,BD!$B$3:$B$5001,H$136,BD!$A$3:$A$5001,"&gt;="&amp;$C$7,BD!$A$3:$A$5001,"&lt;="&amp;$B160,BD!$V$3:$V$5001,"&lt;&gt;"))))</f>
        <v/>
      </c>
      <c r="I160" s="43" t="str">
        <f>IF(OR($B160="",$A160&gt;$B$9,I$136=""),"",IF(COUNTIFS(BD!$B$3:$B$5001,I$136,BD!$A$3:$A$5001,"&gt;="&amp;$C$7,BD!$A$3:$A$5001,"&lt;="&amp;$B160,BD!$V$3:$V$5001,"&lt;&gt;")=0,"",SUMIFS(BD!$V$3:$V$5001,BD!$B$3:$B$5001,I$136,BD!$A$3:$A$5001,_xlfn.MAXIFS(BD!$A$3:$A$5001,BD!$B$3:$B$5001,I$136,BD!$A$3:$A$5001,"&gt;="&amp;$C$7,BD!$A$3:$A$5001,"&lt;="&amp;$B160,BD!$V$3:$V$5001,"&lt;&gt;"))))</f>
        <v/>
      </c>
      <c r="J160" s="43" t="str">
        <f>IF(OR($B160="",$A160&gt;$B$9,J$136=""),"",IF(COUNTIFS(BD!$B$3:$B$5001,J$136,BD!$A$3:$A$5001,"&gt;="&amp;$C$7,BD!$A$3:$A$5001,"&lt;="&amp;$B160,BD!$V$3:$V$5001,"&lt;&gt;")=0,"",SUMIFS(BD!$V$3:$V$5001,BD!$B$3:$B$5001,J$136,BD!$A$3:$A$5001,_xlfn.MAXIFS(BD!$A$3:$A$5001,BD!$B$3:$B$5001,J$136,BD!$A$3:$A$5001,"&gt;="&amp;$C$7,BD!$A$3:$A$5001,"&lt;="&amp;$B160,BD!$V$3:$V$5001,"&lt;&gt;"))))</f>
        <v/>
      </c>
      <c r="K160" s="43" t="str">
        <f>IF(OR($B160="",$A160&gt;$B$9,K$136=""),"",IF(COUNTIFS(BD!$B$3:$B$5001,K$136,BD!$A$3:$A$5001,"&gt;="&amp;$C$7,BD!$A$3:$A$5001,"&lt;="&amp;$B160,BD!$V$3:$V$5001,"&lt;&gt;")=0,"",SUMIFS(BD!$V$3:$V$5001,BD!$B$3:$B$5001,K$136,BD!$A$3:$A$5001,_xlfn.MAXIFS(BD!$A$3:$A$5001,BD!$B$3:$B$5001,K$136,BD!$A$3:$A$5001,"&gt;="&amp;$C$7,BD!$A$3:$A$5001,"&lt;="&amp;$B160,BD!$V$3:$V$5001,"&lt;&gt;"))))</f>
        <v/>
      </c>
      <c r="L160" s="43" t="str">
        <f>IF(OR($B160="",$A160&gt;$B$9,L$136=""),"",IF(COUNTIFS(BD!$B$3:$B$5001,L$136,BD!$A$3:$A$5001,"&gt;="&amp;$C$7,BD!$A$3:$A$5001,"&lt;="&amp;$B160,BD!$V$3:$V$5001,"&lt;&gt;")=0,"",SUMIFS(BD!$V$3:$V$5001,BD!$B$3:$B$5001,L$136,BD!$A$3:$A$5001,_xlfn.MAXIFS(BD!$A$3:$A$5001,BD!$B$3:$B$5001,L$136,BD!$A$3:$A$5001,"&gt;="&amp;$C$7,BD!$A$3:$A$5001,"&lt;="&amp;$B160,BD!$V$3:$V$5001,"&lt;&gt;"))))</f>
        <v/>
      </c>
      <c r="M160" s="43" t="str">
        <f>IF(OR($B160="",$A160&gt;$B$9,M$136=""),"",IF(COUNTIFS(BD!$B$3:$B$5001,M$136,BD!$A$3:$A$5001,"&gt;="&amp;$C$7,BD!$A$3:$A$5001,"&lt;="&amp;$B160,BD!$V$3:$V$5001,"&lt;&gt;")=0,"",SUMIFS(BD!$V$3:$V$5001,BD!$B$3:$B$5001,M$136,BD!$A$3:$A$5001,_xlfn.MAXIFS(BD!$A$3:$A$5001,BD!$B$3:$B$5001,M$136,BD!$A$3:$A$5001,"&gt;="&amp;$C$7,BD!$A$3:$A$5001,"&lt;="&amp;$B160,BD!$V$3:$V$5001,"&lt;&gt;"))))</f>
        <v/>
      </c>
      <c r="N160" s="43" t="str">
        <f>IF(OR($B160="",$A160&gt;$B$9,N$136=""),"",IF(COUNTIFS(BD!$B$3:$B$5001,N$136,BD!$A$3:$A$5001,"&gt;="&amp;$C$7,BD!$A$3:$A$5001,"&lt;="&amp;$B160,BD!$V$3:$V$5001,"&lt;&gt;")=0,"",SUMIFS(BD!$V$3:$V$5001,BD!$B$3:$B$5001,N$136,BD!$A$3:$A$5001,_xlfn.MAXIFS(BD!$A$3:$A$5001,BD!$B$3:$B$5001,N$136,BD!$A$3:$A$5001,"&gt;="&amp;$C$7,BD!$A$3:$A$5001,"&lt;="&amp;$B160,BD!$V$3:$V$5001,"&lt;&gt;"))))</f>
        <v/>
      </c>
      <c r="O160" s="43" t="str">
        <f>IF(OR($B160="",$A160&gt;$B$9,O$136=""),"",IF(COUNTIFS(BD!$B$3:$B$5001,O$136,BD!$A$3:$A$5001,"&gt;="&amp;$C$7,BD!$A$3:$A$5001,"&lt;="&amp;$B160,BD!$V$3:$V$5001,"&lt;&gt;")=0,"",SUMIFS(BD!$V$3:$V$5001,BD!$B$3:$B$5001,O$136,BD!$A$3:$A$5001,_xlfn.MAXIFS(BD!$A$3:$A$5001,BD!$B$3:$B$5001,O$136,BD!$A$3:$A$5001,"&gt;="&amp;$C$7,BD!$A$3:$A$5001,"&lt;="&amp;$B160,BD!$V$3:$V$5001,"&lt;&gt;"))))</f>
        <v/>
      </c>
      <c r="P160" s="43" t="str">
        <f>IF(OR($B160="",$A160&gt;$B$9,P$136=""),"",IF(COUNTIFS(BD!$B$3:$B$5001,P$136,BD!$A$3:$A$5001,"&gt;="&amp;$C$7,BD!$A$3:$A$5001,"&lt;="&amp;$B160,BD!$V$3:$V$5001,"&lt;&gt;")=0,"",SUMIFS(BD!$V$3:$V$5001,BD!$B$3:$B$5001,P$136,BD!$A$3:$A$5001,_xlfn.MAXIFS(BD!$A$3:$A$5001,BD!$B$3:$B$5001,P$136,BD!$A$3:$A$5001,"&gt;="&amp;$C$7,BD!$A$3:$A$5001,"&lt;="&amp;$B160,BD!$V$3:$V$5001,"&lt;&gt;"))))</f>
        <v/>
      </c>
      <c r="Q160" s="43" t="str">
        <f>IF(OR($B160="",$A160&gt;$B$9,Q$136=""),"",IF(COUNTIFS(BD!$B$3:$B$5001,Q$136,BD!$A$3:$A$5001,"&gt;="&amp;$C$7,BD!$A$3:$A$5001,"&lt;="&amp;$B160,BD!$V$3:$V$5001,"&lt;&gt;")=0,"",SUMIFS(BD!$V$3:$V$5001,BD!$B$3:$B$5001,Q$136,BD!$A$3:$A$5001,_xlfn.MAXIFS(BD!$A$3:$A$5001,BD!$B$3:$B$5001,Q$136,BD!$A$3:$A$5001,"&gt;="&amp;$C$7,BD!$A$3:$A$5001,"&lt;="&amp;$B160,BD!$V$3:$V$5001,"&lt;&gt;"))))</f>
        <v/>
      </c>
      <c r="R160" s="43" t="str">
        <f>IF(OR($B160="",$A160&gt;$B$9,R$136=""),"",IF(COUNTIFS(BD!$B$3:$B$5001,R$136,BD!$A$3:$A$5001,"&gt;="&amp;$C$7,BD!$A$3:$A$5001,"&lt;="&amp;$B160,BD!$V$3:$V$5001,"&lt;&gt;")=0,"",SUMIFS(BD!$V$3:$V$5001,BD!$B$3:$B$5001,R$136,BD!$A$3:$A$5001,_xlfn.MAXIFS(BD!$A$3:$A$5001,BD!$B$3:$B$5001,R$136,BD!$A$3:$A$5001,"&gt;="&amp;$C$7,BD!$A$3:$A$5001,"&lt;="&amp;$B160,BD!$V$3:$V$5001,"&lt;&gt;"))))</f>
        <v/>
      </c>
      <c r="S160" s="43" t="str">
        <f>IF(OR($B160="",$A160&gt;$B$9,S$136=""),"",IF(COUNTIFS(BD!$B$3:$B$5001,S$136,BD!$A$3:$A$5001,"&gt;="&amp;$C$7,BD!$A$3:$A$5001,"&lt;="&amp;$B160,BD!$V$3:$V$5001,"&lt;&gt;")=0,"",SUMIFS(BD!$V$3:$V$5001,BD!$B$3:$B$5001,S$136,BD!$A$3:$A$5001,_xlfn.MAXIFS(BD!$A$3:$A$5001,BD!$B$3:$B$5001,S$136,BD!$A$3:$A$5001,"&gt;="&amp;$C$7,BD!$A$3:$A$5001,"&lt;="&amp;$B160,BD!$V$3:$V$5001,"&lt;&gt;"))))</f>
        <v/>
      </c>
      <c r="T160" s="43" t="str">
        <f>IF(OR($B160="",$A160&gt;$B$9,T$136=""),"",IF(COUNTIFS(BD!$B$3:$B$5001,T$136,BD!$A$3:$A$5001,"&gt;="&amp;$C$7,BD!$A$3:$A$5001,"&lt;="&amp;$B160,BD!$V$3:$V$5001,"&lt;&gt;")=0,"",SUMIFS(BD!$V$3:$V$5001,BD!$B$3:$B$5001,T$136,BD!$A$3:$A$5001,_xlfn.MAXIFS(BD!$A$3:$A$5001,BD!$B$3:$B$5001,T$136,BD!$A$3:$A$5001,"&gt;="&amp;$C$7,BD!$A$3:$A$5001,"&lt;="&amp;$B160,BD!$V$3:$V$5001,"&lt;&gt;"))))</f>
        <v/>
      </c>
      <c r="U160" s="43" t="str">
        <f>IF(OR($B160="",$A160&gt;$B$9,U$136=""),"",IF(COUNTIFS(BD!$B$3:$B$5001,U$136,BD!$A$3:$A$5001,"&gt;="&amp;$C$7,BD!$A$3:$A$5001,"&lt;="&amp;$B160,BD!$V$3:$V$5001,"&lt;&gt;")=0,"",SUMIFS(BD!$V$3:$V$5001,BD!$B$3:$B$5001,U$136,BD!$A$3:$A$5001,_xlfn.MAXIFS(BD!$A$3:$A$5001,BD!$B$3:$B$5001,U$136,BD!$A$3:$A$5001,"&gt;="&amp;$C$7,BD!$A$3:$A$5001,"&lt;="&amp;$B160,BD!$V$3:$V$5001,"&lt;&gt;"))))</f>
        <v/>
      </c>
      <c r="V160" s="43" t="str">
        <f>IF(OR($B160="",$A160&gt;$B$9,V$136=""),"",IF(COUNTIFS(BD!$B$3:$B$5001,V$136,BD!$A$3:$A$5001,"&gt;="&amp;$C$7,BD!$A$3:$A$5001,"&lt;="&amp;$B160,BD!$V$3:$V$5001,"&lt;&gt;")=0,"",SUMIFS(BD!$V$3:$V$5001,BD!$B$3:$B$5001,V$136,BD!$A$3:$A$5001,_xlfn.MAXIFS(BD!$A$3:$A$5001,BD!$B$3:$B$5001,V$136,BD!$A$3:$A$5001,"&gt;="&amp;$C$7,BD!$A$3:$A$5001,"&lt;="&amp;$B160,BD!$V$3:$V$5001,"&lt;&gt;"))))</f>
        <v/>
      </c>
    </row>
    <row r="161">
      <c r="A161" s="38">
        <v>25</v>
      </c>
      <c r="B161" s="42">
        <f>$B$36</f>
        <v>46320</v>
      </c>
      <c r="C161" s="43" t="str">
        <f>IF(OR($B161="",$A161&gt;$B$9,C$136=""),"",IF(COUNTIFS(BD!$B$3:$B$5001,C$136,BD!$A$3:$A$5001,"&gt;="&amp;$C$7,BD!$A$3:$A$5001,"&lt;="&amp;$B161,BD!$V$3:$V$5001,"&lt;&gt;")=0,"",SUMIFS(BD!$V$3:$V$5001,BD!$B$3:$B$5001,C$136,BD!$A$3:$A$5001,_xlfn.MAXIFS(BD!$A$3:$A$5001,BD!$B$3:$B$5001,C$136,BD!$A$3:$A$5001,"&gt;="&amp;$C$7,BD!$A$3:$A$5001,"&lt;="&amp;$B161,BD!$V$3:$V$5001,"&lt;&gt;"))))</f>
        <v/>
      </c>
      <c r="D161" s="43" t="str">
        <f>IF(OR($B161="",$A161&gt;$B$9,D$136=""),"",IF(COUNTIFS(BD!$B$3:$B$5001,D$136,BD!$A$3:$A$5001,"&gt;="&amp;$C$7,BD!$A$3:$A$5001,"&lt;="&amp;$B161,BD!$V$3:$V$5001,"&lt;&gt;")=0,"",SUMIFS(BD!$V$3:$V$5001,BD!$B$3:$B$5001,D$136,BD!$A$3:$A$5001,_xlfn.MAXIFS(BD!$A$3:$A$5001,BD!$B$3:$B$5001,D$136,BD!$A$3:$A$5001,"&gt;="&amp;$C$7,BD!$A$3:$A$5001,"&lt;="&amp;$B161,BD!$V$3:$V$5001,"&lt;&gt;"))))</f>
        <v/>
      </c>
      <c r="E161" s="43" t="str">
        <f>IF(OR($B161="",$A161&gt;$B$9,E$136=""),"",IF(COUNTIFS(BD!$B$3:$B$5001,E$136,BD!$A$3:$A$5001,"&gt;="&amp;$C$7,BD!$A$3:$A$5001,"&lt;="&amp;$B161,BD!$V$3:$V$5001,"&lt;&gt;")=0,"",SUMIFS(BD!$V$3:$V$5001,BD!$B$3:$B$5001,E$136,BD!$A$3:$A$5001,_xlfn.MAXIFS(BD!$A$3:$A$5001,BD!$B$3:$B$5001,E$136,BD!$A$3:$A$5001,"&gt;="&amp;$C$7,BD!$A$3:$A$5001,"&lt;="&amp;$B161,BD!$V$3:$V$5001,"&lt;&gt;"))))</f>
        <v/>
      </c>
      <c r="F161" s="43" t="str">
        <f>IF(OR($B161="",$A161&gt;$B$9,F$136=""),"",IF(COUNTIFS(BD!$B$3:$B$5001,F$136,BD!$A$3:$A$5001,"&gt;="&amp;$C$7,BD!$A$3:$A$5001,"&lt;="&amp;$B161,BD!$V$3:$V$5001,"&lt;&gt;")=0,"",SUMIFS(BD!$V$3:$V$5001,BD!$B$3:$B$5001,F$136,BD!$A$3:$A$5001,_xlfn.MAXIFS(BD!$A$3:$A$5001,BD!$B$3:$B$5001,F$136,BD!$A$3:$A$5001,"&gt;="&amp;$C$7,BD!$A$3:$A$5001,"&lt;="&amp;$B161,BD!$V$3:$V$5001,"&lt;&gt;"))))</f>
        <v/>
      </c>
      <c r="G161" s="43" t="str">
        <f>IF(OR($B161="",$A161&gt;$B$9,G$136=""),"",IF(COUNTIFS(BD!$B$3:$B$5001,G$136,BD!$A$3:$A$5001,"&gt;="&amp;$C$7,BD!$A$3:$A$5001,"&lt;="&amp;$B161,BD!$V$3:$V$5001,"&lt;&gt;")=0,"",SUMIFS(BD!$V$3:$V$5001,BD!$B$3:$B$5001,G$136,BD!$A$3:$A$5001,_xlfn.MAXIFS(BD!$A$3:$A$5001,BD!$B$3:$B$5001,G$136,BD!$A$3:$A$5001,"&gt;="&amp;$C$7,BD!$A$3:$A$5001,"&lt;="&amp;$B161,BD!$V$3:$V$5001,"&lt;&gt;"))))</f>
        <v/>
      </c>
      <c r="H161" s="43" t="str">
        <f>IF(OR($B161="",$A161&gt;$B$9,H$136=""),"",IF(COUNTIFS(BD!$B$3:$B$5001,H$136,BD!$A$3:$A$5001,"&gt;="&amp;$C$7,BD!$A$3:$A$5001,"&lt;="&amp;$B161,BD!$V$3:$V$5001,"&lt;&gt;")=0,"",SUMIFS(BD!$V$3:$V$5001,BD!$B$3:$B$5001,H$136,BD!$A$3:$A$5001,_xlfn.MAXIFS(BD!$A$3:$A$5001,BD!$B$3:$B$5001,H$136,BD!$A$3:$A$5001,"&gt;="&amp;$C$7,BD!$A$3:$A$5001,"&lt;="&amp;$B161,BD!$V$3:$V$5001,"&lt;&gt;"))))</f>
        <v/>
      </c>
      <c r="I161" s="43" t="str">
        <f>IF(OR($B161="",$A161&gt;$B$9,I$136=""),"",IF(COUNTIFS(BD!$B$3:$B$5001,I$136,BD!$A$3:$A$5001,"&gt;="&amp;$C$7,BD!$A$3:$A$5001,"&lt;="&amp;$B161,BD!$V$3:$V$5001,"&lt;&gt;")=0,"",SUMIFS(BD!$V$3:$V$5001,BD!$B$3:$B$5001,I$136,BD!$A$3:$A$5001,_xlfn.MAXIFS(BD!$A$3:$A$5001,BD!$B$3:$B$5001,I$136,BD!$A$3:$A$5001,"&gt;="&amp;$C$7,BD!$A$3:$A$5001,"&lt;="&amp;$B161,BD!$V$3:$V$5001,"&lt;&gt;"))))</f>
        <v/>
      </c>
      <c r="J161" s="43" t="str">
        <f>IF(OR($B161="",$A161&gt;$B$9,J$136=""),"",IF(COUNTIFS(BD!$B$3:$B$5001,J$136,BD!$A$3:$A$5001,"&gt;="&amp;$C$7,BD!$A$3:$A$5001,"&lt;="&amp;$B161,BD!$V$3:$V$5001,"&lt;&gt;")=0,"",SUMIFS(BD!$V$3:$V$5001,BD!$B$3:$B$5001,J$136,BD!$A$3:$A$5001,_xlfn.MAXIFS(BD!$A$3:$A$5001,BD!$B$3:$B$5001,J$136,BD!$A$3:$A$5001,"&gt;="&amp;$C$7,BD!$A$3:$A$5001,"&lt;="&amp;$B161,BD!$V$3:$V$5001,"&lt;&gt;"))))</f>
        <v/>
      </c>
      <c r="K161" s="43" t="str">
        <f>IF(OR($B161="",$A161&gt;$B$9,K$136=""),"",IF(COUNTIFS(BD!$B$3:$B$5001,K$136,BD!$A$3:$A$5001,"&gt;="&amp;$C$7,BD!$A$3:$A$5001,"&lt;="&amp;$B161,BD!$V$3:$V$5001,"&lt;&gt;")=0,"",SUMIFS(BD!$V$3:$V$5001,BD!$B$3:$B$5001,K$136,BD!$A$3:$A$5001,_xlfn.MAXIFS(BD!$A$3:$A$5001,BD!$B$3:$B$5001,K$136,BD!$A$3:$A$5001,"&gt;="&amp;$C$7,BD!$A$3:$A$5001,"&lt;="&amp;$B161,BD!$V$3:$V$5001,"&lt;&gt;"))))</f>
        <v/>
      </c>
      <c r="L161" s="43" t="str">
        <f>IF(OR($B161="",$A161&gt;$B$9,L$136=""),"",IF(COUNTIFS(BD!$B$3:$B$5001,L$136,BD!$A$3:$A$5001,"&gt;="&amp;$C$7,BD!$A$3:$A$5001,"&lt;="&amp;$B161,BD!$V$3:$V$5001,"&lt;&gt;")=0,"",SUMIFS(BD!$V$3:$V$5001,BD!$B$3:$B$5001,L$136,BD!$A$3:$A$5001,_xlfn.MAXIFS(BD!$A$3:$A$5001,BD!$B$3:$B$5001,L$136,BD!$A$3:$A$5001,"&gt;="&amp;$C$7,BD!$A$3:$A$5001,"&lt;="&amp;$B161,BD!$V$3:$V$5001,"&lt;&gt;"))))</f>
        <v/>
      </c>
      <c r="M161" s="43" t="str">
        <f>IF(OR($B161="",$A161&gt;$B$9,M$136=""),"",IF(COUNTIFS(BD!$B$3:$B$5001,M$136,BD!$A$3:$A$5001,"&gt;="&amp;$C$7,BD!$A$3:$A$5001,"&lt;="&amp;$B161,BD!$V$3:$V$5001,"&lt;&gt;")=0,"",SUMIFS(BD!$V$3:$V$5001,BD!$B$3:$B$5001,M$136,BD!$A$3:$A$5001,_xlfn.MAXIFS(BD!$A$3:$A$5001,BD!$B$3:$B$5001,M$136,BD!$A$3:$A$5001,"&gt;="&amp;$C$7,BD!$A$3:$A$5001,"&lt;="&amp;$B161,BD!$V$3:$V$5001,"&lt;&gt;"))))</f>
        <v/>
      </c>
      <c r="N161" s="43" t="str">
        <f>IF(OR($B161="",$A161&gt;$B$9,N$136=""),"",IF(COUNTIFS(BD!$B$3:$B$5001,N$136,BD!$A$3:$A$5001,"&gt;="&amp;$C$7,BD!$A$3:$A$5001,"&lt;="&amp;$B161,BD!$V$3:$V$5001,"&lt;&gt;")=0,"",SUMIFS(BD!$V$3:$V$5001,BD!$B$3:$B$5001,N$136,BD!$A$3:$A$5001,_xlfn.MAXIFS(BD!$A$3:$A$5001,BD!$B$3:$B$5001,N$136,BD!$A$3:$A$5001,"&gt;="&amp;$C$7,BD!$A$3:$A$5001,"&lt;="&amp;$B161,BD!$V$3:$V$5001,"&lt;&gt;"))))</f>
        <v/>
      </c>
      <c r="O161" s="43" t="str">
        <f>IF(OR($B161="",$A161&gt;$B$9,O$136=""),"",IF(COUNTIFS(BD!$B$3:$B$5001,O$136,BD!$A$3:$A$5001,"&gt;="&amp;$C$7,BD!$A$3:$A$5001,"&lt;="&amp;$B161,BD!$V$3:$V$5001,"&lt;&gt;")=0,"",SUMIFS(BD!$V$3:$V$5001,BD!$B$3:$B$5001,O$136,BD!$A$3:$A$5001,_xlfn.MAXIFS(BD!$A$3:$A$5001,BD!$B$3:$B$5001,O$136,BD!$A$3:$A$5001,"&gt;="&amp;$C$7,BD!$A$3:$A$5001,"&lt;="&amp;$B161,BD!$V$3:$V$5001,"&lt;&gt;"))))</f>
        <v/>
      </c>
      <c r="P161" s="43" t="str">
        <f>IF(OR($B161="",$A161&gt;$B$9,P$136=""),"",IF(COUNTIFS(BD!$B$3:$B$5001,P$136,BD!$A$3:$A$5001,"&gt;="&amp;$C$7,BD!$A$3:$A$5001,"&lt;="&amp;$B161,BD!$V$3:$V$5001,"&lt;&gt;")=0,"",SUMIFS(BD!$V$3:$V$5001,BD!$B$3:$B$5001,P$136,BD!$A$3:$A$5001,_xlfn.MAXIFS(BD!$A$3:$A$5001,BD!$B$3:$B$5001,P$136,BD!$A$3:$A$5001,"&gt;="&amp;$C$7,BD!$A$3:$A$5001,"&lt;="&amp;$B161,BD!$V$3:$V$5001,"&lt;&gt;"))))</f>
        <v/>
      </c>
      <c r="Q161" s="43" t="str">
        <f>IF(OR($B161="",$A161&gt;$B$9,Q$136=""),"",IF(COUNTIFS(BD!$B$3:$B$5001,Q$136,BD!$A$3:$A$5001,"&gt;="&amp;$C$7,BD!$A$3:$A$5001,"&lt;="&amp;$B161,BD!$V$3:$V$5001,"&lt;&gt;")=0,"",SUMIFS(BD!$V$3:$V$5001,BD!$B$3:$B$5001,Q$136,BD!$A$3:$A$5001,_xlfn.MAXIFS(BD!$A$3:$A$5001,BD!$B$3:$B$5001,Q$136,BD!$A$3:$A$5001,"&gt;="&amp;$C$7,BD!$A$3:$A$5001,"&lt;="&amp;$B161,BD!$V$3:$V$5001,"&lt;&gt;"))))</f>
        <v/>
      </c>
      <c r="R161" s="43" t="str">
        <f>IF(OR($B161="",$A161&gt;$B$9,R$136=""),"",IF(COUNTIFS(BD!$B$3:$B$5001,R$136,BD!$A$3:$A$5001,"&gt;="&amp;$C$7,BD!$A$3:$A$5001,"&lt;="&amp;$B161,BD!$V$3:$V$5001,"&lt;&gt;")=0,"",SUMIFS(BD!$V$3:$V$5001,BD!$B$3:$B$5001,R$136,BD!$A$3:$A$5001,_xlfn.MAXIFS(BD!$A$3:$A$5001,BD!$B$3:$B$5001,R$136,BD!$A$3:$A$5001,"&gt;="&amp;$C$7,BD!$A$3:$A$5001,"&lt;="&amp;$B161,BD!$V$3:$V$5001,"&lt;&gt;"))))</f>
        <v/>
      </c>
      <c r="S161" s="43" t="str">
        <f>IF(OR($B161="",$A161&gt;$B$9,S$136=""),"",IF(COUNTIFS(BD!$B$3:$B$5001,S$136,BD!$A$3:$A$5001,"&gt;="&amp;$C$7,BD!$A$3:$A$5001,"&lt;="&amp;$B161,BD!$V$3:$V$5001,"&lt;&gt;")=0,"",SUMIFS(BD!$V$3:$V$5001,BD!$B$3:$B$5001,S$136,BD!$A$3:$A$5001,_xlfn.MAXIFS(BD!$A$3:$A$5001,BD!$B$3:$B$5001,S$136,BD!$A$3:$A$5001,"&gt;="&amp;$C$7,BD!$A$3:$A$5001,"&lt;="&amp;$B161,BD!$V$3:$V$5001,"&lt;&gt;"))))</f>
        <v/>
      </c>
      <c r="T161" s="43" t="str">
        <f>IF(OR($B161="",$A161&gt;$B$9,T$136=""),"",IF(COUNTIFS(BD!$B$3:$B$5001,T$136,BD!$A$3:$A$5001,"&gt;="&amp;$C$7,BD!$A$3:$A$5001,"&lt;="&amp;$B161,BD!$V$3:$V$5001,"&lt;&gt;")=0,"",SUMIFS(BD!$V$3:$V$5001,BD!$B$3:$B$5001,T$136,BD!$A$3:$A$5001,_xlfn.MAXIFS(BD!$A$3:$A$5001,BD!$B$3:$B$5001,T$136,BD!$A$3:$A$5001,"&gt;="&amp;$C$7,BD!$A$3:$A$5001,"&lt;="&amp;$B161,BD!$V$3:$V$5001,"&lt;&gt;"))))</f>
        <v/>
      </c>
      <c r="U161" s="43" t="str">
        <f>IF(OR($B161="",$A161&gt;$B$9,U$136=""),"",IF(COUNTIFS(BD!$B$3:$B$5001,U$136,BD!$A$3:$A$5001,"&gt;="&amp;$C$7,BD!$A$3:$A$5001,"&lt;="&amp;$B161,BD!$V$3:$V$5001,"&lt;&gt;")=0,"",SUMIFS(BD!$V$3:$V$5001,BD!$B$3:$B$5001,U$136,BD!$A$3:$A$5001,_xlfn.MAXIFS(BD!$A$3:$A$5001,BD!$B$3:$B$5001,U$136,BD!$A$3:$A$5001,"&gt;="&amp;$C$7,BD!$A$3:$A$5001,"&lt;="&amp;$B161,BD!$V$3:$V$5001,"&lt;&gt;"))))</f>
        <v/>
      </c>
      <c r="V161" s="43" t="str">
        <f>IF(OR($B161="",$A161&gt;$B$9,V$136=""),"",IF(COUNTIFS(BD!$B$3:$B$5001,V$136,BD!$A$3:$A$5001,"&gt;="&amp;$C$7,BD!$A$3:$A$5001,"&lt;="&amp;$B161,BD!$V$3:$V$5001,"&lt;&gt;")=0,"",SUMIFS(BD!$V$3:$V$5001,BD!$B$3:$B$5001,V$136,BD!$A$3:$A$5001,_xlfn.MAXIFS(BD!$A$3:$A$5001,BD!$B$3:$B$5001,V$136,BD!$A$3:$A$5001,"&gt;="&amp;$C$7,BD!$A$3:$A$5001,"&lt;="&amp;$B161,BD!$V$3:$V$5001,"&lt;&gt;"))))</f>
        <v/>
      </c>
    </row>
    <row r="162">
      <c r="A162" s="38">
        <v>26</v>
      </c>
      <c r="B162" s="42">
        <f>$B$37</f>
        <v>46321</v>
      </c>
      <c r="C162" s="43" t="str">
        <f>IF(OR($B162="",$A162&gt;$B$9,C$136=""),"",IF(COUNTIFS(BD!$B$3:$B$5001,C$136,BD!$A$3:$A$5001,"&gt;="&amp;$C$7,BD!$A$3:$A$5001,"&lt;="&amp;$B162,BD!$V$3:$V$5001,"&lt;&gt;")=0,"",SUMIFS(BD!$V$3:$V$5001,BD!$B$3:$B$5001,C$136,BD!$A$3:$A$5001,_xlfn.MAXIFS(BD!$A$3:$A$5001,BD!$B$3:$B$5001,C$136,BD!$A$3:$A$5001,"&gt;="&amp;$C$7,BD!$A$3:$A$5001,"&lt;="&amp;$B162,BD!$V$3:$V$5001,"&lt;&gt;"))))</f>
        <v/>
      </c>
      <c r="D162" s="43" t="str">
        <f>IF(OR($B162="",$A162&gt;$B$9,D$136=""),"",IF(COUNTIFS(BD!$B$3:$B$5001,D$136,BD!$A$3:$A$5001,"&gt;="&amp;$C$7,BD!$A$3:$A$5001,"&lt;="&amp;$B162,BD!$V$3:$V$5001,"&lt;&gt;")=0,"",SUMIFS(BD!$V$3:$V$5001,BD!$B$3:$B$5001,D$136,BD!$A$3:$A$5001,_xlfn.MAXIFS(BD!$A$3:$A$5001,BD!$B$3:$B$5001,D$136,BD!$A$3:$A$5001,"&gt;="&amp;$C$7,BD!$A$3:$A$5001,"&lt;="&amp;$B162,BD!$V$3:$V$5001,"&lt;&gt;"))))</f>
        <v/>
      </c>
      <c r="E162" s="43" t="str">
        <f>IF(OR($B162="",$A162&gt;$B$9,E$136=""),"",IF(COUNTIFS(BD!$B$3:$B$5001,E$136,BD!$A$3:$A$5001,"&gt;="&amp;$C$7,BD!$A$3:$A$5001,"&lt;="&amp;$B162,BD!$V$3:$V$5001,"&lt;&gt;")=0,"",SUMIFS(BD!$V$3:$V$5001,BD!$B$3:$B$5001,E$136,BD!$A$3:$A$5001,_xlfn.MAXIFS(BD!$A$3:$A$5001,BD!$B$3:$B$5001,E$136,BD!$A$3:$A$5001,"&gt;="&amp;$C$7,BD!$A$3:$A$5001,"&lt;="&amp;$B162,BD!$V$3:$V$5001,"&lt;&gt;"))))</f>
        <v/>
      </c>
      <c r="F162" s="43" t="str">
        <f>IF(OR($B162="",$A162&gt;$B$9,F$136=""),"",IF(COUNTIFS(BD!$B$3:$B$5001,F$136,BD!$A$3:$A$5001,"&gt;="&amp;$C$7,BD!$A$3:$A$5001,"&lt;="&amp;$B162,BD!$V$3:$V$5001,"&lt;&gt;")=0,"",SUMIFS(BD!$V$3:$V$5001,BD!$B$3:$B$5001,F$136,BD!$A$3:$A$5001,_xlfn.MAXIFS(BD!$A$3:$A$5001,BD!$B$3:$B$5001,F$136,BD!$A$3:$A$5001,"&gt;="&amp;$C$7,BD!$A$3:$A$5001,"&lt;="&amp;$B162,BD!$V$3:$V$5001,"&lt;&gt;"))))</f>
        <v/>
      </c>
      <c r="G162" s="43" t="str">
        <f>IF(OR($B162="",$A162&gt;$B$9,G$136=""),"",IF(COUNTIFS(BD!$B$3:$B$5001,G$136,BD!$A$3:$A$5001,"&gt;="&amp;$C$7,BD!$A$3:$A$5001,"&lt;="&amp;$B162,BD!$V$3:$V$5001,"&lt;&gt;")=0,"",SUMIFS(BD!$V$3:$V$5001,BD!$B$3:$B$5001,G$136,BD!$A$3:$A$5001,_xlfn.MAXIFS(BD!$A$3:$A$5001,BD!$B$3:$B$5001,G$136,BD!$A$3:$A$5001,"&gt;="&amp;$C$7,BD!$A$3:$A$5001,"&lt;="&amp;$B162,BD!$V$3:$V$5001,"&lt;&gt;"))))</f>
        <v/>
      </c>
      <c r="H162" s="43" t="str">
        <f>IF(OR($B162="",$A162&gt;$B$9,H$136=""),"",IF(COUNTIFS(BD!$B$3:$B$5001,H$136,BD!$A$3:$A$5001,"&gt;="&amp;$C$7,BD!$A$3:$A$5001,"&lt;="&amp;$B162,BD!$V$3:$V$5001,"&lt;&gt;")=0,"",SUMIFS(BD!$V$3:$V$5001,BD!$B$3:$B$5001,H$136,BD!$A$3:$A$5001,_xlfn.MAXIFS(BD!$A$3:$A$5001,BD!$B$3:$B$5001,H$136,BD!$A$3:$A$5001,"&gt;="&amp;$C$7,BD!$A$3:$A$5001,"&lt;="&amp;$B162,BD!$V$3:$V$5001,"&lt;&gt;"))))</f>
        <v/>
      </c>
      <c r="I162" s="43" t="str">
        <f>IF(OR($B162="",$A162&gt;$B$9,I$136=""),"",IF(COUNTIFS(BD!$B$3:$B$5001,I$136,BD!$A$3:$A$5001,"&gt;="&amp;$C$7,BD!$A$3:$A$5001,"&lt;="&amp;$B162,BD!$V$3:$V$5001,"&lt;&gt;")=0,"",SUMIFS(BD!$V$3:$V$5001,BD!$B$3:$B$5001,I$136,BD!$A$3:$A$5001,_xlfn.MAXIFS(BD!$A$3:$A$5001,BD!$B$3:$B$5001,I$136,BD!$A$3:$A$5001,"&gt;="&amp;$C$7,BD!$A$3:$A$5001,"&lt;="&amp;$B162,BD!$V$3:$V$5001,"&lt;&gt;"))))</f>
        <v/>
      </c>
      <c r="J162" s="43" t="str">
        <f>IF(OR($B162="",$A162&gt;$B$9,J$136=""),"",IF(COUNTIFS(BD!$B$3:$B$5001,J$136,BD!$A$3:$A$5001,"&gt;="&amp;$C$7,BD!$A$3:$A$5001,"&lt;="&amp;$B162,BD!$V$3:$V$5001,"&lt;&gt;")=0,"",SUMIFS(BD!$V$3:$V$5001,BD!$B$3:$B$5001,J$136,BD!$A$3:$A$5001,_xlfn.MAXIFS(BD!$A$3:$A$5001,BD!$B$3:$B$5001,J$136,BD!$A$3:$A$5001,"&gt;="&amp;$C$7,BD!$A$3:$A$5001,"&lt;="&amp;$B162,BD!$V$3:$V$5001,"&lt;&gt;"))))</f>
        <v/>
      </c>
      <c r="K162" s="43" t="str">
        <f>IF(OR($B162="",$A162&gt;$B$9,K$136=""),"",IF(COUNTIFS(BD!$B$3:$B$5001,K$136,BD!$A$3:$A$5001,"&gt;="&amp;$C$7,BD!$A$3:$A$5001,"&lt;="&amp;$B162,BD!$V$3:$V$5001,"&lt;&gt;")=0,"",SUMIFS(BD!$V$3:$V$5001,BD!$B$3:$B$5001,K$136,BD!$A$3:$A$5001,_xlfn.MAXIFS(BD!$A$3:$A$5001,BD!$B$3:$B$5001,K$136,BD!$A$3:$A$5001,"&gt;="&amp;$C$7,BD!$A$3:$A$5001,"&lt;="&amp;$B162,BD!$V$3:$V$5001,"&lt;&gt;"))))</f>
        <v/>
      </c>
      <c r="L162" s="43" t="str">
        <f>IF(OR($B162="",$A162&gt;$B$9,L$136=""),"",IF(COUNTIFS(BD!$B$3:$B$5001,L$136,BD!$A$3:$A$5001,"&gt;="&amp;$C$7,BD!$A$3:$A$5001,"&lt;="&amp;$B162,BD!$V$3:$V$5001,"&lt;&gt;")=0,"",SUMIFS(BD!$V$3:$V$5001,BD!$B$3:$B$5001,L$136,BD!$A$3:$A$5001,_xlfn.MAXIFS(BD!$A$3:$A$5001,BD!$B$3:$B$5001,L$136,BD!$A$3:$A$5001,"&gt;="&amp;$C$7,BD!$A$3:$A$5001,"&lt;="&amp;$B162,BD!$V$3:$V$5001,"&lt;&gt;"))))</f>
        <v/>
      </c>
      <c r="M162" s="43" t="str">
        <f>IF(OR($B162="",$A162&gt;$B$9,M$136=""),"",IF(COUNTIFS(BD!$B$3:$B$5001,M$136,BD!$A$3:$A$5001,"&gt;="&amp;$C$7,BD!$A$3:$A$5001,"&lt;="&amp;$B162,BD!$V$3:$V$5001,"&lt;&gt;")=0,"",SUMIFS(BD!$V$3:$V$5001,BD!$B$3:$B$5001,M$136,BD!$A$3:$A$5001,_xlfn.MAXIFS(BD!$A$3:$A$5001,BD!$B$3:$B$5001,M$136,BD!$A$3:$A$5001,"&gt;="&amp;$C$7,BD!$A$3:$A$5001,"&lt;="&amp;$B162,BD!$V$3:$V$5001,"&lt;&gt;"))))</f>
        <v/>
      </c>
      <c r="N162" s="43" t="str">
        <f>IF(OR($B162="",$A162&gt;$B$9,N$136=""),"",IF(COUNTIFS(BD!$B$3:$B$5001,N$136,BD!$A$3:$A$5001,"&gt;="&amp;$C$7,BD!$A$3:$A$5001,"&lt;="&amp;$B162,BD!$V$3:$V$5001,"&lt;&gt;")=0,"",SUMIFS(BD!$V$3:$V$5001,BD!$B$3:$B$5001,N$136,BD!$A$3:$A$5001,_xlfn.MAXIFS(BD!$A$3:$A$5001,BD!$B$3:$B$5001,N$136,BD!$A$3:$A$5001,"&gt;="&amp;$C$7,BD!$A$3:$A$5001,"&lt;="&amp;$B162,BD!$V$3:$V$5001,"&lt;&gt;"))))</f>
        <v/>
      </c>
      <c r="O162" s="43" t="str">
        <f>IF(OR($B162="",$A162&gt;$B$9,O$136=""),"",IF(COUNTIFS(BD!$B$3:$B$5001,O$136,BD!$A$3:$A$5001,"&gt;="&amp;$C$7,BD!$A$3:$A$5001,"&lt;="&amp;$B162,BD!$V$3:$V$5001,"&lt;&gt;")=0,"",SUMIFS(BD!$V$3:$V$5001,BD!$B$3:$B$5001,O$136,BD!$A$3:$A$5001,_xlfn.MAXIFS(BD!$A$3:$A$5001,BD!$B$3:$B$5001,O$136,BD!$A$3:$A$5001,"&gt;="&amp;$C$7,BD!$A$3:$A$5001,"&lt;="&amp;$B162,BD!$V$3:$V$5001,"&lt;&gt;"))))</f>
        <v/>
      </c>
      <c r="P162" s="43" t="str">
        <f>IF(OR($B162="",$A162&gt;$B$9,P$136=""),"",IF(COUNTIFS(BD!$B$3:$B$5001,P$136,BD!$A$3:$A$5001,"&gt;="&amp;$C$7,BD!$A$3:$A$5001,"&lt;="&amp;$B162,BD!$V$3:$V$5001,"&lt;&gt;")=0,"",SUMIFS(BD!$V$3:$V$5001,BD!$B$3:$B$5001,P$136,BD!$A$3:$A$5001,_xlfn.MAXIFS(BD!$A$3:$A$5001,BD!$B$3:$B$5001,P$136,BD!$A$3:$A$5001,"&gt;="&amp;$C$7,BD!$A$3:$A$5001,"&lt;="&amp;$B162,BD!$V$3:$V$5001,"&lt;&gt;"))))</f>
        <v/>
      </c>
      <c r="Q162" s="43" t="str">
        <f>IF(OR($B162="",$A162&gt;$B$9,Q$136=""),"",IF(COUNTIFS(BD!$B$3:$B$5001,Q$136,BD!$A$3:$A$5001,"&gt;="&amp;$C$7,BD!$A$3:$A$5001,"&lt;="&amp;$B162,BD!$V$3:$V$5001,"&lt;&gt;")=0,"",SUMIFS(BD!$V$3:$V$5001,BD!$B$3:$B$5001,Q$136,BD!$A$3:$A$5001,_xlfn.MAXIFS(BD!$A$3:$A$5001,BD!$B$3:$B$5001,Q$136,BD!$A$3:$A$5001,"&gt;="&amp;$C$7,BD!$A$3:$A$5001,"&lt;="&amp;$B162,BD!$V$3:$V$5001,"&lt;&gt;"))))</f>
        <v/>
      </c>
      <c r="R162" s="43" t="str">
        <f>IF(OR($B162="",$A162&gt;$B$9,R$136=""),"",IF(COUNTIFS(BD!$B$3:$B$5001,R$136,BD!$A$3:$A$5001,"&gt;="&amp;$C$7,BD!$A$3:$A$5001,"&lt;="&amp;$B162,BD!$V$3:$V$5001,"&lt;&gt;")=0,"",SUMIFS(BD!$V$3:$V$5001,BD!$B$3:$B$5001,R$136,BD!$A$3:$A$5001,_xlfn.MAXIFS(BD!$A$3:$A$5001,BD!$B$3:$B$5001,R$136,BD!$A$3:$A$5001,"&gt;="&amp;$C$7,BD!$A$3:$A$5001,"&lt;="&amp;$B162,BD!$V$3:$V$5001,"&lt;&gt;"))))</f>
        <v/>
      </c>
      <c r="S162" s="43" t="str">
        <f>IF(OR($B162="",$A162&gt;$B$9,S$136=""),"",IF(COUNTIFS(BD!$B$3:$B$5001,S$136,BD!$A$3:$A$5001,"&gt;="&amp;$C$7,BD!$A$3:$A$5001,"&lt;="&amp;$B162,BD!$V$3:$V$5001,"&lt;&gt;")=0,"",SUMIFS(BD!$V$3:$V$5001,BD!$B$3:$B$5001,S$136,BD!$A$3:$A$5001,_xlfn.MAXIFS(BD!$A$3:$A$5001,BD!$B$3:$B$5001,S$136,BD!$A$3:$A$5001,"&gt;="&amp;$C$7,BD!$A$3:$A$5001,"&lt;="&amp;$B162,BD!$V$3:$V$5001,"&lt;&gt;"))))</f>
        <v/>
      </c>
      <c r="T162" s="43" t="str">
        <f>IF(OR($B162="",$A162&gt;$B$9,T$136=""),"",IF(COUNTIFS(BD!$B$3:$B$5001,T$136,BD!$A$3:$A$5001,"&gt;="&amp;$C$7,BD!$A$3:$A$5001,"&lt;="&amp;$B162,BD!$V$3:$V$5001,"&lt;&gt;")=0,"",SUMIFS(BD!$V$3:$V$5001,BD!$B$3:$B$5001,T$136,BD!$A$3:$A$5001,_xlfn.MAXIFS(BD!$A$3:$A$5001,BD!$B$3:$B$5001,T$136,BD!$A$3:$A$5001,"&gt;="&amp;$C$7,BD!$A$3:$A$5001,"&lt;="&amp;$B162,BD!$V$3:$V$5001,"&lt;&gt;"))))</f>
        <v/>
      </c>
      <c r="U162" s="43" t="str">
        <f>IF(OR($B162="",$A162&gt;$B$9,U$136=""),"",IF(COUNTIFS(BD!$B$3:$B$5001,U$136,BD!$A$3:$A$5001,"&gt;="&amp;$C$7,BD!$A$3:$A$5001,"&lt;="&amp;$B162,BD!$V$3:$V$5001,"&lt;&gt;")=0,"",SUMIFS(BD!$V$3:$V$5001,BD!$B$3:$B$5001,U$136,BD!$A$3:$A$5001,_xlfn.MAXIFS(BD!$A$3:$A$5001,BD!$B$3:$B$5001,U$136,BD!$A$3:$A$5001,"&gt;="&amp;$C$7,BD!$A$3:$A$5001,"&lt;="&amp;$B162,BD!$V$3:$V$5001,"&lt;&gt;"))))</f>
        <v/>
      </c>
      <c r="V162" s="43" t="str">
        <f>IF(OR($B162="",$A162&gt;$B$9,V$136=""),"",IF(COUNTIFS(BD!$B$3:$B$5001,V$136,BD!$A$3:$A$5001,"&gt;="&amp;$C$7,BD!$A$3:$A$5001,"&lt;="&amp;$B162,BD!$V$3:$V$5001,"&lt;&gt;")=0,"",SUMIFS(BD!$V$3:$V$5001,BD!$B$3:$B$5001,V$136,BD!$A$3:$A$5001,_xlfn.MAXIFS(BD!$A$3:$A$5001,BD!$B$3:$B$5001,V$136,BD!$A$3:$A$5001,"&gt;="&amp;$C$7,BD!$A$3:$A$5001,"&lt;="&amp;$B162,BD!$V$3:$V$5001,"&lt;&gt;"))))</f>
        <v/>
      </c>
    </row>
    <row r="163">
      <c r="A163" s="38">
        <v>27</v>
      </c>
      <c r="B163" s="42">
        <f>$B$38</f>
        <v>46322</v>
      </c>
      <c r="C163" s="43" t="str">
        <f>IF(OR($B163="",$A163&gt;$B$9,C$136=""),"",IF(COUNTIFS(BD!$B$3:$B$5001,C$136,BD!$A$3:$A$5001,"&gt;="&amp;$C$7,BD!$A$3:$A$5001,"&lt;="&amp;$B163,BD!$V$3:$V$5001,"&lt;&gt;")=0,"",SUMIFS(BD!$V$3:$V$5001,BD!$B$3:$B$5001,C$136,BD!$A$3:$A$5001,_xlfn.MAXIFS(BD!$A$3:$A$5001,BD!$B$3:$B$5001,C$136,BD!$A$3:$A$5001,"&gt;="&amp;$C$7,BD!$A$3:$A$5001,"&lt;="&amp;$B163,BD!$V$3:$V$5001,"&lt;&gt;"))))</f>
        <v/>
      </c>
      <c r="D163" s="43" t="str">
        <f>IF(OR($B163="",$A163&gt;$B$9,D$136=""),"",IF(COUNTIFS(BD!$B$3:$B$5001,D$136,BD!$A$3:$A$5001,"&gt;="&amp;$C$7,BD!$A$3:$A$5001,"&lt;="&amp;$B163,BD!$V$3:$V$5001,"&lt;&gt;")=0,"",SUMIFS(BD!$V$3:$V$5001,BD!$B$3:$B$5001,D$136,BD!$A$3:$A$5001,_xlfn.MAXIFS(BD!$A$3:$A$5001,BD!$B$3:$B$5001,D$136,BD!$A$3:$A$5001,"&gt;="&amp;$C$7,BD!$A$3:$A$5001,"&lt;="&amp;$B163,BD!$V$3:$V$5001,"&lt;&gt;"))))</f>
        <v/>
      </c>
      <c r="E163" s="43" t="str">
        <f>IF(OR($B163="",$A163&gt;$B$9,E$136=""),"",IF(COUNTIFS(BD!$B$3:$B$5001,E$136,BD!$A$3:$A$5001,"&gt;="&amp;$C$7,BD!$A$3:$A$5001,"&lt;="&amp;$B163,BD!$V$3:$V$5001,"&lt;&gt;")=0,"",SUMIFS(BD!$V$3:$V$5001,BD!$B$3:$B$5001,E$136,BD!$A$3:$A$5001,_xlfn.MAXIFS(BD!$A$3:$A$5001,BD!$B$3:$B$5001,E$136,BD!$A$3:$A$5001,"&gt;="&amp;$C$7,BD!$A$3:$A$5001,"&lt;="&amp;$B163,BD!$V$3:$V$5001,"&lt;&gt;"))))</f>
        <v/>
      </c>
      <c r="F163" s="43" t="str">
        <f>IF(OR($B163="",$A163&gt;$B$9,F$136=""),"",IF(COUNTIFS(BD!$B$3:$B$5001,F$136,BD!$A$3:$A$5001,"&gt;="&amp;$C$7,BD!$A$3:$A$5001,"&lt;="&amp;$B163,BD!$V$3:$V$5001,"&lt;&gt;")=0,"",SUMIFS(BD!$V$3:$V$5001,BD!$B$3:$B$5001,F$136,BD!$A$3:$A$5001,_xlfn.MAXIFS(BD!$A$3:$A$5001,BD!$B$3:$B$5001,F$136,BD!$A$3:$A$5001,"&gt;="&amp;$C$7,BD!$A$3:$A$5001,"&lt;="&amp;$B163,BD!$V$3:$V$5001,"&lt;&gt;"))))</f>
        <v/>
      </c>
      <c r="G163" s="43" t="str">
        <f>IF(OR($B163="",$A163&gt;$B$9,G$136=""),"",IF(COUNTIFS(BD!$B$3:$B$5001,G$136,BD!$A$3:$A$5001,"&gt;="&amp;$C$7,BD!$A$3:$A$5001,"&lt;="&amp;$B163,BD!$V$3:$V$5001,"&lt;&gt;")=0,"",SUMIFS(BD!$V$3:$V$5001,BD!$B$3:$B$5001,G$136,BD!$A$3:$A$5001,_xlfn.MAXIFS(BD!$A$3:$A$5001,BD!$B$3:$B$5001,G$136,BD!$A$3:$A$5001,"&gt;="&amp;$C$7,BD!$A$3:$A$5001,"&lt;="&amp;$B163,BD!$V$3:$V$5001,"&lt;&gt;"))))</f>
        <v/>
      </c>
      <c r="H163" s="43" t="str">
        <f>IF(OR($B163="",$A163&gt;$B$9,H$136=""),"",IF(COUNTIFS(BD!$B$3:$B$5001,H$136,BD!$A$3:$A$5001,"&gt;="&amp;$C$7,BD!$A$3:$A$5001,"&lt;="&amp;$B163,BD!$V$3:$V$5001,"&lt;&gt;")=0,"",SUMIFS(BD!$V$3:$V$5001,BD!$B$3:$B$5001,H$136,BD!$A$3:$A$5001,_xlfn.MAXIFS(BD!$A$3:$A$5001,BD!$B$3:$B$5001,H$136,BD!$A$3:$A$5001,"&gt;="&amp;$C$7,BD!$A$3:$A$5001,"&lt;="&amp;$B163,BD!$V$3:$V$5001,"&lt;&gt;"))))</f>
        <v/>
      </c>
      <c r="I163" s="43" t="str">
        <f>IF(OR($B163="",$A163&gt;$B$9,I$136=""),"",IF(COUNTIFS(BD!$B$3:$B$5001,I$136,BD!$A$3:$A$5001,"&gt;="&amp;$C$7,BD!$A$3:$A$5001,"&lt;="&amp;$B163,BD!$V$3:$V$5001,"&lt;&gt;")=0,"",SUMIFS(BD!$V$3:$V$5001,BD!$B$3:$B$5001,I$136,BD!$A$3:$A$5001,_xlfn.MAXIFS(BD!$A$3:$A$5001,BD!$B$3:$B$5001,I$136,BD!$A$3:$A$5001,"&gt;="&amp;$C$7,BD!$A$3:$A$5001,"&lt;="&amp;$B163,BD!$V$3:$V$5001,"&lt;&gt;"))))</f>
        <v/>
      </c>
      <c r="J163" s="43" t="str">
        <f>IF(OR($B163="",$A163&gt;$B$9,J$136=""),"",IF(COUNTIFS(BD!$B$3:$B$5001,J$136,BD!$A$3:$A$5001,"&gt;="&amp;$C$7,BD!$A$3:$A$5001,"&lt;="&amp;$B163,BD!$V$3:$V$5001,"&lt;&gt;")=0,"",SUMIFS(BD!$V$3:$V$5001,BD!$B$3:$B$5001,J$136,BD!$A$3:$A$5001,_xlfn.MAXIFS(BD!$A$3:$A$5001,BD!$B$3:$B$5001,J$136,BD!$A$3:$A$5001,"&gt;="&amp;$C$7,BD!$A$3:$A$5001,"&lt;="&amp;$B163,BD!$V$3:$V$5001,"&lt;&gt;"))))</f>
        <v/>
      </c>
      <c r="K163" s="43" t="str">
        <f>IF(OR($B163="",$A163&gt;$B$9,K$136=""),"",IF(COUNTIFS(BD!$B$3:$B$5001,K$136,BD!$A$3:$A$5001,"&gt;="&amp;$C$7,BD!$A$3:$A$5001,"&lt;="&amp;$B163,BD!$V$3:$V$5001,"&lt;&gt;")=0,"",SUMIFS(BD!$V$3:$V$5001,BD!$B$3:$B$5001,K$136,BD!$A$3:$A$5001,_xlfn.MAXIFS(BD!$A$3:$A$5001,BD!$B$3:$B$5001,K$136,BD!$A$3:$A$5001,"&gt;="&amp;$C$7,BD!$A$3:$A$5001,"&lt;="&amp;$B163,BD!$V$3:$V$5001,"&lt;&gt;"))))</f>
        <v/>
      </c>
      <c r="L163" s="43" t="str">
        <f>IF(OR($B163="",$A163&gt;$B$9,L$136=""),"",IF(COUNTIFS(BD!$B$3:$B$5001,L$136,BD!$A$3:$A$5001,"&gt;="&amp;$C$7,BD!$A$3:$A$5001,"&lt;="&amp;$B163,BD!$V$3:$V$5001,"&lt;&gt;")=0,"",SUMIFS(BD!$V$3:$V$5001,BD!$B$3:$B$5001,L$136,BD!$A$3:$A$5001,_xlfn.MAXIFS(BD!$A$3:$A$5001,BD!$B$3:$B$5001,L$136,BD!$A$3:$A$5001,"&gt;="&amp;$C$7,BD!$A$3:$A$5001,"&lt;="&amp;$B163,BD!$V$3:$V$5001,"&lt;&gt;"))))</f>
        <v/>
      </c>
      <c r="M163" s="43" t="str">
        <f>IF(OR($B163="",$A163&gt;$B$9,M$136=""),"",IF(COUNTIFS(BD!$B$3:$B$5001,M$136,BD!$A$3:$A$5001,"&gt;="&amp;$C$7,BD!$A$3:$A$5001,"&lt;="&amp;$B163,BD!$V$3:$V$5001,"&lt;&gt;")=0,"",SUMIFS(BD!$V$3:$V$5001,BD!$B$3:$B$5001,M$136,BD!$A$3:$A$5001,_xlfn.MAXIFS(BD!$A$3:$A$5001,BD!$B$3:$B$5001,M$136,BD!$A$3:$A$5001,"&gt;="&amp;$C$7,BD!$A$3:$A$5001,"&lt;="&amp;$B163,BD!$V$3:$V$5001,"&lt;&gt;"))))</f>
        <v/>
      </c>
      <c r="N163" s="43" t="str">
        <f>IF(OR($B163="",$A163&gt;$B$9,N$136=""),"",IF(COUNTIFS(BD!$B$3:$B$5001,N$136,BD!$A$3:$A$5001,"&gt;="&amp;$C$7,BD!$A$3:$A$5001,"&lt;="&amp;$B163,BD!$V$3:$V$5001,"&lt;&gt;")=0,"",SUMIFS(BD!$V$3:$V$5001,BD!$B$3:$B$5001,N$136,BD!$A$3:$A$5001,_xlfn.MAXIFS(BD!$A$3:$A$5001,BD!$B$3:$B$5001,N$136,BD!$A$3:$A$5001,"&gt;="&amp;$C$7,BD!$A$3:$A$5001,"&lt;="&amp;$B163,BD!$V$3:$V$5001,"&lt;&gt;"))))</f>
        <v/>
      </c>
      <c r="O163" s="43" t="str">
        <f>IF(OR($B163="",$A163&gt;$B$9,O$136=""),"",IF(COUNTIFS(BD!$B$3:$B$5001,O$136,BD!$A$3:$A$5001,"&gt;="&amp;$C$7,BD!$A$3:$A$5001,"&lt;="&amp;$B163,BD!$V$3:$V$5001,"&lt;&gt;")=0,"",SUMIFS(BD!$V$3:$V$5001,BD!$B$3:$B$5001,O$136,BD!$A$3:$A$5001,_xlfn.MAXIFS(BD!$A$3:$A$5001,BD!$B$3:$B$5001,O$136,BD!$A$3:$A$5001,"&gt;="&amp;$C$7,BD!$A$3:$A$5001,"&lt;="&amp;$B163,BD!$V$3:$V$5001,"&lt;&gt;"))))</f>
        <v/>
      </c>
      <c r="P163" s="43" t="str">
        <f>IF(OR($B163="",$A163&gt;$B$9,P$136=""),"",IF(COUNTIFS(BD!$B$3:$B$5001,P$136,BD!$A$3:$A$5001,"&gt;="&amp;$C$7,BD!$A$3:$A$5001,"&lt;="&amp;$B163,BD!$V$3:$V$5001,"&lt;&gt;")=0,"",SUMIFS(BD!$V$3:$V$5001,BD!$B$3:$B$5001,P$136,BD!$A$3:$A$5001,_xlfn.MAXIFS(BD!$A$3:$A$5001,BD!$B$3:$B$5001,P$136,BD!$A$3:$A$5001,"&gt;="&amp;$C$7,BD!$A$3:$A$5001,"&lt;="&amp;$B163,BD!$V$3:$V$5001,"&lt;&gt;"))))</f>
        <v/>
      </c>
      <c r="Q163" s="43" t="str">
        <f>IF(OR($B163="",$A163&gt;$B$9,Q$136=""),"",IF(COUNTIFS(BD!$B$3:$B$5001,Q$136,BD!$A$3:$A$5001,"&gt;="&amp;$C$7,BD!$A$3:$A$5001,"&lt;="&amp;$B163,BD!$V$3:$V$5001,"&lt;&gt;")=0,"",SUMIFS(BD!$V$3:$V$5001,BD!$B$3:$B$5001,Q$136,BD!$A$3:$A$5001,_xlfn.MAXIFS(BD!$A$3:$A$5001,BD!$B$3:$B$5001,Q$136,BD!$A$3:$A$5001,"&gt;="&amp;$C$7,BD!$A$3:$A$5001,"&lt;="&amp;$B163,BD!$V$3:$V$5001,"&lt;&gt;"))))</f>
        <v/>
      </c>
      <c r="R163" s="43" t="str">
        <f>IF(OR($B163="",$A163&gt;$B$9,R$136=""),"",IF(COUNTIFS(BD!$B$3:$B$5001,R$136,BD!$A$3:$A$5001,"&gt;="&amp;$C$7,BD!$A$3:$A$5001,"&lt;="&amp;$B163,BD!$V$3:$V$5001,"&lt;&gt;")=0,"",SUMIFS(BD!$V$3:$V$5001,BD!$B$3:$B$5001,R$136,BD!$A$3:$A$5001,_xlfn.MAXIFS(BD!$A$3:$A$5001,BD!$B$3:$B$5001,R$136,BD!$A$3:$A$5001,"&gt;="&amp;$C$7,BD!$A$3:$A$5001,"&lt;="&amp;$B163,BD!$V$3:$V$5001,"&lt;&gt;"))))</f>
        <v/>
      </c>
      <c r="S163" s="43" t="str">
        <f>IF(OR($B163="",$A163&gt;$B$9,S$136=""),"",IF(COUNTIFS(BD!$B$3:$B$5001,S$136,BD!$A$3:$A$5001,"&gt;="&amp;$C$7,BD!$A$3:$A$5001,"&lt;="&amp;$B163,BD!$V$3:$V$5001,"&lt;&gt;")=0,"",SUMIFS(BD!$V$3:$V$5001,BD!$B$3:$B$5001,S$136,BD!$A$3:$A$5001,_xlfn.MAXIFS(BD!$A$3:$A$5001,BD!$B$3:$B$5001,S$136,BD!$A$3:$A$5001,"&gt;="&amp;$C$7,BD!$A$3:$A$5001,"&lt;="&amp;$B163,BD!$V$3:$V$5001,"&lt;&gt;"))))</f>
        <v/>
      </c>
      <c r="T163" s="43" t="str">
        <f>IF(OR($B163="",$A163&gt;$B$9,T$136=""),"",IF(COUNTIFS(BD!$B$3:$B$5001,T$136,BD!$A$3:$A$5001,"&gt;="&amp;$C$7,BD!$A$3:$A$5001,"&lt;="&amp;$B163,BD!$V$3:$V$5001,"&lt;&gt;")=0,"",SUMIFS(BD!$V$3:$V$5001,BD!$B$3:$B$5001,T$136,BD!$A$3:$A$5001,_xlfn.MAXIFS(BD!$A$3:$A$5001,BD!$B$3:$B$5001,T$136,BD!$A$3:$A$5001,"&gt;="&amp;$C$7,BD!$A$3:$A$5001,"&lt;="&amp;$B163,BD!$V$3:$V$5001,"&lt;&gt;"))))</f>
        <v/>
      </c>
      <c r="U163" s="43" t="str">
        <f>IF(OR($B163="",$A163&gt;$B$9,U$136=""),"",IF(COUNTIFS(BD!$B$3:$B$5001,U$136,BD!$A$3:$A$5001,"&gt;="&amp;$C$7,BD!$A$3:$A$5001,"&lt;="&amp;$B163,BD!$V$3:$V$5001,"&lt;&gt;")=0,"",SUMIFS(BD!$V$3:$V$5001,BD!$B$3:$B$5001,U$136,BD!$A$3:$A$5001,_xlfn.MAXIFS(BD!$A$3:$A$5001,BD!$B$3:$B$5001,U$136,BD!$A$3:$A$5001,"&gt;="&amp;$C$7,BD!$A$3:$A$5001,"&lt;="&amp;$B163,BD!$V$3:$V$5001,"&lt;&gt;"))))</f>
        <v/>
      </c>
      <c r="V163" s="43" t="str">
        <f>IF(OR($B163="",$A163&gt;$B$9,V$136=""),"",IF(COUNTIFS(BD!$B$3:$B$5001,V$136,BD!$A$3:$A$5001,"&gt;="&amp;$C$7,BD!$A$3:$A$5001,"&lt;="&amp;$B163,BD!$V$3:$V$5001,"&lt;&gt;")=0,"",SUMIFS(BD!$V$3:$V$5001,BD!$B$3:$B$5001,V$136,BD!$A$3:$A$5001,_xlfn.MAXIFS(BD!$A$3:$A$5001,BD!$B$3:$B$5001,V$136,BD!$A$3:$A$5001,"&gt;="&amp;$C$7,BD!$A$3:$A$5001,"&lt;="&amp;$B163,BD!$V$3:$V$5001,"&lt;&gt;"))))</f>
        <v/>
      </c>
    </row>
    <row r="164">
      <c r="A164" s="38">
        <v>28</v>
      </c>
      <c r="B164" s="42">
        <f>$B$39</f>
        <v>46323</v>
      </c>
      <c r="C164" s="43" t="str">
        <f>IF(OR($B164="",$A164&gt;$B$9,C$136=""),"",IF(COUNTIFS(BD!$B$3:$B$5001,C$136,BD!$A$3:$A$5001,"&gt;="&amp;$C$7,BD!$A$3:$A$5001,"&lt;="&amp;$B164,BD!$V$3:$V$5001,"&lt;&gt;")=0,"",SUMIFS(BD!$V$3:$V$5001,BD!$B$3:$B$5001,C$136,BD!$A$3:$A$5001,_xlfn.MAXIFS(BD!$A$3:$A$5001,BD!$B$3:$B$5001,C$136,BD!$A$3:$A$5001,"&gt;="&amp;$C$7,BD!$A$3:$A$5001,"&lt;="&amp;$B164,BD!$V$3:$V$5001,"&lt;&gt;"))))</f>
        <v/>
      </c>
      <c r="D164" s="43" t="str">
        <f>IF(OR($B164="",$A164&gt;$B$9,D$136=""),"",IF(COUNTIFS(BD!$B$3:$B$5001,D$136,BD!$A$3:$A$5001,"&gt;="&amp;$C$7,BD!$A$3:$A$5001,"&lt;="&amp;$B164,BD!$V$3:$V$5001,"&lt;&gt;")=0,"",SUMIFS(BD!$V$3:$V$5001,BD!$B$3:$B$5001,D$136,BD!$A$3:$A$5001,_xlfn.MAXIFS(BD!$A$3:$A$5001,BD!$B$3:$B$5001,D$136,BD!$A$3:$A$5001,"&gt;="&amp;$C$7,BD!$A$3:$A$5001,"&lt;="&amp;$B164,BD!$V$3:$V$5001,"&lt;&gt;"))))</f>
        <v/>
      </c>
      <c r="E164" s="43" t="str">
        <f>IF(OR($B164="",$A164&gt;$B$9,E$136=""),"",IF(COUNTIFS(BD!$B$3:$B$5001,E$136,BD!$A$3:$A$5001,"&gt;="&amp;$C$7,BD!$A$3:$A$5001,"&lt;="&amp;$B164,BD!$V$3:$V$5001,"&lt;&gt;")=0,"",SUMIFS(BD!$V$3:$V$5001,BD!$B$3:$B$5001,E$136,BD!$A$3:$A$5001,_xlfn.MAXIFS(BD!$A$3:$A$5001,BD!$B$3:$B$5001,E$136,BD!$A$3:$A$5001,"&gt;="&amp;$C$7,BD!$A$3:$A$5001,"&lt;="&amp;$B164,BD!$V$3:$V$5001,"&lt;&gt;"))))</f>
        <v/>
      </c>
      <c r="F164" s="43" t="str">
        <f>IF(OR($B164="",$A164&gt;$B$9,F$136=""),"",IF(COUNTIFS(BD!$B$3:$B$5001,F$136,BD!$A$3:$A$5001,"&gt;="&amp;$C$7,BD!$A$3:$A$5001,"&lt;="&amp;$B164,BD!$V$3:$V$5001,"&lt;&gt;")=0,"",SUMIFS(BD!$V$3:$V$5001,BD!$B$3:$B$5001,F$136,BD!$A$3:$A$5001,_xlfn.MAXIFS(BD!$A$3:$A$5001,BD!$B$3:$B$5001,F$136,BD!$A$3:$A$5001,"&gt;="&amp;$C$7,BD!$A$3:$A$5001,"&lt;="&amp;$B164,BD!$V$3:$V$5001,"&lt;&gt;"))))</f>
        <v/>
      </c>
      <c r="G164" s="43" t="str">
        <f>IF(OR($B164="",$A164&gt;$B$9,G$136=""),"",IF(COUNTIFS(BD!$B$3:$B$5001,G$136,BD!$A$3:$A$5001,"&gt;="&amp;$C$7,BD!$A$3:$A$5001,"&lt;="&amp;$B164,BD!$V$3:$V$5001,"&lt;&gt;")=0,"",SUMIFS(BD!$V$3:$V$5001,BD!$B$3:$B$5001,G$136,BD!$A$3:$A$5001,_xlfn.MAXIFS(BD!$A$3:$A$5001,BD!$B$3:$B$5001,G$136,BD!$A$3:$A$5001,"&gt;="&amp;$C$7,BD!$A$3:$A$5001,"&lt;="&amp;$B164,BD!$V$3:$V$5001,"&lt;&gt;"))))</f>
        <v/>
      </c>
      <c r="H164" s="43" t="str">
        <f>IF(OR($B164="",$A164&gt;$B$9,H$136=""),"",IF(COUNTIFS(BD!$B$3:$B$5001,H$136,BD!$A$3:$A$5001,"&gt;="&amp;$C$7,BD!$A$3:$A$5001,"&lt;="&amp;$B164,BD!$V$3:$V$5001,"&lt;&gt;")=0,"",SUMIFS(BD!$V$3:$V$5001,BD!$B$3:$B$5001,H$136,BD!$A$3:$A$5001,_xlfn.MAXIFS(BD!$A$3:$A$5001,BD!$B$3:$B$5001,H$136,BD!$A$3:$A$5001,"&gt;="&amp;$C$7,BD!$A$3:$A$5001,"&lt;="&amp;$B164,BD!$V$3:$V$5001,"&lt;&gt;"))))</f>
        <v/>
      </c>
      <c r="I164" s="43" t="str">
        <f>IF(OR($B164="",$A164&gt;$B$9,I$136=""),"",IF(COUNTIFS(BD!$B$3:$B$5001,I$136,BD!$A$3:$A$5001,"&gt;="&amp;$C$7,BD!$A$3:$A$5001,"&lt;="&amp;$B164,BD!$V$3:$V$5001,"&lt;&gt;")=0,"",SUMIFS(BD!$V$3:$V$5001,BD!$B$3:$B$5001,I$136,BD!$A$3:$A$5001,_xlfn.MAXIFS(BD!$A$3:$A$5001,BD!$B$3:$B$5001,I$136,BD!$A$3:$A$5001,"&gt;="&amp;$C$7,BD!$A$3:$A$5001,"&lt;="&amp;$B164,BD!$V$3:$V$5001,"&lt;&gt;"))))</f>
        <v/>
      </c>
      <c r="J164" s="43" t="str">
        <f>IF(OR($B164="",$A164&gt;$B$9,J$136=""),"",IF(COUNTIFS(BD!$B$3:$B$5001,J$136,BD!$A$3:$A$5001,"&gt;="&amp;$C$7,BD!$A$3:$A$5001,"&lt;="&amp;$B164,BD!$V$3:$V$5001,"&lt;&gt;")=0,"",SUMIFS(BD!$V$3:$V$5001,BD!$B$3:$B$5001,J$136,BD!$A$3:$A$5001,_xlfn.MAXIFS(BD!$A$3:$A$5001,BD!$B$3:$B$5001,J$136,BD!$A$3:$A$5001,"&gt;="&amp;$C$7,BD!$A$3:$A$5001,"&lt;="&amp;$B164,BD!$V$3:$V$5001,"&lt;&gt;"))))</f>
        <v/>
      </c>
      <c r="K164" s="43" t="str">
        <f>IF(OR($B164="",$A164&gt;$B$9,K$136=""),"",IF(COUNTIFS(BD!$B$3:$B$5001,K$136,BD!$A$3:$A$5001,"&gt;="&amp;$C$7,BD!$A$3:$A$5001,"&lt;="&amp;$B164,BD!$V$3:$V$5001,"&lt;&gt;")=0,"",SUMIFS(BD!$V$3:$V$5001,BD!$B$3:$B$5001,K$136,BD!$A$3:$A$5001,_xlfn.MAXIFS(BD!$A$3:$A$5001,BD!$B$3:$B$5001,K$136,BD!$A$3:$A$5001,"&gt;="&amp;$C$7,BD!$A$3:$A$5001,"&lt;="&amp;$B164,BD!$V$3:$V$5001,"&lt;&gt;"))))</f>
        <v/>
      </c>
      <c r="L164" s="43" t="str">
        <f>IF(OR($B164="",$A164&gt;$B$9,L$136=""),"",IF(COUNTIFS(BD!$B$3:$B$5001,L$136,BD!$A$3:$A$5001,"&gt;="&amp;$C$7,BD!$A$3:$A$5001,"&lt;="&amp;$B164,BD!$V$3:$V$5001,"&lt;&gt;")=0,"",SUMIFS(BD!$V$3:$V$5001,BD!$B$3:$B$5001,L$136,BD!$A$3:$A$5001,_xlfn.MAXIFS(BD!$A$3:$A$5001,BD!$B$3:$B$5001,L$136,BD!$A$3:$A$5001,"&gt;="&amp;$C$7,BD!$A$3:$A$5001,"&lt;="&amp;$B164,BD!$V$3:$V$5001,"&lt;&gt;"))))</f>
        <v/>
      </c>
      <c r="M164" s="43" t="str">
        <f>IF(OR($B164="",$A164&gt;$B$9,M$136=""),"",IF(COUNTIFS(BD!$B$3:$B$5001,M$136,BD!$A$3:$A$5001,"&gt;="&amp;$C$7,BD!$A$3:$A$5001,"&lt;="&amp;$B164,BD!$V$3:$V$5001,"&lt;&gt;")=0,"",SUMIFS(BD!$V$3:$V$5001,BD!$B$3:$B$5001,M$136,BD!$A$3:$A$5001,_xlfn.MAXIFS(BD!$A$3:$A$5001,BD!$B$3:$B$5001,M$136,BD!$A$3:$A$5001,"&gt;="&amp;$C$7,BD!$A$3:$A$5001,"&lt;="&amp;$B164,BD!$V$3:$V$5001,"&lt;&gt;"))))</f>
        <v/>
      </c>
      <c r="N164" s="43" t="str">
        <f>IF(OR($B164="",$A164&gt;$B$9,N$136=""),"",IF(COUNTIFS(BD!$B$3:$B$5001,N$136,BD!$A$3:$A$5001,"&gt;="&amp;$C$7,BD!$A$3:$A$5001,"&lt;="&amp;$B164,BD!$V$3:$V$5001,"&lt;&gt;")=0,"",SUMIFS(BD!$V$3:$V$5001,BD!$B$3:$B$5001,N$136,BD!$A$3:$A$5001,_xlfn.MAXIFS(BD!$A$3:$A$5001,BD!$B$3:$B$5001,N$136,BD!$A$3:$A$5001,"&gt;="&amp;$C$7,BD!$A$3:$A$5001,"&lt;="&amp;$B164,BD!$V$3:$V$5001,"&lt;&gt;"))))</f>
        <v/>
      </c>
      <c r="O164" s="43" t="str">
        <f>IF(OR($B164="",$A164&gt;$B$9,O$136=""),"",IF(COUNTIFS(BD!$B$3:$B$5001,O$136,BD!$A$3:$A$5001,"&gt;="&amp;$C$7,BD!$A$3:$A$5001,"&lt;="&amp;$B164,BD!$V$3:$V$5001,"&lt;&gt;")=0,"",SUMIFS(BD!$V$3:$V$5001,BD!$B$3:$B$5001,O$136,BD!$A$3:$A$5001,_xlfn.MAXIFS(BD!$A$3:$A$5001,BD!$B$3:$B$5001,O$136,BD!$A$3:$A$5001,"&gt;="&amp;$C$7,BD!$A$3:$A$5001,"&lt;="&amp;$B164,BD!$V$3:$V$5001,"&lt;&gt;"))))</f>
        <v/>
      </c>
      <c r="P164" s="43" t="str">
        <f>IF(OR($B164="",$A164&gt;$B$9,P$136=""),"",IF(COUNTIFS(BD!$B$3:$B$5001,P$136,BD!$A$3:$A$5001,"&gt;="&amp;$C$7,BD!$A$3:$A$5001,"&lt;="&amp;$B164,BD!$V$3:$V$5001,"&lt;&gt;")=0,"",SUMIFS(BD!$V$3:$V$5001,BD!$B$3:$B$5001,P$136,BD!$A$3:$A$5001,_xlfn.MAXIFS(BD!$A$3:$A$5001,BD!$B$3:$B$5001,P$136,BD!$A$3:$A$5001,"&gt;="&amp;$C$7,BD!$A$3:$A$5001,"&lt;="&amp;$B164,BD!$V$3:$V$5001,"&lt;&gt;"))))</f>
        <v/>
      </c>
      <c r="Q164" s="43" t="str">
        <f>IF(OR($B164="",$A164&gt;$B$9,Q$136=""),"",IF(COUNTIFS(BD!$B$3:$B$5001,Q$136,BD!$A$3:$A$5001,"&gt;="&amp;$C$7,BD!$A$3:$A$5001,"&lt;="&amp;$B164,BD!$V$3:$V$5001,"&lt;&gt;")=0,"",SUMIFS(BD!$V$3:$V$5001,BD!$B$3:$B$5001,Q$136,BD!$A$3:$A$5001,_xlfn.MAXIFS(BD!$A$3:$A$5001,BD!$B$3:$B$5001,Q$136,BD!$A$3:$A$5001,"&gt;="&amp;$C$7,BD!$A$3:$A$5001,"&lt;="&amp;$B164,BD!$V$3:$V$5001,"&lt;&gt;"))))</f>
        <v/>
      </c>
      <c r="R164" s="43" t="str">
        <f>IF(OR($B164="",$A164&gt;$B$9,R$136=""),"",IF(COUNTIFS(BD!$B$3:$B$5001,R$136,BD!$A$3:$A$5001,"&gt;="&amp;$C$7,BD!$A$3:$A$5001,"&lt;="&amp;$B164,BD!$V$3:$V$5001,"&lt;&gt;")=0,"",SUMIFS(BD!$V$3:$V$5001,BD!$B$3:$B$5001,R$136,BD!$A$3:$A$5001,_xlfn.MAXIFS(BD!$A$3:$A$5001,BD!$B$3:$B$5001,R$136,BD!$A$3:$A$5001,"&gt;="&amp;$C$7,BD!$A$3:$A$5001,"&lt;="&amp;$B164,BD!$V$3:$V$5001,"&lt;&gt;"))))</f>
        <v/>
      </c>
      <c r="S164" s="43" t="str">
        <f>IF(OR($B164="",$A164&gt;$B$9,S$136=""),"",IF(COUNTIFS(BD!$B$3:$B$5001,S$136,BD!$A$3:$A$5001,"&gt;="&amp;$C$7,BD!$A$3:$A$5001,"&lt;="&amp;$B164,BD!$V$3:$V$5001,"&lt;&gt;")=0,"",SUMIFS(BD!$V$3:$V$5001,BD!$B$3:$B$5001,S$136,BD!$A$3:$A$5001,_xlfn.MAXIFS(BD!$A$3:$A$5001,BD!$B$3:$B$5001,S$136,BD!$A$3:$A$5001,"&gt;="&amp;$C$7,BD!$A$3:$A$5001,"&lt;="&amp;$B164,BD!$V$3:$V$5001,"&lt;&gt;"))))</f>
        <v/>
      </c>
      <c r="T164" s="43" t="str">
        <f>IF(OR($B164="",$A164&gt;$B$9,T$136=""),"",IF(COUNTIFS(BD!$B$3:$B$5001,T$136,BD!$A$3:$A$5001,"&gt;="&amp;$C$7,BD!$A$3:$A$5001,"&lt;="&amp;$B164,BD!$V$3:$V$5001,"&lt;&gt;")=0,"",SUMIFS(BD!$V$3:$V$5001,BD!$B$3:$B$5001,T$136,BD!$A$3:$A$5001,_xlfn.MAXIFS(BD!$A$3:$A$5001,BD!$B$3:$B$5001,T$136,BD!$A$3:$A$5001,"&gt;="&amp;$C$7,BD!$A$3:$A$5001,"&lt;="&amp;$B164,BD!$V$3:$V$5001,"&lt;&gt;"))))</f>
        <v/>
      </c>
      <c r="U164" s="43" t="str">
        <f>IF(OR($B164="",$A164&gt;$B$9,U$136=""),"",IF(COUNTIFS(BD!$B$3:$B$5001,U$136,BD!$A$3:$A$5001,"&gt;="&amp;$C$7,BD!$A$3:$A$5001,"&lt;="&amp;$B164,BD!$V$3:$V$5001,"&lt;&gt;")=0,"",SUMIFS(BD!$V$3:$V$5001,BD!$B$3:$B$5001,U$136,BD!$A$3:$A$5001,_xlfn.MAXIFS(BD!$A$3:$A$5001,BD!$B$3:$B$5001,U$136,BD!$A$3:$A$5001,"&gt;="&amp;$C$7,BD!$A$3:$A$5001,"&lt;="&amp;$B164,BD!$V$3:$V$5001,"&lt;&gt;"))))</f>
        <v/>
      </c>
      <c r="V164" s="43" t="str">
        <f>IF(OR($B164="",$A164&gt;$B$9,V$136=""),"",IF(COUNTIFS(BD!$B$3:$B$5001,V$136,BD!$A$3:$A$5001,"&gt;="&amp;$C$7,BD!$A$3:$A$5001,"&lt;="&amp;$B164,BD!$V$3:$V$5001,"&lt;&gt;")=0,"",SUMIFS(BD!$V$3:$V$5001,BD!$B$3:$B$5001,V$136,BD!$A$3:$A$5001,_xlfn.MAXIFS(BD!$A$3:$A$5001,BD!$B$3:$B$5001,V$136,BD!$A$3:$A$5001,"&gt;="&amp;$C$7,BD!$A$3:$A$5001,"&lt;="&amp;$B164,BD!$V$3:$V$5001,"&lt;&gt;"))))</f>
        <v/>
      </c>
    </row>
    <row r="165">
      <c r="A165" s="38">
        <v>29</v>
      </c>
      <c r="B165" s="42">
        <f>$B$40</f>
        <v>46324</v>
      </c>
      <c r="C165" s="43" t="str">
        <f>IF(OR($B165="",$A165&gt;$B$9,C$136=""),"",IF(COUNTIFS(BD!$B$3:$B$5001,C$136,BD!$A$3:$A$5001,"&gt;="&amp;$C$7,BD!$A$3:$A$5001,"&lt;="&amp;$B165,BD!$V$3:$V$5001,"&lt;&gt;")=0,"",SUMIFS(BD!$V$3:$V$5001,BD!$B$3:$B$5001,C$136,BD!$A$3:$A$5001,_xlfn.MAXIFS(BD!$A$3:$A$5001,BD!$B$3:$B$5001,C$136,BD!$A$3:$A$5001,"&gt;="&amp;$C$7,BD!$A$3:$A$5001,"&lt;="&amp;$B165,BD!$V$3:$V$5001,"&lt;&gt;"))))</f>
        <v/>
      </c>
      <c r="D165" s="43" t="str">
        <f>IF(OR($B165="",$A165&gt;$B$9,D$136=""),"",IF(COUNTIFS(BD!$B$3:$B$5001,D$136,BD!$A$3:$A$5001,"&gt;="&amp;$C$7,BD!$A$3:$A$5001,"&lt;="&amp;$B165,BD!$V$3:$V$5001,"&lt;&gt;")=0,"",SUMIFS(BD!$V$3:$V$5001,BD!$B$3:$B$5001,D$136,BD!$A$3:$A$5001,_xlfn.MAXIFS(BD!$A$3:$A$5001,BD!$B$3:$B$5001,D$136,BD!$A$3:$A$5001,"&gt;="&amp;$C$7,BD!$A$3:$A$5001,"&lt;="&amp;$B165,BD!$V$3:$V$5001,"&lt;&gt;"))))</f>
        <v/>
      </c>
      <c r="E165" s="43" t="str">
        <f>IF(OR($B165="",$A165&gt;$B$9,E$136=""),"",IF(COUNTIFS(BD!$B$3:$B$5001,E$136,BD!$A$3:$A$5001,"&gt;="&amp;$C$7,BD!$A$3:$A$5001,"&lt;="&amp;$B165,BD!$V$3:$V$5001,"&lt;&gt;")=0,"",SUMIFS(BD!$V$3:$V$5001,BD!$B$3:$B$5001,E$136,BD!$A$3:$A$5001,_xlfn.MAXIFS(BD!$A$3:$A$5001,BD!$B$3:$B$5001,E$136,BD!$A$3:$A$5001,"&gt;="&amp;$C$7,BD!$A$3:$A$5001,"&lt;="&amp;$B165,BD!$V$3:$V$5001,"&lt;&gt;"))))</f>
        <v/>
      </c>
      <c r="F165" s="43" t="str">
        <f>IF(OR($B165="",$A165&gt;$B$9,F$136=""),"",IF(COUNTIFS(BD!$B$3:$B$5001,F$136,BD!$A$3:$A$5001,"&gt;="&amp;$C$7,BD!$A$3:$A$5001,"&lt;="&amp;$B165,BD!$V$3:$V$5001,"&lt;&gt;")=0,"",SUMIFS(BD!$V$3:$V$5001,BD!$B$3:$B$5001,F$136,BD!$A$3:$A$5001,_xlfn.MAXIFS(BD!$A$3:$A$5001,BD!$B$3:$B$5001,F$136,BD!$A$3:$A$5001,"&gt;="&amp;$C$7,BD!$A$3:$A$5001,"&lt;="&amp;$B165,BD!$V$3:$V$5001,"&lt;&gt;"))))</f>
        <v/>
      </c>
      <c r="G165" s="43" t="str">
        <f>IF(OR($B165="",$A165&gt;$B$9,G$136=""),"",IF(COUNTIFS(BD!$B$3:$B$5001,G$136,BD!$A$3:$A$5001,"&gt;="&amp;$C$7,BD!$A$3:$A$5001,"&lt;="&amp;$B165,BD!$V$3:$V$5001,"&lt;&gt;")=0,"",SUMIFS(BD!$V$3:$V$5001,BD!$B$3:$B$5001,G$136,BD!$A$3:$A$5001,_xlfn.MAXIFS(BD!$A$3:$A$5001,BD!$B$3:$B$5001,G$136,BD!$A$3:$A$5001,"&gt;="&amp;$C$7,BD!$A$3:$A$5001,"&lt;="&amp;$B165,BD!$V$3:$V$5001,"&lt;&gt;"))))</f>
        <v/>
      </c>
      <c r="H165" s="43" t="str">
        <f>IF(OR($B165="",$A165&gt;$B$9,H$136=""),"",IF(COUNTIFS(BD!$B$3:$B$5001,H$136,BD!$A$3:$A$5001,"&gt;="&amp;$C$7,BD!$A$3:$A$5001,"&lt;="&amp;$B165,BD!$V$3:$V$5001,"&lt;&gt;")=0,"",SUMIFS(BD!$V$3:$V$5001,BD!$B$3:$B$5001,H$136,BD!$A$3:$A$5001,_xlfn.MAXIFS(BD!$A$3:$A$5001,BD!$B$3:$B$5001,H$136,BD!$A$3:$A$5001,"&gt;="&amp;$C$7,BD!$A$3:$A$5001,"&lt;="&amp;$B165,BD!$V$3:$V$5001,"&lt;&gt;"))))</f>
        <v/>
      </c>
      <c r="I165" s="43" t="str">
        <f>IF(OR($B165="",$A165&gt;$B$9,I$136=""),"",IF(COUNTIFS(BD!$B$3:$B$5001,I$136,BD!$A$3:$A$5001,"&gt;="&amp;$C$7,BD!$A$3:$A$5001,"&lt;="&amp;$B165,BD!$V$3:$V$5001,"&lt;&gt;")=0,"",SUMIFS(BD!$V$3:$V$5001,BD!$B$3:$B$5001,I$136,BD!$A$3:$A$5001,_xlfn.MAXIFS(BD!$A$3:$A$5001,BD!$B$3:$B$5001,I$136,BD!$A$3:$A$5001,"&gt;="&amp;$C$7,BD!$A$3:$A$5001,"&lt;="&amp;$B165,BD!$V$3:$V$5001,"&lt;&gt;"))))</f>
        <v/>
      </c>
      <c r="J165" s="43" t="str">
        <f>IF(OR($B165="",$A165&gt;$B$9,J$136=""),"",IF(COUNTIFS(BD!$B$3:$B$5001,J$136,BD!$A$3:$A$5001,"&gt;="&amp;$C$7,BD!$A$3:$A$5001,"&lt;="&amp;$B165,BD!$V$3:$V$5001,"&lt;&gt;")=0,"",SUMIFS(BD!$V$3:$V$5001,BD!$B$3:$B$5001,J$136,BD!$A$3:$A$5001,_xlfn.MAXIFS(BD!$A$3:$A$5001,BD!$B$3:$B$5001,J$136,BD!$A$3:$A$5001,"&gt;="&amp;$C$7,BD!$A$3:$A$5001,"&lt;="&amp;$B165,BD!$V$3:$V$5001,"&lt;&gt;"))))</f>
        <v/>
      </c>
      <c r="K165" s="43" t="str">
        <f>IF(OR($B165="",$A165&gt;$B$9,K$136=""),"",IF(COUNTIFS(BD!$B$3:$B$5001,K$136,BD!$A$3:$A$5001,"&gt;="&amp;$C$7,BD!$A$3:$A$5001,"&lt;="&amp;$B165,BD!$V$3:$V$5001,"&lt;&gt;")=0,"",SUMIFS(BD!$V$3:$V$5001,BD!$B$3:$B$5001,K$136,BD!$A$3:$A$5001,_xlfn.MAXIFS(BD!$A$3:$A$5001,BD!$B$3:$B$5001,K$136,BD!$A$3:$A$5001,"&gt;="&amp;$C$7,BD!$A$3:$A$5001,"&lt;="&amp;$B165,BD!$V$3:$V$5001,"&lt;&gt;"))))</f>
        <v/>
      </c>
      <c r="L165" s="43" t="str">
        <f>IF(OR($B165="",$A165&gt;$B$9,L$136=""),"",IF(COUNTIFS(BD!$B$3:$B$5001,L$136,BD!$A$3:$A$5001,"&gt;="&amp;$C$7,BD!$A$3:$A$5001,"&lt;="&amp;$B165,BD!$V$3:$V$5001,"&lt;&gt;")=0,"",SUMIFS(BD!$V$3:$V$5001,BD!$B$3:$B$5001,L$136,BD!$A$3:$A$5001,_xlfn.MAXIFS(BD!$A$3:$A$5001,BD!$B$3:$B$5001,L$136,BD!$A$3:$A$5001,"&gt;="&amp;$C$7,BD!$A$3:$A$5001,"&lt;="&amp;$B165,BD!$V$3:$V$5001,"&lt;&gt;"))))</f>
        <v/>
      </c>
      <c r="M165" s="43" t="str">
        <f>IF(OR($B165="",$A165&gt;$B$9,M$136=""),"",IF(COUNTIFS(BD!$B$3:$B$5001,M$136,BD!$A$3:$A$5001,"&gt;="&amp;$C$7,BD!$A$3:$A$5001,"&lt;="&amp;$B165,BD!$V$3:$V$5001,"&lt;&gt;")=0,"",SUMIFS(BD!$V$3:$V$5001,BD!$B$3:$B$5001,M$136,BD!$A$3:$A$5001,_xlfn.MAXIFS(BD!$A$3:$A$5001,BD!$B$3:$B$5001,M$136,BD!$A$3:$A$5001,"&gt;="&amp;$C$7,BD!$A$3:$A$5001,"&lt;="&amp;$B165,BD!$V$3:$V$5001,"&lt;&gt;"))))</f>
        <v/>
      </c>
      <c r="N165" s="43" t="str">
        <f>IF(OR($B165="",$A165&gt;$B$9,N$136=""),"",IF(COUNTIFS(BD!$B$3:$B$5001,N$136,BD!$A$3:$A$5001,"&gt;="&amp;$C$7,BD!$A$3:$A$5001,"&lt;="&amp;$B165,BD!$V$3:$V$5001,"&lt;&gt;")=0,"",SUMIFS(BD!$V$3:$V$5001,BD!$B$3:$B$5001,N$136,BD!$A$3:$A$5001,_xlfn.MAXIFS(BD!$A$3:$A$5001,BD!$B$3:$B$5001,N$136,BD!$A$3:$A$5001,"&gt;="&amp;$C$7,BD!$A$3:$A$5001,"&lt;="&amp;$B165,BD!$V$3:$V$5001,"&lt;&gt;"))))</f>
        <v/>
      </c>
      <c r="O165" s="43" t="str">
        <f>IF(OR($B165="",$A165&gt;$B$9,O$136=""),"",IF(COUNTIFS(BD!$B$3:$B$5001,O$136,BD!$A$3:$A$5001,"&gt;="&amp;$C$7,BD!$A$3:$A$5001,"&lt;="&amp;$B165,BD!$V$3:$V$5001,"&lt;&gt;")=0,"",SUMIFS(BD!$V$3:$V$5001,BD!$B$3:$B$5001,O$136,BD!$A$3:$A$5001,_xlfn.MAXIFS(BD!$A$3:$A$5001,BD!$B$3:$B$5001,O$136,BD!$A$3:$A$5001,"&gt;="&amp;$C$7,BD!$A$3:$A$5001,"&lt;="&amp;$B165,BD!$V$3:$V$5001,"&lt;&gt;"))))</f>
        <v/>
      </c>
      <c r="P165" s="43" t="str">
        <f>IF(OR($B165="",$A165&gt;$B$9,P$136=""),"",IF(COUNTIFS(BD!$B$3:$B$5001,P$136,BD!$A$3:$A$5001,"&gt;="&amp;$C$7,BD!$A$3:$A$5001,"&lt;="&amp;$B165,BD!$V$3:$V$5001,"&lt;&gt;")=0,"",SUMIFS(BD!$V$3:$V$5001,BD!$B$3:$B$5001,P$136,BD!$A$3:$A$5001,_xlfn.MAXIFS(BD!$A$3:$A$5001,BD!$B$3:$B$5001,P$136,BD!$A$3:$A$5001,"&gt;="&amp;$C$7,BD!$A$3:$A$5001,"&lt;="&amp;$B165,BD!$V$3:$V$5001,"&lt;&gt;"))))</f>
        <v/>
      </c>
      <c r="Q165" s="43" t="str">
        <f>IF(OR($B165="",$A165&gt;$B$9,Q$136=""),"",IF(COUNTIFS(BD!$B$3:$B$5001,Q$136,BD!$A$3:$A$5001,"&gt;="&amp;$C$7,BD!$A$3:$A$5001,"&lt;="&amp;$B165,BD!$V$3:$V$5001,"&lt;&gt;")=0,"",SUMIFS(BD!$V$3:$V$5001,BD!$B$3:$B$5001,Q$136,BD!$A$3:$A$5001,_xlfn.MAXIFS(BD!$A$3:$A$5001,BD!$B$3:$B$5001,Q$136,BD!$A$3:$A$5001,"&gt;="&amp;$C$7,BD!$A$3:$A$5001,"&lt;="&amp;$B165,BD!$V$3:$V$5001,"&lt;&gt;"))))</f>
        <v/>
      </c>
      <c r="R165" s="43" t="str">
        <f>IF(OR($B165="",$A165&gt;$B$9,R$136=""),"",IF(COUNTIFS(BD!$B$3:$B$5001,R$136,BD!$A$3:$A$5001,"&gt;="&amp;$C$7,BD!$A$3:$A$5001,"&lt;="&amp;$B165,BD!$V$3:$V$5001,"&lt;&gt;")=0,"",SUMIFS(BD!$V$3:$V$5001,BD!$B$3:$B$5001,R$136,BD!$A$3:$A$5001,_xlfn.MAXIFS(BD!$A$3:$A$5001,BD!$B$3:$B$5001,R$136,BD!$A$3:$A$5001,"&gt;="&amp;$C$7,BD!$A$3:$A$5001,"&lt;="&amp;$B165,BD!$V$3:$V$5001,"&lt;&gt;"))))</f>
        <v/>
      </c>
      <c r="S165" s="43" t="str">
        <f>IF(OR($B165="",$A165&gt;$B$9,S$136=""),"",IF(COUNTIFS(BD!$B$3:$B$5001,S$136,BD!$A$3:$A$5001,"&gt;="&amp;$C$7,BD!$A$3:$A$5001,"&lt;="&amp;$B165,BD!$V$3:$V$5001,"&lt;&gt;")=0,"",SUMIFS(BD!$V$3:$V$5001,BD!$B$3:$B$5001,S$136,BD!$A$3:$A$5001,_xlfn.MAXIFS(BD!$A$3:$A$5001,BD!$B$3:$B$5001,S$136,BD!$A$3:$A$5001,"&gt;="&amp;$C$7,BD!$A$3:$A$5001,"&lt;="&amp;$B165,BD!$V$3:$V$5001,"&lt;&gt;"))))</f>
        <v/>
      </c>
      <c r="T165" s="43" t="str">
        <f>IF(OR($B165="",$A165&gt;$B$9,T$136=""),"",IF(COUNTIFS(BD!$B$3:$B$5001,T$136,BD!$A$3:$A$5001,"&gt;="&amp;$C$7,BD!$A$3:$A$5001,"&lt;="&amp;$B165,BD!$V$3:$V$5001,"&lt;&gt;")=0,"",SUMIFS(BD!$V$3:$V$5001,BD!$B$3:$B$5001,T$136,BD!$A$3:$A$5001,_xlfn.MAXIFS(BD!$A$3:$A$5001,BD!$B$3:$B$5001,T$136,BD!$A$3:$A$5001,"&gt;="&amp;$C$7,BD!$A$3:$A$5001,"&lt;="&amp;$B165,BD!$V$3:$V$5001,"&lt;&gt;"))))</f>
        <v/>
      </c>
      <c r="U165" s="43" t="str">
        <f>IF(OR($B165="",$A165&gt;$B$9,U$136=""),"",IF(COUNTIFS(BD!$B$3:$B$5001,U$136,BD!$A$3:$A$5001,"&gt;="&amp;$C$7,BD!$A$3:$A$5001,"&lt;="&amp;$B165,BD!$V$3:$V$5001,"&lt;&gt;")=0,"",SUMIFS(BD!$V$3:$V$5001,BD!$B$3:$B$5001,U$136,BD!$A$3:$A$5001,_xlfn.MAXIFS(BD!$A$3:$A$5001,BD!$B$3:$B$5001,U$136,BD!$A$3:$A$5001,"&gt;="&amp;$C$7,BD!$A$3:$A$5001,"&lt;="&amp;$B165,BD!$V$3:$V$5001,"&lt;&gt;"))))</f>
        <v/>
      </c>
      <c r="V165" s="43" t="str">
        <f>IF(OR($B165="",$A165&gt;$B$9,V$136=""),"",IF(COUNTIFS(BD!$B$3:$B$5001,V$136,BD!$A$3:$A$5001,"&gt;="&amp;$C$7,BD!$A$3:$A$5001,"&lt;="&amp;$B165,BD!$V$3:$V$5001,"&lt;&gt;")=0,"",SUMIFS(BD!$V$3:$V$5001,BD!$B$3:$B$5001,V$136,BD!$A$3:$A$5001,_xlfn.MAXIFS(BD!$A$3:$A$5001,BD!$B$3:$B$5001,V$136,BD!$A$3:$A$5001,"&gt;="&amp;$C$7,BD!$A$3:$A$5001,"&lt;="&amp;$B165,BD!$V$3:$V$5001,"&lt;&gt;"))))</f>
        <v/>
      </c>
    </row>
    <row r="166">
      <c r="A166" s="38">
        <v>30</v>
      </c>
      <c r="B166" s="42">
        <f>$B$41</f>
        <v>46325</v>
      </c>
      <c r="C166" s="43" t="str">
        <f>IF(OR($B166="",$A166&gt;$B$9,C$136=""),"",IF(COUNTIFS(BD!$B$3:$B$5001,C$136,BD!$A$3:$A$5001,"&gt;="&amp;$C$7,BD!$A$3:$A$5001,"&lt;="&amp;$B166,BD!$V$3:$V$5001,"&lt;&gt;")=0,"",SUMIFS(BD!$V$3:$V$5001,BD!$B$3:$B$5001,C$136,BD!$A$3:$A$5001,_xlfn.MAXIFS(BD!$A$3:$A$5001,BD!$B$3:$B$5001,C$136,BD!$A$3:$A$5001,"&gt;="&amp;$C$7,BD!$A$3:$A$5001,"&lt;="&amp;$B166,BD!$V$3:$V$5001,"&lt;&gt;"))))</f>
        <v/>
      </c>
      <c r="D166" s="43" t="str">
        <f>IF(OR($B166="",$A166&gt;$B$9,D$136=""),"",IF(COUNTIFS(BD!$B$3:$B$5001,D$136,BD!$A$3:$A$5001,"&gt;="&amp;$C$7,BD!$A$3:$A$5001,"&lt;="&amp;$B166,BD!$V$3:$V$5001,"&lt;&gt;")=0,"",SUMIFS(BD!$V$3:$V$5001,BD!$B$3:$B$5001,D$136,BD!$A$3:$A$5001,_xlfn.MAXIFS(BD!$A$3:$A$5001,BD!$B$3:$B$5001,D$136,BD!$A$3:$A$5001,"&gt;="&amp;$C$7,BD!$A$3:$A$5001,"&lt;="&amp;$B166,BD!$V$3:$V$5001,"&lt;&gt;"))))</f>
        <v/>
      </c>
      <c r="E166" s="43" t="str">
        <f>IF(OR($B166="",$A166&gt;$B$9,E$136=""),"",IF(COUNTIFS(BD!$B$3:$B$5001,E$136,BD!$A$3:$A$5001,"&gt;="&amp;$C$7,BD!$A$3:$A$5001,"&lt;="&amp;$B166,BD!$V$3:$V$5001,"&lt;&gt;")=0,"",SUMIFS(BD!$V$3:$V$5001,BD!$B$3:$B$5001,E$136,BD!$A$3:$A$5001,_xlfn.MAXIFS(BD!$A$3:$A$5001,BD!$B$3:$B$5001,E$136,BD!$A$3:$A$5001,"&gt;="&amp;$C$7,BD!$A$3:$A$5001,"&lt;="&amp;$B166,BD!$V$3:$V$5001,"&lt;&gt;"))))</f>
        <v/>
      </c>
      <c r="F166" s="43" t="str">
        <f>IF(OR($B166="",$A166&gt;$B$9,F$136=""),"",IF(COUNTIFS(BD!$B$3:$B$5001,F$136,BD!$A$3:$A$5001,"&gt;="&amp;$C$7,BD!$A$3:$A$5001,"&lt;="&amp;$B166,BD!$V$3:$V$5001,"&lt;&gt;")=0,"",SUMIFS(BD!$V$3:$V$5001,BD!$B$3:$B$5001,F$136,BD!$A$3:$A$5001,_xlfn.MAXIFS(BD!$A$3:$A$5001,BD!$B$3:$B$5001,F$136,BD!$A$3:$A$5001,"&gt;="&amp;$C$7,BD!$A$3:$A$5001,"&lt;="&amp;$B166,BD!$V$3:$V$5001,"&lt;&gt;"))))</f>
        <v/>
      </c>
      <c r="G166" s="43" t="str">
        <f>IF(OR($B166="",$A166&gt;$B$9,G$136=""),"",IF(COUNTIFS(BD!$B$3:$B$5001,G$136,BD!$A$3:$A$5001,"&gt;="&amp;$C$7,BD!$A$3:$A$5001,"&lt;="&amp;$B166,BD!$V$3:$V$5001,"&lt;&gt;")=0,"",SUMIFS(BD!$V$3:$V$5001,BD!$B$3:$B$5001,G$136,BD!$A$3:$A$5001,_xlfn.MAXIFS(BD!$A$3:$A$5001,BD!$B$3:$B$5001,G$136,BD!$A$3:$A$5001,"&gt;="&amp;$C$7,BD!$A$3:$A$5001,"&lt;="&amp;$B166,BD!$V$3:$V$5001,"&lt;&gt;"))))</f>
        <v/>
      </c>
      <c r="H166" s="43" t="str">
        <f>IF(OR($B166="",$A166&gt;$B$9,H$136=""),"",IF(COUNTIFS(BD!$B$3:$B$5001,H$136,BD!$A$3:$A$5001,"&gt;="&amp;$C$7,BD!$A$3:$A$5001,"&lt;="&amp;$B166,BD!$V$3:$V$5001,"&lt;&gt;")=0,"",SUMIFS(BD!$V$3:$V$5001,BD!$B$3:$B$5001,H$136,BD!$A$3:$A$5001,_xlfn.MAXIFS(BD!$A$3:$A$5001,BD!$B$3:$B$5001,H$136,BD!$A$3:$A$5001,"&gt;="&amp;$C$7,BD!$A$3:$A$5001,"&lt;="&amp;$B166,BD!$V$3:$V$5001,"&lt;&gt;"))))</f>
        <v/>
      </c>
      <c r="I166" s="43" t="str">
        <f>IF(OR($B166="",$A166&gt;$B$9,I$136=""),"",IF(COUNTIFS(BD!$B$3:$B$5001,I$136,BD!$A$3:$A$5001,"&gt;="&amp;$C$7,BD!$A$3:$A$5001,"&lt;="&amp;$B166,BD!$V$3:$V$5001,"&lt;&gt;")=0,"",SUMIFS(BD!$V$3:$V$5001,BD!$B$3:$B$5001,I$136,BD!$A$3:$A$5001,_xlfn.MAXIFS(BD!$A$3:$A$5001,BD!$B$3:$B$5001,I$136,BD!$A$3:$A$5001,"&gt;="&amp;$C$7,BD!$A$3:$A$5001,"&lt;="&amp;$B166,BD!$V$3:$V$5001,"&lt;&gt;"))))</f>
        <v/>
      </c>
      <c r="J166" s="43" t="str">
        <f>IF(OR($B166="",$A166&gt;$B$9,J$136=""),"",IF(COUNTIFS(BD!$B$3:$B$5001,J$136,BD!$A$3:$A$5001,"&gt;="&amp;$C$7,BD!$A$3:$A$5001,"&lt;="&amp;$B166,BD!$V$3:$V$5001,"&lt;&gt;")=0,"",SUMIFS(BD!$V$3:$V$5001,BD!$B$3:$B$5001,J$136,BD!$A$3:$A$5001,_xlfn.MAXIFS(BD!$A$3:$A$5001,BD!$B$3:$B$5001,J$136,BD!$A$3:$A$5001,"&gt;="&amp;$C$7,BD!$A$3:$A$5001,"&lt;="&amp;$B166,BD!$V$3:$V$5001,"&lt;&gt;"))))</f>
        <v/>
      </c>
      <c r="K166" s="43" t="str">
        <f>IF(OR($B166="",$A166&gt;$B$9,K$136=""),"",IF(COUNTIFS(BD!$B$3:$B$5001,K$136,BD!$A$3:$A$5001,"&gt;="&amp;$C$7,BD!$A$3:$A$5001,"&lt;="&amp;$B166,BD!$V$3:$V$5001,"&lt;&gt;")=0,"",SUMIFS(BD!$V$3:$V$5001,BD!$B$3:$B$5001,K$136,BD!$A$3:$A$5001,_xlfn.MAXIFS(BD!$A$3:$A$5001,BD!$B$3:$B$5001,K$136,BD!$A$3:$A$5001,"&gt;="&amp;$C$7,BD!$A$3:$A$5001,"&lt;="&amp;$B166,BD!$V$3:$V$5001,"&lt;&gt;"))))</f>
        <v/>
      </c>
      <c r="L166" s="43" t="str">
        <f>IF(OR($B166="",$A166&gt;$B$9,L$136=""),"",IF(COUNTIFS(BD!$B$3:$B$5001,L$136,BD!$A$3:$A$5001,"&gt;="&amp;$C$7,BD!$A$3:$A$5001,"&lt;="&amp;$B166,BD!$V$3:$V$5001,"&lt;&gt;")=0,"",SUMIFS(BD!$V$3:$V$5001,BD!$B$3:$B$5001,L$136,BD!$A$3:$A$5001,_xlfn.MAXIFS(BD!$A$3:$A$5001,BD!$B$3:$B$5001,L$136,BD!$A$3:$A$5001,"&gt;="&amp;$C$7,BD!$A$3:$A$5001,"&lt;="&amp;$B166,BD!$V$3:$V$5001,"&lt;&gt;"))))</f>
        <v/>
      </c>
      <c r="M166" s="43" t="str">
        <f>IF(OR($B166="",$A166&gt;$B$9,M$136=""),"",IF(COUNTIFS(BD!$B$3:$B$5001,M$136,BD!$A$3:$A$5001,"&gt;="&amp;$C$7,BD!$A$3:$A$5001,"&lt;="&amp;$B166,BD!$V$3:$V$5001,"&lt;&gt;")=0,"",SUMIFS(BD!$V$3:$V$5001,BD!$B$3:$B$5001,M$136,BD!$A$3:$A$5001,_xlfn.MAXIFS(BD!$A$3:$A$5001,BD!$B$3:$B$5001,M$136,BD!$A$3:$A$5001,"&gt;="&amp;$C$7,BD!$A$3:$A$5001,"&lt;="&amp;$B166,BD!$V$3:$V$5001,"&lt;&gt;"))))</f>
        <v/>
      </c>
      <c r="N166" s="43" t="str">
        <f>IF(OR($B166="",$A166&gt;$B$9,N$136=""),"",IF(COUNTIFS(BD!$B$3:$B$5001,N$136,BD!$A$3:$A$5001,"&gt;="&amp;$C$7,BD!$A$3:$A$5001,"&lt;="&amp;$B166,BD!$V$3:$V$5001,"&lt;&gt;")=0,"",SUMIFS(BD!$V$3:$V$5001,BD!$B$3:$B$5001,N$136,BD!$A$3:$A$5001,_xlfn.MAXIFS(BD!$A$3:$A$5001,BD!$B$3:$B$5001,N$136,BD!$A$3:$A$5001,"&gt;="&amp;$C$7,BD!$A$3:$A$5001,"&lt;="&amp;$B166,BD!$V$3:$V$5001,"&lt;&gt;"))))</f>
        <v/>
      </c>
      <c r="O166" s="43" t="str">
        <f>IF(OR($B166="",$A166&gt;$B$9,O$136=""),"",IF(COUNTIFS(BD!$B$3:$B$5001,O$136,BD!$A$3:$A$5001,"&gt;="&amp;$C$7,BD!$A$3:$A$5001,"&lt;="&amp;$B166,BD!$V$3:$V$5001,"&lt;&gt;")=0,"",SUMIFS(BD!$V$3:$V$5001,BD!$B$3:$B$5001,O$136,BD!$A$3:$A$5001,_xlfn.MAXIFS(BD!$A$3:$A$5001,BD!$B$3:$B$5001,O$136,BD!$A$3:$A$5001,"&gt;="&amp;$C$7,BD!$A$3:$A$5001,"&lt;="&amp;$B166,BD!$V$3:$V$5001,"&lt;&gt;"))))</f>
        <v/>
      </c>
      <c r="P166" s="43" t="str">
        <f>IF(OR($B166="",$A166&gt;$B$9,P$136=""),"",IF(COUNTIFS(BD!$B$3:$B$5001,P$136,BD!$A$3:$A$5001,"&gt;="&amp;$C$7,BD!$A$3:$A$5001,"&lt;="&amp;$B166,BD!$V$3:$V$5001,"&lt;&gt;")=0,"",SUMIFS(BD!$V$3:$V$5001,BD!$B$3:$B$5001,P$136,BD!$A$3:$A$5001,_xlfn.MAXIFS(BD!$A$3:$A$5001,BD!$B$3:$B$5001,P$136,BD!$A$3:$A$5001,"&gt;="&amp;$C$7,BD!$A$3:$A$5001,"&lt;="&amp;$B166,BD!$V$3:$V$5001,"&lt;&gt;"))))</f>
        <v/>
      </c>
      <c r="Q166" s="43" t="str">
        <f>IF(OR($B166="",$A166&gt;$B$9,Q$136=""),"",IF(COUNTIFS(BD!$B$3:$B$5001,Q$136,BD!$A$3:$A$5001,"&gt;="&amp;$C$7,BD!$A$3:$A$5001,"&lt;="&amp;$B166,BD!$V$3:$V$5001,"&lt;&gt;")=0,"",SUMIFS(BD!$V$3:$V$5001,BD!$B$3:$B$5001,Q$136,BD!$A$3:$A$5001,_xlfn.MAXIFS(BD!$A$3:$A$5001,BD!$B$3:$B$5001,Q$136,BD!$A$3:$A$5001,"&gt;="&amp;$C$7,BD!$A$3:$A$5001,"&lt;="&amp;$B166,BD!$V$3:$V$5001,"&lt;&gt;"))))</f>
        <v/>
      </c>
      <c r="R166" s="43" t="str">
        <f>IF(OR($B166="",$A166&gt;$B$9,R$136=""),"",IF(COUNTIFS(BD!$B$3:$B$5001,R$136,BD!$A$3:$A$5001,"&gt;="&amp;$C$7,BD!$A$3:$A$5001,"&lt;="&amp;$B166,BD!$V$3:$V$5001,"&lt;&gt;")=0,"",SUMIFS(BD!$V$3:$V$5001,BD!$B$3:$B$5001,R$136,BD!$A$3:$A$5001,_xlfn.MAXIFS(BD!$A$3:$A$5001,BD!$B$3:$B$5001,R$136,BD!$A$3:$A$5001,"&gt;="&amp;$C$7,BD!$A$3:$A$5001,"&lt;="&amp;$B166,BD!$V$3:$V$5001,"&lt;&gt;"))))</f>
        <v/>
      </c>
      <c r="S166" s="43" t="str">
        <f>IF(OR($B166="",$A166&gt;$B$9,S$136=""),"",IF(COUNTIFS(BD!$B$3:$B$5001,S$136,BD!$A$3:$A$5001,"&gt;="&amp;$C$7,BD!$A$3:$A$5001,"&lt;="&amp;$B166,BD!$V$3:$V$5001,"&lt;&gt;")=0,"",SUMIFS(BD!$V$3:$V$5001,BD!$B$3:$B$5001,S$136,BD!$A$3:$A$5001,_xlfn.MAXIFS(BD!$A$3:$A$5001,BD!$B$3:$B$5001,S$136,BD!$A$3:$A$5001,"&gt;="&amp;$C$7,BD!$A$3:$A$5001,"&lt;="&amp;$B166,BD!$V$3:$V$5001,"&lt;&gt;"))))</f>
        <v/>
      </c>
      <c r="T166" s="43" t="str">
        <f>IF(OR($B166="",$A166&gt;$B$9,T$136=""),"",IF(COUNTIFS(BD!$B$3:$B$5001,T$136,BD!$A$3:$A$5001,"&gt;="&amp;$C$7,BD!$A$3:$A$5001,"&lt;="&amp;$B166,BD!$V$3:$V$5001,"&lt;&gt;")=0,"",SUMIFS(BD!$V$3:$V$5001,BD!$B$3:$B$5001,T$136,BD!$A$3:$A$5001,_xlfn.MAXIFS(BD!$A$3:$A$5001,BD!$B$3:$B$5001,T$136,BD!$A$3:$A$5001,"&gt;="&amp;$C$7,BD!$A$3:$A$5001,"&lt;="&amp;$B166,BD!$V$3:$V$5001,"&lt;&gt;"))))</f>
        <v/>
      </c>
      <c r="U166" s="43" t="str">
        <f>IF(OR($B166="",$A166&gt;$B$9,U$136=""),"",IF(COUNTIFS(BD!$B$3:$B$5001,U$136,BD!$A$3:$A$5001,"&gt;="&amp;$C$7,BD!$A$3:$A$5001,"&lt;="&amp;$B166,BD!$V$3:$V$5001,"&lt;&gt;")=0,"",SUMIFS(BD!$V$3:$V$5001,BD!$B$3:$B$5001,U$136,BD!$A$3:$A$5001,_xlfn.MAXIFS(BD!$A$3:$A$5001,BD!$B$3:$B$5001,U$136,BD!$A$3:$A$5001,"&gt;="&amp;$C$7,BD!$A$3:$A$5001,"&lt;="&amp;$B166,BD!$V$3:$V$5001,"&lt;&gt;"))))</f>
        <v/>
      </c>
      <c r="V166" s="43" t="str">
        <f>IF(OR($B166="",$A166&gt;$B$9,V$136=""),"",IF(COUNTIFS(BD!$B$3:$B$5001,V$136,BD!$A$3:$A$5001,"&gt;="&amp;$C$7,BD!$A$3:$A$5001,"&lt;="&amp;$B166,BD!$V$3:$V$5001,"&lt;&gt;")=0,"",SUMIFS(BD!$V$3:$V$5001,BD!$B$3:$B$5001,V$136,BD!$A$3:$A$5001,_xlfn.MAXIFS(BD!$A$3:$A$5001,BD!$B$3:$B$5001,V$136,BD!$A$3:$A$5001,"&gt;="&amp;$C$7,BD!$A$3:$A$5001,"&lt;="&amp;$B166,BD!$V$3:$V$5001,"&lt;&gt;"))))</f>
        <v/>
      </c>
    </row>
    <row r="167">
      <c r="A167" s="38">
        <v>31</v>
      </c>
      <c r="B167" s="42">
        <f>$B$42</f>
        <v>46326</v>
      </c>
      <c r="C167" s="43" t="str">
        <f>IF(OR($B167="",$A167&gt;$B$9,C$136=""),"",IF(COUNTIFS(BD!$B$3:$B$5001,C$136,BD!$A$3:$A$5001,"&gt;="&amp;$C$7,BD!$A$3:$A$5001,"&lt;="&amp;$B167,BD!$V$3:$V$5001,"&lt;&gt;")=0,"",SUMIFS(BD!$V$3:$V$5001,BD!$B$3:$B$5001,C$136,BD!$A$3:$A$5001,_xlfn.MAXIFS(BD!$A$3:$A$5001,BD!$B$3:$B$5001,C$136,BD!$A$3:$A$5001,"&gt;="&amp;$C$7,BD!$A$3:$A$5001,"&lt;="&amp;$B167,BD!$V$3:$V$5001,"&lt;&gt;"))))</f>
        <v/>
      </c>
      <c r="D167" s="43" t="str">
        <f>IF(OR($B167="",$A167&gt;$B$9,D$136=""),"",IF(COUNTIFS(BD!$B$3:$B$5001,D$136,BD!$A$3:$A$5001,"&gt;="&amp;$C$7,BD!$A$3:$A$5001,"&lt;="&amp;$B167,BD!$V$3:$V$5001,"&lt;&gt;")=0,"",SUMIFS(BD!$V$3:$V$5001,BD!$B$3:$B$5001,D$136,BD!$A$3:$A$5001,_xlfn.MAXIFS(BD!$A$3:$A$5001,BD!$B$3:$B$5001,D$136,BD!$A$3:$A$5001,"&gt;="&amp;$C$7,BD!$A$3:$A$5001,"&lt;="&amp;$B167,BD!$V$3:$V$5001,"&lt;&gt;"))))</f>
        <v/>
      </c>
      <c r="E167" s="43" t="str">
        <f>IF(OR($B167="",$A167&gt;$B$9,E$136=""),"",IF(COUNTIFS(BD!$B$3:$B$5001,E$136,BD!$A$3:$A$5001,"&gt;="&amp;$C$7,BD!$A$3:$A$5001,"&lt;="&amp;$B167,BD!$V$3:$V$5001,"&lt;&gt;")=0,"",SUMIFS(BD!$V$3:$V$5001,BD!$B$3:$B$5001,E$136,BD!$A$3:$A$5001,_xlfn.MAXIFS(BD!$A$3:$A$5001,BD!$B$3:$B$5001,E$136,BD!$A$3:$A$5001,"&gt;="&amp;$C$7,BD!$A$3:$A$5001,"&lt;="&amp;$B167,BD!$V$3:$V$5001,"&lt;&gt;"))))</f>
        <v/>
      </c>
      <c r="F167" s="43" t="str">
        <f>IF(OR($B167="",$A167&gt;$B$9,F$136=""),"",IF(COUNTIFS(BD!$B$3:$B$5001,F$136,BD!$A$3:$A$5001,"&gt;="&amp;$C$7,BD!$A$3:$A$5001,"&lt;="&amp;$B167,BD!$V$3:$V$5001,"&lt;&gt;")=0,"",SUMIFS(BD!$V$3:$V$5001,BD!$B$3:$B$5001,F$136,BD!$A$3:$A$5001,_xlfn.MAXIFS(BD!$A$3:$A$5001,BD!$B$3:$B$5001,F$136,BD!$A$3:$A$5001,"&gt;="&amp;$C$7,BD!$A$3:$A$5001,"&lt;="&amp;$B167,BD!$V$3:$V$5001,"&lt;&gt;"))))</f>
        <v/>
      </c>
      <c r="G167" s="43" t="str">
        <f>IF(OR($B167="",$A167&gt;$B$9,G$136=""),"",IF(COUNTIFS(BD!$B$3:$B$5001,G$136,BD!$A$3:$A$5001,"&gt;="&amp;$C$7,BD!$A$3:$A$5001,"&lt;="&amp;$B167,BD!$V$3:$V$5001,"&lt;&gt;")=0,"",SUMIFS(BD!$V$3:$V$5001,BD!$B$3:$B$5001,G$136,BD!$A$3:$A$5001,_xlfn.MAXIFS(BD!$A$3:$A$5001,BD!$B$3:$B$5001,G$136,BD!$A$3:$A$5001,"&gt;="&amp;$C$7,BD!$A$3:$A$5001,"&lt;="&amp;$B167,BD!$V$3:$V$5001,"&lt;&gt;"))))</f>
        <v/>
      </c>
      <c r="H167" s="43" t="str">
        <f>IF(OR($B167="",$A167&gt;$B$9,H$136=""),"",IF(COUNTIFS(BD!$B$3:$B$5001,H$136,BD!$A$3:$A$5001,"&gt;="&amp;$C$7,BD!$A$3:$A$5001,"&lt;="&amp;$B167,BD!$V$3:$V$5001,"&lt;&gt;")=0,"",SUMIFS(BD!$V$3:$V$5001,BD!$B$3:$B$5001,H$136,BD!$A$3:$A$5001,_xlfn.MAXIFS(BD!$A$3:$A$5001,BD!$B$3:$B$5001,H$136,BD!$A$3:$A$5001,"&gt;="&amp;$C$7,BD!$A$3:$A$5001,"&lt;="&amp;$B167,BD!$V$3:$V$5001,"&lt;&gt;"))))</f>
        <v/>
      </c>
      <c r="I167" s="43" t="str">
        <f>IF(OR($B167="",$A167&gt;$B$9,I$136=""),"",IF(COUNTIFS(BD!$B$3:$B$5001,I$136,BD!$A$3:$A$5001,"&gt;="&amp;$C$7,BD!$A$3:$A$5001,"&lt;="&amp;$B167,BD!$V$3:$V$5001,"&lt;&gt;")=0,"",SUMIFS(BD!$V$3:$V$5001,BD!$B$3:$B$5001,I$136,BD!$A$3:$A$5001,_xlfn.MAXIFS(BD!$A$3:$A$5001,BD!$B$3:$B$5001,I$136,BD!$A$3:$A$5001,"&gt;="&amp;$C$7,BD!$A$3:$A$5001,"&lt;="&amp;$B167,BD!$V$3:$V$5001,"&lt;&gt;"))))</f>
        <v/>
      </c>
      <c r="J167" s="43" t="str">
        <f>IF(OR($B167="",$A167&gt;$B$9,J$136=""),"",IF(COUNTIFS(BD!$B$3:$B$5001,J$136,BD!$A$3:$A$5001,"&gt;="&amp;$C$7,BD!$A$3:$A$5001,"&lt;="&amp;$B167,BD!$V$3:$V$5001,"&lt;&gt;")=0,"",SUMIFS(BD!$V$3:$V$5001,BD!$B$3:$B$5001,J$136,BD!$A$3:$A$5001,_xlfn.MAXIFS(BD!$A$3:$A$5001,BD!$B$3:$B$5001,J$136,BD!$A$3:$A$5001,"&gt;="&amp;$C$7,BD!$A$3:$A$5001,"&lt;="&amp;$B167,BD!$V$3:$V$5001,"&lt;&gt;"))))</f>
        <v/>
      </c>
      <c r="K167" s="43" t="str">
        <f>IF(OR($B167="",$A167&gt;$B$9,K$136=""),"",IF(COUNTIFS(BD!$B$3:$B$5001,K$136,BD!$A$3:$A$5001,"&gt;="&amp;$C$7,BD!$A$3:$A$5001,"&lt;="&amp;$B167,BD!$V$3:$V$5001,"&lt;&gt;")=0,"",SUMIFS(BD!$V$3:$V$5001,BD!$B$3:$B$5001,K$136,BD!$A$3:$A$5001,_xlfn.MAXIFS(BD!$A$3:$A$5001,BD!$B$3:$B$5001,K$136,BD!$A$3:$A$5001,"&gt;="&amp;$C$7,BD!$A$3:$A$5001,"&lt;="&amp;$B167,BD!$V$3:$V$5001,"&lt;&gt;"))))</f>
        <v/>
      </c>
      <c r="L167" s="43" t="str">
        <f>IF(OR($B167="",$A167&gt;$B$9,L$136=""),"",IF(COUNTIFS(BD!$B$3:$B$5001,L$136,BD!$A$3:$A$5001,"&gt;="&amp;$C$7,BD!$A$3:$A$5001,"&lt;="&amp;$B167,BD!$V$3:$V$5001,"&lt;&gt;")=0,"",SUMIFS(BD!$V$3:$V$5001,BD!$B$3:$B$5001,L$136,BD!$A$3:$A$5001,_xlfn.MAXIFS(BD!$A$3:$A$5001,BD!$B$3:$B$5001,L$136,BD!$A$3:$A$5001,"&gt;="&amp;$C$7,BD!$A$3:$A$5001,"&lt;="&amp;$B167,BD!$V$3:$V$5001,"&lt;&gt;"))))</f>
        <v/>
      </c>
      <c r="M167" s="43" t="str">
        <f>IF(OR($B167="",$A167&gt;$B$9,M$136=""),"",IF(COUNTIFS(BD!$B$3:$B$5001,M$136,BD!$A$3:$A$5001,"&gt;="&amp;$C$7,BD!$A$3:$A$5001,"&lt;="&amp;$B167,BD!$V$3:$V$5001,"&lt;&gt;")=0,"",SUMIFS(BD!$V$3:$V$5001,BD!$B$3:$B$5001,M$136,BD!$A$3:$A$5001,_xlfn.MAXIFS(BD!$A$3:$A$5001,BD!$B$3:$B$5001,M$136,BD!$A$3:$A$5001,"&gt;="&amp;$C$7,BD!$A$3:$A$5001,"&lt;="&amp;$B167,BD!$V$3:$V$5001,"&lt;&gt;"))))</f>
        <v/>
      </c>
      <c r="N167" s="43" t="str">
        <f>IF(OR($B167="",$A167&gt;$B$9,N$136=""),"",IF(COUNTIFS(BD!$B$3:$B$5001,N$136,BD!$A$3:$A$5001,"&gt;="&amp;$C$7,BD!$A$3:$A$5001,"&lt;="&amp;$B167,BD!$V$3:$V$5001,"&lt;&gt;")=0,"",SUMIFS(BD!$V$3:$V$5001,BD!$B$3:$B$5001,N$136,BD!$A$3:$A$5001,_xlfn.MAXIFS(BD!$A$3:$A$5001,BD!$B$3:$B$5001,N$136,BD!$A$3:$A$5001,"&gt;="&amp;$C$7,BD!$A$3:$A$5001,"&lt;="&amp;$B167,BD!$V$3:$V$5001,"&lt;&gt;"))))</f>
        <v/>
      </c>
      <c r="O167" s="43" t="str">
        <f>IF(OR($B167="",$A167&gt;$B$9,O$136=""),"",IF(COUNTIFS(BD!$B$3:$B$5001,O$136,BD!$A$3:$A$5001,"&gt;="&amp;$C$7,BD!$A$3:$A$5001,"&lt;="&amp;$B167,BD!$V$3:$V$5001,"&lt;&gt;")=0,"",SUMIFS(BD!$V$3:$V$5001,BD!$B$3:$B$5001,O$136,BD!$A$3:$A$5001,_xlfn.MAXIFS(BD!$A$3:$A$5001,BD!$B$3:$B$5001,O$136,BD!$A$3:$A$5001,"&gt;="&amp;$C$7,BD!$A$3:$A$5001,"&lt;="&amp;$B167,BD!$V$3:$V$5001,"&lt;&gt;"))))</f>
        <v/>
      </c>
      <c r="P167" s="43" t="str">
        <f>IF(OR($B167="",$A167&gt;$B$9,P$136=""),"",IF(COUNTIFS(BD!$B$3:$B$5001,P$136,BD!$A$3:$A$5001,"&gt;="&amp;$C$7,BD!$A$3:$A$5001,"&lt;="&amp;$B167,BD!$V$3:$V$5001,"&lt;&gt;")=0,"",SUMIFS(BD!$V$3:$V$5001,BD!$B$3:$B$5001,P$136,BD!$A$3:$A$5001,_xlfn.MAXIFS(BD!$A$3:$A$5001,BD!$B$3:$B$5001,P$136,BD!$A$3:$A$5001,"&gt;="&amp;$C$7,BD!$A$3:$A$5001,"&lt;="&amp;$B167,BD!$V$3:$V$5001,"&lt;&gt;"))))</f>
        <v/>
      </c>
      <c r="Q167" s="43" t="str">
        <f>IF(OR($B167="",$A167&gt;$B$9,Q$136=""),"",IF(COUNTIFS(BD!$B$3:$B$5001,Q$136,BD!$A$3:$A$5001,"&gt;="&amp;$C$7,BD!$A$3:$A$5001,"&lt;="&amp;$B167,BD!$V$3:$V$5001,"&lt;&gt;")=0,"",SUMIFS(BD!$V$3:$V$5001,BD!$B$3:$B$5001,Q$136,BD!$A$3:$A$5001,_xlfn.MAXIFS(BD!$A$3:$A$5001,BD!$B$3:$B$5001,Q$136,BD!$A$3:$A$5001,"&gt;="&amp;$C$7,BD!$A$3:$A$5001,"&lt;="&amp;$B167,BD!$V$3:$V$5001,"&lt;&gt;"))))</f>
        <v/>
      </c>
      <c r="R167" s="43" t="str">
        <f>IF(OR($B167="",$A167&gt;$B$9,R$136=""),"",IF(COUNTIFS(BD!$B$3:$B$5001,R$136,BD!$A$3:$A$5001,"&gt;="&amp;$C$7,BD!$A$3:$A$5001,"&lt;="&amp;$B167,BD!$V$3:$V$5001,"&lt;&gt;")=0,"",SUMIFS(BD!$V$3:$V$5001,BD!$B$3:$B$5001,R$136,BD!$A$3:$A$5001,_xlfn.MAXIFS(BD!$A$3:$A$5001,BD!$B$3:$B$5001,R$136,BD!$A$3:$A$5001,"&gt;="&amp;$C$7,BD!$A$3:$A$5001,"&lt;="&amp;$B167,BD!$V$3:$V$5001,"&lt;&gt;"))))</f>
        <v/>
      </c>
      <c r="S167" s="43" t="str">
        <f>IF(OR($B167="",$A167&gt;$B$9,S$136=""),"",IF(COUNTIFS(BD!$B$3:$B$5001,S$136,BD!$A$3:$A$5001,"&gt;="&amp;$C$7,BD!$A$3:$A$5001,"&lt;="&amp;$B167,BD!$V$3:$V$5001,"&lt;&gt;")=0,"",SUMIFS(BD!$V$3:$V$5001,BD!$B$3:$B$5001,S$136,BD!$A$3:$A$5001,_xlfn.MAXIFS(BD!$A$3:$A$5001,BD!$B$3:$B$5001,S$136,BD!$A$3:$A$5001,"&gt;="&amp;$C$7,BD!$A$3:$A$5001,"&lt;="&amp;$B167,BD!$V$3:$V$5001,"&lt;&gt;"))))</f>
        <v/>
      </c>
      <c r="T167" s="43" t="str">
        <f>IF(OR($B167="",$A167&gt;$B$9,T$136=""),"",IF(COUNTIFS(BD!$B$3:$B$5001,T$136,BD!$A$3:$A$5001,"&gt;="&amp;$C$7,BD!$A$3:$A$5001,"&lt;="&amp;$B167,BD!$V$3:$V$5001,"&lt;&gt;")=0,"",SUMIFS(BD!$V$3:$V$5001,BD!$B$3:$B$5001,T$136,BD!$A$3:$A$5001,_xlfn.MAXIFS(BD!$A$3:$A$5001,BD!$B$3:$B$5001,T$136,BD!$A$3:$A$5001,"&gt;="&amp;$C$7,BD!$A$3:$A$5001,"&lt;="&amp;$B167,BD!$V$3:$V$5001,"&lt;&gt;"))))</f>
        <v/>
      </c>
      <c r="U167" s="43" t="str">
        <f>IF(OR($B167="",$A167&gt;$B$9,U$136=""),"",IF(COUNTIFS(BD!$B$3:$B$5001,U$136,BD!$A$3:$A$5001,"&gt;="&amp;$C$7,BD!$A$3:$A$5001,"&lt;="&amp;$B167,BD!$V$3:$V$5001,"&lt;&gt;")=0,"",SUMIFS(BD!$V$3:$V$5001,BD!$B$3:$B$5001,U$136,BD!$A$3:$A$5001,_xlfn.MAXIFS(BD!$A$3:$A$5001,BD!$B$3:$B$5001,U$136,BD!$A$3:$A$5001,"&gt;="&amp;$C$7,BD!$A$3:$A$5001,"&lt;="&amp;$B167,BD!$V$3:$V$5001,"&lt;&gt;"))))</f>
        <v/>
      </c>
      <c r="V167" s="43" t="str">
        <f>IF(OR($B167="",$A167&gt;$B$9,V$136=""),"",IF(COUNTIFS(BD!$B$3:$B$5001,V$136,BD!$A$3:$A$5001,"&gt;="&amp;$C$7,BD!$A$3:$A$5001,"&lt;="&amp;$B167,BD!$V$3:$V$5001,"&lt;&gt;")=0,"",SUMIFS(BD!$V$3:$V$5001,BD!$B$3:$B$5001,V$136,BD!$A$3:$A$5001,_xlfn.MAXIFS(BD!$A$3:$A$5001,BD!$B$3:$B$5001,V$136,BD!$A$3:$A$5001,"&gt;="&amp;$C$7,BD!$A$3:$A$5001,"&lt;="&amp;$B167,BD!$V$3:$V$5001,"&lt;&gt;"))))</f>
        <v/>
      </c>
    </row>
    <row r="168">
      <c r="A168" s="44" t="inlineStr">
        <is>
          <t xml:space="preserve">Mês anterior (último)</t>
        </is>
      </c>
      <c r="C168" s="45" t="str">
        <f>IF(C$136="","",IF(COUNTIFS(BD!$B$3:$B$5001,C$136,BD!$A$3:$A$5001,"&gt;="&amp;$C$8,BD!$A$3:$A$5001,"&lt;="&amp;$D$8,BD!$V$3:$V$5001,"&lt;&gt;")=0,"",SUMIFS(BD!$V$3:$V$5001,BD!$B$3:$B$5001,C$136,BD!$A$3:$A$5001,_xlfn.MAXIFS(BD!$A$3:$A$5001,BD!$B$3:$B$5001,C$136,BD!$A$3:$A$5001,"&gt;="&amp;$C$8,BD!$A$3:$A$5001,"&lt;="&amp;$D$8,BD!$V$3:$V$5001,"&lt;&gt;"))))</f>
        <v/>
      </c>
      <c r="D168" s="45" t="str">
        <f>IF(D$136="","",IF(COUNTIFS(BD!$B$3:$B$5001,D$136,BD!$A$3:$A$5001,"&gt;="&amp;$C$8,BD!$A$3:$A$5001,"&lt;="&amp;$D$8,BD!$V$3:$V$5001,"&lt;&gt;")=0,"",SUMIFS(BD!$V$3:$V$5001,BD!$B$3:$B$5001,D$136,BD!$A$3:$A$5001,_xlfn.MAXIFS(BD!$A$3:$A$5001,BD!$B$3:$B$5001,D$136,BD!$A$3:$A$5001,"&gt;="&amp;$C$8,BD!$A$3:$A$5001,"&lt;="&amp;$D$8,BD!$V$3:$V$5001,"&lt;&gt;"))))</f>
        <v/>
      </c>
      <c r="E168" s="45" t="str">
        <f>IF(E$136="","",IF(COUNTIFS(BD!$B$3:$B$5001,E$136,BD!$A$3:$A$5001,"&gt;="&amp;$C$8,BD!$A$3:$A$5001,"&lt;="&amp;$D$8,BD!$V$3:$V$5001,"&lt;&gt;")=0,"",SUMIFS(BD!$V$3:$V$5001,BD!$B$3:$B$5001,E$136,BD!$A$3:$A$5001,_xlfn.MAXIFS(BD!$A$3:$A$5001,BD!$B$3:$B$5001,E$136,BD!$A$3:$A$5001,"&gt;="&amp;$C$8,BD!$A$3:$A$5001,"&lt;="&amp;$D$8,BD!$V$3:$V$5001,"&lt;&gt;"))))</f>
        <v/>
      </c>
      <c r="F168" s="45" t="str">
        <f>IF(F$136="","",IF(COUNTIFS(BD!$B$3:$B$5001,F$136,BD!$A$3:$A$5001,"&gt;="&amp;$C$8,BD!$A$3:$A$5001,"&lt;="&amp;$D$8,BD!$V$3:$V$5001,"&lt;&gt;")=0,"",SUMIFS(BD!$V$3:$V$5001,BD!$B$3:$B$5001,F$136,BD!$A$3:$A$5001,_xlfn.MAXIFS(BD!$A$3:$A$5001,BD!$B$3:$B$5001,F$136,BD!$A$3:$A$5001,"&gt;="&amp;$C$8,BD!$A$3:$A$5001,"&lt;="&amp;$D$8,BD!$V$3:$V$5001,"&lt;&gt;"))))</f>
        <v/>
      </c>
      <c r="G168" s="45" t="str">
        <f>IF(G$136="","",IF(COUNTIFS(BD!$B$3:$B$5001,G$136,BD!$A$3:$A$5001,"&gt;="&amp;$C$8,BD!$A$3:$A$5001,"&lt;="&amp;$D$8,BD!$V$3:$V$5001,"&lt;&gt;")=0,"",SUMIFS(BD!$V$3:$V$5001,BD!$B$3:$B$5001,G$136,BD!$A$3:$A$5001,_xlfn.MAXIFS(BD!$A$3:$A$5001,BD!$B$3:$B$5001,G$136,BD!$A$3:$A$5001,"&gt;="&amp;$C$8,BD!$A$3:$A$5001,"&lt;="&amp;$D$8,BD!$V$3:$V$5001,"&lt;&gt;"))))</f>
        <v/>
      </c>
      <c r="H168" s="45" t="str">
        <f>IF(H$136="","",IF(COUNTIFS(BD!$B$3:$B$5001,H$136,BD!$A$3:$A$5001,"&gt;="&amp;$C$8,BD!$A$3:$A$5001,"&lt;="&amp;$D$8,BD!$V$3:$V$5001,"&lt;&gt;")=0,"",SUMIFS(BD!$V$3:$V$5001,BD!$B$3:$B$5001,H$136,BD!$A$3:$A$5001,_xlfn.MAXIFS(BD!$A$3:$A$5001,BD!$B$3:$B$5001,H$136,BD!$A$3:$A$5001,"&gt;="&amp;$C$8,BD!$A$3:$A$5001,"&lt;="&amp;$D$8,BD!$V$3:$V$5001,"&lt;&gt;"))))</f>
        <v/>
      </c>
      <c r="I168" s="45" t="str">
        <f>IF(I$136="","",IF(COUNTIFS(BD!$B$3:$B$5001,I$136,BD!$A$3:$A$5001,"&gt;="&amp;$C$8,BD!$A$3:$A$5001,"&lt;="&amp;$D$8,BD!$V$3:$V$5001,"&lt;&gt;")=0,"",SUMIFS(BD!$V$3:$V$5001,BD!$B$3:$B$5001,I$136,BD!$A$3:$A$5001,_xlfn.MAXIFS(BD!$A$3:$A$5001,BD!$B$3:$B$5001,I$136,BD!$A$3:$A$5001,"&gt;="&amp;$C$8,BD!$A$3:$A$5001,"&lt;="&amp;$D$8,BD!$V$3:$V$5001,"&lt;&gt;"))))</f>
        <v/>
      </c>
      <c r="J168" s="45" t="str">
        <f>IF(J$136="","",IF(COUNTIFS(BD!$B$3:$B$5001,J$136,BD!$A$3:$A$5001,"&gt;="&amp;$C$8,BD!$A$3:$A$5001,"&lt;="&amp;$D$8,BD!$V$3:$V$5001,"&lt;&gt;")=0,"",SUMIFS(BD!$V$3:$V$5001,BD!$B$3:$B$5001,J$136,BD!$A$3:$A$5001,_xlfn.MAXIFS(BD!$A$3:$A$5001,BD!$B$3:$B$5001,J$136,BD!$A$3:$A$5001,"&gt;="&amp;$C$8,BD!$A$3:$A$5001,"&lt;="&amp;$D$8,BD!$V$3:$V$5001,"&lt;&gt;"))))</f>
        <v/>
      </c>
      <c r="K168" s="45" t="str">
        <f>IF(K$136="","",IF(COUNTIFS(BD!$B$3:$B$5001,K$136,BD!$A$3:$A$5001,"&gt;="&amp;$C$8,BD!$A$3:$A$5001,"&lt;="&amp;$D$8,BD!$V$3:$V$5001,"&lt;&gt;")=0,"",SUMIFS(BD!$V$3:$V$5001,BD!$B$3:$B$5001,K$136,BD!$A$3:$A$5001,_xlfn.MAXIFS(BD!$A$3:$A$5001,BD!$B$3:$B$5001,K$136,BD!$A$3:$A$5001,"&gt;="&amp;$C$8,BD!$A$3:$A$5001,"&lt;="&amp;$D$8,BD!$V$3:$V$5001,"&lt;&gt;"))))</f>
        <v/>
      </c>
      <c r="L168" s="45" t="str">
        <f>IF(L$136="","",IF(COUNTIFS(BD!$B$3:$B$5001,L$136,BD!$A$3:$A$5001,"&gt;="&amp;$C$8,BD!$A$3:$A$5001,"&lt;="&amp;$D$8,BD!$V$3:$V$5001,"&lt;&gt;")=0,"",SUMIFS(BD!$V$3:$V$5001,BD!$B$3:$B$5001,L$136,BD!$A$3:$A$5001,_xlfn.MAXIFS(BD!$A$3:$A$5001,BD!$B$3:$B$5001,L$136,BD!$A$3:$A$5001,"&gt;="&amp;$C$8,BD!$A$3:$A$5001,"&lt;="&amp;$D$8,BD!$V$3:$V$5001,"&lt;&gt;"))))</f>
        <v/>
      </c>
      <c r="M168" s="45" t="str">
        <f>IF(M$136="","",IF(COUNTIFS(BD!$B$3:$B$5001,M$136,BD!$A$3:$A$5001,"&gt;="&amp;$C$8,BD!$A$3:$A$5001,"&lt;="&amp;$D$8,BD!$V$3:$V$5001,"&lt;&gt;")=0,"",SUMIFS(BD!$V$3:$V$5001,BD!$B$3:$B$5001,M$136,BD!$A$3:$A$5001,_xlfn.MAXIFS(BD!$A$3:$A$5001,BD!$B$3:$B$5001,M$136,BD!$A$3:$A$5001,"&gt;="&amp;$C$8,BD!$A$3:$A$5001,"&lt;="&amp;$D$8,BD!$V$3:$V$5001,"&lt;&gt;"))))</f>
        <v/>
      </c>
      <c r="N168" s="45" t="str">
        <f>IF(N$136="","",IF(COUNTIFS(BD!$B$3:$B$5001,N$136,BD!$A$3:$A$5001,"&gt;="&amp;$C$8,BD!$A$3:$A$5001,"&lt;="&amp;$D$8,BD!$V$3:$V$5001,"&lt;&gt;")=0,"",SUMIFS(BD!$V$3:$V$5001,BD!$B$3:$B$5001,N$136,BD!$A$3:$A$5001,_xlfn.MAXIFS(BD!$A$3:$A$5001,BD!$B$3:$B$5001,N$136,BD!$A$3:$A$5001,"&gt;="&amp;$C$8,BD!$A$3:$A$5001,"&lt;="&amp;$D$8,BD!$V$3:$V$5001,"&lt;&gt;"))))</f>
        <v/>
      </c>
      <c r="O168" s="45" t="str">
        <f>IF(O$136="","",IF(COUNTIFS(BD!$B$3:$B$5001,O$136,BD!$A$3:$A$5001,"&gt;="&amp;$C$8,BD!$A$3:$A$5001,"&lt;="&amp;$D$8,BD!$V$3:$V$5001,"&lt;&gt;")=0,"",SUMIFS(BD!$V$3:$V$5001,BD!$B$3:$B$5001,O$136,BD!$A$3:$A$5001,_xlfn.MAXIFS(BD!$A$3:$A$5001,BD!$B$3:$B$5001,O$136,BD!$A$3:$A$5001,"&gt;="&amp;$C$8,BD!$A$3:$A$5001,"&lt;="&amp;$D$8,BD!$V$3:$V$5001,"&lt;&gt;"))))</f>
        <v/>
      </c>
      <c r="P168" s="45" t="str">
        <f>IF(P$136="","",IF(COUNTIFS(BD!$B$3:$B$5001,P$136,BD!$A$3:$A$5001,"&gt;="&amp;$C$8,BD!$A$3:$A$5001,"&lt;="&amp;$D$8,BD!$V$3:$V$5001,"&lt;&gt;")=0,"",SUMIFS(BD!$V$3:$V$5001,BD!$B$3:$B$5001,P$136,BD!$A$3:$A$5001,_xlfn.MAXIFS(BD!$A$3:$A$5001,BD!$B$3:$B$5001,P$136,BD!$A$3:$A$5001,"&gt;="&amp;$C$8,BD!$A$3:$A$5001,"&lt;="&amp;$D$8,BD!$V$3:$V$5001,"&lt;&gt;"))))</f>
        <v/>
      </c>
      <c r="Q168" s="45" t="str">
        <f>IF(Q$136="","",IF(COUNTIFS(BD!$B$3:$B$5001,Q$136,BD!$A$3:$A$5001,"&gt;="&amp;$C$8,BD!$A$3:$A$5001,"&lt;="&amp;$D$8,BD!$V$3:$V$5001,"&lt;&gt;")=0,"",SUMIFS(BD!$V$3:$V$5001,BD!$B$3:$B$5001,Q$136,BD!$A$3:$A$5001,_xlfn.MAXIFS(BD!$A$3:$A$5001,BD!$B$3:$B$5001,Q$136,BD!$A$3:$A$5001,"&gt;="&amp;$C$8,BD!$A$3:$A$5001,"&lt;="&amp;$D$8,BD!$V$3:$V$5001,"&lt;&gt;"))))</f>
        <v/>
      </c>
      <c r="R168" s="45" t="str">
        <f>IF(R$136="","",IF(COUNTIFS(BD!$B$3:$B$5001,R$136,BD!$A$3:$A$5001,"&gt;="&amp;$C$8,BD!$A$3:$A$5001,"&lt;="&amp;$D$8,BD!$V$3:$V$5001,"&lt;&gt;")=0,"",SUMIFS(BD!$V$3:$V$5001,BD!$B$3:$B$5001,R$136,BD!$A$3:$A$5001,_xlfn.MAXIFS(BD!$A$3:$A$5001,BD!$B$3:$B$5001,R$136,BD!$A$3:$A$5001,"&gt;="&amp;$C$8,BD!$A$3:$A$5001,"&lt;="&amp;$D$8,BD!$V$3:$V$5001,"&lt;&gt;"))))</f>
        <v/>
      </c>
      <c r="S168" s="45" t="str">
        <f>IF(S$136="","",IF(COUNTIFS(BD!$B$3:$B$5001,S$136,BD!$A$3:$A$5001,"&gt;="&amp;$C$8,BD!$A$3:$A$5001,"&lt;="&amp;$D$8,BD!$V$3:$V$5001,"&lt;&gt;")=0,"",SUMIFS(BD!$V$3:$V$5001,BD!$B$3:$B$5001,S$136,BD!$A$3:$A$5001,_xlfn.MAXIFS(BD!$A$3:$A$5001,BD!$B$3:$B$5001,S$136,BD!$A$3:$A$5001,"&gt;="&amp;$C$8,BD!$A$3:$A$5001,"&lt;="&amp;$D$8,BD!$V$3:$V$5001,"&lt;&gt;"))))</f>
        <v/>
      </c>
      <c r="T168" s="45" t="str">
        <f>IF(T$136="","",IF(COUNTIFS(BD!$B$3:$B$5001,T$136,BD!$A$3:$A$5001,"&gt;="&amp;$C$8,BD!$A$3:$A$5001,"&lt;="&amp;$D$8,BD!$V$3:$V$5001,"&lt;&gt;")=0,"",SUMIFS(BD!$V$3:$V$5001,BD!$B$3:$B$5001,T$136,BD!$A$3:$A$5001,_xlfn.MAXIFS(BD!$A$3:$A$5001,BD!$B$3:$B$5001,T$136,BD!$A$3:$A$5001,"&gt;="&amp;$C$8,BD!$A$3:$A$5001,"&lt;="&amp;$D$8,BD!$V$3:$V$5001,"&lt;&gt;"))))</f>
        <v/>
      </c>
      <c r="U168" s="45" t="str">
        <f>IF(U$136="","",IF(COUNTIFS(BD!$B$3:$B$5001,U$136,BD!$A$3:$A$5001,"&gt;="&amp;$C$8,BD!$A$3:$A$5001,"&lt;="&amp;$D$8,BD!$V$3:$V$5001,"&lt;&gt;")=0,"",SUMIFS(BD!$V$3:$V$5001,BD!$B$3:$B$5001,U$136,BD!$A$3:$A$5001,_xlfn.MAXIFS(BD!$A$3:$A$5001,BD!$B$3:$B$5001,U$136,BD!$A$3:$A$5001,"&gt;="&amp;$C$8,BD!$A$3:$A$5001,"&lt;="&amp;$D$8,BD!$V$3:$V$5001,"&lt;&gt;"))))</f>
        <v/>
      </c>
      <c r="V168" s="45" t="str">
        <f>IF(V$136="","",IF(COUNTIFS(BD!$B$3:$B$5001,V$136,BD!$A$3:$A$5001,"&gt;="&amp;$C$8,BD!$A$3:$A$5001,"&lt;="&amp;$D$8,BD!$V$3:$V$5001,"&lt;&gt;")=0,"",SUMIFS(BD!$V$3:$V$5001,BD!$B$3:$B$5001,V$136,BD!$A$3:$A$5001,_xlfn.MAXIFS(BD!$A$3:$A$5001,BD!$B$3:$B$5001,V$136,BD!$A$3:$A$5001,"&gt;="&amp;$C$8,BD!$A$3:$A$5001,"&lt;="&amp;$D$8,BD!$V$3:$V$5001,"&lt;&gt;"))))</f>
        <v/>
      </c>
    </row>
    <row r="169">
      <c r="A169" s="44" t="inlineStr">
        <is>
          <t xml:space="preserve">Depósito</t>
        </is>
      </c>
      <c r="C169" s="38" t="str">
        <f>IF(Config!$C$10="","TPC",Config!$C$10)</f>
        <v>TPC</v>
      </c>
      <c r="D169" s="38" t="str">
        <f>IF(Config!$C$11="","TPC",Config!$C$11)</f>
        <v>TPC</v>
      </c>
      <c r="E169" s="38" t="str">
        <f>IF(Config!$C$12="","TPC",Config!$C$12)</f>
        <v>TPC</v>
      </c>
      <c r="F169" s="38" t="str">
        <f>IF(Config!$C$13="","TPC",Config!$C$13)</f>
        <v>TPC</v>
      </c>
      <c r="G169" s="38" t="str">
        <f>IF(Config!$C$14="","TPC",Config!$C$14)</f>
        <v>TPC</v>
      </c>
      <c r="H169" s="38" t="str">
        <f>IF(Config!$C$15="","TPC",Config!$C$15)</f>
        <v>TPC</v>
      </c>
      <c r="I169" s="38" t="str">
        <f>IF(Config!$C$16="","TPC",Config!$C$16)</f>
        <v>TPC</v>
      </c>
      <c r="J169" s="38" t="str">
        <f>IF(Config!$C$17="","TPC",Config!$C$17)</f>
        <v>TPC</v>
      </c>
      <c r="K169" s="38" t="str">
        <f>IF(Config!$C$18="","TPC",Config!$C$18)</f>
        <v>TPC</v>
      </c>
      <c r="L169" s="38" t="str">
        <f>IF(Config!$C$19="","TPC",Config!$C$19)</f>
        <v>TPC</v>
      </c>
      <c r="M169" s="38" t="str">
        <f>IF(Config!$C$20="","TPC",Config!$C$20)</f>
        <v>TPC</v>
      </c>
      <c r="N169" s="38" t="str">
        <f>IF(Config!$C$21="","TPC",Config!$C$21)</f>
        <v>TPC</v>
      </c>
      <c r="O169" s="38" t="str">
        <f>IF(Config!$C$22="","TPC",Config!$C$22)</f>
        <v>TPC</v>
      </c>
      <c r="P169" s="38" t="str">
        <f>IF(Config!$C$23="","TPC",Config!$C$23)</f>
        <v>TPC</v>
      </c>
      <c r="Q169" s="38" t="str">
        <f>IF(Config!$C$24="","TPC",Config!$C$24)</f>
        <v>TPC</v>
      </c>
      <c r="R169" s="38" t="str">
        <f>IF(Config!$C$25="","TPC",Config!$C$25)</f>
        <v>TPC</v>
      </c>
      <c r="S169" s="38" t="str">
        <f>IF(Config!$C$26="","TPC",Config!$C$26)</f>
        <v>TPC</v>
      </c>
      <c r="T169" s="38" t="str">
        <f>IF(Config!$C$27="","TPC",Config!$C$27)</f>
        <v>TPC</v>
      </c>
      <c r="U169" s="38" t="str">
        <f>IF(Config!$C$28="","TPC",Config!$C$28)</f>
        <v>TPC</v>
      </c>
      <c r="V169" s="38" t="str">
        <f>IF(Config!$C$29="","TPC",Config!$C$29)</f>
        <v>TPC</v>
      </c>
    </row>
    <row r="171">
      <c r="A171" s="37" t="inlineStr">
        <is>
          <t xml:space="preserve">Posições Ocupadas</t>
        </is>
      </c>
      <c r="B171" s="37" t="inlineStr">
        <is>
          <t xml:space="preserve">Data</t>
        </is>
      </c>
      <c r="C171" s="37" t="str">
        <f>Config!$B$10&amp;""</f>
        <v>Alpargatas</v>
      </c>
      <c r="D171" s="37" t="str">
        <f>Config!$B$11&amp;""</f>
        <v>Basf</v>
      </c>
      <c r="E171" s="37" t="str">
        <f>Config!$B$12&amp;""</f>
        <v>Beautybiz</v>
      </c>
      <c r="F171" s="37" t="str">
        <f>Config!$B$13&amp;""</f>
        <v>Boticário</v>
      </c>
      <c r="G171" s="37" t="str">
        <f>Config!$B$14&amp;""</f>
        <v>Confiance</v>
      </c>
      <c r="H171" s="37" t="str">
        <f>Config!$B$15&amp;""</f>
        <v>GE Vernova</v>
      </c>
      <c r="I171" s="37" t="str">
        <f>Config!$B$16&amp;""</f>
        <v>Omnilife</v>
      </c>
      <c r="J171" s="37" t="str">
        <f>Config!$B$17&amp;""</f>
        <v>Supply</v>
      </c>
      <c r="K171" s="37" t="str">
        <f>Config!$B$18&amp;""</f>
        <v>Vedacit</v>
      </c>
      <c r="L171" s="37" t="str">
        <f>Config!$B$19&amp;""</f>
        <v>Vestas</v>
      </c>
      <c r="M171" s="37" t="str">
        <f>Config!$B$20&amp;""</f>
        <v/>
      </c>
      <c r="N171" s="37" t="str">
        <f>Config!$B$21&amp;""</f>
        <v/>
      </c>
      <c r="O171" s="37" t="str">
        <f>Config!$B$22&amp;""</f>
        <v/>
      </c>
      <c r="P171" s="37" t="str">
        <f>Config!$B$23&amp;""</f>
        <v/>
      </c>
      <c r="Q171" s="37" t="str">
        <f>Config!$B$24&amp;""</f>
        <v/>
      </c>
      <c r="R171" s="37" t="str">
        <f>Config!$B$25&amp;""</f>
        <v/>
      </c>
      <c r="S171" s="37" t="str">
        <f>Config!$B$26&amp;""</f>
        <v/>
      </c>
      <c r="T171" s="37" t="str">
        <f>Config!$B$27&amp;""</f>
        <v/>
      </c>
      <c r="U171" s="37" t="str">
        <f>Config!$B$28&amp;""</f>
        <v/>
      </c>
      <c r="V171" s="37" t="str">
        <f>Config!$B$29&amp;""</f>
        <v/>
      </c>
    </row>
    <row r="172">
      <c r="A172" s="38">
        <v>1</v>
      </c>
      <c r="B172" s="42">
        <f>$B$12</f>
        <v>46296</v>
      </c>
      <c r="C172" s="43" t="str">
        <f>IF(OR($B172="",$A172&gt;$B$9,C$171=""),"",IF(COUNTIFS(BD!$B$3:$B$5001,C$171,BD!$A$3:$A$5001,"&gt;="&amp;$C$7,BD!$A$3:$A$5001,"&lt;="&amp;$B172,BD!$X$3:$X$5001,"&lt;&gt;")=0,"",SUMIFS(BD!$X$3:$X$5001,BD!$B$3:$B$5001,C$171,BD!$A$3:$A$5001,_xlfn.MAXIFS(BD!$A$3:$A$5001,BD!$B$3:$B$5001,C$171,BD!$A$3:$A$5001,"&gt;="&amp;$C$7,BD!$A$3:$A$5001,"&lt;="&amp;$B172,BD!$X$3:$X$5001,"&lt;&gt;"))))</f>
        <v/>
      </c>
      <c r="D172" s="43" t="str">
        <f>IF(OR($B172="",$A172&gt;$B$9,D$171=""),"",IF(COUNTIFS(BD!$B$3:$B$5001,D$171,BD!$A$3:$A$5001,"&gt;="&amp;$C$7,BD!$A$3:$A$5001,"&lt;="&amp;$B172,BD!$X$3:$X$5001,"&lt;&gt;")=0,"",SUMIFS(BD!$X$3:$X$5001,BD!$B$3:$B$5001,D$171,BD!$A$3:$A$5001,_xlfn.MAXIFS(BD!$A$3:$A$5001,BD!$B$3:$B$5001,D$171,BD!$A$3:$A$5001,"&gt;="&amp;$C$7,BD!$A$3:$A$5001,"&lt;="&amp;$B172,BD!$X$3:$X$5001,"&lt;&gt;"))))</f>
        <v/>
      </c>
      <c r="E172" s="43" t="str">
        <f>IF(OR($B172="",$A172&gt;$B$9,E$171=""),"",IF(COUNTIFS(BD!$B$3:$B$5001,E$171,BD!$A$3:$A$5001,"&gt;="&amp;$C$7,BD!$A$3:$A$5001,"&lt;="&amp;$B172,BD!$X$3:$X$5001,"&lt;&gt;")=0,"",SUMIFS(BD!$X$3:$X$5001,BD!$B$3:$B$5001,E$171,BD!$A$3:$A$5001,_xlfn.MAXIFS(BD!$A$3:$A$5001,BD!$B$3:$B$5001,E$171,BD!$A$3:$A$5001,"&gt;="&amp;$C$7,BD!$A$3:$A$5001,"&lt;="&amp;$B172,BD!$X$3:$X$5001,"&lt;&gt;"))))</f>
        <v/>
      </c>
      <c r="F172" s="43" t="str">
        <f>IF(OR($B172="",$A172&gt;$B$9,F$171=""),"",IF(COUNTIFS(BD!$B$3:$B$5001,F$171,BD!$A$3:$A$5001,"&gt;="&amp;$C$7,BD!$A$3:$A$5001,"&lt;="&amp;$B172,BD!$X$3:$X$5001,"&lt;&gt;")=0,"",SUMIFS(BD!$X$3:$X$5001,BD!$B$3:$B$5001,F$171,BD!$A$3:$A$5001,_xlfn.MAXIFS(BD!$A$3:$A$5001,BD!$B$3:$B$5001,F$171,BD!$A$3:$A$5001,"&gt;="&amp;$C$7,BD!$A$3:$A$5001,"&lt;="&amp;$B172,BD!$X$3:$X$5001,"&lt;&gt;"))))</f>
        <v/>
      </c>
      <c r="G172" s="43" t="str">
        <f>IF(OR($B172="",$A172&gt;$B$9,G$171=""),"",IF(COUNTIFS(BD!$B$3:$B$5001,G$171,BD!$A$3:$A$5001,"&gt;="&amp;$C$7,BD!$A$3:$A$5001,"&lt;="&amp;$B172,BD!$X$3:$X$5001,"&lt;&gt;")=0,"",SUMIFS(BD!$X$3:$X$5001,BD!$B$3:$B$5001,G$171,BD!$A$3:$A$5001,_xlfn.MAXIFS(BD!$A$3:$A$5001,BD!$B$3:$B$5001,G$171,BD!$A$3:$A$5001,"&gt;="&amp;$C$7,BD!$A$3:$A$5001,"&lt;="&amp;$B172,BD!$X$3:$X$5001,"&lt;&gt;"))))</f>
        <v/>
      </c>
      <c r="H172" s="43" t="str">
        <f>IF(OR($B172="",$A172&gt;$B$9,H$171=""),"",IF(COUNTIFS(BD!$B$3:$B$5001,H$171,BD!$A$3:$A$5001,"&gt;="&amp;$C$7,BD!$A$3:$A$5001,"&lt;="&amp;$B172,BD!$X$3:$X$5001,"&lt;&gt;")=0,"",SUMIFS(BD!$X$3:$X$5001,BD!$B$3:$B$5001,H$171,BD!$A$3:$A$5001,_xlfn.MAXIFS(BD!$A$3:$A$5001,BD!$B$3:$B$5001,H$171,BD!$A$3:$A$5001,"&gt;="&amp;$C$7,BD!$A$3:$A$5001,"&lt;="&amp;$B172,BD!$X$3:$X$5001,"&lt;&gt;"))))</f>
        <v/>
      </c>
      <c r="I172" s="43" t="str">
        <f>IF(OR($B172="",$A172&gt;$B$9,I$171=""),"",IF(COUNTIFS(BD!$B$3:$B$5001,I$171,BD!$A$3:$A$5001,"&gt;="&amp;$C$7,BD!$A$3:$A$5001,"&lt;="&amp;$B172,BD!$X$3:$X$5001,"&lt;&gt;")=0,"",SUMIFS(BD!$X$3:$X$5001,BD!$B$3:$B$5001,I$171,BD!$A$3:$A$5001,_xlfn.MAXIFS(BD!$A$3:$A$5001,BD!$B$3:$B$5001,I$171,BD!$A$3:$A$5001,"&gt;="&amp;$C$7,BD!$A$3:$A$5001,"&lt;="&amp;$B172,BD!$X$3:$X$5001,"&lt;&gt;"))))</f>
        <v/>
      </c>
      <c r="J172" s="43" t="str">
        <f>IF(OR($B172="",$A172&gt;$B$9,J$171=""),"",IF(COUNTIFS(BD!$B$3:$B$5001,J$171,BD!$A$3:$A$5001,"&gt;="&amp;$C$7,BD!$A$3:$A$5001,"&lt;="&amp;$B172,BD!$X$3:$X$5001,"&lt;&gt;")=0,"",SUMIFS(BD!$X$3:$X$5001,BD!$B$3:$B$5001,J$171,BD!$A$3:$A$5001,_xlfn.MAXIFS(BD!$A$3:$A$5001,BD!$B$3:$B$5001,J$171,BD!$A$3:$A$5001,"&gt;="&amp;$C$7,BD!$A$3:$A$5001,"&lt;="&amp;$B172,BD!$X$3:$X$5001,"&lt;&gt;"))))</f>
        <v/>
      </c>
      <c r="K172" s="43" t="str">
        <f>IF(OR($B172="",$A172&gt;$B$9,K$171=""),"",IF(COUNTIFS(BD!$B$3:$B$5001,K$171,BD!$A$3:$A$5001,"&gt;="&amp;$C$7,BD!$A$3:$A$5001,"&lt;="&amp;$B172,BD!$X$3:$X$5001,"&lt;&gt;")=0,"",SUMIFS(BD!$X$3:$X$5001,BD!$B$3:$B$5001,K$171,BD!$A$3:$A$5001,_xlfn.MAXIFS(BD!$A$3:$A$5001,BD!$B$3:$B$5001,K$171,BD!$A$3:$A$5001,"&gt;="&amp;$C$7,BD!$A$3:$A$5001,"&lt;="&amp;$B172,BD!$X$3:$X$5001,"&lt;&gt;"))))</f>
        <v/>
      </c>
      <c r="L172" s="43" t="str">
        <f>IF(OR($B172="",$A172&gt;$B$9,L$171=""),"",IF(COUNTIFS(BD!$B$3:$B$5001,L$171,BD!$A$3:$A$5001,"&gt;="&amp;$C$7,BD!$A$3:$A$5001,"&lt;="&amp;$B172,BD!$X$3:$X$5001,"&lt;&gt;")=0,"",SUMIFS(BD!$X$3:$X$5001,BD!$B$3:$B$5001,L$171,BD!$A$3:$A$5001,_xlfn.MAXIFS(BD!$A$3:$A$5001,BD!$B$3:$B$5001,L$171,BD!$A$3:$A$5001,"&gt;="&amp;$C$7,BD!$A$3:$A$5001,"&lt;="&amp;$B172,BD!$X$3:$X$5001,"&lt;&gt;"))))</f>
        <v/>
      </c>
      <c r="M172" s="43" t="str">
        <f>IF(OR($B172="",$A172&gt;$B$9,M$171=""),"",IF(COUNTIFS(BD!$B$3:$B$5001,M$171,BD!$A$3:$A$5001,"&gt;="&amp;$C$7,BD!$A$3:$A$5001,"&lt;="&amp;$B172,BD!$X$3:$X$5001,"&lt;&gt;")=0,"",SUMIFS(BD!$X$3:$X$5001,BD!$B$3:$B$5001,M$171,BD!$A$3:$A$5001,_xlfn.MAXIFS(BD!$A$3:$A$5001,BD!$B$3:$B$5001,M$171,BD!$A$3:$A$5001,"&gt;="&amp;$C$7,BD!$A$3:$A$5001,"&lt;="&amp;$B172,BD!$X$3:$X$5001,"&lt;&gt;"))))</f>
        <v/>
      </c>
      <c r="N172" s="43" t="str">
        <f>IF(OR($B172="",$A172&gt;$B$9,N$171=""),"",IF(COUNTIFS(BD!$B$3:$B$5001,N$171,BD!$A$3:$A$5001,"&gt;="&amp;$C$7,BD!$A$3:$A$5001,"&lt;="&amp;$B172,BD!$X$3:$X$5001,"&lt;&gt;")=0,"",SUMIFS(BD!$X$3:$X$5001,BD!$B$3:$B$5001,N$171,BD!$A$3:$A$5001,_xlfn.MAXIFS(BD!$A$3:$A$5001,BD!$B$3:$B$5001,N$171,BD!$A$3:$A$5001,"&gt;="&amp;$C$7,BD!$A$3:$A$5001,"&lt;="&amp;$B172,BD!$X$3:$X$5001,"&lt;&gt;"))))</f>
        <v/>
      </c>
      <c r="O172" s="43" t="str">
        <f>IF(OR($B172="",$A172&gt;$B$9,O$171=""),"",IF(COUNTIFS(BD!$B$3:$B$5001,O$171,BD!$A$3:$A$5001,"&gt;="&amp;$C$7,BD!$A$3:$A$5001,"&lt;="&amp;$B172,BD!$X$3:$X$5001,"&lt;&gt;")=0,"",SUMIFS(BD!$X$3:$X$5001,BD!$B$3:$B$5001,O$171,BD!$A$3:$A$5001,_xlfn.MAXIFS(BD!$A$3:$A$5001,BD!$B$3:$B$5001,O$171,BD!$A$3:$A$5001,"&gt;="&amp;$C$7,BD!$A$3:$A$5001,"&lt;="&amp;$B172,BD!$X$3:$X$5001,"&lt;&gt;"))))</f>
        <v/>
      </c>
      <c r="P172" s="43" t="str">
        <f>IF(OR($B172="",$A172&gt;$B$9,P$171=""),"",IF(COUNTIFS(BD!$B$3:$B$5001,P$171,BD!$A$3:$A$5001,"&gt;="&amp;$C$7,BD!$A$3:$A$5001,"&lt;="&amp;$B172,BD!$X$3:$X$5001,"&lt;&gt;")=0,"",SUMIFS(BD!$X$3:$X$5001,BD!$B$3:$B$5001,P$171,BD!$A$3:$A$5001,_xlfn.MAXIFS(BD!$A$3:$A$5001,BD!$B$3:$B$5001,P$171,BD!$A$3:$A$5001,"&gt;="&amp;$C$7,BD!$A$3:$A$5001,"&lt;="&amp;$B172,BD!$X$3:$X$5001,"&lt;&gt;"))))</f>
        <v/>
      </c>
      <c r="Q172" s="43" t="str">
        <f>IF(OR($B172="",$A172&gt;$B$9,Q$171=""),"",IF(COUNTIFS(BD!$B$3:$B$5001,Q$171,BD!$A$3:$A$5001,"&gt;="&amp;$C$7,BD!$A$3:$A$5001,"&lt;="&amp;$B172,BD!$X$3:$X$5001,"&lt;&gt;")=0,"",SUMIFS(BD!$X$3:$X$5001,BD!$B$3:$B$5001,Q$171,BD!$A$3:$A$5001,_xlfn.MAXIFS(BD!$A$3:$A$5001,BD!$B$3:$B$5001,Q$171,BD!$A$3:$A$5001,"&gt;="&amp;$C$7,BD!$A$3:$A$5001,"&lt;="&amp;$B172,BD!$X$3:$X$5001,"&lt;&gt;"))))</f>
        <v/>
      </c>
      <c r="R172" s="43" t="str">
        <f>IF(OR($B172="",$A172&gt;$B$9,R$171=""),"",IF(COUNTIFS(BD!$B$3:$B$5001,R$171,BD!$A$3:$A$5001,"&gt;="&amp;$C$7,BD!$A$3:$A$5001,"&lt;="&amp;$B172,BD!$X$3:$X$5001,"&lt;&gt;")=0,"",SUMIFS(BD!$X$3:$X$5001,BD!$B$3:$B$5001,R$171,BD!$A$3:$A$5001,_xlfn.MAXIFS(BD!$A$3:$A$5001,BD!$B$3:$B$5001,R$171,BD!$A$3:$A$5001,"&gt;="&amp;$C$7,BD!$A$3:$A$5001,"&lt;="&amp;$B172,BD!$X$3:$X$5001,"&lt;&gt;"))))</f>
        <v/>
      </c>
      <c r="S172" s="43" t="str">
        <f>IF(OR($B172="",$A172&gt;$B$9,S$171=""),"",IF(COUNTIFS(BD!$B$3:$B$5001,S$171,BD!$A$3:$A$5001,"&gt;="&amp;$C$7,BD!$A$3:$A$5001,"&lt;="&amp;$B172,BD!$X$3:$X$5001,"&lt;&gt;")=0,"",SUMIFS(BD!$X$3:$X$5001,BD!$B$3:$B$5001,S$171,BD!$A$3:$A$5001,_xlfn.MAXIFS(BD!$A$3:$A$5001,BD!$B$3:$B$5001,S$171,BD!$A$3:$A$5001,"&gt;="&amp;$C$7,BD!$A$3:$A$5001,"&lt;="&amp;$B172,BD!$X$3:$X$5001,"&lt;&gt;"))))</f>
        <v/>
      </c>
      <c r="T172" s="43" t="str">
        <f>IF(OR($B172="",$A172&gt;$B$9,T$171=""),"",IF(COUNTIFS(BD!$B$3:$B$5001,T$171,BD!$A$3:$A$5001,"&gt;="&amp;$C$7,BD!$A$3:$A$5001,"&lt;="&amp;$B172,BD!$X$3:$X$5001,"&lt;&gt;")=0,"",SUMIFS(BD!$X$3:$X$5001,BD!$B$3:$B$5001,T$171,BD!$A$3:$A$5001,_xlfn.MAXIFS(BD!$A$3:$A$5001,BD!$B$3:$B$5001,T$171,BD!$A$3:$A$5001,"&gt;="&amp;$C$7,BD!$A$3:$A$5001,"&lt;="&amp;$B172,BD!$X$3:$X$5001,"&lt;&gt;"))))</f>
        <v/>
      </c>
      <c r="U172" s="43" t="str">
        <f>IF(OR($B172="",$A172&gt;$B$9,U$171=""),"",IF(COUNTIFS(BD!$B$3:$B$5001,U$171,BD!$A$3:$A$5001,"&gt;="&amp;$C$7,BD!$A$3:$A$5001,"&lt;="&amp;$B172,BD!$X$3:$X$5001,"&lt;&gt;")=0,"",SUMIFS(BD!$X$3:$X$5001,BD!$B$3:$B$5001,U$171,BD!$A$3:$A$5001,_xlfn.MAXIFS(BD!$A$3:$A$5001,BD!$B$3:$B$5001,U$171,BD!$A$3:$A$5001,"&gt;="&amp;$C$7,BD!$A$3:$A$5001,"&lt;="&amp;$B172,BD!$X$3:$X$5001,"&lt;&gt;"))))</f>
        <v/>
      </c>
      <c r="V172" s="43" t="str">
        <f>IF(OR($B172="",$A172&gt;$B$9,V$171=""),"",IF(COUNTIFS(BD!$B$3:$B$5001,V$171,BD!$A$3:$A$5001,"&gt;="&amp;$C$7,BD!$A$3:$A$5001,"&lt;="&amp;$B172,BD!$X$3:$X$5001,"&lt;&gt;")=0,"",SUMIFS(BD!$X$3:$X$5001,BD!$B$3:$B$5001,V$171,BD!$A$3:$A$5001,_xlfn.MAXIFS(BD!$A$3:$A$5001,BD!$B$3:$B$5001,V$171,BD!$A$3:$A$5001,"&gt;="&amp;$C$7,BD!$A$3:$A$5001,"&lt;="&amp;$B172,BD!$X$3:$X$5001,"&lt;&gt;"))))</f>
        <v/>
      </c>
    </row>
    <row r="173">
      <c r="A173" s="38">
        <v>2</v>
      </c>
      <c r="B173" s="42">
        <f>$B$13</f>
        <v>46297</v>
      </c>
      <c r="C173" s="43" t="str">
        <f>IF(OR($B173="",$A173&gt;$B$9,C$171=""),"",IF(COUNTIFS(BD!$B$3:$B$5001,C$171,BD!$A$3:$A$5001,"&gt;="&amp;$C$7,BD!$A$3:$A$5001,"&lt;="&amp;$B173,BD!$X$3:$X$5001,"&lt;&gt;")=0,"",SUMIFS(BD!$X$3:$X$5001,BD!$B$3:$B$5001,C$171,BD!$A$3:$A$5001,_xlfn.MAXIFS(BD!$A$3:$A$5001,BD!$B$3:$B$5001,C$171,BD!$A$3:$A$5001,"&gt;="&amp;$C$7,BD!$A$3:$A$5001,"&lt;="&amp;$B173,BD!$X$3:$X$5001,"&lt;&gt;"))))</f>
        <v/>
      </c>
      <c r="D173" s="43" t="str">
        <f>IF(OR($B173="",$A173&gt;$B$9,D$171=""),"",IF(COUNTIFS(BD!$B$3:$B$5001,D$171,BD!$A$3:$A$5001,"&gt;="&amp;$C$7,BD!$A$3:$A$5001,"&lt;="&amp;$B173,BD!$X$3:$X$5001,"&lt;&gt;")=0,"",SUMIFS(BD!$X$3:$X$5001,BD!$B$3:$B$5001,D$171,BD!$A$3:$A$5001,_xlfn.MAXIFS(BD!$A$3:$A$5001,BD!$B$3:$B$5001,D$171,BD!$A$3:$A$5001,"&gt;="&amp;$C$7,BD!$A$3:$A$5001,"&lt;="&amp;$B173,BD!$X$3:$X$5001,"&lt;&gt;"))))</f>
        <v/>
      </c>
      <c r="E173" s="43" t="str">
        <f>IF(OR($B173="",$A173&gt;$B$9,E$171=""),"",IF(COUNTIFS(BD!$B$3:$B$5001,E$171,BD!$A$3:$A$5001,"&gt;="&amp;$C$7,BD!$A$3:$A$5001,"&lt;="&amp;$B173,BD!$X$3:$X$5001,"&lt;&gt;")=0,"",SUMIFS(BD!$X$3:$X$5001,BD!$B$3:$B$5001,E$171,BD!$A$3:$A$5001,_xlfn.MAXIFS(BD!$A$3:$A$5001,BD!$B$3:$B$5001,E$171,BD!$A$3:$A$5001,"&gt;="&amp;$C$7,BD!$A$3:$A$5001,"&lt;="&amp;$B173,BD!$X$3:$X$5001,"&lt;&gt;"))))</f>
        <v/>
      </c>
      <c r="F173" s="43" t="str">
        <f>IF(OR($B173="",$A173&gt;$B$9,F$171=""),"",IF(COUNTIFS(BD!$B$3:$B$5001,F$171,BD!$A$3:$A$5001,"&gt;="&amp;$C$7,BD!$A$3:$A$5001,"&lt;="&amp;$B173,BD!$X$3:$X$5001,"&lt;&gt;")=0,"",SUMIFS(BD!$X$3:$X$5001,BD!$B$3:$B$5001,F$171,BD!$A$3:$A$5001,_xlfn.MAXIFS(BD!$A$3:$A$5001,BD!$B$3:$B$5001,F$171,BD!$A$3:$A$5001,"&gt;="&amp;$C$7,BD!$A$3:$A$5001,"&lt;="&amp;$B173,BD!$X$3:$X$5001,"&lt;&gt;"))))</f>
        <v/>
      </c>
      <c r="G173" s="43" t="str">
        <f>IF(OR($B173="",$A173&gt;$B$9,G$171=""),"",IF(COUNTIFS(BD!$B$3:$B$5001,G$171,BD!$A$3:$A$5001,"&gt;="&amp;$C$7,BD!$A$3:$A$5001,"&lt;="&amp;$B173,BD!$X$3:$X$5001,"&lt;&gt;")=0,"",SUMIFS(BD!$X$3:$X$5001,BD!$B$3:$B$5001,G$171,BD!$A$3:$A$5001,_xlfn.MAXIFS(BD!$A$3:$A$5001,BD!$B$3:$B$5001,G$171,BD!$A$3:$A$5001,"&gt;="&amp;$C$7,BD!$A$3:$A$5001,"&lt;="&amp;$B173,BD!$X$3:$X$5001,"&lt;&gt;"))))</f>
        <v/>
      </c>
      <c r="H173" s="43" t="str">
        <f>IF(OR($B173="",$A173&gt;$B$9,H$171=""),"",IF(COUNTIFS(BD!$B$3:$B$5001,H$171,BD!$A$3:$A$5001,"&gt;="&amp;$C$7,BD!$A$3:$A$5001,"&lt;="&amp;$B173,BD!$X$3:$X$5001,"&lt;&gt;")=0,"",SUMIFS(BD!$X$3:$X$5001,BD!$B$3:$B$5001,H$171,BD!$A$3:$A$5001,_xlfn.MAXIFS(BD!$A$3:$A$5001,BD!$B$3:$B$5001,H$171,BD!$A$3:$A$5001,"&gt;="&amp;$C$7,BD!$A$3:$A$5001,"&lt;="&amp;$B173,BD!$X$3:$X$5001,"&lt;&gt;"))))</f>
        <v/>
      </c>
      <c r="I173" s="43" t="str">
        <f>IF(OR($B173="",$A173&gt;$B$9,I$171=""),"",IF(COUNTIFS(BD!$B$3:$B$5001,I$171,BD!$A$3:$A$5001,"&gt;="&amp;$C$7,BD!$A$3:$A$5001,"&lt;="&amp;$B173,BD!$X$3:$X$5001,"&lt;&gt;")=0,"",SUMIFS(BD!$X$3:$X$5001,BD!$B$3:$B$5001,I$171,BD!$A$3:$A$5001,_xlfn.MAXIFS(BD!$A$3:$A$5001,BD!$B$3:$B$5001,I$171,BD!$A$3:$A$5001,"&gt;="&amp;$C$7,BD!$A$3:$A$5001,"&lt;="&amp;$B173,BD!$X$3:$X$5001,"&lt;&gt;"))))</f>
        <v/>
      </c>
      <c r="J173" s="43" t="str">
        <f>IF(OR($B173="",$A173&gt;$B$9,J$171=""),"",IF(COUNTIFS(BD!$B$3:$B$5001,J$171,BD!$A$3:$A$5001,"&gt;="&amp;$C$7,BD!$A$3:$A$5001,"&lt;="&amp;$B173,BD!$X$3:$X$5001,"&lt;&gt;")=0,"",SUMIFS(BD!$X$3:$X$5001,BD!$B$3:$B$5001,J$171,BD!$A$3:$A$5001,_xlfn.MAXIFS(BD!$A$3:$A$5001,BD!$B$3:$B$5001,J$171,BD!$A$3:$A$5001,"&gt;="&amp;$C$7,BD!$A$3:$A$5001,"&lt;="&amp;$B173,BD!$X$3:$X$5001,"&lt;&gt;"))))</f>
        <v/>
      </c>
      <c r="K173" s="43" t="str">
        <f>IF(OR($B173="",$A173&gt;$B$9,K$171=""),"",IF(COUNTIFS(BD!$B$3:$B$5001,K$171,BD!$A$3:$A$5001,"&gt;="&amp;$C$7,BD!$A$3:$A$5001,"&lt;="&amp;$B173,BD!$X$3:$X$5001,"&lt;&gt;")=0,"",SUMIFS(BD!$X$3:$X$5001,BD!$B$3:$B$5001,K$171,BD!$A$3:$A$5001,_xlfn.MAXIFS(BD!$A$3:$A$5001,BD!$B$3:$B$5001,K$171,BD!$A$3:$A$5001,"&gt;="&amp;$C$7,BD!$A$3:$A$5001,"&lt;="&amp;$B173,BD!$X$3:$X$5001,"&lt;&gt;"))))</f>
        <v/>
      </c>
      <c r="L173" s="43" t="str">
        <f>IF(OR($B173="",$A173&gt;$B$9,L$171=""),"",IF(COUNTIFS(BD!$B$3:$B$5001,L$171,BD!$A$3:$A$5001,"&gt;="&amp;$C$7,BD!$A$3:$A$5001,"&lt;="&amp;$B173,BD!$X$3:$X$5001,"&lt;&gt;")=0,"",SUMIFS(BD!$X$3:$X$5001,BD!$B$3:$B$5001,L$171,BD!$A$3:$A$5001,_xlfn.MAXIFS(BD!$A$3:$A$5001,BD!$B$3:$B$5001,L$171,BD!$A$3:$A$5001,"&gt;="&amp;$C$7,BD!$A$3:$A$5001,"&lt;="&amp;$B173,BD!$X$3:$X$5001,"&lt;&gt;"))))</f>
        <v/>
      </c>
      <c r="M173" s="43" t="str">
        <f>IF(OR($B173="",$A173&gt;$B$9,M$171=""),"",IF(COUNTIFS(BD!$B$3:$B$5001,M$171,BD!$A$3:$A$5001,"&gt;="&amp;$C$7,BD!$A$3:$A$5001,"&lt;="&amp;$B173,BD!$X$3:$X$5001,"&lt;&gt;")=0,"",SUMIFS(BD!$X$3:$X$5001,BD!$B$3:$B$5001,M$171,BD!$A$3:$A$5001,_xlfn.MAXIFS(BD!$A$3:$A$5001,BD!$B$3:$B$5001,M$171,BD!$A$3:$A$5001,"&gt;="&amp;$C$7,BD!$A$3:$A$5001,"&lt;="&amp;$B173,BD!$X$3:$X$5001,"&lt;&gt;"))))</f>
        <v/>
      </c>
      <c r="N173" s="43" t="str">
        <f>IF(OR($B173="",$A173&gt;$B$9,N$171=""),"",IF(COUNTIFS(BD!$B$3:$B$5001,N$171,BD!$A$3:$A$5001,"&gt;="&amp;$C$7,BD!$A$3:$A$5001,"&lt;="&amp;$B173,BD!$X$3:$X$5001,"&lt;&gt;")=0,"",SUMIFS(BD!$X$3:$X$5001,BD!$B$3:$B$5001,N$171,BD!$A$3:$A$5001,_xlfn.MAXIFS(BD!$A$3:$A$5001,BD!$B$3:$B$5001,N$171,BD!$A$3:$A$5001,"&gt;="&amp;$C$7,BD!$A$3:$A$5001,"&lt;="&amp;$B173,BD!$X$3:$X$5001,"&lt;&gt;"))))</f>
        <v/>
      </c>
      <c r="O173" s="43" t="str">
        <f>IF(OR($B173="",$A173&gt;$B$9,O$171=""),"",IF(COUNTIFS(BD!$B$3:$B$5001,O$171,BD!$A$3:$A$5001,"&gt;="&amp;$C$7,BD!$A$3:$A$5001,"&lt;="&amp;$B173,BD!$X$3:$X$5001,"&lt;&gt;")=0,"",SUMIFS(BD!$X$3:$X$5001,BD!$B$3:$B$5001,O$171,BD!$A$3:$A$5001,_xlfn.MAXIFS(BD!$A$3:$A$5001,BD!$B$3:$B$5001,O$171,BD!$A$3:$A$5001,"&gt;="&amp;$C$7,BD!$A$3:$A$5001,"&lt;="&amp;$B173,BD!$X$3:$X$5001,"&lt;&gt;"))))</f>
        <v/>
      </c>
      <c r="P173" s="43" t="str">
        <f>IF(OR($B173="",$A173&gt;$B$9,P$171=""),"",IF(COUNTIFS(BD!$B$3:$B$5001,P$171,BD!$A$3:$A$5001,"&gt;="&amp;$C$7,BD!$A$3:$A$5001,"&lt;="&amp;$B173,BD!$X$3:$X$5001,"&lt;&gt;")=0,"",SUMIFS(BD!$X$3:$X$5001,BD!$B$3:$B$5001,P$171,BD!$A$3:$A$5001,_xlfn.MAXIFS(BD!$A$3:$A$5001,BD!$B$3:$B$5001,P$171,BD!$A$3:$A$5001,"&gt;="&amp;$C$7,BD!$A$3:$A$5001,"&lt;="&amp;$B173,BD!$X$3:$X$5001,"&lt;&gt;"))))</f>
        <v/>
      </c>
      <c r="Q173" s="43" t="str">
        <f>IF(OR($B173="",$A173&gt;$B$9,Q$171=""),"",IF(COUNTIFS(BD!$B$3:$B$5001,Q$171,BD!$A$3:$A$5001,"&gt;="&amp;$C$7,BD!$A$3:$A$5001,"&lt;="&amp;$B173,BD!$X$3:$X$5001,"&lt;&gt;")=0,"",SUMIFS(BD!$X$3:$X$5001,BD!$B$3:$B$5001,Q$171,BD!$A$3:$A$5001,_xlfn.MAXIFS(BD!$A$3:$A$5001,BD!$B$3:$B$5001,Q$171,BD!$A$3:$A$5001,"&gt;="&amp;$C$7,BD!$A$3:$A$5001,"&lt;="&amp;$B173,BD!$X$3:$X$5001,"&lt;&gt;"))))</f>
        <v/>
      </c>
      <c r="R173" s="43" t="str">
        <f>IF(OR($B173="",$A173&gt;$B$9,R$171=""),"",IF(COUNTIFS(BD!$B$3:$B$5001,R$171,BD!$A$3:$A$5001,"&gt;="&amp;$C$7,BD!$A$3:$A$5001,"&lt;="&amp;$B173,BD!$X$3:$X$5001,"&lt;&gt;")=0,"",SUMIFS(BD!$X$3:$X$5001,BD!$B$3:$B$5001,R$171,BD!$A$3:$A$5001,_xlfn.MAXIFS(BD!$A$3:$A$5001,BD!$B$3:$B$5001,R$171,BD!$A$3:$A$5001,"&gt;="&amp;$C$7,BD!$A$3:$A$5001,"&lt;="&amp;$B173,BD!$X$3:$X$5001,"&lt;&gt;"))))</f>
        <v/>
      </c>
      <c r="S173" s="43" t="str">
        <f>IF(OR($B173="",$A173&gt;$B$9,S$171=""),"",IF(COUNTIFS(BD!$B$3:$B$5001,S$171,BD!$A$3:$A$5001,"&gt;="&amp;$C$7,BD!$A$3:$A$5001,"&lt;="&amp;$B173,BD!$X$3:$X$5001,"&lt;&gt;")=0,"",SUMIFS(BD!$X$3:$X$5001,BD!$B$3:$B$5001,S$171,BD!$A$3:$A$5001,_xlfn.MAXIFS(BD!$A$3:$A$5001,BD!$B$3:$B$5001,S$171,BD!$A$3:$A$5001,"&gt;="&amp;$C$7,BD!$A$3:$A$5001,"&lt;="&amp;$B173,BD!$X$3:$X$5001,"&lt;&gt;"))))</f>
        <v/>
      </c>
      <c r="T173" s="43" t="str">
        <f>IF(OR($B173="",$A173&gt;$B$9,T$171=""),"",IF(COUNTIFS(BD!$B$3:$B$5001,T$171,BD!$A$3:$A$5001,"&gt;="&amp;$C$7,BD!$A$3:$A$5001,"&lt;="&amp;$B173,BD!$X$3:$X$5001,"&lt;&gt;")=0,"",SUMIFS(BD!$X$3:$X$5001,BD!$B$3:$B$5001,T$171,BD!$A$3:$A$5001,_xlfn.MAXIFS(BD!$A$3:$A$5001,BD!$B$3:$B$5001,T$171,BD!$A$3:$A$5001,"&gt;="&amp;$C$7,BD!$A$3:$A$5001,"&lt;="&amp;$B173,BD!$X$3:$X$5001,"&lt;&gt;"))))</f>
        <v/>
      </c>
      <c r="U173" s="43" t="str">
        <f>IF(OR($B173="",$A173&gt;$B$9,U$171=""),"",IF(COUNTIFS(BD!$B$3:$B$5001,U$171,BD!$A$3:$A$5001,"&gt;="&amp;$C$7,BD!$A$3:$A$5001,"&lt;="&amp;$B173,BD!$X$3:$X$5001,"&lt;&gt;")=0,"",SUMIFS(BD!$X$3:$X$5001,BD!$B$3:$B$5001,U$171,BD!$A$3:$A$5001,_xlfn.MAXIFS(BD!$A$3:$A$5001,BD!$B$3:$B$5001,U$171,BD!$A$3:$A$5001,"&gt;="&amp;$C$7,BD!$A$3:$A$5001,"&lt;="&amp;$B173,BD!$X$3:$X$5001,"&lt;&gt;"))))</f>
        <v/>
      </c>
      <c r="V173" s="43" t="str">
        <f>IF(OR($B173="",$A173&gt;$B$9,V$171=""),"",IF(COUNTIFS(BD!$B$3:$B$5001,V$171,BD!$A$3:$A$5001,"&gt;="&amp;$C$7,BD!$A$3:$A$5001,"&lt;="&amp;$B173,BD!$X$3:$X$5001,"&lt;&gt;")=0,"",SUMIFS(BD!$X$3:$X$5001,BD!$B$3:$B$5001,V$171,BD!$A$3:$A$5001,_xlfn.MAXIFS(BD!$A$3:$A$5001,BD!$B$3:$B$5001,V$171,BD!$A$3:$A$5001,"&gt;="&amp;$C$7,BD!$A$3:$A$5001,"&lt;="&amp;$B173,BD!$X$3:$X$5001,"&lt;&gt;"))))</f>
        <v/>
      </c>
    </row>
    <row r="174">
      <c r="A174" s="38">
        <v>3</v>
      </c>
      <c r="B174" s="42">
        <f>$B$14</f>
        <v>46298</v>
      </c>
      <c r="C174" s="43" t="str">
        <f>IF(OR($B174="",$A174&gt;$B$9,C$171=""),"",IF(COUNTIFS(BD!$B$3:$B$5001,C$171,BD!$A$3:$A$5001,"&gt;="&amp;$C$7,BD!$A$3:$A$5001,"&lt;="&amp;$B174,BD!$X$3:$X$5001,"&lt;&gt;")=0,"",SUMIFS(BD!$X$3:$X$5001,BD!$B$3:$B$5001,C$171,BD!$A$3:$A$5001,_xlfn.MAXIFS(BD!$A$3:$A$5001,BD!$B$3:$B$5001,C$171,BD!$A$3:$A$5001,"&gt;="&amp;$C$7,BD!$A$3:$A$5001,"&lt;="&amp;$B174,BD!$X$3:$X$5001,"&lt;&gt;"))))</f>
        <v/>
      </c>
      <c r="D174" s="43" t="str">
        <f>IF(OR($B174="",$A174&gt;$B$9,D$171=""),"",IF(COUNTIFS(BD!$B$3:$B$5001,D$171,BD!$A$3:$A$5001,"&gt;="&amp;$C$7,BD!$A$3:$A$5001,"&lt;="&amp;$B174,BD!$X$3:$X$5001,"&lt;&gt;")=0,"",SUMIFS(BD!$X$3:$X$5001,BD!$B$3:$B$5001,D$171,BD!$A$3:$A$5001,_xlfn.MAXIFS(BD!$A$3:$A$5001,BD!$B$3:$B$5001,D$171,BD!$A$3:$A$5001,"&gt;="&amp;$C$7,BD!$A$3:$A$5001,"&lt;="&amp;$B174,BD!$X$3:$X$5001,"&lt;&gt;"))))</f>
        <v/>
      </c>
      <c r="E174" s="43" t="str">
        <f>IF(OR($B174="",$A174&gt;$B$9,E$171=""),"",IF(COUNTIFS(BD!$B$3:$B$5001,E$171,BD!$A$3:$A$5001,"&gt;="&amp;$C$7,BD!$A$3:$A$5001,"&lt;="&amp;$B174,BD!$X$3:$X$5001,"&lt;&gt;")=0,"",SUMIFS(BD!$X$3:$X$5001,BD!$B$3:$B$5001,E$171,BD!$A$3:$A$5001,_xlfn.MAXIFS(BD!$A$3:$A$5001,BD!$B$3:$B$5001,E$171,BD!$A$3:$A$5001,"&gt;="&amp;$C$7,BD!$A$3:$A$5001,"&lt;="&amp;$B174,BD!$X$3:$X$5001,"&lt;&gt;"))))</f>
        <v/>
      </c>
      <c r="F174" s="43" t="str">
        <f>IF(OR($B174="",$A174&gt;$B$9,F$171=""),"",IF(COUNTIFS(BD!$B$3:$B$5001,F$171,BD!$A$3:$A$5001,"&gt;="&amp;$C$7,BD!$A$3:$A$5001,"&lt;="&amp;$B174,BD!$X$3:$X$5001,"&lt;&gt;")=0,"",SUMIFS(BD!$X$3:$X$5001,BD!$B$3:$B$5001,F$171,BD!$A$3:$A$5001,_xlfn.MAXIFS(BD!$A$3:$A$5001,BD!$B$3:$B$5001,F$171,BD!$A$3:$A$5001,"&gt;="&amp;$C$7,BD!$A$3:$A$5001,"&lt;="&amp;$B174,BD!$X$3:$X$5001,"&lt;&gt;"))))</f>
        <v/>
      </c>
      <c r="G174" s="43" t="str">
        <f>IF(OR($B174="",$A174&gt;$B$9,G$171=""),"",IF(COUNTIFS(BD!$B$3:$B$5001,G$171,BD!$A$3:$A$5001,"&gt;="&amp;$C$7,BD!$A$3:$A$5001,"&lt;="&amp;$B174,BD!$X$3:$X$5001,"&lt;&gt;")=0,"",SUMIFS(BD!$X$3:$X$5001,BD!$B$3:$B$5001,G$171,BD!$A$3:$A$5001,_xlfn.MAXIFS(BD!$A$3:$A$5001,BD!$B$3:$B$5001,G$171,BD!$A$3:$A$5001,"&gt;="&amp;$C$7,BD!$A$3:$A$5001,"&lt;="&amp;$B174,BD!$X$3:$X$5001,"&lt;&gt;"))))</f>
        <v/>
      </c>
      <c r="H174" s="43" t="str">
        <f>IF(OR($B174="",$A174&gt;$B$9,H$171=""),"",IF(COUNTIFS(BD!$B$3:$B$5001,H$171,BD!$A$3:$A$5001,"&gt;="&amp;$C$7,BD!$A$3:$A$5001,"&lt;="&amp;$B174,BD!$X$3:$X$5001,"&lt;&gt;")=0,"",SUMIFS(BD!$X$3:$X$5001,BD!$B$3:$B$5001,H$171,BD!$A$3:$A$5001,_xlfn.MAXIFS(BD!$A$3:$A$5001,BD!$B$3:$B$5001,H$171,BD!$A$3:$A$5001,"&gt;="&amp;$C$7,BD!$A$3:$A$5001,"&lt;="&amp;$B174,BD!$X$3:$X$5001,"&lt;&gt;"))))</f>
        <v/>
      </c>
      <c r="I174" s="43" t="str">
        <f>IF(OR($B174="",$A174&gt;$B$9,I$171=""),"",IF(COUNTIFS(BD!$B$3:$B$5001,I$171,BD!$A$3:$A$5001,"&gt;="&amp;$C$7,BD!$A$3:$A$5001,"&lt;="&amp;$B174,BD!$X$3:$X$5001,"&lt;&gt;")=0,"",SUMIFS(BD!$X$3:$X$5001,BD!$B$3:$B$5001,I$171,BD!$A$3:$A$5001,_xlfn.MAXIFS(BD!$A$3:$A$5001,BD!$B$3:$B$5001,I$171,BD!$A$3:$A$5001,"&gt;="&amp;$C$7,BD!$A$3:$A$5001,"&lt;="&amp;$B174,BD!$X$3:$X$5001,"&lt;&gt;"))))</f>
        <v/>
      </c>
      <c r="J174" s="43" t="str">
        <f>IF(OR($B174="",$A174&gt;$B$9,J$171=""),"",IF(COUNTIFS(BD!$B$3:$B$5001,J$171,BD!$A$3:$A$5001,"&gt;="&amp;$C$7,BD!$A$3:$A$5001,"&lt;="&amp;$B174,BD!$X$3:$X$5001,"&lt;&gt;")=0,"",SUMIFS(BD!$X$3:$X$5001,BD!$B$3:$B$5001,J$171,BD!$A$3:$A$5001,_xlfn.MAXIFS(BD!$A$3:$A$5001,BD!$B$3:$B$5001,J$171,BD!$A$3:$A$5001,"&gt;="&amp;$C$7,BD!$A$3:$A$5001,"&lt;="&amp;$B174,BD!$X$3:$X$5001,"&lt;&gt;"))))</f>
        <v/>
      </c>
      <c r="K174" s="43" t="str">
        <f>IF(OR($B174="",$A174&gt;$B$9,K$171=""),"",IF(COUNTIFS(BD!$B$3:$B$5001,K$171,BD!$A$3:$A$5001,"&gt;="&amp;$C$7,BD!$A$3:$A$5001,"&lt;="&amp;$B174,BD!$X$3:$X$5001,"&lt;&gt;")=0,"",SUMIFS(BD!$X$3:$X$5001,BD!$B$3:$B$5001,K$171,BD!$A$3:$A$5001,_xlfn.MAXIFS(BD!$A$3:$A$5001,BD!$B$3:$B$5001,K$171,BD!$A$3:$A$5001,"&gt;="&amp;$C$7,BD!$A$3:$A$5001,"&lt;="&amp;$B174,BD!$X$3:$X$5001,"&lt;&gt;"))))</f>
        <v/>
      </c>
      <c r="L174" s="43" t="str">
        <f>IF(OR($B174="",$A174&gt;$B$9,L$171=""),"",IF(COUNTIFS(BD!$B$3:$B$5001,L$171,BD!$A$3:$A$5001,"&gt;="&amp;$C$7,BD!$A$3:$A$5001,"&lt;="&amp;$B174,BD!$X$3:$X$5001,"&lt;&gt;")=0,"",SUMIFS(BD!$X$3:$X$5001,BD!$B$3:$B$5001,L$171,BD!$A$3:$A$5001,_xlfn.MAXIFS(BD!$A$3:$A$5001,BD!$B$3:$B$5001,L$171,BD!$A$3:$A$5001,"&gt;="&amp;$C$7,BD!$A$3:$A$5001,"&lt;="&amp;$B174,BD!$X$3:$X$5001,"&lt;&gt;"))))</f>
        <v/>
      </c>
      <c r="M174" s="43" t="str">
        <f>IF(OR($B174="",$A174&gt;$B$9,M$171=""),"",IF(COUNTIFS(BD!$B$3:$B$5001,M$171,BD!$A$3:$A$5001,"&gt;="&amp;$C$7,BD!$A$3:$A$5001,"&lt;="&amp;$B174,BD!$X$3:$X$5001,"&lt;&gt;")=0,"",SUMIFS(BD!$X$3:$X$5001,BD!$B$3:$B$5001,M$171,BD!$A$3:$A$5001,_xlfn.MAXIFS(BD!$A$3:$A$5001,BD!$B$3:$B$5001,M$171,BD!$A$3:$A$5001,"&gt;="&amp;$C$7,BD!$A$3:$A$5001,"&lt;="&amp;$B174,BD!$X$3:$X$5001,"&lt;&gt;"))))</f>
        <v/>
      </c>
      <c r="N174" s="43" t="str">
        <f>IF(OR($B174="",$A174&gt;$B$9,N$171=""),"",IF(COUNTIFS(BD!$B$3:$B$5001,N$171,BD!$A$3:$A$5001,"&gt;="&amp;$C$7,BD!$A$3:$A$5001,"&lt;="&amp;$B174,BD!$X$3:$X$5001,"&lt;&gt;")=0,"",SUMIFS(BD!$X$3:$X$5001,BD!$B$3:$B$5001,N$171,BD!$A$3:$A$5001,_xlfn.MAXIFS(BD!$A$3:$A$5001,BD!$B$3:$B$5001,N$171,BD!$A$3:$A$5001,"&gt;="&amp;$C$7,BD!$A$3:$A$5001,"&lt;="&amp;$B174,BD!$X$3:$X$5001,"&lt;&gt;"))))</f>
        <v/>
      </c>
      <c r="O174" s="43" t="str">
        <f>IF(OR($B174="",$A174&gt;$B$9,O$171=""),"",IF(COUNTIFS(BD!$B$3:$B$5001,O$171,BD!$A$3:$A$5001,"&gt;="&amp;$C$7,BD!$A$3:$A$5001,"&lt;="&amp;$B174,BD!$X$3:$X$5001,"&lt;&gt;")=0,"",SUMIFS(BD!$X$3:$X$5001,BD!$B$3:$B$5001,O$171,BD!$A$3:$A$5001,_xlfn.MAXIFS(BD!$A$3:$A$5001,BD!$B$3:$B$5001,O$171,BD!$A$3:$A$5001,"&gt;="&amp;$C$7,BD!$A$3:$A$5001,"&lt;="&amp;$B174,BD!$X$3:$X$5001,"&lt;&gt;"))))</f>
        <v/>
      </c>
      <c r="P174" s="43" t="str">
        <f>IF(OR($B174="",$A174&gt;$B$9,P$171=""),"",IF(COUNTIFS(BD!$B$3:$B$5001,P$171,BD!$A$3:$A$5001,"&gt;="&amp;$C$7,BD!$A$3:$A$5001,"&lt;="&amp;$B174,BD!$X$3:$X$5001,"&lt;&gt;")=0,"",SUMIFS(BD!$X$3:$X$5001,BD!$B$3:$B$5001,P$171,BD!$A$3:$A$5001,_xlfn.MAXIFS(BD!$A$3:$A$5001,BD!$B$3:$B$5001,P$171,BD!$A$3:$A$5001,"&gt;="&amp;$C$7,BD!$A$3:$A$5001,"&lt;="&amp;$B174,BD!$X$3:$X$5001,"&lt;&gt;"))))</f>
        <v/>
      </c>
      <c r="Q174" s="43" t="str">
        <f>IF(OR($B174="",$A174&gt;$B$9,Q$171=""),"",IF(COUNTIFS(BD!$B$3:$B$5001,Q$171,BD!$A$3:$A$5001,"&gt;="&amp;$C$7,BD!$A$3:$A$5001,"&lt;="&amp;$B174,BD!$X$3:$X$5001,"&lt;&gt;")=0,"",SUMIFS(BD!$X$3:$X$5001,BD!$B$3:$B$5001,Q$171,BD!$A$3:$A$5001,_xlfn.MAXIFS(BD!$A$3:$A$5001,BD!$B$3:$B$5001,Q$171,BD!$A$3:$A$5001,"&gt;="&amp;$C$7,BD!$A$3:$A$5001,"&lt;="&amp;$B174,BD!$X$3:$X$5001,"&lt;&gt;"))))</f>
        <v/>
      </c>
      <c r="R174" s="43" t="str">
        <f>IF(OR($B174="",$A174&gt;$B$9,R$171=""),"",IF(COUNTIFS(BD!$B$3:$B$5001,R$171,BD!$A$3:$A$5001,"&gt;="&amp;$C$7,BD!$A$3:$A$5001,"&lt;="&amp;$B174,BD!$X$3:$X$5001,"&lt;&gt;")=0,"",SUMIFS(BD!$X$3:$X$5001,BD!$B$3:$B$5001,R$171,BD!$A$3:$A$5001,_xlfn.MAXIFS(BD!$A$3:$A$5001,BD!$B$3:$B$5001,R$171,BD!$A$3:$A$5001,"&gt;="&amp;$C$7,BD!$A$3:$A$5001,"&lt;="&amp;$B174,BD!$X$3:$X$5001,"&lt;&gt;"))))</f>
        <v/>
      </c>
      <c r="S174" s="43" t="str">
        <f>IF(OR($B174="",$A174&gt;$B$9,S$171=""),"",IF(COUNTIFS(BD!$B$3:$B$5001,S$171,BD!$A$3:$A$5001,"&gt;="&amp;$C$7,BD!$A$3:$A$5001,"&lt;="&amp;$B174,BD!$X$3:$X$5001,"&lt;&gt;")=0,"",SUMIFS(BD!$X$3:$X$5001,BD!$B$3:$B$5001,S$171,BD!$A$3:$A$5001,_xlfn.MAXIFS(BD!$A$3:$A$5001,BD!$B$3:$B$5001,S$171,BD!$A$3:$A$5001,"&gt;="&amp;$C$7,BD!$A$3:$A$5001,"&lt;="&amp;$B174,BD!$X$3:$X$5001,"&lt;&gt;"))))</f>
        <v/>
      </c>
      <c r="T174" s="43" t="str">
        <f>IF(OR($B174="",$A174&gt;$B$9,T$171=""),"",IF(COUNTIFS(BD!$B$3:$B$5001,T$171,BD!$A$3:$A$5001,"&gt;="&amp;$C$7,BD!$A$3:$A$5001,"&lt;="&amp;$B174,BD!$X$3:$X$5001,"&lt;&gt;")=0,"",SUMIFS(BD!$X$3:$X$5001,BD!$B$3:$B$5001,T$171,BD!$A$3:$A$5001,_xlfn.MAXIFS(BD!$A$3:$A$5001,BD!$B$3:$B$5001,T$171,BD!$A$3:$A$5001,"&gt;="&amp;$C$7,BD!$A$3:$A$5001,"&lt;="&amp;$B174,BD!$X$3:$X$5001,"&lt;&gt;"))))</f>
        <v/>
      </c>
      <c r="U174" s="43" t="str">
        <f>IF(OR($B174="",$A174&gt;$B$9,U$171=""),"",IF(COUNTIFS(BD!$B$3:$B$5001,U$171,BD!$A$3:$A$5001,"&gt;="&amp;$C$7,BD!$A$3:$A$5001,"&lt;="&amp;$B174,BD!$X$3:$X$5001,"&lt;&gt;")=0,"",SUMIFS(BD!$X$3:$X$5001,BD!$B$3:$B$5001,U$171,BD!$A$3:$A$5001,_xlfn.MAXIFS(BD!$A$3:$A$5001,BD!$B$3:$B$5001,U$171,BD!$A$3:$A$5001,"&gt;="&amp;$C$7,BD!$A$3:$A$5001,"&lt;="&amp;$B174,BD!$X$3:$X$5001,"&lt;&gt;"))))</f>
        <v/>
      </c>
      <c r="V174" s="43" t="str">
        <f>IF(OR($B174="",$A174&gt;$B$9,V$171=""),"",IF(COUNTIFS(BD!$B$3:$B$5001,V$171,BD!$A$3:$A$5001,"&gt;="&amp;$C$7,BD!$A$3:$A$5001,"&lt;="&amp;$B174,BD!$X$3:$X$5001,"&lt;&gt;")=0,"",SUMIFS(BD!$X$3:$X$5001,BD!$B$3:$B$5001,V$171,BD!$A$3:$A$5001,_xlfn.MAXIFS(BD!$A$3:$A$5001,BD!$B$3:$B$5001,V$171,BD!$A$3:$A$5001,"&gt;="&amp;$C$7,BD!$A$3:$A$5001,"&lt;="&amp;$B174,BD!$X$3:$X$5001,"&lt;&gt;"))))</f>
        <v/>
      </c>
    </row>
    <row r="175">
      <c r="A175" s="38">
        <v>4</v>
      </c>
      <c r="B175" s="42">
        <f>$B$15</f>
        <v>46299</v>
      </c>
      <c r="C175" s="43" t="str">
        <f>IF(OR($B175="",$A175&gt;$B$9,C$171=""),"",IF(COUNTIFS(BD!$B$3:$B$5001,C$171,BD!$A$3:$A$5001,"&gt;="&amp;$C$7,BD!$A$3:$A$5001,"&lt;="&amp;$B175,BD!$X$3:$X$5001,"&lt;&gt;")=0,"",SUMIFS(BD!$X$3:$X$5001,BD!$B$3:$B$5001,C$171,BD!$A$3:$A$5001,_xlfn.MAXIFS(BD!$A$3:$A$5001,BD!$B$3:$B$5001,C$171,BD!$A$3:$A$5001,"&gt;="&amp;$C$7,BD!$A$3:$A$5001,"&lt;="&amp;$B175,BD!$X$3:$X$5001,"&lt;&gt;"))))</f>
        <v/>
      </c>
      <c r="D175" s="43" t="str">
        <f>IF(OR($B175="",$A175&gt;$B$9,D$171=""),"",IF(COUNTIFS(BD!$B$3:$B$5001,D$171,BD!$A$3:$A$5001,"&gt;="&amp;$C$7,BD!$A$3:$A$5001,"&lt;="&amp;$B175,BD!$X$3:$X$5001,"&lt;&gt;")=0,"",SUMIFS(BD!$X$3:$X$5001,BD!$B$3:$B$5001,D$171,BD!$A$3:$A$5001,_xlfn.MAXIFS(BD!$A$3:$A$5001,BD!$B$3:$B$5001,D$171,BD!$A$3:$A$5001,"&gt;="&amp;$C$7,BD!$A$3:$A$5001,"&lt;="&amp;$B175,BD!$X$3:$X$5001,"&lt;&gt;"))))</f>
        <v/>
      </c>
      <c r="E175" s="43" t="str">
        <f>IF(OR($B175="",$A175&gt;$B$9,E$171=""),"",IF(COUNTIFS(BD!$B$3:$B$5001,E$171,BD!$A$3:$A$5001,"&gt;="&amp;$C$7,BD!$A$3:$A$5001,"&lt;="&amp;$B175,BD!$X$3:$X$5001,"&lt;&gt;")=0,"",SUMIFS(BD!$X$3:$X$5001,BD!$B$3:$B$5001,E$171,BD!$A$3:$A$5001,_xlfn.MAXIFS(BD!$A$3:$A$5001,BD!$B$3:$B$5001,E$171,BD!$A$3:$A$5001,"&gt;="&amp;$C$7,BD!$A$3:$A$5001,"&lt;="&amp;$B175,BD!$X$3:$X$5001,"&lt;&gt;"))))</f>
        <v/>
      </c>
      <c r="F175" s="43" t="str">
        <f>IF(OR($B175="",$A175&gt;$B$9,F$171=""),"",IF(COUNTIFS(BD!$B$3:$B$5001,F$171,BD!$A$3:$A$5001,"&gt;="&amp;$C$7,BD!$A$3:$A$5001,"&lt;="&amp;$B175,BD!$X$3:$X$5001,"&lt;&gt;")=0,"",SUMIFS(BD!$X$3:$X$5001,BD!$B$3:$B$5001,F$171,BD!$A$3:$A$5001,_xlfn.MAXIFS(BD!$A$3:$A$5001,BD!$B$3:$B$5001,F$171,BD!$A$3:$A$5001,"&gt;="&amp;$C$7,BD!$A$3:$A$5001,"&lt;="&amp;$B175,BD!$X$3:$X$5001,"&lt;&gt;"))))</f>
        <v/>
      </c>
      <c r="G175" s="43" t="str">
        <f>IF(OR($B175="",$A175&gt;$B$9,G$171=""),"",IF(COUNTIFS(BD!$B$3:$B$5001,G$171,BD!$A$3:$A$5001,"&gt;="&amp;$C$7,BD!$A$3:$A$5001,"&lt;="&amp;$B175,BD!$X$3:$X$5001,"&lt;&gt;")=0,"",SUMIFS(BD!$X$3:$X$5001,BD!$B$3:$B$5001,G$171,BD!$A$3:$A$5001,_xlfn.MAXIFS(BD!$A$3:$A$5001,BD!$B$3:$B$5001,G$171,BD!$A$3:$A$5001,"&gt;="&amp;$C$7,BD!$A$3:$A$5001,"&lt;="&amp;$B175,BD!$X$3:$X$5001,"&lt;&gt;"))))</f>
        <v/>
      </c>
      <c r="H175" s="43" t="str">
        <f>IF(OR($B175="",$A175&gt;$B$9,H$171=""),"",IF(COUNTIFS(BD!$B$3:$B$5001,H$171,BD!$A$3:$A$5001,"&gt;="&amp;$C$7,BD!$A$3:$A$5001,"&lt;="&amp;$B175,BD!$X$3:$X$5001,"&lt;&gt;")=0,"",SUMIFS(BD!$X$3:$X$5001,BD!$B$3:$B$5001,H$171,BD!$A$3:$A$5001,_xlfn.MAXIFS(BD!$A$3:$A$5001,BD!$B$3:$B$5001,H$171,BD!$A$3:$A$5001,"&gt;="&amp;$C$7,BD!$A$3:$A$5001,"&lt;="&amp;$B175,BD!$X$3:$X$5001,"&lt;&gt;"))))</f>
        <v/>
      </c>
      <c r="I175" s="43" t="str">
        <f>IF(OR($B175="",$A175&gt;$B$9,I$171=""),"",IF(COUNTIFS(BD!$B$3:$B$5001,I$171,BD!$A$3:$A$5001,"&gt;="&amp;$C$7,BD!$A$3:$A$5001,"&lt;="&amp;$B175,BD!$X$3:$X$5001,"&lt;&gt;")=0,"",SUMIFS(BD!$X$3:$X$5001,BD!$B$3:$B$5001,I$171,BD!$A$3:$A$5001,_xlfn.MAXIFS(BD!$A$3:$A$5001,BD!$B$3:$B$5001,I$171,BD!$A$3:$A$5001,"&gt;="&amp;$C$7,BD!$A$3:$A$5001,"&lt;="&amp;$B175,BD!$X$3:$X$5001,"&lt;&gt;"))))</f>
        <v/>
      </c>
      <c r="J175" s="43" t="str">
        <f>IF(OR($B175="",$A175&gt;$B$9,J$171=""),"",IF(COUNTIFS(BD!$B$3:$B$5001,J$171,BD!$A$3:$A$5001,"&gt;="&amp;$C$7,BD!$A$3:$A$5001,"&lt;="&amp;$B175,BD!$X$3:$X$5001,"&lt;&gt;")=0,"",SUMIFS(BD!$X$3:$X$5001,BD!$B$3:$B$5001,J$171,BD!$A$3:$A$5001,_xlfn.MAXIFS(BD!$A$3:$A$5001,BD!$B$3:$B$5001,J$171,BD!$A$3:$A$5001,"&gt;="&amp;$C$7,BD!$A$3:$A$5001,"&lt;="&amp;$B175,BD!$X$3:$X$5001,"&lt;&gt;"))))</f>
        <v/>
      </c>
      <c r="K175" s="43" t="str">
        <f>IF(OR($B175="",$A175&gt;$B$9,K$171=""),"",IF(COUNTIFS(BD!$B$3:$B$5001,K$171,BD!$A$3:$A$5001,"&gt;="&amp;$C$7,BD!$A$3:$A$5001,"&lt;="&amp;$B175,BD!$X$3:$X$5001,"&lt;&gt;")=0,"",SUMIFS(BD!$X$3:$X$5001,BD!$B$3:$B$5001,K$171,BD!$A$3:$A$5001,_xlfn.MAXIFS(BD!$A$3:$A$5001,BD!$B$3:$B$5001,K$171,BD!$A$3:$A$5001,"&gt;="&amp;$C$7,BD!$A$3:$A$5001,"&lt;="&amp;$B175,BD!$X$3:$X$5001,"&lt;&gt;"))))</f>
        <v/>
      </c>
      <c r="L175" s="43" t="str">
        <f>IF(OR($B175="",$A175&gt;$B$9,L$171=""),"",IF(COUNTIFS(BD!$B$3:$B$5001,L$171,BD!$A$3:$A$5001,"&gt;="&amp;$C$7,BD!$A$3:$A$5001,"&lt;="&amp;$B175,BD!$X$3:$X$5001,"&lt;&gt;")=0,"",SUMIFS(BD!$X$3:$X$5001,BD!$B$3:$B$5001,L$171,BD!$A$3:$A$5001,_xlfn.MAXIFS(BD!$A$3:$A$5001,BD!$B$3:$B$5001,L$171,BD!$A$3:$A$5001,"&gt;="&amp;$C$7,BD!$A$3:$A$5001,"&lt;="&amp;$B175,BD!$X$3:$X$5001,"&lt;&gt;"))))</f>
        <v/>
      </c>
      <c r="M175" s="43" t="str">
        <f>IF(OR($B175="",$A175&gt;$B$9,M$171=""),"",IF(COUNTIFS(BD!$B$3:$B$5001,M$171,BD!$A$3:$A$5001,"&gt;="&amp;$C$7,BD!$A$3:$A$5001,"&lt;="&amp;$B175,BD!$X$3:$X$5001,"&lt;&gt;")=0,"",SUMIFS(BD!$X$3:$X$5001,BD!$B$3:$B$5001,M$171,BD!$A$3:$A$5001,_xlfn.MAXIFS(BD!$A$3:$A$5001,BD!$B$3:$B$5001,M$171,BD!$A$3:$A$5001,"&gt;="&amp;$C$7,BD!$A$3:$A$5001,"&lt;="&amp;$B175,BD!$X$3:$X$5001,"&lt;&gt;"))))</f>
        <v/>
      </c>
      <c r="N175" s="43" t="str">
        <f>IF(OR($B175="",$A175&gt;$B$9,N$171=""),"",IF(COUNTIFS(BD!$B$3:$B$5001,N$171,BD!$A$3:$A$5001,"&gt;="&amp;$C$7,BD!$A$3:$A$5001,"&lt;="&amp;$B175,BD!$X$3:$X$5001,"&lt;&gt;")=0,"",SUMIFS(BD!$X$3:$X$5001,BD!$B$3:$B$5001,N$171,BD!$A$3:$A$5001,_xlfn.MAXIFS(BD!$A$3:$A$5001,BD!$B$3:$B$5001,N$171,BD!$A$3:$A$5001,"&gt;="&amp;$C$7,BD!$A$3:$A$5001,"&lt;="&amp;$B175,BD!$X$3:$X$5001,"&lt;&gt;"))))</f>
        <v/>
      </c>
      <c r="O175" s="43" t="str">
        <f>IF(OR($B175="",$A175&gt;$B$9,O$171=""),"",IF(COUNTIFS(BD!$B$3:$B$5001,O$171,BD!$A$3:$A$5001,"&gt;="&amp;$C$7,BD!$A$3:$A$5001,"&lt;="&amp;$B175,BD!$X$3:$X$5001,"&lt;&gt;")=0,"",SUMIFS(BD!$X$3:$X$5001,BD!$B$3:$B$5001,O$171,BD!$A$3:$A$5001,_xlfn.MAXIFS(BD!$A$3:$A$5001,BD!$B$3:$B$5001,O$171,BD!$A$3:$A$5001,"&gt;="&amp;$C$7,BD!$A$3:$A$5001,"&lt;="&amp;$B175,BD!$X$3:$X$5001,"&lt;&gt;"))))</f>
        <v/>
      </c>
      <c r="P175" s="43" t="str">
        <f>IF(OR($B175="",$A175&gt;$B$9,P$171=""),"",IF(COUNTIFS(BD!$B$3:$B$5001,P$171,BD!$A$3:$A$5001,"&gt;="&amp;$C$7,BD!$A$3:$A$5001,"&lt;="&amp;$B175,BD!$X$3:$X$5001,"&lt;&gt;")=0,"",SUMIFS(BD!$X$3:$X$5001,BD!$B$3:$B$5001,P$171,BD!$A$3:$A$5001,_xlfn.MAXIFS(BD!$A$3:$A$5001,BD!$B$3:$B$5001,P$171,BD!$A$3:$A$5001,"&gt;="&amp;$C$7,BD!$A$3:$A$5001,"&lt;="&amp;$B175,BD!$X$3:$X$5001,"&lt;&gt;"))))</f>
        <v/>
      </c>
      <c r="Q175" s="43" t="str">
        <f>IF(OR($B175="",$A175&gt;$B$9,Q$171=""),"",IF(COUNTIFS(BD!$B$3:$B$5001,Q$171,BD!$A$3:$A$5001,"&gt;="&amp;$C$7,BD!$A$3:$A$5001,"&lt;="&amp;$B175,BD!$X$3:$X$5001,"&lt;&gt;")=0,"",SUMIFS(BD!$X$3:$X$5001,BD!$B$3:$B$5001,Q$171,BD!$A$3:$A$5001,_xlfn.MAXIFS(BD!$A$3:$A$5001,BD!$B$3:$B$5001,Q$171,BD!$A$3:$A$5001,"&gt;="&amp;$C$7,BD!$A$3:$A$5001,"&lt;="&amp;$B175,BD!$X$3:$X$5001,"&lt;&gt;"))))</f>
        <v/>
      </c>
      <c r="R175" s="43" t="str">
        <f>IF(OR($B175="",$A175&gt;$B$9,R$171=""),"",IF(COUNTIFS(BD!$B$3:$B$5001,R$171,BD!$A$3:$A$5001,"&gt;="&amp;$C$7,BD!$A$3:$A$5001,"&lt;="&amp;$B175,BD!$X$3:$X$5001,"&lt;&gt;")=0,"",SUMIFS(BD!$X$3:$X$5001,BD!$B$3:$B$5001,R$171,BD!$A$3:$A$5001,_xlfn.MAXIFS(BD!$A$3:$A$5001,BD!$B$3:$B$5001,R$171,BD!$A$3:$A$5001,"&gt;="&amp;$C$7,BD!$A$3:$A$5001,"&lt;="&amp;$B175,BD!$X$3:$X$5001,"&lt;&gt;"))))</f>
        <v/>
      </c>
      <c r="S175" s="43" t="str">
        <f>IF(OR($B175="",$A175&gt;$B$9,S$171=""),"",IF(COUNTIFS(BD!$B$3:$B$5001,S$171,BD!$A$3:$A$5001,"&gt;="&amp;$C$7,BD!$A$3:$A$5001,"&lt;="&amp;$B175,BD!$X$3:$X$5001,"&lt;&gt;")=0,"",SUMIFS(BD!$X$3:$X$5001,BD!$B$3:$B$5001,S$171,BD!$A$3:$A$5001,_xlfn.MAXIFS(BD!$A$3:$A$5001,BD!$B$3:$B$5001,S$171,BD!$A$3:$A$5001,"&gt;="&amp;$C$7,BD!$A$3:$A$5001,"&lt;="&amp;$B175,BD!$X$3:$X$5001,"&lt;&gt;"))))</f>
        <v/>
      </c>
      <c r="T175" s="43" t="str">
        <f>IF(OR($B175="",$A175&gt;$B$9,T$171=""),"",IF(COUNTIFS(BD!$B$3:$B$5001,T$171,BD!$A$3:$A$5001,"&gt;="&amp;$C$7,BD!$A$3:$A$5001,"&lt;="&amp;$B175,BD!$X$3:$X$5001,"&lt;&gt;")=0,"",SUMIFS(BD!$X$3:$X$5001,BD!$B$3:$B$5001,T$171,BD!$A$3:$A$5001,_xlfn.MAXIFS(BD!$A$3:$A$5001,BD!$B$3:$B$5001,T$171,BD!$A$3:$A$5001,"&gt;="&amp;$C$7,BD!$A$3:$A$5001,"&lt;="&amp;$B175,BD!$X$3:$X$5001,"&lt;&gt;"))))</f>
        <v/>
      </c>
      <c r="U175" s="43" t="str">
        <f>IF(OR($B175="",$A175&gt;$B$9,U$171=""),"",IF(COUNTIFS(BD!$B$3:$B$5001,U$171,BD!$A$3:$A$5001,"&gt;="&amp;$C$7,BD!$A$3:$A$5001,"&lt;="&amp;$B175,BD!$X$3:$X$5001,"&lt;&gt;")=0,"",SUMIFS(BD!$X$3:$X$5001,BD!$B$3:$B$5001,U$171,BD!$A$3:$A$5001,_xlfn.MAXIFS(BD!$A$3:$A$5001,BD!$B$3:$B$5001,U$171,BD!$A$3:$A$5001,"&gt;="&amp;$C$7,BD!$A$3:$A$5001,"&lt;="&amp;$B175,BD!$X$3:$X$5001,"&lt;&gt;"))))</f>
        <v/>
      </c>
      <c r="V175" s="43" t="str">
        <f>IF(OR($B175="",$A175&gt;$B$9,V$171=""),"",IF(COUNTIFS(BD!$B$3:$B$5001,V$171,BD!$A$3:$A$5001,"&gt;="&amp;$C$7,BD!$A$3:$A$5001,"&lt;="&amp;$B175,BD!$X$3:$X$5001,"&lt;&gt;")=0,"",SUMIFS(BD!$X$3:$X$5001,BD!$B$3:$B$5001,V$171,BD!$A$3:$A$5001,_xlfn.MAXIFS(BD!$A$3:$A$5001,BD!$B$3:$B$5001,V$171,BD!$A$3:$A$5001,"&gt;="&amp;$C$7,BD!$A$3:$A$5001,"&lt;="&amp;$B175,BD!$X$3:$X$5001,"&lt;&gt;"))))</f>
        <v/>
      </c>
    </row>
    <row r="176">
      <c r="A176" s="38">
        <v>5</v>
      </c>
      <c r="B176" s="42">
        <f>$B$16</f>
        <v>46300</v>
      </c>
      <c r="C176" s="43" t="str">
        <f>IF(OR($B176="",$A176&gt;$B$9,C$171=""),"",IF(COUNTIFS(BD!$B$3:$B$5001,C$171,BD!$A$3:$A$5001,"&gt;="&amp;$C$7,BD!$A$3:$A$5001,"&lt;="&amp;$B176,BD!$X$3:$X$5001,"&lt;&gt;")=0,"",SUMIFS(BD!$X$3:$X$5001,BD!$B$3:$B$5001,C$171,BD!$A$3:$A$5001,_xlfn.MAXIFS(BD!$A$3:$A$5001,BD!$B$3:$B$5001,C$171,BD!$A$3:$A$5001,"&gt;="&amp;$C$7,BD!$A$3:$A$5001,"&lt;="&amp;$B176,BD!$X$3:$X$5001,"&lt;&gt;"))))</f>
        <v/>
      </c>
      <c r="D176" s="43" t="str">
        <f>IF(OR($B176="",$A176&gt;$B$9,D$171=""),"",IF(COUNTIFS(BD!$B$3:$B$5001,D$171,BD!$A$3:$A$5001,"&gt;="&amp;$C$7,BD!$A$3:$A$5001,"&lt;="&amp;$B176,BD!$X$3:$X$5001,"&lt;&gt;")=0,"",SUMIFS(BD!$X$3:$X$5001,BD!$B$3:$B$5001,D$171,BD!$A$3:$A$5001,_xlfn.MAXIFS(BD!$A$3:$A$5001,BD!$B$3:$B$5001,D$171,BD!$A$3:$A$5001,"&gt;="&amp;$C$7,BD!$A$3:$A$5001,"&lt;="&amp;$B176,BD!$X$3:$X$5001,"&lt;&gt;"))))</f>
        <v/>
      </c>
      <c r="E176" s="43" t="str">
        <f>IF(OR($B176="",$A176&gt;$B$9,E$171=""),"",IF(COUNTIFS(BD!$B$3:$B$5001,E$171,BD!$A$3:$A$5001,"&gt;="&amp;$C$7,BD!$A$3:$A$5001,"&lt;="&amp;$B176,BD!$X$3:$X$5001,"&lt;&gt;")=0,"",SUMIFS(BD!$X$3:$X$5001,BD!$B$3:$B$5001,E$171,BD!$A$3:$A$5001,_xlfn.MAXIFS(BD!$A$3:$A$5001,BD!$B$3:$B$5001,E$171,BD!$A$3:$A$5001,"&gt;="&amp;$C$7,BD!$A$3:$A$5001,"&lt;="&amp;$B176,BD!$X$3:$X$5001,"&lt;&gt;"))))</f>
        <v/>
      </c>
      <c r="F176" s="43" t="str">
        <f>IF(OR($B176="",$A176&gt;$B$9,F$171=""),"",IF(COUNTIFS(BD!$B$3:$B$5001,F$171,BD!$A$3:$A$5001,"&gt;="&amp;$C$7,BD!$A$3:$A$5001,"&lt;="&amp;$B176,BD!$X$3:$X$5001,"&lt;&gt;")=0,"",SUMIFS(BD!$X$3:$X$5001,BD!$B$3:$B$5001,F$171,BD!$A$3:$A$5001,_xlfn.MAXIFS(BD!$A$3:$A$5001,BD!$B$3:$B$5001,F$171,BD!$A$3:$A$5001,"&gt;="&amp;$C$7,BD!$A$3:$A$5001,"&lt;="&amp;$B176,BD!$X$3:$X$5001,"&lt;&gt;"))))</f>
        <v/>
      </c>
      <c r="G176" s="43" t="str">
        <f>IF(OR($B176="",$A176&gt;$B$9,G$171=""),"",IF(COUNTIFS(BD!$B$3:$B$5001,G$171,BD!$A$3:$A$5001,"&gt;="&amp;$C$7,BD!$A$3:$A$5001,"&lt;="&amp;$B176,BD!$X$3:$X$5001,"&lt;&gt;")=0,"",SUMIFS(BD!$X$3:$X$5001,BD!$B$3:$B$5001,G$171,BD!$A$3:$A$5001,_xlfn.MAXIFS(BD!$A$3:$A$5001,BD!$B$3:$B$5001,G$171,BD!$A$3:$A$5001,"&gt;="&amp;$C$7,BD!$A$3:$A$5001,"&lt;="&amp;$B176,BD!$X$3:$X$5001,"&lt;&gt;"))))</f>
        <v/>
      </c>
      <c r="H176" s="43" t="str">
        <f>IF(OR($B176="",$A176&gt;$B$9,H$171=""),"",IF(COUNTIFS(BD!$B$3:$B$5001,H$171,BD!$A$3:$A$5001,"&gt;="&amp;$C$7,BD!$A$3:$A$5001,"&lt;="&amp;$B176,BD!$X$3:$X$5001,"&lt;&gt;")=0,"",SUMIFS(BD!$X$3:$X$5001,BD!$B$3:$B$5001,H$171,BD!$A$3:$A$5001,_xlfn.MAXIFS(BD!$A$3:$A$5001,BD!$B$3:$B$5001,H$171,BD!$A$3:$A$5001,"&gt;="&amp;$C$7,BD!$A$3:$A$5001,"&lt;="&amp;$B176,BD!$X$3:$X$5001,"&lt;&gt;"))))</f>
        <v/>
      </c>
      <c r="I176" s="43" t="str">
        <f>IF(OR($B176="",$A176&gt;$B$9,I$171=""),"",IF(COUNTIFS(BD!$B$3:$B$5001,I$171,BD!$A$3:$A$5001,"&gt;="&amp;$C$7,BD!$A$3:$A$5001,"&lt;="&amp;$B176,BD!$X$3:$X$5001,"&lt;&gt;")=0,"",SUMIFS(BD!$X$3:$X$5001,BD!$B$3:$B$5001,I$171,BD!$A$3:$A$5001,_xlfn.MAXIFS(BD!$A$3:$A$5001,BD!$B$3:$B$5001,I$171,BD!$A$3:$A$5001,"&gt;="&amp;$C$7,BD!$A$3:$A$5001,"&lt;="&amp;$B176,BD!$X$3:$X$5001,"&lt;&gt;"))))</f>
        <v/>
      </c>
      <c r="J176" s="43" t="str">
        <f>IF(OR($B176="",$A176&gt;$B$9,J$171=""),"",IF(COUNTIFS(BD!$B$3:$B$5001,J$171,BD!$A$3:$A$5001,"&gt;="&amp;$C$7,BD!$A$3:$A$5001,"&lt;="&amp;$B176,BD!$X$3:$X$5001,"&lt;&gt;")=0,"",SUMIFS(BD!$X$3:$X$5001,BD!$B$3:$B$5001,J$171,BD!$A$3:$A$5001,_xlfn.MAXIFS(BD!$A$3:$A$5001,BD!$B$3:$B$5001,J$171,BD!$A$3:$A$5001,"&gt;="&amp;$C$7,BD!$A$3:$A$5001,"&lt;="&amp;$B176,BD!$X$3:$X$5001,"&lt;&gt;"))))</f>
        <v/>
      </c>
      <c r="K176" s="43" t="str">
        <f>IF(OR($B176="",$A176&gt;$B$9,K$171=""),"",IF(COUNTIFS(BD!$B$3:$B$5001,K$171,BD!$A$3:$A$5001,"&gt;="&amp;$C$7,BD!$A$3:$A$5001,"&lt;="&amp;$B176,BD!$X$3:$X$5001,"&lt;&gt;")=0,"",SUMIFS(BD!$X$3:$X$5001,BD!$B$3:$B$5001,K$171,BD!$A$3:$A$5001,_xlfn.MAXIFS(BD!$A$3:$A$5001,BD!$B$3:$B$5001,K$171,BD!$A$3:$A$5001,"&gt;="&amp;$C$7,BD!$A$3:$A$5001,"&lt;="&amp;$B176,BD!$X$3:$X$5001,"&lt;&gt;"))))</f>
        <v/>
      </c>
      <c r="L176" s="43" t="str">
        <f>IF(OR($B176="",$A176&gt;$B$9,L$171=""),"",IF(COUNTIFS(BD!$B$3:$B$5001,L$171,BD!$A$3:$A$5001,"&gt;="&amp;$C$7,BD!$A$3:$A$5001,"&lt;="&amp;$B176,BD!$X$3:$X$5001,"&lt;&gt;")=0,"",SUMIFS(BD!$X$3:$X$5001,BD!$B$3:$B$5001,L$171,BD!$A$3:$A$5001,_xlfn.MAXIFS(BD!$A$3:$A$5001,BD!$B$3:$B$5001,L$171,BD!$A$3:$A$5001,"&gt;="&amp;$C$7,BD!$A$3:$A$5001,"&lt;="&amp;$B176,BD!$X$3:$X$5001,"&lt;&gt;"))))</f>
        <v/>
      </c>
      <c r="M176" s="43" t="str">
        <f>IF(OR($B176="",$A176&gt;$B$9,M$171=""),"",IF(COUNTIFS(BD!$B$3:$B$5001,M$171,BD!$A$3:$A$5001,"&gt;="&amp;$C$7,BD!$A$3:$A$5001,"&lt;="&amp;$B176,BD!$X$3:$X$5001,"&lt;&gt;")=0,"",SUMIFS(BD!$X$3:$X$5001,BD!$B$3:$B$5001,M$171,BD!$A$3:$A$5001,_xlfn.MAXIFS(BD!$A$3:$A$5001,BD!$B$3:$B$5001,M$171,BD!$A$3:$A$5001,"&gt;="&amp;$C$7,BD!$A$3:$A$5001,"&lt;="&amp;$B176,BD!$X$3:$X$5001,"&lt;&gt;"))))</f>
        <v/>
      </c>
      <c r="N176" s="43" t="str">
        <f>IF(OR($B176="",$A176&gt;$B$9,N$171=""),"",IF(COUNTIFS(BD!$B$3:$B$5001,N$171,BD!$A$3:$A$5001,"&gt;="&amp;$C$7,BD!$A$3:$A$5001,"&lt;="&amp;$B176,BD!$X$3:$X$5001,"&lt;&gt;")=0,"",SUMIFS(BD!$X$3:$X$5001,BD!$B$3:$B$5001,N$171,BD!$A$3:$A$5001,_xlfn.MAXIFS(BD!$A$3:$A$5001,BD!$B$3:$B$5001,N$171,BD!$A$3:$A$5001,"&gt;="&amp;$C$7,BD!$A$3:$A$5001,"&lt;="&amp;$B176,BD!$X$3:$X$5001,"&lt;&gt;"))))</f>
        <v/>
      </c>
      <c r="O176" s="43" t="str">
        <f>IF(OR($B176="",$A176&gt;$B$9,O$171=""),"",IF(COUNTIFS(BD!$B$3:$B$5001,O$171,BD!$A$3:$A$5001,"&gt;="&amp;$C$7,BD!$A$3:$A$5001,"&lt;="&amp;$B176,BD!$X$3:$X$5001,"&lt;&gt;")=0,"",SUMIFS(BD!$X$3:$X$5001,BD!$B$3:$B$5001,O$171,BD!$A$3:$A$5001,_xlfn.MAXIFS(BD!$A$3:$A$5001,BD!$B$3:$B$5001,O$171,BD!$A$3:$A$5001,"&gt;="&amp;$C$7,BD!$A$3:$A$5001,"&lt;="&amp;$B176,BD!$X$3:$X$5001,"&lt;&gt;"))))</f>
        <v/>
      </c>
      <c r="P176" s="43" t="str">
        <f>IF(OR($B176="",$A176&gt;$B$9,P$171=""),"",IF(COUNTIFS(BD!$B$3:$B$5001,P$171,BD!$A$3:$A$5001,"&gt;="&amp;$C$7,BD!$A$3:$A$5001,"&lt;="&amp;$B176,BD!$X$3:$X$5001,"&lt;&gt;")=0,"",SUMIFS(BD!$X$3:$X$5001,BD!$B$3:$B$5001,P$171,BD!$A$3:$A$5001,_xlfn.MAXIFS(BD!$A$3:$A$5001,BD!$B$3:$B$5001,P$171,BD!$A$3:$A$5001,"&gt;="&amp;$C$7,BD!$A$3:$A$5001,"&lt;="&amp;$B176,BD!$X$3:$X$5001,"&lt;&gt;"))))</f>
        <v/>
      </c>
      <c r="Q176" s="43" t="str">
        <f>IF(OR($B176="",$A176&gt;$B$9,Q$171=""),"",IF(COUNTIFS(BD!$B$3:$B$5001,Q$171,BD!$A$3:$A$5001,"&gt;="&amp;$C$7,BD!$A$3:$A$5001,"&lt;="&amp;$B176,BD!$X$3:$X$5001,"&lt;&gt;")=0,"",SUMIFS(BD!$X$3:$X$5001,BD!$B$3:$B$5001,Q$171,BD!$A$3:$A$5001,_xlfn.MAXIFS(BD!$A$3:$A$5001,BD!$B$3:$B$5001,Q$171,BD!$A$3:$A$5001,"&gt;="&amp;$C$7,BD!$A$3:$A$5001,"&lt;="&amp;$B176,BD!$X$3:$X$5001,"&lt;&gt;"))))</f>
        <v/>
      </c>
      <c r="R176" s="43" t="str">
        <f>IF(OR($B176="",$A176&gt;$B$9,R$171=""),"",IF(COUNTIFS(BD!$B$3:$B$5001,R$171,BD!$A$3:$A$5001,"&gt;="&amp;$C$7,BD!$A$3:$A$5001,"&lt;="&amp;$B176,BD!$X$3:$X$5001,"&lt;&gt;")=0,"",SUMIFS(BD!$X$3:$X$5001,BD!$B$3:$B$5001,R$171,BD!$A$3:$A$5001,_xlfn.MAXIFS(BD!$A$3:$A$5001,BD!$B$3:$B$5001,R$171,BD!$A$3:$A$5001,"&gt;="&amp;$C$7,BD!$A$3:$A$5001,"&lt;="&amp;$B176,BD!$X$3:$X$5001,"&lt;&gt;"))))</f>
        <v/>
      </c>
      <c r="S176" s="43" t="str">
        <f>IF(OR($B176="",$A176&gt;$B$9,S$171=""),"",IF(COUNTIFS(BD!$B$3:$B$5001,S$171,BD!$A$3:$A$5001,"&gt;="&amp;$C$7,BD!$A$3:$A$5001,"&lt;="&amp;$B176,BD!$X$3:$X$5001,"&lt;&gt;")=0,"",SUMIFS(BD!$X$3:$X$5001,BD!$B$3:$B$5001,S$171,BD!$A$3:$A$5001,_xlfn.MAXIFS(BD!$A$3:$A$5001,BD!$B$3:$B$5001,S$171,BD!$A$3:$A$5001,"&gt;="&amp;$C$7,BD!$A$3:$A$5001,"&lt;="&amp;$B176,BD!$X$3:$X$5001,"&lt;&gt;"))))</f>
        <v/>
      </c>
      <c r="T176" s="43" t="str">
        <f>IF(OR($B176="",$A176&gt;$B$9,T$171=""),"",IF(COUNTIFS(BD!$B$3:$B$5001,T$171,BD!$A$3:$A$5001,"&gt;="&amp;$C$7,BD!$A$3:$A$5001,"&lt;="&amp;$B176,BD!$X$3:$X$5001,"&lt;&gt;")=0,"",SUMIFS(BD!$X$3:$X$5001,BD!$B$3:$B$5001,T$171,BD!$A$3:$A$5001,_xlfn.MAXIFS(BD!$A$3:$A$5001,BD!$B$3:$B$5001,T$171,BD!$A$3:$A$5001,"&gt;="&amp;$C$7,BD!$A$3:$A$5001,"&lt;="&amp;$B176,BD!$X$3:$X$5001,"&lt;&gt;"))))</f>
        <v/>
      </c>
      <c r="U176" s="43" t="str">
        <f>IF(OR($B176="",$A176&gt;$B$9,U$171=""),"",IF(COUNTIFS(BD!$B$3:$B$5001,U$171,BD!$A$3:$A$5001,"&gt;="&amp;$C$7,BD!$A$3:$A$5001,"&lt;="&amp;$B176,BD!$X$3:$X$5001,"&lt;&gt;")=0,"",SUMIFS(BD!$X$3:$X$5001,BD!$B$3:$B$5001,U$171,BD!$A$3:$A$5001,_xlfn.MAXIFS(BD!$A$3:$A$5001,BD!$B$3:$B$5001,U$171,BD!$A$3:$A$5001,"&gt;="&amp;$C$7,BD!$A$3:$A$5001,"&lt;="&amp;$B176,BD!$X$3:$X$5001,"&lt;&gt;"))))</f>
        <v/>
      </c>
      <c r="V176" s="43" t="str">
        <f>IF(OR($B176="",$A176&gt;$B$9,V$171=""),"",IF(COUNTIFS(BD!$B$3:$B$5001,V$171,BD!$A$3:$A$5001,"&gt;="&amp;$C$7,BD!$A$3:$A$5001,"&lt;="&amp;$B176,BD!$X$3:$X$5001,"&lt;&gt;")=0,"",SUMIFS(BD!$X$3:$X$5001,BD!$B$3:$B$5001,V$171,BD!$A$3:$A$5001,_xlfn.MAXIFS(BD!$A$3:$A$5001,BD!$B$3:$B$5001,V$171,BD!$A$3:$A$5001,"&gt;="&amp;$C$7,BD!$A$3:$A$5001,"&lt;="&amp;$B176,BD!$X$3:$X$5001,"&lt;&gt;"))))</f>
        <v/>
      </c>
    </row>
    <row r="177">
      <c r="A177" s="38">
        <v>6</v>
      </c>
      <c r="B177" s="42">
        <f>$B$17</f>
        <v>46301</v>
      </c>
      <c r="C177" s="43" t="str">
        <f>IF(OR($B177="",$A177&gt;$B$9,C$171=""),"",IF(COUNTIFS(BD!$B$3:$B$5001,C$171,BD!$A$3:$A$5001,"&gt;="&amp;$C$7,BD!$A$3:$A$5001,"&lt;="&amp;$B177,BD!$X$3:$X$5001,"&lt;&gt;")=0,"",SUMIFS(BD!$X$3:$X$5001,BD!$B$3:$B$5001,C$171,BD!$A$3:$A$5001,_xlfn.MAXIFS(BD!$A$3:$A$5001,BD!$B$3:$B$5001,C$171,BD!$A$3:$A$5001,"&gt;="&amp;$C$7,BD!$A$3:$A$5001,"&lt;="&amp;$B177,BD!$X$3:$X$5001,"&lt;&gt;"))))</f>
        <v/>
      </c>
      <c r="D177" s="43" t="str">
        <f>IF(OR($B177="",$A177&gt;$B$9,D$171=""),"",IF(COUNTIFS(BD!$B$3:$B$5001,D$171,BD!$A$3:$A$5001,"&gt;="&amp;$C$7,BD!$A$3:$A$5001,"&lt;="&amp;$B177,BD!$X$3:$X$5001,"&lt;&gt;")=0,"",SUMIFS(BD!$X$3:$X$5001,BD!$B$3:$B$5001,D$171,BD!$A$3:$A$5001,_xlfn.MAXIFS(BD!$A$3:$A$5001,BD!$B$3:$B$5001,D$171,BD!$A$3:$A$5001,"&gt;="&amp;$C$7,BD!$A$3:$A$5001,"&lt;="&amp;$B177,BD!$X$3:$X$5001,"&lt;&gt;"))))</f>
        <v/>
      </c>
      <c r="E177" s="43" t="str">
        <f>IF(OR($B177="",$A177&gt;$B$9,E$171=""),"",IF(COUNTIFS(BD!$B$3:$B$5001,E$171,BD!$A$3:$A$5001,"&gt;="&amp;$C$7,BD!$A$3:$A$5001,"&lt;="&amp;$B177,BD!$X$3:$X$5001,"&lt;&gt;")=0,"",SUMIFS(BD!$X$3:$X$5001,BD!$B$3:$B$5001,E$171,BD!$A$3:$A$5001,_xlfn.MAXIFS(BD!$A$3:$A$5001,BD!$B$3:$B$5001,E$171,BD!$A$3:$A$5001,"&gt;="&amp;$C$7,BD!$A$3:$A$5001,"&lt;="&amp;$B177,BD!$X$3:$X$5001,"&lt;&gt;"))))</f>
        <v/>
      </c>
      <c r="F177" s="43" t="str">
        <f>IF(OR($B177="",$A177&gt;$B$9,F$171=""),"",IF(COUNTIFS(BD!$B$3:$B$5001,F$171,BD!$A$3:$A$5001,"&gt;="&amp;$C$7,BD!$A$3:$A$5001,"&lt;="&amp;$B177,BD!$X$3:$X$5001,"&lt;&gt;")=0,"",SUMIFS(BD!$X$3:$X$5001,BD!$B$3:$B$5001,F$171,BD!$A$3:$A$5001,_xlfn.MAXIFS(BD!$A$3:$A$5001,BD!$B$3:$B$5001,F$171,BD!$A$3:$A$5001,"&gt;="&amp;$C$7,BD!$A$3:$A$5001,"&lt;="&amp;$B177,BD!$X$3:$X$5001,"&lt;&gt;"))))</f>
        <v/>
      </c>
      <c r="G177" s="43" t="str">
        <f>IF(OR($B177="",$A177&gt;$B$9,G$171=""),"",IF(COUNTIFS(BD!$B$3:$B$5001,G$171,BD!$A$3:$A$5001,"&gt;="&amp;$C$7,BD!$A$3:$A$5001,"&lt;="&amp;$B177,BD!$X$3:$X$5001,"&lt;&gt;")=0,"",SUMIFS(BD!$X$3:$X$5001,BD!$B$3:$B$5001,G$171,BD!$A$3:$A$5001,_xlfn.MAXIFS(BD!$A$3:$A$5001,BD!$B$3:$B$5001,G$171,BD!$A$3:$A$5001,"&gt;="&amp;$C$7,BD!$A$3:$A$5001,"&lt;="&amp;$B177,BD!$X$3:$X$5001,"&lt;&gt;"))))</f>
        <v/>
      </c>
      <c r="H177" s="43" t="str">
        <f>IF(OR($B177="",$A177&gt;$B$9,H$171=""),"",IF(COUNTIFS(BD!$B$3:$B$5001,H$171,BD!$A$3:$A$5001,"&gt;="&amp;$C$7,BD!$A$3:$A$5001,"&lt;="&amp;$B177,BD!$X$3:$X$5001,"&lt;&gt;")=0,"",SUMIFS(BD!$X$3:$X$5001,BD!$B$3:$B$5001,H$171,BD!$A$3:$A$5001,_xlfn.MAXIFS(BD!$A$3:$A$5001,BD!$B$3:$B$5001,H$171,BD!$A$3:$A$5001,"&gt;="&amp;$C$7,BD!$A$3:$A$5001,"&lt;="&amp;$B177,BD!$X$3:$X$5001,"&lt;&gt;"))))</f>
        <v/>
      </c>
      <c r="I177" s="43" t="str">
        <f>IF(OR($B177="",$A177&gt;$B$9,I$171=""),"",IF(COUNTIFS(BD!$B$3:$B$5001,I$171,BD!$A$3:$A$5001,"&gt;="&amp;$C$7,BD!$A$3:$A$5001,"&lt;="&amp;$B177,BD!$X$3:$X$5001,"&lt;&gt;")=0,"",SUMIFS(BD!$X$3:$X$5001,BD!$B$3:$B$5001,I$171,BD!$A$3:$A$5001,_xlfn.MAXIFS(BD!$A$3:$A$5001,BD!$B$3:$B$5001,I$171,BD!$A$3:$A$5001,"&gt;="&amp;$C$7,BD!$A$3:$A$5001,"&lt;="&amp;$B177,BD!$X$3:$X$5001,"&lt;&gt;"))))</f>
        <v/>
      </c>
      <c r="J177" s="43" t="str">
        <f>IF(OR($B177="",$A177&gt;$B$9,J$171=""),"",IF(COUNTIFS(BD!$B$3:$B$5001,J$171,BD!$A$3:$A$5001,"&gt;="&amp;$C$7,BD!$A$3:$A$5001,"&lt;="&amp;$B177,BD!$X$3:$X$5001,"&lt;&gt;")=0,"",SUMIFS(BD!$X$3:$X$5001,BD!$B$3:$B$5001,J$171,BD!$A$3:$A$5001,_xlfn.MAXIFS(BD!$A$3:$A$5001,BD!$B$3:$B$5001,J$171,BD!$A$3:$A$5001,"&gt;="&amp;$C$7,BD!$A$3:$A$5001,"&lt;="&amp;$B177,BD!$X$3:$X$5001,"&lt;&gt;"))))</f>
        <v/>
      </c>
      <c r="K177" s="43" t="str">
        <f>IF(OR($B177="",$A177&gt;$B$9,K$171=""),"",IF(COUNTIFS(BD!$B$3:$B$5001,K$171,BD!$A$3:$A$5001,"&gt;="&amp;$C$7,BD!$A$3:$A$5001,"&lt;="&amp;$B177,BD!$X$3:$X$5001,"&lt;&gt;")=0,"",SUMIFS(BD!$X$3:$X$5001,BD!$B$3:$B$5001,K$171,BD!$A$3:$A$5001,_xlfn.MAXIFS(BD!$A$3:$A$5001,BD!$B$3:$B$5001,K$171,BD!$A$3:$A$5001,"&gt;="&amp;$C$7,BD!$A$3:$A$5001,"&lt;="&amp;$B177,BD!$X$3:$X$5001,"&lt;&gt;"))))</f>
        <v/>
      </c>
      <c r="L177" s="43" t="str">
        <f>IF(OR($B177="",$A177&gt;$B$9,L$171=""),"",IF(COUNTIFS(BD!$B$3:$B$5001,L$171,BD!$A$3:$A$5001,"&gt;="&amp;$C$7,BD!$A$3:$A$5001,"&lt;="&amp;$B177,BD!$X$3:$X$5001,"&lt;&gt;")=0,"",SUMIFS(BD!$X$3:$X$5001,BD!$B$3:$B$5001,L$171,BD!$A$3:$A$5001,_xlfn.MAXIFS(BD!$A$3:$A$5001,BD!$B$3:$B$5001,L$171,BD!$A$3:$A$5001,"&gt;="&amp;$C$7,BD!$A$3:$A$5001,"&lt;="&amp;$B177,BD!$X$3:$X$5001,"&lt;&gt;"))))</f>
        <v/>
      </c>
      <c r="M177" s="43" t="str">
        <f>IF(OR($B177="",$A177&gt;$B$9,M$171=""),"",IF(COUNTIFS(BD!$B$3:$B$5001,M$171,BD!$A$3:$A$5001,"&gt;="&amp;$C$7,BD!$A$3:$A$5001,"&lt;="&amp;$B177,BD!$X$3:$X$5001,"&lt;&gt;")=0,"",SUMIFS(BD!$X$3:$X$5001,BD!$B$3:$B$5001,M$171,BD!$A$3:$A$5001,_xlfn.MAXIFS(BD!$A$3:$A$5001,BD!$B$3:$B$5001,M$171,BD!$A$3:$A$5001,"&gt;="&amp;$C$7,BD!$A$3:$A$5001,"&lt;="&amp;$B177,BD!$X$3:$X$5001,"&lt;&gt;"))))</f>
        <v/>
      </c>
      <c r="N177" s="43" t="str">
        <f>IF(OR($B177="",$A177&gt;$B$9,N$171=""),"",IF(COUNTIFS(BD!$B$3:$B$5001,N$171,BD!$A$3:$A$5001,"&gt;="&amp;$C$7,BD!$A$3:$A$5001,"&lt;="&amp;$B177,BD!$X$3:$X$5001,"&lt;&gt;")=0,"",SUMIFS(BD!$X$3:$X$5001,BD!$B$3:$B$5001,N$171,BD!$A$3:$A$5001,_xlfn.MAXIFS(BD!$A$3:$A$5001,BD!$B$3:$B$5001,N$171,BD!$A$3:$A$5001,"&gt;="&amp;$C$7,BD!$A$3:$A$5001,"&lt;="&amp;$B177,BD!$X$3:$X$5001,"&lt;&gt;"))))</f>
        <v/>
      </c>
      <c r="O177" s="43" t="str">
        <f>IF(OR($B177="",$A177&gt;$B$9,O$171=""),"",IF(COUNTIFS(BD!$B$3:$B$5001,O$171,BD!$A$3:$A$5001,"&gt;="&amp;$C$7,BD!$A$3:$A$5001,"&lt;="&amp;$B177,BD!$X$3:$X$5001,"&lt;&gt;")=0,"",SUMIFS(BD!$X$3:$X$5001,BD!$B$3:$B$5001,O$171,BD!$A$3:$A$5001,_xlfn.MAXIFS(BD!$A$3:$A$5001,BD!$B$3:$B$5001,O$171,BD!$A$3:$A$5001,"&gt;="&amp;$C$7,BD!$A$3:$A$5001,"&lt;="&amp;$B177,BD!$X$3:$X$5001,"&lt;&gt;"))))</f>
        <v/>
      </c>
      <c r="P177" s="43" t="str">
        <f>IF(OR($B177="",$A177&gt;$B$9,P$171=""),"",IF(COUNTIFS(BD!$B$3:$B$5001,P$171,BD!$A$3:$A$5001,"&gt;="&amp;$C$7,BD!$A$3:$A$5001,"&lt;="&amp;$B177,BD!$X$3:$X$5001,"&lt;&gt;")=0,"",SUMIFS(BD!$X$3:$X$5001,BD!$B$3:$B$5001,P$171,BD!$A$3:$A$5001,_xlfn.MAXIFS(BD!$A$3:$A$5001,BD!$B$3:$B$5001,P$171,BD!$A$3:$A$5001,"&gt;="&amp;$C$7,BD!$A$3:$A$5001,"&lt;="&amp;$B177,BD!$X$3:$X$5001,"&lt;&gt;"))))</f>
        <v/>
      </c>
      <c r="Q177" s="43" t="str">
        <f>IF(OR($B177="",$A177&gt;$B$9,Q$171=""),"",IF(COUNTIFS(BD!$B$3:$B$5001,Q$171,BD!$A$3:$A$5001,"&gt;="&amp;$C$7,BD!$A$3:$A$5001,"&lt;="&amp;$B177,BD!$X$3:$X$5001,"&lt;&gt;")=0,"",SUMIFS(BD!$X$3:$X$5001,BD!$B$3:$B$5001,Q$171,BD!$A$3:$A$5001,_xlfn.MAXIFS(BD!$A$3:$A$5001,BD!$B$3:$B$5001,Q$171,BD!$A$3:$A$5001,"&gt;="&amp;$C$7,BD!$A$3:$A$5001,"&lt;="&amp;$B177,BD!$X$3:$X$5001,"&lt;&gt;"))))</f>
        <v/>
      </c>
      <c r="R177" s="43" t="str">
        <f>IF(OR($B177="",$A177&gt;$B$9,R$171=""),"",IF(COUNTIFS(BD!$B$3:$B$5001,R$171,BD!$A$3:$A$5001,"&gt;="&amp;$C$7,BD!$A$3:$A$5001,"&lt;="&amp;$B177,BD!$X$3:$X$5001,"&lt;&gt;")=0,"",SUMIFS(BD!$X$3:$X$5001,BD!$B$3:$B$5001,R$171,BD!$A$3:$A$5001,_xlfn.MAXIFS(BD!$A$3:$A$5001,BD!$B$3:$B$5001,R$171,BD!$A$3:$A$5001,"&gt;="&amp;$C$7,BD!$A$3:$A$5001,"&lt;="&amp;$B177,BD!$X$3:$X$5001,"&lt;&gt;"))))</f>
        <v/>
      </c>
      <c r="S177" s="43" t="str">
        <f>IF(OR($B177="",$A177&gt;$B$9,S$171=""),"",IF(COUNTIFS(BD!$B$3:$B$5001,S$171,BD!$A$3:$A$5001,"&gt;="&amp;$C$7,BD!$A$3:$A$5001,"&lt;="&amp;$B177,BD!$X$3:$X$5001,"&lt;&gt;")=0,"",SUMIFS(BD!$X$3:$X$5001,BD!$B$3:$B$5001,S$171,BD!$A$3:$A$5001,_xlfn.MAXIFS(BD!$A$3:$A$5001,BD!$B$3:$B$5001,S$171,BD!$A$3:$A$5001,"&gt;="&amp;$C$7,BD!$A$3:$A$5001,"&lt;="&amp;$B177,BD!$X$3:$X$5001,"&lt;&gt;"))))</f>
        <v/>
      </c>
      <c r="T177" s="43" t="str">
        <f>IF(OR($B177="",$A177&gt;$B$9,T$171=""),"",IF(COUNTIFS(BD!$B$3:$B$5001,T$171,BD!$A$3:$A$5001,"&gt;="&amp;$C$7,BD!$A$3:$A$5001,"&lt;="&amp;$B177,BD!$X$3:$X$5001,"&lt;&gt;")=0,"",SUMIFS(BD!$X$3:$X$5001,BD!$B$3:$B$5001,T$171,BD!$A$3:$A$5001,_xlfn.MAXIFS(BD!$A$3:$A$5001,BD!$B$3:$B$5001,T$171,BD!$A$3:$A$5001,"&gt;="&amp;$C$7,BD!$A$3:$A$5001,"&lt;="&amp;$B177,BD!$X$3:$X$5001,"&lt;&gt;"))))</f>
        <v/>
      </c>
      <c r="U177" s="43" t="str">
        <f>IF(OR($B177="",$A177&gt;$B$9,U$171=""),"",IF(COUNTIFS(BD!$B$3:$B$5001,U$171,BD!$A$3:$A$5001,"&gt;="&amp;$C$7,BD!$A$3:$A$5001,"&lt;="&amp;$B177,BD!$X$3:$X$5001,"&lt;&gt;")=0,"",SUMIFS(BD!$X$3:$X$5001,BD!$B$3:$B$5001,U$171,BD!$A$3:$A$5001,_xlfn.MAXIFS(BD!$A$3:$A$5001,BD!$B$3:$B$5001,U$171,BD!$A$3:$A$5001,"&gt;="&amp;$C$7,BD!$A$3:$A$5001,"&lt;="&amp;$B177,BD!$X$3:$X$5001,"&lt;&gt;"))))</f>
        <v/>
      </c>
      <c r="V177" s="43" t="str">
        <f>IF(OR($B177="",$A177&gt;$B$9,V$171=""),"",IF(COUNTIFS(BD!$B$3:$B$5001,V$171,BD!$A$3:$A$5001,"&gt;="&amp;$C$7,BD!$A$3:$A$5001,"&lt;="&amp;$B177,BD!$X$3:$X$5001,"&lt;&gt;")=0,"",SUMIFS(BD!$X$3:$X$5001,BD!$B$3:$B$5001,V$171,BD!$A$3:$A$5001,_xlfn.MAXIFS(BD!$A$3:$A$5001,BD!$B$3:$B$5001,V$171,BD!$A$3:$A$5001,"&gt;="&amp;$C$7,BD!$A$3:$A$5001,"&lt;="&amp;$B177,BD!$X$3:$X$5001,"&lt;&gt;"))))</f>
        <v/>
      </c>
    </row>
    <row r="178">
      <c r="A178" s="38">
        <v>7</v>
      </c>
      <c r="B178" s="42">
        <f>$B$18</f>
        <v>46302</v>
      </c>
      <c r="C178" s="43" t="str">
        <f>IF(OR($B178="",$A178&gt;$B$9,C$171=""),"",IF(COUNTIFS(BD!$B$3:$B$5001,C$171,BD!$A$3:$A$5001,"&gt;="&amp;$C$7,BD!$A$3:$A$5001,"&lt;="&amp;$B178,BD!$X$3:$X$5001,"&lt;&gt;")=0,"",SUMIFS(BD!$X$3:$X$5001,BD!$B$3:$B$5001,C$171,BD!$A$3:$A$5001,_xlfn.MAXIFS(BD!$A$3:$A$5001,BD!$B$3:$B$5001,C$171,BD!$A$3:$A$5001,"&gt;="&amp;$C$7,BD!$A$3:$A$5001,"&lt;="&amp;$B178,BD!$X$3:$X$5001,"&lt;&gt;"))))</f>
        <v/>
      </c>
      <c r="D178" s="43" t="str">
        <f>IF(OR($B178="",$A178&gt;$B$9,D$171=""),"",IF(COUNTIFS(BD!$B$3:$B$5001,D$171,BD!$A$3:$A$5001,"&gt;="&amp;$C$7,BD!$A$3:$A$5001,"&lt;="&amp;$B178,BD!$X$3:$X$5001,"&lt;&gt;")=0,"",SUMIFS(BD!$X$3:$X$5001,BD!$B$3:$B$5001,D$171,BD!$A$3:$A$5001,_xlfn.MAXIFS(BD!$A$3:$A$5001,BD!$B$3:$B$5001,D$171,BD!$A$3:$A$5001,"&gt;="&amp;$C$7,BD!$A$3:$A$5001,"&lt;="&amp;$B178,BD!$X$3:$X$5001,"&lt;&gt;"))))</f>
        <v/>
      </c>
      <c r="E178" s="43" t="str">
        <f>IF(OR($B178="",$A178&gt;$B$9,E$171=""),"",IF(COUNTIFS(BD!$B$3:$B$5001,E$171,BD!$A$3:$A$5001,"&gt;="&amp;$C$7,BD!$A$3:$A$5001,"&lt;="&amp;$B178,BD!$X$3:$X$5001,"&lt;&gt;")=0,"",SUMIFS(BD!$X$3:$X$5001,BD!$B$3:$B$5001,E$171,BD!$A$3:$A$5001,_xlfn.MAXIFS(BD!$A$3:$A$5001,BD!$B$3:$B$5001,E$171,BD!$A$3:$A$5001,"&gt;="&amp;$C$7,BD!$A$3:$A$5001,"&lt;="&amp;$B178,BD!$X$3:$X$5001,"&lt;&gt;"))))</f>
        <v/>
      </c>
      <c r="F178" s="43" t="str">
        <f>IF(OR($B178="",$A178&gt;$B$9,F$171=""),"",IF(COUNTIFS(BD!$B$3:$B$5001,F$171,BD!$A$3:$A$5001,"&gt;="&amp;$C$7,BD!$A$3:$A$5001,"&lt;="&amp;$B178,BD!$X$3:$X$5001,"&lt;&gt;")=0,"",SUMIFS(BD!$X$3:$X$5001,BD!$B$3:$B$5001,F$171,BD!$A$3:$A$5001,_xlfn.MAXIFS(BD!$A$3:$A$5001,BD!$B$3:$B$5001,F$171,BD!$A$3:$A$5001,"&gt;="&amp;$C$7,BD!$A$3:$A$5001,"&lt;="&amp;$B178,BD!$X$3:$X$5001,"&lt;&gt;"))))</f>
        <v/>
      </c>
      <c r="G178" s="43" t="str">
        <f>IF(OR($B178="",$A178&gt;$B$9,G$171=""),"",IF(COUNTIFS(BD!$B$3:$B$5001,G$171,BD!$A$3:$A$5001,"&gt;="&amp;$C$7,BD!$A$3:$A$5001,"&lt;="&amp;$B178,BD!$X$3:$X$5001,"&lt;&gt;")=0,"",SUMIFS(BD!$X$3:$X$5001,BD!$B$3:$B$5001,G$171,BD!$A$3:$A$5001,_xlfn.MAXIFS(BD!$A$3:$A$5001,BD!$B$3:$B$5001,G$171,BD!$A$3:$A$5001,"&gt;="&amp;$C$7,BD!$A$3:$A$5001,"&lt;="&amp;$B178,BD!$X$3:$X$5001,"&lt;&gt;"))))</f>
        <v/>
      </c>
      <c r="H178" s="43" t="str">
        <f>IF(OR($B178="",$A178&gt;$B$9,H$171=""),"",IF(COUNTIFS(BD!$B$3:$B$5001,H$171,BD!$A$3:$A$5001,"&gt;="&amp;$C$7,BD!$A$3:$A$5001,"&lt;="&amp;$B178,BD!$X$3:$X$5001,"&lt;&gt;")=0,"",SUMIFS(BD!$X$3:$X$5001,BD!$B$3:$B$5001,H$171,BD!$A$3:$A$5001,_xlfn.MAXIFS(BD!$A$3:$A$5001,BD!$B$3:$B$5001,H$171,BD!$A$3:$A$5001,"&gt;="&amp;$C$7,BD!$A$3:$A$5001,"&lt;="&amp;$B178,BD!$X$3:$X$5001,"&lt;&gt;"))))</f>
        <v/>
      </c>
      <c r="I178" s="43" t="str">
        <f>IF(OR($B178="",$A178&gt;$B$9,I$171=""),"",IF(COUNTIFS(BD!$B$3:$B$5001,I$171,BD!$A$3:$A$5001,"&gt;="&amp;$C$7,BD!$A$3:$A$5001,"&lt;="&amp;$B178,BD!$X$3:$X$5001,"&lt;&gt;")=0,"",SUMIFS(BD!$X$3:$X$5001,BD!$B$3:$B$5001,I$171,BD!$A$3:$A$5001,_xlfn.MAXIFS(BD!$A$3:$A$5001,BD!$B$3:$B$5001,I$171,BD!$A$3:$A$5001,"&gt;="&amp;$C$7,BD!$A$3:$A$5001,"&lt;="&amp;$B178,BD!$X$3:$X$5001,"&lt;&gt;"))))</f>
        <v/>
      </c>
      <c r="J178" s="43" t="str">
        <f>IF(OR($B178="",$A178&gt;$B$9,J$171=""),"",IF(COUNTIFS(BD!$B$3:$B$5001,J$171,BD!$A$3:$A$5001,"&gt;="&amp;$C$7,BD!$A$3:$A$5001,"&lt;="&amp;$B178,BD!$X$3:$X$5001,"&lt;&gt;")=0,"",SUMIFS(BD!$X$3:$X$5001,BD!$B$3:$B$5001,J$171,BD!$A$3:$A$5001,_xlfn.MAXIFS(BD!$A$3:$A$5001,BD!$B$3:$B$5001,J$171,BD!$A$3:$A$5001,"&gt;="&amp;$C$7,BD!$A$3:$A$5001,"&lt;="&amp;$B178,BD!$X$3:$X$5001,"&lt;&gt;"))))</f>
        <v/>
      </c>
      <c r="K178" s="43" t="str">
        <f>IF(OR($B178="",$A178&gt;$B$9,K$171=""),"",IF(COUNTIFS(BD!$B$3:$B$5001,K$171,BD!$A$3:$A$5001,"&gt;="&amp;$C$7,BD!$A$3:$A$5001,"&lt;="&amp;$B178,BD!$X$3:$X$5001,"&lt;&gt;")=0,"",SUMIFS(BD!$X$3:$X$5001,BD!$B$3:$B$5001,K$171,BD!$A$3:$A$5001,_xlfn.MAXIFS(BD!$A$3:$A$5001,BD!$B$3:$B$5001,K$171,BD!$A$3:$A$5001,"&gt;="&amp;$C$7,BD!$A$3:$A$5001,"&lt;="&amp;$B178,BD!$X$3:$X$5001,"&lt;&gt;"))))</f>
        <v/>
      </c>
      <c r="L178" s="43" t="str">
        <f>IF(OR($B178="",$A178&gt;$B$9,L$171=""),"",IF(COUNTIFS(BD!$B$3:$B$5001,L$171,BD!$A$3:$A$5001,"&gt;="&amp;$C$7,BD!$A$3:$A$5001,"&lt;="&amp;$B178,BD!$X$3:$X$5001,"&lt;&gt;")=0,"",SUMIFS(BD!$X$3:$X$5001,BD!$B$3:$B$5001,L$171,BD!$A$3:$A$5001,_xlfn.MAXIFS(BD!$A$3:$A$5001,BD!$B$3:$B$5001,L$171,BD!$A$3:$A$5001,"&gt;="&amp;$C$7,BD!$A$3:$A$5001,"&lt;="&amp;$B178,BD!$X$3:$X$5001,"&lt;&gt;"))))</f>
        <v/>
      </c>
      <c r="M178" s="43" t="str">
        <f>IF(OR($B178="",$A178&gt;$B$9,M$171=""),"",IF(COUNTIFS(BD!$B$3:$B$5001,M$171,BD!$A$3:$A$5001,"&gt;="&amp;$C$7,BD!$A$3:$A$5001,"&lt;="&amp;$B178,BD!$X$3:$X$5001,"&lt;&gt;")=0,"",SUMIFS(BD!$X$3:$X$5001,BD!$B$3:$B$5001,M$171,BD!$A$3:$A$5001,_xlfn.MAXIFS(BD!$A$3:$A$5001,BD!$B$3:$B$5001,M$171,BD!$A$3:$A$5001,"&gt;="&amp;$C$7,BD!$A$3:$A$5001,"&lt;="&amp;$B178,BD!$X$3:$X$5001,"&lt;&gt;"))))</f>
        <v/>
      </c>
      <c r="N178" s="43" t="str">
        <f>IF(OR($B178="",$A178&gt;$B$9,N$171=""),"",IF(COUNTIFS(BD!$B$3:$B$5001,N$171,BD!$A$3:$A$5001,"&gt;="&amp;$C$7,BD!$A$3:$A$5001,"&lt;="&amp;$B178,BD!$X$3:$X$5001,"&lt;&gt;")=0,"",SUMIFS(BD!$X$3:$X$5001,BD!$B$3:$B$5001,N$171,BD!$A$3:$A$5001,_xlfn.MAXIFS(BD!$A$3:$A$5001,BD!$B$3:$B$5001,N$171,BD!$A$3:$A$5001,"&gt;="&amp;$C$7,BD!$A$3:$A$5001,"&lt;="&amp;$B178,BD!$X$3:$X$5001,"&lt;&gt;"))))</f>
        <v/>
      </c>
      <c r="O178" s="43" t="str">
        <f>IF(OR($B178="",$A178&gt;$B$9,O$171=""),"",IF(COUNTIFS(BD!$B$3:$B$5001,O$171,BD!$A$3:$A$5001,"&gt;="&amp;$C$7,BD!$A$3:$A$5001,"&lt;="&amp;$B178,BD!$X$3:$X$5001,"&lt;&gt;")=0,"",SUMIFS(BD!$X$3:$X$5001,BD!$B$3:$B$5001,O$171,BD!$A$3:$A$5001,_xlfn.MAXIFS(BD!$A$3:$A$5001,BD!$B$3:$B$5001,O$171,BD!$A$3:$A$5001,"&gt;="&amp;$C$7,BD!$A$3:$A$5001,"&lt;="&amp;$B178,BD!$X$3:$X$5001,"&lt;&gt;"))))</f>
        <v/>
      </c>
      <c r="P178" s="43" t="str">
        <f>IF(OR($B178="",$A178&gt;$B$9,P$171=""),"",IF(COUNTIFS(BD!$B$3:$B$5001,P$171,BD!$A$3:$A$5001,"&gt;="&amp;$C$7,BD!$A$3:$A$5001,"&lt;="&amp;$B178,BD!$X$3:$X$5001,"&lt;&gt;")=0,"",SUMIFS(BD!$X$3:$X$5001,BD!$B$3:$B$5001,P$171,BD!$A$3:$A$5001,_xlfn.MAXIFS(BD!$A$3:$A$5001,BD!$B$3:$B$5001,P$171,BD!$A$3:$A$5001,"&gt;="&amp;$C$7,BD!$A$3:$A$5001,"&lt;="&amp;$B178,BD!$X$3:$X$5001,"&lt;&gt;"))))</f>
        <v/>
      </c>
      <c r="Q178" s="43" t="str">
        <f>IF(OR($B178="",$A178&gt;$B$9,Q$171=""),"",IF(COUNTIFS(BD!$B$3:$B$5001,Q$171,BD!$A$3:$A$5001,"&gt;="&amp;$C$7,BD!$A$3:$A$5001,"&lt;="&amp;$B178,BD!$X$3:$X$5001,"&lt;&gt;")=0,"",SUMIFS(BD!$X$3:$X$5001,BD!$B$3:$B$5001,Q$171,BD!$A$3:$A$5001,_xlfn.MAXIFS(BD!$A$3:$A$5001,BD!$B$3:$B$5001,Q$171,BD!$A$3:$A$5001,"&gt;="&amp;$C$7,BD!$A$3:$A$5001,"&lt;="&amp;$B178,BD!$X$3:$X$5001,"&lt;&gt;"))))</f>
        <v/>
      </c>
      <c r="R178" s="43" t="str">
        <f>IF(OR($B178="",$A178&gt;$B$9,R$171=""),"",IF(COUNTIFS(BD!$B$3:$B$5001,R$171,BD!$A$3:$A$5001,"&gt;="&amp;$C$7,BD!$A$3:$A$5001,"&lt;="&amp;$B178,BD!$X$3:$X$5001,"&lt;&gt;")=0,"",SUMIFS(BD!$X$3:$X$5001,BD!$B$3:$B$5001,R$171,BD!$A$3:$A$5001,_xlfn.MAXIFS(BD!$A$3:$A$5001,BD!$B$3:$B$5001,R$171,BD!$A$3:$A$5001,"&gt;="&amp;$C$7,BD!$A$3:$A$5001,"&lt;="&amp;$B178,BD!$X$3:$X$5001,"&lt;&gt;"))))</f>
        <v/>
      </c>
      <c r="S178" s="43" t="str">
        <f>IF(OR($B178="",$A178&gt;$B$9,S$171=""),"",IF(COUNTIFS(BD!$B$3:$B$5001,S$171,BD!$A$3:$A$5001,"&gt;="&amp;$C$7,BD!$A$3:$A$5001,"&lt;="&amp;$B178,BD!$X$3:$X$5001,"&lt;&gt;")=0,"",SUMIFS(BD!$X$3:$X$5001,BD!$B$3:$B$5001,S$171,BD!$A$3:$A$5001,_xlfn.MAXIFS(BD!$A$3:$A$5001,BD!$B$3:$B$5001,S$171,BD!$A$3:$A$5001,"&gt;="&amp;$C$7,BD!$A$3:$A$5001,"&lt;="&amp;$B178,BD!$X$3:$X$5001,"&lt;&gt;"))))</f>
        <v/>
      </c>
      <c r="T178" s="43" t="str">
        <f>IF(OR($B178="",$A178&gt;$B$9,T$171=""),"",IF(COUNTIFS(BD!$B$3:$B$5001,T$171,BD!$A$3:$A$5001,"&gt;="&amp;$C$7,BD!$A$3:$A$5001,"&lt;="&amp;$B178,BD!$X$3:$X$5001,"&lt;&gt;")=0,"",SUMIFS(BD!$X$3:$X$5001,BD!$B$3:$B$5001,T$171,BD!$A$3:$A$5001,_xlfn.MAXIFS(BD!$A$3:$A$5001,BD!$B$3:$B$5001,T$171,BD!$A$3:$A$5001,"&gt;="&amp;$C$7,BD!$A$3:$A$5001,"&lt;="&amp;$B178,BD!$X$3:$X$5001,"&lt;&gt;"))))</f>
        <v/>
      </c>
      <c r="U178" s="43" t="str">
        <f>IF(OR($B178="",$A178&gt;$B$9,U$171=""),"",IF(COUNTIFS(BD!$B$3:$B$5001,U$171,BD!$A$3:$A$5001,"&gt;="&amp;$C$7,BD!$A$3:$A$5001,"&lt;="&amp;$B178,BD!$X$3:$X$5001,"&lt;&gt;")=0,"",SUMIFS(BD!$X$3:$X$5001,BD!$B$3:$B$5001,U$171,BD!$A$3:$A$5001,_xlfn.MAXIFS(BD!$A$3:$A$5001,BD!$B$3:$B$5001,U$171,BD!$A$3:$A$5001,"&gt;="&amp;$C$7,BD!$A$3:$A$5001,"&lt;="&amp;$B178,BD!$X$3:$X$5001,"&lt;&gt;"))))</f>
        <v/>
      </c>
      <c r="V178" s="43" t="str">
        <f>IF(OR($B178="",$A178&gt;$B$9,V$171=""),"",IF(COUNTIFS(BD!$B$3:$B$5001,V$171,BD!$A$3:$A$5001,"&gt;="&amp;$C$7,BD!$A$3:$A$5001,"&lt;="&amp;$B178,BD!$X$3:$X$5001,"&lt;&gt;")=0,"",SUMIFS(BD!$X$3:$X$5001,BD!$B$3:$B$5001,V$171,BD!$A$3:$A$5001,_xlfn.MAXIFS(BD!$A$3:$A$5001,BD!$B$3:$B$5001,V$171,BD!$A$3:$A$5001,"&gt;="&amp;$C$7,BD!$A$3:$A$5001,"&lt;="&amp;$B178,BD!$X$3:$X$5001,"&lt;&gt;"))))</f>
        <v/>
      </c>
    </row>
    <row r="179">
      <c r="A179" s="38">
        <v>8</v>
      </c>
      <c r="B179" s="42">
        <f>$B$19</f>
        <v>46303</v>
      </c>
      <c r="C179" s="43" t="str">
        <f>IF(OR($B179="",$A179&gt;$B$9,C$171=""),"",IF(COUNTIFS(BD!$B$3:$B$5001,C$171,BD!$A$3:$A$5001,"&gt;="&amp;$C$7,BD!$A$3:$A$5001,"&lt;="&amp;$B179,BD!$X$3:$X$5001,"&lt;&gt;")=0,"",SUMIFS(BD!$X$3:$X$5001,BD!$B$3:$B$5001,C$171,BD!$A$3:$A$5001,_xlfn.MAXIFS(BD!$A$3:$A$5001,BD!$B$3:$B$5001,C$171,BD!$A$3:$A$5001,"&gt;="&amp;$C$7,BD!$A$3:$A$5001,"&lt;="&amp;$B179,BD!$X$3:$X$5001,"&lt;&gt;"))))</f>
        <v/>
      </c>
      <c r="D179" s="43" t="str">
        <f>IF(OR($B179="",$A179&gt;$B$9,D$171=""),"",IF(COUNTIFS(BD!$B$3:$B$5001,D$171,BD!$A$3:$A$5001,"&gt;="&amp;$C$7,BD!$A$3:$A$5001,"&lt;="&amp;$B179,BD!$X$3:$X$5001,"&lt;&gt;")=0,"",SUMIFS(BD!$X$3:$X$5001,BD!$B$3:$B$5001,D$171,BD!$A$3:$A$5001,_xlfn.MAXIFS(BD!$A$3:$A$5001,BD!$B$3:$B$5001,D$171,BD!$A$3:$A$5001,"&gt;="&amp;$C$7,BD!$A$3:$A$5001,"&lt;="&amp;$B179,BD!$X$3:$X$5001,"&lt;&gt;"))))</f>
        <v/>
      </c>
      <c r="E179" s="43" t="str">
        <f>IF(OR($B179="",$A179&gt;$B$9,E$171=""),"",IF(COUNTIFS(BD!$B$3:$B$5001,E$171,BD!$A$3:$A$5001,"&gt;="&amp;$C$7,BD!$A$3:$A$5001,"&lt;="&amp;$B179,BD!$X$3:$X$5001,"&lt;&gt;")=0,"",SUMIFS(BD!$X$3:$X$5001,BD!$B$3:$B$5001,E$171,BD!$A$3:$A$5001,_xlfn.MAXIFS(BD!$A$3:$A$5001,BD!$B$3:$B$5001,E$171,BD!$A$3:$A$5001,"&gt;="&amp;$C$7,BD!$A$3:$A$5001,"&lt;="&amp;$B179,BD!$X$3:$X$5001,"&lt;&gt;"))))</f>
        <v/>
      </c>
      <c r="F179" s="43" t="str">
        <f>IF(OR($B179="",$A179&gt;$B$9,F$171=""),"",IF(COUNTIFS(BD!$B$3:$B$5001,F$171,BD!$A$3:$A$5001,"&gt;="&amp;$C$7,BD!$A$3:$A$5001,"&lt;="&amp;$B179,BD!$X$3:$X$5001,"&lt;&gt;")=0,"",SUMIFS(BD!$X$3:$X$5001,BD!$B$3:$B$5001,F$171,BD!$A$3:$A$5001,_xlfn.MAXIFS(BD!$A$3:$A$5001,BD!$B$3:$B$5001,F$171,BD!$A$3:$A$5001,"&gt;="&amp;$C$7,BD!$A$3:$A$5001,"&lt;="&amp;$B179,BD!$X$3:$X$5001,"&lt;&gt;"))))</f>
        <v/>
      </c>
      <c r="G179" s="43" t="str">
        <f>IF(OR($B179="",$A179&gt;$B$9,G$171=""),"",IF(COUNTIFS(BD!$B$3:$B$5001,G$171,BD!$A$3:$A$5001,"&gt;="&amp;$C$7,BD!$A$3:$A$5001,"&lt;="&amp;$B179,BD!$X$3:$X$5001,"&lt;&gt;")=0,"",SUMIFS(BD!$X$3:$X$5001,BD!$B$3:$B$5001,G$171,BD!$A$3:$A$5001,_xlfn.MAXIFS(BD!$A$3:$A$5001,BD!$B$3:$B$5001,G$171,BD!$A$3:$A$5001,"&gt;="&amp;$C$7,BD!$A$3:$A$5001,"&lt;="&amp;$B179,BD!$X$3:$X$5001,"&lt;&gt;"))))</f>
        <v/>
      </c>
      <c r="H179" s="43" t="str">
        <f>IF(OR($B179="",$A179&gt;$B$9,H$171=""),"",IF(COUNTIFS(BD!$B$3:$B$5001,H$171,BD!$A$3:$A$5001,"&gt;="&amp;$C$7,BD!$A$3:$A$5001,"&lt;="&amp;$B179,BD!$X$3:$X$5001,"&lt;&gt;")=0,"",SUMIFS(BD!$X$3:$X$5001,BD!$B$3:$B$5001,H$171,BD!$A$3:$A$5001,_xlfn.MAXIFS(BD!$A$3:$A$5001,BD!$B$3:$B$5001,H$171,BD!$A$3:$A$5001,"&gt;="&amp;$C$7,BD!$A$3:$A$5001,"&lt;="&amp;$B179,BD!$X$3:$X$5001,"&lt;&gt;"))))</f>
        <v/>
      </c>
      <c r="I179" s="43" t="str">
        <f>IF(OR($B179="",$A179&gt;$B$9,I$171=""),"",IF(COUNTIFS(BD!$B$3:$B$5001,I$171,BD!$A$3:$A$5001,"&gt;="&amp;$C$7,BD!$A$3:$A$5001,"&lt;="&amp;$B179,BD!$X$3:$X$5001,"&lt;&gt;")=0,"",SUMIFS(BD!$X$3:$X$5001,BD!$B$3:$B$5001,I$171,BD!$A$3:$A$5001,_xlfn.MAXIFS(BD!$A$3:$A$5001,BD!$B$3:$B$5001,I$171,BD!$A$3:$A$5001,"&gt;="&amp;$C$7,BD!$A$3:$A$5001,"&lt;="&amp;$B179,BD!$X$3:$X$5001,"&lt;&gt;"))))</f>
        <v/>
      </c>
      <c r="J179" s="43" t="str">
        <f>IF(OR($B179="",$A179&gt;$B$9,J$171=""),"",IF(COUNTIFS(BD!$B$3:$B$5001,J$171,BD!$A$3:$A$5001,"&gt;="&amp;$C$7,BD!$A$3:$A$5001,"&lt;="&amp;$B179,BD!$X$3:$X$5001,"&lt;&gt;")=0,"",SUMIFS(BD!$X$3:$X$5001,BD!$B$3:$B$5001,J$171,BD!$A$3:$A$5001,_xlfn.MAXIFS(BD!$A$3:$A$5001,BD!$B$3:$B$5001,J$171,BD!$A$3:$A$5001,"&gt;="&amp;$C$7,BD!$A$3:$A$5001,"&lt;="&amp;$B179,BD!$X$3:$X$5001,"&lt;&gt;"))))</f>
        <v/>
      </c>
      <c r="K179" s="43" t="str">
        <f>IF(OR($B179="",$A179&gt;$B$9,K$171=""),"",IF(COUNTIFS(BD!$B$3:$B$5001,K$171,BD!$A$3:$A$5001,"&gt;="&amp;$C$7,BD!$A$3:$A$5001,"&lt;="&amp;$B179,BD!$X$3:$X$5001,"&lt;&gt;")=0,"",SUMIFS(BD!$X$3:$X$5001,BD!$B$3:$B$5001,K$171,BD!$A$3:$A$5001,_xlfn.MAXIFS(BD!$A$3:$A$5001,BD!$B$3:$B$5001,K$171,BD!$A$3:$A$5001,"&gt;="&amp;$C$7,BD!$A$3:$A$5001,"&lt;="&amp;$B179,BD!$X$3:$X$5001,"&lt;&gt;"))))</f>
        <v/>
      </c>
      <c r="L179" s="43" t="str">
        <f>IF(OR($B179="",$A179&gt;$B$9,L$171=""),"",IF(COUNTIFS(BD!$B$3:$B$5001,L$171,BD!$A$3:$A$5001,"&gt;="&amp;$C$7,BD!$A$3:$A$5001,"&lt;="&amp;$B179,BD!$X$3:$X$5001,"&lt;&gt;")=0,"",SUMIFS(BD!$X$3:$X$5001,BD!$B$3:$B$5001,L$171,BD!$A$3:$A$5001,_xlfn.MAXIFS(BD!$A$3:$A$5001,BD!$B$3:$B$5001,L$171,BD!$A$3:$A$5001,"&gt;="&amp;$C$7,BD!$A$3:$A$5001,"&lt;="&amp;$B179,BD!$X$3:$X$5001,"&lt;&gt;"))))</f>
        <v/>
      </c>
      <c r="M179" s="43" t="str">
        <f>IF(OR($B179="",$A179&gt;$B$9,M$171=""),"",IF(COUNTIFS(BD!$B$3:$B$5001,M$171,BD!$A$3:$A$5001,"&gt;="&amp;$C$7,BD!$A$3:$A$5001,"&lt;="&amp;$B179,BD!$X$3:$X$5001,"&lt;&gt;")=0,"",SUMIFS(BD!$X$3:$X$5001,BD!$B$3:$B$5001,M$171,BD!$A$3:$A$5001,_xlfn.MAXIFS(BD!$A$3:$A$5001,BD!$B$3:$B$5001,M$171,BD!$A$3:$A$5001,"&gt;="&amp;$C$7,BD!$A$3:$A$5001,"&lt;="&amp;$B179,BD!$X$3:$X$5001,"&lt;&gt;"))))</f>
        <v/>
      </c>
      <c r="N179" s="43" t="str">
        <f>IF(OR($B179="",$A179&gt;$B$9,N$171=""),"",IF(COUNTIFS(BD!$B$3:$B$5001,N$171,BD!$A$3:$A$5001,"&gt;="&amp;$C$7,BD!$A$3:$A$5001,"&lt;="&amp;$B179,BD!$X$3:$X$5001,"&lt;&gt;")=0,"",SUMIFS(BD!$X$3:$X$5001,BD!$B$3:$B$5001,N$171,BD!$A$3:$A$5001,_xlfn.MAXIFS(BD!$A$3:$A$5001,BD!$B$3:$B$5001,N$171,BD!$A$3:$A$5001,"&gt;="&amp;$C$7,BD!$A$3:$A$5001,"&lt;="&amp;$B179,BD!$X$3:$X$5001,"&lt;&gt;"))))</f>
        <v/>
      </c>
      <c r="O179" s="43" t="str">
        <f>IF(OR($B179="",$A179&gt;$B$9,O$171=""),"",IF(COUNTIFS(BD!$B$3:$B$5001,O$171,BD!$A$3:$A$5001,"&gt;="&amp;$C$7,BD!$A$3:$A$5001,"&lt;="&amp;$B179,BD!$X$3:$X$5001,"&lt;&gt;")=0,"",SUMIFS(BD!$X$3:$X$5001,BD!$B$3:$B$5001,O$171,BD!$A$3:$A$5001,_xlfn.MAXIFS(BD!$A$3:$A$5001,BD!$B$3:$B$5001,O$171,BD!$A$3:$A$5001,"&gt;="&amp;$C$7,BD!$A$3:$A$5001,"&lt;="&amp;$B179,BD!$X$3:$X$5001,"&lt;&gt;"))))</f>
        <v/>
      </c>
      <c r="P179" s="43" t="str">
        <f>IF(OR($B179="",$A179&gt;$B$9,P$171=""),"",IF(COUNTIFS(BD!$B$3:$B$5001,P$171,BD!$A$3:$A$5001,"&gt;="&amp;$C$7,BD!$A$3:$A$5001,"&lt;="&amp;$B179,BD!$X$3:$X$5001,"&lt;&gt;")=0,"",SUMIFS(BD!$X$3:$X$5001,BD!$B$3:$B$5001,P$171,BD!$A$3:$A$5001,_xlfn.MAXIFS(BD!$A$3:$A$5001,BD!$B$3:$B$5001,P$171,BD!$A$3:$A$5001,"&gt;="&amp;$C$7,BD!$A$3:$A$5001,"&lt;="&amp;$B179,BD!$X$3:$X$5001,"&lt;&gt;"))))</f>
        <v/>
      </c>
      <c r="Q179" s="43" t="str">
        <f>IF(OR($B179="",$A179&gt;$B$9,Q$171=""),"",IF(COUNTIFS(BD!$B$3:$B$5001,Q$171,BD!$A$3:$A$5001,"&gt;="&amp;$C$7,BD!$A$3:$A$5001,"&lt;="&amp;$B179,BD!$X$3:$X$5001,"&lt;&gt;")=0,"",SUMIFS(BD!$X$3:$X$5001,BD!$B$3:$B$5001,Q$171,BD!$A$3:$A$5001,_xlfn.MAXIFS(BD!$A$3:$A$5001,BD!$B$3:$B$5001,Q$171,BD!$A$3:$A$5001,"&gt;="&amp;$C$7,BD!$A$3:$A$5001,"&lt;="&amp;$B179,BD!$X$3:$X$5001,"&lt;&gt;"))))</f>
        <v/>
      </c>
      <c r="R179" s="43" t="str">
        <f>IF(OR($B179="",$A179&gt;$B$9,R$171=""),"",IF(COUNTIFS(BD!$B$3:$B$5001,R$171,BD!$A$3:$A$5001,"&gt;="&amp;$C$7,BD!$A$3:$A$5001,"&lt;="&amp;$B179,BD!$X$3:$X$5001,"&lt;&gt;")=0,"",SUMIFS(BD!$X$3:$X$5001,BD!$B$3:$B$5001,R$171,BD!$A$3:$A$5001,_xlfn.MAXIFS(BD!$A$3:$A$5001,BD!$B$3:$B$5001,R$171,BD!$A$3:$A$5001,"&gt;="&amp;$C$7,BD!$A$3:$A$5001,"&lt;="&amp;$B179,BD!$X$3:$X$5001,"&lt;&gt;"))))</f>
        <v/>
      </c>
      <c r="S179" s="43" t="str">
        <f>IF(OR($B179="",$A179&gt;$B$9,S$171=""),"",IF(COUNTIFS(BD!$B$3:$B$5001,S$171,BD!$A$3:$A$5001,"&gt;="&amp;$C$7,BD!$A$3:$A$5001,"&lt;="&amp;$B179,BD!$X$3:$X$5001,"&lt;&gt;")=0,"",SUMIFS(BD!$X$3:$X$5001,BD!$B$3:$B$5001,S$171,BD!$A$3:$A$5001,_xlfn.MAXIFS(BD!$A$3:$A$5001,BD!$B$3:$B$5001,S$171,BD!$A$3:$A$5001,"&gt;="&amp;$C$7,BD!$A$3:$A$5001,"&lt;="&amp;$B179,BD!$X$3:$X$5001,"&lt;&gt;"))))</f>
        <v/>
      </c>
      <c r="T179" s="43" t="str">
        <f>IF(OR($B179="",$A179&gt;$B$9,T$171=""),"",IF(COUNTIFS(BD!$B$3:$B$5001,T$171,BD!$A$3:$A$5001,"&gt;="&amp;$C$7,BD!$A$3:$A$5001,"&lt;="&amp;$B179,BD!$X$3:$X$5001,"&lt;&gt;")=0,"",SUMIFS(BD!$X$3:$X$5001,BD!$B$3:$B$5001,T$171,BD!$A$3:$A$5001,_xlfn.MAXIFS(BD!$A$3:$A$5001,BD!$B$3:$B$5001,T$171,BD!$A$3:$A$5001,"&gt;="&amp;$C$7,BD!$A$3:$A$5001,"&lt;="&amp;$B179,BD!$X$3:$X$5001,"&lt;&gt;"))))</f>
        <v/>
      </c>
      <c r="U179" s="43" t="str">
        <f>IF(OR($B179="",$A179&gt;$B$9,U$171=""),"",IF(COUNTIFS(BD!$B$3:$B$5001,U$171,BD!$A$3:$A$5001,"&gt;="&amp;$C$7,BD!$A$3:$A$5001,"&lt;="&amp;$B179,BD!$X$3:$X$5001,"&lt;&gt;")=0,"",SUMIFS(BD!$X$3:$X$5001,BD!$B$3:$B$5001,U$171,BD!$A$3:$A$5001,_xlfn.MAXIFS(BD!$A$3:$A$5001,BD!$B$3:$B$5001,U$171,BD!$A$3:$A$5001,"&gt;="&amp;$C$7,BD!$A$3:$A$5001,"&lt;="&amp;$B179,BD!$X$3:$X$5001,"&lt;&gt;"))))</f>
        <v/>
      </c>
      <c r="V179" s="43" t="str">
        <f>IF(OR($B179="",$A179&gt;$B$9,V$171=""),"",IF(COUNTIFS(BD!$B$3:$B$5001,V$171,BD!$A$3:$A$5001,"&gt;="&amp;$C$7,BD!$A$3:$A$5001,"&lt;="&amp;$B179,BD!$X$3:$X$5001,"&lt;&gt;")=0,"",SUMIFS(BD!$X$3:$X$5001,BD!$B$3:$B$5001,V$171,BD!$A$3:$A$5001,_xlfn.MAXIFS(BD!$A$3:$A$5001,BD!$B$3:$B$5001,V$171,BD!$A$3:$A$5001,"&gt;="&amp;$C$7,BD!$A$3:$A$5001,"&lt;="&amp;$B179,BD!$X$3:$X$5001,"&lt;&gt;"))))</f>
        <v/>
      </c>
    </row>
    <row r="180">
      <c r="A180" s="38">
        <v>9</v>
      </c>
      <c r="B180" s="42">
        <f>$B$20</f>
        <v>46304</v>
      </c>
      <c r="C180" s="43" t="str">
        <f>IF(OR($B180="",$A180&gt;$B$9,C$171=""),"",IF(COUNTIFS(BD!$B$3:$B$5001,C$171,BD!$A$3:$A$5001,"&gt;="&amp;$C$7,BD!$A$3:$A$5001,"&lt;="&amp;$B180,BD!$X$3:$X$5001,"&lt;&gt;")=0,"",SUMIFS(BD!$X$3:$X$5001,BD!$B$3:$B$5001,C$171,BD!$A$3:$A$5001,_xlfn.MAXIFS(BD!$A$3:$A$5001,BD!$B$3:$B$5001,C$171,BD!$A$3:$A$5001,"&gt;="&amp;$C$7,BD!$A$3:$A$5001,"&lt;="&amp;$B180,BD!$X$3:$X$5001,"&lt;&gt;"))))</f>
        <v/>
      </c>
      <c r="D180" s="43" t="str">
        <f>IF(OR($B180="",$A180&gt;$B$9,D$171=""),"",IF(COUNTIFS(BD!$B$3:$B$5001,D$171,BD!$A$3:$A$5001,"&gt;="&amp;$C$7,BD!$A$3:$A$5001,"&lt;="&amp;$B180,BD!$X$3:$X$5001,"&lt;&gt;")=0,"",SUMIFS(BD!$X$3:$X$5001,BD!$B$3:$B$5001,D$171,BD!$A$3:$A$5001,_xlfn.MAXIFS(BD!$A$3:$A$5001,BD!$B$3:$B$5001,D$171,BD!$A$3:$A$5001,"&gt;="&amp;$C$7,BD!$A$3:$A$5001,"&lt;="&amp;$B180,BD!$X$3:$X$5001,"&lt;&gt;"))))</f>
        <v/>
      </c>
      <c r="E180" s="43" t="str">
        <f>IF(OR($B180="",$A180&gt;$B$9,E$171=""),"",IF(COUNTIFS(BD!$B$3:$B$5001,E$171,BD!$A$3:$A$5001,"&gt;="&amp;$C$7,BD!$A$3:$A$5001,"&lt;="&amp;$B180,BD!$X$3:$X$5001,"&lt;&gt;")=0,"",SUMIFS(BD!$X$3:$X$5001,BD!$B$3:$B$5001,E$171,BD!$A$3:$A$5001,_xlfn.MAXIFS(BD!$A$3:$A$5001,BD!$B$3:$B$5001,E$171,BD!$A$3:$A$5001,"&gt;="&amp;$C$7,BD!$A$3:$A$5001,"&lt;="&amp;$B180,BD!$X$3:$X$5001,"&lt;&gt;"))))</f>
        <v/>
      </c>
      <c r="F180" s="43" t="str">
        <f>IF(OR($B180="",$A180&gt;$B$9,F$171=""),"",IF(COUNTIFS(BD!$B$3:$B$5001,F$171,BD!$A$3:$A$5001,"&gt;="&amp;$C$7,BD!$A$3:$A$5001,"&lt;="&amp;$B180,BD!$X$3:$X$5001,"&lt;&gt;")=0,"",SUMIFS(BD!$X$3:$X$5001,BD!$B$3:$B$5001,F$171,BD!$A$3:$A$5001,_xlfn.MAXIFS(BD!$A$3:$A$5001,BD!$B$3:$B$5001,F$171,BD!$A$3:$A$5001,"&gt;="&amp;$C$7,BD!$A$3:$A$5001,"&lt;="&amp;$B180,BD!$X$3:$X$5001,"&lt;&gt;"))))</f>
        <v/>
      </c>
      <c r="G180" s="43" t="str">
        <f>IF(OR($B180="",$A180&gt;$B$9,G$171=""),"",IF(COUNTIFS(BD!$B$3:$B$5001,G$171,BD!$A$3:$A$5001,"&gt;="&amp;$C$7,BD!$A$3:$A$5001,"&lt;="&amp;$B180,BD!$X$3:$X$5001,"&lt;&gt;")=0,"",SUMIFS(BD!$X$3:$X$5001,BD!$B$3:$B$5001,G$171,BD!$A$3:$A$5001,_xlfn.MAXIFS(BD!$A$3:$A$5001,BD!$B$3:$B$5001,G$171,BD!$A$3:$A$5001,"&gt;="&amp;$C$7,BD!$A$3:$A$5001,"&lt;="&amp;$B180,BD!$X$3:$X$5001,"&lt;&gt;"))))</f>
        <v/>
      </c>
      <c r="H180" s="43" t="str">
        <f>IF(OR($B180="",$A180&gt;$B$9,H$171=""),"",IF(COUNTIFS(BD!$B$3:$B$5001,H$171,BD!$A$3:$A$5001,"&gt;="&amp;$C$7,BD!$A$3:$A$5001,"&lt;="&amp;$B180,BD!$X$3:$X$5001,"&lt;&gt;")=0,"",SUMIFS(BD!$X$3:$X$5001,BD!$B$3:$B$5001,H$171,BD!$A$3:$A$5001,_xlfn.MAXIFS(BD!$A$3:$A$5001,BD!$B$3:$B$5001,H$171,BD!$A$3:$A$5001,"&gt;="&amp;$C$7,BD!$A$3:$A$5001,"&lt;="&amp;$B180,BD!$X$3:$X$5001,"&lt;&gt;"))))</f>
        <v/>
      </c>
      <c r="I180" s="43" t="str">
        <f>IF(OR($B180="",$A180&gt;$B$9,I$171=""),"",IF(COUNTIFS(BD!$B$3:$B$5001,I$171,BD!$A$3:$A$5001,"&gt;="&amp;$C$7,BD!$A$3:$A$5001,"&lt;="&amp;$B180,BD!$X$3:$X$5001,"&lt;&gt;")=0,"",SUMIFS(BD!$X$3:$X$5001,BD!$B$3:$B$5001,I$171,BD!$A$3:$A$5001,_xlfn.MAXIFS(BD!$A$3:$A$5001,BD!$B$3:$B$5001,I$171,BD!$A$3:$A$5001,"&gt;="&amp;$C$7,BD!$A$3:$A$5001,"&lt;="&amp;$B180,BD!$X$3:$X$5001,"&lt;&gt;"))))</f>
        <v/>
      </c>
      <c r="J180" s="43" t="str">
        <f>IF(OR($B180="",$A180&gt;$B$9,J$171=""),"",IF(COUNTIFS(BD!$B$3:$B$5001,J$171,BD!$A$3:$A$5001,"&gt;="&amp;$C$7,BD!$A$3:$A$5001,"&lt;="&amp;$B180,BD!$X$3:$X$5001,"&lt;&gt;")=0,"",SUMIFS(BD!$X$3:$X$5001,BD!$B$3:$B$5001,J$171,BD!$A$3:$A$5001,_xlfn.MAXIFS(BD!$A$3:$A$5001,BD!$B$3:$B$5001,J$171,BD!$A$3:$A$5001,"&gt;="&amp;$C$7,BD!$A$3:$A$5001,"&lt;="&amp;$B180,BD!$X$3:$X$5001,"&lt;&gt;"))))</f>
        <v/>
      </c>
      <c r="K180" s="43" t="str">
        <f>IF(OR($B180="",$A180&gt;$B$9,K$171=""),"",IF(COUNTIFS(BD!$B$3:$B$5001,K$171,BD!$A$3:$A$5001,"&gt;="&amp;$C$7,BD!$A$3:$A$5001,"&lt;="&amp;$B180,BD!$X$3:$X$5001,"&lt;&gt;")=0,"",SUMIFS(BD!$X$3:$X$5001,BD!$B$3:$B$5001,K$171,BD!$A$3:$A$5001,_xlfn.MAXIFS(BD!$A$3:$A$5001,BD!$B$3:$B$5001,K$171,BD!$A$3:$A$5001,"&gt;="&amp;$C$7,BD!$A$3:$A$5001,"&lt;="&amp;$B180,BD!$X$3:$X$5001,"&lt;&gt;"))))</f>
        <v/>
      </c>
      <c r="L180" s="43" t="str">
        <f>IF(OR($B180="",$A180&gt;$B$9,L$171=""),"",IF(COUNTIFS(BD!$B$3:$B$5001,L$171,BD!$A$3:$A$5001,"&gt;="&amp;$C$7,BD!$A$3:$A$5001,"&lt;="&amp;$B180,BD!$X$3:$X$5001,"&lt;&gt;")=0,"",SUMIFS(BD!$X$3:$X$5001,BD!$B$3:$B$5001,L$171,BD!$A$3:$A$5001,_xlfn.MAXIFS(BD!$A$3:$A$5001,BD!$B$3:$B$5001,L$171,BD!$A$3:$A$5001,"&gt;="&amp;$C$7,BD!$A$3:$A$5001,"&lt;="&amp;$B180,BD!$X$3:$X$5001,"&lt;&gt;"))))</f>
        <v/>
      </c>
      <c r="M180" s="43" t="str">
        <f>IF(OR($B180="",$A180&gt;$B$9,M$171=""),"",IF(COUNTIFS(BD!$B$3:$B$5001,M$171,BD!$A$3:$A$5001,"&gt;="&amp;$C$7,BD!$A$3:$A$5001,"&lt;="&amp;$B180,BD!$X$3:$X$5001,"&lt;&gt;")=0,"",SUMIFS(BD!$X$3:$X$5001,BD!$B$3:$B$5001,M$171,BD!$A$3:$A$5001,_xlfn.MAXIFS(BD!$A$3:$A$5001,BD!$B$3:$B$5001,M$171,BD!$A$3:$A$5001,"&gt;="&amp;$C$7,BD!$A$3:$A$5001,"&lt;="&amp;$B180,BD!$X$3:$X$5001,"&lt;&gt;"))))</f>
        <v/>
      </c>
      <c r="N180" s="43" t="str">
        <f>IF(OR($B180="",$A180&gt;$B$9,N$171=""),"",IF(COUNTIFS(BD!$B$3:$B$5001,N$171,BD!$A$3:$A$5001,"&gt;="&amp;$C$7,BD!$A$3:$A$5001,"&lt;="&amp;$B180,BD!$X$3:$X$5001,"&lt;&gt;")=0,"",SUMIFS(BD!$X$3:$X$5001,BD!$B$3:$B$5001,N$171,BD!$A$3:$A$5001,_xlfn.MAXIFS(BD!$A$3:$A$5001,BD!$B$3:$B$5001,N$171,BD!$A$3:$A$5001,"&gt;="&amp;$C$7,BD!$A$3:$A$5001,"&lt;="&amp;$B180,BD!$X$3:$X$5001,"&lt;&gt;"))))</f>
        <v/>
      </c>
      <c r="O180" s="43" t="str">
        <f>IF(OR($B180="",$A180&gt;$B$9,O$171=""),"",IF(COUNTIFS(BD!$B$3:$B$5001,O$171,BD!$A$3:$A$5001,"&gt;="&amp;$C$7,BD!$A$3:$A$5001,"&lt;="&amp;$B180,BD!$X$3:$X$5001,"&lt;&gt;")=0,"",SUMIFS(BD!$X$3:$X$5001,BD!$B$3:$B$5001,O$171,BD!$A$3:$A$5001,_xlfn.MAXIFS(BD!$A$3:$A$5001,BD!$B$3:$B$5001,O$171,BD!$A$3:$A$5001,"&gt;="&amp;$C$7,BD!$A$3:$A$5001,"&lt;="&amp;$B180,BD!$X$3:$X$5001,"&lt;&gt;"))))</f>
        <v/>
      </c>
      <c r="P180" s="43" t="str">
        <f>IF(OR($B180="",$A180&gt;$B$9,P$171=""),"",IF(COUNTIFS(BD!$B$3:$B$5001,P$171,BD!$A$3:$A$5001,"&gt;="&amp;$C$7,BD!$A$3:$A$5001,"&lt;="&amp;$B180,BD!$X$3:$X$5001,"&lt;&gt;")=0,"",SUMIFS(BD!$X$3:$X$5001,BD!$B$3:$B$5001,P$171,BD!$A$3:$A$5001,_xlfn.MAXIFS(BD!$A$3:$A$5001,BD!$B$3:$B$5001,P$171,BD!$A$3:$A$5001,"&gt;="&amp;$C$7,BD!$A$3:$A$5001,"&lt;="&amp;$B180,BD!$X$3:$X$5001,"&lt;&gt;"))))</f>
        <v/>
      </c>
      <c r="Q180" s="43" t="str">
        <f>IF(OR($B180="",$A180&gt;$B$9,Q$171=""),"",IF(COUNTIFS(BD!$B$3:$B$5001,Q$171,BD!$A$3:$A$5001,"&gt;="&amp;$C$7,BD!$A$3:$A$5001,"&lt;="&amp;$B180,BD!$X$3:$X$5001,"&lt;&gt;")=0,"",SUMIFS(BD!$X$3:$X$5001,BD!$B$3:$B$5001,Q$171,BD!$A$3:$A$5001,_xlfn.MAXIFS(BD!$A$3:$A$5001,BD!$B$3:$B$5001,Q$171,BD!$A$3:$A$5001,"&gt;="&amp;$C$7,BD!$A$3:$A$5001,"&lt;="&amp;$B180,BD!$X$3:$X$5001,"&lt;&gt;"))))</f>
        <v/>
      </c>
      <c r="R180" s="43" t="str">
        <f>IF(OR($B180="",$A180&gt;$B$9,R$171=""),"",IF(COUNTIFS(BD!$B$3:$B$5001,R$171,BD!$A$3:$A$5001,"&gt;="&amp;$C$7,BD!$A$3:$A$5001,"&lt;="&amp;$B180,BD!$X$3:$X$5001,"&lt;&gt;")=0,"",SUMIFS(BD!$X$3:$X$5001,BD!$B$3:$B$5001,R$171,BD!$A$3:$A$5001,_xlfn.MAXIFS(BD!$A$3:$A$5001,BD!$B$3:$B$5001,R$171,BD!$A$3:$A$5001,"&gt;="&amp;$C$7,BD!$A$3:$A$5001,"&lt;="&amp;$B180,BD!$X$3:$X$5001,"&lt;&gt;"))))</f>
        <v/>
      </c>
      <c r="S180" s="43" t="str">
        <f>IF(OR($B180="",$A180&gt;$B$9,S$171=""),"",IF(COUNTIFS(BD!$B$3:$B$5001,S$171,BD!$A$3:$A$5001,"&gt;="&amp;$C$7,BD!$A$3:$A$5001,"&lt;="&amp;$B180,BD!$X$3:$X$5001,"&lt;&gt;")=0,"",SUMIFS(BD!$X$3:$X$5001,BD!$B$3:$B$5001,S$171,BD!$A$3:$A$5001,_xlfn.MAXIFS(BD!$A$3:$A$5001,BD!$B$3:$B$5001,S$171,BD!$A$3:$A$5001,"&gt;="&amp;$C$7,BD!$A$3:$A$5001,"&lt;="&amp;$B180,BD!$X$3:$X$5001,"&lt;&gt;"))))</f>
        <v/>
      </c>
      <c r="T180" s="43" t="str">
        <f>IF(OR($B180="",$A180&gt;$B$9,T$171=""),"",IF(COUNTIFS(BD!$B$3:$B$5001,T$171,BD!$A$3:$A$5001,"&gt;="&amp;$C$7,BD!$A$3:$A$5001,"&lt;="&amp;$B180,BD!$X$3:$X$5001,"&lt;&gt;")=0,"",SUMIFS(BD!$X$3:$X$5001,BD!$B$3:$B$5001,T$171,BD!$A$3:$A$5001,_xlfn.MAXIFS(BD!$A$3:$A$5001,BD!$B$3:$B$5001,T$171,BD!$A$3:$A$5001,"&gt;="&amp;$C$7,BD!$A$3:$A$5001,"&lt;="&amp;$B180,BD!$X$3:$X$5001,"&lt;&gt;"))))</f>
        <v/>
      </c>
      <c r="U180" s="43" t="str">
        <f>IF(OR($B180="",$A180&gt;$B$9,U$171=""),"",IF(COUNTIFS(BD!$B$3:$B$5001,U$171,BD!$A$3:$A$5001,"&gt;="&amp;$C$7,BD!$A$3:$A$5001,"&lt;="&amp;$B180,BD!$X$3:$X$5001,"&lt;&gt;")=0,"",SUMIFS(BD!$X$3:$X$5001,BD!$B$3:$B$5001,U$171,BD!$A$3:$A$5001,_xlfn.MAXIFS(BD!$A$3:$A$5001,BD!$B$3:$B$5001,U$171,BD!$A$3:$A$5001,"&gt;="&amp;$C$7,BD!$A$3:$A$5001,"&lt;="&amp;$B180,BD!$X$3:$X$5001,"&lt;&gt;"))))</f>
        <v/>
      </c>
      <c r="V180" s="43" t="str">
        <f>IF(OR($B180="",$A180&gt;$B$9,V$171=""),"",IF(COUNTIFS(BD!$B$3:$B$5001,V$171,BD!$A$3:$A$5001,"&gt;="&amp;$C$7,BD!$A$3:$A$5001,"&lt;="&amp;$B180,BD!$X$3:$X$5001,"&lt;&gt;")=0,"",SUMIFS(BD!$X$3:$X$5001,BD!$B$3:$B$5001,V$171,BD!$A$3:$A$5001,_xlfn.MAXIFS(BD!$A$3:$A$5001,BD!$B$3:$B$5001,V$171,BD!$A$3:$A$5001,"&gt;="&amp;$C$7,BD!$A$3:$A$5001,"&lt;="&amp;$B180,BD!$X$3:$X$5001,"&lt;&gt;"))))</f>
        <v/>
      </c>
    </row>
    <row r="181">
      <c r="A181" s="38">
        <v>10</v>
      </c>
      <c r="B181" s="42">
        <f>$B$21</f>
        <v>46305</v>
      </c>
      <c r="C181" s="43" t="str">
        <f>IF(OR($B181="",$A181&gt;$B$9,C$171=""),"",IF(COUNTIFS(BD!$B$3:$B$5001,C$171,BD!$A$3:$A$5001,"&gt;="&amp;$C$7,BD!$A$3:$A$5001,"&lt;="&amp;$B181,BD!$X$3:$X$5001,"&lt;&gt;")=0,"",SUMIFS(BD!$X$3:$X$5001,BD!$B$3:$B$5001,C$171,BD!$A$3:$A$5001,_xlfn.MAXIFS(BD!$A$3:$A$5001,BD!$B$3:$B$5001,C$171,BD!$A$3:$A$5001,"&gt;="&amp;$C$7,BD!$A$3:$A$5001,"&lt;="&amp;$B181,BD!$X$3:$X$5001,"&lt;&gt;"))))</f>
        <v/>
      </c>
      <c r="D181" s="43" t="str">
        <f>IF(OR($B181="",$A181&gt;$B$9,D$171=""),"",IF(COUNTIFS(BD!$B$3:$B$5001,D$171,BD!$A$3:$A$5001,"&gt;="&amp;$C$7,BD!$A$3:$A$5001,"&lt;="&amp;$B181,BD!$X$3:$X$5001,"&lt;&gt;")=0,"",SUMIFS(BD!$X$3:$X$5001,BD!$B$3:$B$5001,D$171,BD!$A$3:$A$5001,_xlfn.MAXIFS(BD!$A$3:$A$5001,BD!$B$3:$B$5001,D$171,BD!$A$3:$A$5001,"&gt;="&amp;$C$7,BD!$A$3:$A$5001,"&lt;="&amp;$B181,BD!$X$3:$X$5001,"&lt;&gt;"))))</f>
        <v/>
      </c>
      <c r="E181" s="43" t="str">
        <f>IF(OR($B181="",$A181&gt;$B$9,E$171=""),"",IF(COUNTIFS(BD!$B$3:$B$5001,E$171,BD!$A$3:$A$5001,"&gt;="&amp;$C$7,BD!$A$3:$A$5001,"&lt;="&amp;$B181,BD!$X$3:$X$5001,"&lt;&gt;")=0,"",SUMIFS(BD!$X$3:$X$5001,BD!$B$3:$B$5001,E$171,BD!$A$3:$A$5001,_xlfn.MAXIFS(BD!$A$3:$A$5001,BD!$B$3:$B$5001,E$171,BD!$A$3:$A$5001,"&gt;="&amp;$C$7,BD!$A$3:$A$5001,"&lt;="&amp;$B181,BD!$X$3:$X$5001,"&lt;&gt;"))))</f>
        <v/>
      </c>
      <c r="F181" s="43" t="str">
        <f>IF(OR($B181="",$A181&gt;$B$9,F$171=""),"",IF(COUNTIFS(BD!$B$3:$B$5001,F$171,BD!$A$3:$A$5001,"&gt;="&amp;$C$7,BD!$A$3:$A$5001,"&lt;="&amp;$B181,BD!$X$3:$X$5001,"&lt;&gt;")=0,"",SUMIFS(BD!$X$3:$X$5001,BD!$B$3:$B$5001,F$171,BD!$A$3:$A$5001,_xlfn.MAXIFS(BD!$A$3:$A$5001,BD!$B$3:$B$5001,F$171,BD!$A$3:$A$5001,"&gt;="&amp;$C$7,BD!$A$3:$A$5001,"&lt;="&amp;$B181,BD!$X$3:$X$5001,"&lt;&gt;"))))</f>
        <v/>
      </c>
      <c r="G181" s="43" t="str">
        <f>IF(OR($B181="",$A181&gt;$B$9,G$171=""),"",IF(COUNTIFS(BD!$B$3:$B$5001,G$171,BD!$A$3:$A$5001,"&gt;="&amp;$C$7,BD!$A$3:$A$5001,"&lt;="&amp;$B181,BD!$X$3:$X$5001,"&lt;&gt;")=0,"",SUMIFS(BD!$X$3:$X$5001,BD!$B$3:$B$5001,G$171,BD!$A$3:$A$5001,_xlfn.MAXIFS(BD!$A$3:$A$5001,BD!$B$3:$B$5001,G$171,BD!$A$3:$A$5001,"&gt;="&amp;$C$7,BD!$A$3:$A$5001,"&lt;="&amp;$B181,BD!$X$3:$X$5001,"&lt;&gt;"))))</f>
        <v/>
      </c>
      <c r="H181" s="43" t="str">
        <f>IF(OR($B181="",$A181&gt;$B$9,H$171=""),"",IF(COUNTIFS(BD!$B$3:$B$5001,H$171,BD!$A$3:$A$5001,"&gt;="&amp;$C$7,BD!$A$3:$A$5001,"&lt;="&amp;$B181,BD!$X$3:$X$5001,"&lt;&gt;")=0,"",SUMIFS(BD!$X$3:$X$5001,BD!$B$3:$B$5001,H$171,BD!$A$3:$A$5001,_xlfn.MAXIFS(BD!$A$3:$A$5001,BD!$B$3:$B$5001,H$171,BD!$A$3:$A$5001,"&gt;="&amp;$C$7,BD!$A$3:$A$5001,"&lt;="&amp;$B181,BD!$X$3:$X$5001,"&lt;&gt;"))))</f>
        <v/>
      </c>
      <c r="I181" s="43" t="str">
        <f>IF(OR($B181="",$A181&gt;$B$9,I$171=""),"",IF(COUNTIFS(BD!$B$3:$B$5001,I$171,BD!$A$3:$A$5001,"&gt;="&amp;$C$7,BD!$A$3:$A$5001,"&lt;="&amp;$B181,BD!$X$3:$X$5001,"&lt;&gt;")=0,"",SUMIFS(BD!$X$3:$X$5001,BD!$B$3:$B$5001,I$171,BD!$A$3:$A$5001,_xlfn.MAXIFS(BD!$A$3:$A$5001,BD!$B$3:$B$5001,I$171,BD!$A$3:$A$5001,"&gt;="&amp;$C$7,BD!$A$3:$A$5001,"&lt;="&amp;$B181,BD!$X$3:$X$5001,"&lt;&gt;"))))</f>
        <v/>
      </c>
      <c r="J181" s="43" t="str">
        <f>IF(OR($B181="",$A181&gt;$B$9,J$171=""),"",IF(COUNTIFS(BD!$B$3:$B$5001,J$171,BD!$A$3:$A$5001,"&gt;="&amp;$C$7,BD!$A$3:$A$5001,"&lt;="&amp;$B181,BD!$X$3:$X$5001,"&lt;&gt;")=0,"",SUMIFS(BD!$X$3:$X$5001,BD!$B$3:$B$5001,J$171,BD!$A$3:$A$5001,_xlfn.MAXIFS(BD!$A$3:$A$5001,BD!$B$3:$B$5001,J$171,BD!$A$3:$A$5001,"&gt;="&amp;$C$7,BD!$A$3:$A$5001,"&lt;="&amp;$B181,BD!$X$3:$X$5001,"&lt;&gt;"))))</f>
        <v/>
      </c>
      <c r="K181" s="43" t="str">
        <f>IF(OR($B181="",$A181&gt;$B$9,K$171=""),"",IF(COUNTIFS(BD!$B$3:$B$5001,K$171,BD!$A$3:$A$5001,"&gt;="&amp;$C$7,BD!$A$3:$A$5001,"&lt;="&amp;$B181,BD!$X$3:$X$5001,"&lt;&gt;")=0,"",SUMIFS(BD!$X$3:$X$5001,BD!$B$3:$B$5001,K$171,BD!$A$3:$A$5001,_xlfn.MAXIFS(BD!$A$3:$A$5001,BD!$B$3:$B$5001,K$171,BD!$A$3:$A$5001,"&gt;="&amp;$C$7,BD!$A$3:$A$5001,"&lt;="&amp;$B181,BD!$X$3:$X$5001,"&lt;&gt;"))))</f>
        <v/>
      </c>
      <c r="L181" s="43" t="str">
        <f>IF(OR($B181="",$A181&gt;$B$9,L$171=""),"",IF(COUNTIFS(BD!$B$3:$B$5001,L$171,BD!$A$3:$A$5001,"&gt;="&amp;$C$7,BD!$A$3:$A$5001,"&lt;="&amp;$B181,BD!$X$3:$X$5001,"&lt;&gt;")=0,"",SUMIFS(BD!$X$3:$X$5001,BD!$B$3:$B$5001,L$171,BD!$A$3:$A$5001,_xlfn.MAXIFS(BD!$A$3:$A$5001,BD!$B$3:$B$5001,L$171,BD!$A$3:$A$5001,"&gt;="&amp;$C$7,BD!$A$3:$A$5001,"&lt;="&amp;$B181,BD!$X$3:$X$5001,"&lt;&gt;"))))</f>
        <v/>
      </c>
      <c r="M181" s="43" t="str">
        <f>IF(OR($B181="",$A181&gt;$B$9,M$171=""),"",IF(COUNTIFS(BD!$B$3:$B$5001,M$171,BD!$A$3:$A$5001,"&gt;="&amp;$C$7,BD!$A$3:$A$5001,"&lt;="&amp;$B181,BD!$X$3:$X$5001,"&lt;&gt;")=0,"",SUMIFS(BD!$X$3:$X$5001,BD!$B$3:$B$5001,M$171,BD!$A$3:$A$5001,_xlfn.MAXIFS(BD!$A$3:$A$5001,BD!$B$3:$B$5001,M$171,BD!$A$3:$A$5001,"&gt;="&amp;$C$7,BD!$A$3:$A$5001,"&lt;="&amp;$B181,BD!$X$3:$X$5001,"&lt;&gt;"))))</f>
        <v/>
      </c>
      <c r="N181" s="43" t="str">
        <f>IF(OR($B181="",$A181&gt;$B$9,N$171=""),"",IF(COUNTIFS(BD!$B$3:$B$5001,N$171,BD!$A$3:$A$5001,"&gt;="&amp;$C$7,BD!$A$3:$A$5001,"&lt;="&amp;$B181,BD!$X$3:$X$5001,"&lt;&gt;")=0,"",SUMIFS(BD!$X$3:$X$5001,BD!$B$3:$B$5001,N$171,BD!$A$3:$A$5001,_xlfn.MAXIFS(BD!$A$3:$A$5001,BD!$B$3:$B$5001,N$171,BD!$A$3:$A$5001,"&gt;="&amp;$C$7,BD!$A$3:$A$5001,"&lt;="&amp;$B181,BD!$X$3:$X$5001,"&lt;&gt;"))))</f>
        <v/>
      </c>
      <c r="O181" s="43" t="str">
        <f>IF(OR($B181="",$A181&gt;$B$9,O$171=""),"",IF(COUNTIFS(BD!$B$3:$B$5001,O$171,BD!$A$3:$A$5001,"&gt;="&amp;$C$7,BD!$A$3:$A$5001,"&lt;="&amp;$B181,BD!$X$3:$X$5001,"&lt;&gt;")=0,"",SUMIFS(BD!$X$3:$X$5001,BD!$B$3:$B$5001,O$171,BD!$A$3:$A$5001,_xlfn.MAXIFS(BD!$A$3:$A$5001,BD!$B$3:$B$5001,O$171,BD!$A$3:$A$5001,"&gt;="&amp;$C$7,BD!$A$3:$A$5001,"&lt;="&amp;$B181,BD!$X$3:$X$5001,"&lt;&gt;"))))</f>
        <v/>
      </c>
      <c r="P181" s="43" t="str">
        <f>IF(OR($B181="",$A181&gt;$B$9,P$171=""),"",IF(COUNTIFS(BD!$B$3:$B$5001,P$171,BD!$A$3:$A$5001,"&gt;="&amp;$C$7,BD!$A$3:$A$5001,"&lt;="&amp;$B181,BD!$X$3:$X$5001,"&lt;&gt;")=0,"",SUMIFS(BD!$X$3:$X$5001,BD!$B$3:$B$5001,P$171,BD!$A$3:$A$5001,_xlfn.MAXIFS(BD!$A$3:$A$5001,BD!$B$3:$B$5001,P$171,BD!$A$3:$A$5001,"&gt;="&amp;$C$7,BD!$A$3:$A$5001,"&lt;="&amp;$B181,BD!$X$3:$X$5001,"&lt;&gt;"))))</f>
        <v/>
      </c>
      <c r="Q181" s="43" t="str">
        <f>IF(OR($B181="",$A181&gt;$B$9,Q$171=""),"",IF(COUNTIFS(BD!$B$3:$B$5001,Q$171,BD!$A$3:$A$5001,"&gt;="&amp;$C$7,BD!$A$3:$A$5001,"&lt;="&amp;$B181,BD!$X$3:$X$5001,"&lt;&gt;")=0,"",SUMIFS(BD!$X$3:$X$5001,BD!$B$3:$B$5001,Q$171,BD!$A$3:$A$5001,_xlfn.MAXIFS(BD!$A$3:$A$5001,BD!$B$3:$B$5001,Q$171,BD!$A$3:$A$5001,"&gt;="&amp;$C$7,BD!$A$3:$A$5001,"&lt;="&amp;$B181,BD!$X$3:$X$5001,"&lt;&gt;"))))</f>
        <v/>
      </c>
      <c r="R181" s="43" t="str">
        <f>IF(OR($B181="",$A181&gt;$B$9,R$171=""),"",IF(COUNTIFS(BD!$B$3:$B$5001,R$171,BD!$A$3:$A$5001,"&gt;="&amp;$C$7,BD!$A$3:$A$5001,"&lt;="&amp;$B181,BD!$X$3:$X$5001,"&lt;&gt;")=0,"",SUMIFS(BD!$X$3:$X$5001,BD!$B$3:$B$5001,R$171,BD!$A$3:$A$5001,_xlfn.MAXIFS(BD!$A$3:$A$5001,BD!$B$3:$B$5001,R$171,BD!$A$3:$A$5001,"&gt;="&amp;$C$7,BD!$A$3:$A$5001,"&lt;="&amp;$B181,BD!$X$3:$X$5001,"&lt;&gt;"))))</f>
        <v/>
      </c>
      <c r="S181" s="43" t="str">
        <f>IF(OR($B181="",$A181&gt;$B$9,S$171=""),"",IF(COUNTIFS(BD!$B$3:$B$5001,S$171,BD!$A$3:$A$5001,"&gt;="&amp;$C$7,BD!$A$3:$A$5001,"&lt;="&amp;$B181,BD!$X$3:$X$5001,"&lt;&gt;")=0,"",SUMIFS(BD!$X$3:$X$5001,BD!$B$3:$B$5001,S$171,BD!$A$3:$A$5001,_xlfn.MAXIFS(BD!$A$3:$A$5001,BD!$B$3:$B$5001,S$171,BD!$A$3:$A$5001,"&gt;="&amp;$C$7,BD!$A$3:$A$5001,"&lt;="&amp;$B181,BD!$X$3:$X$5001,"&lt;&gt;"))))</f>
        <v/>
      </c>
      <c r="T181" s="43" t="str">
        <f>IF(OR($B181="",$A181&gt;$B$9,T$171=""),"",IF(COUNTIFS(BD!$B$3:$B$5001,T$171,BD!$A$3:$A$5001,"&gt;="&amp;$C$7,BD!$A$3:$A$5001,"&lt;="&amp;$B181,BD!$X$3:$X$5001,"&lt;&gt;")=0,"",SUMIFS(BD!$X$3:$X$5001,BD!$B$3:$B$5001,T$171,BD!$A$3:$A$5001,_xlfn.MAXIFS(BD!$A$3:$A$5001,BD!$B$3:$B$5001,T$171,BD!$A$3:$A$5001,"&gt;="&amp;$C$7,BD!$A$3:$A$5001,"&lt;="&amp;$B181,BD!$X$3:$X$5001,"&lt;&gt;"))))</f>
        <v/>
      </c>
      <c r="U181" s="43" t="str">
        <f>IF(OR($B181="",$A181&gt;$B$9,U$171=""),"",IF(COUNTIFS(BD!$B$3:$B$5001,U$171,BD!$A$3:$A$5001,"&gt;="&amp;$C$7,BD!$A$3:$A$5001,"&lt;="&amp;$B181,BD!$X$3:$X$5001,"&lt;&gt;")=0,"",SUMIFS(BD!$X$3:$X$5001,BD!$B$3:$B$5001,U$171,BD!$A$3:$A$5001,_xlfn.MAXIFS(BD!$A$3:$A$5001,BD!$B$3:$B$5001,U$171,BD!$A$3:$A$5001,"&gt;="&amp;$C$7,BD!$A$3:$A$5001,"&lt;="&amp;$B181,BD!$X$3:$X$5001,"&lt;&gt;"))))</f>
        <v/>
      </c>
      <c r="V181" s="43" t="str">
        <f>IF(OR($B181="",$A181&gt;$B$9,V$171=""),"",IF(COUNTIFS(BD!$B$3:$B$5001,V$171,BD!$A$3:$A$5001,"&gt;="&amp;$C$7,BD!$A$3:$A$5001,"&lt;="&amp;$B181,BD!$X$3:$X$5001,"&lt;&gt;")=0,"",SUMIFS(BD!$X$3:$X$5001,BD!$B$3:$B$5001,V$171,BD!$A$3:$A$5001,_xlfn.MAXIFS(BD!$A$3:$A$5001,BD!$B$3:$B$5001,V$171,BD!$A$3:$A$5001,"&gt;="&amp;$C$7,BD!$A$3:$A$5001,"&lt;="&amp;$B181,BD!$X$3:$X$5001,"&lt;&gt;"))))</f>
        <v/>
      </c>
    </row>
    <row r="182">
      <c r="A182" s="38">
        <v>11</v>
      </c>
      <c r="B182" s="42">
        <f>$B$22</f>
        <v>46306</v>
      </c>
      <c r="C182" s="43" t="str">
        <f>IF(OR($B182="",$A182&gt;$B$9,C$171=""),"",IF(COUNTIFS(BD!$B$3:$B$5001,C$171,BD!$A$3:$A$5001,"&gt;="&amp;$C$7,BD!$A$3:$A$5001,"&lt;="&amp;$B182,BD!$X$3:$X$5001,"&lt;&gt;")=0,"",SUMIFS(BD!$X$3:$X$5001,BD!$B$3:$B$5001,C$171,BD!$A$3:$A$5001,_xlfn.MAXIFS(BD!$A$3:$A$5001,BD!$B$3:$B$5001,C$171,BD!$A$3:$A$5001,"&gt;="&amp;$C$7,BD!$A$3:$A$5001,"&lt;="&amp;$B182,BD!$X$3:$X$5001,"&lt;&gt;"))))</f>
        <v/>
      </c>
      <c r="D182" s="43" t="str">
        <f>IF(OR($B182="",$A182&gt;$B$9,D$171=""),"",IF(COUNTIFS(BD!$B$3:$B$5001,D$171,BD!$A$3:$A$5001,"&gt;="&amp;$C$7,BD!$A$3:$A$5001,"&lt;="&amp;$B182,BD!$X$3:$X$5001,"&lt;&gt;")=0,"",SUMIFS(BD!$X$3:$X$5001,BD!$B$3:$B$5001,D$171,BD!$A$3:$A$5001,_xlfn.MAXIFS(BD!$A$3:$A$5001,BD!$B$3:$B$5001,D$171,BD!$A$3:$A$5001,"&gt;="&amp;$C$7,BD!$A$3:$A$5001,"&lt;="&amp;$B182,BD!$X$3:$X$5001,"&lt;&gt;"))))</f>
        <v/>
      </c>
      <c r="E182" s="43" t="str">
        <f>IF(OR($B182="",$A182&gt;$B$9,E$171=""),"",IF(COUNTIFS(BD!$B$3:$B$5001,E$171,BD!$A$3:$A$5001,"&gt;="&amp;$C$7,BD!$A$3:$A$5001,"&lt;="&amp;$B182,BD!$X$3:$X$5001,"&lt;&gt;")=0,"",SUMIFS(BD!$X$3:$X$5001,BD!$B$3:$B$5001,E$171,BD!$A$3:$A$5001,_xlfn.MAXIFS(BD!$A$3:$A$5001,BD!$B$3:$B$5001,E$171,BD!$A$3:$A$5001,"&gt;="&amp;$C$7,BD!$A$3:$A$5001,"&lt;="&amp;$B182,BD!$X$3:$X$5001,"&lt;&gt;"))))</f>
        <v/>
      </c>
      <c r="F182" s="43" t="str">
        <f>IF(OR($B182="",$A182&gt;$B$9,F$171=""),"",IF(COUNTIFS(BD!$B$3:$B$5001,F$171,BD!$A$3:$A$5001,"&gt;="&amp;$C$7,BD!$A$3:$A$5001,"&lt;="&amp;$B182,BD!$X$3:$X$5001,"&lt;&gt;")=0,"",SUMIFS(BD!$X$3:$X$5001,BD!$B$3:$B$5001,F$171,BD!$A$3:$A$5001,_xlfn.MAXIFS(BD!$A$3:$A$5001,BD!$B$3:$B$5001,F$171,BD!$A$3:$A$5001,"&gt;="&amp;$C$7,BD!$A$3:$A$5001,"&lt;="&amp;$B182,BD!$X$3:$X$5001,"&lt;&gt;"))))</f>
        <v/>
      </c>
      <c r="G182" s="43" t="str">
        <f>IF(OR($B182="",$A182&gt;$B$9,G$171=""),"",IF(COUNTIFS(BD!$B$3:$B$5001,G$171,BD!$A$3:$A$5001,"&gt;="&amp;$C$7,BD!$A$3:$A$5001,"&lt;="&amp;$B182,BD!$X$3:$X$5001,"&lt;&gt;")=0,"",SUMIFS(BD!$X$3:$X$5001,BD!$B$3:$B$5001,G$171,BD!$A$3:$A$5001,_xlfn.MAXIFS(BD!$A$3:$A$5001,BD!$B$3:$B$5001,G$171,BD!$A$3:$A$5001,"&gt;="&amp;$C$7,BD!$A$3:$A$5001,"&lt;="&amp;$B182,BD!$X$3:$X$5001,"&lt;&gt;"))))</f>
        <v/>
      </c>
      <c r="H182" s="43" t="str">
        <f>IF(OR($B182="",$A182&gt;$B$9,H$171=""),"",IF(COUNTIFS(BD!$B$3:$B$5001,H$171,BD!$A$3:$A$5001,"&gt;="&amp;$C$7,BD!$A$3:$A$5001,"&lt;="&amp;$B182,BD!$X$3:$X$5001,"&lt;&gt;")=0,"",SUMIFS(BD!$X$3:$X$5001,BD!$B$3:$B$5001,H$171,BD!$A$3:$A$5001,_xlfn.MAXIFS(BD!$A$3:$A$5001,BD!$B$3:$B$5001,H$171,BD!$A$3:$A$5001,"&gt;="&amp;$C$7,BD!$A$3:$A$5001,"&lt;="&amp;$B182,BD!$X$3:$X$5001,"&lt;&gt;"))))</f>
        <v/>
      </c>
      <c r="I182" s="43" t="str">
        <f>IF(OR($B182="",$A182&gt;$B$9,I$171=""),"",IF(COUNTIFS(BD!$B$3:$B$5001,I$171,BD!$A$3:$A$5001,"&gt;="&amp;$C$7,BD!$A$3:$A$5001,"&lt;="&amp;$B182,BD!$X$3:$X$5001,"&lt;&gt;")=0,"",SUMIFS(BD!$X$3:$X$5001,BD!$B$3:$B$5001,I$171,BD!$A$3:$A$5001,_xlfn.MAXIFS(BD!$A$3:$A$5001,BD!$B$3:$B$5001,I$171,BD!$A$3:$A$5001,"&gt;="&amp;$C$7,BD!$A$3:$A$5001,"&lt;="&amp;$B182,BD!$X$3:$X$5001,"&lt;&gt;"))))</f>
        <v/>
      </c>
      <c r="J182" s="43" t="str">
        <f>IF(OR($B182="",$A182&gt;$B$9,J$171=""),"",IF(COUNTIFS(BD!$B$3:$B$5001,J$171,BD!$A$3:$A$5001,"&gt;="&amp;$C$7,BD!$A$3:$A$5001,"&lt;="&amp;$B182,BD!$X$3:$X$5001,"&lt;&gt;")=0,"",SUMIFS(BD!$X$3:$X$5001,BD!$B$3:$B$5001,J$171,BD!$A$3:$A$5001,_xlfn.MAXIFS(BD!$A$3:$A$5001,BD!$B$3:$B$5001,J$171,BD!$A$3:$A$5001,"&gt;="&amp;$C$7,BD!$A$3:$A$5001,"&lt;="&amp;$B182,BD!$X$3:$X$5001,"&lt;&gt;"))))</f>
        <v/>
      </c>
      <c r="K182" s="43" t="str">
        <f>IF(OR($B182="",$A182&gt;$B$9,K$171=""),"",IF(COUNTIFS(BD!$B$3:$B$5001,K$171,BD!$A$3:$A$5001,"&gt;="&amp;$C$7,BD!$A$3:$A$5001,"&lt;="&amp;$B182,BD!$X$3:$X$5001,"&lt;&gt;")=0,"",SUMIFS(BD!$X$3:$X$5001,BD!$B$3:$B$5001,K$171,BD!$A$3:$A$5001,_xlfn.MAXIFS(BD!$A$3:$A$5001,BD!$B$3:$B$5001,K$171,BD!$A$3:$A$5001,"&gt;="&amp;$C$7,BD!$A$3:$A$5001,"&lt;="&amp;$B182,BD!$X$3:$X$5001,"&lt;&gt;"))))</f>
        <v/>
      </c>
      <c r="L182" s="43" t="str">
        <f>IF(OR($B182="",$A182&gt;$B$9,L$171=""),"",IF(COUNTIFS(BD!$B$3:$B$5001,L$171,BD!$A$3:$A$5001,"&gt;="&amp;$C$7,BD!$A$3:$A$5001,"&lt;="&amp;$B182,BD!$X$3:$X$5001,"&lt;&gt;")=0,"",SUMIFS(BD!$X$3:$X$5001,BD!$B$3:$B$5001,L$171,BD!$A$3:$A$5001,_xlfn.MAXIFS(BD!$A$3:$A$5001,BD!$B$3:$B$5001,L$171,BD!$A$3:$A$5001,"&gt;="&amp;$C$7,BD!$A$3:$A$5001,"&lt;="&amp;$B182,BD!$X$3:$X$5001,"&lt;&gt;"))))</f>
        <v/>
      </c>
      <c r="M182" s="43" t="str">
        <f>IF(OR($B182="",$A182&gt;$B$9,M$171=""),"",IF(COUNTIFS(BD!$B$3:$B$5001,M$171,BD!$A$3:$A$5001,"&gt;="&amp;$C$7,BD!$A$3:$A$5001,"&lt;="&amp;$B182,BD!$X$3:$X$5001,"&lt;&gt;")=0,"",SUMIFS(BD!$X$3:$X$5001,BD!$B$3:$B$5001,M$171,BD!$A$3:$A$5001,_xlfn.MAXIFS(BD!$A$3:$A$5001,BD!$B$3:$B$5001,M$171,BD!$A$3:$A$5001,"&gt;="&amp;$C$7,BD!$A$3:$A$5001,"&lt;="&amp;$B182,BD!$X$3:$X$5001,"&lt;&gt;"))))</f>
        <v/>
      </c>
      <c r="N182" s="43" t="str">
        <f>IF(OR($B182="",$A182&gt;$B$9,N$171=""),"",IF(COUNTIFS(BD!$B$3:$B$5001,N$171,BD!$A$3:$A$5001,"&gt;="&amp;$C$7,BD!$A$3:$A$5001,"&lt;="&amp;$B182,BD!$X$3:$X$5001,"&lt;&gt;")=0,"",SUMIFS(BD!$X$3:$X$5001,BD!$B$3:$B$5001,N$171,BD!$A$3:$A$5001,_xlfn.MAXIFS(BD!$A$3:$A$5001,BD!$B$3:$B$5001,N$171,BD!$A$3:$A$5001,"&gt;="&amp;$C$7,BD!$A$3:$A$5001,"&lt;="&amp;$B182,BD!$X$3:$X$5001,"&lt;&gt;"))))</f>
        <v/>
      </c>
      <c r="O182" s="43" t="str">
        <f>IF(OR($B182="",$A182&gt;$B$9,O$171=""),"",IF(COUNTIFS(BD!$B$3:$B$5001,O$171,BD!$A$3:$A$5001,"&gt;="&amp;$C$7,BD!$A$3:$A$5001,"&lt;="&amp;$B182,BD!$X$3:$X$5001,"&lt;&gt;")=0,"",SUMIFS(BD!$X$3:$X$5001,BD!$B$3:$B$5001,O$171,BD!$A$3:$A$5001,_xlfn.MAXIFS(BD!$A$3:$A$5001,BD!$B$3:$B$5001,O$171,BD!$A$3:$A$5001,"&gt;="&amp;$C$7,BD!$A$3:$A$5001,"&lt;="&amp;$B182,BD!$X$3:$X$5001,"&lt;&gt;"))))</f>
        <v/>
      </c>
      <c r="P182" s="43" t="str">
        <f>IF(OR($B182="",$A182&gt;$B$9,P$171=""),"",IF(COUNTIFS(BD!$B$3:$B$5001,P$171,BD!$A$3:$A$5001,"&gt;="&amp;$C$7,BD!$A$3:$A$5001,"&lt;="&amp;$B182,BD!$X$3:$X$5001,"&lt;&gt;")=0,"",SUMIFS(BD!$X$3:$X$5001,BD!$B$3:$B$5001,P$171,BD!$A$3:$A$5001,_xlfn.MAXIFS(BD!$A$3:$A$5001,BD!$B$3:$B$5001,P$171,BD!$A$3:$A$5001,"&gt;="&amp;$C$7,BD!$A$3:$A$5001,"&lt;="&amp;$B182,BD!$X$3:$X$5001,"&lt;&gt;"))))</f>
        <v/>
      </c>
      <c r="Q182" s="43" t="str">
        <f>IF(OR($B182="",$A182&gt;$B$9,Q$171=""),"",IF(COUNTIFS(BD!$B$3:$B$5001,Q$171,BD!$A$3:$A$5001,"&gt;="&amp;$C$7,BD!$A$3:$A$5001,"&lt;="&amp;$B182,BD!$X$3:$X$5001,"&lt;&gt;")=0,"",SUMIFS(BD!$X$3:$X$5001,BD!$B$3:$B$5001,Q$171,BD!$A$3:$A$5001,_xlfn.MAXIFS(BD!$A$3:$A$5001,BD!$B$3:$B$5001,Q$171,BD!$A$3:$A$5001,"&gt;="&amp;$C$7,BD!$A$3:$A$5001,"&lt;="&amp;$B182,BD!$X$3:$X$5001,"&lt;&gt;"))))</f>
        <v/>
      </c>
      <c r="R182" s="43" t="str">
        <f>IF(OR($B182="",$A182&gt;$B$9,R$171=""),"",IF(COUNTIFS(BD!$B$3:$B$5001,R$171,BD!$A$3:$A$5001,"&gt;="&amp;$C$7,BD!$A$3:$A$5001,"&lt;="&amp;$B182,BD!$X$3:$X$5001,"&lt;&gt;")=0,"",SUMIFS(BD!$X$3:$X$5001,BD!$B$3:$B$5001,R$171,BD!$A$3:$A$5001,_xlfn.MAXIFS(BD!$A$3:$A$5001,BD!$B$3:$B$5001,R$171,BD!$A$3:$A$5001,"&gt;="&amp;$C$7,BD!$A$3:$A$5001,"&lt;="&amp;$B182,BD!$X$3:$X$5001,"&lt;&gt;"))))</f>
        <v/>
      </c>
      <c r="S182" s="43" t="str">
        <f>IF(OR($B182="",$A182&gt;$B$9,S$171=""),"",IF(COUNTIFS(BD!$B$3:$B$5001,S$171,BD!$A$3:$A$5001,"&gt;="&amp;$C$7,BD!$A$3:$A$5001,"&lt;="&amp;$B182,BD!$X$3:$X$5001,"&lt;&gt;")=0,"",SUMIFS(BD!$X$3:$X$5001,BD!$B$3:$B$5001,S$171,BD!$A$3:$A$5001,_xlfn.MAXIFS(BD!$A$3:$A$5001,BD!$B$3:$B$5001,S$171,BD!$A$3:$A$5001,"&gt;="&amp;$C$7,BD!$A$3:$A$5001,"&lt;="&amp;$B182,BD!$X$3:$X$5001,"&lt;&gt;"))))</f>
        <v/>
      </c>
      <c r="T182" s="43" t="str">
        <f>IF(OR($B182="",$A182&gt;$B$9,T$171=""),"",IF(COUNTIFS(BD!$B$3:$B$5001,T$171,BD!$A$3:$A$5001,"&gt;="&amp;$C$7,BD!$A$3:$A$5001,"&lt;="&amp;$B182,BD!$X$3:$X$5001,"&lt;&gt;")=0,"",SUMIFS(BD!$X$3:$X$5001,BD!$B$3:$B$5001,T$171,BD!$A$3:$A$5001,_xlfn.MAXIFS(BD!$A$3:$A$5001,BD!$B$3:$B$5001,T$171,BD!$A$3:$A$5001,"&gt;="&amp;$C$7,BD!$A$3:$A$5001,"&lt;="&amp;$B182,BD!$X$3:$X$5001,"&lt;&gt;"))))</f>
        <v/>
      </c>
      <c r="U182" s="43" t="str">
        <f>IF(OR($B182="",$A182&gt;$B$9,U$171=""),"",IF(COUNTIFS(BD!$B$3:$B$5001,U$171,BD!$A$3:$A$5001,"&gt;="&amp;$C$7,BD!$A$3:$A$5001,"&lt;="&amp;$B182,BD!$X$3:$X$5001,"&lt;&gt;")=0,"",SUMIFS(BD!$X$3:$X$5001,BD!$B$3:$B$5001,U$171,BD!$A$3:$A$5001,_xlfn.MAXIFS(BD!$A$3:$A$5001,BD!$B$3:$B$5001,U$171,BD!$A$3:$A$5001,"&gt;="&amp;$C$7,BD!$A$3:$A$5001,"&lt;="&amp;$B182,BD!$X$3:$X$5001,"&lt;&gt;"))))</f>
        <v/>
      </c>
      <c r="V182" s="43" t="str">
        <f>IF(OR($B182="",$A182&gt;$B$9,V$171=""),"",IF(COUNTIFS(BD!$B$3:$B$5001,V$171,BD!$A$3:$A$5001,"&gt;="&amp;$C$7,BD!$A$3:$A$5001,"&lt;="&amp;$B182,BD!$X$3:$X$5001,"&lt;&gt;")=0,"",SUMIFS(BD!$X$3:$X$5001,BD!$B$3:$B$5001,V$171,BD!$A$3:$A$5001,_xlfn.MAXIFS(BD!$A$3:$A$5001,BD!$B$3:$B$5001,V$171,BD!$A$3:$A$5001,"&gt;="&amp;$C$7,BD!$A$3:$A$5001,"&lt;="&amp;$B182,BD!$X$3:$X$5001,"&lt;&gt;"))))</f>
        <v/>
      </c>
    </row>
    <row r="183">
      <c r="A183" s="38">
        <v>12</v>
      </c>
      <c r="B183" s="42">
        <f>$B$23</f>
        <v>46307</v>
      </c>
      <c r="C183" s="43" t="str">
        <f>IF(OR($B183="",$A183&gt;$B$9,C$171=""),"",IF(COUNTIFS(BD!$B$3:$B$5001,C$171,BD!$A$3:$A$5001,"&gt;="&amp;$C$7,BD!$A$3:$A$5001,"&lt;="&amp;$B183,BD!$X$3:$X$5001,"&lt;&gt;")=0,"",SUMIFS(BD!$X$3:$X$5001,BD!$B$3:$B$5001,C$171,BD!$A$3:$A$5001,_xlfn.MAXIFS(BD!$A$3:$A$5001,BD!$B$3:$B$5001,C$171,BD!$A$3:$A$5001,"&gt;="&amp;$C$7,BD!$A$3:$A$5001,"&lt;="&amp;$B183,BD!$X$3:$X$5001,"&lt;&gt;"))))</f>
        <v/>
      </c>
      <c r="D183" s="43" t="str">
        <f>IF(OR($B183="",$A183&gt;$B$9,D$171=""),"",IF(COUNTIFS(BD!$B$3:$B$5001,D$171,BD!$A$3:$A$5001,"&gt;="&amp;$C$7,BD!$A$3:$A$5001,"&lt;="&amp;$B183,BD!$X$3:$X$5001,"&lt;&gt;")=0,"",SUMIFS(BD!$X$3:$X$5001,BD!$B$3:$B$5001,D$171,BD!$A$3:$A$5001,_xlfn.MAXIFS(BD!$A$3:$A$5001,BD!$B$3:$B$5001,D$171,BD!$A$3:$A$5001,"&gt;="&amp;$C$7,BD!$A$3:$A$5001,"&lt;="&amp;$B183,BD!$X$3:$X$5001,"&lt;&gt;"))))</f>
        <v/>
      </c>
      <c r="E183" s="43" t="str">
        <f>IF(OR($B183="",$A183&gt;$B$9,E$171=""),"",IF(COUNTIFS(BD!$B$3:$B$5001,E$171,BD!$A$3:$A$5001,"&gt;="&amp;$C$7,BD!$A$3:$A$5001,"&lt;="&amp;$B183,BD!$X$3:$X$5001,"&lt;&gt;")=0,"",SUMIFS(BD!$X$3:$X$5001,BD!$B$3:$B$5001,E$171,BD!$A$3:$A$5001,_xlfn.MAXIFS(BD!$A$3:$A$5001,BD!$B$3:$B$5001,E$171,BD!$A$3:$A$5001,"&gt;="&amp;$C$7,BD!$A$3:$A$5001,"&lt;="&amp;$B183,BD!$X$3:$X$5001,"&lt;&gt;"))))</f>
        <v/>
      </c>
      <c r="F183" s="43" t="str">
        <f>IF(OR($B183="",$A183&gt;$B$9,F$171=""),"",IF(COUNTIFS(BD!$B$3:$B$5001,F$171,BD!$A$3:$A$5001,"&gt;="&amp;$C$7,BD!$A$3:$A$5001,"&lt;="&amp;$B183,BD!$X$3:$X$5001,"&lt;&gt;")=0,"",SUMIFS(BD!$X$3:$X$5001,BD!$B$3:$B$5001,F$171,BD!$A$3:$A$5001,_xlfn.MAXIFS(BD!$A$3:$A$5001,BD!$B$3:$B$5001,F$171,BD!$A$3:$A$5001,"&gt;="&amp;$C$7,BD!$A$3:$A$5001,"&lt;="&amp;$B183,BD!$X$3:$X$5001,"&lt;&gt;"))))</f>
        <v/>
      </c>
      <c r="G183" s="43" t="str">
        <f>IF(OR($B183="",$A183&gt;$B$9,G$171=""),"",IF(COUNTIFS(BD!$B$3:$B$5001,G$171,BD!$A$3:$A$5001,"&gt;="&amp;$C$7,BD!$A$3:$A$5001,"&lt;="&amp;$B183,BD!$X$3:$X$5001,"&lt;&gt;")=0,"",SUMIFS(BD!$X$3:$X$5001,BD!$B$3:$B$5001,G$171,BD!$A$3:$A$5001,_xlfn.MAXIFS(BD!$A$3:$A$5001,BD!$B$3:$B$5001,G$171,BD!$A$3:$A$5001,"&gt;="&amp;$C$7,BD!$A$3:$A$5001,"&lt;="&amp;$B183,BD!$X$3:$X$5001,"&lt;&gt;"))))</f>
        <v/>
      </c>
      <c r="H183" s="43" t="str">
        <f>IF(OR($B183="",$A183&gt;$B$9,H$171=""),"",IF(COUNTIFS(BD!$B$3:$B$5001,H$171,BD!$A$3:$A$5001,"&gt;="&amp;$C$7,BD!$A$3:$A$5001,"&lt;="&amp;$B183,BD!$X$3:$X$5001,"&lt;&gt;")=0,"",SUMIFS(BD!$X$3:$X$5001,BD!$B$3:$B$5001,H$171,BD!$A$3:$A$5001,_xlfn.MAXIFS(BD!$A$3:$A$5001,BD!$B$3:$B$5001,H$171,BD!$A$3:$A$5001,"&gt;="&amp;$C$7,BD!$A$3:$A$5001,"&lt;="&amp;$B183,BD!$X$3:$X$5001,"&lt;&gt;"))))</f>
        <v/>
      </c>
      <c r="I183" s="43" t="str">
        <f>IF(OR($B183="",$A183&gt;$B$9,I$171=""),"",IF(COUNTIFS(BD!$B$3:$B$5001,I$171,BD!$A$3:$A$5001,"&gt;="&amp;$C$7,BD!$A$3:$A$5001,"&lt;="&amp;$B183,BD!$X$3:$X$5001,"&lt;&gt;")=0,"",SUMIFS(BD!$X$3:$X$5001,BD!$B$3:$B$5001,I$171,BD!$A$3:$A$5001,_xlfn.MAXIFS(BD!$A$3:$A$5001,BD!$B$3:$B$5001,I$171,BD!$A$3:$A$5001,"&gt;="&amp;$C$7,BD!$A$3:$A$5001,"&lt;="&amp;$B183,BD!$X$3:$X$5001,"&lt;&gt;"))))</f>
        <v/>
      </c>
      <c r="J183" s="43" t="str">
        <f>IF(OR($B183="",$A183&gt;$B$9,J$171=""),"",IF(COUNTIFS(BD!$B$3:$B$5001,J$171,BD!$A$3:$A$5001,"&gt;="&amp;$C$7,BD!$A$3:$A$5001,"&lt;="&amp;$B183,BD!$X$3:$X$5001,"&lt;&gt;")=0,"",SUMIFS(BD!$X$3:$X$5001,BD!$B$3:$B$5001,J$171,BD!$A$3:$A$5001,_xlfn.MAXIFS(BD!$A$3:$A$5001,BD!$B$3:$B$5001,J$171,BD!$A$3:$A$5001,"&gt;="&amp;$C$7,BD!$A$3:$A$5001,"&lt;="&amp;$B183,BD!$X$3:$X$5001,"&lt;&gt;"))))</f>
        <v/>
      </c>
      <c r="K183" s="43" t="str">
        <f>IF(OR($B183="",$A183&gt;$B$9,K$171=""),"",IF(COUNTIFS(BD!$B$3:$B$5001,K$171,BD!$A$3:$A$5001,"&gt;="&amp;$C$7,BD!$A$3:$A$5001,"&lt;="&amp;$B183,BD!$X$3:$X$5001,"&lt;&gt;")=0,"",SUMIFS(BD!$X$3:$X$5001,BD!$B$3:$B$5001,K$171,BD!$A$3:$A$5001,_xlfn.MAXIFS(BD!$A$3:$A$5001,BD!$B$3:$B$5001,K$171,BD!$A$3:$A$5001,"&gt;="&amp;$C$7,BD!$A$3:$A$5001,"&lt;="&amp;$B183,BD!$X$3:$X$5001,"&lt;&gt;"))))</f>
        <v/>
      </c>
      <c r="L183" s="43" t="str">
        <f>IF(OR($B183="",$A183&gt;$B$9,L$171=""),"",IF(COUNTIFS(BD!$B$3:$B$5001,L$171,BD!$A$3:$A$5001,"&gt;="&amp;$C$7,BD!$A$3:$A$5001,"&lt;="&amp;$B183,BD!$X$3:$X$5001,"&lt;&gt;")=0,"",SUMIFS(BD!$X$3:$X$5001,BD!$B$3:$B$5001,L$171,BD!$A$3:$A$5001,_xlfn.MAXIFS(BD!$A$3:$A$5001,BD!$B$3:$B$5001,L$171,BD!$A$3:$A$5001,"&gt;="&amp;$C$7,BD!$A$3:$A$5001,"&lt;="&amp;$B183,BD!$X$3:$X$5001,"&lt;&gt;"))))</f>
        <v/>
      </c>
      <c r="M183" s="43" t="str">
        <f>IF(OR($B183="",$A183&gt;$B$9,M$171=""),"",IF(COUNTIFS(BD!$B$3:$B$5001,M$171,BD!$A$3:$A$5001,"&gt;="&amp;$C$7,BD!$A$3:$A$5001,"&lt;="&amp;$B183,BD!$X$3:$X$5001,"&lt;&gt;")=0,"",SUMIFS(BD!$X$3:$X$5001,BD!$B$3:$B$5001,M$171,BD!$A$3:$A$5001,_xlfn.MAXIFS(BD!$A$3:$A$5001,BD!$B$3:$B$5001,M$171,BD!$A$3:$A$5001,"&gt;="&amp;$C$7,BD!$A$3:$A$5001,"&lt;="&amp;$B183,BD!$X$3:$X$5001,"&lt;&gt;"))))</f>
        <v/>
      </c>
      <c r="N183" s="43" t="str">
        <f>IF(OR($B183="",$A183&gt;$B$9,N$171=""),"",IF(COUNTIFS(BD!$B$3:$B$5001,N$171,BD!$A$3:$A$5001,"&gt;="&amp;$C$7,BD!$A$3:$A$5001,"&lt;="&amp;$B183,BD!$X$3:$X$5001,"&lt;&gt;")=0,"",SUMIFS(BD!$X$3:$X$5001,BD!$B$3:$B$5001,N$171,BD!$A$3:$A$5001,_xlfn.MAXIFS(BD!$A$3:$A$5001,BD!$B$3:$B$5001,N$171,BD!$A$3:$A$5001,"&gt;="&amp;$C$7,BD!$A$3:$A$5001,"&lt;="&amp;$B183,BD!$X$3:$X$5001,"&lt;&gt;"))))</f>
        <v/>
      </c>
      <c r="O183" s="43" t="str">
        <f>IF(OR($B183="",$A183&gt;$B$9,O$171=""),"",IF(COUNTIFS(BD!$B$3:$B$5001,O$171,BD!$A$3:$A$5001,"&gt;="&amp;$C$7,BD!$A$3:$A$5001,"&lt;="&amp;$B183,BD!$X$3:$X$5001,"&lt;&gt;")=0,"",SUMIFS(BD!$X$3:$X$5001,BD!$B$3:$B$5001,O$171,BD!$A$3:$A$5001,_xlfn.MAXIFS(BD!$A$3:$A$5001,BD!$B$3:$B$5001,O$171,BD!$A$3:$A$5001,"&gt;="&amp;$C$7,BD!$A$3:$A$5001,"&lt;="&amp;$B183,BD!$X$3:$X$5001,"&lt;&gt;"))))</f>
        <v/>
      </c>
      <c r="P183" s="43" t="str">
        <f>IF(OR($B183="",$A183&gt;$B$9,P$171=""),"",IF(COUNTIFS(BD!$B$3:$B$5001,P$171,BD!$A$3:$A$5001,"&gt;="&amp;$C$7,BD!$A$3:$A$5001,"&lt;="&amp;$B183,BD!$X$3:$X$5001,"&lt;&gt;")=0,"",SUMIFS(BD!$X$3:$X$5001,BD!$B$3:$B$5001,P$171,BD!$A$3:$A$5001,_xlfn.MAXIFS(BD!$A$3:$A$5001,BD!$B$3:$B$5001,P$171,BD!$A$3:$A$5001,"&gt;="&amp;$C$7,BD!$A$3:$A$5001,"&lt;="&amp;$B183,BD!$X$3:$X$5001,"&lt;&gt;"))))</f>
        <v/>
      </c>
      <c r="Q183" s="43" t="str">
        <f>IF(OR($B183="",$A183&gt;$B$9,Q$171=""),"",IF(COUNTIFS(BD!$B$3:$B$5001,Q$171,BD!$A$3:$A$5001,"&gt;="&amp;$C$7,BD!$A$3:$A$5001,"&lt;="&amp;$B183,BD!$X$3:$X$5001,"&lt;&gt;")=0,"",SUMIFS(BD!$X$3:$X$5001,BD!$B$3:$B$5001,Q$171,BD!$A$3:$A$5001,_xlfn.MAXIFS(BD!$A$3:$A$5001,BD!$B$3:$B$5001,Q$171,BD!$A$3:$A$5001,"&gt;="&amp;$C$7,BD!$A$3:$A$5001,"&lt;="&amp;$B183,BD!$X$3:$X$5001,"&lt;&gt;"))))</f>
        <v/>
      </c>
      <c r="R183" s="43" t="str">
        <f>IF(OR($B183="",$A183&gt;$B$9,R$171=""),"",IF(COUNTIFS(BD!$B$3:$B$5001,R$171,BD!$A$3:$A$5001,"&gt;="&amp;$C$7,BD!$A$3:$A$5001,"&lt;="&amp;$B183,BD!$X$3:$X$5001,"&lt;&gt;")=0,"",SUMIFS(BD!$X$3:$X$5001,BD!$B$3:$B$5001,R$171,BD!$A$3:$A$5001,_xlfn.MAXIFS(BD!$A$3:$A$5001,BD!$B$3:$B$5001,R$171,BD!$A$3:$A$5001,"&gt;="&amp;$C$7,BD!$A$3:$A$5001,"&lt;="&amp;$B183,BD!$X$3:$X$5001,"&lt;&gt;"))))</f>
        <v/>
      </c>
      <c r="S183" s="43" t="str">
        <f>IF(OR($B183="",$A183&gt;$B$9,S$171=""),"",IF(COUNTIFS(BD!$B$3:$B$5001,S$171,BD!$A$3:$A$5001,"&gt;="&amp;$C$7,BD!$A$3:$A$5001,"&lt;="&amp;$B183,BD!$X$3:$X$5001,"&lt;&gt;")=0,"",SUMIFS(BD!$X$3:$X$5001,BD!$B$3:$B$5001,S$171,BD!$A$3:$A$5001,_xlfn.MAXIFS(BD!$A$3:$A$5001,BD!$B$3:$B$5001,S$171,BD!$A$3:$A$5001,"&gt;="&amp;$C$7,BD!$A$3:$A$5001,"&lt;="&amp;$B183,BD!$X$3:$X$5001,"&lt;&gt;"))))</f>
        <v/>
      </c>
      <c r="T183" s="43" t="str">
        <f>IF(OR($B183="",$A183&gt;$B$9,T$171=""),"",IF(COUNTIFS(BD!$B$3:$B$5001,T$171,BD!$A$3:$A$5001,"&gt;="&amp;$C$7,BD!$A$3:$A$5001,"&lt;="&amp;$B183,BD!$X$3:$X$5001,"&lt;&gt;")=0,"",SUMIFS(BD!$X$3:$X$5001,BD!$B$3:$B$5001,T$171,BD!$A$3:$A$5001,_xlfn.MAXIFS(BD!$A$3:$A$5001,BD!$B$3:$B$5001,T$171,BD!$A$3:$A$5001,"&gt;="&amp;$C$7,BD!$A$3:$A$5001,"&lt;="&amp;$B183,BD!$X$3:$X$5001,"&lt;&gt;"))))</f>
        <v/>
      </c>
      <c r="U183" s="43" t="str">
        <f>IF(OR($B183="",$A183&gt;$B$9,U$171=""),"",IF(COUNTIFS(BD!$B$3:$B$5001,U$171,BD!$A$3:$A$5001,"&gt;="&amp;$C$7,BD!$A$3:$A$5001,"&lt;="&amp;$B183,BD!$X$3:$X$5001,"&lt;&gt;")=0,"",SUMIFS(BD!$X$3:$X$5001,BD!$B$3:$B$5001,U$171,BD!$A$3:$A$5001,_xlfn.MAXIFS(BD!$A$3:$A$5001,BD!$B$3:$B$5001,U$171,BD!$A$3:$A$5001,"&gt;="&amp;$C$7,BD!$A$3:$A$5001,"&lt;="&amp;$B183,BD!$X$3:$X$5001,"&lt;&gt;"))))</f>
        <v/>
      </c>
      <c r="V183" s="43" t="str">
        <f>IF(OR($B183="",$A183&gt;$B$9,V$171=""),"",IF(COUNTIFS(BD!$B$3:$B$5001,V$171,BD!$A$3:$A$5001,"&gt;="&amp;$C$7,BD!$A$3:$A$5001,"&lt;="&amp;$B183,BD!$X$3:$X$5001,"&lt;&gt;")=0,"",SUMIFS(BD!$X$3:$X$5001,BD!$B$3:$B$5001,V$171,BD!$A$3:$A$5001,_xlfn.MAXIFS(BD!$A$3:$A$5001,BD!$B$3:$B$5001,V$171,BD!$A$3:$A$5001,"&gt;="&amp;$C$7,BD!$A$3:$A$5001,"&lt;="&amp;$B183,BD!$X$3:$X$5001,"&lt;&gt;"))))</f>
        <v/>
      </c>
    </row>
    <row r="184">
      <c r="A184" s="38">
        <v>13</v>
      </c>
      <c r="B184" s="42">
        <f>$B$24</f>
        <v>46308</v>
      </c>
      <c r="C184" s="43" t="str">
        <f>IF(OR($B184="",$A184&gt;$B$9,C$171=""),"",IF(COUNTIFS(BD!$B$3:$B$5001,C$171,BD!$A$3:$A$5001,"&gt;="&amp;$C$7,BD!$A$3:$A$5001,"&lt;="&amp;$B184,BD!$X$3:$X$5001,"&lt;&gt;")=0,"",SUMIFS(BD!$X$3:$X$5001,BD!$B$3:$B$5001,C$171,BD!$A$3:$A$5001,_xlfn.MAXIFS(BD!$A$3:$A$5001,BD!$B$3:$B$5001,C$171,BD!$A$3:$A$5001,"&gt;="&amp;$C$7,BD!$A$3:$A$5001,"&lt;="&amp;$B184,BD!$X$3:$X$5001,"&lt;&gt;"))))</f>
        <v/>
      </c>
      <c r="D184" s="43" t="str">
        <f>IF(OR($B184="",$A184&gt;$B$9,D$171=""),"",IF(COUNTIFS(BD!$B$3:$B$5001,D$171,BD!$A$3:$A$5001,"&gt;="&amp;$C$7,BD!$A$3:$A$5001,"&lt;="&amp;$B184,BD!$X$3:$X$5001,"&lt;&gt;")=0,"",SUMIFS(BD!$X$3:$X$5001,BD!$B$3:$B$5001,D$171,BD!$A$3:$A$5001,_xlfn.MAXIFS(BD!$A$3:$A$5001,BD!$B$3:$B$5001,D$171,BD!$A$3:$A$5001,"&gt;="&amp;$C$7,BD!$A$3:$A$5001,"&lt;="&amp;$B184,BD!$X$3:$X$5001,"&lt;&gt;"))))</f>
        <v/>
      </c>
      <c r="E184" s="43" t="str">
        <f>IF(OR($B184="",$A184&gt;$B$9,E$171=""),"",IF(COUNTIFS(BD!$B$3:$B$5001,E$171,BD!$A$3:$A$5001,"&gt;="&amp;$C$7,BD!$A$3:$A$5001,"&lt;="&amp;$B184,BD!$X$3:$X$5001,"&lt;&gt;")=0,"",SUMIFS(BD!$X$3:$X$5001,BD!$B$3:$B$5001,E$171,BD!$A$3:$A$5001,_xlfn.MAXIFS(BD!$A$3:$A$5001,BD!$B$3:$B$5001,E$171,BD!$A$3:$A$5001,"&gt;="&amp;$C$7,BD!$A$3:$A$5001,"&lt;="&amp;$B184,BD!$X$3:$X$5001,"&lt;&gt;"))))</f>
        <v/>
      </c>
      <c r="F184" s="43" t="str">
        <f>IF(OR($B184="",$A184&gt;$B$9,F$171=""),"",IF(COUNTIFS(BD!$B$3:$B$5001,F$171,BD!$A$3:$A$5001,"&gt;="&amp;$C$7,BD!$A$3:$A$5001,"&lt;="&amp;$B184,BD!$X$3:$X$5001,"&lt;&gt;")=0,"",SUMIFS(BD!$X$3:$X$5001,BD!$B$3:$B$5001,F$171,BD!$A$3:$A$5001,_xlfn.MAXIFS(BD!$A$3:$A$5001,BD!$B$3:$B$5001,F$171,BD!$A$3:$A$5001,"&gt;="&amp;$C$7,BD!$A$3:$A$5001,"&lt;="&amp;$B184,BD!$X$3:$X$5001,"&lt;&gt;"))))</f>
        <v/>
      </c>
      <c r="G184" s="43" t="str">
        <f>IF(OR($B184="",$A184&gt;$B$9,G$171=""),"",IF(COUNTIFS(BD!$B$3:$B$5001,G$171,BD!$A$3:$A$5001,"&gt;="&amp;$C$7,BD!$A$3:$A$5001,"&lt;="&amp;$B184,BD!$X$3:$X$5001,"&lt;&gt;")=0,"",SUMIFS(BD!$X$3:$X$5001,BD!$B$3:$B$5001,G$171,BD!$A$3:$A$5001,_xlfn.MAXIFS(BD!$A$3:$A$5001,BD!$B$3:$B$5001,G$171,BD!$A$3:$A$5001,"&gt;="&amp;$C$7,BD!$A$3:$A$5001,"&lt;="&amp;$B184,BD!$X$3:$X$5001,"&lt;&gt;"))))</f>
        <v/>
      </c>
      <c r="H184" s="43" t="str">
        <f>IF(OR($B184="",$A184&gt;$B$9,H$171=""),"",IF(COUNTIFS(BD!$B$3:$B$5001,H$171,BD!$A$3:$A$5001,"&gt;="&amp;$C$7,BD!$A$3:$A$5001,"&lt;="&amp;$B184,BD!$X$3:$X$5001,"&lt;&gt;")=0,"",SUMIFS(BD!$X$3:$X$5001,BD!$B$3:$B$5001,H$171,BD!$A$3:$A$5001,_xlfn.MAXIFS(BD!$A$3:$A$5001,BD!$B$3:$B$5001,H$171,BD!$A$3:$A$5001,"&gt;="&amp;$C$7,BD!$A$3:$A$5001,"&lt;="&amp;$B184,BD!$X$3:$X$5001,"&lt;&gt;"))))</f>
        <v/>
      </c>
      <c r="I184" s="43" t="str">
        <f>IF(OR($B184="",$A184&gt;$B$9,I$171=""),"",IF(COUNTIFS(BD!$B$3:$B$5001,I$171,BD!$A$3:$A$5001,"&gt;="&amp;$C$7,BD!$A$3:$A$5001,"&lt;="&amp;$B184,BD!$X$3:$X$5001,"&lt;&gt;")=0,"",SUMIFS(BD!$X$3:$X$5001,BD!$B$3:$B$5001,I$171,BD!$A$3:$A$5001,_xlfn.MAXIFS(BD!$A$3:$A$5001,BD!$B$3:$B$5001,I$171,BD!$A$3:$A$5001,"&gt;="&amp;$C$7,BD!$A$3:$A$5001,"&lt;="&amp;$B184,BD!$X$3:$X$5001,"&lt;&gt;"))))</f>
        <v/>
      </c>
      <c r="J184" s="43" t="str">
        <f>IF(OR($B184="",$A184&gt;$B$9,J$171=""),"",IF(COUNTIFS(BD!$B$3:$B$5001,J$171,BD!$A$3:$A$5001,"&gt;="&amp;$C$7,BD!$A$3:$A$5001,"&lt;="&amp;$B184,BD!$X$3:$X$5001,"&lt;&gt;")=0,"",SUMIFS(BD!$X$3:$X$5001,BD!$B$3:$B$5001,J$171,BD!$A$3:$A$5001,_xlfn.MAXIFS(BD!$A$3:$A$5001,BD!$B$3:$B$5001,J$171,BD!$A$3:$A$5001,"&gt;="&amp;$C$7,BD!$A$3:$A$5001,"&lt;="&amp;$B184,BD!$X$3:$X$5001,"&lt;&gt;"))))</f>
        <v/>
      </c>
      <c r="K184" s="43" t="str">
        <f>IF(OR($B184="",$A184&gt;$B$9,K$171=""),"",IF(COUNTIFS(BD!$B$3:$B$5001,K$171,BD!$A$3:$A$5001,"&gt;="&amp;$C$7,BD!$A$3:$A$5001,"&lt;="&amp;$B184,BD!$X$3:$X$5001,"&lt;&gt;")=0,"",SUMIFS(BD!$X$3:$X$5001,BD!$B$3:$B$5001,K$171,BD!$A$3:$A$5001,_xlfn.MAXIFS(BD!$A$3:$A$5001,BD!$B$3:$B$5001,K$171,BD!$A$3:$A$5001,"&gt;="&amp;$C$7,BD!$A$3:$A$5001,"&lt;="&amp;$B184,BD!$X$3:$X$5001,"&lt;&gt;"))))</f>
        <v/>
      </c>
      <c r="L184" s="43" t="str">
        <f>IF(OR($B184="",$A184&gt;$B$9,L$171=""),"",IF(COUNTIFS(BD!$B$3:$B$5001,L$171,BD!$A$3:$A$5001,"&gt;="&amp;$C$7,BD!$A$3:$A$5001,"&lt;="&amp;$B184,BD!$X$3:$X$5001,"&lt;&gt;")=0,"",SUMIFS(BD!$X$3:$X$5001,BD!$B$3:$B$5001,L$171,BD!$A$3:$A$5001,_xlfn.MAXIFS(BD!$A$3:$A$5001,BD!$B$3:$B$5001,L$171,BD!$A$3:$A$5001,"&gt;="&amp;$C$7,BD!$A$3:$A$5001,"&lt;="&amp;$B184,BD!$X$3:$X$5001,"&lt;&gt;"))))</f>
        <v/>
      </c>
      <c r="M184" s="43" t="str">
        <f>IF(OR($B184="",$A184&gt;$B$9,M$171=""),"",IF(COUNTIFS(BD!$B$3:$B$5001,M$171,BD!$A$3:$A$5001,"&gt;="&amp;$C$7,BD!$A$3:$A$5001,"&lt;="&amp;$B184,BD!$X$3:$X$5001,"&lt;&gt;")=0,"",SUMIFS(BD!$X$3:$X$5001,BD!$B$3:$B$5001,M$171,BD!$A$3:$A$5001,_xlfn.MAXIFS(BD!$A$3:$A$5001,BD!$B$3:$B$5001,M$171,BD!$A$3:$A$5001,"&gt;="&amp;$C$7,BD!$A$3:$A$5001,"&lt;="&amp;$B184,BD!$X$3:$X$5001,"&lt;&gt;"))))</f>
        <v/>
      </c>
      <c r="N184" s="43" t="str">
        <f>IF(OR($B184="",$A184&gt;$B$9,N$171=""),"",IF(COUNTIFS(BD!$B$3:$B$5001,N$171,BD!$A$3:$A$5001,"&gt;="&amp;$C$7,BD!$A$3:$A$5001,"&lt;="&amp;$B184,BD!$X$3:$X$5001,"&lt;&gt;")=0,"",SUMIFS(BD!$X$3:$X$5001,BD!$B$3:$B$5001,N$171,BD!$A$3:$A$5001,_xlfn.MAXIFS(BD!$A$3:$A$5001,BD!$B$3:$B$5001,N$171,BD!$A$3:$A$5001,"&gt;="&amp;$C$7,BD!$A$3:$A$5001,"&lt;="&amp;$B184,BD!$X$3:$X$5001,"&lt;&gt;"))))</f>
        <v/>
      </c>
      <c r="O184" s="43" t="str">
        <f>IF(OR($B184="",$A184&gt;$B$9,O$171=""),"",IF(COUNTIFS(BD!$B$3:$B$5001,O$171,BD!$A$3:$A$5001,"&gt;="&amp;$C$7,BD!$A$3:$A$5001,"&lt;="&amp;$B184,BD!$X$3:$X$5001,"&lt;&gt;")=0,"",SUMIFS(BD!$X$3:$X$5001,BD!$B$3:$B$5001,O$171,BD!$A$3:$A$5001,_xlfn.MAXIFS(BD!$A$3:$A$5001,BD!$B$3:$B$5001,O$171,BD!$A$3:$A$5001,"&gt;="&amp;$C$7,BD!$A$3:$A$5001,"&lt;="&amp;$B184,BD!$X$3:$X$5001,"&lt;&gt;"))))</f>
        <v/>
      </c>
      <c r="P184" s="43" t="str">
        <f>IF(OR($B184="",$A184&gt;$B$9,P$171=""),"",IF(COUNTIFS(BD!$B$3:$B$5001,P$171,BD!$A$3:$A$5001,"&gt;="&amp;$C$7,BD!$A$3:$A$5001,"&lt;="&amp;$B184,BD!$X$3:$X$5001,"&lt;&gt;")=0,"",SUMIFS(BD!$X$3:$X$5001,BD!$B$3:$B$5001,P$171,BD!$A$3:$A$5001,_xlfn.MAXIFS(BD!$A$3:$A$5001,BD!$B$3:$B$5001,P$171,BD!$A$3:$A$5001,"&gt;="&amp;$C$7,BD!$A$3:$A$5001,"&lt;="&amp;$B184,BD!$X$3:$X$5001,"&lt;&gt;"))))</f>
        <v/>
      </c>
      <c r="Q184" s="43" t="str">
        <f>IF(OR($B184="",$A184&gt;$B$9,Q$171=""),"",IF(COUNTIFS(BD!$B$3:$B$5001,Q$171,BD!$A$3:$A$5001,"&gt;="&amp;$C$7,BD!$A$3:$A$5001,"&lt;="&amp;$B184,BD!$X$3:$X$5001,"&lt;&gt;")=0,"",SUMIFS(BD!$X$3:$X$5001,BD!$B$3:$B$5001,Q$171,BD!$A$3:$A$5001,_xlfn.MAXIFS(BD!$A$3:$A$5001,BD!$B$3:$B$5001,Q$171,BD!$A$3:$A$5001,"&gt;="&amp;$C$7,BD!$A$3:$A$5001,"&lt;="&amp;$B184,BD!$X$3:$X$5001,"&lt;&gt;"))))</f>
        <v/>
      </c>
      <c r="R184" s="43" t="str">
        <f>IF(OR($B184="",$A184&gt;$B$9,R$171=""),"",IF(COUNTIFS(BD!$B$3:$B$5001,R$171,BD!$A$3:$A$5001,"&gt;="&amp;$C$7,BD!$A$3:$A$5001,"&lt;="&amp;$B184,BD!$X$3:$X$5001,"&lt;&gt;")=0,"",SUMIFS(BD!$X$3:$X$5001,BD!$B$3:$B$5001,R$171,BD!$A$3:$A$5001,_xlfn.MAXIFS(BD!$A$3:$A$5001,BD!$B$3:$B$5001,R$171,BD!$A$3:$A$5001,"&gt;="&amp;$C$7,BD!$A$3:$A$5001,"&lt;="&amp;$B184,BD!$X$3:$X$5001,"&lt;&gt;"))))</f>
        <v/>
      </c>
      <c r="S184" s="43" t="str">
        <f>IF(OR($B184="",$A184&gt;$B$9,S$171=""),"",IF(COUNTIFS(BD!$B$3:$B$5001,S$171,BD!$A$3:$A$5001,"&gt;="&amp;$C$7,BD!$A$3:$A$5001,"&lt;="&amp;$B184,BD!$X$3:$X$5001,"&lt;&gt;")=0,"",SUMIFS(BD!$X$3:$X$5001,BD!$B$3:$B$5001,S$171,BD!$A$3:$A$5001,_xlfn.MAXIFS(BD!$A$3:$A$5001,BD!$B$3:$B$5001,S$171,BD!$A$3:$A$5001,"&gt;="&amp;$C$7,BD!$A$3:$A$5001,"&lt;="&amp;$B184,BD!$X$3:$X$5001,"&lt;&gt;"))))</f>
        <v/>
      </c>
      <c r="T184" s="43" t="str">
        <f>IF(OR($B184="",$A184&gt;$B$9,T$171=""),"",IF(COUNTIFS(BD!$B$3:$B$5001,T$171,BD!$A$3:$A$5001,"&gt;="&amp;$C$7,BD!$A$3:$A$5001,"&lt;="&amp;$B184,BD!$X$3:$X$5001,"&lt;&gt;")=0,"",SUMIFS(BD!$X$3:$X$5001,BD!$B$3:$B$5001,T$171,BD!$A$3:$A$5001,_xlfn.MAXIFS(BD!$A$3:$A$5001,BD!$B$3:$B$5001,T$171,BD!$A$3:$A$5001,"&gt;="&amp;$C$7,BD!$A$3:$A$5001,"&lt;="&amp;$B184,BD!$X$3:$X$5001,"&lt;&gt;"))))</f>
        <v/>
      </c>
      <c r="U184" s="43" t="str">
        <f>IF(OR($B184="",$A184&gt;$B$9,U$171=""),"",IF(COUNTIFS(BD!$B$3:$B$5001,U$171,BD!$A$3:$A$5001,"&gt;="&amp;$C$7,BD!$A$3:$A$5001,"&lt;="&amp;$B184,BD!$X$3:$X$5001,"&lt;&gt;")=0,"",SUMIFS(BD!$X$3:$X$5001,BD!$B$3:$B$5001,U$171,BD!$A$3:$A$5001,_xlfn.MAXIFS(BD!$A$3:$A$5001,BD!$B$3:$B$5001,U$171,BD!$A$3:$A$5001,"&gt;="&amp;$C$7,BD!$A$3:$A$5001,"&lt;="&amp;$B184,BD!$X$3:$X$5001,"&lt;&gt;"))))</f>
        <v/>
      </c>
      <c r="V184" s="43" t="str">
        <f>IF(OR($B184="",$A184&gt;$B$9,V$171=""),"",IF(COUNTIFS(BD!$B$3:$B$5001,V$171,BD!$A$3:$A$5001,"&gt;="&amp;$C$7,BD!$A$3:$A$5001,"&lt;="&amp;$B184,BD!$X$3:$X$5001,"&lt;&gt;")=0,"",SUMIFS(BD!$X$3:$X$5001,BD!$B$3:$B$5001,V$171,BD!$A$3:$A$5001,_xlfn.MAXIFS(BD!$A$3:$A$5001,BD!$B$3:$B$5001,V$171,BD!$A$3:$A$5001,"&gt;="&amp;$C$7,BD!$A$3:$A$5001,"&lt;="&amp;$B184,BD!$X$3:$X$5001,"&lt;&gt;"))))</f>
        <v/>
      </c>
    </row>
    <row r="185">
      <c r="A185" s="38">
        <v>14</v>
      </c>
      <c r="B185" s="42">
        <f>$B$25</f>
        <v>46309</v>
      </c>
      <c r="C185" s="43" t="str">
        <f>IF(OR($B185="",$A185&gt;$B$9,C$171=""),"",IF(COUNTIFS(BD!$B$3:$B$5001,C$171,BD!$A$3:$A$5001,"&gt;="&amp;$C$7,BD!$A$3:$A$5001,"&lt;="&amp;$B185,BD!$X$3:$X$5001,"&lt;&gt;")=0,"",SUMIFS(BD!$X$3:$X$5001,BD!$B$3:$B$5001,C$171,BD!$A$3:$A$5001,_xlfn.MAXIFS(BD!$A$3:$A$5001,BD!$B$3:$B$5001,C$171,BD!$A$3:$A$5001,"&gt;="&amp;$C$7,BD!$A$3:$A$5001,"&lt;="&amp;$B185,BD!$X$3:$X$5001,"&lt;&gt;"))))</f>
        <v/>
      </c>
      <c r="D185" s="43" t="str">
        <f>IF(OR($B185="",$A185&gt;$B$9,D$171=""),"",IF(COUNTIFS(BD!$B$3:$B$5001,D$171,BD!$A$3:$A$5001,"&gt;="&amp;$C$7,BD!$A$3:$A$5001,"&lt;="&amp;$B185,BD!$X$3:$X$5001,"&lt;&gt;")=0,"",SUMIFS(BD!$X$3:$X$5001,BD!$B$3:$B$5001,D$171,BD!$A$3:$A$5001,_xlfn.MAXIFS(BD!$A$3:$A$5001,BD!$B$3:$B$5001,D$171,BD!$A$3:$A$5001,"&gt;="&amp;$C$7,BD!$A$3:$A$5001,"&lt;="&amp;$B185,BD!$X$3:$X$5001,"&lt;&gt;"))))</f>
        <v/>
      </c>
      <c r="E185" s="43" t="str">
        <f>IF(OR($B185="",$A185&gt;$B$9,E$171=""),"",IF(COUNTIFS(BD!$B$3:$B$5001,E$171,BD!$A$3:$A$5001,"&gt;="&amp;$C$7,BD!$A$3:$A$5001,"&lt;="&amp;$B185,BD!$X$3:$X$5001,"&lt;&gt;")=0,"",SUMIFS(BD!$X$3:$X$5001,BD!$B$3:$B$5001,E$171,BD!$A$3:$A$5001,_xlfn.MAXIFS(BD!$A$3:$A$5001,BD!$B$3:$B$5001,E$171,BD!$A$3:$A$5001,"&gt;="&amp;$C$7,BD!$A$3:$A$5001,"&lt;="&amp;$B185,BD!$X$3:$X$5001,"&lt;&gt;"))))</f>
        <v/>
      </c>
      <c r="F185" s="43" t="str">
        <f>IF(OR($B185="",$A185&gt;$B$9,F$171=""),"",IF(COUNTIFS(BD!$B$3:$B$5001,F$171,BD!$A$3:$A$5001,"&gt;="&amp;$C$7,BD!$A$3:$A$5001,"&lt;="&amp;$B185,BD!$X$3:$X$5001,"&lt;&gt;")=0,"",SUMIFS(BD!$X$3:$X$5001,BD!$B$3:$B$5001,F$171,BD!$A$3:$A$5001,_xlfn.MAXIFS(BD!$A$3:$A$5001,BD!$B$3:$B$5001,F$171,BD!$A$3:$A$5001,"&gt;="&amp;$C$7,BD!$A$3:$A$5001,"&lt;="&amp;$B185,BD!$X$3:$X$5001,"&lt;&gt;"))))</f>
        <v/>
      </c>
      <c r="G185" s="43" t="str">
        <f>IF(OR($B185="",$A185&gt;$B$9,G$171=""),"",IF(COUNTIFS(BD!$B$3:$B$5001,G$171,BD!$A$3:$A$5001,"&gt;="&amp;$C$7,BD!$A$3:$A$5001,"&lt;="&amp;$B185,BD!$X$3:$X$5001,"&lt;&gt;")=0,"",SUMIFS(BD!$X$3:$X$5001,BD!$B$3:$B$5001,G$171,BD!$A$3:$A$5001,_xlfn.MAXIFS(BD!$A$3:$A$5001,BD!$B$3:$B$5001,G$171,BD!$A$3:$A$5001,"&gt;="&amp;$C$7,BD!$A$3:$A$5001,"&lt;="&amp;$B185,BD!$X$3:$X$5001,"&lt;&gt;"))))</f>
        <v/>
      </c>
      <c r="H185" s="43" t="str">
        <f>IF(OR($B185="",$A185&gt;$B$9,H$171=""),"",IF(COUNTIFS(BD!$B$3:$B$5001,H$171,BD!$A$3:$A$5001,"&gt;="&amp;$C$7,BD!$A$3:$A$5001,"&lt;="&amp;$B185,BD!$X$3:$X$5001,"&lt;&gt;")=0,"",SUMIFS(BD!$X$3:$X$5001,BD!$B$3:$B$5001,H$171,BD!$A$3:$A$5001,_xlfn.MAXIFS(BD!$A$3:$A$5001,BD!$B$3:$B$5001,H$171,BD!$A$3:$A$5001,"&gt;="&amp;$C$7,BD!$A$3:$A$5001,"&lt;="&amp;$B185,BD!$X$3:$X$5001,"&lt;&gt;"))))</f>
        <v/>
      </c>
      <c r="I185" s="43" t="str">
        <f>IF(OR($B185="",$A185&gt;$B$9,I$171=""),"",IF(COUNTIFS(BD!$B$3:$B$5001,I$171,BD!$A$3:$A$5001,"&gt;="&amp;$C$7,BD!$A$3:$A$5001,"&lt;="&amp;$B185,BD!$X$3:$X$5001,"&lt;&gt;")=0,"",SUMIFS(BD!$X$3:$X$5001,BD!$B$3:$B$5001,I$171,BD!$A$3:$A$5001,_xlfn.MAXIFS(BD!$A$3:$A$5001,BD!$B$3:$B$5001,I$171,BD!$A$3:$A$5001,"&gt;="&amp;$C$7,BD!$A$3:$A$5001,"&lt;="&amp;$B185,BD!$X$3:$X$5001,"&lt;&gt;"))))</f>
        <v/>
      </c>
      <c r="J185" s="43" t="str">
        <f>IF(OR($B185="",$A185&gt;$B$9,J$171=""),"",IF(COUNTIFS(BD!$B$3:$B$5001,J$171,BD!$A$3:$A$5001,"&gt;="&amp;$C$7,BD!$A$3:$A$5001,"&lt;="&amp;$B185,BD!$X$3:$X$5001,"&lt;&gt;")=0,"",SUMIFS(BD!$X$3:$X$5001,BD!$B$3:$B$5001,J$171,BD!$A$3:$A$5001,_xlfn.MAXIFS(BD!$A$3:$A$5001,BD!$B$3:$B$5001,J$171,BD!$A$3:$A$5001,"&gt;="&amp;$C$7,BD!$A$3:$A$5001,"&lt;="&amp;$B185,BD!$X$3:$X$5001,"&lt;&gt;"))))</f>
        <v/>
      </c>
      <c r="K185" s="43" t="str">
        <f>IF(OR($B185="",$A185&gt;$B$9,K$171=""),"",IF(COUNTIFS(BD!$B$3:$B$5001,K$171,BD!$A$3:$A$5001,"&gt;="&amp;$C$7,BD!$A$3:$A$5001,"&lt;="&amp;$B185,BD!$X$3:$X$5001,"&lt;&gt;")=0,"",SUMIFS(BD!$X$3:$X$5001,BD!$B$3:$B$5001,K$171,BD!$A$3:$A$5001,_xlfn.MAXIFS(BD!$A$3:$A$5001,BD!$B$3:$B$5001,K$171,BD!$A$3:$A$5001,"&gt;="&amp;$C$7,BD!$A$3:$A$5001,"&lt;="&amp;$B185,BD!$X$3:$X$5001,"&lt;&gt;"))))</f>
        <v/>
      </c>
      <c r="L185" s="43" t="str">
        <f>IF(OR($B185="",$A185&gt;$B$9,L$171=""),"",IF(COUNTIFS(BD!$B$3:$B$5001,L$171,BD!$A$3:$A$5001,"&gt;="&amp;$C$7,BD!$A$3:$A$5001,"&lt;="&amp;$B185,BD!$X$3:$X$5001,"&lt;&gt;")=0,"",SUMIFS(BD!$X$3:$X$5001,BD!$B$3:$B$5001,L$171,BD!$A$3:$A$5001,_xlfn.MAXIFS(BD!$A$3:$A$5001,BD!$B$3:$B$5001,L$171,BD!$A$3:$A$5001,"&gt;="&amp;$C$7,BD!$A$3:$A$5001,"&lt;="&amp;$B185,BD!$X$3:$X$5001,"&lt;&gt;"))))</f>
        <v/>
      </c>
      <c r="M185" s="43" t="str">
        <f>IF(OR($B185="",$A185&gt;$B$9,M$171=""),"",IF(COUNTIFS(BD!$B$3:$B$5001,M$171,BD!$A$3:$A$5001,"&gt;="&amp;$C$7,BD!$A$3:$A$5001,"&lt;="&amp;$B185,BD!$X$3:$X$5001,"&lt;&gt;")=0,"",SUMIFS(BD!$X$3:$X$5001,BD!$B$3:$B$5001,M$171,BD!$A$3:$A$5001,_xlfn.MAXIFS(BD!$A$3:$A$5001,BD!$B$3:$B$5001,M$171,BD!$A$3:$A$5001,"&gt;="&amp;$C$7,BD!$A$3:$A$5001,"&lt;="&amp;$B185,BD!$X$3:$X$5001,"&lt;&gt;"))))</f>
        <v/>
      </c>
      <c r="N185" s="43" t="str">
        <f>IF(OR($B185="",$A185&gt;$B$9,N$171=""),"",IF(COUNTIFS(BD!$B$3:$B$5001,N$171,BD!$A$3:$A$5001,"&gt;="&amp;$C$7,BD!$A$3:$A$5001,"&lt;="&amp;$B185,BD!$X$3:$X$5001,"&lt;&gt;")=0,"",SUMIFS(BD!$X$3:$X$5001,BD!$B$3:$B$5001,N$171,BD!$A$3:$A$5001,_xlfn.MAXIFS(BD!$A$3:$A$5001,BD!$B$3:$B$5001,N$171,BD!$A$3:$A$5001,"&gt;="&amp;$C$7,BD!$A$3:$A$5001,"&lt;="&amp;$B185,BD!$X$3:$X$5001,"&lt;&gt;"))))</f>
        <v/>
      </c>
      <c r="O185" s="43" t="str">
        <f>IF(OR($B185="",$A185&gt;$B$9,O$171=""),"",IF(COUNTIFS(BD!$B$3:$B$5001,O$171,BD!$A$3:$A$5001,"&gt;="&amp;$C$7,BD!$A$3:$A$5001,"&lt;="&amp;$B185,BD!$X$3:$X$5001,"&lt;&gt;")=0,"",SUMIFS(BD!$X$3:$X$5001,BD!$B$3:$B$5001,O$171,BD!$A$3:$A$5001,_xlfn.MAXIFS(BD!$A$3:$A$5001,BD!$B$3:$B$5001,O$171,BD!$A$3:$A$5001,"&gt;="&amp;$C$7,BD!$A$3:$A$5001,"&lt;="&amp;$B185,BD!$X$3:$X$5001,"&lt;&gt;"))))</f>
        <v/>
      </c>
      <c r="P185" s="43" t="str">
        <f>IF(OR($B185="",$A185&gt;$B$9,P$171=""),"",IF(COUNTIFS(BD!$B$3:$B$5001,P$171,BD!$A$3:$A$5001,"&gt;="&amp;$C$7,BD!$A$3:$A$5001,"&lt;="&amp;$B185,BD!$X$3:$X$5001,"&lt;&gt;")=0,"",SUMIFS(BD!$X$3:$X$5001,BD!$B$3:$B$5001,P$171,BD!$A$3:$A$5001,_xlfn.MAXIFS(BD!$A$3:$A$5001,BD!$B$3:$B$5001,P$171,BD!$A$3:$A$5001,"&gt;="&amp;$C$7,BD!$A$3:$A$5001,"&lt;="&amp;$B185,BD!$X$3:$X$5001,"&lt;&gt;"))))</f>
        <v/>
      </c>
      <c r="Q185" s="43" t="str">
        <f>IF(OR($B185="",$A185&gt;$B$9,Q$171=""),"",IF(COUNTIFS(BD!$B$3:$B$5001,Q$171,BD!$A$3:$A$5001,"&gt;="&amp;$C$7,BD!$A$3:$A$5001,"&lt;="&amp;$B185,BD!$X$3:$X$5001,"&lt;&gt;")=0,"",SUMIFS(BD!$X$3:$X$5001,BD!$B$3:$B$5001,Q$171,BD!$A$3:$A$5001,_xlfn.MAXIFS(BD!$A$3:$A$5001,BD!$B$3:$B$5001,Q$171,BD!$A$3:$A$5001,"&gt;="&amp;$C$7,BD!$A$3:$A$5001,"&lt;="&amp;$B185,BD!$X$3:$X$5001,"&lt;&gt;"))))</f>
        <v/>
      </c>
      <c r="R185" s="43" t="str">
        <f>IF(OR($B185="",$A185&gt;$B$9,R$171=""),"",IF(COUNTIFS(BD!$B$3:$B$5001,R$171,BD!$A$3:$A$5001,"&gt;="&amp;$C$7,BD!$A$3:$A$5001,"&lt;="&amp;$B185,BD!$X$3:$X$5001,"&lt;&gt;")=0,"",SUMIFS(BD!$X$3:$X$5001,BD!$B$3:$B$5001,R$171,BD!$A$3:$A$5001,_xlfn.MAXIFS(BD!$A$3:$A$5001,BD!$B$3:$B$5001,R$171,BD!$A$3:$A$5001,"&gt;="&amp;$C$7,BD!$A$3:$A$5001,"&lt;="&amp;$B185,BD!$X$3:$X$5001,"&lt;&gt;"))))</f>
        <v/>
      </c>
      <c r="S185" s="43" t="str">
        <f>IF(OR($B185="",$A185&gt;$B$9,S$171=""),"",IF(COUNTIFS(BD!$B$3:$B$5001,S$171,BD!$A$3:$A$5001,"&gt;="&amp;$C$7,BD!$A$3:$A$5001,"&lt;="&amp;$B185,BD!$X$3:$X$5001,"&lt;&gt;")=0,"",SUMIFS(BD!$X$3:$X$5001,BD!$B$3:$B$5001,S$171,BD!$A$3:$A$5001,_xlfn.MAXIFS(BD!$A$3:$A$5001,BD!$B$3:$B$5001,S$171,BD!$A$3:$A$5001,"&gt;="&amp;$C$7,BD!$A$3:$A$5001,"&lt;="&amp;$B185,BD!$X$3:$X$5001,"&lt;&gt;"))))</f>
        <v/>
      </c>
      <c r="T185" s="43" t="str">
        <f>IF(OR($B185="",$A185&gt;$B$9,T$171=""),"",IF(COUNTIFS(BD!$B$3:$B$5001,T$171,BD!$A$3:$A$5001,"&gt;="&amp;$C$7,BD!$A$3:$A$5001,"&lt;="&amp;$B185,BD!$X$3:$X$5001,"&lt;&gt;")=0,"",SUMIFS(BD!$X$3:$X$5001,BD!$B$3:$B$5001,T$171,BD!$A$3:$A$5001,_xlfn.MAXIFS(BD!$A$3:$A$5001,BD!$B$3:$B$5001,T$171,BD!$A$3:$A$5001,"&gt;="&amp;$C$7,BD!$A$3:$A$5001,"&lt;="&amp;$B185,BD!$X$3:$X$5001,"&lt;&gt;"))))</f>
        <v/>
      </c>
      <c r="U185" s="43" t="str">
        <f>IF(OR($B185="",$A185&gt;$B$9,U$171=""),"",IF(COUNTIFS(BD!$B$3:$B$5001,U$171,BD!$A$3:$A$5001,"&gt;="&amp;$C$7,BD!$A$3:$A$5001,"&lt;="&amp;$B185,BD!$X$3:$X$5001,"&lt;&gt;")=0,"",SUMIFS(BD!$X$3:$X$5001,BD!$B$3:$B$5001,U$171,BD!$A$3:$A$5001,_xlfn.MAXIFS(BD!$A$3:$A$5001,BD!$B$3:$B$5001,U$171,BD!$A$3:$A$5001,"&gt;="&amp;$C$7,BD!$A$3:$A$5001,"&lt;="&amp;$B185,BD!$X$3:$X$5001,"&lt;&gt;"))))</f>
        <v/>
      </c>
      <c r="V185" s="43" t="str">
        <f>IF(OR($B185="",$A185&gt;$B$9,V$171=""),"",IF(COUNTIFS(BD!$B$3:$B$5001,V$171,BD!$A$3:$A$5001,"&gt;="&amp;$C$7,BD!$A$3:$A$5001,"&lt;="&amp;$B185,BD!$X$3:$X$5001,"&lt;&gt;")=0,"",SUMIFS(BD!$X$3:$X$5001,BD!$B$3:$B$5001,V$171,BD!$A$3:$A$5001,_xlfn.MAXIFS(BD!$A$3:$A$5001,BD!$B$3:$B$5001,V$171,BD!$A$3:$A$5001,"&gt;="&amp;$C$7,BD!$A$3:$A$5001,"&lt;="&amp;$B185,BD!$X$3:$X$5001,"&lt;&gt;"))))</f>
        <v/>
      </c>
    </row>
    <row r="186">
      <c r="A186" s="38">
        <v>15</v>
      </c>
      <c r="B186" s="42">
        <f>$B$26</f>
        <v>46310</v>
      </c>
      <c r="C186" s="43" t="str">
        <f>IF(OR($B186="",$A186&gt;$B$9,C$171=""),"",IF(COUNTIFS(BD!$B$3:$B$5001,C$171,BD!$A$3:$A$5001,"&gt;="&amp;$C$7,BD!$A$3:$A$5001,"&lt;="&amp;$B186,BD!$X$3:$X$5001,"&lt;&gt;")=0,"",SUMIFS(BD!$X$3:$X$5001,BD!$B$3:$B$5001,C$171,BD!$A$3:$A$5001,_xlfn.MAXIFS(BD!$A$3:$A$5001,BD!$B$3:$B$5001,C$171,BD!$A$3:$A$5001,"&gt;="&amp;$C$7,BD!$A$3:$A$5001,"&lt;="&amp;$B186,BD!$X$3:$X$5001,"&lt;&gt;"))))</f>
        <v/>
      </c>
      <c r="D186" s="43" t="str">
        <f>IF(OR($B186="",$A186&gt;$B$9,D$171=""),"",IF(COUNTIFS(BD!$B$3:$B$5001,D$171,BD!$A$3:$A$5001,"&gt;="&amp;$C$7,BD!$A$3:$A$5001,"&lt;="&amp;$B186,BD!$X$3:$X$5001,"&lt;&gt;")=0,"",SUMIFS(BD!$X$3:$X$5001,BD!$B$3:$B$5001,D$171,BD!$A$3:$A$5001,_xlfn.MAXIFS(BD!$A$3:$A$5001,BD!$B$3:$B$5001,D$171,BD!$A$3:$A$5001,"&gt;="&amp;$C$7,BD!$A$3:$A$5001,"&lt;="&amp;$B186,BD!$X$3:$X$5001,"&lt;&gt;"))))</f>
        <v/>
      </c>
      <c r="E186" s="43" t="str">
        <f>IF(OR($B186="",$A186&gt;$B$9,E$171=""),"",IF(COUNTIFS(BD!$B$3:$B$5001,E$171,BD!$A$3:$A$5001,"&gt;="&amp;$C$7,BD!$A$3:$A$5001,"&lt;="&amp;$B186,BD!$X$3:$X$5001,"&lt;&gt;")=0,"",SUMIFS(BD!$X$3:$X$5001,BD!$B$3:$B$5001,E$171,BD!$A$3:$A$5001,_xlfn.MAXIFS(BD!$A$3:$A$5001,BD!$B$3:$B$5001,E$171,BD!$A$3:$A$5001,"&gt;="&amp;$C$7,BD!$A$3:$A$5001,"&lt;="&amp;$B186,BD!$X$3:$X$5001,"&lt;&gt;"))))</f>
        <v/>
      </c>
      <c r="F186" s="43" t="str">
        <f>IF(OR($B186="",$A186&gt;$B$9,F$171=""),"",IF(COUNTIFS(BD!$B$3:$B$5001,F$171,BD!$A$3:$A$5001,"&gt;="&amp;$C$7,BD!$A$3:$A$5001,"&lt;="&amp;$B186,BD!$X$3:$X$5001,"&lt;&gt;")=0,"",SUMIFS(BD!$X$3:$X$5001,BD!$B$3:$B$5001,F$171,BD!$A$3:$A$5001,_xlfn.MAXIFS(BD!$A$3:$A$5001,BD!$B$3:$B$5001,F$171,BD!$A$3:$A$5001,"&gt;="&amp;$C$7,BD!$A$3:$A$5001,"&lt;="&amp;$B186,BD!$X$3:$X$5001,"&lt;&gt;"))))</f>
        <v/>
      </c>
      <c r="G186" s="43" t="str">
        <f>IF(OR($B186="",$A186&gt;$B$9,G$171=""),"",IF(COUNTIFS(BD!$B$3:$B$5001,G$171,BD!$A$3:$A$5001,"&gt;="&amp;$C$7,BD!$A$3:$A$5001,"&lt;="&amp;$B186,BD!$X$3:$X$5001,"&lt;&gt;")=0,"",SUMIFS(BD!$X$3:$X$5001,BD!$B$3:$B$5001,G$171,BD!$A$3:$A$5001,_xlfn.MAXIFS(BD!$A$3:$A$5001,BD!$B$3:$B$5001,G$171,BD!$A$3:$A$5001,"&gt;="&amp;$C$7,BD!$A$3:$A$5001,"&lt;="&amp;$B186,BD!$X$3:$X$5001,"&lt;&gt;"))))</f>
        <v/>
      </c>
      <c r="H186" s="43" t="str">
        <f>IF(OR($B186="",$A186&gt;$B$9,H$171=""),"",IF(COUNTIFS(BD!$B$3:$B$5001,H$171,BD!$A$3:$A$5001,"&gt;="&amp;$C$7,BD!$A$3:$A$5001,"&lt;="&amp;$B186,BD!$X$3:$X$5001,"&lt;&gt;")=0,"",SUMIFS(BD!$X$3:$X$5001,BD!$B$3:$B$5001,H$171,BD!$A$3:$A$5001,_xlfn.MAXIFS(BD!$A$3:$A$5001,BD!$B$3:$B$5001,H$171,BD!$A$3:$A$5001,"&gt;="&amp;$C$7,BD!$A$3:$A$5001,"&lt;="&amp;$B186,BD!$X$3:$X$5001,"&lt;&gt;"))))</f>
        <v/>
      </c>
      <c r="I186" s="43" t="str">
        <f>IF(OR($B186="",$A186&gt;$B$9,I$171=""),"",IF(COUNTIFS(BD!$B$3:$B$5001,I$171,BD!$A$3:$A$5001,"&gt;="&amp;$C$7,BD!$A$3:$A$5001,"&lt;="&amp;$B186,BD!$X$3:$X$5001,"&lt;&gt;")=0,"",SUMIFS(BD!$X$3:$X$5001,BD!$B$3:$B$5001,I$171,BD!$A$3:$A$5001,_xlfn.MAXIFS(BD!$A$3:$A$5001,BD!$B$3:$B$5001,I$171,BD!$A$3:$A$5001,"&gt;="&amp;$C$7,BD!$A$3:$A$5001,"&lt;="&amp;$B186,BD!$X$3:$X$5001,"&lt;&gt;"))))</f>
        <v/>
      </c>
      <c r="J186" s="43" t="str">
        <f>IF(OR($B186="",$A186&gt;$B$9,J$171=""),"",IF(COUNTIFS(BD!$B$3:$B$5001,J$171,BD!$A$3:$A$5001,"&gt;="&amp;$C$7,BD!$A$3:$A$5001,"&lt;="&amp;$B186,BD!$X$3:$X$5001,"&lt;&gt;")=0,"",SUMIFS(BD!$X$3:$X$5001,BD!$B$3:$B$5001,J$171,BD!$A$3:$A$5001,_xlfn.MAXIFS(BD!$A$3:$A$5001,BD!$B$3:$B$5001,J$171,BD!$A$3:$A$5001,"&gt;="&amp;$C$7,BD!$A$3:$A$5001,"&lt;="&amp;$B186,BD!$X$3:$X$5001,"&lt;&gt;"))))</f>
        <v/>
      </c>
      <c r="K186" s="43" t="str">
        <f>IF(OR($B186="",$A186&gt;$B$9,K$171=""),"",IF(COUNTIFS(BD!$B$3:$B$5001,K$171,BD!$A$3:$A$5001,"&gt;="&amp;$C$7,BD!$A$3:$A$5001,"&lt;="&amp;$B186,BD!$X$3:$X$5001,"&lt;&gt;")=0,"",SUMIFS(BD!$X$3:$X$5001,BD!$B$3:$B$5001,K$171,BD!$A$3:$A$5001,_xlfn.MAXIFS(BD!$A$3:$A$5001,BD!$B$3:$B$5001,K$171,BD!$A$3:$A$5001,"&gt;="&amp;$C$7,BD!$A$3:$A$5001,"&lt;="&amp;$B186,BD!$X$3:$X$5001,"&lt;&gt;"))))</f>
        <v/>
      </c>
      <c r="L186" s="43" t="str">
        <f>IF(OR($B186="",$A186&gt;$B$9,L$171=""),"",IF(COUNTIFS(BD!$B$3:$B$5001,L$171,BD!$A$3:$A$5001,"&gt;="&amp;$C$7,BD!$A$3:$A$5001,"&lt;="&amp;$B186,BD!$X$3:$X$5001,"&lt;&gt;")=0,"",SUMIFS(BD!$X$3:$X$5001,BD!$B$3:$B$5001,L$171,BD!$A$3:$A$5001,_xlfn.MAXIFS(BD!$A$3:$A$5001,BD!$B$3:$B$5001,L$171,BD!$A$3:$A$5001,"&gt;="&amp;$C$7,BD!$A$3:$A$5001,"&lt;="&amp;$B186,BD!$X$3:$X$5001,"&lt;&gt;"))))</f>
        <v/>
      </c>
      <c r="M186" s="43" t="str">
        <f>IF(OR($B186="",$A186&gt;$B$9,M$171=""),"",IF(COUNTIFS(BD!$B$3:$B$5001,M$171,BD!$A$3:$A$5001,"&gt;="&amp;$C$7,BD!$A$3:$A$5001,"&lt;="&amp;$B186,BD!$X$3:$X$5001,"&lt;&gt;")=0,"",SUMIFS(BD!$X$3:$X$5001,BD!$B$3:$B$5001,M$171,BD!$A$3:$A$5001,_xlfn.MAXIFS(BD!$A$3:$A$5001,BD!$B$3:$B$5001,M$171,BD!$A$3:$A$5001,"&gt;="&amp;$C$7,BD!$A$3:$A$5001,"&lt;="&amp;$B186,BD!$X$3:$X$5001,"&lt;&gt;"))))</f>
        <v/>
      </c>
      <c r="N186" s="43" t="str">
        <f>IF(OR($B186="",$A186&gt;$B$9,N$171=""),"",IF(COUNTIFS(BD!$B$3:$B$5001,N$171,BD!$A$3:$A$5001,"&gt;="&amp;$C$7,BD!$A$3:$A$5001,"&lt;="&amp;$B186,BD!$X$3:$X$5001,"&lt;&gt;")=0,"",SUMIFS(BD!$X$3:$X$5001,BD!$B$3:$B$5001,N$171,BD!$A$3:$A$5001,_xlfn.MAXIFS(BD!$A$3:$A$5001,BD!$B$3:$B$5001,N$171,BD!$A$3:$A$5001,"&gt;="&amp;$C$7,BD!$A$3:$A$5001,"&lt;="&amp;$B186,BD!$X$3:$X$5001,"&lt;&gt;"))))</f>
        <v/>
      </c>
      <c r="O186" s="43" t="str">
        <f>IF(OR($B186="",$A186&gt;$B$9,O$171=""),"",IF(COUNTIFS(BD!$B$3:$B$5001,O$171,BD!$A$3:$A$5001,"&gt;="&amp;$C$7,BD!$A$3:$A$5001,"&lt;="&amp;$B186,BD!$X$3:$X$5001,"&lt;&gt;")=0,"",SUMIFS(BD!$X$3:$X$5001,BD!$B$3:$B$5001,O$171,BD!$A$3:$A$5001,_xlfn.MAXIFS(BD!$A$3:$A$5001,BD!$B$3:$B$5001,O$171,BD!$A$3:$A$5001,"&gt;="&amp;$C$7,BD!$A$3:$A$5001,"&lt;="&amp;$B186,BD!$X$3:$X$5001,"&lt;&gt;"))))</f>
        <v/>
      </c>
      <c r="P186" s="43" t="str">
        <f>IF(OR($B186="",$A186&gt;$B$9,P$171=""),"",IF(COUNTIFS(BD!$B$3:$B$5001,P$171,BD!$A$3:$A$5001,"&gt;="&amp;$C$7,BD!$A$3:$A$5001,"&lt;="&amp;$B186,BD!$X$3:$X$5001,"&lt;&gt;")=0,"",SUMIFS(BD!$X$3:$X$5001,BD!$B$3:$B$5001,P$171,BD!$A$3:$A$5001,_xlfn.MAXIFS(BD!$A$3:$A$5001,BD!$B$3:$B$5001,P$171,BD!$A$3:$A$5001,"&gt;="&amp;$C$7,BD!$A$3:$A$5001,"&lt;="&amp;$B186,BD!$X$3:$X$5001,"&lt;&gt;"))))</f>
        <v/>
      </c>
      <c r="Q186" s="43" t="str">
        <f>IF(OR($B186="",$A186&gt;$B$9,Q$171=""),"",IF(COUNTIFS(BD!$B$3:$B$5001,Q$171,BD!$A$3:$A$5001,"&gt;="&amp;$C$7,BD!$A$3:$A$5001,"&lt;="&amp;$B186,BD!$X$3:$X$5001,"&lt;&gt;")=0,"",SUMIFS(BD!$X$3:$X$5001,BD!$B$3:$B$5001,Q$171,BD!$A$3:$A$5001,_xlfn.MAXIFS(BD!$A$3:$A$5001,BD!$B$3:$B$5001,Q$171,BD!$A$3:$A$5001,"&gt;="&amp;$C$7,BD!$A$3:$A$5001,"&lt;="&amp;$B186,BD!$X$3:$X$5001,"&lt;&gt;"))))</f>
        <v/>
      </c>
      <c r="R186" s="43" t="str">
        <f>IF(OR($B186="",$A186&gt;$B$9,R$171=""),"",IF(COUNTIFS(BD!$B$3:$B$5001,R$171,BD!$A$3:$A$5001,"&gt;="&amp;$C$7,BD!$A$3:$A$5001,"&lt;="&amp;$B186,BD!$X$3:$X$5001,"&lt;&gt;")=0,"",SUMIFS(BD!$X$3:$X$5001,BD!$B$3:$B$5001,R$171,BD!$A$3:$A$5001,_xlfn.MAXIFS(BD!$A$3:$A$5001,BD!$B$3:$B$5001,R$171,BD!$A$3:$A$5001,"&gt;="&amp;$C$7,BD!$A$3:$A$5001,"&lt;="&amp;$B186,BD!$X$3:$X$5001,"&lt;&gt;"))))</f>
        <v/>
      </c>
      <c r="S186" s="43" t="str">
        <f>IF(OR($B186="",$A186&gt;$B$9,S$171=""),"",IF(COUNTIFS(BD!$B$3:$B$5001,S$171,BD!$A$3:$A$5001,"&gt;="&amp;$C$7,BD!$A$3:$A$5001,"&lt;="&amp;$B186,BD!$X$3:$X$5001,"&lt;&gt;")=0,"",SUMIFS(BD!$X$3:$X$5001,BD!$B$3:$B$5001,S$171,BD!$A$3:$A$5001,_xlfn.MAXIFS(BD!$A$3:$A$5001,BD!$B$3:$B$5001,S$171,BD!$A$3:$A$5001,"&gt;="&amp;$C$7,BD!$A$3:$A$5001,"&lt;="&amp;$B186,BD!$X$3:$X$5001,"&lt;&gt;"))))</f>
        <v/>
      </c>
      <c r="T186" s="43" t="str">
        <f>IF(OR($B186="",$A186&gt;$B$9,T$171=""),"",IF(COUNTIFS(BD!$B$3:$B$5001,T$171,BD!$A$3:$A$5001,"&gt;="&amp;$C$7,BD!$A$3:$A$5001,"&lt;="&amp;$B186,BD!$X$3:$X$5001,"&lt;&gt;")=0,"",SUMIFS(BD!$X$3:$X$5001,BD!$B$3:$B$5001,T$171,BD!$A$3:$A$5001,_xlfn.MAXIFS(BD!$A$3:$A$5001,BD!$B$3:$B$5001,T$171,BD!$A$3:$A$5001,"&gt;="&amp;$C$7,BD!$A$3:$A$5001,"&lt;="&amp;$B186,BD!$X$3:$X$5001,"&lt;&gt;"))))</f>
        <v/>
      </c>
      <c r="U186" s="43" t="str">
        <f>IF(OR($B186="",$A186&gt;$B$9,U$171=""),"",IF(COUNTIFS(BD!$B$3:$B$5001,U$171,BD!$A$3:$A$5001,"&gt;="&amp;$C$7,BD!$A$3:$A$5001,"&lt;="&amp;$B186,BD!$X$3:$X$5001,"&lt;&gt;")=0,"",SUMIFS(BD!$X$3:$X$5001,BD!$B$3:$B$5001,U$171,BD!$A$3:$A$5001,_xlfn.MAXIFS(BD!$A$3:$A$5001,BD!$B$3:$B$5001,U$171,BD!$A$3:$A$5001,"&gt;="&amp;$C$7,BD!$A$3:$A$5001,"&lt;="&amp;$B186,BD!$X$3:$X$5001,"&lt;&gt;"))))</f>
        <v/>
      </c>
      <c r="V186" s="43" t="str">
        <f>IF(OR($B186="",$A186&gt;$B$9,V$171=""),"",IF(COUNTIFS(BD!$B$3:$B$5001,V$171,BD!$A$3:$A$5001,"&gt;="&amp;$C$7,BD!$A$3:$A$5001,"&lt;="&amp;$B186,BD!$X$3:$X$5001,"&lt;&gt;")=0,"",SUMIFS(BD!$X$3:$X$5001,BD!$B$3:$B$5001,V$171,BD!$A$3:$A$5001,_xlfn.MAXIFS(BD!$A$3:$A$5001,BD!$B$3:$B$5001,V$171,BD!$A$3:$A$5001,"&gt;="&amp;$C$7,BD!$A$3:$A$5001,"&lt;="&amp;$B186,BD!$X$3:$X$5001,"&lt;&gt;"))))</f>
        <v/>
      </c>
    </row>
    <row r="187">
      <c r="A187" s="38">
        <v>16</v>
      </c>
      <c r="B187" s="42">
        <f>$B$27</f>
        <v>46311</v>
      </c>
      <c r="C187" s="43" t="str">
        <f>IF(OR($B187="",$A187&gt;$B$9,C$171=""),"",IF(COUNTIFS(BD!$B$3:$B$5001,C$171,BD!$A$3:$A$5001,"&gt;="&amp;$C$7,BD!$A$3:$A$5001,"&lt;="&amp;$B187,BD!$X$3:$X$5001,"&lt;&gt;")=0,"",SUMIFS(BD!$X$3:$X$5001,BD!$B$3:$B$5001,C$171,BD!$A$3:$A$5001,_xlfn.MAXIFS(BD!$A$3:$A$5001,BD!$B$3:$B$5001,C$171,BD!$A$3:$A$5001,"&gt;="&amp;$C$7,BD!$A$3:$A$5001,"&lt;="&amp;$B187,BD!$X$3:$X$5001,"&lt;&gt;"))))</f>
        <v/>
      </c>
      <c r="D187" s="43" t="str">
        <f>IF(OR($B187="",$A187&gt;$B$9,D$171=""),"",IF(COUNTIFS(BD!$B$3:$B$5001,D$171,BD!$A$3:$A$5001,"&gt;="&amp;$C$7,BD!$A$3:$A$5001,"&lt;="&amp;$B187,BD!$X$3:$X$5001,"&lt;&gt;")=0,"",SUMIFS(BD!$X$3:$X$5001,BD!$B$3:$B$5001,D$171,BD!$A$3:$A$5001,_xlfn.MAXIFS(BD!$A$3:$A$5001,BD!$B$3:$B$5001,D$171,BD!$A$3:$A$5001,"&gt;="&amp;$C$7,BD!$A$3:$A$5001,"&lt;="&amp;$B187,BD!$X$3:$X$5001,"&lt;&gt;"))))</f>
        <v/>
      </c>
      <c r="E187" s="43" t="str">
        <f>IF(OR($B187="",$A187&gt;$B$9,E$171=""),"",IF(COUNTIFS(BD!$B$3:$B$5001,E$171,BD!$A$3:$A$5001,"&gt;="&amp;$C$7,BD!$A$3:$A$5001,"&lt;="&amp;$B187,BD!$X$3:$X$5001,"&lt;&gt;")=0,"",SUMIFS(BD!$X$3:$X$5001,BD!$B$3:$B$5001,E$171,BD!$A$3:$A$5001,_xlfn.MAXIFS(BD!$A$3:$A$5001,BD!$B$3:$B$5001,E$171,BD!$A$3:$A$5001,"&gt;="&amp;$C$7,BD!$A$3:$A$5001,"&lt;="&amp;$B187,BD!$X$3:$X$5001,"&lt;&gt;"))))</f>
        <v/>
      </c>
      <c r="F187" s="43" t="str">
        <f>IF(OR($B187="",$A187&gt;$B$9,F$171=""),"",IF(COUNTIFS(BD!$B$3:$B$5001,F$171,BD!$A$3:$A$5001,"&gt;="&amp;$C$7,BD!$A$3:$A$5001,"&lt;="&amp;$B187,BD!$X$3:$X$5001,"&lt;&gt;")=0,"",SUMIFS(BD!$X$3:$X$5001,BD!$B$3:$B$5001,F$171,BD!$A$3:$A$5001,_xlfn.MAXIFS(BD!$A$3:$A$5001,BD!$B$3:$B$5001,F$171,BD!$A$3:$A$5001,"&gt;="&amp;$C$7,BD!$A$3:$A$5001,"&lt;="&amp;$B187,BD!$X$3:$X$5001,"&lt;&gt;"))))</f>
        <v/>
      </c>
      <c r="G187" s="43" t="str">
        <f>IF(OR($B187="",$A187&gt;$B$9,G$171=""),"",IF(COUNTIFS(BD!$B$3:$B$5001,G$171,BD!$A$3:$A$5001,"&gt;="&amp;$C$7,BD!$A$3:$A$5001,"&lt;="&amp;$B187,BD!$X$3:$X$5001,"&lt;&gt;")=0,"",SUMIFS(BD!$X$3:$X$5001,BD!$B$3:$B$5001,G$171,BD!$A$3:$A$5001,_xlfn.MAXIFS(BD!$A$3:$A$5001,BD!$B$3:$B$5001,G$171,BD!$A$3:$A$5001,"&gt;="&amp;$C$7,BD!$A$3:$A$5001,"&lt;="&amp;$B187,BD!$X$3:$X$5001,"&lt;&gt;"))))</f>
        <v/>
      </c>
      <c r="H187" s="43" t="str">
        <f>IF(OR($B187="",$A187&gt;$B$9,H$171=""),"",IF(COUNTIFS(BD!$B$3:$B$5001,H$171,BD!$A$3:$A$5001,"&gt;="&amp;$C$7,BD!$A$3:$A$5001,"&lt;="&amp;$B187,BD!$X$3:$X$5001,"&lt;&gt;")=0,"",SUMIFS(BD!$X$3:$X$5001,BD!$B$3:$B$5001,H$171,BD!$A$3:$A$5001,_xlfn.MAXIFS(BD!$A$3:$A$5001,BD!$B$3:$B$5001,H$171,BD!$A$3:$A$5001,"&gt;="&amp;$C$7,BD!$A$3:$A$5001,"&lt;="&amp;$B187,BD!$X$3:$X$5001,"&lt;&gt;"))))</f>
        <v/>
      </c>
      <c r="I187" s="43" t="str">
        <f>IF(OR($B187="",$A187&gt;$B$9,I$171=""),"",IF(COUNTIFS(BD!$B$3:$B$5001,I$171,BD!$A$3:$A$5001,"&gt;="&amp;$C$7,BD!$A$3:$A$5001,"&lt;="&amp;$B187,BD!$X$3:$X$5001,"&lt;&gt;")=0,"",SUMIFS(BD!$X$3:$X$5001,BD!$B$3:$B$5001,I$171,BD!$A$3:$A$5001,_xlfn.MAXIFS(BD!$A$3:$A$5001,BD!$B$3:$B$5001,I$171,BD!$A$3:$A$5001,"&gt;="&amp;$C$7,BD!$A$3:$A$5001,"&lt;="&amp;$B187,BD!$X$3:$X$5001,"&lt;&gt;"))))</f>
        <v/>
      </c>
      <c r="J187" s="43" t="str">
        <f>IF(OR($B187="",$A187&gt;$B$9,J$171=""),"",IF(COUNTIFS(BD!$B$3:$B$5001,J$171,BD!$A$3:$A$5001,"&gt;="&amp;$C$7,BD!$A$3:$A$5001,"&lt;="&amp;$B187,BD!$X$3:$X$5001,"&lt;&gt;")=0,"",SUMIFS(BD!$X$3:$X$5001,BD!$B$3:$B$5001,J$171,BD!$A$3:$A$5001,_xlfn.MAXIFS(BD!$A$3:$A$5001,BD!$B$3:$B$5001,J$171,BD!$A$3:$A$5001,"&gt;="&amp;$C$7,BD!$A$3:$A$5001,"&lt;="&amp;$B187,BD!$X$3:$X$5001,"&lt;&gt;"))))</f>
        <v/>
      </c>
      <c r="K187" s="43" t="str">
        <f>IF(OR($B187="",$A187&gt;$B$9,K$171=""),"",IF(COUNTIFS(BD!$B$3:$B$5001,K$171,BD!$A$3:$A$5001,"&gt;="&amp;$C$7,BD!$A$3:$A$5001,"&lt;="&amp;$B187,BD!$X$3:$X$5001,"&lt;&gt;")=0,"",SUMIFS(BD!$X$3:$X$5001,BD!$B$3:$B$5001,K$171,BD!$A$3:$A$5001,_xlfn.MAXIFS(BD!$A$3:$A$5001,BD!$B$3:$B$5001,K$171,BD!$A$3:$A$5001,"&gt;="&amp;$C$7,BD!$A$3:$A$5001,"&lt;="&amp;$B187,BD!$X$3:$X$5001,"&lt;&gt;"))))</f>
        <v/>
      </c>
      <c r="L187" s="43" t="str">
        <f>IF(OR($B187="",$A187&gt;$B$9,L$171=""),"",IF(COUNTIFS(BD!$B$3:$B$5001,L$171,BD!$A$3:$A$5001,"&gt;="&amp;$C$7,BD!$A$3:$A$5001,"&lt;="&amp;$B187,BD!$X$3:$X$5001,"&lt;&gt;")=0,"",SUMIFS(BD!$X$3:$X$5001,BD!$B$3:$B$5001,L$171,BD!$A$3:$A$5001,_xlfn.MAXIFS(BD!$A$3:$A$5001,BD!$B$3:$B$5001,L$171,BD!$A$3:$A$5001,"&gt;="&amp;$C$7,BD!$A$3:$A$5001,"&lt;="&amp;$B187,BD!$X$3:$X$5001,"&lt;&gt;"))))</f>
        <v/>
      </c>
      <c r="M187" s="43" t="str">
        <f>IF(OR($B187="",$A187&gt;$B$9,M$171=""),"",IF(COUNTIFS(BD!$B$3:$B$5001,M$171,BD!$A$3:$A$5001,"&gt;="&amp;$C$7,BD!$A$3:$A$5001,"&lt;="&amp;$B187,BD!$X$3:$X$5001,"&lt;&gt;")=0,"",SUMIFS(BD!$X$3:$X$5001,BD!$B$3:$B$5001,M$171,BD!$A$3:$A$5001,_xlfn.MAXIFS(BD!$A$3:$A$5001,BD!$B$3:$B$5001,M$171,BD!$A$3:$A$5001,"&gt;="&amp;$C$7,BD!$A$3:$A$5001,"&lt;="&amp;$B187,BD!$X$3:$X$5001,"&lt;&gt;"))))</f>
        <v/>
      </c>
      <c r="N187" s="43" t="str">
        <f>IF(OR($B187="",$A187&gt;$B$9,N$171=""),"",IF(COUNTIFS(BD!$B$3:$B$5001,N$171,BD!$A$3:$A$5001,"&gt;="&amp;$C$7,BD!$A$3:$A$5001,"&lt;="&amp;$B187,BD!$X$3:$X$5001,"&lt;&gt;")=0,"",SUMIFS(BD!$X$3:$X$5001,BD!$B$3:$B$5001,N$171,BD!$A$3:$A$5001,_xlfn.MAXIFS(BD!$A$3:$A$5001,BD!$B$3:$B$5001,N$171,BD!$A$3:$A$5001,"&gt;="&amp;$C$7,BD!$A$3:$A$5001,"&lt;="&amp;$B187,BD!$X$3:$X$5001,"&lt;&gt;"))))</f>
        <v/>
      </c>
      <c r="O187" s="43" t="str">
        <f>IF(OR($B187="",$A187&gt;$B$9,O$171=""),"",IF(COUNTIFS(BD!$B$3:$B$5001,O$171,BD!$A$3:$A$5001,"&gt;="&amp;$C$7,BD!$A$3:$A$5001,"&lt;="&amp;$B187,BD!$X$3:$X$5001,"&lt;&gt;")=0,"",SUMIFS(BD!$X$3:$X$5001,BD!$B$3:$B$5001,O$171,BD!$A$3:$A$5001,_xlfn.MAXIFS(BD!$A$3:$A$5001,BD!$B$3:$B$5001,O$171,BD!$A$3:$A$5001,"&gt;="&amp;$C$7,BD!$A$3:$A$5001,"&lt;="&amp;$B187,BD!$X$3:$X$5001,"&lt;&gt;"))))</f>
        <v/>
      </c>
      <c r="P187" s="43" t="str">
        <f>IF(OR($B187="",$A187&gt;$B$9,P$171=""),"",IF(COUNTIFS(BD!$B$3:$B$5001,P$171,BD!$A$3:$A$5001,"&gt;="&amp;$C$7,BD!$A$3:$A$5001,"&lt;="&amp;$B187,BD!$X$3:$X$5001,"&lt;&gt;")=0,"",SUMIFS(BD!$X$3:$X$5001,BD!$B$3:$B$5001,P$171,BD!$A$3:$A$5001,_xlfn.MAXIFS(BD!$A$3:$A$5001,BD!$B$3:$B$5001,P$171,BD!$A$3:$A$5001,"&gt;="&amp;$C$7,BD!$A$3:$A$5001,"&lt;="&amp;$B187,BD!$X$3:$X$5001,"&lt;&gt;"))))</f>
        <v/>
      </c>
      <c r="Q187" s="43" t="str">
        <f>IF(OR($B187="",$A187&gt;$B$9,Q$171=""),"",IF(COUNTIFS(BD!$B$3:$B$5001,Q$171,BD!$A$3:$A$5001,"&gt;="&amp;$C$7,BD!$A$3:$A$5001,"&lt;="&amp;$B187,BD!$X$3:$X$5001,"&lt;&gt;")=0,"",SUMIFS(BD!$X$3:$X$5001,BD!$B$3:$B$5001,Q$171,BD!$A$3:$A$5001,_xlfn.MAXIFS(BD!$A$3:$A$5001,BD!$B$3:$B$5001,Q$171,BD!$A$3:$A$5001,"&gt;="&amp;$C$7,BD!$A$3:$A$5001,"&lt;="&amp;$B187,BD!$X$3:$X$5001,"&lt;&gt;"))))</f>
        <v/>
      </c>
      <c r="R187" s="43" t="str">
        <f>IF(OR($B187="",$A187&gt;$B$9,R$171=""),"",IF(COUNTIFS(BD!$B$3:$B$5001,R$171,BD!$A$3:$A$5001,"&gt;="&amp;$C$7,BD!$A$3:$A$5001,"&lt;="&amp;$B187,BD!$X$3:$X$5001,"&lt;&gt;")=0,"",SUMIFS(BD!$X$3:$X$5001,BD!$B$3:$B$5001,R$171,BD!$A$3:$A$5001,_xlfn.MAXIFS(BD!$A$3:$A$5001,BD!$B$3:$B$5001,R$171,BD!$A$3:$A$5001,"&gt;="&amp;$C$7,BD!$A$3:$A$5001,"&lt;="&amp;$B187,BD!$X$3:$X$5001,"&lt;&gt;"))))</f>
        <v/>
      </c>
      <c r="S187" s="43" t="str">
        <f>IF(OR($B187="",$A187&gt;$B$9,S$171=""),"",IF(COUNTIFS(BD!$B$3:$B$5001,S$171,BD!$A$3:$A$5001,"&gt;="&amp;$C$7,BD!$A$3:$A$5001,"&lt;="&amp;$B187,BD!$X$3:$X$5001,"&lt;&gt;")=0,"",SUMIFS(BD!$X$3:$X$5001,BD!$B$3:$B$5001,S$171,BD!$A$3:$A$5001,_xlfn.MAXIFS(BD!$A$3:$A$5001,BD!$B$3:$B$5001,S$171,BD!$A$3:$A$5001,"&gt;="&amp;$C$7,BD!$A$3:$A$5001,"&lt;="&amp;$B187,BD!$X$3:$X$5001,"&lt;&gt;"))))</f>
        <v/>
      </c>
      <c r="T187" s="43" t="str">
        <f>IF(OR($B187="",$A187&gt;$B$9,T$171=""),"",IF(COUNTIFS(BD!$B$3:$B$5001,T$171,BD!$A$3:$A$5001,"&gt;="&amp;$C$7,BD!$A$3:$A$5001,"&lt;="&amp;$B187,BD!$X$3:$X$5001,"&lt;&gt;")=0,"",SUMIFS(BD!$X$3:$X$5001,BD!$B$3:$B$5001,T$171,BD!$A$3:$A$5001,_xlfn.MAXIFS(BD!$A$3:$A$5001,BD!$B$3:$B$5001,T$171,BD!$A$3:$A$5001,"&gt;="&amp;$C$7,BD!$A$3:$A$5001,"&lt;="&amp;$B187,BD!$X$3:$X$5001,"&lt;&gt;"))))</f>
        <v/>
      </c>
      <c r="U187" s="43" t="str">
        <f>IF(OR($B187="",$A187&gt;$B$9,U$171=""),"",IF(COUNTIFS(BD!$B$3:$B$5001,U$171,BD!$A$3:$A$5001,"&gt;="&amp;$C$7,BD!$A$3:$A$5001,"&lt;="&amp;$B187,BD!$X$3:$X$5001,"&lt;&gt;")=0,"",SUMIFS(BD!$X$3:$X$5001,BD!$B$3:$B$5001,U$171,BD!$A$3:$A$5001,_xlfn.MAXIFS(BD!$A$3:$A$5001,BD!$B$3:$B$5001,U$171,BD!$A$3:$A$5001,"&gt;="&amp;$C$7,BD!$A$3:$A$5001,"&lt;="&amp;$B187,BD!$X$3:$X$5001,"&lt;&gt;"))))</f>
        <v/>
      </c>
      <c r="V187" s="43" t="str">
        <f>IF(OR($B187="",$A187&gt;$B$9,V$171=""),"",IF(COUNTIFS(BD!$B$3:$B$5001,V$171,BD!$A$3:$A$5001,"&gt;="&amp;$C$7,BD!$A$3:$A$5001,"&lt;="&amp;$B187,BD!$X$3:$X$5001,"&lt;&gt;")=0,"",SUMIFS(BD!$X$3:$X$5001,BD!$B$3:$B$5001,V$171,BD!$A$3:$A$5001,_xlfn.MAXIFS(BD!$A$3:$A$5001,BD!$B$3:$B$5001,V$171,BD!$A$3:$A$5001,"&gt;="&amp;$C$7,BD!$A$3:$A$5001,"&lt;="&amp;$B187,BD!$X$3:$X$5001,"&lt;&gt;"))))</f>
        <v/>
      </c>
    </row>
    <row r="188">
      <c r="A188" s="38">
        <v>17</v>
      </c>
      <c r="B188" s="42">
        <f>$B$28</f>
        <v>46312</v>
      </c>
      <c r="C188" s="43" t="str">
        <f>IF(OR($B188="",$A188&gt;$B$9,C$171=""),"",IF(COUNTIFS(BD!$B$3:$B$5001,C$171,BD!$A$3:$A$5001,"&gt;="&amp;$C$7,BD!$A$3:$A$5001,"&lt;="&amp;$B188,BD!$X$3:$X$5001,"&lt;&gt;")=0,"",SUMIFS(BD!$X$3:$X$5001,BD!$B$3:$B$5001,C$171,BD!$A$3:$A$5001,_xlfn.MAXIFS(BD!$A$3:$A$5001,BD!$B$3:$B$5001,C$171,BD!$A$3:$A$5001,"&gt;="&amp;$C$7,BD!$A$3:$A$5001,"&lt;="&amp;$B188,BD!$X$3:$X$5001,"&lt;&gt;"))))</f>
        <v/>
      </c>
      <c r="D188" s="43" t="str">
        <f>IF(OR($B188="",$A188&gt;$B$9,D$171=""),"",IF(COUNTIFS(BD!$B$3:$B$5001,D$171,BD!$A$3:$A$5001,"&gt;="&amp;$C$7,BD!$A$3:$A$5001,"&lt;="&amp;$B188,BD!$X$3:$X$5001,"&lt;&gt;")=0,"",SUMIFS(BD!$X$3:$X$5001,BD!$B$3:$B$5001,D$171,BD!$A$3:$A$5001,_xlfn.MAXIFS(BD!$A$3:$A$5001,BD!$B$3:$B$5001,D$171,BD!$A$3:$A$5001,"&gt;="&amp;$C$7,BD!$A$3:$A$5001,"&lt;="&amp;$B188,BD!$X$3:$X$5001,"&lt;&gt;"))))</f>
        <v/>
      </c>
      <c r="E188" s="43" t="str">
        <f>IF(OR($B188="",$A188&gt;$B$9,E$171=""),"",IF(COUNTIFS(BD!$B$3:$B$5001,E$171,BD!$A$3:$A$5001,"&gt;="&amp;$C$7,BD!$A$3:$A$5001,"&lt;="&amp;$B188,BD!$X$3:$X$5001,"&lt;&gt;")=0,"",SUMIFS(BD!$X$3:$X$5001,BD!$B$3:$B$5001,E$171,BD!$A$3:$A$5001,_xlfn.MAXIFS(BD!$A$3:$A$5001,BD!$B$3:$B$5001,E$171,BD!$A$3:$A$5001,"&gt;="&amp;$C$7,BD!$A$3:$A$5001,"&lt;="&amp;$B188,BD!$X$3:$X$5001,"&lt;&gt;"))))</f>
        <v/>
      </c>
      <c r="F188" s="43" t="str">
        <f>IF(OR($B188="",$A188&gt;$B$9,F$171=""),"",IF(COUNTIFS(BD!$B$3:$B$5001,F$171,BD!$A$3:$A$5001,"&gt;="&amp;$C$7,BD!$A$3:$A$5001,"&lt;="&amp;$B188,BD!$X$3:$X$5001,"&lt;&gt;")=0,"",SUMIFS(BD!$X$3:$X$5001,BD!$B$3:$B$5001,F$171,BD!$A$3:$A$5001,_xlfn.MAXIFS(BD!$A$3:$A$5001,BD!$B$3:$B$5001,F$171,BD!$A$3:$A$5001,"&gt;="&amp;$C$7,BD!$A$3:$A$5001,"&lt;="&amp;$B188,BD!$X$3:$X$5001,"&lt;&gt;"))))</f>
        <v/>
      </c>
      <c r="G188" s="43" t="str">
        <f>IF(OR($B188="",$A188&gt;$B$9,G$171=""),"",IF(COUNTIFS(BD!$B$3:$B$5001,G$171,BD!$A$3:$A$5001,"&gt;="&amp;$C$7,BD!$A$3:$A$5001,"&lt;="&amp;$B188,BD!$X$3:$X$5001,"&lt;&gt;")=0,"",SUMIFS(BD!$X$3:$X$5001,BD!$B$3:$B$5001,G$171,BD!$A$3:$A$5001,_xlfn.MAXIFS(BD!$A$3:$A$5001,BD!$B$3:$B$5001,G$171,BD!$A$3:$A$5001,"&gt;="&amp;$C$7,BD!$A$3:$A$5001,"&lt;="&amp;$B188,BD!$X$3:$X$5001,"&lt;&gt;"))))</f>
        <v/>
      </c>
      <c r="H188" s="43" t="str">
        <f>IF(OR($B188="",$A188&gt;$B$9,H$171=""),"",IF(COUNTIFS(BD!$B$3:$B$5001,H$171,BD!$A$3:$A$5001,"&gt;="&amp;$C$7,BD!$A$3:$A$5001,"&lt;="&amp;$B188,BD!$X$3:$X$5001,"&lt;&gt;")=0,"",SUMIFS(BD!$X$3:$X$5001,BD!$B$3:$B$5001,H$171,BD!$A$3:$A$5001,_xlfn.MAXIFS(BD!$A$3:$A$5001,BD!$B$3:$B$5001,H$171,BD!$A$3:$A$5001,"&gt;="&amp;$C$7,BD!$A$3:$A$5001,"&lt;="&amp;$B188,BD!$X$3:$X$5001,"&lt;&gt;"))))</f>
        <v/>
      </c>
      <c r="I188" s="43" t="str">
        <f>IF(OR($B188="",$A188&gt;$B$9,I$171=""),"",IF(COUNTIFS(BD!$B$3:$B$5001,I$171,BD!$A$3:$A$5001,"&gt;="&amp;$C$7,BD!$A$3:$A$5001,"&lt;="&amp;$B188,BD!$X$3:$X$5001,"&lt;&gt;")=0,"",SUMIFS(BD!$X$3:$X$5001,BD!$B$3:$B$5001,I$171,BD!$A$3:$A$5001,_xlfn.MAXIFS(BD!$A$3:$A$5001,BD!$B$3:$B$5001,I$171,BD!$A$3:$A$5001,"&gt;="&amp;$C$7,BD!$A$3:$A$5001,"&lt;="&amp;$B188,BD!$X$3:$X$5001,"&lt;&gt;"))))</f>
        <v/>
      </c>
      <c r="J188" s="43" t="str">
        <f>IF(OR($B188="",$A188&gt;$B$9,J$171=""),"",IF(COUNTIFS(BD!$B$3:$B$5001,J$171,BD!$A$3:$A$5001,"&gt;="&amp;$C$7,BD!$A$3:$A$5001,"&lt;="&amp;$B188,BD!$X$3:$X$5001,"&lt;&gt;")=0,"",SUMIFS(BD!$X$3:$X$5001,BD!$B$3:$B$5001,J$171,BD!$A$3:$A$5001,_xlfn.MAXIFS(BD!$A$3:$A$5001,BD!$B$3:$B$5001,J$171,BD!$A$3:$A$5001,"&gt;="&amp;$C$7,BD!$A$3:$A$5001,"&lt;="&amp;$B188,BD!$X$3:$X$5001,"&lt;&gt;"))))</f>
        <v/>
      </c>
      <c r="K188" s="43" t="str">
        <f>IF(OR($B188="",$A188&gt;$B$9,K$171=""),"",IF(COUNTIFS(BD!$B$3:$B$5001,K$171,BD!$A$3:$A$5001,"&gt;="&amp;$C$7,BD!$A$3:$A$5001,"&lt;="&amp;$B188,BD!$X$3:$X$5001,"&lt;&gt;")=0,"",SUMIFS(BD!$X$3:$X$5001,BD!$B$3:$B$5001,K$171,BD!$A$3:$A$5001,_xlfn.MAXIFS(BD!$A$3:$A$5001,BD!$B$3:$B$5001,K$171,BD!$A$3:$A$5001,"&gt;="&amp;$C$7,BD!$A$3:$A$5001,"&lt;="&amp;$B188,BD!$X$3:$X$5001,"&lt;&gt;"))))</f>
        <v/>
      </c>
      <c r="L188" s="43" t="str">
        <f>IF(OR($B188="",$A188&gt;$B$9,L$171=""),"",IF(COUNTIFS(BD!$B$3:$B$5001,L$171,BD!$A$3:$A$5001,"&gt;="&amp;$C$7,BD!$A$3:$A$5001,"&lt;="&amp;$B188,BD!$X$3:$X$5001,"&lt;&gt;")=0,"",SUMIFS(BD!$X$3:$X$5001,BD!$B$3:$B$5001,L$171,BD!$A$3:$A$5001,_xlfn.MAXIFS(BD!$A$3:$A$5001,BD!$B$3:$B$5001,L$171,BD!$A$3:$A$5001,"&gt;="&amp;$C$7,BD!$A$3:$A$5001,"&lt;="&amp;$B188,BD!$X$3:$X$5001,"&lt;&gt;"))))</f>
        <v/>
      </c>
      <c r="M188" s="43" t="str">
        <f>IF(OR($B188="",$A188&gt;$B$9,M$171=""),"",IF(COUNTIFS(BD!$B$3:$B$5001,M$171,BD!$A$3:$A$5001,"&gt;="&amp;$C$7,BD!$A$3:$A$5001,"&lt;="&amp;$B188,BD!$X$3:$X$5001,"&lt;&gt;")=0,"",SUMIFS(BD!$X$3:$X$5001,BD!$B$3:$B$5001,M$171,BD!$A$3:$A$5001,_xlfn.MAXIFS(BD!$A$3:$A$5001,BD!$B$3:$B$5001,M$171,BD!$A$3:$A$5001,"&gt;="&amp;$C$7,BD!$A$3:$A$5001,"&lt;="&amp;$B188,BD!$X$3:$X$5001,"&lt;&gt;"))))</f>
        <v/>
      </c>
      <c r="N188" s="43" t="str">
        <f>IF(OR($B188="",$A188&gt;$B$9,N$171=""),"",IF(COUNTIFS(BD!$B$3:$B$5001,N$171,BD!$A$3:$A$5001,"&gt;="&amp;$C$7,BD!$A$3:$A$5001,"&lt;="&amp;$B188,BD!$X$3:$X$5001,"&lt;&gt;")=0,"",SUMIFS(BD!$X$3:$X$5001,BD!$B$3:$B$5001,N$171,BD!$A$3:$A$5001,_xlfn.MAXIFS(BD!$A$3:$A$5001,BD!$B$3:$B$5001,N$171,BD!$A$3:$A$5001,"&gt;="&amp;$C$7,BD!$A$3:$A$5001,"&lt;="&amp;$B188,BD!$X$3:$X$5001,"&lt;&gt;"))))</f>
        <v/>
      </c>
      <c r="O188" s="43" t="str">
        <f>IF(OR($B188="",$A188&gt;$B$9,O$171=""),"",IF(COUNTIFS(BD!$B$3:$B$5001,O$171,BD!$A$3:$A$5001,"&gt;="&amp;$C$7,BD!$A$3:$A$5001,"&lt;="&amp;$B188,BD!$X$3:$X$5001,"&lt;&gt;")=0,"",SUMIFS(BD!$X$3:$X$5001,BD!$B$3:$B$5001,O$171,BD!$A$3:$A$5001,_xlfn.MAXIFS(BD!$A$3:$A$5001,BD!$B$3:$B$5001,O$171,BD!$A$3:$A$5001,"&gt;="&amp;$C$7,BD!$A$3:$A$5001,"&lt;="&amp;$B188,BD!$X$3:$X$5001,"&lt;&gt;"))))</f>
        <v/>
      </c>
      <c r="P188" s="43" t="str">
        <f>IF(OR($B188="",$A188&gt;$B$9,P$171=""),"",IF(COUNTIFS(BD!$B$3:$B$5001,P$171,BD!$A$3:$A$5001,"&gt;="&amp;$C$7,BD!$A$3:$A$5001,"&lt;="&amp;$B188,BD!$X$3:$X$5001,"&lt;&gt;")=0,"",SUMIFS(BD!$X$3:$X$5001,BD!$B$3:$B$5001,P$171,BD!$A$3:$A$5001,_xlfn.MAXIFS(BD!$A$3:$A$5001,BD!$B$3:$B$5001,P$171,BD!$A$3:$A$5001,"&gt;="&amp;$C$7,BD!$A$3:$A$5001,"&lt;="&amp;$B188,BD!$X$3:$X$5001,"&lt;&gt;"))))</f>
        <v/>
      </c>
      <c r="Q188" s="43" t="str">
        <f>IF(OR($B188="",$A188&gt;$B$9,Q$171=""),"",IF(COUNTIFS(BD!$B$3:$B$5001,Q$171,BD!$A$3:$A$5001,"&gt;="&amp;$C$7,BD!$A$3:$A$5001,"&lt;="&amp;$B188,BD!$X$3:$X$5001,"&lt;&gt;")=0,"",SUMIFS(BD!$X$3:$X$5001,BD!$B$3:$B$5001,Q$171,BD!$A$3:$A$5001,_xlfn.MAXIFS(BD!$A$3:$A$5001,BD!$B$3:$B$5001,Q$171,BD!$A$3:$A$5001,"&gt;="&amp;$C$7,BD!$A$3:$A$5001,"&lt;="&amp;$B188,BD!$X$3:$X$5001,"&lt;&gt;"))))</f>
        <v/>
      </c>
      <c r="R188" s="43" t="str">
        <f>IF(OR($B188="",$A188&gt;$B$9,R$171=""),"",IF(COUNTIFS(BD!$B$3:$B$5001,R$171,BD!$A$3:$A$5001,"&gt;="&amp;$C$7,BD!$A$3:$A$5001,"&lt;="&amp;$B188,BD!$X$3:$X$5001,"&lt;&gt;")=0,"",SUMIFS(BD!$X$3:$X$5001,BD!$B$3:$B$5001,R$171,BD!$A$3:$A$5001,_xlfn.MAXIFS(BD!$A$3:$A$5001,BD!$B$3:$B$5001,R$171,BD!$A$3:$A$5001,"&gt;="&amp;$C$7,BD!$A$3:$A$5001,"&lt;="&amp;$B188,BD!$X$3:$X$5001,"&lt;&gt;"))))</f>
        <v/>
      </c>
      <c r="S188" s="43" t="str">
        <f>IF(OR($B188="",$A188&gt;$B$9,S$171=""),"",IF(COUNTIFS(BD!$B$3:$B$5001,S$171,BD!$A$3:$A$5001,"&gt;="&amp;$C$7,BD!$A$3:$A$5001,"&lt;="&amp;$B188,BD!$X$3:$X$5001,"&lt;&gt;")=0,"",SUMIFS(BD!$X$3:$X$5001,BD!$B$3:$B$5001,S$171,BD!$A$3:$A$5001,_xlfn.MAXIFS(BD!$A$3:$A$5001,BD!$B$3:$B$5001,S$171,BD!$A$3:$A$5001,"&gt;="&amp;$C$7,BD!$A$3:$A$5001,"&lt;="&amp;$B188,BD!$X$3:$X$5001,"&lt;&gt;"))))</f>
        <v/>
      </c>
      <c r="T188" s="43" t="str">
        <f>IF(OR($B188="",$A188&gt;$B$9,T$171=""),"",IF(COUNTIFS(BD!$B$3:$B$5001,T$171,BD!$A$3:$A$5001,"&gt;="&amp;$C$7,BD!$A$3:$A$5001,"&lt;="&amp;$B188,BD!$X$3:$X$5001,"&lt;&gt;")=0,"",SUMIFS(BD!$X$3:$X$5001,BD!$B$3:$B$5001,T$171,BD!$A$3:$A$5001,_xlfn.MAXIFS(BD!$A$3:$A$5001,BD!$B$3:$B$5001,T$171,BD!$A$3:$A$5001,"&gt;="&amp;$C$7,BD!$A$3:$A$5001,"&lt;="&amp;$B188,BD!$X$3:$X$5001,"&lt;&gt;"))))</f>
        <v/>
      </c>
      <c r="U188" s="43" t="str">
        <f>IF(OR($B188="",$A188&gt;$B$9,U$171=""),"",IF(COUNTIFS(BD!$B$3:$B$5001,U$171,BD!$A$3:$A$5001,"&gt;="&amp;$C$7,BD!$A$3:$A$5001,"&lt;="&amp;$B188,BD!$X$3:$X$5001,"&lt;&gt;")=0,"",SUMIFS(BD!$X$3:$X$5001,BD!$B$3:$B$5001,U$171,BD!$A$3:$A$5001,_xlfn.MAXIFS(BD!$A$3:$A$5001,BD!$B$3:$B$5001,U$171,BD!$A$3:$A$5001,"&gt;="&amp;$C$7,BD!$A$3:$A$5001,"&lt;="&amp;$B188,BD!$X$3:$X$5001,"&lt;&gt;"))))</f>
        <v/>
      </c>
      <c r="V188" s="43" t="str">
        <f>IF(OR($B188="",$A188&gt;$B$9,V$171=""),"",IF(COUNTIFS(BD!$B$3:$B$5001,V$171,BD!$A$3:$A$5001,"&gt;="&amp;$C$7,BD!$A$3:$A$5001,"&lt;="&amp;$B188,BD!$X$3:$X$5001,"&lt;&gt;")=0,"",SUMIFS(BD!$X$3:$X$5001,BD!$B$3:$B$5001,V$171,BD!$A$3:$A$5001,_xlfn.MAXIFS(BD!$A$3:$A$5001,BD!$B$3:$B$5001,V$171,BD!$A$3:$A$5001,"&gt;="&amp;$C$7,BD!$A$3:$A$5001,"&lt;="&amp;$B188,BD!$X$3:$X$5001,"&lt;&gt;"))))</f>
        <v/>
      </c>
    </row>
    <row r="189">
      <c r="A189" s="38">
        <v>18</v>
      </c>
      <c r="B189" s="42">
        <f>$B$29</f>
        <v>46313</v>
      </c>
      <c r="C189" s="43" t="str">
        <f>IF(OR($B189="",$A189&gt;$B$9,C$171=""),"",IF(COUNTIFS(BD!$B$3:$B$5001,C$171,BD!$A$3:$A$5001,"&gt;="&amp;$C$7,BD!$A$3:$A$5001,"&lt;="&amp;$B189,BD!$X$3:$X$5001,"&lt;&gt;")=0,"",SUMIFS(BD!$X$3:$X$5001,BD!$B$3:$B$5001,C$171,BD!$A$3:$A$5001,_xlfn.MAXIFS(BD!$A$3:$A$5001,BD!$B$3:$B$5001,C$171,BD!$A$3:$A$5001,"&gt;="&amp;$C$7,BD!$A$3:$A$5001,"&lt;="&amp;$B189,BD!$X$3:$X$5001,"&lt;&gt;"))))</f>
        <v/>
      </c>
      <c r="D189" s="43" t="str">
        <f>IF(OR($B189="",$A189&gt;$B$9,D$171=""),"",IF(COUNTIFS(BD!$B$3:$B$5001,D$171,BD!$A$3:$A$5001,"&gt;="&amp;$C$7,BD!$A$3:$A$5001,"&lt;="&amp;$B189,BD!$X$3:$X$5001,"&lt;&gt;")=0,"",SUMIFS(BD!$X$3:$X$5001,BD!$B$3:$B$5001,D$171,BD!$A$3:$A$5001,_xlfn.MAXIFS(BD!$A$3:$A$5001,BD!$B$3:$B$5001,D$171,BD!$A$3:$A$5001,"&gt;="&amp;$C$7,BD!$A$3:$A$5001,"&lt;="&amp;$B189,BD!$X$3:$X$5001,"&lt;&gt;"))))</f>
        <v/>
      </c>
      <c r="E189" s="43" t="str">
        <f>IF(OR($B189="",$A189&gt;$B$9,E$171=""),"",IF(COUNTIFS(BD!$B$3:$B$5001,E$171,BD!$A$3:$A$5001,"&gt;="&amp;$C$7,BD!$A$3:$A$5001,"&lt;="&amp;$B189,BD!$X$3:$X$5001,"&lt;&gt;")=0,"",SUMIFS(BD!$X$3:$X$5001,BD!$B$3:$B$5001,E$171,BD!$A$3:$A$5001,_xlfn.MAXIFS(BD!$A$3:$A$5001,BD!$B$3:$B$5001,E$171,BD!$A$3:$A$5001,"&gt;="&amp;$C$7,BD!$A$3:$A$5001,"&lt;="&amp;$B189,BD!$X$3:$X$5001,"&lt;&gt;"))))</f>
        <v/>
      </c>
      <c r="F189" s="43" t="str">
        <f>IF(OR($B189="",$A189&gt;$B$9,F$171=""),"",IF(COUNTIFS(BD!$B$3:$B$5001,F$171,BD!$A$3:$A$5001,"&gt;="&amp;$C$7,BD!$A$3:$A$5001,"&lt;="&amp;$B189,BD!$X$3:$X$5001,"&lt;&gt;")=0,"",SUMIFS(BD!$X$3:$X$5001,BD!$B$3:$B$5001,F$171,BD!$A$3:$A$5001,_xlfn.MAXIFS(BD!$A$3:$A$5001,BD!$B$3:$B$5001,F$171,BD!$A$3:$A$5001,"&gt;="&amp;$C$7,BD!$A$3:$A$5001,"&lt;="&amp;$B189,BD!$X$3:$X$5001,"&lt;&gt;"))))</f>
        <v/>
      </c>
      <c r="G189" s="43" t="str">
        <f>IF(OR($B189="",$A189&gt;$B$9,G$171=""),"",IF(COUNTIFS(BD!$B$3:$B$5001,G$171,BD!$A$3:$A$5001,"&gt;="&amp;$C$7,BD!$A$3:$A$5001,"&lt;="&amp;$B189,BD!$X$3:$X$5001,"&lt;&gt;")=0,"",SUMIFS(BD!$X$3:$X$5001,BD!$B$3:$B$5001,G$171,BD!$A$3:$A$5001,_xlfn.MAXIFS(BD!$A$3:$A$5001,BD!$B$3:$B$5001,G$171,BD!$A$3:$A$5001,"&gt;="&amp;$C$7,BD!$A$3:$A$5001,"&lt;="&amp;$B189,BD!$X$3:$X$5001,"&lt;&gt;"))))</f>
        <v/>
      </c>
      <c r="H189" s="43" t="str">
        <f>IF(OR($B189="",$A189&gt;$B$9,H$171=""),"",IF(COUNTIFS(BD!$B$3:$B$5001,H$171,BD!$A$3:$A$5001,"&gt;="&amp;$C$7,BD!$A$3:$A$5001,"&lt;="&amp;$B189,BD!$X$3:$X$5001,"&lt;&gt;")=0,"",SUMIFS(BD!$X$3:$X$5001,BD!$B$3:$B$5001,H$171,BD!$A$3:$A$5001,_xlfn.MAXIFS(BD!$A$3:$A$5001,BD!$B$3:$B$5001,H$171,BD!$A$3:$A$5001,"&gt;="&amp;$C$7,BD!$A$3:$A$5001,"&lt;="&amp;$B189,BD!$X$3:$X$5001,"&lt;&gt;"))))</f>
        <v/>
      </c>
      <c r="I189" s="43" t="str">
        <f>IF(OR($B189="",$A189&gt;$B$9,I$171=""),"",IF(COUNTIFS(BD!$B$3:$B$5001,I$171,BD!$A$3:$A$5001,"&gt;="&amp;$C$7,BD!$A$3:$A$5001,"&lt;="&amp;$B189,BD!$X$3:$X$5001,"&lt;&gt;")=0,"",SUMIFS(BD!$X$3:$X$5001,BD!$B$3:$B$5001,I$171,BD!$A$3:$A$5001,_xlfn.MAXIFS(BD!$A$3:$A$5001,BD!$B$3:$B$5001,I$171,BD!$A$3:$A$5001,"&gt;="&amp;$C$7,BD!$A$3:$A$5001,"&lt;="&amp;$B189,BD!$X$3:$X$5001,"&lt;&gt;"))))</f>
        <v/>
      </c>
      <c r="J189" s="43" t="str">
        <f>IF(OR($B189="",$A189&gt;$B$9,J$171=""),"",IF(COUNTIFS(BD!$B$3:$B$5001,J$171,BD!$A$3:$A$5001,"&gt;="&amp;$C$7,BD!$A$3:$A$5001,"&lt;="&amp;$B189,BD!$X$3:$X$5001,"&lt;&gt;")=0,"",SUMIFS(BD!$X$3:$X$5001,BD!$B$3:$B$5001,J$171,BD!$A$3:$A$5001,_xlfn.MAXIFS(BD!$A$3:$A$5001,BD!$B$3:$B$5001,J$171,BD!$A$3:$A$5001,"&gt;="&amp;$C$7,BD!$A$3:$A$5001,"&lt;="&amp;$B189,BD!$X$3:$X$5001,"&lt;&gt;"))))</f>
        <v/>
      </c>
      <c r="K189" s="43" t="str">
        <f>IF(OR($B189="",$A189&gt;$B$9,K$171=""),"",IF(COUNTIFS(BD!$B$3:$B$5001,K$171,BD!$A$3:$A$5001,"&gt;="&amp;$C$7,BD!$A$3:$A$5001,"&lt;="&amp;$B189,BD!$X$3:$X$5001,"&lt;&gt;")=0,"",SUMIFS(BD!$X$3:$X$5001,BD!$B$3:$B$5001,K$171,BD!$A$3:$A$5001,_xlfn.MAXIFS(BD!$A$3:$A$5001,BD!$B$3:$B$5001,K$171,BD!$A$3:$A$5001,"&gt;="&amp;$C$7,BD!$A$3:$A$5001,"&lt;="&amp;$B189,BD!$X$3:$X$5001,"&lt;&gt;"))))</f>
        <v/>
      </c>
      <c r="L189" s="43" t="str">
        <f>IF(OR($B189="",$A189&gt;$B$9,L$171=""),"",IF(COUNTIFS(BD!$B$3:$B$5001,L$171,BD!$A$3:$A$5001,"&gt;="&amp;$C$7,BD!$A$3:$A$5001,"&lt;="&amp;$B189,BD!$X$3:$X$5001,"&lt;&gt;")=0,"",SUMIFS(BD!$X$3:$X$5001,BD!$B$3:$B$5001,L$171,BD!$A$3:$A$5001,_xlfn.MAXIFS(BD!$A$3:$A$5001,BD!$B$3:$B$5001,L$171,BD!$A$3:$A$5001,"&gt;="&amp;$C$7,BD!$A$3:$A$5001,"&lt;="&amp;$B189,BD!$X$3:$X$5001,"&lt;&gt;"))))</f>
        <v/>
      </c>
      <c r="M189" s="43" t="str">
        <f>IF(OR($B189="",$A189&gt;$B$9,M$171=""),"",IF(COUNTIFS(BD!$B$3:$B$5001,M$171,BD!$A$3:$A$5001,"&gt;="&amp;$C$7,BD!$A$3:$A$5001,"&lt;="&amp;$B189,BD!$X$3:$X$5001,"&lt;&gt;")=0,"",SUMIFS(BD!$X$3:$X$5001,BD!$B$3:$B$5001,M$171,BD!$A$3:$A$5001,_xlfn.MAXIFS(BD!$A$3:$A$5001,BD!$B$3:$B$5001,M$171,BD!$A$3:$A$5001,"&gt;="&amp;$C$7,BD!$A$3:$A$5001,"&lt;="&amp;$B189,BD!$X$3:$X$5001,"&lt;&gt;"))))</f>
        <v/>
      </c>
      <c r="N189" s="43" t="str">
        <f>IF(OR($B189="",$A189&gt;$B$9,N$171=""),"",IF(COUNTIFS(BD!$B$3:$B$5001,N$171,BD!$A$3:$A$5001,"&gt;="&amp;$C$7,BD!$A$3:$A$5001,"&lt;="&amp;$B189,BD!$X$3:$X$5001,"&lt;&gt;")=0,"",SUMIFS(BD!$X$3:$X$5001,BD!$B$3:$B$5001,N$171,BD!$A$3:$A$5001,_xlfn.MAXIFS(BD!$A$3:$A$5001,BD!$B$3:$B$5001,N$171,BD!$A$3:$A$5001,"&gt;="&amp;$C$7,BD!$A$3:$A$5001,"&lt;="&amp;$B189,BD!$X$3:$X$5001,"&lt;&gt;"))))</f>
        <v/>
      </c>
      <c r="O189" s="43" t="str">
        <f>IF(OR($B189="",$A189&gt;$B$9,O$171=""),"",IF(COUNTIFS(BD!$B$3:$B$5001,O$171,BD!$A$3:$A$5001,"&gt;="&amp;$C$7,BD!$A$3:$A$5001,"&lt;="&amp;$B189,BD!$X$3:$X$5001,"&lt;&gt;")=0,"",SUMIFS(BD!$X$3:$X$5001,BD!$B$3:$B$5001,O$171,BD!$A$3:$A$5001,_xlfn.MAXIFS(BD!$A$3:$A$5001,BD!$B$3:$B$5001,O$171,BD!$A$3:$A$5001,"&gt;="&amp;$C$7,BD!$A$3:$A$5001,"&lt;="&amp;$B189,BD!$X$3:$X$5001,"&lt;&gt;"))))</f>
        <v/>
      </c>
      <c r="P189" s="43" t="str">
        <f>IF(OR($B189="",$A189&gt;$B$9,P$171=""),"",IF(COUNTIFS(BD!$B$3:$B$5001,P$171,BD!$A$3:$A$5001,"&gt;="&amp;$C$7,BD!$A$3:$A$5001,"&lt;="&amp;$B189,BD!$X$3:$X$5001,"&lt;&gt;")=0,"",SUMIFS(BD!$X$3:$X$5001,BD!$B$3:$B$5001,P$171,BD!$A$3:$A$5001,_xlfn.MAXIFS(BD!$A$3:$A$5001,BD!$B$3:$B$5001,P$171,BD!$A$3:$A$5001,"&gt;="&amp;$C$7,BD!$A$3:$A$5001,"&lt;="&amp;$B189,BD!$X$3:$X$5001,"&lt;&gt;"))))</f>
        <v/>
      </c>
      <c r="Q189" s="43" t="str">
        <f>IF(OR($B189="",$A189&gt;$B$9,Q$171=""),"",IF(COUNTIFS(BD!$B$3:$B$5001,Q$171,BD!$A$3:$A$5001,"&gt;="&amp;$C$7,BD!$A$3:$A$5001,"&lt;="&amp;$B189,BD!$X$3:$X$5001,"&lt;&gt;")=0,"",SUMIFS(BD!$X$3:$X$5001,BD!$B$3:$B$5001,Q$171,BD!$A$3:$A$5001,_xlfn.MAXIFS(BD!$A$3:$A$5001,BD!$B$3:$B$5001,Q$171,BD!$A$3:$A$5001,"&gt;="&amp;$C$7,BD!$A$3:$A$5001,"&lt;="&amp;$B189,BD!$X$3:$X$5001,"&lt;&gt;"))))</f>
        <v/>
      </c>
      <c r="R189" s="43" t="str">
        <f>IF(OR($B189="",$A189&gt;$B$9,R$171=""),"",IF(COUNTIFS(BD!$B$3:$B$5001,R$171,BD!$A$3:$A$5001,"&gt;="&amp;$C$7,BD!$A$3:$A$5001,"&lt;="&amp;$B189,BD!$X$3:$X$5001,"&lt;&gt;")=0,"",SUMIFS(BD!$X$3:$X$5001,BD!$B$3:$B$5001,R$171,BD!$A$3:$A$5001,_xlfn.MAXIFS(BD!$A$3:$A$5001,BD!$B$3:$B$5001,R$171,BD!$A$3:$A$5001,"&gt;="&amp;$C$7,BD!$A$3:$A$5001,"&lt;="&amp;$B189,BD!$X$3:$X$5001,"&lt;&gt;"))))</f>
        <v/>
      </c>
      <c r="S189" s="43" t="str">
        <f>IF(OR($B189="",$A189&gt;$B$9,S$171=""),"",IF(COUNTIFS(BD!$B$3:$B$5001,S$171,BD!$A$3:$A$5001,"&gt;="&amp;$C$7,BD!$A$3:$A$5001,"&lt;="&amp;$B189,BD!$X$3:$X$5001,"&lt;&gt;")=0,"",SUMIFS(BD!$X$3:$X$5001,BD!$B$3:$B$5001,S$171,BD!$A$3:$A$5001,_xlfn.MAXIFS(BD!$A$3:$A$5001,BD!$B$3:$B$5001,S$171,BD!$A$3:$A$5001,"&gt;="&amp;$C$7,BD!$A$3:$A$5001,"&lt;="&amp;$B189,BD!$X$3:$X$5001,"&lt;&gt;"))))</f>
        <v/>
      </c>
      <c r="T189" s="43" t="str">
        <f>IF(OR($B189="",$A189&gt;$B$9,T$171=""),"",IF(COUNTIFS(BD!$B$3:$B$5001,T$171,BD!$A$3:$A$5001,"&gt;="&amp;$C$7,BD!$A$3:$A$5001,"&lt;="&amp;$B189,BD!$X$3:$X$5001,"&lt;&gt;")=0,"",SUMIFS(BD!$X$3:$X$5001,BD!$B$3:$B$5001,T$171,BD!$A$3:$A$5001,_xlfn.MAXIFS(BD!$A$3:$A$5001,BD!$B$3:$B$5001,T$171,BD!$A$3:$A$5001,"&gt;="&amp;$C$7,BD!$A$3:$A$5001,"&lt;="&amp;$B189,BD!$X$3:$X$5001,"&lt;&gt;"))))</f>
        <v/>
      </c>
      <c r="U189" s="43" t="str">
        <f>IF(OR($B189="",$A189&gt;$B$9,U$171=""),"",IF(COUNTIFS(BD!$B$3:$B$5001,U$171,BD!$A$3:$A$5001,"&gt;="&amp;$C$7,BD!$A$3:$A$5001,"&lt;="&amp;$B189,BD!$X$3:$X$5001,"&lt;&gt;")=0,"",SUMIFS(BD!$X$3:$X$5001,BD!$B$3:$B$5001,U$171,BD!$A$3:$A$5001,_xlfn.MAXIFS(BD!$A$3:$A$5001,BD!$B$3:$B$5001,U$171,BD!$A$3:$A$5001,"&gt;="&amp;$C$7,BD!$A$3:$A$5001,"&lt;="&amp;$B189,BD!$X$3:$X$5001,"&lt;&gt;"))))</f>
        <v/>
      </c>
      <c r="V189" s="43" t="str">
        <f>IF(OR($B189="",$A189&gt;$B$9,V$171=""),"",IF(COUNTIFS(BD!$B$3:$B$5001,V$171,BD!$A$3:$A$5001,"&gt;="&amp;$C$7,BD!$A$3:$A$5001,"&lt;="&amp;$B189,BD!$X$3:$X$5001,"&lt;&gt;")=0,"",SUMIFS(BD!$X$3:$X$5001,BD!$B$3:$B$5001,V$171,BD!$A$3:$A$5001,_xlfn.MAXIFS(BD!$A$3:$A$5001,BD!$B$3:$B$5001,V$171,BD!$A$3:$A$5001,"&gt;="&amp;$C$7,BD!$A$3:$A$5001,"&lt;="&amp;$B189,BD!$X$3:$X$5001,"&lt;&gt;"))))</f>
        <v/>
      </c>
    </row>
    <row r="190">
      <c r="A190" s="38">
        <v>19</v>
      </c>
      <c r="B190" s="42">
        <f>$B$30</f>
        <v>46314</v>
      </c>
      <c r="C190" s="43" t="str">
        <f>IF(OR($B190="",$A190&gt;$B$9,C$171=""),"",IF(COUNTIFS(BD!$B$3:$B$5001,C$171,BD!$A$3:$A$5001,"&gt;="&amp;$C$7,BD!$A$3:$A$5001,"&lt;="&amp;$B190,BD!$X$3:$X$5001,"&lt;&gt;")=0,"",SUMIFS(BD!$X$3:$X$5001,BD!$B$3:$B$5001,C$171,BD!$A$3:$A$5001,_xlfn.MAXIFS(BD!$A$3:$A$5001,BD!$B$3:$B$5001,C$171,BD!$A$3:$A$5001,"&gt;="&amp;$C$7,BD!$A$3:$A$5001,"&lt;="&amp;$B190,BD!$X$3:$X$5001,"&lt;&gt;"))))</f>
        <v/>
      </c>
      <c r="D190" s="43" t="str">
        <f>IF(OR($B190="",$A190&gt;$B$9,D$171=""),"",IF(COUNTIFS(BD!$B$3:$B$5001,D$171,BD!$A$3:$A$5001,"&gt;="&amp;$C$7,BD!$A$3:$A$5001,"&lt;="&amp;$B190,BD!$X$3:$X$5001,"&lt;&gt;")=0,"",SUMIFS(BD!$X$3:$X$5001,BD!$B$3:$B$5001,D$171,BD!$A$3:$A$5001,_xlfn.MAXIFS(BD!$A$3:$A$5001,BD!$B$3:$B$5001,D$171,BD!$A$3:$A$5001,"&gt;="&amp;$C$7,BD!$A$3:$A$5001,"&lt;="&amp;$B190,BD!$X$3:$X$5001,"&lt;&gt;"))))</f>
        <v/>
      </c>
      <c r="E190" s="43" t="str">
        <f>IF(OR($B190="",$A190&gt;$B$9,E$171=""),"",IF(COUNTIFS(BD!$B$3:$B$5001,E$171,BD!$A$3:$A$5001,"&gt;="&amp;$C$7,BD!$A$3:$A$5001,"&lt;="&amp;$B190,BD!$X$3:$X$5001,"&lt;&gt;")=0,"",SUMIFS(BD!$X$3:$X$5001,BD!$B$3:$B$5001,E$171,BD!$A$3:$A$5001,_xlfn.MAXIFS(BD!$A$3:$A$5001,BD!$B$3:$B$5001,E$171,BD!$A$3:$A$5001,"&gt;="&amp;$C$7,BD!$A$3:$A$5001,"&lt;="&amp;$B190,BD!$X$3:$X$5001,"&lt;&gt;"))))</f>
        <v/>
      </c>
      <c r="F190" s="43" t="str">
        <f>IF(OR($B190="",$A190&gt;$B$9,F$171=""),"",IF(COUNTIFS(BD!$B$3:$B$5001,F$171,BD!$A$3:$A$5001,"&gt;="&amp;$C$7,BD!$A$3:$A$5001,"&lt;="&amp;$B190,BD!$X$3:$X$5001,"&lt;&gt;")=0,"",SUMIFS(BD!$X$3:$X$5001,BD!$B$3:$B$5001,F$171,BD!$A$3:$A$5001,_xlfn.MAXIFS(BD!$A$3:$A$5001,BD!$B$3:$B$5001,F$171,BD!$A$3:$A$5001,"&gt;="&amp;$C$7,BD!$A$3:$A$5001,"&lt;="&amp;$B190,BD!$X$3:$X$5001,"&lt;&gt;"))))</f>
        <v/>
      </c>
      <c r="G190" s="43" t="str">
        <f>IF(OR($B190="",$A190&gt;$B$9,G$171=""),"",IF(COUNTIFS(BD!$B$3:$B$5001,G$171,BD!$A$3:$A$5001,"&gt;="&amp;$C$7,BD!$A$3:$A$5001,"&lt;="&amp;$B190,BD!$X$3:$X$5001,"&lt;&gt;")=0,"",SUMIFS(BD!$X$3:$X$5001,BD!$B$3:$B$5001,G$171,BD!$A$3:$A$5001,_xlfn.MAXIFS(BD!$A$3:$A$5001,BD!$B$3:$B$5001,G$171,BD!$A$3:$A$5001,"&gt;="&amp;$C$7,BD!$A$3:$A$5001,"&lt;="&amp;$B190,BD!$X$3:$X$5001,"&lt;&gt;"))))</f>
        <v/>
      </c>
      <c r="H190" s="43" t="str">
        <f>IF(OR($B190="",$A190&gt;$B$9,H$171=""),"",IF(COUNTIFS(BD!$B$3:$B$5001,H$171,BD!$A$3:$A$5001,"&gt;="&amp;$C$7,BD!$A$3:$A$5001,"&lt;="&amp;$B190,BD!$X$3:$X$5001,"&lt;&gt;")=0,"",SUMIFS(BD!$X$3:$X$5001,BD!$B$3:$B$5001,H$171,BD!$A$3:$A$5001,_xlfn.MAXIFS(BD!$A$3:$A$5001,BD!$B$3:$B$5001,H$171,BD!$A$3:$A$5001,"&gt;="&amp;$C$7,BD!$A$3:$A$5001,"&lt;="&amp;$B190,BD!$X$3:$X$5001,"&lt;&gt;"))))</f>
        <v/>
      </c>
      <c r="I190" s="43" t="str">
        <f>IF(OR($B190="",$A190&gt;$B$9,I$171=""),"",IF(COUNTIFS(BD!$B$3:$B$5001,I$171,BD!$A$3:$A$5001,"&gt;="&amp;$C$7,BD!$A$3:$A$5001,"&lt;="&amp;$B190,BD!$X$3:$X$5001,"&lt;&gt;")=0,"",SUMIFS(BD!$X$3:$X$5001,BD!$B$3:$B$5001,I$171,BD!$A$3:$A$5001,_xlfn.MAXIFS(BD!$A$3:$A$5001,BD!$B$3:$B$5001,I$171,BD!$A$3:$A$5001,"&gt;="&amp;$C$7,BD!$A$3:$A$5001,"&lt;="&amp;$B190,BD!$X$3:$X$5001,"&lt;&gt;"))))</f>
        <v/>
      </c>
      <c r="J190" s="43" t="str">
        <f>IF(OR($B190="",$A190&gt;$B$9,J$171=""),"",IF(COUNTIFS(BD!$B$3:$B$5001,J$171,BD!$A$3:$A$5001,"&gt;="&amp;$C$7,BD!$A$3:$A$5001,"&lt;="&amp;$B190,BD!$X$3:$X$5001,"&lt;&gt;")=0,"",SUMIFS(BD!$X$3:$X$5001,BD!$B$3:$B$5001,J$171,BD!$A$3:$A$5001,_xlfn.MAXIFS(BD!$A$3:$A$5001,BD!$B$3:$B$5001,J$171,BD!$A$3:$A$5001,"&gt;="&amp;$C$7,BD!$A$3:$A$5001,"&lt;="&amp;$B190,BD!$X$3:$X$5001,"&lt;&gt;"))))</f>
        <v/>
      </c>
      <c r="K190" s="43" t="str">
        <f>IF(OR($B190="",$A190&gt;$B$9,K$171=""),"",IF(COUNTIFS(BD!$B$3:$B$5001,K$171,BD!$A$3:$A$5001,"&gt;="&amp;$C$7,BD!$A$3:$A$5001,"&lt;="&amp;$B190,BD!$X$3:$X$5001,"&lt;&gt;")=0,"",SUMIFS(BD!$X$3:$X$5001,BD!$B$3:$B$5001,K$171,BD!$A$3:$A$5001,_xlfn.MAXIFS(BD!$A$3:$A$5001,BD!$B$3:$B$5001,K$171,BD!$A$3:$A$5001,"&gt;="&amp;$C$7,BD!$A$3:$A$5001,"&lt;="&amp;$B190,BD!$X$3:$X$5001,"&lt;&gt;"))))</f>
        <v/>
      </c>
      <c r="L190" s="43" t="str">
        <f>IF(OR($B190="",$A190&gt;$B$9,L$171=""),"",IF(COUNTIFS(BD!$B$3:$B$5001,L$171,BD!$A$3:$A$5001,"&gt;="&amp;$C$7,BD!$A$3:$A$5001,"&lt;="&amp;$B190,BD!$X$3:$X$5001,"&lt;&gt;")=0,"",SUMIFS(BD!$X$3:$X$5001,BD!$B$3:$B$5001,L$171,BD!$A$3:$A$5001,_xlfn.MAXIFS(BD!$A$3:$A$5001,BD!$B$3:$B$5001,L$171,BD!$A$3:$A$5001,"&gt;="&amp;$C$7,BD!$A$3:$A$5001,"&lt;="&amp;$B190,BD!$X$3:$X$5001,"&lt;&gt;"))))</f>
        <v/>
      </c>
      <c r="M190" s="43" t="str">
        <f>IF(OR($B190="",$A190&gt;$B$9,M$171=""),"",IF(COUNTIFS(BD!$B$3:$B$5001,M$171,BD!$A$3:$A$5001,"&gt;="&amp;$C$7,BD!$A$3:$A$5001,"&lt;="&amp;$B190,BD!$X$3:$X$5001,"&lt;&gt;")=0,"",SUMIFS(BD!$X$3:$X$5001,BD!$B$3:$B$5001,M$171,BD!$A$3:$A$5001,_xlfn.MAXIFS(BD!$A$3:$A$5001,BD!$B$3:$B$5001,M$171,BD!$A$3:$A$5001,"&gt;="&amp;$C$7,BD!$A$3:$A$5001,"&lt;="&amp;$B190,BD!$X$3:$X$5001,"&lt;&gt;"))))</f>
        <v/>
      </c>
      <c r="N190" s="43" t="str">
        <f>IF(OR($B190="",$A190&gt;$B$9,N$171=""),"",IF(COUNTIFS(BD!$B$3:$B$5001,N$171,BD!$A$3:$A$5001,"&gt;="&amp;$C$7,BD!$A$3:$A$5001,"&lt;="&amp;$B190,BD!$X$3:$X$5001,"&lt;&gt;")=0,"",SUMIFS(BD!$X$3:$X$5001,BD!$B$3:$B$5001,N$171,BD!$A$3:$A$5001,_xlfn.MAXIFS(BD!$A$3:$A$5001,BD!$B$3:$B$5001,N$171,BD!$A$3:$A$5001,"&gt;="&amp;$C$7,BD!$A$3:$A$5001,"&lt;="&amp;$B190,BD!$X$3:$X$5001,"&lt;&gt;"))))</f>
        <v/>
      </c>
      <c r="O190" s="43" t="str">
        <f>IF(OR($B190="",$A190&gt;$B$9,O$171=""),"",IF(COUNTIFS(BD!$B$3:$B$5001,O$171,BD!$A$3:$A$5001,"&gt;="&amp;$C$7,BD!$A$3:$A$5001,"&lt;="&amp;$B190,BD!$X$3:$X$5001,"&lt;&gt;")=0,"",SUMIFS(BD!$X$3:$X$5001,BD!$B$3:$B$5001,O$171,BD!$A$3:$A$5001,_xlfn.MAXIFS(BD!$A$3:$A$5001,BD!$B$3:$B$5001,O$171,BD!$A$3:$A$5001,"&gt;="&amp;$C$7,BD!$A$3:$A$5001,"&lt;="&amp;$B190,BD!$X$3:$X$5001,"&lt;&gt;"))))</f>
        <v/>
      </c>
      <c r="P190" s="43" t="str">
        <f>IF(OR($B190="",$A190&gt;$B$9,P$171=""),"",IF(COUNTIFS(BD!$B$3:$B$5001,P$171,BD!$A$3:$A$5001,"&gt;="&amp;$C$7,BD!$A$3:$A$5001,"&lt;="&amp;$B190,BD!$X$3:$X$5001,"&lt;&gt;")=0,"",SUMIFS(BD!$X$3:$X$5001,BD!$B$3:$B$5001,P$171,BD!$A$3:$A$5001,_xlfn.MAXIFS(BD!$A$3:$A$5001,BD!$B$3:$B$5001,P$171,BD!$A$3:$A$5001,"&gt;="&amp;$C$7,BD!$A$3:$A$5001,"&lt;="&amp;$B190,BD!$X$3:$X$5001,"&lt;&gt;"))))</f>
        <v/>
      </c>
      <c r="Q190" s="43" t="str">
        <f>IF(OR($B190="",$A190&gt;$B$9,Q$171=""),"",IF(COUNTIFS(BD!$B$3:$B$5001,Q$171,BD!$A$3:$A$5001,"&gt;="&amp;$C$7,BD!$A$3:$A$5001,"&lt;="&amp;$B190,BD!$X$3:$X$5001,"&lt;&gt;")=0,"",SUMIFS(BD!$X$3:$X$5001,BD!$B$3:$B$5001,Q$171,BD!$A$3:$A$5001,_xlfn.MAXIFS(BD!$A$3:$A$5001,BD!$B$3:$B$5001,Q$171,BD!$A$3:$A$5001,"&gt;="&amp;$C$7,BD!$A$3:$A$5001,"&lt;="&amp;$B190,BD!$X$3:$X$5001,"&lt;&gt;"))))</f>
        <v/>
      </c>
      <c r="R190" s="43" t="str">
        <f>IF(OR($B190="",$A190&gt;$B$9,R$171=""),"",IF(COUNTIFS(BD!$B$3:$B$5001,R$171,BD!$A$3:$A$5001,"&gt;="&amp;$C$7,BD!$A$3:$A$5001,"&lt;="&amp;$B190,BD!$X$3:$X$5001,"&lt;&gt;")=0,"",SUMIFS(BD!$X$3:$X$5001,BD!$B$3:$B$5001,R$171,BD!$A$3:$A$5001,_xlfn.MAXIFS(BD!$A$3:$A$5001,BD!$B$3:$B$5001,R$171,BD!$A$3:$A$5001,"&gt;="&amp;$C$7,BD!$A$3:$A$5001,"&lt;="&amp;$B190,BD!$X$3:$X$5001,"&lt;&gt;"))))</f>
        <v/>
      </c>
      <c r="S190" s="43" t="str">
        <f>IF(OR($B190="",$A190&gt;$B$9,S$171=""),"",IF(COUNTIFS(BD!$B$3:$B$5001,S$171,BD!$A$3:$A$5001,"&gt;="&amp;$C$7,BD!$A$3:$A$5001,"&lt;="&amp;$B190,BD!$X$3:$X$5001,"&lt;&gt;")=0,"",SUMIFS(BD!$X$3:$X$5001,BD!$B$3:$B$5001,S$171,BD!$A$3:$A$5001,_xlfn.MAXIFS(BD!$A$3:$A$5001,BD!$B$3:$B$5001,S$171,BD!$A$3:$A$5001,"&gt;="&amp;$C$7,BD!$A$3:$A$5001,"&lt;="&amp;$B190,BD!$X$3:$X$5001,"&lt;&gt;"))))</f>
        <v/>
      </c>
      <c r="T190" s="43" t="str">
        <f>IF(OR($B190="",$A190&gt;$B$9,T$171=""),"",IF(COUNTIFS(BD!$B$3:$B$5001,T$171,BD!$A$3:$A$5001,"&gt;="&amp;$C$7,BD!$A$3:$A$5001,"&lt;="&amp;$B190,BD!$X$3:$X$5001,"&lt;&gt;")=0,"",SUMIFS(BD!$X$3:$X$5001,BD!$B$3:$B$5001,T$171,BD!$A$3:$A$5001,_xlfn.MAXIFS(BD!$A$3:$A$5001,BD!$B$3:$B$5001,T$171,BD!$A$3:$A$5001,"&gt;="&amp;$C$7,BD!$A$3:$A$5001,"&lt;="&amp;$B190,BD!$X$3:$X$5001,"&lt;&gt;"))))</f>
        <v/>
      </c>
      <c r="U190" s="43" t="str">
        <f>IF(OR($B190="",$A190&gt;$B$9,U$171=""),"",IF(COUNTIFS(BD!$B$3:$B$5001,U$171,BD!$A$3:$A$5001,"&gt;="&amp;$C$7,BD!$A$3:$A$5001,"&lt;="&amp;$B190,BD!$X$3:$X$5001,"&lt;&gt;")=0,"",SUMIFS(BD!$X$3:$X$5001,BD!$B$3:$B$5001,U$171,BD!$A$3:$A$5001,_xlfn.MAXIFS(BD!$A$3:$A$5001,BD!$B$3:$B$5001,U$171,BD!$A$3:$A$5001,"&gt;="&amp;$C$7,BD!$A$3:$A$5001,"&lt;="&amp;$B190,BD!$X$3:$X$5001,"&lt;&gt;"))))</f>
        <v/>
      </c>
      <c r="V190" s="43" t="str">
        <f>IF(OR($B190="",$A190&gt;$B$9,V$171=""),"",IF(COUNTIFS(BD!$B$3:$B$5001,V$171,BD!$A$3:$A$5001,"&gt;="&amp;$C$7,BD!$A$3:$A$5001,"&lt;="&amp;$B190,BD!$X$3:$X$5001,"&lt;&gt;")=0,"",SUMIFS(BD!$X$3:$X$5001,BD!$B$3:$B$5001,V$171,BD!$A$3:$A$5001,_xlfn.MAXIFS(BD!$A$3:$A$5001,BD!$B$3:$B$5001,V$171,BD!$A$3:$A$5001,"&gt;="&amp;$C$7,BD!$A$3:$A$5001,"&lt;="&amp;$B190,BD!$X$3:$X$5001,"&lt;&gt;"))))</f>
        <v/>
      </c>
    </row>
    <row r="191">
      <c r="A191" s="38">
        <v>20</v>
      </c>
      <c r="B191" s="42">
        <f>$B$31</f>
        <v>46315</v>
      </c>
      <c r="C191" s="43" t="str">
        <f>IF(OR($B191="",$A191&gt;$B$9,C$171=""),"",IF(COUNTIFS(BD!$B$3:$B$5001,C$171,BD!$A$3:$A$5001,"&gt;="&amp;$C$7,BD!$A$3:$A$5001,"&lt;="&amp;$B191,BD!$X$3:$X$5001,"&lt;&gt;")=0,"",SUMIFS(BD!$X$3:$X$5001,BD!$B$3:$B$5001,C$171,BD!$A$3:$A$5001,_xlfn.MAXIFS(BD!$A$3:$A$5001,BD!$B$3:$B$5001,C$171,BD!$A$3:$A$5001,"&gt;="&amp;$C$7,BD!$A$3:$A$5001,"&lt;="&amp;$B191,BD!$X$3:$X$5001,"&lt;&gt;"))))</f>
        <v/>
      </c>
      <c r="D191" s="43" t="str">
        <f>IF(OR($B191="",$A191&gt;$B$9,D$171=""),"",IF(COUNTIFS(BD!$B$3:$B$5001,D$171,BD!$A$3:$A$5001,"&gt;="&amp;$C$7,BD!$A$3:$A$5001,"&lt;="&amp;$B191,BD!$X$3:$X$5001,"&lt;&gt;")=0,"",SUMIFS(BD!$X$3:$X$5001,BD!$B$3:$B$5001,D$171,BD!$A$3:$A$5001,_xlfn.MAXIFS(BD!$A$3:$A$5001,BD!$B$3:$B$5001,D$171,BD!$A$3:$A$5001,"&gt;="&amp;$C$7,BD!$A$3:$A$5001,"&lt;="&amp;$B191,BD!$X$3:$X$5001,"&lt;&gt;"))))</f>
        <v/>
      </c>
      <c r="E191" s="43" t="str">
        <f>IF(OR($B191="",$A191&gt;$B$9,E$171=""),"",IF(COUNTIFS(BD!$B$3:$B$5001,E$171,BD!$A$3:$A$5001,"&gt;="&amp;$C$7,BD!$A$3:$A$5001,"&lt;="&amp;$B191,BD!$X$3:$X$5001,"&lt;&gt;")=0,"",SUMIFS(BD!$X$3:$X$5001,BD!$B$3:$B$5001,E$171,BD!$A$3:$A$5001,_xlfn.MAXIFS(BD!$A$3:$A$5001,BD!$B$3:$B$5001,E$171,BD!$A$3:$A$5001,"&gt;="&amp;$C$7,BD!$A$3:$A$5001,"&lt;="&amp;$B191,BD!$X$3:$X$5001,"&lt;&gt;"))))</f>
        <v/>
      </c>
      <c r="F191" s="43" t="str">
        <f>IF(OR($B191="",$A191&gt;$B$9,F$171=""),"",IF(COUNTIFS(BD!$B$3:$B$5001,F$171,BD!$A$3:$A$5001,"&gt;="&amp;$C$7,BD!$A$3:$A$5001,"&lt;="&amp;$B191,BD!$X$3:$X$5001,"&lt;&gt;")=0,"",SUMIFS(BD!$X$3:$X$5001,BD!$B$3:$B$5001,F$171,BD!$A$3:$A$5001,_xlfn.MAXIFS(BD!$A$3:$A$5001,BD!$B$3:$B$5001,F$171,BD!$A$3:$A$5001,"&gt;="&amp;$C$7,BD!$A$3:$A$5001,"&lt;="&amp;$B191,BD!$X$3:$X$5001,"&lt;&gt;"))))</f>
        <v/>
      </c>
      <c r="G191" s="43" t="str">
        <f>IF(OR($B191="",$A191&gt;$B$9,G$171=""),"",IF(COUNTIFS(BD!$B$3:$B$5001,G$171,BD!$A$3:$A$5001,"&gt;="&amp;$C$7,BD!$A$3:$A$5001,"&lt;="&amp;$B191,BD!$X$3:$X$5001,"&lt;&gt;")=0,"",SUMIFS(BD!$X$3:$X$5001,BD!$B$3:$B$5001,G$171,BD!$A$3:$A$5001,_xlfn.MAXIFS(BD!$A$3:$A$5001,BD!$B$3:$B$5001,G$171,BD!$A$3:$A$5001,"&gt;="&amp;$C$7,BD!$A$3:$A$5001,"&lt;="&amp;$B191,BD!$X$3:$X$5001,"&lt;&gt;"))))</f>
        <v/>
      </c>
      <c r="H191" s="43" t="str">
        <f>IF(OR($B191="",$A191&gt;$B$9,H$171=""),"",IF(COUNTIFS(BD!$B$3:$B$5001,H$171,BD!$A$3:$A$5001,"&gt;="&amp;$C$7,BD!$A$3:$A$5001,"&lt;="&amp;$B191,BD!$X$3:$X$5001,"&lt;&gt;")=0,"",SUMIFS(BD!$X$3:$X$5001,BD!$B$3:$B$5001,H$171,BD!$A$3:$A$5001,_xlfn.MAXIFS(BD!$A$3:$A$5001,BD!$B$3:$B$5001,H$171,BD!$A$3:$A$5001,"&gt;="&amp;$C$7,BD!$A$3:$A$5001,"&lt;="&amp;$B191,BD!$X$3:$X$5001,"&lt;&gt;"))))</f>
        <v/>
      </c>
      <c r="I191" s="43" t="str">
        <f>IF(OR($B191="",$A191&gt;$B$9,I$171=""),"",IF(COUNTIFS(BD!$B$3:$B$5001,I$171,BD!$A$3:$A$5001,"&gt;="&amp;$C$7,BD!$A$3:$A$5001,"&lt;="&amp;$B191,BD!$X$3:$X$5001,"&lt;&gt;")=0,"",SUMIFS(BD!$X$3:$X$5001,BD!$B$3:$B$5001,I$171,BD!$A$3:$A$5001,_xlfn.MAXIFS(BD!$A$3:$A$5001,BD!$B$3:$B$5001,I$171,BD!$A$3:$A$5001,"&gt;="&amp;$C$7,BD!$A$3:$A$5001,"&lt;="&amp;$B191,BD!$X$3:$X$5001,"&lt;&gt;"))))</f>
        <v/>
      </c>
      <c r="J191" s="43" t="str">
        <f>IF(OR($B191="",$A191&gt;$B$9,J$171=""),"",IF(COUNTIFS(BD!$B$3:$B$5001,J$171,BD!$A$3:$A$5001,"&gt;="&amp;$C$7,BD!$A$3:$A$5001,"&lt;="&amp;$B191,BD!$X$3:$X$5001,"&lt;&gt;")=0,"",SUMIFS(BD!$X$3:$X$5001,BD!$B$3:$B$5001,J$171,BD!$A$3:$A$5001,_xlfn.MAXIFS(BD!$A$3:$A$5001,BD!$B$3:$B$5001,J$171,BD!$A$3:$A$5001,"&gt;="&amp;$C$7,BD!$A$3:$A$5001,"&lt;="&amp;$B191,BD!$X$3:$X$5001,"&lt;&gt;"))))</f>
        <v/>
      </c>
      <c r="K191" s="43" t="str">
        <f>IF(OR($B191="",$A191&gt;$B$9,K$171=""),"",IF(COUNTIFS(BD!$B$3:$B$5001,K$171,BD!$A$3:$A$5001,"&gt;="&amp;$C$7,BD!$A$3:$A$5001,"&lt;="&amp;$B191,BD!$X$3:$X$5001,"&lt;&gt;")=0,"",SUMIFS(BD!$X$3:$X$5001,BD!$B$3:$B$5001,K$171,BD!$A$3:$A$5001,_xlfn.MAXIFS(BD!$A$3:$A$5001,BD!$B$3:$B$5001,K$171,BD!$A$3:$A$5001,"&gt;="&amp;$C$7,BD!$A$3:$A$5001,"&lt;="&amp;$B191,BD!$X$3:$X$5001,"&lt;&gt;"))))</f>
        <v/>
      </c>
      <c r="L191" s="43" t="str">
        <f>IF(OR($B191="",$A191&gt;$B$9,L$171=""),"",IF(COUNTIFS(BD!$B$3:$B$5001,L$171,BD!$A$3:$A$5001,"&gt;="&amp;$C$7,BD!$A$3:$A$5001,"&lt;="&amp;$B191,BD!$X$3:$X$5001,"&lt;&gt;")=0,"",SUMIFS(BD!$X$3:$X$5001,BD!$B$3:$B$5001,L$171,BD!$A$3:$A$5001,_xlfn.MAXIFS(BD!$A$3:$A$5001,BD!$B$3:$B$5001,L$171,BD!$A$3:$A$5001,"&gt;="&amp;$C$7,BD!$A$3:$A$5001,"&lt;="&amp;$B191,BD!$X$3:$X$5001,"&lt;&gt;"))))</f>
        <v/>
      </c>
      <c r="M191" s="43" t="str">
        <f>IF(OR($B191="",$A191&gt;$B$9,M$171=""),"",IF(COUNTIFS(BD!$B$3:$B$5001,M$171,BD!$A$3:$A$5001,"&gt;="&amp;$C$7,BD!$A$3:$A$5001,"&lt;="&amp;$B191,BD!$X$3:$X$5001,"&lt;&gt;")=0,"",SUMIFS(BD!$X$3:$X$5001,BD!$B$3:$B$5001,M$171,BD!$A$3:$A$5001,_xlfn.MAXIFS(BD!$A$3:$A$5001,BD!$B$3:$B$5001,M$171,BD!$A$3:$A$5001,"&gt;="&amp;$C$7,BD!$A$3:$A$5001,"&lt;="&amp;$B191,BD!$X$3:$X$5001,"&lt;&gt;"))))</f>
        <v/>
      </c>
      <c r="N191" s="43" t="str">
        <f>IF(OR($B191="",$A191&gt;$B$9,N$171=""),"",IF(COUNTIFS(BD!$B$3:$B$5001,N$171,BD!$A$3:$A$5001,"&gt;="&amp;$C$7,BD!$A$3:$A$5001,"&lt;="&amp;$B191,BD!$X$3:$X$5001,"&lt;&gt;")=0,"",SUMIFS(BD!$X$3:$X$5001,BD!$B$3:$B$5001,N$171,BD!$A$3:$A$5001,_xlfn.MAXIFS(BD!$A$3:$A$5001,BD!$B$3:$B$5001,N$171,BD!$A$3:$A$5001,"&gt;="&amp;$C$7,BD!$A$3:$A$5001,"&lt;="&amp;$B191,BD!$X$3:$X$5001,"&lt;&gt;"))))</f>
        <v/>
      </c>
      <c r="O191" s="43" t="str">
        <f>IF(OR($B191="",$A191&gt;$B$9,O$171=""),"",IF(COUNTIFS(BD!$B$3:$B$5001,O$171,BD!$A$3:$A$5001,"&gt;="&amp;$C$7,BD!$A$3:$A$5001,"&lt;="&amp;$B191,BD!$X$3:$X$5001,"&lt;&gt;")=0,"",SUMIFS(BD!$X$3:$X$5001,BD!$B$3:$B$5001,O$171,BD!$A$3:$A$5001,_xlfn.MAXIFS(BD!$A$3:$A$5001,BD!$B$3:$B$5001,O$171,BD!$A$3:$A$5001,"&gt;="&amp;$C$7,BD!$A$3:$A$5001,"&lt;="&amp;$B191,BD!$X$3:$X$5001,"&lt;&gt;"))))</f>
        <v/>
      </c>
      <c r="P191" s="43" t="str">
        <f>IF(OR($B191="",$A191&gt;$B$9,P$171=""),"",IF(COUNTIFS(BD!$B$3:$B$5001,P$171,BD!$A$3:$A$5001,"&gt;="&amp;$C$7,BD!$A$3:$A$5001,"&lt;="&amp;$B191,BD!$X$3:$X$5001,"&lt;&gt;")=0,"",SUMIFS(BD!$X$3:$X$5001,BD!$B$3:$B$5001,P$171,BD!$A$3:$A$5001,_xlfn.MAXIFS(BD!$A$3:$A$5001,BD!$B$3:$B$5001,P$171,BD!$A$3:$A$5001,"&gt;="&amp;$C$7,BD!$A$3:$A$5001,"&lt;="&amp;$B191,BD!$X$3:$X$5001,"&lt;&gt;"))))</f>
        <v/>
      </c>
      <c r="Q191" s="43" t="str">
        <f>IF(OR($B191="",$A191&gt;$B$9,Q$171=""),"",IF(COUNTIFS(BD!$B$3:$B$5001,Q$171,BD!$A$3:$A$5001,"&gt;="&amp;$C$7,BD!$A$3:$A$5001,"&lt;="&amp;$B191,BD!$X$3:$X$5001,"&lt;&gt;")=0,"",SUMIFS(BD!$X$3:$X$5001,BD!$B$3:$B$5001,Q$171,BD!$A$3:$A$5001,_xlfn.MAXIFS(BD!$A$3:$A$5001,BD!$B$3:$B$5001,Q$171,BD!$A$3:$A$5001,"&gt;="&amp;$C$7,BD!$A$3:$A$5001,"&lt;="&amp;$B191,BD!$X$3:$X$5001,"&lt;&gt;"))))</f>
        <v/>
      </c>
      <c r="R191" s="43" t="str">
        <f>IF(OR($B191="",$A191&gt;$B$9,R$171=""),"",IF(COUNTIFS(BD!$B$3:$B$5001,R$171,BD!$A$3:$A$5001,"&gt;="&amp;$C$7,BD!$A$3:$A$5001,"&lt;="&amp;$B191,BD!$X$3:$X$5001,"&lt;&gt;")=0,"",SUMIFS(BD!$X$3:$X$5001,BD!$B$3:$B$5001,R$171,BD!$A$3:$A$5001,_xlfn.MAXIFS(BD!$A$3:$A$5001,BD!$B$3:$B$5001,R$171,BD!$A$3:$A$5001,"&gt;="&amp;$C$7,BD!$A$3:$A$5001,"&lt;="&amp;$B191,BD!$X$3:$X$5001,"&lt;&gt;"))))</f>
        <v/>
      </c>
      <c r="S191" s="43" t="str">
        <f>IF(OR($B191="",$A191&gt;$B$9,S$171=""),"",IF(COUNTIFS(BD!$B$3:$B$5001,S$171,BD!$A$3:$A$5001,"&gt;="&amp;$C$7,BD!$A$3:$A$5001,"&lt;="&amp;$B191,BD!$X$3:$X$5001,"&lt;&gt;")=0,"",SUMIFS(BD!$X$3:$X$5001,BD!$B$3:$B$5001,S$171,BD!$A$3:$A$5001,_xlfn.MAXIFS(BD!$A$3:$A$5001,BD!$B$3:$B$5001,S$171,BD!$A$3:$A$5001,"&gt;="&amp;$C$7,BD!$A$3:$A$5001,"&lt;="&amp;$B191,BD!$X$3:$X$5001,"&lt;&gt;"))))</f>
        <v/>
      </c>
      <c r="T191" s="43" t="str">
        <f>IF(OR($B191="",$A191&gt;$B$9,T$171=""),"",IF(COUNTIFS(BD!$B$3:$B$5001,T$171,BD!$A$3:$A$5001,"&gt;="&amp;$C$7,BD!$A$3:$A$5001,"&lt;="&amp;$B191,BD!$X$3:$X$5001,"&lt;&gt;")=0,"",SUMIFS(BD!$X$3:$X$5001,BD!$B$3:$B$5001,T$171,BD!$A$3:$A$5001,_xlfn.MAXIFS(BD!$A$3:$A$5001,BD!$B$3:$B$5001,T$171,BD!$A$3:$A$5001,"&gt;="&amp;$C$7,BD!$A$3:$A$5001,"&lt;="&amp;$B191,BD!$X$3:$X$5001,"&lt;&gt;"))))</f>
        <v/>
      </c>
      <c r="U191" s="43" t="str">
        <f>IF(OR($B191="",$A191&gt;$B$9,U$171=""),"",IF(COUNTIFS(BD!$B$3:$B$5001,U$171,BD!$A$3:$A$5001,"&gt;="&amp;$C$7,BD!$A$3:$A$5001,"&lt;="&amp;$B191,BD!$X$3:$X$5001,"&lt;&gt;")=0,"",SUMIFS(BD!$X$3:$X$5001,BD!$B$3:$B$5001,U$171,BD!$A$3:$A$5001,_xlfn.MAXIFS(BD!$A$3:$A$5001,BD!$B$3:$B$5001,U$171,BD!$A$3:$A$5001,"&gt;="&amp;$C$7,BD!$A$3:$A$5001,"&lt;="&amp;$B191,BD!$X$3:$X$5001,"&lt;&gt;"))))</f>
        <v/>
      </c>
      <c r="V191" s="43" t="str">
        <f>IF(OR($B191="",$A191&gt;$B$9,V$171=""),"",IF(COUNTIFS(BD!$B$3:$B$5001,V$171,BD!$A$3:$A$5001,"&gt;="&amp;$C$7,BD!$A$3:$A$5001,"&lt;="&amp;$B191,BD!$X$3:$X$5001,"&lt;&gt;")=0,"",SUMIFS(BD!$X$3:$X$5001,BD!$B$3:$B$5001,V$171,BD!$A$3:$A$5001,_xlfn.MAXIFS(BD!$A$3:$A$5001,BD!$B$3:$B$5001,V$171,BD!$A$3:$A$5001,"&gt;="&amp;$C$7,BD!$A$3:$A$5001,"&lt;="&amp;$B191,BD!$X$3:$X$5001,"&lt;&gt;"))))</f>
        <v/>
      </c>
    </row>
    <row r="192">
      <c r="A192" s="38">
        <v>21</v>
      </c>
      <c r="B192" s="42">
        <f>$B$32</f>
        <v>46316</v>
      </c>
      <c r="C192" s="43" t="str">
        <f>IF(OR($B192="",$A192&gt;$B$9,C$171=""),"",IF(COUNTIFS(BD!$B$3:$B$5001,C$171,BD!$A$3:$A$5001,"&gt;="&amp;$C$7,BD!$A$3:$A$5001,"&lt;="&amp;$B192,BD!$X$3:$X$5001,"&lt;&gt;")=0,"",SUMIFS(BD!$X$3:$X$5001,BD!$B$3:$B$5001,C$171,BD!$A$3:$A$5001,_xlfn.MAXIFS(BD!$A$3:$A$5001,BD!$B$3:$B$5001,C$171,BD!$A$3:$A$5001,"&gt;="&amp;$C$7,BD!$A$3:$A$5001,"&lt;="&amp;$B192,BD!$X$3:$X$5001,"&lt;&gt;"))))</f>
        <v/>
      </c>
      <c r="D192" s="43" t="str">
        <f>IF(OR($B192="",$A192&gt;$B$9,D$171=""),"",IF(COUNTIFS(BD!$B$3:$B$5001,D$171,BD!$A$3:$A$5001,"&gt;="&amp;$C$7,BD!$A$3:$A$5001,"&lt;="&amp;$B192,BD!$X$3:$X$5001,"&lt;&gt;")=0,"",SUMIFS(BD!$X$3:$X$5001,BD!$B$3:$B$5001,D$171,BD!$A$3:$A$5001,_xlfn.MAXIFS(BD!$A$3:$A$5001,BD!$B$3:$B$5001,D$171,BD!$A$3:$A$5001,"&gt;="&amp;$C$7,BD!$A$3:$A$5001,"&lt;="&amp;$B192,BD!$X$3:$X$5001,"&lt;&gt;"))))</f>
        <v/>
      </c>
      <c r="E192" s="43" t="str">
        <f>IF(OR($B192="",$A192&gt;$B$9,E$171=""),"",IF(COUNTIFS(BD!$B$3:$B$5001,E$171,BD!$A$3:$A$5001,"&gt;="&amp;$C$7,BD!$A$3:$A$5001,"&lt;="&amp;$B192,BD!$X$3:$X$5001,"&lt;&gt;")=0,"",SUMIFS(BD!$X$3:$X$5001,BD!$B$3:$B$5001,E$171,BD!$A$3:$A$5001,_xlfn.MAXIFS(BD!$A$3:$A$5001,BD!$B$3:$B$5001,E$171,BD!$A$3:$A$5001,"&gt;="&amp;$C$7,BD!$A$3:$A$5001,"&lt;="&amp;$B192,BD!$X$3:$X$5001,"&lt;&gt;"))))</f>
        <v/>
      </c>
      <c r="F192" s="43" t="str">
        <f>IF(OR($B192="",$A192&gt;$B$9,F$171=""),"",IF(COUNTIFS(BD!$B$3:$B$5001,F$171,BD!$A$3:$A$5001,"&gt;="&amp;$C$7,BD!$A$3:$A$5001,"&lt;="&amp;$B192,BD!$X$3:$X$5001,"&lt;&gt;")=0,"",SUMIFS(BD!$X$3:$X$5001,BD!$B$3:$B$5001,F$171,BD!$A$3:$A$5001,_xlfn.MAXIFS(BD!$A$3:$A$5001,BD!$B$3:$B$5001,F$171,BD!$A$3:$A$5001,"&gt;="&amp;$C$7,BD!$A$3:$A$5001,"&lt;="&amp;$B192,BD!$X$3:$X$5001,"&lt;&gt;"))))</f>
        <v/>
      </c>
      <c r="G192" s="43" t="str">
        <f>IF(OR($B192="",$A192&gt;$B$9,G$171=""),"",IF(COUNTIFS(BD!$B$3:$B$5001,G$171,BD!$A$3:$A$5001,"&gt;="&amp;$C$7,BD!$A$3:$A$5001,"&lt;="&amp;$B192,BD!$X$3:$X$5001,"&lt;&gt;")=0,"",SUMIFS(BD!$X$3:$X$5001,BD!$B$3:$B$5001,G$171,BD!$A$3:$A$5001,_xlfn.MAXIFS(BD!$A$3:$A$5001,BD!$B$3:$B$5001,G$171,BD!$A$3:$A$5001,"&gt;="&amp;$C$7,BD!$A$3:$A$5001,"&lt;="&amp;$B192,BD!$X$3:$X$5001,"&lt;&gt;"))))</f>
        <v/>
      </c>
      <c r="H192" s="43" t="str">
        <f>IF(OR($B192="",$A192&gt;$B$9,H$171=""),"",IF(COUNTIFS(BD!$B$3:$B$5001,H$171,BD!$A$3:$A$5001,"&gt;="&amp;$C$7,BD!$A$3:$A$5001,"&lt;="&amp;$B192,BD!$X$3:$X$5001,"&lt;&gt;")=0,"",SUMIFS(BD!$X$3:$X$5001,BD!$B$3:$B$5001,H$171,BD!$A$3:$A$5001,_xlfn.MAXIFS(BD!$A$3:$A$5001,BD!$B$3:$B$5001,H$171,BD!$A$3:$A$5001,"&gt;="&amp;$C$7,BD!$A$3:$A$5001,"&lt;="&amp;$B192,BD!$X$3:$X$5001,"&lt;&gt;"))))</f>
        <v/>
      </c>
      <c r="I192" s="43" t="str">
        <f>IF(OR($B192="",$A192&gt;$B$9,I$171=""),"",IF(COUNTIFS(BD!$B$3:$B$5001,I$171,BD!$A$3:$A$5001,"&gt;="&amp;$C$7,BD!$A$3:$A$5001,"&lt;="&amp;$B192,BD!$X$3:$X$5001,"&lt;&gt;")=0,"",SUMIFS(BD!$X$3:$X$5001,BD!$B$3:$B$5001,I$171,BD!$A$3:$A$5001,_xlfn.MAXIFS(BD!$A$3:$A$5001,BD!$B$3:$B$5001,I$171,BD!$A$3:$A$5001,"&gt;="&amp;$C$7,BD!$A$3:$A$5001,"&lt;="&amp;$B192,BD!$X$3:$X$5001,"&lt;&gt;"))))</f>
        <v/>
      </c>
      <c r="J192" s="43" t="str">
        <f>IF(OR($B192="",$A192&gt;$B$9,J$171=""),"",IF(COUNTIFS(BD!$B$3:$B$5001,J$171,BD!$A$3:$A$5001,"&gt;="&amp;$C$7,BD!$A$3:$A$5001,"&lt;="&amp;$B192,BD!$X$3:$X$5001,"&lt;&gt;")=0,"",SUMIFS(BD!$X$3:$X$5001,BD!$B$3:$B$5001,J$171,BD!$A$3:$A$5001,_xlfn.MAXIFS(BD!$A$3:$A$5001,BD!$B$3:$B$5001,J$171,BD!$A$3:$A$5001,"&gt;="&amp;$C$7,BD!$A$3:$A$5001,"&lt;="&amp;$B192,BD!$X$3:$X$5001,"&lt;&gt;"))))</f>
        <v/>
      </c>
      <c r="K192" s="43" t="str">
        <f>IF(OR($B192="",$A192&gt;$B$9,K$171=""),"",IF(COUNTIFS(BD!$B$3:$B$5001,K$171,BD!$A$3:$A$5001,"&gt;="&amp;$C$7,BD!$A$3:$A$5001,"&lt;="&amp;$B192,BD!$X$3:$X$5001,"&lt;&gt;")=0,"",SUMIFS(BD!$X$3:$X$5001,BD!$B$3:$B$5001,K$171,BD!$A$3:$A$5001,_xlfn.MAXIFS(BD!$A$3:$A$5001,BD!$B$3:$B$5001,K$171,BD!$A$3:$A$5001,"&gt;="&amp;$C$7,BD!$A$3:$A$5001,"&lt;="&amp;$B192,BD!$X$3:$X$5001,"&lt;&gt;"))))</f>
        <v/>
      </c>
      <c r="L192" s="43" t="str">
        <f>IF(OR($B192="",$A192&gt;$B$9,L$171=""),"",IF(COUNTIFS(BD!$B$3:$B$5001,L$171,BD!$A$3:$A$5001,"&gt;="&amp;$C$7,BD!$A$3:$A$5001,"&lt;="&amp;$B192,BD!$X$3:$X$5001,"&lt;&gt;")=0,"",SUMIFS(BD!$X$3:$X$5001,BD!$B$3:$B$5001,L$171,BD!$A$3:$A$5001,_xlfn.MAXIFS(BD!$A$3:$A$5001,BD!$B$3:$B$5001,L$171,BD!$A$3:$A$5001,"&gt;="&amp;$C$7,BD!$A$3:$A$5001,"&lt;="&amp;$B192,BD!$X$3:$X$5001,"&lt;&gt;"))))</f>
        <v/>
      </c>
      <c r="M192" s="43" t="str">
        <f>IF(OR($B192="",$A192&gt;$B$9,M$171=""),"",IF(COUNTIFS(BD!$B$3:$B$5001,M$171,BD!$A$3:$A$5001,"&gt;="&amp;$C$7,BD!$A$3:$A$5001,"&lt;="&amp;$B192,BD!$X$3:$X$5001,"&lt;&gt;")=0,"",SUMIFS(BD!$X$3:$X$5001,BD!$B$3:$B$5001,M$171,BD!$A$3:$A$5001,_xlfn.MAXIFS(BD!$A$3:$A$5001,BD!$B$3:$B$5001,M$171,BD!$A$3:$A$5001,"&gt;="&amp;$C$7,BD!$A$3:$A$5001,"&lt;="&amp;$B192,BD!$X$3:$X$5001,"&lt;&gt;"))))</f>
        <v/>
      </c>
      <c r="N192" s="43" t="str">
        <f>IF(OR($B192="",$A192&gt;$B$9,N$171=""),"",IF(COUNTIFS(BD!$B$3:$B$5001,N$171,BD!$A$3:$A$5001,"&gt;="&amp;$C$7,BD!$A$3:$A$5001,"&lt;="&amp;$B192,BD!$X$3:$X$5001,"&lt;&gt;")=0,"",SUMIFS(BD!$X$3:$X$5001,BD!$B$3:$B$5001,N$171,BD!$A$3:$A$5001,_xlfn.MAXIFS(BD!$A$3:$A$5001,BD!$B$3:$B$5001,N$171,BD!$A$3:$A$5001,"&gt;="&amp;$C$7,BD!$A$3:$A$5001,"&lt;="&amp;$B192,BD!$X$3:$X$5001,"&lt;&gt;"))))</f>
        <v/>
      </c>
      <c r="O192" s="43" t="str">
        <f>IF(OR($B192="",$A192&gt;$B$9,O$171=""),"",IF(COUNTIFS(BD!$B$3:$B$5001,O$171,BD!$A$3:$A$5001,"&gt;="&amp;$C$7,BD!$A$3:$A$5001,"&lt;="&amp;$B192,BD!$X$3:$X$5001,"&lt;&gt;")=0,"",SUMIFS(BD!$X$3:$X$5001,BD!$B$3:$B$5001,O$171,BD!$A$3:$A$5001,_xlfn.MAXIFS(BD!$A$3:$A$5001,BD!$B$3:$B$5001,O$171,BD!$A$3:$A$5001,"&gt;="&amp;$C$7,BD!$A$3:$A$5001,"&lt;="&amp;$B192,BD!$X$3:$X$5001,"&lt;&gt;"))))</f>
        <v/>
      </c>
      <c r="P192" s="43" t="str">
        <f>IF(OR($B192="",$A192&gt;$B$9,P$171=""),"",IF(COUNTIFS(BD!$B$3:$B$5001,P$171,BD!$A$3:$A$5001,"&gt;="&amp;$C$7,BD!$A$3:$A$5001,"&lt;="&amp;$B192,BD!$X$3:$X$5001,"&lt;&gt;")=0,"",SUMIFS(BD!$X$3:$X$5001,BD!$B$3:$B$5001,P$171,BD!$A$3:$A$5001,_xlfn.MAXIFS(BD!$A$3:$A$5001,BD!$B$3:$B$5001,P$171,BD!$A$3:$A$5001,"&gt;="&amp;$C$7,BD!$A$3:$A$5001,"&lt;="&amp;$B192,BD!$X$3:$X$5001,"&lt;&gt;"))))</f>
        <v/>
      </c>
      <c r="Q192" s="43" t="str">
        <f>IF(OR($B192="",$A192&gt;$B$9,Q$171=""),"",IF(COUNTIFS(BD!$B$3:$B$5001,Q$171,BD!$A$3:$A$5001,"&gt;="&amp;$C$7,BD!$A$3:$A$5001,"&lt;="&amp;$B192,BD!$X$3:$X$5001,"&lt;&gt;")=0,"",SUMIFS(BD!$X$3:$X$5001,BD!$B$3:$B$5001,Q$171,BD!$A$3:$A$5001,_xlfn.MAXIFS(BD!$A$3:$A$5001,BD!$B$3:$B$5001,Q$171,BD!$A$3:$A$5001,"&gt;="&amp;$C$7,BD!$A$3:$A$5001,"&lt;="&amp;$B192,BD!$X$3:$X$5001,"&lt;&gt;"))))</f>
        <v/>
      </c>
      <c r="R192" s="43" t="str">
        <f>IF(OR($B192="",$A192&gt;$B$9,R$171=""),"",IF(COUNTIFS(BD!$B$3:$B$5001,R$171,BD!$A$3:$A$5001,"&gt;="&amp;$C$7,BD!$A$3:$A$5001,"&lt;="&amp;$B192,BD!$X$3:$X$5001,"&lt;&gt;")=0,"",SUMIFS(BD!$X$3:$X$5001,BD!$B$3:$B$5001,R$171,BD!$A$3:$A$5001,_xlfn.MAXIFS(BD!$A$3:$A$5001,BD!$B$3:$B$5001,R$171,BD!$A$3:$A$5001,"&gt;="&amp;$C$7,BD!$A$3:$A$5001,"&lt;="&amp;$B192,BD!$X$3:$X$5001,"&lt;&gt;"))))</f>
        <v/>
      </c>
      <c r="S192" s="43" t="str">
        <f>IF(OR($B192="",$A192&gt;$B$9,S$171=""),"",IF(COUNTIFS(BD!$B$3:$B$5001,S$171,BD!$A$3:$A$5001,"&gt;="&amp;$C$7,BD!$A$3:$A$5001,"&lt;="&amp;$B192,BD!$X$3:$X$5001,"&lt;&gt;")=0,"",SUMIFS(BD!$X$3:$X$5001,BD!$B$3:$B$5001,S$171,BD!$A$3:$A$5001,_xlfn.MAXIFS(BD!$A$3:$A$5001,BD!$B$3:$B$5001,S$171,BD!$A$3:$A$5001,"&gt;="&amp;$C$7,BD!$A$3:$A$5001,"&lt;="&amp;$B192,BD!$X$3:$X$5001,"&lt;&gt;"))))</f>
        <v/>
      </c>
      <c r="T192" s="43" t="str">
        <f>IF(OR($B192="",$A192&gt;$B$9,T$171=""),"",IF(COUNTIFS(BD!$B$3:$B$5001,T$171,BD!$A$3:$A$5001,"&gt;="&amp;$C$7,BD!$A$3:$A$5001,"&lt;="&amp;$B192,BD!$X$3:$X$5001,"&lt;&gt;")=0,"",SUMIFS(BD!$X$3:$X$5001,BD!$B$3:$B$5001,T$171,BD!$A$3:$A$5001,_xlfn.MAXIFS(BD!$A$3:$A$5001,BD!$B$3:$B$5001,T$171,BD!$A$3:$A$5001,"&gt;="&amp;$C$7,BD!$A$3:$A$5001,"&lt;="&amp;$B192,BD!$X$3:$X$5001,"&lt;&gt;"))))</f>
        <v/>
      </c>
      <c r="U192" s="43" t="str">
        <f>IF(OR($B192="",$A192&gt;$B$9,U$171=""),"",IF(COUNTIFS(BD!$B$3:$B$5001,U$171,BD!$A$3:$A$5001,"&gt;="&amp;$C$7,BD!$A$3:$A$5001,"&lt;="&amp;$B192,BD!$X$3:$X$5001,"&lt;&gt;")=0,"",SUMIFS(BD!$X$3:$X$5001,BD!$B$3:$B$5001,U$171,BD!$A$3:$A$5001,_xlfn.MAXIFS(BD!$A$3:$A$5001,BD!$B$3:$B$5001,U$171,BD!$A$3:$A$5001,"&gt;="&amp;$C$7,BD!$A$3:$A$5001,"&lt;="&amp;$B192,BD!$X$3:$X$5001,"&lt;&gt;"))))</f>
        <v/>
      </c>
      <c r="V192" s="43" t="str">
        <f>IF(OR($B192="",$A192&gt;$B$9,V$171=""),"",IF(COUNTIFS(BD!$B$3:$B$5001,V$171,BD!$A$3:$A$5001,"&gt;="&amp;$C$7,BD!$A$3:$A$5001,"&lt;="&amp;$B192,BD!$X$3:$X$5001,"&lt;&gt;")=0,"",SUMIFS(BD!$X$3:$X$5001,BD!$B$3:$B$5001,V$171,BD!$A$3:$A$5001,_xlfn.MAXIFS(BD!$A$3:$A$5001,BD!$B$3:$B$5001,V$171,BD!$A$3:$A$5001,"&gt;="&amp;$C$7,BD!$A$3:$A$5001,"&lt;="&amp;$B192,BD!$X$3:$X$5001,"&lt;&gt;"))))</f>
        <v/>
      </c>
    </row>
    <row r="193">
      <c r="A193" s="38">
        <v>22</v>
      </c>
      <c r="B193" s="42">
        <f>$B$33</f>
        <v>46317</v>
      </c>
      <c r="C193" s="43" t="str">
        <f>IF(OR($B193="",$A193&gt;$B$9,C$171=""),"",IF(COUNTIFS(BD!$B$3:$B$5001,C$171,BD!$A$3:$A$5001,"&gt;="&amp;$C$7,BD!$A$3:$A$5001,"&lt;="&amp;$B193,BD!$X$3:$X$5001,"&lt;&gt;")=0,"",SUMIFS(BD!$X$3:$X$5001,BD!$B$3:$B$5001,C$171,BD!$A$3:$A$5001,_xlfn.MAXIFS(BD!$A$3:$A$5001,BD!$B$3:$B$5001,C$171,BD!$A$3:$A$5001,"&gt;="&amp;$C$7,BD!$A$3:$A$5001,"&lt;="&amp;$B193,BD!$X$3:$X$5001,"&lt;&gt;"))))</f>
        <v/>
      </c>
      <c r="D193" s="43" t="str">
        <f>IF(OR($B193="",$A193&gt;$B$9,D$171=""),"",IF(COUNTIFS(BD!$B$3:$B$5001,D$171,BD!$A$3:$A$5001,"&gt;="&amp;$C$7,BD!$A$3:$A$5001,"&lt;="&amp;$B193,BD!$X$3:$X$5001,"&lt;&gt;")=0,"",SUMIFS(BD!$X$3:$X$5001,BD!$B$3:$B$5001,D$171,BD!$A$3:$A$5001,_xlfn.MAXIFS(BD!$A$3:$A$5001,BD!$B$3:$B$5001,D$171,BD!$A$3:$A$5001,"&gt;="&amp;$C$7,BD!$A$3:$A$5001,"&lt;="&amp;$B193,BD!$X$3:$X$5001,"&lt;&gt;"))))</f>
        <v/>
      </c>
      <c r="E193" s="43" t="str">
        <f>IF(OR($B193="",$A193&gt;$B$9,E$171=""),"",IF(COUNTIFS(BD!$B$3:$B$5001,E$171,BD!$A$3:$A$5001,"&gt;="&amp;$C$7,BD!$A$3:$A$5001,"&lt;="&amp;$B193,BD!$X$3:$X$5001,"&lt;&gt;")=0,"",SUMIFS(BD!$X$3:$X$5001,BD!$B$3:$B$5001,E$171,BD!$A$3:$A$5001,_xlfn.MAXIFS(BD!$A$3:$A$5001,BD!$B$3:$B$5001,E$171,BD!$A$3:$A$5001,"&gt;="&amp;$C$7,BD!$A$3:$A$5001,"&lt;="&amp;$B193,BD!$X$3:$X$5001,"&lt;&gt;"))))</f>
        <v/>
      </c>
      <c r="F193" s="43" t="str">
        <f>IF(OR($B193="",$A193&gt;$B$9,F$171=""),"",IF(COUNTIFS(BD!$B$3:$B$5001,F$171,BD!$A$3:$A$5001,"&gt;="&amp;$C$7,BD!$A$3:$A$5001,"&lt;="&amp;$B193,BD!$X$3:$X$5001,"&lt;&gt;")=0,"",SUMIFS(BD!$X$3:$X$5001,BD!$B$3:$B$5001,F$171,BD!$A$3:$A$5001,_xlfn.MAXIFS(BD!$A$3:$A$5001,BD!$B$3:$B$5001,F$171,BD!$A$3:$A$5001,"&gt;="&amp;$C$7,BD!$A$3:$A$5001,"&lt;="&amp;$B193,BD!$X$3:$X$5001,"&lt;&gt;"))))</f>
        <v/>
      </c>
      <c r="G193" s="43" t="str">
        <f>IF(OR($B193="",$A193&gt;$B$9,G$171=""),"",IF(COUNTIFS(BD!$B$3:$B$5001,G$171,BD!$A$3:$A$5001,"&gt;="&amp;$C$7,BD!$A$3:$A$5001,"&lt;="&amp;$B193,BD!$X$3:$X$5001,"&lt;&gt;")=0,"",SUMIFS(BD!$X$3:$X$5001,BD!$B$3:$B$5001,G$171,BD!$A$3:$A$5001,_xlfn.MAXIFS(BD!$A$3:$A$5001,BD!$B$3:$B$5001,G$171,BD!$A$3:$A$5001,"&gt;="&amp;$C$7,BD!$A$3:$A$5001,"&lt;="&amp;$B193,BD!$X$3:$X$5001,"&lt;&gt;"))))</f>
        <v/>
      </c>
      <c r="H193" s="43" t="str">
        <f>IF(OR($B193="",$A193&gt;$B$9,H$171=""),"",IF(COUNTIFS(BD!$B$3:$B$5001,H$171,BD!$A$3:$A$5001,"&gt;="&amp;$C$7,BD!$A$3:$A$5001,"&lt;="&amp;$B193,BD!$X$3:$X$5001,"&lt;&gt;")=0,"",SUMIFS(BD!$X$3:$X$5001,BD!$B$3:$B$5001,H$171,BD!$A$3:$A$5001,_xlfn.MAXIFS(BD!$A$3:$A$5001,BD!$B$3:$B$5001,H$171,BD!$A$3:$A$5001,"&gt;="&amp;$C$7,BD!$A$3:$A$5001,"&lt;="&amp;$B193,BD!$X$3:$X$5001,"&lt;&gt;"))))</f>
        <v/>
      </c>
      <c r="I193" s="43" t="str">
        <f>IF(OR($B193="",$A193&gt;$B$9,I$171=""),"",IF(COUNTIFS(BD!$B$3:$B$5001,I$171,BD!$A$3:$A$5001,"&gt;="&amp;$C$7,BD!$A$3:$A$5001,"&lt;="&amp;$B193,BD!$X$3:$X$5001,"&lt;&gt;")=0,"",SUMIFS(BD!$X$3:$X$5001,BD!$B$3:$B$5001,I$171,BD!$A$3:$A$5001,_xlfn.MAXIFS(BD!$A$3:$A$5001,BD!$B$3:$B$5001,I$171,BD!$A$3:$A$5001,"&gt;="&amp;$C$7,BD!$A$3:$A$5001,"&lt;="&amp;$B193,BD!$X$3:$X$5001,"&lt;&gt;"))))</f>
        <v/>
      </c>
      <c r="J193" s="43" t="str">
        <f>IF(OR($B193="",$A193&gt;$B$9,J$171=""),"",IF(COUNTIFS(BD!$B$3:$B$5001,J$171,BD!$A$3:$A$5001,"&gt;="&amp;$C$7,BD!$A$3:$A$5001,"&lt;="&amp;$B193,BD!$X$3:$X$5001,"&lt;&gt;")=0,"",SUMIFS(BD!$X$3:$X$5001,BD!$B$3:$B$5001,J$171,BD!$A$3:$A$5001,_xlfn.MAXIFS(BD!$A$3:$A$5001,BD!$B$3:$B$5001,J$171,BD!$A$3:$A$5001,"&gt;="&amp;$C$7,BD!$A$3:$A$5001,"&lt;="&amp;$B193,BD!$X$3:$X$5001,"&lt;&gt;"))))</f>
        <v/>
      </c>
      <c r="K193" s="43" t="str">
        <f>IF(OR($B193="",$A193&gt;$B$9,K$171=""),"",IF(COUNTIFS(BD!$B$3:$B$5001,K$171,BD!$A$3:$A$5001,"&gt;="&amp;$C$7,BD!$A$3:$A$5001,"&lt;="&amp;$B193,BD!$X$3:$X$5001,"&lt;&gt;")=0,"",SUMIFS(BD!$X$3:$X$5001,BD!$B$3:$B$5001,K$171,BD!$A$3:$A$5001,_xlfn.MAXIFS(BD!$A$3:$A$5001,BD!$B$3:$B$5001,K$171,BD!$A$3:$A$5001,"&gt;="&amp;$C$7,BD!$A$3:$A$5001,"&lt;="&amp;$B193,BD!$X$3:$X$5001,"&lt;&gt;"))))</f>
        <v/>
      </c>
      <c r="L193" s="43" t="str">
        <f>IF(OR($B193="",$A193&gt;$B$9,L$171=""),"",IF(COUNTIFS(BD!$B$3:$B$5001,L$171,BD!$A$3:$A$5001,"&gt;="&amp;$C$7,BD!$A$3:$A$5001,"&lt;="&amp;$B193,BD!$X$3:$X$5001,"&lt;&gt;")=0,"",SUMIFS(BD!$X$3:$X$5001,BD!$B$3:$B$5001,L$171,BD!$A$3:$A$5001,_xlfn.MAXIFS(BD!$A$3:$A$5001,BD!$B$3:$B$5001,L$171,BD!$A$3:$A$5001,"&gt;="&amp;$C$7,BD!$A$3:$A$5001,"&lt;="&amp;$B193,BD!$X$3:$X$5001,"&lt;&gt;"))))</f>
        <v/>
      </c>
      <c r="M193" s="43" t="str">
        <f>IF(OR($B193="",$A193&gt;$B$9,M$171=""),"",IF(COUNTIFS(BD!$B$3:$B$5001,M$171,BD!$A$3:$A$5001,"&gt;="&amp;$C$7,BD!$A$3:$A$5001,"&lt;="&amp;$B193,BD!$X$3:$X$5001,"&lt;&gt;")=0,"",SUMIFS(BD!$X$3:$X$5001,BD!$B$3:$B$5001,M$171,BD!$A$3:$A$5001,_xlfn.MAXIFS(BD!$A$3:$A$5001,BD!$B$3:$B$5001,M$171,BD!$A$3:$A$5001,"&gt;="&amp;$C$7,BD!$A$3:$A$5001,"&lt;="&amp;$B193,BD!$X$3:$X$5001,"&lt;&gt;"))))</f>
        <v/>
      </c>
      <c r="N193" s="43" t="str">
        <f>IF(OR($B193="",$A193&gt;$B$9,N$171=""),"",IF(COUNTIFS(BD!$B$3:$B$5001,N$171,BD!$A$3:$A$5001,"&gt;="&amp;$C$7,BD!$A$3:$A$5001,"&lt;="&amp;$B193,BD!$X$3:$X$5001,"&lt;&gt;")=0,"",SUMIFS(BD!$X$3:$X$5001,BD!$B$3:$B$5001,N$171,BD!$A$3:$A$5001,_xlfn.MAXIFS(BD!$A$3:$A$5001,BD!$B$3:$B$5001,N$171,BD!$A$3:$A$5001,"&gt;="&amp;$C$7,BD!$A$3:$A$5001,"&lt;="&amp;$B193,BD!$X$3:$X$5001,"&lt;&gt;"))))</f>
        <v/>
      </c>
      <c r="O193" s="43" t="str">
        <f>IF(OR($B193="",$A193&gt;$B$9,O$171=""),"",IF(COUNTIFS(BD!$B$3:$B$5001,O$171,BD!$A$3:$A$5001,"&gt;="&amp;$C$7,BD!$A$3:$A$5001,"&lt;="&amp;$B193,BD!$X$3:$X$5001,"&lt;&gt;")=0,"",SUMIFS(BD!$X$3:$X$5001,BD!$B$3:$B$5001,O$171,BD!$A$3:$A$5001,_xlfn.MAXIFS(BD!$A$3:$A$5001,BD!$B$3:$B$5001,O$171,BD!$A$3:$A$5001,"&gt;="&amp;$C$7,BD!$A$3:$A$5001,"&lt;="&amp;$B193,BD!$X$3:$X$5001,"&lt;&gt;"))))</f>
        <v/>
      </c>
      <c r="P193" s="43" t="str">
        <f>IF(OR($B193="",$A193&gt;$B$9,P$171=""),"",IF(COUNTIFS(BD!$B$3:$B$5001,P$171,BD!$A$3:$A$5001,"&gt;="&amp;$C$7,BD!$A$3:$A$5001,"&lt;="&amp;$B193,BD!$X$3:$X$5001,"&lt;&gt;")=0,"",SUMIFS(BD!$X$3:$X$5001,BD!$B$3:$B$5001,P$171,BD!$A$3:$A$5001,_xlfn.MAXIFS(BD!$A$3:$A$5001,BD!$B$3:$B$5001,P$171,BD!$A$3:$A$5001,"&gt;="&amp;$C$7,BD!$A$3:$A$5001,"&lt;="&amp;$B193,BD!$X$3:$X$5001,"&lt;&gt;"))))</f>
        <v/>
      </c>
      <c r="Q193" s="43" t="str">
        <f>IF(OR($B193="",$A193&gt;$B$9,Q$171=""),"",IF(COUNTIFS(BD!$B$3:$B$5001,Q$171,BD!$A$3:$A$5001,"&gt;="&amp;$C$7,BD!$A$3:$A$5001,"&lt;="&amp;$B193,BD!$X$3:$X$5001,"&lt;&gt;")=0,"",SUMIFS(BD!$X$3:$X$5001,BD!$B$3:$B$5001,Q$171,BD!$A$3:$A$5001,_xlfn.MAXIFS(BD!$A$3:$A$5001,BD!$B$3:$B$5001,Q$171,BD!$A$3:$A$5001,"&gt;="&amp;$C$7,BD!$A$3:$A$5001,"&lt;="&amp;$B193,BD!$X$3:$X$5001,"&lt;&gt;"))))</f>
        <v/>
      </c>
      <c r="R193" s="43" t="str">
        <f>IF(OR($B193="",$A193&gt;$B$9,R$171=""),"",IF(COUNTIFS(BD!$B$3:$B$5001,R$171,BD!$A$3:$A$5001,"&gt;="&amp;$C$7,BD!$A$3:$A$5001,"&lt;="&amp;$B193,BD!$X$3:$X$5001,"&lt;&gt;")=0,"",SUMIFS(BD!$X$3:$X$5001,BD!$B$3:$B$5001,R$171,BD!$A$3:$A$5001,_xlfn.MAXIFS(BD!$A$3:$A$5001,BD!$B$3:$B$5001,R$171,BD!$A$3:$A$5001,"&gt;="&amp;$C$7,BD!$A$3:$A$5001,"&lt;="&amp;$B193,BD!$X$3:$X$5001,"&lt;&gt;"))))</f>
        <v/>
      </c>
      <c r="S193" s="43" t="str">
        <f>IF(OR($B193="",$A193&gt;$B$9,S$171=""),"",IF(COUNTIFS(BD!$B$3:$B$5001,S$171,BD!$A$3:$A$5001,"&gt;="&amp;$C$7,BD!$A$3:$A$5001,"&lt;="&amp;$B193,BD!$X$3:$X$5001,"&lt;&gt;")=0,"",SUMIFS(BD!$X$3:$X$5001,BD!$B$3:$B$5001,S$171,BD!$A$3:$A$5001,_xlfn.MAXIFS(BD!$A$3:$A$5001,BD!$B$3:$B$5001,S$171,BD!$A$3:$A$5001,"&gt;="&amp;$C$7,BD!$A$3:$A$5001,"&lt;="&amp;$B193,BD!$X$3:$X$5001,"&lt;&gt;"))))</f>
        <v/>
      </c>
      <c r="T193" s="43" t="str">
        <f>IF(OR($B193="",$A193&gt;$B$9,T$171=""),"",IF(COUNTIFS(BD!$B$3:$B$5001,T$171,BD!$A$3:$A$5001,"&gt;="&amp;$C$7,BD!$A$3:$A$5001,"&lt;="&amp;$B193,BD!$X$3:$X$5001,"&lt;&gt;")=0,"",SUMIFS(BD!$X$3:$X$5001,BD!$B$3:$B$5001,T$171,BD!$A$3:$A$5001,_xlfn.MAXIFS(BD!$A$3:$A$5001,BD!$B$3:$B$5001,T$171,BD!$A$3:$A$5001,"&gt;="&amp;$C$7,BD!$A$3:$A$5001,"&lt;="&amp;$B193,BD!$X$3:$X$5001,"&lt;&gt;"))))</f>
        <v/>
      </c>
      <c r="U193" s="43" t="str">
        <f>IF(OR($B193="",$A193&gt;$B$9,U$171=""),"",IF(COUNTIFS(BD!$B$3:$B$5001,U$171,BD!$A$3:$A$5001,"&gt;="&amp;$C$7,BD!$A$3:$A$5001,"&lt;="&amp;$B193,BD!$X$3:$X$5001,"&lt;&gt;")=0,"",SUMIFS(BD!$X$3:$X$5001,BD!$B$3:$B$5001,U$171,BD!$A$3:$A$5001,_xlfn.MAXIFS(BD!$A$3:$A$5001,BD!$B$3:$B$5001,U$171,BD!$A$3:$A$5001,"&gt;="&amp;$C$7,BD!$A$3:$A$5001,"&lt;="&amp;$B193,BD!$X$3:$X$5001,"&lt;&gt;"))))</f>
        <v/>
      </c>
      <c r="V193" s="43" t="str">
        <f>IF(OR($B193="",$A193&gt;$B$9,V$171=""),"",IF(COUNTIFS(BD!$B$3:$B$5001,V$171,BD!$A$3:$A$5001,"&gt;="&amp;$C$7,BD!$A$3:$A$5001,"&lt;="&amp;$B193,BD!$X$3:$X$5001,"&lt;&gt;")=0,"",SUMIFS(BD!$X$3:$X$5001,BD!$B$3:$B$5001,V$171,BD!$A$3:$A$5001,_xlfn.MAXIFS(BD!$A$3:$A$5001,BD!$B$3:$B$5001,V$171,BD!$A$3:$A$5001,"&gt;="&amp;$C$7,BD!$A$3:$A$5001,"&lt;="&amp;$B193,BD!$X$3:$X$5001,"&lt;&gt;"))))</f>
        <v/>
      </c>
    </row>
    <row r="194">
      <c r="A194" s="38">
        <v>23</v>
      </c>
      <c r="B194" s="42">
        <f>$B$34</f>
        <v>46318</v>
      </c>
      <c r="C194" s="43" t="str">
        <f>IF(OR($B194="",$A194&gt;$B$9,C$171=""),"",IF(COUNTIFS(BD!$B$3:$B$5001,C$171,BD!$A$3:$A$5001,"&gt;="&amp;$C$7,BD!$A$3:$A$5001,"&lt;="&amp;$B194,BD!$X$3:$X$5001,"&lt;&gt;")=0,"",SUMIFS(BD!$X$3:$X$5001,BD!$B$3:$B$5001,C$171,BD!$A$3:$A$5001,_xlfn.MAXIFS(BD!$A$3:$A$5001,BD!$B$3:$B$5001,C$171,BD!$A$3:$A$5001,"&gt;="&amp;$C$7,BD!$A$3:$A$5001,"&lt;="&amp;$B194,BD!$X$3:$X$5001,"&lt;&gt;"))))</f>
        <v/>
      </c>
      <c r="D194" s="43" t="str">
        <f>IF(OR($B194="",$A194&gt;$B$9,D$171=""),"",IF(COUNTIFS(BD!$B$3:$B$5001,D$171,BD!$A$3:$A$5001,"&gt;="&amp;$C$7,BD!$A$3:$A$5001,"&lt;="&amp;$B194,BD!$X$3:$X$5001,"&lt;&gt;")=0,"",SUMIFS(BD!$X$3:$X$5001,BD!$B$3:$B$5001,D$171,BD!$A$3:$A$5001,_xlfn.MAXIFS(BD!$A$3:$A$5001,BD!$B$3:$B$5001,D$171,BD!$A$3:$A$5001,"&gt;="&amp;$C$7,BD!$A$3:$A$5001,"&lt;="&amp;$B194,BD!$X$3:$X$5001,"&lt;&gt;"))))</f>
        <v/>
      </c>
      <c r="E194" s="43" t="str">
        <f>IF(OR($B194="",$A194&gt;$B$9,E$171=""),"",IF(COUNTIFS(BD!$B$3:$B$5001,E$171,BD!$A$3:$A$5001,"&gt;="&amp;$C$7,BD!$A$3:$A$5001,"&lt;="&amp;$B194,BD!$X$3:$X$5001,"&lt;&gt;")=0,"",SUMIFS(BD!$X$3:$X$5001,BD!$B$3:$B$5001,E$171,BD!$A$3:$A$5001,_xlfn.MAXIFS(BD!$A$3:$A$5001,BD!$B$3:$B$5001,E$171,BD!$A$3:$A$5001,"&gt;="&amp;$C$7,BD!$A$3:$A$5001,"&lt;="&amp;$B194,BD!$X$3:$X$5001,"&lt;&gt;"))))</f>
        <v/>
      </c>
      <c r="F194" s="43" t="str">
        <f>IF(OR($B194="",$A194&gt;$B$9,F$171=""),"",IF(COUNTIFS(BD!$B$3:$B$5001,F$171,BD!$A$3:$A$5001,"&gt;="&amp;$C$7,BD!$A$3:$A$5001,"&lt;="&amp;$B194,BD!$X$3:$X$5001,"&lt;&gt;")=0,"",SUMIFS(BD!$X$3:$X$5001,BD!$B$3:$B$5001,F$171,BD!$A$3:$A$5001,_xlfn.MAXIFS(BD!$A$3:$A$5001,BD!$B$3:$B$5001,F$171,BD!$A$3:$A$5001,"&gt;="&amp;$C$7,BD!$A$3:$A$5001,"&lt;="&amp;$B194,BD!$X$3:$X$5001,"&lt;&gt;"))))</f>
        <v/>
      </c>
      <c r="G194" s="43" t="str">
        <f>IF(OR($B194="",$A194&gt;$B$9,G$171=""),"",IF(COUNTIFS(BD!$B$3:$B$5001,G$171,BD!$A$3:$A$5001,"&gt;="&amp;$C$7,BD!$A$3:$A$5001,"&lt;="&amp;$B194,BD!$X$3:$X$5001,"&lt;&gt;")=0,"",SUMIFS(BD!$X$3:$X$5001,BD!$B$3:$B$5001,G$171,BD!$A$3:$A$5001,_xlfn.MAXIFS(BD!$A$3:$A$5001,BD!$B$3:$B$5001,G$171,BD!$A$3:$A$5001,"&gt;="&amp;$C$7,BD!$A$3:$A$5001,"&lt;="&amp;$B194,BD!$X$3:$X$5001,"&lt;&gt;"))))</f>
        <v/>
      </c>
      <c r="H194" s="43" t="str">
        <f>IF(OR($B194="",$A194&gt;$B$9,H$171=""),"",IF(COUNTIFS(BD!$B$3:$B$5001,H$171,BD!$A$3:$A$5001,"&gt;="&amp;$C$7,BD!$A$3:$A$5001,"&lt;="&amp;$B194,BD!$X$3:$X$5001,"&lt;&gt;")=0,"",SUMIFS(BD!$X$3:$X$5001,BD!$B$3:$B$5001,H$171,BD!$A$3:$A$5001,_xlfn.MAXIFS(BD!$A$3:$A$5001,BD!$B$3:$B$5001,H$171,BD!$A$3:$A$5001,"&gt;="&amp;$C$7,BD!$A$3:$A$5001,"&lt;="&amp;$B194,BD!$X$3:$X$5001,"&lt;&gt;"))))</f>
        <v/>
      </c>
      <c r="I194" s="43" t="str">
        <f>IF(OR($B194="",$A194&gt;$B$9,I$171=""),"",IF(COUNTIFS(BD!$B$3:$B$5001,I$171,BD!$A$3:$A$5001,"&gt;="&amp;$C$7,BD!$A$3:$A$5001,"&lt;="&amp;$B194,BD!$X$3:$X$5001,"&lt;&gt;")=0,"",SUMIFS(BD!$X$3:$X$5001,BD!$B$3:$B$5001,I$171,BD!$A$3:$A$5001,_xlfn.MAXIFS(BD!$A$3:$A$5001,BD!$B$3:$B$5001,I$171,BD!$A$3:$A$5001,"&gt;="&amp;$C$7,BD!$A$3:$A$5001,"&lt;="&amp;$B194,BD!$X$3:$X$5001,"&lt;&gt;"))))</f>
        <v/>
      </c>
      <c r="J194" s="43" t="str">
        <f>IF(OR($B194="",$A194&gt;$B$9,J$171=""),"",IF(COUNTIFS(BD!$B$3:$B$5001,J$171,BD!$A$3:$A$5001,"&gt;="&amp;$C$7,BD!$A$3:$A$5001,"&lt;="&amp;$B194,BD!$X$3:$X$5001,"&lt;&gt;")=0,"",SUMIFS(BD!$X$3:$X$5001,BD!$B$3:$B$5001,J$171,BD!$A$3:$A$5001,_xlfn.MAXIFS(BD!$A$3:$A$5001,BD!$B$3:$B$5001,J$171,BD!$A$3:$A$5001,"&gt;="&amp;$C$7,BD!$A$3:$A$5001,"&lt;="&amp;$B194,BD!$X$3:$X$5001,"&lt;&gt;"))))</f>
        <v/>
      </c>
      <c r="K194" s="43" t="str">
        <f>IF(OR($B194="",$A194&gt;$B$9,K$171=""),"",IF(COUNTIFS(BD!$B$3:$B$5001,K$171,BD!$A$3:$A$5001,"&gt;="&amp;$C$7,BD!$A$3:$A$5001,"&lt;="&amp;$B194,BD!$X$3:$X$5001,"&lt;&gt;")=0,"",SUMIFS(BD!$X$3:$X$5001,BD!$B$3:$B$5001,K$171,BD!$A$3:$A$5001,_xlfn.MAXIFS(BD!$A$3:$A$5001,BD!$B$3:$B$5001,K$171,BD!$A$3:$A$5001,"&gt;="&amp;$C$7,BD!$A$3:$A$5001,"&lt;="&amp;$B194,BD!$X$3:$X$5001,"&lt;&gt;"))))</f>
        <v/>
      </c>
      <c r="L194" s="43" t="str">
        <f>IF(OR($B194="",$A194&gt;$B$9,L$171=""),"",IF(COUNTIFS(BD!$B$3:$B$5001,L$171,BD!$A$3:$A$5001,"&gt;="&amp;$C$7,BD!$A$3:$A$5001,"&lt;="&amp;$B194,BD!$X$3:$X$5001,"&lt;&gt;")=0,"",SUMIFS(BD!$X$3:$X$5001,BD!$B$3:$B$5001,L$171,BD!$A$3:$A$5001,_xlfn.MAXIFS(BD!$A$3:$A$5001,BD!$B$3:$B$5001,L$171,BD!$A$3:$A$5001,"&gt;="&amp;$C$7,BD!$A$3:$A$5001,"&lt;="&amp;$B194,BD!$X$3:$X$5001,"&lt;&gt;"))))</f>
        <v/>
      </c>
      <c r="M194" s="43" t="str">
        <f>IF(OR($B194="",$A194&gt;$B$9,M$171=""),"",IF(COUNTIFS(BD!$B$3:$B$5001,M$171,BD!$A$3:$A$5001,"&gt;="&amp;$C$7,BD!$A$3:$A$5001,"&lt;="&amp;$B194,BD!$X$3:$X$5001,"&lt;&gt;")=0,"",SUMIFS(BD!$X$3:$X$5001,BD!$B$3:$B$5001,M$171,BD!$A$3:$A$5001,_xlfn.MAXIFS(BD!$A$3:$A$5001,BD!$B$3:$B$5001,M$171,BD!$A$3:$A$5001,"&gt;="&amp;$C$7,BD!$A$3:$A$5001,"&lt;="&amp;$B194,BD!$X$3:$X$5001,"&lt;&gt;"))))</f>
        <v/>
      </c>
      <c r="N194" s="43" t="str">
        <f>IF(OR($B194="",$A194&gt;$B$9,N$171=""),"",IF(COUNTIFS(BD!$B$3:$B$5001,N$171,BD!$A$3:$A$5001,"&gt;="&amp;$C$7,BD!$A$3:$A$5001,"&lt;="&amp;$B194,BD!$X$3:$X$5001,"&lt;&gt;")=0,"",SUMIFS(BD!$X$3:$X$5001,BD!$B$3:$B$5001,N$171,BD!$A$3:$A$5001,_xlfn.MAXIFS(BD!$A$3:$A$5001,BD!$B$3:$B$5001,N$171,BD!$A$3:$A$5001,"&gt;="&amp;$C$7,BD!$A$3:$A$5001,"&lt;="&amp;$B194,BD!$X$3:$X$5001,"&lt;&gt;"))))</f>
        <v/>
      </c>
      <c r="O194" s="43" t="str">
        <f>IF(OR($B194="",$A194&gt;$B$9,O$171=""),"",IF(COUNTIFS(BD!$B$3:$B$5001,O$171,BD!$A$3:$A$5001,"&gt;="&amp;$C$7,BD!$A$3:$A$5001,"&lt;="&amp;$B194,BD!$X$3:$X$5001,"&lt;&gt;")=0,"",SUMIFS(BD!$X$3:$X$5001,BD!$B$3:$B$5001,O$171,BD!$A$3:$A$5001,_xlfn.MAXIFS(BD!$A$3:$A$5001,BD!$B$3:$B$5001,O$171,BD!$A$3:$A$5001,"&gt;="&amp;$C$7,BD!$A$3:$A$5001,"&lt;="&amp;$B194,BD!$X$3:$X$5001,"&lt;&gt;"))))</f>
        <v/>
      </c>
      <c r="P194" s="43" t="str">
        <f>IF(OR($B194="",$A194&gt;$B$9,P$171=""),"",IF(COUNTIFS(BD!$B$3:$B$5001,P$171,BD!$A$3:$A$5001,"&gt;="&amp;$C$7,BD!$A$3:$A$5001,"&lt;="&amp;$B194,BD!$X$3:$X$5001,"&lt;&gt;")=0,"",SUMIFS(BD!$X$3:$X$5001,BD!$B$3:$B$5001,P$171,BD!$A$3:$A$5001,_xlfn.MAXIFS(BD!$A$3:$A$5001,BD!$B$3:$B$5001,P$171,BD!$A$3:$A$5001,"&gt;="&amp;$C$7,BD!$A$3:$A$5001,"&lt;="&amp;$B194,BD!$X$3:$X$5001,"&lt;&gt;"))))</f>
        <v/>
      </c>
      <c r="Q194" s="43" t="str">
        <f>IF(OR($B194="",$A194&gt;$B$9,Q$171=""),"",IF(COUNTIFS(BD!$B$3:$B$5001,Q$171,BD!$A$3:$A$5001,"&gt;="&amp;$C$7,BD!$A$3:$A$5001,"&lt;="&amp;$B194,BD!$X$3:$X$5001,"&lt;&gt;")=0,"",SUMIFS(BD!$X$3:$X$5001,BD!$B$3:$B$5001,Q$171,BD!$A$3:$A$5001,_xlfn.MAXIFS(BD!$A$3:$A$5001,BD!$B$3:$B$5001,Q$171,BD!$A$3:$A$5001,"&gt;="&amp;$C$7,BD!$A$3:$A$5001,"&lt;="&amp;$B194,BD!$X$3:$X$5001,"&lt;&gt;"))))</f>
        <v/>
      </c>
      <c r="R194" s="43" t="str">
        <f>IF(OR($B194="",$A194&gt;$B$9,R$171=""),"",IF(COUNTIFS(BD!$B$3:$B$5001,R$171,BD!$A$3:$A$5001,"&gt;="&amp;$C$7,BD!$A$3:$A$5001,"&lt;="&amp;$B194,BD!$X$3:$X$5001,"&lt;&gt;")=0,"",SUMIFS(BD!$X$3:$X$5001,BD!$B$3:$B$5001,R$171,BD!$A$3:$A$5001,_xlfn.MAXIFS(BD!$A$3:$A$5001,BD!$B$3:$B$5001,R$171,BD!$A$3:$A$5001,"&gt;="&amp;$C$7,BD!$A$3:$A$5001,"&lt;="&amp;$B194,BD!$X$3:$X$5001,"&lt;&gt;"))))</f>
        <v/>
      </c>
      <c r="S194" s="43" t="str">
        <f>IF(OR($B194="",$A194&gt;$B$9,S$171=""),"",IF(COUNTIFS(BD!$B$3:$B$5001,S$171,BD!$A$3:$A$5001,"&gt;="&amp;$C$7,BD!$A$3:$A$5001,"&lt;="&amp;$B194,BD!$X$3:$X$5001,"&lt;&gt;")=0,"",SUMIFS(BD!$X$3:$X$5001,BD!$B$3:$B$5001,S$171,BD!$A$3:$A$5001,_xlfn.MAXIFS(BD!$A$3:$A$5001,BD!$B$3:$B$5001,S$171,BD!$A$3:$A$5001,"&gt;="&amp;$C$7,BD!$A$3:$A$5001,"&lt;="&amp;$B194,BD!$X$3:$X$5001,"&lt;&gt;"))))</f>
        <v/>
      </c>
      <c r="T194" s="43" t="str">
        <f>IF(OR($B194="",$A194&gt;$B$9,T$171=""),"",IF(COUNTIFS(BD!$B$3:$B$5001,T$171,BD!$A$3:$A$5001,"&gt;="&amp;$C$7,BD!$A$3:$A$5001,"&lt;="&amp;$B194,BD!$X$3:$X$5001,"&lt;&gt;")=0,"",SUMIFS(BD!$X$3:$X$5001,BD!$B$3:$B$5001,T$171,BD!$A$3:$A$5001,_xlfn.MAXIFS(BD!$A$3:$A$5001,BD!$B$3:$B$5001,T$171,BD!$A$3:$A$5001,"&gt;="&amp;$C$7,BD!$A$3:$A$5001,"&lt;="&amp;$B194,BD!$X$3:$X$5001,"&lt;&gt;"))))</f>
        <v/>
      </c>
      <c r="U194" s="43" t="str">
        <f>IF(OR($B194="",$A194&gt;$B$9,U$171=""),"",IF(COUNTIFS(BD!$B$3:$B$5001,U$171,BD!$A$3:$A$5001,"&gt;="&amp;$C$7,BD!$A$3:$A$5001,"&lt;="&amp;$B194,BD!$X$3:$X$5001,"&lt;&gt;")=0,"",SUMIFS(BD!$X$3:$X$5001,BD!$B$3:$B$5001,U$171,BD!$A$3:$A$5001,_xlfn.MAXIFS(BD!$A$3:$A$5001,BD!$B$3:$B$5001,U$171,BD!$A$3:$A$5001,"&gt;="&amp;$C$7,BD!$A$3:$A$5001,"&lt;="&amp;$B194,BD!$X$3:$X$5001,"&lt;&gt;"))))</f>
        <v/>
      </c>
      <c r="V194" s="43" t="str">
        <f>IF(OR($B194="",$A194&gt;$B$9,V$171=""),"",IF(COUNTIFS(BD!$B$3:$B$5001,V$171,BD!$A$3:$A$5001,"&gt;="&amp;$C$7,BD!$A$3:$A$5001,"&lt;="&amp;$B194,BD!$X$3:$X$5001,"&lt;&gt;")=0,"",SUMIFS(BD!$X$3:$X$5001,BD!$B$3:$B$5001,V$171,BD!$A$3:$A$5001,_xlfn.MAXIFS(BD!$A$3:$A$5001,BD!$B$3:$B$5001,V$171,BD!$A$3:$A$5001,"&gt;="&amp;$C$7,BD!$A$3:$A$5001,"&lt;="&amp;$B194,BD!$X$3:$X$5001,"&lt;&gt;"))))</f>
        <v/>
      </c>
    </row>
    <row r="195">
      <c r="A195" s="38">
        <v>24</v>
      </c>
      <c r="B195" s="42">
        <f>$B$35</f>
        <v>46319</v>
      </c>
      <c r="C195" s="43" t="str">
        <f>IF(OR($B195="",$A195&gt;$B$9,C$171=""),"",IF(COUNTIFS(BD!$B$3:$B$5001,C$171,BD!$A$3:$A$5001,"&gt;="&amp;$C$7,BD!$A$3:$A$5001,"&lt;="&amp;$B195,BD!$X$3:$X$5001,"&lt;&gt;")=0,"",SUMIFS(BD!$X$3:$X$5001,BD!$B$3:$B$5001,C$171,BD!$A$3:$A$5001,_xlfn.MAXIFS(BD!$A$3:$A$5001,BD!$B$3:$B$5001,C$171,BD!$A$3:$A$5001,"&gt;="&amp;$C$7,BD!$A$3:$A$5001,"&lt;="&amp;$B195,BD!$X$3:$X$5001,"&lt;&gt;"))))</f>
        <v/>
      </c>
      <c r="D195" s="43" t="str">
        <f>IF(OR($B195="",$A195&gt;$B$9,D$171=""),"",IF(COUNTIFS(BD!$B$3:$B$5001,D$171,BD!$A$3:$A$5001,"&gt;="&amp;$C$7,BD!$A$3:$A$5001,"&lt;="&amp;$B195,BD!$X$3:$X$5001,"&lt;&gt;")=0,"",SUMIFS(BD!$X$3:$X$5001,BD!$B$3:$B$5001,D$171,BD!$A$3:$A$5001,_xlfn.MAXIFS(BD!$A$3:$A$5001,BD!$B$3:$B$5001,D$171,BD!$A$3:$A$5001,"&gt;="&amp;$C$7,BD!$A$3:$A$5001,"&lt;="&amp;$B195,BD!$X$3:$X$5001,"&lt;&gt;"))))</f>
        <v/>
      </c>
      <c r="E195" s="43" t="str">
        <f>IF(OR($B195="",$A195&gt;$B$9,E$171=""),"",IF(COUNTIFS(BD!$B$3:$B$5001,E$171,BD!$A$3:$A$5001,"&gt;="&amp;$C$7,BD!$A$3:$A$5001,"&lt;="&amp;$B195,BD!$X$3:$X$5001,"&lt;&gt;")=0,"",SUMIFS(BD!$X$3:$X$5001,BD!$B$3:$B$5001,E$171,BD!$A$3:$A$5001,_xlfn.MAXIFS(BD!$A$3:$A$5001,BD!$B$3:$B$5001,E$171,BD!$A$3:$A$5001,"&gt;="&amp;$C$7,BD!$A$3:$A$5001,"&lt;="&amp;$B195,BD!$X$3:$X$5001,"&lt;&gt;"))))</f>
        <v/>
      </c>
      <c r="F195" s="43" t="str">
        <f>IF(OR($B195="",$A195&gt;$B$9,F$171=""),"",IF(COUNTIFS(BD!$B$3:$B$5001,F$171,BD!$A$3:$A$5001,"&gt;="&amp;$C$7,BD!$A$3:$A$5001,"&lt;="&amp;$B195,BD!$X$3:$X$5001,"&lt;&gt;")=0,"",SUMIFS(BD!$X$3:$X$5001,BD!$B$3:$B$5001,F$171,BD!$A$3:$A$5001,_xlfn.MAXIFS(BD!$A$3:$A$5001,BD!$B$3:$B$5001,F$171,BD!$A$3:$A$5001,"&gt;="&amp;$C$7,BD!$A$3:$A$5001,"&lt;="&amp;$B195,BD!$X$3:$X$5001,"&lt;&gt;"))))</f>
        <v/>
      </c>
      <c r="G195" s="43" t="str">
        <f>IF(OR($B195="",$A195&gt;$B$9,G$171=""),"",IF(COUNTIFS(BD!$B$3:$B$5001,G$171,BD!$A$3:$A$5001,"&gt;="&amp;$C$7,BD!$A$3:$A$5001,"&lt;="&amp;$B195,BD!$X$3:$X$5001,"&lt;&gt;")=0,"",SUMIFS(BD!$X$3:$X$5001,BD!$B$3:$B$5001,G$171,BD!$A$3:$A$5001,_xlfn.MAXIFS(BD!$A$3:$A$5001,BD!$B$3:$B$5001,G$171,BD!$A$3:$A$5001,"&gt;="&amp;$C$7,BD!$A$3:$A$5001,"&lt;="&amp;$B195,BD!$X$3:$X$5001,"&lt;&gt;"))))</f>
        <v/>
      </c>
      <c r="H195" s="43" t="str">
        <f>IF(OR($B195="",$A195&gt;$B$9,H$171=""),"",IF(COUNTIFS(BD!$B$3:$B$5001,H$171,BD!$A$3:$A$5001,"&gt;="&amp;$C$7,BD!$A$3:$A$5001,"&lt;="&amp;$B195,BD!$X$3:$X$5001,"&lt;&gt;")=0,"",SUMIFS(BD!$X$3:$X$5001,BD!$B$3:$B$5001,H$171,BD!$A$3:$A$5001,_xlfn.MAXIFS(BD!$A$3:$A$5001,BD!$B$3:$B$5001,H$171,BD!$A$3:$A$5001,"&gt;="&amp;$C$7,BD!$A$3:$A$5001,"&lt;="&amp;$B195,BD!$X$3:$X$5001,"&lt;&gt;"))))</f>
        <v/>
      </c>
      <c r="I195" s="43" t="str">
        <f>IF(OR($B195="",$A195&gt;$B$9,I$171=""),"",IF(COUNTIFS(BD!$B$3:$B$5001,I$171,BD!$A$3:$A$5001,"&gt;="&amp;$C$7,BD!$A$3:$A$5001,"&lt;="&amp;$B195,BD!$X$3:$X$5001,"&lt;&gt;")=0,"",SUMIFS(BD!$X$3:$X$5001,BD!$B$3:$B$5001,I$171,BD!$A$3:$A$5001,_xlfn.MAXIFS(BD!$A$3:$A$5001,BD!$B$3:$B$5001,I$171,BD!$A$3:$A$5001,"&gt;="&amp;$C$7,BD!$A$3:$A$5001,"&lt;="&amp;$B195,BD!$X$3:$X$5001,"&lt;&gt;"))))</f>
        <v/>
      </c>
      <c r="J195" s="43" t="str">
        <f>IF(OR($B195="",$A195&gt;$B$9,J$171=""),"",IF(COUNTIFS(BD!$B$3:$B$5001,J$171,BD!$A$3:$A$5001,"&gt;="&amp;$C$7,BD!$A$3:$A$5001,"&lt;="&amp;$B195,BD!$X$3:$X$5001,"&lt;&gt;")=0,"",SUMIFS(BD!$X$3:$X$5001,BD!$B$3:$B$5001,J$171,BD!$A$3:$A$5001,_xlfn.MAXIFS(BD!$A$3:$A$5001,BD!$B$3:$B$5001,J$171,BD!$A$3:$A$5001,"&gt;="&amp;$C$7,BD!$A$3:$A$5001,"&lt;="&amp;$B195,BD!$X$3:$X$5001,"&lt;&gt;"))))</f>
        <v/>
      </c>
      <c r="K195" s="43" t="str">
        <f>IF(OR($B195="",$A195&gt;$B$9,K$171=""),"",IF(COUNTIFS(BD!$B$3:$B$5001,K$171,BD!$A$3:$A$5001,"&gt;="&amp;$C$7,BD!$A$3:$A$5001,"&lt;="&amp;$B195,BD!$X$3:$X$5001,"&lt;&gt;")=0,"",SUMIFS(BD!$X$3:$X$5001,BD!$B$3:$B$5001,K$171,BD!$A$3:$A$5001,_xlfn.MAXIFS(BD!$A$3:$A$5001,BD!$B$3:$B$5001,K$171,BD!$A$3:$A$5001,"&gt;="&amp;$C$7,BD!$A$3:$A$5001,"&lt;="&amp;$B195,BD!$X$3:$X$5001,"&lt;&gt;"))))</f>
        <v/>
      </c>
      <c r="L195" s="43" t="str">
        <f>IF(OR($B195="",$A195&gt;$B$9,L$171=""),"",IF(COUNTIFS(BD!$B$3:$B$5001,L$171,BD!$A$3:$A$5001,"&gt;="&amp;$C$7,BD!$A$3:$A$5001,"&lt;="&amp;$B195,BD!$X$3:$X$5001,"&lt;&gt;")=0,"",SUMIFS(BD!$X$3:$X$5001,BD!$B$3:$B$5001,L$171,BD!$A$3:$A$5001,_xlfn.MAXIFS(BD!$A$3:$A$5001,BD!$B$3:$B$5001,L$171,BD!$A$3:$A$5001,"&gt;="&amp;$C$7,BD!$A$3:$A$5001,"&lt;="&amp;$B195,BD!$X$3:$X$5001,"&lt;&gt;"))))</f>
        <v/>
      </c>
      <c r="M195" s="43" t="str">
        <f>IF(OR($B195="",$A195&gt;$B$9,M$171=""),"",IF(COUNTIFS(BD!$B$3:$B$5001,M$171,BD!$A$3:$A$5001,"&gt;="&amp;$C$7,BD!$A$3:$A$5001,"&lt;="&amp;$B195,BD!$X$3:$X$5001,"&lt;&gt;")=0,"",SUMIFS(BD!$X$3:$X$5001,BD!$B$3:$B$5001,M$171,BD!$A$3:$A$5001,_xlfn.MAXIFS(BD!$A$3:$A$5001,BD!$B$3:$B$5001,M$171,BD!$A$3:$A$5001,"&gt;="&amp;$C$7,BD!$A$3:$A$5001,"&lt;="&amp;$B195,BD!$X$3:$X$5001,"&lt;&gt;"))))</f>
        <v/>
      </c>
      <c r="N195" s="43" t="str">
        <f>IF(OR($B195="",$A195&gt;$B$9,N$171=""),"",IF(COUNTIFS(BD!$B$3:$B$5001,N$171,BD!$A$3:$A$5001,"&gt;="&amp;$C$7,BD!$A$3:$A$5001,"&lt;="&amp;$B195,BD!$X$3:$X$5001,"&lt;&gt;")=0,"",SUMIFS(BD!$X$3:$X$5001,BD!$B$3:$B$5001,N$171,BD!$A$3:$A$5001,_xlfn.MAXIFS(BD!$A$3:$A$5001,BD!$B$3:$B$5001,N$171,BD!$A$3:$A$5001,"&gt;="&amp;$C$7,BD!$A$3:$A$5001,"&lt;="&amp;$B195,BD!$X$3:$X$5001,"&lt;&gt;"))))</f>
        <v/>
      </c>
      <c r="O195" s="43" t="str">
        <f>IF(OR($B195="",$A195&gt;$B$9,O$171=""),"",IF(COUNTIFS(BD!$B$3:$B$5001,O$171,BD!$A$3:$A$5001,"&gt;="&amp;$C$7,BD!$A$3:$A$5001,"&lt;="&amp;$B195,BD!$X$3:$X$5001,"&lt;&gt;")=0,"",SUMIFS(BD!$X$3:$X$5001,BD!$B$3:$B$5001,O$171,BD!$A$3:$A$5001,_xlfn.MAXIFS(BD!$A$3:$A$5001,BD!$B$3:$B$5001,O$171,BD!$A$3:$A$5001,"&gt;="&amp;$C$7,BD!$A$3:$A$5001,"&lt;="&amp;$B195,BD!$X$3:$X$5001,"&lt;&gt;"))))</f>
        <v/>
      </c>
      <c r="P195" s="43" t="str">
        <f>IF(OR($B195="",$A195&gt;$B$9,P$171=""),"",IF(COUNTIFS(BD!$B$3:$B$5001,P$171,BD!$A$3:$A$5001,"&gt;="&amp;$C$7,BD!$A$3:$A$5001,"&lt;="&amp;$B195,BD!$X$3:$X$5001,"&lt;&gt;")=0,"",SUMIFS(BD!$X$3:$X$5001,BD!$B$3:$B$5001,P$171,BD!$A$3:$A$5001,_xlfn.MAXIFS(BD!$A$3:$A$5001,BD!$B$3:$B$5001,P$171,BD!$A$3:$A$5001,"&gt;="&amp;$C$7,BD!$A$3:$A$5001,"&lt;="&amp;$B195,BD!$X$3:$X$5001,"&lt;&gt;"))))</f>
        <v/>
      </c>
      <c r="Q195" s="43" t="str">
        <f>IF(OR($B195="",$A195&gt;$B$9,Q$171=""),"",IF(COUNTIFS(BD!$B$3:$B$5001,Q$171,BD!$A$3:$A$5001,"&gt;="&amp;$C$7,BD!$A$3:$A$5001,"&lt;="&amp;$B195,BD!$X$3:$X$5001,"&lt;&gt;")=0,"",SUMIFS(BD!$X$3:$X$5001,BD!$B$3:$B$5001,Q$171,BD!$A$3:$A$5001,_xlfn.MAXIFS(BD!$A$3:$A$5001,BD!$B$3:$B$5001,Q$171,BD!$A$3:$A$5001,"&gt;="&amp;$C$7,BD!$A$3:$A$5001,"&lt;="&amp;$B195,BD!$X$3:$X$5001,"&lt;&gt;"))))</f>
        <v/>
      </c>
      <c r="R195" s="43" t="str">
        <f>IF(OR($B195="",$A195&gt;$B$9,R$171=""),"",IF(COUNTIFS(BD!$B$3:$B$5001,R$171,BD!$A$3:$A$5001,"&gt;="&amp;$C$7,BD!$A$3:$A$5001,"&lt;="&amp;$B195,BD!$X$3:$X$5001,"&lt;&gt;")=0,"",SUMIFS(BD!$X$3:$X$5001,BD!$B$3:$B$5001,R$171,BD!$A$3:$A$5001,_xlfn.MAXIFS(BD!$A$3:$A$5001,BD!$B$3:$B$5001,R$171,BD!$A$3:$A$5001,"&gt;="&amp;$C$7,BD!$A$3:$A$5001,"&lt;="&amp;$B195,BD!$X$3:$X$5001,"&lt;&gt;"))))</f>
        <v/>
      </c>
      <c r="S195" s="43" t="str">
        <f>IF(OR($B195="",$A195&gt;$B$9,S$171=""),"",IF(COUNTIFS(BD!$B$3:$B$5001,S$171,BD!$A$3:$A$5001,"&gt;="&amp;$C$7,BD!$A$3:$A$5001,"&lt;="&amp;$B195,BD!$X$3:$X$5001,"&lt;&gt;")=0,"",SUMIFS(BD!$X$3:$X$5001,BD!$B$3:$B$5001,S$171,BD!$A$3:$A$5001,_xlfn.MAXIFS(BD!$A$3:$A$5001,BD!$B$3:$B$5001,S$171,BD!$A$3:$A$5001,"&gt;="&amp;$C$7,BD!$A$3:$A$5001,"&lt;="&amp;$B195,BD!$X$3:$X$5001,"&lt;&gt;"))))</f>
        <v/>
      </c>
      <c r="T195" s="43" t="str">
        <f>IF(OR($B195="",$A195&gt;$B$9,T$171=""),"",IF(COUNTIFS(BD!$B$3:$B$5001,T$171,BD!$A$3:$A$5001,"&gt;="&amp;$C$7,BD!$A$3:$A$5001,"&lt;="&amp;$B195,BD!$X$3:$X$5001,"&lt;&gt;")=0,"",SUMIFS(BD!$X$3:$X$5001,BD!$B$3:$B$5001,T$171,BD!$A$3:$A$5001,_xlfn.MAXIFS(BD!$A$3:$A$5001,BD!$B$3:$B$5001,T$171,BD!$A$3:$A$5001,"&gt;="&amp;$C$7,BD!$A$3:$A$5001,"&lt;="&amp;$B195,BD!$X$3:$X$5001,"&lt;&gt;"))))</f>
        <v/>
      </c>
      <c r="U195" s="43" t="str">
        <f>IF(OR($B195="",$A195&gt;$B$9,U$171=""),"",IF(COUNTIFS(BD!$B$3:$B$5001,U$171,BD!$A$3:$A$5001,"&gt;="&amp;$C$7,BD!$A$3:$A$5001,"&lt;="&amp;$B195,BD!$X$3:$X$5001,"&lt;&gt;")=0,"",SUMIFS(BD!$X$3:$X$5001,BD!$B$3:$B$5001,U$171,BD!$A$3:$A$5001,_xlfn.MAXIFS(BD!$A$3:$A$5001,BD!$B$3:$B$5001,U$171,BD!$A$3:$A$5001,"&gt;="&amp;$C$7,BD!$A$3:$A$5001,"&lt;="&amp;$B195,BD!$X$3:$X$5001,"&lt;&gt;"))))</f>
        <v/>
      </c>
      <c r="V195" s="43" t="str">
        <f>IF(OR($B195="",$A195&gt;$B$9,V$171=""),"",IF(COUNTIFS(BD!$B$3:$B$5001,V$171,BD!$A$3:$A$5001,"&gt;="&amp;$C$7,BD!$A$3:$A$5001,"&lt;="&amp;$B195,BD!$X$3:$X$5001,"&lt;&gt;")=0,"",SUMIFS(BD!$X$3:$X$5001,BD!$B$3:$B$5001,V$171,BD!$A$3:$A$5001,_xlfn.MAXIFS(BD!$A$3:$A$5001,BD!$B$3:$B$5001,V$171,BD!$A$3:$A$5001,"&gt;="&amp;$C$7,BD!$A$3:$A$5001,"&lt;="&amp;$B195,BD!$X$3:$X$5001,"&lt;&gt;"))))</f>
        <v/>
      </c>
    </row>
    <row r="196">
      <c r="A196" s="38">
        <v>25</v>
      </c>
      <c r="B196" s="42">
        <f>$B$36</f>
        <v>46320</v>
      </c>
      <c r="C196" s="43" t="str">
        <f>IF(OR($B196="",$A196&gt;$B$9,C$171=""),"",IF(COUNTIFS(BD!$B$3:$B$5001,C$171,BD!$A$3:$A$5001,"&gt;="&amp;$C$7,BD!$A$3:$A$5001,"&lt;="&amp;$B196,BD!$X$3:$X$5001,"&lt;&gt;")=0,"",SUMIFS(BD!$X$3:$X$5001,BD!$B$3:$B$5001,C$171,BD!$A$3:$A$5001,_xlfn.MAXIFS(BD!$A$3:$A$5001,BD!$B$3:$B$5001,C$171,BD!$A$3:$A$5001,"&gt;="&amp;$C$7,BD!$A$3:$A$5001,"&lt;="&amp;$B196,BD!$X$3:$X$5001,"&lt;&gt;"))))</f>
        <v/>
      </c>
      <c r="D196" s="43" t="str">
        <f>IF(OR($B196="",$A196&gt;$B$9,D$171=""),"",IF(COUNTIFS(BD!$B$3:$B$5001,D$171,BD!$A$3:$A$5001,"&gt;="&amp;$C$7,BD!$A$3:$A$5001,"&lt;="&amp;$B196,BD!$X$3:$X$5001,"&lt;&gt;")=0,"",SUMIFS(BD!$X$3:$X$5001,BD!$B$3:$B$5001,D$171,BD!$A$3:$A$5001,_xlfn.MAXIFS(BD!$A$3:$A$5001,BD!$B$3:$B$5001,D$171,BD!$A$3:$A$5001,"&gt;="&amp;$C$7,BD!$A$3:$A$5001,"&lt;="&amp;$B196,BD!$X$3:$X$5001,"&lt;&gt;"))))</f>
        <v/>
      </c>
      <c r="E196" s="43" t="str">
        <f>IF(OR($B196="",$A196&gt;$B$9,E$171=""),"",IF(COUNTIFS(BD!$B$3:$B$5001,E$171,BD!$A$3:$A$5001,"&gt;="&amp;$C$7,BD!$A$3:$A$5001,"&lt;="&amp;$B196,BD!$X$3:$X$5001,"&lt;&gt;")=0,"",SUMIFS(BD!$X$3:$X$5001,BD!$B$3:$B$5001,E$171,BD!$A$3:$A$5001,_xlfn.MAXIFS(BD!$A$3:$A$5001,BD!$B$3:$B$5001,E$171,BD!$A$3:$A$5001,"&gt;="&amp;$C$7,BD!$A$3:$A$5001,"&lt;="&amp;$B196,BD!$X$3:$X$5001,"&lt;&gt;"))))</f>
        <v/>
      </c>
      <c r="F196" s="43" t="str">
        <f>IF(OR($B196="",$A196&gt;$B$9,F$171=""),"",IF(COUNTIFS(BD!$B$3:$B$5001,F$171,BD!$A$3:$A$5001,"&gt;="&amp;$C$7,BD!$A$3:$A$5001,"&lt;="&amp;$B196,BD!$X$3:$X$5001,"&lt;&gt;")=0,"",SUMIFS(BD!$X$3:$X$5001,BD!$B$3:$B$5001,F$171,BD!$A$3:$A$5001,_xlfn.MAXIFS(BD!$A$3:$A$5001,BD!$B$3:$B$5001,F$171,BD!$A$3:$A$5001,"&gt;="&amp;$C$7,BD!$A$3:$A$5001,"&lt;="&amp;$B196,BD!$X$3:$X$5001,"&lt;&gt;"))))</f>
        <v/>
      </c>
      <c r="G196" s="43" t="str">
        <f>IF(OR($B196="",$A196&gt;$B$9,G$171=""),"",IF(COUNTIFS(BD!$B$3:$B$5001,G$171,BD!$A$3:$A$5001,"&gt;="&amp;$C$7,BD!$A$3:$A$5001,"&lt;="&amp;$B196,BD!$X$3:$X$5001,"&lt;&gt;")=0,"",SUMIFS(BD!$X$3:$X$5001,BD!$B$3:$B$5001,G$171,BD!$A$3:$A$5001,_xlfn.MAXIFS(BD!$A$3:$A$5001,BD!$B$3:$B$5001,G$171,BD!$A$3:$A$5001,"&gt;="&amp;$C$7,BD!$A$3:$A$5001,"&lt;="&amp;$B196,BD!$X$3:$X$5001,"&lt;&gt;"))))</f>
        <v/>
      </c>
      <c r="H196" s="43" t="str">
        <f>IF(OR($B196="",$A196&gt;$B$9,H$171=""),"",IF(COUNTIFS(BD!$B$3:$B$5001,H$171,BD!$A$3:$A$5001,"&gt;="&amp;$C$7,BD!$A$3:$A$5001,"&lt;="&amp;$B196,BD!$X$3:$X$5001,"&lt;&gt;")=0,"",SUMIFS(BD!$X$3:$X$5001,BD!$B$3:$B$5001,H$171,BD!$A$3:$A$5001,_xlfn.MAXIFS(BD!$A$3:$A$5001,BD!$B$3:$B$5001,H$171,BD!$A$3:$A$5001,"&gt;="&amp;$C$7,BD!$A$3:$A$5001,"&lt;="&amp;$B196,BD!$X$3:$X$5001,"&lt;&gt;"))))</f>
        <v/>
      </c>
      <c r="I196" s="43" t="str">
        <f>IF(OR($B196="",$A196&gt;$B$9,I$171=""),"",IF(COUNTIFS(BD!$B$3:$B$5001,I$171,BD!$A$3:$A$5001,"&gt;="&amp;$C$7,BD!$A$3:$A$5001,"&lt;="&amp;$B196,BD!$X$3:$X$5001,"&lt;&gt;")=0,"",SUMIFS(BD!$X$3:$X$5001,BD!$B$3:$B$5001,I$171,BD!$A$3:$A$5001,_xlfn.MAXIFS(BD!$A$3:$A$5001,BD!$B$3:$B$5001,I$171,BD!$A$3:$A$5001,"&gt;="&amp;$C$7,BD!$A$3:$A$5001,"&lt;="&amp;$B196,BD!$X$3:$X$5001,"&lt;&gt;"))))</f>
        <v/>
      </c>
      <c r="J196" s="43" t="str">
        <f>IF(OR($B196="",$A196&gt;$B$9,J$171=""),"",IF(COUNTIFS(BD!$B$3:$B$5001,J$171,BD!$A$3:$A$5001,"&gt;="&amp;$C$7,BD!$A$3:$A$5001,"&lt;="&amp;$B196,BD!$X$3:$X$5001,"&lt;&gt;")=0,"",SUMIFS(BD!$X$3:$X$5001,BD!$B$3:$B$5001,J$171,BD!$A$3:$A$5001,_xlfn.MAXIFS(BD!$A$3:$A$5001,BD!$B$3:$B$5001,J$171,BD!$A$3:$A$5001,"&gt;="&amp;$C$7,BD!$A$3:$A$5001,"&lt;="&amp;$B196,BD!$X$3:$X$5001,"&lt;&gt;"))))</f>
        <v/>
      </c>
      <c r="K196" s="43" t="str">
        <f>IF(OR($B196="",$A196&gt;$B$9,K$171=""),"",IF(COUNTIFS(BD!$B$3:$B$5001,K$171,BD!$A$3:$A$5001,"&gt;="&amp;$C$7,BD!$A$3:$A$5001,"&lt;="&amp;$B196,BD!$X$3:$X$5001,"&lt;&gt;")=0,"",SUMIFS(BD!$X$3:$X$5001,BD!$B$3:$B$5001,K$171,BD!$A$3:$A$5001,_xlfn.MAXIFS(BD!$A$3:$A$5001,BD!$B$3:$B$5001,K$171,BD!$A$3:$A$5001,"&gt;="&amp;$C$7,BD!$A$3:$A$5001,"&lt;="&amp;$B196,BD!$X$3:$X$5001,"&lt;&gt;"))))</f>
        <v/>
      </c>
      <c r="L196" s="43" t="str">
        <f>IF(OR($B196="",$A196&gt;$B$9,L$171=""),"",IF(COUNTIFS(BD!$B$3:$B$5001,L$171,BD!$A$3:$A$5001,"&gt;="&amp;$C$7,BD!$A$3:$A$5001,"&lt;="&amp;$B196,BD!$X$3:$X$5001,"&lt;&gt;")=0,"",SUMIFS(BD!$X$3:$X$5001,BD!$B$3:$B$5001,L$171,BD!$A$3:$A$5001,_xlfn.MAXIFS(BD!$A$3:$A$5001,BD!$B$3:$B$5001,L$171,BD!$A$3:$A$5001,"&gt;="&amp;$C$7,BD!$A$3:$A$5001,"&lt;="&amp;$B196,BD!$X$3:$X$5001,"&lt;&gt;"))))</f>
        <v/>
      </c>
      <c r="M196" s="43" t="str">
        <f>IF(OR($B196="",$A196&gt;$B$9,M$171=""),"",IF(COUNTIFS(BD!$B$3:$B$5001,M$171,BD!$A$3:$A$5001,"&gt;="&amp;$C$7,BD!$A$3:$A$5001,"&lt;="&amp;$B196,BD!$X$3:$X$5001,"&lt;&gt;")=0,"",SUMIFS(BD!$X$3:$X$5001,BD!$B$3:$B$5001,M$171,BD!$A$3:$A$5001,_xlfn.MAXIFS(BD!$A$3:$A$5001,BD!$B$3:$B$5001,M$171,BD!$A$3:$A$5001,"&gt;="&amp;$C$7,BD!$A$3:$A$5001,"&lt;="&amp;$B196,BD!$X$3:$X$5001,"&lt;&gt;"))))</f>
        <v/>
      </c>
      <c r="N196" s="43" t="str">
        <f>IF(OR($B196="",$A196&gt;$B$9,N$171=""),"",IF(COUNTIFS(BD!$B$3:$B$5001,N$171,BD!$A$3:$A$5001,"&gt;="&amp;$C$7,BD!$A$3:$A$5001,"&lt;="&amp;$B196,BD!$X$3:$X$5001,"&lt;&gt;")=0,"",SUMIFS(BD!$X$3:$X$5001,BD!$B$3:$B$5001,N$171,BD!$A$3:$A$5001,_xlfn.MAXIFS(BD!$A$3:$A$5001,BD!$B$3:$B$5001,N$171,BD!$A$3:$A$5001,"&gt;="&amp;$C$7,BD!$A$3:$A$5001,"&lt;="&amp;$B196,BD!$X$3:$X$5001,"&lt;&gt;"))))</f>
        <v/>
      </c>
      <c r="O196" s="43" t="str">
        <f>IF(OR($B196="",$A196&gt;$B$9,O$171=""),"",IF(COUNTIFS(BD!$B$3:$B$5001,O$171,BD!$A$3:$A$5001,"&gt;="&amp;$C$7,BD!$A$3:$A$5001,"&lt;="&amp;$B196,BD!$X$3:$X$5001,"&lt;&gt;")=0,"",SUMIFS(BD!$X$3:$X$5001,BD!$B$3:$B$5001,O$171,BD!$A$3:$A$5001,_xlfn.MAXIFS(BD!$A$3:$A$5001,BD!$B$3:$B$5001,O$171,BD!$A$3:$A$5001,"&gt;="&amp;$C$7,BD!$A$3:$A$5001,"&lt;="&amp;$B196,BD!$X$3:$X$5001,"&lt;&gt;"))))</f>
        <v/>
      </c>
      <c r="P196" s="43" t="str">
        <f>IF(OR($B196="",$A196&gt;$B$9,P$171=""),"",IF(COUNTIFS(BD!$B$3:$B$5001,P$171,BD!$A$3:$A$5001,"&gt;="&amp;$C$7,BD!$A$3:$A$5001,"&lt;="&amp;$B196,BD!$X$3:$X$5001,"&lt;&gt;")=0,"",SUMIFS(BD!$X$3:$X$5001,BD!$B$3:$B$5001,P$171,BD!$A$3:$A$5001,_xlfn.MAXIFS(BD!$A$3:$A$5001,BD!$B$3:$B$5001,P$171,BD!$A$3:$A$5001,"&gt;="&amp;$C$7,BD!$A$3:$A$5001,"&lt;="&amp;$B196,BD!$X$3:$X$5001,"&lt;&gt;"))))</f>
        <v/>
      </c>
      <c r="Q196" s="43" t="str">
        <f>IF(OR($B196="",$A196&gt;$B$9,Q$171=""),"",IF(COUNTIFS(BD!$B$3:$B$5001,Q$171,BD!$A$3:$A$5001,"&gt;="&amp;$C$7,BD!$A$3:$A$5001,"&lt;="&amp;$B196,BD!$X$3:$X$5001,"&lt;&gt;")=0,"",SUMIFS(BD!$X$3:$X$5001,BD!$B$3:$B$5001,Q$171,BD!$A$3:$A$5001,_xlfn.MAXIFS(BD!$A$3:$A$5001,BD!$B$3:$B$5001,Q$171,BD!$A$3:$A$5001,"&gt;="&amp;$C$7,BD!$A$3:$A$5001,"&lt;="&amp;$B196,BD!$X$3:$X$5001,"&lt;&gt;"))))</f>
        <v/>
      </c>
      <c r="R196" s="43" t="str">
        <f>IF(OR($B196="",$A196&gt;$B$9,R$171=""),"",IF(COUNTIFS(BD!$B$3:$B$5001,R$171,BD!$A$3:$A$5001,"&gt;="&amp;$C$7,BD!$A$3:$A$5001,"&lt;="&amp;$B196,BD!$X$3:$X$5001,"&lt;&gt;")=0,"",SUMIFS(BD!$X$3:$X$5001,BD!$B$3:$B$5001,R$171,BD!$A$3:$A$5001,_xlfn.MAXIFS(BD!$A$3:$A$5001,BD!$B$3:$B$5001,R$171,BD!$A$3:$A$5001,"&gt;="&amp;$C$7,BD!$A$3:$A$5001,"&lt;="&amp;$B196,BD!$X$3:$X$5001,"&lt;&gt;"))))</f>
        <v/>
      </c>
      <c r="S196" s="43" t="str">
        <f>IF(OR($B196="",$A196&gt;$B$9,S$171=""),"",IF(COUNTIFS(BD!$B$3:$B$5001,S$171,BD!$A$3:$A$5001,"&gt;="&amp;$C$7,BD!$A$3:$A$5001,"&lt;="&amp;$B196,BD!$X$3:$X$5001,"&lt;&gt;")=0,"",SUMIFS(BD!$X$3:$X$5001,BD!$B$3:$B$5001,S$171,BD!$A$3:$A$5001,_xlfn.MAXIFS(BD!$A$3:$A$5001,BD!$B$3:$B$5001,S$171,BD!$A$3:$A$5001,"&gt;="&amp;$C$7,BD!$A$3:$A$5001,"&lt;="&amp;$B196,BD!$X$3:$X$5001,"&lt;&gt;"))))</f>
        <v/>
      </c>
      <c r="T196" s="43" t="str">
        <f>IF(OR($B196="",$A196&gt;$B$9,T$171=""),"",IF(COUNTIFS(BD!$B$3:$B$5001,T$171,BD!$A$3:$A$5001,"&gt;="&amp;$C$7,BD!$A$3:$A$5001,"&lt;="&amp;$B196,BD!$X$3:$X$5001,"&lt;&gt;")=0,"",SUMIFS(BD!$X$3:$X$5001,BD!$B$3:$B$5001,T$171,BD!$A$3:$A$5001,_xlfn.MAXIFS(BD!$A$3:$A$5001,BD!$B$3:$B$5001,T$171,BD!$A$3:$A$5001,"&gt;="&amp;$C$7,BD!$A$3:$A$5001,"&lt;="&amp;$B196,BD!$X$3:$X$5001,"&lt;&gt;"))))</f>
        <v/>
      </c>
      <c r="U196" s="43" t="str">
        <f>IF(OR($B196="",$A196&gt;$B$9,U$171=""),"",IF(COUNTIFS(BD!$B$3:$B$5001,U$171,BD!$A$3:$A$5001,"&gt;="&amp;$C$7,BD!$A$3:$A$5001,"&lt;="&amp;$B196,BD!$X$3:$X$5001,"&lt;&gt;")=0,"",SUMIFS(BD!$X$3:$X$5001,BD!$B$3:$B$5001,U$171,BD!$A$3:$A$5001,_xlfn.MAXIFS(BD!$A$3:$A$5001,BD!$B$3:$B$5001,U$171,BD!$A$3:$A$5001,"&gt;="&amp;$C$7,BD!$A$3:$A$5001,"&lt;="&amp;$B196,BD!$X$3:$X$5001,"&lt;&gt;"))))</f>
        <v/>
      </c>
      <c r="V196" s="43" t="str">
        <f>IF(OR($B196="",$A196&gt;$B$9,V$171=""),"",IF(COUNTIFS(BD!$B$3:$B$5001,V$171,BD!$A$3:$A$5001,"&gt;="&amp;$C$7,BD!$A$3:$A$5001,"&lt;="&amp;$B196,BD!$X$3:$X$5001,"&lt;&gt;")=0,"",SUMIFS(BD!$X$3:$X$5001,BD!$B$3:$B$5001,V$171,BD!$A$3:$A$5001,_xlfn.MAXIFS(BD!$A$3:$A$5001,BD!$B$3:$B$5001,V$171,BD!$A$3:$A$5001,"&gt;="&amp;$C$7,BD!$A$3:$A$5001,"&lt;="&amp;$B196,BD!$X$3:$X$5001,"&lt;&gt;"))))</f>
        <v/>
      </c>
    </row>
    <row r="197">
      <c r="A197" s="38">
        <v>26</v>
      </c>
      <c r="B197" s="42">
        <f>$B$37</f>
        <v>46321</v>
      </c>
      <c r="C197" s="43" t="str">
        <f>IF(OR($B197="",$A197&gt;$B$9,C$171=""),"",IF(COUNTIFS(BD!$B$3:$B$5001,C$171,BD!$A$3:$A$5001,"&gt;="&amp;$C$7,BD!$A$3:$A$5001,"&lt;="&amp;$B197,BD!$X$3:$X$5001,"&lt;&gt;")=0,"",SUMIFS(BD!$X$3:$X$5001,BD!$B$3:$B$5001,C$171,BD!$A$3:$A$5001,_xlfn.MAXIFS(BD!$A$3:$A$5001,BD!$B$3:$B$5001,C$171,BD!$A$3:$A$5001,"&gt;="&amp;$C$7,BD!$A$3:$A$5001,"&lt;="&amp;$B197,BD!$X$3:$X$5001,"&lt;&gt;"))))</f>
        <v/>
      </c>
      <c r="D197" s="43" t="str">
        <f>IF(OR($B197="",$A197&gt;$B$9,D$171=""),"",IF(COUNTIFS(BD!$B$3:$B$5001,D$171,BD!$A$3:$A$5001,"&gt;="&amp;$C$7,BD!$A$3:$A$5001,"&lt;="&amp;$B197,BD!$X$3:$X$5001,"&lt;&gt;")=0,"",SUMIFS(BD!$X$3:$X$5001,BD!$B$3:$B$5001,D$171,BD!$A$3:$A$5001,_xlfn.MAXIFS(BD!$A$3:$A$5001,BD!$B$3:$B$5001,D$171,BD!$A$3:$A$5001,"&gt;="&amp;$C$7,BD!$A$3:$A$5001,"&lt;="&amp;$B197,BD!$X$3:$X$5001,"&lt;&gt;"))))</f>
        <v/>
      </c>
      <c r="E197" s="43" t="str">
        <f>IF(OR($B197="",$A197&gt;$B$9,E$171=""),"",IF(COUNTIFS(BD!$B$3:$B$5001,E$171,BD!$A$3:$A$5001,"&gt;="&amp;$C$7,BD!$A$3:$A$5001,"&lt;="&amp;$B197,BD!$X$3:$X$5001,"&lt;&gt;")=0,"",SUMIFS(BD!$X$3:$X$5001,BD!$B$3:$B$5001,E$171,BD!$A$3:$A$5001,_xlfn.MAXIFS(BD!$A$3:$A$5001,BD!$B$3:$B$5001,E$171,BD!$A$3:$A$5001,"&gt;="&amp;$C$7,BD!$A$3:$A$5001,"&lt;="&amp;$B197,BD!$X$3:$X$5001,"&lt;&gt;"))))</f>
        <v/>
      </c>
      <c r="F197" s="43" t="str">
        <f>IF(OR($B197="",$A197&gt;$B$9,F$171=""),"",IF(COUNTIFS(BD!$B$3:$B$5001,F$171,BD!$A$3:$A$5001,"&gt;="&amp;$C$7,BD!$A$3:$A$5001,"&lt;="&amp;$B197,BD!$X$3:$X$5001,"&lt;&gt;")=0,"",SUMIFS(BD!$X$3:$X$5001,BD!$B$3:$B$5001,F$171,BD!$A$3:$A$5001,_xlfn.MAXIFS(BD!$A$3:$A$5001,BD!$B$3:$B$5001,F$171,BD!$A$3:$A$5001,"&gt;="&amp;$C$7,BD!$A$3:$A$5001,"&lt;="&amp;$B197,BD!$X$3:$X$5001,"&lt;&gt;"))))</f>
        <v/>
      </c>
      <c r="G197" s="43" t="str">
        <f>IF(OR($B197="",$A197&gt;$B$9,G$171=""),"",IF(COUNTIFS(BD!$B$3:$B$5001,G$171,BD!$A$3:$A$5001,"&gt;="&amp;$C$7,BD!$A$3:$A$5001,"&lt;="&amp;$B197,BD!$X$3:$X$5001,"&lt;&gt;")=0,"",SUMIFS(BD!$X$3:$X$5001,BD!$B$3:$B$5001,G$171,BD!$A$3:$A$5001,_xlfn.MAXIFS(BD!$A$3:$A$5001,BD!$B$3:$B$5001,G$171,BD!$A$3:$A$5001,"&gt;="&amp;$C$7,BD!$A$3:$A$5001,"&lt;="&amp;$B197,BD!$X$3:$X$5001,"&lt;&gt;"))))</f>
        <v/>
      </c>
      <c r="H197" s="43" t="str">
        <f>IF(OR($B197="",$A197&gt;$B$9,H$171=""),"",IF(COUNTIFS(BD!$B$3:$B$5001,H$171,BD!$A$3:$A$5001,"&gt;="&amp;$C$7,BD!$A$3:$A$5001,"&lt;="&amp;$B197,BD!$X$3:$X$5001,"&lt;&gt;")=0,"",SUMIFS(BD!$X$3:$X$5001,BD!$B$3:$B$5001,H$171,BD!$A$3:$A$5001,_xlfn.MAXIFS(BD!$A$3:$A$5001,BD!$B$3:$B$5001,H$171,BD!$A$3:$A$5001,"&gt;="&amp;$C$7,BD!$A$3:$A$5001,"&lt;="&amp;$B197,BD!$X$3:$X$5001,"&lt;&gt;"))))</f>
        <v/>
      </c>
      <c r="I197" s="43" t="str">
        <f>IF(OR($B197="",$A197&gt;$B$9,I$171=""),"",IF(COUNTIFS(BD!$B$3:$B$5001,I$171,BD!$A$3:$A$5001,"&gt;="&amp;$C$7,BD!$A$3:$A$5001,"&lt;="&amp;$B197,BD!$X$3:$X$5001,"&lt;&gt;")=0,"",SUMIFS(BD!$X$3:$X$5001,BD!$B$3:$B$5001,I$171,BD!$A$3:$A$5001,_xlfn.MAXIFS(BD!$A$3:$A$5001,BD!$B$3:$B$5001,I$171,BD!$A$3:$A$5001,"&gt;="&amp;$C$7,BD!$A$3:$A$5001,"&lt;="&amp;$B197,BD!$X$3:$X$5001,"&lt;&gt;"))))</f>
        <v/>
      </c>
      <c r="J197" s="43" t="str">
        <f>IF(OR($B197="",$A197&gt;$B$9,J$171=""),"",IF(COUNTIFS(BD!$B$3:$B$5001,J$171,BD!$A$3:$A$5001,"&gt;="&amp;$C$7,BD!$A$3:$A$5001,"&lt;="&amp;$B197,BD!$X$3:$X$5001,"&lt;&gt;")=0,"",SUMIFS(BD!$X$3:$X$5001,BD!$B$3:$B$5001,J$171,BD!$A$3:$A$5001,_xlfn.MAXIFS(BD!$A$3:$A$5001,BD!$B$3:$B$5001,J$171,BD!$A$3:$A$5001,"&gt;="&amp;$C$7,BD!$A$3:$A$5001,"&lt;="&amp;$B197,BD!$X$3:$X$5001,"&lt;&gt;"))))</f>
        <v/>
      </c>
      <c r="K197" s="43" t="str">
        <f>IF(OR($B197="",$A197&gt;$B$9,K$171=""),"",IF(COUNTIFS(BD!$B$3:$B$5001,K$171,BD!$A$3:$A$5001,"&gt;="&amp;$C$7,BD!$A$3:$A$5001,"&lt;="&amp;$B197,BD!$X$3:$X$5001,"&lt;&gt;")=0,"",SUMIFS(BD!$X$3:$X$5001,BD!$B$3:$B$5001,K$171,BD!$A$3:$A$5001,_xlfn.MAXIFS(BD!$A$3:$A$5001,BD!$B$3:$B$5001,K$171,BD!$A$3:$A$5001,"&gt;="&amp;$C$7,BD!$A$3:$A$5001,"&lt;="&amp;$B197,BD!$X$3:$X$5001,"&lt;&gt;"))))</f>
        <v/>
      </c>
      <c r="L197" s="43" t="str">
        <f>IF(OR($B197="",$A197&gt;$B$9,L$171=""),"",IF(COUNTIFS(BD!$B$3:$B$5001,L$171,BD!$A$3:$A$5001,"&gt;="&amp;$C$7,BD!$A$3:$A$5001,"&lt;="&amp;$B197,BD!$X$3:$X$5001,"&lt;&gt;")=0,"",SUMIFS(BD!$X$3:$X$5001,BD!$B$3:$B$5001,L$171,BD!$A$3:$A$5001,_xlfn.MAXIFS(BD!$A$3:$A$5001,BD!$B$3:$B$5001,L$171,BD!$A$3:$A$5001,"&gt;="&amp;$C$7,BD!$A$3:$A$5001,"&lt;="&amp;$B197,BD!$X$3:$X$5001,"&lt;&gt;"))))</f>
        <v/>
      </c>
      <c r="M197" s="43" t="str">
        <f>IF(OR($B197="",$A197&gt;$B$9,M$171=""),"",IF(COUNTIFS(BD!$B$3:$B$5001,M$171,BD!$A$3:$A$5001,"&gt;="&amp;$C$7,BD!$A$3:$A$5001,"&lt;="&amp;$B197,BD!$X$3:$X$5001,"&lt;&gt;")=0,"",SUMIFS(BD!$X$3:$X$5001,BD!$B$3:$B$5001,M$171,BD!$A$3:$A$5001,_xlfn.MAXIFS(BD!$A$3:$A$5001,BD!$B$3:$B$5001,M$171,BD!$A$3:$A$5001,"&gt;="&amp;$C$7,BD!$A$3:$A$5001,"&lt;="&amp;$B197,BD!$X$3:$X$5001,"&lt;&gt;"))))</f>
        <v/>
      </c>
      <c r="N197" s="43" t="str">
        <f>IF(OR($B197="",$A197&gt;$B$9,N$171=""),"",IF(COUNTIFS(BD!$B$3:$B$5001,N$171,BD!$A$3:$A$5001,"&gt;="&amp;$C$7,BD!$A$3:$A$5001,"&lt;="&amp;$B197,BD!$X$3:$X$5001,"&lt;&gt;")=0,"",SUMIFS(BD!$X$3:$X$5001,BD!$B$3:$B$5001,N$171,BD!$A$3:$A$5001,_xlfn.MAXIFS(BD!$A$3:$A$5001,BD!$B$3:$B$5001,N$171,BD!$A$3:$A$5001,"&gt;="&amp;$C$7,BD!$A$3:$A$5001,"&lt;="&amp;$B197,BD!$X$3:$X$5001,"&lt;&gt;"))))</f>
        <v/>
      </c>
      <c r="O197" s="43" t="str">
        <f>IF(OR($B197="",$A197&gt;$B$9,O$171=""),"",IF(COUNTIFS(BD!$B$3:$B$5001,O$171,BD!$A$3:$A$5001,"&gt;="&amp;$C$7,BD!$A$3:$A$5001,"&lt;="&amp;$B197,BD!$X$3:$X$5001,"&lt;&gt;")=0,"",SUMIFS(BD!$X$3:$X$5001,BD!$B$3:$B$5001,O$171,BD!$A$3:$A$5001,_xlfn.MAXIFS(BD!$A$3:$A$5001,BD!$B$3:$B$5001,O$171,BD!$A$3:$A$5001,"&gt;="&amp;$C$7,BD!$A$3:$A$5001,"&lt;="&amp;$B197,BD!$X$3:$X$5001,"&lt;&gt;"))))</f>
        <v/>
      </c>
      <c r="P197" s="43" t="str">
        <f>IF(OR($B197="",$A197&gt;$B$9,P$171=""),"",IF(COUNTIFS(BD!$B$3:$B$5001,P$171,BD!$A$3:$A$5001,"&gt;="&amp;$C$7,BD!$A$3:$A$5001,"&lt;="&amp;$B197,BD!$X$3:$X$5001,"&lt;&gt;")=0,"",SUMIFS(BD!$X$3:$X$5001,BD!$B$3:$B$5001,P$171,BD!$A$3:$A$5001,_xlfn.MAXIFS(BD!$A$3:$A$5001,BD!$B$3:$B$5001,P$171,BD!$A$3:$A$5001,"&gt;="&amp;$C$7,BD!$A$3:$A$5001,"&lt;="&amp;$B197,BD!$X$3:$X$5001,"&lt;&gt;"))))</f>
        <v/>
      </c>
      <c r="Q197" s="43" t="str">
        <f>IF(OR($B197="",$A197&gt;$B$9,Q$171=""),"",IF(COUNTIFS(BD!$B$3:$B$5001,Q$171,BD!$A$3:$A$5001,"&gt;="&amp;$C$7,BD!$A$3:$A$5001,"&lt;="&amp;$B197,BD!$X$3:$X$5001,"&lt;&gt;")=0,"",SUMIFS(BD!$X$3:$X$5001,BD!$B$3:$B$5001,Q$171,BD!$A$3:$A$5001,_xlfn.MAXIFS(BD!$A$3:$A$5001,BD!$B$3:$B$5001,Q$171,BD!$A$3:$A$5001,"&gt;="&amp;$C$7,BD!$A$3:$A$5001,"&lt;="&amp;$B197,BD!$X$3:$X$5001,"&lt;&gt;"))))</f>
        <v/>
      </c>
      <c r="R197" s="43" t="str">
        <f>IF(OR($B197="",$A197&gt;$B$9,R$171=""),"",IF(COUNTIFS(BD!$B$3:$B$5001,R$171,BD!$A$3:$A$5001,"&gt;="&amp;$C$7,BD!$A$3:$A$5001,"&lt;="&amp;$B197,BD!$X$3:$X$5001,"&lt;&gt;")=0,"",SUMIFS(BD!$X$3:$X$5001,BD!$B$3:$B$5001,R$171,BD!$A$3:$A$5001,_xlfn.MAXIFS(BD!$A$3:$A$5001,BD!$B$3:$B$5001,R$171,BD!$A$3:$A$5001,"&gt;="&amp;$C$7,BD!$A$3:$A$5001,"&lt;="&amp;$B197,BD!$X$3:$X$5001,"&lt;&gt;"))))</f>
        <v/>
      </c>
      <c r="S197" s="43" t="str">
        <f>IF(OR($B197="",$A197&gt;$B$9,S$171=""),"",IF(COUNTIFS(BD!$B$3:$B$5001,S$171,BD!$A$3:$A$5001,"&gt;="&amp;$C$7,BD!$A$3:$A$5001,"&lt;="&amp;$B197,BD!$X$3:$X$5001,"&lt;&gt;")=0,"",SUMIFS(BD!$X$3:$X$5001,BD!$B$3:$B$5001,S$171,BD!$A$3:$A$5001,_xlfn.MAXIFS(BD!$A$3:$A$5001,BD!$B$3:$B$5001,S$171,BD!$A$3:$A$5001,"&gt;="&amp;$C$7,BD!$A$3:$A$5001,"&lt;="&amp;$B197,BD!$X$3:$X$5001,"&lt;&gt;"))))</f>
        <v/>
      </c>
      <c r="T197" s="43" t="str">
        <f>IF(OR($B197="",$A197&gt;$B$9,T$171=""),"",IF(COUNTIFS(BD!$B$3:$B$5001,T$171,BD!$A$3:$A$5001,"&gt;="&amp;$C$7,BD!$A$3:$A$5001,"&lt;="&amp;$B197,BD!$X$3:$X$5001,"&lt;&gt;")=0,"",SUMIFS(BD!$X$3:$X$5001,BD!$B$3:$B$5001,T$171,BD!$A$3:$A$5001,_xlfn.MAXIFS(BD!$A$3:$A$5001,BD!$B$3:$B$5001,T$171,BD!$A$3:$A$5001,"&gt;="&amp;$C$7,BD!$A$3:$A$5001,"&lt;="&amp;$B197,BD!$X$3:$X$5001,"&lt;&gt;"))))</f>
        <v/>
      </c>
      <c r="U197" s="43" t="str">
        <f>IF(OR($B197="",$A197&gt;$B$9,U$171=""),"",IF(COUNTIFS(BD!$B$3:$B$5001,U$171,BD!$A$3:$A$5001,"&gt;="&amp;$C$7,BD!$A$3:$A$5001,"&lt;="&amp;$B197,BD!$X$3:$X$5001,"&lt;&gt;")=0,"",SUMIFS(BD!$X$3:$X$5001,BD!$B$3:$B$5001,U$171,BD!$A$3:$A$5001,_xlfn.MAXIFS(BD!$A$3:$A$5001,BD!$B$3:$B$5001,U$171,BD!$A$3:$A$5001,"&gt;="&amp;$C$7,BD!$A$3:$A$5001,"&lt;="&amp;$B197,BD!$X$3:$X$5001,"&lt;&gt;"))))</f>
        <v/>
      </c>
      <c r="V197" s="43" t="str">
        <f>IF(OR($B197="",$A197&gt;$B$9,V$171=""),"",IF(COUNTIFS(BD!$B$3:$B$5001,V$171,BD!$A$3:$A$5001,"&gt;="&amp;$C$7,BD!$A$3:$A$5001,"&lt;="&amp;$B197,BD!$X$3:$X$5001,"&lt;&gt;")=0,"",SUMIFS(BD!$X$3:$X$5001,BD!$B$3:$B$5001,V$171,BD!$A$3:$A$5001,_xlfn.MAXIFS(BD!$A$3:$A$5001,BD!$B$3:$B$5001,V$171,BD!$A$3:$A$5001,"&gt;="&amp;$C$7,BD!$A$3:$A$5001,"&lt;="&amp;$B197,BD!$X$3:$X$5001,"&lt;&gt;"))))</f>
        <v/>
      </c>
    </row>
    <row r="198">
      <c r="A198" s="38">
        <v>27</v>
      </c>
      <c r="B198" s="42">
        <f>$B$38</f>
        <v>46322</v>
      </c>
      <c r="C198" s="43" t="str">
        <f>IF(OR($B198="",$A198&gt;$B$9,C$171=""),"",IF(COUNTIFS(BD!$B$3:$B$5001,C$171,BD!$A$3:$A$5001,"&gt;="&amp;$C$7,BD!$A$3:$A$5001,"&lt;="&amp;$B198,BD!$X$3:$X$5001,"&lt;&gt;")=0,"",SUMIFS(BD!$X$3:$X$5001,BD!$B$3:$B$5001,C$171,BD!$A$3:$A$5001,_xlfn.MAXIFS(BD!$A$3:$A$5001,BD!$B$3:$B$5001,C$171,BD!$A$3:$A$5001,"&gt;="&amp;$C$7,BD!$A$3:$A$5001,"&lt;="&amp;$B198,BD!$X$3:$X$5001,"&lt;&gt;"))))</f>
        <v/>
      </c>
      <c r="D198" s="43" t="str">
        <f>IF(OR($B198="",$A198&gt;$B$9,D$171=""),"",IF(COUNTIFS(BD!$B$3:$B$5001,D$171,BD!$A$3:$A$5001,"&gt;="&amp;$C$7,BD!$A$3:$A$5001,"&lt;="&amp;$B198,BD!$X$3:$X$5001,"&lt;&gt;")=0,"",SUMIFS(BD!$X$3:$X$5001,BD!$B$3:$B$5001,D$171,BD!$A$3:$A$5001,_xlfn.MAXIFS(BD!$A$3:$A$5001,BD!$B$3:$B$5001,D$171,BD!$A$3:$A$5001,"&gt;="&amp;$C$7,BD!$A$3:$A$5001,"&lt;="&amp;$B198,BD!$X$3:$X$5001,"&lt;&gt;"))))</f>
        <v/>
      </c>
      <c r="E198" s="43" t="str">
        <f>IF(OR($B198="",$A198&gt;$B$9,E$171=""),"",IF(COUNTIFS(BD!$B$3:$B$5001,E$171,BD!$A$3:$A$5001,"&gt;="&amp;$C$7,BD!$A$3:$A$5001,"&lt;="&amp;$B198,BD!$X$3:$X$5001,"&lt;&gt;")=0,"",SUMIFS(BD!$X$3:$X$5001,BD!$B$3:$B$5001,E$171,BD!$A$3:$A$5001,_xlfn.MAXIFS(BD!$A$3:$A$5001,BD!$B$3:$B$5001,E$171,BD!$A$3:$A$5001,"&gt;="&amp;$C$7,BD!$A$3:$A$5001,"&lt;="&amp;$B198,BD!$X$3:$X$5001,"&lt;&gt;"))))</f>
        <v/>
      </c>
      <c r="F198" s="43" t="str">
        <f>IF(OR($B198="",$A198&gt;$B$9,F$171=""),"",IF(COUNTIFS(BD!$B$3:$B$5001,F$171,BD!$A$3:$A$5001,"&gt;="&amp;$C$7,BD!$A$3:$A$5001,"&lt;="&amp;$B198,BD!$X$3:$X$5001,"&lt;&gt;")=0,"",SUMIFS(BD!$X$3:$X$5001,BD!$B$3:$B$5001,F$171,BD!$A$3:$A$5001,_xlfn.MAXIFS(BD!$A$3:$A$5001,BD!$B$3:$B$5001,F$171,BD!$A$3:$A$5001,"&gt;="&amp;$C$7,BD!$A$3:$A$5001,"&lt;="&amp;$B198,BD!$X$3:$X$5001,"&lt;&gt;"))))</f>
        <v/>
      </c>
      <c r="G198" s="43" t="str">
        <f>IF(OR($B198="",$A198&gt;$B$9,G$171=""),"",IF(COUNTIFS(BD!$B$3:$B$5001,G$171,BD!$A$3:$A$5001,"&gt;="&amp;$C$7,BD!$A$3:$A$5001,"&lt;="&amp;$B198,BD!$X$3:$X$5001,"&lt;&gt;")=0,"",SUMIFS(BD!$X$3:$X$5001,BD!$B$3:$B$5001,G$171,BD!$A$3:$A$5001,_xlfn.MAXIFS(BD!$A$3:$A$5001,BD!$B$3:$B$5001,G$171,BD!$A$3:$A$5001,"&gt;="&amp;$C$7,BD!$A$3:$A$5001,"&lt;="&amp;$B198,BD!$X$3:$X$5001,"&lt;&gt;"))))</f>
        <v/>
      </c>
      <c r="H198" s="43" t="str">
        <f>IF(OR($B198="",$A198&gt;$B$9,H$171=""),"",IF(COUNTIFS(BD!$B$3:$B$5001,H$171,BD!$A$3:$A$5001,"&gt;="&amp;$C$7,BD!$A$3:$A$5001,"&lt;="&amp;$B198,BD!$X$3:$X$5001,"&lt;&gt;")=0,"",SUMIFS(BD!$X$3:$X$5001,BD!$B$3:$B$5001,H$171,BD!$A$3:$A$5001,_xlfn.MAXIFS(BD!$A$3:$A$5001,BD!$B$3:$B$5001,H$171,BD!$A$3:$A$5001,"&gt;="&amp;$C$7,BD!$A$3:$A$5001,"&lt;="&amp;$B198,BD!$X$3:$X$5001,"&lt;&gt;"))))</f>
        <v/>
      </c>
      <c r="I198" s="43" t="str">
        <f>IF(OR($B198="",$A198&gt;$B$9,I$171=""),"",IF(COUNTIFS(BD!$B$3:$B$5001,I$171,BD!$A$3:$A$5001,"&gt;="&amp;$C$7,BD!$A$3:$A$5001,"&lt;="&amp;$B198,BD!$X$3:$X$5001,"&lt;&gt;")=0,"",SUMIFS(BD!$X$3:$X$5001,BD!$B$3:$B$5001,I$171,BD!$A$3:$A$5001,_xlfn.MAXIFS(BD!$A$3:$A$5001,BD!$B$3:$B$5001,I$171,BD!$A$3:$A$5001,"&gt;="&amp;$C$7,BD!$A$3:$A$5001,"&lt;="&amp;$B198,BD!$X$3:$X$5001,"&lt;&gt;"))))</f>
        <v/>
      </c>
      <c r="J198" s="43" t="str">
        <f>IF(OR($B198="",$A198&gt;$B$9,J$171=""),"",IF(COUNTIFS(BD!$B$3:$B$5001,J$171,BD!$A$3:$A$5001,"&gt;="&amp;$C$7,BD!$A$3:$A$5001,"&lt;="&amp;$B198,BD!$X$3:$X$5001,"&lt;&gt;")=0,"",SUMIFS(BD!$X$3:$X$5001,BD!$B$3:$B$5001,J$171,BD!$A$3:$A$5001,_xlfn.MAXIFS(BD!$A$3:$A$5001,BD!$B$3:$B$5001,J$171,BD!$A$3:$A$5001,"&gt;="&amp;$C$7,BD!$A$3:$A$5001,"&lt;="&amp;$B198,BD!$X$3:$X$5001,"&lt;&gt;"))))</f>
        <v/>
      </c>
      <c r="K198" s="43" t="str">
        <f>IF(OR($B198="",$A198&gt;$B$9,K$171=""),"",IF(COUNTIFS(BD!$B$3:$B$5001,K$171,BD!$A$3:$A$5001,"&gt;="&amp;$C$7,BD!$A$3:$A$5001,"&lt;="&amp;$B198,BD!$X$3:$X$5001,"&lt;&gt;")=0,"",SUMIFS(BD!$X$3:$X$5001,BD!$B$3:$B$5001,K$171,BD!$A$3:$A$5001,_xlfn.MAXIFS(BD!$A$3:$A$5001,BD!$B$3:$B$5001,K$171,BD!$A$3:$A$5001,"&gt;="&amp;$C$7,BD!$A$3:$A$5001,"&lt;="&amp;$B198,BD!$X$3:$X$5001,"&lt;&gt;"))))</f>
        <v/>
      </c>
      <c r="L198" s="43" t="str">
        <f>IF(OR($B198="",$A198&gt;$B$9,L$171=""),"",IF(COUNTIFS(BD!$B$3:$B$5001,L$171,BD!$A$3:$A$5001,"&gt;="&amp;$C$7,BD!$A$3:$A$5001,"&lt;="&amp;$B198,BD!$X$3:$X$5001,"&lt;&gt;")=0,"",SUMIFS(BD!$X$3:$X$5001,BD!$B$3:$B$5001,L$171,BD!$A$3:$A$5001,_xlfn.MAXIFS(BD!$A$3:$A$5001,BD!$B$3:$B$5001,L$171,BD!$A$3:$A$5001,"&gt;="&amp;$C$7,BD!$A$3:$A$5001,"&lt;="&amp;$B198,BD!$X$3:$X$5001,"&lt;&gt;"))))</f>
        <v/>
      </c>
      <c r="M198" s="43" t="str">
        <f>IF(OR($B198="",$A198&gt;$B$9,M$171=""),"",IF(COUNTIFS(BD!$B$3:$B$5001,M$171,BD!$A$3:$A$5001,"&gt;="&amp;$C$7,BD!$A$3:$A$5001,"&lt;="&amp;$B198,BD!$X$3:$X$5001,"&lt;&gt;")=0,"",SUMIFS(BD!$X$3:$X$5001,BD!$B$3:$B$5001,M$171,BD!$A$3:$A$5001,_xlfn.MAXIFS(BD!$A$3:$A$5001,BD!$B$3:$B$5001,M$171,BD!$A$3:$A$5001,"&gt;="&amp;$C$7,BD!$A$3:$A$5001,"&lt;="&amp;$B198,BD!$X$3:$X$5001,"&lt;&gt;"))))</f>
        <v/>
      </c>
      <c r="N198" s="43" t="str">
        <f>IF(OR($B198="",$A198&gt;$B$9,N$171=""),"",IF(COUNTIFS(BD!$B$3:$B$5001,N$171,BD!$A$3:$A$5001,"&gt;="&amp;$C$7,BD!$A$3:$A$5001,"&lt;="&amp;$B198,BD!$X$3:$X$5001,"&lt;&gt;")=0,"",SUMIFS(BD!$X$3:$X$5001,BD!$B$3:$B$5001,N$171,BD!$A$3:$A$5001,_xlfn.MAXIFS(BD!$A$3:$A$5001,BD!$B$3:$B$5001,N$171,BD!$A$3:$A$5001,"&gt;="&amp;$C$7,BD!$A$3:$A$5001,"&lt;="&amp;$B198,BD!$X$3:$X$5001,"&lt;&gt;"))))</f>
        <v/>
      </c>
      <c r="O198" s="43" t="str">
        <f>IF(OR($B198="",$A198&gt;$B$9,O$171=""),"",IF(COUNTIFS(BD!$B$3:$B$5001,O$171,BD!$A$3:$A$5001,"&gt;="&amp;$C$7,BD!$A$3:$A$5001,"&lt;="&amp;$B198,BD!$X$3:$X$5001,"&lt;&gt;")=0,"",SUMIFS(BD!$X$3:$X$5001,BD!$B$3:$B$5001,O$171,BD!$A$3:$A$5001,_xlfn.MAXIFS(BD!$A$3:$A$5001,BD!$B$3:$B$5001,O$171,BD!$A$3:$A$5001,"&gt;="&amp;$C$7,BD!$A$3:$A$5001,"&lt;="&amp;$B198,BD!$X$3:$X$5001,"&lt;&gt;"))))</f>
        <v/>
      </c>
      <c r="P198" s="43" t="str">
        <f>IF(OR($B198="",$A198&gt;$B$9,P$171=""),"",IF(COUNTIFS(BD!$B$3:$B$5001,P$171,BD!$A$3:$A$5001,"&gt;="&amp;$C$7,BD!$A$3:$A$5001,"&lt;="&amp;$B198,BD!$X$3:$X$5001,"&lt;&gt;")=0,"",SUMIFS(BD!$X$3:$X$5001,BD!$B$3:$B$5001,P$171,BD!$A$3:$A$5001,_xlfn.MAXIFS(BD!$A$3:$A$5001,BD!$B$3:$B$5001,P$171,BD!$A$3:$A$5001,"&gt;="&amp;$C$7,BD!$A$3:$A$5001,"&lt;="&amp;$B198,BD!$X$3:$X$5001,"&lt;&gt;"))))</f>
        <v/>
      </c>
      <c r="Q198" s="43" t="str">
        <f>IF(OR($B198="",$A198&gt;$B$9,Q$171=""),"",IF(COUNTIFS(BD!$B$3:$B$5001,Q$171,BD!$A$3:$A$5001,"&gt;="&amp;$C$7,BD!$A$3:$A$5001,"&lt;="&amp;$B198,BD!$X$3:$X$5001,"&lt;&gt;")=0,"",SUMIFS(BD!$X$3:$X$5001,BD!$B$3:$B$5001,Q$171,BD!$A$3:$A$5001,_xlfn.MAXIFS(BD!$A$3:$A$5001,BD!$B$3:$B$5001,Q$171,BD!$A$3:$A$5001,"&gt;="&amp;$C$7,BD!$A$3:$A$5001,"&lt;="&amp;$B198,BD!$X$3:$X$5001,"&lt;&gt;"))))</f>
        <v/>
      </c>
      <c r="R198" s="43" t="str">
        <f>IF(OR($B198="",$A198&gt;$B$9,R$171=""),"",IF(COUNTIFS(BD!$B$3:$B$5001,R$171,BD!$A$3:$A$5001,"&gt;="&amp;$C$7,BD!$A$3:$A$5001,"&lt;="&amp;$B198,BD!$X$3:$X$5001,"&lt;&gt;")=0,"",SUMIFS(BD!$X$3:$X$5001,BD!$B$3:$B$5001,R$171,BD!$A$3:$A$5001,_xlfn.MAXIFS(BD!$A$3:$A$5001,BD!$B$3:$B$5001,R$171,BD!$A$3:$A$5001,"&gt;="&amp;$C$7,BD!$A$3:$A$5001,"&lt;="&amp;$B198,BD!$X$3:$X$5001,"&lt;&gt;"))))</f>
        <v/>
      </c>
      <c r="S198" s="43" t="str">
        <f>IF(OR($B198="",$A198&gt;$B$9,S$171=""),"",IF(COUNTIFS(BD!$B$3:$B$5001,S$171,BD!$A$3:$A$5001,"&gt;="&amp;$C$7,BD!$A$3:$A$5001,"&lt;="&amp;$B198,BD!$X$3:$X$5001,"&lt;&gt;")=0,"",SUMIFS(BD!$X$3:$X$5001,BD!$B$3:$B$5001,S$171,BD!$A$3:$A$5001,_xlfn.MAXIFS(BD!$A$3:$A$5001,BD!$B$3:$B$5001,S$171,BD!$A$3:$A$5001,"&gt;="&amp;$C$7,BD!$A$3:$A$5001,"&lt;="&amp;$B198,BD!$X$3:$X$5001,"&lt;&gt;"))))</f>
        <v/>
      </c>
      <c r="T198" s="43" t="str">
        <f>IF(OR($B198="",$A198&gt;$B$9,T$171=""),"",IF(COUNTIFS(BD!$B$3:$B$5001,T$171,BD!$A$3:$A$5001,"&gt;="&amp;$C$7,BD!$A$3:$A$5001,"&lt;="&amp;$B198,BD!$X$3:$X$5001,"&lt;&gt;")=0,"",SUMIFS(BD!$X$3:$X$5001,BD!$B$3:$B$5001,T$171,BD!$A$3:$A$5001,_xlfn.MAXIFS(BD!$A$3:$A$5001,BD!$B$3:$B$5001,T$171,BD!$A$3:$A$5001,"&gt;="&amp;$C$7,BD!$A$3:$A$5001,"&lt;="&amp;$B198,BD!$X$3:$X$5001,"&lt;&gt;"))))</f>
        <v/>
      </c>
      <c r="U198" s="43" t="str">
        <f>IF(OR($B198="",$A198&gt;$B$9,U$171=""),"",IF(COUNTIFS(BD!$B$3:$B$5001,U$171,BD!$A$3:$A$5001,"&gt;="&amp;$C$7,BD!$A$3:$A$5001,"&lt;="&amp;$B198,BD!$X$3:$X$5001,"&lt;&gt;")=0,"",SUMIFS(BD!$X$3:$X$5001,BD!$B$3:$B$5001,U$171,BD!$A$3:$A$5001,_xlfn.MAXIFS(BD!$A$3:$A$5001,BD!$B$3:$B$5001,U$171,BD!$A$3:$A$5001,"&gt;="&amp;$C$7,BD!$A$3:$A$5001,"&lt;="&amp;$B198,BD!$X$3:$X$5001,"&lt;&gt;"))))</f>
        <v/>
      </c>
      <c r="V198" s="43" t="str">
        <f>IF(OR($B198="",$A198&gt;$B$9,V$171=""),"",IF(COUNTIFS(BD!$B$3:$B$5001,V$171,BD!$A$3:$A$5001,"&gt;="&amp;$C$7,BD!$A$3:$A$5001,"&lt;="&amp;$B198,BD!$X$3:$X$5001,"&lt;&gt;")=0,"",SUMIFS(BD!$X$3:$X$5001,BD!$B$3:$B$5001,V$171,BD!$A$3:$A$5001,_xlfn.MAXIFS(BD!$A$3:$A$5001,BD!$B$3:$B$5001,V$171,BD!$A$3:$A$5001,"&gt;="&amp;$C$7,BD!$A$3:$A$5001,"&lt;="&amp;$B198,BD!$X$3:$X$5001,"&lt;&gt;"))))</f>
        <v/>
      </c>
    </row>
    <row r="199">
      <c r="A199" s="38">
        <v>28</v>
      </c>
      <c r="B199" s="42">
        <f>$B$39</f>
        <v>46323</v>
      </c>
      <c r="C199" s="43" t="str">
        <f>IF(OR($B199="",$A199&gt;$B$9,C$171=""),"",IF(COUNTIFS(BD!$B$3:$B$5001,C$171,BD!$A$3:$A$5001,"&gt;="&amp;$C$7,BD!$A$3:$A$5001,"&lt;="&amp;$B199,BD!$X$3:$X$5001,"&lt;&gt;")=0,"",SUMIFS(BD!$X$3:$X$5001,BD!$B$3:$B$5001,C$171,BD!$A$3:$A$5001,_xlfn.MAXIFS(BD!$A$3:$A$5001,BD!$B$3:$B$5001,C$171,BD!$A$3:$A$5001,"&gt;="&amp;$C$7,BD!$A$3:$A$5001,"&lt;="&amp;$B199,BD!$X$3:$X$5001,"&lt;&gt;"))))</f>
        <v/>
      </c>
      <c r="D199" s="43" t="str">
        <f>IF(OR($B199="",$A199&gt;$B$9,D$171=""),"",IF(COUNTIFS(BD!$B$3:$B$5001,D$171,BD!$A$3:$A$5001,"&gt;="&amp;$C$7,BD!$A$3:$A$5001,"&lt;="&amp;$B199,BD!$X$3:$X$5001,"&lt;&gt;")=0,"",SUMIFS(BD!$X$3:$X$5001,BD!$B$3:$B$5001,D$171,BD!$A$3:$A$5001,_xlfn.MAXIFS(BD!$A$3:$A$5001,BD!$B$3:$B$5001,D$171,BD!$A$3:$A$5001,"&gt;="&amp;$C$7,BD!$A$3:$A$5001,"&lt;="&amp;$B199,BD!$X$3:$X$5001,"&lt;&gt;"))))</f>
        <v/>
      </c>
      <c r="E199" s="43" t="str">
        <f>IF(OR($B199="",$A199&gt;$B$9,E$171=""),"",IF(COUNTIFS(BD!$B$3:$B$5001,E$171,BD!$A$3:$A$5001,"&gt;="&amp;$C$7,BD!$A$3:$A$5001,"&lt;="&amp;$B199,BD!$X$3:$X$5001,"&lt;&gt;")=0,"",SUMIFS(BD!$X$3:$X$5001,BD!$B$3:$B$5001,E$171,BD!$A$3:$A$5001,_xlfn.MAXIFS(BD!$A$3:$A$5001,BD!$B$3:$B$5001,E$171,BD!$A$3:$A$5001,"&gt;="&amp;$C$7,BD!$A$3:$A$5001,"&lt;="&amp;$B199,BD!$X$3:$X$5001,"&lt;&gt;"))))</f>
        <v/>
      </c>
      <c r="F199" s="43" t="str">
        <f>IF(OR($B199="",$A199&gt;$B$9,F$171=""),"",IF(COUNTIFS(BD!$B$3:$B$5001,F$171,BD!$A$3:$A$5001,"&gt;="&amp;$C$7,BD!$A$3:$A$5001,"&lt;="&amp;$B199,BD!$X$3:$X$5001,"&lt;&gt;")=0,"",SUMIFS(BD!$X$3:$X$5001,BD!$B$3:$B$5001,F$171,BD!$A$3:$A$5001,_xlfn.MAXIFS(BD!$A$3:$A$5001,BD!$B$3:$B$5001,F$171,BD!$A$3:$A$5001,"&gt;="&amp;$C$7,BD!$A$3:$A$5001,"&lt;="&amp;$B199,BD!$X$3:$X$5001,"&lt;&gt;"))))</f>
        <v/>
      </c>
      <c r="G199" s="43" t="str">
        <f>IF(OR($B199="",$A199&gt;$B$9,G$171=""),"",IF(COUNTIFS(BD!$B$3:$B$5001,G$171,BD!$A$3:$A$5001,"&gt;="&amp;$C$7,BD!$A$3:$A$5001,"&lt;="&amp;$B199,BD!$X$3:$X$5001,"&lt;&gt;")=0,"",SUMIFS(BD!$X$3:$X$5001,BD!$B$3:$B$5001,G$171,BD!$A$3:$A$5001,_xlfn.MAXIFS(BD!$A$3:$A$5001,BD!$B$3:$B$5001,G$171,BD!$A$3:$A$5001,"&gt;="&amp;$C$7,BD!$A$3:$A$5001,"&lt;="&amp;$B199,BD!$X$3:$X$5001,"&lt;&gt;"))))</f>
        <v/>
      </c>
      <c r="H199" s="43" t="str">
        <f>IF(OR($B199="",$A199&gt;$B$9,H$171=""),"",IF(COUNTIFS(BD!$B$3:$B$5001,H$171,BD!$A$3:$A$5001,"&gt;="&amp;$C$7,BD!$A$3:$A$5001,"&lt;="&amp;$B199,BD!$X$3:$X$5001,"&lt;&gt;")=0,"",SUMIFS(BD!$X$3:$X$5001,BD!$B$3:$B$5001,H$171,BD!$A$3:$A$5001,_xlfn.MAXIFS(BD!$A$3:$A$5001,BD!$B$3:$B$5001,H$171,BD!$A$3:$A$5001,"&gt;="&amp;$C$7,BD!$A$3:$A$5001,"&lt;="&amp;$B199,BD!$X$3:$X$5001,"&lt;&gt;"))))</f>
        <v/>
      </c>
      <c r="I199" s="43" t="str">
        <f>IF(OR($B199="",$A199&gt;$B$9,I$171=""),"",IF(COUNTIFS(BD!$B$3:$B$5001,I$171,BD!$A$3:$A$5001,"&gt;="&amp;$C$7,BD!$A$3:$A$5001,"&lt;="&amp;$B199,BD!$X$3:$X$5001,"&lt;&gt;")=0,"",SUMIFS(BD!$X$3:$X$5001,BD!$B$3:$B$5001,I$171,BD!$A$3:$A$5001,_xlfn.MAXIFS(BD!$A$3:$A$5001,BD!$B$3:$B$5001,I$171,BD!$A$3:$A$5001,"&gt;="&amp;$C$7,BD!$A$3:$A$5001,"&lt;="&amp;$B199,BD!$X$3:$X$5001,"&lt;&gt;"))))</f>
        <v/>
      </c>
      <c r="J199" s="43" t="str">
        <f>IF(OR($B199="",$A199&gt;$B$9,J$171=""),"",IF(COUNTIFS(BD!$B$3:$B$5001,J$171,BD!$A$3:$A$5001,"&gt;="&amp;$C$7,BD!$A$3:$A$5001,"&lt;="&amp;$B199,BD!$X$3:$X$5001,"&lt;&gt;")=0,"",SUMIFS(BD!$X$3:$X$5001,BD!$B$3:$B$5001,J$171,BD!$A$3:$A$5001,_xlfn.MAXIFS(BD!$A$3:$A$5001,BD!$B$3:$B$5001,J$171,BD!$A$3:$A$5001,"&gt;="&amp;$C$7,BD!$A$3:$A$5001,"&lt;="&amp;$B199,BD!$X$3:$X$5001,"&lt;&gt;"))))</f>
        <v/>
      </c>
      <c r="K199" s="43" t="str">
        <f>IF(OR($B199="",$A199&gt;$B$9,K$171=""),"",IF(COUNTIFS(BD!$B$3:$B$5001,K$171,BD!$A$3:$A$5001,"&gt;="&amp;$C$7,BD!$A$3:$A$5001,"&lt;="&amp;$B199,BD!$X$3:$X$5001,"&lt;&gt;")=0,"",SUMIFS(BD!$X$3:$X$5001,BD!$B$3:$B$5001,K$171,BD!$A$3:$A$5001,_xlfn.MAXIFS(BD!$A$3:$A$5001,BD!$B$3:$B$5001,K$171,BD!$A$3:$A$5001,"&gt;="&amp;$C$7,BD!$A$3:$A$5001,"&lt;="&amp;$B199,BD!$X$3:$X$5001,"&lt;&gt;"))))</f>
        <v/>
      </c>
      <c r="L199" s="43" t="str">
        <f>IF(OR($B199="",$A199&gt;$B$9,L$171=""),"",IF(COUNTIFS(BD!$B$3:$B$5001,L$171,BD!$A$3:$A$5001,"&gt;="&amp;$C$7,BD!$A$3:$A$5001,"&lt;="&amp;$B199,BD!$X$3:$X$5001,"&lt;&gt;")=0,"",SUMIFS(BD!$X$3:$X$5001,BD!$B$3:$B$5001,L$171,BD!$A$3:$A$5001,_xlfn.MAXIFS(BD!$A$3:$A$5001,BD!$B$3:$B$5001,L$171,BD!$A$3:$A$5001,"&gt;="&amp;$C$7,BD!$A$3:$A$5001,"&lt;="&amp;$B199,BD!$X$3:$X$5001,"&lt;&gt;"))))</f>
        <v/>
      </c>
      <c r="M199" s="43" t="str">
        <f>IF(OR($B199="",$A199&gt;$B$9,M$171=""),"",IF(COUNTIFS(BD!$B$3:$B$5001,M$171,BD!$A$3:$A$5001,"&gt;="&amp;$C$7,BD!$A$3:$A$5001,"&lt;="&amp;$B199,BD!$X$3:$X$5001,"&lt;&gt;")=0,"",SUMIFS(BD!$X$3:$X$5001,BD!$B$3:$B$5001,M$171,BD!$A$3:$A$5001,_xlfn.MAXIFS(BD!$A$3:$A$5001,BD!$B$3:$B$5001,M$171,BD!$A$3:$A$5001,"&gt;="&amp;$C$7,BD!$A$3:$A$5001,"&lt;="&amp;$B199,BD!$X$3:$X$5001,"&lt;&gt;"))))</f>
        <v/>
      </c>
      <c r="N199" s="43" t="str">
        <f>IF(OR($B199="",$A199&gt;$B$9,N$171=""),"",IF(COUNTIFS(BD!$B$3:$B$5001,N$171,BD!$A$3:$A$5001,"&gt;="&amp;$C$7,BD!$A$3:$A$5001,"&lt;="&amp;$B199,BD!$X$3:$X$5001,"&lt;&gt;")=0,"",SUMIFS(BD!$X$3:$X$5001,BD!$B$3:$B$5001,N$171,BD!$A$3:$A$5001,_xlfn.MAXIFS(BD!$A$3:$A$5001,BD!$B$3:$B$5001,N$171,BD!$A$3:$A$5001,"&gt;="&amp;$C$7,BD!$A$3:$A$5001,"&lt;="&amp;$B199,BD!$X$3:$X$5001,"&lt;&gt;"))))</f>
        <v/>
      </c>
      <c r="O199" s="43" t="str">
        <f>IF(OR($B199="",$A199&gt;$B$9,O$171=""),"",IF(COUNTIFS(BD!$B$3:$B$5001,O$171,BD!$A$3:$A$5001,"&gt;="&amp;$C$7,BD!$A$3:$A$5001,"&lt;="&amp;$B199,BD!$X$3:$X$5001,"&lt;&gt;")=0,"",SUMIFS(BD!$X$3:$X$5001,BD!$B$3:$B$5001,O$171,BD!$A$3:$A$5001,_xlfn.MAXIFS(BD!$A$3:$A$5001,BD!$B$3:$B$5001,O$171,BD!$A$3:$A$5001,"&gt;="&amp;$C$7,BD!$A$3:$A$5001,"&lt;="&amp;$B199,BD!$X$3:$X$5001,"&lt;&gt;"))))</f>
        <v/>
      </c>
      <c r="P199" s="43" t="str">
        <f>IF(OR($B199="",$A199&gt;$B$9,P$171=""),"",IF(COUNTIFS(BD!$B$3:$B$5001,P$171,BD!$A$3:$A$5001,"&gt;="&amp;$C$7,BD!$A$3:$A$5001,"&lt;="&amp;$B199,BD!$X$3:$X$5001,"&lt;&gt;")=0,"",SUMIFS(BD!$X$3:$X$5001,BD!$B$3:$B$5001,P$171,BD!$A$3:$A$5001,_xlfn.MAXIFS(BD!$A$3:$A$5001,BD!$B$3:$B$5001,P$171,BD!$A$3:$A$5001,"&gt;="&amp;$C$7,BD!$A$3:$A$5001,"&lt;="&amp;$B199,BD!$X$3:$X$5001,"&lt;&gt;"))))</f>
        <v/>
      </c>
      <c r="Q199" s="43" t="str">
        <f>IF(OR($B199="",$A199&gt;$B$9,Q$171=""),"",IF(COUNTIFS(BD!$B$3:$B$5001,Q$171,BD!$A$3:$A$5001,"&gt;="&amp;$C$7,BD!$A$3:$A$5001,"&lt;="&amp;$B199,BD!$X$3:$X$5001,"&lt;&gt;")=0,"",SUMIFS(BD!$X$3:$X$5001,BD!$B$3:$B$5001,Q$171,BD!$A$3:$A$5001,_xlfn.MAXIFS(BD!$A$3:$A$5001,BD!$B$3:$B$5001,Q$171,BD!$A$3:$A$5001,"&gt;="&amp;$C$7,BD!$A$3:$A$5001,"&lt;="&amp;$B199,BD!$X$3:$X$5001,"&lt;&gt;"))))</f>
        <v/>
      </c>
      <c r="R199" s="43" t="str">
        <f>IF(OR($B199="",$A199&gt;$B$9,R$171=""),"",IF(COUNTIFS(BD!$B$3:$B$5001,R$171,BD!$A$3:$A$5001,"&gt;="&amp;$C$7,BD!$A$3:$A$5001,"&lt;="&amp;$B199,BD!$X$3:$X$5001,"&lt;&gt;")=0,"",SUMIFS(BD!$X$3:$X$5001,BD!$B$3:$B$5001,R$171,BD!$A$3:$A$5001,_xlfn.MAXIFS(BD!$A$3:$A$5001,BD!$B$3:$B$5001,R$171,BD!$A$3:$A$5001,"&gt;="&amp;$C$7,BD!$A$3:$A$5001,"&lt;="&amp;$B199,BD!$X$3:$X$5001,"&lt;&gt;"))))</f>
        <v/>
      </c>
      <c r="S199" s="43" t="str">
        <f>IF(OR($B199="",$A199&gt;$B$9,S$171=""),"",IF(COUNTIFS(BD!$B$3:$B$5001,S$171,BD!$A$3:$A$5001,"&gt;="&amp;$C$7,BD!$A$3:$A$5001,"&lt;="&amp;$B199,BD!$X$3:$X$5001,"&lt;&gt;")=0,"",SUMIFS(BD!$X$3:$X$5001,BD!$B$3:$B$5001,S$171,BD!$A$3:$A$5001,_xlfn.MAXIFS(BD!$A$3:$A$5001,BD!$B$3:$B$5001,S$171,BD!$A$3:$A$5001,"&gt;="&amp;$C$7,BD!$A$3:$A$5001,"&lt;="&amp;$B199,BD!$X$3:$X$5001,"&lt;&gt;"))))</f>
        <v/>
      </c>
      <c r="T199" s="43" t="str">
        <f>IF(OR($B199="",$A199&gt;$B$9,T$171=""),"",IF(COUNTIFS(BD!$B$3:$B$5001,T$171,BD!$A$3:$A$5001,"&gt;="&amp;$C$7,BD!$A$3:$A$5001,"&lt;="&amp;$B199,BD!$X$3:$X$5001,"&lt;&gt;")=0,"",SUMIFS(BD!$X$3:$X$5001,BD!$B$3:$B$5001,T$171,BD!$A$3:$A$5001,_xlfn.MAXIFS(BD!$A$3:$A$5001,BD!$B$3:$B$5001,T$171,BD!$A$3:$A$5001,"&gt;="&amp;$C$7,BD!$A$3:$A$5001,"&lt;="&amp;$B199,BD!$X$3:$X$5001,"&lt;&gt;"))))</f>
        <v/>
      </c>
      <c r="U199" s="43" t="str">
        <f>IF(OR($B199="",$A199&gt;$B$9,U$171=""),"",IF(COUNTIFS(BD!$B$3:$B$5001,U$171,BD!$A$3:$A$5001,"&gt;="&amp;$C$7,BD!$A$3:$A$5001,"&lt;="&amp;$B199,BD!$X$3:$X$5001,"&lt;&gt;")=0,"",SUMIFS(BD!$X$3:$X$5001,BD!$B$3:$B$5001,U$171,BD!$A$3:$A$5001,_xlfn.MAXIFS(BD!$A$3:$A$5001,BD!$B$3:$B$5001,U$171,BD!$A$3:$A$5001,"&gt;="&amp;$C$7,BD!$A$3:$A$5001,"&lt;="&amp;$B199,BD!$X$3:$X$5001,"&lt;&gt;"))))</f>
        <v/>
      </c>
      <c r="V199" s="43" t="str">
        <f>IF(OR($B199="",$A199&gt;$B$9,V$171=""),"",IF(COUNTIFS(BD!$B$3:$B$5001,V$171,BD!$A$3:$A$5001,"&gt;="&amp;$C$7,BD!$A$3:$A$5001,"&lt;="&amp;$B199,BD!$X$3:$X$5001,"&lt;&gt;")=0,"",SUMIFS(BD!$X$3:$X$5001,BD!$B$3:$B$5001,V$171,BD!$A$3:$A$5001,_xlfn.MAXIFS(BD!$A$3:$A$5001,BD!$B$3:$B$5001,V$171,BD!$A$3:$A$5001,"&gt;="&amp;$C$7,BD!$A$3:$A$5001,"&lt;="&amp;$B199,BD!$X$3:$X$5001,"&lt;&gt;"))))</f>
        <v/>
      </c>
    </row>
    <row r="200">
      <c r="A200" s="38">
        <v>29</v>
      </c>
      <c r="B200" s="42">
        <f>$B$40</f>
        <v>46324</v>
      </c>
      <c r="C200" s="43" t="str">
        <f>IF(OR($B200="",$A200&gt;$B$9,C$171=""),"",IF(COUNTIFS(BD!$B$3:$B$5001,C$171,BD!$A$3:$A$5001,"&gt;="&amp;$C$7,BD!$A$3:$A$5001,"&lt;="&amp;$B200,BD!$X$3:$X$5001,"&lt;&gt;")=0,"",SUMIFS(BD!$X$3:$X$5001,BD!$B$3:$B$5001,C$171,BD!$A$3:$A$5001,_xlfn.MAXIFS(BD!$A$3:$A$5001,BD!$B$3:$B$5001,C$171,BD!$A$3:$A$5001,"&gt;="&amp;$C$7,BD!$A$3:$A$5001,"&lt;="&amp;$B200,BD!$X$3:$X$5001,"&lt;&gt;"))))</f>
        <v/>
      </c>
      <c r="D200" s="43" t="str">
        <f>IF(OR($B200="",$A200&gt;$B$9,D$171=""),"",IF(COUNTIFS(BD!$B$3:$B$5001,D$171,BD!$A$3:$A$5001,"&gt;="&amp;$C$7,BD!$A$3:$A$5001,"&lt;="&amp;$B200,BD!$X$3:$X$5001,"&lt;&gt;")=0,"",SUMIFS(BD!$X$3:$X$5001,BD!$B$3:$B$5001,D$171,BD!$A$3:$A$5001,_xlfn.MAXIFS(BD!$A$3:$A$5001,BD!$B$3:$B$5001,D$171,BD!$A$3:$A$5001,"&gt;="&amp;$C$7,BD!$A$3:$A$5001,"&lt;="&amp;$B200,BD!$X$3:$X$5001,"&lt;&gt;"))))</f>
        <v/>
      </c>
      <c r="E200" s="43" t="str">
        <f>IF(OR($B200="",$A200&gt;$B$9,E$171=""),"",IF(COUNTIFS(BD!$B$3:$B$5001,E$171,BD!$A$3:$A$5001,"&gt;="&amp;$C$7,BD!$A$3:$A$5001,"&lt;="&amp;$B200,BD!$X$3:$X$5001,"&lt;&gt;")=0,"",SUMIFS(BD!$X$3:$X$5001,BD!$B$3:$B$5001,E$171,BD!$A$3:$A$5001,_xlfn.MAXIFS(BD!$A$3:$A$5001,BD!$B$3:$B$5001,E$171,BD!$A$3:$A$5001,"&gt;="&amp;$C$7,BD!$A$3:$A$5001,"&lt;="&amp;$B200,BD!$X$3:$X$5001,"&lt;&gt;"))))</f>
        <v/>
      </c>
      <c r="F200" s="43" t="str">
        <f>IF(OR($B200="",$A200&gt;$B$9,F$171=""),"",IF(COUNTIFS(BD!$B$3:$B$5001,F$171,BD!$A$3:$A$5001,"&gt;="&amp;$C$7,BD!$A$3:$A$5001,"&lt;="&amp;$B200,BD!$X$3:$X$5001,"&lt;&gt;")=0,"",SUMIFS(BD!$X$3:$X$5001,BD!$B$3:$B$5001,F$171,BD!$A$3:$A$5001,_xlfn.MAXIFS(BD!$A$3:$A$5001,BD!$B$3:$B$5001,F$171,BD!$A$3:$A$5001,"&gt;="&amp;$C$7,BD!$A$3:$A$5001,"&lt;="&amp;$B200,BD!$X$3:$X$5001,"&lt;&gt;"))))</f>
        <v/>
      </c>
      <c r="G200" s="43" t="str">
        <f>IF(OR($B200="",$A200&gt;$B$9,G$171=""),"",IF(COUNTIFS(BD!$B$3:$B$5001,G$171,BD!$A$3:$A$5001,"&gt;="&amp;$C$7,BD!$A$3:$A$5001,"&lt;="&amp;$B200,BD!$X$3:$X$5001,"&lt;&gt;")=0,"",SUMIFS(BD!$X$3:$X$5001,BD!$B$3:$B$5001,G$171,BD!$A$3:$A$5001,_xlfn.MAXIFS(BD!$A$3:$A$5001,BD!$B$3:$B$5001,G$171,BD!$A$3:$A$5001,"&gt;="&amp;$C$7,BD!$A$3:$A$5001,"&lt;="&amp;$B200,BD!$X$3:$X$5001,"&lt;&gt;"))))</f>
        <v/>
      </c>
      <c r="H200" s="43" t="str">
        <f>IF(OR($B200="",$A200&gt;$B$9,H$171=""),"",IF(COUNTIFS(BD!$B$3:$B$5001,H$171,BD!$A$3:$A$5001,"&gt;="&amp;$C$7,BD!$A$3:$A$5001,"&lt;="&amp;$B200,BD!$X$3:$X$5001,"&lt;&gt;")=0,"",SUMIFS(BD!$X$3:$X$5001,BD!$B$3:$B$5001,H$171,BD!$A$3:$A$5001,_xlfn.MAXIFS(BD!$A$3:$A$5001,BD!$B$3:$B$5001,H$171,BD!$A$3:$A$5001,"&gt;="&amp;$C$7,BD!$A$3:$A$5001,"&lt;="&amp;$B200,BD!$X$3:$X$5001,"&lt;&gt;"))))</f>
        <v/>
      </c>
      <c r="I200" s="43" t="str">
        <f>IF(OR($B200="",$A200&gt;$B$9,I$171=""),"",IF(COUNTIFS(BD!$B$3:$B$5001,I$171,BD!$A$3:$A$5001,"&gt;="&amp;$C$7,BD!$A$3:$A$5001,"&lt;="&amp;$B200,BD!$X$3:$X$5001,"&lt;&gt;")=0,"",SUMIFS(BD!$X$3:$X$5001,BD!$B$3:$B$5001,I$171,BD!$A$3:$A$5001,_xlfn.MAXIFS(BD!$A$3:$A$5001,BD!$B$3:$B$5001,I$171,BD!$A$3:$A$5001,"&gt;="&amp;$C$7,BD!$A$3:$A$5001,"&lt;="&amp;$B200,BD!$X$3:$X$5001,"&lt;&gt;"))))</f>
        <v/>
      </c>
      <c r="J200" s="43" t="str">
        <f>IF(OR($B200="",$A200&gt;$B$9,J$171=""),"",IF(COUNTIFS(BD!$B$3:$B$5001,J$171,BD!$A$3:$A$5001,"&gt;="&amp;$C$7,BD!$A$3:$A$5001,"&lt;="&amp;$B200,BD!$X$3:$X$5001,"&lt;&gt;")=0,"",SUMIFS(BD!$X$3:$X$5001,BD!$B$3:$B$5001,J$171,BD!$A$3:$A$5001,_xlfn.MAXIFS(BD!$A$3:$A$5001,BD!$B$3:$B$5001,J$171,BD!$A$3:$A$5001,"&gt;="&amp;$C$7,BD!$A$3:$A$5001,"&lt;="&amp;$B200,BD!$X$3:$X$5001,"&lt;&gt;"))))</f>
        <v/>
      </c>
      <c r="K200" s="43" t="str">
        <f>IF(OR($B200="",$A200&gt;$B$9,K$171=""),"",IF(COUNTIFS(BD!$B$3:$B$5001,K$171,BD!$A$3:$A$5001,"&gt;="&amp;$C$7,BD!$A$3:$A$5001,"&lt;="&amp;$B200,BD!$X$3:$X$5001,"&lt;&gt;")=0,"",SUMIFS(BD!$X$3:$X$5001,BD!$B$3:$B$5001,K$171,BD!$A$3:$A$5001,_xlfn.MAXIFS(BD!$A$3:$A$5001,BD!$B$3:$B$5001,K$171,BD!$A$3:$A$5001,"&gt;="&amp;$C$7,BD!$A$3:$A$5001,"&lt;="&amp;$B200,BD!$X$3:$X$5001,"&lt;&gt;"))))</f>
        <v/>
      </c>
      <c r="L200" s="43" t="str">
        <f>IF(OR($B200="",$A200&gt;$B$9,L$171=""),"",IF(COUNTIFS(BD!$B$3:$B$5001,L$171,BD!$A$3:$A$5001,"&gt;="&amp;$C$7,BD!$A$3:$A$5001,"&lt;="&amp;$B200,BD!$X$3:$X$5001,"&lt;&gt;")=0,"",SUMIFS(BD!$X$3:$X$5001,BD!$B$3:$B$5001,L$171,BD!$A$3:$A$5001,_xlfn.MAXIFS(BD!$A$3:$A$5001,BD!$B$3:$B$5001,L$171,BD!$A$3:$A$5001,"&gt;="&amp;$C$7,BD!$A$3:$A$5001,"&lt;="&amp;$B200,BD!$X$3:$X$5001,"&lt;&gt;"))))</f>
        <v/>
      </c>
      <c r="M200" s="43" t="str">
        <f>IF(OR($B200="",$A200&gt;$B$9,M$171=""),"",IF(COUNTIFS(BD!$B$3:$B$5001,M$171,BD!$A$3:$A$5001,"&gt;="&amp;$C$7,BD!$A$3:$A$5001,"&lt;="&amp;$B200,BD!$X$3:$X$5001,"&lt;&gt;")=0,"",SUMIFS(BD!$X$3:$X$5001,BD!$B$3:$B$5001,M$171,BD!$A$3:$A$5001,_xlfn.MAXIFS(BD!$A$3:$A$5001,BD!$B$3:$B$5001,M$171,BD!$A$3:$A$5001,"&gt;="&amp;$C$7,BD!$A$3:$A$5001,"&lt;="&amp;$B200,BD!$X$3:$X$5001,"&lt;&gt;"))))</f>
        <v/>
      </c>
      <c r="N200" s="43" t="str">
        <f>IF(OR($B200="",$A200&gt;$B$9,N$171=""),"",IF(COUNTIFS(BD!$B$3:$B$5001,N$171,BD!$A$3:$A$5001,"&gt;="&amp;$C$7,BD!$A$3:$A$5001,"&lt;="&amp;$B200,BD!$X$3:$X$5001,"&lt;&gt;")=0,"",SUMIFS(BD!$X$3:$X$5001,BD!$B$3:$B$5001,N$171,BD!$A$3:$A$5001,_xlfn.MAXIFS(BD!$A$3:$A$5001,BD!$B$3:$B$5001,N$171,BD!$A$3:$A$5001,"&gt;="&amp;$C$7,BD!$A$3:$A$5001,"&lt;="&amp;$B200,BD!$X$3:$X$5001,"&lt;&gt;"))))</f>
        <v/>
      </c>
      <c r="O200" s="43" t="str">
        <f>IF(OR($B200="",$A200&gt;$B$9,O$171=""),"",IF(COUNTIFS(BD!$B$3:$B$5001,O$171,BD!$A$3:$A$5001,"&gt;="&amp;$C$7,BD!$A$3:$A$5001,"&lt;="&amp;$B200,BD!$X$3:$X$5001,"&lt;&gt;")=0,"",SUMIFS(BD!$X$3:$X$5001,BD!$B$3:$B$5001,O$171,BD!$A$3:$A$5001,_xlfn.MAXIFS(BD!$A$3:$A$5001,BD!$B$3:$B$5001,O$171,BD!$A$3:$A$5001,"&gt;="&amp;$C$7,BD!$A$3:$A$5001,"&lt;="&amp;$B200,BD!$X$3:$X$5001,"&lt;&gt;"))))</f>
        <v/>
      </c>
      <c r="P200" s="43" t="str">
        <f>IF(OR($B200="",$A200&gt;$B$9,P$171=""),"",IF(COUNTIFS(BD!$B$3:$B$5001,P$171,BD!$A$3:$A$5001,"&gt;="&amp;$C$7,BD!$A$3:$A$5001,"&lt;="&amp;$B200,BD!$X$3:$X$5001,"&lt;&gt;")=0,"",SUMIFS(BD!$X$3:$X$5001,BD!$B$3:$B$5001,P$171,BD!$A$3:$A$5001,_xlfn.MAXIFS(BD!$A$3:$A$5001,BD!$B$3:$B$5001,P$171,BD!$A$3:$A$5001,"&gt;="&amp;$C$7,BD!$A$3:$A$5001,"&lt;="&amp;$B200,BD!$X$3:$X$5001,"&lt;&gt;"))))</f>
        <v/>
      </c>
      <c r="Q200" s="43" t="str">
        <f>IF(OR($B200="",$A200&gt;$B$9,Q$171=""),"",IF(COUNTIFS(BD!$B$3:$B$5001,Q$171,BD!$A$3:$A$5001,"&gt;="&amp;$C$7,BD!$A$3:$A$5001,"&lt;="&amp;$B200,BD!$X$3:$X$5001,"&lt;&gt;")=0,"",SUMIFS(BD!$X$3:$X$5001,BD!$B$3:$B$5001,Q$171,BD!$A$3:$A$5001,_xlfn.MAXIFS(BD!$A$3:$A$5001,BD!$B$3:$B$5001,Q$171,BD!$A$3:$A$5001,"&gt;="&amp;$C$7,BD!$A$3:$A$5001,"&lt;="&amp;$B200,BD!$X$3:$X$5001,"&lt;&gt;"))))</f>
        <v/>
      </c>
      <c r="R200" s="43" t="str">
        <f>IF(OR($B200="",$A200&gt;$B$9,R$171=""),"",IF(COUNTIFS(BD!$B$3:$B$5001,R$171,BD!$A$3:$A$5001,"&gt;="&amp;$C$7,BD!$A$3:$A$5001,"&lt;="&amp;$B200,BD!$X$3:$X$5001,"&lt;&gt;")=0,"",SUMIFS(BD!$X$3:$X$5001,BD!$B$3:$B$5001,R$171,BD!$A$3:$A$5001,_xlfn.MAXIFS(BD!$A$3:$A$5001,BD!$B$3:$B$5001,R$171,BD!$A$3:$A$5001,"&gt;="&amp;$C$7,BD!$A$3:$A$5001,"&lt;="&amp;$B200,BD!$X$3:$X$5001,"&lt;&gt;"))))</f>
        <v/>
      </c>
      <c r="S200" s="43" t="str">
        <f>IF(OR($B200="",$A200&gt;$B$9,S$171=""),"",IF(COUNTIFS(BD!$B$3:$B$5001,S$171,BD!$A$3:$A$5001,"&gt;="&amp;$C$7,BD!$A$3:$A$5001,"&lt;="&amp;$B200,BD!$X$3:$X$5001,"&lt;&gt;")=0,"",SUMIFS(BD!$X$3:$X$5001,BD!$B$3:$B$5001,S$171,BD!$A$3:$A$5001,_xlfn.MAXIFS(BD!$A$3:$A$5001,BD!$B$3:$B$5001,S$171,BD!$A$3:$A$5001,"&gt;="&amp;$C$7,BD!$A$3:$A$5001,"&lt;="&amp;$B200,BD!$X$3:$X$5001,"&lt;&gt;"))))</f>
        <v/>
      </c>
      <c r="T200" s="43" t="str">
        <f>IF(OR($B200="",$A200&gt;$B$9,T$171=""),"",IF(COUNTIFS(BD!$B$3:$B$5001,T$171,BD!$A$3:$A$5001,"&gt;="&amp;$C$7,BD!$A$3:$A$5001,"&lt;="&amp;$B200,BD!$X$3:$X$5001,"&lt;&gt;")=0,"",SUMIFS(BD!$X$3:$X$5001,BD!$B$3:$B$5001,T$171,BD!$A$3:$A$5001,_xlfn.MAXIFS(BD!$A$3:$A$5001,BD!$B$3:$B$5001,T$171,BD!$A$3:$A$5001,"&gt;="&amp;$C$7,BD!$A$3:$A$5001,"&lt;="&amp;$B200,BD!$X$3:$X$5001,"&lt;&gt;"))))</f>
        <v/>
      </c>
      <c r="U200" s="43" t="str">
        <f>IF(OR($B200="",$A200&gt;$B$9,U$171=""),"",IF(COUNTIFS(BD!$B$3:$B$5001,U$171,BD!$A$3:$A$5001,"&gt;="&amp;$C$7,BD!$A$3:$A$5001,"&lt;="&amp;$B200,BD!$X$3:$X$5001,"&lt;&gt;")=0,"",SUMIFS(BD!$X$3:$X$5001,BD!$B$3:$B$5001,U$171,BD!$A$3:$A$5001,_xlfn.MAXIFS(BD!$A$3:$A$5001,BD!$B$3:$B$5001,U$171,BD!$A$3:$A$5001,"&gt;="&amp;$C$7,BD!$A$3:$A$5001,"&lt;="&amp;$B200,BD!$X$3:$X$5001,"&lt;&gt;"))))</f>
        <v/>
      </c>
      <c r="V200" s="43" t="str">
        <f>IF(OR($B200="",$A200&gt;$B$9,V$171=""),"",IF(COUNTIFS(BD!$B$3:$B$5001,V$171,BD!$A$3:$A$5001,"&gt;="&amp;$C$7,BD!$A$3:$A$5001,"&lt;="&amp;$B200,BD!$X$3:$X$5001,"&lt;&gt;")=0,"",SUMIFS(BD!$X$3:$X$5001,BD!$B$3:$B$5001,V$171,BD!$A$3:$A$5001,_xlfn.MAXIFS(BD!$A$3:$A$5001,BD!$B$3:$B$5001,V$171,BD!$A$3:$A$5001,"&gt;="&amp;$C$7,BD!$A$3:$A$5001,"&lt;="&amp;$B200,BD!$X$3:$X$5001,"&lt;&gt;"))))</f>
        <v/>
      </c>
    </row>
    <row r="201">
      <c r="A201" s="38">
        <v>30</v>
      </c>
      <c r="B201" s="42">
        <f>$B$41</f>
        <v>46325</v>
      </c>
      <c r="C201" s="43" t="str">
        <f>IF(OR($B201="",$A201&gt;$B$9,C$171=""),"",IF(COUNTIFS(BD!$B$3:$B$5001,C$171,BD!$A$3:$A$5001,"&gt;="&amp;$C$7,BD!$A$3:$A$5001,"&lt;="&amp;$B201,BD!$X$3:$X$5001,"&lt;&gt;")=0,"",SUMIFS(BD!$X$3:$X$5001,BD!$B$3:$B$5001,C$171,BD!$A$3:$A$5001,_xlfn.MAXIFS(BD!$A$3:$A$5001,BD!$B$3:$B$5001,C$171,BD!$A$3:$A$5001,"&gt;="&amp;$C$7,BD!$A$3:$A$5001,"&lt;="&amp;$B201,BD!$X$3:$X$5001,"&lt;&gt;"))))</f>
        <v/>
      </c>
      <c r="D201" s="43" t="str">
        <f>IF(OR($B201="",$A201&gt;$B$9,D$171=""),"",IF(COUNTIFS(BD!$B$3:$B$5001,D$171,BD!$A$3:$A$5001,"&gt;="&amp;$C$7,BD!$A$3:$A$5001,"&lt;="&amp;$B201,BD!$X$3:$X$5001,"&lt;&gt;")=0,"",SUMIFS(BD!$X$3:$X$5001,BD!$B$3:$B$5001,D$171,BD!$A$3:$A$5001,_xlfn.MAXIFS(BD!$A$3:$A$5001,BD!$B$3:$B$5001,D$171,BD!$A$3:$A$5001,"&gt;="&amp;$C$7,BD!$A$3:$A$5001,"&lt;="&amp;$B201,BD!$X$3:$X$5001,"&lt;&gt;"))))</f>
        <v/>
      </c>
      <c r="E201" s="43" t="str">
        <f>IF(OR($B201="",$A201&gt;$B$9,E$171=""),"",IF(COUNTIFS(BD!$B$3:$B$5001,E$171,BD!$A$3:$A$5001,"&gt;="&amp;$C$7,BD!$A$3:$A$5001,"&lt;="&amp;$B201,BD!$X$3:$X$5001,"&lt;&gt;")=0,"",SUMIFS(BD!$X$3:$X$5001,BD!$B$3:$B$5001,E$171,BD!$A$3:$A$5001,_xlfn.MAXIFS(BD!$A$3:$A$5001,BD!$B$3:$B$5001,E$171,BD!$A$3:$A$5001,"&gt;="&amp;$C$7,BD!$A$3:$A$5001,"&lt;="&amp;$B201,BD!$X$3:$X$5001,"&lt;&gt;"))))</f>
        <v/>
      </c>
      <c r="F201" s="43" t="str">
        <f>IF(OR($B201="",$A201&gt;$B$9,F$171=""),"",IF(COUNTIFS(BD!$B$3:$B$5001,F$171,BD!$A$3:$A$5001,"&gt;="&amp;$C$7,BD!$A$3:$A$5001,"&lt;="&amp;$B201,BD!$X$3:$X$5001,"&lt;&gt;")=0,"",SUMIFS(BD!$X$3:$X$5001,BD!$B$3:$B$5001,F$171,BD!$A$3:$A$5001,_xlfn.MAXIFS(BD!$A$3:$A$5001,BD!$B$3:$B$5001,F$171,BD!$A$3:$A$5001,"&gt;="&amp;$C$7,BD!$A$3:$A$5001,"&lt;="&amp;$B201,BD!$X$3:$X$5001,"&lt;&gt;"))))</f>
        <v/>
      </c>
      <c r="G201" s="43" t="str">
        <f>IF(OR($B201="",$A201&gt;$B$9,G$171=""),"",IF(COUNTIFS(BD!$B$3:$B$5001,G$171,BD!$A$3:$A$5001,"&gt;="&amp;$C$7,BD!$A$3:$A$5001,"&lt;="&amp;$B201,BD!$X$3:$X$5001,"&lt;&gt;")=0,"",SUMIFS(BD!$X$3:$X$5001,BD!$B$3:$B$5001,G$171,BD!$A$3:$A$5001,_xlfn.MAXIFS(BD!$A$3:$A$5001,BD!$B$3:$B$5001,G$171,BD!$A$3:$A$5001,"&gt;="&amp;$C$7,BD!$A$3:$A$5001,"&lt;="&amp;$B201,BD!$X$3:$X$5001,"&lt;&gt;"))))</f>
        <v/>
      </c>
      <c r="H201" s="43" t="str">
        <f>IF(OR($B201="",$A201&gt;$B$9,H$171=""),"",IF(COUNTIFS(BD!$B$3:$B$5001,H$171,BD!$A$3:$A$5001,"&gt;="&amp;$C$7,BD!$A$3:$A$5001,"&lt;="&amp;$B201,BD!$X$3:$X$5001,"&lt;&gt;")=0,"",SUMIFS(BD!$X$3:$X$5001,BD!$B$3:$B$5001,H$171,BD!$A$3:$A$5001,_xlfn.MAXIFS(BD!$A$3:$A$5001,BD!$B$3:$B$5001,H$171,BD!$A$3:$A$5001,"&gt;="&amp;$C$7,BD!$A$3:$A$5001,"&lt;="&amp;$B201,BD!$X$3:$X$5001,"&lt;&gt;"))))</f>
        <v/>
      </c>
      <c r="I201" s="43" t="str">
        <f>IF(OR($B201="",$A201&gt;$B$9,I$171=""),"",IF(COUNTIFS(BD!$B$3:$B$5001,I$171,BD!$A$3:$A$5001,"&gt;="&amp;$C$7,BD!$A$3:$A$5001,"&lt;="&amp;$B201,BD!$X$3:$X$5001,"&lt;&gt;")=0,"",SUMIFS(BD!$X$3:$X$5001,BD!$B$3:$B$5001,I$171,BD!$A$3:$A$5001,_xlfn.MAXIFS(BD!$A$3:$A$5001,BD!$B$3:$B$5001,I$171,BD!$A$3:$A$5001,"&gt;="&amp;$C$7,BD!$A$3:$A$5001,"&lt;="&amp;$B201,BD!$X$3:$X$5001,"&lt;&gt;"))))</f>
        <v/>
      </c>
      <c r="J201" s="43" t="str">
        <f>IF(OR($B201="",$A201&gt;$B$9,J$171=""),"",IF(COUNTIFS(BD!$B$3:$B$5001,J$171,BD!$A$3:$A$5001,"&gt;="&amp;$C$7,BD!$A$3:$A$5001,"&lt;="&amp;$B201,BD!$X$3:$X$5001,"&lt;&gt;")=0,"",SUMIFS(BD!$X$3:$X$5001,BD!$B$3:$B$5001,J$171,BD!$A$3:$A$5001,_xlfn.MAXIFS(BD!$A$3:$A$5001,BD!$B$3:$B$5001,J$171,BD!$A$3:$A$5001,"&gt;="&amp;$C$7,BD!$A$3:$A$5001,"&lt;="&amp;$B201,BD!$X$3:$X$5001,"&lt;&gt;"))))</f>
        <v/>
      </c>
      <c r="K201" s="43" t="str">
        <f>IF(OR($B201="",$A201&gt;$B$9,K$171=""),"",IF(COUNTIFS(BD!$B$3:$B$5001,K$171,BD!$A$3:$A$5001,"&gt;="&amp;$C$7,BD!$A$3:$A$5001,"&lt;="&amp;$B201,BD!$X$3:$X$5001,"&lt;&gt;")=0,"",SUMIFS(BD!$X$3:$X$5001,BD!$B$3:$B$5001,K$171,BD!$A$3:$A$5001,_xlfn.MAXIFS(BD!$A$3:$A$5001,BD!$B$3:$B$5001,K$171,BD!$A$3:$A$5001,"&gt;="&amp;$C$7,BD!$A$3:$A$5001,"&lt;="&amp;$B201,BD!$X$3:$X$5001,"&lt;&gt;"))))</f>
        <v/>
      </c>
      <c r="L201" s="43" t="str">
        <f>IF(OR($B201="",$A201&gt;$B$9,L$171=""),"",IF(COUNTIFS(BD!$B$3:$B$5001,L$171,BD!$A$3:$A$5001,"&gt;="&amp;$C$7,BD!$A$3:$A$5001,"&lt;="&amp;$B201,BD!$X$3:$X$5001,"&lt;&gt;")=0,"",SUMIFS(BD!$X$3:$X$5001,BD!$B$3:$B$5001,L$171,BD!$A$3:$A$5001,_xlfn.MAXIFS(BD!$A$3:$A$5001,BD!$B$3:$B$5001,L$171,BD!$A$3:$A$5001,"&gt;="&amp;$C$7,BD!$A$3:$A$5001,"&lt;="&amp;$B201,BD!$X$3:$X$5001,"&lt;&gt;"))))</f>
        <v/>
      </c>
      <c r="M201" s="43" t="str">
        <f>IF(OR($B201="",$A201&gt;$B$9,M$171=""),"",IF(COUNTIFS(BD!$B$3:$B$5001,M$171,BD!$A$3:$A$5001,"&gt;="&amp;$C$7,BD!$A$3:$A$5001,"&lt;="&amp;$B201,BD!$X$3:$X$5001,"&lt;&gt;")=0,"",SUMIFS(BD!$X$3:$X$5001,BD!$B$3:$B$5001,M$171,BD!$A$3:$A$5001,_xlfn.MAXIFS(BD!$A$3:$A$5001,BD!$B$3:$B$5001,M$171,BD!$A$3:$A$5001,"&gt;="&amp;$C$7,BD!$A$3:$A$5001,"&lt;="&amp;$B201,BD!$X$3:$X$5001,"&lt;&gt;"))))</f>
        <v/>
      </c>
      <c r="N201" s="43" t="str">
        <f>IF(OR($B201="",$A201&gt;$B$9,N$171=""),"",IF(COUNTIFS(BD!$B$3:$B$5001,N$171,BD!$A$3:$A$5001,"&gt;="&amp;$C$7,BD!$A$3:$A$5001,"&lt;="&amp;$B201,BD!$X$3:$X$5001,"&lt;&gt;")=0,"",SUMIFS(BD!$X$3:$X$5001,BD!$B$3:$B$5001,N$171,BD!$A$3:$A$5001,_xlfn.MAXIFS(BD!$A$3:$A$5001,BD!$B$3:$B$5001,N$171,BD!$A$3:$A$5001,"&gt;="&amp;$C$7,BD!$A$3:$A$5001,"&lt;="&amp;$B201,BD!$X$3:$X$5001,"&lt;&gt;"))))</f>
        <v/>
      </c>
      <c r="O201" s="43" t="str">
        <f>IF(OR($B201="",$A201&gt;$B$9,O$171=""),"",IF(COUNTIFS(BD!$B$3:$B$5001,O$171,BD!$A$3:$A$5001,"&gt;="&amp;$C$7,BD!$A$3:$A$5001,"&lt;="&amp;$B201,BD!$X$3:$X$5001,"&lt;&gt;")=0,"",SUMIFS(BD!$X$3:$X$5001,BD!$B$3:$B$5001,O$171,BD!$A$3:$A$5001,_xlfn.MAXIFS(BD!$A$3:$A$5001,BD!$B$3:$B$5001,O$171,BD!$A$3:$A$5001,"&gt;="&amp;$C$7,BD!$A$3:$A$5001,"&lt;="&amp;$B201,BD!$X$3:$X$5001,"&lt;&gt;"))))</f>
        <v/>
      </c>
      <c r="P201" s="43" t="str">
        <f>IF(OR($B201="",$A201&gt;$B$9,P$171=""),"",IF(COUNTIFS(BD!$B$3:$B$5001,P$171,BD!$A$3:$A$5001,"&gt;="&amp;$C$7,BD!$A$3:$A$5001,"&lt;="&amp;$B201,BD!$X$3:$X$5001,"&lt;&gt;")=0,"",SUMIFS(BD!$X$3:$X$5001,BD!$B$3:$B$5001,P$171,BD!$A$3:$A$5001,_xlfn.MAXIFS(BD!$A$3:$A$5001,BD!$B$3:$B$5001,P$171,BD!$A$3:$A$5001,"&gt;="&amp;$C$7,BD!$A$3:$A$5001,"&lt;="&amp;$B201,BD!$X$3:$X$5001,"&lt;&gt;"))))</f>
        <v/>
      </c>
      <c r="Q201" s="43" t="str">
        <f>IF(OR($B201="",$A201&gt;$B$9,Q$171=""),"",IF(COUNTIFS(BD!$B$3:$B$5001,Q$171,BD!$A$3:$A$5001,"&gt;="&amp;$C$7,BD!$A$3:$A$5001,"&lt;="&amp;$B201,BD!$X$3:$X$5001,"&lt;&gt;")=0,"",SUMIFS(BD!$X$3:$X$5001,BD!$B$3:$B$5001,Q$171,BD!$A$3:$A$5001,_xlfn.MAXIFS(BD!$A$3:$A$5001,BD!$B$3:$B$5001,Q$171,BD!$A$3:$A$5001,"&gt;="&amp;$C$7,BD!$A$3:$A$5001,"&lt;="&amp;$B201,BD!$X$3:$X$5001,"&lt;&gt;"))))</f>
        <v/>
      </c>
      <c r="R201" s="43" t="str">
        <f>IF(OR($B201="",$A201&gt;$B$9,R$171=""),"",IF(COUNTIFS(BD!$B$3:$B$5001,R$171,BD!$A$3:$A$5001,"&gt;="&amp;$C$7,BD!$A$3:$A$5001,"&lt;="&amp;$B201,BD!$X$3:$X$5001,"&lt;&gt;")=0,"",SUMIFS(BD!$X$3:$X$5001,BD!$B$3:$B$5001,R$171,BD!$A$3:$A$5001,_xlfn.MAXIFS(BD!$A$3:$A$5001,BD!$B$3:$B$5001,R$171,BD!$A$3:$A$5001,"&gt;="&amp;$C$7,BD!$A$3:$A$5001,"&lt;="&amp;$B201,BD!$X$3:$X$5001,"&lt;&gt;"))))</f>
        <v/>
      </c>
      <c r="S201" s="43" t="str">
        <f>IF(OR($B201="",$A201&gt;$B$9,S$171=""),"",IF(COUNTIFS(BD!$B$3:$B$5001,S$171,BD!$A$3:$A$5001,"&gt;="&amp;$C$7,BD!$A$3:$A$5001,"&lt;="&amp;$B201,BD!$X$3:$X$5001,"&lt;&gt;")=0,"",SUMIFS(BD!$X$3:$X$5001,BD!$B$3:$B$5001,S$171,BD!$A$3:$A$5001,_xlfn.MAXIFS(BD!$A$3:$A$5001,BD!$B$3:$B$5001,S$171,BD!$A$3:$A$5001,"&gt;="&amp;$C$7,BD!$A$3:$A$5001,"&lt;="&amp;$B201,BD!$X$3:$X$5001,"&lt;&gt;"))))</f>
        <v/>
      </c>
      <c r="T201" s="43" t="str">
        <f>IF(OR($B201="",$A201&gt;$B$9,T$171=""),"",IF(COUNTIFS(BD!$B$3:$B$5001,T$171,BD!$A$3:$A$5001,"&gt;="&amp;$C$7,BD!$A$3:$A$5001,"&lt;="&amp;$B201,BD!$X$3:$X$5001,"&lt;&gt;")=0,"",SUMIFS(BD!$X$3:$X$5001,BD!$B$3:$B$5001,T$171,BD!$A$3:$A$5001,_xlfn.MAXIFS(BD!$A$3:$A$5001,BD!$B$3:$B$5001,T$171,BD!$A$3:$A$5001,"&gt;="&amp;$C$7,BD!$A$3:$A$5001,"&lt;="&amp;$B201,BD!$X$3:$X$5001,"&lt;&gt;"))))</f>
        <v/>
      </c>
      <c r="U201" s="43" t="str">
        <f>IF(OR($B201="",$A201&gt;$B$9,U$171=""),"",IF(COUNTIFS(BD!$B$3:$B$5001,U$171,BD!$A$3:$A$5001,"&gt;="&amp;$C$7,BD!$A$3:$A$5001,"&lt;="&amp;$B201,BD!$X$3:$X$5001,"&lt;&gt;")=0,"",SUMIFS(BD!$X$3:$X$5001,BD!$B$3:$B$5001,U$171,BD!$A$3:$A$5001,_xlfn.MAXIFS(BD!$A$3:$A$5001,BD!$B$3:$B$5001,U$171,BD!$A$3:$A$5001,"&gt;="&amp;$C$7,BD!$A$3:$A$5001,"&lt;="&amp;$B201,BD!$X$3:$X$5001,"&lt;&gt;"))))</f>
        <v/>
      </c>
      <c r="V201" s="43" t="str">
        <f>IF(OR($B201="",$A201&gt;$B$9,V$171=""),"",IF(COUNTIFS(BD!$B$3:$B$5001,V$171,BD!$A$3:$A$5001,"&gt;="&amp;$C$7,BD!$A$3:$A$5001,"&lt;="&amp;$B201,BD!$X$3:$X$5001,"&lt;&gt;")=0,"",SUMIFS(BD!$X$3:$X$5001,BD!$B$3:$B$5001,V$171,BD!$A$3:$A$5001,_xlfn.MAXIFS(BD!$A$3:$A$5001,BD!$B$3:$B$5001,V$171,BD!$A$3:$A$5001,"&gt;="&amp;$C$7,BD!$A$3:$A$5001,"&lt;="&amp;$B201,BD!$X$3:$X$5001,"&lt;&gt;"))))</f>
        <v/>
      </c>
    </row>
    <row r="202">
      <c r="A202" s="38">
        <v>31</v>
      </c>
      <c r="B202" s="42">
        <f>$B$42</f>
        <v>46326</v>
      </c>
      <c r="C202" s="43" t="str">
        <f>IF(OR($B202="",$A202&gt;$B$9,C$171=""),"",IF(COUNTIFS(BD!$B$3:$B$5001,C$171,BD!$A$3:$A$5001,"&gt;="&amp;$C$7,BD!$A$3:$A$5001,"&lt;="&amp;$B202,BD!$X$3:$X$5001,"&lt;&gt;")=0,"",SUMIFS(BD!$X$3:$X$5001,BD!$B$3:$B$5001,C$171,BD!$A$3:$A$5001,_xlfn.MAXIFS(BD!$A$3:$A$5001,BD!$B$3:$B$5001,C$171,BD!$A$3:$A$5001,"&gt;="&amp;$C$7,BD!$A$3:$A$5001,"&lt;="&amp;$B202,BD!$X$3:$X$5001,"&lt;&gt;"))))</f>
        <v/>
      </c>
      <c r="D202" s="43" t="str">
        <f>IF(OR($B202="",$A202&gt;$B$9,D$171=""),"",IF(COUNTIFS(BD!$B$3:$B$5001,D$171,BD!$A$3:$A$5001,"&gt;="&amp;$C$7,BD!$A$3:$A$5001,"&lt;="&amp;$B202,BD!$X$3:$X$5001,"&lt;&gt;")=0,"",SUMIFS(BD!$X$3:$X$5001,BD!$B$3:$B$5001,D$171,BD!$A$3:$A$5001,_xlfn.MAXIFS(BD!$A$3:$A$5001,BD!$B$3:$B$5001,D$171,BD!$A$3:$A$5001,"&gt;="&amp;$C$7,BD!$A$3:$A$5001,"&lt;="&amp;$B202,BD!$X$3:$X$5001,"&lt;&gt;"))))</f>
        <v/>
      </c>
      <c r="E202" s="43" t="str">
        <f>IF(OR($B202="",$A202&gt;$B$9,E$171=""),"",IF(COUNTIFS(BD!$B$3:$B$5001,E$171,BD!$A$3:$A$5001,"&gt;="&amp;$C$7,BD!$A$3:$A$5001,"&lt;="&amp;$B202,BD!$X$3:$X$5001,"&lt;&gt;")=0,"",SUMIFS(BD!$X$3:$X$5001,BD!$B$3:$B$5001,E$171,BD!$A$3:$A$5001,_xlfn.MAXIFS(BD!$A$3:$A$5001,BD!$B$3:$B$5001,E$171,BD!$A$3:$A$5001,"&gt;="&amp;$C$7,BD!$A$3:$A$5001,"&lt;="&amp;$B202,BD!$X$3:$X$5001,"&lt;&gt;"))))</f>
        <v/>
      </c>
      <c r="F202" s="43" t="str">
        <f>IF(OR($B202="",$A202&gt;$B$9,F$171=""),"",IF(COUNTIFS(BD!$B$3:$B$5001,F$171,BD!$A$3:$A$5001,"&gt;="&amp;$C$7,BD!$A$3:$A$5001,"&lt;="&amp;$B202,BD!$X$3:$X$5001,"&lt;&gt;")=0,"",SUMIFS(BD!$X$3:$X$5001,BD!$B$3:$B$5001,F$171,BD!$A$3:$A$5001,_xlfn.MAXIFS(BD!$A$3:$A$5001,BD!$B$3:$B$5001,F$171,BD!$A$3:$A$5001,"&gt;="&amp;$C$7,BD!$A$3:$A$5001,"&lt;="&amp;$B202,BD!$X$3:$X$5001,"&lt;&gt;"))))</f>
        <v/>
      </c>
      <c r="G202" s="43" t="str">
        <f>IF(OR($B202="",$A202&gt;$B$9,G$171=""),"",IF(COUNTIFS(BD!$B$3:$B$5001,G$171,BD!$A$3:$A$5001,"&gt;="&amp;$C$7,BD!$A$3:$A$5001,"&lt;="&amp;$B202,BD!$X$3:$X$5001,"&lt;&gt;")=0,"",SUMIFS(BD!$X$3:$X$5001,BD!$B$3:$B$5001,G$171,BD!$A$3:$A$5001,_xlfn.MAXIFS(BD!$A$3:$A$5001,BD!$B$3:$B$5001,G$171,BD!$A$3:$A$5001,"&gt;="&amp;$C$7,BD!$A$3:$A$5001,"&lt;="&amp;$B202,BD!$X$3:$X$5001,"&lt;&gt;"))))</f>
        <v/>
      </c>
      <c r="H202" s="43" t="str">
        <f>IF(OR($B202="",$A202&gt;$B$9,H$171=""),"",IF(COUNTIFS(BD!$B$3:$B$5001,H$171,BD!$A$3:$A$5001,"&gt;="&amp;$C$7,BD!$A$3:$A$5001,"&lt;="&amp;$B202,BD!$X$3:$X$5001,"&lt;&gt;")=0,"",SUMIFS(BD!$X$3:$X$5001,BD!$B$3:$B$5001,H$171,BD!$A$3:$A$5001,_xlfn.MAXIFS(BD!$A$3:$A$5001,BD!$B$3:$B$5001,H$171,BD!$A$3:$A$5001,"&gt;="&amp;$C$7,BD!$A$3:$A$5001,"&lt;="&amp;$B202,BD!$X$3:$X$5001,"&lt;&gt;"))))</f>
        <v/>
      </c>
      <c r="I202" s="43" t="str">
        <f>IF(OR($B202="",$A202&gt;$B$9,I$171=""),"",IF(COUNTIFS(BD!$B$3:$B$5001,I$171,BD!$A$3:$A$5001,"&gt;="&amp;$C$7,BD!$A$3:$A$5001,"&lt;="&amp;$B202,BD!$X$3:$X$5001,"&lt;&gt;")=0,"",SUMIFS(BD!$X$3:$X$5001,BD!$B$3:$B$5001,I$171,BD!$A$3:$A$5001,_xlfn.MAXIFS(BD!$A$3:$A$5001,BD!$B$3:$B$5001,I$171,BD!$A$3:$A$5001,"&gt;="&amp;$C$7,BD!$A$3:$A$5001,"&lt;="&amp;$B202,BD!$X$3:$X$5001,"&lt;&gt;"))))</f>
        <v/>
      </c>
      <c r="J202" s="43" t="str">
        <f>IF(OR($B202="",$A202&gt;$B$9,J$171=""),"",IF(COUNTIFS(BD!$B$3:$B$5001,J$171,BD!$A$3:$A$5001,"&gt;="&amp;$C$7,BD!$A$3:$A$5001,"&lt;="&amp;$B202,BD!$X$3:$X$5001,"&lt;&gt;")=0,"",SUMIFS(BD!$X$3:$X$5001,BD!$B$3:$B$5001,J$171,BD!$A$3:$A$5001,_xlfn.MAXIFS(BD!$A$3:$A$5001,BD!$B$3:$B$5001,J$171,BD!$A$3:$A$5001,"&gt;="&amp;$C$7,BD!$A$3:$A$5001,"&lt;="&amp;$B202,BD!$X$3:$X$5001,"&lt;&gt;"))))</f>
        <v/>
      </c>
      <c r="K202" s="43" t="str">
        <f>IF(OR($B202="",$A202&gt;$B$9,K$171=""),"",IF(COUNTIFS(BD!$B$3:$B$5001,K$171,BD!$A$3:$A$5001,"&gt;="&amp;$C$7,BD!$A$3:$A$5001,"&lt;="&amp;$B202,BD!$X$3:$X$5001,"&lt;&gt;")=0,"",SUMIFS(BD!$X$3:$X$5001,BD!$B$3:$B$5001,K$171,BD!$A$3:$A$5001,_xlfn.MAXIFS(BD!$A$3:$A$5001,BD!$B$3:$B$5001,K$171,BD!$A$3:$A$5001,"&gt;="&amp;$C$7,BD!$A$3:$A$5001,"&lt;="&amp;$B202,BD!$X$3:$X$5001,"&lt;&gt;"))))</f>
        <v/>
      </c>
      <c r="L202" s="43" t="str">
        <f>IF(OR($B202="",$A202&gt;$B$9,L$171=""),"",IF(COUNTIFS(BD!$B$3:$B$5001,L$171,BD!$A$3:$A$5001,"&gt;="&amp;$C$7,BD!$A$3:$A$5001,"&lt;="&amp;$B202,BD!$X$3:$X$5001,"&lt;&gt;")=0,"",SUMIFS(BD!$X$3:$X$5001,BD!$B$3:$B$5001,L$171,BD!$A$3:$A$5001,_xlfn.MAXIFS(BD!$A$3:$A$5001,BD!$B$3:$B$5001,L$171,BD!$A$3:$A$5001,"&gt;="&amp;$C$7,BD!$A$3:$A$5001,"&lt;="&amp;$B202,BD!$X$3:$X$5001,"&lt;&gt;"))))</f>
        <v/>
      </c>
      <c r="M202" s="43" t="str">
        <f>IF(OR($B202="",$A202&gt;$B$9,M$171=""),"",IF(COUNTIFS(BD!$B$3:$B$5001,M$171,BD!$A$3:$A$5001,"&gt;="&amp;$C$7,BD!$A$3:$A$5001,"&lt;="&amp;$B202,BD!$X$3:$X$5001,"&lt;&gt;")=0,"",SUMIFS(BD!$X$3:$X$5001,BD!$B$3:$B$5001,M$171,BD!$A$3:$A$5001,_xlfn.MAXIFS(BD!$A$3:$A$5001,BD!$B$3:$B$5001,M$171,BD!$A$3:$A$5001,"&gt;="&amp;$C$7,BD!$A$3:$A$5001,"&lt;="&amp;$B202,BD!$X$3:$X$5001,"&lt;&gt;"))))</f>
        <v/>
      </c>
      <c r="N202" s="43" t="str">
        <f>IF(OR($B202="",$A202&gt;$B$9,N$171=""),"",IF(COUNTIFS(BD!$B$3:$B$5001,N$171,BD!$A$3:$A$5001,"&gt;="&amp;$C$7,BD!$A$3:$A$5001,"&lt;="&amp;$B202,BD!$X$3:$X$5001,"&lt;&gt;")=0,"",SUMIFS(BD!$X$3:$X$5001,BD!$B$3:$B$5001,N$171,BD!$A$3:$A$5001,_xlfn.MAXIFS(BD!$A$3:$A$5001,BD!$B$3:$B$5001,N$171,BD!$A$3:$A$5001,"&gt;="&amp;$C$7,BD!$A$3:$A$5001,"&lt;="&amp;$B202,BD!$X$3:$X$5001,"&lt;&gt;"))))</f>
        <v/>
      </c>
      <c r="O202" s="43" t="str">
        <f>IF(OR($B202="",$A202&gt;$B$9,O$171=""),"",IF(COUNTIFS(BD!$B$3:$B$5001,O$171,BD!$A$3:$A$5001,"&gt;="&amp;$C$7,BD!$A$3:$A$5001,"&lt;="&amp;$B202,BD!$X$3:$X$5001,"&lt;&gt;")=0,"",SUMIFS(BD!$X$3:$X$5001,BD!$B$3:$B$5001,O$171,BD!$A$3:$A$5001,_xlfn.MAXIFS(BD!$A$3:$A$5001,BD!$B$3:$B$5001,O$171,BD!$A$3:$A$5001,"&gt;="&amp;$C$7,BD!$A$3:$A$5001,"&lt;="&amp;$B202,BD!$X$3:$X$5001,"&lt;&gt;"))))</f>
        <v/>
      </c>
      <c r="P202" s="43" t="str">
        <f>IF(OR($B202="",$A202&gt;$B$9,P$171=""),"",IF(COUNTIFS(BD!$B$3:$B$5001,P$171,BD!$A$3:$A$5001,"&gt;="&amp;$C$7,BD!$A$3:$A$5001,"&lt;="&amp;$B202,BD!$X$3:$X$5001,"&lt;&gt;")=0,"",SUMIFS(BD!$X$3:$X$5001,BD!$B$3:$B$5001,P$171,BD!$A$3:$A$5001,_xlfn.MAXIFS(BD!$A$3:$A$5001,BD!$B$3:$B$5001,P$171,BD!$A$3:$A$5001,"&gt;="&amp;$C$7,BD!$A$3:$A$5001,"&lt;="&amp;$B202,BD!$X$3:$X$5001,"&lt;&gt;"))))</f>
        <v/>
      </c>
      <c r="Q202" s="43" t="str">
        <f>IF(OR($B202="",$A202&gt;$B$9,Q$171=""),"",IF(COUNTIFS(BD!$B$3:$B$5001,Q$171,BD!$A$3:$A$5001,"&gt;="&amp;$C$7,BD!$A$3:$A$5001,"&lt;="&amp;$B202,BD!$X$3:$X$5001,"&lt;&gt;")=0,"",SUMIFS(BD!$X$3:$X$5001,BD!$B$3:$B$5001,Q$171,BD!$A$3:$A$5001,_xlfn.MAXIFS(BD!$A$3:$A$5001,BD!$B$3:$B$5001,Q$171,BD!$A$3:$A$5001,"&gt;="&amp;$C$7,BD!$A$3:$A$5001,"&lt;="&amp;$B202,BD!$X$3:$X$5001,"&lt;&gt;"))))</f>
        <v/>
      </c>
      <c r="R202" s="43" t="str">
        <f>IF(OR($B202="",$A202&gt;$B$9,R$171=""),"",IF(COUNTIFS(BD!$B$3:$B$5001,R$171,BD!$A$3:$A$5001,"&gt;="&amp;$C$7,BD!$A$3:$A$5001,"&lt;="&amp;$B202,BD!$X$3:$X$5001,"&lt;&gt;")=0,"",SUMIFS(BD!$X$3:$X$5001,BD!$B$3:$B$5001,R$171,BD!$A$3:$A$5001,_xlfn.MAXIFS(BD!$A$3:$A$5001,BD!$B$3:$B$5001,R$171,BD!$A$3:$A$5001,"&gt;="&amp;$C$7,BD!$A$3:$A$5001,"&lt;="&amp;$B202,BD!$X$3:$X$5001,"&lt;&gt;"))))</f>
        <v/>
      </c>
      <c r="S202" s="43" t="str">
        <f>IF(OR($B202="",$A202&gt;$B$9,S$171=""),"",IF(COUNTIFS(BD!$B$3:$B$5001,S$171,BD!$A$3:$A$5001,"&gt;="&amp;$C$7,BD!$A$3:$A$5001,"&lt;="&amp;$B202,BD!$X$3:$X$5001,"&lt;&gt;")=0,"",SUMIFS(BD!$X$3:$X$5001,BD!$B$3:$B$5001,S$171,BD!$A$3:$A$5001,_xlfn.MAXIFS(BD!$A$3:$A$5001,BD!$B$3:$B$5001,S$171,BD!$A$3:$A$5001,"&gt;="&amp;$C$7,BD!$A$3:$A$5001,"&lt;="&amp;$B202,BD!$X$3:$X$5001,"&lt;&gt;"))))</f>
        <v/>
      </c>
      <c r="T202" s="43" t="str">
        <f>IF(OR($B202="",$A202&gt;$B$9,T$171=""),"",IF(COUNTIFS(BD!$B$3:$B$5001,T$171,BD!$A$3:$A$5001,"&gt;="&amp;$C$7,BD!$A$3:$A$5001,"&lt;="&amp;$B202,BD!$X$3:$X$5001,"&lt;&gt;")=0,"",SUMIFS(BD!$X$3:$X$5001,BD!$B$3:$B$5001,T$171,BD!$A$3:$A$5001,_xlfn.MAXIFS(BD!$A$3:$A$5001,BD!$B$3:$B$5001,T$171,BD!$A$3:$A$5001,"&gt;="&amp;$C$7,BD!$A$3:$A$5001,"&lt;="&amp;$B202,BD!$X$3:$X$5001,"&lt;&gt;"))))</f>
        <v/>
      </c>
      <c r="U202" s="43" t="str">
        <f>IF(OR($B202="",$A202&gt;$B$9,U$171=""),"",IF(COUNTIFS(BD!$B$3:$B$5001,U$171,BD!$A$3:$A$5001,"&gt;="&amp;$C$7,BD!$A$3:$A$5001,"&lt;="&amp;$B202,BD!$X$3:$X$5001,"&lt;&gt;")=0,"",SUMIFS(BD!$X$3:$X$5001,BD!$B$3:$B$5001,U$171,BD!$A$3:$A$5001,_xlfn.MAXIFS(BD!$A$3:$A$5001,BD!$B$3:$B$5001,U$171,BD!$A$3:$A$5001,"&gt;="&amp;$C$7,BD!$A$3:$A$5001,"&lt;="&amp;$B202,BD!$X$3:$X$5001,"&lt;&gt;"))))</f>
        <v/>
      </c>
      <c r="V202" s="43" t="str">
        <f>IF(OR($B202="",$A202&gt;$B$9,V$171=""),"",IF(COUNTIFS(BD!$B$3:$B$5001,V$171,BD!$A$3:$A$5001,"&gt;="&amp;$C$7,BD!$A$3:$A$5001,"&lt;="&amp;$B202,BD!$X$3:$X$5001,"&lt;&gt;")=0,"",SUMIFS(BD!$X$3:$X$5001,BD!$B$3:$B$5001,V$171,BD!$A$3:$A$5001,_xlfn.MAXIFS(BD!$A$3:$A$5001,BD!$B$3:$B$5001,V$171,BD!$A$3:$A$5001,"&gt;="&amp;$C$7,BD!$A$3:$A$5001,"&lt;="&amp;$B202,BD!$X$3:$X$5001,"&lt;&gt;"))))</f>
        <v/>
      </c>
    </row>
    <row r="203">
      <c r="A203" s="44" t="inlineStr">
        <is>
          <t xml:space="preserve">Mês anterior (último)</t>
        </is>
      </c>
      <c r="C203" s="45" t="str">
        <f>IF(C$171="","",IF(COUNTIFS(BD!$B$3:$B$5001,C$171,BD!$A$3:$A$5001,"&gt;="&amp;$C$8,BD!$A$3:$A$5001,"&lt;="&amp;$D$8,BD!$X$3:$X$5001,"&lt;&gt;")=0,"",SUMIFS(BD!$X$3:$X$5001,BD!$B$3:$B$5001,C$171,BD!$A$3:$A$5001,_xlfn.MAXIFS(BD!$A$3:$A$5001,BD!$B$3:$B$5001,C$171,BD!$A$3:$A$5001,"&gt;="&amp;$C$8,BD!$A$3:$A$5001,"&lt;="&amp;$D$8,BD!$X$3:$X$5001,"&lt;&gt;"))))</f>
        <v/>
      </c>
      <c r="D203" s="45" t="str">
        <f>IF(D$171="","",IF(COUNTIFS(BD!$B$3:$B$5001,D$171,BD!$A$3:$A$5001,"&gt;="&amp;$C$8,BD!$A$3:$A$5001,"&lt;="&amp;$D$8,BD!$X$3:$X$5001,"&lt;&gt;")=0,"",SUMIFS(BD!$X$3:$X$5001,BD!$B$3:$B$5001,D$171,BD!$A$3:$A$5001,_xlfn.MAXIFS(BD!$A$3:$A$5001,BD!$B$3:$B$5001,D$171,BD!$A$3:$A$5001,"&gt;="&amp;$C$8,BD!$A$3:$A$5001,"&lt;="&amp;$D$8,BD!$X$3:$X$5001,"&lt;&gt;"))))</f>
        <v/>
      </c>
      <c r="E203" s="45" t="str">
        <f>IF(E$171="","",IF(COUNTIFS(BD!$B$3:$B$5001,E$171,BD!$A$3:$A$5001,"&gt;="&amp;$C$8,BD!$A$3:$A$5001,"&lt;="&amp;$D$8,BD!$X$3:$X$5001,"&lt;&gt;")=0,"",SUMIFS(BD!$X$3:$X$5001,BD!$B$3:$B$5001,E$171,BD!$A$3:$A$5001,_xlfn.MAXIFS(BD!$A$3:$A$5001,BD!$B$3:$B$5001,E$171,BD!$A$3:$A$5001,"&gt;="&amp;$C$8,BD!$A$3:$A$5001,"&lt;="&amp;$D$8,BD!$X$3:$X$5001,"&lt;&gt;"))))</f>
        <v/>
      </c>
      <c r="F203" s="45" t="str">
        <f>IF(F$171="","",IF(COUNTIFS(BD!$B$3:$B$5001,F$171,BD!$A$3:$A$5001,"&gt;="&amp;$C$8,BD!$A$3:$A$5001,"&lt;="&amp;$D$8,BD!$X$3:$X$5001,"&lt;&gt;")=0,"",SUMIFS(BD!$X$3:$X$5001,BD!$B$3:$B$5001,F$171,BD!$A$3:$A$5001,_xlfn.MAXIFS(BD!$A$3:$A$5001,BD!$B$3:$B$5001,F$171,BD!$A$3:$A$5001,"&gt;="&amp;$C$8,BD!$A$3:$A$5001,"&lt;="&amp;$D$8,BD!$X$3:$X$5001,"&lt;&gt;"))))</f>
        <v/>
      </c>
      <c r="G203" s="45" t="str">
        <f>IF(G$171="","",IF(COUNTIFS(BD!$B$3:$B$5001,G$171,BD!$A$3:$A$5001,"&gt;="&amp;$C$8,BD!$A$3:$A$5001,"&lt;="&amp;$D$8,BD!$X$3:$X$5001,"&lt;&gt;")=0,"",SUMIFS(BD!$X$3:$X$5001,BD!$B$3:$B$5001,G$171,BD!$A$3:$A$5001,_xlfn.MAXIFS(BD!$A$3:$A$5001,BD!$B$3:$B$5001,G$171,BD!$A$3:$A$5001,"&gt;="&amp;$C$8,BD!$A$3:$A$5001,"&lt;="&amp;$D$8,BD!$X$3:$X$5001,"&lt;&gt;"))))</f>
        <v/>
      </c>
      <c r="H203" s="45" t="str">
        <f>IF(H$171="","",IF(COUNTIFS(BD!$B$3:$B$5001,H$171,BD!$A$3:$A$5001,"&gt;="&amp;$C$8,BD!$A$3:$A$5001,"&lt;="&amp;$D$8,BD!$X$3:$X$5001,"&lt;&gt;")=0,"",SUMIFS(BD!$X$3:$X$5001,BD!$B$3:$B$5001,H$171,BD!$A$3:$A$5001,_xlfn.MAXIFS(BD!$A$3:$A$5001,BD!$B$3:$B$5001,H$171,BD!$A$3:$A$5001,"&gt;="&amp;$C$8,BD!$A$3:$A$5001,"&lt;="&amp;$D$8,BD!$X$3:$X$5001,"&lt;&gt;"))))</f>
        <v/>
      </c>
      <c r="I203" s="45" t="str">
        <f>IF(I$171="","",IF(COUNTIFS(BD!$B$3:$B$5001,I$171,BD!$A$3:$A$5001,"&gt;="&amp;$C$8,BD!$A$3:$A$5001,"&lt;="&amp;$D$8,BD!$X$3:$X$5001,"&lt;&gt;")=0,"",SUMIFS(BD!$X$3:$X$5001,BD!$B$3:$B$5001,I$171,BD!$A$3:$A$5001,_xlfn.MAXIFS(BD!$A$3:$A$5001,BD!$B$3:$B$5001,I$171,BD!$A$3:$A$5001,"&gt;="&amp;$C$8,BD!$A$3:$A$5001,"&lt;="&amp;$D$8,BD!$X$3:$X$5001,"&lt;&gt;"))))</f>
        <v/>
      </c>
      <c r="J203" s="45" t="str">
        <f>IF(J$171="","",IF(COUNTIFS(BD!$B$3:$B$5001,J$171,BD!$A$3:$A$5001,"&gt;="&amp;$C$8,BD!$A$3:$A$5001,"&lt;="&amp;$D$8,BD!$X$3:$X$5001,"&lt;&gt;")=0,"",SUMIFS(BD!$X$3:$X$5001,BD!$B$3:$B$5001,J$171,BD!$A$3:$A$5001,_xlfn.MAXIFS(BD!$A$3:$A$5001,BD!$B$3:$B$5001,J$171,BD!$A$3:$A$5001,"&gt;="&amp;$C$8,BD!$A$3:$A$5001,"&lt;="&amp;$D$8,BD!$X$3:$X$5001,"&lt;&gt;"))))</f>
        <v/>
      </c>
      <c r="K203" s="45" t="str">
        <f>IF(K$171="","",IF(COUNTIFS(BD!$B$3:$B$5001,K$171,BD!$A$3:$A$5001,"&gt;="&amp;$C$8,BD!$A$3:$A$5001,"&lt;="&amp;$D$8,BD!$X$3:$X$5001,"&lt;&gt;")=0,"",SUMIFS(BD!$X$3:$X$5001,BD!$B$3:$B$5001,K$171,BD!$A$3:$A$5001,_xlfn.MAXIFS(BD!$A$3:$A$5001,BD!$B$3:$B$5001,K$171,BD!$A$3:$A$5001,"&gt;="&amp;$C$8,BD!$A$3:$A$5001,"&lt;="&amp;$D$8,BD!$X$3:$X$5001,"&lt;&gt;"))))</f>
        <v/>
      </c>
      <c r="L203" s="45" t="str">
        <f>IF(L$171="","",IF(COUNTIFS(BD!$B$3:$B$5001,L$171,BD!$A$3:$A$5001,"&gt;="&amp;$C$8,BD!$A$3:$A$5001,"&lt;="&amp;$D$8,BD!$X$3:$X$5001,"&lt;&gt;")=0,"",SUMIFS(BD!$X$3:$X$5001,BD!$B$3:$B$5001,L$171,BD!$A$3:$A$5001,_xlfn.MAXIFS(BD!$A$3:$A$5001,BD!$B$3:$B$5001,L$171,BD!$A$3:$A$5001,"&gt;="&amp;$C$8,BD!$A$3:$A$5001,"&lt;="&amp;$D$8,BD!$X$3:$X$5001,"&lt;&gt;"))))</f>
        <v/>
      </c>
      <c r="M203" s="45" t="str">
        <f>IF(M$171="","",IF(COUNTIFS(BD!$B$3:$B$5001,M$171,BD!$A$3:$A$5001,"&gt;="&amp;$C$8,BD!$A$3:$A$5001,"&lt;="&amp;$D$8,BD!$X$3:$X$5001,"&lt;&gt;")=0,"",SUMIFS(BD!$X$3:$X$5001,BD!$B$3:$B$5001,M$171,BD!$A$3:$A$5001,_xlfn.MAXIFS(BD!$A$3:$A$5001,BD!$B$3:$B$5001,M$171,BD!$A$3:$A$5001,"&gt;="&amp;$C$8,BD!$A$3:$A$5001,"&lt;="&amp;$D$8,BD!$X$3:$X$5001,"&lt;&gt;"))))</f>
        <v/>
      </c>
      <c r="N203" s="45" t="str">
        <f>IF(N$171="","",IF(COUNTIFS(BD!$B$3:$B$5001,N$171,BD!$A$3:$A$5001,"&gt;="&amp;$C$8,BD!$A$3:$A$5001,"&lt;="&amp;$D$8,BD!$X$3:$X$5001,"&lt;&gt;")=0,"",SUMIFS(BD!$X$3:$X$5001,BD!$B$3:$B$5001,N$171,BD!$A$3:$A$5001,_xlfn.MAXIFS(BD!$A$3:$A$5001,BD!$B$3:$B$5001,N$171,BD!$A$3:$A$5001,"&gt;="&amp;$C$8,BD!$A$3:$A$5001,"&lt;="&amp;$D$8,BD!$X$3:$X$5001,"&lt;&gt;"))))</f>
        <v/>
      </c>
      <c r="O203" s="45" t="str">
        <f>IF(O$171="","",IF(COUNTIFS(BD!$B$3:$B$5001,O$171,BD!$A$3:$A$5001,"&gt;="&amp;$C$8,BD!$A$3:$A$5001,"&lt;="&amp;$D$8,BD!$X$3:$X$5001,"&lt;&gt;")=0,"",SUMIFS(BD!$X$3:$X$5001,BD!$B$3:$B$5001,O$171,BD!$A$3:$A$5001,_xlfn.MAXIFS(BD!$A$3:$A$5001,BD!$B$3:$B$5001,O$171,BD!$A$3:$A$5001,"&gt;="&amp;$C$8,BD!$A$3:$A$5001,"&lt;="&amp;$D$8,BD!$X$3:$X$5001,"&lt;&gt;"))))</f>
        <v/>
      </c>
      <c r="P203" s="45" t="str">
        <f>IF(P$171="","",IF(COUNTIFS(BD!$B$3:$B$5001,P$171,BD!$A$3:$A$5001,"&gt;="&amp;$C$8,BD!$A$3:$A$5001,"&lt;="&amp;$D$8,BD!$X$3:$X$5001,"&lt;&gt;")=0,"",SUMIFS(BD!$X$3:$X$5001,BD!$B$3:$B$5001,P$171,BD!$A$3:$A$5001,_xlfn.MAXIFS(BD!$A$3:$A$5001,BD!$B$3:$B$5001,P$171,BD!$A$3:$A$5001,"&gt;="&amp;$C$8,BD!$A$3:$A$5001,"&lt;="&amp;$D$8,BD!$X$3:$X$5001,"&lt;&gt;"))))</f>
        <v/>
      </c>
      <c r="Q203" s="45" t="str">
        <f>IF(Q$171="","",IF(COUNTIFS(BD!$B$3:$B$5001,Q$171,BD!$A$3:$A$5001,"&gt;="&amp;$C$8,BD!$A$3:$A$5001,"&lt;="&amp;$D$8,BD!$X$3:$X$5001,"&lt;&gt;")=0,"",SUMIFS(BD!$X$3:$X$5001,BD!$B$3:$B$5001,Q$171,BD!$A$3:$A$5001,_xlfn.MAXIFS(BD!$A$3:$A$5001,BD!$B$3:$B$5001,Q$171,BD!$A$3:$A$5001,"&gt;="&amp;$C$8,BD!$A$3:$A$5001,"&lt;="&amp;$D$8,BD!$X$3:$X$5001,"&lt;&gt;"))))</f>
        <v/>
      </c>
      <c r="R203" s="45" t="str">
        <f>IF(R$171="","",IF(COUNTIFS(BD!$B$3:$B$5001,R$171,BD!$A$3:$A$5001,"&gt;="&amp;$C$8,BD!$A$3:$A$5001,"&lt;="&amp;$D$8,BD!$X$3:$X$5001,"&lt;&gt;")=0,"",SUMIFS(BD!$X$3:$X$5001,BD!$B$3:$B$5001,R$171,BD!$A$3:$A$5001,_xlfn.MAXIFS(BD!$A$3:$A$5001,BD!$B$3:$B$5001,R$171,BD!$A$3:$A$5001,"&gt;="&amp;$C$8,BD!$A$3:$A$5001,"&lt;="&amp;$D$8,BD!$X$3:$X$5001,"&lt;&gt;"))))</f>
        <v/>
      </c>
      <c r="S203" s="45" t="str">
        <f>IF(S$171="","",IF(COUNTIFS(BD!$B$3:$B$5001,S$171,BD!$A$3:$A$5001,"&gt;="&amp;$C$8,BD!$A$3:$A$5001,"&lt;="&amp;$D$8,BD!$X$3:$X$5001,"&lt;&gt;")=0,"",SUMIFS(BD!$X$3:$X$5001,BD!$B$3:$B$5001,S$171,BD!$A$3:$A$5001,_xlfn.MAXIFS(BD!$A$3:$A$5001,BD!$B$3:$B$5001,S$171,BD!$A$3:$A$5001,"&gt;="&amp;$C$8,BD!$A$3:$A$5001,"&lt;="&amp;$D$8,BD!$X$3:$X$5001,"&lt;&gt;"))))</f>
        <v/>
      </c>
      <c r="T203" s="45" t="str">
        <f>IF(T$171="","",IF(COUNTIFS(BD!$B$3:$B$5001,T$171,BD!$A$3:$A$5001,"&gt;="&amp;$C$8,BD!$A$3:$A$5001,"&lt;="&amp;$D$8,BD!$X$3:$X$5001,"&lt;&gt;")=0,"",SUMIFS(BD!$X$3:$X$5001,BD!$B$3:$B$5001,T$171,BD!$A$3:$A$5001,_xlfn.MAXIFS(BD!$A$3:$A$5001,BD!$B$3:$B$5001,T$171,BD!$A$3:$A$5001,"&gt;="&amp;$C$8,BD!$A$3:$A$5001,"&lt;="&amp;$D$8,BD!$X$3:$X$5001,"&lt;&gt;"))))</f>
        <v/>
      </c>
      <c r="U203" s="45" t="str">
        <f>IF(U$171="","",IF(COUNTIFS(BD!$B$3:$B$5001,U$171,BD!$A$3:$A$5001,"&gt;="&amp;$C$8,BD!$A$3:$A$5001,"&lt;="&amp;$D$8,BD!$X$3:$X$5001,"&lt;&gt;")=0,"",SUMIFS(BD!$X$3:$X$5001,BD!$B$3:$B$5001,U$171,BD!$A$3:$A$5001,_xlfn.MAXIFS(BD!$A$3:$A$5001,BD!$B$3:$B$5001,U$171,BD!$A$3:$A$5001,"&gt;="&amp;$C$8,BD!$A$3:$A$5001,"&lt;="&amp;$D$8,BD!$X$3:$X$5001,"&lt;&gt;"))))</f>
        <v/>
      </c>
      <c r="V203" s="45" t="str">
        <f>IF(V$171="","",IF(COUNTIFS(BD!$B$3:$B$5001,V$171,BD!$A$3:$A$5001,"&gt;="&amp;$C$8,BD!$A$3:$A$5001,"&lt;="&amp;$D$8,BD!$X$3:$X$5001,"&lt;&gt;")=0,"",SUMIFS(BD!$X$3:$X$5001,BD!$B$3:$B$5001,V$171,BD!$A$3:$A$5001,_xlfn.MAXIFS(BD!$A$3:$A$5001,BD!$B$3:$B$5001,V$171,BD!$A$3:$A$5001,"&gt;="&amp;$C$8,BD!$A$3:$A$5001,"&lt;="&amp;$D$8,BD!$X$3:$X$5001,"&lt;&gt;"))))</f>
        <v/>
      </c>
    </row>
    <row r="204">
      <c r="A204" s="44" t="inlineStr">
        <is>
          <t xml:space="preserve">Depósito</t>
        </is>
      </c>
      <c r="C204" s="38" t="str">
        <f>IF(Config!$C$10="","TPC",Config!$C$10)</f>
        <v>TPC</v>
      </c>
      <c r="D204" s="38" t="str">
        <f>IF(Config!$C$11="","TPC",Config!$C$11)</f>
        <v>TPC</v>
      </c>
      <c r="E204" s="38" t="str">
        <f>IF(Config!$C$12="","TPC",Config!$C$12)</f>
        <v>TPC</v>
      </c>
      <c r="F204" s="38" t="str">
        <f>IF(Config!$C$13="","TPC",Config!$C$13)</f>
        <v>TPC</v>
      </c>
      <c r="G204" s="38" t="str">
        <f>IF(Config!$C$14="","TPC",Config!$C$14)</f>
        <v>TPC</v>
      </c>
      <c r="H204" s="38" t="str">
        <f>IF(Config!$C$15="","TPC",Config!$C$15)</f>
        <v>TPC</v>
      </c>
      <c r="I204" s="38" t="str">
        <f>IF(Config!$C$16="","TPC",Config!$C$16)</f>
        <v>TPC</v>
      </c>
      <c r="J204" s="38" t="str">
        <f>IF(Config!$C$17="","TPC",Config!$C$17)</f>
        <v>TPC</v>
      </c>
      <c r="K204" s="38" t="str">
        <f>IF(Config!$C$18="","TPC",Config!$C$18)</f>
        <v>TPC</v>
      </c>
      <c r="L204" s="38" t="str">
        <f>IF(Config!$C$19="","TPC",Config!$C$19)</f>
        <v>TPC</v>
      </c>
      <c r="M204" s="38" t="str">
        <f>IF(Config!$C$20="","TPC",Config!$C$20)</f>
        <v>TPC</v>
      </c>
      <c r="N204" s="38" t="str">
        <f>IF(Config!$C$21="","TPC",Config!$C$21)</f>
        <v>TPC</v>
      </c>
      <c r="O204" s="38" t="str">
        <f>IF(Config!$C$22="","TPC",Config!$C$22)</f>
        <v>TPC</v>
      </c>
      <c r="P204" s="38" t="str">
        <f>IF(Config!$C$23="","TPC",Config!$C$23)</f>
        <v>TPC</v>
      </c>
      <c r="Q204" s="38" t="str">
        <f>IF(Config!$C$24="","TPC",Config!$C$24)</f>
        <v>TPC</v>
      </c>
      <c r="R204" s="38" t="str">
        <f>IF(Config!$C$25="","TPC",Config!$C$25)</f>
        <v>TPC</v>
      </c>
      <c r="S204" s="38" t="str">
        <f>IF(Config!$C$26="","TPC",Config!$C$26)</f>
        <v>TPC</v>
      </c>
      <c r="T204" s="38" t="str">
        <f>IF(Config!$C$27="","TPC",Config!$C$27)</f>
        <v>TPC</v>
      </c>
      <c r="U204" s="38" t="str">
        <f>IF(Config!$C$28="","TPC",Config!$C$28)</f>
        <v>TPC</v>
      </c>
      <c r="V204" s="38" t="str">
        <f>IF(Config!$C$29="","TPC",Config!$C$29)</f>
        <v>TPC</v>
      </c>
    </row>
    <row r="206">
      <c r="A206" s="37" t="inlineStr">
        <is>
          <t xml:space="preserve">Posições Disponíveis</t>
        </is>
      </c>
      <c r="B206" s="37" t="inlineStr">
        <is>
          <t xml:space="preserve">Data</t>
        </is>
      </c>
      <c r="C206" s="37" t="str">
        <f>Config!$B$10&amp;""</f>
        <v>Alpargatas</v>
      </c>
      <c r="D206" s="37" t="str">
        <f>Config!$B$11&amp;""</f>
        <v>Basf</v>
      </c>
      <c r="E206" s="37" t="str">
        <f>Config!$B$12&amp;""</f>
        <v>Beautybiz</v>
      </c>
      <c r="F206" s="37" t="str">
        <f>Config!$B$13&amp;""</f>
        <v>Boticário</v>
      </c>
      <c r="G206" s="37" t="str">
        <f>Config!$B$14&amp;""</f>
        <v>Confiance</v>
      </c>
      <c r="H206" s="37" t="str">
        <f>Config!$B$15&amp;""</f>
        <v>GE Vernova</v>
      </c>
      <c r="I206" s="37" t="str">
        <f>Config!$B$16&amp;""</f>
        <v>Omnilife</v>
      </c>
      <c r="J206" s="37" t="str">
        <f>Config!$B$17&amp;""</f>
        <v>Supply</v>
      </c>
      <c r="K206" s="37" t="str">
        <f>Config!$B$18&amp;""</f>
        <v>Vedacit</v>
      </c>
      <c r="L206" s="37" t="str">
        <f>Config!$B$19&amp;""</f>
        <v>Vestas</v>
      </c>
      <c r="M206" s="37" t="str">
        <f>Config!$B$20&amp;""</f>
        <v/>
      </c>
      <c r="N206" s="37" t="str">
        <f>Config!$B$21&amp;""</f>
        <v/>
      </c>
      <c r="O206" s="37" t="str">
        <f>Config!$B$22&amp;""</f>
        <v/>
      </c>
      <c r="P206" s="37" t="str">
        <f>Config!$B$23&amp;""</f>
        <v/>
      </c>
      <c r="Q206" s="37" t="str">
        <f>Config!$B$24&amp;""</f>
        <v/>
      </c>
      <c r="R206" s="37" t="str">
        <f>Config!$B$25&amp;""</f>
        <v/>
      </c>
      <c r="S206" s="37" t="str">
        <f>Config!$B$26&amp;""</f>
        <v/>
      </c>
      <c r="T206" s="37" t="str">
        <f>Config!$B$27&amp;""</f>
        <v/>
      </c>
      <c r="U206" s="37" t="str">
        <f>Config!$B$28&amp;""</f>
        <v/>
      </c>
      <c r="V206" s="37" t="str">
        <f>Config!$B$29&amp;""</f>
        <v/>
      </c>
    </row>
    <row r="207">
      <c r="A207" s="38">
        <v>1</v>
      </c>
      <c r="B207" s="42">
        <f>$B$12</f>
        <v>46296</v>
      </c>
      <c r="C207" s="43" t="str">
        <f>IF(OR($B207="",$A207&gt;$B$9,C$206=""),"",IF(COUNTIFS(BD!$B$3:$B$5001,C$206,BD!$A$3:$A$5001,"&gt;="&amp;$C$7,BD!$A$3:$A$5001,"&lt;="&amp;$B207,BD!$W$3:$W$5001,"&lt;&gt;")=0,"",SUMIFS(BD!$W$3:$W$5001,BD!$B$3:$B$5001,C$206,BD!$A$3:$A$5001,_xlfn.MAXIFS(BD!$A$3:$A$5001,BD!$B$3:$B$5001,C$206,BD!$A$3:$A$5001,"&gt;="&amp;$C$7,BD!$A$3:$A$5001,"&lt;="&amp;$B207,BD!$W$3:$W$5001,"&lt;&gt;"))))</f>
        <v/>
      </c>
      <c r="D207" s="43" t="str">
        <f>IF(OR($B207="",$A207&gt;$B$9,D$206=""),"",IF(COUNTIFS(BD!$B$3:$B$5001,D$206,BD!$A$3:$A$5001,"&gt;="&amp;$C$7,BD!$A$3:$A$5001,"&lt;="&amp;$B207,BD!$W$3:$W$5001,"&lt;&gt;")=0,"",SUMIFS(BD!$W$3:$W$5001,BD!$B$3:$B$5001,D$206,BD!$A$3:$A$5001,_xlfn.MAXIFS(BD!$A$3:$A$5001,BD!$B$3:$B$5001,D$206,BD!$A$3:$A$5001,"&gt;="&amp;$C$7,BD!$A$3:$A$5001,"&lt;="&amp;$B207,BD!$W$3:$W$5001,"&lt;&gt;"))))</f>
        <v/>
      </c>
      <c r="E207" s="43" t="str">
        <f>IF(OR($B207="",$A207&gt;$B$9,E$206=""),"",IF(COUNTIFS(BD!$B$3:$B$5001,E$206,BD!$A$3:$A$5001,"&gt;="&amp;$C$7,BD!$A$3:$A$5001,"&lt;="&amp;$B207,BD!$W$3:$W$5001,"&lt;&gt;")=0,"",SUMIFS(BD!$W$3:$W$5001,BD!$B$3:$B$5001,E$206,BD!$A$3:$A$5001,_xlfn.MAXIFS(BD!$A$3:$A$5001,BD!$B$3:$B$5001,E$206,BD!$A$3:$A$5001,"&gt;="&amp;$C$7,BD!$A$3:$A$5001,"&lt;="&amp;$B207,BD!$W$3:$W$5001,"&lt;&gt;"))))</f>
        <v/>
      </c>
      <c r="F207" s="43" t="str">
        <f>IF(OR($B207="",$A207&gt;$B$9,F$206=""),"",IF(COUNTIFS(BD!$B$3:$B$5001,F$206,BD!$A$3:$A$5001,"&gt;="&amp;$C$7,BD!$A$3:$A$5001,"&lt;="&amp;$B207,BD!$W$3:$W$5001,"&lt;&gt;")=0,"",SUMIFS(BD!$W$3:$W$5001,BD!$B$3:$B$5001,F$206,BD!$A$3:$A$5001,_xlfn.MAXIFS(BD!$A$3:$A$5001,BD!$B$3:$B$5001,F$206,BD!$A$3:$A$5001,"&gt;="&amp;$C$7,BD!$A$3:$A$5001,"&lt;="&amp;$B207,BD!$W$3:$W$5001,"&lt;&gt;"))))</f>
        <v/>
      </c>
      <c r="G207" s="43" t="str">
        <f>IF(OR($B207="",$A207&gt;$B$9,G$206=""),"",IF(COUNTIFS(BD!$B$3:$B$5001,G$206,BD!$A$3:$A$5001,"&gt;="&amp;$C$7,BD!$A$3:$A$5001,"&lt;="&amp;$B207,BD!$W$3:$W$5001,"&lt;&gt;")=0,"",SUMIFS(BD!$W$3:$W$5001,BD!$B$3:$B$5001,G$206,BD!$A$3:$A$5001,_xlfn.MAXIFS(BD!$A$3:$A$5001,BD!$B$3:$B$5001,G$206,BD!$A$3:$A$5001,"&gt;="&amp;$C$7,BD!$A$3:$A$5001,"&lt;="&amp;$B207,BD!$W$3:$W$5001,"&lt;&gt;"))))</f>
        <v/>
      </c>
      <c r="H207" s="43" t="str">
        <f>IF(OR($B207="",$A207&gt;$B$9,H$206=""),"",IF(COUNTIFS(BD!$B$3:$B$5001,H$206,BD!$A$3:$A$5001,"&gt;="&amp;$C$7,BD!$A$3:$A$5001,"&lt;="&amp;$B207,BD!$W$3:$W$5001,"&lt;&gt;")=0,"",SUMIFS(BD!$W$3:$W$5001,BD!$B$3:$B$5001,H$206,BD!$A$3:$A$5001,_xlfn.MAXIFS(BD!$A$3:$A$5001,BD!$B$3:$B$5001,H$206,BD!$A$3:$A$5001,"&gt;="&amp;$C$7,BD!$A$3:$A$5001,"&lt;="&amp;$B207,BD!$W$3:$W$5001,"&lt;&gt;"))))</f>
        <v/>
      </c>
      <c r="I207" s="43" t="str">
        <f>IF(OR($B207="",$A207&gt;$B$9,I$206=""),"",IF(COUNTIFS(BD!$B$3:$B$5001,I$206,BD!$A$3:$A$5001,"&gt;="&amp;$C$7,BD!$A$3:$A$5001,"&lt;="&amp;$B207,BD!$W$3:$W$5001,"&lt;&gt;")=0,"",SUMIFS(BD!$W$3:$W$5001,BD!$B$3:$B$5001,I$206,BD!$A$3:$A$5001,_xlfn.MAXIFS(BD!$A$3:$A$5001,BD!$B$3:$B$5001,I$206,BD!$A$3:$A$5001,"&gt;="&amp;$C$7,BD!$A$3:$A$5001,"&lt;="&amp;$B207,BD!$W$3:$W$5001,"&lt;&gt;"))))</f>
        <v/>
      </c>
      <c r="J207" s="43" t="str">
        <f>IF(OR($B207="",$A207&gt;$B$9,J$206=""),"",IF(COUNTIFS(BD!$B$3:$B$5001,J$206,BD!$A$3:$A$5001,"&gt;="&amp;$C$7,BD!$A$3:$A$5001,"&lt;="&amp;$B207,BD!$W$3:$W$5001,"&lt;&gt;")=0,"",SUMIFS(BD!$W$3:$W$5001,BD!$B$3:$B$5001,J$206,BD!$A$3:$A$5001,_xlfn.MAXIFS(BD!$A$3:$A$5001,BD!$B$3:$B$5001,J$206,BD!$A$3:$A$5001,"&gt;="&amp;$C$7,BD!$A$3:$A$5001,"&lt;="&amp;$B207,BD!$W$3:$W$5001,"&lt;&gt;"))))</f>
        <v/>
      </c>
      <c r="K207" s="43" t="str">
        <f>IF(OR($B207="",$A207&gt;$B$9,K$206=""),"",IF(COUNTIFS(BD!$B$3:$B$5001,K$206,BD!$A$3:$A$5001,"&gt;="&amp;$C$7,BD!$A$3:$A$5001,"&lt;="&amp;$B207,BD!$W$3:$W$5001,"&lt;&gt;")=0,"",SUMIFS(BD!$W$3:$W$5001,BD!$B$3:$B$5001,K$206,BD!$A$3:$A$5001,_xlfn.MAXIFS(BD!$A$3:$A$5001,BD!$B$3:$B$5001,K$206,BD!$A$3:$A$5001,"&gt;="&amp;$C$7,BD!$A$3:$A$5001,"&lt;="&amp;$B207,BD!$W$3:$W$5001,"&lt;&gt;"))))</f>
        <v/>
      </c>
      <c r="L207" s="43" t="str">
        <f>IF(OR($B207="",$A207&gt;$B$9,L$206=""),"",IF(COUNTIFS(BD!$B$3:$B$5001,L$206,BD!$A$3:$A$5001,"&gt;="&amp;$C$7,BD!$A$3:$A$5001,"&lt;="&amp;$B207,BD!$W$3:$W$5001,"&lt;&gt;")=0,"",SUMIFS(BD!$W$3:$W$5001,BD!$B$3:$B$5001,L$206,BD!$A$3:$A$5001,_xlfn.MAXIFS(BD!$A$3:$A$5001,BD!$B$3:$B$5001,L$206,BD!$A$3:$A$5001,"&gt;="&amp;$C$7,BD!$A$3:$A$5001,"&lt;="&amp;$B207,BD!$W$3:$W$5001,"&lt;&gt;"))))</f>
        <v/>
      </c>
      <c r="M207" s="43" t="str">
        <f>IF(OR($B207="",$A207&gt;$B$9,M$206=""),"",IF(COUNTIFS(BD!$B$3:$B$5001,M$206,BD!$A$3:$A$5001,"&gt;="&amp;$C$7,BD!$A$3:$A$5001,"&lt;="&amp;$B207,BD!$W$3:$W$5001,"&lt;&gt;")=0,"",SUMIFS(BD!$W$3:$W$5001,BD!$B$3:$B$5001,M$206,BD!$A$3:$A$5001,_xlfn.MAXIFS(BD!$A$3:$A$5001,BD!$B$3:$B$5001,M$206,BD!$A$3:$A$5001,"&gt;="&amp;$C$7,BD!$A$3:$A$5001,"&lt;="&amp;$B207,BD!$W$3:$W$5001,"&lt;&gt;"))))</f>
        <v/>
      </c>
      <c r="N207" s="43" t="str">
        <f>IF(OR($B207="",$A207&gt;$B$9,N$206=""),"",IF(COUNTIFS(BD!$B$3:$B$5001,N$206,BD!$A$3:$A$5001,"&gt;="&amp;$C$7,BD!$A$3:$A$5001,"&lt;="&amp;$B207,BD!$W$3:$W$5001,"&lt;&gt;")=0,"",SUMIFS(BD!$W$3:$W$5001,BD!$B$3:$B$5001,N$206,BD!$A$3:$A$5001,_xlfn.MAXIFS(BD!$A$3:$A$5001,BD!$B$3:$B$5001,N$206,BD!$A$3:$A$5001,"&gt;="&amp;$C$7,BD!$A$3:$A$5001,"&lt;="&amp;$B207,BD!$W$3:$W$5001,"&lt;&gt;"))))</f>
        <v/>
      </c>
      <c r="O207" s="43" t="str">
        <f>IF(OR($B207="",$A207&gt;$B$9,O$206=""),"",IF(COUNTIFS(BD!$B$3:$B$5001,O$206,BD!$A$3:$A$5001,"&gt;="&amp;$C$7,BD!$A$3:$A$5001,"&lt;="&amp;$B207,BD!$W$3:$W$5001,"&lt;&gt;")=0,"",SUMIFS(BD!$W$3:$W$5001,BD!$B$3:$B$5001,O$206,BD!$A$3:$A$5001,_xlfn.MAXIFS(BD!$A$3:$A$5001,BD!$B$3:$B$5001,O$206,BD!$A$3:$A$5001,"&gt;="&amp;$C$7,BD!$A$3:$A$5001,"&lt;="&amp;$B207,BD!$W$3:$W$5001,"&lt;&gt;"))))</f>
        <v/>
      </c>
      <c r="P207" s="43" t="str">
        <f>IF(OR($B207="",$A207&gt;$B$9,P$206=""),"",IF(COUNTIFS(BD!$B$3:$B$5001,P$206,BD!$A$3:$A$5001,"&gt;="&amp;$C$7,BD!$A$3:$A$5001,"&lt;="&amp;$B207,BD!$W$3:$W$5001,"&lt;&gt;")=0,"",SUMIFS(BD!$W$3:$W$5001,BD!$B$3:$B$5001,P$206,BD!$A$3:$A$5001,_xlfn.MAXIFS(BD!$A$3:$A$5001,BD!$B$3:$B$5001,P$206,BD!$A$3:$A$5001,"&gt;="&amp;$C$7,BD!$A$3:$A$5001,"&lt;="&amp;$B207,BD!$W$3:$W$5001,"&lt;&gt;"))))</f>
        <v/>
      </c>
      <c r="Q207" s="43" t="str">
        <f>IF(OR($B207="",$A207&gt;$B$9,Q$206=""),"",IF(COUNTIFS(BD!$B$3:$B$5001,Q$206,BD!$A$3:$A$5001,"&gt;="&amp;$C$7,BD!$A$3:$A$5001,"&lt;="&amp;$B207,BD!$W$3:$W$5001,"&lt;&gt;")=0,"",SUMIFS(BD!$W$3:$W$5001,BD!$B$3:$B$5001,Q$206,BD!$A$3:$A$5001,_xlfn.MAXIFS(BD!$A$3:$A$5001,BD!$B$3:$B$5001,Q$206,BD!$A$3:$A$5001,"&gt;="&amp;$C$7,BD!$A$3:$A$5001,"&lt;="&amp;$B207,BD!$W$3:$W$5001,"&lt;&gt;"))))</f>
        <v/>
      </c>
      <c r="R207" s="43" t="str">
        <f>IF(OR($B207="",$A207&gt;$B$9,R$206=""),"",IF(COUNTIFS(BD!$B$3:$B$5001,R$206,BD!$A$3:$A$5001,"&gt;="&amp;$C$7,BD!$A$3:$A$5001,"&lt;="&amp;$B207,BD!$W$3:$W$5001,"&lt;&gt;")=0,"",SUMIFS(BD!$W$3:$W$5001,BD!$B$3:$B$5001,R$206,BD!$A$3:$A$5001,_xlfn.MAXIFS(BD!$A$3:$A$5001,BD!$B$3:$B$5001,R$206,BD!$A$3:$A$5001,"&gt;="&amp;$C$7,BD!$A$3:$A$5001,"&lt;="&amp;$B207,BD!$W$3:$W$5001,"&lt;&gt;"))))</f>
        <v/>
      </c>
      <c r="S207" s="43" t="str">
        <f>IF(OR($B207="",$A207&gt;$B$9,S$206=""),"",IF(COUNTIFS(BD!$B$3:$B$5001,S$206,BD!$A$3:$A$5001,"&gt;="&amp;$C$7,BD!$A$3:$A$5001,"&lt;="&amp;$B207,BD!$W$3:$W$5001,"&lt;&gt;")=0,"",SUMIFS(BD!$W$3:$W$5001,BD!$B$3:$B$5001,S$206,BD!$A$3:$A$5001,_xlfn.MAXIFS(BD!$A$3:$A$5001,BD!$B$3:$B$5001,S$206,BD!$A$3:$A$5001,"&gt;="&amp;$C$7,BD!$A$3:$A$5001,"&lt;="&amp;$B207,BD!$W$3:$W$5001,"&lt;&gt;"))))</f>
        <v/>
      </c>
      <c r="T207" s="43" t="str">
        <f>IF(OR($B207="",$A207&gt;$B$9,T$206=""),"",IF(COUNTIFS(BD!$B$3:$B$5001,T$206,BD!$A$3:$A$5001,"&gt;="&amp;$C$7,BD!$A$3:$A$5001,"&lt;="&amp;$B207,BD!$W$3:$W$5001,"&lt;&gt;")=0,"",SUMIFS(BD!$W$3:$W$5001,BD!$B$3:$B$5001,T$206,BD!$A$3:$A$5001,_xlfn.MAXIFS(BD!$A$3:$A$5001,BD!$B$3:$B$5001,T$206,BD!$A$3:$A$5001,"&gt;="&amp;$C$7,BD!$A$3:$A$5001,"&lt;="&amp;$B207,BD!$W$3:$W$5001,"&lt;&gt;"))))</f>
        <v/>
      </c>
      <c r="U207" s="43" t="str">
        <f>IF(OR($B207="",$A207&gt;$B$9,U$206=""),"",IF(COUNTIFS(BD!$B$3:$B$5001,U$206,BD!$A$3:$A$5001,"&gt;="&amp;$C$7,BD!$A$3:$A$5001,"&lt;="&amp;$B207,BD!$W$3:$W$5001,"&lt;&gt;")=0,"",SUMIFS(BD!$W$3:$W$5001,BD!$B$3:$B$5001,U$206,BD!$A$3:$A$5001,_xlfn.MAXIFS(BD!$A$3:$A$5001,BD!$B$3:$B$5001,U$206,BD!$A$3:$A$5001,"&gt;="&amp;$C$7,BD!$A$3:$A$5001,"&lt;="&amp;$B207,BD!$W$3:$W$5001,"&lt;&gt;"))))</f>
        <v/>
      </c>
      <c r="V207" s="43" t="str">
        <f>IF(OR($B207="",$A207&gt;$B$9,V$206=""),"",IF(COUNTIFS(BD!$B$3:$B$5001,V$206,BD!$A$3:$A$5001,"&gt;="&amp;$C$7,BD!$A$3:$A$5001,"&lt;="&amp;$B207,BD!$W$3:$W$5001,"&lt;&gt;")=0,"",SUMIFS(BD!$W$3:$W$5001,BD!$B$3:$B$5001,V$206,BD!$A$3:$A$5001,_xlfn.MAXIFS(BD!$A$3:$A$5001,BD!$B$3:$B$5001,V$206,BD!$A$3:$A$5001,"&gt;="&amp;$C$7,BD!$A$3:$A$5001,"&lt;="&amp;$B207,BD!$W$3:$W$5001,"&lt;&gt;"))))</f>
        <v/>
      </c>
    </row>
    <row r="208">
      <c r="A208" s="38">
        <v>2</v>
      </c>
      <c r="B208" s="42">
        <f>$B$13</f>
        <v>46297</v>
      </c>
      <c r="C208" s="43" t="str">
        <f>IF(OR($B208="",$A208&gt;$B$9,C$206=""),"",IF(COUNTIFS(BD!$B$3:$B$5001,C$206,BD!$A$3:$A$5001,"&gt;="&amp;$C$7,BD!$A$3:$A$5001,"&lt;="&amp;$B208,BD!$W$3:$W$5001,"&lt;&gt;")=0,"",SUMIFS(BD!$W$3:$W$5001,BD!$B$3:$B$5001,C$206,BD!$A$3:$A$5001,_xlfn.MAXIFS(BD!$A$3:$A$5001,BD!$B$3:$B$5001,C$206,BD!$A$3:$A$5001,"&gt;="&amp;$C$7,BD!$A$3:$A$5001,"&lt;="&amp;$B208,BD!$W$3:$W$5001,"&lt;&gt;"))))</f>
        <v/>
      </c>
      <c r="D208" s="43" t="str">
        <f>IF(OR($B208="",$A208&gt;$B$9,D$206=""),"",IF(COUNTIFS(BD!$B$3:$B$5001,D$206,BD!$A$3:$A$5001,"&gt;="&amp;$C$7,BD!$A$3:$A$5001,"&lt;="&amp;$B208,BD!$W$3:$W$5001,"&lt;&gt;")=0,"",SUMIFS(BD!$W$3:$W$5001,BD!$B$3:$B$5001,D$206,BD!$A$3:$A$5001,_xlfn.MAXIFS(BD!$A$3:$A$5001,BD!$B$3:$B$5001,D$206,BD!$A$3:$A$5001,"&gt;="&amp;$C$7,BD!$A$3:$A$5001,"&lt;="&amp;$B208,BD!$W$3:$W$5001,"&lt;&gt;"))))</f>
        <v/>
      </c>
      <c r="E208" s="43" t="str">
        <f>IF(OR($B208="",$A208&gt;$B$9,E$206=""),"",IF(COUNTIFS(BD!$B$3:$B$5001,E$206,BD!$A$3:$A$5001,"&gt;="&amp;$C$7,BD!$A$3:$A$5001,"&lt;="&amp;$B208,BD!$W$3:$W$5001,"&lt;&gt;")=0,"",SUMIFS(BD!$W$3:$W$5001,BD!$B$3:$B$5001,E$206,BD!$A$3:$A$5001,_xlfn.MAXIFS(BD!$A$3:$A$5001,BD!$B$3:$B$5001,E$206,BD!$A$3:$A$5001,"&gt;="&amp;$C$7,BD!$A$3:$A$5001,"&lt;="&amp;$B208,BD!$W$3:$W$5001,"&lt;&gt;"))))</f>
        <v/>
      </c>
      <c r="F208" s="43" t="str">
        <f>IF(OR($B208="",$A208&gt;$B$9,F$206=""),"",IF(COUNTIFS(BD!$B$3:$B$5001,F$206,BD!$A$3:$A$5001,"&gt;="&amp;$C$7,BD!$A$3:$A$5001,"&lt;="&amp;$B208,BD!$W$3:$W$5001,"&lt;&gt;")=0,"",SUMIFS(BD!$W$3:$W$5001,BD!$B$3:$B$5001,F$206,BD!$A$3:$A$5001,_xlfn.MAXIFS(BD!$A$3:$A$5001,BD!$B$3:$B$5001,F$206,BD!$A$3:$A$5001,"&gt;="&amp;$C$7,BD!$A$3:$A$5001,"&lt;="&amp;$B208,BD!$W$3:$W$5001,"&lt;&gt;"))))</f>
        <v/>
      </c>
      <c r="G208" s="43" t="str">
        <f>IF(OR($B208="",$A208&gt;$B$9,G$206=""),"",IF(COUNTIFS(BD!$B$3:$B$5001,G$206,BD!$A$3:$A$5001,"&gt;="&amp;$C$7,BD!$A$3:$A$5001,"&lt;="&amp;$B208,BD!$W$3:$W$5001,"&lt;&gt;")=0,"",SUMIFS(BD!$W$3:$W$5001,BD!$B$3:$B$5001,G$206,BD!$A$3:$A$5001,_xlfn.MAXIFS(BD!$A$3:$A$5001,BD!$B$3:$B$5001,G$206,BD!$A$3:$A$5001,"&gt;="&amp;$C$7,BD!$A$3:$A$5001,"&lt;="&amp;$B208,BD!$W$3:$W$5001,"&lt;&gt;"))))</f>
        <v/>
      </c>
      <c r="H208" s="43" t="str">
        <f>IF(OR($B208="",$A208&gt;$B$9,H$206=""),"",IF(COUNTIFS(BD!$B$3:$B$5001,H$206,BD!$A$3:$A$5001,"&gt;="&amp;$C$7,BD!$A$3:$A$5001,"&lt;="&amp;$B208,BD!$W$3:$W$5001,"&lt;&gt;")=0,"",SUMIFS(BD!$W$3:$W$5001,BD!$B$3:$B$5001,H$206,BD!$A$3:$A$5001,_xlfn.MAXIFS(BD!$A$3:$A$5001,BD!$B$3:$B$5001,H$206,BD!$A$3:$A$5001,"&gt;="&amp;$C$7,BD!$A$3:$A$5001,"&lt;="&amp;$B208,BD!$W$3:$W$5001,"&lt;&gt;"))))</f>
        <v/>
      </c>
      <c r="I208" s="43" t="str">
        <f>IF(OR($B208="",$A208&gt;$B$9,I$206=""),"",IF(COUNTIFS(BD!$B$3:$B$5001,I$206,BD!$A$3:$A$5001,"&gt;="&amp;$C$7,BD!$A$3:$A$5001,"&lt;="&amp;$B208,BD!$W$3:$W$5001,"&lt;&gt;")=0,"",SUMIFS(BD!$W$3:$W$5001,BD!$B$3:$B$5001,I$206,BD!$A$3:$A$5001,_xlfn.MAXIFS(BD!$A$3:$A$5001,BD!$B$3:$B$5001,I$206,BD!$A$3:$A$5001,"&gt;="&amp;$C$7,BD!$A$3:$A$5001,"&lt;="&amp;$B208,BD!$W$3:$W$5001,"&lt;&gt;"))))</f>
        <v/>
      </c>
      <c r="J208" s="43" t="str">
        <f>IF(OR($B208="",$A208&gt;$B$9,J$206=""),"",IF(COUNTIFS(BD!$B$3:$B$5001,J$206,BD!$A$3:$A$5001,"&gt;="&amp;$C$7,BD!$A$3:$A$5001,"&lt;="&amp;$B208,BD!$W$3:$W$5001,"&lt;&gt;")=0,"",SUMIFS(BD!$W$3:$W$5001,BD!$B$3:$B$5001,J$206,BD!$A$3:$A$5001,_xlfn.MAXIFS(BD!$A$3:$A$5001,BD!$B$3:$B$5001,J$206,BD!$A$3:$A$5001,"&gt;="&amp;$C$7,BD!$A$3:$A$5001,"&lt;="&amp;$B208,BD!$W$3:$W$5001,"&lt;&gt;"))))</f>
        <v/>
      </c>
      <c r="K208" s="43" t="str">
        <f>IF(OR($B208="",$A208&gt;$B$9,K$206=""),"",IF(COUNTIFS(BD!$B$3:$B$5001,K$206,BD!$A$3:$A$5001,"&gt;="&amp;$C$7,BD!$A$3:$A$5001,"&lt;="&amp;$B208,BD!$W$3:$W$5001,"&lt;&gt;")=0,"",SUMIFS(BD!$W$3:$W$5001,BD!$B$3:$B$5001,K$206,BD!$A$3:$A$5001,_xlfn.MAXIFS(BD!$A$3:$A$5001,BD!$B$3:$B$5001,K$206,BD!$A$3:$A$5001,"&gt;="&amp;$C$7,BD!$A$3:$A$5001,"&lt;="&amp;$B208,BD!$W$3:$W$5001,"&lt;&gt;"))))</f>
        <v/>
      </c>
      <c r="L208" s="43" t="str">
        <f>IF(OR($B208="",$A208&gt;$B$9,L$206=""),"",IF(COUNTIFS(BD!$B$3:$B$5001,L$206,BD!$A$3:$A$5001,"&gt;="&amp;$C$7,BD!$A$3:$A$5001,"&lt;="&amp;$B208,BD!$W$3:$W$5001,"&lt;&gt;")=0,"",SUMIFS(BD!$W$3:$W$5001,BD!$B$3:$B$5001,L$206,BD!$A$3:$A$5001,_xlfn.MAXIFS(BD!$A$3:$A$5001,BD!$B$3:$B$5001,L$206,BD!$A$3:$A$5001,"&gt;="&amp;$C$7,BD!$A$3:$A$5001,"&lt;="&amp;$B208,BD!$W$3:$W$5001,"&lt;&gt;"))))</f>
        <v/>
      </c>
      <c r="M208" s="43" t="str">
        <f>IF(OR($B208="",$A208&gt;$B$9,M$206=""),"",IF(COUNTIFS(BD!$B$3:$B$5001,M$206,BD!$A$3:$A$5001,"&gt;="&amp;$C$7,BD!$A$3:$A$5001,"&lt;="&amp;$B208,BD!$W$3:$W$5001,"&lt;&gt;")=0,"",SUMIFS(BD!$W$3:$W$5001,BD!$B$3:$B$5001,M$206,BD!$A$3:$A$5001,_xlfn.MAXIFS(BD!$A$3:$A$5001,BD!$B$3:$B$5001,M$206,BD!$A$3:$A$5001,"&gt;="&amp;$C$7,BD!$A$3:$A$5001,"&lt;="&amp;$B208,BD!$W$3:$W$5001,"&lt;&gt;"))))</f>
        <v/>
      </c>
      <c r="N208" s="43" t="str">
        <f>IF(OR($B208="",$A208&gt;$B$9,N$206=""),"",IF(COUNTIFS(BD!$B$3:$B$5001,N$206,BD!$A$3:$A$5001,"&gt;="&amp;$C$7,BD!$A$3:$A$5001,"&lt;="&amp;$B208,BD!$W$3:$W$5001,"&lt;&gt;")=0,"",SUMIFS(BD!$W$3:$W$5001,BD!$B$3:$B$5001,N$206,BD!$A$3:$A$5001,_xlfn.MAXIFS(BD!$A$3:$A$5001,BD!$B$3:$B$5001,N$206,BD!$A$3:$A$5001,"&gt;="&amp;$C$7,BD!$A$3:$A$5001,"&lt;="&amp;$B208,BD!$W$3:$W$5001,"&lt;&gt;"))))</f>
        <v/>
      </c>
      <c r="O208" s="43" t="str">
        <f>IF(OR($B208="",$A208&gt;$B$9,O$206=""),"",IF(COUNTIFS(BD!$B$3:$B$5001,O$206,BD!$A$3:$A$5001,"&gt;="&amp;$C$7,BD!$A$3:$A$5001,"&lt;="&amp;$B208,BD!$W$3:$W$5001,"&lt;&gt;")=0,"",SUMIFS(BD!$W$3:$W$5001,BD!$B$3:$B$5001,O$206,BD!$A$3:$A$5001,_xlfn.MAXIFS(BD!$A$3:$A$5001,BD!$B$3:$B$5001,O$206,BD!$A$3:$A$5001,"&gt;="&amp;$C$7,BD!$A$3:$A$5001,"&lt;="&amp;$B208,BD!$W$3:$W$5001,"&lt;&gt;"))))</f>
        <v/>
      </c>
      <c r="P208" s="43" t="str">
        <f>IF(OR($B208="",$A208&gt;$B$9,P$206=""),"",IF(COUNTIFS(BD!$B$3:$B$5001,P$206,BD!$A$3:$A$5001,"&gt;="&amp;$C$7,BD!$A$3:$A$5001,"&lt;="&amp;$B208,BD!$W$3:$W$5001,"&lt;&gt;")=0,"",SUMIFS(BD!$W$3:$W$5001,BD!$B$3:$B$5001,P$206,BD!$A$3:$A$5001,_xlfn.MAXIFS(BD!$A$3:$A$5001,BD!$B$3:$B$5001,P$206,BD!$A$3:$A$5001,"&gt;="&amp;$C$7,BD!$A$3:$A$5001,"&lt;="&amp;$B208,BD!$W$3:$W$5001,"&lt;&gt;"))))</f>
        <v/>
      </c>
      <c r="Q208" s="43" t="str">
        <f>IF(OR($B208="",$A208&gt;$B$9,Q$206=""),"",IF(COUNTIFS(BD!$B$3:$B$5001,Q$206,BD!$A$3:$A$5001,"&gt;="&amp;$C$7,BD!$A$3:$A$5001,"&lt;="&amp;$B208,BD!$W$3:$W$5001,"&lt;&gt;")=0,"",SUMIFS(BD!$W$3:$W$5001,BD!$B$3:$B$5001,Q$206,BD!$A$3:$A$5001,_xlfn.MAXIFS(BD!$A$3:$A$5001,BD!$B$3:$B$5001,Q$206,BD!$A$3:$A$5001,"&gt;="&amp;$C$7,BD!$A$3:$A$5001,"&lt;="&amp;$B208,BD!$W$3:$W$5001,"&lt;&gt;"))))</f>
        <v/>
      </c>
      <c r="R208" s="43" t="str">
        <f>IF(OR($B208="",$A208&gt;$B$9,R$206=""),"",IF(COUNTIFS(BD!$B$3:$B$5001,R$206,BD!$A$3:$A$5001,"&gt;="&amp;$C$7,BD!$A$3:$A$5001,"&lt;="&amp;$B208,BD!$W$3:$W$5001,"&lt;&gt;")=0,"",SUMIFS(BD!$W$3:$W$5001,BD!$B$3:$B$5001,R$206,BD!$A$3:$A$5001,_xlfn.MAXIFS(BD!$A$3:$A$5001,BD!$B$3:$B$5001,R$206,BD!$A$3:$A$5001,"&gt;="&amp;$C$7,BD!$A$3:$A$5001,"&lt;="&amp;$B208,BD!$W$3:$W$5001,"&lt;&gt;"))))</f>
        <v/>
      </c>
      <c r="S208" s="43" t="str">
        <f>IF(OR($B208="",$A208&gt;$B$9,S$206=""),"",IF(COUNTIFS(BD!$B$3:$B$5001,S$206,BD!$A$3:$A$5001,"&gt;="&amp;$C$7,BD!$A$3:$A$5001,"&lt;="&amp;$B208,BD!$W$3:$W$5001,"&lt;&gt;")=0,"",SUMIFS(BD!$W$3:$W$5001,BD!$B$3:$B$5001,S$206,BD!$A$3:$A$5001,_xlfn.MAXIFS(BD!$A$3:$A$5001,BD!$B$3:$B$5001,S$206,BD!$A$3:$A$5001,"&gt;="&amp;$C$7,BD!$A$3:$A$5001,"&lt;="&amp;$B208,BD!$W$3:$W$5001,"&lt;&gt;"))))</f>
        <v/>
      </c>
      <c r="T208" s="43" t="str">
        <f>IF(OR($B208="",$A208&gt;$B$9,T$206=""),"",IF(COUNTIFS(BD!$B$3:$B$5001,T$206,BD!$A$3:$A$5001,"&gt;="&amp;$C$7,BD!$A$3:$A$5001,"&lt;="&amp;$B208,BD!$W$3:$W$5001,"&lt;&gt;")=0,"",SUMIFS(BD!$W$3:$W$5001,BD!$B$3:$B$5001,T$206,BD!$A$3:$A$5001,_xlfn.MAXIFS(BD!$A$3:$A$5001,BD!$B$3:$B$5001,T$206,BD!$A$3:$A$5001,"&gt;="&amp;$C$7,BD!$A$3:$A$5001,"&lt;="&amp;$B208,BD!$W$3:$W$5001,"&lt;&gt;"))))</f>
        <v/>
      </c>
      <c r="U208" s="43" t="str">
        <f>IF(OR($B208="",$A208&gt;$B$9,U$206=""),"",IF(COUNTIFS(BD!$B$3:$B$5001,U$206,BD!$A$3:$A$5001,"&gt;="&amp;$C$7,BD!$A$3:$A$5001,"&lt;="&amp;$B208,BD!$W$3:$W$5001,"&lt;&gt;")=0,"",SUMIFS(BD!$W$3:$W$5001,BD!$B$3:$B$5001,U$206,BD!$A$3:$A$5001,_xlfn.MAXIFS(BD!$A$3:$A$5001,BD!$B$3:$B$5001,U$206,BD!$A$3:$A$5001,"&gt;="&amp;$C$7,BD!$A$3:$A$5001,"&lt;="&amp;$B208,BD!$W$3:$W$5001,"&lt;&gt;"))))</f>
        <v/>
      </c>
      <c r="V208" s="43" t="str">
        <f>IF(OR($B208="",$A208&gt;$B$9,V$206=""),"",IF(COUNTIFS(BD!$B$3:$B$5001,V$206,BD!$A$3:$A$5001,"&gt;="&amp;$C$7,BD!$A$3:$A$5001,"&lt;="&amp;$B208,BD!$W$3:$W$5001,"&lt;&gt;")=0,"",SUMIFS(BD!$W$3:$W$5001,BD!$B$3:$B$5001,V$206,BD!$A$3:$A$5001,_xlfn.MAXIFS(BD!$A$3:$A$5001,BD!$B$3:$B$5001,V$206,BD!$A$3:$A$5001,"&gt;="&amp;$C$7,BD!$A$3:$A$5001,"&lt;="&amp;$B208,BD!$W$3:$W$5001,"&lt;&gt;"))))</f>
        <v/>
      </c>
    </row>
    <row r="209">
      <c r="A209" s="38">
        <v>3</v>
      </c>
      <c r="B209" s="42">
        <f>$B$14</f>
        <v>46298</v>
      </c>
      <c r="C209" s="43" t="str">
        <f>IF(OR($B209="",$A209&gt;$B$9,C$206=""),"",IF(COUNTIFS(BD!$B$3:$B$5001,C$206,BD!$A$3:$A$5001,"&gt;="&amp;$C$7,BD!$A$3:$A$5001,"&lt;="&amp;$B209,BD!$W$3:$W$5001,"&lt;&gt;")=0,"",SUMIFS(BD!$W$3:$W$5001,BD!$B$3:$B$5001,C$206,BD!$A$3:$A$5001,_xlfn.MAXIFS(BD!$A$3:$A$5001,BD!$B$3:$B$5001,C$206,BD!$A$3:$A$5001,"&gt;="&amp;$C$7,BD!$A$3:$A$5001,"&lt;="&amp;$B209,BD!$W$3:$W$5001,"&lt;&gt;"))))</f>
        <v/>
      </c>
      <c r="D209" s="43" t="str">
        <f>IF(OR($B209="",$A209&gt;$B$9,D$206=""),"",IF(COUNTIFS(BD!$B$3:$B$5001,D$206,BD!$A$3:$A$5001,"&gt;="&amp;$C$7,BD!$A$3:$A$5001,"&lt;="&amp;$B209,BD!$W$3:$W$5001,"&lt;&gt;")=0,"",SUMIFS(BD!$W$3:$W$5001,BD!$B$3:$B$5001,D$206,BD!$A$3:$A$5001,_xlfn.MAXIFS(BD!$A$3:$A$5001,BD!$B$3:$B$5001,D$206,BD!$A$3:$A$5001,"&gt;="&amp;$C$7,BD!$A$3:$A$5001,"&lt;="&amp;$B209,BD!$W$3:$W$5001,"&lt;&gt;"))))</f>
        <v/>
      </c>
      <c r="E209" s="43" t="str">
        <f>IF(OR($B209="",$A209&gt;$B$9,E$206=""),"",IF(COUNTIFS(BD!$B$3:$B$5001,E$206,BD!$A$3:$A$5001,"&gt;="&amp;$C$7,BD!$A$3:$A$5001,"&lt;="&amp;$B209,BD!$W$3:$W$5001,"&lt;&gt;")=0,"",SUMIFS(BD!$W$3:$W$5001,BD!$B$3:$B$5001,E$206,BD!$A$3:$A$5001,_xlfn.MAXIFS(BD!$A$3:$A$5001,BD!$B$3:$B$5001,E$206,BD!$A$3:$A$5001,"&gt;="&amp;$C$7,BD!$A$3:$A$5001,"&lt;="&amp;$B209,BD!$W$3:$W$5001,"&lt;&gt;"))))</f>
        <v/>
      </c>
      <c r="F209" s="43" t="str">
        <f>IF(OR($B209="",$A209&gt;$B$9,F$206=""),"",IF(COUNTIFS(BD!$B$3:$B$5001,F$206,BD!$A$3:$A$5001,"&gt;="&amp;$C$7,BD!$A$3:$A$5001,"&lt;="&amp;$B209,BD!$W$3:$W$5001,"&lt;&gt;")=0,"",SUMIFS(BD!$W$3:$W$5001,BD!$B$3:$B$5001,F$206,BD!$A$3:$A$5001,_xlfn.MAXIFS(BD!$A$3:$A$5001,BD!$B$3:$B$5001,F$206,BD!$A$3:$A$5001,"&gt;="&amp;$C$7,BD!$A$3:$A$5001,"&lt;="&amp;$B209,BD!$W$3:$W$5001,"&lt;&gt;"))))</f>
        <v/>
      </c>
      <c r="G209" s="43" t="str">
        <f>IF(OR($B209="",$A209&gt;$B$9,G$206=""),"",IF(COUNTIFS(BD!$B$3:$B$5001,G$206,BD!$A$3:$A$5001,"&gt;="&amp;$C$7,BD!$A$3:$A$5001,"&lt;="&amp;$B209,BD!$W$3:$W$5001,"&lt;&gt;")=0,"",SUMIFS(BD!$W$3:$W$5001,BD!$B$3:$B$5001,G$206,BD!$A$3:$A$5001,_xlfn.MAXIFS(BD!$A$3:$A$5001,BD!$B$3:$B$5001,G$206,BD!$A$3:$A$5001,"&gt;="&amp;$C$7,BD!$A$3:$A$5001,"&lt;="&amp;$B209,BD!$W$3:$W$5001,"&lt;&gt;"))))</f>
        <v/>
      </c>
      <c r="H209" s="43" t="str">
        <f>IF(OR($B209="",$A209&gt;$B$9,H$206=""),"",IF(COUNTIFS(BD!$B$3:$B$5001,H$206,BD!$A$3:$A$5001,"&gt;="&amp;$C$7,BD!$A$3:$A$5001,"&lt;="&amp;$B209,BD!$W$3:$W$5001,"&lt;&gt;")=0,"",SUMIFS(BD!$W$3:$W$5001,BD!$B$3:$B$5001,H$206,BD!$A$3:$A$5001,_xlfn.MAXIFS(BD!$A$3:$A$5001,BD!$B$3:$B$5001,H$206,BD!$A$3:$A$5001,"&gt;="&amp;$C$7,BD!$A$3:$A$5001,"&lt;="&amp;$B209,BD!$W$3:$W$5001,"&lt;&gt;"))))</f>
        <v/>
      </c>
      <c r="I209" s="43" t="str">
        <f>IF(OR($B209="",$A209&gt;$B$9,I$206=""),"",IF(COUNTIFS(BD!$B$3:$B$5001,I$206,BD!$A$3:$A$5001,"&gt;="&amp;$C$7,BD!$A$3:$A$5001,"&lt;="&amp;$B209,BD!$W$3:$W$5001,"&lt;&gt;")=0,"",SUMIFS(BD!$W$3:$W$5001,BD!$B$3:$B$5001,I$206,BD!$A$3:$A$5001,_xlfn.MAXIFS(BD!$A$3:$A$5001,BD!$B$3:$B$5001,I$206,BD!$A$3:$A$5001,"&gt;="&amp;$C$7,BD!$A$3:$A$5001,"&lt;="&amp;$B209,BD!$W$3:$W$5001,"&lt;&gt;"))))</f>
        <v/>
      </c>
      <c r="J209" s="43" t="str">
        <f>IF(OR($B209="",$A209&gt;$B$9,J$206=""),"",IF(COUNTIFS(BD!$B$3:$B$5001,J$206,BD!$A$3:$A$5001,"&gt;="&amp;$C$7,BD!$A$3:$A$5001,"&lt;="&amp;$B209,BD!$W$3:$W$5001,"&lt;&gt;")=0,"",SUMIFS(BD!$W$3:$W$5001,BD!$B$3:$B$5001,J$206,BD!$A$3:$A$5001,_xlfn.MAXIFS(BD!$A$3:$A$5001,BD!$B$3:$B$5001,J$206,BD!$A$3:$A$5001,"&gt;="&amp;$C$7,BD!$A$3:$A$5001,"&lt;="&amp;$B209,BD!$W$3:$W$5001,"&lt;&gt;"))))</f>
        <v/>
      </c>
      <c r="K209" s="43" t="str">
        <f>IF(OR($B209="",$A209&gt;$B$9,K$206=""),"",IF(COUNTIFS(BD!$B$3:$B$5001,K$206,BD!$A$3:$A$5001,"&gt;="&amp;$C$7,BD!$A$3:$A$5001,"&lt;="&amp;$B209,BD!$W$3:$W$5001,"&lt;&gt;")=0,"",SUMIFS(BD!$W$3:$W$5001,BD!$B$3:$B$5001,K$206,BD!$A$3:$A$5001,_xlfn.MAXIFS(BD!$A$3:$A$5001,BD!$B$3:$B$5001,K$206,BD!$A$3:$A$5001,"&gt;="&amp;$C$7,BD!$A$3:$A$5001,"&lt;="&amp;$B209,BD!$W$3:$W$5001,"&lt;&gt;"))))</f>
        <v/>
      </c>
      <c r="L209" s="43" t="str">
        <f>IF(OR($B209="",$A209&gt;$B$9,L$206=""),"",IF(COUNTIFS(BD!$B$3:$B$5001,L$206,BD!$A$3:$A$5001,"&gt;="&amp;$C$7,BD!$A$3:$A$5001,"&lt;="&amp;$B209,BD!$W$3:$W$5001,"&lt;&gt;")=0,"",SUMIFS(BD!$W$3:$W$5001,BD!$B$3:$B$5001,L$206,BD!$A$3:$A$5001,_xlfn.MAXIFS(BD!$A$3:$A$5001,BD!$B$3:$B$5001,L$206,BD!$A$3:$A$5001,"&gt;="&amp;$C$7,BD!$A$3:$A$5001,"&lt;="&amp;$B209,BD!$W$3:$W$5001,"&lt;&gt;"))))</f>
        <v/>
      </c>
      <c r="M209" s="43" t="str">
        <f>IF(OR($B209="",$A209&gt;$B$9,M$206=""),"",IF(COUNTIFS(BD!$B$3:$B$5001,M$206,BD!$A$3:$A$5001,"&gt;="&amp;$C$7,BD!$A$3:$A$5001,"&lt;="&amp;$B209,BD!$W$3:$W$5001,"&lt;&gt;")=0,"",SUMIFS(BD!$W$3:$W$5001,BD!$B$3:$B$5001,M$206,BD!$A$3:$A$5001,_xlfn.MAXIFS(BD!$A$3:$A$5001,BD!$B$3:$B$5001,M$206,BD!$A$3:$A$5001,"&gt;="&amp;$C$7,BD!$A$3:$A$5001,"&lt;="&amp;$B209,BD!$W$3:$W$5001,"&lt;&gt;"))))</f>
        <v/>
      </c>
      <c r="N209" s="43" t="str">
        <f>IF(OR($B209="",$A209&gt;$B$9,N$206=""),"",IF(COUNTIFS(BD!$B$3:$B$5001,N$206,BD!$A$3:$A$5001,"&gt;="&amp;$C$7,BD!$A$3:$A$5001,"&lt;="&amp;$B209,BD!$W$3:$W$5001,"&lt;&gt;")=0,"",SUMIFS(BD!$W$3:$W$5001,BD!$B$3:$B$5001,N$206,BD!$A$3:$A$5001,_xlfn.MAXIFS(BD!$A$3:$A$5001,BD!$B$3:$B$5001,N$206,BD!$A$3:$A$5001,"&gt;="&amp;$C$7,BD!$A$3:$A$5001,"&lt;="&amp;$B209,BD!$W$3:$W$5001,"&lt;&gt;"))))</f>
        <v/>
      </c>
      <c r="O209" s="43" t="str">
        <f>IF(OR($B209="",$A209&gt;$B$9,O$206=""),"",IF(COUNTIFS(BD!$B$3:$B$5001,O$206,BD!$A$3:$A$5001,"&gt;="&amp;$C$7,BD!$A$3:$A$5001,"&lt;="&amp;$B209,BD!$W$3:$W$5001,"&lt;&gt;")=0,"",SUMIFS(BD!$W$3:$W$5001,BD!$B$3:$B$5001,O$206,BD!$A$3:$A$5001,_xlfn.MAXIFS(BD!$A$3:$A$5001,BD!$B$3:$B$5001,O$206,BD!$A$3:$A$5001,"&gt;="&amp;$C$7,BD!$A$3:$A$5001,"&lt;="&amp;$B209,BD!$W$3:$W$5001,"&lt;&gt;"))))</f>
        <v/>
      </c>
      <c r="P209" s="43" t="str">
        <f>IF(OR($B209="",$A209&gt;$B$9,P$206=""),"",IF(COUNTIFS(BD!$B$3:$B$5001,P$206,BD!$A$3:$A$5001,"&gt;="&amp;$C$7,BD!$A$3:$A$5001,"&lt;="&amp;$B209,BD!$W$3:$W$5001,"&lt;&gt;")=0,"",SUMIFS(BD!$W$3:$W$5001,BD!$B$3:$B$5001,P$206,BD!$A$3:$A$5001,_xlfn.MAXIFS(BD!$A$3:$A$5001,BD!$B$3:$B$5001,P$206,BD!$A$3:$A$5001,"&gt;="&amp;$C$7,BD!$A$3:$A$5001,"&lt;="&amp;$B209,BD!$W$3:$W$5001,"&lt;&gt;"))))</f>
        <v/>
      </c>
      <c r="Q209" s="43" t="str">
        <f>IF(OR($B209="",$A209&gt;$B$9,Q$206=""),"",IF(COUNTIFS(BD!$B$3:$B$5001,Q$206,BD!$A$3:$A$5001,"&gt;="&amp;$C$7,BD!$A$3:$A$5001,"&lt;="&amp;$B209,BD!$W$3:$W$5001,"&lt;&gt;")=0,"",SUMIFS(BD!$W$3:$W$5001,BD!$B$3:$B$5001,Q$206,BD!$A$3:$A$5001,_xlfn.MAXIFS(BD!$A$3:$A$5001,BD!$B$3:$B$5001,Q$206,BD!$A$3:$A$5001,"&gt;="&amp;$C$7,BD!$A$3:$A$5001,"&lt;="&amp;$B209,BD!$W$3:$W$5001,"&lt;&gt;"))))</f>
        <v/>
      </c>
      <c r="R209" s="43" t="str">
        <f>IF(OR($B209="",$A209&gt;$B$9,R$206=""),"",IF(COUNTIFS(BD!$B$3:$B$5001,R$206,BD!$A$3:$A$5001,"&gt;="&amp;$C$7,BD!$A$3:$A$5001,"&lt;="&amp;$B209,BD!$W$3:$W$5001,"&lt;&gt;")=0,"",SUMIFS(BD!$W$3:$W$5001,BD!$B$3:$B$5001,R$206,BD!$A$3:$A$5001,_xlfn.MAXIFS(BD!$A$3:$A$5001,BD!$B$3:$B$5001,R$206,BD!$A$3:$A$5001,"&gt;="&amp;$C$7,BD!$A$3:$A$5001,"&lt;="&amp;$B209,BD!$W$3:$W$5001,"&lt;&gt;"))))</f>
        <v/>
      </c>
      <c r="S209" s="43" t="str">
        <f>IF(OR($B209="",$A209&gt;$B$9,S$206=""),"",IF(COUNTIFS(BD!$B$3:$B$5001,S$206,BD!$A$3:$A$5001,"&gt;="&amp;$C$7,BD!$A$3:$A$5001,"&lt;="&amp;$B209,BD!$W$3:$W$5001,"&lt;&gt;")=0,"",SUMIFS(BD!$W$3:$W$5001,BD!$B$3:$B$5001,S$206,BD!$A$3:$A$5001,_xlfn.MAXIFS(BD!$A$3:$A$5001,BD!$B$3:$B$5001,S$206,BD!$A$3:$A$5001,"&gt;="&amp;$C$7,BD!$A$3:$A$5001,"&lt;="&amp;$B209,BD!$W$3:$W$5001,"&lt;&gt;"))))</f>
        <v/>
      </c>
      <c r="T209" s="43" t="str">
        <f>IF(OR($B209="",$A209&gt;$B$9,T$206=""),"",IF(COUNTIFS(BD!$B$3:$B$5001,T$206,BD!$A$3:$A$5001,"&gt;="&amp;$C$7,BD!$A$3:$A$5001,"&lt;="&amp;$B209,BD!$W$3:$W$5001,"&lt;&gt;")=0,"",SUMIFS(BD!$W$3:$W$5001,BD!$B$3:$B$5001,T$206,BD!$A$3:$A$5001,_xlfn.MAXIFS(BD!$A$3:$A$5001,BD!$B$3:$B$5001,T$206,BD!$A$3:$A$5001,"&gt;="&amp;$C$7,BD!$A$3:$A$5001,"&lt;="&amp;$B209,BD!$W$3:$W$5001,"&lt;&gt;"))))</f>
        <v/>
      </c>
      <c r="U209" s="43" t="str">
        <f>IF(OR($B209="",$A209&gt;$B$9,U$206=""),"",IF(COUNTIFS(BD!$B$3:$B$5001,U$206,BD!$A$3:$A$5001,"&gt;="&amp;$C$7,BD!$A$3:$A$5001,"&lt;="&amp;$B209,BD!$W$3:$W$5001,"&lt;&gt;")=0,"",SUMIFS(BD!$W$3:$W$5001,BD!$B$3:$B$5001,U$206,BD!$A$3:$A$5001,_xlfn.MAXIFS(BD!$A$3:$A$5001,BD!$B$3:$B$5001,U$206,BD!$A$3:$A$5001,"&gt;="&amp;$C$7,BD!$A$3:$A$5001,"&lt;="&amp;$B209,BD!$W$3:$W$5001,"&lt;&gt;"))))</f>
        <v/>
      </c>
      <c r="V209" s="43" t="str">
        <f>IF(OR($B209="",$A209&gt;$B$9,V$206=""),"",IF(COUNTIFS(BD!$B$3:$B$5001,V$206,BD!$A$3:$A$5001,"&gt;="&amp;$C$7,BD!$A$3:$A$5001,"&lt;="&amp;$B209,BD!$W$3:$W$5001,"&lt;&gt;")=0,"",SUMIFS(BD!$W$3:$W$5001,BD!$B$3:$B$5001,V$206,BD!$A$3:$A$5001,_xlfn.MAXIFS(BD!$A$3:$A$5001,BD!$B$3:$B$5001,V$206,BD!$A$3:$A$5001,"&gt;="&amp;$C$7,BD!$A$3:$A$5001,"&lt;="&amp;$B209,BD!$W$3:$W$5001,"&lt;&gt;"))))</f>
        <v/>
      </c>
    </row>
    <row r="210">
      <c r="A210" s="38">
        <v>4</v>
      </c>
      <c r="B210" s="42">
        <f>$B$15</f>
        <v>46299</v>
      </c>
      <c r="C210" s="43" t="str">
        <f>IF(OR($B210="",$A210&gt;$B$9,C$206=""),"",IF(COUNTIFS(BD!$B$3:$B$5001,C$206,BD!$A$3:$A$5001,"&gt;="&amp;$C$7,BD!$A$3:$A$5001,"&lt;="&amp;$B210,BD!$W$3:$W$5001,"&lt;&gt;")=0,"",SUMIFS(BD!$W$3:$W$5001,BD!$B$3:$B$5001,C$206,BD!$A$3:$A$5001,_xlfn.MAXIFS(BD!$A$3:$A$5001,BD!$B$3:$B$5001,C$206,BD!$A$3:$A$5001,"&gt;="&amp;$C$7,BD!$A$3:$A$5001,"&lt;="&amp;$B210,BD!$W$3:$W$5001,"&lt;&gt;"))))</f>
        <v/>
      </c>
      <c r="D210" s="43" t="str">
        <f>IF(OR($B210="",$A210&gt;$B$9,D$206=""),"",IF(COUNTIFS(BD!$B$3:$B$5001,D$206,BD!$A$3:$A$5001,"&gt;="&amp;$C$7,BD!$A$3:$A$5001,"&lt;="&amp;$B210,BD!$W$3:$W$5001,"&lt;&gt;")=0,"",SUMIFS(BD!$W$3:$W$5001,BD!$B$3:$B$5001,D$206,BD!$A$3:$A$5001,_xlfn.MAXIFS(BD!$A$3:$A$5001,BD!$B$3:$B$5001,D$206,BD!$A$3:$A$5001,"&gt;="&amp;$C$7,BD!$A$3:$A$5001,"&lt;="&amp;$B210,BD!$W$3:$W$5001,"&lt;&gt;"))))</f>
        <v/>
      </c>
      <c r="E210" s="43" t="str">
        <f>IF(OR($B210="",$A210&gt;$B$9,E$206=""),"",IF(COUNTIFS(BD!$B$3:$B$5001,E$206,BD!$A$3:$A$5001,"&gt;="&amp;$C$7,BD!$A$3:$A$5001,"&lt;="&amp;$B210,BD!$W$3:$W$5001,"&lt;&gt;")=0,"",SUMIFS(BD!$W$3:$W$5001,BD!$B$3:$B$5001,E$206,BD!$A$3:$A$5001,_xlfn.MAXIFS(BD!$A$3:$A$5001,BD!$B$3:$B$5001,E$206,BD!$A$3:$A$5001,"&gt;="&amp;$C$7,BD!$A$3:$A$5001,"&lt;="&amp;$B210,BD!$W$3:$W$5001,"&lt;&gt;"))))</f>
        <v/>
      </c>
      <c r="F210" s="43" t="str">
        <f>IF(OR($B210="",$A210&gt;$B$9,F$206=""),"",IF(COUNTIFS(BD!$B$3:$B$5001,F$206,BD!$A$3:$A$5001,"&gt;="&amp;$C$7,BD!$A$3:$A$5001,"&lt;="&amp;$B210,BD!$W$3:$W$5001,"&lt;&gt;")=0,"",SUMIFS(BD!$W$3:$W$5001,BD!$B$3:$B$5001,F$206,BD!$A$3:$A$5001,_xlfn.MAXIFS(BD!$A$3:$A$5001,BD!$B$3:$B$5001,F$206,BD!$A$3:$A$5001,"&gt;="&amp;$C$7,BD!$A$3:$A$5001,"&lt;="&amp;$B210,BD!$W$3:$W$5001,"&lt;&gt;"))))</f>
        <v/>
      </c>
      <c r="G210" s="43" t="str">
        <f>IF(OR($B210="",$A210&gt;$B$9,G$206=""),"",IF(COUNTIFS(BD!$B$3:$B$5001,G$206,BD!$A$3:$A$5001,"&gt;="&amp;$C$7,BD!$A$3:$A$5001,"&lt;="&amp;$B210,BD!$W$3:$W$5001,"&lt;&gt;")=0,"",SUMIFS(BD!$W$3:$W$5001,BD!$B$3:$B$5001,G$206,BD!$A$3:$A$5001,_xlfn.MAXIFS(BD!$A$3:$A$5001,BD!$B$3:$B$5001,G$206,BD!$A$3:$A$5001,"&gt;="&amp;$C$7,BD!$A$3:$A$5001,"&lt;="&amp;$B210,BD!$W$3:$W$5001,"&lt;&gt;"))))</f>
        <v/>
      </c>
      <c r="H210" s="43" t="str">
        <f>IF(OR($B210="",$A210&gt;$B$9,H$206=""),"",IF(COUNTIFS(BD!$B$3:$B$5001,H$206,BD!$A$3:$A$5001,"&gt;="&amp;$C$7,BD!$A$3:$A$5001,"&lt;="&amp;$B210,BD!$W$3:$W$5001,"&lt;&gt;")=0,"",SUMIFS(BD!$W$3:$W$5001,BD!$B$3:$B$5001,H$206,BD!$A$3:$A$5001,_xlfn.MAXIFS(BD!$A$3:$A$5001,BD!$B$3:$B$5001,H$206,BD!$A$3:$A$5001,"&gt;="&amp;$C$7,BD!$A$3:$A$5001,"&lt;="&amp;$B210,BD!$W$3:$W$5001,"&lt;&gt;"))))</f>
        <v/>
      </c>
      <c r="I210" s="43" t="str">
        <f>IF(OR($B210="",$A210&gt;$B$9,I$206=""),"",IF(COUNTIFS(BD!$B$3:$B$5001,I$206,BD!$A$3:$A$5001,"&gt;="&amp;$C$7,BD!$A$3:$A$5001,"&lt;="&amp;$B210,BD!$W$3:$W$5001,"&lt;&gt;")=0,"",SUMIFS(BD!$W$3:$W$5001,BD!$B$3:$B$5001,I$206,BD!$A$3:$A$5001,_xlfn.MAXIFS(BD!$A$3:$A$5001,BD!$B$3:$B$5001,I$206,BD!$A$3:$A$5001,"&gt;="&amp;$C$7,BD!$A$3:$A$5001,"&lt;="&amp;$B210,BD!$W$3:$W$5001,"&lt;&gt;"))))</f>
        <v/>
      </c>
      <c r="J210" s="43" t="str">
        <f>IF(OR($B210="",$A210&gt;$B$9,J$206=""),"",IF(COUNTIFS(BD!$B$3:$B$5001,J$206,BD!$A$3:$A$5001,"&gt;="&amp;$C$7,BD!$A$3:$A$5001,"&lt;="&amp;$B210,BD!$W$3:$W$5001,"&lt;&gt;")=0,"",SUMIFS(BD!$W$3:$W$5001,BD!$B$3:$B$5001,J$206,BD!$A$3:$A$5001,_xlfn.MAXIFS(BD!$A$3:$A$5001,BD!$B$3:$B$5001,J$206,BD!$A$3:$A$5001,"&gt;="&amp;$C$7,BD!$A$3:$A$5001,"&lt;="&amp;$B210,BD!$W$3:$W$5001,"&lt;&gt;"))))</f>
        <v/>
      </c>
      <c r="K210" s="43" t="str">
        <f>IF(OR($B210="",$A210&gt;$B$9,K$206=""),"",IF(COUNTIFS(BD!$B$3:$B$5001,K$206,BD!$A$3:$A$5001,"&gt;="&amp;$C$7,BD!$A$3:$A$5001,"&lt;="&amp;$B210,BD!$W$3:$W$5001,"&lt;&gt;")=0,"",SUMIFS(BD!$W$3:$W$5001,BD!$B$3:$B$5001,K$206,BD!$A$3:$A$5001,_xlfn.MAXIFS(BD!$A$3:$A$5001,BD!$B$3:$B$5001,K$206,BD!$A$3:$A$5001,"&gt;="&amp;$C$7,BD!$A$3:$A$5001,"&lt;="&amp;$B210,BD!$W$3:$W$5001,"&lt;&gt;"))))</f>
        <v/>
      </c>
      <c r="L210" s="43" t="str">
        <f>IF(OR($B210="",$A210&gt;$B$9,L$206=""),"",IF(COUNTIFS(BD!$B$3:$B$5001,L$206,BD!$A$3:$A$5001,"&gt;="&amp;$C$7,BD!$A$3:$A$5001,"&lt;="&amp;$B210,BD!$W$3:$W$5001,"&lt;&gt;")=0,"",SUMIFS(BD!$W$3:$W$5001,BD!$B$3:$B$5001,L$206,BD!$A$3:$A$5001,_xlfn.MAXIFS(BD!$A$3:$A$5001,BD!$B$3:$B$5001,L$206,BD!$A$3:$A$5001,"&gt;="&amp;$C$7,BD!$A$3:$A$5001,"&lt;="&amp;$B210,BD!$W$3:$W$5001,"&lt;&gt;"))))</f>
        <v/>
      </c>
      <c r="M210" s="43" t="str">
        <f>IF(OR($B210="",$A210&gt;$B$9,M$206=""),"",IF(COUNTIFS(BD!$B$3:$B$5001,M$206,BD!$A$3:$A$5001,"&gt;="&amp;$C$7,BD!$A$3:$A$5001,"&lt;="&amp;$B210,BD!$W$3:$W$5001,"&lt;&gt;")=0,"",SUMIFS(BD!$W$3:$W$5001,BD!$B$3:$B$5001,M$206,BD!$A$3:$A$5001,_xlfn.MAXIFS(BD!$A$3:$A$5001,BD!$B$3:$B$5001,M$206,BD!$A$3:$A$5001,"&gt;="&amp;$C$7,BD!$A$3:$A$5001,"&lt;="&amp;$B210,BD!$W$3:$W$5001,"&lt;&gt;"))))</f>
        <v/>
      </c>
      <c r="N210" s="43" t="str">
        <f>IF(OR($B210="",$A210&gt;$B$9,N$206=""),"",IF(COUNTIFS(BD!$B$3:$B$5001,N$206,BD!$A$3:$A$5001,"&gt;="&amp;$C$7,BD!$A$3:$A$5001,"&lt;="&amp;$B210,BD!$W$3:$W$5001,"&lt;&gt;")=0,"",SUMIFS(BD!$W$3:$W$5001,BD!$B$3:$B$5001,N$206,BD!$A$3:$A$5001,_xlfn.MAXIFS(BD!$A$3:$A$5001,BD!$B$3:$B$5001,N$206,BD!$A$3:$A$5001,"&gt;="&amp;$C$7,BD!$A$3:$A$5001,"&lt;="&amp;$B210,BD!$W$3:$W$5001,"&lt;&gt;"))))</f>
        <v/>
      </c>
      <c r="O210" s="43" t="str">
        <f>IF(OR($B210="",$A210&gt;$B$9,O$206=""),"",IF(COUNTIFS(BD!$B$3:$B$5001,O$206,BD!$A$3:$A$5001,"&gt;="&amp;$C$7,BD!$A$3:$A$5001,"&lt;="&amp;$B210,BD!$W$3:$W$5001,"&lt;&gt;")=0,"",SUMIFS(BD!$W$3:$W$5001,BD!$B$3:$B$5001,O$206,BD!$A$3:$A$5001,_xlfn.MAXIFS(BD!$A$3:$A$5001,BD!$B$3:$B$5001,O$206,BD!$A$3:$A$5001,"&gt;="&amp;$C$7,BD!$A$3:$A$5001,"&lt;="&amp;$B210,BD!$W$3:$W$5001,"&lt;&gt;"))))</f>
        <v/>
      </c>
      <c r="P210" s="43" t="str">
        <f>IF(OR($B210="",$A210&gt;$B$9,P$206=""),"",IF(COUNTIFS(BD!$B$3:$B$5001,P$206,BD!$A$3:$A$5001,"&gt;="&amp;$C$7,BD!$A$3:$A$5001,"&lt;="&amp;$B210,BD!$W$3:$W$5001,"&lt;&gt;")=0,"",SUMIFS(BD!$W$3:$W$5001,BD!$B$3:$B$5001,P$206,BD!$A$3:$A$5001,_xlfn.MAXIFS(BD!$A$3:$A$5001,BD!$B$3:$B$5001,P$206,BD!$A$3:$A$5001,"&gt;="&amp;$C$7,BD!$A$3:$A$5001,"&lt;="&amp;$B210,BD!$W$3:$W$5001,"&lt;&gt;"))))</f>
        <v/>
      </c>
      <c r="Q210" s="43" t="str">
        <f>IF(OR($B210="",$A210&gt;$B$9,Q$206=""),"",IF(COUNTIFS(BD!$B$3:$B$5001,Q$206,BD!$A$3:$A$5001,"&gt;="&amp;$C$7,BD!$A$3:$A$5001,"&lt;="&amp;$B210,BD!$W$3:$W$5001,"&lt;&gt;")=0,"",SUMIFS(BD!$W$3:$W$5001,BD!$B$3:$B$5001,Q$206,BD!$A$3:$A$5001,_xlfn.MAXIFS(BD!$A$3:$A$5001,BD!$B$3:$B$5001,Q$206,BD!$A$3:$A$5001,"&gt;="&amp;$C$7,BD!$A$3:$A$5001,"&lt;="&amp;$B210,BD!$W$3:$W$5001,"&lt;&gt;"))))</f>
        <v/>
      </c>
      <c r="R210" s="43" t="str">
        <f>IF(OR($B210="",$A210&gt;$B$9,R$206=""),"",IF(COUNTIFS(BD!$B$3:$B$5001,R$206,BD!$A$3:$A$5001,"&gt;="&amp;$C$7,BD!$A$3:$A$5001,"&lt;="&amp;$B210,BD!$W$3:$W$5001,"&lt;&gt;")=0,"",SUMIFS(BD!$W$3:$W$5001,BD!$B$3:$B$5001,R$206,BD!$A$3:$A$5001,_xlfn.MAXIFS(BD!$A$3:$A$5001,BD!$B$3:$B$5001,R$206,BD!$A$3:$A$5001,"&gt;="&amp;$C$7,BD!$A$3:$A$5001,"&lt;="&amp;$B210,BD!$W$3:$W$5001,"&lt;&gt;"))))</f>
        <v/>
      </c>
      <c r="S210" s="43" t="str">
        <f>IF(OR($B210="",$A210&gt;$B$9,S$206=""),"",IF(COUNTIFS(BD!$B$3:$B$5001,S$206,BD!$A$3:$A$5001,"&gt;="&amp;$C$7,BD!$A$3:$A$5001,"&lt;="&amp;$B210,BD!$W$3:$W$5001,"&lt;&gt;")=0,"",SUMIFS(BD!$W$3:$W$5001,BD!$B$3:$B$5001,S$206,BD!$A$3:$A$5001,_xlfn.MAXIFS(BD!$A$3:$A$5001,BD!$B$3:$B$5001,S$206,BD!$A$3:$A$5001,"&gt;="&amp;$C$7,BD!$A$3:$A$5001,"&lt;="&amp;$B210,BD!$W$3:$W$5001,"&lt;&gt;"))))</f>
        <v/>
      </c>
      <c r="T210" s="43" t="str">
        <f>IF(OR($B210="",$A210&gt;$B$9,T$206=""),"",IF(COUNTIFS(BD!$B$3:$B$5001,T$206,BD!$A$3:$A$5001,"&gt;="&amp;$C$7,BD!$A$3:$A$5001,"&lt;="&amp;$B210,BD!$W$3:$W$5001,"&lt;&gt;")=0,"",SUMIFS(BD!$W$3:$W$5001,BD!$B$3:$B$5001,T$206,BD!$A$3:$A$5001,_xlfn.MAXIFS(BD!$A$3:$A$5001,BD!$B$3:$B$5001,T$206,BD!$A$3:$A$5001,"&gt;="&amp;$C$7,BD!$A$3:$A$5001,"&lt;="&amp;$B210,BD!$W$3:$W$5001,"&lt;&gt;"))))</f>
        <v/>
      </c>
      <c r="U210" s="43" t="str">
        <f>IF(OR($B210="",$A210&gt;$B$9,U$206=""),"",IF(COUNTIFS(BD!$B$3:$B$5001,U$206,BD!$A$3:$A$5001,"&gt;="&amp;$C$7,BD!$A$3:$A$5001,"&lt;="&amp;$B210,BD!$W$3:$W$5001,"&lt;&gt;")=0,"",SUMIFS(BD!$W$3:$W$5001,BD!$B$3:$B$5001,U$206,BD!$A$3:$A$5001,_xlfn.MAXIFS(BD!$A$3:$A$5001,BD!$B$3:$B$5001,U$206,BD!$A$3:$A$5001,"&gt;="&amp;$C$7,BD!$A$3:$A$5001,"&lt;="&amp;$B210,BD!$W$3:$W$5001,"&lt;&gt;"))))</f>
        <v/>
      </c>
      <c r="V210" s="43" t="str">
        <f>IF(OR($B210="",$A210&gt;$B$9,V$206=""),"",IF(COUNTIFS(BD!$B$3:$B$5001,V$206,BD!$A$3:$A$5001,"&gt;="&amp;$C$7,BD!$A$3:$A$5001,"&lt;="&amp;$B210,BD!$W$3:$W$5001,"&lt;&gt;")=0,"",SUMIFS(BD!$W$3:$W$5001,BD!$B$3:$B$5001,V$206,BD!$A$3:$A$5001,_xlfn.MAXIFS(BD!$A$3:$A$5001,BD!$B$3:$B$5001,V$206,BD!$A$3:$A$5001,"&gt;="&amp;$C$7,BD!$A$3:$A$5001,"&lt;="&amp;$B210,BD!$W$3:$W$5001,"&lt;&gt;"))))</f>
        <v/>
      </c>
    </row>
    <row r="211">
      <c r="A211" s="38">
        <v>5</v>
      </c>
      <c r="B211" s="42">
        <f>$B$16</f>
        <v>46300</v>
      </c>
      <c r="C211" s="43" t="str">
        <f>IF(OR($B211="",$A211&gt;$B$9,C$206=""),"",IF(COUNTIFS(BD!$B$3:$B$5001,C$206,BD!$A$3:$A$5001,"&gt;="&amp;$C$7,BD!$A$3:$A$5001,"&lt;="&amp;$B211,BD!$W$3:$W$5001,"&lt;&gt;")=0,"",SUMIFS(BD!$W$3:$W$5001,BD!$B$3:$B$5001,C$206,BD!$A$3:$A$5001,_xlfn.MAXIFS(BD!$A$3:$A$5001,BD!$B$3:$B$5001,C$206,BD!$A$3:$A$5001,"&gt;="&amp;$C$7,BD!$A$3:$A$5001,"&lt;="&amp;$B211,BD!$W$3:$W$5001,"&lt;&gt;"))))</f>
        <v/>
      </c>
      <c r="D211" s="43" t="str">
        <f>IF(OR($B211="",$A211&gt;$B$9,D$206=""),"",IF(COUNTIFS(BD!$B$3:$B$5001,D$206,BD!$A$3:$A$5001,"&gt;="&amp;$C$7,BD!$A$3:$A$5001,"&lt;="&amp;$B211,BD!$W$3:$W$5001,"&lt;&gt;")=0,"",SUMIFS(BD!$W$3:$W$5001,BD!$B$3:$B$5001,D$206,BD!$A$3:$A$5001,_xlfn.MAXIFS(BD!$A$3:$A$5001,BD!$B$3:$B$5001,D$206,BD!$A$3:$A$5001,"&gt;="&amp;$C$7,BD!$A$3:$A$5001,"&lt;="&amp;$B211,BD!$W$3:$W$5001,"&lt;&gt;"))))</f>
        <v/>
      </c>
      <c r="E211" s="43" t="str">
        <f>IF(OR($B211="",$A211&gt;$B$9,E$206=""),"",IF(COUNTIFS(BD!$B$3:$B$5001,E$206,BD!$A$3:$A$5001,"&gt;="&amp;$C$7,BD!$A$3:$A$5001,"&lt;="&amp;$B211,BD!$W$3:$W$5001,"&lt;&gt;")=0,"",SUMIFS(BD!$W$3:$W$5001,BD!$B$3:$B$5001,E$206,BD!$A$3:$A$5001,_xlfn.MAXIFS(BD!$A$3:$A$5001,BD!$B$3:$B$5001,E$206,BD!$A$3:$A$5001,"&gt;="&amp;$C$7,BD!$A$3:$A$5001,"&lt;="&amp;$B211,BD!$W$3:$W$5001,"&lt;&gt;"))))</f>
        <v/>
      </c>
      <c r="F211" s="43" t="str">
        <f>IF(OR($B211="",$A211&gt;$B$9,F$206=""),"",IF(COUNTIFS(BD!$B$3:$B$5001,F$206,BD!$A$3:$A$5001,"&gt;="&amp;$C$7,BD!$A$3:$A$5001,"&lt;="&amp;$B211,BD!$W$3:$W$5001,"&lt;&gt;")=0,"",SUMIFS(BD!$W$3:$W$5001,BD!$B$3:$B$5001,F$206,BD!$A$3:$A$5001,_xlfn.MAXIFS(BD!$A$3:$A$5001,BD!$B$3:$B$5001,F$206,BD!$A$3:$A$5001,"&gt;="&amp;$C$7,BD!$A$3:$A$5001,"&lt;="&amp;$B211,BD!$W$3:$W$5001,"&lt;&gt;"))))</f>
        <v/>
      </c>
      <c r="G211" s="43" t="str">
        <f>IF(OR($B211="",$A211&gt;$B$9,G$206=""),"",IF(COUNTIFS(BD!$B$3:$B$5001,G$206,BD!$A$3:$A$5001,"&gt;="&amp;$C$7,BD!$A$3:$A$5001,"&lt;="&amp;$B211,BD!$W$3:$W$5001,"&lt;&gt;")=0,"",SUMIFS(BD!$W$3:$W$5001,BD!$B$3:$B$5001,G$206,BD!$A$3:$A$5001,_xlfn.MAXIFS(BD!$A$3:$A$5001,BD!$B$3:$B$5001,G$206,BD!$A$3:$A$5001,"&gt;="&amp;$C$7,BD!$A$3:$A$5001,"&lt;="&amp;$B211,BD!$W$3:$W$5001,"&lt;&gt;"))))</f>
        <v/>
      </c>
      <c r="H211" s="43" t="str">
        <f>IF(OR($B211="",$A211&gt;$B$9,H$206=""),"",IF(COUNTIFS(BD!$B$3:$B$5001,H$206,BD!$A$3:$A$5001,"&gt;="&amp;$C$7,BD!$A$3:$A$5001,"&lt;="&amp;$B211,BD!$W$3:$W$5001,"&lt;&gt;")=0,"",SUMIFS(BD!$W$3:$W$5001,BD!$B$3:$B$5001,H$206,BD!$A$3:$A$5001,_xlfn.MAXIFS(BD!$A$3:$A$5001,BD!$B$3:$B$5001,H$206,BD!$A$3:$A$5001,"&gt;="&amp;$C$7,BD!$A$3:$A$5001,"&lt;="&amp;$B211,BD!$W$3:$W$5001,"&lt;&gt;"))))</f>
        <v/>
      </c>
      <c r="I211" s="43" t="str">
        <f>IF(OR($B211="",$A211&gt;$B$9,I$206=""),"",IF(COUNTIFS(BD!$B$3:$B$5001,I$206,BD!$A$3:$A$5001,"&gt;="&amp;$C$7,BD!$A$3:$A$5001,"&lt;="&amp;$B211,BD!$W$3:$W$5001,"&lt;&gt;")=0,"",SUMIFS(BD!$W$3:$W$5001,BD!$B$3:$B$5001,I$206,BD!$A$3:$A$5001,_xlfn.MAXIFS(BD!$A$3:$A$5001,BD!$B$3:$B$5001,I$206,BD!$A$3:$A$5001,"&gt;="&amp;$C$7,BD!$A$3:$A$5001,"&lt;="&amp;$B211,BD!$W$3:$W$5001,"&lt;&gt;"))))</f>
        <v/>
      </c>
      <c r="J211" s="43" t="str">
        <f>IF(OR($B211="",$A211&gt;$B$9,J$206=""),"",IF(COUNTIFS(BD!$B$3:$B$5001,J$206,BD!$A$3:$A$5001,"&gt;="&amp;$C$7,BD!$A$3:$A$5001,"&lt;="&amp;$B211,BD!$W$3:$W$5001,"&lt;&gt;")=0,"",SUMIFS(BD!$W$3:$W$5001,BD!$B$3:$B$5001,J$206,BD!$A$3:$A$5001,_xlfn.MAXIFS(BD!$A$3:$A$5001,BD!$B$3:$B$5001,J$206,BD!$A$3:$A$5001,"&gt;="&amp;$C$7,BD!$A$3:$A$5001,"&lt;="&amp;$B211,BD!$W$3:$W$5001,"&lt;&gt;"))))</f>
        <v/>
      </c>
      <c r="K211" s="43" t="str">
        <f>IF(OR($B211="",$A211&gt;$B$9,K$206=""),"",IF(COUNTIFS(BD!$B$3:$B$5001,K$206,BD!$A$3:$A$5001,"&gt;="&amp;$C$7,BD!$A$3:$A$5001,"&lt;="&amp;$B211,BD!$W$3:$W$5001,"&lt;&gt;")=0,"",SUMIFS(BD!$W$3:$W$5001,BD!$B$3:$B$5001,K$206,BD!$A$3:$A$5001,_xlfn.MAXIFS(BD!$A$3:$A$5001,BD!$B$3:$B$5001,K$206,BD!$A$3:$A$5001,"&gt;="&amp;$C$7,BD!$A$3:$A$5001,"&lt;="&amp;$B211,BD!$W$3:$W$5001,"&lt;&gt;"))))</f>
        <v/>
      </c>
      <c r="L211" s="43" t="str">
        <f>IF(OR($B211="",$A211&gt;$B$9,L$206=""),"",IF(COUNTIFS(BD!$B$3:$B$5001,L$206,BD!$A$3:$A$5001,"&gt;="&amp;$C$7,BD!$A$3:$A$5001,"&lt;="&amp;$B211,BD!$W$3:$W$5001,"&lt;&gt;")=0,"",SUMIFS(BD!$W$3:$W$5001,BD!$B$3:$B$5001,L$206,BD!$A$3:$A$5001,_xlfn.MAXIFS(BD!$A$3:$A$5001,BD!$B$3:$B$5001,L$206,BD!$A$3:$A$5001,"&gt;="&amp;$C$7,BD!$A$3:$A$5001,"&lt;="&amp;$B211,BD!$W$3:$W$5001,"&lt;&gt;"))))</f>
        <v/>
      </c>
      <c r="M211" s="43" t="str">
        <f>IF(OR($B211="",$A211&gt;$B$9,M$206=""),"",IF(COUNTIFS(BD!$B$3:$B$5001,M$206,BD!$A$3:$A$5001,"&gt;="&amp;$C$7,BD!$A$3:$A$5001,"&lt;="&amp;$B211,BD!$W$3:$W$5001,"&lt;&gt;")=0,"",SUMIFS(BD!$W$3:$W$5001,BD!$B$3:$B$5001,M$206,BD!$A$3:$A$5001,_xlfn.MAXIFS(BD!$A$3:$A$5001,BD!$B$3:$B$5001,M$206,BD!$A$3:$A$5001,"&gt;="&amp;$C$7,BD!$A$3:$A$5001,"&lt;="&amp;$B211,BD!$W$3:$W$5001,"&lt;&gt;"))))</f>
        <v/>
      </c>
      <c r="N211" s="43" t="str">
        <f>IF(OR($B211="",$A211&gt;$B$9,N$206=""),"",IF(COUNTIFS(BD!$B$3:$B$5001,N$206,BD!$A$3:$A$5001,"&gt;="&amp;$C$7,BD!$A$3:$A$5001,"&lt;="&amp;$B211,BD!$W$3:$W$5001,"&lt;&gt;")=0,"",SUMIFS(BD!$W$3:$W$5001,BD!$B$3:$B$5001,N$206,BD!$A$3:$A$5001,_xlfn.MAXIFS(BD!$A$3:$A$5001,BD!$B$3:$B$5001,N$206,BD!$A$3:$A$5001,"&gt;="&amp;$C$7,BD!$A$3:$A$5001,"&lt;="&amp;$B211,BD!$W$3:$W$5001,"&lt;&gt;"))))</f>
        <v/>
      </c>
      <c r="O211" s="43" t="str">
        <f>IF(OR($B211="",$A211&gt;$B$9,O$206=""),"",IF(COUNTIFS(BD!$B$3:$B$5001,O$206,BD!$A$3:$A$5001,"&gt;="&amp;$C$7,BD!$A$3:$A$5001,"&lt;="&amp;$B211,BD!$W$3:$W$5001,"&lt;&gt;")=0,"",SUMIFS(BD!$W$3:$W$5001,BD!$B$3:$B$5001,O$206,BD!$A$3:$A$5001,_xlfn.MAXIFS(BD!$A$3:$A$5001,BD!$B$3:$B$5001,O$206,BD!$A$3:$A$5001,"&gt;="&amp;$C$7,BD!$A$3:$A$5001,"&lt;="&amp;$B211,BD!$W$3:$W$5001,"&lt;&gt;"))))</f>
        <v/>
      </c>
      <c r="P211" s="43" t="str">
        <f>IF(OR($B211="",$A211&gt;$B$9,P$206=""),"",IF(COUNTIFS(BD!$B$3:$B$5001,P$206,BD!$A$3:$A$5001,"&gt;="&amp;$C$7,BD!$A$3:$A$5001,"&lt;="&amp;$B211,BD!$W$3:$W$5001,"&lt;&gt;")=0,"",SUMIFS(BD!$W$3:$W$5001,BD!$B$3:$B$5001,P$206,BD!$A$3:$A$5001,_xlfn.MAXIFS(BD!$A$3:$A$5001,BD!$B$3:$B$5001,P$206,BD!$A$3:$A$5001,"&gt;="&amp;$C$7,BD!$A$3:$A$5001,"&lt;="&amp;$B211,BD!$W$3:$W$5001,"&lt;&gt;"))))</f>
        <v/>
      </c>
      <c r="Q211" s="43" t="str">
        <f>IF(OR($B211="",$A211&gt;$B$9,Q$206=""),"",IF(COUNTIFS(BD!$B$3:$B$5001,Q$206,BD!$A$3:$A$5001,"&gt;="&amp;$C$7,BD!$A$3:$A$5001,"&lt;="&amp;$B211,BD!$W$3:$W$5001,"&lt;&gt;")=0,"",SUMIFS(BD!$W$3:$W$5001,BD!$B$3:$B$5001,Q$206,BD!$A$3:$A$5001,_xlfn.MAXIFS(BD!$A$3:$A$5001,BD!$B$3:$B$5001,Q$206,BD!$A$3:$A$5001,"&gt;="&amp;$C$7,BD!$A$3:$A$5001,"&lt;="&amp;$B211,BD!$W$3:$W$5001,"&lt;&gt;"))))</f>
        <v/>
      </c>
      <c r="R211" s="43" t="str">
        <f>IF(OR($B211="",$A211&gt;$B$9,R$206=""),"",IF(COUNTIFS(BD!$B$3:$B$5001,R$206,BD!$A$3:$A$5001,"&gt;="&amp;$C$7,BD!$A$3:$A$5001,"&lt;="&amp;$B211,BD!$W$3:$W$5001,"&lt;&gt;")=0,"",SUMIFS(BD!$W$3:$W$5001,BD!$B$3:$B$5001,R$206,BD!$A$3:$A$5001,_xlfn.MAXIFS(BD!$A$3:$A$5001,BD!$B$3:$B$5001,R$206,BD!$A$3:$A$5001,"&gt;="&amp;$C$7,BD!$A$3:$A$5001,"&lt;="&amp;$B211,BD!$W$3:$W$5001,"&lt;&gt;"))))</f>
        <v/>
      </c>
      <c r="S211" s="43" t="str">
        <f>IF(OR($B211="",$A211&gt;$B$9,S$206=""),"",IF(COUNTIFS(BD!$B$3:$B$5001,S$206,BD!$A$3:$A$5001,"&gt;="&amp;$C$7,BD!$A$3:$A$5001,"&lt;="&amp;$B211,BD!$W$3:$W$5001,"&lt;&gt;")=0,"",SUMIFS(BD!$W$3:$W$5001,BD!$B$3:$B$5001,S$206,BD!$A$3:$A$5001,_xlfn.MAXIFS(BD!$A$3:$A$5001,BD!$B$3:$B$5001,S$206,BD!$A$3:$A$5001,"&gt;="&amp;$C$7,BD!$A$3:$A$5001,"&lt;="&amp;$B211,BD!$W$3:$W$5001,"&lt;&gt;"))))</f>
        <v/>
      </c>
      <c r="T211" s="43" t="str">
        <f>IF(OR($B211="",$A211&gt;$B$9,T$206=""),"",IF(COUNTIFS(BD!$B$3:$B$5001,T$206,BD!$A$3:$A$5001,"&gt;="&amp;$C$7,BD!$A$3:$A$5001,"&lt;="&amp;$B211,BD!$W$3:$W$5001,"&lt;&gt;")=0,"",SUMIFS(BD!$W$3:$W$5001,BD!$B$3:$B$5001,T$206,BD!$A$3:$A$5001,_xlfn.MAXIFS(BD!$A$3:$A$5001,BD!$B$3:$B$5001,T$206,BD!$A$3:$A$5001,"&gt;="&amp;$C$7,BD!$A$3:$A$5001,"&lt;="&amp;$B211,BD!$W$3:$W$5001,"&lt;&gt;"))))</f>
        <v/>
      </c>
      <c r="U211" s="43" t="str">
        <f>IF(OR($B211="",$A211&gt;$B$9,U$206=""),"",IF(COUNTIFS(BD!$B$3:$B$5001,U$206,BD!$A$3:$A$5001,"&gt;="&amp;$C$7,BD!$A$3:$A$5001,"&lt;="&amp;$B211,BD!$W$3:$W$5001,"&lt;&gt;")=0,"",SUMIFS(BD!$W$3:$W$5001,BD!$B$3:$B$5001,U$206,BD!$A$3:$A$5001,_xlfn.MAXIFS(BD!$A$3:$A$5001,BD!$B$3:$B$5001,U$206,BD!$A$3:$A$5001,"&gt;="&amp;$C$7,BD!$A$3:$A$5001,"&lt;="&amp;$B211,BD!$W$3:$W$5001,"&lt;&gt;"))))</f>
        <v/>
      </c>
      <c r="V211" s="43" t="str">
        <f>IF(OR($B211="",$A211&gt;$B$9,V$206=""),"",IF(COUNTIFS(BD!$B$3:$B$5001,V$206,BD!$A$3:$A$5001,"&gt;="&amp;$C$7,BD!$A$3:$A$5001,"&lt;="&amp;$B211,BD!$W$3:$W$5001,"&lt;&gt;")=0,"",SUMIFS(BD!$W$3:$W$5001,BD!$B$3:$B$5001,V$206,BD!$A$3:$A$5001,_xlfn.MAXIFS(BD!$A$3:$A$5001,BD!$B$3:$B$5001,V$206,BD!$A$3:$A$5001,"&gt;="&amp;$C$7,BD!$A$3:$A$5001,"&lt;="&amp;$B211,BD!$W$3:$W$5001,"&lt;&gt;"))))</f>
        <v/>
      </c>
    </row>
    <row r="212">
      <c r="A212" s="38">
        <v>6</v>
      </c>
      <c r="B212" s="42">
        <f>$B$17</f>
        <v>46301</v>
      </c>
      <c r="C212" s="43" t="str">
        <f>IF(OR($B212="",$A212&gt;$B$9,C$206=""),"",IF(COUNTIFS(BD!$B$3:$B$5001,C$206,BD!$A$3:$A$5001,"&gt;="&amp;$C$7,BD!$A$3:$A$5001,"&lt;="&amp;$B212,BD!$W$3:$W$5001,"&lt;&gt;")=0,"",SUMIFS(BD!$W$3:$W$5001,BD!$B$3:$B$5001,C$206,BD!$A$3:$A$5001,_xlfn.MAXIFS(BD!$A$3:$A$5001,BD!$B$3:$B$5001,C$206,BD!$A$3:$A$5001,"&gt;="&amp;$C$7,BD!$A$3:$A$5001,"&lt;="&amp;$B212,BD!$W$3:$W$5001,"&lt;&gt;"))))</f>
        <v/>
      </c>
      <c r="D212" s="43" t="str">
        <f>IF(OR($B212="",$A212&gt;$B$9,D$206=""),"",IF(COUNTIFS(BD!$B$3:$B$5001,D$206,BD!$A$3:$A$5001,"&gt;="&amp;$C$7,BD!$A$3:$A$5001,"&lt;="&amp;$B212,BD!$W$3:$W$5001,"&lt;&gt;")=0,"",SUMIFS(BD!$W$3:$W$5001,BD!$B$3:$B$5001,D$206,BD!$A$3:$A$5001,_xlfn.MAXIFS(BD!$A$3:$A$5001,BD!$B$3:$B$5001,D$206,BD!$A$3:$A$5001,"&gt;="&amp;$C$7,BD!$A$3:$A$5001,"&lt;="&amp;$B212,BD!$W$3:$W$5001,"&lt;&gt;"))))</f>
        <v/>
      </c>
      <c r="E212" s="43" t="str">
        <f>IF(OR($B212="",$A212&gt;$B$9,E$206=""),"",IF(COUNTIFS(BD!$B$3:$B$5001,E$206,BD!$A$3:$A$5001,"&gt;="&amp;$C$7,BD!$A$3:$A$5001,"&lt;="&amp;$B212,BD!$W$3:$W$5001,"&lt;&gt;")=0,"",SUMIFS(BD!$W$3:$W$5001,BD!$B$3:$B$5001,E$206,BD!$A$3:$A$5001,_xlfn.MAXIFS(BD!$A$3:$A$5001,BD!$B$3:$B$5001,E$206,BD!$A$3:$A$5001,"&gt;="&amp;$C$7,BD!$A$3:$A$5001,"&lt;="&amp;$B212,BD!$W$3:$W$5001,"&lt;&gt;"))))</f>
        <v/>
      </c>
      <c r="F212" s="43" t="str">
        <f>IF(OR($B212="",$A212&gt;$B$9,F$206=""),"",IF(COUNTIFS(BD!$B$3:$B$5001,F$206,BD!$A$3:$A$5001,"&gt;="&amp;$C$7,BD!$A$3:$A$5001,"&lt;="&amp;$B212,BD!$W$3:$W$5001,"&lt;&gt;")=0,"",SUMIFS(BD!$W$3:$W$5001,BD!$B$3:$B$5001,F$206,BD!$A$3:$A$5001,_xlfn.MAXIFS(BD!$A$3:$A$5001,BD!$B$3:$B$5001,F$206,BD!$A$3:$A$5001,"&gt;="&amp;$C$7,BD!$A$3:$A$5001,"&lt;="&amp;$B212,BD!$W$3:$W$5001,"&lt;&gt;"))))</f>
        <v/>
      </c>
      <c r="G212" s="43" t="str">
        <f>IF(OR($B212="",$A212&gt;$B$9,G$206=""),"",IF(COUNTIFS(BD!$B$3:$B$5001,G$206,BD!$A$3:$A$5001,"&gt;="&amp;$C$7,BD!$A$3:$A$5001,"&lt;="&amp;$B212,BD!$W$3:$W$5001,"&lt;&gt;")=0,"",SUMIFS(BD!$W$3:$W$5001,BD!$B$3:$B$5001,G$206,BD!$A$3:$A$5001,_xlfn.MAXIFS(BD!$A$3:$A$5001,BD!$B$3:$B$5001,G$206,BD!$A$3:$A$5001,"&gt;="&amp;$C$7,BD!$A$3:$A$5001,"&lt;="&amp;$B212,BD!$W$3:$W$5001,"&lt;&gt;"))))</f>
        <v/>
      </c>
      <c r="H212" s="43" t="str">
        <f>IF(OR($B212="",$A212&gt;$B$9,H$206=""),"",IF(COUNTIFS(BD!$B$3:$B$5001,H$206,BD!$A$3:$A$5001,"&gt;="&amp;$C$7,BD!$A$3:$A$5001,"&lt;="&amp;$B212,BD!$W$3:$W$5001,"&lt;&gt;")=0,"",SUMIFS(BD!$W$3:$W$5001,BD!$B$3:$B$5001,H$206,BD!$A$3:$A$5001,_xlfn.MAXIFS(BD!$A$3:$A$5001,BD!$B$3:$B$5001,H$206,BD!$A$3:$A$5001,"&gt;="&amp;$C$7,BD!$A$3:$A$5001,"&lt;="&amp;$B212,BD!$W$3:$W$5001,"&lt;&gt;"))))</f>
        <v/>
      </c>
      <c r="I212" s="43" t="str">
        <f>IF(OR($B212="",$A212&gt;$B$9,I$206=""),"",IF(COUNTIFS(BD!$B$3:$B$5001,I$206,BD!$A$3:$A$5001,"&gt;="&amp;$C$7,BD!$A$3:$A$5001,"&lt;="&amp;$B212,BD!$W$3:$W$5001,"&lt;&gt;")=0,"",SUMIFS(BD!$W$3:$W$5001,BD!$B$3:$B$5001,I$206,BD!$A$3:$A$5001,_xlfn.MAXIFS(BD!$A$3:$A$5001,BD!$B$3:$B$5001,I$206,BD!$A$3:$A$5001,"&gt;="&amp;$C$7,BD!$A$3:$A$5001,"&lt;="&amp;$B212,BD!$W$3:$W$5001,"&lt;&gt;"))))</f>
        <v/>
      </c>
      <c r="J212" s="43" t="str">
        <f>IF(OR($B212="",$A212&gt;$B$9,J$206=""),"",IF(COUNTIFS(BD!$B$3:$B$5001,J$206,BD!$A$3:$A$5001,"&gt;="&amp;$C$7,BD!$A$3:$A$5001,"&lt;="&amp;$B212,BD!$W$3:$W$5001,"&lt;&gt;")=0,"",SUMIFS(BD!$W$3:$W$5001,BD!$B$3:$B$5001,J$206,BD!$A$3:$A$5001,_xlfn.MAXIFS(BD!$A$3:$A$5001,BD!$B$3:$B$5001,J$206,BD!$A$3:$A$5001,"&gt;="&amp;$C$7,BD!$A$3:$A$5001,"&lt;="&amp;$B212,BD!$W$3:$W$5001,"&lt;&gt;"))))</f>
        <v/>
      </c>
      <c r="K212" s="43" t="str">
        <f>IF(OR($B212="",$A212&gt;$B$9,K$206=""),"",IF(COUNTIFS(BD!$B$3:$B$5001,K$206,BD!$A$3:$A$5001,"&gt;="&amp;$C$7,BD!$A$3:$A$5001,"&lt;="&amp;$B212,BD!$W$3:$W$5001,"&lt;&gt;")=0,"",SUMIFS(BD!$W$3:$W$5001,BD!$B$3:$B$5001,K$206,BD!$A$3:$A$5001,_xlfn.MAXIFS(BD!$A$3:$A$5001,BD!$B$3:$B$5001,K$206,BD!$A$3:$A$5001,"&gt;="&amp;$C$7,BD!$A$3:$A$5001,"&lt;="&amp;$B212,BD!$W$3:$W$5001,"&lt;&gt;"))))</f>
        <v/>
      </c>
      <c r="L212" s="43" t="str">
        <f>IF(OR($B212="",$A212&gt;$B$9,L$206=""),"",IF(COUNTIFS(BD!$B$3:$B$5001,L$206,BD!$A$3:$A$5001,"&gt;="&amp;$C$7,BD!$A$3:$A$5001,"&lt;="&amp;$B212,BD!$W$3:$W$5001,"&lt;&gt;")=0,"",SUMIFS(BD!$W$3:$W$5001,BD!$B$3:$B$5001,L$206,BD!$A$3:$A$5001,_xlfn.MAXIFS(BD!$A$3:$A$5001,BD!$B$3:$B$5001,L$206,BD!$A$3:$A$5001,"&gt;="&amp;$C$7,BD!$A$3:$A$5001,"&lt;="&amp;$B212,BD!$W$3:$W$5001,"&lt;&gt;"))))</f>
        <v/>
      </c>
      <c r="M212" s="43" t="str">
        <f>IF(OR($B212="",$A212&gt;$B$9,M$206=""),"",IF(COUNTIFS(BD!$B$3:$B$5001,M$206,BD!$A$3:$A$5001,"&gt;="&amp;$C$7,BD!$A$3:$A$5001,"&lt;="&amp;$B212,BD!$W$3:$W$5001,"&lt;&gt;")=0,"",SUMIFS(BD!$W$3:$W$5001,BD!$B$3:$B$5001,M$206,BD!$A$3:$A$5001,_xlfn.MAXIFS(BD!$A$3:$A$5001,BD!$B$3:$B$5001,M$206,BD!$A$3:$A$5001,"&gt;="&amp;$C$7,BD!$A$3:$A$5001,"&lt;="&amp;$B212,BD!$W$3:$W$5001,"&lt;&gt;"))))</f>
        <v/>
      </c>
      <c r="N212" s="43" t="str">
        <f>IF(OR($B212="",$A212&gt;$B$9,N$206=""),"",IF(COUNTIFS(BD!$B$3:$B$5001,N$206,BD!$A$3:$A$5001,"&gt;="&amp;$C$7,BD!$A$3:$A$5001,"&lt;="&amp;$B212,BD!$W$3:$W$5001,"&lt;&gt;")=0,"",SUMIFS(BD!$W$3:$W$5001,BD!$B$3:$B$5001,N$206,BD!$A$3:$A$5001,_xlfn.MAXIFS(BD!$A$3:$A$5001,BD!$B$3:$B$5001,N$206,BD!$A$3:$A$5001,"&gt;="&amp;$C$7,BD!$A$3:$A$5001,"&lt;="&amp;$B212,BD!$W$3:$W$5001,"&lt;&gt;"))))</f>
        <v/>
      </c>
      <c r="O212" s="43" t="str">
        <f>IF(OR($B212="",$A212&gt;$B$9,O$206=""),"",IF(COUNTIFS(BD!$B$3:$B$5001,O$206,BD!$A$3:$A$5001,"&gt;="&amp;$C$7,BD!$A$3:$A$5001,"&lt;="&amp;$B212,BD!$W$3:$W$5001,"&lt;&gt;")=0,"",SUMIFS(BD!$W$3:$W$5001,BD!$B$3:$B$5001,O$206,BD!$A$3:$A$5001,_xlfn.MAXIFS(BD!$A$3:$A$5001,BD!$B$3:$B$5001,O$206,BD!$A$3:$A$5001,"&gt;="&amp;$C$7,BD!$A$3:$A$5001,"&lt;="&amp;$B212,BD!$W$3:$W$5001,"&lt;&gt;"))))</f>
        <v/>
      </c>
      <c r="P212" s="43" t="str">
        <f>IF(OR($B212="",$A212&gt;$B$9,P$206=""),"",IF(COUNTIFS(BD!$B$3:$B$5001,P$206,BD!$A$3:$A$5001,"&gt;="&amp;$C$7,BD!$A$3:$A$5001,"&lt;="&amp;$B212,BD!$W$3:$W$5001,"&lt;&gt;")=0,"",SUMIFS(BD!$W$3:$W$5001,BD!$B$3:$B$5001,P$206,BD!$A$3:$A$5001,_xlfn.MAXIFS(BD!$A$3:$A$5001,BD!$B$3:$B$5001,P$206,BD!$A$3:$A$5001,"&gt;="&amp;$C$7,BD!$A$3:$A$5001,"&lt;="&amp;$B212,BD!$W$3:$W$5001,"&lt;&gt;"))))</f>
        <v/>
      </c>
      <c r="Q212" s="43" t="str">
        <f>IF(OR($B212="",$A212&gt;$B$9,Q$206=""),"",IF(COUNTIFS(BD!$B$3:$B$5001,Q$206,BD!$A$3:$A$5001,"&gt;="&amp;$C$7,BD!$A$3:$A$5001,"&lt;="&amp;$B212,BD!$W$3:$W$5001,"&lt;&gt;")=0,"",SUMIFS(BD!$W$3:$W$5001,BD!$B$3:$B$5001,Q$206,BD!$A$3:$A$5001,_xlfn.MAXIFS(BD!$A$3:$A$5001,BD!$B$3:$B$5001,Q$206,BD!$A$3:$A$5001,"&gt;="&amp;$C$7,BD!$A$3:$A$5001,"&lt;="&amp;$B212,BD!$W$3:$W$5001,"&lt;&gt;"))))</f>
        <v/>
      </c>
      <c r="R212" s="43" t="str">
        <f>IF(OR($B212="",$A212&gt;$B$9,R$206=""),"",IF(COUNTIFS(BD!$B$3:$B$5001,R$206,BD!$A$3:$A$5001,"&gt;="&amp;$C$7,BD!$A$3:$A$5001,"&lt;="&amp;$B212,BD!$W$3:$W$5001,"&lt;&gt;")=0,"",SUMIFS(BD!$W$3:$W$5001,BD!$B$3:$B$5001,R$206,BD!$A$3:$A$5001,_xlfn.MAXIFS(BD!$A$3:$A$5001,BD!$B$3:$B$5001,R$206,BD!$A$3:$A$5001,"&gt;="&amp;$C$7,BD!$A$3:$A$5001,"&lt;="&amp;$B212,BD!$W$3:$W$5001,"&lt;&gt;"))))</f>
        <v/>
      </c>
      <c r="S212" s="43" t="str">
        <f>IF(OR($B212="",$A212&gt;$B$9,S$206=""),"",IF(COUNTIFS(BD!$B$3:$B$5001,S$206,BD!$A$3:$A$5001,"&gt;="&amp;$C$7,BD!$A$3:$A$5001,"&lt;="&amp;$B212,BD!$W$3:$W$5001,"&lt;&gt;")=0,"",SUMIFS(BD!$W$3:$W$5001,BD!$B$3:$B$5001,S$206,BD!$A$3:$A$5001,_xlfn.MAXIFS(BD!$A$3:$A$5001,BD!$B$3:$B$5001,S$206,BD!$A$3:$A$5001,"&gt;="&amp;$C$7,BD!$A$3:$A$5001,"&lt;="&amp;$B212,BD!$W$3:$W$5001,"&lt;&gt;"))))</f>
        <v/>
      </c>
      <c r="T212" s="43" t="str">
        <f>IF(OR($B212="",$A212&gt;$B$9,T$206=""),"",IF(COUNTIFS(BD!$B$3:$B$5001,T$206,BD!$A$3:$A$5001,"&gt;="&amp;$C$7,BD!$A$3:$A$5001,"&lt;="&amp;$B212,BD!$W$3:$W$5001,"&lt;&gt;")=0,"",SUMIFS(BD!$W$3:$W$5001,BD!$B$3:$B$5001,T$206,BD!$A$3:$A$5001,_xlfn.MAXIFS(BD!$A$3:$A$5001,BD!$B$3:$B$5001,T$206,BD!$A$3:$A$5001,"&gt;="&amp;$C$7,BD!$A$3:$A$5001,"&lt;="&amp;$B212,BD!$W$3:$W$5001,"&lt;&gt;"))))</f>
        <v/>
      </c>
      <c r="U212" s="43" t="str">
        <f>IF(OR($B212="",$A212&gt;$B$9,U$206=""),"",IF(COUNTIFS(BD!$B$3:$B$5001,U$206,BD!$A$3:$A$5001,"&gt;="&amp;$C$7,BD!$A$3:$A$5001,"&lt;="&amp;$B212,BD!$W$3:$W$5001,"&lt;&gt;")=0,"",SUMIFS(BD!$W$3:$W$5001,BD!$B$3:$B$5001,U$206,BD!$A$3:$A$5001,_xlfn.MAXIFS(BD!$A$3:$A$5001,BD!$B$3:$B$5001,U$206,BD!$A$3:$A$5001,"&gt;="&amp;$C$7,BD!$A$3:$A$5001,"&lt;="&amp;$B212,BD!$W$3:$W$5001,"&lt;&gt;"))))</f>
        <v/>
      </c>
      <c r="V212" s="43" t="str">
        <f>IF(OR($B212="",$A212&gt;$B$9,V$206=""),"",IF(COUNTIFS(BD!$B$3:$B$5001,V$206,BD!$A$3:$A$5001,"&gt;="&amp;$C$7,BD!$A$3:$A$5001,"&lt;="&amp;$B212,BD!$W$3:$W$5001,"&lt;&gt;")=0,"",SUMIFS(BD!$W$3:$W$5001,BD!$B$3:$B$5001,V$206,BD!$A$3:$A$5001,_xlfn.MAXIFS(BD!$A$3:$A$5001,BD!$B$3:$B$5001,V$206,BD!$A$3:$A$5001,"&gt;="&amp;$C$7,BD!$A$3:$A$5001,"&lt;="&amp;$B212,BD!$W$3:$W$5001,"&lt;&gt;"))))</f>
        <v/>
      </c>
    </row>
    <row r="213">
      <c r="A213" s="38">
        <v>7</v>
      </c>
      <c r="B213" s="42">
        <f>$B$18</f>
        <v>46302</v>
      </c>
      <c r="C213" s="43" t="str">
        <f>IF(OR($B213="",$A213&gt;$B$9,C$206=""),"",IF(COUNTIFS(BD!$B$3:$B$5001,C$206,BD!$A$3:$A$5001,"&gt;="&amp;$C$7,BD!$A$3:$A$5001,"&lt;="&amp;$B213,BD!$W$3:$W$5001,"&lt;&gt;")=0,"",SUMIFS(BD!$W$3:$W$5001,BD!$B$3:$B$5001,C$206,BD!$A$3:$A$5001,_xlfn.MAXIFS(BD!$A$3:$A$5001,BD!$B$3:$B$5001,C$206,BD!$A$3:$A$5001,"&gt;="&amp;$C$7,BD!$A$3:$A$5001,"&lt;="&amp;$B213,BD!$W$3:$W$5001,"&lt;&gt;"))))</f>
        <v/>
      </c>
      <c r="D213" s="43" t="str">
        <f>IF(OR($B213="",$A213&gt;$B$9,D$206=""),"",IF(COUNTIFS(BD!$B$3:$B$5001,D$206,BD!$A$3:$A$5001,"&gt;="&amp;$C$7,BD!$A$3:$A$5001,"&lt;="&amp;$B213,BD!$W$3:$W$5001,"&lt;&gt;")=0,"",SUMIFS(BD!$W$3:$W$5001,BD!$B$3:$B$5001,D$206,BD!$A$3:$A$5001,_xlfn.MAXIFS(BD!$A$3:$A$5001,BD!$B$3:$B$5001,D$206,BD!$A$3:$A$5001,"&gt;="&amp;$C$7,BD!$A$3:$A$5001,"&lt;="&amp;$B213,BD!$W$3:$W$5001,"&lt;&gt;"))))</f>
        <v/>
      </c>
      <c r="E213" s="43" t="str">
        <f>IF(OR($B213="",$A213&gt;$B$9,E$206=""),"",IF(COUNTIFS(BD!$B$3:$B$5001,E$206,BD!$A$3:$A$5001,"&gt;="&amp;$C$7,BD!$A$3:$A$5001,"&lt;="&amp;$B213,BD!$W$3:$W$5001,"&lt;&gt;")=0,"",SUMIFS(BD!$W$3:$W$5001,BD!$B$3:$B$5001,E$206,BD!$A$3:$A$5001,_xlfn.MAXIFS(BD!$A$3:$A$5001,BD!$B$3:$B$5001,E$206,BD!$A$3:$A$5001,"&gt;="&amp;$C$7,BD!$A$3:$A$5001,"&lt;="&amp;$B213,BD!$W$3:$W$5001,"&lt;&gt;"))))</f>
        <v/>
      </c>
      <c r="F213" s="43" t="str">
        <f>IF(OR($B213="",$A213&gt;$B$9,F$206=""),"",IF(COUNTIFS(BD!$B$3:$B$5001,F$206,BD!$A$3:$A$5001,"&gt;="&amp;$C$7,BD!$A$3:$A$5001,"&lt;="&amp;$B213,BD!$W$3:$W$5001,"&lt;&gt;")=0,"",SUMIFS(BD!$W$3:$W$5001,BD!$B$3:$B$5001,F$206,BD!$A$3:$A$5001,_xlfn.MAXIFS(BD!$A$3:$A$5001,BD!$B$3:$B$5001,F$206,BD!$A$3:$A$5001,"&gt;="&amp;$C$7,BD!$A$3:$A$5001,"&lt;="&amp;$B213,BD!$W$3:$W$5001,"&lt;&gt;"))))</f>
        <v/>
      </c>
      <c r="G213" s="43" t="str">
        <f>IF(OR($B213="",$A213&gt;$B$9,G$206=""),"",IF(COUNTIFS(BD!$B$3:$B$5001,G$206,BD!$A$3:$A$5001,"&gt;="&amp;$C$7,BD!$A$3:$A$5001,"&lt;="&amp;$B213,BD!$W$3:$W$5001,"&lt;&gt;")=0,"",SUMIFS(BD!$W$3:$W$5001,BD!$B$3:$B$5001,G$206,BD!$A$3:$A$5001,_xlfn.MAXIFS(BD!$A$3:$A$5001,BD!$B$3:$B$5001,G$206,BD!$A$3:$A$5001,"&gt;="&amp;$C$7,BD!$A$3:$A$5001,"&lt;="&amp;$B213,BD!$W$3:$W$5001,"&lt;&gt;"))))</f>
        <v/>
      </c>
      <c r="H213" s="43" t="str">
        <f>IF(OR($B213="",$A213&gt;$B$9,H$206=""),"",IF(COUNTIFS(BD!$B$3:$B$5001,H$206,BD!$A$3:$A$5001,"&gt;="&amp;$C$7,BD!$A$3:$A$5001,"&lt;="&amp;$B213,BD!$W$3:$W$5001,"&lt;&gt;")=0,"",SUMIFS(BD!$W$3:$W$5001,BD!$B$3:$B$5001,H$206,BD!$A$3:$A$5001,_xlfn.MAXIFS(BD!$A$3:$A$5001,BD!$B$3:$B$5001,H$206,BD!$A$3:$A$5001,"&gt;="&amp;$C$7,BD!$A$3:$A$5001,"&lt;="&amp;$B213,BD!$W$3:$W$5001,"&lt;&gt;"))))</f>
        <v/>
      </c>
      <c r="I213" s="43" t="str">
        <f>IF(OR($B213="",$A213&gt;$B$9,I$206=""),"",IF(COUNTIFS(BD!$B$3:$B$5001,I$206,BD!$A$3:$A$5001,"&gt;="&amp;$C$7,BD!$A$3:$A$5001,"&lt;="&amp;$B213,BD!$W$3:$W$5001,"&lt;&gt;")=0,"",SUMIFS(BD!$W$3:$W$5001,BD!$B$3:$B$5001,I$206,BD!$A$3:$A$5001,_xlfn.MAXIFS(BD!$A$3:$A$5001,BD!$B$3:$B$5001,I$206,BD!$A$3:$A$5001,"&gt;="&amp;$C$7,BD!$A$3:$A$5001,"&lt;="&amp;$B213,BD!$W$3:$W$5001,"&lt;&gt;"))))</f>
        <v/>
      </c>
      <c r="J213" s="43" t="str">
        <f>IF(OR($B213="",$A213&gt;$B$9,J$206=""),"",IF(COUNTIFS(BD!$B$3:$B$5001,J$206,BD!$A$3:$A$5001,"&gt;="&amp;$C$7,BD!$A$3:$A$5001,"&lt;="&amp;$B213,BD!$W$3:$W$5001,"&lt;&gt;")=0,"",SUMIFS(BD!$W$3:$W$5001,BD!$B$3:$B$5001,J$206,BD!$A$3:$A$5001,_xlfn.MAXIFS(BD!$A$3:$A$5001,BD!$B$3:$B$5001,J$206,BD!$A$3:$A$5001,"&gt;="&amp;$C$7,BD!$A$3:$A$5001,"&lt;="&amp;$B213,BD!$W$3:$W$5001,"&lt;&gt;"))))</f>
        <v/>
      </c>
      <c r="K213" s="43" t="str">
        <f>IF(OR($B213="",$A213&gt;$B$9,K$206=""),"",IF(COUNTIFS(BD!$B$3:$B$5001,K$206,BD!$A$3:$A$5001,"&gt;="&amp;$C$7,BD!$A$3:$A$5001,"&lt;="&amp;$B213,BD!$W$3:$W$5001,"&lt;&gt;")=0,"",SUMIFS(BD!$W$3:$W$5001,BD!$B$3:$B$5001,K$206,BD!$A$3:$A$5001,_xlfn.MAXIFS(BD!$A$3:$A$5001,BD!$B$3:$B$5001,K$206,BD!$A$3:$A$5001,"&gt;="&amp;$C$7,BD!$A$3:$A$5001,"&lt;="&amp;$B213,BD!$W$3:$W$5001,"&lt;&gt;"))))</f>
        <v/>
      </c>
      <c r="L213" s="43" t="str">
        <f>IF(OR($B213="",$A213&gt;$B$9,L$206=""),"",IF(COUNTIFS(BD!$B$3:$B$5001,L$206,BD!$A$3:$A$5001,"&gt;="&amp;$C$7,BD!$A$3:$A$5001,"&lt;="&amp;$B213,BD!$W$3:$W$5001,"&lt;&gt;")=0,"",SUMIFS(BD!$W$3:$W$5001,BD!$B$3:$B$5001,L$206,BD!$A$3:$A$5001,_xlfn.MAXIFS(BD!$A$3:$A$5001,BD!$B$3:$B$5001,L$206,BD!$A$3:$A$5001,"&gt;="&amp;$C$7,BD!$A$3:$A$5001,"&lt;="&amp;$B213,BD!$W$3:$W$5001,"&lt;&gt;"))))</f>
        <v/>
      </c>
      <c r="M213" s="43" t="str">
        <f>IF(OR($B213="",$A213&gt;$B$9,M$206=""),"",IF(COUNTIFS(BD!$B$3:$B$5001,M$206,BD!$A$3:$A$5001,"&gt;="&amp;$C$7,BD!$A$3:$A$5001,"&lt;="&amp;$B213,BD!$W$3:$W$5001,"&lt;&gt;")=0,"",SUMIFS(BD!$W$3:$W$5001,BD!$B$3:$B$5001,M$206,BD!$A$3:$A$5001,_xlfn.MAXIFS(BD!$A$3:$A$5001,BD!$B$3:$B$5001,M$206,BD!$A$3:$A$5001,"&gt;="&amp;$C$7,BD!$A$3:$A$5001,"&lt;="&amp;$B213,BD!$W$3:$W$5001,"&lt;&gt;"))))</f>
        <v/>
      </c>
      <c r="N213" s="43" t="str">
        <f>IF(OR($B213="",$A213&gt;$B$9,N$206=""),"",IF(COUNTIFS(BD!$B$3:$B$5001,N$206,BD!$A$3:$A$5001,"&gt;="&amp;$C$7,BD!$A$3:$A$5001,"&lt;="&amp;$B213,BD!$W$3:$W$5001,"&lt;&gt;")=0,"",SUMIFS(BD!$W$3:$W$5001,BD!$B$3:$B$5001,N$206,BD!$A$3:$A$5001,_xlfn.MAXIFS(BD!$A$3:$A$5001,BD!$B$3:$B$5001,N$206,BD!$A$3:$A$5001,"&gt;="&amp;$C$7,BD!$A$3:$A$5001,"&lt;="&amp;$B213,BD!$W$3:$W$5001,"&lt;&gt;"))))</f>
        <v/>
      </c>
      <c r="O213" s="43" t="str">
        <f>IF(OR($B213="",$A213&gt;$B$9,O$206=""),"",IF(COUNTIFS(BD!$B$3:$B$5001,O$206,BD!$A$3:$A$5001,"&gt;="&amp;$C$7,BD!$A$3:$A$5001,"&lt;="&amp;$B213,BD!$W$3:$W$5001,"&lt;&gt;")=0,"",SUMIFS(BD!$W$3:$W$5001,BD!$B$3:$B$5001,O$206,BD!$A$3:$A$5001,_xlfn.MAXIFS(BD!$A$3:$A$5001,BD!$B$3:$B$5001,O$206,BD!$A$3:$A$5001,"&gt;="&amp;$C$7,BD!$A$3:$A$5001,"&lt;="&amp;$B213,BD!$W$3:$W$5001,"&lt;&gt;"))))</f>
        <v/>
      </c>
      <c r="P213" s="43" t="str">
        <f>IF(OR($B213="",$A213&gt;$B$9,P$206=""),"",IF(COUNTIFS(BD!$B$3:$B$5001,P$206,BD!$A$3:$A$5001,"&gt;="&amp;$C$7,BD!$A$3:$A$5001,"&lt;="&amp;$B213,BD!$W$3:$W$5001,"&lt;&gt;")=0,"",SUMIFS(BD!$W$3:$W$5001,BD!$B$3:$B$5001,P$206,BD!$A$3:$A$5001,_xlfn.MAXIFS(BD!$A$3:$A$5001,BD!$B$3:$B$5001,P$206,BD!$A$3:$A$5001,"&gt;="&amp;$C$7,BD!$A$3:$A$5001,"&lt;="&amp;$B213,BD!$W$3:$W$5001,"&lt;&gt;"))))</f>
        <v/>
      </c>
      <c r="Q213" s="43" t="str">
        <f>IF(OR($B213="",$A213&gt;$B$9,Q$206=""),"",IF(COUNTIFS(BD!$B$3:$B$5001,Q$206,BD!$A$3:$A$5001,"&gt;="&amp;$C$7,BD!$A$3:$A$5001,"&lt;="&amp;$B213,BD!$W$3:$W$5001,"&lt;&gt;")=0,"",SUMIFS(BD!$W$3:$W$5001,BD!$B$3:$B$5001,Q$206,BD!$A$3:$A$5001,_xlfn.MAXIFS(BD!$A$3:$A$5001,BD!$B$3:$B$5001,Q$206,BD!$A$3:$A$5001,"&gt;="&amp;$C$7,BD!$A$3:$A$5001,"&lt;="&amp;$B213,BD!$W$3:$W$5001,"&lt;&gt;"))))</f>
        <v/>
      </c>
      <c r="R213" s="43" t="str">
        <f>IF(OR($B213="",$A213&gt;$B$9,R$206=""),"",IF(COUNTIFS(BD!$B$3:$B$5001,R$206,BD!$A$3:$A$5001,"&gt;="&amp;$C$7,BD!$A$3:$A$5001,"&lt;="&amp;$B213,BD!$W$3:$W$5001,"&lt;&gt;")=0,"",SUMIFS(BD!$W$3:$W$5001,BD!$B$3:$B$5001,R$206,BD!$A$3:$A$5001,_xlfn.MAXIFS(BD!$A$3:$A$5001,BD!$B$3:$B$5001,R$206,BD!$A$3:$A$5001,"&gt;="&amp;$C$7,BD!$A$3:$A$5001,"&lt;="&amp;$B213,BD!$W$3:$W$5001,"&lt;&gt;"))))</f>
        <v/>
      </c>
      <c r="S213" s="43" t="str">
        <f>IF(OR($B213="",$A213&gt;$B$9,S$206=""),"",IF(COUNTIFS(BD!$B$3:$B$5001,S$206,BD!$A$3:$A$5001,"&gt;="&amp;$C$7,BD!$A$3:$A$5001,"&lt;="&amp;$B213,BD!$W$3:$W$5001,"&lt;&gt;")=0,"",SUMIFS(BD!$W$3:$W$5001,BD!$B$3:$B$5001,S$206,BD!$A$3:$A$5001,_xlfn.MAXIFS(BD!$A$3:$A$5001,BD!$B$3:$B$5001,S$206,BD!$A$3:$A$5001,"&gt;="&amp;$C$7,BD!$A$3:$A$5001,"&lt;="&amp;$B213,BD!$W$3:$W$5001,"&lt;&gt;"))))</f>
        <v/>
      </c>
      <c r="T213" s="43" t="str">
        <f>IF(OR($B213="",$A213&gt;$B$9,T$206=""),"",IF(COUNTIFS(BD!$B$3:$B$5001,T$206,BD!$A$3:$A$5001,"&gt;="&amp;$C$7,BD!$A$3:$A$5001,"&lt;="&amp;$B213,BD!$W$3:$W$5001,"&lt;&gt;")=0,"",SUMIFS(BD!$W$3:$W$5001,BD!$B$3:$B$5001,T$206,BD!$A$3:$A$5001,_xlfn.MAXIFS(BD!$A$3:$A$5001,BD!$B$3:$B$5001,T$206,BD!$A$3:$A$5001,"&gt;="&amp;$C$7,BD!$A$3:$A$5001,"&lt;="&amp;$B213,BD!$W$3:$W$5001,"&lt;&gt;"))))</f>
        <v/>
      </c>
      <c r="U213" s="43" t="str">
        <f>IF(OR($B213="",$A213&gt;$B$9,U$206=""),"",IF(COUNTIFS(BD!$B$3:$B$5001,U$206,BD!$A$3:$A$5001,"&gt;="&amp;$C$7,BD!$A$3:$A$5001,"&lt;="&amp;$B213,BD!$W$3:$W$5001,"&lt;&gt;")=0,"",SUMIFS(BD!$W$3:$W$5001,BD!$B$3:$B$5001,U$206,BD!$A$3:$A$5001,_xlfn.MAXIFS(BD!$A$3:$A$5001,BD!$B$3:$B$5001,U$206,BD!$A$3:$A$5001,"&gt;="&amp;$C$7,BD!$A$3:$A$5001,"&lt;="&amp;$B213,BD!$W$3:$W$5001,"&lt;&gt;"))))</f>
        <v/>
      </c>
      <c r="V213" s="43" t="str">
        <f>IF(OR($B213="",$A213&gt;$B$9,V$206=""),"",IF(COUNTIFS(BD!$B$3:$B$5001,V$206,BD!$A$3:$A$5001,"&gt;="&amp;$C$7,BD!$A$3:$A$5001,"&lt;="&amp;$B213,BD!$W$3:$W$5001,"&lt;&gt;")=0,"",SUMIFS(BD!$W$3:$W$5001,BD!$B$3:$B$5001,V$206,BD!$A$3:$A$5001,_xlfn.MAXIFS(BD!$A$3:$A$5001,BD!$B$3:$B$5001,V$206,BD!$A$3:$A$5001,"&gt;="&amp;$C$7,BD!$A$3:$A$5001,"&lt;="&amp;$B213,BD!$W$3:$W$5001,"&lt;&gt;"))))</f>
        <v/>
      </c>
    </row>
    <row r="214">
      <c r="A214" s="38">
        <v>8</v>
      </c>
      <c r="B214" s="42">
        <f>$B$19</f>
        <v>46303</v>
      </c>
      <c r="C214" s="43" t="str">
        <f>IF(OR($B214="",$A214&gt;$B$9,C$206=""),"",IF(COUNTIFS(BD!$B$3:$B$5001,C$206,BD!$A$3:$A$5001,"&gt;="&amp;$C$7,BD!$A$3:$A$5001,"&lt;="&amp;$B214,BD!$W$3:$W$5001,"&lt;&gt;")=0,"",SUMIFS(BD!$W$3:$W$5001,BD!$B$3:$B$5001,C$206,BD!$A$3:$A$5001,_xlfn.MAXIFS(BD!$A$3:$A$5001,BD!$B$3:$B$5001,C$206,BD!$A$3:$A$5001,"&gt;="&amp;$C$7,BD!$A$3:$A$5001,"&lt;="&amp;$B214,BD!$W$3:$W$5001,"&lt;&gt;"))))</f>
        <v/>
      </c>
      <c r="D214" s="43" t="str">
        <f>IF(OR($B214="",$A214&gt;$B$9,D$206=""),"",IF(COUNTIFS(BD!$B$3:$B$5001,D$206,BD!$A$3:$A$5001,"&gt;="&amp;$C$7,BD!$A$3:$A$5001,"&lt;="&amp;$B214,BD!$W$3:$W$5001,"&lt;&gt;")=0,"",SUMIFS(BD!$W$3:$W$5001,BD!$B$3:$B$5001,D$206,BD!$A$3:$A$5001,_xlfn.MAXIFS(BD!$A$3:$A$5001,BD!$B$3:$B$5001,D$206,BD!$A$3:$A$5001,"&gt;="&amp;$C$7,BD!$A$3:$A$5001,"&lt;="&amp;$B214,BD!$W$3:$W$5001,"&lt;&gt;"))))</f>
        <v/>
      </c>
      <c r="E214" s="43" t="str">
        <f>IF(OR($B214="",$A214&gt;$B$9,E$206=""),"",IF(COUNTIFS(BD!$B$3:$B$5001,E$206,BD!$A$3:$A$5001,"&gt;="&amp;$C$7,BD!$A$3:$A$5001,"&lt;="&amp;$B214,BD!$W$3:$W$5001,"&lt;&gt;")=0,"",SUMIFS(BD!$W$3:$W$5001,BD!$B$3:$B$5001,E$206,BD!$A$3:$A$5001,_xlfn.MAXIFS(BD!$A$3:$A$5001,BD!$B$3:$B$5001,E$206,BD!$A$3:$A$5001,"&gt;="&amp;$C$7,BD!$A$3:$A$5001,"&lt;="&amp;$B214,BD!$W$3:$W$5001,"&lt;&gt;"))))</f>
        <v/>
      </c>
      <c r="F214" s="43" t="str">
        <f>IF(OR($B214="",$A214&gt;$B$9,F$206=""),"",IF(COUNTIFS(BD!$B$3:$B$5001,F$206,BD!$A$3:$A$5001,"&gt;="&amp;$C$7,BD!$A$3:$A$5001,"&lt;="&amp;$B214,BD!$W$3:$W$5001,"&lt;&gt;")=0,"",SUMIFS(BD!$W$3:$W$5001,BD!$B$3:$B$5001,F$206,BD!$A$3:$A$5001,_xlfn.MAXIFS(BD!$A$3:$A$5001,BD!$B$3:$B$5001,F$206,BD!$A$3:$A$5001,"&gt;="&amp;$C$7,BD!$A$3:$A$5001,"&lt;="&amp;$B214,BD!$W$3:$W$5001,"&lt;&gt;"))))</f>
        <v/>
      </c>
      <c r="G214" s="43" t="str">
        <f>IF(OR($B214="",$A214&gt;$B$9,G$206=""),"",IF(COUNTIFS(BD!$B$3:$B$5001,G$206,BD!$A$3:$A$5001,"&gt;="&amp;$C$7,BD!$A$3:$A$5001,"&lt;="&amp;$B214,BD!$W$3:$W$5001,"&lt;&gt;")=0,"",SUMIFS(BD!$W$3:$W$5001,BD!$B$3:$B$5001,G$206,BD!$A$3:$A$5001,_xlfn.MAXIFS(BD!$A$3:$A$5001,BD!$B$3:$B$5001,G$206,BD!$A$3:$A$5001,"&gt;="&amp;$C$7,BD!$A$3:$A$5001,"&lt;="&amp;$B214,BD!$W$3:$W$5001,"&lt;&gt;"))))</f>
        <v/>
      </c>
      <c r="H214" s="43" t="str">
        <f>IF(OR($B214="",$A214&gt;$B$9,H$206=""),"",IF(COUNTIFS(BD!$B$3:$B$5001,H$206,BD!$A$3:$A$5001,"&gt;="&amp;$C$7,BD!$A$3:$A$5001,"&lt;="&amp;$B214,BD!$W$3:$W$5001,"&lt;&gt;")=0,"",SUMIFS(BD!$W$3:$W$5001,BD!$B$3:$B$5001,H$206,BD!$A$3:$A$5001,_xlfn.MAXIFS(BD!$A$3:$A$5001,BD!$B$3:$B$5001,H$206,BD!$A$3:$A$5001,"&gt;="&amp;$C$7,BD!$A$3:$A$5001,"&lt;="&amp;$B214,BD!$W$3:$W$5001,"&lt;&gt;"))))</f>
        <v/>
      </c>
      <c r="I214" s="43" t="str">
        <f>IF(OR($B214="",$A214&gt;$B$9,I$206=""),"",IF(COUNTIFS(BD!$B$3:$B$5001,I$206,BD!$A$3:$A$5001,"&gt;="&amp;$C$7,BD!$A$3:$A$5001,"&lt;="&amp;$B214,BD!$W$3:$W$5001,"&lt;&gt;")=0,"",SUMIFS(BD!$W$3:$W$5001,BD!$B$3:$B$5001,I$206,BD!$A$3:$A$5001,_xlfn.MAXIFS(BD!$A$3:$A$5001,BD!$B$3:$B$5001,I$206,BD!$A$3:$A$5001,"&gt;="&amp;$C$7,BD!$A$3:$A$5001,"&lt;="&amp;$B214,BD!$W$3:$W$5001,"&lt;&gt;"))))</f>
        <v/>
      </c>
      <c r="J214" s="43" t="str">
        <f>IF(OR($B214="",$A214&gt;$B$9,J$206=""),"",IF(COUNTIFS(BD!$B$3:$B$5001,J$206,BD!$A$3:$A$5001,"&gt;="&amp;$C$7,BD!$A$3:$A$5001,"&lt;="&amp;$B214,BD!$W$3:$W$5001,"&lt;&gt;")=0,"",SUMIFS(BD!$W$3:$W$5001,BD!$B$3:$B$5001,J$206,BD!$A$3:$A$5001,_xlfn.MAXIFS(BD!$A$3:$A$5001,BD!$B$3:$B$5001,J$206,BD!$A$3:$A$5001,"&gt;="&amp;$C$7,BD!$A$3:$A$5001,"&lt;="&amp;$B214,BD!$W$3:$W$5001,"&lt;&gt;"))))</f>
        <v/>
      </c>
      <c r="K214" s="43" t="str">
        <f>IF(OR($B214="",$A214&gt;$B$9,K$206=""),"",IF(COUNTIFS(BD!$B$3:$B$5001,K$206,BD!$A$3:$A$5001,"&gt;="&amp;$C$7,BD!$A$3:$A$5001,"&lt;="&amp;$B214,BD!$W$3:$W$5001,"&lt;&gt;")=0,"",SUMIFS(BD!$W$3:$W$5001,BD!$B$3:$B$5001,K$206,BD!$A$3:$A$5001,_xlfn.MAXIFS(BD!$A$3:$A$5001,BD!$B$3:$B$5001,K$206,BD!$A$3:$A$5001,"&gt;="&amp;$C$7,BD!$A$3:$A$5001,"&lt;="&amp;$B214,BD!$W$3:$W$5001,"&lt;&gt;"))))</f>
        <v/>
      </c>
      <c r="L214" s="43" t="str">
        <f>IF(OR($B214="",$A214&gt;$B$9,L$206=""),"",IF(COUNTIFS(BD!$B$3:$B$5001,L$206,BD!$A$3:$A$5001,"&gt;="&amp;$C$7,BD!$A$3:$A$5001,"&lt;="&amp;$B214,BD!$W$3:$W$5001,"&lt;&gt;")=0,"",SUMIFS(BD!$W$3:$W$5001,BD!$B$3:$B$5001,L$206,BD!$A$3:$A$5001,_xlfn.MAXIFS(BD!$A$3:$A$5001,BD!$B$3:$B$5001,L$206,BD!$A$3:$A$5001,"&gt;="&amp;$C$7,BD!$A$3:$A$5001,"&lt;="&amp;$B214,BD!$W$3:$W$5001,"&lt;&gt;"))))</f>
        <v/>
      </c>
      <c r="M214" s="43" t="str">
        <f>IF(OR($B214="",$A214&gt;$B$9,M$206=""),"",IF(COUNTIFS(BD!$B$3:$B$5001,M$206,BD!$A$3:$A$5001,"&gt;="&amp;$C$7,BD!$A$3:$A$5001,"&lt;="&amp;$B214,BD!$W$3:$W$5001,"&lt;&gt;")=0,"",SUMIFS(BD!$W$3:$W$5001,BD!$B$3:$B$5001,M$206,BD!$A$3:$A$5001,_xlfn.MAXIFS(BD!$A$3:$A$5001,BD!$B$3:$B$5001,M$206,BD!$A$3:$A$5001,"&gt;="&amp;$C$7,BD!$A$3:$A$5001,"&lt;="&amp;$B214,BD!$W$3:$W$5001,"&lt;&gt;"))))</f>
        <v/>
      </c>
      <c r="N214" s="43" t="str">
        <f>IF(OR($B214="",$A214&gt;$B$9,N$206=""),"",IF(COUNTIFS(BD!$B$3:$B$5001,N$206,BD!$A$3:$A$5001,"&gt;="&amp;$C$7,BD!$A$3:$A$5001,"&lt;="&amp;$B214,BD!$W$3:$W$5001,"&lt;&gt;")=0,"",SUMIFS(BD!$W$3:$W$5001,BD!$B$3:$B$5001,N$206,BD!$A$3:$A$5001,_xlfn.MAXIFS(BD!$A$3:$A$5001,BD!$B$3:$B$5001,N$206,BD!$A$3:$A$5001,"&gt;="&amp;$C$7,BD!$A$3:$A$5001,"&lt;="&amp;$B214,BD!$W$3:$W$5001,"&lt;&gt;"))))</f>
        <v/>
      </c>
      <c r="O214" s="43" t="str">
        <f>IF(OR($B214="",$A214&gt;$B$9,O$206=""),"",IF(COUNTIFS(BD!$B$3:$B$5001,O$206,BD!$A$3:$A$5001,"&gt;="&amp;$C$7,BD!$A$3:$A$5001,"&lt;="&amp;$B214,BD!$W$3:$W$5001,"&lt;&gt;")=0,"",SUMIFS(BD!$W$3:$W$5001,BD!$B$3:$B$5001,O$206,BD!$A$3:$A$5001,_xlfn.MAXIFS(BD!$A$3:$A$5001,BD!$B$3:$B$5001,O$206,BD!$A$3:$A$5001,"&gt;="&amp;$C$7,BD!$A$3:$A$5001,"&lt;="&amp;$B214,BD!$W$3:$W$5001,"&lt;&gt;"))))</f>
        <v/>
      </c>
      <c r="P214" s="43" t="str">
        <f>IF(OR($B214="",$A214&gt;$B$9,P$206=""),"",IF(COUNTIFS(BD!$B$3:$B$5001,P$206,BD!$A$3:$A$5001,"&gt;="&amp;$C$7,BD!$A$3:$A$5001,"&lt;="&amp;$B214,BD!$W$3:$W$5001,"&lt;&gt;")=0,"",SUMIFS(BD!$W$3:$W$5001,BD!$B$3:$B$5001,P$206,BD!$A$3:$A$5001,_xlfn.MAXIFS(BD!$A$3:$A$5001,BD!$B$3:$B$5001,P$206,BD!$A$3:$A$5001,"&gt;="&amp;$C$7,BD!$A$3:$A$5001,"&lt;="&amp;$B214,BD!$W$3:$W$5001,"&lt;&gt;"))))</f>
        <v/>
      </c>
      <c r="Q214" s="43" t="str">
        <f>IF(OR($B214="",$A214&gt;$B$9,Q$206=""),"",IF(COUNTIFS(BD!$B$3:$B$5001,Q$206,BD!$A$3:$A$5001,"&gt;="&amp;$C$7,BD!$A$3:$A$5001,"&lt;="&amp;$B214,BD!$W$3:$W$5001,"&lt;&gt;")=0,"",SUMIFS(BD!$W$3:$W$5001,BD!$B$3:$B$5001,Q$206,BD!$A$3:$A$5001,_xlfn.MAXIFS(BD!$A$3:$A$5001,BD!$B$3:$B$5001,Q$206,BD!$A$3:$A$5001,"&gt;="&amp;$C$7,BD!$A$3:$A$5001,"&lt;="&amp;$B214,BD!$W$3:$W$5001,"&lt;&gt;"))))</f>
        <v/>
      </c>
      <c r="R214" s="43" t="str">
        <f>IF(OR($B214="",$A214&gt;$B$9,R$206=""),"",IF(COUNTIFS(BD!$B$3:$B$5001,R$206,BD!$A$3:$A$5001,"&gt;="&amp;$C$7,BD!$A$3:$A$5001,"&lt;="&amp;$B214,BD!$W$3:$W$5001,"&lt;&gt;")=0,"",SUMIFS(BD!$W$3:$W$5001,BD!$B$3:$B$5001,R$206,BD!$A$3:$A$5001,_xlfn.MAXIFS(BD!$A$3:$A$5001,BD!$B$3:$B$5001,R$206,BD!$A$3:$A$5001,"&gt;="&amp;$C$7,BD!$A$3:$A$5001,"&lt;="&amp;$B214,BD!$W$3:$W$5001,"&lt;&gt;"))))</f>
        <v/>
      </c>
      <c r="S214" s="43" t="str">
        <f>IF(OR($B214="",$A214&gt;$B$9,S$206=""),"",IF(COUNTIFS(BD!$B$3:$B$5001,S$206,BD!$A$3:$A$5001,"&gt;="&amp;$C$7,BD!$A$3:$A$5001,"&lt;="&amp;$B214,BD!$W$3:$W$5001,"&lt;&gt;")=0,"",SUMIFS(BD!$W$3:$W$5001,BD!$B$3:$B$5001,S$206,BD!$A$3:$A$5001,_xlfn.MAXIFS(BD!$A$3:$A$5001,BD!$B$3:$B$5001,S$206,BD!$A$3:$A$5001,"&gt;="&amp;$C$7,BD!$A$3:$A$5001,"&lt;="&amp;$B214,BD!$W$3:$W$5001,"&lt;&gt;"))))</f>
        <v/>
      </c>
      <c r="T214" s="43" t="str">
        <f>IF(OR($B214="",$A214&gt;$B$9,T$206=""),"",IF(COUNTIFS(BD!$B$3:$B$5001,T$206,BD!$A$3:$A$5001,"&gt;="&amp;$C$7,BD!$A$3:$A$5001,"&lt;="&amp;$B214,BD!$W$3:$W$5001,"&lt;&gt;")=0,"",SUMIFS(BD!$W$3:$W$5001,BD!$B$3:$B$5001,T$206,BD!$A$3:$A$5001,_xlfn.MAXIFS(BD!$A$3:$A$5001,BD!$B$3:$B$5001,T$206,BD!$A$3:$A$5001,"&gt;="&amp;$C$7,BD!$A$3:$A$5001,"&lt;="&amp;$B214,BD!$W$3:$W$5001,"&lt;&gt;"))))</f>
        <v/>
      </c>
      <c r="U214" s="43" t="str">
        <f>IF(OR($B214="",$A214&gt;$B$9,U$206=""),"",IF(COUNTIFS(BD!$B$3:$B$5001,U$206,BD!$A$3:$A$5001,"&gt;="&amp;$C$7,BD!$A$3:$A$5001,"&lt;="&amp;$B214,BD!$W$3:$W$5001,"&lt;&gt;")=0,"",SUMIFS(BD!$W$3:$W$5001,BD!$B$3:$B$5001,U$206,BD!$A$3:$A$5001,_xlfn.MAXIFS(BD!$A$3:$A$5001,BD!$B$3:$B$5001,U$206,BD!$A$3:$A$5001,"&gt;="&amp;$C$7,BD!$A$3:$A$5001,"&lt;="&amp;$B214,BD!$W$3:$W$5001,"&lt;&gt;"))))</f>
        <v/>
      </c>
      <c r="V214" s="43" t="str">
        <f>IF(OR($B214="",$A214&gt;$B$9,V$206=""),"",IF(COUNTIFS(BD!$B$3:$B$5001,V$206,BD!$A$3:$A$5001,"&gt;="&amp;$C$7,BD!$A$3:$A$5001,"&lt;="&amp;$B214,BD!$W$3:$W$5001,"&lt;&gt;")=0,"",SUMIFS(BD!$W$3:$W$5001,BD!$B$3:$B$5001,V$206,BD!$A$3:$A$5001,_xlfn.MAXIFS(BD!$A$3:$A$5001,BD!$B$3:$B$5001,V$206,BD!$A$3:$A$5001,"&gt;="&amp;$C$7,BD!$A$3:$A$5001,"&lt;="&amp;$B214,BD!$W$3:$W$5001,"&lt;&gt;"))))</f>
        <v/>
      </c>
    </row>
    <row r="215">
      <c r="A215" s="38">
        <v>9</v>
      </c>
      <c r="B215" s="42">
        <f>$B$20</f>
        <v>46304</v>
      </c>
      <c r="C215" s="43" t="str">
        <f>IF(OR($B215="",$A215&gt;$B$9,C$206=""),"",IF(COUNTIFS(BD!$B$3:$B$5001,C$206,BD!$A$3:$A$5001,"&gt;="&amp;$C$7,BD!$A$3:$A$5001,"&lt;="&amp;$B215,BD!$W$3:$W$5001,"&lt;&gt;")=0,"",SUMIFS(BD!$W$3:$W$5001,BD!$B$3:$B$5001,C$206,BD!$A$3:$A$5001,_xlfn.MAXIFS(BD!$A$3:$A$5001,BD!$B$3:$B$5001,C$206,BD!$A$3:$A$5001,"&gt;="&amp;$C$7,BD!$A$3:$A$5001,"&lt;="&amp;$B215,BD!$W$3:$W$5001,"&lt;&gt;"))))</f>
        <v/>
      </c>
      <c r="D215" s="43" t="str">
        <f>IF(OR($B215="",$A215&gt;$B$9,D$206=""),"",IF(COUNTIFS(BD!$B$3:$B$5001,D$206,BD!$A$3:$A$5001,"&gt;="&amp;$C$7,BD!$A$3:$A$5001,"&lt;="&amp;$B215,BD!$W$3:$W$5001,"&lt;&gt;")=0,"",SUMIFS(BD!$W$3:$W$5001,BD!$B$3:$B$5001,D$206,BD!$A$3:$A$5001,_xlfn.MAXIFS(BD!$A$3:$A$5001,BD!$B$3:$B$5001,D$206,BD!$A$3:$A$5001,"&gt;="&amp;$C$7,BD!$A$3:$A$5001,"&lt;="&amp;$B215,BD!$W$3:$W$5001,"&lt;&gt;"))))</f>
        <v/>
      </c>
      <c r="E215" s="43" t="str">
        <f>IF(OR($B215="",$A215&gt;$B$9,E$206=""),"",IF(COUNTIFS(BD!$B$3:$B$5001,E$206,BD!$A$3:$A$5001,"&gt;="&amp;$C$7,BD!$A$3:$A$5001,"&lt;="&amp;$B215,BD!$W$3:$W$5001,"&lt;&gt;")=0,"",SUMIFS(BD!$W$3:$W$5001,BD!$B$3:$B$5001,E$206,BD!$A$3:$A$5001,_xlfn.MAXIFS(BD!$A$3:$A$5001,BD!$B$3:$B$5001,E$206,BD!$A$3:$A$5001,"&gt;="&amp;$C$7,BD!$A$3:$A$5001,"&lt;="&amp;$B215,BD!$W$3:$W$5001,"&lt;&gt;"))))</f>
        <v/>
      </c>
      <c r="F215" s="43" t="str">
        <f>IF(OR($B215="",$A215&gt;$B$9,F$206=""),"",IF(COUNTIFS(BD!$B$3:$B$5001,F$206,BD!$A$3:$A$5001,"&gt;="&amp;$C$7,BD!$A$3:$A$5001,"&lt;="&amp;$B215,BD!$W$3:$W$5001,"&lt;&gt;")=0,"",SUMIFS(BD!$W$3:$W$5001,BD!$B$3:$B$5001,F$206,BD!$A$3:$A$5001,_xlfn.MAXIFS(BD!$A$3:$A$5001,BD!$B$3:$B$5001,F$206,BD!$A$3:$A$5001,"&gt;="&amp;$C$7,BD!$A$3:$A$5001,"&lt;="&amp;$B215,BD!$W$3:$W$5001,"&lt;&gt;"))))</f>
        <v/>
      </c>
      <c r="G215" s="43" t="str">
        <f>IF(OR($B215="",$A215&gt;$B$9,G$206=""),"",IF(COUNTIFS(BD!$B$3:$B$5001,G$206,BD!$A$3:$A$5001,"&gt;="&amp;$C$7,BD!$A$3:$A$5001,"&lt;="&amp;$B215,BD!$W$3:$W$5001,"&lt;&gt;")=0,"",SUMIFS(BD!$W$3:$W$5001,BD!$B$3:$B$5001,G$206,BD!$A$3:$A$5001,_xlfn.MAXIFS(BD!$A$3:$A$5001,BD!$B$3:$B$5001,G$206,BD!$A$3:$A$5001,"&gt;="&amp;$C$7,BD!$A$3:$A$5001,"&lt;="&amp;$B215,BD!$W$3:$W$5001,"&lt;&gt;"))))</f>
        <v/>
      </c>
      <c r="H215" s="43" t="str">
        <f>IF(OR($B215="",$A215&gt;$B$9,H$206=""),"",IF(COUNTIFS(BD!$B$3:$B$5001,H$206,BD!$A$3:$A$5001,"&gt;="&amp;$C$7,BD!$A$3:$A$5001,"&lt;="&amp;$B215,BD!$W$3:$W$5001,"&lt;&gt;")=0,"",SUMIFS(BD!$W$3:$W$5001,BD!$B$3:$B$5001,H$206,BD!$A$3:$A$5001,_xlfn.MAXIFS(BD!$A$3:$A$5001,BD!$B$3:$B$5001,H$206,BD!$A$3:$A$5001,"&gt;="&amp;$C$7,BD!$A$3:$A$5001,"&lt;="&amp;$B215,BD!$W$3:$W$5001,"&lt;&gt;"))))</f>
        <v/>
      </c>
      <c r="I215" s="43" t="str">
        <f>IF(OR($B215="",$A215&gt;$B$9,I$206=""),"",IF(COUNTIFS(BD!$B$3:$B$5001,I$206,BD!$A$3:$A$5001,"&gt;="&amp;$C$7,BD!$A$3:$A$5001,"&lt;="&amp;$B215,BD!$W$3:$W$5001,"&lt;&gt;")=0,"",SUMIFS(BD!$W$3:$W$5001,BD!$B$3:$B$5001,I$206,BD!$A$3:$A$5001,_xlfn.MAXIFS(BD!$A$3:$A$5001,BD!$B$3:$B$5001,I$206,BD!$A$3:$A$5001,"&gt;="&amp;$C$7,BD!$A$3:$A$5001,"&lt;="&amp;$B215,BD!$W$3:$W$5001,"&lt;&gt;"))))</f>
        <v/>
      </c>
      <c r="J215" s="43" t="str">
        <f>IF(OR($B215="",$A215&gt;$B$9,J$206=""),"",IF(COUNTIFS(BD!$B$3:$B$5001,J$206,BD!$A$3:$A$5001,"&gt;="&amp;$C$7,BD!$A$3:$A$5001,"&lt;="&amp;$B215,BD!$W$3:$W$5001,"&lt;&gt;")=0,"",SUMIFS(BD!$W$3:$W$5001,BD!$B$3:$B$5001,J$206,BD!$A$3:$A$5001,_xlfn.MAXIFS(BD!$A$3:$A$5001,BD!$B$3:$B$5001,J$206,BD!$A$3:$A$5001,"&gt;="&amp;$C$7,BD!$A$3:$A$5001,"&lt;="&amp;$B215,BD!$W$3:$W$5001,"&lt;&gt;"))))</f>
        <v/>
      </c>
      <c r="K215" s="43" t="str">
        <f>IF(OR($B215="",$A215&gt;$B$9,K$206=""),"",IF(COUNTIFS(BD!$B$3:$B$5001,K$206,BD!$A$3:$A$5001,"&gt;="&amp;$C$7,BD!$A$3:$A$5001,"&lt;="&amp;$B215,BD!$W$3:$W$5001,"&lt;&gt;")=0,"",SUMIFS(BD!$W$3:$W$5001,BD!$B$3:$B$5001,K$206,BD!$A$3:$A$5001,_xlfn.MAXIFS(BD!$A$3:$A$5001,BD!$B$3:$B$5001,K$206,BD!$A$3:$A$5001,"&gt;="&amp;$C$7,BD!$A$3:$A$5001,"&lt;="&amp;$B215,BD!$W$3:$W$5001,"&lt;&gt;"))))</f>
        <v/>
      </c>
      <c r="L215" s="43" t="str">
        <f>IF(OR($B215="",$A215&gt;$B$9,L$206=""),"",IF(COUNTIFS(BD!$B$3:$B$5001,L$206,BD!$A$3:$A$5001,"&gt;="&amp;$C$7,BD!$A$3:$A$5001,"&lt;="&amp;$B215,BD!$W$3:$W$5001,"&lt;&gt;")=0,"",SUMIFS(BD!$W$3:$W$5001,BD!$B$3:$B$5001,L$206,BD!$A$3:$A$5001,_xlfn.MAXIFS(BD!$A$3:$A$5001,BD!$B$3:$B$5001,L$206,BD!$A$3:$A$5001,"&gt;="&amp;$C$7,BD!$A$3:$A$5001,"&lt;="&amp;$B215,BD!$W$3:$W$5001,"&lt;&gt;"))))</f>
        <v/>
      </c>
      <c r="M215" s="43" t="str">
        <f>IF(OR($B215="",$A215&gt;$B$9,M$206=""),"",IF(COUNTIFS(BD!$B$3:$B$5001,M$206,BD!$A$3:$A$5001,"&gt;="&amp;$C$7,BD!$A$3:$A$5001,"&lt;="&amp;$B215,BD!$W$3:$W$5001,"&lt;&gt;")=0,"",SUMIFS(BD!$W$3:$W$5001,BD!$B$3:$B$5001,M$206,BD!$A$3:$A$5001,_xlfn.MAXIFS(BD!$A$3:$A$5001,BD!$B$3:$B$5001,M$206,BD!$A$3:$A$5001,"&gt;="&amp;$C$7,BD!$A$3:$A$5001,"&lt;="&amp;$B215,BD!$W$3:$W$5001,"&lt;&gt;"))))</f>
        <v/>
      </c>
      <c r="N215" s="43" t="str">
        <f>IF(OR($B215="",$A215&gt;$B$9,N$206=""),"",IF(COUNTIFS(BD!$B$3:$B$5001,N$206,BD!$A$3:$A$5001,"&gt;="&amp;$C$7,BD!$A$3:$A$5001,"&lt;="&amp;$B215,BD!$W$3:$W$5001,"&lt;&gt;")=0,"",SUMIFS(BD!$W$3:$W$5001,BD!$B$3:$B$5001,N$206,BD!$A$3:$A$5001,_xlfn.MAXIFS(BD!$A$3:$A$5001,BD!$B$3:$B$5001,N$206,BD!$A$3:$A$5001,"&gt;="&amp;$C$7,BD!$A$3:$A$5001,"&lt;="&amp;$B215,BD!$W$3:$W$5001,"&lt;&gt;"))))</f>
        <v/>
      </c>
      <c r="O215" s="43" t="str">
        <f>IF(OR($B215="",$A215&gt;$B$9,O$206=""),"",IF(COUNTIFS(BD!$B$3:$B$5001,O$206,BD!$A$3:$A$5001,"&gt;="&amp;$C$7,BD!$A$3:$A$5001,"&lt;="&amp;$B215,BD!$W$3:$W$5001,"&lt;&gt;")=0,"",SUMIFS(BD!$W$3:$W$5001,BD!$B$3:$B$5001,O$206,BD!$A$3:$A$5001,_xlfn.MAXIFS(BD!$A$3:$A$5001,BD!$B$3:$B$5001,O$206,BD!$A$3:$A$5001,"&gt;="&amp;$C$7,BD!$A$3:$A$5001,"&lt;="&amp;$B215,BD!$W$3:$W$5001,"&lt;&gt;"))))</f>
        <v/>
      </c>
      <c r="P215" s="43" t="str">
        <f>IF(OR($B215="",$A215&gt;$B$9,P$206=""),"",IF(COUNTIFS(BD!$B$3:$B$5001,P$206,BD!$A$3:$A$5001,"&gt;="&amp;$C$7,BD!$A$3:$A$5001,"&lt;="&amp;$B215,BD!$W$3:$W$5001,"&lt;&gt;")=0,"",SUMIFS(BD!$W$3:$W$5001,BD!$B$3:$B$5001,P$206,BD!$A$3:$A$5001,_xlfn.MAXIFS(BD!$A$3:$A$5001,BD!$B$3:$B$5001,P$206,BD!$A$3:$A$5001,"&gt;="&amp;$C$7,BD!$A$3:$A$5001,"&lt;="&amp;$B215,BD!$W$3:$W$5001,"&lt;&gt;"))))</f>
        <v/>
      </c>
      <c r="Q215" s="43" t="str">
        <f>IF(OR($B215="",$A215&gt;$B$9,Q$206=""),"",IF(COUNTIFS(BD!$B$3:$B$5001,Q$206,BD!$A$3:$A$5001,"&gt;="&amp;$C$7,BD!$A$3:$A$5001,"&lt;="&amp;$B215,BD!$W$3:$W$5001,"&lt;&gt;")=0,"",SUMIFS(BD!$W$3:$W$5001,BD!$B$3:$B$5001,Q$206,BD!$A$3:$A$5001,_xlfn.MAXIFS(BD!$A$3:$A$5001,BD!$B$3:$B$5001,Q$206,BD!$A$3:$A$5001,"&gt;="&amp;$C$7,BD!$A$3:$A$5001,"&lt;="&amp;$B215,BD!$W$3:$W$5001,"&lt;&gt;"))))</f>
        <v/>
      </c>
      <c r="R215" s="43" t="str">
        <f>IF(OR($B215="",$A215&gt;$B$9,R$206=""),"",IF(COUNTIFS(BD!$B$3:$B$5001,R$206,BD!$A$3:$A$5001,"&gt;="&amp;$C$7,BD!$A$3:$A$5001,"&lt;="&amp;$B215,BD!$W$3:$W$5001,"&lt;&gt;")=0,"",SUMIFS(BD!$W$3:$W$5001,BD!$B$3:$B$5001,R$206,BD!$A$3:$A$5001,_xlfn.MAXIFS(BD!$A$3:$A$5001,BD!$B$3:$B$5001,R$206,BD!$A$3:$A$5001,"&gt;="&amp;$C$7,BD!$A$3:$A$5001,"&lt;="&amp;$B215,BD!$W$3:$W$5001,"&lt;&gt;"))))</f>
        <v/>
      </c>
      <c r="S215" s="43" t="str">
        <f>IF(OR($B215="",$A215&gt;$B$9,S$206=""),"",IF(COUNTIFS(BD!$B$3:$B$5001,S$206,BD!$A$3:$A$5001,"&gt;="&amp;$C$7,BD!$A$3:$A$5001,"&lt;="&amp;$B215,BD!$W$3:$W$5001,"&lt;&gt;")=0,"",SUMIFS(BD!$W$3:$W$5001,BD!$B$3:$B$5001,S$206,BD!$A$3:$A$5001,_xlfn.MAXIFS(BD!$A$3:$A$5001,BD!$B$3:$B$5001,S$206,BD!$A$3:$A$5001,"&gt;="&amp;$C$7,BD!$A$3:$A$5001,"&lt;="&amp;$B215,BD!$W$3:$W$5001,"&lt;&gt;"))))</f>
        <v/>
      </c>
      <c r="T215" s="43" t="str">
        <f>IF(OR($B215="",$A215&gt;$B$9,T$206=""),"",IF(COUNTIFS(BD!$B$3:$B$5001,T$206,BD!$A$3:$A$5001,"&gt;="&amp;$C$7,BD!$A$3:$A$5001,"&lt;="&amp;$B215,BD!$W$3:$W$5001,"&lt;&gt;")=0,"",SUMIFS(BD!$W$3:$W$5001,BD!$B$3:$B$5001,T$206,BD!$A$3:$A$5001,_xlfn.MAXIFS(BD!$A$3:$A$5001,BD!$B$3:$B$5001,T$206,BD!$A$3:$A$5001,"&gt;="&amp;$C$7,BD!$A$3:$A$5001,"&lt;="&amp;$B215,BD!$W$3:$W$5001,"&lt;&gt;"))))</f>
        <v/>
      </c>
      <c r="U215" s="43" t="str">
        <f>IF(OR($B215="",$A215&gt;$B$9,U$206=""),"",IF(COUNTIFS(BD!$B$3:$B$5001,U$206,BD!$A$3:$A$5001,"&gt;="&amp;$C$7,BD!$A$3:$A$5001,"&lt;="&amp;$B215,BD!$W$3:$W$5001,"&lt;&gt;")=0,"",SUMIFS(BD!$W$3:$W$5001,BD!$B$3:$B$5001,U$206,BD!$A$3:$A$5001,_xlfn.MAXIFS(BD!$A$3:$A$5001,BD!$B$3:$B$5001,U$206,BD!$A$3:$A$5001,"&gt;="&amp;$C$7,BD!$A$3:$A$5001,"&lt;="&amp;$B215,BD!$W$3:$W$5001,"&lt;&gt;"))))</f>
        <v/>
      </c>
      <c r="V215" s="43" t="str">
        <f>IF(OR($B215="",$A215&gt;$B$9,V$206=""),"",IF(COUNTIFS(BD!$B$3:$B$5001,V$206,BD!$A$3:$A$5001,"&gt;="&amp;$C$7,BD!$A$3:$A$5001,"&lt;="&amp;$B215,BD!$W$3:$W$5001,"&lt;&gt;")=0,"",SUMIFS(BD!$W$3:$W$5001,BD!$B$3:$B$5001,V$206,BD!$A$3:$A$5001,_xlfn.MAXIFS(BD!$A$3:$A$5001,BD!$B$3:$B$5001,V$206,BD!$A$3:$A$5001,"&gt;="&amp;$C$7,BD!$A$3:$A$5001,"&lt;="&amp;$B215,BD!$W$3:$W$5001,"&lt;&gt;"))))</f>
        <v/>
      </c>
    </row>
    <row r="216">
      <c r="A216" s="38">
        <v>10</v>
      </c>
      <c r="B216" s="42">
        <f>$B$21</f>
        <v>46305</v>
      </c>
      <c r="C216" s="43" t="str">
        <f>IF(OR($B216="",$A216&gt;$B$9,C$206=""),"",IF(COUNTIFS(BD!$B$3:$B$5001,C$206,BD!$A$3:$A$5001,"&gt;="&amp;$C$7,BD!$A$3:$A$5001,"&lt;="&amp;$B216,BD!$W$3:$W$5001,"&lt;&gt;")=0,"",SUMIFS(BD!$W$3:$W$5001,BD!$B$3:$B$5001,C$206,BD!$A$3:$A$5001,_xlfn.MAXIFS(BD!$A$3:$A$5001,BD!$B$3:$B$5001,C$206,BD!$A$3:$A$5001,"&gt;="&amp;$C$7,BD!$A$3:$A$5001,"&lt;="&amp;$B216,BD!$W$3:$W$5001,"&lt;&gt;"))))</f>
        <v/>
      </c>
      <c r="D216" s="43" t="str">
        <f>IF(OR($B216="",$A216&gt;$B$9,D$206=""),"",IF(COUNTIFS(BD!$B$3:$B$5001,D$206,BD!$A$3:$A$5001,"&gt;="&amp;$C$7,BD!$A$3:$A$5001,"&lt;="&amp;$B216,BD!$W$3:$W$5001,"&lt;&gt;")=0,"",SUMIFS(BD!$W$3:$W$5001,BD!$B$3:$B$5001,D$206,BD!$A$3:$A$5001,_xlfn.MAXIFS(BD!$A$3:$A$5001,BD!$B$3:$B$5001,D$206,BD!$A$3:$A$5001,"&gt;="&amp;$C$7,BD!$A$3:$A$5001,"&lt;="&amp;$B216,BD!$W$3:$W$5001,"&lt;&gt;"))))</f>
        <v/>
      </c>
      <c r="E216" s="43" t="str">
        <f>IF(OR($B216="",$A216&gt;$B$9,E$206=""),"",IF(COUNTIFS(BD!$B$3:$B$5001,E$206,BD!$A$3:$A$5001,"&gt;="&amp;$C$7,BD!$A$3:$A$5001,"&lt;="&amp;$B216,BD!$W$3:$W$5001,"&lt;&gt;")=0,"",SUMIFS(BD!$W$3:$W$5001,BD!$B$3:$B$5001,E$206,BD!$A$3:$A$5001,_xlfn.MAXIFS(BD!$A$3:$A$5001,BD!$B$3:$B$5001,E$206,BD!$A$3:$A$5001,"&gt;="&amp;$C$7,BD!$A$3:$A$5001,"&lt;="&amp;$B216,BD!$W$3:$W$5001,"&lt;&gt;"))))</f>
        <v/>
      </c>
      <c r="F216" s="43" t="str">
        <f>IF(OR($B216="",$A216&gt;$B$9,F$206=""),"",IF(COUNTIFS(BD!$B$3:$B$5001,F$206,BD!$A$3:$A$5001,"&gt;="&amp;$C$7,BD!$A$3:$A$5001,"&lt;="&amp;$B216,BD!$W$3:$W$5001,"&lt;&gt;")=0,"",SUMIFS(BD!$W$3:$W$5001,BD!$B$3:$B$5001,F$206,BD!$A$3:$A$5001,_xlfn.MAXIFS(BD!$A$3:$A$5001,BD!$B$3:$B$5001,F$206,BD!$A$3:$A$5001,"&gt;="&amp;$C$7,BD!$A$3:$A$5001,"&lt;="&amp;$B216,BD!$W$3:$W$5001,"&lt;&gt;"))))</f>
        <v/>
      </c>
      <c r="G216" s="43" t="str">
        <f>IF(OR($B216="",$A216&gt;$B$9,G$206=""),"",IF(COUNTIFS(BD!$B$3:$B$5001,G$206,BD!$A$3:$A$5001,"&gt;="&amp;$C$7,BD!$A$3:$A$5001,"&lt;="&amp;$B216,BD!$W$3:$W$5001,"&lt;&gt;")=0,"",SUMIFS(BD!$W$3:$W$5001,BD!$B$3:$B$5001,G$206,BD!$A$3:$A$5001,_xlfn.MAXIFS(BD!$A$3:$A$5001,BD!$B$3:$B$5001,G$206,BD!$A$3:$A$5001,"&gt;="&amp;$C$7,BD!$A$3:$A$5001,"&lt;="&amp;$B216,BD!$W$3:$W$5001,"&lt;&gt;"))))</f>
        <v/>
      </c>
      <c r="H216" s="43" t="str">
        <f>IF(OR($B216="",$A216&gt;$B$9,H$206=""),"",IF(COUNTIFS(BD!$B$3:$B$5001,H$206,BD!$A$3:$A$5001,"&gt;="&amp;$C$7,BD!$A$3:$A$5001,"&lt;="&amp;$B216,BD!$W$3:$W$5001,"&lt;&gt;")=0,"",SUMIFS(BD!$W$3:$W$5001,BD!$B$3:$B$5001,H$206,BD!$A$3:$A$5001,_xlfn.MAXIFS(BD!$A$3:$A$5001,BD!$B$3:$B$5001,H$206,BD!$A$3:$A$5001,"&gt;="&amp;$C$7,BD!$A$3:$A$5001,"&lt;="&amp;$B216,BD!$W$3:$W$5001,"&lt;&gt;"))))</f>
        <v/>
      </c>
      <c r="I216" s="43" t="str">
        <f>IF(OR($B216="",$A216&gt;$B$9,I$206=""),"",IF(COUNTIFS(BD!$B$3:$B$5001,I$206,BD!$A$3:$A$5001,"&gt;="&amp;$C$7,BD!$A$3:$A$5001,"&lt;="&amp;$B216,BD!$W$3:$W$5001,"&lt;&gt;")=0,"",SUMIFS(BD!$W$3:$W$5001,BD!$B$3:$B$5001,I$206,BD!$A$3:$A$5001,_xlfn.MAXIFS(BD!$A$3:$A$5001,BD!$B$3:$B$5001,I$206,BD!$A$3:$A$5001,"&gt;="&amp;$C$7,BD!$A$3:$A$5001,"&lt;="&amp;$B216,BD!$W$3:$W$5001,"&lt;&gt;"))))</f>
        <v/>
      </c>
      <c r="J216" s="43" t="str">
        <f>IF(OR($B216="",$A216&gt;$B$9,J$206=""),"",IF(COUNTIFS(BD!$B$3:$B$5001,J$206,BD!$A$3:$A$5001,"&gt;="&amp;$C$7,BD!$A$3:$A$5001,"&lt;="&amp;$B216,BD!$W$3:$W$5001,"&lt;&gt;")=0,"",SUMIFS(BD!$W$3:$W$5001,BD!$B$3:$B$5001,J$206,BD!$A$3:$A$5001,_xlfn.MAXIFS(BD!$A$3:$A$5001,BD!$B$3:$B$5001,J$206,BD!$A$3:$A$5001,"&gt;="&amp;$C$7,BD!$A$3:$A$5001,"&lt;="&amp;$B216,BD!$W$3:$W$5001,"&lt;&gt;"))))</f>
        <v/>
      </c>
      <c r="K216" s="43" t="str">
        <f>IF(OR($B216="",$A216&gt;$B$9,K$206=""),"",IF(COUNTIFS(BD!$B$3:$B$5001,K$206,BD!$A$3:$A$5001,"&gt;="&amp;$C$7,BD!$A$3:$A$5001,"&lt;="&amp;$B216,BD!$W$3:$W$5001,"&lt;&gt;")=0,"",SUMIFS(BD!$W$3:$W$5001,BD!$B$3:$B$5001,K$206,BD!$A$3:$A$5001,_xlfn.MAXIFS(BD!$A$3:$A$5001,BD!$B$3:$B$5001,K$206,BD!$A$3:$A$5001,"&gt;="&amp;$C$7,BD!$A$3:$A$5001,"&lt;="&amp;$B216,BD!$W$3:$W$5001,"&lt;&gt;"))))</f>
        <v/>
      </c>
      <c r="L216" s="43" t="str">
        <f>IF(OR($B216="",$A216&gt;$B$9,L$206=""),"",IF(COUNTIFS(BD!$B$3:$B$5001,L$206,BD!$A$3:$A$5001,"&gt;="&amp;$C$7,BD!$A$3:$A$5001,"&lt;="&amp;$B216,BD!$W$3:$W$5001,"&lt;&gt;")=0,"",SUMIFS(BD!$W$3:$W$5001,BD!$B$3:$B$5001,L$206,BD!$A$3:$A$5001,_xlfn.MAXIFS(BD!$A$3:$A$5001,BD!$B$3:$B$5001,L$206,BD!$A$3:$A$5001,"&gt;="&amp;$C$7,BD!$A$3:$A$5001,"&lt;="&amp;$B216,BD!$W$3:$W$5001,"&lt;&gt;"))))</f>
        <v/>
      </c>
      <c r="M216" s="43" t="str">
        <f>IF(OR($B216="",$A216&gt;$B$9,M$206=""),"",IF(COUNTIFS(BD!$B$3:$B$5001,M$206,BD!$A$3:$A$5001,"&gt;="&amp;$C$7,BD!$A$3:$A$5001,"&lt;="&amp;$B216,BD!$W$3:$W$5001,"&lt;&gt;")=0,"",SUMIFS(BD!$W$3:$W$5001,BD!$B$3:$B$5001,M$206,BD!$A$3:$A$5001,_xlfn.MAXIFS(BD!$A$3:$A$5001,BD!$B$3:$B$5001,M$206,BD!$A$3:$A$5001,"&gt;="&amp;$C$7,BD!$A$3:$A$5001,"&lt;="&amp;$B216,BD!$W$3:$W$5001,"&lt;&gt;"))))</f>
        <v/>
      </c>
      <c r="N216" s="43" t="str">
        <f>IF(OR($B216="",$A216&gt;$B$9,N$206=""),"",IF(COUNTIFS(BD!$B$3:$B$5001,N$206,BD!$A$3:$A$5001,"&gt;="&amp;$C$7,BD!$A$3:$A$5001,"&lt;="&amp;$B216,BD!$W$3:$W$5001,"&lt;&gt;")=0,"",SUMIFS(BD!$W$3:$W$5001,BD!$B$3:$B$5001,N$206,BD!$A$3:$A$5001,_xlfn.MAXIFS(BD!$A$3:$A$5001,BD!$B$3:$B$5001,N$206,BD!$A$3:$A$5001,"&gt;="&amp;$C$7,BD!$A$3:$A$5001,"&lt;="&amp;$B216,BD!$W$3:$W$5001,"&lt;&gt;"))))</f>
        <v/>
      </c>
      <c r="O216" s="43" t="str">
        <f>IF(OR($B216="",$A216&gt;$B$9,O$206=""),"",IF(COUNTIFS(BD!$B$3:$B$5001,O$206,BD!$A$3:$A$5001,"&gt;="&amp;$C$7,BD!$A$3:$A$5001,"&lt;="&amp;$B216,BD!$W$3:$W$5001,"&lt;&gt;")=0,"",SUMIFS(BD!$W$3:$W$5001,BD!$B$3:$B$5001,O$206,BD!$A$3:$A$5001,_xlfn.MAXIFS(BD!$A$3:$A$5001,BD!$B$3:$B$5001,O$206,BD!$A$3:$A$5001,"&gt;="&amp;$C$7,BD!$A$3:$A$5001,"&lt;="&amp;$B216,BD!$W$3:$W$5001,"&lt;&gt;"))))</f>
        <v/>
      </c>
      <c r="P216" s="43" t="str">
        <f>IF(OR($B216="",$A216&gt;$B$9,P$206=""),"",IF(COUNTIFS(BD!$B$3:$B$5001,P$206,BD!$A$3:$A$5001,"&gt;="&amp;$C$7,BD!$A$3:$A$5001,"&lt;="&amp;$B216,BD!$W$3:$W$5001,"&lt;&gt;")=0,"",SUMIFS(BD!$W$3:$W$5001,BD!$B$3:$B$5001,P$206,BD!$A$3:$A$5001,_xlfn.MAXIFS(BD!$A$3:$A$5001,BD!$B$3:$B$5001,P$206,BD!$A$3:$A$5001,"&gt;="&amp;$C$7,BD!$A$3:$A$5001,"&lt;="&amp;$B216,BD!$W$3:$W$5001,"&lt;&gt;"))))</f>
        <v/>
      </c>
      <c r="Q216" s="43" t="str">
        <f>IF(OR($B216="",$A216&gt;$B$9,Q$206=""),"",IF(COUNTIFS(BD!$B$3:$B$5001,Q$206,BD!$A$3:$A$5001,"&gt;="&amp;$C$7,BD!$A$3:$A$5001,"&lt;="&amp;$B216,BD!$W$3:$W$5001,"&lt;&gt;")=0,"",SUMIFS(BD!$W$3:$W$5001,BD!$B$3:$B$5001,Q$206,BD!$A$3:$A$5001,_xlfn.MAXIFS(BD!$A$3:$A$5001,BD!$B$3:$B$5001,Q$206,BD!$A$3:$A$5001,"&gt;="&amp;$C$7,BD!$A$3:$A$5001,"&lt;="&amp;$B216,BD!$W$3:$W$5001,"&lt;&gt;"))))</f>
        <v/>
      </c>
      <c r="R216" s="43" t="str">
        <f>IF(OR($B216="",$A216&gt;$B$9,R$206=""),"",IF(COUNTIFS(BD!$B$3:$B$5001,R$206,BD!$A$3:$A$5001,"&gt;="&amp;$C$7,BD!$A$3:$A$5001,"&lt;="&amp;$B216,BD!$W$3:$W$5001,"&lt;&gt;")=0,"",SUMIFS(BD!$W$3:$W$5001,BD!$B$3:$B$5001,R$206,BD!$A$3:$A$5001,_xlfn.MAXIFS(BD!$A$3:$A$5001,BD!$B$3:$B$5001,R$206,BD!$A$3:$A$5001,"&gt;="&amp;$C$7,BD!$A$3:$A$5001,"&lt;="&amp;$B216,BD!$W$3:$W$5001,"&lt;&gt;"))))</f>
        <v/>
      </c>
      <c r="S216" s="43" t="str">
        <f>IF(OR($B216="",$A216&gt;$B$9,S$206=""),"",IF(COUNTIFS(BD!$B$3:$B$5001,S$206,BD!$A$3:$A$5001,"&gt;="&amp;$C$7,BD!$A$3:$A$5001,"&lt;="&amp;$B216,BD!$W$3:$W$5001,"&lt;&gt;")=0,"",SUMIFS(BD!$W$3:$W$5001,BD!$B$3:$B$5001,S$206,BD!$A$3:$A$5001,_xlfn.MAXIFS(BD!$A$3:$A$5001,BD!$B$3:$B$5001,S$206,BD!$A$3:$A$5001,"&gt;="&amp;$C$7,BD!$A$3:$A$5001,"&lt;="&amp;$B216,BD!$W$3:$W$5001,"&lt;&gt;"))))</f>
        <v/>
      </c>
      <c r="T216" s="43" t="str">
        <f>IF(OR($B216="",$A216&gt;$B$9,T$206=""),"",IF(COUNTIFS(BD!$B$3:$B$5001,T$206,BD!$A$3:$A$5001,"&gt;="&amp;$C$7,BD!$A$3:$A$5001,"&lt;="&amp;$B216,BD!$W$3:$W$5001,"&lt;&gt;")=0,"",SUMIFS(BD!$W$3:$W$5001,BD!$B$3:$B$5001,T$206,BD!$A$3:$A$5001,_xlfn.MAXIFS(BD!$A$3:$A$5001,BD!$B$3:$B$5001,T$206,BD!$A$3:$A$5001,"&gt;="&amp;$C$7,BD!$A$3:$A$5001,"&lt;="&amp;$B216,BD!$W$3:$W$5001,"&lt;&gt;"))))</f>
        <v/>
      </c>
      <c r="U216" s="43" t="str">
        <f>IF(OR($B216="",$A216&gt;$B$9,U$206=""),"",IF(COUNTIFS(BD!$B$3:$B$5001,U$206,BD!$A$3:$A$5001,"&gt;="&amp;$C$7,BD!$A$3:$A$5001,"&lt;="&amp;$B216,BD!$W$3:$W$5001,"&lt;&gt;")=0,"",SUMIFS(BD!$W$3:$W$5001,BD!$B$3:$B$5001,U$206,BD!$A$3:$A$5001,_xlfn.MAXIFS(BD!$A$3:$A$5001,BD!$B$3:$B$5001,U$206,BD!$A$3:$A$5001,"&gt;="&amp;$C$7,BD!$A$3:$A$5001,"&lt;="&amp;$B216,BD!$W$3:$W$5001,"&lt;&gt;"))))</f>
        <v/>
      </c>
      <c r="V216" s="43" t="str">
        <f>IF(OR($B216="",$A216&gt;$B$9,V$206=""),"",IF(COUNTIFS(BD!$B$3:$B$5001,V$206,BD!$A$3:$A$5001,"&gt;="&amp;$C$7,BD!$A$3:$A$5001,"&lt;="&amp;$B216,BD!$W$3:$W$5001,"&lt;&gt;")=0,"",SUMIFS(BD!$W$3:$W$5001,BD!$B$3:$B$5001,V$206,BD!$A$3:$A$5001,_xlfn.MAXIFS(BD!$A$3:$A$5001,BD!$B$3:$B$5001,V$206,BD!$A$3:$A$5001,"&gt;="&amp;$C$7,BD!$A$3:$A$5001,"&lt;="&amp;$B216,BD!$W$3:$W$5001,"&lt;&gt;"))))</f>
        <v/>
      </c>
    </row>
    <row r="217">
      <c r="A217" s="38">
        <v>11</v>
      </c>
      <c r="B217" s="42">
        <f>$B$22</f>
        <v>46306</v>
      </c>
      <c r="C217" s="43" t="str">
        <f>IF(OR($B217="",$A217&gt;$B$9,C$206=""),"",IF(COUNTIFS(BD!$B$3:$B$5001,C$206,BD!$A$3:$A$5001,"&gt;="&amp;$C$7,BD!$A$3:$A$5001,"&lt;="&amp;$B217,BD!$W$3:$W$5001,"&lt;&gt;")=0,"",SUMIFS(BD!$W$3:$W$5001,BD!$B$3:$B$5001,C$206,BD!$A$3:$A$5001,_xlfn.MAXIFS(BD!$A$3:$A$5001,BD!$B$3:$B$5001,C$206,BD!$A$3:$A$5001,"&gt;="&amp;$C$7,BD!$A$3:$A$5001,"&lt;="&amp;$B217,BD!$W$3:$W$5001,"&lt;&gt;"))))</f>
        <v/>
      </c>
      <c r="D217" s="43" t="str">
        <f>IF(OR($B217="",$A217&gt;$B$9,D$206=""),"",IF(COUNTIFS(BD!$B$3:$B$5001,D$206,BD!$A$3:$A$5001,"&gt;="&amp;$C$7,BD!$A$3:$A$5001,"&lt;="&amp;$B217,BD!$W$3:$W$5001,"&lt;&gt;")=0,"",SUMIFS(BD!$W$3:$W$5001,BD!$B$3:$B$5001,D$206,BD!$A$3:$A$5001,_xlfn.MAXIFS(BD!$A$3:$A$5001,BD!$B$3:$B$5001,D$206,BD!$A$3:$A$5001,"&gt;="&amp;$C$7,BD!$A$3:$A$5001,"&lt;="&amp;$B217,BD!$W$3:$W$5001,"&lt;&gt;"))))</f>
        <v/>
      </c>
      <c r="E217" s="43" t="str">
        <f>IF(OR($B217="",$A217&gt;$B$9,E$206=""),"",IF(COUNTIFS(BD!$B$3:$B$5001,E$206,BD!$A$3:$A$5001,"&gt;="&amp;$C$7,BD!$A$3:$A$5001,"&lt;="&amp;$B217,BD!$W$3:$W$5001,"&lt;&gt;")=0,"",SUMIFS(BD!$W$3:$W$5001,BD!$B$3:$B$5001,E$206,BD!$A$3:$A$5001,_xlfn.MAXIFS(BD!$A$3:$A$5001,BD!$B$3:$B$5001,E$206,BD!$A$3:$A$5001,"&gt;="&amp;$C$7,BD!$A$3:$A$5001,"&lt;="&amp;$B217,BD!$W$3:$W$5001,"&lt;&gt;"))))</f>
        <v/>
      </c>
      <c r="F217" s="43" t="str">
        <f>IF(OR($B217="",$A217&gt;$B$9,F$206=""),"",IF(COUNTIFS(BD!$B$3:$B$5001,F$206,BD!$A$3:$A$5001,"&gt;="&amp;$C$7,BD!$A$3:$A$5001,"&lt;="&amp;$B217,BD!$W$3:$W$5001,"&lt;&gt;")=0,"",SUMIFS(BD!$W$3:$W$5001,BD!$B$3:$B$5001,F$206,BD!$A$3:$A$5001,_xlfn.MAXIFS(BD!$A$3:$A$5001,BD!$B$3:$B$5001,F$206,BD!$A$3:$A$5001,"&gt;="&amp;$C$7,BD!$A$3:$A$5001,"&lt;="&amp;$B217,BD!$W$3:$W$5001,"&lt;&gt;"))))</f>
        <v/>
      </c>
      <c r="G217" s="43" t="str">
        <f>IF(OR($B217="",$A217&gt;$B$9,G$206=""),"",IF(COUNTIFS(BD!$B$3:$B$5001,G$206,BD!$A$3:$A$5001,"&gt;="&amp;$C$7,BD!$A$3:$A$5001,"&lt;="&amp;$B217,BD!$W$3:$W$5001,"&lt;&gt;")=0,"",SUMIFS(BD!$W$3:$W$5001,BD!$B$3:$B$5001,G$206,BD!$A$3:$A$5001,_xlfn.MAXIFS(BD!$A$3:$A$5001,BD!$B$3:$B$5001,G$206,BD!$A$3:$A$5001,"&gt;="&amp;$C$7,BD!$A$3:$A$5001,"&lt;="&amp;$B217,BD!$W$3:$W$5001,"&lt;&gt;"))))</f>
        <v/>
      </c>
      <c r="H217" s="43" t="str">
        <f>IF(OR($B217="",$A217&gt;$B$9,H$206=""),"",IF(COUNTIFS(BD!$B$3:$B$5001,H$206,BD!$A$3:$A$5001,"&gt;="&amp;$C$7,BD!$A$3:$A$5001,"&lt;="&amp;$B217,BD!$W$3:$W$5001,"&lt;&gt;")=0,"",SUMIFS(BD!$W$3:$W$5001,BD!$B$3:$B$5001,H$206,BD!$A$3:$A$5001,_xlfn.MAXIFS(BD!$A$3:$A$5001,BD!$B$3:$B$5001,H$206,BD!$A$3:$A$5001,"&gt;="&amp;$C$7,BD!$A$3:$A$5001,"&lt;="&amp;$B217,BD!$W$3:$W$5001,"&lt;&gt;"))))</f>
        <v/>
      </c>
      <c r="I217" s="43" t="str">
        <f>IF(OR($B217="",$A217&gt;$B$9,I$206=""),"",IF(COUNTIFS(BD!$B$3:$B$5001,I$206,BD!$A$3:$A$5001,"&gt;="&amp;$C$7,BD!$A$3:$A$5001,"&lt;="&amp;$B217,BD!$W$3:$W$5001,"&lt;&gt;")=0,"",SUMIFS(BD!$W$3:$W$5001,BD!$B$3:$B$5001,I$206,BD!$A$3:$A$5001,_xlfn.MAXIFS(BD!$A$3:$A$5001,BD!$B$3:$B$5001,I$206,BD!$A$3:$A$5001,"&gt;="&amp;$C$7,BD!$A$3:$A$5001,"&lt;="&amp;$B217,BD!$W$3:$W$5001,"&lt;&gt;"))))</f>
        <v/>
      </c>
      <c r="J217" s="43" t="str">
        <f>IF(OR($B217="",$A217&gt;$B$9,J$206=""),"",IF(COUNTIFS(BD!$B$3:$B$5001,J$206,BD!$A$3:$A$5001,"&gt;="&amp;$C$7,BD!$A$3:$A$5001,"&lt;="&amp;$B217,BD!$W$3:$W$5001,"&lt;&gt;")=0,"",SUMIFS(BD!$W$3:$W$5001,BD!$B$3:$B$5001,J$206,BD!$A$3:$A$5001,_xlfn.MAXIFS(BD!$A$3:$A$5001,BD!$B$3:$B$5001,J$206,BD!$A$3:$A$5001,"&gt;="&amp;$C$7,BD!$A$3:$A$5001,"&lt;="&amp;$B217,BD!$W$3:$W$5001,"&lt;&gt;"))))</f>
        <v/>
      </c>
      <c r="K217" s="43" t="str">
        <f>IF(OR($B217="",$A217&gt;$B$9,K$206=""),"",IF(COUNTIFS(BD!$B$3:$B$5001,K$206,BD!$A$3:$A$5001,"&gt;="&amp;$C$7,BD!$A$3:$A$5001,"&lt;="&amp;$B217,BD!$W$3:$W$5001,"&lt;&gt;")=0,"",SUMIFS(BD!$W$3:$W$5001,BD!$B$3:$B$5001,K$206,BD!$A$3:$A$5001,_xlfn.MAXIFS(BD!$A$3:$A$5001,BD!$B$3:$B$5001,K$206,BD!$A$3:$A$5001,"&gt;="&amp;$C$7,BD!$A$3:$A$5001,"&lt;="&amp;$B217,BD!$W$3:$W$5001,"&lt;&gt;"))))</f>
        <v/>
      </c>
      <c r="L217" s="43" t="str">
        <f>IF(OR($B217="",$A217&gt;$B$9,L$206=""),"",IF(COUNTIFS(BD!$B$3:$B$5001,L$206,BD!$A$3:$A$5001,"&gt;="&amp;$C$7,BD!$A$3:$A$5001,"&lt;="&amp;$B217,BD!$W$3:$W$5001,"&lt;&gt;")=0,"",SUMIFS(BD!$W$3:$W$5001,BD!$B$3:$B$5001,L$206,BD!$A$3:$A$5001,_xlfn.MAXIFS(BD!$A$3:$A$5001,BD!$B$3:$B$5001,L$206,BD!$A$3:$A$5001,"&gt;="&amp;$C$7,BD!$A$3:$A$5001,"&lt;="&amp;$B217,BD!$W$3:$W$5001,"&lt;&gt;"))))</f>
        <v/>
      </c>
      <c r="M217" s="43" t="str">
        <f>IF(OR($B217="",$A217&gt;$B$9,M$206=""),"",IF(COUNTIFS(BD!$B$3:$B$5001,M$206,BD!$A$3:$A$5001,"&gt;="&amp;$C$7,BD!$A$3:$A$5001,"&lt;="&amp;$B217,BD!$W$3:$W$5001,"&lt;&gt;")=0,"",SUMIFS(BD!$W$3:$W$5001,BD!$B$3:$B$5001,M$206,BD!$A$3:$A$5001,_xlfn.MAXIFS(BD!$A$3:$A$5001,BD!$B$3:$B$5001,M$206,BD!$A$3:$A$5001,"&gt;="&amp;$C$7,BD!$A$3:$A$5001,"&lt;="&amp;$B217,BD!$W$3:$W$5001,"&lt;&gt;"))))</f>
        <v/>
      </c>
      <c r="N217" s="43" t="str">
        <f>IF(OR($B217="",$A217&gt;$B$9,N$206=""),"",IF(COUNTIFS(BD!$B$3:$B$5001,N$206,BD!$A$3:$A$5001,"&gt;="&amp;$C$7,BD!$A$3:$A$5001,"&lt;="&amp;$B217,BD!$W$3:$W$5001,"&lt;&gt;")=0,"",SUMIFS(BD!$W$3:$W$5001,BD!$B$3:$B$5001,N$206,BD!$A$3:$A$5001,_xlfn.MAXIFS(BD!$A$3:$A$5001,BD!$B$3:$B$5001,N$206,BD!$A$3:$A$5001,"&gt;="&amp;$C$7,BD!$A$3:$A$5001,"&lt;="&amp;$B217,BD!$W$3:$W$5001,"&lt;&gt;"))))</f>
        <v/>
      </c>
      <c r="O217" s="43" t="str">
        <f>IF(OR($B217="",$A217&gt;$B$9,O$206=""),"",IF(COUNTIFS(BD!$B$3:$B$5001,O$206,BD!$A$3:$A$5001,"&gt;="&amp;$C$7,BD!$A$3:$A$5001,"&lt;="&amp;$B217,BD!$W$3:$W$5001,"&lt;&gt;")=0,"",SUMIFS(BD!$W$3:$W$5001,BD!$B$3:$B$5001,O$206,BD!$A$3:$A$5001,_xlfn.MAXIFS(BD!$A$3:$A$5001,BD!$B$3:$B$5001,O$206,BD!$A$3:$A$5001,"&gt;="&amp;$C$7,BD!$A$3:$A$5001,"&lt;="&amp;$B217,BD!$W$3:$W$5001,"&lt;&gt;"))))</f>
        <v/>
      </c>
      <c r="P217" s="43" t="str">
        <f>IF(OR($B217="",$A217&gt;$B$9,P$206=""),"",IF(COUNTIFS(BD!$B$3:$B$5001,P$206,BD!$A$3:$A$5001,"&gt;="&amp;$C$7,BD!$A$3:$A$5001,"&lt;="&amp;$B217,BD!$W$3:$W$5001,"&lt;&gt;")=0,"",SUMIFS(BD!$W$3:$W$5001,BD!$B$3:$B$5001,P$206,BD!$A$3:$A$5001,_xlfn.MAXIFS(BD!$A$3:$A$5001,BD!$B$3:$B$5001,P$206,BD!$A$3:$A$5001,"&gt;="&amp;$C$7,BD!$A$3:$A$5001,"&lt;="&amp;$B217,BD!$W$3:$W$5001,"&lt;&gt;"))))</f>
        <v/>
      </c>
      <c r="Q217" s="43" t="str">
        <f>IF(OR($B217="",$A217&gt;$B$9,Q$206=""),"",IF(COUNTIFS(BD!$B$3:$B$5001,Q$206,BD!$A$3:$A$5001,"&gt;="&amp;$C$7,BD!$A$3:$A$5001,"&lt;="&amp;$B217,BD!$W$3:$W$5001,"&lt;&gt;")=0,"",SUMIFS(BD!$W$3:$W$5001,BD!$B$3:$B$5001,Q$206,BD!$A$3:$A$5001,_xlfn.MAXIFS(BD!$A$3:$A$5001,BD!$B$3:$B$5001,Q$206,BD!$A$3:$A$5001,"&gt;="&amp;$C$7,BD!$A$3:$A$5001,"&lt;="&amp;$B217,BD!$W$3:$W$5001,"&lt;&gt;"))))</f>
        <v/>
      </c>
      <c r="R217" s="43" t="str">
        <f>IF(OR($B217="",$A217&gt;$B$9,R$206=""),"",IF(COUNTIFS(BD!$B$3:$B$5001,R$206,BD!$A$3:$A$5001,"&gt;="&amp;$C$7,BD!$A$3:$A$5001,"&lt;="&amp;$B217,BD!$W$3:$W$5001,"&lt;&gt;")=0,"",SUMIFS(BD!$W$3:$W$5001,BD!$B$3:$B$5001,R$206,BD!$A$3:$A$5001,_xlfn.MAXIFS(BD!$A$3:$A$5001,BD!$B$3:$B$5001,R$206,BD!$A$3:$A$5001,"&gt;="&amp;$C$7,BD!$A$3:$A$5001,"&lt;="&amp;$B217,BD!$W$3:$W$5001,"&lt;&gt;"))))</f>
        <v/>
      </c>
      <c r="S217" s="43" t="str">
        <f>IF(OR($B217="",$A217&gt;$B$9,S$206=""),"",IF(COUNTIFS(BD!$B$3:$B$5001,S$206,BD!$A$3:$A$5001,"&gt;="&amp;$C$7,BD!$A$3:$A$5001,"&lt;="&amp;$B217,BD!$W$3:$W$5001,"&lt;&gt;")=0,"",SUMIFS(BD!$W$3:$W$5001,BD!$B$3:$B$5001,S$206,BD!$A$3:$A$5001,_xlfn.MAXIFS(BD!$A$3:$A$5001,BD!$B$3:$B$5001,S$206,BD!$A$3:$A$5001,"&gt;="&amp;$C$7,BD!$A$3:$A$5001,"&lt;="&amp;$B217,BD!$W$3:$W$5001,"&lt;&gt;"))))</f>
        <v/>
      </c>
      <c r="T217" s="43" t="str">
        <f>IF(OR($B217="",$A217&gt;$B$9,T$206=""),"",IF(COUNTIFS(BD!$B$3:$B$5001,T$206,BD!$A$3:$A$5001,"&gt;="&amp;$C$7,BD!$A$3:$A$5001,"&lt;="&amp;$B217,BD!$W$3:$W$5001,"&lt;&gt;")=0,"",SUMIFS(BD!$W$3:$W$5001,BD!$B$3:$B$5001,T$206,BD!$A$3:$A$5001,_xlfn.MAXIFS(BD!$A$3:$A$5001,BD!$B$3:$B$5001,T$206,BD!$A$3:$A$5001,"&gt;="&amp;$C$7,BD!$A$3:$A$5001,"&lt;="&amp;$B217,BD!$W$3:$W$5001,"&lt;&gt;"))))</f>
        <v/>
      </c>
      <c r="U217" s="43" t="str">
        <f>IF(OR($B217="",$A217&gt;$B$9,U$206=""),"",IF(COUNTIFS(BD!$B$3:$B$5001,U$206,BD!$A$3:$A$5001,"&gt;="&amp;$C$7,BD!$A$3:$A$5001,"&lt;="&amp;$B217,BD!$W$3:$W$5001,"&lt;&gt;")=0,"",SUMIFS(BD!$W$3:$W$5001,BD!$B$3:$B$5001,U$206,BD!$A$3:$A$5001,_xlfn.MAXIFS(BD!$A$3:$A$5001,BD!$B$3:$B$5001,U$206,BD!$A$3:$A$5001,"&gt;="&amp;$C$7,BD!$A$3:$A$5001,"&lt;="&amp;$B217,BD!$W$3:$W$5001,"&lt;&gt;"))))</f>
        <v/>
      </c>
      <c r="V217" s="43" t="str">
        <f>IF(OR($B217="",$A217&gt;$B$9,V$206=""),"",IF(COUNTIFS(BD!$B$3:$B$5001,V$206,BD!$A$3:$A$5001,"&gt;="&amp;$C$7,BD!$A$3:$A$5001,"&lt;="&amp;$B217,BD!$W$3:$W$5001,"&lt;&gt;")=0,"",SUMIFS(BD!$W$3:$W$5001,BD!$B$3:$B$5001,V$206,BD!$A$3:$A$5001,_xlfn.MAXIFS(BD!$A$3:$A$5001,BD!$B$3:$B$5001,V$206,BD!$A$3:$A$5001,"&gt;="&amp;$C$7,BD!$A$3:$A$5001,"&lt;="&amp;$B217,BD!$W$3:$W$5001,"&lt;&gt;"))))</f>
        <v/>
      </c>
    </row>
    <row r="218">
      <c r="A218" s="38">
        <v>12</v>
      </c>
      <c r="B218" s="42">
        <f>$B$23</f>
        <v>46307</v>
      </c>
      <c r="C218" s="43" t="str">
        <f>IF(OR($B218="",$A218&gt;$B$9,C$206=""),"",IF(COUNTIFS(BD!$B$3:$B$5001,C$206,BD!$A$3:$A$5001,"&gt;="&amp;$C$7,BD!$A$3:$A$5001,"&lt;="&amp;$B218,BD!$W$3:$W$5001,"&lt;&gt;")=0,"",SUMIFS(BD!$W$3:$W$5001,BD!$B$3:$B$5001,C$206,BD!$A$3:$A$5001,_xlfn.MAXIFS(BD!$A$3:$A$5001,BD!$B$3:$B$5001,C$206,BD!$A$3:$A$5001,"&gt;="&amp;$C$7,BD!$A$3:$A$5001,"&lt;="&amp;$B218,BD!$W$3:$W$5001,"&lt;&gt;"))))</f>
        <v/>
      </c>
      <c r="D218" s="43" t="str">
        <f>IF(OR($B218="",$A218&gt;$B$9,D$206=""),"",IF(COUNTIFS(BD!$B$3:$B$5001,D$206,BD!$A$3:$A$5001,"&gt;="&amp;$C$7,BD!$A$3:$A$5001,"&lt;="&amp;$B218,BD!$W$3:$W$5001,"&lt;&gt;")=0,"",SUMIFS(BD!$W$3:$W$5001,BD!$B$3:$B$5001,D$206,BD!$A$3:$A$5001,_xlfn.MAXIFS(BD!$A$3:$A$5001,BD!$B$3:$B$5001,D$206,BD!$A$3:$A$5001,"&gt;="&amp;$C$7,BD!$A$3:$A$5001,"&lt;="&amp;$B218,BD!$W$3:$W$5001,"&lt;&gt;"))))</f>
        <v/>
      </c>
      <c r="E218" s="43" t="str">
        <f>IF(OR($B218="",$A218&gt;$B$9,E$206=""),"",IF(COUNTIFS(BD!$B$3:$B$5001,E$206,BD!$A$3:$A$5001,"&gt;="&amp;$C$7,BD!$A$3:$A$5001,"&lt;="&amp;$B218,BD!$W$3:$W$5001,"&lt;&gt;")=0,"",SUMIFS(BD!$W$3:$W$5001,BD!$B$3:$B$5001,E$206,BD!$A$3:$A$5001,_xlfn.MAXIFS(BD!$A$3:$A$5001,BD!$B$3:$B$5001,E$206,BD!$A$3:$A$5001,"&gt;="&amp;$C$7,BD!$A$3:$A$5001,"&lt;="&amp;$B218,BD!$W$3:$W$5001,"&lt;&gt;"))))</f>
        <v/>
      </c>
      <c r="F218" s="43" t="str">
        <f>IF(OR($B218="",$A218&gt;$B$9,F$206=""),"",IF(COUNTIFS(BD!$B$3:$B$5001,F$206,BD!$A$3:$A$5001,"&gt;="&amp;$C$7,BD!$A$3:$A$5001,"&lt;="&amp;$B218,BD!$W$3:$W$5001,"&lt;&gt;")=0,"",SUMIFS(BD!$W$3:$W$5001,BD!$B$3:$B$5001,F$206,BD!$A$3:$A$5001,_xlfn.MAXIFS(BD!$A$3:$A$5001,BD!$B$3:$B$5001,F$206,BD!$A$3:$A$5001,"&gt;="&amp;$C$7,BD!$A$3:$A$5001,"&lt;="&amp;$B218,BD!$W$3:$W$5001,"&lt;&gt;"))))</f>
        <v/>
      </c>
      <c r="G218" s="43" t="str">
        <f>IF(OR($B218="",$A218&gt;$B$9,G$206=""),"",IF(COUNTIFS(BD!$B$3:$B$5001,G$206,BD!$A$3:$A$5001,"&gt;="&amp;$C$7,BD!$A$3:$A$5001,"&lt;="&amp;$B218,BD!$W$3:$W$5001,"&lt;&gt;")=0,"",SUMIFS(BD!$W$3:$W$5001,BD!$B$3:$B$5001,G$206,BD!$A$3:$A$5001,_xlfn.MAXIFS(BD!$A$3:$A$5001,BD!$B$3:$B$5001,G$206,BD!$A$3:$A$5001,"&gt;="&amp;$C$7,BD!$A$3:$A$5001,"&lt;="&amp;$B218,BD!$W$3:$W$5001,"&lt;&gt;"))))</f>
        <v/>
      </c>
      <c r="H218" s="43" t="str">
        <f>IF(OR($B218="",$A218&gt;$B$9,H$206=""),"",IF(COUNTIFS(BD!$B$3:$B$5001,H$206,BD!$A$3:$A$5001,"&gt;="&amp;$C$7,BD!$A$3:$A$5001,"&lt;="&amp;$B218,BD!$W$3:$W$5001,"&lt;&gt;")=0,"",SUMIFS(BD!$W$3:$W$5001,BD!$B$3:$B$5001,H$206,BD!$A$3:$A$5001,_xlfn.MAXIFS(BD!$A$3:$A$5001,BD!$B$3:$B$5001,H$206,BD!$A$3:$A$5001,"&gt;="&amp;$C$7,BD!$A$3:$A$5001,"&lt;="&amp;$B218,BD!$W$3:$W$5001,"&lt;&gt;"))))</f>
        <v/>
      </c>
      <c r="I218" s="43" t="str">
        <f>IF(OR($B218="",$A218&gt;$B$9,I$206=""),"",IF(COUNTIFS(BD!$B$3:$B$5001,I$206,BD!$A$3:$A$5001,"&gt;="&amp;$C$7,BD!$A$3:$A$5001,"&lt;="&amp;$B218,BD!$W$3:$W$5001,"&lt;&gt;")=0,"",SUMIFS(BD!$W$3:$W$5001,BD!$B$3:$B$5001,I$206,BD!$A$3:$A$5001,_xlfn.MAXIFS(BD!$A$3:$A$5001,BD!$B$3:$B$5001,I$206,BD!$A$3:$A$5001,"&gt;="&amp;$C$7,BD!$A$3:$A$5001,"&lt;="&amp;$B218,BD!$W$3:$W$5001,"&lt;&gt;"))))</f>
        <v/>
      </c>
      <c r="J218" s="43" t="str">
        <f>IF(OR($B218="",$A218&gt;$B$9,J$206=""),"",IF(COUNTIFS(BD!$B$3:$B$5001,J$206,BD!$A$3:$A$5001,"&gt;="&amp;$C$7,BD!$A$3:$A$5001,"&lt;="&amp;$B218,BD!$W$3:$W$5001,"&lt;&gt;")=0,"",SUMIFS(BD!$W$3:$W$5001,BD!$B$3:$B$5001,J$206,BD!$A$3:$A$5001,_xlfn.MAXIFS(BD!$A$3:$A$5001,BD!$B$3:$B$5001,J$206,BD!$A$3:$A$5001,"&gt;="&amp;$C$7,BD!$A$3:$A$5001,"&lt;="&amp;$B218,BD!$W$3:$W$5001,"&lt;&gt;"))))</f>
        <v/>
      </c>
      <c r="K218" s="43" t="str">
        <f>IF(OR($B218="",$A218&gt;$B$9,K$206=""),"",IF(COUNTIFS(BD!$B$3:$B$5001,K$206,BD!$A$3:$A$5001,"&gt;="&amp;$C$7,BD!$A$3:$A$5001,"&lt;="&amp;$B218,BD!$W$3:$W$5001,"&lt;&gt;")=0,"",SUMIFS(BD!$W$3:$W$5001,BD!$B$3:$B$5001,K$206,BD!$A$3:$A$5001,_xlfn.MAXIFS(BD!$A$3:$A$5001,BD!$B$3:$B$5001,K$206,BD!$A$3:$A$5001,"&gt;="&amp;$C$7,BD!$A$3:$A$5001,"&lt;="&amp;$B218,BD!$W$3:$W$5001,"&lt;&gt;"))))</f>
        <v/>
      </c>
      <c r="L218" s="43" t="str">
        <f>IF(OR($B218="",$A218&gt;$B$9,L$206=""),"",IF(COUNTIFS(BD!$B$3:$B$5001,L$206,BD!$A$3:$A$5001,"&gt;="&amp;$C$7,BD!$A$3:$A$5001,"&lt;="&amp;$B218,BD!$W$3:$W$5001,"&lt;&gt;")=0,"",SUMIFS(BD!$W$3:$W$5001,BD!$B$3:$B$5001,L$206,BD!$A$3:$A$5001,_xlfn.MAXIFS(BD!$A$3:$A$5001,BD!$B$3:$B$5001,L$206,BD!$A$3:$A$5001,"&gt;="&amp;$C$7,BD!$A$3:$A$5001,"&lt;="&amp;$B218,BD!$W$3:$W$5001,"&lt;&gt;"))))</f>
        <v/>
      </c>
      <c r="M218" s="43" t="str">
        <f>IF(OR($B218="",$A218&gt;$B$9,M$206=""),"",IF(COUNTIFS(BD!$B$3:$B$5001,M$206,BD!$A$3:$A$5001,"&gt;="&amp;$C$7,BD!$A$3:$A$5001,"&lt;="&amp;$B218,BD!$W$3:$W$5001,"&lt;&gt;")=0,"",SUMIFS(BD!$W$3:$W$5001,BD!$B$3:$B$5001,M$206,BD!$A$3:$A$5001,_xlfn.MAXIFS(BD!$A$3:$A$5001,BD!$B$3:$B$5001,M$206,BD!$A$3:$A$5001,"&gt;="&amp;$C$7,BD!$A$3:$A$5001,"&lt;="&amp;$B218,BD!$W$3:$W$5001,"&lt;&gt;"))))</f>
        <v/>
      </c>
      <c r="N218" s="43" t="str">
        <f>IF(OR($B218="",$A218&gt;$B$9,N$206=""),"",IF(COUNTIFS(BD!$B$3:$B$5001,N$206,BD!$A$3:$A$5001,"&gt;="&amp;$C$7,BD!$A$3:$A$5001,"&lt;="&amp;$B218,BD!$W$3:$W$5001,"&lt;&gt;")=0,"",SUMIFS(BD!$W$3:$W$5001,BD!$B$3:$B$5001,N$206,BD!$A$3:$A$5001,_xlfn.MAXIFS(BD!$A$3:$A$5001,BD!$B$3:$B$5001,N$206,BD!$A$3:$A$5001,"&gt;="&amp;$C$7,BD!$A$3:$A$5001,"&lt;="&amp;$B218,BD!$W$3:$W$5001,"&lt;&gt;"))))</f>
        <v/>
      </c>
      <c r="O218" s="43" t="str">
        <f>IF(OR($B218="",$A218&gt;$B$9,O$206=""),"",IF(COUNTIFS(BD!$B$3:$B$5001,O$206,BD!$A$3:$A$5001,"&gt;="&amp;$C$7,BD!$A$3:$A$5001,"&lt;="&amp;$B218,BD!$W$3:$W$5001,"&lt;&gt;")=0,"",SUMIFS(BD!$W$3:$W$5001,BD!$B$3:$B$5001,O$206,BD!$A$3:$A$5001,_xlfn.MAXIFS(BD!$A$3:$A$5001,BD!$B$3:$B$5001,O$206,BD!$A$3:$A$5001,"&gt;="&amp;$C$7,BD!$A$3:$A$5001,"&lt;="&amp;$B218,BD!$W$3:$W$5001,"&lt;&gt;"))))</f>
        <v/>
      </c>
      <c r="P218" s="43" t="str">
        <f>IF(OR($B218="",$A218&gt;$B$9,P$206=""),"",IF(COUNTIFS(BD!$B$3:$B$5001,P$206,BD!$A$3:$A$5001,"&gt;="&amp;$C$7,BD!$A$3:$A$5001,"&lt;="&amp;$B218,BD!$W$3:$W$5001,"&lt;&gt;")=0,"",SUMIFS(BD!$W$3:$W$5001,BD!$B$3:$B$5001,P$206,BD!$A$3:$A$5001,_xlfn.MAXIFS(BD!$A$3:$A$5001,BD!$B$3:$B$5001,P$206,BD!$A$3:$A$5001,"&gt;="&amp;$C$7,BD!$A$3:$A$5001,"&lt;="&amp;$B218,BD!$W$3:$W$5001,"&lt;&gt;"))))</f>
        <v/>
      </c>
      <c r="Q218" s="43" t="str">
        <f>IF(OR($B218="",$A218&gt;$B$9,Q$206=""),"",IF(COUNTIFS(BD!$B$3:$B$5001,Q$206,BD!$A$3:$A$5001,"&gt;="&amp;$C$7,BD!$A$3:$A$5001,"&lt;="&amp;$B218,BD!$W$3:$W$5001,"&lt;&gt;")=0,"",SUMIFS(BD!$W$3:$W$5001,BD!$B$3:$B$5001,Q$206,BD!$A$3:$A$5001,_xlfn.MAXIFS(BD!$A$3:$A$5001,BD!$B$3:$B$5001,Q$206,BD!$A$3:$A$5001,"&gt;="&amp;$C$7,BD!$A$3:$A$5001,"&lt;="&amp;$B218,BD!$W$3:$W$5001,"&lt;&gt;"))))</f>
        <v/>
      </c>
      <c r="R218" s="43" t="str">
        <f>IF(OR($B218="",$A218&gt;$B$9,R$206=""),"",IF(COUNTIFS(BD!$B$3:$B$5001,R$206,BD!$A$3:$A$5001,"&gt;="&amp;$C$7,BD!$A$3:$A$5001,"&lt;="&amp;$B218,BD!$W$3:$W$5001,"&lt;&gt;")=0,"",SUMIFS(BD!$W$3:$W$5001,BD!$B$3:$B$5001,R$206,BD!$A$3:$A$5001,_xlfn.MAXIFS(BD!$A$3:$A$5001,BD!$B$3:$B$5001,R$206,BD!$A$3:$A$5001,"&gt;="&amp;$C$7,BD!$A$3:$A$5001,"&lt;="&amp;$B218,BD!$W$3:$W$5001,"&lt;&gt;"))))</f>
        <v/>
      </c>
      <c r="S218" s="43" t="str">
        <f>IF(OR($B218="",$A218&gt;$B$9,S$206=""),"",IF(COUNTIFS(BD!$B$3:$B$5001,S$206,BD!$A$3:$A$5001,"&gt;="&amp;$C$7,BD!$A$3:$A$5001,"&lt;="&amp;$B218,BD!$W$3:$W$5001,"&lt;&gt;")=0,"",SUMIFS(BD!$W$3:$W$5001,BD!$B$3:$B$5001,S$206,BD!$A$3:$A$5001,_xlfn.MAXIFS(BD!$A$3:$A$5001,BD!$B$3:$B$5001,S$206,BD!$A$3:$A$5001,"&gt;="&amp;$C$7,BD!$A$3:$A$5001,"&lt;="&amp;$B218,BD!$W$3:$W$5001,"&lt;&gt;"))))</f>
        <v/>
      </c>
      <c r="T218" s="43" t="str">
        <f>IF(OR($B218="",$A218&gt;$B$9,T$206=""),"",IF(COUNTIFS(BD!$B$3:$B$5001,T$206,BD!$A$3:$A$5001,"&gt;="&amp;$C$7,BD!$A$3:$A$5001,"&lt;="&amp;$B218,BD!$W$3:$W$5001,"&lt;&gt;")=0,"",SUMIFS(BD!$W$3:$W$5001,BD!$B$3:$B$5001,T$206,BD!$A$3:$A$5001,_xlfn.MAXIFS(BD!$A$3:$A$5001,BD!$B$3:$B$5001,T$206,BD!$A$3:$A$5001,"&gt;="&amp;$C$7,BD!$A$3:$A$5001,"&lt;="&amp;$B218,BD!$W$3:$W$5001,"&lt;&gt;"))))</f>
        <v/>
      </c>
      <c r="U218" s="43" t="str">
        <f>IF(OR($B218="",$A218&gt;$B$9,U$206=""),"",IF(COUNTIFS(BD!$B$3:$B$5001,U$206,BD!$A$3:$A$5001,"&gt;="&amp;$C$7,BD!$A$3:$A$5001,"&lt;="&amp;$B218,BD!$W$3:$W$5001,"&lt;&gt;")=0,"",SUMIFS(BD!$W$3:$W$5001,BD!$B$3:$B$5001,U$206,BD!$A$3:$A$5001,_xlfn.MAXIFS(BD!$A$3:$A$5001,BD!$B$3:$B$5001,U$206,BD!$A$3:$A$5001,"&gt;="&amp;$C$7,BD!$A$3:$A$5001,"&lt;="&amp;$B218,BD!$W$3:$W$5001,"&lt;&gt;"))))</f>
        <v/>
      </c>
      <c r="V218" s="43" t="str">
        <f>IF(OR($B218="",$A218&gt;$B$9,V$206=""),"",IF(COUNTIFS(BD!$B$3:$B$5001,V$206,BD!$A$3:$A$5001,"&gt;="&amp;$C$7,BD!$A$3:$A$5001,"&lt;="&amp;$B218,BD!$W$3:$W$5001,"&lt;&gt;")=0,"",SUMIFS(BD!$W$3:$W$5001,BD!$B$3:$B$5001,V$206,BD!$A$3:$A$5001,_xlfn.MAXIFS(BD!$A$3:$A$5001,BD!$B$3:$B$5001,V$206,BD!$A$3:$A$5001,"&gt;="&amp;$C$7,BD!$A$3:$A$5001,"&lt;="&amp;$B218,BD!$W$3:$W$5001,"&lt;&gt;"))))</f>
        <v/>
      </c>
    </row>
    <row r="219">
      <c r="A219" s="38">
        <v>13</v>
      </c>
      <c r="B219" s="42">
        <f>$B$24</f>
        <v>46308</v>
      </c>
      <c r="C219" s="43" t="str">
        <f>IF(OR($B219="",$A219&gt;$B$9,C$206=""),"",IF(COUNTIFS(BD!$B$3:$B$5001,C$206,BD!$A$3:$A$5001,"&gt;="&amp;$C$7,BD!$A$3:$A$5001,"&lt;="&amp;$B219,BD!$W$3:$W$5001,"&lt;&gt;")=0,"",SUMIFS(BD!$W$3:$W$5001,BD!$B$3:$B$5001,C$206,BD!$A$3:$A$5001,_xlfn.MAXIFS(BD!$A$3:$A$5001,BD!$B$3:$B$5001,C$206,BD!$A$3:$A$5001,"&gt;="&amp;$C$7,BD!$A$3:$A$5001,"&lt;="&amp;$B219,BD!$W$3:$W$5001,"&lt;&gt;"))))</f>
        <v/>
      </c>
      <c r="D219" s="43" t="str">
        <f>IF(OR($B219="",$A219&gt;$B$9,D$206=""),"",IF(COUNTIFS(BD!$B$3:$B$5001,D$206,BD!$A$3:$A$5001,"&gt;="&amp;$C$7,BD!$A$3:$A$5001,"&lt;="&amp;$B219,BD!$W$3:$W$5001,"&lt;&gt;")=0,"",SUMIFS(BD!$W$3:$W$5001,BD!$B$3:$B$5001,D$206,BD!$A$3:$A$5001,_xlfn.MAXIFS(BD!$A$3:$A$5001,BD!$B$3:$B$5001,D$206,BD!$A$3:$A$5001,"&gt;="&amp;$C$7,BD!$A$3:$A$5001,"&lt;="&amp;$B219,BD!$W$3:$W$5001,"&lt;&gt;"))))</f>
        <v/>
      </c>
      <c r="E219" s="43" t="str">
        <f>IF(OR($B219="",$A219&gt;$B$9,E$206=""),"",IF(COUNTIFS(BD!$B$3:$B$5001,E$206,BD!$A$3:$A$5001,"&gt;="&amp;$C$7,BD!$A$3:$A$5001,"&lt;="&amp;$B219,BD!$W$3:$W$5001,"&lt;&gt;")=0,"",SUMIFS(BD!$W$3:$W$5001,BD!$B$3:$B$5001,E$206,BD!$A$3:$A$5001,_xlfn.MAXIFS(BD!$A$3:$A$5001,BD!$B$3:$B$5001,E$206,BD!$A$3:$A$5001,"&gt;="&amp;$C$7,BD!$A$3:$A$5001,"&lt;="&amp;$B219,BD!$W$3:$W$5001,"&lt;&gt;"))))</f>
        <v/>
      </c>
      <c r="F219" s="43" t="str">
        <f>IF(OR($B219="",$A219&gt;$B$9,F$206=""),"",IF(COUNTIFS(BD!$B$3:$B$5001,F$206,BD!$A$3:$A$5001,"&gt;="&amp;$C$7,BD!$A$3:$A$5001,"&lt;="&amp;$B219,BD!$W$3:$W$5001,"&lt;&gt;")=0,"",SUMIFS(BD!$W$3:$W$5001,BD!$B$3:$B$5001,F$206,BD!$A$3:$A$5001,_xlfn.MAXIFS(BD!$A$3:$A$5001,BD!$B$3:$B$5001,F$206,BD!$A$3:$A$5001,"&gt;="&amp;$C$7,BD!$A$3:$A$5001,"&lt;="&amp;$B219,BD!$W$3:$W$5001,"&lt;&gt;"))))</f>
        <v/>
      </c>
      <c r="G219" s="43" t="str">
        <f>IF(OR($B219="",$A219&gt;$B$9,G$206=""),"",IF(COUNTIFS(BD!$B$3:$B$5001,G$206,BD!$A$3:$A$5001,"&gt;="&amp;$C$7,BD!$A$3:$A$5001,"&lt;="&amp;$B219,BD!$W$3:$W$5001,"&lt;&gt;")=0,"",SUMIFS(BD!$W$3:$W$5001,BD!$B$3:$B$5001,G$206,BD!$A$3:$A$5001,_xlfn.MAXIFS(BD!$A$3:$A$5001,BD!$B$3:$B$5001,G$206,BD!$A$3:$A$5001,"&gt;="&amp;$C$7,BD!$A$3:$A$5001,"&lt;="&amp;$B219,BD!$W$3:$W$5001,"&lt;&gt;"))))</f>
        <v/>
      </c>
      <c r="H219" s="43" t="str">
        <f>IF(OR($B219="",$A219&gt;$B$9,H$206=""),"",IF(COUNTIFS(BD!$B$3:$B$5001,H$206,BD!$A$3:$A$5001,"&gt;="&amp;$C$7,BD!$A$3:$A$5001,"&lt;="&amp;$B219,BD!$W$3:$W$5001,"&lt;&gt;")=0,"",SUMIFS(BD!$W$3:$W$5001,BD!$B$3:$B$5001,H$206,BD!$A$3:$A$5001,_xlfn.MAXIFS(BD!$A$3:$A$5001,BD!$B$3:$B$5001,H$206,BD!$A$3:$A$5001,"&gt;="&amp;$C$7,BD!$A$3:$A$5001,"&lt;="&amp;$B219,BD!$W$3:$W$5001,"&lt;&gt;"))))</f>
        <v/>
      </c>
      <c r="I219" s="43" t="str">
        <f>IF(OR($B219="",$A219&gt;$B$9,I$206=""),"",IF(COUNTIFS(BD!$B$3:$B$5001,I$206,BD!$A$3:$A$5001,"&gt;="&amp;$C$7,BD!$A$3:$A$5001,"&lt;="&amp;$B219,BD!$W$3:$W$5001,"&lt;&gt;")=0,"",SUMIFS(BD!$W$3:$W$5001,BD!$B$3:$B$5001,I$206,BD!$A$3:$A$5001,_xlfn.MAXIFS(BD!$A$3:$A$5001,BD!$B$3:$B$5001,I$206,BD!$A$3:$A$5001,"&gt;="&amp;$C$7,BD!$A$3:$A$5001,"&lt;="&amp;$B219,BD!$W$3:$W$5001,"&lt;&gt;"))))</f>
        <v/>
      </c>
      <c r="J219" s="43" t="str">
        <f>IF(OR($B219="",$A219&gt;$B$9,J$206=""),"",IF(COUNTIFS(BD!$B$3:$B$5001,J$206,BD!$A$3:$A$5001,"&gt;="&amp;$C$7,BD!$A$3:$A$5001,"&lt;="&amp;$B219,BD!$W$3:$W$5001,"&lt;&gt;")=0,"",SUMIFS(BD!$W$3:$W$5001,BD!$B$3:$B$5001,J$206,BD!$A$3:$A$5001,_xlfn.MAXIFS(BD!$A$3:$A$5001,BD!$B$3:$B$5001,J$206,BD!$A$3:$A$5001,"&gt;="&amp;$C$7,BD!$A$3:$A$5001,"&lt;="&amp;$B219,BD!$W$3:$W$5001,"&lt;&gt;"))))</f>
        <v/>
      </c>
      <c r="K219" s="43" t="str">
        <f>IF(OR($B219="",$A219&gt;$B$9,K$206=""),"",IF(COUNTIFS(BD!$B$3:$B$5001,K$206,BD!$A$3:$A$5001,"&gt;="&amp;$C$7,BD!$A$3:$A$5001,"&lt;="&amp;$B219,BD!$W$3:$W$5001,"&lt;&gt;")=0,"",SUMIFS(BD!$W$3:$W$5001,BD!$B$3:$B$5001,K$206,BD!$A$3:$A$5001,_xlfn.MAXIFS(BD!$A$3:$A$5001,BD!$B$3:$B$5001,K$206,BD!$A$3:$A$5001,"&gt;="&amp;$C$7,BD!$A$3:$A$5001,"&lt;="&amp;$B219,BD!$W$3:$W$5001,"&lt;&gt;"))))</f>
        <v/>
      </c>
      <c r="L219" s="43" t="str">
        <f>IF(OR($B219="",$A219&gt;$B$9,L$206=""),"",IF(COUNTIFS(BD!$B$3:$B$5001,L$206,BD!$A$3:$A$5001,"&gt;="&amp;$C$7,BD!$A$3:$A$5001,"&lt;="&amp;$B219,BD!$W$3:$W$5001,"&lt;&gt;")=0,"",SUMIFS(BD!$W$3:$W$5001,BD!$B$3:$B$5001,L$206,BD!$A$3:$A$5001,_xlfn.MAXIFS(BD!$A$3:$A$5001,BD!$B$3:$B$5001,L$206,BD!$A$3:$A$5001,"&gt;="&amp;$C$7,BD!$A$3:$A$5001,"&lt;="&amp;$B219,BD!$W$3:$W$5001,"&lt;&gt;"))))</f>
        <v/>
      </c>
      <c r="M219" s="43" t="str">
        <f>IF(OR($B219="",$A219&gt;$B$9,M$206=""),"",IF(COUNTIFS(BD!$B$3:$B$5001,M$206,BD!$A$3:$A$5001,"&gt;="&amp;$C$7,BD!$A$3:$A$5001,"&lt;="&amp;$B219,BD!$W$3:$W$5001,"&lt;&gt;")=0,"",SUMIFS(BD!$W$3:$W$5001,BD!$B$3:$B$5001,M$206,BD!$A$3:$A$5001,_xlfn.MAXIFS(BD!$A$3:$A$5001,BD!$B$3:$B$5001,M$206,BD!$A$3:$A$5001,"&gt;="&amp;$C$7,BD!$A$3:$A$5001,"&lt;="&amp;$B219,BD!$W$3:$W$5001,"&lt;&gt;"))))</f>
        <v/>
      </c>
      <c r="N219" s="43" t="str">
        <f>IF(OR($B219="",$A219&gt;$B$9,N$206=""),"",IF(COUNTIFS(BD!$B$3:$B$5001,N$206,BD!$A$3:$A$5001,"&gt;="&amp;$C$7,BD!$A$3:$A$5001,"&lt;="&amp;$B219,BD!$W$3:$W$5001,"&lt;&gt;")=0,"",SUMIFS(BD!$W$3:$W$5001,BD!$B$3:$B$5001,N$206,BD!$A$3:$A$5001,_xlfn.MAXIFS(BD!$A$3:$A$5001,BD!$B$3:$B$5001,N$206,BD!$A$3:$A$5001,"&gt;="&amp;$C$7,BD!$A$3:$A$5001,"&lt;="&amp;$B219,BD!$W$3:$W$5001,"&lt;&gt;"))))</f>
        <v/>
      </c>
      <c r="O219" s="43" t="str">
        <f>IF(OR($B219="",$A219&gt;$B$9,O$206=""),"",IF(COUNTIFS(BD!$B$3:$B$5001,O$206,BD!$A$3:$A$5001,"&gt;="&amp;$C$7,BD!$A$3:$A$5001,"&lt;="&amp;$B219,BD!$W$3:$W$5001,"&lt;&gt;")=0,"",SUMIFS(BD!$W$3:$W$5001,BD!$B$3:$B$5001,O$206,BD!$A$3:$A$5001,_xlfn.MAXIFS(BD!$A$3:$A$5001,BD!$B$3:$B$5001,O$206,BD!$A$3:$A$5001,"&gt;="&amp;$C$7,BD!$A$3:$A$5001,"&lt;="&amp;$B219,BD!$W$3:$W$5001,"&lt;&gt;"))))</f>
        <v/>
      </c>
      <c r="P219" s="43" t="str">
        <f>IF(OR($B219="",$A219&gt;$B$9,P$206=""),"",IF(COUNTIFS(BD!$B$3:$B$5001,P$206,BD!$A$3:$A$5001,"&gt;="&amp;$C$7,BD!$A$3:$A$5001,"&lt;="&amp;$B219,BD!$W$3:$W$5001,"&lt;&gt;")=0,"",SUMIFS(BD!$W$3:$W$5001,BD!$B$3:$B$5001,P$206,BD!$A$3:$A$5001,_xlfn.MAXIFS(BD!$A$3:$A$5001,BD!$B$3:$B$5001,P$206,BD!$A$3:$A$5001,"&gt;="&amp;$C$7,BD!$A$3:$A$5001,"&lt;="&amp;$B219,BD!$W$3:$W$5001,"&lt;&gt;"))))</f>
        <v/>
      </c>
      <c r="Q219" s="43" t="str">
        <f>IF(OR($B219="",$A219&gt;$B$9,Q$206=""),"",IF(COUNTIFS(BD!$B$3:$B$5001,Q$206,BD!$A$3:$A$5001,"&gt;="&amp;$C$7,BD!$A$3:$A$5001,"&lt;="&amp;$B219,BD!$W$3:$W$5001,"&lt;&gt;")=0,"",SUMIFS(BD!$W$3:$W$5001,BD!$B$3:$B$5001,Q$206,BD!$A$3:$A$5001,_xlfn.MAXIFS(BD!$A$3:$A$5001,BD!$B$3:$B$5001,Q$206,BD!$A$3:$A$5001,"&gt;="&amp;$C$7,BD!$A$3:$A$5001,"&lt;="&amp;$B219,BD!$W$3:$W$5001,"&lt;&gt;"))))</f>
        <v/>
      </c>
      <c r="R219" s="43" t="str">
        <f>IF(OR($B219="",$A219&gt;$B$9,R$206=""),"",IF(COUNTIFS(BD!$B$3:$B$5001,R$206,BD!$A$3:$A$5001,"&gt;="&amp;$C$7,BD!$A$3:$A$5001,"&lt;="&amp;$B219,BD!$W$3:$W$5001,"&lt;&gt;")=0,"",SUMIFS(BD!$W$3:$W$5001,BD!$B$3:$B$5001,R$206,BD!$A$3:$A$5001,_xlfn.MAXIFS(BD!$A$3:$A$5001,BD!$B$3:$B$5001,R$206,BD!$A$3:$A$5001,"&gt;="&amp;$C$7,BD!$A$3:$A$5001,"&lt;="&amp;$B219,BD!$W$3:$W$5001,"&lt;&gt;"))))</f>
        <v/>
      </c>
      <c r="S219" s="43" t="str">
        <f>IF(OR($B219="",$A219&gt;$B$9,S$206=""),"",IF(COUNTIFS(BD!$B$3:$B$5001,S$206,BD!$A$3:$A$5001,"&gt;="&amp;$C$7,BD!$A$3:$A$5001,"&lt;="&amp;$B219,BD!$W$3:$W$5001,"&lt;&gt;")=0,"",SUMIFS(BD!$W$3:$W$5001,BD!$B$3:$B$5001,S$206,BD!$A$3:$A$5001,_xlfn.MAXIFS(BD!$A$3:$A$5001,BD!$B$3:$B$5001,S$206,BD!$A$3:$A$5001,"&gt;="&amp;$C$7,BD!$A$3:$A$5001,"&lt;="&amp;$B219,BD!$W$3:$W$5001,"&lt;&gt;"))))</f>
        <v/>
      </c>
      <c r="T219" s="43" t="str">
        <f>IF(OR($B219="",$A219&gt;$B$9,T$206=""),"",IF(COUNTIFS(BD!$B$3:$B$5001,T$206,BD!$A$3:$A$5001,"&gt;="&amp;$C$7,BD!$A$3:$A$5001,"&lt;="&amp;$B219,BD!$W$3:$W$5001,"&lt;&gt;")=0,"",SUMIFS(BD!$W$3:$W$5001,BD!$B$3:$B$5001,T$206,BD!$A$3:$A$5001,_xlfn.MAXIFS(BD!$A$3:$A$5001,BD!$B$3:$B$5001,T$206,BD!$A$3:$A$5001,"&gt;="&amp;$C$7,BD!$A$3:$A$5001,"&lt;="&amp;$B219,BD!$W$3:$W$5001,"&lt;&gt;"))))</f>
        <v/>
      </c>
      <c r="U219" s="43" t="str">
        <f>IF(OR($B219="",$A219&gt;$B$9,U$206=""),"",IF(COUNTIFS(BD!$B$3:$B$5001,U$206,BD!$A$3:$A$5001,"&gt;="&amp;$C$7,BD!$A$3:$A$5001,"&lt;="&amp;$B219,BD!$W$3:$W$5001,"&lt;&gt;")=0,"",SUMIFS(BD!$W$3:$W$5001,BD!$B$3:$B$5001,U$206,BD!$A$3:$A$5001,_xlfn.MAXIFS(BD!$A$3:$A$5001,BD!$B$3:$B$5001,U$206,BD!$A$3:$A$5001,"&gt;="&amp;$C$7,BD!$A$3:$A$5001,"&lt;="&amp;$B219,BD!$W$3:$W$5001,"&lt;&gt;"))))</f>
        <v/>
      </c>
      <c r="V219" s="43" t="str">
        <f>IF(OR($B219="",$A219&gt;$B$9,V$206=""),"",IF(COUNTIFS(BD!$B$3:$B$5001,V$206,BD!$A$3:$A$5001,"&gt;="&amp;$C$7,BD!$A$3:$A$5001,"&lt;="&amp;$B219,BD!$W$3:$W$5001,"&lt;&gt;")=0,"",SUMIFS(BD!$W$3:$W$5001,BD!$B$3:$B$5001,V$206,BD!$A$3:$A$5001,_xlfn.MAXIFS(BD!$A$3:$A$5001,BD!$B$3:$B$5001,V$206,BD!$A$3:$A$5001,"&gt;="&amp;$C$7,BD!$A$3:$A$5001,"&lt;="&amp;$B219,BD!$W$3:$W$5001,"&lt;&gt;"))))</f>
        <v/>
      </c>
    </row>
    <row r="220">
      <c r="A220" s="38">
        <v>14</v>
      </c>
      <c r="B220" s="42">
        <f>$B$25</f>
        <v>46309</v>
      </c>
      <c r="C220" s="43" t="str">
        <f>IF(OR($B220="",$A220&gt;$B$9,C$206=""),"",IF(COUNTIFS(BD!$B$3:$B$5001,C$206,BD!$A$3:$A$5001,"&gt;="&amp;$C$7,BD!$A$3:$A$5001,"&lt;="&amp;$B220,BD!$W$3:$W$5001,"&lt;&gt;")=0,"",SUMIFS(BD!$W$3:$W$5001,BD!$B$3:$B$5001,C$206,BD!$A$3:$A$5001,_xlfn.MAXIFS(BD!$A$3:$A$5001,BD!$B$3:$B$5001,C$206,BD!$A$3:$A$5001,"&gt;="&amp;$C$7,BD!$A$3:$A$5001,"&lt;="&amp;$B220,BD!$W$3:$W$5001,"&lt;&gt;"))))</f>
        <v/>
      </c>
      <c r="D220" s="43" t="str">
        <f>IF(OR($B220="",$A220&gt;$B$9,D$206=""),"",IF(COUNTIFS(BD!$B$3:$B$5001,D$206,BD!$A$3:$A$5001,"&gt;="&amp;$C$7,BD!$A$3:$A$5001,"&lt;="&amp;$B220,BD!$W$3:$W$5001,"&lt;&gt;")=0,"",SUMIFS(BD!$W$3:$W$5001,BD!$B$3:$B$5001,D$206,BD!$A$3:$A$5001,_xlfn.MAXIFS(BD!$A$3:$A$5001,BD!$B$3:$B$5001,D$206,BD!$A$3:$A$5001,"&gt;="&amp;$C$7,BD!$A$3:$A$5001,"&lt;="&amp;$B220,BD!$W$3:$W$5001,"&lt;&gt;"))))</f>
        <v/>
      </c>
      <c r="E220" s="43" t="str">
        <f>IF(OR($B220="",$A220&gt;$B$9,E$206=""),"",IF(COUNTIFS(BD!$B$3:$B$5001,E$206,BD!$A$3:$A$5001,"&gt;="&amp;$C$7,BD!$A$3:$A$5001,"&lt;="&amp;$B220,BD!$W$3:$W$5001,"&lt;&gt;")=0,"",SUMIFS(BD!$W$3:$W$5001,BD!$B$3:$B$5001,E$206,BD!$A$3:$A$5001,_xlfn.MAXIFS(BD!$A$3:$A$5001,BD!$B$3:$B$5001,E$206,BD!$A$3:$A$5001,"&gt;="&amp;$C$7,BD!$A$3:$A$5001,"&lt;="&amp;$B220,BD!$W$3:$W$5001,"&lt;&gt;"))))</f>
        <v/>
      </c>
      <c r="F220" s="43" t="str">
        <f>IF(OR($B220="",$A220&gt;$B$9,F$206=""),"",IF(COUNTIFS(BD!$B$3:$B$5001,F$206,BD!$A$3:$A$5001,"&gt;="&amp;$C$7,BD!$A$3:$A$5001,"&lt;="&amp;$B220,BD!$W$3:$W$5001,"&lt;&gt;")=0,"",SUMIFS(BD!$W$3:$W$5001,BD!$B$3:$B$5001,F$206,BD!$A$3:$A$5001,_xlfn.MAXIFS(BD!$A$3:$A$5001,BD!$B$3:$B$5001,F$206,BD!$A$3:$A$5001,"&gt;="&amp;$C$7,BD!$A$3:$A$5001,"&lt;="&amp;$B220,BD!$W$3:$W$5001,"&lt;&gt;"))))</f>
        <v/>
      </c>
      <c r="G220" s="43" t="str">
        <f>IF(OR($B220="",$A220&gt;$B$9,G$206=""),"",IF(COUNTIFS(BD!$B$3:$B$5001,G$206,BD!$A$3:$A$5001,"&gt;="&amp;$C$7,BD!$A$3:$A$5001,"&lt;="&amp;$B220,BD!$W$3:$W$5001,"&lt;&gt;")=0,"",SUMIFS(BD!$W$3:$W$5001,BD!$B$3:$B$5001,G$206,BD!$A$3:$A$5001,_xlfn.MAXIFS(BD!$A$3:$A$5001,BD!$B$3:$B$5001,G$206,BD!$A$3:$A$5001,"&gt;="&amp;$C$7,BD!$A$3:$A$5001,"&lt;="&amp;$B220,BD!$W$3:$W$5001,"&lt;&gt;"))))</f>
        <v/>
      </c>
      <c r="H220" s="43" t="str">
        <f>IF(OR($B220="",$A220&gt;$B$9,H$206=""),"",IF(COUNTIFS(BD!$B$3:$B$5001,H$206,BD!$A$3:$A$5001,"&gt;="&amp;$C$7,BD!$A$3:$A$5001,"&lt;="&amp;$B220,BD!$W$3:$W$5001,"&lt;&gt;")=0,"",SUMIFS(BD!$W$3:$W$5001,BD!$B$3:$B$5001,H$206,BD!$A$3:$A$5001,_xlfn.MAXIFS(BD!$A$3:$A$5001,BD!$B$3:$B$5001,H$206,BD!$A$3:$A$5001,"&gt;="&amp;$C$7,BD!$A$3:$A$5001,"&lt;="&amp;$B220,BD!$W$3:$W$5001,"&lt;&gt;"))))</f>
        <v/>
      </c>
      <c r="I220" s="43" t="str">
        <f>IF(OR($B220="",$A220&gt;$B$9,I$206=""),"",IF(COUNTIFS(BD!$B$3:$B$5001,I$206,BD!$A$3:$A$5001,"&gt;="&amp;$C$7,BD!$A$3:$A$5001,"&lt;="&amp;$B220,BD!$W$3:$W$5001,"&lt;&gt;")=0,"",SUMIFS(BD!$W$3:$W$5001,BD!$B$3:$B$5001,I$206,BD!$A$3:$A$5001,_xlfn.MAXIFS(BD!$A$3:$A$5001,BD!$B$3:$B$5001,I$206,BD!$A$3:$A$5001,"&gt;="&amp;$C$7,BD!$A$3:$A$5001,"&lt;="&amp;$B220,BD!$W$3:$W$5001,"&lt;&gt;"))))</f>
        <v/>
      </c>
      <c r="J220" s="43" t="str">
        <f>IF(OR($B220="",$A220&gt;$B$9,J$206=""),"",IF(COUNTIFS(BD!$B$3:$B$5001,J$206,BD!$A$3:$A$5001,"&gt;="&amp;$C$7,BD!$A$3:$A$5001,"&lt;="&amp;$B220,BD!$W$3:$W$5001,"&lt;&gt;")=0,"",SUMIFS(BD!$W$3:$W$5001,BD!$B$3:$B$5001,J$206,BD!$A$3:$A$5001,_xlfn.MAXIFS(BD!$A$3:$A$5001,BD!$B$3:$B$5001,J$206,BD!$A$3:$A$5001,"&gt;="&amp;$C$7,BD!$A$3:$A$5001,"&lt;="&amp;$B220,BD!$W$3:$W$5001,"&lt;&gt;"))))</f>
        <v/>
      </c>
      <c r="K220" s="43" t="str">
        <f>IF(OR($B220="",$A220&gt;$B$9,K$206=""),"",IF(COUNTIFS(BD!$B$3:$B$5001,K$206,BD!$A$3:$A$5001,"&gt;="&amp;$C$7,BD!$A$3:$A$5001,"&lt;="&amp;$B220,BD!$W$3:$W$5001,"&lt;&gt;")=0,"",SUMIFS(BD!$W$3:$W$5001,BD!$B$3:$B$5001,K$206,BD!$A$3:$A$5001,_xlfn.MAXIFS(BD!$A$3:$A$5001,BD!$B$3:$B$5001,K$206,BD!$A$3:$A$5001,"&gt;="&amp;$C$7,BD!$A$3:$A$5001,"&lt;="&amp;$B220,BD!$W$3:$W$5001,"&lt;&gt;"))))</f>
        <v/>
      </c>
      <c r="L220" s="43" t="str">
        <f>IF(OR($B220="",$A220&gt;$B$9,L$206=""),"",IF(COUNTIFS(BD!$B$3:$B$5001,L$206,BD!$A$3:$A$5001,"&gt;="&amp;$C$7,BD!$A$3:$A$5001,"&lt;="&amp;$B220,BD!$W$3:$W$5001,"&lt;&gt;")=0,"",SUMIFS(BD!$W$3:$W$5001,BD!$B$3:$B$5001,L$206,BD!$A$3:$A$5001,_xlfn.MAXIFS(BD!$A$3:$A$5001,BD!$B$3:$B$5001,L$206,BD!$A$3:$A$5001,"&gt;="&amp;$C$7,BD!$A$3:$A$5001,"&lt;="&amp;$B220,BD!$W$3:$W$5001,"&lt;&gt;"))))</f>
        <v/>
      </c>
      <c r="M220" s="43" t="str">
        <f>IF(OR($B220="",$A220&gt;$B$9,M$206=""),"",IF(COUNTIFS(BD!$B$3:$B$5001,M$206,BD!$A$3:$A$5001,"&gt;="&amp;$C$7,BD!$A$3:$A$5001,"&lt;="&amp;$B220,BD!$W$3:$W$5001,"&lt;&gt;")=0,"",SUMIFS(BD!$W$3:$W$5001,BD!$B$3:$B$5001,M$206,BD!$A$3:$A$5001,_xlfn.MAXIFS(BD!$A$3:$A$5001,BD!$B$3:$B$5001,M$206,BD!$A$3:$A$5001,"&gt;="&amp;$C$7,BD!$A$3:$A$5001,"&lt;="&amp;$B220,BD!$W$3:$W$5001,"&lt;&gt;"))))</f>
        <v/>
      </c>
      <c r="N220" s="43" t="str">
        <f>IF(OR($B220="",$A220&gt;$B$9,N$206=""),"",IF(COUNTIFS(BD!$B$3:$B$5001,N$206,BD!$A$3:$A$5001,"&gt;="&amp;$C$7,BD!$A$3:$A$5001,"&lt;="&amp;$B220,BD!$W$3:$W$5001,"&lt;&gt;")=0,"",SUMIFS(BD!$W$3:$W$5001,BD!$B$3:$B$5001,N$206,BD!$A$3:$A$5001,_xlfn.MAXIFS(BD!$A$3:$A$5001,BD!$B$3:$B$5001,N$206,BD!$A$3:$A$5001,"&gt;="&amp;$C$7,BD!$A$3:$A$5001,"&lt;="&amp;$B220,BD!$W$3:$W$5001,"&lt;&gt;"))))</f>
        <v/>
      </c>
      <c r="O220" s="43" t="str">
        <f>IF(OR($B220="",$A220&gt;$B$9,O$206=""),"",IF(COUNTIFS(BD!$B$3:$B$5001,O$206,BD!$A$3:$A$5001,"&gt;="&amp;$C$7,BD!$A$3:$A$5001,"&lt;="&amp;$B220,BD!$W$3:$W$5001,"&lt;&gt;")=0,"",SUMIFS(BD!$W$3:$W$5001,BD!$B$3:$B$5001,O$206,BD!$A$3:$A$5001,_xlfn.MAXIFS(BD!$A$3:$A$5001,BD!$B$3:$B$5001,O$206,BD!$A$3:$A$5001,"&gt;="&amp;$C$7,BD!$A$3:$A$5001,"&lt;="&amp;$B220,BD!$W$3:$W$5001,"&lt;&gt;"))))</f>
        <v/>
      </c>
      <c r="P220" s="43" t="str">
        <f>IF(OR($B220="",$A220&gt;$B$9,P$206=""),"",IF(COUNTIFS(BD!$B$3:$B$5001,P$206,BD!$A$3:$A$5001,"&gt;="&amp;$C$7,BD!$A$3:$A$5001,"&lt;="&amp;$B220,BD!$W$3:$W$5001,"&lt;&gt;")=0,"",SUMIFS(BD!$W$3:$W$5001,BD!$B$3:$B$5001,P$206,BD!$A$3:$A$5001,_xlfn.MAXIFS(BD!$A$3:$A$5001,BD!$B$3:$B$5001,P$206,BD!$A$3:$A$5001,"&gt;="&amp;$C$7,BD!$A$3:$A$5001,"&lt;="&amp;$B220,BD!$W$3:$W$5001,"&lt;&gt;"))))</f>
        <v/>
      </c>
      <c r="Q220" s="43" t="str">
        <f>IF(OR($B220="",$A220&gt;$B$9,Q$206=""),"",IF(COUNTIFS(BD!$B$3:$B$5001,Q$206,BD!$A$3:$A$5001,"&gt;="&amp;$C$7,BD!$A$3:$A$5001,"&lt;="&amp;$B220,BD!$W$3:$W$5001,"&lt;&gt;")=0,"",SUMIFS(BD!$W$3:$W$5001,BD!$B$3:$B$5001,Q$206,BD!$A$3:$A$5001,_xlfn.MAXIFS(BD!$A$3:$A$5001,BD!$B$3:$B$5001,Q$206,BD!$A$3:$A$5001,"&gt;="&amp;$C$7,BD!$A$3:$A$5001,"&lt;="&amp;$B220,BD!$W$3:$W$5001,"&lt;&gt;"))))</f>
        <v/>
      </c>
      <c r="R220" s="43" t="str">
        <f>IF(OR($B220="",$A220&gt;$B$9,R$206=""),"",IF(COUNTIFS(BD!$B$3:$B$5001,R$206,BD!$A$3:$A$5001,"&gt;="&amp;$C$7,BD!$A$3:$A$5001,"&lt;="&amp;$B220,BD!$W$3:$W$5001,"&lt;&gt;")=0,"",SUMIFS(BD!$W$3:$W$5001,BD!$B$3:$B$5001,R$206,BD!$A$3:$A$5001,_xlfn.MAXIFS(BD!$A$3:$A$5001,BD!$B$3:$B$5001,R$206,BD!$A$3:$A$5001,"&gt;="&amp;$C$7,BD!$A$3:$A$5001,"&lt;="&amp;$B220,BD!$W$3:$W$5001,"&lt;&gt;"))))</f>
        <v/>
      </c>
      <c r="S220" s="43" t="str">
        <f>IF(OR($B220="",$A220&gt;$B$9,S$206=""),"",IF(COUNTIFS(BD!$B$3:$B$5001,S$206,BD!$A$3:$A$5001,"&gt;="&amp;$C$7,BD!$A$3:$A$5001,"&lt;="&amp;$B220,BD!$W$3:$W$5001,"&lt;&gt;")=0,"",SUMIFS(BD!$W$3:$W$5001,BD!$B$3:$B$5001,S$206,BD!$A$3:$A$5001,_xlfn.MAXIFS(BD!$A$3:$A$5001,BD!$B$3:$B$5001,S$206,BD!$A$3:$A$5001,"&gt;="&amp;$C$7,BD!$A$3:$A$5001,"&lt;="&amp;$B220,BD!$W$3:$W$5001,"&lt;&gt;"))))</f>
        <v/>
      </c>
      <c r="T220" s="43" t="str">
        <f>IF(OR($B220="",$A220&gt;$B$9,T$206=""),"",IF(COUNTIFS(BD!$B$3:$B$5001,T$206,BD!$A$3:$A$5001,"&gt;="&amp;$C$7,BD!$A$3:$A$5001,"&lt;="&amp;$B220,BD!$W$3:$W$5001,"&lt;&gt;")=0,"",SUMIFS(BD!$W$3:$W$5001,BD!$B$3:$B$5001,T$206,BD!$A$3:$A$5001,_xlfn.MAXIFS(BD!$A$3:$A$5001,BD!$B$3:$B$5001,T$206,BD!$A$3:$A$5001,"&gt;="&amp;$C$7,BD!$A$3:$A$5001,"&lt;="&amp;$B220,BD!$W$3:$W$5001,"&lt;&gt;"))))</f>
        <v/>
      </c>
      <c r="U220" s="43" t="str">
        <f>IF(OR($B220="",$A220&gt;$B$9,U$206=""),"",IF(COUNTIFS(BD!$B$3:$B$5001,U$206,BD!$A$3:$A$5001,"&gt;="&amp;$C$7,BD!$A$3:$A$5001,"&lt;="&amp;$B220,BD!$W$3:$W$5001,"&lt;&gt;")=0,"",SUMIFS(BD!$W$3:$W$5001,BD!$B$3:$B$5001,U$206,BD!$A$3:$A$5001,_xlfn.MAXIFS(BD!$A$3:$A$5001,BD!$B$3:$B$5001,U$206,BD!$A$3:$A$5001,"&gt;="&amp;$C$7,BD!$A$3:$A$5001,"&lt;="&amp;$B220,BD!$W$3:$W$5001,"&lt;&gt;"))))</f>
        <v/>
      </c>
      <c r="V220" s="43" t="str">
        <f>IF(OR($B220="",$A220&gt;$B$9,V$206=""),"",IF(COUNTIFS(BD!$B$3:$B$5001,V$206,BD!$A$3:$A$5001,"&gt;="&amp;$C$7,BD!$A$3:$A$5001,"&lt;="&amp;$B220,BD!$W$3:$W$5001,"&lt;&gt;")=0,"",SUMIFS(BD!$W$3:$W$5001,BD!$B$3:$B$5001,V$206,BD!$A$3:$A$5001,_xlfn.MAXIFS(BD!$A$3:$A$5001,BD!$B$3:$B$5001,V$206,BD!$A$3:$A$5001,"&gt;="&amp;$C$7,BD!$A$3:$A$5001,"&lt;="&amp;$B220,BD!$W$3:$W$5001,"&lt;&gt;"))))</f>
        <v/>
      </c>
    </row>
    <row r="221">
      <c r="A221" s="38">
        <v>15</v>
      </c>
      <c r="B221" s="42">
        <f>$B$26</f>
        <v>46310</v>
      </c>
      <c r="C221" s="43" t="str">
        <f>IF(OR($B221="",$A221&gt;$B$9,C$206=""),"",IF(COUNTIFS(BD!$B$3:$B$5001,C$206,BD!$A$3:$A$5001,"&gt;="&amp;$C$7,BD!$A$3:$A$5001,"&lt;="&amp;$B221,BD!$W$3:$W$5001,"&lt;&gt;")=0,"",SUMIFS(BD!$W$3:$W$5001,BD!$B$3:$B$5001,C$206,BD!$A$3:$A$5001,_xlfn.MAXIFS(BD!$A$3:$A$5001,BD!$B$3:$B$5001,C$206,BD!$A$3:$A$5001,"&gt;="&amp;$C$7,BD!$A$3:$A$5001,"&lt;="&amp;$B221,BD!$W$3:$W$5001,"&lt;&gt;"))))</f>
        <v/>
      </c>
      <c r="D221" s="43" t="str">
        <f>IF(OR($B221="",$A221&gt;$B$9,D$206=""),"",IF(COUNTIFS(BD!$B$3:$B$5001,D$206,BD!$A$3:$A$5001,"&gt;="&amp;$C$7,BD!$A$3:$A$5001,"&lt;="&amp;$B221,BD!$W$3:$W$5001,"&lt;&gt;")=0,"",SUMIFS(BD!$W$3:$W$5001,BD!$B$3:$B$5001,D$206,BD!$A$3:$A$5001,_xlfn.MAXIFS(BD!$A$3:$A$5001,BD!$B$3:$B$5001,D$206,BD!$A$3:$A$5001,"&gt;="&amp;$C$7,BD!$A$3:$A$5001,"&lt;="&amp;$B221,BD!$W$3:$W$5001,"&lt;&gt;"))))</f>
        <v/>
      </c>
      <c r="E221" s="43" t="str">
        <f>IF(OR($B221="",$A221&gt;$B$9,E$206=""),"",IF(COUNTIFS(BD!$B$3:$B$5001,E$206,BD!$A$3:$A$5001,"&gt;="&amp;$C$7,BD!$A$3:$A$5001,"&lt;="&amp;$B221,BD!$W$3:$W$5001,"&lt;&gt;")=0,"",SUMIFS(BD!$W$3:$W$5001,BD!$B$3:$B$5001,E$206,BD!$A$3:$A$5001,_xlfn.MAXIFS(BD!$A$3:$A$5001,BD!$B$3:$B$5001,E$206,BD!$A$3:$A$5001,"&gt;="&amp;$C$7,BD!$A$3:$A$5001,"&lt;="&amp;$B221,BD!$W$3:$W$5001,"&lt;&gt;"))))</f>
        <v/>
      </c>
      <c r="F221" s="43" t="str">
        <f>IF(OR($B221="",$A221&gt;$B$9,F$206=""),"",IF(COUNTIFS(BD!$B$3:$B$5001,F$206,BD!$A$3:$A$5001,"&gt;="&amp;$C$7,BD!$A$3:$A$5001,"&lt;="&amp;$B221,BD!$W$3:$W$5001,"&lt;&gt;")=0,"",SUMIFS(BD!$W$3:$W$5001,BD!$B$3:$B$5001,F$206,BD!$A$3:$A$5001,_xlfn.MAXIFS(BD!$A$3:$A$5001,BD!$B$3:$B$5001,F$206,BD!$A$3:$A$5001,"&gt;="&amp;$C$7,BD!$A$3:$A$5001,"&lt;="&amp;$B221,BD!$W$3:$W$5001,"&lt;&gt;"))))</f>
        <v/>
      </c>
      <c r="G221" s="43" t="str">
        <f>IF(OR($B221="",$A221&gt;$B$9,G$206=""),"",IF(COUNTIFS(BD!$B$3:$B$5001,G$206,BD!$A$3:$A$5001,"&gt;="&amp;$C$7,BD!$A$3:$A$5001,"&lt;="&amp;$B221,BD!$W$3:$W$5001,"&lt;&gt;")=0,"",SUMIFS(BD!$W$3:$W$5001,BD!$B$3:$B$5001,G$206,BD!$A$3:$A$5001,_xlfn.MAXIFS(BD!$A$3:$A$5001,BD!$B$3:$B$5001,G$206,BD!$A$3:$A$5001,"&gt;="&amp;$C$7,BD!$A$3:$A$5001,"&lt;="&amp;$B221,BD!$W$3:$W$5001,"&lt;&gt;"))))</f>
        <v/>
      </c>
      <c r="H221" s="43" t="str">
        <f>IF(OR($B221="",$A221&gt;$B$9,H$206=""),"",IF(COUNTIFS(BD!$B$3:$B$5001,H$206,BD!$A$3:$A$5001,"&gt;="&amp;$C$7,BD!$A$3:$A$5001,"&lt;="&amp;$B221,BD!$W$3:$W$5001,"&lt;&gt;")=0,"",SUMIFS(BD!$W$3:$W$5001,BD!$B$3:$B$5001,H$206,BD!$A$3:$A$5001,_xlfn.MAXIFS(BD!$A$3:$A$5001,BD!$B$3:$B$5001,H$206,BD!$A$3:$A$5001,"&gt;="&amp;$C$7,BD!$A$3:$A$5001,"&lt;="&amp;$B221,BD!$W$3:$W$5001,"&lt;&gt;"))))</f>
        <v/>
      </c>
      <c r="I221" s="43" t="str">
        <f>IF(OR($B221="",$A221&gt;$B$9,I$206=""),"",IF(COUNTIFS(BD!$B$3:$B$5001,I$206,BD!$A$3:$A$5001,"&gt;="&amp;$C$7,BD!$A$3:$A$5001,"&lt;="&amp;$B221,BD!$W$3:$W$5001,"&lt;&gt;")=0,"",SUMIFS(BD!$W$3:$W$5001,BD!$B$3:$B$5001,I$206,BD!$A$3:$A$5001,_xlfn.MAXIFS(BD!$A$3:$A$5001,BD!$B$3:$B$5001,I$206,BD!$A$3:$A$5001,"&gt;="&amp;$C$7,BD!$A$3:$A$5001,"&lt;="&amp;$B221,BD!$W$3:$W$5001,"&lt;&gt;"))))</f>
        <v/>
      </c>
      <c r="J221" s="43" t="str">
        <f>IF(OR($B221="",$A221&gt;$B$9,J$206=""),"",IF(COUNTIFS(BD!$B$3:$B$5001,J$206,BD!$A$3:$A$5001,"&gt;="&amp;$C$7,BD!$A$3:$A$5001,"&lt;="&amp;$B221,BD!$W$3:$W$5001,"&lt;&gt;")=0,"",SUMIFS(BD!$W$3:$W$5001,BD!$B$3:$B$5001,J$206,BD!$A$3:$A$5001,_xlfn.MAXIFS(BD!$A$3:$A$5001,BD!$B$3:$B$5001,J$206,BD!$A$3:$A$5001,"&gt;="&amp;$C$7,BD!$A$3:$A$5001,"&lt;="&amp;$B221,BD!$W$3:$W$5001,"&lt;&gt;"))))</f>
        <v/>
      </c>
      <c r="K221" s="43" t="str">
        <f>IF(OR($B221="",$A221&gt;$B$9,K$206=""),"",IF(COUNTIFS(BD!$B$3:$B$5001,K$206,BD!$A$3:$A$5001,"&gt;="&amp;$C$7,BD!$A$3:$A$5001,"&lt;="&amp;$B221,BD!$W$3:$W$5001,"&lt;&gt;")=0,"",SUMIFS(BD!$W$3:$W$5001,BD!$B$3:$B$5001,K$206,BD!$A$3:$A$5001,_xlfn.MAXIFS(BD!$A$3:$A$5001,BD!$B$3:$B$5001,K$206,BD!$A$3:$A$5001,"&gt;="&amp;$C$7,BD!$A$3:$A$5001,"&lt;="&amp;$B221,BD!$W$3:$W$5001,"&lt;&gt;"))))</f>
        <v/>
      </c>
      <c r="L221" s="43" t="str">
        <f>IF(OR($B221="",$A221&gt;$B$9,L$206=""),"",IF(COUNTIFS(BD!$B$3:$B$5001,L$206,BD!$A$3:$A$5001,"&gt;="&amp;$C$7,BD!$A$3:$A$5001,"&lt;="&amp;$B221,BD!$W$3:$W$5001,"&lt;&gt;")=0,"",SUMIFS(BD!$W$3:$W$5001,BD!$B$3:$B$5001,L$206,BD!$A$3:$A$5001,_xlfn.MAXIFS(BD!$A$3:$A$5001,BD!$B$3:$B$5001,L$206,BD!$A$3:$A$5001,"&gt;="&amp;$C$7,BD!$A$3:$A$5001,"&lt;="&amp;$B221,BD!$W$3:$W$5001,"&lt;&gt;"))))</f>
        <v/>
      </c>
      <c r="M221" s="43" t="str">
        <f>IF(OR($B221="",$A221&gt;$B$9,M$206=""),"",IF(COUNTIFS(BD!$B$3:$B$5001,M$206,BD!$A$3:$A$5001,"&gt;="&amp;$C$7,BD!$A$3:$A$5001,"&lt;="&amp;$B221,BD!$W$3:$W$5001,"&lt;&gt;")=0,"",SUMIFS(BD!$W$3:$W$5001,BD!$B$3:$B$5001,M$206,BD!$A$3:$A$5001,_xlfn.MAXIFS(BD!$A$3:$A$5001,BD!$B$3:$B$5001,M$206,BD!$A$3:$A$5001,"&gt;="&amp;$C$7,BD!$A$3:$A$5001,"&lt;="&amp;$B221,BD!$W$3:$W$5001,"&lt;&gt;"))))</f>
        <v/>
      </c>
      <c r="N221" s="43" t="str">
        <f>IF(OR($B221="",$A221&gt;$B$9,N$206=""),"",IF(COUNTIFS(BD!$B$3:$B$5001,N$206,BD!$A$3:$A$5001,"&gt;="&amp;$C$7,BD!$A$3:$A$5001,"&lt;="&amp;$B221,BD!$W$3:$W$5001,"&lt;&gt;")=0,"",SUMIFS(BD!$W$3:$W$5001,BD!$B$3:$B$5001,N$206,BD!$A$3:$A$5001,_xlfn.MAXIFS(BD!$A$3:$A$5001,BD!$B$3:$B$5001,N$206,BD!$A$3:$A$5001,"&gt;="&amp;$C$7,BD!$A$3:$A$5001,"&lt;="&amp;$B221,BD!$W$3:$W$5001,"&lt;&gt;"))))</f>
        <v/>
      </c>
      <c r="O221" s="43" t="str">
        <f>IF(OR($B221="",$A221&gt;$B$9,O$206=""),"",IF(COUNTIFS(BD!$B$3:$B$5001,O$206,BD!$A$3:$A$5001,"&gt;="&amp;$C$7,BD!$A$3:$A$5001,"&lt;="&amp;$B221,BD!$W$3:$W$5001,"&lt;&gt;")=0,"",SUMIFS(BD!$W$3:$W$5001,BD!$B$3:$B$5001,O$206,BD!$A$3:$A$5001,_xlfn.MAXIFS(BD!$A$3:$A$5001,BD!$B$3:$B$5001,O$206,BD!$A$3:$A$5001,"&gt;="&amp;$C$7,BD!$A$3:$A$5001,"&lt;="&amp;$B221,BD!$W$3:$W$5001,"&lt;&gt;"))))</f>
        <v/>
      </c>
      <c r="P221" s="43" t="str">
        <f>IF(OR($B221="",$A221&gt;$B$9,P$206=""),"",IF(COUNTIFS(BD!$B$3:$B$5001,P$206,BD!$A$3:$A$5001,"&gt;="&amp;$C$7,BD!$A$3:$A$5001,"&lt;="&amp;$B221,BD!$W$3:$W$5001,"&lt;&gt;")=0,"",SUMIFS(BD!$W$3:$W$5001,BD!$B$3:$B$5001,P$206,BD!$A$3:$A$5001,_xlfn.MAXIFS(BD!$A$3:$A$5001,BD!$B$3:$B$5001,P$206,BD!$A$3:$A$5001,"&gt;="&amp;$C$7,BD!$A$3:$A$5001,"&lt;="&amp;$B221,BD!$W$3:$W$5001,"&lt;&gt;"))))</f>
        <v/>
      </c>
      <c r="Q221" s="43" t="str">
        <f>IF(OR($B221="",$A221&gt;$B$9,Q$206=""),"",IF(COUNTIFS(BD!$B$3:$B$5001,Q$206,BD!$A$3:$A$5001,"&gt;="&amp;$C$7,BD!$A$3:$A$5001,"&lt;="&amp;$B221,BD!$W$3:$W$5001,"&lt;&gt;")=0,"",SUMIFS(BD!$W$3:$W$5001,BD!$B$3:$B$5001,Q$206,BD!$A$3:$A$5001,_xlfn.MAXIFS(BD!$A$3:$A$5001,BD!$B$3:$B$5001,Q$206,BD!$A$3:$A$5001,"&gt;="&amp;$C$7,BD!$A$3:$A$5001,"&lt;="&amp;$B221,BD!$W$3:$W$5001,"&lt;&gt;"))))</f>
        <v/>
      </c>
      <c r="R221" s="43" t="str">
        <f>IF(OR($B221="",$A221&gt;$B$9,R$206=""),"",IF(COUNTIFS(BD!$B$3:$B$5001,R$206,BD!$A$3:$A$5001,"&gt;="&amp;$C$7,BD!$A$3:$A$5001,"&lt;="&amp;$B221,BD!$W$3:$W$5001,"&lt;&gt;")=0,"",SUMIFS(BD!$W$3:$W$5001,BD!$B$3:$B$5001,R$206,BD!$A$3:$A$5001,_xlfn.MAXIFS(BD!$A$3:$A$5001,BD!$B$3:$B$5001,R$206,BD!$A$3:$A$5001,"&gt;="&amp;$C$7,BD!$A$3:$A$5001,"&lt;="&amp;$B221,BD!$W$3:$W$5001,"&lt;&gt;"))))</f>
        <v/>
      </c>
      <c r="S221" s="43" t="str">
        <f>IF(OR($B221="",$A221&gt;$B$9,S$206=""),"",IF(COUNTIFS(BD!$B$3:$B$5001,S$206,BD!$A$3:$A$5001,"&gt;="&amp;$C$7,BD!$A$3:$A$5001,"&lt;="&amp;$B221,BD!$W$3:$W$5001,"&lt;&gt;")=0,"",SUMIFS(BD!$W$3:$W$5001,BD!$B$3:$B$5001,S$206,BD!$A$3:$A$5001,_xlfn.MAXIFS(BD!$A$3:$A$5001,BD!$B$3:$B$5001,S$206,BD!$A$3:$A$5001,"&gt;="&amp;$C$7,BD!$A$3:$A$5001,"&lt;="&amp;$B221,BD!$W$3:$W$5001,"&lt;&gt;"))))</f>
        <v/>
      </c>
      <c r="T221" s="43" t="str">
        <f>IF(OR($B221="",$A221&gt;$B$9,T$206=""),"",IF(COUNTIFS(BD!$B$3:$B$5001,T$206,BD!$A$3:$A$5001,"&gt;="&amp;$C$7,BD!$A$3:$A$5001,"&lt;="&amp;$B221,BD!$W$3:$W$5001,"&lt;&gt;")=0,"",SUMIFS(BD!$W$3:$W$5001,BD!$B$3:$B$5001,T$206,BD!$A$3:$A$5001,_xlfn.MAXIFS(BD!$A$3:$A$5001,BD!$B$3:$B$5001,T$206,BD!$A$3:$A$5001,"&gt;="&amp;$C$7,BD!$A$3:$A$5001,"&lt;="&amp;$B221,BD!$W$3:$W$5001,"&lt;&gt;"))))</f>
        <v/>
      </c>
      <c r="U221" s="43" t="str">
        <f>IF(OR($B221="",$A221&gt;$B$9,U$206=""),"",IF(COUNTIFS(BD!$B$3:$B$5001,U$206,BD!$A$3:$A$5001,"&gt;="&amp;$C$7,BD!$A$3:$A$5001,"&lt;="&amp;$B221,BD!$W$3:$W$5001,"&lt;&gt;")=0,"",SUMIFS(BD!$W$3:$W$5001,BD!$B$3:$B$5001,U$206,BD!$A$3:$A$5001,_xlfn.MAXIFS(BD!$A$3:$A$5001,BD!$B$3:$B$5001,U$206,BD!$A$3:$A$5001,"&gt;="&amp;$C$7,BD!$A$3:$A$5001,"&lt;="&amp;$B221,BD!$W$3:$W$5001,"&lt;&gt;"))))</f>
        <v/>
      </c>
      <c r="V221" s="43" t="str">
        <f>IF(OR($B221="",$A221&gt;$B$9,V$206=""),"",IF(COUNTIFS(BD!$B$3:$B$5001,V$206,BD!$A$3:$A$5001,"&gt;="&amp;$C$7,BD!$A$3:$A$5001,"&lt;="&amp;$B221,BD!$W$3:$W$5001,"&lt;&gt;")=0,"",SUMIFS(BD!$W$3:$W$5001,BD!$B$3:$B$5001,V$206,BD!$A$3:$A$5001,_xlfn.MAXIFS(BD!$A$3:$A$5001,BD!$B$3:$B$5001,V$206,BD!$A$3:$A$5001,"&gt;="&amp;$C$7,BD!$A$3:$A$5001,"&lt;="&amp;$B221,BD!$W$3:$W$5001,"&lt;&gt;"))))</f>
        <v/>
      </c>
    </row>
    <row r="222">
      <c r="A222" s="38">
        <v>16</v>
      </c>
      <c r="B222" s="42">
        <f>$B$27</f>
        <v>46311</v>
      </c>
      <c r="C222" s="43" t="str">
        <f>IF(OR($B222="",$A222&gt;$B$9,C$206=""),"",IF(COUNTIFS(BD!$B$3:$B$5001,C$206,BD!$A$3:$A$5001,"&gt;="&amp;$C$7,BD!$A$3:$A$5001,"&lt;="&amp;$B222,BD!$W$3:$W$5001,"&lt;&gt;")=0,"",SUMIFS(BD!$W$3:$W$5001,BD!$B$3:$B$5001,C$206,BD!$A$3:$A$5001,_xlfn.MAXIFS(BD!$A$3:$A$5001,BD!$B$3:$B$5001,C$206,BD!$A$3:$A$5001,"&gt;="&amp;$C$7,BD!$A$3:$A$5001,"&lt;="&amp;$B222,BD!$W$3:$W$5001,"&lt;&gt;"))))</f>
        <v/>
      </c>
      <c r="D222" s="43" t="str">
        <f>IF(OR($B222="",$A222&gt;$B$9,D$206=""),"",IF(COUNTIFS(BD!$B$3:$B$5001,D$206,BD!$A$3:$A$5001,"&gt;="&amp;$C$7,BD!$A$3:$A$5001,"&lt;="&amp;$B222,BD!$W$3:$W$5001,"&lt;&gt;")=0,"",SUMIFS(BD!$W$3:$W$5001,BD!$B$3:$B$5001,D$206,BD!$A$3:$A$5001,_xlfn.MAXIFS(BD!$A$3:$A$5001,BD!$B$3:$B$5001,D$206,BD!$A$3:$A$5001,"&gt;="&amp;$C$7,BD!$A$3:$A$5001,"&lt;="&amp;$B222,BD!$W$3:$W$5001,"&lt;&gt;"))))</f>
        <v/>
      </c>
      <c r="E222" s="43" t="str">
        <f>IF(OR($B222="",$A222&gt;$B$9,E$206=""),"",IF(COUNTIFS(BD!$B$3:$B$5001,E$206,BD!$A$3:$A$5001,"&gt;="&amp;$C$7,BD!$A$3:$A$5001,"&lt;="&amp;$B222,BD!$W$3:$W$5001,"&lt;&gt;")=0,"",SUMIFS(BD!$W$3:$W$5001,BD!$B$3:$B$5001,E$206,BD!$A$3:$A$5001,_xlfn.MAXIFS(BD!$A$3:$A$5001,BD!$B$3:$B$5001,E$206,BD!$A$3:$A$5001,"&gt;="&amp;$C$7,BD!$A$3:$A$5001,"&lt;="&amp;$B222,BD!$W$3:$W$5001,"&lt;&gt;"))))</f>
        <v/>
      </c>
      <c r="F222" s="43" t="str">
        <f>IF(OR($B222="",$A222&gt;$B$9,F$206=""),"",IF(COUNTIFS(BD!$B$3:$B$5001,F$206,BD!$A$3:$A$5001,"&gt;="&amp;$C$7,BD!$A$3:$A$5001,"&lt;="&amp;$B222,BD!$W$3:$W$5001,"&lt;&gt;")=0,"",SUMIFS(BD!$W$3:$W$5001,BD!$B$3:$B$5001,F$206,BD!$A$3:$A$5001,_xlfn.MAXIFS(BD!$A$3:$A$5001,BD!$B$3:$B$5001,F$206,BD!$A$3:$A$5001,"&gt;="&amp;$C$7,BD!$A$3:$A$5001,"&lt;="&amp;$B222,BD!$W$3:$W$5001,"&lt;&gt;"))))</f>
        <v/>
      </c>
      <c r="G222" s="43" t="str">
        <f>IF(OR($B222="",$A222&gt;$B$9,G$206=""),"",IF(COUNTIFS(BD!$B$3:$B$5001,G$206,BD!$A$3:$A$5001,"&gt;="&amp;$C$7,BD!$A$3:$A$5001,"&lt;="&amp;$B222,BD!$W$3:$W$5001,"&lt;&gt;")=0,"",SUMIFS(BD!$W$3:$W$5001,BD!$B$3:$B$5001,G$206,BD!$A$3:$A$5001,_xlfn.MAXIFS(BD!$A$3:$A$5001,BD!$B$3:$B$5001,G$206,BD!$A$3:$A$5001,"&gt;="&amp;$C$7,BD!$A$3:$A$5001,"&lt;="&amp;$B222,BD!$W$3:$W$5001,"&lt;&gt;"))))</f>
        <v/>
      </c>
      <c r="H222" s="43" t="str">
        <f>IF(OR($B222="",$A222&gt;$B$9,H$206=""),"",IF(COUNTIFS(BD!$B$3:$B$5001,H$206,BD!$A$3:$A$5001,"&gt;="&amp;$C$7,BD!$A$3:$A$5001,"&lt;="&amp;$B222,BD!$W$3:$W$5001,"&lt;&gt;")=0,"",SUMIFS(BD!$W$3:$W$5001,BD!$B$3:$B$5001,H$206,BD!$A$3:$A$5001,_xlfn.MAXIFS(BD!$A$3:$A$5001,BD!$B$3:$B$5001,H$206,BD!$A$3:$A$5001,"&gt;="&amp;$C$7,BD!$A$3:$A$5001,"&lt;="&amp;$B222,BD!$W$3:$W$5001,"&lt;&gt;"))))</f>
        <v/>
      </c>
      <c r="I222" s="43" t="str">
        <f>IF(OR($B222="",$A222&gt;$B$9,I$206=""),"",IF(COUNTIFS(BD!$B$3:$B$5001,I$206,BD!$A$3:$A$5001,"&gt;="&amp;$C$7,BD!$A$3:$A$5001,"&lt;="&amp;$B222,BD!$W$3:$W$5001,"&lt;&gt;")=0,"",SUMIFS(BD!$W$3:$W$5001,BD!$B$3:$B$5001,I$206,BD!$A$3:$A$5001,_xlfn.MAXIFS(BD!$A$3:$A$5001,BD!$B$3:$B$5001,I$206,BD!$A$3:$A$5001,"&gt;="&amp;$C$7,BD!$A$3:$A$5001,"&lt;="&amp;$B222,BD!$W$3:$W$5001,"&lt;&gt;"))))</f>
        <v/>
      </c>
      <c r="J222" s="43" t="str">
        <f>IF(OR($B222="",$A222&gt;$B$9,J$206=""),"",IF(COUNTIFS(BD!$B$3:$B$5001,J$206,BD!$A$3:$A$5001,"&gt;="&amp;$C$7,BD!$A$3:$A$5001,"&lt;="&amp;$B222,BD!$W$3:$W$5001,"&lt;&gt;")=0,"",SUMIFS(BD!$W$3:$W$5001,BD!$B$3:$B$5001,J$206,BD!$A$3:$A$5001,_xlfn.MAXIFS(BD!$A$3:$A$5001,BD!$B$3:$B$5001,J$206,BD!$A$3:$A$5001,"&gt;="&amp;$C$7,BD!$A$3:$A$5001,"&lt;="&amp;$B222,BD!$W$3:$W$5001,"&lt;&gt;"))))</f>
        <v/>
      </c>
      <c r="K222" s="43" t="str">
        <f>IF(OR($B222="",$A222&gt;$B$9,K$206=""),"",IF(COUNTIFS(BD!$B$3:$B$5001,K$206,BD!$A$3:$A$5001,"&gt;="&amp;$C$7,BD!$A$3:$A$5001,"&lt;="&amp;$B222,BD!$W$3:$W$5001,"&lt;&gt;")=0,"",SUMIFS(BD!$W$3:$W$5001,BD!$B$3:$B$5001,K$206,BD!$A$3:$A$5001,_xlfn.MAXIFS(BD!$A$3:$A$5001,BD!$B$3:$B$5001,K$206,BD!$A$3:$A$5001,"&gt;="&amp;$C$7,BD!$A$3:$A$5001,"&lt;="&amp;$B222,BD!$W$3:$W$5001,"&lt;&gt;"))))</f>
        <v/>
      </c>
      <c r="L222" s="43" t="str">
        <f>IF(OR($B222="",$A222&gt;$B$9,L$206=""),"",IF(COUNTIFS(BD!$B$3:$B$5001,L$206,BD!$A$3:$A$5001,"&gt;="&amp;$C$7,BD!$A$3:$A$5001,"&lt;="&amp;$B222,BD!$W$3:$W$5001,"&lt;&gt;")=0,"",SUMIFS(BD!$W$3:$W$5001,BD!$B$3:$B$5001,L$206,BD!$A$3:$A$5001,_xlfn.MAXIFS(BD!$A$3:$A$5001,BD!$B$3:$B$5001,L$206,BD!$A$3:$A$5001,"&gt;="&amp;$C$7,BD!$A$3:$A$5001,"&lt;="&amp;$B222,BD!$W$3:$W$5001,"&lt;&gt;"))))</f>
        <v/>
      </c>
      <c r="M222" s="43" t="str">
        <f>IF(OR($B222="",$A222&gt;$B$9,M$206=""),"",IF(COUNTIFS(BD!$B$3:$B$5001,M$206,BD!$A$3:$A$5001,"&gt;="&amp;$C$7,BD!$A$3:$A$5001,"&lt;="&amp;$B222,BD!$W$3:$W$5001,"&lt;&gt;")=0,"",SUMIFS(BD!$W$3:$W$5001,BD!$B$3:$B$5001,M$206,BD!$A$3:$A$5001,_xlfn.MAXIFS(BD!$A$3:$A$5001,BD!$B$3:$B$5001,M$206,BD!$A$3:$A$5001,"&gt;="&amp;$C$7,BD!$A$3:$A$5001,"&lt;="&amp;$B222,BD!$W$3:$W$5001,"&lt;&gt;"))))</f>
        <v/>
      </c>
      <c r="N222" s="43" t="str">
        <f>IF(OR($B222="",$A222&gt;$B$9,N$206=""),"",IF(COUNTIFS(BD!$B$3:$B$5001,N$206,BD!$A$3:$A$5001,"&gt;="&amp;$C$7,BD!$A$3:$A$5001,"&lt;="&amp;$B222,BD!$W$3:$W$5001,"&lt;&gt;")=0,"",SUMIFS(BD!$W$3:$W$5001,BD!$B$3:$B$5001,N$206,BD!$A$3:$A$5001,_xlfn.MAXIFS(BD!$A$3:$A$5001,BD!$B$3:$B$5001,N$206,BD!$A$3:$A$5001,"&gt;="&amp;$C$7,BD!$A$3:$A$5001,"&lt;="&amp;$B222,BD!$W$3:$W$5001,"&lt;&gt;"))))</f>
        <v/>
      </c>
      <c r="O222" s="43" t="str">
        <f>IF(OR($B222="",$A222&gt;$B$9,O$206=""),"",IF(COUNTIFS(BD!$B$3:$B$5001,O$206,BD!$A$3:$A$5001,"&gt;="&amp;$C$7,BD!$A$3:$A$5001,"&lt;="&amp;$B222,BD!$W$3:$W$5001,"&lt;&gt;")=0,"",SUMIFS(BD!$W$3:$W$5001,BD!$B$3:$B$5001,O$206,BD!$A$3:$A$5001,_xlfn.MAXIFS(BD!$A$3:$A$5001,BD!$B$3:$B$5001,O$206,BD!$A$3:$A$5001,"&gt;="&amp;$C$7,BD!$A$3:$A$5001,"&lt;="&amp;$B222,BD!$W$3:$W$5001,"&lt;&gt;"))))</f>
        <v/>
      </c>
      <c r="P222" s="43" t="str">
        <f>IF(OR($B222="",$A222&gt;$B$9,P$206=""),"",IF(COUNTIFS(BD!$B$3:$B$5001,P$206,BD!$A$3:$A$5001,"&gt;="&amp;$C$7,BD!$A$3:$A$5001,"&lt;="&amp;$B222,BD!$W$3:$W$5001,"&lt;&gt;")=0,"",SUMIFS(BD!$W$3:$W$5001,BD!$B$3:$B$5001,P$206,BD!$A$3:$A$5001,_xlfn.MAXIFS(BD!$A$3:$A$5001,BD!$B$3:$B$5001,P$206,BD!$A$3:$A$5001,"&gt;="&amp;$C$7,BD!$A$3:$A$5001,"&lt;="&amp;$B222,BD!$W$3:$W$5001,"&lt;&gt;"))))</f>
        <v/>
      </c>
      <c r="Q222" s="43" t="str">
        <f>IF(OR($B222="",$A222&gt;$B$9,Q$206=""),"",IF(COUNTIFS(BD!$B$3:$B$5001,Q$206,BD!$A$3:$A$5001,"&gt;="&amp;$C$7,BD!$A$3:$A$5001,"&lt;="&amp;$B222,BD!$W$3:$W$5001,"&lt;&gt;")=0,"",SUMIFS(BD!$W$3:$W$5001,BD!$B$3:$B$5001,Q$206,BD!$A$3:$A$5001,_xlfn.MAXIFS(BD!$A$3:$A$5001,BD!$B$3:$B$5001,Q$206,BD!$A$3:$A$5001,"&gt;="&amp;$C$7,BD!$A$3:$A$5001,"&lt;="&amp;$B222,BD!$W$3:$W$5001,"&lt;&gt;"))))</f>
        <v/>
      </c>
      <c r="R222" s="43" t="str">
        <f>IF(OR($B222="",$A222&gt;$B$9,R$206=""),"",IF(COUNTIFS(BD!$B$3:$B$5001,R$206,BD!$A$3:$A$5001,"&gt;="&amp;$C$7,BD!$A$3:$A$5001,"&lt;="&amp;$B222,BD!$W$3:$W$5001,"&lt;&gt;")=0,"",SUMIFS(BD!$W$3:$W$5001,BD!$B$3:$B$5001,R$206,BD!$A$3:$A$5001,_xlfn.MAXIFS(BD!$A$3:$A$5001,BD!$B$3:$B$5001,R$206,BD!$A$3:$A$5001,"&gt;="&amp;$C$7,BD!$A$3:$A$5001,"&lt;="&amp;$B222,BD!$W$3:$W$5001,"&lt;&gt;"))))</f>
        <v/>
      </c>
      <c r="S222" s="43" t="str">
        <f>IF(OR($B222="",$A222&gt;$B$9,S$206=""),"",IF(COUNTIFS(BD!$B$3:$B$5001,S$206,BD!$A$3:$A$5001,"&gt;="&amp;$C$7,BD!$A$3:$A$5001,"&lt;="&amp;$B222,BD!$W$3:$W$5001,"&lt;&gt;")=0,"",SUMIFS(BD!$W$3:$W$5001,BD!$B$3:$B$5001,S$206,BD!$A$3:$A$5001,_xlfn.MAXIFS(BD!$A$3:$A$5001,BD!$B$3:$B$5001,S$206,BD!$A$3:$A$5001,"&gt;="&amp;$C$7,BD!$A$3:$A$5001,"&lt;="&amp;$B222,BD!$W$3:$W$5001,"&lt;&gt;"))))</f>
        <v/>
      </c>
      <c r="T222" s="43" t="str">
        <f>IF(OR($B222="",$A222&gt;$B$9,T$206=""),"",IF(COUNTIFS(BD!$B$3:$B$5001,T$206,BD!$A$3:$A$5001,"&gt;="&amp;$C$7,BD!$A$3:$A$5001,"&lt;="&amp;$B222,BD!$W$3:$W$5001,"&lt;&gt;")=0,"",SUMIFS(BD!$W$3:$W$5001,BD!$B$3:$B$5001,T$206,BD!$A$3:$A$5001,_xlfn.MAXIFS(BD!$A$3:$A$5001,BD!$B$3:$B$5001,T$206,BD!$A$3:$A$5001,"&gt;="&amp;$C$7,BD!$A$3:$A$5001,"&lt;="&amp;$B222,BD!$W$3:$W$5001,"&lt;&gt;"))))</f>
        <v/>
      </c>
      <c r="U222" s="43" t="str">
        <f>IF(OR($B222="",$A222&gt;$B$9,U$206=""),"",IF(COUNTIFS(BD!$B$3:$B$5001,U$206,BD!$A$3:$A$5001,"&gt;="&amp;$C$7,BD!$A$3:$A$5001,"&lt;="&amp;$B222,BD!$W$3:$W$5001,"&lt;&gt;")=0,"",SUMIFS(BD!$W$3:$W$5001,BD!$B$3:$B$5001,U$206,BD!$A$3:$A$5001,_xlfn.MAXIFS(BD!$A$3:$A$5001,BD!$B$3:$B$5001,U$206,BD!$A$3:$A$5001,"&gt;="&amp;$C$7,BD!$A$3:$A$5001,"&lt;="&amp;$B222,BD!$W$3:$W$5001,"&lt;&gt;"))))</f>
        <v/>
      </c>
      <c r="V222" s="43" t="str">
        <f>IF(OR($B222="",$A222&gt;$B$9,V$206=""),"",IF(COUNTIFS(BD!$B$3:$B$5001,V$206,BD!$A$3:$A$5001,"&gt;="&amp;$C$7,BD!$A$3:$A$5001,"&lt;="&amp;$B222,BD!$W$3:$W$5001,"&lt;&gt;")=0,"",SUMIFS(BD!$W$3:$W$5001,BD!$B$3:$B$5001,V$206,BD!$A$3:$A$5001,_xlfn.MAXIFS(BD!$A$3:$A$5001,BD!$B$3:$B$5001,V$206,BD!$A$3:$A$5001,"&gt;="&amp;$C$7,BD!$A$3:$A$5001,"&lt;="&amp;$B222,BD!$W$3:$W$5001,"&lt;&gt;"))))</f>
        <v/>
      </c>
    </row>
    <row r="223">
      <c r="A223" s="38">
        <v>17</v>
      </c>
      <c r="B223" s="42">
        <f>$B$28</f>
        <v>46312</v>
      </c>
      <c r="C223" s="43" t="str">
        <f>IF(OR($B223="",$A223&gt;$B$9,C$206=""),"",IF(COUNTIFS(BD!$B$3:$B$5001,C$206,BD!$A$3:$A$5001,"&gt;="&amp;$C$7,BD!$A$3:$A$5001,"&lt;="&amp;$B223,BD!$W$3:$W$5001,"&lt;&gt;")=0,"",SUMIFS(BD!$W$3:$W$5001,BD!$B$3:$B$5001,C$206,BD!$A$3:$A$5001,_xlfn.MAXIFS(BD!$A$3:$A$5001,BD!$B$3:$B$5001,C$206,BD!$A$3:$A$5001,"&gt;="&amp;$C$7,BD!$A$3:$A$5001,"&lt;="&amp;$B223,BD!$W$3:$W$5001,"&lt;&gt;"))))</f>
        <v/>
      </c>
      <c r="D223" s="43" t="str">
        <f>IF(OR($B223="",$A223&gt;$B$9,D$206=""),"",IF(COUNTIFS(BD!$B$3:$B$5001,D$206,BD!$A$3:$A$5001,"&gt;="&amp;$C$7,BD!$A$3:$A$5001,"&lt;="&amp;$B223,BD!$W$3:$W$5001,"&lt;&gt;")=0,"",SUMIFS(BD!$W$3:$W$5001,BD!$B$3:$B$5001,D$206,BD!$A$3:$A$5001,_xlfn.MAXIFS(BD!$A$3:$A$5001,BD!$B$3:$B$5001,D$206,BD!$A$3:$A$5001,"&gt;="&amp;$C$7,BD!$A$3:$A$5001,"&lt;="&amp;$B223,BD!$W$3:$W$5001,"&lt;&gt;"))))</f>
        <v/>
      </c>
      <c r="E223" s="43" t="str">
        <f>IF(OR($B223="",$A223&gt;$B$9,E$206=""),"",IF(COUNTIFS(BD!$B$3:$B$5001,E$206,BD!$A$3:$A$5001,"&gt;="&amp;$C$7,BD!$A$3:$A$5001,"&lt;="&amp;$B223,BD!$W$3:$W$5001,"&lt;&gt;")=0,"",SUMIFS(BD!$W$3:$W$5001,BD!$B$3:$B$5001,E$206,BD!$A$3:$A$5001,_xlfn.MAXIFS(BD!$A$3:$A$5001,BD!$B$3:$B$5001,E$206,BD!$A$3:$A$5001,"&gt;="&amp;$C$7,BD!$A$3:$A$5001,"&lt;="&amp;$B223,BD!$W$3:$W$5001,"&lt;&gt;"))))</f>
        <v/>
      </c>
      <c r="F223" s="43" t="str">
        <f>IF(OR($B223="",$A223&gt;$B$9,F$206=""),"",IF(COUNTIFS(BD!$B$3:$B$5001,F$206,BD!$A$3:$A$5001,"&gt;="&amp;$C$7,BD!$A$3:$A$5001,"&lt;="&amp;$B223,BD!$W$3:$W$5001,"&lt;&gt;")=0,"",SUMIFS(BD!$W$3:$W$5001,BD!$B$3:$B$5001,F$206,BD!$A$3:$A$5001,_xlfn.MAXIFS(BD!$A$3:$A$5001,BD!$B$3:$B$5001,F$206,BD!$A$3:$A$5001,"&gt;="&amp;$C$7,BD!$A$3:$A$5001,"&lt;="&amp;$B223,BD!$W$3:$W$5001,"&lt;&gt;"))))</f>
        <v/>
      </c>
      <c r="G223" s="43" t="str">
        <f>IF(OR($B223="",$A223&gt;$B$9,G$206=""),"",IF(COUNTIFS(BD!$B$3:$B$5001,G$206,BD!$A$3:$A$5001,"&gt;="&amp;$C$7,BD!$A$3:$A$5001,"&lt;="&amp;$B223,BD!$W$3:$W$5001,"&lt;&gt;")=0,"",SUMIFS(BD!$W$3:$W$5001,BD!$B$3:$B$5001,G$206,BD!$A$3:$A$5001,_xlfn.MAXIFS(BD!$A$3:$A$5001,BD!$B$3:$B$5001,G$206,BD!$A$3:$A$5001,"&gt;="&amp;$C$7,BD!$A$3:$A$5001,"&lt;="&amp;$B223,BD!$W$3:$W$5001,"&lt;&gt;"))))</f>
        <v/>
      </c>
      <c r="H223" s="43" t="str">
        <f>IF(OR($B223="",$A223&gt;$B$9,H$206=""),"",IF(COUNTIFS(BD!$B$3:$B$5001,H$206,BD!$A$3:$A$5001,"&gt;="&amp;$C$7,BD!$A$3:$A$5001,"&lt;="&amp;$B223,BD!$W$3:$W$5001,"&lt;&gt;")=0,"",SUMIFS(BD!$W$3:$W$5001,BD!$B$3:$B$5001,H$206,BD!$A$3:$A$5001,_xlfn.MAXIFS(BD!$A$3:$A$5001,BD!$B$3:$B$5001,H$206,BD!$A$3:$A$5001,"&gt;="&amp;$C$7,BD!$A$3:$A$5001,"&lt;="&amp;$B223,BD!$W$3:$W$5001,"&lt;&gt;"))))</f>
        <v/>
      </c>
      <c r="I223" s="43" t="str">
        <f>IF(OR($B223="",$A223&gt;$B$9,I$206=""),"",IF(COUNTIFS(BD!$B$3:$B$5001,I$206,BD!$A$3:$A$5001,"&gt;="&amp;$C$7,BD!$A$3:$A$5001,"&lt;="&amp;$B223,BD!$W$3:$W$5001,"&lt;&gt;")=0,"",SUMIFS(BD!$W$3:$W$5001,BD!$B$3:$B$5001,I$206,BD!$A$3:$A$5001,_xlfn.MAXIFS(BD!$A$3:$A$5001,BD!$B$3:$B$5001,I$206,BD!$A$3:$A$5001,"&gt;="&amp;$C$7,BD!$A$3:$A$5001,"&lt;="&amp;$B223,BD!$W$3:$W$5001,"&lt;&gt;"))))</f>
        <v/>
      </c>
      <c r="J223" s="43" t="str">
        <f>IF(OR($B223="",$A223&gt;$B$9,J$206=""),"",IF(COUNTIFS(BD!$B$3:$B$5001,J$206,BD!$A$3:$A$5001,"&gt;="&amp;$C$7,BD!$A$3:$A$5001,"&lt;="&amp;$B223,BD!$W$3:$W$5001,"&lt;&gt;")=0,"",SUMIFS(BD!$W$3:$W$5001,BD!$B$3:$B$5001,J$206,BD!$A$3:$A$5001,_xlfn.MAXIFS(BD!$A$3:$A$5001,BD!$B$3:$B$5001,J$206,BD!$A$3:$A$5001,"&gt;="&amp;$C$7,BD!$A$3:$A$5001,"&lt;="&amp;$B223,BD!$W$3:$W$5001,"&lt;&gt;"))))</f>
        <v/>
      </c>
      <c r="K223" s="43" t="str">
        <f>IF(OR($B223="",$A223&gt;$B$9,K$206=""),"",IF(COUNTIFS(BD!$B$3:$B$5001,K$206,BD!$A$3:$A$5001,"&gt;="&amp;$C$7,BD!$A$3:$A$5001,"&lt;="&amp;$B223,BD!$W$3:$W$5001,"&lt;&gt;")=0,"",SUMIFS(BD!$W$3:$W$5001,BD!$B$3:$B$5001,K$206,BD!$A$3:$A$5001,_xlfn.MAXIFS(BD!$A$3:$A$5001,BD!$B$3:$B$5001,K$206,BD!$A$3:$A$5001,"&gt;="&amp;$C$7,BD!$A$3:$A$5001,"&lt;="&amp;$B223,BD!$W$3:$W$5001,"&lt;&gt;"))))</f>
        <v/>
      </c>
      <c r="L223" s="43" t="str">
        <f>IF(OR($B223="",$A223&gt;$B$9,L$206=""),"",IF(COUNTIFS(BD!$B$3:$B$5001,L$206,BD!$A$3:$A$5001,"&gt;="&amp;$C$7,BD!$A$3:$A$5001,"&lt;="&amp;$B223,BD!$W$3:$W$5001,"&lt;&gt;")=0,"",SUMIFS(BD!$W$3:$W$5001,BD!$B$3:$B$5001,L$206,BD!$A$3:$A$5001,_xlfn.MAXIFS(BD!$A$3:$A$5001,BD!$B$3:$B$5001,L$206,BD!$A$3:$A$5001,"&gt;="&amp;$C$7,BD!$A$3:$A$5001,"&lt;="&amp;$B223,BD!$W$3:$W$5001,"&lt;&gt;"))))</f>
        <v/>
      </c>
      <c r="M223" s="43" t="str">
        <f>IF(OR($B223="",$A223&gt;$B$9,M$206=""),"",IF(COUNTIFS(BD!$B$3:$B$5001,M$206,BD!$A$3:$A$5001,"&gt;="&amp;$C$7,BD!$A$3:$A$5001,"&lt;="&amp;$B223,BD!$W$3:$W$5001,"&lt;&gt;")=0,"",SUMIFS(BD!$W$3:$W$5001,BD!$B$3:$B$5001,M$206,BD!$A$3:$A$5001,_xlfn.MAXIFS(BD!$A$3:$A$5001,BD!$B$3:$B$5001,M$206,BD!$A$3:$A$5001,"&gt;="&amp;$C$7,BD!$A$3:$A$5001,"&lt;="&amp;$B223,BD!$W$3:$W$5001,"&lt;&gt;"))))</f>
        <v/>
      </c>
      <c r="N223" s="43" t="str">
        <f>IF(OR($B223="",$A223&gt;$B$9,N$206=""),"",IF(COUNTIFS(BD!$B$3:$B$5001,N$206,BD!$A$3:$A$5001,"&gt;="&amp;$C$7,BD!$A$3:$A$5001,"&lt;="&amp;$B223,BD!$W$3:$W$5001,"&lt;&gt;")=0,"",SUMIFS(BD!$W$3:$W$5001,BD!$B$3:$B$5001,N$206,BD!$A$3:$A$5001,_xlfn.MAXIFS(BD!$A$3:$A$5001,BD!$B$3:$B$5001,N$206,BD!$A$3:$A$5001,"&gt;="&amp;$C$7,BD!$A$3:$A$5001,"&lt;="&amp;$B223,BD!$W$3:$W$5001,"&lt;&gt;"))))</f>
        <v/>
      </c>
      <c r="O223" s="43" t="str">
        <f>IF(OR($B223="",$A223&gt;$B$9,O$206=""),"",IF(COUNTIFS(BD!$B$3:$B$5001,O$206,BD!$A$3:$A$5001,"&gt;="&amp;$C$7,BD!$A$3:$A$5001,"&lt;="&amp;$B223,BD!$W$3:$W$5001,"&lt;&gt;")=0,"",SUMIFS(BD!$W$3:$W$5001,BD!$B$3:$B$5001,O$206,BD!$A$3:$A$5001,_xlfn.MAXIFS(BD!$A$3:$A$5001,BD!$B$3:$B$5001,O$206,BD!$A$3:$A$5001,"&gt;="&amp;$C$7,BD!$A$3:$A$5001,"&lt;="&amp;$B223,BD!$W$3:$W$5001,"&lt;&gt;"))))</f>
        <v/>
      </c>
      <c r="P223" s="43" t="str">
        <f>IF(OR($B223="",$A223&gt;$B$9,P$206=""),"",IF(COUNTIFS(BD!$B$3:$B$5001,P$206,BD!$A$3:$A$5001,"&gt;="&amp;$C$7,BD!$A$3:$A$5001,"&lt;="&amp;$B223,BD!$W$3:$W$5001,"&lt;&gt;")=0,"",SUMIFS(BD!$W$3:$W$5001,BD!$B$3:$B$5001,P$206,BD!$A$3:$A$5001,_xlfn.MAXIFS(BD!$A$3:$A$5001,BD!$B$3:$B$5001,P$206,BD!$A$3:$A$5001,"&gt;="&amp;$C$7,BD!$A$3:$A$5001,"&lt;="&amp;$B223,BD!$W$3:$W$5001,"&lt;&gt;"))))</f>
        <v/>
      </c>
      <c r="Q223" s="43" t="str">
        <f>IF(OR($B223="",$A223&gt;$B$9,Q$206=""),"",IF(COUNTIFS(BD!$B$3:$B$5001,Q$206,BD!$A$3:$A$5001,"&gt;="&amp;$C$7,BD!$A$3:$A$5001,"&lt;="&amp;$B223,BD!$W$3:$W$5001,"&lt;&gt;")=0,"",SUMIFS(BD!$W$3:$W$5001,BD!$B$3:$B$5001,Q$206,BD!$A$3:$A$5001,_xlfn.MAXIFS(BD!$A$3:$A$5001,BD!$B$3:$B$5001,Q$206,BD!$A$3:$A$5001,"&gt;="&amp;$C$7,BD!$A$3:$A$5001,"&lt;="&amp;$B223,BD!$W$3:$W$5001,"&lt;&gt;"))))</f>
        <v/>
      </c>
      <c r="R223" s="43" t="str">
        <f>IF(OR($B223="",$A223&gt;$B$9,R$206=""),"",IF(COUNTIFS(BD!$B$3:$B$5001,R$206,BD!$A$3:$A$5001,"&gt;="&amp;$C$7,BD!$A$3:$A$5001,"&lt;="&amp;$B223,BD!$W$3:$W$5001,"&lt;&gt;")=0,"",SUMIFS(BD!$W$3:$W$5001,BD!$B$3:$B$5001,R$206,BD!$A$3:$A$5001,_xlfn.MAXIFS(BD!$A$3:$A$5001,BD!$B$3:$B$5001,R$206,BD!$A$3:$A$5001,"&gt;="&amp;$C$7,BD!$A$3:$A$5001,"&lt;="&amp;$B223,BD!$W$3:$W$5001,"&lt;&gt;"))))</f>
        <v/>
      </c>
      <c r="S223" s="43" t="str">
        <f>IF(OR($B223="",$A223&gt;$B$9,S$206=""),"",IF(COUNTIFS(BD!$B$3:$B$5001,S$206,BD!$A$3:$A$5001,"&gt;="&amp;$C$7,BD!$A$3:$A$5001,"&lt;="&amp;$B223,BD!$W$3:$W$5001,"&lt;&gt;")=0,"",SUMIFS(BD!$W$3:$W$5001,BD!$B$3:$B$5001,S$206,BD!$A$3:$A$5001,_xlfn.MAXIFS(BD!$A$3:$A$5001,BD!$B$3:$B$5001,S$206,BD!$A$3:$A$5001,"&gt;="&amp;$C$7,BD!$A$3:$A$5001,"&lt;="&amp;$B223,BD!$W$3:$W$5001,"&lt;&gt;"))))</f>
        <v/>
      </c>
      <c r="T223" s="43" t="str">
        <f>IF(OR($B223="",$A223&gt;$B$9,T$206=""),"",IF(COUNTIFS(BD!$B$3:$B$5001,T$206,BD!$A$3:$A$5001,"&gt;="&amp;$C$7,BD!$A$3:$A$5001,"&lt;="&amp;$B223,BD!$W$3:$W$5001,"&lt;&gt;")=0,"",SUMIFS(BD!$W$3:$W$5001,BD!$B$3:$B$5001,T$206,BD!$A$3:$A$5001,_xlfn.MAXIFS(BD!$A$3:$A$5001,BD!$B$3:$B$5001,T$206,BD!$A$3:$A$5001,"&gt;="&amp;$C$7,BD!$A$3:$A$5001,"&lt;="&amp;$B223,BD!$W$3:$W$5001,"&lt;&gt;"))))</f>
        <v/>
      </c>
      <c r="U223" s="43" t="str">
        <f>IF(OR($B223="",$A223&gt;$B$9,U$206=""),"",IF(COUNTIFS(BD!$B$3:$B$5001,U$206,BD!$A$3:$A$5001,"&gt;="&amp;$C$7,BD!$A$3:$A$5001,"&lt;="&amp;$B223,BD!$W$3:$W$5001,"&lt;&gt;")=0,"",SUMIFS(BD!$W$3:$W$5001,BD!$B$3:$B$5001,U$206,BD!$A$3:$A$5001,_xlfn.MAXIFS(BD!$A$3:$A$5001,BD!$B$3:$B$5001,U$206,BD!$A$3:$A$5001,"&gt;="&amp;$C$7,BD!$A$3:$A$5001,"&lt;="&amp;$B223,BD!$W$3:$W$5001,"&lt;&gt;"))))</f>
        <v/>
      </c>
      <c r="V223" s="43" t="str">
        <f>IF(OR($B223="",$A223&gt;$B$9,V$206=""),"",IF(COUNTIFS(BD!$B$3:$B$5001,V$206,BD!$A$3:$A$5001,"&gt;="&amp;$C$7,BD!$A$3:$A$5001,"&lt;="&amp;$B223,BD!$W$3:$W$5001,"&lt;&gt;")=0,"",SUMIFS(BD!$W$3:$W$5001,BD!$B$3:$B$5001,V$206,BD!$A$3:$A$5001,_xlfn.MAXIFS(BD!$A$3:$A$5001,BD!$B$3:$B$5001,V$206,BD!$A$3:$A$5001,"&gt;="&amp;$C$7,BD!$A$3:$A$5001,"&lt;="&amp;$B223,BD!$W$3:$W$5001,"&lt;&gt;"))))</f>
        <v/>
      </c>
    </row>
    <row r="224">
      <c r="A224" s="38">
        <v>18</v>
      </c>
      <c r="B224" s="42">
        <f>$B$29</f>
        <v>46313</v>
      </c>
      <c r="C224" s="43" t="str">
        <f>IF(OR($B224="",$A224&gt;$B$9,C$206=""),"",IF(COUNTIFS(BD!$B$3:$B$5001,C$206,BD!$A$3:$A$5001,"&gt;="&amp;$C$7,BD!$A$3:$A$5001,"&lt;="&amp;$B224,BD!$W$3:$W$5001,"&lt;&gt;")=0,"",SUMIFS(BD!$W$3:$W$5001,BD!$B$3:$B$5001,C$206,BD!$A$3:$A$5001,_xlfn.MAXIFS(BD!$A$3:$A$5001,BD!$B$3:$B$5001,C$206,BD!$A$3:$A$5001,"&gt;="&amp;$C$7,BD!$A$3:$A$5001,"&lt;="&amp;$B224,BD!$W$3:$W$5001,"&lt;&gt;"))))</f>
        <v/>
      </c>
      <c r="D224" s="43" t="str">
        <f>IF(OR($B224="",$A224&gt;$B$9,D$206=""),"",IF(COUNTIFS(BD!$B$3:$B$5001,D$206,BD!$A$3:$A$5001,"&gt;="&amp;$C$7,BD!$A$3:$A$5001,"&lt;="&amp;$B224,BD!$W$3:$W$5001,"&lt;&gt;")=0,"",SUMIFS(BD!$W$3:$W$5001,BD!$B$3:$B$5001,D$206,BD!$A$3:$A$5001,_xlfn.MAXIFS(BD!$A$3:$A$5001,BD!$B$3:$B$5001,D$206,BD!$A$3:$A$5001,"&gt;="&amp;$C$7,BD!$A$3:$A$5001,"&lt;="&amp;$B224,BD!$W$3:$W$5001,"&lt;&gt;"))))</f>
        <v/>
      </c>
      <c r="E224" s="43" t="str">
        <f>IF(OR($B224="",$A224&gt;$B$9,E$206=""),"",IF(COUNTIFS(BD!$B$3:$B$5001,E$206,BD!$A$3:$A$5001,"&gt;="&amp;$C$7,BD!$A$3:$A$5001,"&lt;="&amp;$B224,BD!$W$3:$W$5001,"&lt;&gt;")=0,"",SUMIFS(BD!$W$3:$W$5001,BD!$B$3:$B$5001,E$206,BD!$A$3:$A$5001,_xlfn.MAXIFS(BD!$A$3:$A$5001,BD!$B$3:$B$5001,E$206,BD!$A$3:$A$5001,"&gt;="&amp;$C$7,BD!$A$3:$A$5001,"&lt;="&amp;$B224,BD!$W$3:$W$5001,"&lt;&gt;"))))</f>
        <v/>
      </c>
      <c r="F224" s="43" t="str">
        <f>IF(OR($B224="",$A224&gt;$B$9,F$206=""),"",IF(COUNTIFS(BD!$B$3:$B$5001,F$206,BD!$A$3:$A$5001,"&gt;="&amp;$C$7,BD!$A$3:$A$5001,"&lt;="&amp;$B224,BD!$W$3:$W$5001,"&lt;&gt;")=0,"",SUMIFS(BD!$W$3:$W$5001,BD!$B$3:$B$5001,F$206,BD!$A$3:$A$5001,_xlfn.MAXIFS(BD!$A$3:$A$5001,BD!$B$3:$B$5001,F$206,BD!$A$3:$A$5001,"&gt;="&amp;$C$7,BD!$A$3:$A$5001,"&lt;="&amp;$B224,BD!$W$3:$W$5001,"&lt;&gt;"))))</f>
        <v/>
      </c>
      <c r="G224" s="43" t="str">
        <f>IF(OR($B224="",$A224&gt;$B$9,G$206=""),"",IF(COUNTIFS(BD!$B$3:$B$5001,G$206,BD!$A$3:$A$5001,"&gt;="&amp;$C$7,BD!$A$3:$A$5001,"&lt;="&amp;$B224,BD!$W$3:$W$5001,"&lt;&gt;")=0,"",SUMIFS(BD!$W$3:$W$5001,BD!$B$3:$B$5001,G$206,BD!$A$3:$A$5001,_xlfn.MAXIFS(BD!$A$3:$A$5001,BD!$B$3:$B$5001,G$206,BD!$A$3:$A$5001,"&gt;="&amp;$C$7,BD!$A$3:$A$5001,"&lt;="&amp;$B224,BD!$W$3:$W$5001,"&lt;&gt;"))))</f>
        <v/>
      </c>
      <c r="H224" s="43" t="str">
        <f>IF(OR($B224="",$A224&gt;$B$9,H$206=""),"",IF(COUNTIFS(BD!$B$3:$B$5001,H$206,BD!$A$3:$A$5001,"&gt;="&amp;$C$7,BD!$A$3:$A$5001,"&lt;="&amp;$B224,BD!$W$3:$W$5001,"&lt;&gt;")=0,"",SUMIFS(BD!$W$3:$W$5001,BD!$B$3:$B$5001,H$206,BD!$A$3:$A$5001,_xlfn.MAXIFS(BD!$A$3:$A$5001,BD!$B$3:$B$5001,H$206,BD!$A$3:$A$5001,"&gt;="&amp;$C$7,BD!$A$3:$A$5001,"&lt;="&amp;$B224,BD!$W$3:$W$5001,"&lt;&gt;"))))</f>
        <v/>
      </c>
      <c r="I224" s="43" t="str">
        <f>IF(OR($B224="",$A224&gt;$B$9,I$206=""),"",IF(COUNTIFS(BD!$B$3:$B$5001,I$206,BD!$A$3:$A$5001,"&gt;="&amp;$C$7,BD!$A$3:$A$5001,"&lt;="&amp;$B224,BD!$W$3:$W$5001,"&lt;&gt;")=0,"",SUMIFS(BD!$W$3:$W$5001,BD!$B$3:$B$5001,I$206,BD!$A$3:$A$5001,_xlfn.MAXIFS(BD!$A$3:$A$5001,BD!$B$3:$B$5001,I$206,BD!$A$3:$A$5001,"&gt;="&amp;$C$7,BD!$A$3:$A$5001,"&lt;="&amp;$B224,BD!$W$3:$W$5001,"&lt;&gt;"))))</f>
        <v/>
      </c>
      <c r="J224" s="43" t="str">
        <f>IF(OR($B224="",$A224&gt;$B$9,J$206=""),"",IF(COUNTIFS(BD!$B$3:$B$5001,J$206,BD!$A$3:$A$5001,"&gt;="&amp;$C$7,BD!$A$3:$A$5001,"&lt;="&amp;$B224,BD!$W$3:$W$5001,"&lt;&gt;")=0,"",SUMIFS(BD!$W$3:$W$5001,BD!$B$3:$B$5001,J$206,BD!$A$3:$A$5001,_xlfn.MAXIFS(BD!$A$3:$A$5001,BD!$B$3:$B$5001,J$206,BD!$A$3:$A$5001,"&gt;="&amp;$C$7,BD!$A$3:$A$5001,"&lt;="&amp;$B224,BD!$W$3:$W$5001,"&lt;&gt;"))))</f>
        <v/>
      </c>
      <c r="K224" s="43" t="str">
        <f>IF(OR($B224="",$A224&gt;$B$9,K$206=""),"",IF(COUNTIFS(BD!$B$3:$B$5001,K$206,BD!$A$3:$A$5001,"&gt;="&amp;$C$7,BD!$A$3:$A$5001,"&lt;="&amp;$B224,BD!$W$3:$W$5001,"&lt;&gt;")=0,"",SUMIFS(BD!$W$3:$W$5001,BD!$B$3:$B$5001,K$206,BD!$A$3:$A$5001,_xlfn.MAXIFS(BD!$A$3:$A$5001,BD!$B$3:$B$5001,K$206,BD!$A$3:$A$5001,"&gt;="&amp;$C$7,BD!$A$3:$A$5001,"&lt;="&amp;$B224,BD!$W$3:$W$5001,"&lt;&gt;"))))</f>
        <v/>
      </c>
      <c r="L224" s="43" t="str">
        <f>IF(OR($B224="",$A224&gt;$B$9,L$206=""),"",IF(COUNTIFS(BD!$B$3:$B$5001,L$206,BD!$A$3:$A$5001,"&gt;="&amp;$C$7,BD!$A$3:$A$5001,"&lt;="&amp;$B224,BD!$W$3:$W$5001,"&lt;&gt;")=0,"",SUMIFS(BD!$W$3:$W$5001,BD!$B$3:$B$5001,L$206,BD!$A$3:$A$5001,_xlfn.MAXIFS(BD!$A$3:$A$5001,BD!$B$3:$B$5001,L$206,BD!$A$3:$A$5001,"&gt;="&amp;$C$7,BD!$A$3:$A$5001,"&lt;="&amp;$B224,BD!$W$3:$W$5001,"&lt;&gt;"))))</f>
        <v/>
      </c>
      <c r="M224" s="43" t="str">
        <f>IF(OR($B224="",$A224&gt;$B$9,M$206=""),"",IF(COUNTIFS(BD!$B$3:$B$5001,M$206,BD!$A$3:$A$5001,"&gt;="&amp;$C$7,BD!$A$3:$A$5001,"&lt;="&amp;$B224,BD!$W$3:$W$5001,"&lt;&gt;")=0,"",SUMIFS(BD!$W$3:$W$5001,BD!$B$3:$B$5001,M$206,BD!$A$3:$A$5001,_xlfn.MAXIFS(BD!$A$3:$A$5001,BD!$B$3:$B$5001,M$206,BD!$A$3:$A$5001,"&gt;="&amp;$C$7,BD!$A$3:$A$5001,"&lt;="&amp;$B224,BD!$W$3:$W$5001,"&lt;&gt;"))))</f>
        <v/>
      </c>
      <c r="N224" s="43" t="str">
        <f>IF(OR($B224="",$A224&gt;$B$9,N$206=""),"",IF(COUNTIFS(BD!$B$3:$B$5001,N$206,BD!$A$3:$A$5001,"&gt;="&amp;$C$7,BD!$A$3:$A$5001,"&lt;="&amp;$B224,BD!$W$3:$W$5001,"&lt;&gt;")=0,"",SUMIFS(BD!$W$3:$W$5001,BD!$B$3:$B$5001,N$206,BD!$A$3:$A$5001,_xlfn.MAXIFS(BD!$A$3:$A$5001,BD!$B$3:$B$5001,N$206,BD!$A$3:$A$5001,"&gt;="&amp;$C$7,BD!$A$3:$A$5001,"&lt;="&amp;$B224,BD!$W$3:$W$5001,"&lt;&gt;"))))</f>
        <v/>
      </c>
      <c r="O224" s="43" t="str">
        <f>IF(OR($B224="",$A224&gt;$B$9,O$206=""),"",IF(COUNTIFS(BD!$B$3:$B$5001,O$206,BD!$A$3:$A$5001,"&gt;="&amp;$C$7,BD!$A$3:$A$5001,"&lt;="&amp;$B224,BD!$W$3:$W$5001,"&lt;&gt;")=0,"",SUMIFS(BD!$W$3:$W$5001,BD!$B$3:$B$5001,O$206,BD!$A$3:$A$5001,_xlfn.MAXIFS(BD!$A$3:$A$5001,BD!$B$3:$B$5001,O$206,BD!$A$3:$A$5001,"&gt;="&amp;$C$7,BD!$A$3:$A$5001,"&lt;="&amp;$B224,BD!$W$3:$W$5001,"&lt;&gt;"))))</f>
        <v/>
      </c>
      <c r="P224" s="43" t="str">
        <f>IF(OR($B224="",$A224&gt;$B$9,P$206=""),"",IF(COUNTIFS(BD!$B$3:$B$5001,P$206,BD!$A$3:$A$5001,"&gt;="&amp;$C$7,BD!$A$3:$A$5001,"&lt;="&amp;$B224,BD!$W$3:$W$5001,"&lt;&gt;")=0,"",SUMIFS(BD!$W$3:$W$5001,BD!$B$3:$B$5001,P$206,BD!$A$3:$A$5001,_xlfn.MAXIFS(BD!$A$3:$A$5001,BD!$B$3:$B$5001,P$206,BD!$A$3:$A$5001,"&gt;="&amp;$C$7,BD!$A$3:$A$5001,"&lt;="&amp;$B224,BD!$W$3:$W$5001,"&lt;&gt;"))))</f>
        <v/>
      </c>
      <c r="Q224" s="43" t="str">
        <f>IF(OR($B224="",$A224&gt;$B$9,Q$206=""),"",IF(COUNTIFS(BD!$B$3:$B$5001,Q$206,BD!$A$3:$A$5001,"&gt;="&amp;$C$7,BD!$A$3:$A$5001,"&lt;="&amp;$B224,BD!$W$3:$W$5001,"&lt;&gt;")=0,"",SUMIFS(BD!$W$3:$W$5001,BD!$B$3:$B$5001,Q$206,BD!$A$3:$A$5001,_xlfn.MAXIFS(BD!$A$3:$A$5001,BD!$B$3:$B$5001,Q$206,BD!$A$3:$A$5001,"&gt;="&amp;$C$7,BD!$A$3:$A$5001,"&lt;="&amp;$B224,BD!$W$3:$W$5001,"&lt;&gt;"))))</f>
        <v/>
      </c>
      <c r="R224" s="43" t="str">
        <f>IF(OR($B224="",$A224&gt;$B$9,R$206=""),"",IF(COUNTIFS(BD!$B$3:$B$5001,R$206,BD!$A$3:$A$5001,"&gt;="&amp;$C$7,BD!$A$3:$A$5001,"&lt;="&amp;$B224,BD!$W$3:$W$5001,"&lt;&gt;")=0,"",SUMIFS(BD!$W$3:$W$5001,BD!$B$3:$B$5001,R$206,BD!$A$3:$A$5001,_xlfn.MAXIFS(BD!$A$3:$A$5001,BD!$B$3:$B$5001,R$206,BD!$A$3:$A$5001,"&gt;="&amp;$C$7,BD!$A$3:$A$5001,"&lt;="&amp;$B224,BD!$W$3:$W$5001,"&lt;&gt;"))))</f>
        <v/>
      </c>
      <c r="S224" s="43" t="str">
        <f>IF(OR($B224="",$A224&gt;$B$9,S$206=""),"",IF(COUNTIFS(BD!$B$3:$B$5001,S$206,BD!$A$3:$A$5001,"&gt;="&amp;$C$7,BD!$A$3:$A$5001,"&lt;="&amp;$B224,BD!$W$3:$W$5001,"&lt;&gt;")=0,"",SUMIFS(BD!$W$3:$W$5001,BD!$B$3:$B$5001,S$206,BD!$A$3:$A$5001,_xlfn.MAXIFS(BD!$A$3:$A$5001,BD!$B$3:$B$5001,S$206,BD!$A$3:$A$5001,"&gt;="&amp;$C$7,BD!$A$3:$A$5001,"&lt;="&amp;$B224,BD!$W$3:$W$5001,"&lt;&gt;"))))</f>
        <v/>
      </c>
      <c r="T224" s="43" t="str">
        <f>IF(OR($B224="",$A224&gt;$B$9,T$206=""),"",IF(COUNTIFS(BD!$B$3:$B$5001,T$206,BD!$A$3:$A$5001,"&gt;="&amp;$C$7,BD!$A$3:$A$5001,"&lt;="&amp;$B224,BD!$W$3:$W$5001,"&lt;&gt;")=0,"",SUMIFS(BD!$W$3:$W$5001,BD!$B$3:$B$5001,T$206,BD!$A$3:$A$5001,_xlfn.MAXIFS(BD!$A$3:$A$5001,BD!$B$3:$B$5001,T$206,BD!$A$3:$A$5001,"&gt;="&amp;$C$7,BD!$A$3:$A$5001,"&lt;="&amp;$B224,BD!$W$3:$W$5001,"&lt;&gt;"))))</f>
        <v/>
      </c>
      <c r="U224" s="43" t="str">
        <f>IF(OR($B224="",$A224&gt;$B$9,U$206=""),"",IF(COUNTIFS(BD!$B$3:$B$5001,U$206,BD!$A$3:$A$5001,"&gt;="&amp;$C$7,BD!$A$3:$A$5001,"&lt;="&amp;$B224,BD!$W$3:$W$5001,"&lt;&gt;")=0,"",SUMIFS(BD!$W$3:$W$5001,BD!$B$3:$B$5001,U$206,BD!$A$3:$A$5001,_xlfn.MAXIFS(BD!$A$3:$A$5001,BD!$B$3:$B$5001,U$206,BD!$A$3:$A$5001,"&gt;="&amp;$C$7,BD!$A$3:$A$5001,"&lt;="&amp;$B224,BD!$W$3:$W$5001,"&lt;&gt;"))))</f>
        <v/>
      </c>
      <c r="V224" s="43" t="str">
        <f>IF(OR($B224="",$A224&gt;$B$9,V$206=""),"",IF(COUNTIFS(BD!$B$3:$B$5001,V$206,BD!$A$3:$A$5001,"&gt;="&amp;$C$7,BD!$A$3:$A$5001,"&lt;="&amp;$B224,BD!$W$3:$W$5001,"&lt;&gt;")=0,"",SUMIFS(BD!$W$3:$W$5001,BD!$B$3:$B$5001,V$206,BD!$A$3:$A$5001,_xlfn.MAXIFS(BD!$A$3:$A$5001,BD!$B$3:$B$5001,V$206,BD!$A$3:$A$5001,"&gt;="&amp;$C$7,BD!$A$3:$A$5001,"&lt;="&amp;$B224,BD!$W$3:$W$5001,"&lt;&gt;"))))</f>
        <v/>
      </c>
    </row>
    <row r="225">
      <c r="A225" s="38">
        <v>19</v>
      </c>
      <c r="B225" s="42">
        <f>$B$30</f>
        <v>46314</v>
      </c>
      <c r="C225" s="43" t="str">
        <f>IF(OR($B225="",$A225&gt;$B$9,C$206=""),"",IF(COUNTIFS(BD!$B$3:$B$5001,C$206,BD!$A$3:$A$5001,"&gt;="&amp;$C$7,BD!$A$3:$A$5001,"&lt;="&amp;$B225,BD!$W$3:$W$5001,"&lt;&gt;")=0,"",SUMIFS(BD!$W$3:$W$5001,BD!$B$3:$B$5001,C$206,BD!$A$3:$A$5001,_xlfn.MAXIFS(BD!$A$3:$A$5001,BD!$B$3:$B$5001,C$206,BD!$A$3:$A$5001,"&gt;="&amp;$C$7,BD!$A$3:$A$5001,"&lt;="&amp;$B225,BD!$W$3:$W$5001,"&lt;&gt;"))))</f>
        <v/>
      </c>
      <c r="D225" s="43" t="str">
        <f>IF(OR($B225="",$A225&gt;$B$9,D$206=""),"",IF(COUNTIFS(BD!$B$3:$B$5001,D$206,BD!$A$3:$A$5001,"&gt;="&amp;$C$7,BD!$A$3:$A$5001,"&lt;="&amp;$B225,BD!$W$3:$W$5001,"&lt;&gt;")=0,"",SUMIFS(BD!$W$3:$W$5001,BD!$B$3:$B$5001,D$206,BD!$A$3:$A$5001,_xlfn.MAXIFS(BD!$A$3:$A$5001,BD!$B$3:$B$5001,D$206,BD!$A$3:$A$5001,"&gt;="&amp;$C$7,BD!$A$3:$A$5001,"&lt;="&amp;$B225,BD!$W$3:$W$5001,"&lt;&gt;"))))</f>
        <v/>
      </c>
      <c r="E225" s="43" t="str">
        <f>IF(OR($B225="",$A225&gt;$B$9,E$206=""),"",IF(COUNTIFS(BD!$B$3:$B$5001,E$206,BD!$A$3:$A$5001,"&gt;="&amp;$C$7,BD!$A$3:$A$5001,"&lt;="&amp;$B225,BD!$W$3:$W$5001,"&lt;&gt;")=0,"",SUMIFS(BD!$W$3:$W$5001,BD!$B$3:$B$5001,E$206,BD!$A$3:$A$5001,_xlfn.MAXIFS(BD!$A$3:$A$5001,BD!$B$3:$B$5001,E$206,BD!$A$3:$A$5001,"&gt;="&amp;$C$7,BD!$A$3:$A$5001,"&lt;="&amp;$B225,BD!$W$3:$W$5001,"&lt;&gt;"))))</f>
        <v/>
      </c>
      <c r="F225" s="43" t="str">
        <f>IF(OR($B225="",$A225&gt;$B$9,F$206=""),"",IF(COUNTIFS(BD!$B$3:$B$5001,F$206,BD!$A$3:$A$5001,"&gt;="&amp;$C$7,BD!$A$3:$A$5001,"&lt;="&amp;$B225,BD!$W$3:$W$5001,"&lt;&gt;")=0,"",SUMIFS(BD!$W$3:$W$5001,BD!$B$3:$B$5001,F$206,BD!$A$3:$A$5001,_xlfn.MAXIFS(BD!$A$3:$A$5001,BD!$B$3:$B$5001,F$206,BD!$A$3:$A$5001,"&gt;="&amp;$C$7,BD!$A$3:$A$5001,"&lt;="&amp;$B225,BD!$W$3:$W$5001,"&lt;&gt;"))))</f>
        <v/>
      </c>
      <c r="G225" s="43" t="str">
        <f>IF(OR($B225="",$A225&gt;$B$9,G$206=""),"",IF(COUNTIFS(BD!$B$3:$B$5001,G$206,BD!$A$3:$A$5001,"&gt;="&amp;$C$7,BD!$A$3:$A$5001,"&lt;="&amp;$B225,BD!$W$3:$W$5001,"&lt;&gt;")=0,"",SUMIFS(BD!$W$3:$W$5001,BD!$B$3:$B$5001,G$206,BD!$A$3:$A$5001,_xlfn.MAXIFS(BD!$A$3:$A$5001,BD!$B$3:$B$5001,G$206,BD!$A$3:$A$5001,"&gt;="&amp;$C$7,BD!$A$3:$A$5001,"&lt;="&amp;$B225,BD!$W$3:$W$5001,"&lt;&gt;"))))</f>
        <v/>
      </c>
      <c r="H225" s="43" t="str">
        <f>IF(OR($B225="",$A225&gt;$B$9,H$206=""),"",IF(COUNTIFS(BD!$B$3:$B$5001,H$206,BD!$A$3:$A$5001,"&gt;="&amp;$C$7,BD!$A$3:$A$5001,"&lt;="&amp;$B225,BD!$W$3:$W$5001,"&lt;&gt;")=0,"",SUMIFS(BD!$W$3:$W$5001,BD!$B$3:$B$5001,H$206,BD!$A$3:$A$5001,_xlfn.MAXIFS(BD!$A$3:$A$5001,BD!$B$3:$B$5001,H$206,BD!$A$3:$A$5001,"&gt;="&amp;$C$7,BD!$A$3:$A$5001,"&lt;="&amp;$B225,BD!$W$3:$W$5001,"&lt;&gt;"))))</f>
        <v/>
      </c>
      <c r="I225" s="43" t="str">
        <f>IF(OR($B225="",$A225&gt;$B$9,I$206=""),"",IF(COUNTIFS(BD!$B$3:$B$5001,I$206,BD!$A$3:$A$5001,"&gt;="&amp;$C$7,BD!$A$3:$A$5001,"&lt;="&amp;$B225,BD!$W$3:$W$5001,"&lt;&gt;")=0,"",SUMIFS(BD!$W$3:$W$5001,BD!$B$3:$B$5001,I$206,BD!$A$3:$A$5001,_xlfn.MAXIFS(BD!$A$3:$A$5001,BD!$B$3:$B$5001,I$206,BD!$A$3:$A$5001,"&gt;="&amp;$C$7,BD!$A$3:$A$5001,"&lt;="&amp;$B225,BD!$W$3:$W$5001,"&lt;&gt;"))))</f>
        <v/>
      </c>
      <c r="J225" s="43" t="str">
        <f>IF(OR($B225="",$A225&gt;$B$9,J$206=""),"",IF(COUNTIFS(BD!$B$3:$B$5001,J$206,BD!$A$3:$A$5001,"&gt;="&amp;$C$7,BD!$A$3:$A$5001,"&lt;="&amp;$B225,BD!$W$3:$W$5001,"&lt;&gt;")=0,"",SUMIFS(BD!$W$3:$W$5001,BD!$B$3:$B$5001,J$206,BD!$A$3:$A$5001,_xlfn.MAXIFS(BD!$A$3:$A$5001,BD!$B$3:$B$5001,J$206,BD!$A$3:$A$5001,"&gt;="&amp;$C$7,BD!$A$3:$A$5001,"&lt;="&amp;$B225,BD!$W$3:$W$5001,"&lt;&gt;"))))</f>
        <v/>
      </c>
      <c r="K225" s="43" t="str">
        <f>IF(OR($B225="",$A225&gt;$B$9,K$206=""),"",IF(COUNTIFS(BD!$B$3:$B$5001,K$206,BD!$A$3:$A$5001,"&gt;="&amp;$C$7,BD!$A$3:$A$5001,"&lt;="&amp;$B225,BD!$W$3:$W$5001,"&lt;&gt;")=0,"",SUMIFS(BD!$W$3:$W$5001,BD!$B$3:$B$5001,K$206,BD!$A$3:$A$5001,_xlfn.MAXIFS(BD!$A$3:$A$5001,BD!$B$3:$B$5001,K$206,BD!$A$3:$A$5001,"&gt;="&amp;$C$7,BD!$A$3:$A$5001,"&lt;="&amp;$B225,BD!$W$3:$W$5001,"&lt;&gt;"))))</f>
        <v/>
      </c>
      <c r="L225" s="43" t="str">
        <f>IF(OR($B225="",$A225&gt;$B$9,L$206=""),"",IF(COUNTIFS(BD!$B$3:$B$5001,L$206,BD!$A$3:$A$5001,"&gt;="&amp;$C$7,BD!$A$3:$A$5001,"&lt;="&amp;$B225,BD!$W$3:$W$5001,"&lt;&gt;")=0,"",SUMIFS(BD!$W$3:$W$5001,BD!$B$3:$B$5001,L$206,BD!$A$3:$A$5001,_xlfn.MAXIFS(BD!$A$3:$A$5001,BD!$B$3:$B$5001,L$206,BD!$A$3:$A$5001,"&gt;="&amp;$C$7,BD!$A$3:$A$5001,"&lt;="&amp;$B225,BD!$W$3:$W$5001,"&lt;&gt;"))))</f>
        <v/>
      </c>
      <c r="M225" s="43" t="str">
        <f>IF(OR($B225="",$A225&gt;$B$9,M$206=""),"",IF(COUNTIFS(BD!$B$3:$B$5001,M$206,BD!$A$3:$A$5001,"&gt;="&amp;$C$7,BD!$A$3:$A$5001,"&lt;="&amp;$B225,BD!$W$3:$W$5001,"&lt;&gt;")=0,"",SUMIFS(BD!$W$3:$W$5001,BD!$B$3:$B$5001,M$206,BD!$A$3:$A$5001,_xlfn.MAXIFS(BD!$A$3:$A$5001,BD!$B$3:$B$5001,M$206,BD!$A$3:$A$5001,"&gt;="&amp;$C$7,BD!$A$3:$A$5001,"&lt;="&amp;$B225,BD!$W$3:$W$5001,"&lt;&gt;"))))</f>
        <v/>
      </c>
      <c r="N225" s="43" t="str">
        <f>IF(OR($B225="",$A225&gt;$B$9,N$206=""),"",IF(COUNTIFS(BD!$B$3:$B$5001,N$206,BD!$A$3:$A$5001,"&gt;="&amp;$C$7,BD!$A$3:$A$5001,"&lt;="&amp;$B225,BD!$W$3:$W$5001,"&lt;&gt;")=0,"",SUMIFS(BD!$W$3:$W$5001,BD!$B$3:$B$5001,N$206,BD!$A$3:$A$5001,_xlfn.MAXIFS(BD!$A$3:$A$5001,BD!$B$3:$B$5001,N$206,BD!$A$3:$A$5001,"&gt;="&amp;$C$7,BD!$A$3:$A$5001,"&lt;="&amp;$B225,BD!$W$3:$W$5001,"&lt;&gt;"))))</f>
        <v/>
      </c>
      <c r="O225" s="43" t="str">
        <f>IF(OR($B225="",$A225&gt;$B$9,O$206=""),"",IF(COUNTIFS(BD!$B$3:$B$5001,O$206,BD!$A$3:$A$5001,"&gt;="&amp;$C$7,BD!$A$3:$A$5001,"&lt;="&amp;$B225,BD!$W$3:$W$5001,"&lt;&gt;")=0,"",SUMIFS(BD!$W$3:$W$5001,BD!$B$3:$B$5001,O$206,BD!$A$3:$A$5001,_xlfn.MAXIFS(BD!$A$3:$A$5001,BD!$B$3:$B$5001,O$206,BD!$A$3:$A$5001,"&gt;="&amp;$C$7,BD!$A$3:$A$5001,"&lt;="&amp;$B225,BD!$W$3:$W$5001,"&lt;&gt;"))))</f>
        <v/>
      </c>
      <c r="P225" s="43" t="str">
        <f>IF(OR($B225="",$A225&gt;$B$9,P$206=""),"",IF(COUNTIFS(BD!$B$3:$B$5001,P$206,BD!$A$3:$A$5001,"&gt;="&amp;$C$7,BD!$A$3:$A$5001,"&lt;="&amp;$B225,BD!$W$3:$W$5001,"&lt;&gt;")=0,"",SUMIFS(BD!$W$3:$W$5001,BD!$B$3:$B$5001,P$206,BD!$A$3:$A$5001,_xlfn.MAXIFS(BD!$A$3:$A$5001,BD!$B$3:$B$5001,P$206,BD!$A$3:$A$5001,"&gt;="&amp;$C$7,BD!$A$3:$A$5001,"&lt;="&amp;$B225,BD!$W$3:$W$5001,"&lt;&gt;"))))</f>
        <v/>
      </c>
      <c r="Q225" s="43" t="str">
        <f>IF(OR($B225="",$A225&gt;$B$9,Q$206=""),"",IF(COUNTIFS(BD!$B$3:$B$5001,Q$206,BD!$A$3:$A$5001,"&gt;="&amp;$C$7,BD!$A$3:$A$5001,"&lt;="&amp;$B225,BD!$W$3:$W$5001,"&lt;&gt;")=0,"",SUMIFS(BD!$W$3:$W$5001,BD!$B$3:$B$5001,Q$206,BD!$A$3:$A$5001,_xlfn.MAXIFS(BD!$A$3:$A$5001,BD!$B$3:$B$5001,Q$206,BD!$A$3:$A$5001,"&gt;="&amp;$C$7,BD!$A$3:$A$5001,"&lt;="&amp;$B225,BD!$W$3:$W$5001,"&lt;&gt;"))))</f>
        <v/>
      </c>
      <c r="R225" s="43" t="str">
        <f>IF(OR($B225="",$A225&gt;$B$9,R$206=""),"",IF(COUNTIFS(BD!$B$3:$B$5001,R$206,BD!$A$3:$A$5001,"&gt;="&amp;$C$7,BD!$A$3:$A$5001,"&lt;="&amp;$B225,BD!$W$3:$W$5001,"&lt;&gt;")=0,"",SUMIFS(BD!$W$3:$W$5001,BD!$B$3:$B$5001,R$206,BD!$A$3:$A$5001,_xlfn.MAXIFS(BD!$A$3:$A$5001,BD!$B$3:$B$5001,R$206,BD!$A$3:$A$5001,"&gt;="&amp;$C$7,BD!$A$3:$A$5001,"&lt;="&amp;$B225,BD!$W$3:$W$5001,"&lt;&gt;"))))</f>
        <v/>
      </c>
      <c r="S225" s="43" t="str">
        <f>IF(OR($B225="",$A225&gt;$B$9,S$206=""),"",IF(COUNTIFS(BD!$B$3:$B$5001,S$206,BD!$A$3:$A$5001,"&gt;="&amp;$C$7,BD!$A$3:$A$5001,"&lt;="&amp;$B225,BD!$W$3:$W$5001,"&lt;&gt;")=0,"",SUMIFS(BD!$W$3:$W$5001,BD!$B$3:$B$5001,S$206,BD!$A$3:$A$5001,_xlfn.MAXIFS(BD!$A$3:$A$5001,BD!$B$3:$B$5001,S$206,BD!$A$3:$A$5001,"&gt;="&amp;$C$7,BD!$A$3:$A$5001,"&lt;="&amp;$B225,BD!$W$3:$W$5001,"&lt;&gt;"))))</f>
        <v/>
      </c>
      <c r="T225" s="43" t="str">
        <f>IF(OR($B225="",$A225&gt;$B$9,T$206=""),"",IF(COUNTIFS(BD!$B$3:$B$5001,T$206,BD!$A$3:$A$5001,"&gt;="&amp;$C$7,BD!$A$3:$A$5001,"&lt;="&amp;$B225,BD!$W$3:$W$5001,"&lt;&gt;")=0,"",SUMIFS(BD!$W$3:$W$5001,BD!$B$3:$B$5001,T$206,BD!$A$3:$A$5001,_xlfn.MAXIFS(BD!$A$3:$A$5001,BD!$B$3:$B$5001,T$206,BD!$A$3:$A$5001,"&gt;="&amp;$C$7,BD!$A$3:$A$5001,"&lt;="&amp;$B225,BD!$W$3:$W$5001,"&lt;&gt;"))))</f>
        <v/>
      </c>
      <c r="U225" s="43" t="str">
        <f>IF(OR($B225="",$A225&gt;$B$9,U$206=""),"",IF(COUNTIFS(BD!$B$3:$B$5001,U$206,BD!$A$3:$A$5001,"&gt;="&amp;$C$7,BD!$A$3:$A$5001,"&lt;="&amp;$B225,BD!$W$3:$W$5001,"&lt;&gt;")=0,"",SUMIFS(BD!$W$3:$W$5001,BD!$B$3:$B$5001,U$206,BD!$A$3:$A$5001,_xlfn.MAXIFS(BD!$A$3:$A$5001,BD!$B$3:$B$5001,U$206,BD!$A$3:$A$5001,"&gt;="&amp;$C$7,BD!$A$3:$A$5001,"&lt;="&amp;$B225,BD!$W$3:$W$5001,"&lt;&gt;"))))</f>
        <v/>
      </c>
      <c r="V225" s="43" t="str">
        <f>IF(OR($B225="",$A225&gt;$B$9,V$206=""),"",IF(COUNTIFS(BD!$B$3:$B$5001,V$206,BD!$A$3:$A$5001,"&gt;="&amp;$C$7,BD!$A$3:$A$5001,"&lt;="&amp;$B225,BD!$W$3:$W$5001,"&lt;&gt;")=0,"",SUMIFS(BD!$W$3:$W$5001,BD!$B$3:$B$5001,V$206,BD!$A$3:$A$5001,_xlfn.MAXIFS(BD!$A$3:$A$5001,BD!$B$3:$B$5001,V$206,BD!$A$3:$A$5001,"&gt;="&amp;$C$7,BD!$A$3:$A$5001,"&lt;="&amp;$B225,BD!$W$3:$W$5001,"&lt;&gt;"))))</f>
        <v/>
      </c>
    </row>
    <row r="226">
      <c r="A226" s="38">
        <v>20</v>
      </c>
      <c r="B226" s="42">
        <f>$B$31</f>
        <v>46315</v>
      </c>
      <c r="C226" s="43" t="str">
        <f>IF(OR($B226="",$A226&gt;$B$9,C$206=""),"",IF(COUNTIFS(BD!$B$3:$B$5001,C$206,BD!$A$3:$A$5001,"&gt;="&amp;$C$7,BD!$A$3:$A$5001,"&lt;="&amp;$B226,BD!$W$3:$W$5001,"&lt;&gt;")=0,"",SUMIFS(BD!$W$3:$W$5001,BD!$B$3:$B$5001,C$206,BD!$A$3:$A$5001,_xlfn.MAXIFS(BD!$A$3:$A$5001,BD!$B$3:$B$5001,C$206,BD!$A$3:$A$5001,"&gt;="&amp;$C$7,BD!$A$3:$A$5001,"&lt;="&amp;$B226,BD!$W$3:$W$5001,"&lt;&gt;"))))</f>
        <v/>
      </c>
      <c r="D226" s="43" t="str">
        <f>IF(OR($B226="",$A226&gt;$B$9,D$206=""),"",IF(COUNTIFS(BD!$B$3:$B$5001,D$206,BD!$A$3:$A$5001,"&gt;="&amp;$C$7,BD!$A$3:$A$5001,"&lt;="&amp;$B226,BD!$W$3:$W$5001,"&lt;&gt;")=0,"",SUMIFS(BD!$W$3:$W$5001,BD!$B$3:$B$5001,D$206,BD!$A$3:$A$5001,_xlfn.MAXIFS(BD!$A$3:$A$5001,BD!$B$3:$B$5001,D$206,BD!$A$3:$A$5001,"&gt;="&amp;$C$7,BD!$A$3:$A$5001,"&lt;="&amp;$B226,BD!$W$3:$W$5001,"&lt;&gt;"))))</f>
        <v/>
      </c>
      <c r="E226" s="43" t="str">
        <f>IF(OR($B226="",$A226&gt;$B$9,E$206=""),"",IF(COUNTIFS(BD!$B$3:$B$5001,E$206,BD!$A$3:$A$5001,"&gt;="&amp;$C$7,BD!$A$3:$A$5001,"&lt;="&amp;$B226,BD!$W$3:$W$5001,"&lt;&gt;")=0,"",SUMIFS(BD!$W$3:$W$5001,BD!$B$3:$B$5001,E$206,BD!$A$3:$A$5001,_xlfn.MAXIFS(BD!$A$3:$A$5001,BD!$B$3:$B$5001,E$206,BD!$A$3:$A$5001,"&gt;="&amp;$C$7,BD!$A$3:$A$5001,"&lt;="&amp;$B226,BD!$W$3:$W$5001,"&lt;&gt;"))))</f>
        <v/>
      </c>
      <c r="F226" s="43" t="str">
        <f>IF(OR($B226="",$A226&gt;$B$9,F$206=""),"",IF(COUNTIFS(BD!$B$3:$B$5001,F$206,BD!$A$3:$A$5001,"&gt;="&amp;$C$7,BD!$A$3:$A$5001,"&lt;="&amp;$B226,BD!$W$3:$W$5001,"&lt;&gt;")=0,"",SUMIFS(BD!$W$3:$W$5001,BD!$B$3:$B$5001,F$206,BD!$A$3:$A$5001,_xlfn.MAXIFS(BD!$A$3:$A$5001,BD!$B$3:$B$5001,F$206,BD!$A$3:$A$5001,"&gt;="&amp;$C$7,BD!$A$3:$A$5001,"&lt;="&amp;$B226,BD!$W$3:$W$5001,"&lt;&gt;"))))</f>
        <v/>
      </c>
      <c r="G226" s="43" t="str">
        <f>IF(OR($B226="",$A226&gt;$B$9,G$206=""),"",IF(COUNTIFS(BD!$B$3:$B$5001,G$206,BD!$A$3:$A$5001,"&gt;="&amp;$C$7,BD!$A$3:$A$5001,"&lt;="&amp;$B226,BD!$W$3:$W$5001,"&lt;&gt;")=0,"",SUMIFS(BD!$W$3:$W$5001,BD!$B$3:$B$5001,G$206,BD!$A$3:$A$5001,_xlfn.MAXIFS(BD!$A$3:$A$5001,BD!$B$3:$B$5001,G$206,BD!$A$3:$A$5001,"&gt;="&amp;$C$7,BD!$A$3:$A$5001,"&lt;="&amp;$B226,BD!$W$3:$W$5001,"&lt;&gt;"))))</f>
        <v/>
      </c>
      <c r="H226" s="43" t="str">
        <f>IF(OR($B226="",$A226&gt;$B$9,H$206=""),"",IF(COUNTIFS(BD!$B$3:$B$5001,H$206,BD!$A$3:$A$5001,"&gt;="&amp;$C$7,BD!$A$3:$A$5001,"&lt;="&amp;$B226,BD!$W$3:$W$5001,"&lt;&gt;")=0,"",SUMIFS(BD!$W$3:$W$5001,BD!$B$3:$B$5001,H$206,BD!$A$3:$A$5001,_xlfn.MAXIFS(BD!$A$3:$A$5001,BD!$B$3:$B$5001,H$206,BD!$A$3:$A$5001,"&gt;="&amp;$C$7,BD!$A$3:$A$5001,"&lt;="&amp;$B226,BD!$W$3:$W$5001,"&lt;&gt;"))))</f>
        <v/>
      </c>
      <c r="I226" s="43" t="str">
        <f>IF(OR($B226="",$A226&gt;$B$9,I$206=""),"",IF(COUNTIFS(BD!$B$3:$B$5001,I$206,BD!$A$3:$A$5001,"&gt;="&amp;$C$7,BD!$A$3:$A$5001,"&lt;="&amp;$B226,BD!$W$3:$W$5001,"&lt;&gt;")=0,"",SUMIFS(BD!$W$3:$W$5001,BD!$B$3:$B$5001,I$206,BD!$A$3:$A$5001,_xlfn.MAXIFS(BD!$A$3:$A$5001,BD!$B$3:$B$5001,I$206,BD!$A$3:$A$5001,"&gt;="&amp;$C$7,BD!$A$3:$A$5001,"&lt;="&amp;$B226,BD!$W$3:$W$5001,"&lt;&gt;"))))</f>
        <v/>
      </c>
      <c r="J226" s="43" t="str">
        <f>IF(OR($B226="",$A226&gt;$B$9,J$206=""),"",IF(COUNTIFS(BD!$B$3:$B$5001,J$206,BD!$A$3:$A$5001,"&gt;="&amp;$C$7,BD!$A$3:$A$5001,"&lt;="&amp;$B226,BD!$W$3:$W$5001,"&lt;&gt;")=0,"",SUMIFS(BD!$W$3:$W$5001,BD!$B$3:$B$5001,J$206,BD!$A$3:$A$5001,_xlfn.MAXIFS(BD!$A$3:$A$5001,BD!$B$3:$B$5001,J$206,BD!$A$3:$A$5001,"&gt;="&amp;$C$7,BD!$A$3:$A$5001,"&lt;="&amp;$B226,BD!$W$3:$W$5001,"&lt;&gt;"))))</f>
        <v/>
      </c>
      <c r="K226" s="43" t="str">
        <f>IF(OR($B226="",$A226&gt;$B$9,K$206=""),"",IF(COUNTIFS(BD!$B$3:$B$5001,K$206,BD!$A$3:$A$5001,"&gt;="&amp;$C$7,BD!$A$3:$A$5001,"&lt;="&amp;$B226,BD!$W$3:$W$5001,"&lt;&gt;")=0,"",SUMIFS(BD!$W$3:$W$5001,BD!$B$3:$B$5001,K$206,BD!$A$3:$A$5001,_xlfn.MAXIFS(BD!$A$3:$A$5001,BD!$B$3:$B$5001,K$206,BD!$A$3:$A$5001,"&gt;="&amp;$C$7,BD!$A$3:$A$5001,"&lt;="&amp;$B226,BD!$W$3:$W$5001,"&lt;&gt;"))))</f>
        <v/>
      </c>
      <c r="L226" s="43" t="str">
        <f>IF(OR($B226="",$A226&gt;$B$9,L$206=""),"",IF(COUNTIFS(BD!$B$3:$B$5001,L$206,BD!$A$3:$A$5001,"&gt;="&amp;$C$7,BD!$A$3:$A$5001,"&lt;="&amp;$B226,BD!$W$3:$W$5001,"&lt;&gt;")=0,"",SUMIFS(BD!$W$3:$W$5001,BD!$B$3:$B$5001,L$206,BD!$A$3:$A$5001,_xlfn.MAXIFS(BD!$A$3:$A$5001,BD!$B$3:$B$5001,L$206,BD!$A$3:$A$5001,"&gt;="&amp;$C$7,BD!$A$3:$A$5001,"&lt;="&amp;$B226,BD!$W$3:$W$5001,"&lt;&gt;"))))</f>
        <v/>
      </c>
      <c r="M226" s="43" t="str">
        <f>IF(OR($B226="",$A226&gt;$B$9,M$206=""),"",IF(COUNTIFS(BD!$B$3:$B$5001,M$206,BD!$A$3:$A$5001,"&gt;="&amp;$C$7,BD!$A$3:$A$5001,"&lt;="&amp;$B226,BD!$W$3:$W$5001,"&lt;&gt;")=0,"",SUMIFS(BD!$W$3:$W$5001,BD!$B$3:$B$5001,M$206,BD!$A$3:$A$5001,_xlfn.MAXIFS(BD!$A$3:$A$5001,BD!$B$3:$B$5001,M$206,BD!$A$3:$A$5001,"&gt;="&amp;$C$7,BD!$A$3:$A$5001,"&lt;="&amp;$B226,BD!$W$3:$W$5001,"&lt;&gt;"))))</f>
        <v/>
      </c>
      <c r="N226" s="43" t="str">
        <f>IF(OR($B226="",$A226&gt;$B$9,N$206=""),"",IF(COUNTIFS(BD!$B$3:$B$5001,N$206,BD!$A$3:$A$5001,"&gt;="&amp;$C$7,BD!$A$3:$A$5001,"&lt;="&amp;$B226,BD!$W$3:$W$5001,"&lt;&gt;")=0,"",SUMIFS(BD!$W$3:$W$5001,BD!$B$3:$B$5001,N$206,BD!$A$3:$A$5001,_xlfn.MAXIFS(BD!$A$3:$A$5001,BD!$B$3:$B$5001,N$206,BD!$A$3:$A$5001,"&gt;="&amp;$C$7,BD!$A$3:$A$5001,"&lt;="&amp;$B226,BD!$W$3:$W$5001,"&lt;&gt;"))))</f>
        <v/>
      </c>
      <c r="O226" s="43" t="str">
        <f>IF(OR($B226="",$A226&gt;$B$9,O$206=""),"",IF(COUNTIFS(BD!$B$3:$B$5001,O$206,BD!$A$3:$A$5001,"&gt;="&amp;$C$7,BD!$A$3:$A$5001,"&lt;="&amp;$B226,BD!$W$3:$W$5001,"&lt;&gt;")=0,"",SUMIFS(BD!$W$3:$W$5001,BD!$B$3:$B$5001,O$206,BD!$A$3:$A$5001,_xlfn.MAXIFS(BD!$A$3:$A$5001,BD!$B$3:$B$5001,O$206,BD!$A$3:$A$5001,"&gt;="&amp;$C$7,BD!$A$3:$A$5001,"&lt;="&amp;$B226,BD!$W$3:$W$5001,"&lt;&gt;"))))</f>
        <v/>
      </c>
      <c r="P226" s="43" t="str">
        <f>IF(OR($B226="",$A226&gt;$B$9,P$206=""),"",IF(COUNTIFS(BD!$B$3:$B$5001,P$206,BD!$A$3:$A$5001,"&gt;="&amp;$C$7,BD!$A$3:$A$5001,"&lt;="&amp;$B226,BD!$W$3:$W$5001,"&lt;&gt;")=0,"",SUMIFS(BD!$W$3:$W$5001,BD!$B$3:$B$5001,P$206,BD!$A$3:$A$5001,_xlfn.MAXIFS(BD!$A$3:$A$5001,BD!$B$3:$B$5001,P$206,BD!$A$3:$A$5001,"&gt;="&amp;$C$7,BD!$A$3:$A$5001,"&lt;="&amp;$B226,BD!$W$3:$W$5001,"&lt;&gt;"))))</f>
        <v/>
      </c>
      <c r="Q226" s="43" t="str">
        <f>IF(OR($B226="",$A226&gt;$B$9,Q$206=""),"",IF(COUNTIFS(BD!$B$3:$B$5001,Q$206,BD!$A$3:$A$5001,"&gt;="&amp;$C$7,BD!$A$3:$A$5001,"&lt;="&amp;$B226,BD!$W$3:$W$5001,"&lt;&gt;")=0,"",SUMIFS(BD!$W$3:$W$5001,BD!$B$3:$B$5001,Q$206,BD!$A$3:$A$5001,_xlfn.MAXIFS(BD!$A$3:$A$5001,BD!$B$3:$B$5001,Q$206,BD!$A$3:$A$5001,"&gt;="&amp;$C$7,BD!$A$3:$A$5001,"&lt;="&amp;$B226,BD!$W$3:$W$5001,"&lt;&gt;"))))</f>
        <v/>
      </c>
      <c r="R226" s="43" t="str">
        <f>IF(OR($B226="",$A226&gt;$B$9,R$206=""),"",IF(COUNTIFS(BD!$B$3:$B$5001,R$206,BD!$A$3:$A$5001,"&gt;="&amp;$C$7,BD!$A$3:$A$5001,"&lt;="&amp;$B226,BD!$W$3:$W$5001,"&lt;&gt;")=0,"",SUMIFS(BD!$W$3:$W$5001,BD!$B$3:$B$5001,R$206,BD!$A$3:$A$5001,_xlfn.MAXIFS(BD!$A$3:$A$5001,BD!$B$3:$B$5001,R$206,BD!$A$3:$A$5001,"&gt;="&amp;$C$7,BD!$A$3:$A$5001,"&lt;="&amp;$B226,BD!$W$3:$W$5001,"&lt;&gt;"))))</f>
        <v/>
      </c>
      <c r="S226" s="43" t="str">
        <f>IF(OR($B226="",$A226&gt;$B$9,S$206=""),"",IF(COUNTIFS(BD!$B$3:$B$5001,S$206,BD!$A$3:$A$5001,"&gt;="&amp;$C$7,BD!$A$3:$A$5001,"&lt;="&amp;$B226,BD!$W$3:$W$5001,"&lt;&gt;")=0,"",SUMIFS(BD!$W$3:$W$5001,BD!$B$3:$B$5001,S$206,BD!$A$3:$A$5001,_xlfn.MAXIFS(BD!$A$3:$A$5001,BD!$B$3:$B$5001,S$206,BD!$A$3:$A$5001,"&gt;="&amp;$C$7,BD!$A$3:$A$5001,"&lt;="&amp;$B226,BD!$W$3:$W$5001,"&lt;&gt;"))))</f>
        <v/>
      </c>
      <c r="T226" s="43" t="str">
        <f>IF(OR($B226="",$A226&gt;$B$9,T$206=""),"",IF(COUNTIFS(BD!$B$3:$B$5001,T$206,BD!$A$3:$A$5001,"&gt;="&amp;$C$7,BD!$A$3:$A$5001,"&lt;="&amp;$B226,BD!$W$3:$W$5001,"&lt;&gt;")=0,"",SUMIFS(BD!$W$3:$W$5001,BD!$B$3:$B$5001,T$206,BD!$A$3:$A$5001,_xlfn.MAXIFS(BD!$A$3:$A$5001,BD!$B$3:$B$5001,T$206,BD!$A$3:$A$5001,"&gt;="&amp;$C$7,BD!$A$3:$A$5001,"&lt;="&amp;$B226,BD!$W$3:$W$5001,"&lt;&gt;"))))</f>
        <v/>
      </c>
      <c r="U226" s="43" t="str">
        <f>IF(OR($B226="",$A226&gt;$B$9,U$206=""),"",IF(COUNTIFS(BD!$B$3:$B$5001,U$206,BD!$A$3:$A$5001,"&gt;="&amp;$C$7,BD!$A$3:$A$5001,"&lt;="&amp;$B226,BD!$W$3:$W$5001,"&lt;&gt;")=0,"",SUMIFS(BD!$W$3:$W$5001,BD!$B$3:$B$5001,U$206,BD!$A$3:$A$5001,_xlfn.MAXIFS(BD!$A$3:$A$5001,BD!$B$3:$B$5001,U$206,BD!$A$3:$A$5001,"&gt;="&amp;$C$7,BD!$A$3:$A$5001,"&lt;="&amp;$B226,BD!$W$3:$W$5001,"&lt;&gt;"))))</f>
        <v/>
      </c>
      <c r="V226" s="43" t="str">
        <f>IF(OR($B226="",$A226&gt;$B$9,V$206=""),"",IF(COUNTIFS(BD!$B$3:$B$5001,V$206,BD!$A$3:$A$5001,"&gt;="&amp;$C$7,BD!$A$3:$A$5001,"&lt;="&amp;$B226,BD!$W$3:$W$5001,"&lt;&gt;")=0,"",SUMIFS(BD!$W$3:$W$5001,BD!$B$3:$B$5001,V$206,BD!$A$3:$A$5001,_xlfn.MAXIFS(BD!$A$3:$A$5001,BD!$B$3:$B$5001,V$206,BD!$A$3:$A$5001,"&gt;="&amp;$C$7,BD!$A$3:$A$5001,"&lt;="&amp;$B226,BD!$W$3:$W$5001,"&lt;&gt;"))))</f>
        <v/>
      </c>
    </row>
    <row r="227">
      <c r="A227" s="38">
        <v>21</v>
      </c>
      <c r="B227" s="42">
        <f>$B$32</f>
        <v>46316</v>
      </c>
      <c r="C227" s="43" t="str">
        <f>IF(OR($B227="",$A227&gt;$B$9,C$206=""),"",IF(COUNTIFS(BD!$B$3:$B$5001,C$206,BD!$A$3:$A$5001,"&gt;="&amp;$C$7,BD!$A$3:$A$5001,"&lt;="&amp;$B227,BD!$W$3:$W$5001,"&lt;&gt;")=0,"",SUMIFS(BD!$W$3:$W$5001,BD!$B$3:$B$5001,C$206,BD!$A$3:$A$5001,_xlfn.MAXIFS(BD!$A$3:$A$5001,BD!$B$3:$B$5001,C$206,BD!$A$3:$A$5001,"&gt;="&amp;$C$7,BD!$A$3:$A$5001,"&lt;="&amp;$B227,BD!$W$3:$W$5001,"&lt;&gt;"))))</f>
        <v/>
      </c>
      <c r="D227" s="43" t="str">
        <f>IF(OR($B227="",$A227&gt;$B$9,D$206=""),"",IF(COUNTIFS(BD!$B$3:$B$5001,D$206,BD!$A$3:$A$5001,"&gt;="&amp;$C$7,BD!$A$3:$A$5001,"&lt;="&amp;$B227,BD!$W$3:$W$5001,"&lt;&gt;")=0,"",SUMIFS(BD!$W$3:$W$5001,BD!$B$3:$B$5001,D$206,BD!$A$3:$A$5001,_xlfn.MAXIFS(BD!$A$3:$A$5001,BD!$B$3:$B$5001,D$206,BD!$A$3:$A$5001,"&gt;="&amp;$C$7,BD!$A$3:$A$5001,"&lt;="&amp;$B227,BD!$W$3:$W$5001,"&lt;&gt;"))))</f>
        <v/>
      </c>
      <c r="E227" s="43" t="str">
        <f>IF(OR($B227="",$A227&gt;$B$9,E$206=""),"",IF(COUNTIFS(BD!$B$3:$B$5001,E$206,BD!$A$3:$A$5001,"&gt;="&amp;$C$7,BD!$A$3:$A$5001,"&lt;="&amp;$B227,BD!$W$3:$W$5001,"&lt;&gt;")=0,"",SUMIFS(BD!$W$3:$W$5001,BD!$B$3:$B$5001,E$206,BD!$A$3:$A$5001,_xlfn.MAXIFS(BD!$A$3:$A$5001,BD!$B$3:$B$5001,E$206,BD!$A$3:$A$5001,"&gt;="&amp;$C$7,BD!$A$3:$A$5001,"&lt;="&amp;$B227,BD!$W$3:$W$5001,"&lt;&gt;"))))</f>
        <v/>
      </c>
      <c r="F227" s="43" t="str">
        <f>IF(OR($B227="",$A227&gt;$B$9,F$206=""),"",IF(COUNTIFS(BD!$B$3:$B$5001,F$206,BD!$A$3:$A$5001,"&gt;="&amp;$C$7,BD!$A$3:$A$5001,"&lt;="&amp;$B227,BD!$W$3:$W$5001,"&lt;&gt;")=0,"",SUMIFS(BD!$W$3:$W$5001,BD!$B$3:$B$5001,F$206,BD!$A$3:$A$5001,_xlfn.MAXIFS(BD!$A$3:$A$5001,BD!$B$3:$B$5001,F$206,BD!$A$3:$A$5001,"&gt;="&amp;$C$7,BD!$A$3:$A$5001,"&lt;="&amp;$B227,BD!$W$3:$W$5001,"&lt;&gt;"))))</f>
        <v/>
      </c>
      <c r="G227" s="43" t="str">
        <f>IF(OR($B227="",$A227&gt;$B$9,G$206=""),"",IF(COUNTIFS(BD!$B$3:$B$5001,G$206,BD!$A$3:$A$5001,"&gt;="&amp;$C$7,BD!$A$3:$A$5001,"&lt;="&amp;$B227,BD!$W$3:$W$5001,"&lt;&gt;")=0,"",SUMIFS(BD!$W$3:$W$5001,BD!$B$3:$B$5001,G$206,BD!$A$3:$A$5001,_xlfn.MAXIFS(BD!$A$3:$A$5001,BD!$B$3:$B$5001,G$206,BD!$A$3:$A$5001,"&gt;="&amp;$C$7,BD!$A$3:$A$5001,"&lt;="&amp;$B227,BD!$W$3:$W$5001,"&lt;&gt;"))))</f>
        <v/>
      </c>
      <c r="H227" s="43" t="str">
        <f>IF(OR($B227="",$A227&gt;$B$9,H$206=""),"",IF(COUNTIFS(BD!$B$3:$B$5001,H$206,BD!$A$3:$A$5001,"&gt;="&amp;$C$7,BD!$A$3:$A$5001,"&lt;="&amp;$B227,BD!$W$3:$W$5001,"&lt;&gt;")=0,"",SUMIFS(BD!$W$3:$W$5001,BD!$B$3:$B$5001,H$206,BD!$A$3:$A$5001,_xlfn.MAXIFS(BD!$A$3:$A$5001,BD!$B$3:$B$5001,H$206,BD!$A$3:$A$5001,"&gt;="&amp;$C$7,BD!$A$3:$A$5001,"&lt;="&amp;$B227,BD!$W$3:$W$5001,"&lt;&gt;"))))</f>
        <v/>
      </c>
      <c r="I227" s="43" t="str">
        <f>IF(OR($B227="",$A227&gt;$B$9,I$206=""),"",IF(COUNTIFS(BD!$B$3:$B$5001,I$206,BD!$A$3:$A$5001,"&gt;="&amp;$C$7,BD!$A$3:$A$5001,"&lt;="&amp;$B227,BD!$W$3:$W$5001,"&lt;&gt;")=0,"",SUMIFS(BD!$W$3:$W$5001,BD!$B$3:$B$5001,I$206,BD!$A$3:$A$5001,_xlfn.MAXIFS(BD!$A$3:$A$5001,BD!$B$3:$B$5001,I$206,BD!$A$3:$A$5001,"&gt;="&amp;$C$7,BD!$A$3:$A$5001,"&lt;="&amp;$B227,BD!$W$3:$W$5001,"&lt;&gt;"))))</f>
        <v/>
      </c>
      <c r="J227" s="43" t="str">
        <f>IF(OR($B227="",$A227&gt;$B$9,J$206=""),"",IF(COUNTIFS(BD!$B$3:$B$5001,J$206,BD!$A$3:$A$5001,"&gt;="&amp;$C$7,BD!$A$3:$A$5001,"&lt;="&amp;$B227,BD!$W$3:$W$5001,"&lt;&gt;")=0,"",SUMIFS(BD!$W$3:$W$5001,BD!$B$3:$B$5001,J$206,BD!$A$3:$A$5001,_xlfn.MAXIFS(BD!$A$3:$A$5001,BD!$B$3:$B$5001,J$206,BD!$A$3:$A$5001,"&gt;="&amp;$C$7,BD!$A$3:$A$5001,"&lt;="&amp;$B227,BD!$W$3:$W$5001,"&lt;&gt;"))))</f>
        <v/>
      </c>
      <c r="K227" s="43" t="str">
        <f>IF(OR($B227="",$A227&gt;$B$9,K$206=""),"",IF(COUNTIFS(BD!$B$3:$B$5001,K$206,BD!$A$3:$A$5001,"&gt;="&amp;$C$7,BD!$A$3:$A$5001,"&lt;="&amp;$B227,BD!$W$3:$W$5001,"&lt;&gt;")=0,"",SUMIFS(BD!$W$3:$W$5001,BD!$B$3:$B$5001,K$206,BD!$A$3:$A$5001,_xlfn.MAXIFS(BD!$A$3:$A$5001,BD!$B$3:$B$5001,K$206,BD!$A$3:$A$5001,"&gt;="&amp;$C$7,BD!$A$3:$A$5001,"&lt;="&amp;$B227,BD!$W$3:$W$5001,"&lt;&gt;"))))</f>
        <v/>
      </c>
      <c r="L227" s="43" t="str">
        <f>IF(OR($B227="",$A227&gt;$B$9,L$206=""),"",IF(COUNTIFS(BD!$B$3:$B$5001,L$206,BD!$A$3:$A$5001,"&gt;="&amp;$C$7,BD!$A$3:$A$5001,"&lt;="&amp;$B227,BD!$W$3:$W$5001,"&lt;&gt;")=0,"",SUMIFS(BD!$W$3:$W$5001,BD!$B$3:$B$5001,L$206,BD!$A$3:$A$5001,_xlfn.MAXIFS(BD!$A$3:$A$5001,BD!$B$3:$B$5001,L$206,BD!$A$3:$A$5001,"&gt;="&amp;$C$7,BD!$A$3:$A$5001,"&lt;="&amp;$B227,BD!$W$3:$W$5001,"&lt;&gt;"))))</f>
        <v/>
      </c>
      <c r="M227" s="43" t="str">
        <f>IF(OR($B227="",$A227&gt;$B$9,M$206=""),"",IF(COUNTIFS(BD!$B$3:$B$5001,M$206,BD!$A$3:$A$5001,"&gt;="&amp;$C$7,BD!$A$3:$A$5001,"&lt;="&amp;$B227,BD!$W$3:$W$5001,"&lt;&gt;")=0,"",SUMIFS(BD!$W$3:$W$5001,BD!$B$3:$B$5001,M$206,BD!$A$3:$A$5001,_xlfn.MAXIFS(BD!$A$3:$A$5001,BD!$B$3:$B$5001,M$206,BD!$A$3:$A$5001,"&gt;="&amp;$C$7,BD!$A$3:$A$5001,"&lt;="&amp;$B227,BD!$W$3:$W$5001,"&lt;&gt;"))))</f>
        <v/>
      </c>
      <c r="N227" s="43" t="str">
        <f>IF(OR($B227="",$A227&gt;$B$9,N$206=""),"",IF(COUNTIFS(BD!$B$3:$B$5001,N$206,BD!$A$3:$A$5001,"&gt;="&amp;$C$7,BD!$A$3:$A$5001,"&lt;="&amp;$B227,BD!$W$3:$W$5001,"&lt;&gt;")=0,"",SUMIFS(BD!$W$3:$W$5001,BD!$B$3:$B$5001,N$206,BD!$A$3:$A$5001,_xlfn.MAXIFS(BD!$A$3:$A$5001,BD!$B$3:$B$5001,N$206,BD!$A$3:$A$5001,"&gt;="&amp;$C$7,BD!$A$3:$A$5001,"&lt;="&amp;$B227,BD!$W$3:$W$5001,"&lt;&gt;"))))</f>
        <v/>
      </c>
      <c r="O227" s="43" t="str">
        <f>IF(OR($B227="",$A227&gt;$B$9,O$206=""),"",IF(COUNTIFS(BD!$B$3:$B$5001,O$206,BD!$A$3:$A$5001,"&gt;="&amp;$C$7,BD!$A$3:$A$5001,"&lt;="&amp;$B227,BD!$W$3:$W$5001,"&lt;&gt;")=0,"",SUMIFS(BD!$W$3:$W$5001,BD!$B$3:$B$5001,O$206,BD!$A$3:$A$5001,_xlfn.MAXIFS(BD!$A$3:$A$5001,BD!$B$3:$B$5001,O$206,BD!$A$3:$A$5001,"&gt;="&amp;$C$7,BD!$A$3:$A$5001,"&lt;="&amp;$B227,BD!$W$3:$W$5001,"&lt;&gt;"))))</f>
        <v/>
      </c>
      <c r="P227" s="43" t="str">
        <f>IF(OR($B227="",$A227&gt;$B$9,P$206=""),"",IF(COUNTIFS(BD!$B$3:$B$5001,P$206,BD!$A$3:$A$5001,"&gt;="&amp;$C$7,BD!$A$3:$A$5001,"&lt;="&amp;$B227,BD!$W$3:$W$5001,"&lt;&gt;")=0,"",SUMIFS(BD!$W$3:$W$5001,BD!$B$3:$B$5001,P$206,BD!$A$3:$A$5001,_xlfn.MAXIFS(BD!$A$3:$A$5001,BD!$B$3:$B$5001,P$206,BD!$A$3:$A$5001,"&gt;="&amp;$C$7,BD!$A$3:$A$5001,"&lt;="&amp;$B227,BD!$W$3:$W$5001,"&lt;&gt;"))))</f>
        <v/>
      </c>
      <c r="Q227" s="43" t="str">
        <f>IF(OR($B227="",$A227&gt;$B$9,Q$206=""),"",IF(COUNTIFS(BD!$B$3:$B$5001,Q$206,BD!$A$3:$A$5001,"&gt;="&amp;$C$7,BD!$A$3:$A$5001,"&lt;="&amp;$B227,BD!$W$3:$W$5001,"&lt;&gt;")=0,"",SUMIFS(BD!$W$3:$W$5001,BD!$B$3:$B$5001,Q$206,BD!$A$3:$A$5001,_xlfn.MAXIFS(BD!$A$3:$A$5001,BD!$B$3:$B$5001,Q$206,BD!$A$3:$A$5001,"&gt;="&amp;$C$7,BD!$A$3:$A$5001,"&lt;="&amp;$B227,BD!$W$3:$W$5001,"&lt;&gt;"))))</f>
        <v/>
      </c>
      <c r="R227" s="43" t="str">
        <f>IF(OR($B227="",$A227&gt;$B$9,R$206=""),"",IF(COUNTIFS(BD!$B$3:$B$5001,R$206,BD!$A$3:$A$5001,"&gt;="&amp;$C$7,BD!$A$3:$A$5001,"&lt;="&amp;$B227,BD!$W$3:$W$5001,"&lt;&gt;")=0,"",SUMIFS(BD!$W$3:$W$5001,BD!$B$3:$B$5001,R$206,BD!$A$3:$A$5001,_xlfn.MAXIFS(BD!$A$3:$A$5001,BD!$B$3:$B$5001,R$206,BD!$A$3:$A$5001,"&gt;="&amp;$C$7,BD!$A$3:$A$5001,"&lt;="&amp;$B227,BD!$W$3:$W$5001,"&lt;&gt;"))))</f>
        <v/>
      </c>
      <c r="S227" s="43" t="str">
        <f>IF(OR($B227="",$A227&gt;$B$9,S$206=""),"",IF(COUNTIFS(BD!$B$3:$B$5001,S$206,BD!$A$3:$A$5001,"&gt;="&amp;$C$7,BD!$A$3:$A$5001,"&lt;="&amp;$B227,BD!$W$3:$W$5001,"&lt;&gt;")=0,"",SUMIFS(BD!$W$3:$W$5001,BD!$B$3:$B$5001,S$206,BD!$A$3:$A$5001,_xlfn.MAXIFS(BD!$A$3:$A$5001,BD!$B$3:$B$5001,S$206,BD!$A$3:$A$5001,"&gt;="&amp;$C$7,BD!$A$3:$A$5001,"&lt;="&amp;$B227,BD!$W$3:$W$5001,"&lt;&gt;"))))</f>
        <v/>
      </c>
      <c r="T227" s="43" t="str">
        <f>IF(OR($B227="",$A227&gt;$B$9,T$206=""),"",IF(COUNTIFS(BD!$B$3:$B$5001,T$206,BD!$A$3:$A$5001,"&gt;="&amp;$C$7,BD!$A$3:$A$5001,"&lt;="&amp;$B227,BD!$W$3:$W$5001,"&lt;&gt;")=0,"",SUMIFS(BD!$W$3:$W$5001,BD!$B$3:$B$5001,T$206,BD!$A$3:$A$5001,_xlfn.MAXIFS(BD!$A$3:$A$5001,BD!$B$3:$B$5001,T$206,BD!$A$3:$A$5001,"&gt;="&amp;$C$7,BD!$A$3:$A$5001,"&lt;="&amp;$B227,BD!$W$3:$W$5001,"&lt;&gt;"))))</f>
        <v/>
      </c>
      <c r="U227" s="43" t="str">
        <f>IF(OR($B227="",$A227&gt;$B$9,U$206=""),"",IF(COUNTIFS(BD!$B$3:$B$5001,U$206,BD!$A$3:$A$5001,"&gt;="&amp;$C$7,BD!$A$3:$A$5001,"&lt;="&amp;$B227,BD!$W$3:$W$5001,"&lt;&gt;")=0,"",SUMIFS(BD!$W$3:$W$5001,BD!$B$3:$B$5001,U$206,BD!$A$3:$A$5001,_xlfn.MAXIFS(BD!$A$3:$A$5001,BD!$B$3:$B$5001,U$206,BD!$A$3:$A$5001,"&gt;="&amp;$C$7,BD!$A$3:$A$5001,"&lt;="&amp;$B227,BD!$W$3:$W$5001,"&lt;&gt;"))))</f>
        <v/>
      </c>
      <c r="V227" s="43" t="str">
        <f>IF(OR($B227="",$A227&gt;$B$9,V$206=""),"",IF(COUNTIFS(BD!$B$3:$B$5001,V$206,BD!$A$3:$A$5001,"&gt;="&amp;$C$7,BD!$A$3:$A$5001,"&lt;="&amp;$B227,BD!$W$3:$W$5001,"&lt;&gt;")=0,"",SUMIFS(BD!$W$3:$W$5001,BD!$B$3:$B$5001,V$206,BD!$A$3:$A$5001,_xlfn.MAXIFS(BD!$A$3:$A$5001,BD!$B$3:$B$5001,V$206,BD!$A$3:$A$5001,"&gt;="&amp;$C$7,BD!$A$3:$A$5001,"&lt;="&amp;$B227,BD!$W$3:$W$5001,"&lt;&gt;"))))</f>
        <v/>
      </c>
    </row>
    <row r="228">
      <c r="A228" s="38">
        <v>22</v>
      </c>
      <c r="B228" s="42">
        <f>$B$33</f>
        <v>46317</v>
      </c>
      <c r="C228" s="43" t="str">
        <f>IF(OR($B228="",$A228&gt;$B$9,C$206=""),"",IF(COUNTIFS(BD!$B$3:$B$5001,C$206,BD!$A$3:$A$5001,"&gt;="&amp;$C$7,BD!$A$3:$A$5001,"&lt;="&amp;$B228,BD!$W$3:$W$5001,"&lt;&gt;")=0,"",SUMIFS(BD!$W$3:$W$5001,BD!$B$3:$B$5001,C$206,BD!$A$3:$A$5001,_xlfn.MAXIFS(BD!$A$3:$A$5001,BD!$B$3:$B$5001,C$206,BD!$A$3:$A$5001,"&gt;="&amp;$C$7,BD!$A$3:$A$5001,"&lt;="&amp;$B228,BD!$W$3:$W$5001,"&lt;&gt;"))))</f>
        <v/>
      </c>
      <c r="D228" s="43" t="str">
        <f>IF(OR($B228="",$A228&gt;$B$9,D$206=""),"",IF(COUNTIFS(BD!$B$3:$B$5001,D$206,BD!$A$3:$A$5001,"&gt;="&amp;$C$7,BD!$A$3:$A$5001,"&lt;="&amp;$B228,BD!$W$3:$W$5001,"&lt;&gt;")=0,"",SUMIFS(BD!$W$3:$W$5001,BD!$B$3:$B$5001,D$206,BD!$A$3:$A$5001,_xlfn.MAXIFS(BD!$A$3:$A$5001,BD!$B$3:$B$5001,D$206,BD!$A$3:$A$5001,"&gt;="&amp;$C$7,BD!$A$3:$A$5001,"&lt;="&amp;$B228,BD!$W$3:$W$5001,"&lt;&gt;"))))</f>
        <v/>
      </c>
      <c r="E228" s="43" t="str">
        <f>IF(OR($B228="",$A228&gt;$B$9,E$206=""),"",IF(COUNTIFS(BD!$B$3:$B$5001,E$206,BD!$A$3:$A$5001,"&gt;="&amp;$C$7,BD!$A$3:$A$5001,"&lt;="&amp;$B228,BD!$W$3:$W$5001,"&lt;&gt;")=0,"",SUMIFS(BD!$W$3:$W$5001,BD!$B$3:$B$5001,E$206,BD!$A$3:$A$5001,_xlfn.MAXIFS(BD!$A$3:$A$5001,BD!$B$3:$B$5001,E$206,BD!$A$3:$A$5001,"&gt;="&amp;$C$7,BD!$A$3:$A$5001,"&lt;="&amp;$B228,BD!$W$3:$W$5001,"&lt;&gt;"))))</f>
        <v/>
      </c>
      <c r="F228" s="43" t="str">
        <f>IF(OR($B228="",$A228&gt;$B$9,F$206=""),"",IF(COUNTIFS(BD!$B$3:$B$5001,F$206,BD!$A$3:$A$5001,"&gt;="&amp;$C$7,BD!$A$3:$A$5001,"&lt;="&amp;$B228,BD!$W$3:$W$5001,"&lt;&gt;")=0,"",SUMIFS(BD!$W$3:$W$5001,BD!$B$3:$B$5001,F$206,BD!$A$3:$A$5001,_xlfn.MAXIFS(BD!$A$3:$A$5001,BD!$B$3:$B$5001,F$206,BD!$A$3:$A$5001,"&gt;="&amp;$C$7,BD!$A$3:$A$5001,"&lt;="&amp;$B228,BD!$W$3:$W$5001,"&lt;&gt;"))))</f>
        <v/>
      </c>
      <c r="G228" s="43" t="str">
        <f>IF(OR($B228="",$A228&gt;$B$9,G$206=""),"",IF(COUNTIFS(BD!$B$3:$B$5001,G$206,BD!$A$3:$A$5001,"&gt;="&amp;$C$7,BD!$A$3:$A$5001,"&lt;="&amp;$B228,BD!$W$3:$W$5001,"&lt;&gt;")=0,"",SUMIFS(BD!$W$3:$W$5001,BD!$B$3:$B$5001,G$206,BD!$A$3:$A$5001,_xlfn.MAXIFS(BD!$A$3:$A$5001,BD!$B$3:$B$5001,G$206,BD!$A$3:$A$5001,"&gt;="&amp;$C$7,BD!$A$3:$A$5001,"&lt;="&amp;$B228,BD!$W$3:$W$5001,"&lt;&gt;"))))</f>
        <v/>
      </c>
      <c r="H228" s="43" t="str">
        <f>IF(OR($B228="",$A228&gt;$B$9,H$206=""),"",IF(COUNTIFS(BD!$B$3:$B$5001,H$206,BD!$A$3:$A$5001,"&gt;="&amp;$C$7,BD!$A$3:$A$5001,"&lt;="&amp;$B228,BD!$W$3:$W$5001,"&lt;&gt;")=0,"",SUMIFS(BD!$W$3:$W$5001,BD!$B$3:$B$5001,H$206,BD!$A$3:$A$5001,_xlfn.MAXIFS(BD!$A$3:$A$5001,BD!$B$3:$B$5001,H$206,BD!$A$3:$A$5001,"&gt;="&amp;$C$7,BD!$A$3:$A$5001,"&lt;="&amp;$B228,BD!$W$3:$W$5001,"&lt;&gt;"))))</f>
        <v/>
      </c>
      <c r="I228" s="43" t="str">
        <f>IF(OR($B228="",$A228&gt;$B$9,I$206=""),"",IF(COUNTIFS(BD!$B$3:$B$5001,I$206,BD!$A$3:$A$5001,"&gt;="&amp;$C$7,BD!$A$3:$A$5001,"&lt;="&amp;$B228,BD!$W$3:$W$5001,"&lt;&gt;")=0,"",SUMIFS(BD!$W$3:$W$5001,BD!$B$3:$B$5001,I$206,BD!$A$3:$A$5001,_xlfn.MAXIFS(BD!$A$3:$A$5001,BD!$B$3:$B$5001,I$206,BD!$A$3:$A$5001,"&gt;="&amp;$C$7,BD!$A$3:$A$5001,"&lt;="&amp;$B228,BD!$W$3:$W$5001,"&lt;&gt;"))))</f>
        <v/>
      </c>
      <c r="J228" s="43" t="str">
        <f>IF(OR($B228="",$A228&gt;$B$9,J$206=""),"",IF(COUNTIFS(BD!$B$3:$B$5001,J$206,BD!$A$3:$A$5001,"&gt;="&amp;$C$7,BD!$A$3:$A$5001,"&lt;="&amp;$B228,BD!$W$3:$W$5001,"&lt;&gt;")=0,"",SUMIFS(BD!$W$3:$W$5001,BD!$B$3:$B$5001,J$206,BD!$A$3:$A$5001,_xlfn.MAXIFS(BD!$A$3:$A$5001,BD!$B$3:$B$5001,J$206,BD!$A$3:$A$5001,"&gt;="&amp;$C$7,BD!$A$3:$A$5001,"&lt;="&amp;$B228,BD!$W$3:$W$5001,"&lt;&gt;"))))</f>
        <v/>
      </c>
      <c r="K228" s="43" t="str">
        <f>IF(OR($B228="",$A228&gt;$B$9,K$206=""),"",IF(COUNTIFS(BD!$B$3:$B$5001,K$206,BD!$A$3:$A$5001,"&gt;="&amp;$C$7,BD!$A$3:$A$5001,"&lt;="&amp;$B228,BD!$W$3:$W$5001,"&lt;&gt;")=0,"",SUMIFS(BD!$W$3:$W$5001,BD!$B$3:$B$5001,K$206,BD!$A$3:$A$5001,_xlfn.MAXIFS(BD!$A$3:$A$5001,BD!$B$3:$B$5001,K$206,BD!$A$3:$A$5001,"&gt;="&amp;$C$7,BD!$A$3:$A$5001,"&lt;="&amp;$B228,BD!$W$3:$W$5001,"&lt;&gt;"))))</f>
        <v/>
      </c>
      <c r="L228" s="43" t="str">
        <f>IF(OR($B228="",$A228&gt;$B$9,L$206=""),"",IF(COUNTIFS(BD!$B$3:$B$5001,L$206,BD!$A$3:$A$5001,"&gt;="&amp;$C$7,BD!$A$3:$A$5001,"&lt;="&amp;$B228,BD!$W$3:$W$5001,"&lt;&gt;")=0,"",SUMIFS(BD!$W$3:$W$5001,BD!$B$3:$B$5001,L$206,BD!$A$3:$A$5001,_xlfn.MAXIFS(BD!$A$3:$A$5001,BD!$B$3:$B$5001,L$206,BD!$A$3:$A$5001,"&gt;="&amp;$C$7,BD!$A$3:$A$5001,"&lt;="&amp;$B228,BD!$W$3:$W$5001,"&lt;&gt;"))))</f>
        <v/>
      </c>
      <c r="M228" s="43" t="str">
        <f>IF(OR($B228="",$A228&gt;$B$9,M$206=""),"",IF(COUNTIFS(BD!$B$3:$B$5001,M$206,BD!$A$3:$A$5001,"&gt;="&amp;$C$7,BD!$A$3:$A$5001,"&lt;="&amp;$B228,BD!$W$3:$W$5001,"&lt;&gt;")=0,"",SUMIFS(BD!$W$3:$W$5001,BD!$B$3:$B$5001,M$206,BD!$A$3:$A$5001,_xlfn.MAXIFS(BD!$A$3:$A$5001,BD!$B$3:$B$5001,M$206,BD!$A$3:$A$5001,"&gt;="&amp;$C$7,BD!$A$3:$A$5001,"&lt;="&amp;$B228,BD!$W$3:$W$5001,"&lt;&gt;"))))</f>
        <v/>
      </c>
      <c r="N228" s="43" t="str">
        <f>IF(OR($B228="",$A228&gt;$B$9,N$206=""),"",IF(COUNTIFS(BD!$B$3:$B$5001,N$206,BD!$A$3:$A$5001,"&gt;="&amp;$C$7,BD!$A$3:$A$5001,"&lt;="&amp;$B228,BD!$W$3:$W$5001,"&lt;&gt;")=0,"",SUMIFS(BD!$W$3:$W$5001,BD!$B$3:$B$5001,N$206,BD!$A$3:$A$5001,_xlfn.MAXIFS(BD!$A$3:$A$5001,BD!$B$3:$B$5001,N$206,BD!$A$3:$A$5001,"&gt;="&amp;$C$7,BD!$A$3:$A$5001,"&lt;="&amp;$B228,BD!$W$3:$W$5001,"&lt;&gt;"))))</f>
        <v/>
      </c>
      <c r="O228" s="43" t="str">
        <f>IF(OR($B228="",$A228&gt;$B$9,O$206=""),"",IF(COUNTIFS(BD!$B$3:$B$5001,O$206,BD!$A$3:$A$5001,"&gt;="&amp;$C$7,BD!$A$3:$A$5001,"&lt;="&amp;$B228,BD!$W$3:$W$5001,"&lt;&gt;")=0,"",SUMIFS(BD!$W$3:$W$5001,BD!$B$3:$B$5001,O$206,BD!$A$3:$A$5001,_xlfn.MAXIFS(BD!$A$3:$A$5001,BD!$B$3:$B$5001,O$206,BD!$A$3:$A$5001,"&gt;="&amp;$C$7,BD!$A$3:$A$5001,"&lt;="&amp;$B228,BD!$W$3:$W$5001,"&lt;&gt;"))))</f>
        <v/>
      </c>
      <c r="P228" s="43" t="str">
        <f>IF(OR($B228="",$A228&gt;$B$9,P$206=""),"",IF(COUNTIFS(BD!$B$3:$B$5001,P$206,BD!$A$3:$A$5001,"&gt;="&amp;$C$7,BD!$A$3:$A$5001,"&lt;="&amp;$B228,BD!$W$3:$W$5001,"&lt;&gt;")=0,"",SUMIFS(BD!$W$3:$W$5001,BD!$B$3:$B$5001,P$206,BD!$A$3:$A$5001,_xlfn.MAXIFS(BD!$A$3:$A$5001,BD!$B$3:$B$5001,P$206,BD!$A$3:$A$5001,"&gt;="&amp;$C$7,BD!$A$3:$A$5001,"&lt;="&amp;$B228,BD!$W$3:$W$5001,"&lt;&gt;"))))</f>
        <v/>
      </c>
      <c r="Q228" s="43" t="str">
        <f>IF(OR($B228="",$A228&gt;$B$9,Q$206=""),"",IF(COUNTIFS(BD!$B$3:$B$5001,Q$206,BD!$A$3:$A$5001,"&gt;="&amp;$C$7,BD!$A$3:$A$5001,"&lt;="&amp;$B228,BD!$W$3:$W$5001,"&lt;&gt;")=0,"",SUMIFS(BD!$W$3:$W$5001,BD!$B$3:$B$5001,Q$206,BD!$A$3:$A$5001,_xlfn.MAXIFS(BD!$A$3:$A$5001,BD!$B$3:$B$5001,Q$206,BD!$A$3:$A$5001,"&gt;="&amp;$C$7,BD!$A$3:$A$5001,"&lt;="&amp;$B228,BD!$W$3:$W$5001,"&lt;&gt;"))))</f>
        <v/>
      </c>
      <c r="R228" s="43" t="str">
        <f>IF(OR($B228="",$A228&gt;$B$9,R$206=""),"",IF(COUNTIFS(BD!$B$3:$B$5001,R$206,BD!$A$3:$A$5001,"&gt;="&amp;$C$7,BD!$A$3:$A$5001,"&lt;="&amp;$B228,BD!$W$3:$W$5001,"&lt;&gt;")=0,"",SUMIFS(BD!$W$3:$W$5001,BD!$B$3:$B$5001,R$206,BD!$A$3:$A$5001,_xlfn.MAXIFS(BD!$A$3:$A$5001,BD!$B$3:$B$5001,R$206,BD!$A$3:$A$5001,"&gt;="&amp;$C$7,BD!$A$3:$A$5001,"&lt;="&amp;$B228,BD!$W$3:$W$5001,"&lt;&gt;"))))</f>
        <v/>
      </c>
      <c r="S228" s="43" t="str">
        <f>IF(OR($B228="",$A228&gt;$B$9,S$206=""),"",IF(COUNTIFS(BD!$B$3:$B$5001,S$206,BD!$A$3:$A$5001,"&gt;="&amp;$C$7,BD!$A$3:$A$5001,"&lt;="&amp;$B228,BD!$W$3:$W$5001,"&lt;&gt;")=0,"",SUMIFS(BD!$W$3:$W$5001,BD!$B$3:$B$5001,S$206,BD!$A$3:$A$5001,_xlfn.MAXIFS(BD!$A$3:$A$5001,BD!$B$3:$B$5001,S$206,BD!$A$3:$A$5001,"&gt;="&amp;$C$7,BD!$A$3:$A$5001,"&lt;="&amp;$B228,BD!$W$3:$W$5001,"&lt;&gt;"))))</f>
        <v/>
      </c>
      <c r="T228" s="43" t="str">
        <f>IF(OR($B228="",$A228&gt;$B$9,T$206=""),"",IF(COUNTIFS(BD!$B$3:$B$5001,T$206,BD!$A$3:$A$5001,"&gt;="&amp;$C$7,BD!$A$3:$A$5001,"&lt;="&amp;$B228,BD!$W$3:$W$5001,"&lt;&gt;")=0,"",SUMIFS(BD!$W$3:$W$5001,BD!$B$3:$B$5001,T$206,BD!$A$3:$A$5001,_xlfn.MAXIFS(BD!$A$3:$A$5001,BD!$B$3:$B$5001,T$206,BD!$A$3:$A$5001,"&gt;="&amp;$C$7,BD!$A$3:$A$5001,"&lt;="&amp;$B228,BD!$W$3:$W$5001,"&lt;&gt;"))))</f>
        <v/>
      </c>
      <c r="U228" s="43" t="str">
        <f>IF(OR($B228="",$A228&gt;$B$9,U$206=""),"",IF(COUNTIFS(BD!$B$3:$B$5001,U$206,BD!$A$3:$A$5001,"&gt;="&amp;$C$7,BD!$A$3:$A$5001,"&lt;="&amp;$B228,BD!$W$3:$W$5001,"&lt;&gt;")=0,"",SUMIFS(BD!$W$3:$W$5001,BD!$B$3:$B$5001,U$206,BD!$A$3:$A$5001,_xlfn.MAXIFS(BD!$A$3:$A$5001,BD!$B$3:$B$5001,U$206,BD!$A$3:$A$5001,"&gt;="&amp;$C$7,BD!$A$3:$A$5001,"&lt;="&amp;$B228,BD!$W$3:$W$5001,"&lt;&gt;"))))</f>
        <v/>
      </c>
      <c r="V228" s="43" t="str">
        <f>IF(OR($B228="",$A228&gt;$B$9,V$206=""),"",IF(COUNTIFS(BD!$B$3:$B$5001,V$206,BD!$A$3:$A$5001,"&gt;="&amp;$C$7,BD!$A$3:$A$5001,"&lt;="&amp;$B228,BD!$W$3:$W$5001,"&lt;&gt;")=0,"",SUMIFS(BD!$W$3:$W$5001,BD!$B$3:$B$5001,V$206,BD!$A$3:$A$5001,_xlfn.MAXIFS(BD!$A$3:$A$5001,BD!$B$3:$B$5001,V$206,BD!$A$3:$A$5001,"&gt;="&amp;$C$7,BD!$A$3:$A$5001,"&lt;="&amp;$B228,BD!$W$3:$W$5001,"&lt;&gt;"))))</f>
        <v/>
      </c>
    </row>
    <row r="229">
      <c r="A229" s="38">
        <v>23</v>
      </c>
      <c r="B229" s="42">
        <f>$B$34</f>
        <v>46318</v>
      </c>
      <c r="C229" s="43" t="str">
        <f>IF(OR($B229="",$A229&gt;$B$9,C$206=""),"",IF(COUNTIFS(BD!$B$3:$B$5001,C$206,BD!$A$3:$A$5001,"&gt;="&amp;$C$7,BD!$A$3:$A$5001,"&lt;="&amp;$B229,BD!$W$3:$W$5001,"&lt;&gt;")=0,"",SUMIFS(BD!$W$3:$W$5001,BD!$B$3:$B$5001,C$206,BD!$A$3:$A$5001,_xlfn.MAXIFS(BD!$A$3:$A$5001,BD!$B$3:$B$5001,C$206,BD!$A$3:$A$5001,"&gt;="&amp;$C$7,BD!$A$3:$A$5001,"&lt;="&amp;$B229,BD!$W$3:$W$5001,"&lt;&gt;"))))</f>
        <v/>
      </c>
      <c r="D229" s="43" t="str">
        <f>IF(OR($B229="",$A229&gt;$B$9,D$206=""),"",IF(COUNTIFS(BD!$B$3:$B$5001,D$206,BD!$A$3:$A$5001,"&gt;="&amp;$C$7,BD!$A$3:$A$5001,"&lt;="&amp;$B229,BD!$W$3:$W$5001,"&lt;&gt;")=0,"",SUMIFS(BD!$W$3:$W$5001,BD!$B$3:$B$5001,D$206,BD!$A$3:$A$5001,_xlfn.MAXIFS(BD!$A$3:$A$5001,BD!$B$3:$B$5001,D$206,BD!$A$3:$A$5001,"&gt;="&amp;$C$7,BD!$A$3:$A$5001,"&lt;="&amp;$B229,BD!$W$3:$W$5001,"&lt;&gt;"))))</f>
        <v/>
      </c>
      <c r="E229" s="43" t="str">
        <f>IF(OR($B229="",$A229&gt;$B$9,E$206=""),"",IF(COUNTIFS(BD!$B$3:$B$5001,E$206,BD!$A$3:$A$5001,"&gt;="&amp;$C$7,BD!$A$3:$A$5001,"&lt;="&amp;$B229,BD!$W$3:$W$5001,"&lt;&gt;")=0,"",SUMIFS(BD!$W$3:$W$5001,BD!$B$3:$B$5001,E$206,BD!$A$3:$A$5001,_xlfn.MAXIFS(BD!$A$3:$A$5001,BD!$B$3:$B$5001,E$206,BD!$A$3:$A$5001,"&gt;="&amp;$C$7,BD!$A$3:$A$5001,"&lt;="&amp;$B229,BD!$W$3:$W$5001,"&lt;&gt;"))))</f>
        <v/>
      </c>
      <c r="F229" s="43" t="str">
        <f>IF(OR($B229="",$A229&gt;$B$9,F$206=""),"",IF(COUNTIFS(BD!$B$3:$B$5001,F$206,BD!$A$3:$A$5001,"&gt;="&amp;$C$7,BD!$A$3:$A$5001,"&lt;="&amp;$B229,BD!$W$3:$W$5001,"&lt;&gt;")=0,"",SUMIFS(BD!$W$3:$W$5001,BD!$B$3:$B$5001,F$206,BD!$A$3:$A$5001,_xlfn.MAXIFS(BD!$A$3:$A$5001,BD!$B$3:$B$5001,F$206,BD!$A$3:$A$5001,"&gt;="&amp;$C$7,BD!$A$3:$A$5001,"&lt;="&amp;$B229,BD!$W$3:$W$5001,"&lt;&gt;"))))</f>
        <v/>
      </c>
      <c r="G229" s="43" t="str">
        <f>IF(OR($B229="",$A229&gt;$B$9,G$206=""),"",IF(COUNTIFS(BD!$B$3:$B$5001,G$206,BD!$A$3:$A$5001,"&gt;="&amp;$C$7,BD!$A$3:$A$5001,"&lt;="&amp;$B229,BD!$W$3:$W$5001,"&lt;&gt;")=0,"",SUMIFS(BD!$W$3:$W$5001,BD!$B$3:$B$5001,G$206,BD!$A$3:$A$5001,_xlfn.MAXIFS(BD!$A$3:$A$5001,BD!$B$3:$B$5001,G$206,BD!$A$3:$A$5001,"&gt;="&amp;$C$7,BD!$A$3:$A$5001,"&lt;="&amp;$B229,BD!$W$3:$W$5001,"&lt;&gt;"))))</f>
        <v/>
      </c>
      <c r="H229" s="43" t="str">
        <f>IF(OR($B229="",$A229&gt;$B$9,H$206=""),"",IF(COUNTIFS(BD!$B$3:$B$5001,H$206,BD!$A$3:$A$5001,"&gt;="&amp;$C$7,BD!$A$3:$A$5001,"&lt;="&amp;$B229,BD!$W$3:$W$5001,"&lt;&gt;")=0,"",SUMIFS(BD!$W$3:$W$5001,BD!$B$3:$B$5001,H$206,BD!$A$3:$A$5001,_xlfn.MAXIFS(BD!$A$3:$A$5001,BD!$B$3:$B$5001,H$206,BD!$A$3:$A$5001,"&gt;="&amp;$C$7,BD!$A$3:$A$5001,"&lt;="&amp;$B229,BD!$W$3:$W$5001,"&lt;&gt;"))))</f>
        <v/>
      </c>
      <c r="I229" s="43" t="str">
        <f>IF(OR($B229="",$A229&gt;$B$9,I$206=""),"",IF(COUNTIFS(BD!$B$3:$B$5001,I$206,BD!$A$3:$A$5001,"&gt;="&amp;$C$7,BD!$A$3:$A$5001,"&lt;="&amp;$B229,BD!$W$3:$W$5001,"&lt;&gt;")=0,"",SUMIFS(BD!$W$3:$W$5001,BD!$B$3:$B$5001,I$206,BD!$A$3:$A$5001,_xlfn.MAXIFS(BD!$A$3:$A$5001,BD!$B$3:$B$5001,I$206,BD!$A$3:$A$5001,"&gt;="&amp;$C$7,BD!$A$3:$A$5001,"&lt;="&amp;$B229,BD!$W$3:$W$5001,"&lt;&gt;"))))</f>
        <v/>
      </c>
      <c r="J229" s="43" t="str">
        <f>IF(OR($B229="",$A229&gt;$B$9,J$206=""),"",IF(COUNTIFS(BD!$B$3:$B$5001,J$206,BD!$A$3:$A$5001,"&gt;="&amp;$C$7,BD!$A$3:$A$5001,"&lt;="&amp;$B229,BD!$W$3:$W$5001,"&lt;&gt;")=0,"",SUMIFS(BD!$W$3:$W$5001,BD!$B$3:$B$5001,J$206,BD!$A$3:$A$5001,_xlfn.MAXIFS(BD!$A$3:$A$5001,BD!$B$3:$B$5001,J$206,BD!$A$3:$A$5001,"&gt;="&amp;$C$7,BD!$A$3:$A$5001,"&lt;="&amp;$B229,BD!$W$3:$W$5001,"&lt;&gt;"))))</f>
        <v/>
      </c>
      <c r="K229" s="43" t="str">
        <f>IF(OR($B229="",$A229&gt;$B$9,K$206=""),"",IF(COUNTIFS(BD!$B$3:$B$5001,K$206,BD!$A$3:$A$5001,"&gt;="&amp;$C$7,BD!$A$3:$A$5001,"&lt;="&amp;$B229,BD!$W$3:$W$5001,"&lt;&gt;")=0,"",SUMIFS(BD!$W$3:$W$5001,BD!$B$3:$B$5001,K$206,BD!$A$3:$A$5001,_xlfn.MAXIFS(BD!$A$3:$A$5001,BD!$B$3:$B$5001,K$206,BD!$A$3:$A$5001,"&gt;="&amp;$C$7,BD!$A$3:$A$5001,"&lt;="&amp;$B229,BD!$W$3:$W$5001,"&lt;&gt;"))))</f>
        <v/>
      </c>
      <c r="L229" s="43" t="str">
        <f>IF(OR($B229="",$A229&gt;$B$9,L$206=""),"",IF(COUNTIFS(BD!$B$3:$B$5001,L$206,BD!$A$3:$A$5001,"&gt;="&amp;$C$7,BD!$A$3:$A$5001,"&lt;="&amp;$B229,BD!$W$3:$W$5001,"&lt;&gt;")=0,"",SUMIFS(BD!$W$3:$W$5001,BD!$B$3:$B$5001,L$206,BD!$A$3:$A$5001,_xlfn.MAXIFS(BD!$A$3:$A$5001,BD!$B$3:$B$5001,L$206,BD!$A$3:$A$5001,"&gt;="&amp;$C$7,BD!$A$3:$A$5001,"&lt;="&amp;$B229,BD!$W$3:$W$5001,"&lt;&gt;"))))</f>
        <v/>
      </c>
      <c r="M229" s="43" t="str">
        <f>IF(OR($B229="",$A229&gt;$B$9,M$206=""),"",IF(COUNTIFS(BD!$B$3:$B$5001,M$206,BD!$A$3:$A$5001,"&gt;="&amp;$C$7,BD!$A$3:$A$5001,"&lt;="&amp;$B229,BD!$W$3:$W$5001,"&lt;&gt;")=0,"",SUMIFS(BD!$W$3:$W$5001,BD!$B$3:$B$5001,M$206,BD!$A$3:$A$5001,_xlfn.MAXIFS(BD!$A$3:$A$5001,BD!$B$3:$B$5001,M$206,BD!$A$3:$A$5001,"&gt;="&amp;$C$7,BD!$A$3:$A$5001,"&lt;="&amp;$B229,BD!$W$3:$W$5001,"&lt;&gt;"))))</f>
        <v/>
      </c>
      <c r="N229" s="43" t="str">
        <f>IF(OR($B229="",$A229&gt;$B$9,N$206=""),"",IF(COUNTIFS(BD!$B$3:$B$5001,N$206,BD!$A$3:$A$5001,"&gt;="&amp;$C$7,BD!$A$3:$A$5001,"&lt;="&amp;$B229,BD!$W$3:$W$5001,"&lt;&gt;")=0,"",SUMIFS(BD!$W$3:$W$5001,BD!$B$3:$B$5001,N$206,BD!$A$3:$A$5001,_xlfn.MAXIFS(BD!$A$3:$A$5001,BD!$B$3:$B$5001,N$206,BD!$A$3:$A$5001,"&gt;="&amp;$C$7,BD!$A$3:$A$5001,"&lt;="&amp;$B229,BD!$W$3:$W$5001,"&lt;&gt;"))))</f>
        <v/>
      </c>
      <c r="O229" s="43" t="str">
        <f>IF(OR($B229="",$A229&gt;$B$9,O$206=""),"",IF(COUNTIFS(BD!$B$3:$B$5001,O$206,BD!$A$3:$A$5001,"&gt;="&amp;$C$7,BD!$A$3:$A$5001,"&lt;="&amp;$B229,BD!$W$3:$W$5001,"&lt;&gt;")=0,"",SUMIFS(BD!$W$3:$W$5001,BD!$B$3:$B$5001,O$206,BD!$A$3:$A$5001,_xlfn.MAXIFS(BD!$A$3:$A$5001,BD!$B$3:$B$5001,O$206,BD!$A$3:$A$5001,"&gt;="&amp;$C$7,BD!$A$3:$A$5001,"&lt;="&amp;$B229,BD!$W$3:$W$5001,"&lt;&gt;"))))</f>
        <v/>
      </c>
      <c r="P229" s="43" t="str">
        <f>IF(OR($B229="",$A229&gt;$B$9,P$206=""),"",IF(COUNTIFS(BD!$B$3:$B$5001,P$206,BD!$A$3:$A$5001,"&gt;="&amp;$C$7,BD!$A$3:$A$5001,"&lt;="&amp;$B229,BD!$W$3:$W$5001,"&lt;&gt;")=0,"",SUMIFS(BD!$W$3:$W$5001,BD!$B$3:$B$5001,P$206,BD!$A$3:$A$5001,_xlfn.MAXIFS(BD!$A$3:$A$5001,BD!$B$3:$B$5001,P$206,BD!$A$3:$A$5001,"&gt;="&amp;$C$7,BD!$A$3:$A$5001,"&lt;="&amp;$B229,BD!$W$3:$W$5001,"&lt;&gt;"))))</f>
        <v/>
      </c>
      <c r="Q229" s="43" t="str">
        <f>IF(OR($B229="",$A229&gt;$B$9,Q$206=""),"",IF(COUNTIFS(BD!$B$3:$B$5001,Q$206,BD!$A$3:$A$5001,"&gt;="&amp;$C$7,BD!$A$3:$A$5001,"&lt;="&amp;$B229,BD!$W$3:$W$5001,"&lt;&gt;")=0,"",SUMIFS(BD!$W$3:$W$5001,BD!$B$3:$B$5001,Q$206,BD!$A$3:$A$5001,_xlfn.MAXIFS(BD!$A$3:$A$5001,BD!$B$3:$B$5001,Q$206,BD!$A$3:$A$5001,"&gt;="&amp;$C$7,BD!$A$3:$A$5001,"&lt;="&amp;$B229,BD!$W$3:$W$5001,"&lt;&gt;"))))</f>
        <v/>
      </c>
      <c r="R229" s="43" t="str">
        <f>IF(OR($B229="",$A229&gt;$B$9,R$206=""),"",IF(COUNTIFS(BD!$B$3:$B$5001,R$206,BD!$A$3:$A$5001,"&gt;="&amp;$C$7,BD!$A$3:$A$5001,"&lt;="&amp;$B229,BD!$W$3:$W$5001,"&lt;&gt;")=0,"",SUMIFS(BD!$W$3:$W$5001,BD!$B$3:$B$5001,R$206,BD!$A$3:$A$5001,_xlfn.MAXIFS(BD!$A$3:$A$5001,BD!$B$3:$B$5001,R$206,BD!$A$3:$A$5001,"&gt;="&amp;$C$7,BD!$A$3:$A$5001,"&lt;="&amp;$B229,BD!$W$3:$W$5001,"&lt;&gt;"))))</f>
        <v/>
      </c>
      <c r="S229" s="43" t="str">
        <f>IF(OR($B229="",$A229&gt;$B$9,S$206=""),"",IF(COUNTIFS(BD!$B$3:$B$5001,S$206,BD!$A$3:$A$5001,"&gt;="&amp;$C$7,BD!$A$3:$A$5001,"&lt;="&amp;$B229,BD!$W$3:$W$5001,"&lt;&gt;")=0,"",SUMIFS(BD!$W$3:$W$5001,BD!$B$3:$B$5001,S$206,BD!$A$3:$A$5001,_xlfn.MAXIFS(BD!$A$3:$A$5001,BD!$B$3:$B$5001,S$206,BD!$A$3:$A$5001,"&gt;="&amp;$C$7,BD!$A$3:$A$5001,"&lt;="&amp;$B229,BD!$W$3:$W$5001,"&lt;&gt;"))))</f>
        <v/>
      </c>
      <c r="T229" s="43" t="str">
        <f>IF(OR($B229="",$A229&gt;$B$9,T$206=""),"",IF(COUNTIFS(BD!$B$3:$B$5001,T$206,BD!$A$3:$A$5001,"&gt;="&amp;$C$7,BD!$A$3:$A$5001,"&lt;="&amp;$B229,BD!$W$3:$W$5001,"&lt;&gt;")=0,"",SUMIFS(BD!$W$3:$W$5001,BD!$B$3:$B$5001,T$206,BD!$A$3:$A$5001,_xlfn.MAXIFS(BD!$A$3:$A$5001,BD!$B$3:$B$5001,T$206,BD!$A$3:$A$5001,"&gt;="&amp;$C$7,BD!$A$3:$A$5001,"&lt;="&amp;$B229,BD!$W$3:$W$5001,"&lt;&gt;"))))</f>
        <v/>
      </c>
      <c r="U229" s="43" t="str">
        <f>IF(OR($B229="",$A229&gt;$B$9,U$206=""),"",IF(COUNTIFS(BD!$B$3:$B$5001,U$206,BD!$A$3:$A$5001,"&gt;="&amp;$C$7,BD!$A$3:$A$5001,"&lt;="&amp;$B229,BD!$W$3:$W$5001,"&lt;&gt;")=0,"",SUMIFS(BD!$W$3:$W$5001,BD!$B$3:$B$5001,U$206,BD!$A$3:$A$5001,_xlfn.MAXIFS(BD!$A$3:$A$5001,BD!$B$3:$B$5001,U$206,BD!$A$3:$A$5001,"&gt;="&amp;$C$7,BD!$A$3:$A$5001,"&lt;="&amp;$B229,BD!$W$3:$W$5001,"&lt;&gt;"))))</f>
        <v/>
      </c>
      <c r="V229" s="43" t="str">
        <f>IF(OR($B229="",$A229&gt;$B$9,V$206=""),"",IF(COUNTIFS(BD!$B$3:$B$5001,V$206,BD!$A$3:$A$5001,"&gt;="&amp;$C$7,BD!$A$3:$A$5001,"&lt;="&amp;$B229,BD!$W$3:$W$5001,"&lt;&gt;")=0,"",SUMIFS(BD!$W$3:$W$5001,BD!$B$3:$B$5001,V$206,BD!$A$3:$A$5001,_xlfn.MAXIFS(BD!$A$3:$A$5001,BD!$B$3:$B$5001,V$206,BD!$A$3:$A$5001,"&gt;="&amp;$C$7,BD!$A$3:$A$5001,"&lt;="&amp;$B229,BD!$W$3:$W$5001,"&lt;&gt;"))))</f>
        <v/>
      </c>
    </row>
    <row r="230">
      <c r="A230" s="38">
        <v>24</v>
      </c>
      <c r="B230" s="42">
        <f>$B$35</f>
        <v>46319</v>
      </c>
      <c r="C230" s="43" t="str">
        <f>IF(OR($B230="",$A230&gt;$B$9,C$206=""),"",IF(COUNTIFS(BD!$B$3:$B$5001,C$206,BD!$A$3:$A$5001,"&gt;="&amp;$C$7,BD!$A$3:$A$5001,"&lt;="&amp;$B230,BD!$W$3:$W$5001,"&lt;&gt;")=0,"",SUMIFS(BD!$W$3:$W$5001,BD!$B$3:$B$5001,C$206,BD!$A$3:$A$5001,_xlfn.MAXIFS(BD!$A$3:$A$5001,BD!$B$3:$B$5001,C$206,BD!$A$3:$A$5001,"&gt;="&amp;$C$7,BD!$A$3:$A$5001,"&lt;="&amp;$B230,BD!$W$3:$W$5001,"&lt;&gt;"))))</f>
        <v/>
      </c>
      <c r="D230" s="43" t="str">
        <f>IF(OR($B230="",$A230&gt;$B$9,D$206=""),"",IF(COUNTIFS(BD!$B$3:$B$5001,D$206,BD!$A$3:$A$5001,"&gt;="&amp;$C$7,BD!$A$3:$A$5001,"&lt;="&amp;$B230,BD!$W$3:$W$5001,"&lt;&gt;")=0,"",SUMIFS(BD!$W$3:$W$5001,BD!$B$3:$B$5001,D$206,BD!$A$3:$A$5001,_xlfn.MAXIFS(BD!$A$3:$A$5001,BD!$B$3:$B$5001,D$206,BD!$A$3:$A$5001,"&gt;="&amp;$C$7,BD!$A$3:$A$5001,"&lt;="&amp;$B230,BD!$W$3:$W$5001,"&lt;&gt;"))))</f>
        <v/>
      </c>
      <c r="E230" s="43" t="str">
        <f>IF(OR($B230="",$A230&gt;$B$9,E$206=""),"",IF(COUNTIFS(BD!$B$3:$B$5001,E$206,BD!$A$3:$A$5001,"&gt;="&amp;$C$7,BD!$A$3:$A$5001,"&lt;="&amp;$B230,BD!$W$3:$W$5001,"&lt;&gt;")=0,"",SUMIFS(BD!$W$3:$W$5001,BD!$B$3:$B$5001,E$206,BD!$A$3:$A$5001,_xlfn.MAXIFS(BD!$A$3:$A$5001,BD!$B$3:$B$5001,E$206,BD!$A$3:$A$5001,"&gt;="&amp;$C$7,BD!$A$3:$A$5001,"&lt;="&amp;$B230,BD!$W$3:$W$5001,"&lt;&gt;"))))</f>
        <v/>
      </c>
      <c r="F230" s="43" t="str">
        <f>IF(OR($B230="",$A230&gt;$B$9,F$206=""),"",IF(COUNTIFS(BD!$B$3:$B$5001,F$206,BD!$A$3:$A$5001,"&gt;="&amp;$C$7,BD!$A$3:$A$5001,"&lt;="&amp;$B230,BD!$W$3:$W$5001,"&lt;&gt;")=0,"",SUMIFS(BD!$W$3:$W$5001,BD!$B$3:$B$5001,F$206,BD!$A$3:$A$5001,_xlfn.MAXIFS(BD!$A$3:$A$5001,BD!$B$3:$B$5001,F$206,BD!$A$3:$A$5001,"&gt;="&amp;$C$7,BD!$A$3:$A$5001,"&lt;="&amp;$B230,BD!$W$3:$W$5001,"&lt;&gt;"))))</f>
        <v/>
      </c>
      <c r="G230" s="43" t="str">
        <f>IF(OR($B230="",$A230&gt;$B$9,G$206=""),"",IF(COUNTIFS(BD!$B$3:$B$5001,G$206,BD!$A$3:$A$5001,"&gt;="&amp;$C$7,BD!$A$3:$A$5001,"&lt;="&amp;$B230,BD!$W$3:$W$5001,"&lt;&gt;")=0,"",SUMIFS(BD!$W$3:$W$5001,BD!$B$3:$B$5001,G$206,BD!$A$3:$A$5001,_xlfn.MAXIFS(BD!$A$3:$A$5001,BD!$B$3:$B$5001,G$206,BD!$A$3:$A$5001,"&gt;="&amp;$C$7,BD!$A$3:$A$5001,"&lt;="&amp;$B230,BD!$W$3:$W$5001,"&lt;&gt;"))))</f>
        <v/>
      </c>
      <c r="H230" s="43" t="str">
        <f>IF(OR($B230="",$A230&gt;$B$9,H$206=""),"",IF(COUNTIFS(BD!$B$3:$B$5001,H$206,BD!$A$3:$A$5001,"&gt;="&amp;$C$7,BD!$A$3:$A$5001,"&lt;="&amp;$B230,BD!$W$3:$W$5001,"&lt;&gt;")=0,"",SUMIFS(BD!$W$3:$W$5001,BD!$B$3:$B$5001,H$206,BD!$A$3:$A$5001,_xlfn.MAXIFS(BD!$A$3:$A$5001,BD!$B$3:$B$5001,H$206,BD!$A$3:$A$5001,"&gt;="&amp;$C$7,BD!$A$3:$A$5001,"&lt;="&amp;$B230,BD!$W$3:$W$5001,"&lt;&gt;"))))</f>
        <v/>
      </c>
      <c r="I230" s="43" t="str">
        <f>IF(OR($B230="",$A230&gt;$B$9,I$206=""),"",IF(COUNTIFS(BD!$B$3:$B$5001,I$206,BD!$A$3:$A$5001,"&gt;="&amp;$C$7,BD!$A$3:$A$5001,"&lt;="&amp;$B230,BD!$W$3:$W$5001,"&lt;&gt;")=0,"",SUMIFS(BD!$W$3:$W$5001,BD!$B$3:$B$5001,I$206,BD!$A$3:$A$5001,_xlfn.MAXIFS(BD!$A$3:$A$5001,BD!$B$3:$B$5001,I$206,BD!$A$3:$A$5001,"&gt;="&amp;$C$7,BD!$A$3:$A$5001,"&lt;="&amp;$B230,BD!$W$3:$W$5001,"&lt;&gt;"))))</f>
        <v/>
      </c>
      <c r="J230" s="43" t="str">
        <f>IF(OR($B230="",$A230&gt;$B$9,J$206=""),"",IF(COUNTIFS(BD!$B$3:$B$5001,J$206,BD!$A$3:$A$5001,"&gt;="&amp;$C$7,BD!$A$3:$A$5001,"&lt;="&amp;$B230,BD!$W$3:$W$5001,"&lt;&gt;")=0,"",SUMIFS(BD!$W$3:$W$5001,BD!$B$3:$B$5001,J$206,BD!$A$3:$A$5001,_xlfn.MAXIFS(BD!$A$3:$A$5001,BD!$B$3:$B$5001,J$206,BD!$A$3:$A$5001,"&gt;="&amp;$C$7,BD!$A$3:$A$5001,"&lt;="&amp;$B230,BD!$W$3:$W$5001,"&lt;&gt;"))))</f>
        <v/>
      </c>
      <c r="K230" s="43" t="str">
        <f>IF(OR($B230="",$A230&gt;$B$9,K$206=""),"",IF(COUNTIFS(BD!$B$3:$B$5001,K$206,BD!$A$3:$A$5001,"&gt;="&amp;$C$7,BD!$A$3:$A$5001,"&lt;="&amp;$B230,BD!$W$3:$W$5001,"&lt;&gt;")=0,"",SUMIFS(BD!$W$3:$W$5001,BD!$B$3:$B$5001,K$206,BD!$A$3:$A$5001,_xlfn.MAXIFS(BD!$A$3:$A$5001,BD!$B$3:$B$5001,K$206,BD!$A$3:$A$5001,"&gt;="&amp;$C$7,BD!$A$3:$A$5001,"&lt;="&amp;$B230,BD!$W$3:$W$5001,"&lt;&gt;"))))</f>
        <v/>
      </c>
      <c r="L230" s="43" t="str">
        <f>IF(OR($B230="",$A230&gt;$B$9,L$206=""),"",IF(COUNTIFS(BD!$B$3:$B$5001,L$206,BD!$A$3:$A$5001,"&gt;="&amp;$C$7,BD!$A$3:$A$5001,"&lt;="&amp;$B230,BD!$W$3:$W$5001,"&lt;&gt;")=0,"",SUMIFS(BD!$W$3:$W$5001,BD!$B$3:$B$5001,L$206,BD!$A$3:$A$5001,_xlfn.MAXIFS(BD!$A$3:$A$5001,BD!$B$3:$B$5001,L$206,BD!$A$3:$A$5001,"&gt;="&amp;$C$7,BD!$A$3:$A$5001,"&lt;="&amp;$B230,BD!$W$3:$W$5001,"&lt;&gt;"))))</f>
        <v/>
      </c>
      <c r="M230" s="43" t="str">
        <f>IF(OR($B230="",$A230&gt;$B$9,M$206=""),"",IF(COUNTIFS(BD!$B$3:$B$5001,M$206,BD!$A$3:$A$5001,"&gt;="&amp;$C$7,BD!$A$3:$A$5001,"&lt;="&amp;$B230,BD!$W$3:$W$5001,"&lt;&gt;")=0,"",SUMIFS(BD!$W$3:$W$5001,BD!$B$3:$B$5001,M$206,BD!$A$3:$A$5001,_xlfn.MAXIFS(BD!$A$3:$A$5001,BD!$B$3:$B$5001,M$206,BD!$A$3:$A$5001,"&gt;="&amp;$C$7,BD!$A$3:$A$5001,"&lt;="&amp;$B230,BD!$W$3:$W$5001,"&lt;&gt;"))))</f>
        <v/>
      </c>
      <c r="N230" s="43" t="str">
        <f>IF(OR($B230="",$A230&gt;$B$9,N$206=""),"",IF(COUNTIFS(BD!$B$3:$B$5001,N$206,BD!$A$3:$A$5001,"&gt;="&amp;$C$7,BD!$A$3:$A$5001,"&lt;="&amp;$B230,BD!$W$3:$W$5001,"&lt;&gt;")=0,"",SUMIFS(BD!$W$3:$W$5001,BD!$B$3:$B$5001,N$206,BD!$A$3:$A$5001,_xlfn.MAXIFS(BD!$A$3:$A$5001,BD!$B$3:$B$5001,N$206,BD!$A$3:$A$5001,"&gt;="&amp;$C$7,BD!$A$3:$A$5001,"&lt;="&amp;$B230,BD!$W$3:$W$5001,"&lt;&gt;"))))</f>
        <v/>
      </c>
      <c r="O230" s="43" t="str">
        <f>IF(OR($B230="",$A230&gt;$B$9,O$206=""),"",IF(COUNTIFS(BD!$B$3:$B$5001,O$206,BD!$A$3:$A$5001,"&gt;="&amp;$C$7,BD!$A$3:$A$5001,"&lt;="&amp;$B230,BD!$W$3:$W$5001,"&lt;&gt;")=0,"",SUMIFS(BD!$W$3:$W$5001,BD!$B$3:$B$5001,O$206,BD!$A$3:$A$5001,_xlfn.MAXIFS(BD!$A$3:$A$5001,BD!$B$3:$B$5001,O$206,BD!$A$3:$A$5001,"&gt;="&amp;$C$7,BD!$A$3:$A$5001,"&lt;="&amp;$B230,BD!$W$3:$W$5001,"&lt;&gt;"))))</f>
        <v/>
      </c>
      <c r="P230" s="43" t="str">
        <f>IF(OR($B230="",$A230&gt;$B$9,P$206=""),"",IF(COUNTIFS(BD!$B$3:$B$5001,P$206,BD!$A$3:$A$5001,"&gt;="&amp;$C$7,BD!$A$3:$A$5001,"&lt;="&amp;$B230,BD!$W$3:$W$5001,"&lt;&gt;")=0,"",SUMIFS(BD!$W$3:$W$5001,BD!$B$3:$B$5001,P$206,BD!$A$3:$A$5001,_xlfn.MAXIFS(BD!$A$3:$A$5001,BD!$B$3:$B$5001,P$206,BD!$A$3:$A$5001,"&gt;="&amp;$C$7,BD!$A$3:$A$5001,"&lt;="&amp;$B230,BD!$W$3:$W$5001,"&lt;&gt;"))))</f>
        <v/>
      </c>
      <c r="Q230" s="43" t="str">
        <f>IF(OR($B230="",$A230&gt;$B$9,Q$206=""),"",IF(COUNTIFS(BD!$B$3:$B$5001,Q$206,BD!$A$3:$A$5001,"&gt;="&amp;$C$7,BD!$A$3:$A$5001,"&lt;="&amp;$B230,BD!$W$3:$W$5001,"&lt;&gt;")=0,"",SUMIFS(BD!$W$3:$W$5001,BD!$B$3:$B$5001,Q$206,BD!$A$3:$A$5001,_xlfn.MAXIFS(BD!$A$3:$A$5001,BD!$B$3:$B$5001,Q$206,BD!$A$3:$A$5001,"&gt;="&amp;$C$7,BD!$A$3:$A$5001,"&lt;="&amp;$B230,BD!$W$3:$W$5001,"&lt;&gt;"))))</f>
        <v/>
      </c>
      <c r="R230" s="43" t="str">
        <f>IF(OR($B230="",$A230&gt;$B$9,R$206=""),"",IF(COUNTIFS(BD!$B$3:$B$5001,R$206,BD!$A$3:$A$5001,"&gt;="&amp;$C$7,BD!$A$3:$A$5001,"&lt;="&amp;$B230,BD!$W$3:$W$5001,"&lt;&gt;")=0,"",SUMIFS(BD!$W$3:$W$5001,BD!$B$3:$B$5001,R$206,BD!$A$3:$A$5001,_xlfn.MAXIFS(BD!$A$3:$A$5001,BD!$B$3:$B$5001,R$206,BD!$A$3:$A$5001,"&gt;="&amp;$C$7,BD!$A$3:$A$5001,"&lt;="&amp;$B230,BD!$W$3:$W$5001,"&lt;&gt;"))))</f>
        <v/>
      </c>
      <c r="S230" s="43" t="str">
        <f>IF(OR($B230="",$A230&gt;$B$9,S$206=""),"",IF(COUNTIFS(BD!$B$3:$B$5001,S$206,BD!$A$3:$A$5001,"&gt;="&amp;$C$7,BD!$A$3:$A$5001,"&lt;="&amp;$B230,BD!$W$3:$W$5001,"&lt;&gt;")=0,"",SUMIFS(BD!$W$3:$W$5001,BD!$B$3:$B$5001,S$206,BD!$A$3:$A$5001,_xlfn.MAXIFS(BD!$A$3:$A$5001,BD!$B$3:$B$5001,S$206,BD!$A$3:$A$5001,"&gt;="&amp;$C$7,BD!$A$3:$A$5001,"&lt;="&amp;$B230,BD!$W$3:$W$5001,"&lt;&gt;"))))</f>
        <v/>
      </c>
      <c r="T230" s="43" t="str">
        <f>IF(OR($B230="",$A230&gt;$B$9,T$206=""),"",IF(COUNTIFS(BD!$B$3:$B$5001,T$206,BD!$A$3:$A$5001,"&gt;="&amp;$C$7,BD!$A$3:$A$5001,"&lt;="&amp;$B230,BD!$W$3:$W$5001,"&lt;&gt;")=0,"",SUMIFS(BD!$W$3:$W$5001,BD!$B$3:$B$5001,T$206,BD!$A$3:$A$5001,_xlfn.MAXIFS(BD!$A$3:$A$5001,BD!$B$3:$B$5001,T$206,BD!$A$3:$A$5001,"&gt;="&amp;$C$7,BD!$A$3:$A$5001,"&lt;="&amp;$B230,BD!$W$3:$W$5001,"&lt;&gt;"))))</f>
        <v/>
      </c>
      <c r="U230" s="43" t="str">
        <f>IF(OR($B230="",$A230&gt;$B$9,U$206=""),"",IF(COUNTIFS(BD!$B$3:$B$5001,U$206,BD!$A$3:$A$5001,"&gt;="&amp;$C$7,BD!$A$3:$A$5001,"&lt;="&amp;$B230,BD!$W$3:$W$5001,"&lt;&gt;")=0,"",SUMIFS(BD!$W$3:$W$5001,BD!$B$3:$B$5001,U$206,BD!$A$3:$A$5001,_xlfn.MAXIFS(BD!$A$3:$A$5001,BD!$B$3:$B$5001,U$206,BD!$A$3:$A$5001,"&gt;="&amp;$C$7,BD!$A$3:$A$5001,"&lt;="&amp;$B230,BD!$W$3:$W$5001,"&lt;&gt;"))))</f>
        <v/>
      </c>
      <c r="V230" s="43" t="str">
        <f>IF(OR($B230="",$A230&gt;$B$9,V$206=""),"",IF(COUNTIFS(BD!$B$3:$B$5001,V$206,BD!$A$3:$A$5001,"&gt;="&amp;$C$7,BD!$A$3:$A$5001,"&lt;="&amp;$B230,BD!$W$3:$W$5001,"&lt;&gt;")=0,"",SUMIFS(BD!$W$3:$W$5001,BD!$B$3:$B$5001,V$206,BD!$A$3:$A$5001,_xlfn.MAXIFS(BD!$A$3:$A$5001,BD!$B$3:$B$5001,V$206,BD!$A$3:$A$5001,"&gt;="&amp;$C$7,BD!$A$3:$A$5001,"&lt;="&amp;$B230,BD!$W$3:$W$5001,"&lt;&gt;"))))</f>
        <v/>
      </c>
    </row>
    <row r="231">
      <c r="A231" s="38">
        <v>25</v>
      </c>
      <c r="B231" s="42">
        <f>$B$36</f>
        <v>46320</v>
      </c>
      <c r="C231" s="43" t="str">
        <f>IF(OR($B231="",$A231&gt;$B$9,C$206=""),"",IF(COUNTIFS(BD!$B$3:$B$5001,C$206,BD!$A$3:$A$5001,"&gt;="&amp;$C$7,BD!$A$3:$A$5001,"&lt;="&amp;$B231,BD!$W$3:$W$5001,"&lt;&gt;")=0,"",SUMIFS(BD!$W$3:$W$5001,BD!$B$3:$B$5001,C$206,BD!$A$3:$A$5001,_xlfn.MAXIFS(BD!$A$3:$A$5001,BD!$B$3:$B$5001,C$206,BD!$A$3:$A$5001,"&gt;="&amp;$C$7,BD!$A$3:$A$5001,"&lt;="&amp;$B231,BD!$W$3:$W$5001,"&lt;&gt;"))))</f>
        <v/>
      </c>
      <c r="D231" s="43" t="str">
        <f>IF(OR($B231="",$A231&gt;$B$9,D$206=""),"",IF(COUNTIFS(BD!$B$3:$B$5001,D$206,BD!$A$3:$A$5001,"&gt;="&amp;$C$7,BD!$A$3:$A$5001,"&lt;="&amp;$B231,BD!$W$3:$W$5001,"&lt;&gt;")=0,"",SUMIFS(BD!$W$3:$W$5001,BD!$B$3:$B$5001,D$206,BD!$A$3:$A$5001,_xlfn.MAXIFS(BD!$A$3:$A$5001,BD!$B$3:$B$5001,D$206,BD!$A$3:$A$5001,"&gt;="&amp;$C$7,BD!$A$3:$A$5001,"&lt;="&amp;$B231,BD!$W$3:$W$5001,"&lt;&gt;"))))</f>
        <v/>
      </c>
      <c r="E231" s="43" t="str">
        <f>IF(OR($B231="",$A231&gt;$B$9,E$206=""),"",IF(COUNTIFS(BD!$B$3:$B$5001,E$206,BD!$A$3:$A$5001,"&gt;="&amp;$C$7,BD!$A$3:$A$5001,"&lt;="&amp;$B231,BD!$W$3:$W$5001,"&lt;&gt;")=0,"",SUMIFS(BD!$W$3:$W$5001,BD!$B$3:$B$5001,E$206,BD!$A$3:$A$5001,_xlfn.MAXIFS(BD!$A$3:$A$5001,BD!$B$3:$B$5001,E$206,BD!$A$3:$A$5001,"&gt;="&amp;$C$7,BD!$A$3:$A$5001,"&lt;="&amp;$B231,BD!$W$3:$W$5001,"&lt;&gt;"))))</f>
        <v/>
      </c>
      <c r="F231" s="43" t="str">
        <f>IF(OR($B231="",$A231&gt;$B$9,F$206=""),"",IF(COUNTIFS(BD!$B$3:$B$5001,F$206,BD!$A$3:$A$5001,"&gt;="&amp;$C$7,BD!$A$3:$A$5001,"&lt;="&amp;$B231,BD!$W$3:$W$5001,"&lt;&gt;")=0,"",SUMIFS(BD!$W$3:$W$5001,BD!$B$3:$B$5001,F$206,BD!$A$3:$A$5001,_xlfn.MAXIFS(BD!$A$3:$A$5001,BD!$B$3:$B$5001,F$206,BD!$A$3:$A$5001,"&gt;="&amp;$C$7,BD!$A$3:$A$5001,"&lt;="&amp;$B231,BD!$W$3:$W$5001,"&lt;&gt;"))))</f>
        <v/>
      </c>
      <c r="G231" s="43" t="str">
        <f>IF(OR($B231="",$A231&gt;$B$9,G$206=""),"",IF(COUNTIFS(BD!$B$3:$B$5001,G$206,BD!$A$3:$A$5001,"&gt;="&amp;$C$7,BD!$A$3:$A$5001,"&lt;="&amp;$B231,BD!$W$3:$W$5001,"&lt;&gt;")=0,"",SUMIFS(BD!$W$3:$W$5001,BD!$B$3:$B$5001,G$206,BD!$A$3:$A$5001,_xlfn.MAXIFS(BD!$A$3:$A$5001,BD!$B$3:$B$5001,G$206,BD!$A$3:$A$5001,"&gt;="&amp;$C$7,BD!$A$3:$A$5001,"&lt;="&amp;$B231,BD!$W$3:$W$5001,"&lt;&gt;"))))</f>
        <v/>
      </c>
      <c r="H231" s="43" t="str">
        <f>IF(OR($B231="",$A231&gt;$B$9,H$206=""),"",IF(COUNTIFS(BD!$B$3:$B$5001,H$206,BD!$A$3:$A$5001,"&gt;="&amp;$C$7,BD!$A$3:$A$5001,"&lt;="&amp;$B231,BD!$W$3:$W$5001,"&lt;&gt;")=0,"",SUMIFS(BD!$W$3:$W$5001,BD!$B$3:$B$5001,H$206,BD!$A$3:$A$5001,_xlfn.MAXIFS(BD!$A$3:$A$5001,BD!$B$3:$B$5001,H$206,BD!$A$3:$A$5001,"&gt;="&amp;$C$7,BD!$A$3:$A$5001,"&lt;="&amp;$B231,BD!$W$3:$W$5001,"&lt;&gt;"))))</f>
        <v/>
      </c>
      <c r="I231" s="43" t="str">
        <f>IF(OR($B231="",$A231&gt;$B$9,I$206=""),"",IF(COUNTIFS(BD!$B$3:$B$5001,I$206,BD!$A$3:$A$5001,"&gt;="&amp;$C$7,BD!$A$3:$A$5001,"&lt;="&amp;$B231,BD!$W$3:$W$5001,"&lt;&gt;")=0,"",SUMIFS(BD!$W$3:$W$5001,BD!$B$3:$B$5001,I$206,BD!$A$3:$A$5001,_xlfn.MAXIFS(BD!$A$3:$A$5001,BD!$B$3:$B$5001,I$206,BD!$A$3:$A$5001,"&gt;="&amp;$C$7,BD!$A$3:$A$5001,"&lt;="&amp;$B231,BD!$W$3:$W$5001,"&lt;&gt;"))))</f>
        <v/>
      </c>
      <c r="J231" s="43" t="str">
        <f>IF(OR($B231="",$A231&gt;$B$9,J$206=""),"",IF(COUNTIFS(BD!$B$3:$B$5001,J$206,BD!$A$3:$A$5001,"&gt;="&amp;$C$7,BD!$A$3:$A$5001,"&lt;="&amp;$B231,BD!$W$3:$W$5001,"&lt;&gt;")=0,"",SUMIFS(BD!$W$3:$W$5001,BD!$B$3:$B$5001,J$206,BD!$A$3:$A$5001,_xlfn.MAXIFS(BD!$A$3:$A$5001,BD!$B$3:$B$5001,J$206,BD!$A$3:$A$5001,"&gt;="&amp;$C$7,BD!$A$3:$A$5001,"&lt;="&amp;$B231,BD!$W$3:$W$5001,"&lt;&gt;"))))</f>
        <v/>
      </c>
      <c r="K231" s="43" t="str">
        <f>IF(OR($B231="",$A231&gt;$B$9,K$206=""),"",IF(COUNTIFS(BD!$B$3:$B$5001,K$206,BD!$A$3:$A$5001,"&gt;="&amp;$C$7,BD!$A$3:$A$5001,"&lt;="&amp;$B231,BD!$W$3:$W$5001,"&lt;&gt;")=0,"",SUMIFS(BD!$W$3:$W$5001,BD!$B$3:$B$5001,K$206,BD!$A$3:$A$5001,_xlfn.MAXIFS(BD!$A$3:$A$5001,BD!$B$3:$B$5001,K$206,BD!$A$3:$A$5001,"&gt;="&amp;$C$7,BD!$A$3:$A$5001,"&lt;="&amp;$B231,BD!$W$3:$W$5001,"&lt;&gt;"))))</f>
        <v/>
      </c>
      <c r="L231" s="43" t="str">
        <f>IF(OR($B231="",$A231&gt;$B$9,L$206=""),"",IF(COUNTIFS(BD!$B$3:$B$5001,L$206,BD!$A$3:$A$5001,"&gt;="&amp;$C$7,BD!$A$3:$A$5001,"&lt;="&amp;$B231,BD!$W$3:$W$5001,"&lt;&gt;")=0,"",SUMIFS(BD!$W$3:$W$5001,BD!$B$3:$B$5001,L$206,BD!$A$3:$A$5001,_xlfn.MAXIFS(BD!$A$3:$A$5001,BD!$B$3:$B$5001,L$206,BD!$A$3:$A$5001,"&gt;="&amp;$C$7,BD!$A$3:$A$5001,"&lt;="&amp;$B231,BD!$W$3:$W$5001,"&lt;&gt;"))))</f>
        <v/>
      </c>
      <c r="M231" s="43" t="str">
        <f>IF(OR($B231="",$A231&gt;$B$9,M$206=""),"",IF(COUNTIFS(BD!$B$3:$B$5001,M$206,BD!$A$3:$A$5001,"&gt;="&amp;$C$7,BD!$A$3:$A$5001,"&lt;="&amp;$B231,BD!$W$3:$W$5001,"&lt;&gt;")=0,"",SUMIFS(BD!$W$3:$W$5001,BD!$B$3:$B$5001,M$206,BD!$A$3:$A$5001,_xlfn.MAXIFS(BD!$A$3:$A$5001,BD!$B$3:$B$5001,M$206,BD!$A$3:$A$5001,"&gt;="&amp;$C$7,BD!$A$3:$A$5001,"&lt;="&amp;$B231,BD!$W$3:$W$5001,"&lt;&gt;"))))</f>
        <v/>
      </c>
      <c r="N231" s="43" t="str">
        <f>IF(OR($B231="",$A231&gt;$B$9,N$206=""),"",IF(COUNTIFS(BD!$B$3:$B$5001,N$206,BD!$A$3:$A$5001,"&gt;="&amp;$C$7,BD!$A$3:$A$5001,"&lt;="&amp;$B231,BD!$W$3:$W$5001,"&lt;&gt;")=0,"",SUMIFS(BD!$W$3:$W$5001,BD!$B$3:$B$5001,N$206,BD!$A$3:$A$5001,_xlfn.MAXIFS(BD!$A$3:$A$5001,BD!$B$3:$B$5001,N$206,BD!$A$3:$A$5001,"&gt;="&amp;$C$7,BD!$A$3:$A$5001,"&lt;="&amp;$B231,BD!$W$3:$W$5001,"&lt;&gt;"))))</f>
        <v/>
      </c>
      <c r="O231" s="43" t="str">
        <f>IF(OR($B231="",$A231&gt;$B$9,O$206=""),"",IF(COUNTIFS(BD!$B$3:$B$5001,O$206,BD!$A$3:$A$5001,"&gt;="&amp;$C$7,BD!$A$3:$A$5001,"&lt;="&amp;$B231,BD!$W$3:$W$5001,"&lt;&gt;")=0,"",SUMIFS(BD!$W$3:$W$5001,BD!$B$3:$B$5001,O$206,BD!$A$3:$A$5001,_xlfn.MAXIFS(BD!$A$3:$A$5001,BD!$B$3:$B$5001,O$206,BD!$A$3:$A$5001,"&gt;="&amp;$C$7,BD!$A$3:$A$5001,"&lt;="&amp;$B231,BD!$W$3:$W$5001,"&lt;&gt;"))))</f>
        <v/>
      </c>
      <c r="P231" s="43" t="str">
        <f>IF(OR($B231="",$A231&gt;$B$9,P$206=""),"",IF(COUNTIFS(BD!$B$3:$B$5001,P$206,BD!$A$3:$A$5001,"&gt;="&amp;$C$7,BD!$A$3:$A$5001,"&lt;="&amp;$B231,BD!$W$3:$W$5001,"&lt;&gt;")=0,"",SUMIFS(BD!$W$3:$W$5001,BD!$B$3:$B$5001,P$206,BD!$A$3:$A$5001,_xlfn.MAXIFS(BD!$A$3:$A$5001,BD!$B$3:$B$5001,P$206,BD!$A$3:$A$5001,"&gt;="&amp;$C$7,BD!$A$3:$A$5001,"&lt;="&amp;$B231,BD!$W$3:$W$5001,"&lt;&gt;"))))</f>
        <v/>
      </c>
      <c r="Q231" s="43" t="str">
        <f>IF(OR($B231="",$A231&gt;$B$9,Q$206=""),"",IF(COUNTIFS(BD!$B$3:$B$5001,Q$206,BD!$A$3:$A$5001,"&gt;="&amp;$C$7,BD!$A$3:$A$5001,"&lt;="&amp;$B231,BD!$W$3:$W$5001,"&lt;&gt;")=0,"",SUMIFS(BD!$W$3:$W$5001,BD!$B$3:$B$5001,Q$206,BD!$A$3:$A$5001,_xlfn.MAXIFS(BD!$A$3:$A$5001,BD!$B$3:$B$5001,Q$206,BD!$A$3:$A$5001,"&gt;="&amp;$C$7,BD!$A$3:$A$5001,"&lt;="&amp;$B231,BD!$W$3:$W$5001,"&lt;&gt;"))))</f>
        <v/>
      </c>
      <c r="R231" s="43" t="str">
        <f>IF(OR($B231="",$A231&gt;$B$9,R$206=""),"",IF(COUNTIFS(BD!$B$3:$B$5001,R$206,BD!$A$3:$A$5001,"&gt;="&amp;$C$7,BD!$A$3:$A$5001,"&lt;="&amp;$B231,BD!$W$3:$W$5001,"&lt;&gt;")=0,"",SUMIFS(BD!$W$3:$W$5001,BD!$B$3:$B$5001,R$206,BD!$A$3:$A$5001,_xlfn.MAXIFS(BD!$A$3:$A$5001,BD!$B$3:$B$5001,R$206,BD!$A$3:$A$5001,"&gt;="&amp;$C$7,BD!$A$3:$A$5001,"&lt;="&amp;$B231,BD!$W$3:$W$5001,"&lt;&gt;"))))</f>
        <v/>
      </c>
      <c r="S231" s="43" t="str">
        <f>IF(OR($B231="",$A231&gt;$B$9,S$206=""),"",IF(COUNTIFS(BD!$B$3:$B$5001,S$206,BD!$A$3:$A$5001,"&gt;="&amp;$C$7,BD!$A$3:$A$5001,"&lt;="&amp;$B231,BD!$W$3:$W$5001,"&lt;&gt;")=0,"",SUMIFS(BD!$W$3:$W$5001,BD!$B$3:$B$5001,S$206,BD!$A$3:$A$5001,_xlfn.MAXIFS(BD!$A$3:$A$5001,BD!$B$3:$B$5001,S$206,BD!$A$3:$A$5001,"&gt;="&amp;$C$7,BD!$A$3:$A$5001,"&lt;="&amp;$B231,BD!$W$3:$W$5001,"&lt;&gt;"))))</f>
        <v/>
      </c>
      <c r="T231" s="43" t="str">
        <f>IF(OR($B231="",$A231&gt;$B$9,T$206=""),"",IF(COUNTIFS(BD!$B$3:$B$5001,T$206,BD!$A$3:$A$5001,"&gt;="&amp;$C$7,BD!$A$3:$A$5001,"&lt;="&amp;$B231,BD!$W$3:$W$5001,"&lt;&gt;")=0,"",SUMIFS(BD!$W$3:$W$5001,BD!$B$3:$B$5001,T$206,BD!$A$3:$A$5001,_xlfn.MAXIFS(BD!$A$3:$A$5001,BD!$B$3:$B$5001,T$206,BD!$A$3:$A$5001,"&gt;="&amp;$C$7,BD!$A$3:$A$5001,"&lt;="&amp;$B231,BD!$W$3:$W$5001,"&lt;&gt;"))))</f>
        <v/>
      </c>
      <c r="U231" s="43" t="str">
        <f>IF(OR($B231="",$A231&gt;$B$9,U$206=""),"",IF(COUNTIFS(BD!$B$3:$B$5001,U$206,BD!$A$3:$A$5001,"&gt;="&amp;$C$7,BD!$A$3:$A$5001,"&lt;="&amp;$B231,BD!$W$3:$W$5001,"&lt;&gt;")=0,"",SUMIFS(BD!$W$3:$W$5001,BD!$B$3:$B$5001,U$206,BD!$A$3:$A$5001,_xlfn.MAXIFS(BD!$A$3:$A$5001,BD!$B$3:$B$5001,U$206,BD!$A$3:$A$5001,"&gt;="&amp;$C$7,BD!$A$3:$A$5001,"&lt;="&amp;$B231,BD!$W$3:$W$5001,"&lt;&gt;"))))</f>
        <v/>
      </c>
      <c r="V231" s="43" t="str">
        <f>IF(OR($B231="",$A231&gt;$B$9,V$206=""),"",IF(COUNTIFS(BD!$B$3:$B$5001,V$206,BD!$A$3:$A$5001,"&gt;="&amp;$C$7,BD!$A$3:$A$5001,"&lt;="&amp;$B231,BD!$W$3:$W$5001,"&lt;&gt;")=0,"",SUMIFS(BD!$W$3:$W$5001,BD!$B$3:$B$5001,V$206,BD!$A$3:$A$5001,_xlfn.MAXIFS(BD!$A$3:$A$5001,BD!$B$3:$B$5001,V$206,BD!$A$3:$A$5001,"&gt;="&amp;$C$7,BD!$A$3:$A$5001,"&lt;="&amp;$B231,BD!$W$3:$W$5001,"&lt;&gt;"))))</f>
        <v/>
      </c>
    </row>
    <row r="232">
      <c r="A232" s="38">
        <v>26</v>
      </c>
      <c r="B232" s="42">
        <f>$B$37</f>
        <v>46321</v>
      </c>
      <c r="C232" s="43" t="str">
        <f>IF(OR($B232="",$A232&gt;$B$9,C$206=""),"",IF(COUNTIFS(BD!$B$3:$B$5001,C$206,BD!$A$3:$A$5001,"&gt;="&amp;$C$7,BD!$A$3:$A$5001,"&lt;="&amp;$B232,BD!$W$3:$W$5001,"&lt;&gt;")=0,"",SUMIFS(BD!$W$3:$W$5001,BD!$B$3:$B$5001,C$206,BD!$A$3:$A$5001,_xlfn.MAXIFS(BD!$A$3:$A$5001,BD!$B$3:$B$5001,C$206,BD!$A$3:$A$5001,"&gt;="&amp;$C$7,BD!$A$3:$A$5001,"&lt;="&amp;$B232,BD!$W$3:$W$5001,"&lt;&gt;"))))</f>
        <v/>
      </c>
      <c r="D232" s="43" t="str">
        <f>IF(OR($B232="",$A232&gt;$B$9,D$206=""),"",IF(COUNTIFS(BD!$B$3:$B$5001,D$206,BD!$A$3:$A$5001,"&gt;="&amp;$C$7,BD!$A$3:$A$5001,"&lt;="&amp;$B232,BD!$W$3:$W$5001,"&lt;&gt;")=0,"",SUMIFS(BD!$W$3:$W$5001,BD!$B$3:$B$5001,D$206,BD!$A$3:$A$5001,_xlfn.MAXIFS(BD!$A$3:$A$5001,BD!$B$3:$B$5001,D$206,BD!$A$3:$A$5001,"&gt;="&amp;$C$7,BD!$A$3:$A$5001,"&lt;="&amp;$B232,BD!$W$3:$W$5001,"&lt;&gt;"))))</f>
        <v/>
      </c>
      <c r="E232" s="43" t="str">
        <f>IF(OR($B232="",$A232&gt;$B$9,E$206=""),"",IF(COUNTIFS(BD!$B$3:$B$5001,E$206,BD!$A$3:$A$5001,"&gt;="&amp;$C$7,BD!$A$3:$A$5001,"&lt;="&amp;$B232,BD!$W$3:$W$5001,"&lt;&gt;")=0,"",SUMIFS(BD!$W$3:$W$5001,BD!$B$3:$B$5001,E$206,BD!$A$3:$A$5001,_xlfn.MAXIFS(BD!$A$3:$A$5001,BD!$B$3:$B$5001,E$206,BD!$A$3:$A$5001,"&gt;="&amp;$C$7,BD!$A$3:$A$5001,"&lt;="&amp;$B232,BD!$W$3:$W$5001,"&lt;&gt;"))))</f>
        <v/>
      </c>
      <c r="F232" s="43" t="str">
        <f>IF(OR($B232="",$A232&gt;$B$9,F$206=""),"",IF(COUNTIFS(BD!$B$3:$B$5001,F$206,BD!$A$3:$A$5001,"&gt;="&amp;$C$7,BD!$A$3:$A$5001,"&lt;="&amp;$B232,BD!$W$3:$W$5001,"&lt;&gt;")=0,"",SUMIFS(BD!$W$3:$W$5001,BD!$B$3:$B$5001,F$206,BD!$A$3:$A$5001,_xlfn.MAXIFS(BD!$A$3:$A$5001,BD!$B$3:$B$5001,F$206,BD!$A$3:$A$5001,"&gt;="&amp;$C$7,BD!$A$3:$A$5001,"&lt;="&amp;$B232,BD!$W$3:$W$5001,"&lt;&gt;"))))</f>
        <v/>
      </c>
      <c r="G232" s="43" t="str">
        <f>IF(OR($B232="",$A232&gt;$B$9,G$206=""),"",IF(COUNTIFS(BD!$B$3:$B$5001,G$206,BD!$A$3:$A$5001,"&gt;="&amp;$C$7,BD!$A$3:$A$5001,"&lt;="&amp;$B232,BD!$W$3:$W$5001,"&lt;&gt;")=0,"",SUMIFS(BD!$W$3:$W$5001,BD!$B$3:$B$5001,G$206,BD!$A$3:$A$5001,_xlfn.MAXIFS(BD!$A$3:$A$5001,BD!$B$3:$B$5001,G$206,BD!$A$3:$A$5001,"&gt;="&amp;$C$7,BD!$A$3:$A$5001,"&lt;="&amp;$B232,BD!$W$3:$W$5001,"&lt;&gt;"))))</f>
        <v/>
      </c>
      <c r="H232" s="43" t="str">
        <f>IF(OR($B232="",$A232&gt;$B$9,H$206=""),"",IF(COUNTIFS(BD!$B$3:$B$5001,H$206,BD!$A$3:$A$5001,"&gt;="&amp;$C$7,BD!$A$3:$A$5001,"&lt;="&amp;$B232,BD!$W$3:$W$5001,"&lt;&gt;")=0,"",SUMIFS(BD!$W$3:$W$5001,BD!$B$3:$B$5001,H$206,BD!$A$3:$A$5001,_xlfn.MAXIFS(BD!$A$3:$A$5001,BD!$B$3:$B$5001,H$206,BD!$A$3:$A$5001,"&gt;="&amp;$C$7,BD!$A$3:$A$5001,"&lt;="&amp;$B232,BD!$W$3:$W$5001,"&lt;&gt;"))))</f>
        <v/>
      </c>
      <c r="I232" s="43" t="str">
        <f>IF(OR($B232="",$A232&gt;$B$9,I$206=""),"",IF(COUNTIFS(BD!$B$3:$B$5001,I$206,BD!$A$3:$A$5001,"&gt;="&amp;$C$7,BD!$A$3:$A$5001,"&lt;="&amp;$B232,BD!$W$3:$W$5001,"&lt;&gt;")=0,"",SUMIFS(BD!$W$3:$W$5001,BD!$B$3:$B$5001,I$206,BD!$A$3:$A$5001,_xlfn.MAXIFS(BD!$A$3:$A$5001,BD!$B$3:$B$5001,I$206,BD!$A$3:$A$5001,"&gt;="&amp;$C$7,BD!$A$3:$A$5001,"&lt;="&amp;$B232,BD!$W$3:$W$5001,"&lt;&gt;"))))</f>
        <v/>
      </c>
      <c r="J232" s="43" t="str">
        <f>IF(OR($B232="",$A232&gt;$B$9,J$206=""),"",IF(COUNTIFS(BD!$B$3:$B$5001,J$206,BD!$A$3:$A$5001,"&gt;="&amp;$C$7,BD!$A$3:$A$5001,"&lt;="&amp;$B232,BD!$W$3:$W$5001,"&lt;&gt;")=0,"",SUMIFS(BD!$W$3:$W$5001,BD!$B$3:$B$5001,J$206,BD!$A$3:$A$5001,_xlfn.MAXIFS(BD!$A$3:$A$5001,BD!$B$3:$B$5001,J$206,BD!$A$3:$A$5001,"&gt;="&amp;$C$7,BD!$A$3:$A$5001,"&lt;="&amp;$B232,BD!$W$3:$W$5001,"&lt;&gt;"))))</f>
        <v/>
      </c>
      <c r="K232" s="43" t="str">
        <f>IF(OR($B232="",$A232&gt;$B$9,K$206=""),"",IF(COUNTIFS(BD!$B$3:$B$5001,K$206,BD!$A$3:$A$5001,"&gt;="&amp;$C$7,BD!$A$3:$A$5001,"&lt;="&amp;$B232,BD!$W$3:$W$5001,"&lt;&gt;")=0,"",SUMIFS(BD!$W$3:$W$5001,BD!$B$3:$B$5001,K$206,BD!$A$3:$A$5001,_xlfn.MAXIFS(BD!$A$3:$A$5001,BD!$B$3:$B$5001,K$206,BD!$A$3:$A$5001,"&gt;="&amp;$C$7,BD!$A$3:$A$5001,"&lt;="&amp;$B232,BD!$W$3:$W$5001,"&lt;&gt;"))))</f>
        <v/>
      </c>
      <c r="L232" s="43" t="str">
        <f>IF(OR($B232="",$A232&gt;$B$9,L$206=""),"",IF(COUNTIFS(BD!$B$3:$B$5001,L$206,BD!$A$3:$A$5001,"&gt;="&amp;$C$7,BD!$A$3:$A$5001,"&lt;="&amp;$B232,BD!$W$3:$W$5001,"&lt;&gt;")=0,"",SUMIFS(BD!$W$3:$W$5001,BD!$B$3:$B$5001,L$206,BD!$A$3:$A$5001,_xlfn.MAXIFS(BD!$A$3:$A$5001,BD!$B$3:$B$5001,L$206,BD!$A$3:$A$5001,"&gt;="&amp;$C$7,BD!$A$3:$A$5001,"&lt;="&amp;$B232,BD!$W$3:$W$5001,"&lt;&gt;"))))</f>
        <v/>
      </c>
      <c r="M232" s="43" t="str">
        <f>IF(OR($B232="",$A232&gt;$B$9,M$206=""),"",IF(COUNTIFS(BD!$B$3:$B$5001,M$206,BD!$A$3:$A$5001,"&gt;="&amp;$C$7,BD!$A$3:$A$5001,"&lt;="&amp;$B232,BD!$W$3:$W$5001,"&lt;&gt;")=0,"",SUMIFS(BD!$W$3:$W$5001,BD!$B$3:$B$5001,M$206,BD!$A$3:$A$5001,_xlfn.MAXIFS(BD!$A$3:$A$5001,BD!$B$3:$B$5001,M$206,BD!$A$3:$A$5001,"&gt;="&amp;$C$7,BD!$A$3:$A$5001,"&lt;="&amp;$B232,BD!$W$3:$W$5001,"&lt;&gt;"))))</f>
        <v/>
      </c>
      <c r="N232" s="43" t="str">
        <f>IF(OR($B232="",$A232&gt;$B$9,N$206=""),"",IF(COUNTIFS(BD!$B$3:$B$5001,N$206,BD!$A$3:$A$5001,"&gt;="&amp;$C$7,BD!$A$3:$A$5001,"&lt;="&amp;$B232,BD!$W$3:$W$5001,"&lt;&gt;")=0,"",SUMIFS(BD!$W$3:$W$5001,BD!$B$3:$B$5001,N$206,BD!$A$3:$A$5001,_xlfn.MAXIFS(BD!$A$3:$A$5001,BD!$B$3:$B$5001,N$206,BD!$A$3:$A$5001,"&gt;="&amp;$C$7,BD!$A$3:$A$5001,"&lt;="&amp;$B232,BD!$W$3:$W$5001,"&lt;&gt;"))))</f>
        <v/>
      </c>
      <c r="O232" s="43" t="str">
        <f>IF(OR($B232="",$A232&gt;$B$9,O$206=""),"",IF(COUNTIFS(BD!$B$3:$B$5001,O$206,BD!$A$3:$A$5001,"&gt;="&amp;$C$7,BD!$A$3:$A$5001,"&lt;="&amp;$B232,BD!$W$3:$W$5001,"&lt;&gt;")=0,"",SUMIFS(BD!$W$3:$W$5001,BD!$B$3:$B$5001,O$206,BD!$A$3:$A$5001,_xlfn.MAXIFS(BD!$A$3:$A$5001,BD!$B$3:$B$5001,O$206,BD!$A$3:$A$5001,"&gt;="&amp;$C$7,BD!$A$3:$A$5001,"&lt;="&amp;$B232,BD!$W$3:$W$5001,"&lt;&gt;"))))</f>
        <v/>
      </c>
      <c r="P232" s="43" t="str">
        <f>IF(OR($B232="",$A232&gt;$B$9,P$206=""),"",IF(COUNTIFS(BD!$B$3:$B$5001,P$206,BD!$A$3:$A$5001,"&gt;="&amp;$C$7,BD!$A$3:$A$5001,"&lt;="&amp;$B232,BD!$W$3:$W$5001,"&lt;&gt;")=0,"",SUMIFS(BD!$W$3:$W$5001,BD!$B$3:$B$5001,P$206,BD!$A$3:$A$5001,_xlfn.MAXIFS(BD!$A$3:$A$5001,BD!$B$3:$B$5001,P$206,BD!$A$3:$A$5001,"&gt;="&amp;$C$7,BD!$A$3:$A$5001,"&lt;="&amp;$B232,BD!$W$3:$W$5001,"&lt;&gt;"))))</f>
        <v/>
      </c>
      <c r="Q232" s="43" t="str">
        <f>IF(OR($B232="",$A232&gt;$B$9,Q$206=""),"",IF(COUNTIFS(BD!$B$3:$B$5001,Q$206,BD!$A$3:$A$5001,"&gt;="&amp;$C$7,BD!$A$3:$A$5001,"&lt;="&amp;$B232,BD!$W$3:$W$5001,"&lt;&gt;")=0,"",SUMIFS(BD!$W$3:$W$5001,BD!$B$3:$B$5001,Q$206,BD!$A$3:$A$5001,_xlfn.MAXIFS(BD!$A$3:$A$5001,BD!$B$3:$B$5001,Q$206,BD!$A$3:$A$5001,"&gt;="&amp;$C$7,BD!$A$3:$A$5001,"&lt;="&amp;$B232,BD!$W$3:$W$5001,"&lt;&gt;"))))</f>
        <v/>
      </c>
      <c r="R232" s="43" t="str">
        <f>IF(OR($B232="",$A232&gt;$B$9,R$206=""),"",IF(COUNTIFS(BD!$B$3:$B$5001,R$206,BD!$A$3:$A$5001,"&gt;="&amp;$C$7,BD!$A$3:$A$5001,"&lt;="&amp;$B232,BD!$W$3:$W$5001,"&lt;&gt;")=0,"",SUMIFS(BD!$W$3:$W$5001,BD!$B$3:$B$5001,R$206,BD!$A$3:$A$5001,_xlfn.MAXIFS(BD!$A$3:$A$5001,BD!$B$3:$B$5001,R$206,BD!$A$3:$A$5001,"&gt;="&amp;$C$7,BD!$A$3:$A$5001,"&lt;="&amp;$B232,BD!$W$3:$W$5001,"&lt;&gt;"))))</f>
        <v/>
      </c>
      <c r="S232" s="43" t="str">
        <f>IF(OR($B232="",$A232&gt;$B$9,S$206=""),"",IF(COUNTIFS(BD!$B$3:$B$5001,S$206,BD!$A$3:$A$5001,"&gt;="&amp;$C$7,BD!$A$3:$A$5001,"&lt;="&amp;$B232,BD!$W$3:$W$5001,"&lt;&gt;")=0,"",SUMIFS(BD!$W$3:$W$5001,BD!$B$3:$B$5001,S$206,BD!$A$3:$A$5001,_xlfn.MAXIFS(BD!$A$3:$A$5001,BD!$B$3:$B$5001,S$206,BD!$A$3:$A$5001,"&gt;="&amp;$C$7,BD!$A$3:$A$5001,"&lt;="&amp;$B232,BD!$W$3:$W$5001,"&lt;&gt;"))))</f>
        <v/>
      </c>
      <c r="T232" s="43" t="str">
        <f>IF(OR($B232="",$A232&gt;$B$9,T$206=""),"",IF(COUNTIFS(BD!$B$3:$B$5001,T$206,BD!$A$3:$A$5001,"&gt;="&amp;$C$7,BD!$A$3:$A$5001,"&lt;="&amp;$B232,BD!$W$3:$W$5001,"&lt;&gt;")=0,"",SUMIFS(BD!$W$3:$W$5001,BD!$B$3:$B$5001,T$206,BD!$A$3:$A$5001,_xlfn.MAXIFS(BD!$A$3:$A$5001,BD!$B$3:$B$5001,T$206,BD!$A$3:$A$5001,"&gt;="&amp;$C$7,BD!$A$3:$A$5001,"&lt;="&amp;$B232,BD!$W$3:$W$5001,"&lt;&gt;"))))</f>
        <v/>
      </c>
      <c r="U232" s="43" t="str">
        <f>IF(OR($B232="",$A232&gt;$B$9,U$206=""),"",IF(COUNTIFS(BD!$B$3:$B$5001,U$206,BD!$A$3:$A$5001,"&gt;="&amp;$C$7,BD!$A$3:$A$5001,"&lt;="&amp;$B232,BD!$W$3:$W$5001,"&lt;&gt;")=0,"",SUMIFS(BD!$W$3:$W$5001,BD!$B$3:$B$5001,U$206,BD!$A$3:$A$5001,_xlfn.MAXIFS(BD!$A$3:$A$5001,BD!$B$3:$B$5001,U$206,BD!$A$3:$A$5001,"&gt;="&amp;$C$7,BD!$A$3:$A$5001,"&lt;="&amp;$B232,BD!$W$3:$W$5001,"&lt;&gt;"))))</f>
        <v/>
      </c>
      <c r="V232" s="43" t="str">
        <f>IF(OR($B232="",$A232&gt;$B$9,V$206=""),"",IF(COUNTIFS(BD!$B$3:$B$5001,V$206,BD!$A$3:$A$5001,"&gt;="&amp;$C$7,BD!$A$3:$A$5001,"&lt;="&amp;$B232,BD!$W$3:$W$5001,"&lt;&gt;")=0,"",SUMIFS(BD!$W$3:$W$5001,BD!$B$3:$B$5001,V$206,BD!$A$3:$A$5001,_xlfn.MAXIFS(BD!$A$3:$A$5001,BD!$B$3:$B$5001,V$206,BD!$A$3:$A$5001,"&gt;="&amp;$C$7,BD!$A$3:$A$5001,"&lt;="&amp;$B232,BD!$W$3:$W$5001,"&lt;&gt;"))))</f>
        <v/>
      </c>
    </row>
    <row r="233">
      <c r="A233" s="38">
        <v>27</v>
      </c>
      <c r="B233" s="42">
        <f>$B$38</f>
        <v>46322</v>
      </c>
      <c r="C233" s="43" t="str">
        <f>IF(OR($B233="",$A233&gt;$B$9,C$206=""),"",IF(COUNTIFS(BD!$B$3:$B$5001,C$206,BD!$A$3:$A$5001,"&gt;="&amp;$C$7,BD!$A$3:$A$5001,"&lt;="&amp;$B233,BD!$W$3:$W$5001,"&lt;&gt;")=0,"",SUMIFS(BD!$W$3:$W$5001,BD!$B$3:$B$5001,C$206,BD!$A$3:$A$5001,_xlfn.MAXIFS(BD!$A$3:$A$5001,BD!$B$3:$B$5001,C$206,BD!$A$3:$A$5001,"&gt;="&amp;$C$7,BD!$A$3:$A$5001,"&lt;="&amp;$B233,BD!$W$3:$W$5001,"&lt;&gt;"))))</f>
        <v/>
      </c>
      <c r="D233" s="43" t="str">
        <f>IF(OR($B233="",$A233&gt;$B$9,D$206=""),"",IF(COUNTIFS(BD!$B$3:$B$5001,D$206,BD!$A$3:$A$5001,"&gt;="&amp;$C$7,BD!$A$3:$A$5001,"&lt;="&amp;$B233,BD!$W$3:$W$5001,"&lt;&gt;")=0,"",SUMIFS(BD!$W$3:$W$5001,BD!$B$3:$B$5001,D$206,BD!$A$3:$A$5001,_xlfn.MAXIFS(BD!$A$3:$A$5001,BD!$B$3:$B$5001,D$206,BD!$A$3:$A$5001,"&gt;="&amp;$C$7,BD!$A$3:$A$5001,"&lt;="&amp;$B233,BD!$W$3:$W$5001,"&lt;&gt;"))))</f>
        <v/>
      </c>
      <c r="E233" s="43" t="str">
        <f>IF(OR($B233="",$A233&gt;$B$9,E$206=""),"",IF(COUNTIFS(BD!$B$3:$B$5001,E$206,BD!$A$3:$A$5001,"&gt;="&amp;$C$7,BD!$A$3:$A$5001,"&lt;="&amp;$B233,BD!$W$3:$W$5001,"&lt;&gt;")=0,"",SUMIFS(BD!$W$3:$W$5001,BD!$B$3:$B$5001,E$206,BD!$A$3:$A$5001,_xlfn.MAXIFS(BD!$A$3:$A$5001,BD!$B$3:$B$5001,E$206,BD!$A$3:$A$5001,"&gt;="&amp;$C$7,BD!$A$3:$A$5001,"&lt;="&amp;$B233,BD!$W$3:$W$5001,"&lt;&gt;"))))</f>
        <v/>
      </c>
      <c r="F233" s="43" t="str">
        <f>IF(OR($B233="",$A233&gt;$B$9,F$206=""),"",IF(COUNTIFS(BD!$B$3:$B$5001,F$206,BD!$A$3:$A$5001,"&gt;="&amp;$C$7,BD!$A$3:$A$5001,"&lt;="&amp;$B233,BD!$W$3:$W$5001,"&lt;&gt;")=0,"",SUMIFS(BD!$W$3:$W$5001,BD!$B$3:$B$5001,F$206,BD!$A$3:$A$5001,_xlfn.MAXIFS(BD!$A$3:$A$5001,BD!$B$3:$B$5001,F$206,BD!$A$3:$A$5001,"&gt;="&amp;$C$7,BD!$A$3:$A$5001,"&lt;="&amp;$B233,BD!$W$3:$W$5001,"&lt;&gt;"))))</f>
        <v/>
      </c>
      <c r="G233" s="43" t="str">
        <f>IF(OR($B233="",$A233&gt;$B$9,G$206=""),"",IF(COUNTIFS(BD!$B$3:$B$5001,G$206,BD!$A$3:$A$5001,"&gt;="&amp;$C$7,BD!$A$3:$A$5001,"&lt;="&amp;$B233,BD!$W$3:$W$5001,"&lt;&gt;")=0,"",SUMIFS(BD!$W$3:$W$5001,BD!$B$3:$B$5001,G$206,BD!$A$3:$A$5001,_xlfn.MAXIFS(BD!$A$3:$A$5001,BD!$B$3:$B$5001,G$206,BD!$A$3:$A$5001,"&gt;="&amp;$C$7,BD!$A$3:$A$5001,"&lt;="&amp;$B233,BD!$W$3:$W$5001,"&lt;&gt;"))))</f>
        <v/>
      </c>
      <c r="H233" s="43" t="str">
        <f>IF(OR($B233="",$A233&gt;$B$9,H$206=""),"",IF(COUNTIFS(BD!$B$3:$B$5001,H$206,BD!$A$3:$A$5001,"&gt;="&amp;$C$7,BD!$A$3:$A$5001,"&lt;="&amp;$B233,BD!$W$3:$W$5001,"&lt;&gt;")=0,"",SUMIFS(BD!$W$3:$W$5001,BD!$B$3:$B$5001,H$206,BD!$A$3:$A$5001,_xlfn.MAXIFS(BD!$A$3:$A$5001,BD!$B$3:$B$5001,H$206,BD!$A$3:$A$5001,"&gt;="&amp;$C$7,BD!$A$3:$A$5001,"&lt;="&amp;$B233,BD!$W$3:$W$5001,"&lt;&gt;"))))</f>
        <v/>
      </c>
      <c r="I233" s="43" t="str">
        <f>IF(OR($B233="",$A233&gt;$B$9,I$206=""),"",IF(COUNTIFS(BD!$B$3:$B$5001,I$206,BD!$A$3:$A$5001,"&gt;="&amp;$C$7,BD!$A$3:$A$5001,"&lt;="&amp;$B233,BD!$W$3:$W$5001,"&lt;&gt;")=0,"",SUMIFS(BD!$W$3:$W$5001,BD!$B$3:$B$5001,I$206,BD!$A$3:$A$5001,_xlfn.MAXIFS(BD!$A$3:$A$5001,BD!$B$3:$B$5001,I$206,BD!$A$3:$A$5001,"&gt;="&amp;$C$7,BD!$A$3:$A$5001,"&lt;="&amp;$B233,BD!$W$3:$W$5001,"&lt;&gt;"))))</f>
        <v/>
      </c>
      <c r="J233" s="43" t="str">
        <f>IF(OR($B233="",$A233&gt;$B$9,J$206=""),"",IF(COUNTIFS(BD!$B$3:$B$5001,J$206,BD!$A$3:$A$5001,"&gt;="&amp;$C$7,BD!$A$3:$A$5001,"&lt;="&amp;$B233,BD!$W$3:$W$5001,"&lt;&gt;")=0,"",SUMIFS(BD!$W$3:$W$5001,BD!$B$3:$B$5001,J$206,BD!$A$3:$A$5001,_xlfn.MAXIFS(BD!$A$3:$A$5001,BD!$B$3:$B$5001,J$206,BD!$A$3:$A$5001,"&gt;="&amp;$C$7,BD!$A$3:$A$5001,"&lt;="&amp;$B233,BD!$W$3:$W$5001,"&lt;&gt;"))))</f>
        <v/>
      </c>
      <c r="K233" s="43" t="str">
        <f>IF(OR($B233="",$A233&gt;$B$9,K$206=""),"",IF(COUNTIFS(BD!$B$3:$B$5001,K$206,BD!$A$3:$A$5001,"&gt;="&amp;$C$7,BD!$A$3:$A$5001,"&lt;="&amp;$B233,BD!$W$3:$W$5001,"&lt;&gt;")=0,"",SUMIFS(BD!$W$3:$W$5001,BD!$B$3:$B$5001,K$206,BD!$A$3:$A$5001,_xlfn.MAXIFS(BD!$A$3:$A$5001,BD!$B$3:$B$5001,K$206,BD!$A$3:$A$5001,"&gt;="&amp;$C$7,BD!$A$3:$A$5001,"&lt;="&amp;$B233,BD!$W$3:$W$5001,"&lt;&gt;"))))</f>
        <v/>
      </c>
      <c r="L233" s="43" t="str">
        <f>IF(OR($B233="",$A233&gt;$B$9,L$206=""),"",IF(COUNTIFS(BD!$B$3:$B$5001,L$206,BD!$A$3:$A$5001,"&gt;="&amp;$C$7,BD!$A$3:$A$5001,"&lt;="&amp;$B233,BD!$W$3:$W$5001,"&lt;&gt;")=0,"",SUMIFS(BD!$W$3:$W$5001,BD!$B$3:$B$5001,L$206,BD!$A$3:$A$5001,_xlfn.MAXIFS(BD!$A$3:$A$5001,BD!$B$3:$B$5001,L$206,BD!$A$3:$A$5001,"&gt;="&amp;$C$7,BD!$A$3:$A$5001,"&lt;="&amp;$B233,BD!$W$3:$W$5001,"&lt;&gt;"))))</f>
        <v/>
      </c>
      <c r="M233" s="43" t="str">
        <f>IF(OR($B233="",$A233&gt;$B$9,M$206=""),"",IF(COUNTIFS(BD!$B$3:$B$5001,M$206,BD!$A$3:$A$5001,"&gt;="&amp;$C$7,BD!$A$3:$A$5001,"&lt;="&amp;$B233,BD!$W$3:$W$5001,"&lt;&gt;")=0,"",SUMIFS(BD!$W$3:$W$5001,BD!$B$3:$B$5001,M$206,BD!$A$3:$A$5001,_xlfn.MAXIFS(BD!$A$3:$A$5001,BD!$B$3:$B$5001,M$206,BD!$A$3:$A$5001,"&gt;="&amp;$C$7,BD!$A$3:$A$5001,"&lt;="&amp;$B233,BD!$W$3:$W$5001,"&lt;&gt;"))))</f>
        <v/>
      </c>
      <c r="N233" s="43" t="str">
        <f>IF(OR($B233="",$A233&gt;$B$9,N$206=""),"",IF(COUNTIFS(BD!$B$3:$B$5001,N$206,BD!$A$3:$A$5001,"&gt;="&amp;$C$7,BD!$A$3:$A$5001,"&lt;="&amp;$B233,BD!$W$3:$W$5001,"&lt;&gt;")=0,"",SUMIFS(BD!$W$3:$W$5001,BD!$B$3:$B$5001,N$206,BD!$A$3:$A$5001,_xlfn.MAXIFS(BD!$A$3:$A$5001,BD!$B$3:$B$5001,N$206,BD!$A$3:$A$5001,"&gt;="&amp;$C$7,BD!$A$3:$A$5001,"&lt;="&amp;$B233,BD!$W$3:$W$5001,"&lt;&gt;"))))</f>
        <v/>
      </c>
      <c r="O233" s="43" t="str">
        <f>IF(OR($B233="",$A233&gt;$B$9,O$206=""),"",IF(COUNTIFS(BD!$B$3:$B$5001,O$206,BD!$A$3:$A$5001,"&gt;="&amp;$C$7,BD!$A$3:$A$5001,"&lt;="&amp;$B233,BD!$W$3:$W$5001,"&lt;&gt;")=0,"",SUMIFS(BD!$W$3:$W$5001,BD!$B$3:$B$5001,O$206,BD!$A$3:$A$5001,_xlfn.MAXIFS(BD!$A$3:$A$5001,BD!$B$3:$B$5001,O$206,BD!$A$3:$A$5001,"&gt;="&amp;$C$7,BD!$A$3:$A$5001,"&lt;="&amp;$B233,BD!$W$3:$W$5001,"&lt;&gt;"))))</f>
        <v/>
      </c>
      <c r="P233" s="43" t="str">
        <f>IF(OR($B233="",$A233&gt;$B$9,P$206=""),"",IF(COUNTIFS(BD!$B$3:$B$5001,P$206,BD!$A$3:$A$5001,"&gt;="&amp;$C$7,BD!$A$3:$A$5001,"&lt;="&amp;$B233,BD!$W$3:$W$5001,"&lt;&gt;")=0,"",SUMIFS(BD!$W$3:$W$5001,BD!$B$3:$B$5001,P$206,BD!$A$3:$A$5001,_xlfn.MAXIFS(BD!$A$3:$A$5001,BD!$B$3:$B$5001,P$206,BD!$A$3:$A$5001,"&gt;="&amp;$C$7,BD!$A$3:$A$5001,"&lt;="&amp;$B233,BD!$W$3:$W$5001,"&lt;&gt;"))))</f>
        <v/>
      </c>
      <c r="Q233" s="43" t="str">
        <f>IF(OR($B233="",$A233&gt;$B$9,Q$206=""),"",IF(COUNTIFS(BD!$B$3:$B$5001,Q$206,BD!$A$3:$A$5001,"&gt;="&amp;$C$7,BD!$A$3:$A$5001,"&lt;="&amp;$B233,BD!$W$3:$W$5001,"&lt;&gt;")=0,"",SUMIFS(BD!$W$3:$W$5001,BD!$B$3:$B$5001,Q$206,BD!$A$3:$A$5001,_xlfn.MAXIFS(BD!$A$3:$A$5001,BD!$B$3:$B$5001,Q$206,BD!$A$3:$A$5001,"&gt;="&amp;$C$7,BD!$A$3:$A$5001,"&lt;="&amp;$B233,BD!$W$3:$W$5001,"&lt;&gt;"))))</f>
        <v/>
      </c>
      <c r="R233" s="43" t="str">
        <f>IF(OR($B233="",$A233&gt;$B$9,R$206=""),"",IF(COUNTIFS(BD!$B$3:$B$5001,R$206,BD!$A$3:$A$5001,"&gt;="&amp;$C$7,BD!$A$3:$A$5001,"&lt;="&amp;$B233,BD!$W$3:$W$5001,"&lt;&gt;")=0,"",SUMIFS(BD!$W$3:$W$5001,BD!$B$3:$B$5001,R$206,BD!$A$3:$A$5001,_xlfn.MAXIFS(BD!$A$3:$A$5001,BD!$B$3:$B$5001,R$206,BD!$A$3:$A$5001,"&gt;="&amp;$C$7,BD!$A$3:$A$5001,"&lt;="&amp;$B233,BD!$W$3:$W$5001,"&lt;&gt;"))))</f>
        <v/>
      </c>
      <c r="S233" s="43" t="str">
        <f>IF(OR($B233="",$A233&gt;$B$9,S$206=""),"",IF(COUNTIFS(BD!$B$3:$B$5001,S$206,BD!$A$3:$A$5001,"&gt;="&amp;$C$7,BD!$A$3:$A$5001,"&lt;="&amp;$B233,BD!$W$3:$W$5001,"&lt;&gt;")=0,"",SUMIFS(BD!$W$3:$W$5001,BD!$B$3:$B$5001,S$206,BD!$A$3:$A$5001,_xlfn.MAXIFS(BD!$A$3:$A$5001,BD!$B$3:$B$5001,S$206,BD!$A$3:$A$5001,"&gt;="&amp;$C$7,BD!$A$3:$A$5001,"&lt;="&amp;$B233,BD!$W$3:$W$5001,"&lt;&gt;"))))</f>
        <v/>
      </c>
      <c r="T233" s="43" t="str">
        <f>IF(OR($B233="",$A233&gt;$B$9,T$206=""),"",IF(COUNTIFS(BD!$B$3:$B$5001,T$206,BD!$A$3:$A$5001,"&gt;="&amp;$C$7,BD!$A$3:$A$5001,"&lt;="&amp;$B233,BD!$W$3:$W$5001,"&lt;&gt;")=0,"",SUMIFS(BD!$W$3:$W$5001,BD!$B$3:$B$5001,T$206,BD!$A$3:$A$5001,_xlfn.MAXIFS(BD!$A$3:$A$5001,BD!$B$3:$B$5001,T$206,BD!$A$3:$A$5001,"&gt;="&amp;$C$7,BD!$A$3:$A$5001,"&lt;="&amp;$B233,BD!$W$3:$W$5001,"&lt;&gt;"))))</f>
        <v/>
      </c>
      <c r="U233" s="43" t="str">
        <f>IF(OR($B233="",$A233&gt;$B$9,U$206=""),"",IF(COUNTIFS(BD!$B$3:$B$5001,U$206,BD!$A$3:$A$5001,"&gt;="&amp;$C$7,BD!$A$3:$A$5001,"&lt;="&amp;$B233,BD!$W$3:$W$5001,"&lt;&gt;")=0,"",SUMIFS(BD!$W$3:$W$5001,BD!$B$3:$B$5001,U$206,BD!$A$3:$A$5001,_xlfn.MAXIFS(BD!$A$3:$A$5001,BD!$B$3:$B$5001,U$206,BD!$A$3:$A$5001,"&gt;="&amp;$C$7,BD!$A$3:$A$5001,"&lt;="&amp;$B233,BD!$W$3:$W$5001,"&lt;&gt;"))))</f>
        <v/>
      </c>
      <c r="V233" s="43" t="str">
        <f>IF(OR($B233="",$A233&gt;$B$9,V$206=""),"",IF(COUNTIFS(BD!$B$3:$B$5001,V$206,BD!$A$3:$A$5001,"&gt;="&amp;$C$7,BD!$A$3:$A$5001,"&lt;="&amp;$B233,BD!$W$3:$W$5001,"&lt;&gt;")=0,"",SUMIFS(BD!$W$3:$W$5001,BD!$B$3:$B$5001,V$206,BD!$A$3:$A$5001,_xlfn.MAXIFS(BD!$A$3:$A$5001,BD!$B$3:$B$5001,V$206,BD!$A$3:$A$5001,"&gt;="&amp;$C$7,BD!$A$3:$A$5001,"&lt;="&amp;$B233,BD!$W$3:$W$5001,"&lt;&gt;"))))</f>
        <v/>
      </c>
    </row>
    <row r="234">
      <c r="A234" s="38">
        <v>28</v>
      </c>
      <c r="B234" s="42">
        <f>$B$39</f>
        <v>46323</v>
      </c>
      <c r="C234" s="43" t="str">
        <f>IF(OR($B234="",$A234&gt;$B$9,C$206=""),"",IF(COUNTIFS(BD!$B$3:$B$5001,C$206,BD!$A$3:$A$5001,"&gt;="&amp;$C$7,BD!$A$3:$A$5001,"&lt;="&amp;$B234,BD!$W$3:$W$5001,"&lt;&gt;")=0,"",SUMIFS(BD!$W$3:$W$5001,BD!$B$3:$B$5001,C$206,BD!$A$3:$A$5001,_xlfn.MAXIFS(BD!$A$3:$A$5001,BD!$B$3:$B$5001,C$206,BD!$A$3:$A$5001,"&gt;="&amp;$C$7,BD!$A$3:$A$5001,"&lt;="&amp;$B234,BD!$W$3:$W$5001,"&lt;&gt;"))))</f>
        <v/>
      </c>
      <c r="D234" s="43" t="str">
        <f>IF(OR($B234="",$A234&gt;$B$9,D$206=""),"",IF(COUNTIFS(BD!$B$3:$B$5001,D$206,BD!$A$3:$A$5001,"&gt;="&amp;$C$7,BD!$A$3:$A$5001,"&lt;="&amp;$B234,BD!$W$3:$W$5001,"&lt;&gt;")=0,"",SUMIFS(BD!$W$3:$W$5001,BD!$B$3:$B$5001,D$206,BD!$A$3:$A$5001,_xlfn.MAXIFS(BD!$A$3:$A$5001,BD!$B$3:$B$5001,D$206,BD!$A$3:$A$5001,"&gt;="&amp;$C$7,BD!$A$3:$A$5001,"&lt;="&amp;$B234,BD!$W$3:$W$5001,"&lt;&gt;"))))</f>
        <v/>
      </c>
      <c r="E234" s="43" t="str">
        <f>IF(OR($B234="",$A234&gt;$B$9,E$206=""),"",IF(COUNTIFS(BD!$B$3:$B$5001,E$206,BD!$A$3:$A$5001,"&gt;="&amp;$C$7,BD!$A$3:$A$5001,"&lt;="&amp;$B234,BD!$W$3:$W$5001,"&lt;&gt;")=0,"",SUMIFS(BD!$W$3:$W$5001,BD!$B$3:$B$5001,E$206,BD!$A$3:$A$5001,_xlfn.MAXIFS(BD!$A$3:$A$5001,BD!$B$3:$B$5001,E$206,BD!$A$3:$A$5001,"&gt;="&amp;$C$7,BD!$A$3:$A$5001,"&lt;="&amp;$B234,BD!$W$3:$W$5001,"&lt;&gt;"))))</f>
        <v/>
      </c>
      <c r="F234" s="43" t="str">
        <f>IF(OR($B234="",$A234&gt;$B$9,F$206=""),"",IF(COUNTIFS(BD!$B$3:$B$5001,F$206,BD!$A$3:$A$5001,"&gt;="&amp;$C$7,BD!$A$3:$A$5001,"&lt;="&amp;$B234,BD!$W$3:$W$5001,"&lt;&gt;")=0,"",SUMIFS(BD!$W$3:$W$5001,BD!$B$3:$B$5001,F$206,BD!$A$3:$A$5001,_xlfn.MAXIFS(BD!$A$3:$A$5001,BD!$B$3:$B$5001,F$206,BD!$A$3:$A$5001,"&gt;="&amp;$C$7,BD!$A$3:$A$5001,"&lt;="&amp;$B234,BD!$W$3:$W$5001,"&lt;&gt;"))))</f>
        <v/>
      </c>
      <c r="G234" s="43" t="str">
        <f>IF(OR($B234="",$A234&gt;$B$9,G$206=""),"",IF(COUNTIFS(BD!$B$3:$B$5001,G$206,BD!$A$3:$A$5001,"&gt;="&amp;$C$7,BD!$A$3:$A$5001,"&lt;="&amp;$B234,BD!$W$3:$W$5001,"&lt;&gt;")=0,"",SUMIFS(BD!$W$3:$W$5001,BD!$B$3:$B$5001,G$206,BD!$A$3:$A$5001,_xlfn.MAXIFS(BD!$A$3:$A$5001,BD!$B$3:$B$5001,G$206,BD!$A$3:$A$5001,"&gt;="&amp;$C$7,BD!$A$3:$A$5001,"&lt;="&amp;$B234,BD!$W$3:$W$5001,"&lt;&gt;"))))</f>
        <v/>
      </c>
      <c r="H234" s="43" t="str">
        <f>IF(OR($B234="",$A234&gt;$B$9,H$206=""),"",IF(COUNTIFS(BD!$B$3:$B$5001,H$206,BD!$A$3:$A$5001,"&gt;="&amp;$C$7,BD!$A$3:$A$5001,"&lt;="&amp;$B234,BD!$W$3:$W$5001,"&lt;&gt;")=0,"",SUMIFS(BD!$W$3:$W$5001,BD!$B$3:$B$5001,H$206,BD!$A$3:$A$5001,_xlfn.MAXIFS(BD!$A$3:$A$5001,BD!$B$3:$B$5001,H$206,BD!$A$3:$A$5001,"&gt;="&amp;$C$7,BD!$A$3:$A$5001,"&lt;="&amp;$B234,BD!$W$3:$W$5001,"&lt;&gt;"))))</f>
        <v/>
      </c>
      <c r="I234" s="43" t="str">
        <f>IF(OR($B234="",$A234&gt;$B$9,I$206=""),"",IF(COUNTIFS(BD!$B$3:$B$5001,I$206,BD!$A$3:$A$5001,"&gt;="&amp;$C$7,BD!$A$3:$A$5001,"&lt;="&amp;$B234,BD!$W$3:$W$5001,"&lt;&gt;")=0,"",SUMIFS(BD!$W$3:$W$5001,BD!$B$3:$B$5001,I$206,BD!$A$3:$A$5001,_xlfn.MAXIFS(BD!$A$3:$A$5001,BD!$B$3:$B$5001,I$206,BD!$A$3:$A$5001,"&gt;="&amp;$C$7,BD!$A$3:$A$5001,"&lt;="&amp;$B234,BD!$W$3:$W$5001,"&lt;&gt;"))))</f>
        <v/>
      </c>
      <c r="J234" s="43" t="str">
        <f>IF(OR($B234="",$A234&gt;$B$9,J$206=""),"",IF(COUNTIFS(BD!$B$3:$B$5001,J$206,BD!$A$3:$A$5001,"&gt;="&amp;$C$7,BD!$A$3:$A$5001,"&lt;="&amp;$B234,BD!$W$3:$W$5001,"&lt;&gt;")=0,"",SUMIFS(BD!$W$3:$W$5001,BD!$B$3:$B$5001,J$206,BD!$A$3:$A$5001,_xlfn.MAXIFS(BD!$A$3:$A$5001,BD!$B$3:$B$5001,J$206,BD!$A$3:$A$5001,"&gt;="&amp;$C$7,BD!$A$3:$A$5001,"&lt;="&amp;$B234,BD!$W$3:$W$5001,"&lt;&gt;"))))</f>
        <v/>
      </c>
      <c r="K234" s="43" t="str">
        <f>IF(OR($B234="",$A234&gt;$B$9,K$206=""),"",IF(COUNTIFS(BD!$B$3:$B$5001,K$206,BD!$A$3:$A$5001,"&gt;="&amp;$C$7,BD!$A$3:$A$5001,"&lt;="&amp;$B234,BD!$W$3:$W$5001,"&lt;&gt;")=0,"",SUMIFS(BD!$W$3:$W$5001,BD!$B$3:$B$5001,K$206,BD!$A$3:$A$5001,_xlfn.MAXIFS(BD!$A$3:$A$5001,BD!$B$3:$B$5001,K$206,BD!$A$3:$A$5001,"&gt;="&amp;$C$7,BD!$A$3:$A$5001,"&lt;="&amp;$B234,BD!$W$3:$W$5001,"&lt;&gt;"))))</f>
        <v/>
      </c>
      <c r="L234" s="43" t="str">
        <f>IF(OR($B234="",$A234&gt;$B$9,L$206=""),"",IF(COUNTIFS(BD!$B$3:$B$5001,L$206,BD!$A$3:$A$5001,"&gt;="&amp;$C$7,BD!$A$3:$A$5001,"&lt;="&amp;$B234,BD!$W$3:$W$5001,"&lt;&gt;")=0,"",SUMIFS(BD!$W$3:$W$5001,BD!$B$3:$B$5001,L$206,BD!$A$3:$A$5001,_xlfn.MAXIFS(BD!$A$3:$A$5001,BD!$B$3:$B$5001,L$206,BD!$A$3:$A$5001,"&gt;="&amp;$C$7,BD!$A$3:$A$5001,"&lt;="&amp;$B234,BD!$W$3:$W$5001,"&lt;&gt;"))))</f>
        <v/>
      </c>
      <c r="M234" s="43" t="str">
        <f>IF(OR($B234="",$A234&gt;$B$9,M$206=""),"",IF(COUNTIFS(BD!$B$3:$B$5001,M$206,BD!$A$3:$A$5001,"&gt;="&amp;$C$7,BD!$A$3:$A$5001,"&lt;="&amp;$B234,BD!$W$3:$W$5001,"&lt;&gt;")=0,"",SUMIFS(BD!$W$3:$W$5001,BD!$B$3:$B$5001,M$206,BD!$A$3:$A$5001,_xlfn.MAXIFS(BD!$A$3:$A$5001,BD!$B$3:$B$5001,M$206,BD!$A$3:$A$5001,"&gt;="&amp;$C$7,BD!$A$3:$A$5001,"&lt;="&amp;$B234,BD!$W$3:$W$5001,"&lt;&gt;"))))</f>
        <v/>
      </c>
      <c r="N234" s="43" t="str">
        <f>IF(OR($B234="",$A234&gt;$B$9,N$206=""),"",IF(COUNTIFS(BD!$B$3:$B$5001,N$206,BD!$A$3:$A$5001,"&gt;="&amp;$C$7,BD!$A$3:$A$5001,"&lt;="&amp;$B234,BD!$W$3:$W$5001,"&lt;&gt;")=0,"",SUMIFS(BD!$W$3:$W$5001,BD!$B$3:$B$5001,N$206,BD!$A$3:$A$5001,_xlfn.MAXIFS(BD!$A$3:$A$5001,BD!$B$3:$B$5001,N$206,BD!$A$3:$A$5001,"&gt;="&amp;$C$7,BD!$A$3:$A$5001,"&lt;="&amp;$B234,BD!$W$3:$W$5001,"&lt;&gt;"))))</f>
        <v/>
      </c>
      <c r="O234" s="43" t="str">
        <f>IF(OR($B234="",$A234&gt;$B$9,O$206=""),"",IF(COUNTIFS(BD!$B$3:$B$5001,O$206,BD!$A$3:$A$5001,"&gt;="&amp;$C$7,BD!$A$3:$A$5001,"&lt;="&amp;$B234,BD!$W$3:$W$5001,"&lt;&gt;")=0,"",SUMIFS(BD!$W$3:$W$5001,BD!$B$3:$B$5001,O$206,BD!$A$3:$A$5001,_xlfn.MAXIFS(BD!$A$3:$A$5001,BD!$B$3:$B$5001,O$206,BD!$A$3:$A$5001,"&gt;="&amp;$C$7,BD!$A$3:$A$5001,"&lt;="&amp;$B234,BD!$W$3:$W$5001,"&lt;&gt;"))))</f>
        <v/>
      </c>
      <c r="P234" s="43" t="str">
        <f>IF(OR($B234="",$A234&gt;$B$9,P$206=""),"",IF(COUNTIFS(BD!$B$3:$B$5001,P$206,BD!$A$3:$A$5001,"&gt;="&amp;$C$7,BD!$A$3:$A$5001,"&lt;="&amp;$B234,BD!$W$3:$W$5001,"&lt;&gt;")=0,"",SUMIFS(BD!$W$3:$W$5001,BD!$B$3:$B$5001,P$206,BD!$A$3:$A$5001,_xlfn.MAXIFS(BD!$A$3:$A$5001,BD!$B$3:$B$5001,P$206,BD!$A$3:$A$5001,"&gt;="&amp;$C$7,BD!$A$3:$A$5001,"&lt;="&amp;$B234,BD!$W$3:$W$5001,"&lt;&gt;"))))</f>
        <v/>
      </c>
      <c r="Q234" s="43" t="str">
        <f>IF(OR($B234="",$A234&gt;$B$9,Q$206=""),"",IF(COUNTIFS(BD!$B$3:$B$5001,Q$206,BD!$A$3:$A$5001,"&gt;="&amp;$C$7,BD!$A$3:$A$5001,"&lt;="&amp;$B234,BD!$W$3:$W$5001,"&lt;&gt;")=0,"",SUMIFS(BD!$W$3:$W$5001,BD!$B$3:$B$5001,Q$206,BD!$A$3:$A$5001,_xlfn.MAXIFS(BD!$A$3:$A$5001,BD!$B$3:$B$5001,Q$206,BD!$A$3:$A$5001,"&gt;="&amp;$C$7,BD!$A$3:$A$5001,"&lt;="&amp;$B234,BD!$W$3:$W$5001,"&lt;&gt;"))))</f>
        <v/>
      </c>
      <c r="R234" s="43" t="str">
        <f>IF(OR($B234="",$A234&gt;$B$9,R$206=""),"",IF(COUNTIFS(BD!$B$3:$B$5001,R$206,BD!$A$3:$A$5001,"&gt;="&amp;$C$7,BD!$A$3:$A$5001,"&lt;="&amp;$B234,BD!$W$3:$W$5001,"&lt;&gt;")=0,"",SUMIFS(BD!$W$3:$W$5001,BD!$B$3:$B$5001,R$206,BD!$A$3:$A$5001,_xlfn.MAXIFS(BD!$A$3:$A$5001,BD!$B$3:$B$5001,R$206,BD!$A$3:$A$5001,"&gt;="&amp;$C$7,BD!$A$3:$A$5001,"&lt;="&amp;$B234,BD!$W$3:$W$5001,"&lt;&gt;"))))</f>
        <v/>
      </c>
      <c r="S234" s="43" t="str">
        <f>IF(OR($B234="",$A234&gt;$B$9,S$206=""),"",IF(COUNTIFS(BD!$B$3:$B$5001,S$206,BD!$A$3:$A$5001,"&gt;="&amp;$C$7,BD!$A$3:$A$5001,"&lt;="&amp;$B234,BD!$W$3:$W$5001,"&lt;&gt;")=0,"",SUMIFS(BD!$W$3:$W$5001,BD!$B$3:$B$5001,S$206,BD!$A$3:$A$5001,_xlfn.MAXIFS(BD!$A$3:$A$5001,BD!$B$3:$B$5001,S$206,BD!$A$3:$A$5001,"&gt;="&amp;$C$7,BD!$A$3:$A$5001,"&lt;="&amp;$B234,BD!$W$3:$W$5001,"&lt;&gt;"))))</f>
        <v/>
      </c>
      <c r="T234" s="43" t="str">
        <f>IF(OR($B234="",$A234&gt;$B$9,T$206=""),"",IF(COUNTIFS(BD!$B$3:$B$5001,T$206,BD!$A$3:$A$5001,"&gt;="&amp;$C$7,BD!$A$3:$A$5001,"&lt;="&amp;$B234,BD!$W$3:$W$5001,"&lt;&gt;")=0,"",SUMIFS(BD!$W$3:$W$5001,BD!$B$3:$B$5001,T$206,BD!$A$3:$A$5001,_xlfn.MAXIFS(BD!$A$3:$A$5001,BD!$B$3:$B$5001,T$206,BD!$A$3:$A$5001,"&gt;="&amp;$C$7,BD!$A$3:$A$5001,"&lt;="&amp;$B234,BD!$W$3:$W$5001,"&lt;&gt;"))))</f>
        <v/>
      </c>
      <c r="U234" s="43" t="str">
        <f>IF(OR($B234="",$A234&gt;$B$9,U$206=""),"",IF(COUNTIFS(BD!$B$3:$B$5001,U$206,BD!$A$3:$A$5001,"&gt;="&amp;$C$7,BD!$A$3:$A$5001,"&lt;="&amp;$B234,BD!$W$3:$W$5001,"&lt;&gt;")=0,"",SUMIFS(BD!$W$3:$W$5001,BD!$B$3:$B$5001,U$206,BD!$A$3:$A$5001,_xlfn.MAXIFS(BD!$A$3:$A$5001,BD!$B$3:$B$5001,U$206,BD!$A$3:$A$5001,"&gt;="&amp;$C$7,BD!$A$3:$A$5001,"&lt;="&amp;$B234,BD!$W$3:$W$5001,"&lt;&gt;"))))</f>
        <v/>
      </c>
      <c r="V234" s="43" t="str">
        <f>IF(OR($B234="",$A234&gt;$B$9,V$206=""),"",IF(COUNTIFS(BD!$B$3:$B$5001,V$206,BD!$A$3:$A$5001,"&gt;="&amp;$C$7,BD!$A$3:$A$5001,"&lt;="&amp;$B234,BD!$W$3:$W$5001,"&lt;&gt;")=0,"",SUMIFS(BD!$W$3:$W$5001,BD!$B$3:$B$5001,V$206,BD!$A$3:$A$5001,_xlfn.MAXIFS(BD!$A$3:$A$5001,BD!$B$3:$B$5001,V$206,BD!$A$3:$A$5001,"&gt;="&amp;$C$7,BD!$A$3:$A$5001,"&lt;="&amp;$B234,BD!$W$3:$W$5001,"&lt;&gt;"))))</f>
        <v/>
      </c>
    </row>
    <row r="235">
      <c r="A235" s="38">
        <v>29</v>
      </c>
      <c r="B235" s="42">
        <f>$B$40</f>
        <v>46324</v>
      </c>
      <c r="C235" s="43" t="str">
        <f>IF(OR($B235="",$A235&gt;$B$9,C$206=""),"",IF(COUNTIFS(BD!$B$3:$B$5001,C$206,BD!$A$3:$A$5001,"&gt;="&amp;$C$7,BD!$A$3:$A$5001,"&lt;="&amp;$B235,BD!$W$3:$W$5001,"&lt;&gt;")=0,"",SUMIFS(BD!$W$3:$W$5001,BD!$B$3:$B$5001,C$206,BD!$A$3:$A$5001,_xlfn.MAXIFS(BD!$A$3:$A$5001,BD!$B$3:$B$5001,C$206,BD!$A$3:$A$5001,"&gt;="&amp;$C$7,BD!$A$3:$A$5001,"&lt;="&amp;$B235,BD!$W$3:$W$5001,"&lt;&gt;"))))</f>
        <v/>
      </c>
      <c r="D235" s="43" t="str">
        <f>IF(OR($B235="",$A235&gt;$B$9,D$206=""),"",IF(COUNTIFS(BD!$B$3:$B$5001,D$206,BD!$A$3:$A$5001,"&gt;="&amp;$C$7,BD!$A$3:$A$5001,"&lt;="&amp;$B235,BD!$W$3:$W$5001,"&lt;&gt;")=0,"",SUMIFS(BD!$W$3:$W$5001,BD!$B$3:$B$5001,D$206,BD!$A$3:$A$5001,_xlfn.MAXIFS(BD!$A$3:$A$5001,BD!$B$3:$B$5001,D$206,BD!$A$3:$A$5001,"&gt;="&amp;$C$7,BD!$A$3:$A$5001,"&lt;="&amp;$B235,BD!$W$3:$W$5001,"&lt;&gt;"))))</f>
        <v/>
      </c>
      <c r="E235" s="43" t="str">
        <f>IF(OR($B235="",$A235&gt;$B$9,E$206=""),"",IF(COUNTIFS(BD!$B$3:$B$5001,E$206,BD!$A$3:$A$5001,"&gt;="&amp;$C$7,BD!$A$3:$A$5001,"&lt;="&amp;$B235,BD!$W$3:$W$5001,"&lt;&gt;")=0,"",SUMIFS(BD!$W$3:$W$5001,BD!$B$3:$B$5001,E$206,BD!$A$3:$A$5001,_xlfn.MAXIFS(BD!$A$3:$A$5001,BD!$B$3:$B$5001,E$206,BD!$A$3:$A$5001,"&gt;="&amp;$C$7,BD!$A$3:$A$5001,"&lt;="&amp;$B235,BD!$W$3:$W$5001,"&lt;&gt;"))))</f>
        <v/>
      </c>
      <c r="F235" s="43" t="str">
        <f>IF(OR($B235="",$A235&gt;$B$9,F$206=""),"",IF(COUNTIFS(BD!$B$3:$B$5001,F$206,BD!$A$3:$A$5001,"&gt;="&amp;$C$7,BD!$A$3:$A$5001,"&lt;="&amp;$B235,BD!$W$3:$W$5001,"&lt;&gt;")=0,"",SUMIFS(BD!$W$3:$W$5001,BD!$B$3:$B$5001,F$206,BD!$A$3:$A$5001,_xlfn.MAXIFS(BD!$A$3:$A$5001,BD!$B$3:$B$5001,F$206,BD!$A$3:$A$5001,"&gt;="&amp;$C$7,BD!$A$3:$A$5001,"&lt;="&amp;$B235,BD!$W$3:$W$5001,"&lt;&gt;"))))</f>
        <v/>
      </c>
      <c r="G235" s="43" t="str">
        <f>IF(OR($B235="",$A235&gt;$B$9,G$206=""),"",IF(COUNTIFS(BD!$B$3:$B$5001,G$206,BD!$A$3:$A$5001,"&gt;="&amp;$C$7,BD!$A$3:$A$5001,"&lt;="&amp;$B235,BD!$W$3:$W$5001,"&lt;&gt;")=0,"",SUMIFS(BD!$W$3:$W$5001,BD!$B$3:$B$5001,G$206,BD!$A$3:$A$5001,_xlfn.MAXIFS(BD!$A$3:$A$5001,BD!$B$3:$B$5001,G$206,BD!$A$3:$A$5001,"&gt;="&amp;$C$7,BD!$A$3:$A$5001,"&lt;="&amp;$B235,BD!$W$3:$W$5001,"&lt;&gt;"))))</f>
        <v/>
      </c>
      <c r="H235" s="43" t="str">
        <f>IF(OR($B235="",$A235&gt;$B$9,H$206=""),"",IF(COUNTIFS(BD!$B$3:$B$5001,H$206,BD!$A$3:$A$5001,"&gt;="&amp;$C$7,BD!$A$3:$A$5001,"&lt;="&amp;$B235,BD!$W$3:$W$5001,"&lt;&gt;")=0,"",SUMIFS(BD!$W$3:$W$5001,BD!$B$3:$B$5001,H$206,BD!$A$3:$A$5001,_xlfn.MAXIFS(BD!$A$3:$A$5001,BD!$B$3:$B$5001,H$206,BD!$A$3:$A$5001,"&gt;="&amp;$C$7,BD!$A$3:$A$5001,"&lt;="&amp;$B235,BD!$W$3:$W$5001,"&lt;&gt;"))))</f>
        <v/>
      </c>
      <c r="I235" s="43" t="str">
        <f>IF(OR($B235="",$A235&gt;$B$9,I$206=""),"",IF(COUNTIFS(BD!$B$3:$B$5001,I$206,BD!$A$3:$A$5001,"&gt;="&amp;$C$7,BD!$A$3:$A$5001,"&lt;="&amp;$B235,BD!$W$3:$W$5001,"&lt;&gt;")=0,"",SUMIFS(BD!$W$3:$W$5001,BD!$B$3:$B$5001,I$206,BD!$A$3:$A$5001,_xlfn.MAXIFS(BD!$A$3:$A$5001,BD!$B$3:$B$5001,I$206,BD!$A$3:$A$5001,"&gt;="&amp;$C$7,BD!$A$3:$A$5001,"&lt;="&amp;$B235,BD!$W$3:$W$5001,"&lt;&gt;"))))</f>
        <v/>
      </c>
      <c r="J235" s="43" t="str">
        <f>IF(OR($B235="",$A235&gt;$B$9,J$206=""),"",IF(COUNTIFS(BD!$B$3:$B$5001,J$206,BD!$A$3:$A$5001,"&gt;="&amp;$C$7,BD!$A$3:$A$5001,"&lt;="&amp;$B235,BD!$W$3:$W$5001,"&lt;&gt;")=0,"",SUMIFS(BD!$W$3:$W$5001,BD!$B$3:$B$5001,J$206,BD!$A$3:$A$5001,_xlfn.MAXIFS(BD!$A$3:$A$5001,BD!$B$3:$B$5001,J$206,BD!$A$3:$A$5001,"&gt;="&amp;$C$7,BD!$A$3:$A$5001,"&lt;="&amp;$B235,BD!$W$3:$W$5001,"&lt;&gt;"))))</f>
        <v/>
      </c>
      <c r="K235" s="43" t="str">
        <f>IF(OR($B235="",$A235&gt;$B$9,K$206=""),"",IF(COUNTIFS(BD!$B$3:$B$5001,K$206,BD!$A$3:$A$5001,"&gt;="&amp;$C$7,BD!$A$3:$A$5001,"&lt;="&amp;$B235,BD!$W$3:$W$5001,"&lt;&gt;")=0,"",SUMIFS(BD!$W$3:$W$5001,BD!$B$3:$B$5001,K$206,BD!$A$3:$A$5001,_xlfn.MAXIFS(BD!$A$3:$A$5001,BD!$B$3:$B$5001,K$206,BD!$A$3:$A$5001,"&gt;="&amp;$C$7,BD!$A$3:$A$5001,"&lt;="&amp;$B235,BD!$W$3:$W$5001,"&lt;&gt;"))))</f>
        <v/>
      </c>
      <c r="L235" s="43" t="str">
        <f>IF(OR($B235="",$A235&gt;$B$9,L$206=""),"",IF(COUNTIFS(BD!$B$3:$B$5001,L$206,BD!$A$3:$A$5001,"&gt;="&amp;$C$7,BD!$A$3:$A$5001,"&lt;="&amp;$B235,BD!$W$3:$W$5001,"&lt;&gt;")=0,"",SUMIFS(BD!$W$3:$W$5001,BD!$B$3:$B$5001,L$206,BD!$A$3:$A$5001,_xlfn.MAXIFS(BD!$A$3:$A$5001,BD!$B$3:$B$5001,L$206,BD!$A$3:$A$5001,"&gt;="&amp;$C$7,BD!$A$3:$A$5001,"&lt;="&amp;$B235,BD!$W$3:$W$5001,"&lt;&gt;"))))</f>
        <v/>
      </c>
      <c r="M235" s="43" t="str">
        <f>IF(OR($B235="",$A235&gt;$B$9,M$206=""),"",IF(COUNTIFS(BD!$B$3:$B$5001,M$206,BD!$A$3:$A$5001,"&gt;="&amp;$C$7,BD!$A$3:$A$5001,"&lt;="&amp;$B235,BD!$W$3:$W$5001,"&lt;&gt;")=0,"",SUMIFS(BD!$W$3:$W$5001,BD!$B$3:$B$5001,M$206,BD!$A$3:$A$5001,_xlfn.MAXIFS(BD!$A$3:$A$5001,BD!$B$3:$B$5001,M$206,BD!$A$3:$A$5001,"&gt;="&amp;$C$7,BD!$A$3:$A$5001,"&lt;="&amp;$B235,BD!$W$3:$W$5001,"&lt;&gt;"))))</f>
        <v/>
      </c>
      <c r="N235" s="43" t="str">
        <f>IF(OR($B235="",$A235&gt;$B$9,N$206=""),"",IF(COUNTIFS(BD!$B$3:$B$5001,N$206,BD!$A$3:$A$5001,"&gt;="&amp;$C$7,BD!$A$3:$A$5001,"&lt;="&amp;$B235,BD!$W$3:$W$5001,"&lt;&gt;")=0,"",SUMIFS(BD!$W$3:$W$5001,BD!$B$3:$B$5001,N$206,BD!$A$3:$A$5001,_xlfn.MAXIFS(BD!$A$3:$A$5001,BD!$B$3:$B$5001,N$206,BD!$A$3:$A$5001,"&gt;="&amp;$C$7,BD!$A$3:$A$5001,"&lt;="&amp;$B235,BD!$W$3:$W$5001,"&lt;&gt;"))))</f>
        <v/>
      </c>
      <c r="O235" s="43" t="str">
        <f>IF(OR($B235="",$A235&gt;$B$9,O$206=""),"",IF(COUNTIFS(BD!$B$3:$B$5001,O$206,BD!$A$3:$A$5001,"&gt;="&amp;$C$7,BD!$A$3:$A$5001,"&lt;="&amp;$B235,BD!$W$3:$W$5001,"&lt;&gt;")=0,"",SUMIFS(BD!$W$3:$W$5001,BD!$B$3:$B$5001,O$206,BD!$A$3:$A$5001,_xlfn.MAXIFS(BD!$A$3:$A$5001,BD!$B$3:$B$5001,O$206,BD!$A$3:$A$5001,"&gt;="&amp;$C$7,BD!$A$3:$A$5001,"&lt;="&amp;$B235,BD!$W$3:$W$5001,"&lt;&gt;"))))</f>
        <v/>
      </c>
      <c r="P235" s="43" t="str">
        <f>IF(OR($B235="",$A235&gt;$B$9,P$206=""),"",IF(COUNTIFS(BD!$B$3:$B$5001,P$206,BD!$A$3:$A$5001,"&gt;="&amp;$C$7,BD!$A$3:$A$5001,"&lt;="&amp;$B235,BD!$W$3:$W$5001,"&lt;&gt;")=0,"",SUMIFS(BD!$W$3:$W$5001,BD!$B$3:$B$5001,P$206,BD!$A$3:$A$5001,_xlfn.MAXIFS(BD!$A$3:$A$5001,BD!$B$3:$B$5001,P$206,BD!$A$3:$A$5001,"&gt;="&amp;$C$7,BD!$A$3:$A$5001,"&lt;="&amp;$B235,BD!$W$3:$W$5001,"&lt;&gt;"))))</f>
        <v/>
      </c>
      <c r="Q235" s="43" t="str">
        <f>IF(OR($B235="",$A235&gt;$B$9,Q$206=""),"",IF(COUNTIFS(BD!$B$3:$B$5001,Q$206,BD!$A$3:$A$5001,"&gt;="&amp;$C$7,BD!$A$3:$A$5001,"&lt;="&amp;$B235,BD!$W$3:$W$5001,"&lt;&gt;")=0,"",SUMIFS(BD!$W$3:$W$5001,BD!$B$3:$B$5001,Q$206,BD!$A$3:$A$5001,_xlfn.MAXIFS(BD!$A$3:$A$5001,BD!$B$3:$B$5001,Q$206,BD!$A$3:$A$5001,"&gt;="&amp;$C$7,BD!$A$3:$A$5001,"&lt;="&amp;$B235,BD!$W$3:$W$5001,"&lt;&gt;"))))</f>
        <v/>
      </c>
      <c r="R235" s="43" t="str">
        <f>IF(OR($B235="",$A235&gt;$B$9,R$206=""),"",IF(COUNTIFS(BD!$B$3:$B$5001,R$206,BD!$A$3:$A$5001,"&gt;="&amp;$C$7,BD!$A$3:$A$5001,"&lt;="&amp;$B235,BD!$W$3:$W$5001,"&lt;&gt;")=0,"",SUMIFS(BD!$W$3:$W$5001,BD!$B$3:$B$5001,R$206,BD!$A$3:$A$5001,_xlfn.MAXIFS(BD!$A$3:$A$5001,BD!$B$3:$B$5001,R$206,BD!$A$3:$A$5001,"&gt;="&amp;$C$7,BD!$A$3:$A$5001,"&lt;="&amp;$B235,BD!$W$3:$W$5001,"&lt;&gt;"))))</f>
        <v/>
      </c>
      <c r="S235" s="43" t="str">
        <f>IF(OR($B235="",$A235&gt;$B$9,S$206=""),"",IF(COUNTIFS(BD!$B$3:$B$5001,S$206,BD!$A$3:$A$5001,"&gt;="&amp;$C$7,BD!$A$3:$A$5001,"&lt;="&amp;$B235,BD!$W$3:$W$5001,"&lt;&gt;")=0,"",SUMIFS(BD!$W$3:$W$5001,BD!$B$3:$B$5001,S$206,BD!$A$3:$A$5001,_xlfn.MAXIFS(BD!$A$3:$A$5001,BD!$B$3:$B$5001,S$206,BD!$A$3:$A$5001,"&gt;="&amp;$C$7,BD!$A$3:$A$5001,"&lt;="&amp;$B235,BD!$W$3:$W$5001,"&lt;&gt;"))))</f>
        <v/>
      </c>
      <c r="T235" s="43" t="str">
        <f>IF(OR($B235="",$A235&gt;$B$9,T$206=""),"",IF(COUNTIFS(BD!$B$3:$B$5001,T$206,BD!$A$3:$A$5001,"&gt;="&amp;$C$7,BD!$A$3:$A$5001,"&lt;="&amp;$B235,BD!$W$3:$W$5001,"&lt;&gt;")=0,"",SUMIFS(BD!$W$3:$W$5001,BD!$B$3:$B$5001,T$206,BD!$A$3:$A$5001,_xlfn.MAXIFS(BD!$A$3:$A$5001,BD!$B$3:$B$5001,T$206,BD!$A$3:$A$5001,"&gt;="&amp;$C$7,BD!$A$3:$A$5001,"&lt;="&amp;$B235,BD!$W$3:$W$5001,"&lt;&gt;"))))</f>
        <v/>
      </c>
      <c r="U235" s="43" t="str">
        <f>IF(OR($B235="",$A235&gt;$B$9,U$206=""),"",IF(COUNTIFS(BD!$B$3:$B$5001,U$206,BD!$A$3:$A$5001,"&gt;="&amp;$C$7,BD!$A$3:$A$5001,"&lt;="&amp;$B235,BD!$W$3:$W$5001,"&lt;&gt;")=0,"",SUMIFS(BD!$W$3:$W$5001,BD!$B$3:$B$5001,U$206,BD!$A$3:$A$5001,_xlfn.MAXIFS(BD!$A$3:$A$5001,BD!$B$3:$B$5001,U$206,BD!$A$3:$A$5001,"&gt;="&amp;$C$7,BD!$A$3:$A$5001,"&lt;="&amp;$B235,BD!$W$3:$W$5001,"&lt;&gt;"))))</f>
        <v/>
      </c>
      <c r="V235" s="43" t="str">
        <f>IF(OR($B235="",$A235&gt;$B$9,V$206=""),"",IF(COUNTIFS(BD!$B$3:$B$5001,V$206,BD!$A$3:$A$5001,"&gt;="&amp;$C$7,BD!$A$3:$A$5001,"&lt;="&amp;$B235,BD!$W$3:$W$5001,"&lt;&gt;")=0,"",SUMIFS(BD!$W$3:$W$5001,BD!$B$3:$B$5001,V$206,BD!$A$3:$A$5001,_xlfn.MAXIFS(BD!$A$3:$A$5001,BD!$B$3:$B$5001,V$206,BD!$A$3:$A$5001,"&gt;="&amp;$C$7,BD!$A$3:$A$5001,"&lt;="&amp;$B235,BD!$W$3:$W$5001,"&lt;&gt;"))))</f>
        <v/>
      </c>
    </row>
    <row r="236">
      <c r="A236" s="38">
        <v>30</v>
      </c>
      <c r="B236" s="42">
        <f>$B$41</f>
        <v>46325</v>
      </c>
      <c r="C236" s="43" t="str">
        <f>IF(OR($B236="",$A236&gt;$B$9,C$206=""),"",IF(COUNTIFS(BD!$B$3:$B$5001,C$206,BD!$A$3:$A$5001,"&gt;="&amp;$C$7,BD!$A$3:$A$5001,"&lt;="&amp;$B236,BD!$W$3:$W$5001,"&lt;&gt;")=0,"",SUMIFS(BD!$W$3:$W$5001,BD!$B$3:$B$5001,C$206,BD!$A$3:$A$5001,_xlfn.MAXIFS(BD!$A$3:$A$5001,BD!$B$3:$B$5001,C$206,BD!$A$3:$A$5001,"&gt;="&amp;$C$7,BD!$A$3:$A$5001,"&lt;="&amp;$B236,BD!$W$3:$W$5001,"&lt;&gt;"))))</f>
        <v/>
      </c>
      <c r="D236" s="43" t="str">
        <f>IF(OR($B236="",$A236&gt;$B$9,D$206=""),"",IF(COUNTIFS(BD!$B$3:$B$5001,D$206,BD!$A$3:$A$5001,"&gt;="&amp;$C$7,BD!$A$3:$A$5001,"&lt;="&amp;$B236,BD!$W$3:$W$5001,"&lt;&gt;")=0,"",SUMIFS(BD!$W$3:$W$5001,BD!$B$3:$B$5001,D$206,BD!$A$3:$A$5001,_xlfn.MAXIFS(BD!$A$3:$A$5001,BD!$B$3:$B$5001,D$206,BD!$A$3:$A$5001,"&gt;="&amp;$C$7,BD!$A$3:$A$5001,"&lt;="&amp;$B236,BD!$W$3:$W$5001,"&lt;&gt;"))))</f>
        <v/>
      </c>
      <c r="E236" s="43" t="str">
        <f>IF(OR($B236="",$A236&gt;$B$9,E$206=""),"",IF(COUNTIFS(BD!$B$3:$B$5001,E$206,BD!$A$3:$A$5001,"&gt;="&amp;$C$7,BD!$A$3:$A$5001,"&lt;="&amp;$B236,BD!$W$3:$W$5001,"&lt;&gt;")=0,"",SUMIFS(BD!$W$3:$W$5001,BD!$B$3:$B$5001,E$206,BD!$A$3:$A$5001,_xlfn.MAXIFS(BD!$A$3:$A$5001,BD!$B$3:$B$5001,E$206,BD!$A$3:$A$5001,"&gt;="&amp;$C$7,BD!$A$3:$A$5001,"&lt;="&amp;$B236,BD!$W$3:$W$5001,"&lt;&gt;"))))</f>
        <v/>
      </c>
      <c r="F236" s="43" t="str">
        <f>IF(OR($B236="",$A236&gt;$B$9,F$206=""),"",IF(COUNTIFS(BD!$B$3:$B$5001,F$206,BD!$A$3:$A$5001,"&gt;="&amp;$C$7,BD!$A$3:$A$5001,"&lt;="&amp;$B236,BD!$W$3:$W$5001,"&lt;&gt;")=0,"",SUMIFS(BD!$W$3:$W$5001,BD!$B$3:$B$5001,F$206,BD!$A$3:$A$5001,_xlfn.MAXIFS(BD!$A$3:$A$5001,BD!$B$3:$B$5001,F$206,BD!$A$3:$A$5001,"&gt;="&amp;$C$7,BD!$A$3:$A$5001,"&lt;="&amp;$B236,BD!$W$3:$W$5001,"&lt;&gt;"))))</f>
        <v/>
      </c>
      <c r="G236" s="43" t="str">
        <f>IF(OR($B236="",$A236&gt;$B$9,G$206=""),"",IF(COUNTIFS(BD!$B$3:$B$5001,G$206,BD!$A$3:$A$5001,"&gt;="&amp;$C$7,BD!$A$3:$A$5001,"&lt;="&amp;$B236,BD!$W$3:$W$5001,"&lt;&gt;")=0,"",SUMIFS(BD!$W$3:$W$5001,BD!$B$3:$B$5001,G$206,BD!$A$3:$A$5001,_xlfn.MAXIFS(BD!$A$3:$A$5001,BD!$B$3:$B$5001,G$206,BD!$A$3:$A$5001,"&gt;="&amp;$C$7,BD!$A$3:$A$5001,"&lt;="&amp;$B236,BD!$W$3:$W$5001,"&lt;&gt;"))))</f>
        <v/>
      </c>
      <c r="H236" s="43" t="str">
        <f>IF(OR($B236="",$A236&gt;$B$9,H$206=""),"",IF(COUNTIFS(BD!$B$3:$B$5001,H$206,BD!$A$3:$A$5001,"&gt;="&amp;$C$7,BD!$A$3:$A$5001,"&lt;="&amp;$B236,BD!$W$3:$W$5001,"&lt;&gt;")=0,"",SUMIFS(BD!$W$3:$W$5001,BD!$B$3:$B$5001,H$206,BD!$A$3:$A$5001,_xlfn.MAXIFS(BD!$A$3:$A$5001,BD!$B$3:$B$5001,H$206,BD!$A$3:$A$5001,"&gt;="&amp;$C$7,BD!$A$3:$A$5001,"&lt;="&amp;$B236,BD!$W$3:$W$5001,"&lt;&gt;"))))</f>
        <v/>
      </c>
      <c r="I236" s="43" t="str">
        <f>IF(OR($B236="",$A236&gt;$B$9,I$206=""),"",IF(COUNTIFS(BD!$B$3:$B$5001,I$206,BD!$A$3:$A$5001,"&gt;="&amp;$C$7,BD!$A$3:$A$5001,"&lt;="&amp;$B236,BD!$W$3:$W$5001,"&lt;&gt;")=0,"",SUMIFS(BD!$W$3:$W$5001,BD!$B$3:$B$5001,I$206,BD!$A$3:$A$5001,_xlfn.MAXIFS(BD!$A$3:$A$5001,BD!$B$3:$B$5001,I$206,BD!$A$3:$A$5001,"&gt;="&amp;$C$7,BD!$A$3:$A$5001,"&lt;="&amp;$B236,BD!$W$3:$W$5001,"&lt;&gt;"))))</f>
        <v/>
      </c>
      <c r="J236" s="43" t="str">
        <f>IF(OR($B236="",$A236&gt;$B$9,J$206=""),"",IF(COUNTIFS(BD!$B$3:$B$5001,J$206,BD!$A$3:$A$5001,"&gt;="&amp;$C$7,BD!$A$3:$A$5001,"&lt;="&amp;$B236,BD!$W$3:$W$5001,"&lt;&gt;")=0,"",SUMIFS(BD!$W$3:$W$5001,BD!$B$3:$B$5001,J$206,BD!$A$3:$A$5001,_xlfn.MAXIFS(BD!$A$3:$A$5001,BD!$B$3:$B$5001,J$206,BD!$A$3:$A$5001,"&gt;="&amp;$C$7,BD!$A$3:$A$5001,"&lt;="&amp;$B236,BD!$W$3:$W$5001,"&lt;&gt;"))))</f>
        <v/>
      </c>
      <c r="K236" s="43" t="str">
        <f>IF(OR($B236="",$A236&gt;$B$9,K$206=""),"",IF(COUNTIFS(BD!$B$3:$B$5001,K$206,BD!$A$3:$A$5001,"&gt;="&amp;$C$7,BD!$A$3:$A$5001,"&lt;="&amp;$B236,BD!$W$3:$W$5001,"&lt;&gt;")=0,"",SUMIFS(BD!$W$3:$W$5001,BD!$B$3:$B$5001,K$206,BD!$A$3:$A$5001,_xlfn.MAXIFS(BD!$A$3:$A$5001,BD!$B$3:$B$5001,K$206,BD!$A$3:$A$5001,"&gt;="&amp;$C$7,BD!$A$3:$A$5001,"&lt;="&amp;$B236,BD!$W$3:$W$5001,"&lt;&gt;"))))</f>
        <v/>
      </c>
      <c r="L236" s="43" t="str">
        <f>IF(OR($B236="",$A236&gt;$B$9,L$206=""),"",IF(COUNTIFS(BD!$B$3:$B$5001,L$206,BD!$A$3:$A$5001,"&gt;="&amp;$C$7,BD!$A$3:$A$5001,"&lt;="&amp;$B236,BD!$W$3:$W$5001,"&lt;&gt;")=0,"",SUMIFS(BD!$W$3:$W$5001,BD!$B$3:$B$5001,L$206,BD!$A$3:$A$5001,_xlfn.MAXIFS(BD!$A$3:$A$5001,BD!$B$3:$B$5001,L$206,BD!$A$3:$A$5001,"&gt;="&amp;$C$7,BD!$A$3:$A$5001,"&lt;="&amp;$B236,BD!$W$3:$W$5001,"&lt;&gt;"))))</f>
        <v/>
      </c>
      <c r="M236" s="43" t="str">
        <f>IF(OR($B236="",$A236&gt;$B$9,M$206=""),"",IF(COUNTIFS(BD!$B$3:$B$5001,M$206,BD!$A$3:$A$5001,"&gt;="&amp;$C$7,BD!$A$3:$A$5001,"&lt;="&amp;$B236,BD!$W$3:$W$5001,"&lt;&gt;")=0,"",SUMIFS(BD!$W$3:$W$5001,BD!$B$3:$B$5001,M$206,BD!$A$3:$A$5001,_xlfn.MAXIFS(BD!$A$3:$A$5001,BD!$B$3:$B$5001,M$206,BD!$A$3:$A$5001,"&gt;="&amp;$C$7,BD!$A$3:$A$5001,"&lt;="&amp;$B236,BD!$W$3:$W$5001,"&lt;&gt;"))))</f>
        <v/>
      </c>
      <c r="N236" s="43" t="str">
        <f>IF(OR($B236="",$A236&gt;$B$9,N$206=""),"",IF(COUNTIFS(BD!$B$3:$B$5001,N$206,BD!$A$3:$A$5001,"&gt;="&amp;$C$7,BD!$A$3:$A$5001,"&lt;="&amp;$B236,BD!$W$3:$W$5001,"&lt;&gt;")=0,"",SUMIFS(BD!$W$3:$W$5001,BD!$B$3:$B$5001,N$206,BD!$A$3:$A$5001,_xlfn.MAXIFS(BD!$A$3:$A$5001,BD!$B$3:$B$5001,N$206,BD!$A$3:$A$5001,"&gt;="&amp;$C$7,BD!$A$3:$A$5001,"&lt;="&amp;$B236,BD!$W$3:$W$5001,"&lt;&gt;"))))</f>
        <v/>
      </c>
      <c r="O236" s="43" t="str">
        <f>IF(OR($B236="",$A236&gt;$B$9,O$206=""),"",IF(COUNTIFS(BD!$B$3:$B$5001,O$206,BD!$A$3:$A$5001,"&gt;="&amp;$C$7,BD!$A$3:$A$5001,"&lt;="&amp;$B236,BD!$W$3:$W$5001,"&lt;&gt;")=0,"",SUMIFS(BD!$W$3:$W$5001,BD!$B$3:$B$5001,O$206,BD!$A$3:$A$5001,_xlfn.MAXIFS(BD!$A$3:$A$5001,BD!$B$3:$B$5001,O$206,BD!$A$3:$A$5001,"&gt;="&amp;$C$7,BD!$A$3:$A$5001,"&lt;="&amp;$B236,BD!$W$3:$W$5001,"&lt;&gt;"))))</f>
        <v/>
      </c>
      <c r="P236" s="43" t="str">
        <f>IF(OR($B236="",$A236&gt;$B$9,P$206=""),"",IF(COUNTIFS(BD!$B$3:$B$5001,P$206,BD!$A$3:$A$5001,"&gt;="&amp;$C$7,BD!$A$3:$A$5001,"&lt;="&amp;$B236,BD!$W$3:$W$5001,"&lt;&gt;")=0,"",SUMIFS(BD!$W$3:$W$5001,BD!$B$3:$B$5001,P$206,BD!$A$3:$A$5001,_xlfn.MAXIFS(BD!$A$3:$A$5001,BD!$B$3:$B$5001,P$206,BD!$A$3:$A$5001,"&gt;="&amp;$C$7,BD!$A$3:$A$5001,"&lt;="&amp;$B236,BD!$W$3:$W$5001,"&lt;&gt;"))))</f>
        <v/>
      </c>
      <c r="Q236" s="43" t="str">
        <f>IF(OR($B236="",$A236&gt;$B$9,Q$206=""),"",IF(COUNTIFS(BD!$B$3:$B$5001,Q$206,BD!$A$3:$A$5001,"&gt;="&amp;$C$7,BD!$A$3:$A$5001,"&lt;="&amp;$B236,BD!$W$3:$W$5001,"&lt;&gt;")=0,"",SUMIFS(BD!$W$3:$W$5001,BD!$B$3:$B$5001,Q$206,BD!$A$3:$A$5001,_xlfn.MAXIFS(BD!$A$3:$A$5001,BD!$B$3:$B$5001,Q$206,BD!$A$3:$A$5001,"&gt;="&amp;$C$7,BD!$A$3:$A$5001,"&lt;="&amp;$B236,BD!$W$3:$W$5001,"&lt;&gt;"))))</f>
        <v/>
      </c>
      <c r="R236" s="43" t="str">
        <f>IF(OR($B236="",$A236&gt;$B$9,R$206=""),"",IF(COUNTIFS(BD!$B$3:$B$5001,R$206,BD!$A$3:$A$5001,"&gt;="&amp;$C$7,BD!$A$3:$A$5001,"&lt;="&amp;$B236,BD!$W$3:$W$5001,"&lt;&gt;")=0,"",SUMIFS(BD!$W$3:$W$5001,BD!$B$3:$B$5001,R$206,BD!$A$3:$A$5001,_xlfn.MAXIFS(BD!$A$3:$A$5001,BD!$B$3:$B$5001,R$206,BD!$A$3:$A$5001,"&gt;="&amp;$C$7,BD!$A$3:$A$5001,"&lt;="&amp;$B236,BD!$W$3:$W$5001,"&lt;&gt;"))))</f>
        <v/>
      </c>
      <c r="S236" s="43" t="str">
        <f>IF(OR($B236="",$A236&gt;$B$9,S$206=""),"",IF(COUNTIFS(BD!$B$3:$B$5001,S$206,BD!$A$3:$A$5001,"&gt;="&amp;$C$7,BD!$A$3:$A$5001,"&lt;="&amp;$B236,BD!$W$3:$W$5001,"&lt;&gt;")=0,"",SUMIFS(BD!$W$3:$W$5001,BD!$B$3:$B$5001,S$206,BD!$A$3:$A$5001,_xlfn.MAXIFS(BD!$A$3:$A$5001,BD!$B$3:$B$5001,S$206,BD!$A$3:$A$5001,"&gt;="&amp;$C$7,BD!$A$3:$A$5001,"&lt;="&amp;$B236,BD!$W$3:$W$5001,"&lt;&gt;"))))</f>
        <v/>
      </c>
      <c r="T236" s="43" t="str">
        <f>IF(OR($B236="",$A236&gt;$B$9,T$206=""),"",IF(COUNTIFS(BD!$B$3:$B$5001,T$206,BD!$A$3:$A$5001,"&gt;="&amp;$C$7,BD!$A$3:$A$5001,"&lt;="&amp;$B236,BD!$W$3:$W$5001,"&lt;&gt;")=0,"",SUMIFS(BD!$W$3:$W$5001,BD!$B$3:$B$5001,T$206,BD!$A$3:$A$5001,_xlfn.MAXIFS(BD!$A$3:$A$5001,BD!$B$3:$B$5001,T$206,BD!$A$3:$A$5001,"&gt;="&amp;$C$7,BD!$A$3:$A$5001,"&lt;="&amp;$B236,BD!$W$3:$W$5001,"&lt;&gt;"))))</f>
        <v/>
      </c>
      <c r="U236" s="43" t="str">
        <f>IF(OR($B236="",$A236&gt;$B$9,U$206=""),"",IF(COUNTIFS(BD!$B$3:$B$5001,U$206,BD!$A$3:$A$5001,"&gt;="&amp;$C$7,BD!$A$3:$A$5001,"&lt;="&amp;$B236,BD!$W$3:$W$5001,"&lt;&gt;")=0,"",SUMIFS(BD!$W$3:$W$5001,BD!$B$3:$B$5001,U$206,BD!$A$3:$A$5001,_xlfn.MAXIFS(BD!$A$3:$A$5001,BD!$B$3:$B$5001,U$206,BD!$A$3:$A$5001,"&gt;="&amp;$C$7,BD!$A$3:$A$5001,"&lt;="&amp;$B236,BD!$W$3:$W$5001,"&lt;&gt;"))))</f>
        <v/>
      </c>
      <c r="V236" s="43" t="str">
        <f>IF(OR($B236="",$A236&gt;$B$9,V$206=""),"",IF(COUNTIFS(BD!$B$3:$B$5001,V$206,BD!$A$3:$A$5001,"&gt;="&amp;$C$7,BD!$A$3:$A$5001,"&lt;="&amp;$B236,BD!$W$3:$W$5001,"&lt;&gt;")=0,"",SUMIFS(BD!$W$3:$W$5001,BD!$B$3:$B$5001,V$206,BD!$A$3:$A$5001,_xlfn.MAXIFS(BD!$A$3:$A$5001,BD!$B$3:$B$5001,V$206,BD!$A$3:$A$5001,"&gt;="&amp;$C$7,BD!$A$3:$A$5001,"&lt;="&amp;$B236,BD!$W$3:$W$5001,"&lt;&gt;"))))</f>
        <v/>
      </c>
    </row>
    <row r="237">
      <c r="A237" s="38">
        <v>31</v>
      </c>
      <c r="B237" s="42">
        <f>$B$42</f>
        <v>46326</v>
      </c>
      <c r="C237" s="43" t="str">
        <f>IF(OR($B237="",$A237&gt;$B$9,C$206=""),"",IF(COUNTIFS(BD!$B$3:$B$5001,C$206,BD!$A$3:$A$5001,"&gt;="&amp;$C$7,BD!$A$3:$A$5001,"&lt;="&amp;$B237,BD!$W$3:$W$5001,"&lt;&gt;")=0,"",SUMIFS(BD!$W$3:$W$5001,BD!$B$3:$B$5001,C$206,BD!$A$3:$A$5001,_xlfn.MAXIFS(BD!$A$3:$A$5001,BD!$B$3:$B$5001,C$206,BD!$A$3:$A$5001,"&gt;="&amp;$C$7,BD!$A$3:$A$5001,"&lt;="&amp;$B237,BD!$W$3:$W$5001,"&lt;&gt;"))))</f>
        <v/>
      </c>
      <c r="D237" s="43" t="str">
        <f>IF(OR($B237="",$A237&gt;$B$9,D$206=""),"",IF(COUNTIFS(BD!$B$3:$B$5001,D$206,BD!$A$3:$A$5001,"&gt;="&amp;$C$7,BD!$A$3:$A$5001,"&lt;="&amp;$B237,BD!$W$3:$W$5001,"&lt;&gt;")=0,"",SUMIFS(BD!$W$3:$W$5001,BD!$B$3:$B$5001,D$206,BD!$A$3:$A$5001,_xlfn.MAXIFS(BD!$A$3:$A$5001,BD!$B$3:$B$5001,D$206,BD!$A$3:$A$5001,"&gt;="&amp;$C$7,BD!$A$3:$A$5001,"&lt;="&amp;$B237,BD!$W$3:$W$5001,"&lt;&gt;"))))</f>
        <v/>
      </c>
      <c r="E237" s="43" t="str">
        <f>IF(OR($B237="",$A237&gt;$B$9,E$206=""),"",IF(COUNTIFS(BD!$B$3:$B$5001,E$206,BD!$A$3:$A$5001,"&gt;="&amp;$C$7,BD!$A$3:$A$5001,"&lt;="&amp;$B237,BD!$W$3:$W$5001,"&lt;&gt;")=0,"",SUMIFS(BD!$W$3:$W$5001,BD!$B$3:$B$5001,E$206,BD!$A$3:$A$5001,_xlfn.MAXIFS(BD!$A$3:$A$5001,BD!$B$3:$B$5001,E$206,BD!$A$3:$A$5001,"&gt;="&amp;$C$7,BD!$A$3:$A$5001,"&lt;="&amp;$B237,BD!$W$3:$W$5001,"&lt;&gt;"))))</f>
        <v/>
      </c>
      <c r="F237" s="43" t="str">
        <f>IF(OR($B237="",$A237&gt;$B$9,F$206=""),"",IF(COUNTIFS(BD!$B$3:$B$5001,F$206,BD!$A$3:$A$5001,"&gt;="&amp;$C$7,BD!$A$3:$A$5001,"&lt;="&amp;$B237,BD!$W$3:$W$5001,"&lt;&gt;")=0,"",SUMIFS(BD!$W$3:$W$5001,BD!$B$3:$B$5001,F$206,BD!$A$3:$A$5001,_xlfn.MAXIFS(BD!$A$3:$A$5001,BD!$B$3:$B$5001,F$206,BD!$A$3:$A$5001,"&gt;="&amp;$C$7,BD!$A$3:$A$5001,"&lt;="&amp;$B237,BD!$W$3:$W$5001,"&lt;&gt;"))))</f>
        <v/>
      </c>
      <c r="G237" s="43" t="str">
        <f>IF(OR($B237="",$A237&gt;$B$9,G$206=""),"",IF(COUNTIFS(BD!$B$3:$B$5001,G$206,BD!$A$3:$A$5001,"&gt;="&amp;$C$7,BD!$A$3:$A$5001,"&lt;="&amp;$B237,BD!$W$3:$W$5001,"&lt;&gt;")=0,"",SUMIFS(BD!$W$3:$W$5001,BD!$B$3:$B$5001,G$206,BD!$A$3:$A$5001,_xlfn.MAXIFS(BD!$A$3:$A$5001,BD!$B$3:$B$5001,G$206,BD!$A$3:$A$5001,"&gt;="&amp;$C$7,BD!$A$3:$A$5001,"&lt;="&amp;$B237,BD!$W$3:$W$5001,"&lt;&gt;"))))</f>
        <v/>
      </c>
      <c r="H237" s="43" t="str">
        <f>IF(OR($B237="",$A237&gt;$B$9,H$206=""),"",IF(COUNTIFS(BD!$B$3:$B$5001,H$206,BD!$A$3:$A$5001,"&gt;="&amp;$C$7,BD!$A$3:$A$5001,"&lt;="&amp;$B237,BD!$W$3:$W$5001,"&lt;&gt;")=0,"",SUMIFS(BD!$W$3:$W$5001,BD!$B$3:$B$5001,H$206,BD!$A$3:$A$5001,_xlfn.MAXIFS(BD!$A$3:$A$5001,BD!$B$3:$B$5001,H$206,BD!$A$3:$A$5001,"&gt;="&amp;$C$7,BD!$A$3:$A$5001,"&lt;="&amp;$B237,BD!$W$3:$W$5001,"&lt;&gt;"))))</f>
        <v/>
      </c>
      <c r="I237" s="43" t="str">
        <f>IF(OR($B237="",$A237&gt;$B$9,I$206=""),"",IF(COUNTIFS(BD!$B$3:$B$5001,I$206,BD!$A$3:$A$5001,"&gt;="&amp;$C$7,BD!$A$3:$A$5001,"&lt;="&amp;$B237,BD!$W$3:$W$5001,"&lt;&gt;")=0,"",SUMIFS(BD!$W$3:$W$5001,BD!$B$3:$B$5001,I$206,BD!$A$3:$A$5001,_xlfn.MAXIFS(BD!$A$3:$A$5001,BD!$B$3:$B$5001,I$206,BD!$A$3:$A$5001,"&gt;="&amp;$C$7,BD!$A$3:$A$5001,"&lt;="&amp;$B237,BD!$W$3:$W$5001,"&lt;&gt;"))))</f>
        <v/>
      </c>
      <c r="J237" s="43" t="str">
        <f>IF(OR($B237="",$A237&gt;$B$9,J$206=""),"",IF(COUNTIFS(BD!$B$3:$B$5001,J$206,BD!$A$3:$A$5001,"&gt;="&amp;$C$7,BD!$A$3:$A$5001,"&lt;="&amp;$B237,BD!$W$3:$W$5001,"&lt;&gt;")=0,"",SUMIFS(BD!$W$3:$W$5001,BD!$B$3:$B$5001,J$206,BD!$A$3:$A$5001,_xlfn.MAXIFS(BD!$A$3:$A$5001,BD!$B$3:$B$5001,J$206,BD!$A$3:$A$5001,"&gt;="&amp;$C$7,BD!$A$3:$A$5001,"&lt;="&amp;$B237,BD!$W$3:$W$5001,"&lt;&gt;"))))</f>
        <v/>
      </c>
      <c r="K237" s="43" t="str">
        <f>IF(OR($B237="",$A237&gt;$B$9,K$206=""),"",IF(COUNTIFS(BD!$B$3:$B$5001,K$206,BD!$A$3:$A$5001,"&gt;="&amp;$C$7,BD!$A$3:$A$5001,"&lt;="&amp;$B237,BD!$W$3:$W$5001,"&lt;&gt;")=0,"",SUMIFS(BD!$W$3:$W$5001,BD!$B$3:$B$5001,K$206,BD!$A$3:$A$5001,_xlfn.MAXIFS(BD!$A$3:$A$5001,BD!$B$3:$B$5001,K$206,BD!$A$3:$A$5001,"&gt;="&amp;$C$7,BD!$A$3:$A$5001,"&lt;="&amp;$B237,BD!$W$3:$W$5001,"&lt;&gt;"))))</f>
        <v/>
      </c>
      <c r="L237" s="43" t="str">
        <f>IF(OR($B237="",$A237&gt;$B$9,L$206=""),"",IF(COUNTIFS(BD!$B$3:$B$5001,L$206,BD!$A$3:$A$5001,"&gt;="&amp;$C$7,BD!$A$3:$A$5001,"&lt;="&amp;$B237,BD!$W$3:$W$5001,"&lt;&gt;")=0,"",SUMIFS(BD!$W$3:$W$5001,BD!$B$3:$B$5001,L$206,BD!$A$3:$A$5001,_xlfn.MAXIFS(BD!$A$3:$A$5001,BD!$B$3:$B$5001,L$206,BD!$A$3:$A$5001,"&gt;="&amp;$C$7,BD!$A$3:$A$5001,"&lt;="&amp;$B237,BD!$W$3:$W$5001,"&lt;&gt;"))))</f>
        <v/>
      </c>
      <c r="M237" s="43" t="str">
        <f>IF(OR($B237="",$A237&gt;$B$9,M$206=""),"",IF(COUNTIFS(BD!$B$3:$B$5001,M$206,BD!$A$3:$A$5001,"&gt;="&amp;$C$7,BD!$A$3:$A$5001,"&lt;="&amp;$B237,BD!$W$3:$W$5001,"&lt;&gt;")=0,"",SUMIFS(BD!$W$3:$W$5001,BD!$B$3:$B$5001,M$206,BD!$A$3:$A$5001,_xlfn.MAXIFS(BD!$A$3:$A$5001,BD!$B$3:$B$5001,M$206,BD!$A$3:$A$5001,"&gt;="&amp;$C$7,BD!$A$3:$A$5001,"&lt;="&amp;$B237,BD!$W$3:$W$5001,"&lt;&gt;"))))</f>
        <v/>
      </c>
      <c r="N237" s="43" t="str">
        <f>IF(OR($B237="",$A237&gt;$B$9,N$206=""),"",IF(COUNTIFS(BD!$B$3:$B$5001,N$206,BD!$A$3:$A$5001,"&gt;="&amp;$C$7,BD!$A$3:$A$5001,"&lt;="&amp;$B237,BD!$W$3:$W$5001,"&lt;&gt;")=0,"",SUMIFS(BD!$W$3:$W$5001,BD!$B$3:$B$5001,N$206,BD!$A$3:$A$5001,_xlfn.MAXIFS(BD!$A$3:$A$5001,BD!$B$3:$B$5001,N$206,BD!$A$3:$A$5001,"&gt;="&amp;$C$7,BD!$A$3:$A$5001,"&lt;="&amp;$B237,BD!$W$3:$W$5001,"&lt;&gt;"))))</f>
        <v/>
      </c>
      <c r="O237" s="43" t="str">
        <f>IF(OR($B237="",$A237&gt;$B$9,O$206=""),"",IF(COUNTIFS(BD!$B$3:$B$5001,O$206,BD!$A$3:$A$5001,"&gt;="&amp;$C$7,BD!$A$3:$A$5001,"&lt;="&amp;$B237,BD!$W$3:$W$5001,"&lt;&gt;")=0,"",SUMIFS(BD!$W$3:$W$5001,BD!$B$3:$B$5001,O$206,BD!$A$3:$A$5001,_xlfn.MAXIFS(BD!$A$3:$A$5001,BD!$B$3:$B$5001,O$206,BD!$A$3:$A$5001,"&gt;="&amp;$C$7,BD!$A$3:$A$5001,"&lt;="&amp;$B237,BD!$W$3:$W$5001,"&lt;&gt;"))))</f>
        <v/>
      </c>
      <c r="P237" s="43" t="str">
        <f>IF(OR($B237="",$A237&gt;$B$9,P$206=""),"",IF(COUNTIFS(BD!$B$3:$B$5001,P$206,BD!$A$3:$A$5001,"&gt;="&amp;$C$7,BD!$A$3:$A$5001,"&lt;="&amp;$B237,BD!$W$3:$W$5001,"&lt;&gt;")=0,"",SUMIFS(BD!$W$3:$W$5001,BD!$B$3:$B$5001,P$206,BD!$A$3:$A$5001,_xlfn.MAXIFS(BD!$A$3:$A$5001,BD!$B$3:$B$5001,P$206,BD!$A$3:$A$5001,"&gt;="&amp;$C$7,BD!$A$3:$A$5001,"&lt;="&amp;$B237,BD!$W$3:$W$5001,"&lt;&gt;"))))</f>
        <v/>
      </c>
      <c r="Q237" s="43" t="str">
        <f>IF(OR($B237="",$A237&gt;$B$9,Q$206=""),"",IF(COUNTIFS(BD!$B$3:$B$5001,Q$206,BD!$A$3:$A$5001,"&gt;="&amp;$C$7,BD!$A$3:$A$5001,"&lt;="&amp;$B237,BD!$W$3:$W$5001,"&lt;&gt;")=0,"",SUMIFS(BD!$W$3:$W$5001,BD!$B$3:$B$5001,Q$206,BD!$A$3:$A$5001,_xlfn.MAXIFS(BD!$A$3:$A$5001,BD!$B$3:$B$5001,Q$206,BD!$A$3:$A$5001,"&gt;="&amp;$C$7,BD!$A$3:$A$5001,"&lt;="&amp;$B237,BD!$W$3:$W$5001,"&lt;&gt;"))))</f>
        <v/>
      </c>
      <c r="R237" s="43" t="str">
        <f>IF(OR($B237="",$A237&gt;$B$9,R$206=""),"",IF(COUNTIFS(BD!$B$3:$B$5001,R$206,BD!$A$3:$A$5001,"&gt;="&amp;$C$7,BD!$A$3:$A$5001,"&lt;="&amp;$B237,BD!$W$3:$W$5001,"&lt;&gt;")=0,"",SUMIFS(BD!$W$3:$W$5001,BD!$B$3:$B$5001,R$206,BD!$A$3:$A$5001,_xlfn.MAXIFS(BD!$A$3:$A$5001,BD!$B$3:$B$5001,R$206,BD!$A$3:$A$5001,"&gt;="&amp;$C$7,BD!$A$3:$A$5001,"&lt;="&amp;$B237,BD!$W$3:$W$5001,"&lt;&gt;"))))</f>
        <v/>
      </c>
      <c r="S237" s="43" t="str">
        <f>IF(OR($B237="",$A237&gt;$B$9,S$206=""),"",IF(COUNTIFS(BD!$B$3:$B$5001,S$206,BD!$A$3:$A$5001,"&gt;="&amp;$C$7,BD!$A$3:$A$5001,"&lt;="&amp;$B237,BD!$W$3:$W$5001,"&lt;&gt;")=0,"",SUMIFS(BD!$W$3:$W$5001,BD!$B$3:$B$5001,S$206,BD!$A$3:$A$5001,_xlfn.MAXIFS(BD!$A$3:$A$5001,BD!$B$3:$B$5001,S$206,BD!$A$3:$A$5001,"&gt;="&amp;$C$7,BD!$A$3:$A$5001,"&lt;="&amp;$B237,BD!$W$3:$W$5001,"&lt;&gt;"))))</f>
        <v/>
      </c>
      <c r="T237" s="43" t="str">
        <f>IF(OR($B237="",$A237&gt;$B$9,T$206=""),"",IF(COUNTIFS(BD!$B$3:$B$5001,T$206,BD!$A$3:$A$5001,"&gt;="&amp;$C$7,BD!$A$3:$A$5001,"&lt;="&amp;$B237,BD!$W$3:$W$5001,"&lt;&gt;")=0,"",SUMIFS(BD!$W$3:$W$5001,BD!$B$3:$B$5001,T$206,BD!$A$3:$A$5001,_xlfn.MAXIFS(BD!$A$3:$A$5001,BD!$B$3:$B$5001,T$206,BD!$A$3:$A$5001,"&gt;="&amp;$C$7,BD!$A$3:$A$5001,"&lt;="&amp;$B237,BD!$W$3:$W$5001,"&lt;&gt;"))))</f>
        <v/>
      </c>
      <c r="U237" s="43" t="str">
        <f>IF(OR($B237="",$A237&gt;$B$9,U$206=""),"",IF(COUNTIFS(BD!$B$3:$B$5001,U$206,BD!$A$3:$A$5001,"&gt;="&amp;$C$7,BD!$A$3:$A$5001,"&lt;="&amp;$B237,BD!$W$3:$W$5001,"&lt;&gt;")=0,"",SUMIFS(BD!$W$3:$W$5001,BD!$B$3:$B$5001,U$206,BD!$A$3:$A$5001,_xlfn.MAXIFS(BD!$A$3:$A$5001,BD!$B$3:$B$5001,U$206,BD!$A$3:$A$5001,"&gt;="&amp;$C$7,BD!$A$3:$A$5001,"&lt;="&amp;$B237,BD!$W$3:$W$5001,"&lt;&gt;"))))</f>
        <v/>
      </c>
      <c r="V237" s="43" t="str">
        <f>IF(OR($B237="",$A237&gt;$B$9,V$206=""),"",IF(COUNTIFS(BD!$B$3:$B$5001,V$206,BD!$A$3:$A$5001,"&gt;="&amp;$C$7,BD!$A$3:$A$5001,"&lt;="&amp;$B237,BD!$W$3:$W$5001,"&lt;&gt;")=0,"",SUMIFS(BD!$W$3:$W$5001,BD!$B$3:$B$5001,V$206,BD!$A$3:$A$5001,_xlfn.MAXIFS(BD!$A$3:$A$5001,BD!$B$3:$B$5001,V$206,BD!$A$3:$A$5001,"&gt;="&amp;$C$7,BD!$A$3:$A$5001,"&lt;="&amp;$B237,BD!$W$3:$W$5001,"&lt;&gt;"))))</f>
        <v/>
      </c>
    </row>
    <row r="238">
      <c r="A238" s="44" t="inlineStr">
        <is>
          <t xml:space="preserve">Mês anterior (último)</t>
        </is>
      </c>
      <c r="C238" s="45" t="str">
        <f>IF(C$206="","",IF(COUNTIFS(BD!$B$3:$B$5001,C$206,BD!$A$3:$A$5001,"&gt;="&amp;$C$8,BD!$A$3:$A$5001,"&lt;="&amp;$D$8,BD!$W$3:$W$5001,"&lt;&gt;")=0,"",SUMIFS(BD!$W$3:$W$5001,BD!$B$3:$B$5001,C$206,BD!$A$3:$A$5001,_xlfn.MAXIFS(BD!$A$3:$A$5001,BD!$B$3:$B$5001,C$206,BD!$A$3:$A$5001,"&gt;="&amp;$C$8,BD!$A$3:$A$5001,"&lt;="&amp;$D$8,BD!$W$3:$W$5001,"&lt;&gt;"))))</f>
        <v/>
      </c>
      <c r="D238" s="45" t="str">
        <f>IF(D$206="","",IF(COUNTIFS(BD!$B$3:$B$5001,D$206,BD!$A$3:$A$5001,"&gt;="&amp;$C$8,BD!$A$3:$A$5001,"&lt;="&amp;$D$8,BD!$W$3:$W$5001,"&lt;&gt;")=0,"",SUMIFS(BD!$W$3:$W$5001,BD!$B$3:$B$5001,D$206,BD!$A$3:$A$5001,_xlfn.MAXIFS(BD!$A$3:$A$5001,BD!$B$3:$B$5001,D$206,BD!$A$3:$A$5001,"&gt;="&amp;$C$8,BD!$A$3:$A$5001,"&lt;="&amp;$D$8,BD!$W$3:$W$5001,"&lt;&gt;"))))</f>
        <v/>
      </c>
      <c r="E238" s="45" t="str">
        <f>IF(E$206="","",IF(COUNTIFS(BD!$B$3:$B$5001,E$206,BD!$A$3:$A$5001,"&gt;="&amp;$C$8,BD!$A$3:$A$5001,"&lt;="&amp;$D$8,BD!$W$3:$W$5001,"&lt;&gt;")=0,"",SUMIFS(BD!$W$3:$W$5001,BD!$B$3:$B$5001,E$206,BD!$A$3:$A$5001,_xlfn.MAXIFS(BD!$A$3:$A$5001,BD!$B$3:$B$5001,E$206,BD!$A$3:$A$5001,"&gt;="&amp;$C$8,BD!$A$3:$A$5001,"&lt;="&amp;$D$8,BD!$W$3:$W$5001,"&lt;&gt;"))))</f>
        <v/>
      </c>
      <c r="F238" s="45" t="str">
        <f>IF(F$206="","",IF(COUNTIFS(BD!$B$3:$B$5001,F$206,BD!$A$3:$A$5001,"&gt;="&amp;$C$8,BD!$A$3:$A$5001,"&lt;="&amp;$D$8,BD!$W$3:$W$5001,"&lt;&gt;")=0,"",SUMIFS(BD!$W$3:$W$5001,BD!$B$3:$B$5001,F$206,BD!$A$3:$A$5001,_xlfn.MAXIFS(BD!$A$3:$A$5001,BD!$B$3:$B$5001,F$206,BD!$A$3:$A$5001,"&gt;="&amp;$C$8,BD!$A$3:$A$5001,"&lt;="&amp;$D$8,BD!$W$3:$W$5001,"&lt;&gt;"))))</f>
        <v/>
      </c>
      <c r="G238" s="45" t="str">
        <f>IF(G$206="","",IF(COUNTIFS(BD!$B$3:$B$5001,G$206,BD!$A$3:$A$5001,"&gt;="&amp;$C$8,BD!$A$3:$A$5001,"&lt;="&amp;$D$8,BD!$W$3:$W$5001,"&lt;&gt;")=0,"",SUMIFS(BD!$W$3:$W$5001,BD!$B$3:$B$5001,G$206,BD!$A$3:$A$5001,_xlfn.MAXIFS(BD!$A$3:$A$5001,BD!$B$3:$B$5001,G$206,BD!$A$3:$A$5001,"&gt;="&amp;$C$8,BD!$A$3:$A$5001,"&lt;="&amp;$D$8,BD!$W$3:$W$5001,"&lt;&gt;"))))</f>
        <v/>
      </c>
      <c r="H238" s="45" t="str">
        <f>IF(H$206="","",IF(COUNTIFS(BD!$B$3:$B$5001,H$206,BD!$A$3:$A$5001,"&gt;="&amp;$C$8,BD!$A$3:$A$5001,"&lt;="&amp;$D$8,BD!$W$3:$W$5001,"&lt;&gt;")=0,"",SUMIFS(BD!$W$3:$W$5001,BD!$B$3:$B$5001,H$206,BD!$A$3:$A$5001,_xlfn.MAXIFS(BD!$A$3:$A$5001,BD!$B$3:$B$5001,H$206,BD!$A$3:$A$5001,"&gt;="&amp;$C$8,BD!$A$3:$A$5001,"&lt;="&amp;$D$8,BD!$W$3:$W$5001,"&lt;&gt;"))))</f>
        <v/>
      </c>
      <c r="I238" s="45" t="str">
        <f>IF(I$206="","",IF(COUNTIFS(BD!$B$3:$B$5001,I$206,BD!$A$3:$A$5001,"&gt;="&amp;$C$8,BD!$A$3:$A$5001,"&lt;="&amp;$D$8,BD!$W$3:$W$5001,"&lt;&gt;")=0,"",SUMIFS(BD!$W$3:$W$5001,BD!$B$3:$B$5001,I$206,BD!$A$3:$A$5001,_xlfn.MAXIFS(BD!$A$3:$A$5001,BD!$B$3:$B$5001,I$206,BD!$A$3:$A$5001,"&gt;="&amp;$C$8,BD!$A$3:$A$5001,"&lt;="&amp;$D$8,BD!$W$3:$W$5001,"&lt;&gt;"))))</f>
        <v/>
      </c>
      <c r="J238" s="45" t="str">
        <f>IF(J$206="","",IF(COUNTIFS(BD!$B$3:$B$5001,J$206,BD!$A$3:$A$5001,"&gt;="&amp;$C$8,BD!$A$3:$A$5001,"&lt;="&amp;$D$8,BD!$W$3:$W$5001,"&lt;&gt;")=0,"",SUMIFS(BD!$W$3:$W$5001,BD!$B$3:$B$5001,J$206,BD!$A$3:$A$5001,_xlfn.MAXIFS(BD!$A$3:$A$5001,BD!$B$3:$B$5001,J$206,BD!$A$3:$A$5001,"&gt;="&amp;$C$8,BD!$A$3:$A$5001,"&lt;="&amp;$D$8,BD!$W$3:$W$5001,"&lt;&gt;"))))</f>
        <v/>
      </c>
      <c r="K238" s="45" t="str">
        <f>IF(K$206="","",IF(COUNTIFS(BD!$B$3:$B$5001,K$206,BD!$A$3:$A$5001,"&gt;="&amp;$C$8,BD!$A$3:$A$5001,"&lt;="&amp;$D$8,BD!$W$3:$W$5001,"&lt;&gt;")=0,"",SUMIFS(BD!$W$3:$W$5001,BD!$B$3:$B$5001,K$206,BD!$A$3:$A$5001,_xlfn.MAXIFS(BD!$A$3:$A$5001,BD!$B$3:$B$5001,K$206,BD!$A$3:$A$5001,"&gt;="&amp;$C$8,BD!$A$3:$A$5001,"&lt;="&amp;$D$8,BD!$W$3:$W$5001,"&lt;&gt;"))))</f>
        <v/>
      </c>
      <c r="L238" s="45" t="str">
        <f>IF(L$206="","",IF(COUNTIFS(BD!$B$3:$B$5001,L$206,BD!$A$3:$A$5001,"&gt;="&amp;$C$8,BD!$A$3:$A$5001,"&lt;="&amp;$D$8,BD!$W$3:$W$5001,"&lt;&gt;")=0,"",SUMIFS(BD!$W$3:$W$5001,BD!$B$3:$B$5001,L$206,BD!$A$3:$A$5001,_xlfn.MAXIFS(BD!$A$3:$A$5001,BD!$B$3:$B$5001,L$206,BD!$A$3:$A$5001,"&gt;="&amp;$C$8,BD!$A$3:$A$5001,"&lt;="&amp;$D$8,BD!$W$3:$W$5001,"&lt;&gt;"))))</f>
        <v/>
      </c>
      <c r="M238" s="45" t="str">
        <f>IF(M$206="","",IF(COUNTIFS(BD!$B$3:$B$5001,M$206,BD!$A$3:$A$5001,"&gt;="&amp;$C$8,BD!$A$3:$A$5001,"&lt;="&amp;$D$8,BD!$W$3:$W$5001,"&lt;&gt;")=0,"",SUMIFS(BD!$W$3:$W$5001,BD!$B$3:$B$5001,M$206,BD!$A$3:$A$5001,_xlfn.MAXIFS(BD!$A$3:$A$5001,BD!$B$3:$B$5001,M$206,BD!$A$3:$A$5001,"&gt;="&amp;$C$8,BD!$A$3:$A$5001,"&lt;="&amp;$D$8,BD!$W$3:$W$5001,"&lt;&gt;"))))</f>
        <v/>
      </c>
      <c r="N238" s="45" t="str">
        <f>IF(N$206="","",IF(COUNTIFS(BD!$B$3:$B$5001,N$206,BD!$A$3:$A$5001,"&gt;="&amp;$C$8,BD!$A$3:$A$5001,"&lt;="&amp;$D$8,BD!$W$3:$W$5001,"&lt;&gt;")=0,"",SUMIFS(BD!$W$3:$W$5001,BD!$B$3:$B$5001,N$206,BD!$A$3:$A$5001,_xlfn.MAXIFS(BD!$A$3:$A$5001,BD!$B$3:$B$5001,N$206,BD!$A$3:$A$5001,"&gt;="&amp;$C$8,BD!$A$3:$A$5001,"&lt;="&amp;$D$8,BD!$W$3:$W$5001,"&lt;&gt;"))))</f>
        <v/>
      </c>
      <c r="O238" s="45" t="str">
        <f>IF(O$206="","",IF(COUNTIFS(BD!$B$3:$B$5001,O$206,BD!$A$3:$A$5001,"&gt;="&amp;$C$8,BD!$A$3:$A$5001,"&lt;="&amp;$D$8,BD!$W$3:$W$5001,"&lt;&gt;")=0,"",SUMIFS(BD!$W$3:$W$5001,BD!$B$3:$B$5001,O$206,BD!$A$3:$A$5001,_xlfn.MAXIFS(BD!$A$3:$A$5001,BD!$B$3:$B$5001,O$206,BD!$A$3:$A$5001,"&gt;="&amp;$C$8,BD!$A$3:$A$5001,"&lt;="&amp;$D$8,BD!$W$3:$W$5001,"&lt;&gt;"))))</f>
        <v/>
      </c>
      <c r="P238" s="45" t="str">
        <f>IF(P$206="","",IF(COUNTIFS(BD!$B$3:$B$5001,P$206,BD!$A$3:$A$5001,"&gt;="&amp;$C$8,BD!$A$3:$A$5001,"&lt;="&amp;$D$8,BD!$W$3:$W$5001,"&lt;&gt;")=0,"",SUMIFS(BD!$W$3:$W$5001,BD!$B$3:$B$5001,P$206,BD!$A$3:$A$5001,_xlfn.MAXIFS(BD!$A$3:$A$5001,BD!$B$3:$B$5001,P$206,BD!$A$3:$A$5001,"&gt;="&amp;$C$8,BD!$A$3:$A$5001,"&lt;="&amp;$D$8,BD!$W$3:$W$5001,"&lt;&gt;"))))</f>
        <v/>
      </c>
      <c r="Q238" s="45" t="str">
        <f>IF(Q$206="","",IF(COUNTIFS(BD!$B$3:$B$5001,Q$206,BD!$A$3:$A$5001,"&gt;="&amp;$C$8,BD!$A$3:$A$5001,"&lt;="&amp;$D$8,BD!$W$3:$W$5001,"&lt;&gt;")=0,"",SUMIFS(BD!$W$3:$W$5001,BD!$B$3:$B$5001,Q$206,BD!$A$3:$A$5001,_xlfn.MAXIFS(BD!$A$3:$A$5001,BD!$B$3:$B$5001,Q$206,BD!$A$3:$A$5001,"&gt;="&amp;$C$8,BD!$A$3:$A$5001,"&lt;="&amp;$D$8,BD!$W$3:$W$5001,"&lt;&gt;"))))</f>
        <v/>
      </c>
      <c r="R238" s="45" t="str">
        <f>IF(R$206="","",IF(COUNTIFS(BD!$B$3:$B$5001,R$206,BD!$A$3:$A$5001,"&gt;="&amp;$C$8,BD!$A$3:$A$5001,"&lt;="&amp;$D$8,BD!$W$3:$W$5001,"&lt;&gt;")=0,"",SUMIFS(BD!$W$3:$W$5001,BD!$B$3:$B$5001,R$206,BD!$A$3:$A$5001,_xlfn.MAXIFS(BD!$A$3:$A$5001,BD!$B$3:$B$5001,R$206,BD!$A$3:$A$5001,"&gt;="&amp;$C$8,BD!$A$3:$A$5001,"&lt;="&amp;$D$8,BD!$W$3:$W$5001,"&lt;&gt;"))))</f>
        <v/>
      </c>
      <c r="S238" s="45" t="str">
        <f>IF(S$206="","",IF(COUNTIFS(BD!$B$3:$B$5001,S$206,BD!$A$3:$A$5001,"&gt;="&amp;$C$8,BD!$A$3:$A$5001,"&lt;="&amp;$D$8,BD!$W$3:$W$5001,"&lt;&gt;")=0,"",SUMIFS(BD!$W$3:$W$5001,BD!$B$3:$B$5001,S$206,BD!$A$3:$A$5001,_xlfn.MAXIFS(BD!$A$3:$A$5001,BD!$B$3:$B$5001,S$206,BD!$A$3:$A$5001,"&gt;="&amp;$C$8,BD!$A$3:$A$5001,"&lt;="&amp;$D$8,BD!$W$3:$W$5001,"&lt;&gt;"))))</f>
        <v/>
      </c>
      <c r="T238" s="45" t="str">
        <f>IF(T$206="","",IF(COUNTIFS(BD!$B$3:$B$5001,T$206,BD!$A$3:$A$5001,"&gt;="&amp;$C$8,BD!$A$3:$A$5001,"&lt;="&amp;$D$8,BD!$W$3:$W$5001,"&lt;&gt;")=0,"",SUMIFS(BD!$W$3:$W$5001,BD!$B$3:$B$5001,T$206,BD!$A$3:$A$5001,_xlfn.MAXIFS(BD!$A$3:$A$5001,BD!$B$3:$B$5001,T$206,BD!$A$3:$A$5001,"&gt;="&amp;$C$8,BD!$A$3:$A$5001,"&lt;="&amp;$D$8,BD!$W$3:$W$5001,"&lt;&gt;"))))</f>
        <v/>
      </c>
      <c r="U238" s="45" t="str">
        <f>IF(U$206="","",IF(COUNTIFS(BD!$B$3:$B$5001,U$206,BD!$A$3:$A$5001,"&gt;="&amp;$C$8,BD!$A$3:$A$5001,"&lt;="&amp;$D$8,BD!$W$3:$W$5001,"&lt;&gt;")=0,"",SUMIFS(BD!$W$3:$W$5001,BD!$B$3:$B$5001,U$206,BD!$A$3:$A$5001,_xlfn.MAXIFS(BD!$A$3:$A$5001,BD!$B$3:$B$5001,U$206,BD!$A$3:$A$5001,"&gt;="&amp;$C$8,BD!$A$3:$A$5001,"&lt;="&amp;$D$8,BD!$W$3:$W$5001,"&lt;&gt;"))))</f>
        <v/>
      </c>
      <c r="V238" s="45" t="str">
        <f>IF(V$206="","",IF(COUNTIFS(BD!$B$3:$B$5001,V$206,BD!$A$3:$A$5001,"&gt;="&amp;$C$8,BD!$A$3:$A$5001,"&lt;="&amp;$D$8,BD!$W$3:$W$5001,"&lt;&gt;")=0,"",SUMIFS(BD!$W$3:$W$5001,BD!$B$3:$B$5001,V$206,BD!$A$3:$A$5001,_xlfn.MAXIFS(BD!$A$3:$A$5001,BD!$B$3:$B$5001,V$206,BD!$A$3:$A$5001,"&gt;="&amp;$C$8,BD!$A$3:$A$5001,"&lt;="&amp;$D$8,BD!$W$3:$W$5001,"&lt;&gt;"))))</f>
        <v/>
      </c>
    </row>
    <row r="239">
      <c r="A239" s="44" t="inlineStr">
        <is>
          <t xml:space="preserve">Depósito</t>
        </is>
      </c>
      <c r="C239" s="38" t="str">
        <f>IF(Config!$C$10="","TPC",Config!$C$10)</f>
        <v>TPC</v>
      </c>
      <c r="D239" s="38" t="str">
        <f>IF(Config!$C$11="","TPC",Config!$C$11)</f>
        <v>TPC</v>
      </c>
      <c r="E239" s="38" t="str">
        <f>IF(Config!$C$12="","TPC",Config!$C$12)</f>
        <v>TPC</v>
      </c>
      <c r="F239" s="38" t="str">
        <f>IF(Config!$C$13="","TPC",Config!$C$13)</f>
        <v>TPC</v>
      </c>
      <c r="G239" s="38" t="str">
        <f>IF(Config!$C$14="","TPC",Config!$C$14)</f>
        <v>TPC</v>
      </c>
      <c r="H239" s="38" t="str">
        <f>IF(Config!$C$15="","TPC",Config!$C$15)</f>
        <v>TPC</v>
      </c>
      <c r="I239" s="38" t="str">
        <f>IF(Config!$C$16="","TPC",Config!$C$16)</f>
        <v>TPC</v>
      </c>
      <c r="J239" s="38" t="str">
        <f>IF(Config!$C$17="","TPC",Config!$C$17)</f>
        <v>TPC</v>
      </c>
      <c r="K239" s="38" t="str">
        <f>IF(Config!$C$18="","TPC",Config!$C$18)</f>
        <v>TPC</v>
      </c>
      <c r="L239" s="38" t="str">
        <f>IF(Config!$C$19="","TPC",Config!$C$19)</f>
        <v>TPC</v>
      </c>
      <c r="M239" s="38" t="str">
        <f>IF(Config!$C$20="","TPC",Config!$C$20)</f>
        <v>TPC</v>
      </c>
      <c r="N239" s="38" t="str">
        <f>IF(Config!$C$21="","TPC",Config!$C$21)</f>
        <v>TPC</v>
      </c>
      <c r="O239" s="38" t="str">
        <f>IF(Config!$C$22="","TPC",Config!$C$22)</f>
        <v>TPC</v>
      </c>
      <c r="P239" s="38" t="str">
        <f>IF(Config!$C$23="","TPC",Config!$C$23)</f>
        <v>TPC</v>
      </c>
      <c r="Q239" s="38" t="str">
        <f>IF(Config!$C$24="","TPC",Config!$C$24)</f>
        <v>TPC</v>
      </c>
      <c r="R239" s="38" t="str">
        <f>IF(Config!$C$25="","TPC",Config!$C$25)</f>
        <v>TPC</v>
      </c>
      <c r="S239" s="38" t="str">
        <f>IF(Config!$C$26="","TPC",Config!$C$26)</f>
        <v>TPC</v>
      </c>
      <c r="T239" s="38" t="str">
        <f>IF(Config!$C$27="","TPC",Config!$C$27)</f>
        <v>TPC</v>
      </c>
      <c r="U239" s="38" t="str">
        <f>IF(Config!$C$28="","TPC",Config!$C$28)</f>
        <v>TPC</v>
      </c>
      <c r="V239" s="38" t="str">
        <f>IF(Config!$C$29="","TPC",Config!$C$29)</f>
        <v>TPC</v>
      </c>
    </row>
    <row r="241">
      <c r="A241" s="37" t="inlineStr">
        <is>
          <t xml:space="preserve">Efetivo Op.</t>
        </is>
      </c>
      <c r="B241" s="37" t="inlineStr">
        <is>
          <t xml:space="preserve">Data</t>
        </is>
      </c>
      <c r="C241" s="37" t="str">
        <f>Config!$B$10&amp;""</f>
        <v>Alpargatas</v>
      </c>
      <c r="D241" s="37" t="str">
        <f>Config!$B$11&amp;""</f>
        <v>Basf</v>
      </c>
      <c r="E241" s="37" t="str">
        <f>Config!$B$12&amp;""</f>
        <v>Beautybiz</v>
      </c>
      <c r="F241" s="37" t="str">
        <f>Config!$B$13&amp;""</f>
        <v>Boticário</v>
      </c>
      <c r="G241" s="37" t="str">
        <f>Config!$B$14&amp;""</f>
        <v>Confiance</v>
      </c>
      <c r="H241" s="37" t="str">
        <f>Config!$B$15&amp;""</f>
        <v>GE Vernova</v>
      </c>
      <c r="I241" s="37" t="str">
        <f>Config!$B$16&amp;""</f>
        <v>Omnilife</v>
      </c>
      <c r="J241" s="37" t="str">
        <f>Config!$B$17&amp;""</f>
        <v>Supply</v>
      </c>
      <c r="K241" s="37" t="str">
        <f>Config!$B$18&amp;""</f>
        <v>Vedacit</v>
      </c>
      <c r="L241" s="37" t="str">
        <f>Config!$B$19&amp;""</f>
        <v>Vestas</v>
      </c>
      <c r="M241" s="37" t="str">
        <f>Config!$B$20&amp;""</f>
        <v/>
      </c>
      <c r="N241" s="37" t="str">
        <f>Config!$B$21&amp;""</f>
        <v/>
      </c>
      <c r="O241" s="37" t="str">
        <f>Config!$B$22&amp;""</f>
        <v/>
      </c>
      <c r="P241" s="37" t="str">
        <f>Config!$B$23&amp;""</f>
        <v/>
      </c>
      <c r="Q241" s="37" t="str">
        <f>Config!$B$24&amp;""</f>
        <v/>
      </c>
      <c r="R241" s="37" t="str">
        <f>Config!$B$25&amp;""</f>
        <v/>
      </c>
      <c r="S241" s="37" t="str">
        <f>Config!$B$26&amp;""</f>
        <v/>
      </c>
      <c r="T241" s="37" t="str">
        <f>Config!$B$27&amp;""</f>
        <v/>
      </c>
      <c r="U241" s="37" t="str">
        <f>Config!$B$28&amp;""</f>
        <v/>
      </c>
      <c r="V241" s="37" t="str">
        <f>Config!$B$29&amp;""</f>
        <v/>
      </c>
    </row>
    <row r="242">
      <c r="A242" s="38">
        <v>1</v>
      </c>
      <c r="B242" s="42">
        <f>$B$12</f>
        <v>46296</v>
      </c>
      <c r="C242" s="43" t="str">
        <f>IF(OR($B242="",$A242&gt;$B$9,C$241=""),"",IF(COUNTIFS(BD!$B$3:$B$5001,C$241,BD!$A$3:$A$5001,"&gt;="&amp;$C$7,BD!$A$3:$A$5001,"&lt;="&amp;$B242,BD!$Y$3:$Y$5001,"&lt;&gt;")=0,"",SUMIFS(BD!$Y$3:$Y$5001,BD!$B$3:$B$5001,C$241,BD!$A$3:$A$5001,_xlfn.MAXIFS(BD!$A$3:$A$5001,BD!$B$3:$B$5001,C$241,BD!$A$3:$A$5001,"&gt;="&amp;$C$7,BD!$A$3:$A$5001,"&lt;="&amp;$B242,BD!$Y$3:$Y$5001,"&lt;&gt;"))))</f>
        <v/>
      </c>
      <c r="D242" s="43" t="str">
        <f>IF(OR($B242="",$A242&gt;$B$9,D$241=""),"",IF(COUNTIFS(BD!$B$3:$B$5001,D$241,BD!$A$3:$A$5001,"&gt;="&amp;$C$7,BD!$A$3:$A$5001,"&lt;="&amp;$B242,BD!$Y$3:$Y$5001,"&lt;&gt;")=0,"",SUMIFS(BD!$Y$3:$Y$5001,BD!$B$3:$B$5001,D$241,BD!$A$3:$A$5001,_xlfn.MAXIFS(BD!$A$3:$A$5001,BD!$B$3:$B$5001,D$241,BD!$A$3:$A$5001,"&gt;="&amp;$C$7,BD!$A$3:$A$5001,"&lt;="&amp;$B242,BD!$Y$3:$Y$5001,"&lt;&gt;"))))</f>
        <v/>
      </c>
      <c r="E242" s="43" t="str">
        <f>IF(OR($B242="",$A242&gt;$B$9,E$241=""),"",IF(COUNTIFS(BD!$B$3:$B$5001,E$241,BD!$A$3:$A$5001,"&gt;="&amp;$C$7,BD!$A$3:$A$5001,"&lt;="&amp;$B242,BD!$Y$3:$Y$5001,"&lt;&gt;")=0,"",SUMIFS(BD!$Y$3:$Y$5001,BD!$B$3:$B$5001,E$241,BD!$A$3:$A$5001,_xlfn.MAXIFS(BD!$A$3:$A$5001,BD!$B$3:$B$5001,E$241,BD!$A$3:$A$5001,"&gt;="&amp;$C$7,BD!$A$3:$A$5001,"&lt;="&amp;$B242,BD!$Y$3:$Y$5001,"&lt;&gt;"))))</f>
        <v/>
      </c>
      <c r="F242" s="43" t="str">
        <f>IF(OR($B242="",$A242&gt;$B$9,F$241=""),"",IF(COUNTIFS(BD!$B$3:$B$5001,F$241,BD!$A$3:$A$5001,"&gt;="&amp;$C$7,BD!$A$3:$A$5001,"&lt;="&amp;$B242,BD!$Y$3:$Y$5001,"&lt;&gt;")=0,"",SUMIFS(BD!$Y$3:$Y$5001,BD!$B$3:$B$5001,F$241,BD!$A$3:$A$5001,_xlfn.MAXIFS(BD!$A$3:$A$5001,BD!$B$3:$B$5001,F$241,BD!$A$3:$A$5001,"&gt;="&amp;$C$7,BD!$A$3:$A$5001,"&lt;="&amp;$B242,BD!$Y$3:$Y$5001,"&lt;&gt;"))))</f>
        <v/>
      </c>
      <c r="G242" s="43" t="str">
        <f>IF(OR($B242="",$A242&gt;$B$9,G$241=""),"",IF(COUNTIFS(BD!$B$3:$B$5001,G$241,BD!$A$3:$A$5001,"&gt;="&amp;$C$7,BD!$A$3:$A$5001,"&lt;="&amp;$B242,BD!$Y$3:$Y$5001,"&lt;&gt;")=0,"",SUMIFS(BD!$Y$3:$Y$5001,BD!$B$3:$B$5001,G$241,BD!$A$3:$A$5001,_xlfn.MAXIFS(BD!$A$3:$A$5001,BD!$B$3:$B$5001,G$241,BD!$A$3:$A$5001,"&gt;="&amp;$C$7,BD!$A$3:$A$5001,"&lt;="&amp;$B242,BD!$Y$3:$Y$5001,"&lt;&gt;"))))</f>
        <v/>
      </c>
      <c r="H242" s="43" t="str">
        <f>IF(OR($B242="",$A242&gt;$B$9,H$241=""),"",IF(COUNTIFS(BD!$B$3:$B$5001,H$241,BD!$A$3:$A$5001,"&gt;="&amp;$C$7,BD!$A$3:$A$5001,"&lt;="&amp;$B242,BD!$Y$3:$Y$5001,"&lt;&gt;")=0,"",SUMIFS(BD!$Y$3:$Y$5001,BD!$B$3:$B$5001,H$241,BD!$A$3:$A$5001,_xlfn.MAXIFS(BD!$A$3:$A$5001,BD!$B$3:$B$5001,H$241,BD!$A$3:$A$5001,"&gt;="&amp;$C$7,BD!$A$3:$A$5001,"&lt;="&amp;$B242,BD!$Y$3:$Y$5001,"&lt;&gt;"))))</f>
        <v/>
      </c>
      <c r="I242" s="43" t="str">
        <f>IF(OR($B242="",$A242&gt;$B$9,I$241=""),"",IF(COUNTIFS(BD!$B$3:$B$5001,I$241,BD!$A$3:$A$5001,"&gt;="&amp;$C$7,BD!$A$3:$A$5001,"&lt;="&amp;$B242,BD!$Y$3:$Y$5001,"&lt;&gt;")=0,"",SUMIFS(BD!$Y$3:$Y$5001,BD!$B$3:$B$5001,I$241,BD!$A$3:$A$5001,_xlfn.MAXIFS(BD!$A$3:$A$5001,BD!$B$3:$B$5001,I$241,BD!$A$3:$A$5001,"&gt;="&amp;$C$7,BD!$A$3:$A$5001,"&lt;="&amp;$B242,BD!$Y$3:$Y$5001,"&lt;&gt;"))))</f>
        <v/>
      </c>
      <c r="J242" s="43" t="str">
        <f>IF(OR($B242="",$A242&gt;$B$9,J$241=""),"",IF(COUNTIFS(BD!$B$3:$B$5001,J$241,BD!$A$3:$A$5001,"&gt;="&amp;$C$7,BD!$A$3:$A$5001,"&lt;="&amp;$B242,BD!$Y$3:$Y$5001,"&lt;&gt;")=0,"",SUMIFS(BD!$Y$3:$Y$5001,BD!$B$3:$B$5001,J$241,BD!$A$3:$A$5001,_xlfn.MAXIFS(BD!$A$3:$A$5001,BD!$B$3:$B$5001,J$241,BD!$A$3:$A$5001,"&gt;="&amp;$C$7,BD!$A$3:$A$5001,"&lt;="&amp;$B242,BD!$Y$3:$Y$5001,"&lt;&gt;"))))</f>
        <v/>
      </c>
      <c r="K242" s="43" t="str">
        <f>IF(OR($B242="",$A242&gt;$B$9,K$241=""),"",IF(COUNTIFS(BD!$B$3:$B$5001,K$241,BD!$A$3:$A$5001,"&gt;="&amp;$C$7,BD!$A$3:$A$5001,"&lt;="&amp;$B242,BD!$Y$3:$Y$5001,"&lt;&gt;")=0,"",SUMIFS(BD!$Y$3:$Y$5001,BD!$B$3:$B$5001,K$241,BD!$A$3:$A$5001,_xlfn.MAXIFS(BD!$A$3:$A$5001,BD!$B$3:$B$5001,K$241,BD!$A$3:$A$5001,"&gt;="&amp;$C$7,BD!$A$3:$A$5001,"&lt;="&amp;$B242,BD!$Y$3:$Y$5001,"&lt;&gt;"))))</f>
        <v/>
      </c>
      <c r="L242" s="43" t="str">
        <f>IF(OR($B242="",$A242&gt;$B$9,L$241=""),"",IF(COUNTIFS(BD!$B$3:$B$5001,L$241,BD!$A$3:$A$5001,"&gt;="&amp;$C$7,BD!$A$3:$A$5001,"&lt;="&amp;$B242,BD!$Y$3:$Y$5001,"&lt;&gt;")=0,"",SUMIFS(BD!$Y$3:$Y$5001,BD!$B$3:$B$5001,L$241,BD!$A$3:$A$5001,_xlfn.MAXIFS(BD!$A$3:$A$5001,BD!$B$3:$B$5001,L$241,BD!$A$3:$A$5001,"&gt;="&amp;$C$7,BD!$A$3:$A$5001,"&lt;="&amp;$B242,BD!$Y$3:$Y$5001,"&lt;&gt;"))))</f>
        <v/>
      </c>
      <c r="M242" s="43" t="str">
        <f>IF(OR($B242="",$A242&gt;$B$9,M$241=""),"",IF(COUNTIFS(BD!$B$3:$B$5001,M$241,BD!$A$3:$A$5001,"&gt;="&amp;$C$7,BD!$A$3:$A$5001,"&lt;="&amp;$B242,BD!$Y$3:$Y$5001,"&lt;&gt;")=0,"",SUMIFS(BD!$Y$3:$Y$5001,BD!$B$3:$B$5001,M$241,BD!$A$3:$A$5001,_xlfn.MAXIFS(BD!$A$3:$A$5001,BD!$B$3:$B$5001,M$241,BD!$A$3:$A$5001,"&gt;="&amp;$C$7,BD!$A$3:$A$5001,"&lt;="&amp;$B242,BD!$Y$3:$Y$5001,"&lt;&gt;"))))</f>
        <v/>
      </c>
      <c r="N242" s="43" t="str">
        <f>IF(OR($B242="",$A242&gt;$B$9,N$241=""),"",IF(COUNTIFS(BD!$B$3:$B$5001,N$241,BD!$A$3:$A$5001,"&gt;="&amp;$C$7,BD!$A$3:$A$5001,"&lt;="&amp;$B242,BD!$Y$3:$Y$5001,"&lt;&gt;")=0,"",SUMIFS(BD!$Y$3:$Y$5001,BD!$B$3:$B$5001,N$241,BD!$A$3:$A$5001,_xlfn.MAXIFS(BD!$A$3:$A$5001,BD!$B$3:$B$5001,N$241,BD!$A$3:$A$5001,"&gt;="&amp;$C$7,BD!$A$3:$A$5001,"&lt;="&amp;$B242,BD!$Y$3:$Y$5001,"&lt;&gt;"))))</f>
        <v/>
      </c>
      <c r="O242" s="43" t="str">
        <f>IF(OR($B242="",$A242&gt;$B$9,O$241=""),"",IF(COUNTIFS(BD!$B$3:$B$5001,O$241,BD!$A$3:$A$5001,"&gt;="&amp;$C$7,BD!$A$3:$A$5001,"&lt;="&amp;$B242,BD!$Y$3:$Y$5001,"&lt;&gt;")=0,"",SUMIFS(BD!$Y$3:$Y$5001,BD!$B$3:$B$5001,O$241,BD!$A$3:$A$5001,_xlfn.MAXIFS(BD!$A$3:$A$5001,BD!$B$3:$B$5001,O$241,BD!$A$3:$A$5001,"&gt;="&amp;$C$7,BD!$A$3:$A$5001,"&lt;="&amp;$B242,BD!$Y$3:$Y$5001,"&lt;&gt;"))))</f>
        <v/>
      </c>
      <c r="P242" s="43" t="str">
        <f>IF(OR($B242="",$A242&gt;$B$9,P$241=""),"",IF(COUNTIFS(BD!$B$3:$B$5001,P$241,BD!$A$3:$A$5001,"&gt;="&amp;$C$7,BD!$A$3:$A$5001,"&lt;="&amp;$B242,BD!$Y$3:$Y$5001,"&lt;&gt;")=0,"",SUMIFS(BD!$Y$3:$Y$5001,BD!$B$3:$B$5001,P$241,BD!$A$3:$A$5001,_xlfn.MAXIFS(BD!$A$3:$A$5001,BD!$B$3:$B$5001,P$241,BD!$A$3:$A$5001,"&gt;="&amp;$C$7,BD!$A$3:$A$5001,"&lt;="&amp;$B242,BD!$Y$3:$Y$5001,"&lt;&gt;"))))</f>
        <v/>
      </c>
      <c r="Q242" s="43" t="str">
        <f>IF(OR($B242="",$A242&gt;$B$9,Q$241=""),"",IF(COUNTIFS(BD!$B$3:$B$5001,Q$241,BD!$A$3:$A$5001,"&gt;="&amp;$C$7,BD!$A$3:$A$5001,"&lt;="&amp;$B242,BD!$Y$3:$Y$5001,"&lt;&gt;")=0,"",SUMIFS(BD!$Y$3:$Y$5001,BD!$B$3:$B$5001,Q$241,BD!$A$3:$A$5001,_xlfn.MAXIFS(BD!$A$3:$A$5001,BD!$B$3:$B$5001,Q$241,BD!$A$3:$A$5001,"&gt;="&amp;$C$7,BD!$A$3:$A$5001,"&lt;="&amp;$B242,BD!$Y$3:$Y$5001,"&lt;&gt;"))))</f>
        <v/>
      </c>
      <c r="R242" s="43" t="str">
        <f>IF(OR($B242="",$A242&gt;$B$9,R$241=""),"",IF(COUNTIFS(BD!$B$3:$B$5001,R$241,BD!$A$3:$A$5001,"&gt;="&amp;$C$7,BD!$A$3:$A$5001,"&lt;="&amp;$B242,BD!$Y$3:$Y$5001,"&lt;&gt;")=0,"",SUMIFS(BD!$Y$3:$Y$5001,BD!$B$3:$B$5001,R$241,BD!$A$3:$A$5001,_xlfn.MAXIFS(BD!$A$3:$A$5001,BD!$B$3:$B$5001,R$241,BD!$A$3:$A$5001,"&gt;="&amp;$C$7,BD!$A$3:$A$5001,"&lt;="&amp;$B242,BD!$Y$3:$Y$5001,"&lt;&gt;"))))</f>
        <v/>
      </c>
      <c r="S242" s="43" t="str">
        <f>IF(OR($B242="",$A242&gt;$B$9,S$241=""),"",IF(COUNTIFS(BD!$B$3:$B$5001,S$241,BD!$A$3:$A$5001,"&gt;="&amp;$C$7,BD!$A$3:$A$5001,"&lt;="&amp;$B242,BD!$Y$3:$Y$5001,"&lt;&gt;")=0,"",SUMIFS(BD!$Y$3:$Y$5001,BD!$B$3:$B$5001,S$241,BD!$A$3:$A$5001,_xlfn.MAXIFS(BD!$A$3:$A$5001,BD!$B$3:$B$5001,S$241,BD!$A$3:$A$5001,"&gt;="&amp;$C$7,BD!$A$3:$A$5001,"&lt;="&amp;$B242,BD!$Y$3:$Y$5001,"&lt;&gt;"))))</f>
        <v/>
      </c>
      <c r="T242" s="43" t="str">
        <f>IF(OR($B242="",$A242&gt;$B$9,T$241=""),"",IF(COUNTIFS(BD!$B$3:$B$5001,T$241,BD!$A$3:$A$5001,"&gt;="&amp;$C$7,BD!$A$3:$A$5001,"&lt;="&amp;$B242,BD!$Y$3:$Y$5001,"&lt;&gt;")=0,"",SUMIFS(BD!$Y$3:$Y$5001,BD!$B$3:$B$5001,T$241,BD!$A$3:$A$5001,_xlfn.MAXIFS(BD!$A$3:$A$5001,BD!$B$3:$B$5001,T$241,BD!$A$3:$A$5001,"&gt;="&amp;$C$7,BD!$A$3:$A$5001,"&lt;="&amp;$B242,BD!$Y$3:$Y$5001,"&lt;&gt;"))))</f>
        <v/>
      </c>
      <c r="U242" s="43" t="str">
        <f>IF(OR($B242="",$A242&gt;$B$9,U$241=""),"",IF(COUNTIFS(BD!$B$3:$B$5001,U$241,BD!$A$3:$A$5001,"&gt;="&amp;$C$7,BD!$A$3:$A$5001,"&lt;="&amp;$B242,BD!$Y$3:$Y$5001,"&lt;&gt;")=0,"",SUMIFS(BD!$Y$3:$Y$5001,BD!$B$3:$B$5001,U$241,BD!$A$3:$A$5001,_xlfn.MAXIFS(BD!$A$3:$A$5001,BD!$B$3:$B$5001,U$241,BD!$A$3:$A$5001,"&gt;="&amp;$C$7,BD!$A$3:$A$5001,"&lt;="&amp;$B242,BD!$Y$3:$Y$5001,"&lt;&gt;"))))</f>
        <v/>
      </c>
      <c r="V242" s="43" t="str">
        <f>IF(OR($B242="",$A242&gt;$B$9,V$241=""),"",IF(COUNTIFS(BD!$B$3:$B$5001,V$241,BD!$A$3:$A$5001,"&gt;="&amp;$C$7,BD!$A$3:$A$5001,"&lt;="&amp;$B242,BD!$Y$3:$Y$5001,"&lt;&gt;")=0,"",SUMIFS(BD!$Y$3:$Y$5001,BD!$B$3:$B$5001,V$241,BD!$A$3:$A$5001,_xlfn.MAXIFS(BD!$A$3:$A$5001,BD!$B$3:$B$5001,V$241,BD!$A$3:$A$5001,"&gt;="&amp;$C$7,BD!$A$3:$A$5001,"&lt;="&amp;$B242,BD!$Y$3:$Y$5001,"&lt;&gt;"))))</f>
        <v/>
      </c>
    </row>
    <row r="243">
      <c r="A243" s="38">
        <v>2</v>
      </c>
      <c r="B243" s="42">
        <f>$B$13</f>
        <v>46297</v>
      </c>
      <c r="C243" s="43" t="str">
        <f>IF(OR($B243="",$A243&gt;$B$9,C$241=""),"",IF(COUNTIFS(BD!$B$3:$B$5001,C$241,BD!$A$3:$A$5001,"&gt;="&amp;$C$7,BD!$A$3:$A$5001,"&lt;="&amp;$B243,BD!$Y$3:$Y$5001,"&lt;&gt;")=0,"",SUMIFS(BD!$Y$3:$Y$5001,BD!$B$3:$B$5001,C$241,BD!$A$3:$A$5001,_xlfn.MAXIFS(BD!$A$3:$A$5001,BD!$B$3:$B$5001,C$241,BD!$A$3:$A$5001,"&gt;="&amp;$C$7,BD!$A$3:$A$5001,"&lt;="&amp;$B243,BD!$Y$3:$Y$5001,"&lt;&gt;"))))</f>
        <v/>
      </c>
      <c r="D243" s="43" t="str">
        <f>IF(OR($B243="",$A243&gt;$B$9,D$241=""),"",IF(COUNTIFS(BD!$B$3:$B$5001,D$241,BD!$A$3:$A$5001,"&gt;="&amp;$C$7,BD!$A$3:$A$5001,"&lt;="&amp;$B243,BD!$Y$3:$Y$5001,"&lt;&gt;")=0,"",SUMIFS(BD!$Y$3:$Y$5001,BD!$B$3:$B$5001,D$241,BD!$A$3:$A$5001,_xlfn.MAXIFS(BD!$A$3:$A$5001,BD!$B$3:$B$5001,D$241,BD!$A$3:$A$5001,"&gt;="&amp;$C$7,BD!$A$3:$A$5001,"&lt;="&amp;$B243,BD!$Y$3:$Y$5001,"&lt;&gt;"))))</f>
        <v/>
      </c>
      <c r="E243" s="43" t="str">
        <f>IF(OR($B243="",$A243&gt;$B$9,E$241=""),"",IF(COUNTIFS(BD!$B$3:$B$5001,E$241,BD!$A$3:$A$5001,"&gt;="&amp;$C$7,BD!$A$3:$A$5001,"&lt;="&amp;$B243,BD!$Y$3:$Y$5001,"&lt;&gt;")=0,"",SUMIFS(BD!$Y$3:$Y$5001,BD!$B$3:$B$5001,E$241,BD!$A$3:$A$5001,_xlfn.MAXIFS(BD!$A$3:$A$5001,BD!$B$3:$B$5001,E$241,BD!$A$3:$A$5001,"&gt;="&amp;$C$7,BD!$A$3:$A$5001,"&lt;="&amp;$B243,BD!$Y$3:$Y$5001,"&lt;&gt;"))))</f>
        <v/>
      </c>
      <c r="F243" s="43" t="str">
        <f>IF(OR($B243="",$A243&gt;$B$9,F$241=""),"",IF(COUNTIFS(BD!$B$3:$B$5001,F$241,BD!$A$3:$A$5001,"&gt;="&amp;$C$7,BD!$A$3:$A$5001,"&lt;="&amp;$B243,BD!$Y$3:$Y$5001,"&lt;&gt;")=0,"",SUMIFS(BD!$Y$3:$Y$5001,BD!$B$3:$B$5001,F$241,BD!$A$3:$A$5001,_xlfn.MAXIFS(BD!$A$3:$A$5001,BD!$B$3:$B$5001,F$241,BD!$A$3:$A$5001,"&gt;="&amp;$C$7,BD!$A$3:$A$5001,"&lt;="&amp;$B243,BD!$Y$3:$Y$5001,"&lt;&gt;"))))</f>
        <v/>
      </c>
      <c r="G243" s="43" t="str">
        <f>IF(OR($B243="",$A243&gt;$B$9,G$241=""),"",IF(COUNTIFS(BD!$B$3:$B$5001,G$241,BD!$A$3:$A$5001,"&gt;="&amp;$C$7,BD!$A$3:$A$5001,"&lt;="&amp;$B243,BD!$Y$3:$Y$5001,"&lt;&gt;")=0,"",SUMIFS(BD!$Y$3:$Y$5001,BD!$B$3:$B$5001,G$241,BD!$A$3:$A$5001,_xlfn.MAXIFS(BD!$A$3:$A$5001,BD!$B$3:$B$5001,G$241,BD!$A$3:$A$5001,"&gt;="&amp;$C$7,BD!$A$3:$A$5001,"&lt;="&amp;$B243,BD!$Y$3:$Y$5001,"&lt;&gt;"))))</f>
        <v/>
      </c>
      <c r="H243" s="43" t="str">
        <f>IF(OR($B243="",$A243&gt;$B$9,H$241=""),"",IF(COUNTIFS(BD!$B$3:$B$5001,H$241,BD!$A$3:$A$5001,"&gt;="&amp;$C$7,BD!$A$3:$A$5001,"&lt;="&amp;$B243,BD!$Y$3:$Y$5001,"&lt;&gt;")=0,"",SUMIFS(BD!$Y$3:$Y$5001,BD!$B$3:$B$5001,H$241,BD!$A$3:$A$5001,_xlfn.MAXIFS(BD!$A$3:$A$5001,BD!$B$3:$B$5001,H$241,BD!$A$3:$A$5001,"&gt;="&amp;$C$7,BD!$A$3:$A$5001,"&lt;="&amp;$B243,BD!$Y$3:$Y$5001,"&lt;&gt;"))))</f>
        <v/>
      </c>
      <c r="I243" s="43" t="str">
        <f>IF(OR($B243="",$A243&gt;$B$9,I$241=""),"",IF(COUNTIFS(BD!$B$3:$B$5001,I$241,BD!$A$3:$A$5001,"&gt;="&amp;$C$7,BD!$A$3:$A$5001,"&lt;="&amp;$B243,BD!$Y$3:$Y$5001,"&lt;&gt;")=0,"",SUMIFS(BD!$Y$3:$Y$5001,BD!$B$3:$B$5001,I$241,BD!$A$3:$A$5001,_xlfn.MAXIFS(BD!$A$3:$A$5001,BD!$B$3:$B$5001,I$241,BD!$A$3:$A$5001,"&gt;="&amp;$C$7,BD!$A$3:$A$5001,"&lt;="&amp;$B243,BD!$Y$3:$Y$5001,"&lt;&gt;"))))</f>
        <v/>
      </c>
      <c r="J243" s="43" t="str">
        <f>IF(OR($B243="",$A243&gt;$B$9,J$241=""),"",IF(COUNTIFS(BD!$B$3:$B$5001,J$241,BD!$A$3:$A$5001,"&gt;="&amp;$C$7,BD!$A$3:$A$5001,"&lt;="&amp;$B243,BD!$Y$3:$Y$5001,"&lt;&gt;")=0,"",SUMIFS(BD!$Y$3:$Y$5001,BD!$B$3:$B$5001,J$241,BD!$A$3:$A$5001,_xlfn.MAXIFS(BD!$A$3:$A$5001,BD!$B$3:$B$5001,J$241,BD!$A$3:$A$5001,"&gt;="&amp;$C$7,BD!$A$3:$A$5001,"&lt;="&amp;$B243,BD!$Y$3:$Y$5001,"&lt;&gt;"))))</f>
        <v/>
      </c>
      <c r="K243" s="43" t="str">
        <f>IF(OR($B243="",$A243&gt;$B$9,K$241=""),"",IF(COUNTIFS(BD!$B$3:$B$5001,K$241,BD!$A$3:$A$5001,"&gt;="&amp;$C$7,BD!$A$3:$A$5001,"&lt;="&amp;$B243,BD!$Y$3:$Y$5001,"&lt;&gt;")=0,"",SUMIFS(BD!$Y$3:$Y$5001,BD!$B$3:$B$5001,K$241,BD!$A$3:$A$5001,_xlfn.MAXIFS(BD!$A$3:$A$5001,BD!$B$3:$B$5001,K$241,BD!$A$3:$A$5001,"&gt;="&amp;$C$7,BD!$A$3:$A$5001,"&lt;="&amp;$B243,BD!$Y$3:$Y$5001,"&lt;&gt;"))))</f>
        <v/>
      </c>
      <c r="L243" s="43" t="str">
        <f>IF(OR($B243="",$A243&gt;$B$9,L$241=""),"",IF(COUNTIFS(BD!$B$3:$B$5001,L$241,BD!$A$3:$A$5001,"&gt;="&amp;$C$7,BD!$A$3:$A$5001,"&lt;="&amp;$B243,BD!$Y$3:$Y$5001,"&lt;&gt;")=0,"",SUMIFS(BD!$Y$3:$Y$5001,BD!$B$3:$B$5001,L$241,BD!$A$3:$A$5001,_xlfn.MAXIFS(BD!$A$3:$A$5001,BD!$B$3:$B$5001,L$241,BD!$A$3:$A$5001,"&gt;="&amp;$C$7,BD!$A$3:$A$5001,"&lt;="&amp;$B243,BD!$Y$3:$Y$5001,"&lt;&gt;"))))</f>
        <v/>
      </c>
      <c r="M243" s="43" t="str">
        <f>IF(OR($B243="",$A243&gt;$B$9,M$241=""),"",IF(COUNTIFS(BD!$B$3:$B$5001,M$241,BD!$A$3:$A$5001,"&gt;="&amp;$C$7,BD!$A$3:$A$5001,"&lt;="&amp;$B243,BD!$Y$3:$Y$5001,"&lt;&gt;")=0,"",SUMIFS(BD!$Y$3:$Y$5001,BD!$B$3:$B$5001,M$241,BD!$A$3:$A$5001,_xlfn.MAXIFS(BD!$A$3:$A$5001,BD!$B$3:$B$5001,M$241,BD!$A$3:$A$5001,"&gt;="&amp;$C$7,BD!$A$3:$A$5001,"&lt;="&amp;$B243,BD!$Y$3:$Y$5001,"&lt;&gt;"))))</f>
        <v/>
      </c>
      <c r="N243" s="43" t="str">
        <f>IF(OR($B243="",$A243&gt;$B$9,N$241=""),"",IF(COUNTIFS(BD!$B$3:$B$5001,N$241,BD!$A$3:$A$5001,"&gt;="&amp;$C$7,BD!$A$3:$A$5001,"&lt;="&amp;$B243,BD!$Y$3:$Y$5001,"&lt;&gt;")=0,"",SUMIFS(BD!$Y$3:$Y$5001,BD!$B$3:$B$5001,N$241,BD!$A$3:$A$5001,_xlfn.MAXIFS(BD!$A$3:$A$5001,BD!$B$3:$B$5001,N$241,BD!$A$3:$A$5001,"&gt;="&amp;$C$7,BD!$A$3:$A$5001,"&lt;="&amp;$B243,BD!$Y$3:$Y$5001,"&lt;&gt;"))))</f>
        <v/>
      </c>
      <c r="O243" s="43" t="str">
        <f>IF(OR($B243="",$A243&gt;$B$9,O$241=""),"",IF(COUNTIFS(BD!$B$3:$B$5001,O$241,BD!$A$3:$A$5001,"&gt;="&amp;$C$7,BD!$A$3:$A$5001,"&lt;="&amp;$B243,BD!$Y$3:$Y$5001,"&lt;&gt;")=0,"",SUMIFS(BD!$Y$3:$Y$5001,BD!$B$3:$B$5001,O$241,BD!$A$3:$A$5001,_xlfn.MAXIFS(BD!$A$3:$A$5001,BD!$B$3:$B$5001,O$241,BD!$A$3:$A$5001,"&gt;="&amp;$C$7,BD!$A$3:$A$5001,"&lt;="&amp;$B243,BD!$Y$3:$Y$5001,"&lt;&gt;"))))</f>
        <v/>
      </c>
      <c r="P243" s="43" t="str">
        <f>IF(OR($B243="",$A243&gt;$B$9,P$241=""),"",IF(COUNTIFS(BD!$B$3:$B$5001,P$241,BD!$A$3:$A$5001,"&gt;="&amp;$C$7,BD!$A$3:$A$5001,"&lt;="&amp;$B243,BD!$Y$3:$Y$5001,"&lt;&gt;")=0,"",SUMIFS(BD!$Y$3:$Y$5001,BD!$B$3:$B$5001,P$241,BD!$A$3:$A$5001,_xlfn.MAXIFS(BD!$A$3:$A$5001,BD!$B$3:$B$5001,P$241,BD!$A$3:$A$5001,"&gt;="&amp;$C$7,BD!$A$3:$A$5001,"&lt;="&amp;$B243,BD!$Y$3:$Y$5001,"&lt;&gt;"))))</f>
        <v/>
      </c>
      <c r="Q243" s="43" t="str">
        <f>IF(OR($B243="",$A243&gt;$B$9,Q$241=""),"",IF(COUNTIFS(BD!$B$3:$B$5001,Q$241,BD!$A$3:$A$5001,"&gt;="&amp;$C$7,BD!$A$3:$A$5001,"&lt;="&amp;$B243,BD!$Y$3:$Y$5001,"&lt;&gt;")=0,"",SUMIFS(BD!$Y$3:$Y$5001,BD!$B$3:$B$5001,Q$241,BD!$A$3:$A$5001,_xlfn.MAXIFS(BD!$A$3:$A$5001,BD!$B$3:$B$5001,Q$241,BD!$A$3:$A$5001,"&gt;="&amp;$C$7,BD!$A$3:$A$5001,"&lt;="&amp;$B243,BD!$Y$3:$Y$5001,"&lt;&gt;"))))</f>
        <v/>
      </c>
      <c r="R243" s="43" t="str">
        <f>IF(OR($B243="",$A243&gt;$B$9,R$241=""),"",IF(COUNTIFS(BD!$B$3:$B$5001,R$241,BD!$A$3:$A$5001,"&gt;="&amp;$C$7,BD!$A$3:$A$5001,"&lt;="&amp;$B243,BD!$Y$3:$Y$5001,"&lt;&gt;")=0,"",SUMIFS(BD!$Y$3:$Y$5001,BD!$B$3:$B$5001,R$241,BD!$A$3:$A$5001,_xlfn.MAXIFS(BD!$A$3:$A$5001,BD!$B$3:$B$5001,R$241,BD!$A$3:$A$5001,"&gt;="&amp;$C$7,BD!$A$3:$A$5001,"&lt;="&amp;$B243,BD!$Y$3:$Y$5001,"&lt;&gt;"))))</f>
        <v/>
      </c>
      <c r="S243" s="43" t="str">
        <f>IF(OR($B243="",$A243&gt;$B$9,S$241=""),"",IF(COUNTIFS(BD!$B$3:$B$5001,S$241,BD!$A$3:$A$5001,"&gt;="&amp;$C$7,BD!$A$3:$A$5001,"&lt;="&amp;$B243,BD!$Y$3:$Y$5001,"&lt;&gt;")=0,"",SUMIFS(BD!$Y$3:$Y$5001,BD!$B$3:$B$5001,S$241,BD!$A$3:$A$5001,_xlfn.MAXIFS(BD!$A$3:$A$5001,BD!$B$3:$B$5001,S$241,BD!$A$3:$A$5001,"&gt;="&amp;$C$7,BD!$A$3:$A$5001,"&lt;="&amp;$B243,BD!$Y$3:$Y$5001,"&lt;&gt;"))))</f>
        <v/>
      </c>
      <c r="T243" s="43" t="str">
        <f>IF(OR($B243="",$A243&gt;$B$9,T$241=""),"",IF(COUNTIFS(BD!$B$3:$B$5001,T$241,BD!$A$3:$A$5001,"&gt;="&amp;$C$7,BD!$A$3:$A$5001,"&lt;="&amp;$B243,BD!$Y$3:$Y$5001,"&lt;&gt;")=0,"",SUMIFS(BD!$Y$3:$Y$5001,BD!$B$3:$B$5001,T$241,BD!$A$3:$A$5001,_xlfn.MAXIFS(BD!$A$3:$A$5001,BD!$B$3:$B$5001,T$241,BD!$A$3:$A$5001,"&gt;="&amp;$C$7,BD!$A$3:$A$5001,"&lt;="&amp;$B243,BD!$Y$3:$Y$5001,"&lt;&gt;"))))</f>
        <v/>
      </c>
      <c r="U243" s="43" t="str">
        <f>IF(OR($B243="",$A243&gt;$B$9,U$241=""),"",IF(COUNTIFS(BD!$B$3:$B$5001,U$241,BD!$A$3:$A$5001,"&gt;="&amp;$C$7,BD!$A$3:$A$5001,"&lt;="&amp;$B243,BD!$Y$3:$Y$5001,"&lt;&gt;")=0,"",SUMIFS(BD!$Y$3:$Y$5001,BD!$B$3:$B$5001,U$241,BD!$A$3:$A$5001,_xlfn.MAXIFS(BD!$A$3:$A$5001,BD!$B$3:$B$5001,U$241,BD!$A$3:$A$5001,"&gt;="&amp;$C$7,BD!$A$3:$A$5001,"&lt;="&amp;$B243,BD!$Y$3:$Y$5001,"&lt;&gt;"))))</f>
        <v/>
      </c>
      <c r="V243" s="43" t="str">
        <f>IF(OR($B243="",$A243&gt;$B$9,V$241=""),"",IF(COUNTIFS(BD!$B$3:$B$5001,V$241,BD!$A$3:$A$5001,"&gt;="&amp;$C$7,BD!$A$3:$A$5001,"&lt;="&amp;$B243,BD!$Y$3:$Y$5001,"&lt;&gt;")=0,"",SUMIFS(BD!$Y$3:$Y$5001,BD!$B$3:$B$5001,V$241,BD!$A$3:$A$5001,_xlfn.MAXIFS(BD!$A$3:$A$5001,BD!$B$3:$B$5001,V$241,BD!$A$3:$A$5001,"&gt;="&amp;$C$7,BD!$A$3:$A$5001,"&lt;="&amp;$B243,BD!$Y$3:$Y$5001,"&lt;&gt;"))))</f>
        <v/>
      </c>
    </row>
    <row r="244">
      <c r="A244" s="38">
        <v>3</v>
      </c>
      <c r="B244" s="42">
        <f>$B$14</f>
        <v>46298</v>
      </c>
      <c r="C244" s="43" t="str">
        <f>IF(OR($B244="",$A244&gt;$B$9,C$241=""),"",IF(COUNTIFS(BD!$B$3:$B$5001,C$241,BD!$A$3:$A$5001,"&gt;="&amp;$C$7,BD!$A$3:$A$5001,"&lt;="&amp;$B244,BD!$Y$3:$Y$5001,"&lt;&gt;")=0,"",SUMIFS(BD!$Y$3:$Y$5001,BD!$B$3:$B$5001,C$241,BD!$A$3:$A$5001,_xlfn.MAXIFS(BD!$A$3:$A$5001,BD!$B$3:$B$5001,C$241,BD!$A$3:$A$5001,"&gt;="&amp;$C$7,BD!$A$3:$A$5001,"&lt;="&amp;$B244,BD!$Y$3:$Y$5001,"&lt;&gt;"))))</f>
        <v/>
      </c>
      <c r="D244" s="43" t="str">
        <f>IF(OR($B244="",$A244&gt;$B$9,D$241=""),"",IF(COUNTIFS(BD!$B$3:$B$5001,D$241,BD!$A$3:$A$5001,"&gt;="&amp;$C$7,BD!$A$3:$A$5001,"&lt;="&amp;$B244,BD!$Y$3:$Y$5001,"&lt;&gt;")=0,"",SUMIFS(BD!$Y$3:$Y$5001,BD!$B$3:$B$5001,D$241,BD!$A$3:$A$5001,_xlfn.MAXIFS(BD!$A$3:$A$5001,BD!$B$3:$B$5001,D$241,BD!$A$3:$A$5001,"&gt;="&amp;$C$7,BD!$A$3:$A$5001,"&lt;="&amp;$B244,BD!$Y$3:$Y$5001,"&lt;&gt;"))))</f>
        <v/>
      </c>
      <c r="E244" s="43" t="str">
        <f>IF(OR($B244="",$A244&gt;$B$9,E$241=""),"",IF(COUNTIFS(BD!$B$3:$B$5001,E$241,BD!$A$3:$A$5001,"&gt;="&amp;$C$7,BD!$A$3:$A$5001,"&lt;="&amp;$B244,BD!$Y$3:$Y$5001,"&lt;&gt;")=0,"",SUMIFS(BD!$Y$3:$Y$5001,BD!$B$3:$B$5001,E$241,BD!$A$3:$A$5001,_xlfn.MAXIFS(BD!$A$3:$A$5001,BD!$B$3:$B$5001,E$241,BD!$A$3:$A$5001,"&gt;="&amp;$C$7,BD!$A$3:$A$5001,"&lt;="&amp;$B244,BD!$Y$3:$Y$5001,"&lt;&gt;"))))</f>
        <v/>
      </c>
      <c r="F244" s="43" t="str">
        <f>IF(OR($B244="",$A244&gt;$B$9,F$241=""),"",IF(COUNTIFS(BD!$B$3:$B$5001,F$241,BD!$A$3:$A$5001,"&gt;="&amp;$C$7,BD!$A$3:$A$5001,"&lt;="&amp;$B244,BD!$Y$3:$Y$5001,"&lt;&gt;")=0,"",SUMIFS(BD!$Y$3:$Y$5001,BD!$B$3:$B$5001,F$241,BD!$A$3:$A$5001,_xlfn.MAXIFS(BD!$A$3:$A$5001,BD!$B$3:$B$5001,F$241,BD!$A$3:$A$5001,"&gt;="&amp;$C$7,BD!$A$3:$A$5001,"&lt;="&amp;$B244,BD!$Y$3:$Y$5001,"&lt;&gt;"))))</f>
        <v/>
      </c>
      <c r="G244" s="43" t="str">
        <f>IF(OR($B244="",$A244&gt;$B$9,G$241=""),"",IF(COUNTIFS(BD!$B$3:$B$5001,G$241,BD!$A$3:$A$5001,"&gt;="&amp;$C$7,BD!$A$3:$A$5001,"&lt;="&amp;$B244,BD!$Y$3:$Y$5001,"&lt;&gt;")=0,"",SUMIFS(BD!$Y$3:$Y$5001,BD!$B$3:$B$5001,G$241,BD!$A$3:$A$5001,_xlfn.MAXIFS(BD!$A$3:$A$5001,BD!$B$3:$B$5001,G$241,BD!$A$3:$A$5001,"&gt;="&amp;$C$7,BD!$A$3:$A$5001,"&lt;="&amp;$B244,BD!$Y$3:$Y$5001,"&lt;&gt;"))))</f>
        <v/>
      </c>
      <c r="H244" s="43" t="str">
        <f>IF(OR($B244="",$A244&gt;$B$9,H$241=""),"",IF(COUNTIFS(BD!$B$3:$B$5001,H$241,BD!$A$3:$A$5001,"&gt;="&amp;$C$7,BD!$A$3:$A$5001,"&lt;="&amp;$B244,BD!$Y$3:$Y$5001,"&lt;&gt;")=0,"",SUMIFS(BD!$Y$3:$Y$5001,BD!$B$3:$B$5001,H$241,BD!$A$3:$A$5001,_xlfn.MAXIFS(BD!$A$3:$A$5001,BD!$B$3:$B$5001,H$241,BD!$A$3:$A$5001,"&gt;="&amp;$C$7,BD!$A$3:$A$5001,"&lt;="&amp;$B244,BD!$Y$3:$Y$5001,"&lt;&gt;"))))</f>
        <v/>
      </c>
      <c r="I244" s="43" t="str">
        <f>IF(OR($B244="",$A244&gt;$B$9,I$241=""),"",IF(COUNTIFS(BD!$B$3:$B$5001,I$241,BD!$A$3:$A$5001,"&gt;="&amp;$C$7,BD!$A$3:$A$5001,"&lt;="&amp;$B244,BD!$Y$3:$Y$5001,"&lt;&gt;")=0,"",SUMIFS(BD!$Y$3:$Y$5001,BD!$B$3:$B$5001,I$241,BD!$A$3:$A$5001,_xlfn.MAXIFS(BD!$A$3:$A$5001,BD!$B$3:$B$5001,I$241,BD!$A$3:$A$5001,"&gt;="&amp;$C$7,BD!$A$3:$A$5001,"&lt;="&amp;$B244,BD!$Y$3:$Y$5001,"&lt;&gt;"))))</f>
        <v/>
      </c>
      <c r="J244" s="43" t="str">
        <f>IF(OR($B244="",$A244&gt;$B$9,J$241=""),"",IF(COUNTIFS(BD!$B$3:$B$5001,J$241,BD!$A$3:$A$5001,"&gt;="&amp;$C$7,BD!$A$3:$A$5001,"&lt;="&amp;$B244,BD!$Y$3:$Y$5001,"&lt;&gt;")=0,"",SUMIFS(BD!$Y$3:$Y$5001,BD!$B$3:$B$5001,J$241,BD!$A$3:$A$5001,_xlfn.MAXIFS(BD!$A$3:$A$5001,BD!$B$3:$B$5001,J$241,BD!$A$3:$A$5001,"&gt;="&amp;$C$7,BD!$A$3:$A$5001,"&lt;="&amp;$B244,BD!$Y$3:$Y$5001,"&lt;&gt;"))))</f>
        <v/>
      </c>
      <c r="K244" s="43" t="str">
        <f>IF(OR($B244="",$A244&gt;$B$9,K$241=""),"",IF(COUNTIFS(BD!$B$3:$B$5001,K$241,BD!$A$3:$A$5001,"&gt;="&amp;$C$7,BD!$A$3:$A$5001,"&lt;="&amp;$B244,BD!$Y$3:$Y$5001,"&lt;&gt;")=0,"",SUMIFS(BD!$Y$3:$Y$5001,BD!$B$3:$B$5001,K$241,BD!$A$3:$A$5001,_xlfn.MAXIFS(BD!$A$3:$A$5001,BD!$B$3:$B$5001,K$241,BD!$A$3:$A$5001,"&gt;="&amp;$C$7,BD!$A$3:$A$5001,"&lt;="&amp;$B244,BD!$Y$3:$Y$5001,"&lt;&gt;"))))</f>
        <v/>
      </c>
      <c r="L244" s="43" t="str">
        <f>IF(OR($B244="",$A244&gt;$B$9,L$241=""),"",IF(COUNTIFS(BD!$B$3:$B$5001,L$241,BD!$A$3:$A$5001,"&gt;="&amp;$C$7,BD!$A$3:$A$5001,"&lt;="&amp;$B244,BD!$Y$3:$Y$5001,"&lt;&gt;")=0,"",SUMIFS(BD!$Y$3:$Y$5001,BD!$B$3:$B$5001,L$241,BD!$A$3:$A$5001,_xlfn.MAXIFS(BD!$A$3:$A$5001,BD!$B$3:$B$5001,L$241,BD!$A$3:$A$5001,"&gt;="&amp;$C$7,BD!$A$3:$A$5001,"&lt;="&amp;$B244,BD!$Y$3:$Y$5001,"&lt;&gt;"))))</f>
        <v/>
      </c>
      <c r="M244" s="43" t="str">
        <f>IF(OR($B244="",$A244&gt;$B$9,M$241=""),"",IF(COUNTIFS(BD!$B$3:$B$5001,M$241,BD!$A$3:$A$5001,"&gt;="&amp;$C$7,BD!$A$3:$A$5001,"&lt;="&amp;$B244,BD!$Y$3:$Y$5001,"&lt;&gt;")=0,"",SUMIFS(BD!$Y$3:$Y$5001,BD!$B$3:$B$5001,M$241,BD!$A$3:$A$5001,_xlfn.MAXIFS(BD!$A$3:$A$5001,BD!$B$3:$B$5001,M$241,BD!$A$3:$A$5001,"&gt;="&amp;$C$7,BD!$A$3:$A$5001,"&lt;="&amp;$B244,BD!$Y$3:$Y$5001,"&lt;&gt;"))))</f>
        <v/>
      </c>
      <c r="N244" s="43" t="str">
        <f>IF(OR($B244="",$A244&gt;$B$9,N$241=""),"",IF(COUNTIFS(BD!$B$3:$B$5001,N$241,BD!$A$3:$A$5001,"&gt;="&amp;$C$7,BD!$A$3:$A$5001,"&lt;="&amp;$B244,BD!$Y$3:$Y$5001,"&lt;&gt;")=0,"",SUMIFS(BD!$Y$3:$Y$5001,BD!$B$3:$B$5001,N$241,BD!$A$3:$A$5001,_xlfn.MAXIFS(BD!$A$3:$A$5001,BD!$B$3:$B$5001,N$241,BD!$A$3:$A$5001,"&gt;="&amp;$C$7,BD!$A$3:$A$5001,"&lt;="&amp;$B244,BD!$Y$3:$Y$5001,"&lt;&gt;"))))</f>
        <v/>
      </c>
      <c r="O244" s="43" t="str">
        <f>IF(OR($B244="",$A244&gt;$B$9,O$241=""),"",IF(COUNTIFS(BD!$B$3:$B$5001,O$241,BD!$A$3:$A$5001,"&gt;="&amp;$C$7,BD!$A$3:$A$5001,"&lt;="&amp;$B244,BD!$Y$3:$Y$5001,"&lt;&gt;")=0,"",SUMIFS(BD!$Y$3:$Y$5001,BD!$B$3:$B$5001,O$241,BD!$A$3:$A$5001,_xlfn.MAXIFS(BD!$A$3:$A$5001,BD!$B$3:$B$5001,O$241,BD!$A$3:$A$5001,"&gt;="&amp;$C$7,BD!$A$3:$A$5001,"&lt;="&amp;$B244,BD!$Y$3:$Y$5001,"&lt;&gt;"))))</f>
        <v/>
      </c>
      <c r="P244" s="43" t="str">
        <f>IF(OR($B244="",$A244&gt;$B$9,P$241=""),"",IF(COUNTIFS(BD!$B$3:$B$5001,P$241,BD!$A$3:$A$5001,"&gt;="&amp;$C$7,BD!$A$3:$A$5001,"&lt;="&amp;$B244,BD!$Y$3:$Y$5001,"&lt;&gt;")=0,"",SUMIFS(BD!$Y$3:$Y$5001,BD!$B$3:$B$5001,P$241,BD!$A$3:$A$5001,_xlfn.MAXIFS(BD!$A$3:$A$5001,BD!$B$3:$B$5001,P$241,BD!$A$3:$A$5001,"&gt;="&amp;$C$7,BD!$A$3:$A$5001,"&lt;="&amp;$B244,BD!$Y$3:$Y$5001,"&lt;&gt;"))))</f>
        <v/>
      </c>
      <c r="Q244" s="43" t="str">
        <f>IF(OR($B244="",$A244&gt;$B$9,Q$241=""),"",IF(COUNTIFS(BD!$B$3:$B$5001,Q$241,BD!$A$3:$A$5001,"&gt;="&amp;$C$7,BD!$A$3:$A$5001,"&lt;="&amp;$B244,BD!$Y$3:$Y$5001,"&lt;&gt;")=0,"",SUMIFS(BD!$Y$3:$Y$5001,BD!$B$3:$B$5001,Q$241,BD!$A$3:$A$5001,_xlfn.MAXIFS(BD!$A$3:$A$5001,BD!$B$3:$B$5001,Q$241,BD!$A$3:$A$5001,"&gt;="&amp;$C$7,BD!$A$3:$A$5001,"&lt;="&amp;$B244,BD!$Y$3:$Y$5001,"&lt;&gt;"))))</f>
        <v/>
      </c>
      <c r="R244" s="43" t="str">
        <f>IF(OR($B244="",$A244&gt;$B$9,R$241=""),"",IF(COUNTIFS(BD!$B$3:$B$5001,R$241,BD!$A$3:$A$5001,"&gt;="&amp;$C$7,BD!$A$3:$A$5001,"&lt;="&amp;$B244,BD!$Y$3:$Y$5001,"&lt;&gt;")=0,"",SUMIFS(BD!$Y$3:$Y$5001,BD!$B$3:$B$5001,R$241,BD!$A$3:$A$5001,_xlfn.MAXIFS(BD!$A$3:$A$5001,BD!$B$3:$B$5001,R$241,BD!$A$3:$A$5001,"&gt;="&amp;$C$7,BD!$A$3:$A$5001,"&lt;="&amp;$B244,BD!$Y$3:$Y$5001,"&lt;&gt;"))))</f>
        <v/>
      </c>
      <c r="S244" s="43" t="str">
        <f>IF(OR($B244="",$A244&gt;$B$9,S$241=""),"",IF(COUNTIFS(BD!$B$3:$B$5001,S$241,BD!$A$3:$A$5001,"&gt;="&amp;$C$7,BD!$A$3:$A$5001,"&lt;="&amp;$B244,BD!$Y$3:$Y$5001,"&lt;&gt;")=0,"",SUMIFS(BD!$Y$3:$Y$5001,BD!$B$3:$B$5001,S$241,BD!$A$3:$A$5001,_xlfn.MAXIFS(BD!$A$3:$A$5001,BD!$B$3:$B$5001,S$241,BD!$A$3:$A$5001,"&gt;="&amp;$C$7,BD!$A$3:$A$5001,"&lt;="&amp;$B244,BD!$Y$3:$Y$5001,"&lt;&gt;"))))</f>
        <v/>
      </c>
      <c r="T244" s="43" t="str">
        <f>IF(OR($B244="",$A244&gt;$B$9,T$241=""),"",IF(COUNTIFS(BD!$B$3:$B$5001,T$241,BD!$A$3:$A$5001,"&gt;="&amp;$C$7,BD!$A$3:$A$5001,"&lt;="&amp;$B244,BD!$Y$3:$Y$5001,"&lt;&gt;")=0,"",SUMIFS(BD!$Y$3:$Y$5001,BD!$B$3:$B$5001,T$241,BD!$A$3:$A$5001,_xlfn.MAXIFS(BD!$A$3:$A$5001,BD!$B$3:$B$5001,T$241,BD!$A$3:$A$5001,"&gt;="&amp;$C$7,BD!$A$3:$A$5001,"&lt;="&amp;$B244,BD!$Y$3:$Y$5001,"&lt;&gt;"))))</f>
        <v/>
      </c>
      <c r="U244" s="43" t="str">
        <f>IF(OR($B244="",$A244&gt;$B$9,U$241=""),"",IF(COUNTIFS(BD!$B$3:$B$5001,U$241,BD!$A$3:$A$5001,"&gt;="&amp;$C$7,BD!$A$3:$A$5001,"&lt;="&amp;$B244,BD!$Y$3:$Y$5001,"&lt;&gt;")=0,"",SUMIFS(BD!$Y$3:$Y$5001,BD!$B$3:$B$5001,U$241,BD!$A$3:$A$5001,_xlfn.MAXIFS(BD!$A$3:$A$5001,BD!$B$3:$B$5001,U$241,BD!$A$3:$A$5001,"&gt;="&amp;$C$7,BD!$A$3:$A$5001,"&lt;="&amp;$B244,BD!$Y$3:$Y$5001,"&lt;&gt;"))))</f>
        <v/>
      </c>
      <c r="V244" s="43" t="str">
        <f>IF(OR($B244="",$A244&gt;$B$9,V$241=""),"",IF(COUNTIFS(BD!$B$3:$B$5001,V$241,BD!$A$3:$A$5001,"&gt;="&amp;$C$7,BD!$A$3:$A$5001,"&lt;="&amp;$B244,BD!$Y$3:$Y$5001,"&lt;&gt;")=0,"",SUMIFS(BD!$Y$3:$Y$5001,BD!$B$3:$B$5001,V$241,BD!$A$3:$A$5001,_xlfn.MAXIFS(BD!$A$3:$A$5001,BD!$B$3:$B$5001,V$241,BD!$A$3:$A$5001,"&gt;="&amp;$C$7,BD!$A$3:$A$5001,"&lt;="&amp;$B244,BD!$Y$3:$Y$5001,"&lt;&gt;"))))</f>
        <v/>
      </c>
    </row>
    <row r="245">
      <c r="A245" s="38">
        <v>4</v>
      </c>
      <c r="B245" s="42">
        <f>$B$15</f>
        <v>46299</v>
      </c>
      <c r="C245" s="43" t="str">
        <f>IF(OR($B245="",$A245&gt;$B$9,C$241=""),"",IF(COUNTIFS(BD!$B$3:$B$5001,C$241,BD!$A$3:$A$5001,"&gt;="&amp;$C$7,BD!$A$3:$A$5001,"&lt;="&amp;$B245,BD!$Y$3:$Y$5001,"&lt;&gt;")=0,"",SUMIFS(BD!$Y$3:$Y$5001,BD!$B$3:$B$5001,C$241,BD!$A$3:$A$5001,_xlfn.MAXIFS(BD!$A$3:$A$5001,BD!$B$3:$B$5001,C$241,BD!$A$3:$A$5001,"&gt;="&amp;$C$7,BD!$A$3:$A$5001,"&lt;="&amp;$B245,BD!$Y$3:$Y$5001,"&lt;&gt;"))))</f>
        <v/>
      </c>
      <c r="D245" s="43" t="str">
        <f>IF(OR($B245="",$A245&gt;$B$9,D$241=""),"",IF(COUNTIFS(BD!$B$3:$B$5001,D$241,BD!$A$3:$A$5001,"&gt;="&amp;$C$7,BD!$A$3:$A$5001,"&lt;="&amp;$B245,BD!$Y$3:$Y$5001,"&lt;&gt;")=0,"",SUMIFS(BD!$Y$3:$Y$5001,BD!$B$3:$B$5001,D$241,BD!$A$3:$A$5001,_xlfn.MAXIFS(BD!$A$3:$A$5001,BD!$B$3:$B$5001,D$241,BD!$A$3:$A$5001,"&gt;="&amp;$C$7,BD!$A$3:$A$5001,"&lt;="&amp;$B245,BD!$Y$3:$Y$5001,"&lt;&gt;"))))</f>
        <v/>
      </c>
      <c r="E245" s="43" t="str">
        <f>IF(OR($B245="",$A245&gt;$B$9,E$241=""),"",IF(COUNTIFS(BD!$B$3:$B$5001,E$241,BD!$A$3:$A$5001,"&gt;="&amp;$C$7,BD!$A$3:$A$5001,"&lt;="&amp;$B245,BD!$Y$3:$Y$5001,"&lt;&gt;")=0,"",SUMIFS(BD!$Y$3:$Y$5001,BD!$B$3:$B$5001,E$241,BD!$A$3:$A$5001,_xlfn.MAXIFS(BD!$A$3:$A$5001,BD!$B$3:$B$5001,E$241,BD!$A$3:$A$5001,"&gt;="&amp;$C$7,BD!$A$3:$A$5001,"&lt;="&amp;$B245,BD!$Y$3:$Y$5001,"&lt;&gt;"))))</f>
        <v/>
      </c>
      <c r="F245" s="43" t="str">
        <f>IF(OR($B245="",$A245&gt;$B$9,F$241=""),"",IF(COUNTIFS(BD!$B$3:$B$5001,F$241,BD!$A$3:$A$5001,"&gt;="&amp;$C$7,BD!$A$3:$A$5001,"&lt;="&amp;$B245,BD!$Y$3:$Y$5001,"&lt;&gt;")=0,"",SUMIFS(BD!$Y$3:$Y$5001,BD!$B$3:$B$5001,F$241,BD!$A$3:$A$5001,_xlfn.MAXIFS(BD!$A$3:$A$5001,BD!$B$3:$B$5001,F$241,BD!$A$3:$A$5001,"&gt;="&amp;$C$7,BD!$A$3:$A$5001,"&lt;="&amp;$B245,BD!$Y$3:$Y$5001,"&lt;&gt;"))))</f>
        <v/>
      </c>
      <c r="G245" s="43" t="str">
        <f>IF(OR($B245="",$A245&gt;$B$9,G$241=""),"",IF(COUNTIFS(BD!$B$3:$B$5001,G$241,BD!$A$3:$A$5001,"&gt;="&amp;$C$7,BD!$A$3:$A$5001,"&lt;="&amp;$B245,BD!$Y$3:$Y$5001,"&lt;&gt;")=0,"",SUMIFS(BD!$Y$3:$Y$5001,BD!$B$3:$B$5001,G$241,BD!$A$3:$A$5001,_xlfn.MAXIFS(BD!$A$3:$A$5001,BD!$B$3:$B$5001,G$241,BD!$A$3:$A$5001,"&gt;="&amp;$C$7,BD!$A$3:$A$5001,"&lt;="&amp;$B245,BD!$Y$3:$Y$5001,"&lt;&gt;"))))</f>
        <v/>
      </c>
      <c r="H245" s="43" t="str">
        <f>IF(OR($B245="",$A245&gt;$B$9,H$241=""),"",IF(COUNTIFS(BD!$B$3:$B$5001,H$241,BD!$A$3:$A$5001,"&gt;="&amp;$C$7,BD!$A$3:$A$5001,"&lt;="&amp;$B245,BD!$Y$3:$Y$5001,"&lt;&gt;")=0,"",SUMIFS(BD!$Y$3:$Y$5001,BD!$B$3:$B$5001,H$241,BD!$A$3:$A$5001,_xlfn.MAXIFS(BD!$A$3:$A$5001,BD!$B$3:$B$5001,H$241,BD!$A$3:$A$5001,"&gt;="&amp;$C$7,BD!$A$3:$A$5001,"&lt;="&amp;$B245,BD!$Y$3:$Y$5001,"&lt;&gt;"))))</f>
        <v/>
      </c>
      <c r="I245" s="43" t="str">
        <f>IF(OR($B245="",$A245&gt;$B$9,I$241=""),"",IF(COUNTIFS(BD!$B$3:$B$5001,I$241,BD!$A$3:$A$5001,"&gt;="&amp;$C$7,BD!$A$3:$A$5001,"&lt;="&amp;$B245,BD!$Y$3:$Y$5001,"&lt;&gt;")=0,"",SUMIFS(BD!$Y$3:$Y$5001,BD!$B$3:$B$5001,I$241,BD!$A$3:$A$5001,_xlfn.MAXIFS(BD!$A$3:$A$5001,BD!$B$3:$B$5001,I$241,BD!$A$3:$A$5001,"&gt;="&amp;$C$7,BD!$A$3:$A$5001,"&lt;="&amp;$B245,BD!$Y$3:$Y$5001,"&lt;&gt;"))))</f>
        <v/>
      </c>
      <c r="J245" s="43" t="str">
        <f>IF(OR($B245="",$A245&gt;$B$9,J$241=""),"",IF(COUNTIFS(BD!$B$3:$B$5001,J$241,BD!$A$3:$A$5001,"&gt;="&amp;$C$7,BD!$A$3:$A$5001,"&lt;="&amp;$B245,BD!$Y$3:$Y$5001,"&lt;&gt;")=0,"",SUMIFS(BD!$Y$3:$Y$5001,BD!$B$3:$B$5001,J$241,BD!$A$3:$A$5001,_xlfn.MAXIFS(BD!$A$3:$A$5001,BD!$B$3:$B$5001,J$241,BD!$A$3:$A$5001,"&gt;="&amp;$C$7,BD!$A$3:$A$5001,"&lt;="&amp;$B245,BD!$Y$3:$Y$5001,"&lt;&gt;"))))</f>
        <v/>
      </c>
      <c r="K245" s="43" t="str">
        <f>IF(OR($B245="",$A245&gt;$B$9,K$241=""),"",IF(COUNTIFS(BD!$B$3:$B$5001,K$241,BD!$A$3:$A$5001,"&gt;="&amp;$C$7,BD!$A$3:$A$5001,"&lt;="&amp;$B245,BD!$Y$3:$Y$5001,"&lt;&gt;")=0,"",SUMIFS(BD!$Y$3:$Y$5001,BD!$B$3:$B$5001,K$241,BD!$A$3:$A$5001,_xlfn.MAXIFS(BD!$A$3:$A$5001,BD!$B$3:$B$5001,K$241,BD!$A$3:$A$5001,"&gt;="&amp;$C$7,BD!$A$3:$A$5001,"&lt;="&amp;$B245,BD!$Y$3:$Y$5001,"&lt;&gt;"))))</f>
        <v/>
      </c>
      <c r="L245" s="43" t="str">
        <f>IF(OR($B245="",$A245&gt;$B$9,L$241=""),"",IF(COUNTIFS(BD!$B$3:$B$5001,L$241,BD!$A$3:$A$5001,"&gt;="&amp;$C$7,BD!$A$3:$A$5001,"&lt;="&amp;$B245,BD!$Y$3:$Y$5001,"&lt;&gt;")=0,"",SUMIFS(BD!$Y$3:$Y$5001,BD!$B$3:$B$5001,L$241,BD!$A$3:$A$5001,_xlfn.MAXIFS(BD!$A$3:$A$5001,BD!$B$3:$B$5001,L$241,BD!$A$3:$A$5001,"&gt;="&amp;$C$7,BD!$A$3:$A$5001,"&lt;="&amp;$B245,BD!$Y$3:$Y$5001,"&lt;&gt;"))))</f>
        <v/>
      </c>
      <c r="M245" s="43" t="str">
        <f>IF(OR($B245="",$A245&gt;$B$9,M$241=""),"",IF(COUNTIFS(BD!$B$3:$B$5001,M$241,BD!$A$3:$A$5001,"&gt;="&amp;$C$7,BD!$A$3:$A$5001,"&lt;="&amp;$B245,BD!$Y$3:$Y$5001,"&lt;&gt;")=0,"",SUMIFS(BD!$Y$3:$Y$5001,BD!$B$3:$B$5001,M$241,BD!$A$3:$A$5001,_xlfn.MAXIFS(BD!$A$3:$A$5001,BD!$B$3:$B$5001,M$241,BD!$A$3:$A$5001,"&gt;="&amp;$C$7,BD!$A$3:$A$5001,"&lt;="&amp;$B245,BD!$Y$3:$Y$5001,"&lt;&gt;"))))</f>
        <v/>
      </c>
      <c r="N245" s="43" t="str">
        <f>IF(OR($B245="",$A245&gt;$B$9,N$241=""),"",IF(COUNTIFS(BD!$B$3:$B$5001,N$241,BD!$A$3:$A$5001,"&gt;="&amp;$C$7,BD!$A$3:$A$5001,"&lt;="&amp;$B245,BD!$Y$3:$Y$5001,"&lt;&gt;")=0,"",SUMIFS(BD!$Y$3:$Y$5001,BD!$B$3:$B$5001,N$241,BD!$A$3:$A$5001,_xlfn.MAXIFS(BD!$A$3:$A$5001,BD!$B$3:$B$5001,N$241,BD!$A$3:$A$5001,"&gt;="&amp;$C$7,BD!$A$3:$A$5001,"&lt;="&amp;$B245,BD!$Y$3:$Y$5001,"&lt;&gt;"))))</f>
        <v/>
      </c>
      <c r="O245" s="43" t="str">
        <f>IF(OR($B245="",$A245&gt;$B$9,O$241=""),"",IF(COUNTIFS(BD!$B$3:$B$5001,O$241,BD!$A$3:$A$5001,"&gt;="&amp;$C$7,BD!$A$3:$A$5001,"&lt;="&amp;$B245,BD!$Y$3:$Y$5001,"&lt;&gt;")=0,"",SUMIFS(BD!$Y$3:$Y$5001,BD!$B$3:$B$5001,O$241,BD!$A$3:$A$5001,_xlfn.MAXIFS(BD!$A$3:$A$5001,BD!$B$3:$B$5001,O$241,BD!$A$3:$A$5001,"&gt;="&amp;$C$7,BD!$A$3:$A$5001,"&lt;="&amp;$B245,BD!$Y$3:$Y$5001,"&lt;&gt;"))))</f>
        <v/>
      </c>
      <c r="P245" s="43" t="str">
        <f>IF(OR($B245="",$A245&gt;$B$9,P$241=""),"",IF(COUNTIFS(BD!$B$3:$B$5001,P$241,BD!$A$3:$A$5001,"&gt;="&amp;$C$7,BD!$A$3:$A$5001,"&lt;="&amp;$B245,BD!$Y$3:$Y$5001,"&lt;&gt;")=0,"",SUMIFS(BD!$Y$3:$Y$5001,BD!$B$3:$B$5001,P$241,BD!$A$3:$A$5001,_xlfn.MAXIFS(BD!$A$3:$A$5001,BD!$B$3:$B$5001,P$241,BD!$A$3:$A$5001,"&gt;="&amp;$C$7,BD!$A$3:$A$5001,"&lt;="&amp;$B245,BD!$Y$3:$Y$5001,"&lt;&gt;"))))</f>
        <v/>
      </c>
      <c r="Q245" s="43" t="str">
        <f>IF(OR($B245="",$A245&gt;$B$9,Q$241=""),"",IF(COUNTIFS(BD!$B$3:$B$5001,Q$241,BD!$A$3:$A$5001,"&gt;="&amp;$C$7,BD!$A$3:$A$5001,"&lt;="&amp;$B245,BD!$Y$3:$Y$5001,"&lt;&gt;")=0,"",SUMIFS(BD!$Y$3:$Y$5001,BD!$B$3:$B$5001,Q$241,BD!$A$3:$A$5001,_xlfn.MAXIFS(BD!$A$3:$A$5001,BD!$B$3:$B$5001,Q$241,BD!$A$3:$A$5001,"&gt;="&amp;$C$7,BD!$A$3:$A$5001,"&lt;="&amp;$B245,BD!$Y$3:$Y$5001,"&lt;&gt;"))))</f>
        <v/>
      </c>
      <c r="R245" s="43" t="str">
        <f>IF(OR($B245="",$A245&gt;$B$9,R$241=""),"",IF(COUNTIFS(BD!$B$3:$B$5001,R$241,BD!$A$3:$A$5001,"&gt;="&amp;$C$7,BD!$A$3:$A$5001,"&lt;="&amp;$B245,BD!$Y$3:$Y$5001,"&lt;&gt;")=0,"",SUMIFS(BD!$Y$3:$Y$5001,BD!$B$3:$B$5001,R$241,BD!$A$3:$A$5001,_xlfn.MAXIFS(BD!$A$3:$A$5001,BD!$B$3:$B$5001,R$241,BD!$A$3:$A$5001,"&gt;="&amp;$C$7,BD!$A$3:$A$5001,"&lt;="&amp;$B245,BD!$Y$3:$Y$5001,"&lt;&gt;"))))</f>
        <v/>
      </c>
      <c r="S245" s="43" t="str">
        <f>IF(OR($B245="",$A245&gt;$B$9,S$241=""),"",IF(COUNTIFS(BD!$B$3:$B$5001,S$241,BD!$A$3:$A$5001,"&gt;="&amp;$C$7,BD!$A$3:$A$5001,"&lt;="&amp;$B245,BD!$Y$3:$Y$5001,"&lt;&gt;")=0,"",SUMIFS(BD!$Y$3:$Y$5001,BD!$B$3:$B$5001,S$241,BD!$A$3:$A$5001,_xlfn.MAXIFS(BD!$A$3:$A$5001,BD!$B$3:$B$5001,S$241,BD!$A$3:$A$5001,"&gt;="&amp;$C$7,BD!$A$3:$A$5001,"&lt;="&amp;$B245,BD!$Y$3:$Y$5001,"&lt;&gt;"))))</f>
        <v/>
      </c>
      <c r="T245" s="43" t="str">
        <f>IF(OR($B245="",$A245&gt;$B$9,T$241=""),"",IF(COUNTIFS(BD!$B$3:$B$5001,T$241,BD!$A$3:$A$5001,"&gt;="&amp;$C$7,BD!$A$3:$A$5001,"&lt;="&amp;$B245,BD!$Y$3:$Y$5001,"&lt;&gt;")=0,"",SUMIFS(BD!$Y$3:$Y$5001,BD!$B$3:$B$5001,T$241,BD!$A$3:$A$5001,_xlfn.MAXIFS(BD!$A$3:$A$5001,BD!$B$3:$B$5001,T$241,BD!$A$3:$A$5001,"&gt;="&amp;$C$7,BD!$A$3:$A$5001,"&lt;="&amp;$B245,BD!$Y$3:$Y$5001,"&lt;&gt;"))))</f>
        <v/>
      </c>
      <c r="U245" s="43" t="str">
        <f>IF(OR($B245="",$A245&gt;$B$9,U$241=""),"",IF(COUNTIFS(BD!$B$3:$B$5001,U$241,BD!$A$3:$A$5001,"&gt;="&amp;$C$7,BD!$A$3:$A$5001,"&lt;="&amp;$B245,BD!$Y$3:$Y$5001,"&lt;&gt;")=0,"",SUMIFS(BD!$Y$3:$Y$5001,BD!$B$3:$B$5001,U$241,BD!$A$3:$A$5001,_xlfn.MAXIFS(BD!$A$3:$A$5001,BD!$B$3:$B$5001,U$241,BD!$A$3:$A$5001,"&gt;="&amp;$C$7,BD!$A$3:$A$5001,"&lt;="&amp;$B245,BD!$Y$3:$Y$5001,"&lt;&gt;"))))</f>
        <v/>
      </c>
      <c r="V245" s="43" t="str">
        <f>IF(OR($B245="",$A245&gt;$B$9,V$241=""),"",IF(COUNTIFS(BD!$B$3:$B$5001,V$241,BD!$A$3:$A$5001,"&gt;="&amp;$C$7,BD!$A$3:$A$5001,"&lt;="&amp;$B245,BD!$Y$3:$Y$5001,"&lt;&gt;")=0,"",SUMIFS(BD!$Y$3:$Y$5001,BD!$B$3:$B$5001,V$241,BD!$A$3:$A$5001,_xlfn.MAXIFS(BD!$A$3:$A$5001,BD!$B$3:$B$5001,V$241,BD!$A$3:$A$5001,"&gt;="&amp;$C$7,BD!$A$3:$A$5001,"&lt;="&amp;$B245,BD!$Y$3:$Y$5001,"&lt;&gt;"))))</f>
        <v/>
      </c>
    </row>
    <row r="246">
      <c r="A246" s="38">
        <v>5</v>
      </c>
      <c r="B246" s="42">
        <f>$B$16</f>
        <v>46300</v>
      </c>
      <c r="C246" s="43" t="str">
        <f>IF(OR($B246="",$A246&gt;$B$9,C$241=""),"",IF(COUNTIFS(BD!$B$3:$B$5001,C$241,BD!$A$3:$A$5001,"&gt;="&amp;$C$7,BD!$A$3:$A$5001,"&lt;="&amp;$B246,BD!$Y$3:$Y$5001,"&lt;&gt;")=0,"",SUMIFS(BD!$Y$3:$Y$5001,BD!$B$3:$B$5001,C$241,BD!$A$3:$A$5001,_xlfn.MAXIFS(BD!$A$3:$A$5001,BD!$B$3:$B$5001,C$241,BD!$A$3:$A$5001,"&gt;="&amp;$C$7,BD!$A$3:$A$5001,"&lt;="&amp;$B246,BD!$Y$3:$Y$5001,"&lt;&gt;"))))</f>
        <v/>
      </c>
      <c r="D246" s="43" t="str">
        <f>IF(OR($B246="",$A246&gt;$B$9,D$241=""),"",IF(COUNTIFS(BD!$B$3:$B$5001,D$241,BD!$A$3:$A$5001,"&gt;="&amp;$C$7,BD!$A$3:$A$5001,"&lt;="&amp;$B246,BD!$Y$3:$Y$5001,"&lt;&gt;")=0,"",SUMIFS(BD!$Y$3:$Y$5001,BD!$B$3:$B$5001,D$241,BD!$A$3:$A$5001,_xlfn.MAXIFS(BD!$A$3:$A$5001,BD!$B$3:$B$5001,D$241,BD!$A$3:$A$5001,"&gt;="&amp;$C$7,BD!$A$3:$A$5001,"&lt;="&amp;$B246,BD!$Y$3:$Y$5001,"&lt;&gt;"))))</f>
        <v/>
      </c>
      <c r="E246" s="43" t="str">
        <f>IF(OR($B246="",$A246&gt;$B$9,E$241=""),"",IF(COUNTIFS(BD!$B$3:$B$5001,E$241,BD!$A$3:$A$5001,"&gt;="&amp;$C$7,BD!$A$3:$A$5001,"&lt;="&amp;$B246,BD!$Y$3:$Y$5001,"&lt;&gt;")=0,"",SUMIFS(BD!$Y$3:$Y$5001,BD!$B$3:$B$5001,E$241,BD!$A$3:$A$5001,_xlfn.MAXIFS(BD!$A$3:$A$5001,BD!$B$3:$B$5001,E$241,BD!$A$3:$A$5001,"&gt;="&amp;$C$7,BD!$A$3:$A$5001,"&lt;="&amp;$B246,BD!$Y$3:$Y$5001,"&lt;&gt;"))))</f>
        <v/>
      </c>
      <c r="F246" s="43" t="str">
        <f>IF(OR($B246="",$A246&gt;$B$9,F$241=""),"",IF(COUNTIFS(BD!$B$3:$B$5001,F$241,BD!$A$3:$A$5001,"&gt;="&amp;$C$7,BD!$A$3:$A$5001,"&lt;="&amp;$B246,BD!$Y$3:$Y$5001,"&lt;&gt;")=0,"",SUMIFS(BD!$Y$3:$Y$5001,BD!$B$3:$B$5001,F$241,BD!$A$3:$A$5001,_xlfn.MAXIFS(BD!$A$3:$A$5001,BD!$B$3:$B$5001,F$241,BD!$A$3:$A$5001,"&gt;="&amp;$C$7,BD!$A$3:$A$5001,"&lt;="&amp;$B246,BD!$Y$3:$Y$5001,"&lt;&gt;"))))</f>
        <v/>
      </c>
      <c r="G246" s="43" t="str">
        <f>IF(OR($B246="",$A246&gt;$B$9,G$241=""),"",IF(COUNTIFS(BD!$B$3:$B$5001,G$241,BD!$A$3:$A$5001,"&gt;="&amp;$C$7,BD!$A$3:$A$5001,"&lt;="&amp;$B246,BD!$Y$3:$Y$5001,"&lt;&gt;")=0,"",SUMIFS(BD!$Y$3:$Y$5001,BD!$B$3:$B$5001,G$241,BD!$A$3:$A$5001,_xlfn.MAXIFS(BD!$A$3:$A$5001,BD!$B$3:$B$5001,G$241,BD!$A$3:$A$5001,"&gt;="&amp;$C$7,BD!$A$3:$A$5001,"&lt;="&amp;$B246,BD!$Y$3:$Y$5001,"&lt;&gt;"))))</f>
        <v/>
      </c>
      <c r="H246" s="43" t="str">
        <f>IF(OR($B246="",$A246&gt;$B$9,H$241=""),"",IF(COUNTIFS(BD!$B$3:$B$5001,H$241,BD!$A$3:$A$5001,"&gt;="&amp;$C$7,BD!$A$3:$A$5001,"&lt;="&amp;$B246,BD!$Y$3:$Y$5001,"&lt;&gt;")=0,"",SUMIFS(BD!$Y$3:$Y$5001,BD!$B$3:$B$5001,H$241,BD!$A$3:$A$5001,_xlfn.MAXIFS(BD!$A$3:$A$5001,BD!$B$3:$B$5001,H$241,BD!$A$3:$A$5001,"&gt;="&amp;$C$7,BD!$A$3:$A$5001,"&lt;="&amp;$B246,BD!$Y$3:$Y$5001,"&lt;&gt;"))))</f>
        <v/>
      </c>
      <c r="I246" s="43" t="str">
        <f>IF(OR($B246="",$A246&gt;$B$9,I$241=""),"",IF(COUNTIFS(BD!$B$3:$B$5001,I$241,BD!$A$3:$A$5001,"&gt;="&amp;$C$7,BD!$A$3:$A$5001,"&lt;="&amp;$B246,BD!$Y$3:$Y$5001,"&lt;&gt;")=0,"",SUMIFS(BD!$Y$3:$Y$5001,BD!$B$3:$B$5001,I$241,BD!$A$3:$A$5001,_xlfn.MAXIFS(BD!$A$3:$A$5001,BD!$B$3:$B$5001,I$241,BD!$A$3:$A$5001,"&gt;="&amp;$C$7,BD!$A$3:$A$5001,"&lt;="&amp;$B246,BD!$Y$3:$Y$5001,"&lt;&gt;"))))</f>
        <v/>
      </c>
      <c r="J246" s="43" t="str">
        <f>IF(OR($B246="",$A246&gt;$B$9,J$241=""),"",IF(COUNTIFS(BD!$B$3:$B$5001,J$241,BD!$A$3:$A$5001,"&gt;="&amp;$C$7,BD!$A$3:$A$5001,"&lt;="&amp;$B246,BD!$Y$3:$Y$5001,"&lt;&gt;")=0,"",SUMIFS(BD!$Y$3:$Y$5001,BD!$B$3:$B$5001,J$241,BD!$A$3:$A$5001,_xlfn.MAXIFS(BD!$A$3:$A$5001,BD!$B$3:$B$5001,J$241,BD!$A$3:$A$5001,"&gt;="&amp;$C$7,BD!$A$3:$A$5001,"&lt;="&amp;$B246,BD!$Y$3:$Y$5001,"&lt;&gt;"))))</f>
        <v/>
      </c>
      <c r="K246" s="43" t="str">
        <f>IF(OR($B246="",$A246&gt;$B$9,K$241=""),"",IF(COUNTIFS(BD!$B$3:$B$5001,K$241,BD!$A$3:$A$5001,"&gt;="&amp;$C$7,BD!$A$3:$A$5001,"&lt;="&amp;$B246,BD!$Y$3:$Y$5001,"&lt;&gt;")=0,"",SUMIFS(BD!$Y$3:$Y$5001,BD!$B$3:$B$5001,K$241,BD!$A$3:$A$5001,_xlfn.MAXIFS(BD!$A$3:$A$5001,BD!$B$3:$B$5001,K$241,BD!$A$3:$A$5001,"&gt;="&amp;$C$7,BD!$A$3:$A$5001,"&lt;="&amp;$B246,BD!$Y$3:$Y$5001,"&lt;&gt;"))))</f>
        <v/>
      </c>
      <c r="L246" s="43" t="str">
        <f>IF(OR($B246="",$A246&gt;$B$9,L$241=""),"",IF(COUNTIFS(BD!$B$3:$B$5001,L$241,BD!$A$3:$A$5001,"&gt;="&amp;$C$7,BD!$A$3:$A$5001,"&lt;="&amp;$B246,BD!$Y$3:$Y$5001,"&lt;&gt;")=0,"",SUMIFS(BD!$Y$3:$Y$5001,BD!$B$3:$B$5001,L$241,BD!$A$3:$A$5001,_xlfn.MAXIFS(BD!$A$3:$A$5001,BD!$B$3:$B$5001,L$241,BD!$A$3:$A$5001,"&gt;="&amp;$C$7,BD!$A$3:$A$5001,"&lt;="&amp;$B246,BD!$Y$3:$Y$5001,"&lt;&gt;"))))</f>
        <v/>
      </c>
      <c r="M246" s="43" t="str">
        <f>IF(OR($B246="",$A246&gt;$B$9,M$241=""),"",IF(COUNTIFS(BD!$B$3:$B$5001,M$241,BD!$A$3:$A$5001,"&gt;="&amp;$C$7,BD!$A$3:$A$5001,"&lt;="&amp;$B246,BD!$Y$3:$Y$5001,"&lt;&gt;")=0,"",SUMIFS(BD!$Y$3:$Y$5001,BD!$B$3:$B$5001,M$241,BD!$A$3:$A$5001,_xlfn.MAXIFS(BD!$A$3:$A$5001,BD!$B$3:$B$5001,M$241,BD!$A$3:$A$5001,"&gt;="&amp;$C$7,BD!$A$3:$A$5001,"&lt;="&amp;$B246,BD!$Y$3:$Y$5001,"&lt;&gt;"))))</f>
        <v/>
      </c>
      <c r="N246" s="43" t="str">
        <f>IF(OR($B246="",$A246&gt;$B$9,N$241=""),"",IF(COUNTIFS(BD!$B$3:$B$5001,N$241,BD!$A$3:$A$5001,"&gt;="&amp;$C$7,BD!$A$3:$A$5001,"&lt;="&amp;$B246,BD!$Y$3:$Y$5001,"&lt;&gt;")=0,"",SUMIFS(BD!$Y$3:$Y$5001,BD!$B$3:$B$5001,N$241,BD!$A$3:$A$5001,_xlfn.MAXIFS(BD!$A$3:$A$5001,BD!$B$3:$B$5001,N$241,BD!$A$3:$A$5001,"&gt;="&amp;$C$7,BD!$A$3:$A$5001,"&lt;="&amp;$B246,BD!$Y$3:$Y$5001,"&lt;&gt;"))))</f>
        <v/>
      </c>
      <c r="O246" s="43" t="str">
        <f>IF(OR($B246="",$A246&gt;$B$9,O$241=""),"",IF(COUNTIFS(BD!$B$3:$B$5001,O$241,BD!$A$3:$A$5001,"&gt;="&amp;$C$7,BD!$A$3:$A$5001,"&lt;="&amp;$B246,BD!$Y$3:$Y$5001,"&lt;&gt;")=0,"",SUMIFS(BD!$Y$3:$Y$5001,BD!$B$3:$B$5001,O$241,BD!$A$3:$A$5001,_xlfn.MAXIFS(BD!$A$3:$A$5001,BD!$B$3:$B$5001,O$241,BD!$A$3:$A$5001,"&gt;="&amp;$C$7,BD!$A$3:$A$5001,"&lt;="&amp;$B246,BD!$Y$3:$Y$5001,"&lt;&gt;"))))</f>
        <v/>
      </c>
      <c r="P246" s="43" t="str">
        <f>IF(OR($B246="",$A246&gt;$B$9,P$241=""),"",IF(COUNTIFS(BD!$B$3:$B$5001,P$241,BD!$A$3:$A$5001,"&gt;="&amp;$C$7,BD!$A$3:$A$5001,"&lt;="&amp;$B246,BD!$Y$3:$Y$5001,"&lt;&gt;")=0,"",SUMIFS(BD!$Y$3:$Y$5001,BD!$B$3:$B$5001,P$241,BD!$A$3:$A$5001,_xlfn.MAXIFS(BD!$A$3:$A$5001,BD!$B$3:$B$5001,P$241,BD!$A$3:$A$5001,"&gt;="&amp;$C$7,BD!$A$3:$A$5001,"&lt;="&amp;$B246,BD!$Y$3:$Y$5001,"&lt;&gt;"))))</f>
        <v/>
      </c>
      <c r="Q246" s="43" t="str">
        <f>IF(OR($B246="",$A246&gt;$B$9,Q$241=""),"",IF(COUNTIFS(BD!$B$3:$B$5001,Q$241,BD!$A$3:$A$5001,"&gt;="&amp;$C$7,BD!$A$3:$A$5001,"&lt;="&amp;$B246,BD!$Y$3:$Y$5001,"&lt;&gt;")=0,"",SUMIFS(BD!$Y$3:$Y$5001,BD!$B$3:$B$5001,Q$241,BD!$A$3:$A$5001,_xlfn.MAXIFS(BD!$A$3:$A$5001,BD!$B$3:$B$5001,Q$241,BD!$A$3:$A$5001,"&gt;="&amp;$C$7,BD!$A$3:$A$5001,"&lt;="&amp;$B246,BD!$Y$3:$Y$5001,"&lt;&gt;"))))</f>
        <v/>
      </c>
      <c r="R246" s="43" t="str">
        <f>IF(OR($B246="",$A246&gt;$B$9,R$241=""),"",IF(COUNTIFS(BD!$B$3:$B$5001,R$241,BD!$A$3:$A$5001,"&gt;="&amp;$C$7,BD!$A$3:$A$5001,"&lt;="&amp;$B246,BD!$Y$3:$Y$5001,"&lt;&gt;")=0,"",SUMIFS(BD!$Y$3:$Y$5001,BD!$B$3:$B$5001,R$241,BD!$A$3:$A$5001,_xlfn.MAXIFS(BD!$A$3:$A$5001,BD!$B$3:$B$5001,R$241,BD!$A$3:$A$5001,"&gt;="&amp;$C$7,BD!$A$3:$A$5001,"&lt;="&amp;$B246,BD!$Y$3:$Y$5001,"&lt;&gt;"))))</f>
        <v/>
      </c>
      <c r="S246" s="43" t="str">
        <f>IF(OR($B246="",$A246&gt;$B$9,S$241=""),"",IF(COUNTIFS(BD!$B$3:$B$5001,S$241,BD!$A$3:$A$5001,"&gt;="&amp;$C$7,BD!$A$3:$A$5001,"&lt;="&amp;$B246,BD!$Y$3:$Y$5001,"&lt;&gt;")=0,"",SUMIFS(BD!$Y$3:$Y$5001,BD!$B$3:$B$5001,S$241,BD!$A$3:$A$5001,_xlfn.MAXIFS(BD!$A$3:$A$5001,BD!$B$3:$B$5001,S$241,BD!$A$3:$A$5001,"&gt;="&amp;$C$7,BD!$A$3:$A$5001,"&lt;="&amp;$B246,BD!$Y$3:$Y$5001,"&lt;&gt;"))))</f>
        <v/>
      </c>
      <c r="T246" s="43" t="str">
        <f>IF(OR($B246="",$A246&gt;$B$9,T$241=""),"",IF(COUNTIFS(BD!$B$3:$B$5001,T$241,BD!$A$3:$A$5001,"&gt;="&amp;$C$7,BD!$A$3:$A$5001,"&lt;="&amp;$B246,BD!$Y$3:$Y$5001,"&lt;&gt;")=0,"",SUMIFS(BD!$Y$3:$Y$5001,BD!$B$3:$B$5001,T$241,BD!$A$3:$A$5001,_xlfn.MAXIFS(BD!$A$3:$A$5001,BD!$B$3:$B$5001,T$241,BD!$A$3:$A$5001,"&gt;="&amp;$C$7,BD!$A$3:$A$5001,"&lt;="&amp;$B246,BD!$Y$3:$Y$5001,"&lt;&gt;"))))</f>
        <v/>
      </c>
      <c r="U246" s="43" t="str">
        <f>IF(OR($B246="",$A246&gt;$B$9,U$241=""),"",IF(COUNTIFS(BD!$B$3:$B$5001,U$241,BD!$A$3:$A$5001,"&gt;="&amp;$C$7,BD!$A$3:$A$5001,"&lt;="&amp;$B246,BD!$Y$3:$Y$5001,"&lt;&gt;")=0,"",SUMIFS(BD!$Y$3:$Y$5001,BD!$B$3:$B$5001,U$241,BD!$A$3:$A$5001,_xlfn.MAXIFS(BD!$A$3:$A$5001,BD!$B$3:$B$5001,U$241,BD!$A$3:$A$5001,"&gt;="&amp;$C$7,BD!$A$3:$A$5001,"&lt;="&amp;$B246,BD!$Y$3:$Y$5001,"&lt;&gt;"))))</f>
        <v/>
      </c>
      <c r="V246" s="43" t="str">
        <f>IF(OR($B246="",$A246&gt;$B$9,V$241=""),"",IF(COUNTIFS(BD!$B$3:$B$5001,V$241,BD!$A$3:$A$5001,"&gt;="&amp;$C$7,BD!$A$3:$A$5001,"&lt;="&amp;$B246,BD!$Y$3:$Y$5001,"&lt;&gt;")=0,"",SUMIFS(BD!$Y$3:$Y$5001,BD!$B$3:$B$5001,V$241,BD!$A$3:$A$5001,_xlfn.MAXIFS(BD!$A$3:$A$5001,BD!$B$3:$B$5001,V$241,BD!$A$3:$A$5001,"&gt;="&amp;$C$7,BD!$A$3:$A$5001,"&lt;="&amp;$B246,BD!$Y$3:$Y$5001,"&lt;&gt;"))))</f>
        <v/>
      </c>
    </row>
    <row r="247">
      <c r="A247" s="38">
        <v>6</v>
      </c>
      <c r="B247" s="42">
        <f>$B$17</f>
        <v>46301</v>
      </c>
      <c r="C247" s="43" t="str">
        <f>IF(OR($B247="",$A247&gt;$B$9,C$241=""),"",IF(COUNTIFS(BD!$B$3:$B$5001,C$241,BD!$A$3:$A$5001,"&gt;="&amp;$C$7,BD!$A$3:$A$5001,"&lt;="&amp;$B247,BD!$Y$3:$Y$5001,"&lt;&gt;")=0,"",SUMIFS(BD!$Y$3:$Y$5001,BD!$B$3:$B$5001,C$241,BD!$A$3:$A$5001,_xlfn.MAXIFS(BD!$A$3:$A$5001,BD!$B$3:$B$5001,C$241,BD!$A$3:$A$5001,"&gt;="&amp;$C$7,BD!$A$3:$A$5001,"&lt;="&amp;$B247,BD!$Y$3:$Y$5001,"&lt;&gt;"))))</f>
        <v/>
      </c>
      <c r="D247" s="43" t="str">
        <f>IF(OR($B247="",$A247&gt;$B$9,D$241=""),"",IF(COUNTIFS(BD!$B$3:$B$5001,D$241,BD!$A$3:$A$5001,"&gt;="&amp;$C$7,BD!$A$3:$A$5001,"&lt;="&amp;$B247,BD!$Y$3:$Y$5001,"&lt;&gt;")=0,"",SUMIFS(BD!$Y$3:$Y$5001,BD!$B$3:$B$5001,D$241,BD!$A$3:$A$5001,_xlfn.MAXIFS(BD!$A$3:$A$5001,BD!$B$3:$B$5001,D$241,BD!$A$3:$A$5001,"&gt;="&amp;$C$7,BD!$A$3:$A$5001,"&lt;="&amp;$B247,BD!$Y$3:$Y$5001,"&lt;&gt;"))))</f>
        <v/>
      </c>
      <c r="E247" s="43" t="str">
        <f>IF(OR($B247="",$A247&gt;$B$9,E$241=""),"",IF(COUNTIFS(BD!$B$3:$B$5001,E$241,BD!$A$3:$A$5001,"&gt;="&amp;$C$7,BD!$A$3:$A$5001,"&lt;="&amp;$B247,BD!$Y$3:$Y$5001,"&lt;&gt;")=0,"",SUMIFS(BD!$Y$3:$Y$5001,BD!$B$3:$B$5001,E$241,BD!$A$3:$A$5001,_xlfn.MAXIFS(BD!$A$3:$A$5001,BD!$B$3:$B$5001,E$241,BD!$A$3:$A$5001,"&gt;="&amp;$C$7,BD!$A$3:$A$5001,"&lt;="&amp;$B247,BD!$Y$3:$Y$5001,"&lt;&gt;"))))</f>
        <v/>
      </c>
      <c r="F247" s="43" t="str">
        <f>IF(OR($B247="",$A247&gt;$B$9,F$241=""),"",IF(COUNTIFS(BD!$B$3:$B$5001,F$241,BD!$A$3:$A$5001,"&gt;="&amp;$C$7,BD!$A$3:$A$5001,"&lt;="&amp;$B247,BD!$Y$3:$Y$5001,"&lt;&gt;")=0,"",SUMIFS(BD!$Y$3:$Y$5001,BD!$B$3:$B$5001,F$241,BD!$A$3:$A$5001,_xlfn.MAXIFS(BD!$A$3:$A$5001,BD!$B$3:$B$5001,F$241,BD!$A$3:$A$5001,"&gt;="&amp;$C$7,BD!$A$3:$A$5001,"&lt;="&amp;$B247,BD!$Y$3:$Y$5001,"&lt;&gt;"))))</f>
        <v/>
      </c>
      <c r="G247" s="43" t="str">
        <f>IF(OR($B247="",$A247&gt;$B$9,G$241=""),"",IF(COUNTIFS(BD!$B$3:$B$5001,G$241,BD!$A$3:$A$5001,"&gt;="&amp;$C$7,BD!$A$3:$A$5001,"&lt;="&amp;$B247,BD!$Y$3:$Y$5001,"&lt;&gt;")=0,"",SUMIFS(BD!$Y$3:$Y$5001,BD!$B$3:$B$5001,G$241,BD!$A$3:$A$5001,_xlfn.MAXIFS(BD!$A$3:$A$5001,BD!$B$3:$B$5001,G$241,BD!$A$3:$A$5001,"&gt;="&amp;$C$7,BD!$A$3:$A$5001,"&lt;="&amp;$B247,BD!$Y$3:$Y$5001,"&lt;&gt;"))))</f>
        <v/>
      </c>
      <c r="H247" s="43" t="str">
        <f>IF(OR($B247="",$A247&gt;$B$9,H$241=""),"",IF(COUNTIFS(BD!$B$3:$B$5001,H$241,BD!$A$3:$A$5001,"&gt;="&amp;$C$7,BD!$A$3:$A$5001,"&lt;="&amp;$B247,BD!$Y$3:$Y$5001,"&lt;&gt;")=0,"",SUMIFS(BD!$Y$3:$Y$5001,BD!$B$3:$B$5001,H$241,BD!$A$3:$A$5001,_xlfn.MAXIFS(BD!$A$3:$A$5001,BD!$B$3:$B$5001,H$241,BD!$A$3:$A$5001,"&gt;="&amp;$C$7,BD!$A$3:$A$5001,"&lt;="&amp;$B247,BD!$Y$3:$Y$5001,"&lt;&gt;"))))</f>
        <v/>
      </c>
      <c r="I247" s="43" t="str">
        <f>IF(OR($B247="",$A247&gt;$B$9,I$241=""),"",IF(COUNTIFS(BD!$B$3:$B$5001,I$241,BD!$A$3:$A$5001,"&gt;="&amp;$C$7,BD!$A$3:$A$5001,"&lt;="&amp;$B247,BD!$Y$3:$Y$5001,"&lt;&gt;")=0,"",SUMIFS(BD!$Y$3:$Y$5001,BD!$B$3:$B$5001,I$241,BD!$A$3:$A$5001,_xlfn.MAXIFS(BD!$A$3:$A$5001,BD!$B$3:$B$5001,I$241,BD!$A$3:$A$5001,"&gt;="&amp;$C$7,BD!$A$3:$A$5001,"&lt;="&amp;$B247,BD!$Y$3:$Y$5001,"&lt;&gt;"))))</f>
        <v/>
      </c>
      <c r="J247" s="43" t="str">
        <f>IF(OR($B247="",$A247&gt;$B$9,J$241=""),"",IF(COUNTIFS(BD!$B$3:$B$5001,J$241,BD!$A$3:$A$5001,"&gt;="&amp;$C$7,BD!$A$3:$A$5001,"&lt;="&amp;$B247,BD!$Y$3:$Y$5001,"&lt;&gt;")=0,"",SUMIFS(BD!$Y$3:$Y$5001,BD!$B$3:$B$5001,J$241,BD!$A$3:$A$5001,_xlfn.MAXIFS(BD!$A$3:$A$5001,BD!$B$3:$B$5001,J$241,BD!$A$3:$A$5001,"&gt;="&amp;$C$7,BD!$A$3:$A$5001,"&lt;="&amp;$B247,BD!$Y$3:$Y$5001,"&lt;&gt;"))))</f>
        <v/>
      </c>
      <c r="K247" s="43" t="str">
        <f>IF(OR($B247="",$A247&gt;$B$9,K$241=""),"",IF(COUNTIFS(BD!$B$3:$B$5001,K$241,BD!$A$3:$A$5001,"&gt;="&amp;$C$7,BD!$A$3:$A$5001,"&lt;="&amp;$B247,BD!$Y$3:$Y$5001,"&lt;&gt;")=0,"",SUMIFS(BD!$Y$3:$Y$5001,BD!$B$3:$B$5001,K$241,BD!$A$3:$A$5001,_xlfn.MAXIFS(BD!$A$3:$A$5001,BD!$B$3:$B$5001,K$241,BD!$A$3:$A$5001,"&gt;="&amp;$C$7,BD!$A$3:$A$5001,"&lt;="&amp;$B247,BD!$Y$3:$Y$5001,"&lt;&gt;"))))</f>
        <v/>
      </c>
      <c r="L247" s="43" t="str">
        <f>IF(OR($B247="",$A247&gt;$B$9,L$241=""),"",IF(COUNTIFS(BD!$B$3:$B$5001,L$241,BD!$A$3:$A$5001,"&gt;="&amp;$C$7,BD!$A$3:$A$5001,"&lt;="&amp;$B247,BD!$Y$3:$Y$5001,"&lt;&gt;")=0,"",SUMIFS(BD!$Y$3:$Y$5001,BD!$B$3:$B$5001,L$241,BD!$A$3:$A$5001,_xlfn.MAXIFS(BD!$A$3:$A$5001,BD!$B$3:$B$5001,L$241,BD!$A$3:$A$5001,"&gt;="&amp;$C$7,BD!$A$3:$A$5001,"&lt;="&amp;$B247,BD!$Y$3:$Y$5001,"&lt;&gt;"))))</f>
        <v/>
      </c>
      <c r="M247" s="43" t="str">
        <f>IF(OR($B247="",$A247&gt;$B$9,M$241=""),"",IF(COUNTIFS(BD!$B$3:$B$5001,M$241,BD!$A$3:$A$5001,"&gt;="&amp;$C$7,BD!$A$3:$A$5001,"&lt;="&amp;$B247,BD!$Y$3:$Y$5001,"&lt;&gt;")=0,"",SUMIFS(BD!$Y$3:$Y$5001,BD!$B$3:$B$5001,M$241,BD!$A$3:$A$5001,_xlfn.MAXIFS(BD!$A$3:$A$5001,BD!$B$3:$B$5001,M$241,BD!$A$3:$A$5001,"&gt;="&amp;$C$7,BD!$A$3:$A$5001,"&lt;="&amp;$B247,BD!$Y$3:$Y$5001,"&lt;&gt;"))))</f>
        <v/>
      </c>
      <c r="N247" s="43" t="str">
        <f>IF(OR($B247="",$A247&gt;$B$9,N$241=""),"",IF(COUNTIFS(BD!$B$3:$B$5001,N$241,BD!$A$3:$A$5001,"&gt;="&amp;$C$7,BD!$A$3:$A$5001,"&lt;="&amp;$B247,BD!$Y$3:$Y$5001,"&lt;&gt;")=0,"",SUMIFS(BD!$Y$3:$Y$5001,BD!$B$3:$B$5001,N$241,BD!$A$3:$A$5001,_xlfn.MAXIFS(BD!$A$3:$A$5001,BD!$B$3:$B$5001,N$241,BD!$A$3:$A$5001,"&gt;="&amp;$C$7,BD!$A$3:$A$5001,"&lt;="&amp;$B247,BD!$Y$3:$Y$5001,"&lt;&gt;"))))</f>
        <v/>
      </c>
      <c r="O247" s="43" t="str">
        <f>IF(OR($B247="",$A247&gt;$B$9,O$241=""),"",IF(COUNTIFS(BD!$B$3:$B$5001,O$241,BD!$A$3:$A$5001,"&gt;="&amp;$C$7,BD!$A$3:$A$5001,"&lt;="&amp;$B247,BD!$Y$3:$Y$5001,"&lt;&gt;")=0,"",SUMIFS(BD!$Y$3:$Y$5001,BD!$B$3:$B$5001,O$241,BD!$A$3:$A$5001,_xlfn.MAXIFS(BD!$A$3:$A$5001,BD!$B$3:$B$5001,O$241,BD!$A$3:$A$5001,"&gt;="&amp;$C$7,BD!$A$3:$A$5001,"&lt;="&amp;$B247,BD!$Y$3:$Y$5001,"&lt;&gt;"))))</f>
        <v/>
      </c>
      <c r="P247" s="43" t="str">
        <f>IF(OR($B247="",$A247&gt;$B$9,P$241=""),"",IF(COUNTIFS(BD!$B$3:$B$5001,P$241,BD!$A$3:$A$5001,"&gt;="&amp;$C$7,BD!$A$3:$A$5001,"&lt;="&amp;$B247,BD!$Y$3:$Y$5001,"&lt;&gt;")=0,"",SUMIFS(BD!$Y$3:$Y$5001,BD!$B$3:$B$5001,P$241,BD!$A$3:$A$5001,_xlfn.MAXIFS(BD!$A$3:$A$5001,BD!$B$3:$B$5001,P$241,BD!$A$3:$A$5001,"&gt;="&amp;$C$7,BD!$A$3:$A$5001,"&lt;="&amp;$B247,BD!$Y$3:$Y$5001,"&lt;&gt;"))))</f>
        <v/>
      </c>
      <c r="Q247" s="43" t="str">
        <f>IF(OR($B247="",$A247&gt;$B$9,Q$241=""),"",IF(COUNTIFS(BD!$B$3:$B$5001,Q$241,BD!$A$3:$A$5001,"&gt;="&amp;$C$7,BD!$A$3:$A$5001,"&lt;="&amp;$B247,BD!$Y$3:$Y$5001,"&lt;&gt;")=0,"",SUMIFS(BD!$Y$3:$Y$5001,BD!$B$3:$B$5001,Q$241,BD!$A$3:$A$5001,_xlfn.MAXIFS(BD!$A$3:$A$5001,BD!$B$3:$B$5001,Q$241,BD!$A$3:$A$5001,"&gt;="&amp;$C$7,BD!$A$3:$A$5001,"&lt;="&amp;$B247,BD!$Y$3:$Y$5001,"&lt;&gt;"))))</f>
        <v/>
      </c>
      <c r="R247" s="43" t="str">
        <f>IF(OR($B247="",$A247&gt;$B$9,R$241=""),"",IF(COUNTIFS(BD!$B$3:$B$5001,R$241,BD!$A$3:$A$5001,"&gt;="&amp;$C$7,BD!$A$3:$A$5001,"&lt;="&amp;$B247,BD!$Y$3:$Y$5001,"&lt;&gt;")=0,"",SUMIFS(BD!$Y$3:$Y$5001,BD!$B$3:$B$5001,R$241,BD!$A$3:$A$5001,_xlfn.MAXIFS(BD!$A$3:$A$5001,BD!$B$3:$B$5001,R$241,BD!$A$3:$A$5001,"&gt;="&amp;$C$7,BD!$A$3:$A$5001,"&lt;="&amp;$B247,BD!$Y$3:$Y$5001,"&lt;&gt;"))))</f>
        <v/>
      </c>
      <c r="S247" s="43" t="str">
        <f>IF(OR($B247="",$A247&gt;$B$9,S$241=""),"",IF(COUNTIFS(BD!$B$3:$B$5001,S$241,BD!$A$3:$A$5001,"&gt;="&amp;$C$7,BD!$A$3:$A$5001,"&lt;="&amp;$B247,BD!$Y$3:$Y$5001,"&lt;&gt;")=0,"",SUMIFS(BD!$Y$3:$Y$5001,BD!$B$3:$B$5001,S$241,BD!$A$3:$A$5001,_xlfn.MAXIFS(BD!$A$3:$A$5001,BD!$B$3:$B$5001,S$241,BD!$A$3:$A$5001,"&gt;="&amp;$C$7,BD!$A$3:$A$5001,"&lt;="&amp;$B247,BD!$Y$3:$Y$5001,"&lt;&gt;"))))</f>
        <v/>
      </c>
      <c r="T247" s="43" t="str">
        <f>IF(OR($B247="",$A247&gt;$B$9,T$241=""),"",IF(COUNTIFS(BD!$B$3:$B$5001,T$241,BD!$A$3:$A$5001,"&gt;="&amp;$C$7,BD!$A$3:$A$5001,"&lt;="&amp;$B247,BD!$Y$3:$Y$5001,"&lt;&gt;")=0,"",SUMIFS(BD!$Y$3:$Y$5001,BD!$B$3:$B$5001,T$241,BD!$A$3:$A$5001,_xlfn.MAXIFS(BD!$A$3:$A$5001,BD!$B$3:$B$5001,T$241,BD!$A$3:$A$5001,"&gt;="&amp;$C$7,BD!$A$3:$A$5001,"&lt;="&amp;$B247,BD!$Y$3:$Y$5001,"&lt;&gt;"))))</f>
        <v/>
      </c>
      <c r="U247" s="43" t="str">
        <f>IF(OR($B247="",$A247&gt;$B$9,U$241=""),"",IF(COUNTIFS(BD!$B$3:$B$5001,U$241,BD!$A$3:$A$5001,"&gt;="&amp;$C$7,BD!$A$3:$A$5001,"&lt;="&amp;$B247,BD!$Y$3:$Y$5001,"&lt;&gt;")=0,"",SUMIFS(BD!$Y$3:$Y$5001,BD!$B$3:$B$5001,U$241,BD!$A$3:$A$5001,_xlfn.MAXIFS(BD!$A$3:$A$5001,BD!$B$3:$B$5001,U$241,BD!$A$3:$A$5001,"&gt;="&amp;$C$7,BD!$A$3:$A$5001,"&lt;="&amp;$B247,BD!$Y$3:$Y$5001,"&lt;&gt;"))))</f>
        <v/>
      </c>
      <c r="V247" s="43" t="str">
        <f>IF(OR($B247="",$A247&gt;$B$9,V$241=""),"",IF(COUNTIFS(BD!$B$3:$B$5001,V$241,BD!$A$3:$A$5001,"&gt;="&amp;$C$7,BD!$A$3:$A$5001,"&lt;="&amp;$B247,BD!$Y$3:$Y$5001,"&lt;&gt;")=0,"",SUMIFS(BD!$Y$3:$Y$5001,BD!$B$3:$B$5001,V$241,BD!$A$3:$A$5001,_xlfn.MAXIFS(BD!$A$3:$A$5001,BD!$B$3:$B$5001,V$241,BD!$A$3:$A$5001,"&gt;="&amp;$C$7,BD!$A$3:$A$5001,"&lt;="&amp;$B247,BD!$Y$3:$Y$5001,"&lt;&gt;"))))</f>
        <v/>
      </c>
    </row>
    <row r="248">
      <c r="A248" s="38">
        <v>7</v>
      </c>
      <c r="B248" s="42">
        <f>$B$18</f>
        <v>46302</v>
      </c>
      <c r="C248" s="43" t="str">
        <f>IF(OR($B248="",$A248&gt;$B$9,C$241=""),"",IF(COUNTIFS(BD!$B$3:$B$5001,C$241,BD!$A$3:$A$5001,"&gt;="&amp;$C$7,BD!$A$3:$A$5001,"&lt;="&amp;$B248,BD!$Y$3:$Y$5001,"&lt;&gt;")=0,"",SUMIFS(BD!$Y$3:$Y$5001,BD!$B$3:$B$5001,C$241,BD!$A$3:$A$5001,_xlfn.MAXIFS(BD!$A$3:$A$5001,BD!$B$3:$B$5001,C$241,BD!$A$3:$A$5001,"&gt;="&amp;$C$7,BD!$A$3:$A$5001,"&lt;="&amp;$B248,BD!$Y$3:$Y$5001,"&lt;&gt;"))))</f>
        <v/>
      </c>
      <c r="D248" s="43" t="str">
        <f>IF(OR($B248="",$A248&gt;$B$9,D$241=""),"",IF(COUNTIFS(BD!$B$3:$B$5001,D$241,BD!$A$3:$A$5001,"&gt;="&amp;$C$7,BD!$A$3:$A$5001,"&lt;="&amp;$B248,BD!$Y$3:$Y$5001,"&lt;&gt;")=0,"",SUMIFS(BD!$Y$3:$Y$5001,BD!$B$3:$B$5001,D$241,BD!$A$3:$A$5001,_xlfn.MAXIFS(BD!$A$3:$A$5001,BD!$B$3:$B$5001,D$241,BD!$A$3:$A$5001,"&gt;="&amp;$C$7,BD!$A$3:$A$5001,"&lt;="&amp;$B248,BD!$Y$3:$Y$5001,"&lt;&gt;"))))</f>
        <v/>
      </c>
      <c r="E248" s="43" t="str">
        <f>IF(OR($B248="",$A248&gt;$B$9,E$241=""),"",IF(COUNTIFS(BD!$B$3:$B$5001,E$241,BD!$A$3:$A$5001,"&gt;="&amp;$C$7,BD!$A$3:$A$5001,"&lt;="&amp;$B248,BD!$Y$3:$Y$5001,"&lt;&gt;")=0,"",SUMIFS(BD!$Y$3:$Y$5001,BD!$B$3:$B$5001,E$241,BD!$A$3:$A$5001,_xlfn.MAXIFS(BD!$A$3:$A$5001,BD!$B$3:$B$5001,E$241,BD!$A$3:$A$5001,"&gt;="&amp;$C$7,BD!$A$3:$A$5001,"&lt;="&amp;$B248,BD!$Y$3:$Y$5001,"&lt;&gt;"))))</f>
        <v/>
      </c>
      <c r="F248" s="43" t="str">
        <f>IF(OR($B248="",$A248&gt;$B$9,F$241=""),"",IF(COUNTIFS(BD!$B$3:$B$5001,F$241,BD!$A$3:$A$5001,"&gt;="&amp;$C$7,BD!$A$3:$A$5001,"&lt;="&amp;$B248,BD!$Y$3:$Y$5001,"&lt;&gt;")=0,"",SUMIFS(BD!$Y$3:$Y$5001,BD!$B$3:$B$5001,F$241,BD!$A$3:$A$5001,_xlfn.MAXIFS(BD!$A$3:$A$5001,BD!$B$3:$B$5001,F$241,BD!$A$3:$A$5001,"&gt;="&amp;$C$7,BD!$A$3:$A$5001,"&lt;="&amp;$B248,BD!$Y$3:$Y$5001,"&lt;&gt;"))))</f>
        <v/>
      </c>
      <c r="G248" s="43" t="str">
        <f>IF(OR($B248="",$A248&gt;$B$9,G$241=""),"",IF(COUNTIFS(BD!$B$3:$B$5001,G$241,BD!$A$3:$A$5001,"&gt;="&amp;$C$7,BD!$A$3:$A$5001,"&lt;="&amp;$B248,BD!$Y$3:$Y$5001,"&lt;&gt;")=0,"",SUMIFS(BD!$Y$3:$Y$5001,BD!$B$3:$B$5001,G$241,BD!$A$3:$A$5001,_xlfn.MAXIFS(BD!$A$3:$A$5001,BD!$B$3:$B$5001,G$241,BD!$A$3:$A$5001,"&gt;="&amp;$C$7,BD!$A$3:$A$5001,"&lt;="&amp;$B248,BD!$Y$3:$Y$5001,"&lt;&gt;"))))</f>
        <v/>
      </c>
      <c r="H248" s="43" t="str">
        <f>IF(OR($B248="",$A248&gt;$B$9,H$241=""),"",IF(COUNTIFS(BD!$B$3:$B$5001,H$241,BD!$A$3:$A$5001,"&gt;="&amp;$C$7,BD!$A$3:$A$5001,"&lt;="&amp;$B248,BD!$Y$3:$Y$5001,"&lt;&gt;")=0,"",SUMIFS(BD!$Y$3:$Y$5001,BD!$B$3:$B$5001,H$241,BD!$A$3:$A$5001,_xlfn.MAXIFS(BD!$A$3:$A$5001,BD!$B$3:$B$5001,H$241,BD!$A$3:$A$5001,"&gt;="&amp;$C$7,BD!$A$3:$A$5001,"&lt;="&amp;$B248,BD!$Y$3:$Y$5001,"&lt;&gt;"))))</f>
        <v/>
      </c>
      <c r="I248" s="43" t="str">
        <f>IF(OR($B248="",$A248&gt;$B$9,I$241=""),"",IF(COUNTIFS(BD!$B$3:$B$5001,I$241,BD!$A$3:$A$5001,"&gt;="&amp;$C$7,BD!$A$3:$A$5001,"&lt;="&amp;$B248,BD!$Y$3:$Y$5001,"&lt;&gt;")=0,"",SUMIFS(BD!$Y$3:$Y$5001,BD!$B$3:$B$5001,I$241,BD!$A$3:$A$5001,_xlfn.MAXIFS(BD!$A$3:$A$5001,BD!$B$3:$B$5001,I$241,BD!$A$3:$A$5001,"&gt;="&amp;$C$7,BD!$A$3:$A$5001,"&lt;="&amp;$B248,BD!$Y$3:$Y$5001,"&lt;&gt;"))))</f>
        <v/>
      </c>
      <c r="J248" s="43" t="str">
        <f>IF(OR($B248="",$A248&gt;$B$9,J$241=""),"",IF(COUNTIFS(BD!$B$3:$B$5001,J$241,BD!$A$3:$A$5001,"&gt;="&amp;$C$7,BD!$A$3:$A$5001,"&lt;="&amp;$B248,BD!$Y$3:$Y$5001,"&lt;&gt;")=0,"",SUMIFS(BD!$Y$3:$Y$5001,BD!$B$3:$B$5001,J$241,BD!$A$3:$A$5001,_xlfn.MAXIFS(BD!$A$3:$A$5001,BD!$B$3:$B$5001,J$241,BD!$A$3:$A$5001,"&gt;="&amp;$C$7,BD!$A$3:$A$5001,"&lt;="&amp;$B248,BD!$Y$3:$Y$5001,"&lt;&gt;"))))</f>
        <v/>
      </c>
      <c r="K248" s="43" t="str">
        <f>IF(OR($B248="",$A248&gt;$B$9,K$241=""),"",IF(COUNTIFS(BD!$B$3:$B$5001,K$241,BD!$A$3:$A$5001,"&gt;="&amp;$C$7,BD!$A$3:$A$5001,"&lt;="&amp;$B248,BD!$Y$3:$Y$5001,"&lt;&gt;")=0,"",SUMIFS(BD!$Y$3:$Y$5001,BD!$B$3:$B$5001,K$241,BD!$A$3:$A$5001,_xlfn.MAXIFS(BD!$A$3:$A$5001,BD!$B$3:$B$5001,K$241,BD!$A$3:$A$5001,"&gt;="&amp;$C$7,BD!$A$3:$A$5001,"&lt;="&amp;$B248,BD!$Y$3:$Y$5001,"&lt;&gt;"))))</f>
        <v/>
      </c>
      <c r="L248" s="43" t="str">
        <f>IF(OR($B248="",$A248&gt;$B$9,L$241=""),"",IF(COUNTIFS(BD!$B$3:$B$5001,L$241,BD!$A$3:$A$5001,"&gt;="&amp;$C$7,BD!$A$3:$A$5001,"&lt;="&amp;$B248,BD!$Y$3:$Y$5001,"&lt;&gt;")=0,"",SUMIFS(BD!$Y$3:$Y$5001,BD!$B$3:$B$5001,L$241,BD!$A$3:$A$5001,_xlfn.MAXIFS(BD!$A$3:$A$5001,BD!$B$3:$B$5001,L$241,BD!$A$3:$A$5001,"&gt;="&amp;$C$7,BD!$A$3:$A$5001,"&lt;="&amp;$B248,BD!$Y$3:$Y$5001,"&lt;&gt;"))))</f>
        <v/>
      </c>
      <c r="M248" s="43" t="str">
        <f>IF(OR($B248="",$A248&gt;$B$9,M$241=""),"",IF(COUNTIFS(BD!$B$3:$B$5001,M$241,BD!$A$3:$A$5001,"&gt;="&amp;$C$7,BD!$A$3:$A$5001,"&lt;="&amp;$B248,BD!$Y$3:$Y$5001,"&lt;&gt;")=0,"",SUMIFS(BD!$Y$3:$Y$5001,BD!$B$3:$B$5001,M$241,BD!$A$3:$A$5001,_xlfn.MAXIFS(BD!$A$3:$A$5001,BD!$B$3:$B$5001,M$241,BD!$A$3:$A$5001,"&gt;="&amp;$C$7,BD!$A$3:$A$5001,"&lt;="&amp;$B248,BD!$Y$3:$Y$5001,"&lt;&gt;"))))</f>
        <v/>
      </c>
      <c r="N248" s="43" t="str">
        <f>IF(OR($B248="",$A248&gt;$B$9,N$241=""),"",IF(COUNTIFS(BD!$B$3:$B$5001,N$241,BD!$A$3:$A$5001,"&gt;="&amp;$C$7,BD!$A$3:$A$5001,"&lt;="&amp;$B248,BD!$Y$3:$Y$5001,"&lt;&gt;")=0,"",SUMIFS(BD!$Y$3:$Y$5001,BD!$B$3:$B$5001,N$241,BD!$A$3:$A$5001,_xlfn.MAXIFS(BD!$A$3:$A$5001,BD!$B$3:$B$5001,N$241,BD!$A$3:$A$5001,"&gt;="&amp;$C$7,BD!$A$3:$A$5001,"&lt;="&amp;$B248,BD!$Y$3:$Y$5001,"&lt;&gt;"))))</f>
        <v/>
      </c>
      <c r="O248" s="43" t="str">
        <f>IF(OR($B248="",$A248&gt;$B$9,O$241=""),"",IF(COUNTIFS(BD!$B$3:$B$5001,O$241,BD!$A$3:$A$5001,"&gt;="&amp;$C$7,BD!$A$3:$A$5001,"&lt;="&amp;$B248,BD!$Y$3:$Y$5001,"&lt;&gt;")=0,"",SUMIFS(BD!$Y$3:$Y$5001,BD!$B$3:$B$5001,O$241,BD!$A$3:$A$5001,_xlfn.MAXIFS(BD!$A$3:$A$5001,BD!$B$3:$B$5001,O$241,BD!$A$3:$A$5001,"&gt;="&amp;$C$7,BD!$A$3:$A$5001,"&lt;="&amp;$B248,BD!$Y$3:$Y$5001,"&lt;&gt;"))))</f>
        <v/>
      </c>
      <c r="P248" s="43" t="str">
        <f>IF(OR($B248="",$A248&gt;$B$9,P$241=""),"",IF(COUNTIFS(BD!$B$3:$B$5001,P$241,BD!$A$3:$A$5001,"&gt;="&amp;$C$7,BD!$A$3:$A$5001,"&lt;="&amp;$B248,BD!$Y$3:$Y$5001,"&lt;&gt;")=0,"",SUMIFS(BD!$Y$3:$Y$5001,BD!$B$3:$B$5001,P$241,BD!$A$3:$A$5001,_xlfn.MAXIFS(BD!$A$3:$A$5001,BD!$B$3:$B$5001,P$241,BD!$A$3:$A$5001,"&gt;="&amp;$C$7,BD!$A$3:$A$5001,"&lt;="&amp;$B248,BD!$Y$3:$Y$5001,"&lt;&gt;"))))</f>
        <v/>
      </c>
      <c r="Q248" s="43" t="str">
        <f>IF(OR($B248="",$A248&gt;$B$9,Q$241=""),"",IF(COUNTIFS(BD!$B$3:$B$5001,Q$241,BD!$A$3:$A$5001,"&gt;="&amp;$C$7,BD!$A$3:$A$5001,"&lt;="&amp;$B248,BD!$Y$3:$Y$5001,"&lt;&gt;")=0,"",SUMIFS(BD!$Y$3:$Y$5001,BD!$B$3:$B$5001,Q$241,BD!$A$3:$A$5001,_xlfn.MAXIFS(BD!$A$3:$A$5001,BD!$B$3:$B$5001,Q$241,BD!$A$3:$A$5001,"&gt;="&amp;$C$7,BD!$A$3:$A$5001,"&lt;="&amp;$B248,BD!$Y$3:$Y$5001,"&lt;&gt;"))))</f>
        <v/>
      </c>
      <c r="R248" s="43" t="str">
        <f>IF(OR($B248="",$A248&gt;$B$9,R$241=""),"",IF(COUNTIFS(BD!$B$3:$B$5001,R$241,BD!$A$3:$A$5001,"&gt;="&amp;$C$7,BD!$A$3:$A$5001,"&lt;="&amp;$B248,BD!$Y$3:$Y$5001,"&lt;&gt;")=0,"",SUMIFS(BD!$Y$3:$Y$5001,BD!$B$3:$B$5001,R$241,BD!$A$3:$A$5001,_xlfn.MAXIFS(BD!$A$3:$A$5001,BD!$B$3:$B$5001,R$241,BD!$A$3:$A$5001,"&gt;="&amp;$C$7,BD!$A$3:$A$5001,"&lt;="&amp;$B248,BD!$Y$3:$Y$5001,"&lt;&gt;"))))</f>
        <v/>
      </c>
      <c r="S248" s="43" t="str">
        <f>IF(OR($B248="",$A248&gt;$B$9,S$241=""),"",IF(COUNTIFS(BD!$B$3:$B$5001,S$241,BD!$A$3:$A$5001,"&gt;="&amp;$C$7,BD!$A$3:$A$5001,"&lt;="&amp;$B248,BD!$Y$3:$Y$5001,"&lt;&gt;")=0,"",SUMIFS(BD!$Y$3:$Y$5001,BD!$B$3:$B$5001,S$241,BD!$A$3:$A$5001,_xlfn.MAXIFS(BD!$A$3:$A$5001,BD!$B$3:$B$5001,S$241,BD!$A$3:$A$5001,"&gt;="&amp;$C$7,BD!$A$3:$A$5001,"&lt;="&amp;$B248,BD!$Y$3:$Y$5001,"&lt;&gt;"))))</f>
        <v/>
      </c>
      <c r="T248" s="43" t="str">
        <f>IF(OR($B248="",$A248&gt;$B$9,T$241=""),"",IF(COUNTIFS(BD!$B$3:$B$5001,T$241,BD!$A$3:$A$5001,"&gt;="&amp;$C$7,BD!$A$3:$A$5001,"&lt;="&amp;$B248,BD!$Y$3:$Y$5001,"&lt;&gt;")=0,"",SUMIFS(BD!$Y$3:$Y$5001,BD!$B$3:$B$5001,T$241,BD!$A$3:$A$5001,_xlfn.MAXIFS(BD!$A$3:$A$5001,BD!$B$3:$B$5001,T$241,BD!$A$3:$A$5001,"&gt;="&amp;$C$7,BD!$A$3:$A$5001,"&lt;="&amp;$B248,BD!$Y$3:$Y$5001,"&lt;&gt;"))))</f>
        <v/>
      </c>
      <c r="U248" s="43" t="str">
        <f>IF(OR($B248="",$A248&gt;$B$9,U$241=""),"",IF(COUNTIFS(BD!$B$3:$B$5001,U$241,BD!$A$3:$A$5001,"&gt;="&amp;$C$7,BD!$A$3:$A$5001,"&lt;="&amp;$B248,BD!$Y$3:$Y$5001,"&lt;&gt;")=0,"",SUMIFS(BD!$Y$3:$Y$5001,BD!$B$3:$B$5001,U$241,BD!$A$3:$A$5001,_xlfn.MAXIFS(BD!$A$3:$A$5001,BD!$B$3:$B$5001,U$241,BD!$A$3:$A$5001,"&gt;="&amp;$C$7,BD!$A$3:$A$5001,"&lt;="&amp;$B248,BD!$Y$3:$Y$5001,"&lt;&gt;"))))</f>
        <v/>
      </c>
      <c r="V248" s="43" t="str">
        <f>IF(OR($B248="",$A248&gt;$B$9,V$241=""),"",IF(COUNTIFS(BD!$B$3:$B$5001,V$241,BD!$A$3:$A$5001,"&gt;="&amp;$C$7,BD!$A$3:$A$5001,"&lt;="&amp;$B248,BD!$Y$3:$Y$5001,"&lt;&gt;")=0,"",SUMIFS(BD!$Y$3:$Y$5001,BD!$B$3:$B$5001,V$241,BD!$A$3:$A$5001,_xlfn.MAXIFS(BD!$A$3:$A$5001,BD!$B$3:$B$5001,V$241,BD!$A$3:$A$5001,"&gt;="&amp;$C$7,BD!$A$3:$A$5001,"&lt;="&amp;$B248,BD!$Y$3:$Y$5001,"&lt;&gt;"))))</f>
        <v/>
      </c>
    </row>
    <row r="249">
      <c r="A249" s="38">
        <v>8</v>
      </c>
      <c r="B249" s="42">
        <f>$B$19</f>
        <v>46303</v>
      </c>
      <c r="C249" s="43" t="str">
        <f>IF(OR($B249="",$A249&gt;$B$9,C$241=""),"",IF(COUNTIFS(BD!$B$3:$B$5001,C$241,BD!$A$3:$A$5001,"&gt;="&amp;$C$7,BD!$A$3:$A$5001,"&lt;="&amp;$B249,BD!$Y$3:$Y$5001,"&lt;&gt;")=0,"",SUMIFS(BD!$Y$3:$Y$5001,BD!$B$3:$B$5001,C$241,BD!$A$3:$A$5001,_xlfn.MAXIFS(BD!$A$3:$A$5001,BD!$B$3:$B$5001,C$241,BD!$A$3:$A$5001,"&gt;="&amp;$C$7,BD!$A$3:$A$5001,"&lt;="&amp;$B249,BD!$Y$3:$Y$5001,"&lt;&gt;"))))</f>
        <v/>
      </c>
      <c r="D249" s="43" t="str">
        <f>IF(OR($B249="",$A249&gt;$B$9,D$241=""),"",IF(COUNTIFS(BD!$B$3:$B$5001,D$241,BD!$A$3:$A$5001,"&gt;="&amp;$C$7,BD!$A$3:$A$5001,"&lt;="&amp;$B249,BD!$Y$3:$Y$5001,"&lt;&gt;")=0,"",SUMIFS(BD!$Y$3:$Y$5001,BD!$B$3:$B$5001,D$241,BD!$A$3:$A$5001,_xlfn.MAXIFS(BD!$A$3:$A$5001,BD!$B$3:$B$5001,D$241,BD!$A$3:$A$5001,"&gt;="&amp;$C$7,BD!$A$3:$A$5001,"&lt;="&amp;$B249,BD!$Y$3:$Y$5001,"&lt;&gt;"))))</f>
        <v/>
      </c>
      <c r="E249" s="43" t="str">
        <f>IF(OR($B249="",$A249&gt;$B$9,E$241=""),"",IF(COUNTIFS(BD!$B$3:$B$5001,E$241,BD!$A$3:$A$5001,"&gt;="&amp;$C$7,BD!$A$3:$A$5001,"&lt;="&amp;$B249,BD!$Y$3:$Y$5001,"&lt;&gt;")=0,"",SUMIFS(BD!$Y$3:$Y$5001,BD!$B$3:$B$5001,E$241,BD!$A$3:$A$5001,_xlfn.MAXIFS(BD!$A$3:$A$5001,BD!$B$3:$B$5001,E$241,BD!$A$3:$A$5001,"&gt;="&amp;$C$7,BD!$A$3:$A$5001,"&lt;="&amp;$B249,BD!$Y$3:$Y$5001,"&lt;&gt;"))))</f>
        <v/>
      </c>
      <c r="F249" s="43" t="str">
        <f>IF(OR($B249="",$A249&gt;$B$9,F$241=""),"",IF(COUNTIFS(BD!$B$3:$B$5001,F$241,BD!$A$3:$A$5001,"&gt;="&amp;$C$7,BD!$A$3:$A$5001,"&lt;="&amp;$B249,BD!$Y$3:$Y$5001,"&lt;&gt;")=0,"",SUMIFS(BD!$Y$3:$Y$5001,BD!$B$3:$B$5001,F$241,BD!$A$3:$A$5001,_xlfn.MAXIFS(BD!$A$3:$A$5001,BD!$B$3:$B$5001,F$241,BD!$A$3:$A$5001,"&gt;="&amp;$C$7,BD!$A$3:$A$5001,"&lt;="&amp;$B249,BD!$Y$3:$Y$5001,"&lt;&gt;"))))</f>
        <v/>
      </c>
      <c r="G249" s="43" t="str">
        <f>IF(OR($B249="",$A249&gt;$B$9,G$241=""),"",IF(COUNTIFS(BD!$B$3:$B$5001,G$241,BD!$A$3:$A$5001,"&gt;="&amp;$C$7,BD!$A$3:$A$5001,"&lt;="&amp;$B249,BD!$Y$3:$Y$5001,"&lt;&gt;")=0,"",SUMIFS(BD!$Y$3:$Y$5001,BD!$B$3:$B$5001,G$241,BD!$A$3:$A$5001,_xlfn.MAXIFS(BD!$A$3:$A$5001,BD!$B$3:$B$5001,G$241,BD!$A$3:$A$5001,"&gt;="&amp;$C$7,BD!$A$3:$A$5001,"&lt;="&amp;$B249,BD!$Y$3:$Y$5001,"&lt;&gt;"))))</f>
        <v/>
      </c>
      <c r="H249" s="43" t="str">
        <f>IF(OR($B249="",$A249&gt;$B$9,H$241=""),"",IF(COUNTIFS(BD!$B$3:$B$5001,H$241,BD!$A$3:$A$5001,"&gt;="&amp;$C$7,BD!$A$3:$A$5001,"&lt;="&amp;$B249,BD!$Y$3:$Y$5001,"&lt;&gt;")=0,"",SUMIFS(BD!$Y$3:$Y$5001,BD!$B$3:$B$5001,H$241,BD!$A$3:$A$5001,_xlfn.MAXIFS(BD!$A$3:$A$5001,BD!$B$3:$B$5001,H$241,BD!$A$3:$A$5001,"&gt;="&amp;$C$7,BD!$A$3:$A$5001,"&lt;="&amp;$B249,BD!$Y$3:$Y$5001,"&lt;&gt;"))))</f>
        <v/>
      </c>
      <c r="I249" s="43" t="str">
        <f>IF(OR($B249="",$A249&gt;$B$9,I$241=""),"",IF(COUNTIFS(BD!$B$3:$B$5001,I$241,BD!$A$3:$A$5001,"&gt;="&amp;$C$7,BD!$A$3:$A$5001,"&lt;="&amp;$B249,BD!$Y$3:$Y$5001,"&lt;&gt;")=0,"",SUMIFS(BD!$Y$3:$Y$5001,BD!$B$3:$B$5001,I$241,BD!$A$3:$A$5001,_xlfn.MAXIFS(BD!$A$3:$A$5001,BD!$B$3:$B$5001,I$241,BD!$A$3:$A$5001,"&gt;="&amp;$C$7,BD!$A$3:$A$5001,"&lt;="&amp;$B249,BD!$Y$3:$Y$5001,"&lt;&gt;"))))</f>
        <v/>
      </c>
      <c r="J249" s="43" t="str">
        <f>IF(OR($B249="",$A249&gt;$B$9,J$241=""),"",IF(COUNTIFS(BD!$B$3:$B$5001,J$241,BD!$A$3:$A$5001,"&gt;="&amp;$C$7,BD!$A$3:$A$5001,"&lt;="&amp;$B249,BD!$Y$3:$Y$5001,"&lt;&gt;")=0,"",SUMIFS(BD!$Y$3:$Y$5001,BD!$B$3:$B$5001,J$241,BD!$A$3:$A$5001,_xlfn.MAXIFS(BD!$A$3:$A$5001,BD!$B$3:$B$5001,J$241,BD!$A$3:$A$5001,"&gt;="&amp;$C$7,BD!$A$3:$A$5001,"&lt;="&amp;$B249,BD!$Y$3:$Y$5001,"&lt;&gt;"))))</f>
        <v/>
      </c>
      <c r="K249" s="43" t="str">
        <f>IF(OR($B249="",$A249&gt;$B$9,K$241=""),"",IF(COUNTIFS(BD!$B$3:$B$5001,K$241,BD!$A$3:$A$5001,"&gt;="&amp;$C$7,BD!$A$3:$A$5001,"&lt;="&amp;$B249,BD!$Y$3:$Y$5001,"&lt;&gt;")=0,"",SUMIFS(BD!$Y$3:$Y$5001,BD!$B$3:$B$5001,K$241,BD!$A$3:$A$5001,_xlfn.MAXIFS(BD!$A$3:$A$5001,BD!$B$3:$B$5001,K$241,BD!$A$3:$A$5001,"&gt;="&amp;$C$7,BD!$A$3:$A$5001,"&lt;="&amp;$B249,BD!$Y$3:$Y$5001,"&lt;&gt;"))))</f>
        <v/>
      </c>
      <c r="L249" s="43" t="str">
        <f>IF(OR($B249="",$A249&gt;$B$9,L$241=""),"",IF(COUNTIFS(BD!$B$3:$B$5001,L$241,BD!$A$3:$A$5001,"&gt;="&amp;$C$7,BD!$A$3:$A$5001,"&lt;="&amp;$B249,BD!$Y$3:$Y$5001,"&lt;&gt;")=0,"",SUMIFS(BD!$Y$3:$Y$5001,BD!$B$3:$B$5001,L$241,BD!$A$3:$A$5001,_xlfn.MAXIFS(BD!$A$3:$A$5001,BD!$B$3:$B$5001,L$241,BD!$A$3:$A$5001,"&gt;="&amp;$C$7,BD!$A$3:$A$5001,"&lt;="&amp;$B249,BD!$Y$3:$Y$5001,"&lt;&gt;"))))</f>
        <v/>
      </c>
      <c r="M249" s="43" t="str">
        <f>IF(OR($B249="",$A249&gt;$B$9,M$241=""),"",IF(COUNTIFS(BD!$B$3:$B$5001,M$241,BD!$A$3:$A$5001,"&gt;="&amp;$C$7,BD!$A$3:$A$5001,"&lt;="&amp;$B249,BD!$Y$3:$Y$5001,"&lt;&gt;")=0,"",SUMIFS(BD!$Y$3:$Y$5001,BD!$B$3:$B$5001,M$241,BD!$A$3:$A$5001,_xlfn.MAXIFS(BD!$A$3:$A$5001,BD!$B$3:$B$5001,M$241,BD!$A$3:$A$5001,"&gt;="&amp;$C$7,BD!$A$3:$A$5001,"&lt;="&amp;$B249,BD!$Y$3:$Y$5001,"&lt;&gt;"))))</f>
        <v/>
      </c>
      <c r="N249" s="43" t="str">
        <f>IF(OR($B249="",$A249&gt;$B$9,N$241=""),"",IF(COUNTIFS(BD!$B$3:$B$5001,N$241,BD!$A$3:$A$5001,"&gt;="&amp;$C$7,BD!$A$3:$A$5001,"&lt;="&amp;$B249,BD!$Y$3:$Y$5001,"&lt;&gt;")=0,"",SUMIFS(BD!$Y$3:$Y$5001,BD!$B$3:$B$5001,N$241,BD!$A$3:$A$5001,_xlfn.MAXIFS(BD!$A$3:$A$5001,BD!$B$3:$B$5001,N$241,BD!$A$3:$A$5001,"&gt;="&amp;$C$7,BD!$A$3:$A$5001,"&lt;="&amp;$B249,BD!$Y$3:$Y$5001,"&lt;&gt;"))))</f>
        <v/>
      </c>
      <c r="O249" s="43" t="str">
        <f>IF(OR($B249="",$A249&gt;$B$9,O$241=""),"",IF(COUNTIFS(BD!$B$3:$B$5001,O$241,BD!$A$3:$A$5001,"&gt;="&amp;$C$7,BD!$A$3:$A$5001,"&lt;="&amp;$B249,BD!$Y$3:$Y$5001,"&lt;&gt;")=0,"",SUMIFS(BD!$Y$3:$Y$5001,BD!$B$3:$B$5001,O$241,BD!$A$3:$A$5001,_xlfn.MAXIFS(BD!$A$3:$A$5001,BD!$B$3:$B$5001,O$241,BD!$A$3:$A$5001,"&gt;="&amp;$C$7,BD!$A$3:$A$5001,"&lt;="&amp;$B249,BD!$Y$3:$Y$5001,"&lt;&gt;"))))</f>
        <v/>
      </c>
      <c r="P249" s="43" t="str">
        <f>IF(OR($B249="",$A249&gt;$B$9,P$241=""),"",IF(COUNTIFS(BD!$B$3:$B$5001,P$241,BD!$A$3:$A$5001,"&gt;="&amp;$C$7,BD!$A$3:$A$5001,"&lt;="&amp;$B249,BD!$Y$3:$Y$5001,"&lt;&gt;")=0,"",SUMIFS(BD!$Y$3:$Y$5001,BD!$B$3:$B$5001,P$241,BD!$A$3:$A$5001,_xlfn.MAXIFS(BD!$A$3:$A$5001,BD!$B$3:$B$5001,P$241,BD!$A$3:$A$5001,"&gt;="&amp;$C$7,BD!$A$3:$A$5001,"&lt;="&amp;$B249,BD!$Y$3:$Y$5001,"&lt;&gt;"))))</f>
        <v/>
      </c>
      <c r="Q249" s="43" t="str">
        <f>IF(OR($B249="",$A249&gt;$B$9,Q$241=""),"",IF(COUNTIFS(BD!$B$3:$B$5001,Q$241,BD!$A$3:$A$5001,"&gt;="&amp;$C$7,BD!$A$3:$A$5001,"&lt;="&amp;$B249,BD!$Y$3:$Y$5001,"&lt;&gt;")=0,"",SUMIFS(BD!$Y$3:$Y$5001,BD!$B$3:$B$5001,Q$241,BD!$A$3:$A$5001,_xlfn.MAXIFS(BD!$A$3:$A$5001,BD!$B$3:$B$5001,Q$241,BD!$A$3:$A$5001,"&gt;="&amp;$C$7,BD!$A$3:$A$5001,"&lt;="&amp;$B249,BD!$Y$3:$Y$5001,"&lt;&gt;"))))</f>
        <v/>
      </c>
      <c r="R249" s="43" t="str">
        <f>IF(OR($B249="",$A249&gt;$B$9,R$241=""),"",IF(COUNTIFS(BD!$B$3:$B$5001,R$241,BD!$A$3:$A$5001,"&gt;="&amp;$C$7,BD!$A$3:$A$5001,"&lt;="&amp;$B249,BD!$Y$3:$Y$5001,"&lt;&gt;")=0,"",SUMIFS(BD!$Y$3:$Y$5001,BD!$B$3:$B$5001,R$241,BD!$A$3:$A$5001,_xlfn.MAXIFS(BD!$A$3:$A$5001,BD!$B$3:$B$5001,R$241,BD!$A$3:$A$5001,"&gt;="&amp;$C$7,BD!$A$3:$A$5001,"&lt;="&amp;$B249,BD!$Y$3:$Y$5001,"&lt;&gt;"))))</f>
        <v/>
      </c>
      <c r="S249" s="43" t="str">
        <f>IF(OR($B249="",$A249&gt;$B$9,S$241=""),"",IF(COUNTIFS(BD!$B$3:$B$5001,S$241,BD!$A$3:$A$5001,"&gt;="&amp;$C$7,BD!$A$3:$A$5001,"&lt;="&amp;$B249,BD!$Y$3:$Y$5001,"&lt;&gt;")=0,"",SUMIFS(BD!$Y$3:$Y$5001,BD!$B$3:$B$5001,S$241,BD!$A$3:$A$5001,_xlfn.MAXIFS(BD!$A$3:$A$5001,BD!$B$3:$B$5001,S$241,BD!$A$3:$A$5001,"&gt;="&amp;$C$7,BD!$A$3:$A$5001,"&lt;="&amp;$B249,BD!$Y$3:$Y$5001,"&lt;&gt;"))))</f>
        <v/>
      </c>
      <c r="T249" s="43" t="str">
        <f>IF(OR($B249="",$A249&gt;$B$9,T$241=""),"",IF(COUNTIFS(BD!$B$3:$B$5001,T$241,BD!$A$3:$A$5001,"&gt;="&amp;$C$7,BD!$A$3:$A$5001,"&lt;="&amp;$B249,BD!$Y$3:$Y$5001,"&lt;&gt;")=0,"",SUMIFS(BD!$Y$3:$Y$5001,BD!$B$3:$B$5001,T$241,BD!$A$3:$A$5001,_xlfn.MAXIFS(BD!$A$3:$A$5001,BD!$B$3:$B$5001,T$241,BD!$A$3:$A$5001,"&gt;="&amp;$C$7,BD!$A$3:$A$5001,"&lt;="&amp;$B249,BD!$Y$3:$Y$5001,"&lt;&gt;"))))</f>
        <v/>
      </c>
      <c r="U249" s="43" t="str">
        <f>IF(OR($B249="",$A249&gt;$B$9,U$241=""),"",IF(COUNTIFS(BD!$B$3:$B$5001,U$241,BD!$A$3:$A$5001,"&gt;="&amp;$C$7,BD!$A$3:$A$5001,"&lt;="&amp;$B249,BD!$Y$3:$Y$5001,"&lt;&gt;")=0,"",SUMIFS(BD!$Y$3:$Y$5001,BD!$B$3:$B$5001,U$241,BD!$A$3:$A$5001,_xlfn.MAXIFS(BD!$A$3:$A$5001,BD!$B$3:$B$5001,U$241,BD!$A$3:$A$5001,"&gt;="&amp;$C$7,BD!$A$3:$A$5001,"&lt;="&amp;$B249,BD!$Y$3:$Y$5001,"&lt;&gt;"))))</f>
        <v/>
      </c>
      <c r="V249" s="43" t="str">
        <f>IF(OR($B249="",$A249&gt;$B$9,V$241=""),"",IF(COUNTIFS(BD!$B$3:$B$5001,V$241,BD!$A$3:$A$5001,"&gt;="&amp;$C$7,BD!$A$3:$A$5001,"&lt;="&amp;$B249,BD!$Y$3:$Y$5001,"&lt;&gt;")=0,"",SUMIFS(BD!$Y$3:$Y$5001,BD!$B$3:$B$5001,V$241,BD!$A$3:$A$5001,_xlfn.MAXIFS(BD!$A$3:$A$5001,BD!$B$3:$B$5001,V$241,BD!$A$3:$A$5001,"&gt;="&amp;$C$7,BD!$A$3:$A$5001,"&lt;="&amp;$B249,BD!$Y$3:$Y$5001,"&lt;&gt;"))))</f>
        <v/>
      </c>
    </row>
    <row r="250">
      <c r="A250" s="38">
        <v>9</v>
      </c>
      <c r="B250" s="42">
        <f>$B$20</f>
        <v>46304</v>
      </c>
      <c r="C250" s="43" t="str">
        <f>IF(OR($B250="",$A250&gt;$B$9,C$241=""),"",IF(COUNTIFS(BD!$B$3:$B$5001,C$241,BD!$A$3:$A$5001,"&gt;="&amp;$C$7,BD!$A$3:$A$5001,"&lt;="&amp;$B250,BD!$Y$3:$Y$5001,"&lt;&gt;")=0,"",SUMIFS(BD!$Y$3:$Y$5001,BD!$B$3:$B$5001,C$241,BD!$A$3:$A$5001,_xlfn.MAXIFS(BD!$A$3:$A$5001,BD!$B$3:$B$5001,C$241,BD!$A$3:$A$5001,"&gt;="&amp;$C$7,BD!$A$3:$A$5001,"&lt;="&amp;$B250,BD!$Y$3:$Y$5001,"&lt;&gt;"))))</f>
        <v/>
      </c>
      <c r="D250" s="43" t="str">
        <f>IF(OR($B250="",$A250&gt;$B$9,D$241=""),"",IF(COUNTIFS(BD!$B$3:$B$5001,D$241,BD!$A$3:$A$5001,"&gt;="&amp;$C$7,BD!$A$3:$A$5001,"&lt;="&amp;$B250,BD!$Y$3:$Y$5001,"&lt;&gt;")=0,"",SUMIFS(BD!$Y$3:$Y$5001,BD!$B$3:$B$5001,D$241,BD!$A$3:$A$5001,_xlfn.MAXIFS(BD!$A$3:$A$5001,BD!$B$3:$B$5001,D$241,BD!$A$3:$A$5001,"&gt;="&amp;$C$7,BD!$A$3:$A$5001,"&lt;="&amp;$B250,BD!$Y$3:$Y$5001,"&lt;&gt;"))))</f>
        <v/>
      </c>
      <c r="E250" s="43" t="str">
        <f>IF(OR($B250="",$A250&gt;$B$9,E$241=""),"",IF(COUNTIFS(BD!$B$3:$B$5001,E$241,BD!$A$3:$A$5001,"&gt;="&amp;$C$7,BD!$A$3:$A$5001,"&lt;="&amp;$B250,BD!$Y$3:$Y$5001,"&lt;&gt;")=0,"",SUMIFS(BD!$Y$3:$Y$5001,BD!$B$3:$B$5001,E$241,BD!$A$3:$A$5001,_xlfn.MAXIFS(BD!$A$3:$A$5001,BD!$B$3:$B$5001,E$241,BD!$A$3:$A$5001,"&gt;="&amp;$C$7,BD!$A$3:$A$5001,"&lt;="&amp;$B250,BD!$Y$3:$Y$5001,"&lt;&gt;"))))</f>
        <v/>
      </c>
      <c r="F250" s="43" t="str">
        <f>IF(OR($B250="",$A250&gt;$B$9,F$241=""),"",IF(COUNTIFS(BD!$B$3:$B$5001,F$241,BD!$A$3:$A$5001,"&gt;="&amp;$C$7,BD!$A$3:$A$5001,"&lt;="&amp;$B250,BD!$Y$3:$Y$5001,"&lt;&gt;")=0,"",SUMIFS(BD!$Y$3:$Y$5001,BD!$B$3:$B$5001,F$241,BD!$A$3:$A$5001,_xlfn.MAXIFS(BD!$A$3:$A$5001,BD!$B$3:$B$5001,F$241,BD!$A$3:$A$5001,"&gt;="&amp;$C$7,BD!$A$3:$A$5001,"&lt;="&amp;$B250,BD!$Y$3:$Y$5001,"&lt;&gt;"))))</f>
        <v/>
      </c>
      <c r="G250" s="43" t="str">
        <f>IF(OR($B250="",$A250&gt;$B$9,G$241=""),"",IF(COUNTIFS(BD!$B$3:$B$5001,G$241,BD!$A$3:$A$5001,"&gt;="&amp;$C$7,BD!$A$3:$A$5001,"&lt;="&amp;$B250,BD!$Y$3:$Y$5001,"&lt;&gt;")=0,"",SUMIFS(BD!$Y$3:$Y$5001,BD!$B$3:$B$5001,G$241,BD!$A$3:$A$5001,_xlfn.MAXIFS(BD!$A$3:$A$5001,BD!$B$3:$B$5001,G$241,BD!$A$3:$A$5001,"&gt;="&amp;$C$7,BD!$A$3:$A$5001,"&lt;="&amp;$B250,BD!$Y$3:$Y$5001,"&lt;&gt;"))))</f>
        <v/>
      </c>
      <c r="H250" s="43" t="str">
        <f>IF(OR($B250="",$A250&gt;$B$9,H$241=""),"",IF(COUNTIFS(BD!$B$3:$B$5001,H$241,BD!$A$3:$A$5001,"&gt;="&amp;$C$7,BD!$A$3:$A$5001,"&lt;="&amp;$B250,BD!$Y$3:$Y$5001,"&lt;&gt;")=0,"",SUMIFS(BD!$Y$3:$Y$5001,BD!$B$3:$B$5001,H$241,BD!$A$3:$A$5001,_xlfn.MAXIFS(BD!$A$3:$A$5001,BD!$B$3:$B$5001,H$241,BD!$A$3:$A$5001,"&gt;="&amp;$C$7,BD!$A$3:$A$5001,"&lt;="&amp;$B250,BD!$Y$3:$Y$5001,"&lt;&gt;"))))</f>
        <v/>
      </c>
      <c r="I250" s="43" t="str">
        <f>IF(OR($B250="",$A250&gt;$B$9,I$241=""),"",IF(COUNTIFS(BD!$B$3:$B$5001,I$241,BD!$A$3:$A$5001,"&gt;="&amp;$C$7,BD!$A$3:$A$5001,"&lt;="&amp;$B250,BD!$Y$3:$Y$5001,"&lt;&gt;")=0,"",SUMIFS(BD!$Y$3:$Y$5001,BD!$B$3:$B$5001,I$241,BD!$A$3:$A$5001,_xlfn.MAXIFS(BD!$A$3:$A$5001,BD!$B$3:$B$5001,I$241,BD!$A$3:$A$5001,"&gt;="&amp;$C$7,BD!$A$3:$A$5001,"&lt;="&amp;$B250,BD!$Y$3:$Y$5001,"&lt;&gt;"))))</f>
        <v/>
      </c>
      <c r="J250" s="43" t="str">
        <f>IF(OR($B250="",$A250&gt;$B$9,J$241=""),"",IF(COUNTIFS(BD!$B$3:$B$5001,J$241,BD!$A$3:$A$5001,"&gt;="&amp;$C$7,BD!$A$3:$A$5001,"&lt;="&amp;$B250,BD!$Y$3:$Y$5001,"&lt;&gt;")=0,"",SUMIFS(BD!$Y$3:$Y$5001,BD!$B$3:$B$5001,J$241,BD!$A$3:$A$5001,_xlfn.MAXIFS(BD!$A$3:$A$5001,BD!$B$3:$B$5001,J$241,BD!$A$3:$A$5001,"&gt;="&amp;$C$7,BD!$A$3:$A$5001,"&lt;="&amp;$B250,BD!$Y$3:$Y$5001,"&lt;&gt;"))))</f>
        <v/>
      </c>
      <c r="K250" s="43" t="str">
        <f>IF(OR($B250="",$A250&gt;$B$9,K$241=""),"",IF(COUNTIFS(BD!$B$3:$B$5001,K$241,BD!$A$3:$A$5001,"&gt;="&amp;$C$7,BD!$A$3:$A$5001,"&lt;="&amp;$B250,BD!$Y$3:$Y$5001,"&lt;&gt;")=0,"",SUMIFS(BD!$Y$3:$Y$5001,BD!$B$3:$B$5001,K$241,BD!$A$3:$A$5001,_xlfn.MAXIFS(BD!$A$3:$A$5001,BD!$B$3:$B$5001,K$241,BD!$A$3:$A$5001,"&gt;="&amp;$C$7,BD!$A$3:$A$5001,"&lt;="&amp;$B250,BD!$Y$3:$Y$5001,"&lt;&gt;"))))</f>
        <v/>
      </c>
      <c r="L250" s="43" t="str">
        <f>IF(OR($B250="",$A250&gt;$B$9,L$241=""),"",IF(COUNTIFS(BD!$B$3:$B$5001,L$241,BD!$A$3:$A$5001,"&gt;="&amp;$C$7,BD!$A$3:$A$5001,"&lt;="&amp;$B250,BD!$Y$3:$Y$5001,"&lt;&gt;")=0,"",SUMIFS(BD!$Y$3:$Y$5001,BD!$B$3:$B$5001,L$241,BD!$A$3:$A$5001,_xlfn.MAXIFS(BD!$A$3:$A$5001,BD!$B$3:$B$5001,L$241,BD!$A$3:$A$5001,"&gt;="&amp;$C$7,BD!$A$3:$A$5001,"&lt;="&amp;$B250,BD!$Y$3:$Y$5001,"&lt;&gt;"))))</f>
        <v/>
      </c>
      <c r="M250" s="43" t="str">
        <f>IF(OR($B250="",$A250&gt;$B$9,M$241=""),"",IF(COUNTIFS(BD!$B$3:$B$5001,M$241,BD!$A$3:$A$5001,"&gt;="&amp;$C$7,BD!$A$3:$A$5001,"&lt;="&amp;$B250,BD!$Y$3:$Y$5001,"&lt;&gt;")=0,"",SUMIFS(BD!$Y$3:$Y$5001,BD!$B$3:$B$5001,M$241,BD!$A$3:$A$5001,_xlfn.MAXIFS(BD!$A$3:$A$5001,BD!$B$3:$B$5001,M$241,BD!$A$3:$A$5001,"&gt;="&amp;$C$7,BD!$A$3:$A$5001,"&lt;="&amp;$B250,BD!$Y$3:$Y$5001,"&lt;&gt;"))))</f>
        <v/>
      </c>
      <c r="N250" s="43" t="str">
        <f>IF(OR($B250="",$A250&gt;$B$9,N$241=""),"",IF(COUNTIFS(BD!$B$3:$B$5001,N$241,BD!$A$3:$A$5001,"&gt;="&amp;$C$7,BD!$A$3:$A$5001,"&lt;="&amp;$B250,BD!$Y$3:$Y$5001,"&lt;&gt;")=0,"",SUMIFS(BD!$Y$3:$Y$5001,BD!$B$3:$B$5001,N$241,BD!$A$3:$A$5001,_xlfn.MAXIFS(BD!$A$3:$A$5001,BD!$B$3:$B$5001,N$241,BD!$A$3:$A$5001,"&gt;="&amp;$C$7,BD!$A$3:$A$5001,"&lt;="&amp;$B250,BD!$Y$3:$Y$5001,"&lt;&gt;"))))</f>
        <v/>
      </c>
      <c r="O250" s="43" t="str">
        <f>IF(OR($B250="",$A250&gt;$B$9,O$241=""),"",IF(COUNTIFS(BD!$B$3:$B$5001,O$241,BD!$A$3:$A$5001,"&gt;="&amp;$C$7,BD!$A$3:$A$5001,"&lt;="&amp;$B250,BD!$Y$3:$Y$5001,"&lt;&gt;")=0,"",SUMIFS(BD!$Y$3:$Y$5001,BD!$B$3:$B$5001,O$241,BD!$A$3:$A$5001,_xlfn.MAXIFS(BD!$A$3:$A$5001,BD!$B$3:$B$5001,O$241,BD!$A$3:$A$5001,"&gt;="&amp;$C$7,BD!$A$3:$A$5001,"&lt;="&amp;$B250,BD!$Y$3:$Y$5001,"&lt;&gt;"))))</f>
        <v/>
      </c>
      <c r="P250" s="43" t="str">
        <f>IF(OR($B250="",$A250&gt;$B$9,P$241=""),"",IF(COUNTIFS(BD!$B$3:$B$5001,P$241,BD!$A$3:$A$5001,"&gt;="&amp;$C$7,BD!$A$3:$A$5001,"&lt;="&amp;$B250,BD!$Y$3:$Y$5001,"&lt;&gt;")=0,"",SUMIFS(BD!$Y$3:$Y$5001,BD!$B$3:$B$5001,P$241,BD!$A$3:$A$5001,_xlfn.MAXIFS(BD!$A$3:$A$5001,BD!$B$3:$B$5001,P$241,BD!$A$3:$A$5001,"&gt;="&amp;$C$7,BD!$A$3:$A$5001,"&lt;="&amp;$B250,BD!$Y$3:$Y$5001,"&lt;&gt;"))))</f>
        <v/>
      </c>
      <c r="Q250" s="43" t="str">
        <f>IF(OR($B250="",$A250&gt;$B$9,Q$241=""),"",IF(COUNTIFS(BD!$B$3:$B$5001,Q$241,BD!$A$3:$A$5001,"&gt;="&amp;$C$7,BD!$A$3:$A$5001,"&lt;="&amp;$B250,BD!$Y$3:$Y$5001,"&lt;&gt;")=0,"",SUMIFS(BD!$Y$3:$Y$5001,BD!$B$3:$B$5001,Q$241,BD!$A$3:$A$5001,_xlfn.MAXIFS(BD!$A$3:$A$5001,BD!$B$3:$B$5001,Q$241,BD!$A$3:$A$5001,"&gt;="&amp;$C$7,BD!$A$3:$A$5001,"&lt;="&amp;$B250,BD!$Y$3:$Y$5001,"&lt;&gt;"))))</f>
        <v/>
      </c>
      <c r="R250" s="43" t="str">
        <f>IF(OR($B250="",$A250&gt;$B$9,R$241=""),"",IF(COUNTIFS(BD!$B$3:$B$5001,R$241,BD!$A$3:$A$5001,"&gt;="&amp;$C$7,BD!$A$3:$A$5001,"&lt;="&amp;$B250,BD!$Y$3:$Y$5001,"&lt;&gt;")=0,"",SUMIFS(BD!$Y$3:$Y$5001,BD!$B$3:$B$5001,R$241,BD!$A$3:$A$5001,_xlfn.MAXIFS(BD!$A$3:$A$5001,BD!$B$3:$B$5001,R$241,BD!$A$3:$A$5001,"&gt;="&amp;$C$7,BD!$A$3:$A$5001,"&lt;="&amp;$B250,BD!$Y$3:$Y$5001,"&lt;&gt;"))))</f>
        <v/>
      </c>
      <c r="S250" s="43" t="str">
        <f>IF(OR($B250="",$A250&gt;$B$9,S$241=""),"",IF(COUNTIFS(BD!$B$3:$B$5001,S$241,BD!$A$3:$A$5001,"&gt;="&amp;$C$7,BD!$A$3:$A$5001,"&lt;="&amp;$B250,BD!$Y$3:$Y$5001,"&lt;&gt;")=0,"",SUMIFS(BD!$Y$3:$Y$5001,BD!$B$3:$B$5001,S$241,BD!$A$3:$A$5001,_xlfn.MAXIFS(BD!$A$3:$A$5001,BD!$B$3:$B$5001,S$241,BD!$A$3:$A$5001,"&gt;="&amp;$C$7,BD!$A$3:$A$5001,"&lt;="&amp;$B250,BD!$Y$3:$Y$5001,"&lt;&gt;"))))</f>
        <v/>
      </c>
      <c r="T250" s="43" t="str">
        <f>IF(OR($B250="",$A250&gt;$B$9,T$241=""),"",IF(COUNTIFS(BD!$B$3:$B$5001,T$241,BD!$A$3:$A$5001,"&gt;="&amp;$C$7,BD!$A$3:$A$5001,"&lt;="&amp;$B250,BD!$Y$3:$Y$5001,"&lt;&gt;")=0,"",SUMIFS(BD!$Y$3:$Y$5001,BD!$B$3:$B$5001,T$241,BD!$A$3:$A$5001,_xlfn.MAXIFS(BD!$A$3:$A$5001,BD!$B$3:$B$5001,T$241,BD!$A$3:$A$5001,"&gt;="&amp;$C$7,BD!$A$3:$A$5001,"&lt;="&amp;$B250,BD!$Y$3:$Y$5001,"&lt;&gt;"))))</f>
        <v/>
      </c>
      <c r="U250" s="43" t="str">
        <f>IF(OR($B250="",$A250&gt;$B$9,U$241=""),"",IF(COUNTIFS(BD!$B$3:$B$5001,U$241,BD!$A$3:$A$5001,"&gt;="&amp;$C$7,BD!$A$3:$A$5001,"&lt;="&amp;$B250,BD!$Y$3:$Y$5001,"&lt;&gt;")=0,"",SUMIFS(BD!$Y$3:$Y$5001,BD!$B$3:$B$5001,U$241,BD!$A$3:$A$5001,_xlfn.MAXIFS(BD!$A$3:$A$5001,BD!$B$3:$B$5001,U$241,BD!$A$3:$A$5001,"&gt;="&amp;$C$7,BD!$A$3:$A$5001,"&lt;="&amp;$B250,BD!$Y$3:$Y$5001,"&lt;&gt;"))))</f>
        <v/>
      </c>
      <c r="V250" s="43" t="str">
        <f>IF(OR($B250="",$A250&gt;$B$9,V$241=""),"",IF(COUNTIFS(BD!$B$3:$B$5001,V$241,BD!$A$3:$A$5001,"&gt;="&amp;$C$7,BD!$A$3:$A$5001,"&lt;="&amp;$B250,BD!$Y$3:$Y$5001,"&lt;&gt;")=0,"",SUMIFS(BD!$Y$3:$Y$5001,BD!$B$3:$B$5001,V$241,BD!$A$3:$A$5001,_xlfn.MAXIFS(BD!$A$3:$A$5001,BD!$B$3:$B$5001,V$241,BD!$A$3:$A$5001,"&gt;="&amp;$C$7,BD!$A$3:$A$5001,"&lt;="&amp;$B250,BD!$Y$3:$Y$5001,"&lt;&gt;"))))</f>
        <v/>
      </c>
    </row>
    <row r="251">
      <c r="A251" s="38">
        <v>10</v>
      </c>
      <c r="B251" s="42">
        <f>$B$21</f>
        <v>46305</v>
      </c>
      <c r="C251" s="43" t="str">
        <f>IF(OR($B251="",$A251&gt;$B$9,C$241=""),"",IF(COUNTIFS(BD!$B$3:$B$5001,C$241,BD!$A$3:$A$5001,"&gt;="&amp;$C$7,BD!$A$3:$A$5001,"&lt;="&amp;$B251,BD!$Y$3:$Y$5001,"&lt;&gt;")=0,"",SUMIFS(BD!$Y$3:$Y$5001,BD!$B$3:$B$5001,C$241,BD!$A$3:$A$5001,_xlfn.MAXIFS(BD!$A$3:$A$5001,BD!$B$3:$B$5001,C$241,BD!$A$3:$A$5001,"&gt;="&amp;$C$7,BD!$A$3:$A$5001,"&lt;="&amp;$B251,BD!$Y$3:$Y$5001,"&lt;&gt;"))))</f>
        <v/>
      </c>
      <c r="D251" s="43" t="str">
        <f>IF(OR($B251="",$A251&gt;$B$9,D$241=""),"",IF(COUNTIFS(BD!$B$3:$B$5001,D$241,BD!$A$3:$A$5001,"&gt;="&amp;$C$7,BD!$A$3:$A$5001,"&lt;="&amp;$B251,BD!$Y$3:$Y$5001,"&lt;&gt;")=0,"",SUMIFS(BD!$Y$3:$Y$5001,BD!$B$3:$B$5001,D$241,BD!$A$3:$A$5001,_xlfn.MAXIFS(BD!$A$3:$A$5001,BD!$B$3:$B$5001,D$241,BD!$A$3:$A$5001,"&gt;="&amp;$C$7,BD!$A$3:$A$5001,"&lt;="&amp;$B251,BD!$Y$3:$Y$5001,"&lt;&gt;"))))</f>
        <v/>
      </c>
      <c r="E251" s="43" t="str">
        <f>IF(OR($B251="",$A251&gt;$B$9,E$241=""),"",IF(COUNTIFS(BD!$B$3:$B$5001,E$241,BD!$A$3:$A$5001,"&gt;="&amp;$C$7,BD!$A$3:$A$5001,"&lt;="&amp;$B251,BD!$Y$3:$Y$5001,"&lt;&gt;")=0,"",SUMIFS(BD!$Y$3:$Y$5001,BD!$B$3:$B$5001,E$241,BD!$A$3:$A$5001,_xlfn.MAXIFS(BD!$A$3:$A$5001,BD!$B$3:$B$5001,E$241,BD!$A$3:$A$5001,"&gt;="&amp;$C$7,BD!$A$3:$A$5001,"&lt;="&amp;$B251,BD!$Y$3:$Y$5001,"&lt;&gt;"))))</f>
        <v/>
      </c>
      <c r="F251" s="43" t="str">
        <f>IF(OR($B251="",$A251&gt;$B$9,F$241=""),"",IF(COUNTIFS(BD!$B$3:$B$5001,F$241,BD!$A$3:$A$5001,"&gt;="&amp;$C$7,BD!$A$3:$A$5001,"&lt;="&amp;$B251,BD!$Y$3:$Y$5001,"&lt;&gt;")=0,"",SUMIFS(BD!$Y$3:$Y$5001,BD!$B$3:$B$5001,F$241,BD!$A$3:$A$5001,_xlfn.MAXIFS(BD!$A$3:$A$5001,BD!$B$3:$B$5001,F$241,BD!$A$3:$A$5001,"&gt;="&amp;$C$7,BD!$A$3:$A$5001,"&lt;="&amp;$B251,BD!$Y$3:$Y$5001,"&lt;&gt;"))))</f>
        <v/>
      </c>
      <c r="G251" s="43" t="str">
        <f>IF(OR($B251="",$A251&gt;$B$9,G$241=""),"",IF(COUNTIFS(BD!$B$3:$B$5001,G$241,BD!$A$3:$A$5001,"&gt;="&amp;$C$7,BD!$A$3:$A$5001,"&lt;="&amp;$B251,BD!$Y$3:$Y$5001,"&lt;&gt;")=0,"",SUMIFS(BD!$Y$3:$Y$5001,BD!$B$3:$B$5001,G$241,BD!$A$3:$A$5001,_xlfn.MAXIFS(BD!$A$3:$A$5001,BD!$B$3:$B$5001,G$241,BD!$A$3:$A$5001,"&gt;="&amp;$C$7,BD!$A$3:$A$5001,"&lt;="&amp;$B251,BD!$Y$3:$Y$5001,"&lt;&gt;"))))</f>
        <v/>
      </c>
      <c r="H251" s="43" t="str">
        <f>IF(OR($B251="",$A251&gt;$B$9,H$241=""),"",IF(COUNTIFS(BD!$B$3:$B$5001,H$241,BD!$A$3:$A$5001,"&gt;="&amp;$C$7,BD!$A$3:$A$5001,"&lt;="&amp;$B251,BD!$Y$3:$Y$5001,"&lt;&gt;")=0,"",SUMIFS(BD!$Y$3:$Y$5001,BD!$B$3:$B$5001,H$241,BD!$A$3:$A$5001,_xlfn.MAXIFS(BD!$A$3:$A$5001,BD!$B$3:$B$5001,H$241,BD!$A$3:$A$5001,"&gt;="&amp;$C$7,BD!$A$3:$A$5001,"&lt;="&amp;$B251,BD!$Y$3:$Y$5001,"&lt;&gt;"))))</f>
        <v/>
      </c>
      <c r="I251" s="43" t="str">
        <f>IF(OR($B251="",$A251&gt;$B$9,I$241=""),"",IF(COUNTIFS(BD!$B$3:$B$5001,I$241,BD!$A$3:$A$5001,"&gt;="&amp;$C$7,BD!$A$3:$A$5001,"&lt;="&amp;$B251,BD!$Y$3:$Y$5001,"&lt;&gt;")=0,"",SUMIFS(BD!$Y$3:$Y$5001,BD!$B$3:$B$5001,I$241,BD!$A$3:$A$5001,_xlfn.MAXIFS(BD!$A$3:$A$5001,BD!$B$3:$B$5001,I$241,BD!$A$3:$A$5001,"&gt;="&amp;$C$7,BD!$A$3:$A$5001,"&lt;="&amp;$B251,BD!$Y$3:$Y$5001,"&lt;&gt;"))))</f>
        <v/>
      </c>
      <c r="J251" s="43" t="str">
        <f>IF(OR($B251="",$A251&gt;$B$9,J$241=""),"",IF(COUNTIFS(BD!$B$3:$B$5001,J$241,BD!$A$3:$A$5001,"&gt;="&amp;$C$7,BD!$A$3:$A$5001,"&lt;="&amp;$B251,BD!$Y$3:$Y$5001,"&lt;&gt;")=0,"",SUMIFS(BD!$Y$3:$Y$5001,BD!$B$3:$B$5001,J$241,BD!$A$3:$A$5001,_xlfn.MAXIFS(BD!$A$3:$A$5001,BD!$B$3:$B$5001,J$241,BD!$A$3:$A$5001,"&gt;="&amp;$C$7,BD!$A$3:$A$5001,"&lt;="&amp;$B251,BD!$Y$3:$Y$5001,"&lt;&gt;"))))</f>
        <v/>
      </c>
      <c r="K251" s="43" t="str">
        <f>IF(OR($B251="",$A251&gt;$B$9,K$241=""),"",IF(COUNTIFS(BD!$B$3:$B$5001,K$241,BD!$A$3:$A$5001,"&gt;="&amp;$C$7,BD!$A$3:$A$5001,"&lt;="&amp;$B251,BD!$Y$3:$Y$5001,"&lt;&gt;")=0,"",SUMIFS(BD!$Y$3:$Y$5001,BD!$B$3:$B$5001,K$241,BD!$A$3:$A$5001,_xlfn.MAXIFS(BD!$A$3:$A$5001,BD!$B$3:$B$5001,K$241,BD!$A$3:$A$5001,"&gt;="&amp;$C$7,BD!$A$3:$A$5001,"&lt;="&amp;$B251,BD!$Y$3:$Y$5001,"&lt;&gt;"))))</f>
        <v/>
      </c>
      <c r="L251" s="43" t="str">
        <f>IF(OR($B251="",$A251&gt;$B$9,L$241=""),"",IF(COUNTIFS(BD!$B$3:$B$5001,L$241,BD!$A$3:$A$5001,"&gt;="&amp;$C$7,BD!$A$3:$A$5001,"&lt;="&amp;$B251,BD!$Y$3:$Y$5001,"&lt;&gt;")=0,"",SUMIFS(BD!$Y$3:$Y$5001,BD!$B$3:$B$5001,L$241,BD!$A$3:$A$5001,_xlfn.MAXIFS(BD!$A$3:$A$5001,BD!$B$3:$B$5001,L$241,BD!$A$3:$A$5001,"&gt;="&amp;$C$7,BD!$A$3:$A$5001,"&lt;="&amp;$B251,BD!$Y$3:$Y$5001,"&lt;&gt;"))))</f>
        <v/>
      </c>
      <c r="M251" s="43" t="str">
        <f>IF(OR($B251="",$A251&gt;$B$9,M$241=""),"",IF(COUNTIFS(BD!$B$3:$B$5001,M$241,BD!$A$3:$A$5001,"&gt;="&amp;$C$7,BD!$A$3:$A$5001,"&lt;="&amp;$B251,BD!$Y$3:$Y$5001,"&lt;&gt;")=0,"",SUMIFS(BD!$Y$3:$Y$5001,BD!$B$3:$B$5001,M$241,BD!$A$3:$A$5001,_xlfn.MAXIFS(BD!$A$3:$A$5001,BD!$B$3:$B$5001,M$241,BD!$A$3:$A$5001,"&gt;="&amp;$C$7,BD!$A$3:$A$5001,"&lt;="&amp;$B251,BD!$Y$3:$Y$5001,"&lt;&gt;"))))</f>
        <v/>
      </c>
      <c r="N251" s="43" t="str">
        <f>IF(OR($B251="",$A251&gt;$B$9,N$241=""),"",IF(COUNTIFS(BD!$B$3:$B$5001,N$241,BD!$A$3:$A$5001,"&gt;="&amp;$C$7,BD!$A$3:$A$5001,"&lt;="&amp;$B251,BD!$Y$3:$Y$5001,"&lt;&gt;")=0,"",SUMIFS(BD!$Y$3:$Y$5001,BD!$B$3:$B$5001,N$241,BD!$A$3:$A$5001,_xlfn.MAXIFS(BD!$A$3:$A$5001,BD!$B$3:$B$5001,N$241,BD!$A$3:$A$5001,"&gt;="&amp;$C$7,BD!$A$3:$A$5001,"&lt;="&amp;$B251,BD!$Y$3:$Y$5001,"&lt;&gt;"))))</f>
        <v/>
      </c>
      <c r="O251" s="43" t="str">
        <f>IF(OR($B251="",$A251&gt;$B$9,O$241=""),"",IF(COUNTIFS(BD!$B$3:$B$5001,O$241,BD!$A$3:$A$5001,"&gt;="&amp;$C$7,BD!$A$3:$A$5001,"&lt;="&amp;$B251,BD!$Y$3:$Y$5001,"&lt;&gt;")=0,"",SUMIFS(BD!$Y$3:$Y$5001,BD!$B$3:$B$5001,O$241,BD!$A$3:$A$5001,_xlfn.MAXIFS(BD!$A$3:$A$5001,BD!$B$3:$B$5001,O$241,BD!$A$3:$A$5001,"&gt;="&amp;$C$7,BD!$A$3:$A$5001,"&lt;="&amp;$B251,BD!$Y$3:$Y$5001,"&lt;&gt;"))))</f>
        <v/>
      </c>
      <c r="P251" s="43" t="str">
        <f>IF(OR($B251="",$A251&gt;$B$9,P$241=""),"",IF(COUNTIFS(BD!$B$3:$B$5001,P$241,BD!$A$3:$A$5001,"&gt;="&amp;$C$7,BD!$A$3:$A$5001,"&lt;="&amp;$B251,BD!$Y$3:$Y$5001,"&lt;&gt;")=0,"",SUMIFS(BD!$Y$3:$Y$5001,BD!$B$3:$B$5001,P$241,BD!$A$3:$A$5001,_xlfn.MAXIFS(BD!$A$3:$A$5001,BD!$B$3:$B$5001,P$241,BD!$A$3:$A$5001,"&gt;="&amp;$C$7,BD!$A$3:$A$5001,"&lt;="&amp;$B251,BD!$Y$3:$Y$5001,"&lt;&gt;"))))</f>
        <v/>
      </c>
      <c r="Q251" s="43" t="str">
        <f>IF(OR($B251="",$A251&gt;$B$9,Q$241=""),"",IF(COUNTIFS(BD!$B$3:$B$5001,Q$241,BD!$A$3:$A$5001,"&gt;="&amp;$C$7,BD!$A$3:$A$5001,"&lt;="&amp;$B251,BD!$Y$3:$Y$5001,"&lt;&gt;")=0,"",SUMIFS(BD!$Y$3:$Y$5001,BD!$B$3:$B$5001,Q$241,BD!$A$3:$A$5001,_xlfn.MAXIFS(BD!$A$3:$A$5001,BD!$B$3:$B$5001,Q$241,BD!$A$3:$A$5001,"&gt;="&amp;$C$7,BD!$A$3:$A$5001,"&lt;="&amp;$B251,BD!$Y$3:$Y$5001,"&lt;&gt;"))))</f>
        <v/>
      </c>
      <c r="R251" s="43" t="str">
        <f>IF(OR($B251="",$A251&gt;$B$9,R$241=""),"",IF(COUNTIFS(BD!$B$3:$B$5001,R$241,BD!$A$3:$A$5001,"&gt;="&amp;$C$7,BD!$A$3:$A$5001,"&lt;="&amp;$B251,BD!$Y$3:$Y$5001,"&lt;&gt;")=0,"",SUMIFS(BD!$Y$3:$Y$5001,BD!$B$3:$B$5001,R$241,BD!$A$3:$A$5001,_xlfn.MAXIFS(BD!$A$3:$A$5001,BD!$B$3:$B$5001,R$241,BD!$A$3:$A$5001,"&gt;="&amp;$C$7,BD!$A$3:$A$5001,"&lt;="&amp;$B251,BD!$Y$3:$Y$5001,"&lt;&gt;"))))</f>
        <v/>
      </c>
      <c r="S251" s="43" t="str">
        <f>IF(OR($B251="",$A251&gt;$B$9,S$241=""),"",IF(COUNTIFS(BD!$B$3:$B$5001,S$241,BD!$A$3:$A$5001,"&gt;="&amp;$C$7,BD!$A$3:$A$5001,"&lt;="&amp;$B251,BD!$Y$3:$Y$5001,"&lt;&gt;")=0,"",SUMIFS(BD!$Y$3:$Y$5001,BD!$B$3:$B$5001,S$241,BD!$A$3:$A$5001,_xlfn.MAXIFS(BD!$A$3:$A$5001,BD!$B$3:$B$5001,S$241,BD!$A$3:$A$5001,"&gt;="&amp;$C$7,BD!$A$3:$A$5001,"&lt;="&amp;$B251,BD!$Y$3:$Y$5001,"&lt;&gt;"))))</f>
        <v/>
      </c>
      <c r="T251" s="43" t="str">
        <f>IF(OR($B251="",$A251&gt;$B$9,T$241=""),"",IF(COUNTIFS(BD!$B$3:$B$5001,T$241,BD!$A$3:$A$5001,"&gt;="&amp;$C$7,BD!$A$3:$A$5001,"&lt;="&amp;$B251,BD!$Y$3:$Y$5001,"&lt;&gt;")=0,"",SUMIFS(BD!$Y$3:$Y$5001,BD!$B$3:$B$5001,T$241,BD!$A$3:$A$5001,_xlfn.MAXIFS(BD!$A$3:$A$5001,BD!$B$3:$B$5001,T$241,BD!$A$3:$A$5001,"&gt;="&amp;$C$7,BD!$A$3:$A$5001,"&lt;="&amp;$B251,BD!$Y$3:$Y$5001,"&lt;&gt;"))))</f>
        <v/>
      </c>
      <c r="U251" s="43" t="str">
        <f>IF(OR($B251="",$A251&gt;$B$9,U$241=""),"",IF(COUNTIFS(BD!$B$3:$B$5001,U$241,BD!$A$3:$A$5001,"&gt;="&amp;$C$7,BD!$A$3:$A$5001,"&lt;="&amp;$B251,BD!$Y$3:$Y$5001,"&lt;&gt;")=0,"",SUMIFS(BD!$Y$3:$Y$5001,BD!$B$3:$B$5001,U$241,BD!$A$3:$A$5001,_xlfn.MAXIFS(BD!$A$3:$A$5001,BD!$B$3:$B$5001,U$241,BD!$A$3:$A$5001,"&gt;="&amp;$C$7,BD!$A$3:$A$5001,"&lt;="&amp;$B251,BD!$Y$3:$Y$5001,"&lt;&gt;"))))</f>
        <v/>
      </c>
      <c r="V251" s="43" t="str">
        <f>IF(OR($B251="",$A251&gt;$B$9,V$241=""),"",IF(COUNTIFS(BD!$B$3:$B$5001,V$241,BD!$A$3:$A$5001,"&gt;="&amp;$C$7,BD!$A$3:$A$5001,"&lt;="&amp;$B251,BD!$Y$3:$Y$5001,"&lt;&gt;")=0,"",SUMIFS(BD!$Y$3:$Y$5001,BD!$B$3:$B$5001,V$241,BD!$A$3:$A$5001,_xlfn.MAXIFS(BD!$A$3:$A$5001,BD!$B$3:$B$5001,V$241,BD!$A$3:$A$5001,"&gt;="&amp;$C$7,BD!$A$3:$A$5001,"&lt;="&amp;$B251,BD!$Y$3:$Y$5001,"&lt;&gt;"))))</f>
        <v/>
      </c>
    </row>
    <row r="252">
      <c r="A252" s="38">
        <v>11</v>
      </c>
      <c r="B252" s="42">
        <f>$B$22</f>
        <v>46306</v>
      </c>
      <c r="C252" s="43" t="str">
        <f>IF(OR($B252="",$A252&gt;$B$9,C$241=""),"",IF(COUNTIFS(BD!$B$3:$B$5001,C$241,BD!$A$3:$A$5001,"&gt;="&amp;$C$7,BD!$A$3:$A$5001,"&lt;="&amp;$B252,BD!$Y$3:$Y$5001,"&lt;&gt;")=0,"",SUMIFS(BD!$Y$3:$Y$5001,BD!$B$3:$B$5001,C$241,BD!$A$3:$A$5001,_xlfn.MAXIFS(BD!$A$3:$A$5001,BD!$B$3:$B$5001,C$241,BD!$A$3:$A$5001,"&gt;="&amp;$C$7,BD!$A$3:$A$5001,"&lt;="&amp;$B252,BD!$Y$3:$Y$5001,"&lt;&gt;"))))</f>
        <v/>
      </c>
      <c r="D252" s="43" t="str">
        <f>IF(OR($B252="",$A252&gt;$B$9,D$241=""),"",IF(COUNTIFS(BD!$B$3:$B$5001,D$241,BD!$A$3:$A$5001,"&gt;="&amp;$C$7,BD!$A$3:$A$5001,"&lt;="&amp;$B252,BD!$Y$3:$Y$5001,"&lt;&gt;")=0,"",SUMIFS(BD!$Y$3:$Y$5001,BD!$B$3:$B$5001,D$241,BD!$A$3:$A$5001,_xlfn.MAXIFS(BD!$A$3:$A$5001,BD!$B$3:$B$5001,D$241,BD!$A$3:$A$5001,"&gt;="&amp;$C$7,BD!$A$3:$A$5001,"&lt;="&amp;$B252,BD!$Y$3:$Y$5001,"&lt;&gt;"))))</f>
        <v/>
      </c>
      <c r="E252" s="43" t="str">
        <f>IF(OR($B252="",$A252&gt;$B$9,E$241=""),"",IF(COUNTIFS(BD!$B$3:$B$5001,E$241,BD!$A$3:$A$5001,"&gt;="&amp;$C$7,BD!$A$3:$A$5001,"&lt;="&amp;$B252,BD!$Y$3:$Y$5001,"&lt;&gt;")=0,"",SUMIFS(BD!$Y$3:$Y$5001,BD!$B$3:$B$5001,E$241,BD!$A$3:$A$5001,_xlfn.MAXIFS(BD!$A$3:$A$5001,BD!$B$3:$B$5001,E$241,BD!$A$3:$A$5001,"&gt;="&amp;$C$7,BD!$A$3:$A$5001,"&lt;="&amp;$B252,BD!$Y$3:$Y$5001,"&lt;&gt;"))))</f>
        <v/>
      </c>
      <c r="F252" s="43" t="str">
        <f>IF(OR($B252="",$A252&gt;$B$9,F$241=""),"",IF(COUNTIFS(BD!$B$3:$B$5001,F$241,BD!$A$3:$A$5001,"&gt;="&amp;$C$7,BD!$A$3:$A$5001,"&lt;="&amp;$B252,BD!$Y$3:$Y$5001,"&lt;&gt;")=0,"",SUMIFS(BD!$Y$3:$Y$5001,BD!$B$3:$B$5001,F$241,BD!$A$3:$A$5001,_xlfn.MAXIFS(BD!$A$3:$A$5001,BD!$B$3:$B$5001,F$241,BD!$A$3:$A$5001,"&gt;="&amp;$C$7,BD!$A$3:$A$5001,"&lt;="&amp;$B252,BD!$Y$3:$Y$5001,"&lt;&gt;"))))</f>
        <v/>
      </c>
      <c r="G252" s="43" t="str">
        <f>IF(OR($B252="",$A252&gt;$B$9,G$241=""),"",IF(COUNTIFS(BD!$B$3:$B$5001,G$241,BD!$A$3:$A$5001,"&gt;="&amp;$C$7,BD!$A$3:$A$5001,"&lt;="&amp;$B252,BD!$Y$3:$Y$5001,"&lt;&gt;")=0,"",SUMIFS(BD!$Y$3:$Y$5001,BD!$B$3:$B$5001,G$241,BD!$A$3:$A$5001,_xlfn.MAXIFS(BD!$A$3:$A$5001,BD!$B$3:$B$5001,G$241,BD!$A$3:$A$5001,"&gt;="&amp;$C$7,BD!$A$3:$A$5001,"&lt;="&amp;$B252,BD!$Y$3:$Y$5001,"&lt;&gt;"))))</f>
        <v/>
      </c>
      <c r="H252" s="43" t="str">
        <f>IF(OR($B252="",$A252&gt;$B$9,H$241=""),"",IF(COUNTIFS(BD!$B$3:$B$5001,H$241,BD!$A$3:$A$5001,"&gt;="&amp;$C$7,BD!$A$3:$A$5001,"&lt;="&amp;$B252,BD!$Y$3:$Y$5001,"&lt;&gt;")=0,"",SUMIFS(BD!$Y$3:$Y$5001,BD!$B$3:$B$5001,H$241,BD!$A$3:$A$5001,_xlfn.MAXIFS(BD!$A$3:$A$5001,BD!$B$3:$B$5001,H$241,BD!$A$3:$A$5001,"&gt;="&amp;$C$7,BD!$A$3:$A$5001,"&lt;="&amp;$B252,BD!$Y$3:$Y$5001,"&lt;&gt;"))))</f>
        <v/>
      </c>
      <c r="I252" s="43" t="str">
        <f>IF(OR($B252="",$A252&gt;$B$9,I$241=""),"",IF(COUNTIFS(BD!$B$3:$B$5001,I$241,BD!$A$3:$A$5001,"&gt;="&amp;$C$7,BD!$A$3:$A$5001,"&lt;="&amp;$B252,BD!$Y$3:$Y$5001,"&lt;&gt;")=0,"",SUMIFS(BD!$Y$3:$Y$5001,BD!$B$3:$B$5001,I$241,BD!$A$3:$A$5001,_xlfn.MAXIFS(BD!$A$3:$A$5001,BD!$B$3:$B$5001,I$241,BD!$A$3:$A$5001,"&gt;="&amp;$C$7,BD!$A$3:$A$5001,"&lt;="&amp;$B252,BD!$Y$3:$Y$5001,"&lt;&gt;"))))</f>
        <v/>
      </c>
      <c r="J252" s="43" t="str">
        <f>IF(OR($B252="",$A252&gt;$B$9,J$241=""),"",IF(COUNTIFS(BD!$B$3:$B$5001,J$241,BD!$A$3:$A$5001,"&gt;="&amp;$C$7,BD!$A$3:$A$5001,"&lt;="&amp;$B252,BD!$Y$3:$Y$5001,"&lt;&gt;")=0,"",SUMIFS(BD!$Y$3:$Y$5001,BD!$B$3:$B$5001,J$241,BD!$A$3:$A$5001,_xlfn.MAXIFS(BD!$A$3:$A$5001,BD!$B$3:$B$5001,J$241,BD!$A$3:$A$5001,"&gt;="&amp;$C$7,BD!$A$3:$A$5001,"&lt;="&amp;$B252,BD!$Y$3:$Y$5001,"&lt;&gt;"))))</f>
        <v/>
      </c>
      <c r="K252" s="43" t="str">
        <f>IF(OR($B252="",$A252&gt;$B$9,K$241=""),"",IF(COUNTIFS(BD!$B$3:$B$5001,K$241,BD!$A$3:$A$5001,"&gt;="&amp;$C$7,BD!$A$3:$A$5001,"&lt;="&amp;$B252,BD!$Y$3:$Y$5001,"&lt;&gt;")=0,"",SUMIFS(BD!$Y$3:$Y$5001,BD!$B$3:$B$5001,K$241,BD!$A$3:$A$5001,_xlfn.MAXIFS(BD!$A$3:$A$5001,BD!$B$3:$B$5001,K$241,BD!$A$3:$A$5001,"&gt;="&amp;$C$7,BD!$A$3:$A$5001,"&lt;="&amp;$B252,BD!$Y$3:$Y$5001,"&lt;&gt;"))))</f>
        <v/>
      </c>
      <c r="L252" s="43" t="str">
        <f>IF(OR($B252="",$A252&gt;$B$9,L$241=""),"",IF(COUNTIFS(BD!$B$3:$B$5001,L$241,BD!$A$3:$A$5001,"&gt;="&amp;$C$7,BD!$A$3:$A$5001,"&lt;="&amp;$B252,BD!$Y$3:$Y$5001,"&lt;&gt;")=0,"",SUMIFS(BD!$Y$3:$Y$5001,BD!$B$3:$B$5001,L$241,BD!$A$3:$A$5001,_xlfn.MAXIFS(BD!$A$3:$A$5001,BD!$B$3:$B$5001,L$241,BD!$A$3:$A$5001,"&gt;="&amp;$C$7,BD!$A$3:$A$5001,"&lt;="&amp;$B252,BD!$Y$3:$Y$5001,"&lt;&gt;"))))</f>
        <v/>
      </c>
      <c r="M252" s="43" t="str">
        <f>IF(OR($B252="",$A252&gt;$B$9,M$241=""),"",IF(COUNTIFS(BD!$B$3:$B$5001,M$241,BD!$A$3:$A$5001,"&gt;="&amp;$C$7,BD!$A$3:$A$5001,"&lt;="&amp;$B252,BD!$Y$3:$Y$5001,"&lt;&gt;")=0,"",SUMIFS(BD!$Y$3:$Y$5001,BD!$B$3:$B$5001,M$241,BD!$A$3:$A$5001,_xlfn.MAXIFS(BD!$A$3:$A$5001,BD!$B$3:$B$5001,M$241,BD!$A$3:$A$5001,"&gt;="&amp;$C$7,BD!$A$3:$A$5001,"&lt;="&amp;$B252,BD!$Y$3:$Y$5001,"&lt;&gt;"))))</f>
        <v/>
      </c>
      <c r="N252" s="43" t="str">
        <f>IF(OR($B252="",$A252&gt;$B$9,N$241=""),"",IF(COUNTIFS(BD!$B$3:$B$5001,N$241,BD!$A$3:$A$5001,"&gt;="&amp;$C$7,BD!$A$3:$A$5001,"&lt;="&amp;$B252,BD!$Y$3:$Y$5001,"&lt;&gt;")=0,"",SUMIFS(BD!$Y$3:$Y$5001,BD!$B$3:$B$5001,N$241,BD!$A$3:$A$5001,_xlfn.MAXIFS(BD!$A$3:$A$5001,BD!$B$3:$B$5001,N$241,BD!$A$3:$A$5001,"&gt;="&amp;$C$7,BD!$A$3:$A$5001,"&lt;="&amp;$B252,BD!$Y$3:$Y$5001,"&lt;&gt;"))))</f>
        <v/>
      </c>
      <c r="O252" s="43" t="str">
        <f>IF(OR($B252="",$A252&gt;$B$9,O$241=""),"",IF(COUNTIFS(BD!$B$3:$B$5001,O$241,BD!$A$3:$A$5001,"&gt;="&amp;$C$7,BD!$A$3:$A$5001,"&lt;="&amp;$B252,BD!$Y$3:$Y$5001,"&lt;&gt;")=0,"",SUMIFS(BD!$Y$3:$Y$5001,BD!$B$3:$B$5001,O$241,BD!$A$3:$A$5001,_xlfn.MAXIFS(BD!$A$3:$A$5001,BD!$B$3:$B$5001,O$241,BD!$A$3:$A$5001,"&gt;="&amp;$C$7,BD!$A$3:$A$5001,"&lt;="&amp;$B252,BD!$Y$3:$Y$5001,"&lt;&gt;"))))</f>
        <v/>
      </c>
      <c r="P252" s="43" t="str">
        <f>IF(OR($B252="",$A252&gt;$B$9,P$241=""),"",IF(COUNTIFS(BD!$B$3:$B$5001,P$241,BD!$A$3:$A$5001,"&gt;="&amp;$C$7,BD!$A$3:$A$5001,"&lt;="&amp;$B252,BD!$Y$3:$Y$5001,"&lt;&gt;")=0,"",SUMIFS(BD!$Y$3:$Y$5001,BD!$B$3:$B$5001,P$241,BD!$A$3:$A$5001,_xlfn.MAXIFS(BD!$A$3:$A$5001,BD!$B$3:$B$5001,P$241,BD!$A$3:$A$5001,"&gt;="&amp;$C$7,BD!$A$3:$A$5001,"&lt;="&amp;$B252,BD!$Y$3:$Y$5001,"&lt;&gt;"))))</f>
        <v/>
      </c>
      <c r="Q252" s="43" t="str">
        <f>IF(OR($B252="",$A252&gt;$B$9,Q$241=""),"",IF(COUNTIFS(BD!$B$3:$B$5001,Q$241,BD!$A$3:$A$5001,"&gt;="&amp;$C$7,BD!$A$3:$A$5001,"&lt;="&amp;$B252,BD!$Y$3:$Y$5001,"&lt;&gt;")=0,"",SUMIFS(BD!$Y$3:$Y$5001,BD!$B$3:$B$5001,Q$241,BD!$A$3:$A$5001,_xlfn.MAXIFS(BD!$A$3:$A$5001,BD!$B$3:$B$5001,Q$241,BD!$A$3:$A$5001,"&gt;="&amp;$C$7,BD!$A$3:$A$5001,"&lt;="&amp;$B252,BD!$Y$3:$Y$5001,"&lt;&gt;"))))</f>
        <v/>
      </c>
      <c r="R252" s="43" t="str">
        <f>IF(OR($B252="",$A252&gt;$B$9,R$241=""),"",IF(COUNTIFS(BD!$B$3:$B$5001,R$241,BD!$A$3:$A$5001,"&gt;="&amp;$C$7,BD!$A$3:$A$5001,"&lt;="&amp;$B252,BD!$Y$3:$Y$5001,"&lt;&gt;")=0,"",SUMIFS(BD!$Y$3:$Y$5001,BD!$B$3:$B$5001,R$241,BD!$A$3:$A$5001,_xlfn.MAXIFS(BD!$A$3:$A$5001,BD!$B$3:$B$5001,R$241,BD!$A$3:$A$5001,"&gt;="&amp;$C$7,BD!$A$3:$A$5001,"&lt;="&amp;$B252,BD!$Y$3:$Y$5001,"&lt;&gt;"))))</f>
        <v/>
      </c>
      <c r="S252" s="43" t="str">
        <f>IF(OR($B252="",$A252&gt;$B$9,S$241=""),"",IF(COUNTIFS(BD!$B$3:$B$5001,S$241,BD!$A$3:$A$5001,"&gt;="&amp;$C$7,BD!$A$3:$A$5001,"&lt;="&amp;$B252,BD!$Y$3:$Y$5001,"&lt;&gt;")=0,"",SUMIFS(BD!$Y$3:$Y$5001,BD!$B$3:$B$5001,S$241,BD!$A$3:$A$5001,_xlfn.MAXIFS(BD!$A$3:$A$5001,BD!$B$3:$B$5001,S$241,BD!$A$3:$A$5001,"&gt;="&amp;$C$7,BD!$A$3:$A$5001,"&lt;="&amp;$B252,BD!$Y$3:$Y$5001,"&lt;&gt;"))))</f>
        <v/>
      </c>
      <c r="T252" s="43" t="str">
        <f>IF(OR($B252="",$A252&gt;$B$9,T$241=""),"",IF(COUNTIFS(BD!$B$3:$B$5001,T$241,BD!$A$3:$A$5001,"&gt;="&amp;$C$7,BD!$A$3:$A$5001,"&lt;="&amp;$B252,BD!$Y$3:$Y$5001,"&lt;&gt;")=0,"",SUMIFS(BD!$Y$3:$Y$5001,BD!$B$3:$B$5001,T$241,BD!$A$3:$A$5001,_xlfn.MAXIFS(BD!$A$3:$A$5001,BD!$B$3:$B$5001,T$241,BD!$A$3:$A$5001,"&gt;="&amp;$C$7,BD!$A$3:$A$5001,"&lt;="&amp;$B252,BD!$Y$3:$Y$5001,"&lt;&gt;"))))</f>
        <v/>
      </c>
      <c r="U252" s="43" t="str">
        <f>IF(OR($B252="",$A252&gt;$B$9,U$241=""),"",IF(COUNTIFS(BD!$B$3:$B$5001,U$241,BD!$A$3:$A$5001,"&gt;="&amp;$C$7,BD!$A$3:$A$5001,"&lt;="&amp;$B252,BD!$Y$3:$Y$5001,"&lt;&gt;")=0,"",SUMIFS(BD!$Y$3:$Y$5001,BD!$B$3:$B$5001,U$241,BD!$A$3:$A$5001,_xlfn.MAXIFS(BD!$A$3:$A$5001,BD!$B$3:$B$5001,U$241,BD!$A$3:$A$5001,"&gt;="&amp;$C$7,BD!$A$3:$A$5001,"&lt;="&amp;$B252,BD!$Y$3:$Y$5001,"&lt;&gt;"))))</f>
        <v/>
      </c>
      <c r="V252" s="43" t="str">
        <f>IF(OR($B252="",$A252&gt;$B$9,V$241=""),"",IF(COUNTIFS(BD!$B$3:$B$5001,V$241,BD!$A$3:$A$5001,"&gt;="&amp;$C$7,BD!$A$3:$A$5001,"&lt;="&amp;$B252,BD!$Y$3:$Y$5001,"&lt;&gt;")=0,"",SUMIFS(BD!$Y$3:$Y$5001,BD!$B$3:$B$5001,V$241,BD!$A$3:$A$5001,_xlfn.MAXIFS(BD!$A$3:$A$5001,BD!$B$3:$B$5001,V$241,BD!$A$3:$A$5001,"&gt;="&amp;$C$7,BD!$A$3:$A$5001,"&lt;="&amp;$B252,BD!$Y$3:$Y$5001,"&lt;&gt;"))))</f>
        <v/>
      </c>
    </row>
    <row r="253">
      <c r="A253" s="38">
        <v>12</v>
      </c>
      <c r="B253" s="42">
        <f>$B$23</f>
        <v>46307</v>
      </c>
      <c r="C253" s="43" t="str">
        <f>IF(OR($B253="",$A253&gt;$B$9,C$241=""),"",IF(COUNTIFS(BD!$B$3:$B$5001,C$241,BD!$A$3:$A$5001,"&gt;="&amp;$C$7,BD!$A$3:$A$5001,"&lt;="&amp;$B253,BD!$Y$3:$Y$5001,"&lt;&gt;")=0,"",SUMIFS(BD!$Y$3:$Y$5001,BD!$B$3:$B$5001,C$241,BD!$A$3:$A$5001,_xlfn.MAXIFS(BD!$A$3:$A$5001,BD!$B$3:$B$5001,C$241,BD!$A$3:$A$5001,"&gt;="&amp;$C$7,BD!$A$3:$A$5001,"&lt;="&amp;$B253,BD!$Y$3:$Y$5001,"&lt;&gt;"))))</f>
        <v/>
      </c>
      <c r="D253" s="43" t="str">
        <f>IF(OR($B253="",$A253&gt;$B$9,D$241=""),"",IF(COUNTIFS(BD!$B$3:$B$5001,D$241,BD!$A$3:$A$5001,"&gt;="&amp;$C$7,BD!$A$3:$A$5001,"&lt;="&amp;$B253,BD!$Y$3:$Y$5001,"&lt;&gt;")=0,"",SUMIFS(BD!$Y$3:$Y$5001,BD!$B$3:$B$5001,D$241,BD!$A$3:$A$5001,_xlfn.MAXIFS(BD!$A$3:$A$5001,BD!$B$3:$B$5001,D$241,BD!$A$3:$A$5001,"&gt;="&amp;$C$7,BD!$A$3:$A$5001,"&lt;="&amp;$B253,BD!$Y$3:$Y$5001,"&lt;&gt;"))))</f>
        <v/>
      </c>
      <c r="E253" s="43" t="str">
        <f>IF(OR($B253="",$A253&gt;$B$9,E$241=""),"",IF(COUNTIFS(BD!$B$3:$B$5001,E$241,BD!$A$3:$A$5001,"&gt;="&amp;$C$7,BD!$A$3:$A$5001,"&lt;="&amp;$B253,BD!$Y$3:$Y$5001,"&lt;&gt;")=0,"",SUMIFS(BD!$Y$3:$Y$5001,BD!$B$3:$B$5001,E$241,BD!$A$3:$A$5001,_xlfn.MAXIFS(BD!$A$3:$A$5001,BD!$B$3:$B$5001,E$241,BD!$A$3:$A$5001,"&gt;="&amp;$C$7,BD!$A$3:$A$5001,"&lt;="&amp;$B253,BD!$Y$3:$Y$5001,"&lt;&gt;"))))</f>
        <v/>
      </c>
      <c r="F253" s="43" t="str">
        <f>IF(OR($B253="",$A253&gt;$B$9,F$241=""),"",IF(COUNTIFS(BD!$B$3:$B$5001,F$241,BD!$A$3:$A$5001,"&gt;="&amp;$C$7,BD!$A$3:$A$5001,"&lt;="&amp;$B253,BD!$Y$3:$Y$5001,"&lt;&gt;")=0,"",SUMIFS(BD!$Y$3:$Y$5001,BD!$B$3:$B$5001,F$241,BD!$A$3:$A$5001,_xlfn.MAXIFS(BD!$A$3:$A$5001,BD!$B$3:$B$5001,F$241,BD!$A$3:$A$5001,"&gt;="&amp;$C$7,BD!$A$3:$A$5001,"&lt;="&amp;$B253,BD!$Y$3:$Y$5001,"&lt;&gt;"))))</f>
        <v/>
      </c>
      <c r="G253" s="43" t="str">
        <f>IF(OR($B253="",$A253&gt;$B$9,G$241=""),"",IF(COUNTIFS(BD!$B$3:$B$5001,G$241,BD!$A$3:$A$5001,"&gt;="&amp;$C$7,BD!$A$3:$A$5001,"&lt;="&amp;$B253,BD!$Y$3:$Y$5001,"&lt;&gt;")=0,"",SUMIFS(BD!$Y$3:$Y$5001,BD!$B$3:$B$5001,G$241,BD!$A$3:$A$5001,_xlfn.MAXIFS(BD!$A$3:$A$5001,BD!$B$3:$B$5001,G$241,BD!$A$3:$A$5001,"&gt;="&amp;$C$7,BD!$A$3:$A$5001,"&lt;="&amp;$B253,BD!$Y$3:$Y$5001,"&lt;&gt;"))))</f>
        <v/>
      </c>
      <c r="H253" s="43" t="str">
        <f>IF(OR($B253="",$A253&gt;$B$9,H$241=""),"",IF(COUNTIFS(BD!$B$3:$B$5001,H$241,BD!$A$3:$A$5001,"&gt;="&amp;$C$7,BD!$A$3:$A$5001,"&lt;="&amp;$B253,BD!$Y$3:$Y$5001,"&lt;&gt;")=0,"",SUMIFS(BD!$Y$3:$Y$5001,BD!$B$3:$B$5001,H$241,BD!$A$3:$A$5001,_xlfn.MAXIFS(BD!$A$3:$A$5001,BD!$B$3:$B$5001,H$241,BD!$A$3:$A$5001,"&gt;="&amp;$C$7,BD!$A$3:$A$5001,"&lt;="&amp;$B253,BD!$Y$3:$Y$5001,"&lt;&gt;"))))</f>
        <v/>
      </c>
      <c r="I253" s="43" t="str">
        <f>IF(OR($B253="",$A253&gt;$B$9,I$241=""),"",IF(COUNTIFS(BD!$B$3:$B$5001,I$241,BD!$A$3:$A$5001,"&gt;="&amp;$C$7,BD!$A$3:$A$5001,"&lt;="&amp;$B253,BD!$Y$3:$Y$5001,"&lt;&gt;")=0,"",SUMIFS(BD!$Y$3:$Y$5001,BD!$B$3:$B$5001,I$241,BD!$A$3:$A$5001,_xlfn.MAXIFS(BD!$A$3:$A$5001,BD!$B$3:$B$5001,I$241,BD!$A$3:$A$5001,"&gt;="&amp;$C$7,BD!$A$3:$A$5001,"&lt;="&amp;$B253,BD!$Y$3:$Y$5001,"&lt;&gt;"))))</f>
        <v/>
      </c>
      <c r="J253" s="43" t="str">
        <f>IF(OR($B253="",$A253&gt;$B$9,J$241=""),"",IF(COUNTIFS(BD!$B$3:$B$5001,J$241,BD!$A$3:$A$5001,"&gt;="&amp;$C$7,BD!$A$3:$A$5001,"&lt;="&amp;$B253,BD!$Y$3:$Y$5001,"&lt;&gt;")=0,"",SUMIFS(BD!$Y$3:$Y$5001,BD!$B$3:$B$5001,J$241,BD!$A$3:$A$5001,_xlfn.MAXIFS(BD!$A$3:$A$5001,BD!$B$3:$B$5001,J$241,BD!$A$3:$A$5001,"&gt;="&amp;$C$7,BD!$A$3:$A$5001,"&lt;="&amp;$B253,BD!$Y$3:$Y$5001,"&lt;&gt;"))))</f>
        <v/>
      </c>
      <c r="K253" s="43" t="str">
        <f>IF(OR($B253="",$A253&gt;$B$9,K$241=""),"",IF(COUNTIFS(BD!$B$3:$B$5001,K$241,BD!$A$3:$A$5001,"&gt;="&amp;$C$7,BD!$A$3:$A$5001,"&lt;="&amp;$B253,BD!$Y$3:$Y$5001,"&lt;&gt;")=0,"",SUMIFS(BD!$Y$3:$Y$5001,BD!$B$3:$B$5001,K$241,BD!$A$3:$A$5001,_xlfn.MAXIFS(BD!$A$3:$A$5001,BD!$B$3:$B$5001,K$241,BD!$A$3:$A$5001,"&gt;="&amp;$C$7,BD!$A$3:$A$5001,"&lt;="&amp;$B253,BD!$Y$3:$Y$5001,"&lt;&gt;"))))</f>
        <v/>
      </c>
      <c r="L253" s="43" t="str">
        <f>IF(OR($B253="",$A253&gt;$B$9,L$241=""),"",IF(COUNTIFS(BD!$B$3:$B$5001,L$241,BD!$A$3:$A$5001,"&gt;="&amp;$C$7,BD!$A$3:$A$5001,"&lt;="&amp;$B253,BD!$Y$3:$Y$5001,"&lt;&gt;")=0,"",SUMIFS(BD!$Y$3:$Y$5001,BD!$B$3:$B$5001,L$241,BD!$A$3:$A$5001,_xlfn.MAXIFS(BD!$A$3:$A$5001,BD!$B$3:$B$5001,L$241,BD!$A$3:$A$5001,"&gt;="&amp;$C$7,BD!$A$3:$A$5001,"&lt;="&amp;$B253,BD!$Y$3:$Y$5001,"&lt;&gt;"))))</f>
        <v/>
      </c>
      <c r="M253" s="43" t="str">
        <f>IF(OR($B253="",$A253&gt;$B$9,M$241=""),"",IF(COUNTIFS(BD!$B$3:$B$5001,M$241,BD!$A$3:$A$5001,"&gt;="&amp;$C$7,BD!$A$3:$A$5001,"&lt;="&amp;$B253,BD!$Y$3:$Y$5001,"&lt;&gt;")=0,"",SUMIFS(BD!$Y$3:$Y$5001,BD!$B$3:$B$5001,M$241,BD!$A$3:$A$5001,_xlfn.MAXIFS(BD!$A$3:$A$5001,BD!$B$3:$B$5001,M$241,BD!$A$3:$A$5001,"&gt;="&amp;$C$7,BD!$A$3:$A$5001,"&lt;="&amp;$B253,BD!$Y$3:$Y$5001,"&lt;&gt;"))))</f>
        <v/>
      </c>
      <c r="N253" s="43" t="str">
        <f>IF(OR($B253="",$A253&gt;$B$9,N$241=""),"",IF(COUNTIFS(BD!$B$3:$B$5001,N$241,BD!$A$3:$A$5001,"&gt;="&amp;$C$7,BD!$A$3:$A$5001,"&lt;="&amp;$B253,BD!$Y$3:$Y$5001,"&lt;&gt;")=0,"",SUMIFS(BD!$Y$3:$Y$5001,BD!$B$3:$B$5001,N$241,BD!$A$3:$A$5001,_xlfn.MAXIFS(BD!$A$3:$A$5001,BD!$B$3:$B$5001,N$241,BD!$A$3:$A$5001,"&gt;="&amp;$C$7,BD!$A$3:$A$5001,"&lt;="&amp;$B253,BD!$Y$3:$Y$5001,"&lt;&gt;"))))</f>
        <v/>
      </c>
      <c r="O253" s="43" t="str">
        <f>IF(OR($B253="",$A253&gt;$B$9,O$241=""),"",IF(COUNTIFS(BD!$B$3:$B$5001,O$241,BD!$A$3:$A$5001,"&gt;="&amp;$C$7,BD!$A$3:$A$5001,"&lt;="&amp;$B253,BD!$Y$3:$Y$5001,"&lt;&gt;")=0,"",SUMIFS(BD!$Y$3:$Y$5001,BD!$B$3:$B$5001,O$241,BD!$A$3:$A$5001,_xlfn.MAXIFS(BD!$A$3:$A$5001,BD!$B$3:$B$5001,O$241,BD!$A$3:$A$5001,"&gt;="&amp;$C$7,BD!$A$3:$A$5001,"&lt;="&amp;$B253,BD!$Y$3:$Y$5001,"&lt;&gt;"))))</f>
        <v/>
      </c>
      <c r="P253" s="43" t="str">
        <f>IF(OR($B253="",$A253&gt;$B$9,P$241=""),"",IF(COUNTIFS(BD!$B$3:$B$5001,P$241,BD!$A$3:$A$5001,"&gt;="&amp;$C$7,BD!$A$3:$A$5001,"&lt;="&amp;$B253,BD!$Y$3:$Y$5001,"&lt;&gt;")=0,"",SUMIFS(BD!$Y$3:$Y$5001,BD!$B$3:$B$5001,P$241,BD!$A$3:$A$5001,_xlfn.MAXIFS(BD!$A$3:$A$5001,BD!$B$3:$B$5001,P$241,BD!$A$3:$A$5001,"&gt;="&amp;$C$7,BD!$A$3:$A$5001,"&lt;="&amp;$B253,BD!$Y$3:$Y$5001,"&lt;&gt;"))))</f>
        <v/>
      </c>
      <c r="Q253" s="43" t="str">
        <f>IF(OR($B253="",$A253&gt;$B$9,Q$241=""),"",IF(COUNTIFS(BD!$B$3:$B$5001,Q$241,BD!$A$3:$A$5001,"&gt;="&amp;$C$7,BD!$A$3:$A$5001,"&lt;="&amp;$B253,BD!$Y$3:$Y$5001,"&lt;&gt;")=0,"",SUMIFS(BD!$Y$3:$Y$5001,BD!$B$3:$B$5001,Q$241,BD!$A$3:$A$5001,_xlfn.MAXIFS(BD!$A$3:$A$5001,BD!$B$3:$B$5001,Q$241,BD!$A$3:$A$5001,"&gt;="&amp;$C$7,BD!$A$3:$A$5001,"&lt;="&amp;$B253,BD!$Y$3:$Y$5001,"&lt;&gt;"))))</f>
        <v/>
      </c>
      <c r="R253" s="43" t="str">
        <f>IF(OR($B253="",$A253&gt;$B$9,R$241=""),"",IF(COUNTIFS(BD!$B$3:$B$5001,R$241,BD!$A$3:$A$5001,"&gt;="&amp;$C$7,BD!$A$3:$A$5001,"&lt;="&amp;$B253,BD!$Y$3:$Y$5001,"&lt;&gt;")=0,"",SUMIFS(BD!$Y$3:$Y$5001,BD!$B$3:$B$5001,R$241,BD!$A$3:$A$5001,_xlfn.MAXIFS(BD!$A$3:$A$5001,BD!$B$3:$B$5001,R$241,BD!$A$3:$A$5001,"&gt;="&amp;$C$7,BD!$A$3:$A$5001,"&lt;="&amp;$B253,BD!$Y$3:$Y$5001,"&lt;&gt;"))))</f>
        <v/>
      </c>
      <c r="S253" s="43" t="str">
        <f>IF(OR($B253="",$A253&gt;$B$9,S$241=""),"",IF(COUNTIFS(BD!$B$3:$B$5001,S$241,BD!$A$3:$A$5001,"&gt;="&amp;$C$7,BD!$A$3:$A$5001,"&lt;="&amp;$B253,BD!$Y$3:$Y$5001,"&lt;&gt;")=0,"",SUMIFS(BD!$Y$3:$Y$5001,BD!$B$3:$B$5001,S$241,BD!$A$3:$A$5001,_xlfn.MAXIFS(BD!$A$3:$A$5001,BD!$B$3:$B$5001,S$241,BD!$A$3:$A$5001,"&gt;="&amp;$C$7,BD!$A$3:$A$5001,"&lt;="&amp;$B253,BD!$Y$3:$Y$5001,"&lt;&gt;"))))</f>
        <v/>
      </c>
      <c r="T253" s="43" t="str">
        <f>IF(OR($B253="",$A253&gt;$B$9,T$241=""),"",IF(COUNTIFS(BD!$B$3:$B$5001,T$241,BD!$A$3:$A$5001,"&gt;="&amp;$C$7,BD!$A$3:$A$5001,"&lt;="&amp;$B253,BD!$Y$3:$Y$5001,"&lt;&gt;")=0,"",SUMIFS(BD!$Y$3:$Y$5001,BD!$B$3:$B$5001,T$241,BD!$A$3:$A$5001,_xlfn.MAXIFS(BD!$A$3:$A$5001,BD!$B$3:$B$5001,T$241,BD!$A$3:$A$5001,"&gt;="&amp;$C$7,BD!$A$3:$A$5001,"&lt;="&amp;$B253,BD!$Y$3:$Y$5001,"&lt;&gt;"))))</f>
        <v/>
      </c>
      <c r="U253" s="43" t="str">
        <f>IF(OR($B253="",$A253&gt;$B$9,U$241=""),"",IF(COUNTIFS(BD!$B$3:$B$5001,U$241,BD!$A$3:$A$5001,"&gt;="&amp;$C$7,BD!$A$3:$A$5001,"&lt;="&amp;$B253,BD!$Y$3:$Y$5001,"&lt;&gt;")=0,"",SUMIFS(BD!$Y$3:$Y$5001,BD!$B$3:$B$5001,U$241,BD!$A$3:$A$5001,_xlfn.MAXIFS(BD!$A$3:$A$5001,BD!$B$3:$B$5001,U$241,BD!$A$3:$A$5001,"&gt;="&amp;$C$7,BD!$A$3:$A$5001,"&lt;="&amp;$B253,BD!$Y$3:$Y$5001,"&lt;&gt;"))))</f>
        <v/>
      </c>
      <c r="V253" s="43" t="str">
        <f>IF(OR($B253="",$A253&gt;$B$9,V$241=""),"",IF(COUNTIFS(BD!$B$3:$B$5001,V$241,BD!$A$3:$A$5001,"&gt;="&amp;$C$7,BD!$A$3:$A$5001,"&lt;="&amp;$B253,BD!$Y$3:$Y$5001,"&lt;&gt;")=0,"",SUMIFS(BD!$Y$3:$Y$5001,BD!$B$3:$B$5001,V$241,BD!$A$3:$A$5001,_xlfn.MAXIFS(BD!$A$3:$A$5001,BD!$B$3:$B$5001,V$241,BD!$A$3:$A$5001,"&gt;="&amp;$C$7,BD!$A$3:$A$5001,"&lt;="&amp;$B253,BD!$Y$3:$Y$5001,"&lt;&gt;"))))</f>
        <v/>
      </c>
    </row>
    <row r="254">
      <c r="A254" s="38">
        <v>13</v>
      </c>
      <c r="B254" s="42">
        <f>$B$24</f>
        <v>46308</v>
      </c>
      <c r="C254" s="43" t="str">
        <f>IF(OR($B254="",$A254&gt;$B$9,C$241=""),"",IF(COUNTIFS(BD!$B$3:$B$5001,C$241,BD!$A$3:$A$5001,"&gt;="&amp;$C$7,BD!$A$3:$A$5001,"&lt;="&amp;$B254,BD!$Y$3:$Y$5001,"&lt;&gt;")=0,"",SUMIFS(BD!$Y$3:$Y$5001,BD!$B$3:$B$5001,C$241,BD!$A$3:$A$5001,_xlfn.MAXIFS(BD!$A$3:$A$5001,BD!$B$3:$B$5001,C$241,BD!$A$3:$A$5001,"&gt;="&amp;$C$7,BD!$A$3:$A$5001,"&lt;="&amp;$B254,BD!$Y$3:$Y$5001,"&lt;&gt;"))))</f>
        <v/>
      </c>
      <c r="D254" s="43" t="str">
        <f>IF(OR($B254="",$A254&gt;$B$9,D$241=""),"",IF(COUNTIFS(BD!$B$3:$B$5001,D$241,BD!$A$3:$A$5001,"&gt;="&amp;$C$7,BD!$A$3:$A$5001,"&lt;="&amp;$B254,BD!$Y$3:$Y$5001,"&lt;&gt;")=0,"",SUMIFS(BD!$Y$3:$Y$5001,BD!$B$3:$B$5001,D$241,BD!$A$3:$A$5001,_xlfn.MAXIFS(BD!$A$3:$A$5001,BD!$B$3:$B$5001,D$241,BD!$A$3:$A$5001,"&gt;="&amp;$C$7,BD!$A$3:$A$5001,"&lt;="&amp;$B254,BD!$Y$3:$Y$5001,"&lt;&gt;"))))</f>
        <v/>
      </c>
      <c r="E254" s="43" t="str">
        <f>IF(OR($B254="",$A254&gt;$B$9,E$241=""),"",IF(COUNTIFS(BD!$B$3:$B$5001,E$241,BD!$A$3:$A$5001,"&gt;="&amp;$C$7,BD!$A$3:$A$5001,"&lt;="&amp;$B254,BD!$Y$3:$Y$5001,"&lt;&gt;")=0,"",SUMIFS(BD!$Y$3:$Y$5001,BD!$B$3:$B$5001,E$241,BD!$A$3:$A$5001,_xlfn.MAXIFS(BD!$A$3:$A$5001,BD!$B$3:$B$5001,E$241,BD!$A$3:$A$5001,"&gt;="&amp;$C$7,BD!$A$3:$A$5001,"&lt;="&amp;$B254,BD!$Y$3:$Y$5001,"&lt;&gt;"))))</f>
        <v/>
      </c>
      <c r="F254" s="43" t="str">
        <f>IF(OR($B254="",$A254&gt;$B$9,F$241=""),"",IF(COUNTIFS(BD!$B$3:$B$5001,F$241,BD!$A$3:$A$5001,"&gt;="&amp;$C$7,BD!$A$3:$A$5001,"&lt;="&amp;$B254,BD!$Y$3:$Y$5001,"&lt;&gt;")=0,"",SUMIFS(BD!$Y$3:$Y$5001,BD!$B$3:$B$5001,F$241,BD!$A$3:$A$5001,_xlfn.MAXIFS(BD!$A$3:$A$5001,BD!$B$3:$B$5001,F$241,BD!$A$3:$A$5001,"&gt;="&amp;$C$7,BD!$A$3:$A$5001,"&lt;="&amp;$B254,BD!$Y$3:$Y$5001,"&lt;&gt;"))))</f>
        <v/>
      </c>
      <c r="G254" s="43" t="str">
        <f>IF(OR($B254="",$A254&gt;$B$9,G$241=""),"",IF(COUNTIFS(BD!$B$3:$B$5001,G$241,BD!$A$3:$A$5001,"&gt;="&amp;$C$7,BD!$A$3:$A$5001,"&lt;="&amp;$B254,BD!$Y$3:$Y$5001,"&lt;&gt;")=0,"",SUMIFS(BD!$Y$3:$Y$5001,BD!$B$3:$B$5001,G$241,BD!$A$3:$A$5001,_xlfn.MAXIFS(BD!$A$3:$A$5001,BD!$B$3:$B$5001,G$241,BD!$A$3:$A$5001,"&gt;="&amp;$C$7,BD!$A$3:$A$5001,"&lt;="&amp;$B254,BD!$Y$3:$Y$5001,"&lt;&gt;"))))</f>
        <v/>
      </c>
      <c r="H254" s="43" t="str">
        <f>IF(OR($B254="",$A254&gt;$B$9,H$241=""),"",IF(COUNTIFS(BD!$B$3:$B$5001,H$241,BD!$A$3:$A$5001,"&gt;="&amp;$C$7,BD!$A$3:$A$5001,"&lt;="&amp;$B254,BD!$Y$3:$Y$5001,"&lt;&gt;")=0,"",SUMIFS(BD!$Y$3:$Y$5001,BD!$B$3:$B$5001,H$241,BD!$A$3:$A$5001,_xlfn.MAXIFS(BD!$A$3:$A$5001,BD!$B$3:$B$5001,H$241,BD!$A$3:$A$5001,"&gt;="&amp;$C$7,BD!$A$3:$A$5001,"&lt;="&amp;$B254,BD!$Y$3:$Y$5001,"&lt;&gt;"))))</f>
        <v/>
      </c>
      <c r="I254" s="43" t="str">
        <f>IF(OR($B254="",$A254&gt;$B$9,I$241=""),"",IF(COUNTIFS(BD!$B$3:$B$5001,I$241,BD!$A$3:$A$5001,"&gt;="&amp;$C$7,BD!$A$3:$A$5001,"&lt;="&amp;$B254,BD!$Y$3:$Y$5001,"&lt;&gt;")=0,"",SUMIFS(BD!$Y$3:$Y$5001,BD!$B$3:$B$5001,I$241,BD!$A$3:$A$5001,_xlfn.MAXIFS(BD!$A$3:$A$5001,BD!$B$3:$B$5001,I$241,BD!$A$3:$A$5001,"&gt;="&amp;$C$7,BD!$A$3:$A$5001,"&lt;="&amp;$B254,BD!$Y$3:$Y$5001,"&lt;&gt;"))))</f>
        <v/>
      </c>
      <c r="J254" s="43" t="str">
        <f>IF(OR($B254="",$A254&gt;$B$9,J$241=""),"",IF(COUNTIFS(BD!$B$3:$B$5001,J$241,BD!$A$3:$A$5001,"&gt;="&amp;$C$7,BD!$A$3:$A$5001,"&lt;="&amp;$B254,BD!$Y$3:$Y$5001,"&lt;&gt;")=0,"",SUMIFS(BD!$Y$3:$Y$5001,BD!$B$3:$B$5001,J$241,BD!$A$3:$A$5001,_xlfn.MAXIFS(BD!$A$3:$A$5001,BD!$B$3:$B$5001,J$241,BD!$A$3:$A$5001,"&gt;="&amp;$C$7,BD!$A$3:$A$5001,"&lt;="&amp;$B254,BD!$Y$3:$Y$5001,"&lt;&gt;"))))</f>
        <v/>
      </c>
      <c r="K254" s="43" t="str">
        <f>IF(OR($B254="",$A254&gt;$B$9,K$241=""),"",IF(COUNTIFS(BD!$B$3:$B$5001,K$241,BD!$A$3:$A$5001,"&gt;="&amp;$C$7,BD!$A$3:$A$5001,"&lt;="&amp;$B254,BD!$Y$3:$Y$5001,"&lt;&gt;")=0,"",SUMIFS(BD!$Y$3:$Y$5001,BD!$B$3:$B$5001,K$241,BD!$A$3:$A$5001,_xlfn.MAXIFS(BD!$A$3:$A$5001,BD!$B$3:$B$5001,K$241,BD!$A$3:$A$5001,"&gt;="&amp;$C$7,BD!$A$3:$A$5001,"&lt;="&amp;$B254,BD!$Y$3:$Y$5001,"&lt;&gt;"))))</f>
        <v/>
      </c>
      <c r="L254" s="43" t="str">
        <f>IF(OR($B254="",$A254&gt;$B$9,L$241=""),"",IF(COUNTIFS(BD!$B$3:$B$5001,L$241,BD!$A$3:$A$5001,"&gt;="&amp;$C$7,BD!$A$3:$A$5001,"&lt;="&amp;$B254,BD!$Y$3:$Y$5001,"&lt;&gt;")=0,"",SUMIFS(BD!$Y$3:$Y$5001,BD!$B$3:$B$5001,L$241,BD!$A$3:$A$5001,_xlfn.MAXIFS(BD!$A$3:$A$5001,BD!$B$3:$B$5001,L$241,BD!$A$3:$A$5001,"&gt;="&amp;$C$7,BD!$A$3:$A$5001,"&lt;="&amp;$B254,BD!$Y$3:$Y$5001,"&lt;&gt;"))))</f>
        <v/>
      </c>
      <c r="M254" s="43" t="str">
        <f>IF(OR($B254="",$A254&gt;$B$9,M$241=""),"",IF(COUNTIFS(BD!$B$3:$B$5001,M$241,BD!$A$3:$A$5001,"&gt;="&amp;$C$7,BD!$A$3:$A$5001,"&lt;="&amp;$B254,BD!$Y$3:$Y$5001,"&lt;&gt;")=0,"",SUMIFS(BD!$Y$3:$Y$5001,BD!$B$3:$B$5001,M$241,BD!$A$3:$A$5001,_xlfn.MAXIFS(BD!$A$3:$A$5001,BD!$B$3:$B$5001,M$241,BD!$A$3:$A$5001,"&gt;="&amp;$C$7,BD!$A$3:$A$5001,"&lt;="&amp;$B254,BD!$Y$3:$Y$5001,"&lt;&gt;"))))</f>
        <v/>
      </c>
      <c r="N254" s="43" t="str">
        <f>IF(OR($B254="",$A254&gt;$B$9,N$241=""),"",IF(COUNTIFS(BD!$B$3:$B$5001,N$241,BD!$A$3:$A$5001,"&gt;="&amp;$C$7,BD!$A$3:$A$5001,"&lt;="&amp;$B254,BD!$Y$3:$Y$5001,"&lt;&gt;")=0,"",SUMIFS(BD!$Y$3:$Y$5001,BD!$B$3:$B$5001,N$241,BD!$A$3:$A$5001,_xlfn.MAXIFS(BD!$A$3:$A$5001,BD!$B$3:$B$5001,N$241,BD!$A$3:$A$5001,"&gt;="&amp;$C$7,BD!$A$3:$A$5001,"&lt;="&amp;$B254,BD!$Y$3:$Y$5001,"&lt;&gt;"))))</f>
        <v/>
      </c>
      <c r="O254" s="43" t="str">
        <f>IF(OR($B254="",$A254&gt;$B$9,O$241=""),"",IF(COUNTIFS(BD!$B$3:$B$5001,O$241,BD!$A$3:$A$5001,"&gt;="&amp;$C$7,BD!$A$3:$A$5001,"&lt;="&amp;$B254,BD!$Y$3:$Y$5001,"&lt;&gt;")=0,"",SUMIFS(BD!$Y$3:$Y$5001,BD!$B$3:$B$5001,O$241,BD!$A$3:$A$5001,_xlfn.MAXIFS(BD!$A$3:$A$5001,BD!$B$3:$B$5001,O$241,BD!$A$3:$A$5001,"&gt;="&amp;$C$7,BD!$A$3:$A$5001,"&lt;="&amp;$B254,BD!$Y$3:$Y$5001,"&lt;&gt;"))))</f>
        <v/>
      </c>
      <c r="P254" s="43" t="str">
        <f>IF(OR($B254="",$A254&gt;$B$9,P$241=""),"",IF(COUNTIFS(BD!$B$3:$B$5001,P$241,BD!$A$3:$A$5001,"&gt;="&amp;$C$7,BD!$A$3:$A$5001,"&lt;="&amp;$B254,BD!$Y$3:$Y$5001,"&lt;&gt;")=0,"",SUMIFS(BD!$Y$3:$Y$5001,BD!$B$3:$B$5001,P$241,BD!$A$3:$A$5001,_xlfn.MAXIFS(BD!$A$3:$A$5001,BD!$B$3:$B$5001,P$241,BD!$A$3:$A$5001,"&gt;="&amp;$C$7,BD!$A$3:$A$5001,"&lt;="&amp;$B254,BD!$Y$3:$Y$5001,"&lt;&gt;"))))</f>
        <v/>
      </c>
      <c r="Q254" s="43" t="str">
        <f>IF(OR($B254="",$A254&gt;$B$9,Q$241=""),"",IF(COUNTIFS(BD!$B$3:$B$5001,Q$241,BD!$A$3:$A$5001,"&gt;="&amp;$C$7,BD!$A$3:$A$5001,"&lt;="&amp;$B254,BD!$Y$3:$Y$5001,"&lt;&gt;")=0,"",SUMIFS(BD!$Y$3:$Y$5001,BD!$B$3:$B$5001,Q$241,BD!$A$3:$A$5001,_xlfn.MAXIFS(BD!$A$3:$A$5001,BD!$B$3:$B$5001,Q$241,BD!$A$3:$A$5001,"&gt;="&amp;$C$7,BD!$A$3:$A$5001,"&lt;="&amp;$B254,BD!$Y$3:$Y$5001,"&lt;&gt;"))))</f>
        <v/>
      </c>
      <c r="R254" s="43" t="str">
        <f>IF(OR($B254="",$A254&gt;$B$9,R$241=""),"",IF(COUNTIFS(BD!$B$3:$B$5001,R$241,BD!$A$3:$A$5001,"&gt;="&amp;$C$7,BD!$A$3:$A$5001,"&lt;="&amp;$B254,BD!$Y$3:$Y$5001,"&lt;&gt;")=0,"",SUMIFS(BD!$Y$3:$Y$5001,BD!$B$3:$B$5001,R$241,BD!$A$3:$A$5001,_xlfn.MAXIFS(BD!$A$3:$A$5001,BD!$B$3:$B$5001,R$241,BD!$A$3:$A$5001,"&gt;="&amp;$C$7,BD!$A$3:$A$5001,"&lt;="&amp;$B254,BD!$Y$3:$Y$5001,"&lt;&gt;"))))</f>
        <v/>
      </c>
      <c r="S254" s="43" t="str">
        <f>IF(OR($B254="",$A254&gt;$B$9,S$241=""),"",IF(COUNTIFS(BD!$B$3:$B$5001,S$241,BD!$A$3:$A$5001,"&gt;="&amp;$C$7,BD!$A$3:$A$5001,"&lt;="&amp;$B254,BD!$Y$3:$Y$5001,"&lt;&gt;")=0,"",SUMIFS(BD!$Y$3:$Y$5001,BD!$B$3:$B$5001,S$241,BD!$A$3:$A$5001,_xlfn.MAXIFS(BD!$A$3:$A$5001,BD!$B$3:$B$5001,S$241,BD!$A$3:$A$5001,"&gt;="&amp;$C$7,BD!$A$3:$A$5001,"&lt;="&amp;$B254,BD!$Y$3:$Y$5001,"&lt;&gt;"))))</f>
        <v/>
      </c>
      <c r="T254" s="43" t="str">
        <f>IF(OR($B254="",$A254&gt;$B$9,T$241=""),"",IF(COUNTIFS(BD!$B$3:$B$5001,T$241,BD!$A$3:$A$5001,"&gt;="&amp;$C$7,BD!$A$3:$A$5001,"&lt;="&amp;$B254,BD!$Y$3:$Y$5001,"&lt;&gt;")=0,"",SUMIFS(BD!$Y$3:$Y$5001,BD!$B$3:$B$5001,T$241,BD!$A$3:$A$5001,_xlfn.MAXIFS(BD!$A$3:$A$5001,BD!$B$3:$B$5001,T$241,BD!$A$3:$A$5001,"&gt;="&amp;$C$7,BD!$A$3:$A$5001,"&lt;="&amp;$B254,BD!$Y$3:$Y$5001,"&lt;&gt;"))))</f>
        <v/>
      </c>
      <c r="U254" s="43" t="str">
        <f>IF(OR($B254="",$A254&gt;$B$9,U$241=""),"",IF(COUNTIFS(BD!$B$3:$B$5001,U$241,BD!$A$3:$A$5001,"&gt;="&amp;$C$7,BD!$A$3:$A$5001,"&lt;="&amp;$B254,BD!$Y$3:$Y$5001,"&lt;&gt;")=0,"",SUMIFS(BD!$Y$3:$Y$5001,BD!$B$3:$B$5001,U$241,BD!$A$3:$A$5001,_xlfn.MAXIFS(BD!$A$3:$A$5001,BD!$B$3:$B$5001,U$241,BD!$A$3:$A$5001,"&gt;="&amp;$C$7,BD!$A$3:$A$5001,"&lt;="&amp;$B254,BD!$Y$3:$Y$5001,"&lt;&gt;"))))</f>
        <v/>
      </c>
      <c r="V254" s="43" t="str">
        <f>IF(OR($B254="",$A254&gt;$B$9,V$241=""),"",IF(COUNTIFS(BD!$B$3:$B$5001,V$241,BD!$A$3:$A$5001,"&gt;="&amp;$C$7,BD!$A$3:$A$5001,"&lt;="&amp;$B254,BD!$Y$3:$Y$5001,"&lt;&gt;")=0,"",SUMIFS(BD!$Y$3:$Y$5001,BD!$B$3:$B$5001,V$241,BD!$A$3:$A$5001,_xlfn.MAXIFS(BD!$A$3:$A$5001,BD!$B$3:$B$5001,V$241,BD!$A$3:$A$5001,"&gt;="&amp;$C$7,BD!$A$3:$A$5001,"&lt;="&amp;$B254,BD!$Y$3:$Y$5001,"&lt;&gt;"))))</f>
        <v/>
      </c>
    </row>
    <row r="255">
      <c r="A255" s="38">
        <v>14</v>
      </c>
      <c r="B255" s="42">
        <f>$B$25</f>
        <v>46309</v>
      </c>
      <c r="C255" s="43" t="str">
        <f>IF(OR($B255="",$A255&gt;$B$9,C$241=""),"",IF(COUNTIFS(BD!$B$3:$B$5001,C$241,BD!$A$3:$A$5001,"&gt;="&amp;$C$7,BD!$A$3:$A$5001,"&lt;="&amp;$B255,BD!$Y$3:$Y$5001,"&lt;&gt;")=0,"",SUMIFS(BD!$Y$3:$Y$5001,BD!$B$3:$B$5001,C$241,BD!$A$3:$A$5001,_xlfn.MAXIFS(BD!$A$3:$A$5001,BD!$B$3:$B$5001,C$241,BD!$A$3:$A$5001,"&gt;="&amp;$C$7,BD!$A$3:$A$5001,"&lt;="&amp;$B255,BD!$Y$3:$Y$5001,"&lt;&gt;"))))</f>
        <v/>
      </c>
      <c r="D255" s="43" t="str">
        <f>IF(OR($B255="",$A255&gt;$B$9,D$241=""),"",IF(COUNTIFS(BD!$B$3:$B$5001,D$241,BD!$A$3:$A$5001,"&gt;="&amp;$C$7,BD!$A$3:$A$5001,"&lt;="&amp;$B255,BD!$Y$3:$Y$5001,"&lt;&gt;")=0,"",SUMIFS(BD!$Y$3:$Y$5001,BD!$B$3:$B$5001,D$241,BD!$A$3:$A$5001,_xlfn.MAXIFS(BD!$A$3:$A$5001,BD!$B$3:$B$5001,D$241,BD!$A$3:$A$5001,"&gt;="&amp;$C$7,BD!$A$3:$A$5001,"&lt;="&amp;$B255,BD!$Y$3:$Y$5001,"&lt;&gt;"))))</f>
        <v/>
      </c>
      <c r="E255" s="43" t="str">
        <f>IF(OR($B255="",$A255&gt;$B$9,E$241=""),"",IF(COUNTIFS(BD!$B$3:$B$5001,E$241,BD!$A$3:$A$5001,"&gt;="&amp;$C$7,BD!$A$3:$A$5001,"&lt;="&amp;$B255,BD!$Y$3:$Y$5001,"&lt;&gt;")=0,"",SUMIFS(BD!$Y$3:$Y$5001,BD!$B$3:$B$5001,E$241,BD!$A$3:$A$5001,_xlfn.MAXIFS(BD!$A$3:$A$5001,BD!$B$3:$B$5001,E$241,BD!$A$3:$A$5001,"&gt;="&amp;$C$7,BD!$A$3:$A$5001,"&lt;="&amp;$B255,BD!$Y$3:$Y$5001,"&lt;&gt;"))))</f>
        <v/>
      </c>
      <c r="F255" s="43" t="str">
        <f>IF(OR($B255="",$A255&gt;$B$9,F$241=""),"",IF(COUNTIFS(BD!$B$3:$B$5001,F$241,BD!$A$3:$A$5001,"&gt;="&amp;$C$7,BD!$A$3:$A$5001,"&lt;="&amp;$B255,BD!$Y$3:$Y$5001,"&lt;&gt;")=0,"",SUMIFS(BD!$Y$3:$Y$5001,BD!$B$3:$B$5001,F$241,BD!$A$3:$A$5001,_xlfn.MAXIFS(BD!$A$3:$A$5001,BD!$B$3:$B$5001,F$241,BD!$A$3:$A$5001,"&gt;="&amp;$C$7,BD!$A$3:$A$5001,"&lt;="&amp;$B255,BD!$Y$3:$Y$5001,"&lt;&gt;"))))</f>
        <v/>
      </c>
      <c r="G255" s="43" t="str">
        <f>IF(OR($B255="",$A255&gt;$B$9,G$241=""),"",IF(COUNTIFS(BD!$B$3:$B$5001,G$241,BD!$A$3:$A$5001,"&gt;="&amp;$C$7,BD!$A$3:$A$5001,"&lt;="&amp;$B255,BD!$Y$3:$Y$5001,"&lt;&gt;")=0,"",SUMIFS(BD!$Y$3:$Y$5001,BD!$B$3:$B$5001,G$241,BD!$A$3:$A$5001,_xlfn.MAXIFS(BD!$A$3:$A$5001,BD!$B$3:$B$5001,G$241,BD!$A$3:$A$5001,"&gt;="&amp;$C$7,BD!$A$3:$A$5001,"&lt;="&amp;$B255,BD!$Y$3:$Y$5001,"&lt;&gt;"))))</f>
        <v/>
      </c>
      <c r="H255" s="43" t="str">
        <f>IF(OR($B255="",$A255&gt;$B$9,H$241=""),"",IF(COUNTIFS(BD!$B$3:$B$5001,H$241,BD!$A$3:$A$5001,"&gt;="&amp;$C$7,BD!$A$3:$A$5001,"&lt;="&amp;$B255,BD!$Y$3:$Y$5001,"&lt;&gt;")=0,"",SUMIFS(BD!$Y$3:$Y$5001,BD!$B$3:$B$5001,H$241,BD!$A$3:$A$5001,_xlfn.MAXIFS(BD!$A$3:$A$5001,BD!$B$3:$B$5001,H$241,BD!$A$3:$A$5001,"&gt;="&amp;$C$7,BD!$A$3:$A$5001,"&lt;="&amp;$B255,BD!$Y$3:$Y$5001,"&lt;&gt;"))))</f>
        <v/>
      </c>
      <c r="I255" s="43" t="str">
        <f>IF(OR($B255="",$A255&gt;$B$9,I$241=""),"",IF(COUNTIFS(BD!$B$3:$B$5001,I$241,BD!$A$3:$A$5001,"&gt;="&amp;$C$7,BD!$A$3:$A$5001,"&lt;="&amp;$B255,BD!$Y$3:$Y$5001,"&lt;&gt;")=0,"",SUMIFS(BD!$Y$3:$Y$5001,BD!$B$3:$B$5001,I$241,BD!$A$3:$A$5001,_xlfn.MAXIFS(BD!$A$3:$A$5001,BD!$B$3:$B$5001,I$241,BD!$A$3:$A$5001,"&gt;="&amp;$C$7,BD!$A$3:$A$5001,"&lt;="&amp;$B255,BD!$Y$3:$Y$5001,"&lt;&gt;"))))</f>
        <v/>
      </c>
      <c r="J255" s="43" t="str">
        <f>IF(OR($B255="",$A255&gt;$B$9,J$241=""),"",IF(COUNTIFS(BD!$B$3:$B$5001,J$241,BD!$A$3:$A$5001,"&gt;="&amp;$C$7,BD!$A$3:$A$5001,"&lt;="&amp;$B255,BD!$Y$3:$Y$5001,"&lt;&gt;")=0,"",SUMIFS(BD!$Y$3:$Y$5001,BD!$B$3:$B$5001,J$241,BD!$A$3:$A$5001,_xlfn.MAXIFS(BD!$A$3:$A$5001,BD!$B$3:$B$5001,J$241,BD!$A$3:$A$5001,"&gt;="&amp;$C$7,BD!$A$3:$A$5001,"&lt;="&amp;$B255,BD!$Y$3:$Y$5001,"&lt;&gt;"))))</f>
        <v/>
      </c>
      <c r="K255" s="43" t="str">
        <f>IF(OR($B255="",$A255&gt;$B$9,K$241=""),"",IF(COUNTIFS(BD!$B$3:$B$5001,K$241,BD!$A$3:$A$5001,"&gt;="&amp;$C$7,BD!$A$3:$A$5001,"&lt;="&amp;$B255,BD!$Y$3:$Y$5001,"&lt;&gt;")=0,"",SUMIFS(BD!$Y$3:$Y$5001,BD!$B$3:$B$5001,K$241,BD!$A$3:$A$5001,_xlfn.MAXIFS(BD!$A$3:$A$5001,BD!$B$3:$B$5001,K$241,BD!$A$3:$A$5001,"&gt;="&amp;$C$7,BD!$A$3:$A$5001,"&lt;="&amp;$B255,BD!$Y$3:$Y$5001,"&lt;&gt;"))))</f>
        <v/>
      </c>
      <c r="L255" s="43" t="str">
        <f>IF(OR($B255="",$A255&gt;$B$9,L$241=""),"",IF(COUNTIFS(BD!$B$3:$B$5001,L$241,BD!$A$3:$A$5001,"&gt;="&amp;$C$7,BD!$A$3:$A$5001,"&lt;="&amp;$B255,BD!$Y$3:$Y$5001,"&lt;&gt;")=0,"",SUMIFS(BD!$Y$3:$Y$5001,BD!$B$3:$B$5001,L$241,BD!$A$3:$A$5001,_xlfn.MAXIFS(BD!$A$3:$A$5001,BD!$B$3:$B$5001,L$241,BD!$A$3:$A$5001,"&gt;="&amp;$C$7,BD!$A$3:$A$5001,"&lt;="&amp;$B255,BD!$Y$3:$Y$5001,"&lt;&gt;"))))</f>
        <v/>
      </c>
      <c r="M255" s="43" t="str">
        <f>IF(OR($B255="",$A255&gt;$B$9,M$241=""),"",IF(COUNTIFS(BD!$B$3:$B$5001,M$241,BD!$A$3:$A$5001,"&gt;="&amp;$C$7,BD!$A$3:$A$5001,"&lt;="&amp;$B255,BD!$Y$3:$Y$5001,"&lt;&gt;")=0,"",SUMIFS(BD!$Y$3:$Y$5001,BD!$B$3:$B$5001,M$241,BD!$A$3:$A$5001,_xlfn.MAXIFS(BD!$A$3:$A$5001,BD!$B$3:$B$5001,M$241,BD!$A$3:$A$5001,"&gt;="&amp;$C$7,BD!$A$3:$A$5001,"&lt;="&amp;$B255,BD!$Y$3:$Y$5001,"&lt;&gt;"))))</f>
        <v/>
      </c>
      <c r="N255" s="43" t="str">
        <f>IF(OR($B255="",$A255&gt;$B$9,N$241=""),"",IF(COUNTIFS(BD!$B$3:$B$5001,N$241,BD!$A$3:$A$5001,"&gt;="&amp;$C$7,BD!$A$3:$A$5001,"&lt;="&amp;$B255,BD!$Y$3:$Y$5001,"&lt;&gt;")=0,"",SUMIFS(BD!$Y$3:$Y$5001,BD!$B$3:$B$5001,N$241,BD!$A$3:$A$5001,_xlfn.MAXIFS(BD!$A$3:$A$5001,BD!$B$3:$B$5001,N$241,BD!$A$3:$A$5001,"&gt;="&amp;$C$7,BD!$A$3:$A$5001,"&lt;="&amp;$B255,BD!$Y$3:$Y$5001,"&lt;&gt;"))))</f>
        <v/>
      </c>
      <c r="O255" s="43" t="str">
        <f>IF(OR($B255="",$A255&gt;$B$9,O$241=""),"",IF(COUNTIFS(BD!$B$3:$B$5001,O$241,BD!$A$3:$A$5001,"&gt;="&amp;$C$7,BD!$A$3:$A$5001,"&lt;="&amp;$B255,BD!$Y$3:$Y$5001,"&lt;&gt;")=0,"",SUMIFS(BD!$Y$3:$Y$5001,BD!$B$3:$B$5001,O$241,BD!$A$3:$A$5001,_xlfn.MAXIFS(BD!$A$3:$A$5001,BD!$B$3:$B$5001,O$241,BD!$A$3:$A$5001,"&gt;="&amp;$C$7,BD!$A$3:$A$5001,"&lt;="&amp;$B255,BD!$Y$3:$Y$5001,"&lt;&gt;"))))</f>
        <v/>
      </c>
      <c r="P255" s="43" t="str">
        <f>IF(OR($B255="",$A255&gt;$B$9,P$241=""),"",IF(COUNTIFS(BD!$B$3:$B$5001,P$241,BD!$A$3:$A$5001,"&gt;="&amp;$C$7,BD!$A$3:$A$5001,"&lt;="&amp;$B255,BD!$Y$3:$Y$5001,"&lt;&gt;")=0,"",SUMIFS(BD!$Y$3:$Y$5001,BD!$B$3:$B$5001,P$241,BD!$A$3:$A$5001,_xlfn.MAXIFS(BD!$A$3:$A$5001,BD!$B$3:$B$5001,P$241,BD!$A$3:$A$5001,"&gt;="&amp;$C$7,BD!$A$3:$A$5001,"&lt;="&amp;$B255,BD!$Y$3:$Y$5001,"&lt;&gt;"))))</f>
        <v/>
      </c>
      <c r="Q255" s="43" t="str">
        <f>IF(OR($B255="",$A255&gt;$B$9,Q$241=""),"",IF(COUNTIFS(BD!$B$3:$B$5001,Q$241,BD!$A$3:$A$5001,"&gt;="&amp;$C$7,BD!$A$3:$A$5001,"&lt;="&amp;$B255,BD!$Y$3:$Y$5001,"&lt;&gt;")=0,"",SUMIFS(BD!$Y$3:$Y$5001,BD!$B$3:$B$5001,Q$241,BD!$A$3:$A$5001,_xlfn.MAXIFS(BD!$A$3:$A$5001,BD!$B$3:$B$5001,Q$241,BD!$A$3:$A$5001,"&gt;="&amp;$C$7,BD!$A$3:$A$5001,"&lt;="&amp;$B255,BD!$Y$3:$Y$5001,"&lt;&gt;"))))</f>
        <v/>
      </c>
      <c r="R255" s="43" t="str">
        <f>IF(OR($B255="",$A255&gt;$B$9,R$241=""),"",IF(COUNTIFS(BD!$B$3:$B$5001,R$241,BD!$A$3:$A$5001,"&gt;="&amp;$C$7,BD!$A$3:$A$5001,"&lt;="&amp;$B255,BD!$Y$3:$Y$5001,"&lt;&gt;")=0,"",SUMIFS(BD!$Y$3:$Y$5001,BD!$B$3:$B$5001,R$241,BD!$A$3:$A$5001,_xlfn.MAXIFS(BD!$A$3:$A$5001,BD!$B$3:$B$5001,R$241,BD!$A$3:$A$5001,"&gt;="&amp;$C$7,BD!$A$3:$A$5001,"&lt;="&amp;$B255,BD!$Y$3:$Y$5001,"&lt;&gt;"))))</f>
        <v/>
      </c>
      <c r="S255" s="43" t="str">
        <f>IF(OR($B255="",$A255&gt;$B$9,S$241=""),"",IF(COUNTIFS(BD!$B$3:$B$5001,S$241,BD!$A$3:$A$5001,"&gt;="&amp;$C$7,BD!$A$3:$A$5001,"&lt;="&amp;$B255,BD!$Y$3:$Y$5001,"&lt;&gt;")=0,"",SUMIFS(BD!$Y$3:$Y$5001,BD!$B$3:$B$5001,S$241,BD!$A$3:$A$5001,_xlfn.MAXIFS(BD!$A$3:$A$5001,BD!$B$3:$B$5001,S$241,BD!$A$3:$A$5001,"&gt;="&amp;$C$7,BD!$A$3:$A$5001,"&lt;="&amp;$B255,BD!$Y$3:$Y$5001,"&lt;&gt;"))))</f>
        <v/>
      </c>
      <c r="T255" s="43" t="str">
        <f>IF(OR($B255="",$A255&gt;$B$9,T$241=""),"",IF(COUNTIFS(BD!$B$3:$B$5001,T$241,BD!$A$3:$A$5001,"&gt;="&amp;$C$7,BD!$A$3:$A$5001,"&lt;="&amp;$B255,BD!$Y$3:$Y$5001,"&lt;&gt;")=0,"",SUMIFS(BD!$Y$3:$Y$5001,BD!$B$3:$B$5001,T$241,BD!$A$3:$A$5001,_xlfn.MAXIFS(BD!$A$3:$A$5001,BD!$B$3:$B$5001,T$241,BD!$A$3:$A$5001,"&gt;="&amp;$C$7,BD!$A$3:$A$5001,"&lt;="&amp;$B255,BD!$Y$3:$Y$5001,"&lt;&gt;"))))</f>
        <v/>
      </c>
      <c r="U255" s="43" t="str">
        <f>IF(OR($B255="",$A255&gt;$B$9,U$241=""),"",IF(COUNTIFS(BD!$B$3:$B$5001,U$241,BD!$A$3:$A$5001,"&gt;="&amp;$C$7,BD!$A$3:$A$5001,"&lt;="&amp;$B255,BD!$Y$3:$Y$5001,"&lt;&gt;")=0,"",SUMIFS(BD!$Y$3:$Y$5001,BD!$B$3:$B$5001,U$241,BD!$A$3:$A$5001,_xlfn.MAXIFS(BD!$A$3:$A$5001,BD!$B$3:$B$5001,U$241,BD!$A$3:$A$5001,"&gt;="&amp;$C$7,BD!$A$3:$A$5001,"&lt;="&amp;$B255,BD!$Y$3:$Y$5001,"&lt;&gt;"))))</f>
        <v/>
      </c>
      <c r="V255" s="43" t="str">
        <f>IF(OR($B255="",$A255&gt;$B$9,V$241=""),"",IF(COUNTIFS(BD!$B$3:$B$5001,V$241,BD!$A$3:$A$5001,"&gt;="&amp;$C$7,BD!$A$3:$A$5001,"&lt;="&amp;$B255,BD!$Y$3:$Y$5001,"&lt;&gt;")=0,"",SUMIFS(BD!$Y$3:$Y$5001,BD!$B$3:$B$5001,V$241,BD!$A$3:$A$5001,_xlfn.MAXIFS(BD!$A$3:$A$5001,BD!$B$3:$B$5001,V$241,BD!$A$3:$A$5001,"&gt;="&amp;$C$7,BD!$A$3:$A$5001,"&lt;="&amp;$B255,BD!$Y$3:$Y$5001,"&lt;&gt;"))))</f>
        <v/>
      </c>
    </row>
    <row r="256">
      <c r="A256" s="38">
        <v>15</v>
      </c>
      <c r="B256" s="42">
        <f>$B$26</f>
        <v>46310</v>
      </c>
      <c r="C256" s="43" t="str">
        <f>IF(OR($B256="",$A256&gt;$B$9,C$241=""),"",IF(COUNTIFS(BD!$B$3:$B$5001,C$241,BD!$A$3:$A$5001,"&gt;="&amp;$C$7,BD!$A$3:$A$5001,"&lt;="&amp;$B256,BD!$Y$3:$Y$5001,"&lt;&gt;")=0,"",SUMIFS(BD!$Y$3:$Y$5001,BD!$B$3:$B$5001,C$241,BD!$A$3:$A$5001,_xlfn.MAXIFS(BD!$A$3:$A$5001,BD!$B$3:$B$5001,C$241,BD!$A$3:$A$5001,"&gt;="&amp;$C$7,BD!$A$3:$A$5001,"&lt;="&amp;$B256,BD!$Y$3:$Y$5001,"&lt;&gt;"))))</f>
        <v/>
      </c>
      <c r="D256" s="43" t="str">
        <f>IF(OR($B256="",$A256&gt;$B$9,D$241=""),"",IF(COUNTIFS(BD!$B$3:$B$5001,D$241,BD!$A$3:$A$5001,"&gt;="&amp;$C$7,BD!$A$3:$A$5001,"&lt;="&amp;$B256,BD!$Y$3:$Y$5001,"&lt;&gt;")=0,"",SUMIFS(BD!$Y$3:$Y$5001,BD!$B$3:$B$5001,D$241,BD!$A$3:$A$5001,_xlfn.MAXIFS(BD!$A$3:$A$5001,BD!$B$3:$B$5001,D$241,BD!$A$3:$A$5001,"&gt;="&amp;$C$7,BD!$A$3:$A$5001,"&lt;="&amp;$B256,BD!$Y$3:$Y$5001,"&lt;&gt;"))))</f>
        <v/>
      </c>
      <c r="E256" s="43" t="str">
        <f>IF(OR($B256="",$A256&gt;$B$9,E$241=""),"",IF(COUNTIFS(BD!$B$3:$B$5001,E$241,BD!$A$3:$A$5001,"&gt;="&amp;$C$7,BD!$A$3:$A$5001,"&lt;="&amp;$B256,BD!$Y$3:$Y$5001,"&lt;&gt;")=0,"",SUMIFS(BD!$Y$3:$Y$5001,BD!$B$3:$B$5001,E$241,BD!$A$3:$A$5001,_xlfn.MAXIFS(BD!$A$3:$A$5001,BD!$B$3:$B$5001,E$241,BD!$A$3:$A$5001,"&gt;="&amp;$C$7,BD!$A$3:$A$5001,"&lt;="&amp;$B256,BD!$Y$3:$Y$5001,"&lt;&gt;"))))</f>
        <v/>
      </c>
      <c r="F256" s="43" t="str">
        <f>IF(OR($B256="",$A256&gt;$B$9,F$241=""),"",IF(COUNTIFS(BD!$B$3:$B$5001,F$241,BD!$A$3:$A$5001,"&gt;="&amp;$C$7,BD!$A$3:$A$5001,"&lt;="&amp;$B256,BD!$Y$3:$Y$5001,"&lt;&gt;")=0,"",SUMIFS(BD!$Y$3:$Y$5001,BD!$B$3:$B$5001,F$241,BD!$A$3:$A$5001,_xlfn.MAXIFS(BD!$A$3:$A$5001,BD!$B$3:$B$5001,F$241,BD!$A$3:$A$5001,"&gt;="&amp;$C$7,BD!$A$3:$A$5001,"&lt;="&amp;$B256,BD!$Y$3:$Y$5001,"&lt;&gt;"))))</f>
        <v/>
      </c>
      <c r="G256" s="43" t="str">
        <f>IF(OR($B256="",$A256&gt;$B$9,G$241=""),"",IF(COUNTIFS(BD!$B$3:$B$5001,G$241,BD!$A$3:$A$5001,"&gt;="&amp;$C$7,BD!$A$3:$A$5001,"&lt;="&amp;$B256,BD!$Y$3:$Y$5001,"&lt;&gt;")=0,"",SUMIFS(BD!$Y$3:$Y$5001,BD!$B$3:$B$5001,G$241,BD!$A$3:$A$5001,_xlfn.MAXIFS(BD!$A$3:$A$5001,BD!$B$3:$B$5001,G$241,BD!$A$3:$A$5001,"&gt;="&amp;$C$7,BD!$A$3:$A$5001,"&lt;="&amp;$B256,BD!$Y$3:$Y$5001,"&lt;&gt;"))))</f>
        <v/>
      </c>
      <c r="H256" s="43" t="str">
        <f>IF(OR($B256="",$A256&gt;$B$9,H$241=""),"",IF(COUNTIFS(BD!$B$3:$B$5001,H$241,BD!$A$3:$A$5001,"&gt;="&amp;$C$7,BD!$A$3:$A$5001,"&lt;="&amp;$B256,BD!$Y$3:$Y$5001,"&lt;&gt;")=0,"",SUMIFS(BD!$Y$3:$Y$5001,BD!$B$3:$B$5001,H$241,BD!$A$3:$A$5001,_xlfn.MAXIFS(BD!$A$3:$A$5001,BD!$B$3:$B$5001,H$241,BD!$A$3:$A$5001,"&gt;="&amp;$C$7,BD!$A$3:$A$5001,"&lt;="&amp;$B256,BD!$Y$3:$Y$5001,"&lt;&gt;"))))</f>
        <v/>
      </c>
      <c r="I256" s="43" t="str">
        <f>IF(OR($B256="",$A256&gt;$B$9,I$241=""),"",IF(COUNTIFS(BD!$B$3:$B$5001,I$241,BD!$A$3:$A$5001,"&gt;="&amp;$C$7,BD!$A$3:$A$5001,"&lt;="&amp;$B256,BD!$Y$3:$Y$5001,"&lt;&gt;")=0,"",SUMIFS(BD!$Y$3:$Y$5001,BD!$B$3:$B$5001,I$241,BD!$A$3:$A$5001,_xlfn.MAXIFS(BD!$A$3:$A$5001,BD!$B$3:$B$5001,I$241,BD!$A$3:$A$5001,"&gt;="&amp;$C$7,BD!$A$3:$A$5001,"&lt;="&amp;$B256,BD!$Y$3:$Y$5001,"&lt;&gt;"))))</f>
        <v/>
      </c>
      <c r="J256" s="43" t="str">
        <f>IF(OR($B256="",$A256&gt;$B$9,J$241=""),"",IF(COUNTIFS(BD!$B$3:$B$5001,J$241,BD!$A$3:$A$5001,"&gt;="&amp;$C$7,BD!$A$3:$A$5001,"&lt;="&amp;$B256,BD!$Y$3:$Y$5001,"&lt;&gt;")=0,"",SUMIFS(BD!$Y$3:$Y$5001,BD!$B$3:$B$5001,J$241,BD!$A$3:$A$5001,_xlfn.MAXIFS(BD!$A$3:$A$5001,BD!$B$3:$B$5001,J$241,BD!$A$3:$A$5001,"&gt;="&amp;$C$7,BD!$A$3:$A$5001,"&lt;="&amp;$B256,BD!$Y$3:$Y$5001,"&lt;&gt;"))))</f>
        <v/>
      </c>
      <c r="K256" s="43" t="str">
        <f>IF(OR($B256="",$A256&gt;$B$9,K$241=""),"",IF(COUNTIFS(BD!$B$3:$B$5001,K$241,BD!$A$3:$A$5001,"&gt;="&amp;$C$7,BD!$A$3:$A$5001,"&lt;="&amp;$B256,BD!$Y$3:$Y$5001,"&lt;&gt;")=0,"",SUMIFS(BD!$Y$3:$Y$5001,BD!$B$3:$B$5001,K$241,BD!$A$3:$A$5001,_xlfn.MAXIFS(BD!$A$3:$A$5001,BD!$B$3:$B$5001,K$241,BD!$A$3:$A$5001,"&gt;="&amp;$C$7,BD!$A$3:$A$5001,"&lt;="&amp;$B256,BD!$Y$3:$Y$5001,"&lt;&gt;"))))</f>
        <v/>
      </c>
      <c r="L256" s="43" t="str">
        <f>IF(OR($B256="",$A256&gt;$B$9,L$241=""),"",IF(COUNTIFS(BD!$B$3:$B$5001,L$241,BD!$A$3:$A$5001,"&gt;="&amp;$C$7,BD!$A$3:$A$5001,"&lt;="&amp;$B256,BD!$Y$3:$Y$5001,"&lt;&gt;")=0,"",SUMIFS(BD!$Y$3:$Y$5001,BD!$B$3:$B$5001,L$241,BD!$A$3:$A$5001,_xlfn.MAXIFS(BD!$A$3:$A$5001,BD!$B$3:$B$5001,L$241,BD!$A$3:$A$5001,"&gt;="&amp;$C$7,BD!$A$3:$A$5001,"&lt;="&amp;$B256,BD!$Y$3:$Y$5001,"&lt;&gt;"))))</f>
        <v/>
      </c>
      <c r="M256" s="43" t="str">
        <f>IF(OR($B256="",$A256&gt;$B$9,M$241=""),"",IF(COUNTIFS(BD!$B$3:$B$5001,M$241,BD!$A$3:$A$5001,"&gt;="&amp;$C$7,BD!$A$3:$A$5001,"&lt;="&amp;$B256,BD!$Y$3:$Y$5001,"&lt;&gt;")=0,"",SUMIFS(BD!$Y$3:$Y$5001,BD!$B$3:$B$5001,M$241,BD!$A$3:$A$5001,_xlfn.MAXIFS(BD!$A$3:$A$5001,BD!$B$3:$B$5001,M$241,BD!$A$3:$A$5001,"&gt;="&amp;$C$7,BD!$A$3:$A$5001,"&lt;="&amp;$B256,BD!$Y$3:$Y$5001,"&lt;&gt;"))))</f>
        <v/>
      </c>
      <c r="N256" s="43" t="str">
        <f>IF(OR($B256="",$A256&gt;$B$9,N$241=""),"",IF(COUNTIFS(BD!$B$3:$B$5001,N$241,BD!$A$3:$A$5001,"&gt;="&amp;$C$7,BD!$A$3:$A$5001,"&lt;="&amp;$B256,BD!$Y$3:$Y$5001,"&lt;&gt;")=0,"",SUMIFS(BD!$Y$3:$Y$5001,BD!$B$3:$B$5001,N$241,BD!$A$3:$A$5001,_xlfn.MAXIFS(BD!$A$3:$A$5001,BD!$B$3:$B$5001,N$241,BD!$A$3:$A$5001,"&gt;="&amp;$C$7,BD!$A$3:$A$5001,"&lt;="&amp;$B256,BD!$Y$3:$Y$5001,"&lt;&gt;"))))</f>
        <v/>
      </c>
      <c r="O256" s="43" t="str">
        <f>IF(OR($B256="",$A256&gt;$B$9,O$241=""),"",IF(COUNTIFS(BD!$B$3:$B$5001,O$241,BD!$A$3:$A$5001,"&gt;="&amp;$C$7,BD!$A$3:$A$5001,"&lt;="&amp;$B256,BD!$Y$3:$Y$5001,"&lt;&gt;")=0,"",SUMIFS(BD!$Y$3:$Y$5001,BD!$B$3:$B$5001,O$241,BD!$A$3:$A$5001,_xlfn.MAXIFS(BD!$A$3:$A$5001,BD!$B$3:$B$5001,O$241,BD!$A$3:$A$5001,"&gt;="&amp;$C$7,BD!$A$3:$A$5001,"&lt;="&amp;$B256,BD!$Y$3:$Y$5001,"&lt;&gt;"))))</f>
        <v/>
      </c>
      <c r="P256" s="43" t="str">
        <f>IF(OR($B256="",$A256&gt;$B$9,P$241=""),"",IF(COUNTIFS(BD!$B$3:$B$5001,P$241,BD!$A$3:$A$5001,"&gt;="&amp;$C$7,BD!$A$3:$A$5001,"&lt;="&amp;$B256,BD!$Y$3:$Y$5001,"&lt;&gt;")=0,"",SUMIFS(BD!$Y$3:$Y$5001,BD!$B$3:$B$5001,P$241,BD!$A$3:$A$5001,_xlfn.MAXIFS(BD!$A$3:$A$5001,BD!$B$3:$B$5001,P$241,BD!$A$3:$A$5001,"&gt;="&amp;$C$7,BD!$A$3:$A$5001,"&lt;="&amp;$B256,BD!$Y$3:$Y$5001,"&lt;&gt;"))))</f>
        <v/>
      </c>
      <c r="Q256" s="43" t="str">
        <f>IF(OR($B256="",$A256&gt;$B$9,Q$241=""),"",IF(COUNTIFS(BD!$B$3:$B$5001,Q$241,BD!$A$3:$A$5001,"&gt;="&amp;$C$7,BD!$A$3:$A$5001,"&lt;="&amp;$B256,BD!$Y$3:$Y$5001,"&lt;&gt;")=0,"",SUMIFS(BD!$Y$3:$Y$5001,BD!$B$3:$B$5001,Q$241,BD!$A$3:$A$5001,_xlfn.MAXIFS(BD!$A$3:$A$5001,BD!$B$3:$B$5001,Q$241,BD!$A$3:$A$5001,"&gt;="&amp;$C$7,BD!$A$3:$A$5001,"&lt;="&amp;$B256,BD!$Y$3:$Y$5001,"&lt;&gt;"))))</f>
        <v/>
      </c>
      <c r="R256" s="43" t="str">
        <f>IF(OR($B256="",$A256&gt;$B$9,R$241=""),"",IF(COUNTIFS(BD!$B$3:$B$5001,R$241,BD!$A$3:$A$5001,"&gt;="&amp;$C$7,BD!$A$3:$A$5001,"&lt;="&amp;$B256,BD!$Y$3:$Y$5001,"&lt;&gt;")=0,"",SUMIFS(BD!$Y$3:$Y$5001,BD!$B$3:$B$5001,R$241,BD!$A$3:$A$5001,_xlfn.MAXIFS(BD!$A$3:$A$5001,BD!$B$3:$B$5001,R$241,BD!$A$3:$A$5001,"&gt;="&amp;$C$7,BD!$A$3:$A$5001,"&lt;="&amp;$B256,BD!$Y$3:$Y$5001,"&lt;&gt;"))))</f>
        <v/>
      </c>
      <c r="S256" s="43" t="str">
        <f>IF(OR($B256="",$A256&gt;$B$9,S$241=""),"",IF(COUNTIFS(BD!$B$3:$B$5001,S$241,BD!$A$3:$A$5001,"&gt;="&amp;$C$7,BD!$A$3:$A$5001,"&lt;="&amp;$B256,BD!$Y$3:$Y$5001,"&lt;&gt;")=0,"",SUMIFS(BD!$Y$3:$Y$5001,BD!$B$3:$B$5001,S$241,BD!$A$3:$A$5001,_xlfn.MAXIFS(BD!$A$3:$A$5001,BD!$B$3:$B$5001,S$241,BD!$A$3:$A$5001,"&gt;="&amp;$C$7,BD!$A$3:$A$5001,"&lt;="&amp;$B256,BD!$Y$3:$Y$5001,"&lt;&gt;"))))</f>
        <v/>
      </c>
      <c r="T256" s="43" t="str">
        <f>IF(OR($B256="",$A256&gt;$B$9,T$241=""),"",IF(COUNTIFS(BD!$B$3:$B$5001,T$241,BD!$A$3:$A$5001,"&gt;="&amp;$C$7,BD!$A$3:$A$5001,"&lt;="&amp;$B256,BD!$Y$3:$Y$5001,"&lt;&gt;")=0,"",SUMIFS(BD!$Y$3:$Y$5001,BD!$B$3:$B$5001,T$241,BD!$A$3:$A$5001,_xlfn.MAXIFS(BD!$A$3:$A$5001,BD!$B$3:$B$5001,T$241,BD!$A$3:$A$5001,"&gt;="&amp;$C$7,BD!$A$3:$A$5001,"&lt;="&amp;$B256,BD!$Y$3:$Y$5001,"&lt;&gt;"))))</f>
        <v/>
      </c>
      <c r="U256" s="43" t="str">
        <f>IF(OR($B256="",$A256&gt;$B$9,U$241=""),"",IF(COUNTIFS(BD!$B$3:$B$5001,U$241,BD!$A$3:$A$5001,"&gt;="&amp;$C$7,BD!$A$3:$A$5001,"&lt;="&amp;$B256,BD!$Y$3:$Y$5001,"&lt;&gt;")=0,"",SUMIFS(BD!$Y$3:$Y$5001,BD!$B$3:$B$5001,U$241,BD!$A$3:$A$5001,_xlfn.MAXIFS(BD!$A$3:$A$5001,BD!$B$3:$B$5001,U$241,BD!$A$3:$A$5001,"&gt;="&amp;$C$7,BD!$A$3:$A$5001,"&lt;="&amp;$B256,BD!$Y$3:$Y$5001,"&lt;&gt;"))))</f>
        <v/>
      </c>
      <c r="V256" s="43" t="str">
        <f>IF(OR($B256="",$A256&gt;$B$9,V$241=""),"",IF(COUNTIFS(BD!$B$3:$B$5001,V$241,BD!$A$3:$A$5001,"&gt;="&amp;$C$7,BD!$A$3:$A$5001,"&lt;="&amp;$B256,BD!$Y$3:$Y$5001,"&lt;&gt;")=0,"",SUMIFS(BD!$Y$3:$Y$5001,BD!$B$3:$B$5001,V$241,BD!$A$3:$A$5001,_xlfn.MAXIFS(BD!$A$3:$A$5001,BD!$B$3:$B$5001,V$241,BD!$A$3:$A$5001,"&gt;="&amp;$C$7,BD!$A$3:$A$5001,"&lt;="&amp;$B256,BD!$Y$3:$Y$5001,"&lt;&gt;"))))</f>
        <v/>
      </c>
    </row>
    <row r="257">
      <c r="A257" s="38">
        <v>16</v>
      </c>
      <c r="B257" s="42">
        <f>$B$27</f>
        <v>46311</v>
      </c>
      <c r="C257" s="43" t="str">
        <f>IF(OR($B257="",$A257&gt;$B$9,C$241=""),"",IF(COUNTIFS(BD!$B$3:$B$5001,C$241,BD!$A$3:$A$5001,"&gt;="&amp;$C$7,BD!$A$3:$A$5001,"&lt;="&amp;$B257,BD!$Y$3:$Y$5001,"&lt;&gt;")=0,"",SUMIFS(BD!$Y$3:$Y$5001,BD!$B$3:$B$5001,C$241,BD!$A$3:$A$5001,_xlfn.MAXIFS(BD!$A$3:$A$5001,BD!$B$3:$B$5001,C$241,BD!$A$3:$A$5001,"&gt;="&amp;$C$7,BD!$A$3:$A$5001,"&lt;="&amp;$B257,BD!$Y$3:$Y$5001,"&lt;&gt;"))))</f>
        <v/>
      </c>
      <c r="D257" s="43" t="str">
        <f>IF(OR($B257="",$A257&gt;$B$9,D$241=""),"",IF(COUNTIFS(BD!$B$3:$B$5001,D$241,BD!$A$3:$A$5001,"&gt;="&amp;$C$7,BD!$A$3:$A$5001,"&lt;="&amp;$B257,BD!$Y$3:$Y$5001,"&lt;&gt;")=0,"",SUMIFS(BD!$Y$3:$Y$5001,BD!$B$3:$B$5001,D$241,BD!$A$3:$A$5001,_xlfn.MAXIFS(BD!$A$3:$A$5001,BD!$B$3:$B$5001,D$241,BD!$A$3:$A$5001,"&gt;="&amp;$C$7,BD!$A$3:$A$5001,"&lt;="&amp;$B257,BD!$Y$3:$Y$5001,"&lt;&gt;"))))</f>
        <v/>
      </c>
      <c r="E257" s="43" t="str">
        <f>IF(OR($B257="",$A257&gt;$B$9,E$241=""),"",IF(COUNTIFS(BD!$B$3:$B$5001,E$241,BD!$A$3:$A$5001,"&gt;="&amp;$C$7,BD!$A$3:$A$5001,"&lt;="&amp;$B257,BD!$Y$3:$Y$5001,"&lt;&gt;")=0,"",SUMIFS(BD!$Y$3:$Y$5001,BD!$B$3:$B$5001,E$241,BD!$A$3:$A$5001,_xlfn.MAXIFS(BD!$A$3:$A$5001,BD!$B$3:$B$5001,E$241,BD!$A$3:$A$5001,"&gt;="&amp;$C$7,BD!$A$3:$A$5001,"&lt;="&amp;$B257,BD!$Y$3:$Y$5001,"&lt;&gt;"))))</f>
        <v/>
      </c>
      <c r="F257" s="43" t="str">
        <f>IF(OR($B257="",$A257&gt;$B$9,F$241=""),"",IF(COUNTIFS(BD!$B$3:$B$5001,F$241,BD!$A$3:$A$5001,"&gt;="&amp;$C$7,BD!$A$3:$A$5001,"&lt;="&amp;$B257,BD!$Y$3:$Y$5001,"&lt;&gt;")=0,"",SUMIFS(BD!$Y$3:$Y$5001,BD!$B$3:$B$5001,F$241,BD!$A$3:$A$5001,_xlfn.MAXIFS(BD!$A$3:$A$5001,BD!$B$3:$B$5001,F$241,BD!$A$3:$A$5001,"&gt;="&amp;$C$7,BD!$A$3:$A$5001,"&lt;="&amp;$B257,BD!$Y$3:$Y$5001,"&lt;&gt;"))))</f>
        <v/>
      </c>
      <c r="G257" s="43" t="str">
        <f>IF(OR($B257="",$A257&gt;$B$9,G$241=""),"",IF(COUNTIFS(BD!$B$3:$B$5001,G$241,BD!$A$3:$A$5001,"&gt;="&amp;$C$7,BD!$A$3:$A$5001,"&lt;="&amp;$B257,BD!$Y$3:$Y$5001,"&lt;&gt;")=0,"",SUMIFS(BD!$Y$3:$Y$5001,BD!$B$3:$B$5001,G$241,BD!$A$3:$A$5001,_xlfn.MAXIFS(BD!$A$3:$A$5001,BD!$B$3:$B$5001,G$241,BD!$A$3:$A$5001,"&gt;="&amp;$C$7,BD!$A$3:$A$5001,"&lt;="&amp;$B257,BD!$Y$3:$Y$5001,"&lt;&gt;"))))</f>
        <v/>
      </c>
      <c r="H257" s="43" t="str">
        <f>IF(OR($B257="",$A257&gt;$B$9,H$241=""),"",IF(COUNTIFS(BD!$B$3:$B$5001,H$241,BD!$A$3:$A$5001,"&gt;="&amp;$C$7,BD!$A$3:$A$5001,"&lt;="&amp;$B257,BD!$Y$3:$Y$5001,"&lt;&gt;")=0,"",SUMIFS(BD!$Y$3:$Y$5001,BD!$B$3:$B$5001,H$241,BD!$A$3:$A$5001,_xlfn.MAXIFS(BD!$A$3:$A$5001,BD!$B$3:$B$5001,H$241,BD!$A$3:$A$5001,"&gt;="&amp;$C$7,BD!$A$3:$A$5001,"&lt;="&amp;$B257,BD!$Y$3:$Y$5001,"&lt;&gt;"))))</f>
        <v/>
      </c>
      <c r="I257" s="43" t="str">
        <f>IF(OR($B257="",$A257&gt;$B$9,I$241=""),"",IF(COUNTIFS(BD!$B$3:$B$5001,I$241,BD!$A$3:$A$5001,"&gt;="&amp;$C$7,BD!$A$3:$A$5001,"&lt;="&amp;$B257,BD!$Y$3:$Y$5001,"&lt;&gt;")=0,"",SUMIFS(BD!$Y$3:$Y$5001,BD!$B$3:$B$5001,I$241,BD!$A$3:$A$5001,_xlfn.MAXIFS(BD!$A$3:$A$5001,BD!$B$3:$B$5001,I$241,BD!$A$3:$A$5001,"&gt;="&amp;$C$7,BD!$A$3:$A$5001,"&lt;="&amp;$B257,BD!$Y$3:$Y$5001,"&lt;&gt;"))))</f>
        <v/>
      </c>
      <c r="J257" s="43" t="str">
        <f>IF(OR($B257="",$A257&gt;$B$9,J$241=""),"",IF(COUNTIFS(BD!$B$3:$B$5001,J$241,BD!$A$3:$A$5001,"&gt;="&amp;$C$7,BD!$A$3:$A$5001,"&lt;="&amp;$B257,BD!$Y$3:$Y$5001,"&lt;&gt;")=0,"",SUMIFS(BD!$Y$3:$Y$5001,BD!$B$3:$B$5001,J$241,BD!$A$3:$A$5001,_xlfn.MAXIFS(BD!$A$3:$A$5001,BD!$B$3:$B$5001,J$241,BD!$A$3:$A$5001,"&gt;="&amp;$C$7,BD!$A$3:$A$5001,"&lt;="&amp;$B257,BD!$Y$3:$Y$5001,"&lt;&gt;"))))</f>
        <v/>
      </c>
      <c r="K257" s="43" t="str">
        <f>IF(OR($B257="",$A257&gt;$B$9,K$241=""),"",IF(COUNTIFS(BD!$B$3:$B$5001,K$241,BD!$A$3:$A$5001,"&gt;="&amp;$C$7,BD!$A$3:$A$5001,"&lt;="&amp;$B257,BD!$Y$3:$Y$5001,"&lt;&gt;")=0,"",SUMIFS(BD!$Y$3:$Y$5001,BD!$B$3:$B$5001,K$241,BD!$A$3:$A$5001,_xlfn.MAXIFS(BD!$A$3:$A$5001,BD!$B$3:$B$5001,K$241,BD!$A$3:$A$5001,"&gt;="&amp;$C$7,BD!$A$3:$A$5001,"&lt;="&amp;$B257,BD!$Y$3:$Y$5001,"&lt;&gt;"))))</f>
        <v/>
      </c>
      <c r="L257" s="43" t="str">
        <f>IF(OR($B257="",$A257&gt;$B$9,L$241=""),"",IF(COUNTIFS(BD!$B$3:$B$5001,L$241,BD!$A$3:$A$5001,"&gt;="&amp;$C$7,BD!$A$3:$A$5001,"&lt;="&amp;$B257,BD!$Y$3:$Y$5001,"&lt;&gt;")=0,"",SUMIFS(BD!$Y$3:$Y$5001,BD!$B$3:$B$5001,L$241,BD!$A$3:$A$5001,_xlfn.MAXIFS(BD!$A$3:$A$5001,BD!$B$3:$B$5001,L$241,BD!$A$3:$A$5001,"&gt;="&amp;$C$7,BD!$A$3:$A$5001,"&lt;="&amp;$B257,BD!$Y$3:$Y$5001,"&lt;&gt;"))))</f>
        <v/>
      </c>
      <c r="M257" s="43" t="str">
        <f>IF(OR($B257="",$A257&gt;$B$9,M$241=""),"",IF(COUNTIFS(BD!$B$3:$B$5001,M$241,BD!$A$3:$A$5001,"&gt;="&amp;$C$7,BD!$A$3:$A$5001,"&lt;="&amp;$B257,BD!$Y$3:$Y$5001,"&lt;&gt;")=0,"",SUMIFS(BD!$Y$3:$Y$5001,BD!$B$3:$B$5001,M$241,BD!$A$3:$A$5001,_xlfn.MAXIFS(BD!$A$3:$A$5001,BD!$B$3:$B$5001,M$241,BD!$A$3:$A$5001,"&gt;="&amp;$C$7,BD!$A$3:$A$5001,"&lt;="&amp;$B257,BD!$Y$3:$Y$5001,"&lt;&gt;"))))</f>
        <v/>
      </c>
      <c r="N257" s="43" t="str">
        <f>IF(OR($B257="",$A257&gt;$B$9,N$241=""),"",IF(COUNTIFS(BD!$B$3:$B$5001,N$241,BD!$A$3:$A$5001,"&gt;="&amp;$C$7,BD!$A$3:$A$5001,"&lt;="&amp;$B257,BD!$Y$3:$Y$5001,"&lt;&gt;")=0,"",SUMIFS(BD!$Y$3:$Y$5001,BD!$B$3:$B$5001,N$241,BD!$A$3:$A$5001,_xlfn.MAXIFS(BD!$A$3:$A$5001,BD!$B$3:$B$5001,N$241,BD!$A$3:$A$5001,"&gt;="&amp;$C$7,BD!$A$3:$A$5001,"&lt;="&amp;$B257,BD!$Y$3:$Y$5001,"&lt;&gt;"))))</f>
        <v/>
      </c>
      <c r="O257" s="43" t="str">
        <f>IF(OR($B257="",$A257&gt;$B$9,O$241=""),"",IF(COUNTIFS(BD!$B$3:$B$5001,O$241,BD!$A$3:$A$5001,"&gt;="&amp;$C$7,BD!$A$3:$A$5001,"&lt;="&amp;$B257,BD!$Y$3:$Y$5001,"&lt;&gt;")=0,"",SUMIFS(BD!$Y$3:$Y$5001,BD!$B$3:$B$5001,O$241,BD!$A$3:$A$5001,_xlfn.MAXIFS(BD!$A$3:$A$5001,BD!$B$3:$B$5001,O$241,BD!$A$3:$A$5001,"&gt;="&amp;$C$7,BD!$A$3:$A$5001,"&lt;="&amp;$B257,BD!$Y$3:$Y$5001,"&lt;&gt;"))))</f>
        <v/>
      </c>
      <c r="P257" s="43" t="str">
        <f>IF(OR($B257="",$A257&gt;$B$9,P$241=""),"",IF(COUNTIFS(BD!$B$3:$B$5001,P$241,BD!$A$3:$A$5001,"&gt;="&amp;$C$7,BD!$A$3:$A$5001,"&lt;="&amp;$B257,BD!$Y$3:$Y$5001,"&lt;&gt;")=0,"",SUMIFS(BD!$Y$3:$Y$5001,BD!$B$3:$B$5001,P$241,BD!$A$3:$A$5001,_xlfn.MAXIFS(BD!$A$3:$A$5001,BD!$B$3:$B$5001,P$241,BD!$A$3:$A$5001,"&gt;="&amp;$C$7,BD!$A$3:$A$5001,"&lt;="&amp;$B257,BD!$Y$3:$Y$5001,"&lt;&gt;"))))</f>
        <v/>
      </c>
      <c r="Q257" s="43" t="str">
        <f>IF(OR($B257="",$A257&gt;$B$9,Q$241=""),"",IF(COUNTIFS(BD!$B$3:$B$5001,Q$241,BD!$A$3:$A$5001,"&gt;="&amp;$C$7,BD!$A$3:$A$5001,"&lt;="&amp;$B257,BD!$Y$3:$Y$5001,"&lt;&gt;")=0,"",SUMIFS(BD!$Y$3:$Y$5001,BD!$B$3:$B$5001,Q$241,BD!$A$3:$A$5001,_xlfn.MAXIFS(BD!$A$3:$A$5001,BD!$B$3:$B$5001,Q$241,BD!$A$3:$A$5001,"&gt;="&amp;$C$7,BD!$A$3:$A$5001,"&lt;="&amp;$B257,BD!$Y$3:$Y$5001,"&lt;&gt;"))))</f>
        <v/>
      </c>
      <c r="R257" s="43" t="str">
        <f>IF(OR($B257="",$A257&gt;$B$9,R$241=""),"",IF(COUNTIFS(BD!$B$3:$B$5001,R$241,BD!$A$3:$A$5001,"&gt;="&amp;$C$7,BD!$A$3:$A$5001,"&lt;="&amp;$B257,BD!$Y$3:$Y$5001,"&lt;&gt;")=0,"",SUMIFS(BD!$Y$3:$Y$5001,BD!$B$3:$B$5001,R$241,BD!$A$3:$A$5001,_xlfn.MAXIFS(BD!$A$3:$A$5001,BD!$B$3:$B$5001,R$241,BD!$A$3:$A$5001,"&gt;="&amp;$C$7,BD!$A$3:$A$5001,"&lt;="&amp;$B257,BD!$Y$3:$Y$5001,"&lt;&gt;"))))</f>
        <v/>
      </c>
      <c r="S257" s="43" t="str">
        <f>IF(OR($B257="",$A257&gt;$B$9,S$241=""),"",IF(COUNTIFS(BD!$B$3:$B$5001,S$241,BD!$A$3:$A$5001,"&gt;="&amp;$C$7,BD!$A$3:$A$5001,"&lt;="&amp;$B257,BD!$Y$3:$Y$5001,"&lt;&gt;")=0,"",SUMIFS(BD!$Y$3:$Y$5001,BD!$B$3:$B$5001,S$241,BD!$A$3:$A$5001,_xlfn.MAXIFS(BD!$A$3:$A$5001,BD!$B$3:$B$5001,S$241,BD!$A$3:$A$5001,"&gt;="&amp;$C$7,BD!$A$3:$A$5001,"&lt;="&amp;$B257,BD!$Y$3:$Y$5001,"&lt;&gt;"))))</f>
        <v/>
      </c>
      <c r="T257" s="43" t="str">
        <f>IF(OR($B257="",$A257&gt;$B$9,T$241=""),"",IF(COUNTIFS(BD!$B$3:$B$5001,T$241,BD!$A$3:$A$5001,"&gt;="&amp;$C$7,BD!$A$3:$A$5001,"&lt;="&amp;$B257,BD!$Y$3:$Y$5001,"&lt;&gt;")=0,"",SUMIFS(BD!$Y$3:$Y$5001,BD!$B$3:$B$5001,T$241,BD!$A$3:$A$5001,_xlfn.MAXIFS(BD!$A$3:$A$5001,BD!$B$3:$B$5001,T$241,BD!$A$3:$A$5001,"&gt;="&amp;$C$7,BD!$A$3:$A$5001,"&lt;="&amp;$B257,BD!$Y$3:$Y$5001,"&lt;&gt;"))))</f>
        <v/>
      </c>
      <c r="U257" s="43" t="str">
        <f>IF(OR($B257="",$A257&gt;$B$9,U$241=""),"",IF(COUNTIFS(BD!$B$3:$B$5001,U$241,BD!$A$3:$A$5001,"&gt;="&amp;$C$7,BD!$A$3:$A$5001,"&lt;="&amp;$B257,BD!$Y$3:$Y$5001,"&lt;&gt;")=0,"",SUMIFS(BD!$Y$3:$Y$5001,BD!$B$3:$B$5001,U$241,BD!$A$3:$A$5001,_xlfn.MAXIFS(BD!$A$3:$A$5001,BD!$B$3:$B$5001,U$241,BD!$A$3:$A$5001,"&gt;="&amp;$C$7,BD!$A$3:$A$5001,"&lt;="&amp;$B257,BD!$Y$3:$Y$5001,"&lt;&gt;"))))</f>
        <v/>
      </c>
      <c r="V257" s="43" t="str">
        <f>IF(OR($B257="",$A257&gt;$B$9,V$241=""),"",IF(COUNTIFS(BD!$B$3:$B$5001,V$241,BD!$A$3:$A$5001,"&gt;="&amp;$C$7,BD!$A$3:$A$5001,"&lt;="&amp;$B257,BD!$Y$3:$Y$5001,"&lt;&gt;")=0,"",SUMIFS(BD!$Y$3:$Y$5001,BD!$B$3:$B$5001,V$241,BD!$A$3:$A$5001,_xlfn.MAXIFS(BD!$A$3:$A$5001,BD!$B$3:$B$5001,V$241,BD!$A$3:$A$5001,"&gt;="&amp;$C$7,BD!$A$3:$A$5001,"&lt;="&amp;$B257,BD!$Y$3:$Y$5001,"&lt;&gt;"))))</f>
        <v/>
      </c>
    </row>
    <row r="258">
      <c r="A258" s="38">
        <v>17</v>
      </c>
      <c r="B258" s="42">
        <f>$B$28</f>
        <v>46312</v>
      </c>
      <c r="C258" s="43" t="str">
        <f>IF(OR($B258="",$A258&gt;$B$9,C$241=""),"",IF(COUNTIFS(BD!$B$3:$B$5001,C$241,BD!$A$3:$A$5001,"&gt;="&amp;$C$7,BD!$A$3:$A$5001,"&lt;="&amp;$B258,BD!$Y$3:$Y$5001,"&lt;&gt;")=0,"",SUMIFS(BD!$Y$3:$Y$5001,BD!$B$3:$B$5001,C$241,BD!$A$3:$A$5001,_xlfn.MAXIFS(BD!$A$3:$A$5001,BD!$B$3:$B$5001,C$241,BD!$A$3:$A$5001,"&gt;="&amp;$C$7,BD!$A$3:$A$5001,"&lt;="&amp;$B258,BD!$Y$3:$Y$5001,"&lt;&gt;"))))</f>
        <v/>
      </c>
      <c r="D258" s="43" t="str">
        <f>IF(OR($B258="",$A258&gt;$B$9,D$241=""),"",IF(COUNTIFS(BD!$B$3:$B$5001,D$241,BD!$A$3:$A$5001,"&gt;="&amp;$C$7,BD!$A$3:$A$5001,"&lt;="&amp;$B258,BD!$Y$3:$Y$5001,"&lt;&gt;")=0,"",SUMIFS(BD!$Y$3:$Y$5001,BD!$B$3:$B$5001,D$241,BD!$A$3:$A$5001,_xlfn.MAXIFS(BD!$A$3:$A$5001,BD!$B$3:$B$5001,D$241,BD!$A$3:$A$5001,"&gt;="&amp;$C$7,BD!$A$3:$A$5001,"&lt;="&amp;$B258,BD!$Y$3:$Y$5001,"&lt;&gt;"))))</f>
        <v/>
      </c>
      <c r="E258" s="43" t="str">
        <f>IF(OR($B258="",$A258&gt;$B$9,E$241=""),"",IF(COUNTIFS(BD!$B$3:$B$5001,E$241,BD!$A$3:$A$5001,"&gt;="&amp;$C$7,BD!$A$3:$A$5001,"&lt;="&amp;$B258,BD!$Y$3:$Y$5001,"&lt;&gt;")=0,"",SUMIFS(BD!$Y$3:$Y$5001,BD!$B$3:$B$5001,E$241,BD!$A$3:$A$5001,_xlfn.MAXIFS(BD!$A$3:$A$5001,BD!$B$3:$B$5001,E$241,BD!$A$3:$A$5001,"&gt;="&amp;$C$7,BD!$A$3:$A$5001,"&lt;="&amp;$B258,BD!$Y$3:$Y$5001,"&lt;&gt;"))))</f>
        <v/>
      </c>
      <c r="F258" s="43" t="str">
        <f>IF(OR($B258="",$A258&gt;$B$9,F$241=""),"",IF(COUNTIFS(BD!$B$3:$B$5001,F$241,BD!$A$3:$A$5001,"&gt;="&amp;$C$7,BD!$A$3:$A$5001,"&lt;="&amp;$B258,BD!$Y$3:$Y$5001,"&lt;&gt;")=0,"",SUMIFS(BD!$Y$3:$Y$5001,BD!$B$3:$B$5001,F$241,BD!$A$3:$A$5001,_xlfn.MAXIFS(BD!$A$3:$A$5001,BD!$B$3:$B$5001,F$241,BD!$A$3:$A$5001,"&gt;="&amp;$C$7,BD!$A$3:$A$5001,"&lt;="&amp;$B258,BD!$Y$3:$Y$5001,"&lt;&gt;"))))</f>
        <v/>
      </c>
      <c r="G258" s="43" t="str">
        <f>IF(OR($B258="",$A258&gt;$B$9,G$241=""),"",IF(COUNTIFS(BD!$B$3:$B$5001,G$241,BD!$A$3:$A$5001,"&gt;="&amp;$C$7,BD!$A$3:$A$5001,"&lt;="&amp;$B258,BD!$Y$3:$Y$5001,"&lt;&gt;")=0,"",SUMIFS(BD!$Y$3:$Y$5001,BD!$B$3:$B$5001,G$241,BD!$A$3:$A$5001,_xlfn.MAXIFS(BD!$A$3:$A$5001,BD!$B$3:$B$5001,G$241,BD!$A$3:$A$5001,"&gt;="&amp;$C$7,BD!$A$3:$A$5001,"&lt;="&amp;$B258,BD!$Y$3:$Y$5001,"&lt;&gt;"))))</f>
        <v/>
      </c>
      <c r="H258" s="43" t="str">
        <f>IF(OR($B258="",$A258&gt;$B$9,H$241=""),"",IF(COUNTIFS(BD!$B$3:$B$5001,H$241,BD!$A$3:$A$5001,"&gt;="&amp;$C$7,BD!$A$3:$A$5001,"&lt;="&amp;$B258,BD!$Y$3:$Y$5001,"&lt;&gt;")=0,"",SUMIFS(BD!$Y$3:$Y$5001,BD!$B$3:$B$5001,H$241,BD!$A$3:$A$5001,_xlfn.MAXIFS(BD!$A$3:$A$5001,BD!$B$3:$B$5001,H$241,BD!$A$3:$A$5001,"&gt;="&amp;$C$7,BD!$A$3:$A$5001,"&lt;="&amp;$B258,BD!$Y$3:$Y$5001,"&lt;&gt;"))))</f>
        <v/>
      </c>
      <c r="I258" s="43" t="str">
        <f>IF(OR($B258="",$A258&gt;$B$9,I$241=""),"",IF(COUNTIFS(BD!$B$3:$B$5001,I$241,BD!$A$3:$A$5001,"&gt;="&amp;$C$7,BD!$A$3:$A$5001,"&lt;="&amp;$B258,BD!$Y$3:$Y$5001,"&lt;&gt;")=0,"",SUMIFS(BD!$Y$3:$Y$5001,BD!$B$3:$B$5001,I$241,BD!$A$3:$A$5001,_xlfn.MAXIFS(BD!$A$3:$A$5001,BD!$B$3:$B$5001,I$241,BD!$A$3:$A$5001,"&gt;="&amp;$C$7,BD!$A$3:$A$5001,"&lt;="&amp;$B258,BD!$Y$3:$Y$5001,"&lt;&gt;"))))</f>
        <v/>
      </c>
      <c r="J258" s="43" t="str">
        <f>IF(OR($B258="",$A258&gt;$B$9,J$241=""),"",IF(COUNTIFS(BD!$B$3:$B$5001,J$241,BD!$A$3:$A$5001,"&gt;="&amp;$C$7,BD!$A$3:$A$5001,"&lt;="&amp;$B258,BD!$Y$3:$Y$5001,"&lt;&gt;")=0,"",SUMIFS(BD!$Y$3:$Y$5001,BD!$B$3:$B$5001,J$241,BD!$A$3:$A$5001,_xlfn.MAXIFS(BD!$A$3:$A$5001,BD!$B$3:$B$5001,J$241,BD!$A$3:$A$5001,"&gt;="&amp;$C$7,BD!$A$3:$A$5001,"&lt;="&amp;$B258,BD!$Y$3:$Y$5001,"&lt;&gt;"))))</f>
        <v/>
      </c>
      <c r="K258" s="43" t="str">
        <f>IF(OR($B258="",$A258&gt;$B$9,K$241=""),"",IF(COUNTIFS(BD!$B$3:$B$5001,K$241,BD!$A$3:$A$5001,"&gt;="&amp;$C$7,BD!$A$3:$A$5001,"&lt;="&amp;$B258,BD!$Y$3:$Y$5001,"&lt;&gt;")=0,"",SUMIFS(BD!$Y$3:$Y$5001,BD!$B$3:$B$5001,K$241,BD!$A$3:$A$5001,_xlfn.MAXIFS(BD!$A$3:$A$5001,BD!$B$3:$B$5001,K$241,BD!$A$3:$A$5001,"&gt;="&amp;$C$7,BD!$A$3:$A$5001,"&lt;="&amp;$B258,BD!$Y$3:$Y$5001,"&lt;&gt;"))))</f>
        <v/>
      </c>
      <c r="L258" s="43" t="str">
        <f>IF(OR($B258="",$A258&gt;$B$9,L$241=""),"",IF(COUNTIFS(BD!$B$3:$B$5001,L$241,BD!$A$3:$A$5001,"&gt;="&amp;$C$7,BD!$A$3:$A$5001,"&lt;="&amp;$B258,BD!$Y$3:$Y$5001,"&lt;&gt;")=0,"",SUMIFS(BD!$Y$3:$Y$5001,BD!$B$3:$B$5001,L$241,BD!$A$3:$A$5001,_xlfn.MAXIFS(BD!$A$3:$A$5001,BD!$B$3:$B$5001,L$241,BD!$A$3:$A$5001,"&gt;="&amp;$C$7,BD!$A$3:$A$5001,"&lt;="&amp;$B258,BD!$Y$3:$Y$5001,"&lt;&gt;"))))</f>
        <v/>
      </c>
      <c r="M258" s="43" t="str">
        <f>IF(OR($B258="",$A258&gt;$B$9,M$241=""),"",IF(COUNTIFS(BD!$B$3:$B$5001,M$241,BD!$A$3:$A$5001,"&gt;="&amp;$C$7,BD!$A$3:$A$5001,"&lt;="&amp;$B258,BD!$Y$3:$Y$5001,"&lt;&gt;")=0,"",SUMIFS(BD!$Y$3:$Y$5001,BD!$B$3:$B$5001,M$241,BD!$A$3:$A$5001,_xlfn.MAXIFS(BD!$A$3:$A$5001,BD!$B$3:$B$5001,M$241,BD!$A$3:$A$5001,"&gt;="&amp;$C$7,BD!$A$3:$A$5001,"&lt;="&amp;$B258,BD!$Y$3:$Y$5001,"&lt;&gt;"))))</f>
        <v/>
      </c>
      <c r="N258" s="43" t="str">
        <f>IF(OR($B258="",$A258&gt;$B$9,N$241=""),"",IF(COUNTIFS(BD!$B$3:$B$5001,N$241,BD!$A$3:$A$5001,"&gt;="&amp;$C$7,BD!$A$3:$A$5001,"&lt;="&amp;$B258,BD!$Y$3:$Y$5001,"&lt;&gt;")=0,"",SUMIFS(BD!$Y$3:$Y$5001,BD!$B$3:$B$5001,N$241,BD!$A$3:$A$5001,_xlfn.MAXIFS(BD!$A$3:$A$5001,BD!$B$3:$B$5001,N$241,BD!$A$3:$A$5001,"&gt;="&amp;$C$7,BD!$A$3:$A$5001,"&lt;="&amp;$B258,BD!$Y$3:$Y$5001,"&lt;&gt;"))))</f>
        <v/>
      </c>
      <c r="O258" s="43" t="str">
        <f>IF(OR($B258="",$A258&gt;$B$9,O$241=""),"",IF(COUNTIFS(BD!$B$3:$B$5001,O$241,BD!$A$3:$A$5001,"&gt;="&amp;$C$7,BD!$A$3:$A$5001,"&lt;="&amp;$B258,BD!$Y$3:$Y$5001,"&lt;&gt;")=0,"",SUMIFS(BD!$Y$3:$Y$5001,BD!$B$3:$B$5001,O$241,BD!$A$3:$A$5001,_xlfn.MAXIFS(BD!$A$3:$A$5001,BD!$B$3:$B$5001,O$241,BD!$A$3:$A$5001,"&gt;="&amp;$C$7,BD!$A$3:$A$5001,"&lt;="&amp;$B258,BD!$Y$3:$Y$5001,"&lt;&gt;"))))</f>
        <v/>
      </c>
      <c r="P258" s="43" t="str">
        <f>IF(OR($B258="",$A258&gt;$B$9,P$241=""),"",IF(COUNTIFS(BD!$B$3:$B$5001,P$241,BD!$A$3:$A$5001,"&gt;="&amp;$C$7,BD!$A$3:$A$5001,"&lt;="&amp;$B258,BD!$Y$3:$Y$5001,"&lt;&gt;")=0,"",SUMIFS(BD!$Y$3:$Y$5001,BD!$B$3:$B$5001,P$241,BD!$A$3:$A$5001,_xlfn.MAXIFS(BD!$A$3:$A$5001,BD!$B$3:$B$5001,P$241,BD!$A$3:$A$5001,"&gt;="&amp;$C$7,BD!$A$3:$A$5001,"&lt;="&amp;$B258,BD!$Y$3:$Y$5001,"&lt;&gt;"))))</f>
        <v/>
      </c>
      <c r="Q258" s="43" t="str">
        <f>IF(OR($B258="",$A258&gt;$B$9,Q$241=""),"",IF(COUNTIFS(BD!$B$3:$B$5001,Q$241,BD!$A$3:$A$5001,"&gt;="&amp;$C$7,BD!$A$3:$A$5001,"&lt;="&amp;$B258,BD!$Y$3:$Y$5001,"&lt;&gt;")=0,"",SUMIFS(BD!$Y$3:$Y$5001,BD!$B$3:$B$5001,Q$241,BD!$A$3:$A$5001,_xlfn.MAXIFS(BD!$A$3:$A$5001,BD!$B$3:$B$5001,Q$241,BD!$A$3:$A$5001,"&gt;="&amp;$C$7,BD!$A$3:$A$5001,"&lt;="&amp;$B258,BD!$Y$3:$Y$5001,"&lt;&gt;"))))</f>
        <v/>
      </c>
      <c r="R258" s="43" t="str">
        <f>IF(OR($B258="",$A258&gt;$B$9,R$241=""),"",IF(COUNTIFS(BD!$B$3:$B$5001,R$241,BD!$A$3:$A$5001,"&gt;="&amp;$C$7,BD!$A$3:$A$5001,"&lt;="&amp;$B258,BD!$Y$3:$Y$5001,"&lt;&gt;")=0,"",SUMIFS(BD!$Y$3:$Y$5001,BD!$B$3:$B$5001,R$241,BD!$A$3:$A$5001,_xlfn.MAXIFS(BD!$A$3:$A$5001,BD!$B$3:$B$5001,R$241,BD!$A$3:$A$5001,"&gt;="&amp;$C$7,BD!$A$3:$A$5001,"&lt;="&amp;$B258,BD!$Y$3:$Y$5001,"&lt;&gt;"))))</f>
        <v/>
      </c>
      <c r="S258" s="43" t="str">
        <f>IF(OR($B258="",$A258&gt;$B$9,S$241=""),"",IF(COUNTIFS(BD!$B$3:$B$5001,S$241,BD!$A$3:$A$5001,"&gt;="&amp;$C$7,BD!$A$3:$A$5001,"&lt;="&amp;$B258,BD!$Y$3:$Y$5001,"&lt;&gt;")=0,"",SUMIFS(BD!$Y$3:$Y$5001,BD!$B$3:$B$5001,S$241,BD!$A$3:$A$5001,_xlfn.MAXIFS(BD!$A$3:$A$5001,BD!$B$3:$B$5001,S$241,BD!$A$3:$A$5001,"&gt;="&amp;$C$7,BD!$A$3:$A$5001,"&lt;="&amp;$B258,BD!$Y$3:$Y$5001,"&lt;&gt;"))))</f>
        <v/>
      </c>
      <c r="T258" s="43" t="str">
        <f>IF(OR($B258="",$A258&gt;$B$9,T$241=""),"",IF(COUNTIFS(BD!$B$3:$B$5001,T$241,BD!$A$3:$A$5001,"&gt;="&amp;$C$7,BD!$A$3:$A$5001,"&lt;="&amp;$B258,BD!$Y$3:$Y$5001,"&lt;&gt;")=0,"",SUMIFS(BD!$Y$3:$Y$5001,BD!$B$3:$B$5001,T$241,BD!$A$3:$A$5001,_xlfn.MAXIFS(BD!$A$3:$A$5001,BD!$B$3:$B$5001,T$241,BD!$A$3:$A$5001,"&gt;="&amp;$C$7,BD!$A$3:$A$5001,"&lt;="&amp;$B258,BD!$Y$3:$Y$5001,"&lt;&gt;"))))</f>
        <v/>
      </c>
      <c r="U258" s="43" t="str">
        <f>IF(OR($B258="",$A258&gt;$B$9,U$241=""),"",IF(COUNTIFS(BD!$B$3:$B$5001,U$241,BD!$A$3:$A$5001,"&gt;="&amp;$C$7,BD!$A$3:$A$5001,"&lt;="&amp;$B258,BD!$Y$3:$Y$5001,"&lt;&gt;")=0,"",SUMIFS(BD!$Y$3:$Y$5001,BD!$B$3:$B$5001,U$241,BD!$A$3:$A$5001,_xlfn.MAXIFS(BD!$A$3:$A$5001,BD!$B$3:$B$5001,U$241,BD!$A$3:$A$5001,"&gt;="&amp;$C$7,BD!$A$3:$A$5001,"&lt;="&amp;$B258,BD!$Y$3:$Y$5001,"&lt;&gt;"))))</f>
        <v/>
      </c>
      <c r="V258" s="43" t="str">
        <f>IF(OR($B258="",$A258&gt;$B$9,V$241=""),"",IF(COUNTIFS(BD!$B$3:$B$5001,V$241,BD!$A$3:$A$5001,"&gt;="&amp;$C$7,BD!$A$3:$A$5001,"&lt;="&amp;$B258,BD!$Y$3:$Y$5001,"&lt;&gt;")=0,"",SUMIFS(BD!$Y$3:$Y$5001,BD!$B$3:$B$5001,V$241,BD!$A$3:$A$5001,_xlfn.MAXIFS(BD!$A$3:$A$5001,BD!$B$3:$B$5001,V$241,BD!$A$3:$A$5001,"&gt;="&amp;$C$7,BD!$A$3:$A$5001,"&lt;="&amp;$B258,BD!$Y$3:$Y$5001,"&lt;&gt;"))))</f>
        <v/>
      </c>
    </row>
    <row r="259">
      <c r="A259" s="38">
        <v>18</v>
      </c>
      <c r="B259" s="42">
        <f>$B$29</f>
        <v>46313</v>
      </c>
      <c r="C259" s="43" t="str">
        <f>IF(OR($B259="",$A259&gt;$B$9,C$241=""),"",IF(COUNTIFS(BD!$B$3:$B$5001,C$241,BD!$A$3:$A$5001,"&gt;="&amp;$C$7,BD!$A$3:$A$5001,"&lt;="&amp;$B259,BD!$Y$3:$Y$5001,"&lt;&gt;")=0,"",SUMIFS(BD!$Y$3:$Y$5001,BD!$B$3:$B$5001,C$241,BD!$A$3:$A$5001,_xlfn.MAXIFS(BD!$A$3:$A$5001,BD!$B$3:$B$5001,C$241,BD!$A$3:$A$5001,"&gt;="&amp;$C$7,BD!$A$3:$A$5001,"&lt;="&amp;$B259,BD!$Y$3:$Y$5001,"&lt;&gt;"))))</f>
        <v/>
      </c>
      <c r="D259" s="43" t="str">
        <f>IF(OR($B259="",$A259&gt;$B$9,D$241=""),"",IF(COUNTIFS(BD!$B$3:$B$5001,D$241,BD!$A$3:$A$5001,"&gt;="&amp;$C$7,BD!$A$3:$A$5001,"&lt;="&amp;$B259,BD!$Y$3:$Y$5001,"&lt;&gt;")=0,"",SUMIFS(BD!$Y$3:$Y$5001,BD!$B$3:$B$5001,D$241,BD!$A$3:$A$5001,_xlfn.MAXIFS(BD!$A$3:$A$5001,BD!$B$3:$B$5001,D$241,BD!$A$3:$A$5001,"&gt;="&amp;$C$7,BD!$A$3:$A$5001,"&lt;="&amp;$B259,BD!$Y$3:$Y$5001,"&lt;&gt;"))))</f>
        <v/>
      </c>
      <c r="E259" s="43" t="str">
        <f>IF(OR($B259="",$A259&gt;$B$9,E$241=""),"",IF(COUNTIFS(BD!$B$3:$B$5001,E$241,BD!$A$3:$A$5001,"&gt;="&amp;$C$7,BD!$A$3:$A$5001,"&lt;="&amp;$B259,BD!$Y$3:$Y$5001,"&lt;&gt;")=0,"",SUMIFS(BD!$Y$3:$Y$5001,BD!$B$3:$B$5001,E$241,BD!$A$3:$A$5001,_xlfn.MAXIFS(BD!$A$3:$A$5001,BD!$B$3:$B$5001,E$241,BD!$A$3:$A$5001,"&gt;="&amp;$C$7,BD!$A$3:$A$5001,"&lt;="&amp;$B259,BD!$Y$3:$Y$5001,"&lt;&gt;"))))</f>
        <v/>
      </c>
      <c r="F259" s="43" t="str">
        <f>IF(OR($B259="",$A259&gt;$B$9,F$241=""),"",IF(COUNTIFS(BD!$B$3:$B$5001,F$241,BD!$A$3:$A$5001,"&gt;="&amp;$C$7,BD!$A$3:$A$5001,"&lt;="&amp;$B259,BD!$Y$3:$Y$5001,"&lt;&gt;")=0,"",SUMIFS(BD!$Y$3:$Y$5001,BD!$B$3:$B$5001,F$241,BD!$A$3:$A$5001,_xlfn.MAXIFS(BD!$A$3:$A$5001,BD!$B$3:$B$5001,F$241,BD!$A$3:$A$5001,"&gt;="&amp;$C$7,BD!$A$3:$A$5001,"&lt;="&amp;$B259,BD!$Y$3:$Y$5001,"&lt;&gt;"))))</f>
        <v/>
      </c>
      <c r="G259" s="43" t="str">
        <f>IF(OR($B259="",$A259&gt;$B$9,G$241=""),"",IF(COUNTIFS(BD!$B$3:$B$5001,G$241,BD!$A$3:$A$5001,"&gt;="&amp;$C$7,BD!$A$3:$A$5001,"&lt;="&amp;$B259,BD!$Y$3:$Y$5001,"&lt;&gt;")=0,"",SUMIFS(BD!$Y$3:$Y$5001,BD!$B$3:$B$5001,G$241,BD!$A$3:$A$5001,_xlfn.MAXIFS(BD!$A$3:$A$5001,BD!$B$3:$B$5001,G$241,BD!$A$3:$A$5001,"&gt;="&amp;$C$7,BD!$A$3:$A$5001,"&lt;="&amp;$B259,BD!$Y$3:$Y$5001,"&lt;&gt;"))))</f>
        <v/>
      </c>
      <c r="H259" s="43" t="str">
        <f>IF(OR($B259="",$A259&gt;$B$9,H$241=""),"",IF(COUNTIFS(BD!$B$3:$B$5001,H$241,BD!$A$3:$A$5001,"&gt;="&amp;$C$7,BD!$A$3:$A$5001,"&lt;="&amp;$B259,BD!$Y$3:$Y$5001,"&lt;&gt;")=0,"",SUMIFS(BD!$Y$3:$Y$5001,BD!$B$3:$B$5001,H$241,BD!$A$3:$A$5001,_xlfn.MAXIFS(BD!$A$3:$A$5001,BD!$B$3:$B$5001,H$241,BD!$A$3:$A$5001,"&gt;="&amp;$C$7,BD!$A$3:$A$5001,"&lt;="&amp;$B259,BD!$Y$3:$Y$5001,"&lt;&gt;"))))</f>
        <v/>
      </c>
      <c r="I259" s="43" t="str">
        <f>IF(OR($B259="",$A259&gt;$B$9,I$241=""),"",IF(COUNTIFS(BD!$B$3:$B$5001,I$241,BD!$A$3:$A$5001,"&gt;="&amp;$C$7,BD!$A$3:$A$5001,"&lt;="&amp;$B259,BD!$Y$3:$Y$5001,"&lt;&gt;")=0,"",SUMIFS(BD!$Y$3:$Y$5001,BD!$B$3:$B$5001,I$241,BD!$A$3:$A$5001,_xlfn.MAXIFS(BD!$A$3:$A$5001,BD!$B$3:$B$5001,I$241,BD!$A$3:$A$5001,"&gt;="&amp;$C$7,BD!$A$3:$A$5001,"&lt;="&amp;$B259,BD!$Y$3:$Y$5001,"&lt;&gt;"))))</f>
        <v/>
      </c>
      <c r="J259" s="43" t="str">
        <f>IF(OR($B259="",$A259&gt;$B$9,J$241=""),"",IF(COUNTIFS(BD!$B$3:$B$5001,J$241,BD!$A$3:$A$5001,"&gt;="&amp;$C$7,BD!$A$3:$A$5001,"&lt;="&amp;$B259,BD!$Y$3:$Y$5001,"&lt;&gt;")=0,"",SUMIFS(BD!$Y$3:$Y$5001,BD!$B$3:$B$5001,J$241,BD!$A$3:$A$5001,_xlfn.MAXIFS(BD!$A$3:$A$5001,BD!$B$3:$B$5001,J$241,BD!$A$3:$A$5001,"&gt;="&amp;$C$7,BD!$A$3:$A$5001,"&lt;="&amp;$B259,BD!$Y$3:$Y$5001,"&lt;&gt;"))))</f>
        <v/>
      </c>
      <c r="K259" s="43" t="str">
        <f>IF(OR($B259="",$A259&gt;$B$9,K$241=""),"",IF(COUNTIFS(BD!$B$3:$B$5001,K$241,BD!$A$3:$A$5001,"&gt;="&amp;$C$7,BD!$A$3:$A$5001,"&lt;="&amp;$B259,BD!$Y$3:$Y$5001,"&lt;&gt;")=0,"",SUMIFS(BD!$Y$3:$Y$5001,BD!$B$3:$B$5001,K$241,BD!$A$3:$A$5001,_xlfn.MAXIFS(BD!$A$3:$A$5001,BD!$B$3:$B$5001,K$241,BD!$A$3:$A$5001,"&gt;="&amp;$C$7,BD!$A$3:$A$5001,"&lt;="&amp;$B259,BD!$Y$3:$Y$5001,"&lt;&gt;"))))</f>
        <v/>
      </c>
      <c r="L259" s="43" t="str">
        <f>IF(OR($B259="",$A259&gt;$B$9,L$241=""),"",IF(COUNTIFS(BD!$B$3:$B$5001,L$241,BD!$A$3:$A$5001,"&gt;="&amp;$C$7,BD!$A$3:$A$5001,"&lt;="&amp;$B259,BD!$Y$3:$Y$5001,"&lt;&gt;")=0,"",SUMIFS(BD!$Y$3:$Y$5001,BD!$B$3:$B$5001,L$241,BD!$A$3:$A$5001,_xlfn.MAXIFS(BD!$A$3:$A$5001,BD!$B$3:$B$5001,L$241,BD!$A$3:$A$5001,"&gt;="&amp;$C$7,BD!$A$3:$A$5001,"&lt;="&amp;$B259,BD!$Y$3:$Y$5001,"&lt;&gt;"))))</f>
        <v/>
      </c>
      <c r="M259" s="43" t="str">
        <f>IF(OR($B259="",$A259&gt;$B$9,M$241=""),"",IF(COUNTIFS(BD!$B$3:$B$5001,M$241,BD!$A$3:$A$5001,"&gt;="&amp;$C$7,BD!$A$3:$A$5001,"&lt;="&amp;$B259,BD!$Y$3:$Y$5001,"&lt;&gt;")=0,"",SUMIFS(BD!$Y$3:$Y$5001,BD!$B$3:$B$5001,M$241,BD!$A$3:$A$5001,_xlfn.MAXIFS(BD!$A$3:$A$5001,BD!$B$3:$B$5001,M$241,BD!$A$3:$A$5001,"&gt;="&amp;$C$7,BD!$A$3:$A$5001,"&lt;="&amp;$B259,BD!$Y$3:$Y$5001,"&lt;&gt;"))))</f>
        <v/>
      </c>
      <c r="N259" s="43" t="str">
        <f>IF(OR($B259="",$A259&gt;$B$9,N$241=""),"",IF(COUNTIFS(BD!$B$3:$B$5001,N$241,BD!$A$3:$A$5001,"&gt;="&amp;$C$7,BD!$A$3:$A$5001,"&lt;="&amp;$B259,BD!$Y$3:$Y$5001,"&lt;&gt;")=0,"",SUMIFS(BD!$Y$3:$Y$5001,BD!$B$3:$B$5001,N$241,BD!$A$3:$A$5001,_xlfn.MAXIFS(BD!$A$3:$A$5001,BD!$B$3:$B$5001,N$241,BD!$A$3:$A$5001,"&gt;="&amp;$C$7,BD!$A$3:$A$5001,"&lt;="&amp;$B259,BD!$Y$3:$Y$5001,"&lt;&gt;"))))</f>
        <v/>
      </c>
      <c r="O259" s="43" t="str">
        <f>IF(OR($B259="",$A259&gt;$B$9,O$241=""),"",IF(COUNTIFS(BD!$B$3:$B$5001,O$241,BD!$A$3:$A$5001,"&gt;="&amp;$C$7,BD!$A$3:$A$5001,"&lt;="&amp;$B259,BD!$Y$3:$Y$5001,"&lt;&gt;")=0,"",SUMIFS(BD!$Y$3:$Y$5001,BD!$B$3:$B$5001,O$241,BD!$A$3:$A$5001,_xlfn.MAXIFS(BD!$A$3:$A$5001,BD!$B$3:$B$5001,O$241,BD!$A$3:$A$5001,"&gt;="&amp;$C$7,BD!$A$3:$A$5001,"&lt;="&amp;$B259,BD!$Y$3:$Y$5001,"&lt;&gt;"))))</f>
        <v/>
      </c>
      <c r="P259" s="43" t="str">
        <f>IF(OR($B259="",$A259&gt;$B$9,P$241=""),"",IF(COUNTIFS(BD!$B$3:$B$5001,P$241,BD!$A$3:$A$5001,"&gt;="&amp;$C$7,BD!$A$3:$A$5001,"&lt;="&amp;$B259,BD!$Y$3:$Y$5001,"&lt;&gt;")=0,"",SUMIFS(BD!$Y$3:$Y$5001,BD!$B$3:$B$5001,P$241,BD!$A$3:$A$5001,_xlfn.MAXIFS(BD!$A$3:$A$5001,BD!$B$3:$B$5001,P$241,BD!$A$3:$A$5001,"&gt;="&amp;$C$7,BD!$A$3:$A$5001,"&lt;="&amp;$B259,BD!$Y$3:$Y$5001,"&lt;&gt;"))))</f>
        <v/>
      </c>
      <c r="Q259" s="43" t="str">
        <f>IF(OR($B259="",$A259&gt;$B$9,Q$241=""),"",IF(COUNTIFS(BD!$B$3:$B$5001,Q$241,BD!$A$3:$A$5001,"&gt;="&amp;$C$7,BD!$A$3:$A$5001,"&lt;="&amp;$B259,BD!$Y$3:$Y$5001,"&lt;&gt;")=0,"",SUMIFS(BD!$Y$3:$Y$5001,BD!$B$3:$B$5001,Q$241,BD!$A$3:$A$5001,_xlfn.MAXIFS(BD!$A$3:$A$5001,BD!$B$3:$B$5001,Q$241,BD!$A$3:$A$5001,"&gt;="&amp;$C$7,BD!$A$3:$A$5001,"&lt;="&amp;$B259,BD!$Y$3:$Y$5001,"&lt;&gt;"))))</f>
        <v/>
      </c>
      <c r="R259" s="43" t="str">
        <f>IF(OR($B259="",$A259&gt;$B$9,R$241=""),"",IF(COUNTIFS(BD!$B$3:$B$5001,R$241,BD!$A$3:$A$5001,"&gt;="&amp;$C$7,BD!$A$3:$A$5001,"&lt;="&amp;$B259,BD!$Y$3:$Y$5001,"&lt;&gt;")=0,"",SUMIFS(BD!$Y$3:$Y$5001,BD!$B$3:$B$5001,R$241,BD!$A$3:$A$5001,_xlfn.MAXIFS(BD!$A$3:$A$5001,BD!$B$3:$B$5001,R$241,BD!$A$3:$A$5001,"&gt;="&amp;$C$7,BD!$A$3:$A$5001,"&lt;="&amp;$B259,BD!$Y$3:$Y$5001,"&lt;&gt;"))))</f>
        <v/>
      </c>
      <c r="S259" s="43" t="str">
        <f>IF(OR($B259="",$A259&gt;$B$9,S$241=""),"",IF(COUNTIFS(BD!$B$3:$B$5001,S$241,BD!$A$3:$A$5001,"&gt;="&amp;$C$7,BD!$A$3:$A$5001,"&lt;="&amp;$B259,BD!$Y$3:$Y$5001,"&lt;&gt;")=0,"",SUMIFS(BD!$Y$3:$Y$5001,BD!$B$3:$B$5001,S$241,BD!$A$3:$A$5001,_xlfn.MAXIFS(BD!$A$3:$A$5001,BD!$B$3:$B$5001,S$241,BD!$A$3:$A$5001,"&gt;="&amp;$C$7,BD!$A$3:$A$5001,"&lt;="&amp;$B259,BD!$Y$3:$Y$5001,"&lt;&gt;"))))</f>
        <v/>
      </c>
      <c r="T259" s="43" t="str">
        <f>IF(OR($B259="",$A259&gt;$B$9,T$241=""),"",IF(COUNTIFS(BD!$B$3:$B$5001,T$241,BD!$A$3:$A$5001,"&gt;="&amp;$C$7,BD!$A$3:$A$5001,"&lt;="&amp;$B259,BD!$Y$3:$Y$5001,"&lt;&gt;")=0,"",SUMIFS(BD!$Y$3:$Y$5001,BD!$B$3:$B$5001,T$241,BD!$A$3:$A$5001,_xlfn.MAXIFS(BD!$A$3:$A$5001,BD!$B$3:$B$5001,T$241,BD!$A$3:$A$5001,"&gt;="&amp;$C$7,BD!$A$3:$A$5001,"&lt;="&amp;$B259,BD!$Y$3:$Y$5001,"&lt;&gt;"))))</f>
        <v/>
      </c>
      <c r="U259" s="43" t="str">
        <f>IF(OR($B259="",$A259&gt;$B$9,U$241=""),"",IF(COUNTIFS(BD!$B$3:$B$5001,U$241,BD!$A$3:$A$5001,"&gt;="&amp;$C$7,BD!$A$3:$A$5001,"&lt;="&amp;$B259,BD!$Y$3:$Y$5001,"&lt;&gt;")=0,"",SUMIFS(BD!$Y$3:$Y$5001,BD!$B$3:$B$5001,U$241,BD!$A$3:$A$5001,_xlfn.MAXIFS(BD!$A$3:$A$5001,BD!$B$3:$B$5001,U$241,BD!$A$3:$A$5001,"&gt;="&amp;$C$7,BD!$A$3:$A$5001,"&lt;="&amp;$B259,BD!$Y$3:$Y$5001,"&lt;&gt;"))))</f>
        <v/>
      </c>
      <c r="V259" s="43" t="str">
        <f>IF(OR($B259="",$A259&gt;$B$9,V$241=""),"",IF(COUNTIFS(BD!$B$3:$B$5001,V$241,BD!$A$3:$A$5001,"&gt;="&amp;$C$7,BD!$A$3:$A$5001,"&lt;="&amp;$B259,BD!$Y$3:$Y$5001,"&lt;&gt;")=0,"",SUMIFS(BD!$Y$3:$Y$5001,BD!$B$3:$B$5001,V$241,BD!$A$3:$A$5001,_xlfn.MAXIFS(BD!$A$3:$A$5001,BD!$B$3:$B$5001,V$241,BD!$A$3:$A$5001,"&gt;="&amp;$C$7,BD!$A$3:$A$5001,"&lt;="&amp;$B259,BD!$Y$3:$Y$5001,"&lt;&gt;"))))</f>
        <v/>
      </c>
    </row>
    <row r="260">
      <c r="A260" s="38">
        <v>19</v>
      </c>
      <c r="B260" s="42">
        <f>$B$30</f>
        <v>46314</v>
      </c>
      <c r="C260" s="43" t="str">
        <f>IF(OR($B260="",$A260&gt;$B$9,C$241=""),"",IF(COUNTIFS(BD!$B$3:$B$5001,C$241,BD!$A$3:$A$5001,"&gt;="&amp;$C$7,BD!$A$3:$A$5001,"&lt;="&amp;$B260,BD!$Y$3:$Y$5001,"&lt;&gt;")=0,"",SUMIFS(BD!$Y$3:$Y$5001,BD!$B$3:$B$5001,C$241,BD!$A$3:$A$5001,_xlfn.MAXIFS(BD!$A$3:$A$5001,BD!$B$3:$B$5001,C$241,BD!$A$3:$A$5001,"&gt;="&amp;$C$7,BD!$A$3:$A$5001,"&lt;="&amp;$B260,BD!$Y$3:$Y$5001,"&lt;&gt;"))))</f>
        <v/>
      </c>
      <c r="D260" s="43" t="str">
        <f>IF(OR($B260="",$A260&gt;$B$9,D$241=""),"",IF(COUNTIFS(BD!$B$3:$B$5001,D$241,BD!$A$3:$A$5001,"&gt;="&amp;$C$7,BD!$A$3:$A$5001,"&lt;="&amp;$B260,BD!$Y$3:$Y$5001,"&lt;&gt;")=0,"",SUMIFS(BD!$Y$3:$Y$5001,BD!$B$3:$B$5001,D$241,BD!$A$3:$A$5001,_xlfn.MAXIFS(BD!$A$3:$A$5001,BD!$B$3:$B$5001,D$241,BD!$A$3:$A$5001,"&gt;="&amp;$C$7,BD!$A$3:$A$5001,"&lt;="&amp;$B260,BD!$Y$3:$Y$5001,"&lt;&gt;"))))</f>
        <v/>
      </c>
      <c r="E260" s="43" t="str">
        <f>IF(OR($B260="",$A260&gt;$B$9,E$241=""),"",IF(COUNTIFS(BD!$B$3:$B$5001,E$241,BD!$A$3:$A$5001,"&gt;="&amp;$C$7,BD!$A$3:$A$5001,"&lt;="&amp;$B260,BD!$Y$3:$Y$5001,"&lt;&gt;")=0,"",SUMIFS(BD!$Y$3:$Y$5001,BD!$B$3:$B$5001,E$241,BD!$A$3:$A$5001,_xlfn.MAXIFS(BD!$A$3:$A$5001,BD!$B$3:$B$5001,E$241,BD!$A$3:$A$5001,"&gt;="&amp;$C$7,BD!$A$3:$A$5001,"&lt;="&amp;$B260,BD!$Y$3:$Y$5001,"&lt;&gt;"))))</f>
        <v/>
      </c>
      <c r="F260" s="43" t="str">
        <f>IF(OR($B260="",$A260&gt;$B$9,F$241=""),"",IF(COUNTIFS(BD!$B$3:$B$5001,F$241,BD!$A$3:$A$5001,"&gt;="&amp;$C$7,BD!$A$3:$A$5001,"&lt;="&amp;$B260,BD!$Y$3:$Y$5001,"&lt;&gt;")=0,"",SUMIFS(BD!$Y$3:$Y$5001,BD!$B$3:$B$5001,F$241,BD!$A$3:$A$5001,_xlfn.MAXIFS(BD!$A$3:$A$5001,BD!$B$3:$B$5001,F$241,BD!$A$3:$A$5001,"&gt;="&amp;$C$7,BD!$A$3:$A$5001,"&lt;="&amp;$B260,BD!$Y$3:$Y$5001,"&lt;&gt;"))))</f>
        <v/>
      </c>
      <c r="G260" s="43" t="str">
        <f>IF(OR($B260="",$A260&gt;$B$9,G$241=""),"",IF(COUNTIFS(BD!$B$3:$B$5001,G$241,BD!$A$3:$A$5001,"&gt;="&amp;$C$7,BD!$A$3:$A$5001,"&lt;="&amp;$B260,BD!$Y$3:$Y$5001,"&lt;&gt;")=0,"",SUMIFS(BD!$Y$3:$Y$5001,BD!$B$3:$B$5001,G$241,BD!$A$3:$A$5001,_xlfn.MAXIFS(BD!$A$3:$A$5001,BD!$B$3:$B$5001,G$241,BD!$A$3:$A$5001,"&gt;="&amp;$C$7,BD!$A$3:$A$5001,"&lt;="&amp;$B260,BD!$Y$3:$Y$5001,"&lt;&gt;"))))</f>
        <v/>
      </c>
      <c r="H260" s="43" t="str">
        <f>IF(OR($B260="",$A260&gt;$B$9,H$241=""),"",IF(COUNTIFS(BD!$B$3:$B$5001,H$241,BD!$A$3:$A$5001,"&gt;="&amp;$C$7,BD!$A$3:$A$5001,"&lt;="&amp;$B260,BD!$Y$3:$Y$5001,"&lt;&gt;")=0,"",SUMIFS(BD!$Y$3:$Y$5001,BD!$B$3:$B$5001,H$241,BD!$A$3:$A$5001,_xlfn.MAXIFS(BD!$A$3:$A$5001,BD!$B$3:$B$5001,H$241,BD!$A$3:$A$5001,"&gt;="&amp;$C$7,BD!$A$3:$A$5001,"&lt;="&amp;$B260,BD!$Y$3:$Y$5001,"&lt;&gt;"))))</f>
        <v/>
      </c>
      <c r="I260" s="43" t="str">
        <f>IF(OR($B260="",$A260&gt;$B$9,I$241=""),"",IF(COUNTIFS(BD!$B$3:$B$5001,I$241,BD!$A$3:$A$5001,"&gt;="&amp;$C$7,BD!$A$3:$A$5001,"&lt;="&amp;$B260,BD!$Y$3:$Y$5001,"&lt;&gt;")=0,"",SUMIFS(BD!$Y$3:$Y$5001,BD!$B$3:$B$5001,I$241,BD!$A$3:$A$5001,_xlfn.MAXIFS(BD!$A$3:$A$5001,BD!$B$3:$B$5001,I$241,BD!$A$3:$A$5001,"&gt;="&amp;$C$7,BD!$A$3:$A$5001,"&lt;="&amp;$B260,BD!$Y$3:$Y$5001,"&lt;&gt;"))))</f>
        <v/>
      </c>
      <c r="J260" s="43" t="str">
        <f>IF(OR($B260="",$A260&gt;$B$9,J$241=""),"",IF(COUNTIFS(BD!$B$3:$B$5001,J$241,BD!$A$3:$A$5001,"&gt;="&amp;$C$7,BD!$A$3:$A$5001,"&lt;="&amp;$B260,BD!$Y$3:$Y$5001,"&lt;&gt;")=0,"",SUMIFS(BD!$Y$3:$Y$5001,BD!$B$3:$B$5001,J$241,BD!$A$3:$A$5001,_xlfn.MAXIFS(BD!$A$3:$A$5001,BD!$B$3:$B$5001,J$241,BD!$A$3:$A$5001,"&gt;="&amp;$C$7,BD!$A$3:$A$5001,"&lt;="&amp;$B260,BD!$Y$3:$Y$5001,"&lt;&gt;"))))</f>
        <v/>
      </c>
      <c r="K260" s="43" t="str">
        <f>IF(OR($B260="",$A260&gt;$B$9,K$241=""),"",IF(COUNTIFS(BD!$B$3:$B$5001,K$241,BD!$A$3:$A$5001,"&gt;="&amp;$C$7,BD!$A$3:$A$5001,"&lt;="&amp;$B260,BD!$Y$3:$Y$5001,"&lt;&gt;")=0,"",SUMIFS(BD!$Y$3:$Y$5001,BD!$B$3:$B$5001,K$241,BD!$A$3:$A$5001,_xlfn.MAXIFS(BD!$A$3:$A$5001,BD!$B$3:$B$5001,K$241,BD!$A$3:$A$5001,"&gt;="&amp;$C$7,BD!$A$3:$A$5001,"&lt;="&amp;$B260,BD!$Y$3:$Y$5001,"&lt;&gt;"))))</f>
        <v/>
      </c>
      <c r="L260" s="43" t="str">
        <f>IF(OR($B260="",$A260&gt;$B$9,L$241=""),"",IF(COUNTIFS(BD!$B$3:$B$5001,L$241,BD!$A$3:$A$5001,"&gt;="&amp;$C$7,BD!$A$3:$A$5001,"&lt;="&amp;$B260,BD!$Y$3:$Y$5001,"&lt;&gt;")=0,"",SUMIFS(BD!$Y$3:$Y$5001,BD!$B$3:$B$5001,L$241,BD!$A$3:$A$5001,_xlfn.MAXIFS(BD!$A$3:$A$5001,BD!$B$3:$B$5001,L$241,BD!$A$3:$A$5001,"&gt;="&amp;$C$7,BD!$A$3:$A$5001,"&lt;="&amp;$B260,BD!$Y$3:$Y$5001,"&lt;&gt;"))))</f>
        <v/>
      </c>
      <c r="M260" s="43" t="str">
        <f>IF(OR($B260="",$A260&gt;$B$9,M$241=""),"",IF(COUNTIFS(BD!$B$3:$B$5001,M$241,BD!$A$3:$A$5001,"&gt;="&amp;$C$7,BD!$A$3:$A$5001,"&lt;="&amp;$B260,BD!$Y$3:$Y$5001,"&lt;&gt;")=0,"",SUMIFS(BD!$Y$3:$Y$5001,BD!$B$3:$B$5001,M$241,BD!$A$3:$A$5001,_xlfn.MAXIFS(BD!$A$3:$A$5001,BD!$B$3:$B$5001,M$241,BD!$A$3:$A$5001,"&gt;="&amp;$C$7,BD!$A$3:$A$5001,"&lt;="&amp;$B260,BD!$Y$3:$Y$5001,"&lt;&gt;"))))</f>
        <v/>
      </c>
      <c r="N260" s="43" t="str">
        <f>IF(OR($B260="",$A260&gt;$B$9,N$241=""),"",IF(COUNTIFS(BD!$B$3:$B$5001,N$241,BD!$A$3:$A$5001,"&gt;="&amp;$C$7,BD!$A$3:$A$5001,"&lt;="&amp;$B260,BD!$Y$3:$Y$5001,"&lt;&gt;")=0,"",SUMIFS(BD!$Y$3:$Y$5001,BD!$B$3:$B$5001,N$241,BD!$A$3:$A$5001,_xlfn.MAXIFS(BD!$A$3:$A$5001,BD!$B$3:$B$5001,N$241,BD!$A$3:$A$5001,"&gt;="&amp;$C$7,BD!$A$3:$A$5001,"&lt;="&amp;$B260,BD!$Y$3:$Y$5001,"&lt;&gt;"))))</f>
        <v/>
      </c>
      <c r="O260" s="43" t="str">
        <f>IF(OR($B260="",$A260&gt;$B$9,O$241=""),"",IF(COUNTIFS(BD!$B$3:$B$5001,O$241,BD!$A$3:$A$5001,"&gt;="&amp;$C$7,BD!$A$3:$A$5001,"&lt;="&amp;$B260,BD!$Y$3:$Y$5001,"&lt;&gt;")=0,"",SUMIFS(BD!$Y$3:$Y$5001,BD!$B$3:$B$5001,O$241,BD!$A$3:$A$5001,_xlfn.MAXIFS(BD!$A$3:$A$5001,BD!$B$3:$B$5001,O$241,BD!$A$3:$A$5001,"&gt;="&amp;$C$7,BD!$A$3:$A$5001,"&lt;="&amp;$B260,BD!$Y$3:$Y$5001,"&lt;&gt;"))))</f>
        <v/>
      </c>
      <c r="P260" s="43" t="str">
        <f>IF(OR($B260="",$A260&gt;$B$9,P$241=""),"",IF(COUNTIFS(BD!$B$3:$B$5001,P$241,BD!$A$3:$A$5001,"&gt;="&amp;$C$7,BD!$A$3:$A$5001,"&lt;="&amp;$B260,BD!$Y$3:$Y$5001,"&lt;&gt;")=0,"",SUMIFS(BD!$Y$3:$Y$5001,BD!$B$3:$B$5001,P$241,BD!$A$3:$A$5001,_xlfn.MAXIFS(BD!$A$3:$A$5001,BD!$B$3:$B$5001,P$241,BD!$A$3:$A$5001,"&gt;="&amp;$C$7,BD!$A$3:$A$5001,"&lt;="&amp;$B260,BD!$Y$3:$Y$5001,"&lt;&gt;"))))</f>
        <v/>
      </c>
      <c r="Q260" s="43" t="str">
        <f>IF(OR($B260="",$A260&gt;$B$9,Q$241=""),"",IF(COUNTIFS(BD!$B$3:$B$5001,Q$241,BD!$A$3:$A$5001,"&gt;="&amp;$C$7,BD!$A$3:$A$5001,"&lt;="&amp;$B260,BD!$Y$3:$Y$5001,"&lt;&gt;")=0,"",SUMIFS(BD!$Y$3:$Y$5001,BD!$B$3:$B$5001,Q$241,BD!$A$3:$A$5001,_xlfn.MAXIFS(BD!$A$3:$A$5001,BD!$B$3:$B$5001,Q$241,BD!$A$3:$A$5001,"&gt;="&amp;$C$7,BD!$A$3:$A$5001,"&lt;="&amp;$B260,BD!$Y$3:$Y$5001,"&lt;&gt;"))))</f>
        <v/>
      </c>
      <c r="R260" s="43" t="str">
        <f>IF(OR($B260="",$A260&gt;$B$9,R$241=""),"",IF(COUNTIFS(BD!$B$3:$B$5001,R$241,BD!$A$3:$A$5001,"&gt;="&amp;$C$7,BD!$A$3:$A$5001,"&lt;="&amp;$B260,BD!$Y$3:$Y$5001,"&lt;&gt;")=0,"",SUMIFS(BD!$Y$3:$Y$5001,BD!$B$3:$B$5001,R$241,BD!$A$3:$A$5001,_xlfn.MAXIFS(BD!$A$3:$A$5001,BD!$B$3:$B$5001,R$241,BD!$A$3:$A$5001,"&gt;="&amp;$C$7,BD!$A$3:$A$5001,"&lt;="&amp;$B260,BD!$Y$3:$Y$5001,"&lt;&gt;"))))</f>
        <v/>
      </c>
      <c r="S260" s="43" t="str">
        <f>IF(OR($B260="",$A260&gt;$B$9,S$241=""),"",IF(COUNTIFS(BD!$B$3:$B$5001,S$241,BD!$A$3:$A$5001,"&gt;="&amp;$C$7,BD!$A$3:$A$5001,"&lt;="&amp;$B260,BD!$Y$3:$Y$5001,"&lt;&gt;")=0,"",SUMIFS(BD!$Y$3:$Y$5001,BD!$B$3:$B$5001,S$241,BD!$A$3:$A$5001,_xlfn.MAXIFS(BD!$A$3:$A$5001,BD!$B$3:$B$5001,S$241,BD!$A$3:$A$5001,"&gt;="&amp;$C$7,BD!$A$3:$A$5001,"&lt;="&amp;$B260,BD!$Y$3:$Y$5001,"&lt;&gt;"))))</f>
        <v/>
      </c>
      <c r="T260" s="43" t="str">
        <f>IF(OR($B260="",$A260&gt;$B$9,T$241=""),"",IF(COUNTIFS(BD!$B$3:$B$5001,T$241,BD!$A$3:$A$5001,"&gt;="&amp;$C$7,BD!$A$3:$A$5001,"&lt;="&amp;$B260,BD!$Y$3:$Y$5001,"&lt;&gt;")=0,"",SUMIFS(BD!$Y$3:$Y$5001,BD!$B$3:$B$5001,T$241,BD!$A$3:$A$5001,_xlfn.MAXIFS(BD!$A$3:$A$5001,BD!$B$3:$B$5001,T$241,BD!$A$3:$A$5001,"&gt;="&amp;$C$7,BD!$A$3:$A$5001,"&lt;="&amp;$B260,BD!$Y$3:$Y$5001,"&lt;&gt;"))))</f>
        <v/>
      </c>
      <c r="U260" s="43" t="str">
        <f>IF(OR($B260="",$A260&gt;$B$9,U$241=""),"",IF(COUNTIFS(BD!$B$3:$B$5001,U$241,BD!$A$3:$A$5001,"&gt;="&amp;$C$7,BD!$A$3:$A$5001,"&lt;="&amp;$B260,BD!$Y$3:$Y$5001,"&lt;&gt;")=0,"",SUMIFS(BD!$Y$3:$Y$5001,BD!$B$3:$B$5001,U$241,BD!$A$3:$A$5001,_xlfn.MAXIFS(BD!$A$3:$A$5001,BD!$B$3:$B$5001,U$241,BD!$A$3:$A$5001,"&gt;="&amp;$C$7,BD!$A$3:$A$5001,"&lt;="&amp;$B260,BD!$Y$3:$Y$5001,"&lt;&gt;"))))</f>
        <v/>
      </c>
      <c r="V260" s="43" t="str">
        <f>IF(OR($B260="",$A260&gt;$B$9,V$241=""),"",IF(COUNTIFS(BD!$B$3:$B$5001,V$241,BD!$A$3:$A$5001,"&gt;="&amp;$C$7,BD!$A$3:$A$5001,"&lt;="&amp;$B260,BD!$Y$3:$Y$5001,"&lt;&gt;")=0,"",SUMIFS(BD!$Y$3:$Y$5001,BD!$B$3:$B$5001,V$241,BD!$A$3:$A$5001,_xlfn.MAXIFS(BD!$A$3:$A$5001,BD!$B$3:$B$5001,V$241,BD!$A$3:$A$5001,"&gt;="&amp;$C$7,BD!$A$3:$A$5001,"&lt;="&amp;$B260,BD!$Y$3:$Y$5001,"&lt;&gt;"))))</f>
        <v/>
      </c>
    </row>
    <row r="261">
      <c r="A261" s="38">
        <v>20</v>
      </c>
      <c r="B261" s="42">
        <f>$B$31</f>
        <v>46315</v>
      </c>
      <c r="C261" s="43" t="str">
        <f>IF(OR($B261="",$A261&gt;$B$9,C$241=""),"",IF(COUNTIFS(BD!$B$3:$B$5001,C$241,BD!$A$3:$A$5001,"&gt;="&amp;$C$7,BD!$A$3:$A$5001,"&lt;="&amp;$B261,BD!$Y$3:$Y$5001,"&lt;&gt;")=0,"",SUMIFS(BD!$Y$3:$Y$5001,BD!$B$3:$B$5001,C$241,BD!$A$3:$A$5001,_xlfn.MAXIFS(BD!$A$3:$A$5001,BD!$B$3:$B$5001,C$241,BD!$A$3:$A$5001,"&gt;="&amp;$C$7,BD!$A$3:$A$5001,"&lt;="&amp;$B261,BD!$Y$3:$Y$5001,"&lt;&gt;"))))</f>
        <v/>
      </c>
      <c r="D261" s="43" t="str">
        <f>IF(OR($B261="",$A261&gt;$B$9,D$241=""),"",IF(COUNTIFS(BD!$B$3:$B$5001,D$241,BD!$A$3:$A$5001,"&gt;="&amp;$C$7,BD!$A$3:$A$5001,"&lt;="&amp;$B261,BD!$Y$3:$Y$5001,"&lt;&gt;")=0,"",SUMIFS(BD!$Y$3:$Y$5001,BD!$B$3:$B$5001,D$241,BD!$A$3:$A$5001,_xlfn.MAXIFS(BD!$A$3:$A$5001,BD!$B$3:$B$5001,D$241,BD!$A$3:$A$5001,"&gt;="&amp;$C$7,BD!$A$3:$A$5001,"&lt;="&amp;$B261,BD!$Y$3:$Y$5001,"&lt;&gt;"))))</f>
        <v/>
      </c>
      <c r="E261" s="43" t="str">
        <f>IF(OR($B261="",$A261&gt;$B$9,E$241=""),"",IF(COUNTIFS(BD!$B$3:$B$5001,E$241,BD!$A$3:$A$5001,"&gt;="&amp;$C$7,BD!$A$3:$A$5001,"&lt;="&amp;$B261,BD!$Y$3:$Y$5001,"&lt;&gt;")=0,"",SUMIFS(BD!$Y$3:$Y$5001,BD!$B$3:$B$5001,E$241,BD!$A$3:$A$5001,_xlfn.MAXIFS(BD!$A$3:$A$5001,BD!$B$3:$B$5001,E$241,BD!$A$3:$A$5001,"&gt;="&amp;$C$7,BD!$A$3:$A$5001,"&lt;="&amp;$B261,BD!$Y$3:$Y$5001,"&lt;&gt;"))))</f>
        <v/>
      </c>
      <c r="F261" s="43" t="str">
        <f>IF(OR($B261="",$A261&gt;$B$9,F$241=""),"",IF(COUNTIFS(BD!$B$3:$B$5001,F$241,BD!$A$3:$A$5001,"&gt;="&amp;$C$7,BD!$A$3:$A$5001,"&lt;="&amp;$B261,BD!$Y$3:$Y$5001,"&lt;&gt;")=0,"",SUMIFS(BD!$Y$3:$Y$5001,BD!$B$3:$B$5001,F$241,BD!$A$3:$A$5001,_xlfn.MAXIFS(BD!$A$3:$A$5001,BD!$B$3:$B$5001,F$241,BD!$A$3:$A$5001,"&gt;="&amp;$C$7,BD!$A$3:$A$5001,"&lt;="&amp;$B261,BD!$Y$3:$Y$5001,"&lt;&gt;"))))</f>
        <v/>
      </c>
      <c r="G261" s="43" t="str">
        <f>IF(OR($B261="",$A261&gt;$B$9,G$241=""),"",IF(COUNTIFS(BD!$B$3:$B$5001,G$241,BD!$A$3:$A$5001,"&gt;="&amp;$C$7,BD!$A$3:$A$5001,"&lt;="&amp;$B261,BD!$Y$3:$Y$5001,"&lt;&gt;")=0,"",SUMIFS(BD!$Y$3:$Y$5001,BD!$B$3:$B$5001,G$241,BD!$A$3:$A$5001,_xlfn.MAXIFS(BD!$A$3:$A$5001,BD!$B$3:$B$5001,G$241,BD!$A$3:$A$5001,"&gt;="&amp;$C$7,BD!$A$3:$A$5001,"&lt;="&amp;$B261,BD!$Y$3:$Y$5001,"&lt;&gt;"))))</f>
        <v/>
      </c>
      <c r="H261" s="43" t="str">
        <f>IF(OR($B261="",$A261&gt;$B$9,H$241=""),"",IF(COUNTIFS(BD!$B$3:$B$5001,H$241,BD!$A$3:$A$5001,"&gt;="&amp;$C$7,BD!$A$3:$A$5001,"&lt;="&amp;$B261,BD!$Y$3:$Y$5001,"&lt;&gt;")=0,"",SUMIFS(BD!$Y$3:$Y$5001,BD!$B$3:$B$5001,H$241,BD!$A$3:$A$5001,_xlfn.MAXIFS(BD!$A$3:$A$5001,BD!$B$3:$B$5001,H$241,BD!$A$3:$A$5001,"&gt;="&amp;$C$7,BD!$A$3:$A$5001,"&lt;="&amp;$B261,BD!$Y$3:$Y$5001,"&lt;&gt;"))))</f>
        <v/>
      </c>
      <c r="I261" s="43" t="str">
        <f>IF(OR($B261="",$A261&gt;$B$9,I$241=""),"",IF(COUNTIFS(BD!$B$3:$B$5001,I$241,BD!$A$3:$A$5001,"&gt;="&amp;$C$7,BD!$A$3:$A$5001,"&lt;="&amp;$B261,BD!$Y$3:$Y$5001,"&lt;&gt;")=0,"",SUMIFS(BD!$Y$3:$Y$5001,BD!$B$3:$B$5001,I$241,BD!$A$3:$A$5001,_xlfn.MAXIFS(BD!$A$3:$A$5001,BD!$B$3:$B$5001,I$241,BD!$A$3:$A$5001,"&gt;="&amp;$C$7,BD!$A$3:$A$5001,"&lt;="&amp;$B261,BD!$Y$3:$Y$5001,"&lt;&gt;"))))</f>
        <v/>
      </c>
      <c r="J261" s="43" t="str">
        <f>IF(OR($B261="",$A261&gt;$B$9,J$241=""),"",IF(COUNTIFS(BD!$B$3:$B$5001,J$241,BD!$A$3:$A$5001,"&gt;="&amp;$C$7,BD!$A$3:$A$5001,"&lt;="&amp;$B261,BD!$Y$3:$Y$5001,"&lt;&gt;")=0,"",SUMIFS(BD!$Y$3:$Y$5001,BD!$B$3:$B$5001,J$241,BD!$A$3:$A$5001,_xlfn.MAXIFS(BD!$A$3:$A$5001,BD!$B$3:$B$5001,J$241,BD!$A$3:$A$5001,"&gt;="&amp;$C$7,BD!$A$3:$A$5001,"&lt;="&amp;$B261,BD!$Y$3:$Y$5001,"&lt;&gt;"))))</f>
        <v/>
      </c>
      <c r="K261" s="43" t="str">
        <f>IF(OR($B261="",$A261&gt;$B$9,K$241=""),"",IF(COUNTIFS(BD!$B$3:$B$5001,K$241,BD!$A$3:$A$5001,"&gt;="&amp;$C$7,BD!$A$3:$A$5001,"&lt;="&amp;$B261,BD!$Y$3:$Y$5001,"&lt;&gt;")=0,"",SUMIFS(BD!$Y$3:$Y$5001,BD!$B$3:$B$5001,K$241,BD!$A$3:$A$5001,_xlfn.MAXIFS(BD!$A$3:$A$5001,BD!$B$3:$B$5001,K$241,BD!$A$3:$A$5001,"&gt;="&amp;$C$7,BD!$A$3:$A$5001,"&lt;="&amp;$B261,BD!$Y$3:$Y$5001,"&lt;&gt;"))))</f>
        <v/>
      </c>
      <c r="L261" s="43" t="str">
        <f>IF(OR($B261="",$A261&gt;$B$9,L$241=""),"",IF(COUNTIFS(BD!$B$3:$B$5001,L$241,BD!$A$3:$A$5001,"&gt;="&amp;$C$7,BD!$A$3:$A$5001,"&lt;="&amp;$B261,BD!$Y$3:$Y$5001,"&lt;&gt;")=0,"",SUMIFS(BD!$Y$3:$Y$5001,BD!$B$3:$B$5001,L$241,BD!$A$3:$A$5001,_xlfn.MAXIFS(BD!$A$3:$A$5001,BD!$B$3:$B$5001,L$241,BD!$A$3:$A$5001,"&gt;="&amp;$C$7,BD!$A$3:$A$5001,"&lt;="&amp;$B261,BD!$Y$3:$Y$5001,"&lt;&gt;"))))</f>
        <v/>
      </c>
      <c r="M261" s="43" t="str">
        <f>IF(OR($B261="",$A261&gt;$B$9,M$241=""),"",IF(COUNTIFS(BD!$B$3:$B$5001,M$241,BD!$A$3:$A$5001,"&gt;="&amp;$C$7,BD!$A$3:$A$5001,"&lt;="&amp;$B261,BD!$Y$3:$Y$5001,"&lt;&gt;")=0,"",SUMIFS(BD!$Y$3:$Y$5001,BD!$B$3:$B$5001,M$241,BD!$A$3:$A$5001,_xlfn.MAXIFS(BD!$A$3:$A$5001,BD!$B$3:$B$5001,M$241,BD!$A$3:$A$5001,"&gt;="&amp;$C$7,BD!$A$3:$A$5001,"&lt;="&amp;$B261,BD!$Y$3:$Y$5001,"&lt;&gt;"))))</f>
        <v/>
      </c>
      <c r="N261" s="43" t="str">
        <f>IF(OR($B261="",$A261&gt;$B$9,N$241=""),"",IF(COUNTIFS(BD!$B$3:$B$5001,N$241,BD!$A$3:$A$5001,"&gt;="&amp;$C$7,BD!$A$3:$A$5001,"&lt;="&amp;$B261,BD!$Y$3:$Y$5001,"&lt;&gt;")=0,"",SUMIFS(BD!$Y$3:$Y$5001,BD!$B$3:$B$5001,N$241,BD!$A$3:$A$5001,_xlfn.MAXIFS(BD!$A$3:$A$5001,BD!$B$3:$B$5001,N$241,BD!$A$3:$A$5001,"&gt;="&amp;$C$7,BD!$A$3:$A$5001,"&lt;="&amp;$B261,BD!$Y$3:$Y$5001,"&lt;&gt;"))))</f>
        <v/>
      </c>
      <c r="O261" s="43" t="str">
        <f>IF(OR($B261="",$A261&gt;$B$9,O$241=""),"",IF(COUNTIFS(BD!$B$3:$B$5001,O$241,BD!$A$3:$A$5001,"&gt;="&amp;$C$7,BD!$A$3:$A$5001,"&lt;="&amp;$B261,BD!$Y$3:$Y$5001,"&lt;&gt;")=0,"",SUMIFS(BD!$Y$3:$Y$5001,BD!$B$3:$B$5001,O$241,BD!$A$3:$A$5001,_xlfn.MAXIFS(BD!$A$3:$A$5001,BD!$B$3:$B$5001,O$241,BD!$A$3:$A$5001,"&gt;="&amp;$C$7,BD!$A$3:$A$5001,"&lt;="&amp;$B261,BD!$Y$3:$Y$5001,"&lt;&gt;"))))</f>
        <v/>
      </c>
      <c r="P261" s="43" t="str">
        <f>IF(OR($B261="",$A261&gt;$B$9,P$241=""),"",IF(COUNTIFS(BD!$B$3:$B$5001,P$241,BD!$A$3:$A$5001,"&gt;="&amp;$C$7,BD!$A$3:$A$5001,"&lt;="&amp;$B261,BD!$Y$3:$Y$5001,"&lt;&gt;")=0,"",SUMIFS(BD!$Y$3:$Y$5001,BD!$B$3:$B$5001,P$241,BD!$A$3:$A$5001,_xlfn.MAXIFS(BD!$A$3:$A$5001,BD!$B$3:$B$5001,P$241,BD!$A$3:$A$5001,"&gt;="&amp;$C$7,BD!$A$3:$A$5001,"&lt;="&amp;$B261,BD!$Y$3:$Y$5001,"&lt;&gt;"))))</f>
        <v/>
      </c>
      <c r="Q261" s="43" t="str">
        <f>IF(OR($B261="",$A261&gt;$B$9,Q$241=""),"",IF(COUNTIFS(BD!$B$3:$B$5001,Q$241,BD!$A$3:$A$5001,"&gt;="&amp;$C$7,BD!$A$3:$A$5001,"&lt;="&amp;$B261,BD!$Y$3:$Y$5001,"&lt;&gt;")=0,"",SUMIFS(BD!$Y$3:$Y$5001,BD!$B$3:$B$5001,Q$241,BD!$A$3:$A$5001,_xlfn.MAXIFS(BD!$A$3:$A$5001,BD!$B$3:$B$5001,Q$241,BD!$A$3:$A$5001,"&gt;="&amp;$C$7,BD!$A$3:$A$5001,"&lt;="&amp;$B261,BD!$Y$3:$Y$5001,"&lt;&gt;"))))</f>
        <v/>
      </c>
      <c r="R261" s="43" t="str">
        <f>IF(OR($B261="",$A261&gt;$B$9,R$241=""),"",IF(COUNTIFS(BD!$B$3:$B$5001,R$241,BD!$A$3:$A$5001,"&gt;="&amp;$C$7,BD!$A$3:$A$5001,"&lt;="&amp;$B261,BD!$Y$3:$Y$5001,"&lt;&gt;")=0,"",SUMIFS(BD!$Y$3:$Y$5001,BD!$B$3:$B$5001,R$241,BD!$A$3:$A$5001,_xlfn.MAXIFS(BD!$A$3:$A$5001,BD!$B$3:$B$5001,R$241,BD!$A$3:$A$5001,"&gt;="&amp;$C$7,BD!$A$3:$A$5001,"&lt;="&amp;$B261,BD!$Y$3:$Y$5001,"&lt;&gt;"))))</f>
        <v/>
      </c>
      <c r="S261" s="43" t="str">
        <f>IF(OR($B261="",$A261&gt;$B$9,S$241=""),"",IF(COUNTIFS(BD!$B$3:$B$5001,S$241,BD!$A$3:$A$5001,"&gt;="&amp;$C$7,BD!$A$3:$A$5001,"&lt;="&amp;$B261,BD!$Y$3:$Y$5001,"&lt;&gt;")=0,"",SUMIFS(BD!$Y$3:$Y$5001,BD!$B$3:$B$5001,S$241,BD!$A$3:$A$5001,_xlfn.MAXIFS(BD!$A$3:$A$5001,BD!$B$3:$B$5001,S$241,BD!$A$3:$A$5001,"&gt;="&amp;$C$7,BD!$A$3:$A$5001,"&lt;="&amp;$B261,BD!$Y$3:$Y$5001,"&lt;&gt;"))))</f>
        <v/>
      </c>
      <c r="T261" s="43" t="str">
        <f>IF(OR($B261="",$A261&gt;$B$9,T$241=""),"",IF(COUNTIFS(BD!$B$3:$B$5001,T$241,BD!$A$3:$A$5001,"&gt;="&amp;$C$7,BD!$A$3:$A$5001,"&lt;="&amp;$B261,BD!$Y$3:$Y$5001,"&lt;&gt;")=0,"",SUMIFS(BD!$Y$3:$Y$5001,BD!$B$3:$B$5001,T$241,BD!$A$3:$A$5001,_xlfn.MAXIFS(BD!$A$3:$A$5001,BD!$B$3:$B$5001,T$241,BD!$A$3:$A$5001,"&gt;="&amp;$C$7,BD!$A$3:$A$5001,"&lt;="&amp;$B261,BD!$Y$3:$Y$5001,"&lt;&gt;"))))</f>
        <v/>
      </c>
      <c r="U261" s="43" t="str">
        <f>IF(OR($B261="",$A261&gt;$B$9,U$241=""),"",IF(COUNTIFS(BD!$B$3:$B$5001,U$241,BD!$A$3:$A$5001,"&gt;="&amp;$C$7,BD!$A$3:$A$5001,"&lt;="&amp;$B261,BD!$Y$3:$Y$5001,"&lt;&gt;")=0,"",SUMIFS(BD!$Y$3:$Y$5001,BD!$B$3:$B$5001,U$241,BD!$A$3:$A$5001,_xlfn.MAXIFS(BD!$A$3:$A$5001,BD!$B$3:$B$5001,U$241,BD!$A$3:$A$5001,"&gt;="&amp;$C$7,BD!$A$3:$A$5001,"&lt;="&amp;$B261,BD!$Y$3:$Y$5001,"&lt;&gt;"))))</f>
        <v/>
      </c>
      <c r="V261" s="43" t="str">
        <f>IF(OR($B261="",$A261&gt;$B$9,V$241=""),"",IF(COUNTIFS(BD!$B$3:$B$5001,V$241,BD!$A$3:$A$5001,"&gt;="&amp;$C$7,BD!$A$3:$A$5001,"&lt;="&amp;$B261,BD!$Y$3:$Y$5001,"&lt;&gt;")=0,"",SUMIFS(BD!$Y$3:$Y$5001,BD!$B$3:$B$5001,V$241,BD!$A$3:$A$5001,_xlfn.MAXIFS(BD!$A$3:$A$5001,BD!$B$3:$B$5001,V$241,BD!$A$3:$A$5001,"&gt;="&amp;$C$7,BD!$A$3:$A$5001,"&lt;="&amp;$B261,BD!$Y$3:$Y$5001,"&lt;&gt;"))))</f>
        <v/>
      </c>
    </row>
    <row r="262">
      <c r="A262" s="38">
        <v>21</v>
      </c>
      <c r="B262" s="42">
        <f>$B$32</f>
        <v>46316</v>
      </c>
      <c r="C262" s="43" t="str">
        <f>IF(OR($B262="",$A262&gt;$B$9,C$241=""),"",IF(COUNTIFS(BD!$B$3:$B$5001,C$241,BD!$A$3:$A$5001,"&gt;="&amp;$C$7,BD!$A$3:$A$5001,"&lt;="&amp;$B262,BD!$Y$3:$Y$5001,"&lt;&gt;")=0,"",SUMIFS(BD!$Y$3:$Y$5001,BD!$B$3:$B$5001,C$241,BD!$A$3:$A$5001,_xlfn.MAXIFS(BD!$A$3:$A$5001,BD!$B$3:$B$5001,C$241,BD!$A$3:$A$5001,"&gt;="&amp;$C$7,BD!$A$3:$A$5001,"&lt;="&amp;$B262,BD!$Y$3:$Y$5001,"&lt;&gt;"))))</f>
        <v/>
      </c>
      <c r="D262" s="43" t="str">
        <f>IF(OR($B262="",$A262&gt;$B$9,D$241=""),"",IF(COUNTIFS(BD!$B$3:$B$5001,D$241,BD!$A$3:$A$5001,"&gt;="&amp;$C$7,BD!$A$3:$A$5001,"&lt;="&amp;$B262,BD!$Y$3:$Y$5001,"&lt;&gt;")=0,"",SUMIFS(BD!$Y$3:$Y$5001,BD!$B$3:$B$5001,D$241,BD!$A$3:$A$5001,_xlfn.MAXIFS(BD!$A$3:$A$5001,BD!$B$3:$B$5001,D$241,BD!$A$3:$A$5001,"&gt;="&amp;$C$7,BD!$A$3:$A$5001,"&lt;="&amp;$B262,BD!$Y$3:$Y$5001,"&lt;&gt;"))))</f>
        <v/>
      </c>
      <c r="E262" s="43" t="str">
        <f>IF(OR($B262="",$A262&gt;$B$9,E$241=""),"",IF(COUNTIFS(BD!$B$3:$B$5001,E$241,BD!$A$3:$A$5001,"&gt;="&amp;$C$7,BD!$A$3:$A$5001,"&lt;="&amp;$B262,BD!$Y$3:$Y$5001,"&lt;&gt;")=0,"",SUMIFS(BD!$Y$3:$Y$5001,BD!$B$3:$B$5001,E$241,BD!$A$3:$A$5001,_xlfn.MAXIFS(BD!$A$3:$A$5001,BD!$B$3:$B$5001,E$241,BD!$A$3:$A$5001,"&gt;="&amp;$C$7,BD!$A$3:$A$5001,"&lt;="&amp;$B262,BD!$Y$3:$Y$5001,"&lt;&gt;"))))</f>
        <v/>
      </c>
      <c r="F262" s="43" t="str">
        <f>IF(OR($B262="",$A262&gt;$B$9,F$241=""),"",IF(COUNTIFS(BD!$B$3:$B$5001,F$241,BD!$A$3:$A$5001,"&gt;="&amp;$C$7,BD!$A$3:$A$5001,"&lt;="&amp;$B262,BD!$Y$3:$Y$5001,"&lt;&gt;")=0,"",SUMIFS(BD!$Y$3:$Y$5001,BD!$B$3:$B$5001,F$241,BD!$A$3:$A$5001,_xlfn.MAXIFS(BD!$A$3:$A$5001,BD!$B$3:$B$5001,F$241,BD!$A$3:$A$5001,"&gt;="&amp;$C$7,BD!$A$3:$A$5001,"&lt;="&amp;$B262,BD!$Y$3:$Y$5001,"&lt;&gt;"))))</f>
        <v/>
      </c>
      <c r="G262" s="43" t="str">
        <f>IF(OR($B262="",$A262&gt;$B$9,G$241=""),"",IF(COUNTIFS(BD!$B$3:$B$5001,G$241,BD!$A$3:$A$5001,"&gt;="&amp;$C$7,BD!$A$3:$A$5001,"&lt;="&amp;$B262,BD!$Y$3:$Y$5001,"&lt;&gt;")=0,"",SUMIFS(BD!$Y$3:$Y$5001,BD!$B$3:$B$5001,G$241,BD!$A$3:$A$5001,_xlfn.MAXIFS(BD!$A$3:$A$5001,BD!$B$3:$B$5001,G$241,BD!$A$3:$A$5001,"&gt;="&amp;$C$7,BD!$A$3:$A$5001,"&lt;="&amp;$B262,BD!$Y$3:$Y$5001,"&lt;&gt;"))))</f>
        <v/>
      </c>
      <c r="H262" s="43" t="str">
        <f>IF(OR($B262="",$A262&gt;$B$9,H$241=""),"",IF(COUNTIFS(BD!$B$3:$B$5001,H$241,BD!$A$3:$A$5001,"&gt;="&amp;$C$7,BD!$A$3:$A$5001,"&lt;="&amp;$B262,BD!$Y$3:$Y$5001,"&lt;&gt;")=0,"",SUMIFS(BD!$Y$3:$Y$5001,BD!$B$3:$B$5001,H$241,BD!$A$3:$A$5001,_xlfn.MAXIFS(BD!$A$3:$A$5001,BD!$B$3:$B$5001,H$241,BD!$A$3:$A$5001,"&gt;="&amp;$C$7,BD!$A$3:$A$5001,"&lt;="&amp;$B262,BD!$Y$3:$Y$5001,"&lt;&gt;"))))</f>
        <v/>
      </c>
      <c r="I262" s="43" t="str">
        <f>IF(OR($B262="",$A262&gt;$B$9,I$241=""),"",IF(COUNTIFS(BD!$B$3:$B$5001,I$241,BD!$A$3:$A$5001,"&gt;="&amp;$C$7,BD!$A$3:$A$5001,"&lt;="&amp;$B262,BD!$Y$3:$Y$5001,"&lt;&gt;")=0,"",SUMIFS(BD!$Y$3:$Y$5001,BD!$B$3:$B$5001,I$241,BD!$A$3:$A$5001,_xlfn.MAXIFS(BD!$A$3:$A$5001,BD!$B$3:$B$5001,I$241,BD!$A$3:$A$5001,"&gt;="&amp;$C$7,BD!$A$3:$A$5001,"&lt;="&amp;$B262,BD!$Y$3:$Y$5001,"&lt;&gt;"))))</f>
        <v/>
      </c>
      <c r="J262" s="43" t="str">
        <f>IF(OR($B262="",$A262&gt;$B$9,J$241=""),"",IF(COUNTIFS(BD!$B$3:$B$5001,J$241,BD!$A$3:$A$5001,"&gt;="&amp;$C$7,BD!$A$3:$A$5001,"&lt;="&amp;$B262,BD!$Y$3:$Y$5001,"&lt;&gt;")=0,"",SUMIFS(BD!$Y$3:$Y$5001,BD!$B$3:$B$5001,J$241,BD!$A$3:$A$5001,_xlfn.MAXIFS(BD!$A$3:$A$5001,BD!$B$3:$B$5001,J$241,BD!$A$3:$A$5001,"&gt;="&amp;$C$7,BD!$A$3:$A$5001,"&lt;="&amp;$B262,BD!$Y$3:$Y$5001,"&lt;&gt;"))))</f>
        <v/>
      </c>
      <c r="K262" s="43" t="str">
        <f>IF(OR($B262="",$A262&gt;$B$9,K$241=""),"",IF(COUNTIFS(BD!$B$3:$B$5001,K$241,BD!$A$3:$A$5001,"&gt;="&amp;$C$7,BD!$A$3:$A$5001,"&lt;="&amp;$B262,BD!$Y$3:$Y$5001,"&lt;&gt;")=0,"",SUMIFS(BD!$Y$3:$Y$5001,BD!$B$3:$B$5001,K$241,BD!$A$3:$A$5001,_xlfn.MAXIFS(BD!$A$3:$A$5001,BD!$B$3:$B$5001,K$241,BD!$A$3:$A$5001,"&gt;="&amp;$C$7,BD!$A$3:$A$5001,"&lt;="&amp;$B262,BD!$Y$3:$Y$5001,"&lt;&gt;"))))</f>
        <v/>
      </c>
      <c r="L262" s="43" t="str">
        <f>IF(OR($B262="",$A262&gt;$B$9,L$241=""),"",IF(COUNTIFS(BD!$B$3:$B$5001,L$241,BD!$A$3:$A$5001,"&gt;="&amp;$C$7,BD!$A$3:$A$5001,"&lt;="&amp;$B262,BD!$Y$3:$Y$5001,"&lt;&gt;")=0,"",SUMIFS(BD!$Y$3:$Y$5001,BD!$B$3:$B$5001,L$241,BD!$A$3:$A$5001,_xlfn.MAXIFS(BD!$A$3:$A$5001,BD!$B$3:$B$5001,L$241,BD!$A$3:$A$5001,"&gt;="&amp;$C$7,BD!$A$3:$A$5001,"&lt;="&amp;$B262,BD!$Y$3:$Y$5001,"&lt;&gt;"))))</f>
        <v/>
      </c>
      <c r="M262" s="43" t="str">
        <f>IF(OR($B262="",$A262&gt;$B$9,M$241=""),"",IF(COUNTIFS(BD!$B$3:$B$5001,M$241,BD!$A$3:$A$5001,"&gt;="&amp;$C$7,BD!$A$3:$A$5001,"&lt;="&amp;$B262,BD!$Y$3:$Y$5001,"&lt;&gt;")=0,"",SUMIFS(BD!$Y$3:$Y$5001,BD!$B$3:$B$5001,M$241,BD!$A$3:$A$5001,_xlfn.MAXIFS(BD!$A$3:$A$5001,BD!$B$3:$B$5001,M$241,BD!$A$3:$A$5001,"&gt;="&amp;$C$7,BD!$A$3:$A$5001,"&lt;="&amp;$B262,BD!$Y$3:$Y$5001,"&lt;&gt;"))))</f>
        <v/>
      </c>
      <c r="N262" s="43" t="str">
        <f>IF(OR($B262="",$A262&gt;$B$9,N$241=""),"",IF(COUNTIFS(BD!$B$3:$B$5001,N$241,BD!$A$3:$A$5001,"&gt;="&amp;$C$7,BD!$A$3:$A$5001,"&lt;="&amp;$B262,BD!$Y$3:$Y$5001,"&lt;&gt;")=0,"",SUMIFS(BD!$Y$3:$Y$5001,BD!$B$3:$B$5001,N$241,BD!$A$3:$A$5001,_xlfn.MAXIFS(BD!$A$3:$A$5001,BD!$B$3:$B$5001,N$241,BD!$A$3:$A$5001,"&gt;="&amp;$C$7,BD!$A$3:$A$5001,"&lt;="&amp;$B262,BD!$Y$3:$Y$5001,"&lt;&gt;"))))</f>
        <v/>
      </c>
      <c r="O262" s="43" t="str">
        <f>IF(OR($B262="",$A262&gt;$B$9,O$241=""),"",IF(COUNTIFS(BD!$B$3:$B$5001,O$241,BD!$A$3:$A$5001,"&gt;="&amp;$C$7,BD!$A$3:$A$5001,"&lt;="&amp;$B262,BD!$Y$3:$Y$5001,"&lt;&gt;")=0,"",SUMIFS(BD!$Y$3:$Y$5001,BD!$B$3:$B$5001,O$241,BD!$A$3:$A$5001,_xlfn.MAXIFS(BD!$A$3:$A$5001,BD!$B$3:$B$5001,O$241,BD!$A$3:$A$5001,"&gt;="&amp;$C$7,BD!$A$3:$A$5001,"&lt;="&amp;$B262,BD!$Y$3:$Y$5001,"&lt;&gt;"))))</f>
        <v/>
      </c>
      <c r="P262" s="43" t="str">
        <f>IF(OR($B262="",$A262&gt;$B$9,P$241=""),"",IF(COUNTIFS(BD!$B$3:$B$5001,P$241,BD!$A$3:$A$5001,"&gt;="&amp;$C$7,BD!$A$3:$A$5001,"&lt;="&amp;$B262,BD!$Y$3:$Y$5001,"&lt;&gt;")=0,"",SUMIFS(BD!$Y$3:$Y$5001,BD!$B$3:$B$5001,P$241,BD!$A$3:$A$5001,_xlfn.MAXIFS(BD!$A$3:$A$5001,BD!$B$3:$B$5001,P$241,BD!$A$3:$A$5001,"&gt;="&amp;$C$7,BD!$A$3:$A$5001,"&lt;="&amp;$B262,BD!$Y$3:$Y$5001,"&lt;&gt;"))))</f>
        <v/>
      </c>
      <c r="Q262" s="43" t="str">
        <f>IF(OR($B262="",$A262&gt;$B$9,Q$241=""),"",IF(COUNTIFS(BD!$B$3:$B$5001,Q$241,BD!$A$3:$A$5001,"&gt;="&amp;$C$7,BD!$A$3:$A$5001,"&lt;="&amp;$B262,BD!$Y$3:$Y$5001,"&lt;&gt;")=0,"",SUMIFS(BD!$Y$3:$Y$5001,BD!$B$3:$B$5001,Q$241,BD!$A$3:$A$5001,_xlfn.MAXIFS(BD!$A$3:$A$5001,BD!$B$3:$B$5001,Q$241,BD!$A$3:$A$5001,"&gt;="&amp;$C$7,BD!$A$3:$A$5001,"&lt;="&amp;$B262,BD!$Y$3:$Y$5001,"&lt;&gt;"))))</f>
        <v/>
      </c>
      <c r="R262" s="43" t="str">
        <f>IF(OR($B262="",$A262&gt;$B$9,R$241=""),"",IF(COUNTIFS(BD!$B$3:$B$5001,R$241,BD!$A$3:$A$5001,"&gt;="&amp;$C$7,BD!$A$3:$A$5001,"&lt;="&amp;$B262,BD!$Y$3:$Y$5001,"&lt;&gt;")=0,"",SUMIFS(BD!$Y$3:$Y$5001,BD!$B$3:$B$5001,R$241,BD!$A$3:$A$5001,_xlfn.MAXIFS(BD!$A$3:$A$5001,BD!$B$3:$B$5001,R$241,BD!$A$3:$A$5001,"&gt;="&amp;$C$7,BD!$A$3:$A$5001,"&lt;="&amp;$B262,BD!$Y$3:$Y$5001,"&lt;&gt;"))))</f>
        <v/>
      </c>
      <c r="S262" s="43" t="str">
        <f>IF(OR($B262="",$A262&gt;$B$9,S$241=""),"",IF(COUNTIFS(BD!$B$3:$B$5001,S$241,BD!$A$3:$A$5001,"&gt;="&amp;$C$7,BD!$A$3:$A$5001,"&lt;="&amp;$B262,BD!$Y$3:$Y$5001,"&lt;&gt;")=0,"",SUMIFS(BD!$Y$3:$Y$5001,BD!$B$3:$B$5001,S$241,BD!$A$3:$A$5001,_xlfn.MAXIFS(BD!$A$3:$A$5001,BD!$B$3:$B$5001,S$241,BD!$A$3:$A$5001,"&gt;="&amp;$C$7,BD!$A$3:$A$5001,"&lt;="&amp;$B262,BD!$Y$3:$Y$5001,"&lt;&gt;"))))</f>
        <v/>
      </c>
      <c r="T262" s="43" t="str">
        <f>IF(OR($B262="",$A262&gt;$B$9,T$241=""),"",IF(COUNTIFS(BD!$B$3:$B$5001,T$241,BD!$A$3:$A$5001,"&gt;="&amp;$C$7,BD!$A$3:$A$5001,"&lt;="&amp;$B262,BD!$Y$3:$Y$5001,"&lt;&gt;")=0,"",SUMIFS(BD!$Y$3:$Y$5001,BD!$B$3:$B$5001,T$241,BD!$A$3:$A$5001,_xlfn.MAXIFS(BD!$A$3:$A$5001,BD!$B$3:$B$5001,T$241,BD!$A$3:$A$5001,"&gt;="&amp;$C$7,BD!$A$3:$A$5001,"&lt;="&amp;$B262,BD!$Y$3:$Y$5001,"&lt;&gt;"))))</f>
        <v/>
      </c>
      <c r="U262" s="43" t="str">
        <f>IF(OR($B262="",$A262&gt;$B$9,U$241=""),"",IF(COUNTIFS(BD!$B$3:$B$5001,U$241,BD!$A$3:$A$5001,"&gt;="&amp;$C$7,BD!$A$3:$A$5001,"&lt;="&amp;$B262,BD!$Y$3:$Y$5001,"&lt;&gt;")=0,"",SUMIFS(BD!$Y$3:$Y$5001,BD!$B$3:$B$5001,U$241,BD!$A$3:$A$5001,_xlfn.MAXIFS(BD!$A$3:$A$5001,BD!$B$3:$B$5001,U$241,BD!$A$3:$A$5001,"&gt;="&amp;$C$7,BD!$A$3:$A$5001,"&lt;="&amp;$B262,BD!$Y$3:$Y$5001,"&lt;&gt;"))))</f>
        <v/>
      </c>
      <c r="V262" s="43" t="str">
        <f>IF(OR($B262="",$A262&gt;$B$9,V$241=""),"",IF(COUNTIFS(BD!$B$3:$B$5001,V$241,BD!$A$3:$A$5001,"&gt;="&amp;$C$7,BD!$A$3:$A$5001,"&lt;="&amp;$B262,BD!$Y$3:$Y$5001,"&lt;&gt;")=0,"",SUMIFS(BD!$Y$3:$Y$5001,BD!$B$3:$B$5001,V$241,BD!$A$3:$A$5001,_xlfn.MAXIFS(BD!$A$3:$A$5001,BD!$B$3:$B$5001,V$241,BD!$A$3:$A$5001,"&gt;="&amp;$C$7,BD!$A$3:$A$5001,"&lt;="&amp;$B262,BD!$Y$3:$Y$5001,"&lt;&gt;"))))</f>
        <v/>
      </c>
    </row>
    <row r="263">
      <c r="A263" s="38">
        <v>22</v>
      </c>
      <c r="B263" s="42">
        <f>$B$33</f>
        <v>46317</v>
      </c>
      <c r="C263" s="43" t="str">
        <f>IF(OR($B263="",$A263&gt;$B$9,C$241=""),"",IF(COUNTIFS(BD!$B$3:$B$5001,C$241,BD!$A$3:$A$5001,"&gt;="&amp;$C$7,BD!$A$3:$A$5001,"&lt;="&amp;$B263,BD!$Y$3:$Y$5001,"&lt;&gt;")=0,"",SUMIFS(BD!$Y$3:$Y$5001,BD!$B$3:$B$5001,C$241,BD!$A$3:$A$5001,_xlfn.MAXIFS(BD!$A$3:$A$5001,BD!$B$3:$B$5001,C$241,BD!$A$3:$A$5001,"&gt;="&amp;$C$7,BD!$A$3:$A$5001,"&lt;="&amp;$B263,BD!$Y$3:$Y$5001,"&lt;&gt;"))))</f>
        <v/>
      </c>
      <c r="D263" s="43" t="str">
        <f>IF(OR($B263="",$A263&gt;$B$9,D$241=""),"",IF(COUNTIFS(BD!$B$3:$B$5001,D$241,BD!$A$3:$A$5001,"&gt;="&amp;$C$7,BD!$A$3:$A$5001,"&lt;="&amp;$B263,BD!$Y$3:$Y$5001,"&lt;&gt;")=0,"",SUMIFS(BD!$Y$3:$Y$5001,BD!$B$3:$B$5001,D$241,BD!$A$3:$A$5001,_xlfn.MAXIFS(BD!$A$3:$A$5001,BD!$B$3:$B$5001,D$241,BD!$A$3:$A$5001,"&gt;="&amp;$C$7,BD!$A$3:$A$5001,"&lt;="&amp;$B263,BD!$Y$3:$Y$5001,"&lt;&gt;"))))</f>
        <v/>
      </c>
      <c r="E263" s="43" t="str">
        <f>IF(OR($B263="",$A263&gt;$B$9,E$241=""),"",IF(COUNTIFS(BD!$B$3:$B$5001,E$241,BD!$A$3:$A$5001,"&gt;="&amp;$C$7,BD!$A$3:$A$5001,"&lt;="&amp;$B263,BD!$Y$3:$Y$5001,"&lt;&gt;")=0,"",SUMIFS(BD!$Y$3:$Y$5001,BD!$B$3:$B$5001,E$241,BD!$A$3:$A$5001,_xlfn.MAXIFS(BD!$A$3:$A$5001,BD!$B$3:$B$5001,E$241,BD!$A$3:$A$5001,"&gt;="&amp;$C$7,BD!$A$3:$A$5001,"&lt;="&amp;$B263,BD!$Y$3:$Y$5001,"&lt;&gt;"))))</f>
        <v/>
      </c>
      <c r="F263" s="43" t="str">
        <f>IF(OR($B263="",$A263&gt;$B$9,F$241=""),"",IF(COUNTIFS(BD!$B$3:$B$5001,F$241,BD!$A$3:$A$5001,"&gt;="&amp;$C$7,BD!$A$3:$A$5001,"&lt;="&amp;$B263,BD!$Y$3:$Y$5001,"&lt;&gt;")=0,"",SUMIFS(BD!$Y$3:$Y$5001,BD!$B$3:$B$5001,F$241,BD!$A$3:$A$5001,_xlfn.MAXIFS(BD!$A$3:$A$5001,BD!$B$3:$B$5001,F$241,BD!$A$3:$A$5001,"&gt;="&amp;$C$7,BD!$A$3:$A$5001,"&lt;="&amp;$B263,BD!$Y$3:$Y$5001,"&lt;&gt;"))))</f>
        <v/>
      </c>
      <c r="G263" s="43" t="str">
        <f>IF(OR($B263="",$A263&gt;$B$9,G$241=""),"",IF(COUNTIFS(BD!$B$3:$B$5001,G$241,BD!$A$3:$A$5001,"&gt;="&amp;$C$7,BD!$A$3:$A$5001,"&lt;="&amp;$B263,BD!$Y$3:$Y$5001,"&lt;&gt;")=0,"",SUMIFS(BD!$Y$3:$Y$5001,BD!$B$3:$B$5001,G$241,BD!$A$3:$A$5001,_xlfn.MAXIFS(BD!$A$3:$A$5001,BD!$B$3:$B$5001,G$241,BD!$A$3:$A$5001,"&gt;="&amp;$C$7,BD!$A$3:$A$5001,"&lt;="&amp;$B263,BD!$Y$3:$Y$5001,"&lt;&gt;"))))</f>
        <v/>
      </c>
      <c r="H263" s="43" t="str">
        <f>IF(OR($B263="",$A263&gt;$B$9,H$241=""),"",IF(COUNTIFS(BD!$B$3:$B$5001,H$241,BD!$A$3:$A$5001,"&gt;="&amp;$C$7,BD!$A$3:$A$5001,"&lt;="&amp;$B263,BD!$Y$3:$Y$5001,"&lt;&gt;")=0,"",SUMIFS(BD!$Y$3:$Y$5001,BD!$B$3:$B$5001,H$241,BD!$A$3:$A$5001,_xlfn.MAXIFS(BD!$A$3:$A$5001,BD!$B$3:$B$5001,H$241,BD!$A$3:$A$5001,"&gt;="&amp;$C$7,BD!$A$3:$A$5001,"&lt;="&amp;$B263,BD!$Y$3:$Y$5001,"&lt;&gt;"))))</f>
        <v/>
      </c>
      <c r="I263" s="43" t="str">
        <f>IF(OR($B263="",$A263&gt;$B$9,I$241=""),"",IF(COUNTIFS(BD!$B$3:$B$5001,I$241,BD!$A$3:$A$5001,"&gt;="&amp;$C$7,BD!$A$3:$A$5001,"&lt;="&amp;$B263,BD!$Y$3:$Y$5001,"&lt;&gt;")=0,"",SUMIFS(BD!$Y$3:$Y$5001,BD!$B$3:$B$5001,I$241,BD!$A$3:$A$5001,_xlfn.MAXIFS(BD!$A$3:$A$5001,BD!$B$3:$B$5001,I$241,BD!$A$3:$A$5001,"&gt;="&amp;$C$7,BD!$A$3:$A$5001,"&lt;="&amp;$B263,BD!$Y$3:$Y$5001,"&lt;&gt;"))))</f>
        <v/>
      </c>
      <c r="J263" s="43" t="str">
        <f>IF(OR($B263="",$A263&gt;$B$9,J$241=""),"",IF(COUNTIFS(BD!$B$3:$B$5001,J$241,BD!$A$3:$A$5001,"&gt;="&amp;$C$7,BD!$A$3:$A$5001,"&lt;="&amp;$B263,BD!$Y$3:$Y$5001,"&lt;&gt;")=0,"",SUMIFS(BD!$Y$3:$Y$5001,BD!$B$3:$B$5001,J$241,BD!$A$3:$A$5001,_xlfn.MAXIFS(BD!$A$3:$A$5001,BD!$B$3:$B$5001,J$241,BD!$A$3:$A$5001,"&gt;="&amp;$C$7,BD!$A$3:$A$5001,"&lt;="&amp;$B263,BD!$Y$3:$Y$5001,"&lt;&gt;"))))</f>
        <v/>
      </c>
      <c r="K263" s="43" t="str">
        <f>IF(OR($B263="",$A263&gt;$B$9,K$241=""),"",IF(COUNTIFS(BD!$B$3:$B$5001,K$241,BD!$A$3:$A$5001,"&gt;="&amp;$C$7,BD!$A$3:$A$5001,"&lt;="&amp;$B263,BD!$Y$3:$Y$5001,"&lt;&gt;")=0,"",SUMIFS(BD!$Y$3:$Y$5001,BD!$B$3:$B$5001,K$241,BD!$A$3:$A$5001,_xlfn.MAXIFS(BD!$A$3:$A$5001,BD!$B$3:$B$5001,K$241,BD!$A$3:$A$5001,"&gt;="&amp;$C$7,BD!$A$3:$A$5001,"&lt;="&amp;$B263,BD!$Y$3:$Y$5001,"&lt;&gt;"))))</f>
        <v/>
      </c>
      <c r="L263" s="43" t="str">
        <f>IF(OR($B263="",$A263&gt;$B$9,L$241=""),"",IF(COUNTIFS(BD!$B$3:$B$5001,L$241,BD!$A$3:$A$5001,"&gt;="&amp;$C$7,BD!$A$3:$A$5001,"&lt;="&amp;$B263,BD!$Y$3:$Y$5001,"&lt;&gt;")=0,"",SUMIFS(BD!$Y$3:$Y$5001,BD!$B$3:$B$5001,L$241,BD!$A$3:$A$5001,_xlfn.MAXIFS(BD!$A$3:$A$5001,BD!$B$3:$B$5001,L$241,BD!$A$3:$A$5001,"&gt;="&amp;$C$7,BD!$A$3:$A$5001,"&lt;="&amp;$B263,BD!$Y$3:$Y$5001,"&lt;&gt;"))))</f>
        <v/>
      </c>
      <c r="M263" s="43" t="str">
        <f>IF(OR($B263="",$A263&gt;$B$9,M$241=""),"",IF(COUNTIFS(BD!$B$3:$B$5001,M$241,BD!$A$3:$A$5001,"&gt;="&amp;$C$7,BD!$A$3:$A$5001,"&lt;="&amp;$B263,BD!$Y$3:$Y$5001,"&lt;&gt;")=0,"",SUMIFS(BD!$Y$3:$Y$5001,BD!$B$3:$B$5001,M$241,BD!$A$3:$A$5001,_xlfn.MAXIFS(BD!$A$3:$A$5001,BD!$B$3:$B$5001,M$241,BD!$A$3:$A$5001,"&gt;="&amp;$C$7,BD!$A$3:$A$5001,"&lt;="&amp;$B263,BD!$Y$3:$Y$5001,"&lt;&gt;"))))</f>
        <v/>
      </c>
      <c r="N263" s="43" t="str">
        <f>IF(OR($B263="",$A263&gt;$B$9,N$241=""),"",IF(COUNTIFS(BD!$B$3:$B$5001,N$241,BD!$A$3:$A$5001,"&gt;="&amp;$C$7,BD!$A$3:$A$5001,"&lt;="&amp;$B263,BD!$Y$3:$Y$5001,"&lt;&gt;")=0,"",SUMIFS(BD!$Y$3:$Y$5001,BD!$B$3:$B$5001,N$241,BD!$A$3:$A$5001,_xlfn.MAXIFS(BD!$A$3:$A$5001,BD!$B$3:$B$5001,N$241,BD!$A$3:$A$5001,"&gt;="&amp;$C$7,BD!$A$3:$A$5001,"&lt;="&amp;$B263,BD!$Y$3:$Y$5001,"&lt;&gt;"))))</f>
        <v/>
      </c>
      <c r="O263" s="43" t="str">
        <f>IF(OR($B263="",$A263&gt;$B$9,O$241=""),"",IF(COUNTIFS(BD!$B$3:$B$5001,O$241,BD!$A$3:$A$5001,"&gt;="&amp;$C$7,BD!$A$3:$A$5001,"&lt;="&amp;$B263,BD!$Y$3:$Y$5001,"&lt;&gt;")=0,"",SUMIFS(BD!$Y$3:$Y$5001,BD!$B$3:$B$5001,O$241,BD!$A$3:$A$5001,_xlfn.MAXIFS(BD!$A$3:$A$5001,BD!$B$3:$B$5001,O$241,BD!$A$3:$A$5001,"&gt;="&amp;$C$7,BD!$A$3:$A$5001,"&lt;="&amp;$B263,BD!$Y$3:$Y$5001,"&lt;&gt;"))))</f>
        <v/>
      </c>
      <c r="P263" s="43" t="str">
        <f>IF(OR($B263="",$A263&gt;$B$9,P$241=""),"",IF(COUNTIFS(BD!$B$3:$B$5001,P$241,BD!$A$3:$A$5001,"&gt;="&amp;$C$7,BD!$A$3:$A$5001,"&lt;="&amp;$B263,BD!$Y$3:$Y$5001,"&lt;&gt;")=0,"",SUMIFS(BD!$Y$3:$Y$5001,BD!$B$3:$B$5001,P$241,BD!$A$3:$A$5001,_xlfn.MAXIFS(BD!$A$3:$A$5001,BD!$B$3:$B$5001,P$241,BD!$A$3:$A$5001,"&gt;="&amp;$C$7,BD!$A$3:$A$5001,"&lt;="&amp;$B263,BD!$Y$3:$Y$5001,"&lt;&gt;"))))</f>
        <v/>
      </c>
      <c r="Q263" s="43" t="str">
        <f>IF(OR($B263="",$A263&gt;$B$9,Q$241=""),"",IF(COUNTIFS(BD!$B$3:$B$5001,Q$241,BD!$A$3:$A$5001,"&gt;="&amp;$C$7,BD!$A$3:$A$5001,"&lt;="&amp;$B263,BD!$Y$3:$Y$5001,"&lt;&gt;")=0,"",SUMIFS(BD!$Y$3:$Y$5001,BD!$B$3:$B$5001,Q$241,BD!$A$3:$A$5001,_xlfn.MAXIFS(BD!$A$3:$A$5001,BD!$B$3:$B$5001,Q$241,BD!$A$3:$A$5001,"&gt;="&amp;$C$7,BD!$A$3:$A$5001,"&lt;="&amp;$B263,BD!$Y$3:$Y$5001,"&lt;&gt;"))))</f>
        <v/>
      </c>
      <c r="R263" s="43" t="str">
        <f>IF(OR($B263="",$A263&gt;$B$9,R$241=""),"",IF(COUNTIFS(BD!$B$3:$B$5001,R$241,BD!$A$3:$A$5001,"&gt;="&amp;$C$7,BD!$A$3:$A$5001,"&lt;="&amp;$B263,BD!$Y$3:$Y$5001,"&lt;&gt;")=0,"",SUMIFS(BD!$Y$3:$Y$5001,BD!$B$3:$B$5001,R$241,BD!$A$3:$A$5001,_xlfn.MAXIFS(BD!$A$3:$A$5001,BD!$B$3:$B$5001,R$241,BD!$A$3:$A$5001,"&gt;="&amp;$C$7,BD!$A$3:$A$5001,"&lt;="&amp;$B263,BD!$Y$3:$Y$5001,"&lt;&gt;"))))</f>
        <v/>
      </c>
      <c r="S263" s="43" t="str">
        <f>IF(OR($B263="",$A263&gt;$B$9,S$241=""),"",IF(COUNTIFS(BD!$B$3:$B$5001,S$241,BD!$A$3:$A$5001,"&gt;="&amp;$C$7,BD!$A$3:$A$5001,"&lt;="&amp;$B263,BD!$Y$3:$Y$5001,"&lt;&gt;")=0,"",SUMIFS(BD!$Y$3:$Y$5001,BD!$B$3:$B$5001,S$241,BD!$A$3:$A$5001,_xlfn.MAXIFS(BD!$A$3:$A$5001,BD!$B$3:$B$5001,S$241,BD!$A$3:$A$5001,"&gt;="&amp;$C$7,BD!$A$3:$A$5001,"&lt;="&amp;$B263,BD!$Y$3:$Y$5001,"&lt;&gt;"))))</f>
        <v/>
      </c>
      <c r="T263" s="43" t="str">
        <f>IF(OR($B263="",$A263&gt;$B$9,T$241=""),"",IF(COUNTIFS(BD!$B$3:$B$5001,T$241,BD!$A$3:$A$5001,"&gt;="&amp;$C$7,BD!$A$3:$A$5001,"&lt;="&amp;$B263,BD!$Y$3:$Y$5001,"&lt;&gt;")=0,"",SUMIFS(BD!$Y$3:$Y$5001,BD!$B$3:$B$5001,T$241,BD!$A$3:$A$5001,_xlfn.MAXIFS(BD!$A$3:$A$5001,BD!$B$3:$B$5001,T$241,BD!$A$3:$A$5001,"&gt;="&amp;$C$7,BD!$A$3:$A$5001,"&lt;="&amp;$B263,BD!$Y$3:$Y$5001,"&lt;&gt;"))))</f>
        <v/>
      </c>
      <c r="U263" s="43" t="str">
        <f>IF(OR($B263="",$A263&gt;$B$9,U$241=""),"",IF(COUNTIFS(BD!$B$3:$B$5001,U$241,BD!$A$3:$A$5001,"&gt;="&amp;$C$7,BD!$A$3:$A$5001,"&lt;="&amp;$B263,BD!$Y$3:$Y$5001,"&lt;&gt;")=0,"",SUMIFS(BD!$Y$3:$Y$5001,BD!$B$3:$B$5001,U$241,BD!$A$3:$A$5001,_xlfn.MAXIFS(BD!$A$3:$A$5001,BD!$B$3:$B$5001,U$241,BD!$A$3:$A$5001,"&gt;="&amp;$C$7,BD!$A$3:$A$5001,"&lt;="&amp;$B263,BD!$Y$3:$Y$5001,"&lt;&gt;"))))</f>
        <v/>
      </c>
      <c r="V263" s="43" t="str">
        <f>IF(OR($B263="",$A263&gt;$B$9,V$241=""),"",IF(COUNTIFS(BD!$B$3:$B$5001,V$241,BD!$A$3:$A$5001,"&gt;="&amp;$C$7,BD!$A$3:$A$5001,"&lt;="&amp;$B263,BD!$Y$3:$Y$5001,"&lt;&gt;")=0,"",SUMIFS(BD!$Y$3:$Y$5001,BD!$B$3:$B$5001,V$241,BD!$A$3:$A$5001,_xlfn.MAXIFS(BD!$A$3:$A$5001,BD!$B$3:$B$5001,V$241,BD!$A$3:$A$5001,"&gt;="&amp;$C$7,BD!$A$3:$A$5001,"&lt;="&amp;$B263,BD!$Y$3:$Y$5001,"&lt;&gt;"))))</f>
        <v/>
      </c>
    </row>
    <row r="264">
      <c r="A264" s="38">
        <v>23</v>
      </c>
      <c r="B264" s="42">
        <f>$B$34</f>
        <v>46318</v>
      </c>
      <c r="C264" s="43" t="str">
        <f>IF(OR($B264="",$A264&gt;$B$9,C$241=""),"",IF(COUNTIFS(BD!$B$3:$B$5001,C$241,BD!$A$3:$A$5001,"&gt;="&amp;$C$7,BD!$A$3:$A$5001,"&lt;="&amp;$B264,BD!$Y$3:$Y$5001,"&lt;&gt;")=0,"",SUMIFS(BD!$Y$3:$Y$5001,BD!$B$3:$B$5001,C$241,BD!$A$3:$A$5001,_xlfn.MAXIFS(BD!$A$3:$A$5001,BD!$B$3:$B$5001,C$241,BD!$A$3:$A$5001,"&gt;="&amp;$C$7,BD!$A$3:$A$5001,"&lt;="&amp;$B264,BD!$Y$3:$Y$5001,"&lt;&gt;"))))</f>
        <v/>
      </c>
      <c r="D264" s="43" t="str">
        <f>IF(OR($B264="",$A264&gt;$B$9,D$241=""),"",IF(COUNTIFS(BD!$B$3:$B$5001,D$241,BD!$A$3:$A$5001,"&gt;="&amp;$C$7,BD!$A$3:$A$5001,"&lt;="&amp;$B264,BD!$Y$3:$Y$5001,"&lt;&gt;")=0,"",SUMIFS(BD!$Y$3:$Y$5001,BD!$B$3:$B$5001,D$241,BD!$A$3:$A$5001,_xlfn.MAXIFS(BD!$A$3:$A$5001,BD!$B$3:$B$5001,D$241,BD!$A$3:$A$5001,"&gt;="&amp;$C$7,BD!$A$3:$A$5001,"&lt;="&amp;$B264,BD!$Y$3:$Y$5001,"&lt;&gt;"))))</f>
        <v/>
      </c>
      <c r="E264" s="43" t="str">
        <f>IF(OR($B264="",$A264&gt;$B$9,E$241=""),"",IF(COUNTIFS(BD!$B$3:$B$5001,E$241,BD!$A$3:$A$5001,"&gt;="&amp;$C$7,BD!$A$3:$A$5001,"&lt;="&amp;$B264,BD!$Y$3:$Y$5001,"&lt;&gt;")=0,"",SUMIFS(BD!$Y$3:$Y$5001,BD!$B$3:$B$5001,E$241,BD!$A$3:$A$5001,_xlfn.MAXIFS(BD!$A$3:$A$5001,BD!$B$3:$B$5001,E$241,BD!$A$3:$A$5001,"&gt;="&amp;$C$7,BD!$A$3:$A$5001,"&lt;="&amp;$B264,BD!$Y$3:$Y$5001,"&lt;&gt;"))))</f>
        <v/>
      </c>
      <c r="F264" s="43" t="str">
        <f>IF(OR($B264="",$A264&gt;$B$9,F$241=""),"",IF(COUNTIFS(BD!$B$3:$B$5001,F$241,BD!$A$3:$A$5001,"&gt;="&amp;$C$7,BD!$A$3:$A$5001,"&lt;="&amp;$B264,BD!$Y$3:$Y$5001,"&lt;&gt;")=0,"",SUMIFS(BD!$Y$3:$Y$5001,BD!$B$3:$B$5001,F$241,BD!$A$3:$A$5001,_xlfn.MAXIFS(BD!$A$3:$A$5001,BD!$B$3:$B$5001,F$241,BD!$A$3:$A$5001,"&gt;="&amp;$C$7,BD!$A$3:$A$5001,"&lt;="&amp;$B264,BD!$Y$3:$Y$5001,"&lt;&gt;"))))</f>
        <v/>
      </c>
      <c r="G264" s="43" t="str">
        <f>IF(OR($B264="",$A264&gt;$B$9,G$241=""),"",IF(COUNTIFS(BD!$B$3:$B$5001,G$241,BD!$A$3:$A$5001,"&gt;="&amp;$C$7,BD!$A$3:$A$5001,"&lt;="&amp;$B264,BD!$Y$3:$Y$5001,"&lt;&gt;")=0,"",SUMIFS(BD!$Y$3:$Y$5001,BD!$B$3:$B$5001,G$241,BD!$A$3:$A$5001,_xlfn.MAXIFS(BD!$A$3:$A$5001,BD!$B$3:$B$5001,G$241,BD!$A$3:$A$5001,"&gt;="&amp;$C$7,BD!$A$3:$A$5001,"&lt;="&amp;$B264,BD!$Y$3:$Y$5001,"&lt;&gt;"))))</f>
        <v/>
      </c>
      <c r="H264" s="43" t="str">
        <f>IF(OR($B264="",$A264&gt;$B$9,H$241=""),"",IF(COUNTIFS(BD!$B$3:$B$5001,H$241,BD!$A$3:$A$5001,"&gt;="&amp;$C$7,BD!$A$3:$A$5001,"&lt;="&amp;$B264,BD!$Y$3:$Y$5001,"&lt;&gt;")=0,"",SUMIFS(BD!$Y$3:$Y$5001,BD!$B$3:$B$5001,H$241,BD!$A$3:$A$5001,_xlfn.MAXIFS(BD!$A$3:$A$5001,BD!$B$3:$B$5001,H$241,BD!$A$3:$A$5001,"&gt;="&amp;$C$7,BD!$A$3:$A$5001,"&lt;="&amp;$B264,BD!$Y$3:$Y$5001,"&lt;&gt;"))))</f>
        <v/>
      </c>
      <c r="I264" s="43" t="str">
        <f>IF(OR($B264="",$A264&gt;$B$9,I$241=""),"",IF(COUNTIFS(BD!$B$3:$B$5001,I$241,BD!$A$3:$A$5001,"&gt;="&amp;$C$7,BD!$A$3:$A$5001,"&lt;="&amp;$B264,BD!$Y$3:$Y$5001,"&lt;&gt;")=0,"",SUMIFS(BD!$Y$3:$Y$5001,BD!$B$3:$B$5001,I$241,BD!$A$3:$A$5001,_xlfn.MAXIFS(BD!$A$3:$A$5001,BD!$B$3:$B$5001,I$241,BD!$A$3:$A$5001,"&gt;="&amp;$C$7,BD!$A$3:$A$5001,"&lt;="&amp;$B264,BD!$Y$3:$Y$5001,"&lt;&gt;"))))</f>
        <v/>
      </c>
      <c r="J264" s="43" t="str">
        <f>IF(OR($B264="",$A264&gt;$B$9,J$241=""),"",IF(COUNTIFS(BD!$B$3:$B$5001,J$241,BD!$A$3:$A$5001,"&gt;="&amp;$C$7,BD!$A$3:$A$5001,"&lt;="&amp;$B264,BD!$Y$3:$Y$5001,"&lt;&gt;")=0,"",SUMIFS(BD!$Y$3:$Y$5001,BD!$B$3:$B$5001,J$241,BD!$A$3:$A$5001,_xlfn.MAXIFS(BD!$A$3:$A$5001,BD!$B$3:$B$5001,J$241,BD!$A$3:$A$5001,"&gt;="&amp;$C$7,BD!$A$3:$A$5001,"&lt;="&amp;$B264,BD!$Y$3:$Y$5001,"&lt;&gt;"))))</f>
        <v/>
      </c>
      <c r="K264" s="43" t="str">
        <f>IF(OR($B264="",$A264&gt;$B$9,K$241=""),"",IF(COUNTIFS(BD!$B$3:$B$5001,K$241,BD!$A$3:$A$5001,"&gt;="&amp;$C$7,BD!$A$3:$A$5001,"&lt;="&amp;$B264,BD!$Y$3:$Y$5001,"&lt;&gt;")=0,"",SUMIFS(BD!$Y$3:$Y$5001,BD!$B$3:$B$5001,K$241,BD!$A$3:$A$5001,_xlfn.MAXIFS(BD!$A$3:$A$5001,BD!$B$3:$B$5001,K$241,BD!$A$3:$A$5001,"&gt;="&amp;$C$7,BD!$A$3:$A$5001,"&lt;="&amp;$B264,BD!$Y$3:$Y$5001,"&lt;&gt;"))))</f>
        <v/>
      </c>
      <c r="L264" s="43" t="str">
        <f>IF(OR($B264="",$A264&gt;$B$9,L$241=""),"",IF(COUNTIFS(BD!$B$3:$B$5001,L$241,BD!$A$3:$A$5001,"&gt;="&amp;$C$7,BD!$A$3:$A$5001,"&lt;="&amp;$B264,BD!$Y$3:$Y$5001,"&lt;&gt;")=0,"",SUMIFS(BD!$Y$3:$Y$5001,BD!$B$3:$B$5001,L$241,BD!$A$3:$A$5001,_xlfn.MAXIFS(BD!$A$3:$A$5001,BD!$B$3:$B$5001,L$241,BD!$A$3:$A$5001,"&gt;="&amp;$C$7,BD!$A$3:$A$5001,"&lt;="&amp;$B264,BD!$Y$3:$Y$5001,"&lt;&gt;"))))</f>
        <v/>
      </c>
      <c r="M264" s="43" t="str">
        <f>IF(OR($B264="",$A264&gt;$B$9,M$241=""),"",IF(COUNTIFS(BD!$B$3:$B$5001,M$241,BD!$A$3:$A$5001,"&gt;="&amp;$C$7,BD!$A$3:$A$5001,"&lt;="&amp;$B264,BD!$Y$3:$Y$5001,"&lt;&gt;")=0,"",SUMIFS(BD!$Y$3:$Y$5001,BD!$B$3:$B$5001,M$241,BD!$A$3:$A$5001,_xlfn.MAXIFS(BD!$A$3:$A$5001,BD!$B$3:$B$5001,M$241,BD!$A$3:$A$5001,"&gt;="&amp;$C$7,BD!$A$3:$A$5001,"&lt;="&amp;$B264,BD!$Y$3:$Y$5001,"&lt;&gt;"))))</f>
        <v/>
      </c>
      <c r="N264" s="43" t="str">
        <f>IF(OR($B264="",$A264&gt;$B$9,N$241=""),"",IF(COUNTIFS(BD!$B$3:$B$5001,N$241,BD!$A$3:$A$5001,"&gt;="&amp;$C$7,BD!$A$3:$A$5001,"&lt;="&amp;$B264,BD!$Y$3:$Y$5001,"&lt;&gt;")=0,"",SUMIFS(BD!$Y$3:$Y$5001,BD!$B$3:$B$5001,N$241,BD!$A$3:$A$5001,_xlfn.MAXIFS(BD!$A$3:$A$5001,BD!$B$3:$B$5001,N$241,BD!$A$3:$A$5001,"&gt;="&amp;$C$7,BD!$A$3:$A$5001,"&lt;="&amp;$B264,BD!$Y$3:$Y$5001,"&lt;&gt;"))))</f>
        <v/>
      </c>
      <c r="O264" s="43" t="str">
        <f>IF(OR($B264="",$A264&gt;$B$9,O$241=""),"",IF(COUNTIFS(BD!$B$3:$B$5001,O$241,BD!$A$3:$A$5001,"&gt;="&amp;$C$7,BD!$A$3:$A$5001,"&lt;="&amp;$B264,BD!$Y$3:$Y$5001,"&lt;&gt;")=0,"",SUMIFS(BD!$Y$3:$Y$5001,BD!$B$3:$B$5001,O$241,BD!$A$3:$A$5001,_xlfn.MAXIFS(BD!$A$3:$A$5001,BD!$B$3:$B$5001,O$241,BD!$A$3:$A$5001,"&gt;="&amp;$C$7,BD!$A$3:$A$5001,"&lt;="&amp;$B264,BD!$Y$3:$Y$5001,"&lt;&gt;"))))</f>
        <v/>
      </c>
      <c r="P264" s="43" t="str">
        <f>IF(OR($B264="",$A264&gt;$B$9,P$241=""),"",IF(COUNTIFS(BD!$B$3:$B$5001,P$241,BD!$A$3:$A$5001,"&gt;="&amp;$C$7,BD!$A$3:$A$5001,"&lt;="&amp;$B264,BD!$Y$3:$Y$5001,"&lt;&gt;")=0,"",SUMIFS(BD!$Y$3:$Y$5001,BD!$B$3:$B$5001,P$241,BD!$A$3:$A$5001,_xlfn.MAXIFS(BD!$A$3:$A$5001,BD!$B$3:$B$5001,P$241,BD!$A$3:$A$5001,"&gt;="&amp;$C$7,BD!$A$3:$A$5001,"&lt;="&amp;$B264,BD!$Y$3:$Y$5001,"&lt;&gt;"))))</f>
        <v/>
      </c>
      <c r="Q264" s="43" t="str">
        <f>IF(OR($B264="",$A264&gt;$B$9,Q$241=""),"",IF(COUNTIFS(BD!$B$3:$B$5001,Q$241,BD!$A$3:$A$5001,"&gt;="&amp;$C$7,BD!$A$3:$A$5001,"&lt;="&amp;$B264,BD!$Y$3:$Y$5001,"&lt;&gt;")=0,"",SUMIFS(BD!$Y$3:$Y$5001,BD!$B$3:$B$5001,Q$241,BD!$A$3:$A$5001,_xlfn.MAXIFS(BD!$A$3:$A$5001,BD!$B$3:$B$5001,Q$241,BD!$A$3:$A$5001,"&gt;="&amp;$C$7,BD!$A$3:$A$5001,"&lt;="&amp;$B264,BD!$Y$3:$Y$5001,"&lt;&gt;"))))</f>
        <v/>
      </c>
      <c r="R264" s="43" t="str">
        <f>IF(OR($B264="",$A264&gt;$B$9,R$241=""),"",IF(COUNTIFS(BD!$B$3:$B$5001,R$241,BD!$A$3:$A$5001,"&gt;="&amp;$C$7,BD!$A$3:$A$5001,"&lt;="&amp;$B264,BD!$Y$3:$Y$5001,"&lt;&gt;")=0,"",SUMIFS(BD!$Y$3:$Y$5001,BD!$B$3:$B$5001,R$241,BD!$A$3:$A$5001,_xlfn.MAXIFS(BD!$A$3:$A$5001,BD!$B$3:$B$5001,R$241,BD!$A$3:$A$5001,"&gt;="&amp;$C$7,BD!$A$3:$A$5001,"&lt;="&amp;$B264,BD!$Y$3:$Y$5001,"&lt;&gt;"))))</f>
        <v/>
      </c>
      <c r="S264" s="43" t="str">
        <f>IF(OR($B264="",$A264&gt;$B$9,S$241=""),"",IF(COUNTIFS(BD!$B$3:$B$5001,S$241,BD!$A$3:$A$5001,"&gt;="&amp;$C$7,BD!$A$3:$A$5001,"&lt;="&amp;$B264,BD!$Y$3:$Y$5001,"&lt;&gt;")=0,"",SUMIFS(BD!$Y$3:$Y$5001,BD!$B$3:$B$5001,S$241,BD!$A$3:$A$5001,_xlfn.MAXIFS(BD!$A$3:$A$5001,BD!$B$3:$B$5001,S$241,BD!$A$3:$A$5001,"&gt;="&amp;$C$7,BD!$A$3:$A$5001,"&lt;="&amp;$B264,BD!$Y$3:$Y$5001,"&lt;&gt;"))))</f>
        <v/>
      </c>
      <c r="T264" s="43" t="str">
        <f>IF(OR($B264="",$A264&gt;$B$9,T$241=""),"",IF(COUNTIFS(BD!$B$3:$B$5001,T$241,BD!$A$3:$A$5001,"&gt;="&amp;$C$7,BD!$A$3:$A$5001,"&lt;="&amp;$B264,BD!$Y$3:$Y$5001,"&lt;&gt;")=0,"",SUMIFS(BD!$Y$3:$Y$5001,BD!$B$3:$B$5001,T$241,BD!$A$3:$A$5001,_xlfn.MAXIFS(BD!$A$3:$A$5001,BD!$B$3:$B$5001,T$241,BD!$A$3:$A$5001,"&gt;="&amp;$C$7,BD!$A$3:$A$5001,"&lt;="&amp;$B264,BD!$Y$3:$Y$5001,"&lt;&gt;"))))</f>
        <v/>
      </c>
      <c r="U264" s="43" t="str">
        <f>IF(OR($B264="",$A264&gt;$B$9,U$241=""),"",IF(COUNTIFS(BD!$B$3:$B$5001,U$241,BD!$A$3:$A$5001,"&gt;="&amp;$C$7,BD!$A$3:$A$5001,"&lt;="&amp;$B264,BD!$Y$3:$Y$5001,"&lt;&gt;")=0,"",SUMIFS(BD!$Y$3:$Y$5001,BD!$B$3:$B$5001,U$241,BD!$A$3:$A$5001,_xlfn.MAXIFS(BD!$A$3:$A$5001,BD!$B$3:$B$5001,U$241,BD!$A$3:$A$5001,"&gt;="&amp;$C$7,BD!$A$3:$A$5001,"&lt;="&amp;$B264,BD!$Y$3:$Y$5001,"&lt;&gt;"))))</f>
        <v/>
      </c>
      <c r="V264" s="43" t="str">
        <f>IF(OR($B264="",$A264&gt;$B$9,V$241=""),"",IF(COUNTIFS(BD!$B$3:$B$5001,V$241,BD!$A$3:$A$5001,"&gt;="&amp;$C$7,BD!$A$3:$A$5001,"&lt;="&amp;$B264,BD!$Y$3:$Y$5001,"&lt;&gt;")=0,"",SUMIFS(BD!$Y$3:$Y$5001,BD!$B$3:$B$5001,V$241,BD!$A$3:$A$5001,_xlfn.MAXIFS(BD!$A$3:$A$5001,BD!$B$3:$B$5001,V$241,BD!$A$3:$A$5001,"&gt;="&amp;$C$7,BD!$A$3:$A$5001,"&lt;="&amp;$B264,BD!$Y$3:$Y$5001,"&lt;&gt;"))))</f>
        <v/>
      </c>
    </row>
    <row r="265">
      <c r="A265" s="38">
        <v>24</v>
      </c>
      <c r="B265" s="42">
        <f>$B$35</f>
        <v>46319</v>
      </c>
      <c r="C265" s="43" t="str">
        <f>IF(OR($B265="",$A265&gt;$B$9,C$241=""),"",IF(COUNTIFS(BD!$B$3:$B$5001,C$241,BD!$A$3:$A$5001,"&gt;="&amp;$C$7,BD!$A$3:$A$5001,"&lt;="&amp;$B265,BD!$Y$3:$Y$5001,"&lt;&gt;")=0,"",SUMIFS(BD!$Y$3:$Y$5001,BD!$B$3:$B$5001,C$241,BD!$A$3:$A$5001,_xlfn.MAXIFS(BD!$A$3:$A$5001,BD!$B$3:$B$5001,C$241,BD!$A$3:$A$5001,"&gt;="&amp;$C$7,BD!$A$3:$A$5001,"&lt;="&amp;$B265,BD!$Y$3:$Y$5001,"&lt;&gt;"))))</f>
        <v/>
      </c>
      <c r="D265" s="43" t="str">
        <f>IF(OR($B265="",$A265&gt;$B$9,D$241=""),"",IF(COUNTIFS(BD!$B$3:$B$5001,D$241,BD!$A$3:$A$5001,"&gt;="&amp;$C$7,BD!$A$3:$A$5001,"&lt;="&amp;$B265,BD!$Y$3:$Y$5001,"&lt;&gt;")=0,"",SUMIFS(BD!$Y$3:$Y$5001,BD!$B$3:$B$5001,D$241,BD!$A$3:$A$5001,_xlfn.MAXIFS(BD!$A$3:$A$5001,BD!$B$3:$B$5001,D$241,BD!$A$3:$A$5001,"&gt;="&amp;$C$7,BD!$A$3:$A$5001,"&lt;="&amp;$B265,BD!$Y$3:$Y$5001,"&lt;&gt;"))))</f>
        <v/>
      </c>
      <c r="E265" s="43" t="str">
        <f>IF(OR($B265="",$A265&gt;$B$9,E$241=""),"",IF(COUNTIFS(BD!$B$3:$B$5001,E$241,BD!$A$3:$A$5001,"&gt;="&amp;$C$7,BD!$A$3:$A$5001,"&lt;="&amp;$B265,BD!$Y$3:$Y$5001,"&lt;&gt;")=0,"",SUMIFS(BD!$Y$3:$Y$5001,BD!$B$3:$B$5001,E$241,BD!$A$3:$A$5001,_xlfn.MAXIFS(BD!$A$3:$A$5001,BD!$B$3:$B$5001,E$241,BD!$A$3:$A$5001,"&gt;="&amp;$C$7,BD!$A$3:$A$5001,"&lt;="&amp;$B265,BD!$Y$3:$Y$5001,"&lt;&gt;"))))</f>
        <v/>
      </c>
      <c r="F265" s="43" t="str">
        <f>IF(OR($B265="",$A265&gt;$B$9,F$241=""),"",IF(COUNTIFS(BD!$B$3:$B$5001,F$241,BD!$A$3:$A$5001,"&gt;="&amp;$C$7,BD!$A$3:$A$5001,"&lt;="&amp;$B265,BD!$Y$3:$Y$5001,"&lt;&gt;")=0,"",SUMIFS(BD!$Y$3:$Y$5001,BD!$B$3:$B$5001,F$241,BD!$A$3:$A$5001,_xlfn.MAXIFS(BD!$A$3:$A$5001,BD!$B$3:$B$5001,F$241,BD!$A$3:$A$5001,"&gt;="&amp;$C$7,BD!$A$3:$A$5001,"&lt;="&amp;$B265,BD!$Y$3:$Y$5001,"&lt;&gt;"))))</f>
        <v/>
      </c>
      <c r="G265" s="43" t="str">
        <f>IF(OR($B265="",$A265&gt;$B$9,G$241=""),"",IF(COUNTIFS(BD!$B$3:$B$5001,G$241,BD!$A$3:$A$5001,"&gt;="&amp;$C$7,BD!$A$3:$A$5001,"&lt;="&amp;$B265,BD!$Y$3:$Y$5001,"&lt;&gt;")=0,"",SUMIFS(BD!$Y$3:$Y$5001,BD!$B$3:$B$5001,G$241,BD!$A$3:$A$5001,_xlfn.MAXIFS(BD!$A$3:$A$5001,BD!$B$3:$B$5001,G$241,BD!$A$3:$A$5001,"&gt;="&amp;$C$7,BD!$A$3:$A$5001,"&lt;="&amp;$B265,BD!$Y$3:$Y$5001,"&lt;&gt;"))))</f>
        <v/>
      </c>
      <c r="H265" s="43" t="str">
        <f>IF(OR($B265="",$A265&gt;$B$9,H$241=""),"",IF(COUNTIFS(BD!$B$3:$B$5001,H$241,BD!$A$3:$A$5001,"&gt;="&amp;$C$7,BD!$A$3:$A$5001,"&lt;="&amp;$B265,BD!$Y$3:$Y$5001,"&lt;&gt;")=0,"",SUMIFS(BD!$Y$3:$Y$5001,BD!$B$3:$B$5001,H$241,BD!$A$3:$A$5001,_xlfn.MAXIFS(BD!$A$3:$A$5001,BD!$B$3:$B$5001,H$241,BD!$A$3:$A$5001,"&gt;="&amp;$C$7,BD!$A$3:$A$5001,"&lt;="&amp;$B265,BD!$Y$3:$Y$5001,"&lt;&gt;"))))</f>
        <v/>
      </c>
      <c r="I265" s="43" t="str">
        <f>IF(OR($B265="",$A265&gt;$B$9,I$241=""),"",IF(COUNTIFS(BD!$B$3:$B$5001,I$241,BD!$A$3:$A$5001,"&gt;="&amp;$C$7,BD!$A$3:$A$5001,"&lt;="&amp;$B265,BD!$Y$3:$Y$5001,"&lt;&gt;")=0,"",SUMIFS(BD!$Y$3:$Y$5001,BD!$B$3:$B$5001,I$241,BD!$A$3:$A$5001,_xlfn.MAXIFS(BD!$A$3:$A$5001,BD!$B$3:$B$5001,I$241,BD!$A$3:$A$5001,"&gt;="&amp;$C$7,BD!$A$3:$A$5001,"&lt;="&amp;$B265,BD!$Y$3:$Y$5001,"&lt;&gt;"))))</f>
        <v/>
      </c>
      <c r="J265" s="43" t="str">
        <f>IF(OR($B265="",$A265&gt;$B$9,J$241=""),"",IF(COUNTIFS(BD!$B$3:$B$5001,J$241,BD!$A$3:$A$5001,"&gt;="&amp;$C$7,BD!$A$3:$A$5001,"&lt;="&amp;$B265,BD!$Y$3:$Y$5001,"&lt;&gt;")=0,"",SUMIFS(BD!$Y$3:$Y$5001,BD!$B$3:$B$5001,J$241,BD!$A$3:$A$5001,_xlfn.MAXIFS(BD!$A$3:$A$5001,BD!$B$3:$B$5001,J$241,BD!$A$3:$A$5001,"&gt;="&amp;$C$7,BD!$A$3:$A$5001,"&lt;="&amp;$B265,BD!$Y$3:$Y$5001,"&lt;&gt;"))))</f>
        <v/>
      </c>
      <c r="K265" s="43" t="str">
        <f>IF(OR($B265="",$A265&gt;$B$9,K$241=""),"",IF(COUNTIFS(BD!$B$3:$B$5001,K$241,BD!$A$3:$A$5001,"&gt;="&amp;$C$7,BD!$A$3:$A$5001,"&lt;="&amp;$B265,BD!$Y$3:$Y$5001,"&lt;&gt;")=0,"",SUMIFS(BD!$Y$3:$Y$5001,BD!$B$3:$B$5001,K$241,BD!$A$3:$A$5001,_xlfn.MAXIFS(BD!$A$3:$A$5001,BD!$B$3:$B$5001,K$241,BD!$A$3:$A$5001,"&gt;="&amp;$C$7,BD!$A$3:$A$5001,"&lt;="&amp;$B265,BD!$Y$3:$Y$5001,"&lt;&gt;"))))</f>
        <v/>
      </c>
      <c r="L265" s="43" t="str">
        <f>IF(OR($B265="",$A265&gt;$B$9,L$241=""),"",IF(COUNTIFS(BD!$B$3:$B$5001,L$241,BD!$A$3:$A$5001,"&gt;="&amp;$C$7,BD!$A$3:$A$5001,"&lt;="&amp;$B265,BD!$Y$3:$Y$5001,"&lt;&gt;")=0,"",SUMIFS(BD!$Y$3:$Y$5001,BD!$B$3:$B$5001,L$241,BD!$A$3:$A$5001,_xlfn.MAXIFS(BD!$A$3:$A$5001,BD!$B$3:$B$5001,L$241,BD!$A$3:$A$5001,"&gt;="&amp;$C$7,BD!$A$3:$A$5001,"&lt;="&amp;$B265,BD!$Y$3:$Y$5001,"&lt;&gt;"))))</f>
        <v/>
      </c>
      <c r="M265" s="43" t="str">
        <f>IF(OR($B265="",$A265&gt;$B$9,M$241=""),"",IF(COUNTIFS(BD!$B$3:$B$5001,M$241,BD!$A$3:$A$5001,"&gt;="&amp;$C$7,BD!$A$3:$A$5001,"&lt;="&amp;$B265,BD!$Y$3:$Y$5001,"&lt;&gt;")=0,"",SUMIFS(BD!$Y$3:$Y$5001,BD!$B$3:$B$5001,M$241,BD!$A$3:$A$5001,_xlfn.MAXIFS(BD!$A$3:$A$5001,BD!$B$3:$B$5001,M$241,BD!$A$3:$A$5001,"&gt;="&amp;$C$7,BD!$A$3:$A$5001,"&lt;="&amp;$B265,BD!$Y$3:$Y$5001,"&lt;&gt;"))))</f>
        <v/>
      </c>
      <c r="N265" s="43" t="str">
        <f>IF(OR($B265="",$A265&gt;$B$9,N$241=""),"",IF(COUNTIFS(BD!$B$3:$B$5001,N$241,BD!$A$3:$A$5001,"&gt;="&amp;$C$7,BD!$A$3:$A$5001,"&lt;="&amp;$B265,BD!$Y$3:$Y$5001,"&lt;&gt;")=0,"",SUMIFS(BD!$Y$3:$Y$5001,BD!$B$3:$B$5001,N$241,BD!$A$3:$A$5001,_xlfn.MAXIFS(BD!$A$3:$A$5001,BD!$B$3:$B$5001,N$241,BD!$A$3:$A$5001,"&gt;="&amp;$C$7,BD!$A$3:$A$5001,"&lt;="&amp;$B265,BD!$Y$3:$Y$5001,"&lt;&gt;"))))</f>
        <v/>
      </c>
      <c r="O265" s="43" t="str">
        <f>IF(OR($B265="",$A265&gt;$B$9,O$241=""),"",IF(COUNTIFS(BD!$B$3:$B$5001,O$241,BD!$A$3:$A$5001,"&gt;="&amp;$C$7,BD!$A$3:$A$5001,"&lt;="&amp;$B265,BD!$Y$3:$Y$5001,"&lt;&gt;")=0,"",SUMIFS(BD!$Y$3:$Y$5001,BD!$B$3:$B$5001,O$241,BD!$A$3:$A$5001,_xlfn.MAXIFS(BD!$A$3:$A$5001,BD!$B$3:$B$5001,O$241,BD!$A$3:$A$5001,"&gt;="&amp;$C$7,BD!$A$3:$A$5001,"&lt;="&amp;$B265,BD!$Y$3:$Y$5001,"&lt;&gt;"))))</f>
        <v/>
      </c>
      <c r="P265" s="43" t="str">
        <f>IF(OR($B265="",$A265&gt;$B$9,P$241=""),"",IF(COUNTIFS(BD!$B$3:$B$5001,P$241,BD!$A$3:$A$5001,"&gt;="&amp;$C$7,BD!$A$3:$A$5001,"&lt;="&amp;$B265,BD!$Y$3:$Y$5001,"&lt;&gt;")=0,"",SUMIFS(BD!$Y$3:$Y$5001,BD!$B$3:$B$5001,P$241,BD!$A$3:$A$5001,_xlfn.MAXIFS(BD!$A$3:$A$5001,BD!$B$3:$B$5001,P$241,BD!$A$3:$A$5001,"&gt;="&amp;$C$7,BD!$A$3:$A$5001,"&lt;="&amp;$B265,BD!$Y$3:$Y$5001,"&lt;&gt;"))))</f>
        <v/>
      </c>
      <c r="Q265" s="43" t="str">
        <f>IF(OR($B265="",$A265&gt;$B$9,Q$241=""),"",IF(COUNTIFS(BD!$B$3:$B$5001,Q$241,BD!$A$3:$A$5001,"&gt;="&amp;$C$7,BD!$A$3:$A$5001,"&lt;="&amp;$B265,BD!$Y$3:$Y$5001,"&lt;&gt;")=0,"",SUMIFS(BD!$Y$3:$Y$5001,BD!$B$3:$B$5001,Q$241,BD!$A$3:$A$5001,_xlfn.MAXIFS(BD!$A$3:$A$5001,BD!$B$3:$B$5001,Q$241,BD!$A$3:$A$5001,"&gt;="&amp;$C$7,BD!$A$3:$A$5001,"&lt;="&amp;$B265,BD!$Y$3:$Y$5001,"&lt;&gt;"))))</f>
        <v/>
      </c>
      <c r="R265" s="43" t="str">
        <f>IF(OR($B265="",$A265&gt;$B$9,R$241=""),"",IF(COUNTIFS(BD!$B$3:$B$5001,R$241,BD!$A$3:$A$5001,"&gt;="&amp;$C$7,BD!$A$3:$A$5001,"&lt;="&amp;$B265,BD!$Y$3:$Y$5001,"&lt;&gt;")=0,"",SUMIFS(BD!$Y$3:$Y$5001,BD!$B$3:$B$5001,R$241,BD!$A$3:$A$5001,_xlfn.MAXIFS(BD!$A$3:$A$5001,BD!$B$3:$B$5001,R$241,BD!$A$3:$A$5001,"&gt;="&amp;$C$7,BD!$A$3:$A$5001,"&lt;="&amp;$B265,BD!$Y$3:$Y$5001,"&lt;&gt;"))))</f>
        <v/>
      </c>
      <c r="S265" s="43" t="str">
        <f>IF(OR($B265="",$A265&gt;$B$9,S$241=""),"",IF(COUNTIFS(BD!$B$3:$B$5001,S$241,BD!$A$3:$A$5001,"&gt;="&amp;$C$7,BD!$A$3:$A$5001,"&lt;="&amp;$B265,BD!$Y$3:$Y$5001,"&lt;&gt;")=0,"",SUMIFS(BD!$Y$3:$Y$5001,BD!$B$3:$B$5001,S$241,BD!$A$3:$A$5001,_xlfn.MAXIFS(BD!$A$3:$A$5001,BD!$B$3:$B$5001,S$241,BD!$A$3:$A$5001,"&gt;="&amp;$C$7,BD!$A$3:$A$5001,"&lt;="&amp;$B265,BD!$Y$3:$Y$5001,"&lt;&gt;"))))</f>
        <v/>
      </c>
      <c r="T265" s="43" t="str">
        <f>IF(OR($B265="",$A265&gt;$B$9,T$241=""),"",IF(COUNTIFS(BD!$B$3:$B$5001,T$241,BD!$A$3:$A$5001,"&gt;="&amp;$C$7,BD!$A$3:$A$5001,"&lt;="&amp;$B265,BD!$Y$3:$Y$5001,"&lt;&gt;")=0,"",SUMIFS(BD!$Y$3:$Y$5001,BD!$B$3:$B$5001,T$241,BD!$A$3:$A$5001,_xlfn.MAXIFS(BD!$A$3:$A$5001,BD!$B$3:$B$5001,T$241,BD!$A$3:$A$5001,"&gt;="&amp;$C$7,BD!$A$3:$A$5001,"&lt;="&amp;$B265,BD!$Y$3:$Y$5001,"&lt;&gt;"))))</f>
        <v/>
      </c>
      <c r="U265" s="43" t="str">
        <f>IF(OR($B265="",$A265&gt;$B$9,U$241=""),"",IF(COUNTIFS(BD!$B$3:$B$5001,U$241,BD!$A$3:$A$5001,"&gt;="&amp;$C$7,BD!$A$3:$A$5001,"&lt;="&amp;$B265,BD!$Y$3:$Y$5001,"&lt;&gt;")=0,"",SUMIFS(BD!$Y$3:$Y$5001,BD!$B$3:$B$5001,U$241,BD!$A$3:$A$5001,_xlfn.MAXIFS(BD!$A$3:$A$5001,BD!$B$3:$B$5001,U$241,BD!$A$3:$A$5001,"&gt;="&amp;$C$7,BD!$A$3:$A$5001,"&lt;="&amp;$B265,BD!$Y$3:$Y$5001,"&lt;&gt;"))))</f>
        <v/>
      </c>
      <c r="V265" s="43" t="str">
        <f>IF(OR($B265="",$A265&gt;$B$9,V$241=""),"",IF(COUNTIFS(BD!$B$3:$B$5001,V$241,BD!$A$3:$A$5001,"&gt;="&amp;$C$7,BD!$A$3:$A$5001,"&lt;="&amp;$B265,BD!$Y$3:$Y$5001,"&lt;&gt;")=0,"",SUMIFS(BD!$Y$3:$Y$5001,BD!$B$3:$B$5001,V$241,BD!$A$3:$A$5001,_xlfn.MAXIFS(BD!$A$3:$A$5001,BD!$B$3:$B$5001,V$241,BD!$A$3:$A$5001,"&gt;="&amp;$C$7,BD!$A$3:$A$5001,"&lt;="&amp;$B265,BD!$Y$3:$Y$5001,"&lt;&gt;"))))</f>
        <v/>
      </c>
    </row>
    <row r="266">
      <c r="A266" s="38">
        <v>25</v>
      </c>
      <c r="B266" s="42">
        <f>$B$36</f>
        <v>46320</v>
      </c>
      <c r="C266" s="43" t="str">
        <f>IF(OR($B266="",$A266&gt;$B$9,C$241=""),"",IF(COUNTIFS(BD!$B$3:$B$5001,C$241,BD!$A$3:$A$5001,"&gt;="&amp;$C$7,BD!$A$3:$A$5001,"&lt;="&amp;$B266,BD!$Y$3:$Y$5001,"&lt;&gt;")=0,"",SUMIFS(BD!$Y$3:$Y$5001,BD!$B$3:$B$5001,C$241,BD!$A$3:$A$5001,_xlfn.MAXIFS(BD!$A$3:$A$5001,BD!$B$3:$B$5001,C$241,BD!$A$3:$A$5001,"&gt;="&amp;$C$7,BD!$A$3:$A$5001,"&lt;="&amp;$B266,BD!$Y$3:$Y$5001,"&lt;&gt;"))))</f>
        <v/>
      </c>
      <c r="D266" s="43" t="str">
        <f>IF(OR($B266="",$A266&gt;$B$9,D$241=""),"",IF(COUNTIFS(BD!$B$3:$B$5001,D$241,BD!$A$3:$A$5001,"&gt;="&amp;$C$7,BD!$A$3:$A$5001,"&lt;="&amp;$B266,BD!$Y$3:$Y$5001,"&lt;&gt;")=0,"",SUMIFS(BD!$Y$3:$Y$5001,BD!$B$3:$B$5001,D$241,BD!$A$3:$A$5001,_xlfn.MAXIFS(BD!$A$3:$A$5001,BD!$B$3:$B$5001,D$241,BD!$A$3:$A$5001,"&gt;="&amp;$C$7,BD!$A$3:$A$5001,"&lt;="&amp;$B266,BD!$Y$3:$Y$5001,"&lt;&gt;"))))</f>
        <v/>
      </c>
      <c r="E266" s="43" t="str">
        <f>IF(OR($B266="",$A266&gt;$B$9,E$241=""),"",IF(COUNTIFS(BD!$B$3:$B$5001,E$241,BD!$A$3:$A$5001,"&gt;="&amp;$C$7,BD!$A$3:$A$5001,"&lt;="&amp;$B266,BD!$Y$3:$Y$5001,"&lt;&gt;")=0,"",SUMIFS(BD!$Y$3:$Y$5001,BD!$B$3:$B$5001,E$241,BD!$A$3:$A$5001,_xlfn.MAXIFS(BD!$A$3:$A$5001,BD!$B$3:$B$5001,E$241,BD!$A$3:$A$5001,"&gt;="&amp;$C$7,BD!$A$3:$A$5001,"&lt;="&amp;$B266,BD!$Y$3:$Y$5001,"&lt;&gt;"))))</f>
        <v/>
      </c>
      <c r="F266" s="43" t="str">
        <f>IF(OR($B266="",$A266&gt;$B$9,F$241=""),"",IF(COUNTIFS(BD!$B$3:$B$5001,F$241,BD!$A$3:$A$5001,"&gt;="&amp;$C$7,BD!$A$3:$A$5001,"&lt;="&amp;$B266,BD!$Y$3:$Y$5001,"&lt;&gt;")=0,"",SUMIFS(BD!$Y$3:$Y$5001,BD!$B$3:$B$5001,F$241,BD!$A$3:$A$5001,_xlfn.MAXIFS(BD!$A$3:$A$5001,BD!$B$3:$B$5001,F$241,BD!$A$3:$A$5001,"&gt;="&amp;$C$7,BD!$A$3:$A$5001,"&lt;="&amp;$B266,BD!$Y$3:$Y$5001,"&lt;&gt;"))))</f>
        <v/>
      </c>
      <c r="G266" s="43" t="str">
        <f>IF(OR($B266="",$A266&gt;$B$9,G$241=""),"",IF(COUNTIFS(BD!$B$3:$B$5001,G$241,BD!$A$3:$A$5001,"&gt;="&amp;$C$7,BD!$A$3:$A$5001,"&lt;="&amp;$B266,BD!$Y$3:$Y$5001,"&lt;&gt;")=0,"",SUMIFS(BD!$Y$3:$Y$5001,BD!$B$3:$B$5001,G$241,BD!$A$3:$A$5001,_xlfn.MAXIFS(BD!$A$3:$A$5001,BD!$B$3:$B$5001,G$241,BD!$A$3:$A$5001,"&gt;="&amp;$C$7,BD!$A$3:$A$5001,"&lt;="&amp;$B266,BD!$Y$3:$Y$5001,"&lt;&gt;"))))</f>
        <v/>
      </c>
      <c r="H266" s="43" t="str">
        <f>IF(OR($B266="",$A266&gt;$B$9,H$241=""),"",IF(COUNTIFS(BD!$B$3:$B$5001,H$241,BD!$A$3:$A$5001,"&gt;="&amp;$C$7,BD!$A$3:$A$5001,"&lt;="&amp;$B266,BD!$Y$3:$Y$5001,"&lt;&gt;")=0,"",SUMIFS(BD!$Y$3:$Y$5001,BD!$B$3:$B$5001,H$241,BD!$A$3:$A$5001,_xlfn.MAXIFS(BD!$A$3:$A$5001,BD!$B$3:$B$5001,H$241,BD!$A$3:$A$5001,"&gt;="&amp;$C$7,BD!$A$3:$A$5001,"&lt;="&amp;$B266,BD!$Y$3:$Y$5001,"&lt;&gt;"))))</f>
        <v/>
      </c>
      <c r="I266" s="43" t="str">
        <f>IF(OR($B266="",$A266&gt;$B$9,I$241=""),"",IF(COUNTIFS(BD!$B$3:$B$5001,I$241,BD!$A$3:$A$5001,"&gt;="&amp;$C$7,BD!$A$3:$A$5001,"&lt;="&amp;$B266,BD!$Y$3:$Y$5001,"&lt;&gt;")=0,"",SUMIFS(BD!$Y$3:$Y$5001,BD!$B$3:$B$5001,I$241,BD!$A$3:$A$5001,_xlfn.MAXIFS(BD!$A$3:$A$5001,BD!$B$3:$B$5001,I$241,BD!$A$3:$A$5001,"&gt;="&amp;$C$7,BD!$A$3:$A$5001,"&lt;="&amp;$B266,BD!$Y$3:$Y$5001,"&lt;&gt;"))))</f>
        <v/>
      </c>
      <c r="J266" s="43" t="str">
        <f>IF(OR($B266="",$A266&gt;$B$9,J$241=""),"",IF(COUNTIFS(BD!$B$3:$B$5001,J$241,BD!$A$3:$A$5001,"&gt;="&amp;$C$7,BD!$A$3:$A$5001,"&lt;="&amp;$B266,BD!$Y$3:$Y$5001,"&lt;&gt;")=0,"",SUMIFS(BD!$Y$3:$Y$5001,BD!$B$3:$B$5001,J$241,BD!$A$3:$A$5001,_xlfn.MAXIFS(BD!$A$3:$A$5001,BD!$B$3:$B$5001,J$241,BD!$A$3:$A$5001,"&gt;="&amp;$C$7,BD!$A$3:$A$5001,"&lt;="&amp;$B266,BD!$Y$3:$Y$5001,"&lt;&gt;"))))</f>
        <v/>
      </c>
      <c r="K266" s="43" t="str">
        <f>IF(OR($B266="",$A266&gt;$B$9,K$241=""),"",IF(COUNTIFS(BD!$B$3:$B$5001,K$241,BD!$A$3:$A$5001,"&gt;="&amp;$C$7,BD!$A$3:$A$5001,"&lt;="&amp;$B266,BD!$Y$3:$Y$5001,"&lt;&gt;")=0,"",SUMIFS(BD!$Y$3:$Y$5001,BD!$B$3:$B$5001,K$241,BD!$A$3:$A$5001,_xlfn.MAXIFS(BD!$A$3:$A$5001,BD!$B$3:$B$5001,K$241,BD!$A$3:$A$5001,"&gt;="&amp;$C$7,BD!$A$3:$A$5001,"&lt;="&amp;$B266,BD!$Y$3:$Y$5001,"&lt;&gt;"))))</f>
        <v/>
      </c>
      <c r="L266" s="43" t="str">
        <f>IF(OR($B266="",$A266&gt;$B$9,L$241=""),"",IF(COUNTIFS(BD!$B$3:$B$5001,L$241,BD!$A$3:$A$5001,"&gt;="&amp;$C$7,BD!$A$3:$A$5001,"&lt;="&amp;$B266,BD!$Y$3:$Y$5001,"&lt;&gt;")=0,"",SUMIFS(BD!$Y$3:$Y$5001,BD!$B$3:$B$5001,L$241,BD!$A$3:$A$5001,_xlfn.MAXIFS(BD!$A$3:$A$5001,BD!$B$3:$B$5001,L$241,BD!$A$3:$A$5001,"&gt;="&amp;$C$7,BD!$A$3:$A$5001,"&lt;="&amp;$B266,BD!$Y$3:$Y$5001,"&lt;&gt;"))))</f>
        <v/>
      </c>
      <c r="M266" s="43" t="str">
        <f>IF(OR($B266="",$A266&gt;$B$9,M$241=""),"",IF(COUNTIFS(BD!$B$3:$B$5001,M$241,BD!$A$3:$A$5001,"&gt;="&amp;$C$7,BD!$A$3:$A$5001,"&lt;="&amp;$B266,BD!$Y$3:$Y$5001,"&lt;&gt;")=0,"",SUMIFS(BD!$Y$3:$Y$5001,BD!$B$3:$B$5001,M$241,BD!$A$3:$A$5001,_xlfn.MAXIFS(BD!$A$3:$A$5001,BD!$B$3:$B$5001,M$241,BD!$A$3:$A$5001,"&gt;="&amp;$C$7,BD!$A$3:$A$5001,"&lt;="&amp;$B266,BD!$Y$3:$Y$5001,"&lt;&gt;"))))</f>
        <v/>
      </c>
      <c r="N266" s="43" t="str">
        <f>IF(OR($B266="",$A266&gt;$B$9,N$241=""),"",IF(COUNTIFS(BD!$B$3:$B$5001,N$241,BD!$A$3:$A$5001,"&gt;="&amp;$C$7,BD!$A$3:$A$5001,"&lt;="&amp;$B266,BD!$Y$3:$Y$5001,"&lt;&gt;")=0,"",SUMIFS(BD!$Y$3:$Y$5001,BD!$B$3:$B$5001,N$241,BD!$A$3:$A$5001,_xlfn.MAXIFS(BD!$A$3:$A$5001,BD!$B$3:$B$5001,N$241,BD!$A$3:$A$5001,"&gt;="&amp;$C$7,BD!$A$3:$A$5001,"&lt;="&amp;$B266,BD!$Y$3:$Y$5001,"&lt;&gt;"))))</f>
        <v/>
      </c>
      <c r="O266" s="43" t="str">
        <f>IF(OR($B266="",$A266&gt;$B$9,O$241=""),"",IF(COUNTIFS(BD!$B$3:$B$5001,O$241,BD!$A$3:$A$5001,"&gt;="&amp;$C$7,BD!$A$3:$A$5001,"&lt;="&amp;$B266,BD!$Y$3:$Y$5001,"&lt;&gt;")=0,"",SUMIFS(BD!$Y$3:$Y$5001,BD!$B$3:$B$5001,O$241,BD!$A$3:$A$5001,_xlfn.MAXIFS(BD!$A$3:$A$5001,BD!$B$3:$B$5001,O$241,BD!$A$3:$A$5001,"&gt;="&amp;$C$7,BD!$A$3:$A$5001,"&lt;="&amp;$B266,BD!$Y$3:$Y$5001,"&lt;&gt;"))))</f>
        <v/>
      </c>
      <c r="P266" s="43" t="str">
        <f>IF(OR($B266="",$A266&gt;$B$9,P$241=""),"",IF(COUNTIFS(BD!$B$3:$B$5001,P$241,BD!$A$3:$A$5001,"&gt;="&amp;$C$7,BD!$A$3:$A$5001,"&lt;="&amp;$B266,BD!$Y$3:$Y$5001,"&lt;&gt;")=0,"",SUMIFS(BD!$Y$3:$Y$5001,BD!$B$3:$B$5001,P$241,BD!$A$3:$A$5001,_xlfn.MAXIFS(BD!$A$3:$A$5001,BD!$B$3:$B$5001,P$241,BD!$A$3:$A$5001,"&gt;="&amp;$C$7,BD!$A$3:$A$5001,"&lt;="&amp;$B266,BD!$Y$3:$Y$5001,"&lt;&gt;"))))</f>
        <v/>
      </c>
      <c r="Q266" s="43" t="str">
        <f>IF(OR($B266="",$A266&gt;$B$9,Q$241=""),"",IF(COUNTIFS(BD!$B$3:$B$5001,Q$241,BD!$A$3:$A$5001,"&gt;="&amp;$C$7,BD!$A$3:$A$5001,"&lt;="&amp;$B266,BD!$Y$3:$Y$5001,"&lt;&gt;")=0,"",SUMIFS(BD!$Y$3:$Y$5001,BD!$B$3:$B$5001,Q$241,BD!$A$3:$A$5001,_xlfn.MAXIFS(BD!$A$3:$A$5001,BD!$B$3:$B$5001,Q$241,BD!$A$3:$A$5001,"&gt;="&amp;$C$7,BD!$A$3:$A$5001,"&lt;="&amp;$B266,BD!$Y$3:$Y$5001,"&lt;&gt;"))))</f>
        <v/>
      </c>
      <c r="R266" s="43" t="str">
        <f>IF(OR($B266="",$A266&gt;$B$9,R$241=""),"",IF(COUNTIFS(BD!$B$3:$B$5001,R$241,BD!$A$3:$A$5001,"&gt;="&amp;$C$7,BD!$A$3:$A$5001,"&lt;="&amp;$B266,BD!$Y$3:$Y$5001,"&lt;&gt;")=0,"",SUMIFS(BD!$Y$3:$Y$5001,BD!$B$3:$B$5001,R$241,BD!$A$3:$A$5001,_xlfn.MAXIFS(BD!$A$3:$A$5001,BD!$B$3:$B$5001,R$241,BD!$A$3:$A$5001,"&gt;="&amp;$C$7,BD!$A$3:$A$5001,"&lt;="&amp;$B266,BD!$Y$3:$Y$5001,"&lt;&gt;"))))</f>
        <v/>
      </c>
      <c r="S266" s="43" t="str">
        <f>IF(OR($B266="",$A266&gt;$B$9,S$241=""),"",IF(COUNTIFS(BD!$B$3:$B$5001,S$241,BD!$A$3:$A$5001,"&gt;="&amp;$C$7,BD!$A$3:$A$5001,"&lt;="&amp;$B266,BD!$Y$3:$Y$5001,"&lt;&gt;")=0,"",SUMIFS(BD!$Y$3:$Y$5001,BD!$B$3:$B$5001,S$241,BD!$A$3:$A$5001,_xlfn.MAXIFS(BD!$A$3:$A$5001,BD!$B$3:$B$5001,S$241,BD!$A$3:$A$5001,"&gt;="&amp;$C$7,BD!$A$3:$A$5001,"&lt;="&amp;$B266,BD!$Y$3:$Y$5001,"&lt;&gt;"))))</f>
        <v/>
      </c>
      <c r="T266" s="43" t="str">
        <f>IF(OR($B266="",$A266&gt;$B$9,T$241=""),"",IF(COUNTIFS(BD!$B$3:$B$5001,T$241,BD!$A$3:$A$5001,"&gt;="&amp;$C$7,BD!$A$3:$A$5001,"&lt;="&amp;$B266,BD!$Y$3:$Y$5001,"&lt;&gt;")=0,"",SUMIFS(BD!$Y$3:$Y$5001,BD!$B$3:$B$5001,T$241,BD!$A$3:$A$5001,_xlfn.MAXIFS(BD!$A$3:$A$5001,BD!$B$3:$B$5001,T$241,BD!$A$3:$A$5001,"&gt;="&amp;$C$7,BD!$A$3:$A$5001,"&lt;="&amp;$B266,BD!$Y$3:$Y$5001,"&lt;&gt;"))))</f>
        <v/>
      </c>
      <c r="U266" s="43" t="str">
        <f>IF(OR($B266="",$A266&gt;$B$9,U$241=""),"",IF(COUNTIFS(BD!$B$3:$B$5001,U$241,BD!$A$3:$A$5001,"&gt;="&amp;$C$7,BD!$A$3:$A$5001,"&lt;="&amp;$B266,BD!$Y$3:$Y$5001,"&lt;&gt;")=0,"",SUMIFS(BD!$Y$3:$Y$5001,BD!$B$3:$B$5001,U$241,BD!$A$3:$A$5001,_xlfn.MAXIFS(BD!$A$3:$A$5001,BD!$B$3:$B$5001,U$241,BD!$A$3:$A$5001,"&gt;="&amp;$C$7,BD!$A$3:$A$5001,"&lt;="&amp;$B266,BD!$Y$3:$Y$5001,"&lt;&gt;"))))</f>
        <v/>
      </c>
      <c r="V266" s="43" t="str">
        <f>IF(OR($B266="",$A266&gt;$B$9,V$241=""),"",IF(COUNTIFS(BD!$B$3:$B$5001,V$241,BD!$A$3:$A$5001,"&gt;="&amp;$C$7,BD!$A$3:$A$5001,"&lt;="&amp;$B266,BD!$Y$3:$Y$5001,"&lt;&gt;")=0,"",SUMIFS(BD!$Y$3:$Y$5001,BD!$B$3:$B$5001,V$241,BD!$A$3:$A$5001,_xlfn.MAXIFS(BD!$A$3:$A$5001,BD!$B$3:$B$5001,V$241,BD!$A$3:$A$5001,"&gt;="&amp;$C$7,BD!$A$3:$A$5001,"&lt;="&amp;$B266,BD!$Y$3:$Y$5001,"&lt;&gt;"))))</f>
        <v/>
      </c>
    </row>
    <row r="267">
      <c r="A267" s="38">
        <v>26</v>
      </c>
      <c r="B267" s="42">
        <f>$B$37</f>
        <v>46321</v>
      </c>
      <c r="C267" s="43" t="str">
        <f>IF(OR($B267="",$A267&gt;$B$9,C$241=""),"",IF(COUNTIFS(BD!$B$3:$B$5001,C$241,BD!$A$3:$A$5001,"&gt;="&amp;$C$7,BD!$A$3:$A$5001,"&lt;="&amp;$B267,BD!$Y$3:$Y$5001,"&lt;&gt;")=0,"",SUMIFS(BD!$Y$3:$Y$5001,BD!$B$3:$B$5001,C$241,BD!$A$3:$A$5001,_xlfn.MAXIFS(BD!$A$3:$A$5001,BD!$B$3:$B$5001,C$241,BD!$A$3:$A$5001,"&gt;="&amp;$C$7,BD!$A$3:$A$5001,"&lt;="&amp;$B267,BD!$Y$3:$Y$5001,"&lt;&gt;"))))</f>
        <v/>
      </c>
      <c r="D267" s="43" t="str">
        <f>IF(OR($B267="",$A267&gt;$B$9,D$241=""),"",IF(COUNTIFS(BD!$B$3:$B$5001,D$241,BD!$A$3:$A$5001,"&gt;="&amp;$C$7,BD!$A$3:$A$5001,"&lt;="&amp;$B267,BD!$Y$3:$Y$5001,"&lt;&gt;")=0,"",SUMIFS(BD!$Y$3:$Y$5001,BD!$B$3:$B$5001,D$241,BD!$A$3:$A$5001,_xlfn.MAXIFS(BD!$A$3:$A$5001,BD!$B$3:$B$5001,D$241,BD!$A$3:$A$5001,"&gt;="&amp;$C$7,BD!$A$3:$A$5001,"&lt;="&amp;$B267,BD!$Y$3:$Y$5001,"&lt;&gt;"))))</f>
        <v/>
      </c>
      <c r="E267" s="43" t="str">
        <f>IF(OR($B267="",$A267&gt;$B$9,E$241=""),"",IF(COUNTIFS(BD!$B$3:$B$5001,E$241,BD!$A$3:$A$5001,"&gt;="&amp;$C$7,BD!$A$3:$A$5001,"&lt;="&amp;$B267,BD!$Y$3:$Y$5001,"&lt;&gt;")=0,"",SUMIFS(BD!$Y$3:$Y$5001,BD!$B$3:$B$5001,E$241,BD!$A$3:$A$5001,_xlfn.MAXIFS(BD!$A$3:$A$5001,BD!$B$3:$B$5001,E$241,BD!$A$3:$A$5001,"&gt;="&amp;$C$7,BD!$A$3:$A$5001,"&lt;="&amp;$B267,BD!$Y$3:$Y$5001,"&lt;&gt;"))))</f>
        <v/>
      </c>
      <c r="F267" s="43" t="str">
        <f>IF(OR($B267="",$A267&gt;$B$9,F$241=""),"",IF(COUNTIFS(BD!$B$3:$B$5001,F$241,BD!$A$3:$A$5001,"&gt;="&amp;$C$7,BD!$A$3:$A$5001,"&lt;="&amp;$B267,BD!$Y$3:$Y$5001,"&lt;&gt;")=0,"",SUMIFS(BD!$Y$3:$Y$5001,BD!$B$3:$B$5001,F$241,BD!$A$3:$A$5001,_xlfn.MAXIFS(BD!$A$3:$A$5001,BD!$B$3:$B$5001,F$241,BD!$A$3:$A$5001,"&gt;="&amp;$C$7,BD!$A$3:$A$5001,"&lt;="&amp;$B267,BD!$Y$3:$Y$5001,"&lt;&gt;"))))</f>
        <v/>
      </c>
      <c r="G267" s="43" t="str">
        <f>IF(OR($B267="",$A267&gt;$B$9,G$241=""),"",IF(COUNTIFS(BD!$B$3:$B$5001,G$241,BD!$A$3:$A$5001,"&gt;="&amp;$C$7,BD!$A$3:$A$5001,"&lt;="&amp;$B267,BD!$Y$3:$Y$5001,"&lt;&gt;")=0,"",SUMIFS(BD!$Y$3:$Y$5001,BD!$B$3:$B$5001,G$241,BD!$A$3:$A$5001,_xlfn.MAXIFS(BD!$A$3:$A$5001,BD!$B$3:$B$5001,G$241,BD!$A$3:$A$5001,"&gt;="&amp;$C$7,BD!$A$3:$A$5001,"&lt;="&amp;$B267,BD!$Y$3:$Y$5001,"&lt;&gt;"))))</f>
        <v/>
      </c>
      <c r="H267" s="43" t="str">
        <f>IF(OR($B267="",$A267&gt;$B$9,H$241=""),"",IF(COUNTIFS(BD!$B$3:$B$5001,H$241,BD!$A$3:$A$5001,"&gt;="&amp;$C$7,BD!$A$3:$A$5001,"&lt;="&amp;$B267,BD!$Y$3:$Y$5001,"&lt;&gt;")=0,"",SUMIFS(BD!$Y$3:$Y$5001,BD!$B$3:$B$5001,H$241,BD!$A$3:$A$5001,_xlfn.MAXIFS(BD!$A$3:$A$5001,BD!$B$3:$B$5001,H$241,BD!$A$3:$A$5001,"&gt;="&amp;$C$7,BD!$A$3:$A$5001,"&lt;="&amp;$B267,BD!$Y$3:$Y$5001,"&lt;&gt;"))))</f>
        <v/>
      </c>
      <c r="I267" s="43" t="str">
        <f>IF(OR($B267="",$A267&gt;$B$9,I$241=""),"",IF(COUNTIFS(BD!$B$3:$B$5001,I$241,BD!$A$3:$A$5001,"&gt;="&amp;$C$7,BD!$A$3:$A$5001,"&lt;="&amp;$B267,BD!$Y$3:$Y$5001,"&lt;&gt;")=0,"",SUMIFS(BD!$Y$3:$Y$5001,BD!$B$3:$B$5001,I$241,BD!$A$3:$A$5001,_xlfn.MAXIFS(BD!$A$3:$A$5001,BD!$B$3:$B$5001,I$241,BD!$A$3:$A$5001,"&gt;="&amp;$C$7,BD!$A$3:$A$5001,"&lt;="&amp;$B267,BD!$Y$3:$Y$5001,"&lt;&gt;"))))</f>
        <v/>
      </c>
      <c r="J267" s="43" t="str">
        <f>IF(OR($B267="",$A267&gt;$B$9,J$241=""),"",IF(COUNTIFS(BD!$B$3:$B$5001,J$241,BD!$A$3:$A$5001,"&gt;="&amp;$C$7,BD!$A$3:$A$5001,"&lt;="&amp;$B267,BD!$Y$3:$Y$5001,"&lt;&gt;")=0,"",SUMIFS(BD!$Y$3:$Y$5001,BD!$B$3:$B$5001,J$241,BD!$A$3:$A$5001,_xlfn.MAXIFS(BD!$A$3:$A$5001,BD!$B$3:$B$5001,J$241,BD!$A$3:$A$5001,"&gt;="&amp;$C$7,BD!$A$3:$A$5001,"&lt;="&amp;$B267,BD!$Y$3:$Y$5001,"&lt;&gt;"))))</f>
        <v/>
      </c>
      <c r="K267" s="43" t="str">
        <f>IF(OR($B267="",$A267&gt;$B$9,K$241=""),"",IF(COUNTIFS(BD!$B$3:$B$5001,K$241,BD!$A$3:$A$5001,"&gt;="&amp;$C$7,BD!$A$3:$A$5001,"&lt;="&amp;$B267,BD!$Y$3:$Y$5001,"&lt;&gt;")=0,"",SUMIFS(BD!$Y$3:$Y$5001,BD!$B$3:$B$5001,K$241,BD!$A$3:$A$5001,_xlfn.MAXIFS(BD!$A$3:$A$5001,BD!$B$3:$B$5001,K$241,BD!$A$3:$A$5001,"&gt;="&amp;$C$7,BD!$A$3:$A$5001,"&lt;="&amp;$B267,BD!$Y$3:$Y$5001,"&lt;&gt;"))))</f>
        <v/>
      </c>
      <c r="L267" s="43" t="str">
        <f>IF(OR($B267="",$A267&gt;$B$9,L$241=""),"",IF(COUNTIFS(BD!$B$3:$B$5001,L$241,BD!$A$3:$A$5001,"&gt;="&amp;$C$7,BD!$A$3:$A$5001,"&lt;="&amp;$B267,BD!$Y$3:$Y$5001,"&lt;&gt;")=0,"",SUMIFS(BD!$Y$3:$Y$5001,BD!$B$3:$B$5001,L$241,BD!$A$3:$A$5001,_xlfn.MAXIFS(BD!$A$3:$A$5001,BD!$B$3:$B$5001,L$241,BD!$A$3:$A$5001,"&gt;="&amp;$C$7,BD!$A$3:$A$5001,"&lt;="&amp;$B267,BD!$Y$3:$Y$5001,"&lt;&gt;"))))</f>
        <v/>
      </c>
      <c r="M267" s="43" t="str">
        <f>IF(OR($B267="",$A267&gt;$B$9,M$241=""),"",IF(COUNTIFS(BD!$B$3:$B$5001,M$241,BD!$A$3:$A$5001,"&gt;="&amp;$C$7,BD!$A$3:$A$5001,"&lt;="&amp;$B267,BD!$Y$3:$Y$5001,"&lt;&gt;")=0,"",SUMIFS(BD!$Y$3:$Y$5001,BD!$B$3:$B$5001,M$241,BD!$A$3:$A$5001,_xlfn.MAXIFS(BD!$A$3:$A$5001,BD!$B$3:$B$5001,M$241,BD!$A$3:$A$5001,"&gt;="&amp;$C$7,BD!$A$3:$A$5001,"&lt;="&amp;$B267,BD!$Y$3:$Y$5001,"&lt;&gt;"))))</f>
        <v/>
      </c>
      <c r="N267" s="43" t="str">
        <f>IF(OR($B267="",$A267&gt;$B$9,N$241=""),"",IF(COUNTIFS(BD!$B$3:$B$5001,N$241,BD!$A$3:$A$5001,"&gt;="&amp;$C$7,BD!$A$3:$A$5001,"&lt;="&amp;$B267,BD!$Y$3:$Y$5001,"&lt;&gt;")=0,"",SUMIFS(BD!$Y$3:$Y$5001,BD!$B$3:$B$5001,N$241,BD!$A$3:$A$5001,_xlfn.MAXIFS(BD!$A$3:$A$5001,BD!$B$3:$B$5001,N$241,BD!$A$3:$A$5001,"&gt;="&amp;$C$7,BD!$A$3:$A$5001,"&lt;="&amp;$B267,BD!$Y$3:$Y$5001,"&lt;&gt;"))))</f>
        <v/>
      </c>
      <c r="O267" s="43" t="str">
        <f>IF(OR($B267="",$A267&gt;$B$9,O$241=""),"",IF(COUNTIFS(BD!$B$3:$B$5001,O$241,BD!$A$3:$A$5001,"&gt;="&amp;$C$7,BD!$A$3:$A$5001,"&lt;="&amp;$B267,BD!$Y$3:$Y$5001,"&lt;&gt;")=0,"",SUMIFS(BD!$Y$3:$Y$5001,BD!$B$3:$B$5001,O$241,BD!$A$3:$A$5001,_xlfn.MAXIFS(BD!$A$3:$A$5001,BD!$B$3:$B$5001,O$241,BD!$A$3:$A$5001,"&gt;="&amp;$C$7,BD!$A$3:$A$5001,"&lt;="&amp;$B267,BD!$Y$3:$Y$5001,"&lt;&gt;"))))</f>
        <v/>
      </c>
      <c r="P267" s="43" t="str">
        <f>IF(OR($B267="",$A267&gt;$B$9,P$241=""),"",IF(COUNTIFS(BD!$B$3:$B$5001,P$241,BD!$A$3:$A$5001,"&gt;="&amp;$C$7,BD!$A$3:$A$5001,"&lt;="&amp;$B267,BD!$Y$3:$Y$5001,"&lt;&gt;")=0,"",SUMIFS(BD!$Y$3:$Y$5001,BD!$B$3:$B$5001,P$241,BD!$A$3:$A$5001,_xlfn.MAXIFS(BD!$A$3:$A$5001,BD!$B$3:$B$5001,P$241,BD!$A$3:$A$5001,"&gt;="&amp;$C$7,BD!$A$3:$A$5001,"&lt;="&amp;$B267,BD!$Y$3:$Y$5001,"&lt;&gt;"))))</f>
        <v/>
      </c>
      <c r="Q267" s="43" t="str">
        <f>IF(OR($B267="",$A267&gt;$B$9,Q$241=""),"",IF(COUNTIFS(BD!$B$3:$B$5001,Q$241,BD!$A$3:$A$5001,"&gt;="&amp;$C$7,BD!$A$3:$A$5001,"&lt;="&amp;$B267,BD!$Y$3:$Y$5001,"&lt;&gt;")=0,"",SUMIFS(BD!$Y$3:$Y$5001,BD!$B$3:$B$5001,Q$241,BD!$A$3:$A$5001,_xlfn.MAXIFS(BD!$A$3:$A$5001,BD!$B$3:$B$5001,Q$241,BD!$A$3:$A$5001,"&gt;="&amp;$C$7,BD!$A$3:$A$5001,"&lt;="&amp;$B267,BD!$Y$3:$Y$5001,"&lt;&gt;"))))</f>
        <v/>
      </c>
      <c r="R267" s="43" t="str">
        <f>IF(OR($B267="",$A267&gt;$B$9,R$241=""),"",IF(COUNTIFS(BD!$B$3:$B$5001,R$241,BD!$A$3:$A$5001,"&gt;="&amp;$C$7,BD!$A$3:$A$5001,"&lt;="&amp;$B267,BD!$Y$3:$Y$5001,"&lt;&gt;")=0,"",SUMIFS(BD!$Y$3:$Y$5001,BD!$B$3:$B$5001,R$241,BD!$A$3:$A$5001,_xlfn.MAXIFS(BD!$A$3:$A$5001,BD!$B$3:$B$5001,R$241,BD!$A$3:$A$5001,"&gt;="&amp;$C$7,BD!$A$3:$A$5001,"&lt;="&amp;$B267,BD!$Y$3:$Y$5001,"&lt;&gt;"))))</f>
        <v/>
      </c>
      <c r="S267" s="43" t="str">
        <f>IF(OR($B267="",$A267&gt;$B$9,S$241=""),"",IF(COUNTIFS(BD!$B$3:$B$5001,S$241,BD!$A$3:$A$5001,"&gt;="&amp;$C$7,BD!$A$3:$A$5001,"&lt;="&amp;$B267,BD!$Y$3:$Y$5001,"&lt;&gt;")=0,"",SUMIFS(BD!$Y$3:$Y$5001,BD!$B$3:$B$5001,S$241,BD!$A$3:$A$5001,_xlfn.MAXIFS(BD!$A$3:$A$5001,BD!$B$3:$B$5001,S$241,BD!$A$3:$A$5001,"&gt;="&amp;$C$7,BD!$A$3:$A$5001,"&lt;="&amp;$B267,BD!$Y$3:$Y$5001,"&lt;&gt;"))))</f>
        <v/>
      </c>
      <c r="T267" s="43" t="str">
        <f>IF(OR($B267="",$A267&gt;$B$9,T$241=""),"",IF(COUNTIFS(BD!$B$3:$B$5001,T$241,BD!$A$3:$A$5001,"&gt;="&amp;$C$7,BD!$A$3:$A$5001,"&lt;="&amp;$B267,BD!$Y$3:$Y$5001,"&lt;&gt;")=0,"",SUMIFS(BD!$Y$3:$Y$5001,BD!$B$3:$B$5001,T$241,BD!$A$3:$A$5001,_xlfn.MAXIFS(BD!$A$3:$A$5001,BD!$B$3:$B$5001,T$241,BD!$A$3:$A$5001,"&gt;="&amp;$C$7,BD!$A$3:$A$5001,"&lt;="&amp;$B267,BD!$Y$3:$Y$5001,"&lt;&gt;"))))</f>
        <v/>
      </c>
      <c r="U267" s="43" t="str">
        <f>IF(OR($B267="",$A267&gt;$B$9,U$241=""),"",IF(COUNTIFS(BD!$B$3:$B$5001,U$241,BD!$A$3:$A$5001,"&gt;="&amp;$C$7,BD!$A$3:$A$5001,"&lt;="&amp;$B267,BD!$Y$3:$Y$5001,"&lt;&gt;")=0,"",SUMIFS(BD!$Y$3:$Y$5001,BD!$B$3:$B$5001,U$241,BD!$A$3:$A$5001,_xlfn.MAXIFS(BD!$A$3:$A$5001,BD!$B$3:$B$5001,U$241,BD!$A$3:$A$5001,"&gt;="&amp;$C$7,BD!$A$3:$A$5001,"&lt;="&amp;$B267,BD!$Y$3:$Y$5001,"&lt;&gt;"))))</f>
        <v/>
      </c>
      <c r="V267" s="43" t="str">
        <f>IF(OR($B267="",$A267&gt;$B$9,V$241=""),"",IF(COUNTIFS(BD!$B$3:$B$5001,V$241,BD!$A$3:$A$5001,"&gt;="&amp;$C$7,BD!$A$3:$A$5001,"&lt;="&amp;$B267,BD!$Y$3:$Y$5001,"&lt;&gt;")=0,"",SUMIFS(BD!$Y$3:$Y$5001,BD!$B$3:$B$5001,V$241,BD!$A$3:$A$5001,_xlfn.MAXIFS(BD!$A$3:$A$5001,BD!$B$3:$B$5001,V$241,BD!$A$3:$A$5001,"&gt;="&amp;$C$7,BD!$A$3:$A$5001,"&lt;="&amp;$B267,BD!$Y$3:$Y$5001,"&lt;&gt;"))))</f>
        <v/>
      </c>
    </row>
    <row r="268">
      <c r="A268" s="38">
        <v>27</v>
      </c>
      <c r="B268" s="42">
        <f>$B$38</f>
        <v>46322</v>
      </c>
      <c r="C268" s="43" t="str">
        <f>IF(OR($B268="",$A268&gt;$B$9,C$241=""),"",IF(COUNTIFS(BD!$B$3:$B$5001,C$241,BD!$A$3:$A$5001,"&gt;="&amp;$C$7,BD!$A$3:$A$5001,"&lt;="&amp;$B268,BD!$Y$3:$Y$5001,"&lt;&gt;")=0,"",SUMIFS(BD!$Y$3:$Y$5001,BD!$B$3:$B$5001,C$241,BD!$A$3:$A$5001,_xlfn.MAXIFS(BD!$A$3:$A$5001,BD!$B$3:$B$5001,C$241,BD!$A$3:$A$5001,"&gt;="&amp;$C$7,BD!$A$3:$A$5001,"&lt;="&amp;$B268,BD!$Y$3:$Y$5001,"&lt;&gt;"))))</f>
        <v/>
      </c>
      <c r="D268" s="43" t="str">
        <f>IF(OR($B268="",$A268&gt;$B$9,D$241=""),"",IF(COUNTIFS(BD!$B$3:$B$5001,D$241,BD!$A$3:$A$5001,"&gt;="&amp;$C$7,BD!$A$3:$A$5001,"&lt;="&amp;$B268,BD!$Y$3:$Y$5001,"&lt;&gt;")=0,"",SUMIFS(BD!$Y$3:$Y$5001,BD!$B$3:$B$5001,D$241,BD!$A$3:$A$5001,_xlfn.MAXIFS(BD!$A$3:$A$5001,BD!$B$3:$B$5001,D$241,BD!$A$3:$A$5001,"&gt;="&amp;$C$7,BD!$A$3:$A$5001,"&lt;="&amp;$B268,BD!$Y$3:$Y$5001,"&lt;&gt;"))))</f>
        <v/>
      </c>
      <c r="E268" s="43" t="str">
        <f>IF(OR($B268="",$A268&gt;$B$9,E$241=""),"",IF(COUNTIFS(BD!$B$3:$B$5001,E$241,BD!$A$3:$A$5001,"&gt;="&amp;$C$7,BD!$A$3:$A$5001,"&lt;="&amp;$B268,BD!$Y$3:$Y$5001,"&lt;&gt;")=0,"",SUMIFS(BD!$Y$3:$Y$5001,BD!$B$3:$B$5001,E$241,BD!$A$3:$A$5001,_xlfn.MAXIFS(BD!$A$3:$A$5001,BD!$B$3:$B$5001,E$241,BD!$A$3:$A$5001,"&gt;="&amp;$C$7,BD!$A$3:$A$5001,"&lt;="&amp;$B268,BD!$Y$3:$Y$5001,"&lt;&gt;"))))</f>
        <v/>
      </c>
      <c r="F268" s="43" t="str">
        <f>IF(OR($B268="",$A268&gt;$B$9,F$241=""),"",IF(COUNTIFS(BD!$B$3:$B$5001,F$241,BD!$A$3:$A$5001,"&gt;="&amp;$C$7,BD!$A$3:$A$5001,"&lt;="&amp;$B268,BD!$Y$3:$Y$5001,"&lt;&gt;")=0,"",SUMIFS(BD!$Y$3:$Y$5001,BD!$B$3:$B$5001,F$241,BD!$A$3:$A$5001,_xlfn.MAXIFS(BD!$A$3:$A$5001,BD!$B$3:$B$5001,F$241,BD!$A$3:$A$5001,"&gt;="&amp;$C$7,BD!$A$3:$A$5001,"&lt;="&amp;$B268,BD!$Y$3:$Y$5001,"&lt;&gt;"))))</f>
        <v/>
      </c>
      <c r="G268" s="43" t="str">
        <f>IF(OR($B268="",$A268&gt;$B$9,G$241=""),"",IF(COUNTIFS(BD!$B$3:$B$5001,G$241,BD!$A$3:$A$5001,"&gt;="&amp;$C$7,BD!$A$3:$A$5001,"&lt;="&amp;$B268,BD!$Y$3:$Y$5001,"&lt;&gt;")=0,"",SUMIFS(BD!$Y$3:$Y$5001,BD!$B$3:$B$5001,G$241,BD!$A$3:$A$5001,_xlfn.MAXIFS(BD!$A$3:$A$5001,BD!$B$3:$B$5001,G$241,BD!$A$3:$A$5001,"&gt;="&amp;$C$7,BD!$A$3:$A$5001,"&lt;="&amp;$B268,BD!$Y$3:$Y$5001,"&lt;&gt;"))))</f>
        <v/>
      </c>
      <c r="H268" s="43" t="str">
        <f>IF(OR($B268="",$A268&gt;$B$9,H$241=""),"",IF(COUNTIFS(BD!$B$3:$B$5001,H$241,BD!$A$3:$A$5001,"&gt;="&amp;$C$7,BD!$A$3:$A$5001,"&lt;="&amp;$B268,BD!$Y$3:$Y$5001,"&lt;&gt;")=0,"",SUMIFS(BD!$Y$3:$Y$5001,BD!$B$3:$B$5001,H$241,BD!$A$3:$A$5001,_xlfn.MAXIFS(BD!$A$3:$A$5001,BD!$B$3:$B$5001,H$241,BD!$A$3:$A$5001,"&gt;="&amp;$C$7,BD!$A$3:$A$5001,"&lt;="&amp;$B268,BD!$Y$3:$Y$5001,"&lt;&gt;"))))</f>
        <v/>
      </c>
      <c r="I268" s="43" t="str">
        <f>IF(OR($B268="",$A268&gt;$B$9,I$241=""),"",IF(COUNTIFS(BD!$B$3:$B$5001,I$241,BD!$A$3:$A$5001,"&gt;="&amp;$C$7,BD!$A$3:$A$5001,"&lt;="&amp;$B268,BD!$Y$3:$Y$5001,"&lt;&gt;")=0,"",SUMIFS(BD!$Y$3:$Y$5001,BD!$B$3:$B$5001,I$241,BD!$A$3:$A$5001,_xlfn.MAXIFS(BD!$A$3:$A$5001,BD!$B$3:$B$5001,I$241,BD!$A$3:$A$5001,"&gt;="&amp;$C$7,BD!$A$3:$A$5001,"&lt;="&amp;$B268,BD!$Y$3:$Y$5001,"&lt;&gt;"))))</f>
        <v/>
      </c>
      <c r="J268" s="43" t="str">
        <f>IF(OR($B268="",$A268&gt;$B$9,J$241=""),"",IF(COUNTIFS(BD!$B$3:$B$5001,J$241,BD!$A$3:$A$5001,"&gt;="&amp;$C$7,BD!$A$3:$A$5001,"&lt;="&amp;$B268,BD!$Y$3:$Y$5001,"&lt;&gt;")=0,"",SUMIFS(BD!$Y$3:$Y$5001,BD!$B$3:$B$5001,J$241,BD!$A$3:$A$5001,_xlfn.MAXIFS(BD!$A$3:$A$5001,BD!$B$3:$B$5001,J$241,BD!$A$3:$A$5001,"&gt;="&amp;$C$7,BD!$A$3:$A$5001,"&lt;="&amp;$B268,BD!$Y$3:$Y$5001,"&lt;&gt;"))))</f>
        <v/>
      </c>
      <c r="K268" s="43" t="str">
        <f>IF(OR($B268="",$A268&gt;$B$9,K$241=""),"",IF(COUNTIFS(BD!$B$3:$B$5001,K$241,BD!$A$3:$A$5001,"&gt;="&amp;$C$7,BD!$A$3:$A$5001,"&lt;="&amp;$B268,BD!$Y$3:$Y$5001,"&lt;&gt;")=0,"",SUMIFS(BD!$Y$3:$Y$5001,BD!$B$3:$B$5001,K$241,BD!$A$3:$A$5001,_xlfn.MAXIFS(BD!$A$3:$A$5001,BD!$B$3:$B$5001,K$241,BD!$A$3:$A$5001,"&gt;="&amp;$C$7,BD!$A$3:$A$5001,"&lt;="&amp;$B268,BD!$Y$3:$Y$5001,"&lt;&gt;"))))</f>
        <v/>
      </c>
      <c r="L268" s="43" t="str">
        <f>IF(OR($B268="",$A268&gt;$B$9,L$241=""),"",IF(COUNTIFS(BD!$B$3:$B$5001,L$241,BD!$A$3:$A$5001,"&gt;="&amp;$C$7,BD!$A$3:$A$5001,"&lt;="&amp;$B268,BD!$Y$3:$Y$5001,"&lt;&gt;")=0,"",SUMIFS(BD!$Y$3:$Y$5001,BD!$B$3:$B$5001,L$241,BD!$A$3:$A$5001,_xlfn.MAXIFS(BD!$A$3:$A$5001,BD!$B$3:$B$5001,L$241,BD!$A$3:$A$5001,"&gt;="&amp;$C$7,BD!$A$3:$A$5001,"&lt;="&amp;$B268,BD!$Y$3:$Y$5001,"&lt;&gt;"))))</f>
        <v/>
      </c>
      <c r="M268" s="43" t="str">
        <f>IF(OR($B268="",$A268&gt;$B$9,M$241=""),"",IF(COUNTIFS(BD!$B$3:$B$5001,M$241,BD!$A$3:$A$5001,"&gt;="&amp;$C$7,BD!$A$3:$A$5001,"&lt;="&amp;$B268,BD!$Y$3:$Y$5001,"&lt;&gt;")=0,"",SUMIFS(BD!$Y$3:$Y$5001,BD!$B$3:$B$5001,M$241,BD!$A$3:$A$5001,_xlfn.MAXIFS(BD!$A$3:$A$5001,BD!$B$3:$B$5001,M$241,BD!$A$3:$A$5001,"&gt;="&amp;$C$7,BD!$A$3:$A$5001,"&lt;="&amp;$B268,BD!$Y$3:$Y$5001,"&lt;&gt;"))))</f>
        <v/>
      </c>
      <c r="N268" s="43" t="str">
        <f>IF(OR($B268="",$A268&gt;$B$9,N$241=""),"",IF(COUNTIFS(BD!$B$3:$B$5001,N$241,BD!$A$3:$A$5001,"&gt;="&amp;$C$7,BD!$A$3:$A$5001,"&lt;="&amp;$B268,BD!$Y$3:$Y$5001,"&lt;&gt;")=0,"",SUMIFS(BD!$Y$3:$Y$5001,BD!$B$3:$B$5001,N$241,BD!$A$3:$A$5001,_xlfn.MAXIFS(BD!$A$3:$A$5001,BD!$B$3:$B$5001,N$241,BD!$A$3:$A$5001,"&gt;="&amp;$C$7,BD!$A$3:$A$5001,"&lt;="&amp;$B268,BD!$Y$3:$Y$5001,"&lt;&gt;"))))</f>
        <v/>
      </c>
      <c r="O268" s="43" t="str">
        <f>IF(OR($B268="",$A268&gt;$B$9,O$241=""),"",IF(COUNTIFS(BD!$B$3:$B$5001,O$241,BD!$A$3:$A$5001,"&gt;="&amp;$C$7,BD!$A$3:$A$5001,"&lt;="&amp;$B268,BD!$Y$3:$Y$5001,"&lt;&gt;")=0,"",SUMIFS(BD!$Y$3:$Y$5001,BD!$B$3:$B$5001,O$241,BD!$A$3:$A$5001,_xlfn.MAXIFS(BD!$A$3:$A$5001,BD!$B$3:$B$5001,O$241,BD!$A$3:$A$5001,"&gt;="&amp;$C$7,BD!$A$3:$A$5001,"&lt;="&amp;$B268,BD!$Y$3:$Y$5001,"&lt;&gt;"))))</f>
        <v/>
      </c>
      <c r="P268" s="43" t="str">
        <f>IF(OR($B268="",$A268&gt;$B$9,P$241=""),"",IF(COUNTIFS(BD!$B$3:$B$5001,P$241,BD!$A$3:$A$5001,"&gt;="&amp;$C$7,BD!$A$3:$A$5001,"&lt;="&amp;$B268,BD!$Y$3:$Y$5001,"&lt;&gt;")=0,"",SUMIFS(BD!$Y$3:$Y$5001,BD!$B$3:$B$5001,P$241,BD!$A$3:$A$5001,_xlfn.MAXIFS(BD!$A$3:$A$5001,BD!$B$3:$B$5001,P$241,BD!$A$3:$A$5001,"&gt;="&amp;$C$7,BD!$A$3:$A$5001,"&lt;="&amp;$B268,BD!$Y$3:$Y$5001,"&lt;&gt;"))))</f>
        <v/>
      </c>
      <c r="Q268" s="43" t="str">
        <f>IF(OR($B268="",$A268&gt;$B$9,Q$241=""),"",IF(COUNTIFS(BD!$B$3:$B$5001,Q$241,BD!$A$3:$A$5001,"&gt;="&amp;$C$7,BD!$A$3:$A$5001,"&lt;="&amp;$B268,BD!$Y$3:$Y$5001,"&lt;&gt;")=0,"",SUMIFS(BD!$Y$3:$Y$5001,BD!$B$3:$B$5001,Q$241,BD!$A$3:$A$5001,_xlfn.MAXIFS(BD!$A$3:$A$5001,BD!$B$3:$B$5001,Q$241,BD!$A$3:$A$5001,"&gt;="&amp;$C$7,BD!$A$3:$A$5001,"&lt;="&amp;$B268,BD!$Y$3:$Y$5001,"&lt;&gt;"))))</f>
        <v/>
      </c>
      <c r="R268" s="43" t="str">
        <f>IF(OR($B268="",$A268&gt;$B$9,R$241=""),"",IF(COUNTIFS(BD!$B$3:$B$5001,R$241,BD!$A$3:$A$5001,"&gt;="&amp;$C$7,BD!$A$3:$A$5001,"&lt;="&amp;$B268,BD!$Y$3:$Y$5001,"&lt;&gt;")=0,"",SUMIFS(BD!$Y$3:$Y$5001,BD!$B$3:$B$5001,R$241,BD!$A$3:$A$5001,_xlfn.MAXIFS(BD!$A$3:$A$5001,BD!$B$3:$B$5001,R$241,BD!$A$3:$A$5001,"&gt;="&amp;$C$7,BD!$A$3:$A$5001,"&lt;="&amp;$B268,BD!$Y$3:$Y$5001,"&lt;&gt;"))))</f>
        <v/>
      </c>
      <c r="S268" s="43" t="str">
        <f>IF(OR($B268="",$A268&gt;$B$9,S$241=""),"",IF(COUNTIFS(BD!$B$3:$B$5001,S$241,BD!$A$3:$A$5001,"&gt;="&amp;$C$7,BD!$A$3:$A$5001,"&lt;="&amp;$B268,BD!$Y$3:$Y$5001,"&lt;&gt;")=0,"",SUMIFS(BD!$Y$3:$Y$5001,BD!$B$3:$B$5001,S$241,BD!$A$3:$A$5001,_xlfn.MAXIFS(BD!$A$3:$A$5001,BD!$B$3:$B$5001,S$241,BD!$A$3:$A$5001,"&gt;="&amp;$C$7,BD!$A$3:$A$5001,"&lt;="&amp;$B268,BD!$Y$3:$Y$5001,"&lt;&gt;"))))</f>
        <v/>
      </c>
      <c r="T268" s="43" t="str">
        <f>IF(OR($B268="",$A268&gt;$B$9,T$241=""),"",IF(COUNTIFS(BD!$B$3:$B$5001,T$241,BD!$A$3:$A$5001,"&gt;="&amp;$C$7,BD!$A$3:$A$5001,"&lt;="&amp;$B268,BD!$Y$3:$Y$5001,"&lt;&gt;")=0,"",SUMIFS(BD!$Y$3:$Y$5001,BD!$B$3:$B$5001,T$241,BD!$A$3:$A$5001,_xlfn.MAXIFS(BD!$A$3:$A$5001,BD!$B$3:$B$5001,T$241,BD!$A$3:$A$5001,"&gt;="&amp;$C$7,BD!$A$3:$A$5001,"&lt;="&amp;$B268,BD!$Y$3:$Y$5001,"&lt;&gt;"))))</f>
        <v/>
      </c>
      <c r="U268" s="43" t="str">
        <f>IF(OR($B268="",$A268&gt;$B$9,U$241=""),"",IF(COUNTIFS(BD!$B$3:$B$5001,U$241,BD!$A$3:$A$5001,"&gt;="&amp;$C$7,BD!$A$3:$A$5001,"&lt;="&amp;$B268,BD!$Y$3:$Y$5001,"&lt;&gt;")=0,"",SUMIFS(BD!$Y$3:$Y$5001,BD!$B$3:$B$5001,U$241,BD!$A$3:$A$5001,_xlfn.MAXIFS(BD!$A$3:$A$5001,BD!$B$3:$B$5001,U$241,BD!$A$3:$A$5001,"&gt;="&amp;$C$7,BD!$A$3:$A$5001,"&lt;="&amp;$B268,BD!$Y$3:$Y$5001,"&lt;&gt;"))))</f>
        <v/>
      </c>
      <c r="V268" s="43" t="str">
        <f>IF(OR($B268="",$A268&gt;$B$9,V$241=""),"",IF(COUNTIFS(BD!$B$3:$B$5001,V$241,BD!$A$3:$A$5001,"&gt;="&amp;$C$7,BD!$A$3:$A$5001,"&lt;="&amp;$B268,BD!$Y$3:$Y$5001,"&lt;&gt;")=0,"",SUMIFS(BD!$Y$3:$Y$5001,BD!$B$3:$B$5001,V$241,BD!$A$3:$A$5001,_xlfn.MAXIFS(BD!$A$3:$A$5001,BD!$B$3:$B$5001,V$241,BD!$A$3:$A$5001,"&gt;="&amp;$C$7,BD!$A$3:$A$5001,"&lt;="&amp;$B268,BD!$Y$3:$Y$5001,"&lt;&gt;"))))</f>
        <v/>
      </c>
    </row>
    <row r="269">
      <c r="A269" s="38">
        <v>28</v>
      </c>
      <c r="B269" s="42">
        <f>$B$39</f>
        <v>46323</v>
      </c>
      <c r="C269" s="43" t="str">
        <f>IF(OR($B269="",$A269&gt;$B$9,C$241=""),"",IF(COUNTIFS(BD!$B$3:$B$5001,C$241,BD!$A$3:$A$5001,"&gt;="&amp;$C$7,BD!$A$3:$A$5001,"&lt;="&amp;$B269,BD!$Y$3:$Y$5001,"&lt;&gt;")=0,"",SUMIFS(BD!$Y$3:$Y$5001,BD!$B$3:$B$5001,C$241,BD!$A$3:$A$5001,_xlfn.MAXIFS(BD!$A$3:$A$5001,BD!$B$3:$B$5001,C$241,BD!$A$3:$A$5001,"&gt;="&amp;$C$7,BD!$A$3:$A$5001,"&lt;="&amp;$B269,BD!$Y$3:$Y$5001,"&lt;&gt;"))))</f>
        <v/>
      </c>
      <c r="D269" s="43" t="str">
        <f>IF(OR($B269="",$A269&gt;$B$9,D$241=""),"",IF(COUNTIFS(BD!$B$3:$B$5001,D$241,BD!$A$3:$A$5001,"&gt;="&amp;$C$7,BD!$A$3:$A$5001,"&lt;="&amp;$B269,BD!$Y$3:$Y$5001,"&lt;&gt;")=0,"",SUMIFS(BD!$Y$3:$Y$5001,BD!$B$3:$B$5001,D$241,BD!$A$3:$A$5001,_xlfn.MAXIFS(BD!$A$3:$A$5001,BD!$B$3:$B$5001,D$241,BD!$A$3:$A$5001,"&gt;="&amp;$C$7,BD!$A$3:$A$5001,"&lt;="&amp;$B269,BD!$Y$3:$Y$5001,"&lt;&gt;"))))</f>
        <v/>
      </c>
      <c r="E269" s="43" t="str">
        <f>IF(OR($B269="",$A269&gt;$B$9,E$241=""),"",IF(COUNTIFS(BD!$B$3:$B$5001,E$241,BD!$A$3:$A$5001,"&gt;="&amp;$C$7,BD!$A$3:$A$5001,"&lt;="&amp;$B269,BD!$Y$3:$Y$5001,"&lt;&gt;")=0,"",SUMIFS(BD!$Y$3:$Y$5001,BD!$B$3:$B$5001,E$241,BD!$A$3:$A$5001,_xlfn.MAXIFS(BD!$A$3:$A$5001,BD!$B$3:$B$5001,E$241,BD!$A$3:$A$5001,"&gt;="&amp;$C$7,BD!$A$3:$A$5001,"&lt;="&amp;$B269,BD!$Y$3:$Y$5001,"&lt;&gt;"))))</f>
        <v/>
      </c>
      <c r="F269" s="43" t="str">
        <f>IF(OR($B269="",$A269&gt;$B$9,F$241=""),"",IF(COUNTIFS(BD!$B$3:$B$5001,F$241,BD!$A$3:$A$5001,"&gt;="&amp;$C$7,BD!$A$3:$A$5001,"&lt;="&amp;$B269,BD!$Y$3:$Y$5001,"&lt;&gt;")=0,"",SUMIFS(BD!$Y$3:$Y$5001,BD!$B$3:$B$5001,F$241,BD!$A$3:$A$5001,_xlfn.MAXIFS(BD!$A$3:$A$5001,BD!$B$3:$B$5001,F$241,BD!$A$3:$A$5001,"&gt;="&amp;$C$7,BD!$A$3:$A$5001,"&lt;="&amp;$B269,BD!$Y$3:$Y$5001,"&lt;&gt;"))))</f>
        <v/>
      </c>
      <c r="G269" s="43" t="str">
        <f>IF(OR($B269="",$A269&gt;$B$9,G$241=""),"",IF(COUNTIFS(BD!$B$3:$B$5001,G$241,BD!$A$3:$A$5001,"&gt;="&amp;$C$7,BD!$A$3:$A$5001,"&lt;="&amp;$B269,BD!$Y$3:$Y$5001,"&lt;&gt;")=0,"",SUMIFS(BD!$Y$3:$Y$5001,BD!$B$3:$B$5001,G$241,BD!$A$3:$A$5001,_xlfn.MAXIFS(BD!$A$3:$A$5001,BD!$B$3:$B$5001,G$241,BD!$A$3:$A$5001,"&gt;="&amp;$C$7,BD!$A$3:$A$5001,"&lt;="&amp;$B269,BD!$Y$3:$Y$5001,"&lt;&gt;"))))</f>
        <v/>
      </c>
      <c r="H269" s="43" t="str">
        <f>IF(OR($B269="",$A269&gt;$B$9,H$241=""),"",IF(COUNTIFS(BD!$B$3:$B$5001,H$241,BD!$A$3:$A$5001,"&gt;="&amp;$C$7,BD!$A$3:$A$5001,"&lt;="&amp;$B269,BD!$Y$3:$Y$5001,"&lt;&gt;")=0,"",SUMIFS(BD!$Y$3:$Y$5001,BD!$B$3:$B$5001,H$241,BD!$A$3:$A$5001,_xlfn.MAXIFS(BD!$A$3:$A$5001,BD!$B$3:$B$5001,H$241,BD!$A$3:$A$5001,"&gt;="&amp;$C$7,BD!$A$3:$A$5001,"&lt;="&amp;$B269,BD!$Y$3:$Y$5001,"&lt;&gt;"))))</f>
        <v/>
      </c>
      <c r="I269" s="43" t="str">
        <f>IF(OR($B269="",$A269&gt;$B$9,I$241=""),"",IF(COUNTIFS(BD!$B$3:$B$5001,I$241,BD!$A$3:$A$5001,"&gt;="&amp;$C$7,BD!$A$3:$A$5001,"&lt;="&amp;$B269,BD!$Y$3:$Y$5001,"&lt;&gt;")=0,"",SUMIFS(BD!$Y$3:$Y$5001,BD!$B$3:$B$5001,I$241,BD!$A$3:$A$5001,_xlfn.MAXIFS(BD!$A$3:$A$5001,BD!$B$3:$B$5001,I$241,BD!$A$3:$A$5001,"&gt;="&amp;$C$7,BD!$A$3:$A$5001,"&lt;="&amp;$B269,BD!$Y$3:$Y$5001,"&lt;&gt;"))))</f>
        <v/>
      </c>
      <c r="J269" s="43" t="str">
        <f>IF(OR($B269="",$A269&gt;$B$9,J$241=""),"",IF(COUNTIFS(BD!$B$3:$B$5001,J$241,BD!$A$3:$A$5001,"&gt;="&amp;$C$7,BD!$A$3:$A$5001,"&lt;="&amp;$B269,BD!$Y$3:$Y$5001,"&lt;&gt;")=0,"",SUMIFS(BD!$Y$3:$Y$5001,BD!$B$3:$B$5001,J$241,BD!$A$3:$A$5001,_xlfn.MAXIFS(BD!$A$3:$A$5001,BD!$B$3:$B$5001,J$241,BD!$A$3:$A$5001,"&gt;="&amp;$C$7,BD!$A$3:$A$5001,"&lt;="&amp;$B269,BD!$Y$3:$Y$5001,"&lt;&gt;"))))</f>
        <v/>
      </c>
      <c r="K269" s="43" t="str">
        <f>IF(OR($B269="",$A269&gt;$B$9,K$241=""),"",IF(COUNTIFS(BD!$B$3:$B$5001,K$241,BD!$A$3:$A$5001,"&gt;="&amp;$C$7,BD!$A$3:$A$5001,"&lt;="&amp;$B269,BD!$Y$3:$Y$5001,"&lt;&gt;")=0,"",SUMIFS(BD!$Y$3:$Y$5001,BD!$B$3:$B$5001,K$241,BD!$A$3:$A$5001,_xlfn.MAXIFS(BD!$A$3:$A$5001,BD!$B$3:$B$5001,K$241,BD!$A$3:$A$5001,"&gt;="&amp;$C$7,BD!$A$3:$A$5001,"&lt;="&amp;$B269,BD!$Y$3:$Y$5001,"&lt;&gt;"))))</f>
        <v/>
      </c>
      <c r="L269" s="43" t="str">
        <f>IF(OR($B269="",$A269&gt;$B$9,L$241=""),"",IF(COUNTIFS(BD!$B$3:$B$5001,L$241,BD!$A$3:$A$5001,"&gt;="&amp;$C$7,BD!$A$3:$A$5001,"&lt;="&amp;$B269,BD!$Y$3:$Y$5001,"&lt;&gt;")=0,"",SUMIFS(BD!$Y$3:$Y$5001,BD!$B$3:$B$5001,L$241,BD!$A$3:$A$5001,_xlfn.MAXIFS(BD!$A$3:$A$5001,BD!$B$3:$B$5001,L$241,BD!$A$3:$A$5001,"&gt;="&amp;$C$7,BD!$A$3:$A$5001,"&lt;="&amp;$B269,BD!$Y$3:$Y$5001,"&lt;&gt;"))))</f>
        <v/>
      </c>
      <c r="M269" s="43" t="str">
        <f>IF(OR($B269="",$A269&gt;$B$9,M$241=""),"",IF(COUNTIFS(BD!$B$3:$B$5001,M$241,BD!$A$3:$A$5001,"&gt;="&amp;$C$7,BD!$A$3:$A$5001,"&lt;="&amp;$B269,BD!$Y$3:$Y$5001,"&lt;&gt;")=0,"",SUMIFS(BD!$Y$3:$Y$5001,BD!$B$3:$B$5001,M$241,BD!$A$3:$A$5001,_xlfn.MAXIFS(BD!$A$3:$A$5001,BD!$B$3:$B$5001,M$241,BD!$A$3:$A$5001,"&gt;="&amp;$C$7,BD!$A$3:$A$5001,"&lt;="&amp;$B269,BD!$Y$3:$Y$5001,"&lt;&gt;"))))</f>
        <v/>
      </c>
      <c r="N269" s="43" t="str">
        <f>IF(OR($B269="",$A269&gt;$B$9,N$241=""),"",IF(COUNTIFS(BD!$B$3:$B$5001,N$241,BD!$A$3:$A$5001,"&gt;="&amp;$C$7,BD!$A$3:$A$5001,"&lt;="&amp;$B269,BD!$Y$3:$Y$5001,"&lt;&gt;")=0,"",SUMIFS(BD!$Y$3:$Y$5001,BD!$B$3:$B$5001,N$241,BD!$A$3:$A$5001,_xlfn.MAXIFS(BD!$A$3:$A$5001,BD!$B$3:$B$5001,N$241,BD!$A$3:$A$5001,"&gt;="&amp;$C$7,BD!$A$3:$A$5001,"&lt;="&amp;$B269,BD!$Y$3:$Y$5001,"&lt;&gt;"))))</f>
        <v/>
      </c>
      <c r="O269" s="43" t="str">
        <f>IF(OR($B269="",$A269&gt;$B$9,O$241=""),"",IF(COUNTIFS(BD!$B$3:$B$5001,O$241,BD!$A$3:$A$5001,"&gt;="&amp;$C$7,BD!$A$3:$A$5001,"&lt;="&amp;$B269,BD!$Y$3:$Y$5001,"&lt;&gt;")=0,"",SUMIFS(BD!$Y$3:$Y$5001,BD!$B$3:$B$5001,O$241,BD!$A$3:$A$5001,_xlfn.MAXIFS(BD!$A$3:$A$5001,BD!$B$3:$B$5001,O$241,BD!$A$3:$A$5001,"&gt;="&amp;$C$7,BD!$A$3:$A$5001,"&lt;="&amp;$B269,BD!$Y$3:$Y$5001,"&lt;&gt;"))))</f>
        <v/>
      </c>
      <c r="P269" s="43" t="str">
        <f>IF(OR($B269="",$A269&gt;$B$9,P$241=""),"",IF(COUNTIFS(BD!$B$3:$B$5001,P$241,BD!$A$3:$A$5001,"&gt;="&amp;$C$7,BD!$A$3:$A$5001,"&lt;="&amp;$B269,BD!$Y$3:$Y$5001,"&lt;&gt;")=0,"",SUMIFS(BD!$Y$3:$Y$5001,BD!$B$3:$B$5001,P$241,BD!$A$3:$A$5001,_xlfn.MAXIFS(BD!$A$3:$A$5001,BD!$B$3:$B$5001,P$241,BD!$A$3:$A$5001,"&gt;="&amp;$C$7,BD!$A$3:$A$5001,"&lt;="&amp;$B269,BD!$Y$3:$Y$5001,"&lt;&gt;"))))</f>
        <v/>
      </c>
      <c r="Q269" s="43" t="str">
        <f>IF(OR($B269="",$A269&gt;$B$9,Q$241=""),"",IF(COUNTIFS(BD!$B$3:$B$5001,Q$241,BD!$A$3:$A$5001,"&gt;="&amp;$C$7,BD!$A$3:$A$5001,"&lt;="&amp;$B269,BD!$Y$3:$Y$5001,"&lt;&gt;")=0,"",SUMIFS(BD!$Y$3:$Y$5001,BD!$B$3:$B$5001,Q$241,BD!$A$3:$A$5001,_xlfn.MAXIFS(BD!$A$3:$A$5001,BD!$B$3:$B$5001,Q$241,BD!$A$3:$A$5001,"&gt;="&amp;$C$7,BD!$A$3:$A$5001,"&lt;="&amp;$B269,BD!$Y$3:$Y$5001,"&lt;&gt;"))))</f>
        <v/>
      </c>
      <c r="R269" s="43" t="str">
        <f>IF(OR($B269="",$A269&gt;$B$9,R$241=""),"",IF(COUNTIFS(BD!$B$3:$B$5001,R$241,BD!$A$3:$A$5001,"&gt;="&amp;$C$7,BD!$A$3:$A$5001,"&lt;="&amp;$B269,BD!$Y$3:$Y$5001,"&lt;&gt;")=0,"",SUMIFS(BD!$Y$3:$Y$5001,BD!$B$3:$B$5001,R$241,BD!$A$3:$A$5001,_xlfn.MAXIFS(BD!$A$3:$A$5001,BD!$B$3:$B$5001,R$241,BD!$A$3:$A$5001,"&gt;="&amp;$C$7,BD!$A$3:$A$5001,"&lt;="&amp;$B269,BD!$Y$3:$Y$5001,"&lt;&gt;"))))</f>
        <v/>
      </c>
      <c r="S269" s="43" t="str">
        <f>IF(OR($B269="",$A269&gt;$B$9,S$241=""),"",IF(COUNTIFS(BD!$B$3:$B$5001,S$241,BD!$A$3:$A$5001,"&gt;="&amp;$C$7,BD!$A$3:$A$5001,"&lt;="&amp;$B269,BD!$Y$3:$Y$5001,"&lt;&gt;")=0,"",SUMIFS(BD!$Y$3:$Y$5001,BD!$B$3:$B$5001,S$241,BD!$A$3:$A$5001,_xlfn.MAXIFS(BD!$A$3:$A$5001,BD!$B$3:$B$5001,S$241,BD!$A$3:$A$5001,"&gt;="&amp;$C$7,BD!$A$3:$A$5001,"&lt;="&amp;$B269,BD!$Y$3:$Y$5001,"&lt;&gt;"))))</f>
        <v/>
      </c>
      <c r="T269" s="43" t="str">
        <f>IF(OR($B269="",$A269&gt;$B$9,T$241=""),"",IF(COUNTIFS(BD!$B$3:$B$5001,T$241,BD!$A$3:$A$5001,"&gt;="&amp;$C$7,BD!$A$3:$A$5001,"&lt;="&amp;$B269,BD!$Y$3:$Y$5001,"&lt;&gt;")=0,"",SUMIFS(BD!$Y$3:$Y$5001,BD!$B$3:$B$5001,T$241,BD!$A$3:$A$5001,_xlfn.MAXIFS(BD!$A$3:$A$5001,BD!$B$3:$B$5001,T$241,BD!$A$3:$A$5001,"&gt;="&amp;$C$7,BD!$A$3:$A$5001,"&lt;="&amp;$B269,BD!$Y$3:$Y$5001,"&lt;&gt;"))))</f>
        <v/>
      </c>
      <c r="U269" s="43" t="str">
        <f>IF(OR($B269="",$A269&gt;$B$9,U$241=""),"",IF(COUNTIFS(BD!$B$3:$B$5001,U$241,BD!$A$3:$A$5001,"&gt;="&amp;$C$7,BD!$A$3:$A$5001,"&lt;="&amp;$B269,BD!$Y$3:$Y$5001,"&lt;&gt;")=0,"",SUMIFS(BD!$Y$3:$Y$5001,BD!$B$3:$B$5001,U$241,BD!$A$3:$A$5001,_xlfn.MAXIFS(BD!$A$3:$A$5001,BD!$B$3:$B$5001,U$241,BD!$A$3:$A$5001,"&gt;="&amp;$C$7,BD!$A$3:$A$5001,"&lt;="&amp;$B269,BD!$Y$3:$Y$5001,"&lt;&gt;"))))</f>
        <v/>
      </c>
      <c r="V269" s="43" t="str">
        <f>IF(OR($B269="",$A269&gt;$B$9,V$241=""),"",IF(COUNTIFS(BD!$B$3:$B$5001,V$241,BD!$A$3:$A$5001,"&gt;="&amp;$C$7,BD!$A$3:$A$5001,"&lt;="&amp;$B269,BD!$Y$3:$Y$5001,"&lt;&gt;")=0,"",SUMIFS(BD!$Y$3:$Y$5001,BD!$B$3:$B$5001,V$241,BD!$A$3:$A$5001,_xlfn.MAXIFS(BD!$A$3:$A$5001,BD!$B$3:$B$5001,V$241,BD!$A$3:$A$5001,"&gt;="&amp;$C$7,BD!$A$3:$A$5001,"&lt;="&amp;$B269,BD!$Y$3:$Y$5001,"&lt;&gt;"))))</f>
        <v/>
      </c>
    </row>
    <row r="270">
      <c r="A270" s="38">
        <v>29</v>
      </c>
      <c r="B270" s="42">
        <f>$B$40</f>
        <v>46324</v>
      </c>
      <c r="C270" s="43" t="str">
        <f>IF(OR($B270="",$A270&gt;$B$9,C$241=""),"",IF(COUNTIFS(BD!$B$3:$B$5001,C$241,BD!$A$3:$A$5001,"&gt;="&amp;$C$7,BD!$A$3:$A$5001,"&lt;="&amp;$B270,BD!$Y$3:$Y$5001,"&lt;&gt;")=0,"",SUMIFS(BD!$Y$3:$Y$5001,BD!$B$3:$B$5001,C$241,BD!$A$3:$A$5001,_xlfn.MAXIFS(BD!$A$3:$A$5001,BD!$B$3:$B$5001,C$241,BD!$A$3:$A$5001,"&gt;="&amp;$C$7,BD!$A$3:$A$5001,"&lt;="&amp;$B270,BD!$Y$3:$Y$5001,"&lt;&gt;"))))</f>
        <v/>
      </c>
      <c r="D270" s="43" t="str">
        <f>IF(OR($B270="",$A270&gt;$B$9,D$241=""),"",IF(COUNTIFS(BD!$B$3:$B$5001,D$241,BD!$A$3:$A$5001,"&gt;="&amp;$C$7,BD!$A$3:$A$5001,"&lt;="&amp;$B270,BD!$Y$3:$Y$5001,"&lt;&gt;")=0,"",SUMIFS(BD!$Y$3:$Y$5001,BD!$B$3:$B$5001,D$241,BD!$A$3:$A$5001,_xlfn.MAXIFS(BD!$A$3:$A$5001,BD!$B$3:$B$5001,D$241,BD!$A$3:$A$5001,"&gt;="&amp;$C$7,BD!$A$3:$A$5001,"&lt;="&amp;$B270,BD!$Y$3:$Y$5001,"&lt;&gt;"))))</f>
        <v/>
      </c>
      <c r="E270" s="43" t="str">
        <f>IF(OR($B270="",$A270&gt;$B$9,E$241=""),"",IF(COUNTIFS(BD!$B$3:$B$5001,E$241,BD!$A$3:$A$5001,"&gt;="&amp;$C$7,BD!$A$3:$A$5001,"&lt;="&amp;$B270,BD!$Y$3:$Y$5001,"&lt;&gt;")=0,"",SUMIFS(BD!$Y$3:$Y$5001,BD!$B$3:$B$5001,E$241,BD!$A$3:$A$5001,_xlfn.MAXIFS(BD!$A$3:$A$5001,BD!$B$3:$B$5001,E$241,BD!$A$3:$A$5001,"&gt;="&amp;$C$7,BD!$A$3:$A$5001,"&lt;="&amp;$B270,BD!$Y$3:$Y$5001,"&lt;&gt;"))))</f>
        <v/>
      </c>
      <c r="F270" s="43" t="str">
        <f>IF(OR($B270="",$A270&gt;$B$9,F$241=""),"",IF(COUNTIFS(BD!$B$3:$B$5001,F$241,BD!$A$3:$A$5001,"&gt;="&amp;$C$7,BD!$A$3:$A$5001,"&lt;="&amp;$B270,BD!$Y$3:$Y$5001,"&lt;&gt;")=0,"",SUMIFS(BD!$Y$3:$Y$5001,BD!$B$3:$B$5001,F$241,BD!$A$3:$A$5001,_xlfn.MAXIFS(BD!$A$3:$A$5001,BD!$B$3:$B$5001,F$241,BD!$A$3:$A$5001,"&gt;="&amp;$C$7,BD!$A$3:$A$5001,"&lt;="&amp;$B270,BD!$Y$3:$Y$5001,"&lt;&gt;"))))</f>
        <v/>
      </c>
      <c r="G270" s="43" t="str">
        <f>IF(OR($B270="",$A270&gt;$B$9,G$241=""),"",IF(COUNTIFS(BD!$B$3:$B$5001,G$241,BD!$A$3:$A$5001,"&gt;="&amp;$C$7,BD!$A$3:$A$5001,"&lt;="&amp;$B270,BD!$Y$3:$Y$5001,"&lt;&gt;")=0,"",SUMIFS(BD!$Y$3:$Y$5001,BD!$B$3:$B$5001,G$241,BD!$A$3:$A$5001,_xlfn.MAXIFS(BD!$A$3:$A$5001,BD!$B$3:$B$5001,G$241,BD!$A$3:$A$5001,"&gt;="&amp;$C$7,BD!$A$3:$A$5001,"&lt;="&amp;$B270,BD!$Y$3:$Y$5001,"&lt;&gt;"))))</f>
        <v/>
      </c>
      <c r="H270" s="43" t="str">
        <f>IF(OR($B270="",$A270&gt;$B$9,H$241=""),"",IF(COUNTIFS(BD!$B$3:$B$5001,H$241,BD!$A$3:$A$5001,"&gt;="&amp;$C$7,BD!$A$3:$A$5001,"&lt;="&amp;$B270,BD!$Y$3:$Y$5001,"&lt;&gt;")=0,"",SUMIFS(BD!$Y$3:$Y$5001,BD!$B$3:$B$5001,H$241,BD!$A$3:$A$5001,_xlfn.MAXIFS(BD!$A$3:$A$5001,BD!$B$3:$B$5001,H$241,BD!$A$3:$A$5001,"&gt;="&amp;$C$7,BD!$A$3:$A$5001,"&lt;="&amp;$B270,BD!$Y$3:$Y$5001,"&lt;&gt;"))))</f>
        <v/>
      </c>
      <c r="I270" s="43" t="str">
        <f>IF(OR($B270="",$A270&gt;$B$9,I$241=""),"",IF(COUNTIFS(BD!$B$3:$B$5001,I$241,BD!$A$3:$A$5001,"&gt;="&amp;$C$7,BD!$A$3:$A$5001,"&lt;="&amp;$B270,BD!$Y$3:$Y$5001,"&lt;&gt;")=0,"",SUMIFS(BD!$Y$3:$Y$5001,BD!$B$3:$B$5001,I$241,BD!$A$3:$A$5001,_xlfn.MAXIFS(BD!$A$3:$A$5001,BD!$B$3:$B$5001,I$241,BD!$A$3:$A$5001,"&gt;="&amp;$C$7,BD!$A$3:$A$5001,"&lt;="&amp;$B270,BD!$Y$3:$Y$5001,"&lt;&gt;"))))</f>
        <v/>
      </c>
      <c r="J270" s="43" t="str">
        <f>IF(OR($B270="",$A270&gt;$B$9,J$241=""),"",IF(COUNTIFS(BD!$B$3:$B$5001,J$241,BD!$A$3:$A$5001,"&gt;="&amp;$C$7,BD!$A$3:$A$5001,"&lt;="&amp;$B270,BD!$Y$3:$Y$5001,"&lt;&gt;")=0,"",SUMIFS(BD!$Y$3:$Y$5001,BD!$B$3:$B$5001,J$241,BD!$A$3:$A$5001,_xlfn.MAXIFS(BD!$A$3:$A$5001,BD!$B$3:$B$5001,J$241,BD!$A$3:$A$5001,"&gt;="&amp;$C$7,BD!$A$3:$A$5001,"&lt;="&amp;$B270,BD!$Y$3:$Y$5001,"&lt;&gt;"))))</f>
        <v/>
      </c>
      <c r="K270" s="43" t="str">
        <f>IF(OR($B270="",$A270&gt;$B$9,K$241=""),"",IF(COUNTIFS(BD!$B$3:$B$5001,K$241,BD!$A$3:$A$5001,"&gt;="&amp;$C$7,BD!$A$3:$A$5001,"&lt;="&amp;$B270,BD!$Y$3:$Y$5001,"&lt;&gt;")=0,"",SUMIFS(BD!$Y$3:$Y$5001,BD!$B$3:$B$5001,K$241,BD!$A$3:$A$5001,_xlfn.MAXIFS(BD!$A$3:$A$5001,BD!$B$3:$B$5001,K$241,BD!$A$3:$A$5001,"&gt;="&amp;$C$7,BD!$A$3:$A$5001,"&lt;="&amp;$B270,BD!$Y$3:$Y$5001,"&lt;&gt;"))))</f>
        <v/>
      </c>
      <c r="L270" s="43" t="str">
        <f>IF(OR($B270="",$A270&gt;$B$9,L$241=""),"",IF(COUNTIFS(BD!$B$3:$B$5001,L$241,BD!$A$3:$A$5001,"&gt;="&amp;$C$7,BD!$A$3:$A$5001,"&lt;="&amp;$B270,BD!$Y$3:$Y$5001,"&lt;&gt;")=0,"",SUMIFS(BD!$Y$3:$Y$5001,BD!$B$3:$B$5001,L$241,BD!$A$3:$A$5001,_xlfn.MAXIFS(BD!$A$3:$A$5001,BD!$B$3:$B$5001,L$241,BD!$A$3:$A$5001,"&gt;="&amp;$C$7,BD!$A$3:$A$5001,"&lt;="&amp;$B270,BD!$Y$3:$Y$5001,"&lt;&gt;"))))</f>
        <v/>
      </c>
      <c r="M270" s="43" t="str">
        <f>IF(OR($B270="",$A270&gt;$B$9,M$241=""),"",IF(COUNTIFS(BD!$B$3:$B$5001,M$241,BD!$A$3:$A$5001,"&gt;="&amp;$C$7,BD!$A$3:$A$5001,"&lt;="&amp;$B270,BD!$Y$3:$Y$5001,"&lt;&gt;")=0,"",SUMIFS(BD!$Y$3:$Y$5001,BD!$B$3:$B$5001,M$241,BD!$A$3:$A$5001,_xlfn.MAXIFS(BD!$A$3:$A$5001,BD!$B$3:$B$5001,M$241,BD!$A$3:$A$5001,"&gt;="&amp;$C$7,BD!$A$3:$A$5001,"&lt;="&amp;$B270,BD!$Y$3:$Y$5001,"&lt;&gt;"))))</f>
        <v/>
      </c>
      <c r="N270" s="43" t="str">
        <f>IF(OR($B270="",$A270&gt;$B$9,N$241=""),"",IF(COUNTIFS(BD!$B$3:$B$5001,N$241,BD!$A$3:$A$5001,"&gt;="&amp;$C$7,BD!$A$3:$A$5001,"&lt;="&amp;$B270,BD!$Y$3:$Y$5001,"&lt;&gt;")=0,"",SUMIFS(BD!$Y$3:$Y$5001,BD!$B$3:$B$5001,N$241,BD!$A$3:$A$5001,_xlfn.MAXIFS(BD!$A$3:$A$5001,BD!$B$3:$B$5001,N$241,BD!$A$3:$A$5001,"&gt;="&amp;$C$7,BD!$A$3:$A$5001,"&lt;="&amp;$B270,BD!$Y$3:$Y$5001,"&lt;&gt;"))))</f>
        <v/>
      </c>
      <c r="O270" s="43" t="str">
        <f>IF(OR($B270="",$A270&gt;$B$9,O$241=""),"",IF(COUNTIFS(BD!$B$3:$B$5001,O$241,BD!$A$3:$A$5001,"&gt;="&amp;$C$7,BD!$A$3:$A$5001,"&lt;="&amp;$B270,BD!$Y$3:$Y$5001,"&lt;&gt;")=0,"",SUMIFS(BD!$Y$3:$Y$5001,BD!$B$3:$B$5001,O$241,BD!$A$3:$A$5001,_xlfn.MAXIFS(BD!$A$3:$A$5001,BD!$B$3:$B$5001,O$241,BD!$A$3:$A$5001,"&gt;="&amp;$C$7,BD!$A$3:$A$5001,"&lt;="&amp;$B270,BD!$Y$3:$Y$5001,"&lt;&gt;"))))</f>
        <v/>
      </c>
      <c r="P270" s="43" t="str">
        <f>IF(OR($B270="",$A270&gt;$B$9,P$241=""),"",IF(COUNTIFS(BD!$B$3:$B$5001,P$241,BD!$A$3:$A$5001,"&gt;="&amp;$C$7,BD!$A$3:$A$5001,"&lt;="&amp;$B270,BD!$Y$3:$Y$5001,"&lt;&gt;")=0,"",SUMIFS(BD!$Y$3:$Y$5001,BD!$B$3:$B$5001,P$241,BD!$A$3:$A$5001,_xlfn.MAXIFS(BD!$A$3:$A$5001,BD!$B$3:$B$5001,P$241,BD!$A$3:$A$5001,"&gt;="&amp;$C$7,BD!$A$3:$A$5001,"&lt;="&amp;$B270,BD!$Y$3:$Y$5001,"&lt;&gt;"))))</f>
        <v/>
      </c>
      <c r="Q270" s="43" t="str">
        <f>IF(OR($B270="",$A270&gt;$B$9,Q$241=""),"",IF(COUNTIFS(BD!$B$3:$B$5001,Q$241,BD!$A$3:$A$5001,"&gt;="&amp;$C$7,BD!$A$3:$A$5001,"&lt;="&amp;$B270,BD!$Y$3:$Y$5001,"&lt;&gt;")=0,"",SUMIFS(BD!$Y$3:$Y$5001,BD!$B$3:$B$5001,Q$241,BD!$A$3:$A$5001,_xlfn.MAXIFS(BD!$A$3:$A$5001,BD!$B$3:$B$5001,Q$241,BD!$A$3:$A$5001,"&gt;="&amp;$C$7,BD!$A$3:$A$5001,"&lt;="&amp;$B270,BD!$Y$3:$Y$5001,"&lt;&gt;"))))</f>
        <v/>
      </c>
      <c r="R270" s="43" t="str">
        <f>IF(OR($B270="",$A270&gt;$B$9,R$241=""),"",IF(COUNTIFS(BD!$B$3:$B$5001,R$241,BD!$A$3:$A$5001,"&gt;="&amp;$C$7,BD!$A$3:$A$5001,"&lt;="&amp;$B270,BD!$Y$3:$Y$5001,"&lt;&gt;")=0,"",SUMIFS(BD!$Y$3:$Y$5001,BD!$B$3:$B$5001,R$241,BD!$A$3:$A$5001,_xlfn.MAXIFS(BD!$A$3:$A$5001,BD!$B$3:$B$5001,R$241,BD!$A$3:$A$5001,"&gt;="&amp;$C$7,BD!$A$3:$A$5001,"&lt;="&amp;$B270,BD!$Y$3:$Y$5001,"&lt;&gt;"))))</f>
        <v/>
      </c>
      <c r="S270" s="43" t="str">
        <f>IF(OR($B270="",$A270&gt;$B$9,S$241=""),"",IF(COUNTIFS(BD!$B$3:$B$5001,S$241,BD!$A$3:$A$5001,"&gt;="&amp;$C$7,BD!$A$3:$A$5001,"&lt;="&amp;$B270,BD!$Y$3:$Y$5001,"&lt;&gt;")=0,"",SUMIFS(BD!$Y$3:$Y$5001,BD!$B$3:$B$5001,S$241,BD!$A$3:$A$5001,_xlfn.MAXIFS(BD!$A$3:$A$5001,BD!$B$3:$B$5001,S$241,BD!$A$3:$A$5001,"&gt;="&amp;$C$7,BD!$A$3:$A$5001,"&lt;="&amp;$B270,BD!$Y$3:$Y$5001,"&lt;&gt;"))))</f>
        <v/>
      </c>
      <c r="T270" s="43" t="str">
        <f>IF(OR($B270="",$A270&gt;$B$9,T$241=""),"",IF(COUNTIFS(BD!$B$3:$B$5001,T$241,BD!$A$3:$A$5001,"&gt;="&amp;$C$7,BD!$A$3:$A$5001,"&lt;="&amp;$B270,BD!$Y$3:$Y$5001,"&lt;&gt;")=0,"",SUMIFS(BD!$Y$3:$Y$5001,BD!$B$3:$B$5001,T$241,BD!$A$3:$A$5001,_xlfn.MAXIFS(BD!$A$3:$A$5001,BD!$B$3:$B$5001,T$241,BD!$A$3:$A$5001,"&gt;="&amp;$C$7,BD!$A$3:$A$5001,"&lt;="&amp;$B270,BD!$Y$3:$Y$5001,"&lt;&gt;"))))</f>
        <v/>
      </c>
      <c r="U270" s="43" t="str">
        <f>IF(OR($B270="",$A270&gt;$B$9,U$241=""),"",IF(COUNTIFS(BD!$B$3:$B$5001,U$241,BD!$A$3:$A$5001,"&gt;="&amp;$C$7,BD!$A$3:$A$5001,"&lt;="&amp;$B270,BD!$Y$3:$Y$5001,"&lt;&gt;")=0,"",SUMIFS(BD!$Y$3:$Y$5001,BD!$B$3:$B$5001,U$241,BD!$A$3:$A$5001,_xlfn.MAXIFS(BD!$A$3:$A$5001,BD!$B$3:$B$5001,U$241,BD!$A$3:$A$5001,"&gt;="&amp;$C$7,BD!$A$3:$A$5001,"&lt;="&amp;$B270,BD!$Y$3:$Y$5001,"&lt;&gt;"))))</f>
        <v/>
      </c>
      <c r="V270" s="43" t="str">
        <f>IF(OR($B270="",$A270&gt;$B$9,V$241=""),"",IF(COUNTIFS(BD!$B$3:$B$5001,V$241,BD!$A$3:$A$5001,"&gt;="&amp;$C$7,BD!$A$3:$A$5001,"&lt;="&amp;$B270,BD!$Y$3:$Y$5001,"&lt;&gt;")=0,"",SUMIFS(BD!$Y$3:$Y$5001,BD!$B$3:$B$5001,V$241,BD!$A$3:$A$5001,_xlfn.MAXIFS(BD!$A$3:$A$5001,BD!$B$3:$B$5001,V$241,BD!$A$3:$A$5001,"&gt;="&amp;$C$7,BD!$A$3:$A$5001,"&lt;="&amp;$B270,BD!$Y$3:$Y$5001,"&lt;&gt;"))))</f>
        <v/>
      </c>
    </row>
    <row r="271">
      <c r="A271" s="38">
        <v>30</v>
      </c>
      <c r="B271" s="42">
        <f>$B$41</f>
        <v>46325</v>
      </c>
      <c r="C271" s="43" t="str">
        <f>IF(OR($B271="",$A271&gt;$B$9,C$241=""),"",IF(COUNTIFS(BD!$B$3:$B$5001,C$241,BD!$A$3:$A$5001,"&gt;="&amp;$C$7,BD!$A$3:$A$5001,"&lt;="&amp;$B271,BD!$Y$3:$Y$5001,"&lt;&gt;")=0,"",SUMIFS(BD!$Y$3:$Y$5001,BD!$B$3:$B$5001,C$241,BD!$A$3:$A$5001,_xlfn.MAXIFS(BD!$A$3:$A$5001,BD!$B$3:$B$5001,C$241,BD!$A$3:$A$5001,"&gt;="&amp;$C$7,BD!$A$3:$A$5001,"&lt;="&amp;$B271,BD!$Y$3:$Y$5001,"&lt;&gt;"))))</f>
        <v/>
      </c>
      <c r="D271" s="43" t="str">
        <f>IF(OR($B271="",$A271&gt;$B$9,D$241=""),"",IF(COUNTIFS(BD!$B$3:$B$5001,D$241,BD!$A$3:$A$5001,"&gt;="&amp;$C$7,BD!$A$3:$A$5001,"&lt;="&amp;$B271,BD!$Y$3:$Y$5001,"&lt;&gt;")=0,"",SUMIFS(BD!$Y$3:$Y$5001,BD!$B$3:$B$5001,D$241,BD!$A$3:$A$5001,_xlfn.MAXIFS(BD!$A$3:$A$5001,BD!$B$3:$B$5001,D$241,BD!$A$3:$A$5001,"&gt;="&amp;$C$7,BD!$A$3:$A$5001,"&lt;="&amp;$B271,BD!$Y$3:$Y$5001,"&lt;&gt;"))))</f>
        <v/>
      </c>
      <c r="E271" s="43" t="str">
        <f>IF(OR($B271="",$A271&gt;$B$9,E$241=""),"",IF(COUNTIFS(BD!$B$3:$B$5001,E$241,BD!$A$3:$A$5001,"&gt;="&amp;$C$7,BD!$A$3:$A$5001,"&lt;="&amp;$B271,BD!$Y$3:$Y$5001,"&lt;&gt;")=0,"",SUMIFS(BD!$Y$3:$Y$5001,BD!$B$3:$B$5001,E$241,BD!$A$3:$A$5001,_xlfn.MAXIFS(BD!$A$3:$A$5001,BD!$B$3:$B$5001,E$241,BD!$A$3:$A$5001,"&gt;="&amp;$C$7,BD!$A$3:$A$5001,"&lt;="&amp;$B271,BD!$Y$3:$Y$5001,"&lt;&gt;"))))</f>
        <v/>
      </c>
      <c r="F271" s="43" t="str">
        <f>IF(OR($B271="",$A271&gt;$B$9,F$241=""),"",IF(COUNTIFS(BD!$B$3:$B$5001,F$241,BD!$A$3:$A$5001,"&gt;="&amp;$C$7,BD!$A$3:$A$5001,"&lt;="&amp;$B271,BD!$Y$3:$Y$5001,"&lt;&gt;")=0,"",SUMIFS(BD!$Y$3:$Y$5001,BD!$B$3:$B$5001,F$241,BD!$A$3:$A$5001,_xlfn.MAXIFS(BD!$A$3:$A$5001,BD!$B$3:$B$5001,F$241,BD!$A$3:$A$5001,"&gt;="&amp;$C$7,BD!$A$3:$A$5001,"&lt;="&amp;$B271,BD!$Y$3:$Y$5001,"&lt;&gt;"))))</f>
        <v/>
      </c>
      <c r="G271" s="43" t="str">
        <f>IF(OR($B271="",$A271&gt;$B$9,G$241=""),"",IF(COUNTIFS(BD!$B$3:$B$5001,G$241,BD!$A$3:$A$5001,"&gt;="&amp;$C$7,BD!$A$3:$A$5001,"&lt;="&amp;$B271,BD!$Y$3:$Y$5001,"&lt;&gt;")=0,"",SUMIFS(BD!$Y$3:$Y$5001,BD!$B$3:$B$5001,G$241,BD!$A$3:$A$5001,_xlfn.MAXIFS(BD!$A$3:$A$5001,BD!$B$3:$B$5001,G$241,BD!$A$3:$A$5001,"&gt;="&amp;$C$7,BD!$A$3:$A$5001,"&lt;="&amp;$B271,BD!$Y$3:$Y$5001,"&lt;&gt;"))))</f>
        <v/>
      </c>
      <c r="H271" s="43" t="str">
        <f>IF(OR($B271="",$A271&gt;$B$9,H$241=""),"",IF(COUNTIFS(BD!$B$3:$B$5001,H$241,BD!$A$3:$A$5001,"&gt;="&amp;$C$7,BD!$A$3:$A$5001,"&lt;="&amp;$B271,BD!$Y$3:$Y$5001,"&lt;&gt;")=0,"",SUMIFS(BD!$Y$3:$Y$5001,BD!$B$3:$B$5001,H$241,BD!$A$3:$A$5001,_xlfn.MAXIFS(BD!$A$3:$A$5001,BD!$B$3:$B$5001,H$241,BD!$A$3:$A$5001,"&gt;="&amp;$C$7,BD!$A$3:$A$5001,"&lt;="&amp;$B271,BD!$Y$3:$Y$5001,"&lt;&gt;"))))</f>
        <v/>
      </c>
      <c r="I271" s="43" t="str">
        <f>IF(OR($B271="",$A271&gt;$B$9,I$241=""),"",IF(COUNTIFS(BD!$B$3:$B$5001,I$241,BD!$A$3:$A$5001,"&gt;="&amp;$C$7,BD!$A$3:$A$5001,"&lt;="&amp;$B271,BD!$Y$3:$Y$5001,"&lt;&gt;")=0,"",SUMIFS(BD!$Y$3:$Y$5001,BD!$B$3:$B$5001,I$241,BD!$A$3:$A$5001,_xlfn.MAXIFS(BD!$A$3:$A$5001,BD!$B$3:$B$5001,I$241,BD!$A$3:$A$5001,"&gt;="&amp;$C$7,BD!$A$3:$A$5001,"&lt;="&amp;$B271,BD!$Y$3:$Y$5001,"&lt;&gt;"))))</f>
        <v/>
      </c>
      <c r="J271" s="43" t="str">
        <f>IF(OR($B271="",$A271&gt;$B$9,J$241=""),"",IF(COUNTIFS(BD!$B$3:$B$5001,J$241,BD!$A$3:$A$5001,"&gt;="&amp;$C$7,BD!$A$3:$A$5001,"&lt;="&amp;$B271,BD!$Y$3:$Y$5001,"&lt;&gt;")=0,"",SUMIFS(BD!$Y$3:$Y$5001,BD!$B$3:$B$5001,J$241,BD!$A$3:$A$5001,_xlfn.MAXIFS(BD!$A$3:$A$5001,BD!$B$3:$B$5001,J$241,BD!$A$3:$A$5001,"&gt;="&amp;$C$7,BD!$A$3:$A$5001,"&lt;="&amp;$B271,BD!$Y$3:$Y$5001,"&lt;&gt;"))))</f>
        <v/>
      </c>
      <c r="K271" s="43" t="str">
        <f>IF(OR($B271="",$A271&gt;$B$9,K$241=""),"",IF(COUNTIFS(BD!$B$3:$B$5001,K$241,BD!$A$3:$A$5001,"&gt;="&amp;$C$7,BD!$A$3:$A$5001,"&lt;="&amp;$B271,BD!$Y$3:$Y$5001,"&lt;&gt;")=0,"",SUMIFS(BD!$Y$3:$Y$5001,BD!$B$3:$B$5001,K$241,BD!$A$3:$A$5001,_xlfn.MAXIFS(BD!$A$3:$A$5001,BD!$B$3:$B$5001,K$241,BD!$A$3:$A$5001,"&gt;="&amp;$C$7,BD!$A$3:$A$5001,"&lt;="&amp;$B271,BD!$Y$3:$Y$5001,"&lt;&gt;"))))</f>
        <v/>
      </c>
      <c r="L271" s="43" t="str">
        <f>IF(OR($B271="",$A271&gt;$B$9,L$241=""),"",IF(COUNTIFS(BD!$B$3:$B$5001,L$241,BD!$A$3:$A$5001,"&gt;="&amp;$C$7,BD!$A$3:$A$5001,"&lt;="&amp;$B271,BD!$Y$3:$Y$5001,"&lt;&gt;")=0,"",SUMIFS(BD!$Y$3:$Y$5001,BD!$B$3:$B$5001,L$241,BD!$A$3:$A$5001,_xlfn.MAXIFS(BD!$A$3:$A$5001,BD!$B$3:$B$5001,L$241,BD!$A$3:$A$5001,"&gt;="&amp;$C$7,BD!$A$3:$A$5001,"&lt;="&amp;$B271,BD!$Y$3:$Y$5001,"&lt;&gt;"))))</f>
        <v/>
      </c>
      <c r="M271" s="43" t="str">
        <f>IF(OR($B271="",$A271&gt;$B$9,M$241=""),"",IF(COUNTIFS(BD!$B$3:$B$5001,M$241,BD!$A$3:$A$5001,"&gt;="&amp;$C$7,BD!$A$3:$A$5001,"&lt;="&amp;$B271,BD!$Y$3:$Y$5001,"&lt;&gt;")=0,"",SUMIFS(BD!$Y$3:$Y$5001,BD!$B$3:$B$5001,M$241,BD!$A$3:$A$5001,_xlfn.MAXIFS(BD!$A$3:$A$5001,BD!$B$3:$B$5001,M$241,BD!$A$3:$A$5001,"&gt;="&amp;$C$7,BD!$A$3:$A$5001,"&lt;="&amp;$B271,BD!$Y$3:$Y$5001,"&lt;&gt;"))))</f>
        <v/>
      </c>
      <c r="N271" s="43" t="str">
        <f>IF(OR($B271="",$A271&gt;$B$9,N$241=""),"",IF(COUNTIFS(BD!$B$3:$B$5001,N$241,BD!$A$3:$A$5001,"&gt;="&amp;$C$7,BD!$A$3:$A$5001,"&lt;="&amp;$B271,BD!$Y$3:$Y$5001,"&lt;&gt;")=0,"",SUMIFS(BD!$Y$3:$Y$5001,BD!$B$3:$B$5001,N$241,BD!$A$3:$A$5001,_xlfn.MAXIFS(BD!$A$3:$A$5001,BD!$B$3:$B$5001,N$241,BD!$A$3:$A$5001,"&gt;="&amp;$C$7,BD!$A$3:$A$5001,"&lt;="&amp;$B271,BD!$Y$3:$Y$5001,"&lt;&gt;"))))</f>
        <v/>
      </c>
      <c r="O271" s="43" t="str">
        <f>IF(OR($B271="",$A271&gt;$B$9,O$241=""),"",IF(COUNTIFS(BD!$B$3:$B$5001,O$241,BD!$A$3:$A$5001,"&gt;="&amp;$C$7,BD!$A$3:$A$5001,"&lt;="&amp;$B271,BD!$Y$3:$Y$5001,"&lt;&gt;")=0,"",SUMIFS(BD!$Y$3:$Y$5001,BD!$B$3:$B$5001,O$241,BD!$A$3:$A$5001,_xlfn.MAXIFS(BD!$A$3:$A$5001,BD!$B$3:$B$5001,O$241,BD!$A$3:$A$5001,"&gt;="&amp;$C$7,BD!$A$3:$A$5001,"&lt;="&amp;$B271,BD!$Y$3:$Y$5001,"&lt;&gt;"))))</f>
        <v/>
      </c>
      <c r="P271" s="43" t="str">
        <f>IF(OR($B271="",$A271&gt;$B$9,P$241=""),"",IF(COUNTIFS(BD!$B$3:$B$5001,P$241,BD!$A$3:$A$5001,"&gt;="&amp;$C$7,BD!$A$3:$A$5001,"&lt;="&amp;$B271,BD!$Y$3:$Y$5001,"&lt;&gt;")=0,"",SUMIFS(BD!$Y$3:$Y$5001,BD!$B$3:$B$5001,P$241,BD!$A$3:$A$5001,_xlfn.MAXIFS(BD!$A$3:$A$5001,BD!$B$3:$B$5001,P$241,BD!$A$3:$A$5001,"&gt;="&amp;$C$7,BD!$A$3:$A$5001,"&lt;="&amp;$B271,BD!$Y$3:$Y$5001,"&lt;&gt;"))))</f>
        <v/>
      </c>
      <c r="Q271" s="43" t="str">
        <f>IF(OR($B271="",$A271&gt;$B$9,Q$241=""),"",IF(COUNTIFS(BD!$B$3:$B$5001,Q$241,BD!$A$3:$A$5001,"&gt;="&amp;$C$7,BD!$A$3:$A$5001,"&lt;="&amp;$B271,BD!$Y$3:$Y$5001,"&lt;&gt;")=0,"",SUMIFS(BD!$Y$3:$Y$5001,BD!$B$3:$B$5001,Q$241,BD!$A$3:$A$5001,_xlfn.MAXIFS(BD!$A$3:$A$5001,BD!$B$3:$B$5001,Q$241,BD!$A$3:$A$5001,"&gt;="&amp;$C$7,BD!$A$3:$A$5001,"&lt;="&amp;$B271,BD!$Y$3:$Y$5001,"&lt;&gt;"))))</f>
        <v/>
      </c>
      <c r="R271" s="43" t="str">
        <f>IF(OR($B271="",$A271&gt;$B$9,R$241=""),"",IF(COUNTIFS(BD!$B$3:$B$5001,R$241,BD!$A$3:$A$5001,"&gt;="&amp;$C$7,BD!$A$3:$A$5001,"&lt;="&amp;$B271,BD!$Y$3:$Y$5001,"&lt;&gt;")=0,"",SUMIFS(BD!$Y$3:$Y$5001,BD!$B$3:$B$5001,R$241,BD!$A$3:$A$5001,_xlfn.MAXIFS(BD!$A$3:$A$5001,BD!$B$3:$B$5001,R$241,BD!$A$3:$A$5001,"&gt;="&amp;$C$7,BD!$A$3:$A$5001,"&lt;="&amp;$B271,BD!$Y$3:$Y$5001,"&lt;&gt;"))))</f>
        <v/>
      </c>
      <c r="S271" s="43" t="str">
        <f>IF(OR($B271="",$A271&gt;$B$9,S$241=""),"",IF(COUNTIFS(BD!$B$3:$B$5001,S$241,BD!$A$3:$A$5001,"&gt;="&amp;$C$7,BD!$A$3:$A$5001,"&lt;="&amp;$B271,BD!$Y$3:$Y$5001,"&lt;&gt;")=0,"",SUMIFS(BD!$Y$3:$Y$5001,BD!$B$3:$B$5001,S$241,BD!$A$3:$A$5001,_xlfn.MAXIFS(BD!$A$3:$A$5001,BD!$B$3:$B$5001,S$241,BD!$A$3:$A$5001,"&gt;="&amp;$C$7,BD!$A$3:$A$5001,"&lt;="&amp;$B271,BD!$Y$3:$Y$5001,"&lt;&gt;"))))</f>
        <v/>
      </c>
      <c r="T271" s="43" t="str">
        <f>IF(OR($B271="",$A271&gt;$B$9,T$241=""),"",IF(COUNTIFS(BD!$B$3:$B$5001,T$241,BD!$A$3:$A$5001,"&gt;="&amp;$C$7,BD!$A$3:$A$5001,"&lt;="&amp;$B271,BD!$Y$3:$Y$5001,"&lt;&gt;")=0,"",SUMIFS(BD!$Y$3:$Y$5001,BD!$B$3:$B$5001,T$241,BD!$A$3:$A$5001,_xlfn.MAXIFS(BD!$A$3:$A$5001,BD!$B$3:$B$5001,T$241,BD!$A$3:$A$5001,"&gt;="&amp;$C$7,BD!$A$3:$A$5001,"&lt;="&amp;$B271,BD!$Y$3:$Y$5001,"&lt;&gt;"))))</f>
        <v/>
      </c>
      <c r="U271" s="43" t="str">
        <f>IF(OR($B271="",$A271&gt;$B$9,U$241=""),"",IF(COUNTIFS(BD!$B$3:$B$5001,U$241,BD!$A$3:$A$5001,"&gt;="&amp;$C$7,BD!$A$3:$A$5001,"&lt;="&amp;$B271,BD!$Y$3:$Y$5001,"&lt;&gt;")=0,"",SUMIFS(BD!$Y$3:$Y$5001,BD!$B$3:$B$5001,U$241,BD!$A$3:$A$5001,_xlfn.MAXIFS(BD!$A$3:$A$5001,BD!$B$3:$B$5001,U$241,BD!$A$3:$A$5001,"&gt;="&amp;$C$7,BD!$A$3:$A$5001,"&lt;="&amp;$B271,BD!$Y$3:$Y$5001,"&lt;&gt;"))))</f>
        <v/>
      </c>
      <c r="V271" s="43" t="str">
        <f>IF(OR($B271="",$A271&gt;$B$9,V$241=""),"",IF(COUNTIFS(BD!$B$3:$B$5001,V$241,BD!$A$3:$A$5001,"&gt;="&amp;$C$7,BD!$A$3:$A$5001,"&lt;="&amp;$B271,BD!$Y$3:$Y$5001,"&lt;&gt;")=0,"",SUMIFS(BD!$Y$3:$Y$5001,BD!$B$3:$B$5001,V$241,BD!$A$3:$A$5001,_xlfn.MAXIFS(BD!$A$3:$A$5001,BD!$B$3:$B$5001,V$241,BD!$A$3:$A$5001,"&gt;="&amp;$C$7,BD!$A$3:$A$5001,"&lt;="&amp;$B271,BD!$Y$3:$Y$5001,"&lt;&gt;"))))</f>
        <v/>
      </c>
    </row>
    <row r="272">
      <c r="A272" s="38">
        <v>31</v>
      </c>
      <c r="B272" s="42">
        <f>$B$42</f>
        <v>46326</v>
      </c>
      <c r="C272" s="43" t="str">
        <f>IF(OR($B272="",$A272&gt;$B$9,C$241=""),"",IF(COUNTIFS(BD!$B$3:$B$5001,C$241,BD!$A$3:$A$5001,"&gt;="&amp;$C$7,BD!$A$3:$A$5001,"&lt;="&amp;$B272,BD!$Y$3:$Y$5001,"&lt;&gt;")=0,"",SUMIFS(BD!$Y$3:$Y$5001,BD!$B$3:$B$5001,C$241,BD!$A$3:$A$5001,_xlfn.MAXIFS(BD!$A$3:$A$5001,BD!$B$3:$B$5001,C$241,BD!$A$3:$A$5001,"&gt;="&amp;$C$7,BD!$A$3:$A$5001,"&lt;="&amp;$B272,BD!$Y$3:$Y$5001,"&lt;&gt;"))))</f>
        <v/>
      </c>
      <c r="D272" s="43" t="str">
        <f>IF(OR($B272="",$A272&gt;$B$9,D$241=""),"",IF(COUNTIFS(BD!$B$3:$B$5001,D$241,BD!$A$3:$A$5001,"&gt;="&amp;$C$7,BD!$A$3:$A$5001,"&lt;="&amp;$B272,BD!$Y$3:$Y$5001,"&lt;&gt;")=0,"",SUMIFS(BD!$Y$3:$Y$5001,BD!$B$3:$B$5001,D$241,BD!$A$3:$A$5001,_xlfn.MAXIFS(BD!$A$3:$A$5001,BD!$B$3:$B$5001,D$241,BD!$A$3:$A$5001,"&gt;="&amp;$C$7,BD!$A$3:$A$5001,"&lt;="&amp;$B272,BD!$Y$3:$Y$5001,"&lt;&gt;"))))</f>
        <v/>
      </c>
      <c r="E272" s="43" t="str">
        <f>IF(OR($B272="",$A272&gt;$B$9,E$241=""),"",IF(COUNTIFS(BD!$B$3:$B$5001,E$241,BD!$A$3:$A$5001,"&gt;="&amp;$C$7,BD!$A$3:$A$5001,"&lt;="&amp;$B272,BD!$Y$3:$Y$5001,"&lt;&gt;")=0,"",SUMIFS(BD!$Y$3:$Y$5001,BD!$B$3:$B$5001,E$241,BD!$A$3:$A$5001,_xlfn.MAXIFS(BD!$A$3:$A$5001,BD!$B$3:$B$5001,E$241,BD!$A$3:$A$5001,"&gt;="&amp;$C$7,BD!$A$3:$A$5001,"&lt;="&amp;$B272,BD!$Y$3:$Y$5001,"&lt;&gt;"))))</f>
        <v/>
      </c>
      <c r="F272" s="43" t="str">
        <f>IF(OR($B272="",$A272&gt;$B$9,F$241=""),"",IF(COUNTIFS(BD!$B$3:$B$5001,F$241,BD!$A$3:$A$5001,"&gt;="&amp;$C$7,BD!$A$3:$A$5001,"&lt;="&amp;$B272,BD!$Y$3:$Y$5001,"&lt;&gt;")=0,"",SUMIFS(BD!$Y$3:$Y$5001,BD!$B$3:$B$5001,F$241,BD!$A$3:$A$5001,_xlfn.MAXIFS(BD!$A$3:$A$5001,BD!$B$3:$B$5001,F$241,BD!$A$3:$A$5001,"&gt;="&amp;$C$7,BD!$A$3:$A$5001,"&lt;="&amp;$B272,BD!$Y$3:$Y$5001,"&lt;&gt;"))))</f>
        <v/>
      </c>
      <c r="G272" s="43" t="str">
        <f>IF(OR($B272="",$A272&gt;$B$9,G$241=""),"",IF(COUNTIFS(BD!$B$3:$B$5001,G$241,BD!$A$3:$A$5001,"&gt;="&amp;$C$7,BD!$A$3:$A$5001,"&lt;="&amp;$B272,BD!$Y$3:$Y$5001,"&lt;&gt;")=0,"",SUMIFS(BD!$Y$3:$Y$5001,BD!$B$3:$B$5001,G$241,BD!$A$3:$A$5001,_xlfn.MAXIFS(BD!$A$3:$A$5001,BD!$B$3:$B$5001,G$241,BD!$A$3:$A$5001,"&gt;="&amp;$C$7,BD!$A$3:$A$5001,"&lt;="&amp;$B272,BD!$Y$3:$Y$5001,"&lt;&gt;"))))</f>
        <v/>
      </c>
      <c r="H272" s="43" t="str">
        <f>IF(OR($B272="",$A272&gt;$B$9,H$241=""),"",IF(COUNTIFS(BD!$B$3:$B$5001,H$241,BD!$A$3:$A$5001,"&gt;="&amp;$C$7,BD!$A$3:$A$5001,"&lt;="&amp;$B272,BD!$Y$3:$Y$5001,"&lt;&gt;")=0,"",SUMIFS(BD!$Y$3:$Y$5001,BD!$B$3:$B$5001,H$241,BD!$A$3:$A$5001,_xlfn.MAXIFS(BD!$A$3:$A$5001,BD!$B$3:$B$5001,H$241,BD!$A$3:$A$5001,"&gt;="&amp;$C$7,BD!$A$3:$A$5001,"&lt;="&amp;$B272,BD!$Y$3:$Y$5001,"&lt;&gt;"))))</f>
        <v/>
      </c>
      <c r="I272" s="43" t="str">
        <f>IF(OR($B272="",$A272&gt;$B$9,I$241=""),"",IF(COUNTIFS(BD!$B$3:$B$5001,I$241,BD!$A$3:$A$5001,"&gt;="&amp;$C$7,BD!$A$3:$A$5001,"&lt;="&amp;$B272,BD!$Y$3:$Y$5001,"&lt;&gt;")=0,"",SUMIFS(BD!$Y$3:$Y$5001,BD!$B$3:$B$5001,I$241,BD!$A$3:$A$5001,_xlfn.MAXIFS(BD!$A$3:$A$5001,BD!$B$3:$B$5001,I$241,BD!$A$3:$A$5001,"&gt;="&amp;$C$7,BD!$A$3:$A$5001,"&lt;="&amp;$B272,BD!$Y$3:$Y$5001,"&lt;&gt;"))))</f>
        <v/>
      </c>
      <c r="J272" s="43" t="str">
        <f>IF(OR($B272="",$A272&gt;$B$9,J$241=""),"",IF(COUNTIFS(BD!$B$3:$B$5001,J$241,BD!$A$3:$A$5001,"&gt;="&amp;$C$7,BD!$A$3:$A$5001,"&lt;="&amp;$B272,BD!$Y$3:$Y$5001,"&lt;&gt;")=0,"",SUMIFS(BD!$Y$3:$Y$5001,BD!$B$3:$B$5001,J$241,BD!$A$3:$A$5001,_xlfn.MAXIFS(BD!$A$3:$A$5001,BD!$B$3:$B$5001,J$241,BD!$A$3:$A$5001,"&gt;="&amp;$C$7,BD!$A$3:$A$5001,"&lt;="&amp;$B272,BD!$Y$3:$Y$5001,"&lt;&gt;"))))</f>
        <v/>
      </c>
      <c r="K272" s="43" t="str">
        <f>IF(OR($B272="",$A272&gt;$B$9,K$241=""),"",IF(COUNTIFS(BD!$B$3:$B$5001,K$241,BD!$A$3:$A$5001,"&gt;="&amp;$C$7,BD!$A$3:$A$5001,"&lt;="&amp;$B272,BD!$Y$3:$Y$5001,"&lt;&gt;")=0,"",SUMIFS(BD!$Y$3:$Y$5001,BD!$B$3:$B$5001,K$241,BD!$A$3:$A$5001,_xlfn.MAXIFS(BD!$A$3:$A$5001,BD!$B$3:$B$5001,K$241,BD!$A$3:$A$5001,"&gt;="&amp;$C$7,BD!$A$3:$A$5001,"&lt;="&amp;$B272,BD!$Y$3:$Y$5001,"&lt;&gt;"))))</f>
        <v/>
      </c>
      <c r="L272" s="43" t="str">
        <f>IF(OR($B272="",$A272&gt;$B$9,L$241=""),"",IF(COUNTIFS(BD!$B$3:$B$5001,L$241,BD!$A$3:$A$5001,"&gt;="&amp;$C$7,BD!$A$3:$A$5001,"&lt;="&amp;$B272,BD!$Y$3:$Y$5001,"&lt;&gt;")=0,"",SUMIFS(BD!$Y$3:$Y$5001,BD!$B$3:$B$5001,L$241,BD!$A$3:$A$5001,_xlfn.MAXIFS(BD!$A$3:$A$5001,BD!$B$3:$B$5001,L$241,BD!$A$3:$A$5001,"&gt;="&amp;$C$7,BD!$A$3:$A$5001,"&lt;="&amp;$B272,BD!$Y$3:$Y$5001,"&lt;&gt;"))))</f>
        <v/>
      </c>
      <c r="M272" s="43" t="str">
        <f>IF(OR($B272="",$A272&gt;$B$9,M$241=""),"",IF(COUNTIFS(BD!$B$3:$B$5001,M$241,BD!$A$3:$A$5001,"&gt;="&amp;$C$7,BD!$A$3:$A$5001,"&lt;="&amp;$B272,BD!$Y$3:$Y$5001,"&lt;&gt;")=0,"",SUMIFS(BD!$Y$3:$Y$5001,BD!$B$3:$B$5001,M$241,BD!$A$3:$A$5001,_xlfn.MAXIFS(BD!$A$3:$A$5001,BD!$B$3:$B$5001,M$241,BD!$A$3:$A$5001,"&gt;="&amp;$C$7,BD!$A$3:$A$5001,"&lt;="&amp;$B272,BD!$Y$3:$Y$5001,"&lt;&gt;"))))</f>
        <v/>
      </c>
      <c r="N272" s="43" t="str">
        <f>IF(OR($B272="",$A272&gt;$B$9,N$241=""),"",IF(COUNTIFS(BD!$B$3:$B$5001,N$241,BD!$A$3:$A$5001,"&gt;="&amp;$C$7,BD!$A$3:$A$5001,"&lt;="&amp;$B272,BD!$Y$3:$Y$5001,"&lt;&gt;")=0,"",SUMIFS(BD!$Y$3:$Y$5001,BD!$B$3:$B$5001,N$241,BD!$A$3:$A$5001,_xlfn.MAXIFS(BD!$A$3:$A$5001,BD!$B$3:$B$5001,N$241,BD!$A$3:$A$5001,"&gt;="&amp;$C$7,BD!$A$3:$A$5001,"&lt;="&amp;$B272,BD!$Y$3:$Y$5001,"&lt;&gt;"))))</f>
        <v/>
      </c>
      <c r="O272" s="43" t="str">
        <f>IF(OR($B272="",$A272&gt;$B$9,O$241=""),"",IF(COUNTIFS(BD!$B$3:$B$5001,O$241,BD!$A$3:$A$5001,"&gt;="&amp;$C$7,BD!$A$3:$A$5001,"&lt;="&amp;$B272,BD!$Y$3:$Y$5001,"&lt;&gt;")=0,"",SUMIFS(BD!$Y$3:$Y$5001,BD!$B$3:$B$5001,O$241,BD!$A$3:$A$5001,_xlfn.MAXIFS(BD!$A$3:$A$5001,BD!$B$3:$B$5001,O$241,BD!$A$3:$A$5001,"&gt;="&amp;$C$7,BD!$A$3:$A$5001,"&lt;="&amp;$B272,BD!$Y$3:$Y$5001,"&lt;&gt;"))))</f>
        <v/>
      </c>
      <c r="P272" s="43" t="str">
        <f>IF(OR($B272="",$A272&gt;$B$9,P$241=""),"",IF(COUNTIFS(BD!$B$3:$B$5001,P$241,BD!$A$3:$A$5001,"&gt;="&amp;$C$7,BD!$A$3:$A$5001,"&lt;="&amp;$B272,BD!$Y$3:$Y$5001,"&lt;&gt;")=0,"",SUMIFS(BD!$Y$3:$Y$5001,BD!$B$3:$B$5001,P$241,BD!$A$3:$A$5001,_xlfn.MAXIFS(BD!$A$3:$A$5001,BD!$B$3:$B$5001,P$241,BD!$A$3:$A$5001,"&gt;="&amp;$C$7,BD!$A$3:$A$5001,"&lt;="&amp;$B272,BD!$Y$3:$Y$5001,"&lt;&gt;"))))</f>
        <v/>
      </c>
      <c r="Q272" s="43" t="str">
        <f>IF(OR($B272="",$A272&gt;$B$9,Q$241=""),"",IF(COUNTIFS(BD!$B$3:$B$5001,Q$241,BD!$A$3:$A$5001,"&gt;="&amp;$C$7,BD!$A$3:$A$5001,"&lt;="&amp;$B272,BD!$Y$3:$Y$5001,"&lt;&gt;")=0,"",SUMIFS(BD!$Y$3:$Y$5001,BD!$B$3:$B$5001,Q$241,BD!$A$3:$A$5001,_xlfn.MAXIFS(BD!$A$3:$A$5001,BD!$B$3:$B$5001,Q$241,BD!$A$3:$A$5001,"&gt;="&amp;$C$7,BD!$A$3:$A$5001,"&lt;="&amp;$B272,BD!$Y$3:$Y$5001,"&lt;&gt;"))))</f>
        <v/>
      </c>
      <c r="R272" s="43" t="str">
        <f>IF(OR($B272="",$A272&gt;$B$9,R$241=""),"",IF(COUNTIFS(BD!$B$3:$B$5001,R$241,BD!$A$3:$A$5001,"&gt;="&amp;$C$7,BD!$A$3:$A$5001,"&lt;="&amp;$B272,BD!$Y$3:$Y$5001,"&lt;&gt;")=0,"",SUMIFS(BD!$Y$3:$Y$5001,BD!$B$3:$B$5001,R$241,BD!$A$3:$A$5001,_xlfn.MAXIFS(BD!$A$3:$A$5001,BD!$B$3:$B$5001,R$241,BD!$A$3:$A$5001,"&gt;="&amp;$C$7,BD!$A$3:$A$5001,"&lt;="&amp;$B272,BD!$Y$3:$Y$5001,"&lt;&gt;"))))</f>
        <v/>
      </c>
      <c r="S272" s="43" t="str">
        <f>IF(OR($B272="",$A272&gt;$B$9,S$241=""),"",IF(COUNTIFS(BD!$B$3:$B$5001,S$241,BD!$A$3:$A$5001,"&gt;="&amp;$C$7,BD!$A$3:$A$5001,"&lt;="&amp;$B272,BD!$Y$3:$Y$5001,"&lt;&gt;")=0,"",SUMIFS(BD!$Y$3:$Y$5001,BD!$B$3:$B$5001,S$241,BD!$A$3:$A$5001,_xlfn.MAXIFS(BD!$A$3:$A$5001,BD!$B$3:$B$5001,S$241,BD!$A$3:$A$5001,"&gt;="&amp;$C$7,BD!$A$3:$A$5001,"&lt;="&amp;$B272,BD!$Y$3:$Y$5001,"&lt;&gt;"))))</f>
        <v/>
      </c>
      <c r="T272" s="43" t="str">
        <f>IF(OR($B272="",$A272&gt;$B$9,T$241=""),"",IF(COUNTIFS(BD!$B$3:$B$5001,T$241,BD!$A$3:$A$5001,"&gt;="&amp;$C$7,BD!$A$3:$A$5001,"&lt;="&amp;$B272,BD!$Y$3:$Y$5001,"&lt;&gt;")=0,"",SUMIFS(BD!$Y$3:$Y$5001,BD!$B$3:$B$5001,T$241,BD!$A$3:$A$5001,_xlfn.MAXIFS(BD!$A$3:$A$5001,BD!$B$3:$B$5001,T$241,BD!$A$3:$A$5001,"&gt;="&amp;$C$7,BD!$A$3:$A$5001,"&lt;="&amp;$B272,BD!$Y$3:$Y$5001,"&lt;&gt;"))))</f>
        <v/>
      </c>
      <c r="U272" s="43" t="str">
        <f>IF(OR($B272="",$A272&gt;$B$9,U$241=""),"",IF(COUNTIFS(BD!$B$3:$B$5001,U$241,BD!$A$3:$A$5001,"&gt;="&amp;$C$7,BD!$A$3:$A$5001,"&lt;="&amp;$B272,BD!$Y$3:$Y$5001,"&lt;&gt;")=0,"",SUMIFS(BD!$Y$3:$Y$5001,BD!$B$3:$B$5001,U$241,BD!$A$3:$A$5001,_xlfn.MAXIFS(BD!$A$3:$A$5001,BD!$B$3:$B$5001,U$241,BD!$A$3:$A$5001,"&gt;="&amp;$C$7,BD!$A$3:$A$5001,"&lt;="&amp;$B272,BD!$Y$3:$Y$5001,"&lt;&gt;"))))</f>
        <v/>
      </c>
      <c r="V272" s="43" t="str">
        <f>IF(OR($B272="",$A272&gt;$B$9,V$241=""),"",IF(COUNTIFS(BD!$B$3:$B$5001,V$241,BD!$A$3:$A$5001,"&gt;="&amp;$C$7,BD!$A$3:$A$5001,"&lt;="&amp;$B272,BD!$Y$3:$Y$5001,"&lt;&gt;")=0,"",SUMIFS(BD!$Y$3:$Y$5001,BD!$B$3:$B$5001,V$241,BD!$A$3:$A$5001,_xlfn.MAXIFS(BD!$A$3:$A$5001,BD!$B$3:$B$5001,V$241,BD!$A$3:$A$5001,"&gt;="&amp;$C$7,BD!$A$3:$A$5001,"&lt;="&amp;$B272,BD!$Y$3:$Y$5001,"&lt;&gt;"))))</f>
        <v/>
      </c>
    </row>
    <row r="273">
      <c r="A273" s="44" t="inlineStr">
        <is>
          <t xml:space="preserve">Mês anterior (último)</t>
        </is>
      </c>
      <c r="C273" s="45" t="str">
        <f>IF(C$241="","",IF(COUNTIFS(BD!$B$3:$B$5001,C$241,BD!$A$3:$A$5001,"&gt;="&amp;$C$8,BD!$A$3:$A$5001,"&lt;="&amp;$D$8,BD!$Y$3:$Y$5001,"&lt;&gt;")=0,"",SUMIFS(BD!$Y$3:$Y$5001,BD!$B$3:$B$5001,C$241,BD!$A$3:$A$5001,_xlfn.MAXIFS(BD!$A$3:$A$5001,BD!$B$3:$B$5001,C$241,BD!$A$3:$A$5001,"&gt;="&amp;$C$8,BD!$A$3:$A$5001,"&lt;="&amp;$D$8,BD!$Y$3:$Y$5001,"&lt;&gt;"))))</f>
        <v/>
      </c>
      <c r="D273" s="45" t="str">
        <f>IF(D$241="","",IF(COUNTIFS(BD!$B$3:$B$5001,D$241,BD!$A$3:$A$5001,"&gt;="&amp;$C$8,BD!$A$3:$A$5001,"&lt;="&amp;$D$8,BD!$Y$3:$Y$5001,"&lt;&gt;")=0,"",SUMIFS(BD!$Y$3:$Y$5001,BD!$B$3:$B$5001,D$241,BD!$A$3:$A$5001,_xlfn.MAXIFS(BD!$A$3:$A$5001,BD!$B$3:$B$5001,D$241,BD!$A$3:$A$5001,"&gt;="&amp;$C$8,BD!$A$3:$A$5001,"&lt;="&amp;$D$8,BD!$Y$3:$Y$5001,"&lt;&gt;"))))</f>
        <v/>
      </c>
      <c r="E273" s="45" t="str">
        <f>IF(E$241="","",IF(COUNTIFS(BD!$B$3:$B$5001,E$241,BD!$A$3:$A$5001,"&gt;="&amp;$C$8,BD!$A$3:$A$5001,"&lt;="&amp;$D$8,BD!$Y$3:$Y$5001,"&lt;&gt;")=0,"",SUMIFS(BD!$Y$3:$Y$5001,BD!$B$3:$B$5001,E$241,BD!$A$3:$A$5001,_xlfn.MAXIFS(BD!$A$3:$A$5001,BD!$B$3:$B$5001,E$241,BD!$A$3:$A$5001,"&gt;="&amp;$C$8,BD!$A$3:$A$5001,"&lt;="&amp;$D$8,BD!$Y$3:$Y$5001,"&lt;&gt;"))))</f>
        <v/>
      </c>
      <c r="F273" s="45" t="str">
        <f>IF(F$241="","",IF(COUNTIFS(BD!$B$3:$B$5001,F$241,BD!$A$3:$A$5001,"&gt;="&amp;$C$8,BD!$A$3:$A$5001,"&lt;="&amp;$D$8,BD!$Y$3:$Y$5001,"&lt;&gt;")=0,"",SUMIFS(BD!$Y$3:$Y$5001,BD!$B$3:$B$5001,F$241,BD!$A$3:$A$5001,_xlfn.MAXIFS(BD!$A$3:$A$5001,BD!$B$3:$B$5001,F$241,BD!$A$3:$A$5001,"&gt;="&amp;$C$8,BD!$A$3:$A$5001,"&lt;="&amp;$D$8,BD!$Y$3:$Y$5001,"&lt;&gt;"))))</f>
        <v/>
      </c>
      <c r="G273" s="45" t="str">
        <f>IF(G$241="","",IF(COUNTIFS(BD!$B$3:$B$5001,G$241,BD!$A$3:$A$5001,"&gt;="&amp;$C$8,BD!$A$3:$A$5001,"&lt;="&amp;$D$8,BD!$Y$3:$Y$5001,"&lt;&gt;")=0,"",SUMIFS(BD!$Y$3:$Y$5001,BD!$B$3:$B$5001,G$241,BD!$A$3:$A$5001,_xlfn.MAXIFS(BD!$A$3:$A$5001,BD!$B$3:$B$5001,G$241,BD!$A$3:$A$5001,"&gt;="&amp;$C$8,BD!$A$3:$A$5001,"&lt;="&amp;$D$8,BD!$Y$3:$Y$5001,"&lt;&gt;"))))</f>
        <v/>
      </c>
      <c r="H273" s="45" t="str">
        <f>IF(H$241="","",IF(COUNTIFS(BD!$B$3:$B$5001,H$241,BD!$A$3:$A$5001,"&gt;="&amp;$C$8,BD!$A$3:$A$5001,"&lt;="&amp;$D$8,BD!$Y$3:$Y$5001,"&lt;&gt;")=0,"",SUMIFS(BD!$Y$3:$Y$5001,BD!$B$3:$B$5001,H$241,BD!$A$3:$A$5001,_xlfn.MAXIFS(BD!$A$3:$A$5001,BD!$B$3:$B$5001,H$241,BD!$A$3:$A$5001,"&gt;="&amp;$C$8,BD!$A$3:$A$5001,"&lt;="&amp;$D$8,BD!$Y$3:$Y$5001,"&lt;&gt;"))))</f>
        <v/>
      </c>
      <c r="I273" s="45" t="str">
        <f>IF(I$241="","",IF(COUNTIFS(BD!$B$3:$B$5001,I$241,BD!$A$3:$A$5001,"&gt;="&amp;$C$8,BD!$A$3:$A$5001,"&lt;="&amp;$D$8,BD!$Y$3:$Y$5001,"&lt;&gt;")=0,"",SUMIFS(BD!$Y$3:$Y$5001,BD!$B$3:$B$5001,I$241,BD!$A$3:$A$5001,_xlfn.MAXIFS(BD!$A$3:$A$5001,BD!$B$3:$B$5001,I$241,BD!$A$3:$A$5001,"&gt;="&amp;$C$8,BD!$A$3:$A$5001,"&lt;="&amp;$D$8,BD!$Y$3:$Y$5001,"&lt;&gt;"))))</f>
        <v/>
      </c>
      <c r="J273" s="45" t="str">
        <f>IF(J$241="","",IF(COUNTIFS(BD!$B$3:$B$5001,J$241,BD!$A$3:$A$5001,"&gt;="&amp;$C$8,BD!$A$3:$A$5001,"&lt;="&amp;$D$8,BD!$Y$3:$Y$5001,"&lt;&gt;")=0,"",SUMIFS(BD!$Y$3:$Y$5001,BD!$B$3:$B$5001,J$241,BD!$A$3:$A$5001,_xlfn.MAXIFS(BD!$A$3:$A$5001,BD!$B$3:$B$5001,J$241,BD!$A$3:$A$5001,"&gt;="&amp;$C$8,BD!$A$3:$A$5001,"&lt;="&amp;$D$8,BD!$Y$3:$Y$5001,"&lt;&gt;"))))</f>
        <v/>
      </c>
      <c r="K273" s="45" t="str">
        <f>IF(K$241="","",IF(COUNTIFS(BD!$B$3:$B$5001,K$241,BD!$A$3:$A$5001,"&gt;="&amp;$C$8,BD!$A$3:$A$5001,"&lt;="&amp;$D$8,BD!$Y$3:$Y$5001,"&lt;&gt;")=0,"",SUMIFS(BD!$Y$3:$Y$5001,BD!$B$3:$B$5001,K$241,BD!$A$3:$A$5001,_xlfn.MAXIFS(BD!$A$3:$A$5001,BD!$B$3:$B$5001,K$241,BD!$A$3:$A$5001,"&gt;="&amp;$C$8,BD!$A$3:$A$5001,"&lt;="&amp;$D$8,BD!$Y$3:$Y$5001,"&lt;&gt;"))))</f>
        <v/>
      </c>
      <c r="L273" s="45" t="str">
        <f>IF(L$241="","",IF(COUNTIFS(BD!$B$3:$B$5001,L$241,BD!$A$3:$A$5001,"&gt;="&amp;$C$8,BD!$A$3:$A$5001,"&lt;="&amp;$D$8,BD!$Y$3:$Y$5001,"&lt;&gt;")=0,"",SUMIFS(BD!$Y$3:$Y$5001,BD!$B$3:$B$5001,L$241,BD!$A$3:$A$5001,_xlfn.MAXIFS(BD!$A$3:$A$5001,BD!$B$3:$B$5001,L$241,BD!$A$3:$A$5001,"&gt;="&amp;$C$8,BD!$A$3:$A$5001,"&lt;="&amp;$D$8,BD!$Y$3:$Y$5001,"&lt;&gt;"))))</f>
        <v/>
      </c>
      <c r="M273" s="45" t="str">
        <f>IF(M$241="","",IF(COUNTIFS(BD!$B$3:$B$5001,M$241,BD!$A$3:$A$5001,"&gt;="&amp;$C$8,BD!$A$3:$A$5001,"&lt;="&amp;$D$8,BD!$Y$3:$Y$5001,"&lt;&gt;")=0,"",SUMIFS(BD!$Y$3:$Y$5001,BD!$B$3:$B$5001,M$241,BD!$A$3:$A$5001,_xlfn.MAXIFS(BD!$A$3:$A$5001,BD!$B$3:$B$5001,M$241,BD!$A$3:$A$5001,"&gt;="&amp;$C$8,BD!$A$3:$A$5001,"&lt;="&amp;$D$8,BD!$Y$3:$Y$5001,"&lt;&gt;"))))</f>
        <v/>
      </c>
      <c r="N273" s="45" t="str">
        <f>IF(N$241="","",IF(COUNTIFS(BD!$B$3:$B$5001,N$241,BD!$A$3:$A$5001,"&gt;="&amp;$C$8,BD!$A$3:$A$5001,"&lt;="&amp;$D$8,BD!$Y$3:$Y$5001,"&lt;&gt;")=0,"",SUMIFS(BD!$Y$3:$Y$5001,BD!$B$3:$B$5001,N$241,BD!$A$3:$A$5001,_xlfn.MAXIFS(BD!$A$3:$A$5001,BD!$B$3:$B$5001,N$241,BD!$A$3:$A$5001,"&gt;="&amp;$C$8,BD!$A$3:$A$5001,"&lt;="&amp;$D$8,BD!$Y$3:$Y$5001,"&lt;&gt;"))))</f>
        <v/>
      </c>
      <c r="O273" s="45" t="str">
        <f>IF(O$241="","",IF(COUNTIFS(BD!$B$3:$B$5001,O$241,BD!$A$3:$A$5001,"&gt;="&amp;$C$8,BD!$A$3:$A$5001,"&lt;="&amp;$D$8,BD!$Y$3:$Y$5001,"&lt;&gt;")=0,"",SUMIFS(BD!$Y$3:$Y$5001,BD!$B$3:$B$5001,O$241,BD!$A$3:$A$5001,_xlfn.MAXIFS(BD!$A$3:$A$5001,BD!$B$3:$B$5001,O$241,BD!$A$3:$A$5001,"&gt;="&amp;$C$8,BD!$A$3:$A$5001,"&lt;="&amp;$D$8,BD!$Y$3:$Y$5001,"&lt;&gt;"))))</f>
        <v/>
      </c>
      <c r="P273" s="45" t="str">
        <f>IF(P$241="","",IF(COUNTIFS(BD!$B$3:$B$5001,P$241,BD!$A$3:$A$5001,"&gt;="&amp;$C$8,BD!$A$3:$A$5001,"&lt;="&amp;$D$8,BD!$Y$3:$Y$5001,"&lt;&gt;")=0,"",SUMIFS(BD!$Y$3:$Y$5001,BD!$B$3:$B$5001,P$241,BD!$A$3:$A$5001,_xlfn.MAXIFS(BD!$A$3:$A$5001,BD!$B$3:$B$5001,P$241,BD!$A$3:$A$5001,"&gt;="&amp;$C$8,BD!$A$3:$A$5001,"&lt;="&amp;$D$8,BD!$Y$3:$Y$5001,"&lt;&gt;"))))</f>
        <v/>
      </c>
      <c r="Q273" s="45" t="str">
        <f>IF(Q$241="","",IF(COUNTIFS(BD!$B$3:$B$5001,Q$241,BD!$A$3:$A$5001,"&gt;="&amp;$C$8,BD!$A$3:$A$5001,"&lt;="&amp;$D$8,BD!$Y$3:$Y$5001,"&lt;&gt;")=0,"",SUMIFS(BD!$Y$3:$Y$5001,BD!$B$3:$B$5001,Q$241,BD!$A$3:$A$5001,_xlfn.MAXIFS(BD!$A$3:$A$5001,BD!$B$3:$B$5001,Q$241,BD!$A$3:$A$5001,"&gt;="&amp;$C$8,BD!$A$3:$A$5001,"&lt;="&amp;$D$8,BD!$Y$3:$Y$5001,"&lt;&gt;"))))</f>
        <v/>
      </c>
      <c r="R273" s="45" t="str">
        <f>IF(R$241="","",IF(COUNTIFS(BD!$B$3:$B$5001,R$241,BD!$A$3:$A$5001,"&gt;="&amp;$C$8,BD!$A$3:$A$5001,"&lt;="&amp;$D$8,BD!$Y$3:$Y$5001,"&lt;&gt;")=0,"",SUMIFS(BD!$Y$3:$Y$5001,BD!$B$3:$B$5001,R$241,BD!$A$3:$A$5001,_xlfn.MAXIFS(BD!$A$3:$A$5001,BD!$B$3:$B$5001,R$241,BD!$A$3:$A$5001,"&gt;="&amp;$C$8,BD!$A$3:$A$5001,"&lt;="&amp;$D$8,BD!$Y$3:$Y$5001,"&lt;&gt;"))))</f>
        <v/>
      </c>
      <c r="S273" s="45" t="str">
        <f>IF(S$241="","",IF(COUNTIFS(BD!$B$3:$B$5001,S$241,BD!$A$3:$A$5001,"&gt;="&amp;$C$8,BD!$A$3:$A$5001,"&lt;="&amp;$D$8,BD!$Y$3:$Y$5001,"&lt;&gt;")=0,"",SUMIFS(BD!$Y$3:$Y$5001,BD!$B$3:$B$5001,S$241,BD!$A$3:$A$5001,_xlfn.MAXIFS(BD!$A$3:$A$5001,BD!$B$3:$B$5001,S$241,BD!$A$3:$A$5001,"&gt;="&amp;$C$8,BD!$A$3:$A$5001,"&lt;="&amp;$D$8,BD!$Y$3:$Y$5001,"&lt;&gt;"))))</f>
        <v/>
      </c>
      <c r="T273" s="45" t="str">
        <f>IF(T$241="","",IF(COUNTIFS(BD!$B$3:$B$5001,T$241,BD!$A$3:$A$5001,"&gt;="&amp;$C$8,BD!$A$3:$A$5001,"&lt;="&amp;$D$8,BD!$Y$3:$Y$5001,"&lt;&gt;")=0,"",SUMIFS(BD!$Y$3:$Y$5001,BD!$B$3:$B$5001,T$241,BD!$A$3:$A$5001,_xlfn.MAXIFS(BD!$A$3:$A$5001,BD!$B$3:$B$5001,T$241,BD!$A$3:$A$5001,"&gt;="&amp;$C$8,BD!$A$3:$A$5001,"&lt;="&amp;$D$8,BD!$Y$3:$Y$5001,"&lt;&gt;"))))</f>
        <v/>
      </c>
      <c r="U273" s="45" t="str">
        <f>IF(U$241="","",IF(COUNTIFS(BD!$B$3:$B$5001,U$241,BD!$A$3:$A$5001,"&gt;="&amp;$C$8,BD!$A$3:$A$5001,"&lt;="&amp;$D$8,BD!$Y$3:$Y$5001,"&lt;&gt;")=0,"",SUMIFS(BD!$Y$3:$Y$5001,BD!$B$3:$B$5001,U$241,BD!$A$3:$A$5001,_xlfn.MAXIFS(BD!$A$3:$A$5001,BD!$B$3:$B$5001,U$241,BD!$A$3:$A$5001,"&gt;="&amp;$C$8,BD!$A$3:$A$5001,"&lt;="&amp;$D$8,BD!$Y$3:$Y$5001,"&lt;&gt;"))))</f>
        <v/>
      </c>
      <c r="V273" s="45" t="str">
        <f>IF(V$241="","",IF(COUNTIFS(BD!$B$3:$B$5001,V$241,BD!$A$3:$A$5001,"&gt;="&amp;$C$8,BD!$A$3:$A$5001,"&lt;="&amp;$D$8,BD!$Y$3:$Y$5001,"&lt;&gt;")=0,"",SUMIFS(BD!$Y$3:$Y$5001,BD!$B$3:$B$5001,V$241,BD!$A$3:$A$5001,_xlfn.MAXIFS(BD!$A$3:$A$5001,BD!$B$3:$B$5001,V$241,BD!$A$3:$A$5001,"&gt;="&amp;$C$8,BD!$A$3:$A$5001,"&lt;="&amp;$D$8,BD!$Y$3:$Y$5001,"&lt;&gt;"))))</f>
        <v/>
      </c>
    </row>
    <row r="274">
      <c r="A274" s="44" t="inlineStr">
        <is>
          <t xml:space="preserve">Depósito</t>
        </is>
      </c>
      <c r="C274" s="38" t="str">
        <f>IF(Config!$C$10="","TPC",Config!$C$10)</f>
        <v>TPC</v>
      </c>
      <c r="D274" s="38" t="str">
        <f>IF(Config!$C$11="","TPC",Config!$C$11)</f>
        <v>TPC</v>
      </c>
      <c r="E274" s="38" t="str">
        <f>IF(Config!$C$12="","TPC",Config!$C$12)</f>
        <v>TPC</v>
      </c>
      <c r="F274" s="38" t="str">
        <f>IF(Config!$C$13="","TPC",Config!$C$13)</f>
        <v>TPC</v>
      </c>
      <c r="G274" s="38" t="str">
        <f>IF(Config!$C$14="","TPC",Config!$C$14)</f>
        <v>TPC</v>
      </c>
      <c r="H274" s="38" t="str">
        <f>IF(Config!$C$15="","TPC",Config!$C$15)</f>
        <v>TPC</v>
      </c>
      <c r="I274" s="38" t="str">
        <f>IF(Config!$C$16="","TPC",Config!$C$16)</f>
        <v>TPC</v>
      </c>
      <c r="J274" s="38" t="str">
        <f>IF(Config!$C$17="","TPC",Config!$C$17)</f>
        <v>TPC</v>
      </c>
      <c r="K274" s="38" t="str">
        <f>IF(Config!$C$18="","TPC",Config!$C$18)</f>
        <v>TPC</v>
      </c>
      <c r="L274" s="38" t="str">
        <f>IF(Config!$C$19="","TPC",Config!$C$19)</f>
        <v>TPC</v>
      </c>
      <c r="M274" s="38" t="str">
        <f>IF(Config!$C$20="","TPC",Config!$C$20)</f>
        <v>TPC</v>
      </c>
      <c r="N274" s="38" t="str">
        <f>IF(Config!$C$21="","TPC",Config!$C$21)</f>
        <v>TPC</v>
      </c>
      <c r="O274" s="38" t="str">
        <f>IF(Config!$C$22="","TPC",Config!$C$22)</f>
        <v>TPC</v>
      </c>
      <c r="P274" s="38" t="str">
        <f>IF(Config!$C$23="","TPC",Config!$C$23)</f>
        <v>TPC</v>
      </c>
      <c r="Q274" s="38" t="str">
        <f>IF(Config!$C$24="","TPC",Config!$C$24)</f>
        <v>TPC</v>
      </c>
      <c r="R274" s="38" t="str">
        <f>IF(Config!$C$25="","TPC",Config!$C$25)</f>
        <v>TPC</v>
      </c>
      <c r="S274" s="38" t="str">
        <f>IF(Config!$C$26="","TPC",Config!$C$26)</f>
        <v>TPC</v>
      </c>
      <c r="T274" s="38" t="str">
        <f>IF(Config!$C$27="","TPC",Config!$C$27)</f>
        <v>TPC</v>
      </c>
      <c r="U274" s="38" t="str">
        <f>IF(Config!$C$28="","TPC",Config!$C$28)</f>
        <v>TPC</v>
      </c>
      <c r="V274" s="38" t="str">
        <f>IF(Config!$C$29="","TPC",Config!$C$29)</f>
        <v>TPC</v>
      </c>
    </row>
    <row r="278">
      <c r="A278" s="19" t="inlineStr">
        <is>
          <t xml:space="preserve">RESUMO POR CLIENTE — clientes visíveis pelo filtro do Consol Mensal</t>
        </is>
      </c>
    </row>
    <row r="279">
      <c r="A279" s="37" t="inlineStr">
        <is>
          <t xml:space="preserve">Cliente</t>
        </is>
      </c>
      <c r="B279" s="37" t="inlineStr">
        <is>
          <t xml:space="preserve">Depósito</t>
        </is>
      </c>
      <c r="C279" s="37" t="inlineStr">
        <is>
          <t xml:space="preserve">Entra?</t>
        </is>
      </c>
      <c r="D279" s="37" t="inlineStr">
        <is>
          <t xml:space="preserve">Ordem</t>
        </is>
      </c>
      <c r="F279" s="37" t="inlineStr">
        <is>
          <t xml:space="preserve">Posição</t>
        </is>
      </c>
      <c r="G279" s="37" t="inlineStr">
        <is>
          <t xml:space="preserve">Cliente visível</t>
        </is>
      </c>
      <c r="H279" s="37" t="inlineStr">
        <is>
          <t xml:space="preserve">Depósito visível</t>
        </is>
      </c>
    </row>
    <row r="280">
      <c r="A280" s="65" t="str">
        <f>Config!$B$10&amp;""</f>
        <v>Alpargatas</v>
      </c>
      <c r="B280" s="38" t="str">
        <f>IF(Config!$C$10="","TPC",Config!$C$10)</f>
        <v>TPC</v>
      </c>
      <c r="C280" s="38">
        <f>IF($A280="",0,IF(OR($B$2="Todos",AND($C$2=2,$B280=$D$2),AND($C$2=1,$A280=$D$2)),1,0))</f>
        <v>1</v>
      </c>
      <c r="D280" s="38">
        <f>IF($C280=1,SUM($C$280:$C280),"")</f>
        <v>1</v>
      </c>
      <c r="F280" s="38">
        <v>1</v>
      </c>
      <c r="G280" s="65" t="str">
        <f>IFERROR(INDEX($A$280:$A$299,MATCH($F280,$D$280:$D$299,0)),"")</f>
        <v>Alpargatas</v>
      </c>
      <c r="H280" s="38" t="str">
        <f>IFERROR(INDEX($B$280:$B$299,MATCH($F280,$D$280:$D$299,0)),"")</f>
        <v>TPC</v>
      </c>
    </row>
    <row r="281">
      <c r="A281" s="65" t="str">
        <f>Config!$B$11&amp;""</f>
        <v>Basf</v>
      </c>
      <c r="B281" s="38" t="str">
        <f>IF(Config!$C$11="","TPC",Config!$C$11)</f>
        <v>TPC</v>
      </c>
      <c r="C281" s="38">
        <f>IF($A281="",0,IF(OR($B$2="Todos",AND($C$2=2,$B281=$D$2),AND($C$2=1,$A281=$D$2)),1,0))</f>
        <v>1</v>
      </c>
      <c r="D281" s="38">
        <f>IF($C281=1,SUM($C$280:$C281),"")</f>
        <v>2</v>
      </c>
      <c r="F281" s="38">
        <v>2</v>
      </c>
      <c r="G281" s="65" t="str">
        <f>IFERROR(INDEX($A$280:$A$299,MATCH($F281,$D$280:$D$299,0)),"")</f>
        <v>Basf</v>
      </c>
      <c r="H281" s="38" t="str">
        <f>IFERROR(INDEX($B$280:$B$299,MATCH($F281,$D$280:$D$299,0)),"")</f>
        <v>TPC</v>
      </c>
    </row>
    <row r="282">
      <c r="A282" s="65" t="str">
        <f>Config!$B$12&amp;""</f>
        <v>Beautybiz</v>
      </c>
      <c r="B282" s="38" t="str">
        <f>IF(Config!$C$12="","TPC",Config!$C$12)</f>
        <v>TPC</v>
      </c>
      <c r="C282" s="38">
        <f>IF($A282="",0,IF(OR($B$2="Todos",AND($C$2=2,$B282=$D$2),AND($C$2=1,$A282=$D$2)),1,0))</f>
        <v>1</v>
      </c>
      <c r="D282" s="38">
        <f>IF($C282=1,SUM($C$280:$C282),"")</f>
        <v>3</v>
      </c>
      <c r="F282" s="38">
        <v>3</v>
      </c>
      <c r="G282" s="65" t="str">
        <f>IFERROR(INDEX($A$280:$A$299,MATCH($F282,$D$280:$D$299,0)),"")</f>
        <v>Beautybiz</v>
      </c>
      <c r="H282" s="38" t="str">
        <f>IFERROR(INDEX($B$280:$B$299,MATCH($F282,$D$280:$D$299,0)),"")</f>
        <v>TPC</v>
      </c>
    </row>
    <row r="283">
      <c r="A283" s="65" t="str">
        <f>Config!$B$13&amp;""</f>
        <v>Boticário</v>
      </c>
      <c r="B283" s="38" t="str">
        <f>IF(Config!$C$13="","TPC",Config!$C$13)</f>
        <v>TPC</v>
      </c>
      <c r="C283" s="38">
        <f>IF($A283="",0,IF(OR($B$2="Todos",AND($C$2=2,$B283=$D$2),AND($C$2=1,$A283=$D$2)),1,0))</f>
        <v>1</v>
      </c>
      <c r="D283" s="38">
        <f>IF($C283=1,SUM($C$280:$C283),"")</f>
        <v>4</v>
      </c>
      <c r="F283" s="38">
        <v>4</v>
      </c>
      <c r="G283" s="65" t="str">
        <f>IFERROR(INDEX($A$280:$A$299,MATCH($F283,$D$280:$D$299,0)),"")</f>
        <v>Boticário</v>
      </c>
      <c r="H283" s="38" t="str">
        <f>IFERROR(INDEX($B$280:$B$299,MATCH($F283,$D$280:$D$299,0)),"")</f>
        <v>TPC</v>
      </c>
    </row>
    <row r="284">
      <c r="A284" s="65" t="str">
        <f>Config!$B$14&amp;""</f>
        <v>Confiance</v>
      </c>
      <c r="B284" s="38" t="str">
        <f>IF(Config!$C$14="","TPC",Config!$C$14)</f>
        <v>TPC</v>
      </c>
      <c r="C284" s="38">
        <f>IF($A284="",0,IF(OR($B$2="Todos",AND($C$2=2,$B284=$D$2),AND($C$2=1,$A284=$D$2)),1,0))</f>
        <v>1</v>
      </c>
      <c r="D284" s="38">
        <f>IF($C284=1,SUM($C$280:$C284),"")</f>
        <v>5</v>
      </c>
      <c r="F284" s="38">
        <v>5</v>
      </c>
      <c r="G284" s="65" t="str">
        <f>IFERROR(INDEX($A$280:$A$299,MATCH($F284,$D$280:$D$299,0)),"")</f>
        <v>Confiance</v>
      </c>
      <c r="H284" s="38" t="str">
        <f>IFERROR(INDEX($B$280:$B$299,MATCH($F284,$D$280:$D$299,0)),"")</f>
        <v>TPC</v>
      </c>
    </row>
    <row r="285">
      <c r="A285" s="65" t="str">
        <f>Config!$B$15&amp;""</f>
        <v>GE Vernova</v>
      </c>
      <c r="B285" s="38" t="str">
        <f>IF(Config!$C$15="","TPC",Config!$C$15)</f>
        <v>TPC</v>
      </c>
      <c r="C285" s="38">
        <f>IF($A285="",0,IF(OR($B$2="Todos",AND($C$2=2,$B285=$D$2),AND($C$2=1,$A285=$D$2)),1,0))</f>
        <v>1</v>
      </c>
      <c r="D285" s="38">
        <f>IF($C285=1,SUM($C$280:$C285),"")</f>
        <v>6</v>
      </c>
      <c r="F285" s="38">
        <v>6</v>
      </c>
      <c r="G285" s="65" t="str">
        <f>IFERROR(INDEX($A$280:$A$299,MATCH($F285,$D$280:$D$299,0)),"")</f>
        <v>GE Vernova</v>
      </c>
      <c r="H285" s="38" t="str">
        <f>IFERROR(INDEX($B$280:$B$299,MATCH($F285,$D$280:$D$299,0)),"")</f>
        <v>TPC</v>
      </c>
    </row>
    <row r="286">
      <c r="A286" s="65" t="str">
        <f>Config!$B$16&amp;""</f>
        <v>Omnilife</v>
      </c>
      <c r="B286" s="38" t="str">
        <f>IF(Config!$C$16="","TPC",Config!$C$16)</f>
        <v>TPC</v>
      </c>
      <c r="C286" s="38">
        <f>IF($A286="",0,IF(OR($B$2="Todos",AND($C$2=2,$B286=$D$2),AND($C$2=1,$A286=$D$2)),1,0))</f>
        <v>1</v>
      </c>
      <c r="D286" s="38">
        <f>IF($C286=1,SUM($C$280:$C286),"")</f>
        <v>7</v>
      </c>
      <c r="F286" s="38">
        <v>7</v>
      </c>
      <c r="G286" s="65" t="str">
        <f>IFERROR(INDEX($A$280:$A$299,MATCH($F286,$D$280:$D$299,0)),"")</f>
        <v>Omnilife</v>
      </c>
      <c r="H286" s="38" t="str">
        <f>IFERROR(INDEX($B$280:$B$299,MATCH($F286,$D$280:$D$299,0)),"")</f>
        <v>TPC</v>
      </c>
    </row>
    <row r="287">
      <c r="A287" s="65" t="str">
        <f>Config!$B$17&amp;""</f>
        <v>Supply</v>
      </c>
      <c r="B287" s="38" t="str">
        <f>IF(Config!$C$17="","TPC",Config!$C$17)</f>
        <v>TPC</v>
      </c>
      <c r="C287" s="38">
        <f>IF($A287="",0,IF(OR($B$2="Todos",AND($C$2=2,$B287=$D$2),AND($C$2=1,$A287=$D$2)),1,0))</f>
        <v>1</v>
      </c>
      <c r="D287" s="38">
        <f>IF($C287=1,SUM($C$280:$C287),"")</f>
        <v>8</v>
      </c>
      <c r="F287" s="38">
        <v>8</v>
      </c>
      <c r="G287" s="65" t="str">
        <f>IFERROR(INDEX($A$280:$A$299,MATCH($F287,$D$280:$D$299,0)),"")</f>
        <v>Supply</v>
      </c>
      <c r="H287" s="38" t="str">
        <f>IFERROR(INDEX($B$280:$B$299,MATCH($F287,$D$280:$D$299,0)),"")</f>
        <v>TPC</v>
      </c>
    </row>
    <row r="288">
      <c r="A288" s="65" t="str">
        <f>Config!$B$18&amp;""</f>
        <v>Vedacit</v>
      </c>
      <c r="B288" s="38" t="str">
        <f>IF(Config!$C$18="","TPC",Config!$C$18)</f>
        <v>TPC</v>
      </c>
      <c r="C288" s="38">
        <f>IF($A288="",0,IF(OR($B$2="Todos",AND($C$2=2,$B288=$D$2),AND($C$2=1,$A288=$D$2)),1,0))</f>
        <v>1</v>
      </c>
      <c r="D288" s="38">
        <f>IF($C288=1,SUM($C$280:$C288),"")</f>
        <v>9</v>
      </c>
      <c r="F288" s="38">
        <v>9</v>
      </c>
      <c r="G288" s="65" t="str">
        <f>IFERROR(INDEX($A$280:$A$299,MATCH($F288,$D$280:$D$299,0)),"")</f>
        <v>Vedacit</v>
      </c>
      <c r="H288" s="38" t="str">
        <f>IFERROR(INDEX($B$280:$B$299,MATCH($F288,$D$280:$D$299,0)),"")</f>
        <v>TPC</v>
      </c>
    </row>
    <row r="289">
      <c r="A289" s="65" t="str">
        <f>Config!$B$19&amp;""</f>
        <v>Vestas</v>
      </c>
      <c r="B289" s="38" t="str">
        <f>IF(Config!$C$19="","TPC",Config!$C$19)</f>
        <v>TPC</v>
      </c>
      <c r="C289" s="38">
        <f>IF($A289="",0,IF(OR($B$2="Todos",AND($C$2=2,$B289=$D$2),AND($C$2=1,$A289=$D$2)),1,0))</f>
        <v>1</v>
      </c>
      <c r="D289" s="38">
        <f>IF($C289=1,SUM($C$280:$C289),"")</f>
        <v>10</v>
      </c>
      <c r="F289" s="38">
        <v>10</v>
      </c>
      <c r="G289" s="65" t="str">
        <f>IFERROR(INDEX($A$280:$A$299,MATCH($F289,$D$280:$D$299,0)),"")</f>
        <v>Vestas</v>
      </c>
      <c r="H289" s="38" t="str">
        <f>IFERROR(INDEX($B$280:$B$299,MATCH($F289,$D$280:$D$299,0)),"")</f>
        <v>TPC</v>
      </c>
    </row>
    <row r="290">
      <c r="A290" s="65" t="str">
        <f>Config!$B$20&amp;""</f>
        <v/>
      </c>
      <c r="B290" s="38" t="str">
        <f>IF(Config!$C$20="","TPC",Config!$C$20)</f>
        <v>TPC</v>
      </c>
      <c r="C290" s="38">
        <f>IF($A290="",0,IF(OR($B$2="Todos",AND($C$2=2,$B290=$D$2),AND($C$2=1,$A290=$D$2)),1,0))</f>
        <v>0</v>
      </c>
      <c r="D290" s="38" t="str">
        <f>IF($C290=1,SUM($C$280:$C290),"")</f>
        <v/>
      </c>
      <c r="F290" s="38">
        <v>11</v>
      </c>
      <c r="G290" s="65" t="str">
        <f>IFERROR(INDEX($A$280:$A$299,MATCH($F290,$D$280:$D$299,0)),"")</f>
        <v/>
      </c>
      <c r="H290" s="38" t="str">
        <f>IFERROR(INDEX($B$280:$B$299,MATCH($F290,$D$280:$D$299,0)),"")</f>
        <v/>
      </c>
    </row>
    <row r="291">
      <c r="A291" s="65" t="str">
        <f>Config!$B$21&amp;""</f>
        <v/>
      </c>
      <c r="B291" s="38" t="str">
        <f>IF(Config!$C$21="","TPC",Config!$C$21)</f>
        <v>TPC</v>
      </c>
      <c r="C291" s="38">
        <f>IF($A291="",0,IF(OR($B$2="Todos",AND($C$2=2,$B291=$D$2),AND($C$2=1,$A291=$D$2)),1,0))</f>
        <v>0</v>
      </c>
      <c r="D291" s="38" t="str">
        <f>IF($C291=1,SUM($C$280:$C291),"")</f>
        <v/>
      </c>
      <c r="F291" s="38">
        <v>12</v>
      </c>
      <c r="G291" s="65" t="str">
        <f>IFERROR(INDEX($A$280:$A$299,MATCH($F291,$D$280:$D$299,0)),"")</f>
        <v/>
      </c>
      <c r="H291" s="38" t="str">
        <f>IFERROR(INDEX($B$280:$B$299,MATCH($F291,$D$280:$D$299,0)),"")</f>
        <v/>
      </c>
    </row>
    <row r="292">
      <c r="A292" s="65" t="str">
        <f>Config!$B$22&amp;""</f>
        <v/>
      </c>
      <c r="B292" s="38" t="str">
        <f>IF(Config!$C$22="","TPC",Config!$C$22)</f>
        <v>TPC</v>
      </c>
      <c r="C292" s="38">
        <f>IF($A292="",0,IF(OR($B$2="Todos",AND($C$2=2,$B292=$D$2),AND($C$2=1,$A292=$D$2)),1,0))</f>
        <v>0</v>
      </c>
      <c r="D292" s="38" t="str">
        <f>IF($C292=1,SUM($C$280:$C292),"")</f>
        <v/>
      </c>
      <c r="F292" s="38">
        <v>13</v>
      </c>
      <c r="G292" s="65" t="str">
        <f>IFERROR(INDEX($A$280:$A$299,MATCH($F292,$D$280:$D$299,0)),"")</f>
        <v/>
      </c>
      <c r="H292" s="38" t="str">
        <f>IFERROR(INDEX($B$280:$B$299,MATCH($F292,$D$280:$D$299,0)),"")</f>
        <v/>
      </c>
    </row>
    <row r="293">
      <c r="A293" s="65" t="str">
        <f>Config!$B$23&amp;""</f>
        <v/>
      </c>
      <c r="B293" s="38" t="str">
        <f>IF(Config!$C$23="","TPC",Config!$C$23)</f>
        <v>TPC</v>
      </c>
      <c r="C293" s="38">
        <f>IF($A293="",0,IF(OR($B$2="Todos",AND($C$2=2,$B293=$D$2),AND($C$2=1,$A293=$D$2)),1,0))</f>
        <v>0</v>
      </c>
      <c r="D293" s="38" t="str">
        <f>IF($C293=1,SUM($C$280:$C293),"")</f>
        <v/>
      </c>
      <c r="F293" s="38">
        <v>14</v>
      </c>
      <c r="G293" s="65" t="str">
        <f>IFERROR(INDEX($A$280:$A$299,MATCH($F293,$D$280:$D$299,0)),"")</f>
        <v/>
      </c>
      <c r="H293" s="38" t="str">
        <f>IFERROR(INDEX($B$280:$B$299,MATCH($F293,$D$280:$D$299,0)),"")</f>
        <v/>
      </c>
    </row>
    <row r="294">
      <c r="A294" s="65" t="str">
        <f>Config!$B$24&amp;""</f>
        <v/>
      </c>
      <c r="B294" s="38" t="str">
        <f>IF(Config!$C$24="","TPC",Config!$C$24)</f>
        <v>TPC</v>
      </c>
      <c r="C294" s="38">
        <f>IF($A294="",0,IF(OR($B$2="Todos",AND($C$2=2,$B294=$D$2),AND($C$2=1,$A294=$D$2)),1,0))</f>
        <v>0</v>
      </c>
      <c r="D294" s="38" t="str">
        <f>IF($C294=1,SUM($C$280:$C294),"")</f>
        <v/>
      </c>
      <c r="F294" s="38">
        <v>15</v>
      </c>
      <c r="G294" s="65" t="str">
        <f>IFERROR(INDEX($A$280:$A$299,MATCH($F294,$D$280:$D$299,0)),"")</f>
        <v/>
      </c>
      <c r="H294" s="38" t="str">
        <f>IFERROR(INDEX($B$280:$B$299,MATCH($F294,$D$280:$D$299,0)),"")</f>
        <v/>
      </c>
    </row>
    <row r="295">
      <c r="A295" s="65" t="str">
        <f>Config!$B$25&amp;""</f>
        <v/>
      </c>
      <c r="B295" s="38" t="str">
        <f>IF(Config!$C$25="","TPC",Config!$C$25)</f>
        <v>TPC</v>
      </c>
      <c r="C295" s="38">
        <f>IF($A295="",0,IF(OR($B$2="Todos",AND($C$2=2,$B295=$D$2),AND($C$2=1,$A295=$D$2)),1,0))</f>
        <v>0</v>
      </c>
      <c r="D295" s="38" t="str">
        <f>IF($C295=1,SUM($C$280:$C295),"")</f>
        <v/>
      </c>
      <c r="F295" s="38">
        <v>16</v>
      </c>
      <c r="G295" s="65" t="str">
        <f>IFERROR(INDEX($A$280:$A$299,MATCH($F295,$D$280:$D$299,0)),"")</f>
        <v/>
      </c>
      <c r="H295" s="38" t="str">
        <f>IFERROR(INDEX($B$280:$B$299,MATCH($F295,$D$280:$D$299,0)),"")</f>
        <v/>
      </c>
    </row>
    <row r="296">
      <c r="A296" s="65" t="str">
        <f>Config!$B$26&amp;""</f>
        <v/>
      </c>
      <c r="B296" s="38" t="str">
        <f>IF(Config!$C$26="","TPC",Config!$C$26)</f>
        <v>TPC</v>
      </c>
      <c r="C296" s="38">
        <f>IF($A296="",0,IF(OR($B$2="Todos",AND($C$2=2,$B296=$D$2),AND($C$2=1,$A296=$D$2)),1,0))</f>
        <v>0</v>
      </c>
      <c r="D296" s="38" t="str">
        <f>IF($C296=1,SUM($C$280:$C296),"")</f>
        <v/>
      </c>
      <c r="F296" s="38">
        <v>17</v>
      </c>
      <c r="G296" s="65" t="str">
        <f>IFERROR(INDEX($A$280:$A$299,MATCH($F296,$D$280:$D$299,0)),"")</f>
        <v/>
      </c>
      <c r="H296" s="38" t="str">
        <f>IFERROR(INDEX($B$280:$B$299,MATCH($F296,$D$280:$D$299,0)),"")</f>
        <v/>
      </c>
    </row>
    <row r="297">
      <c r="A297" s="65" t="str">
        <f>Config!$B$27&amp;""</f>
        <v/>
      </c>
      <c r="B297" s="38" t="str">
        <f>IF(Config!$C$27="","TPC",Config!$C$27)</f>
        <v>TPC</v>
      </c>
      <c r="C297" s="38">
        <f>IF($A297="",0,IF(OR($B$2="Todos",AND($C$2=2,$B297=$D$2),AND($C$2=1,$A297=$D$2)),1,0))</f>
        <v>0</v>
      </c>
      <c r="D297" s="38" t="str">
        <f>IF($C297=1,SUM($C$280:$C297),"")</f>
        <v/>
      </c>
      <c r="F297" s="38">
        <v>18</v>
      </c>
      <c r="G297" s="65" t="str">
        <f>IFERROR(INDEX($A$280:$A$299,MATCH($F297,$D$280:$D$299,0)),"")</f>
        <v/>
      </c>
      <c r="H297" s="38" t="str">
        <f>IFERROR(INDEX($B$280:$B$299,MATCH($F297,$D$280:$D$299,0)),"")</f>
        <v/>
      </c>
    </row>
    <row r="298">
      <c r="A298" s="65" t="str">
        <f>Config!$B$28&amp;""</f>
        <v/>
      </c>
      <c r="B298" s="38" t="str">
        <f>IF(Config!$C$28="","TPC",Config!$C$28)</f>
        <v>TPC</v>
      </c>
      <c r="C298" s="38">
        <f>IF($A298="",0,IF(OR($B$2="Todos",AND($C$2=2,$B298=$D$2),AND($C$2=1,$A298=$D$2)),1,0))</f>
        <v>0</v>
      </c>
      <c r="D298" s="38" t="str">
        <f>IF($C298=1,SUM($C$280:$C298),"")</f>
        <v/>
      </c>
      <c r="F298" s="38">
        <v>19</v>
      </c>
      <c r="G298" s="65" t="str">
        <f>IFERROR(INDEX($A$280:$A$299,MATCH($F298,$D$280:$D$299,0)),"")</f>
        <v/>
      </c>
      <c r="H298" s="38" t="str">
        <f>IFERROR(INDEX($B$280:$B$299,MATCH($F298,$D$280:$D$299,0)),"")</f>
        <v/>
      </c>
    </row>
    <row r="299">
      <c r="A299" s="65" t="str">
        <f>Config!$B$29&amp;""</f>
        <v/>
      </c>
      <c r="B299" s="38" t="str">
        <f>IF(Config!$C$29="","TPC",Config!$C$29)</f>
        <v>TPC</v>
      </c>
      <c r="C299" s="38">
        <f>IF($A299="",0,IF(OR($B$2="Todos",AND($C$2=2,$B299=$D$2),AND($C$2=1,$A299=$D$2)),1,0))</f>
        <v>0</v>
      </c>
      <c r="D299" s="38" t="str">
        <f>IF($C299=1,SUM($C$280:$C299),"")</f>
        <v/>
      </c>
      <c r="F299" s="38">
        <v>20</v>
      </c>
      <c r="G299" s="65" t="str">
        <f>IFERROR(INDEX($A$280:$A$299,MATCH($F299,$D$280:$D$299,0)),"")</f>
        <v/>
      </c>
      <c r="H299" s="38" t="str">
        <f>IFERROR(INDEX($B$280:$B$299,MATCH($F299,$D$280:$D$299,0)),"")</f>
        <v/>
      </c>
    </row>
    <row r="301">
      <c r="A301" s="19" t="inlineStr">
        <is>
          <t xml:space="preserve">INDICADORES MEDIDOS POR CLIENTE (1 = mede) — o quadro mostra "—" quando o cliente filtrado não mede</t>
        </is>
      </c>
    </row>
    <row r="302">
      <c r="A302" s="37" t="inlineStr">
        <is>
          <t xml:space="preserve">Indicador</t>
        </is>
      </c>
      <c r="B302" s="37" t="inlineStr">
        <is>
          <t xml:space="preserve">Mede (seleção)</t>
        </is>
      </c>
      <c r="C302" s="37" t="str">
        <f>Config!$B$10&amp;""</f>
        <v>Alpargatas</v>
      </c>
      <c r="D302" s="37" t="str">
        <f>Config!$B$11&amp;""</f>
        <v>Basf</v>
      </c>
      <c r="E302" s="37" t="str">
        <f>Config!$B$12&amp;""</f>
        <v>Beautybiz</v>
      </c>
      <c r="F302" s="37" t="str">
        <f>Config!$B$13&amp;""</f>
        <v>Boticário</v>
      </c>
      <c r="G302" s="37" t="str">
        <f>Config!$B$14&amp;""</f>
        <v>Confiance</v>
      </c>
      <c r="H302" s="37" t="str">
        <f>Config!$B$15&amp;""</f>
        <v>GE Vernova</v>
      </c>
      <c r="I302" s="37" t="str">
        <f>Config!$B$16&amp;""</f>
        <v>Omnilife</v>
      </c>
      <c r="J302" s="37" t="str">
        <f>Config!$B$17&amp;""</f>
        <v>Supply</v>
      </c>
      <c r="K302" s="37" t="str">
        <f>Config!$B$18&amp;""</f>
        <v>Vedacit</v>
      </c>
      <c r="L302" s="37" t="str">
        <f>Config!$B$19&amp;""</f>
        <v>Vestas</v>
      </c>
      <c r="M302" s="37" t="str">
        <f>Config!$B$20&amp;""</f>
        <v/>
      </c>
      <c r="N302" s="37" t="str">
        <f>Config!$B$21&amp;""</f>
        <v/>
      </c>
      <c r="O302" s="37" t="str">
        <f>Config!$B$22&amp;""</f>
        <v/>
      </c>
      <c r="P302" s="37" t="str">
        <f>Config!$B$23&amp;""</f>
        <v/>
      </c>
      <c r="Q302" s="37" t="str">
        <f>Config!$B$24&amp;""</f>
        <v/>
      </c>
      <c r="R302" s="37" t="str">
        <f>Config!$B$25&amp;""</f>
        <v/>
      </c>
      <c r="S302" s="37" t="str">
        <f>Config!$B$26&amp;""</f>
        <v/>
      </c>
      <c r="T302" s="37" t="str">
        <f>Config!$B$27&amp;""</f>
        <v/>
      </c>
      <c r="U302" s="37" t="str">
        <f>Config!$B$28&amp;""</f>
        <v/>
      </c>
      <c r="V302" s="37" t="str">
        <f>Config!$B$29&amp;""</f>
        <v/>
      </c>
    </row>
    <row r="303">
      <c r="A303" s="65" t="inlineStr">
        <is>
          <t xml:space="preserve">IN · Veículos Recebidos</t>
        </is>
      </c>
      <c r="B303" s="39">
        <f>IF(OR($B$2="Todos",$C$2=2),1,IFERROR(INDEX($C$303:$V$303,MATCH($D$2,$C$302:$V$302,0)),1))</f>
        <v>1</v>
      </c>
      <c r="C303" s="38">
        <f>IF(Config!$D$35&lt;&gt;"Não",1,0)</f>
        <v>1</v>
      </c>
      <c r="D303" s="38">
        <f>IF(Config!$D$36&lt;&gt;"Não",1,0)</f>
        <v>1</v>
      </c>
      <c r="E303" s="38">
        <f>IF(Config!$D$37&lt;&gt;"Não",1,0)</f>
        <v>1</v>
      </c>
      <c r="F303" s="38">
        <f>IF(Config!$D$38&lt;&gt;"Não",1,0)</f>
        <v>1</v>
      </c>
      <c r="G303" s="38">
        <f>IF(Config!$D$39&lt;&gt;"Não",1,0)</f>
        <v>1</v>
      </c>
      <c r="H303" s="38">
        <f>IF(Config!$D$40&lt;&gt;"Não",1,0)</f>
        <v>1</v>
      </c>
      <c r="I303" s="38">
        <f>IF(Config!$D$41&lt;&gt;"Não",1,0)</f>
        <v>1</v>
      </c>
      <c r="J303" s="38">
        <f>IF(Config!$D$42&lt;&gt;"Não",1,0)</f>
        <v>1</v>
      </c>
      <c r="K303" s="38">
        <f>IF(Config!$D$43&lt;&gt;"Não",1,0)</f>
        <v>1</v>
      </c>
      <c r="L303" s="38">
        <f>IF(Config!$D$44&lt;&gt;"Não",1,0)</f>
        <v>1</v>
      </c>
      <c r="M303" s="38">
        <f>IF(Config!$D$45&lt;&gt;"Não",1,0)</f>
        <v>1</v>
      </c>
      <c r="N303" s="38">
        <f>IF(Config!$D$46&lt;&gt;"Não",1,0)</f>
        <v>1</v>
      </c>
      <c r="O303" s="38">
        <f>IF(Config!$D$47&lt;&gt;"Não",1,0)</f>
        <v>1</v>
      </c>
      <c r="P303" s="38">
        <f>IF(Config!$D$48&lt;&gt;"Não",1,0)</f>
        <v>1</v>
      </c>
      <c r="Q303" s="38">
        <f>IF(Config!$D$49&lt;&gt;"Não",1,0)</f>
        <v>1</v>
      </c>
      <c r="R303" s="38">
        <f>IF(Config!$D$50&lt;&gt;"Não",1,0)</f>
        <v>1</v>
      </c>
      <c r="S303" s="38">
        <f>IF(Config!$D$51&lt;&gt;"Não",1,0)</f>
        <v>1</v>
      </c>
      <c r="T303" s="38">
        <f>IF(Config!$D$52&lt;&gt;"Não",1,0)</f>
        <v>1</v>
      </c>
      <c r="U303" s="38">
        <f>IF(Config!$D$53&lt;&gt;"Não",1,0)</f>
        <v>1</v>
      </c>
      <c r="V303" s="38">
        <f>IF(Config!$D$54&lt;&gt;"Não",1,0)</f>
        <v>1</v>
      </c>
    </row>
    <row r="304">
      <c r="A304" s="65" t="inlineStr">
        <is>
          <t xml:space="preserve">IN · Pallets Movimentados</t>
        </is>
      </c>
      <c r="B304" s="39">
        <f>IF(OR($B$2="Todos",$C$2=2),1,IFERROR(INDEX($C$304:$V$304,MATCH($D$2,$C$302:$V$302,0)),1))</f>
        <v>1</v>
      </c>
      <c r="C304" s="38">
        <f>IF(Config!$E$35&lt;&gt;"Não",1,0)</f>
        <v>0</v>
      </c>
      <c r="D304" s="38">
        <f>IF(Config!$E$36&lt;&gt;"Não",1,0)</f>
        <v>1</v>
      </c>
      <c r="E304" s="38">
        <f>IF(Config!$E$37&lt;&gt;"Não",1,0)</f>
        <v>1</v>
      </c>
      <c r="F304" s="38">
        <f>IF(Config!$E$38&lt;&gt;"Não",1,0)</f>
        <v>1</v>
      </c>
      <c r="G304" s="38">
        <f>IF(Config!$E$39&lt;&gt;"Não",1,0)</f>
        <v>1</v>
      </c>
      <c r="H304" s="38">
        <f>IF(Config!$E$40&lt;&gt;"Não",1,0)</f>
        <v>1</v>
      </c>
      <c r="I304" s="38">
        <f>IF(Config!$E$41&lt;&gt;"Não",1,0)</f>
        <v>1</v>
      </c>
      <c r="J304" s="38">
        <f>IF(Config!$E$42&lt;&gt;"Não",1,0)</f>
        <v>1</v>
      </c>
      <c r="K304" s="38">
        <f>IF(Config!$E$43&lt;&gt;"Não",1,0)</f>
        <v>1</v>
      </c>
      <c r="L304" s="38">
        <f>IF(Config!$E$44&lt;&gt;"Não",1,0)</f>
        <v>0</v>
      </c>
      <c r="M304" s="38">
        <f>IF(Config!$E$45&lt;&gt;"Não",1,0)</f>
        <v>1</v>
      </c>
      <c r="N304" s="38">
        <f>IF(Config!$E$46&lt;&gt;"Não",1,0)</f>
        <v>1</v>
      </c>
      <c r="O304" s="38">
        <f>IF(Config!$E$47&lt;&gt;"Não",1,0)</f>
        <v>1</v>
      </c>
      <c r="P304" s="38">
        <f>IF(Config!$E$48&lt;&gt;"Não",1,0)</f>
        <v>1</v>
      </c>
      <c r="Q304" s="38">
        <f>IF(Config!$E$49&lt;&gt;"Não",1,0)</f>
        <v>1</v>
      </c>
      <c r="R304" s="38">
        <f>IF(Config!$E$50&lt;&gt;"Não",1,0)</f>
        <v>1</v>
      </c>
      <c r="S304" s="38">
        <f>IF(Config!$E$51&lt;&gt;"Não",1,0)</f>
        <v>1</v>
      </c>
      <c r="T304" s="38">
        <f>IF(Config!$E$52&lt;&gt;"Não",1,0)</f>
        <v>1</v>
      </c>
      <c r="U304" s="38">
        <f>IF(Config!$E$53&lt;&gt;"Não",1,0)</f>
        <v>1</v>
      </c>
      <c r="V304" s="38">
        <f>IF(Config!$E$54&lt;&gt;"Não",1,0)</f>
        <v>1</v>
      </c>
    </row>
    <row r="305">
      <c r="A305" s="65" t="inlineStr">
        <is>
          <t xml:space="preserve">IN · Toneladas Movimentadas</t>
        </is>
      </c>
      <c r="B305" s="39">
        <f>IF(OR($B$2="Todos",$C$2=2),1,IFERROR(INDEX($C$305:$V$305,MATCH($D$2,$C$302:$V$302,0)),1))</f>
        <v>1</v>
      </c>
      <c r="C305" s="38">
        <f>IF(Config!$F$35&lt;&gt;"Não",1,0)</f>
        <v>0</v>
      </c>
      <c r="D305" s="38">
        <f>IF(Config!$F$36&lt;&gt;"Não",1,0)</f>
        <v>1</v>
      </c>
      <c r="E305" s="38">
        <f>IF(Config!$F$37&lt;&gt;"Não",1,0)</f>
        <v>0</v>
      </c>
      <c r="F305" s="38">
        <f>IF(Config!$F$38&lt;&gt;"Não",1,0)</f>
        <v>0</v>
      </c>
      <c r="G305" s="38">
        <f>IF(Config!$F$39&lt;&gt;"Não",1,0)</f>
        <v>1</v>
      </c>
      <c r="H305" s="38">
        <f>IF(Config!$F$40&lt;&gt;"Não",1,0)</f>
        <v>0</v>
      </c>
      <c r="I305" s="38">
        <f>IF(Config!$F$41&lt;&gt;"Não",1,0)</f>
        <v>0</v>
      </c>
      <c r="J305" s="38">
        <f>IF(Config!$F$42&lt;&gt;"Não",1,0)</f>
        <v>1</v>
      </c>
      <c r="K305" s="38">
        <f>IF(Config!$F$43&lt;&gt;"Não",1,0)</f>
        <v>0</v>
      </c>
      <c r="L305" s="38">
        <f>IF(Config!$F$44&lt;&gt;"Não",1,0)</f>
        <v>0</v>
      </c>
      <c r="M305" s="38">
        <f>IF(Config!$F$45&lt;&gt;"Não",1,0)</f>
        <v>1</v>
      </c>
      <c r="N305" s="38">
        <f>IF(Config!$F$46&lt;&gt;"Não",1,0)</f>
        <v>1</v>
      </c>
      <c r="O305" s="38">
        <f>IF(Config!$F$47&lt;&gt;"Não",1,0)</f>
        <v>1</v>
      </c>
      <c r="P305" s="38">
        <f>IF(Config!$F$48&lt;&gt;"Não",1,0)</f>
        <v>1</v>
      </c>
      <c r="Q305" s="38">
        <f>IF(Config!$F$49&lt;&gt;"Não",1,0)</f>
        <v>1</v>
      </c>
      <c r="R305" s="38">
        <f>IF(Config!$F$50&lt;&gt;"Não",1,0)</f>
        <v>1</v>
      </c>
      <c r="S305" s="38">
        <f>IF(Config!$F$51&lt;&gt;"Não",1,0)</f>
        <v>1</v>
      </c>
      <c r="T305" s="38">
        <f>IF(Config!$F$52&lt;&gt;"Não",1,0)</f>
        <v>1</v>
      </c>
      <c r="U305" s="38">
        <f>IF(Config!$F$53&lt;&gt;"Não",1,0)</f>
        <v>1</v>
      </c>
      <c r="V305" s="38">
        <f>IF(Config!$F$54&lt;&gt;"Não",1,0)</f>
        <v>1</v>
      </c>
    </row>
    <row r="306">
      <c r="A306" s="65" t="inlineStr">
        <is>
          <t xml:space="preserve">IN · Linhas NF</t>
        </is>
      </c>
      <c r="B306" s="39">
        <f>IF(OR($B$2="Todos",$C$2=2),1,IFERROR(INDEX($C$306:$V$306,MATCH($D$2,$C$302:$V$302,0)),1))</f>
        <v>1</v>
      </c>
      <c r="C306" s="38">
        <f>IF(Config!$G$35&lt;&gt;"Não",1,0)</f>
        <v>0</v>
      </c>
      <c r="D306" s="38">
        <f>IF(Config!$G$36&lt;&gt;"Não",1,0)</f>
        <v>0</v>
      </c>
      <c r="E306" s="38">
        <f>IF(Config!$G$37&lt;&gt;"Não",1,0)</f>
        <v>0</v>
      </c>
      <c r="F306" s="38">
        <f>IF(Config!$G$38&lt;&gt;"Não",1,0)</f>
        <v>0</v>
      </c>
      <c r="G306" s="38">
        <f>IF(Config!$G$39&lt;&gt;"Não",1,0)</f>
        <v>0</v>
      </c>
      <c r="H306" s="38">
        <f>IF(Config!$G$40&lt;&gt;"Não",1,0)</f>
        <v>1</v>
      </c>
      <c r="I306" s="38">
        <f>IF(Config!$G$41&lt;&gt;"Não",1,0)</f>
        <v>0</v>
      </c>
      <c r="J306" s="38">
        <f>IF(Config!$G$42&lt;&gt;"Não",1,0)</f>
        <v>0</v>
      </c>
      <c r="K306" s="38">
        <f>IF(Config!$G$43&lt;&gt;"Não",1,0)</f>
        <v>0</v>
      </c>
      <c r="L306" s="38">
        <f>IF(Config!$G$44&lt;&gt;"Não",1,0)</f>
        <v>1</v>
      </c>
      <c r="M306" s="38">
        <f>IF(Config!$G$45&lt;&gt;"Não",1,0)</f>
        <v>0</v>
      </c>
      <c r="N306" s="38">
        <f>IF(Config!$G$46&lt;&gt;"Não",1,0)</f>
        <v>0</v>
      </c>
      <c r="O306" s="38">
        <f>IF(Config!$G$47&lt;&gt;"Não",1,0)</f>
        <v>0</v>
      </c>
      <c r="P306" s="38">
        <f>IF(Config!$G$48&lt;&gt;"Não",1,0)</f>
        <v>0</v>
      </c>
      <c r="Q306" s="38">
        <f>IF(Config!$G$49&lt;&gt;"Não",1,0)</f>
        <v>0</v>
      </c>
      <c r="R306" s="38">
        <f>IF(Config!$G$50&lt;&gt;"Não",1,0)</f>
        <v>0</v>
      </c>
      <c r="S306" s="38">
        <f>IF(Config!$G$51&lt;&gt;"Não",1,0)</f>
        <v>0</v>
      </c>
      <c r="T306" s="38">
        <f>IF(Config!$G$52&lt;&gt;"Não",1,0)</f>
        <v>0</v>
      </c>
      <c r="U306" s="38">
        <f>IF(Config!$G$53&lt;&gt;"Não",1,0)</f>
        <v>0</v>
      </c>
      <c r="V306" s="38">
        <f>IF(Config!$G$54&lt;&gt;"Não",1,0)</f>
        <v>0</v>
      </c>
    </row>
    <row r="307">
      <c r="A307" s="65" t="inlineStr">
        <is>
          <t xml:space="preserve">IN · Caixas Movimentadas</t>
        </is>
      </c>
      <c r="B307" s="39">
        <f>IF(OR($B$2="Todos",$C$2=2),1,IFERROR(INDEX($C$307:$V$307,MATCH($D$2,$C$302:$V$302,0)),1))</f>
        <v>1</v>
      </c>
      <c r="C307" s="38">
        <f>IF(Config!$H$35&lt;&gt;"Não",1,0)</f>
        <v>1</v>
      </c>
      <c r="D307" s="38">
        <f>IF(Config!$H$36&lt;&gt;"Não",1,0)</f>
        <v>0</v>
      </c>
      <c r="E307" s="38">
        <f>IF(Config!$H$37&lt;&gt;"Não",1,0)</f>
        <v>1</v>
      </c>
      <c r="F307" s="38">
        <f>IF(Config!$H$38&lt;&gt;"Não",1,0)</f>
        <v>1</v>
      </c>
      <c r="G307" s="38">
        <f>IF(Config!$H$39&lt;&gt;"Não",1,0)</f>
        <v>0</v>
      </c>
      <c r="H307" s="38">
        <f>IF(Config!$H$40&lt;&gt;"Não",1,0)</f>
        <v>0</v>
      </c>
      <c r="I307" s="38">
        <f>IF(Config!$H$41&lt;&gt;"Não",1,0)</f>
        <v>0</v>
      </c>
      <c r="J307" s="38">
        <f>IF(Config!$H$42&lt;&gt;"Não",1,0)</f>
        <v>0</v>
      </c>
      <c r="K307" s="38">
        <f>IF(Config!$H$43&lt;&gt;"Não",1,0)</f>
        <v>0</v>
      </c>
      <c r="L307" s="38">
        <f>IF(Config!$H$44&lt;&gt;"Não",1,0)</f>
        <v>0</v>
      </c>
      <c r="M307" s="38">
        <f>IF(Config!$H$45&lt;&gt;"Não",1,0)</f>
        <v>0</v>
      </c>
      <c r="N307" s="38">
        <f>IF(Config!$H$46&lt;&gt;"Não",1,0)</f>
        <v>0</v>
      </c>
      <c r="O307" s="38">
        <f>IF(Config!$H$47&lt;&gt;"Não",1,0)</f>
        <v>0</v>
      </c>
      <c r="P307" s="38">
        <f>IF(Config!$H$48&lt;&gt;"Não",1,0)</f>
        <v>0</v>
      </c>
      <c r="Q307" s="38">
        <f>IF(Config!$H$49&lt;&gt;"Não",1,0)</f>
        <v>0</v>
      </c>
      <c r="R307" s="38">
        <f>IF(Config!$H$50&lt;&gt;"Não",1,0)</f>
        <v>0</v>
      </c>
      <c r="S307" s="38">
        <f>IF(Config!$H$51&lt;&gt;"Não",1,0)</f>
        <v>0</v>
      </c>
      <c r="T307" s="38">
        <f>IF(Config!$H$52&lt;&gt;"Não",1,0)</f>
        <v>0</v>
      </c>
      <c r="U307" s="38">
        <f>IF(Config!$H$53&lt;&gt;"Não",1,0)</f>
        <v>0</v>
      </c>
      <c r="V307" s="38">
        <f>IF(Config!$H$54&lt;&gt;"Não",1,0)</f>
        <v>0</v>
      </c>
    </row>
    <row r="308">
      <c r="A308" s="65" t="inlineStr">
        <is>
          <t xml:space="preserve">IN · Itens Recebidos</t>
        </is>
      </c>
      <c r="B308" s="39">
        <f>IF(OR($B$2="Todos",$C$2=2),1,IFERROR(INDEX($C$308:$V$308,MATCH($D$2,$C$302:$V$302,0)),1))</f>
        <v>1</v>
      </c>
      <c r="C308" s="38">
        <f>IF(Config!$I$35&lt;&gt;"Não",1,0)</f>
        <v>0</v>
      </c>
      <c r="D308" s="38">
        <f>IF(Config!$I$36&lt;&gt;"Não",1,0)</f>
        <v>0</v>
      </c>
      <c r="E308" s="38">
        <f>IF(Config!$I$37&lt;&gt;"Não",1,0)</f>
        <v>0</v>
      </c>
      <c r="F308" s="38">
        <f>IF(Config!$I$38&lt;&gt;"Não",1,0)</f>
        <v>0</v>
      </c>
      <c r="G308" s="38">
        <f>IF(Config!$I$39&lt;&gt;"Não",1,0)</f>
        <v>0</v>
      </c>
      <c r="H308" s="38">
        <f>IF(Config!$I$40&lt;&gt;"Não",1,0)</f>
        <v>0</v>
      </c>
      <c r="I308" s="38">
        <f>IF(Config!$I$41&lt;&gt;"Não",1,0)</f>
        <v>0</v>
      </c>
      <c r="J308" s="38">
        <f>IF(Config!$I$42&lt;&gt;"Não",1,0)</f>
        <v>0</v>
      </c>
      <c r="K308" s="38">
        <f>IF(Config!$I$43&lt;&gt;"Não",1,0)</f>
        <v>0</v>
      </c>
      <c r="L308" s="38">
        <f>IF(Config!$I$44&lt;&gt;"Não",1,0)</f>
        <v>0</v>
      </c>
      <c r="M308" s="38">
        <f>IF(Config!$I$45&lt;&gt;"Não",1,0)</f>
        <v>0</v>
      </c>
      <c r="N308" s="38">
        <f>IF(Config!$I$46&lt;&gt;"Não",1,0)</f>
        <v>0</v>
      </c>
      <c r="O308" s="38">
        <f>IF(Config!$I$47&lt;&gt;"Não",1,0)</f>
        <v>0</v>
      </c>
      <c r="P308" s="38">
        <f>IF(Config!$I$48&lt;&gt;"Não",1,0)</f>
        <v>0</v>
      </c>
      <c r="Q308" s="38">
        <f>IF(Config!$I$49&lt;&gt;"Não",1,0)</f>
        <v>0</v>
      </c>
      <c r="R308" s="38">
        <f>IF(Config!$I$50&lt;&gt;"Não",1,0)</f>
        <v>0</v>
      </c>
      <c r="S308" s="38">
        <f>IF(Config!$I$51&lt;&gt;"Não",1,0)</f>
        <v>0</v>
      </c>
      <c r="T308" s="38">
        <f>IF(Config!$I$52&lt;&gt;"Não",1,0)</f>
        <v>0</v>
      </c>
      <c r="U308" s="38">
        <f>IF(Config!$I$53&lt;&gt;"Não",1,0)</f>
        <v>0</v>
      </c>
      <c r="V308" s="38">
        <f>IF(Config!$I$54&lt;&gt;"Não",1,0)</f>
        <v>0</v>
      </c>
    </row>
    <row r="309">
      <c r="A309" s="65" t="inlineStr">
        <is>
          <t xml:space="preserve">IN · Itens Recebidos CX Mista</t>
        </is>
      </c>
      <c r="B309" s="39">
        <f>IF(OR($B$2="Todos",$C$2=2),1,IFERROR(INDEX($C$309:$V$309,MATCH($D$2,$C$302:$V$302,0)),1))</f>
        <v>1</v>
      </c>
      <c r="C309" s="38">
        <f>IF(Config!$J$35&lt;&gt;"Não",1,0)</f>
        <v>0</v>
      </c>
      <c r="D309" s="38">
        <f>IF(Config!$J$36&lt;&gt;"Não",1,0)</f>
        <v>0</v>
      </c>
      <c r="E309" s="38">
        <f>IF(Config!$J$37&lt;&gt;"Não",1,0)</f>
        <v>0</v>
      </c>
      <c r="F309" s="38">
        <f>IF(Config!$J$38&lt;&gt;"Não",1,0)</f>
        <v>1</v>
      </c>
      <c r="G309" s="38">
        <f>IF(Config!$J$39&lt;&gt;"Não",1,0)</f>
        <v>0</v>
      </c>
      <c r="H309" s="38">
        <f>IF(Config!$J$40&lt;&gt;"Não",1,0)</f>
        <v>0</v>
      </c>
      <c r="I309" s="38">
        <f>IF(Config!$J$41&lt;&gt;"Não",1,0)</f>
        <v>0</v>
      </c>
      <c r="J309" s="38">
        <f>IF(Config!$J$42&lt;&gt;"Não",1,0)</f>
        <v>0</v>
      </c>
      <c r="K309" s="38">
        <f>IF(Config!$J$43&lt;&gt;"Não",1,0)</f>
        <v>0</v>
      </c>
      <c r="L309" s="38">
        <f>IF(Config!$J$44&lt;&gt;"Não",1,0)</f>
        <v>0</v>
      </c>
      <c r="M309" s="38">
        <f>IF(Config!$J$45&lt;&gt;"Não",1,0)</f>
        <v>0</v>
      </c>
      <c r="N309" s="38">
        <f>IF(Config!$J$46&lt;&gt;"Não",1,0)</f>
        <v>0</v>
      </c>
      <c r="O309" s="38">
        <f>IF(Config!$J$47&lt;&gt;"Não",1,0)</f>
        <v>0</v>
      </c>
      <c r="P309" s="38">
        <f>IF(Config!$J$48&lt;&gt;"Não",1,0)</f>
        <v>0</v>
      </c>
      <c r="Q309" s="38">
        <f>IF(Config!$J$49&lt;&gt;"Não",1,0)</f>
        <v>0</v>
      </c>
      <c r="R309" s="38">
        <f>IF(Config!$J$50&lt;&gt;"Não",1,0)</f>
        <v>0</v>
      </c>
      <c r="S309" s="38">
        <f>IF(Config!$J$51&lt;&gt;"Não",1,0)</f>
        <v>0</v>
      </c>
      <c r="T309" s="38">
        <f>IF(Config!$J$52&lt;&gt;"Não",1,0)</f>
        <v>0</v>
      </c>
      <c r="U309" s="38">
        <f>IF(Config!$J$53&lt;&gt;"Não",1,0)</f>
        <v>0</v>
      </c>
      <c r="V309" s="38">
        <f>IF(Config!$J$54&lt;&gt;"Não",1,0)</f>
        <v>0</v>
      </c>
    </row>
    <row r="310">
      <c r="A310" s="65" t="inlineStr">
        <is>
          <t xml:space="preserve">IN · Caixas Fechadas</t>
        </is>
      </c>
      <c r="B310" s="39">
        <f>IF(OR($B$2="Todos",$C$2=2),1,IFERROR(INDEX($C$310:$V$310,MATCH($D$2,$C$302:$V$302,0)),1))</f>
        <v>1</v>
      </c>
      <c r="C310" s="38">
        <f>IF(Config!$K$35&lt;&gt;"Não",1,0)</f>
        <v>0</v>
      </c>
      <c r="D310" s="38">
        <f>IF(Config!$K$36&lt;&gt;"Não",1,0)</f>
        <v>0</v>
      </c>
      <c r="E310" s="38">
        <f>IF(Config!$K$37&lt;&gt;"Não",1,0)</f>
        <v>0</v>
      </c>
      <c r="F310" s="38">
        <f>IF(Config!$K$38&lt;&gt;"Não",1,0)</f>
        <v>1</v>
      </c>
      <c r="G310" s="38">
        <f>IF(Config!$K$39&lt;&gt;"Não",1,0)</f>
        <v>0</v>
      </c>
      <c r="H310" s="38">
        <f>IF(Config!$K$40&lt;&gt;"Não",1,0)</f>
        <v>0</v>
      </c>
      <c r="I310" s="38">
        <f>IF(Config!$K$41&lt;&gt;"Não",1,0)</f>
        <v>0</v>
      </c>
      <c r="J310" s="38">
        <f>IF(Config!$K$42&lt;&gt;"Não",1,0)</f>
        <v>0</v>
      </c>
      <c r="K310" s="38">
        <f>IF(Config!$K$43&lt;&gt;"Não",1,0)</f>
        <v>0</v>
      </c>
      <c r="L310" s="38">
        <f>IF(Config!$K$44&lt;&gt;"Não",1,0)</f>
        <v>0</v>
      </c>
      <c r="M310" s="38">
        <f>IF(Config!$K$45&lt;&gt;"Não",1,0)</f>
        <v>0</v>
      </c>
      <c r="N310" s="38">
        <f>IF(Config!$K$46&lt;&gt;"Não",1,0)</f>
        <v>0</v>
      </c>
      <c r="O310" s="38">
        <f>IF(Config!$K$47&lt;&gt;"Não",1,0)</f>
        <v>0</v>
      </c>
      <c r="P310" s="38">
        <f>IF(Config!$K$48&lt;&gt;"Não",1,0)</f>
        <v>0</v>
      </c>
      <c r="Q310" s="38">
        <f>IF(Config!$K$49&lt;&gt;"Não",1,0)</f>
        <v>0</v>
      </c>
      <c r="R310" s="38">
        <f>IF(Config!$K$50&lt;&gt;"Não",1,0)</f>
        <v>0</v>
      </c>
      <c r="S310" s="38">
        <f>IF(Config!$K$51&lt;&gt;"Não",1,0)</f>
        <v>0</v>
      </c>
      <c r="T310" s="38">
        <f>IF(Config!$K$52&lt;&gt;"Não",1,0)</f>
        <v>0</v>
      </c>
      <c r="U310" s="38">
        <f>IF(Config!$K$53&lt;&gt;"Não",1,0)</f>
        <v>0</v>
      </c>
      <c r="V310" s="38">
        <f>IF(Config!$K$54&lt;&gt;"Não",1,0)</f>
        <v>0</v>
      </c>
    </row>
    <row r="311">
      <c r="A311" s="65" t="inlineStr">
        <is>
          <t xml:space="preserve">IN · Caixas Mistas Recebidas</t>
        </is>
      </c>
      <c r="B311" s="39">
        <f>IF(OR($B$2="Todos",$C$2=2),1,IFERROR(INDEX($C$311:$V$311,MATCH($D$2,$C$302:$V$302,0)),1))</f>
        <v>1</v>
      </c>
      <c r="C311" s="38">
        <f>IF(Config!$L$35&lt;&gt;"Não",1,0)</f>
        <v>0</v>
      </c>
      <c r="D311" s="38">
        <f>IF(Config!$L$36&lt;&gt;"Não",1,0)</f>
        <v>0</v>
      </c>
      <c r="E311" s="38">
        <f>IF(Config!$L$37&lt;&gt;"Não",1,0)</f>
        <v>0</v>
      </c>
      <c r="F311" s="38">
        <f>IF(Config!$L$38&lt;&gt;"Não",1,0)</f>
        <v>1</v>
      </c>
      <c r="G311" s="38">
        <f>IF(Config!$L$39&lt;&gt;"Não",1,0)</f>
        <v>0</v>
      </c>
      <c r="H311" s="38">
        <f>IF(Config!$L$40&lt;&gt;"Não",1,0)</f>
        <v>0</v>
      </c>
      <c r="I311" s="38">
        <f>IF(Config!$L$41&lt;&gt;"Não",1,0)</f>
        <v>0</v>
      </c>
      <c r="J311" s="38">
        <f>IF(Config!$L$42&lt;&gt;"Não",1,0)</f>
        <v>0</v>
      </c>
      <c r="K311" s="38">
        <f>IF(Config!$L$43&lt;&gt;"Não",1,0)</f>
        <v>0</v>
      </c>
      <c r="L311" s="38">
        <f>IF(Config!$L$44&lt;&gt;"Não",1,0)</f>
        <v>0</v>
      </c>
      <c r="M311" s="38">
        <f>IF(Config!$L$45&lt;&gt;"Não",1,0)</f>
        <v>0</v>
      </c>
      <c r="N311" s="38">
        <f>IF(Config!$L$46&lt;&gt;"Não",1,0)</f>
        <v>0</v>
      </c>
      <c r="O311" s="38">
        <f>IF(Config!$L$47&lt;&gt;"Não",1,0)</f>
        <v>0</v>
      </c>
      <c r="P311" s="38">
        <f>IF(Config!$L$48&lt;&gt;"Não",1,0)</f>
        <v>0</v>
      </c>
      <c r="Q311" s="38">
        <f>IF(Config!$L$49&lt;&gt;"Não",1,0)</f>
        <v>0</v>
      </c>
      <c r="R311" s="38">
        <f>IF(Config!$L$50&lt;&gt;"Não",1,0)</f>
        <v>0</v>
      </c>
      <c r="S311" s="38">
        <f>IF(Config!$L$51&lt;&gt;"Não",1,0)</f>
        <v>0</v>
      </c>
      <c r="T311" s="38">
        <f>IF(Config!$L$52&lt;&gt;"Não",1,0)</f>
        <v>0</v>
      </c>
      <c r="U311" s="38">
        <f>IF(Config!$L$53&lt;&gt;"Não",1,0)</f>
        <v>0</v>
      </c>
      <c r="V311" s="38">
        <f>IF(Config!$L$54&lt;&gt;"Não",1,0)</f>
        <v>0</v>
      </c>
    </row>
    <row r="312">
      <c r="A312" s="65" t="inlineStr">
        <is>
          <t xml:space="preserve">OUT · Veículos Expedidos</t>
        </is>
      </c>
      <c r="B312" s="39">
        <f>IF(OR($B$2="Todos",$C$2=2),1,IFERROR(INDEX($C$312:$V$312,MATCH($D$2,$C$302:$V$302,0)),1))</f>
        <v>1</v>
      </c>
      <c r="C312" s="38">
        <f>IF(Config!$M$35&lt;&gt;"Não",1,0)</f>
        <v>1</v>
      </c>
      <c r="D312" s="38">
        <f>IF(Config!$M$36&lt;&gt;"Não",1,0)</f>
        <v>1</v>
      </c>
      <c r="E312" s="38">
        <f>IF(Config!$M$37&lt;&gt;"Não",1,0)</f>
        <v>1</v>
      </c>
      <c r="F312" s="38">
        <f>IF(Config!$M$38&lt;&gt;"Não",1,0)</f>
        <v>1</v>
      </c>
      <c r="G312" s="38">
        <f>IF(Config!$M$39&lt;&gt;"Não",1,0)</f>
        <v>1</v>
      </c>
      <c r="H312" s="38">
        <f>IF(Config!$M$40&lt;&gt;"Não",1,0)</f>
        <v>1</v>
      </c>
      <c r="I312" s="38">
        <f>IF(Config!$M$41&lt;&gt;"Não",1,0)</f>
        <v>1</v>
      </c>
      <c r="J312" s="38">
        <f>IF(Config!$M$42&lt;&gt;"Não",1,0)</f>
        <v>1</v>
      </c>
      <c r="K312" s="38">
        <f>IF(Config!$M$43&lt;&gt;"Não",1,0)</f>
        <v>1</v>
      </c>
      <c r="L312" s="38">
        <f>IF(Config!$M$44&lt;&gt;"Não",1,0)</f>
        <v>1</v>
      </c>
      <c r="M312" s="38">
        <f>IF(Config!$M$45&lt;&gt;"Não",1,0)</f>
        <v>1</v>
      </c>
      <c r="N312" s="38">
        <f>IF(Config!$M$46&lt;&gt;"Não",1,0)</f>
        <v>1</v>
      </c>
      <c r="O312" s="38">
        <f>IF(Config!$M$47&lt;&gt;"Não",1,0)</f>
        <v>1</v>
      </c>
      <c r="P312" s="38">
        <f>IF(Config!$M$48&lt;&gt;"Não",1,0)</f>
        <v>1</v>
      </c>
      <c r="Q312" s="38">
        <f>IF(Config!$M$49&lt;&gt;"Não",1,0)</f>
        <v>1</v>
      </c>
      <c r="R312" s="38">
        <f>IF(Config!$M$50&lt;&gt;"Não",1,0)</f>
        <v>1</v>
      </c>
      <c r="S312" s="38">
        <f>IF(Config!$M$51&lt;&gt;"Não",1,0)</f>
        <v>1</v>
      </c>
      <c r="T312" s="38">
        <f>IF(Config!$M$52&lt;&gt;"Não",1,0)</f>
        <v>1</v>
      </c>
      <c r="U312" s="38">
        <f>IF(Config!$M$53&lt;&gt;"Não",1,0)</f>
        <v>1</v>
      </c>
      <c r="V312" s="38">
        <f>IF(Config!$M$54&lt;&gt;"Não",1,0)</f>
        <v>1</v>
      </c>
    </row>
    <row r="313">
      <c r="A313" s="65" t="inlineStr">
        <is>
          <t xml:space="preserve">OUT · Pedidos Expedidos</t>
        </is>
      </c>
      <c r="B313" s="39">
        <f>IF(OR($B$2="Todos",$C$2=2),1,IFERROR(INDEX($C$313:$V$313,MATCH($D$2,$C$302:$V$302,0)),1))</f>
        <v>1</v>
      </c>
      <c r="C313" s="38">
        <f>IF(Config!$N$35&lt;&gt;"Não",1,0)</f>
        <v>0</v>
      </c>
      <c r="D313" s="38">
        <f>IF(Config!$N$36&lt;&gt;"Não",1,0)</f>
        <v>0</v>
      </c>
      <c r="E313" s="38">
        <f>IF(Config!$N$37&lt;&gt;"Não",1,0)</f>
        <v>1</v>
      </c>
      <c r="F313" s="38">
        <f>IF(Config!$N$38&lt;&gt;"Não",1,0)</f>
        <v>0</v>
      </c>
      <c r="G313" s="38">
        <f>IF(Config!$N$39&lt;&gt;"Não",1,0)</f>
        <v>0</v>
      </c>
      <c r="H313" s="38">
        <f>IF(Config!$N$40&lt;&gt;"Não",1,0)</f>
        <v>0</v>
      </c>
      <c r="I313" s="38">
        <f>IF(Config!$N$41&lt;&gt;"Não",1,0)</f>
        <v>0</v>
      </c>
      <c r="J313" s="38">
        <f>IF(Config!$N$42&lt;&gt;"Não",1,0)</f>
        <v>0</v>
      </c>
      <c r="K313" s="38">
        <f>IF(Config!$N$43&lt;&gt;"Não",1,0)</f>
        <v>0</v>
      </c>
      <c r="L313" s="38">
        <f>IF(Config!$N$44&lt;&gt;"Não",1,0)</f>
        <v>0</v>
      </c>
      <c r="M313" s="38">
        <f>IF(Config!$N$45&lt;&gt;"Não",1,0)</f>
        <v>0</v>
      </c>
      <c r="N313" s="38">
        <f>IF(Config!$N$46&lt;&gt;"Não",1,0)</f>
        <v>0</v>
      </c>
      <c r="O313" s="38">
        <f>IF(Config!$N$47&lt;&gt;"Não",1,0)</f>
        <v>0</v>
      </c>
      <c r="P313" s="38">
        <f>IF(Config!$N$48&lt;&gt;"Não",1,0)</f>
        <v>0</v>
      </c>
      <c r="Q313" s="38">
        <f>IF(Config!$N$49&lt;&gt;"Não",1,0)</f>
        <v>0</v>
      </c>
      <c r="R313" s="38">
        <f>IF(Config!$N$50&lt;&gt;"Não",1,0)</f>
        <v>0</v>
      </c>
      <c r="S313" s="38">
        <f>IF(Config!$N$51&lt;&gt;"Não",1,0)</f>
        <v>0</v>
      </c>
      <c r="T313" s="38">
        <f>IF(Config!$N$52&lt;&gt;"Não",1,0)</f>
        <v>0</v>
      </c>
      <c r="U313" s="38">
        <f>IF(Config!$N$53&lt;&gt;"Não",1,0)</f>
        <v>0</v>
      </c>
      <c r="V313" s="38">
        <f>IF(Config!$N$54&lt;&gt;"Não",1,0)</f>
        <v>0</v>
      </c>
    </row>
    <row r="314">
      <c r="A314" s="65" t="inlineStr">
        <is>
          <t xml:space="preserve">OUT · Pedidos Faturados</t>
        </is>
      </c>
      <c r="B314" s="39">
        <f>IF(OR($B$2="Todos",$C$2=2),1,IFERROR(INDEX($C$314:$V$314,MATCH($D$2,$C$302:$V$302,0)),1))</f>
        <v>1</v>
      </c>
      <c r="C314" s="38">
        <f>IF(Config!$O$35&lt;&gt;"Não",1,0)</f>
        <v>0</v>
      </c>
      <c r="D314" s="38">
        <f>IF(Config!$O$36&lt;&gt;"Não",1,0)</f>
        <v>0</v>
      </c>
      <c r="E314" s="38">
        <f>IF(Config!$O$37&lt;&gt;"Não",1,0)</f>
        <v>0</v>
      </c>
      <c r="F314" s="38">
        <f>IF(Config!$O$38&lt;&gt;"Não",1,0)</f>
        <v>1</v>
      </c>
      <c r="G314" s="38">
        <f>IF(Config!$O$39&lt;&gt;"Não",1,0)</f>
        <v>0</v>
      </c>
      <c r="H314" s="38">
        <f>IF(Config!$O$40&lt;&gt;"Não",1,0)</f>
        <v>0</v>
      </c>
      <c r="I314" s="38">
        <f>IF(Config!$O$41&lt;&gt;"Não",1,0)</f>
        <v>0</v>
      </c>
      <c r="J314" s="38">
        <f>IF(Config!$O$42&lt;&gt;"Não",1,0)</f>
        <v>0</v>
      </c>
      <c r="K314" s="38">
        <f>IF(Config!$O$43&lt;&gt;"Não",1,0)</f>
        <v>0</v>
      </c>
      <c r="L314" s="38">
        <f>IF(Config!$O$44&lt;&gt;"Não",1,0)</f>
        <v>0</v>
      </c>
      <c r="M314" s="38">
        <f>IF(Config!$O$45&lt;&gt;"Não",1,0)</f>
        <v>0</v>
      </c>
      <c r="N314" s="38">
        <f>IF(Config!$O$46&lt;&gt;"Não",1,0)</f>
        <v>0</v>
      </c>
      <c r="O314" s="38">
        <f>IF(Config!$O$47&lt;&gt;"Não",1,0)</f>
        <v>0</v>
      </c>
      <c r="P314" s="38">
        <f>IF(Config!$O$48&lt;&gt;"Não",1,0)</f>
        <v>0</v>
      </c>
      <c r="Q314" s="38">
        <f>IF(Config!$O$49&lt;&gt;"Não",1,0)</f>
        <v>0</v>
      </c>
      <c r="R314" s="38">
        <f>IF(Config!$O$50&lt;&gt;"Não",1,0)</f>
        <v>0</v>
      </c>
      <c r="S314" s="38">
        <f>IF(Config!$O$51&lt;&gt;"Não",1,0)</f>
        <v>0</v>
      </c>
      <c r="T314" s="38">
        <f>IF(Config!$O$52&lt;&gt;"Não",1,0)</f>
        <v>0</v>
      </c>
      <c r="U314" s="38">
        <f>IF(Config!$O$53&lt;&gt;"Não",1,0)</f>
        <v>0</v>
      </c>
      <c r="V314" s="38">
        <f>IF(Config!$O$54&lt;&gt;"Não",1,0)</f>
        <v>0</v>
      </c>
    </row>
    <row r="315">
      <c r="A315" s="65" t="inlineStr">
        <is>
          <t xml:space="preserve">OUT · Itens Expedidos</t>
        </is>
      </c>
      <c r="B315" s="39">
        <f>IF(OR($B$2="Todos",$C$2=2),1,IFERROR(INDEX($C$315:$V$315,MATCH($D$2,$C$302:$V$302,0)),1))</f>
        <v>1</v>
      </c>
      <c r="C315" s="38">
        <f>IF(Config!$P$35&lt;&gt;"Não",1,0)</f>
        <v>0</v>
      </c>
      <c r="D315" s="38">
        <f>IF(Config!$P$36&lt;&gt;"Não",1,0)</f>
        <v>0</v>
      </c>
      <c r="E315" s="38">
        <f>IF(Config!$P$37&lt;&gt;"Não",1,0)</f>
        <v>0</v>
      </c>
      <c r="F315" s="38">
        <f>IF(Config!$P$38&lt;&gt;"Não",1,0)</f>
        <v>1</v>
      </c>
      <c r="G315" s="38">
        <f>IF(Config!$P$39&lt;&gt;"Não",1,0)</f>
        <v>0</v>
      </c>
      <c r="H315" s="38">
        <f>IF(Config!$P$40&lt;&gt;"Não",1,0)</f>
        <v>0</v>
      </c>
      <c r="I315" s="38">
        <f>IF(Config!$P$41&lt;&gt;"Não",1,0)</f>
        <v>0</v>
      </c>
      <c r="J315" s="38">
        <f>IF(Config!$P$42&lt;&gt;"Não",1,0)</f>
        <v>0</v>
      </c>
      <c r="K315" s="38">
        <f>IF(Config!$P$43&lt;&gt;"Não",1,0)</f>
        <v>0</v>
      </c>
      <c r="L315" s="38">
        <f>IF(Config!$P$44&lt;&gt;"Não",1,0)</f>
        <v>0</v>
      </c>
      <c r="M315" s="38">
        <f>IF(Config!$P$45&lt;&gt;"Não",1,0)</f>
        <v>0</v>
      </c>
      <c r="N315" s="38">
        <f>IF(Config!$P$46&lt;&gt;"Não",1,0)</f>
        <v>0</v>
      </c>
      <c r="O315" s="38">
        <f>IF(Config!$P$47&lt;&gt;"Não",1,0)</f>
        <v>0</v>
      </c>
      <c r="P315" s="38">
        <f>IF(Config!$P$48&lt;&gt;"Não",1,0)</f>
        <v>0</v>
      </c>
      <c r="Q315" s="38">
        <f>IF(Config!$P$49&lt;&gt;"Não",1,0)</f>
        <v>0</v>
      </c>
      <c r="R315" s="38">
        <f>IF(Config!$P$50&lt;&gt;"Não",1,0)</f>
        <v>0</v>
      </c>
      <c r="S315" s="38">
        <f>IF(Config!$P$51&lt;&gt;"Não",1,0)</f>
        <v>0</v>
      </c>
      <c r="T315" s="38">
        <f>IF(Config!$P$52&lt;&gt;"Não",1,0)</f>
        <v>0</v>
      </c>
      <c r="U315" s="38">
        <f>IF(Config!$P$53&lt;&gt;"Não",1,0)</f>
        <v>0</v>
      </c>
      <c r="V315" s="38">
        <f>IF(Config!$P$54&lt;&gt;"Não",1,0)</f>
        <v>0</v>
      </c>
    </row>
    <row r="316">
      <c r="A316" s="65" t="inlineStr">
        <is>
          <t xml:space="preserve">OUT · Linhas NF</t>
        </is>
      </c>
      <c r="B316" s="39">
        <f>IF(OR($B$2="Todos",$C$2=2),1,IFERROR(INDEX($C$316:$V$316,MATCH($D$2,$C$302:$V$302,0)),1))</f>
        <v>1</v>
      </c>
      <c r="C316" s="38">
        <f>IF(Config!$Q$35&lt;&gt;"Não",1,0)</f>
        <v>0</v>
      </c>
      <c r="D316" s="38">
        <f>IF(Config!$Q$36&lt;&gt;"Não",1,0)</f>
        <v>0</v>
      </c>
      <c r="E316" s="38">
        <f>IF(Config!$Q$37&lt;&gt;"Não",1,0)</f>
        <v>0</v>
      </c>
      <c r="F316" s="38">
        <f>IF(Config!$Q$38&lt;&gt;"Não",1,0)</f>
        <v>0</v>
      </c>
      <c r="G316" s="38">
        <f>IF(Config!$Q$39&lt;&gt;"Não",1,0)</f>
        <v>0</v>
      </c>
      <c r="H316" s="38">
        <f>IF(Config!$Q$40&lt;&gt;"Não",1,0)</f>
        <v>1</v>
      </c>
      <c r="I316" s="38">
        <f>IF(Config!$Q$41&lt;&gt;"Não",1,0)</f>
        <v>0</v>
      </c>
      <c r="J316" s="38">
        <f>IF(Config!$Q$42&lt;&gt;"Não",1,0)</f>
        <v>0</v>
      </c>
      <c r="K316" s="38">
        <f>IF(Config!$Q$43&lt;&gt;"Não",1,0)</f>
        <v>0</v>
      </c>
      <c r="L316" s="38">
        <f>IF(Config!$Q$44&lt;&gt;"Não",1,0)</f>
        <v>1</v>
      </c>
      <c r="M316" s="38">
        <f>IF(Config!$Q$45&lt;&gt;"Não",1,0)</f>
        <v>0</v>
      </c>
      <c r="N316" s="38">
        <f>IF(Config!$Q$46&lt;&gt;"Não",1,0)</f>
        <v>0</v>
      </c>
      <c r="O316" s="38">
        <f>IF(Config!$Q$47&lt;&gt;"Não",1,0)</f>
        <v>0</v>
      </c>
      <c r="P316" s="38">
        <f>IF(Config!$Q$48&lt;&gt;"Não",1,0)</f>
        <v>0</v>
      </c>
      <c r="Q316" s="38">
        <f>IF(Config!$Q$49&lt;&gt;"Não",1,0)</f>
        <v>0</v>
      </c>
      <c r="R316" s="38">
        <f>IF(Config!$Q$50&lt;&gt;"Não",1,0)</f>
        <v>0</v>
      </c>
      <c r="S316" s="38">
        <f>IF(Config!$Q$51&lt;&gt;"Não",1,0)</f>
        <v>0</v>
      </c>
      <c r="T316" s="38">
        <f>IF(Config!$Q$52&lt;&gt;"Não",1,0)</f>
        <v>0</v>
      </c>
      <c r="U316" s="38">
        <f>IF(Config!$Q$53&lt;&gt;"Não",1,0)</f>
        <v>0</v>
      </c>
      <c r="V316" s="38">
        <f>IF(Config!$Q$54&lt;&gt;"Não",1,0)</f>
        <v>0</v>
      </c>
    </row>
    <row r="317">
      <c r="A317" s="65" t="inlineStr">
        <is>
          <t xml:space="preserve">OUT · Caixas Expedidas</t>
        </is>
      </c>
      <c r="B317" s="39">
        <f>IF(OR($B$2="Todos",$C$2=2),1,IFERROR(INDEX($C$317:$V$317,MATCH($D$2,$C$302:$V$302,0)),1))</f>
        <v>1</v>
      </c>
      <c r="C317" s="38">
        <f>IF(Config!$R$35&lt;&gt;"Não",1,0)</f>
        <v>1</v>
      </c>
      <c r="D317" s="38">
        <f>IF(Config!$R$36&lt;&gt;"Não",1,0)</f>
        <v>0</v>
      </c>
      <c r="E317" s="38">
        <f>IF(Config!$R$37&lt;&gt;"Não",1,0)</f>
        <v>0</v>
      </c>
      <c r="F317" s="38">
        <f>IF(Config!$R$38&lt;&gt;"Não",1,0)</f>
        <v>1</v>
      </c>
      <c r="G317" s="38">
        <f>IF(Config!$R$39&lt;&gt;"Não",1,0)</f>
        <v>0</v>
      </c>
      <c r="H317" s="38">
        <f>IF(Config!$R$40&lt;&gt;"Não",1,0)</f>
        <v>0</v>
      </c>
      <c r="I317" s="38">
        <f>IF(Config!$R$41&lt;&gt;"Não",1,0)</f>
        <v>0</v>
      </c>
      <c r="J317" s="38">
        <f>IF(Config!$R$42&lt;&gt;"Não",1,0)</f>
        <v>0</v>
      </c>
      <c r="K317" s="38">
        <f>IF(Config!$R$43&lt;&gt;"Não",1,0)</f>
        <v>0</v>
      </c>
      <c r="L317" s="38">
        <f>IF(Config!$R$44&lt;&gt;"Não",1,0)</f>
        <v>0</v>
      </c>
      <c r="M317" s="38">
        <f>IF(Config!$R$45&lt;&gt;"Não",1,0)</f>
        <v>0</v>
      </c>
      <c r="N317" s="38">
        <f>IF(Config!$R$46&lt;&gt;"Não",1,0)</f>
        <v>0</v>
      </c>
      <c r="O317" s="38">
        <f>IF(Config!$R$47&lt;&gt;"Não",1,0)</f>
        <v>0</v>
      </c>
      <c r="P317" s="38">
        <f>IF(Config!$R$48&lt;&gt;"Não",1,0)</f>
        <v>0</v>
      </c>
      <c r="Q317" s="38">
        <f>IF(Config!$R$49&lt;&gt;"Não",1,0)</f>
        <v>0</v>
      </c>
      <c r="R317" s="38">
        <f>IF(Config!$R$50&lt;&gt;"Não",1,0)</f>
        <v>0</v>
      </c>
      <c r="S317" s="38">
        <f>IF(Config!$R$51&lt;&gt;"Não",1,0)</f>
        <v>0</v>
      </c>
      <c r="T317" s="38">
        <f>IF(Config!$R$52&lt;&gt;"Não",1,0)</f>
        <v>0</v>
      </c>
      <c r="U317" s="38">
        <f>IF(Config!$R$53&lt;&gt;"Não",1,0)</f>
        <v>0</v>
      </c>
      <c r="V317" s="38">
        <f>IF(Config!$R$54&lt;&gt;"Não",1,0)</f>
        <v>0</v>
      </c>
    </row>
    <row r="318">
      <c r="A318" s="65" t="inlineStr">
        <is>
          <t xml:space="preserve">OUT · Pallets Movimentados</t>
        </is>
      </c>
      <c r="B318" s="39">
        <f>IF(OR($B$2="Todos",$C$2=2),1,IFERROR(INDEX($C$318:$V$318,MATCH($D$2,$C$302:$V$302,0)),1))</f>
        <v>1</v>
      </c>
      <c r="C318" s="38">
        <f>IF(Config!$S$35&lt;&gt;"Não",1,0)</f>
        <v>0</v>
      </c>
      <c r="D318" s="38">
        <f>IF(Config!$S$36&lt;&gt;"Não",1,0)</f>
        <v>1</v>
      </c>
      <c r="E318" s="38">
        <f>IF(Config!$S$37&lt;&gt;"Não",1,0)</f>
        <v>1</v>
      </c>
      <c r="F318" s="38">
        <f>IF(Config!$S$38&lt;&gt;"Não",1,0)</f>
        <v>1</v>
      </c>
      <c r="G318" s="38">
        <f>IF(Config!$S$39&lt;&gt;"Não",1,0)</f>
        <v>1</v>
      </c>
      <c r="H318" s="38">
        <f>IF(Config!$S$40&lt;&gt;"Não",1,0)</f>
        <v>1</v>
      </c>
      <c r="I318" s="38">
        <f>IF(Config!$S$41&lt;&gt;"Não",1,0)</f>
        <v>1</v>
      </c>
      <c r="J318" s="38">
        <f>IF(Config!$S$42&lt;&gt;"Não",1,0)</f>
        <v>1</v>
      </c>
      <c r="K318" s="38">
        <f>IF(Config!$S$43&lt;&gt;"Não",1,0)</f>
        <v>1</v>
      </c>
      <c r="L318" s="38">
        <f>IF(Config!$S$44&lt;&gt;"Não",1,0)</f>
        <v>0</v>
      </c>
      <c r="M318" s="38">
        <f>IF(Config!$S$45&lt;&gt;"Não",1,0)</f>
        <v>1</v>
      </c>
      <c r="N318" s="38">
        <f>IF(Config!$S$46&lt;&gt;"Não",1,0)</f>
        <v>1</v>
      </c>
      <c r="O318" s="38">
        <f>IF(Config!$S$47&lt;&gt;"Não",1,0)</f>
        <v>1</v>
      </c>
      <c r="P318" s="38">
        <f>IF(Config!$S$48&lt;&gt;"Não",1,0)</f>
        <v>1</v>
      </c>
      <c r="Q318" s="38">
        <f>IF(Config!$S$49&lt;&gt;"Não",1,0)</f>
        <v>1</v>
      </c>
      <c r="R318" s="38">
        <f>IF(Config!$S$50&lt;&gt;"Não",1,0)</f>
        <v>1</v>
      </c>
      <c r="S318" s="38">
        <f>IF(Config!$S$51&lt;&gt;"Não",1,0)</f>
        <v>1</v>
      </c>
      <c r="T318" s="38">
        <f>IF(Config!$S$52&lt;&gt;"Não",1,0)</f>
        <v>1</v>
      </c>
      <c r="U318" s="38">
        <f>IF(Config!$S$53&lt;&gt;"Não",1,0)</f>
        <v>1</v>
      </c>
      <c r="V318" s="38">
        <f>IF(Config!$S$54&lt;&gt;"Não",1,0)</f>
        <v>1</v>
      </c>
    </row>
    <row r="319">
      <c r="A319" s="65" t="inlineStr">
        <is>
          <t xml:space="preserve">OUT · Toneladas Movimentadas</t>
        </is>
      </c>
      <c r="B319" s="39">
        <f>IF(OR($B$2="Todos",$C$2=2),1,IFERROR(INDEX($C$319:$V$319,MATCH($D$2,$C$302:$V$302,0)),1))</f>
        <v>1</v>
      </c>
      <c r="C319" s="38">
        <f>IF(Config!$T$35&lt;&gt;"Não",1,0)</f>
        <v>0</v>
      </c>
      <c r="D319" s="38">
        <f>IF(Config!$T$36&lt;&gt;"Não",1,0)</f>
        <v>1</v>
      </c>
      <c r="E319" s="38">
        <f>IF(Config!$T$37&lt;&gt;"Não",1,0)</f>
        <v>0</v>
      </c>
      <c r="F319" s="38">
        <f>IF(Config!$T$38&lt;&gt;"Não",1,0)</f>
        <v>0</v>
      </c>
      <c r="G319" s="38">
        <f>IF(Config!$T$39&lt;&gt;"Não",1,0)</f>
        <v>1</v>
      </c>
      <c r="H319" s="38">
        <f>IF(Config!$T$40&lt;&gt;"Não",1,0)</f>
        <v>0</v>
      </c>
      <c r="I319" s="38">
        <f>IF(Config!$T$41&lt;&gt;"Não",1,0)</f>
        <v>0</v>
      </c>
      <c r="J319" s="38">
        <f>IF(Config!$T$42&lt;&gt;"Não",1,0)</f>
        <v>1</v>
      </c>
      <c r="K319" s="38">
        <f>IF(Config!$T$43&lt;&gt;"Não",1,0)</f>
        <v>0</v>
      </c>
      <c r="L319" s="38">
        <f>IF(Config!$T$44&lt;&gt;"Não",1,0)</f>
        <v>0</v>
      </c>
      <c r="M319" s="38">
        <f>IF(Config!$T$45&lt;&gt;"Não",1,0)</f>
        <v>1</v>
      </c>
      <c r="N319" s="38">
        <f>IF(Config!$T$46&lt;&gt;"Não",1,0)</f>
        <v>1</v>
      </c>
      <c r="O319" s="38">
        <f>IF(Config!$T$47&lt;&gt;"Não",1,0)</f>
        <v>1</v>
      </c>
      <c r="P319" s="38">
        <f>IF(Config!$T$48&lt;&gt;"Não",1,0)</f>
        <v>1</v>
      </c>
      <c r="Q319" s="38">
        <f>IF(Config!$T$49&lt;&gt;"Não",1,0)</f>
        <v>1</v>
      </c>
      <c r="R319" s="38">
        <f>IF(Config!$T$50&lt;&gt;"Não",1,0)</f>
        <v>1</v>
      </c>
      <c r="S319" s="38">
        <f>IF(Config!$T$51&lt;&gt;"Não",1,0)</f>
        <v>1</v>
      </c>
      <c r="T319" s="38">
        <f>IF(Config!$T$52&lt;&gt;"Não",1,0)</f>
        <v>1</v>
      </c>
      <c r="U319" s="38">
        <f>IF(Config!$T$53&lt;&gt;"Não",1,0)</f>
        <v>1</v>
      </c>
      <c r="V319" s="38">
        <f>IF(Config!$T$54&lt;&gt;"Não",1,0)</f>
        <v>1</v>
      </c>
    </row>
    <row r="320">
      <c r="A320" s="65" t="inlineStr">
        <is>
          <t xml:space="preserve">NC · Incidentes</t>
        </is>
      </c>
      <c r="B320" s="39">
        <f>IF(OR($B$2="Todos",$C$2=2),1,IFERROR(INDEX($C$320:$V$320,MATCH($D$2,$C$302:$V$302,0)),1))</f>
        <v>1</v>
      </c>
      <c r="C320" s="38">
        <f>IF(Config!$U$35&lt;&gt;"Não",1,0)</f>
        <v>1</v>
      </c>
      <c r="D320" s="38">
        <f>IF(Config!$U$36&lt;&gt;"Não",1,0)</f>
        <v>1</v>
      </c>
      <c r="E320" s="38">
        <f>IF(Config!$U$37&lt;&gt;"Não",1,0)</f>
        <v>1</v>
      </c>
      <c r="F320" s="38">
        <f>IF(Config!$U$38&lt;&gt;"Não",1,0)</f>
        <v>1</v>
      </c>
      <c r="G320" s="38">
        <f>IF(Config!$U$39&lt;&gt;"Não",1,0)</f>
        <v>1</v>
      </c>
      <c r="H320" s="38">
        <f>IF(Config!$U$40&lt;&gt;"Não",1,0)</f>
        <v>1</v>
      </c>
      <c r="I320" s="38">
        <f>IF(Config!$U$41&lt;&gt;"Não",1,0)</f>
        <v>1</v>
      </c>
      <c r="J320" s="38">
        <f>IF(Config!$U$42&lt;&gt;"Não",1,0)</f>
        <v>1</v>
      </c>
      <c r="K320" s="38">
        <f>IF(Config!$U$43&lt;&gt;"Não",1,0)</f>
        <v>1</v>
      </c>
      <c r="L320" s="38">
        <f>IF(Config!$U$44&lt;&gt;"Não",1,0)</f>
        <v>1</v>
      </c>
      <c r="M320" s="38">
        <f>IF(Config!$U$45&lt;&gt;"Não",1,0)</f>
        <v>1</v>
      </c>
      <c r="N320" s="38">
        <f>IF(Config!$U$46&lt;&gt;"Não",1,0)</f>
        <v>1</v>
      </c>
      <c r="O320" s="38">
        <f>IF(Config!$U$47&lt;&gt;"Não",1,0)</f>
        <v>1</v>
      </c>
      <c r="P320" s="38">
        <f>IF(Config!$U$48&lt;&gt;"Não",1,0)</f>
        <v>1</v>
      </c>
      <c r="Q320" s="38">
        <f>IF(Config!$U$49&lt;&gt;"Não",1,0)</f>
        <v>1</v>
      </c>
      <c r="R320" s="38">
        <f>IF(Config!$U$50&lt;&gt;"Não",1,0)</f>
        <v>1</v>
      </c>
      <c r="S320" s="38">
        <f>IF(Config!$U$51&lt;&gt;"Não",1,0)</f>
        <v>1</v>
      </c>
      <c r="T320" s="38">
        <f>IF(Config!$U$52&lt;&gt;"Não",1,0)</f>
        <v>1</v>
      </c>
      <c r="U320" s="38">
        <f>IF(Config!$U$53&lt;&gt;"Não",1,0)</f>
        <v>1</v>
      </c>
      <c r="V320" s="38">
        <f>IF(Config!$U$54&lt;&gt;"Não",1,0)</f>
        <v>1</v>
      </c>
    </row>
    <row r="321">
      <c r="A321" s="65" t="inlineStr">
        <is>
          <t xml:space="preserve">NC · No show</t>
        </is>
      </c>
      <c r="B321" s="39">
        <f>IF(OR($B$2="Todos",$C$2=2),1,IFERROR(INDEX($C$321:$V$321,MATCH($D$2,$C$302:$V$302,0)),1))</f>
        <v>1</v>
      </c>
      <c r="C321" s="38">
        <f>IF(Config!$V$35&lt;&gt;"Não",1,0)</f>
        <v>1</v>
      </c>
      <c r="D321" s="38">
        <f>IF(Config!$V$36&lt;&gt;"Não",1,0)</f>
        <v>1</v>
      </c>
      <c r="E321" s="38">
        <f>IF(Config!$V$37&lt;&gt;"Não",1,0)</f>
        <v>1</v>
      </c>
      <c r="F321" s="38">
        <f>IF(Config!$V$38&lt;&gt;"Não",1,0)</f>
        <v>1</v>
      </c>
      <c r="G321" s="38">
        <f>IF(Config!$V$39&lt;&gt;"Não",1,0)</f>
        <v>1</v>
      </c>
      <c r="H321" s="38">
        <f>IF(Config!$V$40&lt;&gt;"Não",1,0)</f>
        <v>1</v>
      </c>
      <c r="I321" s="38">
        <f>IF(Config!$V$41&lt;&gt;"Não",1,0)</f>
        <v>1</v>
      </c>
      <c r="J321" s="38">
        <f>IF(Config!$V$42&lt;&gt;"Não",1,0)</f>
        <v>1</v>
      </c>
      <c r="K321" s="38">
        <f>IF(Config!$V$43&lt;&gt;"Não",1,0)</f>
        <v>1</v>
      </c>
      <c r="L321" s="38">
        <f>IF(Config!$V$44&lt;&gt;"Não",1,0)</f>
        <v>1</v>
      </c>
      <c r="M321" s="38">
        <f>IF(Config!$V$45&lt;&gt;"Não",1,0)</f>
        <v>1</v>
      </c>
      <c r="N321" s="38">
        <f>IF(Config!$V$46&lt;&gt;"Não",1,0)</f>
        <v>1</v>
      </c>
      <c r="O321" s="38">
        <f>IF(Config!$V$47&lt;&gt;"Não",1,0)</f>
        <v>1</v>
      </c>
      <c r="P321" s="38">
        <f>IF(Config!$V$48&lt;&gt;"Não",1,0)</f>
        <v>1</v>
      </c>
      <c r="Q321" s="38">
        <f>IF(Config!$V$49&lt;&gt;"Não",1,0)</f>
        <v>1</v>
      </c>
      <c r="R321" s="38">
        <f>IF(Config!$V$50&lt;&gt;"Não",1,0)</f>
        <v>1</v>
      </c>
      <c r="S321" s="38">
        <f>IF(Config!$V$51&lt;&gt;"Não",1,0)</f>
        <v>1</v>
      </c>
      <c r="T321" s="38">
        <f>IF(Config!$V$52&lt;&gt;"Não",1,0)</f>
        <v>1</v>
      </c>
      <c r="U321" s="38">
        <f>IF(Config!$V$53&lt;&gt;"Não",1,0)</f>
        <v>1</v>
      </c>
      <c r="V321" s="38">
        <f>IF(Config!$V$54&lt;&gt;"Não",1,0)</f>
        <v>1</v>
      </c>
    </row>
    <row r="322">
      <c r="A322" s="65" t="inlineStr">
        <is>
          <t xml:space="preserve">NC · Backlog</t>
        </is>
      </c>
      <c r="B322" s="39">
        <f>IF(OR($B$2="Todos",$C$2=2),1,IFERROR(INDEX($C$322:$V$322,MATCH($D$2,$C$302:$V$302,0)),1))</f>
        <v>1</v>
      </c>
      <c r="C322" s="38">
        <f>IF(Config!$W$35&lt;&gt;"Não",1,0)</f>
        <v>1</v>
      </c>
      <c r="D322" s="38">
        <f>IF(Config!$W$36&lt;&gt;"Não",1,0)</f>
        <v>1</v>
      </c>
      <c r="E322" s="38">
        <f>IF(Config!$W$37&lt;&gt;"Não",1,0)</f>
        <v>1</v>
      </c>
      <c r="F322" s="38">
        <f>IF(Config!$W$38&lt;&gt;"Não",1,0)</f>
        <v>1</v>
      </c>
      <c r="G322" s="38">
        <f>IF(Config!$W$39&lt;&gt;"Não",1,0)</f>
        <v>1</v>
      </c>
      <c r="H322" s="38">
        <f>IF(Config!$W$40&lt;&gt;"Não",1,0)</f>
        <v>1</v>
      </c>
      <c r="I322" s="38">
        <f>IF(Config!$W$41&lt;&gt;"Não",1,0)</f>
        <v>1</v>
      </c>
      <c r="J322" s="38">
        <f>IF(Config!$W$42&lt;&gt;"Não",1,0)</f>
        <v>1</v>
      </c>
      <c r="K322" s="38">
        <f>IF(Config!$W$43&lt;&gt;"Não",1,0)</f>
        <v>1</v>
      </c>
      <c r="L322" s="38">
        <f>IF(Config!$W$44&lt;&gt;"Não",1,0)</f>
        <v>1</v>
      </c>
      <c r="M322" s="38">
        <f>IF(Config!$W$45&lt;&gt;"Não",1,0)</f>
        <v>1</v>
      </c>
      <c r="N322" s="38">
        <f>IF(Config!$W$46&lt;&gt;"Não",1,0)</f>
        <v>1</v>
      </c>
      <c r="O322" s="38">
        <f>IF(Config!$W$47&lt;&gt;"Não",1,0)</f>
        <v>1</v>
      </c>
      <c r="P322" s="38">
        <f>IF(Config!$W$48&lt;&gt;"Não",1,0)</f>
        <v>1</v>
      </c>
      <c r="Q322" s="38">
        <f>IF(Config!$W$49&lt;&gt;"Não",1,0)</f>
        <v>1</v>
      </c>
      <c r="R322" s="38">
        <f>IF(Config!$W$50&lt;&gt;"Não",1,0)</f>
        <v>1</v>
      </c>
      <c r="S322" s="38">
        <f>IF(Config!$W$51&lt;&gt;"Não",1,0)</f>
        <v>1</v>
      </c>
      <c r="T322" s="38">
        <f>IF(Config!$W$52&lt;&gt;"Não",1,0)</f>
        <v>1</v>
      </c>
      <c r="U322" s="38">
        <f>IF(Config!$W$53&lt;&gt;"Não",1,0)</f>
        <v>1</v>
      </c>
      <c r="V322" s="38">
        <f>IF(Config!$W$54&lt;&gt;"Não",1,0)</f>
        <v>1</v>
      </c>
    </row>
    <row r="323">
      <c r="A323" s="65" t="inlineStr">
        <is>
          <t xml:space="preserve">OCUPAÇÃO (P.P) · Posições Disponíveis</t>
        </is>
      </c>
      <c r="B323" s="39">
        <f>IF(OR($B$2="Todos",$C$2=2),1,IFERROR(INDEX($C$323:$V$323,MATCH($D$2,$C$302:$V$302,0)),1))</f>
        <v>1</v>
      </c>
      <c r="C323" s="38">
        <f>IF(Config!$X$35&lt;&gt;"Não",1,0)</f>
        <v>1</v>
      </c>
      <c r="D323" s="38">
        <f>IF(Config!$X$36&lt;&gt;"Não",1,0)</f>
        <v>1</v>
      </c>
      <c r="E323" s="38">
        <f>IF(Config!$X$37&lt;&gt;"Não",1,0)</f>
        <v>1</v>
      </c>
      <c r="F323" s="38">
        <f>IF(Config!$X$38&lt;&gt;"Não",1,0)</f>
        <v>1</v>
      </c>
      <c r="G323" s="38">
        <f>IF(Config!$X$39&lt;&gt;"Não",1,0)</f>
        <v>1</v>
      </c>
      <c r="H323" s="38">
        <f>IF(Config!$X$40&lt;&gt;"Não",1,0)</f>
        <v>1</v>
      </c>
      <c r="I323" s="38">
        <f>IF(Config!$X$41&lt;&gt;"Não",1,0)</f>
        <v>1</v>
      </c>
      <c r="J323" s="38">
        <f>IF(Config!$X$42&lt;&gt;"Não",1,0)</f>
        <v>1</v>
      </c>
      <c r="K323" s="38">
        <f>IF(Config!$X$43&lt;&gt;"Não",1,0)</f>
        <v>1</v>
      </c>
      <c r="L323" s="38">
        <f>IF(Config!$X$44&lt;&gt;"Não",1,0)</f>
        <v>1</v>
      </c>
      <c r="M323" s="38">
        <f>IF(Config!$X$45&lt;&gt;"Não",1,0)</f>
        <v>1</v>
      </c>
      <c r="N323" s="38">
        <f>IF(Config!$X$46&lt;&gt;"Não",1,0)</f>
        <v>1</v>
      </c>
      <c r="O323" s="38">
        <f>IF(Config!$X$47&lt;&gt;"Não",1,0)</f>
        <v>1</v>
      </c>
      <c r="P323" s="38">
        <f>IF(Config!$X$48&lt;&gt;"Não",1,0)</f>
        <v>1</v>
      </c>
      <c r="Q323" s="38">
        <f>IF(Config!$X$49&lt;&gt;"Não",1,0)</f>
        <v>1</v>
      </c>
      <c r="R323" s="38">
        <f>IF(Config!$X$50&lt;&gt;"Não",1,0)</f>
        <v>1</v>
      </c>
      <c r="S323" s="38">
        <f>IF(Config!$X$51&lt;&gt;"Não",1,0)</f>
        <v>1</v>
      </c>
      <c r="T323" s="38">
        <f>IF(Config!$X$52&lt;&gt;"Não",1,0)</f>
        <v>1</v>
      </c>
      <c r="U323" s="38">
        <f>IF(Config!$X$53&lt;&gt;"Não",1,0)</f>
        <v>1</v>
      </c>
      <c r="V323" s="38">
        <f>IF(Config!$X$54&lt;&gt;"Não",1,0)</f>
        <v>1</v>
      </c>
    </row>
    <row r="324">
      <c r="A324" s="65" t="inlineStr">
        <is>
          <t xml:space="preserve">OCUPAÇÃO (P.P) · Posições Ocupadas</t>
        </is>
      </c>
      <c r="B324" s="39">
        <f>IF(OR($B$2="Todos",$C$2=2),1,IFERROR(INDEX($C$324:$V$324,MATCH($D$2,$C$302:$V$302,0)),1))</f>
        <v>1</v>
      </c>
      <c r="C324" s="38">
        <f>IF(Config!$Y$35&lt;&gt;"Não",1,0)</f>
        <v>1</v>
      </c>
      <c r="D324" s="38">
        <f>IF(Config!$Y$36&lt;&gt;"Não",1,0)</f>
        <v>1</v>
      </c>
      <c r="E324" s="38">
        <f>IF(Config!$Y$37&lt;&gt;"Não",1,0)</f>
        <v>1</v>
      </c>
      <c r="F324" s="38">
        <f>IF(Config!$Y$38&lt;&gt;"Não",1,0)</f>
        <v>1</v>
      </c>
      <c r="G324" s="38">
        <f>IF(Config!$Y$39&lt;&gt;"Não",1,0)</f>
        <v>1</v>
      </c>
      <c r="H324" s="38">
        <f>IF(Config!$Y$40&lt;&gt;"Não",1,0)</f>
        <v>1</v>
      </c>
      <c r="I324" s="38">
        <f>IF(Config!$Y$41&lt;&gt;"Não",1,0)</f>
        <v>1</v>
      </c>
      <c r="J324" s="38">
        <f>IF(Config!$Y$42&lt;&gt;"Não",1,0)</f>
        <v>1</v>
      </c>
      <c r="K324" s="38">
        <f>IF(Config!$Y$43&lt;&gt;"Não",1,0)</f>
        <v>1</v>
      </c>
      <c r="L324" s="38">
        <f>IF(Config!$Y$44&lt;&gt;"Não",1,0)</f>
        <v>1</v>
      </c>
      <c r="M324" s="38">
        <f>IF(Config!$Y$45&lt;&gt;"Não",1,0)</f>
        <v>1</v>
      </c>
      <c r="N324" s="38">
        <f>IF(Config!$Y$46&lt;&gt;"Não",1,0)</f>
        <v>1</v>
      </c>
      <c r="O324" s="38">
        <f>IF(Config!$Y$47&lt;&gt;"Não",1,0)</f>
        <v>1</v>
      </c>
      <c r="P324" s="38">
        <f>IF(Config!$Y$48&lt;&gt;"Não",1,0)</f>
        <v>1</v>
      </c>
      <c r="Q324" s="38">
        <f>IF(Config!$Y$49&lt;&gt;"Não",1,0)</f>
        <v>1</v>
      </c>
      <c r="R324" s="38">
        <f>IF(Config!$Y$50&lt;&gt;"Não",1,0)</f>
        <v>1</v>
      </c>
      <c r="S324" s="38">
        <f>IF(Config!$Y$51&lt;&gt;"Não",1,0)</f>
        <v>1</v>
      </c>
      <c r="T324" s="38">
        <f>IF(Config!$Y$52&lt;&gt;"Não",1,0)</f>
        <v>1</v>
      </c>
      <c r="U324" s="38">
        <f>IF(Config!$Y$53&lt;&gt;"Não",1,0)</f>
        <v>1</v>
      </c>
      <c r="V324" s="38">
        <f>IF(Config!$Y$54&lt;&gt;"Não",1,0)</f>
        <v>1</v>
      </c>
    </row>
    <row r="325">
      <c r="A325" s="65" t="inlineStr">
        <is>
          <t xml:space="preserve">OCUPAÇÃO (P.P) · Taxa de Ocupação</t>
        </is>
      </c>
      <c r="B325" s="39">
        <f>IF(OR($B$2="Todos",$C$2=2),1,IFERROR(INDEX($C$325:$V$325,MATCH($D$2,$C$302:$V$302,0)),1))</f>
        <v>1</v>
      </c>
      <c r="C325" s="38">
        <f>IF(AND(Config!$X$35&lt;&gt;"Não",Config!$Y$35&lt;&gt;"Não"),1,0)</f>
        <v>1</v>
      </c>
      <c r="D325" s="38">
        <f>IF(AND(Config!$X$36&lt;&gt;"Não",Config!$Y$36&lt;&gt;"Não"),1,0)</f>
        <v>1</v>
      </c>
      <c r="E325" s="38">
        <f>IF(AND(Config!$X$37&lt;&gt;"Não",Config!$Y$37&lt;&gt;"Não"),1,0)</f>
        <v>1</v>
      </c>
      <c r="F325" s="38">
        <f>IF(AND(Config!$X$38&lt;&gt;"Não",Config!$Y$38&lt;&gt;"Não"),1,0)</f>
        <v>1</v>
      </c>
      <c r="G325" s="38">
        <f>IF(AND(Config!$X$39&lt;&gt;"Não",Config!$Y$39&lt;&gt;"Não"),1,0)</f>
        <v>1</v>
      </c>
      <c r="H325" s="38">
        <f>IF(AND(Config!$X$40&lt;&gt;"Não",Config!$Y$40&lt;&gt;"Não"),1,0)</f>
        <v>1</v>
      </c>
      <c r="I325" s="38">
        <f>IF(AND(Config!$X$41&lt;&gt;"Não",Config!$Y$41&lt;&gt;"Não"),1,0)</f>
        <v>1</v>
      </c>
      <c r="J325" s="38">
        <f>IF(AND(Config!$X$42&lt;&gt;"Não",Config!$Y$42&lt;&gt;"Não"),1,0)</f>
        <v>1</v>
      </c>
      <c r="K325" s="38">
        <f>IF(AND(Config!$X$43&lt;&gt;"Não",Config!$Y$43&lt;&gt;"Não"),1,0)</f>
        <v>1</v>
      </c>
      <c r="L325" s="38">
        <f>IF(AND(Config!$X$44&lt;&gt;"Não",Config!$Y$44&lt;&gt;"Não"),1,0)</f>
        <v>1</v>
      </c>
      <c r="M325" s="38">
        <f>IF(AND(Config!$X$45&lt;&gt;"Não",Config!$Y$45&lt;&gt;"Não"),1,0)</f>
        <v>1</v>
      </c>
      <c r="N325" s="38">
        <f>IF(AND(Config!$X$46&lt;&gt;"Não",Config!$Y$46&lt;&gt;"Não"),1,0)</f>
        <v>1</v>
      </c>
      <c r="O325" s="38">
        <f>IF(AND(Config!$X$47&lt;&gt;"Não",Config!$Y$47&lt;&gt;"Não"),1,0)</f>
        <v>1</v>
      </c>
      <c r="P325" s="38">
        <f>IF(AND(Config!$X$48&lt;&gt;"Não",Config!$Y$48&lt;&gt;"Não"),1,0)</f>
        <v>1</v>
      </c>
      <c r="Q325" s="38">
        <f>IF(AND(Config!$X$49&lt;&gt;"Não",Config!$Y$49&lt;&gt;"Não"),1,0)</f>
        <v>1</v>
      </c>
      <c r="R325" s="38">
        <f>IF(AND(Config!$X$50&lt;&gt;"Não",Config!$Y$50&lt;&gt;"Não"),1,0)</f>
        <v>1</v>
      </c>
      <c r="S325" s="38">
        <f>IF(AND(Config!$X$51&lt;&gt;"Não",Config!$Y$51&lt;&gt;"Não"),1,0)</f>
        <v>1</v>
      </c>
      <c r="T325" s="38">
        <f>IF(AND(Config!$X$52&lt;&gt;"Não",Config!$Y$52&lt;&gt;"Não"),1,0)</f>
        <v>1</v>
      </c>
      <c r="U325" s="38">
        <f>IF(AND(Config!$X$53&lt;&gt;"Não",Config!$Y$53&lt;&gt;"Não"),1,0)</f>
        <v>1</v>
      </c>
      <c r="V325" s="38">
        <f>IF(AND(Config!$X$54&lt;&gt;"Não",Config!$Y$54&lt;&gt;"Não"),1,0)</f>
        <v>1</v>
      </c>
    </row>
    <row r="326">
      <c r="A326" s="65" t="inlineStr">
        <is>
          <t xml:space="preserve">GENTE · Efetivo Op.</t>
        </is>
      </c>
      <c r="B326" s="39">
        <f>IF(OR($B$2="Todos",$C$2=2),1,IFERROR(INDEX($C$326:$V$326,MATCH($D$2,$C$302:$V$302,0)),1))</f>
        <v>1</v>
      </c>
      <c r="C326" s="38">
        <f>IF(Config!$Z$35&lt;&gt;"Não",1,0)</f>
        <v>1</v>
      </c>
      <c r="D326" s="38">
        <f>IF(Config!$Z$36&lt;&gt;"Não",1,0)</f>
        <v>1</v>
      </c>
      <c r="E326" s="38">
        <f>IF(Config!$Z$37&lt;&gt;"Não",1,0)</f>
        <v>1</v>
      </c>
      <c r="F326" s="38">
        <f>IF(Config!$Z$38&lt;&gt;"Não",1,0)</f>
        <v>1</v>
      </c>
      <c r="G326" s="38">
        <f>IF(Config!$Z$39&lt;&gt;"Não",1,0)</f>
        <v>1</v>
      </c>
      <c r="H326" s="38">
        <f>IF(Config!$Z$40&lt;&gt;"Não",1,0)</f>
        <v>1</v>
      </c>
      <c r="I326" s="38">
        <f>IF(Config!$Z$41&lt;&gt;"Não",1,0)</f>
        <v>1</v>
      </c>
      <c r="J326" s="38">
        <f>IF(Config!$Z$42&lt;&gt;"Não",1,0)</f>
        <v>1</v>
      </c>
      <c r="K326" s="38">
        <f>IF(Config!$Z$43&lt;&gt;"Não",1,0)</f>
        <v>1</v>
      </c>
      <c r="L326" s="38">
        <f>IF(Config!$Z$44&lt;&gt;"Não",1,0)</f>
        <v>1</v>
      </c>
      <c r="M326" s="38">
        <f>IF(Config!$Z$45&lt;&gt;"Não",1,0)</f>
        <v>1</v>
      </c>
      <c r="N326" s="38">
        <f>IF(Config!$Z$46&lt;&gt;"Não",1,0)</f>
        <v>1</v>
      </c>
      <c r="O326" s="38">
        <f>IF(Config!$Z$47&lt;&gt;"Não",1,0)</f>
        <v>1</v>
      </c>
      <c r="P326" s="38">
        <f>IF(Config!$Z$48&lt;&gt;"Não",1,0)</f>
        <v>1</v>
      </c>
      <c r="Q326" s="38">
        <f>IF(Config!$Z$49&lt;&gt;"Não",1,0)</f>
        <v>1</v>
      </c>
      <c r="R326" s="38">
        <f>IF(Config!$Z$50&lt;&gt;"Não",1,0)</f>
        <v>1</v>
      </c>
      <c r="S326" s="38">
        <f>IF(Config!$Z$51&lt;&gt;"Não",1,0)</f>
        <v>1</v>
      </c>
      <c r="T326" s="38">
        <f>IF(Config!$Z$52&lt;&gt;"Não",1,0)</f>
        <v>1</v>
      </c>
      <c r="U326" s="38">
        <f>IF(Config!$Z$53&lt;&gt;"Não",1,0)</f>
        <v>1</v>
      </c>
      <c r="V326" s="38">
        <f>IF(Config!$Z$54&lt;&gt;"Não",1,0)</f>
        <v>1</v>
      </c>
    </row>
    <row r="327">
      <c r="A327" s="65" t="inlineStr">
        <is>
          <t xml:space="preserve">GENTE · Falta</t>
        </is>
      </c>
      <c r="B327" s="39">
        <f>IF(OR($B$2="Todos",$C$2=2),1,IFERROR(INDEX($C$327:$V$327,MATCH($D$2,$C$302:$V$302,0)),1))</f>
        <v>1</v>
      </c>
      <c r="C327" s="38">
        <f>IF(Config!$AA$35&lt;&gt;"Não",1,0)</f>
        <v>1</v>
      </c>
      <c r="D327" s="38">
        <f>IF(Config!$AA$36&lt;&gt;"Não",1,0)</f>
        <v>1</v>
      </c>
      <c r="E327" s="38">
        <f>IF(Config!$AA$37&lt;&gt;"Não",1,0)</f>
        <v>1</v>
      </c>
      <c r="F327" s="38">
        <f>IF(Config!$AA$38&lt;&gt;"Não",1,0)</f>
        <v>1</v>
      </c>
      <c r="G327" s="38">
        <f>IF(Config!$AA$39&lt;&gt;"Não",1,0)</f>
        <v>1</v>
      </c>
      <c r="H327" s="38">
        <f>IF(Config!$AA$40&lt;&gt;"Não",1,0)</f>
        <v>1</v>
      </c>
      <c r="I327" s="38">
        <f>IF(Config!$AA$41&lt;&gt;"Não",1,0)</f>
        <v>1</v>
      </c>
      <c r="J327" s="38">
        <f>IF(Config!$AA$42&lt;&gt;"Não",1,0)</f>
        <v>1</v>
      </c>
      <c r="K327" s="38">
        <f>IF(Config!$AA$43&lt;&gt;"Não",1,0)</f>
        <v>1</v>
      </c>
      <c r="L327" s="38">
        <f>IF(Config!$AA$44&lt;&gt;"Não",1,0)</f>
        <v>1</v>
      </c>
      <c r="M327" s="38">
        <f>IF(Config!$AA$45&lt;&gt;"Não",1,0)</f>
        <v>1</v>
      </c>
      <c r="N327" s="38">
        <f>IF(Config!$AA$46&lt;&gt;"Não",1,0)</f>
        <v>1</v>
      </c>
      <c r="O327" s="38">
        <f>IF(Config!$AA$47&lt;&gt;"Não",1,0)</f>
        <v>1</v>
      </c>
      <c r="P327" s="38">
        <f>IF(Config!$AA$48&lt;&gt;"Não",1,0)</f>
        <v>1</v>
      </c>
      <c r="Q327" s="38">
        <f>IF(Config!$AA$49&lt;&gt;"Não",1,0)</f>
        <v>1</v>
      </c>
      <c r="R327" s="38">
        <f>IF(Config!$AA$50&lt;&gt;"Não",1,0)</f>
        <v>1</v>
      </c>
      <c r="S327" s="38">
        <f>IF(Config!$AA$51&lt;&gt;"Não",1,0)</f>
        <v>1</v>
      </c>
      <c r="T327" s="38">
        <f>IF(Config!$AA$52&lt;&gt;"Não",1,0)</f>
        <v>1</v>
      </c>
      <c r="U327" s="38">
        <f>IF(Config!$AA$53&lt;&gt;"Não",1,0)</f>
        <v>1</v>
      </c>
      <c r="V327" s="38">
        <f>IF(Config!$AA$54&lt;&gt;"Não",1,0)</f>
        <v>1</v>
      </c>
    </row>
    <row r="328">
      <c r="A328" s="65" t="inlineStr">
        <is>
          <t xml:space="preserve">GENTE · Folga</t>
        </is>
      </c>
      <c r="B328" s="39">
        <f>IF(OR($B$2="Todos",$C$2=2),1,IFERROR(INDEX($C$328:$V$328,MATCH($D$2,$C$302:$V$302,0)),1))</f>
        <v>1</v>
      </c>
      <c r="C328" s="38">
        <f>IF(Config!$AB$35&lt;&gt;"Não",1,0)</f>
        <v>1</v>
      </c>
      <c r="D328" s="38">
        <f>IF(Config!$AB$36&lt;&gt;"Não",1,0)</f>
        <v>1</v>
      </c>
      <c r="E328" s="38">
        <f>IF(Config!$AB$37&lt;&gt;"Não",1,0)</f>
        <v>1</v>
      </c>
      <c r="F328" s="38">
        <f>IF(Config!$AB$38&lt;&gt;"Não",1,0)</f>
        <v>1</v>
      </c>
      <c r="G328" s="38">
        <f>IF(Config!$AB$39&lt;&gt;"Não",1,0)</f>
        <v>1</v>
      </c>
      <c r="H328" s="38">
        <f>IF(Config!$AB$40&lt;&gt;"Não",1,0)</f>
        <v>1</v>
      </c>
      <c r="I328" s="38">
        <f>IF(Config!$AB$41&lt;&gt;"Não",1,0)</f>
        <v>1</v>
      </c>
      <c r="J328" s="38">
        <f>IF(Config!$AB$42&lt;&gt;"Não",1,0)</f>
        <v>1</v>
      </c>
      <c r="K328" s="38">
        <f>IF(Config!$AB$43&lt;&gt;"Não",1,0)</f>
        <v>1</v>
      </c>
      <c r="L328" s="38">
        <f>IF(Config!$AB$44&lt;&gt;"Não",1,0)</f>
        <v>1</v>
      </c>
      <c r="M328" s="38">
        <f>IF(Config!$AB$45&lt;&gt;"Não",1,0)</f>
        <v>1</v>
      </c>
      <c r="N328" s="38">
        <f>IF(Config!$AB$46&lt;&gt;"Não",1,0)</f>
        <v>1</v>
      </c>
      <c r="O328" s="38">
        <f>IF(Config!$AB$47&lt;&gt;"Não",1,0)</f>
        <v>1</v>
      </c>
      <c r="P328" s="38">
        <f>IF(Config!$AB$48&lt;&gt;"Não",1,0)</f>
        <v>1</v>
      </c>
      <c r="Q328" s="38">
        <f>IF(Config!$AB$49&lt;&gt;"Não",1,0)</f>
        <v>1</v>
      </c>
      <c r="R328" s="38">
        <f>IF(Config!$AB$50&lt;&gt;"Não",1,0)</f>
        <v>1</v>
      </c>
      <c r="S328" s="38">
        <f>IF(Config!$AB$51&lt;&gt;"Não",1,0)</f>
        <v>1</v>
      </c>
      <c r="T328" s="38">
        <f>IF(Config!$AB$52&lt;&gt;"Não",1,0)</f>
        <v>1</v>
      </c>
      <c r="U328" s="38">
        <f>IF(Config!$AB$53&lt;&gt;"Não",1,0)</f>
        <v>1</v>
      </c>
      <c r="V328" s="38">
        <f>IF(Config!$AB$54&lt;&gt;"Não",1,0)</f>
        <v>1</v>
      </c>
    </row>
    <row r="329">
      <c r="A329" s="65" t="inlineStr">
        <is>
          <t xml:space="preserve">GENTE · Férias</t>
        </is>
      </c>
      <c r="B329" s="39">
        <f>IF(OR($B$2="Todos",$C$2=2),1,IFERROR(INDEX($C$329:$V$329,MATCH($D$2,$C$302:$V$302,0)),1))</f>
        <v>1</v>
      </c>
      <c r="C329" s="38">
        <f>IF(Config!$AC$35&lt;&gt;"Não",1,0)</f>
        <v>1</v>
      </c>
      <c r="D329" s="38">
        <f>IF(Config!$AC$36&lt;&gt;"Não",1,0)</f>
        <v>1</v>
      </c>
      <c r="E329" s="38">
        <f>IF(Config!$AC$37&lt;&gt;"Não",1,0)</f>
        <v>1</v>
      </c>
      <c r="F329" s="38">
        <f>IF(Config!$AC$38&lt;&gt;"Não",1,0)</f>
        <v>1</v>
      </c>
      <c r="G329" s="38">
        <f>IF(Config!$AC$39&lt;&gt;"Não",1,0)</f>
        <v>1</v>
      </c>
      <c r="H329" s="38">
        <f>IF(Config!$AC$40&lt;&gt;"Não",1,0)</f>
        <v>1</v>
      </c>
      <c r="I329" s="38">
        <f>IF(Config!$AC$41&lt;&gt;"Não",1,0)</f>
        <v>1</v>
      </c>
      <c r="J329" s="38">
        <f>IF(Config!$AC$42&lt;&gt;"Não",1,0)</f>
        <v>1</v>
      </c>
      <c r="K329" s="38">
        <f>IF(Config!$AC$43&lt;&gt;"Não",1,0)</f>
        <v>1</v>
      </c>
      <c r="L329" s="38">
        <f>IF(Config!$AC$44&lt;&gt;"Não",1,0)</f>
        <v>1</v>
      </c>
      <c r="M329" s="38">
        <f>IF(Config!$AC$45&lt;&gt;"Não",1,0)</f>
        <v>1</v>
      </c>
      <c r="N329" s="38">
        <f>IF(Config!$AC$46&lt;&gt;"Não",1,0)</f>
        <v>1</v>
      </c>
      <c r="O329" s="38">
        <f>IF(Config!$AC$47&lt;&gt;"Não",1,0)</f>
        <v>1</v>
      </c>
      <c r="P329" s="38">
        <f>IF(Config!$AC$48&lt;&gt;"Não",1,0)</f>
        <v>1</v>
      </c>
      <c r="Q329" s="38">
        <f>IF(Config!$AC$49&lt;&gt;"Não",1,0)</f>
        <v>1</v>
      </c>
      <c r="R329" s="38">
        <f>IF(Config!$AC$50&lt;&gt;"Não",1,0)</f>
        <v>1</v>
      </c>
      <c r="S329" s="38">
        <f>IF(Config!$AC$51&lt;&gt;"Não",1,0)</f>
        <v>1</v>
      </c>
      <c r="T329" s="38">
        <f>IF(Config!$AC$52&lt;&gt;"Não",1,0)</f>
        <v>1</v>
      </c>
      <c r="U329" s="38">
        <f>IF(Config!$AC$53&lt;&gt;"Não",1,0)</f>
        <v>1</v>
      </c>
      <c r="V329" s="38">
        <f>IF(Config!$AC$54&lt;&gt;"Não",1,0)</f>
        <v>1</v>
      </c>
    </row>
    <row r="330">
      <c r="A330" s="65" t="inlineStr">
        <is>
          <t xml:space="preserve">GENTE · Desligamento</t>
        </is>
      </c>
      <c r="B330" s="39">
        <f>IF(OR($B$2="Todos",$C$2=2),1,IFERROR(INDEX($C$330:$V$330,MATCH($D$2,$C$302:$V$302,0)),1))</f>
        <v>1</v>
      </c>
      <c r="C330" s="38">
        <f>IF(Config!$AD$35&lt;&gt;"Não",1,0)</f>
        <v>1</v>
      </c>
      <c r="D330" s="38">
        <f>IF(Config!$AD$36&lt;&gt;"Não",1,0)</f>
        <v>1</v>
      </c>
      <c r="E330" s="38">
        <f>IF(Config!$AD$37&lt;&gt;"Não",1,0)</f>
        <v>1</v>
      </c>
      <c r="F330" s="38">
        <f>IF(Config!$AD$38&lt;&gt;"Não",1,0)</f>
        <v>1</v>
      </c>
      <c r="G330" s="38">
        <f>IF(Config!$AD$39&lt;&gt;"Não",1,0)</f>
        <v>1</v>
      </c>
      <c r="H330" s="38">
        <f>IF(Config!$AD$40&lt;&gt;"Não",1,0)</f>
        <v>1</v>
      </c>
      <c r="I330" s="38">
        <f>IF(Config!$AD$41&lt;&gt;"Não",1,0)</f>
        <v>1</v>
      </c>
      <c r="J330" s="38">
        <f>IF(Config!$AD$42&lt;&gt;"Não",1,0)</f>
        <v>1</v>
      </c>
      <c r="K330" s="38">
        <f>IF(Config!$AD$43&lt;&gt;"Não",1,0)</f>
        <v>1</v>
      </c>
      <c r="L330" s="38">
        <f>IF(Config!$AD$44&lt;&gt;"Não",1,0)</f>
        <v>1</v>
      </c>
      <c r="M330" s="38">
        <f>IF(Config!$AD$45&lt;&gt;"Não",1,0)</f>
        <v>1</v>
      </c>
      <c r="N330" s="38">
        <f>IF(Config!$AD$46&lt;&gt;"Não",1,0)</f>
        <v>1</v>
      </c>
      <c r="O330" s="38">
        <f>IF(Config!$AD$47&lt;&gt;"Não",1,0)</f>
        <v>1</v>
      </c>
      <c r="P330" s="38">
        <f>IF(Config!$AD$48&lt;&gt;"Não",1,0)</f>
        <v>1</v>
      </c>
      <c r="Q330" s="38">
        <f>IF(Config!$AD$49&lt;&gt;"Não",1,0)</f>
        <v>1</v>
      </c>
      <c r="R330" s="38">
        <f>IF(Config!$AD$50&lt;&gt;"Não",1,0)</f>
        <v>1</v>
      </c>
      <c r="S330" s="38">
        <f>IF(Config!$AD$51&lt;&gt;"Não",1,0)</f>
        <v>1</v>
      </c>
      <c r="T330" s="38">
        <f>IF(Config!$AD$52&lt;&gt;"Não",1,0)</f>
        <v>1</v>
      </c>
      <c r="U330" s="38">
        <f>IF(Config!$AD$53&lt;&gt;"Não",1,0)</f>
        <v>1</v>
      </c>
      <c r="V330" s="38">
        <f>IF(Config!$AD$54&lt;&gt;"Não",1,0)</f>
        <v>1</v>
      </c>
    </row>
    <row r="331">
      <c r="A331" s="65" t="inlineStr">
        <is>
          <t xml:space="preserve">GENTE · Desvios Comportamentais</t>
        </is>
      </c>
      <c r="B331" s="39">
        <f>IF(OR($B$2="Todos",$C$2=2),1,IFERROR(INDEX($C$331:$V$331,MATCH($D$2,$C$302:$V$302,0)),1))</f>
        <v>1</v>
      </c>
      <c r="C331" s="38">
        <f>IF(Config!$AE$35&lt;&gt;"Não",1,0)</f>
        <v>1</v>
      </c>
      <c r="D331" s="38">
        <f>IF(Config!$AE$36&lt;&gt;"Não",1,0)</f>
        <v>1</v>
      </c>
      <c r="E331" s="38">
        <f>IF(Config!$AE$37&lt;&gt;"Não",1,0)</f>
        <v>1</v>
      </c>
      <c r="F331" s="38">
        <f>IF(Config!$AE$38&lt;&gt;"Não",1,0)</f>
        <v>1</v>
      </c>
      <c r="G331" s="38">
        <f>IF(Config!$AE$39&lt;&gt;"Não",1,0)</f>
        <v>1</v>
      </c>
      <c r="H331" s="38">
        <f>IF(Config!$AE$40&lt;&gt;"Não",1,0)</f>
        <v>1</v>
      </c>
      <c r="I331" s="38">
        <f>IF(Config!$AE$41&lt;&gt;"Não",1,0)</f>
        <v>1</v>
      </c>
      <c r="J331" s="38">
        <f>IF(Config!$AE$42&lt;&gt;"Não",1,0)</f>
        <v>1</v>
      </c>
      <c r="K331" s="38">
        <f>IF(Config!$AE$43&lt;&gt;"Não",1,0)</f>
        <v>1</v>
      </c>
      <c r="L331" s="38">
        <f>IF(Config!$AE$44&lt;&gt;"Não",1,0)</f>
        <v>1</v>
      </c>
      <c r="M331" s="38">
        <f>IF(Config!$AE$45&lt;&gt;"Não",1,0)</f>
        <v>1</v>
      </c>
      <c r="N331" s="38">
        <f>IF(Config!$AE$46&lt;&gt;"Não",1,0)</f>
        <v>1</v>
      </c>
      <c r="O331" s="38">
        <f>IF(Config!$AE$47&lt;&gt;"Não",1,0)</f>
        <v>1</v>
      </c>
      <c r="P331" s="38">
        <f>IF(Config!$AE$48&lt;&gt;"Não",1,0)</f>
        <v>1</v>
      </c>
      <c r="Q331" s="38">
        <f>IF(Config!$AE$49&lt;&gt;"Não",1,0)</f>
        <v>1</v>
      </c>
      <c r="R331" s="38">
        <f>IF(Config!$AE$50&lt;&gt;"Não",1,0)</f>
        <v>1</v>
      </c>
      <c r="S331" s="38">
        <f>IF(Config!$AE$51&lt;&gt;"Não",1,0)</f>
        <v>1</v>
      </c>
      <c r="T331" s="38">
        <f>IF(Config!$AE$52&lt;&gt;"Não",1,0)</f>
        <v>1</v>
      </c>
      <c r="U331" s="38">
        <f>IF(Config!$AE$53&lt;&gt;"Não",1,0)</f>
        <v>1</v>
      </c>
      <c r="V331" s="38">
        <f>IF(Config!$AE$54&lt;&gt;"Não",1,0)</f>
        <v>1</v>
      </c>
    </row>
    <row r="332">
      <c r="A332" s="65" t="inlineStr">
        <is>
          <t xml:space="preserve">GENTE · Acidentes CAF</t>
        </is>
      </c>
      <c r="B332" s="39">
        <f>IF(OR($B$2="Todos",$C$2=2),1,IFERROR(INDEX($C$332:$V$332,MATCH($D$2,$C$302:$V$302,0)),1))</f>
        <v>1</v>
      </c>
      <c r="C332" s="38">
        <f>IF(Config!$AF$35&lt;&gt;"Não",1,0)</f>
        <v>1</v>
      </c>
      <c r="D332" s="38">
        <f>IF(Config!$AF$36&lt;&gt;"Não",1,0)</f>
        <v>1</v>
      </c>
      <c r="E332" s="38">
        <f>IF(Config!$AF$37&lt;&gt;"Não",1,0)</f>
        <v>1</v>
      </c>
      <c r="F332" s="38">
        <f>IF(Config!$AF$38&lt;&gt;"Não",1,0)</f>
        <v>1</v>
      </c>
      <c r="G332" s="38">
        <f>IF(Config!$AF$39&lt;&gt;"Não",1,0)</f>
        <v>1</v>
      </c>
      <c r="H332" s="38">
        <f>IF(Config!$AF$40&lt;&gt;"Não",1,0)</f>
        <v>1</v>
      </c>
      <c r="I332" s="38">
        <f>IF(Config!$AF$41&lt;&gt;"Não",1,0)</f>
        <v>1</v>
      </c>
      <c r="J332" s="38">
        <f>IF(Config!$AF$42&lt;&gt;"Não",1,0)</f>
        <v>1</v>
      </c>
      <c r="K332" s="38">
        <f>IF(Config!$AF$43&lt;&gt;"Não",1,0)</f>
        <v>1</v>
      </c>
      <c r="L332" s="38">
        <f>IF(Config!$AF$44&lt;&gt;"Não",1,0)</f>
        <v>1</v>
      </c>
      <c r="M332" s="38">
        <f>IF(Config!$AF$45&lt;&gt;"Não",1,0)</f>
        <v>1</v>
      </c>
      <c r="N332" s="38">
        <f>IF(Config!$AF$46&lt;&gt;"Não",1,0)</f>
        <v>1</v>
      </c>
      <c r="O332" s="38">
        <f>IF(Config!$AF$47&lt;&gt;"Não",1,0)</f>
        <v>1</v>
      </c>
      <c r="P332" s="38">
        <f>IF(Config!$AF$48&lt;&gt;"Não",1,0)</f>
        <v>1</v>
      </c>
      <c r="Q332" s="38">
        <f>IF(Config!$AF$49&lt;&gt;"Não",1,0)</f>
        <v>1</v>
      </c>
      <c r="R332" s="38">
        <f>IF(Config!$AF$50&lt;&gt;"Não",1,0)</f>
        <v>1</v>
      </c>
      <c r="S332" s="38">
        <f>IF(Config!$AF$51&lt;&gt;"Não",1,0)</f>
        <v>1</v>
      </c>
      <c r="T332" s="38">
        <f>IF(Config!$AF$52&lt;&gt;"Não",1,0)</f>
        <v>1</v>
      </c>
      <c r="U332" s="38">
        <f>IF(Config!$AF$53&lt;&gt;"Não",1,0)</f>
        <v>1</v>
      </c>
      <c r="V332" s="38">
        <f>IF(Config!$AF$54&lt;&gt;"Não",1,0)</f>
        <v>1</v>
      </c>
    </row>
    <row r="333">
      <c r="A333" s="65" t="inlineStr">
        <is>
          <t xml:space="preserve">GENTE · Acidentes SAF</t>
        </is>
      </c>
      <c r="B333" s="39">
        <f>IF(OR($B$2="Todos",$C$2=2),1,IFERROR(INDEX($C$333:$V$333,MATCH($D$2,$C$302:$V$302,0)),1))</f>
        <v>1</v>
      </c>
      <c r="C333" s="38">
        <f>IF(Config!$AG$35&lt;&gt;"Não",1,0)</f>
        <v>1</v>
      </c>
      <c r="D333" s="38">
        <f>IF(Config!$AG$36&lt;&gt;"Não",1,0)</f>
        <v>1</v>
      </c>
      <c r="E333" s="38">
        <f>IF(Config!$AG$37&lt;&gt;"Não",1,0)</f>
        <v>1</v>
      </c>
      <c r="F333" s="38">
        <f>IF(Config!$AG$38&lt;&gt;"Não",1,0)</f>
        <v>1</v>
      </c>
      <c r="G333" s="38">
        <f>IF(Config!$AG$39&lt;&gt;"Não",1,0)</f>
        <v>1</v>
      </c>
      <c r="H333" s="38">
        <f>IF(Config!$AG$40&lt;&gt;"Não",1,0)</f>
        <v>1</v>
      </c>
      <c r="I333" s="38">
        <f>IF(Config!$AG$41&lt;&gt;"Não",1,0)</f>
        <v>1</v>
      </c>
      <c r="J333" s="38">
        <f>IF(Config!$AG$42&lt;&gt;"Não",1,0)</f>
        <v>1</v>
      </c>
      <c r="K333" s="38">
        <f>IF(Config!$AG$43&lt;&gt;"Não",1,0)</f>
        <v>1</v>
      </c>
      <c r="L333" s="38">
        <f>IF(Config!$AG$44&lt;&gt;"Não",1,0)</f>
        <v>1</v>
      </c>
      <c r="M333" s="38">
        <f>IF(Config!$AG$45&lt;&gt;"Não",1,0)</f>
        <v>1</v>
      </c>
      <c r="N333" s="38">
        <f>IF(Config!$AG$46&lt;&gt;"Não",1,0)</f>
        <v>1</v>
      </c>
      <c r="O333" s="38">
        <f>IF(Config!$AG$47&lt;&gt;"Não",1,0)</f>
        <v>1</v>
      </c>
      <c r="P333" s="38">
        <f>IF(Config!$AG$48&lt;&gt;"Não",1,0)</f>
        <v>1</v>
      </c>
      <c r="Q333" s="38">
        <f>IF(Config!$AG$49&lt;&gt;"Não",1,0)</f>
        <v>1</v>
      </c>
      <c r="R333" s="38">
        <f>IF(Config!$AG$50&lt;&gt;"Não",1,0)</f>
        <v>1</v>
      </c>
      <c r="S333" s="38">
        <f>IF(Config!$AG$51&lt;&gt;"Não",1,0)</f>
        <v>1</v>
      </c>
      <c r="T333" s="38">
        <f>IF(Config!$AG$52&lt;&gt;"Não",1,0)</f>
        <v>1</v>
      </c>
      <c r="U333" s="38">
        <f>IF(Config!$AG$53&lt;&gt;"Não",1,0)</f>
        <v>1</v>
      </c>
      <c r="V333" s="38">
        <f>IF(Config!$AG$54&lt;&gt;"Não",1,0)</f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2026-10-02T14:40:49Z</dcterms:created>
</cp:coreProperties>
</file>